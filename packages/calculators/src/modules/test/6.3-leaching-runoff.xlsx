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1DA133A8-DFDB-4445-8D75-CB895F983103}" xr6:coauthVersionLast="47" xr6:coauthVersionMax="47" xr10:uidLastSave="{00000000-0000-0000-0000-000000000000}"/>
  <bookViews>
    <workbookView xWindow="0" yWindow="660" windowWidth="28800" windowHeight="15940" activeTab="1" xr2:uid="{5678E890-3691-CF46-80E7-00FB1F103661}"/>
  </bookViews>
  <sheets>
    <sheet name="6.3.1.1 pasture" sheetId="1" r:id="rId1"/>
    <sheet name="6.3.1.1 crop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3" l="1"/>
  <c r="S10" i="1"/>
  <c r="K6" i="1"/>
  <c r="K7" i="1"/>
  <c r="K8" i="1"/>
  <c r="K9" i="1"/>
  <c r="K10" i="1"/>
  <c r="K5" i="1"/>
  <c r="E6" i="1"/>
  <c r="E7" i="1"/>
  <c r="E8" i="1"/>
  <c r="E9" i="1"/>
  <c r="E10" i="1"/>
  <c r="E5" i="1"/>
  <c r="P8" i="1" l="1"/>
  <c r="P9" i="1"/>
  <c r="P5" i="1"/>
  <c r="P6" i="1"/>
  <c r="P7" i="1"/>
  <c r="P10" i="1"/>
  <c r="F9" i="3" a="1"/>
  <c r="F10" i="3" a="1"/>
  <c r="F11" i="3" a="1"/>
  <c r="F12" i="3" a="1"/>
  <c r="F13" i="3" a="1"/>
  <c r="F14" i="3" a="1"/>
  <c r="S6" i="3"/>
  <c r="S7" i="3"/>
  <c r="S8" i="3"/>
  <c r="S9" i="3"/>
  <c r="S10" i="3"/>
  <c r="S11" i="3"/>
  <c r="S12" i="3"/>
  <c r="S13" i="3"/>
  <c r="S14" i="3"/>
  <c r="S5" i="3"/>
  <c r="Q6" i="3"/>
  <c r="Q7" i="3"/>
  <c r="Q8" i="3"/>
  <c r="Q9" i="3"/>
  <c r="Q10" i="3"/>
  <c r="Q11" i="3"/>
  <c r="Q12" i="3"/>
  <c r="Q13" i="3"/>
  <c r="Q14" i="3"/>
  <c r="Q5" i="3"/>
  <c r="P6" i="3"/>
  <c r="P7" i="3"/>
  <c r="P8" i="3"/>
  <c r="P9" i="3"/>
  <c r="P10" i="3"/>
  <c r="P11" i="3"/>
  <c r="P12" i="3"/>
  <c r="P13" i="3"/>
  <c r="P14" i="3"/>
  <c r="P5" i="3"/>
  <c r="M14" i="3"/>
  <c r="N14" i="3" s="1"/>
  <c r="K14" i="3"/>
  <c r="L14" i="3" s="1"/>
  <c r="J14" i="3"/>
  <c r="I14" i="3"/>
  <c r="H14" i="3"/>
  <c r="O14" i="3" s="1"/>
  <c r="M13" i="3"/>
  <c r="N13" i="3" s="1"/>
  <c r="K13" i="3"/>
  <c r="L13" i="3" s="1"/>
  <c r="J13" i="3"/>
  <c r="I13" i="3"/>
  <c r="H13" i="3"/>
  <c r="M12" i="3"/>
  <c r="N12" i="3" s="1"/>
  <c r="K12" i="3"/>
  <c r="L12" i="3" s="1"/>
  <c r="J12" i="3"/>
  <c r="I12" i="3"/>
  <c r="H12" i="3"/>
  <c r="M11" i="3"/>
  <c r="N11" i="3" s="1"/>
  <c r="K11" i="3"/>
  <c r="L11" i="3" s="1"/>
  <c r="J11" i="3"/>
  <c r="I11" i="3"/>
  <c r="H11" i="3"/>
  <c r="M10" i="3"/>
  <c r="N10" i="3" s="1"/>
  <c r="K10" i="3"/>
  <c r="L10" i="3" s="1"/>
  <c r="J10" i="3"/>
  <c r="I10" i="3"/>
  <c r="H10" i="3"/>
  <c r="M9" i="3"/>
  <c r="N9" i="3" s="1"/>
  <c r="K9" i="3"/>
  <c r="L9" i="3" s="1"/>
  <c r="J9" i="3"/>
  <c r="I9" i="3"/>
  <c r="H9" i="3"/>
  <c r="O9" i="3" s="1"/>
  <c r="M8" i="3"/>
  <c r="N8" i="3" s="1"/>
  <c r="K8" i="3"/>
  <c r="L8" i="3" s="1"/>
  <c r="J8" i="3"/>
  <c r="I8" i="3"/>
  <c r="H8" i="3"/>
  <c r="F8" i="3" a="1"/>
  <c r="M7" i="3"/>
  <c r="N7" i="3" s="1"/>
  <c r="K7" i="3"/>
  <c r="L7" i="3" s="1"/>
  <c r="J7" i="3"/>
  <c r="I7" i="3"/>
  <c r="H7" i="3"/>
  <c r="F7" i="3" a="1"/>
  <c r="O7" i="3" s="1"/>
  <c r="M6" i="3"/>
  <c r="N6" i="3" s="1"/>
  <c r="K6" i="3"/>
  <c r="L6" i="3" s="1"/>
  <c r="J6" i="3"/>
  <c r="I6" i="3"/>
  <c r="H6" i="3"/>
  <c r="F6" i="3" a="1"/>
  <c r="M5" i="3"/>
  <c r="N5" i="3" s="1"/>
  <c r="K5" i="3"/>
  <c r="L5" i="3" s="1"/>
  <c r="J5" i="3"/>
  <c r="I5" i="3"/>
  <c r="H5" i="3"/>
  <c r="F5" i="3" a="1"/>
  <c r="O5" i="3" l="1"/>
  <c r="R5" i="3" s="1"/>
  <c r="T5" i="3" s="1"/>
  <c r="O10" i="3"/>
  <c r="O6" i="3"/>
  <c r="R6" i="3" s="1"/>
  <c r="T6" i="3" s="1"/>
  <c r="O13" i="3"/>
  <c r="O12" i="3"/>
  <c r="R12" i="3" s="1"/>
  <c r="T12" i="3" s="1"/>
  <c r="O8" i="3"/>
  <c r="O11" i="3"/>
  <c r="R11" i="3" s="1"/>
  <c r="T11" i="3" s="1"/>
  <c r="R8" i="3"/>
  <c r="T8" i="3" s="1"/>
  <c r="R13" i="3"/>
  <c r="T13" i="3" s="1"/>
  <c r="R10" i="3"/>
  <c r="T10" i="3" s="1"/>
  <c r="R9" i="3"/>
  <c r="T9" i="3" s="1"/>
  <c r="R14" i="3"/>
  <c r="T14" i="3" s="1"/>
  <c r="R7" i="3"/>
  <c r="T7" i="3" s="1"/>
  <c r="L11" i="1" l="1"/>
  <c r="L12" i="1"/>
  <c r="L13" i="1"/>
  <c r="L14" i="1"/>
  <c r="N6" i="1"/>
  <c r="L6" i="1"/>
  <c r="M6" i="1"/>
  <c r="O6" i="1"/>
  <c r="L7" i="1"/>
  <c r="M7" i="1"/>
  <c r="N7" i="1"/>
  <c r="O7" i="1"/>
  <c r="N8" i="1"/>
  <c r="L8" i="1"/>
  <c r="M8" i="1"/>
  <c r="O8" i="1"/>
  <c r="N9" i="1"/>
  <c r="L9" i="1"/>
  <c r="M9" i="1"/>
  <c r="O9" i="1"/>
  <c r="N10" i="1"/>
  <c r="L10" i="1"/>
  <c r="M10" i="1"/>
  <c r="O10" i="1"/>
  <c r="K11" i="1"/>
  <c r="O11" i="1"/>
  <c r="P11" i="1"/>
  <c r="K12" i="1"/>
  <c r="O12" i="1"/>
  <c r="P12" i="1"/>
  <c r="K13" i="1"/>
  <c r="O13" i="1"/>
  <c r="P13" i="1"/>
  <c r="K14" i="1"/>
  <c r="O14" i="1"/>
  <c r="P14" i="1"/>
  <c r="N5" i="1"/>
  <c r="O5" i="1"/>
  <c r="M5" i="1"/>
  <c r="L5" i="1"/>
  <c r="G11" i="1"/>
  <c r="H11" i="1"/>
  <c r="I11" i="1"/>
  <c r="G12" i="1"/>
  <c r="H12" i="1"/>
  <c r="I12" i="1"/>
  <c r="G13" i="1"/>
  <c r="H13" i="1"/>
  <c r="I13" i="1"/>
  <c r="G14" i="1"/>
  <c r="H14" i="1"/>
  <c r="I14" i="1"/>
  <c r="F11" i="1"/>
  <c r="F12" i="1"/>
  <c r="F13" i="1"/>
  <c r="F14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E12" i="1"/>
  <c r="E13" i="1"/>
  <c r="E14" i="1"/>
  <c r="I5" i="1"/>
  <c r="H5" i="1"/>
  <c r="G5" i="1"/>
  <c r="F5" i="1"/>
  <c r="K25" i="1" l="1"/>
  <c r="K26" i="1"/>
  <c r="K27" i="1"/>
  <c r="K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<sst xmlns="http://schemas.openxmlformats.org/spreadsheetml/2006/main" count="214" uniqueCount="102">
  <si>
    <t>Method 1</t>
  </si>
  <si>
    <t>Constants</t>
  </si>
  <si>
    <t>Cn2o</t>
  </si>
  <si>
    <t>Efni</t>
  </si>
  <si>
    <t>Table A.2.1.4</t>
  </si>
  <si>
    <t>Wet climate zone</t>
  </si>
  <si>
    <t>Dry climate zones</t>
  </si>
  <si>
    <t>wet</t>
  </si>
  <si>
    <t>dry</t>
  </si>
  <si>
    <t>Climate zone</t>
  </si>
  <si>
    <r>
      <t>𝑀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= (𝐴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 xml:space="preserve">× (𝑌 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 × (1 − 𝐹𝐹𝑂𝐷</t>
    </r>
    <r>
      <rPr>
        <sz val="8"/>
        <color rgb="FF000000"/>
        <rFont val="Helvetica"/>
        <family val="2"/>
      </rPr>
      <t>𝑝</t>
    </r>
    <r>
      <rPr>
        <sz val="11"/>
        <color rgb="FF000000"/>
        <rFont val="Helvetica"/>
        <family val="2"/>
      </rPr>
      <t>) × 𝑁𝐶</t>
    </r>
    <r>
      <rPr>
        <sz val="8"/>
        <color rgb="FF000000"/>
        <rFont val="Helvetica"/>
        <family val="2"/>
      </rPr>
      <t>𝐴𝐺𝑝</t>
    </r>
    <r>
      <rPr>
        <sz val="11"/>
        <color rgb="FF000000"/>
        <rFont val="Helvetica"/>
        <family val="2"/>
      </rPr>
      <t>) + (𝐴𝑝 × (𝑌 𝑝 × 10−3) × 𝑅𝐵𝐺𝑝 × 𝑁𝐶𝐵𝐺𝑝)</t>
    </r>
  </si>
  <si>
    <t>En2o</t>
  </si>
  <si>
    <t>Mp</t>
  </si>
  <si>
    <t>Ap</t>
  </si>
  <si>
    <t>Area of pasture</t>
  </si>
  <si>
    <t>Yp</t>
  </si>
  <si>
    <t>FFODp</t>
  </si>
  <si>
    <t>Fraction of pasture removed</t>
  </si>
  <si>
    <t>Table A.2.1.3</t>
  </si>
  <si>
    <t>Rbgp</t>
  </si>
  <si>
    <t>Ncagp</t>
  </si>
  <si>
    <t>NCbgp</t>
  </si>
  <si>
    <t>RBGp</t>
  </si>
  <si>
    <t>NCBGp</t>
  </si>
  <si>
    <t>Pasture type</t>
  </si>
  <si>
    <t>Annual grass</t>
  </si>
  <si>
    <t>Grass clover mixture</t>
  </si>
  <si>
    <t>Lucerne</t>
  </si>
  <si>
    <t>Other legume</t>
  </si>
  <si>
    <t>Perennial pasture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</si>
  <si>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= ∑ ∑ (𝑀</t>
    </r>
    <r>
      <rPr>
        <sz val="8"/>
        <color rgb="FF000000"/>
        <rFont val="Helvetica"/>
        <family val="2"/>
      </rPr>
      <t xml:space="preserve">𝑙𝑒𝑎𝑐ℎ,𝑐𝑝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𝑙𝑒𝑎𝑐ℎ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</si>
  <si>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Efleach</t>
  </si>
  <si>
    <t>Mleachp</t>
  </si>
  <si>
    <r>
      <t>𝑀</t>
    </r>
    <r>
      <rPr>
        <sz val="8"/>
        <color rgb="FF000000"/>
        <rFont val="Helvetica"/>
        <family val="2"/>
      </rPr>
      <t xml:space="preserve">𝑙𝑒𝑎𝑐ℎ,𝑐𝑝 </t>
    </r>
    <r>
      <rPr>
        <sz val="11"/>
        <color rgb="FF000000"/>
        <rFont val="Helvetica"/>
        <family val="2"/>
      </rPr>
      <t>= 𝑀</t>
    </r>
    <r>
      <rPr>
        <sz val="8"/>
        <color rgb="FF000000"/>
        <rFont val="Helvetica"/>
        <family val="2"/>
      </rPr>
      <t xml:space="preserve">𝑐𝑝 </t>
    </r>
    <r>
      <rPr>
        <sz val="11"/>
        <color rgb="FF000000"/>
        <rFont val="Helvetica"/>
        <family val="2"/>
      </rPr>
      <t xml:space="preserve">× 𝐹𝑟𝑎𝑐𝑊𝐸𝑇 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>× 𝐹𝑟𝑎𝑐𝐿𝐸𝐴𝐶𝐻</t>
    </r>
  </si>
  <si>
    <t>Leaching zone</t>
  </si>
  <si>
    <t>yes</t>
  </si>
  <si>
    <t>no</t>
  </si>
  <si>
    <t>FracWETj</t>
  </si>
  <si>
    <t>FracLEACH</t>
  </si>
  <si>
    <t>Fraction crop burnt</t>
  </si>
  <si>
    <t>Fraction of crop removed</t>
  </si>
  <si>
    <t>Residue crop ratio</t>
  </si>
  <si>
    <t>Below above ratio</t>
  </si>
  <si>
    <t>Dry matter content</t>
  </si>
  <si>
    <t>Above ground N</t>
  </si>
  <si>
    <r>
      <t>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 xml:space="preserve">= (𝑃 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 xml:space="preserve">× (1 − 𝐹 </t>
    </r>
    <r>
      <rPr>
        <sz val="8"/>
        <color rgb="FF000000"/>
        <rFont val="Helvetica"/>
        <family val="2"/>
      </rPr>
      <t>𝑐</t>
    </r>
    <r>
      <rPr>
        <sz val="11"/>
        <color rgb="FF000000"/>
        <rFont val="Helvetica"/>
        <family val="2"/>
      </rPr>
      <t>− 𝐹𝐹𝑂𝐷</t>
    </r>
    <r>
      <rPr>
        <sz val="8"/>
        <color rgb="FF000000"/>
        <rFont val="Helvetica"/>
        <family val="2"/>
      </rPr>
      <t>𝑐</t>
    </r>
    <r>
      <rPr>
        <sz val="11"/>
        <color rgb="FF000000"/>
        <rFont val="Helvetica"/>
        <family val="2"/>
      </rPr>
      <t>) × 𝐷𝑀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𝑁𝐶</t>
    </r>
    <r>
      <rPr>
        <sz val="8"/>
        <color rgb="FF000000"/>
        <rFont val="Helvetica"/>
        <family val="2"/>
      </rPr>
      <t>𝐴𝐺𝑐</t>
    </r>
    <r>
      <rPr>
        <sz val="11"/>
        <color rgb="FF000000"/>
        <rFont val="Helvetica"/>
        <family val="2"/>
      </rPr>
      <t xml:space="preserve">) + (𝑃 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𝐵𝐺𝑐 </t>
    </r>
    <r>
      <rPr>
        <sz val="11"/>
        <color rgb="FF000000"/>
        <rFont val="Helvetica"/>
        <family val="2"/>
      </rPr>
      <t>× 𝐷𝑀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𝑁𝐶</t>
    </r>
    <r>
      <rPr>
        <sz val="8"/>
        <color rgb="FF000000"/>
        <rFont val="Helvetica"/>
        <family val="2"/>
      </rPr>
      <t>𝐵𝐺𝑐</t>
    </r>
    <r>
      <rPr>
        <sz val="11"/>
        <color rgb="FF000000"/>
        <rFont val="Helvetica"/>
        <family val="2"/>
      </rPr>
      <t>)</t>
    </r>
  </si>
  <si>
    <t>Crop type</t>
  </si>
  <si>
    <t>State</t>
  </si>
  <si>
    <t>Fc</t>
  </si>
  <si>
    <t>FFODc</t>
  </si>
  <si>
    <t>Pc</t>
  </si>
  <si>
    <t>RAGC</t>
  </si>
  <si>
    <t>RBGC</t>
  </si>
  <si>
    <t>DMc</t>
  </si>
  <si>
    <t>Ncagc</t>
  </si>
  <si>
    <t>NCbcg</t>
  </si>
  <si>
    <t>Mc</t>
  </si>
  <si>
    <t>E</t>
  </si>
  <si>
    <t>Sugar Cane</t>
  </si>
  <si>
    <t>NSW</t>
  </si>
  <si>
    <t>Rice</t>
  </si>
  <si>
    <t>VIC</t>
  </si>
  <si>
    <t>Tubers and Roots</t>
  </si>
  <si>
    <t>QLD</t>
  </si>
  <si>
    <t>WA</t>
  </si>
  <si>
    <t>Cotton</t>
  </si>
  <si>
    <t>SA</t>
  </si>
  <si>
    <t>Hops and grape vines</t>
  </si>
  <si>
    <t>Forage Crops</t>
  </si>
  <si>
    <t>Pulses</t>
  </si>
  <si>
    <t>TAS</t>
  </si>
  <si>
    <t>Other Annual Crops</t>
  </si>
  <si>
    <t>Table A.2.1.1</t>
  </si>
  <si>
    <t>Wheat</t>
  </si>
  <si>
    <t>Barley</t>
  </si>
  <si>
    <t>Maize</t>
  </si>
  <si>
    <t>Oats</t>
  </si>
  <si>
    <t>Sorghum</t>
  </si>
  <si>
    <t>Triticale</t>
  </si>
  <si>
    <t>Other cereals</t>
  </si>
  <si>
    <t>Tubers and roots</t>
  </si>
  <si>
    <t>Peanuts</t>
  </si>
  <si>
    <t>Sugar cane</t>
  </si>
  <si>
    <t>Oilseeds</t>
  </si>
  <si>
    <t>Forage crops</t>
  </si>
  <si>
    <t>Other perennial crops</t>
  </si>
  <si>
    <t>Table A.2.1.2</t>
  </si>
  <si>
    <t>All states</t>
  </si>
  <si>
    <t>All other crop types</t>
  </si>
  <si>
    <t>NT</t>
  </si>
  <si>
    <t>ACT</t>
  </si>
  <si>
    <t>CCc</t>
  </si>
  <si>
    <t>NCbgc</t>
  </si>
  <si>
    <t>Sc</t>
  </si>
  <si>
    <t>Zc</t>
  </si>
  <si>
    <t>n/a</t>
  </si>
  <si>
    <t xml:space="preserve">    n/a</t>
  </si>
  <si>
    <t>n/a </t>
  </si>
  <si>
    <t>Average yield per hectare in t</t>
  </si>
  <si>
    <t>NOTE: Pending feedback, I think this formula is incorrect. Multiplying by 10^-3 converts the yield in tonnes to gigagrams, not kilograms. I've implemented the </t>
  </si>
  <si>
    <t>Converted to tonnes per hectare here for compatibility with the expected input.</t>
  </si>
  <si>
    <t>Annual production of crop c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</si>
</sst>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Helvetica"/>
      <family val="2"/>
    </font>
    <font>
      <sz val="11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Z58"/>
  <sheetViews>
    <sheetView topLeftCell="B1" workbookViewId="0">
      <selection activeCell="P9" sqref="P9"/>
    </sheetView>
  </sheetViews>
  <sheetFormatPr baseColWidth="10" defaultRowHeight="16"/>
  <cols>
    <col min="1" max="1" width="13.83203125" customWidth="1"/>
    <col min="2" max="2" width="12.1640625" customWidth="1"/>
    <col min="3" max="3" width="19.6640625" customWidth="1"/>
    <col min="4" max="4" width="17" customWidth="1"/>
    <col min="5" max="5" width="25.5" bestFit="1" customWidth="1"/>
    <col min="6" max="6" width="15.5" customWidth="1"/>
    <col min="7" max="7" width="13.6640625" bestFit="1" customWidth="1"/>
    <col min="8" max="9" width="11" bestFit="1" customWidth="1"/>
    <col min="10" max="10" width="11" customWidth="1"/>
    <col min="11" max="14" width="12.83203125" customWidth="1"/>
    <col min="16" max="16" width="12.1640625" bestFit="1" customWidth="1"/>
    <col min="18" max="18" width="36" customWidth="1"/>
    <col min="22" max="22" width="7.83203125" style="7" customWidth="1"/>
  </cols>
  <sheetData>
    <row r="1" spans="1:20" ht="17">
      <c r="C1" s="3" t="s">
        <v>0</v>
      </c>
      <c r="P1" s="1" t="s">
        <v>30</v>
      </c>
    </row>
    <row r="2" spans="1:20">
      <c r="E2" t="s">
        <v>100</v>
      </c>
      <c r="K2" s="14" t="s">
        <v>99</v>
      </c>
      <c r="L2" s="1"/>
      <c r="M2" s="1"/>
      <c r="N2" s="1" t="s">
        <v>33</v>
      </c>
      <c r="P2" s="1"/>
    </row>
    <row r="3" spans="1:20" ht="34">
      <c r="D3" t="s">
        <v>14</v>
      </c>
      <c r="E3" t="s">
        <v>98</v>
      </c>
      <c r="F3" s="7" t="s">
        <v>17</v>
      </c>
      <c r="G3" s="7"/>
      <c r="H3" s="7"/>
      <c r="I3" s="7"/>
      <c r="J3" s="7"/>
      <c r="K3" s="1" t="s">
        <v>10</v>
      </c>
      <c r="L3" s="1"/>
      <c r="M3" s="1"/>
      <c r="N3" s="1"/>
      <c r="P3" s="1"/>
    </row>
    <row r="4" spans="1:20">
      <c r="A4" s="4" t="s">
        <v>34</v>
      </c>
      <c r="B4" t="s">
        <v>9</v>
      </c>
      <c r="C4" s="4" t="s">
        <v>24</v>
      </c>
      <c r="D4" s="4" t="s">
        <v>13</v>
      </c>
      <c r="E4" t="s">
        <v>15</v>
      </c>
      <c r="F4" t="s">
        <v>16</v>
      </c>
      <c r="G4" t="s">
        <v>20</v>
      </c>
      <c r="H4" t="s">
        <v>22</v>
      </c>
      <c r="I4" t="s">
        <v>23</v>
      </c>
      <c r="K4" t="s">
        <v>12</v>
      </c>
      <c r="L4" t="s">
        <v>37</v>
      </c>
      <c r="M4" t="s">
        <v>38</v>
      </c>
      <c r="N4" t="s">
        <v>32</v>
      </c>
      <c r="O4" t="s">
        <v>31</v>
      </c>
      <c r="P4" s="5" t="s">
        <v>11</v>
      </c>
      <c r="R4" s="6" t="s">
        <v>1</v>
      </c>
    </row>
    <row r="5" spans="1:20">
      <c r="A5" t="s">
        <v>35</v>
      </c>
      <c r="B5" t="s">
        <v>7</v>
      </c>
      <c r="C5" t="s">
        <v>25</v>
      </c>
      <c r="D5">
        <v>5000</v>
      </c>
      <c r="E5">
        <f>IF(ISBLANK(B5), "", VLOOKUP(C5, $R$20:$W$24,2, FALSE))</f>
        <v>4.41</v>
      </c>
      <c r="F5" s="12">
        <f t="shared" ref="F5:F10" si="0">IF(ISBLANK(B5), "", VLOOKUP(C5, $R$20:$W$24,6, FALSE))</f>
        <v>0.8</v>
      </c>
      <c r="G5" s="12">
        <f t="shared" ref="G5:G10" si="1">IF(ISBLANK(B5), "", VLOOKUP(C5, $R$20:$W$24,4, FALSE))</f>
        <v>1.4999999999999999E-2</v>
      </c>
      <c r="H5" s="12">
        <f t="shared" ref="H5:H10" si="2">IF(ISBLANK(B5), "", VLOOKUP(C5, $R$20:$W$24,3, FALSE))</f>
        <v>0.4</v>
      </c>
      <c r="I5" s="12">
        <f t="shared" ref="I5:I10" si="3">IF(ISBLANK(B5), "", VLOOKUP(C5, $R$20:$W$24,5, FALSE))</f>
        <v>1.2E-2</v>
      </c>
      <c r="J5" s="12"/>
      <c r="K5">
        <f>IF(ISBLANK(B5),"", (D5*(E5 * 10^-3) *(1 - F5)*G5)+(D5*(E5*10^-3)*H5*I5))</f>
        <v>0.17198999999999998</v>
      </c>
      <c r="L5">
        <f>IF(ISBLANK(A5), "", IF(A5="yes", 1, 0))</f>
        <v>1</v>
      </c>
      <c r="M5">
        <f>$S$9</f>
        <v>0.24</v>
      </c>
      <c r="N5">
        <f>K5*L5*M5</f>
        <v>4.1277599999999991E-2</v>
      </c>
      <c r="O5">
        <f>IF(ISBLANK(B5),"",$S$8)</f>
        <v>1.0999999999999999E-2</v>
      </c>
      <c r="P5">
        <f>IF(ISBLANK(B5), "", N5*O5*$S$10 * 10^3)</f>
        <v>0.71286415199999986</v>
      </c>
    </row>
    <row r="6" spans="1:20">
      <c r="A6" t="s">
        <v>36</v>
      </c>
      <c r="B6" t="s">
        <v>8</v>
      </c>
      <c r="C6" t="s">
        <v>25</v>
      </c>
      <c r="D6">
        <v>50</v>
      </c>
      <c r="E6">
        <f t="shared" ref="E6:E10" si="4">IF(ISBLANK(B6), "", VLOOKUP(C6, $R$20:$W$24,2, FALSE))</f>
        <v>4.41</v>
      </c>
      <c r="F6" s="12">
        <f t="shared" si="0"/>
        <v>0.8</v>
      </c>
      <c r="G6" s="12">
        <f t="shared" si="1"/>
        <v>1.4999999999999999E-2</v>
      </c>
      <c r="H6" s="12">
        <f t="shared" si="2"/>
        <v>0.4</v>
      </c>
      <c r="I6" s="12">
        <f t="shared" si="3"/>
        <v>1.2E-2</v>
      </c>
      <c r="J6" s="12"/>
      <c r="K6">
        <f t="shared" ref="K6:K10" si="5">IF(ISBLANK(B6),"", (D6*(E6 * 10^-3) *(1 - F6)*G6)+(D6*(E6*10^-3)*H6*I6))</f>
        <v>1.7198999999999999E-3</v>
      </c>
      <c r="L6">
        <f t="shared" ref="L6:L14" si="6">IF(ISBLANK(A6), "", IF(A6="yes", 1, 0))</f>
        <v>0</v>
      </c>
      <c r="M6">
        <f t="shared" ref="M6:M10" si="7">$S$9</f>
        <v>0.24</v>
      </c>
      <c r="N6">
        <f t="shared" ref="N6:N10" si="8">K6*L6*M6</f>
        <v>0</v>
      </c>
      <c r="O6">
        <f t="shared" ref="O6:O14" si="9">IF(ISBLANK(B6),"",$S$8)</f>
        <v>1.0999999999999999E-2</v>
      </c>
      <c r="P6">
        <f t="shared" ref="P6:P10" si="10">IF(ISBLANK(B6), "", N6*O6*$S$10 * 10^3)</f>
        <v>0</v>
      </c>
    </row>
    <row r="7" spans="1:20">
      <c r="A7" t="s">
        <v>35</v>
      </c>
      <c r="B7" t="s">
        <v>7</v>
      </c>
      <c r="C7" s="2" t="s">
        <v>26</v>
      </c>
      <c r="D7">
        <v>600</v>
      </c>
      <c r="E7">
        <f t="shared" si="4"/>
        <v>8.34</v>
      </c>
      <c r="F7" s="12">
        <f t="shared" si="0"/>
        <v>0.8</v>
      </c>
      <c r="G7" s="12">
        <f t="shared" si="1"/>
        <v>2.5000000000000001E-2</v>
      </c>
      <c r="H7" s="12">
        <f t="shared" si="2"/>
        <v>0.8</v>
      </c>
      <c r="I7" s="12">
        <f t="shared" si="3"/>
        <v>1.6E-2</v>
      </c>
      <c r="J7" s="12"/>
      <c r="K7">
        <f t="shared" si="5"/>
        <v>8.9071200000000017E-2</v>
      </c>
      <c r="L7">
        <f t="shared" si="6"/>
        <v>1</v>
      </c>
      <c r="M7">
        <f t="shared" si="7"/>
        <v>0.24</v>
      </c>
      <c r="N7">
        <f t="shared" si="8"/>
        <v>2.1377088000000002E-2</v>
      </c>
      <c r="O7">
        <f t="shared" si="9"/>
        <v>1.0999999999999999E-2</v>
      </c>
      <c r="P7">
        <f t="shared" si="10"/>
        <v>0.36918230976000005</v>
      </c>
    </row>
    <row r="8" spans="1:20">
      <c r="A8" t="s">
        <v>36</v>
      </c>
      <c r="B8" t="s">
        <v>8</v>
      </c>
      <c r="C8" s="2" t="s">
        <v>27</v>
      </c>
      <c r="D8">
        <v>7000</v>
      </c>
      <c r="E8">
        <f t="shared" si="4"/>
        <v>8.6199999999999992</v>
      </c>
      <c r="F8" s="12">
        <f t="shared" si="0"/>
        <v>0.8</v>
      </c>
      <c r="G8" s="12">
        <f t="shared" si="1"/>
        <v>2.7E-2</v>
      </c>
      <c r="H8" s="12">
        <f t="shared" si="2"/>
        <v>0.4</v>
      </c>
      <c r="I8" s="12">
        <f t="shared" si="3"/>
        <v>1.9E-2</v>
      </c>
      <c r="J8" s="12"/>
      <c r="K8">
        <f t="shared" si="5"/>
        <v>0.7844199999999999</v>
      </c>
      <c r="L8">
        <f t="shared" si="6"/>
        <v>0</v>
      </c>
      <c r="M8">
        <f t="shared" si="7"/>
        <v>0.24</v>
      </c>
      <c r="N8">
        <f t="shared" si="8"/>
        <v>0</v>
      </c>
      <c r="O8">
        <f t="shared" si="9"/>
        <v>1.0999999999999999E-2</v>
      </c>
      <c r="P8">
        <f t="shared" si="10"/>
        <v>0</v>
      </c>
      <c r="R8" s="2" t="s">
        <v>31</v>
      </c>
      <c r="S8" s="2">
        <v>1.0999999999999999E-2</v>
      </c>
    </row>
    <row r="9" spans="1:20">
      <c r="A9" t="s">
        <v>35</v>
      </c>
      <c r="B9" t="s">
        <v>7</v>
      </c>
      <c r="C9" s="2" t="s">
        <v>28</v>
      </c>
      <c r="D9">
        <v>50</v>
      </c>
      <c r="E9">
        <f t="shared" si="4"/>
        <v>5.62</v>
      </c>
      <c r="F9" s="12">
        <f t="shared" si="0"/>
        <v>0.8</v>
      </c>
      <c r="G9" s="12">
        <f t="shared" si="1"/>
        <v>2.7E-2</v>
      </c>
      <c r="H9" s="12">
        <f t="shared" si="2"/>
        <v>0.4</v>
      </c>
      <c r="I9" s="12">
        <f t="shared" si="3"/>
        <v>2.1999999999999999E-2</v>
      </c>
      <c r="J9" s="12"/>
      <c r="K9">
        <f t="shared" si="5"/>
        <v>3.9902000000000002E-3</v>
      </c>
      <c r="L9">
        <f t="shared" si="6"/>
        <v>1</v>
      </c>
      <c r="M9">
        <f t="shared" si="7"/>
        <v>0.24</v>
      </c>
      <c r="N9">
        <f t="shared" si="8"/>
        <v>9.5764799999999996E-4</v>
      </c>
      <c r="O9">
        <f t="shared" si="9"/>
        <v>1.0999999999999999E-2</v>
      </c>
      <c r="P9">
        <f t="shared" si="10"/>
        <v>1.653858096E-2</v>
      </c>
      <c r="R9" s="2" t="s">
        <v>38</v>
      </c>
      <c r="S9" s="2">
        <v>0.24</v>
      </c>
    </row>
    <row r="10" spans="1:20">
      <c r="A10" t="s">
        <v>36</v>
      </c>
      <c r="B10" t="s">
        <v>8</v>
      </c>
      <c r="C10" s="2" t="s">
        <v>29</v>
      </c>
      <c r="D10">
        <v>50</v>
      </c>
      <c r="E10">
        <f t="shared" si="4"/>
        <v>8.35</v>
      </c>
      <c r="F10" s="12">
        <f t="shared" si="0"/>
        <v>0.8</v>
      </c>
      <c r="G10" s="12">
        <f t="shared" si="1"/>
        <v>1.4999999999999999E-2</v>
      </c>
      <c r="H10" s="12">
        <f t="shared" si="2"/>
        <v>0.8</v>
      </c>
      <c r="I10" s="12">
        <f t="shared" si="3"/>
        <v>1.2E-2</v>
      </c>
      <c r="J10" s="12"/>
      <c r="K10">
        <f t="shared" si="5"/>
        <v>5.2604999999999996E-3</v>
      </c>
      <c r="L10">
        <f t="shared" si="6"/>
        <v>0</v>
      </c>
      <c r="M10">
        <f t="shared" si="7"/>
        <v>0.24</v>
      </c>
      <c r="N10">
        <f t="shared" si="8"/>
        <v>0</v>
      </c>
      <c r="O10">
        <f t="shared" si="9"/>
        <v>1.0999999999999999E-2</v>
      </c>
      <c r="P10">
        <f t="shared" si="10"/>
        <v>0</v>
      </c>
      <c r="R10" t="s">
        <v>2</v>
      </c>
      <c r="S10">
        <f>[1]!common_cn2o</f>
        <v>1.57</v>
      </c>
    </row>
    <row r="11" spans="1:20">
      <c r="F11" s="12" t="str">
        <f t="shared" ref="F11:F14" si="11">IF(ISBLANK(B11), "", VLOOKUP(C11, $R$20:$W$24,6, FALSE))</f>
        <v/>
      </c>
      <c r="G11" s="12" t="str">
        <f t="shared" ref="G11:G14" si="12">IF(ISBLANK(B11), "", VLOOKUP(C11, $R$20:$W$24,4, FALSE))</f>
        <v/>
      </c>
      <c r="H11" s="12" t="str">
        <f t="shared" ref="H11:H14" si="13">IF(ISBLANK(B11), "", VLOOKUP(C11, $R$20:$W$24,3, FALSE))</f>
        <v/>
      </c>
      <c r="I11" s="12" t="str">
        <f t="shared" ref="I11:I14" si="14">IF(ISBLANK(B11), "", VLOOKUP(C11, $R$20:$W$24,5, FALSE))</f>
        <v/>
      </c>
      <c r="J11" s="12"/>
      <c r="K11" t="str">
        <f t="shared" ref="K11:K14" si="15">IF(ISBLANK(B11),"", (D11*(E11/1000) *(1 - F11)*G11)+(D11*(E11/1000)*H11*I11))</f>
        <v/>
      </c>
      <c r="L11" t="str">
        <f t="shared" si="6"/>
        <v/>
      </c>
      <c r="O11" t="str">
        <f t="shared" si="9"/>
        <v/>
      </c>
      <c r="P11" t="str">
        <f t="shared" ref="P11:P14" si="16">IF(ISBLANK(B11), "", N11*O11*$S$10/1000)</f>
        <v/>
      </c>
      <c r="R11" s="2"/>
      <c r="S11" s="2"/>
    </row>
    <row r="12" spans="1:20">
      <c r="C12" s="2"/>
      <c r="E12" t="str">
        <f>IF(ISBLANK(B12), "", VLOOKUP(C12, $R$20:$W$24,2, FALSE))</f>
        <v/>
      </c>
      <c r="F12" s="12" t="str">
        <f t="shared" si="11"/>
        <v/>
      </c>
      <c r="G12" s="12" t="str">
        <f t="shared" si="12"/>
        <v/>
      </c>
      <c r="H12" s="12" t="str">
        <f t="shared" si="13"/>
        <v/>
      </c>
      <c r="I12" s="12" t="str">
        <f t="shared" si="14"/>
        <v/>
      </c>
      <c r="J12" s="12"/>
      <c r="K12" t="str">
        <f t="shared" si="15"/>
        <v/>
      </c>
      <c r="L12" t="str">
        <f t="shared" si="6"/>
        <v/>
      </c>
      <c r="O12" t="str">
        <f t="shared" si="9"/>
        <v/>
      </c>
      <c r="P12" t="str">
        <f t="shared" si="16"/>
        <v/>
      </c>
      <c r="R12" s="2" t="s">
        <v>3</v>
      </c>
      <c r="S12" s="2"/>
    </row>
    <row r="13" spans="1:20">
      <c r="C13" s="2"/>
      <c r="E13" t="str">
        <f>IF(ISBLANK(B13), "", VLOOKUP(C13, $R$20:$W$24,2, FALSE))</f>
        <v/>
      </c>
      <c r="F13" s="12" t="str">
        <f t="shared" si="11"/>
        <v/>
      </c>
      <c r="G13" s="12" t="str">
        <f t="shared" si="12"/>
        <v/>
      </c>
      <c r="H13" s="12" t="str">
        <f t="shared" si="13"/>
        <v/>
      </c>
      <c r="I13" s="12" t="str">
        <f t="shared" si="14"/>
        <v/>
      </c>
      <c r="J13" s="12"/>
      <c r="K13" t="str">
        <f t="shared" si="15"/>
        <v/>
      </c>
      <c r="L13" t="str">
        <f t="shared" si="6"/>
        <v/>
      </c>
      <c r="O13" t="str">
        <f t="shared" si="9"/>
        <v/>
      </c>
      <c r="P13" t="str">
        <f t="shared" si="16"/>
        <v/>
      </c>
      <c r="R13" t="s">
        <v>4</v>
      </c>
    </row>
    <row r="14" spans="1:20">
      <c r="C14" s="2"/>
      <c r="E14" t="str">
        <f>IF(ISBLANK(B14), "", VLOOKUP(C14, $R$20:$W$24,2, FALSE))</f>
        <v/>
      </c>
      <c r="F14" s="12" t="str">
        <f t="shared" si="11"/>
        <v/>
      </c>
      <c r="G14" s="12" t="str">
        <f t="shared" si="12"/>
        <v/>
      </c>
      <c r="H14" s="12" t="str">
        <f t="shared" si="13"/>
        <v/>
      </c>
      <c r="I14" s="12" t="str">
        <f t="shared" si="14"/>
        <v/>
      </c>
      <c r="J14" s="12"/>
      <c r="K14" t="str">
        <f t="shared" si="15"/>
        <v/>
      </c>
      <c r="L14" t="str">
        <f t="shared" si="6"/>
        <v/>
      </c>
      <c r="O14" t="str">
        <f t="shared" si="9"/>
        <v/>
      </c>
      <c r="P14" t="str">
        <f t="shared" si="16"/>
        <v/>
      </c>
      <c r="R14" s="2" t="s">
        <v>7</v>
      </c>
      <c r="S14" s="2">
        <v>6.0000000000000001E-3</v>
      </c>
      <c r="T14" s="8" t="s">
        <v>5</v>
      </c>
    </row>
    <row r="15" spans="1:20">
      <c r="C15" s="2"/>
      <c r="F15" s="12"/>
      <c r="G15" s="12"/>
      <c r="H15" s="12"/>
      <c r="I15" s="12"/>
      <c r="J15" s="12"/>
      <c r="R15" s="2" t="s">
        <v>8</v>
      </c>
      <c r="S15" s="2">
        <v>5.0000000000000001E-3</v>
      </c>
      <c r="T15" s="8" t="s">
        <v>6</v>
      </c>
    </row>
    <row r="16" spans="1:20">
      <c r="C16" s="2"/>
      <c r="F16" s="12"/>
      <c r="G16" s="12"/>
      <c r="H16" s="12"/>
      <c r="I16" s="12"/>
      <c r="J16" s="12"/>
      <c r="R16" s="2"/>
      <c r="S16" s="2"/>
      <c r="T16" s="8"/>
    </row>
    <row r="17" spans="3:26">
      <c r="F17" s="12"/>
      <c r="G17" s="12"/>
      <c r="H17" s="12"/>
      <c r="I17" s="12"/>
      <c r="J17" s="12"/>
    </row>
    <row r="18" spans="3:26">
      <c r="C18" s="2"/>
      <c r="F18" s="12"/>
      <c r="G18" s="12"/>
      <c r="H18" s="12"/>
      <c r="I18" s="12"/>
      <c r="J18" s="12"/>
      <c r="R18" s="2"/>
      <c r="S18" s="2"/>
    </row>
    <row r="19" spans="3:26" ht="17">
      <c r="C19" s="2"/>
      <c r="F19" s="12"/>
      <c r="G19" s="12"/>
      <c r="H19" s="12"/>
      <c r="I19" s="12"/>
      <c r="J19" s="12"/>
      <c r="R19" s="2" t="s">
        <v>18</v>
      </c>
      <c r="S19" s="2" t="s">
        <v>15</v>
      </c>
      <c r="T19" s="2" t="s">
        <v>19</v>
      </c>
      <c r="U19" s="2" t="s">
        <v>20</v>
      </c>
      <c r="V19" s="7" t="s">
        <v>21</v>
      </c>
      <c r="W19" s="2" t="s">
        <v>16</v>
      </c>
    </row>
    <row r="20" spans="3:26">
      <c r="C20" s="2"/>
      <c r="F20" s="12"/>
      <c r="G20" s="12"/>
      <c r="H20" s="12"/>
      <c r="I20" s="12"/>
      <c r="J20" s="12"/>
      <c r="R20" s="2" t="s">
        <v>25</v>
      </c>
      <c r="S20" s="2">
        <v>4.41</v>
      </c>
      <c r="T20" s="2">
        <v>0.4</v>
      </c>
      <c r="U20" s="2">
        <v>1.4999999999999999E-2</v>
      </c>
      <c r="V20" s="2">
        <v>1.2E-2</v>
      </c>
      <c r="W20" s="2">
        <v>0.8</v>
      </c>
    </row>
    <row r="21" spans="3:26">
      <c r="R21" s="2" t="s">
        <v>26</v>
      </c>
      <c r="S21" s="2">
        <v>8.34</v>
      </c>
      <c r="T21" s="2">
        <v>0.8</v>
      </c>
      <c r="U21" s="2">
        <v>2.5000000000000001E-2</v>
      </c>
      <c r="V21" s="2">
        <v>1.6E-2</v>
      </c>
      <c r="W21" s="2">
        <v>0.8</v>
      </c>
    </row>
    <row r="22" spans="3:26">
      <c r="R22" s="2" t="s">
        <v>27</v>
      </c>
      <c r="S22" s="2">
        <v>8.6199999999999992</v>
      </c>
      <c r="T22" s="2">
        <v>0.4</v>
      </c>
      <c r="U22" s="2">
        <v>2.7E-2</v>
      </c>
      <c r="V22" s="2">
        <v>1.9E-2</v>
      </c>
      <c r="W22" s="2">
        <v>0.8</v>
      </c>
      <c r="X22" s="10"/>
      <c r="Y22" s="10"/>
      <c r="Z22" s="10"/>
    </row>
    <row r="23" spans="3:26">
      <c r="C23" s="2"/>
      <c r="R23" s="2" t="s">
        <v>28</v>
      </c>
      <c r="S23" s="2">
        <v>5.62</v>
      </c>
      <c r="T23" s="2">
        <v>0.4</v>
      </c>
      <c r="U23" s="2">
        <v>2.7E-2</v>
      </c>
      <c r="V23" s="2">
        <v>2.1999999999999999E-2</v>
      </c>
      <c r="W23" s="2">
        <v>0.8</v>
      </c>
      <c r="X23" s="10"/>
      <c r="Y23" s="10"/>
      <c r="Z23" s="10"/>
    </row>
    <row r="24" spans="3:26">
      <c r="C24" s="2"/>
      <c r="R24" s="2" t="s">
        <v>29</v>
      </c>
      <c r="S24" s="2">
        <v>8.35</v>
      </c>
      <c r="T24" s="2">
        <v>0.8</v>
      </c>
      <c r="U24" s="2">
        <v>1.4999999999999999E-2</v>
      </c>
      <c r="V24" s="2">
        <v>1.2E-2</v>
      </c>
      <c r="W24" s="2">
        <v>0.8</v>
      </c>
      <c r="X24" s="10"/>
      <c r="Y24" s="10"/>
      <c r="Z24" s="10"/>
    </row>
    <row r="25" spans="3:26">
      <c r="K25" t="str">
        <f>IF(ISBLANK(D25), "", H25/D25)</f>
        <v/>
      </c>
      <c r="R25" s="2"/>
      <c r="S25" s="11"/>
      <c r="T25" s="10"/>
      <c r="U25" s="10"/>
      <c r="V25" s="10"/>
      <c r="W25" s="10"/>
      <c r="X25" s="10"/>
      <c r="Y25" s="10"/>
      <c r="Z25" s="10"/>
    </row>
    <row r="26" spans="3:26">
      <c r="K26" t="str">
        <f>IF(ISBLANK(D26), "", H26/D26)</f>
        <v/>
      </c>
      <c r="R26" s="2"/>
      <c r="S26" s="11"/>
      <c r="T26" s="10"/>
      <c r="U26" s="10"/>
      <c r="V26" s="10"/>
      <c r="W26" s="10"/>
      <c r="X26" s="10"/>
      <c r="Y26" s="10"/>
      <c r="Z26" s="10"/>
    </row>
    <row r="27" spans="3:26">
      <c r="K27" t="str">
        <f>IF(ISBLANK(D27), "", H27/D27)</f>
        <v/>
      </c>
      <c r="R27" s="2"/>
      <c r="S27" s="11"/>
      <c r="T27" s="10"/>
      <c r="U27" s="10"/>
      <c r="V27" s="10"/>
      <c r="W27" s="10"/>
      <c r="X27" s="10"/>
      <c r="Y27" s="10"/>
      <c r="Z27" s="10"/>
    </row>
    <row r="28" spans="3:26">
      <c r="K28" t="str">
        <f>IF(ISBLANK(D28), "", H28/D28)</f>
        <v/>
      </c>
      <c r="R28" s="2"/>
      <c r="S28" s="11"/>
      <c r="T28" s="10"/>
      <c r="U28" s="10"/>
      <c r="V28" s="10"/>
      <c r="W28" s="10"/>
      <c r="X28" s="10"/>
      <c r="Y28" s="10"/>
      <c r="Z28" s="10"/>
    </row>
    <row r="29" spans="3:26">
      <c r="R29" s="2"/>
      <c r="S29" s="11"/>
      <c r="T29" s="10"/>
      <c r="U29" s="10"/>
      <c r="V29" s="10"/>
      <c r="W29" s="10"/>
      <c r="X29" s="10"/>
      <c r="Y29" s="10"/>
      <c r="Z29" s="10"/>
    </row>
    <row r="30" spans="3:26">
      <c r="R30" s="2"/>
      <c r="S30" s="11"/>
      <c r="T30" s="10"/>
      <c r="U30" s="10"/>
      <c r="V30" s="10"/>
      <c r="W30" s="10"/>
      <c r="X30" s="10"/>
      <c r="Y30" s="10"/>
      <c r="Z30" s="10"/>
    </row>
    <row r="31" spans="3:26">
      <c r="R31" s="2"/>
      <c r="S31" s="11"/>
      <c r="T31" s="10"/>
      <c r="U31" s="10"/>
      <c r="V31" s="10"/>
      <c r="W31" s="10"/>
      <c r="X31" s="10"/>
      <c r="Y31" s="10"/>
      <c r="Z31" s="10"/>
    </row>
    <row r="32" spans="3:26">
      <c r="R32" s="2"/>
      <c r="S32" s="11"/>
      <c r="T32" s="10"/>
      <c r="U32" s="10"/>
      <c r="V32" s="10"/>
      <c r="W32" s="10"/>
      <c r="X32" s="10"/>
      <c r="Y32" s="10"/>
      <c r="Z32" s="10"/>
    </row>
    <row r="33" spans="18:26">
      <c r="R33" s="2"/>
      <c r="S33" s="11"/>
      <c r="T33" s="10"/>
      <c r="U33" s="10"/>
      <c r="V33" s="10"/>
      <c r="W33" s="10"/>
      <c r="X33" s="10"/>
      <c r="Y33" s="10"/>
      <c r="Z33" s="10"/>
    </row>
    <row r="34" spans="18:26">
      <c r="R34" s="2"/>
      <c r="S34" s="11"/>
      <c r="T34" s="10"/>
      <c r="U34" s="10"/>
      <c r="V34" s="10"/>
      <c r="W34" s="10"/>
      <c r="X34" s="10"/>
      <c r="Y34" s="10"/>
      <c r="Z34" s="10"/>
    </row>
    <row r="35" spans="18:26">
      <c r="R35" s="2"/>
      <c r="S35" s="11"/>
      <c r="T35" s="10"/>
      <c r="U35" s="10"/>
      <c r="V35" s="10"/>
      <c r="W35" s="10"/>
      <c r="X35" s="10"/>
      <c r="Y35" s="10"/>
      <c r="Z35" s="10"/>
    </row>
    <row r="36" spans="18:26">
      <c r="R36" s="2"/>
      <c r="S36" s="11"/>
      <c r="T36" s="10"/>
      <c r="U36" s="10"/>
      <c r="V36" s="10"/>
      <c r="W36" s="10"/>
      <c r="X36" s="10"/>
      <c r="Y36" s="10"/>
      <c r="Z36" s="10"/>
    </row>
    <row r="37" spans="18:26">
      <c r="R37" s="2"/>
      <c r="S37" s="11"/>
      <c r="T37" s="10"/>
      <c r="U37" s="10"/>
      <c r="V37" s="10"/>
      <c r="W37" s="10"/>
      <c r="X37" s="10"/>
      <c r="Y37" s="10"/>
      <c r="Z37" s="10"/>
    </row>
    <row r="38" spans="18:26">
      <c r="R38" s="2"/>
      <c r="S38" s="9"/>
      <c r="T38" s="9"/>
      <c r="U38" s="9"/>
      <c r="V38" s="9"/>
      <c r="W38" s="9"/>
      <c r="X38" s="9"/>
      <c r="Y38" s="9"/>
      <c r="Z38" s="9"/>
    </row>
    <row r="39" spans="18:26">
      <c r="R39" s="2"/>
      <c r="S39" s="9"/>
      <c r="T39" s="9"/>
      <c r="U39" s="9"/>
      <c r="V39" s="9"/>
      <c r="W39" s="9"/>
      <c r="X39" s="9"/>
      <c r="Y39" s="9"/>
      <c r="Z39" s="9"/>
    </row>
    <row r="40" spans="18:26">
      <c r="R40" s="2"/>
      <c r="S40" s="11"/>
      <c r="T40" s="10"/>
      <c r="U40" s="10"/>
      <c r="V40" s="10"/>
      <c r="W40" s="10"/>
      <c r="X40" s="10"/>
      <c r="Y40" s="10"/>
      <c r="Z40" s="10"/>
    </row>
    <row r="41" spans="18:26">
      <c r="R41" s="2"/>
      <c r="S41" s="2"/>
    </row>
    <row r="48" spans="18:26">
      <c r="R48" s="2"/>
      <c r="S48" s="2"/>
    </row>
    <row r="49" spans="18:19">
      <c r="R49" s="2"/>
      <c r="S49" s="2"/>
    </row>
    <row r="50" spans="18:19">
      <c r="R50" s="2"/>
      <c r="S50" s="2"/>
    </row>
    <row r="51" spans="18:19">
      <c r="R51" s="2"/>
      <c r="S51" s="2"/>
    </row>
    <row r="52" spans="18:19">
      <c r="R52" s="2"/>
      <c r="S52" s="2"/>
    </row>
    <row r="53" spans="18:19">
      <c r="R53" s="2"/>
      <c r="S53" s="2"/>
    </row>
    <row r="54" spans="18:19">
      <c r="R54" s="2"/>
      <c r="S54" s="2"/>
    </row>
    <row r="55" spans="18:19">
      <c r="R55" s="2"/>
      <c r="S55" s="2"/>
    </row>
    <row r="56" spans="18:19">
      <c r="R56" s="2"/>
      <c r="S56" s="2"/>
    </row>
    <row r="57" spans="18:19">
      <c r="R57" s="2"/>
      <c r="S57" s="2"/>
    </row>
    <row r="58" spans="18:19">
      <c r="R58" s="2"/>
      <c r="S58" s="2"/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AD58"/>
  <sheetViews>
    <sheetView tabSelected="1" workbookViewId="0">
      <selection activeCell="G3" sqref="G3"/>
    </sheetView>
  </sheetViews>
  <sheetFormatPr baseColWidth="10" defaultRowHeight="16"/>
  <cols>
    <col min="1" max="1" width="12.5" bestFit="1" customWidth="1"/>
  </cols>
  <sheetData>
    <row r="1" spans="1:24" ht="17">
      <c r="B1" s="3" t="s">
        <v>0</v>
      </c>
      <c r="T1" s="1" t="s">
        <v>30</v>
      </c>
    </row>
    <row r="2" spans="1:24">
      <c r="B2" s="3"/>
      <c r="O2" s="1"/>
      <c r="P2" s="1"/>
      <c r="Q2" s="1"/>
      <c r="R2" s="1" t="s">
        <v>33</v>
      </c>
      <c r="T2" s="1"/>
    </row>
    <row r="3" spans="1:24" ht="68">
      <c r="B3" s="3"/>
      <c r="E3" s="7" t="s">
        <v>39</v>
      </c>
      <c r="F3" s="7" t="s">
        <v>40</v>
      </c>
      <c r="G3" s="7" t="s">
        <v>101</v>
      </c>
      <c r="H3" s="7" t="s">
        <v>41</v>
      </c>
      <c r="I3" s="7" t="s">
        <v>42</v>
      </c>
      <c r="J3" s="7" t="s">
        <v>43</v>
      </c>
      <c r="K3" s="7" t="s">
        <v>44</v>
      </c>
      <c r="L3" s="7"/>
      <c r="M3" s="7"/>
      <c r="N3" s="7"/>
      <c r="O3" s="1" t="s">
        <v>45</v>
      </c>
      <c r="P3" s="1"/>
      <c r="Q3" s="1"/>
      <c r="R3" s="1"/>
      <c r="T3" s="1"/>
    </row>
    <row r="4" spans="1:24" ht="34">
      <c r="A4" s="4" t="s">
        <v>34</v>
      </c>
      <c r="B4" s="3" t="s">
        <v>9</v>
      </c>
      <c r="C4" s="4" t="s">
        <v>46</v>
      </c>
      <c r="D4" s="4" t="s">
        <v>47</v>
      </c>
      <c r="E4" s="4" t="s">
        <v>48</v>
      </c>
      <c r="F4" t="s">
        <v>49</v>
      </c>
      <c r="G4" s="4" t="s">
        <v>50</v>
      </c>
      <c r="H4" t="s">
        <v>51</v>
      </c>
      <c r="I4" t="s">
        <v>52</v>
      </c>
      <c r="J4" t="s">
        <v>53</v>
      </c>
      <c r="K4" t="s">
        <v>54</v>
      </c>
      <c r="M4" t="s">
        <v>55</v>
      </c>
      <c r="O4" t="s">
        <v>56</v>
      </c>
      <c r="P4" t="s">
        <v>37</v>
      </c>
      <c r="Q4" t="s">
        <v>38</v>
      </c>
      <c r="R4" t="s">
        <v>32</v>
      </c>
      <c r="S4" t="s">
        <v>31</v>
      </c>
      <c r="T4" s="5" t="s">
        <v>57</v>
      </c>
      <c r="V4" s="6" t="s">
        <v>1</v>
      </c>
    </row>
    <row r="5" spans="1:24">
      <c r="A5" t="s">
        <v>35</v>
      </c>
      <c r="B5" s="2" t="s">
        <v>7</v>
      </c>
      <c r="C5" t="s">
        <v>58</v>
      </c>
      <c r="D5" t="s">
        <v>59</v>
      </c>
      <c r="E5" s="12">
        <v>0.2</v>
      </c>
      <c r="F5" s="12" cm="1">
        <f t="array" ref="F5">_xlfn.IFS(ISBLANK(B5), "",C5="Sugar Cane", VLOOKUP(D5, $W$48:$X$50, 2, FALSE),_xlfn.IFNA(MATCH(C5, $V$43:$V$47, 0), FALSE), VLOOKUP(C5, $V$43:$X$47, 3, FALSE), TRUE, VLOOKUP(D5, $W$51:$X$53, 2, FALSE))</f>
        <v>0</v>
      </c>
      <c r="G5" s="12">
        <v>10000</v>
      </c>
      <c r="H5" s="12">
        <f t="shared" ref="H5:H14" si="0">IF(ISBLANK($B5), "", VLOOKUP($C5, $V$22:$AD$39, 2, FALSE))</f>
        <v>0.25</v>
      </c>
      <c r="I5" s="12">
        <f t="shared" ref="I5:I14" si="1">IF(ISBLANK($B5), "", VLOOKUP($C5, $V$22:$AD$39, 3, FALSE))</f>
        <v>0.45</v>
      </c>
      <c r="J5" s="12">
        <f t="shared" ref="J5:J14" si="2">IF(ISBLANK($B5), "", VLOOKUP($C5, $V$22:$AD$39, 4, FALSE))</f>
        <v>0.2</v>
      </c>
      <c r="K5" s="12">
        <f t="shared" ref="K5:K14" si="3">IF(ISBLANK($B5), "", VLOOKUP($C5, $V$22:$AD$39, 6, FALSE))</f>
        <v>5.0000000000000001E-3</v>
      </c>
      <c r="L5" s="12">
        <f>IF(K5="n/a",0,K5)</f>
        <v>5.0000000000000001E-3</v>
      </c>
      <c r="M5" s="12">
        <f t="shared" ref="M5:M14" si="4">IF(ISBLANK($B5), "", VLOOKUP($C5, $V$22:$AD$39, 7, FALSE))</f>
        <v>7.0000000000000001E-3</v>
      </c>
      <c r="N5" s="12">
        <f>IF(M5="n/a",0,M5)</f>
        <v>7.0000000000000001E-3</v>
      </c>
      <c r="O5">
        <f t="shared" ref="O5:O14" si="5">IF(ISBLANK(B5),"", (G5*H5*(1 - E5 - F5) * J5*L5)+(G5*H5*I5*J5*N5))</f>
        <v>3.5750000000000002</v>
      </c>
      <c r="P5">
        <f t="shared" ref="P5:P14" si="6">IF(ISBLANK(A5), "", IF(A5="yes", 1, 0))</f>
        <v>1</v>
      </c>
      <c r="Q5">
        <f>$W$9</f>
        <v>0.24</v>
      </c>
      <c r="R5">
        <f>O5*P5*Q5</f>
        <v>0.85799999999999998</v>
      </c>
      <c r="S5">
        <f t="shared" ref="S5:S14" si="7">IF(ISBLANK(B5),"",$W$8)</f>
        <v>1.0999999999999999E-2</v>
      </c>
      <c r="T5">
        <f t="shared" ref="T5:T14" si="8">IF(ISBLANK(B5), "", R5*S5*$W$10/1000)</f>
        <v>1.4817659999999998E-5</v>
      </c>
    </row>
    <row r="6" spans="1:24">
      <c r="A6" t="s">
        <v>36</v>
      </c>
      <c r="B6" s="2" t="s">
        <v>8</v>
      </c>
      <c r="C6" t="s">
        <v>58</v>
      </c>
      <c r="D6" t="s">
        <v>59</v>
      </c>
      <c r="E6">
        <v>0.2</v>
      </c>
      <c r="F6" cm="1">
        <f t="array" ref="F6">_xlfn.IFS(ISBLANK(B6), "",C6="Sugar Cane", VLOOKUP(D6, $W$48:$X$50, 2, FALSE),_xlfn.IFNA(MATCH(C6, $V$43:$V$47, 0), FALSE), VLOOKUP(C6, $V$43:$X$47, 3, FALSE), TRUE, VLOOKUP(D6, $W$51:$X$53, 2, FALSE))</f>
        <v>0</v>
      </c>
      <c r="G6" s="12">
        <v>11000</v>
      </c>
      <c r="H6" s="12">
        <f t="shared" si="0"/>
        <v>0.25</v>
      </c>
      <c r="I6" s="12">
        <f t="shared" si="1"/>
        <v>0.45</v>
      </c>
      <c r="J6" s="12">
        <f t="shared" si="2"/>
        <v>0.2</v>
      </c>
      <c r="K6" s="12">
        <f t="shared" si="3"/>
        <v>5.0000000000000001E-3</v>
      </c>
      <c r="L6" s="12">
        <f t="shared" ref="L6:L14" si="9">IF(K6="n/a",0,K6)</f>
        <v>5.0000000000000001E-3</v>
      </c>
      <c r="M6" s="12">
        <f t="shared" si="4"/>
        <v>7.0000000000000001E-3</v>
      </c>
      <c r="N6">
        <f t="shared" ref="N6:N14" si="10">IF(M6="n/a",0,M6)</f>
        <v>7.0000000000000001E-3</v>
      </c>
      <c r="O6">
        <f t="shared" si="5"/>
        <v>3.9325000000000001</v>
      </c>
      <c r="P6">
        <f t="shared" si="6"/>
        <v>0</v>
      </c>
      <c r="Q6">
        <f t="shared" ref="Q6:Q14" si="11">$W$9</f>
        <v>0.24</v>
      </c>
      <c r="R6">
        <f t="shared" ref="R6:R14" si="12">O6*P6*Q6</f>
        <v>0</v>
      </c>
      <c r="S6">
        <f t="shared" si="7"/>
        <v>1.0999999999999999E-2</v>
      </c>
      <c r="T6">
        <f t="shared" si="8"/>
        <v>0</v>
      </c>
    </row>
    <row r="7" spans="1:24">
      <c r="A7" t="s">
        <v>35</v>
      </c>
      <c r="B7" s="2" t="s">
        <v>7</v>
      </c>
      <c r="C7" s="2" t="s">
        <v>60</v>
      </c>
      <c r="D7" s="2" t="s">
        <v>59</v>
      </c>
      <c r="E7">
        <v>0.2</v>
      </c>
      <c r="F7" cm="1">
        <f t="array" ref="F7">_xlfn.IFS(ISBLANK(B7), "",C7="Sugar Cane", VLOOKUP(D7, $W$48:$X$50, 2, FALSE),_xlfn.IFNA(MATCH(C7, $V$43:$V$47, 0), FALSE), VLOOKUP(C7, $V$43:$X$47, 3, FALSE), TRUE, VLOOKUP(D7, $W$51:$X$53, 2, FALSE))</f>
        <v>0.06</v>
      </c>
      <c r="G7" s="12">
        <v>12000</v>
      </c>
      <c r="H7" s="12">
        <f t="shared" si="0"/>
        <v>1.31</v>
      </c>
      <c r="I7" s="12">
        <f t="shared" si="1"/>
        <v>0.16</v>
      </c>
      <c r="J7" s="12">
        <f t="shared" si="2"/>
        <v>0.8</v>
      </c>
      <c r="K7" s="12">
        <f t="shared" si="3"/>
        <v>7.0000000000000001E-3</v>
      </c>
      <c r="L7" s="12">
        <f t="shared" si="9"/>
        <v>7.0000000000000001E-3</v>
      </c>
      <c r="M7" s="12">
        <f t="shared" si="4"/>
        <v>0.01</v>
      </c>
      <c r="N7">
        <f t="shared" si="10"/>
        <v>0.01</v>
      </c>
      <c r="O7">
        <f t="shared" si="5"/>
        <v>85.265280000000004</v>
      </c>
      <c r="P7">
        <f t="shared" si="6"/>
        <v>1</v>
      </c>
      <c r="Q7">
        <f t="shared" si="11"/>
        <v>0.24</v>
      </c>
      <c r="R7">
        <f t="shared" si="12"/>
        <v>20.4636672</v>
      </c>
      <c r="S7">
        <f t="shared" si="7"/>
        <v>1.0999999999999999E-2</v>
      </c>
      <c r="T7">
        <f t="shared" si="8"/>
        <v>3.5340753254399997E-4</v>
      </c>
    </row>
    <row r="8" spans="1:24">
      <c r="A8" t="s">
        <v>36</v>
      </c>
      <c r="B8" s="2" t="s">
        <v>7</v>
      </c>
      <c r="C8" s="2" t="s">
        <v>60</v>
      </c>
      <c r="D8" s="2" t="s">
        <v>61</v>
      </c>
      <c r="E8">
        <v>0.2</v>
      </c>
      <c r="F8" cm="1">
        <f t="array" ref="F8">_xlfn.IFS(ISBLANK(B8), "",C8="Sugar Cane", VLOOKUP(D8, $W$48:$X$50, 2, FALSE),_xlfn.IFNA(MATCH(C8, $V$43:$V$47, 0), FALSE), VLOOKUP(C8, $V$43:$X$47, 3, FALSE), TRUE, VLOOKUP(D8, $W$51:$X$53, 2, FALSE))</f>
        <v>0.06</v>
      </c>
      <c r="G8" s="12">
        <v>13000</v>
      </c>
      <c r="H8" s="12">
        <f t="shared" si="0"/>
        <v>1.31</v>
      </c>
      <c r="I8" s="12">
        <f t="shared" si="1"/>
        <v>0.16</v>
      </c>
      <c r="J8" s="12">
        <f t="shared" si="2"/>
        <v>0.8</v>
      </c>
      <c r="K8" s="12">
        <f t="shared" si="3"/>
        <v>7.0000000000000001E-3</v>
      </c>
      <c r="L8" s="12">
        <f t="shared" si="9"/>
        <v>7.0000000000000001E-3</v>
      </c>
      <c r="M8" s="12">
        <f t="shared" si="4"/>
        <v>0.01</v>
      </c>
      <c r="N8">
        <f t="shared" si="10"/>
        <v>0.01</v>
      </c>
      <c r="O8">
        <f t="shared" si="5"/>
        <v>92.37072000000002</v>
      </c>
      <c r="P8">
        <f t="shared" si="6"/>
        <v>0</v>
      </c>
      <c r="Q8">
        <f t="shared" si="11"/>
        <v>0.24</v>
      </c>
      <c r="R8">
        <f t="shared" si="12"/>
        <v>0</v>
      </c>
      <c r="S8">
        <f t="shared" si="7"/>
        <v>1.0999999999999999E-2</v>
      </c>
      <c r="T8">
        <f t="shared" si="8"/>
        <v>0</v>
      </c>
      <c r="V8" s="2" t="s">
        <v>31</v>
      </c>
      <c r="W8" s="2">
        <v>1.0999999999999999E-2</v>
      </c>
    </row>
    <row r="9" spans="1:24">
      <c r="A9" t="s">
        <v>35</v>
      </c>
      <c r="B9" s="2" t="s">
        <v>7</v>
      </c>
      <c r="C9" s="2" t="s">
        <v>62</v>
      </c>
      <c r="D9" s="2" t="s">
        <v>63</v>
      </c>
      <c r="E9">
        <v>0.2</v>
      </c>
      <c r="F9" cm="1">
        <f t="array" ref="F9">_xlfn.IFS(ISBLANK(B9), "",C9="Sugar Cane", VLOOKUP(D9, $W$48:$X$50, 2, FALSE),_xlfn.IFNA(MATCH(C9, $V$43:$V$47, 0), FALSE), VLOOKUP(C9, $V$43:$X$47, 3, FALSE), TRUE, VLOOKUP(D9, $W$51:$X$53, 2, FALSE))</f>
        <v>1</v>
      </c>
      <c r="G9" s="12">
        <v>14000</v>
      </c>
      <c r="H9" s="12">
        <f t="shared" si="0"/>
        <v>0.34</v>
      </c>
      <c r="I9" s="12">
        <f t="shared" si="1"/>
        <v>0.43</v>
      </c>
      <c r="J9" s="12">
        <f t="shared" si="2"/>
        <v>0.25</v>
      </c>
      <c r="K9" s="12">
        <f t="shared" si="3"/>
        <v>0.02</v>
      </c>
      <c r="L9" s="12">
        <f t="shared" si="9"/>
        <v>0.02</v>
      </c>
      <c r="M9" s="12">
        <f t="shared" si="4"/>
        <v>0.01</v>
      </c>
      <c r="N9">
        <f t="shared" si="10"/>
        <v>0.01</v>
      </c>
      <c r="O9">
        <f t="shared" si="5"/>
        <v>0.35700000000000109</v>
      </c>
      <c r="P9">
        <f t="shared" si="6"/>
        <v>1</v>
      </c>
      <c r="Q9">
        <f t="shared" si="11"/>
        <v>0.24</v>
      </c>
      <c r="R9">
        <f t="shared" si="12"/>
        <v>8.5680000000000256E-2</v>
      </c>
      <c r="S9">
        <f t="shared" si="7"/>
        <v>1.0999999999999999E-2</v>
      </c>
      <c r="T9">
        <f t="shared" si="8"/>
        <v>1.4796936000000045E-6</v>
      </c>
      <c r="V9" s="2" t="s">
        <v>38</v>
      </c>
      <c r="W9" s="2">
        <v>0.24</v>
      </c>
    </row>
    <row r="10" spans="1:24">
      <c r="A10" t="s">
        <v>36</v>
      </c>
      <c r="B10" s="2" t="s">
        <v>7</v>
      </c>
      <c r="C10" s="2" t="s">
        <v>62</v>
      </c>
      <c r="D10" s="2" t="s">
        <v>64</v>
      </c>
      <c r="E10">
        <v>0.3</v>
      </c>
      <c r="F10" cm="1">
        <f t="array" ref="F10">_xlfn.IFS(ISBLANK(B10), "",C10="Sugar Cane", VLOOKUP(D10, $W$48:$X$50, 2, FALSE),_xlfn.IFNA(MATCH(C10, $V$43:$V$47, 0), FALSE), VLOOKUP(C10, $V$43:$X$47, 3, FALSE), TRUE, VLOOKUP(D10, $W$51:$X$53, 2, FALSE))</f>
        <v>1</v>
      </c>
      <c r="G10" s="12">
        <v>15000</v>
      </c>
      <c r="H10" s="12">
        <f t="shared" si="0"/>
        <v>0.34</v>
      </c>
      <c r="I10" s="12">
        <f t="shared" si="1"/>
        <v>0.43</v>
      </c>
      <c r="J10" s="12">
        <f t="shared" si="2"/>
        <v>0.25</v>
      </c>
      <c r="K10" s="12">
        <f t="shared" si="3"/>
        <v>0.02</v>
      </c>
      <c r="L10" s="12">
        <f t="shared" si="9"/>
        <v>0.02</v>
      </c>
      <c r="M10" s="12">
        <f t="shared" si="4"/>
        <v>0.01</v>
      </c>
      <c r="N10">
        <f t="shared" si="10"/>
        <v>0.01</v>
      </c>
      <c r="O10">
        <f t="shared" si="5"/>
        <v>-2.1675000000000013</v>
      </c>
      <c r="P10">
        <f t="shared" si="6"/>
        <v>0</v>
      </c>
      <c r="Q10">
        <f t="shared" si="11"/>
        <v>0.24</v>
      </c>
      <c r="R10">
        <f t="shared" si="12"/>
        <v>0</v>
      </c>
      <c r="S10">
        <f t="shared" si="7"/>
        <v>1.0999999999999999E-2</v>
      </c>
      <c r="T10">
        <f t="shared" si="8"/>
        <v>0</v>
      </c>
      <c r="V10" t="s">
        <v>2</v>
      </c>
      <c r="W10">
        <f>[1]!common_cn2o</f>
        <v>1.57</v>
      </c>
    </row>
    <row r="11" spans="1:24">
      <c r="A11" t="s">
        <v>35</v>
      </c>
      <c r="B11" s="2" t="s">
        <v>7</v>
      </c>
      <c r="C11" s="2" t="s">
        <v>65</v>
      </c>
      <c r="D11" s="2" t="s">
        <v>66</v>
      </c>
      <c r="E11">
        <v>0.3</v>
      </c>
      <c r="F11" cm="1">
        <f t="array" ref="F11">_xlfn.IFS(ISBLANK(B11), "",C11="Sugar Cane", VLOOKUP(D11, $W$48:$X$50, 2, FALSE),_xlfn.IFNA(MATCH(C11, $V$43:$V$47, 0), FALSE), VLOOKUP(C11, $V$43:$X$47, 3, FALSE), TRUE, VLOOKUP(D11, $W$51:$X$53, 2, FALSE))</f>
        <v>0</v>
      </c>
      <c r="G11" s="12">
        <v>16000</v>
      </c>
      <c r="H11" s="12">
        <f t="shared" si="0"/>
        <v>1.9</v>
      </c>
      <c r="I11" s="12">
        <f t="shared" si="1"/>
        <v>0.3</v>
      </c>
      <c r="J11" s="12">
        <f t="shared" si="2"/>
        <v>0.9</v>
      </c>
      <c r="K11" s="12">
        <f t="shared" si="3"/>
        <v>0.01</v>
      </c>
      <c r="L11" s="12">
        <f t="shared" si="9"/>
        <v>0.01</v>
      </c>
      <c r="M11" s="12">
        <f t="shared" si="4"/>
        <v>0.01</v>
      </c>
      <c r="N11">
        <f t="shared" si="10"/>
        <v>0.01</v>
      </c>
      <c r="O11">
        <f t="shared" si="5"/>
        <v>273.60000000000002</v>
      </c>
      <c r="P11">
        <f t="shared" si="6"/>
        <v>1</v>
      </c>
      <c r="Q11">
        <f t="shared" si="11"/>
        <v>0.24</v>
      </c>
      <c r="R11">
        <f t="shared" si="12"/>
        <v>65.664000000000001</v>
      </c>
      <c r="S11">
        <f t="shared" si="7"/>
        <v>1.0999999999999999E-2</v>
      </c>
      <c r="T11">
        <f t="shared" si="8"/>
        <v>1.1340172799999999E-3</v>
      </c>
      <c r="V11" s="2"/>
      <c r="W11" s="2"/>
    </row>
    <row r="12" spans="1:24">
      <c r="A12" t="s">
        <v>36</v>
      </c>
      <c r="B12" s="2" t="s">
        <v>7</v>
      </c>
      <c r="C12" s="2" t="s">
        <v>67</v>
      </c>
      <c r="D12" s="2" t="s">
        <v>61</v>
      </c>
      <c r="E12">
        <v>0.3</v>
      </c>
      <c r="F12" cm="1">
        <f t="array" ref="F12">_xlfn.IFS(ISBLANK(B12), "",C12="Sugar Cane", VLOOKUP(D12, $W$48:$X$50, 2, FALSE),_xlfn.IFNA(MATCH(C12, $V$43:$V$47, 0), FALSE), VLOOKUP(C12, $V$43:$X$47, 3, FALSE), TRUE, VLOOKUP(D12, $W$51:$X$53, 2, FALSE))</f>
        <v>0</v>
      </c>
      <c r="G12" s="12">
        <v>17000</v>
      </c>
      <c r="H12" s="12">
        <f t="shared" si="0"/>
        <v>1.5</v>
      </c>
      <c r="I12" s="12">
        <f t="shared" si="1"/>
        <v>0.28999999999999998</v>
      </c>
      <c r="J12" s="12">
        <f t="shared" si="2"/>
        <v>0.88</v>
      </c>
      <c r="K12" s="12">
        <f t="shared" si="3"/>
        <v>6.0000000000000001E-3</v>
      </c>
      <c r="L12" s="12">
        <f t="shared" si="9"/>
        <v>6.0000000000000001E-3</v>
      </c>
      <c r="M12" s="12" t="str">
        <f t="shared" si="4"/>
        <v>n/a</v>
      </c>
      <c r="N12">
        <f t="shared" si="10"/>
        <v>0</v>
      </c>
      <c r="O12">
        <f t="shared" si="5"/>
        <v>94.248000000000005</v>
      </c>
      <c r="P12">
        <f t="shared" si="6"/>
        <v>0</v>
      </c>
      <c r="Q12">
        <f t="shared" si="11"/>
        <v>0.24</v>
      </c>
      <c r="R12">
        <f t="shared" si="12"/>
        <v>0</v>
      </c>
      <c r="S12">
        <f t="shared" si="7"/>
        <v>1.0999999999999999E-2</v>
      </c>
      <c r="T12">
        <f t="shared" si="8"/>
        <v>0</v>
      </c>
      <c r="V12" s="2" t="s">
        <v>3</v>
      </c>
      <c r="W12" s="2"/>
    </row>
    <row r="13" spans="1:24">
      <c r="A13" t="s">
        <v>35</v>
      </c>
      <c r="B13" s="2" t="s">
        <v>7</v>
      </c>
      <c r="C13" s="2" t="s">
        <v>68</v>
      </c>
      <c r="D13" s="2" t="s">
        <v>63</v>
      </c>
      <c r="E13">
        <v>0.3</v>
      </c>
      <c r="F13" cm="1">
        <f t="array" ref="F13">_xlfn.IFS(ISBLANK(B13), "",C13="Sugar Cane", VLOOKUP(D13, $W$48:$X$50, 2, FALSE),_xlfn.IFNA(MATCH(C13, $V$43:$V$47, 0), FALSE), VLOOKUP(C13, $V$43:$X$47, 3, FALSE), TRUE, VLOOKUP(D13, $W$51:$X$53, 2, FALSE))</f>
        <v>0.8</v>
      </c>
      <c r="G13" s="12">
        <v>18000</v>
      </c>
      <c r="H13" s="12">
        <f t="shared" si="0"/>
        <v>1.34</v>
      </c>
      <c r="I13" s="12">
        <f t="shared" si="1"/>
        <v>0.37</v>
      </c>
      <c r="J13" s="12">
        <f t="shared" si="2"/>
        <v>0.88</v>
      </c>
      <c r="K13" s="12">
        <f t="shared" si="3"/>
        <v>6.0000000000000001E-3</v>
      </c>
      <c r="L13" s="12">
        <f t="shared" si="9"/>
        <v>6.0000000000000001E-3</v>
      </c>
      <c r="M13" s="12">
        <f t="shared" si="4"/>
        <v>0.01</v>
      </c>
      <c r="N13">
        <f t="shared" si="10"/>
        <v>0.01</v>
      </c>
      <c r="O13">
        <f t="shared" si="5"/>
        <v>65.799359999999979</v>
      </c>
      <c r="P13">
        <f t="shared" si="6"/>
        <v>1</v>
      </c>
      <c r="Q13">
        <f t="shared" si="11"/>
        <v>0.24</v>
      </c>
      <c r="R13">
        <f t="shared" si="12"/>
        <v>15.791846399999994</v>
      </c>
      <c r="S13">
        <f t="shared" si="7"/>
        <v>1.0999999999999999E-2</v>
      </c>
      <c r="T13">
        <f t="shared" si="8"/>
        <v>2.7272518732799988E-4</v>
      </c>
      <c r="V13" t="s">
        <v>4</v>
      </c>
    </row>
    <row r="14" spans="1:24">
      <c r="A14" t="s">
        <v>36</v>
      </c>
      <c r="B14" s="2" t="s">
        <v>7</v>
      </c>
      <c r="C14" s="2" t="s">
        <v>69</v>
      </c>
      <c r="D14" s="13" t="s">
        <v>61</v>
      </c>
      <c r="E14">
        <v>0.3</v>
      </c>
      <c r="F14" cm="1">
        <f t="array" ref="F14">_xlfn.IFS(ISBLANK(B14), "",C14="Sugar Cane", VLOOKUP(D14, $W$48:$X$50, 2, FALSE),_xlfn.IFNA(MATCH(C14, $V$43:$V$47, 0), FALSE), VLOOKUP(C14, $V$43:$X$47, 3, FALSE), TRUE, VLOOKUP(D14, $W$51:$X$53, 2, FALSE))</f>
        <v>7.0000000000000007E-2</v>
      </c>
      <c r="G14" s="12">
        <v>19000</v>
      </c>
      <c r="H14" s="12">
        <f t="shared" si="0"/>
        <v>1.37</v>
      </c>
      <c r="I14" s="12">
        <f t="shared" si="1"/>
        <v>0.51</v>
      </c>
      <c r="J14" s="12">
        <f t="shared" si="2"/>
        <v>0.87</v>
      </c>
      <c r="K14" s="12">
        <f t="shared" si="3"/>
        <v>8.9999999999999993E-3</v>
      </c>
      <c r="L14" s="12">
        <f t="shared" si="9"/>
        <v>8.9999999999999993E-3</v>
      </c>
      <c r="M14" s="12">
        <f t="shared" si="4"/>
        <v>0.01</v>
      </c>
      <c r="N14">
        <f t="shared" si="10"/>
        <v>0.01</v>
      </c>
      <c r="O14">
        <f t="shared" si="5"/>
        <v>243.89849700000002</v>
      </c>
      <c r="P14">
        <f t="shared" si="6"/>
        <v>0</v>
      </c>
      <c r="Q14">
        <f t="shared" si="11"/>
        <v>0.24</v>
      </c>
      <c r="R14">
        <f t="shared" si="12"/>
        <v>0</v>
      </c>
      <c r="S14">
        <f t="shared" si="7"/>
        <v>1.0999999999999999E-2</v>
      </c>
      <c r="T14">
        <f t="shared" si="8"/>
        <v>0</v>
      </c>
      <c r="V14" s="2" t="s">
        <v>7</v>
      </c>
      <c r="W14" s="2">
        <v>6.0000000000000001E-3</v>
      </c>
      <c r="X14" s="8" t="s">
        <v>5</v>
      </c>
    </row>
    <row r="15" spans="1:24">
      <c r="B15" s="2"/>
      <c r="C15" s="2"/>
      <c r="D15" s="13"/>
      <c r="H15" s="12"/>
      <c r="I15" s="12"/>
      <c r="J15" s="12"/>
      <c r="K15" s="12"/>
      <c r="L15" s="12"/>
      <c r="M15" s="12"/>
      <c r="V15" s="2" t="s">
        <v>8</v>
      </c>
      <c r="W15" s="2">
        <v>5.0000000000000001E-3</v>
      </c>
      <c r="X15" s="8" t="s">
        <v>6</v>
      </c>
    </row>
    <row r="16" spans="1:24">
      <c r="B16" s="2"/>
      <c r="C16" s="2"/>
      <c r="D16" s="13"/>
      <c r="H16" s="12"/>
      <c r="I16" s="12"/>
      <c r="J16" s="12"/>
      <c r="K16" s="12"/>
      <c r="L16" s="12"/>
      <c r="M16" s="12"/>
      <c r="V16" s="2"/>
      <c r="W16" s="2"/>
      <c r="X16" s="8"/>
    </row>
    <row r="17" spans="2:30">
      <c r="B17" s="2"/>
      <c r="C17" s="2"/>
      <c r="D17" s="13"/>
      <c r="H17" s="12"/>
      <c r="I17" s="12"/>
      <c r="J17" s="12"/>
      <c r="K17" s="12"/>
      <c r="L17" s="12"/>
      <c r="M17" s="12"/>
    </row>
    <row r="18" spans="2:30">
      <c r="B18" s="2"/>
      <c r="C18" s="2"/>
      <c r="D18" s="13"/>
      <c r="H18" s="12"/>
      <c r="I18" s="12"/>
      <c r="J18" s="12"/>
      <c r="K18" s="12"/>
      <c r="L18" s="12"/>
      <c r="M18" s="12"/>
      <c r="V18" s="2"/>
      <c r="W18" s="2"/>
    </row>
    <row r="19" spans="2:30">
      <c r="B19" s="2"/>
      <c r="C19" s="2"/>
      <c r="D19" s="13"/>
      <c r="H19" s="12"/>
      <c r="I19" s="12"/>
      <c r="J19" s="12"/>
      <c r="K19" s="12"/>
      <c r="L19" s="12"/>
      <c r="M19" s="12"/>
      <c r="V19" s="2"/>
      <c r="W19" s="2"/>
    </row>
    <row r="20" spans="2:30">
      <c r="B20" s="2"/>
      <c r="C20" s="2"/>
      <c r="D20" s="13"/>
      <c r="H20" s="12"/>
      <c r="I20" s="12"/>
      <c r="J20" s="12"/>
      <c r="K20" s="12"/>
      <c r="L20" s="12"/>
      <c r="M20" s="12"/>
      <c r="V20" s="2" t="s">
        <v>72</v>
      </c>
      <c r="W20" s="2"/>
      <c r="Z20" s="7"/>
    </row>
    <row r="21" spans="2:30" ht="17">
      <c r="B21" s="3"/>
      <c r="V21" s="2"/>
      <c r="W21" s="2" t="s">
        <v>51</v>
      </c>
      <c r="X21" t="s">
        <v>52</v>
      </c>
      <c r="Y21" t="s">
        <v>53</v>
      </c>
      <c r="Z21" s="7" t="s">
        <v>91</v>
      </c>
      <c r="AA21" t="s">
        <v>54</v>
      </c>
      <c r="AB21" t="s">
        <v>92</v>
      </c>
      <c r="AC21" t="s">
        <v>93</v>
      </c>
      <c r="AD21" t="s">
        <v>94</v>
      </c>
    </row>
    <row r="22" spans="2:30">
      <c r="B22" s="3"/>
      <c r="V22" s="2" t="s">
        <v>73</v>
      </c>
      <c r="W22" s="11">
        <v>1.5</v>
      </c>
      <c r="X22" s="10">
        <v>0.28999999999999998</v>
      </c>
      <c r="Y22" s="10">
        <v>0.88</v>
      </c>
      <c r="Z22" s="10">
        <v>0.4</v>
      </c>
      <c r="AA22" s="10">
        <v>6.0000000000000001E-3</v>
      </c>
      <c r="AB22" s="10">
        <v>0.01</v>
      </c>
      <c r="AC22" s="10">
        <v>0.5</v>
      </c>
      <c r="AD22" s="10">
        <v>0.9</v>
      </c>
    </row>
    <row r="23" spans="2:30">
      <c r="B23" s="3"/>
      <c r="C23" s="2"/>
      <c r="D23" s="2"/>
      <c r="M23" s="12"/>
      <c r="V23" s="2" t="s">
        <v>74</v>
      </c>
      <c r="W23" s="11">
        <v>1.24</v>
      </c>
      <c r="X23" s="10">
        <v>0.32</v>
      </c>
      <c r="Y23" s="10">
        <v>0.88</v>
      </c>
      <c r="Z23" s="10">
        <v>0.4</v>
      </c>
      <c r="AA23" s="10">
        <v>7.0000000000000001E-3</v>
      </c>
      <c r="AB23" s="10">
        <v>0.01</v>
      </c>
      <c r="AC23" s="10">
        <v>0.5</v>
      </c>
      <c r="AD23" s="10">
        <v>0.85</v>
      </c>
    </row>
    <row r="24" spans="2:30">
      <c r="B24" s="3"/>
      <c r="C24" s="2"/>
      <c r="D24" s="2"/>
      <c r="V24" s="2" t="s">
        <v>75</v>
      </c>
      <c r="W24" s="11">
        <v>0.81</v>
      </c>
      <c r="X24" s="10">
        <v>0.39</v>
      </c>
      <c r="Y24" s="10">
        <v>0.85</v>
      </c>
      <c r="Z24" s="10">
        <v>0.42</v>
      </c>
      <c r="AA24" s="10">
        <v>5.0000000000000001E-3</v>
      </c>
      <c r="AB24" s="10">
        <v>7.0000000000000001E-3</v>
      </c>
      <c r="AC24" s="10">
        <v>1</v>
      </c>
      <c r="AD24" s="10">
        <v>0.8</v>
      </c>
    </row>
    <row r="25" spans="2:30">
      <c r="B25" s="3"/>
      <c r="V25" s="2" t="s">
        <v>76</v>
      </c>
      <c r="W25" s="11">
        <v>1.42</v>
      </c>
      <c r="X25" s="10">
        <v>0.43</v>
      </c>
      <c r="Y25" s="10">
        <v>0.88</v>
      </c>
      <c r="Z25" s="10">
        <v>0.4</v>
      </c>
      <c r="AA25" s="10">
        <v>6.0000000000000001E-3</v>
      </c>
      <c r="AB25" s="10">
        <v>0.01</v>
      </c>
      <c r="AC25" s="10">
        <v>0.5</v>
      </c>
      <c r="AD25" s="10">
        <v>0.85</v>
      </c>
    </row>
    <row r="26" spans="2:30">
      <c r="B26" s="3"/>
      <c r="V26" s="2" t="s">
        <v>60</v>
      </c>
      <c r="W26" s="11">
        <v>1.31</v>
      </c>
      <c r="X26" s="10">
        <v>0.16</v>
      </c>
      <c r="Y26" s="10">
        <v>0.8</v>
      </c>
      <c r="Z26" s="10">
        <v>0.42</v>
      </c>
      <c r="AA26" s="10">
        <v>7.0000000000000001E-3</v>
      </c>
      <c r="AB26" s="10">
        <v>0.01</v>
      </c>
      <c r="AC26" s="10">
        <v>1</v>
      </c>
      <c r="AD26" s="10">
        <v>0.8</v>
      </c>
    </row>
    <row r="27" spans="2:30">
      <c r="B27" s="3"/>
      <c r="V27" s="2" t="s">
        <v>77</v>
      </c>
      <c r="W27" s="11">
        <v>1.5</v>
      </c>
      <c r="X27" s="10">
        <v>0.22</v>
      </c>
      <c r="Y27" s="10">
        <v>0.8</v>
      </c>
      <c r="Z27" s="10">
        <v>0.4</v>
      </c>
      <c r="AA27" s="10">
        <v>8.0000000000000002E-3</v>
      </c>
      <c r="AB27" s="10">
        <v>7.0000000000000001E-3</v>
      </c>
      <c r="AC27" s="10">
        <v>0.5</v>
      </c>
      <c r="AD27" s="10">
        <v>0.85</v>
      </c>
    </row>
    <row r="28" spans="2:30">
      <c r="B28" s="3"/>
      <c r="V28" s="2" t="s">
        <v>78</v>
      </c>
      <c r="W28" s="11">
        <v>1.5</v>
      </c>
      <c r="X28" s="10">
        <v>0.42</v>
      </c>
      <c r="Y28" s="10">
        <v>0.88</v>
      </c>
      <c r="Z28" s="10">
        <v>0.4</v>
      </c>
      <c r="AA28" s="10">
        <v>6.0000000000000001E-3</v>
      </c>
      <c r="AB28" s="10">
        <v>0.01</v>
      </c>
      <c r="AC28" s="10">
        <v>0.5</v>
      </c>
      <c r="AD28" s="10">
        <v>0.85</v>
      </c>
    </row>
    <row r="29" spans="2:30">
      <c r="B29" s="3"/>
      <c r="V29" s="2" t="s">
        <v>79</v>
      </c>
      <c r="W29" s="11">
        <v>1.46</v>
      </c>
      <c r="X29" s="10">
        <v>0.36</v>
      </c>
      <c r="Y29" s="10">
        <v>0.88</v>
      </c>
      <c r="Z29" s="10">
        <v>0.4</v>
      </c>
      <c r="AA29" s="10">
        <v>6.0000000000000001E-3</v>
      </c>
      <c r="AB29" s="10">
        <v>0.01</v>
      </c>
      <c r="AC29" s="10">
        <v>0.5</v>
      </c>
      <c r="AD29" s="10">
        <v>0.85</v>
      </c>
    </row>
    <row r="30" spans="2:30">
      <c r="B30" s="3"/>
      <c r="V30" s="2" t="s">
        <v>69</v>
      </c>
      <c r="W30" s="11">
        <v>1.37</v>
      </c>
      <c r="X30" s="10">
        <v>0.51</v>
      </c>
      <c r="Y30" s="10">
        <v>0.87</v>
      </c>
      <c r="Z30" s="10">
        <v>0.4</v>
      </c>
      <c r="AA30" s="10">
        <v>8.9999999999999993E-3</v>
      </c>
      <c r="AB30" s="10">
        <v>0.01</v>
      </c>
      <c r="AC30" s="10">
        <v>0.5</v>
      </c>
      <c r="AD30" s="10">
        <v>0.85</v>
      </c>
    </row>
    <row r="31" spans="2:30">
      <c r="B31" s="3"/>
      <c r="V31" s="2" t="s">
        <v>80</v>
      </c>
      <c r="W31" s="11">
        <v>0.34</v>
      </c>
      <c r="X31" s="10">
        <v>0.43</v>
      </c>
      <c r="Y31" s="10">
        <v>0.25</v>
      </c>
      <c r="Z31" s="10">
        <v>0.4</v>
      </c>
      <c r="AA31" s="10">
        <v>0.02</v>
      </c>
      <c r="AB31" s="10">
        <v>0.01</v>
      </c>
      <c r="AC31" s="10" t="s">
        <v>95</v>
      </c>
      <c r="AD31" s="10">
        <v>0.85</v>
      </c>
    </row>
    <row r="32" spans="2:30">
      <c r="B32" s="3"/>
      <c r="V32" s="2" t="s">
        <v>81</v>
      </c>
      <c r="W32" s="11">
        <v>1.07</v>
      </c>
      <c r="X32" s="10">
        <v>0.2</v>
      </c>
      <c r="Y32" s="10">
        <v>0.8</v>
      </c>
      <c r="Z32" s="10">
        <v>0.42</v>
      </c>
      <c r="AA32" s="10">
        <v>1.6E-2</v>
      </c>
      <c r="AB32" s="10">
        <v>1.4E-2</v>
      </c>
      <c r="AC32" s="10">
        <v>0.5</v>
      </c>
      <c r="AD32" s="10">
        <v>0.85</v>
      </c>
    </row>
    <row r="33" spans="2:30">
      <c r="B33" s="3"/>
      <c r="V33" s="2" t="s">
        <v>82</v>
      </c>
      <c r="W33" s="11">
        <v>0.25</v>
      </c>
      <c r="X33" s="10">
        <v>0.45</v>
      </c>
      <c r="Y33" s="10">
        <v>0.2</v>
      </c>
      <c r="Z33" s="10">
        <v>0.4</v>
      </c>
      <c r="AA33" s="10">
        <v>5.0000000000000001E-3</v>
      </c>
      <c r="AB33" s="10">
        <v>7.0000000000000001E-3</v>
      </c>
      <c r="AC33" s="10">
        <v>1</v>
      </c>
      <c r="AD33" s="10">
        <v>0.8</v>
      </c>
    </row>
    <row r="34" spans="2:30">
      <c r="B34" s="3"/>
      <c r="V34" s="2" t="s">
        <v>65</v>
      </c>
      <c r="W34" s="11">
        <v>1.9</v>
      </c>
      <c r="X34" s="10">
        <v>0.3</v>
      </c>
      <c r="Y34" s="10">
        <v>0.9</v>
      </c>
      <c r="Z34" s="10">
        <v>0.4</v>
      </c>
      <c r="AA34" s="10">
        <v>0.01</v>
      </c>
      <c r="AB34" s="10">
        <v>0.01</v>
      </c>
      <c r="AC34" s="10" t="s">
        <v>95</v>
      </c>
      <c r="AD34" s="10">
        <v>0.85</v>
      </c>
    </row>
    <row r="35" spans="2:30">
      <c r="B35" s="3"/>
      <c r="V35" s="2" t="s">
        <v>67</v>
      </c>
      <c r="W35" s="11">
        <v>1.5</v>
      </c>
      <c r="X35" s="10">
        <v>0.28999999999999998</v>
      </c>
      <c r="Y35" s="10">
        <v>0.88</v>
      </c>
      <c r="Z35" s="10">
        <v>0.4</v>
      </c>
      <c r="AA35" s="10">
        <v>6.0000000000000001E-3</v>
      </c>
      <c r="AB35" s="10" t="s">
        <v>95</v>
      </c>
      <c r="AC35" s="10" t="s">
        <v>96</v>
      </c>
      <c r="AD35" s="10">
        <v>0.85</v>
      </c>
    </row>
    <row r="36" spans="2:30">
      <c r="B36" s="3"/>
      <c r="V36" s="2" t="s">
        <v>83</v>
      </c>
      <c r="W36" s="11">
        <v>2.08</v>
      </c>
      <c r="X36" s="10">
        <v>0.33</v>
      </c>
      <c r="Y36" s="10">
        <v>0.96</v>
      </c>
      <c r="Z36" s="10">
        <v>0.4</v>
      </c>
      <c r="AA36" s="10">
        <v>8.9999999999999993E-3</v>
      </c>
      <c r="AB36" s="10">
        <v>0.01</v>
      </c>
      <c r="AC36" s="10">
        <v>0.5</v>
      </c>
      <c r="AD36" s="10">
        <v>0.85</v>
      </c>
    </row>
    <row r="37" spans="2:30">
      <c r="B37" s="3"/>
      <c r="V37" s="2" t="s">
        <v>84</v>
      </c>
      <c r="W37" s="11">
        <v>1.34</v>
      </c>
      <c r="X37" s="10">
        <v>0.37</v>
      </c>
      <c r="Y37" s="10">
        <v>0.88</v>
      </c>
      <c r="Z37" s="10">
        <v>0.4</v>
      </c>
      <c r="AA37" s="10">
        <v>6.0000000000000001E-3</v>
      </c>
      <c r="AB37" s="10">
        <v>0.01</v>
      </c>
      <c r="AC37" s="10" t="s">
        <v>95</v>
      </c>
      <c r="AD37" s="10">
        <v>0.85</v>
      </c>
    </row>
    <row r="38" spans="2:30">
      <c r="B38" s="3"/>
      <c r="V38" s="2" t="s">
        <v>71</v>
      </c>
      <c r="W38" s="9">
        <v>1</v>
      </c>
      <c r="X38" s="9">
        <v>0.22</v>
      </c>
      <c r="Y38" s="9">
        <v>0.85</v>
      </c>
      <c r="Z38" s="9">
        <v>0.4</v>
      </c>
      <c r="AA38" s="9">
        <v>8.0000000000000002E-3</v>
      </c>
      <c r="AB38" s="9">
        <v>8.9999999999999993E-3</v>
      </c>
      <c r="AC38" s="9" t="s">
        <v>97</v>
      </c>
      <c r="AD38" s="9" t="s">
        <v>95</v>
      </c>
    </row>
    <row r="39" spans="2:30">
      <c r="B39" s="3"/>
      <c r="V39" s="2" t="s">
        <v>85</v>
      </c>
      <c r="W39" s="9">
        <v>1.5</v>
      </c>
      <c r="X39" s="9">
        <v>0.28999999999999998</v>
      </c>
      <c r="Y39" s="9">
        <v>0.88</v>
      </c>
      <c r="Z39" s="9">
        <v>0.4</v>
      </c>
      <c r="AA39" s="9">
        <v>6.0000000000000001E-3</v>
      </c>
      <c r="AB39" s="9" t="s">
        <v>97</v>
      </c>
      <c r="AC39" s="9" t="s">
        <v>97</v>
      </c>
      <c r="AD39" s="9" t="s">
        <v>95</v>
      </c>
    </row>
    <row r="40" spans="2:30">
      <c r="B40" s="3"/>
      <c r="V40" s="2"/>
      <c r="W40" s="11"/>
      <c r="X40" s="10"/>
    </row>
    <row r="41" spans="2:30">
      <c r="B41" s="3"/>
      <c r="V41" s="2"/>
      <c r="W41" s="2"/>
    </row>
    <row r="42" spans="2:30">
      <c r="B42" s="3"/>
      <c r="V42" s="2" t="s">
        <v>86</v>
      </c>
      <c r="W42" s="2" t="s">
        <v>47</v>
      </c>
      <c r="X42" s="2" t="s">
        <v>49</v>
      </c>
    </row>
    <row r="43" spans="2:30">
      <c r="B43" s="3"/>
      <c r="V43" s="2" t="s">
        <v>60</v>
      </c>
      <c r="W43" s="2" t="s">
        <v>87</v>
      </c>
      <c r="X43">
        <v>0.06</v>
      </c>
    </row>
    <row r="44" spans="2:30">
      <c r="B44" s="3"/>
      <c r="V44" s="2" t="s">
        <v>80</v>
      </c>
      <c r="W44" s="2" t="s">
        <v>87</v>
      </c>
      <c r="X44">
        <v>1</v>
      </c>
    </row>
    <row r="45" spans="2:30">
      <c r="B45" s="3"/>
      <c r="V45" t="s">
        <v>65</v>
      </c>
      <c r="W45" s="2" t="s">
        <v>87</v>
      </c>
      <c r="X45">
        <v>0</v>
      </c>
    </row>
    <row r="46" spans="2:30">
      <c r="B46" s="3"/>
      <c r="V46" s="2" t="s">
        <v>67</v>
      </c>
      <c r="W46" s="2" t="s">
        <v>87</v>
      </c>
      <c r="X46">
        <v>0</v>
      </c>
    </row>
    <row r="47" spans="2:30">
      <c r="B47" s="3"/>
      <c r="V47" s="2" t="s">
        <v>84</v>
      </c>
      <c r="W47" s="2" t="s">
        <v>87</v>
      </c>
      <c r="X47">
        <v>0.8</v>
      </c>
    </row>
    <row r="48" spans="2:30">
      <c r="B48" s="3"/>
      <c r="V48" s="2" t="s">
        <v>58</v>
      </c>
      <c r="W48" s="2" t="s">
        <v>59</v>
      </c>
      <c r="X48">
        <v>0</v>
      </c>
    </row>
    <row r="49" spans="2:24">
      <c r="B49" s="3"/>
      <c r="V49" s="2" t="s">
        <v>58</v>
      </c>
      <c r="W49" s="2" t="s">
        <v>63</v>
      </c>
      <c r="X49">
        <v>0.03</v>
      </c>
    </row>
    <row r="50" spans="2:24">
      <c r="B50" s="3"/>
      <c r="V50" s="2" t="s">
        <v>58</v>
      </c>
      <c r="W50" s="2" t="s">
        <v>64</v>
      </c>
      <c r="X50">
        <v>0</v>
      </c>
    </row>
    <row r="51" spans="2:24">
      <c r="B51" s="3"/>
      <c r="V51" s="2" t="s">
        <v>88</v>
      </c>
      <c r="W51" s="2" t="s">
        <v>59</v>
      </c>
      <c r="X51">
        <v>0.05</v>
      </c>
    </row>
    <row r="52" spans="2:24">
      <c r="B52" s="3"/>
      <c r="V52" s="2" t="s">
        <v>88</v>
      </c>
      <c r="W52" s="2" t="s">
        <v>61</v>
      </c>
      <c r="X52">
        <v>7.0000000000000007E-2</v>
      </c>
    </row>
    <row r="53" spans="2:24">
      <c r="B53" s="3"/>
      <c r="V53" s="2" t="s">
        <v>88</v>
      </c>
      <c r="W53" s="2" t="s">
        <v>63</v>
      </c>
      <c r="X53">
        <v>0.04</v>
      </c>
    </row>
    <row r="54" spans="2:24">
      <c r="B54" s="3"/>
      <c r="V54" s="2" t="s">
        <v>88</v>
      </c>
      <c r="W54" s="2" t="s">
        <v>66</v>
      </c>
      <c r="X54">
        <v>0.09</v>
      </c>
    </row>
    <row r="55" spans="2:24">
      <c r="B55" s="3"/>
      <c r="V55" s="2" t="s">
        <v>88</v>
      </c>
      <c r="W55" s="2" t="s">
        <v>64</v>
      </c>
      <c r="X55">
        <v>0.11</v>
      </c>
    </row>
    <row r="56" spans="2:24">
      <c r="B56" s="3"/>
      <c r="V56" s="2" t="s">
        <v>88</v>
      </c>
      <c r="W56" s="2" t="s">
        <v>70</v>
      </c>
      <c r="X56">
        <v>0.16</v>
      </c>
    </row>
    <row r="57" spans="2:24">
      <c r="B57" s="3"/>
      <c r="V57" s="2" t="s">
        <v>88</v>
      </c>
      <c r="W57" s="2" t="s">
        <v>89</v>
      </c>
      <c r="X57">
        <v>0.01</v>
      </c>
    </row>
    <row r="58" spans="2:24">
      <c r="B58" s="3"/>
      <c r="V58" s="2" t="s">
        <v>88</v>
      </c>
      <c r="W58" s="2" t="s">
        <v>90</v>
      </c>
      <c r="X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6.3.1.1 pasture</vt:lpstr>
      <vt:lpstr>6.3.1.1 crop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2026-10-22T06:06:59Z</dcterms:modified>
</cp:coreProperties>
</file>