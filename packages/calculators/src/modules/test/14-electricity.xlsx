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3F45D962-3960-A544-970D-8F89D1F49E9C}" xr6:coauthVersionLast="47" xr6:coauthVersionMax="47" xr10:uidLastSave="{00000000-0000-0000-0000-000000000000}"/>
  <bookViews>
    <workbookView xWindow="51220" yWindow="18580" windowWidth="28800" windowHeight="2352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3" l="1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5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5" i="3"/>
  <c r="J14" i="3"/>
  <c r="L14" i="3"/>
  <c r="I23" i="3"/>
  <c r="J23" i="3" s="1"/>
  <c r="G23" i="3"/>
  <c r="E23" i="3"/>
  <c r="K23" i="3" s="1"/>
  <c r="I22" i="3"/>
  <c r="J22" i="3" s="1"/>
  <c r="G22" i="3"/>
  <c r="E22" i="3"/>
  <c r="K22" i="3" s="1"/>
  <c r="I21" i="3"/>
  <c r="J21" i="3" s="1"/>
  <c r="G21" i="3"/>
  <c r="E21" i="3"/>
  <c r="K21" i="3" s="1"/>
  <c r="I20" i="3"/>
  <c r="J20" i="3" s="1"/>
  <c r="G20" i="3"/>
  <c r="E20" i="3"/>
  <c r="K20" i="3" s="1"/>
  <c r="I19" i="3"/>
  <c r="J19" i="3" s="1"/>
  <c r="G19" i="3"/>
  <c r="E19" i="3"/>
  <c r="K19" i="3" s="1"/>
  <c r="I18" i="3"/>
  <c r="J18" i="3" s="1"/>
  <c r="G18" i="3"/>
  <c r="E18" i="3"/>
  <c r="K18" i="3" s="1"/>
  <c r="I17" i="3"/>
  <c r="J17" i="3" s="1"/>
  <c r="L17" i="3" s="1"/>
  <c r="G17" i="3"/>
  <c r="E17" i="3"/>
  <c r="K17" i="3" s="1"/>
  <c r="I16" i="3"/>
  <c r="J16" i="3" s="1"/>
  <c r="G16" i="3"/>
  <c r="E16" i="3"/>
  <c r="K16" i="3" s="1"/>
  <c r="I15" i="3"/>
  <c r="J15" i="3" s="1"/>
  <c r="G15" i="3"/>
  <c r="E15" i="3"/>
  <c r="K15" i="3" s="1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L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L7" i="3" l="1"/>
  <c r="L16" i="3"/>
  <c r="L22" i="3"/>
  <c r="L9" i="3"/>
  <c r="L18" i="3"/>
  <c r="L6" i="3"/>
  <c r="L15" i="3"/>
  <c r="L12" i="3"/>
  <c r="L11" i="3"/>
  <c r="L10" i="3"/>
  <c r="L21" i="3"/>
  <c r="L19" i="3"/>
  <c r="L20" i="3"/>
  <c r="L23" i="3"/>
  <c r="L5" i="3"/>
  <c r="L8" i="3"/>
</calcChain>
</file>

<file path=xl/sharedStrings.xml><?xml version="1.0" encoding="utf-8"?>
<sst xmlns="http://schemas.openxmlformats.org/spreadsheetml/2006/main" count="63" uniqueCount="43">
  <si>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</si>
  <si>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</si>
  <si>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</si>
  <si>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</si>
  <si>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</si>
  <si>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</si>
  <si>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</si>
  <si>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</si>
  <si>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2 Emission Factors (kg CO2-e/GJ)</t>
  </si>
  <si>
    <t>Scope 3 Emission Factors (kg CO2-e/kWh)</t>
  </si>
  <si>
    <t>Scope 3 Emission Factors (kg CO2-e/GJ)</t>
  </si>
  <si>
    <t>National</t>
  </si>
  <si>
    <t>nsw</t>
  </si>
  <si>
    <t>vic</t>
  </si>
  <si>
    <t>qld</t>
  </si>
  <si>
    <t>sa</t>
  </si>
  <si>
    <t>wa_sw</t>
  </si>
  <si>
    <t>wa_nw</t>
  </si>
  <si>
    <t>tas</t>
  </si>
  <si>
    <t>nt</t>
  </si>
  <si>
    <t>EF2elec</t>
  </si>
  <si>
    <t>RECsurr</t>
  </si>
  <si>
    <t>REConsite</t>
  </si>
  <si>
    <t>EFrmf2</t>
  </si>
  <si>
    <t>JRPP</t>
  </si>
  <si>
    <t>E2elec mb</t>
  </si>
  <si>
    <t>E2elec lb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</si>
  <si>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</si>
  <si>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</si>
  <si>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</si>
  <si>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</si>
  <si>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</si>
  <si>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</si>
  <si>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act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</si>
  <si>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</si>
  <si>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</si>
  <si>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</si>
  <si>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</si>
  <si>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</si>
  <si>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E3elec lb</t>
  </si>
  <si>
    <t>E3elec mb</t>
  </si>
  <si>
    <t>EF3elec</t>
  </si>
  <si>
    <t>EFrmf3elec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</si>
</sst>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workbookViewId="0">
      <selection activeCell="G33" sqref="G33:G36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20" t="s">
        <v>2</v>
      </c>
      <c r="M1" s="1" t="s">
        <v>37</v>
      </c>
    </row>
    <row r="2" spans="1:18" ht="50" customHeight="1">
      <c r="L2" s="20" t="s">
        <v>36</v>
      </c>
      <c r="N2" s="20" t="s">
        <v>38</v>
      </c>
    </row>
    <row r="3" spans="1:18">
      <c r="A3" t="s">
        <v>4</v>
      </c>
      <c r="C3" s="7"/>
      <c r="D3" s="7"/>
      <c r="E3" s="7"/>
      <c r="F3" s="7"/>
      <c r="G3" s="7"/>
      <c r="H3" s="7"/>
      <c r="I3" s="7"/>
      <c r="J3" s="1" t="s">
        <v>35</v>
      </c>
      <c r="K3" s="1"/>
      <c r="M3" s="7"/>
      <c r="N3" s="1"/>
      <c r="O3" s="1"/>
      <c r="Q3" s="1"/>
    </row>
    <row r="4" spans="1:18" ht="17">
      <c r="A4" s="13" t="s">
        <v>3</v>
      </c>
      <c r="B4" s="4" t="s">
        <v>5</v>
      </c>
      <c r="C4" s="4" t="s">
        <v>21</v>
      </c>
      <c r="D4" s="4" t="s">
        <v>22</v>
      </c>
      <c r="E4" t="s">
        <v>20</v>
      </c>
      <c r="F4" t="s">
        <v>41</v>
      </c>
      <c r="G4" t="s">
        <v>23</v>
      </c>
      <c r="H4" t="s">
        <v>42</v>
      </c>
      <c r="I4" t="s">
        <v>24</v>
      </c>
      <c r="J4" t="s">
        <v>34</v>
      </c>
      <c r="K4" s="5" t="s">
        <v>26</v>
      </c>
      <c r="L4" s="5" t="s">
        <v>25</v>
      </c>
      <c r="M4" s="5" t="s">
        <v>39</v>
      </c>
      <c r="N4" s="5" t="s">
        <v>40</v>
      </c>
      <c r="P4" t="s">
        <v>31</v>
      </c>
      <c r="Q4">
        <v>0.16669999999999999</v>
      </c>
      <c r="R4" s="6" t="s">
        <v>30</v>
      </c>
    </row>
    <row r="5" spans="1:18">
      <c r="A5">
        <v>1000</v>
      </c>
      <c r="B5" s="17" t="s">
        <v>12</v>
      </c>
      <c r="D5" s="12"/>
      <c r="E5" s="12">
        <f t="shared" ref="E5:E13" si="0">IF(ISBLANK(A5), "", VLOOKUP(B5, $P$20:$T$28, 2, FALSE))</f>
        <v>0.68</v>
      </c>
      <c r="F5" s="12">
        <f>IF(ISBLANK(A5), "", VLOOKUP(B5, $P$20:$T$28, 4, FALSE))</f>
        <v>0.05</v>
      </c>
      <c r="G5" s="12">
        <f>$Q$15</f>
        <v>0.81</v>
      </c>
      <c r="H5" s="12">
        <f>$R$15</f>
        <v>0.1</v>
      </c>
      <c r="I5" s="12">
        <f t="shared" ref="I5:I13" si="1">IF(ISBLANK(A5), "", IF(B5="act", $Q$5, 0))</f>
        <v>0</v>
      </c>
      <c r="J5" s="12">
        <f t="shared" ref="J5:J23" si="2">A5*(1-($Q$4+I5))-((C5-D5)/1000)</f>
        <v>833.30000000000007</v>
      </c>
      <c r="K5" s="12">
        <f t="shared" ref="K5:K13" si="3">A5*E5/1000</f>
        <v>0.68</v>
      </c>
      <c r="L5" s="12">
        <f t="shared" ref="L5:L23" si="4">IF(ISBLANK(A5), "", J5*G5/1000)</f>
        <v>0.67497300000000005</v>
      </c>
      <c r="M5" s="12">
        <f>IF(ISBLANK(A5), "", A5*F5/1000)</f>
        <v>0.05</v>
      </c>
      <c r="N5" s="12">
        <f>IF(ISBLANK(A5), "", J5*H5/1000)</f>
        <v>8.3330000000000015E-2</v>
      </c>
      <c r="O5" s="12"/>
      <c r="P5" t="s">
        <v>24</v>
      </c>
      <c r="Q5">
        <v>0.74129999999999996</v>
      </c>
      <c r="R5" t="s">
        <v>32</v>
      </c>
    </row>
    <row r="6" spans="1:18">
      <c r="A6">
        <v>2000</v>
      </c>
      <c r="B6" s="17" t="s">
        <v>13</v>
      </c>
      <c r="D6" s="12"/>
      <c r="E6" s="12">
        <f t="shared" si="0"/>
        <v>0.79</v>
      </c>
      <c r="F6" s="12">
        <f t="shared" ref="F6:F23" si="5">IF(ISBLANK(A6), "", VLOOKUP(B6, $P$20:$T$28, 4, FALSE))</f>
        <v>7.0000000000000007E-2</v>
      </c>
      <c r="G6" s="12">
        <f t="shared" ref="G6:G13" si="6">$Q$15</f>
        <v>0.81</v>
      </c>
      <c r="H6" s="12">
        <f t="shared" ref="H6:H23" si="7">$R$15</f>
        <v>0.1</v>
      </c>
      <c r="I6" s="12">
        <f t="shared" si="1"/>
        <v>0</v>
      </c>
      <c r="J6" s="12">
        <f t="shared" si="2"/>
        <v>1666.6000000000001</v>
      </c>
      <c r="K6" s="12">
        <f t="shared" si="3"/>
        <v>1.58</v>
      </c>
      <c r="L6" s="12">
        <f t="shared" si="4"/>
        <v>1.3499460000000001</v>
      </c>
      <c r="M6" s="12">
        <f t="shared" ref="M6:M23" si="8">IF(ISBLANK(A6), "", A6*F6/1000)</f>
        <v>0.14000000000000001</v>
      </c>
      <c r="N6" s="12">
        <f t="shared" ref="N6:N23" si="9">IF(ISBLANK(A6), "", J6*H6/1000)</f>
        <v>0.16666000000000003</v>
      </c>
      <c r="O6" s="12"/>
    </row>
    <row r="7" spans="1:18">
      <c r="A7">
        <v>3000</v>
      </c>
      <c r="B7" s="17" t="s">
        <v>14</v>
      </c>
      <c r="D7" s="12"/>
      <c r="E7" s="12">
        <f t="shared" si="0"/>
        <v>0.73</v>
      </c>
      <c r="F7" s="12">
        <f t="shared" si="5"/>
        <v>0.15</v>
      </c>
      <c r="G7" s="12">
        <f t="shared" si="6"/>
        <v>0.81</v>
      </c>
      <c r="H7" s="12">
        <f t="shared" si="7"/>
        <v>0.1</v>
      </c>
      <c r="I7" s="12">
        <f t="shared" si="1"/>
        <v>0</v>
      </c>
      <c r="J7" s="12">
        <f t="shared" si="2"/>
        <v>2499.9</v>
      </c>
      <c r="K7" s="12">
        <f t="shared" si="3"/>
        <v>2.19</v>
      </c>
      <c r="L7" s="12">
        <f t="shared" si="4"/>
        <v>2.0249190000000001</v>
      </c>
      <c r="M7" s="12">
        <f t="shared" si="8"/>
        <v>0.45</v>
      </c>
      <c r="N7" s="12">
        <f t="shared" si="9"/>
        <v>0.24999000000000002</v>
      </c>
      <c r="O7" s="12"/>
    </row>
    <row r="8" spans="1:18">
      <c r="A8">
        <v>4000</v>
      </c>
      <c r="B8" s="17" t="s">
        <v>15</v>
      </c>
      <c r="D8" s="12"/>
      <c r="E8" s="12">
        <f t="shared" si="0"/>
        <v>0.25</v>
      </c>
      <c r="F8" s="12">
        <f t="shared" si="5"/>
        <v>0.08</v>
      </c>
      <c r="G8" s="12">
        <f t="shared" si="6"/>
        <v>0.81</v>
      </c>
      <c r="H8" s="12">
        <f t="shared" si="7"/>
        <v>0.1</v>
      </c>
      <c r="I8" s="12">
        <f t="shared" si="1"/>
        <v>0</v>
      </c>
      <c r="J8" s="12">
        <f t="shared" si="2"/>
        <v>3333.2000000000003</v>
      </c>
      <c r="K8" s="12">
        <f t="shared" si="3"/>
        <v>1</v>
      </c>
      <c r="L8" s="12">
        <f t="shared" si="4"/>
        <v>2.6998920000000002</v>
      </c>
      <c r="M8" s="12">
        <f t="shared" si="8"/>
        <v>0.32</v>
      </c>
      <c r="N8" s="12">
        <f t="shared" si="9"/>
        <v>0.33332000000000006</v>
      </c>
      <c r="O8" s="12"/>
    </row>
    <row r="9" spans="1:18">
      <c r="A9">
        <v>5000</v>
      </c>
      <c r="B9" s="17" t="s">
        <v>16</v>
      </c>
      <c r="D9" s="12"/>
      <c r="E9" s="12">
        <f t="shared" si="0"/>
        <v>0.53</v>
      </c>
      <c r="F9" s="12">
        <f t="shared" si="5"/>
        <v>0.04</v>
      </c>
      <c r="G9" s="12">
        <f t="shared" si="6"/>
        <v>0.81</v>
      </c>
      <c r="H9" s="12">
        <f t="shared" si="7"/>
        <v>0.1</v>
      </c>
      <c r="I9" s="12">
        <f t="shared" si="1"/>
        <v>0</v>
      </c>
      <c r="J9" s="12">
        <f t="shared" si="2"/>
        <v>4166.5</v>
      </c>
      <c r="K9" s="12">
        <f t="shared" si="3"/>
        <v>2.65</v>
      </c>
      <c r="L9" s="12">
        <f t="shared" si="4"/>
        <v>3.3748650000000002</v>
      </c>
      <c r="M9" s="12">
        <f t="shared" si="8"/>
        <v>0.2</v>
      </c>
      <c r="N9" s="12">
        <f t="shared" si="9"/>
        <v>0.41665000000000002</v>
      </c>
    </row>
    <row r="10" spans="1:18">
      <c r="A10">
        <v>6000</v>
      </c>
      <c r="B10" s="17" t="s">
        <v>17</v>
      </c>
      <c r="D10" s="12"/>
      <c r="E10" s="12">
        <f t="shared" si="0"/>
        <v>0.62</v>
      </c>
      <c r="F10" s="12">
        <f t="shared" si="5"/>
        <v>7.0000000000000007E-2</v>
      </c>
      <c r="G10" s="12">
        <f t="shared" si="6"/>
        <v>0.81</v>
      </c>
      <c r="H10" s="12">
        <f t="shared" si="7"/>
        <v>0.1</v>
      </c>
      <c r="I10" s="12">
        <f t="shared" si="1"/>
        <v>0</v>
      </c>
      <c r="J10" s="12">
        <f t="shared" si="2"/>
        <v>4999.8</v>
      </c>
      <c r="K10" s="12">
        <f t="shared" si="3"/>
        <v>3.72</v>
      </c>
      <c r="L10" s="12">
        <f t="shared" si="4"/>
        <v>4.0498380000000003</v>
      </c>
      <c r="M10" s="12">
        <f t="shared" si="8"/>
        <v>0.42000000000000004</v>
      </c>
      <c r="N10" s="12">
        <f t="shared" si="9"/>
        <v>0.49998000000000004</v>
      </c>
    </row>
    <row r="11" spans="1:18">
      <c r="A11">
        <v>7000</v>
      </c>
      <c r="B11" s="17" t="s">
        <v>18</v>
      </c>
      <c r="D11" s="12"/>
      <c r="E11" s="12">
        <f t="shared" si="0"/>
        <v>0.12</v>
      </c>
      <c r="F11" s="12">
        <f t="shared" si="5"/>
        <v>0.01</v>
      </c>
      <c r="G11" s="12">
        <f t="shared" si="6"/>
        <v>0.81</v>
      </c>
      <c r="H11" s="12">
        <f t="shared" si="7"/>
        <v>0.1</v>
      </c>
      <c r="I11" s="12">
        <f t="shared" si="1"/>
        <v>0</v>
      </c>
      <c r="J11" s="12">
        <f t="shared" si="2"/>
        <v>5833.1</v>
      </c>
      <c r="K11" s="12">
        <f t="shared" si="3"/>
        <v>0.84</v>
      </c>
      <c r="L11" s="12">
        <f t="shared" si="4"/>
        <v>4.7248110000000008</v>
      </c>
      <c r="M11" s="12">
        <f t="shared" si="8"/>
        <v>7.0000000000000007E-2</v>
      </c>
      <c r="N11" s="12">
        <f t="shared" si="9"/>
        <v>0.58331000000000011</v>
      </c>
    </row>
    <row r="12" spans="1:18">
      <c r="A12">
        <v>8000</v>
      </c>
      <c r="B12" s="17" t="s">
        <v>19</v>
      </c>
      <c r="D12" s="12"/>
      <c r="E12" s="12">
        <f t="shared" si="0"/>
        <v>0.54</v>
      </c>
      <c r="F12" s="12">
        <f t="shared" si="5"/>
        <v>7.0000000000000007E-2</v>
      </c>
      <c r="G12" s="12">
        <f t="shared" si="6"/>
        <v>0.81</v>
      </c>
      <c r="H12" s="12">
        <f t="shared" si="7"/>
        <v>0.1</v>
      </c>
      <c r="I12" s="12">
        <f t="shared" si="1"/>
        <v>0</v>
      </c>
      <c r="J12" s="12">
        <f t="shared" si="2"/>
        <v>6666.4000000000005</v>
      </c>
      <c r="K12" s="12">
        <f t="shared" si="3"/>
        <v>4.32</v>
      </c>
      <c r="L12" s="12">
        <f t="shared" si="4"/>
        <v>5.3997840000000004</v>
      </c>
      <c r="M12" s="12">
        <f t="shared" si="8"/>
        <v>0.56000000000000005</v>
      </c>
      <c r="N12" s="12">
        <f t="shared" si="9"/>
        <v>0.66664000000000012</v>
      </c>
    </row>
    <row r="13" spans="1:18">
      <c r="A13">
        <v>9000</v>
      </c>
      <c r="B13" s="16" t="s">
        <v>33</v>
      </c>
      <c r="C13" s="12"/>
      <c r="D13" s="12"/>
      <c r="E13" s="12">
        <f t="shared" si="0"/>
        <v>0.68</v>
      </c>
      <c r="F13" s="12">
        <f t="shared" si="5"/>
        <v>0.05</v>
      </c>
      <c r="G13" s="12">
        <f t="shared" si="6"/>
        <v>0.81</v>
      </c>
      <c r="H13" s="12">
        <f t="shared" si="7"/>
        <v>0.1</v>
      </c>
      <c r="I13" s="12">
        <f t="shared" si="1"/>
        <v>0.74129999999999996</v>
      </c>
      <c r="J13" s="12">
        <f t="shared" si="2"/>
        <v>828.00000000000068</v>
      </c>
      <c r="K13" s="12">
        <f t="shared" si="3"/>
        <v>6.12</v>
      </c>
      <c r="L13" s="12">
        <f t="shared" si="4"/>
        <v>0.67068000000000061</v>
      </c>
      <c r="M13" s="12">
        <f t="shared" si="8"/>
        <v>0.45</v>
      </c>
      <c r="N13" s="12">
        <f t="shared" si="9"/>
        <v>8.2800000000000068E-2</v>
      </c>
      <c r="O13" s="12"/>
      <c r="P13" t="s">
        <v>29</v>
      </c>
    </row>
    <row r="14" spans="1:18">
      <c r="B14" s="16"/>
      <c r="C14" s="12"/>
      <c r="D14" s="12"/>
      <c r="E14" s="12"/>
      <c r="F14" s="12" t="str">
        <f t="shared" si="5"/>
        <v/>
      </c>
      <c r="G14" s="12"/>
      <c r="H14" s="12"/>
      <c r="I14" s="12"/>
      <c r="J14" s="12">
        <f t="shared" si="2"/>
        <v>0</v>
      </c>
      <c r="K14" s="12"/>
      <c r="L14" s="12" t="str">
        <f t="shared" si="4"/>
        <v/>
      </c>
      <c r="M14" s="12" t="str">
        <f t="shared" si="8"/>
        <v/>
      </c>
      <c r="N14" s="12" t="str">
        <f t="shared" si="9"/>
        <v/>
      </c>
      <c r="O14" s="12"/>
      <c r="P14" t="s">
        <v>27</v>
      </c>
      <c r="Q14" t="s">
        <v>28</v>
      </c>
      <c r="R14" t="s">
        <v>1</v>
      </c>
    </row>
    <row r="15" spans="1:18">
      <c r="A15">
        <v>1000</v>
      </c>
      <c r="B15" s="17" t="s">
        <v>12</v>
      </c>
      <c r="C15">
        <v>0.5</v>
      </c>
      <c r="D15" s="12">
        <v>0.2</v>
      </c>
      <c r="E15" s="12">
        <f t="shared" ref="E15:E23" si="10">IF(ISBLANK(A15), "", VLOOKUP(B15, $P$20:$T$28, 2, FALSE))</f>
        <v>0.68</v>
      </c>
      <c r="F15" s="12">
        <f t="shared" si="5"/>
        <v>0.05</v>
      </c>
      <c r="G15" s="12">
        <f>$Q$15</f>
        <v>0.81</v>
      </c>
      <c r="H15" s="12">
        <f t="shared" si="7"/>
        <v>0.1</v>
      </c>
      <c r="I15" s="12">
        <f t="shared" ref="I15:I23" si="11">IF(ISBLANK(A15), "", IF(B15="act", $Q$5, 0))</f>
        <v>0</v>
      </c>
      <c r="J15" s="12">
        <f t="shared" si="2"/>
        <v>833.29970000000003</v>
      </c>
      <c r="K15" s="12">
        <f t="shared" ref="K15:K23" si="12">A15*E15/1000</f>
        <v>0.68</v>
      </c>
      <c r="L15" s="12">
        <f t="shared" si="4"/>
        <v>0.67497275700000015</v>
      </c>
      <c r="M15" s="12">
        <f t="shared" si="8"/>
        <v>0.05</v>
      </c>
      <c r="N15" s="12">
        <f t="shared" si="9"/>
        <v>8.3329970000000003E-2</v>
      </c>
      <c r="O15" s="12"/>
      <c r="P15" t="s">
        <v>11</v>
      </c>
      <c r="Q15">
        <v>0.81</v>
      </c>
      <c r="R15">
        <v>0.1</v>
      </c>
    </row>
    <row r="16" spans="1:18">
      <c r="A16">
        <v>2000</v>
      </c>
      <c r="B16" s="17" t="s">
        <v>13</v>
      </c>
      <c r="C16">
        <v>500</v>
      </c>
      <c r="D16" s="12">
        <v>200</v>
      </c>
      <c r="E16" s="12">
        <f t="shared" si="10"/>
        <v>0.79</v>
      </c>
      <c r="F16" s="12">
        <f t="shared" si="5"/>
        <v>7.0000000000000007E-2</v>
      </c>
      <c r="G16" s="12">
        <f t="shared" ref="G16:G23" si="13">$Q$15</f>
        <v>0.81</v>
      </c>
      <c r="H16" s="12">
        <f t="shared" si="7"/>
        <v>0.1</v>
      </c>
      <c r="I16" s="12">
        <f t="shared" si="11"/>
        <v>0</v>
      </c>
      <c r="J16" s="12">
        <f t="shared" si="2"/>
        <v>1666.3000000000002</v>
      </c>
      <c r="K16" s="12">
        <f t="shared" si="12"/>
        <v>1.58</v>
      </c>
      <c r="L16" s="12">
        <f t="shared" si="4"/>
        <v>1.3497030000000001</v>
      </c>
      <c r="M16" s="12">
        <f t="shared" si="8"/>
        <v>0.14000000000000001</v>
      </c>
      <c r="N16" s="12">
        <f t="shared" si="9"/>
        <v>0.16663000000000003</v>
      </c>
      <c r="O16" s="12"/>
    </row>
    <row r="17" spans="1:23">
      <c r="A17">
        <v>3000</v>
      </c>
      <c r="B17" s="17" t="s">
        <v>14</v>
      </c>
      <c r="C17">
        <v>400</v>
      </c>
      <c r="D17" s="12">
        <v>200</v>
      </c>
      <c r="E17" s="12">
        <f t="shared" si="10"/>
        <v>0.73</v>
      </c>
      <c r="F17" s="12">
        <f t="shared" si="5"/>
        <v>0.15</v>
      </c>
      <c r="G17" s="12">
        <f t="shared" si="13"/>
        <v>0.81</v>
      </c>
      <c r="H17" s="12">
        <f t="shared" si="7"/>
        <v>0.1</v>
      </c>
      <c r="I17" s="12">
        <f t="shared" si="11"/>
        <v>0</v>
      </c>
      <c r="J17" s="12">
        <f t="shared" si="2"/>
        <v>2499.7000000000003</v>
      </c>
      <c r="K17" s="12">
        <f t="shared" si="12"/>
        <v>2.19</v>
      </c>
      <c r="L17" s="12">
        <f t="shared" si="4"/>
        <v>2.0247570000000001</v>
      </c>
      <c r="M17" s="12">
        <f t="shared" si="8"/>
        <v>0.45</v>
      </c>
      <c r="N17" s="12">
        <f t="shared" si="9"/>
        <v>0.24997000000000003</v>
      </c>
      <c r="O17" s="12"/>
    </row>
    <row r="18" spans="1:23">
      <c r="A18">
        <v>4000</v>
      </c>
      <c r="B18" s="17" t="s">
        <v>15</v>
      </c>
      <c r="C18">
        <v>10</v>
      </c>
      <c r="D18" s="12">
        <v>5</v>
      </c>
      <c r="E18" s="12">
        <f t="shared" si="10"/>
        <v>0.25</v>
      </c>
      <c r="F18" s="12">
        <f t="shared" si="5"/>
        <v>0.08</v>
      </c>
      <c r="G18" s="12">
        <f t="shared" si="13"/>
        <v>0.81</v>
      </c>
      <c r="H18" s="12">
        <f t="shared" si="7"/>
        <v>0.1</v>
      </c>
      <c r="I18" s="12">
        <f t="shared" si="11"/>
        <v>0</v>
      </c>
      <c r="J18" s="12">
        <f t="shared" si="2"/>
        <v>3333.1950000000002</v>
      </c>
      <c r="K18" s="12">
        <f t="shared" si="12"/>
        <v>1</v>
      </c>
      <c r="L18" s="12">
        <f t="shared" si="4"/>
        <v>2.6998879500000004</v>
      </c>
      <c r="M18" s="12">
        <f t="shared" si="8"/>
        <v>0.32</v>
      </c>
      <c r="N18" s="12">
        <f t="shared" si="9"/>
        <v>0.33331950000000005</v>
      </c>
      <c r="O18" s="12"/>
    </row>
    <row r="19" spans="1:23" ht="68">
      <c r="A19">
        <v>5000</v>
      </c>
      <c r="B19" s="17" t="s">
        <v>16</v>
      </c>
      <c r="C19">
        <v>1009</v>
      </c>
      <c r="D19" s="12">
        <v>900</v>
      </c>
      <c r="E19" s="12">
        <f t="shared" si="10"/>
        <v>0.53</v>
      </c>
      <c r="F19" s="12">
        <f t="shared" si="5"/>
        <v>0.04</v>
      </c>
      <c r="G19" s="12">
        <f t="shared" si="13"/>
        <v>0.81</v>
      </c>
      <c r="H19" s="12">
        <f t="shared" si="7"/>
        <v>0.1</v>
      </c>
      <c r="I19" s="12">
        <f t="shared" si="11"/>
        <v>0</v>
      </c>
      <c r="J19" s="12">
        <f t="shared" si="2"/>
        <v>4166.3909999999996</v>
      </c>
      <c r="K19" s="12">
        <f t="shared" si="12"/>
        <v>2.65</v>
      </c>
      <c r="L19" s="12">
        <f t="shared" si="4"/>
        <v>3.3747767099999999</v>
      </c>
      <c r="M19" s="12">
        <f t="shared" si="8"/>
        <v>0.2</v>
      </c>
      <c r="N19" s="12">
        <f t="shared" si="9"/>
        <v>0.41663909999999998</v>
      </c>
      <c r="O19" s="12"/>
      <c r="P19" s="18" t="s">
        <v>6</v>
      </c>
      <c r="Q19" s="7" t="s">
        <v>7</v>
      </c>
      <c r="R19" s="7" t="s">
        <v>8</v>
      </c>
      <c r="S19" s="7" t="s">
        <v>9</v>
      </c>
      <c r="T19" s="7" t="s">
        <v>10</v>
      </c>
      <c r="W19" s="7"/>
    </row>
    <row r="20" spans="1:23">
      <c r="A20">
        <v>6000</v>
      </c>
      <c r="B20" s="17" t="s">
        <v>17</v>
      </c>
      <c r="C20">
        <v>200</v>
      </c>
      <c r="D20" s="12">
        <v>100</v>
      </c>
      <c r="E20" s="12">
        <f t="shared" si="10"/>
        <v>0.62</v>
      </c>
      <c r="F20" s="12">
        <f t="shared" si="5"/>
        <v>7.0000000000000007E-2</v>
      </c>
      <c r="G20" s="12">
        <f t="shared" si="13"/>
        <v>0.81</v>
      </c>
      <c r="H20" s="12">
        <f t="shared" si="7"/>
        <v>0.1</v>
      </c>
      <c r="I20" s="12">
        <f t="shared" si="11"/>
        <v>0</v>
      </c>
      <c r="J20" s="12">
        <f t="shared" si="2"/>
        <v>4999.7</v>
      </c>
      <c r="K20" s="12">
        <f t="shared" si="12"/>
        <v>3.72</v>
      </c>
      <c r="L20" s="12">
        <f t="shared" si="4"/>
        <v>4.0497570000000005</v>
      </c>
      <c r="M20" s="12">
        <f t="shared" si="8"/>
        <v>0.42000000000000004</v>
      </c>
      <c r="N20" s="12">
        <f t="shared" si="9"/>
        <v>0.49997000000000003</v>
      </c>
      <c r="O20" s="12"/>
      <c r="P20" s="17" t="s">
        <v>12</v>
      </c>
      <c r="Q20">
        <v>0.68</v>
      </c>
      <c r="R20">
        <v>188</v>
      </c>
      <c r="S20">
        <v>0.05</v>
      </c>
      <c r="T20">
        <v>15</v>
      </c>
    </row>
    <row r="21" spans="1:23">
      <c r="A21">
        <v>7000</v>
      </c>
      <c r="B21" s="17" t="s">
        <v>18</v>
      </c>
      <c r="C21">
        <v>300</v>
      </c>
      <c r="D21" s="12">
        <v>200</v>
      </c>
      <c r="E21" s="12">
        <f t="shared" si="10"/>
        <v>0.12</v>
      </c>
      <c r="F21" s="12">
        <f t="shared" si="5"/>
        <v>0.01</v>
      </c>
      <c r="G21" s="12">
        <f t="shared" si="13"/>
        <v>0.81</v>
      </c>
      <c r="H21" s="12">
        <f t="shared" si="7"/>
        <v>0.1</v>
      </c>
      <c r="I21" s="12">
        <f t="shared" si="11"/>
        <v>0</v>
      </c>
      <c r="J21" s="12">
        <f t="shared" si="2"/>
        <v>5833</v>
      </c>
      <c r="K21" s="12">
        <f t="shared" si="12"/>
        <v>0.84</v>
      </c>
      <c r="L21" s="12">
        <f t="shared" si="4"/>
        <v>4.7247300000000001</v>
      </c>
      <c r="M21" s="12">
        <f t="shared" si="8"/>
        <v>7.0000000000000007E-2</v>
      </c>
      <c r="N21" s="12">
        <f t="shared" si="9"/>
        <v>0.58330000000000004</v>
      </c>
      <c r="O21" s="12"/>
      <c r="P21" s="17" t="s">
        <v>33</v>
      </c>
      <c r="Q21">
        <v>0.68</v>
      </c>
      <c r="R21">
        <v>188</v>
      </c>
      <c r="S21">
        <v>0.05</v>
      </c>
      <c r="T21">
        <v>15</v>
      </c>
    </row>
    <row r="22" spans="1:23">
      <c r="A22">
        <v>8000</v>
      </c>
      <c r="B22" s="17" t="s">
        <v>19</v>
      </c>
      <c r="C22">
        <v>400</v>
      </c>
      <c r="D22" s="12">
        <v>20</v>
      </c>
      <c r="E22" s="12">
        <f t="shared" si="10"/>
        <v>0.54</v>
      </c>
      <c r="F22" s="12">
        <f t="shared" si="5"/>
        <v>7.0000000000000007E-2</v>
      </c>
      <c r="G22" s="12">
        <f t="shared" si="13"/>
        <v>0.81</v>
      </c>
      <c r="H22" s="12">
        <f t="shared" si="7"/>
        <v>0.1</v>
      </c>
      <c r="I22" s="12">
        <f t="shared" si="11"/>
        <v>0</v>
      </c>
      <c r="J22" s="12">
        <f t="shared" si="2"/>
        <v>6666.02</v>
      </c>
      <c r="K22" s="12">
        <f t="shared" si="12"/>
        <v>4.32</v>
      </c>
      <c r="L22" s="12">
        <f t="shared" si="4"/>
        <v>5.3994762000000014</v>
      </c>
      <c r="M22" s="12">
        <f t="shared" si="8"/>
        <v>0.56000000000000005</v>
      </c>
      <c r="N22" s="12">
        <f t="shared" si="9"/>
        <v>0.66660200000000014</v>
      </c>
      <c r="P22" s="17" t="s">
        <v>13</v>
      </c>
      <c r="Q22">
        <v>0.79</v>
      </c>
      <c r="R22">
        <v>220</v>
      </c>
      <c r="S22">
        <v>7.0000000000000007E-2</v>
      </c>
      <c r="T22">
        <v>18</v>
      </c>
    </row>
    <row r="23" spans="1:23">
      <c r="A23">
        <v>9000</v>
      </c>
      <c r="B23" s="16" t="s">
        <v>33</v>
      </c>
      <c r="C23" s="12">
        <v>500</v>
      </c>
      <c r="D23" s="12">
        <v>200</v>
      </c>
      <c r="E23" s="12">
        <f t="shared" si="10"/>
        <v>0.68</v>
      </c>
      <c r="F23" s="12">
        <f t="shared" si="5"/>
        <v>0.05</v>
      </c>
      <c r="G23" s="12">
        <f t="shared" si="13"/>
        <v>0.81</v>
      </c>
      <c r="H23" s="12">
        <f t="shared" si="7"/>
        <v>0.1</v>
      </c>
      <c r="I23" s="12">
        <f t="shared" si="11"/>
        <v>0.74129999999999996</v>
      </c>
      <c r="J23" s="12">
        <f t="shared" si="2"/>
        <v>827.70000000000073</v>
      </c>
      <c r="K23" s="12">
        <f t="shared" si="12"/>
        <v>6.12</v>
      </c>
      <c r="L23" s="12">
        <f t="shared" si="4"/>
        <v>0.67043700000000062</v>
      </c>
      <c r="M23" s="12">
        <f t="shared" si="8"/>
        <v>0.45</v>
      </c>
      <c r="N23" s="12">
        <f t="shared" si="9"/>
        <v>8.277000000000008E-2</v>
      </c>
      <c r="P23" s="17" t="s">
        <v>14</v>
      </c>
      <c r="Q23">
        <v>0.73</v>
      </c>
      <c r="R23">
        <v>204</v>
      </c>
      <c r="S23">
        <v>0.15</v>
      </c>
      <c r="T23">
        <v>42</v>
      </c>
    </row>
    <row r="24" spans="1:23">
      <c r="P24" s="17" t="s">
        <v>15</v>
      </c>
      <c r="Q24">
        <v>0.25</v>
      </c>
      <c r="R24">
        <v>71</v>
      </c>
      <c r="S24">
        <v>0.08</v>
      </c>
      <c r="T24">
        <v>21</v>
      </c>
    </row>
    <row r="25" spans="1:23">
      <c r="O25" s="12"/>
      <c r="P25" s="17" t="s">
        <v>16</v>
      </c>
      <c r="Q25">
        <v>0.53</v>
      </c>
      <c r="R25">
        <v>147</v>
      </c>
      <c r="S25">
        <v>0.04</v>
      </c>
      <c r="T25">
        <v>11</v>
      </c>
    </row>
    <row r="26" spans="1:23">
      <c r="O26" s="12"/>
      <c r="P26" s="17" t="s">
        <v>17</v>
      </c>
      <c r="Q26">
        <v>0.62</v>
      </c>
      <c r="R26">
        <v>173</v>
      </c>
      <c r="S26">
        <v>7.0000000000000007E-2</v>
      </c>
      <c r="T26">
        <v>20</v>
      </c>
    </row>
    <row r="27" spans="1:23">
      <c r="O27" s="12"/>
      <c r="P27" s="17" t="s">
        <v>18</v>
      </c>
      <c r="Q27">
        <v>0.12</v>
      </c>
      <c r="R27">
        <v>32</v>
      </c>
      <c r="S27">
        <v>0.01</v>
      </c>
      <c r="T27">
        <v>2</v>
      </c>
    </row>
    <row r="28" spans="1:23">
      <c r="O28" s="12"/>
      <c r="P28" s="17" t="s">
        <v>19</v>
      </c>
      <c r="Q28">
        <v>0.54</v>
      </c>
      <c r="R28">
        <v>149</v>
      </c>
      <c r="S28">
        <v>7.0000000000000007E-2</v>
      </c>
      <c r="T28">
        <v>19</v>
      </c>
    </row>
    <row r="29" spans="1:23">
      <c r="O29" s="12"/>
      <c r="P29" s="17" t="s">
        <v>11</v>
      </c>
      <c r="Q29">
        <v>0.65</v>
      </c>
      <c r="R29">
        <v>179</v>
      </c>
      <c r="S29">
        <v>0.08</v>
      </c>
      <c r="T29">
        <v>23</v>
      </c>
    </row>
    <row r="30" spans="1:23">
      <c r="O30" s="12"/>
    </row>
    <row r="31" spans="1:23">
      <c r="O31" s="12"/>
    </row>
    <row r="32" spans="1:23"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R32" s="2"/>
      <c r="S32" s="2"/>
    </row>
    <row r="33" spans="2:26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R33" s="2"/>
      <c r="S33" s="2"/>
    </row>
    <row r="34" spans="2:26"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  <row r="35" spans="2:26">
      <c r="C35" s="12"/>
      <c r="D35" s="12"/>
      <c r="E35" s="12"/>
      <c r="F35" s="12"/>
      <c r="G35" s="19"/>
      <c r="H35" s="19"/>
      <c r="I35" s="12"/>
      <c r="J35" s="12"/>
      <c r="K35" s="12"/>
      <c r="L35" s="12"/>
      <c r="M35" s="12"/>
      <c r="N35" s="12"/>
      <c r="O35" s="12"/>
      <c r="R35" s="2"/>
      <c r="S35" s="2"/>
      <c r="T35" s="8"/>
    </row>
    <row r="36" spans="2:26"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7"/>
      <c r="Q36" s="7"/>
      <c r="R36" s="14"/>
      <c r="T36" s="14"/>
      <c r="U36" s="15"/>
      <c r="V36" s="7"/>
      <c r="W36" s="7"/>
      <c r="X36" s="7"/>
    </row>
    <row r="37" spans="2:26">
      <c r="B37" s="16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R37" s="2"/>
      <c r="T37" s="2"/>
      <c r="U37" s="8"/>
    </row>
    <row r="38" spans="2:26">
      <c r="B38" s="16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</row>
    <row r="39" spans="2:26">
      <c r="B39" s="16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R39" s="2"/>
      <c r="T39" s="2"/>
    </row>
    <row r="40" spans="2:26"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R40" s="2"/>
      <c r="T40" s="2"/>
    </row>
    <row r="41" spans="2:26"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R41" s="2"/>
      <c r="T41" s="2"/>
      <c r="W41" s="7"/>
    </row>
    <row r="42" spans="2:26"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R42" s="2"/>
      <c r="T42" s="2"/>
      <c r="W42" s="7"/>
    </row>
    <row r="43" spans="2:26"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R43" s="2"/>
      <c r="T43" s="11"/>
      <c r="U43" s="10"/>
      <c r="V43" s="10"/>
      <c r="W43" s="10"/>
      <c r="X43" s="10"/>
      <c r="Y43" s="10"/>
      <c r="Z43" s="10"/>
    </row>
    <row r="44" spans="2:26">
      <c r="R44" s="2"/>
      <c r="T44" s="11"/>
      <c r="U44" s="10"/>
      <c r="V44" s="10"/>
      <c r="W44" s="10"/>
      <c r="X44" s="10"/>
      <c r="Y44" s="10"/>
      <c r="Z44" s="10"/>
    </row>
    <row r="45" spans="2:26">
      <c r="R45" s="2"/>
      <c r="T45" s="2"/>
      <c r="U45" s="8"/>
      <c r="Y45" s="10"/>
      <c r="Z45" s="10"/>
    </row>
    <row r="46" spans="2:26">
      <c r="Y46" s="10"/>
      <c r="Z46" s="10"/>
    </row>
    <row r="47" spans="2:26">
      <c r="R47" s="2"/>
      <c r="T47" s="2"/>
      <c r="Y47" s="10"/>
      <c r="Z47" s="10"/>
    </row>
    <row r="48" spans="2:26">
      <c r="R48" s="2"/>
      <c r="T48" s="2"/>
      <c r="W48" s="7"/>
      <c r="Y48" s="10"/>
      <c r="Z48" s="10"/>
    </row>
    <row r="49" spans="18:26">
      <c r="R49" s="2"/>
      <c r="T49" s="11"/>
      <c r="U49" s="10"/>
      <c r="V49" s="10"/>
      <c r="W49" s="10"/>
      <c r="X49" s="10"/>
      <c r="Y49" s="10"/>
      <c r="Z49" s="10"/>
    </row>
    <row r="50" spans="18:26">
      <c r="R50" s="2"/>
      <c r="T50" s="11"/>
      <c r="U50" s="10"/>
      <c r="V50" s="10"/>
      <c r="W50" s="10"/>
      <c r="X50" s="10"/>
      <c r="Y50" s="10"/>
      <c r="Z50" s="10"/>
    </row>
    <row r="51" spans="18:26">
      <c r="R51" s="2"/>
      <c r="T51" s="11"/>
      <c r="U51" s="10"/>
      <c r="V51" s="10"/>
      <c r="W51" s="10"/>
      <c r="X51" s="10"/>
      <c r="Y51" s="10"/>
      <c r="Z51" s="10"/>
    </row>
    <row r="52" spans="18:26">
      <c r="R52" s="2"/>
      <c r="T52" s="11"/>
      <c r="U52" s="10"/>
      <c r="V52" s="10"/>
      <c r="W52" s="10"/>
      <c r="X52" s="10"/>
      <c r="Y52" s="10"/>
      <c r="Z52" s="10"/>
    </row>
    <row r="53" spans="18:26">
      <c r="R53" s="2"/>
      <c r="T53" s="11"/>
      <c r="U53" s="10"/>
      <c r="V53" s="10"/>
      <c r="W53" s="10"/>
      <c r="X53" s="10"/>
      <c r="Y53" s="10"/>
      <c r="Z53" s="10"/>
    </row>
    <row r="54" spans="18:26">
      <c r="R54" s="2"/>
      <c r="T54" s="11"/>
      <c r="U54" s="10"/>
      <c r="V54" s="10"/>
      <c r="W54" s="10"/>
      <c r="X54" s="10"/>
      <c r="Y54" s="10"/>
      <c r="Z54" s="10"/>
    </row>
    <row r="55" spans="18:26">
      <c r="R55" s="2"/>
      <c r="T55" s="11"/>
      <c r="U55" s="10"/>
      <c r="V55" s="10"/>
      <c r="W55" s="10"/>
      <c r="X55" s="10"/>
      <c r="Y55" s="10"/>
      <c r="Z55" s="10"/>
    </row>
    <row r="56" spans="18:26">
      <c r="R56" s="2"/>
      <c r="T56" s="11"/>
      <c r="U56" s="10"/>
      <c r="V56" s="10"/>
      <c r="W56" s="10"/>
      <c r="X56" s="10"/>
      <c r="Y56" s="10"/>
      <c r="Z56" s="10"/>
    </row>
    <row r="57" spans="18:26">
      <c r="R57" s="2"/>
      <c r="T57" s="11"/>
      <c r="U57" s="10"/>
      <c r="V57" s="10"/>
      <c r="W57" s="10"/>
      <c r="X57" s="10"/>
      <c r="Y57" s="10"/>
      <c r="Z57" s="10"/>
    </row>
    <row r="58" spans="18:26">
      <c r="R58" s="2"/>
      <c r="T58" s="11"/>
      <c r="U58" s="10"/>
      <c r="V58" s="10"/>
      <c r="W58" s="10"/>
      <c r="X58" s="10"/>
      <c r="Y58" s="10"/>
      <c r="Z58" s="10"/>
    </row>
    <row r="59" spans="18:26">
      <c r="R59" s="2"/>
      <c r="T59" s="11"/>
      <c r="U59" s="10"/>
      <c r="V59" s="10"/>
      <c r="W59" s="10"/>
      <c r="X59" s="10"/>
      <c r="Y59" s="10"/>
      <c r="Z59" s="10"/>
    </row>
    <row r="60" spans="18:26">
      <c r="R60" s="2"/>
      <c r="T60" s="11"/>
      <c r="U60" s="10"/>
      <c r="V60" s="10"/>
      <c r="W60" s="10"/>
      <c r="X60" s="10"/>
      <c r="Y60" s="10"/>
      <c r="Z60" s="10"/>
    </row>
    <row r="61" spans="18:26">
      <c r="R61" s="2"/>
      <c r="T61" s="11"/>
      <c r="U61" s="10"/>
      <c r="V61" s="10"/>
      <c r="W61" s="10"/>
      <c r="X61" s="10"/>
      <c r="Y61" s="10"/>
      <c r="Z61" s="10"/>
    </row>
    <row r="62" spans="18:26">
      <c r="R62" s="2"/>
      <c r="T62" s="11"/>
      <c r="U62" s="10"/>
      <c r="V62" s="10"/>
      <c r="W62" s="10"/>
      <c r="X62" s="10"/>
      <c r="Y62" s="10"/>
      <c r="Z62" s="10"/>
    </row>
    <row r="63" spans="18:26">
      <c r="R63" s="2"/>
      <c r="T63" s="11"/>
      <c r="U63" s="10"/>
      <c r="V63" s="10"/>
      <c r="W63" s="10"/>
      <c r="X63" s="10"/>
      <c r="Y63" s="10"/>
      <c r="Z63" s="10"/>
    </row>
    <row r="64" spans="18:26">
      <c r="R64" s="2"/>
      <c r="T64" s="9"/>
      <c r="U64" s="9"/>
      <c r="V64" s="9"/>
      <c r="X64" s="9"/>
      <c r="Y64" s="9"/>
      <c r="Z64" s="9"/>
    </row>
    <row r="65" spans="18:26">
      <c r="T65" s="2"/>
      <c r="U65" s="11"/>
      <c r="V65" s="10"/>
      <c r="Y65" s="9"/>
      <c r="Z65" s="9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2026-03-03T10:27:15Z</dcterms:modified>
</cp:coreProperties>
</file>