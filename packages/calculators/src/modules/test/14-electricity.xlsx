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kcheesman/Desktop/Work/EAP/Code/emissions-calculators/packages/calculators/src/modules/test/"/>
    </mc:Choice>
  </mc:AlternateContent>
  <xr:revisionPtr revIDLastSave="0" documentId="13_ncr:1_{27BA3B66-F57E-3448-BA5C-F3FCD1B335D6}" xr6:coauthVersionLast="47" xr6:coauthVersionMax="47" xr10:uidLastSave="{00000000-0000-0000-0000-000000000000}"/>
  <bookViews>
    <workbookView xWindow="0" yWindow="660" windowWidth="28800" windowHeight="15900" xr2:uid="{5678E890-3691-CF46-80E7-00FB1F103661}"/>
  </bookViews>
  <sheets>
    <sheet name="14.1.1.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3" l="1"/>
  <c r="M14" i="3"/>
  <c r="H6" i="3"/>
  <c r="H7" i="3"/>
  <c r="H8" i="3"/>
  <c r="H9" i="3"/>
  <c r="H10" i="3"/>
  <c r="H11" i="3"/>
  <c r="H12" i="3"/>
  <c r="H13" i="3"/>
  <c r="H15" i="3"/>
  <c r="H16" i="3"/>
  <c r="H17" i="3"/>
  <c r="H18" i="3"/>
  <c r="H19" i="3"/>
  <c r="H20" i="3"/>
  <c r="H21" i="3"/>
  <c r="H22" i="3"/>
  <c r="H23" i="3"/>
  <c r="H5" i="3"/>
  <c r="F6" i="3"/>
  <c r="M6" i="3" s="1"/>
  <c r="F7" i="3"/>
  <c r="M7" i="3" s="1"/>
  <c r="F8" i="3"/>
  <c r="M8" i="3" s="1"/>
  <c r="F9" i="3"/>
  <c r="M9" i="3" s="1"/>
  <c r="F10" i="3"/>
  <c r="M10" i="3" s="1"/>
  <c r="F11" i="3"/>
  <c r="M11" i="3" s="1"/>
  <c r="F12" i="3"/>
  <c r="M12" i="3" s="1"/>
  <c r="F13" i="3"/>
  <c r="M13" i="3" s="1"/>
  <c r="F14" i="3"/>
  <c r="F15" i="3"/>
  <c r="F16" i="3"/>
  <c r="F17" i="3"/>
  <c r="F18" i="3"/>
  <c r="F19" i="3"/>
  <c r="F20" i="3"/>
  <c r="F21" i="3"/>
  <c r="F22" i="3"/>
  <c r="F23" i="3"/>
  <c r="F5" i="3"/>
  <c r="M5" i="3" s="1"/>
  <c r="L14" i="3"/>
  <c r="I23" i="3"/>
  <c r="J23" i="3" s="1"/>
  <c r="G23" i="3"/>
  <c r="E23" i="3"/>
  <c r="I22" i="3"/>
  <c r="J22" i="3" s="1"/>
  <c r="N22" i="3" s="1"/>
  <c r="G22" i="3"/>
  <c r="E22" i="3"/>
  <c r="I21" i="3"/>
  <c r="J21" i="3" s="1"/>
  <c r="N21" i="3" s="1"/>
  <c r="G21" i="3"/>
  <c r="E21" i="3"/>
  <c r="I20" i="3"/>
  <c r="J20" i="3" s="1"/>
  <c r="G20" i="3"/>
  <c r="E20" i="3"/>
  <c r="I19" i="3"/>
  <c r="J19" i="3" s="1"/>
  <c r="G19" i="3"/>
  <c r="E19" i="3"/>
  <c r="I18" i="3"/>
  <c r="J18" i="3" s="1"/>
  <c r="N18" i="3" s="1"/>
  <c r="G18" i="3"/>
  <c r="E18" i="3"/>
  <c r="I17" i="3"/>
  <c r="J17" i="3" s="1"/>
  <c r="G17" i="3"/>
  <c r="E17" i="3"/>
  <c r="I16" i="3"/>
  <c r="J16" i="3" s="1"/>
  <c r="N16" i="3" s="1"/>
  <c r="G16" i="3"/>
  <c r="E16" i="3"/>
  <c r="I15" i="3"/>
  <c r="J15" i="3" s="1"/>
  <c r="G15" i="3"/>
  <c r="E15" i="3"/>
  <c r="G6" i="3"/>
  <c r="G7" i="3"/>
  <c r="G8" i="3"/>
  <c r="G9" i="3"/>
  <c r="G10" i="3"/>
  <c r="G11" i="3"/>
  <c r="G12" i="3"/>
  <c r="G13" i="3"/>
  <c r="G5" i="3"/>
  <c r="E13" i="3"/>
  <c r="K13" i="3" s="1"/>
  <c r="I13" i="3"/>
  <c r="J13" i="3" s="1"/>
  <c r="I6" i="3"/>
  <c r="J6" i="3" s="1"/>
  <c r="I7" i="3"/>
  <c r="J7" i="3" s="1"/>
  <c r="I8" i="3"/>
  <c r="J8" i="3" s="1"/>
  <c r="I9" i="3"/>
  <c r="J9" i="3" s="1"/>
  <c r="I10" i="3"/>
  <c r="J10" i="3" s="1"/>
  <c r="I11" i="3"/>
  <c r="J11" i="3" s="1"/>
  <c r="I12" i="3"/>
  <c r="J12" i="3" s="1"/>
  <c r="I5" i="3"/>
  <c r="J5" i="3" s="1"/>
  <c r="E6" i="3"/>
  <c r="K6" i="3" s="1"/>
  <c r="E7" i="3"/>
  <c r="K7" i="3" s="1"/>
  <c r="E8" i="3"/>
  <c r="K8" i="3" s="1"/>
  <c r="E9" i="3"/>
  <c r="K9" i="3" s="1"/>
  <c r="E10" i="3"/>
  <c r="K10" i="3" s="1"/>
  <c r="E11" i="3"/>
  <c r="K11" i="3" s="1"/>
  <c r="E12" i="3"/>
  <c r="K12" i="3" s="1"/>
  <c r="E5" i="3"/>
  <c r="K5" i="3" s="1"/>
  <c r="N19" i="3" l="1"/>
  <c r="N17" i="3"/>
  <c r="N20" i="3"/>
  <c r="N23" i="3"/>
  <c r="N15" i="3"/>
  <c r="L15" i="3"/>
  <c r="L17" i="3"/>
  <c r="L16" i="3"/>
  <c r="L22" i="3"/>
  <c r="L18" i="3"/>
  <c r="L21" i="3"/>
  <c r="L19" i="3"/>
  <c r="L20" i="3"/>
  <c r="L23" i="3"/>
</calcChain>
</file>

<file path=xl/sharedStrings.xml><?xml version="1.0" encoding="utf-8"?>
<sst xmlns="http://schemas.openxmlformats.org/spreadsheetml/2006/main" count="63" uniqueCount="42">
  <si>
    <t>Method 1</t>
  </si>
  <si>
    <t>Scope 3 EF</t>
  </si>
  <si>
    <r>
      <t>𝐸</t>
    </r>
    <r>
      <rPr>
        <sz val="8"/>
        <color rgb="FF000000"/>
        <rFont val="Helvetica"/>
        <family val="2"/>
      </rPr>
      <t xml:space="preserve">2,𝑒𝑙𝑒𝑐 </t>
    </r>
    <r>
      <rPr>
        <sz val="11"/>
        <color rgb="FF000000"/>
        <rFont val="Helvetica"/>
        <family val="2"/>
      </rPr>
      <t>= 𝑄</t>
    </r>
    <r>
      <rPr>
        <sz val="8"/>
        <color rgb="FF000000"/>
        <rFont val="Helvetica"/>
        <family val="2"/>
      </rPr>
      <t xml:space="preserve">𝑒𝑙𝑒𝑐 </t>
    </r>
    <r>
      <rPr>
        <sz val="11"/>
        <color rgb="FF000000"/>
        <rFont val="Helvetica"/>
        <family val="2"/>
      </rPr>
      <t>× 𝐸𝐹</t>
    </r>
    <r>
      <rPr>
        <sz val="8"/>
        <color rgb="FF000000"/>
        <rFont val="Helvetica"/>
        <family val="2"/>
      </rPr>
      <t>2,𝑒𝑙𝑒𝑐</t>
    </r>
    <r>
      <rPr>
        <sz val="11"/>
        <color rgb="FF000000"/>
        <rFont val="Helvetica"/>
        <family val="2"/>
      </rPr>
      <t xml:space="preserve"> × 10</t>
    </r>
    <r>
      <rPr>
        <sz val="8"/>
        <color rgb="FF000000"/>
        <rFont val="Helvetica"/>
        <family val="2"/>
      </rPr>
      <t>−3</t>
    </r>
  </si>
  <si>
    <t>Qelec</t>
  </si>
  <si>
    <t>Amount purchased from grid kWh</t>
  </si>
  <si>
    <t>State</t>
  </si>
  <si>
    <t>State Territory or grid description</t>
  </si>
  <si>
    <t>Scope 2 Emission Factors (kg CO2-e/kWh)</t>
  </si>
  <si>
    <t>Scope 3 Emission Factors (kg CO2-e/kWh)</t>
  </si>
  <si>
    <t>National</t>
  </si>
  <si>
    <t>EF2elec</t>
  </si>
  <si>
    <t>RECsurr</t>
  </si>
  <si>
    <t>REConsite</t>
  </si>
  <si>
    <t>EFrmf2</t>
  </si>
  <si>
    <t>JRPP</t>
  </si>
  <si>
    <t>RMF</t>
  </si>
  <si>
    <t>Scope 2 EF</t>
  </si>
  <si>
    <t>NGAF table 2</t>
  </si>
  <si>
    <t>https://cer.gov.au/schemes/renewable-energy-target/renewable-energy-target-liability-and-exemptions/renewable-power-percentage</t>
  </si>
  <si>
    <t>RPP (2026)</t>
  </si>
  <si>
    <t>NGAF 2023 p10</t>
  </si>
  <si>
    <t>Non renewables</t>
  </si>
  <si>
    <r>
      <t>(𝑄</t>
    </r>
    <r>
      <rPr>
        <sz val="8"/>
        <color rgb="FF000000"/>
        <rFont val="Helvetica"/>
        <family val="2"/>
      </rPr>
      <t xml:space="preserve">𝑒𝑙𝑒𝑐 </t>
    </r>
    <r>
      <rPr>
        <sz val="11"/>
        <color rgb="FF000000"/>
        <rFont val="Helvetica"/>
        <family val="2"/>
      </rPr>
      <t>× (1 − (𝑅𝑃𝑃 + 𝐽𝑅𝑃𝑃)) − ((𝑅𝐸𝐶𝑠𝑢𝑟𝑟𝑒𝑛𝑑𝑒𝑟𝑒𝑑− 𝑅𝐸𝐶𝑜𝑛𝑠𝑖𝑡𝑒) × 10−3))</t>
    </r>
  </si>
  <si>
    <r>
      <t>𝐸</t>
    </r>
    <r>
      <rPr>
        <sz val="8"/>
        <color rgb="FF000000"/>
        <rFont val="Helvetica"/>
        <family val="2"/>
      </rPr>
      <t xml:space="preserve">2,𝑒𝑙𝑒𝑐 </t>
    </r>
    <r>
      <rPr>
        <sz val="11"/>
        <color rgb="FF000000"/>
        <rFont val="Helvetica"/>
        <family val="2"/>
      </rPr>
      <t>= "non renewables" × 𝐸𝐹 𝑅𝑀𝐹2,𝑒𝑙𝑒𝑐 × 10−3</t>
    </r>
  </si>
  <si>
    <r>
      <t>𝐸</t>
    </r>
    <r>
      <rPr>
        <sz val="8"/>
        <color rgb="FF000000"/>
        <rFont val="Helvetica"/>
        <family val="2"/>
      </rPr>
      <t xml:space="preserve">3,𝑒𝑙𝑒𝑐 </t>
    </r>
    <r>
      <rPr>
        <sz val="11"/>
        <color rgb="FF000000"/>
        <rFont val="Helvetica"/>
        <family val="2"/>
      </rPr>
      <t>= 𝑄</t>
    </r>
    <r>
      <rPr>
        <sz val="8"/>
        <color rgb="FF000000"/>
        <rFont val="Helvetica"/>
        <family val="2"/>
      </rPr>
      <t xml:space="preserve">𝑒𝑙𝑒𝑐 </t>
    </r>
    <r>
      <rPr>
        <sz val="11"/>
        <color rgb="FF000000"/>
        <rFont val="Helvetica"/>
        <family val="2"/>
      </rPr>
      <t xml:space="preserve">× 𝐸𝐹 </t>
    </r>
    <r>
      <rPr>
        <sz val="8"/>
        <color rgb="FF000000"/>
        <rFont val="Helvetica"/>
        <family val="2"/>
      </rPr>
      <t>3,𝑒𝑙𝑒𝑐</t>
    </r>
    <r>
      <rPr>
        <sz val="11"/>
        <color rgb="FF000000"/>
        <rFont val="Helvetica"/>
        <family val="2"/>
      </rPr>
      <t xml:space="preserve"> × 10</t>
    </r>
    <r>
      <rPr>
        <sz val="8"/>
        <color rgb="FF000000"/>
        <rFont val="Helvetica"/>
        <family val="2"/>
      </rPr>
      <t>−3</t>
    </r>
  </si>
  <si>
    <r>
      <t>𝐸</t>
    </r>
    <r>
      <rPr>
        <sz val="8"/>
        <color rgb="FF000000"/>
        <rFont val="Helvetica"/>
        <family val="2"/>
      </rPr>
      <t xml:space="preserve">3,𝑒𝑙𝑒𝑐 </t>
    </r>
    <r>
      <rPr>
        <sz val="11"/>
        <color rgb="FF000000"/>
        <rFont val="Helvetica"/>
        <family val="2"/>
      </rPr>
      <t>= "non renewables" × 𝐸𝐹 𝑅𝑀𝐹3,𝑒𝑙𝑒𝑐 × 10−3</t>
    </r>
  </si>
  <si>
    <t>EF3elec</t>
  </si>
  <si>
    <t>EFrmf3elec</t>
  </si>
  <si>
    <t>MWh</t>
  </si>
  <si>
    <t>E2elec (Location)</t>
  </si>
  <si>
    <t>E2elec (Market)</t>
  </si>
  <si>
    <t>E3elec (Location)</t>
  </si>
  <si>
    <t>E3elec (Market)</t>
  </si>
  <si>
    <t>NSW</t>
  </si>
  <si>
    <t>VIC</t>
  </si>
  <si>
    <t>QLD</t>
  </si>
  <si>
    <t>SA</t>
  </si>
  <si>
    <t>WA_SW</t>
  </si>
  <si>
    <t>WA_NW</t>
  </si>
  <si>
    <t>TAS</t>
  </si>
  <si>
    <t>NT</t>
  </si>
  <si>
    <t>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</si>
</sst>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9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sz val="12"/>
      <color theme="1"/>
      <name val="Helvetica"/>
      <family val="2"/>
    </font>
    <font>
      <sz val="12"/>
      <name val="Aptos Narrow"/>
      <scheme val="minor"/>
    </font>
    <font>
      <sz val="10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12"/>
      <name val="Menlo"/>
      <family val="2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5" fillId="0" borderId="0" xfId="0" applyFont="1"/>
    <xf numFmtId="2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4" fontId="0" fillId="0" borderId="0" xfId="0" applyNumberFormat="1"/>
    <xf numFmtId="0" fontId="0" fillId="2" borderId="0" xfId="0" applyFill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166" fontId="0" fillId="0" borderId="0" xfId="0" applyNumberFormat="1"/>
    <xf numFmtId="0" fontId="1" fillId="0" borderId="0" xfId="0" applyFont="1" applyAlignment="1">
      <alignment wrapText="1"/>
    </xf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er.gov.au/schemes/renewable-energy-target/renewable-energy-target-liability-and-exemptions/renewable-power-percent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F442-5EF4-1A4A-85C1-C6F2CC54DF49}">
  <dimension ref="A1:Z84"/>
  <sheetViews>
    <sheetView tabSelected="1" topLeftCell="K1" workbookViewId="0">
      <selection activeCell="R5" sqref="R5"/>
    </sheetView>
  </sheetViews>
  <sheetFormatPr baseColWidth="10" defaultRowHeight="16"/>
  <cols>
    <col min="1" max="1" width="27.83203125" bestFit="1" customWidth="1"/>
    <col min="2" max="2" width="7" bestFit="1" customWidth="1"/>
    <col min="3" max="3" width="7.6640625" bestFit="1" customWidth="1"/>
    <col min="5" max="5" width="10.1640625" bestFit="1" customWidth="1"/>
    <col min="6" max="6" width="10.1640625" customWidth="1"/>
    <col min="7" max="7" width="10.1640625" bestFit="1" customWidth="1"/>
    <col min="8" max="9" width="10.1640625" customWidth="1"/>
    <col min="10" max="10" width="14.6640625" customWidth="1"/>
    <col min="11" max="11" width="15.33203125" customWidth="1"/>
    <col min="12" max="12" width="24.83203125" customWidth="1"/>
    <col min="13" max="13" width="10.1640625" customWidth="1"/>
    <col min="14" max="14" width="24" customWidth="1"/>
    <col min="15" max="15" width="10.1640625" customWidth="1"/>
    <col min="16" max="16" width="37.5" customWidth="1"/>
    <col min="17" max="17" width="30.83203125" bestFit="1" customWidth="1"/>
    <col min="18" max="18" width="17.83203125" customWidth="1"/>
    <col min="19" max="19" width="14.83203125" customWidth="1"/>
    <col min="20" max="20" width="18.33203125" customWidth="1"/>
    <col min="21" max="21" width="17.6640625" bestFit="1" customWidth="1"/>
    <col min="22" max="22" width="17" bestFit="1" customWidth="1"/>
    <col min="23" max="23" width="16.5" customWidth="1"/>
  </cols>
  <sheetData>
    <row r="1" spans="1:18" ht="32">
      <c r="A1" s="3" t="s">
        <v>0</v>
      </c>
      <c r="K1" s="19" t="s">
        <v>2</v>
      </c>
      <c r="M1" s="1" t="s">
        <v>24</v>
      </c>
    </row>
    <row r="2" spans="1:18" ht="50" customHeight="1">
      <c r="L2" s="19" t="s">
        <v>23</v>
      </c>
      <c r="N2" s="19" t="s">
        <v>25</v>
      </c>
    </row>
    <row r="3" spans="1:18" ht="17">
      <c r="A3" t="s">
        <v>4</v>
      </c>
      <c r="C3" s="6" t="s">
        <v>28</v>
      </c>
      <c r="D3" s="6" t="s">
        <v>28</v>
      </c>
      <c r="E3" s="6"/>
      <c r="F3" s="6"/>
      <c r="G3" s="6"/>
      <c r="H3" s="6"/>
      <c r="I3" s="6"/>
      <c r="J3" s="1" t="s">
        <v>22</v>
      </c>
      <c r="K3" s="1"/>
      <c r="M3" s="6"/>
      <c r="N3" s="1"/>
      <c r="O3" s="1"/>
      <c r="Q3" s="1"/>
    </row>
    <row r="4" spans="1:18" ht="17">
      <c r="A4" s="12" t="s">
        <v>3</v>
      </c>
      <c r="B4" s="4" t="s">
        <v>5</v>
      </c>
      <c r="C4" s="4" t="s">
        <v>11</v>
      </c>
      <c r="D4" s="4" t="s">
        <v>12</v>
      </c>
      <c r="E4" t="s">
        <v>10</v>
      </c>
      <c r="F4" t="s">
        <v>26</v>
      </c>
      <c r="G4" t="s">
        <v>13</v>
      </c>
      <c r="H4" t="s">
        <v>27</v>
      </c>
      <c r="I4" t="s">
        <v>14</v>
      </c>
      <c r="J4" t="s">
        <v>21</v>
      </c>
      <c r="K4" s="5" t="s">
        <v>29</v>
      </c>
      <c r="L4" s="5" t="s">
        <v>30</v>
      </c>
      <c r="M4" s="5" t="s">
        <v>31</v>
      </c>
      <c r="N4" s="5" t="s">
        <v>32</v>
      </c>
      <c r="P4" t="s">
        <v>19</v>
      </c>
      <c r="Q4">
        <v>0.16669999999999999</v>
      </c>
      <c r="R4" s="20" t="s">
        <v>18</v>
      </c>
    </row>
    <row r="5" spans="1:18">
      <c r="A5">
        <v>1000</v>
      </c>
      <c r="B5" s="16" t="s">
        <v>33</v>
      </c>
      <c r="D5" s="11"/>
      <c r="E5" s="11">
        <f t="shared" ref="E5:E13" si="0">IF(ISBLANK(A5), "", VLOOKUP(B5, $P$20:$T$28, 2, FALSE))</f>
        <v>0.6</v>
      </c>
      <c r="F5" s="11">
        <f>IF(ISBLANK(A5), "", VLOOKUP(B5, $P$20:$T$28, 4, FALSE))</f>
        <v>7.0000000000000007E-2</v>
      </c>
      <c r="G5" s="11">
        <f>$Q$15</f>
        <v>0.79</v>
      </c>
      <c r="H5" s="11">
        <f>$R$15</f>
        <v>0.11</v>
      </c>
      <c r="I5" s="11">
        <f t="shared" ref="I5:I13" si="1">IF(ISBLANK(A5), "", IF(B5="act", $Q$5, 0))</f>
        <v>0</v>
      </c>
      <c r="J5" s="11">
        <f>A5*(1-($Q$4+I5))-((C5-D5)*1000)</f>
        <v>833.30000000000007</v>
      </c>
      <c r="K5" s="11">
        <f>A5*E5/1000</f>
        <v>0.6</v>
      </c>
      <c r="L5" s="11"/>
      <c r="M5" s="11">
        <f>IF(ISBLANK(A5), "", A5*F5/1000)</f>
        <v>7.0000000000000007E-2</v>
      </c>
      <c r="N5" s="11"/>
      <c r="O5" s="11"/>
      <c r="P5" t="s">
        <v>14</v>
      </c>
      <c r="Q5">
        <v>0.79510000000000003</v>
      </c>
      <c r="R5" t="s">
        <v>20</v>
      </c>
    </row>
    <row r="6" spans="1:18">
      <c r="A6">
        <v>2000</v>
      </c>
      <c r="B6" s="16" t="s">
        <v>34</v>
      </c>
      <c r="D6" s="11"/>
      <c r="E6" s="11">
        <f t="shared" si="0"/>
        <v>0.74</v>
      </c>
      <c r="F6" s="11">
        <f t="shared" ref="F6:F23" si="2">IF(ISBLANK(A6), "", VLOOKUP(B6, $P$20:$T$28, 4, FALSE))</f>
        <v>0.11</v>
      </c>
      <c r="G6" s="11">
        <f t="shared" ref="G6:G13" si="3">$Q$15</f>
        <v>0.79</v>
      </c>
      <c r="H6" s="11">
        <f t="shared" ref="H6:H23" si="4">$R$15</f>
        <v>0.11</v>
      </c>
      <c r="I6" s="11">
        <f t="shared" si="1"/>
        <v>0</v>
      </c>
      <c r="J6" s="11">
        <f t="shared" ref="J6:J23" si="5">A6*(1-($Q$4+I6))-((C6-D6)*1000)</f>
        <v>1666.6000000000001</v>
      </c>
      <c r="K6" s="11">
        <f t="shared" ref="K6:K13" si="6">A6*E6/1000</f>
        <v>1.48</v>
      </c>
      <c r="L6" s="11"/>
      <c r="M6" s="11">
        <f t="shared" ref="M6:M14" si="7">IF(ISBLANK(A6), "", A6*F6/1000)</f>
        <v>0.22</v>
      </c>
      <c r="N6" s="11"/>
      <c r="O6" s="11"/>
    </row>
    <row r="7" spans="1:18">
      <c r="A7">
        <v>3000</v>
      </c>
      <c r="B7" s="16" t="s">
        <v>35</v>
      </c>
      <c r="D7" s="11"/>
      <c r="E7" s="11">
        <f t="shared" si="0"/>
        <v>0.65</v>
      </c>
      <c r="F7" s="11">
        <f t="shared" si="2"/>
        <v>0.11</v>
      </c>
      <c r="G7" s="11">
        <f t="shared" si="3"/>
        <v>0.79</v>
      </c>
      <c r="H7" s="11">
        <f t="shared" si="4"/>
        <v>0.11</v>
      </c>
      <c r="I7" s="11">
        <f t="shared" si="1"/>
        <v>0</v>
      </c>
      <c r="J7" s="11">
        <f t="shared" si="5"/>
        <v>2499.9</v>
      </c>
      <c r="K7" s="11">
        <f t="shared" si="6"/>
        <v>1.95</v>
      </c>
      <c r="L7" s="11"/>
      <c r="M7" s="11">
        <f t="shared" si="7"/>
        <v>0.33</v>
      </c>
      <c r="N7" s="11"/>
      <c r="O7" s="11"/>
    </row>
    <row r="8" spans="1:18">
      <c r="A8">
        <v>4000</v>
      </c>
      <c r="B8" s="16" t="s">
        <v>36</v>
      </c>
      <c r="D8" s="11"/>
      <c r="E8" s="11">
        <f t="shared" si="0"/>
        <v>0.21</v>
      </c>
      <c r="F8" s="11">
        <f t="shared" si="2"/>
        <v>0.03</v>
      </c>
      <c r="G8" s="11">
        <f t="shared" si="3"/>
        <v>0.79</v>
      </c>
      <c r="H8" s="11">
        <f t="shared" si="4"/>
        <v>0.11</v>
      </c>
      <c r="I8" s="11">
        <f t="shared" si="1"/>
        <v>0</v>
      </c>
      <c r="J8" s="11">
        <f t="shared" si="5"/>
        <v>3333.2000000000003</v>
      </c>
      <c r="K8" s="11">
        <f t="shared" si="6"/>
        <v>0.84</v>
      </c>
      <c r="L8" s="11"/>
      <c r="M8" s="11">
        <f t="shared" si="7"/>
        <v>0.12</v>
      </c>
      <c r="N8" s="11"/>
      <c r="O8" s="11"/>
    </row>
    <row r="9" spans="1:18">
      <c r="A9">
        <v>5000</v>
      </c>
      <c r="B9" s="16" t="s">
        <v>37</v>
      </c>
      <c r="D9" s="11"/>
      <c r="E9" s="11">
        <f t="shared" si="0"/>
        <v>0.45</v>
      </c>
      <c r="F9" s="11">
        <f t="shared" si="2"/>
        <v>0.1</v>
      </c>
      <c r="G9" s="11">
        <f t="shared" si="3"/>
        <v>0.79</v>
      </c>
      <c r="H9" s="11">
        <f t="shared" si="4"/>
        <v>0.11</v>
      </c>
      <c r="I9" s="11">
        <f t="shared" si="1"/>
        <v>0</v>
      </c>
      <c r="J9" s="11">
        <f t="shared" si="5"/>
        <v>4166.5</v>
      </c>
      <c r="K9" s="11">
        <f t="shared" si="6"/>
        <v>2.25</v>
      </c>
      <c r="L9" s="11"/>
      <c r="M9" s="11">
        <f t="shared" si="7"/>
        <v>0.5</v>
      </c>
      <c r="N9" s="11"/>
    </row>
    <row r="10" spans="1:18">
      <c r="A10">
        <v>6000</v>
      </c>
      <c r="B10" s="16" t="s">
        <v>38</v>
      </c>
      <c r="D10" s="11"/>
      <c r="E10" s="11">
        <f t="shared" si="0"/>
        <v>0.56000000000000005</v>
      </c>
      <c r="F10" s="11">
        <f t="shared" si="2"/>
        <v>0.09</v>
      </c>
      <c r="G10" s="11">
        <f t="shared" si="3"/>
        <v>0.79</v>
      </c>
      <c r="H10" s="11">
        <f t="shared" si="4"/>
        <v>0.11</v>
      </c>
      <c r="I10" s="11">
        <f t="shared" si="1"/>
        <v>0</v>
      </c>
      <c r="J10" s="11">
        <f t="shared" si="5"/>
        <v>4999.8</v>
      </c>
      <c r="K10" s="11">
        <f t="shared" si="6"/>
        <v>3.3600000000000003</v>
      </c>
      <c r="L10" s="11"/>
      <c r="M10" s="11">
        <f t="shared" si="7"/>
        <v>0.54</v>
      </c>
      <c r="N10" s="11"/>
    </row>
    <row r="11" spans="1:18">
      <c r="A11">
        <v>7000</v>
      </c>
      <c r="B11" s="16" t="s">
        <v>39</v>
      </c>
      <c r="D11" s="11"/>
      <c r="E11" s="11">
        <f t="shared" si="0"/>
        <v>0.21</v>
      </c>
      <c r="F11" s="11">
        <f t="shared" si="2"/>
        <v>0.03</v>
      </c>
      <c r="G11" s="11">
        <f t="shared" si="3"/>
        <v>0.79</v>
      </c>
      <c r="H11" s="11">
        <f t="shared" si="4"/>
        <v>0.11</v>
      </c>
      <c r="I11" s="11">
        <f t="shared" si="1"/>
        <v>0</v>
      </c>
      <c r="J11" s="11">
        <f t="shared" si="5"/>
        <v>5833.1</v>
      </c>
      <c r="K11" s="11">
        <f t="shared" si="6"/>
        <v>1.47</v>
      </c>
      <c r="L11" s="11"/>
      <c r="M11" s="11">
        <f t="shared" si="7"/>
        <v>0.21</v>
      </c>
      <c r="N11" s="11"/>
    </row>
    <row r="12" spans="1:18">
      <c r="A12">
        <v>8000</v>
      </c>
      <c r="B12" s="16" t="s">
        <v>40</v>
      </c>
      <c r="D12" s="11"/>
      <c r="E12" s="11">
        <f t="shared" si="0"/>
        <v>0.55000000000000004</v>
      </c>
      <c r="F12" s="11">
        <f t="shared" si="2"/>
        <v>0.13</v>
      </c>
      <c r="G12" s="11">
        <f t="shared" si="3"/>
        <v>0.79</v>
      </c>
      <c r="H12" s="11">
        <f t="shared" si="4"/>
        <v>0.11</v>
      </c>
      <c r="I12" s="11">
        <f t="shared" si="1"/>
        <v>0</v>
      </c>
      <c r="J12" s="11">
        <f t="shared" si="5"/>
        <v>6666.4000000000005</v>
      </c>
      <c r="K12" s="11">
        <f t="shared" si="6"/>
        <v>4.4000000000000004</v>
      </c>
      <c r="L12" s="11"/>
      <c r="M12" s="11">
        <f t="shared" si="7"/>
        <v>1.04</v>
      </c>
      <c r="N12" s="11"/>
    </row>
    <row r="13" spans="1:18">
      <c r="A13">
        <v>9000</v>
      </c>
      <c r="B13" s="15" t="s">
        <v>41</v>
      </c>
      <c r="C13" s="11"/>
      <c r="D13" s="11"/>
      <c r="E13" s="11">
        <f t="shared" si="0"/>
        <v>0.6</v>
      </c>
      <c r="F13" s="11">
        <f t="shared" si="2"/>
        <v>7.0000000000000007E-2</v>
      </c>
      <c r="G13" s="11">
        <f t="shared" si="3"/>
        <v>0.79</v>
      </c>
      <c r="H13" s="11">
        <f t="shared" si="4"/>
        <v>0.11</v>
      </c>
      <c r="I13" s="11">
        <f t="shared" si="1"/>
        <v>0.79510000000000003</v>
      </c>
      <c r="J13" s="11">
        <f t="shared" si="5"/>
        <v>343.80000000000013</v>
      </c>
      <c r="K13" s="11">
        <f t="shared" si="6"/>
        <v>5.4</v>
      </c>
      <c r="L13" s="11"/>
      <c r="M13" s="11">
        <f t="shared" si="7"/>
        <v>0.63000000000000012</v>
      </c>
      <c r="N13" s="11"/>
      <c r="O13" s="11"/>
      <c r="P13" t="s">
        <v>17</v>
      </c>
    </row>
    <row r="14" spans="1:18">
      <c r="B14" s="15"/>
      <c r="C14" s="11"/>
      <c r="D14" s="11"/>
      <c r="E14" s="11"/>
      <c r="F14" s="11" t="str">
        <f t="shared" si="2"/>
        <v/>
      </c>
      <c r="G14" s="11"/>
      <c r="H14" s="11"/>
      <c r="I14" s="11"/>
      <c r="J14" s="11"/>
      <c r="K14" s="11"/>
      <c r="L14" s="11" t="str">
        <f t="shared" ref="L14:L23" si="8">IF(ISBLANK(A14), "", J14*G14/1000)</f>
        <v/>
      </c>
      <c r="M14" s="11" t="str">
        <f t="shared" si="7"/>
        <v/>
      </c>
      <c r="N14" s="11" t="str">
        <f t="shared" ref="N14:N23" si="9">IF(ISBLANK(A14), "", J14*H14/1000)</f>
        <v/>
      </c>
      <c r="O14" s="11"/>
      <c r="P14" t="s">
        <v>15</v>
      </c>
      <c r="Q14" t="s">
        <v>16</v>
      </c>
      <c r="R14" t="s">
        <v>1</v>
      </c>
    </row>
    <row r="15" spans="1:18">
      <c r="A15">
        <v>1000</v>
      </c>
      <c r="B15" s="16" t="s">
        <v>33</v>
      </c>
      <c r="C15">
        <v>0.5</v>
      </c>
      <c r="D15" s="11">
        <v>0.2</v>
      </c>
      <c r="E15" s="11">
        <f t="shared" ref="E15:E23" si="10">IF(ISBLANK(A15), "", VLOOKUP(B15, $P$20:$T$28, 2, FALSE))</f>
        <v>0.6</v>
      </c>
      <c r="F15" s="11">
        <f t="shared" si="2"/>
        <v>7.0000000000000007E-2</v>
      </c>
      <c r="G15" s="11">
        <f>$Q$15</f>
        <v>0.79</v>
      </c>
      <c r="H15" s="11">
        <f t="shared" si="4"/>
        <v>0.11</v>
      </c>
      <c r="I15" s="11">
        <f t="shared" ref="I15:I23" si="11">IF(ISBLANK(A15), "", IF(B15="act", $Q$5, 0))</f>
        <v>0</v>
      </c>
      <c r="J15" s="11">
        <f t="shared" si="5"/>
        <v>533.30000000000007</v>
      </c>
      <c r="K15" s="11"/>
      <c r="L15" s="11">
        <f>IF(ISBLANK(A15), "", J15*G15/1000)</f>
        <v>0.4213070000000001</v>
      </c>
      <c r="M15" s="11"/>
      <c r="N15" s="11">
        <f t="shared" si="9"/>
        <v>5.8663000000000014E-2</v>
      </c>
      <c r="O15" s="11"/>
      <c r="P15" t="s">
        <v>9</v>
      </c>
      <c r="Q15">
        <v>0.79</v>
      </c>
      <c r="R15">
        <v>0.11</v>
      </c>
    </row>
    <row r="16" spans="1:18">
      <c r="A16">
        <v>4000</v>
      </c>
      <c r="B16" s="16" t="s">
        <v>34</v>
      </c>
      <c r="C16">
        <v>0.5</v>
      </c>
      <c r="D16" s="11">
        <v>0.3</v>
      </c>
      <c r="E16" s="11">
        <f t="shared" si="10"/>
        <v>0.74</v>
      </c>
      <c r="F16" s="11">
        <f t="shared" si="2"/>
        <v>0.11</v>
      </c>
      <c r="G16" s="11">
        <f t="shared" ref="G16:G23" si="12">$Q$15</f>
        <v>0.79</v>
      </c>
      <c r="H16" s="11">
        <f t="shared" si="4"/>
        <v>0.11</v>
      </c>
      <c r="I16" s="11">
        <f t="shared" si="11"/>
        <v>0</v>
      </c>
      <c r="J16" s="11">
        <f>A16*(1-($Q$4+I16))-((C16-D16)*1000)</f>
        <v>3133.2000000000003</v>
      </c>
      <c r="K16" s="11"/>
      <c r="L16" s="11">
        <f t="shared" si="8"/>
        <v>2.4752280000000004</v>
      </c>
      <c r="M16" s="11"/>
      <c r="N16" s="11">
        <f t="shared" si="9"/>
        <v>0.34465200000000007</v>
      </c>
      <c r="O16" s="11"/>
    </row>
    <row r="17" spans="1:23">
      <c r="A17">
        <v>3000</v>
      </c>
      <c r="B17" s="16" t="s">
        <v>35</v>
      </c>
      <c r="C17">
        <v>0.4</v>
      </c>
      <c r="D17" s="11">
        <v>0.2</v>
      </c>
      <c r="E17" s="11">
        <f t="shared" si="10"/>
        <v>0.65</v>
      </c>
      <c r="F17" s="11">
        <f t="shared" si="2"/>
        <v>0.11</v>
      </c>
      <c r="G17" s="11">
        <f t="shared" si="12"/>
        <v>0.79</v>
      </c>
      <c r="H17" s="11">
        <f t="shared" si="4"/>
        <v>0.11</v>
      </c>
      <c r="I17" s="11">
        <f t="shared" si="11"/>
        <v>0</v>
      </c>
      <c r="J17" s="11">
        <f t="shared" si="5"/>
        <v>2299.9</v>
      </c>
      <c r="K17" s="11"/>
      <c r="L17" s="11">
        <f t="shared" si="8"/>
        <v>1.816921</v>
      </c>
      <c r="M17" s="11"/>
      <c r="N17" s="11">
        <f t="shared" si="9"/>
        <v>0.25298900000000002</v>
      </c>
      <c r="O17" s="11"/>
    </row>
    <row r="18" spans="1:23">
      <c r="A18">
        <v>4000</v>
      </c>
      <c r="B18" s="16" t="s">
        <v>36</v>
      </c>
      <c r="C18">
        <v>0.1</v>
      </c>
      <c r="D18" s="11">
        <v>0.9</v>
      </c>
      <c r="E18" s="11">
        <f t="shared" si="10"/>
        <v>0.21</v>
      </c>
      <c r="F18" s="11">
        <f t="shared" si="2"/>
        <v>0.03</v>
      </c>
      <c r="G18" s="11">
        <f t="shared" si="12"/>
        <v>0.79</v>
      </c>
      <c r="H18" s="11">
        <f t="shared" si="4"/>
        <v>0.11</v>
      </c>
      <c r="I18" s="11">
        <f t="shared" si="11"/>
        <v>0</v>
      </c>
      <c r="J18" s="11">
        <f t="shared" si="5"/>
        <v>4133.2000000000007</v>
      </c>
      <c r="K18" s="11"/>
      <c r="L18" s="11">
        <f t="shared" si="8"/>
        <v>3.2652280000000005</v>
      </c>
      <c r="M18" s="11"/>
      <c r="N18" s="11">
        <f t="shared" si="9"/>
        <v>0.45465200000000011</v>
      </c>
      <c r="O18" s="11"/>
    </row>
    <row r="19" spans="1:23" ht="68">
      <c r="A19">
        <v>5000</v>
      </c>
      <c r="B19" s="16" t="s">
        <v>37</v>
      </c>
      <c r="C19">
        <v>1.9</v>
      </c>
      <c r="D19" s="11">
        <v>0.9</v>
      </c>
      <c r="E19" s="11">
        <f t="shared" si="10"/>
        <v>0.45</v>
      </c>
      <c r="F19" s="11">
        <f t="shared" si="2"/>
        <v>0.1</v>
      </c>
      <c r="G19" s="11">
        <f t="shared" si="12"/>
        <v>0.79</v>
      </c>
      <c r="H19" s="11">
        <f t="shared" si="4"/>
        <v>0.11</v>
      </c>
      <c r="I19" s="11">
        <f t="shared" si="11"/>
        <v>0</v>
      </c>
      <c r="J19" s="11">
        <f t="shared" si="5"/>
        <v>3166.5</v>
      </c>
      <c r="K19" s="11"/>
      <c r="L19" s="11">
        <f t="shared" si="8"/>
        <v>2.5015350000000005</v>
      </c>
      <c r="M19" s="11"/>
      <c r="N19" s="11">
        <f t="shared" si="9"/>
        <v>0.34831499999999999</v>
      </c>
      <c r="O19" s="11"/>
      <c r="P19" s="17" t="s">
        <v>6</v>
      </c>
      <c r="Q19" s="6" t="s">
        <v>7</v>
      </c>
      <c r="R19" s="6"/>
      <c r="S19" s="6" t="s">
        <v>8</v>
      </c>
      <c r="T19" s="6"/>
      <c r="W19" s="6"/>
    </row>
    <row r="20" spans="1:23">
      <c r="A20">
        <v>6000</v>
      </c>
      <c r="B20" s="16" t="s">
        <v>38</v>
      </c>
      <c r="C20">
        <v>2.1</v>
      </c>
      <c r="D20" s="11">
        <v>1</v>
      </c>
      <c r="E20" s="11">
        <f t="shared" si="10"/>
        <v>0.56000000000000005</v>
      </c>
      <c r="F20" s="11">
        <f t="shared" si="2"/>
        <v>0.09</v>
      </c>
      <c r="G20" s="11">
        <f t="shared" si="12"/>
        <v>0.79</v>
      </c>
      <c r="H20" s="11">
        <f t="shared" si="4"/>
        <v>0.11</v>
      </c>
      <c r="I20" s="11">
        <f t="shared" si="11"/>
        <v>0</v>
      </c>
      <c r="J20" s="11">
        <f t="shared" si="5"/>
        <v>3899.8</v>
      </c>
      <c r="K20" s="11"/>
      <c r="L20" s="11">
        <f t="shared" si="8"/>
        <v>3.0808420000000001</v>
      </c>
      <c r="M20" s="11"/>
      <c r="N20" s="11">
        <f t="shared" si="9"/>
        <v>0.42897800000000003</v>
      </c>
      <c r="O20" s="11"/>
      <c r="P20" s="16" t="s">
        <v>33</v>
      </c>
      <c r="Q20">
        <v>0.6</v>
      </c>
      <c r="S20">
        <v>7.0000000000000007E-2</v>
      </c>
    </row>
    <row r="21" spans="1:23">
      <c r="A21">
        <v>7000</v>
      </c>
      <c r="B21" s="16" t="s">
        <v>39</v>
      </c>
      <c r="C21">
        <v>3</v>
      </c>
      <c r="D21" s="11">
        <v>2.5</v>
      </c>
      <c r="E21" s="11">
        <f t="shared" si="10"/>
        <v>0.21</v>
      </c>
      <c r="F21" s="11">
        <f t="shared" si="2"/>
        <v>0.03</v>
      </c>
      <c r="G21" s="11">
        <f t="shared" si="12"/>
        <v>0.79</v>
      </c>
      <c r="H21" s="11">
        <f t="shared" si="4"/>
        <v>0.11</v>
      </c>
      <c r="I21" s="11">
        <f t="shared" si="11"/>
        <v>0</v>
      </c>
      <c r="J21" s="11">
        <f t="shared" si="5"/>
        <v>5333.1</v>
      </c>
      <c r="K21" s="11"/>
      <c r="L21" s="11">
        <f t="shared" si="8"/>
        <v>4.2131490000000005</v>
      </c>
      <c r="M21" s="11"/>
      <c r="N21" s="11">
        <f t="shared" si="9"/>
        <v>0.58664100000000008</v>
      </c>
      <c r="O21" s="11"/>
      <c r="P21" s="16" t="s">
        <v>41</v>
      </c>
      <c r="Q21">
        <v>0.6</v>
      </c>
      <c r="S21">
        <v>7.0000000000000007E-2</v>
      </c>
    </row>
    <row r="22" spans="1:23">
      <c r="A22">
        <v>8000</v>
      </c>
      <c r="B22" s="16" t="s">
        <v>40</v>
      </c>
      <c r="C22">
        <v>4</v>
      </c>
      <c r="D22" s="11">
        <v>2</v>
      </c>
      <c r="E22" s="11">
        <f t="shared" si="10"/>
        <v>0.55000000000000004</v>
      </c>
      <c r="F22" s="11">
        <f t="shared" si="2"/>
        <v>0.13</v>
      </c>
      <c r="G22" s="11">
        <f t="shared" si="12"/>
        <v>0.79</v>
      </c>
      <c r="H22" s="11">
        <f t="shared" si="4"/>
        <v>0.11</v>
      </c>
      <c r="I22" s="11">
        <f t="shared" si="11"/>
        <v>0</v>
      </c>
      <c r="J22" s="11">
        <f t="shared" si="5"/>
        <v>4666.4000000000005</v>
      </c>
      <c r="K22" s="11"/>
      <c r="L22" s="11">
        <f t="shared" si="8"/>
        <v>3.6864560000000006</v>
      </c>
      <c r="M22" s="11"/>
      <c r="N22" s="11">
        <f t="shared" si="9"/>
        <v>0.51330400000000009</v>
      </c>
      <c r="P22" s="16" t="s">
        <v>34</v>
      </c>
      <c r="Q22">
        <v>0.74</v>
      </c>
      <c r="S22">
        <v>0.11</v>
      </c>
    </row>
    <row r="23" spans="1:23">
      <c r="A23">
        <v>9000</v>
      </c>
      <c r="B23" s="15" t="s">
        <v>41</v>
      </c>
      <c r="C23" s="11">
        <v>0.5</v>
      </c>
      <c r="D23" s="11">
        <v>0.2</v>
      </c>
      <c r="E23" s="11">
        <f t="shared" si="10"/>
        <v>0.6</v>
      </c>
      <c r="F23" s="11">
        <f t="shared" si="2"/>
        <v>7.0000000000000007E-2</v>
      </c>
      <c r="G23" s="11">
        <f t="shared" si="12"/>
        <v>0.79</v>
      </c>
      <c r="H23" s="11">
        <f t="shared" si="4"/>
        <v>0.11</v>
      </c>
      <c r="I23" s="11">
        <f t="shared" si="11"/>
        <v>0.79510000000000003</v>
      </c>
      <c r="J23" s="11">
        <f t="shared" si="5"/>
        <v>43.800000000000125</v>
      </c>
      <c r="K23" s="11"/>
      <c r="L23" s="11">
        <f t="shared" si="8"/>
        <v>3.4602000000000105E-2</v>
      </c>
      <c r="M23" s="11"/>
      <c r="N23" s="11">
        <f t="shared" si="9"/>
        <v>4.8180000000000141E-3</v>
      </c>
      <c r="P23" s="16" t="s">
        <v>35</v>
      </c>
      <c r="Q23">
        <v>0.65</v>
      </c>
      <c r="S23">
        <v>0.11</v>
      </c>
    </row>
    <row r="24" spans="1:23">
      <c r="P24" s="16" t="s">
        <v>36</v>
      </c>
      <c r="Q24">
        <v>0.21</v>
      </c>
      <c r="S24">
        <v>0.03</v>
      </c>
    </row>
    <row r="25" spans="1:23">
      <c r="O25" s="11"/>
      <c r="P25" s="16" t="s">
        <v>37</v>
      </c>
      <c r="Q25">
        <v>0.45</v>
      </c>
      <c r="S25">
        <v>0.1</v>
      </c>
    </row>
    <row r="26" spans="1:23">
      <c r="O26" s="11"/>
      <c r="P26" s="16" t="s">
        <v>38</v>
      </c>
      <c r="Q26">
        <v>0.56000000000000005</v>
      </c>
      <c r="S26">
        <v>0.09</v>
      </c>
    </row>
    <row r="27" spans="1:23">
      <c r="O27" s="11"/>
      <c r="P27" s="16" t="s">
        <v>39</v>
      </c>
      <c r="Q27">
        <v>0.21</v>
      </c>
      <c r="S27">
        <v>0.03</v>
      </c>
    </row>
    <row r="28" spans="1:23">
      <c r="O28" s="11"/>
      <c r="P28" s="16" t="s">
        <v>40</v>
      </c>
      <c r="Q28">
        <v>0.55000000000000004</v>
      </c>
      <c r="S28">
        <v>0.13</v>
      </c>
    </row>
    <row r="29" spans="1:23">
      <c r="O29" s="11"/>
      <c r="P29" s="16" t="s">
        <v>9</v>
      </c>
      <c r="Q29">
        <v>0.59</v>
      </c>
      <c r="S29">
        <v>0.1</v>
      </c>
    </row>
    <row r="30" spans="1:23">
      <c r="O30" s="11"/>
    </row>
    <row r="31" spans="1:23">
      <c r="O31" s="11"/>
    </row>
    <row r="32" spans="1:23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R32" s="2"/>
      <c r="S32" s="2"/>
    </row>
    <row r="33" spans="2:26"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R33" s="2"/>
      <c r="S33" s="2"/>
    </row>
    <row r="34" spans="2:26"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2:26">
      <c r="C35" s="11"/>
      <c r="D35" s="11"/>
      <c r="E35" s="11"/>
      <c r="F35" s="11"/>
      <c r="G35" s="18"/>
      <c r="H35" s="18"/>
      <c r="I35" s="11"/>
      <c r="J35" s="11"/>
      <c r="K35" s="11"/>
      <c r="L35" s="11"/>
      <c r="M35" s="11"/>
      <c r="N35" s="11"/>
      <c r="O35" s="11"/>
      <c r="R35" s="2"/>
      <c r="S35" s="2"/>
      <c r="T35" s="7"/>
    </row>
    <row r="36" spans="2:26"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6"/>
      <c r="Q36" s="6"/>
      <c r="R36" s="13"/>
      <c r="T36" s="13"/>
      <c r="U36" s="14"/>
      <c r="V36" s="6"/>
      <c r="W36" s="6"/>
      <c r="X36" s="6"/>
    </row>
    <row r="37" spans="2:26">
      <c r="B37" s="15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R37" s="2"/>
      <c r="T37" s="2"/>
      <c r="U37" s="7"/>
    </row>
    <row r="38" spans="2:26">
      <c r="B38" s="15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2:26">
      <c r="B39" s="15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R39" s="2"/>
      <c r="T39" s="2"/>
    </row>
    <row r="40" spans="2:26"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R40" s="2"/>
      <c r="T40" s="2"/>
    </row>
    <row r="41" spans="2:26"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R41" s="2"/>
      <c r="T41" s="2"/>
      <c r="W41" s="6"/>
    </row>
    <row r="42" spans="2:26"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R42" s="2"/>
      <c r="T42" s="2"/>
      <c r="W42" s="6"/>
    </row>
    <row r="43" spans="2:26"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R43" s="2"/>
      <c r="T43" s="10"/>
      <c r="U43" s="9"/>
      <c r="V43" s="9"/>
      <c r="W43" s="9"/>
      <c r="X43" s="9"/>
      <c r="Y43" s="9"/>
      <c r="Z43" s="9"/>
    </row>
    <row r="44" spans="2:26">
      <c r="R44" s="2"/>
      <c r="T44" s="10"/>
      <c r="U44" s="9"/>
      <c r="V44" s="9"/>
      <c r="W44" s="9"/>
      <c r="X44" s="9"/>
      <c r="Y44" s="9"/>
      <c r="Z44" s="9"/>
    </row>
    <row r="45" spans="2:26">
      <c r="R45" s="2"/>
      <c r="T45" s="2"/>
      <c r="U45" s="7"/>
      <c r="Y45" s="9"/>
      <c r="Z45" s="9"/>
    </row>
    <row r="46" spans="2:26">
      <c r="Y46" s="9"/>
      <c r="Z46" s="9"/>
    </row>
    <row r="47" spans="2:26">
      <c r="R47" s="2"/>
      <c r="T47" s="2"/>
      <c r="Y47" s="9"/>
      <c r="Z47" s="9"/>
    </row>
    <row r="48" spans="2:26">
      <c r="R48" s="2"/>
      <c r="T48" s="2"/>
      <c r="W48" s="6"/>
      <c r="Y48" s="9"/>
      <c r="Z48" s="9"/>
    </row>
    <row r="49" spans="18:26">
      <c r="R49" s="2"/>
      <c r="T49" s="10"/>
      <c r="U49" s="9"/>
      <c r="V49" s="9"/>
      <c r="W49" s="9"/>
      <c r="X49" s="9"/>
      <c r="Y49" s="9"/>
      <c r="Z49" s="9"/>
    </row>
    <row r="50" spans="18:26">
      <c r="R50" s="2"/>
      <c r="T50" s="10"/>
      <c r="U50" s="9"/>
      <c r="V50" s="9"/>
      <c r="W50" s="9"/>
      <c r="X50" s="9"/>
      <c r="Y50" s="9"/>
      <c r="Z50" s="9"/>
    </row>
    <row r="51" spans="18:26">
      <c r="R51" s="2"/>
      <c r="T51" s="10"/>
      <c r="U51" s="9"/>
      <c r="V51" s="9"/>
      <c r="W51" s="9"/>
      <c r="X51" s="9"/>
      <c r="Y51" s="9"/>
      <c r="Z51" s="9"/>
    </row>
    <row r="52" spans="18:26">
      <c r="R52" s="2"/>
      <c r="T52" s="10"/>
      <c r="U52" s="9"/>
      <c r="V52" s="9"/>
      <c r="W52" s="9"/>
      <c r="X52" s="9"/>
      <c r="Y52" s="9"/>
      <c r="Z52" s="9"/>
    </row>
    <row r="53" spans="18:26">
      <c r="R53" s="2"/>
      <c r="T53" s="10"/>
      <c r="U53" s="9"/>
      <c r="V53" s="9"/>
      <c r="W53" s="9"/>
      <c r="X53" s="9"/>
      <c r="Y53" s="9"/>
      <c r="Z53" s="9"/>
    </row>
    <row r="54" spans="18:26">
      <c r="R54" s="2"/>
      <c r="T54" s="10"/>
      <c r="U54" s="9"/>
      <c r="V54" s="9"/>
      <c r="W54" s="9"/>
      <c r="X54" s="9"/>
      <c r="Y54" s="9"/>
      <c r="Z54" s="9"/>
    </row>
    <row r="55" spans="18:26">
      <c r="R55" s="2"/>
      <c r="T55" s="10"/>
      <c r="U55" s="9"/>
      <c r="V55" s="9"/>
      <c r="W55" s="9"/>
      <c r="X55" s="9"/>
      <c r="Y55" s="9"/>
      <c r="Z55" s="9"/>
    </row>
    <row r="56" spans="18:26">
      <c r="R56" s="2"/>
      <c r="T56" s="10"/>
      <c r="U56" s="9"/>
      <c r="V56" s="9"/>
      <c r="W56" s="9"/>
      <c r="X56" s="9"/>
      <c r="Y56" s="9"/>
      <c r="Z56" s="9"/>
    </row>
    <row r="57" spans="18:26">
      <c r="R57" s="2"/>
      <c r="T57" s="10"/>
      <c r="U57" s="9"/>
      <c r="V57" s="9"/>
      <c r="W57" s="9"/>
      <c r="X57" s="9"/>
      <c r="Y57" s="9"/>
      <c r="Z57" s="9"/>
    </row>
    <row r="58" spans="18:26">
      <c r="R58" s="2"/>
      <c r="T58" s="10"/>
      <c r="U58" s="9"/>
      <c r="V58" s="9"/>
      <c r="W58" s="9"/>
      <c r="X58" s="9"/>
      <c r="Y58" s="9"/>
      <c r="Z58" s="9"/>
    </row>
    <row r="59" spans="18:26">
      <c r="R59" s="2"/>
      <c r="T59" s="10"/>
      <c r="U59" s="9"/>
      <c r="V59" s="9"/>
      <c r="W59" s="9"/>
      <c r="X59" s="9"/>
      <c r="Y59" s="9"/>
      <c r="Z59" s="9"/>
    </row>
    <row r="60" spans="18:26">
      <c r="R60" s="2"/>
      <c r="T60" s="10"/>
      <c r="U60" s="9"/>
      <c r="V60" s="9"/>
      <c r="W60" s="9"/>
      <c r="X60" s="9"/>
      <c r="Y60" s="9"/>
      <c r="Z60" s="9"/>
    </row>
    <row r="61" spans="18:26">
      <c r="R61" s="2"/>
      <c r="T61" s="10"/>
      <c r="U61" s="9"/>
      <c r="V61" s="9"/>
      <c r="W61" s="9"/>
      <c r="X61" s="9"/>
      <c r="Y61" s="9"/>
      <c r="Z61" s="9"/>
    </row>
    <row r="62" spans="18:26">
      <c r="R62" s="2"/>
      <c r="T62" s="10"/>
      <c r="U62" s="9"/>
      <c r="V62" s="9"/>
      <c r="W62" s="9"/>
      <c r="X62" s="9"/>
      <c r="Y62" s="9"/>
      <c r="Z62" s="9"/>
    </row>
    <row r="63" spans="18:26">
      <c r="R63" s="2"/>
      <c r="T63" s="10"/>
      <c r="U63" s="9"/>
      <c r="V63" s="9"/>
      <c r="W63" s="9"/>
      <c r="X63" s="9"/>
      <c r="Y63" s="9"/>
      <c r="Z63" s="9"/>
    </row>
    <row r="64" spans="18:26">
      <c r="R64" s="2"/>
      <c r="T64" s="8"/>
      <c r="U64" s="8"/>
      <c r="V64" s="8"/>
      <c r="X64" s="8"/>
      <c r="Y64" s="8"/>
      <c r="Z64" s="8"/>
    </row>
    <row r="65" spans="18:26">
      <c r="T65" s="2"/>
      <c r="U65" s="10"/>
      <c r="V65" s="9"/>
      <c r="Y65" s="8"/>
      <c r="Z65" s="8"/>
    </row>
    <row r="66" spans="18:26">
      <c r="T66" s="2"/>
      <c r="U66" s="2"/>
    </row>
    <row r="67" spans="18:26">
      <c r="R67" s="2"/>
      <c r="T67" s="2"/>
      <c r="U67" s="2"/>
    </row>
    <row r="69" spans="18:26">
      <c r="R69" s="2"/>
      <c r="S69" s="2"/>
    </row>
    <row r="70" spans="18:26">
      <c r="R70" s="2"/>
      <c r="S70" s="2"/>
    </row>
    <row r="71" spans="18:26">
      <c r="S71" s="2"/>
    </row>
    <row r="72" spans="18:26">
      <c r="R72" s="2"/>
      <c r="S72" s="2"/>
    </row>
    <row r="73" spans="18:26">
      <c r="R73" s="2"/>
      <c r="S73" s="2"/>
    </row>
    <row r="74" spans="18:26">
      <c r="R74" s="2"/>
      <c r="S74" s="2"/>
    </row>
    <row r="75" spans="18:26">
      <c r="R75" s="2"/>
      <c r="S75" s="2"/>
    </row>
    <row r="76" spans="18:26">
      <c r="R76" s="2"/>
      <c r="S76" s="2"/>
    </row>
    <row r="77" spans="18:26">
      <c r="R77" s="2"/>
      <c r="S77" s="2"/>
    </row>
    <row r="78" spans="18:26">
      <c r="R78" s="2"/>
      <c r="S78" s="2"/>
    </row>
    <row r="79" spans="18:26">
      <c r="R79" s="2"/>
      <c r="S79" s="2"/>
    </row>
    <row r="80" spans="18:26">
      <c r="R80" s="2"/>
      <c r="S80" s="2"/>
    </row>
    <row r="81" spans="18:19">
      <c r="R81" s="2"/>
      <c r="S81" s="2"/>
    </row>
    <row r="82" spans="18:19">
      <c r="R82" s="2"/>
      <c r="S82" s="2"/>
    </row>
    <row r="83" spans="18:19">
      <c r="R83" s="2"/>
      <c r="S83" s="2"/>
    </row>
    <row r="84" spans="18:19">
      <c r="R84" s="2"/>
      <c r="S84" s="2"/>
    </row>
  </sheetData>
  <hyperlinks>
    <hyperlink ref="R4" r:id="rId1" xr:uid="{11305529-0BBB-0D49-8333-C5A0E083BD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14.1.1.1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Mack Cheesman</cp:lastModifiedBy>
  <dcterms:created xsi:type="dcterms:W3CDTF">2026-02-18T00:55:42Z</dcterms:created>
  <dcterms:modified xsi:type="dcterms:W3CDTF">2026-10-26T01:37:56Z</dcterms:modified>
</cp:coreProperties>
</file>