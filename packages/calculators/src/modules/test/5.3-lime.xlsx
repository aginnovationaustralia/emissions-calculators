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9C7237D5-2FD2-9848-902D-C7DDEE7B4271}" xr6:coauthVersionLast="47" xr6:coauthVersionMax="47" xr10:uidLastSave="{00000000-0000-0000-0000-000000000000}"/>
  <bookViews>
    <workbookView xWindow="51200" yWindow="19580" windowWidth="28800" windowHeight="23520" xr2:uid="{5678E890-3691-CF46-80E7-00FB1F103661}"/>
  </bookViews>
  <sheets>
    <sheet name="5.3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I7" i="1"/>
  <c r="I4" i="1"/>
  <c r="L9" i="1" l="1"/>
  <c r="G22" i="1"/>
  <c r="G23" i="1"/>
  <c r="G24" i="1"/>
  <c r="G25" i="1"/>
</calcChain>
</file>

<file path=xl/sharedStrings.xml><?xml version="1.0" encoding="utf-8"?>
<sst xmlns="http://schemas.openxmlformats.org/spreadsheetml/2006/main" count="15" uniqueCount="15">
  <si>
    <t>Method 1</t>
  </si>
  <si>
    <t>Cco2</t>
  </si>
  <si>
    <t>Constants</t>
  </si>
  <si>
    <r>
      <t>𝐸</t>
    </r>
    <r>
      <rPr>
        <sz val="8"/>
        <color rgb="FF000000"/>
        <rFont val="Helvetica"/>
        <family val="2"/>
      </rPr>
      <t xml:space="preserve">𝑙𝑖𝑚𝑒 </t>
    </r>
    <r>
      <rPr>
        <sz val="11"/>
        <color rgb="FF000000"/>
        <rFont val="Helvetica"/>
        <family val="2"/>
      </rPr>
      <t>= [(𝑀</t>
    </r>
    <r>
      <rPr>
        <sz val="8"/>
        <color rgb="FF000000"/>
        <rFont val="Helvetica"/>
        <family val="2"/>
      </rPr>
      <t xml:space="preserve">𝑙𝑖𝑚𝑒 </t>
    </r>
    <r>
      <rPr>
        <sz val="11"/>
        <color rgb="FF000000"/>
        <rFont val="Helvetica"/>
        <family val="2"/>
      </rPr>
      <t>× 𝐹𝑟𝑎𝑐𝐿𝑖𝑚𝑒 × 𝑃</t>
    </r>
    <r>
      <rPr>
        <sz val="8"/>
        <color rgb="FF000000"/>
        <rFont val="Helvetica"/>
        <family val="2"/>
      </rPr>
      <t xml:space="preserve">𝑙𝑖𝑚𝑒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𝑙𝑖𝑚𝑒</t>
    </r>
    <r>
      <rPr>
        <sz val="11"/>
        <color rgb="FF000000"/>
        <rFont val="Helvetica"/>
        <family val="2"/>
      </rPr>
      <t>) + (𝑀</t>
    </r>
    <r>
      <rPr>
        <sz val="8"/>
        <color rgb="FF000000"/>
        <rFont val="Helvetica"/>
        <family val="2"/>
      </rPr>
      <t xml:space="preserve">𝑙𝑖𝑚𝑒 </t>
    </r>
    <r>
      <rPr>
        <sz val="11"/>
        <color rgb="FF000000"/>
        <rFont val="Helvetica"/>
        <family val="2"/>
      </rPr>
      <t>× 𝐹𝑟𝑎𝑐𝐷𝑜𝑙 × 𝑃</t>
    </r>
    <r>
      <rPr>
        <sz val="8"/>
        <color rgb="FF000000"/>
        <rFont val="Helvetica"/>
        <family val="2"/>
      </rPr>
      <t xml:space="preserve">𝑑𝑜𝑙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𝑑𝑜𝑙</t>
    </r>
    <r>
      <rPr>
        <sz val="11"/>
        <color rgb="FF000000"/>
        <rFont val="Helvetica"/>
        <family val="2"/>
      </rPr>
      <t>)] × 𝐶</t>
    </r>
    <r>
      <rPr>
        <sz val="8"/>
        <color rgb="FF000000"/>
        <rFont val="Helvetica"/>
        <family val="2"/>
      </rPr>
      <t>𝐶𝑂2</t>
    </r>
  </si>
  <si>
    <t>Elime</t>
  </si>
  <si>
    <t>Mlime</t>
  </si>
  <si>
    <t>Mass lime applied</t>
  </si>
  <si>
    <t>FracLime</t>
  </si>
  <si>
    <t>Fraction of lime as limestone</t>
  </si>
  <si>
    <t>FracDol</t>
  </si>
  <si>
    <t>Fraction of lime as dolomite</t>
  </si>
  <si>
    <t>Plime</t>
  </si>
  <si>
    <t>Pdol</t>
  </si>
  <si>
    <t>Eflime</t>
  </si>
  <si>
    <t>Efdol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</si>
</sst>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L30"/>
  <sheetViews>
    <sheetView tabSelected="1" workbookViewId="0">
      <selection activeCell="I11" sqref="I11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9" max="9" width="12.1640625" bestFit="1" customWidth="1"/>
    <col min="11" max="11" width="36" customWidth="1"/>
  </cols>
  <sheetData>
    <row r="1" spans="1:12" ht="17">
      <c r="A1" s="3" t="s">
        <v>0</v>
      </c>
      <c r="I1" s="1" t="s">
        <v>3</v>
      </c>
    </row>
    <row r="2" spans="1:12" ht="17">
      <c r="A2" s="3" t="s">
        <v>6</v>
      </c>
      <c r="B2" t="s">
        <v>8</v>
      </c>
      <c r="C2" t="s">
        <v>10</v>
      </c>
      <c r="I2" s="1"/>
    </row>
    <row r="3" spans="1:12" ht="17">
      <c r="A3" s="5" t="s">
        <v>5</v>
      </c>
      <c r="B3" s="6" t="s">
        <v>7</v>
      </c>
      <c r="C3" s="6" t="s">
        <v>9</v>
      </c>
      <c r="I3" s="7" t="s">
        <v>4</v>
      </c>
      <c r="K3" s="8" t="s">
        <v>2</v>
      </c>
    </row>
    <row r="4" spans="1:12">
      <c r="A4" s="3">
        <v>3000</v>
      </c>
      <c r="B4">
        <v>0.3</v>
      </c>
      <c r="C4">
        <v>0</v>
      </c>
      <c r="I4">
        <f>((A4*B4*$L$4*$L$6)+(A4*C4*$L$5*$L$7))*$L$9/1000</f>
        <v>0.35639999999999999</v>
      </c>
      <c r="K4" t="s">
        <v>11</v>
      </c>
      <c r="L4">
        <v>0.9</v>
      </c>
    </row>
    <row r="5" spans="1:12">
      <c r="A5" s="3">
        <v>3000</v>
      </c>
      <c r="B5">
        <v>0</v>
      </c>
      <c r="C5">
        <v>0.5</v>
      </c>
      <c r="I5">
        <f t="shared" ref="I5:I7" si="0">((A5*B5*$L$4*$L$6)+(A5*C5*$L$5*$L$7))*$L$9/1000</f>
        <v>0.67925000000000002</v>
      </c>
      <c r="K5" t="s">
        <v>12</v>
      </c>
      <c r="L5">
        <v>0.95</v>
      </c>
    </row>
    <row r="6" spans="1:12">
      <c r="A6" s="2">
        <v>2000</v>
      </c>
      <c r="B6" s="2">
        <v>0</v>
      </c>
      <c r="C6">
        <v>0</v>
      </c>
      <c r="I6">
        <f t="shared" si="0"/>
        <v>0</v>
      </c>
      <c r="K6" t="s">
        <v>13</v>
      </c>
      <c r="L6">
        <v>0.12</v>
      </c>
    </row>
    <row r="7" spans="1:12">
      <c r="A7" s="3">
        <v>1000</v>
      </c>
      <c r="B7">
        <v>0.3</v>
      </c>
      <c r="C7">
        <v>0.4</v>
      </c>
      <c r="I7">
        <f t="shared" si="0"/>
        <v>0.29993333333333333</v>
      </c>
      <c r="K7" s="2" t="s">
        <v>14</v>
      </c>
      <c r="L7" s="2">
        <v>0.13</v>
      </c>
    </row>
    <row r="8" spans="1:12">
      <c r="K8" s="2"/>
      <c r="L8" s="2"/>
    </row>
    <row r="9" spans="1:12">
      <c r="A9" s="4"/>
      <c r="K9" s="2" t="s">
        <v>1</v>
      </c>
      <c r="L9" s="2">
        <f>44/12</f>
        <v>3.6666666666666665</v>
      </c>
    </row>
    <row r="10" spans="1:12">
      <c r="B10" s="2"/>
      <c r="K10" s="2"/>
      <c r="L10" s="2"/>
    </row>
    <row r="11" spans="1:12">
      <c r="K11" s="2"/>
      <c r="L11" s="2"/>
    </row>
    <row r="12" spans="1:12">
      <c r="K12" s="2"/>
      <c r="L12" s="2"/>
    </row>
    <row r="13" spans="1:12">
      <c r="K13" s="2"/>
      <c r="L13" s="2"/>
    </row>
    <row r="14" spans="1:12">
      <c r="B14" s="2"/>
      <c r="K14" s="2"/>
      <c r="L14" s="2"/>
    </row>
    <row r="15" spans="1:12">
      <c r="B15" s="2"/>
      <c r="K15" s="2"/>
      <c r="L15" s="2"/>
    </row>
    <row r="16" spans="1:12">
      <c r="K16" s="2"/>
      <c r="L16" s="2"/>
    </row>
    <row r="17" spans="2:12">
      <c r="K17" s="2"/>
      <c r="L17" s="2"/>
    </row>
    <row r="18" spans="2:12">
      <c r="K18" s="2"/>
      <c r="L18" s="9"/>
    </row>
    <row r="19" spans="2:12">
      <c r="K19" s="2"/>
      <c r="L19" s="9"/>
    </row>
    <row r="20" spans="2:12">
      <c r="B20" s="2"/>
      <c r="K20" s="2"/>
      <c r="L20" s="2"/>
    </row>
    <row r="21" spans="2:12">
      <c r="B21" s="2"/>
      <c r="K21" s="2"/>
      <c r="L21" s="2"/>
    </row>
    <row r="22" spans="2:12">
      <c r="G22" t="str">
        <f t="shared" ref="G22:G25" si="1">IF(ISBLANK(C22), "", D22/C22)</f>
        <v/>
      </c>
    </row>
    <row r="23" spans="2:12">
      <c r="G23" t="str">
        <f t="shared" si="1"/>
        <v/>
      </c>
      <c r="K23" s="2"/>
    </row>
    <row r="24" spans="2:12">
      <c r="G24" t="str">
        <f t="shared" si="1"/>
        <v/>
      </c>
      <c r="K24" s="2"/>
      <c r="L24" s="2"/>
    </row>
    <row r="25" spans="2:12">
      <c r="G25" t="str">
        <f t="shared" si="1"/>
        <v/>
      </c>
      <c r="K25" s="2"/>
      <c r="L25" s="2"/>
    </row>
    <row r="26" spans="2:12">
      <c r="K26" s="2"/>
      <c r="L26" s="2"/>
    </row>
    <row r="27" spans="2:12">
      <c r="K27" s="2"/>
      <c r="L27" s="2"/>
    </row>
    <row r="28" spans="2:12">
      <c r="K28" s="2"/>
      <c r="L28" s="2"/>
    </row>
    <row r="29" spans="2:12">
      <c r="K29" s="2"/>
      <c r="L29" s="2"/>
    </row>
    <row r="30" spans="2:12">
      <c r="K30" s="2"/>
      <c r="L30" s="2"/>
    </row>
  </sheetData>
  <mergeCells count="1">
    <mergeCell ref="L18:L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5.3.1.1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2026-02-20T11:17:23Z</dcterms:modified>
</cp:coreProperties>
</file>