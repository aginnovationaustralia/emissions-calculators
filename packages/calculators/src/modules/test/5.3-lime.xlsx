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8BDDEEBB-D154-1F4A-9AEF-EF3FE7B9E989}" xr6:coauthVersionLast="47" xr6:coauthVersionMax="47" xr10:uidLastSave="{00000000-0000-0000-0000-000000000000}"/>
  <bookViews>
    <workbookView xWindow="0" yWindow="660" windowWidth="30240" windowHeight="18980" xr2:uid="{5678E890-3691-CF46-80E7-00FB1F103661}"/>
  </bookViews>
  <sheets>
    <sheet name="5.3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I6" i="1" s="1"/>
  <c r="G25" i="1"/>
  <c r="G24" i="1"/>
  <c r="G23" i="1"/>
  <c r="G22" i="1"/>
  <c r="I8" i="1"/>
  <c r="I7" i="1"/>
  <c r="I5" i="1"/>
  <c r="I4" i="1"/>
</calcChain>
</file>

<file path=xl/sharedStrings.xml><?xml version="1.0" encoding="utf-8"?>
<sst xmlns="http://schemas.openxmlformats.org/spreadsheetml/2006/main" count="20" uniqueCount="18">
  <si>
    <t>Method 1</t>
  </si>
  <si>
    <t>Cco2</t>
  </si>
  <si>
    <t>Constants</t>
  </si>
  <si>
    <t>Elime</t>
  </si>
  <si>
    <t>Mlime</t>
  </si>
  <si>
    <t>Mass lime applied</t>
  </si>
  <si>
    <t>FracLime</t>
  </si>
  <si>
    <t>Fraction of lime as limestone</t>
  </si>
  <si>
    <t>Plime</t>
  </si>
  <si>
    <t>Pdol</t>
  </si>
  <si>
    <t>Eflime</t>
  </si>
  <si>
    <t>Efdol</t>
  </si>
  <si>
    <t>𝐸𝑙𝑖𝑚𝑒 = [(𝑀𝑙𝑖𝑚𝑒 × 𝐹𝑟𝑎𝑐𝐿𝑖𝑚𝑒 × 𝑃𝑙𝑖𝑚𝑒 × 𝐸𝐹 𝑙𝑖𝑚𝑒) + (𝑀𝑙𝑖𝑚𝑒 × (1 − 𝐹𝑟𝑎𝑐𝐿𝑖𝑚𝑒) × 𝑃𝑑𝑜𝑙 × 𝐸𝐹 𝑑𝑜𝑙)] × 𝐶𝐶𝑂2 (Gypsum excluded)</t>
  </si>
  <si>
    <t>Soil ameliorant type</t>
  </si>
  <si>
    <t>Type</t>
  </si>
  <si>
    <t>Limestone</t>
  </si>
  <si>
    <t>Dolomite</t>
  </si>
  <si>
    <t>Gypsum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</si>
</sst>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co2" refersTo="='common'!$B$2"/>
    </definedNames>
    <sheetDataSet>
      <sheetData sheetId="0">
        <row r="2">
          <cell r="B2">
            <v>3.67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L30"/>
  <sheetViews>
    <sheetView tabSelected="1" workbookViewId="0">
      <selection activeCell="B9" sqref="B9"/>
    </sheetView>
  </sheetViews>
  <sheetFormatPr baseColWidth="10" defaultRowHeight="16"/>
  <cols>
    <col min="1" max="1" width="17.33203125" style="3" customWidth="1"/>
    <col min="2" max="3" width="26.6640625" customWidth="1"/>
    <col min="6" max="6" width="16.5" customWidth="1"/>
    <col min="9" max="9" width="12.1640625" bestFit="1" customWidth="1"/>
    <col min="11" max="11" width="36" customWidth="1"/>
  </cols>
  <sheetData>
    <row r="1" spans="1:12" ht="17">
      <c r="A1" s="3" t="s">
        <v>0</v>
      </c>
      <c r="I1" s="1" t="s">
        <v>12</v>
      </c>
    </row>
    <row r="2" spans="1:12" ht="17">
      <c r="A2" s="3" t="s">
        <v>5</v>
      </c>
      <c r="B2" t="s">
        <v>7</v>
      </c>
      <c r="C2" t="s">
        <v>13</v>
      </c>
      <c r="I2" s="1"/>
    </row>
    <row r="3" spans="1:12" ht="17">
      <c r="A3" s="5" t="s">
        <v>4</v>
      </c>
      <c r="B3" s="6" t="s">
        <v>6</v>
      </c>
      <c r="C3" s="6" t="s">
        <v>14</v>
      </c>
      <c r="I3" s="7" t="s">
        <v>3</v>
      </c>
      <c r="K3" s="8" t="s">
        <v>2</v>
      </c>
    </row>
    <row r="4" spans="1:12">
      <c r="A4" s="3">
        <v>3000</v>
      </c>
      <c r="B4">
        <v>0.3</v>
      </c>
      <c r="C4" t="s">
        <v>15</v>
      </c>
      <c r="I4">
        <f>IF(C4="Gypsum",0,((A4*B4*$L$4*$L$6)+(A4*(1-B4)*$L$5*$L$7))*$L$9/1000)</f>
        <v>1.3085385</v>
      </c>
      <c r="K4" t="s">
        <v>8</v>
      </c>
      <c r="L4">
        <v>0.9</v>
      </c>
    </row>
    <row r="5" spans="1:12">
      <c r="A5" s="3">
        <v>3000</v>
      </c>
      <c r="B5">
        <v>0</v>
      </c>
      <c r="C5" t="s">
        <v>16</v>
      </c>
      <c r="I5">
        <f>IF(C5="Gypsum",0,((A5*B5*$L$4*$L$6)+(A5*(1-B5)*$L$5*$L$7))*$L$9/1000)</f>
        <v>1.3597349999999999</v>
      </c>
      <c r="K5" t="s">
        <v>9</v>
      </c>
      <c r="L5">
        <v>0.95</v>
      </c>
    </row>
    <row r="6" spans="1:12">
      <c r="A6" s="2">
        <v>2000</v>
      </c>
      <c r="B6" s="2">
        <v>1</v>
      </c>
      <c r="C6" t="s">
        <v>15</v>
      </c>
      <c r="I6">
        <f>IF(C6="Gypsum",0,((A6*B6*$L$4*$L$6)+(A6*(1-B6)*$L$5*$L$7))*$L$9/1000)</f>
        <v>0.79271999999999998</v>
      </c>
      <c r="K6" t="s">
        <v>10</v>
      </c>
      <c r="L6">
        <v>0.12</v>
      </c>
    </row>
    <row r="7" spans="1:12">
      <c r="A7" s="3">
        <v>1000</v>
      </c>
      <c r="B7">
        <v>0.6</v>
      </c>
      <c r="C7" t="s">
        <v>16</v>
      </c>
      <c r="I7">
        <f>IF(C7="Gypsum",0,((A7*B7*$L$4*$L$6)+(A7*(1-B7)*$L$5*$L$7))*$L$9/1000)</f>
        <v>0.41911399999999999</v>
      </c>
      <c r="K7" s="2" t="s">
        <v>11</v>
      </c>
      <c r="L7" s="2">
        <v>0.13</v>
      </c>
    </row>
    <row r="8" spans="1:12">
      <c r="A8" s="3">
        <v>2500</v>
      </c>
      <c r="B8">
        <v>0.5</v>
      </c>
      <c r="C8" t="s">
        <v>17</v>
      </c>
      <c r="I8">
        <f>IF(C8="Gypsum",0,((A8*B8*$L$4*$L$6)+(A8*(1-B8)*$L$5*$L$7))*$L$9/1000)</f>
        <v>0</v>
      </c>
      <c r="K8" s="2"/>
      <c r="L8" s="2"/>
    </row>
    <row r="9" spans="1:12">
      <c r="A9" s="4"/>
      <c r="K9" s="2" t="s">
        <v>1</v>
      </c>
      <c r="L9" s="2">
        <f>[1]!common_cco2</f>
        <v>3.67</v>
      </c>
    </row>
    <row r="10" spans="1:12">
      <c r="B10" s="2"/>
      <c r="K10" s="2"/>
      <c r="L10" s="2"/>
    </row>
    <row r="11" spans="1:12">
      <c r="K11" s="2"/>
      <c r="L11" s="2"/>
    </row>
    <row r="12" spans="1:12">
      <c r="K12" s="2"/>
      <c r="L12" s="2"/>
    </row>
    <row r="13" spans="1:12">
      <c r="K13" s="2"/>
      <c r="L13" s="2"/>
    </row>
    <row r="14" spans="1:12">
      <c r="B14" s="2"/>
      <c r="K14" s="2"/>
      <c r="L14" s="2"/>
    </row>
    <row r="15" spans="1:12">
      <c r="B15" s="2"/>
      <c r="K15" s="2"/>
      <c r="L15" s="2"/>
    </row>
    <row r="16" spans="1:12">
      <c r="K16" s="2"/>
      <c r="L16" s="2"/>
    </row>
    <row r="17" spans="2:12">
      <c r="K17" s="2"/>
      <c r="L17" s="2"/>
    </row>
    <row r="18" spans="2:12">
      <c r="K18" s="2"/>
      <c r="L18" s="9"/>
    </row>
    <row r="19" spans="2:12">
      <c r="K19" s="2"/>
      <c r="L19" s="9"/>
    </row>
    <row r="20" spans="2:12">
      <c r="B20" s="2"/>
      <c r="K20" s="2"/>
      <c r="L20" s="2"/>
    </row>
    <row r="21" spans="2:12">
      <c r="B21" s="2"/>
      <c r="K21" s="2"/>
      <c r="L21" s="2"/>
    </row>
    <row r="22" spans="2:12">
      <c r="G22" t="str">
        <f t="shared" ref="G22:G25" si="0">IF(ISBLANK(C22), "", D22/C22)</f>
        <v/>
      </c>
    </row>
    <row r="23" spans="2:12">
      <c r="G23" t="str">
        <f t="shared" si="0"/>
        <v/>
      </c>
      <c r="K23" s="2"/>
    </row>
    <row r="24" spans="2:12">
      <c r="G24" t="str">
        <f t="shared" si="0"/>
        <v/>
      </c>
      <c r="K24" s="2"/>
      <c r="L24" s="2"/>
    </row>
    <row r="25" spans="2:12">
      <c r="G25" t="str">
        <f t="shared" si="0"/>
        <v/>
      </c>
      <c r="K25" s="2"/>
      <c r="L25" s="2"/>
    </row>
    <row r="26" spans="2:12">
      <c r="K26" s="2"/>
      <c r="L26" s="2"/>
    </row>
    <row r="27" spans="2:12">
      <c r="K27" s="2"/>
      <c r="L27" s="2"/>
    </row>
    <row r="28" spans="2:12">
      <c r="K28" s="2"/>
      <c r="L28" s="2"/>
    </row>
    <row r="29" spans="2:12">
      <c r="K29" s="2"/>
      <c r="L29" s="2"/>
    </row>
    <row r="30" spans="2:12">
      <c r="K30" s="2"/>
      <c r="L30" s="2"/>
    </row>
  </sheetData>
  <mergeCells count="1">
    <mergeCell ref="L18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5.3.1.1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2026-10-22T06:06:53Z</dcterms:modified>
</cp:coreProperties>
</file>