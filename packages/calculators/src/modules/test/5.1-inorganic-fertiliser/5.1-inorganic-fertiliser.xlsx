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xr:revisionPtr revIDLastSave="0" documentId="13_ncr:1_{639538DF-B78E-234B-A5B1-F67F5141516D}" xr6:coauthVersionLast="47" xr6:coauthVersionMax="47" xr10:uidLastSave="{00000000-0000-0000-0000-000000000000}"/>
  <bookViews>
    <workbookView xWindow="0" yWindow="600" windowWidth="28800" windowHeight="15980" activeTab="1" xr2:uid="{5678E890-3691-CF46-80E7-00FB1F103661}"/>
  </bookViews>
  <sheets>
    <sheet name="5.1.1.1" sheetId="1" r:id="rId1"/>
    <sheet name="5.1.1.2" sheetId="3" r:id="rId2"/>
    <sheet name="5.1.1.3" sheetId="2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3" l="1"/>
  <c r="G30" i="3"/>
  <c r="H29" i="3"/>
  <c r="G29" i="3"/>
  <c r="H28" i="3"/>
  <c r="G28" i="3"/>
  <c r="H27" i="3"/>
  <c r="J27" i="3" s="1"/>
  <c r="G27" i="3"/>
  <c r="H26" i="3"/>
  <c r="G26" i="3"/>
  <c r="H25" i="3"/>
  <c r="G25" i="3"/>
  <c r="H24" i="3"/>
  <c r="G24" i="3"/>
  <c r="H23" i="3"/>
  <c r="J23" i="3" s="1"/>
  <c r="G23" i="3"/>
  <c r="J8" i="3"/>
  <c r="J9" i="3"/>
  <c r="J10" i="3"/>
  <c r="G22" i="3"/>
  <c r="G21" i="3"/>
  <c r="G20" i="3"/>
  <c r="G19" i="3"/>
  <c r="H22" i="3"/>
  <c r="H21" i="3"/>
  <c r="H20" i="3"/>
  <c r="H19" i="3"/>
  <c r="J19" i="3" s="1"/>
  <c r="G4" i="3"/>
  <c r="I4" i="3" s="1"/>
  <c r="G5" i="3"/>
  <c r="G6" i="3"/>
  <c r="G7" i="3"/>
  <c r="G8" i="3"/>
  <c r="G9" i="3"/>
  <c r="G10" i="3"/>
  <c r="G11" i="3"/>
  <c r="G12" i="3"/>
  <c r="G13" i="3"/>
  <c r="G14" i="3"/>
  <c r="G15" i="3"/>
  <c r="I35" i="3"/>
  <c r="H15" i="3"/>
  <c r="J15" i="3" s="1"/>
  <c r="H14" i="3"/>
  <c r="J14" i="3" s="1"/>
  <c r="H13" i="3"/>
  <c r="J13" i="3" s="1"/>
  <c r="H12" i="3"/>
  <c r="J12" i="3" s="1"/>
  <c r="H11" i="3"/>
  <c r="J11" i="3" s="1"/>
  <c r="H10" i="3"/>
  <c r="H9" i="3"/>
  <c r="H8" i="3"/>
  <c r="H7" i="3"/>
  <c r="J7" i="3" s="1"/>
  <c r="H6" i="3"/>
  <c r="J6" i="3" s="1"/>
  <c r="H5" i="3"/>
  <c r="J5" i="3" s="1"/>
  <c r="H4" i="3"/>
  <c r="J4" i="3" s="1"/>
  <c r="G19" i="1"/>
  <c r="J19" i="1"/>
  <c r="K19" i="1"/>
  <c r="G20" i="1"/>
  <c r="G21" i="1"/>
  <c r="G22" i="1"/>
  <c r="G15" i="1"/>
  <c r="J15" i="1"/>
  <c r="K15" i="1"/>
  <c r="G16" i="1"/>
  <c r="G17" i="1"/>
  <c r="G18" i="1"/>
  <c r="J11" i="1"/>
  <c r="G12" i="1"/>
  <c r="G13" i="1"/>
  <c r="G14" i="1"/>
  <c r="G11" i="1"/>
  <c r="J35" i="3"/>
  <c r="P4" i="3"/>
  <c r="H4" i="1"/>
  <c r="I4" i="1" s="1"/>
  <c r="O7" i="2"/>
  <c r="O4" i="1"/>
  <c r="K4" i="1" s="1"/>
  <c r="J4" i="1"/>
  <c r="I9" i="2"/>
  <c r="I10" i="2"/>
  <c r="I11" i="2"/>
  <c r="I7" i="2"/>
  <c r="H8" i="2"/>
  <c r="I8" i="2" s="1"/>
  <c r="H9" i="2"/>
  <c r="E10" i="2"/>
  <c r="E11" i="2"/>
  <c r="K10" i="2"/>
  <c r="K11" i="2"/>
  <c r="J8" i="2"/>
  <c r="J9" i="2"/>
  <c r="J10" i="2"/>
  <c r="J11" i="2"/>
  <c r="J7" i="2"/>
  <c r="L10" i="2"/>
  <c r="L11" i="2"/>
  <c r="G28" i="2"/>
  <c r="I27" i="2"/>
  <c r="G27" i="2"/>
  <c r="I26" i="2"/>
  <c r="G26" i="2"/>
  <c r="I25" i="2"/>
  <c r="G25" i="2"/>
  <c r="H7" i="2"/>
  <c r="J6" i="1"/>
  <c r="I27" i="1"/>
  <c r="I28" i="1"/>
  <c r="I29" i="1"/>
  <c r="I35" i="1"/>
  <c r="I7" i="1"/>
  <c r="I8" i="1"/>
  <c r="L7" i="1"/>
  <c r="L8" i="1"/>
  <c r="L28" i="1"/>
  <c r="L29" i="1"/>
  <c r="K7" i="1"/>
  <c r="K8" i="1"/>
  <c r="K28" i="1"/>
  <c r="H5" i="1"/>
  <c r="I5" i="1" s="1"/>
  <c r="H6" i="1"/>
  <c r="I6" i="1" s="1"/>
  <c r="H7" i="1"/>
  <c r="H8" i="1"/>
  <c r="H28" i="1"/>
  <c r="H29" i="1"/>
  <c r="J5" i="1"/>
  <c r="I23" i="3" l="1"/>
  <c r="K23" i="3" s="1"/>
  <c r="L23" i="3" s="1"/>
  <c r="I27" i="3"/>
  <c r="K27" i="3" s="1"/>
  <c r="L27" i="3" s="1"/>
  <c r="I19" i="3"/>
  <c r="K19" i="3" s="1"/>
  <c r="L19" i="3" s="1"/>
  <c r="I14" i="3"/>
  <c r="I6" i="3"/>
  <c r="I15" i="3"/>
  <c r="I7" i="3"/>
  <c r="I13" i="3"/>
  <c r="K13" i="3" s="1"/>
  <c r="L13" i="3" s="1"/>
  <c r="M13" i="3" s="1"/>
  <c r="I5" i="3"/>
  <c r="I12" i="3"/>
  <c r="K12" i="3" s="1"/>
  <c r="L12" i="3" s="1"/>
  <c r="I11" i="3"/>
  <c r="K11" i="3" s="1"/>
  <c r="L11" i="3" s="1"/>
  <c r="M11" i="3" s="1"/>
  <c r="I8" i="3"/>
  <c r="K4" i="3"/>
  <c r="L4" i="3" s="1"/>
  <c r="I10" i="3"/>
  <c r="K10" i="3" s="1"/>
  <c r="L10" i="3" s="1"/>
  <c r="M10" i="3" s="1"/>
  <c r="I9" i="3"/>
  <c r="K9" i="3" s="1"/>
  <c r="L9" i="3" s="1"/>
  <c r="M9" i="3" s="1"/>
  <c r="K15" i="3"/>
  <c r="L15" i="3" s="1"/>
  <c r="K8" i="3"/>
  <c r="L8" i="3" s="1"/>
  <c r="M8" i="3" s="1"/>
  <c r="K14" i="3"/>
  <c r="L14" i="3" s="1"/>
  <c r="K6" i="3"/>
  <c r="L6" i="3" s="1"/>
  <c r="H15" i="1"/>
  <c r="I15" i="1" s="1"/>
  <c r="L15" i="1" s="1"/>
  <c r="H19" i="1"/>
  <c r="I19" i="1" s="1"/>
  <c r="L19" i="1" s="1"/>
  <c r="H11" i="1"/>
  <c r="I11" i="1" s="1"/>
  <c r="K11" i="1"/>
  <c r="L11" i="1" s="1"/>
  <c r="K6" i="1"/>
  <c r="L6" i="1" s="1"/>
  <c r="K8" i="2"/>
  <c r="L8" i="2" s="1"/>
  <c r="K7" i="2"/>
  <c r="L7" i="2" s="1"/>
  <c r="K9" i="2"/>
  <c r="L9" i="2" s="1"/>
  <c r="K5" i="1"/>
  <c r="K29" i="1"/>
  <c r="L4" i="1"/>
  <c r="M23" i="3" l="1"/>
  <c r="M27" i="3"/>
  <c r="M19" i="3"/>
  <c r="K7" i="3"/>
  <c r="L7" i="3" s="1"/>
  <c r="M7" i="3" s="1"/>
  <c r="K5" i="3"/>
  <c r="L5" i="3" s="1"/>
  <c r="M5" i="3" s="1"/>
  <c r="M12" i="3"/>
  <c r="M15" i="3"/>
  <c r="M4" i="3"/>
  <c r="M6" i="3"/>
  <c r="M14" i="3"/>
  <c r="L5" i="1"/>
</calcChain>
</file>

<file path=xl/sharedStrings.xml><?xml version="1.0" encoding="utf-8"?>
<sst xmlns="http://schemas.openxmlformats.org/spreadsheetml/2006/main" count="212" uniqueCount="74">
  <si>
    <t>MNjf</t>
  </si>
  <si>
    <t>EFjn2o</t>
  </si>
  <si>
    <r>
      <t>𝐸</t>
    </r>
    <r>
      <rPr>
        <sz val="8"/>
        <color rgb="FF000000"/>
        <rFont val="Helvetica"/>
        <family val="2"/>
      </rPr>
      <t xml:space="preserve">𝑁2𝑂 </t>
    </r>
    <r>
      <rPr>
        <sz val="11"/>
        <color rgb="FF000000"/>
        <rFont val="Helvetica"/>
        <family val="2"/>
      </rPr>
      <t xml:space="preserve">= ∑ ∑ (𝑀𝑁 </t>
    </r>
    <r>
      <rPr>
        <sz val="8"/>
        <color rgb="FF000000"/>
        <rFont val="Helvetica"/>
        <family val="2"/>
      </rPr>
      <t xml:space="preserve">𝑗𝑓 </t>
    </r>
    <r>
      <rPr>
        <sz val="11"/>
        <color rgb="FF000000"/>
        <rFont val="Helvetica"/>
        <family val="2"/>
      </rPr>
      <t xml:space="preserve">× 𝐸𝐹 </t>
    </r>
    <r>
      <rPr>
        <sz val="8"/>
        <color rgb="FF000000"/>
        <rFont val="Helvetica"/>
        <family val="2"/>
      </rPr>
      <t>𝑗,𝑁2𝑂</t>
    </r>
    <r>
      <rPr>
        <sz val="11"/>
        <color rgb="FF000000"/>
        <rFont val="Helvetica"/>
        <family val="2"/>
      </rPr>
      <t xml:space="preserve"> × 𝐶</t>
    </r>
    <r>
      <rPr>
        <sz val="8"/>
        <color rgb="FF000000"/>
        <rFont val="Helvetica"/>
        <family val="2"/>
      </rPr>
      <t xml:space="preserve">𝑁2𝑂 </t>
    </r>
    <r>
      <rPr>
        <sz val="11"/>
        <color rgb="FF000000"/>
        <rFont val="Helvetica"/>
        <family val="2"/>
      </rPr>
      <t>× 10</t>
    </r>
    <r>
      <rPr>
        <sz val="8"/>
        <color rgb="FF000000"/>
        <rFont val="Helvetica"/>
        <family val="2"/>
      </rPr>
      <t>−3</t>
    </r>
    <r>
      <rPr>
        <sz val="11"/>
        <color rgb="FF000000"/>
        <rFont val="Helvetica"/>
        <family val="2"/>
      </rPr>
      <t>)</t>
    </r>
  </si>
  <si>
    <t>Cn2o</t>
  </si>
  <si>
    <t>En2o</t>
  </si>
  <si>
    <t>TMjf</t>
  </si>
  <si>
    <r>
      <t xml:space="preserve">𝑀𝑁 </t>
    </r>
    <r>
      <rPr>
        <sz val="8"/>
        <color rgb="FF000000"/>
        <rFont val="Helvetica"/>
        <family val="2"/>
      </rPr>
      <t xml:space="preserve">𝑗𝑓 </t>
    </r>
    <r>
      <rPr>
        <sz val="11"/>
        <color rgb="FF000000"/>
        <rFont val="Helvetica"/>
        <family val="2"/>
      </rPr>
      <t xml:space="preserve">= 𝑇𝑀 </t>
    </r>
    <r>
      <rPr>
        <sz val="8"/>
        <color rgb="FF000000"/>
        <rFont val="Helvetica"/>
        <family val="2"/>
      </rPr>
      <t xml:space="preserve">𝑗𝑓 </t>
    </r>
    <r>
      <rPr>
        <sz val="11"/>
        <color rgb="FF000000"/>
        <rFont val="Helvetica"/>
        <family val="2"/>
      </rPr>
      <t>× 𝐹𝑁</t>
    </r>
    <r>
      <rPr>
        <sz val="8"/>
        <color rgb="FF000000"/>
        <rFont val="Helvetica"/>
        <family val="2"/>
      </rPr>
      <t>𝑖𝑛𝑜𝑟𝑔𝑎𝑛𝑖𝑐,𝑓</t>
    </r>
  </si>
  <si>
    <t>Type</t>
  </si>
  <si>
    <t>System</t>
  </si>
  <si>
    <t>Method 1</t>
  </si>
  <si>
    <t>Urea</t>
  </si>
  <si>
    <t>Total mass applied</t>
  </si>
  <si>
    <t>Table A.2.2.3</t>
  </si>
  <si>
    <t>Area (hectares)</t>
  </si>
  <si>
    <t>Diammonium phosphate (DAP)</t>
  </si>
  <si>
    <t>Monoammonium phosphate (MAP)</t>
  </si>
  <si>
    <t>Diammonium Phosphate (DAP)</t>
  </si>
  <si>
    <t>Irrigated crop</t>
  </si>
  <si>
    <t>Irrigated pasture</t>
  </si>
  <si>
    <t>Non-irrigated pasture</t>
  </si>
  <si>
    <t>Sugar</t>
  </si>
  <si>
    <t>Cotton</t>
  </si>
  <si>
    <t>Horticultural crops</t>
  </si>
  <si>
    <t>Aquaculture</t>
  </si>
  <si>
    <t>Rice (continuous flooding)</t>
  </si>
  <si>
    <t>Rice (single and multiple drainage, or alternate wetting and drying)</t>
  </si>
  <si>
    <t>Forestry</t>
  </si>
  <si>
    <t>Irrigated crop (maize)</t>
  </si>
  <si>
    <t>Sulphate of Ammonia (SOA)</t>
  </si>
  <si>
    <t>Ammonium Nitrate (AN)</t>
  </si>
  <si>
    <t>Calcium Ammonium Nitrate (CAN)</t>
  </si>
  <si>
    <t>Sulphate of ammonia (SOA)</t>
  </si>
  <si>
    <t>Urea-ammonium nitrate (UAN)</t>
  </si>
  <si>
    <t>Ammonium nitrate (AN)</t>
  </si>
  <si>
    <t>Calcium ammonium nitrate (CAN)</t>
  </si>
  <si>
    <t>Monoammonium Phosphate (MAP)</t>
  </si>
  <si>
    <r>
      <t xml:space="preserve">𝐸 </t>
    </r>
    <r>
      <rPr>
        <sz val="8"/>
        <color rgb="FF000000"/>
        <rFont val="Helvetica"/>
        <family val="2"/>
      </rPr>
      <t xml:space="preserve">𝑗𝑓,𝐶𝑂2 </t>
    </r>
    <r>
      <rPr>
        <sz val="11"/>
        <color rgb="FF000000"/>
        <rFont val="Helvetica"/>
        <family val="2"/>
      </rPr>
      <t xml:space="preserve">= 𝑀𝑈 </t>
    </r>
    <r>
      <rPr>
        <sz val="8"/>
        <color rgb="FF000000"/>
        <rFont val="Helvetica"/>
        <family val="2"/>
      </rPr>
      <t xml:space="preserve">𝑗𝑓 </t>
    </r>
    <r>
      <rPr>
        <sz val="11"/>
        <color rgb="FF000000"/>
        <rFont val="Helvetica"/>
        <family val="2"/>
      </rPr>
      <t xml:space="preserve">× 𝐸𝐹 </t>
    </r>
    <r>
      <rPr>
        <sz val="8"/>
        <color rgb="FF000000"/>
        <rFont val="Helvetica"/>
        <family val="2"/>
      </rPr>
      <t>𝑢𝑟𝑒𝑎,𝐶𝑂2</t>
    </r>
    <r>
      <rPr>
        <sz val="11"/>
        <color rgb="FF000000"/>
        <rFont val="Helvetica"/>
        <family val="2"/>
      </rPr>
      <t xml:space="preserve"> × 𝐶</t>
    </r>
    <r>
      <rPr>
        <sz val="8"/>
        <color rgb="FF000000"/>
        <rFont val="Helvetica"/>
        <family val="2"/>
      </rPr>
      <t xml:space="preserve">𝐶𝑂2 </t>
    </r>
    <r>
      <rPr>
        <sz val="11"/>
        <color rgb="FF000000"/>
        <rFont val="Helvetica"/>
        <family val="2"/>
      </rPr>
      <t>× 10</t>
    </r>
    <r>
      <rPr>
        <sz val="8"/>
        <color rgb="FF000000"/>
        <rFont val="Helvetica"/>
        <family val="2"/>
      </rPr>
      <t>−3</t>
    </r>
  </si>
  <si>
    <t>EjfCO2</t>
  </si>
  <si>
    <t>Cco2</t>
  </si>
  <si>
    <t>EFureaco2</t>
  </si>
  <si>
    <t>Mujf</t>
  </si>
  <si>
    <r>
      <t xml:space="preserve">𝑀𝑈 </t>
    </r>
    <r>
      <rPr>
        <sz val="8"/>
        <color rgb="FF000000"/>
        <rFont val="Helvetica"/>
        <family val="2"/>
      </rPr>
      <t xml:space="preserve">𝑗𝑓 </t>
    </r>
    <r>
      <rPr>
        <sz val="11"/>
        <color rgb="FF000000"/>
        <rFont val="Helvetica"/>
        <family val="2"/>
      </rPr>
      <t xml:space="preserve">= 𝑇𝑀 </t>
    </r>
    <r>
      <rPr>
        <sz val="8"/>
        <color rgb="FF000000"/>
        <rFont val="Helvetica"/>
        <family val="2"/>
      </rPr>
      <t xml:space="preserve">𝑗𝑓 </t>
    </r>
    <r>
      <rPr>
        <sz val="11"/>
        <color rgb="FF000000"/>
        <rFont val="Helvetica"/>
        <family val="2"/>
      </rPr>
      <t xml:space="preserve">× 𝐹𝑈 </t>
    </r>
    <r>
      <rPr>
        <sz val="8"/>
        <color rgb="FF000000"/>
        <rFont val="Helvetica"/>
        <family val="2"/>
      </rPr>
      <t>𝑓</t>
    </r>
  </si>
  <si>
    <t>Table A.2.2.7</t>
  </si>
  <si>
    <t>Fuf</t>
  </si>
  <si>
    <t>Urea-Ammonium Nitrate (UAN)</t>
  </si>
  <si>
    <t>Constants</t>
  </si>
  <si>
    <t>Total mass applied (kg)</t>
  </si>
  <si>
    <t>Application rate (kg / hectare)</t>
  </si>
  <si>
    <t>Non-irrigated crop (high rainfall)</t>
  </si>
  <si>
    <t>Non-irrigated crop (low rainfall)</t>
  </si>
  <si>
    <t>Application area</t>
  </si>
  <si>
    <t>Table A.2.2.1</t>
  </si>
  <si>
    <t>Nfj</t>
  </si>
  <si>
    <t>FNinorganicf</t>
  </si>
  <si>
    <t>Ammonium Sulfate</t>
  </si>
  <si>
    <t>Calcium Nitrate</t>
  </si>
  <si>
    <t>Method 2 - individual test cases</t>
  </si>
  <si>
    <t>Method 2 - Fertilisers with complex components</t>
  </si>
  <si>
    <t>Component type</t>
  </si>
  <si>
    <t>Fraction of fertiliser</t>
  </si>
  <si>
    <t>Fraction of nitrogen in component</t>
  </si>
  <si>
    <t>Nitrogen - Generic</t>
  </si>
  <si>
    <t>Nitrogen - Ammonia</t>
  </si>
  <si>
    <t>Nitrogen - Nitrate</t>
  </si>
  <si>
    <t>Diammonium Phosphate</t>
  </si>
  <si>
    <t>Monoammonium phosphate</t>
  </si>
  <si>
    <t>Sulphate of Ammonia</t>
  </si>
  <si>
    <t>Urea-Ammonium Nitrate</t>
  </si>
  <si>
    <t>Ammonium Nitrate</t>
  </si>
  <si>
    <t>Calcium Ammonium Nitrate</t>
  </si>
  <si>
    <t>Fertilisers with complex components (4 components per test)</t>
  </si>
  <si>
    <t>Zinc - Generic</t>
  </si>
  <si>
    <t>Single superphosphate</t>
  </si>
  <si>
    <t>Component 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</si>
</sst>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000"/>
  </numFmts>
  <fonts count="7">
    <font>
      <sz val="12"/>
      <color theme="1"/>
      <name val="Aptos Narrow"/>
      <family val="2"/>
      <scheme val="minor"/>
    </font>
    <font>
      <sz val="11"/>
      <color rgb="FF000000"/>
      <name val="Helvetica"/>
      <family val="2"/>
    </font>
    <font>
      <sz val="8"/>
      <color rgb="FF000000"/>
      <name val="Helvetica"/>
      <family val="2"/>
    </font>
    <font>
      <sz val="12"/>
      <color theme="1"/>
      <name val="Helvetica"/>
      <family val="2"/>
    </font>
    <font>
      <sz val="12"/>
      <name val="Aptos Narrow"/>
      <scheme val="minor"/>
    </font>
    <font>
      <b/>
      <sz val="12"/>
      <name val="Aptos Narrow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164" fontId="0" fillId="0" borderId="0" xfId="0" applyNumberFormat="1"/>
    <xf numFmtId="0" fontId="4" fillId="2" borderId="0" xfId="0" applyFont="1" applyFill="1" applyAlignment="1">
      <alignment wrapText="1"/>
    </xf>
    <xf numFmtId="0" fontId="0" fillId="2" borderId="0" xfId="0" applyFill="1"/>
    <xf numFmtId="0" fontId="0" fillId="3" borderId="0" xfId="0" applyFill="1"/>
    <xf numFmtId="0" fontId="6" fillId="0" borderId="0" xfId="0" applyFont="1"/>
    <xf numFmtId="165" fontId="0" fillId="0" borderId="0" xfId="0" applyNumberFormat="1"/>
    <xf numFmtId="0" fontId="3" fillId="0" borderId="0" xfId="0" applyFont="1"/>
    <xf numFmtId="0" fontId="4" fillId="0" borderId="0" xfId="0" applyFont="1" applyBorder="1" applyAlignment="1">
      <alignment wrapText="1"/>
    </xf>
    <xf numFmtId="0" fontId="0" fillId="0" borderId="0" xfId="0" applyBorder="1"/>
    <xf numFmtId="165" fontId="0" fillId="0" borderId="0" xfId="0" applyNumberFormat="1" applyBorder="1"/>
    <xf numFmtId="164" fontId="0" fillId="0" borderId="0" xfId="0" applyNumberFormat="1" applyBorder="1"/>
    <xf numFmtId="0" fontId="3" fillId="0" borderId="0" xfId="0" applyFont="1" applyBorder="1"/>
    <xf numFmtId="0" fontId="4" fillId="0" borderId="1" xfId="0" applyFont="1" applyBorder="1" applyAlignment="1">
      <alignment wrapText="1"/>
    </xf>
    <xf numFmtId="0" fontId="3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stants/comm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on"/>
    </sheetNames>
    <definedNames>
      <definedName name="common_cco2" refersTo="='common'!$B$2"/>
      <definedName name="common_cn2o" refersTo="='common'!$B$4"/>
    </definedNames>
    <sheetDataSet>
      <sheetData sheetId="0">
        <row r="2">
          <cell r="B2">
            <v>3.67</v>
          </cell>
        </row>
        <row r="4">
          <cell r="B4">
            <v>1.57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5655F-5BFE-554E-A3D3-9DFA9517010F}">
  <dimension ref="A1:Q35"/>
  <sheetViews>
    <sheetView topLeftCell="A8" workbookViewId="0">
      <selection activeCell="E17" sqref="E17"/>
    </sheetView>
  </sheetViews>
  <sheetFormatPr baseColWidth="10" defaultRowHeight="16"/>
  <cols>
    <col min="1" max="1" width="25.5" style="3" customWidth="1"/>
    <col min="2" max="3" width="26.6640625" customWidth="1"/>
    <col min="6" max="6" width="26.6640625" customWidth="1"/>
    <col min="10" max="10" width="18.1640625" customWidth="1"/>
    <col min="12" max="12" width="12.6640625" bestFit="1" customWidth="1"/>
    <col min="14" max="14" width="36" customWidth="1"/>
  </cols>
  <sheetData>
    <row r="1" spans="1:17" ht="17">
      <c r="A1" s="3" t="s">
        <v>9</v>
      </c>
      <c r="I1" s="1" t="s">
        <v>6</v>
      </c>
      <c r="L1" s="1" t="s">
        <v>2</v>
      </c>
    </row>
    <row r="2" spans="1:17">
      <c r="D2" t="s">
        <v>46</v>
      </c>
      <c r="I2" s="1"/>
      <c r="L2" s="1"/>
    </row>
    <row r="3" spans="1:17" ht="17">
      <c r="A3" s="6" t="s">
        <v>8</v>
      </c>
      <c r="B3" s="7" t="s">
        <v>7</v>
      </c>
      <c r="C3" s="7" t="s">
        <v>50</v>
      </c>
      <c r="D3" s="7" t="s">
        <v>5</v>
      </c>
      <c r="E3" s="7" t="s">
        <v>58</v>
      </c>
      <c r="F3" s="7" t="s">
        <v>59</v>
      </c>
      <c r="G3" t="s">
        <v>47</v>
      </c>
      <c r="H3" t="s">
        <v>53</v>
      </c>
      <c r="I3" t="s">
        <v>0</v>
      </c>
      <c r="J3" t="s">
        <v>1</v>
      </c>
      <c r="K3" t="s">
        <v>3</v>
      </c>
      <c r="L3" s="8" t="s">
        <v>4</v>
      </c>
      <c r="N3" s="9" t="s">
        <v>45</v>
      </c>
    </row>
    <row r="4" spans="1:17" ht="17">
      <c r="A4" s="3" t="s">
        <v>17</v>
      </c>
      <c r="B4" t="s">
        <v>10</v>
      </c>
      <c r="D4">
        <v>50</v>
      </c>
      <c r="H4">
        <f>IF(ISBLANK(B4), "", VLOOKUP(B4,$N$24:$O$30, 2, FALSE))</f>
        <v>0.46</v>
      </c>
      <c r="I4">
        <f>H4*D4</f>
        <v>23</v>
      </c>
      <c r="J4">
        <f>VLOOKUP(A4, $N$7:$O$19,2, FALSE)</f>
        <v>7.0000000000000001E-3</v>
      </c>
      <c r="K4">
        <f>$O$4</f>
        <v>1.57</v>
      </c>
      <c r="L4" s="10">
        <f>I4*J4*K4/1000</f>
        <v>2.5276999999999998E-4</v>
      </c>
      <c r="N4" t="s">
        <v>3</v>
      </c>
      <c r="O4">
        <f>[1]!common_cn2o</f>
        <v>1.57</v>
      </c>
    </row>
    <row r="5" spans="1:17" ht="17">
      <c r="A5" s="3" t="s">
        <v>18</v>
      </c>
      <c r="B5" t="s">
        <v>16</v>
      </c>
      <c r="D5">
        <v>40</v>
      </c>
      <c r="H5">
        <f>IF(ISBLANK(B5), "", VLOOKUP(B5,$N$24:$O$30, 2, FALSE))</f>
        <v>0.18</v>
      </c>
      <c r="I5">
        <f t="shared" ref="I5:I6" si="0">H5*D5</f>
        <v>7.1999999999999993</v>
      </c>
      <c r="J5">
        <f>VLOOKUP(A5, $N$7:$O$19,2, FALSE)</f>
        <v>5.8999999999999999E-3</v>
      </c>
      <c r="K5">
        <f>IF(ISBLANK(J5), "",$O$4)</f>
        <v>1.57</v>
      </c>
      <c r="L5">
        <f>IF(ISBLANK(A5), "", I5*J5*K5/1000)</f>
        <v>6.6693599999999994E-5</v>
      </c>
    </row>
    <row r="6" spans="1:17">
      <c r="A6" s="2" t="s">
        <v>23</v>
      </c>
      <c r="B6" s="2" t="s">
        <v>28</v>
      </c>
      <c r="C6" s="2"/>
      <c r="D6">
        <v>30</v>
      </c>
      <c r="H6">
        <f>IF(ISBLANK(B6), "", VLOOKUP(B6,$N$24:$O$30, 2, FALSE))</f>
        <v>0.21</v>
      </c>
      <c r="I6">
        <f t="shared" si="0"/>
        <v>6.3</v>
      </c>
      <c r="J6">
        <f>VLOOKUP(A6, $N$7:$O$19,2, FALSE)</f>
        <v>2.5999999999999999E-3</v>
      </c>
      <c r="K6">
        <f>IF(ISBLANK(J6), "",$O$4)</f>
        <v>1.57</v>
      </c>
      <c r="L6">
        <f>IF(ISBLANK(A6), "", I6*J6*K6/1000)</f>
        <v>2.57166E-5</v>
      </c>
      <c r="N6" t="s">
        <v>51</v>
      </c>
    </row>
    <row r="7" spans="1:17">
      <c r="H7" t="str">
        <f>IF(ISBLANK(B7), "", VLOOKUP(B7,$N$24:$O$30, 2, FALSE))</f>
        <v/>
      </c>
      <c r="I7" t="str">
        <f>IF(ISBLANK(B7), "", IF(ISNUMBER(#REF!),#REF!* D7, H7*D7))</f>
        <v/>
      </c>
      <c r="K7" t="str">
        <f>IF(ISBLANK(J7), "",$O$4)</f>
        <v/>
      </c>
      <c r="L7" t="str">
        <f>IF(ISBLANK(A7), "", I7*J7*K7/1000)</f>
        <v/>
      </c>
      <c r="N7" s="2" t="s">
        <v>18</v>
      </c>
      <c r="O7" s="2">
        <v>5.8999999999999999E-3</v>
      </c>
      <c r="Q7" s="2"/>
    </row>
    <row r="8" spans="1:17">
      <c r="H8" t="str">
        <f>IF(ISBLANK(B8), "", VLOOKUP(B8,$N$24:$O$30, 2, FALSE))</f>
        <v/>
      </c>
      <c r="I8" t="str">
        <f>IF(ISBLANK(B8), "", IF(ISNUMBER(#REF!),#REF!* D8, H8*D8))</f>
        <v/>
      </c>
      <c r="K8" t="str">
        <f>IF(ISBLANK(J8), "",$O$4)</f>
        <v/>
      </c>
      <c r="L8" t="str">
        <f>IF(ISBLANK(A8), "", I8*J8*K8/1000)</f>
        <v/>
      </c>
      <c r="N8" s="2" t="s">
        <v>17</v>
      </c>
      <c r="O8" s="2">
        <v>7.0000000000000001E-3</v>
      </c>
      <c r="Q8" s="2"/>
    </row>
    <row r="9" spans="1:17" ht="51">
      <c r="A9" s="4" t="s">
        <v>70</v>
      </c>
      <c r="J9" s="1"/>
      <c r="N9" s="2" t="s">
        <v>19</v>
      </c>
      <c r="O9" s="2">
        <v>1.8E-3</v>
      </c>
      <c r="Q9" s="2"/>
    </row>
    <row r="10" spans="1:17" ht="17">
      <c r="A10" s="6" t="s">
        <v>8</v>
      </c>
      <c r="B10" s="7" t="s">
        <v>7</v>
      </c>
      <c r="C10" s="7" t="s">
        <v>50</v>
      </c>
      <c r="D10" s="7" t="s">
        <v>5</v>
      </c>
      <c r="E10" s="7" t="s">
        <v>58</v>
      </c>
      <c r="F10" s="7" t="s">
        <v>59</v>
      </c>
      <c r="G10" t="s">
        <v>60</v>
      </c>
      <c r="H10" t="s">
        <v>53</v>
      </c>
      <c r="I10" t="s">
        <v>0</v>
      </c>
      <c r="J10" t="s">
        <v>1</v>
      </c>
      <c r="K10" t="s">
        <v>3</v>
      </c>
      <c r="L10" s="8" t="s">
        <v>4</v>
      </c>
      <c r="N10" s="2" t="s">
        <v>49</v>
      </c>
      <c r="O10" s="2">
        <v>2.8999999999999998E-3</v>
      </c>
      <c r="Q10" s="2"/>
    </row>
    <row r="11" spans="1:17" ht="17">
      <c r="A11" s="12" t="s">
        <v>17</v>
      </c>
      <c r="B11" s="13" t="s">
        <v>10</v>
      </c>
      <c r="C11" s="13"/>
      <c r="D11" s="13">
        <v>500</v>
      </c>
      <c r="E11" s="13" t="s">
        <v>61</v>
      </c>
      <c r="F11" s="13">
        <v>0.1</v>
      </c>
      <c r="G11" s="13">
        <f>IF(LEFT(E11,8)="Nitrogen",1, _xlfn.XLOOKUP(E11,$M$24:$M$30, $O$24:$O$30, 0, 3))</f>
        <v>1</v>
      </c>
      <c r="H11" s="13">
        <f>SUMPRODUCT(F11:F14,G11:G14)</f>
        <v>0.41800000000000004</v>
      </c>
      <c r="I11" s="13">
        <f>H11*D11</f>
        <v>209.00000000000003</v>
      </c>
      <c r="J11" s="13">
        <f>VLOOKUP(A11, $N$7:$O$19,2, FALSE)</f>
        <v>7.0000000000000001E-3</v>
      </c>
      <c r="K11" s="13">
        <f>$O$4</f>
        <v>1.57</v>
      </c>
      <c r="L11" s="14">
        <f>I11*J11*K11/1000</f>
        <v>2.2969100000000005E-3</v>
      </c>
      <c r="N11" s="2" t="s">
        <v>48</v>
      </c>
      <c r="O11" s="2">
        <v>8.0000000000000002E-3</v>
      </c>
      <c r="Q11" s="2"/>
    </row>
    <row r="12" spans="1:17">
      <c r="A12" s="12"/>
      <c r="B12" s="13"/>
      <c r="C12" s="13"/>
      <c r="D12" s="13"/>
      <c r="E12" s="13" t="s">
        <v>62</v>
      </c>
      <c r="F12" s="13">
        <v>0.1</v>
      </c>
      <c r="G12" s="13">
        <f t="shared" ref="G12:G14" si="1">IF(LEFT(E12,8)="Nitrogen",1, _xlfn.XLOOKUP(E12,$M$24:$M$30, $O$24:$O$30, 0, 3))</f>
        <v>1</v>
      </c>
      <c r="H12" s="13"/>
      <c r="I12" s="13"/>
      <c r="J12" s="13"/>
      <c r="K12" s="13"/>
      <c r="L12" s="15"/>
      <c r="N12" s="2" t="s">
        <v>20</v>
      </c>
      <c r="O12" s="2">
        <v>1.9900000000000001E-2</v>
      </c>
      <c r="Q12" s="2"/>
    </row>
    <row r="13" spans="1:17">
      <c r="A13" s="16"/>
      <c r="B13" s="16"/>
      <c r="C13" s="16"/>
      <c r="D13" s="13"/>
      <c r="E13" s="13" t="s">
        <v>63</v>
      </c>
      <c r="F13" s="13">
        <v>0.2</v>
      </c>
      <c r="G13" s="13">
        <f t="shared" si="1"/>
        <v>1</v>
      </c>
      <c r="H13" s="13"/>
      <c r="I13" s="13"/>
      <c r="J13" s="13"/>
      <c r="K13" s="13"/>
      <c r="L13" s="13"/>
      <c r="N13" s="2" t="s">
        <v>21</v>
      </c>
      <c r="O13" s="2">
        <v>5.3E-3</v>
      </c>
      <c r="Q13" s="2"/>
    </row>
    <row r="14" spans="1:17">
      <c r="A14" s="17"/>
      <c r="B14" s="18"/>
      <c r="C14" s="18"/>
      <c r="D14" s="19"/>
      <c r="E14" s="19" t="s">
        <v>64</v>
      </c>
      <c r="F14" s="19">
        <v>0.1</v>
      </c>
      <c r="G14" s="19">
        <f t="shared" si="1"/>
        <v>0.18</v>
      </c>
      <c r="H14" s="19"/>
      <c r="I14" s="19"/>
      <c r="J14" s="19"/>
      <c r="K14" s="19"/>
      <c r="L14" s="19"/>
      <c r="N14" s="2" t="s">
        <v>22</v>
      </c>
      <c r="O14" s="2">
        <v>6.4000000000000003E-3</v>
      </c>
      <c r="Q14" s="2"/>
    </row>
    <row r="15" spans="1:17">
      <c r="A15" s="2" t="s">
        <v>20</v>
      </c>
      <c r="B15" s="13" t="s">
        <v>10</v>
      </c>
      <c r="C15" s="13"/>
      <c r="D15" s="13">
        <v>501</v>
      </c>
      <c r="E15" s="13" t="s">
        <v>71</v>
      </c>
      <c r="F15" s="13">
        <v>0.15</v>
      </c>
      <c r="G15" s="13">
        <f>IF(LEFT(E15,8)="Nitrogen",1, _xlfn.XLOOKUP(E15,$M$24:$M$30, $O$24:$O$30, 0, 3))</f>
        <v>0</v>
      </c>
      <c r="H15" s="13">
        <f>SUMPRODUCT(F15:F18,G15:G18)</f>
        <v>0.22810000000000002</v>
      </c>
      <c r="I15" s="13">
        <f>H15*D15</f>
        <v>114.27810000000001</v>
      </c>
      <c r="J15" s="13">
        <f>VLOOKUP(A15, $N$7:$O$19,2, FALSE)</f>
        <v>1.9900000000000001E-2</v>
      </c>
      <c r="K15" s="13">
        <f>$O$4</f>
        <v>1.57</v>
      </c>
      <c r="L15" s="14">
        <f>I15*J15*K15/1000</f>
        <v>3.5703906783000009E-3</v>
      </c>
      <c r="N15" s="2" t="s">
        <v>23</v>
      </c>
      <c r="O15" s="2">
        <v>2.5999999999999999E-3</v>
      </c>
      <c r="Q15" s="2"/>
    </row>
    <row r="16" spans="1:17">
      <c r="A16" s="12"/>
      <c r="B16" s="13"/>
      <c r="C16" s="13"/>
      <c r="D16" s="13"/>
      <c r="E16" s="13" t="s">
        <v>62</v>
      </c>
      <c r="F16" s="13">
        <v>0.16</v>
      </c>
      <c r="G16" s="13">
        <f t="shared" ref="G16:G18" si="2">IF(LEFT(E16,8)="Nitrogen",1, _xlfn.XLOOKUP(E16,$M$24:$M$30, $O$24:$O$30, 0, 3))</f>
        <v>1</v>
      </c>
      <c r="H16" s="13"/>
      <c r="I16" s="13"/>
      <c r="J16" s="13"/>
      <c r="K16" s="13"/>
      <c r="L16" s="15"/>
      <c r="N16" s="2" t="s">
        <v>24</v>
      </c>
      <c r="O16" s="2">
        <v>3.0000000000000001E-3</v>
      </c>
    </row>
    <row r="17" spans="1:15">
      <c r="A17" s="16"/>
      <c r="B17" s="16"/>
      <c r="C17" s="16"/>
      <c r="D17" s="13"/>
      <c r="E17" s="2" t="s">
        <v>66</v>
      </c>
      <c r="F17" s="13">
        <v>0.17</v>
      </c>
      <c r="G17" s="13">
        <f t="shared" si="2"/>
        <v>0.21</v>
      </c>
      <c r="H17" s="13"/>
      <c r="I17" s="13"/>
      <c r="J17" s="13"/>
      <c r="K17" s="13"/>
      <c r="L17" s="13"/>
      <c r="N17" s="2" t="s">
        <v>25</v>
      </c>
      <c r="O17" s="2">
        <v>5.0000000000000001E-3</v>
      </c>
    </row>
    <row r="18" spans="1:15">
      <c r="A18" s="17"/>
      <c r="B18" s="18"/>
      <c r="C18" s="18"/>
      <c r="D18" s="19"/>
      <c r="E18" s="19" t="s">
        <v>64</v>
      </c>
      <c r="F18" s="19">
        <v>0.18</v>
      </c>
      <c r="G18" s="19">
        <f t="shared" si="2"/>
        <v>0.18</v>
      </c>
      <c r="H18" s="19"/>
      <c r="I18" s="19"/>
      <c r="J18" s="19"/>
      <c r="K18" s="19"/>
      <c r="L18" s="19"/>
      <c r="N18" s="2" t="s">
        <v>23</v>
      </c>
      <c r="O18" s="2">
        <v>2.5999999999999999E-3</v>
      </c>
    </row>
    <row r="19" spans="1:15">
      <c r="A19" s="2" t="s">
        <v>25</v>
      </c>
      <c r="B19" s="13" t="s">
        <v>10</v>
      </c>
      <c r="C19" s="13"/>
      <c r="D19" s="13">
        <v>502</v>
      </c>
      <c r="E19" s="2" t="s">
        <v>65</v>
      </c>
      <c r="F19" s="13">
        <v>0.19</v>
      </c>
      <c r="G19" s="13">
        <f>IF(LEFT(E19,8)="Nitrogen",1, _xlfn.XLOOKUP(E19,$M$24:$M$30, $O$24:$O$30, 0, 3))</f>
        <v>0.1</v>
      </c>
      <c r="H19" s="13">
        <f>SUMPRODUCT(F19:F22,G19:G22)</f>
        <v>0.1153</v>
      </c>
      <c r="I19" s="13">
        <f>H19*D19</f>
        <v>57.880600000000001</v>
      </c>
      <c r="J19" s="13">
        <f>VLOOKUP(A19, $N$7:$O$19,2, FALSE)</f>
        <v>5.0000000000000001E-3</v>
      </c>
      <c r="K19" s="13">
        <f>$O$4</f>
        <v>1.57</v>
      </c>
      <c r="L19" s="14">
        <f>I19*J19*K19/1000</f>
        <v>4.5436271000000007E-4</v>
      </c>
      <c r="N19" s="2" t="s">
        <v>26</v>
      </c>
      <c r="O19" s="2">
        <v>1.8E-3</v>
      </c>
    </row>
    <row r="20" spans="1:15">
      <c r="A20" s="12"/>
      <c r="B20" s="13"/>
      <c r="C20" s="13"/>
      <c r="D20" s="13"/>
      <c r="E20" s="13" t="s">
        <v>72</v>
      </c>
      <c r="F20" s="13">
        <v>0.2</v>
      </c>
      <c r="G20" s="13">
        <f t="shared" ref="G20:G22" si="3">IF(LEFT(E20,8)="Nitrogen",1, _xlfn.XLOOKUP(E20,$M$24:$M$30, $O$24:$O$30, 0, 3))</f>
        <v>0</v>
      </c>
      <c r="H20" s="13"/>
      <c r="I20" s="13"/>
      <c r="J20" s="13"/>
      <c r="K20" s="13"/>
      <c r="L20" s="15"/>
    </row>
    <row r="21" spans="1:15">
      <c r="A21" s="16"/>
      <c r="B21" s="16"/>
      <c r="C21" s="16"/>
      <c r="D21" s="13"/>
      <c r="E21" s="2" t="s">
        <v>69</v>
      </c>
      <c r="F21" s="13">
        <v>0.21</v>
      </c>
      <c r="G21" s="13">
        <f t="shared" si="3"/>
        <v>0.27</v>
      </c>
      <c r="H21" s="13"/>
      <c r="I21" s="13"/>
      <c r="J21" s="13"/>
      <c r="K21" s="13"/>
      <c r="L21" s="13"/>
    </row>
    <row r="22" spans="1:15">
      <c r="A22" s="17"/>
      <c r="B22" s="18"/>
      <c r="C22" s="18"/>
      <c r="D22" s="19"/>
      <c r="E22" s="19" t="s">
        <v>64</v>
      </c>
      <c r="F22" s="19">
        <v>0.22</v>
      </c>
      <c r="G22" s="19">
        <f t="shared" si="3"/>
        <v>0.18</v>
      </c>
      <c r="H22" s="19"/>
      <c r="I22" s="19"/>
      <c r="J22" s="19"/>
      <c r="K22" s="19"/>
      <c r="L22" s="19"/>
    </row>
    <row r="23" spans="1:15" ht="35" customHeight="1">
      <c r="N23" t="s">
        <v>12</v>
      </c>
    </row>
    <row r="24" spans="1:15">
      <c r="J24" s="1"/>
      <c r="M24" s="2" t="s">
        <v>65</v>
      </c>
      <c r="N24" s="2" t="s">
        <v>15</v>
      </c>
      <c r="O24" s="2">
        <v>0.1</v>
      </c>
    </row>
    <row r="25" spans="1:15">
      <c r="M25" s="2" t="s">
        <v>64</v>
      </c>
      <c r="N25" s="2" t="s">
        <v>14</v>
      </c>
      <c r="O25" s="2">
        <v>0.18</v>
      </c>
    </row>
    <row r="26" spans="1:15">
      <c r="M26" t="s">
        <v>10</v>
      </c>
      <c r="N26" s="2" t="s">
        <v>10</v>
      </c>
      <c r="O26" s="2">
        <v>0.46</v>
      </c>
    </row>
    <row r="27" spans="1:15">
      <c r="I27" t="str">
        <f>IF(ISBLANK(B27), "", IF(ISNUMBER(#REF!),#REF!* D27, H27*D27))</f>
        <v/>
      </c>
      <c r="M27" s="2" t="s">
        <v>66</v>
      </c>
      <c r="N27" s="2" t="s">
        <v>28</v>
      </c>
      <c r="O27" s="2">
        <v>0.21</v>
      </c>
    </row>
    <row r="28" spans="1:15">
      <c r="H28" t="str">
        <f>IF(ISBLANK(B28), "", VLOOKUP(B28,$N$24:$O$30, 2, FALSE))</f>
        <v/>
      </c>
      <c r="I28" t="str">
        <f>IF(ISBLANK(B28), "", IF(ISNUMBER(#REF!),#REF!* D28, H28*D28))</f>
        <v/>
      </c>
      <c r="K28" t="str">
        <f>IF(ISBLANK(J28), "",$O$4)</f>
        <v/>
      </c>
      <c r="L28" t="str">
        <f>IF(ISBLANK(A28), "", I28*J28*K28/1000)</f>
        <v/>
      </c>
      <c r="M28" s="2" t="s">
        <v>67</v>
      </c>
      <c r="N28" s="2" t="s">
        <v>32</v>
      </c>
      <c r="O28" s="2">
        <v>0.32</v>
      </c>
    </row>
    <row r="29" spans="1:15">
      <c r="H29" t="str">
        <f>IF(ISBLANK(B29), "", VLOOKUP(B29,$N$24:$O$30, 2, FALSE))</f>
        <v/>
      </c>
      <c r="I29" t="str">
        <f>IF(ISBLANK(B29), "", IF(ISNUMBER(#REF!),#REF!* D29, H29*D29))</f>
        <v/>
      </c>
      <c r="K29" t="str">
        <f>IF(ISBLANK(J29), "",$O$4)</f>
        <v/>
      </c>
      <c r="L29" t="str">
        <f>IF(ISBLANK(A29), "", I29*J29*K29/1000)</f>
        <v/>
      </c>
      <c r="M29" s="2" t="s">
        <v>68</v>
      </c>
      <c r="N29" s="2" t="s">
        <v>33</v>
      </c>
      <c r="O29" s="2">
        <v>0.33700000000000002</v>
      </c>
    </row>
    <row r="30" spans="1:15">
      <c r="M30" s="2" t="s">
        <v>69</v>
      </c>
      <c r="N30" s="2" t="s">
        <v>34</v>
      </c>
      <c r="O30" s="2">
        <v>0.27</v>
      </c>
    </row>
    <row r="31" spans="1:15">
      <c r="N31" s="2" t="s">
        <v>54</v>
      </c>
      <c r="O31">
        <v>0.21</v>
      </c>
    </row>
    <row r="32" spans="1:15">
      <c r="N32" s="2" t="s">
        <v>55</v>
      </c>
      <c r="O32">
        <v>0.155</v>
      </c>
    </row>
    <row r="35" spans="9:9">
      <c r="I35" t="str">
        <f>IF(ISBLANK(B35), "", IF(ISNUMBER(#REF!),#REF!* D35, H35*D35))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3E3A0-2142-9E47-AF00-285C7CC038D1}">
  <dimension ref="A1:R35"/>
  <sheetViews>
    <sheetView tabSelected="1" topLeftCell="A7" workbookViewId="0">
      <selection activeCell="D28" sqref="D28"/>
    </sheetView>
  </sheetViews>
  <sheetFormatPr baseColWidth="10" defaultRowHeight="16"/>
  <cols>
    <col min="1" max="1" width="25.5" style="3" customWidth="1"/>
    <col min="2" max="3" width="26.6640625" customWidth="1"/>
    <col min="7" max="7" width="26.6640625" customWidth="1"/>
    <col min="11" max="11" width="18.1640625" customWidth="1"/>
    <col min="13" max="13" width="12.6640625" bestFit="1" customWidth="1"/>
    <col min="15" max="15" width="36" customWidth="1"/>
  </cols>
  <sheetData>
    <row r="1" spans="1:18" ht="34">
      <c r="A1" s="4" t="s">
        <v>56</v>
      </c>
      <c r="J1" s="1" t="s">
        <v>6</v>
      </c>
      <c r="M1" s="1" t="s">
        <v>2</v>
      </c>
    </row>
    <row r="2" spans="1:18">
      <c r="D2" t="s">
        <v>46</v>
      </c>
      <c r="J2" s="1"/>
      <c r="M2" s="1"/>
    </row>
    <row r="3" spans="1:18" ht="17">
      <c r="A3" s="6" t="s">
        <v>8</v>
      </c>
      <c r="B3" s="7" t="s">
        <v>7</v>
      </c>
      <c r="C3" s="7" t="s">
        <v>50</v>
      </c>
      <c r="D3" s="7" t="s">
        <v>5</v>
      </c>
      <c r="E3" s="7" t="s">
        <v>58</v>
      </c>
      <c r="F3" s="7" t="s">
        <v>73</v>
      </c>
      <c r="G3" t="s">
        <v>47</v>
      </c>
      <c r="H3" t="s">
        <v>53</v>
      </c>
      <c r="I3" t="s">
        <v>52</v>
      </c>
      <c r="J3" t="s">
        <v>0</v>
      </c>
      <c r="K3" t="s">
        <v>1</v>
      </c>
      <c r="L3" t="s">
        <v>3</v>
      </c>
      <c r="M3" s="8" t="s">
        <v>4</v>
      </c>
      <c r="O3" s="9" t="s">
        <v>45</v>
      </c>
    </row>
    <row r="4" spans="1:18" ht="17">
      <c r="A4" s="3" t="s">
        <v>27</v>
      </c>
      <c r="B4" s="2" t="s">
        <v>28</v>
      </c>
      <c r="C4" s="2">
        <v>10</v>
      </c>
      <c r="D4">
        <v>7000</v>
      </c>
      <c r="G4">
        <f>D4/C4</f>
        <v>700</v>
      </c>
      <c r="H4">
        <f>IF(ISBLANK(B4), "", VLOOKUP(B4,$O$24:$P$32, 2, FALSE))</f>
        <v>0.21</v>
      </c>
      <c r="I4">
        <f>G4*H4</f>
        <v>147</v>
      </c>
      <c r="J4">
        <f>H4*D4</f>
        <v>1470</v>
      </c>
      <c r="K4">
        <f>MAX(_xlfn.IFS(A4="Irrigated crop (maize)", (-0.1474 + (0.0061 * I4)) * 10^-2, A4="Non-irrigated crop (high rainfall)", (0.0781 + (0.0075*I4)) * 10^-2, A4="Cotton", ((0.29 + (0.007*(EXP(0.037*MIN(I4, 300)) - 1)/MIN(I4, 300))) * 10^-2)), 0)</f>
        <v>7.4930000000000005E-3</v>
      </c>
      <c r="L4">
        <f t="shared" ref="L4:L19" si="0">IF(ISBLANK(K4), "",$P$4)</f>
        <v>1.57</v>
      </c>
      <c r="M4" s="5">
        <f>IF(ISBLANK(A4), "", J4*K4*L4/1000)</f>
        <v>1.7293094700000001E-2</v>
      </c>
      <c r="O4" t="s">
        <v>3</v>
      </c>
      <c r="P4">
        <f>[1]!common_cn2o</f>
        <v>1.57</v>
      </c>
    </row>
    <row r="5" spans="1:18" ht="17">
      <c r="A5" s="3" t="s">
        <v>27</v>
      </c>
      <c r="B5" t="s">
        <v>10</v>
      </c>
      <c r="C5">
        <v>10</v>
      </c>
      <c r="D5">
        <v>3000</v>
      </c>
      <c r="G5">
        <f>D5/C5</f>
        <v>300</v>
      </c>
      <c r="H5">
        <f>IF(ISBLANK(B5), "", VLOOKUP(B5,$O$24:$P$32, 2, FALSE))</f>
        <v>0.46</v>
      </c>
      <c r="I5">
        <f>G5*H5</f>
        <v>138</v>
      </c>
      <c r="J5">
        <f t="shared" ref="J5:J15" si="1">H5*D5</f>
        <v>1380</v>
      </c>
      <c r="K5">
        <f>MAX(_xlfn.IFS(A5="Irrigated crop (maize)", (-0.1474 + (0.0061 * I5)) * 10^-2, A5="Non-irrigated crop (high rainfall)", (0.0781 + (0.0075*I5)) * 10^-2, A5="Cotton", ((0.29 + (0.007*(EXP(0.037*MIN(I5, 300)) - 1)/MIN(I5, 300))) * 10^-2)), 0)</f>
        <v>6.9440000000000014E-3</v>
      </c>
      <c r="L5">
        <f t="shared" si="0"/>
        <v>1.57</v>
      </c>
      <c r="M5" s="5">
        <f>IF(ISBLANK(A5), "", J5*K5*L5/1000)</f>
        <v>1.5044870400000004E-2</v>
      </c>
    </row>
    <row r="6" spans="1:18" ht="17">
      <c r="A6" s="3" t="s">
        <v>27</v>
      </c>
      <c r="B6" s="2" t="s">
        <v>35</v>
      </c>
      <c r="C6">
        <v>10</v>
      </c>
      <c r="D6">
        <v>3000</v>
      </c>
      <c r="G6">
        <f>D6/C6</f>
        <v>300</v>
      </c>
      <c r="H6">
        <f>IF(ISBLANK(B6), "", VLOOKUP(B6,$O$24:$P$32, 2, FALSE))</f>
        <v>0.1</v>
      </c>
      <c r="I6">
        <f>G6*H6</f>
        <v>30</v>
      </c>
      <c r="J6">
        <f t="shared" si="1"/>
        <v>300</v>
      </c>
      <c r="K6">
        <f>MAX(_xlfn.IFS(A6="Irrigated crop (maize)", (-0.1474 + (0.0061 * I6)) * 10^-2, A6="Non-irrigated crop (high rainfall)", (0.0781 + (0.0075*I6)) * 10^-2, A6="Cotton", ((0.29 + (0.007*(EXP(0.037*MIN(I6, 300)) - 1)/MIN(I6, 300))) * 10^-2)), 0)</f>
        <v>3.560000000000002E-4</v>
      </c>
      <c r="L6">
        <f t="shared" si="0"/>
        <v>1.57</v>
      </c>
      <c r="M6" s="5">
        <f>IF(ISBLANK(A6), "", J6*K6*L6/1000)</f>
        <v>1.6767600000000009E-4</v>
      </c>
      <c r="O6" t="s">
        <v>51</v>
      </c>
    </row>
    <row r="7" spans="1:18" ht="34">
      <c r="A7" s="3" t="s">
        <v>48</v>
      </c>
      <c r="B7" s="2" t="s">
        <v>35</v>
      </c>
      <c r="C7" s="2">
        <v>10</v>
      </c>
      <c r="D7">
        <v>3000</v>
      </c>
      <c r="G7">
        <f>D7/C7</f>
        <v>300</v>
      </c>
      <c r="H7">
        <f>IF(ISBLANK(B7), "", VLOOKUP(B7,$O$24:$P$32, 2, FALSE))</f>
        <v>0.1</v>
      </c>
      <c r="I7">
        <f>G7*H7</f>
        <v>30</v>
      </c>
      <c r="J7">
        <f t="shared" si="1"/>
        <v>300</v>
      </c>
      <c r="K7">
        <f>MAX(_xlfn.IFS(A7="Irrigated crop (maize)", (-0.1474 + (0.0061 * I7)) * 10^-2, A7="Non-irrigated crop (high rainfall)", (0.0781 + (0.0075*I7)) * 10^-2, A7="Cotton", ((0.29 + (0.007*(EXP(0.037*MIN(I7, 300)) - 1)/MIN(I7, 300))) * 10^-2)), 0)</f>
        <v>3.0309999999999998E-3</v>
      </c>
      <c r="L7">
        <f t="shared" si="0"/>
        <v>1.57</v>
      </c>
      <c r="M7">
        <f>IF(ISBLANK(A7), "", J7*K7*L7/1000)</f>
        <v>1.4276010000000001E-3</v>
      </c>
      <c r="O7" s="2" t="s">
        <v>18</v>
      </c>
      <c r="P7" s="2">
        <v>5.8999999999999999E-3</v>
      </c>
      <c r="R7" s="2"/>
    </row>
    <row r="8" spans="1:18" ht="34">
      <c r="A8" s="3" t="s">
        <v>48</v>
      </c>
      <c r="B8" s="2" t="s">
        <v>29</v>
      </c>
      <c r="C8" s="2">
        <v>10</v>
      </c>
      <c r="D8">
        <v>5000</v>
      </c>
      <c r="G8">
        <f>D8/C8</f>
        <v>500</v>
      </c>
      <c r="H8">
        <f>IF(ISBLANK(B8), "", VLOOKUP(B8,$O$24:$P$32, 2, FALSE))</f>
        <v>0.33700000000000002</v>
      </c>
      <c r="I8">
        <f>G8*H8</f>
        <v>168.5</v>
      </c>
      <c r="J8">
        <f t="shared" si="1"/>
        <v>1685</v>
      </c>
      <c r="K8">
        <f>MAX(_xlfn.IFS(A8="Irrigated crop (maize)", (-0.1474 + (0.0061 * I8)) * 10^-2, A8="Non-irrigated crop (high rainfall)", (0.0781 + (0.0075*I8)) * 10^-2, A8="Cotton", ((0.29 + (0.007*(EXP(0.037*MIN(I8, 300)) - 1)/MIN(I8, 300))) * 10^-2)), 0)</f>
        <v>1.34185E-2</v>
      </c>
      <c r="L8">
        <f t="shared" si="0"/>
        <v>1.57</v>
      </c>
      <c r="M8">
        <f>IF(ISBLANK(A8), "", J8*K8*L8/1000)</f>
        <v>3.5497970825000003E-2</v>
      </c>
      <c r="O8" s="2" t="s">
        <v>17</v>
      </c>
      <c r="P8" s="2">
        <v>7.0000000000000001E-3</v>
      </c>
      <c r="R8" s="2"/>
    </row>
    <row r="9" spans="1:18" ht="34">
      <c r="A9" s="3" t="s">
        <v>48</v>
      </c>
      <c r="B9" s="2" t="s">
        <v>35</v>
      </c>
      <c r="C9" s="2">
        <v>10</v>
      </c>
      <c r="D9">
        <v>3000</v>
      </c>
      <c r="G9">
        <f>D9/C9</f>
        <v>300</v>
      </c>
      <c r="H9">
        <f>IF(ISBLANK(B9), "", VLOOKUP(B9,$O$24:$P$32, 2, FALSE))</f>
        <v>0.1</v>
      </c>
      <c r="I9">
        <f>G9*H9</f>
        <v>30</v>
      </c>
      <c r="J9">
        <f t="shared" si="1"/>
        <v>300</v>
      </c>
      <c r="K9">
        <f>MAX(_xlfn.IFS(A9="Irrigated crop (maize)", (-0.1474 + (0.0061 * I9)) * 10^-2, A9="Non-irrigated crop (high rainfall)", (0.0781 + (0.0075*I9)) * 10^-2, A9="Cotton", ((0.29 + (0.007*(EXP(0.037*MIN(I9, 300)) - 1)/MIN(I9, 300))) * 10^-2)), 0)</f>
        <v>3.0309999999999998E-3</v>
      </c>
      <c r="L9">
        <f t="shared" si="0"/>
        <v>1.57</v>
      </c>
      <c r="M9">
        <f>IF(ISBLANK(A9), "", J9*K9*L9/1000)</f>
        <v>1.4276010000000001E-3</v>
      </c>
      <c r="O9" s="2" t="s">
        <v>19</v>
      </c>
      <c r="P9" s="2">
        <v>1.8E-3</v>
      </c>
      <c r="R9" s="2"/>
    </row>
    <row r="10" spans="1:18" ht="17">
      <c r="A10" s="3" t="s">
        <v>21</v>
      </c>
      <c r="B10" s="2" t="s">
        <v>30</v>
      </c>
      <c r="C10" s="2">
        <v>10</v>
      </c>
      <c r="D10">
        <v>300</v>
      </c>
      <c r="G10">
        <f>D10/C10</f>
        <v>30</v>
      </c>
      <c r="H10">
        <f>IF(ISBLANK(B10), "", VLOOKUP(B10,$O$24:$P$32, 2, FALSE))</f>
        <v>0.27</v>
      </c>
      <c r="I10">
        <f>G10*H10</f>
        <v>8.1000000000000014</v>
      </c>
      <c r="J10">
        <f t="shared" si="1"/>
        <v>81</v>
      </c>
      <c r="K10">
        <f>MAX(_xlfn.IFS(A10="Irrigated crop (maize)", (-0.1474 + (0.0061 * I10)) * 10^-2, A10="Non-irrigated crop (high rainfall)", (0.0781 + (0.0075*I10)) * 10^-2, A10="Cotton", ((0.29 + (0.007*(EXP(0.037*MIN(I10, 300)) - 1)/MIN(I10, 300))) * 10^-2)), 0)</f>
        <v>2.9030199720675299E-3</v>
      </c>
      <c r="L10">
        <f t="shared" si="0"/>
        <v>1.57</v>
      </c>
      <c r="M10">
        <f>IF(ISBLANK(A10), "", J10*K10*L10/1000)</f>
        <v>3.6917704984782779E-4</v>
      </c>
      <c r="O10" s="2" t="s">
        <v>49</v>
      </c>
      <c r="P10" s="2">
        <v>2.8999999999999998E-3</v>
      </c>
      <c r="R10" s="2"/>
    </row>
    <row r="11" spans="1:18" ht="17">
      <c r="A11" s="3" t="s">
        <v>21</v>
      </c>
      <c r="B11" s="2" t="s">
        <v>29</v>
      </c>
      <c r="C11" s="2">
        <v>10</v>
      </c>
      <c r="D11">
        <v>350</v>
      </c>
      <c r="G11">
        <f>D11/C11</f>
        <v>35</v>
      </c>
      <c r="H11">
        <f>IF(ISBLANK(B11), "", VLOOKUP(B11,$O$24:$P$32, 2, FALSE))</f>
        <v>0.33700000000000002</v>
      </c>
      <c r="I11">
        <f>G11*H11</f>
        <v>11.795</v>
      </c>
      <c r="J11">
        <f t="shared" si="1"/>
        <v>117.95</v>
      </c>
      <c r="K11">
        <f>MAX(_xlfn.IFS(A11="Irrigated crop (maize)", (-0.1474 + (0.0061 * I11)) * 10^-2, A11="Non-irrigated crop (high rainfall)", (0.0781 + (0.0075*I11)) * 10^-2, A11="Cotton", ((0.29 + (0.007*(EXP(0.037*MIN(I11, 300)) - 1)/MIN(I11, 300))) * 10^-2)), 0)</f>
        <v>2.9032471853358537E-3</v>
      </c>
      <c r="L11">
        <f t="shared" si="0"/>
        <v>1.57</v>
      </c>
      <c r="M11">
        <f>IF(ISBLANK(A11), "", J11*K11*L11/1000)</f>
        <v>5.3762766865127144E-4</v>
      </c>
      <c r="O11" s="2" t="s">
        <v>48</v>
      </c>
      <c r="P11" s="2">
        <v>8.0000000000000002E-3</v>
      </c>
      <c r="R11" s="2"/>
    </row>
    <row r="12" spans="1:18" ht="17">
      <c r="A12" s="3" t="s">
        <v>21</v>
      </c>
      <c r="B12" s="2" t="s">
        <v>10</v>
      </c>
      <c r="C12" s="2">
        <v>10</v>
      </c>
      <c r="D12">
        <v>6700</v>
      </c>
      <c r="G12">
        <f>D12/C12</f>
        <v>670</v>
      </c>
      <c r="H12">
        <f>IF(ISBLANK(B12), "", VLOOKUP(B12,$O$24:$P$32, 2, FALSE))</f>
        <v>0.46</v>
      </c>
      <c r="I12">
        <f>G12*H12</f>
        <v>308.2</v>
      </c>
      <c r="J12">
        <f t="shared" si="1"/>
        <v>3082</v>
      </c>
      <c r="K12">
        <f>MAX(_xlfn.IFS(A12="Irrigated crop (maize)", (-0.1474 + (0.0061 * I12)) * 10^-2, A12="Non-irrigated crop (high rainfall)", (0.0781 + (0.0075*I12)) * 10^-2, A12="Cotton", ((0.29 + (0.007*(EXP(0.037*MIN(I12, 300)) - 1)/MIN(I12, 300))) * 10^-2)), 0)</f>
        <v>1.8339704039287866E-2</v>
      </c>
      <c r="L12">
        <f t="shared" si="0"/>
        <v>1.57</v>
      </c>
      <c r="M12">
        <f>IF(ISBLANK(A12), "", J12*K12*L12/1000)</f>
        <v>8.8741059523063784E-2</v>
      </c>
      <c r="O12" s="2" t="s">
        <v>20</v>
      </c>
      <c r="P12" s="2">
        <v>1.9900000000000001E-2</v>
      </c>
      <c r="R12" s="2"/>
    </row>
    <row r="13" spans="1:18" ht="17">
      <c r="A13" s="3" t="s">
        <v>21</v>
      </c>
      <c r="B13" s="2" t="s">
        <v>29</v>
      </c>
      <c r="C13" s="2">
        <v>10</v>
      </c>
      <c r="D13">
        <v>2000</v>
      </c>
      <c r="G13">
        <f>D13/C13</f>
        <v>200</v>
      </c>
      <c r="H13">
        <f>IF(ISBLANK(B13), "", VLOOKUP(B13,$O$24:$P$32, 2, FALSE))</f>
        <v>0.33700000000000002</v>
      </c>
      <c r="I13">
        <f>G13*H13</f>
        <v>67.400000000000006</v>
      </c>
      <c r="J13">
        <f t="shared" si="1"/>
        <v>674</v>
      </c>
      <c r="K13">
        <f>MAX(_xlfn.IFS(A13="Irrigated crop (maize)", (-0.1474 + (0.0061 * I13)) * 10^-2, A13="Non-irrigated crop (high rainfall)", (0.0781 + (0.0075*I13)) * 10^-2, A13="Cotton", ((0.29 + (0.007*(EXP(0.037*MIN(I13, 300)) - 1)/MIN(I13, 300))) * 10^-2)), 0)</f>
        <v>2.9115356636702783E-3</v>
      </c>
      <c r="L13">
        <f t="shared" si="0"/>
        <v>1.57</v>
      </c>
      <c r="M13">
        <f>IF(ISBLANK(A13), "", J13*K13*L13/1000)</f>
        <v>3.0809288085826151E-3</v>
      </c>
      <c r="O13" s="2" t="s">
        <v>21</v>
      </c>
      <c r="P13" s="2">
        <v>5.3E-3</v>
      </c>
      <c r="R13" s="2"/>
    </row>
    <row r="14" spans="1:18" ht="17">
      <c r="A14" s="3" t="s">
        <v>21</v>
      </c>
      <c r="B14" s="2" t="s">
        <v>54</v>
      </c>
      <c r="C14" s="2">
        <v>10</v>
      </c>
      <c r="D14">
        <v>6000</v>
      </c>
      <c r="G14">
        <f>D14/C14</f>
        <v>600</v>
      </c>
      <c r="H14">
        <f>IF(ISBLANK(B14), "", VLOOKUP(B14,$O$24:$P$32, 2, FALSE))</f>
        <v>0.21</v>
      </c>
      <c r="I14">
        <f>G14*H14</f>
        <v>126</v>
      </c>
      <c r="J14">
        <f t="shared" si="1"/>
        <v>1260</v>
      </c>
      <c r="K14">
        <f>MAX(_xlfn.IFS(A14="Irrigated crop (maize)", (-0.1474 + (0.0061 * I14)) * 10^-2, A14="Non-irrigated crop (high rainfall)", (0.0781 + (0.0075*I14)) * 10^-2, A14="Cotton", ((0.29 + (0.007*(EXP(0.037*MIN(I14, 300)) - 1)/MIN(I14, 300))) * 10^-2)), 0)</f>
        <v>2.9582486476300309E-3</v>
      </c>
      <c r="L14">
        <f t="shared" si="0"/>
        <v>1.57</v>
      </c>
      <c r="M14">
        <f>IF(ISBLANK(A14), "", J14*K14*L14/1000)</f>
        <v>5.852007474741727E-3</v>
      </c>
      <c r="O14" s="2" t="s">
        <v>22</v>
      </c>
      <c r="P14" s="2">
        <v>6.4000000000000003E-3</v>
      </c>
      <c r="R14" s="2"/>
    </row>
    <row r="15" spans="1:18" ht="17">
      <c r="A15" s="3" t="s">
        <v>21</v>
      </c>
      <c r="B15" s="2" t="s">
        <v>55</v>
      </c>
      <c r="C15" s="2">
        <v>10</v>
      </c>
      <c r="D15">
        <v>5000</v>
      </c>
      <c r="G15">
        <f>D15/C15</f>
        <v>500</v>
      </c>
      <c r="H15">
        <f>IF(ISBLANK(B15), "", VLOOKUP(B15,$O$24:$P$32, 2, FALSE))</f>
        <v>0.155</v>
      </c>
      <c r="I15">
        <f>G15*H15</f>
        <v>77.5</v>
      </c>
      <c r="J15">
        <f t="shared" si="1"/>
        <v>775</v>
      </c>
      <c r="K15">
        <f>MAX(_xlfn.IFS(A15="Irrigated crop (maize)", (-0.1474 + (0.0061 * I15)) * 10^-2, A15="Non-irrigated crop (high rainfall)", (0.0781 + (0.0075*I15)) * 10^-2, A15="Cotton", ((0.29 + (0.007*(EXP(0.037*MIN(I15, 300)) - 1)/MIN(I15, 300))) * 10^-2)), 0)</f>
        <v>2.914987208395978E-3</v>
      </c>
      <c r="L15">
        <f t="shared" si="0"/>
        <v>1.57</v>
      </c>
      <c r="M15">
        <f>IF(ISBLANK(A15), "", J15*K15*L15/1000)</f>
        <v>3.5468106858158066E-3</v>
      </c>
      <c r="O15" s="2" t="s">
        <v>23</v>
      </c>
      <c r="P15" s="2">
        <v>2.5999999999999999E-3</v>
      </c>
      <c r="R15" s="2"/>
    </row>
    <row r="16" spans="1:18">
      <c r="O16" s="2" t="s">
        <v>24</v>
      </c>
      <c r="P16" s="2">
        <v>3.0000000000000001E-3</v>
      </c>
    </row>
    <row r="17" spans="1:16" ht="34">
      <c r="A17" s="3" t="s">
        <v>57</v>
      </c>
      <c r="O17" s="2" t="s">
        <v>25</v>
      </c>
      <c r="P17" s="2">
        <v>5.0000000000000001E-3</v>
      </c>
    </row>
    <row r="18" spans="1:16" ht="17">
      <c r="A18" s="6" t="s">
        <v>8</v>
      </c>
      <c r="B18" s="7" t="s">
        <v>7</v>
      </c>
      <c r="C18" s="7" t="s">
        <v>50</v>
      </c>
      <c r="D18" s="7" t="s">
        <v>5</v>
      </c>
      <c r="E18" s="7" t="s">
        <v>58</v>
      </c>
      <c r="F18" s="7" t="s">
        <v>73</v>
      </c>
      <c r="G18" t="s">
        <v>47</v>
      </c>
      <c r="H18" t="s">
        <v>53</v>
      </c>
      <c r="I18" t="s">
        <v>52</v>
      </c>
      <c r="J18" t="s">
        <v>0</v>
      </c>
      <c r="K18" t="s">
        <v>1</v>
      </c>
      <c r="L18" t="s">
        <v>3</v>
      </c>
      <c r="M18" s="8" t="s">
        <v>4</v>
      </c>
      <c r="O18" s="2" t="s">
        <v>23</v>
      </c>
      <c r="P18" s="2">
        <v>2.5999999999999999E-3</v>
      </c>
    </row>
    <row r="19" spans="1:16" ht="17">
      <c r="A19" s="12" t="s">
        <v>27</v>
      </c>
      <c r="B19" s="16" t="s">
        <v>28</v>
      </c>
      <c r="C19" s="16">
        <v>10</v>
      </c>
      <c r="D19" s="13">
        <v>7000</v>
      </c>
      <c r="E19" s="13"/>
      <c r="F19" s="13"/>
      <c r="G19" s="13">
        <f>D19/C19</f>
        <v>700</v>
      </c>
      <c r="H19" s="13">
        <f>IF(ISBLANK(B19), "", VLOOKUP(B19,$O$24:$P$32, 2, FALSE))</f>
        <v>0.21</v>
      </c>
      <c r="I19" s="13">
        <f>SUMPRODUCT(G19:G22,H19:H22)</f>
        <v>320</v>
      </c>
      <c r="J19" s="13">
        <f>SUMPRODUCT(D19:D22,H19:H22)</f>
        <v>3200</v>
      </c>
      <c r="K19" s="13">
        <f>MAX(_xlfn.IFS(A19="Irrigated crop (maize)", (-0.1474 + (0.0061 * I19)) * 10^-2, A19="Non-irrigated crop (high rainfall)", (0.0781 + (0.0075*I19)) * 10^-2, A19="Cotton", ((0.29 + (0.007*(EXP(0.037*MIN(I19, 300)) - 1)/MIN(I19, 300))) * 10^-2)), 0)</f>
        <v>1.8046000000000003E-2</v>
      </c>
      <c r="L19" s="13">
        <f>IF(ISBLANK(K19), "",$P$4)</f>
        <v>1.57</v>
      </c>
      <c r="M19" s="15">
        <f>IF(ISBLANK(A19), "", J19*K19*L19/1000)</f>
        <v>9.0663104000000022E-2</v>
      </c>
      <c r="O19" s="2" t="s">
        <v>26</v>
      </c>
      <c r="P19" s="2">
        <v>1.8E-3</v>
      </c>
    </row>
    <row r="20" spans="1:16">
      <c r="A20" s="12"/>
      <c r="B20" s="13" t="s">
        <v>10</v>
      </c>
      <c r="C20" s="16">
        <v>10</v>
      </c>
      <c r="D20" s="13">
        <v>3000</v>
      </c>
      <c r="E20" s="13"/>
      <c r="F20" s="13"/>
      <c r="G20" s="13">
        <f>D20/C20</f>
        <v>300</v>
      </c>
      <c r="H20" s="13">
        <f>IF(ISBLANK(B20), "", VLOOKUP(B20,$O$24:$P$32, 2, FALSE))</f>
        <v>0.46</v>
      </c>
      <c r="I20" s="13"/>
      <c r="J20" s="13"/>
      <c r="K20" s="13"/>
      <c r="L20" s="13"/>
      <c r="M20" s="13"/>
    </row>
    <row r="21" spans="1:16">
      <c r="A21" s="12"/>
      <c r="B21" s="16" t="s">
        <v>35</v>
      </c>
      <c r="C21" s="16">
        <v>10</v>
      </c>
      <c r="D21" s="13">
        <v>500</v>
      </c>
      <c r="E21" s="13"/>
      <c r="F21" s="13"/>
      <c r="G21" s="13">
        <f>D21/C21</f>
        <v>50</v>
      </c>
      <c r="H21" s="13">
        <f>IF(ISBLANK(B21), "", VLOOKUP(B21,$O$24:$P$32, 2, FALSE))</f>
        <v>0.1</v>
      </c>
      <c r="I21" s="13"/>
      <c r="J21" s="13"/>
      <c r="K21" s="13"/>
      <c r="L21" s="13"/>
      <c r="M21" s="13"/>
    </row>
    <row r="22" spans="1:16">
      <c r="A22" s="17"/>
      <c r="B22" s="18" t="s">
        <v>35</v>
      </c>
      <c r="C22" s="18">
        <v>10</v>
      </c>
      <c r="D22" s="19">
        <v>3000</v>
      </c>
      <c r="E22" s="19"/>
      <c r="F22" s="19"/>
      <c r="G22" s="19">
        <f>D22/C22</f>
        <v>300</v>
      </c>
      <c r="H22" s="19">
        <f>IF(ISBLANK(B22), "", VLOOKUP(B22,$O$24:$P$32, 2, FALSE))</f>
        <v>0.1</v>
      </c>
      <c r="I22" s="19"/>
      <c r="J22" s="19"/>
      <c r="K22" s="19"/>
      <c r="L22" s="19"/>
      <c r="M22" s="19"/>
    </row>
    <row r="23" spans="1:16" ht="35" customHeight="1">
      <c r="A23" s="3" t="s">
        <v>48</v>
      </c>
      <c r="B23" s="2" t="s">
        <v>29</v>
      </c>
      <c r="C23" s="16">
        <v>10</v>
      </c>
      <c r="D23" s="13">
        <v>5000</v>
      </c>
      <c r="E23" s="13"/>
      <c r="F23" s="13"/>
      <c r="G23" s="13">
        <f>D23/C23</f>
        <v>500</v>
      </c>
      <c r="H23" s="13">
        <f>IF(ISBLANK(B23), "", VLOOKUP(B23,$O$24:$P$32, 2, FALSE))</f>
        <v>0.33700000000000002</v>
      </c>
      <c r="I23" s="13">
        <f>SUMPRODUCT(G23:G26,H23:H26)</f>
        <v>218.39499999999998</v>
      </c>
      <c r="J23" s="13">
        <f>SUMPRODUCT(D23:D26,H23:H26)</f>
        <v>2183.9499999999998</v>
      </c>
      <c r="K23" s="13">
        <f>MAX(_xlfn.IFS(A23="Irrigated crop (maize)", (-0.1474 + (0.0061 * I23)) * 10^-2, A23="Non-irrigated crop (high rainfall)", (0.0781 + (0.0075*I23)) * 10^-2, A23="Cotton", ((0.29 + (0.007*(EXP(0.037*MIN(I23, 300)) - 1)/MIN(I23, 300))) * 10^-2)), 0)</f>
        <v>1.7160624999999999E-2</v>
      </c>
      <c r="L23" s="13">
        <f>IF(ISBLANK(K23), "",$P$4)</f>
        <v>1.57</v>
      </c>
      <c r="M23" s="15">
        <f>IF(ISBLANK(A23), "", J23*K23*L23/1000)</f>
        <v>5.8840376740937499E-2</v>
      </c>
      <c r="O23" t="s">
        <v>12</v>
      </c>
    </row>
    <row r="24" spans="1:16">
      <c r="A24" s="12"/>
      <c r="B24" s="2" t="s">
        <v>35</v>
      </c>
      <c r="C24" s="16">
        <v>10</v>
      </c>
      <c r="D24" s="13">
        <v>3000</v>
      </c>
      <c r="E24" s="13"/>
      <c r="F24" s="13"/>
      <c r="G24" s="13">
        <f>D24/C24</f>
        <v>300</v>
      </c>
      <c r="H24" s="13">
        <f>IF(ISBLANK(B24), "", VLOOKUP(B24,$O$24:$P$32, 2, FALSE))</f>
        <v>0.1</v>
      </c>
      <c r="I24" s="13"/>
      <c r="J24" s="13"/>
      <c r="K24" s="13"/>
      <c r="L24" s="13"/>
      <c r="M24" s="13"/>
      <c r="O24" s="2" t="s">
        <v>15</v>
      </c>
      <c r="P24" s="2">
        <v>0.1</v>
      </c>
    </row>
    <row r="25" spans="1:16">
      <c r="A25" s="12"/>
      <c r="B25" s="2" t="s">
        <v>30</v>
      </c>
      <c r="C25" s="16">
        <v>10</v>
      </c>
      <c r="D25" s="13">
        <v>300</v>
      </c>
      <c r="E25" s="13"/>
      <c r="F25" s="13"/>
      <c r="G25" s="13">
        <f>D25/C25</f>
        <v>30</v>
      </c>
      <c r="H25" s="13">
        <f>IF(ISBLANK(B25), "", VLOOKUP(B25,$O$24:$P$32, 2, FALSE))</f>
        <v>0.27</v>
      </c>
      <c r="I25" s="13"/>
      <c r="J25" s="13"/>
      <c r="K25" s="13"/>
      <c r="L25" s="13"/>
      <c r="M25" s="13"/>
      <c r="O25" s="2" t="s">
        <v>14</v>
      </c>
      <c r="P25" s="2">
        <v>0.18</v>
      </c>
    </row>
    <row r="26" spans="1:16">
      <c r="A26" s="17"/>
      <c r="B26" s="18" t="s">
        <v>29</v>
      </c>
      <c r="C26" s="18">
        <v>10</v>
      </c>
      <c r="D26" s="19">
        <v>350</v>
      </c>
      <c r="E26" s="19"/>
      <c r="F26" s="19"/>
      <c r="G26" s="19">
        <f>D26/C26</f>
        <v>35</v>
      </c>
      <c r="H26" s="19">
        <f>IF(ISBLANK(B26), "", VLOOKUP(B26,$O$24:$P$32, 2, FALSE))</f>
        <v>0.33700000000000002</v>
      </c>
      <c r="I26" s="19"/>
      <c r="J26" s="19"/>
      <c r="K26" s="19"/>
      <c r="L26" s="19"/>
      <c r="M26" s="19"/>
      <c r="O26" s="2" t="s">
        <v>10</v>
      </c>
      <c r="P26" s="2">
        <v>0.46</v>
      </c>
    </row>
    <row r="27" spans="1:16" ht="17">
      <c r="A27" s="3" t="s">
        <v>21</v>
      </c>
      <c r="B27" s="2" t="s">
        <v>10</v>
      </c>
      <c r="C27" s="16">
        <v>10</v>
      </c>
      <c r="D27" s="13">
        <v>300</v>
      </c>
      <c r="E27" s="13"/>
      <c r="F27" s="13"/>
      <c r="G27" s="13">
        <f>D27/C27</f>
        <v>30</v>
      </c>
      <c r="H27" s="13">
        <f>IF(ISBLANK(B27), "", VLOOKUP(B27,$O$24:$P$32, 2, FALSE))</f>
        <v>0.46</v>
      </c>
      <c r="I27" s="13">
        <f>SUMPRODUCT(G27:G30,H27:H30)</f>
        <v>171.9</v>
      </c>
      <c r="J27" s="13">
        <f>SUMPRODUCT(D27:D30,H27:H30)</f>
        <v>1719</v>
      </c>
      <c r="K27" s="13">
        <f>MAX(_xlfn.IFS(A27="Irrigated crop (maize)", (-0.1474 + (0.0061 * I27)) * 10^-2, A27="Non-irrigated crop (high rainfall)", (0.0781 + (0.0075*I27)) * 10^-2, A27="Cotton", ((0.29 + (0.007*(EXP(0.037*MIN(I27, 300)) - 1)/MIN(I27, 300))) * 10^-2)), 0)</f>
        <v>3.1351331584799492E-3</v>
      </c>
      <c r="L27" s="13">
        <f>IF(ISBLANK(K27), "",$P$4)</f>
        <v>1.57</v>
      </c>
      <c r="M27" s="15">
        <f>IF(ISBLANK(A27), "", J27*K27*L27/1000)</f>
        <v>8.4611914221004413E-3</v>
      </c>
      <c r="O27" s="2" t="s">
        <v>28</v>
      </c>
      <c r="P27" s="2">
        <v>0.21</v>
      </c>
    </row>
    <row r="28" spans="1:16">
      <c r="A28" s="12"/>
      <c r="B28" s="2" t="s">
        <v>29</v>
      </c>
      <c r="C28" s="16">
        <v>10</v>
      </c>
      <c r="D28" s="13">
        <v>3000</v>
      </c>
      <c r="E28" s="13"/>
      <c r="F28" s="13"/>
      <c r="G28" s="13">
        <f>D28/C28</f>
        <v>300</v>
      </c>
      <c r="H28" s="13">
        <f>IF(ISBLANK(B28), "", VLOOKUP(B28,$O$24:$P$32, 2, FALSE))</f>
        <v>0.33700000000000002</v>
      </c>
      <c r="I28" s="13"/>
      <c r="J28" s="13"/>
      <c r="K28" s="13"/>
      <c r="L28" s="13"/>
      <c r="M28" s="13"/>
      <c r="O28" s="2" t="s">
        <v>32</v>
      </c>
      <c r="P28" s="2">
        <v>0.32</v>
      </c>
    </row>
    <row r="29" spans="1:16">
      <c r="A29" s="12"/>
      <c r="B29" s="2" t="s">
        <v>54</v>
      </c>
      <c r="C29" s="16">
        <v>10</v>
      </c>
      <c r="D29" s="13">
        <v>500</v>
      </c>
      <c r="E29" s="13"/>
      <c r="F29" s="13"/>
      <c r="G29" s="13">
        <f>D29/C29</f>
        <v>50</v>
      </c>
      <c r="H29" s="13">
        <f>IF(ISBLANK(B29), "", VLOOKUP(B29,$O$24:$P$32, 2, FALSE))</f>
        <v>0.21</v>
      </c>
      <c r="I29" s="13"/>
      <c r="J29" s="13"/>
      <c r="K29" s="13"/>
      <c r="L29" s="13"/>
      <c r="M29" s="13"/>
      <c r="O29" s="2" t="s">
        <v>33</v>
      </c>
      <c r="P29" s="2">
        <v>0.33700000000000002</v>
      </c>
    </row>
    <row r="30" spans="1:16">
      <c r="A30" s="17"/>
      <c r="B30" s="18" t="s">
        <v>55</v>
      </c>
      <c r="C30" s="18">
        <v>10</v>
      </c>
      <c r="D30" s="19">
        <v>3000</v>
      </c>
      <c r="E30" s="19"/>
      <c r="F30" s="19"/>
      <c r="G30" s="19">
        <f>D30/C30</f>
        <v>300</v>
      </c>
      <c r="H30" s="19">
        <f>IF(ISBLANK(B30), "", VLOOKUP(B30,$O$24:$P$32, 2, FALSE))</f>
        <v>0.155</v>
      </c>
      <c r="I30" s="19"/>
      <c r="J30" s="19"/>
      <c r="K30" s="19"/>
      <c r="L30" s="19"/>
      <c r="M30" s="19"/>
      <c r="O30" s="2" t="s">
        <v>34</v>
      </c>
      <c r="P30" s="2">
        <v>0.27</v>
      </c>
    </row>
    <row r="31" spans="1:16">
      <c r="O31" s="2" t="s">
        <v>54</v>
      </c>
      <c r="P31">
        <v>0.21</v>
      </c>
    </row>
    <row r="32" spans="1:16">
      <c r="O32" s="2" t="s">
        <v>55</v>
      </c>
      <c r="P32">
        <v>0.155</v>
      </c>
    </row>
    <row r="35" spans="9:10">
      <c r="I35" t="str">
        <f>IF(ISBLANK(G35), "", D35/G35)</f>
        <v/>
      </c>
      <c r="J35" t="str">
        <f>IF(ISBLANK(B35), "", IF(ISNUMBER(#REF!),#REF!* D35, H35*D35))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07551-4123-F246-A800-1F6169EF9022}">
  <dimension ref="A1:O33"/>
  <sheetViews>
    <sheetView workbookViewId="0">
      <selection activeCell="H7" sqref="H7"/>
    </sheetView>
  </sheetViews>
  <sheetFormatPr baseColWidth="10" defaultRowHeight="16"/>
  <cols>
    <col min="1" max="1" width="17.33203125" style="3" customWidth="1"/>
    <col min="2" max="3" width="26.6640625" customWidth="1"/>
    <col min="6" max="6" width="16.5" customWidth="1"/>
    <col min="12" max="12" width="12.1640625" bestFit="1" customWidth="1"/>
    <col min="14" max="14" width="36" customWidth="1"/>
  </cols>
  <sheetData>
    <row r="1" spans="1:15" ht="17">
      <c r="A1" s="3" t="s">
        <v>9</v>
      </c>
      <c r="I1" s="1" t="s">
        <v>41</v>
      </c>
      <c r="L1" s="1" t="s">
        <v>36</v>
      </c>
    </row>
    <row r="2" spans="1:15">
      <c r="I2" s="1"/>
      <c r="L2" s="1"/>
    </row>
    <row r="3" spans="1:15">
      <c r="I3" s="1"/>
      <c r="L3" s="1"/>
    </row>
    <row r="4" spans="1:15">
      <c r="I4" s="1"/>
      <c r="L4" s="1"/>
      <c r="N4" s="9" t="s">
        <v>45</v>
      </c>
    </row>
    <row r="5" spans="1:15">
      <c r="D5" t="s">
        <v>11</v>
      </c>
      <c r="I5" s="1"/>
      <c r="L5" s="1"/>
    </row>
    <row r="6" spans="1:15" ht="17">
      <c r="A6" s="6" t="s">
        <v>8</v>
      </c>
      <c r="B6" s="7" t="s">
        <v>7</v>
      </c>
      <c r="C6" s="7" t="s">
        <v>13</v>
      </c>
      <c r="D6" s="7" t="s">
        <v>5</v>
      </c>
      <c r="H6" t="s">
        <v>43</v>
      </c>
      <c r="I6" t="s">
        <v>40</v>
      </c>
      <c r="J6" t="s">
        <v>39</v>
      </c>
      <c r="K6" t="s">
        <v>38</v>
      </c>
      <c r="L6" s="8" t="s">
        <v>37</v>
      </c>
    </row>
    <row r="7" spans="1:15" ht="17">
      <c r="A7" s="3" t="s">
        <v>17</v>
      </c>
      <c r="B7" t="s">
        <v>10</v>
      </c>
      <c r="C7">
        <v>100</v>
      </c>
      <c r="D7">
        <v>50</v>
      </c>
      <c r="H7">
        <f>IF(ISBLANK(B7), "", VLOOKUP(B7,$N$27:$O$33, 2, FALSE))</f>
        <v>1</v>
      </c>
      <c r="I7">
        <f>IF(ISBLANK(B7), "", D7*H7)</f>
        <v>50</v>
      </c>
      <c r="J7">
        <f>IF(ISBLANK(A7), "", $O$9)</f>
        <v>0.2</v>
      </c>
      <c r="K7">
        <f>IF(ISBLANK(A7), "", $O$7)</f>
        <v>3.67</v>
      </c>
      <c r="L7">
        <f>IF(ISBLANK(A7), "", I7*J7*K7/1000)</f>
        <v>3.6700000000000003E-2</v>
      </c>
      <c r="N7" t="s">
        <v>38</v>
      </c>
      <c r="O7">
        <f>[1]!common_cco2</f>
        <v>3.67</v>
      </c>
    </row>
    <row r="8" spans="1:15" ht="17">
      <c r="A8" s="3" t="s">
        <v>18</v>
      </c>
      <c r="B8" s="2" t="s">
        <v>44</v>
      </c>
      <c r="C8">
        <v>100</v>
      </c>
      <c r="D8">
        <v>40</v>
      </c>
      <c r="H8">
        <f>IF(ISBLANK(B8), "", VLOOKUP(B8,$N$27:$O$33, 2, FALSE))</f>
        <v>0.35</v>
      </c>
      <c r="I8">
        <f>IF(ISBLANK(B8), "", D8*H8)</f>
        <v>14</v>
      </c>
      <c r="J8">
        <f t="shared" ref="J8:J11" si="0">IF(ISBLANK(A8), "", $O$9)</f>
        <v>0.2</v>
      </c>
      <c r="K8">
        <f t="shared" ref="K8:K11" si="1">IF(ISBLANK(A8), "", $O$7)</f>
        <v>3.67</v>
      </c>
      <c r="L8">
        <f t="shared" ref="L8:L11" si="2">IF(ISBLANK(A8), "", I8*J8*K8/1000)</f>
        <v>1.0276000000000002E-2</v>
      </c>
    </row>
    <row r="9" spans="1:15">
      <c r="A9" s="2" t="s">
        <v>23</v>
      </c>
      <c r="B9" s="2" t="s">
        <v>28</v>
      </c>
      <c r="C9">
        <v>100</v>
      </c>
      <c r="D9">
        <v>30</v>
      </c>
      <c r="H9">
        <f>IF(ISBLANK(B9), "", VLOOKUP(B9,$N$27:$O$33, 2, FALSE))</f>
        <v>0</v>
      </c>
      <c r="I9">
        <f>IF(ISBLANK(B9), "", D9*H9)</f>
        <v>0</v>
      </c>
      <c r="J9">
        <f t="shared" si="0"/>
        <v>0.2</v>
      </c>
      <c r="K9">
        <f t="shared" si="1"/>
        <v>3.67</v>
      </c>
      <c r="L9">
        <f t="shared" si="2"/>
        <v>0</v>
      </c>
      <c r="N9" t="s">
        <v>39</v>
      </c>
      <c r="O9">
        <v>0.2</v>
      </c>
    </row>
    <row r="10" spans="1:15">
      <c r="E10" t="str">
        <f t="shared" ref="E10:E11" si="3">IF(ISBLANK(B10), "", VLOOKUP(B10,$N$27:$O$33, 2, FALSE))</f>
        <v/>
      </c>
      <c r="I10" t="str">
        <f t="shared" ref="I10:I11" si="4">IF(ISBLANK(B10), "", D10*E10)</f>
        <v/>
      </c>
      <c r="J10" t="str">
        <f t="shared" si="0"/>
        <v/>
      </c>
      <c r="K10" t="str">
        <f t="shared" si="1"/>
        <v/>
      </c>
      <c r="L10" t="str">
        <f t="shared" si="2"/>
        <v/>
      </c>
      <c r="N10" s="2"/>
      <c r="O10" s="2"/>
    </row>
    <row r="11" spans="1:15">
      <c r="E11" t="str">
        <f t="shared" si="3"/>
        <v/>
      </c>
      <c r="I11" t="str">
        <f t="shared" si="4"/>
        <v/>
      </c>
      <c r="J11" t="str">
        <f t="shared" si="0"/>
        <v/>
      </c>
      <c r="K11" t="str">
        <f t="shared" si="1"/>
        <v/>
      </c>
      <c r="L11" t="str">
        <f t="shared" si="2"/>
        <v/>
      </c>
      <c r="N11" s="2"/>
      <c r="O11" s="2"/>
    </row>
    <row r="12" spans="1:15">
      <c r="A12" s="4"/>
      <c r="N12" s="2"/>
      <c r="O12" s="2"/>
    </row>
    <row r="13" spans="1:15">
      <c r="B13" s="2"/>
      <c r="N13" s="2"/>
      <c r="O13" s="2"/>
    </row>
    <row r="14" spans="1:15">
      <c r="N14" s="2"/>
      <c r="O14" s="2"/>
    </row>
    <row r="15" spans="1:15">
      <c r="N15" s="2"/>
      <c r="O15" s="2"/>
    </row>
    <row r="16" spans="1:15">
      <c r="N16" s="2"/>
      <c r="O16" s="2"/>
    </row>
    <row r="17" spans="2:15">
      <c r="B17" s="2"/>
      <c r="N17" s="2"/>
      <c r="O17" s="2"/>
    </row>
    <row r="18" spans="2:15">
      <c r="B18" s="2"/>
      <c r="N18" s="2"/>
      <c r="O18" s="2"/>
    </row>
    <row r="19" spans="2:15">
      <c r="N19" s="2"/>
      <c r="O19" s="2"/>
    </row>
    <row r="20" spans="2:15">
      <c r="N20" s="2"/>
      <c r="O20" s="2"/>
    </row>
    <row r="21" spans="2:15">
      <c r="N21" s="2"/>
      <c r="O21" s="11"/>
    </row>
    <row r="22" spans="2:15">
      <c r="N22" s="2"/>
      <c r="O22" s="11"/>
    </row>
    <row r="23" spans="2:15">
      <c r="B23" s="2"/>
      <c r="N23" s="2"/>
      <c r="O23" s="2"/>
    </row>
    <row r="24" spans="2:15">
      <c r="B24" s="2"/>
      <c r="N24" s="2"/>
      <c r="O24" s="2"/>
    </row>
    <row r="25" spans="2:15">
      <c r="G25" t="str">
        <f t="shared" ref="G25:G28" si="5">IF(ISBLANK(C25), "", D25/C25)</f>
        <v/>
      </c>
      <c r="I25" t="str">
        <f t="shared" ref="I25:I27" si="6">IF(ISBLANK(B25), "", IF(ISNUMBER(F25), F25*D25, E25*D25))</f>
        <v/>
      </c>
    </row>
    <row r="26" spans="2:15">
      <c r="G26" t="str">
        <f t="shared" si="5"/>
        <v/>
      </c>
      <c r="I26" t="str">
        <f t="shared" si="6"/>
        <v/>
      </c>
      <c r="N26" s="2" t="s">
        <v>42</v>
      </c>
    </row>
    <row r="27" spans="2:15">
      <c r="G27" t="str">
        <f t="shared" si="5"/>
        <v/>
      </c>
      <c r="I27" t="str">
        <f t="shared" si="6"/>
        <v/>
      </c>
      <c r="N27" s="2" t="s">
        <v>15</v>
      </c>
      <c r="O27" s="2">
        <v>0</v>
      </c>
    </row>
    <row r="28" spans="2:15">
      <c r="G28" t="str">
        <f t="shared" si="5"/>
        <v/>
      </c>
      <c r="N28" s="2" t="s">
        <v>14</v>
      </c>
      <c r="O28" s="2">
        <v>0</v>
      </c>
    </row>
    <row r="29" spans="2:15">
      <c r="N29" s="2" t="s">
        <v>10</v>
      </c>
      <c r="O29" s="2">
        <v>1</v>
      </c>
    </row>
    <row r="30" spans="2:15">
      <c r="N30" s="2" t="s">
        <v>31</v>
      </c>
      <c r="O30" s="2">
        <v>0</v>
      </c>
    </row>
    <row r="31" spans="2:15">
      <c r="N31" s="2" t="s">
        <v>32</v>
      </c>
      <c r="O31" s="2">
        <v>0.35</v>
      </c>
    </row>
    <row r="32" spans="2:15">
      <c r="N32" s="2" t="s">
        <v>33</v>
      </c>
      <c r="O32" s="2">
        <v>0</v>
      </c>
    </row>
    <row r="33" spans="14:15">
      <c r="N33" s="2" t="s">
        <v>34</v>
      </c>
      <c r="O33" s="2">
        <v>0</v>
      </c>
    </row>
  </sheetData>
  <mergeCells count="1">
    <mergeCell ref="O21:O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5.1.1.1</vt:lpstr>
      <vt:lpstr>5.1.1.2</vt:lpstr>
      <vt:lpstr>5.1.1.3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Sholl</dc:creator>
  <cp:lastModifiedBy>Mack Cheesman</cp:lastModifiedBy>
  <dcterms:created xsi:type="dcterms:W3CDTF">2026-02-18T00:55:42Z</dcterms:created>
  <dcterms:modified xsi:type="dcterms:W3CDTF">2026-10-29T03:13:56Z</dcterms:modified>
</cp:coreProperties>
</file>