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eddiesholl/Code/aginnovationaustralia/emissions-calculators-internal/packages/calculators/src/modules/test/3.4-sheep-enteric/"/>
    </mc:Choice>
  </mc:AlternateContent>
  <xr:revisionPtr revIDLastSave="0" documentId="13_ncr:1_{69718916-B6D8-D045-874B-15640B66E8BC}" xr6:coauthVersionLast="47" xr6:coauthVersionMax="47" xr10:uidLastSave="{00000000-0000-0000-0000-000000000000}"/>
  <bookViews>
    <workbookView xWindow="13520" yWindow="-20580" windowWidth="30240" windowHeight="18980" xr2:uid="{00000000-000D-0000-FFFF-FFFF00000000}"/>
  </bookViews>
  <sheets>
    <sheet name="3.4.1.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66" i="1" l="1"/>
  <c r="O366" i="1" s="1"/>
  <c r="N339" i="1"/>
  <c r="N340" i="1"/>
  <c r="N341" i="1"/>
  <c r="O341" i="1" s="1"/>
  <c r="N342" i="1"/>
  <c r="O342" i="1" s="1"/>
  <c r="N331" i="1"/>
  <c r="O331" i="1" s="1"/>
  <c r="N332" i="1"/>
  <c r="O332" i="1" s="1"/>
  <c r="N333" i="1"/>
  <c r="O333" i="1" s="1"/>
  <c r="N334" i="1"/>
  <c r="O334" i="1" s="1"/>
  <c r="N335" i="1"/>
  <c r="O335" i="1" s="1"/>
  <c r="O340" i="1"/>
  <c r="N336" i="1"/>
  <c r="O336" i="1" s="1"/>
  <c r="N337" i="1"/>
  <c r="O337" i="1" s="1"/>
  <c r="N338" i="1"/>
  <c r="O338" i="1" s="1"/>
  <c r="L373" i="1"/>
  <c r="S373" i="1" s="1"/>
  <c r="N373" i="1"/>
  <c r="O373" i="1" s="1"/>
  <c r="Q373" i="1"/>
  <c r="L374" i="1"/>
  <c r="S374" i="1" s="1"/>
  <c r="N374" i="1"/>
  <c r="O374" i="1" s="1"/>
  <c r="Q374" i="1"/>
  <c r="L370" i="1"/>
  <c r="S370" i="1" s="1"/>
  <c r="N370" i="1"/>
  <c r="O370" i="1" s="1"/>
  <c r="Q370" i="1"/>
  <c r="L371" i="1"/>
  <c r="S371" i="1" s="1"/>
  <c r="N371" i="1"/>
  <c r="O371" i="1" s="1"/>
  <c r="Q371" i="1"/>
  <c r="L367" i="1"/>
  <c r="S367" i="1" s="1"/>
  <c r="N367" i="1"/>
  <c r="O367" i="1" s="1"/>
  <c r="Q367" i="1"/>
  <c r="L368" i="1"/>
  <c r="S368" i="1" s="1"/>
  <c r="N368" i="1"/>
  <c r="O368" i="1" s="1"/>
  <c r="Q368" i="1"/>
  <c r="L376" i="1"/>
  <c r="S376" i="1" s="1"/>
  <c r="N376" i="1"/>
  <c r="O376" i="1" s="1"/>
  <c r="Q376" i="1"/>
  <c r="L377" i="1"/>
  <c r="S377" i="1" s="1"/>
  <c r="N377" i="1"/>
  <c r="O377" i="1" s="1"/>
  <c r="Q377" i="1"/>
  <c r="L361" i="1"/>
  <c r="S361" i="1" s="1"/>
  <c r="N361" i="1"/>
  <c r="O361" i="1" s="1"/>
  <c r="Q361" i="1"/>
  <c r="L362" i="1"/>
  <c r="S362" i="1" s="1"/>
  <c r="N362" i="1"/>
  <c r="O362" i="1" s="1"/>
  <c r="Q362" i="1"/>
  <c r="L358" i="1"/>
  <c r="S358" i="1" s="1"/>
  <c r="N358" i="1"/>
  <c r="O358" i="1" s="1"/>
  <c r="Q358" i="1"/>
  <c r="L359" i="1"/>
  <c r="S359" i="1" s="1"/>
  <c r="N359" i="1"/>
  <c r="O359" i="1" s="1"/>
  <c r="R359" i="1" s="1"/>
  <c r="Q359" i="1"/>
  <c r="L355" i="1"/>
  <c r="S355" i="1" s="1"/>
  <c r="N355" i="1"/>
  <c r="O355" i="1" s="1"/>
  <c r="Q355" i="1"/>
  <c r="L356" i="1"/>
  <c r="S356" i="1" s="1"/>
  <c r="N356" i="1"/>
  <c r="O356" i="1" s="1"/>
  <c r="Q356" i="1"/>
  <c r="L364" i="1"/>
  <c r="S364" i="1" s="1"/>
  <c r="N364" i="1"/>
  <c r="O364" i="1" s="1"/>
  <c r="Q364" i="1"/>
  <c r="L365" i="1"/>
  <c r="S365" i="1" s="1"/>
  <c r="N365" i="1"/>
  <c r="O365" i="1" s="1"/>
  <c r="Q365" i="1"/>
  <c r="L349" i="1"/>
  <c r="S349" i="1" s="1"/>
  <c r="N349" i="1"/>
  <c r="O349" i="1" s="1"/>
  <c r="Q349" i="1"/>
  <c r="L350" i="1"/>
  <c r="S350" i="1" s="1"/>
  <c r="N350" i="1"/>
  <c r="O350" i="1" s="1"/>
  <c r="Q350" i="1"/>
  <c r="L346" i="1"/>
  <c r="S346" i="1" s="1"/>
  <c r="N346" i="1"/>
  <c r="O346" i="1" s="1"/>
  <c r="Q346" i="1"/>
  <c r="L347" i="1"/>
  <c r="S347" i="1" s="1"/>
  <c r="N347" i="1"/>
  <c r="O347" i="1" s="1"/>
  <c r="Q347" i="1"/>
  <c r="L343" i="1"/>
  <c r="S343" i="1" s="1"/>
  <c r="N343" i="1"/>
  <c r="O343" i="1" s="1"/>
  <c r="Q343" i="1"/>
  <c r="L344" i="1"/>
  <c r="S344" i="1" s="1"/>
  <c r="N344" i="1"/>
  <c r="O344" i="1" s="1"/>
  <c r="Q344" i="1"/>
  <c r="L352" i="1"/>
  <c r="S352" i="1" s="1"/>
  <c r="N352" i="1"/>
  <c r="O352" i="1" s="1"/>
  <c r="Q352" i="1"/>
  <c r="L353" i="1"/>
  <c r="S353" i="1" s="1"/>
  <c r="N353" i="1"/>
  <c r="O353" i="1" s="1"/>
  <c r="Q353" i="1"/>
  <c r="L337" i="1"/>
  <c r="S337" i="1" s="1"/>
  <c r="Q337" i="1"/>
  <c r="L338" i="1"/>
  <c r="S338" i="1" s="1"/>
  <c r="Q338" i="1"/>
  <c r="L334" i="1"/>
  <c r="S334" i="1" s="1"/>
  <c r="Q334" i="1"/>
  <c r="L335" i="1"/>
  <c r="S335" i="1" s="1"/>
  <c r="Q335" i="1"/>
  <c r="L331" i="1"/>
  <c r="S331" i="1" s="1"/>
  <c r="Q331" i="1"/>
  <c r="L332" i="1"/>
  <c r="S332" i="1" s="1"/>
  <c r="Q332" i="1"/>
  <c r="L340" i="1"/>
  <c r="S340" i="1" s="1"/>
  <c r="Q340" i="1"/>
  <c r="L341" i="1"/>
  <c r="S341" i="1" s="1"/>
  <c r="Q341" i="1"/>
  <c r="J364" i="1"/>
  <c r="J365" i="1"/>
  <c r="I366" i="1"/>
  <c r="I355" i="1"/>
  <c r="T355" i="1" s="1"/>
  <c r="I356" i="1"/>
  <c r="T356" i="1" s="1"/>
  <c r="I357" i="1"/>
  <c r="T357" i="1" s="1"/>
  <c r="I358" i="1"/>
  <c r="T358" i="1" s="1"/>
  <c r="I359" i="1"/>
  <c r="T359" i="1" s="1"/>
  <c r="I360" i="1"/>
  <c r="T360" i="1" s="1"/>
  <c r="I361" i="1"/>
  <c r="T361" i="1" s="1"/>
  <c r="I362" i="1"/>
  <c r="T362" i="1" s="1"/>
  <c r="I375" i="1"/>
  <c r="I376" i="1"/>
  <c r="I377" i="1"/>
  <c r="I378" i="1"/>
  <c r="I367" i="1"/>
  <c r="I368" i="1"/>
  <c r="I369" i="1"/>
  <c r="I370" i="1"/>
  <c r="I371" i="1"/>
  <c r="I372" i="1"/>
  <c r="I373" i="1"/>
  <c r="I374" i="1"/>
  <c r="I364" i="1"/>
  <c r="I365" i="1"/>
  <c r="I339" i="1"/>
  <c r="I340" i="1"/>
  <c r="I341" i="1"/>
  <c r="I342" i="1"/>
  <c r="I331" i="1"/>
  <c r="I332" i="1"/>
  <c r="I333" i="1"/>
  <c r="I334" i="1"/>
  <c r="I335" i="1"/>
  <c r="I336" i="1"/>
  <c r="I337" i="1"/>
  <c r="I338" i="1"/>
  <c r="I351" i="1"/>
  <c r="I352" i="1"/>
  <c r="I353" i="1"/>
  <c r="I354" i="1"/>
  <c r="I343" i="1"/>
  <c r="I344" i="1"/>
  <c r="I345" i="1"/>
  <c r="I346" i="1"/>
  <c r="I347" i="1"/>
  <c r="I348" i="1"/>
  <c r="I349" i="1"/>
  <c r="I350" i="1"/>
  <c r="Q372" i="1"/>
  <c r="N372" i="1"/>
  <c r="O372" i="1" s="1"/>
  <c r="L372" i="1"/>
  <c r="S372" i="1" s="1"/>
  <c r="Q369" i="1"/>
  <c r="N369" i="1"/>
  <c r="O369" i="1" s="1"/>
  <c r="L369" i="1"/>
  <c r="S369" i="1" s="1"/>
  <c r="Q378" i="1"/>
  <c r="N378" i="1"/>
  <c r="O378" i="1" s="1"/>
  <c r="L378" i="1"/>
  <c r="S378" i="1" s="1"/>
  <c r="Q375" i="1"/>
  <c r="N375" i="1"/>
  <c r="O375" i="1" s="1"/>
  <c r="L375" i="1"/>
  <c r="S375" i="1" s="1"/>
  <c r="Q360" i="1"/>
  <c r="N360" i="1"/>
  <c r="O360" i="1" s="1"/>
  <c r="L360" i="1"/>
  <c r="S360" i="1" s="1"/>
  <c r="Q357" i="1"/>
  <c r="N357" i="1"/>
  <c r="O357" i="1" s="1"/>
  <c r="L357" i="1"/>
  <c r="S357" i="1" s="1"/>
  <c r="Q366" i="1"/>
  <c r="L366" i="1"/>
  <c r="S366" i="1" s="1"/>
  <c r="J366" i="1"/>
  <c r="Q363" i="1"/>
  <c r="N363" i="1"/>
  <c r="O363" i="1" s="1"/>
  <c r="L363" i="1"/>
  <c r="S363" i="1" s="1"/>
  <c r="J363" i="1"/>
  <c r="I363" i="1"/>
  <c r="Q348" i="1"/>
  <c r="N348" i="1"/>
  <c r="O348" i="1" s="1"/>
  <c r="L348" i="1"/>
  <c r="S348" i="1" s="1"/>
  <c r="Q345" i="1"/>
  <c r="N345" i="1"/>
  <c r="O345" i="1" s="1"/>
  <c r="L345" i="1"/>
  <c r="S345" i="1" s="1"/>
  <c r="Q354" i="1"/>
  <c r="N354" i="1"/>
  <c r="O354" i="1" s="1"/>
  <c r="L354" i="1"/>
  <c r="S354" i="1" s="1"/>
  <c r="Q351" i="1"/>
  <c r="N351" i="1"/>
  <c r="O351" i="1" s="1"/>
  <c r="L351" i="1"/>
  <c r="S351" i="1" s="1"/>
  <c r="Q336" i="1"/>
  <c r="L336" i="1"/>
  <c r="S336" i="1" s="1"/>
  <c r="Q333" i="1"/>
  <c r="L333" i="1"/>
  <c r="S333" i="1" s="1"/>
  <c r="Q342" i="1"/>
  <c r="L342" i="1"/>
  <c r="S342" i="1" s="1"/>
  <c r="Q339" i="1"/>
  <c r="O339" i="1"/>
  <c r="L339" i="1"/>
  <c r="S339" i="1" s="1"/>
  <c r="J204" i="1"/>
  <c r="J202" i="1"/>
  <c r="J200" i="1"/>
  <c r="I204" i="1"/>
  <c r="Y214" i="1"/>
  <c r="Q214" i="1"/>
  <c r="N214" i="1"/>
  <c r="O214" i="1" s="1"/>
  <c r="L214" i="1"/>
  <c r="S214" i="1" s="1"/>
  <c r="Y213" i="1"/>
  <c r="Q213" i="1"/>
  <c r="N213" i="1"/>
  <c r="O213" i="1" s="1"/>
  <c r="L213" i="1"/>
  <c r="S213" i="1" s="1"/>
  <c r="Y212" i="1"/>
  <c r="Q212" i="1"/>
  <c r="N212" i="1"/>
  <c r="O212" i="1" s="1"/>
  <c r="L212" i="1"/>
  <c r="S212" i="1" s="1"/>
  <c r="Y211" i="1"/>
  <c r="Q211" i="1"/>
  <c r="N211" i="1"/>
  <c r="O211" i="1" s="1"/>
  <c r="L211" i="1"/>
  <c r="S211" i="1" s="1"/>
  <c r="Y210" i="1"/>
  <c r="Q210" i="1"/>
  <c r="N210" i="1"/>
  <c r="O210" i="1" s="1"/>
  <c r="L210" i="1"/>
  <c r="S210" i="1" s="1"/>
  <c r="Y209" i="1"/>
  <c r="Q209" i="1"/>
  <c r="N209" i="1"/>
  <c r="O209" i="1" s="1"/>
  <c r="L209" i="1"/>
  <c r="S209" i="1" s="1"/>
  <c r="Y208" i="1"/>
  <c r="Q208" i="1"/>
  <c r="N208" i="1"/>
  <c r="O208" i="1" s="1"/>
  <c r="L208" i="1"/>
  <c r="S208" i="1" s="1"/>
  <c r="Y207" i="1"/>
  <c r="Q207" i="1"/>
  <c r="N207" i="1"/>
  <c r="O207" i="1" s="1"/>
  <c r="L207" i="1"/>
  <c r="S207" i="1" s="1"/>
  <c r="Y206" i="1"/>
  <c r="T206" i="1"/>
  <c r="Q206" i="1"/>
  <c r="N206" i="1"/>
  <c r="O206" i="1" s="1"/>
  <c r="L206" i="1"/>
  <c r="S206" i="1" s="1"/>
  <c r="Y205" i="1"/>
  <c r="T205" i="1"/>
  <c r="Q205" i="1"/>
  <c r="N205" i="1"/>
  <c r="O205" i="1" s="1"/>
  <c r="L205" i="1"/>
  <c r="S205" i="1" s="1"/>
  <c r="Y204" i="1"/>
  <c r="Q204" i="1"/>
  <c r="N204" i="1"/>
  <c r="O204" i="1" s="1"/>
  <c r="L204" i="1"/>
  <c r="S204" i="1" s="1"/>
  <c r="Y203" i="1"/>
  <c r="Q203" i="1"/>
  <c r="N203" i="1"/>
  <c r="O203" i="1" s="1"/>
  <c r="L203" i="1"/>
  <c r="S203" i="1" s="1"/>
  <c r="J203" i="1"/>
  <c r="I203" i="1"/>
  <c r="Y202" i="1"/>
  <c r="Q202" i="1"/>
  <c r="N202" i="1"/>
  <c r="O202" i="1" s="1"/>
  <c r="L202" i="1"/>
  <c r="S202" i="1" s="1"/>
  <c r="I202" i="1"/>
  <c r="Y201" i="1"/>
  <c r="Q201" i="1"/>
  <c r="N201" i="1"/>
  <c r="O201" i="1" s="1"/>
  <c r="L201" i="1"/>
  <c r="S201" i="1" s="1"/>
  <c r="I201" i="1"/>
  <c r="T201" i="1" s="1"/>
  <c r="Y200" i="1"/>
  <c r="Q200" i="1"/>
  <c r="N200" i="1"/>
  <c r="O200" i="1" s="1"/>
  <c r="L200" i="1"/>
  <c r="S200" i="1" s="1"/>
  <c r="I200" i="1"/>
  <c r="Y199" i="1"/>
  <c r="Q199" i="1"/>
  <c r="N199" i="1"/>
  <c r="O199" i="1" s="1"/>
  <c r="L199" i="1"/>
  <c r="S199" i="1" s="1"/>
  <c r="J199" i="1"/>
  <c r="I199" i="1"/>
  <c r="Y198" i="1"/>
  <c r="Q198" i="1"/>
  <c r="N198" i="1"/>
  <c r="O198" i="1" s="1"/>
  <c r="L198" i="1"/>
  <c r="S198" i="1" s="1"/>
  <c r="Y197" i="1"/>
  <c r="Q197" i="1"/>
  <c r="N197" i="1"/>
  <c r="O197" i="1" s="1"/>
  <c r="L197" i="1"/>
  <c r="S197" i="1" s="1"/>
  <c r="Y196" i="1"/>
  <c r="Q196" i="1"/>
  <c r="N196" i="1"/>
  <c r="O196" i="1" s="1"/>
  <c r="L196" i="1"/>
  <c r="S196" i="1" s="1"/>
  <c r="Y195" i="1"/>
  <c r="Q195" i="1"/>
  <c r="N195" i="1"/>
  <c r="O195" i="1" s="1"/>
  <c r="L195" i="1"/>
  <c r="S195" i="1" s="1"/>
  <c r="Y194" i="1"/>
  <c r="Q194" i="1"/>
  <c r="N194" i="1"/>
  <c r="O194" i="1" s="1"/>
  <c r="L194" i="1"/>
  <c r="S194" i="1" s="1"/>
  <c r="Y193" i="1"/>
  <c r="Q193" i="1"/>
  <c r="N193" i="1"/>
  <c r="O193" i="1" s="1"/>
  <c r="L193" i="1"/>
  <c r="S193" i="1" s="1"/>
  <c r="Y192" i="1"/>
  <c r="Q192" i="1"/>
  <c r="N192" i="1"/>
  <c r="O192" i="1" s="1"/>
  <c r="L192" i="1"/>
  <c r="S192" i="1" s="1"/>
  <c r="Y191" i="1"/>
  <c r="Q191" i="1"/>
  <c r="N191" i="1"/>
  <c r="O191" i="1" s="1"/>
  <c r="L191" i="1"/>
  <c r="S191" i="1" s="1"/>
  <c r="Y314" i="1"/>
  <c r="N314" i="1"/>
  <c r="O314" i="1" s="1"/>
  <c r="R314" i="1" s="1"/>
  <c r="L314" i="1"/>
  <c r="S314" i="1" s="1"/>
  <c r="Y313" i="1"/>
  <c r="N313" i="1"/>
  <c r="O313" i="1" s="1"/>
  <c r="R313" i="1" s="1"/>
  <c r="L313" i="1"/>
  <c r="S313" i="1" s="1"/>
  <c r="Y312" i="1"/>
  <c r="N312" i="1"/>
  <c r="O312" i="1" s="1"/>
  <c r="R312" i="1" s="1"/>
  <c r="L312" i="1"/>
  <c r="S312" i="1" s="1"/>
  <c r="Y311" i="1"/>
  <c r="N311" i="1"/>
  <c r="O311" i="1" s="1"/>
  <c r="R311" i="1" s="1"/>
  <c r="L311" i="1"/>
  <c r="S311" i="1" s="1"/>
  <c r="Y310" i="1"/>
  <c r="N310" i="1"/>
  <c r="O310" i="1" s="1"/>
  <c r="R310" i="1" s="1"/>
  <c r="L310" i="1"/>
  <c r="S310" i="1" s="1"/>
  <c r="Y309" i="1"/>
  <c r="N309" i="1"/>
  <c r="O309" i="1" s="1"/>
  <c r="R309" i="1" s="1"/>
  <c r="L309" i="1"/>
  <c r="S309" i="1" s="1"/>
  <c r="Y308" i="1"/>
  <c r="N308" i="1"/>
  <c r="O308" i="1" s="1"/>
  <c r="R308" i="1" s="1"/>
  <c r="L308" i="1"/>
  <c r="S308" i="1" s="1"/>
  <c r="Y307" i="1"/>
  <c r="N307" i="1"/>
  <c r="O307" i="1" s="1"/>
  <c r="R307" i="1" s="1"/>
  <c r="L307" i="1"/>
  <c r="S307" i="1" s="1"/>
  <c r="Y306" i="1"/>
  <c r="T306" i="1"/>
  <c r="N306" i="1"/>
  <c r="O306" i="1" s="1"/>
  <c r="R306" i="1" s="1"/>
  <c r="L306" i="1"/>
  <c r="S306" i="1" s="1"/>
  <c r="Y305" i="1"/>
  <c r="T305" i="1"/>
  <c r="N305" i="1"/>
  <c r="O305" i="1" s="1"/>
  <c r="R305" i="1" s="1"/>
  <c r="L305" i="1"/>
  <c r="S305" i="1" s="1"/>
  <c r="Y304" i="1"/>
  <c r="T304" i="1"/>
  <c r="N304" i="1"/>
  <c r="O304" i="1" s="1"/>
  <c r="R304" i="1" s="1"/>
  <c r="L304" i="1"/>
  <c r="S304" i="1" s="1"/>
  <c r="Y303" i="1"/>
  <c r="N303" i="1"/>
  <c r="O303" i="1" s="1"/>
  <c r="R303" i="1" s="1"/>
  <c r="L303" i="1"/>
  <c r="S303" i="1" s="1"/>
  <c r="J303" i="1"/>
  <c r="I303" i="1"/>
  <c r="Y302" i="1"/>
  <c r="N302" i="1"/>
  <c r="O302" i="1" s="1"/>
  <c r="R302" i="1" s="1"/>
  <c r="L302" i="1"/>
  <c r="S302" i="1" s="1"/>
  <c r="I302" i="1"/>
  <c r="T302" i="1" s="1"/>
  <c r="Y301" i="1"/>
  <c r="N301" i="1"/>
  <c r="O301" i="1" s="1"/>
  <c r="R301" i="1" s="1"/>
  <c r="L301" i="1"/>
  <c r="S301" i="1" s="1"/>
  <c r="I301" i="1"/>
  <c r="T301" i="1" s="1"/>
  <c r="Y300" i="1"/>
  <c r="N300" i="1"/>
  <c r="O300" i="1" s="1"/>
  <c r="R300" i="1" s="1"/>
  <c r="L300" i="1"/>
  <c r="S300" i="1" s="1"/>
  <c r="I300" i="1"/>
  <c r="T300" i="1" s="1"/>
  <c r="Y299" i="1"/>
  <c r="N299" i="1"/>
  <c r="O299" i="1" s="1"/>
  <c r="R299" i="1" s="1"/>
  <c r="L299" i="1"/>
  <c r="S299" i="1" s="1"/>
  <c r="J299" i="1"/>
  <c r="I299" i="1"/>
  <c r="Y298" i="1"/>
  <c r="N298" i="1"/>
  <c r="O298" i="1" s="1"/>
  <c r="R298" i="1" s="1"/>
  <c r="L298" i="1"/>
  <c r="S298" i="1" s="1"/>
  <c r="Y297" i="1"/>
  <c r="N297" i="1"/>
  <c r="O297" i="1" s="1"/>
  <c r="R297" i="1" s="1"/>
  <c r="L297" i="1"/>
  <c r="S297" i="1" s="1"/>
  <c r="Y296" i="1"/>
  <c r="N296" i="1"/>
  <c r="O296" i="1" s="1"/>
  <c r="R296" i="1" s="1"/>
  <c r="L296" i="1"/>
  <c r="S296" i="1" s="1"/>
  <c r="Y295" i="1"/>
  <c r="N295" i="1"/>
  <c r="O295" i="1" s="1"/>
  <c r="R295" i="1" s="1"/>
  <c r="L295" i="1"/>
  <c r="S295" i="1" s="1"/>
  <c r="Y294" i="1"/>
  <c r="N294" i="1"/>
  <c r="O294" i="1" s="1"/>
  <c r="R294" i="1" s="1"/>
  <c r="L294" i="1"/>
  <c r="S294" i="1" s="1"/>
  <c r="Y293" i="1"/>
  <c r="N293" i="1"/>
  <c r="O293" i="1" s="1"/>
  <c r="R293" i="1" s="1"/>
  <c r="L293" i="1"/>
  <c r="S293" i="1" s="1"/>
  <c r="Y292" i="1"/>
  <c r="N292" i="1"/>
  <c r="O292" i="1" s="1"/>
  <c r="R292" i="1" s="1"/>
  <c r="L292" i="1"/>
  <c r="S292" i="1" s="1"/>
  <c r="Y291" i="1"/>
  <c r="N291" i="1"/>
  <c r="O291" i="1" s="1"/>
  <c r="R291" i="1" s="1"/>
  <c r="L291" i="1"/>
  <c r="S291" i="1" s="1"/>
  <c r="Y284" i="1"/>
  <c r="Q284" i="1"/>
  <c r="N284" i="1"/>
  <c r="O284" i="1" s="1"/>
  <c r="L284" i="1"/>
  <c r="S284" i="1" s="1"/>
  <c r="Y283" i="1"/>
  <c r="Q283" i="1"/>
  <c r="N283" i="1"/>
  <c r="O283" i="1" s="1"/>
  <c r="L283" i="1"/>
  <c r="S283" i="1" s="1"/>
  <c r="Y282" i="1"/>
  <c r="Q282" i="1"/>
  <c r="N282" i="1"/>
  <c r="O282" i="1" s="1"/>
  <c r="L282" i="1"/>
  <c r="S282" i="1" s="1"/>
  <c r="Y281" i="1"/>
  <c r="Q281" i="1"/>
  <c r="N281" i="1"/>
  <c r="O281" i="1" s="1"/>
  <c r="L281" i="1"/>
  <c r="S281" i="1" s="1"/>
  <c r="Y280" i="1"/>
  <c r="Q280" i="1"/>
  <c r="N280" i="1"/>
  <c r="O280" i="1" s="1"/>
  <c r="L280" i="1"/>
  <c r="S280" i="1" s="1"/>
  <c r="Y279" i="1"/>
  <c r="Q279" i="1"/>
  <c r="N279" i="1"/>
  <c r="O279" i="1" s="1"/>
  <c r="L279" i="1"/>
  <c r="S279" i="1" s="1"/>
  <c r="Y278" i="1"/>
  <c r="Q278" i="1"/>
  <c r="N278" i="1"/>
  <c r="O278" i="1" s="1"/>
  <c r="L278" i="1"/>
  <c r="S278" i="1" s="1"/>
  <c r="Y277" i="1"/>
  <c r="Q277" i="1"/>
  <c r="N277" i="1"/>
  <c r="O277" i="1" s="1"/>
  <c r="L277" i="1"/>
  <c r="S277" i="1" s="1"/>
  <c r="Y276" i="1"/>
  <c r="T276" i="1"/>
  <c r="Q276" i="1"/>
  <c r="N276" i="1"/>
  <c r="O276" i="1" s="1"/>
  <c r="L276" i="1"/>
  <c r="S276" i="1" s="1"/>
  <c r="Y275" i="1"/>
  <c r="T275" i="1"/>
  <c r="Q275" i="1"/>
  <c r="N275" i="1"/>
  <c r="O275" i="1" s="1"/>
  <c r="L275" i="1"/>
  <c r="S275" i="1" s="1"/>
  <c r="Y274" i="1"/>
  <c r="T274" i="1"/>
  <c r="Q274" i="1"/>
  <c r="N274" i="1"/>
  <c r="O274" i="1" s="1"/>
  <c r="L274" i="1"/>
  <c r="S274" i="1" s="1"/>
  <c r="Y273" i="1"/>
  <c r="Q273" i="1"/>
  <c r="N273" i="1"/>
  <c r="O273" i="1" s="1"/>
  <c r="L273" i="1"/>
  <c r="S273" i="1" s="1"/>
  <c r="J273" i="1"/>
  <c r="I273" i="1"/>
  <c r="Y272" i="1"/>
  <c r="Q272" i="1"/>
  <c r="O272" i="1"/>
  <c r="L272" i="1"/>
  <c r="S272" i="1" s="1"/>
  <c r="I272" i="1"/>
  <c r="T272" i="1" s="1"/>
  <c r="Y271" i="1"/>
  <c r="Q271" i="1"/>
  <c r="O271" i="1"/>
  <c r="L271" i="1"/>
  <c r="S271" i="1" s="1"/>
  <c r="I271" i="1"/>
  <c r="T271" i="1" s="1"/>
  <c r="Y270" i="1"/>
  <c r="Q270" i="1"/>
  <c r="O270" i="1"/>
  <c r="L270" i="1"/>
  <c r="S270" i="1" s="1"/>
  <c r="I270" i="1"/>
  <c r="T270" i="1" s="1"/>
  <c r="Y269" i="1"/>
  <c r="Q269" i="1"/>
  <c r="O269" i="1"/>
  <c r="L269" i="1"/>
  <c r="S269" i="1" s="1"/>
  <c r="J269" i="1"/>
  <c r="I269" i="1"/>
  <c r="Y268" i="1"/>
  <c r="Q268" i="1"/>
  <c r="O268" i="1"/>
  <c r="L268" i="1"/>
  <c r="S268" i="1" s="1"/>
  <c r="Y267" i="1"/>
  <c r="Q267" i="1"/>
  <c r="O267" i="1"/>
  <c r="L267" i="1"/>
  <c r="S267" i="1" s="1"/>
  <c r="Y266" i="1"/>
  <c r="Q266" i="1"/>
  <c r="O266" i="1"/>
  <c r="L266" i="1"/>
  <c r="S266" i="1" s="1"/>
  <c r="Y265" i="1"/>
  <c r="Q265" i="1"/>
  <c r="O265" i="1"/>
  <c r="L265" i="1"/>
  <c r="S265" i="1" s="1"/>
  <c r="Y264" i="1"/>
  <c r="Q264" i="1"/>
  <c r="O264" i="1"/>
  <c r="L264" i="1"/>
  <c r="S264" i="1" s="1"/>
  <c r="Y263" i="1"/>
  <c r="Q263" i="1"/>
  <c r="O263" i="1"/>
  <c r="L263" i="1"/>
  <c r="S263" i="1" s="1"/>
  <c r="Y262" i="1"/>
  <c r="Q262" i="1"/>
  <c r="O262" i="1"/>
  <c r="L262" i="1"/>
  <c r="S262" i="1" s="1"/>
  <c r="Y261" i="1"/>
  <c r="Q261" i="1"/>
  <c r="O261" i="1"/>
  <c r="L261" i="1"/>
  <c r="S261" i="1" s="1"/>
  <c r="Y254" i="1"/>
  <c r="S254" i="1"/>
  <c r="Q254" i="1"/>
  <c r="N254" i="1"/>
  <c r="O254" i="1" s="1"/>
  <c r="Y253" i="1"/>
  <c r="Q253" i="1"/>
  <c r="N253" i="1"/>
  <c r="O253" i="1" s="1"/>
  <c r="L253" i="1"/>
  <c r="S253" i="1" s="1"/>
  <c r="Y252" i="1"/>
  <c r="Q252" i="1"/>
  <c r="N252" i="1"/>
  <c r="O252" i="1" s="1"/>
  <c r="L252" i="1"/>
  <c r="S252" i="1" s="1"/>
  <c r="Y251" i="1"/>
  <c r="Q251" i="1"/>
  <c r="N251" i="1"/>
  <c r="O251" i="1" s="1"/>
  <c r="L251" i="1"/>
  <c r="S251" i="1" s="1"/>
  <c r="Y250" i="1"/>
  <c r="Q250" i="1"/>
  <c r="N250" i="1"/>
  <c r="O250" i="1" s="1"/>
  <c r="S250" i="1"/>
  <c r="Y249" i="1"/>
  <c r="Q249" i="1"/>
  <c r="N249" i="1"/>
  <c r="O249" i="1" s="1"/>
  <c r="L249" i="1"/>
  <c r="S249" i="1" s="1"/>
  <c r="Y248" i="1"/>
  <c r="Q248" i="1"/>
  <c r="N248" i="1"/>
  <c r="O248" i="1" s="1"/>
  <c r="L248" i="1"/>
  <c r="S248" i="1" s="1"/>
  <c r="Y247" i="1"/>
  <c r="Q247" i="1"/>
  <c r="N247" i="1"/>
  <c r="O247" i="1" s="1"/>
  <c r="L247" i="1"/>
  <c r="S247" i="1" s="1"/>
  <c r="Y246" i="1"/>
  <c r="T246" i="1"/>
  <c r="Q246" i="1"/>
  <c r="N246" i="1"/>
  <c r="O246" i="1" s="1"/>
  <c r="S246" i="1"/>
  <c r="Y245" i="1"/>
  <c r="T245" i="1"/>
  <c r="Q245" i="1"/>
  <c r="N245" i="1"/>
  <c r="O245" i="1" s="1"/>
  <c r="L245" i="1"/>
  <c r="S245" i="1" s="1"/>
  <c r="Y244" i="1"/>
  <c r="T244" i="1"/>
  <c r="Q244" i="1"/>
  <c r="N244" i="1"/>
  <c r="O244" i="1" s="1"/>
  <c r="L244" i="1"/>
  <c r="S244" i="1" s="1"/>
  <c r="Y243" i="1"/>
  <c r="Q243" i="1"/>
  <c r="N243" i="1"/>
  <c r="O243" i="1" s="1"/>
  <c r="L243" i="1"/>
  <c r="S243" i="1" s="1"/>
  <c r="J243" i="1"/>
  <c r="I243" i="1"/>
  <c r="Y242" i="1"/>
  <c r="S242" i="1"/>
  <c r="Q242" i="1"/>
  <c r="N242" i="1"/>
  <c r="O242" i="1" s="1"/>
  <c r="I242" i="1"/>
  <c r="T242" i="1" s="1"/>
  <c r="Y241" i="1"/>
  <c r="Q241" i="1"/>
  <c r="N241" i="1"/>
  <c r="O241" i="1" s="1"/>
  <c r="L241" i="1"/>
  <c r="S241" i="1" s="1"/>
  <c r="I241" i="1"/>
  <c r="T241" i="1" s="1"/>
  <c r="Y240" i="1"/>
  <c r="Q240" i="1"/>
  <c r="N240" i="1"/>
  <c r="O240" i="1" s="1"/>
  <c r="L240" i="1"/>
  <c r="S240" i="1" s="1"/>
  <c r="I240" i="1"/>
  <c r="T240" i="1" s="1"/>
  <c r="Y239" i="1"/>
  <c r="Q239" i="1"/>
  <c r="N239" i="1"/>
  <c r="O239" i="1" s="1"/>
  <c r="L239" i="1"/>
  <c r="S239" i="1" s="1"/>
  <c r="J239" i="1"/>
  <c r="I239" i="1"/>
  <c r="Y238" i="1"/>
  <c r="S238" i="1"/>
  <c r="Q238" i="1"/>
  <c r="N238" i="1"/>
  <c r="O238" i="1" s="1"/>
  <c r="Y237" i="1"/>
  <c r="Q237" i="1"/>
  <c r="N237" i="1"/>
  <c r="O237" i="1" s="1"/>
  <c r="L237" i="1"/>
  <c r="S237" i="1" s="1"/>
  <c r="Y236" i="1"/>
  <c r="Q236" i="1"/>
  <c r="N236" i="1"/>
  <c r="O236" i="1" s="1"/>
  <c r="L236" i="1"/>
  <c r="S236" i="1" s="1"/>
  <c r="Y235" i="1"/>
  <c r="Q235" i="1"/>
  <c r="N235" i="1"/>
  <c r="O235" i="1" s="1"/>
  <c r="L235" i="1"/>
  <c r="S235" i="1" s="1"/>
  <c r="Y234" i="1"/>
  <c r="Q234" i="1"/>
  <c r="N234" i="1"/>
  <c r="O234" i="1" s="1"/>
  <c r="S234" i="1"/>
  <c r="Y233" i="1"/>
  <c r="Q233" i="1"/>
  <c r="N233" i="1"/>
  <c r="O233" i="1" s="1"/>
  <c r="L233" i="1"/>
  <c r="S233" i="1" s="1"/>
  <c r="Y232" i="1"/>
  <c r="Q232" i="1"/>
  <c r="N232" i="1"/>
  <c r="O232" i="1" s="1"/>
  <c r="L232" i="1"/>
  <c r="S232" i="1" s="1"/>
  <c r="Y231" i="1"/>
  <c r="Q231" i="1"/>
  <c r="N231" i="1"/>
  <c r="O231" i="1" s="1"/>
  <c r="L231" i="1"/>
  <c r="S231" i="1" s="1"/>
  <c r="Q184" i="1"/>
  <c r="Q183" i="1"/>
  <c r="Q182" i="1"/>
  <c r="Q181" i="1"/>
  <c r="Q180" i="1"/>
  <c r="Q179" i="1"/>
  <c r="Q178" i="1"/>
  <c r="Q177" i="1"/>
  <c r="Q176" i="1"/>
  <c r="Q175" i="1"/>
  <c r="Q174" i="1"/>
  <c r="Q173" i="1"/>
  <c r="Q172" i="1"/>
  <c r="Q171" i="1"/>
  <c r="Q170" i="1"/>
  <c r="Q169" i="1"/>
  <c r="Q168" i="1"/>
  <c r="Q167" i="1"/>
  <c r="Q166" i="1"/>
  <c r="Q165" i="1"/>
  <c r="Q164" i="1"/>
  <c r="Q163" i="1"/>
  <c r="Q162" i="1"/>
  <c r="Q161" i="1"/>
  <c r="Q154" i="1"/>
  <c r="Q153" i="1"/>
  <c r="Q152" i="1"/>
  <c r="Q151" i="1"/>
  <c r="Q150" i="1"/>
  <c r="Q149" i="1"/>
  <c r="Q148" i="1"/>
  <c r="Q147" i="1"/>
  <c r="Q146" i="1"/>
  <c r="Q145" i="1"/>
  <c r="Q144" i="1"/>
  <c r="Q143" i="1"/>
  <c r="Q142" i="1"/>
  <c r="Q141" i="1"/>
  <c r="Q140" i="1"/>
  <c r="Q139" i="1"/>
  <c r="Q138" i="1"/>
  <c r="Q137" i="1"/>
  <c r="Q136" i="1"/>
  <c r="Q135" i="1"/>
  <c r="Q134" i="1"/>
  <c r="Q133" i="1"/>
  <c r="Q132" i="1"/>
  <c r="Q131" i="1"/>
  <c r="Q124" i="1"/>
  <c r="Q123" i="1"/>
  <c r="Q122" i="1"/>
  <c r="Q121" i="1"/>
  <c r="Q120" i="1"/>
  <c r="Q119" i="1"/>
  <c r="Q118" i="1"/>
  <c r="Q117" i="1"/>
  <c r="Q116" i="1"/>
  <c r="Q115" i="1"/>
  <c r="Q114" i="1"/>
  <c r="Q113" i="1"/>
  <c r="Q112" i="1"/>
  <c r="Q111" i="1"/>
  <c r="Q110" i="1"/>
  <c r="Q109" i="1"/>
  <c r="Q108" i="1"/>
  <c r="Q107" i="1"/>
  <c r="Q106" i="1"/>
  <c r="Q105" i="1"/>
  <c r="Q104" i="1"/>
  <c r="Q103" i="1"/>
  <c r="Q102" i="1"/>
  <c r="Q101" i="1"/>
  <c r="Q94" i="1"/>
  <c r="Q93" i="1"/>
  <c r="Q92" i="1"/>
  <c r="Q91" i="1"/>
  <c r="Q90" i="1"/>
  <c r="Q89" i="1"/>
  <c r="Q88" i="1"/>
  <c r="Q87" i="1"/>
  <c r="Q86" i="1"/>
  <c r="Q85" i="1"/>
  <c r="Q84" i="1"/>
  <c r="Q83" i="1"/>
  <c r="Q82" i="1"/>
  <c r="Q81" i="1"/>
  <c r="Q80" i="1"/>
  <c r="Q79" i="1"/>
  <c r="Q78" i="1"/>
  <c r="Q77" i="1"/>
  <c r="Q76" i="1"/>
  <c r="Q75" i="1"/>
  <c r="Q74" i="1"/>
  <c r="Q73" i="1"/>
  <c r="Q72" i="1"/>
  <c r="Q71" i="1"/>
  <c r="Q64" i="1"/>
  <c r="Q63" i="1"/>
  <c r="Q62" i="1"/>
  <c r="Q61" i="1"/>
  <c r="Q60" i="1"/>
  <c r="Q59" i="1"/>
  <c r="Q58" i="1"/>
  <c r="Q57" i="1"/>
  <c r="Q56" i="1"/>
  <c r="Q55" i="1"/>
  <c r="Q54" i="1"/>
  <c r="Q53" i="1"/>
  <c r="Q52" i="1"/>
  <c r="Q51" i="1"/>
  <c r="Q50" i="1"/>
  <c r="Q49" i="1"/>
  <c r="Q48" i="1"/>
  <c r="Q47" i="1"/>
  <c r="Q46" i="1"/>
  <c r="Q45" i="1"/>
  <c r="Q44" i="1"/>
  <c r="Q43" i="1"/>
  <c r="Q42" i="1"/>
  <c r="Q41" i="1"/>
  <c r="Q34" i="1"/>
  <c r="Q33" i="1"/>
  <c r="Q32" i="1"/>
  <c r="Q31" i="1"/>
  <c r="Q30" i="1"/>
  <c r="Q29" i="1"/>
  <c r="Q28" i="1"/>
  <c r="Q27" i="1"/>
  <c r="Q26" i="1"/>
  <c r="Q25" i="1"/>
  <c r="Q24" i="1"/>
  <c r="Q23" i="1"/>
  <c r="Q22" i="1"/>
  <c r="Q21" i="1"/>
  <c r="Q20" i="1"/>
  <c r="Q19" i="1"/>
  <c r="Q18" i="1"/>
  <c r="Q17" i="1"/>
  <c r="Q16" i="1"/>
  <c r="Q15" i="1"/>
  <c r="Q14" i="1"/>
  <c r="Q13" i="1"/>
  <c r="Q12" i="1"/>
  <c r="Q11" i="1"/>
  <c r="N184" i="1"/>
  <c r="O184" i="1" s="1"/>
  <c r="R184" i="1" s="1"/>
  <c r="N183" i="1"/>
  <c r="O183" i="1" s="1"/>
  <c r="N182" i="1"/>
  <c r="O182" i="1" s="1"/>
  <c r="R182" i="1" s="1"/>
  <c r="N181" i="1"/>
  <c r="O181" i="1" s="1"/>
  <c r="R181" i="1" s="1"/>
  <c r="N180" i="1"/>
  <c r="O180" i="1" s="1"/>
  <c r="N179" i="1"/>
  <c r="O179" i="1" s="1"/>
  <c r="N178" i="1"/>
  <c r="O178" i="1" s="1"/>
  <c r="R178" i="1" s="1"/>
  <c r="N177" i="1"/>
  <c r="O177" i="1" s="1"/>
  <c r="N176" i="1"/>
  <c r="O176" i="1" s="1"/>
  <c r="N175" i="1"/>
  <c r="O175" i="1" s="1"/>
  <c r="N174" i="1"/>
  <c r="O174" i="1" s="1"/>
  <c r="R174" i="1" s="1"/>
  <c r="N173" i="1"/>
  <c r="O173" i="1" s="1"/>
  <c r="R173" i="1" s="1"/>
  <c r="N172" i="1"/>
  <c r="O172" i="1" s="1"/>
  <c r="R172" i="1" s="1"/>
  <c r="N171" i="1"/>
  <c r="O171" i="1" s="1"/>
  <c r="R171" i="1" s="1"/>
  <c r="N170" i="1"/>
  <c r="O170" i="1" s="1"/>
  <c r="R170" i="1" s="1"/>
  <c r="N169" i="1"/>
  <c r="O169" i="1" s="1"/>
  <c r="R169" i="1" s="1"/>
  <c r="N168" i="1"/>
  <c r="O168" i="1" s="1"/>
  <c r="N167" i="1"/>
  <c r="O167" i="1" s="1"/>
  <c r="N166" i="1"/>
  <c r="O166" i="1" s="1"/>
  <c r="R166" i="1" s="1"/>
  <c r="N165" i="1"/>
  <c r="O165" i="1" s="1"/>
  <c r="R165" i="1" s="1"/>
  <c r="N164" i="1"/>
  <c r="O164" i="1" s="1"/>
  <c r="N163" i="1"/>
  <c r="O163" i="1" s="1"/>
  <c r="R163" i="1" s="1"/>
  <c r="N162" i="1"/>
  <c r="O162" i="1" s="1"/>
  <c r="R162" i="1" s="1"/>
  <c r="N161" i="1"/>
  <c r="O161" i="1" s="1"/>
  <c r="R161" i="1" s="1"/>
  <c r="N154" i="1"/>
  <c r="O154" i="1" s="1"/>
  <c r="R154" i="1" s="1"/>
  <c r="N153" i="1"/>
  <c r="O153" i="1" s="1"/>
  <c r="N152" i="1"/>
  <c r="O152" i="1" s="1"/>
  <c r="N151" i="1"/>
  <c r="O151" i="1" s="1"/>
  <c r="R151" i="1" s="1"/>
  <c r="N150" i="1"/>
  <c r="O150" i="1" s="1"/>
  <c r="N149" i="1"/>
  <c r="O149" i="1" s="1"/>
  <c r="N148" i="1"/>
  <c r="O148" i="1" s="1"/>
  <c r="R148" i="1" s="1"/>
  <c r="N147" i="1"/>
  <c r="O147" i="1" s="1"/>
  <c r="R147" i="1" s="1"/>
  <c r="N146" i="1"/>
  <c r="O146" i="1" s="1"/>
  <c r="R146" i="1" s="1"/>
  <c r="N145" i="1"/>
  <c r="O145" i="1" s="1"/>
  <c r="R145" i="1" s="1"/>
  <c r="N144" i="1"/>
  <c r="O144" i="1" s="1"/>
  <c r="N143" i="1"/>
  <c r="O143" i="1" s="1"/>
  <c r="N142" i="1"/>
  <c r="O142" i="1" s="1"/>
  <c r="R142" i="1" s="1"/>
  <c r="N141" i="1"/>
  <c r="O141" i="1" s="1"/>
  <c r="R141" i="1" s="1"/>
  <c r="N140" i="1"/>
  <c r="O140" i="1" s="1"/>
  <c r="R140" i="1" s="1"/>
  <c r="N139" i="1"/>
  <c r="O139" i="1" s="1"/>
  <c r="R139" i="1" s="1"/>
  <c r="N138" i="1"/>
  <c r="O138" i="1" s="1"/>
  <c r="R138" i="1" s="1"/>
  <c r="N137" i="1"/>
  <c r="O137" i="1" s="1"/>
  <c r="N136" i="1"/>
  <c r="O136" i="1" s="1"/>
  <c r="N135" i="1"/>
  <c r="O135" i="1" s="1"/>
  <c r="R135" i="1" s="1"/>
  <c r="N134" i="1"/>
  <c r="O134" i="1" s="1"/>
  <c r="R134" i="1" s="1"/>
  <c r="N133" i="1"/>
  <c r="O133" i="1" s="1"/>
  <c r="R133" i="1" s="1"/>
  <c r="N132" i="1"/>
  <c r="O132" i="1" s="1"/>
  <c r="R132" i="1" s="1"/>
  <c r="N131" i="1"/>
  <c r="O131" i="1" s="1"/>
  <c r="R131" i="1" s="1"/>
  <c r="N124" i="1"/>
  <c r="O124" i="1" s="1"/>
  <c r="R124" i="1" s="1"/>
  <c r="N123" i="1"/>
  <c r="O123" i="1" s="1"/>
  <c r="R123" i="1" s="1"/>
  <c r="N122" i="1"/>
  <c r="O122" i="1" s="1"/>
  <c r="R122" i="1" s="1"/>
  <c r="N121" i="1"/>
  <c r="O121" i="1" s="1"/>
  <c r="R121" i="1" s="1"/>
  <c r="N120" i="1"/>
  <c r="O120" i="1" s="1"/>
  <c r="N119" i="1"/>
  <c r="O119" i="1" s="1"/>
  <c r="R119" i="1" s="1"/>
  <c r="N118" i="1"/>
  <c r="O118" i="1" s="1"/>
  <c r="R118" i="1" s="1"/>
  <c r="N117" i="1"/>
  <c r="O117" i="1" s="1"/>
  <c r="R117" i="1" s="1"/>
  <c r="N116" i="1"/>
  <c r="O116" i="1" s="1"/>
  <c r="R116" i="1" s="1"/>
  <c r="N115" i="1"/>
  <c r="O115" i="1" s="1"/>
  <c r="N114" i="1"/>
  <c r="O114" i="1" s="1"/>
  <c r="R114" i="1" s="1"/>
  <c r="N113" i="1"/>
  <c r="O113" i="1" s="1"/>
  <c r="R113" i="1" s="1"/>
  <c r="N112" i="1"/>
  <c r="O112" i="1" s="1"/>
  <c r="R112" i="1" s="1"/>
  <c r="N111" i="1"/>
  <c r="O111" i="1" s="1"/>
  <c r="R111" i="1" s="1"/>
  <c r="N110" i="1"/>
  <c r="O110" i="1" s="1"/>
  <c r="R110" i="1" s="1"/>
  <c r="N109" i="1"/>
  <c r="O109" i="1" s="1"/>
  <c r="R109" i="1" s="1"/>
  <c r="N108" i="1"/>
  <c r="O108" i="1" s="1"/>
  <c r="R108" i="1" s="1"/>
  <c r="N107" i="1"/>
  <c r="O107" i="1" s="1"/>
  <c r="N106" i="1"/>
  <c r="O106" i="1" s="1"/>
  <c r="R106" i="1" s="1"/>
  <c r="N105" i="1"/>
  <c r="O105" i="1" s="1"/>
  <c r="R105" i="1" s="1"/>
  <c r="N104" i="1"/>
  <c r="O104" i="1" s="1"/>
  <c r="R104" i="1" s="1"/>
  <c r="N103" i="1"/>
  <c r="O103" i="1" s="1"/>
  <c r="N102" i="1"/>
  <c r="O102" i="1" s="1"/>
  <c r="R102" i="1" s="1"/>
  <c r="N101" i="1"/>
  <c r="O101" i="1" s="1"/>
  <c r="N94" i="1"/>
  <c r="O94" i="1" s="1"/>
  <c r="R94" i="1" s="1"/>
  <c r="N93" i="1"/>
  <c r="O93" i="1" s="1"/>
  <c r="R93" i="1" s="1"/>
  <c r="N92" i="1"/>
  <c r="O92" i="1" s="1"/>
  <c r="R92" i="1" s="1"/>
  <c r="N91" i="1"/>
  <c r="O91" i="1" s="1"/>
  <c r="R91" i="1" s="1"/>
  <c r="N90" i="1"/>
  <c r="O90" i="1" s="1"/>
  <c r="R90" i="1" s="1"/>
  <c r="N89" i="1"/>
  <c r="O89" i="1" s="1"/>
  <c r="N88" i="1"/>
  <c r="O88" i="1" s="1"/>
  <c r="R88" i="1" s="1"/>
  <c r="N87" i="1"/>
  <c r="O87" i="1" s="1"/>
  <c r="R87" i="1" s="1"/>
  <c r="N86" i="1"/>
  <c r="O86" i="1" s="1"/>
  <c r="R86" i="1" s="1"/>
  <c r="N85" i="1"/>
  <c r="O85" i="1" s="1"/>
  <c r="N84" i="1"/>
  <c r="O84" i="1" s="1"/>
  <c r="R84" i="1" s="1"/>
  <c r="N83" i="1"/>
  <c r="O83" i="1" s="1"/>
  <c r="R83" i="1" s="1"/>
  <c r="N82" i="1"/>
  <c r="O82" i="1" s="1"/>
  <c r="R82" i="1" s="1"/>
  <c r="N81" i="1"/>
  <c r="O81" i="1" s="1"/>
  <c r="N80" i="1"/>
  <c r="O80" i="1" s="1"/>
  <c r="R80" i="1" s="1"/>
  <c r="N79" i="1"/>
  <c r="O79" i="1" s="1"/>
  <c r="R79" i="1" s="1"/>
  <c r="N78" i="1"/>
  <c r="O78" i="1" s="1"/>
  <c r="R78" i="1" s="1"/>
  <c r="N77" i="1"/>
  <c r="O77" i="1" s="1"/>
  <c r="R77" i="1" s="1"/>
  <c r="N76" i="1"/>
  <c r="O76" i="1" s="1"/>
  <c r="R76" i="1" s="1"/>
  <c r="N75" i="1"/>
  <c r="O75" i="1" s="1"/>
  <c r="N74" i="1"/>
  <c r="O74" i="1" s="1"/>
  <c r="R74" i="1" s="1"/>
  <c r="N73" i="1"/>
  <c r="O73" i="1" s="1"/>
  <c r="N72" i="1"/>
  <c r="O72" i="1" s="1"/>
  <c r="R72" i="1" s="1"/>
  <c r="N71" i="1"/>
  <c r="O71" i="1" s="1"/>
  <c r="R71" i="1" s="1"/>
  <c r="L184" i="1"/>
  <c r="S184" i="1" s="1"/>
  <c r="L183" i="1"/>
  <c r="S183" i="1" s="1"/>
  <c r="L182" i="1"/>
  <c r="S182" i="1" s="1"/>
  <c r="L181" i="1"/>
  <c r="S181" i="1" s="1"/>
  <c r="L180" i="1"/>
  <c r="S180" i="1" s="1"/>
  <c r="L179" i="1"/>
  <c r="S179" i="1" s="1"/>
  <c r="L178" i="1"/>
  <c r="S178" i="1" s="1"/>
  <c r="L177" i="1"/>
  <c r="S177" i="1" s="1"/>
  <c r="L176" i="1"/>
  <c r="S176" i="1" s="1"/>
  <c r="L175" i="1"/>
  <c r="S175" i="1" s="1"/>
  <c r="L174" i="1"/>
  <c r="S174" i="1" s="1"/>
  <c r="L173" i="1"/>
  <c r="S173" i="1" s="1"/>
  <c r="L172" i="1"/>
  <c r="S172" i="1" s="1"/>
  <c r="L171" i="1"/>
  <c r="S171" i="1" s="1"/>
  <c r="L170" i="1"/>
  <c r="S170" i="1" s="1"/>
  <c r="L169" i="1"/>
  <c r="S169" i="1" s="1"/>
  <c r="L168" i="1"/>
  <c r="S168" i="1" s="1"/>
  <c r="L167" i="1"/>
  <c r="S167" i="1" s="1"/>
  <c r="L166" i="1"/>
  <c r="S166" i="1" s="1"/>
  <c r="L165" i="1"/>
  <c r="S165" i="1" s="1"/>
  <c r="L164" i="1"/>
  <c r="S164" i="1" s="1"/>
  <c r="L163" i="1"/>
  <c r="S163" i="1" s="1"/>
  <c r="L162" i="1"/>
  <c r="S162" i="1" s="1"/>
  <c r="L161" i="1"/>
  <c r="S161" i="1" s="1"/>
  <c r="L154" i="1"/>
  <c r="S154" i="1" s="1"/>
  <c r="L153" i="1"/>
  <c r="S153" i="1" s="1"/>
  <c r="L152" i="1"/>
  <c r="S152" i="1" s="1"/>
  <c r="L151" i="1"/>
  <c r="S151" i="1" s="1"/>
  <c r="L150" i="1"/>
  <c r="S150" i="1" s="1"/>
  <c r="L149" i="1"/>
  <c r="S149" i="1" s="1"/>
  <c r="L148" i="1"/>
  <c r="S148" i="1" s="1"/>
  <c r="L147" i="1"/>
  <c r="S147" i="1" s="1"/>
  <c r="L146" i="1"/>
  <c r="S146" i="1" s="1"/>
  <c r="L145" i="1"/>
  <c r="S145" i="1" s="1"/>
  <c r="L144" i="1"/>
  <c r="S144" i="1" s="1"/>
  <c r="L143" i="1"/>
  <c r="S143" i="1" s="1"/>
  <c r="L142" i="1"/>
  <c r="S142" i="1" s="1"/>
  <c r="L141" i="1"/>
  <c r="S141" i="1" s="1"/>
  <c r="L140" i="1"/>
  <c r="S140" i="1" s="1"/>
  <c r="L139" i="1"/>
  <c r="S139" i="1" s="1"/>
  <c r="L138" i="1"/>
  <c r="S138" i="1" s="1"/>
  <c r="L137" i="1"/>
  <c r="S137" i="1" s="1"/>
  <c r="L136" i="1"/>
  <c r="S136" i="1" s="1"/>
  <c r="L135" i="1"/>
  <c r="S135" i="1" s="1"/>
  <c r="L134" i="1"/>
  <c r="S134" i="1" s="1"/>
  <c r="L133" i="1"/>
  <c r="S133" i="1" s="1"/>
  <c r="L132" i="1"/>
  <c r="S132" i="1" s="1"/>
  <c r="L131" i="1"/>
  <c r="S131" i="1" s="1"/>
  <c r="L124" i="1"/>
  <c r="S124" i="1" s="1"/>
  <c r="L123" i="1"/>
  <c r="S123" i="1" s="1"/>
  <c r="L122" i="1"/>
  <c r="S122" i="1" s="1"/>
  <c r="L121" i="1"/>
  <c r="S121" i="1" s="1"/>
  <c r="L120" i="1"/>
  <c r="S120" i="1" s="1"/>
  <c r="L119" i="1"/>
  <c r="S119" i="1" s="1"/>
  <c r="L118" i="1"/>
  <c r="S118" i="1" s="1"/>
  <c r="L117" i="1"/>
  <c r="S117" i="1" s="1"/>
  <c r="L116" i="1"/>
  <c r="S116" i="1" s="1"/>
  <c r="L115" i="1"/>
  <c r="S115" i="1" s="1"/>
  <c r="L114" i="1"/>
  <c r="S114" i="1" s="1"/>
  <c r="L113" i="1"/>
  <c r="S113" i="1" s="1"/>
  <c r="L112" i="1"/>
  <c r="S112" i="1" s="1"/>
  <c r="L111" i="1"/>
  <c r="S111" i="1" s="1"/>
  <c r="L110" i="1"/>
  <c r="S110" i="1" s="1"/>
  <c r="L109" i="1"/>
  <c r="S109" i="1" s="1"/>
  <c r="L108" i="1"/>
  <c r="S108" i="1" s="1"/>
  <c r="L107" i="1"/>
  <c r="S107" i="1" s="1"/>
  <c r="L106" i="1"/>
  <c r="S106" i="1" s="1"/>
  <c r="L105" i="1"/>
  <c r="S105" i="1" s="1"/>
  <c r="L104" i="1"/>
  <c r="S104" i="1" s="1"/>
  <c r="L103" i="1"/>
  <c r="S103" i="1" s="1"/>
  <c r="L102" i="1"/>
  <c r="S102" i="1" s="1"/>
  <c r="L101" i="1"/>
  <c r="S101" i="1" s="1"/>
  <c r="Y184" i="1"/>
  <c r="Y183" i="1"/>
  <c r="Y182" i="1"/>
  <c r="Y181" i="1"/>
  <c r="Y180" i="1"/>
  <c r="Y179" i="1"/>
  <c r="Y178" i="1"/>
  <c r="Y177" i="1"/>
  <c r="Y176" i="1"/>
  <c r="T176" i="1"/>
  <c r="Y175" i="1"/>
  <c r="T175" i="1"/>
  <c r="Y174" i="1"/>
  <c r="T174" i="1"/>
  <c r="Y173" i="1"/>
  <c r="J173" i="1"/>
  <c r="I173" i="1"/>
  <c r="Y172" i="1"/>
  <c r="I172" i="1"/>
  <c r="T172" i="1" s="1"/>
  <c r="Y171" i="1"/>
  <c r="I171" i="1"/>
  <c r="T171" i="1" s="1"/>
  <c r="Y170" i="1"/>
  <c r="I170" i="1"/>
  <c r="T170" i="1" s="1"/>
  <c r="Y169" i="1"/>
  <c r="J169" i="1"/>
  <c r="I169" i="1"/>
  <c r="Y168" i="1"/>
  <c r="Y167" i="1"/>
  <c r="Y166" i="1"/>
  <c r="Y165" i="1"/>
  <c r="Y164" i="1"/>
  <c r="Y163" i="1"/>
  <c r="Y162" i="1"/>
  <c r="Y161" i="1"/>
  <c r="Y154" i="1"/>
  <c r="Y153" i="1"/>
  <c r="Y152" i="1"/>
  <c r="Y151" i="1"/>
  <c r="Y150" i="1"/>
  <c r="Y149" i="1"/>
  <c r="Y148" i="1"/>
  <c r="Y147" i="1"/>
  <c r="Y146" i="1"/>
  <c r="T146" i="1"/>
  <c r="Y145" i="1"/>
  <c r="T145" i="1"/>
  <c r="Y144" i="1"/>
  <c r="T144" i="1"/>
  <c r="Y143" i="1"/>
  <c r="J143" i="1"/>
  <c r="I143" i="1"/>
  <c r="Y142" i="1"/>
  <c r="I142" i="1"/>
  <c r="T142" i="1" s="1"/>
  <c r="Y141" i="1"/>
  <c r="I141" i="1"/>
  <c r="T141" i="1" s="1"/>
  <c r="Y140" i="1"/>
  <c r="I140" i="1"/>
  <c r="T140" i="1" s="1"/>
  <c r="Y139" i="1"/>
  <c r="J139" i="1"/>
  <c r="I139" i="1"/>
  <c r="Y138" i="1"/>
  <c r="Y137" i="1"/>
  <c r="Y136" i="1"/>
  <c r="Y135" i="1"/>
  <c r="Y134" i="1"/>
  <c r="Y133" i="1"/>
  <c r="Y132" i="1"/>
  <c r="Y131" i="1"/>
  <c r="Y124" i="1"/>
  <c r="Y123" i="1"/>
  <c r="Y122" i="1"/>
  <c r="Y121" i="1"/>
  <c r="Y120" i="1"/>
  <c r="Y119" i="1"/>
  <c r="Y118" i="1"/>
  <c r="Y117" i="1"/>
  <c r="Y116" i="1"/>
  <c r="T116" i="1"/>
  <c r="Y115" i="1"/>
  <c r="T115" i="1"/>
  <c r="Y114" i="1"/>
  <c r="T114" i="1"/>
  <c r="Y113" i="1"/>
  <c r="J113" i="1"/>
  <c r="I113" i="1"/>
  <c r="Y112" i="1"/>
  <c r="I112" i="1"/>
  <c r="T112" i="1" s="1"/>
  <c r="Y111" i="1"/>
  <c r="I111" i="1"/>
  <c r="T111" i="1" s="1"/>
  <c r="Y110" i="1"/>
  <c r="I110" i="1"/>
  <c r="T110" i="1" s="1"/>
  <c r="Y109" i="1"/>
  <c r="J109" i="1"/>
  <c r="I109" i="1"/>
  <c r="Y108" i="1"/>
  <c r="Y107" i="1"/>
  <c r="Y106" i="1"/>
  <c r="Y105" i="1"/>
  <c r="Y104" i="1"/>
  <c r="Y103" i="1"/>
  <c r="Y102" i="1"/>
  <c r="Y101" i="1"/>
  <c r="L94" i="1"/>
  <c r="S94" i="1" s="1"/>
  <c r="L93" i="1"/>
  <c r="S93" i="1" s="1"/>
  <c r="L92" i="1"/>
  <c r="S92" i="1" s="1"/>
  <c r="L91" i="1"/>
  <c r="S91" i="1" s="1"/>
  <c r="L90" i="1"/>
  <c r="S90" i="1" s="1"/>
  <c r="L89" i="1"/>
  <c r="S89" i="1" s="1"/>
  <c r="L88" i="1"/>
  <c r="S88" i="1" s="1"/>
  <c r="L87" i="1"/>
  <c r="S87" i="1" s="1"/>
  <c r="L86" i="1"/>
  <c r="S86" i="1" s="1"/>
  <c r="L85" i="1"/>
  <c r="S85" i="1" s="1"/>
  <c r="L84" i="1"/>
  <c r="S84" i="1" s="1"/>
  <c r="L83" i="1"/>
  <c r="S83" i="1" s="1"/>
  <c r="L82" i="1"/>
  <c r="S82" i="1" s="1"/>
  <c r="L81" i="1"/>
  <c r="S81" i="1" s="1"/>
  <c r="L80" i="1"/>
  <c r="S80" i="1" s="1"/>
  <c r="L79" i="1"/>
  <c r="S79" i="1" s="1"/>
  <c r="L78" i="1"/>
  <c r="S78" i="1" s="1"/>
  <c r="L77" i="1"/>
  <c r="S77" i="1" s="1"/>
  <c r="L76" i="1"/>
  <c r="S76" i="1" s="1"/>
  <c r="L75" i="1"/>
  <c r="S75" i="1" s="1"/>
  <c r="L74" i="1"/>
  <c r="S74" i="1" s="1"/>
  <c r="L73" i="1"/>
  <c r="S73" i="1" s="1"/>
  <c r="L72" i="1"/>
  <c r="S72" i="1" s="1"/>
  <c r="L71" i="1"/>
  <c r="S71" i="1" s="1"/>
  <c r="Y94" i="1"/>
  <c r="Y93" i="1"/>
  <c r="Y92" i="1"/>
  <c r="Y91" i="1"/>
  <c r="Y90" i="1"/>
  <c r="Y89" i="1"/>
  <c r="Y88" i="1"/>
  <c r="Y87" i="1"/>
  <c r="Y86" i="1"/>
  <c r="T86" i="1"/>
  <c r="Y85" i="1"/>
  <c r="T85" i="1"/>
  <c r="Y84" i="1"/>
  <c r="T84" i="1"/>
  <c r="Y83" i="1"/>
  <c r="J83" i="1"/>
  <c r="I83" i="1"/>
  <c r="Y82" i="1"/>
  <c r="I82" i="1"/>
  <c r="T82" i="1" s="1"/>
  <c r="Y81" i="1"/>
  <c r="I81" i="1"/>
  <c r="T81" i="1" s="1"/>
  <c r="Y80" i="1"/>
  <c r="I80" i="1"/>
  <c r="T80" i="1" s="1"/>
  <c r="Y79" i="1"/>
  <c r="J79" i="1"/>
  <c r="I79" i="1"/>
  <c r="Y78" i="1"/>
  <c r="Y77" i="1"/>
  <c r="Y76" i="1"/>
  <c r="Y75" i="1"/>
  <c r="Y74" i="1"/>
  <c r="Y73" i="1"/>
  <c r="Y72" i="1"/>
  <c r="Y71" i="1"/>
  <c r="L50" i="1"/>
  <c r="S50" i="1" s="1"/>
  <c r="N64" i="1"/>
  <c r="O64" i="1" s="1"/>
  <c r="N63" i="1"/>
  <c r="O63" i="1" s="1"/>
  <c r="N62" i="1"/>
  <c r="O62" i="1" s="1"/>
  <c r="N61" i="1"/>
  <c r="O61" i="1" s="1"/>
  <c r="N60" i="1"/>
  <c r="O60" i="1" s="1"/>
  <c r="N59" i="1"/>
  <c r="O59" i="1" s="1"/>
  <c r="N58" i="1"/>
  <c r="O58" i="1" s="1"/>
  <c r="N57" i="1"/>
  <c r="O57" i="1" s="1"/>
  <c r="N56" i="1"/>
  <c r="O56" i="1" s="1"/>
  <c r="N55" i="1"/>
  <c r="O55" i="1" s="1"/>
  <c r="N54" i="1"/>
  <c r="O54" i="1" s="1"/>
  <c r="N53" i="1"/>
  <c r="O53" i="1" s="1"/>
  <c r="N52" i="1"/>
  <c r="O52" i="1" s="1"/>
  <c r="N51" i="1"/>
  <c r="O51" i="1" s="1"/>
  <c r="N50" i="1"/>
  <c r="O50" i="1" s="1"/>
  <c r="N49" i="1"/>
  <c r="O49" i="1" s="1"/>
  <c r="N48" i="1"/>
  <c r="O48" i="1" s="1"/>
  <c r="N47" i="1"/>
  <c r="O47" i="1" s="1"/>
  <c r="N46" i="1"/>
  <c r="O46" i="1" s="1"/>
  <c r="N45" i="1"/>
  <c r="O45" i="1" s="1"/>
  <c r="N44" i="1"/>
  <c r="O44" i="1" s="1"/>
  <c r="N43" i="1"/>
  <c r="O43" i="1" s="1"/>
  <c r="N42" i="1"/>
  <c r="O42" i="1" s="1"/>
  <c r="N41" i="1"/>
  <c r="O41" i="1" s="1"/>
  <c r="L64" i="1"/>
  <c r="S64" i="1" s="1"/>
  <c r="L63" i="1"/>
  <c r="S63" i="1" s="1"/>
  <c r="L62" i="1"/>
  <c r="S62" i="1" s="1"/>
  <c r="L61" i="1"/>
  <c r="L60" i="1"/>
  <c r="S60" i="1" s="1"/>
  <c r="L59" i="1"/>
  <c r="S59" i="1" s="1"/>
  <c r="L58" i="1"/>
  <c r="S58" i="1" s="1"/>
  <c r="L57" i="1"/>
  <c r="S57" i="1" s="1"/>
  <c r="L56" i="1"/>
  <c r="S56" i="1" s="1"/>
  <c r="L55" i="1"/>
  <c r="S55" i="1" s="1"/>
  <c r="L54" i="1"/>
  <c r="S54" i="1" s="1"/>
  <c r="L53" i="1"/>
  <c r="S53" i="1" s="1"/>
  <c r="L52" i="1"/>
  <c r="S52" i="1" s="1"/>
  <c r="L51" i="1"/>
  <c r="S51" i="1" s="1"/>
  <c r="L49" i="1"/>
  <c r="S49" i="1" s="1"/>
  <c r="L48" i="1"/>
  <c r="S48" i="1" s="1"/>
  <c r="L47" i="1"/>
  <c r="S47" i="1" s="1"/>
  <c r="L46" i="1"/>
  <c r="S46" i="1" s="1"/>
  <c r="L45" i="1"/>
  <c r="S45" i="1" s="1"/>
  <c r="L44" i="1"/>
  <c r="S44" i="1" s="1"/>
  <c r="L43" i="1"/>
  <c r="S43" i="1" s="1"/>
  <c r="L42" i="1"/>
  <c r="S42" i="1" s="1"/>
  <c r="L41" i="1"/>
  <c r="S41" i="1" s="1"/>
  <c r="L15" i="1"/>
  <c r="Y64" i="1"/>
  <c r="Y63" i="1"/>
  <c r="Y62" i="1"/>
  <c r="Y61" i="1"/>
  <c r="S61" i="1"/>
  <c r="Y60" i="1"/>
  <c r="Y59" i="1"/>
  <c r="Y58" i="1"/>
  <c r="Y57" i="1"/>
  <c r="Y56" i="1"/>
  <c r="T56" i="1"/>
  <c r="Y55" i="1"/>
  <c r="T55" i="1"/>
  <c r="Y54" i="1"/>
  <c r="T54" i="1"/>
  <c r="Y53" i="1"/>
  <c r="J53" i="1"/>
  <c r="I53" i="1"/>
  <c r="Y52" i="1"/>
  <c r="I52" i="1"/>
  <c r="T52" i="1" s="1"/>
  <c r="Y51" i="1"/>
  <c r="I51" i="1"/>
  <c r="T51" i="1" s="1"/>
  <c r="Y50" i="1"/>
  <c r="I50" i="1"/>
  <c r="T50" i="1" s="1"/>
  <c r="Y49" i="1"/>
  <c r="J49" i="1"/>
  <c r="I49" i="1"/>
  <c r="Y48" i="1"/>
  <c r="Y47" i="1"/>
  <c r="Y46" i="1"/>
  <c r="Y45" i="1"/>
  <c r="Y44" i="1"/>
  <c r="Y43" i="1"/>
  <c r="Y42" i="1"/>
  <c r="Y41" i="1"/>
  <c r="I21" i="1"/>
  <c r="T21" i="1" s="1"/>
  <c r="I22" i="1"/>
  <c r="T22" i="1" s="1"/>
  <c r="I23" i="1"/>
  <c r="I20" i="1"/>
  <c r="T20" i="1" s="1"/>
  <c r="I19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11" i="1"/>
  <c r="T24" i="1"/>
  <c r="T25" i="1"/>
  <c r="T26" i="1"/>
  <c r="R75" i="1" l="1"/>
  <c r="R115" i="1"/>
  <c r="U115" i="1" s="1"/>
  <c r="W115" i="1" s="1"/>
  <c r="Z115" i="1" s="1"/>
  <c r="T269" i="1"/>
  <c r="R332" i="1"/>
  <c r="U332" i="1" s="1"/>
  <c r="W332" i="1" s="1"/>
  <c r="Z332" i="1" s="1"/>
  <c r="R73" i="1"/>
  <c r="R85" i="1"/>
  <c r="R103" i="1"/>
  <c r="R175" i="1"/>
  <c r="U175" i="1" s="1"/>
  <c r="W175" i="1" s="1"/>
  <c r="Z175" i="1" s="1"/>
  <c r="R168" i="1"/>
  <c r="U168" i="1" s="1"/>
  <c r="W168" i="1" s="1"/>
  <c r="Z168" i="1" s="1"/>
  <c r="R137" i="1"/>
  <c r="U137" i="1" s="1"/>
  <c r="W137" i="1" s="1"/>
  <c r="Z137" i="1" s="1"/>
  <c r="R180" i="1"/>
  <c r="U180" i="1" s="1"/>
  <c r="W180" i="1" s="1"/>
  <c r="Z180" i="1" s="1"/>
  <c r="R136" i="1"/>
  <c r="U136" i="1" s="1"/>
  <c r="W136" i="1" s="1"/>
  <c r="Z136" i="1" s="1"/>
  <c r="R150" i="1"/>
  <c r="U150" i="1" s="1"/>
  <c r="W150" i="1" s="1"/>
  <c r="Z150" i="1" s="1"/>
  <c r="R176" i="1"/>
  <c r="U176" i="1" s="1"/>
  <c r="W176" i="1" s="1"/>
  <c r="Z176" i="1" s="1"/>
  <c r="R273" i="1"/>
  <c r="R164" i="1"/>
  <c r="U164" i="1" s="1"/>
  <c r="W164" i="1" s="1"/>
  <c r="Z164" i="1" s="1"/>
  <c r="R281" i="1"/>
  <c r="R199" i="1"/>
  <c r="R152" i="1"/>
  <c r="R208" i="1"/>
  <c r="U208" i="1" s="1"/>
  <c r="W208" i="1" s="1"/>
  <c r="Z208" i="1" s="1"/>
  <c r="R177" i="1"/>
  <c r="U177" i="1" s="1"/>
  <c r="W177" i="1" s="1"/>
  <c r="Z177" i="1" s="1"/>
  <c r="R153" i="1"/>
  <c r="U153" i="1" s="1"/>
  <c r="W153" i="1" s="1"/>
  <c r="Z153" i="1" s="1"/>
  <c r="R89" i="1"/>
  <c r="U89" i="1" s="1"/>
  <c r="W89" i="1" s="1"/>
  <c r="Z89" i="1" s="1"/>
  <c r="R107" i="1"/>
  <c r="U107" i="1" s="1"/>
  <c r="W107" i="1" s="1"/>
  <c r="Z107" i="1" s="1"/>
  <c r="R149" i="1"/>
  <c r="U149" i="1" s="1"/>
  <c r="W149" i="1" s="1"/>
  <c r="Z149" i="1" s="1"/>
  <c r="R362" i="1"/>
  <c r="U362" i="1" s="1"/>
  <c r="W362" i="1" s="1"/>
  <c r="Z362" i="1" s="1"/>
  <c r="R368" i="1"/>
  <c r="U368" i="1" s="1"/>
  <c r="W368" i="1" s="1"/>
  <c r="Z368" i="1" s="1"/>
  <c r="R232" i="1"/>
  <c r="U232" i="1" s="1"/>
  <c r="W232" i="1" s="1"/>
  <c r="Z232" i="1" s="1"/>
  <c r="T202" i="1"/>
  <c r="R346" i="1"/>
  <c r="U346" i="1" s="1"/>
  <c r="W346" i="1" s="1"/>
  <c r="Z346" i="1" s="1"/>
  <c r="T109" i="1"/>
  <c r="U109" i="1" s="1"/>
  <c r="W109" i="1" s="1"/>
  <c r="Z109" i="1" s="1"/>
  <c r="T143" i="1"/>
  <c r="R197" i="1"/>
  <c r="U197" i="1" s="1"/>
  <c r="W197" i="1" s="1"/>
  <c r="Z197" i="1" s="1"/>
  <c r="R350" i="1"/>
  <c r="U350" i="1" s="1"/>
  <c r="W350" i="1" s="1"/>
  <c r="Z350" i="1" s="1"/>
  <c r="R361" i="1"/>
  <c r="U361" i="1" s="1"/>
  <c r="W361" i="1" s="1"/>
  <c r="Z361" i="1" s="1"/>
  <c r="R46" i="1"/>
  <c r="U46" i="1" s="1"/>
  <c r="W46" i="1" s="1"/>
  <c r="Z46" i="1" s="1"/>
  <c r="R81" i="1"/>
  <c r="U81" i="1" s="1"/>
  <c r="W81" i="1" s="1"/>
  <c r="Z81" i="1" s="1"/>
  <c r="R193" i="1"/>
  <c r="U193" i="1" s="1"/>
  <c r="W193" i="1" s="1"/>
  <c r="Z193" i="1" s="1"/>
  <c r="R206" i="1"/>
  <c r="U206" i="1" s="1"/>
  <c r="W206" i="1" s="1"/>
  <c r="Z206" i="1" s="1"/>
  <c r="R101" i="1"/>
  <c r="U101" i="1" s="1"/>
  <c r="W101" i="1" s="1"/>
  <c r="Z101" i="1" s="1"/>
  <c r="R200" i="1"/>
  <c r="R205" i="1"/>
  <c r="U205" i="1" s="1"/>
  <c r="W205" i="1" s="1"/>
  <c r="Z205" i="1" s="1"/>
  <c r="R336" i="1"/>
  <c r="U336" i="1" s="1"/>
  <c r="W336" i="1" s="1"/>
  <c r="Z336" i="1" s="1"/>
  <c r="R252" i="1"/>
  <c r="U252" i="1" s="1"/>
  <c r="W252" i="1" s="1"/>
  <c r="Z252" i="1" s="1"/>
  <c r="R192" i="1"/>
  <c r="U192" i="1" s="1"/>
  <c r="W192" i="1" s="1"/>
  <c r="Z192" i="1" s="1"/>
  <c r="R143" i="1"/>
  <c r="R372" i="1"/>
  <c r="U372" i="1" s="1"/>
  <c r="W372" i="1" s="1"/>
  <c r="Z372" i="1" s="1"/>
  <c r="R342" i="1"/>
  <c r="U342" i="1" s="1"/>
  <c r="R62" i="1"/>
  <c r="U62" i="1" s="1"/>
  <c r="W62" i="1" s="1"/>
  <c r="Z62" i="1" s="1"/>
  <c r="U307" i="1"/>
  <c r="W307" i="1" s="1"/>
  <c r="Z307" i="1" s="1"/>
  <c r="R50" i="1"/>
  <c r="U50" i="1" s="1"/>
  <c r="W50" i="1" s="1"/>
  <c r="Z50" i="1" s="1"/>
  <c r="R179" i="1"/>
  <c r="U179" i="1" s="1"/>
  <c r="W179" i="1" s="1"/>
  <c r="Z179" i="1" s="1"/>
  <c r="T139" i="1"/>
  <c r="U139" i="1" s="1"/>
  <c r="W139" i="1" s="1"/>
  <c r="Z139" i="1" s="1"/>
  <c r="R339" i="1"/>
  <c r="U339" i="1" s="1"/>
  <c r="W339" i="1" s="1"/>
  <c r="Z339" i="1" s="1"/>
  <c r="R354" i="1"/>
  <c r="U354" i="1" s="1"/>
  <c r="W354" i="1" s="1"/>
  <c r="Z354" i="1" s="1"/>
  <c r="R353" i="1"/>
  <c r="U353" i="1" s="1"/>
  <c r="W353" i="1" s="1"/>
  <c r="Z353" i="1" s="1"/>
  <c r="R335" i="1"/>
  <c r="U335" i="1" s="1"/>
  <c r="W335" i="1" s="1"/>
  <c r="Z335" i="1" s="1"/>
  <c r="R356" i="1"/>
  <c r="U356" i="1" s="1"/>
  <c r="W356" i="1" s="1"/>
  <c r="Z356" i="1" s="1"/>
  <c r="R376" i="1"/>
  <c r="U376" i="1" s="1"/>
  <c r="W376" i="1" s="1"/>
  <c r="Z376" i="1" s="1"/>
  <c r="T173" i="1"/>
  <c r="U173" i="1" s="1"/>
  <c r="W173" i="1" s="1"/>
  <c r="Z173" i="1" s="1"/>
  <c r="R248" i="1"/>
  <c r="U248" i="1" s="1"/>
  <c r="W248" i="1" s="1"/>
  <c r="Z248" i="1" s="1"/>
  <c r="T365" i="1"/>
  <c r="T364" i="1"/>
  <c r="R341" i="1"/>
  <c r="U341" i="1" s="1"/>
  <c r="W341" i="1" s="1"/>
  <c r="Z341" i="1" s="1"/>
  <c r="R183" i="1"/>
  <c r="U183" i="1" s="1"/>
  <c r="W183" i="1" s="1"/>
  <c r="Z183" i="1" s="1"/>
  <c r="R378" i="1"/>
  <c r="U378" i="1" s="1"/>
  <c r="W378" i="1" s="1"/>
  <c r="Z378" i="1" s="1"/>
  <c r="U181" i="1"/>
  <c r="W181" i="1" s="1"/>
  <c r="Z181" i="1" s="1"/>
  <c r="R241" i="1"/>
  <c r="U241" i="1" s="1"/>
  <c r="W241" i="1" s="1"/>
  <c r="Z241" i="1" s="1"/>
  <c r="R340" i="1"/>
  <c r="U340" i="1" s="1"/>
  <c r="W340" i="1" s="1"/>
  <c r="Z340" i="1" s="1"/>
  <c r="R246" i="1"/>
  <c r="U246" i="1" s="1"/>
  <c r="W246" i="1" s="1"/>
  <c r="Z246" i="1" s="1"/>
  <c r="R244" i="1"/>
  <c r="U244" i="1" s="1"/>
  <c r="W244" i="1" s="1"/>
  <c r="Z244" i="1" s="1"/>
  <c r="R272" i="1"/>
  <c r="U272" i="1" s="1"/>
  <c r="W272" i="1" s="1"/>
  <c r="Z272" i="1" s="1"/>
  <c r="R349" i="1"/>
  <c r="U349" i="1" s="1"/>
  <c r="W349" i="1" s="1"/>
  <c r="Z349" i="1" s="1"/>
  <c r="R45" i="1"/>
  <c r="U45" i="1" s="1"/>
  <c r="W45" i="1" s="1"/>
  <c r="Z45" i="1" s="1"/>
  <c r="R57" i="1"/>
  <c r="U57" i="1" s="1"/>
  <c r="W57" i="1" s="1"/>
  <c r="Z57" i="1" s="1"/>
  <c r="U76" i="1"/>
  <c r="W76" i="1" s="1"/>
  <c r="Z76" i="1" s="1"/>
  <c r="R365" i="1"/>
  <c r="R371" i="1"/>
  <c r="U371" i="1" s="1"/>
  <c r="W371" i="1" s="1"/>
  <c r="Z371" i="1" s="1"/>
  <c r="R373" i="1"/>
  <c r="U373" i="1" s="1"/>
  <c r="W373" i="1" s="1"/>
  <c r="Z373" i="1" s="1"/>
  <c r="R344" i="1"/>
  <c r="U344" i="1" s="1"/>
  <c r="W344" i="1" s="1"/>
  <c r="Z344" i="1" s="1"/>
  <c r="R338" i="1"/>
  <c r="U338" i="1" s="1"/>
  <c r="W338" i="1" s="1"/>
  <c r="Z338" i="1" s="1"/>
  <c r="R377" i="1"/>
  <c r="U377" i="1" s="1"/>
  <c r="W377" i="1" s="1"/>
  <c r="Z377" i="1" s="1"/>
  <c r="R337" i="1"/>
  <c r="U337" i="1" s="1"/>
  <c r="W337" i="1" s="1"/>
  <c r="Z337" i="1" s="1"/>
  <c r="R264" i="1"/>
  <c r="U264" i="1" s="1"/>
  <c r="W264" i="1" s="1"/>
  <c r="Z264" i="1" s="1"/>
  <c r="R276" i="1"/>
  <c r="U276" i="1" s="1"/>
  <c r="W276" i="1" s="1"/>
  <c r="Z276" i="1" s="1"/>
  <c r="R375" i="1"/>
  <c r="U375" i="1" s="1"/>
  <c r="W375" i="1" s="1"/>
  <c r="Z375" i="1" s="1"/>
  <c r="R331" i="1"/>
  <c r="U331" i="1" s="1"/>
  <c r="W331" i="1" s="1"/>
  <c r="Z331" i="1" s="1"/>
  <c r="R58" i="1"/>
  <c r="U58" i="1" s="1"/>
  <c r="W58" i="1" s="1"/>
  <c r="Z58" i="1" s="1"/>
  <c r="R347" i="1"/>
  <c r="U347" i="1" s="1"/>
  <c r="W347" i="1" s="1"/>
  <c r="Z347" i="1" s="1"/>
  <c r="R364" i="1"/>
  <c r="R355" i="1"/>
  <c r="U355" i="1" s="1"/>
  <c r="W355" i="1" s="1"/>
  <c r="Z355" i="1" s="1"/>
  <c r="R370" i="1"/>
  <c r="U370" i="1" s="1"/>
  <c r="W370" i="1" s="1"/>
  <c r="Z370" i="1" s="1"/>
  <c r="R352" i="1"/>
  <c r="U352" i="1" s="1"/>
  <c r="W352" i="1" s="1"/>
  <c r="Z352" i="1" s="1"/>
  <c r="R49" i="1"/>
  <c r="T239" i="1"/>
  <c r="R247" i="1"/>
  <c r="U247" i="1" s="1"/>
  <c r="W247" i="1" s="1"/>
  <c r="Z247" i="1" s="1"/>
  <c r="R279" i="1"/>
  <c r="U279" i="1" s="1"/>
  <c r="W279" i="1" s="1"/>
  <c r="Z279" i="1" s="1"/>
  <c r="R198" i="1"/>
  <c r="U198" i="1" s="1"/>
  <c r="W198" i="1" s="1"/>
  <c r="Z198" i="1" s="1"/>
  <c r="R366" i="1"/>
  <c r="R367" i="1"/>
  <c r="U367" i="1" s="1"/>
  <c r="W367" i="1" s="1"/>
  <c r="Z367" i="1" s="1"/>
  <c r="R374" i="1"/>
  <c r="U374" i="1" s="1"/>
  <c r="W374" i="1" s="1"/>
  <c r="Z374" i="1" s="1"/>
  <c r="R47" i="1"/>
  <c r="U47" i="1" s="1"/>
  <c r="W47" i="1" s="1"/>
  <c r="Z47" i="1" s="1"/>
  <c r="R48" i="1"/>
  <c r="U48" i="1" s="1"/>
  <c r="W48" i="1" s="1"/>
  <c r="Z48" i="1" s="1"/>
  <c r="R233" i="1"/>
  <c r="U233" i="1" s="1"/>
  <c r="W233" i="1" s="1"/>
  <c r="Z233" i="1" s="1"/>
  <c r="U359" i="1"/>
  <c r="W359" i="1" s="1"/>
  <c r="Z359" i="1" s="1"/>
  <c r="R61" i="1"/>
  <c r="U61" i="1" s="1"/>
  <c r="W61" i="1" s="1"/>
  <c r="Z61" i="1" s="1"/>
  <c r="U162" i="1"/>
  <c r="W162" i="1" s="1"/>
  <c r="Z162" i="1" s="1"/>
  <c r="U304" i="1"/>
  <c r="W304" i="1" s="1"/>
  <c r="Z304" i="1" s="1"/>
  <c r="R210" i="1"/>
  <c r="U210" i="1" s="1"/>
  <c r="W210" i="1" s="1"/>
  <c r="Z210" i="1" s="1"/>
  <c r="R358" i="1"/>
  <c r="U358" i="1" s="1"/>
  <c r="W358" i="1" s="1"/>
  <c r="Z358" i="1" s="1"/>
  <c r="T53" i="1"/>
  <c r="R213" i="1"/>
  <c r="U213" i="1" s="1"/>
  <c r="W213" i="1" s="1"/>
  <c r="Z213" i="1" s="1"/>
  <c r="R348" i="1"/>
  <c r="U348" i="1" s="1"/>
  <c r="W348" i="1" s="1"/>
  <c r="Z348" i="1" s="1"/>
  <c r="R243" i="1"/>
  <c r="R44" i="1"/>
  <c r="U44" i="1" s="1"/>
  <c r="W44" i="1" s="1"/>
  <c r="Z44" i="1" s="1"/>
  <c r="R56" i="1"/>
  <c r="U56" i="1" s="1"/>
  <c r="W56" i="1" s="1"/>
  <c r="Z56" i="1" s="1"/>
  <c r="R237" i="1"/>
  <c r="U237" i="1" s="1"/>
  <c r="W237" i="1" s="1"/>
  <c r="Z237" i="1" s="1"/>
  <c r="U292" i="1"/>
  <c r="W292" i="1" s="1"/>
  <c r="Z292" i="1" s="1"/>
  <c r="U296" i="1"/>
  <c r="W296" i="1" s="1"/>
  <c r="Z296" i="1" s="1"/>
  <c r="R334" i="1"/>
  <c r="U334" i="1" s="1"/>
  <c r="W334" i="1" s="1"/>
  <c r="Z334" i="1" s="1"/>
  <c r="R343" i="1"/>
  <c r="U343" i="1" s="1"/>
  <c r="W343" i="1" s="1"/>
  <c r="Z343" i="1" s="1"/>
  <c r="R144" i="1"/>
  <c r="U144" i="1" s="1"/>
  <c r="W144" i="1" s="1"/>
  <c r="Z144" i="1" s="1"/>
  <c r="R43" i="1"/>
  <c r="U43" i="1" s="1"/>
  <c r="W43" i="1" s="1"/>
  <c r="Z43" i="1" s="1"/>
  <c r="R55" i="1"/>
  <c r="U55" i="1" s="1"/>
  <c r="W55" i="1" s="1"/>
  <c r="Z55" i="1" s="1"/>
  <c r="R235" i="1"/>
  <c r="U235" i="1" s="1"/>
  <c r="W235" i="1" s="1"/>
  <c r="Z235" i="1" s="1"/>
  <c r="R238" i="1"/>
  <c r="U238" i="1" s="1"/>
  <c r="W238" i="1" s="1"/>
  <c r="Z238" i="1" s="1"/>
  <c r="R253" i="1"/>
  <c r="U253" i="1" s="1"/>
  <c r="W253" i="1" s="1"/>
  <c r="Z253" i="1" s="1"/>
  <c r="U314" i="1"/>
  <c r="W314" i="1" s="1"/>
  <c r="Z314" i="1" s="1"/>
  <c r="R214" i="1"/>
  <c r="U214" i="1" s="1"/>
  <c r="W214" i="1" s="1"/>
  <c r="Z214" i="1" s="1"/>
  <c r="R363" i="1"/>
  <c r="U154" i="1"/>
  <c r="W154" i="1" s="1"/>
  <c r="Z154" i="1" s="1"/>
  <c r="U172" i="1"/>
  <c r="W172" i="1" s="1"/>
  <c r="Z172" i="1" s="1"/>
  <c r="U302" i="1"/>
  <c r="W302" i="1" s="1"/>
  <c r="Z302" i="1" s="1"/>
  <c r="R202" i="1"/>
  <c r="R209" i="1"/>
  <c r="U209" i="1" s="1"/>
  <c r="W209" i="1" s="1"/>
  <c r="Z209" i="1" s="1"/>
  <c r="T49" i="1"/>
  <c r="R240" i="1"/>
  <c r="U240" i="1" s="1"/>
  <c r="W240" i="1" s="1"/>
  <c r="Z240" i="1" s="1"/>
  <c r="R242" i="1"/>
  <c r="U242" i="1" s="1"/>
  <c r="W242" i="1" s="1"/>
  <c r="Z242" i="1" s="1"/>
  <c r="R265" i="1"/>
  <c r="U265" i="1" s="1"/>
  <c r="W265" i="1" s="1"/>
  <c r="Z265" i="1" s="1"/>
  <c r="R270" i="1"/>
  <c r="U270" i="1" s="1"/>
  <c r="W270" i="1" s="1"/>
  <c r="Z270" i="1" s="1"/>
  <c r="R204" i="1"/>
  <c r="T366" i="1"/>
  <c r="R254" i="1"/>
  <c r="U254" i="1" s="1"/>
  <c r="W254" i="1" s="1"/>
  <c r="Z254" i="1" s="1"/>
  <c r="T303" i="1"/>
  <c r="U303" i="1" s="1"/>
  <c r="W303" i="1" s="1"/>
  <c r="Z303" i="1" s="1"/>
  <c r="T199" i="1"/>
  <c r="R333" i="1"/>
  <c r="U333" i="1" s="1"/>
  <c r="W333" i="1" s="1"/>
  <c r="Z333" i="1" s="1"/>
  <c r="U132" i="1"/>
  <c r="W132" i="1" s="1"/>
  <c r="Z132" i="1" s="1"/>
  <c r="T204" i="1"/>
  <c r="U300" i="1"/>
  <c r="W300" i="1" s="1"/>
  <c r="Z300" i="1" s="1"/>
  <c r="R201" i="1"/>
  <c r="U201" i="1" s="1"/>
  <c r="W201" i="1" s="1"/>
  <c r="Z201" i="1" s="1"/>
  <c r="R41" i="1"/>
  <c r="U41" i="1" s="1"/>
  <c r="W41" i="1" s="1"/>
  <c r="Z41" i="1" s="1"/>
  <c r="T79" i="1"/>
  <c r="U79" i="1" s="1"/>
  <c r="W79" i="1" s="1"/>
  <c r="Z79" i="1" s="1"/>
  <c r="R52" i="1"/>
  <c r="U52" i="1" s="1"/>
  <c r="W52" i="1" s="1"/>
  <c r="Z52" i="1" s="1"/>
  <c r="T83" i="1"/>
  <c r="U83" i="1" s="1"/>
  <c r="W83" i="1" s="1"/>
  <c r="Z83" i="1" s="1"/>
  <c r="R239" i="1"/>
  <c r="U313" i="1"/>
  <c r="W313" i="1" s="1"/>
  <c r="Z313" i="1" s="1"/>
  <c r="U295" i="1"/>
  <c r="W295" i="1" s="1"/>
  <c r="Z295" i="1" s="1"/>
  <c r="T169" i="1"/>
  <c r="U169" i="1" s="1"/>
  <c r="W169" i="1" s="1"/>
  <c r="Z169" i="1" s="1"/>
  <c r="R64" i="1"/>
  <c r="U64" i="1" s="1"/>
  <c r="W64" i="1" s="1"/>
  <c r="Z64" i="1" s="1"/>
  <c r="R63" i="1"/>
  <c r="U63" i="1" s="1"/>
  <c r="W63" i="1" s="1"/>
  <c r="Z63" i="1" s="1"/>
  <c r="U281" i="1"/>
  <c r="W281" i="1" s="1"/>
  <c r="Z281" i="1" s="1"/>
  <c r="T200" i="1"/>
  <c r="R51" i="1"/>
  <c r="U51" i="1" s="1"/>
  <c r="W51" i="1" s="1"/>
  <c r="Z51" i="1" s="1"/>
  <c r="R53" i="1"/>
  <c r="R42" i="1"/>
  <c r="U42" i="1" s="1"/>
  <c r="W42" i="1" s="1"/>
  <c r="Z42" i="1" s="1"/>
  <c r="R54" i="1"/>
  <c r="U54" i="1" s="1"/>
  <c r="W54" i="1" s="1"/>
  <c r="Z54" i="1" s="1"/>
  <c r="U151" i="1"/>
  <c r="W151" i="1" s="1"/>
  <c r="Z151" i="1" s="1"/>
  <c r="R245" i="1"/>
  <c r="U245" i="1" s="1"/>
  <c r="W245" i="1" s="1"/>
  <c r="Z245" i="1" s="1"/>
  <c r="R274" i="1"/>
  <c r="U274" i="1" s="1"/>
  <c r="W274" i="1" s="1"/>
  <c r="Z274" i="1" s="1"/>
  <c r="R284" i="1"/>
  <c r="U284" i="1" s="1"/>
  <c r="W284" i="1" s="1"/>
  <c r="Z284" i="1" s="1"/>
  <c r="T299" i="1"/>
  <c r="U299" i="1" s="1"/>
  <c r="W299" i="1" s="1"/>
  <c r="Z299" i="1" s="1"/>
  <c r="U310" i="1"/>
  <c r="W310" i="1" s="1"/>
  <c r="Z310" i="1" s="1"/>
  <c r="R357" i="1"/>
  <c r="U357" i="1" s="1"/>
  <c r="W357" i="1" s="1"/>
  <c r="Z357" i="1" s="1"/>
  <c r="R351" i="1"/>
  <c r="U351" i="1" s="1"/>
  <c r="W351" i="1" s="1"/>
  <c r="Z351" i="1" s="1"/>
  <c r="T363" i="1"/>
  <c r="U309" i="1"/>
  <c r="W309" i="1" s="1"/>
  <c r="Z309" i="1" s="1"/>
  <c r="U106" i="1"/>
  <c r="W106" i="1" s="1"/>
  <c r="Z106" i="1" s="1"/>
  <c r="R277" i="1"/>
  <c r="U277" i="1" s="1"/>
  <c r="W277" i="1" s="1"/>
  <c r="Z277" i="1" s="1"/>
  <c r="R282" i="1"/>
  <c r="U282" i="1" s="1"/>
  <c r="W282" i="1" s="1"/>
  <c r="Z282" i="1" s="1"/>
  <c r="U166" i="1"/>
  <c r="W166" i="1" s="1"/>
  <c r="Z166" i="1" s="1"/>
  <c r="T113" i="1"/>
  <c r="U113" i="1" s="1"/>
  <c r="W113" i="1" s="1"/>
  <c r="Z113" i="1" s="1"/>
  <c r="R250" i="1"/>
  <c r="U250" i="1" s="1"/>
  <c r="W250" i="1" s="1"/>
  <c r="Z250" i="1" s="1"/>
  <c r="R261" i="1"/>
  <c r="U261" i="1" s="1"/>
  <c r="W261" i="1" s="1"/>
  <c r="Z261" i="1" s="1"/>
  <c r="R266" i="1"/>
  <c r="U266" i="1" s="1"/>
  <c r="W266" i="1" s="1"/>
  <c r="Z266" i="1" s="1"/>
  <c r="R271" i="1"/>
  <c r="U271" i="1" s="1"/>
  <c r="W271" i="1" s="1"/>
  <c r="Z271" i="1" s="1"/>
  <c r="R280" i="1"/>
  <c r="U280" i="1" s="1"/>
  <c r="W280" i="1" s="1"/>
  <c r="Z280" i="1" s="1"/>
  <c r="U291" i="1"/>
  <c r="W291" i="1" s="1"/>
  <c r="Z291" i="1" s="1"/>
  <c r="U305" i="1"/>
  <c r="W305" i="1" s="1"/>
  <c r="Z305" i="1" s="1"/>
  <c r="U308" i="1"/>
  <c r="W308" i="1" s="1"/>
  <c r="Z308" i="1" s="1"/>
  <c r="R194" i="1"/>
  <c r="U194" i="1" s="1"/>
  <c r="W194" i="1" s="1"/>
  <c r="Z194" i="1" s="1"/>
  <c r="R360" i="1"/>
  <c r="U360" i="1" s="1"/>
  <c r="W360" i="1" s="1"/>
  <c r="Z360" i="1" s="1"/>
  <c r="R231" i="1"/>
  <c r="U231" i="1" s="1"/>
  <c r="W231" i="1" s="1"/>
  <c r="Z231" i="1" s="1"/>
  <c r="R236" i="1"/>
  <c r="U236" i="1" s="1"/>
  <c r="W236" i="1" s="1"/>
  <c r="Z236" i="1" s="1"/>
  <c r="R269" i="1"/>
  <c r="U269" i="1" s="1"/>
  <c r="W269" i="1" s="1"/>
  <c r="Z269" i="1" s="1"/>
  <c r="R278" i="1"/>
  <c r="U278" i="1" s="1"/>
  <c r="W278" i="1" s="1"/>
  <c r="Z278" i="1" s="1"/>
  <c r="U311" i="1"/>
  <c r="W311" i="1" s="1"/>
  <c r="Z311" i="1" s="1"/>
  <c r="R211" i="1"/>
  <c r="U211" i="1" s="1"/>
  <c r="W211" i="1" s="1"/>
  <c r="Z211" i="1" s="1"/>
  <c r="R369" i="1"/>
  <c r="U369" i="1" s="1"/>
  <c r="W369" i="1" s="1"/>
  <c r="Z369" i="1" s="1"/>
  <c r="R283" i="1"/>
  <c r="U283" i="1" s="1"/>
  <c r="W283" i="1" s="1"/>
  <c r="Z283" i="1" s="1"/>
  <c r="R262" i="1"/>
  <c r="U262" i="1" s="1"/>
  <c r="W262" i="1" s="1"/>
  <c r="Z262" i="1" s="1"/>
  <c r="R267" i="1"/>
  <c r="U267" i="1" s="1"/>
  <c r="W267" i="1" s="1"/>
  <c r="Z267" i="1" s="1"/>
  <c r="R195" i="1"/>
  <c r="U195" i="1" s="1"/>
  <c r="W195" i="1" s="1"/>
  <c r="Z195" i="1" s="1"/>
  <c r="R234" i="1"/>
  <c r="U234" i="1" s="1"/>
  <c r="W234" i="1" s="1"/>
  <c r="Z234" i="1" s="1"/>
  <c r="T243" i="1"/>
  <c r="R251" i="1"/>
  <c r="U251" i="1" s="1"/>
  <c r="W251" i="1" s="1"/>
  <c r="Z251" i="1" s="1"/>
  <c r="U312" i="1"/>
  <c r="W312" i="1" s="1"/>
  <c r="Z312" i="1" s="1"/>
  <c r="R207" i="1"/>
  <c r="U207" i="1" s="1"/>
  <c r="W207" i="1" s="1"/>
  <c r="Z207" i="1" s="1"/>
  <c r="R212" i="1"/>
  <c r="U212" i="1" s="1"/>
  <c r="W212" i="1" s="1"/>
  <c r="Z212" i="1" s="1"/>
  <c r="R191" i="1"/>
  <c r="U191" i="1" s="1"/>
  <c r="W191" i="1" s="1"/>
  <c r="Z191" i="1" s="1"/>
  <c r="U72" i="1"/>
  <c r="W72" i="1" s="1"/>
  <c r="Z72" i="1" s="1"/>
  <c r="R203" i="1"/>
  <c r="R59" i="1"/>
  <c r="U59" i="1" s="1"/>
  <c r="W59" i="1" s="1"/>
  <c r="Z59" i="1" s="1"/>
  <c r="R249" i="1"/>
  <c r="U249" i="1" s="1"/>
  <c r="W249" i="1" s="1"/>
  <c r="Z249" i="1" s="1"/>
  <c r="R263" i="1"/>
  <c r="U263" i="1" s="1"/>
  <c r="W263" i="1" s="1"/>
  <c r="Z263" i="1" s="1"/>
  <c r="R268" i="1"/>
  <c r="U268" i="1" s="1"/>
  <c r="W268" i="1" s="1"/>
  <c r="Z268" i="1" s="1"/>
  <c r="T273" i="1"/>
  <c r="R275" i="1"/>
  <c r="U275" i="1" s="1"/>
  <c r="W275" i="1" s="1"/>
  <c r="Z275" i="1" s="1"/>
  <c r="R196" i="1"/>
  <c r="U196" i="1" s="1"/>
  <c r="W196" i="1" s="1"/>
  <c r="Z196" i="1" s="1"/>
  <c r="R345" i="1"/>
  <c r="U345" i="1" s="1"/>
  <c r="W345" i="1" s="1"/>
  <c r="Z345" i="1" s="1"/>
  <c r="T203" i="1"/>
  <c r="U306" i="1"/>
  <c r="W306" i="1" s="1"/>
  <c r="Z306" i="1" s="1"/>
  <c r="U293" i="1"/>
  <c r="W293" i="1" s="1"/>
  <c r="Z293" i="1" s="1"/>
  <c r="U297" i="1"/>
  <c r="W297" i="1" s="1"/>
  <c r="Z297" i="1" s="1"/>
  <c r="U301" i="1"/>
  <c r="W301" i="1" s="1"/>
  <c r="Z301" i="1" s="1"/>
  <c r="U294" i="1"/>
  <c r="W294" i="1" s="1"/>
  <c r="Z294" i="1" s="1"/>
  <c r="U298" i="1"/>
  <c r="W298" i="1" s="1"/>
  <c r="Z298" i="1" s="1"/>
  <c r="R167" i="1"/>
  <c r="U167" i="1" s="1"/>
  <c r="W167" i="1" s="1"/>
  <c r="Z167" i="1" s="1"/>
  <c r="R120" i="1"/>
  <c r="U120" i="1" s="1"/>
  <c r="W120" i="1" s="1"/>
  <c r="Z120" i="1" s="1"/>
  <c r="U182" i="1"/>
  <c r="W182" i="1" s="1"/>
  <c r="Z182" i="1" s="1"/>
  <c r="U174" i="1"/>
  <c r="W174" i="1" s="1"/>
  <c r="Z174" i="1" s="1"/>
  <c r="U171" i="1"/>
  <c r="W171" i="1" s="1"/>
  <c r="Z171" i="1" s="1"/>
  <c r="U170" i="1"/>
  <c r="W170" i="1" s="1"/>
  <c r="Z170" i="1" s="1"/>
  <c r="U163" i="1"/>
  <c r="W163" i="1" s="1"/>
  <c r="Z163" i="1" s="1"/>
  <c r="U161" i="1"/>
  <c r="W161" i="1" s="1"/>
  <c r="Z161" i="1" s="1"/>
  <c r="U145" i="1"/>
  <c r="W145" i="1" s="1"/>
  <c r="Z145" i="1" s="1"/>
  <c r="U142" i="1"/>
  <c r="W142" i="1" s="1"/>
  <c r="Z142" i="1" s="1"/>
  <c r="U141" i="1"/>
  <c r="W141" i="1" s="1"/>
  <c r="Z141" i="1" s="1"/>
  <c r="U140" i="1"/>
  <c r="W140" i="1" s="1"/>
  <c r="Z140" i="1" s="1"/>
  <c r="U138" i="1"/>
  <c r="W138" i="1" s="1"/>
  <c r="Z138" i="1" s="1"/>
  <c r="U134" i="1"/>
  <c r="W134" i="1" s="1"/>
  <c r="Z134" i="1" s="1"/>
  <c r="U131" i="1"/>
  <c r="W131" i="1" s="1"/>
  <c r="Z131" i="1" s="1"/>
  <c r="U124" i="1"/>
  <c r="W124" i="1" s="1"/>
  <c r="Z124" i="1" s="1"/>
  <c r="U122" i="1"/>
  <c r="W122" i="1" s="1"/>
  <c r="Z122" i="1" s="1"/>
  <c r="U121" i="1"/>
  <c r="W121" i="1" s="1"/>
  <c r="Z121" i="1" s="1"/>
  <c r="U116" i="1"/>
  <c r="W116" i="1" s="1"/>
  <c r="Z116" i="1" s="1"/>
  <c r="U114" i="1"/>
  <c r="W114" i="1" s="1"/>
  <c r="Z114" i="1" s="1"/>
  <c r="U112" i="1"/>
  <c r="W112" i="1" s="1"/>
  <c r="Z112" i="1" s="1"/>
  <c r="U111" i="1"/>
  <c r="W111" i="1" s="1"/>
  <c r="Z111" i="1" s="1"/>
  <c r="U110" i="1"/>
  <c r="W110" i="1" s="1"/>
  <c r="Z110" i="1" s="1"/>
  <c r="U108" i="1"/>
  <c r="W108" i="1" s="1"/>
  <c r="Z108" i="1" s="1"/>
  <c r="U102" i="1"/>
  <c r="W102" i="1" s="1"/>
  <c r="Z102" i="1" s="1"/>
  <c r="U178" i="1"/>
  <c r="W178" i="1" s="1"/>
  <c r="Z178" i="1" s="1"/>
  <c r="U184" i="1"/>
  <c r="W184" i="1" s="1"/>
  <c r="Z184" i="1" s="1"/>
  <c r="U165" i="1"/>
  <c r="W165" i="1" s="1"/>
  <c r="Z165" i="1" s="1"/>
  <c r="U148" i="1"/>
  <c r="W148" i="1" s="1"/>
  <c r="Z148" i="1" s="1"/>
  <c r="U133" i="1"/>
  <c r="W133" i="1" s="1"/>
  <c r="Z133" i="1" s="1"/>
  <c r="U146" i="1"/>
  <c r="W146" i="1" s="1"/>
  <c r="Z146" i="1" s="1"/>
  <c r="U135" i="1"/>
  <c r="W135" i="1" s="1"/>
  <c r="Z135" i="1" s="1"/>
  <c r="U147" i="1"/>
  <c r="W147" i="1" s="1"/>
  <c r="Z147" i="1" s="1"/>
  <c r="U152" i="1"/>
  <c r="W152" i="1" s="1"/>
  <c r="Z152" i="1" s="1"/>
  <c r="U117" i="1"/>
  <c r="W117" i="1" s="1"/>
  <c r="Z117" i="1" s="1"/>
  <c r="U123" i="1"/>
  <c r="W123" i="1" s="1"/>
  <c r="Z123" i="1" s="1"/>
  <c r="U103" i="1"/>
  <c r="W103" i="1" s="1"/>
  <c r="Z103" i="1" s="1"/>
  <c r="U118" i="1"/>
  <c r="W118" i="1" s="1"/>
  <c r="Z118" i="1" s="1"/>
  <c r="U105" i="1"/>
  <c r="W105" i="1" s="1"/>
  <c r="Z105" i="1" s="1"/>
  <c r="U104" i="1"/>
  <c r="W104" i="1" s="1"/>
  <c r="Z104" i="1" s="1"/>
  <c r="U119" i="1"/>
  <c r="W119" i="1" s="1"/>
  <c r="Z119" i="1" s="1"/>
  <c r="U93" i="1"/>
  <c r="W93" i="1" s="1"/>
  <c r="Z93" i="1" s="1"/>
  <c r="U92" i="1"/>
  <c r="W92" i="1" s="1"/>
  <c r="Z92" i="1" s="1"/>
  <c r="U91" i="1"/>
  <c r="W91" i="1" s="1"/>
  <c r="Z91" i="1" s="1"/>
  <c r="U90" i="1"/>
  <c r="W90" i="1" s="1"/>
  <c r="Z90" i="1" s="1"/>
  <c r="U84" i="1"/>
  <c r="W84" i="1" s="1"/>
  <c r="Z84" i="1" s="1"/>
  <c r="U82" i="1"/>
  <c r="W82" i="1" s="1"/>
  <c r="Z82" i="1" s="1"/>
  <c r="U80" i="1"/>
  <c r="W80" i="1" s="1"/>
  <c r="Z80" i="1" s="1"/>
  <c r="U78" i="1"/>
  <c r="W78" i="1" s="1"/>
  <c r="Z78" i="1" s="1"/>
  <c r="U77" i="1"/>
  <c r="W77" i="1" s="1"/>
  <c r="Z77" i="1" s="1"/>
  <c r="U71" i="1"/>
  <c r="W71" i="1" s="1"/>
  <c r="Z71" i="1" s="1"/>
  <c r="U88" i="1"/>
  <c r="W88" i="1" s="1"/>
  <c r="Z88" i="1" s="1"/>
  <c r="U74" i="1"/>
  <c r="W74" i="1" s="1"/>
  <c r="Z74" i="1" s="1"/>
  <c r="U86" i="1"/>
  <c r="W86" i="1" s="1"/>
  <c r="Z86" i="1" s="1"/>
  <c r="U73" i="1"/>
  <c r="W73" i="1" s="1"/>
  <c r="Z73" i="1" s="1"/>
  <c r="U85" i="1"/>
  <c r="W85" i="1" s="1"/>
  <c r="Z85" i="1" s="1"/>
  <c r="U75" i="1"/>
  <c r="W75" i="1" s="1"/>
  <c r="Z75" i="1" s="1"/>
  <c r="U94" i="1"/>
  <c r="W94" i="1" s="1"/>
  <c r="Z94" i="1" s="1"/>
  <c r="U87" i="1"/>
  <c r="W87" i="1" s="1"/>
  <c r="Z87" i="1" s="1"/>
  <c r="R60" i="1"/>
  <c r="U60" i="1" s="1"/>
  <c r="W60" i="1" s="1"/>
  <c r="Z60" i="1" s="1"/>
  <c r="N34" i="1"/>
  <c r="O34" i="1" s="1"/>
  <c r="R34" i="1" s="1"/>
  <c r="N33" i="1"/>
  <c r="O33" i="1" s="1"/>
  <c r="R33" i="1" s="1"/>
  <c r="N32" i="1"/>
  <c r="O32" i="1" s="1"/>
  <c r="N30" i="1"/>
  <c r="O30" i="1" s="1"/>
  <c r="R30" i="1" s="1"/>
  <c r="N29" i="1"/>
  <c r="O29" i="1" s="1"/>
  <c r="R29" i="1" s="1"/>
  <c r="N28" i="1"/>
  <c r="O28" i="1" s="1"/>
  <c r="R28" i="1" s="1"/>
  <c r="N26" i="1"/>
  <c r="O26" i="1" s="1"/>
  <c r="R26" i="1" s="1"/>
  <c r="N25" i="1"/>
  <c r="O25" i="1" s="1"/>
  <c r="R25" i="1" s="1"/>
  <c r="N24" i="1"/>
  <c r="O24" i="1" s="1"/>
  <c r="R24" i="1" s="1"/>
  <c r="N23" i="1"/>
  <c r="O23" i="1" s="1"/>
  <c r="R23" i="1" s="1"/>
  <c r="N22" i="1"/>
  <c r="O22" i="1" s="1"/>
  <c r="R22" i="1" s="1"/>
  <c r="N21" i="1"/>
  <c r="O21" i="1" s="1"/>
  <c r="N20" i="1"/>
  <c r="O20" i="1" s="1"/>
  <c r="R20" i="1" s="1"/>
  <c r="N18" i="1"/>
  <c r="O18" i="1" s="1"/>
  <c r="R18" i="1" s="1"/>
  <c r="N17" i="1"/>
  <c r="O17" i="1" s="1"/>
  <c r="R17" i="1" s="1"/>
  <c r="N16" i="1"/>
  <c r="O16" i="1" s="1"/>
  <c r="R16" i="1" s="1"/>
  <c r="N14" i="1"/>
  <c r="O14" i="1" s="1"/>
  <c r="R14" i="1" s="1"/>
  <c r="N13" i="1"/>
  <c r="O13" i="1" s="1"/>
  <c r="R13" i="1" s="1"/>
  <c r="N12" i="1"/>
  <c r="O12" i="1" s="1"/>
  <c r="R12" i="1" s="1"/>
  <c r="N31" i="1"/>
  <c r="O31" i="1" s="1"/>
  <c r="R31" i="1" s="1"/>
  <c r="N27" i="1"/>
  <c r="O27" i="1" s="1"/>
  <c r="R27" i="1" s="1"/>
  <c r="N19" i="1"/>
  <c r="O19" i="1" s="1"/>
  <c r="R19" i="1" s="1"/>
  <c r="N15" i="1"/>
  <c r="O15" i="1" s="1"/>
  <c r="R15" i="1" s="1"/>
  <c r="N11" i="1"/>
  <c r="L34" i="1"/>
  <c r="S34" i="1" s="1"/>
  <c r="L33" i="1"/>
  <c r="S33" i="1" s="1"/>
  <c r="L32" i="1"/>
  <c r="S32" i="1" s="1"/>
  <c r="L31" i="1"/>
  <c r="S31" i="1" s="1"/>
  <c r="L30" i="1"/>
  <c r="S30" i="1" s="1"/>
  <c r="L29" i="1"/>
  <c r="S29" i="1" s="1"/>
  <c r="L28" i="1"/>
  <c r="S28" i="1" s="1"/>
  <c r="L27" i="1"/>
  <c r="S27" i="1" s="1"/>
  <c r="L26" i="1"/>
  <c r="S26" i="1" s="1"/>
  <c r="L25" i="1"/>
  <c r="S25" i="1" s="1"/>
  <c r="L24" i="1"/>
  <c r="S24" i="1" s="1"/>
  <c r="L23" i="1"/>
  <c r="S23" i="1" s="1"/>
  <c r="L22" i="1"/>
  <c r="S22" i="1" s="1"/>
  <c r="L21" i="1"/>
  <c r="S21" i="1" s="1"/>
  <c r="L20" i="1"/>
  <c r="S20" i="1" s="1"/>
  <c r="L19" i="1"/>
  <c r="S19" i="1" s="1"/>
  <c r="L18" i="1"/>
  <c r="S18" i="1" s="1"/>
  <c r="L17" i="1"/>
  <c r="S17" i="1" s="1"/>
  <c r="L16" i="1"/>
  <c r="S16" i="1" s="1"/>
  <c r="S15" i="1"/>
  <c r="L14" i="1"/>
  <c r="S14" i="1" s="1"/>
  <c r="L13" i="1"/>
  <c r="S13" i="1" s="1"/>
  <c r="L12" i="1"/>
  <c r="S12" i="1" s="1"/>
  <c r="L11" i="1"/>
  <c r="S11" i="1" s="1"/>
  <c r="J23" i="1"/>
  <c r="T23" i="1" s="1"/>
  <c r="J19" i="1"/>
  <c r="T19" i="1" s="1"/>
  <c r="AA343" i="1" l="1"/>
  <c r="U199" i="1"/>
  <c r="W199" i="1" s="1"/>
  <c r="Z199" i="1" s="1"/>
  <c r="U273" i="1"/>
  <c r="W273" i="1" s="1"/>
  <c r="Z273" i="1" s="1"/>
  <c r="AA261" i="1" s="1"/>
  <c r="U202" i="1"/>
  <c r="W202" i="1" s="1"/>
  <c r="Z202" i="1" s="1"/>
  <c r="U366" i="1"/>
  <c r="W366" i="1" s="1"/>
  <c r="Z366" i="1" s="1"/>
  <c r="U200" i="1"/>
  <c r="W200" i="1" s="1"/>
  <c r="Z200" i="1" s="1"/>
  <c r="U143" i="1"/>
  <c r="W143" i="1" s="1"/>
  <c r="Z143" i="1" s="1"/>
  <c r="U365" i="1"/>
  <c r="W365" i="1" s="1"/>
  <c r="Z365" i="1" s="1"/>
  <c r="U49" i="1"/>
  <c r="W49" i="1" s="1"/>
  <c r="Z49" i="1" s="1"/>
  <c r="U364" i="1"/>
  <c r="W364" i="1" s="1"/>
  <c r="Z364" i="1" s="1"/>
  <c r="U53" i="1"/>
  <c r="W53" i="1" s="1"/>
  <c r="Z53" i="1" s="1"/>
  <c r="U239" i="1"/>
  <c r="W239" i="1" s="1"/>
  <c r="Z239" i="1" s="1"/>
  <c r="U204" i="1"/>
  <c r="W204" i="1" s="1"/>
  <c r="Z204" i="1" s="1"/>
  <c r="U203" i="1"/>
  <c r="W203" i="1" s="1"/>
  <c r="Z203" i="1" s="1"/>
  <c r="U243" i="1"/>
  <c r="W243" i="1" s="1"/>
  <c r="Z243" i="1" s="1"/>
  <c r="W342" i="1"/>
  <c r="Z342" i="1" s="1"/>
  <c r="AA334" i="1" s="1"/>
  <c r="U363" i="1"/>
  <c r="W363" i="1" s="1"/>
  <c r="Z363" i="1" s="1"/>
  <c r="AA291" i="1"/>
  <c r="R21" i="1"/>
  <c r="U21" i="1" s="1"/>
  <c r="W21" i="1" s="1"/>
  <c r="Z21" i="1" s="1"/>
  <c r="R32" i="1"/>
  <c r="U32" i="1" s="1"/>
  <c r="W32" i="1" s="1"/>
  <c r="Z32" i="1" s="1"/>
  <c r="AA161" i="1"/>
  <c r="AA131" i="1"/>
  <c r="AA101" i="1"/>
  <c r="AA71" i="1"/>
  <c r="U31" i="1"/>
  <c r="W31" i="1" s="1"/>
  <c r="Z31" i="1" s="1"/>
  <c r="U29" i="1"/>
  <c r="W29" i="1" s="1"/>
  <c r="Z29" i="1" s="1"/>
  <c r="U30" i="1"/>
  <c r="W30" i="1" s="1"/>
  <c r="Z30" i="1" s="1"/>
  <c r="U16" i="1"/>
  <c r="W16" i="1" s="1"/>
  <c r="Z16" i="1" s="1"/>
  <c r="U33" i="1"/>
  <c r="W33" i="1" s="1"/>
  <c r="Z33" i="1" s="1"/>
  <c r="U15" i="1"/>
  <c r="W15" i="1" s="1"/>
  <c r="Z15" i="1" s="1"/>
  <c r="U22" i="1"/>
  <c r="W22" i="1" s="1"/>
  <c r="Z22" i="1" s="1"/>
  <c r="U18" i="1"/>
  <c r="W18" i="1" s="1"/>
  <c r="Z18" i="1" s="1"/>
  <c r="U17" i="1"/>
  <c r="W17" i="1" s="1"/>
  <c r="Z17" i="1" s="1"/>
  <c r="U34" i="1"/>
  <c r="W34" i="1" s="1"/>
  <c r="Z34" i="1" s="1"/>
  <c r="U27" i="1"/>
  <c r="W27" i="1" s="1"/>
  <c r="Z27" i="1" s="1"/>
  <c r="U20" i="1"/>
  <c r="W20" i="1" s="1"/>
  <c r="Z20" i="1" s="1"/>
  <c r="U24" i="1"/>
  <c r="W24" i="1" s="1"/>
  <c r="Z24" i="1" s="1"/>
  <c r="U25" i="1"/>
  <c r="W25" i="1" s="1"/>
  <c r="Z25" i="1" s="1"/>
  <c r="U26" i="1"/>
  <c r="W26" i="1" s="1"/>
  <c r="Z26" i="1" s="1"/>
  <c r="U13" i="1"/>
  <c r="W13" i="1" s="1"/>
  <c r="Z13" i="1" s="1"/>
  <c r="U19" i="1"/>
  <c r="W19" i="1" s="1"/>
  <c r="Z19" i="1" s="1"/>
  <c r="U12" i="1"/>
  <c r="W12" i="1" s="1"/>
  <c r="Z12" i="1" s="1"/>
  <c r="U28" i="1"/>
  <c r="W28" i="1" s="1"/>
  <c r="Z28" i="1" s="1"/>
  <c r="U14" i="1"/>
  <c r="W14" i="1" s="1"/>
  <c r="Z14" i="1" s="1"/>
  <c r="U23" i="1"/>
  <c r="W23" i="1" s="1"/>
  <c r="Z23" i="1" s="1"/>
  <c r="O11" i="1"/>
  <c r="R11" i="1" s="1"/>
  <c r="AA331" i="1" l="1"/>
  <c r="AA41" i="1"/>
  <c r="AA191" i="1"/>
  <c r="AA231" i="1"/>
  <c r="U11" i="1"/>
  <c r="W11" i="1" s="1"/>
  <c r="Z11" i="1" s="1"/>
  <c r="AA11" i="1" s="1"/>
</calcChain>
</file>

<file path=xl/sharedStrings.xml><?xml version="1.0" encoding="utf-8"?>
<sst xmlns="http://schemas.openxmlformats.org/spreadsheetml/2006/main" count="641" uniqueCount="127">
  <si>
    <t>(LRjk=3,4 * min( LMRjk=3,4  100)) / 100</t>
  </si>
  <si>
    <t>(0.795 * DMDjk) - 0.0014</t>
  </si>
  <si>
    <t>(104.7 * qmjk + 0.307 * Wjk- 15) * Wjk * 10^-3</t>
  </si>
  <si>
    <t>1 - e ^ -2( DMAjk ) ^ 2</t>
  </si>
  <si>
    <t>(LEjk=3,4 * FAk=3,4) + (1 - LEjk=3,4)</t>
  </si>
  <si>
    <t>PIjk * RIjk * MAjk=3,4</t>
  </si>
  <si>
    <t>(Ijk * 0.0188) + 0.00158</t>
  </si>
  <si>
    <t>SUM SUM (Njk * Mijk * Dj) * 10^-3</t>
  </si>
  <si>
    <t>342</t>
  </si>
  <si>
    <t>344</t>
  </si>
  <si>
    <t>321</t>
  </si>
  <si>
    <t>351</t>
  </si>
  <si>
    <t>349</t>
  </si>
  <si>
    <t>348</t>
  </si>
  <si>
    <t>302</t>
  </si>
  <si>
    <t>347</t>
  </si>
  <si>
    <t>296</t>
  </si>
  <si>
    <t>308</t>
  </si>
  <si>
    <t>314</t>
  </si>
  <si>
    <t>291</t>
  </si>
  <si>
    <t>341</t>
  </si>
  <si>
    <t>288</t>
  </si>
  <si>
    <t>346</t>
  </si>
  <si>
    <t>281</t>
  </si>
  <si>
    <t>input</t>
  </si>
  <si>
    <t>expression</t>
  </si>
  <si>
    <t>constant</t>
  </si>
  <si>
    <t/>
  </si>
  <si>
    <t>percent</t>
  </si>
  <si>
    <t>fraction</t>
  </si>
  <si>
    <t>t / ha</t>
  </si>
  <si>
    <t>d</t>
  </si>
  <si>
    <t>kg</t>
  </si>
  <si>
    <t>kg DM/head/day</t>
  </si>
  <si>
    <t>head</t>
  </si>
  <si>
    <t>kg CH4/head/day</t>
  </si>
  <si>
    <t>days</t>
  </si>
  <si>
    <t>t CH4</t>
  </si>
  <si>
    <t>Lamb rate of ewes and maidens</t>
  </si>
  <si>
    <t>Lamb marking rate per ewe mated</t>
  </si>
  <si>
    <t>Proportion of ewes and maidens lactating</t>
  </si>
  <si>
    <t>feed adjustment value</t>
  </si>
  <si>
    <t>Dry matter availability</t>
  </si>
  <si>
    <t>Dry matter digestibility</t>
  </si>
  <si>
    <t>metabolizability of the diet</t>
  </si>
  <si>
    <t>liveweight</t>
  </si>
  <si>
    <t>Potential intake</t>
  </si>
  <si>
    <t>Relative intake</t>
  </si>
  <si>
    <t>Additional intake for milk production</t>
  </si>
  <si>
    <t>Daily feed intake</t>
  </si>
  <si>
    <t>Number of sheep</t>
  </si>
  <si>
    <t>Daily methane production</t>
  </si>
  <si>
    <t>Days in each time period</t>
  </si>
  <si>
    <t>Total annual methane production</t>
  </si>
  <si>
    <t>LRjk=3,4</t>
  </si>
  <si>
    <t>LMRjk=3,4</t>
  </si>
  <si>
    <t>LEjk=3,4</t>
  </si>
  <si>
    <t>FAk=3,4</t>
  </si>
  <si>
    <t>DMAjk</t>
  </si>
  <si>
    <t>DMDjk</t>
  </si>
  <si>
    <t>qmjk</t>
  </si>
  <si>
    <t>Wjk</t>
  </si>
  <si>
    <t>PIjk</t>
  </si>
  <si>
    <t>RIjk</t>
  </si>
  <si>
    <t>MAjk=3,4</t>
  </si>
  <si>
    <t>Ijk</t>
  </si>
  <si>
    <t>Njk</t>
  </si>
  <si>
    <t>Mijk</t>
  </si>
  <si>
    <t>Dj</t>
  </si>
  <si>
    <t>Eenteric</t>
  </si>
  <si>
    <t>Scenario</t>
  </si>
  <si>
    <t>Class</t>
  </si>
  <si>
    <t>Rams</t>
  </si>
  <si>
    <t>Wethers</t>
  </si>
  <si>
    <t>Maiden ewes</t>
  </si>
  <si>
    <t>Breeding ewes</t>
  </si>
  <si>
    <t>Other ewes</t>
  </si>
  <si>
    <t>Lambs and hoggets</t>
  </si>
  <si>
    <t>Baseline</t>
  </si>
  <si>
    <t>Season</t>
  </si>
  <si>
    <t>Spring</t>
  </si>
  <si>
    <t>Summer</t>
  </si>
  <si>
    <t>Autumn</t>
  </si>
  <si>
    <t>Winter</t>
  </si>
  <si>
    <t>A.1.4.3</t>
  </si>
  <si>
    <t>ACT/NSW</t>
  </si>
  <si>
    <t>Queensland</t>
  </si>
  <si>
    <t>South Australia</t>
  </si>
  <si>
    <t>Tasmania</t>
  </si>
  <si>
    <t>Victoria</t>
  </si>
  <si>
    <t>Western Australia</t>
  </si>
  <si>
    <t>State</t>
  </si>
  <si>
    <t>A.1.4.2</t>
  </si>
  <si>
    <t>DMD</t>
  </si>
  <si>
    <t>A.1.4.1</t>
  </si>
  <si>
    <t>Custom Wjk</t>
  </si>
  <si>
    <t>Custom DMA</t>
  </si>
  <si>
    <t>Custom DMD</t>
  </si>
  <si>
    <t>QLD</t>
  </si>
  <si>
    <t>Baseline - QLD</t>
  </si>
  <si>
    <t>SA</t>
  </si>
  <si>
    <t>Baseline - SA</t>
  </si>
  <si>
    <t>TAS</t>
  </si>
  <si>
    <t>Baseline - TAS</t>
  </si>
  <si>
    <t>Baseline - VIC</t>
  </si>
  <si>
    <t>VIC</t>
  </si>
  <si>
    <t>WA</t>
  </si>
  <si>
    <t>Baseline - WA</t>
  </si>
  <si>
    <t>Method 2 - DMA</t>
  </si>
  <si>
    <t>Multiple lambing</t>
  </si>
  <si>
    <t>Monthly inputs</t>
  </si>
  <si>
    <t>Month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</si>
  <si>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</si>
  <si>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</si>
  <si>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</si>
  <si>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</si>
  <si>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</si>
  <si>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</si>
  <si>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</si>
  <si>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</si>
  <si>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</si>
  <si>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</si>
  <si>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</si>
  <si>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</si>
  <si>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Custom Dj</t>
  </si>
  <si>
    <t>ACT</t>
  </si>
  <si>
    <t>NSW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</si>
</sst>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K378"/>
  <sheetViews>
    <sheetView tabSelected="1" zoomScale="75" zoomScaleNormal="75" workbookViewId="0">
      <pane xSplit="5" ySplit="10" topLeftCell="F311" activePane="bottomRight" state="frozenSplit"/>
      <selection pane="topRight" activeCell="F1" sqref="F1"/>
      <selection pane="bottomLeft" activeCell="A32" sqref="A32"/>
      <selection pane="bottomRight" activeCell="A331" sqref="A331:AA378"/>
    </sheetView>
  </sheetViews>
  <sheetFormatPr baseColWidth="10" defaultRowHeight="16" x14ac:dyDescent="0.2"/>
  <cols>
    <col min="1" max="2" width="14.1640625" customWidth="1"/>
  </cols>
  <sheetData>
    <row r="2" spans="1:37" x14ac:dyDescent="0.2">
      <c r="I2" t="s">
        <v>0</v>
      </c>
      <c r="O2" t="s">
        <v>1</v>
      </c>
      <c r="R2" t="s">
        <v>2</v>
      </c>
      <c r="S2" t="s">
        <v>3</v>
      </c>
      <c r="T2" t="s">
        <v>4</v>
      </c>
      <c r="U2" t="s">
        <v>5</v>
      </c>
      <c r="W2" t="s">
        <v>6</v>
      </c>
      <c r="Z2" t="s">
        <v>7</v>
      </c>
    </row>
    <row r="3" spans="1:37" x14ac:dyDescent="0.2">
      <c r="G3" t="s">
        <v>8</v>
      </c>
      <c r="H3" t="s">
        <v>9</v>
      </c>
      <c r="I3" t="s">
        <v>10</v>
      </c>
      <c r="J3" t="s">
        <v>11</v>
      </c>
      <c r="L3" t="s">
        <v>12</v>
      </c>
      <c r="N3" t="s">
        <v>13</v>
      </c>
      <c r="O3" t="s">
        <v>14</v>
      </c>
      <c r="Q3" t="s">
        <v>15</v>
      </c>
      <c r="R3" t="s">
        <v>16</v>
      </c>
      <c r="S3" t="s">
        <v>17</v>
      </c>
      <c r="T3" t="s">
        <v>18</v>
      </c>
      <c r="U3" t="s">
        <v>19</v>
      </c>
      <c r="V3" t="s">
        <v>20</v>
      </c>
      <c r="W3" t="s">
        <v>21</v>
      </c>
      <c r="Y3" t="s">
        <v>22</v>
      </c>
      <c r="Z3" t="s">
        <v>23</v>
      </c>
      <c r="AD3">
        <v>351</v>
      </c>
      <c r="AE3" t="s">
        <v>57</v>
      </c>
      <c r="AF3">
        <v>1.3</v>
      </c>
    </row>
    <row r="4" spans="1:37" x14ac:dyDescent="0.2">
      <c r="G4" t="s">
        <v>24</v>
      </c>
      <c r="H4" t="s">
        <v>24</v>
      </c>
      <c r="I4" t="s">
        <v>25</v>
      </c>
      <c r="J4" t="s">
        <v>26</v>
      </c>
      <c r="L4" t="s">
        <v>26</v>
      </c>
      <c r="N4" t="s">
        <v>26</v>
      </c>
      <c r="O4" t="s">
        <v>25</v>
      </c>
      <c r="Q4" t="s">
        <v>26</v>
      </c>
      <c r="R4" t="s">
        <v>25</v>
      </c>
      <c r="S4" t="s">
        <v>25</v>
      </c>
      <c r="T4" t="s">
        <v>25</v>
      </c>
      <c r="U4" t="s">
        <v>25</v>
      </c>
      <c r="V4" t="s">
        <v>24</v>
      </c>
      <c r="W4" t="s">
        <v>25</v>
      </c>
      <c r="Y4" t="s">
        <v>26</v>
      </c>
      <c r="Z4" t="s">
        <v>25</v>
      </c>
      <c r="AD4">
        <v>346</v>
      </c>
      <c r="AE4" t="s">
        <v>68</v>
      </c>
      <c r="AF4">
        <v>91.25</v>
      </c>
    </row>
    <row r="5" spans="1:37" x14ac:dyDescent="0.2">
      <c r="G5" t="s">
        <v>27</v>
      </c>
      <c r="H5" t="s">
        <v>27</v>
      </c>
      <c r="I5" t="s">
        <v>27</v>
      </c>
      <c r="J5" t="s">
        <v>27</v>
      </c>
      <c r="L5" t="s">
        <v>24</v>
      </c>
      <c r="N5" t="s">
        <v>24</v>
      </c>
      <c r="O5" t="s">
        <v>27</v>
      </c>
      <c r="Q5" t="s">
        <v>24</v>
      </c>
      <c r="R5" t="s">
        <v>27</v>
      </c>
      <c r="S5" t="s">
        <v>27</v>
      </c>
      <c r="T5" t="s">
        <v>27</v>
      </c>
      <c r="U5" t="s">
        <v>27</v>
      </c>
      <c r="V5" t="s">
        <v>27</v>
      </c>
      <c r="W5" t="s">
        <v>27</v>
      </c>
      <c r="Y5" t="s">
        <v>24</v>
      </c>
      <c r="Z5" t="s">
        <v>27</v>
      </c>
    </row>
    <row r="8" spans="1:37" x14ac:dyDescent="0.2">
      <c r="G8" t="s">
        <v>28</v>
      </c>
      <c r="H8" t="s">
        <v>28</v>
      </c>
      <c r="I8" t="s">
        <v>29</v>
      </c>
      <c r="J8" t="s">
        <v>29</v>
      </c>
      <c r="L8" t="s">
        <v>30</v>
      </c>
      <c r="N8" t="s">
        <v>28</v>
      </c>
      <c r="O8" t="s">
        <v>31</v>
      </c>
      <c r="Q8" t="s">
        <v>32</v>
      </c>
      <c r="R8" t="s">
        <v>33</v>
      </c>
      <c r="S8" t="s">
        <v>31</v>
      </c>
      <c r="T8" t="s">
        <v>31</v>
      </c>
      <c r="U8" t="s">
        <v>33</v>
      </c>
      <c r="V8" t="s">
        <v>34</v>
      </c>
      <c r="W8" t="s">
        <v>35</v>
      </c>
      <c r="Y8" t="s">
        <v>36</v>
      </c>
      <c r="Z8" t="s">
        <v>37</v>
      </c>
      <c r="AA8" t="s">
        <v>37</v>
      </c>
    </row>
    <row r="9" spans="1:37" x14ac:dyDescent="0.2">
      <c r="G9" t="s">
        <v>38</v>
      </c>
      <c r="H9" t="s">
        <v>39</v>
      </c>
      <c r="I9" t="s">
        <v>40</v>
      </c>
      <c r="J9" t="s">
        <v>41</v>
      </c>
      <c r="L9" t="s">
        <v>42</v>
      </c>
      <c r="N9" t="s">
        <v>43</v>
      </c>
      <c r="O9" t="s">
        <v>44</v>
      </c>
      <c r="Q9" t="s">
        <v>45</v>
      </c>
      <c r="R9" t="s">
        <v>46</v>
      </c>
      <c r="S9" t="s">
        <v>47</v>
      </c>
      <c r="T9" t="s">
        <v>48</v>
      </c>
      <c r="U9" t="s">
        <v>49</v>
      </c>
      <c r="V9" t="s">
        <v>50</v>
      </c>
      <c r="W9" t="s">
        <v>51</v>
      </c>
      <c r="Y9" t="s">
        <v>52</v>
      </c>
      <c r="Z9" t="s">
        <v>53</v>
      </c>
    </row>
    <row r="10" spans="1:37" x14ac:dyDescent="0.2">
      <c r="A10" t="s">
        <v>70</v>
      </c>
      <c r="B10" t="s">
        <v>91</v>
      </c>
      <c r="C10" t="s">
        <v>91</v>
      </c>
      <c r="D10" t="s">
        <v>71</v>
      </c>
      <c r="E10" t="s">
        <v>79</v>
      </c>
      <c r="F10" t="s">
        <v>111</v>
      </c>
      <c r="G10" s="2" t="s">
        <v>54</v>
      </c>
      <c r="H10" s="2" t="s">
        <v>55</v>
      </c>
      <c r="I10" t="s">
        <v>56</v>
      </c>
      <c r="J10" t="s">
        <v>57</v>
      </c>
      <c r="K10" t="s">
        <v>96</v>
      </c>
      <c r="L10" t="s">
        <v>58</v>
      </c>
      <c r="M10" t="s">
        <v>97</v>
      </c>
      <c r="N10" t="s">
        <v>59</v>
      </c>
      <c r="O10" t="s">
        <v>60</v>
      </c>
      <c r="P10" t="s">
        <v>95</v>
      </c>
      <c r="Q10" t="s">
        <v>61</v>
      </c>
      <c r="R10" t="s">
        <v>62</v>
      </c>
      <c r="S10" t="s">
        <v>63</v>
      </c>
      <c r="T10" t="s">
        <v>64</v>
      </c>
      <c r="U10" t="s">
        <v>65</v>
      </c>
      <c r="V10" s="2" t="s">
        <v>66</v>
      </c>
      <c r="W10" t="s">
        <v>67</v>
      </c>
      <c r="X10" t="s">
        <v>124</v>
      </c>
      <c r="Y10" t="s">
        <v>68</v>
      </c>
      <c r="Z10" t="s">
        <v>69</v>
      </c>
      <c r="AA10" s="1" t="s">
        <v>69</v>
      </c>
    </row>
    <row r="11" spans="1:37" x14ac:dyDescent="0.2">
      <c r="A11" t="s">
        <v>78</v>
      </c>
      <c r="B11" t="s">
        <v>125</v>
      </c>
      <c r="C11" t="s">
        <v>85</v>
      </c>
      <c r="D11" t="s">
        <v>72</v>
      </c>
      <c r="E11" t="s">
        <v>80</v>
      </c>
      <c r="G11">
        <v>0</v>
      </c>
      <c r="H11">
        <v>0</v>
      </c>
      <c r="I11">
        <v>0</v>
      </c>
      <c r="L11">
        <f>$AF$17</f>
        <v>2.9</v>
      </c>
      <c r="N11">
        <f>$AF$45</f>
        <v>0.75</v>
      </c>
      <c r="O11">
        <f>(0.795 * N11) - 0.0014</f>
        <v>0.5948500000000001</v>
      </c>
      <c r="Q11">
        <f>$AF$72</f>
        <v>75</v>
      </c>
      <c r="R11">
        <f>(104.7 * O11 + 0.307 * Q11- 15) * POWER(Q11, 0.75) * 10^-3</f>
        <v>1.7917898456122741</v>
      </c>
      <c r="S11">
        <f>1-EXP(-2*POWER(L11,2))</f>
        <v>0.9999999504359468</v>
      </c>
      <c r="T11">
        <v>1</v>
      </c>
      <c r="U11">
        <f>R11 * S11 * T11</f>
        <v>1.7917897568039067</v>
      </c>
      <c r="V11">
        <v>50</v>
      </c>
      <c r="W11">
        <f>(U11 * 0.0188) + 0.00158</f>
        <v>3.5265647427913445E-2</v>
      </c>
      <c r="Y11">
        <f>$AF$4</f>
        <v>91.25</v>
      </c>
      <c r="Z11">
        <f>V11*W11*Y11</f>
        <v>160.89951638985508</v>
      </c>
      <c r="AA11">
        <f>SUM(Z11:Z34)*10^-3</f>
        <v>3.7707328300265006</v>
      </c>
    </row>
    <row r="12" spans="1:37" x14ac:dyDescent="0.2">
      <c r="E12" t="s">
        <v>81</v>
      </c>
      <c r="G12">
        <v>0</v>
      </c>
      <c r="H12">
        <v>0</v>
      </c>
      <c r="I12">
        <v>0</v>
      </c>
      <c r="L12">
        <f>$AF$18</f>
        <v>2.5</v>
      </c>
      <c r="N12">
        <f>$AF$46</f>
        <v>0.61</v>
      </c>
      <c r="O12">
        <f t="shared" ref="O12:O34" si="0">(0.795 * N12) - 0.0014</f>
        <v>0.48354999999999998</v>
      </c>
      <c r="Q12">
        <f>$AF$73</f>
        <v>75</v>
      </c>
      <c r="R12">
        <f>(104.7 * O12 + 0.307 * Q12- 15) * POWER(Q12, 0.75) * 10^-3</f>
        <v>1.4948026034112167</v>
      </c>
      <c r="S12">
        <f t="shared" ref="S12:S34" si="1">1-EXP(-2*POWER(L12,2))</f>
        <v>0.99999627334682795</v>
      </c>
      <c r="T12">
        <v>1</v>
      </c>
      <c r="U12">
        <f t="shared" ref="U12:U34" si="2">R12 * S12 * T12</f>
        <v>1.494797032800353</v>
      </c>
      <c r="V12">
        <v>40</v>
      </c>
      <c r="W12">
        <f t="shared" ref="W12:W34" si="3">(U12 * 0.0188) + 0.00158</f>
        <v>2.9682184216646638E-2</v>
      </c>
      <c r="Y12">
        <f t="shared" ref="Y12:Y34" si="4">$AF$4</f>
        <v>91.25</v>
      </c>
      <c r="Z12">
        <f t="shared" ref="Z12:Z34" si="5">V12*W12*Y12</f>
        <v>108.33997239076024</v>
      </c>
    </row>
    <row r="13" spans="1:37" x14ac:dyDescent="0.2">
      <c r="E13" t="s">
        <v>82</v>
      </c>
      <c r="G13">
        <v>0</v>
      </c>
      <c r="H13">
        <v>0</v>
      </c>
      <c r="I13">
        <v>0</v>
      </c>
      <c r="L13">
        <f>$AF$19</f>
        <v>1.6</v>
      </c>
      <c r="N13">
        <f>$AF$47</f>
        <v>0.64</v>
      </c>
      <c r="O13">
        <f t="shared" si="0"/>
        <v>0.50740000000000007</v>
      </c>
      <c r="Q13">
        <f>$AF$74</f>
        <v>69</v>
      </c>
      <c r="R13">
        <f t="shared" ref="R13:R34" si="6">(104.7 * O13 + 0.307 * Q13- 15) * POWER(Q13, 0.75) * 10^-3</f>
        <v>1.4198696820048529</v>
      </c>
      <c r="S13">
        <f t="shared" si="1"/>
        <v>0.99402397710499402</v>
      </c>
      <c r="T13">
        <v>1</v>
      </c>
      <c r="U13">
        <f t="shared" si="2"/>
        <v>1.4113845082772669</v>
      </c>
      <c r="V13">
        <v>38</v>
      </c>
      <c r="W13">
        <f t="shared" si="3"/>
        <v>2.811402875561262E-2</v>
      </c>
      <c r="Y13">
        <f t="shared" si="4"/>
        <v>91.25</v>
      </c>
      <c r="Z13">
        <f t="shared" si="5"/>
        <v>97.485394710086752</v>
      </c>
    </row>
    <row r="14" spans="1:37" x14ac:dyDescent="0.2">
      <c r="E14" t="s">
        <v>83</v>
      </c>
      <c r="G14">
        <v>0</v>
      </c>
      <c r="H14">
        <v>0</v>
      </c>
      <c r="I14">
        <v>0</v>
      </c>
      <c r="L14">
        <f>$AF$20</f>
        <v>1.7</v>
      </c>
      <c r="N14">
        <f>$AF$48</f>
        <v>0.72</v>
      </c>
      <c r="O14">
        <f t="shared" si="0"/>
        <v>0.57100000000000006</v>
      </c>
      <c r="Q14">
        <f>$AF$75</f>
        <v>69</v>
      </c>
      <c r="R14">
        <f t="shared" si="6"/>
        <v>1.5792888783210146</v>
      </c>
      <c r="S14">
        <f t="shared" si="1"/>
        <v>0.99691128459176326</v>
      </c>
      <c r="T14">
        <v>1</v>
      </c>
      <c r="U14">
        <f t="shared" si="2"/>
        <v>1.5744109044284875</v>
      </c>
      <c r="V14">
        <v>50</v>
      </c>
      <c r="W14">
        <f t="shared" si="3"/>
        <v>3.1178925003255569E-2</v>
      </c>
      <c r="Y14">
        <f t="shared" si="4"/>
        <v>91.25</v>
      </c>
      <c r="Z14">
        <f t="shared" si="5"/>
        <v>142.25384532735353</v>
      </c>
      <c r="AE14" t="s">
        <v>84</v>
      </c>
    </row>
    <row r="15" spans="1:37" x14ac:dyDescent="0.2">
      <c r="A15">
        <v>2</v>
      </c>
      <c r="D15" t="s">
        <v>73</v>
      </c>
      <c r="E15" t="s">
        <v>80</v>
      </c>
      <c r="G15">
        <v>0</v>
      </c>
      <c r="H15">
        <v>0</v>
      </c>
      <c r="I15">
        <v>0</v>
      </c>
      <c r="L15">
        <f>$AG$17</f>
        <v>2.9</v>
      </c>
      <c r="N15">
        <f>$AG$45</f>
        <v>0.75</v>
      </c>
      <c r="O15">
        <f t="shared" si="0"/>
        <v>0.5948500000000001</v>
      </c>
      <c r="Q15">
        <f>$AG$72</f>
        <v>62</v>
      </c>
      <c r="R15">
        <f t="shared" si="6"/>
        <v>1.4652245899459331</v>
      </c>
      <c r="S15">
        <f t="shared" si="1"/>
        <v>0.9999999504359468</v>
      </c>
      <c r="T15">
        <v>1</v>
      </c>
      <c r="U15">
        <f t="shared" si="2"/>
        <v>1.4652245173234635</v>
      </c>
      <c r="V15">
        <v>100</v>
      </c>
      <c r="W15">
        <f t="shared" si="3"/>
        <v>2.9126220925681116E-2</v>
      </c>
      <c r="Y15">
        <f t="shared" si="4"/>
        <v>91.25</v>
      </c>
      <c r="Z15">
        <f t="shared" si="5"/>
        <v>265.77676594684021</v>
      </c>
      <c r="AE15" t="s">
        <v>58</v>
      </c>
    </row>
    <row r="16" spans="1:37" x14ac:dyDescent="0.2">
      <c r="E16" t="s">
        <v>81</v>
      </c>
      <c r="G16">
        <v>0</v>
      </c>
      <c r="H16">
        <v>0</v>
      </c>
      <c r="I16">
        <v>0</v>
      </c>
      <c r="L16">
        <f>$AG$18</f>
        <v>2.5</v>
      </c>
      <c r="N16">
        <f>$AG$46</f>
        <v>0.61</v>
      </c>
      <c r="O16">
        <f t="shared" si="0"/>
        <v>0.48354999999999998</v>
      </c>
      <c r="Q16">
        <f>$AG$73</f>
        <v>55</v>
      </c>
      <c r="R16">
        <f t="shared" si="6"/>
        <v>1.0605624381175847</v>
      </c>
      <c r="S16">
        <f t="shared" si="1"/>
        <v>0.99999627334682795</v>
      </c>
      <c r="T16">
        <v>1</v>
      </c>
      <c r="U16">
        <f t="shared" si="2"/>
        <v>1.0605584857692105</v>
      </c>
      <c r="V16">
        <v>120</v>
      </c>
      <c r="W16">
        <f t="shared" si="3"/>
        <v>2.1518499532461158E-2</v>
      </c>
      <c r="Y16">
        <f t="shared" si="4"/>
        <v>91.25</v>
      </c>
      <c r="Z16">
        <f t="shared" si="5"/>
        <v>235.6275698804497</v>
      </c>
      <c r="AF16" t="s">
        <v>72</v>
      </c>
      <c r="AG16" t="s">
        <v>73</v>
      </c>
      <c r="AH16" t="s">
        <v>74</v>
      </c>
      <c r="AI16" t="s">
        <v>75</v>
      </c>
      <c r="AJ16" t="s">
        <v>76</v>
      </c>
      <c r="AK16" t="s">
        <v>77</v>
      </c>
    </row>
    <row r="17" spans="1:37" x14ac:dyDescent="0.2">
      <c r="E17" t="s">
        <v>82</v>
      </c>
      <c r="G17">
        <v>0</v>
      </c>
      <c r="H17">
        <v>0</v>
      </c>
      <c r="I17">
        <v>0</v>
      </c>
      <c r="L17">
        <f>$AG$19</f>
        <v>1.6</v>
      </c>
      <c r="N17">
        <f>$AG$47</f>
        <v>0.64</v>
      </c>
      <c r="O17">
        <f t="shared" si="0"/>
        <v>0.50740000000000007</v>
      </c>
      <c r="Q17">
        <f>$AG$74</f>
        <v>55</v>
      </c>
      <c r="R17">
        <f t="shared" si="6"/>
        <v>1.1109945415495692</v>
      </c>
      <c r="S17">
        <f t="shared" si="1"/>
        <v>0.99402397710499402</v>
      </c>
      <c r="T17">
        <v>1</v>
      </c>
      <c r="U17">
        <f t="shared" si="2"/>
        <v>1.1043552127330423</v>
      </c>
      <c r="V17">
        <v>115</v>
      </c>
      <c r="W17">
        <f t="shared" si="3"/>
        <v>2.2341877999381195E-2</v>
      </c>
      <c r="Y17">
        <f t="shared" si="4"/>
        <v>91.25</v>
      </c>
      <c r="Z17">
        <f t="shared" si="5"/>
        <v>234.4500822560064</v>
      </c>
      <c r="AD17" t="s">
        <v>85</v>
      </c>
      <c r="AE17" t="s">
        <v>80</v>
      </c>
      <c r="AF17">
        <v>2.9</v>
      </c>
      <c r="AG17">
        <v>2.9</v>
      </c>
      <c r="AH17">
        <v>2.9</v>
      </c>
      <c r="AI17">
        <v>2.9</v>
      </c>
      <c r="AJ17">
        <v>2.9</v>
      </c>
      <c r="AK17">
        <v>2.9</v>
      </c>
    </row>
    <row r="18" spans="1:37" x14ac:dyDescent="0.2">
      <c r="E18" t="s">
        <v>83</v>
      </c>
      <c r="G18">
        <v>0</v>
      </c>
      <c r="H18">
        <v>0</v>
      </c>
      <c r="I18">
        <v>0</v>
      </c>
      <c r="L18">
        <f>$AG$20</f>
        <v>1.7</v>
      </c>
      <c r="N18">
        <f>$AG$48</f>
        <v>0.72</v>
      </c>
      <c r="O18">
        <f t="shared" si="0"/>
        <v>0.57100000000000006</v>
      </c>
      <c r="Q18">
        <f>$AG$75</f>
        <v>55</v>
      </c>
      <c r="R18">
        <f t="shared" si="6"/>
        <v>1.2454801507015281</v>
      </c>
      <c r="S18">
        <f t="shared" si="1"/>
        <v>0.99691128459176326</v>
      </c>
      <c r="T18">
        <v>1</v>
      </c>
      <c r="U18">
        <f t="shared" si="2"/>
        <v>1.2416332169694033</v>
      </c>
      <c r="V18">
        <v>110</v>
      </c>
      <c r="W18">
        <f t="shared" si="3"/>
        <v>2.4922704479024786E-2</v>
      </c>
      <c r="Y18">
        <f t="shared" si="4"/>
        <v>91.25</v>
      </c>
      <c r="Z18">
        <f t="shared" si="5"/>
        <v>250.16164620821129</v>
      </c>
      <c r="AE18" t="s">
        <v>81</v>
      </c>
      <c r="AF18">
        <v>2.5</v>
      </c>
      <c r="AG18">
        <v>2.5</v>
      </c>
      <c r="AH18">
        <v>2.5</v>
      </c>
      <c r="AI18">
        <v>2.5</v>
      </c>
      <c r="AJ18">
        <v>2.5</v>
      </c>
      <c r="AK18">
        <v>2.5</v>
      </c>
    </row>
    <row r="19" spans="1:37" x14ac:dyDescent="0.2">
      <c r="A19">
        <v>3</v>
      </c>
      <c r="D19" t="s">
        <v>74</v>
      </c>
      <c r="E19" t="s">
        <v>80</v>
      </c>
      <c r="G19">
        <v>90</v>
      </c>
      <c r="H19">
        <v>85</v>
      </c>
      <c r="I19">
        <f>(G19/100*MIN(H19,100)/100)</f>
        <v>0.76500000000000001</v>
      </c>
      <c r="J19">
        <f>$AF$3</f>
        <v>1.3</v>
      </c>
      <c r="L19">
        <f>$AH$17</f>
        <v>2.9</v>
      </c>
      <c r="N19">
        <f>$AH$45</f>
        <v>0.75</v>
      </c>
      <c r="O19">
        <f t="shared" si="0"/>
        <v>0.5948500000000001</v>
      </c>
      <c r="Q19">
        <f>$AH$72</f>
        <v>44</v>
      </c>
      <c r="R19">
        <f>(104.7 * O19 + 0.307 * Q19- 15) * POWER(Q19, 0.75) * 10^-3</f>
        <v>1.0385156413271623</v>
      </c>
      <c r="S19">
        <f t="shared" si="1"/>
        <v>0.9999999504359468</v>
      </c>
      <c r="T19">
        <f>(I19 * J19) + (1 - I19)</f>
        <v>1.2295</v>
      </c>
      <c r="U19">
        <f t="shared" si="2"/>
        <v>1.2768549177256379</v>
      </c>
      <c r="V19">
        <v>120</v>
      </c>
      <c r="W19">
        <f t="shared" si="3"/>
        <v>2.5584872453241994E-2</v>
      </c>
      <c r="Y19">
        <f t="shared" si="4"/>
        <v>91.25</v>
      </c>
      <c r="Z19">
        <f t="shared" si="5"/>
        <v>280.15435336299987</v>
      </c>
      <c r="AE19" t="s">
        <v>82</v>
      </c>
      <c r="AF19">
        <v>1.6</v>
      </c>
      <c r="AG19">
        <v>1.6</v>
      </c>
      <c r="AH19">
        <v>1.6</v>
      </c>
      <c r="AI19">
        <v>1.6</v>
      </c>
      <c r="AJ19">
        <v>1.6</v>
      </c>
      <c r="AK19">
        <v>1.6</v>
      </c>
    </row>
    <row r="20" spans="1:37" x14ac:dyDescent="0.2">
      <c r="E20" t="s">
        <v>81</v>
      </c>
      <c r="G20">
        <v>0</v>
      </c>
      <c r="H20">
        <v>0</v>
      </c>
      <c r="I20">
        <f>(G20/100*MIN(H20,100)/100)</f>
        <v>0</v>
      </c>
      <c r="L20">
        <f>$AH$18</f>
        <v>2.5</v>
      </c>
      <c r="N20">
        <f>$AH$46</f>
        <v>0.61</v>
      </c>
      <c r="O20">
        <f t="shared" si="0"/>
        <v>0.48354999999999998</v>
      </c>
      <c r="Q20">
        <f>$AH$73</f>
        <v>42</v>
      </c>
      <c r="R20">
        <f t="shared" si="6"/>
        <v>0.80052120768394575</v>
      </c>
      <c r="S20">
        <f t="shared" si="1"/>
        <v>0.99999627334682795</v>
      </c>
      <c r="T20">
        <f t="shared" ref="T20:T26" si="7">(I20 * J20) + (1 - I20)</f>
        <v>1</v>
      </c>
      <c r="U20">
        <f t="shared" si="2"/>
        <v>0.80051822441904785</v>
      </c>
      <c r="V20">
        <v>130</v>
      </c>
      <c r="W20">
        <f t="shared" si="3"/>
        <v>1.6629742619078101E-2</v>
      </c>
      <c r="Y20">
        <f t="shared" si="4"/>
        <v>91.25</v>
      </c>
      <c r="Z20">
        <f t="shared" si="5"/>
        <v>197.27032181881395</v>
      </c>
      <c r="AE20" t="s">
        <v>83</v>
      </c>
      <c r="AF20">
        <v>1.7</v>
      </c>
      <c r="AG20">
        <v>1.7</v>
      </c>
      <c r="AH20">
        <v>1.7</v>
      </c>
      <c r="AI20">
        <v>1.7</v>
      </c>
      <c r="AJ20">
        <v>1.7</v>
      </c>
      <c r="AK20">
        <v>1.7</v>
      </c>
    </row>
    <row r="21" spans="1:37" x14ac:dyDescent="0.2">
      <c r="E21" t="s">
        <v>82</v>
      </c>
      <c r="G21">
        <v>0</v>
      </c>
      <c r="H21">
        <v>0</v>
      </c>
      <c r="I21">
        <f t="shared" ref="I21:I23" si="8">(G21/100*MIN(H21,100)/100)</f>
        <v>0</v>
      </c>
      <c r="L21">
        <f>$AH$19</f>
        <v>1.6</v>
      </c>
      <c r="N21">
        <f>$AH$47</f>
        <v>0.64</v>
      </c>
      <c r="O21">
        <f t="shared" si="0"/>
        <v>0.50740000000000007</v>
      </c>
      <c r="Q21">
        <f>$AH$74</f>
        <v>43</v>
      </c>
      <c r="R21">
        <f t="shared" si="6"/>
        <v>0.86186034677094148</v>
      </c>
      <c r="S21">
        <f t="shared" si="1"/>
        <v>0.99402397710499402</v>
      </c>
      <c r="T21">
        <f t="shared" si="7"/>
        <v>1</v>
      </c>
      <c r="U21">
        <f t="shared" si="2"/>
        <v>0.85670984960634056</v>
      </c>
      <c r="V21">
        <v>120</v>
      </c>
      <c r="W21">
        <f t="shared" si="3"/>
        <v>1.7686145172599206E-2</v>
      </c>
      <c r="Y21">
        <f t="shared" si="4"/>
        <v>91.25</v>
      </c>
      <c r="Z21">
        <f t="shared" si="5"/>
        <v>193.66328963996131</v>
      </c>
      <c r="AD21" t="s">
        <v>86</v>
      </c>
      <c r="AE21" t="s">
        <v>80</v>
      </c>
      <c r="AF21">
        <v>1.5</v>
      </c>
      <c r="AG21">
        <v>1.5</v>
      </c>
      <c r="AH21">
        <v>1.5</v>
      </c>
      <c r="AI21">
        <v>1.5</v>
      </c>
      <c r="AJ21">
        <v>1.5</v>
      </c>
      <c r="AK21">
        <v>1.5</v>
      </c>
    </row>
    <row r="22" spans="1:37" x14ac:dyDescent="0.2">
      <c r="E22" t="s">
        <v>83</v>
      </c>
      <c r="G22">
        <v>0</v>
      </c>
      <c r="H22">
        <v>0</v>
      </c>
      <c r="I22">
        <f t="shared" si="8"/>
        <v>0</v>
      </c>
      <c r="L22">
        <f>$AH$20</f>
        <v>1.7</v>
      </c>
      <c r="N22">
        <f>$AH$48</f>
        <v>0.72</v>
      </c>
      <c r="O22">
        <f t="shared" si="0"/>
        <v>0.57100000000000006</v>
      </c>
      <c r="Q22">
        <f>$AH$75</f>
        <v>45</v>
      </c>
      <c r="R22">
        <f t="shared" si="6"/>
        <v>1.0181162441707754</v>
      </c>
      <c r="S22">
        <f t="shared" si="1"/>
        <v>0.99691128459176326</v>
      </c>
      <c r="T22">
        <f t="shared" si="7"/>
        <v>1</v>
      </c>
      <c r="U22">
        <f t="shared" si="2"/>
        <v>1.014971572840029</v>
      </c>
      <c r="V22">
        <v>110</v>
      </c>
      <c r="W22">
        <f t="shared" si="3"/>
        <v>2.0661465569392547E-2</v>
      </c>
      <c r="Y22">
        <f t="shared" si="4"/>
        <v>91.25</v>
      </c>
      <c r="Z22">
        <f t="shared" si="5"/>
        <v>207.3894606527777</v>
      </c>
      <c r="AE22" t="s">
        <v>81</v>
      </c>
      <c r="AF22">
        <v>2</v>
      </c>
      <c r="AG22">
        <v>2</v>
      </c>
      <c r="AH22">
        <v>2</v>
      </c>
      <c r="AI22">
        <v>2</v>
      </c>
      <c r="AJ22">
        <v>2</v>
      </c>
      <c r="AK22">
        <v>2</v>
      </c>
    </row>
    <row r="23" spans="1:37" x14ac:dyDescent="0.2">
      <c r="A23">
        <v>4</v>
      </c>
      <c r="D23" t="s">
        <v>75</v>
      </c>
      <c r="E23" t="s">
        <v>80</v>
      </c>
      <c r="G23">
        <v>95</v>
      </c>
      <c r="H23">
        <v>88</v>
      </c>
      <c r="I23">
        <f t="shared" si="8"/>
        <v>0.83599999999999997</v>
      </c>
      <c r="J23">
        <f>$AF$3</f>
        <v>1.3</v>
      </c>
      <c r="L23">
        <f>$AI$17</f>
        <v>2.9</v>
      </c>
      <c r="N23">
        <f>$AI$45</f>
        <v>0.75</v>
      </c>
      <c r="O23">
        <f t="shared" si="0"/>
        <v>0.5948500000000001</v>
      </c>
      <c r="Q23">
        <f>$AI$72</f>
        <v>54</v>
      </c>
      <c r="R23">
        <f t="shared" si="6"/>
        <v>1.2720847291262878</v>
      </c>
      <c r="S23">
        <f t="shared" si="1"/>
        <v>0.9999999504359468</v>
      </c>
      <c r="T23">
        <f t="shared" si="7"/>
        <v>1.2507999999999999</v>
      </c>
      <c r="U23">
        <f t="shared" si="2"/>
        <v>1.5911235003286268</v>
      </c>
      <c r="V23">
        <v>80</v>
      </c>
      <c r="W23">
        <f t="shared" si="3"/>
        <v>3.1493121806178186E-2</v>
      </c>
      <c r="Y23">
        <f t="shared" si="4"/>
        <v>91.25</v>
      </c>
      <c r="Z23">
        <f t="shared" si="5"/>
        <v>229.89978918510076</v>
      </c>
      <c r="AE23" t="s">
        <v>82</v>
      </c>
      <c r="AF23">
        <v>2.2000000000000002</v>
      </c>
      <c r="AG23">
        <v>2.2000000000000002</v>
      </c>
      <c r="AH23">
        <v>2.2000000000000002</v>
      </c>
      <c r="AI23">
        <v>2.2000000000000002</v>
      </c>
      <c r="AJ23">
        <v>2.2000000000000002</v>
      </c>
      <c r="AK23">
        <v>2.2000000000000002</v>
      </c>
    </row>
    <row r="24" spans="1:37" x14ac:dyDescent="0.2">
      <c r="E24" t="s">
        <v>81</v>
      </c>
      <c r="G24">
        <v>0</v>
      </c>
      <c r="H24">
        <v>0</v>
      </c>
      <c r="I24">
        <v>0</v>
      </c>
      <c r="L24">
        <f>$AI$18</f>
        <v>2.5</v>
      </c>
      <c r="N24">
        <f>$AI$46</f>
        <v>0.61</v>
      </c>
      <c r="O24">
        <f t="shared" si="0"/>
        <v>0.48354999999999998</v>
      </c>
      <c r="Q24">
        <f>$AI$73</f>
        <v>49</v>
      </c>
      <c r="R24">
        <f t="shared" si="6"/>
        <v>0.93843421889903578</v>
      </c>
      <c r="S24">
        <f t="shared" si="1"/>
        <v>0.99999627334682795</v>
      </c>
      <c r="T24">
        <f t="shared" si="7"/>
        <v>1</v>
      </c>
      <c r="U24">
        <f t="shared" si="2"/>
        <v>0.93843072168017716</v>
      </c>
      <c r="V24">
        <v>90</v>
      </c>
      <c r="W24">
        <f t="shared" si="3"/>
        <v>1.9222497567587333E-2</v>
      </c>
      <c r="Y24">
        <f t="shared" si="4"/>
        <v>91.25</v>
      </c>
      <c r="Z24">
        <f t="shared" si="5"/>
        <v>157.86476127381098</v>
      </c>
      <c r="AE24" t="s">
        <v>83</v>
      </c>
      <c r="AF24">
        <v>1.7</v>
      </c>
      <c r="AG24">
        <v>1.7</v>
      </c>
      <c r="AH24">
        <v>1.7</v>
      </c>
      <c r="AI24">
        <v>1.7</v>
      </c>
      <c r="AJ24">
        <v>1.7</v>
      </c>
      <c r="AK24">
        <v>1.7</v>
      </c>
    </row>
    <row r="25" spans="1:37" x14ac:dyDescent="0.2">
      <c r="E25" t="s">
        <v>82</v>
      </c>
      <c r="G25">
        <v>0</v>
      </c>
      <c r="H25">
        <v>0</v>
      </c>
      <c r="I25">
        <v>0</v>
      </c>
      <c r="L25">
        <f>$AI$19</f>
        <v>1.6</v>
      </c>
      <c r="N25">
        <f>$AI$47</f>
        <v>0.64</v>
      </c>
      <c r="O25">
        <f t="shared" si="0"/>
        <v>0.50740000000000007</v>
      </c>
      <c r="Q25">
        <f>$AI$74</f>
        <v>50</v>
      </c>
      <c r="R25">
        <f t="shared" si="6"/>
        <v>1.0054871153505722</v>
      </c>
      <c r="S25">
        <f t="shared" si="1"/>
        <v>0.99402397710499402</v>
      </c>
      <c r="T25">
        <f t="shared" si="7"/>
        <v>1</v>
      </c>
      <c r="U25">
        <f t="shared" si="2"/>
        <v>0.99947830132860371</v>
      </c>
      <c r="V25">
        <v>80</v>
      </c>
      <c r="W25">
        <f t="shared" si="3"/>
        <v>2.0370192064977751E-2</v>
      </c>
      <c r="Y25">
        <f t="shared" si="4"/>
        <v>91.25</v>
      </c>
      <c r="Z25">
        <f t="shared" si="5"/>
        <v>148.70240207433758</v>
      </c>
      <c r="AD25" t="s">
        <v>87</v>
      </c>
      <c r="AE25" t="s">
        <v>80</v>
      </c>
      <c r="AF25">
        <v>4</v>
      </c>
      <c r="AG25">
        <v>4</v>
      </c>
      <c r="AH25">
        <v>4</v>
      </c>
      <c r="AI25">
        <v>4</v>
      </c>
      <c r="AJ25">
        <v>4</v>
      </c>
      <c r="AK25">
        <v>4</v>
      </c>
    </row>
    <row r="26" spans="1:37" x14ac:dyDescent="0.2">
      <c r="E26" t="s">
        <v>83</v>
      </c>
      <c r="G26">
        <v>0</v>
      </c>
      <c r="H26">
        <v>0</v>
      </c>
      <c r="I26">
        <v>0</v>
      </c>
      <c r="L26">
        <f>$AI$20</f>
        <v>1.7</v>
      </c>
      <c r="N26">
        <f>$AI$48</f>
        <v>0.72</v>
      </c>
      <c r="O26">
        <f t="shared" si="0"/>
        <v>0.57100000000000006</v>
      </c>
      <c r="Q26">
        <f>$AI$75</f>
        <v>50</v>
      </c>
      <c r="R26">
        <f t="shared" si="6"/>
        <v>1.1306948910936463</v>
      </c>
      <c r="S26">
        <f t="shared" si="1"/>
        <v>0.99691128459176326</v>
      </c>
      <c r="T26">
        <f t="shared" si="7"/>
        <v>1</v>
      </c>
      <c r="U26">
        <f t="shared" si="2"/>
        <v>1.1272024963615108</v>
      </c>
      <c r="V26">
        <v>70</v>
      </c>
      <c r="W26">
        <f t="shared" si="3"/>
        <v>2.2771406931596405E-2</v>
      </c>
      <c r="Y26">
        <f t="shared" si="4"/>
        <v>91.25</v>
      </c>
      <c r="Z26">
        <f t="shared" si="5"/>
        <v>145.45236177557203</v>
      </c>
      <c r="AE26" t="s">
        <v>81</v>
      </c>
      <c r="AF26">
        <v>2.5</v>
      </c>
      <c r="AG26">
        <v>2.5</v>
      </c>
      <c r="AH26">
        <v>2.5</v>
      </c>
      <c r="AI26">
        <v>2.5</v>
      </c>
      <c r="AJ26">
        <v>2.5</v>
      </c>
      <c r="AK26">
        <v>2.5</v>
      </c>
    </row>
    <row r="27" spans="1:37" x14ac:dyDescent="0.2">
      <c r="A27">
        <v>5</v>
      </c>
      <c r="D27" t="s">
        <v>76</v>
      </c>
      <c r="E27" t="s">
        <v>80</v>
      </c>
      <c r="G27">
        <v>0</v>
      </c>
      <c r="H27">
        <v>0</v>
      </c>
      <c r="I27">
        <v>0</v>
      </c>
      <c r="L27">
        <f>$AJ$17</f>
        <v>2.9</v>
      </c>
      <c r="N27">
        <f>$AJ$45</f>
        <v>0.75</v>
      </c>
      <c r="O27">
        <f t="shared" si="0"/>
        <v>0.5948500000000001</v>
      </c>
      <c r="Q27">
        <f>$AJ$72</f>
        <v>56</v>
      </c>
      <c r="R27">
        <f t="shared" si="6"/>
        <v>1.3198285488795851</v>
      </c>
      <c r="S27">
        <f t="shared" si="1"/>
        <v>0.9999999504359468</v>
      </c>
      <c r="T27">
        <v>1</v>
      </c>
      <c r="U27">
        <f t="shared" si="2"/>
        <v>1.3198284834635328</v>
      </c>
      <c r="V27">
        <v>50</v>
      </c>
      <c r="W27">
        <f t="shared" si="3"/>
        <v>2.6392775489114419E-2</v>
      </c>
      <c r="Y27">
        <f t="shared" si="4"/>
        <v>91.25</v>
      </c>
      <c r="Z27">
        <f t="shared" si="5"/>
        <v>120.41703816908453</v>
      </c>
      <c r="AE27" t="s">
        <v>82</v>
      </c>
      <c r="AF27">
        <v>0.7</v>
      </c>
      <c r="AG27">
        <v>0.7</v>
      </c>
      <c r="AH27">
        <v>0.7</v>
      </c>
      <c r="AI27">
        <v>0.7</v>
      </c>
      <c r="AJ27">
        <v>0.7</v>
      </c>
      <c r="AK27">
        <v>0.7</v>
      </c>
    </row>
    <row r="28" spans="1:37" x14ac:dyDescent="0.2">
      <c r="E28" t="s">
        <v>81</v>
      </c>
      <c r="G28">
        <v>0</v>
      </c>
      <c r="H28">
        <v>0</v>
      </c>
      <c r="I28">
        <v>0</v>
      </c>
      <c r="L28">
        <f>$AJ$18</f>
        <v>2.5</v>
      </c>
      <c r="N28">
        <f>$AJ$46</f>
        <v>0.61</v>
      </c>
      <c r="O28">
        <f t="shared" si="0"/>
        <v>0.48354999999999998</v>
      </c>
      <c r="Q28">
        <f>$AJ$73</f>
        <v>51</v>
      </c>
      <c r="R28">
        <f t="shared" si="6"/>
        <v>0.97873546256970145</v>
      </c>
      <c r="S28">
        <f t="shared" si="1"/>
        <v>0.99999627334682795</v>
      </c>
      <c r="T28">
        <v>1</v>
      </c>
      <c r="U28">
        <f t="shared" si="2"/>
        <v>0.97873181516208529</v>
      </c>
      <c r="V28">
        <v>55</v>
      </c>
      <c r="W28">
        <f t="shared" si="3"/>
        <v>1.9980158125047207E-2</v>
      </c>
      <c r="Y28">
        <f t="shared" si="4"/>
        <v>91.25</v>
      </c>
      <c r="Z28">
        <f t="shared" si="5"/>
        <v>100.27541859008066</v>
      </c>
      <c r="AE28" t="s">
        <v>83</v>
      </c>
      <c r="AF28">
        <v>0.9</v>
      </c>
      <c r="AG28">
        <v>0.9</v>
      </c>
      <c r="AH28">
        <v>0.9</v>
      </c>
      <c r="AI28">
        <v>0.9</v>
      </c>
      <c r="AJ28">
        <v>0.9</v>
      </c>
      <c r="AK28">
        <v>0.9</v>
      </c>
    </row>
    <row r="29" spans="1:37" x14ac:dyDescent="0.2">
      <c r="E29" t="s">
        <v>82</v>
      </c>
      <c r="G29">
        <v>0</v>
      </c>
      <c r="H29">
        <v>0</v>
      </c>
      <c r="I29">
        <v>0</v>
      </c>
      <c r="L29">
        <f>$AJ$19</f>
        <v>1.6</v>
      </c>
      <c r="N29">
        <f>$AJ$47</f>
        <v>0.64</v>
      </c>
      <c r="O29">
        <f t="shared" si="0"/>
        <v>0.50740000000000007</v>
      </c>
      <c r="Q29">
        <f>$AJ$74</f>
        <v>50</v>
      </c>
      <c r="R29">
        <f t="shared" si="6"/>
        <v>1.0054871153505722</v>
      </c>
      <c r="S29">
        <f t="shared" si="1"/>
        <v>0.99402397710499402</v>
      </c>
      <c r="T29">
        <v>1</v>
      </c>
      <c r="U29">
        <f t="shared" si="2"/>
        <v>0.99947830132860371</v>
      </c>
      <c r="V29">
        <v>45</v>
      </c>
      <c r="W29">
        <f t="shared" si="3"/>
        <v>2.0370192064977751E-2</v>
      </c>
      <c r="Y29">
        <f t="shared" si="4"/>
        <v>91.25</v>
      </c>
      <c r="Z29">
        <f t="shared" si="5"/>
        <v>83.645101166814896</v>
      </c>
      <c r="AD29" t="s">
        <v>88</v>
      </c>
      <c r="AE29" t="s">
        <v>80</v>
      </c>
      <c r="AF29">
        <v>2.5</v>
      </c>
      <c r="AG29">
        <v>2.5</v>
      </c>
      <c r="AH29">
        <v>2.5</v>
      </c>
      <c r="AI29">
        <v>2.5</v>
      </c>
      <c r="AJ29">
        <v>2.5</v>
      </c>
      <c r="AK29">
        <v>2.5</v>
      </c>
    </row>
    <row r="30" spans="1:37" x14ac:dyDescent="0.2">
      <c r="E30" t="s">
        <v>83</v>
      </c>
      <c r="G30">
        <v>0</v>
      </c>
      <c r="H30">
        <v>0</v>
      </c>
      <c r="I30">
        <v>0</v>
      </c>
      <c r="L30">
        <f>$AJ$20</f>
        <v>1.7</v>
      </c>
      <c r="N30">
        <f>$AJ$48</f>
        <v>0.72</v>
      </c>
      <c r="O30">
        <f t="shared" si="0"/>
        <v>0.57100000000000006</v>
      </c>
      <c r="Q30">
        <f>$AJ$75</f>
        <v>51</v>
      </c>
      <c r="R30">
        <f t="shared" si="6"/>
        <v>1.1534721617679149</v>
      </c>
      <c r="S30">
        <f t="shared" si="1"/>
        <v>0.99691128459176326</v>
      </c>
      <c r="T30">
        <v>1</v>
      </c>
      <c r="U30">
        <f t="shared" si="2"/>
        <v>1.1499094145288902</v>
      </c>
      <c r="V30">
        <v>40</v>
      </c>
      <c r="W30">
        <f t="shared" si="3"/>
        <v>2.3198296993143137E-2</v>
      </c>
      <c r="Y30">
        <f t="shared" si="4"/>
        <v>91.25</v>
      </c>
      <c r="Z30">
        <f t="shared" si="5"/>
        <v>84.673784024972448</v>
      </c>
      <c r="AE30" t="s">
        <v>81</v>
      </c>
      <c r="AF30">
        <v>2.5</v>
      </c>
      <c r="AG30">
        <v>2.5</v>
      </c>
      <c r="AH30">
        <v>2.5</v>
      </c>
      <c r="AI30">
        <v>2.5</v>
      </c>
      <c r="AJ30">
        <v>2.5</v>
      </c>
      <c r="AK30">
        <v>2.5</v>
      </c>
    </row>
    <row r="31" spans="1:37" x14ac:dyDescent="0.2">
      <c r="A31">
        <v>6</v>
      </c>
      <c r="D31" t="s">
        <v>77</v>
      </c>
      <c r="E31" t="s">
        <v>80</v>
      </c>
      <c r="G31">
        <v>0</v>
      </c>
      <c r="H31">
        <v>0</v>
      </c>
      <c r="I31">
        <v>0</v>
      </c>
      <c r="L31">
        <f>$AK$17</f>
        <v>2.9</v>
      </c>
      <c r="N31">
        <f>$AK$45</f>
        <v>0.75</v>
      </c>
      <c r="O31">
        <f t="shared" si="0"/>
        <v>0.5948500000000001</v>
      </c>
      <c r="Q31">
        <f>$AK$72</f>
        <v>20</v>
      </c>
      <c r="R31">
        <f t="shared" si="6"/>
        <v>0.5052226861752882</v>
      </c>
      <c r="S31">
        <f t="shared" si="1"/>
        <v>0.9999999504359468</v>
      </c>
      <c r="T31">
        <v>1</v>
      </c>
      <c r="U31">
        <f t="shared" si="2"/>
        <v>0.50522266113440406</v>
      </c>
      <c r="V31">
        <v>30</v>
      </c>
      <c r="W31">
        <f t="shared" si="3"/>
        <v>1.1078186029326796E-2</v>
      </c>
      <c r="Y31">
        <f t="shared" si="4"/>
        <v>91.25</v>
      </c>
      <c r="Z31">
        <f t="shared" si="5"/>
        <v>30.326534255282102</v>
      </c>
      <c r="AE31" t="s">
        <v>82</v>
      </c>
      <c r="AF31">
        <v>1.3</v>
      </c>
      <c r="AG31">
        <v>1.3</v>
      </c>
      <c r="AH31">
        <v>1.3</v>
      </c>
      <c r="AI31">
        <v>1.3</v>
      </c>
      <c r="AJ31">
        <v>1.3</v>
      </c>
      <c r="AK31">
        <v>1.3</v>
      </c>
    </row>
    <row r="32" spans="1:37" x14ac:dyDescent="0.2">
      <c r="E32" t="s">
        <v>81</v>
      </c>
      <c r="G32">
        <v>0</v>
      </c>
      <c r="H32">
        <v>0</v>
      </c>
      <c r="I32">
        <v>0</v>
      </c>
      <c r="L32">
        <f>$AK$18</f>
        <v>2.5</v>
      </c>
      <c r="N32">
        <f>$AK$46</f>
        <v>0.61</v>
      </c>
      <c r="O32">
        <f t="shared" si="0"/>
        <v>0.48354999999999998</v>
      </c>
      <c r="Q32">
        <f>$AK$73</f>
        <v>27</v>
      </c>
      <c r="R32">
        <f t="shared" si="6"/>
        <v>0.52017847077168489</v>
      </c>
      <c r="S32">
        <f t="shared" si="1"/>
        <v>0.99999627334682795</v>
      </c>
      <c r="T32">
        <v>1</v>
      </c>
      <c r="U32">
        <f t="shared" si="2"/>
        <v>0.52017653224693672</v>
      </c>
      <c r="V32">
        <v>90</v>
      </c>
      <c r="W32">
        <f t="shared" si="3"/>
        <v>1.135931880624241E-2</v>
      </c>
      <c r="Y32">
        <f t="shared" si="4"/>
        <v>91.25</v>
      </c>
      <c r="Z32">
        <f t="shared" si="5"/>
        <v>93.288405696265798</v>
      </c>
      <c r="AE32" t="s">
        <v>83</v>
      </c>
      <c r="AF32">
        <v>0.8</v>
      </c>
      <c r="AG32">
        <v>0.8</v>
      </c>
      <c r="AH32">
        <v>0.8</v>
      </c>
      <c r="AI32">
        <v>0.8</v>
      </c>
      <c r="AJ32">
        <v>0.8</v>
      </c>
      <c r="AK32">
        <v>0.8</v>
      </c>
    </row>
    <row r="33" spans="1:37" x14ac:dyDescent="0.2">
      <c r="E33" t="s">
        <v>82</v>
      </c>
      <c r="G33">
        <v>0</v>
      </c>
      <c r="H33">
        <v>0</v>
      </c>
      <c r="I33">
        <v>0</v>
      </c>
      <c r="L33">
        <f>$AK$19</f>
        <v>1.6</v>
      </c>
      <c r="N33">
        <f>$AK$47</f>
        <v>0.64</v>
      </c>
      <c r="O33">
        <f t="shared" si="0"/>
        <v>0.50740000000000007</v>
      </c>
      <c r="Q33">
        <f>$AK$74</f>
        <v>32</v>
      </c>
      <c r="R33">
        <f t="shared" si="6"/>
        <v>0.64511931548462409</v>
      </c>
      <c r="S33">
        <f t="shared" si="1"/>
        <v>0.99402397710499402</v>
      </c>
      <c r="T33">
        <v>1</v>
      </c>
      <c r="U33">
        <f t="shared" si="2"/>
        <v>0.64126406768527744</v>
      </c>
      <c r="V33">
        <v>80</v>
      </c>
      <c r="W33">
        <f t="shared" si="3"/>
        <v>1.3635764472483216E-2</v>
      </c>
      <c r="Y33">
        <f t="shared" si="4"/>
        <v>91.25</v>
      </c>
      <c r="Z33">
        <f t="shared" si="5"/>
        <v>99.54108064912748</v>
      </c>
      <c r="AD33" t="s">
        <v>89</v>
      </c>
      <c r="AE33" t="s">
        <v>80</v>
      </c>
      <c r="AF33">
        <v>3.2</v>
      </c>
      <c r="AG33">
        <v>3.2</v>
      </c>
      <c r="AH33">
        <v>3.2</v>
      </c>
      <c r="AI33">
        <v>3.2</v>
      </c>
      <c r="AJ33">
        <v>3.2</v>
      </c>
      <c r="AK33">
        <v>3.2</v>
      </c>
    </row>
    <row r="34" spans="1:37" x14ac:dyDescent="0.2">
      <c r="E34" t="s">
        <v>83</v>
      </c>
      <c r="G34">
        <v>0</v>
      </c>
      <c r="H34">
        <v>0</v>
      </c>
      <c r="I34">
        <v>0</v>
      </c>
      <c r="L34">
        <f>$AK$20</f>
        <v>1.7</v>
      </c>
      <c r="N34">
        <f>$AK$48</f>
        <v>0.72</v>
      </c>
      <c r="O34">
        <f t="shared" si="0"/>
        <v>0.57100000000000006</v>
      </c>
      <c r="Q34">
        <f>$AK$75</f>
        <v>34</v>
      </c>
      <c r="R34">
        <f t="shared" si="6"/>
        <v>0.77753323213623582</v>
      </c>
      <c r="S34">
        <f t="shared" si="1"/>
        <v>0.99691128459176326</v>
      </c>
      <c r="T34">
        <v>1</v>
      </c>
      <c r="U34">
        <f t="shared" si="2"/>
        <v>0.77513165326172051</v>
      </c>
      <c r="V34">
        <v>70</v>
      </c>
      <c r="W34">
        <f t="shared" si="3"/>
        <v>1.6152475081320346E-2</v>
      </c>
      <c r="Y34">
        <f t="shared" si="4"/>
        <v>91.25</v>
      </c>
      <c r="Z34">
        <f t="shared" si="5"/>
        <v>103.17393458193371</v>
      </c>
      <c r="AE34" t="s">
        <v>81</v>
      </c>
      <c r="AF34">
        <v>3</v>
      </c>
      <c r="AG34">
        <v>3</v>
      </c>
      <c r="AH34">
        <v>3</v>
      </c>
      <c r="AI34">
        <v>3</v>
      </c>
      <c r="AJ34">
        <v>3</v>
      </c>
      <c r="AK34">
        <v>3</v>
      </c>
    </row>
    <row r="35" spans="1:37" x14ac:dyDescent="0.2">
      <c r="AE35" t="s">
        <v>82</v>
      </c>
      <c r="AF35">
        <v>1.8</v>
      </c>
      <c r="AG35">
        <v>1.8</v>
      </c>
      <c r="AH35">
        <v>1.8</v>
      </c>
      <c r="AI35">
        <v>1.8</v>
      </c>
      <c r="AJ35">
        <v>1.8</v>
      </c>
      <c r="AK35">
        <v>1.8</v>
      </c>
    </row>
    <row r="36" spans="1:37" x14ac:dyDescent="0.2">
      <c r="AE36" t="s">
        <v>83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</row>
    <row r="37" spans="1:37" x14ac:dyDescent="0.2">
      <c r="AD37" t="s">
        <v>90</v>
      </c>
      <c r="AE37" t="s">
        <v>80</v>
      </c>
      <c r="AF37">
        <v>3.5</v>
      </c>
      <c r="AG37">
        <v>3.5</v>
      </c>
      <c r="AH37">
        <v>3.5</v>
      </c>
      <c r="AI37">
        <v>3.5</v>
      </c>
      <c r="AJ37">
        <v>3.5</v>
      </c>
      <c r="AK37">
        <v>3.5</v>
      </c>
    </row>
    <row r="38" spans="1:37" x14ac:dyDescent="0.2">
      <c r="AE38" t="s">
        <v>81</v>
      </c>
      <c r="AF38">
        <v>1.5</v>
      </c>
      <c r="AG38">
        <v>1.5</v>
      </c>
      <c r="AH38">
        <v>1.5</v>
      </c>
      <c r="AI38">
        <v>1.5</v>
      </c>
      <c r="AJ38">
        <v>1.5</v>
      </c>
      <c r="AK38">
        <v>1.5</v>
      </c>
    </row>
    <row r="39" spans="1:37" x14ac:dyDescent="0.2">
      <c r="AE39" t="s">
        <v>82</v>
      </c>
      <c r="AF39">
        <v>0.7</v>
      </c>
      <c r="AG39">
        <v>0.7</v>
      </c>
      <c r="AH39">
        <v>0.7</v>
      </c>
      <c r="AI39">
        <v>0.7</v>
      </c>
      <c r="AJ39">
        <v>0.7</v>
      </c>
      <c r="AK39">
        <v>0.7</v>
      </c>
    </row>
    <row r="40" spans="1:37" x14ac:dyDescent="0.2">
      <c r="AE40" t="s">
        <v>83</v>
      </c>
      <c r="AF40">
        <v>1.2</v>
      </c>
      <c r="AG40">
        <v>1.2</v>
      </c>
      <c r="AH40">
        <v>1.2</v>
      </c>
      <c r="AI40">
        <v>1.2</v>
      </c>
      <c r="AJ40">
        <v>1.2</v>
      </c>
      <c r="AK40">
        <v>1.2</v>
      </c>
    </row>
    <row r="41" spans="1:37" x14ac:dyDescent="0.2">
      <c r="A41" t="s">
        <v>99</v>
      </c>
      <c r="B41" t="s">
        <v>98</v>
      </c>
      <c r="C41" t="s">
        <v>98</v>
      </c>
      <c r="D41" t="s">
        <v>72</v>
      </c>
      <c r="E41" t="s">
        <v>80</v>
      </c>
      <c r="G41">
        <v>0</v>
      </c>
      <c r="H41">
        <v>0</v>
      </c>
      <c r="I41">
        <v>0</v>
      </c>
      <c r="L41">
        <f>$AF$21</f>
        <v>1.5</v>
      </c>
      <c r="N41">
        <f>$AF$49</f>
        <v>0.51</v>
      </c>
      <c r="O41">
        <f>(0.795 * N41) - 0.0014</f>
        <v>0.40405000000000002</v>
      </c>
      <c r="Q41">
        <f>$AF$76</f>
        <v>58</v>
      </c>
      <c r="R41">
        <f>(104.7 * O41 + 0.307 * Q41- 15) * POWER(Q41, 0.75) * 10^-3</f>
        <v>0.94807819706718344</v>
      </c>
      <c r="S41">
        <f>1-EXP(-2*POWER(L41,2))</f>
        <v>0.98889100346175773</v>
      </c>
      <c r="T41">
        <v>1</v>
      </c>
      <c r="U41">
        <f>R41 * S41 * T41</f>
        <v>0.93754599965798113</v>
      </c>
      <c r="V41">
        <v>25</v>
      </c>
      <c r="W41">
        <f>(U41 * 0.0188) + 0.00158</f>
        <v>1.9205864793570046E-2</v>
      </c>
      <c r="Y41">
        <f>$AF$4</f>
        <v>91.25</v>
      </c>
      <c r="Z41">
        <f>V41*W41*Y41</f>
        <v>43.81337906033167</v>
      </c>
      <c r="AA41">
        <f>SUM(Z41:Z64)*10^-3</f>
        <v>1.3794354873019006</v>
      </c>
    </row>
    <row r="42" spans="1:37" x14ac:dyDescent="0.2">
      <c r="E42" t="s">
        <v>81</v>
      </c>
      <c r="G42">
        <v>0</v>
      </c>
      <c r="H42">
        <v>0</v>
      </c>
      <c r="I42">
        <v>0</v>
      </c>
      <c r="L42">
        <f>$AF$22</f>
        <v>2</v>
      </c>
      <c r="N42">
        <f>$AF$50</f>
        <v>0.55000000000000004</v>
      </c>
      <c r="O42">
        <f t="shared" ref="O42:O64" si="9">(0.795 * N42) - 0.0014</f>
        <v>0.43585000000000007</v>
      </c>
      <c r="Q42">
        <f>$AF$77</f>
        <v>61</v>
      </c>
      <c r="R42">
        <f>(104.7 * O42 + 0.307 * Q42- 15) * POWER(Q42, 0.75) * 10^-3</f>
        <v>1.0773997799878814</v>
      </c>
      <c r="S42">
        <f t="shared" ref="S42:S64" si="10">1-EXP(-2*POWER(L42,2))</f>
        <v>0.99966453737209748</v>
      </c>
      <c r="T42">
        <v>1</v>
      </c>
      <c r="U42">
        <f t="shared" ref="U42:U64" si="11">R42 * S42 * T42</f>
        <v>1.0770383526263851</v>
      </c>
      <c r="V42">
        <v>20</v>
      </c>
      <c r="W42">
        <f t="shared" ref="W42:W64" si="12">(U42 * 0.0188) + 0.00158</f>
        <v>2.1828321029376044E-2</v>
      </c>
      <c r="Y42">
        <f t="shared" ref="Y42:Y64" si="13">$AF$4</f>
        <v>91.25</v>
      </c>
      <c r="Z42">
        <f t="shared" ref="Z42:Z64" si="14">V42*W42*Y42</f>
        <v>39.836685878611277</v>
      </c>
    </row>
    <row r="43" spans="1:37" x14ac:dyDescent="0.2">
      <c r="E43" t="s">
        <v>82</v>
      </c>
      <c r="G43">
        <v>0</v>
      </c>
      <c r="H43">
        <v>0</v>
      </c>
      <c r="I43">
        <v>0</v>
      </c>
      <c r="L43">
        <f>$AF$23</f>
        <v>2.2000000000000002</v>
      </c>
      <c r="N43">
        <f>$AF$51</f>
        <v>0.59</v>
      </c>
      <c r="O43">
        <f t="shared" si="9"/>
        <v>0.46765000000000001</v>
      </c>
      <c r="Q43">
        <f>$AF$78</f>
        <v>63</v>
      </c>
      <c r="R43">
        <f t="shared" ref="R43:R48" si="15">(104.7 * O43 + 0.307 * Q43- 15) * POWER(Q43, 0.75) * 10^-3</f>
        <v>1.1919686844423474</v>
      </c>
      <c r="S43">
        <f t="shared" si="10"/>
        <v>0.99993747849622516</v>
      </c>
      <c r="T43">
        <v>1</v>
      </c>
      <c r="U43">
        <f t="shared" si="11"/>
        <v>1.1918941607677436</v>
      </c>
      <c r="V43">
        <v>19</v>
      </c>
      <c r="W43">
        <f t="shared" si="12"/>
        <v>2.3987610222433581E-2</v>
      </c>
      <c r="Y43">
        <f t="shared" si="13"/>
        <v>91.25</v>
      </c>
      <c r="Z43">
        <f t="shared" si="14"/>
        <v>41.588519223144225</v>
      </c>
      <c r="AE43" t="s">
        <v>92</v>
      </c>
    </row>
    <row r="44" spans="1:37" x14ac:dyDescent="0.2">
      <c r="E44" t="s">
        <v>83</v>
      </c>
      <c r="G44">
        <v>0</v>
      </c>
      <c r="H44">
        <v>0</v>
      </c>
      <c r="I44">
        <v>0</v>
      </c>
      <c r="L44">
        <f>$AF$24</f>
        <v>1.7</v>
      </c>
      <c r="N44">
        <f>$AF$52</f>
        <v>0.57999999999999996</v>
      </c>
      <c r="O44">
        <f t="shared" si="9"/>
        <v>0.4597</v>
      </c>
      <c r="Q44">
        <f>$AF$79</f>
        <v>60</v>
      </c>
      <c r="R44">
        <f t="shared" si="15"/>
        <v>1.1113403376673825</v>
      </c>
      <c r="S44">
        <f t="shared" si="10"/>
        <v>0.99691128459176326</v>
      </c>
      <c r="T44">
        <v>1</v>
      </c>
      <c r="U44">
        <f t="shared" si="11"/>
        <v>1.1079077236426342</v>
      </c>
      <c r="V44">
        <v>25</v>
      </c>
      <c r="W44">
        <f t="shared" si="12"/>
        <v>2.2408665204481527E-2</v>
      </c>
      <c r="Y44">
        <f t="shared" si="13"/>
        <v>91.25</v>
      </c>
      <c r="Z44">
        <f t="shared" si="14"/>
        <v>51.11976749772348</v>
      </c>
      <c r="AE44" t="s">
        <v>93</v>
      </c>
    </row>
    <row r="45" spans="1:37" x14ac:dyDescent="0.2">
      <c r="A45">
        <v>2</v>
      </c>
      <c r="D45" t="s">
        <v>73</v>
      </c>
      <c r="E45" t="s">
        <v>80</v>
      </c>
      <c r="G45">
        <v>0</v>
      </c>
      <c r="H45">
        <v>0</v>
      </c>
      <c r="I45">
        <v>0</v>
      </c>
      <c r="L45">
        <f>$AG$21</f>
        <v>1.5</v>
      </c>
      <c r="N45">
        <f>$AG$49</f>
        <v>0.51</v>
      </c>
      <c r="O45">
        <f t="shared" si="9"/>
        <v>0.40405000000000002</v>
      </c>
      <c r="Q45">
        <f>$AG$76</f>
        <v>50</v>
      </c>
      <c r="R45">
        <f t="shared" si="15"/>
        <v>0.80202447976807656</v>
      </c>
      <c r="S45">
        <f t="shared" si="10"/>
        <v>0.98889100346175773</v>
      </c>
      <c r="T45">
        <v>1</v>
      </c>
      <c r="U45">
        <f t="shared" si="11"/>
        <v>0.7931147925987474</v>
      </c>
      <c r="V45">
        <v>50</v>
      </c>
      <c r="W45">
        <f t="shared" si="12"/>
        <v>1.6490558100856454E-2</v>
      </c>
      <c r="Y45">
        <f t="shared" si="13"/>
        <v>91.25</v>
      </c>
      <c r="Z45">
        <f t="shared" si="14"/>
        <v>75.238171335157574</v>
      </c>
      <c r="AE45" t="s">
        <v>80</v>
      </c>
      <c r="AF45">
        <v>0.75</v>
      </c>
      <c r="AG45">
        <v>0.75</v>
      </c>
      <c r="AH45">
        <v>0.75</v>
      </c>
      <c r="AI45">
        <v>0.75</v>
      </c>
      <c r="AJ45">
        <v>0.75</v>
      </c>
      <c r="AK45">
        <v>0.75</v>
      </c>
    </row>
    <row r="46" spans="1:37" x14ac:dyDescent="0.2">
      <c r="E46" t="s">
        <v>81</v>
      </c>
      <c r="G46">
        <v>0</v>
      </c>
      <c r="H46">
        <v>0</v>
      </c>
      <c r="I46">
        <v>0</v>
      </c>
      <c r="L46">
        <f>$AG$22</f>
        <v>2</v>
      </c>
      <c r="N46">
        <f>$AG$50</f>
        <v>0.55000000000000004</v>
      </c>
      <c r="O46">
        <f t="shared" si="9"/>
        <v>0.43585000000000007</v>
      </c>
      <c r="Q46">
        <f>$AG$77</f>
        <v>55</v>
      </c>
      <c r="R46">
        <f t="shared" si="15"/>
        <v>0.95969823125361531</v>
      </c>
      <c r="S46">
        <f t="shared" si="10"/>
        <v>0.99966453737209748</v>
      </c>
      <c r="T46">
        <v>1</v>
      </c>
      <c r="U46">
        <f t="shared" si="11"/>
        <v>0.95937628836296562</v>
      </c>
      <c r="V46">
        <v>60</v>
      </c>
      <c r="W46">
        <f t="shared" si="12"/>
        <v>1.9616274221223758E-2</v>
      </c>
      <c r="Y46">
        <f t="shared" si="13"/>
        <v>91.25</v>
      </c>
      <c r="Z46">
        <f t="shared" si="14"/>
        <v>107.39910136120008</v>
      </c>
      <c r="AE46" t="s">
        <v>81</v>
      </c>
      <c r="AF46">
        <v>0.61</v>
      </c>
      <c r="AG46">
        <v>0.61</v>
      </c>
      <c r="AH46">
        <v>0.61</v>
      </c>
      <c r="AI46">
        <v>0.61</v>
      </c>
      <c r="AJ46">
        <v>0.61</v>
      </c>
      <c r="AK46">
        <v>0.61</v>
      </c>
    </row>
    <row r="47" spans="1:37" x14ac:dyDescent="0.2">
      <c r="E47" t="s">
        <v>82</v>
      </c>
      <c r="G47">
        <v>0</v>
      </c>
      <c r="H47">
        <v>0</v>
      </c>
      <c r="I47">
        <v>0</v>
      </c>
      <c r="L47">
        <f>$AG$23</f>
        <v>2.2000000000000002</v>
      </c>
      <c r="N47">
        <f>$AG$51</f>
        <v>0.59</v>
      </c>
      <c r="O47">
        <f t="shared" si="9"/>
        <v>0.46765000000000001</v>
      </c>
      <c r="Q47">
        <f>$AG$78</f>
        <v>55</v>
      </c>
      <c r="R47">
        <f t="shared" si="15"/>
        <v>1.0269410358295947</v>
      </c>
      <c r="S47">
        <f t="shared" si="10"/>
        <v>0.99993747849622516</v>
      </c>
      <c r="T47">
        <v>1</v>
      </c>
      <c r="U47">
        <f t="shared" si="11"/>
        <v>1.0268768299317466</v>
      </c>
      <c r="V47">
        <v>55</v>
      </c>
      <c r="W47">
        <f t="shared" si="12"/>
        <v>2.0885284402716836E-2</v>
      </c>
      <c r="Y47">
        <f t="shared" si="13"/>
        <v>91.25</v>
      </c>
      <c r="Z47">
        <f t="shared" si="14"/>
        <v>104.81802109613513</v>
      </c>
      <c r="AE47" t="s">
        <v>82</v>
      </c>
      <c r="AF47">
        <v>0.64</v>
      </c>
      <c r="AG47">
        <v>0.64</v>
      </c>
      <c r="AH47">
        <v>0.64</v>
      </c>
      <c r="AI47">
        <v>0.64</v>
      </c>
      <c r="AJ47">
        <v>0.64</v>
      </c>
      <c r="AK47">
        <v>0.64</v>
      </c>
    </row>
    <row r="48" spans="1:37" x14ac:dyDescent="0.2">
      <c r="E48" t="s">
        <v>83</v>
      </c>
      <c r="G48">
        <v>0</v>
      </c>
      <c r="H48">
        <v>0</v>
      </c>
      <c r="I48">
        <v>0</v>
      </c>
      <c r="L48">
        <f>$AG$24</f>
        <v>1.7</v>
      </c>
      <c r="N48">
        <f>$AG$52</f>
        <v>0.57999999999999996</v>
      </c>
      <c r="O48">
        <f t="shared" si="9"/>
        <v>0.4597</v>
      </c>
      <c r="Q48">
        <f>$AG$79</f>
        <v>50</v>
      </c>
      <c r="R48">
        <f t="shared" si="15"/>
        <v>0.91158128354326629</v>
      </c>
      <c r="S48">
        <f t="shared" si="10"/>
        <v>0.99691128459176326</v>
      </c>
      <c r="T48">
        <v>1</v>
      </c>
      <c r="U48">
        <f t="shared" si="11"/>
        <v>0.90876566838692596</v>
      </c>
      <c r="V48">
        <v>55</v>
      </c>
      <c r="W48">
        <f t="shared" si="12"/>
        <v>1.8664794565674211E-2</v>
      </c>
      <c r="Y48">
        <f t="shared" si="13"/>
        <v>91.25</v>
      </c>
      <c r="Z48">
        <f t="shared" si="14"/>
        <v>93.673937726477448</v>
      </c>
      <c r="AE48" t="s">
        <v>83</v>
      </c>
      <c r="AF48">
        <v>0.72</v>
      </c>
      <c r="AG48">
        <v>0.72</v>
      </c>
      <c r="AH48">
        <v>0.72</v>
      </c>
      <c r="AI48">
        <v>0.72</v>
      </c>
      <c r="AJ48">
        <v>0.72</v>
      </c>
      <c r="AK48">
        <v>0.72</v>
      </c>
    </row>
    <row r="49" spans="1:37" x14ac:dyDescent="0.2">
      <c r="A49">
        <v>3</v>
      </c>
      <c r="D49" t="s">
        <v>74</v>
      </c>
      <c r="E49" t="s">
        <v>80</v>
      </c>
      <c r="G49">
        <v>92</v>
      </c>
      <c r="H49">
        <v>87</v>
      </c>
      <c r="I49">
        <f>(G49/100*MIN(H49,100)/100)</f>
        <v>0.80040000000000011</v>
      </c>
      <c r="J49">
        <f>$AF$3</f>
        <v>1.3</v>
      </c>
      <c r="L49">
        <f>$AH$21</f>
        <v>1.5</v>
      </c>
      <c r="N49">
        <f>$AH$49</f>
        <v>0.51</v>
      </c>
      <c r="O49">
        <f t="shared" si="9"/>
        <v>0.40405000000000002</v>
      </c>
      <c r="Q49">
        <f>$AH$76</f>
        <v>35</v>
      </c>
      <c r="R49">
        <f>(104.7 * O49 + 0.307 * Q49- 15) * POWER(Q49, 0.75) * 10^-3</f>
        <v>0.5475133082693564</v>
      </c>
      <c r="S49">
        <f t="shared" si="10"/>
        <v>0.98889100346175773</v>
      </c>
      <c r="T49">
        <f>(I49 * J49) + (1 - I49)</f>
        <v>1.2401200000000001</v>
      </c>
      <c r="U49">
        <f t="shared" si="11"/>
        <v>0.67143939289888555</v>
      </c>
      <c r="V49">
        <v>60</v>
      </c>
      <c r="W49">
        <f t="shared" si="12"/>
        <v>1.4203060586499049E-2</v>
      </c>
      <c r="Y49">
        <f t="shared" si="13"/>
        <v>91.25</v>
      </c>
      <c r="Z49">
        <f t="shared" si="14"/>
        <v>77.761756711082285</v>
      </c>
      <c r="AE49" t="s">
        <v>80</v>
      </c>
      <c r="AF49">
        <v>0.51</v>
      </c>
      <c r="AG49">
        <v>0.51</v>
      </c>
      <c r="AH49">
        <v>0.51</v>
      </c>
      <c r="AI49">
        <v>0.51</v>
      </c>
      <c r="AJ49">
        <v>0.51</v>
      </c>
      <c r="AK49">
        <v>0.51</v>
      </c>
    </row>
    <row r="50" spans="1:37" x14ac:dyDescent="0.2">
      <c r="E50" t="s">
        <v>81</v>
      </c>
      <c r="G50">
        <v>0</v>
      </c>
      <c r="H50">
        <v>0</v>
      </c>
      <c r="I50">
        <f>(G50/100*MIN(H50,100)/100)</f>
        <v>0</v>
      </c>
      <c r="L50">
        <f>$AH$22</f>
        <v>2</v>
      </c>
      <c r="N50">
        <f>$AH$50</f>
        <v>0.55000000000000004</v>
      </c>
      <c r="O50">
        <f t="shared" si="9"/>
        <v>0.43585000000000007</v>
      </c>
      <c r="Q50">
        <f>$AH$77</f>
        <v>40</v>
      </c>
      <c r="R50">
        <f t="shared" ref="R50:R64" si="16">(104.7 * O50 + 0.307 * Q50- 15) * POWER(Q50, 0.75) * 10^-3</f>
        <v>0.68255692885182395</v>
      </c>
      <c r="S50">
        <f t="shared" si="10"/>
        <v>0.99966453737209748</v>
      </c>
      <c r="T50">
        <f t="shared" ref="T50:T56" si="17">(I50 * J50) + (1 - I50)</f>
        <v>1</v>
      </c>
      <c r="U50">
        <f t="shared" si="11"/>
        <v>0.68232795651077827</v>
      </c>
      <c r="V50">
        <v>70</v>
      </c>
      <c r="W50">
        <f t="shared" si="12"/>
        <v>1.4407765582402633E-2</v>
      </c>
      <c r="Y50">
        <f t="shared" si="13"/>
        <v>91.25</v>
      </c>
      <c r="Z50">
        <f t="shared" si="14"/>
        <v>92.029602657596826</v>
      </c>
      <c r="AE50" t="s">
        <v>81</v>
      </c>
      <c r="AF50">
        <v>0.55000000000000004</v>
      </c>
      <c r="AG50">
        <v>0.55000000000000004</v>
      </c>
      <c r="AH50">
        <v>0.55000000000000004</v>
      </c>
      <c r="AI50">
        <v>0.55000000000000004</v>
      </c>
      <c r="AJ50">
        <v>0.55000000000000004</v>
      </c>
      <c r="AK50">
        <v>0.55000000000000004</v>
      </c>
    </row>
    <row r="51" spans="1:37" x14ac:dyDescent="0.2">
      <c r="E51" t="s">
        <v>82</v>
      </c>
      <c r="G51">
        <v>0</v>
      </c>
      <c r="H51">
        <v>0</v>
      </c>
      <c r="I51">
        <f t="shared" ref="I51:I53" si="18">(G51/100*MIN(H51,100)/100)</f>
        <v>0</v>
      </c>
      <c r="L51">
        <f>$AH$23</f>
        <v>2.2000000000000002</v>
      </c>
      <c r="N51">
        <f>$AH$51</f>
        <v>0.59</v>
      </c>
      <c r="O51">
        <f t="shared" si="9"/>
        <v>0.46765000000000001</v>
      </c>
      <c r="Q51">
        <f>$AH$78</f>
        <v>40</v>
      </c>
      <c r="R51">
        <f t="shared" si="16"/>
        <v>0.73551337046383869</v>
      </c>
      <c r="S51">
        <f t="shared" si="10"/>
        <v>0.99993747849622516</v>
      </c>
      <c r="T51">
        <f t="shared" si="17"/>
        <v>1</v>
      </c>
      <c r="U51">
        <f t="shared" si="11"/>
        <v>0.73546738506187082</v>
      </c>
      <c r="V51">
        <v>60</v>
      </c>
      <c r="W51">
        <f t="shared" si="12"/>
        <v>1.5406786839163172E-2</v>
      </c>
      <c r="Y51">
        <f t="shared" si="13"/>
        <v>91.25</v>
      </c>
      <c r="Z51">
        <f t="shared" si="14"/>
        <v>84.352157944418366</v>
      </c>
      <c r="AE51" t="s">
        <v>82</v>
      </c>
      <c r="AF51">
        <v>0.59</v>
      </c>
      <c r="AG51">
        <v>0.59</v>
      </c>
      <c r="AH51">
        <v>0.59</v>
      </c>
      <c r="AI51">
        <v>0.59</v>
      </c>
      <c r="AJ51">
        <v>0.59</v>
      </c>
      <c r="AK51">
        <v>0.59</v>
      </c>
    </row>
    <row r="52" spans="1:37" x14ac:dyDescent="0.2">
      <c r="E52" t="s">
        <v>83</v>
      </c>
      <c r="G52">
        <v>0</v>
      </c>
      <c r="H52">
        <v>0</v>
      </c>
      <c r="I52">
        <f t="shared" si="18"/>
        <v>0</v>
      </c>
      <c r="L52">
        <f>$AH$24</f>
        <v>1.7</v>
      </c>
      <c r="N52">
        <f>$AH$52</f>
        <v>0.57999999999999996</v>
      </c>
      <c r="O52">
        <f t="shared" si="9"/>
        <v>0.4597</v>
      </c>
      <c r="Q52">
        <f>$AH$79</f>
        <v>35</v>
      </c>
      <c r="R52">
        <f t="shared" si="16"/>
        <v>0.63135555036204949</v>
      </c>
      <c r="S52">
        <f t="shared" si="10"/>
        <v>0.99691128459176326</v>
      </c>
      <c r="T52">
        <f t="shared" si="17"/>
        <v>1</v>
      </c>
      <c r="U52">
        <f t="shared" si="11"/>
        <v>0.62940547274557046</v>
      </c>
      <c r="V52">
        <v>50</v>
      </c>
      <c r="W52">
        <f t="shared" si="12"/>
        <v>1.3412822887616725E-2</v>
      </c>
      <c r="Y52">
        <f t="shared" si="13"/>
        <v>91.25</v>
      </c>
      <c r="Z52">
        <f t="shared" si="14"/>
        <v>61.196004424751308</v>
      </c>
      <c r="AE52" t="s">
        <v>83</v>
      </c>
      <c r="AF52">
        <v>0.57999999999999996</v>
      </c>
      <c r="AG52">
        <v>0.57999999999999996</v>
      </c>
      <c r="AH52">
        <v>0.57999999999999996</v>
      </c>
      <c r="AI52">
        <v>0.57999999999999996</v>
      </c>
      <c r="AJ52">
        <v>0.57999999999999996</v>
      </c>
      <c r="AK52">
        <v>0.57999999999999996</v>
      </c>
    </row>
    <row r="53" spans="1:37" x14ac:dyDescent="0.2">
      <c r="A53">
        <v>4</v>
      </c>
      <c r="D53" t="s">
        <v>75</v>
      </c>
      <c r="E53" t="s">
        <v>80</v>
      </c>
      <c r="G53">
        <v>95</v>
      </c>
      <c r="H53">
        <v>88</v>
      </c>
      <c r="I53">
        <f t="shared" si="18"/>
        <v>0.83599999999999997</v>
      </c>
      <c r="J53">
        <f>$AF$3</f>
        <v>1.3</v>
      </c>
      <c r="L53">
        <f>$AI$21</f>
        <v>1.5</v>
      </c>
      <c r="N53">
        <f>$AI$49</f>
        <v>0.51</v>
      </c>
      <c r="O53">
        <f t="shared" si="9"/>
        <v>0.40405000000000002</v>
      </c>
      <c r="Q53">
        <f>$AI$76</f>
        <v>40</v>
      </c>
      <c r="R53">
        <f t="shared" si="16"/>
        <v>0.62960048723980899</v>
      </c>
      <c r="S53">
        <f t="shared" si="10"/>
        <v>0.98889100346175773</v>
      </c>
      <c r="T53">
        <f t="shared" si="17"/>
        <v>1.2507999999999999</v>
      </c>
      <c r="U53">
        <f t="shared" si="11"/>
        <v>0.77875590701431807</v>
      </c>
      <c r="V53">
        <v>40</v>
      </c>
      <c r="W53">
        <f t="shared" si="12"/>
        <v>1.6220611051869182E-2</v>
      </c>
      <c r="Y53">
        <f t="shared" si="13"/>
        <v>91.25</v>
      </c>
      <c r="Z53">
        <f t="shared" si="14"/>
        <v>59.205230339322519</v>
      </c>
      <c r="AE53" t="s">
        <v>80</v>
      </c>
      <c r="AF53">
        <v>0.7</v>
      </c>
      <c r="AG53">
        <v>0.7</v>
      </c>
      <c r="AH53">
        <v>0.7</v>
      </c>
      <c r="AI53">
        <v>0.7</v>
      </c>
      <c r="AJ53">
        <v>0.7</v>
      </c>
      <c r="AK53">
        <v>0.7</v>
      </c>
    </row>
    <row r="54" spans="1:37" x14ac:dyDescent="0.2">
      <c r="E54" t="s">
        <v>81</v>
      </c>
      <c r="G54">
        <v>0</v>
      </c>
      <c r="H54">
        <v>0</v>
      </c>
      <c r="I54">
        <v>0</v>
      </c>
      <c r="L54">
        <f>$AI$22</f>
        <v>2</v>
      </c>
      <c r="N54">
        <f>$AI$50</f>
        <v>0.55000000000000004</v>
      </c>
      <c r="O54">
        <f t="shared" si="9"/>
        <v>0.43585000000000007</v>
      </c>
      <c r="Q54">
        <f>$AI$77</f>
        <v>45</v>
      </c>
      <c r="R54">
        <f t="shared" si="16"/>
        <v>0.77226516609487061</v>
      </c>
      <c r="S54">
        <f t="shared" si="10"/>
        <v>0.99966453737209748</v>
      </c>
      <c r="T54">
        <f t="shared" si="17"/>
        <v>1</v>
      </c>
      <c r="U54">
        <f t="shared" si="11"/>
        <v>0.77200609999281489</v>
      </c>
      <c r="V54">
        <v>45</v>
      </c>
      <c r="W54">
        <f t="shared" si="12"/>
        <v>1.609371467986492E-2</v>
      </c>
      <c r="Y54">
        <f t="shared" si="13"/>
        <v>91.25</v>
      </c>
      <c r="Z54">
        <f t="shared" si="14"/>
        <v>66.084815904195324</v>
      </c>
      <c r="AE54" t="s">
        <v>81</v>
      </c>
      <c r="AF54">
        <v>0.55000000000000004</v>
      </c>
      <c r="AG54">
        <v>0.55000000000000004</v>
      </c>
      <c r="AH54">
        <v>0.55000000000000004</v>
      </c>
      <c r="AI54">
        <v>0.55000000000000004</v>
      </c>
      <c r="AJ54">
        <v>0.55000000000000004</v>
      </c>
      <c r="AK54">
        <v>0.55000000000000004</v>
      </c>
    </row>
    <row r="55" spans="1:37" x14ac:dyDescent="0.2">
      <c r="E55" t="s">
        <v>82</v>
      </c>
      <c r="G55">
        <v>0</v>
      </c>
      <c r="H55">
        <v>0</v>
      </c>
      <c r="I55">
        <v>0</v>
      </c>
      <c r="L55">
        <f>$AI$23</f>
        <v>2.2000000000000002</v>
      </c>
      <c r="N55">
        <f>$AI$51</f>
        <v>0.59</v>
      </c>
      <c r="O55">
        <f t="shared" si="9"/>
        <v>0.46765000000000001</v>
      </c>
      <c r="Q55">
        <f>$AI$78</f>
        <v>45</v>
      </c>
      <c r="R55">
        <f t="shared" si="16"/>
        <v>0.8301124785833186</v>
      </c>
      <c r="S55">
        <f t="shared" si="10"/>
        <v>0.99993747849622516</v>
      </c>
      <c r="T55">
        <f t="shared" si="17"/>
        <v>1</v>
      </c>
      <c r="U55">
        <f t="shared" si="11"/>
        <v>0.83006057870285532</v>
      </c>
      <c r="V55">
        <v>40</v>
      </c>
      <c r="W55">
        <f t="shared" si="12"/>
        <v>1.7185138879613683E-2</v>
      </c>
      <c r="Y55">
        <f t="shared" si="13"/>
        <v>91.25</v>
      </c>
      <c r="Z55">
        <f t="shared" si="14"/>
        <v>62.725756910589936</v>
      </c>
      <c r="AE55" t="s">
        <v>82</v>
      </c>
      <c r="AF55">
        <v>0.55000000000000004</v>
      </c>
      <c r="AG55">
        <v>0.55000000000000004</v>
      </c>
      <c r="AH55">
        <v>0.55000000000000004</v>
      </c>
      <c r="AI55">
        <v>0.55000000000000004</v>
      </c>
      <c r="AJ55">
        <v>0.55000000000000004</v>
      </c>
      <c r="AK55">
        <v>0.55000000000000004</v>
      </c>
    </row>
    <row r="56" spans="1:37" x14ac:dyDescent="0.2">
      <c r="E56" t="s">
        <v>83</v>
      </c>
      <c r="G56">
        <v>0</v>
      </c>
      <c r="H56">
        <v>0</v>
      </c>
      <c r="I56">
        <v>0</v>
      </c>
      <c r="L56">
        <f>$AI$24</f>
        <v>1.7</v>
      </c>
      <c r="N56">
        <f>$AI$52</f>
        <v>0.57999999999999996</v>
      </c>
      <c r="O56">
        <f t="shared" si="9"/>
        <v>0.4597</v>
      </c>
      <c r="Q56">
        <f>$AI$79</f>
        <v>42</v>
      </c>
      <c r="R56">
        <f t="shared" si="16"/>
        <v>0.7593235966549482</v>
      </c>
      <c r="S56">
        <f t="shared" si="10"/>
        <v>0.99691128459176326</v>
      </c>
      <c r="T56">
        <f t="shared" si="17"/>
        <v>1</v>
      </c>
      <c r="U56">
        <f t="shared" si="11"/>
        <v>0.75697826216212227</v>
      </c>
      <c r="V56">
        <v>35</v>
      </c>
      <c r="W56">
        <f t="shared" si="12"/>
        <v>1.5811191328647899E-2</v>
      </c>
      <c r="Y56">
        <f t="shared" si="13"/>
        <v>91.25</v>
      </c>
      <c r="Z56">
        <f t="shared" si="14"/>
        <v>50.496992305869227</v>
      </c>
      <c r="AE56" t="s">
        <v>83</v>
      </c>
      <c r="AF56">
        <v>0.75</v>
      </c>
      <c r="AG56">
        <v>0.75</v>
      </c>
      <c r="AH56">
        <v>0.75</v>
      </c>
      <c r="AI56">
        <v>0.75</v>
      </c>
      <c r="AJ56">
        <v>0.75</v>
      </c>
      <c r="AK56">
        <v>0.75</v>
      </c>
    </row>
    <row r="57" spans="1:37" x14ac:dyDescent="0.2">
      <c r="A57">
        <v>5</v>
      </c>
      <c r="D57" t="s">
        <v>76</v>
      </c>
      <c r="E57" t="s">
        <v>80</v>
      </c>
      <c r="G57">
        <v>0</v>
      </c>
      <c r="H57">
        <v>0</v>
      </c>
      <c r="I57">
        <v>0</v>
      </c>
      <c r="L57">
        <f>$AJ$21</f>
        <v>1.5</v>
      </c>
      <c r="N57">
        <f>$AJ$49</f>
        <v>0.51</v>
      </c>
      <c r="O57">
        <f t="shared" si="9"/>
        <v>0.40405000000000002</v>
      </c>
      <c r="Q57">
        <f>$AJ$76</f>
        <v>45</v>
      </c>
      <c r="R57">
        <f t="shared" si="16"/>
        <v>0.71441785360642229</v>
      </c>
      <c r="S57">
        <f t="shared" si="10"/>
        <v>0.98889100346175773</v>
      </c>
      <c r="T57">
        <v>1</v>
      </c>
      <c r="U57">
        <f t="shared" si="11"/>
        <v>0.70648138814385009</v>
      </c>
      <c r="V57">
        <v>25</v>
      </c>
      <c r="W57">
        <f t="shared" si="12"/>
        <v>1.4861850097104381E-2</v>
      </c>
      <c r="Y57">
        <f t="shared" si="13"/>
        <v>91.25</v>
      </c>
      <c r="Z57">
        <f t="shared" si="14"/>
        <v>33.903595534019367</v>
      </c>
      <c r="AE57" t="s">
        <v>80</v>
      </c>
      <c r="AF57">
        <v>0.75</v>
      </c>
      <c r="AG57">
        <v>0.75</v>
      </c>
      <c r="AH57">
        <v>0.75</v>
      </c>
      <c r="AI57">
        <v>0.75</v>
      </c>
      <c r="AJ57">
        <v>0.75</v>
      </c>
      <c r="AK57">
        <v>0.75</v>
      </c>
    </row>
    <row r="58" spans="1:37" x14ac:dyDescent="0.2">
      <c r="E58" t="s">
        <v>81</v>
      </c>
      <c r="G58">
        <v>0</v>
      </c>
      <c r="H58">
        <v>0</v>
      </c>
      <c r="I58">
        <v>0</v>
      </c>
      <c r="L58">
        <f>$AJ$22</f>
        <v>2</v>
      </c>
      <c r="N58">
        <f>$AJ$50</f>
        <v>0.55000000000000004</v>
      </c>
      <c r="O58">
        <f t="shared" si="9"/>
        <v>0.43585000000000007</v>
      </c>
      <c r="Q58">
        <f>$AJ$77</f>
        <v>50</v>
      </c>
      <c r="R58">
        <f t="shared" si="16"/>
        <v>0.8646283676396137</v>
      </c>
      <c r="S58">
        <f t="shared" si="10"/>
        <v>0.99966453737209748</v>
      </c>
      <c r="T58">
        <v>1</v>
      </c>
      <c r="U58">
        <f t="shared" si="11"/>
        <v>0.86433831713524623</v>
      </c>
      <c r="V58">
        <v>30</v>
      </c>
      <c r="W58">
        <f t="shared" si="12"/>
        <v>1.782956036214263E-2</v>
      </c>
      <c r="Y58">
        <f t="shared" si="13"/>
        <v>91.25</v>
      </c>
      <c r="Z58">
        <f t="shared" si="14"/>
        <v>48.808421491365451</v>
      </c>
      <c r="AE58" t="s">
        <v>81</v>
      </c>
      <c r="AF58">
        <v>0.55000000000000004</v>
      </c>
      <c r="AG58">
        <v>0.55000000000000004</v>
      </c>
      <c r="AH58">
        <v>0.55000000000000004</v>
      </c>
      <c r="AI58">
        <v>0.55000000000000004</v>
      </c>
      <c r="AJ58">
        <v>0.55000000000000004</v>
      </c>
      <c r="AK58">
        <v>0.55000000000000004</v>
      </c>
    </row>
    <row r="59" spans="1:37" x14ac:dyDescent="0.2">
      <c r="E59" t="s">
        <v>82</v>
      </c>
      <c r="G59">
        <v>0</v>
      </c>
      <c r="H59">
        <v>0</v>
      </c>
      <c r="I59">
        <v>0</v>
      </c>
      <c r="L59">
        <f>$AJ$23</f>
        <v>2.2000000000000002</v>
      </c>
      <c r="N59">
        <f>$AJ$51</f>
        <v>0.59</v>
      </c>
      <c r="O59">
        <f t="shared" si="9"/>
        <v>0.46765000000000001</v>
      </c>
      <c r="Q59">
        <f>$AJ$78</f>
        <v>50</v>
      </c>
      <c r="R59">
        <f t="shared" si="16"/>
        <v>0.92723225551115063</v>
      </c>
      <c r="S59">
        <f t="shared" si="10"/>
        <v>0.99993747849622516</v>
      </c>
      <c r="T59">
        <v>1</v>
      </c>
      <c r="U59">
        <f t="shared" si="11"/>
        <v>0.92717428355618758</v>
      </c>
      <c r="V59">
        <v>25</v>
      </c>
      <c r="W59">
        <f t="shared" si="12"/>
        <v>1.9010876530856327E-2</v>
      </c>
      <c r="Y59">
        <f t="shared" si="13"/>
        <v>91.25</v>
      </c>
      <c r="Z59">
        <f t="shared" si="14"/>
        <v>43.368562086015991</v>
      </c>
      <c r="AE59" t="s">
        <v>82</v>
      </c>
      <c r="AF59">
        <v>0.67</v>
      </c>
      <c r="AG59">
        <v>0.67</v>
      </c>
      <c r="AH59">
        <v>0.67</v>
      </c>
      <c r="AI59">
        <v>0.67</v>
      </c>
      <c r="AJ59">
        <v>0.67</v>
      </c>
      <c r="AK59">
        <v>0.67</v>
      </c>
    </row>
    <row r="60" spans="1:37" x14ac:dyDescent="0.2">
      <c r="E60" t="s">
        <v>83</v>
      </c>
      <c r="G60">
        <v>0</v>
      </c>
      <c r="H60">
        <v>0</v>
      </c>
      <c r="I60">
        <v>0</v>
      </c>
      <c r="L60">
        <f>$AJ$24</f>
        <v>1.7</v>
      </c>
      <c r="N60">
        <f>$AJ$52</f>
        <v>0.57999999999999996</v>
      </c>
      <c r="O60">
        <f t="shared" si="9"/>
        <v>0.4597</v>
      </c>
      <c r="Q60">
        <f>$AJ$79</f>
        <v>48</v>
      </c>
      <c r="R60">
        <f t="shared" si="16"/>
        <v>0.87289783757888828</v>
      </c>
      <c r="S60">
        <f t="shared" si="10"/>
        <v>0.99691128459176326</v>
      </c>
      <c r="T60">
        <v>1</v>
      </c>
      <c r="U60">
        <f t="shared" si="11"/>
        <v>0.87020170457814183</v>
      </c>
      <c r="V60">
        <v>20</v>
      </c>
      <c r="W60">
        <f t="shared" si="12"/>
        <v>1.7939792046069068E-2</v>
      </c>
      <c r="Y60">
        <f t="shared" si="13"/>
        <v>91.25</v>
      </c>
      <c r="Z60">
        <f t="shared" si="14"/>
        <v>32.740120484076051</v>
      </c>
      <c r="AE60" t="s">
        <v>83</v>
      </c>
      <c r="AF60">
        <v>0.7</v>
      </c>
      <c r="AG60">
        <v>0.7</v>
      </c>
      <c r="AH60">
        <v>0.7</v>
      </c>
      <c r="AI60">
        <v>0.7</v>
      </c>
      <c r="AJ60">
        <v>0.7</v>
      </c>
      <c r="AK60">
        <v>0.7</v>
      </c>
    </row>
    <row r="61" spans="1:37" x14ac:dyDescent="0.2">
      <c r="A61">
        <v>6</v>
      </c>
      <c r="D61" t="s">
        <v>77</v>
      </c>
      <c r="E61" t="s">
        <v>80</v>
      </c>
      <c r="G61">
        <v>0</v>
      </c>
      <c r="H61">
        <v>0</v>
      </c>
      <c r="I61">
        <v>0</v>
      </c>
      <c r="L61">
        <f>$AK$21</f>
        <v>1.5</v>
      </c>
      <c r="N61">
        <f>$AK$49</f>
        <v>0.51</v>
      </c>
      <c r="O61">
        <f t="shared" si="9"/>
        <v>0.40405000000000002</v>
      </c>
      <c r="Q61">
        <f>$AK$76</f>
        <v>20</v>
      </c>
      <c r="R61">
        <f t="shared" si="16"/>
        <v>0.31629415472458533</v>
      </c>
      <c r="S61">
        <f t="shared" si="10"/>
        <v>0.98889100346175773</v>
      </c>
      <c r="T61">
        <v>1</v>
      </c>
      <c r="U61">
        <f t="shared" si="11"/>
        <v>0.31278044405468364</v>
      </c>
      <c r="V61">
        <v>15</v>
      </c>
      <c r="W61">
        <f t="shared" si="12"/>
        <v>7.4602723482280527E-3</v>
      </c>
      <c r="Y61">
        <f t="shared" si="13"/>
        <v>91.25</v>
      </c>
      <c r="Z61">
        <f t="shared" si="14"/>
        <v>10.211247776637148</v>
      </c>
      <c r="AE61" t="s">
        <v>80</v>
      </c>
      <c r="AF61">
        <v>0.7</v>
      </c>
      <c r="AG61">
        <v>0.7</v>
      </c>
      <c r="AH61">
        <v>0.7</v>
      </c>
      <c r="AI61">
        <v>0.7</v>
      </c>
      <c r="AJ61">
        <v>0.7</v>
      </c>
      <c r="AK61">
        <v>0.7</v>
      </c>
    </row>
    <row r="62" spans="1:37" x14ac:dyDescent="0.2">
      <c r="E62" t="s">
        <v>81</v>
      </c>
      <c r="G62">
        <v>0</v>
      </c>
      <c r="H62">
        <v>0</v>
      </c>
      <c r="I62">
        <v>0</v>
      </c>
      <c r="L62">
        <f>$AK$22</f>
        <v>2</v>
      </c>
      <c r="N62">
        <f>$AK$50</f>
        <v>0.55000000000000004</v>
      </c>
      <c r="O62">
        <f t="shared" si="9"/>
        <v>0.43585000000000007</v>
      </c>
      <c r="Q62">
        <f>$AK$77</f>
        <v>25</v>
      </c>
      <c r="R62">
        <f t="shared" si="16"/>
        <v>0.42830199467855401</v>
      </c>
      <c r="S62">
        <f t="shared" si="10"/>
        <v>0.99966453737209748</v>
      </c>
      <c r="T62">
        <v>1</v>
      </c>
      <c r="U62">
        <f t="shared" si="11"/>
        <v>0.42815831536588328</v>
      </c>
      <c r="V62">
        <v>45</v>
      </c>
      <c r="W62">
        <f t="shared" si="12"/>
        <v>9.6293763288786052E-3</v>
      </c>
      <c r="Y62">
        <f t="shared" si="13"/>
        <v>91.25</v>
      </c>
      <c r="Z62">
        <f t="shared" si="14"/>
        <v>39.540626550457773</v>
      </c>
      <c r="AE62" t="s">
        <v>81</v>
      </c>
      <c r="AF62">
        <v>0.55000000000000004</v>
      </c>
      <c r="AG62">
        <v>0.55000000000000004</v>
      </c>
      <c r="AH62">
        <v>0.55000000000000004</v>
      </c>
      <c r="AI62">
        <v>0.55000000000000004</v>
      </c>
      <c r="AJ62">
        <v>0.55000000000000004</v>
      </c>
      <c r="AK62">
        <v>0.55000000000000004</v>
      </c>
    </row>
    <row r="63" spans="1:37" x14ac:dyDescent="0.2">
      <c r="E63" t="s">
        <v>82</v>
      </c>
      <c r="G63">
        <v>0</v>
      </c>
      <c r="H63">
        <v>0</v>
      </c>
      <c r="I63">
        <v>0</v>
      </c>
      <c r="L63">
        <f>$AK$23</f>
        <v>2.2000000000000002</v>
      </c>
      <c r="N63">
        <f>$AK$51</f>
        <v>0.59</v>
      </c>
      <c r="O63">
        <f t="shared" si="9"/>
        <v>0.46765000000000001</v>
      </c>
      <c r="Q63">
        <f>$AK$78</f>
        <v>20</v>
      </c>
      <c r="R63">
        <f t="shared" si="16"/>
        <v>0.37927033187481962</v>
      </c>
      <c r="S63">
        <f t="shared" si="10"/>
        <v>0.99993747849622516</v>
      </c>
      <c r="T63">
        <v>1</v>
      </c>
      <c r="U63">
        <f t="shared" si="11"/>
        <v>0.37924661932333364</v>
      </c>
      <c r="V63">
        <v>40</v>
      </c>
      <c r="W63">
        <f t="shared" si="12"/>
        <v>8.7098364432786728E-3</v>
      </c>
      <c r="Y63">
        <f t="shared" si="13"/>
        <v>91.25</v>
      </c>
      <c r="Z63">
        <f t="shared" si="14"/>
        <v>31.790903017967157</v>
      </c>
      <c r="AE63" t="s">
        <v>82</v>
      </c>
      <c r="AF63">
        <v>0.65</v>
      </c>
      <c r="AG63">
        <v>0.65</v>
      </c>
      <c r="AH63">
        <v>0.65</v>
      </c>
      <c r="AI63">
        <v>0.65</v>
      </c>
      <c r="AJ63">
        <v>0.65</v>
      </c>
      <c r="AK63">
        <v>0.65</v>
      </c>
    </row>
    <row r="64" spans="1:37" x14ac:dyDescent="0.2">
      <c r="E64" t="s">
        <v>83</v>
      </c>
      <c r="G64">
        <v>0</v>
      </c>
      <c r="H64">
        <v>0</v>
      </c>
      <c r="I64">
        <v>0</v>
      </c>
      <c r="L64">
        <f>$AK$24</f>
        <v>1.7</v>
      </c>
      <c r="N64">
        <f>$AK$52</f>
        <v>0.57999999999999996</v>
      </c>
      <c r="O64">
        <f t="shared" si="9"/>
        <v>0.4597</v>
      </c>
      <c r="Q64">
        <f>$AK$79</f>
        <v>25</v>
      </c>
      <c r="R64">
        <f t="shared" si="16"/>
        <v>0.45622036550992806</v>
      </c>
      <c r="S64">
        <f t="shared" si="10"/>
        <v>0.99691128459176326</v>
      </c>
      <c r="T64">
        <v>1</v>
      </c>
      <c r="U64">
        <f t="shared" si="11"/>
        <v>0.45481123063742612</v>
      </c>
      <c r="V64">
        <v>30</v>
      </c>
      <c r="W64">
        <f t="shared" si="12"/>
        <v>1.0130451135983612E-2</v>
      </c>
      <c r="Y64">
        <f t="shared" si="13"/>
        <v>91.25</v>
      </c>
      <c r="Z64">
        <f t="shared" si="14"/>
        <v>27.732109984755141</v>
      </c>
      <c r="AE64" t="s">
        <v>83</v>
      </c>
      <c r="AF64">
        <v>0.6</v>
      </c>
      <c r="AG64">
        <v>0.6</v>
      </c>
      <c r="AH64">
        <v>0.6</v>
      </c>
      <c r="AI64">
        <v>0.6</v>
      </c>
      <c r="AJ64">
        <v>0.6</v>
      </c>
      <c r="AK64">
        <v>0.6</v>
      </c>
    </row>
    <row r="65" spans="1:37" x14ac:dyDescent="0.2">
      <c r="AE65" t="s">
        <v>80</v>
      </c>
      <c r="AF65">
        <v>0.73</v>
      </c>
      <c r="AG65">
        <v>0.73</v>
      </c>
      <c r="AH65">
        <v>0.73</v>
      </c>
      <c r="AI65">
        <v>0.73</v>
      </c>
      <c r="AJ65">
        <v>0.73</v>
      </c>
      <c r="AK65">
        <v>0.73</v>
      </c>
    </row>
    <row r="66" spans="1:37" x14ac:dyDescent="0.2">
      <c r="AE66" t="s">
        <v>81</v>
      </c>
      <c r="AF66">
        <v>0.55000000000000004</v>
      </c>
      <c r="AG66">
        <v>0.55000000000000004</v>
      </c>
      <c r="AH66">
        <v>0.55000000000000004</v>
      </c>
      <c r="AI66">
        <v>0.55000000000000004</v>
      </c>
      <c r="AJ66">
        <v>0.55000000000000004</v>
      </c>
      <c r="AK66">
        <v>0.55000000000000004</v>
      </c>
    </row>
    <row r="67" spans="1:37" x14ac:dyDescent="0.2">
      <c r="AE67" t="s">
        <v>82</v>
      </c>
      <c r="AF67">
        <v>0.5</v>
      </c>
      <c r="AG67">
        <v>0.5</v>
      </c>
      <c r="AH67">
        <v>0.7</v>
      </c>
      <c r="AI67">
        <v>0.7</v>
      </c>
      <c r="AJ67">
        <v>0.5</v>
      </c>
      <c r="AK67">
        <v>0.7</v>
      </c>
    </row>
    <row r="68" spans="1:37" x14ac:dyDescent="0.2">
      <c r="AE68" t="s">
        <v>83</v>
      </c>
      <c r="AF68">
        <v>0.76</v>
      </c>
      <c r="AG68">
        <v>0.76</v>
      </c>
      <c r="AH68">
        <v>0.76</v>
      </c>
      <c r="AI68">
        <v>0.76</v>
      </c>
      <c r="AJ68">
        <v>0.76</v>
      </c>
      <c r="AK68">
        <v>0.76</v>
      </c>
    </row>
    <row r="71" spans="1:37" x14ac:dyDescent="0.2">
      <c r="A71" t="s">
        <v>101</v>
      </c>
      <c r="B71" t="s">
        <v>100</v>
      </c>
      <c r="C71" t="s">
        <v>100</v>
      </c>
      <c r="D71" t="s">
        <v>72</v>
      </c>
      <c r="E71" t="s">
        <v>80</v>
      </c>
      <c r="G71">
        <v>0</v>
      </c>
      <c r="H71">
        <v>0</v>
      </c>
      <c r="I71">
        <v>0</v>
      </c>
      <c r="L71">
        <f>$AF$25</f>
        <v>4</v>
      </c>
      <c r="N71">
        <f>$AF$53</f>
        <v>0.7</v>
      </c>
      <c r="O71">
        <f>(0.795 * N71) - 0.0014</f>
        <v>0.55510000000000004</v>
      </c>
      <c r="Q71">
        <f>$AF$80</f>
        <v>80</v>
      </c>
      <c r="R71">
        <f>(104.7 * O71 + 0.307 * Q71- 15) * POWER(Q71, 0.75) * 10^-3</f>
        <v>1.8103862015316043</v>
      </c>
      <c r="S71">
        <f>1-EXP(-2*POWER(L71,2))</f>
        <v>0.99999999999998734</v>
      </c>
      <c r="T71">
        <v>1</v>
      </c>
      <c r="U71">
        <f>R71 * S71 * T71</f>
        <v>1.8103862015315815</v>
      </c>
      <c r="V71">
        <v>25</v>
      </c>
      <c r="W71">
        <f>(U71 * 0.0188) + 0.00158</f>
        <v>3.5615260588793732E-2</v>
      </c>
      <c r="Y71">
        <f>$AF$4</f>
        <v>91.25</v>
      </c>
      <c r="Z71">
        <f>V71*W71*Y71</f>
        <v>81.247313218185695</v>
      </c>
      <c r="AA71">
        <f>SUM(Z71:Z94)*10^-3</f>
        <v>1.7302305868306518</v>
      </c>
      <c r="AE71" t="s">
        <v>94</v>
      </c>
      <c r="AF71" t="s">
        <v>61</v>
      </c>
    </row>
    <row r="72" spans="1:37" x14ac:dyDescent="0.2">
      <c r="E72" t="s">
        <v>81</v>
      </c>
      <c r="G72">
        <v>0</v>
      </c>
      <c r="H72">
        <v>0</v>
      </c>
      <c r="I72">
        <v>0</v>
      </c>
      <c r="L72">
        <f>$AF$26</f>
        <v>2.5</v>
      </c>
      <c r="N72">
        <f>$AF$54</f>
        <v>0.55000000000000004</v>
      </c>
      <c r="O72">
        <f t="shared" ref="O72:O94" si="19">(0.795 * N72) - 0.0014</f>
        <v>0.43585000000000007</v>
      </c>
      <c r="Q72">
        <f>$AF$81</f>
        <v>70</v>
      </c>
      <c r="R72">
        <f>(104.7 * O72 + 0.307 * Q72- 15) * POWER(Q72, 0.75) * 10^-3</f>
        <v>1.2614122912776211</v>
      </c>
      <c r="S72">
        <f t="shared" ref="S72:S94" si="20">1-EXP(-2*POWER(L72,2))</f>
        <v>0.99999627334682795</v>
      </c>
      <c r="T72">
        <v>1</v>
      </c>
      <c r="U72">
        <f t="shared" ref="U72:U94" si="21">R72 * S72 * T72</f>
        <v>1.2614075904315045</v>
      </c>
      <c r="V72">
        <v>20</v>
      </c>
      <c r="W72">
        <f t="shared" ref="W72:W94" si="22">(U72 * 0.0188) + 0.00158</f>
        <v>2.5294462700112288E-2</v>
      </c>
      <c r="Y72">
        <f t="shared" ref="Y72:Y94" si="23">$AF$4</f>
        <v>91.25</v>
      </c>
      <c r="Z72">
        <f t="shared" ref="Z72:Z94" si="24">V72*W72*Y72</f>
        <v>46.162394427704925</v>
      </c>
      <c r="AE72" t="s">
        <v>80</v>
      </c>
      <c r="AF72">
        <v>75</v>
      </c>
      <c r="AG72">
        <v>62</v>
      </c>
      <c r="AH72">
        <v>44</v>
      </c>
      <c r="AI72">
        <v>54</v>
      </c>
      <c r="AJ72">
        <v>56</v>
      </c>
      <c r="AK72">
        <v>20</v>
      </c>
    </row>
    <row r="73" spans="1:37" x14ac:dyDescent="0.2">
      <c r="E73" t="s">
        <v>82</v>
      </c>
      <c r="G73">
        <v>0</v>
      </c>
      <c r="H73">
        <v>0</v>
      </c>
      <c r="I73">
        <v>0</v>
      </c>
      <c r="L73">
        <f>$AF$27</f>
        <v>0.7</v>
      </c>
      <c r="N73">
        <f>$AF$55</f>
        <v>0.55000000000000004</v>
      </c>
      <c r="O73">
        <f t="shared" si="19"/>
        <v>0.43585000000000007</v>
      </c>
      <c r="Q73">
        <f>$AF$82</f>
        <v>70</v>
      </c>
      <c r="R73">
        <f t="shared" ref="R73:R78" si="25">(104.7 * O73 + 0.307 * Q73- 15) * POWER(Q73, 0.75) * 10^-3</f>
        <v>1.2614122912776211</v>
      </c>
      <c r="S73">
        <f t="shared" si="20"/>
        <v>0.62468890114860043</v>
      </c>
      <c r="T73">
        <v>1</v>
      </c>
      <c r="U73">
        <f t="shared" si="21"/>
        <v>0.78799025813355539</v>
      </c>
      <c r="V73">
        <v>19</v>
      </c>
      <c r="W73">
        <f t="shared" si="22"/>
        <v>1.6394216852910842E-2</v>
      </c>
      <c r="Y73">
        <f t="shared" si="23"/>
        <v>91.25</v>
      </c>
      <c r="Z73">
        <f t="shared" si="24"/>
        <v>28.423473468734169</v>
      </c>
      <c r="AE73" t="s">
        <v>81</v>
      </c>
      <c r="AF73">
        <v>75</v>
      </c>
      <c r="AG73">
        <v>55</v>
      </c>
      <c r="AH73">
        <v>42</v>
      </c>
      <c r="AI73">
        <v>49</v>
      </c>
      <c r="AJ73">
        <v>51</v>
      </c>
      <c r="AK73">
        <v>27</v>
      </c>
    </row>
    <row r="74" spans="1:37" x14ac:dyDescent="0.2">
      <c r="E74" t="s">
        <v>83</v>
      </c>
      <c r="G74">
        <v>0</v>
      </c>
      <c r="H74">
        <v>0</v>
      </c>
      <c r="I74">
        <v>0</v>
      </c>
      <c r="L74">
        <f>$AF$28</f>
        <v>0.9</v>
      </c>
      <c r="N74">
        <f>$AF$56</f>
        <v>0.75</v>
      </c>
      <c r="O74">
        <f t="shared" si="19"/>
        <v>0.5948500000000001</v>
      </c>
      <c r="Q74">
        <f>$AF$83</f>
        <v>70</v>
      </c>
      <c r="R74">
        <f t="shared" si="25"/>
        <v>1.6642845245495062</v>
      </c>
      <c r="S74">
        <f t="shared" si="20"/>
        <v>0.80210130091638532</v>
      </c>
      <c r="T74">
        <v>1</v>
      </c>
      <c r="U74">
        <f t="shared" si="21"/>
        <v>1.3349247822361667</v>
      </c>
      <c r="V74">
        <v>25</v>
      </c>
      <c r="W74">
        <f t="shared" si="22"/>
        <v>2.6676585906039937E-2</v>
      </c>
      <c r="Y74">
        <f t="shared" si="23"/>
        <v>91.25</v>
      </c>
      <c r="Z74">
        <f t="shared" si="24"/>
        <v>60.855961598153606</v>
      </c>
      <c r="AE74" t="s">
        <v>82</v>
      </c>
      <c r="AF74">
        <v>69</v>
      </c>
      <c r="AG74">
        <v>55</v>
      </c>
      <c r="AH74">
        <v>43</v>
      </c>
      <c r="AI74">
        <v>50</v>
      </c>
      <c r="AJ74">
        <v>50</v>
      </c>
      <c r="AK74">
        <v>32</v>
      </c>
    </row>
    <row r="75" spans="1:37" x14ac:dyDescent="0.2">
      <c r="A75">
        <v>2</v>
      </c>
      <c r="D75" t="s">
        <v>73</v>
      </c>
      <c r="E75" t="s">
        <v>80</v>
      </c>
      <c r="G75">
        <v>0</v>
      </c>
      <c r="H75">
        <v>0</v>
      </c>
      <c r="I75">
        <v>0</v>
      </c>
      <c r="L75">
        <f>$AG$25</f>
        <v>4</v>
      </c>
      <c r="N75">
        <f>$AG$53</f>
        <v>0.7</v>
      </c>
      <c r="O75">
        <f t="shared" si="19"/>
        <v>0.55510000000000004</v>
      </c>
      <c r="Q75">
        <f>$AG$80</f>
        <v>70</v>
      </c>
      <c r="R75">
        <f t="shared" si="25"/>
        <v>1.5635664662315347</v>
      </c>
      <c r="S75">
        <f t="shared" si="20"/>
        <v>0.99999999999998734</v>
      </c>
      <c r="T75">
        <v>1</v>
      </c>
      <c r="U75">
        <f t="shared" si="21"/>
        <v>1.563566466231515</v>
      </c>
      <c r="V75">
        <v>50</v>
      </c>
      <c r="W75">
        <f t="shared" si="22"/>
        <v>3.0975049565152485E-2</v>
      </c>
      <c r="Y75">
        <f t="shared" si="23"/>
        <v>91.25</v>
      </c>
      <c r="Z75">
        <f t="shared" si="24"/>
        <v>141.32366364100821</v>
      </c>
      <c r="AE75" t="s">
        <v>83</v>
      </c>
      <c r="AF75">
        <v>69</v>
      </c>
      <c r="AG75">
        <v>55</v>
      </c>
      <c r="AH75">
        <v>45</v>
      </c>
      <c r="AI75">
        <v>50</v>
      </c>
      <c r="AJ75">
        <v>51</v>
      </c>
      <c r="AK75">
        <v>34</v>
      </c>
    </row>
    <row r="76" spans="1:37" x14ac:dyDescent="0.2">
      <c r="E76" t="s">
        <v>81</v>
      </c>
      <c r="G76">
        <v>0</v>
      </c>
      <c r="H76">
        <v>0</v>
      </c>
      <c r="I76">
        <v>0</v>
      </c>
      <c r="L76">
        <f>$AG$26</f>
        <v>2.5</v>
      </c>
      <c r="N76">
        <f>$AG$54</f>
        <v>0.55000000000000004</v>
      </c>
      <c r="O76">
        <f t="shared" si="19"/>
        <v>0.43585000000000007</v>
      </c>
      <c r="Q76">
        <f>$AG$81</f>
        <v>65</v>
      </c>
      <c r="R76">
        <f t="shared" si="25"/>
        <v>1.1580752413958724</v>
      </c>
      <c r="S76">
        <f t="shared" si="20"/>
        <v>0.99999627334682795</v>
      </c>
      <c r="T76">
        <v>1</v>
      </c>
      <c r="U76">
        <f t="shared" si="21"/>
        <v>1.1580709256511006</v>
      </c>
      <c r="V76">
        <v>60</v>
      </c>
      <c r="W76">
        <f t="shared" si="22"/>
        <v>2.3351733402240695E-2</v>
      </c>
      <c r="Y76">
        <f t="shared" si="23"/>
        <v>91.25</v>
      </c>
      <c r="Z76">
        <f t="shared" si="24"/>
        <v>127.85074037726781</v>
      </c>
      <c r="AE76" t="s">
        <v>80</v>
      </c>
      <c r="AF76">
        <v>58</v>
      </c>
      <c r="AG76">
        <v>50</v>
      </c>
      <c r="AH76">
        <v>35</v>
      </c>
      <c r="AI76">
        <v>40</v>
      </c>
      <c r="AJ76">
        <v>45</v>
      </c>
      <c r="AK76">
        <v>20</v>
      </c>
    </row>
    <row r="77" spans="1:37" x14ac:dyDescent="0.2">
      <c r="E77" t="s">
        <v>82</v>
      </c>
      <c r="G77">
        <v>0</v>
      </c>
      <c r="H77">
        <v>0</v>
      </c>
      <c r="I77">
        <v>0</v>
      </c>
      <c r="L77">
        <f>$AG$27</f>
        <v>0.7</v>
      </c>
      <c r="N77">
        <f>$AG$55</f>
        <v>0.55000000000000004</v>
      </c>
      <c r="O77">
        <f t="shared" si="19"/>
        <v>0.43585000000000007</v>
      </c>
      <c r="Q77">
        <f>$AG$82</f>
        <v>60</v>
      </c>
      <c r="R77">
        <f t="shared" si="25"/>
        <v>1.0575073475796353</v>
      </c>
      <c r="S77">
        <f t="shared" si="20"/>
        <v>0.62468890114860043</v>
      </c>
      <c r="T77">
        <v>1</v>
      </c>
      <c r="U77">
        <f t="shared" si="21"/>
        <v>0.66061310291609343</v>
      </c>
      <c r="V77">
        <v>55</v>
      </c>
      <c r="W77">
        <f t="shared" si="22"/>
        <v>1.3999526334822557E-2</v>
      </c>
      <c r="Y77">
        <f t="shared" si="23"/>
        <v>91.25</v>
      </c>
      <c r="Z77">
        <f t="shared" si="24"/>
        <v>70.260122792890698</v>
      </c>
      <c r="AE77" t="s">
        <v>81</v>
      </c>
      <c r="AF77">
        <v>61</v>
      </c>
      <c r="AG77">
        <v>55</v>
      </c>
      <c r="AH77">
        <v>40</v>
      </c>
      <c r="AI77">
        <v>45</v>
      </c>
      <c r="AJ77">
        <v>50</v>
      </c>
      <c r="AK77">
        <v>25</v>
      </c>
    </row>
    <row r="78" spans="1:37" x14ac:dyDescent="0.2">
      <c r="E78" t="s">
        <v>83</v>
      </c>
      <c r="G78">
        <v>0</v>
      </c>
      <c r="H78">
        <v>0</v>
      </c>
      <c r="I78">
        <v>0</v>
      </c>
      <c r="L78">
        <f>$AG$28</f>
        <v>0.9</v>
      </c>
      <c r="N78">
        <f>$AG$56</f>
        <v>0.75</v>
      </c>
      <c r="O78">
        <f t="shared" si="19"/>
        <v>0.5948500000000001</v>
      </c>
      <c r="Q78">
        <f>$AG$83</f>
        <v>60</v>
      </c>
      <c r="R78">
        <f t="shared" si="25"/>
        <v>1.4163939481646182</v>
      </c>
      <c r="S78">
        <f t="shared" si="20"/>
        <v>0.80210130091638532</v>
      </c>
      <c r="T78">
        <v>1</v>
      </c>
      <c r="U78">
        <f t="shared" si="21"/>
        <v>1.1360914284329355</v>
      </c>
      <c r="V78">
        <v>55</v>
      </c>
      <c r="W78">
        <f t="shared" si="22"/>
        <v>2.2938518854539191E-2</v>
      </c>
      <c r="Y78">
        <f t="shared" si="23"/>
        <v>91.25</v>
      </c>
      <c r="Z78">
        <f t="shared" si="24"/>
        <v>115.12269150121857</v>
      </c>
      <c r="AE78" t="s">
        <v>82</v>
      </c>
      <c r="AF78">
        <v>63</v>
      </c>
      <c r="AG78">
        <v>55</v>
      </c>
      <c r="AH78">
        <v>40</v>
      </c>
      <c r="AI78">
        <v>45</v>
      </c>
      <c r="AJ78">
        <v>50</v>
      </c>
      <c r="AK78">
        <v>20</v>
      </c>
    </row>
    <row r="79" spans="1:37" x14ac:dyDescent="0.2">
      <c r="A79">
        <v>3</v>
      </c>
      <c r="D79" t="s">
        <v>74</v>
      </c>
      <c r="E79" t="s">
        <v>80</v>
      </c>
      <c r="G79">
        <v>92</v>
      </c>
      <c r="H79">
        <v>87</v>
      </c>
      <c r="I79">
        <f>(G79/100*MIN(H79,100)/100)</f>
        <v>0.80040000000000011</v>
      </c>
      <c r="J79">
        <f>$AF$3</f>
        <v>1.3</v>
      </c>
      <c r="L79">
        <f>$AH$25</f>
        <v>4</v>
      </c>
      <c r="N79">
        <f>$AH$53</f>
        <v>0.7</v>
      </c>
      <c r="O79">
        <f t="shared" si="19"/>
        <v>0.55510000000000004</v>
      </c>
      <c r="Q79">
        <f>$AH$80</f>
        <v>52</v>
      </c>
      <c r="R79">
        <f>(104.7 * O79 + 0.307 * Q79- 15) * POWER(Q79, 0.75) * 10^-3</f>
        <v>1.1441022143482507</v>
      </c>
      <c r="S79">
        <f t="shared" si="20"/>
        <v>0.99999999999998734</v>
      </c>
      <c r="T79">
        <f>(I79 * J79) + (1 - I79)</f>
        <v>1.2401200000000001</v>
      </c>
      <c r="U79">
        <f t="shared" si="21"/>
        <v>1.4188240380575348</v>
      </c>
      <c r="V79">
        <v>60</v>
      </c>
      <c r="W79">
        <f t="shared" si="22"/>
        <v>2.8253891915481655E-2</v>
      </c>
      <c r="Y79">
        <f t="shared" si="23"/>
        <v>91.25</v>
      </c>
      <c r="Z79">
        <f t="shared" si="24"/>
        <v>154.69005823726206</v>
      </c>
      <c r="AE79" t="s">
        <v>83</v>
      </c>
      <c r="AF79">
        <v>60</v>
      </c>
      <c r="AG79">
        <v>50</v>
      </c>
      <c r="AH79">
        <v>35</v>
      </c>
      <c r="AI79">
        <v>42</v>
      </c>
      <c r="AJ79">
        <v>48</v>
      </c>
      <c r="AK79">
        <v>25</v>
      </c>
    </row>
    <row r="80" spans="1:37" x14ac:dyDescent="0.2">
      <c r="E80" t="s">
        <v>81</v>
      </c>
      <c r="G80">
        <v>0</v>
      </c>
      <c r="H80">
        <v>0</v>
      </c>
      <c r="I80">
        <f>(G80/100*MIN(H80,100)/100)</f>
        <v>0</v>
      </c>
      <c r="L80">
        <f>$AH$26</f>
        <v>2.5</v>
      </c>
      <c r="N80">
        <f>$AH$54</f>
        <v>0.55000000000000004</v>
      </c>
      <c r="O80">
        <f t="shared" si="19"/>
        <v>0.43585000000000007</v>
      </c>
      <c r="Q80">
        <f>$AH$81</f>
        <v>52</v>
      </c>
      <c r="R80">
        <f t="shared" ref="R80:R94" si="26">(104.7 * O80 + 0.307 * Q80- 15) * POWER(Q80, 0.75) * 10^-3</f>
        <v>0.90232933809152693</v>
      </c>
      <c r="S80">
        <f t="shared" si="20"/>
        <v>0.99999627334682795</v>
      </c>
      <c r="T80">
        <f t="shared" ref="T80:T86" si="27">(I80 * J80) + (1 - I80)</f>
        <v>1</v>
      </c>
      <c r="U80">
        <f t="shared" si="21"/>
        <v>0.90232597542303694</v>
      </c>
      <c r="V80">
        <v>70</v>
      </c>
      <c r="W80">
        <f t="shared" si="22"/>
        <v>1.8543728337953095E-2</v>
      </c>
      <c r="Y80">
        <f t="shared" si="23"/>
        <v>91.25</v>
      </c>
      <c r="Z80">
        <f t="shared" si="24"/>
        <v>118.4480647586754</v>
      </c>
      <c r="AE80" t="s">
        <v>80</v>
      </c>
      <c r="AF80">
        <v>80</v>
      </c>
      <c r="AG80">
        <v>70</v>
      </c>
      <c r="AH80">
        <v>52</v>
      </c>
      <c r="AI80">
        <v>55</v>
      </c>
      <c r="AJ80">
        <v>55</v>
      </c>
      <c r="AK80">
        <v>40</v>
      </c>
    </row>
    <row r="81" spans="1:37" x14ac:dyDescent="0.2">
      <c r="E81" t="s">
        <v>82</v>
      </c>
      <c r="G81">
        <v>0</v>
      </c>
      <c r="H81">
        <v>0</v>
      </c>
      <c r="I81">
        <f t="shared" ref="I81:I83" si="28">(G81/100*MIN(H81,100)/100)</f>
        <v>0</v>
      </c>
      <c r="L81">
        <f>$AH$27</f>
        <v>0.7</v>
      </c>
      <c r="N81">
        <f>$AH$55</f>
        <v>0.55000000000000004</v>
      </c>
      <c r="O81">
        <f t="shared" si="19"/>
        <v>0.43585000000000007</v>
      </c>
      <c r="Q81">
        <f>$AH$82</f>
        <v>52</v>
      </c>
      <c r="R81">
        <f t="shared" si="26"/>
        <v>0.90232933809152693</v>
      </c>
      <c r="S81">
        <f t="shared" si="20"/>
        <v>0.62468890114860043</v>
      </c>
      <c r="T81">
        <f t="shared" si="27"/>
        <v>1</v>
      </c>
      <c r="U81">
        <f t="shared" si="21"/>
        <v>0.56367512268653996</v>
      </c>
      <c r="V81">
        <v>60</v>
      </c>
      <c r="W81">
        <f t="shared" si="22"/>
        <v>1.2177092306506952E-2</v>
      </c>
      <c r="Y81">
        <f t="shared" si="23"/>
        <v>91.25</v>
      </c>
      <c r="Z81">
        <f t="shared" si="24"/>
        <v>66.669580378125559</v>
      </c>
      <c r="AE81" t="s">
        <v>81</v>
      </c>
      <c r="AF81">
        <v>70</v>
      </c>
      <c r="AG81">
        <v>65</v>
      </c>
      <c r="AH81">
        <v>52</v>
      </c>
      <c r="AI81">
        <v>55</v>
      </c>
      <c r="AJ81">
        <v>55</v>
      </c>
      <c r="AK81">
        <v>45</v>
      </c>
    </row>
    <row r="82" spans="1:37" x14ac:dyDescent="0.2">
      <c r="E82" t="s">
        <v>83</v>
      </c>
      <c r="G82">
        <v>0</v>
      </c>
      <c r="H82">
        <v>0</v>
      </c>
      <c r="I82">
        <f t="shared" si="28"/>
        <v>0</v>
      </c>
      <c r="L82">
        <f>$AH$28</f>
        <v>0.9</v>
      </c>
      <c r="N82">
        <f>$AH$56</f>
        <v>0.75</v>
      </c>
      <c r="O82">
        <f t="shared" si="19"/>
        <v>0.5948500000000001</v>
      </c>
      <c r="Q82">
        <f>$AH$83</f>
        <v>52</v>
      </c>
      <c r="R82">
        <f t="shared" si="26"/>
        <v>1.224693173100492</v>
      </c>
      <c r="S82">
        <f t="shared" si="20"/>
        <v>0.80210130091638532</v>
      </c>
      <c r="T82">
        <f t="shared" si="27"/>
        <v>1</v>
      </c>
      <c r="U82">
        <f t="shared" si="21"/>
        <v>0.98232798736732052</v>
      </c>
      <c r="V82">
        <v>50</v>
      </c>
      <c r="W82">
        <f t="shared" si="22"/>
        <v>2.0047766162505629E-2</v>
      </c>
      <c r="Y82">
        <f t="shared" si="23"/>
        <v>91.25</v>
      </c>
      <c r="Z82">
        <f t="shared" si="24"/>
        <v>91.467933116431922</v>
      </c>
      <c r="AE82" t="s">
        <v>82</v>
      </c>
      <c r="AF82">
        <v>70</v>
      </c>
      <c r="AG82">
        <v>60</v>
      </c>
      <c r="AH82">
        <v>52</v>
      </c>
      <c r="AI82">
        <v>55</v>
      </c>
      <c r="AJ82">
        <v>55</v>
      </c>
      <c r="AK82">
        <v>20</v>
      </c>
    </row>
    <row r="83" spans="1:37" x14ac:dyDescent="0.2">
      <c r="A83">
        <v>4</v>
      </c>
      <c r="D83" t="s">
        <v>75</v>
      </c>
      <c r="E83" t="s">
        <v>80</v>
      </c>
      <c r="G83">
        <v>95</v>
      </c>
      <c r="H83">
        <v>88</v>
      </c>
      <c r="I83">
        <f t="shared" si="28"/>
        <v>0.83599999999999997</v>
      </c>
      <c r="J83">
        <f>$AF$3</f>
        <v>1.3</v>
      </c>
      <c r="L83">
        <f>$AI$25</f>
        <v>4</v>
      </c>
      <c r="N83">
        <f>$AI$53</f>
        <v>0.7</v>
      </c>
      <c r="O83">
        <f t="shared" si="19"/>
        <v>0.55510000000000004</v>
      </c>
      <c r="Q83">
        <f>$AI$80</f>
        <v>55</v>
      </c>
      <c r="R83">
        <f t="shared" si="26"/>
        <v>1.2118587484135388</v>
      </c>
      <c r="S83">
        <f t="shared" si="20"/>
        <v>0.99999999999998734</v>
      </c>
      <c r="T83">
        <f t="shared" si="27"/>
        <v>1.2507999999999999</v>
      </c>
      <c r="U83">
        <f t="shared" si="21"/>
        <v>1.515792922515635</v>
      </c>
      <c r="V83">
        <v>40</v>
      </c>
      <c r="W83">
        <f t="shared" si="22"/>
        <v>3.007690694329394E-2</v>
      </c>
      <c r="Y83">
        <f t="shared" si="23"/>
        <v>91.25</v>
      </c>
      <c r="Z83">
        <f t="shared" si="24"/>
        <v>109.78071034302289</v>
      </c>
      <c r="AE83" t="s">
        <v>83</v>
      </c>
      <c r="AF83">
        <v>70</v>
      </c>
      <c r="AG83">
        <v>60</v>
      </c>
      <c r="AH83">
        <v>52</v>
      </c>
      <c r="AI83">
        <v>55</v>
      </c>
      <c r="AJ83">
        <v>55</v>
      </c>
      <c r="AK83">
        <v>30</v>
      </c>
    </row>
    <row r="84" spans="1:37" x14ac:dyDescent="0.2">
      <c r="E84" t="s">
        <v>81</v>
      </c>
      <c r="G84">
        <v>0</v>
      </c>
      <c r="H84">
        <v>0</v>
      </c>
      <c r="I84">
        <v>0</v>
      </c>
      <c r="L84">
        <f>$AI$26</f>
        <v>2.5</v>
      </c>
      <c r="N84">
        <f>$AI$54</f>
        <v>0.55000000000000004</v>
      </c>
      <c r="O84">
        <f t="shared" si="19"/>
        <v>0.43585000000000007</v>
      </c>
      <c r="Q84">
        <f>$AI$81</f>
        <v>55</v>
      </c>
      <c r="R84">
        <f t="shared" si="26"/>
        <v>0.95969823125361531</v>
      </c>
      <c r="S84">
        <f t="shared" si="20"/>
        <v>0.99999627334682795</v>
      </c>
      <c r="T84">
        <f t="shared" si="27"/>
        <v>1</v>
      </c>
      <c r="U84">
        <f t="shared" si="21"/>
        <v>0.95969465479115756</v>
      </c>
      <c r="V84">
        <v>45</v>
      </c>
      <c r="W84">
        <f t="shared" si="22"/>
        <v>1.9622259510073764E-2</v>
      </c>
      <c r="Y84">
        <f t="shared" si="23"/>
        <v>91.25</v>
      </c>
      <c r="Z84">
        <f t="shared" si="24"/>
        <v>80.573903113240391</v>
      </c>
      <c r="AE84" t="s">
        <v>80</v>
      </c>
      <c r="AF84">
        <v>90</v>
      </c>
      <c r="AG84">
        <v>55</v>
      </c>
      <c r="AH84">
        <v>45</v>
      </c>
      <c r="AI84">
        <v>50</v>
      </c>
      <c r="AJ84">
        <v>50</v>
      </c>
      <c r="AK84">
        <v>14</v>
      </c>
    </row>
    <row r="85" spans="1:37" x14ac:dyDescent="0.2">
      <c r="E85" t="s">
        <v>82</v>
      </c>
      <c r="G85">
        <v>0</v>
      </c>
      <c r="H85">
        <v>0</v>
      </c>
      <c r="I85">
        <v>0</v>
      </c>
      <c r="L85">
        <f>$AI$27</f>
        <v>0.7</v>
      </c>
      <c r="N85">
        <f>$AI$55</f>
        <v>0.55000000000000004</v>
      </c>
      <c r="O85">
        <f t="shared" si="19"/>
        <v>0.43585000000000007</v>
      </c>
      <c r="Q85">
        <f>$AI$82</f>
        <v>55</v>
      </c>
      <c r="R85">
        <f t="shared" si="26"/>
        <v>0.95969823125361531</v>
      </c>
      <c r="S85">
        <f t="shared" si="20"/>
        <v>0.62468890114860043</v>
      </c>
      <c r="T85">
        <f t="shared" si="27"/>
        <v>1</v>
      </c>
      <c r="U85">
        <f t="shared" si="21"/>
        <v>0.59951283351607632</v>
      </c>
      <c r="V85">
        <v>40</v>
      </c>
      <c r="W85">
        <f t="shared" si="22"/>
        <v>1.2850841270102236E-2</v>
      </c>
      <c r="Y85">
        <f t="shared" si="23"/>
        <v>91.25</v>
      </c>
      <c r="Z85">
        <f t="shared" si="24"/>
        <v>46.905570635873161</v>
      </c>
      <c r="AE85" t="s">
        <v>81</v>
      </c>
      <c r="AF85">
        <v>90</v>
      </c>
      <c r="AG85">
        <v>55</v>
      </c>
      <c r="AH85">
        <v>45</v>
      </c>
      <c r="AI85">
        <v>50</v>
      </c>
      <c r="AJ85">
        <v>50</v>
      </c>
      <c r="AK85">
        <v>24</v>
      </c>
    </row>
    <row r="86" spans="1:37" x14ac:dyDescent="0.2">
      <c r="E86" t="s">
        <v>83</v>
      </c>
      <c r="G86">
        <v>0</v>
      </c>
      <c r="H86">
        <v>0</v>
      </c>
      <c r="I86">
        <v>0</v>
      </c>
      <c r="L86">
        <f>$AI$28</f>
        <v>0.9</v>
      </c>
      <c r="N86">
        <f>$AI$56</f>
        <v>0.75</v>
      </c>
      <c r="O86">
        <f t="shared" si="19"/>
        <v>0.5948500000000001</v>
      </c>
      <c r="Q86">
        <f>$AI$83</f>
        <v>55</v>
      </c>
      <c r="R86">
        <f t="shared" si="26"/>
        <v>1.2959122541335131</v>
      </c>
      <c r="S86">
        <f t="shared" si="20"/>
        <v>0.80210130091638532</v>
      </c>
      <c r="T86">
        <f t="shared" si="27"/>
        <v>1</v>
      </c>
      <c r="U86">
        <f t="shared" si="21"/>
        <v>1.0394529049139762</v>
      </c>
      <c r="V86">
        <v>35</v>
      </c>
      <c r="W86">
        <f t="shared" si="22"/>
        <v>2.1121714612382755E-2</v>
      </c>
      <c r="Y86">
        <f t="shared" si="23"/>
        <v>91.25</v>
      </c>
      <c r="Z86">
        <f t="shared" si="24"/>
        <v>67.457476043297433</v>
      </c>
      <c r="AE86" t="s">
        <v>82</v>
      </c>
      <c r="AF86">
        <v>75</v>
      </c>
      <c r="AG86">
        <v>50</v>
      </c>
      <c r="AH86">
        <v>45</v>
      </c>
      <c r="AI86">
        <v>50</v>
      </c>
      <c r="AJ86">
        <v>50</v>
      </c>
      <c r="AK86">
        <v>36</v>
      </c>
    </row>
    <row r="87" spans="1:37" x14ac:dyDescent="0.2">
      <c r="A87">
        <v>5</v>
      </c>
      <c r="D87" t="s">
        <v>76</v>
      </c>
      <c r="E87" t="s">
        <v>80</v>
      </c>
      <c r="G87">
        <v>0</v>
      </c>
      <c r="H87">
        <v>0</v>
      </c>
      <c r="I87">
        <v>0</v>
      </c>
      <c r="L87">
        <f>$AJ$25</f>
        <v>4</v>
      </c>
      <c r="N87">
        <f>$AJ$53</f>
        <v>0.7</v>
      </c>
      <c r="O87">
        <f t="shared" si="19"/>
        <v>0.55510000000000004</v>
      </c>
      <c r="Q87">
        <f>$AJ$80</f>
        <v>55</v>
      </c>
      <c r="R87">
        <f t="shared" si="26"/>
        <v>1.2118587484135388</v>
      </c>
      <c r="S87">
        <f t="shared" si="20"/>
        <v>0.99999999999998734</v>
      </c>
      <c r="T87">
        <v>1</v>
      </c>
      <c r="U87">
        <f t="shared" si="21"/>
        <v>1.2118587484135235</v>
      </c>
      <c r="V87">
        <v>25</v>
      </c>
      <c r="W87">
        <f t="shared" si="22"/>
        <v>2.4362944470174244E-2</v>
      </c>
      <c r="Y87">
        <f t="shared" si="23"/>
        <v>91.25</v>
      </c>
      <c r="Z87">
        <f t="shared" si="24"/>
        <v>55.577967072584997</v>
      </c>
      <c r="AE87" t="s">
        <v>83</v>
      </c>
      <c r="AF87">
        <v>75</v>
      </c>
      <c r="AG87">
        <v>45</v>
      </c>
      <c r="AH87">
        <v>50</v>
      </c>
      <c r="AI87">
        <v>55</v>
      </c>
      <c r="AJ87">
        <v>50</v>
      </c>
      <c r="AK87">
        <v>42</v>
      </c>
    </row>
    <row r="88" spans="1:37" x14ac:dyDescent="0.2">
      <c r="E88" t="s">
        <v>81</v>
      </c>
      <c r="G88">
        <v>0</v>
      </c>
      <c r="H88">
        <v>0</v>
      </c>
      <c r="I88">
        <v>0</v>
      </c>
      <c r="L88">
        <f>$AJ$26</f>
        <v>2.5</v>
      </c>
      <c r="N88">
        <f>$AJ$54</f>
        <v>0.55000000000000004</v>
      </c>
      <c r="O88">
        <f t="shared" si="19"/>
        <v>0.43585000000000007</v>
      </c>
      <c r="Q88">
        <f>$AJ$81</f>
        <v>55</v>
      </c>
      <c r="R88">
        <f t="shared" si="26"/>
        <v>0.95969823125361531</v>
      </c>
      <c r="S88">
        <f t="shared" si="20"/>
        <v>0.99999627334682795</v>
      </c>
      <c r="T88">
        <v>1</v>
      </c>
      <c r="U88">
        <f t="shared" si="21"/>
        <v>0.95969465479115756</v>
      </c>
      <c r="V88">
        <v>30</v>
      </c>
      <c r="W88">
        <f t="shared" si="22"/>
        <v>1.9622259510073764E-2</v>
      </c>
      <c r="Y88">
        <f t="shared" si="23"/>
        <v>91.25</v>
      </c>
      <c r="Z88">
        <f t="shared" si="24"/>
        <v>53.715935408826923</v>
      </c>
      <c r="AE88" t="s">
        <v>80</v>
      </c>
      <c r="AF88">
        <v>70</v>
      </c>
      <c r="AG88">
        <v>60</v>
      </c>
      <c r="AH88">
        <v>50</v>
      </c>
      <c r="AI88">
        <v>55</v>
      </c>
      <c r="AJ88">
        <v>50</v>
      </c>
      <c r="AK88">
        <v>22</v>
      </c>
    </row>
    <row r="89" spans="1:37" x14ac:dyDescent="0.2">
      <c r="E89" t="s">
        <v>82</v>
      </c>
      <c r="G89">
        <v>0</v>
      </c>
      <c r="H89">
        <v>0</v>
      </c>
      <c r="I89">
        <v>0</v>
      </c>
      <c r="L89">
        <f>$AJ$27</f>
        <v>0.7</v>
      </c>
      <c r="N89">
        <f>$AJ$55</f>
        <v>0.55000000000000004</v>
      </c>
      <c r="O89">
        <f t="shared" si="19"/>
        <v>0.43585000000000007</v>
      </c>
      <c r="Q89">
        <f>$AJ$82</f>
        <v>55</v>
      </c>
      <c r="R89">
        <f t="shared" si="26"/>
        <v>0.95969823125361531</v>
      </c>
      <c r="S89">
        <f t="shared" si="20"/>
        <v>0.62468890114860043</v>
      </c>
      <c r="T89">
        <v>1</v>
      </c>
      <c r="U89">
        <f t="shared" si="21"/>
        <v>0.59951283351607632</v>
      </c>
      <c r="V89">
        <v>25</v>
      </c>
      <c r="W89">
        <f t="shared" si="22"/>
        <v>1.2850841270102236E-2</v>
      </c>
      <c r="Y89">
        <f t="shared" si="23"/>
        <v>91.25</v>
      </c>
      <c r="Z89">
        <f t="shared" si="24"/>
        <v>29.315981647420724</v>
      </c>
      <c r="AE89" t="s">
        <v>81</v>
      </c>
      <c r="AF89">
        <v>65</v>
      </c>
      <c r="AG89">
        <v>55</v>
      </c>
      <c r="AH89">
        <v>45</v>
      </c>
      <c r="AI89">
        <v>50</v>
      </c>
      <c r="AJ89">
        <v>50</v>
      </c>
      <c r="AK89">
        <v>28</v>
      </c>
    </row>
    <row r="90" spans="1:37" x14ac:dyDescent="0.2">
      <c r="E90" t="s">
        <v>83</v>
      </c>
      <c r="G90">
        <v>0</v>
      </c>
      <c r="H90">
        <v>0</v>
      </c>
      <c r="I90">
        <v>0</v>
      </c>
      <c r="L90">
        <f>$AJ$28</f>
        <v>0.9</v>
      </c>
      <c r="N90">
        <f>$AJ$56</f>
        <v>0.75</v>
      </c>
      <c r="O90">
        <f t="shared" si="19"/>
        <v>0.5948500000000001</v>
      </c>
      <c r="Q90">
        <f>$AJ$83</f>
        <v>55</v>
      </c>
      <c r="R90">
        <f t="shared" si="26"/>
        <v>1.2959122541335131</v>
      </c>
      <c r="S90">
        <f t="shared" si="20"/>
        <v>0.80210130091638532</v>
      </c>
      <c r="T90">
        <v>1</v>
      </c>
      <c r="U90">
        <f t="shared" si="21"/>
        <v>1.0394529049139762</v>
      </c>
      <c r="V90">
        <v>20</v>
      </c>
      <c r="W90">
        <f t="shared" si="22"/>
        <v>2.1121714612382755E-2</v>
      </c>
      <c r="Y90">
        <f t="shared" si="23"/>
        <v>91.25</v>
      </c>
      <c r="Z90">
        <f t="shared" si="24"/>
        <v>38.547129167598527</v>
      </c>
      <c r="AE90" t="s">
        <v>82</v>
      </c>
      <c r="AF90">
        <v>65</v>
      </c>
      <c r="AG90">
        <v>52</v>
      </c>
      <c r="AH90">
        <v>43</v>
      </c>
      <c r="AI90">
        <v>48</v>
      </c>
      <c r="AJ90">
        <v>50</v>
      </c>
      <c r="AK90">
        <v>33</v>
      </c>
    </row>
    <row r="91" spans="1:37" x14ac:dyDescent="0.2">
      <c r="A91">
        <v>6</v>
      </c>
      <c r="D91" t="s">
        <v>77</v>
      </c>
      <c r="E91" t="s">
        <v>80</v>
      </c>
      <c r="G91">
        <v>0</v>
      </c>
      <c r="H91">
        <v>0</v>
      </c>
      <c r="I91">
        <v>0</v>
      </c>
      <c r="L91">
        <f>$AK$25</f>
        <v>4</v>
      </c>
      <c r="N91">
        <f>$AK$53</f>
        <v>0.7</v>
      </c>
      <c r="O91">
        <f t="shared" si="19"/>
        <v>0.55510000000000004</v>
      </c>
      <c r="Q91">
        <f>$AK$80</f>
        <v>40</v>
      </c>
      <c r="R91">
        <f t="shared" si="26"/>
        <v>0.88114358489687972</v>
      </c>
      <c r="S91">
        <f t="shared" si="20"/>
        <v>0.99999999999998734</v>
      </c>
      <c r="T91">
        <v>1</v>
      </c>
      <c r="U91">
        <f t="shared" si="21"/>
        <v>0.88114358489686861</v>
      </c>
      <c r="V91">
        <v>15</v>
      </c>
      <c r="W91">
        <f t="shared" si="22"/>
        <v>1.8145499396061131E-2</v>
      </c>
      <c r="Y91">
        <f t="shared" si="23"/>
        <v>91.25</v>
      </c>
      <c r="Z91">
        <f t="shared" si="24"/>
        <v>24.836652298358672</v>
      </c>
      <c r="AE91" t="s">
        <v>83</v>
      </c>
      <c r="AF91">
        <v>60</v>
      </c>
      <c r="AG91">
        <v>50</v>
      </c>
      <c r="AH91">
        <v>40</v>
      </c>
      <c r="AI91">
        <v>45</v>
      </c>
      <c r="AJ91">
        <v>50</v>
      </c>
      <c r="AK91">
        <v>35</v>
      </c>
    </row>
    <row r="92" spans="1:37" x14ac:dyDescent="0.2">
      <c r="E92" t="s">
        <v>81</v>
      </c>
      <c r="G92">
        <v>0</v>
      </c>
      <c r="H92">
        <v>0</v>
      </c>
      <c r="I92">
        <v>0</v>
      </c>
      <c r="L92">
        <f>$AK$26</f>
        <v>2.5</v>
      </c>
      <c r="N92">
        <f>$AK$54</f>
        <v>0.55000000000000004</v>
      </c>
      <c r="O92">
        <f t="shared" si="19"/>
        <v>0.43585000000000007</v>
      </c>
      <c r="Q92">
        <f>$AK$81</f>
        <v>45</v>
      </c>
      <c r="R92">
        <f t="shared" si="26"/>
        <v>0.77226516609487061</v>
      </c>
      <c r="S92">
        <f t="shared" si="20"/>
        <v>0.99999627334682795</v>
      </c>
      <c r="T92">
        <v>1</v>
      </c>
      <c r="U92">
        <f t="shared" si="21"/>
        <v>0.77226228813043973</v>
      </c>
      <c r="V92">
        <v>45</v>
      </c>
      <c r="W92">
        <f t="shared" si="22"/>
        <v>1.6098531016852269E-2</v>
      </c>
      <c r="Y92">
        <f t="shared" si="23"/>
        <v>91.25</v>
      </c>
      <c r="Z92">
        <f t="shared" si="24"/>
        <v>66.10459298794963</v>
      </c>
      <c r="AE92" t="s">
        <v>80</v>
      </c>
      <c r="AF92">
        <v>75</v>
      </c>
      <c r="AG92">
        <v>60</v>
      </c>
      <c r="AH92">
        <v>50</v>
      </c>
      <c r="AI92">
        <v>55</v>
      </c>
      <c r="AJ92">
        <v>55</v>
      </c>
      <c r="AK92">
        <v>30</v>
      </c>
    </row>
    <row r="93" spans="1:37" x14ac:dyDescent="0.2">
      <c r="E93" t="s">
        <v>82</v>
      </c>
      <c r="G93">
        <v>0</v>
      </c>
      <c r="H93">
        <v>0</v>
      </c>
      <c r="I93">
        <v>0</v>
      </c>
      <c r="L93">
        <f>$AK$27</f>
        <v>0.7</v>
      </c>
      <c r="N93">
        <f>$AK$55</f>
        <v>0.55000000000000004</v>
      </c>
      <c r="O93">
        <f t="shared" si="19"/>
        <v>0.43585000000000007</v>
      </c>
      <c r="Q93">
        <f>$AK$82</f>
        <v>20</v>
      </c>
      <c r="R93">
        <f t="shared" si="26"/>
        <v>0.34778224329970253</v>
      </c>
      <c r="S93">
        <f t="shared" si="20"/>
        <v>0.62468890114860043</v>
      </c>
      <c r="T93">
        <v>1</v>
      </c>
      <c r="U93">
        <f t="shared" si="21"/>
        <v>0.21725570740588637</v>
      </c>
      <c r="V93">
        <v>40</v>
      </c>
      <c r="W93">
        <f t="shared" si="22"/>
        <v>5.6644072992306635E-3</v>
      </c>
      <c r="Y93">
        <f t="shared" si="23"/>
        <v>91.25</v>
      </c>
      <c r="Z93">
        <f t="shared" si="24"/>
        <v>20.675086642191921</v>
      </c>
      <c r="AE93" t="s">
        <v>81</v>
      </c>
      <c r="AF93">
        <v>65</v>
      </c>
      <c r="AG93">
        <v>55</v>
      </c>
      <c r="AH93">
        <v>45</v>
      </c>
      <c r="AI93">
        <v>50</v>
      </c>
      <c r="AJ93">
        <v>50</v>
      </c>
      <c r="AK93">
        <v>30</v>
      </c>
    </row>
    <row r="94" spans="1:37" x14ac:dyDescent="0.2">
      <c r="E94" t="s">
        <v>83</v>
      </c>
      <c r="G94">
        <v>0</v>
      </c>
      <c r="H94">
        <v>0</v>
      </c>
      <c r="I94">
        <v>0</v>
      </c>
      <c r="L94">
        <f>$AK$28</f>
        <v>0.9</v>
      </c>
      <c r="N94">
        <f>$AK$56</f>
        <v>0.75</v>
      </c>
      <c r="O94">
        <f t="shared" si="19"/>
        <v>0.5948500000000001</v>
      </c>
      <c r="Q94">
        <f>$AK$83</f>
        <v>30</v>
      </c>
      <c r="R94">
        <f t="shared" si="26"/>
        <v>0.72413348053480053</v>
      </c>
      <c r="S94">
        <f t="shared" si="20"/>
        <v>0.80210130091638532</v>
      </c>
      <c r="T94">
        <v>1</v>
      </c>
      <c r="U94">
        <f t="shared" si="21"/>
        <v>0.58082840677407355</v>
      </c>
      <c r="V94">
        <v>30</v>
      </c>
      <c r="W94">
        <f t="shared" si="22"/>
        <v>1.2499574047352583E-2</v>
      </c>
      <c r="Y94">
        <f t="shared" si="23"/>
        <v>91.25</v>
      </c>
      <c r="Z94">
        <f t="shared" si="24"/>
        <v>34.217583954627699</v>
      </c>
      <c r="AE94" t="s">
        <v>82</v>
      </c>
      <c r="AF94">
        <v>65</v>
      </c>
      <c r="AG94">
        <v>48</v>
      </c>
      <c r="AH94">
        <v>40</v>
      </c>
      <c r="AI94">
        <v>45</v>
      </c>
      <c r="AJ94">
        <v>45</v>
      </c>
      <c r="AK94">
        <v>10</v>
      </c>
    </row>
    <row r="95" spans="1:37" x14ac:dyDescent="0.2">
      <c r="AE95" t="s">
        <v>83</v>
      </c>
      <c r="AF95">
        <v>65</v>
      </c>
      <c r="AG95">
        <v>48</v>
      </c>
      <c r="AH95">
        <v>45</v>
      </c>
      <c r="AI95">
        <v>50</v>
      </c>
      <c r="AJ95">
        <v>50</v>
      </c>
      <c r="AK95">
        <v>20</v>
      </c>
    </row>
    <row r="101" spans="1:27" x14ac:dyDescent="0.2">
      <c r="A101" t="s">
        <v>103</v>
      </c>
      <c r="B101" t="s">
        <v>102</v>
      </c>
      <c r="C101" t="s">
        <v>102</v>
      </c>
      <c r="D101" t="s">
        <v>72</v>
      </c>
      <c r="E101" t="s">
        <v>80</v>
      </c>
      <c r="G101">
        <v>0</v>
      </c>
      <c r="H101">
        <v>0</v>
      </c>
      <c r="I101">
        <v>0</v>
      </c>
      <c r="L101">
        <f>$AF$29</f>
        <v>2.5</v>
      </c>
      <c r="N101">
        <f>$AF$57</f>
        <v>0.75</v>
      </c>
      <c r="O101">
        <f>(0.795 * N101) - 0.0014</f>
        <v>0.5948500000000001</v>
      </c>
      <c r="Q101">
        <f>$AF$84</f>
        <v>90</v>
      </c>
      <c r="R101">
        <f>(104.7 * O101 + 0.307 * Q101- 15) * POWER(Q101, 0.75) * 10^-3</f>
        <v>2.188901849330922</v>
      </c>
      <c r="S101">
        <f>1-EXP(-2*POWER(L101,2))</f>
        <v>0.99999627334682795</v>
      </c>
      <c r="T101">
        <v>1</v>
      </c>
      <c r="U101">
        <f>R101 * S101 * T101</f>
        <v>2.1888936920529019</v>
      </c>
      <c r="V101">
        <v>25</v>
      </c>
      <c r="W101">
        <f>(U101 * 0.0188) + 0.00158</f>
        <v>4.2731201410594555E-2</v>
      </c>
      <c r="Y101">
        <f>$AF$4</f>
        <v>91.25</v>
      </c>
      <c r="Z101">
        <f>V101*W101*Y101</f>
        <v>97.480553217918825</v>
      </c>
      <c r="AA101">
        <f>SUM(Z101:Z124)*10^-3</f>
        <v>1.736568628551417</v>
      </c>
    </row>
    <row r="102" spans="1:27" x14ac:dyDescent="0.2">
      <c r="E102" t="s">
        <v>81</v>
      </c>
      <c r="G102">
        <v>0</v>
      </c>
      <c r="H102">
        <v>0</v>
      </c>
      <c r="I102">
        <v>0</v>
      </c>
      <c r="L102">
        <f>$AF$30</f>
        <v>2.5</v>
      </c>
      <c r="N102">
        <f>$AF$58</f>
        <v>0.55000000000000004</v>
      </c>
      <c r="O102">
        <f t="shared" ref="O102:O124" si="29">(0.795 * N102) - 0.0014</f>
        <v>0.43585000000000007</v>
      </c>
      <c r="Q102">
        <f>$AF$85</f>
        <v>90</v>
      </c>
      <c r="R102">
        <f>(104.7 * O102 + 0.307 * Q102- 15) * POWER(Q102, 0.75) * 10^-3</f>
        <v>1.7024658722949466</v>
      </c>
      <c r="S102">
        <f t="shared" ref="S102:S124" si="30">1-EXP(-2*POWER(L102,2))</f>
        <v>0.99999627334682795</v>
      </c>
      <c r="T102">
        <v>1</v>
      </c>
      <c r="U102">
        <f t="shared" ref="U102:U124" si="31">R102 * S102 * T102</f>
        <v>1.7024595277951033</v>
      </c>
      <c r="V102">
        <v>20</v>
      </c>
      <c r="W102">
        <f t="shared" ref="W102:W124" si="32">(U102 * 0.0188) + 0.00158</f>
        <v>3.3586239122547941E-2</v>
      </c>
      <c r="Y102">
        <f t="shared" ref="Y102:Y124" si="33">$AF$4</f>
        <v>91.25</v>
      </c>
      <c r="Z102">
        <f t="shared" ref="Z102:Z124" si="34">V102*W102*Y102</f>
        <v>61.294886398649993</v>
      </c>
    </row>
    <row r="103" spans="1:27" x14ac:dyDescent="0.2">
      <c r="E103" t="s">
        <v>82</v>
      </c>
      <c r="G103">
        <v>0</v>
      </c>
      <c r="H103">
        <v>0</v>
      </c>
      <c r="I103">
        <v>0</v>
      </c>
      <c r="L103">
        <f>$AF$31</f>
        <v>1.3</v>
      </c>
      <c r="N103">
        <f>$AF$59</f>
        <v>0.67</v>
      </c>
      <c r="O103">
        <f t="shared" si="29"/>
        <v>0.53125000000000011</v>
      </c>
      <c r="Q103">
        <f>$AF$86</f>
        <v>75</v>
      </c>
      <c r="R103">
        <f t="shared" ref="R103:R108" si="35">(104.7 * O103 + 0.307 * Q103- 15) * POWER(Q103, 0.75) * 10^-3</f>
        <v>1.6220828500688129</v>
      </c>
      <c r="S103">
        <f t="shared" si="30"/>
        <v>0.96595254526540064</v>
      </c>
      <c r="T103">
        <v>1</v>
      </c>
      <c r="U103">
        <f t="shared" si="31"/>
        <v>1.5668550576553251</v>
      </c>
      <c r="V103">
        <v>19</v>
      </c>
      <c r="W103">
        <f t="shared" si="32"/>
        <v>3.1036875083920112E-2</v>
      </c>
      <c r="Y103">
        <f t="shared" si="33"/>
        <v>91.25</v>
      </c>
      <c r="Z103">
        <f t="shared" si="34"/>
        <v>53.810182176746501</v>
      </c>
    </row>
    <row r="104" spans="1:27" x14ac:dyDescent="0.2">
      <c r="E104" t="s">
        <v>83</v>
      </c>
      <c r="G104">
        <v>0</v>
      </c>
      <c r="H104">
        <v>0</v>
      </c>
      <c r="I104">
        <v>0</v>
      </c>
      <c r="L104">
        <f>$AF$32</f>
        <v>0.8</v>
      </c>
      <c r="N104">
        <f>$AF$60</f>
        <v>0.7</v>
      </c>
      <c r="O104">
        <f t="shared" si="29"/>
        <v>0.55510000000000004</v>
      </c>
      <c r="Q104">
        <f>$AF$87</f>
        <v>75</v>
      </c>
      <c r="R104">
        <f t="shared" si="35"/>
        <v>1.6857229733976102</v>
      </c>
      <c r="S104">
        <f t="shared" si="30"/>
        <v>0.72196269954680592</v>
      </c>
      <c r="T104">
        <v>1</v>
      </c>
      <c r="U104">
        <f t="shared" si="31"/>
        <v>1.2170291085622071</v>
      </c>
      <c r="V104">
        <v>25</v>
      </c>
      <c r="W104">
        <f t="shared" si="32"/>
        <v>2.4460147240969496E-2</v>
      </c>
      <c r="Y104">
        <f t="shared" si="33"/>
        <v>91.25</v>
      </c>
      <c r="Z104">
        <f t="shared" si="34"/>
        <v>55.799710893461658</v>
      </c>
    </row>
    <row r="105" spans="1:27" x14ac:dyDescent="0.2">
      <c r="A105">
        <v>2</v>
      </c>
      <c r="D105" t="s">
        <v>73</v>
      </c>
      <c r="E105" t="s">
        <v>80</v>
      </c>
      <c r="G105">
        <v>0</v>
      </c>
      <c r="H105">
        <v>0</v>
      </c>
      <c r="I105">
        <v>0</v>
      </c>
      <c r="L105">
        <f>$AG$29</f>
        <v>2.5</v>
      </c>
      <c r="N105">
        <f>$AG$57</f>
        <v>0.75</v>
      </c>
      <c r="O105">
        <f t="shared" si="29"/>
        <v>0.5948500000000001</v>
      </c>
      <c r="Q105">
        <f>$AG$84</f>
        <v>55</v>
      </c>
      <c r="R105">
        <f t="shared" si="35"/>
        <v>1.2959122541335131</v>
      </c>
      <c r="S105">
        <f t="shared" si="30"/>
        <v>0.99999627334682795</v>
      </c>
      <c r="T105">
        <v>1</v>
      </c>
      <c r="U105">
        <f t="shared" si="31"/>
        <v>1.2959074247180005</v>
      </c>
      <c r="V105">
        <v>50</v>
      </c>
      <c r="W105">
        <f t="shared" si="32"/>
        <v>2.5943059584698412E-2</v>
      </c>
      <c r="Y105">
        <f t="shared" si="33"/>
        <v>91.25</v>
      </c>
      <c r="Z105">
        <f t="shared" si="34"/>
        <v>118.36520935518651</v>
      </c>
    </row>
    <row r="106" spans="1:27" x14ac:dyDescent="0.2">
      <c r="E106" t="s">
        <v>81</v>
      </c>
      <c r="G106">
        <v>0</v>
      </c>
      <c r="H106">
        <v>0</v>
      </c>
      <c r="I106">
        <v>0</v>
      </c>
      <c r="L106">
        <f>$AG$30</f>
        <v>2.5</v>
      </c>
      <c r="N106">
        <f>$AG$58</f>
        <v>0.55000000000000004</v>
      </c>
      <c r="O106">
        <f t="shared" si="29"/>
        <v>0.43585000000000007</v>
      </c>
      <c r="Q106">
        <f>$AG$85</f>
        <v>55</v>
      </c>
      <c r="R106">
        <f t="shared" si="35"/>
        <v>0.95969823125361531</v>
      </c>
      <c r="S106">
        <f t="shared" si="30"/>
        <v>0.99999627334682795</v>
      </c>
      <c r="T106">
        <v>1</v>
      </c>
      <c r="U106">
        <f t="shared" si="31"/>
        <v>0.95969465479115756</v>
      </c>
      <c r="V106">
        <v>60</v>
      </c>
      <c r="W106">
        <f t="shared" si="32"/>
        <v>1.9622259510073764E-2</v>
      </c>
      <c r="Y106">
        <f t="shared" si="33"/>
        <v>91.25</v>
      </c>
      <c r="Z106">
        <f t="shared" si="34"/>
        <v>107.43187081765385</v>
      </c>
    </row>
    <row r="107" spans="1:27" x14ac:dyDescent="0.2">
      <c r="E107" t="s">
        <v>82</v>
      </c>
      <c r="G107">
        <v>0</v>
      </c>
      <c r="H107">
        <v>0</v>
      </c>
      <c r="I107">
        <v>0</v>
      </c>
      <c r="L107">
        <f>$AG$31</f>
        <v>1.3</v>
      </c>
      <c r="N107">
        <f>$AG$59</f>
        <v>0.67</v>
      </c>
      <c r="O107">
        <f t="shared" si="29"/>
        <v>0.53125000000000011</v>
      </c>
      <c r="Q107">
        <f>$AG$86</f>
        <v>50</v>
      </c>
      <c r="R107">
        <f t="shared" si="35"/>
        <v>1.052440031254225</v>
      </c>
      <c r="S107">
        <f t="shared" si="30"/>
        <v>0.96595254526540064</v>
      </c>
      <c r="T107">
        <v>1</v>
      </c>
      <c r="U107">
        <f t="shared" si="31"/>
        <v>1.0166071269292165</v>
      </c>
      <c r="V107">
        <v>55</v>
      </c>
      <c r="W107">
        <f t="shared" si="32"/>
        <v>2.0692213986269272E-2</v>
      </c>
      <c r="Y107">
        <f t="shared" si="33"/>
        <v>91.25</v>
      </c>
      <c r="Z107">
        <f t="shared" si="34"/>
        <v>103.8490489435889</v>
      </c>
    </row>
    <row r="108" spans="1:27" x14ac:dyDescent="0.2">
      <c r="E108" t="s">
        <v>83</v>
      </c>
      <c r="G108">
        <v>0</v>
      </c>
      <c r="H108">
        <v>0</v>
      </c>
      <c r="I108">
        <v>0</v>
      </c>
      <c r="L108">
        <f>$AG$32</f>
        <v>0.8</v>
      </c>
      <c r="N108">
        <f>$AG$60</f>
        <v>0.7</v>
      </c>
      <c r="O108">
        <f t="shared" si="29"/>
        <v>0.55510000000000004</v>
      </c>
      <c r="Q108">
        <f>$AG$87</f>
        <v>45</v>
      </c>
      <c r="R108">
        <f t="shared" si="35"/>
        <v>0.98919258792655118</v>
      </c>
      <c r="S108">
        <f t="shared" si="30"/>
        <v>0.72196269954680592</v>
      </c>
      <c r="T108">
        <v>1</v>
      </c>
      <c r="U108">
        <f t="shared" si="31"/>
        <v>0.71416015115114406</v>
      </c>
      <c r="V108">
        <v>55</v>
      </c>
      <c r="W108">
        <f t="shared" si="32"/>
        <v>1.5006210841641509E-2</v>
      </c>
      <c r="Y108">
        <f t="shared" si="33"/>
        <v>91.25</v>
      </c>
      <c r="Z108">
        <f t="shared" si="34"/>
        <v>75.312420661488332</v>
      </c>
    </row>
    <row r="109" spans="1:27" x14ac:dyDescent="0.2">
      <c r="A109">
        <v>3</v>
      </c>
      <c r="D109" t="s">
        <v>74</v>
      </c>
      <c r="E109" t="s">
        <v>80</v>
      </c>
      <c r="G109">
        <v>92</v>
      </c>
      <c r="H109">
        <v>87</v>
      </c>
      <c r="I109">
        <f>(G109/100*MIN(H109,100)/100)</f>
        <v>0.80040000000000011</v>
      </c>
      <c r="J109">
        <f>$AF$3</f>
        <v>1.3</v>
      </c>
      <c r="L109">
        <f>$AH$29</f>
        <v>2.5</v>
      </c>
      <c r="N109">
        <f>$AH$57</f>
        <v>0.75</v>
      </c>
      <c r="O109">
        <f t="shared" si="29"/>
        <v>0.5948500000000001</v>
      </c>
      <c r="Q109">
        <f>$AH$84</f>
        <v>45</v>
      </c>
      <c r="R109">
        <f>(104.7 * O109 + 0.307 * Q109- 15) * POWER(Q109, 0.75) * 10^-3</f>
        <v>1.0615017285371116</v>
      </c>
      <c r="S109">
        <f t="shared" si="30"/>
        <v>0.99999627334682795</v>
      </c>
      <c r="T109">
        <f>(I109 * J109) + (1 - I109)</f>
        <v>1.2401200000000001</v>
      </c>
      <c r="U109">
        <f t="shared" si="31"/>
        <v>1.3163846178662491</v>
      </c>
      <c r="V109">
        <v>60</v>
      </c>
      <c r="W109">
        <f t="shared" si="32"/>
        <v>2.6328030815885483E-2</v>
      </c>
      <c r="Y109">
        <f t="shared" si="33"/>
        <v>91.25</v>
      </c>
      <c r="Z109">
        <f t="shared" si="34"/>
        <v>144.14596871697302</v>
      </c>
    </row>
    <row r="110" spans="1:27" x14ac:dyDescent="0.2">
      <c r="E110" t="s">
        <v>81</v>
      </c>
      <c r="G110">
        <v>0</v>
      </c>
      <c r="H110">
        <v>0</v>
      </c>
      <c r="I110">
        <f>(G110/100*MIN(H110,100)/100)</f>
        <v>0</v>
      </c>
      <c r="L110">
        <f>$AH$30</f>
        <v>2.5</v>
      </c>
      <c r="N110">
        <f>$AH$58</f>
        <v>0.55000000000000004</v>
      </c>
      <c r="O110">
        <f t="shared" si="29"/>
        <v>0.43585000000000007</v>
      </c>
      <c r="Q110">
        <f>$AH$85</f>
        <v>45</v>
      </c>
      <c r="R110">
        <f t="shared" ref="R110:R124" si="36">(104.7 * O110 + 0.307 * Q110- 15) * POWER(Q110, 0.75) * 10^-3</f>
        <v>0.77226516609487061</v>
      </c>
      <c r="S110">
        <f t="shared" si="30"/>
        <v>0.99999627334682795</v>
      </c>
      <c r="T110">
        <f t="shared" ref="T110:T116" si="37">(I110 * J110) + (1 - I110)</f>
        <v>1</v>
      </c>
      <c r="U110">
        <f t="shared" si="31"/>
        <v>0.77226228813043973</v>
      </c>
      <c r="V110">
        <v>70</v>
      </c>
      <c r="W110">
        <f t="shared" si="32"/>
        <v>1.6098531016852269E-2</v>
      </c>
      <c r="Y110">
        <f t="shared" si="33"/>
        <v>91.25</v>
      </c>
      <c r="Z110">
        <f t="shared" si="34"/>
        <v>102.82936687014387</v>
      </c>
    </row>
    <row r="111" spans="1:27" x14ac:dyDescent="0.2">
      <c r="E111" t="s">
        <v>82</v>
      </c>
      <c r="G111">
        <v>0</v>
      </c>
      <c r="H111">
        <v>0</v>
      </c>
      <c r="I111">
        <f t="shared" ref="I111:I113" si="38">(G111/100*MIN(H111,100)/100)</f>
        <v>0</v>
      </c>
      <c r="L111">
        <f>$AH$31</f>
        <v>1.3</v>
      </c>
      <c r="N111">
        <f>$AH$59</f>
        <v>0.67</v>
      </c>
      <c r="O111">
        <f t="shared" si="29"/>
        <v>0.53125000000000011</v>
      </c>
      <c r="Q111">
        <f>$AH$86</f>
        <v>45</v>
      </c>
      <c r="R111">
        <f t="shared" si="36"/>
        <v>0.94580710356021536</v>
      </c>
      <c r="S111">
        <f t="shared" si="30"/>
        <v>0.96595254526540064</v>
      </c>
      <c r="T111">
        <f t="shared" si="37"/>
        <v>1</v>
      </c>
      <c r="U111">
        <f t="shared" si="31"/>
        <v>0.91360477901408643</v>
      </c>
      <c r="V111">
        <v>60</v>
      </c>
      <c r="W111">
        <f t="shared" si="32"/>
        <v>1.8755769845464829E-2</v>
      </c>
      <c r="Y111">
        <f t="shared" si="33"/>
        <v>91.25</v>
      </c>
      <c r="Z111">
        <f t="shared" si="34"/>
        <v>102.68783990391994</v>
      </c>
    </row>
    <row r="112" spans="1:27" x14ac:dyDescent="0.2">
      <c r="E112" t="s">
        <v>83</v>
      </c>
      <c r="G112">
        <v>0</v>
      </c>
      <c r="H112">
        <v>0</v>
      </c>
      <c r="I112">
        <f t="shared" si="38"/>
        <v>0</v>
      </c>
      <c r="L112">
        <f>$AH$32</f>
        <v>0.8</v>
      </c>
      <c r="N112">
        <f>$AH$60</f>
        <v>0.7</v>
      </c>
      <c r="O112">
        <f t="shared" si="29"/>
        <v>0.55510000000000004</v>
      </c>
      <c r="Q112">
        <f>$AH$87</f>
        <v>50</v>
      </c>
      <c r="R112">
        <f t="shared" si="36"/>
        <v>1.0993929471578776</v>
      </c>
      <c r="S112">
        <f t="shared" si="30"/>
        <v>0.72196269954680592</v>
      </c>
      <c r="T112">
        <f t="shared" si="37"/>
        <v>1</v>
      </c>
      <c r="U112">
        <f t="shared" si="31"/>
        <v>0.79372069999282024</v>
      </c>
      <c r="V112">
        <v>50</v>
      </c>
      <c r="W112">
        <f t="shared" si="32"/>
        <v>1.6501949159865022E-2</v>
      </c>
      <c r="Y112">
        <f t="shared" si="33"/>
        <v>91.25</v>
      </c>
      <c r="Z112">
        <f t="shared" si="34"/>
        <v>75.290143041884164</v>
      </c>
    </row>
    <row r="113" spans="1:26" x14ac:dyDescent="0.2">
      <c r="A113">
        <v>4</v>
      </c>
      <c r="D113" t="s">
        <v>75</v>
      </c>
      <c r="E113" t="s">
        <v>80</v>
      </c>
      <c r="G113">
        <v>95</v>
      </c>
      <c r="H113">
        <v>88</v>
      </c>
      <c r="I113">
        <f t="shared" si="38"/>
        <v>0.83599999999999997</v>
      </c>
      <c r="J113">
        <f>$AF$3</f>
        <v>1.3</v>
      </c>
      <c r="L113">
        <f>$AI$29</f>
        <v>2.5</v>
      </c>
      <c r="N113">
        <f>$AI$57</f>
        <v>0.75</v>
      </c>
      <c r="O113">
        <f t="shared" si="29"/>
        <v>0.5948500000000001</v>
      </c>
      <c r="Q113">
        <f>$AI$84</f>
        <v>50</v>
      </c>
      <c r="R113">
        <f t="shared" si="36"/>
        <v>1.1776478069972991</v>
      </c>
      <c r="S113">
        <f t="shared" si="30"/>
        <v>0.99999627334682795</v>
      </c>
      <c r="T113">
        <f t="shared" si="37"/>
        <v>1.2507999999999999</v>
      </c>
      <c r="U113">
        <f t="shared" si="31"/>
        <v>1.4729963876251044</v>
      </c>
      <c r="V113">
        <v>40</v>
      </c>
      <c r="W113">
        <f t="shared" si="32"/>
        <v>2.9272332087351968E-2</v>
      </c>
      <c r="Y113">
        <f t="shared" si="33"/>
        <v>91.25</v>
      </c>
      <c r="Z113">
        <f t="shared" si="34"/>
        <v>106.84401211883467</v>
      </c>
    </row>
    <row r="114" spans="1:26" x14ac:dyDescent="0.2">
      <c r="E114" t="s">
        <v>81</v>
      </c>
      <c r="G114">
        <v>0</v>
      </c>
      <c r="H114">
        <v>0</v>
      </c>
      <c r="I114">
        <v>0</v>
      </c>
      <c r="L114">
        <f>$AI$30</f>
        <v>2.5</v>
      </c>
      <c r="N114">
        <f>$AI$58</f>
        <v>0.55000000000000004</v>
      </c>
      <c r="O114">
        <f t="shared" si="29"/>
        <v>0.43585000000000007</v>
      </c>
      <c r="Q114">
        <f>$AI$85</f>
        <v>50</v>
      </c>
      <c r="R114">
        <f t="shared" si="36"/>
        <v>0.8646283676396137</v>
      </c>
      <c r="S114">
        <f t="shared" si="30"/>
        <v>0.99999627334682795</v>
      </c>
      <c r="T114">
        <f t="shared" si="37"/>
        <v>1</v>
      </c>
      <c r="U114">
        <f t="shared" si="31"/>
        <v>0.86462514546956482</v>
      </c>
      <c r="V114">
        <v>45</v>
      </c>
      <c r="W114">
        <f t="shared" si="32"/>
        <v>1.7834952734827821E-2</v>
      </c>
      <c r="Y114">
        <f t="shared" si="33"/>
        <v>91.25</v>
      </c>
      <c r="Z114">
        <f t="shared" si="34"/>
        <v>73.234774667386745</v>
      </c>
    </row>
    <row r="115" spans="1:26" x14ac:dyDescent="0.2">
      <c r="E115" t="s">
        <v>82</v>
      </c>
      <c r="G115">
        <v>0</v>
      </c>
      <c r="H115">
        <v>0</v>
      </c>
      <c r="I115">
        <v>0</v>
      </c>
      <c r="L115">
        <f>$AI$31</f>
        <v>1.3</v>
      </c>
      <c r="N115">
        <f>$AI$59</f>
        <v>0.67</v>
      </c>
      <c r="O115">
        <f t="shared" si="29"/>
        <v>0.53125000000000011</v>
      </c>
      <c r="Q115">
        <f>$AI$86</f>
        <v>50</v>
      </c>
      <c r="R115">
        <f t="shared" si="36"/>
        <v>1.052440031254225</v>
      </c>
      <c r="S115">
        <f t="shared" si="30"/>
        <v>0.96595254526540064</v>
      </c>
      <c r="T115">
        <f t="shared" si="37"/>
        <v>1</v>
      </c>
      <c r="U115">
        <f t="shared" si="31"/>
        <v>1.0166071269292165</v>
      </c>
      <c r="V115">
        <v>40</v>
      </c>
      <c r="W115">
        <f t="shared" si="32"/>
        <v>2.0692213986269272E-2</v>
      </c>
      <c r="Y115">
        <f t="shared" si="33"/>
        <v>91.25</v>
      </c>
      <c r="Z115">
        <f t="shared" si="34"/>
        <v>75.52658104988285</v>
      </c>
    </row>
    <row r="116" spans="1:26" x14ac:dyDescent="0.2">
      <c r="E116" t="s">
        <v>83</v>
      </c>
      <c r="G116">
        <v>0</v>
      </c>
      <c r="H116">
        <v>0</v>
      </c>
      <c r="I116">
        <v>0</v>
      </c>
      <c r="L116">
        <f>$AI$32</f>
        <v>0.8</v>
      </c>
      <c r="N116">
        <f>$AI$60</f>
        <v>0.7</v>
      </c>
      <c r="O116">
        <f t="shared" si="29"/>
        <v>0.55510000000000004</v>
      </c>
      <c r="Q116">
        <f>$AI$87</f>
        <v>55</v>
      </c>
      <c r="R116">
        <f t="shared" si="36"/>
        <v>1.2118587484135388</v>
      </c>
      <c r="S116">
        <f t="shared" si="30"/>
        <v>0.72196269954680592</v>
      </c>
      <c r="T116">
        <f t="shared" si="37"/>
        <v>1</v>
      </c>
      <c r="U116">
        <f t="shared" si="31"/>
        <v>0.87491681347405192</v>
      </c>
      <c r="V116">
        <v>35</v>
      </c>
      <c r="W116">
        <f t="shared" si="32"/>
        <v>1.8028436093312179E-2</v>
      </c>
      <c r="Y116">
        <f t="shared" si="33"/>
        <v>91.25</v>
      </c>
      <c r="Z116">
        <f t="shared" si="34"/>
        <v>57.578317773015769</v>
      </c>
    </row>
    <row r="117" spans="1:26" x14ac:dyDescent="0.2">
      <c r="A117">
        <v>5</v>
      </c>
      <c r="D117" t="s">
        <v>76</v>
      </c>
      <c r="E117" t="s">
        <v>80</v>
      </c>
      <c r="G117">
        <v>0</v>
      </c>
      <c r="H117">
        <v>0</v>
      </c>
      <c r="I117">
        <v>0</v>
      </c>
      <c r="L117">
        <f>$AJ$29</f>
        <v>2.5</v>
      </c>
      <c r="N117">
        <f>$AJ$57</f>
        <v>0.75</v>
      </c>
      <c r="O117">
        <f t="shared" si="29"/>
        <v>0.5948500000000001</v>
      </c>
      <c r="Q117">
        <f>$AJ$84</f>
        <v>50</v>
      </c>
      <c r="R117">
        <f t="shared" si="36"/>
        <v>1.1776478069972991</v>
      </c>
      <c r="S117">
        <f t="shared" si="30"/>
        <v>0.99999627334682795</v>
      </c>
      <c r="T117">
        <v>1</v>
      </c>
      <c r="U117">
        <f t="shared" si="31"/>
        <v>1.1776434183123636</v>
      </c>
      <c r="V117">
        <v>25</v>
      </c>
      <c r="W117">
        <f t="shared" si="32"/>
        <v>2.3719696264272439E-2</v>
      </c>
      <c r="Y117">
        <f t="shared" si="33"/>
        <v>91.25</v>
      </c>
      <c r="Z117">
        <f t="shared" si="34"/>
        <v>54.110557102871503</v>
      </c>
    </row>
    <row r="118" spans="1:26" x14ac:dyDescent="0.2">
      <c r="E118" t="s">
        <v>81</v>
      </c>
      <c r="G118">
        <v>0</v>
      </c>
      <c r="H118">
        <v>0</v>
      </c>
      <c r="I118">
        <v>0</v>
      </c>
      <c r="L118">
        <f>$AJ$30</f>
        <v>2.5</v>
      </c>
      <c r="N118">
        <f>$AJ$58</f>
        <v>0.55000000000000004</v>
      </c>
      <c r="O118">
        <f t="shared" si="29"/>
        <v>0.43585000000000007</v>
      </c>
      <c r="Q118">
        <f>$AJ$85</f>
        <v>50</v>
      </c>
      <c r="R118">
        <f t="shared" si="36"/>
        <v>0.8646283676396137</v>
      </c>
      <c r="S118">
        <f t="shared" si="30"/>
        <v>0.99999627334682795</v>
      </c>
      <c r="T118">
        <v>1</v>
      </c>
      <c r="U118">
        <f t="shared" si="31"/>
        <v>0.86462514546956482</v>
      </c>
      <c r="V118">
        <v>30</v>
      </c>
      <c r="W118">
        <f t="shared" si="32"/>
        <v>1.7834952734827821E-2</v>
      </c>
      <c r="Y118">
        <f t="shared" si="33"/>
        <v>91.25</v>
      </c>
      <c r="Z118">
        <f t="shared" si="34"/>
        <v>48.823183111591163</v>
      </c>
    </row>
    <row r="119" spans="1:26" x14ac:dyDescent="0.2">
      <c r="E119" t="s">
        <v>82</v>
      </c>
      <c r="G119">
        <v>0</v>
      </c>
      <c r="H119">
        <v>0</v>
      </c>
      <c r="I119">
        <v>0</v>
      </c>
      <c r="L119">
        <f>$AJ$31</f>
        <v>1.3</v>
      </c>
      <c r="N119">
        <f>$AJ$59</f>
        <v>0.67</v>
      </c>
      <c r="O119">
        <f t="shared" si="29"/>
        <v>0.53125000000000011</v>
      </c>
      <c r="Q119">
        <f>$AJ$86</f>
        <v>50</v>
      </c>
      <c r="R119">
        <f t="shared" si="36"/>
        <v>1.052440031254225</v>
      </c>
      <c r="S119">
        <f t="shared" si="30"/>
        <v>0.96595254526540064</v>
      </c>
      <c r="T119">
        <v>1</v>
      </c>
      <c r="U119">
        <f t="shared" si="31"/>
        <v>1.0166071269292165</v>
      </c>
      <c r="V119">
        <v>25</v>
      </c>
      <c r="W119">
        <f t="shared" si="32"/>
        <v>2.0692213986269272E-2</v>
      </c>
      <c r="Y119">
        <f t="shared" si="33"/>
        <v>91.25</v>
      </c>
      <c r="Z119">
        <f t="shared" si="34"/>
        <v>47.204113156176774</v>
      </c>
    </row>
    <row r="120" spans="1:26" x14ac:dyDescent="0.2">
      <c r="E120" t="s">
        <v>83</v>
      </c>
      <c r="G120">
        <v>0</v>
      </c>
      <c r="H120">
        <v>0</v>
      </c>
      <c r="I120">
        <v>0</v>
      </c>
      <c r="L120">
        <f>$AJ$32</f>
        <v>0.8</v>
      </c>
      <c r="N120">
        <f>$AJ$60</f>
        <v>0.7</v>
      </c>
      <c r="O120">
        <f t="shared" si="29"/>
        <v>0.55510000000000004</v>
      </c>
      <c r="Q120">
        <f>$AJ$87</f>
        <v>50</v>
      </c>
      <c r="R120">
        <f t="shared" si="36"/>
        <v>1.0993929471578776</v>
      </c>
      <c r="S120">
        <f t="shared" si="30"/>
        <v>0.72196269954680592</v>
      </c>
      <c r="T120">
        <v>1</v>
      </c>
      <c r="U120">
        <f t="shared" si="31"/>
        <v>0.79372069999282024</v>
      </c>
      <c r="V120">
        <v>20</v>
      </c>
      <c r="W120">
        <f t="shared" si="32"/>
        <v>1.6501949159865022E-2</v>
      </c>
      <c r="Y120">
        <f t="shared" si="33"/>
        <v>91.25</v>
      </c>
      <c r="Z120">
        <f t="shared" si="34"/>
        <v>30.116057216753667</v>
      </c>
    </row>
    <row r="121" spans="1:26" x14ac:dyDescent="0.2">
      <c r="A121">
        <v>6</v>
      </c>
      <c r="D121" t="s">
        <v>77</v>
      </c>
      <c r="E121" t="s">
        <v>80</v>
      </c>
      <c r="G121">
        <v>0</v>
      </c>
      <c r="H121">
        <v>0</v>
      </c>
      <c r="I121">
        <v>0</v>
      </c>
      <c r="L121">
        <f>$AK$29</f>
        <v>2.5</v>
      </c>
      <c r="N121">
        <f>$AK$57</f>
        <v>0.75</v>
      </c>
      <c r="O121">
        <f t="shared" si="29"/>
        <v>0.5948500000000001</v>
      </c>
      <c r="Q121">
        <f>$AK$84</f>
        <v>14</v>
      </c>
      <c r="R121">
        <f t="shared" si="36"/>
        <v>0.3733079325984448</v>
      </c>
      <c r="S121">
        <f t="shared" si="30"/>
        <v>0.99999627334682795</v>
      </c>
      <c r="T121">
        <v>1</v>
      </c>
      <c r="U121">
        <f t="shared" si="31"/>
        <v>0.37330654140925362</v>
      </c>
      <c r="V121">
        <v>15</v>
      </c>
      <c r="W121">
        <f t="shared" si="32"/>
        <v>8.5981629784939693E-3</v>
      </c>
      <c r="Y121">
        <f t="shared" si="33"/>
        <v>91.25</v>
      </c>
      <c r="Z121">
        <f t="shared" si="34"/>
        <v>11.76873557681362</v>
      </c>
    </row>
    <row r="122" spans="1:26" x14ac:dyDescent="0.2">
      <c r="E122" t="s">
        <v>81</v>
      </c>
      <c r="G122">
        <v>0</v>
      </c>
      <c r="H122">
        <v>0</v>
      </c>
      <c r="I122">
        <v>0</v>
      </c>
      <c r="L122">
        <f>$AK$30</f>
        <v>2.5</v>
      </c>
      <c r="N122">
        <f>$AK$58</f>
        <v>0.55000000000000004</v>
      </c>
      <c r="O122">
        <f t="shared" si="29"/>
        <v>0.43585000000000007</v>
      </c>
      <c r="Q122">
        <f>$AK$85</f>
        <v>24</v>
      </c>
      <c r="R122">
        <f t="shared" si="36"/>
        <v>0.41205872426603418</v>
      </c>
      <c r="S122">
        <f t="shared" si="30"/>
        <v>0.99999627334682795</v>
      </c>
      <c r="T122">
        <v>1</v>
      </c>
      <c r="U122">
        <f t="shared" si="31"/>
        <v>0.41205718866608232</v>
      </c>
      <c r="V122">
        <v>45</v>
      </c>
      <c r="W122">
        <f t="shared" si="32"/>
        <v>9.3266751469223488E-3</v>
      </c>
      <c r="Y122">
        <f t="shared" si="33"/>
        <v>91.25</v>
      </c>
      <c r="Z122">
        <f t="shared" si="34"/>
        <v>38.297659822049894</v>
      </c>
    </row>
    <row r="123" spans="1:26" x14ac:dyDescent="0.2">
      <c r="E123" t="s">
        <v>82</v>
      </c>
      <c r="G123">
        <v>0</v>
      </c>
      <c r="H123">
        <v>0</v>
      </c>
      <c r="I123">
        <v>0</v>
      </c>
      <c r="L123">
        <f>$AK$31</f>
        <v>1.3</v>
      </c>
      <c r="N123">
        <f>$AK$59</f>
        <v>0.67</v>
      </c>
      <c r="O123">
        <f t="shared" si="29"/>
        <v>0.53125000000000011</v>
      </c>
      <c r="Q123">
        <f>$AK$86</f>
        <v>36</v>
      </c>
      <c r="R123">
        <f t="shared" si="36"/>
        <v>0.75944776069416087</v>
      </c>
      <c r="S123">
        <f t="shared" si="30"/>
        <v>0.96595254526540064</v>
      </c>
      <c r="T123">
        <v>1</v>
      </c>
      <c r="U123">
        <f t="shared" si="31"/>
        <v>0.73359049743863358</v>
      </c>
      <c r="V123">
        <v>40</v>
      </c>
      <c r="W123">
        <f t="shared" si="32"/>
        <v>1.5371501351846312E-2</v>
      </c>
      <c r="Y123">
        <f t="shared" si="33"/>
        <v>91.25</v>
      </c>
      <c r="Z123">
        <f t="shared" si="34"/>
        <v>56.105979934239038</v>
      </c>
    </row>
    <row r="124" spans="1:26" x14ac:dyDescent="0.2">
      <c r="E124" t="s">
        <v>83</v>
      </c>
      <c r="G124">
        <v>0</v>
      </c>
      <c r="H124">
        <v>0</v>
      </c>
      <c r="I124">
        <v>0</v>
      </c>
      <c r="L124">
        <f>$AK$32</f>
        <v>0.8</v>
      </c>
      <c r="N124">
        <f>$AK$60</f>
        <v>0.7</v>
      </c>
      <c r="O124">
        <f t="shared" si="29"/>
        <v>0.55510000000000004</v>
      </c>
      <c r="Q124">
        <f>$AK$87</f>
        <v>42</v>
      </c>
      <c r="R124">
        <f t="shared" si="36"/>
        <v>0.92411404077093851</v>
      </c>
      <c r="S124">
        <f t="shared" si="30"/>
        <v>0.72196269954680592</v>
      </c>
      <c r="T124">
        <v>1</v>
      </c>
      <c r="U124">
        <f t="shared" si="31"/>
        <v>0.66717586756409386</v>
      </c>
      <c r="V124">
        <v>30</v>
      </c>
      <c r="W124">
        <f t="shared" si="32"/>
        <v>1.4122906310204965E-2</v>
      </c>
      <c r="Y124">
        <f t="shared" si="33"/>
        <v>91.25</v>
      </c>
      <c r="Z124">
        <f t="shared" si="34"/>
        <v>38.661456024186094</v>
      </c>
    </row>
    <row r="131" spans="1:27" x14ac:dyDescent="0.2">
      <c r="A131" t="s">
        <v>104</v>
      </c>
      <c r="B131" t="s">
        <v>105</v>
      </c>
      <c r="C131" t="s">
        <v>105</v>
      </c>
      <c r="D131" t="s">
        <v>72</v>
      </c>
      <c r="E131" t="s">
        <v>80</v>
      </c>
      <c r="G131">
        <v>0</v>
      </c>
      <c r="H131">
        <v>0</v>
      </c>
      <c r="I131">
        <v>0</v>
      </c>
      <c r="L131">
        <f>$AF$33</f>
        <v>3.2</v>
      </c>
      <c r="N131">
        <f>$AF$61</f>
        <v>0.7</v>
      </c>
      <c r="O131">
        <f>(0.795 * N131) - 0.0014</f>
        <v>0.55510000000000004</v>
      </c>
      <c r="Q131">
        <f>$AF$88</f>
        <v>70</v>
      </c>
      <c r="R131">
        <f>(104.7 * O131 + 0.307 * Q131- 15) * POWER(Q131, 0.75) * 10^-3</f>
        <v>1.5635664662315347</v>
      </c>
      <c r="S131">
        <f>1-EXP(-2*POWER(L131,2))</f>
        <v>0.99999999872459233</v>
      </c>
      <c r="T131">
        <v>1</v>
      </c>
      <c r="U131">
        <f>R131 * S131 * T131</f>
        <v>1.5635664642373501</v>
      </c>
      <c r="V131">
        <v>25</v>
      </c>
      <c r="W131">
        <f>(U131 * 0.0188) + 0.00158</f>
        <v>3.0975049527662186E-2</v>
      </c>
      <c r="Y131">
        <f>$AF$4</f>
        <v>91.25</v>
      </c>
      <c r="Z131">
        <f>V131*W131*Y131</f>
        <v>70.661831734979359</v>
      </c>
      <c r="AA131">
        <f>SUM(Z131:Z154)*10^-3</f>
        <v>1.6673196768701513</v>
      </c>
    </row>
    <row r="132" spans="1:27" x14ac:dyDescent="0.2">
      <c r="E132" t="s">
        <v>81</v>
      </c>
      <c r="G132">
        <v>0</v>
      </c>
      <c r="H132">
        <v>0</v>
      </c>
      <c r="I132">
        <v>0</v>
      </c>
      <c r="L132">
        <f>$AF$34</f>
        <v>3</v>
      </c>
      <c r="N132">
        <f>$AF$62</f>
        <v>0.55000000000000004</v>
      </c>
      <c r="O132">
        <f t="shared" ref="O132:O154" si="39">(0.795 * N132) - 0.0014</f>
        <v>0.43585000000000007</v>
      </c>
      <c r="Q132">
        <f>$AF$89</f>
        <v>65</v>
      </c>
      <c r="R132">
        <f>(104.7 * O132 + 0.307 * Q132- 15) * POWER(Q132, 0.75) * 10^-3</f>
        <v>1.1580752413958724</v>
      </c>
      <c r="S132">
        <f t="shared" ref="S132:S154" si="40">1-EXP(-2*POWER(L132,2))</f>
        <v>0.99999998477002028</v>
      </c>
      <c r="T132">
        <v>1</v>
      </c>
      <c r="U132">
        <f t="shared" ref="U132:U154" si="41">R132 * S132 * T132</f>
        <v>1.15807522375841</v>
      </c>
      <c r="V132">
        <v>20</v>
      </c>
      <c r="W132">
        <f t="shared" ref="W132:W154" si="42">(U132 * 0.0188) + 0.00158</f>
        <v>2.3351814206658109E-2</v>
      </c>
      <c r="Y132">
        <f t="shared" ref="Y132:Y154" si="43">$AF$4</f>
        <v>91.25</v>
      </c>
      <c r="Z132">
        <f t="shared" ref="Z132:Z154" si="44">V132*W132*Y132</f>
        <v>42.617060927151051</v>
      </c>
    </row>
    <row r="133" spans="1:27" x14ac:dyDescent="0.2">
      <c r="E133" t="s">
        <v>82</v>
      </c>
      <c r="G133">
        <v>0</v>
      </c>
      <c r="H133">
        <v>0</v>
      </c>
      <c r="I133">
        <v>0</v>
      </c>
      <c r="L133">
        <f>$AF$35</f>
        <v>1.8</v>
      </c>
      <c r="N133">
        <f>$AF$63</f>
        <v>0.65</v>
      </c>
      <c r="O133">
        <f t="shared" si="39"/>
        <v>0.51535000000000009</v>
      </c>
      <c r="Q133">
        <f>$AF$90</f>
        <v>65</v>
      </c>
      <c r="R133">
        <f t="shared" ref="R133:R138" si="45">(104.7 * O133 + 0.307 * Q133- 15) * POWER(Q133, 0.75) * 10^-3</f>
        <v>1.3486207988995054</v>
      </c>
      <c r="S133">
        <f t="shared" si="40"/>
        <v>0.99846618932067555</v>
      </c>
      <c r="T133">
        <v>1</v>
      </c>
      <c r="U133">
        <f t="shared" si="41"/>
        <v>1.3465522699157941</v>
      </c>
      <c r="V133">
        <v>19</v>
      </c>
      <c r="W133">
        <f t="shared" si="42"/>
        <v>2.6895182674416932E-2</v>
      </c>
      <c r="Y133">
        <f t="shared" si="43"/>
        <v>91.25</v>
      </c>
      <c r="Z133">
        <f t="shared" si="44"/>
        <v>46.629522961770363</v>
      </c>
    </row>
    <row r="134" spans="1:27" x14ac:dyDescent="0.2">
      <c r="E134" t="s">
        <v>83</v>
      </c>
      <c r="G134">
        <v>0</v>
      </c>
      <c r="H134">
        <v>0</v>
      </c>
      <c r="I134">
        <v>0</v>
      </c>
      <c r="L134">
        <f>$AF$36</f>
        <v>1</v>
      </c>
      <c r="N134">
        <f>$AF$64</f>
        <v>0.6</v>
      </c>
      <c r="O134">
        <f t="shared" si="39"/>
        <v>0.47559999999999997</v>
      </c>
      <c r="Q134">
        <f>$AF$91</f>
        <v>60</v>
      </c>
      <c r="R134">
        <f t="shared" si="45"/>
        <v>1.1472289977258807</v>
      </c>
      <c r="S134">
        <f t="shared" si="40"/>
        <v>0.8646647167633873</v>
      </c>
      <c r="T134">
        <v>1</v>
      </c>
      <c r="U134">
        <f t="shared" si="41"/>
        <v>0.99196843638139331</v>
      </c>
      <c r="V134">
        <v>25</v>
      </c>
      <c r="W134">
        <f t="shared" si="42"/>
        <v>2.0229006603970198E-2</v>
      </c>
      <c r="Y134">
        <f t="shared" si="43"/>
        <v>91.25</v>
      </c>
      <c r="Z134">
        <f t="shared" si="44"/>
        <v>46.147421315307014</v>
      </c>
    </row>
    <row r="135" spans="1:27" x14ac:dyDescent="0.2">
      <c r="A135">
        <v>2</v>
      </c>
      <c r="D135" t="s">
        <v>73</v>
      </c>
      <c r="E135" t="s">
        <v>80</v>
      </c>
      <c r="G135">
        <v>0</v>
      </c>
      <c r="H135">
        <v>0</v>
      </c>
      <c r="I135">
        <v>0</v>
      </c>
      <c r="L135">
        <f>$AG$33</f>
        <v>3.2</v>
      </c>
      <c r="N135">
        <f>$AG$61</f>
        <v>0.7</v>
      </c>
      <c r="O135">
        <f t="shared" si="39"/>
        <v>0.55510000000000004</v>
      </c>
      <c r="Q135">
        <f>$AG$88</f>
        <v>60</v>
      </c>
      <c r="R135">
        <f t="shared" si="45"/>
        <v>1.3266722980183725</v>
      </c>
      <c r="S135">
        <f t="shared" si="40"/>
        <v>0.99999999872459233</v>
      </c>
      <c r="T135">
        <v>1</v>
      </c>
      <c r="U135">
        <f t="shared" si="41"/>
        <v>1.3266722963263244</v>
      </c>
      <c r="V135">
        <v>50</v>
      </c>
      <c r="W135">
        <f t="shared" si="42"/>
        <v>2.6521439170934902E-2</v>
      </c>
      <c r="Y135">
        <f t="shared" si="43"/>
        <v>91.25</v>
      </c>
      <c r="Z135">
        <f t="shared" si="44"/>
        <v>121.00406621739049</v>
      </c>
    </row>
    <row r="136" spans="1:27" x14ac:dyDescent="0.2">
      <c r="E136" t="s">
        <v>81</v>
      </c>
      <c r="G136">
        <v>0</v>
      </c>
      <c r="H136">
        <v>0</v>
      </c>
      <c r="I136">
        <v>0</v>
      </c>
      <c r="L136">
        <f>$AG$34</f>
        <v>3</v>
      </c>
      <c r="N136">
        <f>$AG$62</f>
        <v>0.55000000000000004</v>
      </c>
      <c r="O136">
        <f t="shared" si="39"/>
        <v>0.43585000000000007</v>
      </c>
      <c r="Q136">
        <f>$AG$89</f>
        <v>55</v>
      </c>
      <c r="R136">
        <f t="shared" si="45"/>
        <v>0.95969823125361531</v>
      </c>
      <c r="S136">
        <f t="shared" si="40"/>
        <v>0.99999998477002028</v>
      </c>
      <c r="T136">
        <v>1</v>
      </c>
      <c r="U136">
        <f t="shared" si="41"/>
        <v>0.95969821663743071</v>
      </c>
      <c r="V136">
        <v>60</v>
      </c>
      <c r="W136">
        <f t="shared" si="42"/>
        <v>1.96223264727837E-2</v>
      </c>
      <c r="Y136">
        <f t="shared" si="43"/>
        <v>91.25</v>
      </c>
      <c r="Z136">
        <f t="shared" si="44"/>
        <v>107.43223743849074</v>
      </c>
    </row>
    <row r="137" spans="1:27" x14ac:dyDescent="0.2">
      <c r="E137" t="s">
        <v>82</v>
      </c>
      <c r="G137">
        <v>0</v>
      </c>
      <c r="H137">
        <v>0</v>
      </c>
      <c r="I137">
        <v>0</v>
      </c>
      <c r="L137">
        <f>$AG$35</f>
        <v>1.8</v>
      </c>
      <c r="N137">
        <f>$AG$63</f>
        <v>0.65</v>
      </c>
      <c r="O137">
        <f t="shared" si="39"/>
        <v>0.51535000000000009</v>
      </c>
      <c r="Q137">
        <f>$AG$90</f>
        <v>52</v>
      </c>
      <c r="R137">
        <f t="shared" si="45"/>
        <v>1.0635112555960096</v>
      </c>
      <c r="S137">
        <f t="shared" si="40"/>
        <v>0.99846618932067555</v>
      </c>
      <c r="T137">
        <v>1</v>
      </c>
      <c r="U137">
        <f t="shared" si="41"/>
        <v>1.0618800306745946</v>
      </c>
      <c r="V137">
        <v>55</v>
      </c>
      <c r="W137">
        <f t="shared" si="42"/>
        <v>2.1543344576682381E-2</v>
      </c>
      <c r="Y137">
        <f t="shared" si="43"/>
        <v>91.25</v>
      </c>
      <c r="Z137">
        <f t="shared" si="44"/>
        <v>108.1206605942247</v>
      </c>
    </row>
    <row r="138" spans="1:27" x14ac:dyDescent="0.2">
      <c r="E138" t="s">
        <v>83</v>
      </c>
      <c r="G138">
        <v>0</v>
      </c>
      <c r="H138">
        <v>0</v>
      </c>
      <c r="I138">
        <v>0</v>
      </c>
      <c r="L138">
        <f>$AG$36</f>
        <v>1</v>
      </c>
      <c r="N138">
        <f>$AG$64</f>
        <v>0.6</v>
      </c>
      <c r="O138">
        <f t="shared" si="39"/>
        <v>0.47559999999999997</v>
      </c>
      <c r="Q138">
        <f>$AG$91</f>
        <v>50</v>
      </c>
      <c r="R138">
        <f t="shared" si="45"/>
        <v>0.94288322747903475</v>
      </c>
      <c r="S138">
        <f t="shared" si="40"/>
        <v>0.8646647167633873</v>
      </c>
      <c r="T138">
        <v>1</v>
      </c>
      <c r="U138">
        <f t="shared" si="41"/>
        <v>0.81527785882910808</v>
      </c>
      <c r="V138">
        <v>55</v>
      </c>
      <c r="W138">
        <f t="shared" si="42"/>
        <v>1.6907223745987233E-2</v>
      </c>
      <c r="Y138">
        <f t="shared" si="43"/>
        <v>91.25</v>
      </c>
      <c r="Z138">
        <f t="shared" si="44"/>
        <v>84.853129175173422</v>
      </c>
    </row>
    <row r="139" spans="1:27" x14ac:dyDescent="0.2">
      <c r="A139">
        <v>3</v>
      </c>
      <c r="D139" t="s">
        <v>74</v>
      </c>
      <c r="E139" t="s">
        <v>80</v>
      </c>
      <c r="G139">
        <v>92</v>
      </c>
      <c r="H139">
        <v>87</v>
      </c>
      <c r="I139">
        <f>(G139/100*MIN(H139,100)/100)</f>
        <v>0.80040000000000011</v>
      </c>
      <c r="J139">
        <f>$AF$3</f>
        <v>1.3</v>
      </c>
      <c r="L139">
        <f>$AH$33</f>
        <v>3.2</v>
      </c>
      <c r="N139">
        <f>$AH$61</f>
        <v>0.7</v>
      </c>
      <c r="O139">
        <f t="shared" si="39"/>
        <v>0.55510000000000004</v>
      </c>
      <c r="Q139">
        <f>$AH$88</f>
        <v>50</v>
      </c>
      <c r="R139">
        <f>(104.7 * O139 + 0.307 * Q139- 15) * POWER(Q139, 0.75) * 10^-3</f>
        <v>1.0993929471578776</v>
      </c>
      <c r="S139">
        <f t="shared" si="40"/>
        <v>0.99999999872459233</v>
      </c>
      <c r="T139">
        <f>(I139 * J139) + (1 - I139)</f>
        <v>1.2401200000000001</v>
      </c>
      <c r="U139">
        <f t="shared" si="41"/>
        <v>1.363379179890563</v>
      </c>
      <c r="V139">
        <v>60</v>
      </c>
      <c r="W139">
        <f t="shared" si="42"/>
        <v>2.7211528581942587E-2</v>
      </c>
      <c r="Y139">
        <f t="shared" si="43"/>
        <v>91.25</v>
      </c>
      <c r="Z139">
        <f t="shared" si="44"/>
        <v>148.98311898613565</v>
      </c>
    </row>
    <row r="140" spans="1:27" x14ac:dyDescent="0.2">
      <c r="E140" t="s">
        <v>81</v>
      </c>
      <c r="G140">
        <v>0</v>
      </c>
      <c r="H140">
        <v>0</v>
      </c>
      <c r="I140">
        <f>(G140/100*MIN(H140,100)/100)</f>
        <v>0</v>
      </c>
      <c r="L140">
        <f>$AH$34</f>
        <v>3</v>
      </c>
      <c r="N140">
        <f>$AH$62</f>
        <v>0.55000000000000004</v>
      </c>
      <c r="O140">
        <f t="shared" si="39"/>
        <v>0.43585000000000007</v>
      </c>
      <c r="Q140">
        <f>$AH$89</f>
        <v>45</v>
      </c>
      <c r="R140">
        <f t="shared" ref="R140:R154" si="46">(104.7 * O140 + 0.307 * Q140- 15) * POWER(Q140, 0.75) * 10^-3</f>
        <v>0.77226516609487061</v>
      </c>
      <c r="S140">
        <f t="shared" si="40"/>
        <v>0.99999998477002028</v>
      </c>
      <c r="T140">
        <f t="shared" ref="T140:T146" si="47">(I140 * J140) + (1 - I140)</f>
        <v>1</v>
      </c>
      <c r="U140">
        <f t="shared" si="41"/>
        <v>0.7722651543332878</v>
      </c>
      <c r="V140">
        <v>70</v>
      </c>
      <c r="W140">
        <f t="shared" si="42"/>
        <v>1.6098584901465811E-2</v>
      </c>
      <c r="Y140">
        <f t="shared" si="43"/>
        <v>91.25</v>
      </c>
      <c r="Z140">
        <f t="shared" si="44"/>
        <v>102.82971105811286</v>
      </c>
    </row>
    <row r="141" spans="1:27" x14ac:dyDescent="0.2">
      <c r="E141" t="s">
        <v>82</v>
      </c>
      <c r="G141">
        <v>0</v>
      </c>
      <c r="H141">
        <v>0</v>
      </c>
      <c r="I141">
        <f t="shared" ref="I141:I143" si="48">(G141/100*MIN(H141,100)/100)</f>
        <v>0</v>
      </c>
      <c r="L141">
        <f>$AH$35</f>
        <v>1.8</v>
      </c>
      <c r="N141">
        <f>$AH$63</f>
        <v>0.65</v>
      </c>
      <c r="O141">
        <f t="shared" si="39"/>
        <v>0.51535000000000009</v>
      </c>
      <c r="Q141">
        <f>$AH$90</f>
        <v>43</v>
      </c>
      <c r="R141">
        <f t="shared" si="46"/>
        <v>0.87583738496773078</v>
      </c>
      <c r="S141">
        <f t="shared" si="40"/>
        <v>0.99846618932067555</v>
      </c>
      <c r="T141">
        <f t="shared" si="47"/>
        <v>1</v>
      </c>
      <c r="U141">
        <f t="shared" si="41"/>
        <v>0.87449401623331569</v>
      </c>
      <c r="V141">
        <v>60</v>
      </c>
      <c r="W141">
        <f t="shared" si="42"/>
        <v>1.8020487505186335E-2</v>
      </c>
      <c r="Y141">
        <f t="shared" si="43"/>
        <v>91.25</v>
      </c>
      <c r="Z141">
        <f t="shared" si="44"/>
        <v>98.66216909089519</v>
      </c>
    </row>
    <row r="142" spans="1:27" x14ac:dyDescent="0.2">
      <c r="E142" t="s">
        <v>83</v>
      </c>
      <c r="G142">
        <v>0</v>
      </c>
      <c r="H142">
        <v>0</v>
      </c>
      <c r="I142">
        <f t="shared" si="48"/>
        <v>0</v>
      </c>
      <c r="L142">
        <f>$AH$36</f>
        <v>1</v>
      </c>
      <c r="N142">
        <f>$AH$64</f>
        <v>0.6</v>
      </c>
      <c r="O142">
        <f t="shared" si="39"/>
        <v>0.47559999999999997</v>
      </c>
      <c r="Q142">
        <f>$AH$91</f>
        <v>40</v>
      </c>
      <c r="R142">
        <f t="shared" si="46"/>
        <v>0.74875248086684232</v>
      </c>
      <c r="S142">
        <f t="shared" si="40"/>
        <v>0.8646647167633873</v>
      </c>
      <c r="T142">
        <f t="shared" si="47"/>
        <v>1</v>
      </c>
      <c r="U142">
        <f t="shared" si="41"/>
        <v>0.64741985179461181</v>
      </c>
      <c r="V142">
        <v>50</v>
      </c>
      <c r="W142">
        <f t="shared" si="42"/>
        <v>1.3751493213738702E-2</v>
      </c>
      <c r="Y142">
        <f t="shared" si="43"/>
        <v>91.25</v>
      </c>
      <c r="Z142">
        <f t="shared" si="44"/>
        <v>62.741187787682826</v>
      </c>
    </row>
    <row r="143" spans="1:27" x14ac:dyDescent="0.2">
      <c r="A143">
        <v>4</v>
      </c>
      <c r="D143" t="s">
        <v>75</v>
      </c>
      <c r="E143" t="s">
        <v>80</v>
      </c>
      <c r="G143">
        <v>95</v>
      </c>
      <c r="H143">
        <v>88</v>
      </c>
      <c r="I143">
        <f t="shared" si="48"/>
        <v>0.83599999999999997</v>
      </c>
      <c r="J143">
        <f>$AF$3</f>
        <v>1.3</v>
      </c>
      <c r="L143">
        <f>$AI$33</f>
        <v>3.2</v>
      </c>
      <c r="N143">
        <f>$AI$61</f>
        <v>0.7</v>
      </c>
      <c r="O143">
        <f t="shared" si="39"/>
        <v>0.55510000000000004</v>
      </c>
      <c r="Q143">
        <f>$AI$88</f>
        <v>55</v>
      </c>
      <c r="R143">
        <f t="shared" si="46"/>
        <v>1.2118587484135388</v>
      </c>
      <c r="S143">
        <f t="shared" si="40"/>
        <v>0.99999999872459233</v>
      </c>
      <c r="T143">
        <f t="shared" si="47"/>
        <v>1.2507999999999999</v>
      </c>
      <c r="U143">
        <f t="shared" si="41"/>
        <v>1.5157929205824003</v>
      </c>
      <c r="V143">
        <v>40</v>
      </c>
      <c r="W143">
        <f t="shared" si="42"/>
        <v>3.0076906906949127E-2</v>
      </c>
      <c r="Y143">
        <f t="shared" si="43"/>
        <v>91.25</v>
      </c>
      <c r="Z143">
        <f t="shared" si="44"/>
        <v>109.78071021036432</v>
      </c>
    </row>
    <row r="144" spans="1:27" x14ac:dyDescent="0.2">
      <c r="E144" t="s">
        <v>81</v>
      </c>
      <c r="G144">
        <v>0</v>
      </c>
      <c r="H144">
        <v>0</v>
      </c>
      <c r="I144">
        <v>0</v>
      </c>
      <c r="L144">
        <f>$AI$34</f>
        <v>3</v>
      </c>
      <c r="N144">
        <f>$AI$62</f>
        <v>0.55000000000000004</v>
      </c>
      <c r="O144">
        <f t="shared" si="39"/>
        <v>0.43585000000000007</v>
      </c>
      <c r="Q144">
        <f>$AI$89</f>
        <v>50</v>
      </c>
      <c r="R144">
        <f t="shared" si="46"/>
        <v>0.8646283676396137</v>
      </c>
      <c r="S144">
        <f t="shared" si="40"/>
        <v>0.99999998477002028</v>
      </c>
      <c r="T144">
        <f t="shared" si="47"/>
        <v>1</v>
      </c>
      <c r="U144">
        <f t="shared" si="41"/>
        <v>0.86462835447134123</v>
      </c>
      <c r="V144">
        <v>45</v>
      </c>
      <c r="W144">
        <f t="shared" si="42"/>
        <v>1.7835013064061218E-2</v>
      </c>
      <c r="Y144">
        <f t="shared" si="43"/>
        <v>91.25</v>
      </c>
      <c r="Z144">
        <f t="shared" si="44"/>
        <v>73.235022394301382</v>
      </c>
    </row>
    <row r="145" spans="1:26" x14ac:dyDescent="0.2">
      <c r="E145" t="s">
        <v>82</v>
      </c>
      <c r="G145">
        <v>0</v>
      </c>
      <c r="H145">
        <v>0</v>
      </c>
      <c r="I145">
        <v>0</v>
      </c>
      <c r="L145">
        <f>$AI$35</f>
        <v>1.8</v>
      </c>
      <c r="N145">
        <f>$AI$63</f>
        <v>0.65</v>
      </c>
      <c r="O145">
        <f t="shared" si="39"/>
        <v>0.51535000000000009</v>
      </c>
      <c r="Q145">
        <f>$AI$90</f>
        <v>48</v>
      </c>
      <c r="R145">
        <f t="shared" si="46"/>
        <v>0.97915122350076966</v>
      </c>
      <c r="S145">
        <f t="shared" si="40"/>
        <v>0.99846618932067555</v>
      </c>
      <c r="T145">
        <f t="shared" si="47"/>
        <v>1</v>
      </c>
      <c r="U145">
        <f t="shared" si="41"/>
        <v>0.97764939089749059</v>
      </c>
      <c r="V145">
        <v>40</v>
      </c>
      <c r="W145">
        <f t="shared" si="42"/>
        <v>1.9959808548872825E-2</v>
      </c>
      <c r="Y145">
        <f t="shared" si="43"/>
        <v>91.25</v>
      </c>
      <c r="Z145">
        <f t="shared" si="44"/>
        <v>72.853301203385811</v>
      </c>
    </row>
    <row r="146" spans="1:26" x14ac:dyDescent="0.2">
      <c r="E146" t="s">
        <v>83</v>
      </c>
      <c r="G146">
        <v>0</v>
      </c>
      <c r="H146">
        <v>0</v>
      </c>
      <c r="I146">
        <v>0</v>
      </c>
      <c r="L146">
        <f>$AI$36</f>
        <v>1</v>
      </c>
      <c r="N146">
        <f>$AI$64</f>
        <v>0.6</v>
      </c>
      <c r="O146">
        <f t="shared" si="39"/>
        <v>0.47559999999999997</v>
      </c>
      <c r="Q146">
        <f>$AI$91</f>
        <v>45</v>
      </c>
      <c r="R146">
        <f t="shared" si="46"/>
        <v>0.84457430670543054</v>
      </c>
      <c r="S146">
        <f t="shared" si="40"/>
        <v>0.8646647167633873</v>
      </c>
      <c r="T146">
        <f t="shared" si="47"/>
        <v>1</v>
      </c>
      <c r="U146">
        <f t="shared" si="41"/>
        <v>0.73027360369308525</v>
      </c>
      <c r="V146">
        <v>35</v>
      </c>
      <c r="W146">
        <f t="shared" si="42"/>
        <v>1.5309143749430003E-2</v>
      </c>
      <c r="Y146">
        <f t="shared" si="43"/>
        <v>91.25</v>
      </c>
      <c r="Z146">
        <f t="shared" si="44"/>
        <v>48.893577849742066</v>
      </c>
    </row>
    <row r="147" spans="1:26" x14ac:dyDescent="0.2">
      <c r="A147">
        <v>5</v>
      </c>
      <c r="D147" t="s">
        <v>76</v>
      </c>
      <c r="E147" t="s">
        <v>80</v>
      </c>
      <c r="G147">
        <v>0</v>
      </c>
      <c r="H147">
        <v>0</v>
      </c>
      <c r="I147">
        <v>0</v>
      </c>
      <c r="L147">
        <f>$AJ$33</f>
        <v>3.2</v>
      </c>
      <c r="N147">
        <f>$AJ$61</f>
        <v>0.7</v>
      </c>
      <c r="O147">
        <f t="shared" si="39"/>
        <v>0.55510000000000004</v>
      </c>
      <c r="Q147">
        <f>$AJ$88</f>
        <v>50</v>
      </c>
      <c r="R147">
        <f t="shared" si="46"/>
        <v>1.0993929471578776</v>
      </c>
      <c r="S147">
        <f t="shared" si="40"/>
        <v>0.99999999872459233</v>
      </c>
      <c r="T147">
        <v>1</v>
      </c>
      <c r="U147">
        <f t="shared" si="41"/>
        <v>1.0993929457557035</v>
      </c>
      <c r="V147">
        <v>25</v>
      </c>
      <c r="W147">
        <f t="shared" si="42"/>
        <v>2.2248587380207227E-2</v>
      </c>
      <c r="Y147">
        <f t="shared" si="43"/>
        <v>91.25</v>
      </c>
      <c r="Z147">
        <f t="shared" si="44"/>
        <v>50.754589961097736</v>
      </c>
    </row>
    <row r="148" spans="1:26" x14ac:dyDescent="0.2">
      <c r="E148" t="s">
        <v>81</v>
      </c>
      <c r="G148">
        <v>0</v>
      </c>
      <c r="H148">
        <v>0</v>
      </c>
      <c r="I148">
        <v>0</v>
      </c>
      <c r="L148">
        <f>$AJ$34</f>
        <v>3</v>
      </c>
      <c r="N148">
        <f>$AJ$62</f>
        <v>0.55000000000000004</v>
      </c>
      <c r="O148">
        <f t="shared" si="39"/>
        <v>0.43585000000000007</v>
      </c>
      <c r="Q148">
        <f>$AJ$89</f>
        <v>50</v>
      </c>
      <c r="R148">
        <f t="shared" si="46"/>
        <v>0.8646283676396137</v>
      </c>
      <c r="S148">
        <f t="shared" si="40"/>
        <v>0.99999998477002028</v>
      </c>
      <c r="T148">
        <v>1</v>
      </c>
      <c r="U148">
        <f t="shared" si="41"/>
        <v>0.86462835447134123</v>
      </c>
      <c r="V148">
        <v>30</v>
      </c>
      <c r="W148">
        <f t="shared" si="42"/>
        <v>1.7835013064061218E-2</v>
      </c>
      <c r="Y148">
        <f t="shared" si="43"/>
        <v>91.25</v>
      </c>
      <c r="Z148">
        <f t="shared" si="44"/>
        <v>48.82334826286759</v>
      </c>
    </row>
    <row r="149" spans="1:26" x14ac:dyDescent="0.2">
      <c r="E149" t="s">
        <v>82</v>
      </c>
      <c r="G149">
        <v>0</v>
      </c>
      <c r="H149">
        <v>0</v>
      </c>
      <c r="I149">
        <v>0</v>
      </c>
      <c r="L149">
        <f>$AJ$35</f>
        <v>1.8</v>
      </c>
      <c r="N149">
        <f>$AJ$63</f>
        <v>0.65</v>
      </c>
      <c r="O149">
        <f t="shared" si="39"/>
        <v>0.51535000000000009</v>
      </c>
      <c r="Q149">
        <f>$AJ$90</f>
        <v>50</v>
      </c>
      <c r="R149">
        <f t="shared" si="46"/>
        <v>1.0211380873184563</v>
      </c>
      <c r="S149">
        <f t="shared" si="40"/>
        <v>0.99846618932067555</v>
      </c>
      <c r="T149">
        <v>1</v>
      </c>
      <c r="U149">
        <f t="shared" si="41"/>
        <v>1.0195718548150623</v>
      </c>
      <c r="V149">
        <v>25</v>
      </c>
      <c r="W149">
        <f t="shared" si="42"/>
        <v>2.0747950870523172E-2</v>
      </c>
      <c r="Y149">
        <f t="shared" si="43"/>
        <v>91.25</v>
      </c>
      <c r="Z149">
        <f t="shared" si="44"/>
        <v>47.33126292338099</v>
      </c>
    </row>
    <row r="150" spans="1:26" x14ac:dyDescent="0.2">
      <c r="E150" t="s">
        <v>83</v>
      </c>
      <c r="G150">
        <v>0</v>
      </c>
      <c r="H150">
        <v>0</v>
      </c>
      <c r="I150">
        <v>0</v>
      </c>
      <c r="L150">
        <f>$AJ$36</f>
        <v>1</v>
      </c>
      <c r="N150">
        <f>$AJ$64</f>
        <v>0.6</v>
      </c>
      <c r="O150">
        <f t="shared" si="39"/>
        <v>0.47559999999999997</v>
      </c>
      <c r="Q150">
        <f>$AJ$91</f>
        <v>50</v>
      </c>
      <c r="R150">
        <f t="shared" si="46"/>
        <v>0.94288322747903475</v>
      </c>
      <c r="S150">
        <f t="shared" si="40"/>
        <v>0.8646647167633873</v>
      </c>
      <c r="T150">
        <v>1</v>
      </c>
      <c r="U150">
        <f t="shared" si="41"/>
        <v>0.81527785882910808</v>
      </c>
      <c r="V150">
        <v>20</v>
      </c>
      <c r="W150">
        <f t="shared" si="42"/>
        <v>1.6907223745987233E-2</v>
      </c>
      <c r="Y150">
        <f t="shared" si="43"/>
        <v>91.25</v>
      </c>
      <c r="Z150">
        <f t="shared" si="44"/>
        <v>30.855683336426697</v>
      </c>
    </row>
    <row r="151" spans="1:26" x14ac:dyDescent="0.2">
      <c r="A151">
        <v>6</v>
      </c>
      <c r="D151" t="s">
        <v>77</v>
      </c>
      <c r="E151" t="s">
        <v>80</v>
      </c>
      <c r="G151">
        <v>0</v>
      </c>
      <c r="H151">
        <v>0</v>
      </c>
      <c r="I151">
        <v>0</v>
      </c>
      <c r="L151">
        <f>$AK$33</f>
        <v>3.2</v>
      </c>
      <c r="N151">
        <f>$AK$61</f>
        <v>0.7</v>
      </c>
      <c r="O151">
        <f t="shared" si="39"/>
        <v>0.55510000000000004</v>
      </c>
      <c r="Q151">
        <f>$AK$88</f>
        <v>22</v>
      </c>
      <c r="R151">
        <f t="shared" si="46"/>
        <v>0.50661989714547884</v>
      </c>
      <c r="S151">
        <f t="shared" si="40"/>
        <v>0.99999999872459233</v>
      </c>
      <c r="T151">
        <v>1</v>
      </c>
      <c r="U151">
        <f t="shared" si="41"/>
        <v>0.50661989649933192</v>
      </c>
      <c r="V151">
        <v>15</v>
      </c>
      <c r="W151">
        <f t="shared" si="42"/>
        <v>1.1104454054187441E-2</v>
      </c>
      <c r="Y151">
        <f t="shared" si="43"/>
        <v>91.25</v>
      </c>
      <c r="Z151">
        <f t="shared" si="44"/>
        <v>15.199221486669058</v>
      </c>
    </row>
    <row r="152" spans="1:26" x14ac:dyDescent="0.2">
      <c r="E152" t="s">
        <v>81</v>
      </c>
      <c r="G152">
        <v>0</v>
      </c>
      <c r="H152">
        <v>0</v>
      </c>
      <c r="I152">
        <v>0</v>
      </c>
      <c r="L152">
        <f>$AK$34</f>
        <v>3</v>
      </c>
      <c r="N152">
        <f>$AK$62</f>
        <v>0.55000000000000004</v>
      </c>
      <c r="O152">
        <f t="shared" si="39"/>
        <v>0.43585000000000007</v>
      </c>
      <c r="Q152">
        <f>$AK$89</f>
        <v>28</v>
      </c>
      <c r="R152">
        <f t="shared" si="46"/>
        <v>0.47750864762612716</v>
      </c>
      <c r="S152">
        <f t="shared" si="40"/>
        <v>0.99999998477002028</v>
      </c>
      <c r="T152">
        <v>1</v>
      </c>
      <c r="U152">
        <f t="shared" si="41"/>
        <v>0.47750864035368012</v>
      </c>
      <c r="V152">
        <v>45</v>
      </c>
      <c r="W152">
        <f t="shared" si="42"/>
        <v>1.0557162438649187E-2</v>
      </c>
      <c r="Y152">
        <f t="shared" si="43"/>
        <v>91.25</v>
      </c>
      <c r="Z152">
        <f t="shared" si="44"/>
        <v>43.350348263703218</v>
      </c>
    </row>
    <row r="153" spans="1:26" x14ac:dyDescent="0.2">
      <c r="E153" t="s">
        <v>82</v>
      </c>
      <c r="G153">
        <v>0</v>
      </c>
      <c r="H153">
        <v>0</v>
      </c>
      <c r="I153">
        <v>0</v>
      </c>
      <c r="L153">
        <f>$AK$35</f>
        <v>1.8</v>
      </c>
      <c r="N153">
        <f>$AK$63</f>
        <v>0.65</v>
      </c>
      <c r="O153">
        <f t="shared" si="39"/>
        <v>0.51535000000000009</v>
      </c>
      <c r="Q153">
        <f>$AK$90</f>
        <v>33</v>
      </c>
      <c r="R153">
        <f t="shared" si="46"/>
        <v>0.67586829739226073</v>
      </c>
      <c r="S153">
        <f t="shared" si="40"/>
        <v>0.99846618932067555</v>
      </c>
      <c r="T153">
        <v>1</v>
      </c>
      <c r="U153">
        <f t="shared" si="41"/>
        <v>0.67483164337990365</v>
      </c>
      <c r="V153">
        <v>40</v>
      </c>
      <c r="W153">
        <f t="shared" si="42"/>
        <v>1.4266834895542188E-2</v>
      </c>
      <c r="Y153">
        <f t="shared" si="43"/>
        <v>91.25</v>
      </c>
      <c r="Z153">
        <f t="shared" si="44"/>
        <v>52.073947368728987</v>
      </c>
    </row>
    <row r="154" spans="1:26" x14ac:dyDescent="0.2">
      <c r="E154" t="s">
        <v>83</v>
      </c>
      <c r="G154">
        <v>0</v>
      </c>
      <c r="H154">
        <v>0</v>
      </c>
      <c r="I154">
        <v>0</v>
      </c>
      <c r="L154">
        <f>$AK$36</f>
        <v>1</v>
      </c>
      <c r="N154">
        <f>$AK$64</f>
        <v>0.6</v>
      </c>
      <c r="O154">
        <f t="shared" si="39"/>
        <v>0.47559999999999997</v>
      </c>
      <c r="Q154">
        <f>$AK$91</f>
        <v>35</v>
      </c>
      <c r="R154">
        <f t="shared" si="46"/>
        <v>0.65531047667424769</v>
      </c>
      <c r="S154">
        <f t="shared" si="40"/>
        <v>0.8646647167633873</v>
      </c>
      <c r="T154">
        <v>1</v>
      </c>
      <c r="U154">
        <f t="shared" si="41"/>
        <v>0.56662384770561869</v>
      </c>
      <c r="V154">
        <v>30</v>
      </c>
      <c r="W154">
        <f t="shared" si="42"/>
        <v>1.2232528336865632E-2</v>
      </c>
      <c r="Y154">
        <f t="shared" si="43"/>
        <v>91.25</v>
      </c>
      <c r="Z154">
        <f t="shared" si="44"/>
        <v>33.486546322169666</v>
      </c>
    </row>
    <row r="161" spans="1:27" x14ac:dyDescent="0.2">
      <c r="A161" t="s">
        <v>107</v>
      </c>
      <c r="B161" t="s">
        <v>106</v>
      </c>
      <c r="C161" t="s">
        <v>106</v>
      </c>
      <c r="D161" t="s">
        <v>72</v>
      </c>
      <c r="E161" t="s">
        <v>80</v>
      </c>
      <c r="G161">
        <v>0</v>
      </c>
      <c r="H161">
        <v>0</v>
      </c>
      <c r="I161">
        <v>0</v>
      </c>
      <c r="L161">
        <f>$AF$37</f>
        <v>3.5</v>
      </c>
      <c r="N161">
        <f>$AF$65</f>
        <v>0.73</v>
      </c>
      <c r="O161">
        <f>(0.795 * N161) - 0.0014</f>
        <v>0.57895000000000008</v>
      </c>
      <c r="Q161">
        <f>$AF$92</f>
        <v>75</v>
      </c>
      <c r="R161">
        <f>(104.7 * O161 + 0.307 * Q161- 15) * POWER(Q161, 0.75) * 10^-3</f>
        <v>1.7493630967264082</v>
      </c>
      <c r="S161">
        <f>1-EXP(-2*POWER(L161,2))</f>
        <v>0.99999999997710265</v>
      </c>
      <c r="T161">
        <v>1</v>
      </c>
      <c r="U161">
        <f>R161 * S161 * T161</f>
        <v>1.7493630966863525</v>
      </c>
      <c r="V161">
        <v>25</v>
      </c>
      <c r="W161">
        <f>(U161 * 0.0188) + 0.00158</f>
        <v>3.4468026217703424E-2</v>
      </c>
      <c r="Y161">
        <f>$AF$4</f>
        <v>91.25</v>
      </c>
      <c r="Z161">
        <f>V161*W161*Y161</f>
        <v>78.630184809135926</v>
      </c>
      <c r="AA161">
        <f>SUM(Z161:Z184)*10^-3</f>
        <v>1.6117205003604651</v>
      </c>
    </row>
    <row r="162" spans="1:27" x14ac:dyDescent="0.2">
      <c r="E162" t="s">
        <v>81</v>
      </c>
      <c r="G162">
        <v>0</v>
      </c>
      <c r="H162">
        <v>0</v>
      </c>
      <c r="I162">
        <v>0</v>
      </c>
      <c r="L162">
        <f>$AF$38</f>
        <v>1.5</v>
      </c>
      <c r="N162">
        <f>$AF$66</f>
        <v>0.55000000000000004</v>
      </c>
      <c r="O162">
        <f t="shared" ref="O162:O184" si="49">(0.795 * N162) - 0.0014</f>
        <v>0.43585000000000007</v>
      </c>
      <c r="Q162">
        <f>$AF$93</f>
        <v>65</v>
      </c>
      <c r="R162">
        <f>(104.7 * O162 + 0.307 * Q162- 15) * POWER(Q162, 0.75) * 10^-3</f>
        <v>1.1580752413958724</v>
      </c>
      <c r="S162">
        <f t="shared" ref="S162:S184" si="50">1-EXP(-2*POWER(L162,2))</f>
        <v>0.98889100346175773</v>
      </c>
      <c r="T162">
        <v>1</v>
      </c>
      <c r="U162">
        <f t="shared" ref="U162:U184" si="51">R162 * S162 * T162</f>
        <v>1.1452101875481815</v>
      </c>
      <c r="V162">
        <v>20</v>
      </c>
      <c r="W162">
        <f t="shared" ref="W162:W184" si="52">(U162 * 0.0188) + 0.00158</f>
        <v>2.3109951525905816E-2</v>
      </c>
      <c r="Y162">
        <f t="shared" ref="Y162:Y184" si="53">$AF$4</f>
        <v>91.25</v>
      </c>
      <c r="Z162">
        <f t="shared" ref="Z162:Z184" si="54">V162*W162*Y162</f>
        <v>42.175661534778108</v>
      </c>
    </row>
    <row r="163" spans="1:27" x14ac:dyDescent="0.2">
      <c r="E163" t="s">
        <v>82</v>
      </c>
      <c r="G163">
        <v>0</v>
      </c>
      <c r="H163">
        <v>0</v>
      </c>
      <c r="I163">
        <v>0</v>
      </c>
      <c r="L163">
        <f>$AF$39</f>
        <v>0.7</v>
      </c>
      <c r="N163">
        <f>$AF$67</f>
        <v>0.5</v>
      </c>
      <c r="O163">
        <f t="shared" si="49"/>
        <v>0.39610000000000001</v>
      </c>
      <c r="Q163">
        <f>$AF$94</f>
        <v>65</v>
      </c>
      <c r="R163">
        <f t="shared" ref="R163:R168" si="55">(104.7 * O163 + 0.307 * Q163- 15) * POWER(Q163, 0.75) * 10^-3</f>
        <v>1.0628024626440558</v>
      </c>
      <c r="S163">
        <f t="shared" si="50"/>
        <v>0.62468890114860043</v>
      </c>
      <c r="T163">
        <v>1</v>
      </c>
      <c r="U163">
        <f t="shared" si="51"/>
        <v>0.66392090252714164</v>
      </c>
      <c r="V163">
        <v>19</v>
      </c>
      <c r="W163">
        <f t="shared" si="52"/>
        <v>1.4061712967510263E-2</v>
      </c>
      <c r="Y163">
        <f t="shared" si="53"/>
        <v>91.25</v>
      </c>
      <c r="Z163">
        <f t="shared" si="54"/>
        <v>24.379494857420919</v>
      </c>
    </row>
    <row r="164" spans="1:27" x14ac:dyDescent="0.2">
      <c r="E164" t="s">
        <v>83</v>
      </c>
      <c r="G164">
        <v>0</v>
      </c>
      <c r="H164">
        <v>0</v>
      </c>
      <c r="I164">
        <v>0</v>
      </c>
      <c r="L164">
        <f>$AF$40</f>
        <v>1.2</v>
      </c>
      <c r="N164">
        <f>$AF$68</f>
        <v>0.76</v>
      </c>
      <c r="O164">
        <f t="shared" si="49"/>
        <v>0.60280000000000011</v>
      </c>
      <c r="Q164">
        <f>$AF$95</f>
        <v>65</v>
      </c>
      <c r="R164">
        <f t="shared" si="55"/>
        <v>1.5582209121535018</v>
      </c>
      <c r="S164">
        <f t="shared" si="50"/>
        <v>0.94386523716586623</v>
      </c>
      <c r="T164">
        <v>1</v>
      </c>
      <c r="U164">
        <f t="shared" si="51"/>
        <v>1.4707505508065775</v>
      </c>
      <c r="V164">
        <v>25</v>
      </c>
      <c r="W164">
        <f t="shared" si="52"/>
        <v>2.9230110355163659E-2</v>
      </c>
      <c r="Y164">
        <f t="shared" si="53"/>
        <v>91.25</v>
      </c>
      <c r="Z164">
        <f t="shared" si="54"/>
        <v>66.6811892477171</v>
      </c>
    </row>
    <row r="165" spans="1:27" x14ac:dyDescent="0.2">
      <c r="A165">
        <v>2</v>
      </c>
      <c r="D165" t="s">
        <v>73</v>
      </c>
      <c r="E165" t="s">
        <v>80</v>
      </c>
      <c r="G165">
        <v>0</v>
      </c>
      <c r="H165">
        <v>0</v>
      </c>
      <c r="I165">
        <v>0</v>
      </c>
      <c r="L165">
        <f>$AG$37</f>
        <v>3.5</v>
      </c>
      <c r="N165">
        <f>$AG$65</f>
        <v>0.73</v>
      </c>
      <c r="O165">
        <f t="shared" si="49"/>
        <v>0.57895000000000008</v>
      </c>
      <c r="Q165">
        <f>$AG$92</f>
        <v>60</v>
      </c>
      <c r="R165">
        <f t="shared" si="55"/>
        <v>1.3805052881061199</v>
      </c>
      <c r="S165">
        <f t="shared" si="50"/>
        <v>0.99999999997710265</v>
      </c>
      <c r="T165">
        <v>1</v>
      </c>
      <c r="U165">
        <f t="shared" si="51"/>
        <v>1.3805052880745101</v>
      </c>
      <c r="V165">
        <v>50</v>
      </c>
      <c r="W165">
        <f t="shared" si="52"/>
        <v>2.7533499415800793E-2</v>
      </c>
      <c r="Y165">
        <f t="shared" si="53"/>
        <v>91.25</v>
      </c>
      <c r="Z165">
        <f t="shared" si="54"/>
        <v>125.62159108459112</v>
      </c>
    </row>
    <row r="166" spans="1:27" x14ac:dyDescent="0.2">
      <c r="E166" t="s">
        <v>81</v>
      </c>
      <c r="G166">
        <v>0</v>
      </c>
      <c r="H166">
        <v>0</v>
      </c>
      <c r="I166">
        <v>0</v>
      </c>
      <c r="L166">
        <f>$AG$38</f>
        <v>1.5</v>
      </c>
      <c r="N166">
        <f>$AG$66</f>
        <v>0.55000000000000004</v>
      </c>
      <c r="O166">
        <f t="shared" si="49"/>
        <v>0.43585000000000007</v>
      </c>
      <c r="Q166">
        <f>$AG$93</f>
        <v>55</v>
      </c>
      <c r="R166">
        <f t="shared" si="55"/>
        <v>0.95969823125361531</v>
      </c>
      <c r="S166">
        <f t="shared" si="50"/>
        <v>0.98889100346175773</v>
      </c>
      <c r="T166">
        <v>1</v>
      </c>
      <c r="U166">
        <f t="shared" si="51"/>
        <v>0.94903694692486162</v>
      </c>
      <c r="V166">
        <v>60</v>
      </c>
      <c r="W166">
        <f t="shared" si="52"/>
        <v>1.9421894602187399E-2</v>
      </c>
      <c r="Y166">
        <f t="shared" si="53"/>
        <v>91.25</v>
      </c>
      <c r="Z166">
        <f t="shared" si="54"/>
        <v>106.33487294697601</v>
      </c>
    </row>
    <row r="167" spans="1:27" x14ac:dyDescent="0.2">
      <c r="E167" t="s">
        <v>82</v>
      </c>
      <c r="G167">
        <v>0</v>
      </c>
      <c r="H167">
        <v>0</v>
      </c>
      <c r="I167">
        <v>0</v>
      </c>
      <c r="L167">
        <f>$AG$39</f>
        <v>0.7</v>
      </c>
      <c r="N167">
        <f>$AG$67</f>
        <v>0.5</v>
      </c>
      <c r="O167">
        <f t="shared" si="49"/>
        <v>0.39610000000000001</v>
      </c>
      <c r="Q167">
        <f>$AG$94</f>
        <v>48</v>
      </c>
      <c r="R167">
        <f t="shared" si="55"/>
        <v>0.75146539652530986</v>
      </c>
      <c r="S167">
        <f t="shared" si="50"/>
        <v>0.62468890114860043</v>
      </c>
      <c r="T167">
        <v>1</v>
      </c>
      <c r="U167">
        <f t="shared" si="51"/>
        <v>0.46943209280659309</v>
      </c>
      <c r="V167">
        <v>55</v>
      </c>
      <c r="W167">
        <f t="shared" si="52"/>
        <v>1.0405323344763951E-2</v>
      </c>
      <c r="Y167">
        <f t="shared" si="53"/>
        <v>91.25</v>
      </c>
      <c r="Z167">
        <f t="shared" si="54"/>
        <v>52.221716536534082</v>
      </c>
    </row>
    <row r="168" spans="1:27" x14ac:dyDescent="0.2">
      <c r="E168" t="s">
        <v>83</v>
      </c>
      <c r="G168">
        <v>0</v>
      </c>
      <c r="H168">
        <v>0</v>
      </c>
      <c r="I168">
        <v>0</v>
      </c>
      <c r="L168">
        <f>$AG$40</f>
        <v>1.2</v>
      </c>
      <c r="N168">
        <f>$AG$68</f>
        <v>0.76</v>
      </c>
      <c r="O168">
        <f t="shared" si="49"/>
        <v>0.60280000000000011</v>
      </c>
      <c r="Q168">
        <f>$AG$95</f>
        <v>48</v>
      </c>
      <c r="R168">
        <f t="shared" si="55"/>
        <v>1.1461208299494401</v>
      </c>
      <c r="S168">
        <f t="shared" si="50"/>
        <v>0.94386523716586623</v>
      </c>
      <c r="T168">
        <v>1</v>
      </c>
      <c r="U168">
        <f t="shared" si="51"/>
        <v>1.0817836089809678</v>
      </c>
      <c r="V168">
        <v>55</v>
      </c>
      <c r="W168">
        <f t="shared" si="52"/>
        <v>2.1917531848842198E-2</v>
      </c>
      <c r="Y168">
        <f t="shared" si="53"/>
        <v>91.25</v>
      </c>
      <c r="Z168">
        <f t="shared" si="54"/>
        <v>109.9986129663768</v>
      </c>
    </row>
    <row r="169" spans="1:27" x14ac:dyDescent="0.2">
      <c r="A169">
        <v>3</v>
      </c>
      <c r="D169" t="s">
        <v>74</v>
      </c>
      <c r="E169" t="s">
        <v>80</v>
      </c>
      <c r="G169">
        <v>92</v>
      </c>
      <c r="H169">
        <v>87</v>
      </c>
      <c r="I169">
        <f>(G169/100*MIN(H169,100)/100)</f>
        <v>0.80040000000000011</v>
      </c>
      <c r="J169">
        <f>$AF$3</f>
        <v>1.3</v>
      </c>
      <c r="L169">
        <f>$AH$37</f>
        <v>3.5</v>
      </c>
      <c r="N169">
        <f>$AH$65</f>
        <v>0.73</v>
      </c>
      <c r="O169">
        <f t="shared" si="49"/>
        <v>0.57895000000000008</v>
      </c>
      <c r="Q169">
        <f>$AH$92</f>
        <v>50</v>
      </c>
      <c r="R169">
        <f>(104.7 * O169 + 0.307 * Q169- 15) * POWER(Q169, 0.75) * 10^-3</f>
        <v>1.1463458630615306</v>
      </c>
      <c r="S169">
        <f t="shared" si="50"/>
        <v>0.99999999997710265</v>
      </c>
      <c r="T169">
        <f>(I169 * J169) + (1 - I169)</f>
        <v>1.2401200000000001</v>
      </c>
      <c r="U169">
        <f t="shared" si="51"/>
        <v>1.4216064316673145</v>
      </c>
      <c r="V169">
        <v>60</v>
      </c>
      <c r="W169">
        <f t="shared" si="52"/>
        <v>2.8306200915345515E-2</v>
      </c>
      <c r="Y169">
        <f t="shared" si="53"/>
        <v>91.25</v>
      </c>
      <c r="Z169">
        <f t="shared" si="54"/>
        <v>154.97645001151668</v>
      </c>
    </row>
    <row r="170" spans="1:27" x14ac:dyDescent="0.2">
      <c r="E170" t="s">
        <v>81</v>
      </c>
      <c r="G170">
        <v>0</v>
      </c>
      <c r="H170">
        <v>0</v>
      </c>
      <c r="I170">
        <f>(G170/100*MIN(H170,100)/100)</f>
        <v>0</v>
      </c>
      <c r="L170">
        <f>$AH$38</f>
        <v>1.5</v>
      </c>
      <c r="N170">
        <f>$AH$66</f>
        <v>0.55000000000000004</v>
      </c>
      <c r="O170">
        <f t="shared" si="49"/>
        <v>0.43585000000000007</v>
      </c>
      <c r="Q170">
        <f>$AH$93</f>
        <v>45</v>
      </c>
      <c r="R170">
        <f t="shared" ref="R170:R184" si="56">(104.7 * O170 + 0.307 * Q170- 15) * POWER(Q170, 0.75) * 10^-3</f>
        <v>0.77226516609487061</v>
      </c>
      <c r="S170">
        <f t="shared" si="50"/>
        <v>0.98889100346175773</v>
      </c>
      <c r="T170">
        <f t="shared" ref="T170:T176" si="57">(I170 * J170) + (1 - I170)</f>
        <v>1</v>
      </c>
      <c r="U170">
        <f t="shared" si="51"/>
        <v>0.76368607503811758</v>
      </c>
      <c r="V170">
        <v>70</v>
      </c>
      <c r="W170">
        <f t="shared" si="52"/>
        <v>1.5937298210716613E-2</v>
      </c>
      <c r="Y170">
        <f t="shared" si="53"/>
        <v>91.25</v>
      </c>
      <c r="Z170">
        <f t="shared" si="54"/>
        <v>101.79949232095237</v>
      </c>
    </row>
    <row r="171" spans="1:27" x14ac:dyDescent="0.2">
      <c r="E171" t="s">
        <v>82</v>
      </c>
      <c r="G171">
        <v>0</v>
      </c>
      <c r="H171">
        <v>0</v>
      </c>
      <c r="I171">
        <f t="shared" ref="I171:I173" si="58">(G171/100*MIN(H171,100)/100)</f>
        <v>0</v>
      </c>
      <c r="L171">
        <f>$AH$39</f>
        <v>0.7</v>
      </c>
      <c r="N171">
        <f>$AH$67</f>
        <v>0.7</v>
      </c>
      <c r="O171">
        <f t="shared" si="49"/>
        <v>0.55510000000000004</v>
      </c>
      <c r="Q171">
        <f>$AH$94</f>
        <v>40</v>
      </c>
      <c r="R171">
        <f t="shared" si="56"/>
        <v>0.88114358489687972</v>
      </c>
      <c r="S171">
        <f t="shared" si="50"/>
        <v>0.62468890114860043</v>
      </c>
      <c r="T171">
        <f t="shared" si="57"/>
        <v>1</v>
      </c>
      <c r="U171">
        <f t="shared" si="51"/>
        <v>0.55044061780337028</v>
      </c>
      <c r="V171">
        <v>60</v>
      </c>
      <c r="W171">
        <f t="shared" si="52"/>
        <v>1.1928283614703361E-2</v>
      </c>
      <c r="Y171">
        <f t="shared" si="53"/>
        <v>91.25</v>
      </c>
      <c r="Z171">
        <f t="shared" si="54"/>
        <v>65.3073527905009</v>
      </c>
    </row>
    <row r="172" spans="1:27" x14ac:dyDescent="0.2">
      <c r="E172" t="s">
        <v>83</v>
      </c>
      <c r="G172">
        <v>0</v>
      </c>
      <c r="H172">
        <v>0</v>
      </c>
      <c r="I172">
        <f t="shared" si="58"/>
        <v>0</v>
      </c>
      <c r="L172">
        <f>$AH$40</f>
        <v>1.2</v>
      </c>
      <c r="N172">
        <f>$AH$68</f>
        <v>0.76</v>
      </c>
      <c r="O172">
        <f t="shared" si="49"/>
        <v>0.60280000000000011</v>
      </c>
      <c r="Q172">
        <f>$AH$95</f>
        <v>45</v>
      </c>
      <c r="R172">
        <f t="shared" si="56"/>
        <v>1.0759635566592238</v>
      </c>
      <c r="S172">
        <f t="shared" si="50"/>
        <v>0.94386523716586623</v>
      </c>
      <c r="T172">
        <f t="shared" si="57"/>
        <v>1</v>
      </c>
      <c r="U172">
        <f t="shared" si="51"/>
        <v>1.0155645975879872</v>
      </c>
      <c r="V172">
        <v>50</v>
      </c>
      <c r="W172">
        <f t="shared" si="52"/>
        <v>2.0672614434654162E-2</v>
      </c>
      <c r="Y172">
        <f t="shared" si="53"/>
        <v>91.25</v>
      </c>
      <c r="Z172">
        <f t="shared" si="54"/>
        <v>94.318803358109619</v>
      </c>
    </row>
    <row r="173" spans="1:27" x14ac:dyDescent="0.2">
      <c r="A173">
        <v>4</v>
      </c>
      <c r="D173" t="s">
        <v>75</v>
      </c>
      <c r="E173" t="s">
        <v>80</v>
      </c>
      <c r="G173">
        <v>95</v>
      </c>
      <c r="H173">
        <v>88</v>
      </c>
      <c r="I173">
        <f t="shared" si="58"/>
        <v>0.83599999999999997</v>
      </c>
      <c r="J173">
        <f>$AF$3</f>
        <v>1.3</v>
      </c>
      <c r="L173">
        <f>$AI$37</f>
        <v>3.5</v>
      </c>
      <c r="N173">
        <f>$AI$65</f>
        <v>0.73</v>
      </c>
      <c r="O173">
        <f t="shared" si="49"/>
        <v>0.57895000000000008</v>
      </c>
      <c r="Q173">
        <f>$AI$92</f>
        <v>55</v>
      </c>
      <c r="R173">
        <f t="shared" si="56"/>
        <v>1.2622908518455234</v>
      </c>
      <c r="S173">
        <f t="shared" si="50"/>
        <v>0.99999999997710265</v>
      </c>
      <c r="T173">
        <f t="shared" si="57"/>
        <v>1.2507999999999999</v>
      </c>
      <c r="U173">
        <f t="shared" si="51"/>
        <v>1.5788733974522284</v>
      </c>
      <c r="V173">
        <v>40</v>
      </c>
      <c r="W173">
        <f t="shared" si="52"/>
        <v>3.1262819872101895E-2</v>
      </c>
      <c r="Y173">
        <f t="shared" si="53"/>
        <v>91.25</v>
      </c>
      <c r="Z173">
        <f t="shared" si="54"/>
        <v>114.10929253317191</v>
      </c>
    </row>
    <row r="174" spans="1:27" x14ac:dyDescent="0.2">
      <c r="E174" t="s">
        <v>81</v>
      </c>
      <c r="G174">
        <v>0</v>
      </c>
      <c r="H174">
        <v>0</v>
      </c>
      <c r="I174">
        <v>0</v>
      </c>
      <c r="L174">
        <f>$AI$38</f>
        <v>1.5</v>
      </c>
      <c r="N174">
        <f>$AI$66</f>
        <v>0.55000000000000004</v>
      </c>
      <c r="O174">
        <f t="shared" si="49"/>
        <v>0.43585000000000007</v>
      </c>
      <c r="Q174">
        <f>$AI$93</f>
        <v>50</v>
      </c>
      <c r="R174">
        <f t="shared" si="56"/>
        <v>0.8646283676396137</v>
      </c>
      <c r="S174">
        <f t="shared" si="50"/>
        <v>0.98889100346175773</v>
      </c>
      <c r="T174">
        <f t="shared" si="57"/>
        <v>1</v>
      </c>
      <c r="U174">
        <f t="shared" si="51"/>
        <v>0.85502321409663917</v>
      </c>
      <c r="V174">
        <v>45</v>
      </c>
      <c r="W174">
        <f t="shared" si="52"/>
        <v>1.7654436425016819E-2</v>
      </c>
      <c r="Y174">
        <f t="shared" si="53"/>
        <v>91.25</v>
      </c>
      <c r="Z174">
        <f t="shared" si="54"/>
        <v>72.493529570225306</v>
      </c>
    </row>
    <row r="175" spans="1:27" x14ac:dyDescent="0.2">
      <c r="E175" t="s">
        <v>82</v>
      </c>
      <c r="G175">
        <v>0</v>
      </c>
      <c r="H175">
        <v>0</v>
      </c>
      <c r="I175">
        <v>0</v>
      </c>
      <c r="L175">
        <f>$AI$39</f>
        <v>0.7</v>
      </c>
      <c r="N175">
        <f>$AI$67</f>
        <v>0.7</v>
      </c>
      <c r="O175">
        <f t="shared" si="49"/>
        <v>0.55510000000000004</v>
      </c>
      <c r="Q175">
        <f>$AI$94</f>
        <v>45</v>
      </c>
      <c r="R175">
        <f t="shared" si="56"/>
        <v>0.98919258792655118</v>
      </c>
      <c r="S175">
        <f t="shared" si="50"/>
        <v>0.62468890114860043</v>
      </c>
      <c r="T175">
        <f t="shared" si="57"/>
        <v>1</v>
      </c>
      <c r="U175">
        <f t="shared" si="51"/>
        <v>0.61793763077617758</v>
      </c>
      <c r="V175">
        <v>40</v>
      </c>
      <c r="W175">
        <f t="shared" si="52"/>
        <v>1.3197227458592139E-2</v>
      </c>
      <c r="Y175">
        <f t="shared" si="53"/>
        <v>91.25</v>
      </c>
      <c r="Z175">
        <f t="shared" si="54"/>
        <v>48.169880223861313</v>
      </c>
    </row>
    <row r="176" spans="1:27" x14ac:dyDescent="0.2">
      <c r="E176" t="s">
        <v>83</v>
      </c>
      <c r="G176">
        <v>0</v>
      </c>
      <c r="H176">
        <v>0</v>
      </c>
      <c r="I176">
        <v>0</v>
      </c>
      <c r="L176">
        <f>$AI$40</f>
        <v>1.2</v>
      </c>
      <c r="N176">
        <f>$AI$68</f>
        <v>0.76</v>
      </c>
      <c r="O176">
        <f t="shared" si="49"/>
        <v>0.60280000000000011</v>
      </c>
      <c r="Q176">
        <f>$AI$95</f>
        <v>50</v>
      </c>
      <c r="R176">
        <f t="shared" si="56"/>
        <v>1.1932987789651837</v>
      </c>
      <c r="S176">
        <f t="shared" si="50"/>
        <v>0.94386523716586623</v>
      </c>
      <c r="T176">
        <f t="shared" si="57"/>
        <v>1</v>
      </c>
      <c r="U176">
        <f t="shared" si="51"/>
        <v>1.1263132350177116</v>
      </c>
      <c r="V176">
        <v>35</v>
      </c>
      <c r="W176">
        <f t="shared" si="52"/>
        <v>2.275468881833298E-2</v>
      </c>
      <c r="Y176">
        <f t="shared" si="53"/>
        <v>91.25</v>
      </c>
      <c r="Z176">
        <f t="shared" si="54"/>
        <v>72.67278741355095</v>
      </c>
    </row>
    <row r="177" spans="1:27" x14ac:dyDescent="0.2">
      <c r="A177">
        <v>5</v>
      </c>
      <c r="D177" t="s">
        <v>76</v>
      </c>
      <c r="E177" t="s">
        <v>80</v>
      </c>
      <c r="G177">
        <v>0</v>
      </c>
      <c r="H177">
        <v>0</v>
      </c>
      <c r="I177">
        <v>0</v>
      </c>
      <c r="L177">
        <f>$AJ$37</f>
        <v>3.5</v>
      </c>
      <c r="N177">
        <f>$AJ$65</f>
        <v>0.73</v>
      </c>
      <c r="O177">
        <f t="shared" si="49"/>
        <v>0.57895000000000008</v>
      </c>
      <c r="Q177">
        <f>$AJ$92</f>
        <v>55</v>
      </c>
      <c r="R177">
        <f t="shared" si="56"/>
        <v>1.2622908518455234</v>
      </c>
      <c r="S177">
        <f t="shared" si="50"/>
        <v>0.99999999997710265</v>
      </c>
      <c r="T177">
        <v>1</v>
      </c>
      <c r="U177">
        <f t="shared" si="51"/>
        <v>1.2622908518166203</v>
      </c>
      <c r="V177">
        <v>25</v>
      </c>
      <c r="W177">
        <f t="shared" si="52"/>
        <v>2.5311068014152463E-2</v>
      </c>
      <c r="Y177">
        <f t="shared" si="53"/>
        <v>91.25</v>
      </c>
      <c r="Z177">
        <f t="shared" si="54"/>
        <v>57.740873907285312</v>
      </c>
    </row>
    <row r="178" spans="1:27" x14ac:dyDescent="0.2">
      <c r="E178" t="s">
        <v>81</v>
      </c>
      <c r="G178">
        <v>0</v>
      </c>
      <c r="H178">
        <v>0</v>
      </c>
      <c r="I178">
        <v>0</v>
      </c>
      <c r="L178">
        <f>$AJ$38</f>
        <v>1.5</v>
      </c>
      <c r="N178">
        <f>$AJ$66</f>
        <v>0.55000000000000004</v>
      </c>
      <c r="O178">
        <f t="shared" si="49"/>
        <v>0.43585000000000007</v>
      </c>
      <c r="Q178">
        <f>$AJ$93</f>
        <v>50</v>
      </c>
      <c r="R178">
        <f t="shared" si="56"/>
        <v>0.8646283676396137</v>
      </c>
      <c r="S178">
        <f t="shared" si="50"/>
        <v>0.98889100346175773</v>
      </c>
      <c r="T178">
        <v>1</v>
      </c>
      <c r="U178">
        <f t="shared" si="51"/>
        <v>0.85502321409663917</v>
      </c>
      <c r="V178">
        <v>30</v>
      </c>
      <c r="W178">
        <f t="shared" si="52"/>
        <v>1.7654436425016819E-2</v>
      </c>
      <c r="Y178">
        <f t="shared" si="53"/>
        <v>91.25</v>
      </c>
      <c r="Z178">
        <f t="shared" si="54"/>
        <v>48.329019713483547</v>
      </c>
    </row>
    <row r="179" spans="1:27" x14ac:dyDescent="0.2">
      <c r="E179" t="s">
        <v>82</v>
      </c>
      <c r="G179">
        <v>0</v>
      </c>
      <c r="H179">
        <v>0</v>
      </c>
      <c r="I179">
        <v>0</v>
      </c>
      <c r="L179">
        <f>$AJ$39</f>
        <v>0.7</v>
      </c>
      <c r="N179">
        <f>$AJ$67</f>
        <v>0.5</v>
      </c>
      <c r="O179">
        <f t="shared" si="49"/>
        <v>0.39610000000000001</v>
      </c>
      <c r="Q179">
        <f>$AJ$94</f>
        <v>45</v>
      </c>
      <c r="R179">
        <f t="shared" si="56"/>
        <v>0.69995602548431024</v>
      </c>
      <c r="S179">
        <f t="shared" si="50"/>
        <v>0.62468890114860043</v>
      </c>
      <c r="T179">
        <v>1</v>
      </c>
      <c r="U179">
        <f t="shared" si="51"/>
        <v>0.43725476041213551</v>
      </c>
      <c r="V179">
        <v>25</v>
      </c>
      <c r="W179">
        <f t="shared" si="52"/>
        <v>9.800389495748147E-3</v>
      </c>
      <c r="Y179">
        <f t="shared" si="53"/>
        <v>91.25</v>
      </c>
      <c r="Z179">
        <f t="shared" si="54"/>
        <v>22.357138537175462</v>
      </c>
    </row>
    <row r="180" spans="1:27" x14ac:dyDescent="0.2">
      <c r="E180" t="s">
        <v>83</v>
      </c>
      <c r="G180">
        <v>0</v>
      </c>
      <c r="H180">
        <v>0</v>
      </c>
      <c r="I180">
        <v>0</v>
      </c>
      <c r="L180">
        <f>$AJ$40</f>
        <v>1.2</v>
      </c>
      <c r="N180">
        <f>$AJ$68</f>
        <v>0.76</v>
      </c>
      <c r="O180">
        <f t="shared" si="49"/>
        <v>0.60280000000000011</v>
      </c>
      <c r="Q180">
        <f>$AJ$95</f>
        <v>50</v>
      </c>
      <c r="R180">
        <f t="shared" si="56"/>
        <v>1.1932987789651837</v>
      </c>
      <c r="S180">
        <f t="shared" si="50"/>
        <v>0.94386523716586623</v>
      </c>
      <c r="T180">
        <v>1</v>
      </c>
      <c r="U180">
        <f t="shared" si="51"/>
        <v>1.1263132350177116</v>
      </c>
      <c r="V180">
        <v>20</v>
      </c>
      <c r="W180">
        <f t="shared" si="52"/>
        <v>2.275468881833298E-2</v>
      </c>
      <c r="Y180">
        <f t="shared" si="53"/>
        <v>91.25</v>
      </c>
      <c r="Z180">
        <f t="shared" si="54"/>
        <v>41.527307093457686</v>
      </c>
    </row>
    <row r="181" spans="1:27" x14ac:dyDescent="0.2">
      <c r="A181">
        <v>6</v>
      </c>
      <c r="D181" t="s">
        <v>77</v>
      </c>
      <c r="E181" t="s">
        <v>80</v>
      </c>
      <c r="G181">
        <v>0</v>
      </c>
      <c r="H181">
        <v>0</v>
      </c>
      <c r="I181">
        <v>0</v>
      </c>
      <c r="L181">
        <f>$AK$37</f>
        <v>3.5</v>
      </c>
      <c r="N181">
        <f>$AK$65</f>
        <v>0.73</v>
      </c>
      <c r="O181">
        <f t="shared" si="49"/>
        <v>0.57895000000000008</v>
      </c>
      <c r="Q181">
        <f>$AK$92</f>
        <v>30</v>
      </c>
      <c r="R181">
        <f t="shared" si="56"/>
        <v>0.70279395559006042</v>
      </c>
      <c r="S181">
        <f t="shared" si="50"/>
        <v>0.99999999997710265</v>
      </c>
      <c r="T181">
        <v>1</v>
      </c>
      <c r="U181">
        <f t="shared" si="51"/>
        <v>0.70279395557396829</v>
      </c>
      <c r="V181">
        <v>15</v>
      </c>
      <c r="W181">
        <f t="shared" si="52"/>
        <v>1.4792526364790604E-2</v>
      </c>
      <c r="Y181">
        <f t="shared" si="53"/>
        <v>91.25</v>
      </c>
      <c r="Z181">
        <f t="shared" si="54"/>
        <v>20.24727046180714</v>
      </c>
    </row>
    <row r="182" spans="1:27" x14ac:dyDescent="0.2">
      <c r="E182" t="s">
        <v>81</v>
      </c>
      <c r="G182">
        <v>0</v>
      </c>
      <c r="H182">
        <v>0</v>
      </c>
      <c r="I182">
        <v>0</v>
      </c>
      <c r="L182">
        <f>$AK$38</f>
        <v>1.5</v>
      </c>
      <c r="N182">
        <f>$AK$66</f>
        <v>0.55000000000000004</v>
      </c>
      <c r="O182">
        <f t="shared" si="49"/>
        <v>0.43585000000000007</v>
      </c>
      <c r="Q182">
        <f>$AK$93</f>
        <v>30</v>
      </c>
      <c r="R182">
        <f t="shared" si="56"/>
        <v>0.5107382310873998</v>
      </c>
      <c r="S182">
        <f t="shared" si="50"/>
        <v>0.98889100346175773</v>
      </c>
      <c r="T182">
        <v>1</v>
      </c>
      <c r="U182">
        <f t="shared" si="51"/>
        <v>0.50506444184630195</v>
      </c>
      <c r="V182">
        <v>45</v>
      </c>
      <c r="W182">
        <f t="shared" si="52"/>
        <v>1.1075211506710477E-2</v>
      </c>
      <c r="Y182">
        <f t="shared" si="53"/>
        <v>91.25</v>
      </c>
      <c r="Z182">
        <f t="shared" si="54"/>
        <v>45.477587249429895</v>
      </c>
    </row>
    <row r="183" spans="1:27" x14ac:dyDescent="0.2">
      <c r="E183" t="s">
        <v>82</v>
      </c>
      <c r="G183">
        <v>0</v>
      </c>
      <c r="H183">
        <v>0</v>
      </c>
      <c r="I183">
        <v>0</v>
      </c>
      <c r="L183">
        <f>$AK$39</f>
        <v>0.7</v>
      </c>
      <c r="N183">
        <f>$AK$67</f>
        <v>0.7</v>
      </c>
      <c r="O183">
        <f t="shared" si="49"/>
        <v>0.55510000000000004</v>
      </c>
      <c r="Q183">
        <f>$AK$94</f>
        <v>10</v>
      </c>
      <c r="R183">
        <f t="shared" si="56"/>
        <v>0.25973966598977283</v>
      </c>
      <c r="S183">
        <f t="shared" si="50"/>
        <v>0.62468890114860043</v>
      </c>
      <c r="T183">
        <v>1</v>
      </c>
      <c r="U183">
        <f t="shared" si="51"/>
        <v>0.1622564865318557</v>
      </c>
      <c r="V183">
        <v>40</v>
      </c>
      <c r="W183">
        <f t="shared" si="52"/>
        <v>4.6304219467988876E-3</v>
      </c>
      <c r="Y183">
        <f t="shared" si="53"/>
        <v>91.25</v>
      </c>
      <c r="Z183">
        <f t="shared" si="54"/>
        <v>16.901040105815941</v>
      </c>
    </row>
    <row r="184" spans="1:27" x14ac:dyDescent="0.2">
      <c r="E184" t="s">
        <v>83</v>
      </c>
      <c r="G184">
        <v>0</v>
      </c>
      <c r="H184">
        <v>0</v>
      </c>
      <c r="I184">
        <v>0</v>
      </c>
      <c r="L184">
        <f>$AK$40</f>
        <v>1.2</v>
      </c>
      <c r="N184">
        <f>$AK$68</f>
        <v>0.76</v>
      </c>
      <c r="O184">
        <f t="shared" si="49"/>
        <v>0.60280000000000011</v>
      </c>
      <c r="Q184">
        <f>$AK$95</f>
        <v>20</v>
      </c>
      <c r="R184">
        <f t="shared" si="56"/>
        <v>0.51309470831906745</v>
      </c>
      <c r="S184">
        <f t="shared" si="50"/>
        <v>0.94386523716586623</v>
      </c>
      <c r="T184">
        <v>1</v>
      </c>
      <c r="U184">
        <f t="shared" si="51"/>
        <v>0.48429225855612756</v>
      </c>
      <c r="V184">
        <v>30</v>
      </c>
      <c r="W184">
        <f t="shared" si="52"/>
        <v>1.0684694460855198E-2</v>
      </c>
      <c r="Y184">
        <f t="shared" si="53"/>
        <v>91.25</v>
      </c>
      <c r="Z184">
        <f t="shared" si="54"/>
        <v>29.249351086591101</v>
      </c>
    </row>
    <row r="191" spans="1:27" x14ac:dyDescent="0.2">
      <c r="A191" t="s">
        <v>109</v>
      </c>
      <c r="B191" t="s">
        <v>102</v>
      </c>
      <c r="C191" t="s">
        <v>102</v>
      </c>
      <c r="D191" t="s">
        <v>72</v>
      </c>
      <c r="E191" t="s">
        <v>80</v>
      </c>
      <c r="G191">
        <v>0</v>
      </c>
      <c r="H191">
        <v>0</v>
      </c>
      <c r="I191">
        <v>0</v>
      </c>
      <c r="L191">
        <f>$AF$29</f>
        <v>2.5</v>
      </c>
      <c r="N191">
        <f>$AF$57</f>
        <v>0.75</v>
      </c>
      <c r="O191">
        <f>(0.795 * N191) - 0.0014</f>
        <v>0.5948500000000001</v>
      </c>
      <c r="Q191">
        <f>$AF$84</f>
        <v>90</v>
      </c>
      <c r="R191">
        <f>(104.7 * O191 + 0.307 * Q191- 15) * POWER(Q191, 0.75) * 10^-3</f>
        <v>2.188901849330922</v>
      </c>
      <c r="S191">
        <f>1-EXP(-2*POWER(L191,2))</f>
        <v>0.99999627334682795</v>
      </c>
      <c r="T191">
        <v>1</v>
      </c>
      <c r="U191">
        <f>R191 * S191 * T191</f>
        <v>2.1888936920529019</v>
      </c>
      <c r="V191">
        <v>25</v>
      </c>
      <c r="W191">
        <f>(U191 * 0.0188) + 0.00158</f>
        <v>4.2731201410594555E-2</v>
      </c>
      <c r="Y191">
        <f>$AF$4</f>
        <v>91.25</v>
      </c>
      <c r="Z191">
        <f>V191*W191*Y191</f>
        <v>97.480553217918825</v>
      </c>
      <c r="AA191">
        <f>SUM(Z191:Z214)*10^-3</f>
        <v>1.732155183172819</v>
      </c>
    </row>
    <row r="192" spans="1:27" x14ac:dyDescent="0.2">
      <c r="E192" t="s">
        <v>81</v>
      </c>
      <c r="G192">
        <v>0</v>
      </c>
      <c r="H192">
        <v>0</v>
      </c>
      <c r="I192">
        <v>0</v>
      </c>
      <c r="L192">
        <f>$AF$30</f>
        <v>2.5</v>
      </c>
      <c r="N192">
        <f>$AF$58</f>
        <v>0.55000000000000004</v>
      </c>
      <c r="O192">
        <f t="shared" ref="O192:O214" si="59">(0.795 * N192) - 0.0014</f>
        <v>0.43585000000000007</v>
      </c>
      <c r="Q192">
        <f>$AF$85</f>
        <v>90</v>
      </c>
      <c r="R192">
        <f>(104.7 * O192 + 0.307 * Q192- 15) * POWER(Q192, 0.75) * 10^-3</f>
        <v>1.7024658722949466</v>
      </c>
      <c r="S192">
        <f t="shared" ref="S192:S214" si="60">1-EXP(-2*POWER(L192,2))</f>
        <v>0.99999627334682795</v>
      </c>
      <c r="T192">
        <v>1</v>
      </c>
      <c r="U192">
        <f t="shared" ref="U192:U214" si="61">R192 * S192 * T192</f>
        <v>1.7024595277951033</v>
      </c>
      <c r="V192">
        <v>20</v>
      </c>
      <c r="W192">
        <f t="shared" ref="W192:W214" si="62">(U192 * 0.0188) + 0.00158</f>
        <v>3.3586239122547941E-2</v>
      </c>
      <c r="Y192">
        <f t="shared" ref="Y192:Y214" si="63">$AF$4</f>
        <v>91.25</v>
      </c>
      <c r="Z192">
        <f t="shared" ref="Z192:Z214" si="64">V192*W192*Y192</f>
        <v>61.294886398649993</v>
      </c>
    </row>
    <row r="193" spans="1:26" x14ac:dyDescent="0.2">
      <c r="E193" t="s">
        <v>82</v>
      </c>
      <c r="G193">
        <v>0</v>
      </c>
      <c r="H193">
        <v>0</v>
      </c>
      <c r="I193">
        <v>0</v>
      </c>
      <c r="L193">
        <f>$AF$31</f>
        <v>1.3</v>
      </c>
      <c r="N193">
        <f>$AF$59</f>
        <v>0.67</v>
      </c>
      <c r="O193">
        <f t="shared" si="59"/>
        <v>0.53125000000000011</v>
      </c>
      <c r="Q193">
        <f>$AF$86</f>
        <v>75</v>
      </c>
      <c r="R193">
        <f t="shared" ref="R193:R198" si="65">(104.7 * O193 + 0.307 * Q193- 15) * POWER(Q193, 0.75) * 10^-3</f>
        <v>1.6220828500688129</v>
      </c>
      <c r="S193">
        <f t="shared" si="60"/>
        <v>0.96595254526540064</v>
      </c>
      <c r="T193">
        <v>1</v>
      </c>
      <c r="U193">
        <f t="shared" si="61"/>
        <v>1.5668550576553251</v>
      </c>
      <c r="V193">
        <v>19</v>
      </c>
      <c r="W193">
        <f t="shared" si="62"/>
        <v>3.1036875083920112E-2</v>
      </c>
      <c r="Y193">
        <f t="shared" si="63"/>
        <v>91.25</v>
      </c>
      <c r="Z193">
        <f t="shared" si="64"/>
        <v>53.810182176746501</v>
      </c>
    </row>
    <row r="194" spans="1:26" x14ac:dyDescent="0.2">
      <c r="E194" t="s">
        <v>83</v>
      </c>
      <c r="G194">
        <v>0</v>
      </c>
      <c r="H194">
        <v>0</v>
      </c>
      <c r="I194">
        <v>0</v>
      </c>
      <c r="L194">
        <f>$AF$32</f>
        <v>0.8</v>
      </c>
      <c r="N194">
        <f>$AF$60</f>
        <v>0.7</v>
      </c>
      <c r="O194">
        <f t="shared" si="59"/>
        <v>0.55510000000000004</v>
      </c>
      <c r="Q194">
        <f>$AF$87</f>
        <v>75</v>
      </c>
      <c r="R194">
        <f t="shared" si="65"/>
        <v>1.6857229733976102</v>
      </c>
      <c r="S194">
        <f t="shared" si="60"/>
        <v>0.72196269954680592</v>
      </c>
      <c r="T194">
        <v>1</v>
      </c>
      <c r="U194">
        <f t="shared" si="61"/>
        <v>1.2170291085622071</v>
      </c>
      <c r="V194">
        <v>25</v>
      </c>
      <c r="W194">
        <f t="shared" si="62"/>
        <v>2.4460147240969496E-2</v>
      </c>
      <c r="Y194">
        <f t="shared" si="63"/>
        <v>91.25</v>
      </c>
      <c r="Z194">
        <f t="shared" si="64"/>
        <v>55.799710893461658</v>
      </c>
    </row>
    <row r="195" spans="1:26" x14ac:dyDescent="0.2">
      <c r="A195">
        <v>2</v>
      </c>
      <c r="D195" t="s">
        <v>73</v>
      </c>
      <c r="E195" t="s">
        <v>80</v>
      </c>
      <c r="G195">
        <v>0</v>
      </c>
      <c r="H195">
        <v>0</v>
      </c>
      <c r="I195">
        <v>0</v>
      </c>
      <c r="L195">
        <f>$AG$29</f>
        <v>2.5</v>
      </c>
      <c r="N195">
        <f>$AG$57</f>
        <v>0.75</v>
      </c>
      <c r="O195">
        <f t="shared" si="59"/>
        <v>0.5948500000000001</v>
      </c>
      <c r="Q195">
        <f>$AG$84</f>
        <v>55</v>
      </c>
      <c r="R195">
        <f t="shared" si="65"/>
        <v>1.2959122541335131</v>
      </c>
      <c r="S195">
        <f t="shared" si="60"/>
        <v>0.99999627334682795</v>
      </c>
      <c r="T195">
        <v>1</v>
      </c>
      <c r="U195">
        <f t="shared" si="61"/>
        <v>1.2959074247180005</v>
      </c>
      <c r="V195">
        <v>50</v>
      </c>
      <c r="W195">
        <f t="shared" si="62"/>
        <v>2.5943059584698412E-2</v>
      </c>
      <c r="Y195">
        <f t="shared" si="63"/>
        <v>91.25</v>
      </c>
      <c r="Z195">
        <f t="shared" si="64"/>
        <v>118.36520935518651</v>
      </c>
    </row>
    <row r="196" spans="1:26" x14ac:dyDescent="0.2">
      <c r="E196" t="s">
        <v>81</v>
      </c>
      <c r="G196">
        <v>0</v>
      </c>
      <c r="H196">
        <v>0</v>
      </c>
      <c r="I196">
        <v>0</v>
      </c>
      <c r="L196">
        <f>$AG$30</f>
        <v>2.5</v>
      </c>
      <c r="N196">
        <f>$AG$58</f>
        <v>0.55000000000000004</v>
      </c>
      <c r="O196">
        <f t="shared" si="59"/>
        <v>0.43585000000000007</v>
      </c>
      <c r="Q196">
        <f>$AG$85</f>
        <v>55</v>
      </c>
      <c r="R196">
        <f t="shared" si="65"/>
        <v>0.95969823125361531</v>
      </c>
      <c r="S196">
        <f t="shared" si="60"/>
        <v>0.99999627334682795</v>
      </c>
      <c r="T196">
        <v>1</v>
      </c>
      <c r="U196">
        <f t="shared" si="61"/>
        <v>0.95969465479115756</v>
      </c>
      <c r="V196">
        <v>60</v>
      </c>
      <c r="W196">
        <f t="shared" si="62"/>
        <v>1.9622259510073764E-2</v>
      </c>
      <c r="Y196">
        <f t="shared" si="63"/>
        <v>91.25</v>
      </c>
      <c r="Z196">
        <f t="shared" si="64"/>
        <v>107.43187081765385</v>
      </c>
    </row>
    <row r="197" spans="1:26" x14ac:dyDescent="0.2">
      <c r="E197" t="s">
        <v>82</v>
      </c>
      <c r="G197">
        <v>0</v>
      </c>
      <c r="H197">
        <v>0</v>
      </c>
      <c r="I197">
        <v>0</v>
      </c>
      <c r="L197">
        <f>$AG$31</f>
        <v>1.3</v>
      </c>
      <c r="N197">
        <f>$AG$59</f>
        <v>0.67</v>
      </c>
      <c r="O197">
        <f t="shared" si="59"/>
        <v>0.53125000000000011</v>
      </c>
      <c r="Q197">
        <f>$AG$86</f>
        <v>50</v>
      </c>
      <c r="R197">
        <f t="shared" si="65"/>
        <v>1.052440031254225</v>
      </c>
      <c r="S197">
        <f t="shared" si="60"/>
        <v>0.96595254526540064</v>
      </c>
      <c r="T197">
        <v>1</v>
      </c>
      <c r="U197">
        <f t="shared" si="61"/>
        <v>1.0166071269292165</v>
      </c>
      <c r="V197">
        <v>55</v>
      </c>
      <c r="W197">
        <f t="shared" si="62"/>
        <v>2.0692213986269272E-2</v>
      </c>
      <c r="Y197">
        <f t="shared" si="63"/>
        <v>91.25</v>
      </c>
      <c r="Z197">
        <f t="shared" si="64"/>
        <v>103.8490489435889</v>
      </c>
    </row>
    <row r="198" spans="1:26" x14ac:dyDescent="0.2">
      <c r="E198" t="s">
        <v>83</v>
      </c>
      <c r="G198">
        <v>0</v>
      </c>
      <c r="H198">
        <v>0</v>
      </c>
      <c r="I198">
        <v>0</v>
      </c>
      <c r="L198">
        <f>$AG$32</f>
        <v>0.8</v>
      </c>
      <c r="N198">
        <f>$AG$60</f>
        <v>0.7</v>
      </c>
      <c r="O198">
        <f t="shared" si="59"/>
        <v>0.55510000000000004</v>
      </c>
      <c r="Q198">
        <f>$AG$87</f>
        <v>45</v>
      </c>
      <c r="R198">
        <f t="shared" si="65"/>
        <v>0.98919258792655118</v>
      </c>
      <c r="S198">
        <f t="shared" si="60"/>
        <v>0.72196269954680592</v>
      </c>
      <c r="T198">
        <v>1</v>
      </c>
      <c r="U198">
        <f t="shared" si="61"/>
        <v>0.71416015115114406</v>
      </c>
      <c r="V198">
        <v>55</v>
      </c>
      <c r="W198">
        <f t="shared" si="62"/>
        <v>1.5006210841641509E-2</v>
      </c>
      <c r="Y198">
        <f t="shared" si="63"/>
        <v>91.25</v>
      </c>
      <c r="Z198">
        <f t="shared" si="64"/>
        <v>75.312420661488332</v>
      </c>
    </row>
    <row r="199" spans="1:26" x14ac:dyDescent="0.2">
      <c r="A199">
        <v>3</v>
      </c>
      <c r="D199" t="s">
        <v>74</v>
      </c>
      <c r="E199" t="s">
        <v>80</v>
      </c>
      <c r="G199">
        <v>80</v>
      </c>
      <c r="H199">
        <v>87</v>
      </c>
      <c r="I199">
        <f>(G199/100*MIN(H199,100)/100)</f>
        <v>0.69600000000000006</v>
      </c>
      <c r="J199">
        <f>$AF$3</f>
        <v>1.3</v>
      </c>
      <c r="L199">
        <f>$AH$29</f>
        <v>2.5</v>
      </c>
      <c r="N199">
        <f>$AH$57</f>
        <v>0.75</v>
      </c>
      <c r="O199">
        <f t="shared" si="59"/>
        <v>0.5948500000000001</v>
      </c>
      <c r="Q199">
        <f>$AH$84</f>
        <v>45</v>
      </c>
      <c r="R199">
        <f>(104.7 * O199 + 0.307 * Q199- 15) * POWER(Q199, 0.75) * 10^-3</f>
        <v>1.0615017285371116</v>
      </c>
      <c r="S199">
        <f t="shared" si="60"/>
        <v>0.99999627334682795</v>
      </c>
      <c r="T199">
        <f>(I199 * J199) + (1 - I199)</f>
        <v>1.2088000000000001</v>
      </c>
      <c r="U199">
        <f t="shared" si="61"/>
        <v>1.2831385076256505</v>
      </c>
      <c r="V199">
        <v>60</v>
      </c>
      <c r="W199">
        <f t="shared" si="62"/>
        <v>2.5703003943362231E-2</v>
      </c>
      <c r="Y199">
        <f t="shared" si="63"/>
        <v>91.25</v>
      </c>
      <c r="Z199">
        <f t="shared" si="64"/>
        <v>140.72394658990822</v>
      </c>
    </row>
    <row r="200" spans="1:26" x14ac:dyDescent="0.2">
      <c r="E200" t="s">
        <v>81</v>
      </c>
      <c r="G200">
        <v>10</v>
      </c>
      <c r="H200">
        <v>8</v>
      </c>
      <c r="I200">
        <f>(G200/100*MIN(H200,100)/100)</f>
        <v>8.0000000000000002E-3</v>
      </c>
      <c r="J200">
        <f>$AF$3</f>
        <v>1.3</v>
      </c>
      <c r="L200">
        <f>$AH$30</f>
        <v>2.5</v>
      </c>
      <c r="N200">
        <f>$AH$58</f>
        <v>0.55000000000000004</v>
      </c>
      <c r="O200">
        <f t="shared" si="59"/>
        <v>0.43585000000000007</v>
      </c>
      <c r="Q200">
        <f>$AH$85</f>
        <v>45</v>
      </c>
      <c r="R200">
        <f t="shared" ref="R200:R214" si="66">(104.7 * O200 + 0.307 * Q200- 15) * POWER(Q200, 0.75) * 10^-3</f>
        <v>0.77226516609487061</v>
      </c>
      <c r="S200">
        <f t="shared" si="60"/>
        <v>0.99999627334682795</v>
      </c>
      <c r="T200">
        <f t="shared" ref="T200:T206" si="67">(I200 * J200) + (1 - I200)</f>
        <v>1.0024</v>
      </c>
      <c r="U200">
        <f t="shared" si="61"/>
        <v>0.77411571762195275</v>
      </c>
      <c r="V200">
        <v>70</v>
      </c>
      <c r="W200">
        <f t="shared" si="62"/>
        <v>1.6133375491292713E-2</v>
      </c>
      <c r="Y200">
        <f t="shared" si="63"/>
        <v>91.25</v>
      </c>
      <c r="Z200">
        <f t="shared" si="64"/>
        <v>103.05193595063221</v>
      </c>
    </row>
    <row r="201" spans="1:26" x14ac:dyDescent="0.2">
      <c r="E201" t="s">
        <v>82</v>
      </c>
      <c r="G201">
        <v>0</v>
      </c>
      <c r="H201">
        <v>0</v>
      </c>
      <c r="I201">
        <f t="shared" ref="I201:I204" si="68">(G201/100*MIN(H201,100)/100)</f>
        <v>0</v>
      </c>
      <c r="L201">
        <f>$AH$31</f>
        <v>1.3</v>
      </c>
      <c r="N201">
        <f>$AH$59</f>
        <v>0.67</v>
      </c>
      <c r="O201">
        <f t="shared" si="59"/>
        <v>0.53125000000000011</v>
      </c>
      <c r="Q201">
        <f>$AH$86</f>
        <v>45</v>
      </c>
      <c r="R201">
        <f t="shared" si="66"/>
        <v>0.94580710356021536</v>
      </c>
      <c r="S201">
        <f t="shared" si="60"/>
        <v>0.96595254526540064</v>
      </c>
      <c r="T201">
        <f t="shared" si="67"/>
        <v>1</v>
      </c>
      <c r="U201">
        <f t="shared" si="61"/>
        <v>0.91360477901408643</v>
      </c>
      <c r="V201">
        <v>60</v>
      </c>
      <c r="W201">
        <f t="shared" si="62"/>
        <v>1.8755769845464829E-2</v>
      </c>
      <c r="Y201">
        <f t="shared" si="63"/>
        <v>91.25</v>
      </c>
      <c r="Z201">
        <f t="shared" si="64"/>
        <v>102.68783990391994</v>
      </c>
    </row>
    <row r="202" spans="1:26" x14ac:dyDescent="0.2">
      <c r="E202" t="s">
        <v>83</v>
      </c>
      <c r="G202">
        <v>5</v>
      </c>
      <c r="H202">
        <v>4</v>
      </c>
      <c r="I202">
        <f t="shared" si="68"/>
        <v>2E-3</v>
      </c>
      <c r="J202">
        <f>$AF$3</f>
        <v>1.3</v>
      </c>
      <c r="L202">
        <f>$AH$32</f>
        <v>0.8</v>
      </c>
      <c r="N202">
        <f>$AH$60</f>
        <v>0.7</v>
      </c>
      <c r="O202">
        <f t="shared" si="59"/>
        <v>0.55510000000000004</v>
      </c>
      <c r="Q202">
        <f>$AH$87</f>
        <v>50</v>
      </c>
      <c r="R202">
        <f t="shared" si="66"/>
        <v>1.0993929471578776</v>
      </c>
      <c r="S202">
        <f t="shared" si="60"/>
        <v>0.72196269954680592</v>
      </c>
      <c r="T202">
        <f t="shared" si="67"/>
        <v>1.0005999999999999</v>
      </c>
      <c r="U202">
        <f t="shared" si="61"/>
        <v>0.79419693241281586</v>
      </c>
      <c r="V202">
        <v>50</v>
      </c>
      <c r="W202">
        <f t="shared" si="62"/>
        <v>1.6510902329360939E-2</v>
      </c>
      <c r="Y202">
        <f t="shared" si="63"/>
        <v>91.25</v>
      </c>
      <c r="Z202">
        <f t="shared" si="64"/>
        <v>75.33099187770928</v>
      </c>
    </row>
    <row r="203" spans="1:26" x14ac:dyDescent="0.2">
      <c r="A203">
        <v>4</v>
      </c>
      <c r="D203" t="s">
        <v>75</v>
      </c>
      <c r="E203" t="s">
        <v>80</v>
      </c>
      <c r="G203">
        <v>90</v>
      </c>
      <c r="H203">
        <v>87</v>
      </c>
      <c r="I203">
        <f t="shared" si="68"/>
        <v>0.78299999999999992</v>
      </c>
      <c r="J203">
        <f>$AF$3</f>
        <v>1.3</v>
      </c>
      <c r="L203">
        <f>$AI$29</f>
        <v>2.5</v>
      </c>
      <c r="N203">
        <f>$AI$57</f>
        <v>0.75</v>
      </c>
      <c r="O203">
        <f t="shared" si="59"/>
        <v>0.5948500000000001</v>
      </c>
      <c r="Q203">
        <f>$AI$84</f>
        <v>50</v>
      </c>
      <c r="R203">
        <f t="shared" si="66"/>
        <v>1.1776478069972991</v>
      </c>
      <c r="S203">
        <f t="shared" si="60"/>
        <v>0.99999627334682795</v>
      </c>
      <c r="T203">
        <f t="shared" si="67"/>
        <v>1.2349000000000001</v>
      </c>
      <c r="U203">
        <f t="shared" si="61"/>
        <v>1.4542718572739379</v>
      </c>
      <c r="V203">
        <v>40</v>
      </c>
      <c r="W203">
        <f t="shared" si="62"/>
        <v>2.8920310916750035E-2</v>
      </c>
      <c r="Y203">
        <f t="shared" si="63"/>
        <v>91.25</v>
      </c>
      <c r="Z203">
        <f t="shared" si="64"/>
        <v>105.55913484613764</v>
      </c>
    </row>
    <row r="204" spans="1:26" x14ac:dyDescent="0.2">
      <c r="E204" t="s">
        <v>81</v>
      </c>
      <c r="G204">
        <v>5</v>
      </c>
      <c r="H204">
        <v>3</v>
      </c>
      <c r="I204">
        <f t="shared" si="68"/>
        <v>1.5000000000000002E-3</v>
      </c>
      <c r="J204">
        <f>$AF$3</f>
        <v>1.3</v>
      </c>
      <c r="L204">
        <f>$AI$30</f>
        <v>2.5</v>
      </c>
      <c r="N204">
        <f>$AI$58</f>
        <v>0.55000000000000004</v>
      </c>
      <c r="O204">
        <f t="shared" si="59"/>
        <v>0.43585000000000007</v>
      </c>
      <c r="Q204">
        <f>$AI$85</f>
        <v>50</v>
      </c>
      <c r="R204">
        <f t="shared" si="66"/>
        <v>0.8646283676396137</v>
      </c>
      <c r="S204">
        <f t="shared" si="60"/>
        <v>0.99999627334682795</v>
      </c>
      <c r="T204">
        <f t="shared" si="67"/>
        <v>1.0004500000000001</v>
      </c>
      <c r="U204">
        <f t="shared" si="61"/>
        <v>0.86501422678502615</v>
      </c>
      <c r="V204">
        <v>45</v>
      </c>
      <c r="W204">
        <f t="shared" si="62"/>
        <v>1.7842267463558492E-2</v>
      </c>
      <c r="Y204">
        <f t="shared" si="63"/>
        <v>91.25</v>
      </c>
      <c r="Z204">
        <f t="shared" si="64"/>
        <v>73.26481077223707</v>
      </c>
    </row>
    <row r="205" spans="1:26" x14ac:dyDescent="0.2">
      <c r="E205" t="s">
        <v>82</v>
      </c>
      <c r="G205">
        <v>0</v>
      </c>
      <c r="H205">
        <v>0</v>
      </c>
      <c r="I205">
        <v>0</v>
      </c>
      <c r="L205">
        <f>$AI$31</f>
        <v>1.3</v>
      </c>
      <c r="N205">
        <f>$AI$59</f>
        <v>0.67</v>
      </c>
      <c r="O205">
        <f t="shared" si="59"/>
        <v>0.53125000000000011</v>
      </c>
      <c r="Q205">
        <f>$AI$86</f>
        <v>50</v>
      </c>
      <c r="R205">
        <f t="shared" si="66"/>
        <v>1.052440031254225</v>
      </c>
      <c r="S205">
        <f t="shared" si="60"/>
        <v>0.96595254526540064</v>
      </c>
      <c r="T205">
        <f t="shared" si="67"/>
        <v>1</v>
      </c>
      <c r="U205">
        <f t="shared" si="61"/>
        <v>1.0166071269292165</v>
      </c>
      <c r="V205">
        <v>40</v>
      </c>
      <c r="W205">
        <f t="shared" si="62"/>
        <v>2.0692213986269272E-2</v>
      </c>
      <c r="Y205">
        <f t="shared" si="63"/>
        <v>91.25</v>
      </c>
      <c r="Z205">
        <f t="shared" si="64"/>
        <v>75.52658104988285</v>
      </c>
    </row>
    <row r="206" spans="1:26" x14ac:dyDescent="0.2">
      <c r="E206" t="s">
        <v>83</v>
      </c>
      <c r="G206">
        <v>0</v>
      </c>
      <c r="H206">
        <v>0</v>
      </c>
      <c r="I206">
        <v>0</v>
      </c>
      <c r="L206">
        <f>$AI$32</f>
        <v>0.8</v>
      </c>
      <c r="N206">
        <f>$AI$60</f>
        <v>0.7</v>
      </c>
      <c r="O206">
        <f t="shared" si="59"/>
        <v>0.55510000000000004</v>
      </c>
      <c r="Q206">
        <f>$AI$87</f>
        <v>55</v>
      </c>
      <c r="R206">
        <f t="shared" si="66"/>
        <v>1.2118587484135388</v>
      </c>
      <c r="S206">
        <f t="shared" si="60"/>
        <v>0.72196269954680592</v>
      </c>
      <c r="T206">
        <f t="shared" si="67"/>
        <v>1</v>
      </c>
      <c r="U206">
        <f t="shared" si="61"/>
        <v>0.87491681347405192</v>
      </c>
      <c r="V206">
        <v>35</v>
      </c>
      <c r="W206">
        <f t="shared" si="62"/>
        <v>1.8028436093312179E-2</v>
      </c>
      <c r="Y206">
        <f t="shared" si="63"/>
        <v>91.25</v>
      </c>
      <c r="Z206">
        <f t="shared" si="64"/>
        <v>57.578317773015769</v>
      </c>
    </row>
    <row r="207" spans="1:26" x14ac:dyDescent="0.2">
      <c r="A207">
        <v>5</v>
      </c>
      <c r="D207" t="s">
        <v>76</v>
      </c>
      <c r="E207" t="s">
        <v>80</v>
      </c>
      <c r="G207">
        <v>0</v>
      </c>
      <c r="H207">
        <v>0</v>
      </c>
      <c r="I207">
        <v>0</v>
      </c>
      <c r="L207">
        <f>$AJ$29</f>
        <v>2.5</v>
      </c>
      <c r="N207">
        <f>$AJ$57</f>
        <v>0.75</v>
      </c>
      <c r="O207">
        <f t="shared" si="59"/>
        <v>0.5948500000000001</v>
      </c>
      <c r="Q207">
        <f>$AJ$84</f>
        <v>50</v>
      </c>
      <c r="R207">
        <f t="shared" si="66"/>
        <v>1.1776478069972991</v>
      </c>
      <c r="S207">
        <f t="shared" si="60"/>
        <v>0.99999627334682795</v>
      </c>
      <c r="T207">
        <v>1</v>
      </c>
      <c r="U207">
        <f t="shared" si="61"/>
        <v>1.1776434183123636</v>
      </c>
      <c r="V207">
        <v>25</v>
      </c>
      <c r="W207">
        <f t="shared" si="62"/>
        <v>2.3719696264272439E-2</v>
      </c>
      <c r="Y207">
        <f t="shared" si="63"/>
        <v>91.25</v>
      </c>
      <c r="Z207">
        <f t="shared" si="64"/>
        <v>54.110557102871503</v>
      </c>
    </row>
    <row r="208" spans="1:26" x14ac:dyDescent="0.2">
      <c r="E208" t="s">
        <v>81</v>
      </c>
      <c r="G208">
        <v>0</v>
      </c>
      <c r="H208">
        <v>0</v>
      </c>
      <c r="I208">
        <v>0</v>
      </c>
      <c r="L208">
        <f>$AJ$30</f>
        <v>2.5</v>
      </c>
      <c r="N208">
        <f>$AJ$58</f>
        <v>0.55000000000000004</v>
      </c>
      <c r="O208">
        <f t="shared" si="59"/>
        <v>0.43585000000000007</v>
      </c>
      <c r="Q208">
        <f>$AJ$85</f>
        <v>50</v>
      </c>
      <c r="R208">
        <f t="shared" si="66"/>
        <v>0.8646283676396137</v>
      </c>
      <c r="S208">
        <f t="shared" si="60"/>
        <v>0.99999627334682795</v>
      </c>
      <c r="T208">
        <v>1</v>
      </c>
      <c r="U208">
        <f t="shared" si="61"/>
        <v>0.86462514546956482</v>
      </c>
      <c r="V208">
        <v>30</v>
      </c>
      <c r="W208">
        <f t="shared" si="62"/>
        <v>1.7834952734827821E-2</v>
      </c>
      <c r="Y208">
        <f t="shared" si="63"/>
        <v>91.25</v>
      </c>
      <c r="Z208">
        <f t="shared" si="64"/>
        <v>48.823183111591163</v>
      </c>
    </row>
    <row r="209" spans="1:26" x14ac:dyDescent="0.2">
      <c r="E209" t="s">
        <v>82</v>
      </c>
      <c r="G209">
        <v>0</v>
      </c>
      <c r="H209">
        <v>0</v>
      </c>
      <c r="I209">
        <v>0</v>
      </c>
      <c r="L209">
        <f>$AJ$31</f>
        <v>1.3</v>
      </c>
      <c r="N209">
        <f>$AJ$59</f>
        <v>0.67</v>
      </c>
      <c r="O209">
        <f t="shared" si="59"/>
        <v>0.53125000000000011</v>
      </c>
      <c r="Q209">
        <f>$AJ$86</f>
        <v>50</v>
      </c>
      <c r="R209">
        <f t="shared" si="66"/>
        <v>1.052440031254225</v>
      </c>
      <c r="S209">
        <f t="shared" si="60"/>
        <v>0.96595254526540064</v>
      </c>
      <c r="T209">
        <v>1</v>
      </c>
      <c r="U209">
        <f t="shared" si="61"/>
        <v>1.0166071269292165</v>
      </c>
      <c r="V209">
        <v>25</v>
      </c>
      <c r="W209">
        <f t="shared" si="62"/>
        <v>2.0692213986269272E-2</v>
      </c>
      <c r="Y209">
        <f t="shared" si="63"/>
        <v>91.25</v>
      </c>
      <c r="Z209">
        <f t="shared" si="64"/>
        <v>47.204113156176774</v>
      </c>
    </row>
    <row r="210" spans="1:26" x14ac:dyDescent="0.2">
      <c r="E210" t="s">
        <v>83</v>
      </c>
      <c r="G210">
        <v>0</v>
      </c>
      <c r="H210">
        <v>0</v>
      </c>
      <c r="I210">
        <v>0</v>
      </c>
      <c r="L210">
        <f>$AJ$32</f>
        <v>0.8</v>
      </c>
      <c r="N210">
        <f>$AJ$60</f>
        <v>0.7</v>
      </c>
      <c r="O210">
        <f t="shared" si="59"/>
        <v>0.55510000000000004</v>
      </c>
      <c r="Q210">
        <f>$AJ$87</f>
        <v>50</v>
      </c>
      <c r="R210">
        <f t="shared" si="66"/>
        <v>1.0993929471578776</v>
      </c>
      <c r="S210">
        <f t="shared" si="60"/>
        <v>0.72196269954680592</v>
      </c>
      <c r="T210">
        <v>1</v>
      </c>
      <c r="U210">
        <f t="shared" si="61"/>
        <v>0.79372069999282024</v>
      </c>
      <c r="V210">
        <v>20</v>
      </c>
      <c r="W210">
        <f t="shared" si="62"/>
        <v>1.6501949159865022E-2</v>
      </c>
      <c r="Y210">
        <f t="shared" si="63"/>
        <v>91.25</v>
      </c>
      <c r="Z210">
        <f t="shared" si="64"/>
        <v>30.116057216753667</v>
      </c>
    </row>
    <row r="211" spans="1:26" x14ac:dyDescent="0.2">
      <c r="A211">
        <v>6</v>
      </c>
      <c r="D211" t="s">
        <v>77</v>
      </c>
      <c r="E211" t="s">
        <v>80</v>
      </c>
      <c r="G211">
        <v>0</v>
      </c>
      <c r="H211">
        <v>0</v>
      </c>
      <c r="I211">
        <v>0</v>
      </c>
      <c r="L211">
        <f>$AK$29</f>
        <v>2.5</v>
      </c>
      <c r="N211">
        <f>$AK$57</f>
        <v>0.75</v>
      </c>
      <c r="O211">
        <f t="shared" si="59"/>
        <v>0.5948500000000001</v>
      </c>
      <c r="Q211">
        <f>$AK$84</f>
        <v>14</v>
      </c>
      <c r="R211">
        <f t="shared" si="66"/>
        <v>0.3733079325984448</v>
      </c>
      <c r="S211">
        <f t="shared" si="60"/>
        <v>0.99999627334682795</v>
      </c>
      <c r="T211">
        <v>1</v>
      </c>
      <c r="U211">
        <f t="shared" si="61"/>
        <v>0.37330654140925362</v>
      </c>
      <c r="V211">
        <v>15</v>
      </c>
      <c r="W211">
        <f t="shared" si="62"/>
        <v>8.5981629784939693E-3</v>
      </c>
      <c r="Y211">
        <f t="shared" si="63"/>
        <v>91.25</v>
      </c>
      <c r="Z211">
        <f t="shared" si="64"/>
        <v>11.76873557681362</v>
      </c>
    </row>
    <row r="212" spans="1:26" x14ac:dyDescent="0.2">
      <c r="E212" t="s">
        <v>81</v>
      </c>
      <c r="G212">
        <v>0</v>
      </c>
      <c r="H212">
        <v>0</v>
      </c>
      <c r="I212">
        <v>0</v>
      </c>
      <c r="L212">
        <f>$AK$30</f>
        <v>2.5</v>
      </c>
      <c r="N212">
        <f>$AK$58</f>
        <v>0.55000000000000004</v>
      </c>
      <c r="O212">
        <f t="shared" si="59"/>
        <v>0.43585000000000007</v>
      </c>
      <c r="Q212">
        <f>$AK$85</f>
        <v>24</v>
      </c>
      <c r="R212">
        <f t="shared" si="66"/>
        <v>0.41205872426603418</v>
      </c>
      <c r="S212">
        <f t="shared" si="60"/>
        <v>0.99999627334682795</v>
      </c>
      <c r="T212">
        <v>1</v>
      </c>
      <c r="U212">
        <f t="shared" si="61"/>
        <v>0.41205718866608232</v>
      </c>
      <c r="V212">
        <v>45</v>
      </c>
      <c r="W212">
        <f t="shared" si="62"/>
        <v>9.3266751469223488E-3</v>
      </c>
      <c r="Y212">
        <f t="shared" si="63"/>
        <v>91.25</v>
      </c>
      <c r="Z212">
        <f t="shared" si="64"/>
        <v>38.297659822049894</v>
      </c>
    </row>
    <row r="213" spans="1:26" x14ac:dyDescent="0.2">
      <c r="E213" t="s">
        <v>82</v>
      </c>
      <c r="G213">
        <v>0</v>
      </c>
      <c r="H213">
        <v>0</v>
      </c>
      <c r="I213">
        <v>0</v>
      </c>
      <c r="L213">
        <f>$AK$31</f>
        <v>1.3</v>
      </c>
      <c r="N213">
        <f>$AK$59</f>
        <v>0.67</v>
      </c>
      <c r="O213">
        <f t="shared" si="59"/>
        <v>0.53125000000000011</v>
      </c>
      <c r="Q213">
        <f>$AK$86</f>
        <v>36</v>
      </c>
      <c r="R213">
        <f t="shared" si="66"/>
        <v>0.75944776069416087</v>
      </c>
      <c r="S213">
        <f t="shared" si="60"/>
        <v>0.96595254526540064</v>
      </c>
      <c r="T213">
        <v>1</v>
      </c>
      <c r="U213">
        <f t="shared" si="61"/>
        <v>0.73359049743863358</v>
      </c>
      <c r="V213">
        <v>40</v>
      </c>
      <c r="W213">
        <f t="shared" si="62"/>
        <v>1.5371501351846312E-2</v>
      </c>
      <c r="Y213">
        <f t="shared" si="63"/>
        <v>91.25</v>
      </c>
      <c r="Z213">
        <f t="shared" si="64"/>
        <v>56.105979934239038</v>
      </c>
    </row>
    <row r="214" spans="1:26" x14ac:dyDescent="0.2">
      <c r="E214" t="s">
        <v>83</v>
      </c>
      <c r="G214">
        <v>0</v>
      </c>
      <c r="H214">
        <v>0</v>
      </c>
      <c r="I214">
        <v>0</v>
      </c>
      <c r="L214">
        <f>$AK$32</f>
        <v>0.8</v>
      </c>
      <c r="N214">
        <f>$AK$60</f>
        <v>0.7</v>
      </c>
      <c r="O214">
        <f t="shared" si="59"/>
        <v>0.55510000000000004</v>
      </c>
      <c r="Q214">
        <f>$AK$87</f>
        <v>42</v>
      </c>
      <c r="R214">
        <f t="shared" si="66"/>
        <v>0.92411404077093851</v>
      </c>
      <c r="S214">
        <f t="shared" si="60"/>
        <v>0.72196269954680592</v>
      </c>
      <c r="T214">
        <v>1</v>
      </c>
      <c r="U214">
        <f t="shared" si="61"/>
        <v>0.66717586756409386</v>
      </c>
      <c r="V214">
        <v>30</v>
      </c>
      <c r="W214">
        <f t="shared" si="62"/>
        <v>1.4122906310204965E-2</v>
      </c>
      <c r="Y214">
        <f t="shared" si="63"/>
        <v>91.25</v>
      </c>
      <c r="Z214">
        <f t="shared" si="64"/>
        <v>38.661456024186094</v>
      </c>
    </row>
    <row r="231" spans="1:27" x14ac:dyDescent="0.2">
      <c r="A231" t="s">
        <v>108</v>
      </c>
      <c r="B231" t="s">
        <v>126</v>
      </c>
      <c r="C231" t="s">
        <v>85</v>
      </c>
      <c r="D231" t="s">
        <v>72</v>
      </c>
      <c r="E231" t="s">
        <v>80</v>
      </c>
      <c r="G231">
        <v>0</v>
      </c>
      <c r="H231">
        <v>0</v>
      </c>
      <c r="I231">
        <v>0</v>
      </c>
      <c r="L231">
        <f>$AF$17</f>
        <v>2.9</v>
      </c>
      <c r="N231">
        <f>$AF$45</f>
        <v>0.75</v>
      </c>
      <c r="O231">
        <f>(0.795 * N231) - 0.0014</f>
        <v>0.5948500000000001</v>
      </c>
      <c r="Q231">
        <f>$AF$72</f>
        <v>75</v>
      </c>
      <c r="R231">
        <f>(104.7 * O231 + 0.307 * Q231- 15) * POWER(Q231, 0.75) * 10^-3</f>
        <v>1.7917898456122741</v>
      </c>
      <c r="S231">
        <f>1-EXP(-2*POWER(L231,2))</f>
        <v>0.9999999504359468</v>
      </c>
      <c r="T231">
        <v>1</v>
      </c>
      <c r="U231">
        <f>R231 * S231 * T231</f>
        <v>1.7917897568039067</v>
      </c>
      <c r="V231">
        <v>50</v>
      </c>
      <c r="W231">
        <f>(U231 * 0.0188) + 0.00158</f>
        <v>3.5265647427913445E-2</v>
      </c>
      <c r="Y231">
        <f>$AF$4</f>
        <v>91.25</v>
      </c>
      <c r="Z231">
        <f>V231*W231*Y231</f>
        <v>160.89951638985508</v>
      </c>
      <c r="AA231">
        <f>SUM(Z231:Z254)*10^-3</f>
        <v>3.7710363373989564</v>
      </c>
    </row>
    <row r="232" spans="1:27" x14ac:dyDescent="0.2">
      <c r="E232" t="s">
        <v>81</v>
      </c>
      <c r="G232">
        <v>0</v>
      </c>
      <c r="H232">
        <v>0</v>
      </c>
      <c r="I232">
        <v>0</v>
      </c>
      <c r="L232">
        <f>$AF$18</f>
        <v>2.5</v>
      </c>
      <c r="N232">
        <f>$AF$46</f>
        <v>0.61</v>
      </c>
      <c r="O232">
        <f t="shared" ref="O232:O254" si="69">(0.795 * N232) - 0.0014</f>
        <v>0.48354999999999998</v>
      </c>
      <c r="Q232">
        <f>$AF$73</f>
        <v>75</v>
      </c>
      <c r="R232">
        <f>(104.7 * O232 + 0.307 * Q232- 15) * POWER(Q232, 0.75) * 10^-3</f>
        <v>1.4948026034112167</v>
      </c>
      <c r="S232">
        <f t="shared" ref="S232:S254" si="70">1-EXP(-2*POWER(L232,2))</f>
        <v>0.99999627334682795</v>
      </c>
      <c r="T232">
        <v>1</v>
      </c>
      <c r="U232">
        <f t="shared" ref="U232:U254" si="71">R232 * S232 * T232</f>
        <v>1.494797032800353</v>
      </c>
      <c r="V232">
        <v>40</v>
      </c>
      <c r="W232">
        <f t="shared" ref="W232:W254" si="72">(U232 * 0.0188) + 0.00158</f>
        <v>2.9682184216646638E-2</v>
      </c>
      <c r="Y232">
        <f t="shared" ref="Y232:Y254" si="73">$AF$4</f>
        <v>91.25</v>
      </c>
      <c r="Z232">
        <f t="shared" ref="Z232:Z254" si="74">V232*W232*Y232</f>
        <v>108.33997239076024</v>
      </c>
    </row>
    <row r="233" spans="1:27" x14ac:dyDescent="0.2">
      <c r="E233" t="s">
        <v>82</v>
      </c>
      <c r="G233">
        <v>0</v>
      </c>
      <c r="H233">
        <v>0</v>
      </c>
      <c r="I233">
        <v>0</v>
      </c>
      <c r="L233">
        <f>$AF$19</f>
        <v>1.6</v>
      </c>
      <c r="N233">
        <f>$AF$47</f>
        <v>0.64</v>
      </c>
      <c r="O233">
        <f t="shared" si="69"/>
        <v>0.50740000000000007</v>
      </c>
      <c r="Q233">
        <f>$AF$74</f>
        <v>69</v>
      </c>
      <c r="R233">
        <f t="shared" ref="R233:R238" si="75">(104.7 * O233 + 0.307 * Q233- 15) * POWER(Q233, 0.75) * 10^-3</f>
        <v>1.4198696820048529</v>
      </c>
      <c r="S233">
        <f t="shared" si="70"/>
        <v>0.99402397710499402</v>
      </c>
      <c r="T233">
        <v>1</v>
      </c>
      <c r="U233">
        <f t="shared" si="71"/>
        <v>1.4113845082772669</v>
      </c>
      <c r="V233">
        <v>38</v>
      </c>
      <c r="W233">
        <f t="shared" si="72"/>
        <v>2.811402875561262E-2</v>
      </c>
      <c r="Y233">
        <f t="shared" si="73"/>
        <v>91.25</v>
      </c>
      <c r="Z233">
        <f t="shared" si="74"/>
        <v>97.485394710086752</v>
      </c>
    </row>
    <row r="234" spans="1:27" x14ac:dyDescent="0.2">
      <c r="E234" t="s">
        <v>83</v>
      </c>
      <c r="G234">
        <v>0</v>
      </c>
      <c r="H234">
        <v>0</v>
      </c>
      <c r="I234">
        <v>0</v>
      </c>
      <c r="K234" s="2">
        <v>1.9</v>
      </c>
      <c r="L234" s="2">
        <v>1.9</v>
      </c>
      <c r="N234">
        <f>$AF$48</f>
        <v>0.72</v>
      </c>
      <c r="O234">
        <f t="shared" si="69"/>
        <v>0.57100000000000006</v>
      </c>
      <c r="Q234">
        <f>$AF$75</f>
        <v>69</v>
      </c>
      <c r="R234">
        <f t="shared" si="75"/>
        <v>1.5792888783210146</v>
      </c>
      <c r="S234">
        <f t="shared" si="70"/>
        <v>0.99926819758111951</v>
      </c>
      <c r="T234">
        <v>1</v>
      </c>
      <c r="U234">
        <f t="shared" si="71"/>
        <v>1.5781331508997483</v>
      </c>
      <c r="V234">
        <v>50</v>
      </c>
      <c r="W234">
        <f t="shared" si="72"/>
        <v>3.124890323691527E-2</v>
      </c>
      <c r="Y234">
        <f t="shared" si="73"/>
        <v>91.25</v>
      </c>
      <c r="Z234">
        <f t="shared" si="74"/>
        <v>142.57312101842592</v>
      </c>
    </row>
    <row r="235" spans="1:27" x14ac:dyDescent="0.2">
      <c r="A235">
        <v>2</v>
      </c>
      <c r="D235" t="s">
        <v>73</v>
      </c>
      <c r="E235" t="s">
        <v>80</v>
      </c>
      <c r="G235">
        <v>0</v>
      </c>
      <c r="H235">
        <v>0</v>
      </c>
      <c r="I235">
        <v>0</v>
      </c>
      <c r="L235">
        <f>$AG$17</f>
        <v>2.9</v>
      </c>
      <c r="N235">
        <f>$AG$45</f>
        <v>0.75</v>
      </c>
      <c r="O235">
        <f t="shared" si="69"/>
        <v>0.5948500000000001</v>
      </c>
      <c r="Q235">
        <f>$AG$72</f>
        <v>62</v>
      </c>
      <c r="R235">
        <f t="shared" si="75"/>
        <v>1.4652245899459331</v>
      </c>
      <c r="S235">
        <f t="shared" si="70"/>
        <v>0.9999999504359468</v>
      </c>
      <c r="T235">
        <v>1</v>
      </c>
      <c r="U235">
        <f t="shared" si="71"/>
        <v>1.4652245173234635</v>
      </c>
      <c r="V235">
        <v>100</v>
      </c>
      <c r="W235">
        <f t="shared" si="72"/>
        <v>2.9126220925681116E-2</v>
      </c>
      <c r="Y235">
        <f t="shared" si="73"/>
        <v>91.25</v>
      </c>
      <c r="Z235">
        <f t="shared" si="74"/>
        <v>265.77676594684021</v>
      </c>
    </row>
    <row r="236" spans="1:27" x14ac:dyDescent="0.2">
      <c r="E236" t="s">
        <v>81</v>
      </c>
      <c r="G236">
        <v>0</v>
      </c>
      <c r="H236">
        <v>0</v>
      </c>
      <c r="I236">
        <v>0</v>
      </c>
      <c r="L236">
        <f>$AG$18</f>
        <v>2.5</v>
      </c>
      <c r="N236">
        <f>$AG$46</f>
        <v>0.61</v>
      </c>
      <c r="O236">
        <f t="shared" si="69"/>
        <v>0.48354999999999998</v>
      </c>
      <c r="Q236">
        <f>$AG$73</f>
        <v>55</v>
      </c>
      <c r="R236">
        <f t="shared" si="75"/>
        <v>1.0605624381175847</v>
      </c>
      <c r="S236">
        <f t="shared" si="70"/>
        <v>0.99999627334682795</v>
      </c>
      <c r="T236">
        <v>1</v>
      </c>
      <c r="U236">
        <f t="shared" si="71"/>
        <v>1.0605584857692105</v>
      </c>
      <c r="V236">
        <v>120</v>
      </c>
      <c r="W236">
        <f t="shared" si="72"/>
        <v>2.1518499532461158E-2</v>
      </c>
      <c r="Y236">
        <f t="shared" si="73"/>
        <v>91.25</v>
      </c>
      <c r="Z236">
        <f t="shared" si="74"/>
        <v>235.6275698804497</v>
      </c>
    </row>
    <row r="237" spans="1:27" x14ac:dyDescent="0.2">
      <c r="E237" t="s">
        <v>82</v>
      </c>
      <c r="G237">
        <v>0</v>
      </c>
      <c r="H237">
        <v>0</v>
      </c>
      <c r="I237">
        <v>0</v>
      </c>
      <c r="L237">
        <f>$AG$19</f>
        <v>1.6</v>
      </c>
      <c r="N237">
        <f>$AG$47</f>
        <v>0.64</v>
      </c>
      <c r="O237">
        <f t="shared" si="69"/>
        <v>0.50740000000000007</v>
      </c>
      <c r="Q237">
        <f>$AG$74</f>
        <v>55</v>
      </c>
      <c r="R237">
        <f t="shared" si="75"/>
        <v>1.1109945415495692</v>
      </c>
      <c r="S237">
        <f t="shared" si="70"/>
        <v>0.99402397710499402</v>
      </c>
      <c r="T237">
        <v>1</v>
      </c>
      <c r="U237">
        <f t="shared" si="71"/>
        <v>1.1043552127330423</v>
      </c>
      <c r="V237">
        <v>115</v>
      </c>
      <c r="W237">
        <f t="shared" si="72"/>
        <v>2.2341877999381195E-2</v>
      </c>
      <c r="Y237">
        <f t="shared" si="73"/>
        <v>91.25</v>
      </c>
      <c r="Z237">
        <f t="shared" si="74"/>
        <v>234.4500822560064</v>
      </c>
    </row>
    <row r="238" spans="1:27" x14ac:dyDescent="0.2">
      <c r="E238" t="s">
        <v>83</v>
      </c>
      <c r="G238">
        <v>0</v>
      </c>
      <c r="H238">
        <v>0</v>
      </c>
      <c r="I238">
        <v>0</v>
      </c>
      <c r="K238" s="2">
        <v>1.8</v>
      </c>
      <c r="L238" s="2">
        <v>1.8</v>
      </c>
      <c r="N238">
        <f>$AG$48</f>
        <v>0.72</v>
      </c>
      <c r="O238">
        <f t="shared" si="69"/>
        <v>0.57100000000000006</v>
      </c>
      <c r="Q238">
        <f>$AG$75</f>
        <v>55</v>
      </c>
      <c r="R238">
        <f t="shared" si="75"/>
        <v>1.2454801507015281</v>
      </c>
      <c r="S238">
        <f t="shared" si="70"/>
        <v>0.99846618932067555</v>
      </c>
      <c r="T238">
        <v>1</v>
      </c>
      <c r="U238">
        <f t="shared" si="71"/>
        <v>1.2435698199454954</v>
      </c>
      <c r="V238">
        <v>110</v>
      </c>
      <c r="W238">
        <f t="shared" si="72"/>
        <v>2.4959112614975316E-2</v>
      </c>
      <c r="Y238">
        <f t="shared" si="73"/>
        <v>91.25</v>
      </c>
      <c r="Z238">
        <f t="shared" si="74"/>
        <v>250.52709287281473</v>
      </c>
    </row>
    <row r="239" spans="1:27" x14ac:dyDescent="0.2">
      <c r="A239">
        <v>3</v>
      </c>
      <c r="D239" t="s">
        <v>74</v>
      </c>
      <c r="E239" t="s">
        <v>80</v>
      </c>
      <c r="G239">
        <v>90</v>
      </c>
      <c r="H239">
        <v>85</v>
      </c>
      <c r="I239">
        <f>(G239/100*MIN(H239,100)/100)</f>
        <v>0.76500000000000001</v>
      </c>
      <c r="J239">
        <f>$AF$3</f>
        <v>1.3</v>
      </c>
      <c r="L239">
        <f>$AH$17</f>
        <v>2.9</v>
      </c>
      <c r="N239">
        <f>$AH$45</f>
        <v>0.75</v>
      </c>
      <c r="O239">
        <f t="shared" si="69"/>
        <v>0.5948500000000001</v>
      </c>
      <c r="Q239">
        <f>$AH$72</f>
        <v>44</v>
      </c>
      <c r="R239">
        <f>(104.7 * O239 + 0.307 * Q239- 15) * POWER(Q239, 0.75) * 10^-3</f>
        <v>1.0385156413271623</v>
      </c>
      <c r="S239">
        <f t="shared" si="70"/>
        <v>0.9999999504359468</v>
      </c>
      <c r="T239">
        <f>(I239 * J239) + (1 - I239)</f>
        <v>1.2295</v>
      </c>
      <c r="U239">
        <f t="shared" si="71"/>
        <v>1.2768549177256379</v>
      </c>
      <c r="V239">
        <v>120</v>
      </c>
      <c r="W239">
        <f t="shared" si="72"/>
        <v>2.5584872453241994E-2</v>
      </c>
      <c r="Y239">
        <f t="shared" si="73"/>
        <v>91.25</v>
      </c>
      <c r="Z239">
        <f t="shared" si="74"/>
        <v>280.15435336299987</v>
      </c>
    </row>
    <row r="240" spans="1:27" x14ac:dyDescent="0.2">
      <c r="E240" t="s">
        <v>81</v>
      </c>
      <c r="G240">
        <v>0</v>
      </c>
      <c r="H240">
        <v>0</v>
      </c>
      <c r="I240">
        <f>(G240/100*MIN(H240,100)/100)</f>
        <v>0</v>
      </c>
      <c r="L240">
        <f>$AH$18</f>
        <v>2.5</v>
      </c>
      <c r="N240">
        <f>$AH$46</f>
        <v>0.61</v>
      </c>
      <c r="O240">
        <f t="shared" si="69"/>
        <v>0.48354999999999998</v>
      </c>
      <c r="Q240">
        <f>$AH$73</f>
        <v>42</v>
      </c>
      <c r="R240">
        <f t="shared" ref="R240:R254" si="76">(104.7 * O240 + 0.307 * Q240- 15) * POWER(Q240, 0.75) * 10^-3</f>
        <v>0.80052120768394575</v>
      </c>
      <c r="S240">
        <f t="shared" si="70"/>
        <v>0.99999627334682795</v>
      </c>
      <c r="T240">
        <f t="shared" ref="T240:T246" si="77">(I240 * J240) + (1 - I240)</f>
        <v>1</v>
      </c>
      <c r="U240">
        <f t="shared" si="71"/>
        <v>0.80051822441904785</v>
      </c>
      <c r="V240">
        <v>130</v>
      </c>
      <c r="W240">
        <f t="shared" si="72"/>
        <v>1.6629742619078101E-2</v>
      </c>
      <c r="Y240">
        <f t="shared" si="73"/>
        <v>91.25</v>
      </c>
      <c r="Z240">
        <f t="shared" si="74"/>
        <v>197.27032181881395</v>
      </c>
    </row>
    <row r="241" spans="1:26" x14ac:dyDescent="0.2">
      <c r="E241" t="s">
        <v>82</v>
      </c>
      <c r="G241">
        <v>0</v>
      </c>
      <c r="H241">
        <v>0</v>
      </c>
      <c r="I241">
        <f t="shared" ref="I241:I243" si="78">(G241/100*MIN(H241,100)/100)</f>
        <v>0</v>
      </c>
      <c r="L241">
        <f>$AH$19</f>
        <v>1.6</v>
      </c>
      <c r="N241">
        <f>$AH$47</f>
        <v>0.64</v>
      </c>
      <c r="O241">
        <f t="shared" si="69"/>
        <v>0.50740000000000007</v>
      </c>
      <c r="Q241">
        <f>$AH$74</f>
        <v>43</v>
      </c>
      <c r="R241">
        <f t="shared" si="76"/>
        <v>0.86186034677094148</v>
      </c>
      <c r="S241">
        <f t="shared" si="70"/>
        <v>0.99402397710499402</v>
      </c>
      <c r="T241">
        <f t="shared" si="77"/>
        <v>1</v>
      </c>
      <c r="U241">
        <f t="shared" si="71"/>
        <v>0.85670984960634056</v>
      </c>
      <c r="V241">
        <v>120</v>
      </c>
      <c r="W241">
        <f t="shared" si="72"/>
        <v>1.7686145172599206E-2</v>
      </c>
      <c r="Y241">
        <f t="shared" si="73"/>
        <v>91.25</v>
      </c>
      <c r="Z241">
        <f t="shared" si="74"/>
        <v>193.66328963996131</v>
      </c>
    </row>
    <row r="242" spans="1:26" x14ac:dyDescent="0.2">
      <c r="E242" t="s">
        <v>83</v>
      </c>
      <c r="G242">
        <v>0</v>
      </c>
      <c r="H242">
        <v>0</v>
      </c>
      <c r="I242">
        <f t="shared" si="78"/>
        <v>0</v>
      </c>
      <c r="K242" s="2">
        <v>1.6</v>
      </c>
      <c r="L242" s="2">
        <v>1.6</v>
      </c>
      <c r="N242">
        <f>$AH$48</f>
        <v>0.72</v>
      </c>
      <c r="O242">
        <f t="shared" si="69"/>
        <v>0.57100000000000006</v>
      </c>
      <c r="Q242">
        <f>$AH$75</f>
        <v>45</v>
      </c>
      <c r="R242">
        <f t="shared" si="76"/>
        <v>1.0181162441707754</v>
      </c>
      <c r="S242">
        <f t="shared" si="70"/>
        <v>0.99402397710499402</v>
      </c>
      <c r="T242">
        <f t="shared" si="77"/>
        <v>1</v>
      </c>
      <c r="U242">
        <f t="shared" si="71"/>
        <v>1.0120319581858332</v>
      </c>
      <c r="V242">
        <v>110</v>
      </c>
      <c r="W242">
        <f t="shared" si="72"/>
        <v>2.0606200813893666E-2</v>
      </c>
      <c r="Y242">
        <f t="shared" si="73"/>
        <v>91.25</v>
      </c>
      <c r="Z242">
        <f t="shared" si="74"/>
        <v>206.83474066945769</v>
      </c>
    </row>
    <row r="243" spans="1:26" x14ac:dyDescent="0.2">
      <c r="A243">
        <v>4</v>
      </c>
      <c r="D243" t="s">
        <v>75</v>
      </c>
      <c r="E243" t="s">
        <v>80</v>
      </c>
      <c r="G243">
        <v>95</v>
      </c>
      <c r="H243">
        <v>88</v>
      </c>
      <c r="I243">
        <f t="shared" si="78"/>
        <v>0.83599999999999997</v>
      </c>
      <c r="J243">
        <f>$AF$3</f>
        <v>1.3</v>
      </c>
      <c r="L243">
        <f>$AI$17</f>
        <v>2.9</v>
      </c>
      <c r="N243">
        <f>$AI$45</f>
        <v>0.75</v>
      </c>
      <c r="O243">
        <f t="shared" si="69"/>
        <v>0.5948500000000001</v>
      </c>
      <c r="Q243">
        <f>$AI$72</f>
        <v>54</v>
      </c>
      <c r="R243">
        <f t="shared" si="76"/>
        <v>1.2720847291262878</v>
      </c>
      <c r="S243">
        <f t="shared" si="70"/>
        <v>0.9999999504359468</v>
      </c>
      <c r="T243">
        <f t="shared" si="77"/>
        <v>1.2507999999999999</v>
      </c>
      <c r="U243">
        <f t="shared" si="71"/>
        <v>1.5911235003286268</v>
      </c>
      <c r="V243">
        <v>80</v>
      </c>
      <c r="W243">
        <f t="shared" si="72"/>
        <v>3.1493121806178186E-2</v>
      </c>
      <c r="Y243">
        <f t="shared" si="73"/>
        <v>91.25</v>
      </c>
      <c r="Z243">
        <f t="shared" si="74"/>
        <v>229.89978918510076</v>
      </c>
    </row>
    <row r="244" spans="1:26" x14ac:dyDescent="0.2">
      <c r="E244" t="s">
        <v>81</v>
      </c>
      <c r="G244">
        <v>0</v>
      </c>
      <c r="H244">
        <v>0</v>
      </c>
      <c r="I244">
        <v>0</v>
      </c>
      <c r="L244">
        <f>$AI$18</f>
        <v>2.5</v>
      </c>
      <c r="N244">
        <f>$AI$46</f>
        <v>0.61</v>
      </c>
      <c r="O244">
        <f t="shared" si="69"/>
        <v>0.48354999999999998</v>
      </c>
      <c r="Q244">
        <f>$AI$73</f>
        <v>49</v>
      </c>
      <c r="R244">
        <f t="shared" si="76"/>
        <v>0.93843421889903578</v>
      </c>
      <c r="S244">
        <f t="shared" si="70"/>
        <v>0.99999627334682795</v>
      </c>
      <c r="T244">
        <f t="shared" si="77"/>
        <v>1</v>
      </c>
      <c r="U244">
        <f t="shared" si="71"/>
        <v>0.93843072168017716</v>
      </c>
      <c r="V244">
        <v>90</v>
      </c>
      <c r="W244">
        <f t="shared" si="72"/>
        <v>1.9222497567587333E-2</v>
      </c>
      <c r="Y244">
        <f t="shared" si="73"/>
        <v>91.25</v>
      </c>
      <c r="Z244">
        <f t="shared" si="74"/>
        <v>157.86476127381098</v>
      </c>
    </row>
    <row r="245" spans="1:26" x14ac:dyDescent="0.2">
      <c r="E245" t="s">
        <v>82</v>
      </c>
      <c r="G245">
        <v>0</v>
      </c>
      <c r="H245">
        <v>0</v>
      </c>
      <c r="I245">
        <v>0</v>
      </c>
      <c r="L245">
        <f>$AI$19</f>
        <v>1.6</v>
      </c>
      <c r="N245">
        <f>$AI$47</f>
        <v>0.64</v>
      </c>
      <c r="O245">
        <f t="shared" si="69"/>
        <v>0.50740000000000007</v>
      </c>
      <c r="Q245">
        <f>$AI$74</f>
        <v>50</v>
      </c>
      <c r="R245">
        <f t="shared" si="76"/>
        <v>1.0054871153505722</v>
      </c>
      <c r="S245">
        <f t="shared" si="70"/>
        <v>0.99402397710499402</v>
      </c>
      <c r="T245">
        <f t="shared" si="77"/>
        <v>1</v>
      </c>
      <c r="U245">
        <f t="shared" si="71"/>
        <v>0.99947830132860371</v>
      </c>
      <c r="V245">
        <v>80</v>
      </c>
      <c r="W245">
        <f t="shared" si="72"/>
        <v>2.0370192064977751E-2</v>
      </c>
      <c r="Y245">
        <f t="shared" si="73"/>
        <v>91.25</v>
      </c>
      <c r="Z245">
        <f t="shared" si="74"/>
        <v>148.70240207433758</v>
      </c>
    </row>
    <row r="246" spans="1:26" x14ac:dyDescent="0.2">
      <c r="E246" t="s">
        <v>83</v>
      </c>
      <c r="G246">
        <v>0</v>
      </c>
      <c r="H246">
        <v>0</v>
      </c>
      <c r="I246">
        <v>0</v>
      </c>
      <c r="K246" s="2">
        <v>1.9</v>
      </c>
      <c r="L246" s="2">
        <v>1.9</v>
      </c>
      <c r="N246">
        <f>$AI$48</f>
        <v>0.72</v>
      </c>
      <c r="O246">
        <f t="shared" si="69"/>
        <v>0.57100000000000006</v>
      </c>
      <c r="Q246">
        <f>$AI$75</f>
        <v>50</v>
      </c>
      <c r="R246">
        <f t="shared" si="76"/>
        <v>1.1306948910936463</v>
      </c>
      <c r="S246">
        <f t="shared" si="70"/>
        <v>0.99926819758111951</v>
      </c>
      <c r="T246">
        <f t="shared" si="77"/>
        <v>1</v>
      </c>
      <c r="U246">
        <f t="shared" si="71"/>
        <v>1.1298674458373281</v>
      </c>
      <c r="V246">
        <v>70</v>
      </c>
      <c r="W246">
        <f t="shared" si="72"/>
        <v>2.2821507981741773E-2</v>
      </c>
      <c r="Y246">
        <f t="shared" si="73"/>
        <v>91.25</v>
      </c>
      <c r="Z246">
        <f t="shared" si="74"/>
        <v>145.77238223337557</v>
      </c>
    </row>
    <row r="247" spans="1:26" x14ac:dyDescent="0.2">
      <c r="A247">
        <v>5</v>
      </c>
      <c r="D247" t="s">
        <v>76</v>
      </c>
      <c r="E247" t="s">
        <v>80</v>
      </c>
      <c r="G247">
        <v>0</v>
      </c>
      <c r="H247">
        <v>0</v>
      </c>
      <c r="I247">
        <v>0</v>
      </c>
      <c r="L247">
        <f>$AJ$17</f>
        <v>2.9</v>
      </c>
      <c r="N247">
        <f>$AJ$45</f>
        <v>0.75</v>
      </c>
      <c r="O247">
        <f t="shared" si="69"/>
        <v>0.5948500000000001</v>
      </c>
      <c r="Q247">
        <f>$AJ$72</f>
        <v>56</v>
      </c>
      <c r="R247">
        <f t="shared" si="76"/>
        <v>1.3198285488795851</v>
      </c>
      <c r="S247">
        <f t="shared" si="70"/>
        <v>0.9999999504359468</v>
      </c>
      <c r="T247">
        <v>1</v>
      </c>
      <c r="U247">
        <f t="shared" si="71"/>
        <v>1.3198284834635328</v>
      </c>
      <c r="V247">
        <v>50</v>
      </c>
      <c r="W247">
        <f t="shared" si="72"/>
        <v>2.6392775489114419E-2</v>
      </c>
      <c r="Y247">
        <f t="shared" si="73"/>
        <v>91.25</v>
      </c>
      <c r="Z247">
        <f t="shared" si="74"/>
        <v>120.41703816908453</v>
      </c>
    </row>
    <row r="248" spans="1:26" x14ac:dyDescent="0.2">
      <c r="E248" t="s">
        <v>81</v>
      </c>
      <c r="G248">
        <v>0</v>
      </c>
      <c r="H248">
        <v>0</v>
      </c>
      <c r="I248">
        <v>0</v>
      </c>
      <c r="L248">
        <f>$AJ$18</f>
        <v>2.5</v>
      </c>
      <c r="N248">
        <f>$AJ$46</f>
        <v>0.61</v>
      </c>
      <c r="O248">
        <f t="shared" si="69"/>
        <v>0.48354999999999998</v>
      </c>
      <c r="Q248">
        <f>$AJ$73</f>
        <v>51</v>
      </c>
      <c r="R248">
        <f t="shared" si="76"/>
        <v>0.97873546256970145</v>
      </c>
      <c r="S248">
        <f t="shared" si="70"/>
        <v>0.99999627334682795</v>
      </c>
      <c r="T248">
        <v>1</v>
      </c>
      <c r="U248">
        <f t="shared" si="71"/>
        <v>0.97873181516208529</v>
      </c>
      <c r="V248">
        <v>55</v>
      </c>
      <c r="W248">
        <f t="shared" si="72"/>
        <v>1.9980158125047207E-2</v>
      </c>
      <c r="Y248">
        <f t="shared" si="73"/>
        <v>91.25</v>
      </c>
      <c r="Z248">
        <f t="shared" si="74"/>
        <v>100.27541859008066</v>
      </c>
    </row>
    <row r="249" spans="1:26" x14ac:dyDescent="0.2">
      <c r="E249" t="s">
        <v>82</v>
      </c>
      <c r="G249">
        <v>0</v>
      </c>
      <c r="H249">
        <v>0</v>
      </c>
      <c r="I249">
        <v>0</v>
      </c>
      <c r="L249">
        <f>$AJ$19</f>
        <v>1.6</v>
      </c>
      <c r="N249">
        <f>$AJ$47</f>
        <v>0.64</v>
      </c>
      <c r="O249">
        <f t="shared" si="69"/>
        <v>0.50740000000000007</v>
      </c>
      <c r="Q249">
        <f>$AJ$74</f>
        <v>50</v>
      </c>
      <c r="R249">
        <f t="shared" si="76"/>
        <v>1.0054871153505722</v>
      </c>
      <c r="S249">
        <f t="shared" si="70"/>
        <v>0.99402397710499402</v>
      </c>
      <c r="T249">
        <v>1</v>
      </c>
      <c r="U249">
        <f t="shared" si="71"/>
        <v>0.99947830132860371</v>
      </c>
      <c r="V249">
        <v>45</v>
      </c>
      <c r="W249">
        <f t="shared" si="72"/>
        <v>2.0370192064977751E-2</v>
      </c>
      <c r="Y249">
        <f t="shared" si="73"/>
        <v>91.25</v>
      </c>
      <c r="Z249">
        <f t="shared" si="74"/>
        <v>83.645101166814896</v>
      </c>
    </row>
    <row r="250" spans="1:26" x14ac:dyDescent="0.2">
      <c r="E250" t="s">
        <v>83</v>
      </c>
      <c r="G250">
        <v>0</v>
      </c>
      <c r="H250">
        <v>0</v>
      </c>
      <c r="I250">
        <v>0</v>
      </c>
      <c r="K250" s="2">
        <v>1.8</v>
      </c>
      <c r="L250" s="2">
        <v>1.8</v>
      </c>
      <c r="N250">
        <f>$AJ$48</f>
        <v>0.72</v>
      </c>
      <c r="O250">
        <f t="shared" si="69"/>
        <v>0.57100000000000006</v>
      </c>
      <c r="Q250">
        <f>$AJ$75</f>
        <v>51</v>
      </c>
      <c r="R250">
        <f t="shared" si="76"/>
        <v>1.1534721617679149</v>
      </c>
      <c r="S250">
        <f t="shared" si="70"/>
        <v>0.99846618932067555</v>
      </c>
      <c r="T250">
        <v>1</v>
      </c>
      <c r="U250">
        <f t="shared" si="71"/>
        <v>1.1517029538478918</v>
      </c>
      <c r="V250">
        <v>40</v>
      </c>
      <c r="W250">
        <f t="shared" si="72"/>
        <v>2.3232015532340368E-2</v>
      </c>
      <c r="Y250">
        <f t="shared" si="73"/>
        <v>91.25</v>
      </c>
      <c r="Z250">
        <f t="shared" si="74"/>
        <v>84.796856693042344</v>
      </c>
    </row>
    <row r="251" spans="1:26" x14ac:dyDescent="0.2">
      <c r="A251">
        <v>6</v>
      </c>
      <c r="D251" t="s">
        <v>77</v>
      </c>
      <c r="E251" t="s">
        <v>80</v>
      </c>
      <c r="G251">
        <v>0</v>
      </c>
      <c r="H251">
        <v>0</v>
      </c>
      <c r="I251">
        <v>0</v>
      </c>
      <c r="L251">
        <f>$AK$17</f>
        <v>2.9</v>
      </c>
      <c r="N251">
        <f>$AK$45</f>
        <v>0.75</v>
      </c>
      <c r="O251">
        <f t="shared" si="69"/>
        <v>0.5948500000000001</v>
      </c>
      <c r="Q251">
        <f>$AK$72</f>
        <v>20</v>
      </c>
      <c r="R251">
        <f t="shared" si="76"/>
        <v>0.5052226861752882</v>
      </c>
      <c r="S251">
        <f t="shared" si="70"/>
        <v>0.9999999504359468</v>
      </c>
      <c r="T251">
        <v>1</v>
      </c>
      <c r="U251">
        <f t="shared" si="71"/>
        <v>0.50522266113440406</v>
      </c>
      <c r="V251">
        <v>30</v>
      </c>
      <c r="W251">
        <f t="shared" si="72"/>
        <v>1.1078186029326796E-2</v>
      </c>
      <c r="Y251">
        <f t="shared" si="73"/>
        <v>91.25</v>
      </c>
      <c r="Z251">
        <f t="shared" si="74"/>
        <v>30.326534255282102</v>
      </c>
    </row>
    <row r="252" spans="1:26" x14ac:dyDescent="0.2">
      <c r="E252" t="s">
        <v>81</v>
      </c>
      <c r="G252">
        <v>0</v>
      </c>
      <c r="H252">
        <v>0</v>
      </c>
      <c r="I252">
        <v>0</v>
      </c>
      <c r="L252">
        <f>$AK$18</f>
        <v>2.5</v>
      </c>
      <c r="N252">
        <f>$AK$46</f>
        <v>0.61</v>
      </c>
      <c r="O252">
        <f t="shared" si="69"/>
        <v>0.48354999999999998</v>
      </c>
      <c r="Q252">
        <f>$AK$73</f>
        <v>27</v>
      </c>
      <c r="R252">
        <f t="shared" si="76"/>
        <v>0.52017847077168489</v>
      </c>
      <c r="S252">
        <f t="shared" si="70"/>
        <v>0.99999627334682795</v>
      </c>
      <c r="T252">
        <v>1</v>
      </c>
      <c r="U252">
        <f t="shared" si="71"/>
        <v>0.52017653224693672</v>
      </c>
      <c r="V252">
        <v>90</v>
      </c>
      <c r="W252">
        <f t="shared" si="72"/>
        <v>1.135931880624241E-2</v>
      </c>
      <c r="Y252">
        <f t="shared" si="73"/>
        <v>91.25</v>
      </c>
      <c r="Z252">
        <f t="shared" si="74"/>
        <v>93.288405696265798</v>
      </c>
    </row>
    <row r="253" spans="1:26" x14ac:dyDescent="0.2">
      <c r="E253" t="s">
        <v>82</v>
      </c>
      <c r="G253">
        <v>0</v>
      </c>
      <c r="H253">
        <v>0</v>
      </c>
      <c r="I253">
        <v>0</v>
      </c>
      <c r="L253">
        <f>$AK$19</f>
        <v>1.6</v>
      </c>
      <c r="N253">
        <f>$AK$47</f>
        <v>0.64</v>
      </c>
      <c r="O253">
        <f t="shared" si="69"/>
        <v>0.50740000000000007</v>
      </c>
      <c r="Q253">
        <f>$AK$74</f>
        <v>32</v>
      </c>
      <c r="R253">
        <f t="shared" si="76"/>
        <v>0.64511931548462409</v>
      </c>
      <c r="S253">
        <f t="shared" si="70"/>
        <v>0.99402397710499402</v>
      </c>
      <c r="T253">
        <v>1</v>
      </c>
      <c r="U253">
        <f t="shared" si="71"/>
        <v>0.64126406768527744</v>
      </c>
      <c r="V253">
        <v>80</v>
      </c>
      <c r="W253">
        <f t="shared" si="72"/>
        <v>1.3635764472483216E-2</v>
      </c>
      <c r="Y253">
        <f t="shared" si="73"/>
        <v>91.25</v>
      </c>
      <c r="Z253">
        <f t="shared" si="74"/>
        <v>99.54108064912748</v>
      </c>
    </row>
    <row r="254" spans="1:26" x14ac:dyDescent="0.2">
      <c r="E254" t="s">
        <v>83</v>
      </c>
      <c r="G254">
        <v>0</v>
      </c>
      <c r="H254">
        <v>0</v>
      </c>
      <c r="I254">
        <v>0</v>
      </c>
      <c r="K254" s="2">
        <v>1.6</v>
      </c>
      <c r="L254" s="2">
        <v>1.6</v>
      </c>
      <c r="N254">
        <f>$AK$48</f>
        <v>0.72</v>
      </c>
      <c r="O254">
        <f t="shared" si="69"/>
        <v>0.57100000000000006</v>
      </c>
      <c r="Q254">
        <f>$AK$75</f>
        <v>34</v>
      </c>
      <c r="R254">
        <f t="shared" si="76"/>
        <v>0.77753323213623582</v>
      </c>
      <c r="S254">
        <f t="shared" si="70"/>
        <v>0.99402397710499402</v>
      </c>
      <c r="T254">
        <v>1</v>
      </c>
      <c r="U254">
        <f t="shared" si="71"/>
        <v>0.77288667573936165</v>
      </c>
      <c r="V254">
        <v>70</v>
      </c>
      <c r="W254">
        <f t="shared" si="72"/>
        <v>1.6110269503900002E-2</v>
      </c>
      <c r="Y254">
        <f t="shared" si="73"/>
        <v>91.25</v>
      </c>
      <c r="Z254">
        <f t="shared" si="74"/>
        <v>102.90434645616126</v>
      </c>
    </row>
    <row r="261" spans="1:27" x14ac:dyDescent="0.2">
      <c r="A261" t="s">
        <v>99</v>
      </c>
      <c r="B261" t="s">
        <v>98</v>
      </c>
      <c r="C261" t="s">
        <v>98</v>
      </c>
      <c r="D261" t="s">
        <v>72</v>
      </c>
      <c r="E261" t="s">
        <v>80</v>
      </c>
      <c r="G261">
        <v>0</v>
      </c>
      <c r="H261">
        <v>0</v>
      </c>
      <c r="I261">
        <v>0</v>
      </c>
      <c r="L261">
        <f>$AF$21</f>
        <v>1.5</v>
      </c>
      <c r="M261" s="2">
        <v>0.5</v>
      </c>
      <c r="N261" s="2">
        <v>0.5</v>
      </c>
      <c r="O261">
        <f>(0.795 * N261) - 0.0014</f>
        <v>0.39610000000000001</v>
      </c>
      <c r="Q261">
        <f>$AF$76</f>
        <v>58</v>
      </c>
      <c r="R261">
        <f>(104.7 * O261 + 0.307 * Q261- 15) * POWER(Q261, 0.75) * 10^-3</f>
        <v>0.93058437094840885</v>
      </c>
      <c r="S261">
        <f>1-EXP(-2*POWER(L261,2))</f>
        <v>0.98889100346175773</v>
      </c>
      <c r="T261">
        <v>1</v>
      </c>
      <c r="U261">
        <f>R261 * S261 * T261</f>
        <v>0.92024651239300059</v>
      </c>
      <c r="V261">
        <v>25</v>
      </c>
      <c r="W261">
        <f>(U261 * 0.0188) + 0.00158</f>
        <v>1.8880634432988413E-2</v>
      </c>
      <c r="Y261">
        <f>$AF$4</f>
        <v>91.25</v>
      </c>
      <c r="Z261">
        <f>V261*W261*Y261</f>
        <v>43.071447300254817</v>
      </c>
      <c r="AA261">
        <f>SUM(Z261:Z284)*10^-3</f>
        <v>1.3279574495523139</v>
      </c>
    </row>
    <row r="262" spans="1:27" x14ac:dyDescent="0.2">
      <c r="E262" t="s">
        <v>81</v>
      </c>
      <c r="G262">
        <v>0</v>
      </c>
      <c r="H262">
        <v>0</v>
      </c>
      <c r="I262">
        <v>0</v>
      </c>
      <c r="L262">
        <f>$AF$22</f>
        <v>2</v>
      </c>
      <c r="M262" s="2">
        <v>0.51</v>
      </c>
      <c r="N262" s="2">
        <v>0.51</v>
      </c>
      <c r="O262">
        <f t="shared" ref="O262:O284" si="79">(0.795 * N262) - 0.0014</f>
        <v>0.40405000000000002</v>
      </c>
      <c r="Q262">
        <f>$AF$77</f>
        <v>61</v>
      </c>
      <c r="R262">
        <f>(104.7 * O262 + 0.307 * Q262- 15) * POWER(Q262, 0.75) * 10^-3</f>
        <v>1.0047270997102939</v>
      </c>
      <c r="S262">
        <f t="shared" ref="S262:S284" si="80">1-EXP(-2*POWER(L262,2))</f>
        <v>0.99966453737209748</v>
      </c>
      <c r="T262">
        <v>1</v>
      </c>
      <c r="U262">
        <f t="shared" ref="U262:U284" si="81">R262 * S262 * T262</f>
        <v>1.0043900513171002</v>
      </c>
      <c r="V262">
        <v>20</v>
      </c>
      <c r="W262">
        <f t="shared" ref="W262:W284" si="82">(U262 * 0.0188) + 0.00158</f>
        <v>2.0462532964761488E-2</v>
      </c>
      <c r="Y262">
        <f t="shared" ref="Y262:Y284" si="83">$AF$4</f>
        <v>91.25</v>
      </c>
      <c r="Z262">
        <f t="shared" ref="Z262:Z284" si="84">V262*W262*Y262</f>
        <v>37.344122660689713</v>
      </c>
    </row>
    <row r="263" spans="1:27" x14ac:dyDescent="0.2">
      <c r="E263" t="s">
        <v>82</v>
      </c>
      <c r="G263">
        <v>0</v>
      </c>
      <c r="H263">
        <v>0</v>
      </c>
      <c r="I263">
        <v>0</v>
      </c>
      <c r="L263">
        <f>$AF$23</f>
        <v>2.2000000000000002</v>
      </c>
      <c r="M263" s="2">
        <v>0.52</v>
      </c>
      <c r="N263" s="2">
        <v>0.52</v>
      </c>
      <c r="O263">
        <f t="shared" si="79"/>
        <v>0.41200000000000003</v>
      </c>
      <c r="Q263">
        <f>$AF$78</f>
        <v>63</v>
      </c>
      <c r="R263">
        <f t="shared" ref="R263:R268" si="85">(104.7 * O263 + 0.307 * Q263- 15) * POWER(Q263, 0.75) * 10^-3</f>
        <v>1.0616768308982532</v>
      </c>
      <c r="S263">
        <f t="shared" si="80"/>
        <v>0.99993747849622516</v>
      </c>
      <c r="T263">
        <v>1</v>
      </c>
      <c r="U263">
        <f t="shared" si="81"/>
        <v>1.0616104532662625</v>
      </c>
      <c r="V263">
        <v>19</v>
      </c>
      <c r="W263">
        <f t="shared" si="82"/>
        <v>2.1538276521405737E-2</v>
      </c>
      <c r="Y263">
        <f t="shared" si="83"/>
        <v>91.25</v>
      </c>
      <c r="Z263">
        <f t="shared" si="84"/>
        <v>37.341986918987196</v>
      </c>
    </row>
    <row r="264" spans="1:27" x14ac:dyDescent="0.2">
      <c r="E264" t="s">
        <v>83</v>
      </c>
      <c r="G264">
        <v>0</v>
      </c>
      <c r="H264">
        <v>0</v>
      </c>
      <c r="I264">
        <v>0</v>
      </c>
      <c r="L264">
        <f>$AF$24</f>
        <v>1.7</v>
      </c>
      <c r="M264" s="2">
        <v>0.53</v>
      </c>
      <c r="N264" s="2">
        <v>0.53</v>
      </c>
      <c r="O264">
        <f t="shared" si="79"/>
        <v>0.41995000000000005</v>
      </c>
      <c r="Q264">
        <f>$AF$79</f>
        <v>60</v>
      </c>
      <c r="R264">
        <f t="shared" si="85"/>
        <v>1.0216186875211368</v>
      </c>
      <c r="S264">
        <f t="shared" si="80"/>
        <v>0.99691128459176326</v>
      </c>
      <c r="T264">
        <v>1</v>
      </c>
      <c r="U264">
        <f t="shared" si="81"/>
        <v>1.0184631981396477</v>
      </c>
      <c r="V264">
        <v>25</v>
      </c>
      <c r="W264">
        <f t="shared" si="82"/>
        <v>2.072710812502538E-2</v>
      </c>
      <c r="Y264">
        <f t="shared" si="83"/>
        <v>91.25</v>
      </c>
      <c r="Z264">
        <f t="shared" si="84"/>
        <v>47.28371541021415</v>
      </c>
    </row>
    <row r="265" spans="1:27" x14ac:dyDescent="0.2">
      <c r="A265">
        <v>2</v>
      </c>
      <c r="D265" t="s">
        <v>73</v>
      </c>
      <c r="E265" t="s">
        <v>80</v>
      </c>
      <c r="G265">
        <v>0</v>
      </c>
      <c r="H265">
        <v>0</v>
      </c>
      <c r="I265">
        <v>0</v>
      </c>
      <c r="L265">
        <f>$AG$21</f>
        <v>1.5</v>
      </c>
      <c r="M265" s="2">
        <v>0.5</v>
      </c>
      <c r="N265" s="2">
        <v>0.5</v>
      </c>
      <c r="O265">
        <f t="shared" si="79"/>
        <v>0.39610000000000001</v>
      </c>
      <c r="Q265">
        <f>$AG$76</f>
        <v>50</v>
      </c>
      <c r="R265">
        <f t="shared" si="85"/>
        <v>0.78637350780019211</v>
      </c>
      <c r="S265">
        <f t="shared" si="80"/>
        <v>0.98889100346175773</v>
      </c>
      <c r="T265">
        <v>1</v>
      </c>
      <c r="U265">
        <f t="shared" si="81"/>
        <v>0.7776376872242744</v>
      </c>
      <c r="V265">
        <v>50</v>
      </c>
      <c r="W265">
        <f t="shared" si="82"/>
        <v>1.6199588519816361E-2</v>
      </c>
      <c r="Y265">
        <f t="shared" si="83"/>
        <v>91.25</v>
      </c>
      <c r="Z265">
        <f t="shared" si="84"/>
        <v>73.910622621662142</v>
      </c>
    </row>
    <row r="266" spans="1:27" x14ac:dyDescent="0.2">
      <c r="E266" t="s">
        <v>81</v>
      </c>
      <c r="G266">
        <v>0</v>
      </c>
      <c r="H266">
        <v>0</v>
      </c>
      <c r="I266">
        <v>0</v>
      </c>
      <c r="L266">
        <f>$AG$22</f>
        <v>2</v>
      </c>
      <c r="M266" s="2">
        <v>0.51</v>
      </c>
      <c r="N266" s="2">
        <v>0.51</v>
      </c>
      <c r="O266">
        <f t="shared" si="79"/>
        <v>0.40405000000000002</v>
      </c>
      <c r="Q266">
        <f>$AG$77</f>
        <v>55</v>
      </c>
      <c r="R266">
        <f t="shared" si="85"/>
        <v>0.89245542667763567</v>
      </c>
      <c r="S266">
        <f t="shared" si="80"/>
        <v>0.99966453737209748</v>
      </c>
      <c r="T266">
        <v>1</v>
      </c>
      <c r="U266">
        <f t="shared" si="81"/>
        <v>0.89215604123491654</v>
      </c>
      <c r="V266">
        <v>60</v>
      </c>
      <c r="W266">
        <f t="shared" si="82"/>
        <v>1.8352533575216434E-2</v>
      </c>
      <c r="Y266">
        <f t="shared" si="83"/>
        <v>91.25</v>
      </c>
      <c r="Z266">
        <f t="shared" si="84"/>
        <v>100.48012132430998</v>
      </c>
    </row>
    <row r="267" spans="1:27" x14ac:dyDescent="0.2">
      <c r="E267" t="s">
        <v>82</v>
      </c>
      <c r="G267">
        <v>0</v>
      </c>
      <c r="H267">
        <v>0</v>
      </c>
      <c r="I267">
        <v>0</v>
      </c>
      <c r="L267">
        <f>$AG$23</f>
        <v>2.2000000000000002</v>
      </c>
      <c r="M267" s="2">
        <v>0.52</v>
      </c>
      <c r="N267" s="2">
        <v>0.52</v>
      </c>
      <c r="O267">
        <f t="shared" si="79"/>
        <v>0.41200000000000003</v>
      </c>
      <c r="Q267">
        <f>$AG$78</f>
        <v>55</v>
      </c>
      <c r="R267">
        <f t="shared" si="85"/>
        <v>0.90926612782163052</v>
      </c>
      <c r="S267">
        <f t="shared" si="80"/>
        <v>0.99993747849622516</v>
      </c>
      <c r="T267">
        <v>1</v>
      </c>
      <c r="U267">
        <f t="shared" si="81"/>
        <v>0.90920927913598759</v>
      </c>
      <c r="V267">
        <v>55</v>
      </c>
      <c r="W267">
        <f t="shared" si="82"/>
        <v>1.8673134447756569E-2</v>
      </c>
      <c r="Y267">
        <f t="shared" si="83"/>
        <v>91.25</v>
      </c>
      <c r="Z267">
        <f t="shared" si="84"/>
        <v>93.715793509678278</v>
      </c>
    </row>
    <row r="268" spans="1:27" x14ac:dyDescent="0.2">
      <c r="E268" t="s">
        <v>83</v>
      </c>
      <c r="G268">
        <v>0</v>
      </c>
      <c r="H268">
        <v>0</v>
      </c>
      <c r="I268">
        <v>0</v>
      </c>
      <c r="L268">
        <f>$AG$24</f>
        <v>1.7</v>
      </c>
      <c r="M268" s="2">
        <v>0.53</v>
      </c>
      <c r="N268" s="2">
        <v>0.53</v>
      </c>
      <c r="O268">
        <f t="shared" si="79"/>
        <v>0.41995000000000005</v>
      </c>
      <c r="Q268">
        <f>$AG$79</f>
        <v>50</v>
      </c>
      <c r="R268">
        <f t="shared" si="85"/>
        <v>0.83332642370384502</v>
      </c>
      <c r="S268">
        <f t="shared" si="80"/>
        <v>0.99691128459176326</v>
      </c>
      <c r="T268">
        <v>1</v>
      </c>
      <c r="U268">
        <f t="shared" si="81"/>
        <v>0.83075251553886009</v>
      </c>
      <c r="V268">
        <v>55</v>
      </c>
      <c r="W268">
        <f t="shared" si="82"/>
        <v>1.719814729213057E-2</v>
      </c>
      <c r="Y268">
        <f t="shared" si="83"/>
        <v>91.25</v>
      </c>
      <c r="Z268">
        <f t="shared" si="84"/>
        <v>86.313201722380299</v>
      </c>
    </row>
    <row r="269" spans="1:27" x14ac:dyDescent="0.2">
      <c r="A269">
        <v>3</v>
      </c>
      <c r="D269" t="s">
        <v>74</v>
      </c>
      <c r="E269" t="s">
        <v>80</v>
      </c>
      <c r="G269">
        <v>92</v>
      </c>
      <c r="H269">
        <v>87</v>
      </c>
      <c r="I269">
        <f>(G269/100*MIN(H269,100)/100)</f>
        <v>0.80040000000000011</v>
      </c>
      <c r="J269">
        <f>$AF$3</f>
        <v>1.3</v>
      </c>
      <c r="L269">
        <f>$AH$21</f>
        <v>1.5</v>
      </c>
      <c r="M269" s="2">
        <v>0.53</v>
      </c>
      <c r="N269" s="2">
        <v>0.53</v>
      </c>
      <c r="O269">
        <f t="shared" si="79"/>
        <v>0.41995000000000005</v>
      </c>
      <c r="Q269">
        <f>$AH$76</f>
        <v>35</v>
      </c>
      <c r="R269">
        <f>(104.7 * O269 + 0.307 * Q269- 15) * POWER(Q269, 0.75) * 10^-3</f>
        <v>0.57146823458155449</v>
      </c>
      <c r="S269">
        <f t="shared" si="80"/>
        <v>0.98889100346175773</v>
      </c>
      <c r="T269">
        <f>(I269 * J269) + (1 - I269)</f>
        <v>1.2401200000000001</v>
      </c>
      <c r="U269">
        <f t="shared" si="81"/>
        <v>0.70081636134343506</v>
      </c>
      <c r="V269">
        <v>60</v>
      </c>
      <c r="W269">
        <f t="shared" si="82"/>
        <v>1.475534759325658E-2</v>
      </c>
      <c r="Y269">
        <f t="shared" si="83"/>
        <v>91.25</v>
      </c>
      <c r="Z269">
        <f t="shared" si="84"/>
        <v>80.785528073079774</v>
      </c>
    </row>
    <row r="270" spans="1:27" x14ac:dyDescent="0.2">
      <c r="E270" t="s">
        <v>81</v>
      </c>
      <c r="G270">
        <v>0</v>
      </c>
      <c r="H270">
        <v>0</v>
      </c>
      <c r="I270">
        <f>(G270/100*MIN(H270,100)/100)</f>
        <v>0</v>
      </c>
      <c r="L270">
        <f>$AH$22</f>
        <v>2</v>
      </c>
      <c r="M270" s="2">
        <v>0.53</v>
      </c>
      <c r="N270" s="2">
        <v>0.53</v>
      </c>
      <c r="O270">
        <f t="shared" si="79"/>
        <v>0.41995000000000005</v>
      </c>
      <c r="Q270">
        <f>$AH$77</f>
        <v>40</v>
      </c>
      <c r="R270">
        <f t="shared" ref="R270:R284" si="86">(104.7 * O270 + 0.307 * Q270- 15) * POWER(Q270, 0.75) * 10^-3</f>
        <v>0.65607870804581636</v>
      </c>
      <c r="S270">
        <f t="shared" si="80"/>
        <v>0.99966453737209748</v>
      </c>
      <c r="T270">
        <f t="shared" ref="T270:T276" si="87">(I270 * J270) + (1 - I270)</f>
        <v>1</v>
      </c>
      <c r="U270">
        <f t="shared" si="81"/>
        <v>0.65585861815830437</v>
      </c>
      <c r="V270">
        <v>70</v>
      </c>
      <c r="W270">
        <f t="shared" si="82"/>
        <v>1.3910142021376122E-2</v>
      </c>
      <c r="Y270">
        <f t="shared" si="83"/>
        <v>91.25</v>
      </c>
      <c r="Z270">
        <f t="shared" si="84"/>
        <v>88.851032161539976</v>
      </c>
    </row>
    <row r="271" spans="1:27" x14ac:dyDescent="0.2">
      <c r="E271" t="s">
        <v>82</v>
      </c>
      <c r="G271">
        <v>0</v>
      </c>
      <c r="H271">
        <v>0</v>
      </c>
      <c r="I271">
        <f t="shared" ref="I271:I273" si="88">(G271/100*MIN(H271,100)/100)</f>
        <v>0</v>
      </c>
      <c r="L271">
        <f>$AH$23</f>
        <v>2.2000000000000002</v>
      </c>
      <c r="M271" s="2">
        <v>0.53</v>
      </c>
      <c r="N271" s="2">
        <v>0.53</v>
      </c>
      <c r="O271">
        <f t="shared" si="79"/>
        <v>0.41995000000000005</v>
      </c>
      <c r="Q271">
        <f>$AH$78</f>
        <v>40</v>
      </c>
      <c r="R271">
        <f t="shared" si="86"/>
        <v>0.65607870804581636</v>
      </c>
      <c r="S271">
        <f t="shared" si="80"/>
        <v>0.99993747849622516</v>
      </c>
      <c r="T271">
        <f t="shared" si="87"/>
        <v>1</v>
      </c>
      <c r="U271">
        <f t="shared" si="81"/>
        <v>0.65603768901839465</v>
      </c>
      <c r="V271">
        <v>60</v>
      </c>
      <c r="W271">
        <f t="shared" si="82"/>
        <v>1.391350855354582E-2</v>
      </c>
      <c r="Y271">
        <f t="shared" si="83"/>
        <v>91.25</v>
      </c>
      <c r="Z271">
        <f t="shared" si="84"/>
        <v>76.176459330663363</v>
      </c>
    </row>
    <row r="272" spans="1:27" x14ac:dyDescent="0.2">
      <c r="E272" t="s">
        <v>83</v>
      </c>
      <c r="G272">
        <v>0</v>
      </c>
      <c r="H272">
        <v>0</v>
      </c>
      <c r="I272">
        <f t="shared" si="88"/>
        <v>0</v>
      </c>
      <c r="L272">
        <f>$AH$24</f>
        <v>1.7</v>
      </c>
      <c r="M272" s="2">
        <v>0.53</v>
      </c>
      <c r="N272" s="2">
        <v>0.53</v>
      </c>
      <c r="O272">
        <f t="shared" si="79"/>
        <v>0.41995000000000005</v>
      </c>
      <c r="Q272">
        <f>$AH$79</f>
        <v>35</v>
      </c>
      <c r="R272">
        <f t="shared" si="86"/>
        <v>0.57146823458155449</v>
      </c>
      <c r="S272">
        <f t="shared" si="80"/>
        <v>0.99691128459176326</v>
      </c>
      <c r="T272">
        <f t="shared" si="87"/>
        <v>1</v>
      </c>
      <c r="U272">
        <f t="shared" si="81"/>
        <v>0.56970313184008459</v>
      </c>
      <c r="V272">
        <v>50</v>
      </c>
      <c r="W272">
        <f t="shared" si="82"/>
        <v>1.2290418878593591E-2</v>
      </c>
      <c r="Y272">
        <f t="shared" si="83"/>
        <v>91.25</v>
      </c>
      <c r="Z272">
        <f t="shared" si="84"/>
        <v>56.075036133583261</v>
      </c>
    </row>
    <row r="273" spans="1:26" x14ac:dyDescent="0.2">
      <c r="A273">
        <v>4</v>
      </c>
      <c r="D273" t="s">
        <v>75</v>
      </c>
      <c r="E273" t="s">
        <v>80</v>
      </c>
      <c r="G273">
        <v>95</v>
      </c>
      <c r="H273">
        <v>88</v>
      </c>
      <c r="I273">
        <f t="shared" si="88"/>
        <v>0.83599999999999997</v>
      </c>
      <c r="J273">
        <f>$AF$3</f>
        <v>1.3</v>
      </c>
      <c r="L273">
        <f>$AI$21</f>
        <v>1.5</v>
      </c>
      <c r="N273">
        <f>$AI$49</f>
        <v>0.51</v>
      </c>
      <c r="O273">
        <f t="shared" si="79"/>
        <v>0.40405000000000002</v>
      </c>
      <c r="Q273">
        <f>$AI$76</f>
        <v>40</v>
      </c>
      <c r="R273">
        <f t="shared" si="86"/>
        <v>0.62960048723980899</v>
      </c>
      <c r="S273">
        <f t="shared" si="80"/>
        <v>0.98889100346175773</v>
      </c>
      <c r="T273">
        <f t="shared" si="87"/>
        <v>1.2507999999999999</v>
      </c>
      <c r="U273">
        <f t="shared" si="81"/>
        <v>0.77875590701431807</v>
      </c>
      <c r="V273">
        <v>40</v>
      </c>
      <c r="W273">
        <f t="shared" si="82"/>
        <v>1.6220611051869182E-2</v>
      </c>
      <c r="Y273">
        <f t="shared" si="83"/>
        <v>91.25</v>
      </c>
      <c r="Z273">
        <f t="shared" si="84"/>
        <v>59.205230339322519</v>
      </c>
    </row>
    <row r="274" spans="1:26" x14ac:dyDescent="0.2">
      <c r="E274" t="s">
        <v>81</v>
      </c>
      <c r="G274">
        <v>0</v>
      </c>
      <c r="H274">
        <v>0</v>
      </c>
      <c r="I274">
        <v>0</v>
      </c>
      <c r="L274">
        <f>$AI$22</f>
        <v>2</v>
      </c>
      <c r="N274">
        <f>$AI$50</f>
        <v>0.55000000000000004</v>
      </c>
      <c r="O274">
        <f t="shared" si="79"/>
        <v>0.43585000000000007</v>
      </c>
      <c r="Q274">
        <f>$AI$77</f>
        <v>45</v>
      </c>
      <c r="R274">
        <f t="shared" si="86"/>
        <v>0.77226516609487061</v>
      </c>
      <c r="S274">
        <f t="shared" si="80"/>
        <v>0.99966453737209748</v>
      </c>
      <c r="T274">
        <f t="shared" si="87"/>
        <v>1</v>
      </c>
      <c r="U274">
        <f t="shared" si="81"/>
        <v>0.77200609999281489</v>
      </c>
      <c r="V274">
        <v>45</v>
      </c>
      <c r="W274">
        <f t="shared" si="82"/>
        <v>1.609371467986492E-2</v>
      </c>
      <c r="Y274">
        <f t="shared" si="83"/>
        <v>91.25</v>
      </c>
      <c r="Z274">
        <f t="shared" si="84"/>
        <v>66.084815904195324</v>
      </c>
    </row>
    <row r="275" spans="1:26" x14ac:dyDescent="0.2">
      <c r="E275" t="s">
        <v>82</v>
      </c>
      <c r="G275">
        <v>0</v>
      </c>
      <c r="H275">
        <v>0</v>
      </c>
      <c r="I275">
        <v>0</v>
      </c>
      <c r="L275">
        <f>$AI$23</f>
        <v>2.2000000000000002</v>
      </c>
      <c r="N275">
        <f>$AI$51</f>
        <v>0.59</v>
      </c>
      <c r="O275">
        <f t="shared" si="79"/>
        <v>0.46765000000000001</v>
      </c>
      <c r="Q275">
        <f>$AI$78</f>
        <v>45</v>
      </c>
      <c r="R275">
        <f t="shared" si="86"/>
        <v>0.8301124785833186</v>
      </c>
      <c r="S275">
        <f t="shared" si="80"/>
        <v>0.99993747849622516</v>
      </c>
      <c r="T275">
        <f t="shared" si="87"/>
        <v>1</v>
      </c>
      <c r="U275">
        <f t="shared" si="81"/>
        <v>0.83006057870285532</v>
      </c>
      <c r="V275">
        <v>40</v>
      </c>
      <c r="W275">
        <f t="shared" si="82"/>
        <v>1.7185138879613683E-2</v>
      </c>
      <c r="Y275">
        <f t="shared" si="83"/>
        <v>91.25</v>
      </c>
      <c r="Z275">
        <f t="shared" si="84"/>
        <v>62.725756910589936</v>
      </c>
    </row>
    <row r="276" spans="1:26" x14ac:dyDescent="0.2">
      <c r="E276" t="s">
        <v>83</v>
      </c>
      <c r="G276">
        <v>0</v>
      </c>
      <c r="H276">
        <v>0</v>
      </c>
      <c r="I276">
        <v>0</v>
      </c>
      <c r="L276">
        <f>$AI$24</f>
        <v>1.7</v>
      </c>
      <c r="N276">
        <f>$AI$52</f>
        <v>0.57999999999999996</v>
      </c>
      <c r="O276">
        <f t="shared" si="79"/>
        <v>0.4597</v>
      </c>
      <c r="Q276">
        <f>$AI$79</f>
        <v>42</v>
      </c>
      <c r="R276">
        <f t="shared" si="86"/>
        <v>0.7593235966549482</v>
      </c>
      <c r="S276">
        <f t="shared" si="80"/>
        <v>0.99691128459176326</v>
      </c>
      <c r="T276">
        <f t="shared" si="87"/>
        <v>1</v>
      </c>
      <c r="U276">
        <f t="shared" si="81"/>
        <v>0.75697826216212227</v>
      </c>
      <c r="V276">
        <v>35</v>
      </c>
      <c r="W276">
        <f t="shared" si="82"/>
        <v>1.5811191328647899E-2</v>
      </c>
      <c r="Y276">
        <f t="shared" si="83"/>
        <v>91.25</v>
      </c>
      <c r="Z276">
        <f t="shared" si="84"/>
        <v>50.496992305869227</v>
      </c>
    </row>
    <row r="277" spans="1:26" x14ac:dyDescent="0.2">
      <c r="A277">
        <v>5</v>
      </c>
      <c r="D277" t="s">
        <v>76</v>
      </c>
      <c r="E277" t="s">
        <v>80</v>
      </c>
      <c r="G277">
        <v>0</v>
      </c>
      <c r="H277">
        <v>0</v>
      </c>
      <c r="I277">
        <v>0</v>
      </c>
      <c r="L277">
        <f>$AJ$21</f>
        <v>1.5</v>
      </c>
      <c r="N277">
        <f>$AJ$49</f>
        <v>0.51</v>
      </c>
      <c r="O277">
        <f t="shared" si="79"/>
        <v>0.40405000000000002</v>
      </c>
      <c r="Q277">
        <f>$AJ$76</f>
        <v>45</v>
      </c>
      <c r="R277">
        <f t="shared" si="86"/>
        <v>0.71441785360642229</v>
      </c>
      <c r="S277">
        <f t="shared" si="80"/>
        <v>0.98889100346175773</v>
      </c>
      <c r="T277">
        <v>1</v>
      </c>
      <c r="U277">
        <f t="shared" si="81"/>
        <v>0.70648138814385009</v>
      </c>
      <c r="V277">
        <v>25</v>
      </c>
      <c r="W277">
        <f t="shared" si="82"/>
        <v>1.4861850097104381E-2</v>
      </c>
      <c r="Y277">
        <f t="shared" si="83"/>
        <v>91.25</v>
      </c>
      <c r="Z277">
        <f t="shared" si="84"/>
        <v>33.903595534019367</v>
      </c>
    </row>
    <row r="278" spans="1:26" x14ac:dyDescent="0.2">
      <c r="E278" t="s">
        <v>81</v>
      </c>
      <c r="G278">
        <v>0</v>
      </c>
      <c r="H278">
        <v>0</v>
      </c>
      <c r="I278">
        <v>0</v>
      </c>
      <c r="L278">
        <f>$AJ$22</f>
        <v>2</v>
      </c>
      <c r="N278">
        <f>$AJ$50</f>
        <v>0.55000000000000004</v>
      </c>
      <c r="O278">
        <f t="shared" si="79"/>
        <v>0.43585000000000007</v>
      </c>
      <c r="Q278">
        <f>$AJ$77</f>
        <v>50</v>
      </c>
      <c r="R278">
        <f t="shared" si="86"/>
        <v>0.8646283676396137</v>
      </c>
      <c r="S278">
        <f t="shared" si="80"/>
        <v>0.99966453737209748</v>
      </c>
      <c r="T278">
        <v>1</v>
      </c>
      <c r="U278">
        <f t="shared" si="81"/>
        <v>0.86433831713524623</v>
      </c>
      <c r="V278">
        <v>30</v>
      </c>
      <c r="W278">
        <f t="shared" si="82"/>
        <v>1.782956036214263E-2</v>
      </c>
      <c r="Y278">
        <f t="shared" si="83"/>
        <v>91.25</v>
      </c>
      <c r="Z278">
        <f t="shared" si="84"/>
        <v>48.808421491365451</v>
      </c>
    </row>
    <row r="279" spans="1:26" x14ac:dyDescent="0.2">
      <c r="E279" t="s">
        <v>82</v>
      </c>
      <c r="G279">
        <v>0</v>
      </c>
      <c r="H279">
        <v>0</v>
      </c>
      <c r="I279">
        <v>0</v>
      </c>
      <c r="L279">
        <f>$AJ$23</f>
        <v>2.2000000000000002</v>
      </c>
      <c r="N279">
        <f>$AJ$51</f>
        <v>0.59</v>
      </c>
      <c r="O279">
        <f t="shared" si="79"/>
        <v>0.46765000000000001</v>
      </c>
      <c r="Q279">
        <f>$AJ$78</f>
        <v>50</v>
      </c>
      <c r="R279">
        <f t="shared" si="86"/>
        <v>0.92723225551115063</v>
      </c>
      <c r="S279">
        <f t="shared" si="80"/>
        <v>0.99993747849622516</v>
      </c>
      <c r="T279">
        <v>1</v>
      </c>
      <c r="U279">
        <f t="shared" si="81"/>
        <v>0.92717428355618758</v>
      </c>
      <c r="V279">
        <v>25</v>
      </c>
      <c r="W279">
        <f t="shared" si="82"/>
        <v>1.9010876530856327E-2</v>
      </c>
      <c r="Y279">
        <f t="shared" si="83"/>
        <v>91.25</v>
      </c>
      <c r="Z279">
        <f t="shared" si="84"/>
        <v>43.368562086015991</v>
      </c>
    </row>
    <row r="280" spans="1:26" x14ac:dyDescent="0.2">
      <c r="E280" t="s">
        <v>83</v>
      </c>
      <c r="G280">
        <v>0</v>
      </c>
      <c r="H280">
        <v>0</v>
      </c>
      <c r="I280">
        <v>0</v>
      </c>
      <c r="L280">
        <f>$AJ$24</f>
        <v>1.7</v>
      </c>
      <c r="N280">
        <f>$AJ$52</f>
        <v>0.57999999999999996</v>
      </c>
      <c r="O280">
        <f t="shared" si="79"/>
        <v>0.4597</v>
      </c>
      <c r="Q280">
        <f>$AJ$79</f>
        <v>48</v>
      </c>
      <c r="R280">
        <f t="shared" si="86"/>
        <v>0.87289783757888828</v>
      </c>
      <c r="S280">
        <f t="shared" si="80"/>
        <v>0.99691128459176326</v>
      </c>
      <c r="T280">
        <v>1</v>
      </c>
      <c r="U280">
        <f t="shared" si="81"/>
        <v>0.87020170457814183</v>
      </c>
      <c r="V280">
        <v>20</v>
      </c>
      <c r="W280">
        <f t="shared" si="82"/>
        <v>1.7939792046069068E-2</v>
      </c>
      <c r="Y280">
        <f t="shared" si="83"/>
        <v>91.25</v>
      </c>
      <c r="Z280">
        <f t="shared" si="84"/>
        <v>32.740120484076051</v>
      </c>
    </row>
    <row r="281" spans="1:26" x14ac:dyDescent="0.2">
      <c r="A281">
        <v>6</v>
      </c>
      <c r="D281" t="s">
        <v>77</v>
      </c>
      <c r="E281" t="s">
        <v>80</v>
      </c>
      <c r="G281">
        <v>0</v>
      </c>
      <c r="H281">
        <v>0</v>
      </c>
      <c r="I281">
        <v>0</v>
      </c>
      <c r="L281">
        <f>$AK$21</f>
        <v>1.5</v>
      </c>
      <c r="N281">
        <f>$AK$49</f>
        <v>0.51</v>
      </c>
      <c r="O281">
        <f t="shared" si="79"/>
        <v>0.40405000000000002</v>
      </c>
      <c r="Q281">
        <f>$AK$76</f>
        <v>20</v>
      </c>
      <c r="R281">
        <f t="shared" si="86"/>
        <v>0.31629415472458533</v>
      </c>
      <c r="S281">
        <f t="shared" si="80"/>
        <v>0.98889100346175773</v>
      </c>
      <c r="T281">
        <v>1</v>
      </c>
      <c r="U281">
        <f t="shared" si="81"/>
        <v>0.31278044405468364</v>
      </c>
      <c r="V281">
        <v>15</v>
      </c>
      <c r="W281">
        <f t="shared" si="82"/>
        <v>7.4602723482280527E-3</v>
      </c>
      <c r="Y281">
        <f t="shared" si="83"/>
        <v>91.25</v>
      </c>
      <c r="Z281">
        <f t="shared" si="84"/>
        <v>10.211247776637148</v>
      </c>
    </row>
    <row r="282" spans="1:26" x14ac:dyDescent="0.2">
      <c r="E282" t="s">
        <v>81</v>
      </c>
      <c r="G282">
        <v>0</v>
      </c>
      <c r="H282">
        <v>0</v>
      </c>
      <c r="I282">
        <v>0</v>
      </c>
      <c r="L282">
        <f>$AK$22</f>
        <v>2</v>
      </c>
      <c r="N282">
        <f>$AK$50</f>
        <v>0.55000000000000004</v>
      </c>
      <c r="O282">
        <f t="shared" si="79"/>
        <v>0.43585000000000007</v>
      </c>
      <c r="Q282">
        <f>$AK$77</f>
        <v>25</v>
      </c>
      <c r="R282">
        <f t="shared" si="86"/>
        <v>0.42830199467855401</v>
      </c>
      <c r="S282">
        <f t="shared" si="80"/>
        <v>0.99966453737209748</v>
      </c>
      <c r="T282">
        <v>1</v>
      </c>
      <c r="U282">
        <f t="shared" si="81"/>
        <v>0.42815831536588328</v>
      </c>
      <c r="V282">
        <v>45</v>
      </c>
      <c r="W282">
        <f t="shared" si="82"/>
        <v>9.6293763288786052E-3</v>
      </c>
      <c r="Y282">
        <f t="shared" si="83"/>
        <v>91.25</v>
      </c>
      <c r="Z282">
        <f t="shared" si="84"/>
        <v>39.540626550457773</v>
      </c>
    </row>
    <row r="283" spans="1:26" x14ac:dyDescent="0.2">
      <c r="E283" t="s">
        <v>82</v>
      </c>
      <c r="G283">
        <v>0</v>
      </c>
      <c r="H283">
        <v>0</v>
      </c>
      <c r="I283">
        <v>0</v>
      </c>
      <c r="L283">
        <f>$AK$23</f>
        <v>2.2000000000000002</v>
      </c>
      <c r="N283">
        <f>$AK$51</f>
        <v>0.59</v>
      </c>
      <c r="O283">
        <f t="shared" si="79"/>
        <v>0.46765000000000001</v>
      </c>
      <c r="Q283">
        <f>$AK$78</f>
        <v>20</v>
      </c>
      <c r="R283">
        <f t="shared" si="86"/>
        <v>0.37927033187481962</v>
      </c>
      <c r="S283">
        <f t="shared" si="80"/>
        <v>0.99993747849622516</v>
      </c>
      <c r="T283">
        <v>1</v>
      </c>
      <c r="U283">
        <f t="shared" si="81"/>
        <v>0.37924661932333364</v>
      </c>
      <c r="V283">
        <v>40</v>
      </c>
      <c r="W283">
        <f t="shared" si="82"/>
        <v>8.7098364432786728E-3</v>
      </c>
      <c r="Y283">
        <f t="shared" si="83"/>
        <v>91.25</v>
      </c>
      <c r="Z283">
        <f t="shared" si="84"/>
        <v>31.790903017967157</v>
      </c>
    </row>
    <row r="284" spans="1:26" x14ac:dyDescent="0.2">
      <c r="E284" t="s">
        <v>83</v>
      </c>
      <c r="G284">
        <v>0</v>
      </c>
      <c r="H284">
        <v>0</v>
      </c>
      <c r="I284">
        <v>0</v>
      </c>
      <c r="L284">
        <f>$AK$24</f>
        <v>1.7</v>
      </c>
      <c r="N284">
        <f>$AK$52</f>
        <v>0.57999999999999996</v>
      </c>
      <c r="O284">
        <f t="shared" si="79"/>
        <v>0.4597</v>
      </c>
      <c r="Q284">
        <f>$AK$79</f>
        <v>25</v>
      </c>
      <c r="R284">
        <f t="shared" si="86"/>
        <v>0.45622036550992806</v>
      </c>
      <c r="S284">
        <f t="shared" si="80"/>
        <v>0.99691128459176326</v>
      </c>
      <c r="T284">
        <v>1</v>
      </c>
      <c r="U284">
        <f t="shared" si="81"/>
        <v>0.45481123063742612</v>
      </c>
      <c r="V284">
        <v>30</v>
      </c>
      <c r="W284">
        <f t="shared" si="82"/>
        <v>1.0130451135983612E-2</v>
      </c>
      <c r="Y284">
        <f t="shared" si="83"/>
        <v>91.25</v>
      </c>
      <c r="Z284">
        <f t="shared" si="84"/>
        <v>27.732109984755141</v>
      </c>
    </row>
    <row r="291" spans="1:27" x14ac:dyDescent="0.2">
      <c r="A291" t="s">
        <v>101</v>
      </c>
      <c r="B291" t="s">
        <v>100</v>
      </c>
      <c r="C291" t="s">
        <v>100</v>
      </c>
      <c r="D291" t="s">
        <v>72</v>
      </c>
      <c r="E291" t="s">
        <v>80</v>
      </c>
      <c r="G291">
        <v>0</v>
      </c>
      <c r="H291">
        <v>0</v>
      </c>
      <c r="I291">
        <v>0</v>
      </c>
      <c r="L291">
        <f>$AF$25</f>
        <v>4</v>
      </c>
      <c r="N291">
        <f>$AF$53</f>
        <v>0.7</v>
      </c>
      <c r="O291">
        <f>(0.795 * N291) - 0.0014</f>
        <v>0.55510000000000004</v>
      </c>
      <c r="P291" s="2">
        <v>79</v>
      </c>
      <c r="Q291" s="2">
        <v>79</v>
      </c>
      <c r="R291">
        <f>(104.7 * O291 + 0.307 * Q291- 15) * POWER(Q291, 0.75) * 10^-3</f>
        <v>1.7852521511708519</v>
      </c>
      <c r="S291">
        <f>1-EXP(-2*POWER(L291,2))</f>
        <v>0.99999999999998734</v>
      </c>
      <c r="T291">
        <v>1</v>
      </c>
      <c r="U291">
        <f>R291 * S291 * T291</f>
        <v>1.7852521511708292</v>
      </c>
      <c r="V291">
        <v>25</v>
      </c>
      <c r="W291">
        <f>(U291 * 0.0188) + 0.00158</f>
        <v>3.5142740442011593E-2</v>
      </c>
      <c r="Y291">
        <f>$AF$4</f>
        <v>91.25</v>
      </c>
      <c r="Z291">
        <f>V291*W291*Y291</f>
        <v>80.169376633338942</v>
      </c>
      <c r="AA291">
        <f>SUM(Z291:Z314)*10^-3</f>
        <v>2.1235281477198638</v>
      </c>
    </row>
    <row r="292" spans="1:27" x14ac:dyDescent="0.2">
      <c r="E292" t="s">
        <v>81</v>
      </c>
      <c r="G292">
        <v>0</v>
      </c>
      <c r="H292">
        <v>0</v>
      </c>
      <c r="I292">
        <v>0</v>
      </c>
      <c r="L292">
        <f>$AF$26</f>
        <v>2.5</v>
      </c>
      <c r="N292">
        <f>$AF$54</f>
        <v>0.55000000000000004</v>
      </c>
      <c r="O292">
        <f t="shared" ref="O292:O314" si="89">(0.795 * N292) - 0.0014</f>
        <v>0.43585000000000007</v>
      </c>
      <c r="P292" s="2">
        <v>78</v>
      </c>
      <c r="Q292" s="2">
        <v>78</v>
      </c>
      <c r="R292">
        <f>(104.7 * O292 + 0.307 * Q292- 15) * POWER(Q292, 0.75) * 10^-3</f>
        <v>1.4325192446096717</v>
      </c>
      <c r="S292">
        <f t="shared" ref="S292:S314" si="90">1-EXP(-2*POWER(L292,2))</f>
        <v>0.99999627334682795</v>
      </c>
      <c r="T292">
        <v>1</v>
      </c>
      <c r="U292">
        <f t="shared" ref="U292:U314" si="91">R292 * S292 * T292</f>
        <v>1.4325139061072847</v>
      </c>
      <c r="V292">
        <v>20</v>
      </c>
      <c r="W292">
        <f t="shared" ref="W292:W314" si="92">(U292 * 0.0188) + 0.00158</f>
        <v>2.8511261434816956E-2</v>
      </c>
      <c r="Y292">
        <f t="shared" ref="Y292:Y314" si="93">$AF$4</f>
        <v>91.25</v>
      </c>
      <c r="Z292">
        <f t="shared" ref="Z292:Z314" si="94">V292*W292*Y292</f>
        <v>52.033052118540951</v>
      </c>
    </row>
    <row r="293" spans="1:27" x14ac:dyDescent="0.2">
      <c r="E293" t="s">
        <v>82</v>
      </c>
      <c r="G293">
        <v>0</v>
      </c>
      <c r="H293">
        <v>0</v>
      </c>
      <c r="I293">
        <v>0</v>
      </c>
      <c r="L293">
        <f>$AF$27</f>
        <v>0.7</v>
      </c>
      <c r="N293">
        <f>$AF$55</f>
        <v>0.55000000000000004</v>
      </c>
      <c r="O293">
        <f t="shared" si="89"/>
        <v>0.43585000000000007</v>
      </c>
      <c r="P293" s="2">
        <v>77</v>
      </c>
      <c r="Q293" s="2">
        <v>77</v>
      </c>
      <c r="R293">
        <f t="shared" ref="R293:R298" si="95">(104.7 * O293 + 0.307 * Q293- 15) * POWER(Q293, 0.75) * 10^-3</f>
        <v>1.4107427634270284</v>
      </c>
      <c r="S293">
        <f t="shared" si="90"/>
        <v>0.62468890114860043</v>
      </c>
      <c r="T293">
        <v>1</v>
      </c>
      <c r="U293">
        <f t="shared" si="91"/>
        <v>0.88127534668857033</v>
      </c>
      <c r="V293">
        <v>19</v>
      </c>
      <c r="W293">
        <f t="shared" si="92"/>
        <v>1.8147976517745124E-2</v>
      </c>
      <c r="Y293">
        <f t="shared" si="93"/>
        <v>91.25</v>
      </c>
      <c r="Z293">
        <f t="shared" si="94"/>
        <v>31.464054287640607</v>
      </c>
    </row>
    <row r="294" spans="1:27" x14ac:dyDescent="0.2">
      <c r="E294" t="s">
        <v>83</v>
      </c>
      <c r="G294">
        <v>0</v>
      </c>
      <c r="H294">
        <v>0</v>
      </c>
      <c r="I294">
        <v>0</v>
      </c>
      <c r="L294">
        <f>$AF$28</f>
        <v>0.9</v>
      </c>
      <c r="N294">
        <f>$AF$56</f>
        <v>0.75</v>
      </c>
      <c r="O294">
        <f t="shared" si="89"/>
        <v>0.5948500000000001</v>
      </c>
      <c r="P294" s="2">
        <v>76</v>
      </c>
      <c r="Q294" s="2">
        <v>76</v>
      </c>
      <c r="R294">
        <f t="shared" si="95"/>
        <v>1.8175802556295724</v>
      </c>
      <c r="S294">
        <f t="shared" si="90"/>
        <v>0.80210130091638532</v>
      </c>
      <c r="T294">
        <v>1</v>
      </c>
      <c r="U294">
        <f t="shared" si="91"/>
        <v>1.4578834875604161</v>
      </c>
      <c r="V294">
        <v>25</v>
      </c>
      <c r="W294">
        <f t="shared" si="92"/>
        <v>2.8988209566135827E-2</v>
      </c>
      <c r="Y294">
        <f t="shared" si="93"/>
        <v>91.25</v>
      </c>
      <c r="Z294">
        <f t="shared" si="94"/>
        <v>66.12935307274735</v>
      </c>
    </row>
    <row r="295" spans="1:27" x14ac:dyDescent="0.2">
      <c r="A295">
        <v>2</v>
      </c>
      <c r="D295" t="s">
        <v>73</v>
      </c>
      <c r="E295" t="s">
        <v>80</v>
      </c>
      <c r="G295">
        <v>0</v>
      </c>
      <c r="H295">
        <v>0</v>
      </c>
      <c r="I295">
        <v>0</v>
      </c>
      <c r="L295">
        <f>$AG$25</f>
        <v>4</v>
      </c>
      <c r="N295">
        <f>$AG$53</f>
        <v>0.7</v>
      </c>
      <c r="O295">
        <f t="shared" si="89"/>
        <v>0.55510000000000004</v>
      </c>
      <c r="P295" s="2">
        <v>75</v>
      </c>
      <c r="Q295" s="2">
        <v>75</v>
      </c>
      <c r="R295">
        <f t="shared" si="95"/>
        <v>1.6857229733976102</v>
      </c>
      <c r="S295">
        <f t="shared" si="90"/>
        <v>0.99999999999998734</v>
      </c>
      <c r="T295">
        <v>1</v>
      </c>
      <c r="U295">
        <f t="shared" si="91"/>
        <v>1.6857229733975889</v>
      </c>
      <c r="V295">
        <v>50</v>
      </c>
      <c r="W295">
        <f t="shared" si="92"/>
        <v>3.3271591899874671E-2</v>
      </c>
      <c r="Y295">
        <f t="shared" si="93"/>
        <v>91.25</v>
      </c>
      <c r="Z295">
        <f t="shared" si="94"/>
        <v>151.80163804317817</v>
      </c>
    </row>
    <row r="296" spans="1:27" x14ac:dyDescent="0.2">
      <c r="E296" t="s">
        <v>81</v>
      </c>
      <c r="G296">
        <v>0</v>
      </c>
      <c r="H296">
        <v>0</v>
      </c>
      <c r="I296">
        <v>0</v>
      </c>
      <c r="L296">
        <f>$AG$26</f>
        <v>2.5</v>
      </c>
      <c r="N296">
        <f>$AG$54</f>
        <v>0.55000000000000004</v>
      </c>
      <c r="O296">
        <f t="shared" si="89"/>
        <v>0.43585000000000007</v>
      </c>
      <c r="P296" s="2">
        <v>74</v>
      </c>
      <c r="Q296" s="2">
        <v>74</v>
      </c>
      <c r="R296">
        <f t="shared" si="95"/>
        <v>1.3460784869379241</v>
      </c>
      <c r="S296">
        <f t="shared" si="90"/>
        <v>0.99999627334682795</v>
      </c>
      <c r="T296">
        <v>1</v>
      </c>
      <c r="U296">
        <f t="shared" si="91"/>
        <v>1.3460734705702608</v>
      </c>
      <c r="V296">
        <v>60</v>
      </c>
      <c r="W296">
        <f t="shared" si="92"/>
        <v>2.6886181246720906E-2</v>
      </c>
      <c r="Y296">
        <f t="shared" si="93"/>
        <v>91.25</v>
      </c>
      <c r="Z296">
        <f t="shared" si="94"/>
        <v>147.20184232579695</v>
      </c>
    </row>
    <row r="297" spans="1:27" x14ac:dyDescent="0.2">
      <c r="E297" t="s">
        <v>82</v>
      </c>
      <c r="G297">
        <v>0</v>
      </c>
      <c r="H297">
        <v>0</v>
      </c>
      <c r="I297">
        <v>0</v>
      </c>
      <c r="L297">
        <f>$AG$27</f>
        <v>0.7</v>
      </c>
      <c r="N297">
        <f>$AG$55</f>
        <v>0.55000000000000004</v>
      </c>
      <c r="O297">
        <f t="shared" si="89"/>
        <v>0.43585000000000007</v>
      </c>
      <c r="P297" s="2">
        <v>73</v>
      </c>
      <c r="Q297" s="2">
        <v>73</v>
      </c>
      <c r="R297">
        <f t="shared" si="95"/>
        <v>1.3247455344549881</v>
      </c>
      <c r="S297">
        <f t="shared" si="90"/>
        <v>0.62468890114860043</v>
      </c>
      <c r="T297">
        <v>1</v>
      </c>
      <c r="U297">
        <f t="shared" si="91"/>
        <v>0.82755383222020196</v>
      </c>
      <c r="V297">
        <v>55</v>
      </c>
      <c r="W297">
        <f t="shared" si="92"/>
        <v>1.7138012045739798E-2</v>
      </c>
      <c r="Y297">
        <f t="shared" si="93"/>
        <v>91.25</v>
      </c>
      <c r="Z297">
        <f t="shared" si="94"/>
        <v>86.011397954556614</v>
      </c>
    </row>
    <row r="298" spans="1:27" x14ac:dyDescent="0.2">
      <c r="E298" t="s">
        <v>83</v>
      </c>
      <c r="G298">
        <v>0</v>
      </c>
      <c r="H298">
        <v>0</v>
      </c>
      <c r="I298">
        <v>0</v>
      </c>
      <c r="L298">
        <f>$AG$28</f>
        <v>0.9</v>
      </c>
      <c r="N298">
        <f>$AG$56</f>
        <v>0.75</v>
      </c>
      <c r="O298">
        <f t="shared" si="89"/>
        <v>0.5948500000000001</v>
      </c>
      <c r="P298" s="2">
        <v>72</v>
      </c>
      <c r="Q298" s="2">
        <v>72</v>
      </c>
      <c r="R298">
        <f t="shared" si="95"/>
        <v>1.71499825233277</v>
      </c>
      <c r="S298">
        <f t="shared" si="90"/>
        <v>0.80210130091638532</v>
      </c>
      <c r="T298">
        <v>1</v>
      </c>
      <c r="U298">
        <f t="shared" si="91"/>
        <v>1.375602329265442</v>
      </c>
      <c r="V298">
        <v>55</v>
      </c>
      <c r="W298">
        <f t="shared" si="92"/>
        <v>2.7441323790190313E-2</v>
      </c>
      <c r="Y298">
        <f t="shared" si="93"/>
        <v>91.25</v>
      </c>
      <c r="Z298">
        <f t="shared" si="94"/>
        <v>137.72114377201763</v>
      </c>
    </row>
    <row r="299" spans="1:27" x14ac:dyDescent="0.2">
      <c r="A299">
        <v>3</v>
      </c>
      <c r="D299" t="s">
        <v>74</v>
      </c>
      <c r="E299" t="s">
        <v>80</v>
      </c>
      <c r="G299">
        <v>92</v>
      </c>
      <c r="H299">
        <v>87</v>
      </c>
      <c r="I299">
        <f>(G299/100*MIN(H299,100)/100)</f>
        <v>0.80040000000000011</v>
      </c>
      <c r="J299">
        <f>$AF$3</f>
        <v>1.3</v>
      </c>
      <c r="L299">
        <f>$AH$25</f>
        <v>4</v>
      </c>
      <c r="N299">
        <f>$AH$53</f>
        <v>0.7</v>
      </c>
      <c r="O299">
        <f t="shared" si="89"/>
        <v>0.55510000000000004</v>
      </c>
      <c r="P299" s="2">
        <v>71</v>
      </c>
      <c r="Q299" s="2">
        <v>71</v>
      </c>
      <c r="R299">
        <f>(104.7 * O299 + 0.307 * Q299- 15) * POWER(Q299, 0.75) * 10^-3</f>
        <v>1.5877982261232466</v>
      </c>
      <c r="S299">
        <f t="shared" si="90"/>
        <v>0.99999999999998734</v>
      </c>
      <c r="T299">
        <f>(I299 * J299) + (1 - I299)</f>
        <v>1.2401200000000001</v>
      </c>
      <c r="U299">
        <f t="shared" si="91"/>
        <v>1.9690603361799357</v>
      </c>
      <c r="V299">
        <v>60</v>
      </c>
      <c r="W299">
        <f t="shared" si="92"/>
        <v>3.8598334320182788E-2</v>
      </c>
      <c r="Y299">
        <f t="shared" si="93"/>
        <v>91.25</v>
      </c>
      <c r="Z299">
        <f t="shared" si="94"/>
        <v>211.32588040300078</v>
      </c>
    </row>
    <row r="300" spans="1:27" x14ac:dyDescent="0.2">
      <c r="E300" t="s">
        <v>81</v>
      </c>
      <c r="G300">
        <v>0</v>
      </c>
      <c r="H300">
        <v>0</v>
      </c>
      <c r="I300">
        <f>(G300/100*MIN(H300,100)/100)</f>
        <v>0</v>
      </c>
      <c r="L300">
        <f>$AH$26</f>
        <v>2.5</v>
      </c>
      <c r="N300">
        <f>$AH$54</f>
        <v>0.55000000000000004</v>
      </c>
      <c r="O300">
        <f t="shared" si="89"/>
        <v>0.43585000000000007</v>
      </c>
      <c r="P300" s="2">
        <v>70</v>
      </c>
      <c r="Q300" s="2">
        <v>70</v>
      </c>
      <c r="R300">
        <f t="shared" ref="R300:R314" si="96">(104.7 * O300 + 0.307 * Q300- 15) * POWER(Q300, 0.75) * 10^-3</f>
        <v>1.2614122912776211</v>
      </c>
      <c r="S300">
        <f t="shared" si="90"/>
        <v>0.99999627334682795</v>
      </c>
      <c r="T300">
        <f t="shared" ref="T300:T306" si="97">(I300 * J300) + (1 - I300)</f>
        <v>1</v>
      </c>
      <c r="U300">
        <f t="shared" si="91"/>
        <v>1.2614075904315045</v>
      </c>
      <c r="V300">
        <v>70</v>
      </c>
      <c r="W300">
        <f t="shared" si="92"/>
        <v>2.5294462700112288E-2</v>
      </c>
      <c r="Y300">
        <f t="shared" si="93"/>
        <v>91.25</v>
      </c>
      <c r="Z300">
        <f t="shared" si="94"/>
        <v>161.56838049696725</v>
      </c>
    </row>
    <row r="301" spans="1:27" x14ac:dyDescent="0.2">
      <c r="E301" t="s">
        <v>82</v>
      </c>
      <c r="G301">
        <v>0</v>
      </c>
      <c r="H301">
        <v>0</v>
      </c>
      <c r="I301">
        <f t="shared" ref="I301:I303" si="98">(G301/100*MIN(H301,100)/100)</f>
        <v>0</v>
      </c>
      <c r="L301">
        <f>$AH$27</f>
        <v>0.7</v>
      </c>
      <c r="N301">
        <f>$AH$55</f>
        <v>0.55000000000000004</v>
      </c>
      <c r="O301">
        <f t="shared" si="89"/>
        <v>0.43585000000000007</v>
      </c>
      <c r="P301" s="2">
        <v>69</v>
      </c>
      <c r="Q301" s="2">
        <v>69</v>
      </c>
      <c r="R301">
        <f t="shared" si="96"/>
        <v>1.2405230861491703</v>
      </c>
      <c r="S301">
        <f t="shared" si="90"/>
        <v>0.62468890114860043</v>
      </c>
      <c r="T301">
        <f t="shared" si="97"/>
        <v>1</v>
      </c>
      <c r="U301">
        <f t="shared" si="91"/>
        <v>0.77494100353599582</v>
      </c>
      <c r="V301">
        <v>60</v>
      </c>
      <c r="W301">
        <f t="shared" si="92"/>
        <v>1.6148890866476723E-2</v>
      </c>
      <c r="Y301">
        <f t="shared" si="93"/>
        <v>91.25</v>
      </c>
      <c r="Z301">
        <f t="shared" si="94"/>
        <v>88.415177493960059</v>
      </c>
    </row>
    <row r="302" spans="1:27" x14ac:dyDescent="0.2">
      <c r="E302" t="s">
        <v>83</v>
      </c>
      <c r="G302">
        <v>0</v>
      </c>
      <c r="H302">
        <v>0</v>
      </c>
      <c r="I302">
        <f t="shared" si="98"/>
        <v>0</v>
      </c>
      <c r="L302">
        <f>$AH$28</f>
        <v>0.9</v>
      </c>
      <c r="N302">
        <f>$AH$56</f>
        <v>0.75</v>
      </c>
      <c r="O302">
        <f t="shared" si="89"/>
        <v>0.5948500000000001</v>
      </c>
      <c r="P302" s="2">
        <v>68</v>
      </c>
      <c r="Q302" s="2">
        <v>68</v>
      </c>
      <c r="R302">
        <f t="shared" si="96"/>
        <v>1.6139528553516362</v>
      </c>
      <c r="S302">
        <f t="shared" si="90"/>
        <v>0.80210130091638532</v>
      </c>
      <c r="T302">
        <f t="shared" si="97"/>
        <v>1</v>
      </c>
      <c r="U302">
        <f t="shared" si="91"/>
        <v>1.2945536848952621</v>
      </c>
      <c r="V302">
        <v>50</v>
      </c>
      <c r="W302">
        <f t="shared" si="92"/>
        <v>2.5917609276030932E-2</v>
      </c>
      <c r="Y302">
        <f t="shared" si="93"/>
        <v>91.25</v>
      </c>
      <c r="Z302">
        <f t="shared" si="94"/>
        <v>118.24909232189113</v>
      </c>
    </row>
    <row r="303" spans="1:27" x14ac:dyDescent="0.2">
      <c r="A303">
        <v>4</v>
      </c>
      <c r="D303" t="s">
        <v>75</v>
      </c>
      <c r="E303" t="s">
        <v>80</v>
      </c>
      <c r="G303">
        <v>95</v>
      </c>
      <c r="H303">
        <v>88</v>
      </c>
      <c r="I303">
        <f t="shared" si="98"/>
        <v>0.83599999999999997</v>
      </c>
      <c r="J303">
        <f>$AF$3</f>
        <v>1.3</v>
      </c>
      <c r="L303">
        <f>$AI$25</f>
        <v>4</v>
      </c>
      <c r="N303">
        <f>$AI$53</f>
        <v>0.7</v>
      </c>
      <c r="O303">
        <f t="shared" si="89"/>
        <v>0.55510000000000004</v>
      </c>
      <c r="P303" s="2">
        <v>67</v>
      </c>
      <c r="Q303" s="2">
        <v>67</v>
      </c>
      <c r="R303">
        <f t="shared" si="96"/>
        <v>1.4914665181818776</v>
      </c>
      <c r="S303">
        <f t="shared" si="90"/>
        <v>0.99999999999998734</v>
      </c>
      <c r="T303">
        <f t="shared" si="97"/>
        <v>1.2507999999999999</v>
      </c>
      <c r="U303">
        <f t="shared" si="91"/>
        <v>1.8655263209418687</v>
      </c>
      <c r="V303">
        <v>40</v>
      </c>
      <c r="W303">
        <f t="shared" si="92"/>
        <v>3.6651894833707128E-2</v>
      </c>
      <c r="Y303">
        <f t="shared" si="93"/>
        <v>91.25</v>
      </c>
      <c r="Z303">
        <f t="shared" si="94"/>
        <v>133.779416143031</v>
      </c>
    </row>
    <row r="304" spans="1:27" x14ac:dyDescent="0.2">
      <c r="E304" t="s">
        <v>81</v>
      </c>
      <c r="G304">
        <v>0</v>
      </c>
      <c r="H304">
        <v>0</v>
      </c>
      <c r="I304">
        <v>0</v>
      </c>
      <c r="L304">
        <f>$AI$26</f>
        <v>2.5</v>
      </c>
      <c r="N304">
        <f>$AI$54</f>
        <v>0.55000000000000004</v>
      </c>
      <c r="O304">
        <f t="shared" si="89"/>
        <v>0.43585000000000007</v>
      </c>
      <c r="P304" s="2">
        <v>66</v>
      </c>
      <c r="Q304" s="2">
        <v>66</v>
      </c>
      <c r="R304">
        <f t="shared" si="96"/>
        <v>1.1785209149153895</v>
      </c>
      <c r="S304">
        <f t="shared" si="90"/>
        <v>0.99999627334682795</v>
      </c>
      <c r="T304">
        <f t="shared" si="97"/>
        <v>1</v>
      </c>
      <c r="U304">
        <f t="shared" si="91"/>
        <v>1.1785165229766836</v>
      </c>
      <c r="V304">
        <v>45</v>
      </c>
      <c r="W304">
        <f t="shared" si="92"/>
        <v>2.3736110631961654E-2</v>
      </c>
      <c r="Y304">
        <f t="shared" si="93"/>
        <v>91.25</v>
      </c>
      <c r="Z304">
        <f t="shared" si="94"/>
        <v>97.466404282492547</v>
      </c>
    </row>
    <row r="305" spans="1:26" x14ac:dyDescent="0.2">
      <c r="E305" t="s">
        <v>82</v>
      </c>
      <c r="G305">
        <v>0</v>
      </c>
      <c r="H305">
        <v>0</v>
      </c>
      <c r="I305">
        <v>0</v>
      </c>
      <c r="L305">
        <f>$AI$27</f>
        <v>0.7</v>
      </c>
      <c r="N305">
        <f>$AI$55</f>
        <v>0.55000000000000004</v>
      </c>
      <c r="O305">
        <f t="shared" si="89"/>
        <v>0.43585000000000007</v>
      </c>
      <c r="P305" s="2">
        <v>65</v>
      </c>
      <c r="Q305" s="2">
        <v>65</v>
      </c>
      <c r="R305">
        <f t="shared" si="96"/>
        <v>1.1580752413958724</v>
      </c>
      <c r="S305">
        <f t="shared" si="90"/>
        <v>0.62468890114860043</v>
      </c>
      <c r="T305">
        <f t="shared" si="97"/>
        <v>1</v>
      </c>
      <c r="U305">
        <f t="shared" si="91"/>
        <v>0.72343674999498764</v>
      </c>
      <c r="V305">
        <v>40</v>
      </c>
      <c r="W305">
        <f t="shared" si="92"/>
        <v>1.5180610899905769E-2</v>
      </c>
      <c r="Y305">
        <f t="shared" si="93"/>
        <v>91.25</v>
      </c>
      <c r="Z305">
        <f t="shared" si="94"/>
        <v>55.409229784656056</v>
      </c>
    </row>
    <row r="306" spans="1:26" x14ac:dyDescent="0.2">
      <c r="E306" t="s">
        <v>83</v>
      </c>
      <c r="G306">
        <v>0</v>
      </c>
      <c r="H306">
        <v>0</v>
      </c>
      <c r="I306">
        <v>0</v>
      </c>
      <c r="L306">
        <f>$AI$28</f>
        <v>0.9</v>
      </c>
      <c r="N306">
        <f>$AI$56</f>
        <v>0.75</v>
      </c>
      <c r="O306">
        <f t="shared" si="89"/>
        <v>0.5948500000000001</v>
      </c>
      <c r="P306" s="2">
        <v>64</v>
      </c>
      <c r="Q306" s="2">
        <v>64</v>
      </c>
      <c r="R306">
        <f t="shared" si="96"/>
        <v>1.5144257536366168</v>
      </c>
      <c r="S306">
        <f t="shared" si="90"/>
        <v>0.80210130091638532</v>
      </c>
      <c r="T306">
        <f t="shared" si="97"/>
        <v>1</v>
      </c>
      <c r="U306">
        <f t="shared" si="91"/>
        <v>1.2147228671332075</v>
      </c>
      <c r="V306">
        <v>35</v>
      </c>
      <c r="W306">
        <f t="shared" si="92"/>
        <v>2.4416789902104306E-2</v>
      </c>
      <c r="Y306">
        <f t="shared" si="93"/>
        <v>91.25</v>
      </c>
      <c r="Z306">
        <f t="shared" si="94"/>
        <v>77.981122749845625</v>
      </c>
    </row>
    <row r="307" spans="1:26" x14ac:dyDescent="0.2">
      <c r="A307">
        <v>5</v>
      </c>
      <c r="D307" t="s">
        <v>76</v>
      </c>
      <c r="E307" t="s">
        <v>80</v>
      </c>
      <c r="G307">
        <v>0</v>
      </c>
      <c r="H307">
        <v>0</v>
      </c>
      <c r="I307">
        <v>0</v>
      </c>
      <c r="L307">
        <f>$AJ$25</f>
        <v>4</v>
      </c>
      <c r="N307">
        <f>$AJ$53</f>
        <v>0.7</v>
      </c>
      <c r="O307">
        <f t="shared" si="89"/>
        <v>0.55510000000000004</v>
      </c>
      <c r="P307" s="2">
        <v>63</v>
      </c>
      <c r="Q307" s="2">
        <v>63</v>
      </c>
      <c r="R307">
        <f t="shared" si="96"/>
        <v>1.3967130257259237</v>
      </c>
      <c r="S307">
        <f t="shared" si="90"/>
        <v>0.99999999999998734</v>
      </c>
      <c r="T307">
        <v>1</v>
      </c>
      <c r="U307">
        <f t="shared" si="91"/>
        <v>1.3967130257259059</v>
      </c>
      <c r="V307">
        <v>25</v>
      </c>
      <c r="W307">
        <f t="shared" si="92"/>
        <v>2.7838204883647036E-2</v>
      </c>
      <c r="Y307">
        <f t="shared" si="93"/>
        <v>91.25</v>
      </c>
      <c r="Z307">
        <f t="shared" si="94"/>
        <v>63.505904890819806</v>
      </c>
    </row>
    <row r="308" spans="1:26" x14ac:dyDescent="0.2">
      <c r="E308" t="s">
        <v>81</v>
      </c>
      <c r="G308">
        <v>0</v>
      </c>
      <c r="H308">
        <v>0</v>
      </c>
      <c r="I308">
        <v>0</v>
      </c>
      <c r="L308">
        <f>$AJ$26</f>
        <v>2.5</v>
      </c>
      <c r="N308">
        <f>$AJ$54</f>
        <v>0.55000000000000004</v>
      </c>
      <c r="O308">
        <f t="shared" si="89"/>
        <v>0.43585000000000007</v>
      </c>
      <c r="P308" s="2">
        <v>62</v>
      </c>
      <c r="Q308" s="2">
        <v>62</v>
      </c>
      <c r="R308">
        <f t="shared" si="96"/>
        <v>1.0974026986740544</v>
      </c>
      <c r="S308">
        <f t="shared" si="90"/>
        <v>0.99999627334682795</v>
      </c>
      <c r="T308">
        <v>1</v>
      </c>
      <c r="U308">
        <f t="shared" si="91"/>
        <v>1.0973986090348062</v>
      </c>
      <c r="V308">
        <v>30</v>
      </c>
      <c r="W308">
        <f t="shared" si="92"/>
        <v>2.2211093849854358E-2</v>
      </c>
      <c r="Y308">
        <f t="shared" si="93"/>
        <v>91.25</v>
      </c>
      <c r="Z308">
        <f t="shared" si="94"/>
        <v>60.802869413976303</v>
      </c>
    </row>
    <row r="309" spans="1:26" x14ac:dyDescent="0.2">
      <c r="E309" t="s">
        <v>82</v>
      </c>
      <c r="G309">
        <v>0</v>
      </c>
      <c r="H309">
        <v>0</v>
      </c>
      <c r="I309">
        <v>0</v>
      </c>
      <c r="L309">
        <f>$AJ$27</f>
        <v>0.7</v>
      </c>
      <c r="N309">
        <f>$AJ$55</f>
        <v>0.55000000000000004</v>
      </c>
      <c r="O309">
        <f t="shared" si="89"/>
        <v>0.43585000000000007</v>
      </c>
      <c r="P309" s="2">
        <v>61</v>
      </c>
      <c r="Q309" s="2">
        <v>61</v>
      </c>
      <c r="R309">
        <f t="shared" si="96"/>
        <v>1.0773997799878814</v>
      </c>
      <c r="S309">
        <f t="shared" si="90"/>
        <v>0.62468890114860043</v>
      </c>
      <c r="T309">
        <v>1</v>
      </c>
      <c r="U309">
        <f t="shared" si="91"/>
        <v>0.67303968465837349</v>
      </c>
      <c r="V309">
        <v>25</v>
      </c>
      <c r="W309">
        <f t="shared" si="92"/>
        <v>1.4233146071577421E-2</v>
      </c>
      <c r="Y309">
        <f t="shared" si="93"/>
        <v>91.25</v>
      </c>
      <c r="Z309">
        <f t="shared" si="94"/>
        <v>32.469364475785987</v>
      </c>
    </row>
    <row r="310" spans="1:26" x14ac:dyDescent="0.2">
      <c r="E310" t="s">
        <v>83</v>
      </c>
      <c r="G310">
        <v>0</v>
      </c>
      <c r="H310">
        <v>0</v>
      </c>
      <c r="I310">
        <v>0</v>
      </c>
      <c r="L310">
        <f>$AJ$28</f>
        <v>0.9</v>
      </c>
      <c r="N310">
        <f>$AJ$56</f>
        <v>0.75</v>
      </c>
      <c r="O310">
        <f t="shared" si="89"/>
        <v>0.5948500000000001</v>
      </c>
      <c r="P310" s="2">
        <v>60</v>
      </c>
      <c r="Q310" s="2">
        <v>60</v>
      </c>
      <c r="R310">
        <f t="shared" si="96"/>
        <v>1.4163939481646182</v>
      </c>
      <c r="S310">
        <f t="shared" si="90"/>
        <v>0.80210130091638532</v>
      </c>
      <c r="T310">
        <v>1</v>
      </c>
      <c r="U310">
        <f t="shared" si="91"/>
        <v>1.1360914284329355</v>
      </c>
      <c r="V310">
        <v>20</v>
      </c>
      <c r="W310">
        <f t="shared" si="92"/>
        <v>2.2938518854539191E-2</v>
      </c>
      <c r="Y310">
        <f t="shared" si="93"/>
        <v>91.25</v>
      </c>
      <c r="Z310">
        <f t="shared" si="94"/>
        <v>41.862796909534026</v>
      </c>
    </row>
    <row r="311" spans="1:26" x14ac:dyDescent="0.2">
      <c r="A311">
        <v>6</v>
      </c>
      <c r="D311" t="s">
        <v>77</v>
      </c>
      <c r="E311" t="s">
        <v>80</v>
      </c>
      <c r="G311">
        <v>0</v>
      </c>
      <c r="H311">
        <v>0</v>
      </c>
      <c r="I311">
        <v>0</v>
      </c>
      <c r="L311">
        <f>$AK$25</f>
        <v>4</v>
      </c>
      <c r="N311">
        <f>$AK$53</f>
        <v>0.7</v>
      </c>
      <c r="O311">
        <f t="shared" si="89"/>
        <v>0.55510000000000004</v>
      </c>
      <c r="P311" s="2">
        <v>59</v>
      </c>
      <c r="Q311" s="2">
        <v>59</v>
      </c>
      <c r="R311">
        <f t="shared" si="96"/>
        <v>1.303518624930883</v>
      </c>
      <c r="S311">
        <f t="shared" si="90"/>
        <v>0.99999999999998734</v>
      </c>
      <c r="T311">
        <v>1</v>
      </c>
      <c r="U311">
        <f t="shared" si="91"/>
        <v>1.3035186249308666</v>
      </c>
      <c r="V311">
        <v>15</v>
      </c>
      <c r="W311">
        <f t="shared" si="92"/>
        <v>2.6086150148700294E-2</v>
      </c>
      <c r="Y311">
        <f t="shared" si="93"/>
        <v>91.25</v>
      </c>
      <c r="Z311">
        <f t="shared" si="94"/>
        <v>35.705418016033526</v>
      </c>
    </row>
    <row r="312" spans="1:26" x14ac:dyDescent="0.2">
      <c r="E312" t="s">
        <v>81</v>
      </c>
      <c r="G312">
        <v>0</v>
      </c>
      <c r="H312">
        <v>0</v>
      </c>
      <c r="I312">
        <v>0</v>
      </c>
      <c r="L312">
        <f>$AK$26</f>
        <v>2.5</v>
      </c>
      <c r="N312">
        <f>$AK$54</f>
        <v>0.55000000000000004</v>
      </c>
      <c r="O312">
        <f t="shared" si="89"/>
        <v>0.43585000000000007</v>
      </c>
      <c r="P312" s="2">
        <v>58</v>
      </c>
      <c r="Q312" s="2">
        <v>58</v>
      </c>
      <c r="R312">
        <f t="shared" si="96"/>
        <v>1.0180535015422809</v>
      </c>
      <c r="S312">
        <f t="shared" si="90"/>
        <v>0.99999627334682795</v>
      </c>
      <c r="T312">
        <v>1</v>
      </c>
      <c r="U312">
        <f t="shared" si="91"/>
        <v>1.0180497076099702</v>
      </c>
      <c r="V312">
        <v>45</v>
      </c>
      <c r="W312">
        <f t="shared" si="92"/>
        <v>2.0719334503067441E-2</v>
      </c>
      <c r="Y312">
        <f t="shared" si="93"/>
        <v>91.25</v>
      </c>
      <c r="Z312">
        <f t="shared" si="94"/>
        <v>85.078767303220687</v>
      </c>
    </row>
    <row r="313" spans="1:26" x14ac:dyDescent="0.2">
      <c r="E313" t="s">
        <v>82</v>
      </c>
      <c r="G313">
        <v>0</v>
      </c>
      <c r="H313">
        <v>0</v>
      </c>
      <c r="I313">
        <v>0</v>
      </c>
      <c r="L313">
        <f>$AK$27</f>
        <v>0.7</v>
      </c>
      <c r="N313">
        <f>$AK$55</f>
        <v>0.55000000000000004</v>
      </c>
      <c r="O313">
        <f t="shared" si="89"/>
        <v>0.43585000000000007</v>
      </c>
      <c r="P313" s="2">
        <v>57</v>
      </c>
      <c r="Q313" s="2">
        <v>57</v>
      </c>
      <c r="R313">
        <f t="shared" si="96"/>
        <v>0.99849183106675043</v>
      </c>
      <c r="S313">
        <f t="shared" si="90"/>
        <v>0.62468890114860043</v>
      </c>
      <c r="T313">
        <v>1</v>
      </c>
      <c r="U313">
        <f t="shared" si="91"/>
        <v>0.62374676475494228</v>
      </c>
      <c r="V313">
        <v>40</v>
      </c>
      <c r="W313">
        <f t="shared" si="92"/>
        <v>1.3306439177392914E-2</v>
      </c>
      <c r="Y313">
        <f t="shared" si="93"/>
        <v>91.25</v>
      </c>
      <c r="Z313">
        <f t="shared" si="94"/>
        <v>48.568502997484138</v>
      </c>
    </row>
    <row r="314" spans="1:26" x14ac:dyDescent="0.2">
      <c r="E314" t="s">
        <v>83</v>
      </c>
      <c r="G314">
        <v>0</v>
      </c>
      <c r="H314">
        <v>0</v>
      </c>
      <c r="I314">
        <v>0</v>
      </c>
      <c r="L314">
        <f>$AK$28</f>
        <v>0.9</v>
      </c>
      <c r="N314">
        <f>$AK$56</f>
        <v>0.75</v>
      </c>
      <c r="O314">
        <f t="shared" si="89"/>
        <v>0.5948500000000001</v>
      </c>
      <c r="P314" s="2">
        <v>56</v>
      </c>
      <c r="Q314" s="2">
        <v>56</v>
      </c>
      <c r="R314">
        <f t="shared" si="96"/>
        <v>1.3198285488795851</v>
      </c>
      <c r="S314">
        <f t="shared" si="90"/>
        <v>0.80210130091638532</v>
      </c>
      <c r="T314">
        <v>1</v>
      </c>
      <c r="U314">
        <f t="shared" si="91"/>
        <v>1.0586361960429003</v>
      </c>
      <c r="V314">
        <v>30</v>
      </c>
      <c r="W314">
        <f t="shared" si="92"/>
        <v>2.1482360485606526E-2</v>
      </c>
      <c r="Y314">
        <f t="shared" si="93"/>
        <v>91.25</v>
      </c>
      <c r="Z314">
        <f t="shared" si="94"/>
        <v>58.807961829347867</v>
      </c>
    </row>
    <row r="331" spans="1:27" x14ac:dyDescent="0.2">
      <c r="A331" t="s">
        <v>110</v>
      </c>
      <c r="B331" t="s">
        <v>102</v>
      </c>
      <c r="C331" t="s">
        <v>102</v>
      </c>
      <c r="D331" t="s">
        <v>72</v>
      </c>
      <c r="E331" t="s">
        <v>81</v>
      </c>
      <c r="F331" t="s">
        <v>116</v>
      </c>
      <c r="G331">
        <v>0</v>
      </c>
      <c r="H331">
        <v>0</v>
      </c>
      <c r="I331">
        <f t="shared" ref="I331:I378" si="99">(G331/100*MIN(H331,100)/100)</f>
        <v>0</v>
      </c>
      <c r="L331">
        <f t="shared" ref="L331:L332" si="100">$AF$30</f>
        <v>2.5</v>
      </c>
      <c r="N331">
        <f t="shared" ref="N331:N332" si="101">$AF$58</f>
        <v>0.55000000000000004</v>
      </c>
      <c r="O331">
        <f t="shared" ref="O331:O342" si="102">(0.795 * N331) - 0.0014</f>
        <v>0.43585000000000007</v>
      </c>
      <c r="Q331">
        <f t="shared" ref="Q331:Q332" si="103">$AF$85</f>
        <v>90</v>
      </c>
      <c r="R331">
        <f t="shared" ref="R331:R332" si="104">(104.7 * O331 + 0.307 * Q331- 15) * POWER(Q331, 0.75) * 10^-3</f>
        <v>1.7024658722949466</v>
      </c>
      <c r="S331">
        <f t="shared" ref="S331:S332" si="105">1-EXP(-2*POWER(L331,2))</f>
        <v>0.99999627334682795</v>
      </c>
      <c r="T331">
        <v>1</v>
      </c>
      <c r="U331">
        <f t="shared" ref="U331:U332" si="106">R331 * S331 * T331</f>
        <v>1.7024595277951033</v>
      </c>
      <c r="V331">
        <v>20</v>
      </c>
      <c r="W331">
        <f t="shared" ref="W331:W378" si="107">(U331 * 0.0188) + 0.00158</f>
        <v>3.3586239122547941E-2</v>
      </c>
      <c r="Y331">
        <v>31</v>
      </c>
      <c r="Z331">
        <f t="shared" ref="Z331:Z339" si="108">V331*W331*Y331</f>
        <v>20.823468255979723</v>
      </c>
      <c r="AA331">
        <f>SUM(Z331:Z378)*10^-3</f>
        <v>1.0851276670917087</v>
      </c>
    </row>
    <row r="332" spans="1:27" x14ac:dyDescent="0.2">
      <c r="E332" t="s">
        <v>81</v>
      </c>
      <c r="F332" t="s">
        <v>117</v>
      </c>
      <c r="G332">
        <v>0</v>
      </c>
      <c r="H332">
        <v>0</v>
      </c>
      <c r="I332">
        <f t="shared" si="99"/>
        <v>0</v>
      </c>
      <c r="L332">
        <f t="shared" si="100"/>
        <v>2.5</v>
      </c>
      <c r="N332">
        <f t="shared" si="101"/>
        <v>0.55000000000000004</v>
      </c>
      <c r="O332">
        <f t="shared" si="102"/>
        <v>0.43585000000000007</v>
      </c>
      <c r="Q332">
        <f t="shared" si="103"/>
        <v>90</v>
      </c>
      <c r="R332">
        <f t="shared" si="104"/>
        <v>1.7024658722949466</v>
      </c>
      <c r="S332">
        <f t="shared" si="105"/>
        <v>0.99999627334682795</v>
      </c>
      <c r="T332">
        <v>1</v>
      </c>
      <c r="U332">
        <f t="shared" si="106"/>
        <v>1.7024595277951033</v>
      </c>
      <c r="V332">
        <v>20</v>
      </c>
      <c r="W332">
        <f t="shared" si="107"/>
        <v>3.3586239122547941E-2</v>
      </c>
      <c r="Y332">
        <v>28</v>
      </c>
      <c r="Z332">
        <f t="shared" si="108"/>
        <v>18.808293908626847</v>
      </c>
    </row>
    <row r="333" spans="1:27" x14ac:dyDescent="0.2">
      <c r="E333" t="s">
        <v>82</v>
      </c>
      <c r="F333" t="s">
        <v>118</v>
      </c>
      <c r="G333">
        <v>0</v>
      </c>
      <c r="H333">
        <v>0</v>
      </c>
      <c r="I333">
        <f t="shared" si="99"/>
        <v>0</v>
      </c>
      <c r="L333">
        <f>$AF$31</f>
        <v>1.3</v>
      </c>
      <c r="N333">
        <f>$AF$59</f>
        <v>0.67</v>
      </c>
      <c r="O333">
        <f t="shared" si="102"/>
        <v>0.53125000000000011</v>
      </c>
      <c r="Q333">
        <f>$AF$86</f>
        <v>75</v>
      </c>
      <c r="R333">
        <f t="shared" ref="R333" si="109">(104.7 * O333 + 0.307 * Q333- 15) * POWER(Q333, 0.75) * 10^-3</f>
        <v>1.6220828500688129</v>
      </c>
      <c r="S333">
        <f>1-EXP(-2*POWER(L333,2))</f>
        <v>0.96595254526540064</v>
      </c>
      <c r="T333">
        <v>1</v>
      </c>
      <c r="U333">
        <f>R333 * S333 * T333</f>
        <v>1.5668550576553251</v>
      </c>
      <c r="V333">
        <v>19</v>
      </c>
      <c r="W333">
        <f t="shared" si="107"/>
        <v>3.1036875083920112E-2</v>
      </c>
      <c r="Y333">
        <v>31</v>
      </c>
      <c r="Z333">
        <f t="shared" si="108"/>
        <v>18.280719424428948</v>
      </c>
    </row>
    <row r="334" spans="1:27" x14ac:dyDescent="0.2">
      <c r="E334" t="s">
        <v>82</v>
      </c>
      <c r="F334" t="s">
        <v>119</v>
      </c>
      <c r="G334">
        <v>0</v>
      </c>
      <c r="H334">
        <v>0</v>
      </c>
      <c r="I334">
        <f t="shared" si="99"/>
        <v>0</v>
      </c>
      <c r="L334">
        <f t="shared" ref="L334:L335" si="110">$AF$31</f>
        <v>1.3</v>
      </c>
      <c r="N334">
        <f t="shared" ref="N334:N335" si="111">$AF$59</f>
        <v>0.67</v>
      </c>
      <c r="O334">
        <f t="shared" si="102"/>
        <v>0.53125000000000011</v>
      </c>
      <c r="Q334">
        <f t="shared" ref="Q334:Q335" si="112">$AF$86</f>
        <v>75</v>
      </c>
      <c r="R334">
        <f t="shared" ref="R334:R335" si="113">(104.7 * O334 + 0.307 * Q334- 15) * POWER(Q334, 0.75) * 10^-3</f>
        <v>1.6220828500688129</v>
      </c>
      <c r="S334">
        <f t="shared" ref="S334:S335" si="114">1-EXP(-2*POWER(L334,2))</f>
        <v>0.96595254526540064</v>
      </c>
      <c r="T334">
        <v>1</v>
      </c>
      <c r="U334">
        <f t="shared" ref="U334:U335" si="115">R334 * S334 * T334</f>
        <v>1.5668550576553251</v>
      </c>
      <c r="V334">
        <v>19</v>
      </c>
      <c r="W334">
        <f t="shared" si="107"/>
        <v>3.1036875083920112E-2</v>
      </c>
      <c r="Y334">
        <v>30</v>
      </c>
      <c r="Z334">
        <f t="shared" si="108"/>
        <v>17.691018797834467</v>
      </c>
      <c r="AA334">
        <f>SUM(Z331:Z342)</f>
        <v>247.00396212739781</v>
      </c>
    </row>
    <row r="335" spans="1:27" x14ac:dyDescent="0.2">
      <c r="E335" t="s">
        <v>82</v>
      </c>
      <c r="F335" t="s">
        <v>120</v>
      </c>
      <c r="G335">
        <v>0</v>
      </c>
      <c r="H335">
        <v>0</v>
      </c>
      <c r="I335">
        <f t="shared" si="99"/>
        <v>0</v>
      </c>
      <c r="L335">
        <f t="shared" si="110"/>
        <v>1.3</v>
      </c>
      <c r="N335">
        <f t="shared" si="111"/>
        <v>0.67</v>
      </c>
      <c r="O335">
        <f t="shared" si="102"/>
        <v>0.53125000000000011</v>
      </c>
      <c r="Q335">
        <f t="shared" si="112"/>
        <v>75</v>
      </c>
      <c r="R335">
        <f t="shared" si="113"/>
        <v>1.6220828500688129</v>
      </c>
      <c r="S335">
        <f t="shared" si="114"/>
        <v>0.96595254526540064</v>
      </c>
      <c r="T335">
        <v>1</v>
      </c>
      <c r="U335">
        <f t="shared" si="115"/>
        <v>1.5668550576553251</v>
      </c>
      <c r="V335">
        <v>19</v>
      </c>
      <c r="W335">
        <f t="shared" si="107"/>
        <v>3.1036875083920112E-2</v>
      </c>
      <c r="Y335">
        <v>31</v>
      </c>
      <c r="Z335">
        <f t="shared" si="108"/>
        <v>18.280719424428948</v>
      </c>
    </row>
    <row r="336" spans="1:27" x14ac:dyDescent="0.2">
      <c r="E336" t="s">
        <v>83</v>
      </c>
      <c r="F336" t="s">
        <v>121</v>
      </c>
      <c r="G336">
        <v>0</v>
      </c>
      <c r="H336">
        <v>0</v>
      </c>
      <c r="I336">
        <f t="shared" si="99"/>
        <v>0</v>
      </c>
      <c r="L336">
        <f>$AF$32</f>
        <v>0.8</v>
      </c>
      <c r="N336">
        <f>$AF$60</f>
        <v>0.7</v>
      </c>
      <c r="O336">
        <f t="shared" si="102"/>
        <v>0.55510000000000004</v>
      </c>
      <c r="Q336">
        <f>$AF$87</f>
        <v>75</v>
      </c>
      <c r="R336">
        <f>(104.7 * O336 + 0.307 * Q336- 15) * POWER(Q336, 0.75) * 10^-3</f>
        <v>1.6857229733976102</v>
      </c>
      <c r="S336">
        <f>1-EXP(-2*POWER(L336,2))</f>
        <v>0.72196269954680592</v>
      </c>
      <c r="T336">
        <v>1</v>
      </c>
      <c r="U336">
        <f>R336 * S336 * T336</f>
        <v>1.2170291085622071</v>
      </c>
      <c r="V336">
        <v>25</v>
      </c>
      <c r="W336">
        <f t="shared" si="107"/>
        <v>2.4460147240969496E-2</v>
      </c>
      <c r="X336" s="2">
        <v>25</v>
      </c>
      <c r="Y336" s="2">
        <v>25</v>
      </c>
      <c r="Z336">
        <f t="shared" si="108"/>
        <v>15.287592025605933</v>
      </c>
    </row>
    <row r="337" spans="1:27" x14ac:dyDescent="0.2">
      <c r="E337" t="s">
        <v>83</v>
      </c>
      <c r="F337" t="s">
        <v>122</v>
      </c>
      <c r="G337">
        <v>0</v>
      </c>
      <c r="H337">
        <v>0</v>
      </c>
      <c r="I337">
        <f t="shared" si="99"/>
        <v>0</v>
      </c>
      <c r="L337">
        <f t="shared" ref="L337:L338" si="116">$AF$32</f>
        <v>0.8</v>
      </c>
      <c r="N337">
        <f t="shared" ref="N337:N338" si="117">$AF$60</f>
        <v>0.7</v>
      </c>
      <c r="O337">
        <f t="shared" si="102"/>
        <v>0.55510000000000004</v>
      </c>
      <c r="Q337">
        <f t="shared" ref="Q337:Q338" si="118">$AF$87</f>
        <v>75</v>
      </c>
      <c r="R337">
        <f t="shared" ref="R337:R338" si="119">(104.7 * O337 + 0.307 * Q337- 15) * POWER(Q337, 0.75) * 10^-3</f>
        <v>1.6857229733976102</v>
      </c>
      <c r="S337">
        <f t="shared" ref="S337:S338" si="120">1-EXP(-2*POWER(L337,2))</f>
        <v>0.72196269954680592</v>
      </c>
      <c r="T337">
        <v>1</v>
      </c>
      <c r="U337">
        <f t="shared" ref="U337:U338" si="121">R337 * S337 * T337</f>
        <v>1.2170291085622071</v>
      </c>
      <c r="V337">
        <v>25</v>
      </c>
      <c r="W337">
        <f t="shared" si="107"/>
        <v>2.4460147240969496E-2</v>
      </c>
      <c r="Y337">
        <v>31</v>
      </c>
      <c r="Z337">
        <f t="shared" si="108"/>
        <v>18.956614111751357</v>
      </c>
    </row>
    <row r="338" spans="1:27" x14ac:dyDescent="0.2">
      <c r="E338" t="s">
        <v>83</v>
      </c>
      <c r="F338" t="s">
        <v>123</v>
      </c>
      <c r="G338">
        <v>0</v>
      </c>
      <c r="H338">
        <v>0</v>
      </c>
      <c r="I338">
        <f t="shared" si="99"/>
        <v>0</v>
      </c>
      <c r="L338">
        <f t="shared" si="116"/>
        <v>0.8</v>
      </c>
      <c r="N338">
        <f t="shared" si="117"/>
        <v>0.7</v>
      </c>
      <c r="O338">
        <f t="shared" si="102"/>
        <v>0.55510000000000004</v>
      </c>
      <c r="Q338">
        <f t="shared" si="118"/>
        <v>75</v>
      </c>
      <c r="R338">
        <f t="shared" si="119"/>
        <v>1.6857229733976102</v>
      </c>
      <c r="S338">
        <f t="shared" si="120"/>
        <v>0.72196269954680592</v>
      </c>
      <c r="T338">
        <v>1</v>
      </c>
      <c r="U338">
        <f t="shared" si="121"/>
        <v>1.2170291085622071</v>
      </c>
      <c r="V338">
        <v>25</v>
      </c>
      <c r="W338">
        <f t="shared" si="107"/>
        <v>2.4460147240969496E-2</v>
      </c>
      <c r="Y338">
        <v>31</v>
      </c>
      <c r="Z338">
        <f t="shared" si="108"/>
        <v>18.956614111751357</v>
      </c>
    </row>
    <row r="339" spans="1:27" x14ac:dyDescent="0.2">
      <c r="E339" t="s">
        <v>80</v>
      </c>
      <c r="F339" t="s">
        <v>112</v>
      </c>
      <c r="G339">
        <v>0</v>
      </c>
      <c r="H339">
        <v>0</v>
      </c>
      <c r="I339">
        <f t="shared" si="99"/>
        <v>0</v>
      </c>
      <c r="L339">
        <f>$AF$29</f>
        <v>2.5</v>
      </c>
      <c r="N339">
        <f>$AF$57</f>
        <v>0.75</v>
      </c>
      <c r="O339">
        <f t="shared" si="102"/>
        <v>0.5948500000000001</v>
      </c>
      <c r="Q339">
        <f>$AF$84</f>
        <v>90</v>
      </c>
      <c r="R339">
        <f>(104.7 * O339 + 0.307 * Q339- 15) * POWER(Q339, 0.75) * 10^-3</f>
        <v>2.188901849330922</v>
      </c>
      <c r="S339">
        <f>1-EXP(-2*POWER(L339,2))</f>
        <v>0.99999627334682795</v>
      </c>
      <c r="T339">
        <v>1</v>
      </c>
      <c r="U339">
        <f>R339 * S339 * T339</f>
        <v>2.1888936920529019</v>
      </c>
      <c r="V339">
        <v>25</v>
      </c>
      <c r="W339">
        <f t="shared" si="107"/>
        <v>4.2731201410594555E-2</v>
      </c>
      <c r="X339" s="2">
        <v>24</v>
      </c>
      <c r="Y339" s="2">
        <v>24</v>
      </c>
      <c r="Z339">
        <f t="shared" si="108"/>
        <v>25.638720846356733</v>
      </c>
    </row>
    <row r="340" spans="1:27" x14ac:dyDescent="0.2">
      <c r="E340" t="s">
        <v>80</v>
      </c>
      <c r="F340" t="s">
        <v>113</v>
      </c>
      <c r="G340">
        <v>0</v>
      </c>
      <c r="H340">
        <v>0</v>
      </c>
      <c r="I340">
        <f t="shared" si="99"/>
        <v>0</v>
      </c>
      <c r="L340">
        <f t="shared" ref="L340:L341" si="122">$AF$29</f>
        <v>2.5</v>
      </c>
      <c r="N340">
        <f t="shared" ref="N340:N341" si="123">$AF$57</f>
        <v>0.75</v>
      </c>
      <c r="O340">
        <f t="shared" si="102"/>
        <v>0.5948500000000001</v>
      </c>
      <c r="Q340">
        <f t="shared" ref="Q340:Q341" si="124">$AF$84</f>
        <v>90</v>
      </c>
      <c r="R340">
        <f t="shared" ref="R340:R341" si="125">(104.7 * O340 + 0.307 * Q340- 15) * POWER(Q340, 0.75) * 10^-3</f>
        <v>2.188901849330922</v>
      </c>
      <c r="S340">
        <f t="shared" ref="S340:S341" si="126">1-EXP(-2*POWER(L340,2))</f>
        <v>0.99999627334682795</v>
      </c>
      <c r="T340">
        <v>1</v>
      </c>
      <c r="U340">
        <f t="shared" ref="U340:U341" si="127">R340 * S340 * T340</f>
        <v>2.1888936920529019</v>
      </c>
      <c r="V340">
        <v>21</v>
      </c>
      <c r="W340">
        <f t="shared" si="107"/>
        <v>4.2731201410594555E-2</v>
      </c>
      <c r="Y340">
        <v>31</v>
      </c>
      <c r="Z340">
        <f t="shared" ref="Z340:Z341" si="128">V340*W340*Y340</f>
        <v>27.818012118297055</v>
      </c>
    </row>
    <row r="341" spans="1:27" x14ac:dyDescent="0.2">
      <c r="E341" t="s">
        <v>80</v>
      </c>
      <c r="F341" t="s">
        <v>114</v>
      </c>
      <c r="G341">
        <v>0</v>
      </c>
      <c r="H341">
        <v>0</v>
      </c>
      <c r="I341">
        <f t="shared" si="99"/>
        <v>0</v>
      </c>
      <c r="L341">
        <f t="shared" si="122"/>
        <v>2.5</v>
      </c>
      <c r="N341">
        <f t="shared" si="123"/>
        <v>0.75</v>
      </c>
      <c r="O341">
        <f t="shared" si="102"/>
        <v>0.5948500000000001</v>
      </c>
      <c r="Q341">
        <f t="shared" si="124"/>
        <v>90</v>
      </c>
      <c r="R341">
        <f t="shared" si="125"/>
        <v>2.188901849330922</v>
      </c>
      <c r="S341">
        <f t="shared" si="126"/>
        <v>0.99999627334682795</v>
      </c>
      <c r="T341">
        <v>1</v>
      </c>
      <c r="U341">
        <f t="shared" si="127"/>
        <v>2.1888936920529019</v>
      </c>
      <c r="V341">
        <v>20</v>
      </c>
      <c r="W341">
        <f t="shared" si="107"/>
        <v>4.2731201410594555E-2</v>
      </c>
      <c r="Y341">
        <v>30</v>
      </c>
      <c r="Z341">
        <f t="shared" si="128"/>
        <v>25.638720846356733</v>
      </c>
    </row>
    <row r="342" spans="1:27" x14ac:dyDescent="0.2">
      <c r="E342" t="s">
        <v>81</v>
      </c>
      <c r="F342" t="s">
        <v>115</v>
      </c>
      <c r="G342">
        <v>0</v>
      </c>
      <c r="H342">
        <v>0</v>
      </c>
      <c r="I342">
        <f t="shared" si="99"/>
        <v>0</v>
      </c>
      <c r="L342">
        <f>$AF$30</f>
        <v>2.5</v>
      </c>
      <c r="N342">
        <f>$AF$58</f>
        <v>0.55000000000000004</v>
      </c>
      <c r="O342">
        <f t="shared" si="102"/>
        <v>0.43585000000000007</v>
      </c>
      <c r="Q342">
        <f>$AF$85</f>
        <v>90</v>
      </c>
      <c r="R342">
        <f>(104.7 * O342 + 0.307 * Q342- 15) * POWER(Q342, 0.75) * 10^-3</f>
        <v>1.7024658722949466</v>
      </c>
      <c r="S342">
        <f t="shared" ref="S342" si="129">1-EXP(-2*POWER(L342,2))</f>
        <v>0.99999627334682795</v>
      </c>
      <c r="T342">
        <v>1</v>
      </c>
      <c r="U342">
        <f t="shared" ref="U342" si="130">R342 * S342 * T342</f>
        <v>1.7024595277951033</v>
      </c>
      <c r="V342">
        <v>20</v>
      </c>
      <c r="W342">
        <f t="shared" si="107"/>
        <v>3.3586239122547941E-2</v>
      </c>
      <c r="Y342">
        <v>31</v>
      </c>
      <c r="Z342">
        <f t="shared" ref="Z342:Z378" si="131">V342*W342*Y342</f>
        <v>20.823468255979723</v>
      </c>
    </row>
    <row r="343" spans="1:27" x14ac:dyDescent="0.2">
      <c r="A343">
        <v>2</v>
      </c>
      <c r="D343" t="s">
        <v>73</v>
      </c>
      <c r="E343" t="s">
        <v>81</v>
      </c>
      <c r="F343" t="s">
        <v>116</v>
      </c>
      <c r="G343">
        <v>0</v>
      </c>
      <c r="H343">
        <v>0</v>
      </c>
      <c r="I343">
        <f t="shared" si="99"/>
        <v>0</v>
      </c>
      <c r="L343">
        <f t="shared" ref="L343:L344" si="132">$AG$30</f>
        <v>2.5</v>
      </c>
      <c r="N343">
        <f t="shared" ref="N343:N344" si="133">$AG$58</f>
        <v>0.55000000000000004</v>
      </c>
      <c r="O343">
        <f t="shared" ref="O343:O344" si="134">(0.795 * N343) - 0.0014</f>
        <v>0.43585000000000007</v>
      </c>
      <c r="Q343">
        <f t="shared" ref="Q343:Q344" si="135">$AG$85</f>
        <v>55</v>
      </c>
      <c r="R343">
        <f t="shared" ref="R343:R344" si="136">(104.7 * O343 + 0.307 * Q343- 15) * POWER(Q343, 0.75) * 10^-3</f>
        <v>0.95969823125361531</v>
      </c>
      <c r="S343">
        <f t="shared" ref="S343:S344" si="137">1-EXP(-2*POWER(L343,2))</f>
        <v>0.99999627334682795</v>
      </c>
      <c r="T343">
        <v>1</v>
      </c>
      <c r="U343">
        <f t="shared" ref="U343:U344" si="138">R343 * S343 * T343</f>
        <v>0.95969465479115756</v>
      </c>
      <c r="V343">
        <v>60</v>
      </c>
      <c r="W343">
        <f t="shared" si="107"/>
        <v>1.9622259510073764E-2</v>
      </c>
      <c r="Y343">
        <v>31</v>
      </c>
      <c r="Z343">
        <f t="shared" si="131"/>
        <v>36.497402688737196</v>
      </c>
      <c r="AA343">
        <f>SUM(Z343:Z354)</f>
        <v>398.56804122405254</v>
      </c>
    </row>
    <row r="344" spans="1:27" x14ac:dyDescent="0.2">
      <c r="E344" t="s">
        <v>81</v>
      </c>
      <c r="F344" t="s">
        <v>117</v>
      </c>
      <c r="G344">
        <v>0</v>
      </c>
      <c r="H344">
        <v>0</v>
      </c>
      <c r="I344">
        <f t="shared" si="99"/>
        <v>0</v>
      </c>
      <c r="L344">
        <f t="shared" si="132"/>
        <v>2.5</v>
      </c>
      <c r="N344">
        <f t="shared" si="133"/>
        <v>0.55000000000000004</v>
      </c>
      <c r="O344">
        <f t="shared" si="134"/>
        <v>0.43585000000000007</v>
      </c>
      <c r="Q344">
        <f t="shared" si="135"/>
        <v>55</v>
      </c>
      <c r="R344">
        <f t="shared" si="136"/>
        <v>0.95969823125361531</v>
      </c>
      <c r="S344">
        <f t="shared" si="137"/>
        <v>0.99999627334682795</v>
      </c>
      <c r="T344">
        <v>1</v>
      </c>
      <c r="U344">
        <f t="shared" si="138"/>
        <v>0.95969465479115756</v>
      </c>
      <c r="V344">
        <v>60</v>
      </c>
      <c r="W344">
        <f t="shared" si="107"/>
        <v>1.9622259510073764E-2</v>
      </c>
      <c r="Y344">
        <v>28</v>
      </c>
      <c r="Z344">
        <f t="shared" si="131"/>
        <v>32.965395976923922</v>
      </c>
    </row>
    <row r="345" spans="1:27" x14ac:dyDescent="0.2">
      <c r="E345" t="s">
        <v>82</v>
      </c>
      <c r="F345" t="s">
        <v>118</v>
      </c>
      <c r="G345">
        <v>0</v>
      </c>
      <c r="H345">
        <v>0</v>
      </c>
      <c r="I345">
        <f t="shared" si="99"/>
        <v>0</v>
      </c>
      <c r="L345">
        <f>$AG$31</f>
        <v>1.3</v>
      </c>
      <c r="N345">
        <f>$AG$59</f>
        <v>0.67</v>
      </c>
      <c r="O345">
        <f>(0.795 * N345) - 0.0014</f>
        <v>0.53125000000000011</v>
      </c>
      <c r="Q345">
        <f>$AG$86</f>
        <v>50</v>
      </c>
      <c r="R345">
        <f>(104.7 * O345 + 0.307 * Q345- 15) * POWER(Q345, 0.75) * 10^-3</f>
        <v>1.052440031254225</v>
      </c>
      <c r="S345">
        <f>1-EXP(-2*POWER(L345,2))</f>
        <v>0.96595254526540064</v>
      </c>
      <c r="T345">
        <v>1</v>
      </c>
      <c r="U345">
        <f>R345 * S345 * T345</f>
        <v>1.0166071269292165</v>
      </c>
      <c r="V345">
        <v>55</v>
      </c>
      <c r="W345">
        <f t="shared" si="107"/>
        <v>2.0692213986269272E-2</v>
      </c>
      <c r="Y345">
        <v>31</v>
      </c>
      <c r="Z345">
        <f t="shared" si="131"/>
        <v>35.280224846589107</v>
      </c>
    </row>
    <row r="346" spans="1:27" x14ac:dyDescent="0.2">
      <c r="E346" t="s">
        <v>82</v>
      </c>
      <c r="F346" t="s">
        <v>119</v>
      </c>
      <c r="G346">
        <v>0</v>
      </c>
      <c r="H346">
        <v>0</v>
      </c>
      <c r="I346">
        <f t="shared" si="99"/>
        <v>0</v>
      </c>
      <c r="L346">
        <f t="shared" ref="L346:L347" si="139">$AG$31</f>
        <v>1.3</v>
      </c>
      <c r="N346">
        <f t="shared" ref="N346:N347" si="140">$AG$59</f>
        <v>0.67</v>
      </c>
      <c r="O346">
        <f t="shared" ref="O346:O347" si="141">(0.795 * N346) - 0.0014</f>
        <v>0.53125000000000011</v>
      </c>
      <c r="Q346">
        <f t="shared" ref="Q346:Q347" si="142">$AG$86</f>
        <v>50</v>
      </c>
      <c r="R346">
        <f t="shared" ref="R346:R347" si="143">(104.7 * O346 + 0.307 * Q346- 15) * POWER(Q346, 0.75) * 10^-3</f>
        <v>1.052440031254225</v>
      </c>
      <c r="S346">
        <f t="shared" ref="S346:S347" si="144">1-EXP(-2*POWER(L346,2))</f>
        <v>0.96595254526540064</v>
      </c>
      <c r="T346">
        <v>1</v>
      </c>
      <c r="U346">
        <f t="shared" ref="U346:U347" si="145">R346 * S346 * T346</f>
        <v>1.0166071269292165</v>
      </c>
      <c r="V346">
        <v>55</v>
      </c>
      <c r="W346">
        <f t="shared" si="107"/>
        <v>2.0692213986269272E-2</v>
      </c>
      <c r="Y346">
        <v>30</v>
      </c>
      <c r="Z346">
        <f t="shared" si="131"/>
        <v>34.142153077344297</v>
      </c>
    </row>
    <row r="347" spans="1:27" x14ac:dyDescent="0.2">
      <c r="E347" t="s">
        <v>82</v>
      </c>
      <c r="F347" t="s">
        <v>120</v>
      </c>
      <c r="G347">
        <v>0</v>
      </c>
      <c r="H347">
        <v>0</v>
      </c>
      <c r="I347">
        <f t="shared" si="99"/>
        <v>0</v>
      </c>
      <c r="L347">
        <f t="shared" si="139"/>
        <v>1.3</v>
      </c>
      <c r="N347">
        <f t="shared" si="140"/>
        <v>0.67</v>
      </c>
      <c r="O347">
        <f t="shared" si="141"/>
        <v>0.53125000000000011</v>
      </c>
      <c r="Q347">
        <f t="shared" si="142"/>
        <v>50</v>
      </c>
      <c r="R347">
        <f t="shared" si="143"/>
        <v>1.052440031254225</v>
      </c>
      <c r="S347">
        <f t="shared" si="144"/>
        <v>0.96595254526540064</v>
      </c>
      <c r="T347">
        <v>1</v>
      </c>
      <c r="U347">
        <f t="shared" si="145"/>
        <v>1.0166071269292165</v>
      </c>
      <c r="V347">
        <v>55</v>
      </c>
      <c r="W347">
        <f t="shared" si="107"/>
        <v>2.0692213986269272E-2</v>
      </c>
      <c r="Y347">
        <v>31</v>
      </c>
      <c r="Z347">
        <f t="shared" si="131"/>
        <v>35.280224846589107</v>
      </c>
    </row>
    <row r="348" spans="1:27" x14ac:dyDescent="0.2">
      <c r="E348" t="s">
        <v>83</v>
      </c>
      <c r="F348" t="s">
        <v>121</v>
      </c>
      <c r="G348">
        <v>0</v>
      </c>
      <c r="H348">
        <v>0</v>
      </c>
      <c r="I348">
        <f t="shared" si="99"/>
        <v>0</v>
      </c>
      <c r="L348">
        <f>$AG$32</f>
        <v>0.8</v>
      </c>
      <c r="N348">
        <f>$AG$60</f>
        <v>0.7</v>
      </c>
      <c r="O348">
        <f>(0.795 * N348) - 0.0014</f>
        <v>0.55510000000000004</v>
      </c>
      <c r="Q348">
        <f>$AG$87</f>
        <v>45</v>
      </c>
      <c r="R348">
        <f>(104.7 * O348 + 0.307 * Q348- 15) * POWER(Q348, 0.75) * 10^-3</f>
        <v>0.98919258792655118</v>
      </c>
      <c r="S348">
        <f>1-EXP(-2*POWER(L348,2))</f>
        <v>0.72196269954680592</v>
      </c>
      <c r="T348">
        <v>1</v>
      </c>
      <c r="U348">
        <f>R348 * S348 * T348</f>
        <v>0.71416015115114406</v>
      </c>
      <c r="V348">
        <v>55</v>
      </c>
      <c r="W348">
        <f t="shared" si="107"/>
        <v>1.5006210841641509E-2</v>
      </c>
      <c r="Y348">
        <v>30</v>
      </c>
      <c r="Z348">
        <f t="shared" si="131"/>
        <v>24.760247888708491</v>
      </c>
    </row>
    <row r="349" spans="1:27" x14ac:dyDescent="0.2">
      <c r="E349" t="s">
        <v>83</v>
      </c>
      <c r="F349" t="s">
        <v>122</v>
      </c>
      <c r="G349">
        <v>0</v>
      </c>
      <c r="H349">
        <v>0</v>
      </c>
      <c r="I349">
        <f t="shared" si="99"/>
        <v>0</v>
      </c>
      <c r="L349">
        <f t="shared" ref="L349:L350" si="146">$AG$32</f>
        <v>0.8</v>
      </c>
      <c r="N349">
        <f t="shared" ref="N349:N350" si="147">$AG$60</f>
        <v>0.7</v>
      </c>
      <c r="O349">
        <f t="shared" ref="O349:O350" si="148">(0.795 * N349) - 0.0014</f>
        <v>0.55510000000000004</v>
      </c>
      <c r="Q349">
        <f t="shared" ref="Q349:Q350" si="149">$AG$87</f>
        <v>45</v>
      </c>
      <c r="R349">
        <f t="shared" ref="R349:R350" si="150">(104.7 * O349 + 0.307 * Q349- 15) * POWER(Q349, 0.75) * 10^-3</f>
        <v>0.98919258792655118</v>
      </c>
      <c r="S349">
        <f t="shared" ref="S349:S350" si="151">1-EXP(-2*POWER(L349,2))</f>
        <v>0.72196269954680592</v>
      </c>
      <c r="T349">
        <v>1</v>
      </c>
      <c r="U349">
        <f t="shared" ref="U349:U350" si="152">R349 * S349 * T349</f>
        <v>0.71416015115114406</v>
      </c>
      <c r="V349">
        <v>54</v>
      </c>
      <c r="W349">
        <f t="shared" si="107"/>
        <v>1.5006210841641509E-2</v>
      </c>
      <c r="Y349">
        <v>31</v>
      </c>
      <c r="Z349">
        <f t="shared" si="131"/>
        <v>25.120396948907885</v>
      </c>
    </row>
    <row r="350" spans="1:27" x14ac:dyDescent="0.2">
      <c r="E350" t="s">
        <v>83</v>
      </c>
      <c r="F350" t="s">
        <v>123</v>
      </c>
      <c r="G350">
        <v>0</v>
      </c>
      <c r="H350">
        <v>0</v>
      </c>
      <c r="I350">
        <f t="shared" si="99"/>
        <v>0</v>
      </c>
      <c r="L350">
        <f t="shared" si="146"/>
        <v>0.8</v>
      </c>
      <c r="N350">
        <f t="shared" si="147"/>
        <v>0.7</v>
      </c>
      <c r="O350">
        <f t="shared" si="148"/>
        <v>0.55510000000000004</v>
      </c>
      <c r="Q350">
        <f t="shared" si="149"/>
        <v>45</v>
      </c>
      <c r="R350">
        <f t="shared" si="150"/>
        <v>0.98919258792655118</v>
      </c>
      <c r="S350">
        <f t="shared" si="151"/>
        <v>0.72196269954680592</v>
      </c>
      <c r="T350">
        <v>1</v>
      </c>
      <c r="U350">
        <f t="shared" si="152"/>
        <v>0.71416015115114406</v>
      </c>
      <c r="V350">
        <v>54</v>
      </c>
      <c r="W350">
        <f t="shared" si="107"/>
        <v>1.5006210841641509E-2</v>
      </c>
      <c r="Y350">
        <v>31</v>
      </c>
      <c r="Z350">
        <f t="shared" si="131"/>
        <v>25.120396948907885</v>
      </c>
    </row>
    <row r="351" spans="1:27" x14ac:dyDescent="0.2">
      <c r="E351" t="s">
        <v>80</v>
      </c>
      <c r="F351" t="s">
        <v>112</v>
      </c>
      <c r="G351">
        <v>0</v>
      </c>
      <c r="H351">
        <v>0</v>
      </c>
      <c r="I351">
        <f t="shared" si="99"/>
        <v>0</v>
      </c>
      <c r="L351">
        <f>$AG$29</f>
        <v>2.5</v>
      </c>
      <c r="N351">
        <f>$AG$57</f>
        <v>0.75</v>
      </c>
      <c r="O351">
        <f>(0.795 * N351) - 0.0014</f>
        <v>0.5948500000000001</v>
      </c>
      <c r="Q351">
        <f>$AG$84</f>
        <v>55</v>
      </c>
      <c r="R351">
        <f>(104.7 * O351 + 0.307 * Q351- 15) * POWER(Q351, 0.75) * 10^-3</f>
        <v>1.2959122541335131</v>
      </c>
      <c r="S351">
        <f>1-EXP(-2*POWER(L351,2))</f>
        <v>0.99999627334682795</v>
      </c>
      <c r="T351">
        <v>1</v>
      </c>
      <c r="U351">
        <f>R351 * S351 * T351</f>
        <v>1.2959074247180005</v>
      </c>
      <c r="V351">
        <v>50</v>
      </c>
      <c r="W351">
        <f t="shared" si="107"/>
        <v>2.5943059584698412E-2</v>
      </c>
      <c r="X351" s="2">
        <v>20</v>
      </c>
      <c r="Y351" s="2">
        <v>20</v>
      </c>
      <c r="Z351">
        <f t="shared" si="131"/>
        <v>25.94305958469841</v>
      </c>
    </row>
    <row r="352" spans="1:27" x14ac:dyDescent="0.2">
      <c r="E352" t="s">
        <v>80</v>
      </c>
      <c r="F352" t="s">
        <v>113</v>
      </c>
      <c r="G352">
        <v>0</v>
      </c>
      <c r="H352">
        <v>0</v>
      </c>
      <c r="I352">
        <f t="shared" si="99"/>
        <v>0</v>
      </c>
      <c r="L352">
        <f t="shared" ref="L352:L353" si="153">$AG$29</f>
        <v>2.5</v>
      </c>
      <c r="N352">
        <f t="shared" ref="N352:N353" si="154">$AG$57</f>
        <v>0.75</v>
      </c>
      <c r="O352">
        <f t="shared" ref="O352:O353" si="155">(0.795 * N352) - 0.0014</f>
        <v>0.5948500000000001</v>
      </c>
      <c r="Q352">
        <f t="shared" ref="Q352:Q353" si="156">$AG$84</f>
        <v>55</v>
      </c>
      <c r="R352">
        <f t="shared" ref="R352:R353" si="157">(104.7 * O352 + 0.307 * Q352- 15) * POWER(Q352, 0.75) * 10^-3</f>
        <v>1.2959122541335131</v>
      </c>
      <c r="S352">
        <f t="shared" ref="S352:S353" si="158">1-EXP(-2*POWER(L352,2))</f>
        <v>0.99999627334682795</v>
      </c>
      <c r="T352">
        <v>1</v>
      </c>
      <c r="U352">
        <f t="shared" ref="U352:U353" si="159">R352 * S352 * T352</f>
        <v>1.2959074247180005</v>
      </c>
      <c r="V352">
        <v>52</v>
      </c>
      <c r="W352">
        <f t="shared" si="107"/>
        <v>2.5943059584698412E-2</v>
      </c>
      <c r="Y352">
        <v>31</v>
      </c>
      <c r="Z352">
        <f t="shared" si="131"/>
        <v>41.82021205053384</v>
      </c>
    </row>
    <row r="353" spans="1:26" x14ac:dyDescent="0.2">
      <c r="E353" t="s">
        <v>80</v>
      </c>
      <c r="F353" t="s">
        <v>114</v>
      </c>
      <c r="G353">
        <v>0</v>
      </c>
      <c r="H353">
        <v>0</v>
      </c>
      <c r="I353">
        <f t="shared" si="99"/>
        <v>0</v>
      </c>
      <c r="L353">
        <f t="shared" si="153"/>
        <v>2.5</v>
      </c>
      <c r="N353">
        <f t="shared" si="154"/>
        <v>0.75</v>
      </c>
      <c r="O353">
        <f t="shared" si="155"/>
        <v>0.5948500000000001</v>
      </c>
      <c r="Q353">
        <f t="shared" si="156"/>
        <v>55</v>
      </c>
      <c r="R353">
        <f t="shared" si="157"/>
        <v>1.2959122541335131</v>
      </c>
      <c r="S353">
        <f t="shared" si="158"/>
        <v>0.99999627334682795</v>
      </c>
      <c r="T353">
        <v>1</v>
      </c>
      <c r="U353">
        <f t="shared" si="159"/>
        <v>1.2959074247180005</v>
      </c>
      <c r="V353">
        <v>58</v>
      </c>
      <c r="W353">
        <f t="shared" si="107"/>
        <v>2.5943059584698412E-2</v>
      </c>
      <c r="Y353">
        <v>30</v>
      </c>
      <c r="Z353">
        <f t="shared" si="131"/>
        <v>45.140923677375241</v>
      </c>
    </row>
    <row r="354" spans="1:26" x14ac:dyDescent="0.2">
      <c r="E354" t="s">
        <v>81</v>
      </c>
      <c r="F354" t="s">
        <v>115</v>
      </c>
      <c r="G354">
        <v>0</v>
      </c>
      <c r="H354">
        <v>0</v>
      </c>
      <c r="I354">
        <f t="shared" si="99"/>
        <v>0</v>
      </c>
      <c r="L354">
        <f>$AG$30</f>
        <v>2.5</v>
      </c>
      <c r="N354">
        <f>$AG$58</f>
        <v>0.55000000000000004</v>
      </c>
      <c r="O354">
        <f>(0.795 * N354) - 0.0014</f>
        <v>0.43585000000000007</v>
      </c>
      <c r="Q354">
        <f>$AG$85</f>
        <v>55</v>
      </c>
      <c r="R354">
        <f>(104.7 * O354 + 0.307 * Q354- 15) * POWER(Q354, 0.75) * 10^-3</f>
        <v>0.95969823125361531</v>
      </c>
      <c r="S354">
        <f>1-EXP(-2*POWER(L354,2))</f>
        <v>0.99999627334682795</v>
      </c>
      <c r="T354">
        <v>1</v>
      </c>
      <c r="U354">
        <f>R354 * S354 * T354</f>
        <v>0.95969465479115756</v>
      </c>
      <c r="V354">
        <v>60</v>
      </c>
      <c r="W354">
        <f t="shared" si="107"/>
        <v>1.9622259510073764E-2</v>
      </c>
      <c r="Y354">
        <v>31</v>
      </c>
      <c r="Z354">
        <f t="shared" si="131"/>
        <v>36.497402688737196</v>
      </c>
    </row>
    <row r="355" spans="1:26" x14ac:dyDescent="0.2">
      <c r="A355">
        <v>4</v>
      </c>
      <c r="D355" t="s">
        <v>75</v>
      </c>
      <c r="E355" t="s">
        <v>81</v>
      </c>
      <c r="F355" t="s">
        <v>116</v>
      </c>
      <c r="G355">
        <v>0</v>
      </c>
      <c r="H355">
        <v>0</v>
      </c>
      <c r="I355">
        <f t="shared" si="99"/>
        <v>0</v>
      </c>
      <c r="L355">
        <f t="shared" ref="L355:L356" si="160">$AI$30</f>
        <v>2.5</v>
      </c>
      <c r="N355">
        <f t="shared" ref="N355:N356" si="161">$AI$58</f>
        <v>0.55000000000000004</v>
      </c>
      <c r="O355">
        <f t="shared" ref="O355:O356" si="162">(0.795 * N355) - 0.0014</f>
        <v>0.43585000000000007</v>
      </c>
      <c r="Q355">
        <f t="shared" ref="Q355:Q356" si="163">$AI$85</f>
        <v>50</v>
      </c>
      <c r="R355">
        <f t="shared" ref="R355:R356" si="164">(104.7 * O355 + 0.307 * Q355- 15) * POWER(Q355, 0.75) * 10^-3</f>
        <v>0.8646283676396137</v>
      </c>
      <c r="S355">
        <f t="shared" ref="S355:S356" si="165">1-EXP(-2*POWER(L355,2))</f>
        <v>0.99999627334682795</v>
      </c>
      <c r="T355">
        <f t="shared" ref="T355:T356" si="166">(I355 * J355) + (1 - I355)</f>
        <v>1</v>
      </c>
      <c r="U355">
        <f t="shared" ref="U355:U356" si="167">R355 * S355 * T355</f>
        <v>0.86462514546956482</v>
      </c>
      <c r="V355">
        <v>44</v>
      </c>
      <c r="W355">
        <f t="shared" si="107"/>
        <v>1.7834952734827821E-2</v>
      </c>
      <c r="Y355">
        <v>31</v>
      </c>
      <c r="Z355">
        <f t="shared" si="131"/>
        <v>24.326875530305148</v>
      </c>
    </row>
    <row r="356" spans="1:26" x14ac:dyDescent="0.2">
      <c r="E356" t="s">
        <v>81</v>
      </c>
      <c r="F356" t="s">
        <v>117</v>
      </c>
      <c r="G356">
        <v>0</v>
      </c>
      <c r="H356">
        <v>0</v>
      </c>
      <c r="I356">
        <f t="shared" si="99"/>
        <v>0</v>
      </c>
      <c r="L356">
        <f t="shared" si="160"/>
        <v>2.5</v>
      </c>
      <c r="N356">
        <f t="shared" si="161"/>
        <v>0.55000000000000004</v>
      </c>
      <c r="O356">
        <f t="shared" si="162"/>
        <v>0.43585000000000007</v>
      </c>
      <c r="Q356">
        <f t="shared" si="163"/>
        <v>50</v>
      </c>
      <c r="R356">
        <f t="shared" si="164"/>
        <v>0.8646283676396137</v>
      </c>
      <c r="S356">
        <f t="shared" si="165"/>
        <v>0.99999627334682795</v>
      </c>
      <c r="T356">
        <f t="shared" si="166"/>
        <v>1</v>
      </c>
      <c r="U356">
        <f t="shared" si="167"/>
        <v>0.86462514546956482</v>
      </c>
      <c r="V356">
        <v>42</v>
      </c>
      <c r="W356">
        <f t="shared" si="107"/>
        <v>1.7834952734827821E-2</v>
      </c>
      <c r="Y356">
        <v>28</v>
      </c>
      <c r="Z356">
        <f t="shared" si="131"/>
        <v>20.97390441615752</v>
      </c>
    </row>
    <row r="357" spans="1:26" x14ac:dyDescent="0.2">
      <c r="E357" t="s">
        <v>82</v>
      </c>
      <c r="F357" t="s">
        <v>118</v>
      </c>
      <c r="G357">
        <v>0</v>
      </c>
      <c r="H357">
        <v>0</v>
      </c>
      <c r="I357">
        <f t="shared" si="99"/>
        <v>0</v>
      </c>
      <c r="L357">
        <f>$AI$31</f>
        <v>1.3</v>
      </c>
      <c r="N357">
        <f>$AI$59</f>
        <v>0.67</v>
      </c>
      <c r="O357">
        <f>(0.795 * N357) - 0.0014</f>
        <v>0.53125000000000011</v>
      </c>
      <c r="Q357">
        <f>$AI$86</f>
        <v>50</v>
      </c>
      <c r="R357">
        <f>(104.7 * O357 + 0.307 * Q357- 15) * POWER(Q357, 0.75) * 10^-3</f>
        <v>1.052440031254225</v>
      </c>
      <c r="S357">
        <f>1-EXP(-2*POWER(L357,2))</f>
        <v>0.96595254526540064</v>
      </c>
      <c r="T357">
        <f>(I357 * J357) + (1 - I357)</f>
        <v>1</v>
      </c>
      <c r="U357">
        <f>R357 * S357 * T357</f>
        <v>1.0166071269292165</v>
      </c>
      <c r="V357">
        <v>40</v>
      </c>
      <c r="W357">
        <f t="shared" si="107"/>
        <v>2.0692213986269272E-2</v>
      </c>
      <c r="Y357">
        <v>31</v>
      </c>
      <c r="Z357">
        <f t="shared" si="131"/>
        <v>25.658345342973899</v>
      </c>
    </row>
    <row r="358" spans="1:26" x14ac:dyDescent="0.2">
      <c r="E358" t="s">
        <v>82</v>
      </c>
      <c r="F358" t="s">
        <v>119</v>
      </c>
      <c r="G358">
        <v>0</v>
      </c>
      <c r="H358">
        <v>0</v>
      </c>
      <c r="I358">
        <f t="shared" si="99"/>
        <v>0</v>
      </c>
      <c r="L358">
        <f t="shared" ref="L358:L359" si="168">$AI$31</f>
        <v>1.3</v>
      </c>
      <c r="N358">
        <f t="shared" ref="N358:N359" si="169">$AI$59</f>
        <v>0.67</v>
      </c>
      <c r="O358">
        <f t="shared" ref="O358:O359" si="170">(0.795 * N358) - 0.0014</f>
        <v>0.53125000000000011</v>
      </c>
      <c r="Q358">
        <f t="shared" ref="Q358:Q359" si="171">$AI$86</f>
        <v>50</v>
      </c>
      <c r="R358">
        <f t="shared" ref="R358:R359" si="172">(104.7 * O358 + 0.307 * Q358- 15) * POWER(Q358, 0.75) * 10^-3</f>
        <v>1.052440031254225</v>
      </c>
      <c r="S358">
        <f t="shared" ref="S358:S359" si="173">1-EXP(-2*POWER(L358,2))</f>
        <v>0.96595254526540064</v>
      </c>
      <c r="T358">
        <f t="shared" ref="T358:T359" si="174">(I358 * J358) + (1 - I358)</f>
        <v>1</v>
      </c>
      <c r="U358">
        <f t="shared" ref="U358:U359" si="175">R358 * S358 * T358</f>
        <v>1.0166071269292165</v>
      </c>
      <c r="V358">
        <v>39</v>
      </c>
      <c r="W358">
        <f t="shared" si="107"/>
        <v>2.0692213986269272E-2</v>
      </c>
      <c r="Y358">
        <v>30</v>
      </c>
      <c r="Z358">
        <f t="shared" si="131"/>
        <v>24.209890363935049</v>
      </c>
    </row>
    <row r="359" spans="1:26" x14ac:dyDescent="0.2">
      <c r="E359" t="s">
        <v>82</v>
      </c>
      <c r="F359" t="s">
        <v>120</v>
      </c>
      <c r="G359">
        <v>0</v>
      </c>
      <c r="H359">
        <v>0</v>
      </c>
      <c r="I359">
        <f t="shared" si="99"/>
        <v>0</v>
      </c>
      <c r="L359">
        <f t="shared" si="168"/>
        <v>1.3</v>
      </c>
      <c r="N359">
        <f t="shared" si="169"/>
        <v>0.67</v>
      </c>
      <c r="O359">
        <f t="shared" si="170"/>
        <v>0.53125000000000011</v>
      </c>
      <c r="Q359">
        <f t="shared" si="171"/>
        <v>50</v>
      </c>
      <c r="R359">
        <f t="shared" si="172"/>
        <v>1.052440031254225</v>
      </c>
      <c r="S359">
        <f t="shared" si="173"/>
        <v>0.96595254526540064</v>
      </c>
      <c r="T359">
        <f t="shared" si="174"/>
        <v>1</v>
      </c>
      <c r="U359">
        <f t="shared" si="175"/>
        <v>1.0166071269292165</v>
      </c>
      <c r="V359">
        <v>38</v>
      </c>
      <c r="W359">
        <f t="shared" si="107"/>
        <v>2.0692213986269272E-2</v>
      </c>
      <c r="Y359">
        <v>31</v>
      </c>
      <c r="Z359">
        <f t="shared" si="131"/>
        <v>24.375428075825202</v>
      </c>
    </row>
    <row r="360" spans="1:26" x14ac:dyDescent="0.2">
      <c r="E360" t="s">
        <v>83</v>
      </c>
      <c r="F360" t="s">
        <v>121</v>
      </c>
      <c r="G360">
        <v>0</v>
      </c>
      <c r="H360">
        <v>0</v>
      </c>
      <c r="I360">
        <f t="shared" si="99"/>
        <v>0</v>
      </c>
      <c r="L360">
        <f>$AI$32</f>
        <v>0.8</v>
      </c>
      <c r="N360">
        <f>$AI$60</f>
        <v>0.7</v>
      </c>
      <c r="O360">
        <f>(0.795 * N360) - 0.0014</f>
        <v>0.55510000000000004</v>
      </c>
      <c r="Q360">
        <f>$AI$87</f>
        <v>55</v>
      </c>
      <c r="R360">
        <f>(104.7 * O360 + 0.307 * Q360- 15) * POWER(Q360, 0.75) * 10^-3</f>
        <v>1.2118587484135388</v>
      </c>
      <c r="S360">
        <f>1-EXP(-2*POWER(L360,2))</f>
        <v>0.72196269954680592</v>
      </c>
      <c r="T360">
        <f>(I360 * J360) + (1 - I360)</f>
        <v>1</v>
      </c>
      <c r="U360">
        <f>R360 * S360 * T360</f>
        <v>0.87491681347405192</v>
      </c>
      <c r="V360">
        <v>35</v>
      </c>
      <c r="W360">
        <f t="shared" si="107"/>
        <v>1.8028436093312179E-2</v>
      </c>
      <c r="Y360">
        <v>30</v>
      </c>
      <c r="Z360">
        <f t="shared" si="131"/>
        <v>18.929857897977787</v>
      </c>
    </row>
    <row r="361" spans="1:26" x14ac:dyDescent="0.2">
      <c r="E361" t="s">
        <v>83</v>
      </c>
      <c r="F361" t="s">
        <v>122</v>
      </c>
      <c r="G361">
        <v>0</v>
      </c>
      <c r="H361">
        <v>0</v>
      </c>
      <c r="I361">
        <f t="shared" si="99"/>
        <v>0</v>
      </c>
      <c r="L361">
        <f t="shared" ref="L361:L362" si="176">$AI$32</f>
        <v>0.8</v>
      </c>
      <c r="N361">
        <f t="shared" ref="N361:N362" si="177">$AI$60</f>
        <v>0.7</v>
      </c>
      <c r="O361">
        <f t="shared" ref="O361:O362" si="178">(0.795 * N361) - 0.0014</f>
        <v>0.55510000000000004</v>
      </c>
      <c r="Q361">
        <f t="shared" ref="Q361:Q362" si="179">$AI$87</f>
        <v>55</v>
      </c>
      <c r="R361">
        <f t="shared" ref="R361:R362" si="180">(104.7 * O361 + 0.307 * Q361- 15) * POWER(Q361, 0.75) * 10^-3</f>
        <v>1.2118587484135388</v>
      </c>
      <c r="S361">
        <f t="shared" ref="S361:S362" si="181">1-EXP(-2*POWER(L361,2))</f>
        <v>0.72196269954680592</v>
      </c>
      <c r="T361">
        <f t="shared" ref="T361:T362" si="182">(I361 * J361) + (1 - I361)</f>
        <v>1</v>
      </c>
      <c r="U361">
        <f t="shared" ref="U361:U362" si="183">R361 * S361 * T361</f>
        <v>0.87491681347405192</v>
      </c>
      <c r="V361">
        <v>36</v>
      </c>
      <c r="W361">
        <f t="shared" si="107"/>
        <v>1.8028436093312179E-2</v>
      </c>
      <c r="Y361">
        <v>31</v>
      </c>
      <c r="Z361">
        <f t="shared" si="131"/>
        <v>20.119734680136393</v>
      </c>
    </row>
    <row r="362" spans="1:26" x14ac:dyDescent="0.2">
      <c r="E362" t="s">
        <v>83</v>
      </c>
      <c r="F362" t="s">
        <v>123</v>
      </c>
      <c r="G362">
        <v>0</v>
      </c>
      <c r="H362">
        <v>0</v>
      </c>
      <c r="I362">
        <f t="shared" si="99"/>
        <v>0</v>
      </c>
      <c r="L362">
        <f t="shared" si="176"/>
        <v>0.8</v>
      </c>
      <c r="N362">
        <f t="shared" si="177"/>
        <v>0.7</v>
      </c>
      <c r="O362">
        <f t="shared" si="178"/>
        <v>0.55510000000000004</v>
      </c>
      <c r="Q362">
        <f t="shared" si="179"/>
        <v>55</v>
      </c>
      <c r="R362">
        <f t="shared" si="180"/>
        <v>1.2118587484135388</v>
      </c>
      <c r="S362">
        <f t="shared" si="181"/>
        <v>0.72196269954680592</v>
      </c>
      <c r="T362">
        <f t="shared" si="182"/>
        <v>1</v>
      </c>
      <c r="U362">
        <f t="shared" si="183"/>
        <v>0.87491681347405192</v>
      </c>
      <c r="V362">
        <v>37</v>
      </c>
      <c r="W362">
        <f t="shared" si="107"/>
        <v>1.8028436093312179E-2</v>
      </c>
      <c r="Y362">
        <v>31</v>
      </c>
      <c r="Z362">
        <f t="shared" si="131"/>
        <v>20.678616199029069</v>
      </c>
    </row>
    <row r="363" spans="1:26" x14ac:dyDescent="0.2">
      <c r="E363" t="s">
        <v>80</v>
      </c>
      <c r="F363" t="s">
        <v>112</v>
      </c>
      <c r="G363">
        <v>25</v>
      </c>
      <c r="H363">
        <v>24</v>
      </c>
      <c r="I363">
        <f t="shared" si="99"/>
        <v>0.06</v>
      </c>
      <c r="J363">
        <f>$AF$3</f>
        <v>1.3</v>
      </c>
      <c r="L363">
        <f>$AI$29</f>
        <v>2.5</v>
      </c>
      <c r="N363">
        <f>$AI$57</f>
        <v>0.75</v>
      </c>
      <c r="O363">
        <f>(0.795 * N363) - 0.0014</f>
        <v>0.5948500000000001</v>
      </c>
      <c r="Q363">
        <f>$AI$84</f>
        <v>50</v>
      </c>
      <c r="R363">
        <f t="shared" ref="R363" si="184">(104.7 * O363 + 0.307 * Q363- 15) * POWER(Q363, 0.75) * 10^-3</f>
        <v>1.1776478069972991</v>
      </c>
      <c r="S363">
        <f>1-EXP(-2*POWER(L363,2))</f>
        <v>0.99999627334682795</v>
      </c>
      <c r="T363">
        <f t="shared" ref="T363" si="185">(I363 * J363) + (1 - I363)</f>
        <v>1.018</v>
      </c>
      <c r="U363">
        <f>R363 * S363 * T363</f>
        <v>1.1988409998419862</v>
      </c>
      <c r="V363">
        <v>40</v>
      </c>
      <c r="W363">
        <f t="shared" si="107"/>
        <v>2.4118210797029343E-2</v>
      </c>
      <c r="Y363">
        <v>30</v>
      </c>
      <c r="Z363">
        <f t="shared" si="131"/>
        <v>28.941852956435213</v>
      </c>
    </row>
    <row r="364" spans="1:26" x14ac:dyDescent="0.2">
      <c r="E364" t="s">
        <v>80</v>
      </c>
      <c r="F364" t="s">
        <v>113</v>
      </c>
      <c r="G364">
        <v>30</v>
      </c>
      <c r="H364">
        <v>28</v>
      </c>
      <c r="I364">
        <f t="shared" si="99"/>
        <v>8.4000000000000005E-2</v>
      </c>
      <c r="J364">
        <f t="shared" ref="J364:J365" si="186">$AF$3</f>
        <v>1.3</v>
      </c>
      <c r="L364">
        <f t="shared" ref="L364:L365" si="187">$AI$29</f>
        <v>2.5</v>
      </c>
      <c r="N364">
        <f t="shared" ref="N364:N365" si="188">$AI$57</f>
        <v>0.75</v>
      </c>
      <c r="O364">
        <f t="shared" ref="O364:O365" si="189">(0.795 * N364) - 0.0014</f>
        <v>0.5948500000000001</v>
      </c>
      <c r="Q364">
        <f t="shared" ref="Q364:Q365" si="190">$AI$84</f>
        <v>50</v>
      </c>
      <c r="R364">
        <f t="shared" ref="R364:R365" si="191">(104.7 * O364 + 0.307 * Q364- 15) * POWER(Q364, 0.75) * 10^-3</f>
        <v>1.1776478069972991</v>
      </c>
      <c r="S364">
        <f t="shared" ref="S364:S365" si="192">1-EXP(-2*POWER(L364,2))</f>
        <v>0.99999627334682795</v>
      </c>
      <c r="T364">
        <f t="shared" ref="T364:T365" si="193">(I364 * J364) + (1 - I364)</f>
        <v>1.0252000000000001</v>
      </c>
      <c r="U364">
        <f t="shared" ref="U364:U365" si="194">R364 * S364 * T364</f>
        <v>1.2073200324538353</v>
      </c>
      <c r="V364">
        <v>42</v>
      </c>
      <c r="W364">
        <f t="shared" si="107"/>
        <v>2.4277616610132106E-2</v>
      </c>
      <c r="Y364">
        <v>31</v>
      </c>
      <c r="Z364">
        <f t="shared" si="131"/>
        <v>31.609456826392002</v>
      </c>
    </row>
    <row r="365" spans="1:26" x14ac:dyDescent="0.2">
      <c r="E365" t="s">
        <v>80</v>
      </c>
      <c r="F365" t="s">
        <v>114</v>
      </c>
      <c r="G365">
        <v>35</v>
      </c>
      <c r="H365">
        <v>32</v>
      </c>
      <c r="I365">
        <f t="shared" si="99"/>
        <v>0.11199999999999999</v>
      </c>
      <c r="J365">
        <f t="shared" si="186"/>
        <v>1.3</v>
      </c>
      <c r="L365">
        <f t="shared" si="187"/>
        <v>2.5</v>
      </c>
      <c r="N365">
        <f t="shared" si="188"/>
        <v>0.75</v>
      </c>
      <c r="O365">
        <f t="shared" si="189"/>
        <v>0.5948500000000001</v>
      </c>
      <c r="Q365">
        <f t="shared" si="190"/>
        <v>50</v>
      </c>
      <c r="R365">
        <f t="shared" si="191"/>
        <v>1.1776478069972991</v>
      </c>
      <c r="S365">
        <f t="shared" si="192"/>
        <v>0.99999627334682795</v>
      </c>
      <c r="T365">
        <f t="shared" si="193"/>
        <v>1.0336000000000001</v>
      </c>
      <c r="U365">
        <f t="shared" si="194"/>
        <v>1.217212237167659</v>
      </c>
      <c r="V365">
        <v>43</v>
      </c>
      <c r="W365">
        <f t="shared" si="107"/>
        <v>2.4463590058751993E-2</v>
      </c>
      <c r="Y365">
        <v>30</v>
      </c>
      <c r="Z365">
        <f t="shared" si="131"/>
        <v>31.55803117579007</v>
      </c>
    </row>
    <row r="366" spans="1:26" x14ac:dyDescent="0.2">
      <c r="E366" t="s">
        <v>81</v>
      </c>
      <c r="F366" t="s">
        <v>115</v>
      </c>
      <c r="G366">
        <v>5</v>
      </c>
      <c r="H366">
        <v>3</v>
      </c>
      <c r="I366">
        <f t="shared" si="99"/>
        <v>1.5000000000000002E-3</v>
      </c>
      <c r="J366">
        <f>$AF$3</f>
        <v>1.3</v>
      </c>
      <c r="L366">
        <f>$AI$30</f>
        <v>2.5</v>
      </c>
      <c r="N366">
        <f>$AI$58</f>
        <v>0.55000000000000004</v>
      </c>
      <c r="O366">
        <f>(0.795 * N366) - 0.0014</f>
        <v>0.43585000000000007</v>
      </c>
      <c r="Q366">
        <f>$AI$85</f>
        <v>50</v>
      </c>
      <c r="R366">
        <f>(104.7 * O366 + 0.307 * Q366- 15) * POWER(Q366, 0.75) * 10^-3</f>
        <v>0.8646283676396137</v>
      </c>
      <c r="S366">
        <f>1-EXP(-2*POWER(L366,2))</f>
        <v>0.99999627334682795</v>
      </c>
      <c r="T366">
        <f>(I366 * J366) + (1 - I366)</f>
        <v>1.0004500000000001</v>
      </c>
      <c r="U366">
        <f>R366 * S366 * T366</f>
        <v>0.86501422678502615</v>
      </c>
      <c r="V366">
        <v>45</v>
      </c>
      <c r="W366">
        <f t="shared" si="107"/>
        <v>1.7842267463558492E-2</v>
      </c>
      <c r="Y366">
        <v>31</v>
      </c>
      <c r="Z366">
        <f t="shared" si="131"/>
        <v>24.889963111664098</v>
      </c>
    </row>
    <row r="367" spans="1:26" x14ac:dyDescent="0.2">
      <c r="A367">
        <v>6</v>
      </c>
      <c r="D367" t="s">
        <v>77</v>
      </c>
      <c r="E367" t="s">
        <v>81</v>
      </c>
      <c r="F367" t="s">
        <v>116</v>
      </c>
      <c r="G367">
        <v>0</v>
      </c>
      <c r="H367">
        <v>0</v>
      </c>
      <c r="I367">
        <f t="shared" si="99"/>
        <v>0</v>
      </c>
      <c r="L367">
        <f t="shared" ref="L367:L368" si="195">$AK$30</f>
        <v>2.5</v>
      </c>
      <c r="N367">
        <f t="shared" ref="N367:N368" si="196">$AK$58</f>
        <v>0.55000000000000004</v>
      </c>
      <c r="O367">
        <f t="shared" ref="O367:O368" si="197">(0.795 * N367) - 0.0014</f>
        <v>0.43585000000000007</v>
      </c>
      <c r="Q367">
        <f t="shared" ref="Q367:Q368" si="198">$AK$85</f>
        <v>24</v>
      </c>
      <c r="R367">
        <f t="shared" ref="R367:R368" si="199">(104.7 * O367 + 0.307 * Q367- 15) * POWER(Q367, 0.75) * 10^-3</f>
        <v>0.41205872426603418</v>
      </c>
      <c r="S367">
        <f t="shared" ref="S367:S368" si="200">1-EXP(-2*POWER(L367,2))</f>
        <v>0.99999627334682795</v>
      </c>
      <c r="T367">
        <v>1</v>
      </c>
      <c r="U367">
        <f t="shared" ref="U367:U368" si="201">R367 * S367 * T367</f>
        <v>0.41205718866608232</v>
      </c>
      <c r="V367">
        <v>44</v>
      </c>
      <c r="W367">
        <f t="shared" si="107"/>
        <v>9.3266751469223488E-3</v>
      </c>
      <c r="Y367">
        <v>31</v>
      </c>
      <c r="Z367">
        <f t="shared" si="131"/>
        <v>12.721584900402085</v>
      </c>
    </row>
    <row r="368" spans="1:26" x14ac:dyDescent="0.2">
      <c r="E368" t="s">
        <v>81</v>
      </c>
      <c r="F368" t="s">
        <v>117</v>
      </c>
      <c r="G368">
        <v>0</v>
      </c>
      <c r="H368">
        <v>0</v>
      </c>
      <c r="I368">
        <f t="shared" si="99"/>
        <v>0</v>
      </c>
      <c r="L368">
        <f t="shared" si="195"/>
        <v>2.5</v>
      </c>
      <c r="N368">
        <f t="shared" si="196"/>
        <v>0.55000000000000004</v>
      </c>
      <c r="O368">
        <f t="shared" si="197"/>
        <v>0.43585000000000007</v>
      </c>
      <c r="Q368">
        <f t="shared" si="198"/>
        <v>24</v>
      </c>
      <c r="R368">
        <f t="shared" si="199"/>
        <v>0.41205872426603418</v>
      </c>
      <c r="S368">
        <f t="shared" si="200"/>
        <v>0.99999627334682795</v>
      </c>
      <c r="T368">
        <v>1</v>
      </c>
      <c r="U368">
        <f t="shared" si="201"/>
        <v>0.41205718866608232</v>
      </c>
      <c r="V368">
        <v>44</v>
      </c>
      <c r="W368">
        <f t="shared" si="107"/>
        <v>9.3266751469223488E-3</v>
      </c>
      <c r="Y368">
        <v>28</v>
      </c>
      <c r="Z368">
        <f t="shared" si="131"/>
        <v>11.490463781008334</v>
      </c>
    </row>
    <row r="369" spans="5:26" x14ac:dyDescent="0.2">
      <c r="E369" t="s">
        <v>82</v>
      </c>
      <c r="F369" t="s">
        <v>118</v>
      </c>
      <c r="G369">
        <v>0</v>
      </c>
      <c r="H369">
        <v>0</v>
      </c>
      <c r="I369">
        <f t="shared" si="99"/>
        <v>0</v>
      </c>
      <c r="L369">
        <f>$AK$31</f>
        <v>1.3</v>
      </c>
      <c r="N369">
        <f>$AK$59</f>
        <v>0.67</v>
      </c>
      <c r="O369">
        <f>(0.795 * N369) - 0.0014</f>
        <v>0.53125000000000011</v>
      </c>
      <c r="Q369">
        <f>$AK$86</f>
        <v>36</v>
      </c>
      <c r="R369">
        <f>(104.7 * O369 + 0.307 * Q369- 15) * POWER(Q369, 0.75) * 10^-3</f>
        <v>0.75944776069416087</v>
      </c>
      <c r="S369">
        <f>1-EXP(-2*POWER(L369,2))</f>
        <v>0.96595254526540064</v>
      </c>
      <c r="T369">
        <v>1</v>
      </c>
      <c r="U369">
        <f>R369 * S369 * T369</f>
        <v>0.73359049743863358</v>
      </c>
      <c r="V369">
        <v>40</v>
      </c>
      <c r="W369">
        <f t="shared" si="107"/>
        <v>1.5371501351846312E-2</v>
      </c>
      <c r="Y369">
        <v>31</v>
      </c>
      <c r="Z369">
        <f t="shared" si="131"/>
        <v>19.060661676289428</v>
      </c>
    </row>
    <row r="370" spans="5:26" x14ac:dyDescent="0.2">
      <c r="E370" t="s">
        <v>82</v>
      </c>
      <c r="F370" t="s">
        <v>119</v>
      </c>
      <c r="G370">
        <v>0</v>
      </c>
      <c r="H370">
        <v>0</v>
      </c>
      <c r="I370">
        <f t="shared" si="99"/>
        <v>0</v>
      </c>
      <c r="L370">
        <f t="shared" ref="L370:L371" si="202">$AK$31</f>
        <v>1.3</v>
      </c>
      <c r="N370">
        <f t="shared" ref="N370:N371" si="203">$AK$59</f>
        <v>0.67</v>
      </c>
      <c r="O370">
        <f t="shared" ref="O370:O371" si="204">(0.795 * N370) - 0.0014</f>
        <v>0.53125000000000011</v>
      </c>
      <c r="Q370">
        <f t="shared" ref="Q370:Q371" si="205">$AK$86</f>
        <v>36</v>
      </c>
      <c r="R370">
        <f t="shared" ref="R370:R371" si="206">(104.7 * O370 + 0.307 * Q370- 15) * POWER(Q370, 0.75) * 10^-3</f>
        <v>0.75944776069416087</v>
      </c>
      <c r="S370">
        <f t="shared" ref="S370:S371" si="207">1-EXP(-2*POWER(L370,2))</f>
        <v>0.96595254526540064</v>
      </c>
      <c r="T370">
        <v>1</v>
      </c>
      <c r="U370">
        <f t="shared" ref="U370:U371" si="208">R370 * S370 * T370</f>
        <v>0.73359049743863358</v>
      </c>
      <c r="V370">
        <v>38</v>
      </c>
      <c r="W370">
        <f t="shared" si="107"/>
        <v>1.5371501351846312E-2</v>
      </c>
      <c r="Y370">
        <v>30</v>
      </c>
      <c r="Z370">
        <f t="shared" si="131"/>
        <v>17.523511541104796</v>
      </c>
    </row>
    <row r="371" spans="5:26" x14ac:dyDescent="0.2">
      <c r="E371" t="s">
        <v>82</v>
      </c>
      <c r="F371" t="s">
        <v>120</v>
      </c>
      <c r="G371">
        <v>0</v>
      </c>
      <c r="H371">
        <v>0</v>
      </c>
      <c r="I371">
        <f t="shared" si="99"/>
        <v>0</v>
      </c>
      <c r="L371">
        <f t="shared" si="202"/>
        <v>1.3</v>
      </c>
      <c r="N371">
        <f t="shared" si="203"/>
        <v>0.67</v>
      </c>
      <c r="O371">
        <f t="shared" si="204"/>
        <v>0.53125000000000011</v>
      </c>
      <c r="Q371">
        <f t="shared" si="205"/>
        <v>36</v>
      </c>
      <c r="R371">
        <f t="shared" si="206"/>
        <v>0.75944776069416087</v>
      </c>
      <c r="S371">
        <f t="shared" si="207"/>
        <v>0.96595254526540064</v>
      </c>
      <c r="T371">
        <v>1</v>
      </c>
      <c r="U371">
        <f t="shared" si="208"/>
        <v>0.73359049743863358</v>
      </c>
      <c r="V371">
        <v>36</v>
      </c>
      <c r="W371">
        <f t="shared" si="107"/>
        <v>1.5371501351846312E-2</v>
      </c>
      <c r="Y371">
        <v>31</v>
      </c>
      <c r="Z371">
        <f t="shared" si="131"/>
        <v>17.154595508660485</v>
      </c>
    </row>
    <row r="372" spans="5:26" x14ac:dyDescent="0.2">
      <c r="E372" t="s">
        <v>83</v>
      </c>
      <c r="F372" t="s">
        <v>121</v>
      </c>
      <c r="G372">
        <v>0</v>
      </c>
      <c r="H372">
        <v>0</v>
      </c>
      <c r="I372">
        <f t="shared" si="99"/>
        <v>0</v>
      </c>
      <c r="L372">
        <f>$AK$32</f>
        <v>0.8</v>
      </c>
      <c r="N372">
        <f>$AK$60</f>
        <v>0.7</v>
      </c>
      <c r="O372">
        <f>(0.795 * N372) - 0.0014</f>
        <v>0.55510000000000004</v>
      </c>
      <c r="Q372">
        <f>$AK$87</f>
        <v>42</v>
      </c>
      <c r="R372">
        <f>(104.7 * O372 + 0.307 * Q372- 15) * POWER(Q372, 0.75) * 10^-3</f>
        <v>0.92411404077093851</v>
      </c>
      <c r="S372">
        <f>1-EXP(-2*POWER(L372,2))</f>
        <v>0.72196269954680592</v>
      </c>
      <c r="T372">
        <v>1</v>
      </c>
      <c r="U372">
        <f>R372 * S372 * T372</f>
        <v>0.66717586756409386</v>
      </c>
      <c r="V372">
        <v>30</v>
      </c>
      <c r="W372">
        <f t="shared" si="107"/>
        <v>1.4122906310204965E-2</v>
      </c>
      <c r="Y372">
        <v>30</v>
      </c>
      <c r="Z372">
        <f t="shared" si="131"/>
        <v>12.710615679184469</v>
      </c>
    </row>
    <row r="373" spans="5:26" x14ac:dyDescent="0.2">
      <c r="E373" t="s">
        <v>83</v>
      </c>
      <c r="F373" t="s">
        <v>122</v>
      </c>
      <c r="G373">
        <v>0</v>
      </c>
      <c r="H373">
        <v>0</v>
      </c>
      <c r="I373">
        <f t="shared" si="99"/>
        <v>0</v>
      </c>
      <c r="L373">
        <f t="shared" ref="L373:L374" si="209">$AK$32</f>
        <v>0.8</v>
      </c>
      <c r="N373">
        <f t="shared" ref="N373:N374" si="210">$AK$60</f>
        <v>0.7</v>
      </c>
      <c r="O373">
        <f t="shared" ref="O373:O374" si="211">(0.795 * N373) - 0.0014</f>
        <v>0.55510000000000004</v>
      </c>
      <c r="Q373">
        <f t="shared" ref="Q373:Q374" si="212">$AK$87</f>
        <v>42</v>
      </c>
      <c r="R373">
        <f t="shared" ref="R373:R374" si="213">(104.7 * O373 + 0.307 * Q373- 15) * POWER(Q373, 0.75) * 10^-3</f>
        <v>0.92411404077093851</v>
      </c>
      <c r="S373">
        <f t="shared" ref="S373:S374" si="214">1-EXP(-2*POWER(L373,2))</f>
        <v>0.72196269954680592</v>
      </c>
      <c r="T373">
        <v>1</v>
      </c>
      <c r="U373">
        <f t="shared" ref="U373:U374" si="215">R373 * S373 * T373</f>
        <v>0.66717586756409386</v>
      </c>
      <c r="V373">
        <v>31</v>
      </c>
      <c r="W373">
        <f t="shared" si="107"/>
        <v>1.4122906310204965E-2</v>
      </c>
      <c r="Y373">
        <v>31</v>
      </c>
      <c r="Z373">
        <f t="shared" si="131"/>
        <v>13.572112964106971</v>
      </c>
    </row>
    <row r="374" spans="5:26" x14ac:dyDescent="0.2">
      <c r="E374" t="s">
        <v>83</v>
      </c>
      <c r="F374" t="s">
        <v>123</v>
      </c>
      <c r="G374">
        <v>0</v>
      </c>
      <c r="H374">
        <v>0</v>
      </c>
      <c r="I374">
        <f t="shared" si="99"/>
        <v>0</v>
      </c>
      <c r="L374">
        <f t="shared" si="209"/>
        <v>0.8</v>
      </c>
      <c r="N374">
        <f t="shared" si="210"/>
        <v>0.7</v>
      </c>
      <c r="O374">
        <f t="shared" si="211"/>
        <v>0.55510000000000004</v>
      </c>
      <c r="Q374">
        <f t="shared" si="212"/>
        <v>42</v>
      </c>
      <c r="R374">
        <f t="shared" si="213"/>
        <v>0.92411404077093851</v>
      </c>
      <c r="S374">
        <f t="shared" si="214"/>
        <v>0.72196269954680592</v>
      </c>
      <c r="T374">
        <v>1</v>
      </c>
      <c r="U374">
        <f t="shared" si="215"/>
        <v>0.66717586756409386</v>
      </c>
      <c r="V374">
        <v>31</v>
      </c>
      <c r="W374">
        <f t="shared" si="107"/>
        <v>1.4122906310204965E-2</v>
      </c>
      <c r="Y374">
        <v>31</v>
      </c>
      <c r="Z374">
        <f t="shared" si="131"/>
        <v>13.572112964106971</v>
      </c>
    </row>
    <row r="375" spans="5:26" x14ac:dyDescent="0.2">
      <c r="E375" t="s">
        <v>80</v>
      </c>
      <c r="F375" t="s">
        <v>112</v>
      </c>
      <c r="G375">
        <v>0</v>
      </c>
      <c r="H375">
        <v>0</v>
      </c>
      <c r="I375">
        <f t="shared" si="99"/>
        <v>0</v>
      </c>
      <c r="L375">
        <f>$AK$29</f>
        <v>2.5</v>
      </c>
      <c r="N375">
        <f>$AK$57</f>
        <v>0.75</v>
      </c>
      <c r="O375">
        <f>(0.795 * N375) - 0.0014</f>
        <v>0.5948500000000001</v>
      </c>
      <c r="Q375">
        <f>$AK$84</f>
        <v>14</v>
      </c>
      <c r="R375">
        <f>(104.7 * O375 + 0.307 * Q375- 15) * POWER(Q375, 0.75) * 10^-3</f>
        <v>0.3733079325984448</v>
      </c>
      <c r="S375">
        <f>1-EXP(-2*POWER(L375,2))</f>
        <v>0.99999627334682795</v>
      </c>
      <c r="T375">
        <v>1</v>
      </c>
      <c r="U375">
        <f>R375 * S375 * T375</f>
        <v>0.37330654140925362</v>
      </c>
      <c r="V375">
        <v>15</v>
      </c>
      <c r="W375">
        <f t="shared" si="107"/>
        <v>8.5981629784939693E-3</v>
      </c>
      <c r="X375" s="2">
        <v>18</v>
      </c>
      <c r="Y375" s="2">
        <v>18</v>
      </c>
      <c r="Z375">
        <f t="shared" si="131"/>
        <v>2.3215040041933719</v>
      </c>
    </row>
    <row r="376" spans="5:26" x14ac:dyDescent="0.2">
      <c r="E376" t="s">
        <v>80</v>
      </c>
      <c r="F376" t="s">
        <v>113</v>
      </c>
      <c r="G376">
        <v>0</v>
      </c>
      <c r="H376">
        <v>0</v>
      </c>
      <c r="I376">
        <f t="shared" si="99"/>
        <v>0</v>
      </c>
      <c r="L376">
        <f t="shared" ref="L376:L377" si="216">$AK$29</f>
        <v>2.5</v>
      </c>
      <c r="N376">
        <f t="shared" ref="N376:N377" si="217">$AK$57</f>
        <v>0.75</v>
      </c>
      <c r="O376">
        <f t="shared" ref="O376:O377" si="218">(0.795 * N376) - 0.0014</f>
        <v>0.5948500000000001</v>
      </c>
      <c r="Q376">
        <f t="shared" ref="Q376:Q377" si="219">$AK$84</f>
        <v>14</v>
      </c>
      <c r="R376">
        <f t="shared" ref="R376:R377" si="220">(104.7 * O376 + 0.307 * Q376- 15) * POWER(Q376, 0.75) * 10^-3</f>
        <v>0.3733079325984448</v>
      </c>
      <c r="S376">
        <f t="shared" ref="S376:S377" si="221">1-EXP(-2*POWER(L376,2))</f>
        <v>0.99999627334682795</v>
      </c>
      <c r="T376">
        <v>1</v>
      </c>
      <c r="U376">
        <f t="shared" ref="U376:U377" si="222">R376 * S376 * T376</f>
        <v>0.37330654140925362</v>
      </c>
      <c r="V376">
        <v>25</v>
      </c>
      <c r="W376">
        <f t="shared" si="107"/>
        <v>8.5981629784939693E-3</v>
      </c>
      <c r="X376" s="2">
        <v>20</v>
      </c>
      <c r="Y376" s="2">
        <v>20</v>
      </c>
      <c r="Z376">
        <f t="shared" si="131"/>
        <v>4.2990814892469844</v>
      </c>
    </row>
    <row r="377" spans="5:26" x14ac:dyDescent="0.2">
      <c r="E377" t="s">
        <v>80</v>
      </c>
      <c r="F377" t="s">
        <v>114</v>
      </c>
      <c r="G377">
        <v>0</v>
      </c>
      <c r="H377">
        <v>0</v>
      </c>
      <c r="I377">
        <f t="shared" si="99"/>
        <v>0</v>
      </c>
      <c r="L377">
        <f t="shared" si="216"/>
        <v>2.5</v>
      </c>
      <c r="N377">
        <f t="shared" si="217"/>
        <v>0.75</v>
      </c>
      <c r="O377">
        <f t="shared" si="218"/>
        <v>0.5948500000000001</v>
      </c>
      <c r="Q377">
        <f t="shared" si="219"/>
        <v>14</v>
      </c>
      <c r="R377">
        <f t="shared" si="220"/>
        <v>0.3733079325984448</v>
      </c>
      <c r="S377">
        <f t="shared" si="221"/>
        <v>0.99999627334682795</v>
      </c>
      <c r="T377">
        <v>1</v>
      </c>
      <c r="U377">
        <f t="shared" si="222"/>
        <v>0.37330654140925362</v>
      </c>
      <c r="V377">
        <v>34</v>
      </c>
      <c r="W377">
        <f t="shared" si="107"/>
        <v>8.5981629784939693E-3</v>
      </c>
      <c r="X377" s="2">
        <v>20</v>
      </c>
      <c r="Y377" s="2">
        <v>20</v>
      </c>
      <c r="Z377">
        <f t="shared" si="131"/>
        <v>5.8467508253758993</v>
      </c>
    </row>
    <row r="378" spans="5:26" x14ac:dyDescent="0.2">
      <c r="E378" t="s">
        <v>81</v>
      </c>
      <c r="F378" t="s">
        <v>115</v>
      </c>
      <c r="G378">
        <v>0</v>
      </c>
      <c r="H378">
        <v>0</v>
      </c>
      <c r="I378">
        <f t="shared" si="99"/>
        <v>0</v>
      </c>
      <c r="L378">
        <f>$AK$30</f>
        <v>2.5</v>
      </c>
      <c r="N378">
        <f>$AK$58</f>
        <v>0.55000000000000004</v>
      </c>
      <c r="O378">
        <f>(0.795 * N378) - 0.0014</f>
        <v>0.43585000000000007</v>
      </c>
      <c r="Q378">
        <f>$AK$85</f>
        <v>24</v>
      </c>
      <c r="R378">
        <f>(104.7 * O378 + 0.307 * Q378- 15) * POWER(Q378, 0.75) * 10^-3</f>
        <v>0.41205872426603418</v>
      </c>
      <c r="S378">
        <f>1-EXP(-2*POWER(L378,2))</f>
        <v>0.99999627334682795</v>
      </c>
      <c r="T378">
        <v>1</v>
      </c>
      <c r="U378">
        <f>R378 * S378 * T378</f>
        <v>0.41205718866608232</v>
      </c>
      <c r="V378">
        <v>45</v>
      </c>
      <c r="W378">
        <f t="shared" si="107"/>
        <v>9.3266751469223488E-3</v>
      </c>
      <c r="Y378">
        <v>31</v>
      </c>
      <c r="Z378">
        <f t="shared" si="131"/>
        <v>13.010711829956676</v>
      </c>
    </row>
  </sheetData>
  <pageMargins left="0.7" right="0.7" top="0.75" bottom="0.75" header="0.3" footer="0.3"/>
  <ignoredErrors>
    <ignoredError sqref="Y2:Z10 J11 O11 W11 N2:O10 L2:L10 G2:J10 Q2:W1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3.4.1.1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Eddie Sholl</dc:creator>
  <cp:lastModifiedBy>Eddie Sholl</cp:lastModifiedBy>
  <dcterms:created xsi:type="dcterms:W3CDTF">2026-04-30T11:19:49Z</dcterms:created>
  <dcterms:modified xsi:type="dcterms:W3CDTF">2026-08-13T02:45:39Z</dcterms:modified>
</cp:coreProperties>
</file>