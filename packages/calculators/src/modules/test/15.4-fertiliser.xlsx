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"/>
    </mc:Choice>
  </mc:AlternateContent>
  <xr:revisionPtr revIDLastSave="0" documentId="13_ncr:1_{EA199E9E-F54F-8545-8D76-5AD41BD8A9F9}" xr6:coauthVersionLast="47" xr6:coauthVersionMax="47" xr10:uidLastSave="{00000000-0000-0000-0000-000000000000}"/>
  <bookViews>
    <workbookView xWindow="940" yWindow="660" windowWidth="25940" windowHeight="16300" xr2:uid="{00000000-000D-0000-FFFF-FFFF00000000}"/>
  </bookViews>
  <sheets>
    <sheet name="15.4.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C5" i="1"/>
  <c r="C6" i="1"/>
  <c r="K6" i="1" s="1"/>
  <c r="C7" i="1"/>
  <c r="K7" i="1" s="1"/>
  <c r="C8" i="1"/>
  <c r="K8" i="1" s="1"/>
  <c r="C9" i="1"/>
  <c r="K9" i="1" s="1"/>
  <c r="C10" i="1"/>
  <c r="K10" i="1" s="1"/>
  <c r="C4" i="1"/>
  <c r="K4" i="1" s="1"/>
</calcChain>
</file>

<file path=xl/sharedStrings.xml><?xml version="1.0" encoding="utf-8"?>
<sst xmlns="http://schemas.openxmlformats.org/spreadsheetml/2006/main" count="36" uniqueCount="23">
  <si>
    <t>Method 1</t>
  </si>
  <si>
    <t>Fertiliser type</t>
  </si>
  <si>
    <t>Mass applied (kg)</t>
  </si>
  <si>
    <t>Component 1 type</t>
  </si>
  <si>
    <t>Component 1 origin</t>
  </si>
  <si>
    <t>Component 1 fraction</t>
  </si>
  <si>
    <t>Component 2 type</t>
  </si>
  <si>
    <t>Component 2 fraction</t>
  </si>
  <si>
    <t>Component 3 fraction</t>
  </si>
  <si>
    <t>Component 3 custom EF</t>
  </si>
  <si>
    <t>E (t CO2e)</t>
  </si>
  <si>
    <t>Urea</t>
  </si>
  <si>
    <t>China</t>
  </si>
  <si>
    <t>Nitrogen - Generic</t>
  </si>
  <si>
    <t>Method 2</t>
  </si>
  <si>
    <t>Custom scope 3 EF</t>
  </si>
  <si>
    <t>EF</t>
  </si>
  <si>
    <t>Single Super Phosphate (SSP)</t>
  </si>
  <si>
    <t>Ammonium Nitrate (AN)</t>
  </si>
  <si>
    <t>Calcium Ammonium Nitrate (CAN)</t>
  </si>
  <si>
    <t>Diammonium Phosphate (DAP)</t>
  </si>
  <si>
    <t>Monoammonium Phosphate (MAP)</t>
  </si>
  <si>
    <t>Sulphate of Ammonia (SOA)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</si>
</sst>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"/>
  <sheetViews>
    <sheetView tabSelected="1" topLeftCell="D1" workbookViewId="0">
      <selection activeCell="O11" sqref="O11"/>
    </sheetView>
  </sheetViews>
  <sheetFormatPr baseColWidth="10" defaultColWidth="8.83203125" defaultRowHeight="15" x14ac:dyDescent="0.2"/>
  <cols>
    <col min="1" max="1" width="25.83203125" customWidth="1"/>
    <col min="2" max="2" width="13.83203125" bestFit="1" customWidth="1"/>
    <col min="3" max="3" width="13.83203125" customWidth="1"/>
    <col min="4" max="4" width="15.1640625" bestFit="1" customWidth="1"/>
    <col min="5" max="5" width="16.5" bestFit="1" customWidth="1"/>
    <col min="6" max="6" width="18" bestFit="1" customWidth="1"/>
    <col min="7" max="7" width="15.1640625" bestFit="1" customWidth="1"/>
    <col min="8" max="9" width="18" bestFit="1" customWidth="1"/>
    <col min="10" max="10" width="19.6640625" bestFit="1" customWidth="1"/>
    <col min="14" max="14" width="33.33203125" bestFit="1" customWidth="1"/>
  </cols>
  <sheetData>
    <row r="1" spans="1:15" x14ac:dyDescent="0.2">
      <c r="A1" t="s">
        <v>0</v>
      </c>
    </row>
    <row r="3" spans="1:15" x14ac:dyDescent="0.2">
      <c r="A3" t="s">
        <v>1</v>
      </c>
      <c r="B3" t="s">
        <v>2</v>
      </c>
      <c r="C3" t="s">
        <v>16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5" x14ac:dyDescent="0.2">
      <c r="A4" t="s">
        <v>11</v>
      </c>
      <c r="B4">
        <v>1000</v>
      </c>
      <c r="C4">
        <f>_xlfn.XLOOKUP(A4, $N$5:$N$11,$O$5:$O$11)</f>
        <v>1.5</v>
      </c>
      <c r="K4">
        <f>B4*C4*10^-3</f>
        <v>1.5</v>
      </c>
    </row>
    <row r="5" spans="1:15" ht="16" x14ac:dyDescent="0.2">
      <c r="A5" t="s">
        <v>11</v>
      </c>
      <c r="B5">
        <v>1000</v>
      </c>
      <c r="C5">
        <f t="shared" ref="C5:C9" si="0">_xlfn.XLOOKUP(A5, $N$5:$N$11,$O$5:$O$11)</f>
        <v>1.5</v>
      </c>
      <c r="D5" t="s">
        <v>11</v>
      </c>
      <c r="E5" t="s">
        <v>12</v>
      </c>
      <c r="F5">
        <v>0.5</v>
      </c>
      <c r="G5" t="s">
        <v>13</v>
      </c>
      <c r="H5">
        <v>0.3</v>
      </c>
      <c r="I5">
        <v>0.2</v>
      </c>
      <c r="J5">
        <v>1.2</v>
      </c>
      <c r="K5">
        <v>2.5449999999999999</v>
      </c>
      <c r="N5" s="1" t="s">
        <v>18</v>
      </c>
      <c r="O5" s="1">
        <v>2.12</v>
      </c>
    </row>
    <row r="6" spans="1:15" ht="16" x14ac:dyDescent="0.2">
      <c r="A6" s="1" t="s">
        <v>18</v>
      </c>
      <c r="B6">
        <v>1100</v>
      </c>
      <c r="C6">
        <f t="shared" si="0"/>
        <v>2.12</v>
      </c>
      <c r="K6">
        <f>B6*C6*10^-3</f>
        <v>2.3319999999999999</v>
      </c>
      <c r="N6" s="1" t="s">
        <v>19</v>
      </c>
      <c r="O6" s="1">
        <v>1.25</v>
      </c>
    </row>
    <row r="7" spans="1:15" ht="16" x14ac:dyDescent="0.2">
      <c r="A7" s="1" t="s">
        <v>19</v>
      </c>
      <c r="B7">
        <v>1200</v>
      </c>
      <c r="C7">
        <f t="shared" si="0"/>
        <v>1.25</v>
      </c>
      <c r="K7">
        <f t="shared" ref="K7:K10" si="1">B7*C7*10^-3</f>
        <v>1.5</v>
      </c>
      <c r="N7" s="1" t="s">
        <v>20</v>
      </c>
      <c r="O7" s="1">
        <v>1.34</v>
      </c>
    </row>
    <row r="8" spans="1:15" ht="16" x14ac:dyDescent="0.2">
      <c r="A8" s="1" t="s">
        <v>20</v>
      </c>
      <c r="B8">
        <v>1300</v>
      </c>
      <c r="C8">
        <f t="shared" si="0"/>
        <v>1.34</v>
      </c>
      <c r="K8">
        <f t="shared" si="1"/>
        <v>1.742</v>
      </c>
      <c r="N8" s="1" t="s">
        <v>21</v>
      </c>
      <c r="O8" s="1">
        <v>0.83</v>
      </c>
    </row>
    <row r="9" spans="1:15" ht="16" x14ac:dyDescent="0.2">
      <c r="A9" s="1" t="s">
        <v>21</v>
      </c>
      <c r="B9">
        <v>1400</v>
      </c>
      <c r="C9">
        <f t="shared" si="0"/>
        <v>0.83</v>
      </c>
      <c r="K9">
        <f t="shared" si="1"/>
        <v>1.1619999999999999</v>
      </c>
      <c r="N9" s="1"/>
      <c r="O9" s="1"/>
    </row>
    <row r="10" spans="1:15" ht="16" x14ac:dyDescent="0.2">
      <c r="A10" s="1" t="s">
        <v>22</v>
      </c>
      <c r="B10">
        <v>1600</v>
      </c>
      <c r="C10">
        <f>_xlfn.XLOOKUP(A10, $N$5:$N$11,$O$5:$O$11)</f>
        <v>0.47</v>
      </c>
      <c r="K10">
        <f t="shared" si="1"/>
        <v>0.752</v>
      </c>
      <c r="N10" s="1" t="s">
        <v>22</v>
      </c>
      <c r="O10" s="1">
        <v>0.47</v>
      </c>
    </row>
    <row r="11" spans="1:15" ht="16" x14ac:dyDescent="0.2">
      <c r="N11" s="1" t="s">
        <v>11</v>
      </c>
      <c r="O11" s="1">
        <v>1.5</v>
      </c>
    </row>
    <row r="12" spans="1:15" ht="16" x14ac:dyDescent="0.2">
      <c r="A12" s="1"/>
    </row>
    <row r="13" spans="1:15" ht="16" x14ac:dyDescent="0.2">
      <c r="A13" s="1" t="s">
        <v>17</v>
      </c>
    </row>
    <row r="18" spans="1:5" x14ac:dyDescent="0.2">
      <c r="A18" t="s">
        <v>14</v>
      </c>
    </row>
    <row r="20" spans="1:5" x14ac:dyDescent="0.2">
      <c r="A20" t="s">
        <v>1</v>
      </c>
      <c r="B20" t="s">
        <v>2</v>
      </c>
      <c r="D20" t="s">
        <v>15</v>
      </c>
      <c r="E20" t="s">
        <v>10</v>
      </c>
    </row>
    <row r="21" spans="1:5" x14ac:dyDescent="0.2">
      <c r="A21" t="s">
        <v>11</v>
      </c>
      <c r="B21">
        <v>1000</v>
      </c>
      <c r="D21">
        <v>1.8</v>
      </c>
      <c r="E21">
        <f>B21*D21*10^-3</f>
        <v>1.8</v>
      </c>
    </row>
    <row r="22" spans="1:5" ht="16" x14ac:dyDescent="0.2">
      <c r="A22" s="1" t="s">
        <v>18</v>
      </c>
      <c r="B22">
        <v>1100</v>
      </c>
      <c r="D22">
        <v>0.8</v>
      </c>
      <c r="E22">
        <f>B22*D22*10^-3</f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15.4.1.1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Eddie Sholl</cp:lastModifiedBy>
  <dcterms:modified xsi:type="dcterms:W3CDTF">2026-09-11T05:40:36Z</dcterms:modified>
</cp:coreProperties>
</file>