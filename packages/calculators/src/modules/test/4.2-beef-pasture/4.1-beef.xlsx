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202300"/>
  <mc:AlternateContent xmlns:mc="http://schemas.openxmlformats.org/markup-compatibility/2006">
    <mc:Choice Requires="x15">
      <x15ac:absPath xmlns:x15ac="http://schemas.microsoft.com/office/spreadsheetml/2010/11/ac" url="/Users/eddiesholl/Code/aginnovationaustralia/emissions-calculators/packages/calculators/src/modules/test/4.2-beef-pasture/"/>
    </mc:Choice>
  </mc:AlternateContent>
  <xr:revisionPtr revIDLastSave="0" documentId="13_ncr:1_{761BE235-27E3-AD40-8892-1313DD3CBA00}" xr6:coauthVersionLast="47" xr6:coauthVersionMax="47" xr10:uidLastSave="{00000000-0000-0000-0000-000000000000}"/>
  <bookViews>
    <workbookView xWindow="51140" yWindow="13800" windowWidth="28800" windowHeight="27520" xr2:uid="{00000000-000D-0000-FFFF-FFFF00000000}"/>
  </bookViews>
  <sheets>
    <sheet name="4.2.1 methane" sheetId="2" r:id="rId1"/>
    <sheet name="Check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41" i="2" l="1"/>
  <c r="Y142" i="2"/>
  <c r="Z142" i="2"/>
  <c r="AC142" i="2"/>
  <c r="AD142" i="2"/>
  <c r="AE142" i="2" s="1"/>
  <c r="AG142" i="2" s="1"/>
  <c r="Y143" i="2"/>
  <c r="Z143" i="2"/>
  <c r="AC143" i="2"/>
  <c r="AI143" i="2" s="1"/>
  <c r="AJ143" i="2" s="1"/>
  <c r="Y144" i="2"/>
  <c r="Z144" i="2"/>
  <c r="AC144" i="2"/>
  <c r="AI144" i="2" s="1"/>
  <c r="AJ144" i="2" s="1"/>
  <c r="Y145" i="2"/>
  <c r="Z145" i="2"/>
  <c r="AC145" i="2"/>
  <c r="AI145" i="2" s="1"/>
  <c r="AJ145" i="2" s="1"/>
  <c r="Y146" i="2"/>
  <c r="Z146" i="2"/>
  <c r="AA146" i="2"/>
  <c r="AK146" i="2" s="1"/>
  <c r="AL146" i="2" s="1"/>
  <c r="AB146" i="2"/>
  <c r="AC146" i="2"/>
  <c r="AD146" i="2" s="1"/>
  <c r="AI146" i="2"/>
  <c r="AJ146" i="2" s="1"/>
  <c r="Y147" i="2"/>
  <c r="Z147" i="2"/>
  <c r="AC147" i="2"/>
  <c r="AB147" i="2" s="1"/>
  <c r="AD147" i="2"/>
  <c r="AE147" i="2"/>
  <c r="AF147" i="2"/>
  <c r="AH147" i="2" s="1"/>
  <c r="AG147" i="2"/>
  <c r="AI147" i="2"/>
  <c r="AJ147" i="2" s="1"/>
  <c r="Y148" i="2"/>
  <c r="Z148" i="2"/>
  <c r="AC148" i="2"/>
  <c r="AD148" i="2"/>
  <c r="AF148" i="2" s="1"/>
  <c r="AH148" i="2" s="1"/>
  <c r="AE148" i="2"/>
  <c r="AG148" i="2" s="1"/>
  <c r="AI148" i="2"/>
  <c r="AJ148" i="2" s="1"/>
  <c r="Y149" i="2"/>
  <c r="Z149" i="2"/>
  <c r="AC149" i="2"/>
  <c r="AI149" i="2" s="1"/>
  <c r="AJ149" i="2" s="1"/>
  <c r="Y150" i="2"/>
  <c r="Z150" i="2"/>
  <c r="AC150" i="2"/>
  <c r="AI150" i="2" s="1"/>
  <c r="AJ150" i="2" s="1"/>
  <c r="Y151" i="2"/>
  <c r="Z151" i="2"/>
  <c r="AC151" i="2"/>
  <c r="AI151" i="2" s="1"/>
  <c r="AJ151" i="2" s="1"/>
  <c r="Y152" i="2"/>
  <c r="Z152" i="2"/>
  <c r="AA152" i="2"/>
  <c r="AK152" i="2" s="1"/>
  <c r="AL152" i="2" s="1"/>
  <c r="AB152" i="2"/>
  <c r="AC152" i="2"/>
  <c r="AD152" i="2" s="1"/>
  <c r="AI152" i="2"/>
  <c r="AJ152" i="2" s="1"/>
  <c r="Y153" i="2"/>
  <c r="Z153" i="2"/>
  <c r="AC153" i="2"/>
  <c r="AB153" i="2" s="1"/>
  <c r="AD153" i="2"/>
  <c r="AE153" i="2"/>
  <c r="AF153" i="2"/>
  <c r="AH153" i="2" s="1"/>
  <c r="AG153" i="2"/>
  <c r="AI153" i="2"/>
  <c r="AJ153" i="2" s="1"/>
  <c r="Y154" i="2"/>
  <c r="Z154" i="2"/>
  <c r="AC154" i="2"/>
  <c r="AD154" i="2"/>
  <c r="AF154" i="2" s="1"/>
  <c r="AH154" i="2" s="1"/>
  <c r="AE154" i="2"/>
  <c r="AG154" i="2"/>
  <c r="AI154" i="2"/>
  <c r="AJ154" i="2" s="1"/>
  <c r="Y155" i="2"/>
  <c r="Z155" i="2"/>
  <c r="AC155" i="2"/>
  <c r="AI155" i="2" s="1"/>
  <c r="AJ155" i="2" s="1"/>
  <c r="Y156" i="2"/>
  <c r="Z156" i="2"/>
  <c r="AC156" i="2"/>
  <c r="AI156" i="2" s="1"/>
  <c r="AJ156" i="2" s="1"/>
  <c r="Y157" i="2"/>
  <c r="Z157" i="2"/>
  <c r="AC157" i="2"/>
  <c r="AI157" i="2" s="1"/>
  <c r="AJ157" i="2" s="1"/>
  <c r="Y158" i="2"/>
  <c r="AA158" i="2" s="1"/>
  <c r="AK158" i="2" s="1"/>
  <c r="AL158" i="2" s="1"/>
  <c r="Z158" i="2"/>
  <c r="AB158" i="2"/>
  <c r="AC158" i="2"/>
  <c r="AD158" i="2" s="1"/>
  <c r="AI158" i="2"/>
  <c r="AJ158" i="2" s="1"/>
  <c r="Y159" i="2"/>
  <c r="Z159" i="2"/>
  <c r="AC159" i="2"/>
  <c r="AB159" i="2" s="1"/>
  <c r="AD159" i="2"/>
  <c r="AE159" i="2"/>
  <c r="AF159" i="2"/>
  <c r="AH159" i="2" s="1"/>
  <c r="AG159" i="2"/>
  <c r="AI159" i="2"/>
  <c r="AJ159" i="2" s="1"/>
  <c r="Y160" i="2"/>
  <c r="Z160" i="2"/>
  <c r="AC160" i="2"/>
  <c r="AD160" i="2"/>
  <c r="AF160" i="2" s="1"/>
  <c r="AH160" i="2" s="1"/>
  <c r="AE160" i="2"/>
  <c r="AG160" i="2"/>
  <c r="AI160" i="2"/>
  <c r="AJ160" i="2" s="1"/>
  <c r="Y161" i="2"/>
  <c r="Z161" i="2"/>
  <c r="AC161" i="2"/>
  <c r="AI161" i="2" s="1"/>
  <c r="AJ161" i="2" s="1"/>
  <c r="Y162" i="2"/>
  <c r="Z162" i="2"/>
  <c r="AC162" i="2"/>
  <c r="AI162" i="2" s="1"/>
  <c r="AJ162" i="2" s="1"/>
  <c r="Y163" i="2"/>
  <c r="Z163" i="2"/>
  <c r="AC163" i="2"/>
  <c r="Y164" i="2"/>
  <c r="Z164" i="2"/>
  <c r="AA164" i="2"/>
  <c r="AK164" i="2" s="1"/>
  <c r="AL164" i="2" s="1"/>
  <c r="AB164" i="2"/>
  <c r="AC164" i="2"/>
  <c r="AD164" i="2" s="1"/>
  <c r="AI164" i="2"/>
  <c r="AJ164" i="2" s="1"/>
  <c r="Y165" i="2"/>
  <c r="AA165" i="2" s="1"/>
  <c r="AK165" i="2" s="1"/>
  <c r="AL165" i="2" s="1"/>
  <c r="Z165" i="2"/>
  <c r="AC165" i="2"/>
  <c r="AB165" i="2" s="1"/>
  <c r="AD165" i="2"/>
  <c r="AE165" i="2"/>
  <c r="AF165" i="2"/>
  <c r="AH165" i="2" s="1"/>
  <c r="AG165" i="2"/>
  <c r="AI165" i="2"/>
  <c r="AJ165" i="2" s="1"/>
  <c r="Y166" i="2"/>
  <c r="Z166" i="2"/>
  <c r="AC166" i="2"/>
  <c r="AD166" i="2"/>
  <c r="AF166" i="2" s="1"/>
  <c r="AH166" i="2" s="1"/>
  <c r="AE166" i="2"/>
  <c r="AG166" i="2"/>
  <c r="AI166" i="2"/>
  <c r="AJ166" i="2" s="1"/>
  <c r="Y167" i="2"/>
  <c r="Z167" i="2"/>
  <c r="AC167" i="2"/>
  <c r="AI167" i="2" s="1"/>
  <c r="AJ167" i="2" s="1"/>
  <c r="Y168" i="2"/>
  <c r="Z168" i="2"/>
  <c r="AC168" i="2"/>
  <c r="AI168" i="2" s="1"/>
  <c r="AJ168" i="2" s="1"/>
  <c r="Y169" i="2"/>
  <c r="Z169" i="2"/>
  <c r="AC169" i="2"/>
  <c r="Y170" i="2"/>
  <c r="Z170" i="2"/>
  <c r="AA170" i="2"/>
  <c r="AK170" i="2" s="1"/>
  <c r="AL170" i="2" s="1"/>
  <c r="AB170" i="2"/>
  <c r="AC170" i="2"/>
  <c r="AD170" i="2" s="1"/>
  <c r="AI170" i="2"/>
  <c r="AJ170" i="2" s="1"/>
  <c r="Y171" i="2"/>
  <c r="Z171" i="2"/>
  <c r="AC171" i="2"/>
  <c r="AB171" i="2" s="1"/>
  <c r="AD171" i="2"/>
  <c r="AE171" i="2"/>
  <c r="AF171" i="2"/>
  <c r="AH171" i="2" s="1"/>
  <c r="AG171" i="2"/>
  <c r="AI171" i="2"/>
  <c r="AJ171" i="2" s="1"/>
  <c r="Y172" i="2"/>
  <c r="Z172" i="2"/>
  <c r="AC172" i="2"/>
  <c r="AD172" i="2"/>
  <c r="AF172" i="2" s="1"/>
  <c r="AH172" i="2" s="1"/>
  <c r="AE172" i="2"/>
  <c r="AG172" i="2"/>
  <c r="AI172" i="2"/>
  <c r="AJ172" i="2" s="1"/>
  <c r="Y173" i="2"/>
  <c r="Z173" i="2"/>
  <c r="AC173" i="2"/>
  <c r="AI173" i="2" s="1"/>
  <c r="AJ173" i="2" s="1"/>
  <c r="Y174" i="2"/>
  <c r="Z174" i="2"/>
  <c r="AC174" i="2"/>
  <c r="AI174" i="2" s="1"/>
  <c r="AJ174" i="2" s="1"/>
  <c r="Y175" i="2"/>
  <c r="Z175" i="2"/>
  <c r="AC175" i="2"/>
  <c r="AI175" i="2" s="1"/>
  <c r="AJ175" i="2" s="1"/>
  <c r="Y176" i="2"/>
  <c r="Z176" i="2"/>
  <c r="AA176" i="2"/>
  <c r="AK176" i="2" s="1"/>
  <c r="AL176" i="2" s="1"/>
  <c r="AB176" i="2"/>
  <c r="AC176" i="2"/>
  <c r="AD176" i="2" s="1"/>
  <c r="AI176" i="2"/>
  <c r="AJ176" i="2" s="1"/>
  <c r="Y177" i="2"/>
  <c r="AA177" i="2" s="1"/>
  <c r="AK177" i="2" s="1"/>
  <c r="AL177" i="2" s="1"/>
  <c r="Z177" i="2"/>
  <c r="AC177" i="2"/>
  <c r="AB177" i="2" s="1"/>
  <c r="AD177" i="2"/>
  <c r="AE177" i="2"/>
  <c r="AF177" i="2"/>
  <c r="AH177" i="2" s="1"/>
  <c r="AG177" i="2"/>
  <c r="AI177" i="2"/>
  <c r="AJ177" i="2" s="1"/>
  <c r="Y178" i="2"/>
  <c r="Z178" i="2"/>
  <c r="AC178" i="2"/>
  <c r="AD178" i="2"/>
  <c r="AF178" i="2" s="1"/>
  <c r="AH178" i="2" s="1"/>
  <c r="AE178" i="2"/>
  <c r="AG178" i="2"/>
  <c r="AI178" i="2"/>
  <c r="AJ178" i="2" s="1"/>
  <c r="Y179" i="2"/>
  <c r="Z179" i="2"/>
  <c r="AC179" i="2"/>
  <c r="AI179" i="2" s="1"/>
  <c r="AJ179" i="2" s="1"/>
  <c r="Y180" i="2"/>
  <c r="Z180" i="2"/>
  <c r="AC180" i="2"/>
  <c r="AI180" i="2" s="1"/>
  <c r="AJ180" i="2" s="1"/>
  <c r="AF141" i="2"/>
  <c r="AE141" i="2"/>
  <c r="AI141" i="2"/>
  <c r="AJ141" i="2" s="1"/>
  <c r="AC141" i="2"/>
  <c r="Z141" i="2"/>
  <c r="Y141" i="2"/>
  <c r="W92" i="2"/>
  <c r="AI92" i="2" s="1"/>
  <c r="W100" i="2"/>
  <c r="W116" i="2"/>
  <c r="X112" i="2"/>
  <c r="X108" i="2"/>
  <c r="W115" i="2"/>
  <c r="W99" i="2"/>
  <c r="W91" i="2"/>
  <c r="X111" i="2"/>
  <c r="Y111" i="2" s="1"/>
  <c r="AA111" i="2" s="1"/>
  <c r="Y108" i="2"/>
  <c r="AA108" i="2" s="1"/>
  <c r="X107" i="2"/>
  <c r="Y107" i="2" s="1"/>
  <c r="AI91" i="2"/>
  <c r="Z92" i="2"/>
  <c r="Z93" i="2"/>
  <c r="Z94" i="2"/>
  <c r="Z95" i="2"/>
  <c r="AI95" i="2" s="1"/>
  <c r="AJ95" i="2" s="1"/>
  <c r="Z96" i="2"/>
  <c r="Z97" i="2"/>
  <c r="Z98" i="2"/>
  <c r="Z99" i="2"/>
  <c r="Z100" i="2"/>
  <c r="AI100" i="2" s="1"/>
  <c r="Z101" i="2"/>
  <c r="AI101" i="2" s="1"/>
  <c r="AJ101" i="2" s="1"/>
  <c r="Z102" i="2"/>
  <c r="AI102" i="2" s="1"/>
  <c r="AJ102" i="2" s="1"/>
  <c r="Z103" i="2"/>
  <c r="AI103" i="2" s="1"/>
  <c r="Z104" i="2"/>
  <c r="Z105" i="2"/>
  <c r="Z106" i="2"/>
  <c r="Z107" i="2"/>
  <c r="AI107" i="2" s="1"/>
  <c r="AJ107" i="2" s="1"/>
  <c r="Z108" i="2"/>
  <c r="Z109" i="2"/>
  <c r="Z110" i="2"/>
  <c r="Z111" i="2"/>
  <c r="Z112" i="2"/>
  <c r="AI112" i="2" s="1"/>
  <c r="Z113" i="2"/>
  <c r="AI113" i="2" s="1"/>
  <c r="AJ113" i="2" s="1"/>
  <c r="Z114" i="2"/>
  <c r="AI114" i="2" s="1"/>
  <c r="AJ114" i="2" s="1"/>
  <c r="Z115" i="2"/>
  <c r="AI115" i="2" s="1"/>
  <c r="Z116" i="2"/>
  <c r="Z117" i="2"/>
  <c r="Z118" i="2"/>
  <c r="Z119" i="2"/>
  <c r="AI119" i="2" s="1"/>
  <c r="AJ119" i="2" s="1"/>
  <c r="Z120" i="2"/>
  <c r="Z121" i="2"/>
  <c r="Z122" i="2"/>
  <c r="Z123" i="2"/>
  <c r="Z124" i="2"/>
  <c r="AI124" i="2" s="1"/>
  <c r="Z125" i="2"/>
  <c r="AI125" i="2" s="1"/>
  <c r="AJ125" i="2" s="1"/>
  <c r="Z126" i="2"/>
  <c r="AI126" i="2" s="1"/>
  <c r="AJ126" i="2" s="1"/>
  <c r="Z127" i="2"/>
  <c r="AI127" i="2" s="1"/>
  <c r="AJ127" i="2" s="1"/>
  <c r="Z128" i="2"/>
  <c r="Z129" i="2"/>
  <c r="Z130" i="2"/>
  <c r="Z91" i="2"/>
  <c r="AI93" i="2"/>
  <c r="AI94" i="2"/>
  <c r="AI96" i="2"/>
  <c r="AI97" i="2"/>
  <c r="AI98" i="2"/>
  <c r="AI99" i="2"/>
  <c r="AI104" i="2"/>
  <c r="AI105" i="2"/>
  <c r="AI106" i="2"/>
  <c r="AI108" i="2"/>
  <c r="AJ108" i="2" s="1"/>
  <c r="AI109" i="2"/>
  <c r="AI110" i="2"/>
  <c r="AI111" i="2"/>
  <c r="AI116" i="2"/>
  <c r="AI117" i="2"/>
  <c r="AI118" i="2"/>
  <c r="AI120" i="2"/>
  <c r="AI121" i="2"/>
  <c r="AJ121" i="2" s="1"/>
  <c r="AI122" i="2"/>
  <c r="AI123" i="2"/>
  <c r="AI128" i="2"/>
  <c r="AI129" i="2"/>
  <c r="AI130" i="2"/>
  <c r="AE92" i="2"/>
  <c r="AF92" i="2"/>
  <c r="AE93" i="2"/>
  <c r="AF93" i="2"/>
  <c r="AE94" i="2"/>
  <c r="AF94" i="2"/>
  <c r="AE95" i="2"/>
  <c r="AF95" i="2"/>
  <c r="AE96" i="2"/>
  <c r="AF96" i="2"/>
  <c r="AE97" i="2"/>
  <c r="AF97" i="2"/>
  <c r="AE98" i="2"/>
  <c r="AF98" i="2"/>
  <c r="AE99" i="2"/>
  <c r="AF99" i="2"/>
  <c r="AE100" i="2"/>
  <c r="AF100" i="2"/>
  <c r="AE101" i="2"/>
  <c r="AF101" i="2"/>
  <c r="AE102" i="2"/>
  <c r="AF102" i="2"/>
  <c r="AE103" i="2"/>
  <c r="AF103" i="2"/>
  <c r="AE104" i="2"/>
  <c r="AF104" i="2"/>
  <c r="AE105" i="2"/>
  <c r="AF105" i="2"/>
  <c r="AE106" i="2"/>
  <c r="AF106" i="2"/>
  <c r="AE107" i="2"/>
  <c r="AF107" i="2"/>
  <c r="AE108" i="2"/>
  <c r="AF108" i="2"/>
  <c r="AE109" i="2"/>
  <c r="AF109" i="2"/>
  <c r="AE110" i="2"/>
  <c r="AF110" i="2"/>
  <c r="AE111" i="2"/>
  <c r="AF111" i="2"/>
  <c r="AE112" i="2"/>
  <c r="AF112" i="2"/>
  <c r="AE113" i="2"/>
  <c r="AF113" i="2"/>
  <c r="AE114" i="2"/>
  <c r="AF114" i="2"/>
  <c r="AE115" i="2"/>
  <c r="AF115" i="2"/>
  <c r="AE116" i="2"/>
  <c r="AF116" i="2"/>
  <c r="AE117" i="2"/>
  <c r="AF117" i="2"/>
  <c r="AE118" i="2"/>
  <c r="AF118" i="2"/>
  <c r="AE119" i="2"/>
  <c r="AF119" i="2"/>
  <c r="AE120" i="2"/>
  <c r="AF120" i="2"/>
  <c r="AE121" i="2"/>
  <c r="AF121" i="2"/>
  <c r="AE122" i="2"/>
  <c r="AF122" i="2"/>
  <c r="AE123" i="2"/>
  <c r="AF123" i="2"/>
  <c r="AE124" i="2"/>
  <c r="AF124" i="2"/>
  <c r="AE125" i="2"/>
  <c r="AF125" i="2"/>
  <c r="AE126" i="2"/>
  <c r="AF126" i="2"/>
  <c r="AE127" i="2"/>
  <c r="AF127" i="2"/>
  <c r="AE128" i="2"/>
  <c r="AF128" i="2"/>
  <c r="AE129" i="2"/>
  <c r="AF129" i="2"/>
  <c r="AE130" i="2"/>
  <c r="AF130" i="2"/>
  <c r="AF91" i="2"/>
  <c r="AE9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A55" i="2" s="1"/>
  <c r="AB56" i="2"/>
  <c r="AB57" i="2"/>
  <c r="AA57" i="2" s="1"/>
  <c r="AK57" i="2" s="1"/>
  <c r="AL57" i="2" s="1"/>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A104" i="2" s="1"/>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1" i="2"/>
  <c r="J141" i="2"/>
  <c r="BK141" i="2"/>
  <c r="BJ141" i="2"/>
  <c r="BI141" i="2"/>
  <c r="BG141" i="2"/>
  <c r="BE141" i="2"/>
  <c r="BA141" i="2"/>
  <c r="AZ141" i="2"/>
  <c r="AY141" i="2"/>
  <c r="P180" i="2" a="1"/>
  <c r="P180" i="2" s="1"/>
  <c r="Q180" i="2" s="1"/>
  <c r="P179" i="2" a="1"/>
  <c r="P179" i="2" s="1"/>
  <c r="Q179" i="2" s="1"/>
  <c r="P178" i="2" a="1"/>
  <c r="P178" i="2" s="1"/>
  <c r="Q178" i="2" s="1"/>
  <c r="P177" i="2" a="1"/>
  <c r="P177" i="2" s="1"/>
  <c r="Q177" i="2" s="1"/>
  <c r="P176" i="2" a="1"/>
  <c r="P176" i="2" s="1"/>
  <c r="Q176" i="2" s="1"/>
  <c r="P175" i="2" a="1"/>
  <c r="P175" i="2" s="1"/>
  <c r="Q175" i="2" s="1"/>
  <c r="P174" i="2" a="1"/>
  <c r="P174" i="2" s="1"/>
  <c r="Q174" i="2" s="1"/>
  <c r="P173" i="2" a="1"/>
  <c r="P173" i="2" s="1"/>
  <c r="Q173" i="2" s="1"/>
  <c r="P172" i="2" a="1"/>
  <c r="P172" i="2" s="1"/>
  <c r="Q172" i="2" s="1"/>
  <c r="P171" i="2" a="1"/>
  <c r="P171" i="2" s="1"/>
  <c r="Q171" i="2" s="1"/>
  <c r="P170" i="2" a="1"/>
  <c r="P170" i="2" s="1"/>
  <c r="Q170" i="2" s="1"/>
  <c r="P169" i="2" a="1"/>
  <c r="P169" i="2" s="1"/>
  <c r="Q169" i="2" s="1"/>
  <c r="P168" i="2" a="1"/>
  <c r="P168" i="2" s="1"/>
  <c r="Q168" i="2" s="1"/>
  <c r="P167" i="2" a="1"/>
  <c r="P167" i="2" s="1"/>
  <c r="Q167" i="2" s="1"/>
  <c r="P166" i="2" a="1"/>
  <c r="P166" i="2" s="1"/>
  <c r="Q166" i="2" s="1"/>
  <c r="P165" i="2" a="1"/>
  <c r="P165" i="2" s="1"/>
  <c r="Q165" i="2" s="1"/>
  <c r="P164" i="2" a="1"/>
  <c r="P164" i="2" s="1"/>
  <c r="Q164" i="2" s="1"/>
  <c r="P163" i="2" a="1"/>
  <c r="P163" i="2" s="1"/>
  <c r="Q163" i="2" s="1"/>
  <c r="P162" i="2" a="1"/>
  <c r="P162" i="2" s="1"/>
  <c r="Q162" i="2" s="1"/>
  <c r="P161" i="2" a="1"/>
  <c r="P161" i="2" s="1"/>
  <c r="Q161" i="2" s="1"/>
  <c r="P160" i="2" a="1"/>
  <c r="P160" i="2" s="1"/>
  <c r="Q160" i="2" s="1"/>
  <c r="P159" i="2" a="1"/>
  <c r="P159" i="2" s="1"/>
  <c r="Q159" i="2" s="1"/>
  <c r="P158" i="2" a="1"/>
  <c r="P158" i="2" s="1"/>
  <c r="Q158" i="2" s="1"/>
  <c r="P157" i="2" a="1"/>
  <c r="P157" i="2" s="1"/>
  <c r="Q157" i="2" s="1"/>
  <c r="P156" i="2" a="1"/>
  <c r="P156" i="2" s="1"/>
  <c r="Q156" i="2" s="1"/>
  <c r="P155" i="2" a="1"/>
  <c r="P155" i="2" s="1"/>
  <c r="Q155" i="2" s="1"/>
  <c r="P154" i="2" a="1"/>
  <c r="P154" i="2" s="1"/>
  <c r="Q154" i="2" s="1"/>
  <c r="P153" i="2" a="1"/>
  <c r="P153" i="2" s="1"/>
  <c r="Q153" i="2" s="1"/>
  <c r="P152" i="2" a="1"/>
  <c r="P152" i="2" s="1"/>
  <c r="Q152" i="2" s="1"/>
  <c r="P151" i="2" a="1"/>
  <c r="P151" i="2" s="1"/>
  <c r="Q151" i="2" s="1"/>
  <c r="P150" i="2" a="1"/>
  <c r="P150" i="2" s="1"/>
  <c r="Q150" i="2" s="1"/>
  <c r="P149" i="2" a="1"/>
  <c r="P149" i="2" s="1"/>
  <c r="Q149" i="2" s="1"/>
  <c r="P148" i="2" a="1"/>
  <c r="P148" i="2" s="1"/>
  <c r="Q148" i="2" s="1"/>
  <c r="P147" i="2" a="1"/>
  <c r="P147" i="2" s="1"/>
  <c r="Q147" i="2" s="1"/>
  <c r="P146" i="2" a="1"/>
  <c r="P146" i="2" s="1"/>
  <c r="Q146" i="2" s="1"/>
  <c r="P145" i="2" a="1"/>
  <c r="P145" i="2" s="1"/>
  <c r="Q145" i="2" s="1"/>
  <c r="P144" i="2" a="1"/>
  <c r="P144" i="2" s="1"/>
  <c r="Q144" i="2" s="1"/>
  <c r="P143" i="2" a="1"/>
  <c r="P143" i="2" s="1"/>
  <c r="Q143" i="2" s="1"/>
  <c r="P142" i="2" a="1"/>
  <c r="P142" i="2" s="1"/>
  <c r="Q142" i="2" s="1"/>
  <c r="P141" i="2" a="1"/>
  <c r="P141" i="2" s="1"/>
  <c r="Q141" i="2" s="1"/>
  <c r="X162" i="2"/>
  <c r="X161" i="2"/>
  <c r="X158" i="2"/>
  <c r="X157" i="2"/>
  <c r="W166" i="2"/>
  <c r="W165" i="2"/>
  <c r="W150" i="2"/>
  <c r="W149" i="2"/>
  <c r="W142" i="2"/>
  <c r="W141" i="2"/>
  <c r="J91" i="2"/>
  <c r="BK91" i="2"/>
  <c r="BJ91" i="2"/>
  <c r="BI91" i="2"/>
  <c r="BG91" i="2"/>
  <c r="BE91" i="2"/>
  <c r="BA91" i="2"/>
  <c r="AZ91" i="2"/>
  <c r="AY91" i="2"/>
  <c r="Y92" i="2"/>
  <c r="AC92" i="2"/>
  <c r="AD92" i="2"/>
  <c r="AG92" i="2" s="1"/>
  <c r="Y93" i="2"/>
  <c r="AC93" i="2"/>
  <c r="AD93" i="2"/>
  <c r="AG93" i="2" s="1"/>
  <c r="Y94" i="2"/>
  <c r="AC94" i="2"/>
  <c r="AJ94" i="2" s="1"/>
  <c r="Y95" i="2"/>
  <c r="AC95" i="2"/>
  <c r="AD95" i="2"/>
  <c r="Y96" i="2"/>
  <c r="AA96" i="2" s="1"/>
  <c r="AC96" i="2"/>
  <c r="AD96" i="2" s="1"/>
  <c r="AJ96" i="2"/>
  <c r="Y97" i="2"/>
  <c r="AA97" i="2" s="1"/>
  <c r="AC97" i="2"/>
  <c r="AD97" i="2"/>
  <c r="AG97" i="2" s="1"/>
  <c r="AH97" i="2"/>
  <c r="Y98" i="2"/>
  <c r="AA98" i="2" s="1"/>
  <c r="AC98" i="2"/>
  <c r="AD98" i="2"/>
  <c r="AG98" i="2" s="1"/>
  <c r="Y99" i="2"/>
  <c r="AA99" i="2" s="1"/>
  <c r="AC99" i="2"/>
  <c r="AD99" i="2"/>
  <c r="AG99" i="2" s="1"/>
  <c r="Y100" i="2"/>
  <c r="AA100" i="2" s="1"/>
  <c r="AC100" i="2"/>
  <c r="Y101" i="2"/>
  <c r="AC101" i="2"/>
  <c r="AD101" i="2"/>
  <c r="Y102" i="2"/>
  <c r="AA102" i="2" s="1"/>
  <c r="AC102" i="2"/>
  <c r="AD102" i="2" s="1"/>
  <c r="Y103" i="2"/>
  <c r="AA103" i="2" s="1"/>
  <c r="AC103" i="2"/>
  <c r="AD103" i="2"/>
  <c r="AG103" i="2" s="1"/>
  <c r="AH103" i="2"/>
  <c r="Y104" i="2"/>
  <c r="AC104" i="2"/>
  <c r="AD104" i="2"/>
  <c r="AG104" i="2" s="1"/>
  <c r="Y105" i="2"/>
  <c r="AA105" i="2"/>
  <c r="AC105" i="2"/>
  <c r="AJ105" i="2" s="1"/>
  <c r="AD105" i="2"/>
  <c r="AG105" i="2" s="1"/>
  <c r="Y106" i="2"/>
  <c r="AC106" i="2"/>
  <c r="AJ106" i="2" s="1"/>
  <c r="AC107" i="2"/>
  <c r="AD107" i="2"/>
  <c r="AG107" i="2" s="1"/>
  <c r="AC108" i="2"/>
  <c r="AD108" i="2" s="1"/>
  <c r="Y109" i="2"/>
  <c r="AA109" i="2" s="1"/>
  <c r="AC109" i="2"/>
  <c r="AD109" i="2"/>
  <c r="AG109" i="2" s="1"/>
  <c r="AH109" i="2"/>
  <c r="Y110" i="2"/>
  <c r="AA110" i="2"/>
  <c r="AC110" i="2"/>
  <c r="AD110" i="2"/>
  <c r="AG110" i="2" s="1"/>
  <c r="AC111" i="2"/>
  <c r="AD111" i="2"/>
  <c r="AG111" i="2" s="1"/>
  <c r="Y112" i="2"/>
  <c r="AC112" i="2"/>
  <c r="Y113" i="2"/>
  <c r="AA113" i="2" s="1"/>
  <c r="AC113" i="2"/>
  <c r="AD113" i="2"/>
  <c r="Y114" i="2"/>
  <c r="AC114" i="2"/>
  <c r="AD114" i="2" s="1"/>
  <c r="Y115" i="2"/>
  <c r="AC115" i="2"/>
  <c r="AD115" i="2"/>
  <c r="AG115" i="2" s="1"/>
  <c r="AH115" i="2"/>
  <c r="Y116" i="2"/>
  <c r="AC116" i="2"/>
  <c r="AD116" i="2"/>
  <c r="AG116" i="2" s="1"/>
  <c r="Y117" i="2"/>
  <c r="AC117" i="2"/>
  <c r="AD117" i="2"/>
  <c r="AG117" i="2" s="1"/>
  <c r="Y118" i="2"/>
  <c r="AC118" i="2"/>
  <c r="Y119" i="2"/>
  <c r="AC119" i="2"/>
  <c r="AD119" i="2"/>
  <c r="Y120" i="2"/>
  <c r="AA120" i="2"/>
  <c r="AC120" i="2"/>
  <c r="AD120" i="2" s="1"/>
  <c r="AJ120" i="2"/>
  <c r="Y121" i="2"/>
  <c r="AC121" i="2"/>
  <c r="AD121" i="2"/>
  <c r="AG121" i="2" s="1"/>
  <c r="AH121" i="2"/>
  <c r="Y122" i="2"/>
  <c r="AA122" i="2" s="1"/>
  <c r="AC122" i="2"/>
  <c r="AD122" i="2"/>
  <c r="AG122" i="2" s="1"/>
  <c r="Y123" i="2"/>
  <c r="AA123" i="2"/>
  <c r="AC123" i="2"/>
  <c r="AD123" i="2"/>
  <c r="AG123" i="2" s="1"/>
  <c r="Y124" i="2"/>
  <c r="AC124" i="2"/>
  <c r="Y125" i="2"/>
  <c r="AC125" i="2"/>
  <c r="AD125" i="2"/>
  <c r="AG125" i="2" s="1"/>
  <c r="Y126" i="2"/>
  <c r="AA126" i="2"/>
  <c r="AC126" i="2"/>
  <c r="AD126" i="2" s="1"/>
  <c r="Y127" i="2"/>
  <c r="AC127" i="2"/>
  <c r="AD127" i="2"/>
  <c r="AG127" i="2" s="1"/>
  <c r="AH127" i="2"/>
  <c r="Y128" i="2"/>
  <c r="AC128" i="2"/>
  <c r="AD128" i="2"/>
  <c r="AG128" i="2" s="1"/>
  <c r="Y129" i="2"/>
  <c r="AC129" i="2"/>
  <c r="AD129" i="2"/>
  <c r="AG129" i="2" s="1"/>
  <c r="Y130" i="2"/>
  <c r="AC130" i="2"/>
  <c r="AJ130" i="2" s="1"/>
  <c r="AD91" i="2"/>
  <c r="AH91" i="2" s="1"/>
  <c r="AC91" i="2"/>
  <c r="Y91" i="2"/>
  <c r="BJ51" i="2"/>
  <c r="BJ11" i="2"/>
  <c r="BG51" i="2"/>
  <c r="BG11" i="2"/>
  <c r="J51" i="2"/>
  <c r="BK51" i="2"/>
  <c r="BI51" i="2"/>
  <c r="BE51" i="2"/>
  <c r="BA51" i="2"/>
  <c r="AZ51" i="2"/>
  <c r="AY51" i="2"/>
  <c r="AX51" i="2"/>
  <c r="AV51" i="2"/>
  <c r="AD59" i="2" s="1"/>
  <c r="AE59" i="2" s="1"/>
  <c r="AG59" i="2" s="1"/>
  <c r="AY11" i="2"/>
  <c r="W76" i="2"/>
  <c r="W75" i="2"/>
  <c r="W60" i="2"/>
  <c r="W59" i="2"/>
  <c r="W52" i="2"/>
  <c r="W51" i="2"/>
  <c r="X72" i="2"/>
  <c r="X71" i="2"/>
  <c r="Y71" i="2" s="1"/>
  <c r="X68" i="2"/>
  <c r="X67" i="2"/>
  <c r="Y67" i="2" s="1"/>
  <c r="AI52" i="2"/>
  <c r="AJ52" i="2" s="1"/>
  <c r="Y51" i="2"/>
  <c r="Y52" i="2"/>
  <c r="Y53" i="2"/>
  <c r="Y54" i="2"/>
  <c r="Y55" i="2"/>
  <c r="Y56" i="2"/>
  <c r="Y57" i="2"/>
  <c r="Y58" i="2"/>
  <c r="Y59" i="2"/>
  <c r="Y60" i="2"/>
  <c r="Y61" i="2"/>
  <c r="Y62" i="2"/>
  <c r="Y63" i="2"/>
  <c r="Y64" i="2"/>
  <c r="Y65" i="2"/>
  <c r="Y66" i="2"/>
  <c r="Y68" i="2"/>
  <c r="Y69" i="2"/>
  <c r="Y70" i="2"/>
  <c r="Y72" i="2"/>
  <c r="Y73" i="2"/>
  <c r="Y74" i="2"/>
  <c r="Y75" i="2"/>
  <c r="Y76" i="2"/>
  <c r="Y77" i="2"/>
  <c r="Y78" i="2"/>
  <c r="Y79" i="2"/>
  <c r="Y80" i="2"/>
  <c r="Y81" i="2"/>
  <c r="Y82" i="2"/>
  <c r="Y83" i="2"/>
  <c r="Y84" i="2"/>
  <c r="Y85" i="2"/>
  <c r="Y86" i="2"/>
  <c r="Y87" i="2"/>
  <c r="Y88" i="2"/>
  <c r="Y89" i="2"/>
  <c r="Y90" i="2"/>
  <c r="Z52" i="2"/>
  <c r="AC52" i="2"/>
  <c r="Z53" i="2"/>
  <c r="AC53" i="2"/>
  <c r="Z54" i="2"/>
  <c r="AC54" i="2"/>
  <c r="AI54" i="2"/>
  <c r="AJ54" i="2" s="1"/>
  <c r="Z55" i="2"/>
  <c r="AC55" i="2"/>
  <c r="AI55" i="2" s="1"/>
  <c r="AJ55" i="2" s="1"/>
  <c r="Z56" i="2"/>
  <c r="AC56" i="2"/>
  <c r="AI56" i="2" s="1"/>
  <c r="AJ56" i="2" s="1"/>
  <c r="Z57" i="2"/>
  <c r="AC57" i="2"/>
  <c r="AI57" i="2"/>
  <c r="AJ57" i="2" s="1"/>
  <c r="Z58" i="2"/>
  <c r="AC58" i="2"/>
  <c r="AI58" i="2" s="1"/>
  <c r="AJ58" i="2" s="1"/>
  <c r="Z59" i="2"/>
  <c r="AC59" i="2"/>
  <c r="AI59" i="2"/>
  <c r="AJ59" i="2" s="1"/>
  <c r="Z60" i="2"/>
  <c r="AC60" i="2"/>
  <c r="AD60" i="2" s="1"/>
  <c r="Z61" i="2"/>
  <c r="AI61" i="2" s="1"/>
  <c r="AJ61" i="2" s="1"/>
  <c r="AC61" i="2"/>
  <c r="AD61" i="2"/>
  <c r="AF61" i="2" s="1"/>
  <c r="AH61" i="2" s="1"/>
  <c r="Z62" i="2"/>
  <c r="AI62" i="2" s="1"/>
  <c r="AJ62" i="2" s="1"/>
  <c r="AC62" i="2"/>
  <c r="Z63" i="2"/>
  <c r="AC63" i="2"/>
  <c r="Z64" i="2"/>
  <c r="AC64" i="2"/>
  <c r="AD64" i="2"/>
  <c r="AE64" i="2" s="1"/>
  <c r="AG64" i="2" s="1"/>
  <c r="AI64" i="2"/>
  <c r="AJ64" i="2"/>
  <c r="Z65" i="2"/>
  <c r="AC65" i="2"/>
  <c r="AI65" i="2"/>
  <c r="AJ65" i="2" s="1"/>
  <c r="Z66" i="2"/>
  <c r="AC66" i="2"/>
  <c r="AI66" i="2"/>
  <c r="AJ66" i="2" s="1"/>
  <c r="Z67" i="2"/>
  <c r="AC67" i="2"/>
  <c r="AI67" i="2" s="1"/>
  <c r="AJ67" i="2" s="1"/>
  <c r="Z68" i="2"/>
  <c r="AC68" i="2"/>
  <c r="AI68" i="2" s="1"/>
  <c r="AJ68" i="2" s="1"/>
  <c r="Z69" i="2"/>
  <c r="AC69" i="2"/>
  <c r="AI69" i="2"/>
  <c r="AJ69" i="2" s="1"/>
  <c r="Z70" i="2"/>
  <c r="AC70" i="2"/>
  <c r="AI70" i="2" s="1"/>
  <c r="AJ70" i="2" s="1"/>
  <c r="Z71" i="2"/>
  <c r="AC71" i="2"/>
  <c r="AI71" i="2" s="1"/>
  <c r="AJ71" i="2" s="1"/>
  <c r="AD71" i="2"/>
  <c r="AE71" i="2" s="1"/>
  <c r="AG71" i="2" s="1"/>
  <c r="Z72" i="2"/>
  <c r="AC72" i="2"/>
  <c r="Z73" i="2"/>
  <c r="AI73" i="2" s="1"/>
  <c r="AJ73" i="2" s="1"/>
  <c r="AA73" i="2"/>
  <c r="AC73" i="2"/>
  <c r="AD73" i="2"/>
  <c r="AF73" i="2" s="1"/>
  <c r="AH73" i="2" s="1"/>
  <c r="Z74" i="2"/>
  <c r="AI74" i="2" s="1"/>
  <c r="AJ74" i="2" s="1"/>
  <c r="AC74" i="2"/>
  <c r="Z75" i="2"/>
  <c r="AC75" i="2"/>
  <c r="Z76" i="2"/>
  <c r="AC76" i="2"/>
  <c r="AD76" i="2"/>
  <c r="AE76" i="2" s="1"/>
  <c r="AG76" i="2" s="1"/>
  <c r="AI76" i="2"/>
  <c r="AJ76" i="2" s="1"/>
  <c r="Z77" i="2"/>
  <c r="AC77" i="2"/>
  <c r="AI77" i="2"/>
  <c r="AJ77" i="2" s="1"/>
  <c r="Z78" i="2"/>
  <c r="AC78" i="2"/>
  <c r="AI78" i="2"/>
  <c r="AJ78" i="2" s="1"/>
  <c r="Z79" i="2"/>
  <c r="AC79" i="2"/>
  <c r="AI79" i="2" s="1"/>
  <c r="AJ79" i="2" s="1"/>
  <c r="Z80" i="2"/>
  <c r="AC80" i="2"/>
  <c r="AI80" i="2" s="1"/>
  <c r="AJ80" i="2" s="1"/>
  <c r="Z81" i="2"/>
  <c r="AC81" i="2"/>
  <c r="AA81" i="2" s="1"/>
  <c r="AK81" i="2" s="1"/>
  <c r="AL81" i="2" s="1"/>
  <c r="AI81" i="2"/>
  <c r="AJ81" i="2" s="1"/>
  <c r="Z82" i="2"/>
  <c r="AC82" i="2"/>
  <c r="AI82" i="2" s="1"/>
  <c r="AJ82" i="2" s="1"/>
  <c r="AD82" i="2"/>
  <c r="AF82" i="2" s="1"/>
  <c r="AH82" i="2" s="1"/>
  <c r="AE82" i="2"/>
  <c r="AG82" i="2" s="1"/>
  <c r="Z83" i="2"/>
  <c r="AC83" i="2"/>
  <c r="AI83" i="2" s="1"/>
  <c r="AJ83" i="2" s="1"/>
  <c r="AD83" i="2"/>
  <c r="AE83" i="2" s="1"/>
  <c r="AG83" i="2" s="1"/>
  <c r="Z84" i="2"/>
  <c r="AC84" i="2"/>
  <c r="Z85" i="2"/>
  <c r="AI85" i="2" s="1"/>
  <c r="AJ85" i="2" s="1"/>
  <c r="AC85" i="2"/>
  <c r="Z86" i="2"/>
  <c r="AI86" i="2" s="1"/>
  <c r="AJ86" i="2" s="1"/>
  <c r="AC86" i="2"/>
  <c r="Z87" i="2"/>
  <c r="AC87" i="2"/>
  <c r="Z88" i="2"/>
  <c r="AC88" i="2"/>
  <c r="AI88" i="2"/>
  <c r="AJ88" i="2" s="1"/>
  <c r="Z89" i="2"/>
  <c r="AC89" i="2"/>
  <c r="AI89" i="2"/>
  <c r="AJ89" i="2" s="1"/>
  <c r="Z90" i="2"/>
  <c r="AC90" i="2"/>
  <c r="AI90" i="2"/>
  <c r="AJ90" i="2" s="1"/>
  <c r="AI51" i="2"/>
  <c r="Z51" i="2"/>
  <c r="AC51" i="2"/>
  <c r="AM95" i="2" a="1"/>
  <c r="AM95" i="2" s="1"/>
  <c r="AN95" i="2" a="1"/>
  <c r="AN95" i="2"/>
  <c r="AM99" i="2" a="1"/>
  <c r="AM99" i="2" s="1"/>
  <c r="AN99" i="2" a="1"/>
  <c r="AN99" i="2" s="1"/>
  <c r="AM103" i="2" a="1"/>
  <c r="AM103" i="2"/>
  <c r="AN103" i="2" a="1"/>
  <c r="AN103" i="2" s="1"/>
  <c r="AM107" i="2" a="1"/>
  <c r="AM107" i="2" s="1"/>
  <c r="AN107" i="2" a="1"/>
  <c r="AN107" i="2" s="1"/>
  <c r="AM111" i="2" a="1"/>
  <c r="AM111" i="2" s="1"/>
  <c r="AN111" i="2" a="1"/>
  <c r="AN111" i="2" s="1"/>
  <c r="AM115" i="2" a="1"/>
  <c r="AM115" i="2"/>
  <c r="AN115" i="2" a="1"/>
  <c r="AN115" i="2" s="1"/>
  <c r="AM119" i="2" a="1"/>
  <c r="AM119" i="2" s="1"/>
  <c r="AN119" i="2" a="1"/>
  <c r="AN119" i="2" s="1"/>
  <c r="AM123" i="2" a="1"/>
  <c r="AM123" i="2" s="1"/>
  <c r="AN123" i="2" a="1"/>
  <c r="AN123" i="2" s="1"/>
  <c r="AM127" i="2" a="1"/>
  <c r="AM127" i="2"/>
  <c r="AN127" i="2" a="1"/>
  <c r="AN127" i="2" s="1"/>
  <c r="AN91" i="2" a="1"/>
  <c r="AN91" i="2" s="1"/>
  <c r="AM91" i="2" a="1"/>
  <c r="AM91" i="2" s="1"/>
  <c r="AM55" i="2" a="1"/>
  <c r="AM55" i="2"/>
  <c r="AN55" i="2" a="1"/>
  <c r="AN55" i="2" s="1"/>
  <c r="AM59" i="2" a="1"/>
  <c r="AM59" i="2" s="1"/>
  <c r="AN59" i="2" a="1"/>
  <c r="AN59" i="2" s="1"/>
  <c r="AM63" i="2" a="1"/>
  <c r="AM63" i="2" s="1"/>
  <c r="AN63" i="2" a="1"/>
  <c r="AN63" i="2" s="1"/>
  <c r="AM67" i="2" a="1"/>
  <c r="AM67" i="2" s="1"/>
  <c r="AN67" i="2" a="1"/>
  <c r="AN67" i="2" s="1"/>
  <c r="AM71" i="2" a="1"/>
  <c r="AM71" i="2" s="1"/>
  <c r="AN71" i="2" a="1"/>
  <c r="AN71" i="2" s="1"/>
  <c r="AM75" i="2" a="1"/>
  <c r="AM75" i="2" s="1"/>
  <c r="AN75" i="2" a="1"/>
  <c r="AN75" i="2" s="1"/>
  <c r="AM79" i="2" a="1"/>
  <c r="AM79" i="2" s="1"/>
  <c r="AN79" i="2" a="1"/>
  <c r="AN79" i="2" s="1"/>
  <c r="AM83" i="2" a="1"/>
  <c r="AM83" i="2" s="1"/>
  <c r="AN83" i="2" a="1"/>
  <c r="AN83" i="2" s="1"/>
  <c r="AM87" i="2" a="1"/>
  <c r="AM87" i="2" s="1"/>
  <c r="AN87" i="2" a="1"/>
  <c r="AN87" i="2" s="1"/>
  <c r="AN51" i="2" a="1"/>
  <c r="AN51" i="2" s="1"/>
  <c r="AM51" i="2" a="1"/>
  <c r="AM51" i="2" s="1"/>
  <c r="AN15" i="2" a="1"/>
  <c r="AN15" i="2" s="1"/>
  <c r="AN19" i="2" a="1"/>
  <c r="AN19" i="2" s="1"/>
  <c r="AN23" i="2" a="1"/>
  <c r="AN23" i="2" s="1"/>
  <c r="AN27" i="2" a="1"/>
  <c r="AN27" i="2" s="1"/>
  <c r="AN31" i="2" a="1"/>
  <c r="AN31" i="2" s="1"/>
  <c r="AN35" i="2" a="1"/>
  <c r="AN35" i="2" s="1"/>
  <c r="AN39" i="2" a="1"/>
  <c r="AN39" i="2" s="1"/>
  <c r="AN43" i="2" a="1"/>
  <c r="AN43" i="2" s="1"/>
  <c r="AN47" i="2" a="1"/>
  <c r="AN47" i="2" s="1"/>
  <c r="AN11" i="2" a="1"/>
  <c r="AN11" i="2" s="1"/>
  <c r="AM15" i="2" a="1"/>
  <c r="AM15" i="2" s="1"/>
  <c r="AM19" i="2" a="1"/>
  <c r="AM19" i="2" s="1"/>
  <c r="AM23" i="2" a="1"/>
  <c r="AM23" i="2" s="1"/>
  <c r="AM27" i="2" a="1"/>
  <c r="AM27" i="2" s="1"/>
  <c r="AM31" i="2" a="1"/>
  <c r="AM31" i="2" s="1"/>
  <c r="AM35" i="2" a="1"/>
  <c r="AM35" i="2" s="1"/>
  <c r="AM39" i="2" a="1"/>
  <c r="AM39" i="2" s="1"/>
  <c r="AM43" i="2" a="1"/>
  <c r="AM43" i="2" s="1"/>
  <c r="AM47" i="2" a="1"/>
  <c r="AM47" i="2" s="1"/>
  <c r="AM11" i="2" a="1"/>
  <c r="AM11" i="2" s="1"/>
  <c r="Z23" i="2" s="1"/>
  <c r="J11" i="2"/>
  <c r="P48" i="2" a="1"/>
  <c r="P48" i="2" s="1"/>
  <c r="P49" i="2" a="1"/>
  <c r="P49" i="2" s="1"/>
  <c r="P50" i="2" a="1"/>
  <c r="P50" i="2" s="1"/>
  <c r="P47" i="2" a="1"/>
  <c r="P47" i="2" s="1"/>
  <c r="P44" i="2" a="1"/>
  <c r="P44" i="2" s="1"/>
  <c r="P45" i="2" a="1"/>
  <c r="P45" i="2" s="1"/>
  <c r="P46" i="2" a="1"/>
  <c r="P46" i="2" s="1"/>
  <c r="P43" i="2" a="1"/>
  <c r="P43" i="2" s="1"/>
  <c r="P40" i="2" a="1"/>
  <c r="P40" i="2" s="1"/>
  <c r="P41" i="2" a="1"/>
  <c r="P41" i="2" s="1"/>
  <c r="P42" i="2" a="1"/>
  <c r="P42" i="2" s="1"/>
  <c r="P39" i="2" a="1"/>
  <c r="P39" i="2" s="1"/>
  <c r="P36" i="2" a="1"/>
  <c r="P36" i="2" s="1"/>
  <c r="P37" i="2" a="1"/>
  <c r="P37" i="2" s="1"/>
  <c r="P38" i="2" a="1"/>
  <c r="P38" i="2" s="1"/>
  <c r="P35" i="2" a="1"/>
  <c r="P35" i="2" s="1"/>
  <c r="P32" i="2" a="1"/>
  <c r="P32" i="2" s="1"/>
  <c r="P33" i="2" a="1"/>
  <c r="P33" i="2" s="1"/>
  <c r="P34" i="2" a="1"/>
  <c r="P34" i="2" s="1"/>
  <c r="P31" i="2" a="1"/>
  <c r="P31" i="2" s="1"/>
  <c r="P28" i="2" a="1"/>
  <c r="P28" i="2" s="1"/>
  <c r="P29" i="2" a="1"/>
  <c r="P29" i="2" s="1"/>
  <c r="P30" i="2" a="1"/>
  <c r="P30" i="2" s="1"/>
  <c r="P27" i="2" a="1"/>
  <c r="P27" i="2" s="1"/>
  <c r="P24" i="2" a="1"/>
  <c r="P24" i="2" s="1"/>
  <c r="P25" i="2" a="1"/>
  <c r="P25" i="2" s="1"/>
  <c r="P26" i="2" a="1"/>
  <c r="P26" i="2" s="1"/>
  <c r="P23" i="2" a="1"/>
  <c r="P23" i="2" s="1"/>
  <c r="P20" i="2" a="1"/>
  <c r="P20" i="2" s="1"/>
  <c r="P21" i="2" a="1"/>
  <c r="P21" i="2" s="1"/>
  <c r="P22" i="2" a="1"/>
  <c r="P22" i="2" s="1"/>
  <c r="P19" i="2" a="1"/>
  <c r="P19" i="2" s="1"/>
  <c r="P16" i="2" a="1"/>
  <c r="P16" i="2" s="1"/>
  <c r="P17" i="2" a="1"/>
  <c r="P17" i="2" s="1"/>
  <c r="P18" i="2" a="1"/>
  <c r="P18" i="2" s="1"/>
  <c r="P15" i="2" a="1"/>
  <c r="P15" i="2" s="1"/>
  <c r="P13" i="2" a="1"/>
  <c r="P13" i="2" s="1"/>
  <c r="P14" i="2" a="1"/>
  <c r="P14" i="2" s="1"/>
  <c r="P12" i="2" a="1"/>
  <c r="P12" i="2" s="1"/>
  <c r="P11" i="2" a="1"/>
  <c r="P11" i="2" s="1"/>
  <c r="X32" i="2"/>
  <c r="X31" i="2"/>
  <c r="X28" i="2"/>
  <c r="X27" i="2"/>
  <c r="W36" i="2"/>
  <c r="W35" i="2"/>
  <c r="W20" i="2"/>
  <c r="W19" i="2"/>
  <c r="W12" i="2"/>
  <c r="F11" i="2"/>
  <c r="W11" i="2"/>
  <c r="BK11" i="2"/>
  <c r="BI11" i="2"/>
  <c r="BE11" i="2"/>
  <c r="BA11" i="2"/>
  <c r="CD7" i="2"/>
  <c r="AZ11" i="2" s="1"/>
  <c r="Y12" i="2"/>
  <c r="Y13" i="2"/>
  <c r="Y14" i="2"/>
  <c r="Y15" i="2"/>
  <c r="Y16" i="2"/>
  <c r="Y17" i="2"/>
  <c r="Y18" i="2"/>
  <c r="Y19" i="2"/>
  <c r="Y20" i="2"/>
  <c r="Y21" i="2"/>
  <c r="Y22" i="2"/>
  <c r="Y23" i="2"/>
  <c r="Y24" i="2"/>
  <c r="Y25" i="2"/>
  <c r="Y26" i="2"/>
  <c r="Y11" i="2"/>
  <c r="P130" i="2" a="1"/>
  <c r="P130" i="2" s="1"/>
  <c r="P129" i="2" a="1"/>
  <c r="P129" i="2" s="1"/>
  <c r="P128" i="2" a="1"/>
  <c r="P128" i="2" s="1"/>
  <c r="P127" i="2" a="1"/>
  <c r="P127" i="2" s="1"/>
  <c r="P126" i="2" a="1"/>
  <c r="P126" i="2" s="1"/>
  <c r="P125" i="2" a="1"/>
  <c r="P125" i="2" s="1"/>
  <c r="P124" i="2" a="1"/>
  <c r="P124" i="2" s="1"/>
  <c r="P123" i="2" a="1"/>
  <c r="P123" i="2" s="1"/>
  <c r="P122" i="2" a="1"/>
  <c r="P122" i="2" s="1"/>
  <c r="P121" i="2" a="1"/>
  <c r="P121" i="2" s="1"/>
  <c r="P120" i="2" a="1"/>
  <c r="P120" i="2" s="1"/>
  <c r="P119" i="2" a="1"/>
  <c r="P119" i="2" s="1"/>
  <c r="P118" i="2" a="1"/>
  <c r="P118" i="2" s="1"/>
  <c r="P117" i="2" a="1"/>
  <c r="P117" i="2" s="1"/>
  <c r="P116" i="2" a="1"/>
  <c r="P116" i="2" s="1"/>
  <c r="P115" i="2" a="1"/>
  <c r="P115" i="2" s="1"/>
  <c r="P114" i="2" a="1"/>
  <c r="P114" i="2" s="1"/>
  <c r="P113" i="2" a="1"/>
  <c r="P113" i="2" s="1"/>
  <c r="P112" i="2" a="1"/>
  <c r="P112" i="2" s="1"/>
  <c r="P111" i="2" a="1"/>
  <c r="P111" i="2" s="1"/>
  <c r="P110" i="2" a="1"/>
  <c r="P110" i="2" s="1"/>
  <c r="P109" i="2" a="1"/>
  <c r="P109" i="2" s="1"/>
  <c r="P108" i="2" a="1"/>
  <c r="P108" i="2" s="1"/>
  <c r="P107" i="2" a="1"/>
  <c r="P107" i="2" s="1"/>
  <c r="P106" i="2" a="1"/>
  <c r="P106" i="2" s="1"/>
  <c r="P105" i="2" a="1"/>
  <c r="P105" i="2" s="1"/>
  <c r="P104" i="2" a="1"/>
  <c r="P104" i="2" s="1"/>
  <c r="P103" i="2" a="1"/>
  <c r="P103" i="2" s="1"/>
  <c r="P102" i="2" a="1"/>
  <c r="P102" i="2" s="1"/>
  <c r="P101" i="2" a="1"/>
  <c r="P101" i="2" s="1"/>
  <c r="P100" i="2" a="1"/>
  <c r="P100" i="2" s="1"/>
  <c r="P99" i="2" a="1"/>
  <c r="P99" i="2" s="1"/>
  <c r="P98" i="2" a="1"/>
  <c r="P98" i="2" s="1"/>
  <c r="P97" i="2" a="1"/>
  <c r="P97" i="2" s="1"/>
  <c r="P96" i="2" a="1"/>
  <c r="P96" i="2" s="1"/>
  <c r="P95" i="2" a="1"/>
  <c r="P95" i="2" s="1"/>
  <c r="P94" i="2" a="1"/>
  <c r="P94" i="2" s="1"/>
  <c r="P93" i="2" a="1"/>
  <c r="P93" i="2" s="1"/>
  <c r="P92" i="2" a="1"/>
  <c r="P92" i="2" s="1"/>
  <c r="P91" i="2" a="1"/>
  <c r="P91" i="2" s="1"/>
  <c r="P90" i="2" a="1"/>
  <c r="P90" i="2" s="1"/>
  <c r="P89" i="2" a="1"/>
  <c r="P89" i="2" s="1"/>
  <c r="P88" i="2" a="1"/>
  <c r="P88" i="2" s="1"/>
  <c r="P87" i="2" a="1"/>
  <c r="P87" i="2" s="1"/>
  <c r="P86" i="2" a="1"/>
  <c r="P86" i="2" s="1"/>
  <c r="P85" i="2" a="1"/>
  <c r="P85" i="2" s="1"/>
  <c r="P84" i="2" a="1"/>
  <c r="P84" i="2" s="1"/>
  <c r="P83" i="2" a="1"/>
  <c r="P83" i="2" s="1"/>
  <c r="P82" i="2" a="1"/>
  <c r="P82" i="2" s="1"/>
  <c r="P81" i="2" a="1"/>
  <c r="P81" i="2" s="1"/>
  <c r="P80" i="2" a="1"/>
  <c r="P80" i="2" s="1"/>
  <c r="P79" i="2" a="1"/>
  <c r="P79" i="2" s="1"/>
  <c r="P78" i="2" a="1"/>
  <c r="P78" i="2" s="1"/>
  <c r="P77" i="2" a="1"/>
  <c r="P77" i="2" s="1"/>
  <c r="P76" i="2" a="1"/>
  <c r="P76" i="2" s="1"/>
  <c r="P75" i="2" a="1"/>
  <c r="P75" i="2" s="1"/>
  <c r="P74" i="2" a="1"/>
  <c r="P74" i="2" s="1"/>
  <c r="P73" i="2" a="1"/>
  <c r="P73" i="2" s="1"/>
  <c r="P72" i="2" a="1"/>
  <c r="P72" i="2" s="1"/>
  <c r="P71" i="2" a="1"/>
  <c r="P71" i="2" s="1"/>
  <c r="P70" i="2" a="1"/>
  <c r="P70" i="2" s="1"/>
  <c r="P69" i="2" a="1"/>
  <c r="P69" i="2" s="1"/>
  <c r="P68" i="2" a="1"/>
  <c r="P68" i="2" s="1"/>
  <c r="P67" i="2" a="1"/>
  <c r="P67" i="2" s="1"/>
  <c r="P66" i="2" a="1"/>
  <c r="P66" i="2" s="1"/>
  <c r="P65" i="2" a="1"/>
  <c r="P65" i="2" s="1"/>
  <c r="P64" i="2" a="1"/>
  <c r="P64" i="2" s="1"/>
  <c r="P63" i="2" a="1"/>
  <c r="P63" i="2" s="1"/>
  <c r="P62" i="2" a="1"/>
  <c r="P62" i="2" s="1"/>
  <c r="P61" i="2" a="1"/>
  <c r="P61" i="2" s="1"/>
  <c r="P60" i="2" a="1"/>
  <c r="P60" i="2" s="1"/>
  <c r="P59" i="2" a="1"/>
  <c r="P59" i="2" s="1"/>
  <c r="P58" i="2" a="1"/>
  <c r="P58" i="2" s="1"/>
  <c r="P57" i="2" a="1"/>
  <c r="P57" i="2" s="1"/>
  <c r="P56" i="2" a="1"/>
  <c r="P56" i="2" s="1"/>
  <c r="P55" i="2" a="1"/>
  <c r="P55" i="2" s="1"/>
  <c r="P54" i="2" a="1"/>
  <c r="P54" i="2" s="1"/>
  <c r="P53" i="2" a="1"/>
  <c r="P53" i="2" s="1"/>
  <c r="P52" i="2" a="1"/>
  <c r="P52" i="2" s="1"/>
  <c r="P51" i="2" a="1"/>
  <c r="P51" i="2" s="1"/>
  <c r="U108" i="2"/>
  <c r="U109" i="2"/>
  <c r="U110" i="2"/>
  <c r="U111" i="2"/>
  <c r="U112" i="2"/>
  <c r="U113" i="2"/>
  <c r="U114" i="2"/>
  <c r="U107" i="2"/>
  <c r="U68" i="2"/>
  <c r="U69" i="2"/>
  <c r="U70" i="2"/>
  <c r="U71" i="2"/>
  <c r="U72" i="2"/>
  <c r="U73" i="2"/>
  <c r="U74" i="2"/>
  <c r="U67" i="2"/>
  <c r="U28" i="2"/>
  <c r="U29" i="2"/>
  <c r="U30" i="2"/>
  <c r="U31" i="2"/>
  <c r="U32" i="2"/>
  <c r="U33" i="2"/>
  <c r="U34" i="2"/>
  <c r="U27" i="2"/>
  <c r="T158" i="2"/>
  <c r="V158" i="2" s="1"/>
  <c r="T159" i="2"/>
  <c r="V159" i="2" s="1"/>
  <c r="T160" i="2"/>
  <c r="V160" i="2" s="1"/>
  <c r="T161" i="2"/>
  <c r="V161" i="2" s="1"/>
  <c r="T162" i="2"/>
  <c r="V162" i="2" s="1"/>
  <c r="T163" i="2"/>
  <c r="V163" i="2" s="1"/>
  <c r="T164" i="2"/>
  <c r="V164" i="2" s="1"/>
  <c r="T157" i="2"/>
  <c r="V157" i="2" s="1"/>
  <c r="T28" i="2"/>
  <c r="T29" i="2"/>
  <c r="Y29" i="2" s="1"/>
  <c r="T30" i="2"/>
  <c r="Y30" i="2" s="1"/>
  <c r="T31" i="2"/>
  <c r="T32" i="2"/>
  <c r="T33" i="2"/>
  <c r="Y33" i="2" s="1"/>
  <c r="T34" i="2"/>
  <c r="Y34" i="2" s="1"/>
  <c r="T35" i="2"/>
  <c r="Y35" i="2" s="1"/>
  <c r="T36" i="2"/>
  <c r="Y36" i="2" s="1"/>
  <c r="T37" i="2"/>
  <c r="Y37" i="2" s="1"/>
  <c r="T38" i="2"/>
  <c r="Y38" i="2" s="1"/>
  <c r="T39" i="2"/>
  <c r="Y39" i="2" s="1"/>
  <c r="T40" i="2"/>
  <c r="Y40" i="2" s="1"/>
  <c r="T41" i="2"/>
  <c r="Y41" i="2" s="1"/>
  <c r="T42" i="2"/>
  <c r="Y42" i="2" s="1"/>
  <c r="T43" i="2"/>
  <c r="Y43" i="2" s="1"/>
  <c r="T44" i="2"/>
  <c r="Y44" i="2" s="1"/>
  <c r="T45" i="2"/>
  <c r="Y45" i="2" s="1"/>
  <c r="T46" i="2"/>
  <c r="Y46" i="2" s="1"/>
  <c r="T47" i="2"/>
  <c r="Y47" i="2" s="1"/>
  <c r="T48" i="2"/>
  <c r="Y48" i="2" s="1"/>
  <c r="T49" i="2"/>
  <c r="Y49" i="2" s="1"/>
  <c r="T50" i="2"/>
  <c r="Y50" i="2" s="1"/>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27" i="2"/>
  <c r="AC52" i="3"/>
  <c r="AC53" i="3"/>
  <c r="AC54" i="3"/>
  <c r="AC55" i="3"/>
  <c r="AB53" i="3"/>
  <c r="AB54" i="3"/>
  <c r="AB55" i="3"/>
  <c r="AB52" i="3"/>
  <c r="AA53" i="3"/>
  <c r="AA54" i="3"/>
  <c r="AA55" i="3"/>
  <c r="AA52" i="3"/>
  <c r="Z53" i="3"/>
  <c r="Z54" i="3"/>
  <c r="Z55" i="3"/>
  <c r="Z52" i="3"/>
  <c r="Y53" i="3"/>
  <c r="Y54" i="3"/>
  <c r="Y55" i="3"/>
  <c r="Y52" i="3"/>
  <c r="X53" i="3"/>
  <c r="X54" i="3"/>
  <c r="X55" i="3"/>
  <c r="X52" i="3"/>
  <c r="AE53" i="3"/>
  <c r="AE54" i="3"/>
  <c r="AE55" i="3"/>
  <c r="AE52" i="3"/>
  <c r="AD53" i="3"/>
  <c r="AD54" i="3"/>
  <c r="AD55" i="3"/>
  <c r="AD52" i="3"/>
  <c r="AG41" i="3"/>
  <c r="AG11" i="3"/>
  <c r="M35" i="3"/>
  <c r="M36" i="3"/>
  <c r="M37" i="3"/>
  <c r="M38" i="3"/>
  <c r="M39" i="3"/>
  <c r="M40" i="3"/>
  <c r="M41" i="3"/>
  <c r="M42" i="3"/>
  <c r="M43" i="3"/>
  <c r="M44" i="3"/>
  <c r="M45" i="3"/>
  <c r="N45" i="3" s="1"/>
  <c r="M46" i="3"/>
  <c r="M47" i="3"/>
  <c r="M48" i="3"/>
  <c r="M49" i="3"/>
  <c r="M50" i="3"/>
  <c r="M51" i="3"/>
  <c r="M52" i="3"/>
  <c r="M53" i="3"/>
  <c r="M54" i="3"/>
  <c r="M55" i="3"/>
  <c r="N55" i="3" s="1"/>
  <c r="M56" i="3"/>
  <c r="M57" i="3"/>
  <c r="M58" i="3"/>
  <c r="M59" i="3"/>
  <c r="M60" i="3"/>
  <c r="M61" i="3"/>
  <c r="M62" i="3"/>
  <c r="M63" i="3"/>
  <c r="M64" i="3"/>
  <c r="M29" i="3"/>
  <c r="M30" i="3"/>
  <c r="M31" i="3"/>
  <c r="M32" i="3"/>
  <c r="M33" i="3"/>
  <c r="M34" i="3"/>
  <c r="M28" i="3"/>
  <c r="M27" i="3"/>
  <c r="L36" i="3"/>
  <c r="L37" i="3"/>
  <c r="L38" i="3"/>
  <c r="L39" i="3"/>
  <c r="L40" i="3"/>
  <c r="L41" i="3"/>
  <c r="L42" i="3"/>
  <c r="L43" i="3"/>
  <c r="L44" i="3"/>
  <c r="L45" i="3"/>
  <c r="N46" i="3" s="1"/>
  <c r="L46" i="3"/>
  <c r="L47" i="3"/>
  <c r="L48" i="3"/>
  <c r="L49" i="3"/>
  <c r="L50" i="3"/>
  <c r="L51" i="3"/>
  <c r="L52" i="3"/>
  <c r="N52" i="3" s="1"/>
  <c r="L53" i="3"/>
  <c r="L54" i="3"/>
  <c r="L55" i="3"/>
  <c r="L56" i="3"/>
  <c r="N56" i="3" s="1"/>
  <c r="L57" i="3"/>
  <c r="L58" i="3"/>
  <c r="L59" i="3"/>
  <c r="L60" i="3"/>
  <c r="L28" i="3"/>
  <c r="L29" i="3"/>
  <c r="L30" i="3"/>
  <c r="L31" i="3"/>
  <c r="L32" i="3"/>
  <c r="L33" i="3"/>
  <c r="L34" i="3"/>
  <c r="N31" i="3" s="1"/>
  <c r="L35" i="3"/>
  <c r="L27" i="3"/>
  <c r="N28" i="3" s="1"/>
  <c r="I61" i="3" a="1"/>
  <c r="I61" i="3" s="1"/>
  <c r="H61" i="3" a="1"/>
  <c r="H61" i="3" s="1"/>
  <c r="N60" i="3"/>
  <c r="I57" i="3" a="1"/>
  <c r="I57" i="3" s="1"/>
  <c r="H57" i="3" a="1"/>
  <c r="N54" i="3"/>
  <c r="N53" i="3"/>
  <c r="I53" i="3" a="1"/>
  <c r="I53" i="3" s="1"/>
  <c r="H53" i="3" a="1"/>
  <c r="N50" i="3"/>
  <c r="N49" i="3"/>
  <c r="I49" i="3" a="1"/>
  <c r="I49" i="3" s="1"/>
  <c r="H49" i="3" a="1"/>
  <c r="N48" i="3"/>
  <c r="I45" i="3" a="1"/>
  <c r="I45" i="3" s="1"/>
  <c r="H45" i="3" a="1"/>
  <c r="AH41" i="3"/>
  <c r="AF41" i="3"/>
  <c r="AE41" i="3"/>
  <c r="AD41" i="3"/>
  <c r="AC41" i="3"/>
  <c r="AB41" i="3"/>
  <c r="AA41" i="3"/>
  <c r="Z41" i="3"/>
  <c r="U41" i="3" a="1"/>
  <c r="U41" i="3" s="1"/>
  <c r="I41" i="3" a="1"/>
  <c r="I41" i="3" s="1"/>
  <c r="H41" i="3" a="1"/>
  <c r="H15" i="3" a="1"/>
  <c r="H15" i="3" s="1"/>
  <c r="I15" i="3" a="1"/>
  <c r="I15" i="3" s="1"/>
  <c r="H19" i="3" a="1"/>
  <c r="H19" i="3" s="1"/>
  <c r="I19" i="3" a="1"/>
  <c r="I19" i="3" s="1"/>
  <c r="O22" i="3"/>
  <c r="H23" i="3" a="1"/>
  <c r="H23" i="3" s="1"/>
  <c r="I23" i="3" a="1"/>
  <c r="I23" i="3" s="1"/>
  <c r="H27" i="3" a="1"/>
  <c r="H27" i="3" s="1"/>
  <c r="W27" i="3" s="1"/>
  <c r="I27" i="3" a="1"/>
  <c r="I27" i="3" s="1"/>
  <c r="N27" i="3"/>
  <c r="I35" i="3" a="1"/>
  <c r="I35" i="3" s="1"/>
  <c r="H35" i="3" a="1"/>
  <c r="H35" i="3" s="1"/>
  <c r="O35" i="3" s="1"/>
  <c r="N34" i="3"/>
  <c r="N33" i="3"/>
  <c r="I31" i="3" a="1"/>
  <c r="I31" i="3" s="1"/>
  <c r="H31" i="3" a="1"/>
  <c r="N30" i="3"/>
  <c r="N29" i="3"/>
  <c r="AH11" i="3"/>
  <c r="AF11" i="3"/>
  <c r="AE11" i="3"/>
  <c r="AD11" i="3"/>
  <c r="AC11" i="3"/>
  <c r="AB11" i="3"/>
  <c r="AA11" i="3"/>
  <c r="Z11" i="3"/>
  <c r="U11" i="3" a="1"/>
  <c r="U11" i="3" s="1"/>
  <c r="I11" i="3" a="1"/>
  <c r="I11" i="3" s="1"/>
  <c r="H11" i="3" a="1"/>
  <c r="H11" i="3" s="1"/>
  <c r="O127" i="2" a="1"/>
  <c r="O127" i="2" s="1"/>
  <c r="N127" i="2" a="1"/>
  <c r="O123" i="2" a="1"/>
  <c r="O123" i="2" s="1"/>
  <c r="N123" i="2" a="1"/>
  <c r="N123" i="2" s="1"/>
  <c r="O119" i="2" a="1"/>
  <c r="O119" i="2" s="1"/>
  <c r="N119" i="2" a="1"/>
  <c r="N119" i="2" s="1"/>
  <c r="O115" i="2" a="1"/>
  <c r="O115" i="2" s="1"/>
  <c r="N115" i="2" a="1"/>
  <c r="N115" i="2" s="1"/>
  <c r="O111" i="2" a="1"/>
  <c r="O111" i="2" s="1"/>
  <c r="N111" i="2" a="1"/>
  <c r="O107" i="2" a="1"/>
  <c r="O107" i="2" s="1"/>
  <c r="N107" i="2" a="1"/>
  <c r="O103" i="2" a="1"/>
  <c r="O103" i="2" s="1"/>
  <c r="N103" i="2" a="1"/>
  <c r="O99" i="2" a="1"/>
  <c r="O99" i="2" s="1"/>
  <c r="N99" i="2" a="1"/>
  <c r="N99" i="2" s="1"/>
  <c r="O95" i="2" a="1"/>
  <c r="O95" i="2" s="1"/>
  <c r="N95" i="2" a="1"/>
  <c r="N95" i="2" s="1"/>
  <c r="BD91" i="2"/>
  <c r="AV91" i="2"/>
  <c r="AU91" i="2"/>
  <c r="AT91" i="2"/>
  <c r="AS91" i="2"/>
  <c r="AR91" i="2"/>
  <c r="AQ91" i="2"/>
  <c r="AP91" i="2"/>
  <c r="O91" i="2" a="1"/>
  <c r="O91" i="2" s="1"/>
  <c r="N91" i="2" a="1"/>
  <c r="O157" i="2" a="1"/>
  <c r="O157" i="2" s="1"/>
  <c r="BD141" i="2"/>
  <c r="AV141" i="2"/>
  <c r="AU141" i="2"/>
  <c r="AT141" i="2"/>
  <c r="AS141" i="2"/>
  <c r="AR141" i="2"/>
  <c r="AQ141" i="2"/>
  <c r="AP141" i="2"/>
  <c r="O87" i="2" a="1"/>
  <c r="O87" i="2" s="1"/>
  <c r="N87" i="2" a="1"/>
  <c r="N87" i="2" s="1"/>
  <c r="O83" i="2" a="1"/>
  <c r="O83" i="2" s="1"/>
  <c r="N83" i="2" a="1"/>
  <c r="N83" i="2" s="1"/>
  <c r="O79" i="2" a="1"/>
  <c r="N79" i="2" a="1"/>
  <c r="O75" i="2" a="1"/>
  <c r="O75" i="2" s="1"/>
  <c r="N75" i="2" a="1"/>
  <c r="N75" i="2" s="1"/>
  <c r="O71" i="2" a="1"/>
  <c r="O71" i="2" s="1"/>
  <c r="N71" i="2" a="1"/>
  <c r="O67" i="2" a="1"/>
  <c r="O67" i="2" s="1"/>
  <c r="N67" i="2" a="1"/>
  <c r="O63" i="2" a="1"/>
  <c r="O63" i="2" s="1"/>
  <c r="N63" i="2" a="1"/>
  <c r="O59" i="2" a="1"/>
  <c r="O59" i="2" s="1"/>
  <c r="N59" i="2" a="1"/>
  <c r="N59" i="2" s="1"/>
  <c r="O55" i="2" a="1"/>
  <c r="O55" i="2" s="1"/>
  <c r="N55" i="2" a="1"/>
  <c r="N55" i="2" s="1"/>
  <c r="BD51" i="2"/>
  <c r="AU51" i="2"/>
  <c r="AT51" i="2"/>
  <c r="AS51" i="2"/>
  <c r="AR51" i="2"/>
  <c r="AQ51" i="2"/>
  <c r="AP51" i="2"/>
  <c r="O51" i="2" a="1"/>
  <c r="O51" i="2" s="1"/>
  <c r="N51" i="2" a="1"/>
  <c r="BD11" i="2"/>
  <c r="AP11" i="2"/>
  <c r="AQ11" i="2"/>
  <c r="AR11" i="2"/>
  <c r="AV11" i="2"/>
  <c r="AU11" i="2"/>
  <c r="AT11" i="2"/>
  <c r="AS11" i="2"/>
  <c r="AE152" i="2" l="1"/>
  <c r="AG152" i="2" s="1"/>
  <c r="AF152" i="2"/>
  <c r="AH152" i="2" s="1"/>
  <c r="AE176" i="2"/>
  <c r="AG176" i="2" s="1"/>
  <c r="AF176" i="2"/>
  <c r="AH176" i="2" s="1"/>
  <c r="AE164" i="2"/>
  <c r="AG164" i="2" s="1"/>
  <c r="AF164" i="2"/>
  <c r="AH164" i="2" s="1"/>
  <c r="AA166" i="2"/>
  <c r="AK166" i="2" s="1"/>
  <c r="AL166" i="2" s="1"/>
  <c r="AA147" i="2"/>
  <c r="AK147" i="2" s="1"/>
  <c r="AL147" i="2" s="1"/>
  <c r="AA171" i="2"/>
  <c r="AK171" i="2" s="1"/>
  <c r="AL171" i="2" s="1"/>
  <c r="AA159" i="2"/>
  <c r="AK159" i="2" s="1"/>
  <c r="AL159" i="2" s="1"/>
  <c r="AE146" i="2"/>
  <c r="AG146" i="2" s="1"/>
  <c r="AF146" i="2"/>
  <c r="AH146" i="2" s="1"/>
  <c r="AK163" i="2"/>
  <c r="AL163" i="2" s="1"/>
  <c r="AE170" i="2"/>
  <c r="AG170" i="2" s="1"/>
  <c r="AF170" i="2"/>
  <c r="AH170" i="2" s="1"/>
  <c r="AE158" i="2"/>
  <c r="AG158" i="2" s="1"/>
  <c r="AF158" i="2"/>
  <c r="AH158" i="2" s="1"/>
  <c r="AA153" i="2"/>
  <c r="AK153" i="2" s="1"/>
  <c r="AL153" i="2" s="1"/>
  <c r="AD175" i="2"/>
  <c r="AD169" i="2"/>
  <c r="AD163" i="2"/>
  <c r="AD157" i="2"/>
  <c r="AD151" i="2"/>
  <c r="AD145" i="2"/>
  <c r="AI142" i="2"/>
  <c r="AJ142" i="2" s="1"/>
  <c r="AD180" i="2"/>
  <c r="AB175" i="2"/>
  <c r="AA175" i="2" s="1"/>
  <c r="AD174" i="2"/>
  <c r="AB169" i="2"/>
  <c r="AA169" i="2" s="1"/>
  <c r="AK169" i="2" s="1"/>
  <c r="AL169" i="2" s="1"/>
  <c r="AD168" i="2"/>
  <c r="AB163" i="2"/>
  <c r="AA163" i="2" s="1"/>
  <c r="AD162" i="2"/>
  <c r="AB157" i="2"/>
  <c r="AA157" i="2" s="1"/>
  <c r="AK157" i="2" s="1"/>
  <c r="AL157" i="2" s="1"/>
  <c r="AD156" i="2"/>
  <c r="AB151" i="2"/>
  <c r="AA151" i="2" s="1"/>
  <c r="AK151" i="2" s="1"/>
  <c r="AL151" i="2" s="1"/>
  <c r="AD150" i="2"/>
  <c r="AB145" i="2"/>
  <c r="AA145" i="2" s="1"/>
  <c r="AK145" i="2" s="1"/>
  <c r="AL145" i="2" s="1"/>
  <c r="AD144" i="2"/>
  <c r="AB180" i="2"/>
  <c r="AA180" i="2" s="1"/>
  <c r="AK180" i="2" s="1"/>
  <c r="AL180" i="2" s="1"/>
  <c r="AD179" i="2"/>
  <c r="AB174" i="2"/>
  <c r="AA174" i="2" s="1"/>
  <c r="AD173" i="2"/>
  <c r="AB168" i="2"/>
  <c r="AA168" i="2" s="1"/>
  <c r="AD167" i="2"/>
  <c r="AB162" i="2"/>
  <c r="AA162" i="2" s="1"/>
  <c r="AK162" i="2" s="1"/>
  <c r="AL162" i="2" s="1"/>
  <c r="AD161" i="2"/>
  <c r="AB156" i="2"/>
  <c r="AA156" i="2" s="1"/>
  <c r="AK156" i="2" s="1"/>
  <c r="AL156" i="2" s="1"/>
  <c r="AD155" i="2"/>
  <c r="AB150" i="2"/>
  <c r="AA150" i="2" s="1"/>
  <c r="AK150" i="2" s="1"/>
  <c r="AL150" i="2" s="1"/>
  <c r="AD149" i="2"/>
  <c r="AB144" i="2"/>
  <c r="AA144" i="2" s="1"/>
  <c r="AD143" i="2"/>
  <c r="AF142" i="2"/>
  <c r="AH142" i="2" s="1"/>
  <c r="AK175" i="2"/>
  <c r="AL175" i="2" s="1"/>
  <c r="AB167" i="2"/>
  <c r="AA167" i="2" s="1"/>
  <c r="AK167" i="2" s="1"/>
  <c r="AL167" i="2" s="1"/>
  <c r="AB161" i="2"/>
  <c r="AA161" i="2" s="1"/>
  <c r="AK161" i="2" s="1"/>
  <c r="AL161" i="2" s="1"/>
  <c r="AB155" i="2"/>
  <c r="AA155" i="2" s="1"/>
  <c r="AK155" i="2" s="1"/>
  <c r="AL155" i="2" s="1"/>
  <c r="AB149" i="2"/>
  <c r="AA149" i="2" s="1"/>
  <c r="AB143" i="2"/>
  <c r="AA143" i="2" s="1"/>
  <c r="AK143" i="2" s="1"/>
  <c r="AL143" i="2" s="1"/>
  <c r="AK174" i="2"/>
  <c r="AL174" i="2" s="1"/>
  <c r="AI169" i="2"/>
  <c r="AJ169" i="2" s="1"/>
  <c r="AK168" i="2"/>
  <c r="AL168" i="2" s="1"/>
  <c r="AI163" i="2"/>
  <c r="AJ163" i="2" s="1"/>
  <c r="AK144" i="2"/>
  <c r="AL144" i="2" s="1"/>
  <c r="AB178" i="2"/>
  <c r="AA178" i="2" s="1"/>
  <c r="AK178" i="2" s="1"/>
  <c r="AL178" i="2" s="1"/>
  <c r="AB172" i="2"/>
  <c r="AA172" i="2" s="1"/>
  <c r="AK172" i="2" s="1"/>
  <c r="AL172" i="2" s="1"/>
  <c r="AB166" i="2"/>
  <c r="AB160" i="2"/>
  <c r="AA160" i="2" s="1"/>
  <c r="AK160" i="2" s="1"/>
  <c r="AL160" i="2" s="1"/>
  <c r="AB154" i="2"/>
  <c r="AA154" i="2" s="1"/>
  <c r="AK154" i="2" s="1"/>
  <c r="AL154" i="2" s="1"/>
  <c r="AB148" i="2"/>
  <c r="AA148" i="2" s="1"/>
  <c r="AK148" i="2" s="1"/>
  <c r="AL148" i="2" s="1"/>
  <c r="AB142" i="2"/>
  <c r="AA142" i="2" s="1"/>
  <c r="AK142" i="2" s="1"/>
  <c r="AL142" i="2" s="1"/>
  <c r="AK179" i="2"/>
  <c r="AL179" i="2" s="1"/>
  <c r="AK173" i="2"/>
  <c r="AL173" i="2" s="1"/>
  <c r="AK149" i="2"/>
  <c r="AL149" i="2" s="1"/>
  <c r="AB179" i="2"/>
  <c r="AA179" i="2" s="1"/>
  <c r="AB173" i="2"/>
  <c r="AA173" i="2" s="1"/>
  <c r="AB141" i="2"/>
  <c r="AA141" i="2" s="1"/>
  <c r="AK141" i="2" s="1"/>
  <c r="AL141" i="2" s="1"/>
  <c r="AD141" i="2"/>
  <c r="AJ93" i="2"/>
  <c r="AJ118" i="2"/>
  <c r="AA128" i="2"/>
  <c r="AA116" i="2"/>
  <c r="AK96" i="2"/>
  <c r="AL96" i="2" s="1"/>
  <c r="AA129" i="2"/>
  <c r="AA117" i="2"/>
  <c r="AA93" i="2"/>
  <c r="AJ117" i="2"/>
  <c r="AK103" i="2"/>
  <c r="AL103" i="2" s="1"/>
  <c r="AK113" i="2"/>
  <c r="AL113" i="2" s="1"/>
  <c r="AK102" i="2"/>
  <c r="AL102" i="2" s="1"/>
  <c r="AJ129" i="2"/>
  <c r="AK126" i="2"/>
  <c r="AL126" i="2" s="1"/>
  <c r="AJ97" i="2"/>
  <c r="AK108" i="2"/>
  <c r="AL108" i="2" s="1"/>
  <c r="AJ99" i="2"/>
  <c r="AK97" i="2"/>
  <c r="AL97" i="2" s="1"/>
  <c r="AJ124" i="2"/>
  <c r="AJ112" i="2"/>
  <c r="AJ115" i="2"/>
  <c r="AJ111" i="2"/>
  <c r="AJ109" i="2"/>
  <c r="AJ100" i="2"/>
  <c r="AK120" i="2"/>
  <c r="AL120" i="2" s="1"/>
  <c r="AJ123" i="2"/>
  <c r="AJ103" i="2"/>
  <c r="AG119" i="2"/>
  <c r="AG113" i="2"/>
  <c r="AG101" i="2"/>
  <c r="AG95" i="2"/>
  <c r="AA118" i="2"/>
  <c r="AK118" i="2" s="1"/>
  <c r="AL118" i="2" s="1"/>
  <c r="AA94" i="2"/>
  <c r="AK94" i="2" s="1"/>
  <c r="AL94" i="2" s="1"/>
  <c r="AA112" i="2"/>
  <c r="AK112" i="2" s="1"/>
  <c r="AL112" i="2" s="1"/>
  <c r="AA80" i="2"/>
  <c r="AA130" i="2"/>
  <c r="AK130" i="2" s="1"/>
  <c r="AL130" i="2" s="1"/>
  <c r="AA107" i="2"/>
  <c r="AK107" i="2" s="1"/>
  <c r="AL107" i="2" s="1"/>
  <c r="AA106" i="2"/>
  <c r="AA79" i="2"/>
  <c r="AK79" i="2" s="1"/>
  <c r="AL79" i="2" s="1"/>
  <c r="AA124" i="2"/>
  <c r="AK124" i="2" s="1"/>
  <c r="AL124" i="2" s="1"/>
  <c r="AA114" i="2"/>
  <c r="AK114" i="2" s="1"/>
  <c r="AL114" i="2" s="1"/>
  <c r="AA67" i="2"/>
  <c r="AK67" i="2" s="1"/>
  <c r="AL67" i="2" s="1"/>
  <c r="AA119" i="2"/>
  <c r="AK119" i="2" s="1"/>
  <c r="AL119" i="2" s="1"/>
  <c r="AA92" i="2"/>
  <c r="AK92" i="2" s="1"/>
  <c r="AL92" i="2" s="1"/>
  <c r="AH96" i="2"/>
  <c r="AG96" i="2"/>
  <c r="AK106" i="2"/>
  <c r="AL106" i="2" s="1"/>
  <c r="AK98" i="2"/>
  <c r="AL98" i="2" s="1"/>
  <c r="AH108" i="2"/>
  <c r="AG108" i="2"/>
  <c r="AA101" i="2"/>
  <c r="AK101" i="2" s="1"/>
  <c r="AL101" i="2" s="1"/>
  <c r="AA121" i="2"/>
  <c r="AK121" i="2" s="1"/>
  <c r="AL121" i="2" s="1"/>
  <c r="AH120" i="2"/>
  <c r="AG120" i="2"/>
  <c r="AH126" i="2"/>
  <c r="AG126" i="2"/>
  <c r="AA115" i="2"/>
  <c r="AK115" i="2" s="1"/>
  <c r="AL115" i="2" s="1"/>
  <c r="AK100" i="2"/>
  <c r="AL100" i="2" s="1"/>
  <c r="AA125" i="2"/>
  <c r="AK125" i="2" s="1"/>
  <c r="AL125" i="2" s="1"/>
  <c r="AG102" i="2"/>
  <c r="AH102" i="2"/>
  <c r="AA95" i="2"/>
  <c r="AK95" i="2" s="1"/>
  <c r="AL95" i="2" s="1"/>
  <c r="AA127" i="2"/>
  <c r="AK127" i="2" s="1"/>
  <c r="AL127" i="2" s="1"/>
  <c r="AK109" i="2"/>
  <c r="AL109" i="2" s="1"/>
  <c r="AH114" i="2"/>
  <c r="AG114" i="2"/>
  <c r="AJ128" i="2"/>
  <c r="AJ122" i="2"/>
  <c r="AJ116" i="2"/>
  <c r="AJ110" i="2"/>
  <c r="AJ104" i="2"/>
  <c r="AJ98" i="2"/>
  <c r="AJ92" i="2"/>
  <c r="AX91" i="2" s="1"/>
  <c r="AD130" i="2"/>
  <c r="AH129" i="2"/>
  <c r="AD124" i="2"/>
  <c r="AH123" i="2"/>
  <c r="AD118" i="2"/>
  <c r="AH117" i="2"/>
  <c r="AD112" i="2"/>
  <c r="AH111" i="2"/>
  <c r="AD106" i="2"/>
  <c r="AH105" i="2"/>
  <c r="AD100" i="2"/>
  <c r="AH99" i="2"/>
  <c r="AD94" i="2"/>
  <c r="AH93" i="2"/>
  <c r="AH128" i="2"/>
  <c r="AH122" i="2"/>
  <c r="AH116" i="2"/>
  <c r="AH110" i="2"/>
  <c r="AH104" i="2"/>
  <c r="AH98" i="2"/>
  <c r="AH92" i="2"/>
  <c r="AK129" i="2"/>
  <c r="AL129" i="2" s="1"/>
  <c r="AK123" i="2"/>
  <c r="AL123" i="2" s="1"/>
  <c r="AK117" i="2"/>
  <c r="AL117" i="2" s="1"/>
  <c r="AK111" i="2"/>
  <c r="AL111" i="2" s="1"/>
  <c r="AK105" i="2"/>
  <c r="AL105" i="2" s="1"/>
  <c r="AK99" i="2"/>
  <c r="AL99" i="2" s="1"/>
  <c r="AK93" i="2"/>
  <c r="AL93" i="2" s="1"/>
  <c r="AH125" i="2"/>
  <c r="AH119" i="2"/>
  <c r="AH113" i="2"/>
  <c r="AH107" i="2"/>
  <c r="AH101" i="2"/>
  <c r="AH95" i="2"/>
  <c r="AA91" i="2"/>
  <c r="AK91" i="2" s="1"/>
  <c r="AL91" i="2" s="1"/>
  <c r="AG91" i="2"/>
  <c r="AJ91" i="2"/>
  <c r="AD84" i="2"/>
  <c r="AD81" i="2"/>
  <c r="AD74" i="2"/>
  <c r="AE61" i="2"/>
  <c r="AG61" i="2" s="1"/>
  <c r="AD86" i="2"/>
  <c r="AD70" i="2"/>
  <c r="AE73" i="2"/>
  <c r="AG73" i="2" s="1"/>
  <c r="AD57" i="2"/>
  <c r="AD51" i="2"/>
  <c r="AD88" i="2"/>
  <c r="AE88" i="2" s="1"/>
  <c r="AG88" i="2" s="1"/>
  <c r="AD85" i="2"/>
  <c r="AD52" i="2"/>
  <c r="AE52" i="2" s="1"/>
  <c r="AG52" i="2" s="1"/>
  <c r="AD72" i="2"/>
  <c r="AD69" i="2"/>
  <c r="AD62" i="2"/>
  <c r="AA88" i="2"/>
  <c r="AK88" i="2" s="1"/>
  <c r="AL88" i="2" s="1"/>
  <c r="AA76" i="2"/>
  <c r="AK76" i="2" s="1"/>
  <c r="AL76" i="2" s="1"/>
  <c r="AA63" i="2"/>
  <c r="AA64" i="2"/>
  <c r="AK64" i="2" s="1"/>
  <c r="AL64" i="2" s="1"/>
  <c r="AA87" i="2"/>
  <c r="AA75" i="2"/>
  <c r="AK75" i="2" s="1"/>
  <c r="AL75" i="2" s="1"/>
  <c r="AA52" i="2"/>
  <c r="AK52" i="2" s="1"/>
  <c r="AL52" i="2" s="1"/>
  <c r="AA90" i="2"/>
  <c r="AK90" i="2" s="1"/>
  <c r="AL90" i="2" s="1"/>
  <c r="AA66" i="2"/>
  <c r="AK66" i="2" s="1"/>
  <c r="AL66" i="2" s="1"/>
  <c r="AA78" i="2"/>
  <c r="AK78" i="2" s="1"/>
  <c r="AL78" i="2" s="1"/>
  <c r="AA69" i="2"/>
  <c r="AK69" i="2" s="1"/>
  <c r="AL69" i="2" s="1"/>
  <c r="AA86" i="2"/>
  <c r="AK86" i="2" s="1"/>
  <c r="AL86" i="2" s="1"/>
  <c r="AA62" i="2"/>
  <c r="AK62" i="2" s="1"/>
  <c r="AL62" i="2" s="1"/>
  <c r="AA74" i="2"/>
  <c r="AK74" i="2" s="1"/>
  <c r="AL74" i="2" s="1"/>
  <c r="AA85" i="2"/>
  <c r="AK85" i="2" s="1"/>
  <c r="AL85" i="2" s="1"/>
  <c r="AA61" i="2"/>
  <c r="AK61" i="2" s="1"/>
  <c r="AL61" i="2" s="1"/>
  <c r="AA54" i="2"/>
  <c r="AK54" i="2" s="1"/>
  <c r="AL54" i="2" s="1"/>
  <c r="AK73" i="2"/>
  <c r="AL73" i="2" s="1"/>
  <c r="AK87" i="2"/>
  <c r="AL87" i="2" s="1"/>
  <c r="AF60" i="2"/>
  <c r="AH60" i="2" s="1"/>
  <c r="AE60" i="2"/>
  <c r="AG60" i="2" s="1"/>
  <c r="AF72" i="2"/>
  <c r="AH72" i="2" s="1"/>
  <c r="AE72" i="2"/>
  <c r="AG72" i="2" s="1"/>
  <c r="AE84" i="2"/>
  <c r="AG84" i="2" s="1"/>
  <c r="AF84" i="2"/>
  <c r="AH84" i="2" s="1"/>
  <c r="AK55" i="2"/>
  <c r="AL55" i="2" s="1"/>
  <c r="AA60" i="2"/>
  <c r="AK60" i="2" s="1"/>
  <c r="AL60" i="2" s="1"/>
  <c r="AD58" i="2"/>
  <c r="AI53" i="2"/>
  <c r="AJ53" i="2" s="1"/>
  <c r="AA71" i="2"/>
  <c r="AK71" i="2" s="1"/>
  <c r="AL71" i="2" s="1"/>
  <c r="AA59" i="2"/>
  <c r="AK59" i="2" s="1"/>
  <c r="AL59" i="2" s="1"/>
  <c r="AA72" i="2"/>
  <c r="AI87" i="2"/>
  <c r="AJ87" i="2" s="1"/>
  <c r="AA82" i="2"/>
  <c r="AK82" i="2" s="1"/>
  <c r="AL82" i="2" s="1"/>
  <c r="AD80" i="2"/>
  <c r="AI75" i="2"/>
  <c r="AJ75" i="2" s="1"/>
  <c r="AA70" i="2"/>
  <c r="AK70" i="2" s="1"/>
  <c r="AL70" i="2" s="1"/>
  <c r="AD68" i="2"/>
  <c r="AI63" i="2"/>
  <c r="AJ63" i="2" s="1"/>
  <c r="AA58" i="2"/>
  <c r="AK58" i="2" s="1"/>
  <c r="AL58" i="2" s="1"/>
  <c r="AD56" i="2"/>
  <c r="AA83" i="2"/>
  <c r="AK83" i="2" s="1"/>
  <c r="AL83" i="2" s="1"/>
  <c r="AD79" i="2"/>
  <c r="AD67" i="2"/>
  <c r="AD55" i="2"/>
  <c r="AD90" i="2"/>
  <c r="AD78" i="2"/>
  <c r="AF76" i="2"/>
  <c r="AH76" i="2" s="1"/>
  <c r="AA68" i="2"/>
  <c r="AK68" i="2" s="1"/>
  <c r="AL68" i="2" s="1"/>
  <c r="AD66" i="2"/>
  <c r="AF64" i="2"/>
  <c r="AH64" i="2" s="1"/>
  <c r="AA56" i="2"/>
  <c r="AK56" i="2" s="1"/>
  <c r="AL56" i="2" s="1"/>
  <c r="AD54" i="2"/>
  <c r="AF52" i="2"/>
  <c r="AH52" i="2" s="1"/>
  <c r="AD89" i="2"/>
  <c r="AI84" i="2"/>
  <c r="AJ84" i="2" s="1"/>
  <c r="AD77" i="2"/>
  <c r="AI72" i="2"/>
  <c r="AJ72" i="2" s="1"/>
  <c r="AD65" i="2"/>
  <c r="AI60" i="2"/>
  <c r="AJ60" i="2" s="1"/>
  <c r="AD53" i="2"/>
  <c r="AA89" i="2"/>
  <c r="AK89" i="2" s="1"/>
  <c r="AL89" i="2" s="1"/>
  <c r="AD87" i="2"/>
  <c r="AK80" i="2"/>
  <c r="AL80" i="2" s="1"/>
  <c r="AA77" i="2"/>
  <c r="AK77" i="2" s="1"/>
  <c r="AL77" i="2" s="1"/>
  <c r="AD75" i="2"/>
  <c r="AA65" i="2"/>
  <c r="AK65" i="2" s="1"/>
  <c r="AL65" i="2" s="1"/>
  <c r="AD63" i="2"/>
  <c r="AA53" i="2"/>
  <c r="AA84" i="2"/>
  <c r="AK84" i="2" s="1"/>
  <c r="AL84" i="2" s="1"/>
  <c r="AF83" i="2"/>
  <c r="AH83" i="2" s="1"/>
  <c r="AF71" i="2"/>
  <c r="AH71" i="2" s="1"/>
  <c r="AF59" i="2"/>
  <c r="AH59" i="2" s="1"/>
  <c r="AA51" i="2"/>
  <c r="AJ51" i="2"/>
  <c r="Z49" i="2"/>
  <c r="Z37" i="2"/>
  <c r="Z25" i="2"/>
  <c r="Z43" i="2"/>
  <c r="Z31" i="2"/>
  <c r="Z19" i="2"/>
  <c r="Z42" i="2"/>
  <c r="Z30" i="2"/>
  <c r="Z18" i="2"/>
  <c r="Z12" i="2"/>
  <c r="Z41" i="2"/>
  <c r="Z29" i="2"/>
  <c r="Z17" i="2"/>
  <c r="Z13" i="2"/>
  <c r="Z40" i="2"/>
  <c r="Z28" i="2"/>
  <c r="Z16" i="2"/>
  <c r="Z14" i="2"/>
  <c r="Z39" i="2"/>
  <c r="Z27" i="2"/>
  <c r="Z15" i="2"/>
  <c r="Z50" i="2"/>
  <c r="Z38" i="2"/>
  <c r="Z26" i="2"/>
  <c r="Z48" i="2"/>
  <c r="Z36" i="2"/>
  <c r="Z24" i="2"/>
  <c r="Z47" i="2"/>
  <c r="Z35" i="2"/>
  <c r="Z46" i="2"/>
  <c r="Z34" i="2"/>
  <c r="Z22" i="2"/>
  <c r="Z45" i="2"/>
  <c r="Z33" i="2"/>
  <c r="Z21" i="2"/>
  <c r="Z44" i="2"/>
  <c r="Z32" i="2"/>
  <c r="Z20" i="2"/>
  <c r="V28" i="2"/>
  <c r="Q109" i="2"/>
  <c r="Q95" i="2"/>
  <c r="Q75" i="2"/>
  <c r="Y28" i="2"/>
  <c r="Q68" i="2"/>
  <c r="Q128" i="2"/>
  <c r="Q123" i="2"/>
  <c r="Q104" i="2"/>
  <c r="Q115" i="2"/>
  <c r="Q119" i="2"/>
  <c r="Y32" i="2"/>
  <c r="Y27" i="2"/>
  <c r="Y31" i="2"/>
  <c r="Z11" i="2"/>
  <c r="Q53" i="2"/>
  <c r="Q59" i="2"/>
  <c r="Q87" i="2"/>
  <c r="Q99" i="2"/>
  <c r="Q55" i="2"/>
  <c r="V69" i="2"/>
  <c r="Q72" i="2"/>
  <c r="Q112" i="2"/>
  <c r="Q65" i="2"/>
  <c r="V107" i="2"/>
  <c r="V111" i="2"/>
  <c r="Q80" i="2"/>
  <c r="V113" i="2"/>
  <c r="Q92" i="2"/>
  <c r="Q52" i="2"/>
  <c r="Q88" i="2"/>
  <c r="Q76" i="2"/>
  <c r="Q64" i="2"/>
  <c r="Q108" i="2"/>
  <c r="Q96" i="2"/>
  <c r="Q130" i="2"/>
  <c r="Q62" i="2"/>
  <c r="Q86" i="2"/>
  <c r="Q74" i="2"/>
  <c r="Q118" i="2"/>
  <c r="Q106" i="2"/>
  <c r="Q129" i="2"/>
  <c r="Q61" i="2"/>
  <c r="Q85" i="2"/>
  <c r="Q73" i="2"/>
  <c r="Q117" i="2"/>
  <c r="Q105" i="2"/>
  <c r="V110" i="2"/>
  <c r="V74" i="2"/>
  <c r="Q60" i="2"/>
  <c r="Q84" i="2"/>
  <c r="Q116" i="2"/>
  <c r="Q83" i="2"/>
  <c r="Q126" i="2"/>
  <c r="Q58" i="2"/>
  <c r="Q94" i="2"/>
  <c r="Q82" i="2"/>
  <c r="Q70" i="2"/>
  <c r="Q114" i="2"/>
  <c r="Q102" i="2"/>
  <c r="Q125" i="2"/>
  <c r="Q57" i="2"/>
  <c r="Q93" i="2"/>
  <c r="Q81" i="2"/>
  <c r="Q69" i="2"/>
  <c r="Q113" i="2"/>
  <c r="Q101" i="2"/>
  <c r="Q124" i="2"/>
  <c r="Q56" i="2"/>
  <c r="Q100" i="2"/>
  <c r="V68" i="2"/>
  <c r="Q122" i="2"/>
  <c r="V67" i="2"/>
  <c r="Q54" i="2"/>
  <c r="Q90" i="2"/>
  <c r="Q78" i="2"/>
  <c r="Q66" i="2"/>
  <c r="Q110" i="2"/>
  <c r="Q98" i="2"/>
  <c r="Q121" i="2"/>
  <c r="Q89" i="2"/>
  <c r="Q77" i="2"/>
  <c r="Q97" i="2"/>
  <c r="Q120" i="2"/>
  <c r="V72" i="2"/>
  <c r="V112" i="2"/>
  <c r="V70" i="2"/>
  <c r="V109" i="2"/>
  <c r="V71" i="2"/>
  <c r="V114" i="2"/>
  <c r="V73" i="2"/>
  <c r="V108" i="2"/>
  <c r="N58" i="3"/>
  <c r="N59" i="3"/>
  <c r="N47" i="3"/>
  <c r="N57" i="3"/>
  <c r="N51" i="3"/>
  <c r="N32" i="3"/>
  <c r="P22" i="3"/>
  <c r="O21" i="3"/>
  <c r="P21" i="3"/>
  <c r="R21" i="3" s="1"/>
  <c r="T21" i="3" s="1"/>
  <c r="R22" i="3"/>
  <c r="T22" i="3" s="1"/>
  <c r="Q22" i="3"/>
  <c r="S22" i="3" s="1"/>
  <c r="Q21" i="3"/>
  <c r="S21" i="3" s="1"/>
  <c r="O17" i="3"/>
  <c r="P17" i="3" s="1"/>
  <c r="Q17" i="3" s="1"/>
  <c r="O16" i="3"/>
  <c r="P16" i="3" s="1"/>
  <c r="O20" i="3"/>
  <c r="P20" i="3" s="1"/>
  <c r="X27" i="3"/>
  <c r="P35" i="3"/>
  <c r="Q35" i="3" s="1"/>
  <c r="S35" i="3" s="1"/>
  <c r="O43" i="3"/>
  <c r="P43" i="3" s="1"/>
  <c r="O26" i="3"/>
  <c r="P26" i="3" s="1"/>
  <c r="Q26" i="3" s="1"/>
  <c r="S26" i="3" s="1"/>
  <c r="O25" i="3"/>
  <c r="P25" i="3" s="1"/>
  <c r="Q25" i="3" s="1"/>
  <c r="S25" i="3" s="1"/>
  <c r="O51" i="3"/>
  <c r="P51" i="3" s="1"/>
  <c r="O24" i="3"/>
  <c r="P24" i="3" s="1"/>
  <c r="Q24" i="3" s="1"/>
  <c r="O18" i="3"/>
  <c r="P18" i="3" s="1"/>
  <c r="O59" i="3"/>
  <c r="P59" i="3" s="1"/>
  <c r="O42" i="3"/>
  <c r="P42" i="3" s="1"/>
  <c r="R42" i="3" s="1"/>
  <c r="T42" i="3" s="1"/>
  <c r="O44" i="3"/>
  <c r="P44" i="3" s="1"/>
  <c r="O55" i="3"/>
  <c r="P55" i="3" s="1"/>
  <c r="R55" i="3" s="1"/>
  <c r="T55" i="3" s="1"/>
  <c r="O61" i="3"/>
  <c r="P61" i="3" s="1"/>
  <c r="O63" i="3"/>
  <c r="P63" i="3" s="1"/>
  <c r="O62" i="3"/>
  <c r="P62" i="3" s="1"/>
  <c r="O64" i="3"/>
  <c r="P64" i="3" s="1"/>
  <c r="O47" i="3"/>
  <c r="O58" i="3"/>
  <c r="P58" i="3" s="1"/>
  <c r="O60" i="3"/>
  <c r="P60" i="3" s="1"/>
  <c r="H57" i="3"/>
  <c r="O57" i="3" s="1"/>
  <c r="P57" i="3" s="1"/>
  <c r="O54" i="3"/>
  <c r="P54" i="3" s="1"/>
  <c r="O56" i="3"/>
  <c r="P56" i="3" s="1"/>
  <c r="R56" i="3" s="1"/>
  <c r="H53" i="3"/>
  <c r="O53" i="3" s="1"/>
  <c r="P53" i="3" s="1"/>
  <c r="H49" i="3"/>
  <c r="O49" i="3" s="1"/>
  <c r="P49" i="3" s="1"/>
  <c r="O50" i="3"/>
  <c r="P50" i="3" s="1"/>
  <c r="O52" i="3"/>
  <c r="P52" i="3" s="1"/>
  <c r="O48" i="3"/>
  <c r="P48" i="3" s="1"/>
  <c r="H45" i="3"/>
  <c r="O46" i="3"/>
  <c r="P46" i="3" s="1"/>
  <c r="H41" i="3"/>
  <c r="O41" i="3" s="1"/>
  <c r="P41" i="3" s="1"/>
  <c r="O19" i="3"/>
  <c r="P19" i="3" s="1"/>
  <c r="Q19" i="3" s="1"/>
  <c r="O23" i="3"/>
  <c r="P23" i="3" s="1"/>
  <c r="Q23" i="3" s="1"/>
  <c r="S17" i="3"/>
  <c r="R17" i="3"/>
  <c r="T17" i="3" s="1"/>
  <c r="S24" i="3"/>
  <c r="R24" i="3"/>
  <c r="T24" i="3" s="1"/>
  <c r="O27" i="3"/>
  <c r="P27" i="3" s="1"/>
  <c r="Q27" i="3" s="1"/>
  <c r="O15" i="3"/>
  <c r="P15" i="3" s="1"/>
  <c r="Q15" i="3" s="1"/>
  <c r="O11" i="3"/>
  <c r="P11" i="3" s="1"/>
  <c r="Q11" i="3" s="1"/>
  <c r="O32" i="3"/>
  <c r="P32" i="3" s="1"/>
  <c r="Q32" i="3" s="1"/>
  <c r="H31" i="3"/>
  <c r="O31" i="3" s="1"/>
  <c r="P31" i="3" s="1"/>
  <c r="Q31" i="3" s="1"/>
  <c r="O28" i="3"/>
  <c r="P28" i="3" s="1"/>
  <c r="Q28" i="3" s="1"/>
  <c r="O37" i="3"/>
  <c r="P37" i="3" s="1"/>
  <c r="Q37" i="3" s="1"/>
  <c r="O13" i="3"/>
  <c r="P13" i="3" s="1"/>
  <c r="Q13" i="3" s="1"/>
  <c r="O34" i="3"/>
  <c r="P34" i="3" s="1"/>
  <c r="Q34" i="3" s="1"/>
  <c r="O30" i="3"/>
  <c r="P30" i="3" s="1"/>
  <c r="Q30" i="3" s="1"/>
  <c r="O12" i="3"/>
  <c r="P12" i="3" s="1"/>
  <c r="Q12" i="3" s="1"/>
  <c r="O14" i="3"/>
  <c r="P14" i="3" s="1"/>
  <c r="Q14" i="3" s="1"/>
  <c r="O33" i="3"/>
  <c r="P33" i="3" s="1"/>
  <c r="Q33" i="3" s="1"/>
  <c r="O36" i="3"/>
  <c r="P36" i="3" s="1"/>
  <c r="Q36" i="3" s="1"/>
  <c r="O38" i="3"/>
  <c r="P38" i="3" s="1"/>
  <c r="Q38" i="3" s="1"/>
  <c r="O29" i="3"/>
  <c r="P29" i="3" s="1"/>
  <c r="Q29" i="3" s="1"/>
  <c r="N111" i="2"/>
  <c r="N91" i="2"/>
  <c r="N103" i="2"/>
  <c r="N127" i="2"/>
  <c r="N107" i="2"/>
  <c r="O79" i="2"/>
  <c r="N51" i="2"/>
  <c r="N67" i="2"/>
  <c r="N71" i="2"/>
  <c r="Q71" i="2" s="1"/>
  <c r="N79" i="2"/>
  <c r="Q79" i="2" s="1"/>
  <c r="N63" i="2"/>
  <c r="AE150" i="2" l="1"/>
  <c r="AG150" i="2" s="1"/>
  <c r="AF150" i="2"/>
  <c r="AH150" i="2" s="1"/>
  <c r="AE151" i="2"/>
  <c r="AG151" i="2" s="1"/>
  <c r="AF151" i="2"/>
  <c r="AH151" i="2" s="1"/>
  <c r="AE161" i="2"/>
  <c r="AG161" i="2" s="1"/>
  <c r="AF161" i="2"/>
  <c r="AH161" i="2" s="1"/>
  <c r="AE167" i="2"/>
  <c r="AG167" i="2" s="1"/>
  <c r="AF167" i="2"/>
  <c r="AH167" i="2" s="1"/>
  <c r="AE162" i="2"/>
  <c r="AG162" i="2" s="1"/>
  <c r="AF162" i="2"/>
  <c r="AH162" i="2" s="1"/>
  <c r="AE169" i="2"/>
  <c r="AG169" i="2" s="1"/>
  <c r="AF169" i="2"/>
  <c r="AH169" i="2" s="1"/>
  <c r="AE155" i="2"/>
  <c r="AG155" i="2" s="1"/>
  <c r="AF155" i="2"/>
  <c r="AH155" i="2" s="1"/>
  <c r="AE157" i="2"/>
  <c r="AG157" i="2" s="1"/>
  <c r="AF157" i="2"/>
  <c r="AH157" i="2" s="1"/>
  <c r="AE175" i="2"/>
  <c r="AG175" i="2" s="1"/>
  <c r="AF175" i="2"/>
  <c r="AH175" i="2" s="1"/>
  <c r="AE173" i="2"/>
  <c r="AG173" i="2" s="1"/>
  <c r="AF173" i="2"/>
  <c r="AH173" i="2" s="1"/>
  <c r="AE168" i="2"/>
  <c r="AG168" i="2" s="1"/>
  <c r="AF168" i="2"/>
  <c r="AH168" i="2" s="1"/>
  <c r="AE145" i="2"/>
  <c r="AG145" i="2" s="1"/>
  <c r="AF145" i="2"/>
  <c r="AH145" i="2" s="1"/>
  <c r="AE143" i="2"/>
  <c r="AG143" i="2" s="1"/>
  <c r="AF143" i="2"/>
  <c r="AH143" i="2" s="1"/>
  <c r="AE179" i="2"/>
  <c r="AG179" i="2" s="1"/>
  <c r="AF179" i="2"/>
  <c r="AH179" i="2" s="1"/>
  <c r="AE174" i="2"/>
  <c r="AG174" i="2" s="1"/>
  <c r="AF174" i="2"/>
  <c r="AH174" i="2" s="1"/>
  <c r="BB141" i="2"/>
  <c r="AE156" i="2"/>
  <c r="AG156" i="2" s="1"/>
  <c r="AF156" i="2"/>
  <c r="AH156" i="2" s="1"/>
  <c r="AE163" i="2"/>
  <c r="AG163" i="2" s="1"/>
  <c r="AF163" i="2"/>
  <c r="AH163" i="2" s="1"/>
  <c r="AE149" i="2"/>
  <c r="AG149" i="2" s="1"/>
  <c r="AF149" i="2"/>
  <c r="AH149" i="2" s="1"/>
  <c r="AE144" i="2"/>
  <c r="AG144" i="2" s="1"/>
  <c r="AF144" i="2"/>
  <c r="AH144" i="2" s="1"/>
  <c r="AE180" i="2"/>
  <c r="AG180" i="2" s="1"/>
  <c r="AF180" i="2"/>
  <c r="AH180" i="2" s="1"/>
  <c r="AH141" i="2"/>
  <c r="AG141" i="2"/>
  <c r="BF141" i="2"/>
  <c r="BH141" i="2" s="1"/>
  <c r="BL141" i="2"/>
  <c r="BM141" i="2" s="1"/>
  <c r="BC141" i="2"/>
  <c r="AH112" i="2"/>
  <c r="AG112" i="2"/>
  <c r="AH118" i="2"/>
  <c r="AG118" i="2"/>
  <c r="AK116" i="2"/>
  <c r="AL116" i="2" s="1"/>
  <c r="BB91" i="2" s="1"/>
  <c r="AK110" i="2"/>
  <c r="AL110" i="2" s="1"/>
  <c r="AH124" i="2"/>
  <c r="AG124" i="2"/>
  <c r="AK104" i="2"/>
  <c r="AL104" i="2" s="1"/>
  <c r="AG94" i="2"/>
  <c r="AH94" i="2"/>
  <c r="AH130" i="2"/>
  <c r="AG130" i="2"/>
  <c r="AH106" i="2"/>
  <c r="AG106" i="2"/>
  <c r="AG100" i="2"/>
  <c r="AH100" i="2"/>
  <c r="AK128" i="2"/>
  <c r="AL128" i="2" s="1"/>
  <c r="AK122" i="2"/>
  <c r="AL122" i="2" s="1"/>
  <c r="AF70" i="2"/>
  <c r="AH70" i="2" s="1"/>
  <c r="AE70" i="2"/>
  <c r="AG70" i="2" s="1"/>
  <c r="AE57" i="2"/>
  <c r="AG57" i="2" s="1"/>
  <c r="AF57" i="2"/>
  <c r="AH57" i="2" s="1"/>
  <c r="AE86" i="2"/>
  <c r="AG86" i="2" s="1"/>
  <c r="AF86" i="2"/>
  <c r="AH86" i="2" s="1"/>
  <c r="AF88" i="2"/>
  <c r="AH88" i="2" s="1"/>
  <c r="AE62" i="2"/>
  <c r="AG62" i="2" s="1"/>
  <c r="AF62" i="2"/>
  <c r="AH62" i="2" s="1"/>
  <c r="AE74" i="2"/>
  <c r="AG74" i="2" s="1"/>
  <c r="AF74" i="2"/>
  <c r="AH74" i="2" s="1"/>
  <c r="AE51" i="2"/>
  <c r="AG51" i="2" s="1"/>
  <c r="AW51" i="2" s="1"/>
  <c r="AF51" i="2"/>
  <c r="AH51" i="2" s="1"/>
  <c r="AE69" i="2"/>
  <c r="AG69" i="2" s="1"/>
  <c r="AF69" i="2"/>
  <c r="AH69" i="2" s="1"/>
  <c r="AE81" i="2"/>
  <c r="AG81" i="2" s="1"/>
  <c r="AF81" i="2"/>
  <c r="AH81" i="2" s="1"/>
  <c r="AF85" i="2"/>
  <c r="AH85" i="2" s="1"/>
  <c r="AE85" i="2"/>
  <c r="AG85" i="2" s="1"/>
  <c r="AE56" i="2"/>
  <c r="AG56" i="2" s="1"/>
  <c r="AF56" i="2"/>
  <c r="AH56" i="2" s="1"/>
  <c r="AE75" i="2"/>
  <c r="AG75" i="2" s="1"/>
  <c r="AF75" i="2"/>
  <c r="AH75" i="2" s="1"/>
  <c r="AK53" i="2"/>
  <c r="AL53" i="2" s="1"/>
  <c r="AE77" i="2"/>
  <c r="AG77" i="2" s="1"/>
  <c r="AF77" i="2"/>
  <c r="AH77" i="2" s="1"/>
  <c r="AF58" i="2"/>
  <c r="AH58" i="2" s="1"/>
  <c r="AE58" i="2"/>
  <c r="AG58" i="2" s="1"/>
  <c r="AE90" i="2"/>
  <c r="AG90" i="2" s="1"/>
  <c r="AF90" i="2"/>
  <c r="AH90" i="2" s="1"/>
  <c r="AE87" i="2"/>
  <c r="AG87" i="2" s="1"/>
  <c r="AF87" i="2"/>
  <c r="AH87" i="2" s="1"/>
  <c r="AE55" i="2"/>
  <c r="AG55" i="2" s="1"/>
  <c r="AF55" i="2"/>
  <c r="AH55" i="2" s="1"/>
  <c r="AK63" i="2"/>
  <c r="AL63" i="2" s="1"/>
  <c r="AE63" i="2"/>
  <c r="AG63" i="2" s="1"/>
  <c r="AF63" i="2"/>
  <c r="AH63" i="2" s="1"/>
  <c r="AE78" i="2"/>
  <c r="AG78" i="2" s="1"/>
  <c r="AF78" i="2"/>
  <c r="AH78" i="2" s="1"/>
  <c r="AE89" i="2"/>
  <c r="AG89" i="2" s="1"/>
  <c r="AF89" i="2"/>
  <c r="AH89" i="2" s="1"/>
  <c r="AE54" i="2"/>
  <c r="AG54" i="2" s="1"/>
  <c r="AF54" i="2"/>
  <c r="AH54" i="2" s="1"/>
  <c r="AE80" i="2"/>
  <c r="AG80" i="2" s="1"/>
  <c r="AF80" i="2"/>
  <c r="AH80" i="2" s="1"/>
  <c r="AE68" i="2"/>
  <c r="AG68" i="2" s="1"/>
  <c r="AF68" i="2"/>
  <c r="AH68" i="2" s="1"/>
  <c r="AE53" i="2"/>
  <c r="AG53" i="2" s="1"/>
  <c r="AF53" i="2"/>
  <c r="AH53" i="2" s="1"/>
  <c r="AE67" i="2"/>
  <c r="AG67" i="2" s="1"/>
  <c r="AF67" i="2"/>
  <c r="AH67" i="2" s="1"/>
  <c r="AK72" i="2"/>
  <c r="AL72" i="2" s="1"/>
  <c r="AE65" i="2"/>
  <c r="AG65" i="2" s="1"/>
  <c r="AF65" i="2"/>
  <c r="AH65" i="2" s="1"/>
  <c r="AE66" i="2"/>
  <c r="AG66" i="2" s="1"/>
  <c r="AF66" i="2"/>
  <c r="AH66" i="2" s="1"/>
  <c r="AE79" i="2"/>
  <c r="AG79" i="2" s="1"/>
  <c r="AF79" i="2"/>
  <c r="AH79" i="2" s="1"/>
  <c r="AK51" i="2"/>
  <c r="AL51" i="2" s="1"/>
  <c r="Q111" i="2"/>
  <c r="Q103" i="2"/>
  <c r="Q91" i="2"/>
  <c r="Q127" i="2"/>
  <c r="Q67" i="2"/>
  <c r="Q51" i="2"/>
  <c r="Q63" i="2"/>
  <c r="Q107" i="2"/>
  <c r="Q56" i="3"/>
  <c r="R35" i="3"/>
  <c r="T35" i="3" s="1"/>
  <c r="R25" i="3"/>
  <c r="T25" i="3" s="1"/>
  <c r="Q46" i="3"/>
  <c r="S46" i="3" s="1"/>
  <c r="R46" i="3"/>
  <c r="Q57" i="3"/>
  <c r="S57" i="3" s="1"/>
  <c r="R57" i="3"/>
  <c r="T57" i="3" s="1"/>
  <c r="Q48" i="3"/>
  <c r="S48" i="3" s="1"/>
  <c r="R48" i="3"/>
  <c r="T48" i="3" s="1"/>
  <c r="O45" i="3"/>
  <c r="P45" i="3" s="1"/>
  <c r="W45" i="3"/>
  <c r="X45" i="3"/>
  <c r="Q60" i="3"/>
  <c r="S60" i="3" s="1"/>
  <c r="R60" i="3"/>
  <c r="T60" i="3" s="1"/>
  <c r="Q61" i="3"/>
  <c r="S61" i="3" s="1"/>
  <c r="R61" i="3"/>
  <c r="T61" i="3" s="1"/>
  <c r="Q52" i="3"/>
  <c r="S52" i="3" s="1"/>
  <c r="R52" i="3"/>
  <c r="T52" i="3" s="1"/>
  <c r="R64" i="3"/>
  <c r="T64" i="3" s="1"/>
  <c r="Q64" i="3"/>
  <c r="Q43" i="3"/>
  <c r="S43" i="3" s="1"/>
  <c r="R43" i="3"/>
  <c r="T43" i="3" s="1"/>
  <c r="R18" i="3"/>
  <c r="T18" i="3" s="1"/>
  <c r="Q18" i="3"/>
  <c r="S18" i="3" s="1"/>
  <c r="Q44" i="3"/>
  <c r="S44" i="3" s="1"/>
  <c r="R44" i="3"/>
  <c r="T44" i="3" s="1"/>
  <c r="Q58" i="3"/>
  <c r="S58" i="3" s="1"/>
  <c r="R58" i="3"/>
  <c r="R20" i="3"/>
  <c r="T20" i="3" s="1"/>
  <c r="Q20" i="3"/>
  <c r="S20" i="3" s="1"/>
  <c r="R41" i="3"/>
  <c r="T41" i="3" s="1"/>
  <c r="Q41" i="3"/>
  <c r="S41" i="3" s="1"/>
  <c r="Q42" i="3"/>
  <c r="S42" i="3" s="1"/>
  <c r="Q62" i="3"/>
  <c r="R62" i="3"/>
  <c r="T62" i="3" s="1"/>
  <c r="Q63" i="3"/>
  <c r="S63" i="3" s="1"/>
  <c r="R63" i="3"/>
  <c r="R50" i="3"/>
  <c r="T50" i="3" s="1"/>
  <c r="Q50" i="3"/>
  <c r="S50" i="3" s="1"/>
  <c r="Q59" i="3"/>
  <c r="S59" i="3" s="1"/>
  <c r="R59" i="3"/>
  <c r="T59" i="3" s="1"/>
  <c r="Q49" i="3"/>
  <c r="S49" i="3" s="1"/>
  <c r="R49" i="3"/>
  <c r="T49" i="3" s="1"/>
  <c r="R16" i="3"/>
  <c r="T16" i="3" s="1"/>
  <c r="Q16" i="3"/>
  <c r="S16" i="3" s="1"/>
  <c r="R26" i="3"/>
  <c r="T26" i="3" s="1"/>
  <c r="P47" i="3"/>
  <c r="Q55" i="3"/>
  <c r="S55" i="3" s="1"/>
  <c r="Q53" i="3"/>
  <c r="S53" i="3" s="1"/>
  <c r="R53" i="3"/>
  <c r="Q54" i="3"/>
  <c r="S54" i="3" s="1"/>
  <c r="R54" i="3"/>
  <c r="T54" i="3" s="1"/>
  <c r="R51" i="3"/>
  <c r="T51" i="3" s="1"/>
  <c r="Q51" i="3"/>
  <c r="S51" i="3" s="1"/>
  <c r="S64" i="3"/>
  <c r="S62" i="3"/>
  <c r="T63" i="3"/>
  <c r="T58" i="3"/>
  <c r="T53" i="3"/>
  <c r="T56" i="3"/>
  <c r="S56" i="3"/>
  <c r="T46" i="3"/>
  <c r="S23" i="3"/>
  <c r="R23" i="3"/>
  <c r="T23" i="3" s="1"/>
  <c r="S27" i="3"/>
  <c r="R27" i="3"/>
  <c r="T27" i="3" s="1"/>
  <c r="S15" i="3"/>
  <c r="R15" i="3"/>
  <c r="T15" i="3" s="1"/>
  <c r="S19" i="3"/>
  <c r="R19" i="3"/>
  <c r="T19" i="3" s="1"/>
  <c r="R11" i="3"/>
  <c r="T11" i="3" s="1"/>
  <c r="S11" i="3"/>
  <c r="R28" i="3"/>
  <c r="T28" i="3" s="1"/>
  <c r="S28" i="3"/>
  <c r="R30" i="3"/>
  <c r="T30" i="3" s="1"/>
  <c r="S30" i="3"/>
  <c r="R34" i="3"/>
  <c r="T34" i="3" s="1"/>
  <c r="S34" i="3"/>
  <c r="R31" i="3"/>
  <c r="T31" i="3" s="1"/>
  <c r="S31" i="3"/>
  <c r="R29" i="3"/>
  <c r="T29" i="3" s="1"/>
  <c r="S29" i="3"/>
  <c r="R38" i="3"/>
  <c r="T38" i="3" s="1"/>
  <c r="S38" i="3"/>
  <c r="R33" i="3"/>
  <c r="T33" i="3" s="1"/>
  <c r="S33" i="3"/>
  <c r="R13" i="3"/>
  <c r="T13" i="3" s="1"/>
  <c r="S13" i="3"/>
  <c r="R32" i="3"/>
  <c r="T32" i="3" s="1"/>
  <c r="S32" i="3"/>
  <c r="R36" i="3"/>
  <c r="T36" i="3" s="1"/>
  <c r="S36" i="3"/>
  <c r="R14" i="3"/>
  <c r="T14" i="3" s="1"/>
  <c r="S14" i="3"/>
  <c r="R12" i="3"/>
  <c r="T12" i="3" s="1"/>
  <c r="S12" i="3"/>
  <c r="R37" i="3"/>
  <c r="T37" i="3" s="1"/>
  <c r="S37" i="3"/>
  <c r="BF91" i="2" l="1"/>
  <c r="BH91" i="2" s="1"/>
  <c r="BN141" i="2"/>
  <c r="BB51" i="2"/>
  <c r="BO51" i="2"/>
  <c r="AW91" i="2"/>
  <c r="BO91" i="2" s="1"/>
  <c r="Q47" i="3"/>
  <c r="S47" i="3" s="1"/>
  <c r="R47" i="3"/>
  <c r="T47" i="3" s="1"/>
  <c r="Q45" i="3"/>
  <c r="S45" i="3" s="1"/>
  <c r="R45" i="3"/>
  <c r="T45" i="3" s="1"/>
  <c r="AI41" i="3"/>
  <c r="AI11" i="3"/>
  <c r="AW141" i="2"/>
  <c r="BO141" i="2" s="1"/>
  <c r="BC91" i="2" l="1"/>
  <c r="BL91" i="2"/>
  <c r="BM91" i="2" s="1"/>
  <c r="BC51" i="2"/>
  <c r="BF51" i="2"/>
  <c r="BH51" i="2" s="1"/>
  <c r="BL51" i="2"/>
  <c r="BM51" i="2" s="1"/>
  <c r="V29" i="2"/>
  <c r="V30" i="2"/>
  <c r="V31" i="2"/>
  <c r="V32" i="2"/>
  <c r="V33" i="2"/>
  <c r="V34" i="2"/>
  <c r="V27" i="2"/>
  <c r="O47" i="2" a="1"/>
  <c r="O47" i="2" s="1"/>
  <c r="O43" i="2" a="1"/>
  <c r="O43" i="2" s="1"/>
  <c r="O39" i="2" a="1"/>
  <c r="O39" i="2" s="1"/>
  <c r="O35" i="2" a="1"/>
  <c r="O35" i="2" s="1"/>
  <c r="O31" i="2" a="1"/>
  <c r="O31" i="2" s="1"/>
  <c r="O27" i="2" a="1"/>
  <c r="O27" i="2" s="1"/>
  <c r="O23" i="2" a="1"/>
  <c r="O23" i="2" s="1"/>
  <c r="O19" i="2" a="1"/>
  <c r="O19" i="2" s="1"/>
  <c r="O15" i="2" a="1"/>
  <c r="O15" i="2" s="1"/>
  <c r="O11" i="2" a="1"/>
  <c r="O11" i="2" s="1"/>
  <c r="N47" i="2" a="1"/>
  <c r="N43" i="2" a="1"/>
  <c r="N39" i="2" a="1"/>
  <c r="N35" i="2" a="1"/>
  <c r="N31" i="2" a="1"/>
  <c r="N27" i="2" a="1"/>
  <c r="N23" i="2" a="1"/>
  <c r="N19" i="2" a="1"/>
  <c r="N15" i="2" a="1"/>
  <c r="N11" i="2" a="1"/>
  <c r="BN91" i="2" l="1"/>
  <c r="BN51" i="2"/>
  <c r="AC32" i="2"/>
  <c r="N43" i="2"/>
  <c r="Q43" i="2" s="1"/>
  <c r="Q44" i="2"/>
  <c r="Q45" i="2"/>
  <c r="Q46" i="2"/>
  <c r="N31" i="2"/>
  <c r="Q31" i="2" s="1"/>
  <c r="Q32" i="2"/>
  <c r="Q33" i="2"/>
  <c r="Q34" i="2"/>
  <c r="N11" i="2"/>
  <c r="Q11" i="2" s="1"/>
  <c r="Q12" i="2"/>
  <c r="Q13" i="2"/>
  <c r="Q14" i="2"/>
  <c r="N39" i="2"/>
  <c r="Q39" i="2" s="1"/>
  <c r="Q41" i="2"/>
  <c r="Q42" i="2"/>
  <c r="Q40" i="2"/>
  <c r="N47" i="2"/>
  <c r="Q47" i="2" s="1"/>
  <c r="Q48" i="2"/>
  <c r="Q49" i="2"/>
  <c r="Q50" i="2"/>
  <c r="N15" i="2"/>
  <c r="Q15" i="2" s="1"/>
  <c r="Q17" i="2"/>
  <c r="Q18" i="2"/>
  <c r="Q16" i="2"/>
  <c r="N19" i="2"/>
  <c r="Q19" i="2" s="1"/>
  <c r="Q20" i="2"/>
  <c r="Q21" i="2"/>
  <c r="Q22" i="2"/>
  <c r="N35" i="2"/>
  <c r="Q35" i="2" s="1"/>
  <c r="Q36" i="2"/>
  <c r="Q37" i="2"/>
  <c r="Q38" i="2"/>
  <c r="N23" i="2"/>
  <c r="Q23" i="2" s="1"/>
  <c r="Q24" i="2"/>
  <c r="Q25" i="2"/>
  <c r="Q26" i="2"/>
  <c r="N27" i="2"/>
  <c r="Q27" i="2" s="1"/>
  <c r="Q29" i="2"/>
  <c r="Q30" i="2"/>
  <c r="Q28" i="2"/>
  <c r="AC27" i="2"/>
  <c r="AC47" i="2"/>
  <c r="AC43" i="2"/>
  <c r="AC30" i="2"/>
  <c r="AC13" i="2"/>
  <c r="AC12" i="2"/>
  <c r="AC42" i="2"/>
  <c r="AC18" i="2"/>
  <c r="AC41" i="2"/>
  <c r="AC29" i="2"/>
  <c r="AC17" i="2"/>
  <c r="AC40" i="2"/>
  <c r="AC28" i="2"/>
  <c r="AC16" i="2"/>
  <c r="AC50" i="2"/>
  <c r="AC38" i="2"/>
  <c r="AC26" i="2"/>
  <c r="AC14" i="2"/>
  <c r="AC49" i="2"/>
  <c r="AC37" i="2"/>
  <c r="AC25" i="2"/>
  <c r="AC48" i="2"/>
  <c r="AC36" i="2"/>
  <c r="AC24" i="2"/>
  <c r="AC46" i="2"/>
  <c r="AC34" i="2"/>
  <c r="AC22" i="2"/>
  <c r="AC45" i="2"/>
  <c r="AC33" i="2"/>
  <c r="AC21" i="2"/>
  <c r="AC44" i="2"/>
  <c r="AC20" i="2"/>
  <c r="AD21" i="2" l="1"/>
  <c r="AI21" i="2"/>
  <c r="AJ21" i="2" s="1"/>
  <c r="AD33" i="2"/>
  <c r="AI33" i="2"/>
  <c r="AI42" i="2"/>
  <c r="AJ42" i="2" s="1"/>
  <c r="AD42" i="2"/>
  <c r="AI44" i="2"/>
  <c r="AD44" i="2"/>
  <c r="AE44" i="2" s="1"/>
  <c r="AG44" i="2" s="1"/>
  <c r="AD12" i="2"/>
  <c r="AE12" i="2" s="1"/>
  <c r="AG12" i="2" s="1"/>
  <c r="AI12" i="2"/>
  <c r="AJ12" i="2" s="1"/>
  <c r="AD13" i="2"/>
  <c r="AF13" i="2" s="1"/>
  <c r="AH13" i="2" s="1"/>
  <c r="AI13" i="2"/>
  <c r="AD45" i="2"/>
  <c r="AI45" i="2"/>
  <c r="AD38" i="2"/>
  <c r="AI38" i="2"/>
  <c r="AJ38" i="2" s="1"/>
  <c r="AD50" i="2"/>
  <c r="AI50" i="2"/>
  <c r="AD47" i="2"/>
  <c r="AI47" i="2"/>
  <c r="AJ47" i="2" s="1"/>
  <c r="AI46" i="2"/>
  <c r="AJ46" i="2" s="1"/>
  <c r="AD46" i="2"/>
  <c r="AD28" i="2"/>
  <c r="AF28" i="2" s="1"/>
  <c r="AH28" i="2" s="1"/>
  <c r="AI28" i="2"/>
  <c r="AJ28" i="2" s="1"/>
  <c r="AD24" i="2"/>
  <c r="AI24" i="2"/>
  <c r="AD36" i="2"/>
  <c r="AI36" i="2"/>
  <c r="AJ36" i="2" s="1"/>
  <c r="AD48" i="2"/>
  <c r="AE48" i="2" s="1"/>
  <c r="AG48" i="2" s="1"/>
  <c r="AI48" i="2"/>
  <c r="AJ48" i="2" s="1"/>
  <c r="AD25" i="2"/>
  <c r="AE25" i="2" s="1"/>
  <c r="AG25" i="2" s="1"/>
  <c r="AI25" i="2"/>
  <c r="AJ25" i="2" s="1"/>
  <c r="AI41" i="2"/>
  <c r="AJ41" i="2" s="1"/>
  <c r="AD41" i="2"/>
  <c r="AE41" i="2" s="1"/>
  <c r="AG41" i="2" s="1"/>
  <c r="AD49" i="2"/>
  <c r="AF49" i="2" s="1"/>
  <c r="AH49" i="2" s="1"/>
  <c r="AI49" i="2"/>
  <c r="AJ49" i="2" s="1"/>
  <c r="AD14" i="2"/>
  <c r="AE14" i="2" s="1"/>
  <c r="AG14" i="2" s="1"/>
  <c r="AI14" i="2"/>
  <c r="AJ14" i="2" s="1"/>
  <c r="AD26" i="2"/>
  <c r="AI26" i="2"/>
  <c r="AJ26" i="2" s="1"/>
  <c r="AD30" i="2"/>
  <c r="AE30" i="2" s="1"/>
  <c r="AG30" i="2" s="1"/>
  <c r="AI30" i="2"/>
  <c r="AI22" i="2"/>
  <c r="AJ22" i="2" s="1"/>
  <c r="AD22" i="2"/>
  <c r="AI43" i="2"/>
  <c r="AJ43" i="2" s="1"/>
  <c r="AD43" i="2"/>
  <c r="AE43" i="2" s="1"/>
  <c r="AG43" i="2" s="1"/>
  <c r="AD34" i="2"/>
  <c r="AF34" i="2" s="1"/>
  <c r="AH34" i="2" s="1"/>
  <c r="AI34" i="2"/>
  <c r="AJ34" i="2" s="1"/>
  <c r="AD16" i="2"/>
  <c r="AI16" i="2"/>
  <c r="AD27" i="2"/>
  <c r="AI27" i="2"/>
  <c r="AJ27" i="2" s="1"/>
  <c r="AI40" i="2"/>
  <c r="AD40" i="2"/>
  <c r="AF40" i="2" s="1"/>
  <c r="AH40" i="2" s="1"/>
  <c r="AI17" i="2"/>
  <c r="AD17" i="2"/>
  <c r="AF17" i="2" s="1"/>
  <c r="AH17" i="2" s="1"/>
  <c r="AD29" i="2"/>
  <c r="AF29" i="2" s="1"/>
  <c r="AH29" i="2" s="1"/>
  <c r="AI29" i="2"/>
  <c r="AI20" i="2"/>
  <c r="AJ20" i="2" s="1"/>
  <c r="AD20" i="2"/>
  <c r="AE20" i="2" s="1"/>
  <c r="AG20" i="2" s="1"/>
  <c r="AD37" i="2"/>
  <c r="AF37" i="2" s="1"/>
  <c r="AH37" i="2" s="1"/>
  <c r="AI37" i="2"/>
  <c r="AI18" i="2"/>
  <c r="AJ18" i="2" s="1"/>
  <c r="AD18" i="2"/>
  <c r="AE18" i="2" s="1"/>
  <c r="AG18" i="2" s="1"/>
  <c r="AD32" i="2"/>
  <c r="AI32" i="2"/>
  <c r="AJ32" i="2" s="1"/>
  <c r="AA32" i="2"/>
  <c r="AC11" i="2"/>
  <c r="AJ44" i="2"/>
  <c r="AJ16" i="2"/>
  <c r="AJ24" i="2"/>
  <c r="AJ37" i="2"/>
  <c r="AJ33" i="2"/>
  <c r="AJ13" i="2"/>
  <c r="AJ30" i="2"/>
  <c r="AJ29" i="2"/>
  <c r="AJ40" i="2"/>
  <c r="AJ17" i="2"/>
  <c r="AJ45" i="2"/>
  <c r="AC39" i="2"/>
  <c r="AJ50" i="2"/>
  <c r="AC19" i="2"/>
  <c r="AC15" i="2"/>
  <c r="AF22" i="2"/>
  <c r="AH22" i="2" s="1"/>
  <c r="AA22" i="2"/>
  <c r="AK22" i="2" s="1"/>
  <c r="AE46" i="2"/>
  <c r="AG46" i="2" s="1"/>
  <c r="AE24" i="2"/>
  <c r="AG24" i="2" s="1"/>
  <c r="AA29" i="2"/>
  <c r="AA25" i="2"/>
  <c r="AA37" i="2"/>
  <c r="AK37" i="2" s="1"/>
  <c r="AE42" i="2"/>
  <c r="AG42" i="2" s="1"/>
  <c r="AA42" i="2"/>
  <c r="AK42" i="2" s="1"/>
  <c r="AF38" i="2"/>
  <c r="AH38" i="2" s="1"/>
  <c r="AA38" i="2"/>
  <c r="AK38" i="2" s="1"/>
  <c r="AF16" i="2"/>
  <c r="AH16" i="2" s="1"/>
  <c r="AA30" i="2"/>
  <c r="AF36" i="2"/>
  <c r="AH36" i="2" s="1"/>
  <c r="AA36" i="2"/>
  <c r="AK36" i="2" s="1"/>
  <c r="AF47" i="2"/>
  <c r="AH47" i="2" s="1"/>
  <c r="AA47" i="2"/>
  <c r="AA41" i="2"/>
  <c r="AK41" i="2" s="1"/>
  <c r="AA49" i="2"/>
  <c r="AK49" i="2" s="1"/>
  <c r="AE21" i="2"/>
  <c r="AG21" i="2" s="1"/>
  <c r="AA21" i="2"/>
  <c r="AK21" i="2" s="1"/>
  <c r="AA14" i="2"/>
  <c r="AK14" i="2" s="1"/>
  <c r="AA12" i="2"/>
  <c r="AE45" i="2"/>
  <c r="AG45" i="2" s="1"/>
  <c r="AA45" i="2"/>
  <c r="AK45" i="2" s="1"/>
  <c r="AF50" i="2"/>
  <c r="AH50" i="2" s="1"/>
  <c r="AA50" i="2"/>
  <c r="AK50" i="2" s="1"/>
  <c r="AA34" i="2"/>
  <c r="AK34" i="2" s="1"/>
  <c r="AA28" i="2"/>
  <c r="AK28" i="2" s="1"/>
  <c r="AA40" i="2"/>
  <c r="AK40" i="2" s="1"/>
  <c r="AA43" i="2"/>
  <c r="AE27" i="2"/>
  <c r="AG27" i="2" s="1"/>
  <c r="AA27" i="2"/>
  <c r="AK27" i="2" s="1"/>
  <c r="AL27" i="2" s="1"/>
  <c r="AA18" i="2"/>
  <c r="AK18" i="2" s="1"/>
  <c r="AA44" i="2"/>
  <c r="AK44" i="2" s="1"/>
  <c r="AF33" i="2"/>
  <c r="AH33" i="2" s="1"/>
  <c r="AF26" i="2"/>
  <c r="AH26" i="2" s="1"/>
  <c r="AA13" i="2"/>
  <c r="AC23" i="2"/>
  <c r="AC35" i="2"/>
  <c r="AC31" i="2"/>
  <c r="AE32" i="2"/>
  <c r="AG32" i="2" s="1"/>
  <c r="AF32" i="2"/>
  <c r="AH32" i="2" s="1"/>
  <c r="AK25" i="2" l="1"/>
  <c r="AK29" i="2"/>
  <c r="AL29" i="2" s="1"/>
  <c r="AK13" i="2"/>
  <c r="AK30" i="2"/>
  <c r="AK47" i="2"/>
  <c r="AL47" i="2" s="1"/>
  <c r="AK12" i="2"/>
  <c r="AL12" i="2" s="1"/>
  <c r="AK43" i="2"/>
  <c r="AL43" i="2" s="1"/>
  <c r="AD23" i="2"/>
  <c r="AI23" i="2"/>
  <c r="AJ23" i="2" s="1"/>
  <c r="AD35" i="2"/>
  <c r="AI35" i="2"/>
  <c r="AJ35" i="2" s="1"/>
  <c r="AI11" i="2"/>
  <c r="AJ11" i="2" s="1"/>
  <c r="AD15" i="2"/>
  <c r="AE15" i="2" s="1"/>
  <c r="AG15" i="2" s="1"/>
  <c r="AI15" i="2"/>
  <c r="AJ15" i="2" s="1"/>
  <c r="AI19" i="2"/>
  <c r="AD19" i="2"/>
  <c r="AF19" i="2" s="1"/>
  <c r="AH19" i="2" s="1"/>
  <c r="AA11" i="2"/>
  <c r="AK11" i="2" s="1"/>
  <c r="AL11" i="2" s="1"/>
  <c r="AD31" i="2"/>
  <c r="AI31" i="2"/>
  <c r="AK31" i="2" s="1"/>
  <c r="AD11" i="2"/>
  <c r="AE11" i="2" s="1"/>
  <c r="AG11" i="2" s="1"/>
  <c r="AK32" i="2"/>
  <c r="AL32" i="2" s="1"/>
  <c r="AI39" i="2"/>
  <c r="AJ39" i="2" s="1"/>
  <c r="AK39" i="2"/>
  <c r="AD39" i="2"/>
  <c r="AA16" i="2"/>
  <c r="AA17" i="2"/>
  <c r="AA46" i="2"/>
  <c r="AA48" i="2"/>
  <c r="AA33" i="2"/>
  <c r="AA20" i="2"/>
  <c r="AA24" i="2"/>
  <c r="AA26" i="2"/>
  <c r="AL40" i="2"/>
  <c r="AL44" i="2"/>
  <c r="AL50" i="2"/>
  <c r="AL37" i="2"/>
  <c r="AL49" i="2"/>
  <c r="AL38" i="2"/>
  <c r="AL42" i="2"/>
  <c r="AL30" i="2"/>
  <c r="AL36" i="2"/>
  <c r="AA39" i="2"/>
  <c r="AL22" i="2"/>
  <c r="AL45" i="2"/>
  <c r="AE22" i="2"/>
  <c r="AG22" i="2" s="1"/>
  <c r="AF27" i="2"/>
  <c r="AH27" i="2" s="1"/>
  <c r="AL21" i="2"/>
  <c r="AL14" i="2"/>
  <c r="AF39" i="2"/>
  <c r="AH39" i="2" s="1"/>
  <c r="AE39" i="2"/>
  <c r="AG39" i="2" s="1"/>
  <c r="AL18" i="2"/>
  <c r="AA19" i="2"/>
  <c r="AK19" i="2" s="1"/>
  <c r="AL25" i="2"/>
  <c r="AL34" i="2"/>
  <c r="AL13" i="2"/>
  <c r="AL41" i="2"/>
  <c r="AL28" i="2"/>
  <c r="AE16" i="2"/>
  <c r="AG16" i="2" s="1"/>
  <c r="AE34" i="2"/>
  <c r="AG34" i="2" s="1"/>
  <c r="AE19" i="2"/>
  <c r="AG19" i="2" s="1"/>
  <c r="AE49" i="2"/>
  <c r="AG49" i="2" s="1"/>
  <c r="AE28" i="2"/>
  <c r="AG28" i="2" s="1"/>
  <c r="AE29" i="2"/>
  <c r="AG29" i="2" s="1"/>
  <c r="AF18" i="2"/>
  <c r="AH18" i="2" s="1"/>
  <c r="AF44" i="2"/>
  <c r="AH44" i="2" s="1"/>
  <c r="AE47" i="2"/>
  <c r="AG47" i="2" s="1"/>
  <c r="AF14" i="2"/>
  <c r="AH14" i="2" s="1"/>
  <c r="AE50" i="2"/>
  <c r="AG50" i="2" s="1"/>
  <c r="AF25" i="2"/>
  <c r="AH25" i="2" s="1"/>
  <c r="AF20" i="2"/>
  <c r="AH20" i="2" s="1"/>
  <c r="AE13" i="2"/>
  <c r="AG13" i="2" s="1"/>
  <c r="AA15" i="2"/>
  <c r="AE38" i="2"/>
  <c r="AG38" i="2" s="1"/>
  <c r="AF46" i="2"/>
  <c r="AH46" i="2" s="1"/>
  <c r="AE36" i="2"/>
  <c r="AG36" i="2" s="1"/>
  <c r="AF21" i="2"/>
  <c r="AH21" i="2" s="1"/>
  <c r="AE37" i="2"/>
  <c r="AG37" i="2" s="1"/>
  <c r="AE33" i="2"/>
  <c r="AG33" i="2" s="1"/>
  <c r="AE17" i="2"/>
  <c r="AG17" i="2" s="1"/>
  <c r="AF24" i="2"/>
  <c r="AH24" i="2" s="1"/>
  <c r="AE26" i="2"/>
  <c r="AG26" i="2" s="1"/>
  <c r="AE40" i="2"/>
  <c r="AG40" i="2" s="1"/>
  <c r="AA31" i="2"/>
  <c r="AF12" i="2"/>
  <c r="AH12" i="2" s="1"/>
  <c r="AF43" i="2"/>
  <c r="AH43" i="2" s="1"/>
  <c r="AF30" i="2"/>
  <c r="AH30" i="2" s="1"/>
  <c r="AF42" i="2"/>
  <c r="AH42" i="2" s="1"/>
  <c r="AA23" i="2"/>
  <c r="AK23" i="2" s="1"/>
  <c r="AF48" i="2"/>
  <c r="AH48" i="2" s="1"/>
  <c r="AF45" i="2"/>
  <c r="AH45" i="2" s="1"/>
  <c r="AF41" i="2"/>
  <c r="AH41" i="2" s="1"/>
  <c r="AA35" i="2"/>
  <c r="AK35" i="2" l="1"/>
  <c r="AK24" i="2"/>
  <c r="AL24" i="2" s="1"/>
  <c r="AK46" i="2"/>
  <c r="AL46" i="2" s="1"/>
  <c r="AK15" i="2"/>
  <c r="AL15" i="2" s="1"/>
  <c r="AF11" i="2"/>
  <c r="AH11" i="2" s="1"/>
  <c r="AK48" i="2"/>
  <c r="AL48" i="2" s="1"/>
  <c r="AK16" i="2"/>
  <c r="AL16" i="2" s="1"/>
  <c r="AK26" i="2"/>
  <c r="AL26" i="2" s="1"/>
  <c r="AK20" i="2"/>
  <c r="AL20" i="2" s="1"/>
  <c r="AK33" i="2"/>
  <c r="AL33" i="2" s="1"/>
  <c r="AK17" i="2"/>
  <c r="AL17" i="2" s="1"/>
  <c r="AL35" i="2"/>
  <c r="AL19" i="2"/>
  <c r="AJ19" i="2"/>
  <c r="AL31" i="2"/>
  <c r="AJ31" i="2"/>
  <c r="AL23" i="2"/>
  <c r="AL39" i="2"/>
  <c r="AF15" i="2"/>
  <c r="AH15" i="2" s="1"/>
  <c r="AE31" i="2"/>
  <c r="AG31" i="2" s="1"/>
  <c r="AF31" i="2"/>
  <c r="AH31" i="2" s="1"/>
  <c r="AF23" i="2"/>
  <c r="AH23" i="2" s="1"/>
  <c r="AE23" i="2"/>
  <c r="AG23" i="2" s="1"/>
  <c r="AF35" i="2"/>
  <c r="AH35" i="2" s="1"/>
  <c r="AE35" i="2"/>
  <c r="AG35" i="2" s="1"/>
  <c r="BB11" i="2" l="1"/>
  <c r="BC11" i="2" s="1"/>
  <c r="AX11" i="2"/>
  <c r="AW11" i="2"/>
  <c r="BO11" i="2" s="1"/>
  <c r="BL11" i="2" l="1"/>
  <c r="BM11" i="2" s="1"/>
  <c r="BF11" i="2"/>
  <c r="BH11" i="2" s="1"/>
  <c r="BN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Eddie Sholl</author>
  </authors>
  <commentList>
    <comment ref="AJ40" authorId="0" shapeId="0" xr:uid="{901C119E-FF66-2541-A252-B5A987A84031}">
      <text>
        <r>
          <rPr>
            <b/>
            <sz val="10"/>
            <color rgb="FF000000"/>
            <rFont val="Tahoma"/>
            <family val="2"/>
          </rPr>
          <t>Eddie Sholl:</t>
        </r>
        <r>
          <rPr>
            <sz val="10"/>
            <color rgb="FF000000"/>
            <rFont val="Tahoma"/>
            <family val="2"/>
          </rPr>
          <t xml:space="preserve">
</t>
        </r>
        <r>
          <rPr>
            <sz val="10"/>
            <color rgb="FF000000"/>
            <rFont val="Tahoma"/>
            <family val="2"/>
          </rPr>
          <t>The variation in these 2 results suggests that our approach for calculating FA and MA are not correct. The first test has calving split over 2 seasons, all combined in a single class ie 'Cows 2-3 years'. The guidelines for FA (ch3.2.2.3 line 166) says "</t>
        </r>
        <r>
          <rPr>
            <sz val="10"/>
            <color rgb="FF000000"/>
            <rFont val="Aptos Narrow"/>
            <scheme val="minor"/>
          </rPr>
          <t xml:space="preserve">For farms with multiple calving seasons, the feed adjustment value
</t>
        </r>
        <r>
          <rPr>
            <sz val="10"/>
            <color rgb="FF000000"/>
            <rFont val="Aptos Narrow"/>
            <scheme val="minor"/>
          </rPr>
          <t xml:space="preserve">should be applied to the cows calving in each season and
</t>
        </r>
        <r>
          <rPr>
            <sz val="10"/>
            <color rgb="FF000000"/>
            <rFont val="Aptos Narrow"/>
            <scheme val="minor"/>
          </rPr>
          <t>immediate season after calving as appropriate.</t>
        </r>
        <r>
          <rPr>
            <sz val="10"/>
            <color rgb="FF000000"/>
            <rFont val="Tahoma"/>
            <family val="2"/>
          </rPr>
          <t xml:space="preserve">"
</t>
        </r>
        <r>
          <rPr>
            <sz val="10"/>
            <color rgb="FF000000"/>
            <rFont val="Tahoma"/>
            <family val="2"/>
          </rPr>
          <t xml:space="preserve">
</t>
        </r>
        <r>
          <rPr>
            <sz val="10"/>
            <color rgb="FF000000"/>
            <rFont val="Tahoma"/>
            <family val="2"/>
          </rPr>
          <t>To achieve that I have created a formula in column M. The second scenario splits the same herd into multiple classes. The emissions should be replicated, but they aren't the same, suggesting there's something asymmetrical in the current approach</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<sst xmlns="http://schemas.openxmlformats.org/spreadsheetml/2006/main" count="1155" uniqueCount="208">
  <si>
    <t>(LCijkl=5 * FAijkl=5) + (1 - LCijkl=5 )</t>
  </si>
  <si>
    <t>(1.185 + 0.00454 * Wijkln - 0.0000026 * Wijkln^2 + 0.315 * LWGijkln)^2 * MAijkl=5</t>
  </si>
  <si>
    <t>(Iijkln * (1 - DMDijk) + (0.04 * Iijkln)) * ( 1 - A )</t>
  </si>
  <si>
    <t>VSijkln * BO * MMSm * MCFm * 𝜌</t>
  </si>
  <si>
    <t>SUM SUM SUM SUM SUM ( Nkln * Mmijklnm * 91.25)</t>
  </si>
  <si>
    <t>Mmm * GWPCH4 * 10^-3</t>
  </si>
  <si>
    <t>547</t>
  </si>
  <si>
    <t>569</t>
  </si>
  <si>
    <t>581</t>
  </si>
  <si>
    <t>578</t>
  </si>
  <si>
    <t>582</t>
  </si>
  <si>
    <t>3.2 162</t>
  </si>
  <si>
    <t>3.2 163</t>
  </si>
  <si>
    <t>3.2 152</t>
  </si>
  <si>
    <t>3.2 166</t>
  </si>
  <si>
    <t>3.2 143</t>
  </si>
  <si>
    <t>3.2 136</t>
  </si>
  <si>
    <t>551</t>
  </si>
  <si>
    <t>584</t>
  </si>
  <si>
    <t>425</t>
  </si>
  <si>
    <t>405</t>
  </si>
  <si>
    <t>396</t>
  </si>
  <si>
    <t>390</t>
  </si>
  <si>
    <t>input</t>
  </si>
  <si>
    <t>constant</t>
  </si>
  <si>
    <t>expression</t>
  </si>
  <si>
    <t>Nkln</t>
  </si>
  <si>
    <t>BO</t>
  </si>
  <si>
    <t>𝜌</t>
  </si>
  <si>
    <t>Wijkln</t>
  </si>
  <si>
    <t>LWGijkln</t>
  </si>
  <si>
    <t>LCijkl=5</t>
  </si>
  <si>
    <t>FAijkl=5</t>
  </si>
  <si>
    <t>MAijkl=5</t>
  </si>
  <si>
    <t>Iijkln</t>
  </si>
  <si>
    <t>DMDijk</t>
  </si>
  <si>
    <t>A</t>
  </si>
  <si>
    <t>VSijkln</t>
  </si>
  <si>
    <t>Mmm</t>
  </si>
  <si>
    <t>GWPCH4</t>
  </si>
  <si>
    <t>EMCH4</t>
  </si>
  <si>
    <t>Scenario</t>
  </si>
  <si>
    <t>Bulls &lt; 1 year</t>
  </si>
  <si>
    <t>Bulls &gt; 1 year</t>
  </si>
  <si>
    <t>Cows &lt; 1 year</t>
  </si>
  <si>
    <t>Cows 1-2 years</t>
  </si>
  <si>
    <t>Cows 2-3 years</t>
  </si>
  <si>
    <t>Cows &gt; 3 years</t>
  </si>
  <si>
    <t>Steers &lt; 1 year</t>
  </si>
  <si>
    <t>Steers 1-2 years</t>
  </si>
  <si>
    <t>Steers 2-3 years</t>
  </si>
  <si>
    <t>Steers &gt;3 years</t>
  </si>
  <si>
    <t>Baseline</t>
  </si>
  <si>
    <t>ACT/NSW</t>
  </si>
  <si>
    <t>Spring</t>
  </si>
  <si>
    <t>Summer</t>
  </si>
  <si>
    <t>Autumn</t>
  </si>
  <si>
    <t>Winter</t>
  </si>
  <si>
    <t>Region</t>
  </si>
  <si>
    <t>South Australia</t>
  </si>
  <si>
    <t>Liveweight gain</t>
  </si>
  <si>
    <t>DMD</t>
  </si>
  <si>
    <t>South West</t>
  </si>
  <si>
    <t>Pilbara</t>
  </si>
  <si>
    <t>State</t>
  </si>
  <si>
    <t>WA</t>
  </si>
  <si>
    <t>Bull</t>
  </si>
  <si>
    <t>Cow</t>
  </si>
  <si>
    <t>Steer</t>
  </si>
  <si>
    <t>Tasmania</t>
  </si>
  <si>
    <t>Victoria</t>
  </si>
  <si>
    <t>Kimberley</t>
  </si>
  <si>
    <t>NO</t>
  </si>
  <si>
    <t>NT</t>
  </si>
  <si>
    <t>Alice Springs</t>
  </si>
  <si>
    <t>Barkly</t>
  </si>
  <si>
    <t>Northern</t>
  </si>
  <si>
    <t>High</t>
  </si>
  <si>
    <t>Moderate/High</t>
  </si>
  <si>
    <t>Moderate/Low</t>
  </si>
  <si>
    <t>Low</t>
  </si>
  <si>
    <t>Queensland</t>
  </si>
  <si>
    <t>Mmijklnm=14</t>
  </si>
  <si>
    <t>Mmijklnm=1</t>
  </si>
  <si>
    <t>MMSm=1</t>
  </si>
  <si>
    <t>MMSm=14</t>
  </si>
  <si>
    <t>anaerobic lagoon</t>
  </si>
  <si>
    <t>pasture</t>
  </si>
  <si>
    <t>unfenced</t>
  </si>
  <si>
    <t>fenced</t>
  </si>
  <si>
    <t>Unfenced water?</t>
  </si>
  <si>
    <t>yes</t>
  </si>
  <si>
    <t>QLD</t>
  </si>
  <si>
    <t>SA</t>
  </si>
  <si>
    <t>TAS</t>
  </si>
  <si>
    <t>VIC</t>
  </si>
  <si>
    <t>MCFm=1</t>
  </si>
  <si>
    <t>MCFm=14</t>
  </si>
  <si>
    <t>Climate zone</t>
  </si>
  <si>
    <t>Warm temperate moist</t>
  </si>
  <si>
    <t>Boreal Moist</t>
  </si>
  <si>
    <t>Boreal Dry</t>
  </si>
  <si>
    <t>Tropical Montane</t>
  </si>
  <si>
    <t>Tropical Wet</t>
  </si>
  <si>
    <t>Tropical Moist</t>
  </si>
  <si>
    <t>Tropical Dry</t>
  </si>
  <si>
    <t>Cool Temperate Moist</t>
  </si>
  <si>
    <t>Cool Temperate Dry</t>
  </si>
  <si>
    <t>Warm Temperate Moist</t>
  </si>
  <si>
    <t>Warm Temperate Dry</t>
  </si>
  <si>
    <t>Bo</t>
  </si>
  <si>
    <t>p</t>
  </si>
  <si>
    <t>GWPch4</t>
  </si>
  <si>
    <t>Mmm=1</t>
  </si>
  <si>
    <t>Mmm=14</t>
  </si>
  <si>
    <t>no</t>
  </si>
  <si>
    <t>Missing classes</t>
  </si>
  <si>
    <t>Method 2 inputs</t>
  </si>
  <si>
    <t>Partial calving</t>
  </si>
  <si>
    <t>These scenarios are to check the logic used for calculating FA from LC with partial calving seasons</t>
  </si>
  <si>
    <t>Partial calving - integrated classes</t>
  </si>
  <si>
    <t>Partial calving - split cow classes</t>
  </si>
  <si>
    <t>LC calving</t>
  </si>
  <si>
    <t>LC post carving</t>
  </si>
  <si>
    <t>m=1 - A</t>
  </si>
  <si>
    <t>m=14 - A</t>
  </si>
  <si>
    <t>m=1 - B1</t>
  </si>
  <si>
    <t>m=14 - B1</t>
  </si>
  <si>
    <t>m=1 - B2</t>
  </si>
  <si>
    <t>m=14 - B2</t>
  </si>
  <si>
    <t>m=1 - B</t>
  </si>
  <si>
    <t>m=14 - B</t>
  </si>
  <si>
    <t>kg / head / day</t>
  </si>
  <si>
    <t>intake for milk</t>
  </si>
  <si>
    <t>kg DM / head / day</t>
  </si>
  <si>
    <t>feed intake</t>
  </si>
  <si>
    <t>Note on errors</t>
  </si>
  <si>
    <t>LC post calving</t>
  </si>
  <si>
    <t>WRil</t>
  </si>
  <si>
    <t>Reference weight</t>
  </si>
  <si>
    <t>NSW</t>
  </si>
  <si>
    <t>TODO: Need to switch the state and region</t>
  </si>
  <si>
    <t>Zijkln</t>
  </si>
  <si>
    <t>Wijkln / WRil</t>
  </si>
  <si>
    <t>MCijkl=236</t>
  </si>
  <si>
    <t>Milk intake</t>
  </si>
  <si>
    <t>MC</t>
  </si>
  <si>
    <t>Calving</t>
  </si>
  <si>
    <t>After calving</t>
  </si>
  <si>
    <t>Lijkln</t>
  </si>
  <si>
    <t>Iijkln / (1.185 + 0.00454 * Wijkln - 0.0000026 * Wijkln ^ 2 ) ^ 2 * MAijkl=5</t>
  </si>
  <si>
    <t>Milk production</t>
  </si>
  <si>
    <t>DMP</t>
  </si>
  <si>
    <t>DMPijkl=5</t>
  </si>
  <si>
    <t>MPijkl</t>
  </si>
  <si>
    <t>LCijkl=5 * DMPijkl=5</t>
  </si>
  <si>
    <t>MEijkl</t>
  </si>
  <si>
    <t>0.1604 * DMDijk- 1.037</t>
  </si>
  <si>
    <t>NRijkl</t>
  </si>
  <si>
    <t>(0.032 * MPijkl=5 /6.38) + {{0.212 - 0.008 * (Lijkln - 2) - [0.140 - 0.008 * (Lijkln - 2) / 1 + e  ^ (-6 * Zijkln - 0.4)]} * (LWGijkln * 0.92)} / 6.25</t>
  </si>
  <si>
    <t>CP</t>
  </si>
  <si>
    <t>CPijk</t>
  </si>
  <si>
    <t>Fijkln</t>
  </si>
  <si>
    <t>Uijkln</t>
  </si>
  <si>
    <t>[{0.3 * Iijkln * CPijkln * (1 - (DMDijk + 0.1)) + (0.105 * MEijkl * Iijkln * 0.008) + (0.0152 * Iijkln)} / 6.25] + (0.08 * 0.032 * MCijkl=236 / 6.38)</t>
  </si>
  <si>
    <t>(Iijkln * CPijkln / 6.25) + (0.032 * MCijkl=236 / 6.38) - NRijkln - Fijkln - [(1.1 * 10 ^ -4 * Wijkln ^ 0.75) / 6.25]</t>
  </si>
  <si>
    <t>AFi</t>
  </si>
  <si>
    <t>AUi</t>
  </si>
  <si>
    <t>EFPRP</t>
  </si>
  <si>
    <t>wet</t>
  </si>
  <si>
    <t>dry</t>
  </si>
  <si>
    <t>wet / dry</t>
  </si>
  <si>
    <t>CgN2O</t>
  </si>
  <si>
    <t>GWPN2O</t>
  </si>
  <si>
    <t>EN2O,dir</t>
  </si>
  <si>
    <t>{(AFi * EFPRP * Cg,N2O) + (AUi * EFPRP * Cg,N2O)} * GWPN2O * 10^-3</t>
  </si>
  <si>
    <t>FracGASMSoil</t>
  </si>
  <si>
    <t>Mvol</t>
  </si>
  <si>
    <t>EFad</t>
  </si>
  <si>
    <t>Grazing system</t>
  </si>
  <si>
    <t>Irrigated crop</t>
  </si>
  <si>
    <t>Irrigated pasture</t>
  </si>
  <si>
    <t>Non-irrigated pasture</t>
  </si>
  <si>
    <t>Non-irrigated crop (low rainfall)</t>
  </si>
  <si>
    <t>Non-irrigated crop (high rainfall)</t>
  </si>
  <si>
    <t>EN2O,ad</t>
  </si>
  <si>
    <t>EFleach</t>
  </si>
  <si>
    <t>Mvol * EFad * Cg</t>
  </si>
  <si>
    <t>N2O * 10^-3</t>
  </si>
  <si>
    <t>FracWETsoilij</t>
  </si>
  <si>
    <t>ACT</t>
  </si>
  <si>
    <t>NT average</t>
  </si>
  <si>
    <t>QLD average</t>
  </si>
  <si>
    <t>average</t>
  </si>
  <si>
    <t>FracLEACH</t>
  </si>
  <si>
    <t>Mleach</t>
  </si>
  <si>
    <t>(AUi + AFi) * FracWET,soil,i,j * FracLEACH</t>
  </si>
  <si>
    <t>Mleach * EFleach * Cg,N2O * 10^-3</t>
  </si>
  <si>
    <t>EN2Oleach</t>
  </si>
  <si>
    <t>EN2O</t>
  </si>
  <si>
    <t>EN2O,dir + EN2O,ad + EN2O,leach</t>
  </si>
  <si>
    <t>State or region</t>
  </si>
  <si>
    <t>Pure state</t>
  </si>
  <si>
    <t>Limited region</t>
  </si>
  <si>
    <t>Extended Region</t>
  </si>
  <si>
    <t>rainfall</t>
  </si>
  <si>
    <t>high</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</si>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</sst>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8" x14ac:knownFonts="1">
    <font>
      <sz val="12"/>
      <color theme="1"/>
      <name val="Aptos Narrow"/>
      <family val="2"/>
      <scheme val="minor"/>
    </font>
    <font>
      <sz val="12"/>
      <color theme="1"/>
      <name val="Helvetica"/>
      <family val="2"/>
    </font>
    <font>
      <sz val="10"/>
      <color theme="1"/>
      <name val="Helvetica"/>
      <family val="2"/>
    </font>
    <font>
      <sz val="12"/>
      <color rgb="FFE394DC"/>
      <name val="Menlo"/>
      <family val="2"/>
    </font>
    <font>
      <sz val="12"/>
      <color rgb="FF000000"/>
      <name val="Aptos Narrow"/>
      <family val="2"/>
      <scheme val="minor"/>
    </font>
    <font>
      <sz val="10"/>
      <color rgb="FF000000"/>
      <name val="Tahoma"/>
      <family val="2"/>
    </font>
    <font>
      <b/>
      <sz val="10"/>
      <color rgb="FF000000"/>
      <name val="Tahoma"/>
      <family val="2"/>
    </font>
    <font>
      <sz val="10"/>
      <color rgb="FF000000"/>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1" fillId="0" borderId="0" xfId="0" applyFont="1"/>
    <xf numFmtId="0" fontId="2" fillId="0" borderId="0" xfId="0" applyFont="1"/>
    <xf numFmtId="16" fontId="2" fillId="0" borderId="0" xfId="0" applyNumberFormat="1" applyFont="1"/>
    <xf numFmtId="2" fontId="0" fillId="0" borderId="0" xfId="0" applyNumberFormat="1"/>
    <xf numFmtId="164" fontId="0" fillId="0" borderId="0" xfId="0" applyNumberFormat="1"/>
    <xf numFmtId="0" fontId="0" fillId="0" borderId="0" xfId="0" applyAlignment="1">
      <alignment wrapText="1"/>
    </xf>
    <xf numFmtId="0" fontId="0" fillId="3" borderId="0" xfId="0" applyFill="1"/>
    <xf numFmtId="0" fontId="4" fillId="0" borderId="0" xfId="0" applyFont="1"/>
    <xf numFmtId="165" fontId="4" fillId="0" borderId="0" xfId="0" applyNumberFormat="1" applyFont="1"/>
    <xf numFmtId="3" fontId="0" fillId="0" borderId="0" xfId="0" applyNumberFormat="1"/>
    <xf numFmtId="3" fontId="3"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B378-B254-8645-A19B-7F7E967AA90B}">
  <dimension ref="A4:CP180"/>
  <sheetViews>
    <sheetView tabSelected="1" topLeftCell="I1" workbookViewId="0">
      <pane xSplit="5940" ySplit="3640" topLeftCell="AA126" activePane="bottomRight"/>
      <selection activeCell="BC82" sqref="BC82"/>
      <selection pane="topRight" activeCell="AO1" sqref="AO1:AQ1048576"/>
      <selection pane="bottomLeft" activeCell="J112" sqref="A112:XFD112"/>
      <selection pane="bottomRight" activeCell="AN141" sqref="AN141"/>
    </sheetView>
  </sheetViews>
  <sheetFormatPr baseColWidth="10" defaultRowHeight="16" x14ac:dyDescent="0.2"/>
  <cols>
    <col min="1" max="1" width="17.5" customWidth="1"/>
    <col min="2" max="2" width="20.1640625" customWidth="1"/>
    <col min="3" max="3" width="8" bestFit="1" customWidth="1"/>
    <col min="4" max="5" width="13.83203125" customWidth="1"/>
    <col min="6" max="6" width="8.5" customWidth="1"/>
    <col min="7" max="7" width="9" bestFit="1" customWidth="1"/>
    <col min="8" max="10" width="13" customWidth="1"/>
    <col min="11" max="11" width="14" bestFit="1" customWidth="1"/>
    <col min="12" max="12" width="15.83203125" customWidth="1"/>
    <col min="14" max="14" width="11.5" customWidth="1"/>
    <col min="31" max="32" width="12.1640625" bestFit="1" customWidth="1"/>
    <col min="33" max="38" width="12.1640625" customWidth="1"/>
    <col min="41" max="41" width="15.33203125" customWidth="1"/>
    <col min="52" max="52" width="10" customWidth="1"/>
    <col min="73" max="73" width="13.83203125" customWidth="1"/>
    <col min="74" max="74" width="14.5" customWidth="1"/>
    <col min="76" max="82" width="14" customWidth="1"/>
    <col min="83" max="83" width="13" bestFit="1" customWidth="1"/>
    <col min="84" max="84" width="14" bestFit="1" customWidth="1"/>
    <col min="85" max="85" width="13.33203125" bestFit="1" customWidth="1"/>
    <col min="86" max="86" width="21.6640625" customWidth="1"/>
    <col min="88" max="88" width="37.83203125" customWidth="1"/>
    <col min="90" max="90" width="14.6640625" bestFit="1" customWidth="1"/>
  </cols>
  <sheetData>
    <row r="4" spans="1:92" x14ac:dyDescent="0.2">
      <c r="CC4" t="s">
        <v>168</v>
      </c>
      <c r="CF4" t="s">
        <v>194</v>
      </c>
      <c r="CG4">
        <v>0.24</v>
      </c>
    </row>
    <row r="5" spans="1:92" x14ac:dyDescent="0.2">
      <c r="Q5" t="s">
        <v>143</v>
      </c>
      <c r="V5" t="s">
        <v>0</v>
      </c>
      <c r="Y5" t="s">
        <v>155</v>
      </c>
      <c r="Z5" t="s">
        <v>157</v>
      </c>
      <c r="AA5" t="s">
        <v>159</v>
      </c>
      <c r="AB5" t="s">
        <v>150</v>
      </c>
      <c r="AC5" t="s">
        <v>1</v>
      </c>
      <c r="AD5" t="s">
        <v>2</v>
      </c>
      <c r="AE5" t="s">
        <v>3</v>
      </c>
      <c r="AG5" t="s">
        <v>4</v>
      </c>
      <c r="AI5" t="s">
        <v>164</v>
      </c>
      <c r="AK5" t="s">
        <v>165</v>
      </c>
      <c r="BC5" t="s">
        <v>175</v>
      </c>
      <c r="BH5" t="s">
        <v>187</v>
      </c>
      <c r="BI5" t="s">
        <v>188</v>
      </c>
      <c r="BL5" t="s">
        <v>196</v>
      </c>
      <c r="BM5" t="s">
        <v>197</v>
      </c>
      <c r="BN5" t="s">
        <v>200</v>
      </c>
      <c r="BO5" t="s">
        <v>5</v>
      </c>
      <c r="BV5" t="s">
        <v>88</v>
      </c>
      <c r="BW5" t="s">
        <v>89</v>
      </c>
      <c r="BZ5" t="s">
        <v>110</v>
      </c>
      <c r="CA5">
        <v>0.19</v>
      </c>
      <c r="CC5" t="s">
        <v>169</v>
      </c>
      <c r="CD5">
        <v>6.0000000000000001E-3</v>
      </c>
    </row>
    <row r="6" spans="1:92" x14ac:dyDescent="0.2">
      <c r="M6" t="s">
        <v>6</v>
      </c>
      <c r="P6">
        <v>593</v>
      </c>
      <c r="Q6">
        <v>521</v>
      </c>
      <c r="T6" t="s">
        <v>13</v>
      </c>
      <c r="U6" t="s">
        <v>14</v>
      </c>
      <c r="V6" t="s">
        <v>15</v>
      </c>
      <c r="W6">
        <v>590</v>
      </c>
      <c r="X6">
        <v>592</v>
      </c>
      <c r="Y6">
        <v>503</v>
      </c>
      <c r="Z6">
        <v>475</v>
      </c>
      <c r="AA6">
        <v>492</v>
      </c>
      <c r="AB6">
        <v>514</v>
      </c>
      <c r="AC6" t="s">
        <v>16</v>
      </c>
      <c r="AD6" t="s">
        <v>19</v>
      </c>
      <c r="AE6" t="s">
        <v>20</v>
      </c>
      <c r="AG6" t="s">
        <v>21</v>
      </c>
      <c r="AI6">
        <v>464</v>
      </c>
      <c r="AJ6">
        <v>454</v>
      </c>
      <c r="AK6">
        <v>486</v>
      </c>
      <c r="AL6">
        <v>478</v>
      </c>
      <c r="AM6" t="s">
        <v>17</v>
      </c>
      <c r="AN6">
        <v>553</v>
      </c>
      <c r="AP6" t="s">
        <v>7</v>
      </c>
      <c r="AR6" t="s">
        <v>8</v>
      </c>
      <c r="AT6" t="s">
        <v>9</v>
      </c>
      <c r="AU6" t="s">
        <v>10</v>
      </c>
      <c r="AV6" t="s">
        <v>18</v>
      </c>
      <c r="AX6">
        <v>454</v>
      </c>
      <c r="AY6">
        <v>587</v>
      </c>
      <c r="AZ6">
        <v>328</v>
      </c>
      <c r="BA6">
        <v>589</v>
      </c>
      <c r="BB6">
        <v>478</v>
      </c>
      <c r="BC6">
        <v>442</v>
      </c>
      <c r="BD6" t="s">
        <v>9</v>
      </c>
      <c r="BE6">
        <v>595</v>
      </c>
      <c r="BF6">
        <v>530</v>
      </c>
      <c r="BG6">
        <v>575</v>
      </c>
      <c r="BH6">
        <v>524</v>
      </c>
      <c r="BI6">
        <v>597</v>
      </c>
      <c r="BJ6">
        <v>570</v>
      </c>
      <c r="BK6">
        <v>596</v>
      </c>
      <c r="BL6">
        <v>540</v>
      </c>
      <c r="BM6">
        <v>535</v>
      </c>
      <c r="BN6">
        <v>436</v>
      </c>
      <c r="BO6" t="s">
        <v>22</v>
      </c>
      <c r="BU6" t="s">
        <v>84</v>
      </c>
      <c r="BV6">
        <v>0.05</v>
      </c>
      <c r="BW6">
        <v>0</v>
      </c>
      <c r="BZ6" t="s">
        <v>111</v>
      </c>
      <c r="CA6">
        <v>0.6784</v>
      </c>
      <c r="CC6" t="s">
        <v>170</v>
      </c>
      <c r="CD6">
        <v>2E-3</v>
      </c>
    </row>
    <row r="7" spans="1:92" x14ac:dyDescent="0.2">
      <c r="M7" t="s">
        <v>23</v>
      </c>
      <c r="N7" t="s">
        <v>11</v>
      </c>
      <c r="O7" t="s">
        <v>12</v>
      </c>
      <c r="P7" t="s">
        <v>24</v>
      </c>
      <c r="Q7" t="s">
        <v>24</v>
      </c>
      <c r="T7" t="s">
        <v>23</v>
      </c>
      <c r="U7" t="s">
        <v>24</v>
      </c>
      <c r="V7" t="s">
        <v>25</v>
      </c>
      <c r="W7" t="s">
        <v>24</v>
      </c>
      <c r="X7" t="s">
        <v>24</v>
      </c>
      <c r="Y7" t="s">
        <v>25</v>
      </c>
      <c r="Z7" t="s">
        <v>25</v>
      </c>
      <c r="AA7" t="s">
        <v>25</v>
      </c>
      <c r="AB7" t="s">
        <v>25</v>
      </c>
      <c r="AC7" t="s">
        <v>25</v>
      </c>
      <c r="AD7" t="s">
        <v>25</v>
      </c>
      <c r="AE7" t="s">
        <v>25</v>
      </c>
      <c r="AG7" t="s">
        <v>25</v>
      </c>
      <c r="AI7" t="s">
        <v>25</v>
      </c>
      <c r="AJ7" t="s">
        <v>25</v>
      </c>
      <c r="AK7" t="s">
        <v>25</v>
      </c>
      <c r="AL7" t="s">
        <v>25</v>
      </c>
      <c r="AM7" t="s">
        <v>24</v>
      </c>
      <c r="AN7" t="s">
        <v>24</v>
      </c>
      <c r="AP7" t="s">
        <v>24</v>
      </c>
      <c r="AR7" t="s">
        <v>24</v>
      </c>
      <c r="AT7" t="s">
        <v>24</v>
      </c>
      <c r="AU7" t="s">
        <v>24</v>
      </c>
      <c r="AV7" t="s">
        <v>24</v>
      </c>
      <c r="AY7" t="s">
        <v>24</v>
      </c>
      <c r="AZ7" t="s">
        <v>24</v>
      </c>
      <c r="BA7" t="s">
        <v>24</v>
      </c>
      <c r="BD7" t="s">
        <v>24</v>
      </c>
      <c r="BE7" t="s">
        <v>24</v>
      </c>
      <c r="BF7" t="s">
        <v>25</v>
      </c>
      <c r="BG7" t="s">
        <v>24</v>
      </c>
      <c r="BH7" t="s">
        <v>25</v>
      </c>
      <c r="BI7" t="s">
        <v>24</v>
      </c>
      <c r="BJ7" t="s">
        <v>24</v>
      </c>
      <c r="BK7" t="s">
        <v>24</v>
      </c>
      <c r="BL7" t="s">
        <v>25</v>
      </c>
      <c r="BM7" t="s">
        <v>25</v>
      </c>
      <c r="BO7" t="s">
        <v>25</v>
      </c>
      <c r="BU7" t="s">
        <v>85</v>
      </c>
      <c r="BV7">
        <v>0.95</v>
      </c>
      <c r="BW7">
        <v>1</v>
      </c>
      <c r="BZ7" t="s">
        <v>36</v>
      </c>
      <c r="CA7">
        <v>0.16</v>
      </c>
      <c r="CC7" t="s">
        <v>172</v>
      </c>
      <c r="CD7">
        <f>44/28</f>
        <v>1.5714285714285714</v>
      </c>
    </row>
    <row r="8" spans="1:92" x14ac:dyDescent="0.2">
      <c r="N8" t="s">
        <v>24</v>
      </c>
      <c r="O8" t="s">
        <v>24</v>
      </c>
      <c r="AM8" t="s">
        <v>23</v>
      </c>
      <c r="AN8" t="s">
        <v>23</v>
      </c>
      <c r="AP8" t="s">
        <v>23</v>
      </c>
      <c r="AY8" t="s">
        <v>23</v>
      </c>
      <c r="BG8" t="s">
        <v>23</v>
      </c>
      <c r="BJ8" t="s">
        <v>23</v>
      </c>
      <c r="BZ8" t="s">
        <v>112</v>
      </c>
      <c r="CA8">
        <v>28</v>
      </c>
      <c r="CC8" t="s">
        <v>173</v>
      </c>
      <c r="CD8">
        <v>265</v>
      </c>
    </row>
    <row r="9" spans="1:92" x14ac:dyDescent="0.2">
      <c r="N9" t="s">
        <v>23</v>
      </c>
      <c r="O9" t="s">
        <v>23</v>
      </c>
      <c r="AM9" t="s">
        <v>35</v>
      </c>
      <c r="AN9" t="s">
        <v>161</v>
      </c>
      <c r="AP9" t="s">
        <v>86</v>
      </c>
      <c r="AQ9" t="s">
        <v>87</v>
      </c>
      <c r="BZ9" t="s">
        <v>186</v>
      </c>
      <c r="CA9">
        <v>1.0999999999999999E-2</v>
      </c>
      <c r="CC9" t="s">
        <v>176</v>
      </c>
      <c r="CD9">
        <v>0.21</v>
      </c>
    </row>
    <row r="10" spans="1:92" x14ac:dyDescent="0.2">
      <c r="A10" t="s">
        <v>41</v>
      </c>
      <c r="B10" s="8" t="s">
        <v>98</v>
      </c>
      <c r="C10" s="8" t="s">
        <v>171</v>
      </c>
      <c r="D10" s="8" t="s">
        <v>201</v>
      </c>
      <c r="E10" t="s">
        <v>202</v>
      </c>
      <c r="F10" t="s">
        <v>203</v>
      </c>
      <c r="G10" t="s">
        <v>204</v>
      </c>
      <c r="H10" s="8" t="s">
        <v>179</v>
      </c>
      <c r="I10" s="8" t="s">
        <v>205</v>
      </c>
      <c r="J10" t="s">
        <v>179</v>
      </c>
      <c r="M10" s="8" t="s">
        <v>26</v>
      </c>
      <c r="N10" t="s">
        <v>29</v>
      </c>
      <c r="O10" t="s">
        <v>30</v>
      </c>
      <c r="P10" t="s">
        <v>138</v>
      </c>
      <c r="Q10" t="s">
        <v>142</v>
      </c>
      <c r="R10" s="8" t="s">
        <v>122</v>
      </c>
      <c r="S10" s="8" t="s">
        <v>137</v>
      </c>
      <c r="T10" t="s">
        <v>31</v>
      </c>
      <c r="U10" t="s">
        <v>32</v>
      </c>
      <c r="V10" t="s">
        <v>33</v>
      </c>
      <c r="W10" t="s">
        <v>144</v>
      </c>
      <c r="X10" t="s">
        <v>153</v>
      </c>
      <c r="Y10" t="s">
        <v>154</v>
      </c>
      <c r="Z10" t="s">
        <v>156</v>
      </c>
      <c r="AA10" t="s">
        <v>158</v>
      </c>
      <c r="AB10" t="s">
        <v>149</v>
      </c>
      <c r="AC10" t="s">
        <v>34</v>
      </c>
      <c r="AD10" t="s">
        <v>37</v>
      </c>
      <c r="AE10" t="s">
        <v>83</v>
      </c>
      <c r="AF10" t="s">
        <v>82</v>
      </c>
      <c r="AG10" t="s">
        <v>113</v>
      </c>
      <c r="AH10" t="s">
        <v>114</v>
      </c>
      <c r="AI10" t="s">
        <v>162</v>
      </c>
      <c r="AJ10" t="s">
        <v>166</v>
      </c>
      <c r="AK10" t="s">
        <v>163</v>
      </c>
      <c r="AL10" t="s">
        <v>167</v>
      </c>
      <c r="AO10" s="8" t="s">
        <v>90</v>
      </c>
      <c r="AP10" t="s">
        <v>84</v>
      </c>
      <c r="AQ10" t="s">
        <v>85</v>
      </c>
      <c r="AR10" t="s">
        <v>96</v>
      </c>
      <c r="AS10" t="s">
        <v>97</v>
      </c>
      <c r="AT10" t="s">
        <v>27</v>
      </c>
      <c r="AU10" t="s">
        <v>28</v>
      </c>
      <c r="AV10" t="s">
        <v>36</v>
      </c>
      <c r="AW10" t="s">
        <v>38</v>
      </c>
      <c r="AX10" t="s">
        <v>166</v>
      </c>
      <c r="AY10" t="s">
        <v>168</v>
      </c>
      <c r="AZ10" t="s">
        <v>172</v>
      </c>
      <c r="BA10" t="s">
        <v>173</v>
      </c>
      <c r="BB10" t="s">
        <v>167</v>
      </c>
      <c r="BC10" t="s">
        <v>174</v>
      </c>
      <c r="BD10" t="s">
        <v>39</v>
      </c>
      <c r="BE10" t="s">
        <v>176</v>
      </c>
      <c r="BF10" t="s">
        <v>177</v>
      </c>
      <c r="BG10" t="s">
        <v>178</v>
      </c>
      <c r="BH10" t="s">
        <v>185</v>
      </c>
      <c r="BI10" t="s">
        <v>186</v>
      </c>
      <c r="BJ10" t="s">
        <v>189</v>
      </c>
      <c r="BK10" t="s">
        <v>194</v>
      </c>
      <c r="BL10" t="s">
        <v>195</v>
      </c>
      <c r="BM10" t="s">
        <v>198</v>
      </c>
      <c r="BN10" s="1" t="s">
        <v>199</v>
      </c>
      <c r="BO10" s="1" t="s">
        <v>40</v>
      </c>
    </row>
    <row r="11" spans="1:92" x14ac:dyDescent="0.2">
      <c r="A11" t="s">
        <v>52</v>
      </c>
      <c r="B11" t="s">
        <v>99</v>
      </c>
      <c r="C11" t="s">
        <v>169</v>
      </c>
      <c r="D11" t="s">
        <v>190</v>
      </c>
      <c r="E11" t="s">
        <v>190</v>
      </c>
      <c r="F11" t="str">
        <f>IF(OR(D11="ACT", D11="NSW"), "ACT/NSW", D11)</f>
        <v>ACT/NSW</v>
      </c>
      <c r="G11" t="s">
        <v>53</v>
      </c>
      <c r="H11" t="s">
        <v>180</v>
      </c>
      <c r="I11" t="s">
        <v>206</v>
      </c>
      <c r="J11" t="str">
        <f>IF(H11="Non-irrigated crop", IF(I11="high", "Non-irrigated crop (high rainfall)", "Non-irrigated crop (low rainfall)"), H11)</f>
        <v>Irrigated crop</v>
      </c>
      <c r="K11" t="s">
        <v>42</v>
      </c>
      <c r="L11" t="s">
        <v>54</v>
      </c>
      <c r="M11">
        <v>100</v>
      </c>
      <c r="N11" cm="1">
        <f t="array" ref="N11:N14">_xlfn.XLOOKUP(K11, $BX$46:$CG$46, $BX$47:$CG$50)</f>
        <v>80</v>
      </c>
      <c r="O11" cm="1">
        <f t="array" ref="O11:O14">_xlfn.XLOOKUP(K11, $BX$106:$CG$106, $BX$107:$CG$110)</f>
        <v>0.5</v>
      </c>
      <c r="P11" cm="1">
        <f t="array" ref="P11">_xlfn.XLOOKUP(K$11,$BX$169:$CG$169,_xlfn.XLOOKUP($E$11,$BW$170:$BW$176,$BX$170:$CG$176))</f>
        <v>700</v>
      </c>
      <c r="Q11">
        <f>N11/P11</f>
        <v>0.11428571428571428</v>
      </c>
      <c r="T11">
        <v>0</v>
      </c>
      <c r="V11">
        <v>1</v>
      </c>
      <c r="W11">
        <f>VLOOKUP($G$11, $CL$17:$CN$25, 2, FALSE)</f>
        <v>6</v>
      </c>
      <c r="X11">
        <v>0</v>
      </c>
      <c r="Y11">
        <f>T11*X11</f>
        <v>0</v>
      </c>
      <c r="Z11">
        <f>0.1604 * ($AM$11*100) - 1.037</f>
        <v>7.785000000000001</v>
      </c>
      <c r="AA11">
        <f>(0.032 * Y11 /6.38) + ((0.212 - 0.008 * (AB11 - 2) - ((0.14 - 0.008 * (AB11 - 2)) / (1 + EXP(-6 * (Q11 - 0.4))))) * (O11 * 0.92)) / 6.25</f>
        <v>1.4421768711032507E-2</v>
      </c>
      <c r="AB11">
        <f>AC11 / ((1.185 + 0.00454 * N11 - 0.0000026 * N11 ^ 2 ) ^ 2 * V11)</f>
        <v>1.2162479569787423</v>
      </c>
      <c r="AC11">
        <f>(1.185 + 0.00454 * N11 - 0.0000026 * N11^2 + 0.315 * O11)^2 * V11</f>
        <v>2.8529236835999998</v>
      </c>
      <c r="AD11">
        <f>(AC11 * (1 -AM11) + (0.04 * AC11)) * ( 1 - AV$11 )</f>
        <v>1.1742633881697597</v>
      </c>
      <c r="AE11">
        <f>AD11 * AT$11 * AP$11 * AR$11 * AU$11</f>
        <v>5.5245616593758213E-5</v>
      </c>
      <c r="AF11">
        <f>AD11 * AT$11 * AQ$11 * AS$11 * AU$11</f>
        <v>6.6143382058828331E-4</v>
      </c>
      <c r="AG11">
        <f t="shared" ref="AG11:AG42" si="0">M11*AE11*91.25</f>
        <v>0.50411625141804373</v>
      </c>
      <c r="AH11">
        <f t="shared" ref="AH11:AH42" si="1">M11*AF11*91.25</f>
        <v>6.0355836128680851</v>
      </c>
      <c r="AI11">
        <f>((0.3 * AC11 * $AN$11 * (1 - ($AM$11 + 0.1)) + (0.105 * $Z11 * $AC11 * 0.008) + (0.0152 * $AC11)) / 6.25) + (0.08 * 0.032 * $W11 / 6.38)</f>
        <v>1.5685897623246001E-2</v>
      </c>
      <c r="AJ11">
        <f>M11*AI11*91.25</f>
        <v>143.13381581211976</v>
      </c>
      <c r="AK11">
        <f>(AC11 * $AN11 / 6.25) + (0.032 * W11 / 6.38) - AA11 - AI11 - ((1.1 * (10 ^ -4) * (N11 ^ 0.75)) / 6.25)</f>
        <v>3.1468329634485426E-2</v>
      </c>
      <c r="AL11">
        <f>M11*AK11*91.25</f>
        <v>287.1485079146795</v>
      </c>
      <c r="AM11" cm="1">
        <f t="array" ref="AM11:AM14">_xlfn.XLOOKUP(G$11,$BV$17:$CD$17,$BV$18:$CD$21)</f>
        <v>0.55000000000000004</v>
      </c>
      <c r="AN11" cm="1">
        <f t="array" ref="AN11:AN14">_xlfn.XLOOKUP(G$11,$BV$29:$CD$29,$BV$30:$CD$33)</f>
        <v>7.0000000000000007E-2</v>
      </c>
      <c r="AO11" t="s">
        <v>91</v>
      </c>
      <c r="AP11">
        <f>IF(AO11="yes", $BV$6, $BW$6)</f>
        <v>0.05</v>
      </c>
      <c r="AQ11">
        <f>IF(AO11="yes", $BV$7, $BW$7)</f>
        <v>0.95</v>
      </c>
      <c r="AR11">
        <f>VLOOKUP(B11, $CH$17:$CI$26, 2, FALSE)</f>
        <v>7.3000000000000001E-3</v>
      </c>
      <c r="AS11">
        <f>$CI$14</f>
        <v>4.5999999999999999E-3</v>
      </c>
      <c r="AT11">
        <f>$CA$5</f>
        <v>0.19</v>
      </c>
      <c r="AU11">
        <f>$CA$6</f>
        <v>0.6784</v>
      </c>
      <c r="AV11">
        <f>$CA$7</f>
        <v>0.16</v>
      </c>
      <c r="AW11">
        <f>SUM(AG11:AH50)</f>
        <v>521.15043311056058</v>
      </c>
      <c r="AX11">
        <f>SUM(AJ11:AJ50)</f>
        <v>10808.156154347584</v>
      </c>
      <c r="AY11">
        <f>IF(C11="wet",$CD$5,$CD$6)</f>
        <v>6.0000000000000001E-3</v>
      </c>
      <c r="AZ11">
        <f>$CD$7</f>
        <v>1.5714285714285714</v>
      </c>
      <c r="BA11">
        <f>$CD$8</f>
        <v>265</v>
      </c>
      <c r="BB11">
        <f>SUM(AL11:AL50)</f>
        <v>18413.394762079188</v>
      </c>
      <c r="BC11">
        <f>((AX11 * AY11 * AZ11) + (BB11 * AY11 * AZ11))  * (10^-3)</f>
        <v>0.27551748006916671</v>
      </c>
      <c r="BD11">
        <f>$CA$8</f>
        <v>28</v>
      </c>
      <c r="BE11">
        <f>$CD$9</f>
        <v>0.21</v>
      </c>
      <c r="BF11">
        <f>(AX11+BB11)*BE11</f>
        <v>6136.5256924496216</v>
      </c>
      <c r="BG11">
        <f>VLOOKUP(J11, $CH$29:$CI$33,2,FALSE)</f>
        <v>7.0000000000000001E-3</v>
      </c>
      <c r="BH11">
        <f>BF11*BG11*AZ11*(10^-3)</f>
        <v>6.7501782616945838E-2</v>
      </c>
      <c r="BI11">
        <f>$CA$9</f>
        <v>1.0999999999999999E-2</v>
      </c>
      <c r="BJ11">
        <f>VLOOKUP(D11, $CL$29:$CM$46, 2, FALSE)</f>
        <v>0.87</v>
      </c>
      <c r="BK11">
        <f>$CG$4</f>
        <v>0.24</v>
      </c>
      <c r="BL11">
        <f>(BB11+AX11)*BJ11*BK11</f>
        <v>6101.45983134991</v>
      </c>
      <c r="BM11">
        <f>BL11*BI11*AZ11*(10^-3)</f>
        <v>0.10546809137047701</v>
      </c>
      <c r="BN11">
        <f>BC11+BH11+BM11</f>
        <v>0.44848735405658957</v>
      </c>
      <c r="BO11">
        <f>AW11 * BD11 * 10^-3</f>
        <v>14.592212127095696</v>
      </c>
    </row>
    <row r="12" spans="1:92" x14ac:dyDescent="0.2">
      <c r="L12" t="s">
        <v>55</v>
      </c>
      <c r="M12">
        <v>110</v>
      </c>
      <c r="N12">
        <v>170</v>
      </c>
      <c r="O12">
        <v>1</v>
      </c>
      <c r="P12" cm="1">
        <f t="array" ref="P12">_xlfn.XLOOKUP(K$11,$BX$169:$CG$169,_xlfn.XLOOKUP($E$11,$BW$170:$BW$176,$BX$170:$CG$176))</f>
        <v>700</v>
      </c>
      <c r="Q12">
        <f t="shared" ref="Q12:Q75" si="2">N12/P12</f>
        <v>0.24285714285714285</v>
      </c>
      <c r="V12">
        <v>1</v>
      </c>
      <c r="W12">
        <f>VLOOKUP($G$11, $CL$17:$CN$25, 3, FALSE)</f>
        <v>4</v>
      </c>
      <c r="X12">
        <v>0</v>
      </c>
      <c r="Y12">
        <f t="shared" ref="Y12:Y75" si="3">T12*X12</f>
        <v>0</v>
      </c>
      <c r="Z12">
        <f>0.1604 * ($AM$12*100) - 1.037</f>
        <v>9.3889999999999993</v>
      </c>
      <c r="AA12">
        <f t="shared" ref="AA12:AA50" si="4">(0.032 * Y12 /6.38) + ((0.212 - 0.008 * (AB12 - 2) - ((0.14 - 0.008 * (AB12 - 2)) / (1 + EXP(-6 * (Q12 - 0.4))))) * (O12 * 0.92)) / 6.25</f>
        <v>2.5969483089068355E-2</v>
      </c>
      <c r="AB12">
        <f t="shared" ref="AB12:AB75" si="5">AC12 / ((1.185 + 0.00454 * N12 - 0.0000026 * N12 ^ 2 ) ^ 2 * V12)</f>
        <v>1.3628353121567047</v>
      </c>
      <c r="AC12">
        <f t="shared" ref="AC12:AC50" si="6">(1.185 + 0.00454 * N12 - 0.0000026 * N12^2 + 0.315 * O12)^2 * V12</f>
        <v>4.8253151556000002</v>
      </c>
      <c r="AD12">
        <f>(AC12 * (1 -AM12) + (0.04 * AC12)) * ( 1 - AV$11 )</f>
        <v>1.58077324497456</v>
      </c>
      <c r="AE12">
        <f>AD12 * AT$11 * AP$11 * AR$11 * AU$11</f>
        <v>7.4370702087247912E-5</v>
      </c>
      <c r="AF12">
        <f>AD12 * AT$11 * AQ$11 * AS$11 * AU$11</f>
        <v>8.9041087156513257E-4</v>
      </c>
      <c r="AG12">
        <f t="shared" si="0"/>
        <v>0.74649592220075089</v>
      </c>
      <c r="AH12">
        <f t="shared" si="1"/>
        <v>8.9374991233350194</v>
      </c>
      <c r="AI12">
        <f>((0.3 * AC12 * $AN$12 * (1 - ($AM$12 + 0.1)) + (0.105 * $Z12 * $AC12 * 0.008) + (0.0152 * $AC12)) / 6.25) + (0.08 * 0.032 * $W12 / 6.38)</f>
        <v>2.6956650184189166E-2</v>
      </c>
      <c r="AJ12">
        <f t="shared" ref="AJ12:AJ50" si="7">M12*AI12*91.25</f>
        <v>270.57737622379875</v>
      </c>
      <c r="AK12">
        <f>(AC12 * $AN12 / 6.25) + (0.032 * W12 / 6.38) - AA12 - AI12 - ((1.1 * (10 ^ -4) * (N12 ^ 0.75)) / 6.25)</f>
        <v>6.6674509436068091E-2</v>
      </c>
      <c r="AL12">
        <f t="shared" ref="AL12:AL50" si="8">M12*AK12*91.25</f>
        <v>669.24538846453345</v>
      </c>
      <c r="AM12">
        <v>0.65</v>
      </c>
      <c r="AN12">
        <v>0.13</v>
      </c>
    </row>
    <row r="13" spans="1:92" x14ac:dyDescent="0.2">
      <c r="L13" t="s">
        <v>56</v>
      </c>
      <c r="M13">
        <v>120</v>
      </c>
      <c r="N13">
        <v>240</v>
      </c>
      <c r="O13">
        <v>0.8</v>
      </c>
      <c r="P13" cm="1">
        <f t="array" ref="P13">_xlfn.XLOOKUP(K$11,$BX$169:$CG$169,_xlfn.XLOOKUP($E$11,$BW$170:$BW$176,$BX$170:$CG$176))</f>
        <v>700</v>
      </c>
      <c r="Q13">
        <f t="shared" si="2"/>
        <v>0.34285714285714286</v>
      </c>
      <c r="V13">
        <v>1</v>
      </c>
      <c r="W13">
        <v>0</v>
      </c>
      <c r="X13">
        <v>0</v>
      </c>
      <c r="Y13">
        <f t="shared" si="3"/>
        <v>0</v>
      </c>
      <c r="Z13">
        <f>0.1604 * ($AM$13*100) - 1.037</f>
        <v>8.5869999999999997</v>
      </c>
      <c r="AA13">
        <f t="shared" si="4"/>
        <v>1.853391985787713E-2</v>
      </c>
      <c r="AB13">
        <f t="shared" si="5"/>
        <v>1.2512596174632808</v>
      </c>
      <c r="AC13">
        <f t="shared" si="6"/>
        <v>5.6493683855999981</v>
      </c>
      <c r="AD13">
        <f>(AC13 * (1 -AM13) + (0.04 * AC13)) * ( 1 - AV$11 )</f>
        <v>2.0880065553177594</v>
      </c>
      <c r="AE13">
        <f>AD13 * AT$11 * AP$11 * AR$11 * AU$11</f>
        <v>9.8234527928296858E-5</v>
      </c>
      <c r="AF13">
        <f>AD13 * AT$11 * AQ$11 * AS$11 * AU$11</f>
        <v>1.1761229782100196E-3</v>
      </c>
      <c r="AG13">
        <f t="shared" si="0"/>
        <v>1.0756680808148507</v>
      </c>
      <c r="AH13">
        <f t="shared" si="1"/>
        <v>12.878546611399717</v>
      </c>
      <c r="AI13">
        <f>((0.3 * AC13 * $AN$13 * (1 - ($AM$13 + 0.1)) + (0.105 * $Z13 * $AC13 * 0.008) + (0.0152 * $AC13)) / 6.25) + (0.08 * 0.032 * $W13 / 6.38)</f>
        <v>2.839424976741178E-2</v>
      </c>
      <c r="AJ13">
        <f t="shared" si="7"/>
        <v>310.91703495315897</v>
      </c>
      <c r="AK13">
        <f>(AC13 * $AN13 / 6.25) + (0.032 * W13 / 6.38) - AA13 - AI13 - ((1.1 * (10 ^ -4) * (N13 ^ 0.75)) / 6.25)</f>
        <v>4.2388548180208527E-2</v>
      </c>
      <c r="AL13">
        <f t="shared" si="8"/>
        <v>464.15460257328334</v>
      </c>
      <c r="AM13">
        <v>0.6</v>
      </c>
      <c r="AN13">
        <v>0.1</v>
      </c>
    </row>
    <row r="14" spans="1:92" x14ac:dyDescent="0.2">
      <c r="L14" t="s">
        <v>57</v>
      </c>
      <c r="M14">
        <v>130</v>
      </c>
      <c r="N14">
        <v>280</v>
      </c>
      <c r="O14">
        <v>0.4</v>
      </c>
      <c r="P14" cm="1">
        <f t="array" ref="P14">_xlfn.XLOOKUP(K$11,$BX$169:$CG$169,_xlfn.XLOOKUP($E$11,$BW$170:$BW$176,$BX$170:$CG$176))</f>
        <v>700</v>
      </c>
      <c r="Q14">
        <f t="shared" si="2"/>
        <v>0.4</v>
      </c>
      <c r="V14">
        <v>1</v>
      </c>
      <c r="W14">
        <v>0</v>
      </c>
      <c r="X14">
        <v>0</v>
      </c>
      <c r="Y14">
        <f t="shared" si="3"/>
        <v>0</v>
      </c>
      <c r="Z14">
        <f>0.1604 * ($AM$14*100) - 1.037</f>
        <v>6.9829999999999997</v>
      </c>
      <c r="AA14">
        <f t="shared" si="4"/>
        <v>8.5693923550976409E-3</v>
      </c>
      <c r="AB14">
        <f t="shared" si="5"/>
        <v>1.1150120792389542</v>
      </c>
      <c r="AC14">
        <f t="shared" si="6"/>
        <v>5.6565962895999995</v>
      </c>
      <c r="AD14">
        <f>(AC14 * (1 -AM14) + (0.04 * AC14)) * ( 1 - AV$11 )</f>
        <v>2.5658320769625598</v>
      </c>
      <c r="AE14">
        <f>AD14 * AT$11 * AP$11 * AR$11 * AU$11</f>
        <v>1.2071480435814064E-4</v>
      </c>
      <c r="AF14">
        <f>AD14 * AT$11 * AQ$11 * AS$11 * AU$11</f>
        <v>1.4452703973837659E-3</v>
      </c>
      <c r="AG14">
        <f t="shared" si="0"/>
        <v>1.4319793666984433</v>
      </c>
      <c r="AH14">
        <f t="shared" si="1"/>
        <v>17.144520088964921</v>
      </c>
      <c r="AI14">
        <f>((0.3 * AC14 * $AN$14 * (1 - ($AM$14 + 0.1)) + (0.105 * $Z14 * $AC14 * 0.008) + (0.0152 * $AC14)) / 6.25) + (0.08 * 0.032 * $W14 / 6.38)</f>
        <v>2.5582042699979598E-2</v>
      </c>
      <c r="AJ14">
        <f t="shared" si="7"/>
        <v>303.46698152850797</v>
      </c>
      <c r="AK14">
        <f>(AC14 * $AN14 / 6.25) + (0.032 * W14 / 6.38) - AA14 - AI14 - ((1.1 * (10 ^ -4) * (N14 ^ 0.75)) / 6.25)</f>
        <v>1.8947182997803159E-2</v>
      </c>
      <c r="AL14">
        <f t="shared" si="8"/>
        <v>224.76095831143999</v>
      </c>
      <c r="AM14">
        <v>0.5</v>
      </c>
      <c r="AN14">
        <v>0.06</v>
      </c>
      <c r="CH14" t="s">
        <v>97</v>
      </c>
      <c r="CI14">
        <v>4.5999999999999999E-3</v>
      </c>
    </row>
    <row r="15" spans="1:92" x14ac:dyDescent="0.2">
      <c r="K15" t="s">
        <v>43</v>
      </c>
      <c r="L15" t="s">
        <v>54</v>
      </c>
      <c r="M15">
        <v>50</v>
      </c>
      <c r="N15" cm="1">
        <f t="array" ref="N15:N18">_xlfn.XLOOKUP(K15, $BX$46:$CG$46, $BX$47:$CG$50)</f>
        <v>480</v>
      </c>
      <c r="O15" cm="1">
        <f t="array" ref="O15:O18">_xlfn.XLOOKUP(K15, $BX$106:$CG$106, $BX$107:$CG$110)</f>
        <v>0.2</v>
      </c>
      <c r="P15" cm="1">
        <f t="array" ref="P15">_xlfn.XLOOKUP(K$15,$BX$169:$CG$169,_xlfn.XLOOKUP($E$11,$BW$170:$BW$176,$BX$170:$CG$176))</f>
        <v>700</v>
      </c>
      <c r="Q15">
        <f t="shared" si="2"/>
        <v>0.68571428571428572</v>
      </c>
      <c r="V15">
        <v>1</v>
      </c>
      <c r="W15">
        <v>0</v>
      </c>
      <c r="X15">
        <v>0</v>
      </c>
      <c r="Y15">
        <f t="shared" si="3"/>
        <v>0</v>
      </c>
      <c r="Z15">
        <f t="shared" ref="Z15" si="9">0.1604 * ($AM$11*100) - 1.037</f>
        <v>7.785000000000001</v>
      </c>
      <c r="AA15">
        <f t="shared" si="4"/>
        <v>2.7829578220966208E-3</v>
      </c>
      <c r="AB15">
        <f t="shared" si="5"/>
        <v>1.0460860709612354</v>
      </c>
      <c r="AC15">
        <f t="shared" si="6"/>
        <v>7.9984889855999999</v>
      </c>
      <c r="AD15">
        <f>(AC15 * (1 -AM15) + (0.04 * AC15)) * ( 1 - AV$11 )</f>
        <v>3.2921780664729599</v>
      </c>
      <c r="AE15">
        <f>AD15 * AT$11 * AP$11 * AR$11 * AU$11</f>
        <v>1.5488723318047602E-4</v>
      </c>
      <c r="AF15">
        <f>AD15 * AT$11 * AQ$11 * AS$11 * AU$11</f>
        <v>1.8544033123251509E-3</v>
      </c>
      <c r="AG15">
        <f t="shared" si="0"/>
        <v>0.70667300138592182</v>
      </c>
      <c r="AH15">
        <f t="shared" si="1"/>
        <v>8.4607151124835003</v>
      </c>
      <c r="AI15">
        <f>((0.3 * AC15 * $AN$11 * (1 - ($AM$11 + 0.1)) + (0.105 * $Z15 * $AC15 * 0.008) + (0.0152 * $AC15)) / 6.25) + (0.08 * 0.032 * $W15 / 6.38)</f>
        <v>3.7227399279634019E-2</v>
      </c>
      <c r="AJ15">
        <f t="shared" si="7"/>
        <v>169.85000921333022</v>
      </c>
      <c r="AK15">
        <f>(AC15 * $AN15 / 6.25) + (0.032 * W15 / 6.38) - AA15 - AI15 - ((1.1 * (10 ^ -4) * (N15 ^ 0.75)) / 6.25)</f>
        <v>4.776785922197168E-2</v>
      </c>
      <c r="AL15">
        <f t="shared" si="8"/>
        <v>217.94085770024577</v>
      </c>
      <c r="AM15" cm="1">
        <f t="array" ref="AM15:AM18">_xlfn.XLOOKUP(G$11,$BV$17:$CD$17,$BV$18:$CD$21)</f>
        <v>0.55000000000000004</v>
      </c>
      <c r="AN15" cm="1">
        <f t="array" ref="AN15:AN18">_xlfn.XLOOKUP(G$11,$BV$29:$CD$29,$BV$30:$CD$33)</f>
        <v>7.0000000000000007E-2</v>
      </c>
      <c r="CK15" t="s">
        <v>151</v>
      </c>
      <c r="CL15" t="s">
        <v>152</v>
      </c>
    </row>
    <row r="16" spans="1:92" x14ac:dyDescent="0.2">
      <c r="L16" t="s">
        <v>55</v>
      </c>
      <c r="M16">
        <v>55</v>
      </c>
      <c r="N16">
        <v>520</v>
      </c>
      <c r="O16">
        <v>0.4</v>
      </c>
      <c r="P16" cm="1">
        <f t="array" ref="P16">_xlfn.XLOOKUP(K$15,$BX$169:$CG$169,_xlfn.XLOOKUP($E$11,$BW$170:$BW$176,$BX$170:$CG$176))</f>
        <v>700</v>
      </c>
      <c r="Q16">
        <f t="shared" si="2"/>
        <v>0.74285714285714288</v>
      </c>
      <c r="V16">
        <v>1</v>
      </c>
      <c r="W16">
        <v>0</v>
      </c>
      <c r="X16">
        <v>0</v>
      </c>
      <c r="Y16">
        <f t="shared" si="3"/>
        <v>0</v>
      </c>
      <c r="Z16">
        <f t="shared" ref="Z16" si="10">0.1604 * ($AM$12*100) - 1.037</f>
        <v>9.3889999999999993</v>
      </c>
      <c r="AA16">
        <f t="shared" si="4"/>
        <v>5.2221304888844331E-3</v>
      </c>
      <c r="AB16">
        <f t="shared" si="5"/>
        <v>1.0906107843952688</v>
      </c>
      <c r="AC16">
        <f t="shared" si="6"/>
        <v>8.8135359375999975</v>
      </c>
      <c r="AD16">
        <f>(AC16 * (1 -AM16) + (0.04 * AC16)) * ( 1 - AV$11 )</f>
        <v>2.8873143731577593</v>
      </c>
      <c r="AE16">
        <f>AD16 * AT$11 * AP$11 * AR$11 * AU$11</f>
        <v>1.3583959480652805E-4</v>
      </c>
      <c r="AF16">
        <f>AD16 * AT$11 * AQ$11 * AS$11 * AU$11</f>
        <v>1.626353504943911E-3</v>
      </c>
      <c r="AG16">
        <f t="shared" si="0"/>
        <v>0.68174496643526261</v>
      </c>
      <c r="AH16">
        <f t="shared" si="1"/>
        <v>8.1622616529372536</v>
      </c>
      <c r="AI16">
        <f>((0.3 * AC16 * $AN$12 * (1 - ($AM$12 + 0.1)) + (0.105 * $Z16 * $AC16 * 0.008) + (0.0152 * $AC16)) / 6.25) + (0.08 * 0.032 * $W16 / 6.38)</f>
        <v>4.6305274293495381E-2</v>
      </c>
      <c r="AJ16">
        <f t="shared" si="7"/>
        <v>232.39459536047994</v>
      </c>
      <c r="AK16">
        <f>(AC16 * $AN16 / 6.25) + (0.032 * W16 / 6.38) - AA16 - AI16 - ((1.1 * (10 ^ -4) * (N16 ^ 0.75)) / 6.25)</f>
        <v>0.12987761468894801</v>
      </c>
      <c r="AL16">
        <f t="shared" si="8"/>
        <v>651.82327872015787</v>
      </c>
      <c r="AM16">
        <v>0.65</v>
      </c>
      <c r="AN16">
        <v>0.13</v>
      </c>
      <c r="BU16" t="s">
        <v>61</v>
      </c>
      <c r="CH16" t="s">
        <v>96</v>
      </c>
      <c r="CK16" t="s">
        <v>145</v>
      </c>
      <c r="CL16" t="s">
        <v>146</v>
      </c>
      <c r="CM16" t="s">
        <v>147</v>
      </c>
      <c r="CN16" t="s">
        <v>148</v>
      </c>
    </row>
    <row r="17" spans="11:92" x14ac:dyDescent="0.2">
      <c r="L17" t="s">
        <v>56</v>
      </c>
      <c r="M17">
        <v>60</v>
      </c>
      <c r="N17">
        <v>550</v>
      </c>
      <c r="O17">
        <v>0.3</v>
      </c>
      <c r="P17" cm="1">
        <f t="array" ref="P17">_xlfn.XLOOKUP(K$15,$BX$169:$CG$169,_xlfn.XLOOKUP($E$11,$BW$170:$BW$176,$BX$170:$CG$176))</f>
        <v>700</v>
      </c>
      <c r="Q17">
        <f t="shared" si="2"/>
        <v>0.7857142857142857</v>
      </c>
      <c r="V17">
        <v>1</v>
      </c>
      <c r="W17">
        <v>0</v>
      </c>
      <c r="X17">
        <v>0</v>
      </c>
      <c r="Y17">
        <f t="shared" si="3"/>
        <v>0</v>
      </c>
      <c r="Z17">
        <f t="shared" ref="Z17" si="11">0.1604 * ($AM$13*100) - 1.037</f>
        <v>8.5869999999999997</v>
      </c>
      <c r="AA17">
        <f t="shared" si="4"/>
        <v>3.7652749370972547E-3</v>
      </c>
      <c r="AB17">
        <f t="shared" si="5"/>
        <v>1.0663388645663703</v>
      </c>
      <c r="AC17">
        <f t="shared" si="6"/>
        <v>8.940100000000001</v>
      </c>
      <c r="AD17">
        <f>(AC17 * (1 -AM17) + (0.04 * AC17)) * ( 1 - AV$11 )</f>
        <v>3.3042609600000006</v>
      </c>
      <c r="AE17">
        <f>AD17 * AT$11 * AP$11 * AR$11 * AU$11</f>
        <v>1.5545569755555841E-4</v>
      </c>
      <c r="AF17">
        <f>AD17 * AT$11 * AQ$11 * AS$11 * AU$11</f>
        <v>1.8612093104596994E-3</v>
      </c>
      <c r="AG17">
        <f t="shared" si="0"/>
        <v>0.85111994411668224</v>
      </c>
      <c r="AH17">
        <f t="shared" si="1"/>
        <v>10.190120974766854</v>
      </c>
      <c r="AI17">
        <f>((0.3 * AC17 * $AN$13 * (1 - ($AM$13 + 0.1)) + (0.105 * $Z17 * $AC17 * 0.008) + (0.0152 * $AC17)) / 6.25) + (0.08 * 0.032 * $W17 / 6.38)</f>
        <v>4.4933772241280007E-2</v>
      </c>
      <c r="AJ17">
        <f t="shared" si="7"/>
        <v>246.01240302100803</v>
      </c>
      <c r="AK17">
        <f>(AC17 * $AN17 / 6.25) + (0.032 * W17 / 6.38) - AA17 - AI17 - ((1.1 * (10 ^ -4) * (N17 ^ 0.75)) / 6.25)</f>
        <v>9.2343682200284813E-2</v>
      </c>
      <c r="AL17">
        <f t="shared" si="8"/>
        <v>505.58166004655936</v>
      </c>
      <c r="AM17">
        <v>0.6</v>
      </c>
      <c r="AN17">
        <v>0.1</v>
      </c>
      <c r="BU17" t="s">
        <v>207</v>
      </c>
      <c r="BV17" t="s">
        <v>53</v>
      </c>
      <c r="BW17" t="s">
        <v>73</v>
      </c>
      <c r="BX17" t="s">
        <v>92</v>
      </c>
      <c r="BY17" t="s">
        <v>93</v>
      </c>
      <c r="BZ17" t="s">
        <v>94</v>
      </c>
      <c r="CA17" s="2" t="s">
        <v>95</v>
      </c>
      <c r="CB17" s="2" t="s">
        <v>62</v>
      </c>
      <c r="CC17" t="s">
        <v>63</v>
      </c>
      <c r="CD17" t="s">
        <v>71</v>
      </c>
      <c r="CH17" t="s">
        <v>106</v>
      </c>
      <c r="CI17">
        <v>6.0000000000000001E-3</v>
      </c>
      <c r="CL17" t="s">
        <v>53</v>
      </c>
      <c r="CM17" s="2">
        <v>6</v>
      </c>
      <c r="CN17" s="2">
        <v>4</v>
      </c>
    </row>
    <row r="18" spans="11:92" x14ac:dyDescent="0.2">
      <c r="L18" t="s">
        <v>57</v>
      </c>
      <c r="M18">
        <v>65</v>
      </c>
      <c r="N18">
        <v>560</v>
      </c>
      <c r="O18">
        <v>0.1</v>
      </c>
      <c r="P18" cm="1">
        <f t="array" ref="P18">_xlfn.XLOOKUP(K$15,$BX$169:$CG$169,_xlfn.XLOOKUP($E$11,$BW$170:$BW$176,$BX$170:$CG$176))</f>
        <v>700</v>
      </c>
      <c r="Q18">
        <f t="shared" si="2"/>
        <v>0.8</v>
      </c>
      <c r="V18">
        <v>1</v>
      </c>
      <c r="W18">
        <v>0</v>
      </c>
      <c r="X18">
        <v>0</v>
      </c>
      <c r="Y18">
        <f t="shared" si="3"/>
        <v>0</v>
      </c>
      <c r="Z18">
        <f t="shared" ref="Z18" si="12">0.1604 * ($AM$14*100) - 1.037</f>
        <v>6.9829999999999997</v>
      </c>
      <c r="AA18">
        <f t="shared" si="4"/>
        <v>1.2408236680915622E-3</v>
      </c>
      <c r="AB18">
        <f t="shared" si="5"/>
        <v>1.0217513291410167</v>
      </c>
      <c r="AC18">
        <f t="shared" si="6"/>
        <v>8.6644277315999982</v>
      </c>
      <c r="AD18">
        <f>(AC18 * (1 -AM18) + (0.04 * AC18)) * ( 1 - AV$11 )</f>
        <v>3.9301844190537589</v>
      </c>
      <c r="AE18">
        <f>AD18 * AT$11 * AP$11 * AR$11 * AU$11</f>
        <v>1.8490354357059897E-4</v>
      </c>
      <c r="AF18">
        <f>AD18 * AT$11 * AQ$11 * AS$11 * AU$11</f>
        <v>2.2137766723384039E-3</v>
      </c>
      <c r="AG18">
        <f t="shared" si="0"/>
        <v>1.096709142803115</v>
      </c>
      <c r="AH18">
        <f t="shared" si="1"/>
        <v>13.130462887807159</v>
      </c>
      <c r="AI18">
        <f>((0.3 * AC18 * $AN$14 * (1 - ($AM$14 + 0.1)) + (0.105 * $Z18 * $AC18 * 0.008) + (0.0152 * $AC18)) / 6.25) + (0.08 * 0.032 * $W18 / 6.38)</f>
        <v>3.9185006115462516E-2</v>
      </c>
      <c r="AJ18">
        <f t="shared" si="7"/>
        <v>232.41606752233704</v>
      </c>
      <c r="AK18">
        <f>(AC18 * $AN18 / 6.25) + (0.032 * W18 / 6.38) - AA18 - AI18 - ((1.1 * (10 ^ -4) * (N18 ^ 0.75)) / 6.25)</f>
        <v>4.0726609975720147E-2</v>
      </c>
      <c r="AL18">
        <f t="shared" si="8"/>
        <v>241.5597054184901</v>
      </c>
      <c r="AM18">
        <v>0.5</v>
      </c>
      <c r="AN18">
        <v>0.06</v>
      </c>
      <c r="BU18" t="s">
        <v>54</v>
      </c>
      <c r="BV18">
        <v>0.55000000000000004</v>
      </c>
      <c r="BW18">
        <v>0.55000000000000004</v>
      </c>
      <c r="BX18">
        <v>0.53</v>
      </c>
      <c r="BY18">
        <v>0.7</v>
      </c>
      <c r="BZ18">
        <v>0.75</v>
      </c>
      <c r="CA18" s="2">
        <v>0.8</v>
      </c>
      <c r="CB18" s="2">
        <v>0.8</v>
      </c>
      <c r="CC18">
        <v>0.4</v>
      </c>
      <c r="CD18">
        <v>0.4</v>
      </c>
      <c r="CH18" t="s">
        <v>107</v>
      </c>
      <c r="CI18">
        <v>6.7000000000000002E-3</v>
      </c>
      <c r="CL18" t="s">
        <v>73</v>
      </c>
      <c r="CM18" s="2">
        <v>4</v>
      </c>
      <c r="CN18" s="2">
        <v>3</v>
      </c>
    </row>
    <row r="19" spans="11:92" x14ac:dyDescent="0.2">
      <c r="K19" t="s">
        <v>44</v>
      </c>
      <c r="L19" t="s">
        <v>54</v>
      </c>
      <c r="M19">
        <v>200</v>
      </c>
      <c r="N19" cm="1">
        <f t="array" ref="N19:N22">_xlfn.XLOOKUP(K19, $BX$46:$CG$46, $BX$47:$CG$50)</f>
        <v>75</v>
      </c>
      <c r="O19" cm="1">
        <f t="array" ref="O19:O22">_xlfn.XLOOKUP(K19, $BX$106:$CG$106, $BX$107:$CG$110)</f>
        <v>0.5</v>
      </c>
      <c r="P19" cm="1">
        <f t="array" ref="P19">_xlfn.XLOOKUP(K$19,$BX$169:$CG$169,_xlfn.XLOOKUP($E$11,$BW$170:$BW$176,$BX$170:$CG$176))</f>
        <v>600</v>
      </c>
      <c r="Q19">
        <f t="shared" si="2"/>
        <v>0.125</v>
      </c>
      <c r="V19">
        <v>1</v>
      </c>
      <c r="W19">
        <f>VLOOKUP($G$11, $CL$17:$CN$25, 2, FALSE)</f>
        <v>6</v>
      </c>
      <c r="X19">
        <v>0</v>
      </c>
      <c r="Y19">
        <f t="shared" si="3"/>
        <v>0</v>
      </c>
      <c r="Z19">
        <f t="shared" ref="Z19" si="13">0.1604 * ($AM$11*100) - 1.037</f>
        <v>7.785000000000001</v>
      </c>
      <c r="AA19">
        <f t="shared" si="4"/>
        <v>1.4328724276547253E-2</v>
      </c>
      <c r="AB19">
        <f t="shared" si="5"/>
        <v>1.2193553180247376</v>
      </c>
      <c r="AC19">
        <f t="shared" si="6"/>
        <v>2.7834751406249998</v>
      </c>
      <c r="AD19">
        <f>(AC19 * (1 -AM19) + (0.04 * AC19)) * ( 1 - AV$11 )</f>
        <v>1.1456783678812499</v>
      </c>
      <c r="AE19">
        <f>AD19 * AT$11 * AP$11 * AR$11 * AU$11</f>
        <v>5.390077600084388E-5</v>
      </c>
      <c r="AF19">
        <f>AD19 * AT$11 * AQ$11 * AS$11 * AU$11</f>
        <v>6.4533257842106233E-4</v>
      </c>
      <c r="AG19">
        <f t="shared" si="0"/>
        <v>0.98368916201540069</v>
      </c>
      <c r="AH19">
        <f t="shared" si="1"/>
        <v>11.777319556184386</v>
      </c>
      <c r="AI19">
        <f>((0.3 * AC19 * $AN$11 * (1 - ($AM$11 + 0.1)) + (0.105 * $Z19 * $AC19 * 0.008) + (0.0152 * $AC19)) / 6.25) + (0.08 * 0.032 * $W19 / 6.38)</f>
        <v>1.5362662991883286E-2</v>
      </c>
      <c r="AJ19">
        <f t="shared" si="7"/>
        <v>280.36859960186996</v>
      </c>
      <c r="AK19">
        <f>(AC19 * $AN19 / 6.25) + (0.032 * W19 / 6.38) - AA19 - AI19 - ((1.1 * (10 ^ -4) * (N19 ^ 0.75)) / 6.25)</f>
        <v>3.1129030513077163E-2</v>
      </c>
      <c r="AL19">
        <f t="shared" si="8"/>
        <v>568.10480686365815</v>
      </c>
      <c r="AM19" cm="1">
        <f t="array" ref="AM19:AM22">_xlfn.XLOOKUP(G$11,$BV$17:$CD$17,$BV$18:$CD$21)</f>
        <v>0.55000000000000004</v>
      </c>
      <c r="AN19" cm="1">
        <f t="array" ref="AN19:AN22">_xlfn.XLOOKUP(G$11,$BV$29:$CD$29,$BV$30:$CD$33)</f>
        <v>7.0000000000000007E-2</v>
      </c>
      <c r="BU19" t="s">
        <v>55</v>
      </c>
      <c r="BV19">
        <v>0.65</v>
      </c>
      <c r="BW19">
        <v>0.61</v>
      </c>
      <c r="BX19">
        <v>0.56999999999999995</v>
      </c>
      <c r="BY19">
        <v>0.55000000000000004</v>
      </c>
      <c r="BZ19">
        <v>0.6</v>
      </c>
      <c r="CA19" s="2">
        <v>0.55000000000000004</v>
      </c>
      <c r="CB19" s="2">
        <v>0.57999999999999996</v>
      </c>
      <c r="CC19" s="2">
        <v>0.65</v>
      </c>
      <c r="CD19">
        <v>0.65</v>
      </c>
      <c r="CH19" t="s">
        <v>100</v>
      </c>
      <c r="CI19">
        <v>5.0000000000000001E-3</v>
      </c>
      <c r="CL19" t="s">
        <v>92</v>
      </c>
      <c r="CM19" s="2">
        <v>4</v>
      </c>
      <c r="CN19" s="2">
        <v>3</v>
      </c>
    </row>
    <row r="20" spans="11:92" x14ac:dyDescent="0.2">
      <c r="L20" t="s">
        <v>55</v>
      </c>
      <c r="M20">
        <v>130</v>
      </c>
      <c r="N20">
        <v>160</v>
      </c>
      <c r="O20">
        <v>0.9</v>
      </c>
      <c r="P20" cm="1">
        <f t="array" ref="P20">_xlfn.XLOOKUP(K$19,$BX$169:$CG$169,_xlfn.XLOOKUP($E$11,$BW$170:$BW$176,$BX$170:$CG$176))</f>
        <v>600</v>
      </c>
      <c r="Q20">
        <f t="shared" si="2"/>
        <v>0.26666666666666666</v>
      </c>
      <c r="V20">
        <v>1</v>
      </c>
      <c r="W20">
        <f>VLOOKUP($G$11, $CL$17:$CN$25, 3, FALSE)</f>
        <v>4</v>
      </c>
      <c r="X20">
        <v>0</v>
      </c>
      <c r="Y20">
        <f t="shared" si="3"/>
        <v>0</v>
      </c>
      <c r="Z20">
        <f t="shared" ref="Z20" si="14">0.1604 * ($AM$12*100) - 1.037</f>
        <v>9.3889999999999993</v>
      </c>
      <c r="AA20">
        <f t="shared" si="4"/>
        <v>2.2824899496607251E-2</v>
      </c>
      <c r="AB20">
        <f t="shared" si="5"/>
        <v>1.3309587678069252</v>
      </c>
      <c r="AC20">
        <f t="shared" si="6"/>
        <v>4.5298311556000002</v>
      </c>
      <c r="AD20">
        <f>(AC20 * (1 -AM20) + (0.04 * AC20)) * ( 1 - AV$11 )</f>
        <v>1.4839726865745599</v>
      </c>
      <c r="AE20">
        <f>AD20 * AT$11 * AP$11 * AR$11 * AU$11</f>
        <v>6.9816522344180778E-5</v>
      </c>
      <c r="AF20">
        <f>AD20 * AT$11 * AQ$11 * AS$11 * AU$11</f>
        <v>8.3588548669608228E-4</v>
      </c>
      <c r="AG20">
        <f t="shared" si="0"/>
        <v>0.82819849630784437</v>
      </c>
      <c r="AH20">
        <f t="shared" si="1"/>
        <v>9.9156915859322758</v>
      </c>
      <c r="AI20">
        <f>((0.3 * AC20 * $AN$12 * (1 - ($AM$12 + 0.1)) + (0.105 * $Z20 * $AC20 * 0.008) + (0.0152 * $AC20)) / 6.25) + (0.08 * 0.032 * $W20 / 6.38)</f>
        <v>2.5404212233494764E-2</v>
      </c>
      <c r="AJ20">
        <f t="shared" si="7"/>
        <v>301.35746761983165</v>
      </c>
      <c r="AK20">
        <f>(AC20 * $AN20 / 6.25) + (0.032 * W20 / 6.38) - AA20 - AI20 - ((1.1 * (10 ^ -4) * (N20 ^ 0.75)) / 6.25)</f>
        <v>6.5262295645274873E-2</v>
      </c>
      <c r="AL20">
        <f t="shared" si="8"/>
        <v>774.17398209207317</v>
      </c>
      <c r="AM20">
        <v>0.65</v>
      </c>
      <c r="AN20">
        <v>0.13</v>
      </c>
      <c r="BU20" t="s">
        <v>56</v>
      </c>
      <c r="BV20">
        <v>0.6</v>
      </c>
      <c r="BW20">
        <v>0.56999999999999995</v>
      </c>
      <c r="BX20">
        <v>0.55000000000000004</v>
      </c>
      <c r="BY20">
        <v>0.55000000000000004</v>
      </c>
      <c r="BZ20">
        <v>0.7</v>
      </c>
      <c r="CA20" s="2">
        <v>0.6</v>
      </c>
      <c r="CB20" s="2">
        <v>0.5</v>
      </c>
      <c r="CC20" s="2">
        <v>0.55000000000000004</v>
      </c>
      <c r="CD20">
        <v>0.55000000000000004</v>
      </c>
      <c r="CH20" t="s">
        <v>101</v>
      </c>
      <c r="CI20">
        <v>4.8999999999999998E-3</v>
      </c>
      <c r="CL20" t="s">
        <v>93</v>
      </c>
      <c r="CM20" s="2">
        <v>6</v>
      </c>
      <c r="CN20" s="2">
        <v>4</v>
      </c>
    </row>
    <row r="21" spans="11:92" x14ac:dyDescent="0.2">
      <c r="L21" t="s">
        <v>56</v>
      </c>
      <c r="M21">
        <v>250</v>
      </c>
      <c r="N21">
        <v>220</v>
      </c>
      <c r="O21">
        <v>0.7</v>
      </c>
      <c r="P21" cm="1">
        <f t="array" ref="P21">_xlfn.XLOOKUP(K$19,$BX$169:$CG$169,_xlfn.XLOOKUP($E$11,$BW$170:$BW$176,$BX$170:$CG$176))</f>
        <v>600</v>
      </c>
      <c r="Q21">
        <f t="shared" si="2"/>
        <v>0.36666666666666664</v>
      </c>
      <c r="V21">
        <v>1</v>
      </c>
      <c r="W21">
        <v>0</v>
      </c>
      <c r="X21">
        <v>0</v>
      </c>
      <c r="Y21">
        <f t="shared" si="3"/>
        <v>0</v>
      </c>
      <c r="Z21">
        <f t="shared" ref="Z21" si="15">0.1604 * ($AM$13*100) - 1.037</f>
        <v>8.5869999999999997</v>
      </c>
      <c r="AA21">
        <f t="shared" si="4"/>
        <v>1.570147670443419E-2</v>
      </c>
      <c r="AB21">
        <f t="shared" si="5"/>
        <v>1.2257699173903274</v>
      </c>
      <c r="AC21">
        <f t="shared" si="6"/>
        <v>5.1913799715999973</v>
      </c>
      <c r="AD21">
        <f>(AC21 * (1 -AM21) + (0.04 * AC21)) * ( 1 - AV$11 )</f>
        <v>1.918734037503359</v>
      </c>
      <c r="AE21">
        <f>AD21 * AT$11 * AP$11 * AR$11 * AU$11</f>
        <v>9.0270757011782037E-5</v>
      </c>
      <c r="AF21">
        <f>AD21 * AT$11 * AQ$11 * AS$11 * AU$11</f>
        <v>1.0807759127164039E-3</v>
      </c>
      <c r="AG21">
        <f t="shared" si="0"/>
        <v>2.0593016443312777</v>
      </c>
      <c r="AH21">
        <f t="shared" si="1"/>
        <v>24.655200508842963</v>
      </c>
      <c r="AI21">
        <f>((0.3 * AC21 * $AN$13 * (1 - ($AM$13 + 0.1)) + (0.105 * $Z21 * $AC21 * 0.008) + (0.0152 * $AC21)) / 6.25) + (0.08 * 0.032 * $W21 / 6.38)</f>
        <v>2.609235749732295E-2</v>
      </c>
      <c r="AJ21">
        <f t="shared" si="7"/>
        <v>595.23190540767985</v>
      </c>
      <c r="AK21">
        <f>(AC21 * $AN21 / 6.25) + (0.032 * W21 / 6.38) - AA21 - AI21 - ((1.1 * (10 ^ -4) * (N21 ^ 0.75)) / 6.25)</f>
        <v>4.0262866647490236E-2</v>
      </c>
      <c r="AL21">
        <f t="shared" si="8"/>
        <v>918.49664539587093</v>
      </c>
      <c r="AM21">
        <v>0.6</v>
      </c>
      <c r="AN21">
        <v>0.1</v>
      </c>
      <c r="BU21" t="s">
        <v>57</v>
      </c>
      <c r="BV21">
        <v>0.5</v>
      </c>
      <c r="BW21">
        <v>0.54</v>
      </c>
      <c r="BX21">
        <v>0.51</v>
      </c>
      <c r="BY21">
        <v>0.75</v>
      </c>
      <c r="BZ21">
        <v>0.75</v>
      </c>
      <c r="CA21" s="2">
        <v>0.76</v>
      </c>
      <c r="CB21" s="2">
        <v>0.75</v>
      </c>
      <c r="CC21" s="2">
        <v>0.45</v>
      </c>
      <c r="CD21">
        <v>0.45</v>
      </c>
      <c r="CH21" t="s">
        <v>108</v>
      </c>
      <c r="CI21">
        <v>7.3000000000000001E-3</v>
      </c>
      <c r="CL21" t="s">
        <v>94</v>
      </c>
      <c r="CM21" s="2">
        <v>6</v>
      </c>
      <c r="CN21" s="2">
        <v>4</v>
      </c>
    </row>
    <row r="22" spans="11:92" x14ac:dyDescent="0.2">
      <c r="L22" t="s">
        <v>57</v>
      </c>
      <c r="M22">
        <v>150</v>
      </c>
      <c r="N22">
        <v>260</v>
      </c>
      <c r="O22">
        <v>0.4</v>
      </c>
      <c r="P22" cm="1">
        <f t="array" ref="P22">_xlfn.XLOOKUP(K$19,$BX$169:$CG$169,_xlfn.XLOOKUP($E$11,$BW$170:$BW$176,$BX$170:$CG$176))</f>
        <v>600</v>
      </c>
      <c r="Q22">
        <f t="shared" si="2"/>
        <v>0.43333333333333335</v>
      </c>
      <c r="V22">
        <v>1</v>
      </c>
      <c r="W22">
        <v>0</v>
      </c>
      <c r="X22">
        <v>0</v>
      </c>
      <c r="Y22">
        <f t="shared" si="3"/>
        <v>0</v>
      </c>
      <c r="Z22">
        <f t="shared" ref="Z22" si="16">0.1604 * ($AM$14*100) - 1.037</f>
        <v>6.9829999999999997</v>
      </c>
      <c r="AA22">
        <f t="shared" si="4"/>
        <v>8.1371085957436407E-3</v>
      </c>
      <c r="AB22">
        <f t="shared" si="5"/>
        <v>1.1183986897081921</v>
      </c>
      <c r="AC22">
        <f t="shared" si="6"/>
        <v>5.3621886096000004</v>
      </c>
      <c r="AD22">
        <f>(AC22 * (1 -AM22) + (0.04 * AC22)) * ( 1 - AV$11 )</f>
        <v>2.4322887533145603</v>
      </c>
      <c r="AE22">
        <f>AD22 * AT$11 * AP$11 * AR$11 * AU$11</f>
        <v>1.1443198626874025E-4</v>
      </c>
      <c r="AF22">
        <f>AD22 * AT$11 * AQ$11 * AS$11 * AU$11</f>
        <v>1.3700487123134107E-3</v>
      </c>
      <c r="AG22">
        <f t="shared" si="0"/>
        <v>1.5662878120533821</v>
      </c>
      <c r="AH22">
        <f t="shared" si="1"/>
        <v>18.75254174978981</v>
      </c>
      <c r="AI22">
        <f>((0.3 * AC22 * $AN$14 * (1 - ($AM$14 + 0.1)) + (0.105 * $Z22 * $AC22 * 0.008) + (0.0152 * $AC22)) / 6.25) + (0.08 * 0.032 * $W22 / 6.38)</f>
        <v>2.4250579492182869E-2</v>
      </c>
      <c r="AJ22">
        <f t="shared" si="7"/>
        <v>331.92980679925302</v>
      </c>
      <c r="AK22">
        <f>(AC22 * $AN22 / 6.25) + (0.032 * W22 / 6.38) - AA22 - AI22 - ((1.1 * (10 ^ -4) * (N22 ^ 0.75)) / 6.25)</f>
        <v>1.7949748179097211E-2</v>
      </c>
      <c r="AL22">
        <f t="shared" si="8"/>
        <v>245.68717820139307</v>
      </c>
      <c r="AM22">
        <v>0.5</v>
      </c>
      <c r="AN22">
        <v>0.06</v>
      </c>
      <c r="CA22" s="2"/>
      <c r="CB22" s="2"/>
      <c r="CC22" s="2"/>
      <c r="CH22" t="s">
        <v>109</v>
      </c>
      <c r="CI22">
        <v>7.6E-3</v>
      </c>
      <c r="CL22" t="s">
        <v>95</v>
      </c>
      <c r="CM22" s="2">
        <v>6</v>
      </c>
      <c r="CN22" s="2">
        <v>4</v>
      </c>
    </row>
    <row r="23" spans="11:92" x14ac:dyDescent="0.2">
      <c r="K23" t="s">
        <v>45</v>
      </c>
      <c r="L23" t="s">
        <v>54</v>
      </c>
      <c r="M23">
        <v>20</v>
      </c>
      <c r="N23" cm="1">
        <f t="array" ref="N23:N26">_xlfn.XLOOKUP(K23, $BX$46:$CG$46, $BX$47:$CG$50)</f>
        <v>300</v>
      </c>
      <c r="O23" cm="1">
        <f t="array" ref="O23:O26">_xlfn.XLOOKUP(K23, $BX$106:$CG$106, $BX$107:$CG$110)</f>
        <v>0.4</v>
      </c>
      <c r="P23" cm="1">
        <f t="array" ref="P23">_xlfn.XLOOKUP(K$23,$BX$169:$CG$169,_xlfn.XLOOKUP($E$11,$BW$170:$BW$176,$BX$170:$CG$176))</f>
        <v>500</v>
      </c>
      <c r="Q23">
        <f t="shared" si="2"/>
        <v>0.6</v>
      </c>
      <c r="V23">
        <v>1</v>
      </c>
      <c r="W23">
        <v>0</v>
      </c>
      <c r="X23">
        <v>0</v>
      </c>
      <c r="Y23">
        <f t="shared" si="3"/>
        <v>0</v>
      </c>
      <c r="Z23">
        <f t="shared" ref="Z23" si="17">0.1604 * ($AM$11*100) - 1.037</f>
        <v>7.785000000000001</v>
      </c>
      <c r="AA23">
        <f t="shared" si="4"/>
        <v>6.2442878326350593E-3</v>
      </c>
      <c r="AB23">
        <f t="shared" si="5"/>
        <v>1.1119169101727504</v>
      </c>
      <c r="AC23">
        <f t="shared" si="6"/>
        <v>5.9487209999999981</v>
      </c>
      <c r="AD23">
        <f>(AC23 * (1 -AM23) + (0.04 * AC23)) * ( 1 - AV$11 )</f>
        <v>2.4484935635999991</v>
      </c>
      <c r="AE23">
        <f>AD23 * AT$11 * AP$11 * AR$11 * AU$11</f>
        <v>1.1519437462643171E-4</v>
      </c>
      <c r="AF23">
        <f>AD23 * AT$11 * AQ$11 * AS$11 * AU$11</f>
        <v>1.3791764852534424E-3</v>
      </c>
      <c r="AG23">
        <f t="shared" si="0"/>
        <v>0.21022973369323789</v>
      </c>
      <c r="AH23">
        <f t="shared" si="1"/>
        <v>2.5169970855875325</v>
      </c>
      <c r="AI23">
        <f>((0.3 * AC23 * $AN$11 * (1 - ($AM$11 + 0.1)) + (0.105 * $Z23 * $AC23 * 0.008) + (0.0152 * $AC23)) / 6.25) + (0.08 * 0.032 * $W23 / 6.38)</f>
        <v>2.7687155945183992E-2</v>
      </c>
      <c r="AJ23">
        <f t="shared" si="7"/>
        <v>50.529059599960789</v>
      </c>
      <c r="AK23">
        <f>(AC23 * $AN23 / 6.25) + (0.032 * W23 / 6.38) - AA23 - AI23 - ((1.1 * (10 ^ -4) * (N23 ^ 0.75)) / 6.25)</f>
        <v>3.1425546995517785E-2</v>
      </c>
      <c r="AL23">
        <f t="shared" si="8"/>
        <v>57.351623266819956</v>
      </c>
      <c r="AM23" cm="1">
        <f t="array" ref="AM23:AM26">_xlfn.XLOOKUP(G$11,$BV$17:$CD$17,$BV$18:$CD$21)</f>
        <v>0.55000000000000004</v>
      </c>
      <c r="AN23" cm="1">
        <f t="array" ref="AN23:AN26">_xlfn.XLOOKUP(G$11,$BV$29:$CD$29,$BV$30:$CD$33)</f>
        <v>7.0000000000000007E-2</v>
      </c>
      <c r="CA23" s="2"/>
      <c r="CB23" s="2"/>
      <c r="CC23" s="2"/>
      <c r="CH23" t="s">
        <v>102</v>
      </c>
      <c r="CI23">
        <v>7.6E-3</v>
      </c>
      <c r="CK23" t="s">
        <v>65</v>
      </c>
      <c r="CL23" t="s">
        <v>62</v>
      </c>
      <c r="CM23" s="2">
        <v>6</v>
      </c>
      <c r="CN23" s="2">
        <v>4</v>
      </c>
    </row>
    <row r="24" spans="11:92" x14ac:dyDescent="0.2">
      <c r="L24" t="s">
        <v>55</v>
      </c>
      <c r="M24">
        <v>30</v>
      </c>
      <c r="N24">
        <v>360</v>
      </c>
      <c r="O24">
        <v>0.7</v>
      </c>
      <c r="P24" cm="1">
        <f t="array" ref="P24">_xlfn.XLOOKUP(K$23,$BX$169:$CG$169,_xlfn.XLOOKUP($E$11,$BW$170:$BW$176,$BX$170:$CG$176))</f>
        <v>500</v>
      </c>
      <c r="Q24">
        <f t="shared" si="2"/>
        <v>0.72</v>
      </c>
      <c r="V24">
        <v>1</v>
      </c>
      <c r="W24">
        <v>0</v>
      </c>
      <c r="X24">
        <v>0</v>
      </c>
      <c r="Y24">
        <f t="shared" si="3"/>
        <v>0</v>
      </c>
      <c r="Z24">
        <f t="shared" ref="Z24" si="18">0.1604 * ($AM$12*100) - 1.037</f>
        <v>9.3889999999999993</v>
      </c>
      <c r="AA24">
        <f t="shared" si="4"/>
        <v>9.3492032207592203E-3</v>
      </c>
      <c r="AB24">
        <f t="shared" si="5"/>
        <v>1.1855374831795669</v>
      </c>
      <c r="AC24">
        <f t="shared" si="6"/>
        <v>7.3058846435999998</v>
      </c>
      <c r="AD24">
        <f>(AC24 * (1 -AM24) + (0.04 * AC24)) * ( 1 - AV$11 )</f>
        <v>2.3934078092433602</v>
      </c>
      <c r="AE24">
        <f>AD24 * AT$11 * AP$11 * AR$11 * AU$11</f>
        <v>1.1260275293778476E-4</v>
      </c>
      <c r="AF24">
        <f>AD24 * AT$11 * AQ$11 * AS$11 * AU$11</f>
        <v>1.3481480283236143E-3</v>
      </c>
      <c r="AG24">
        <f t="shared" si="0"/>
        <v>0.30825003616718577</v>
      </c>
      <c r="AH24">
        <f t="shared" si="1"/>
        <v>3.6905552275358939</v>
      </c>
      <c r="AI24">
        <f>((0.3 * AC24 * $AN$12 * (1 - ($AM$12 + 0.1)) + (0.105 * $Z24 * $AC24 * 0.008) + (0.0152 * $AC24)) / 6.25) + (0.08 * 0.032 * $W24 / 6.38)</f>
        <v>3.8384252900732593E-2</v>
      </c>
      <c r="AJ24">
        <f t="shared" si="7"/>
        <v>105.07689231575549</v>
      </c>
      <c r="AK24">
        <f>(AC24 * $AN24 / 6.25) + (0.032 * W24 / 6.38) - AA24 - AI24 - ((1.1 * (10 ^ -4) * (N24 ^ 0.75)) / 6.25)</f>
        <v>0.1027743579961435</v>
      </c>
      <c r="AL24">
        <f t="shared" si="8"/>
        <v>281.34480501444284</v>
      </c>
      <c r="AM24">
        <v>0.65</v>
      </c>
      <c r="AN24">
        <v>0.13</v>
      </c>
      <c r="CA24" s="2"/>
      <c r="CB24" s="2"/>
      <c r="CC24" s="2"/>
      <c r="CH24" t="s">
        <v>103</v>
      </c>
      <c r="CI24">
        <v>8.0000000000000002E-3</v>
      </c>
      <c r="CK24" t="s">
        <v>65</v>
      </c>
      <c r="CL24" t="s">
        <v>63</v>
      </c>
      <c r="CM24" s="2">
        <v>4</v>
      </c>
      <c r="CN24" s="2">
        <v>3</v>
      </c>
    </row>
    <row r="25" spans="11:92" x14ac:dyDescent="0.2">
      <c r="L25" t="s">
        <v>56</v>
      </c>
      <c r="M25">
        <v>60</v>
      </c>
      <c r="N25">
        <v>390</v>
      </c>
      <c r="O25">
        <v>0.3</v>
      </c>
      <c r="P25" cm="1">
        <f t="array" ref="P25">_xlfn.XLOOKUP(K$23,$BX$169:$CG$169,_xlfn.XLOOKUP($E$11,$BW$170:$BW$176,$BX$170:$CG$176))</f>
        <v>500</v>
      </c>
      <c r="Q25">
        <f t="shared" si="2"/>
        <v>0.78</v>
      </c>
      <c r="V25">
        <v>1</v>
      </c>
      <c r="W25">
        <v>0</v>
      </c>
      <c r="X25">
        <v>0</v>
      </c>
      <c r="Y25">
        <f t="shared" si="3"/>
        <v>0</v>
      </c>
      <c r="Z25">
        <f t="shared" ref="Z25" si="19">0.1604 * ($AM$13*100) - 1.037</f>
        <v>8.5869999999999997</v>
      </c>
      <c r="AA25">
        <f t="shared" si="4"/>
        <v>3.7835202890765178E-3</v>
      </c>
      <c r="AB25">
        <f t="shared" si="5"/>
        <v>1.0751865867280543</v>
      </c>
      <c r="AC25">
        <f t="shared" si="6"/>
        <v>7.0471135296000007</v>
      </c>
      <c r="AD25">
        <f>(AC25 * (1 -AM25) + (0.04 * AC25)) * ( 1 - AV$11 )</f>
        <v>2.6046131605401603</v>
      </c>
      <c r="AE25">
        <f>AD25 * AT$11 * AP$11 * AR$11 * AU$11</f>
        <v>1.2253933954845938E-4</v>
      </c>
      <c r="AF25">
        <f>AD25 * AT$11 * AQ$11 * AS$11 * AU$11</f>
        <v>1.4671148324021022E-3</v>
      </c>
      <c r="AG25">
        <f t="shared" si="0"/>
        <v>0.67090288402781517</v>
      </c>
      <c r="AH25">
        <f t="shared" si="1"/>
        <v>8.0324537074015101</v>
      </c>
      <c r="AI25">
        <f>((0.3 * AC25 * $AN$13 * (1 - ($AM$13 + 0.1)) + (0.105 * $Z25 * $AC25 * 0.008) + (0.0152 * $AC25)) / 6.25) + (0.08 * 0.032 * $W25 / 6.38)</f>
        <v>3.5419446571905155E-2</v>
      </c>
      <c r="AJ25">
        <f t="shared" si="7"/>
        <v>193.92146998118073</v>
      </c>
      <c r="AK25">
        <f>(AC25 * $AN25 / 6.25) + (0.032 * W25 / 6.38) - AA25 - AI25 - ((1.1 * (10 ^ -4) * (N25 ^ 0.75)) / 6.25)</f>
        <v>7.2006267066110949E-2</v>
      </c>
      <c r="AL25">
        <f t="shared" si="8"/>
        <v>394.23431218695742</v>
      </c>
      <c r="AM25">
        <v>0.6</v>
      </c>
      <c r="AN25">
        <v>0.1</v>
      </c>
      <c r="CA25" s="2"/>
      <c r="CB25" s="2"/>
      <c r="CH25" t="s">
        <v>104</v>
      </c>
      <c r="CI25">
        <v>8.0000000000000002E-3</v>
      </c>
      <c r="CK25" t="s">
        <v>65</v>
      </c>
      <c r="CL25" t="s">
        <v>71</v>
      </c>
      <c r="CM25" s="2">
        <v>4</v>
      </c>
      <c r="CN25" s="2">
        <v>3</v>
      </c>
    </row>
    <row r="26" spans="11:92" x14ac:dyDescent="0.2">
      <c r="L26" t="s">
        <v>57</v>
      </c>
      <c r="M26">
        <v>30</v>
      </c>
      <c r="N26">
        <v>410</v>
      </c>
      <c r="O26">
        <v>0.2</v>
      </c>
      <c r="P26" cm="1">
        <f t="array" ref="P26">_xlfn.XLOOKUP(K$23,$BX$169:$CG$169,_xlfn.XLOOKUP($E$11,$BW$170:$BW$176,$BX$170:$CG$176))</f>
        <v>500</v>
      </c>
      <c r="Q26">
        <f t="shared" si="2"/>
        <v>0.82</v>
      </c>
      <c r="V26">
        <v>1</v>
      </c>
      <c r="W26">
        <v>0</v>
      </c>
      <c r="X26">
        <v>0</v>
      </c>
      <c r="Y26">
        <f t="shared" si="3"/>
        <v>0</v>
      </c>
      <c r="Z26">
        <f t="shared" ref="Z26" si="20">0.1604 * ($AM$14*100) - 1.037</f>
        <v>6.9829999999999997</v>
      </c>
      <c r="AA26">
        <f t="shared" si="4"/>
        <v>2.4432886397722938E-3</v>
      </c>
      <c r="AB26">
        <f t="shared" si="5"/>
        <v>1.0488710073408023</v>
      </c>
      <c r="AC26">
        <f t="shared" si="6"/>
        <v>7.1414010756000028</v>
      </c>
      <c r="AD26">
        <f>(AC26 * (1 -AM26) + (0.04 * AC26)) * ( 1 - AV$11 )</f>
        <v>3.2393395278921613</v>
      </c>
      <c r="AE26">
        <f>AD26 * AT$11 * AP$11 * AR$11 * AU$11</f>
        <v>1.5240133634232363E-4</v>
      </c>
      <c r="AF26">
        <f>AD26 * AT$11 * AQ$11 * AS$11 * AU$11</f>
        <v>1.8246406570300113E-3</v>
      </c>
      <c r="AG26">
        <f t="shared" si="0"/>
        <v>0.41719865823711094</v>
      </c>
      <c r="AH26">
        <f t="shared" si="1"/>
        <v>4.9949537986196555</v>
      </c>
      <c r="AI26">
        <f>((0.3 * AC26 * $AN$14 * (1 - ($AM$14 + 0.1)) + (0.105 * $Z26 * $AC26 * 0.008) + (0.0152 * $AC26)) / 6.25) + (0.08 * 0.032 * $W26 / 6.38)</f>
        <v>3.2297094913697359E-2</v>
      </c>
      <c r="AJ26">
        <f t="shared" si="7"/>
        <v>88.413297326246521</v>
      </c>
      <c r="AK26">
        <f>(AC26 * $AN26 / 6.25) + (0.032 * W26 / 6.38) - AA26 - AI26 - ((1.1 * (10 ^ -4) * (N26 ^ 0.75)) / 6.25)</f>
        <v>3.2213450109116783E-2</v>
      </c>
      <c r="AL26">
        <f t="shared" si="8"/>
        <v>88.184319673707193</v>
      </c>
      <c r="AM26">
        <v>0.5</v>
      </c>
      <c r="AN26">
        <v>0.06</v>
      </c>
      <c r="CA26" s="2"/>
      <c r="CB26" s="2"/>
      <c r="CC26" s="2"/>
      <c r="CH26" t="s">
        <v>105</v>
      </c>
      <c r="CI26">
        <v>8.0000000000000002E-3</v>
      </c>
    </row>
    <row r="27" spans="11:92" x14ac:dyDescent="0.2">
      <c r="K27" t="s">
        <v>46</v>
      </c>
      <c r="L27" t="s">
        <v>54</v>
      </c>
      <c r="M27">
        <v>100</v>
      </c>
      <c r="N27" cm="1">
        <f t="array" ref="N27:N30">_xlfn.XLOOKUP(K27, $BX$46:$CG$46, $BX$47:$CG$50)</f>
        <v>440</v>
      </c>
      <c r="O27" cm="1">
        <f t="array" ref="O27:O30">_xlfn.XLOOKUP(K27, $BX$106:$CG$106, $BX$107:$CG$110)</f>
        <v>0.3</v>
      </c>
      <c r="P27" cm="1">
        <f t="array" ref="P27">_xlfn.XLOOKUP(K$27,$BX$169:$CG$169,_xlfn.XLOOKUP($E$11,$BW$170:$BW$176,$BX$170:$CG$176))</f>
        <v>500</v>
      </c>
      <c r="Q27">
        <f t="shared" si="2"/>
        <v>0.88</v>
      </c>
      <c r="R27">
        <v>1</v>
      </c>
      <c r="T27">
        <f>R27+S27</f>
        <v>1</v>
      </c>
      <c r="U27">
        <f>1+(0.3*R27)+(0.1*S27)</f>
        <v>1.3</v>
      </c>
      <c r="V27">
        <f>(T27*U27)+(1 - T27)</f>
        <v>1.3</v>
      </c>
      <c r="W27">
        <v>0</v>
      </c>
      <c r="X27">
        <f>VLOOKUP($G$11, $CL$17:$CN$25, 2, FALSE)</f>
        <v>6</v>
      </c>
      <c r="Y27">
        <f t="shared" si="3"/>
        <v>6</v>
      </c>
      <c r="Z27">
        <f t="shared" ref="Z27" si="21">0.1604 * ($AM$11*100) - 1.037</f>
        <v>7.785000000000001</v>
      </c>
      <c r="AA27">
        <f t="shared" si="4"/>
        <v>3.3619594755351763E-2</v>
      </c>
      <c r="AB27">
        <f t="shared" si="5"/>
        <v>1.0717864499078988</v>
      </c>
      <c r="AC27">
        <f>(1.185 + 0.00454 * N27 - 0.0000026 * N27^2 + 0.315 * O27)^2 * V27</f>
        <v>10.001723663880002</v>
      </c>
      <c r="AD27">
        <f>(AC27 * (1 -AM27) + (0.04 * AC27)) * ( 1 - AV$11 )</f>
        <v>4.1167094600530074</v>
      </c>
      <c r="AE27">
        <f>AD27 * AT$11 * AP$11 * AR$11 * AU$11</f>
        <v>1.9367899463549227E-4</v>
      </c>
      <c r="AF27">
        <f>AD27 * AT$11 * AQ$11 * AS$11 * AU$11</f>
        <v>2.3188416618002772E-3</v>
      </c>
      <c r="AG27">
        <f t="shared" si="0"/>
        <v>1.7673208260488671</v>
      </c>
      <c r="AH27">
        <f t="shared" si="1"/>
        <v>21.159430163927528</v>
      </c>
      <c r="AI27">
        <f>((0.3 * AC27 * $AN$11 * (1 - ($AM$11 + 0.1)) + (0.105 * $Z27 * $AC27 * 0.008) + (0.0152 * $AC27)) / 6.25) + (0.08 * 0.032 * $W27 / 6.38)</f>
        <v>4.655106245569135E-2</v>
      </c>
      <c r="AJ27">
        <f t="shared" si="7"/>
        <v>424.77844490818353</v>
      </c>
      <c r="AK27">
        <f>(AC27 * $AN27 / 6.25) + (0.032 * W27 / 6.38) - AA27 - AI27 - ((1.1 * (10 ^ -4) * (N27 ^ 0.75)) / 6.25)</f>
        <v>3.0157809140942234E-2</v>
      </c>
      <c r="AL27">
        <f>M27*AK27*91.25</f>
        <v>275.19000841109789</v>
      </c>
      <c r="AM27" cm="1">
        <f t="array" ref="AM27:AM30">_xlfn.XLOOKUP(G$11,$BV$17:$CD$17,$BV$18:$CD$21)</f>
        <v>0.55000000000000004</v>
      </c>
      <c r="AN27" cm="1">
        <f t="array" ref="AN27:AN30">_xlfn.XLOOKUP(G$11,$BV$29:$CD$29,$BV$30:$CD$33)</f>
        <v>7.0000000000000007E-2</v>
      </c>
      <c r="CJ27" s="2"/>
      <c r="CK27" s="2"/>
      <c r="CL27" s="2"/>
      <c r="CM27" s="2"/>
      <c r="CN27" s="2"/>
    </row>
    <row r="28" spans="11:92" x14ac:dyDescent="0.2">
      <c r="L28" t="s">
        <v>55</v>
      </c>
      <c r="M28">
        <v>110</v>
      </c>
      <c r="N28">
        <v>470</v>
      </c>
      <c r="O28">
        <v>0.3</v>
      </c>
      <c r="P28" cm="1">
        <f t="array" ref="P28">_xlfn.XLOOKUP(K$27,$BX$169:$CG$169,_xlfn.XLOOKUP($E$11,$BW$170:$BW$176,$BX$170:$CG$176))</f>
        <v>500</v>
      </c>
      <c r="Q28">
        <f t="shared" si="2"/>
        <v>0.94</v>
      </c>
      <c r="R28">
        <v>0</v>
      </c>
      <c r="S28">
        <v>1</v>
      </c>
      <c r="T28">
        <f t="shared" ref="T28:T91" si="22">R28+S28</f>
        <v>1</v>
      </c>
      <c r="U28">
        <f t="shared" ref="U28:U34" si="23">1+(0.3*R28)+(0.1*S28)</f>
        <v>1.1000000000000001</v>
      </c>
      <c r="V28">
        <f>(T28*U28)+(1 - T28)</f>
        <v>1.1000000000000001</v>
      </c>
      <c r="W28">
        <v>0</v>
      </c>
      <c r="X28">
        <f>VLOOKUP($G$11, $CL$17:$CN$25, 3, FALSE)</f>
        <v>4</v>
      </c>
      <c r="Y28">
        <f t="shared" si="3"/>
        <v>4</v>
      </c>
      <c r="Z28">
        <f t="shared" ref="Z28" si="24">0.1604 * ($AM$12*100) - 1.037</f>
        <v>9.3889999999999993</v>
      </c>
      <c r="AA28">
        <f t="shared" si="4"/>
        <v>2.3487599223017373E-2</v>
      </c>
      <c r="AB28">
        <f t="shared" si="5"/>
        <v>1.070051638137812</v>
      </c>
      <c r="AC28">
        <f t="shared" si="6"/>
        <v>8.8656632697600024</v>
      </c>
      <c r="AD28">
        <f>(AC28 * (1 -AM28) + (0.04 * AC28)) * ( 1 - AV$11 )</f>
        <v>2.9043912871733766</v>
      </c>
      <c r="AE28">
        <f>AD28 * AT$11 * AP$11 * AR$11 * AU$11</f>
        <v>1.3664301306329734E-4</v>
      </c>
      <c r="AF28">
        <f>AD28 * AT$11 * AQ$11 * AS$11 * AU$11</f>
        <v>1.6359725125660528E-3</v>
      </c>
      <c r="AG28">
        <f t="shared" si="0"/>
        <v>1.3715542436228472</v>
      </c>
      <c r="AH28">
        <f t="shared" si="1"/>
        <v>16.421074094881757</v>
      </c>
      <c r="AI28">
        <f>((0.3 * AC28 * $AN$12 * (1 - ($AM$12 + 0.1)) + (0.105 * $Z28 * $AC28 * 0.008) + (0.0152 * $AC28)) / 6.25) + (0.08 * 0.032 * $W28 / 6.38)</f>
        <v>4.6579145124787912E-2</v>
      </c>
      <c r="AJ28">
        <f t="shared" si="7"/>
        <v>467.53816919005868</v>
      </c>
      <c r="AK28">
        <f>(AC28 * $AN28 / 6.25) + (0.032 * W28 / 6.38) - AA28 - AI28 - ((1.1 * (10 ^ -4) * (N28 ^ 0.75)) / 6.25)</f>
        <v>0.11256246637563441</v>
      </c>
      <c r="AL28">
        <f t="shared" si="8"/>
        <v>1129.8457562454305</v>
      </c>
      <c r="AM28">
        <v>0.65</v>
      </c>
      <c r="AN28">
        <v>0.13</v>
      </c>
      <c r="BU28" t="s">
        <v>160</v>
      </c>
      <c r="CJ28" s="2"/>
      <c r="CK28" s="2" t="s">
        <v>189</v>
      </c>
      <c r="CL28" s="2"/>
      <c r="CM28" s="2"/>
      <c r="CN28" s="2"/>
    </row>
    <row r="29" spans="11:92" x14ac:dyDescent="0.2">
      <c r="L29" t="s">
        <v>56</v>
      </c>
      <c r="M29">
        <v>120</v>
      </c>
      <c r="N29">
        <v>490</v>
      </c>
      <c r="O29">
        <v>0.2</v>
      </c>
      <c r="P29" cm="1">
        <f t="array" ref="P29">_xlfn.XLOOKUP(K$27,$BX$169:$CG$169,_xlfn.XLOOKUP($E$11,$BW$170:$BW$176,$BX$170:$CG$176))</f>
        <v>500</v>
      </c>
      <c r="Q29">
        <f t="shared" si="2"/>
        <v>0.98</v>
      </c>
      <c r="R29">
        <v>0</v>
      </c>
      <c r="S29">
        <v>0</v>
      </c>
      <c r="T29">
        <f t="shared" si="22"/>
        <v>0</v>
      </c>
      <c r="U29">
        <f t="shared" si="23"/>
        <v>1</v>
      </c>
      <c r="V29">
        <f t="shared" ref="V29:V34" si="25">(T29*U29)+(1 - T29)</f>
        <v>1</v>
      </c>
      <c r="W29">
        <v>0</v>
      </c>
      <c r="X29">
        <v>0</v>
      </c>
      <c r="Y29">
        <f t="shared" si="3"/>
        <v>0</v>
      </c>
      <c r="Z29">
        <f t="shared" ref="Z29" si="26">0.1604 * ($AM$13*100) - 1.037</f>
        <v>8.5869999999999997</v>
      </c>
      <c r="AA29">
        <f t="shared" si="4"/>
        <v>2.2495778311143037E-3</v>
      </c>
      <c r="AB29">
        <f t="shared" si="5"/>
        <v>1.0457484402934745</v>
      </c>
      <c r="AC29">
        <f t="shared" si="6"/>
        <v>8.1130407556000002</v>
      </c>
      <c r="AD29">
        <f>(AC29 * (1 -AM29) + (0.04 * AC29)) * ( 1 - AV$11 )</f>
        <v>2.99857986326976</v>
      </c>
      <c r="AE29">
        <f>AD29 * AT$11 * AP$11 * AR$11 * AU$11</f>
        <v>1.4107430677044692E-4</v>
      </c>
      <c r="AF29">
        <f>AD29 * AT$11 * AQ$11 * AS$11 * AU$11</f>
        <v>1.6890266317448027E-3</v>
      </c>
      <c r="AG29">
        <f t="shared" si="0"/>
        <v>1.5447636591363938</v>
      </c>
      <c r="AH29">
        <f t="shared" si="1"/>
        <v>18.494841617605591</v>
      </c>
      <c r="AI29">
        <f>((0.3 * AC29 * $AN$13 * (1 - ($AM$13 + 0.1)) + (0.105 * $Z29 * $AC29 * 0.008) + (0.0152 * $AC29)) / 6.25) + (0.08 * 0.032 * $W29 / 6.38)</f>
        <v>4.0776895727827715E-2</v>
      </c>
      <c r="AJ29">
        <f t="shared" si="7"/>
        <v>446.5070082197135</v>
      </c>
      <c r="AK29">
        <f>(AC29 * $AN29 / 6.25) + (0.032 * W29 / 6.38) - AA29 - AI29 - ((1.1 * (10 ^ -4) * (N29 ^ 0.75)) / 6.25)</f>
        <v>8.4949190083043788E-2</v>
      </c>
      <c r="AL29">
        <f t="shared" si="8"/>
        <v>930.19363140932956</v>
      </c>
      <c r="AM29">
        <v>0.6</v>
      </c>
      <c r="AN29">
        <v>0.1</v>
      </c>
      <c r="BU29" t="s">
        <v>207</v>
      </c>
      <c r="BV29" t="s">
        <v>53</v>
      </c>
      <c r="BW29" t="s">
        <v>73</v>
      </c>
      <c r="BX29" t="s">
        <v>92</v>
      </c>
      <c r="BY29" t="s">
        <v>93</v>
      </c>
      <c r="BZ29" t="s">
        <v>94</v>
      </c>
      <c r="CA29" t="s">
        <v>95</v>
      </c>
      <c r="CB29" t="s">
        <v>62</v>
      </c>
      <c r="CC29" t="s">
        <v>63</v>
      </c>
      <c r="CD29" t="s">
        <v>71</v>
      </c>
      <c r="CH29" t="s">
        <v>181</v>
      </c>
      <c r="CI29">
        <v>5.8999999999999999E-3</v>
      </c>
      <c r="CJ29" s="2"/>
      <c r="CK29" s="2"/>
      <c r="CL29" s="2" t="s">
        <v>190</v>
      </c>
      <c r="CM29" s="2">
        <v>0.87</v>
      </c>
      <c r="CN29" s="2"/>
    </row>
    <row r="30" spans="11:92" x14ac:dyDescent="0.2">
      <c r="L30" t="s">
        <v>57</v>
      </c>
      <c r="M30">
        <v>130</v>
      </c>
      <c r="N30">
        <v>500</v>
      </c>
      <c r="O30">
        <v>0.1</v>
      </c>
      <c r="P30" cm="1">
        <f t="array" ref="P30">_xlfn.XLOOKUP(K$27,$BX$169:$CG$169,_xlfn.XLOOKUP($E$11,$BW$170:$BW$176,$BX$170:$CG$176))</f>
        <v>500</v>
      </c>
      <c r="Q30">
        <f t="shared" si="2"/>
        <v>1</v>
      </c>
      <c r="R30">
        <v>0</v>
      </c>
      <c r="S30">
        <v>0</v>
      </c>
      <c r="T30">
        <f t="shared" si="22"/>
        <v>0</v>
      </c>
      <c r="U30">
        <f t="shared" si="23"/>
        <v>1</v>
      </c>
      <c r="V30">
        <f t="shared" si="25"/>
        <v>1</v>
      </c>
      <c r="W30">
        <v>0</v>
      </c>
      <c r="X30">
        <v>0</v>
      </c>
      <c r="Y30">
        <f t="shared" si="3"/>
        <v>0</v>
      </c>
      <c r="Z30">
        <f t="shared" ref="Z30" si="27">0.1604 * ($AM$14*100) - 1.037</f>
        <v>6.9829999999999997</v>
      </c>
      <c r="AA30">
        <f t="shared" si="4"/>
        <v>1.1177124055604386E-3</v>
      </c>
      <c r="AB30">
        <f t="shared" si="5"/>
        <v>1.0225860047470616</v>
      </c>
      <c r="AC30">
        <f t="shared" si="6"/>
        <v>8.0457322500000004</v>
      </c>
      <c r="AD30">
        <f>(AC30 * (1 -AM30) + (0.04 * AC30)) * ( 1 - AV$11 )</f>
        <v>3.6495441486</v>
      </c>
      <c r="AE30">
        <f>AD30 * AT$11 * AP$11 * AR$11 * AU$11</f>
        <v>1.7170024954095013E-4</v>
      </c>
      <c r="AF30">
        <f>AD30 * AT$11 * AQ$11 * AS$11 * AU$11</f>
        <v>2.0556988780656223E-3</v>
      </c>
      <c r="AG30">
        <f t="shared" si="0"/>
        <v>2.0367942101795209</v>
      </c>
      <c r="AH30">
        <f t="shared" si="1"/>
        <v>24.385727941053442</v>
      </c>
      <c r="AI30">
        <f>((0.3 * AC30 * $AN$14 * (1 - ($AM$14 + 0.1)) + (0.105 * $Z30 * $AC30 * 0.008) + (0.0152 * $AC30)) / 6.25) + (0.08 * 0.032 * $W30 / 6.38)</f>
        <v>3.6386946395755196E-2</v>
      </c>
      <c r="AJ30">
        <f t="shared" si="7"/>
        <v>431.64015161964602</v>
      </c>
      <c r="AK30">
        <f>(AC30 * $AN30 / 6.25) + (0.032 * W30 / 6.38) - AA30 - AI30 - ((1.1 * (10 ^ -4) * (N30 ^ 0.75)) / 6.25)</f>
        <v>3.7873397375028983E-2</v>
      </c>
      <c r="AL30">
        <f t="shared" si="8"/>
        <v>449.27317636128134</v>
      </c>
      <c r="AM30">
        <v>0.5</v>
      </c>
      <c r="AN30">
        <v>0.06</v>
      </c>
      <c r="BU30" t="s">
        <v>54</v>
      </c>
      <c r="BV30">
        <v>7.0000000000000007E-2</v>
      </c>
      <c r="BW30">
        <v>5.8000000000000003E-2</v>
      </c>
      <c r="BX30">
        <v>7.1999999999999995E-2</v>
      </c>
      <c r="BY30">
        <v>0.16</v>
      </c>
      <c r="BZ30">
        <v>0.2</v>
      </c>
      <c r="CA30" s="2">
        <v>0.25</v>
      </c>
      <c r="CB30" s="2">
        <v>0.2</v>
      </c>
      <c r="CC30">
        <v>0.04</v>
      </c>
      <c r="CD30">
        <v>0.04</v>
      </c>
      <c r="CH30" t="s">
        <v>180</v>
      </c>
      <c r="CI30">
        <v>7.0000000000000001E-3</v>
      </c>
      <c r="CJ30" s="2"/>
      <c r="CK30" s="2"/>
      <c r="CL30" s="2" t="s">
        <v>140</v>
      </c>
      <c r="CM30" s="2">
        <v>0.54</v>
      </c>
      <c r="CN30" s="2"/>
    </row>
    <row r="31" spans="11:92" x14ac:dyDescent="0.2">
      <c r="K31" t="s">
        <v>47</v>
      </c>
      <c r="L31" t="s">
        <v>54</v>
      </c>
      <c r="M31">
        <v>50</v>
      </c>
      <c r="N31" cm="1">
        <f t="array" ref="N31:N34">_xlfn.XLOOKUP(K31, $BX$46:$CG$46, $BX$47:$CG$50)</f>
        <v>440</v>
      </c>
      <c r="O31" cm="1">
        <f t="array" ref="O31:O34">_xlfn.XLOOKUP(K31, $BX$106:$CG$106, $BX$107:$CG$110)</f>
        <v>0.3</v>
      </c>
      <c r="P31" cm="1">
        <f t="array" ref="P31">_xlfn.XLOOKUP(K$31,$BX$169:$CG$169,_xlfn.XLOOKUP($E$11,$BW$170:$BW$176,$BX$170:$CG$176))</f>
        <v>500</v>
      </c>
      <c r="Q31">
        <f t="shared" si="2"/>
        <v>0.88</v>
      </c>
      <c r="R31">
        <v>1</v>
      </c>
      <c r="S31">
        <v>0</v>
      </c>
      <c r="T31">
        <f t="shared" si="22"/>
        <v>1</v>
      </c>
      <c r="U31">
        <f t="shared" si="23"/>
        <v>1.3</v>
      </c>
      <c r="V31">
        <f t="shared" si="25"/>
        <v>1.3</v>
      </c>
      <c r="W31">
        <v>0</v>
      </c>
      <c r="X31">
        <f>VLOOKUP($G$11, $CL$17:$CN$25, 2, FALSE)</f>
        <v>6</v>
      </c>
      <c r="Y31">
        <f t="shared" si="3"/>
        <v>6</v>
      </c>
      <c r="Z31">
        <f t="shared" ref="Z31" si="28">0.1604 * ($AM$11*100) - 1.037</f>
        <v>7.785000000000001</v>
      </c>
      <c r="AA31">
        <f t="shared" si="4"/>
        <v>3.3619594755351763E-2</v>
      </c>
      <c r="AB31">
        <f t="shared" si="5"/>
        <v>1.0717864499078988</v>
      </c>
      <c r="AC31">
        <f t="shared" si="6"/>
        <v>10.001723663880002</v>
      </c>
      <c r="AD31">
        <f>(AC31 * (1 -AM31) + (0.04 * AC31)) * ( 1 - AV$11 )</f>
        <v>4.1167094600530074</v>
      </c>
      <c r="AE31">
        <f>AD31 * AT$11 * AP$11 * AR$11 * AU$11</f>
        <v>1.9367899463549227E-4</v>
      </c>
      <c r="AF31">
        <f>AD31 * AT$11 * AQ$11 * AS$11 * AU$11</f>
        <v>2.3188416618002772E-3</v>
      </c>
      <c r="AG31">
        <f t="shared" si="0"/>
        <v>0.88366041302443354</v>
      </c>
      <c r="AH31">
        <f t="shared" si="1"/>
        <v>10.579715081963764</v>
      </c>
      <c r="AI31">
        <f>((0.3 * AC31 * $AN$11 * (1 - ($AM$11 + 0.1)) + (0.105 * $Z31 * $AC31 * 0.008) + (0.0152 * $AC31)) / 6.25) + (0.08 * 0.032 * $W31 / 6.38)</f>
        <v>4.655106245569135E-2</v>
      </c>
      <c r="AJ31">
        <f t="shared" si="7"/>
        <v>212.38922245409177</v>
      </c>
      <c r="AK31">
        <f>(AC31 * $AN31 / 6.25) + (0.032 * W31 / 6.38) - AA31 - AI31 - ((1.1 * (10 ^ -4) * (N31 ^ 0.75)) / 6.25)</f>
        <v>3.0157809140942234E-2</v>
      </c>
      <c r="AL31">
        <f t="shared" si="8"/>
        <v>137.59500420554895</v>
      </c>
      <c r="AM31" cm="1">
        <f t="array" ref="AM31:AM34">_xlfn.XLOOKUP(G$11,$BV$17:$CD$17,$BV$18:$CD$21)</f>
        <v>0.55000000000000004</v>
      </c>
      <c r="AN31" cm="1">
        <f t="array" ref="AN31:AN34">_xlfn.XLOOKUP(G$11,$BV$29:$CD$29,$BV$30:$CD$33)</f>
        <v>7.0000000000000007E-2</v>
      </c>
      <c r="BU31" t="s">
        <v>55</v>
      </c>
      <c r="BV31">
        <v>0.13</v>
      </c>
      <c r="BW31">
        <v>9.1999999999999998E-2</v>
      </c>
      <c r="BX31">
        <v>9.9000000000000005E-2</v>
      </c>
      <c r="BY31">
        <v>7.0000000000000007E-2</v>
      </c>
      <c r="BZ31">
        <v>0.1</v>
      </c>
      <c r="CA31">
        <v>7.0000000000000007E-2</v>
      </c>
      <c r="CB31">
        <v>0.09</v>
      </c>
      <c r="CC31">
        <v>0.12</v>
      </c>
      <c r="CD31">
        <v>0.12</v>
      </c>
      <c r="CH31" t="s">
        <v>182</v>
      </c>
      <c r="CI31">
        <v>1.8E-3</v>
      </c>
      <c r="CJ31" s="2"/>
      <c r="CK31" s="2" t="s">
        <v>73</v>
      </c>
      <c r="CL31" s="2" t="s">
        <v>191</v>
      </c>
      <c r="CM31" s="2">
        <v>0.51</v>
      </c>
      <c r="CN31" s="2"/>
    </row>
    <row r="32" spans="11:92" x14ac:dyDescent="0.2">
      <c r="L32" t="s">
        <v>55</v>
      </c>
      <c r="M32">
        <v>55</v>
      </c>
      <c r="N32">
        <v>470</v>
      </c>
      <c r="O32">
        <v>0.3</v>
      </c>
      <c r="P32" cm="1">
        <f t="array" ref="P32">_xlfn.XLOOKUP(K$31,$BX$169:$CG$169,_xlfn.XLOOKUP($E$11,$BW$170:$BW$176,$BX$170:$CG$176))</f>
        <v>500</v>
      </c>
      <c r="Q32">
        <f t="shared" si="2"/>
        <v>0.94</v>
      </c>
      <c r="R32">
        <v>0</v>
      </c>
      <c r="S32">
        <v>1</v>
      </c>
      <c r="T32">
        <f t="shared" si="22"/>
        <v>1</v>
      </c>
      <c r="U32">
        <f t="shared" si="23"/>
        <v>1.1000000000000001</v>
      </c>
      <c r="V32">
        <f t="shared" si="25"/>
        <v>1.1000000000000001</v>
      </c>
      <c r="W32">
        <v>0</v>
      </c>
      <c r="X32">
        <f>VLOOKUP($G$11, $CL$17:$CN$25, 3, FALSE)</f>
        <v>4</v>
      </c>
      <c r="Y32">
        <f t="shared" si="3"/>
        <v>4</v>
      </c>
      <c r="Z32">
        <f t="shared" ref="Z32" si="29">0.1604 * ($AM$12*100) - 1.037</f>
        <v>9.3889999999999993</v>
      </c>
      <c r="AA32">
        <f t="shared" si="4"/>
        <v>2.3487599223017373E-2</v>
      </c>
      <c r="AB32">
        <f t="shared" si="5"/>
        <v>1.070051638137812</v>
      </c>
      <c r="AC32">
        <f t="shared" si="6"/>
        <v>8.8656632697600024</v>
      </c>
      <c r="AD32">
        <f>(AC32 * (1 -AM32) + (0.04 * AC32)) * ( 1 - AV$11 )</f>
        <v>2.9043912871733766</v>
      </c>
      <c r="AE32">
        <f>AD32 * AT$11 * AP$11 * AR$11 * AU$11</f>
        <v>1.3664301306329734E-4</v>
      </c>
      <c r="AF32">
        <f>AD32 * AT$11 * AQ$11 * AS$11 * AU$11</f>
        <v>1.6359725125660528E-3</v>
      </c>
      <c r="AG32">
        <f t="shared" si="0"/>
        <v>0.68577712181142358</v>
      </c>
      <c r="AH32">
        <f t="shared" si="1"/>
        <v>8.2105370474408783</v>
      </c>
      <c r="AI32">
        <f>((0.3 * AC32 * $AN$12 * (1 - ($AM$12 + 0.1)) + (0.105 * $Z32 * $AC32 * 0.008) + (0.0152 * $AC32)) / 6.25) + (0.08 * 0.032 * $W32 / 6.38)</f>
        <v>4.6579145124787912E-2</v>
      </c>
      <c r="AJ32">
        <f t="shared" si="7"/>
        <v>233.76908459502934</v>
      </c>
      <c r="AK32">
        <f>(AC32 * $AN32 / 6.25) + (0.032 * W32 / 6.38) - AA32 - AI32 - ((1.1 * (10 ^ -4) * (N32 ^ 0.75)) / 6.25)</f>
        <v>0.11256246637563441</v>
      </c>
      <c r="AL32">
        <f t="shared" si="8"/>
        <v>564.92287812271525</v>
      </c>
      <c r="AM32">
        <v>0.65</v>
      </c>
      <c r="AN32">
        <v>0.13</v>
      </c>
      <c r="BU32" t="s">
        <v>56</v>
      </c>
      <c r="BV32">
        <v>0.1</v>
      </c>
      <c r="BW32">
        <v>7.4999999999999997E-2</v>
      </c>
      <c r="BX32">
        <v>7.8E-2</v>
      </c>
      <c r="BY32">
        <v>0.09</v>
      </c>
      <c r="BZ32">
        <v>0.16</v>
      </c>
      <c r="CA32">
        <v>0.1</v>
      </c>
      <c r="CB32">
        <v>0.06</v>
      </c>
      <c r="CC32">
        <v>0.09</v>
      </c>
      <c r="CD32">
        <v>0.09</v>
      </c>
      <c r="CH32" t="s">
        <v>183</v>
      </c>
      <c r="CI32">
        <v>2.8999999999999998E-3</v>
      </c>
      <c r="CJ32" s="2"/>
      <c r="CK32" s="2"/>
      <c r="CL32" s="2" t="s">
        <v>74</v>
      </c>
      <c r="CM32" s="2">
        <v>0.03</v>
      </c>
      <c r="CN32" s="2"/>
    </row>
    <row r="33" spans="11:92" x14ac:dyDescent="0.2">
      <c r="L33" t="s">
        <v>56</v>
      </c>
      <c r="M33">
        <v>60</v>
      </c>
      <c r="N33">
        <v>490</v>
      </c>
      <c r="O33">
        <v>0.2</v>
      </c>
      <c r="P33" cm="1">
        <f t="array" ref="P33">_xlfn.XLOOKUP(K$31,$BX$169:$CG$169,_xlfn.XLOOKUP($E$11,$BW$170:$BW$176,$BX$170:$CG$176))</f>
        <v>500</v>
      </c>
      <c r="Q33">
        <f t="shared" si="2"/>
        <v>0.98</v>
      </c>
      <c r="R33">
        <v>0</v>
      </c>
      <c r="S33">
        <v>0</v>
      </c>
      <c r="T33">
        <f t="shared" si="22"/>
        <v>0</v>
      </c>
      <c r="U33">
        <f t="shared" si="23"/>
        <v>1</v>
      </c>
      <c r="V33">
        <f t="shared" si="25"/>
        <v>1</v>
      </c>
      <c r="W33">
        <v>0</v>
      </c>
      <c r="X33">
        <v>0</v>
      </c>
      <c r="Y33">
        <f t="shared" si="3"/>
        <v>0</v>
      </c>
      <c r="Z33">
        <f t="shared" ref="Z33" si="30">0.1604 * ($AM$13*100) - 1.037</f>
        <v>8.5869999999999997</v>
      </c>
      <c r="AA33">
        <f t="shared" si="4"/>
        <v>2.2495778311143037E-3</v>
      </c>
      <c r="AB33">
        <f t="shared" si="5"/>
        <v>1.0457484402934745</v>
      </c>
      <c r="AC33">
        <f t="shared" si="6"/>
        <v>8.1130407556000002</v>
      </c>
      <c r="AD33">
        <f>(AC33 * (1 -AM33) + (0.04 * AC33)) * ( 1 - AV$11 )</f>
        <v>2.99857986326976</v>
      </c>
      <c r="AE33">
        <f>AD33 * AT$11 * AP$11 * AR$11 * AU$11</f>
        <v>1.4107430677044692E-4</v>
      </c>
      <c r="AF33">
        <f>AD33 * AT$11 * AQ$11 * AS$11 * AU$11</f>
        <v>1.6890266317448027E-3</v>
      </c>
      <c r="AG33">
        <f t="shared" si="0"/>
        <v>0.7723818295681969</v>
      </c>
      <c r="AH33">
        <f t="shared" si="1"/>
        <v>9.2474208088027954</v>
      </c>
      <c r="AI33">
        <f>((0.3 * AC33 * $AN$13 * (1 - ($AM$13 + 0.1)) + (0.105 * $Z33 * $AC33 * 0.008) + (0.0152 * $AC33)) / 6.25) + (0.08 * 0.032 * $W33 / 6.38)</f>
        <v>4.0776895727827715E-2</v>
      </c>
      <c r="AJ33">
        <f t="shared" si="7"/>
        <v>223.25350410985675</v>
      </c>
      <c r="AK33">
        <f>(AC33 * $AN33 / 6.25) + (0.032 * W33 / 6.38) - AA33 - AI33 - ((1.1 * (10 ^ -4) * (N33 ^ 0.75)) / 6.25)</f>
        <v>8.4949190083043788E-2</v>
      </c>
      <c r="AL33">
        <f t="shared" si="8"/>
        <v>465.09681570466478</v>
      </c>
      <c r="AM33">
        <v>0.6</v>
      </c>
      <c r="AN33">
        <v>0.1</v>
      </c>
      <c r="BU33" t="s">
        <v>57</v>
      </c>
      <c r="BV33">
        <v>0.06</v>
      </c>
      <c r="BW33">
        <v>5.2999999999999999E-2</v>
      </c>
      <c r="BX33">
        <v>5.8999999999999997E-2</v>
      </c>
      <c r="BY33">
        <v>0.2</v>
      </c>
      <c r="BZ33">
        <v>0.2</v>
      </c>
      <c r="CA33">
        <v>0.21</v>
      </c>
      <c r="CB33">
        <v>0.2</v>
      </c>
      <c r="CC33">
        <v>0.06</v>
      </c>
      <c r="CD33">
        <v>0.06</v>
      </c>
      <c r="CH33" t="s">
        <v>184</v>
      </c>
      <c r="CI33">
        <v>8.0000000000000002E-3</v>
      </c>
      <c r="CJ33" s="2"/>
      <c r="CK33" s="2"/>
      <c r="CL33" s="2" t="s">
        <v>75</v>
      </c>
      <c r="CM33" s="2">
        <v>7.0000000000000007E-2</v>
      </c>
      <c r="CN33" s="2"/>
    </row>
    <row r="34" spans="11:92" x14ac:dyDescent="0.2">
      <c r="L34" t="s">
        <v>57</v>
      </c>
      <c r="M34">
        <v>65</v>
      </c>
      <c r="N34">
        <v>500</v>
      </c>
      <c r="O34">
        <v>0.1</v>
      </c>
      <c r="P34" cm="1">
        <f t="array" ref="P34">_xlfn.XLOOKUP(K$31,$BX$169:$CG$169,_xlfn.XLOOKUP($E$11,$BW$170:$BW$176,$BX$170:$CG$176))</f>
        <v>500</v>
      </c>
      <c r="Q34">
        <f t="shared" si="2"/>
        <v>1</v>
      </c>
      <c r="R34">
        <v>0</v>
      </c>
      <c r="S34">
        <v>0</v>
      </c>
      <c r="T34">
        <f t="shared" si="22"/>
        <v>0</v>
      </c>
      <c r="U34">
        <f t="shared" si="23"/>
        <v>1</v>
      </c>
      <c r="V34">
        <f t="shared" si="25"/>
        <v>1</v>
      </c>
      <c r="W34">
        <v>0</v>
      </c>
      <c r="X34">
        <v>0</v>
      </c>
      <c r="Y34">
        <f t="shared" si="3"/>
        <v>0</v>
      </c>
      <c r="Z34">
        <f t="shared" ref="Z34" si="31">0.1604 * ($AM$14*100) - 1.037</f>
        <v>6.9829999999999997</v>
      </c>
      <c r="AA34">
        <f t="shared" si="4"/>
        <v>1.1177124055604386E-3</v>
      </c>
      <c r="AB34">
        <f t="shared" si="5"/>
        <v>1.0225860047470616</v>
      </c>
      <c r="AC34">
        <f t="shared" si="6"/>
        <v>8.0457322500000004</v>
      </c>
      <c r="AD34">
        <f>(AC34 * (1 -AM34) + (0.04 * AC34)) * ( 1 - AV$11 )</f>
        <v>3.6495441486</v>
      </c>
      <c r="AE34">
        <f>AD34 * AT$11 * AP$11 * AR$11 * AU$11</f>
        <v>1.7170024954095013E-4</v>
      </c>
      <c r="AF34">
        <f>AD34 * AT$11 * AQ$11 * AS$11 * AU$11</f>
        <v>2.0556988780656223E-3</v>
      </c>
      <c r="AG34">
        <f t="shared" si="0"/>
        <v>1.0183971050897604</v>
      </c>
      <c r="AH34">
        <f t="shared" si="1"/>
        <v>12.192863970526721</v>
      </c>
      <c r="AI34">
        <f>((0.3 * AC34 * $AN$14 * (1 - ($AM$14 + 0.1)) + (0.105 * $Z34 * $AC34 * 0.008) + (0.0152 * $AC34)) / 6.25) + (0.08 * 0.032 * $W34 / 6.38)</f>
        <v>3.6386946395755196E-2</v>
      </c>
      <c r="AJ34">
        <f t="shared" si="7"/>
        <v>215.82007580982301</v>
      </c>
      <c r="AK34">
        <f>(AC34 * $AN34 / 6.25) + (0.032 * W34 / 6.38) - AA34 - AI34 - ((1.1 * (10 ^ -4) * (N34 ^ 0.75)) / 6.25)</f>
        <v>3.7873397375028983E-2</v>
      </c>
      <c r="AL34">
        <f t="shared" si="8"/>
        <v>224.63658818064067</v>
      </c>
      <c r="AM34">
        <v>0.5</v>
      </c>
      <c r="AN34">
        <v>0.06</v>
      </c>
      <c r="CJ34" s="2"/>
      <c r="CK34" s="2"/>
      <c r="CL34" s="2" t="s">
        <v>76</v>
      </c>
      <c r="CM34" s="2">
        <v>0.92</v>
      </c>
      <c r="CN34" s="2"/>
    </row>
    <row r="35" spans="11:92" x14ac:dyDescent="0.2">
      <c r="K35" t="s">
        <v>48</v>
      </c>
      <c r="L35" t="s">
        <v>54</v>
      </c>
      <c r="M35">
        <v>200</v>
      </c>
      <c r="N35" cm="1">
        <f t="array" ref="N35:N38">_xlfn.XLOOKUP(K35, $BX$46:$CG$46, $BX$47:$CG$50)</f>
        <v>75</v>
      </c>
      <c r="O35" cm="1">
        <f t="array" ref="O35:O38">_xlfn.XLOOKUP(K35, $BX$106:$CG$106, $BX$107:$CG$110)</f>
        <v>0.5</v>
      </c>
      <c r="P35" cm="1">
        <f t="array" ref="P35">_xlfn.XLOOKUP(K$35,$BX$169:$CG$169,_xlfn.XLOOKUP($E$11,$BW$170:$BW$176,$BX$170:$CG$176))</f>
        <v>500</v>
      </c>
      <c r="Q35">
        <f t="shared" si="2"/>
        <v>0.15</v>
      </c>
      <c r="S35">
        <v>0</v>
      </c>
      <c r="T35">
        <f t="shared" si="22"/>
        <v>0</v>
      </c>
      <c r="V35">
        <v>1</v>
      </c>
      <c r="W35">
        <f>VLOOKUP($G$11, $CL$17:$CN$25, 2, FALSE)</f>
        <v>6</v>
      </c>
      <c r="X35">
        <v>0</v>
      </c>
      <c r="Y35">
        <f t="shared" si="3"/>
        <v>0</v>
      </c>
      <c r="Z35">
        <f t="shared" ref="Z35" si="32">0.1604 * ($AM$11*100) - 1.037</f>
        <v>7.785000000000001</v>
      </c>
      <c r="AA35">
        <f t="shared" si="4"/>
        <v>1.4099280269004926E-2</v>
      </c>
      <c r="AB35">
        <f t="shared" si="5"/>
        <v>1.2193553180247376</v>
      </c>
      <c r="AC35">
        <f t="shared" si="6"/>
        <v>2.7834751406249998</v>
      </c>
      <c r="AD35">
        <f>(AC35 * (1 -AM35) + (0.04 * AC35)) * ( 1 - AV$11 )</f>
        <v>1.1456783678812499</v>
      </c>
      <c r="AE35">
        <f>AD35 * AT$11 * AP$11 * AR$11 * AU$11</f>
        <v>5.390077600084388E-5</v>
      </c>
      <c r="AF35">
        <f>AD35 * AT$11 * AQ$11 * AS$11 * AU$11</f>
        <v>6.4533257842106233E-4</v>
      </c>
      <c r="AG35">
        <f t="shared" si="0"/>
        <v>0.98368916201540069</v>
      </c>
      <c r="AH35">
        <f t="shared" si="1"/>
        <v>11.777319556184386</v>
      </c>
      <c r="AI35">
        <f>((0.3 * AC35 * $AN$11 * (1 - ($AM$11 + 0.1)) + (0.105 * $Z35 * $AC35 * 0.008) + (0.0152 * $AC35)) / 6.25) + (0.08 * 0.032 * $W35 / 6.38)</f>
        <v>1.5362662991883286E-2</v>
      </c>
      <c r="AJ35">
        <f t="shared" si="7"/>
        <v>280.36859960186996</v>
      </c>
      <c r="AK35">
        <f>(AC35 * $AN35 / 6.25) + (0.032 * W35 / 6.38) - AA35 - AI35 - ((1.1 * (10 ^ -4) * (N35 ^ 0.75)) / 6.25)</f>
        <v>3.1358474520619482E-2</v>
      </c>
      <c r="AL35">
        <f t="shared" si="8"/>
        <v>572.29216000130555</v>
      </c>
      <c r="AM35" cm="1">
        <f t="array" ref="AM35:AM38">_xlfn.XLOOKUP(G$11,$BV$17:$CD$17,$BV$18:$CD$21)</f>
        <v>0.55000000000000004</v>
      </c>
      <c r="AN35" cm="1">
        <f t="array" ref="AN35:AN38">_xlfn.XLOOKUP(G$11,$BV$29:$CD$29,$BV$30:$CD$33)</f>
        <v>7.0000000000000007E-2</v>
      </c>
      <c r="CJ35" s="2"/>
      <c r="CK35" t="s">
        <v>92</v>
      </c>
      <c r="CL35" s="2" t="s">
        <v>192</v>
      </c>
      <c r="CM35" s="2">
        <v>0.22</v>
      </c>
    </row>
    <row r="36" spans="11:92" x14ac:dyDescent="0.2">
      <c r="L36" t="s">
        <v>55</v>
      </c>
      <c r="M36">
        <v>130</v>
      </c>
      <c r="N36">
        <v>160</v>
      </c>
      <c r="O36">
        <v>0.9</v>
      </c>
      <c r="P36" cm="1">
        <f t="array" ref="P36">_xlfn.XLOOKUP(K$35,$BX$169:$CG$169,_xlfn.XLOOKUP($E$11,$BW$170:$BW$176,$BX$170:$CG$176))</f>
        <v>500</v>
      </c>
      <c r="Q36">
        <f t="shared" si="2"/>
        <v>0.32</v>
      </c>
      <c r="T36">
        <f t="shared" si="22"/>
        <v>0</v>
      </c>
      <c r="V36">
        <v>1</v>
      </c>
      <c r="W36">
        <f>VLOOKUP($G$11, $CL$17:$CN$25, 3, FALSE)</f>
        <v>4</v>
      </c>
      <c r="X36">
        <v>0</v>
      </c>
      <c r="Y36">
        <f t="shared" si="3"/>
        <v>0</v>
      </c>
      <c r="Z36">
        <f t="shared" ref="Z36" si="33">0.1604 * ($AM$12*100) - 1.037</f>
        <v>9.3889999999999993</v>
      </c>
      <c r="AA36">
        <f t="shared" si="4"/>
        <v>2.1434083982391813E-2</v>
      </c>
      <c r="AB36">
        <f t="shared" si="5"/>
        <v>1.3309587678069252</v>
      </c>
      <c r="AC36">
        <f t="shared" si="6"/>
        <v>4.5298311556000002</v>
      </c>
      <c r="AD36">
        <f>(AC36 * (1 -AM36) + (0.04 * AC36)) * ( 1 - AV$11 )</f>
        <v>1.4839726865745599</v>
      </c>
      <c r="AE36">
        <f>AD36 * AT$11 * AP$11 * AR$11 * AU$11</f>
        <v>6.9816522344180778E-5</v>
      </c>
      <c r="AF36">
        <f>AD36 * AT$11 * AQ$11 * AS$11 * AU$11</f>
        <v>8.3588548669608228E-4</v>
      </c>
      <c r="AG36">
        <f t="shared" si="0"/>
        <v>0.82819849630784437</v>
      </c>
      <c r="AH36">
        <f t="shared" si="1"/>
        <v>9.9156915859322758</v>
      </c>
      <c r="AI36">
        <f>((0.3 * AC36 * $AN$12 * (1 - ($AM$12 + 0.1)) + (0.105 * $Z36 * $AC36 * 0.008) + (0.0152 * $AC36)) / 6.25) + (0.08 * 0.032 * $W36 / 6.38)</f>
        <v>2.5404212233494764E-2</v>
      </c>
      <c r="AJ36">
        <f t="shared" si="7"/>
        <v>301.35746761983165</v>
      </c>
      <c r="AK36">
        <f>(AC36 * $AN36 / 6.25) + (0.032 * W36 / 6.38) - AA36 - AI36 - ((1.1 * (10 ^ -4) * (N36 ^ 0.75)) / 6.25)</f>
        <v>6.6653111159490311E-2</v>
      </c>
      <c r="AL36">
        <f t="shared" si="8"/>
        <v>790.67253112945377</v>
      </c>
      <c r="AM36">
        <v>0.65</v>
      </c>
      <c r="AN36">
        <v>0.13</v>
      </c>
      <c r="CL36" s="2" t="s">
        <v>77</v>
      </c>
      <c r="CM36" s="2">
        <v>0.18</v>
      </c>
    </row>
    <row r="37" spans="11:92" x14ac:dyDescent="0.2">
      <c r="L37" t="s">
        <v>56</v>
      </c>
      <c r="M37">
        <v>250</v>
      </c>
      <c r="N37">
        <v>220</v>
      </c>
      <c r="O37">
        <v>0.7</v>
      </c>
      <c r="P37" cm="1">
        <f t="array" ref="P37">_xlfn.XLOOKUP(K$35,$BX$169:$CG$169,_xlfn.XLOOKUP($E$11,$BW$170:$BW$176,$BX$170:$CG$176))</f>
        <v>500</v>
      </c>
      <c r="Q37">
        <f t="shared" si="2"/>
        <v>0.44</v>
      </c>
      <c r="T37">
        <f t="shared" si="22"/>
        <v>0</v>
      </c>
      <c r="V37">
        <v>1</v>
      </c>
      <c r="W37">
        <v>0</v>
      </c>
      <c r="X37">
        <v>0</v>
      </c>
      <c r="Y37">
        <f t="shared" si="3"/>
        <v>0</v>
      </c>
      <c r="Z37">
        <f t="shared" ref="Z37" si="34">0.1604 * ($AM$13*100) - 1.037</f>
        <v>8.5869999999999997</v>
      </c>
      <c r="AA37">
        <f t="shared" si="4"/>
        <v>1.4051271404335857E-2</v>
      </c>
      <c r="AB37">
        <f t="shared" si="5"/>
        <v>1.2257699173903274</v>
      </c>
      <c r="AC37">
        <f t="shared" si="6"/>
        <v>5.1913799715999973</v>
      </c>
      <c r="AD37">
        <f>(AC37 * (1 -AM37) + (0.04 * AC37)) * ( 1 - AV$11 )</f>
        <v>1.918734037503359</v>
      </c>
      <c r="AE37">
        <f>AD37 * AT$11 * AP$11 * AR$11 * AU$11</f>
        <v>9.0270757011782037E-5</v>
      </c>
      <c r="AF37">
        <f>AD37 * AT$11 * AQ$11 * AS$11 * AU$11</f>
        <v>1.0807759127164039E-3</v>
      </c>
      <c r="AG37">
        <f t="shared" si="0"/>
        <v>2.0593016443312777</v>
      </c>
      <c r="AH37">
        <f t="shared" si="1"/>
        <v>24.655200508842963</v>
      </c>
      <c r="AI37">
        <f>((0.3 * AC37 * $AN$13 * (1 - ($AM$13 + 0.1)) + (0.105 * $Z37 * $AC37 * 0.008) + (0.0152 * $AC37)) / 6.25) + (0.08 * 0.032 * $W37 / 6.38)</f>
        <v>2.609235749732295E-2</v>
      </c>
      <c r="AJ37">
        <f t="shared" si="7"/>
        <v>595.23190540767985</v>
      </c>
      <c r="AK37">
        <f>(AC37 * $AN37 / 6.25) + (0.032 * W37 / 6.38) - AA37 - AI37 - ((1.1 * (10 ^ -4) * (N37 ^ 0.75)) / 6.25)</f>
        <v>4.1913071947588573E-2</v>
      </c>
      <c r="AL37">
        <f t="shared" si="8"/>
        <v>956.14195380436422</v>
      </c>
      <c r="AM37">
        <v>0.6</v>
      </c>
      <c r="AN37">
        <v>0.1</v>
      </c>
      <c r="CL37" s="2" t="s">
        <v>78</v>
      </c>
      <c r="CM37" s="2">
        <v>0.64</v>
      </c>
    </row>
    <row r="38" spans="11:92" x14ac:dyDescent="0.2">
      <c r="L38" t="s">
        <v>57</v>
      </c>
      <c r="M38">
        <v>150</v>
      </c>
      <c r="N38">
        <v>260</v>
      </c>
      <c r="O38">
        <v>0.4</v>
      </c>
      <c r="P38" cm="1">
        <f t="array" ref="P38">_xlfn.XLOOKUP(K$35,$BX$169:$CG$169,_xlfn.XLOOKUP($E$11,$BW$170:$BW$176,$BX$170:$CG$176))</f>
        <v>500</v>
      </c>
      <c r="Q38">
        <f t="shared" si="2"/>
        <v>0.52</v>
      </c>
      <c r="T38">
        <f t="shared" si="22"/>
        <v>0</v>
      </c>
      <c r="V38">
        <v>1</v>
      </c>
      <c r="W38">
        <v>0</v>
      </c>
      <c r="X38">
        <v>0</v>
      </c>
      <c r="Y38">
        <f t="shared" si="3"/>
        <v>0</v>
      </c>
      <c r="Z38">
        <f t="shared" ref="Z38" si="35">0.1604 * ($AM$14*100) - 1.037</f>
        <v>6.9829999999999997</v>
      </c>
      <c r="AA38">
        <f t="shared" si="4"/>
        <v>7.074082151077782E-3</v>
      </c>
      <c r="AB38">
        <f t="shared" si="5"/>
        <v>1.1183986897081921</v>
      </c>
      <c r="AC38">
        <f t="shared" si="6"/>
        <v>5.3621886096000004</v>
      </c>
      <c r="AD38">
        <f>(AC38 * (1 -AM38) + (0.04 * AC38)) * ( 1 - AV$11 )</f>
        <v>2.4322887533145603</v>
      </c>
      <c r="AE38">
        <f>AD38 * AT$11 * AP$11 * AR$11 * AU$11</f>
        <v>1.1443198626874025E-4</v>
      </c>
      <c r="AF38">
        <f>AD38 * AT$11 * AQ$11 * AS$11 * AU$11</f>
        <v>1.3700487123134107E-3</v>
      </c>
      <c r="AG38">
        <f t="shared" si="0"/>
        <v>1.5662878120533821</v>
      </c>
      <c r="AH38">
        <f t="shared" si="1"/>
        <v>18.75254174978981</v>
      </c>
      <c r="AI38">
        <f>((0.3 * AC38 * $AN$14 * (1 - ($AM$14 + 0.1)) + (0.105 * $Z38 * $AC38 * 0.008) + (0.0152 * $AC38)) / 6.25) + (0.08 * 0.032 * $W38 / 6.38)</f>
        <v>2.4250579492182869E-2</v>
      </c>
      <c r="AJ38">
        <f t="shared" si="7"/>
        <v>331.92980679925302</v>
      </c>
      <c r="AK38">
        <f>(AC38 * $AN38 / 6.25) + (0.032 * W38 / 6.38) - AA38 - AI38 - ((1.1 * (10 ^ -4) * (N38 ^ 0.75)) / 6.25)</f>
        <v>1.9012774623763065E-2</v>
      </c>
      <c r="AL38">
        <f t="shared" si="8"/>
        <v>260.23735266275696</v>
      </c>
      <c r="AM38">
        <v>0.5</v>
      </c>
      <c r="AN38">
        <v>0.06</v>
      </c>
      <c r="CL38" s="2" t="s">
        <v>79</v>
      </c>
      <c r="CM38" s="2">
        <v>7.0000000000000007E-2</v>
      </c>
    </row>
    <row r="39" spans="11:92" x14ac:dyDescent="0.2">
      <c r="K39" t="s">
        <v>49</v>
      </c>
      <c r="L39" t="s">
        <v>54</v>
      </c>
      <c r="M39">
        <v>20</v>
      </c>
      <c r="N39" cm="1">
        <f t="array" ref="N39:N42">_xlfn.XLOOKUP(K39, $BX$46:$CG$46, $BX$47:$CG$50)</f>
        <v>380</v>
      </c>
      <c r="O39" cm="1">
        <f t="array" ref="O39:O42">_xlfn.XLOOKUP(K39, $BX$106:$CG$106, $BX$107:$CG$110)</f>
        <v>0.4</v>
      </c>
      <c r="P39" cm="1">
        <f t="array" ref="P39">_xlfn.XLOOKUP(K$39,$BX$169:$CG$169,_xlfn.XLOOKUP($E$11,$BW$170:$BW$176,$BX$170:$CG$176))</f>
        <v>600</v>
      </c>
      <c r="Q39">
        <f t="shared" si="2"/>
        <v>0.6333333333333333</v>
      </c>
      <c r="T39">
        <f t="shared" si="22"/>
        <v>0</v>
      </c>
      <c r="V39">
        <v>1</v>
      </c>
      <c r="W39">
        <v>0</v>
      </c>
      <c r="X39">
        <v>0</v>
      </c>
      <c r="Y39">
        <f t="shared" si="3"/>
        <v>0</v>
      </c>
      <c r="Z39">
        <f t="shared" ref="Z39" si="36">0.1604 * ($AM$11*100) - 1.037</f>
        <v>7.785000000000001</v>
      </c>
      <c r="AA39">
        <f t="shared" si="4"/>
        <v>5.9536831562818603E-3</v>
      </c>
      <c r="AB39">
        <f t="shared" si="5"/>
        <v>1.101888665936833</v>
      </c>
      <c r="AC39">
        <f t="shared" si="6"/>
        <v>7.0796437775999967</v>
      </c>
      <c r="AD39">
        <f>(AC39 * (1 -AM39) + (0.04 * AC39)) * ( 1 - AV$11 )</f>
        <v>2.9139813788601581</v>
      </c>
      <c r="AE39">
        <f>AD39 * AT$11 * AP$11 * AR$11 * AU$11</f>
        <v>1.37094198490489E-4</v>
      </c>
      <c r="AF39">
        <f>AD39 * AT$11 * AQ$11 * AS$11 * AU$11</f>
        <v>1.6413743764477724E-3</v>
      </c>
      <c r="AG39">
        <f t="shared" si="0"/>
        <v>0.2501969122451424</v>
      </c>
      <c r="AH39">
        <f t="shared" si="1"/>
        <v>2.995508237017185</v>
      </c>
      <c r="AI39">
        <f>((0.3 * AC39 * $AN$11 * (1 - ($AM$11 + 0.1)) + (0.105 * $Z39 * $AC39 * 0.008) + (0.0152 * $AC39)) / 6.25) + (0.08 * 0.032 * $W39 / 6.38)</f>
        <v>3.2950814352658779E-2</v>
      </c>
      <c r="AJ39">
        <f t="shared" si="7"/>
        <v>60.135236193602275</v>
      </c>
      <c r="AK39">
        <f>(AC39 * $AN39 / 6.25) + (0.032 * W39 / 6.38) - AA39 - AI39 - ((1.1 * (10 ^ -4) * (N39 ^ 0.75)) / 6.25)</f>
        <v>3.8872729999792265E-2</v>
      </c>
      <c r="AL39">
        <f t="shared" si="8"/>
        <v>70.942732249620889</v>
      </c>
      <c r="AM39" cm="1">
        <f t="array" ref="AM39:AM42">_xlfn.XLOOKUP(G$11,$BV$17:$CD$17,$BV$18:$CD$21)</f>
        <v>0.55000000000000004</v>
      </c>
      <c r="AN39" cm="1">
        <f t="array" ref="AN39:AN42">_xlfn.XLOOKUP(G$11,$BV$29:$CD$29,$BV$30:$CD$33)</f>
        <v>7.0000000000000007E-2</v>
      </c>
      <c r="CL39" s="2" t="s">
        <v>80</v>
      </c>
      <c r="CM39" s="2">
        <v>0.18</v>
      </c>
    </row>
    <row r="40" spans="11:92" x14ac:dyDescent="0.2">
      <c r="L40" t="s">
        <v>55</v>
      </c>
      <c r="M40">
        <v>30</v>
      </c>
      <c r="N40">
        <v>420</v>
      </c>
      <c r="O40">
        <v>0.4</v>
      </c>
      <c r="P40" cm="1">
        <f t="array" ref="P40">_xlfn.XLOOKUP(K$39,$BX$169:$CG$169,_xlfn.XLOOKUP($E$11,$BW$170:$BW$176,$BX$170:$CG$176))</f>
        <v>600</v>
      </c>
      <c r="Q40">
        <f t="shared" si="2"/>
        <v>0.7</v>
      </c>
      <c r="T40">
        <f t="shared" si="22"/>
        <v>0</v>
      </c>
      <c r="V40">
        <v>1</v>
      </c>
      <c r="W40">
        <v>0</v>
      </c>
      <c r="X40">
        <v>0</v>
      </c>
      <c r="Y40">
        <f t="shared" si="3"/>
        <v>0</v>
      </c>
      <c r="Z40">
        <f t="shared" ref="Z40" si="37">0.1604 * ($AM$12*100) - 1.037</f>
        <v>9.3889999999999993</v>
      </c>
      <c r="AA40">
        <f t="shared" si="4"/>
        <v>5.4689366245148753E-3</v>
      </c>
      <c r="AB40">
        <f t="shared" si="5"/>
        <v>1.0979922441560788</v>
      </c>
      <c r="AC40">
        <f t="shared" si="6"/>
        <v>7.6129639056</v>
      </c>
      <c r="AD40">
        <f>(AC40 * (1 -AM40) + (0.04 * AC40)) * ( 1 - AV$11 )</f>
        <v>2.49400697547456</v>
      </c>
      <c r="AE40">
        <f>AD40 * AT$11 * AP$11 * AR$11 * AU$11</f>
        <v>1.1733564593543065E-4</v>
      </c>
      <c r="AF40">
        <f>AD40 * AT$11 * AQ$11 * AS$11 * AU$11</f>
        <v>1.4048130759940598E-3</v>
      </c>
      <c r="AG40">
        <f t="shared" si="0"/>
        <v>0.3212063307482414</v>
      </c>
      <c r="AH40">
        <f t="shared" si="1"/>
        <v>3.8456757955337388</v>
      </c>
      <c r="AI40">
        <f>((0.3 * AC40 * $AN$12 * (1 - ($AM$12 + 0.1)) + (0.105 * $Z40 * $AC40 * 0.008) + (0.0152 * $AC40)) / 6.25) + (0.08 * 0.032 * $W40 / 6.38)</f>
        <v>3.9997610985095973E-2</v>
      </c>
      <c r="AJ40">
        <f t="shared" si="7"/>
        <v>109.49346007170021</v>
      </c>
      <c r="AK40">
        <f>(AC40 * $AN40 / 6.25) + (0.032 * W40 / 6.38) - AA40 - AI40 - ((1.1 * (10 ^ -4) * (N40 ^ 0.75)) / 6.25)</f>
        <v>0.11125023905023224</v>
      </c>
      <c r="AL40">
        <f t="shared" si="8"/>
        <v>304.54752940001077</v>
      </c>
      <c r="AM40">
        <v>0.65</v>
      </c>
      <c r="AN40">
        <v>0.13</v>
      </c>
      <c r="CL40" s="2" t="s">
        <v>93</v>
      </c>
      <c r="CM40" s="2">
        <v>0.22</v>
      </c>
    </row>
    <row r="41" spans="11:92" x14ac:dyDescent="0.2">
      <c r="L41" t="s">
        <v>56</v>
      </c>
      <c r="M41">
        <v>60</v>
      </c>
      <c r="N41">
        <v>450</v>
      </c>
      <c r="O41">
        <v>0.3</v>
      </c>
      <c r="P41" cm="1">
        <f t="array" ref="P41">_xlfn.XLOOKUP(K$39,$BX$169:$CG$169,_xlfn.XLOOKUP($E$11,$BW$170:$BW$176,$BX$170:$CG$176))</f>
        <v>600</v>
      </c>
      <c r="Q41">
        <f t="shared" si="2"/>
        <v>0.75</v>
      </c>
      <c r="T41">
        <f t="shared" si="22"/>
        <v>0</v>
      </c>
      <c r="V41">
        <v>1</v>
      </c>
      <c r="W41">
        <v>0</v>
      </c>
      <c r="X41">
        <v>0</v>
      </c>
      <c r="Y41">
        <f t="shared" si="3"/>
        <v>0</v>
      </c>
      <c r="Z41">
        <f t="shared" ref="Z41" si="38">0.1604 * ($AM$13*100) - 1.037</f>
        <v>8.5869999999999997</v>
      </c>
      <c r="AA41">
        <f t="shared" si="4"/>
        <v>3.8897983284177057E-3</v>
      </c>
      <c r="AB41">
        <f t="shared" si="5"/>
        <v>1.0711847727263619</v>
      </c>
      <c r="AC41">
        <f t="shared" si="6"/>
        <v>7.8176159999999992</v>
      </c>
      <c r="AD41">
        <f>(AC41 * (1 -AM41) + (0.04 * AC41)) * ( 1 - AV$11 )</f>
        <v>2.8893908736</v>
      </c>
      <c r="AE41">
        <f>AD41 * AT$11 * AP$11 * AR$11 * AU$11</f>
        <v>1.3593728800589413E-4</v>
      </c>
      <c r="AF41">
        <f>AD41 * AT$11 * AQ$11 * AS$11 * AU$11</f>
        <v>1.627523146810294E-3</v>
      </c>
      <c r="AG41">
        <f t="shared" si="0"/>
        <v>0.7442566518322703</v>
      </c>
      <c r="AH41">
        <f t="shared" si="1"/>
        <v>8.9106892287863602</v>
      </c>
      <c r="AI41">
        <f>((0.3 * AC41 * $AN$13 * (1 - ($AM$13 + 0.1)) + (0.105 * $Z41 * $AC41 * 0.008) + (0.0152 * $AC41)) / 6.25) + (0.08 * 0.032 * $W41 / 6.38)</f>
        <v>3.9292063490764792E-2</v>
      </c>
      <c r="AJ41">
        <f t="shared" si="7"/>
        <v>215.12404761193724</v>
      </c>
      <c r="AK41">
        <f>(AC41 * $AN41 / 6.25) + (0.032 * W41 / 6.38) - AA41 - AI41 - ((1.1 * (10 ^ -4) * (N41 ^ 0.75)) / 6.25)</f>
        <v>8.0180415495995347E-2</v>
      </c>
      <c r="AL41">
        <f t="shared" si="8"/>
        <v>438.98777484057456</v>
      </c>
      <c r="AM41">
        <v>0.6</v>
      </c>
      <c r="AN41">
        <v>0.1</v>
      </c>
      <c r="CL41" s="2" t="s">
        <v>94</v>
      </c>
      <c r="CM41" s="2">
        <v>0.71</v>
      </c>
    </row>
    <row r="42" spans="11:92" x14ac:dyDescent="0.2">
      <c r="L42" t="s">
        <v>57</v>
      </c>
      <c r="M42">
        <v>30</v>
      </c>
      <c r="N42">
        <v>460</v>
      </c>
      <c r="O42">
        <v>0.1</v>
      </c>
      <c r="P42" cm="1">
        <f t="array" ref="P42">_xlfn.XLOOKUP(K$39,$BX$169:$CG$169,_xlfn.XLOOKUP($E$11,$BW$170:$BW$176,$BX$170:$CG$176))</f>
        <v>600</v>
      </c>
      <c r="Q42">
        <f t="shared" si="2"/>
        <v>0.76666666666666672</v>
      </c>
      <c r="T42">
        <f t="shared" si="22"/>
        <v>0</v>
      </c>
      <c r="V42">
        <v>1</v>
      </c>
      <c r="W42">
        <v>0</v>
      </c>
      <c r="X42">
        <v>0</v>
      </c>
      <c r="Y42">
        <f t="shared" si="3"/>
        <v>0</v>
      </c>
      <c r="Z42">
        <f t="shared" ref="Z42" si="39">0.1604 * ($AM$14*100) - 1.037</f>
        <v>6.9829999999999997</v>
      </c>
      <c r="AA42">
        <f t="shared" si="4"/>
        <v>1.2768791052116398E-3</v>
      </c>
      <c r="AB42">
        <f t="shared" si="5"/>
        <v>1.0232680056743308</v>
      </c>
      <c r="AC42">
        <f t="shared" si="6"/>
        <v>7.5885924675999998</v>
      </c>
      <c r="AD42">
        <f>(AC42 * (1 -AM42) + (0.04 * AC42)) * ( 1 - AV$11 )</f>
        <v>3.4421855433033599</v>
      </c>
      <c r="AE42">
        <f>AD42 * AT$11 * AP$11 * AR$11 * AU$11</f>
        <v>1.6194464094321492E-4</v>
      </c>
      <c r="AF42">
        <f>AD42 * AT$11 * AQ$11 * AS$11 * AU$11</f>
        <v>1.9388988518406825E-3</v>
      </c>
      <c r="AG42">
        <f t="shared" si="0"/>
        <v>0.4433234545820508</v>
      </c>
      <c r="AH42">
        <f t="shared" si="1"/>
        <v>5.3077356069138686</v>
      </c>
      <c r="AI42">
        <f>((0.3 * AC42 * $AN$14 * (1 - ($AM$14 + 0.1)) + (0.105 * $Z42 * $AC42 * 0.008) + (0.0152 * $AC42)) / 6.25) + (0.08 * 0.032 * $W42 / 6.38)</f>
        <v>3.4319524781326508E-2</v>
      </c>
      <c r="AJ42">
        <f t="shared" si="7"/>
        <v>93.949699088881317</v>
      </c>
      <c r="AK42">
        <f>(AC42 * $AN42 / 6.25) + (0.032 * W42 / 6.38) - AA42 - AI42 - ((1.1 * (10 ^ -4) * (N42 ^ 0.75)) / 6.25)</f>
        <v>3.5505924354929295E-2</v>
      </c>
      <c r="AL42">
        <f t="shared" si="8"/>
        <v>97.197467921618951</v>
      </c>
      <c r="AM42">
        <v>0.5</v>
      </c>
      <c r="AN42">
        <v>0.06</v>
      </c>
      <c r="CL42" s="2" t="s">
        <v>95</v>
      </c>
      <c r="CM42" s="2">
        <v>0.56000000000000005</v>
      </c>
    </row>
    <row r="43" spans="11:92" x14ac:dyDescent="0.2">
      <c r="K43" t="s">
        <v>50</v>
      </c>
      <c r="L43" t="s">
        <v>54</v>
      </c>
      <c r="M43">
        <v>100</v>
      </c>
      <c r="N43" cm="1">
        <f t="array" ref="N43:N46">_xlfn.XLOOKUP(K43, $BX$46:$CG$46, $BX$47:$CG$50)</f>
        <v>380</v>
      </c>
      <c r="O43" cm="1">
        <f t="array" ref="O43:O46">_xlfn.XLOOKUP(K43, $BX$106:$CG$106, $BX$107:$CG$110)</f>
        <v>0.4</v>
      </c>
      <c r="P43" cm="1">
        <f t="array" ref="P43">_xlfn.XLOOKUP(K$43,$BX$169:$CG$169,_xlfn.XLOOKUP($E$11,$BW$170:$BW$176,$BX$170:$CG$176))</f>
        <v>600</v>
      </c>
      <c r="Q43">
        <f t="shared" si="2"/>
        <v>0.6333333333333333</v>
      </c>
      <c r="T43">
        <f t="shared" si="22"/>
        <v>0</v>
      </c>
      <c r="V43">
        <v>1</v>
      </c>
      <c r="W43">
        <v>0</v>
      </c>
      <c r="X43">
        <v>0</v>
      </c>
      <c r="Y43">
        <f t="shared" si="3"/>
        <v>0</v>
      </c>
      <c r="Z43">
        <f t="shared" ref="Z43" si="40">0.1604 * ($AM$11*100) - 1.037</f>
        <v>7.785000000000001</v>
      </c>
      <c r="AA43">
        <f t="shared" si="4"/>
        <v>5.9536831562818603E-3</v>
      </c>
      <c r="AB43">
        <f t="shared" si="5"/>
        <v>1.101888665936833</v>
      </c>
      <c r="AC43">
        <f t="shared" si="6"/>
        <v>7.0796437775999967</v>
      </c>
      <c r="AD43">
        <f>(AC43 * (1 -AM43) + (0.04 * AC43)) * ( 1 - AV$11 )</f>
        <v>2.9139813788601581</v>
      </c>
      <c r="AE43">
        <f>AD43 * AT$11 * AP$11 * AR$11 * AU$11</f>
        <v>1.37094198490489E-4</v>
      </c>
      <c r="AF43">
        <f>AD43 * AT$11 * AQ$11 * AS$11 * AU$11</f>
        <v>1.6413743764477724E-3</v>
      </c>
      <c r="AG43">
        <f t="shared" ref="AG43:AG74" si="41">M43*AE43*91.25</f>
        <v>1.2509845612257122</v>
      </c>
      <c r="AH43">
        <f t="shared" ref="AH43:AH74" si="42">M43*AF43*91.25</f>
        <v>14.977541185085922</v>
      </c>
      <c r="AI43">
        <f>((0.3 * AC43 * $AN$11 * (1 - ($AM$11 + 0.1)) + (0.105 * $Z43 * $AC43 * 0.008) + (0.0152 * $AC43)) / 6.25) + (0.08 * 0.032 * $W43 / 6.38)</f>
        <v>3.2950814352658779E-2</v>
      </c>
      <c r="AJ43">
        <f t="shared" si="7"/>
        <v>300.67618096801135</v>
      </c>
      <c r="AK43">
        <f>(AC43 * $AN43 / 6.25) + (0.032 * W43 / 6.38) - AA43 - AI43 - ((1.1 * (10 ^ -4) * (N43 ^ 0.75)) / 6.25)</f>
        <v>3.8872729999792265E-2</v>
      </c>
      <c r="AL43">
        <f t="shared" si="8"/>
        <v>354.71366124810442</v>
      </c>
      <c r="AM43" cm="1">
        <f t="array" ref="AM43:AM46">_xlfn.XLOOKUP(G$11,$BV$17:$CD$17,$BV$18:$CD$21)</f>
        <v>0.55000000000000004</v>
      </c>
      <c r="AN43" cm="1">
        <f t="array" ref="AN43:AN46">_xlfn.XLOOKUP(G$11,$BV$29:$CD$29,$BV$30:$CD$33)</f>
        <v>7.0000000000000007E-2</v>
      </c>
      <c r="CK43" t="s">
        <v>65</v>
      </c>
      <c r="CL43" s="2" t="s">
        <v>193</v>
      </c>
      <c r="CM43" s="2">
        <v>0.51</v>
      </c>
    </row>
    <row r="44" spans="11:92" x14ac:dyDescent="0.2">
      <c r="L44" t="s">
        <v>55</v>
      </c>
      <c r="M44">
        <v>110</v>
      </c>
      <c r="N44">
        <v>420</v>
      </c>
      <c r="O44">
        <v>0.4</v>
      </c>
      <c r="P44" cm="1">
        <f t="array" ref="P44">_xlfn.XLOOKUP(K$43,$BX$169:$CG$169,_xlfn.XLOOKUP($E$11,$BW$170:$BW$176,$BX$170:$CG$176))</f>
        <v>600</v>
      </c>
      <c r="Q44">
        <f t="shared" si="2"/>
        <v>0.7</v>
      </c>
      <c r="T44">
        <f t="shared" si="22"/>
        <v>0</v>
      </c>
      <c r="V44">
        <v>1</v>
      </c>
      <c r="W44">
        <v>0</v>
      </c>
      <c r="X44">
        <v>0</v>
      </c>
      <c r="Y44">
        <f t="shared" si="3"/>
        <v>0</v>
      </c>
      <c r="Z44">
        <f t="shared" ref="Z44" si="43">0.1604 * ($AM$12*100) - 1.037</f>
        <v>9.3889999999999993</v>
      </c>
      <c r="AA44">
        <f t="shared" si="4"/>
        <v>5.4689366245148753E-3</v>
      </c>
      <c r="AB44">
        <f t="shared" si="5"/>
        <v>1.0979922441560788</v>
      </c>
      <c r="AC44">
        <f t="shared" si="6"/>
        <v>7.6129639056</v>
      </c>
      <c r="AD44">
        <f>(AC44 * (1 -AM44) + (0.04 * AC44)) * ( 1 - AV$11 )</f>
        <v>2.49400697547456</v>
      </c>
      <c r="AE44">
        <f>AD44 * AT$11 * AP$11 * AR$11 * AU$11</f>
        <v>1.1733564593543065E-4</v>
      </c>
      <c r="AF44">
        <f>AD44 * AT$11 * AQ$11 * AS$11 * AU$11</f>
        <v>1.4048130759940598E-3</v>
      </c>
      <c r="AG44">
        <f t="shared" si="41"/>
        <v>1.1777565460768851</v>
      </c>
      <c r="AH44">
        <f t="shared" si="42"/>
        <v>14.100811250290375</v>
      </c>
      <c r="AI44">
        <f>((0.3 * AC44 * $AN$12 * (1 - ($AM$12 + 0.1)) + (0.105 * $Z44 * $AC44 * 0.008) + (0.0152 * $AC44)) / 6.25) + (0.08 * 0.032 * $W44 / 6.38)</f>
        <v>3.9997610985095973E-2</v>
      </c>
      <c r="AJ44">
        <f t="shared" si="7"/>
        <v>401.47602026290087</v>
      </c>
      <c r="AK44">
        <f>(AC44 * $AN44 / 6.25) + (0.032 * W44 / 6.38) - AA44 - AI44 - ((1.1 * (10 ^ -4) * (N44 ^ 0.75)) / 6.25)</f>
        <v>0.11125023905023224</v>
      </c>
      <c r="AL44">
        <f t="shared" si="8"/>
        <v>1116.674274466706</v>
      </c>
      <c r="AM44">
        <v>0.65</v>
      </c>
      <c r="AN44">
        <v>0.13</v>
      </c>
      <c r="CK44" t="s">
        <v>65</v>
      </c>
      <c r="CL44" s="2" t="s">
        <v>62</v>
      </c>
      <c r="CM44" s="2">
        <v>0.89</v>
      </c>
    </row>
    <row r="45" spans="11:92" x14ac:dyDescent="0.2">
      <c r="L45" t="s">
        <v>56</v>
      </c>
      <c r="M45">
        <v>120</v>
      </c>
      <c r="N45">
        <v>450</v>
      </c>
      <c r="O45">
        <v>0.3</v>
      </c>
      <c r="P45" cm="1">
        <f t="array" ref="P45">_xlfn.XLOOKUP(K$43,$BX$169:$CG$169,_xlfn.XLOOKUP($E$11,$BW$170:$BW$176,$BX$170:$CG$176))</f>
        <v>600</v>
      </c>
      <c r="Q45">
        <f t="shared" si="2"/>
        <v>0.75</v>
      </c>
      <c r="T45">
        <f t="shared" si="22"/>
        <v>0</v>
      </c>
      <c r="V45">
        <v>1</v>
      </c>
      <c r="W45">
        <v>0</v>
      </c>
      <c r="X45">
        <v>0</v>
      </c>
      <c r="Y45">
        <f t="shared" si="3"/>
        <v>0</v>
      </c>
      <c r="Z45">
        <f t="shared" ref="Z45" si="44">0.1604 * ($AM$13*100) - 1.037</f>
        <v>8.5869999999999997</v>
      </c>
      <c r="AA45">
        <f t="shared" si="4"/>
        <v>3.8897983284177057E-3</v>
      </c>
      <c r="AB45">
        <f t="shared" si="5"/>
        <v>1.0711847727263619</v>
      </c>
      <c r="AC45">
        <f t="shared" si="6"/>
        <v>7.8176159999999992</v>
      </c>
      <c r="AD45">
        <f>(AC45 * (1 -AM45) + (0.04 * AC45)) * ( 1 - AV$11 )</f>
        <v>2.8893908736</v>
      </c>
      <c r="AE45">
        <f>AD45 * AT$11 * AP$11 * AR$11 * AU$11</f>
        <v>1.3593728800589413E-4</v>
      </c>
      <c r="AF45">
        <f>AD45 * AT$11 * AQ$11 * AS$11 * AU$11</f>
        <v>1.627523146810294E-3</v>
      </c>
      <c r="AG45">
        <f t="shared" si="41"/>
        <v>1.4885133036645406</v>
      </c>
      <c r="AH45">
        <f t="shared" si="42"/>
        <v>17.82137845757272</v>
      </c>
      <c r="AI45">
        <f>((0.3 * AC45 * $AN$13 * (1 - ($AM$13 + 0.1)) + (0.105 * $Z45 * $AC45 * 0.008) + (0.0152 * $AC45)) / 6.25) + (0.08 * 0.032 * $W45 / 6.38)</f>
        <v>3.9292063490764792E-2</v>
      </c>
      <c r="AJ45">
        <f t="shared" si="7"/>
        <v>430.24809522387449</v>
      </c>
      <c r="AK45">
        <f>(AC45 * $AN45 / 6.25) + (0.032 * W45 / 6.38) - AA45 - AI45 - ((1.1 * (10 ^ -4) * (N45 ^ 0.75)) / 6.25)</f>
        <v>8.0180415495995347E-2</v>
      </c>
      <c r="AL45">
        <f t="shared" si="8"/>
        <v>877.97554968114912</v>
      </c>
      <c r="AM45">
        <v>0.6</v>
      </c>
      <c r="AN45">
        <v>0.1</v>
      </c>
      <c r="BX45" s="3" t="s">
        <v>66</v>
      </c>
      <c r="BY45" s="3" t="s">
        <v>66</v>
      </c>
      <c r="BZ45" s="3" t="s">
        <v>67</v>
      </c>
      <c r="CA45" s="3" t="s">
        <v>67</v>
      </c>
      <c r="CB45" s="3" t="s">
        <v>67</v>
      </c>
      <c r="CC45" s="3" t="s">
        <v>67</v>
      </c>
      <c r="CD45" s="3" t="s">
        <v>68</v>
      </c>
      <c r="CE45" s="3" t="s">
        <v>68</v>
      </c>
      <c r="CF45" s="3" t="s">
        <v>68</v>
      </c>
      <c r="CG45" s="3" t="s">
        <v>68</v>
      </c>
      <c r="CK45" t="s">
        <v>65</v>
      </c>
      <c r="CL45" s="2" t="s">
        <v>63</v>
      </c>
      <c r="CM45" s="2">
        <v>0.28000000000000003</v>
      </c>
    </row>
    <row r="46" spans="11:92" x14ac:dyDescent="0.2">
      <c r="L46" t="s">
        <v>57</v>
      </c>
      <c r="M46">
        <v>130</v>
      </c>
      <c r="N46">
        <v>460</v>
      </c>
      <c r="O46">
        <v>0.1</v>
      </c>
      <c r="P46" cm="1">
        <f t="array" ref="P46">_xlfn.XLOOKUP(K$43,$BX$169:$CG$169,_xlfn.XLOOKUP($E$11,$BW$170:$BW$176,$BX$170:$CG$176))</f>
        <v>600</v>
      </c>
      <c r="Q46">
        <f t="shared" si="2"/>
        <v>0.76666666666666672</v>
      </c>
      <c r="T46">
        <f t="shared" si="22"/>
        <v>0</v>
      </c>
      <c r="V46">
        <v>1</v>
      </c>
      <c r="W46">
        <v>0</v>
      </c>
      <c r="X46">
        <v>0</v>
      </c>
      <c r="Y46">
        <f t="shared" si="3"/>
        <v>0</v>
      </c>
      <c r="Z46">
        <f t="shared" ref="Z46" si="45">0.1604 * ($AM$14*100) - 1.037</f>
        <v>6.9829999999999997</v>
      </c>
      <c r="AA46">
        <f t="shared" si="4"/>
        <v>1.2768791052116398E-3</v>
      </c>
      <c r="AB46">
        <f t="shared" si="5"/>
        <v>1.0232680056743308</v>
      </c>
      <c r="AC46">
        <f t="shared" si="6"/>
        <v>7.5885924675999998</v>
      </c>
      <c r="AD46">
        <f>(AC46 * (1 -AM46) + (0.04 * AC46)) * ( 1 - AV$11 )</f>
        <v>3.4421855433033599</v>
      </c>
      <c r="AE46">
        <f>AD46 * AT$11 * AP$11 * AR$11 * AU$11</f>
        <v>1.6194464094321492E-4</v>
      </c>
      <c r="AF46">
        <f>AD46 * AT$11 * AQ$11 * AS$11 * AU$11</f>
        <v>1.9388988518406825E-3</v>
      </c>
      <c r="AG46">
        <f t="shared" si="41"/>
        <v>1.9210683031888869</v>
      </c>
      <c r="AH46">
        <f t="shared" si="42"/>
        <v>23.000187629960099</v>
      </c>
      <c r="AI46">
        <f>((0.3 * AC46 * $AN$14 * (1 - ($AM$14 + 0.1)) + (0.105 * $Z46 * $AC46 * 0.008) + (0.0152 * $AC46)) / 6.25) + (0.08 * 0.032 * $W46 / 6.38)</f>
        <v>3.4319524781326508E-2</v>
      </c>
      <c r="AJ46">
        <f t="shared" si="7"/>
        <v>407.1153627184857</v>
      </c>
      <c r="AK46">
        <f>(AC46 * $AN46 / 6.25) + (0.032 * W46 / 6.38) - AA46 - AI46 - ((1.1 * (10 ^ -4) * (N46 ^ 0.75)) / 6.25)</f>
        <v>3.5505924354929295E-2</v>
      </c>
      <c r="AL46">
        <f t="shared" si="8"/>
        <v>421.18902766034876</v>
      </c>
      <c r="AM46">
        <v>0.5</v>
      </c>
      <c r="AN46">
        <v>0.06</v>
      </c>
      <c r="BX46" s="3" t="s">
        <v>42</v>
      </c>
      <c r="BY46" s="3" t="s">
        <v>43</v>
      </c>
      <c r="BZ46" s="3" t="s">
        <v>44</v>
      </c>
      <c r="CA46" s="4" t="s">
        <v>45</v>
      </c>
      <c r="CB46" s="3" t="s">
        <v>46</v>
      </c>
      <c r="CC46" s="3" t="s">
        <v>47</v>
      </c>
      <c r="CD46" s="3" t="s">
        <v>48</v>
      </c>
      <c r="CE46" s="3" t="s">
        <v>49</v>
      </c>
      <c r="CF46" s="3" t="s">
        <v>50</v>
      </c>
      <c r="CG46" s="3" t="s">
        <v>51</v>
      </c>
      <c r="CK46" t="s">
        <v>65</v>
      </c>
      <c r="CL46" s="2" t="s">
        <v>71</v>
      </c>
      <c r="CM46" s="2">
        <v>0.3</v>
      </c>
    </row>
    <row r="47" spans="11:92" x14ac:dyDescent="0.2">
      <c r="K47" t="s">
        <v>51</v>
      </c>
      <c r="L47" t="s">
        <v>54</v>
      </c>
      <c r="M47">
        <v>50</v>
      </c>
      <c r="N47" cm="1">
        <f t="array" ref="N47:N50">_xlfn.XLOOKUP(K47, $BX$46:$CG$46, $BX$47:$CG$50)</f>
        <v>380</v>
      </c>
      <c r="O47" cm="1">
        <f t="array" ref="O47:O50">_xlfn.XLOOKUP(K47, $BX$106:$CG$106, $BX$107:$CG$110)</f>
        <v>0.4</v>
      </c>
      <c r="P47" cm="1">
        <f t="array" ref="P47">_xlfn.XLOOKUP(K$47,$BX$169:$CG$169,_xlfn.XLOOKUP($E$11,$BW$170:$BW$176,$BX$170:$CG$176))</f>
        <v>600</v>
      </c>
      <c r="Q47">
        <f t="shared" si="2"/>
        <v>0.6333333333333333</v>
      </c>
      <c r="T47">
        <f t="shared" si="22"/>
        <v>0</v>
      </c>
      <c r="V47">
        <v>1</v>
      </c>
      <c r="W47">
        <v>0</v>
      </c>
      <c r="X47">
        <v>0</v>
      </c>
      <c r="Y47">
        <f t="shared" si="3"/>
        <v>0</v>
      </c>
      <c r="Z47">
        <f t="shared" ref="Z47" si="46">0.1604 * ($AM$11*100) - 1.037</f>
        <v>7.785000000000001</v>
      </c>
      <c r="AA47">
        <f t="shared" si="4"/>
        <v>5.9536831562818603E-3</v>
      </c>
      <c r="AB47">
        <f t="shared" si="5"/>
        <v>1.101888665936833</v>
      </c>
      <c r="AC47">
        <f t="shared" si="6"/>
        <v>7.0796437775999967</v>
      </c>
      <c r="AD47">
        <f>(AC47 * (1 -AM47) + (0.04 * AC47)) * ( 1 - AV$11 )</f>
        <v>2.9139813788601581</v>
      </c>
      <c r="AE47">
        <f>AD47 * AT$11 * AP$11 * AR$11 * AU$11</f>
        <v>1.37094198490489E-4</v>
      </c>
      <c r="AF47">
        <f>AD47 * AT$11 * AQ$11 * AS$11 * AU$11</f>
        <v>1.6413743764477724E-3</v>
      </c>
      <c r="AG47">
        <f t="shared" si="41"/>
        <v>0.62549228061285611</v>
      </c>
      <c r="AH47">
        <f t="shared" si="42"/>
        <v>7.4887705925429611</v>
      </c>
      <c r="AI47">
        <f>((0.3 * AC47 * $AN$11 * (1 - ($AM$11 + 0.1)) + (0.105 * $Z47 * $AC47 * 0.008) + (0.0152 * $AC47)) / 6.25) + (0.08 * 0.032 * $W47 / 6.38)</f>
        <v>3.2950814352658779E-2</v>
      </c>
      <c r="AJ47">
        <f t="shared" si="7"/>
        <v>150.33809048400568</v>
      </c>
      <c r="AK47">
        <f>(AC47 * $AN47 / 6.25) + (0.032 * W47 / 6.38) - AA47 - AI47 - ((1.1 * (10 ^ -4) * (N47 ^ 0.75)) / 6.25)</f>
        <v>3.8872729999792265E-2</v>
      </c>
      <c r="AL47">
        <f t="shared" si="8"/>
        <v>177.35683062405221</v>
      </c>
      <c r="AM47" cm="1">
        <f t="array" ref="AM47:AM50">_xlfn.XLOOKUP(G$11,$BV$17:$CD$17,$BV$18:$CD$21)</f>
        <v>0.55000000000000004</v>
      </c>
      <c r="AN47" cm="1">
        <f t="array" ref="AN47:AN50">_xlfn.XLOOKUP(G$11,$BV$29:$CD$29,$BV$30:$CD$33)</f>
        <v>7.0000000000000007E-2</v>
      </c>
      <c r="BU47" t="s">
        <v>53</v>
      </c>
      <c r="BW47" s="2" t="s">
        <v>54</v>
      </c>
      <c r="BX47" s="2">
        <v>80</v>
      </c>
      <c r="BY47" s="2">
        <v>480</v>
      </c>
      <c r="BZ47" s="2">
        <v>75</v>
      </c>
      <c r="CA47" s="2">
        <v>300</v>
      </c>
      <c r="CB47" s="2">
        <v>440</v>
      </c>
      <c r="CC47" s="2">
        <v>440</v>
      </c>
      <c r="CD47" s="2">
        <v>75</v>
      </c>
      <c r="CE47">
        <v>380</v>
      </c>
      <c r="CF47">
        <v>380</v>
      </c>
      <c r="CG47">
        <v>380</v>
      </c>
    </row>
    <row r="48" spans="11:92" x14ac:dyDescent="0.2">
      <c r="L48" t="s">
        <v>55</v>
      </c>
      <c r="M48">
        <v>55</v>
      </c>
      <c r="N48">
        <v>420</v>
      </c>
      <c r="O48">
        <v>0.4</v>
      </c>
      <c r="P48" cm="1">
        <f t="array" ref="P48">_xlfn.XLOOKUP(K$47,$BX$169:$CG$169,_xlfn.XLOOKUP($E$11,$BW$170:$BW$176,$BX$170:$CG$176))</f>
        <v>600</v>
      </c>
      <c r="Q48">
        <f t="shared" si="2"/>
        <v>0.7</v>
      </c>
      <c r="T48">
        <f t="shared" si="22"/>
        <v>0</v>
      </c>
      <c r="V48">
        <v>1</v>
      </c>
      <c r="W48">
        <v>0</v>
      </c>
      <c r="X48">
        <v>0</v>
      </c>
      <c r="Y48">
        <f t="shared" si="3"/>
        <v>0</v>
      </c>
      <c r="Z48">
        <f t="shared" ref="Z48" si="47">0.1604 * ($AM$12*100) - 1.037</f>
        <v>9.3889999999999993</v>
      </c>
      <c r="AA48">
        <f t="shared" si="4"/>
        <v>5.4689366245148753E-3</v>
      </c>
      <c r="AB48">
        <f t="shared" si="5"/>
        <v>1.0979922441560788</v>
      </c>
      <c r="AC48">
        <f t="shared" si="6"/>
        <v>7.6129639056</v>
      </c>
      <c r="AD48">
        <f>(AC48 * (1 -AM48) + (0.04 * AC48)) * ( 1 - AV$11 )</f>
        <v>2.49400697547456</v>
      </c>
      <c r="AE48">
        <f>AD48 * AT$11 * AP$11 * AR$11 * AU$11</f>
        <v>1.1733564593543065E-4</v>
      </c>
      <c r="AF48">
        <f>AD48 * AT$11 * AQ$11 * AS$11 * AU$11</f>
        <v>1.4048130759940598E-3</v>
      </c>
      <c r="AG48">
        <f t="shared" si="41"/>
        <v>0.58887827303844253</v>
      </c>
      <c r="AH48">
        <f t="shared" si="42"/>
        <v>7.0504056251451876</v>
      </c>
      <c r="AI48">
        <f>((0.3 * AC48 * $AN$12 * (1 - ($AM$12 + 0.1)) + (0.105 * $Z48 * $AC48 * 0.008) + (0.0152 * $AC48)) / 6.25) + (0.08 * 0.032 * $W48 / 6.38)</f>
        <v>3.9997610985095973E-2</v>
      </c>
      <c r="AJ48">
        <f t="shared" si="7"/>
        <v>200.73801013145044</v>
      </c>
      <c r="AK48">
        <f>(AC48 * $AN48 / 6.25) + (0.032 * W48 / 6.38) - AA48 - AI48 - ((1.1 * (10 ^ -4) * (N48 ^ 0.75)) / 6.25)</f>
        <v>0.11125023905023224</v>
      </c>
      <c r="AL48">
        <f t="shared" si="8"/>
        <v>558.33713723335302</v>
      </c>
      <c r="AM48">
        <v>0.65</v>
      </c>
      <c r="AN48">
        <v>0.13</v>
      </c>
      <c r="BW48" s="2" t="s">
        <v>55</v>
      </c>
      <c r="BX48" s="2">
        <v>170</v>
      </c>
      <c r="BY48" s="2">
        <v>520</v>
      </c>
      <c r="BZ48" s="2">
        <v>160</v>
      </c>
      <c r="CA48" s="2">
        <v>360</v>
      </c>
      <c r="CB48">
        <v>470</v>
      </c>
      <c r="CC48">
        <v>470</v>
      </c>
      <c r="CD48">
        <v>160</v>
      </c>
      <c r="CE48">
        <v>420</v>
      </c>
      <c r="CF48">
        <v>420</v>
      </c>
      <c r="CG48">
        <v>420</v>
      </c>
    </row>
    <row r="49" spans="1:85" x14ac:dyDescent="0.2">
      <c r="L49" t="s">
        <v>56</v>
      </c>
      <c r="M49">
        <v>60</v>
      </c>
      <c r="N49">
        <v>450</v>
      </c>
      <c r="O49">
        <v>0.3</v>
      </c>
      <c r="P49" cm="1">
        <f t="array" ref="P49">_xlfn.XLOOKUP(K$47,$BX$169:$CG$169,_xlfn.XLOOKUP($E$11,$BW$170:$BW$176,$BX$170:$CG$176))</f>
        <v>600</v>
      </c>
      <c r="Q49">
        <f t="shared" si="2"/>
        <v>0.75</v>
      </c>
      <c r="T49">
        <f t="shared" si="22"/>
        <v>0</v>
      </c>
      <c r="V49">
        <v>1</v>
      </c>
      <c r="W49">
        <v>0</v>
      </c>
      <c r="X49">
        <v>0</v>
      </c>
      <c r="Y49">
        <f t="shared" si="3"/>
        <v>0</v>
      </c>
      <c r="Z49">
        <f t="shared" ref="Z49" si="48">0.1604 * ($AM$13*100) - 1.037</f>
        <v>8.5869999999999997</v>
      </c>
      <c r="AA49">
        <f t="shared" si="4"/>
        <v>3.8897983284177057E-3</v>
      </c>
      <c r="AB49">
        <f t="shared" si="5"/>
        <v>1.0711847727263619</v>
      </c>
      <c r="AC49">
        <f t="shared" si="6"/>
        <v>7.8176159999999992</v>
      </c>
      <c r="AD49">
        <f>(AC49 * (1 -AM49) + (0.04 * AC49)) * ( 1 - AV$11 )</f>
        <v>2.8893908736</v>
      </c>
      <c r="AE49">
        <f>AD49 * AT$11 * AP$11 * AR$11 * AU$11</f>
        <v>1.3593728800589413E-4</v>
      </c>
      <c r="AF49">
        <f>AD49 * AT$11 * AQ$11 * AS$11 * AU$11</f>
        <v>1.627523146810294E-3</v>
      </c>
      <c r="AG49">
        <f t="shared" si="41"/>
        <v>0.7442566518322703</v>
      </c>
      <c r="AH49">
        <f t="shared" si="42"/>
        <v>8.9106892287863602</v>
      </c>
      <c r="AI49">
        <f>((0.3 * AC49 * $AN$13 * (1 - ($AM$13 + 0.1)) + (0.105 * $Z49 * $AC49 * 0.008) + (0.0152 * $AC49)) / 6.25) + (0.08 * 0.032 * $W49 / 6.38)</f>
        <v>3.9292063490764792E-2</v>
      </c>
      <c r="AJ49">
        <f t="shared" si="7"/>
        <v>215.12404761193724</v>
      </c>
      <c r="AK49">
        <f>(AC49 * $AN49 / 6.25) + (0.032 * W49 / 6.38) - AA49 - AI49 - ((1.1 * (10 ^ -4) * (N49 ^ 0.75)) / 6.25)</f>
        <v>8.0180415495995347E-2</v>
      </c>
      <c r="AL49">
        <f t="shared" si="8"/>
        <v>438.98777484057456</v>
      </c>
      <c r="AM49">
        <v>0.6</v>
      </c>
      <c r="AN49">
        <v>0.1</v>
      </c>
      <c r="BW49" s="2" t="s">
        <v>56</v>
      </c>
      <c r="BX49" s="2">
        <v>240</v>
      </c>
      <c r="BY49" s="2">
        <v>550</v>
      </c>
      <c r="BZ49" s="2">
        <v>220</v>
      </c>
      <c r="CA49" s="2">
        <v>390</v>
      </c>
      <c r="CB49">
        <v>490</v>
      </c>
      <c r="CC49">
        <v>490</v>
      </c>
      <c r="CD49">
        <v>220</v>
      </c>
      <c r="CE49">
        <v>450</v>
      </c>
      <c r="CF49">
        <v>450</v>
      </c>
      <c r="CG49">
        <v>450</v>
      </c>
    </row>
    <row r="50" spans="1:85" x14ac:dyDescent="0.2">
      <c r="L50" t="s">
        <v>57</v>
      </c>
      <c r="M50">
        <v>65</v>
      </c>
      <c r="N50">
        <v>460</v>
      </c>
      <c r="O50">
        <v>0.1</v>
      </c>
      <c r="P50" cm="1">
        <f t="array" ref="P50">_xlfn.XLOOKUP(K$47,$BX$169:$CG$169,_xlfn.XLOOKUP($E$11,$BW$170:$BW$176,$BX$170:$CG$176))</f>
        <v>600</v>
      </c>
      <c r="Q50">
        <f t="shared" si="2"/>
        <v>0.76666666666666672</v>
      </c>
      <c r="T50">
        <f t="shared" si="22"/>
        <v>0</v>
      </c>
      <c r="V50">
        <v>1</v>
      </c>
      <c r="W50">
        <v>0</v>
      </c>
      <c r="X50">
        <v>0</v>
      </c>
      <c r="Y50">
        <f t="shared" si="3"/>
        <v>0</v>
      </c>
      <c r="Z50">
        <f t="shared" ref="Z50" si="49">0.1604 * ($AM$14*100) - 1.037</f>
        <v>6.9829999999999997</v>
      </c>
      <c r="AA50">
        <f t="shared" si="4"/>
        <v>1.2768791052116398E-3</v>
      </c>
      <c r="AB50">
        <f t="shared" si="5"/>
        <v>1.0232680056743308</v>
      </c>
      <c r="AC50">
        <f t="shared" si="6"/>
        <v>7.5885924675999998</v>
      </c>
      <c r="AD50">
        <f>(AC50 * (1 -AM50) + (0.04 * AC50)) * ( 1 - AV$11 )</f>
        <v>3.4421855433033599</v>
      </c>
      <c r="AE50">
        <f>AD50 * AT$11 * AP$11 * AR$11 * AU$11</f>
        <v>1.6194464094321492E-4</v>
      </c>
      <c r="AF50">
        <f>AD50 * AT$11 * AQ$11 * AS$11 * AU$11</f>
        <v>1.9388988518406825E-3</v>
      </c>
      <c r="AG50">
        <f t="shared" si="41"/>
        <v>0.96053415159444344</v>
      </c>
      <c r="AH50">
        <f t="shared" si="42"/>
        <v>11.500093814980049</v>
      </c>
      <c r="AI50">
        <f>((0.3 * AC50 * $AN$14 * (1 - ($AM$14 + 0.1)) + (0.105 * $Z50 * $AC50 * 0.008) + (0.0152 * $AC50)) / 6.25) + (0.08 * 0.032 * $W50 / 6.38)</f>
        <v>3.4319524781326508E-2</v>
      </c>
      <c r="AJ50">
        <f t="shared" si="7"/>
        <v>203.55768135924285</v>
      </c>
      <c r="AK50">
        <f>(AC50 * $AN50 / 6.25) + (0.032 * W50 / 6.38) - AA50 - AI50 - ((1.1 * (10 ^ -4) * (N50 ^ 0.75)) / 6.25)</f>
        <v>3.5505924354929295E-2</v>
      </c>
      <c r="AL50">
        <f t="shared" si="8"/>
        <v>210.59451383017438</v>
      </c>
      <c r="AM50">
        <v>0.5</v>
      </c>
      <c r="AN50">
        <v>0.06</v>
      </c>
      <c r="BW50" s="2" t="s">
        <v>57</v>
      </c>
      <c r="BX50" s="2">
        <v>280</v>
      </c>
      <c r="BY50" s="2">
        <v>560</v>
      </c>
      <c r="BZ50" s="2">
        <v>260</v>
      </c>
      <c r="CA50" s="2">
        <v>410</v>
      </c>
      <c r="CB50">
        <v>500</v>
      </c>
      <c r="CC50">
        <v>500</v>
      </c>
      <c r="CD50">
        <v>260</v>
      </c>
      <c r="CE50">
        <v>460</v>
      </c>
      <c r="CF50">
        <v>460</v>
      </c>
      <c r="CG50">
        <v>460</v>
      </c>
    </row>
    <row r="51" spans="1:85" x14ac:dyDescent="0.2">
      <c r="A51" t="s">
        <v>116</v>
      </c>
      <c r="B51" t="s">
        <v>99</v>
      </c>
      <c r="C51" t="s">
        <v>169</v>
      </c>
      <c r="D51" t="s">
        <v>190</v>
      </c>
      <c r="F51" t="s">
        <v>53</v>
      </c>
      <c r="G51" t="s">
        <v>53</v>
      </c>
      <c r="H51" t="s">
        <v>180</v>
      </c>
      <c r="I51" t="s">
        <v>206</v>
      </c>
      <c r="J51" t="str">
        <f>IF(H51="Non-irrigated crop", IF(I51="high", "Non-irrigated crop (high rainfall)", "Non-irrigated crop (low rainfall)"), H51)</f>
        <v>Irrigated crop</v>
      </c>
      <c r="K51" t="s">
        <v>42</v>
      </c>
      <c r="L51" t="s">
        <v>54</v>
      </c>
      <c r="M51">
        <v>100</v>
      </c>
      <c r="N51" cm="1">
        <f t="array" ref="N51:N54">_xlfn.XLOOKUP(K51, $BX$46:$CG$46, $BX$47:$CG$50)</f>
        <v>80</v>
      </c>
      <c r="O51" cm="1">
        <f t="array" ref="O51:O54">_xlfn.XLOOKUP(K51, $BX$106:$CG$106, $BX$107:$CG$110)</f>
        <v>0.5</v>
      </c>
      <c r="P51" cm="1">
        <f t="array" ref="P51">_xlfn.XLOOKUP(K$11,$BX$169:$CG$169,_xlfn.XLOOKUP($D$11,$BW$170:$BW$176,$BX$170:$CG$176))</f>
        <v>700</v>
      </c>
      <c r="Q51">
        <f t="shared" si="2"/>
        <v>0.11428571428571428</v>
      </c>
      <c r="R51">
        <v>0</v>
      </c>
      <c r="T51">
        <f t="shared" si="22"/>
        <v>0</v>
      </c>
      <c r="V51">
        <v>1</v>
      </c>
      <c r="W51">
        <f>VLOOKUP($G$51, $CL$17:$CN$25, 2, FALSE)</f>
        <v>6</v>
      </c>
      <c r="X51">
        <v>0</v>
      </c>
      <c r="Y51">
        <f t="shared" si="3"/>
        <v>0</v>
      </c>
      <c r="Z51">
        <f>0.1604 * ($AM51*100) - 1.037</f>
        <v>7.785000000000001</v>
      </c>
      <c r="AA51">
        <f>(0.032 * Y51 /6.38) + ((0.212 - 0.008 * (AB51 - 2) - ((0.14 - 0.008 * (AB51 - 2)) / (1 + EXP(-6 * (Q51 - 0.4))))) * (O51 * 0.92)) / 6.25</f>
        <v>1.4421768711032507E-2</v>
      </c>
      <c r="AB51">
        <f t="shared" si="5"/>
        <v>1.2162479569787423</v>
      </c>
      <c r="AC51">
        <f>(1.185 + 0.00454 * N51 - 0.0000026 * N51^2 + 0.315 * O51)^2 * V51</f>
        <v>2.8529236835999998</v>
      </c>
      <c r="AD51">
        <f>(AC51 * (1 -AM51) + (0.04 * AC51)) * ( 1 - AV$51 )</f>
        <v>1.1742633881697597</v>
      </c>
      <c r="AE51">
        <f>AD51 * AT$51 * AP$51 * AR$51 * AU$51</f>
        <v>5.5245616593758213E-5</v>
      </c>
      <c r="AF51">
        <f>AD51 * AT$51 * AQ$51 * AS$51 * AU$51</f>
        <v>6.6143382058828331E-4</v>
      </c>
      <c r="AG51">
        <f t="shared" si="41"/>
        <v>0.50411625141804373</v>
      </c>
      <c r="AH51">
        <f t="shared" si="42"/>
        <v>6.0355836128680851</v>
      </c>
      <c r="AI51">
        <f>((0.3 * AC51 * $AN51 * (1 - ($AM51 + 0.1)) + (0.105 * $Z51 * $AC51 * 0.008) + (0.0152 * $AC51)) / 6.25) + (0.08 * 0.032 * $W51 / 6.38)</f>
        <v>1.5685897623246001E-2</v>
      </c>
      <c r="AJ51">
        <f>M51*AI51*91.25</f>
        <v>143.13381581211976</v>
      </c>
      <c r="AK51">
        <f>(AC51 * $AN51 / 6.25) + (0.032 * W51 / 6.38) - AA51 - AI51 - ((1.1 * (10 ^ -4) * (N51 ^ 0.75)) / 6.25)</f>
        <v>3.1468329634485426E-2</v>
      </c>
      <c r="AL51">
        <f>M51*AK51*91.25</f>
        <v>287.1485079146795</v>
      </c>
      <c r="AM51" cm="1">
        <f t="array" ref="AM51:AM54">_xlfn.XLOOKUP(G$51,$BV$17:$CD$17,$BV$18:$CD$21)</f>
        <v>0.55000000000000004</v>
      </c>
      <c r="AN51" cm="1">
        <f t="array" ref="AN51:AN54">_xlfn.XLOOKUP(G$51,$BV$29:$CD$29,$BV$30:$CD$33)</f>
        <v>7.0000000000000007E-2</v>
      </c>
      <c r="AO51" t="s">
        <v>91</v>
      </c>
      <c r="AP51">
        <f>IF(AO51="yes", $BV$6, $BW$6)</f>
        <v>0.05</v>
      </c>
      <c r="AQ51">
        <f>IF(AO51="yes", $BV$7, $BW$7)</f>
        <v>0.95</v>
      </c>
      <c r="AR51">
        <f>VLOOKUP(B51, $CH$17:$CI$26, 2, FALSE)</f>
        <v>7.3000000000000001E-3</v>
      </c>
      <c r="AS51">
        <f>$CI$14</f>
        <v>4.5999999999999999E-3</v>
      </c>
      <c r="AT51">
        <f>$CA$5</f>
        <v>0.19</v>
      </c>
      <c r="AU51">
        <f>$CA$6</f>
        <v>0.6784</v>
      </c>
      <c r="AV51">
        <f>$CA$7</f>
        <v>0.16</v>
      </c>
      <c r="AW51">
        <f>SUM(AG51:AH90)</f>
        <v>206.47414632961309</v>
      </c>
      <c r="AX51">
        <f>SUM(AJ51:AJ90)</f>
        <v>4307.4467618838216</v>
      </c>
      <c r="AY51">
        <f>IF(C51="wet",$CD$5,$CD$6)</f>
        <v>6.0000000000000001E-3</v>
      </c>
      <c r="AZ51">
        <f>$CD$7</f>
        <v>1.5714285714285714</v>
      </c>
      <c r="BA51">
        <f>$CD$8</f>
        <v>265</v>
      </c>
      <c r="BB51">
        <f>SUM(AL51:AL90)</f>
        <v>7009.1560272889574</v>
      </c>
      <c r="BC51">
        <f>((AX51 * AY51 * AZ51) + (BB51 * AY51 * AZ51))  * (10^-3)</f>
        <v>0.10669939772648621</v>
      </c>
      <c r="BD51">
        <f>$CA$8</f>
        <v>28</v>
      </c>
      <c r="BE51">
        <f>$CD$9</f>
        <v>0.21</v>
      </c>
      <c r="BF51">
        <f>(AX51+BB51)*BE51</f>
        <v>2376.4865857262835</v>
      </c>
      <c r="BG51">
        <f>VLOOKUP(J51, $CH$29:$CI$33,2,FALSE)</f>
        <v>7.0000000000000001E-3</v>
      </c>
      <c r="BH51">
        <f>BF51*BG51*AZ51*(10^-3)</f>
        <v>2.6141352442989117E-2</v>
      </c>
      <c r="BI51">
        <f>$CA$9</f>
        <v>1.0999999999999999E-2</v>
      </c>
      <c r="BJ51">
        <f>VLOOKUP(D51, $CL$29:$CM$46, 2, FALSE)</f>
        <v>0.87</v>
      </c>
      <c r="BK51">
        <f>$CG$4</f>
        <v>0.24</v>
      </c>
      <c r="BL51">
        <f>(BB51+AX51)*BJ51*BK51</f>
        <v>2362.906662379276</v>
      </c>
      <c r="BM51">
        <f>BL51*BI51*AZ51*(10^-3)</f>
        <v>4.0844529449698914E-2</v>
      </c>
      <c r="BN51">
        <f>BC51+BH51+BM51</f>
        <v>0.17368527961917424</v>
      </c>
      <c r="BO51">
        <f>AW51 * BD51 * 10^-3</f>
        <v>5.7812760972291661</v>
      </c>
      <c r="BU51" t="s">
        <v>59</v>
      </c>
      <c r="BW51" s="2" t="s">
        <v>54</v>
      </c>
      <c r="BX51" s="2">
        <v>250</v>
      </c>
      <c r="BY51" s="2">
        <v>800</v>
      </c>
      <c r="BZ51" s="2">
        <v>220</v>
      </c>
      <c r="CA51" s="2">
        <v>400</v>
      </c>
      <c r="CB51">
        <v>500</v>
      </c>
      <c r="CC51">
        <v>500</v>
      </c>
      <c r="CD51">
        <v>230</v>
      </c>
      <c r="CE51">
        <v>420</v>
      </c>
      <c r="CF51">
        <v>420</v>
      </c>
      <c r="CG51">
        <v>420</v>
      </c>
    </row>
    <row r="52" spans="1:85" x14ac:dyDescent="0.2">
      <c r="L52" t="s">
        <v>55</v>
      </c>
      <c r="M52">
        <v>110</v>
      </c>
      <c r="N52">
        <v>170</v>
      </c>
      <c r="O52">
        <v>1</v>
      </c>
      <c r="P52" cm="1">
        <f t="array" ref="P52">_xlfn.XLOOKUP(K$11,$BX$169:$CG$169,_xlfn.XLOOKUP($D$11,$BW$170:$BW$176,$BX$170:$CG$176))</f>
        <v>700</v>
      </c>
      <c r="Q52">
        <f t="shared" si="2"/>
        <v>0.24285714285714285</v>
      </c>
      <c r="S52">
        <v>0</v>
      </c>
      <c r="T52">
        <f t="shared" si="22"/>
        <v>0</v>
      </c>
      <c r="V52">
        <v>1</v>
      </c>
      <c r="W52">
        <f>VLOOKUP($G$51, $CL$17:$CN$25, 3, FALSE)</f>
        <v>4</v>
      </c>
      <c r="X52">
        <v>0</v>
      </c>
      <c r="Y52">
        <f t="shared" si="3"/>
        <v>0</v>
      </c>
      <c r="Z52">
        <f t="shared" ref="Z52:Z90" si="50">0.1604 * ($AM52*100) - 1.037</f>
        <v>9.3889999999999993</v>
      </c>
      <c r="AA52">
        <f t="shared" ref="AA52:AA90" si="51">(0.032 * Y52 /6.38) + ((0.212 - 0.008 * (AB52 - 2) - ((0.14 - 0.008 * (AB52 - 2)) / (1 + EXP(-6 * (Q52 - 0.4))))) * (O52 * 0.92)) / 6.25</f>
        <v>2.5969483089068355E-2</v>
      </c>
      <c r="AB52">
        <f t="shared" si="5"/>
        <v>1.3628353121567047</v>
      </c>
      <c r="AC52">
        <f t="shared" ref="AC52:AC90" si="52">(1.185 + 0.00454 * N52 - 0.0000026 * N52^2 + 0.315 * O52)^2 * V52</f>
        <v>4.8253151556000002</v>
      </c>
      <c r="AD52">
        <f t="shared" ref="AD52:AD90" si="53">(AC52 * (1 -AM52) + (0.04 * AC52)) * ( 1 - AV$51 )</f>
        <v>1.58077324497456</v>
      </c>
      <c r="AE52">
        <f t="shared" ref="AE52:AE90" si="54">AD52 * AT$51 * AP$51 * AR$51 * AU$51</f>
        <v>7.4370702087247912E-5</v>
      </c>
      <c r="AF52">
        <f t="shared" ref="AF52:AF90" si="55">AD52 * AT$51 * AQ$51 * AS$51 * AU$51</f>
        <v>8.9041087156513257E-4</v>
      </c>
      <c r="AG52">
        <f t="shared" ref="AG52:AG91" si="56">M52*AE52*91.25</f>
        <v>0.74649592220075089</v>
      </c>
      <c r="AH52">
        <f t="shared" ref="AH52:AH91" si="57">M52*AF52*91.25</f>
        <v>8.9374991233350194</v>
      </c>
      <c r="AI52">
        <f t="shared" ref="AI52:AI90" si="58">((0.3 * AC52 * $AN52 * (1 - ($AM52 + 0.1)) + (0.105 * $Z52 * $AC52 * 0.008) + (0.0152 * $AC52)) / 6.25) + (0.08 * 0.032 * $W52 / 6.38)</f>
        <v>2.6956650184189166E-2</v>
      </c>
      <c r="AJ52">
        <f t="shared" ref="AJ52:AJ90" si="59">M52*AI52*91.25</f>
        <v>270.57737622379875</v>
      </c>
      <c r="AK52">
        <f t="shared" ref="AK52:AK90" si="60">(AC52 * $AN52 / 6.25) + (0.032 * W52 / 6.38) - AA52 - AI52 - ((1.1 * (10 ^ -4) * (N52 ^ 0.75)) / 6.25)</f>
        <v>6.6674509436068091E-2</v>
      </c>
      <c r="AL52">
        <f t="shared" ref="AL52:AL90" si="61">M52*AK52*91.25</f>
        <v>669.24538846453345</v>
      </c>
      <c r="AM52">
        <v>0.65</v>
      </c>
      <c r="AN52">
        <v>0.13</v>
      </c>
      <c r="BW52" s="2" t="s">
        <v>55</v>
      </c>
      <c r="BX52" s="2">
        <v>320</v>
      </c>
      <c r="BY52" s="2">
        <v>800</v>
      </c>
      <c r="BZ52" s="2">
        <v>280</v>
      </c>
      <c r="CA52" s="2">
        <v>420</v>
      </c>
      <c r="CB52">
        <v>500</v>
      </c>
      <c r="CC52">
        <v>500</v>
      </c>
      <c r="CD52">
        <v>290</v>
      </c>
      <c r="CE52">
        <v>420</v>
      </c>
      <c r="CF52">
        <v>420</v>
      </c>
      <c r="CG52">
        <v>420</v>
      </c>
    </row>
    <row r="53" spans="1:85" x14ac:dyDescent="0.2">
      <c r="L53" t="s">
        <v>56</v>
      </c>
      <c r="M53">
        <v>120</v>
      </c>
      <c r="N53">
        <v>240</v>
      </c>
      <c r="O53">
        <v>0.8</v>
      </c>
      <c r="P53" cm="1">
        <f t="array" ref="P53">_xlfn.XLOOKUP(K$11,$BX$169:$CG$169,_xlfn.XLOOKUP($D$11,$BW$170:$BW$176,$BX$170:$CG$176))</f>
        <v>700</v>
      </c>
      <c r="Q53">
        <f t="shared" si="2"/>
        <v>0.34285714285714286</v>
      </c>
      <c r="T53">
        <f t="shared" si="22"/>
        <v>0</v>
      </c>
      <c r="V53">
        <v>1</v>
      </c>
      <c r="W53">
        <v>0</v>
      </c>
      <c r="X53">
        <v>0</v>
      </c>
      <c r="Y53">
        <f t="shared" si="3"/>
        <v>0</v>
      </c>
      <c r="Z53">
        <f t="shared" si="50"/>
        <v>8.5869999999999997</v>
      </c>
      <c r="AA53">
        <f t="shared" si="51"/>
        <v>1.853391985787713E-2</v>
      </c>
      <c r="AB53">
        <f t="shared" si="5"/>
        <v>1.2512596174632808</v>
      </c>
      <c r="AC53">
        <f t="shared" si="52"/>
        <v>5.6493683855999981</v>
      </c>
      <c r="AD53">
        <f t="shared" si="53"/>
        <v>2.0880065553177594</v>
      </c>
      <c r="AE53">
        <f t="shared" si="54"/>
        <v>9.8234527928296858E-5</v>
      </c>
      <c r="AF53">
        <f t="shared" si="55"/>
        <v>1.1761229782100196E-3</v>
      </c>
      <c r="AG53">
        <f t="shared" si="56"/>
        <v>1.0756680808148507</v>
      </c>
      <c r="AH53">
        <f t="shared" si="57"/>
        <v>12.878546611399717</v>
      </c>
      <c r="AI53">
        <f t="shared" si="58"/>
        <v>2.839424976741178E-2</v>
      </c>
      <c r="AJ53">
        <f t="shared" si="59"/>
        <v>310.91703495315897</v>
      </c>
      <c r="AK53">
        <f t="shared" si="60"/>
        <v>4.2388548180208527E-2</v>
      </c>
      <c r="AL53">
        <f t="shared" si="61"/>
        <v>464.15460257328334</v>
      </c>
      <c r="AM53">
        <v>0.6</v>
      </c>
      <c r="AN53">
        <v>0.1</v>
      </c>
      <c r="BW53" s="2" t="s">
        <v>56</v>
      </c>
      <c r="BX53" s="2">
        <v>80</v>
      </c>
      <c r="BY53" s="2">
        <v>700</v>
      </c>
      <c r="BZ53" s="2">
        <v>70</v>
      </c>
      <c r="CA53" s="2">
        <v>300</v>
      </c>
      <c r="CB53">
        <v>450</v>
      </c>
      <c r="CC53">
        <v>450</v>
      </c>
      <c r="CD53">
        <v>75</v>
      </c>
      <c r="CE53">
        <v>400</v>
      </c>
      <c r="CF53">
        <v>400</v>
      </c>
      <c r="CG53">
        <v>400</v>
      </c>
    </row>
    <row r="54" spans="1:85" x14ac:dyDescent="0.2">
      <c r="L54" t="s">
        <v>57</v>
      </c>
      <c r="M54">
        <v>130</v>
      </c>
      <c r="N54">
        <v>280</v>
      </c>
      <c r="O54">
        <v>0.4</v>
      </c>
      <c r="P54" cm="1">
        <f t="array" ref="P54">_xlfn.XLOOKUP(K$11,$BX$169:$CG$169,_xlfn.XLOOKUP($D$11,$BW$170:$BW$176,$BX$170:$CG$176))</f>
        <v>700</v>
      </c>
      <c r="Q54">
        <f t="shared" si="2"/>
        <v>0.4</v>
      </c>
      <c r="T54">
        <f t="shared" si="22"/>
        <v>0</v>
      </c>
      <c r="V54">
        <v>1</v>
      </c>
      <c r="W54">
        <v>0</v>
      </c>
      <c r="X54">
        <v>0</v>
      </c>
      <c r="Y54">
        <f t="shared" si="3"/>
        <v>0</v>
      </c>
      <c r="Z54">
        <f t="shared" si="50"/>
        <v>6.9829999999999997</v>
      </c>
      <c r="AA54">
        <f t="shared" si="51"/>
        <v>8.5693923550976409E-3</v>
      </c>
      <c r="AB54">
        <f t="shared" si="5"/>
        <v>1.1150120792389542</v>
      </c>
      <c r="AC54">
        <f t="shared" si="52"/>
        <v>5.6565962895999995</v>
      </c>
      <c r="AD54">
        <f t="shared" si="53"/>
        <v>2.5658320769625598</v>
      </c>
      <c r="AE54">
        <f t="shared" si="54"/>
        <v>1.2071480435814064E-4</v>
      </c>
      <c r="AF54">
        <f t="shared" si="55"/>
        <v>1.4452703973837659E-3</v>
      </c>
      <c r="AG54">
        <f t="shared" si="56"/>
        <v>1.4319793666984433</v>
      </c>
      <c r="AH54">
        <f t="shared" si="57"/>
        <v>17.144520088964921</v>
      </c>
      <c r="AI54">
        <f t="shared" si="58"/>
        <v>2.5582042699979598E-2</v>
      </c>
      <c r="AJ54">
        <f t="shared" si="59"/>
        <v>303.46698152850797</v>
      </c>
      <c r="AK54">
        <f t="shared" si="60"/>
        <v>1.8947182997803159E-2</v>
      </c>
      <c r="AL54">
        <f t="shared" si="61"/>
        <v>224.76095831143999</v>
      </c>
      <c r="AM54">
        <v>0.5</v>
      </c>
      <c r="AN54">
        <v>0.06</v>
      </c>
      <c r="BW54" s="2" t="s">
        <v>57</v>
      </c>
      <c r="BX54" s="2">
        <v>160</v>
      </c>
      <c r="BY54" s="2">
        <v>700</v>
      </c>
      <c r="BZ54" s="2">
        <v>140</v>
      </c>
      <c r="CA54" s="2">
        <v>350</v>
      </c>
      <c r="CB54" s="2">
        <v>450</v>
      </c>
      <c r="CC54" s="2">
        <v>450</v>
      </c>
      <c r="CD54" s="2">
        <v>150</v>
      </c>
      <c r="CE54">
        <v>400</v>
      </c>
      <c r="CF54">
        <v>400</v>
      </c>
      <c r="CG54">
        <v>400</v>
      </c>
    </row>
    <row r="55" spans="1:85" x14ac:dyDescent="0.2">
      <c r="K55" t="s">
        <v>43</v>
      </c>
      <c r="L55" t="s">
        <v>54</v>
      </c>
      <c r="N55" cm="1">
        <f t="array" ref="N55:N58">_xlfn.XLOOKUP(K55, $BX$46:$CG$46, $BX$47:$CG$50)</f>
        <v>480</v>
      </c>
      <c r="O55" cm="1">
        <f t="array" ref="O55:O58">_xlfn.XLOOKUP(K55, $BX$106:$CG$106, $BX$107:$CG$110)</f>
        <v>0.2</v>
      </c>
      <c r="P55" cm="1">
        <f t="array" ref="P55">_xlfn.XLOOKUP(K$15,$BX$169:$CG$169,_xlfn.XLOOKUP($D$11,$BW$170:$BW$176,$BX$170:$CG$176))</f>
        <v>700</v>
      </c>
      <c r="Q55">
        <f t="shared" si="2"/>
        <v>0.68571428571428572</v>
      </c>
      <c r="T55">
        <f t="shared" si="22"/>
        <v>0</v>
      </c>
      <c r="V55">
        <v>1</v>
      </c>
      <c r="W55">
        <v>0</v>
      </c>
      <c r="X55">
        <v>0</v>
      </c>
      <c r="Y55">
        <f t="shared" si="3"/>
        <v>0</v>
      </c>
      <c r="Z55">
        <f t="shared" si="50"/>
        <v>7.785000000000001</v>
      </c>
      <c r="AA55">
        <f t="shared" si="51"/>
        <v>2.7829578220966208E-3</v>
      </c>
      <c r="AB55">
        <f t="shared" si="5"/>
        <v>1.0460860709612354</v>
      </c>
      <c r="AC55">
        <f t="shared" si="52"/>
        <v>7.9984889855999999</v>
      </c>
      <c r="AD55">
        <f t="shared" si="53"/>
        <v>3.2921780664729599</v>
      </c>
      <c r="AE55">
        <f t="shared" si="54"/>
        <v>1.5488723318047602E-4</v>
      </c>
      <c r="AF55">
        <f t="shared" si="55"/>
        <v>1.8544033123251509E-3</v>
      </c>
      <c r="AG55">
        <f t="shared" si="56"/>
        <v>0</v>
      </c>
      <c r="AH55">
        <f t="shared" si="57"/>
        <v>0</v>
      </c>
      <c r="AI55">
        <f t="shared" si="58"/>
        <v>3.7227399279634019E-2</v>
      </c>
      <c r="AJ55">
        <f t="shared" si="59"/>
        <v>0</v>
      </c>
      <c r="AK55">
        <f t="shared" si="60"/>
        <v>4.776785922197168E-2</v>
      </c>
      <c r="AL55">
        <f t="shared" si="61"/>
        <v>0</v>
      </c>
      <c r="AM55" cm="1">
        <f t="array" ref="AM55:AM58">_xlfn.XLOOKUP(G$51,$BV$17:$CD$17,$BV$18:$CD$21)</f>
        <v>0.55000000000000004</v>
      </c>
      <c r="AN55" cm="1">
        <f t="array" ref="AN55:AN58">_xlfn.XLOOKUP(G$51,$BV$29:$CD$29,$BV$30:$CD$33)</f>
        <v>7.0000000000000007E-2</v>
      </c>
      <c r="BU55" t="s">
        <v>69</v>
      </c>
      <c r="BW55" s="2" t="s">
        <v>54</v>
      </c>
      <c r="BX55" s="2">
        <v>105</v>
      </c>
      <c r="BY55" s="2">
        <v>700</v>
      </c>
      <c r="BZ55" s="2">
        <v>85</v>
      </c>
      <c r="CA55" s="2">
        <v>300</v>
      </c>
      <c r="CB55">
        <v>490</v>
      </c>
      <c r="CC55">
        <v>490</v>
      </c>
      <c r="CD55">
        <v>90</v>
      </c>
      <c r="CE55">
        <v>480</v>
      </c>
      <c r="CF55">
        <v>480</v>
      </c>
      <c r="CG55">
        <v>480</v>
      </c>
    </row>
    <row r="56" spans="1:85" x14ac:dyDescent="0.2">
      <c r="L56" t="s">
        <v>55</v>
      </c>
      <c r="N56">
        <v>520</v>
      </c>
      <c r="O56">
        <v>0.4</v>
      </c>
      <c r="P56" cm="1">
        <f t="array" ref="P56">_xlfn.XLOOKUP(K$15,$BX$169:$CG$169,_xlfn.XLOOKUP($D$11,$BW$170:$BW$176,$BX$170:$CG$176))</f>
        <v>700</v>
      </c>
      <c r="Q56">
        <f t="shared" si="2"/>
        <v>0.74285714285714288</v>
      </c>
      <c r="T56">
        <f t="shared" si="22"/>
        <v>0</v>
      </c>
      <c r="V56">
        <v>1</v>
      </c>
      <c r="W56">
        <v>0</v>
      </c>
      <c r="X56">
        <v>0</v>
      </c>
      <c r="Y56">
        <f t="shared" si="3"/>
        <v>0</v>
      </c>
      <c r="Z56">
        <f t="shared" si="50"/>
        <v>9.3889999999999993</v>
      </c>
      <c r="AA56">
        <f t="shared" si="51"/>
        <v>5.2221304888844331E-3</v>
      </c>
      <c r="AB56">
        <f t="shared" si="5"/>
        <v>1.0906107843952688</v>
      </c>
      <c r="AC56">
        <f t="shared" si="52"/>
        <v>8.8135359375999975</v>
      </c>
      <c r="AD56">
        <f t="shared" si="53"/>
        <v>2.8873143731577593</v>
      </c>
      <c r="AE56">
        <f t="shared" si="54"/>
        <v>1.3583959480652805E-4</v>
      </c>
      <c r="AF56">
        <f t="shared" si="55"/>
        <v>1.626353504943911E-3</v>
      </c>
      <c r="AG56">
        <f t="shared" si="56"/>
        <v>0</v>
      </c>
      <c r="AH56">
        <f t="shared" si="57"/>
        <v>0</v>
      </c>
      <c r="AI56">
        <f t="shared" si="58"/>
        <v>4.6305274293495381E-2</v>
      </c>
      <c r="AJ56">
        <f t="shared" si="59"/>
        <v>0</v>
      </c>
      <c r="AK56">
        <f t="shared" si="60"/>
        <v>0.12987761468894801</v>
      </c>
      <c r="AL56">
        <f t="shared" si="61"/>
        <v>0</v>
      </c>
      <c r="AM56">
        <v>0.65</v>
      </c>
      <c r="AN56">
        <v>0.13</v>
      </c>
      <c r="BW56" s="2" t="s">
        <v>55</v>
      </c>
      <c r="BX56" s="2">
        <v>480</v>
      </c>
      <c r="BY56" s="2">
        <v>750</v>
      </c>
      <c r="BZ56" s="2">
        <v>150</v>
      </c>
      <c r="CA56" s="2">
        <v>350</v>
      </c>
      <c r="CB56">
        <v>530</v>
      </c>
      <c r="CC56">
        <v>530</v>
      </c>
      <c r="CD56">
        <v>160</v>
      </c>
      <c r="CE56">
        <v>460</v>
      </c>
      <c r="CF56">
        <v>460</v>
      </c>
      <c r="CG56">
        <v>460</v>
      </c>
    </row>
    <row r="57" spans="1:85" x14ac:dyDescent="0.2">
      <c r="L57" t="s">
        <v>56</v>
      </c>
      <c r="N57">
        <v>550</v>
      </c>
      <c r="O57">
        <v>0.3</v>
      </c>
      <c r="P57" cm="1">
        <f t="array" ref="P57">_xlfn.XLOOKUP(K$15,$BX$169:$CG$169,_xlfn.XLOOKUP($D$11,$BW$170:$BW$176,$BX$170:$CG$176))</f>
        <v>700</v>
      </c>
      <c r="Q57">
        <f t="shared" si="2"/>
        <v>0.7857142857142857</v>
      </c>
      <c r="T57">
        <f t="shared" si="22"/>
        <v>0</v>
      </c>
      <c r="V57">
        <v>1</v>
      </c>
      <c r="W57">
        <v>0</v>
      </c>
      <c r="X57">
        <v>0</v>
      </c>
      <c r="Y57">
        <f t="shared" si="3"/>
        <v>0</v>
      </c>
      <c r="Z57">
        <f t="shared" si="50"/>
        <v>8.5869999999999997</v>
      </c>
      <c r="AA57">
        <f t="shared" si="51"/>
        <v>3.7652749370972547E-3</v>
      </c>
      <c r="AB57">
        <f t="shared" si="5"/>
        <v>1.0663388645663703</v>
      </c>
      <c r="AC57">
        <f t="shared" si="52"/>
        <v>8.940100000000001</v>
      </c>
      <c r="AD57">
        <f t="shared" si="53"/>
        <v>3.3042609600000006</v>
      </c>
      <c r="AE57">
        <f t="shared" si="54"/>
        <v>1.5545569755555841E-4</v>
      </c>
      <c r="AF57">
        <f t="shared" si="55"/>
        <v>1.8612093104596994E-3</v>
      </c>
      <c r="AG57">
        <f t="shared" si="56"/>
        <v>0</v>
      </c>
      <c r="AH57">
        <f t="shared" si="57"/>
        <v>0</v>
      </c>
      <c r="AI57">
        <f t="shared" si="58"/>
        <v>4.4933772241280007E-2</v>
      </c>
      <c r="AJ57">
        <f t="shared" si="59"/>
        <v>0</v>
      </c>
      <c r="AK57">
        <f t="shared" si="60"/>
        <v>9.2343682200284813E-2</v>
      </c>
      <c r="AL57">
        <f t="shared" si="61"/>
        <v>0</v>
      </c>
      <c r="AM57">
        <v>0.6</v>
      </c>
      <c r="AN57">
        <v>0.1</v>
      </c>
      <c r="BW57" s="2" t="s">
        <v>56</v>
      </c>
      <c r="BX57" s="2">
        <v>250</v>
      </c>
      <c r="BY57" s="2">
        <v>725</v>
      </c>
      <c r="BZ57" s="2">
        <v>200</v>
      </c>
      <c r="CA57" s="2">
        <v>360</v>
      </c>
      <c r="CB57" s="2">
        <v>500</v>
      </c>
      <c r="CC57" s="2">
        <v>500</v>
      </c>
      <c r="CD57">
        <v>215</v>
      </c>
      <c r="CE57">
        <v>490</v>
      </c>
      <c r="CF57">
        <v>490</v>
      </c>
      <c r="CG57">
        <v>490</v>
      </c>
    </row>
    <row r="58" spans="1:85" x14ac:dyDescent="0.2">
      <c r="L58" t="s">
        <v>57</v>
      </c>
      <c r="N58">
        <v>560</v>
      </c>
      <c r="O58">
        <v>0.1</v>
      </c>
      <c r="P58" cm="1">
        <f t="array" ref="P58">_xlfn.XLOOKUP(K$15,$BX$169:$CG$169,_xlfn.XLOOKUP($D$11,$BW$170:$BW$176,$BX$170:$CG$176))</f>
        <v>700</v>
      </c>
      <c r="Q58">
        <f t="shared" si="2"/>
        <v>0.8</v>
      </c>
      <c r="T58">
        <f t="shared" si="22"/>
        <v>0</v>
      </c>
      <c r="V58">
        <v>1</v>
      </c>
      <c r="W58">
        <v>0</v>
      </c>
      <c r="X58">
        <v>0</v>
      </c>
      <c r="Y58">
        <f t="shared" si="3"/>
        <v>0</v>
      </c>
      <c r="Z58">
        <f t="shared" si="50"/>
        <v>6.9829999999999997</v>
      </c>
      <c r="AA58">
        <f t="shared" si="51"/>
        <v>1.2408236680915622E-3</v>
      </c>
      <c r="AB58">
        <f t="shared" si="5"/>
        <v>1.0217513291410167</v>
      </c>
      <c r="AC58">
        <f t="shared" si="52"/>
        <v>8.6644277315999982</v>
      </c>
      <c r="AD58">
        <f t="shared" si="53"/>
        <v>3.9301844190537589</v>
      </c>
      <c r="AE58">
        <f t="shared" si="54"/>
        <v>1.8490354357059897E-4</v>
      </c>
      <c r="AF58">
        <f t="shared" si="55"/>
        <v>2.2137766723384039E-3</v>
      </c>
      <c r="AG58">
        <f t="shared" si="56"/>
        <v>0</v>
      </c>
      <c r="AH58">
        <f t="shared" si="57"/>
        <v>0</v>
      </c>
      <c r="AI58">
        <f t="shared" si="58"/>
        <v>3.9185006115462516E-2</v>
      </c>
      <c r="AJ58">
        <f t="shared" si="59"/>
        <v>0</v>
      </c>
      <c r="AK58">
        <f t="shared" si="60"/>
        <v>4.0726609975720147E-2</v>
      </c>
      <c r="AL58">
        <f t="shared" si="61"/>
        <v>0</v>
      </c>
      <c r="AM58">
        <v>0.5</v>
      </c>
      <c r="AN58">
        <v>0.06</v>
      </c>
      <c r="BW58" s="2" t="s">
        <v>57</v>
      </c>
      <c r="BX58" s="2">
        <v>260</v>
      </c>
      <c r="BY58" s="2">
        <v>700</v>
      </c>
      <c r="BZ58" s="2">
        <v>210</v>
      </c>
      <c r="CA58" s="2">
        <v>380</v>
      </c>
      <c r="CB58" s="2">
        <v>460</v>
      </c>
      <c r="CC58" s="2">
        <v>460</v>
      </c>
      <c r="CD58" s="2">
        <v>230</v>
      </c>
      <c r="CE58">
        <v>470</v>
      </c>
      <c r="CF58">
        <v>470</v>
      </c>
      <c r="CG58">
        <v>470</v>
      </c>
    </row>
    <row r="59" spans="1:85" x14ac:dyDescent="0.2">
      <c r="K59" t="s">
        <v>44</v>
      </c>
      <c r="L59" t="s">
        <v>54</v>
      </c>
      <c r="N59" cm="1">
        <f t="array" ref="N59:N62">_xlfn.XLOOKUP(K59, $BX$46:$CG$46, $BX$47:$CG$50)</f>
        <v>75</v>
      </c>
      <c r="O59" cm="1">
        <f t="array" ref="O59:O62">_xlfn.XLOOKUP(K59, $BX$106:$CG$106, $BX$107:$CG$110)</f>
        <v>0.5</v>
      </c>
      <c r="P59" cm="1">
        <f t="array" ref="P59">_xlfn.XLOOKUP(K$19,$BX$169:$CG$169,_xlfn.XLOOKUP($D$11,$BW$170:$BW$176,$BX$170:$CG$176))</f>
        <v>600</v>
      </c>
      <c r="Q59">
        <f t="shared" si="2"/>
        <v>0.125</v>
      </c>
      <c r="T59">
        <f t="shared" si="22"/>
        <v>0</v>
      </c>
      <c r="V59">
        <v>1</v>
      </c>
      <c r="W59">
        <f>VLOOKUP($G$51, $CL$17:$CN$25, 2, FALSE)</f>
        <v>6</v>
      </c>
      <c r="X59">
        <v>0</v>
      </c>
      <c r="Y59">
        <f t="shared" si="3"/>
        <v>0</v>
      </c>
      <c r="Z59">
        <f t="shared" si="50"/>
        <v>7.785000000000001</v>
      </c>
      <c r="AA59">
        <f t="shared" si="51"/>
        <v>1.4328724276547253E-2</v>
      </c>
      <c r="AB59">
        <f t="shared" si="5"/>
        <v>1.2193553180247376</v>
      </c>
      <c r="AC59">
        <f t="shared" si="52"/>
        <v>2.7834751406249998</v>
      </c>
      <c r="AD59">
        <f t="shared" si="53"/>
        <v>1.1456783678812499</v>
      </c>
      <c r="AE59">
        <f t="shared" si="54"/>
        <v>5.390077600084388E-5</v>
      </c>
      <c r="AF59">
        <f t="shared" si="55"/>
        <v>6.4533257842106233E-4</v>
      </c>
      <c r="AG59">
        <f t="shared" si="56"/>
        <v>0</v>
      </c>
      <c r="AH59">
        <f t="shared" si="57"/>
        <v>0</v>
      </c>
      <c r="AI59">
        <f t="shared" si="58"/>
        <v>1.5362662991883286E-2</v>
      </c>
      <c r="AJ59">
        <f t="shared" si="59"/>
        <v>0</v>
      </c>
      <c r="AK59">
        <f t="shared" si="60"/>
        <v>3.1129030513077163E-2</v>
      </c>
      <c r="AL59">
        <f t="shared" si="61"/>
        <v>0</v>
      </c>
      <c r="AM59" cm="1">
        <f t="array" ref="AM59:AM62">_xlfn.XLOOKUP(G$51,$BV$17:$CD$17,$BV$18:$CD$21)</f>
        <v>0.55000000000000004</v>
      </c>
      <c r="AN59" cm="1">
        <f t="array" ref="AN59:AN62">_xlfn.XLOOKUP(G$51,$BV$29:$CD$29,$BV$30:$CD$33)</f>
        <v>7.0000000000000007E-2</v>
      </c>
      <c r="BU59" t="s">
        <v>70</v>
      </c>
      <c r="BW59" s="2" t="s">
        <v>54</v>
      </c>
      <c r="BX59" s="2">
        <v>250</v>
      </c>
      <c r="BY59" s="2">
        <v>820</v>
      </c>
      <c r="BZ59" s="2">
        <v>240</v>
      </c>
      <c r="CA59" s="2">
        <v>410</v>
      </c>
      <c r="CB59">
        <v>560</v>
      </c>
      <c r="CC59">
        <v>560</v>
      </c>
      <c r="CD59">
        <v>240</v>
      </c>
      <c r="CE59">
        <v>510</v>
      </c>
      <c r="CF59">
        <v>510</v>
      </c>
      <c r="CG59">
        <v>510</v>
      </c>
    </row>
    <row r="60" spans="1:85" x14ac:dyDescent="0.2">
      <c r="L60" t="s">
        <v>55</v>
      </c>
      <c r="N60">
        <v>160</v>
      </c>
      <c r="O60">
        <v>0.9</v>
      </c>
      <c r="P60" cm="1">
        <f t="array" ref="P60">_xlfn.XLOOKUP(K$19,$BX$169:$CG$169,_xlfn.XLOOKUP($D$11,$BW$170:$BW$176,$BX$170:$CG$176))</f>
        <v>600</v>
      </c>
      <c r="Q60">
        <f t="shared" si="2"/>
        <v>0.26666666666666666</v>
      </c>
      <c r="T60">
        <f t="shared" si="22"/>
        <v>0</v>
      </c>
      <c r="V60">
        <v>1</v>
      </c>
      <c r="W60">
        <f>VLOOKUP($G$51, $CL$17:$CN$25, 3, FALSE)</f>
        <v>4</v>
      </c>
      <c r="X60">
        <v>0</v>
      </c>
      <c r="Y60">
        <f t="shared" si="3"/>
        <v>0</v>
      </c>
      <c r="Z60">
        <f t="shared" si="50"/>
        <v>9.3889999999999993</v>
      </c>
      <c r="AA60">
        <f t="shared" si="51"/>
        <v>2.2824899496607251E-2</v>
      </c>
      <c r="AB60">
        <f t="shared" si="5"/>
        <v>1.3309587678069252</v>
      </c>
      <c r="AC60">
        <f t="shared" si="52"/>
        <v>4.5298311556000002</v>
      </c>
      <c r="AD60">
        <f t="shared" si="53"/>
        <v>1.4839726865745599</v>
      </c>
      <c r="AE60">
        <f t="shared" si="54"/>
        <v>6.9816522344180778E-5</v>
      </c>
      <c r="AF60">
        <f t="shared" si="55"/>
        <v>8.3588548669608228E-4</v>
      </c>
      <c r="AG60">
        <f t="shared" si="56"/>
        <v>0</v>
      </c>
      <c r="AH60">
        <f t="shared" si="57"/>
        <v>0</v>
      </c>
      <c r="AI60">
        <f t="shared" si="58"/>
        <v>2.5404212233494764E-2</v>
      </c>
      <c r="AJ60">
        <f t="shared" si="59"/>
        <v>0</v>
      </c>
      <c r="AK60">
        <f t="shared" si="60"/>
        <v>6.5262295645274873E-2</v>
      </c>
      <c r="AL60">
        <f t="shared" si="61"/>
        <v>0</v>
      </c>
      <c r="AM60">
        <v>0.65</v>
      </c>
      <c r="AN60">
        <v>0.13</v>
      </c>
      <c r="BW60" s="2" t="s">
        <v>55</v>
      </c>
      <c r="BX60" s="2">
        <v>280</v>
      </c>
      <c r="BY60" s="2">
        <v>850</v>
      </c>
      <c r="BZ60" s="2">
        <v>260</v>
      </c>
      <c r="CA60" s="2">
        <v>440</v>
      </c>
      <c r="CB60">
        <v>550</v>
      </c>
      <c r="CC60">
        <v>550</v>
      </c>
      <c r="CD60">
        <v>270</v>
      </c>
      <c r="CE60">
        <v>520</v>
      </c>
      <c r="CF60">
        <v>520</v>
      </c>
      <c r="CG60">
        <v>520</v>
      </c>
    </row>
    <row r="61" spans="1:85" x14ac:dyDescent="0.2">
      <c r="L61" t="s">
        <v>56</v>
      </c>
      <c r="N61">
        <v>220</v>
      </c>
      <c r="O61">
        <v>0.7</v>
      </c>
      <c r="P61" cm="1">
        <f t="array" ref="P61">_xlfn.XLOOKUP(K$19,$BX$169:$CG$169,_xlfn.XLOOKUP($D$11,$BW$170:$BW$176,$BX$170:$CG$176))</f>
        <v>600</v>
      </c>
      <c r="Q61">
        <f t="shared" si="2"/>
        <v>0.36666666666666664</v>
      </c>
      <c r="T61">
        <f t="shared" si="22"/>
        <v>0</v>
      </c>
      <c r="V61">
        <v>1</v>
      </c>
      <c r="W61">
        <v>0</v>
      </c>
      <c r="X61">
        <v>0</v>
      </c>
      <c r="Y61">
        <f t="shared" si="3"/>
        <v>0</v>
      </c>
      <c r="Z61">
        <f t="shared" si="50"/>
        <v>8.5869999999999997</v>
      </c>
      <c r="AA61">
        <f t="shared" si="51"/>
        <v>1.570147670443419E-2</v>
      </c>
      <c r="AB61">
        <f t="shared" si="5"/>
        <v>1.2257699173903274</v>
      </c>
      <c r="AC61">
        <f t="shared" si="52"/>
        <v>5.1913799715999973</v>
      </c>
      <c r="AD61">
        <f t="shared" si="53"/>
        <v>1.918734037503359</v>
      </c>
      <c r="AE61">
        <f t="shared" si="54"/>
        <v>9.0270757011782037E-5</v>
      </c>
      <c r="AF61">
        <f t="shared" si="55"/>
        <v>1.0807759127164039E-3</v>
      </c>
      <c r="AG61">
        <f t="shared" si="56"/>
        <v>0</v>
      </c>
      <c r="AH61">
        <f t="shared" si="57"/>
        <v>0</v>
      </c>
      <c r="AI61">
        <f t="shared" si="58"/>
        <v>2.609235749732295E-2</v>
      </c>
      <c r="AJ61">
        <f t="shared" si="59"/>
        <v>0</v>
      </c>
      <c r="AK61">
        <f t="shared" si="60"/>
        <v>4.0262866647490236E-2</v>
      </c>
      <c r="AL61">
        <f t="shared" si="61"/>
        <v>0</v>
      </c>
      <c r="AM61">
        <v>0.6</v>
      </c>
      <c r="AN61">
        <v>0.1</v>
      </c>
      <c r="BW61" s="2" t="s">
        <v>56</v>
      </c>
      <c r="BX61" s="2">
        <v>100</v>
      </c>
      <c r="BY61" s="2">
        <v>700</v>
      </c>
      <c r="BZ61" s="2">
        <v>95</v>
      </c>
      <c r="CA61" s="2">
        <v>300</v>
      </c>
      <c r="CB61">
        <v>450</v>
      </c>
      <c r="CC61">
        <v>450</v>
      </c>
      <c r="CD61">
        <v>95</v>
      </c>
      <c r="CE61">
        <v>410</v>
      </c>
      <c r="CF61">
        <v>410</v>
      </c>
      <c r="CG61">
        <v>410</v>
      </c>
    </row>
    <row r="62" spans="1:85" x14ac:dyDescent="0.2">
      <c r="L62" t="s">
        <v>57</v>
      </c>
      <c r="N62">
        <v>260</v>
      </c>
      <c r="O62">
        <v>0.4</v>
      </c>
      <c r="P62" cm="1">
        <f t="array" ref="P62">_xlfn.XLOOKUP(K$19,$BX$169:$CG$169,_xlfn.XLOOKUP($D$11,$BW$170:$BW$176,$BX$170:$CG$176))</f>
        <v>600</v>
      </c>
      <c r="Q62">
        <f t="shared" si="2"/>
        <v>0.43333333333333335</v>
      </c>
      <c r="T62">
        <f t="shared" si="22"/>
        <v>0</v>
      </c>
      <c r="V62">
        <v>1</v>
      </c>
      <c r="W62">
        <v>0</v>
      </c>
      <c r="X62">
        <v>0</v>
      </c>
      <c r="Y62">
        <f t="shared" si="3"/>
        <v>0</v>
      </c>
      <c r="Z62">
        <f t="shared" si="50"/>
        <v>6.9829999999999997</v>
      </c>
      <c r="AA62">
        <f t="shared" si="51"/>
        <v>8.1371085957436407E-3</v>
      </c>
      <c r="AB62">
        <f t="shared" si="5"/>
        <v>1.1183986897081921</v>
      </c>
      <c r="AC62">
        <f t="shared" si="52"/>
        <v>5.3621886096000004</v>
      </c>
      <c r="AD62">
        <f t="shared" si="53"/>
        <v>2.4322887533145603</v>
      </c>
      <c r="AE62">
        <f t="shared" si="54"/>
        <v>1.1443198626874025E-4</v>
      </c>
      <c r="AF62">
        <f t="shared" si="55"/>
        <v>1.3700487123134107E-3</v>
      </c>
      <c r="AG62">
        <f t="shared" si="56"/>
        <v>0</v>
      </c>
      <c r="AH62">
        <f t="shared" si="57"/>
        <v>0</v>
      </c>
      <c r="AI62">
        <f t="shared" si="58"/>
        <v>2.4250579492182869E-2</v>
      </c>
      <c r="AJ62">
        <f t="shared" si="59"/>
        <v>0</v>
      </c>
      <c r="AK62">
        <f t="shared" si="60"/>
        <v>1.7949748179097211E-2</v>
      </c>
      <c r="AL62">
        <f t="shared" si="61"/>
        <v>0</v>
      </c>
      <c r="AM62">
        <v>0.5</v>
      </c>
      <c r="AN62">
        <v>0.06</v>
      </c>
      <c r="BW62" s="2" t="s">
        <v>57</v>
      </c>
      <c r="BX62" s="2">
        <v>150</v>
      </c>
      <c r="BY62" s="2">
        <v>720</v>
      </c>
      <c r="BZ62" s="2">
        <v>140</v>
      </c>
      <c r="CA62" s="2">
        <v>320</v>
      </c>
      <c r="CB62" s="2">
        <v>470</v>
      </c>
      <c r="CC62" s="2">
        <v>470</v>
      </c>
      <c r="CD62">
        <v>140</v>
      </c>
      <c r="CE62">
        <v>440</v>
      </c>
      <c r="CF62">
        <v>440</v>
      </c>
      <c r="CG62">
        <v>440</v>
      </c>
    </row>
    <row r="63" spans="1:85" x14ac:dyDescent="0.2">
      <c r="K63" t="s">
        <v>45</v>
      </c>
      <c r="L63" t="s">
        <v>54</v>
      </c>
      <c r="N63" cm="1">
        <f t="array" ref="N63:N66">_xlfn.XLOOKUP(K63, $BX$46:$CG$46, $BX$47:$CG$50)</f>
        <v>300</v>
      </c>
      <c r="O63" cm="1">
        <f t="array" ref="O63:O66">_xlfn.XLOOKUP(K63, $BX$106:$CG$106, $BX$107:$CG$110)</f>
        <v>0.4</v>
      </c>
      <c r="P63" cm="1">
        <f t="array" ref="P63">_xlfn.XLOOKUP(K$23,$BX$169:$CG$169,_xlfn.XLOOKUP($D$11,$BW$170:$BW$176,$BX$170:$CG$176))</f>
        <v>500</v>
      </c>
      <c r="Q63">
        <f t="shared" si="2"/>
        <v>0.6</v>
      </c>
      <c r="T63">
        <f t="shared" si="22"/>
        <v>0</v>
      </c>
      <c r="V63">
        <v>1</v>
      </c>
      <c r="W63">
        <v>0</v>
      </c>
      <c r="X63">
        <v>0</v>
      </c>
      <c r="Y63">
        <f t="shared" si="3"/>
        <v>0</v>
      </c>
      <c r="Z63">
        <f t="shared" si="50"/>
        <v>7.785000000000001</v>
      </c>
      <c r="AA63">
        <f t="shared" si="51"/>
        <v>6.2442878326350593E-3</v>
      </c>
      <c r="AB63">
        <f t="shared" si="5"/>
        <v>1.1119169101727504</v>
      </c>
      <c r="AC63">
        <f t="shared" si="52"/>
        <v>5.9487209999999981</v>
      </c>
      <c r="AD63">
        <f t="shared" si="53"/>
        <v>2.4484935635999991</v>
      </c>
      <c r="AE63">
        <f t="shared" si="54"/>
        <v>1.1519437462643171E-4</v>
      </c>
      <c r="AF63">
        <f t="shared" si="55"/>
        <v>1.3791764852534424E-3</v>
      </c>
      <c r="AG63">
        <f t="shared" si="56"/>
        <v>0</v>
      </c>
      <c r="AH63">
        <f t="shared" si="57"/>
        <v>0</v>
      </c>
      <c r="AI63">
        <f t="shared" si="58"/>
        <v>2.7687155945183992E-2</v>
      </c>
      <c r="AJ63">
        <f t="shared" si="59"/>
        <v>0</v>
      </c>
      <c r="AK63">
        <f t="shared" si="60"/>
        <v>3.1425546995517785E-2</v>
      </c>
      <c r="AL63">
        <f t="shared" si="61"/>
        <v>0</v>
      </c>
      <c r="AM63" cm="1">
        <f t="array" ref="AM63:AM66">_xlfn.XLOOKUP(G$51,$BV$17:$CD$17,$BV$18:$CD$21)</f>
        <v>0.55000000000000004</v>
      </c>
      <c r="AN63" cm="1">
        <f t="array" ref="AN63:AN66">_xlfn.XLOOKUP(G$51,$BV$29:$CD$29,$BV$30:$CD$33)</f>
        <v>7.0000000000000007E-2</v>
      </c>
      <c r="BU63" t="s">
        <v>65</v>
      </c>
      <c r="BV63" t="s">
        <v>62</v>
      </c>
      <c r="BW63" s="2" t="s">
        <v>54</v>
      </c>
      <c r="BX63" s="2">
        <v>340</v>
      </c>
      <c r="BY63" s="2">
        <v>800</v>
      </c>
      <c r="BZ63" s="2">
        <v>260</v>
      </c>
      <c r="CA63" s="2">
        <v>420</v>
      </c>
      <c r="CB63" s="2">
        <v>550</v>
      </c>
      <c r="CC63" s="2">
        <v>550</v>
      </c>
      <c r="CD63">
        <v>300</v>
      </c>
      <c r="CE63">
        <v>480</v>
      </c>
      <c r="CF63">
        <v>480</v>
      </c>
      <c r="CG63">
        <v>480</v>
      </c>
    </row>
    <row r="64" spans="1:85" x14ac:dyDescent="0.2">
      <c r="L64" t="s">
        <v>55</v>
      </c>
      <c r="N64">
        <v>360</v>
      </c>
      <c r="O64">
        <v>0.7</v>
      </c>
      <c r="P64" cm="1">
        <f t="array" ref="P64">_xlfn.XLOOKUP(K$23,$BX$169:$CG$169,_xlfn.XLOOKUP($D$11,$BW$170:$BW$176,$BX$170:$CG$176))</f>
        <v>500</v>
      </c>
      <c r="Q64">
        <f>N64/P64</f>
        <v>0.72</v>
      </c>
      <c r="T64">
        <f t="shared" si="22"/>
        <v>0</v>
      </c>
      <c r="V64">
        <v>1</v>
      </c>
      <c r="W64">
        <v>0</v>
      </c>
      <c r="X64">
        <v>0</v>
      </c>
      <c r="Y64">
        <f t="shared" si="3"/>
        <v>0</v>
      </c>
      <c r="Z64">
        <f t="shared" si="50"/>
        <v>9.3889999999999993</v>
      </c>
      <c r="AA64">
        <f t="shared" si="51"/>
        <v>9.3492032207592203E-3</v>
      </c>
      <c r="AB64">
        <f t="shared" si="5"/>
        <v>1.1855374831795669</v>
      </c>
      <c r="AC64">
        <f t="shared" si="52"/>
        <v>7.3058846435999998</v>
      </c>
      <c r="AD64">
        <f t="shared" si="53"/>
        <v>2.3934078092433602</v>
      </c>
      <c r="AE64">
        <f t="shared" si="54"/>
        <v>1.1260275293778476E-4</v>
      </c>
      <c r="AF64">
        <f t="shared" si="55"/>
        <v>1.3481480283236143E-3</v>
      </c>
      <c r="AG64">
        <f t="shared" si="56"/>
        <v>0</v>
      </c>
      <c r="AH64">
        <f t="shared" si="57"/>
        <v>0</v>
      </c>
      <c r="AI64">
        <f t="shared" si="58"/>
        <v>3.8384252900732593E-2</v>
      </c>
      <c r="AJ64">
        <f t="shared" si="59"/>
        <v>0</v>
      </c>
      <c r="AK64">
        <f t="shared" si="60"/>
        <v>0.1027743579961435</v>
      </c>
      <c r="AL64">
        <f t="shared" si="61"/>
        <v>0</v>
      </c>
      <c r="AM64">
        <v>0.65</v>
      </c>
      <c r="AN64">
        <v>0.13</v>
      </c>
      <c r="BW64" s="2" t="s">
        <v>55</v>
      </c>
      <c r="BX64" s="2">
        <v>380</v>
      </c>
      <c r="BY64" s="2">
        <v>780</v>
      </c>
      <c r="BZ64" s="2">
        <v>300</v>
      </c>
      <c r="CA64" s="2">
        <v>450</v>
      </c>
      <c r="CB64" s="2">
        <v>530</v>
      </c>
      <c r="CC64" s="2">
        <v>530</v>
      </c>
      <c r="CD64" s="2">
        <v>340</v>
      </c>
      <c r="CE64">
        <v>470</v>
      </c>
      <c r="CF64">
        <v>470</v>
      </c>
      <c r="CG64">
        <v>470</v>
      </c>
    </row>
    <row r="65" spans="11:85" x14ac:dyDescent="0.2">
      <c r="L65" t="s">
        <v>56</v>
      </c>
      <c r="N65">
        <v>390</v>
      </c>
      <c r="O65">
        <v>0.3</v>
      </c>
      <c r="P65" cm="1">
        <f t="array" ref="P65">_xlfn.XLOOKUP(K$23,$BX$169:$CG$169,_xlfn.XLOOKUP($D$11,$BW$170:$BW$176,$BX$170:$CG$176))</f>
        <v>500</v>
      </c>
      <c r="Q65">
        <f t="shared" si="2"/>
        <v>0.78</v>
      </c>
      <c r="T65">
        <f t="shared" si="22"/>
        <v>0</v>
      </c>
      <c r="V65">
        <v>1</v>
      </c>
      <c r="W65">
        <v>0</v>
      </c>
      <c r="X65">
        <v>0</v>
      </c>
      <c r="Y65">
        <f t="shared" si="3"/>
        <v>0</v>
      </c>
      <c r="Z65">
        <f t="shared" si="50"/>
        <v>8.5869999999999997</v>
      </c>
      <c r="AA65">
        <f t="shared" si="51"/>
        <v>3.7835202890765178E-3</v>
      </c>
      <c r="AB65">
        <f t="shared" si="5"/>
        <v>1.0751865867280543</v>
      </c>
      <c r="AC65">
        <f t="shared" si="52"/>
        <v>7.0471135296000007</v>
      </c>
      <c r="AD65">
        <f t="shared" si="53"/>
        <v>2.6046131605401603</v>
      </c>
      <c r="AE65">
        <f t="shared" si="54"/>
        <v>1.2253933954845938E-4</v>
      </c>
      <c r="AF65">
        <f t="shared" si="55"/>
        <v>1.4671148324021022E-3</v>
      </c>
      <c r="AG65">
        <f t="shared" si="56"/>
        <v>0</v>
      </c>
      <c r="AH65">
        <f t="shared" si="57"/>
        <v>0</v>
      </c>
      <c r="AI65">
        <f t="shared" si="58"/>
        <v>3.5419446571905155E-2</v>
      </c>
      <c r="AJ65">
        <f t="shared" si="59"/>
        <v>0</v>
      </c>
      <c r="AK65">
        <f t="shared" si="60"/>
        <v>7.2006267066110949E-2</v>
      </c>
      <c r="AL65">
        <f t="shared" si="61"/>
        <v>0</v>
      </c>
      <c r="AM65">
        <v>0.6</v>
      </c>
      <c r="AN65">
        <v>0.1</v>
      </c>
      <c r="BW65" s="2" t="s">
        <v>56</v>
      </c>
      <c r="BX65" s="2">
        <v>100</v>
      </c>
      <c r="BY65" s="2">
        <v>680</v>
      </c>
      <c r="BZ65" s="2">
        <v>80</v>
      </c>
      <c r="CA65" s="2">
        <v>320</v>
      </c>
      <c r="CB65" s="2">
        <v>480</v>
      </c>
      <c r="CC65" s="2">
        <v>480</v>
      </c>
      <c r="CD65">
        <v>100</v>
      </c>
      <c r="CE65">
        <v>340</v>
      </c>
      <c r="CF65">
        <v>340</v>
      </c>
      <c r="CG65">
        <v>340</v>
      </c>
    </row>
    <row r="66" spans="11:85" x14ac:dyDescent="0.2">
      <c r="L66" t="s">
        <v>57</v>
      </c>
      <c r="N66">
        <v>410</v>
      </c>
      <c r="O66">
        <v>0.2</v>
      </c>
      <c r="P66" cm="1">
        <f t="array" ref="P66">_xlfn.XLOOKUP(K$23,$BX$169:$CG$169,_xlfn.XLOOKUP($D$11,$BW$170:$BW$176,$BX$170:$CG$176))</f>
        <v>500</v>
      </c>
      <c r="Q66">
        <f t="shared" si="2"/>
        <v>0.82</v>
      </c>
      <c r="T66">
        <f t="shared" si="22"/>
        <v>0</v>
      </c>
      <c r="V66">
        <v>1</v>
      </c>
      <c r="W66">
        <v>0</v>
      </c>
      <c r="X66">
        <v>0</v>
      </c>
      <c r="Y66">
        <f t="shared" si="3"/>
        <v>0</v>
      </c>
      <c r="Z66">
        <f t="shared" si="50"/>
        <v>6.9829999999999997</v>
      </c>
      <c r="AA66">
        <f t="shared" si="51"/>
        <v>2.4432886397722938E-3</v>
      </c>
      <c r="AB66">
        <f t="shared" si="5"/>
        <v>1.0488710073408023</v>
      </c>
      <c r="AC66">
        <f t="shared" si="52"/>
        <v>7.1414010756000028</v>
      </c>
      <c r="AD66">
        <f t="shared" si="53"/>
        <v>3.2393395278921613</v>
      </c>
      <c r="AE66">
        <f t="shared" si="54"/>
        <v>1.5240133634232363E-4</v>
      </c>
      <c r="AF66">
        <f t="shared" si="55"/>
        <v>1.8246406570300113E-3</v>
      </c>
      <c r="AG66">
        <f t="shared" si="56"/>
        <v>0</v>
      </c>
      <c r="AH66">
        <f t="shared" si="57"/>
        <v>0</v>
      </c>
      <c r="AI66">
        <f t="shared" si="58"/>
        <v>3.2297094913697359E-2</v>
      </c>
      <c r="AJ66">
        <f t="shared" si="59"/>
        <v>0</v>
      </c>
      <c r="AK66">
        <f t="shared" si="60"/>
        <v>3.2213450109116783E-2</v>
      </c>
      <c r="AL66">
        <f t="shared" si="61"/>
        <v>0</v>
      </c>
      <c r="AM66">
        <v>0.5</v>
      </c>
      <c r="AN66">
        <v>0.06</v>
      </c>
      <c r="BW66" s="2" t="s">
        <v>57</v>
      </c>
      <c r="BX66" s="2">
        <v>190</v>
      </c>
      <c r="BY66" s="2">
        <v>700</v>
      </c>
      <c r="BZ66" s="2">
        <v>150</v>
      </c>
      <c r="CA66" s="2">
        <v>330</v>
      </c>
      <c r="CB66" s="2">
        <v>490</v>
      </c>
      <c r="CC66" s="2">
        <v>490</v>
      </c>
      <c r="CD66">
        <v>170</v>
      </c>
      <c r="CE66">
        <v>360</v>
      </c>
      <c r="CF66">
        <v>360</v>
      </c>
      <c r="CG66">
        <v>360</v>
      </c>
    </row>
    <row r="67" spans="11:85" x14ac:dyDescent="0.2">
      <c r="K67" t="s">
        <v>46</v>
      </c>
      <c r="L67" t="s">
        <v>54</v>
      </c>
      <c r="M67">
        <v>100</v>
      </c>
      <c r="N67" cm="1">
        <f t="array" ref="N67:N70">_xlfn.XLOOKUP(K67, $BX$46:$CG$46, $BX$47:$CG$50)</f>
        <v>440</v>
      </c>
      <c r="O67" cm="1">
        <f t="array" ref="O67:O70">_xlfn.XLOOKUP(K67, $BX$106:$CG$106, $BX$107:$CG$110)</f>
        <v>0.3</v>
      </c>
      <c r="P67" cm="1">
        <f t="array" ref="P67">_xlfn.XLOOKUP(K$27,$BX$169:$CG$169,_xlfn.XLOOKUP($D$11,$BW$170:$BW$176,$BX$170:$CG$176))</f>
        <v>500</v>
      </c>
      <c r="Q67">
        <f t="shared" si="2"/>
        <v>0.88</v>
      </c>
      <c r="R67">
        <v>1</v>
      </c>
      <c r="T67">
        <f t="shared" si="22"/>
        <v>1</v>
      </c>
      <c r="U67">
        <f>1+(0.3*R67)+(0.1*S67)</f>
        <v>1.3</v>
      </c>
      <c r="V67">
        <f>(T67*U67)+(1 - T67)</f>
        <v>1.3</v>
      </c>
      <c r="W67">
        <v>0</v>
      </c>
      <c r="X67">
        <f>VLOOKUP($G$11, $CL$17:$CN$25, 2, FALSE)</f>
        <v>6</v>
      </c>
      <c r="Y67">
        <f t="shared" si="3"/>
        <v>6</v>
      </c>
      <c r="Z67">
        <f t="shared" si="50"/>
        <v>7.785000000000001</v>
      </c>
      <c r="AA67">
        <f t="shared" si="51"/>
        <v>3.3619594755351763E-2</v>
      </c>
      <c r="AB67">
        <f t="shared" si="5"/>
        <v>1.0717864499078988</v>
      </c>
      <c r="AC67">
        <f t="shared" si="52"/>
        <v>10.001723663880002</v>
      </c>
      <c r="AD67">
        <f t="shared" si="53"/>
        <v>4.1167094600530074</v>
      </c>
      <c r="AE67">
        <f t="shared" si="54"/>
        <v>1.9367899463549227E-4</v>
      </c>
      <c r="AF67">
        <f t="shared" si="55"/>
        <v>2.3188416618002772E-3</v>
      </c>
      <c r="AG67">
        <f t="shared" si="56"/>
        <v>1.7673208260488671</v>
      </c>
      <c r="AH67">
        <f t="shared" si="57"/>
        <v>21.159430163927528</v>
      </c>
      <c r="AI67">
        <f t="shared" si="58"/>
        <v>4.655106245569135E-2</v>
      </c>
      <c r="AJ67">
        <f t="shared" si="59"/>
        <v>424.77844490818353</v>
      </c>
      <c r="AK67">
        <f t="shared" si="60"/>
        <v>3.0157809140942234E-2</v>
      </c>
      <c r="AL67">
        <f t="shared" si="61"/>
        <v>275.19000841109789</v>
      </c>
      <c r="AM67" cm="1">
        <f t="array" ref="AM67:AM70">_xlfn.XLOOKUP(G$51,$BV$17:$CD$17,$BV$18:$CD$21)</f>
        <v>0.55000000000000004</v>
      </c>
      <c r="AN67" cm="1">
        <f t="array" ref="AN67:AN70">_xlfn.XLOOKUP(G$51,$BV$29:$CD$29,$BV$30:$CD$33)</f>
        <v>7.0000000000000007E-2</v>
      </c>
      <c r="BU67" t="s">
        <v>65</v>
      </c>
      <c r="BV67" t="s">
        <v>63</v>
      </c>
      <c r="BW67" s="2" t="s">
        <v>54</v>
      </c>
      <c r="BX67" s="2">
        <v>80</v>
      </c>
      <c r="BY67" s="2">
        <v>450</v>
      </c>
      <c r="BZ67" s="2">
        <v>70</v>
      </c>
      <c r="CA67" s="2">
        <v>260</v>
      </c>
      <c r="CB67" s="2">
        <v>340</v>
      </c>
      <c r="CC67" s="2">
        <v>340</v>
      </c>
      <c r="CD67" s="2">
        <v>80</v>
      </c>
      <c r="CE67">
        <v>370</v>
      </c>
      <c r="CF67">
        <v>370</v>
      </c>
      <c r="CG67">
        <v>370</v>
      </c>
    </row>
    <row r="68" spans="11:85" x14ac:dyDescent="0.2">
      <c r="L68" t="s">
        <v>55</v>
      </c>
      <c r="M68">
        <v>110</v>
      </c>
      <c r="N68">
        <v>470</v>
      </c>
      <c r="O68">
        <v>0.3</v>
      </c>
      <c r="P68" cm="1">
        <f t="array" ref="P68">_xlfn.XLOOKUP(K$27,$BX$169:$CG$169,_xlfn.XLOOKUP($D$11,$BW$170:$BW$176,$BX$170:$CG$176))</f>
        <v>500</v>
      </c>
      <c r="Q68">
        <f t="shared" si="2"/>
        <v>0.94</v>
      </c>
      <c r="R68">
        <v>0</v>
      </c>
      <c r="S68">
        <v>1</v>
      </c>
      <c r="T68">
        <f t="shared" si="22"/>
        <v>1</v>
      </c>
      <c r="U68">
        <f t="shared" ref="U68:U74" si="62">1+(0.3*R68)+(0.1*S68)</f>
        <v>1.1000000000000001</v>
      </c>
      <c r="V68">
        <f t="shared" ref="V68:V74" si="63">(T68*U68)+(1 - T68)</f>
        <v>1.1000000000000001</v>
      </c>
      <c r="W68">
        <v>0</v>
      </c>
      <c r="X68">
        <f>VLOOKUP($G$11, $CL$17:$CN$25, 3, FALSE)</f>
        <v>4</v>
      </c>
      <c r="Y68">
        <f t="shared" si="3"/>
        <v>4</v>
      </c>
      <c r="Z68">
        <f t="shared" si="50"/>
        <v>9.3889999999999993</v>
      </c>
      <c r="AA68">
        <f t="shared" si="51"/>
        <v>2.3487599223017373E-2</v>
      </c>
      <c r="AB68">
        <f t="shared" si="5"/>
        <v>1.070051638137812</v>
      </c>
      <c r="AC68">
        <f t="shared" si="52"/>
        <v>8.8656632697600024</v>
      </c>
      <c r="AD68">
        <f t="shared" si="53"/>
        <v>2.9043912871733766</v>
      </c>
      <c r="AE68">
        <f t="shared" si="54"/>
        <v>1.3664301306329734E-4</v>
      </c>
      <c r="AF68">
        <f t="shared" si="55"/>
        <v>1.6359725125660528E-3</v>
      </c>
      <c r="AG68">
        <f t="shared" si="56"/>
        <v>1.3715542436228472</v>
      </c>
      <c r="AH68">
        <f t="shared" si="57"/>
        <v>16.421074094881757</v>
      </c>
      <c r="AI68">
        <f t="shared" si="58"/>
        <v>4.6579145124787912E-2</v>
      </c>
      <c r="AJ68">
        <f t="shared" si="59"/>
        <v>467.53816919005868</v>
      </c>
      <c r="AK68">
        <f t="shared" si="60"/>
        <v>0.11256246637563441</v>
      </c>
      <c r="AL68">
        <f t="shared" si="61"/>
        <v>1129.8457562454305</v>
      </c>
      <c r="AM68">
        <v>0.65</v>
      </c>
      <c r="AN68">
        <v>0.13</v>
      </c>
      <c r="BW68" s="2" t="s">
        <v>55</v>
      </c>
      <c r="BX68" s="2">
        <v>150</v>
      </c>
      <c r="BY68" s="2">
        <v>500</v>
      </c>
      <c r="BZ68" s="2">
        <v>140</v>
      </c>
      <c r="CA68" s="2">
        <v>310</v>
      </c>
      <c r="CB68" s="2">
        <v>360</v>
      </c>
      <c r="CC68" s="2">
        <v>360</v>
      </c>
      <c r="CD68" s="2">
        <v>150</v>
      </c>
      <c r="CE68">
        <v>400</v>
      </c>
      <c r="CF68">
        <v>400</v>
      </c>
      <c r="CG68">
        <v>400</v>
      </c>
    </row>
    <row r="69" spans="11:85" x14ac:dyDescent="0.2">
      <c r="L69" t="s">
        <v>56</v>
      </c>
      <c r="M69">
        <v>120</v>
      </c>
      <c r="N69">
        <v>490</v>
      </c>
      <c r="O69">
        <v>0.2</v>
      </c>
      <c r="P69" cm="1">
        <f t="array" ref="P69">_xlfn.XLOOKUP(K$27,$BX$169:$CG$169,_xlfn.XLOOKUP($D$11,$BW$170:$BW$176,$BX$170:$CG$176))</f>
        <v>500</v>
      </c>
      <c r="Q69">
        <f t="shared" si="2"/>
        <v>0.98</v>
      </c>
      <c r="R69">
        <v>0</v>
      </c>
      <c r="S69">
        <v>0</v>
      </c>
      <c r="T69">
        <f t="shared" si="22"/>
        <v>0</v>
      </c>
      <c r="U69">
        <f t="shared" si="62"/>
        <v>1</v>
      </c>
      <c r="V69">
        <f t="shared" si="63"/>
        <v>1</v>
      </c>
      <c r="W69">
        <v>0</v>
      </c>
      <c r="X69">
        <v>0</v>
      </c>
      <c r="Y69">
        <f t="shared" si="3"/>
        <v>0</v>
      </c>
      <c r="Z69">
        <f t="shared" si="50"/>
        <v>8.5869999999999997</v>
      </c>
      <c r="AA69">
        <f t="shared" si="51"/>
        <v>2.2495778311143037E-3</v>
      </c>
      <c r="AB69">
        <f t="shared" si="5"/>
        <v>1.0457484402934745</v>
      </c>
      <c r="AC69">
        <f t="shared" si="52"/>
        <v>8.1130407556000002</v>
      </c>
      <c r="AD69">
        <f t="shared" si="53"/>
        <v>2.99857986326976</v>
      </c>
      <c r="AE69">
        <f t="shared" si="54"/>
        <v>1.4107430677044692E-4</v>
      </c>
      <c r="AF69">
        <f t="shared" si="55"/>
        <v>1.6890266317448027E-3</v>
      </c>
      <c r="AG69">
        <f t="shared" si="56"/>
        <v>1.5447636591363938</v>
      </c>
      <c r="AH69">
        <f t="shared" si="57"/>
        <v>18.494841617605591</v>
      </c>
      <c r="AI69">
        <f t="shared" si="58"/>
        <v>4.0776895727827715E-2</v>
      </c>
      <c r="AJ69">
        <f t="shared" si="59"/>
        <v>446.5070082197135</v>
      </c>
      <c r="AK69">
        <f t="shared" si="60"/>
        <v>8.4949190083043788E-2</v>
      </c>
      <c r="AL69">
        <f t="shared" si="61"/>
        <v>930.19363140932956</v>
      </c>
      <c r="AM69">
        <v>0.6</v>
      </c>
      <c r="AN69">
        <v>0.1</v>
      </c>
      <c r="BW69" s="2" t="s">
        <v>56</v>
      </c>
      <c r="BX69" s="2">
        <v>230</v>
      </c>
      <c r="BY69" s="2">
        <v>550</v>
      </c>
      <c r="BZ69" s="2">
        <v>220</v>
      </c>
      <c r="CA69" s="2">
        <v>330</v>
      </c>
      <c r="CB69" s="2">
        <v>380</v>
      </c>
      <c r="CC69" s="2">
        <v>380</v>
      </c>
      <c r="CD69" s="2">
        <v>230</v>
      </c>
      <c r="CE69">
        <v>420</v>
      </c>
      <c r="CF69">
        <v>420</v>
      </c>
      <c r="CG69">
        <v>420</v>
      </c>
    </row>
    <row r="70" spans="11:85" x14ac:dyDescent="0.2">
      <c r="L70" t="s">
        <v>57</v>
      </c>
      <c r="M70">
        <v>130</v>
      </c>
      <c r="N70">
        <v>500</v>
      </c>
      <c r="O70">
        <v>0.1</v>
      </c>
      <c r="P70" cm="1">
        <f t="array" ref="P70">_xlfn.XLOOKUP(K$27,$BX$169:$CG$169,_xlfn.XLOOKUP($D$11,$BW$170:$BW$176,$BX$170:$CG$176))</f>
        <v>500</v>
      </c>
      <c r="Q70">
        <f t="shared" si="2"/>
        <v>1</v>
      </c>
      <c r="R70">
        <v>0</v>
      </c>
      <c r="S70">
        <v>0</v>
      </c>
      <c r="T70">
        <f t="shared" si="22"/>
        <v>0</v>
      </c>
      <c r="U70">
        <f t="shared" si="62"/>
        <v>1</v>
      </c>
      <c r="V70">
        <f t="shared" si="63"/>
        <v>1</v>
      </c>
      <c r="W70">
        <v>0</v>
      </c>
      <c r="X70">
        <v>0</v>
      </c>
      <c r="Y70">
        <f t="shared" si="3"/>
        <v>0</v>
      </c>
      <c r="Z70">
        <f t="shared" si="50"/>
        <v>6.9829999999999997</v>
      </c>
      <c r="AA70">
        <f t="shared" si="51"/>
        <v>1.1177124055604386E-3</v>
      </c>
      <c r="AB70">
        <f t="shared" si="5"/>
        <v>1.0225860047470616</v>
      </c>
      <c r="AC70">
        <f t="shared" si="52"/>
        <v>8.0457322500000004</v>
      </c>
      <c r="AD70">
        <f t="shared" si="53"/>
        <v>3.6495441486</v>
      </c>
      <c r="AE70">
        <f t="shared" si="54"/>
        <v>1.7170024954095013E-4</v>
      </c>
      <c r="AF70">
        <f t="shared" si="55"/>
        <v>2.0556988780656223E-3</v>
      </c>
      <c r="AG70">
        <f t="shared" si="56"/>
        <v>2.0367942101795209</v>
      </c>
      <c r="AH70">
        <f t="shared" si="57"/>
        <v>24.385727941053442</v>
      </c>
      <c r="AI70">
        <f t="shared" si="58"/>
        <v>3.6386946395755196E-2</v>
      </c>
      <c r="AJ70">
        <f t="shared" si="59"/>
        <v>431.64015161964602</v>
      </c>
      <c r="AK70">
        <f t="shared" si="60"/>
        <v>3.7873397375028983E-2</v>
      </c>
      <c r="AL70">
        <f t="shared" si="61"/>
        <v>449.27317636128134</v>
      </c>
      <c r="AM70">
        <v>0.5</v>
      </c>
      <c r="AN70">
        <v>0.06</v>
      </c>
      <c r="BW70" s="2" t="s">
        <v>57</v>
      </c>
      <c r="BX70" s="2">
        <v>250</v>
      </c>
      <c r="BY70" s="2">
        <v>500</v>
      </c>
      <c r="BZ70" s="2">
        <v>240</v>
      </c>
      <c r="CA70" s="2">
        <v>340</v>
      </c>
      <c r="CB70" s="2">
        <v>360</v>
      </c>
      <c r="CC70" s="2">
        <v>360</v>
      </c>
      <c r="CD70" s="2">
        <v>250</v>
      </c>
      <c r="CE70">
        <v>390</v>
      </c>
      <c r="CF70">
        <v>390</v>
      </c>
      <c r="CG70">
        <v>390</v>
      </c>
    </row>
    <row r="71" spans="11:85" x14ac:dyDescent="0.2">
      <c r="K71" t="s">
        <v>47</v>
      </c>
      <c r="L71" t="s">
        <v>54</v>
      </c>
      <c r="N71" cm="1">
        <f t="array" ref="N71:N74">_xlfn.XLOOKUP(K71, $BX$46:$CG$46, $BX$47:$CG$50)</f>
        <v>440</v>
      </c>
      <c r="O71" cm="1">
        <f t="array" ref="O71:O74">_xlfn.XLOOKUP(K71, $BX$106:$CG$106, $BX$107:$CG$110)</f>
        <v>0.3</v>
      </c>
      <c r="P71" cm="1">
        <f t="array" ref="P71">_xlfn.XLOOKUP(K$31,$BX$169:$CG$169,_xlfn.XLOOKUP($D$11,$BW$170:$BW$176,$BX$170:$CG$176))</f>
        <v>500</v>
      </c>
      <c r="Q71">
        <f t="shared" si="2"/>
        <v>0.88</v>
      </c>
      <c r="R71">
        <v>1</v>
      </c>
      <c r="S71">
        <v>0</v>
      </c>
      <c r="T71">
        <f t="shared" si="22"/>
        <v>1</v>
      </c>
      <c r="U71">
        <f t="shared" si="62"/>
        <v>1.3</v>
      </c>
      <c r="V71">
        <f t="shared" si="63"/>
        <v>1.3</v>
      </c>
      <c r="W71">
        <v>0</v>
      </c>
      <c r="X71">
        <f>VLOOKUP($G$11, $CL$17:$CN$25, 2, FALSE)</f>
        <v>6</v>
      </c>
      <c r="Y71">
        <f t="shared" si="3"/>
        <v>6</v>
      </c>
      <c r="Z71">
        <f t="shared" si="50"/>
        <v>7.785000000000001</v>
      </c>
      <c r="AA71">
        <f t="shared" si="51"/>
        <v>3.3619594755351763E-2</v>
      </c>
      <c r="AB71">
        <f t="shared" si="5"/>
        <v>1.0717864499078988</v>
      </c>
      <c r="AC71">
        <f t="shared" si="52"/>
        <v>10.001723663880002</v>
      </c>
      <c r="AD71">
        <f t="shared" si="53"/>
        <v>4.1167094600530074</v>
      </c>
      <c r="AE71">
        <f t="shared" si="54"/>
        <v>1.9367899463549227E-4</v>
      </c>
      <c r="AF71">
        <f t="shared" si="55"/>
        <v>2.3188416618002772E-3</v>
      </c>
      <c r="AG71">
        <f t="shared" si="56"/>
        <v>0</v>
      </c>
      <c r="AH71">
        <f t="shared" si="57"/>
        <v>0</v>
      </c>
      <c r="AI71">
        <f t="shared" si="58"/>
        <v>4.655106245569135E-2</v>
      </c>
      <c r="AJ71">
        <f t="shared" si="59"/>
        <v>0</v>
      </c>
      <c r="AK71">
        <f t="shared" si="60"/>
        <v>3.0157809140942234E-2</v>
      </c>
      <c r="AL71">
        <f t="shared" si="61"/>
        <v>0</v>
      </c>
      <c r="AM71" cm="1">
        <f t="array" ref="AM71:AM74">_xlfn.XLOOKUP(G$51,$BV$17:$CD$17,$BV$18:$CD$21)</f>
        <v>0.55000000000000004</v>
      </c>
      <c r="AN71" cm="1">
        <f t="array" ref="AN71:AN74">_xlfn.XLOOKUP(G$51,$BV$29:$CD$29,$BV$30:$CD$33)</f>
        <v>7.0000000000000007E-2</v>
      </c>
      <c r="BU71" t="s">
        <v>65</v>
      </c>
      <c r="BV71" t="s">
        <v>71</v>
      </c>
      <c r="BW71" s="2" t="s">
        <v>54</v>
      </c>
      <c r="BX71" s="2">
        <v>220</v>
      </c>
      <c r="BY71" s="2">
        <v>500</v>
      </c>
      <c r="BZ71" s="2">
        <v>180</v>
      </c>
      <c r="CA71" s="2">
        <v>300</v>
      </c>
      <c r="CB71" s="2">
        <v>320</v>
      </c>
      <c r="CC71" s="2">
        <v>320</v>
      </c>
      <c r="CD71" s="2">
        <v>210</v>
      </c>
      <c r="CE71" s="2">
        <v>340</v>
      </c>
      <c r="CF71" s="2">
        <v>340</v>
      </c>
      <c r="CG71" s="2">
        <v>340</v>
      </c>
    </row>
    <row r="72" spans="11:85" x14ac:dyDescent="0.2">
      <c r="L72" t="s">
        <v>55</v>
      </c>
      <c r="N72">
        <v>470</v>
      </c>
      <c r="O72">
        <v>0.3</v>
      </c>
      <c r="P72" cm="1">
        <f t="array" ref="P72">_xlfn.XLOOKUP(K$31,$BX$169:$CG$169,_xlfn.XLOOKUP($D$11,$BW$170:$BW$176,$BX$170:$CG$176))</f>
        <v>500</v>
      </c>
      <c r="Q72">
        <f t="shared" si="2"/>
        <v>0.94</v>
      </c>
      <c r="R72">
        <v>0</v>
      </c>
      <c r="S72">
        <v>1</v>
      </c>
      <c r="T72">
        <f t="shared" si="22"/>
        <v>1</v>
      </c>
      <c r="U72">
        <f t="shared" si="62"/>
        <v>1.1000000000000001</v>
      </c>
      <c r="V72">
        <f t="shared" si="63"/>
        <v>1.1000000000000001</v>
      </c>
      <c r="W72">
        <v>0</v>
      </c>
      <c r="X72">
        <f>VLOOKUP($G$11, $CL$17:$CN$25, 3, FALSE)</f>
        <v>4</v>
      </c>
      <c r="Y72">
        <f t="shared" si="3"/>
        <v>4</v>
      </c>
      <c r="Z72">
        <f t="shared" si="50"/>
        <v>9.3889999999999993</v>
      </c>
      <c r="AA72">
        <f t="shared" si="51"/>
        <v>2.3487599223017373E-2</v>
      </c>
      <c r="AB72">
        <f t="shared" si="5"/>
        <v>1.070051638137812</v>
      </c>
      <c r="AC72">
        <f t="shared" si="52"/>
        <v>8.8656632697600024</v>
      </c>
      <c r="AD72">
        <f t="shared" si="53"/>
        <v>2.9043912871733766</v>
      </c>
      <c r="AE72">
        <f t="shared" si="54"/>
        <v>1.3664301306329734E-4</v>
      </c>
      <c r="AF72">
        <f t="shared" si="55"/>
        <v>1.6359725125660528E-3</v>
      </c>
      <c r="AG72">
        <f t="shared" si="56"/>
        <v>0</v>
      </c>
      <c r="AH72">
        <f t="shared" si="57"/>
        <v>0</v>
      </c>
      <c r="AI72">
        <f t="shared" si="58"/>
        <v>4.6579145124787912E-2</v>
      </c>
      <c r="AJ72">
        <f t="shared" si="59"/>
        <v>0</v>
      </c>
      <c r="AK72">
        <f t="shared" si="60"/>
        <v>0.11256246637563441</v>
      </c>
      <c r="AL72">
        <f t="shared" si="61"/>
        <v>0</v>
      </c>
      <c r="AM72">
        <v>0.65</v>
      </c>
      <c r="AN72">
        <v>0.13</v>
      </c>
      <c r="BW72" s="2" t="s">
        <v>55</v>
      </c>
      <c r="BX72" s="2">
        <v>110</v>
      </c>
      <c r="BY72" s="2">
        <v>550</v>
      </c>
      <c r="BZ72" s="2">
        <v>90</v>
      </c>
      <c r="CA72" s="2">
        <v>220</v>
      </c>
      <c r="CB72" s="2">
        <v>380</v>
      </c>
      <c r="CC72" s="2">
        <v>380</v>
      </c>
      <c r="CD72" s="2">
        <v>100</v>
      </c>
      <c r="CE72" s="2">
        <v>390</v>
      </c>
      <c r="CF72" s="2">
        <v>390</v>
      </c>
      <c r="CG72" s="2">
        <v>390</v>
      </c>
    </row>
    <row r="73" spans="11:85" x14ac:dyDescent="0.2">
      <c r="L73" t="s">
        <v>56</v>
      </c>
      <c r="N73">
        <v>490</v>
      </c>
      <c r="O73">
        <v>0.2</v>
      </c>
      <c r="P73" cm="1">
        <f t="array" ref="P73">_xlfn.XLOOKUP(K$31,$BX$169:$CG$169,_xlfn.XLOOKUP($D$11,$BW$170:$BW$176,$BX$170:$CG$176))</f>
        <v>500</v>
      </c>
      <c r="Q73">
        <f t="shared" si="2"/>
        <v>0.98</v>
      </c>
      <c r="R73">
        <v>0</v>
      </c>
      <c r="S73">
        <v>0</v>
      </c>
      <c r="T73">
        <f t="shared" si="22"/>
        <v>0</v>
      </c>
      <c r="U73">
        <f t="shared" si="62"/>
        <v>1</v>
      </c>
      <c r="V73">
        <f t="shared" si="63"/>
        <v>1</v>
      </c>
      <c r="W73">
        <v>0</v>
      </c>
      <c r="X73">
        <v>0</v>
      </c>
      <c r="Y73">
        <f t="shared" si="3"/>
        <v>0</v>
      </c>
      <c r="Z73">
        <f t="shared" si="50"/>
        <v>8.5869999999999997</v>
      </c>
      <c r="AA73">
        <f t="shared" si="51"/>
        <v>2.2495778311143037E-3</v>
      </c>
      <c r="AB73">
        <f t="shared" si="5"/>
        <v>1.0457484402934745</v>
      </c>
      <c r="AC73">
        <f t="shared" si="52"/>
        <v>8.1130407556000002</v>
      </c>
      <c r="AD73">
        <f t="shared" si="53"/>
        <v>2.99857986326976</v>
      </c>
      <c r="AE73">
        <f t="shared" si="54"/>
        <v>1.4107430677044692E-4</v>
      </c>
      <c r="AF73">
        <f t="shared" si="55"/>
        <v>1.6890266317448027E-3</v>
      </c>
      <c r="AG73">
        <f t="shared" si="56"/>
        <v>0</v>
      </c>
      <c r="AH73">
        <f t="shared" si="57"/>
        <v>0</v>
      </c>
      <c r="AI73">
        <f t="shared" si="58"/>
        <v>4.0776895727827715E-2</v>
      </c>
      <c r="AJ73">
        <f t="shared" si="59"/>
        <v>0</v>
      </c>
      <c r="AK73">
        <f t="shared" si="60"/>
        <v>8.4949190083043788E-2</v>
      </c>
      <c r="AL73">
        <f t="shared" si="61"/>
        <v>0</v>
      </c>
      <c r="AM73">
        <v>0.6</v>
      </c>
      <c r="AN73">
        <v>0.1</v>
      </c>
      <c r="BW73" s="2" t="s">
        <v>56</v>
      </c>
      <c r="BX73" s="2">
        <v>170</v>
      </c>
      <c r="BY73" s="2">
        <v>600</v>
      </c>
      <c r="BZ73" s="2">
        <v>140</v>
      </c>
      <c r="CA73" s="2">
        <v>270</v>
      </c>
      <c r="CB73" s="2">
        <v>390</v>
      </c>
      <c r="CC73" s="2">
        <v>390</v>
      </c>
      <c r="CD73" s="2">
        <v>160</v>
      </c>
      <c r="CE73" s="2">
        <v>430</v>
      </c>
      <c r="CF73" s="2">
        <v>430</v>
      </c>
      <c r="CG73" s="2">
        <v>430</v>
      </c>
    </row>
    <row r="74" spans="11:85" x14ac:dyDescent="0.2">
      <c r="L74" t="s">
        <v>57</v>
      </c>
      <c r="N74">
        <v>500</v>
      </c>
      <c r="O74">
        <v>0.1</v>
      </c>
      <c r="P74" cm="1">
        <f t="array" ref="P74">_xlfn.XLOOKUP(K$31,$BX$169:$CG$169,_xlfn.XLOOKUP($D$11,$BW$170:$BW$176,$BX$170:$CG$176))</f>
        <v>500</v>
      </c>
      <c r="Q74">
        <f t="shared" si="2"/>
        <v>1</v>
      </c>
      <c r="R74">
        <v>0</v>
      </c>
      <c r="S74">
        <v>0</v>
      </c>
      <c r="T74">
        <f t="shared" si="22"/>
        <v>0</v>
      </c>
      <c r="U74">
        <f t="shared" si="62"/>
        <v>1</v>
      </c>
      <c r="V74">
        <f t="shared" si="63"/>
        <v>1</v>
      </c>
      <c r="W74">
        <v>0</v>
      </c>
      <c r="X74">
        <v>0</v>
      </c>
      <c r="Y74">
        <f t="shared" si="3"/>
        <v>0</v>
      </c>
      <c r="Z74">
        <f t="shared" si="50"/>
        <v>6.9829999999999997</v>
      </c>
      <c r="AA74">
        <f t="shared" si="51"/>
        <v>1.1177124055604386E-3</v>
      </c>
      <c r="AB74">
        <f t="shared" si="5"/>
        <v>1.0225860047470616</v>
      </c>
      <c r="AC74">
        <f t="shared" si="52"/>
        <v>8.0457322500000004</v>
      </c>
      <c r="AD74">
        <f t="shared" si="53"/>
        <v>3.6495441486</v>
      </c>
      <c r="AE74">
        <f t="shared" si="54"/>
        <v>1.7170024954095013E-4</v>
      </c>
      <c r="AF74">
        <f t="shared" si="55"/>
        <v>2.0556988780656223E-3</v>
      </c>
      <c r="AG74">
        <f t="shared" si="56"/>
        <v>0</v>
      </c>
      <c r="AH74">
        <f t="shared" si="57"/>
        <v>0</v>
      </c>
      <c r="AI74">
        <f t="shared" si="58"/>
        <v>3.6386946395755196E-2</v>
      </c>
      <c r="AJ74">
        <f t="shared" si="59"/>
        <v>0</v>
      </c>
      <c r="AK74">
        <f t="shared" si="60"/>
        <v>3.7873397375028983E-2</v>
      </c>
      <c r="AL74">
        <f t="shared" si="61"/>
        <v>0</v>
      </c>
      <c r="AM74">
        <v>0.5</v>
      </c>
      <c r="AN74">
        <v>0.06</v>
      </c>
      <c r="BW74" s="2" t="s">
        <v>57</v>
      </c>
      <c r="BX74" s="2">
        <v>200</v>
      </c>
      <c r="BY74" s="2">
        <v>550</v>
      </c>
      <c r="BZ74" s="2">
        <v>150</v>
      </c>
      <c r="CA74" s="2">
        <v>280</v>
      </c>
      <c r="CB74" s="2">
        <v>350</v>
      </c>
      <c r="CC74" s="2">
        <v>350</v>
      </c>
      <c r="CD74" s="2">
        <v>190</v>
      </c>
      <c r="CE74" s="2">
        <v>400</v>
      </c>
      <c r="CF74" s="2">
        <v>400</v>
      </c>
      <c r="CG74" s="2">
        <v>400</v>
      </c>
    </row>
    <row r="75" spans="11:85" x14ac:dyDescent="0.2">
      <c r="K75" t="s">
        <v>48</v>
      </c>
      <c r="L75" t="s">
        <v>54</v>
      </c>
      <c r="M75">
        <v>200</v>
      </c>
      <c r="N75" cm="1">
        <f t="array" ref="N75:N78">_xlfn.XLOOKUP(K75, $BX$46:$CG$46, $BX$47:$CG$50)</f>
        <v>75</v>
      </c>
      <c r="O75" cm="1">
        <f t="array" ref="O75:O78">_xlfn.XLOOKUP(K75, $BX$106:$CG$106, $BX$107:$CG$110)</f>
        <v>0.5</v>
      </c>
      <c r="P75" cm="1">
        <f t="array" ref="P75">_xlfn.XLOOKUP(K$35,$BX$169:$CG$169,_xlfn.XLOOKUP($D$11,$BW$170:$BW$176,$BX$170:$CG$176))</f>
        <v>500</v>
      </c>
      <c r="Q75">
        <f t="shared" si="2"/>
        <v>0.15</v>
      </c>
      <c r="S75">
        <v>0</v>
      </c>
      <c r="T75">
        <f t="shared" si="22"/>
        <v>0</v>
      </c>
      <c r="V75">
        <v>1</v>
      </c>
      <c r="W75">
        <f>VLOOKUP($G$51, $CL$17:$CN$25, 2, FALSE)</f>
        <v>6</v>
      </c>
      <c r="X75">
        <v>0</v>
      </c>
      <c r="Y75">
        <f t="shared" si="3"/>
        <v>0</v>
      </c>
      <c r="Z75">
        <f t="shared" si="50"/>
        <v>7.785000000000001</v>
      </c>
      <c r="AA75">
        <f t="shared" si="51"/>
        <v>1.4099280269004926E-2</v>
      </c>
      <c r="AB75">
        <f t="shared" si="5"/>
        <v>1.2193553180247376</v>
      </c>
      <c r="AC75">
        <f t="shared" si="52"/>
        <v>2.7834751406249998</v>
      </c>
      <c r="AD75">
        <f t="shared" si="53"/>
        <v>1.1456783678812499</v>
      </c>
      <c r="AE75">
        <f t="shared" si="54"/>
        <v>5.390077600084388E-5</v>
      </c>
      <c r="AF75">
        <f t="shared" si="55"/>
        <v>6.4533257842106233E-4</v>
      </c>
      <c r="AG75">
        <f t="shared" si="56"/>
        <v>0.98368916201540069</v>
      </c>
      <c r="AH75">
        <f t="shared" si="57"/>
        <v>11.777319556184386</v>
      </c>
      <c r="AI75">
        <f t="shared" si="58"/>
        <v>1.5362662991883286E-2</v>
      </c>
      <c r="AJ75">
        <f t="shared" si="59"/>
        <v>280.36859960186996</v>
      </c>
      <c r="AK75">
        <f t="shared" si="60"/>
        <v>3.1358474520619482E-2</v>
      </c>
      <c r="AL75">
        <f t="shared" si="61"/>
        <v>572.29216000130555</v>
      </c>
      <c r="AM75" cm="1">
        <f t="array" ref="AM75:AM78">_xlfn.XLOOKUP(G$51,$BV$17:$CD$17,$BV$18:$CD$21)</f>
        <v>0.55000000000000004</v>
      </c>
      <c r="AN75" cm="1">
        <f t="array" ref="AN75:AN78">_xlfn.XLOOKUP(G$51,$BV$29:$CD$29,$BV$30:$CD$33)</f>
        <v>7.0000000000000007E-2</v>
      </c>
      <c r="BU75" t="s">
        <v>73</v>
      </c>
      <c r="BV75" t="s">
        <v>74</v>
      </c>
      <c r="BW75" s="2" t="s">
        <v>54</v>
      </c>
      <c r="BX75">
        <v>220</v>
      </c>
      <c r="BY75">
        <v>706</v>
      </c>
      <c r="BZ75">
        <v>208</v>
      </c>
      <c r="CA75">
        <v>323</v>
      </c>
      <c r="CB75">
        <v>415</v>
      </c>
      <c r="CC75">
        <v>467</v>
      </c>
      <c r="CD75">
        <v>223</v>
      </c>
      <c r="CE75">
        <v>371</v>
      </c>
      <c r="CF75">
        <v>493</v>
      </c>
      <c r="CG75">
        <v>585</v>
      </c>
    </row>
    <row r="76" spans="11:85" x14ac:dyDescent="0.2">
      <c r="L76" t="s">
        <v>55</v>
      </c>
      <c r="M76">
        <v>130</v>
      </c>
      <c r="N76">
        <v>160</v>
      </c>
      <c r="O76">
        <v>0.9</v>
      </c>
      <c r="P76" cm="1">
        <f t="array" ref="P76">_xlfn.XLOOKUP(K$35,$BX$169:$CG$169,_xlfn.XLOOKUP($D$11,$BW$170:$BW$176,$BX$170:$CG$176))</f>
        <v>500</v>
      </c>
      <c r="Q76">
        <f t="shared" ref="Q76:Q95" si="64">N76/P76</f>
        <v>0.32</v>
      </c>
      <c r="T76">
        <f t="shared" si="22"/>
        <v>0</v>
      </c>
      <c r="V76">
        <v>1</v>
      </c>
      <c r="W76">
        <f>VLOOKUP($G$51, $CL$17:$CN$25, 3, FALSE)</f>
        <v>4</v>
      </c>
      <c r="X76">
        <v>0</v>
      </c>
      <c r="Y76">
        <f t="shared" ref="Y76:Y90" si="65">T76*X76</f>
        <v>0</v>
      </c>
      <c r="Z76">
        <f t="shared" si="50"/>
        <v>9.3889999999999993</v>
      </c>
      <c r="AA76">
        <f t="shared" si="51"/>
        <v>2.1434083982391813E-2</v>
      </c>
      <c r="AB76">
        <f t="shared" ref="AB76:AB130" si="66">AC76 / ((1.185 + 0.00454 * N76 - 0.0000026 * N76 ^ 2 ) ^ 2 * V76)</f>
        <v>1.3309587678069252</v>
      </c>
      <c r="AC76">
        <f t="shared" si="52"/>
        <v>4.5298311556000002</v>
      </c>
      <c r="AD76">
        <f t="shared" si="53"/>
        <v>1.4839726865745599</v>
      </c>
      <c r="AE76">
        <f t="shared" si="54"/>
        <v>6.9816522344180778E-5</v>
      </c>
      <c r="AF76">
        <f t="shared" si="55"/>
        <v>8.3588548669608228E-4</v>
      </c>
      <c r="AG76">
        <f t="shared" si="56"/>
        <v>0.82819849630784437</v>
      </c>
      <c r="AH76">
        <f t="shared" si="57"/>
        <v>9.9156915859322758</v>
      </c>
      <c r="AI76">
        <f t="shared" si="58"/>
        <v>2.5404212233494764E-2</v>
      </c>
      <c r="AJ76">
        <f t="shared" si="59"/>
        <v>301.35746761983165</v>
      </c>
      <c r="AK76">
        <f t="shared" si="60"/>
        <v>6.6653111159490311E-2</v>
      </c>
      <c r="AL76">
        <f t="shared" si="61"/>
        <v>790.67253112945377</v>
      </c>
      <c r="AM76">
        <v>0.65</v>
      </c>
      <c r="AN76">
        <v>0.13</v>
      </c>
      <c r="BW76" s="2" t="s">
        <v>55</v>
      </c>
      <c r="BX76">
        <v>110</v>
      </c>
      <c r="BY76">
        <v>703</v>
      </c>
      <c r="BZ76">
        <v>112</v>
      </c>
      <c r="CA76">
        <v>256</v>
      </c>
      <c r="CB76">
        <v>368</v>
      </c>
      <c r="CC76">
        <v>465</v>
      </c>
      <c r="CD76">
        <v>108</v>
      </c>
      <c r="CE76">
        <v>280</v>
      </c>
      <c r="CF76">
        <v>421</v>
      </c>
      <c r="CG76">
        <v>543</v>
      </c>
    </row>
    <row r="77" spans="11:85" x14ac:dyDescent="0.2">
      <c r="L77" t="s">
        <v>56</v>
      </c>
      <c r="M77">
        <v>250</v>
      </c>
      <c r="N77">
        <v>220</v>
      </c>
      <c r="O77">
        <v>0.7</v>
      </c>
      <c r="P77" cm="1">
        <f t="array" ref="P77">_xlfn.XLOOKUP(K$35,$BX$169:$CG$169,_xlfn.XLOOKUP($D$11,$BW$170:$BW$176,$BX$170:$CG$176))</f>
        <v>500</v>
      </c>
      <c r="Q77">
        <f t="shared" si="64"/>
        <v>0.44</v>
      </c>
      <c r="T77">
        <f t="shared" si="22"/>
        <v>0</v>
      </c>
      <c r="V77">
        <v>1</v>
      </c>
      <c r="W77">
        <v>0</v>
      </c>
      <c r="X77">
        <v>0</v>
      </c>
      <c r="Y77">
        <f t="shared" si="65"/>
        <v>0</v>
      </c>
      <c r="Z77">
        <f t="shared" si="50"/>
        <v>8.5869999999999997</v>
      </c>
      <c r="AA77">
        <f t="shared" si="51"/>
        <v>1.4051271404335857E-2</v>
      </c>
      <c r="AB77">
        <f t="shared" si="66"/>
        <v>1.2257699173903274</v>
      </c>
      <c r="AC77">
        <f t="shared" si="52"/>
        <v>5.1913799715999973</v>
      </c>
      <c r="AD77">
        <f t="shared" si="53"/>
        <v>1.918734037503359</v>
      </c>
      <c r="AE77">
        <f t="shared" si="54"/>
        <v>9.0270757011782037E-5</v>
      </c>
      <c r="AF77">
        <f t="shared" si="55"/>
        <v>1.0807759127164039E-3</v>
      </c>
      <c r="AG77">
        <f t="shared" si="56"/>
        <v>2.0593016443312777</v>
      </c>
      <c r="AH77">
        <f t="shared" si="57"/>
        <v>24.655200508842963</v>
      </c>
      <c r="AI77">
        <f t="shared" si="58"/>
        <v>2.609235749732295E-2</v>
      </c>
      <c r="AJ77">
        <f t="shared" si="59"/>
        <v>595.23190540767985</v>
      </c>
      <c r="AK77">
        <f t="shared" si="60"/>
        <v>4.1913071947588573E-2</v>
      </c>
      <c r="AL77">
        <f t="shared" si="61"/>
        <v>956.14195380436422</v>
      </c>
      <c r="AM77">
        <v>0.6</v>
      </c>
      <c r="AN77">
        <v>0.1</v>
      </c>
      <c r="BW77" s="2" t="s">
        <v>56</v>
      </c>
      <c r="BX77">
        <v>170</v>
      </c>
      <c r="BY77">
        <v>721</v>
      </c>
      <c r="BZ77">
        <v>169</v>
      </c>
      <c r="CA77">
        <v>306</v>
      </c>
      <c r="CB77">
        <v>392</v>
      </c>
      <c r="CC77">
        <v>464</v>
      </c>
      <c r="CD77">
        <v>176</v>
      </c>
      <c r="CE77">
        <v>339</v>
      </c>
      <c r="CF77">
        <v>470</v>
      </c>
      <c r="CG77">
        <v>580</v>
      </c>
    </row>
    <row r="78" spans="11:85" x14ac:dyDescent="0.2">
      <c r="L78" t="s">
        <v>57</v>
      </c>
      <c r="M78">
        <v>150</v>
      </c>
      <c r="N78">
        <v>260</v>
      </c>
      <c r="O78">
        <v>0.4</v>
      </c>
      <c r="P78" cm="1">
        <f t="array" ref="P78">_xlfn.XLOOKUP(K$35,$BX$169:$CG$169,_xlfn.XLOOKUP($D$11,$BW$170:$BW$176,$BX$170:$CG$176))</f>
        <v>500</v>
      </c>
      <c r="Q78">
        <f t="shared" si="64"/>
        <v>0.52</v>
      </c>
      <c r="T78">
        <f t="shared" si="22"/>
        <v>0</v>
      </c>
      <c r="V78">
        <v>1</v>
      </c>
      <c r="W78">
        <v>0</v>
      </c>
      <c r="X78">
        <v>0</v>
      </c>
      <c r="Y78">
        <f t="shared" si="65"/>
        <v>0</v>
      </c>
      <c r="Z78">
        <f t="shared" si="50"/>
        <v>6.9829999999999997</v>
      </c>
      <c r="AA78">
        <f t="shared" si="51"/>
        <v>7.074082151077782E-3</v>
      </c>
      <c r="AB78">
        <f t="shared" si="66"/>
        <v>1.1183986897081921</v>
      </c>
      <c r="AC78">
        <f t="shared" si="52"/>
        <v>5.3621886096000004</v>
      </c>
      <c r="AD78">
        <f t="shared" si="53"/>
        <v>2.4322887533145603</v>
      </c>
      <c r="AE78">
        <f t="shared" si="54"/>
        <v>1.1443198626874025E-4</v>
      </c>
      <c r="AF78">
        <f t="shared" si="55"/>
        <v>1.3700487123134107E-3</v>
      </c>
      <c r="AG78">
        <f t="shared" si="56"/>
        <v>1.5662878120533821</v>
      </c>
      <c r="AH78">
        <f t="shared" si="57"/>
        <v>18.75254174978981</v>
      </c>
      <c r="AI78">
        <f t="shared" si="58"/>
        <v>2.4250579492182869E-2</v>
      </c>
      <c r="AJ78">
        <f t="shared" si="59"/>
        <v>331.92980679925302</v>
      </c>
      <c r="AK78">
        <f t="shared" si="60"/>
        <v>1.9012774623763065E-2</v>
      </c>
      <c r="AL78">
        <f t="shared" si="61"/>
        <v>260.23735266275696</v>
      </c>
      <c r="AM78">
        <v>0.5</v>
      </c>
      <c r="AN78">
        <v>0.06</v>
      </c>
      <c r="BW78" s="2" t="s">
        <v>57</v>
      </c>
      <c r="BX78">
        <v>200</v>
      </c>
      <c r="BY78">
        <v>727</v>
      </c>
      <c r="BZ78">
        <v>211</v>
      </c>
      <c r="CA78">
        <v>338</v>
      </c>
      <c r="CB78">
        <v>432</v>
      </c>
      <c r="CC78">
        <v>492</v>
      </c>
      <c r="CD78">
        <v>222</v>
      </c>
      <c r="CE78">
        <v>377</v>
      </c>
      <c r="CF78">
        <v>498</v>
      </c>
      <c r="CG78">
        <v>590</v>
      </c>
    </row>
    <row r="79" spans="11:85" x14ac:dyDescent="0.2">
      <c r="K79" t="s">
        <v>49</v>
      </c>
      <c r="L79" t="s">
        <v>54</v>
      </c>
      <c r="N79" cm="1">
        <f t="array" ref="N79:N82">_xlfn.XLOOKUP(K79, $BX$46:$CG$46, $BX$47:$CG$50)</f>
        <v>380</v>
      </c>
      <c r="O79" cm="1">
        <f t="array" ref="O79:O82">_xlfn.XLOOKUP(K79, $BX$106:$CG$106, $BX$107:$CG$110)</f>
        <v>0.4</v>
      </c>
      <c r="P79" cm="1">
        <f t="array" ref="P79">_xlfn.XLOOKUP(K$39,$BX$169:$CG$169,_xlfn.XLOOKUP($D$11,$BW$170:$BW$176,$BX$170:$CG$176))</f>
        <v>600</v>
      </c>
      <c r="Q79">
        <f t="shared" si="64"/>
        <v>0.6333333333333333</v>
      </c>
      <c r="T79">
        <f t="shared" si="22"/>
        <v>0</v>
      </c>
      <c r="V79">
        <v>1</v>
      </c>
      <c r="W79">
        <v>0</v>
      </c>
      <c r="X79">
        <v>0</v>
      </c>
      <c r="Y79">
        <f t="shared" si="65"/>
        <v>0</v>
      </c>
      <c r="Z79">
        <f t="shared" si="50"/>
        <v>7.785000000000001</v>
      </c>
      <c r="AA79">
        <f t="shared" si="51"/>
        <v>5.9536831562818603E-3</v>
      </c>
      <c r="AB79">
        <f t="shared" si="66"/>
        <v>1.101888665936833</v>
      </c>
      <c r="AC79">
        <f t="shared" si="52"/>
        <v>7.0796437775999967</v>
      </c>
      <c r="AD79">
        <f t="shared" si="53"/>
        <v>2.9139813788601581</v>
      </c>
      <c r="AE79">
        <f t="shared" si="54"/>
        <v>1.37094198490489E-4</v>
      </c>
      <c r="AF79">
        <f t="shared" si="55"/>
        <v>1.6413743764477724E-3</v>
      </c>
      <c r="AG79">
        <f t="shared" si="56"/>
        <v>0</v>
      </c>
      <c r="AH79">
        <f t="shared" si="57"/>
        <v>0</v>
      </c>
      <c r="AI79">
        <f t="shared" si="58"/>
        <v>3.2950814352658779E-2</v>
      </c>
      <c r="AJ79">
        <f t="shared" si="59"/>
        <v>0</v>
      </c>
      <c r="AK79">
        <f t="shared" si="60"/>
        <v>3.8872729999792265E-2</v>
      </c>
      <c r="AL79">
        <f t="shared" si="61"/>
        <v>0</v>
      </c>
      <c r="AM79" cm="1">
        <f t="array" ref="AM79:AM82">_xlfn.XLOOKUP(G$51,$BV$17:$CD$17,$BV$18:$CD$21)</f>
        <v>0.55000000000000004</v>
      </c>
      <c r="AN79" cm="1">
        <f t="array" ref="AN79:AN82">_xlfn.XLOOKUP(G$51,$BV$29:$CD$29,$BV$30:$CD$33)</f>
        <v>7.0000000000000007E-2</v>
      </c>
      <c r="BU79" t="s">
        <v>73</v>
      </c>
      <c r="BV79" t="s">
        <v>75</v>
      </c>
      <c r="BW79" s="2" t="s">
        <v>54</v>
      </c>
      <c r="BX79">
        <v>220</v>
      </c>
      <c r="BY79">
        <v>620</v>
      </c>
      <c r="BZ79">
        <v>227</v>
      </c>
      <c r="CA79">
        <v>319</v>
      </c>
      <c r="CB79">
        <v>398</v>
      </c>
      <c r="CC79">
        <v>452</v>
      </c>
      <c r="CD79">
        <v>216</v>
      </c>
      <c r="CE79">
        <v>334</v>
      </c>
      <c r="CF79" t="s">
        <v>72</v>
      </c>
      <c r="CG79" t="s">
        <v>72</v>
      </c>
    </row>
    <row r="80" spans="11:85" x14ac:dyDescent="0.2">
      <c r="L80" t="s">
        <v>55</v>
      </c>
      <c r="N80">
        <v>420</v>
      </c>
      <c r="O80">
        <v>0.4</v>
      </c>
      <c r="P80" cm="1">
        <f t="array" ref="P80">_xlfn.XLOOKUP(K$39,$BX$169:$CG$169,_xlfn.XLOOKUP($D$11,$BW$170:$BW$176,$BX$170:$CG$176))</f>
        <v>600</v>
      </c>
      <c r="Q80">
        <f t="shared" si="64"/>
        <v>0.7</v>
      </c>
      <c r="T80">
        <f t="shared" si="22"/>
        <v>0</v>
      </c>
      <c r="V80">
        <v>1</v>
      </c>
      <c r="W80">
        <v>0</v>
      </c>
      <c r="X80">
        <v>0</v>
      </c>
      <c r="Y80">
        <f t="shared" si="65"/>
        <v>0</v>
      </c>
      <c r="Z80">
        <f t="shared" si="50"/>
        <v>9.3889999999999993</v>
      </c>
      <c r="AA80">
        <f t="shared" si="51"/>
        <v>5.4689366245148753E-3</v>
      </c>
      <c r="AB80">
        <f t="shared" si="66"/>
        <v>1.0979922441560788</v>
      </c>
      <c r="AC80">
        <f t="shared" si="52"/>
        <v>7.6129639056</v>
      </c>
      <c r="AD80">
        <f t="shared" si="53"/>
        <v>2.49400697547456</v>
      </c>
      <c r="AE80">
        <f t="shared" si="54"/>
        <v>1.1733564593543065E-4</v>
      </c>
      <c r="AF80">
        <f t="shared" si="55"/>
        <v>1.4048130759940598E-3</v>
      </c>
      <c r="AG80">
        <f t="shared" si="56"/>
        <v>0</v>
      </c>
      <c r="AH80">
        <f t="shared" si="57"/>
        <v>0</v>
      </c>
      <c r="AI80">
        <f t="shared" si="58"/>
        <v>3.9997610985095973E-2</v>
      </c>
      <c r="AJ80">
        <f t="shared" si="59"/>
        <v>0</v>
      </c>
      <c r="AK80">
        <f t="shared" si="60"/>
        <v>0.11125023905023224</v>
      </c>
      <c r="AL80">
        <f t="shared" si="61"/>
        <v>0</v>
      </c>
      <c r="AM80">
        <v>0.65</v>
      </c>
      <c r="AN80">
        <v>0.13</v>
      </c>
      <c r="BW80" s="2" t="s">
        <v>55</v>
      </c>
      <c r="BX80">
        <v>110</v>
      </c>
      <c r="BY80">
        <v>650</v>
      </c>
      <c r="BZ80">
        <v>108</v>
      </c>
      <c r="CA80">
        <v>262</v>
      </c>
      <c r="CB80">
        <v>346</v>
      </c>
      <c r="CC80">
        <v>430</v>
      </c>
      <c r="CD80">
        <v>111</v>
      </c>
      <c r="CE80">
        <v>236</v>
      </c>
      <c r="CF80" t="s">
        <v>72</v>
      </c>
      <c r="CG80" t="s">
        <v>72</v>
      </c>
    </row>
    <row r="81" spans="1:85" x14ac:dyDescent="0.2">
      <c r="L81" t="s">
        <v>56</v>
      </c>
      <c r="N81">
        <v>450</v>
      </c>
      <c r="O81">
        <v>0.3</v>
      </c>
      <c r="P81" cm="1">
        <f t="array" ref="P81">_xlfn.XLOOKUP(K$39,$BX$169:$CG$169,_xlfn.XLOOKUP($D$11,$BW$170:$BW$176,$BX$170:$CG$176))</f>
        <v>600</v>
      </c>
      <c r="Q81">
        <f t="shared" si="64"/>
        <v>0.75</v>
      </c>
      <c r="T81">
        <f t="shared" si="22"/>
        <v>0</v>
      </c>
      <c r="V81">
        <v>1</v>
      </c>
      <c r="W81">
        <v>0</v>
      </c>
      <c r="X81">
        <v>0</v>
      </c>
      <c r="Y81">
        <f t="shared" si="65"/>
        <v>0</v>
      </c>
      <c r="Z81">
        <f t="shared" si="50"/>
        <v>8.5869999999999997</v>
      </c>
      <c r="AA81">
        <f t="shared" si="51"/>
        <v>3.8897983284177057E-3</v>
      </c>
      <c r="AB81">
        <f t="shared" si="66"/>
        <v>1.0711847727263619</v>
      </c>
      <c r="AC81">
        <f t="shared" si="52"/>
        <v>7.8176159999999992</v>
      </c>
      <c r="AD81">
        <f t="shared" si="53"/>
        <v>2.8893908736</v>
      </c>
      <c r="AE81">
        <f t="shared" si="54"/>
        <v>1.3593728800589413E-4</v>
      </c>
      <c r="AF81">
        <f t="shared" si="55"/>
        <v>1.627523146810294E-3</v>
      </c>
      <c r="AG81">
        <f t="shared" si="56"/>
        <v>0</v>
      </c>
      <c r="AH81">
        <f t="shared" si="57"/>
        <v>0</v>
      </c>
      <c r="AI81">
        <f t="shared" si="58"/>
        <v>3.9292063490764792E-2</v>
      </c>
      <c r="AJ81">
        <f t="shared" si="59"/>
        <v>0</v>
      </c>
      <c r="AK81">
        <f t="shared" si="60"/>
        <v>8.0180415495995347E-2</v>
      </c>
      <c r="AL81">
        <f t="shared" si="61"/>
        <v>0</v>
      </c>
      <c r="AM81">
        <v>0.6</v>
      </c>
      <c r="AN81">
        <v>0.1</v>
      </c>
      <c r="BW81" s="2" t="s">
        <v>56</v>
      </c>
      <c r="BX81">
        <v>170</v>
      </c>
      <c r="BY81">
        <v>670</v>
      </c>
      <c r="BZ81">
        <v>170</v>
      </c>
      <c r="CA81">
        <v>266</v>
      </c>
      <c r="CB81">
        <v>363</v>
      </c>
      <c r="CC81">
        <v>444</v>
      </c>
      <c r="CD81">
        <v>169</v>
      </c>
      <c r="CE81">
        <v>282</v>
      </c>
      <c r="CF81" t="s">
        <v>72</v>
      </c>
      <c r="CG81" t="s">
        <v>72</v>
      </c>
    </row>
    <row r="82" spans="1:85" x14ac:dyDescent="0.2">
      <c r="L82" t="s">
        <v>57</v>
      </c>
      <c r="N82">
        <v>460</v>
      </c>
      <c r="O82">
        <v>0.1</v>
      </c>
      <c r="P82" cm="1">
        <f t="array" ref="P82">_xlfn.XLOOKUP(K$39,$BX$169:$CG$169,_xlfn.XLOOKUP($D$11,$BW$170:$BW$176,$BX$170:$CG$176))</f>
        <v>600</v>
      </c>
      <c r="Q82">
        <f t="shared" si="64"/>
        <v>0.76666666666666672</v>
      </c>
      <c r="T82">
        <f t="shared" si="22"/>
        <v>0</v>
      </c>
      <c r="V82">
        <v>1</v>
      </c>
      <c r="W82">
        <v>0</v>
      </c>
      <c r="X82">
        <v>0</v>
      </c>
      <c r="Y82">
        <f t="shared" si="65"/>
        <v>0</v>
      </c>
      <c r="Z82">
        <f t="shared" si="50"/>
        <v>6.9829999999999997</v>
      </c>
      <c r="AA82">
        <f t="shared" si="51"/>
        <v>1.2768791052116398E-3</v>
      </c>
      <c r="AB82">
        <f t="shared" si="66"/>
        <v>1.0232680056743308</v>
      </c>
      <c r="AC82">
        <f t="shared" si="52"/>
        <v>7.5885924675999998</v>
      </c>
      <c r="AD82">
        <f t="shared" si="53"/>
        <v>3.4421855433033599</v>
      </c>
      <c r="AE82">
        <f t="shared" si="54"/>
        <v>1.6194464094321492E-4</v>
      </c>
      <c r="AF82">
        <f t="shared" si="55"/>
        <v>1.9388988518406825E-3</v>
      </c>
      <c r="AG82">
        <f t="shared" si="56"/>
        <v>0</v>
      </c>
      <c r="AH82">
        <f t="shared" si="57"/>
        <v>0</v>
      </c>
      <c r="AI82">
        <f t="shared" si="58"/>
        <v>3.4319524781326508E-2</v>
      </c>
      <c r="AJ82">
        <f t="shared" si="59"/>
        <v>0</v>
      </c>
      <c r="AK82">
        <f t="shared" si="60"/>
        <v>3.5505924354929295E-2</v>
      </c>
      <c r="AL82">
        <f t="shared" si="61"/>
        <v>0</v>
      </c>
      <c r="AM82">
        <v>0.5</v>
      </c>
      <c r="AN82">
        <v>0.06</v>
      </c>
      <c r="BW82" s="2" t="s">
        <v>57</v>
      </c>
      <c r="BX82">
        <v>200</v>
      </c>
      <c r="BY82">
        <v>660</v>
      </c>
      <c r="BZ82">
        <v>225</v>
      </c>
      <c r="CA82">
        <v>307</v>
      </c>
      <c r="CB82">
        <v>398</v>
      </c>
      <c r="CC82">
        <v>452</v>
      </c>
      <c r="CD82">
        <v>214</v>
      </c>
      <c r="CE82">
        <v>326</v>
      </c>
      <c r="CF82" t="s">
        <v>72</v>
      </c>
      <c r="CG82" t="s">
        <v>72</v>
      </c>
    </row>
    <row r="83" spans="1:85" x14ac:dyDescent="0.2">
      <c r="K83" t="s">
        <v>50</v>
      </c>
      <c r="L83" t="s">
        <v>54</v>
      </c>
      <c r="N83" cm="1">
        <f t="array" ref="N83:N86">_xlfn.XLOOKUP(K83, $BX$46:$CG$46, $BX$47:$CG$50)</f>
        <v>380</v>
      </c>
      <c r="O83" cm="1">
        <f t="array" ref="O83:O86">_xlfn.XLOOKUP(K83, $BX$106:$CG$106, $BX$107:$CG$110)</f>
        <v>0.4</v>
      </c>
      <c r="P83" cm="1">
        <f t="array" ref="P83">_xlfn.XLOOKUP(K$43,$BX$169:$CG$169,_xlfn.XLOOKUP($D$11,$BW$170:$BW$176,$BX$170:$CG$176))</f>
        <v>600</v>
      </c>
      <c r="Q83">
        <f t="shared" si="64"/>
        <v>0.6333333333333333</v>
      </c>
      <c r="T83">
        <f t="shared" si="22"/>
        <v>0</v>
      </c>
      <c r="V83">
        <v>1</v>
      </c>
      <c r="W83">
        <v>0</v>
      </c>
      <c r="X83">
        <v>0</v>
      </c>
      <c r="Y83">
        <f t="shared" si="65"/>
        <v>0</v>
      </c>
      <c r="Z83">
        <f t="shared" si="50"/>
        <v>7.785000000000001</v>
      </c>
      <c r="AA83">
        <f t="shared" si="51"/>
        <v>5.9536831562818603E-3</v>
      </c>
      <c r="AB83">
        <f t="shared" si="66"/>
        <v>1.101888665936833</v>
      </c>
      <c r="AC83">
        <f t="shared" si="52"/>
        <v>7.0796437775999967</v>
      </c>
      <c r="AD83">
        <f t="shared" si="53"/>
        <v>2.9139813788601581</v>
      </c>
      <c r="AE83">
        <f t="shared" si="54"/>
        <v>1.37094198490489E-4</v>
      </c>
      <c r="AF83">
        <f t="shared" si="55"/>
        <v>1.6413743764477724E-3</v>
      </c>
      <c r="AG83">
        <f t="shared" si="56"/>
        <v>0</v>
      </c>
      <c r="AH83">
        <f t="shared" si="57"/>
        <v>0</v>
      </c>
      <c r="AI83">
        <f t="shared" si="58"/>
        <v>3.2950814352658779E-2</v>
      </c>
      <c r="AJ83">
        <f t="shared" si="59"/>
        <v>0</v>
      </c>
      <c r="AK83">
        <f t="shared" si="60"/>
        <v>3.8872729999792265E-2</v>
      </c>
      <c r="AL83">
        <f t="shared" si="61"/>
        <v>0</v>
      </c>
      <c r="AM83" cm="1">
        <f t="array" ref="AM83:AM86">_xlfn.XLOOKUP(G$51,$BV$17:$CD$17,$BV$18:$CD$21)</f>
        <v>0.55000000000000004</v>
      </c>
      <c r="AN83" cm="1">
        <f t="array" ref="AN83:AN86">_xlfn.XLOOKUP(G$51,$BV$29:$CD$29,$BV$30:$CD$33)</f>
        <v>7.0000000000000007E-2</v>
      </c>
      <c r="BU83" t="s">
        <v>73</v>
      </c>
      <c r="BV83" t="s">
        <v>76</v>
      </c>
      <c r="BW83" s="2" t="s">
        <v>54</v>
      </c>
      <c r="BX83">
        <v>220</v>
      </c>
      <c r="BY83">
        <v>620</v>
      </c>
      <c r="BZ83">
        <v>177</v>
      </c>
      <c r="CA83">
        <v>267</v>
      </c>
      <c r="CB83">
        <v>365</v>
      </c>
      <c r="CC83">
        <v>406</v>
      </c>
      <c r="CD83">
        <v>231</v>
      </c>
      <c r="CE83">
        <v>249</v>
      </c>
      <c r="CF83">
        <v>324</v>
      </c>
      <c r="CG83" t="s">
        <v>72</v>
      </c>
    </row>
    <row r="84" spans="1:85" x14ac:dyDescent="0.2">
      <c r="L84" t="s">
        <v>55</v>
      </c>
      <c r="N84">
        <v>420</v>
      </c>
      <c r="O84">
        <v>0.4</v>
      </c>
      <c r="P84" cm="1">
        <f t="array" ref="P84">_xlfn.XLOOKUP(K$43,$BX$169:$CG$169,_xlfn.XLOOKUP($D$11,$BW$170:$BW$176,$BX$170:$CG$176))</f>
        <v>600</v>
      </c>
      <c r="Q84">
        <f t="shared" si="64"/>
        <v>0.7</v>
      </c>
      <c r="T84">
        <f t="shared" si="22"/>
        <v>0</v>
      </c>
      <c r="V84">
        <v>1</v>
      </c>
      <c r="W84">
        <v>0</v>
      </c>
      <c r="X84">
        <v>0</v>
      </c>
      <c r="Y84">
        <f t="shared" si="65"/>
        <v>0</v>
      </c>
      <c r="Z84">
        <f t="shared" si="50"/>
        <v>9.3889999999999993</v>
      </c>
      <c r="AA84">
        <f t="shared" si="51"/>
        <v>5.4689366245148753E-3</v>
      </c>
      <c r="AB84">
        <f t="shared" si="66"/>
        <v>1.0979922441560788</v>
      </c>
      <c r="AC84">
        <f t="shared" si="52"/>
        <v>7.6129639056</v>
      </c>
      <c r="AD84">
        <f t="shared" si="53"/>
        <v>2.49400697547456</v>
      </c>
      <c r="AE84">
        <f t="shared" si="54"/>
        <v>1.1733564593543065E-4</v>
      </c>
      <c r="AF84">
        <f t="shared" si="55"/>
        <v>1.4048130759940598E-3</v>
      </c>
      <c r="AG84">
        <f t="shared" si="56"/>
        <v>0</v>
      </c>
      <c r="AH84">
        <f t="shared" si="57"/>
        <v>0</v>
      </c>
      <c r="AI84">
        <f t="shared" si="58"/>
        <v>3.9997610985095973E-2</v>
      </c>
      <c r="AJ84">
        <f t="shared" si="59"/>
        <v>0</v>
      </c>
      <c r="AK84">
        <f t="shared" si="60"/>
        <v>0.11125023905023224</v>
      </c>
      <c r="AL84">
        <f t="shared" si="61"/>
        <v>0</v>
      </c>
      <c r="AM84">
        <v>0.65</v>
      </c>
      <c r="AN84">
        <v>0.13</v>
      </c>
      <c r="BW84" s="2" t="s">
        <v>55</v>
      </c>
      <c r="BX84">
        <v>110</v>
      </c>
      <c r="BY84">
        <v>650</v>
      </c>
      <c r="BZ84">
        <v>102</v>
      </c>
      <c r="CA84">
        <v>203</v>
      </c>
      <c r="CB84">
        <v>299</v>
      </c>
      <c r="CC84">
        <v>380</v>
      </c>
      <c r="CD84">
        <v>102</v>
      </c>
      <c r="CE84">
        <v>218</v>
      </c>
      <c r="CF84">
        <v>263</v>
      </c>
      <c r="CG84" t="s">
        <v>72</v>
      </c>
    </row>
    <row r="85" spans="1:85" x14ac:dyDescent="0.2">
      <c r="L85" t="s">
        <v>56</v>
      </c>
      <c r="N85">
        <v>450</v>
      </c>
      <c r="O85">
        <v>0.3</v>
      </c>
      <c r="P85" cm="1">
        <f t="array" ref="P85">_xlfn.XLOOKUP(K$43,$BX$169:$CG$169,_xlfn.XLOOKUP($D$11,$BW$170:$BW$176,$BX$170:$CG$176))</f>
        <v>600</v>
      </c>
      <c r="Q85">
        <f t="shared" si="64"/>
        <v>0.75</v>
      </c>
      <c r="T85">
        <f t="shared" si="22"/>
        <v>0</v>
      </c>
      <c r="V85">
        <v>1</v>
      </c>
      <c r="W85">
        <v>0</v>
      </c>
      <c r="X85">
        <v>0</v>
      </c>
      <c r="Y85">
        <f t="shared" si="65"/>
        <v>0</v>
      </c>
      <c r="Z85">
        <f t="shared" si="50"/>
        <v>8.5869999999999997</v>
      </c>
      <c r="AA85">
        <f t="shared" si="51"/>
        <v>3.8897983284177057E-3</v>
      </c>
      <c r="AB85">
        <f t="shared" si="66"/>
        <v>1.0711847727263619</v>
      </c>
      <c r="AC85">
        <f t="shared" si="52"/>
        <v>7.8176159999999992</v>
      </c>
      <c r="AD85">
        <f t="shared" si="53"/>
        <v>2.8893908736</v>
      </c>
      <c r="AE85">
        <f t="shared" si="54"/>
        <v>1.3593728800589413E-4</v>
      </c>
      <c r="AF85">
        <f t="shared" si="55"/>
        <v>1.627523146810294E-3</v>
      </c>
      <c r="AG85">
        <f t="shared" si="56"/>
        <v>0</v>
      </c>
      <c r="AH85">
        <f t="shared" si="57"/>
        <v>0</v>
      </c>
      <c r="AI85">
        <f t="shared" si="58"/>
        <v>3.9292063490764792E-2</v>
      </c>
      <c r="AJ85">
        <f t="shared" si="59"/>
        <v>0</v>
      </c>
      <c r="AK85">
        <f t="shared" si="60"/>
        <v>8.0180415495995347E-2</v>
      </c>
      <c r="AL85">
        <f t="shared" si="61"/>
        <v>0</v>
      </c>
      <c r="AM85">
        <v>0.6</v>
      </c>
      <c r="AN85">
        <v>0.1</v>
      </c>
      <c r="BW85" s="2" t="s">
        <v>56</v>
      </c>
      <c r="BX85">
        <v>170</v>
      </c>
      <c r="BY85">
        <v>670</v>
      </c>
      <c r="BZ85">
        <v>173</v>
      </c>
      <c r="CA85">
        <v>250</v>
      </c>
      <c r="CB85">
        <v>336</v>
      </c>
      <c r="CC85">
        <v>414</v>
      </c>
      <c r="CD85">
        <v>175</v>
      </c>
      <c r="CE85">
        <v>243</v>
      </c>
      <c r="CF85">
        <v>304</v>
      </c>
      <c r="CG85" t="s">
        <v>72</v>
      </c>
    </row>
    <row r="86" spans="1:85" x14ac:dyDescent="0.2">
      <c r="L86" t="s">
        <v>57</v>
      </c>
      <c r="N86">
        <v>460</v>
      </c>
      <c r="O86">
        <v>0.1</v>
      </c>
      <c r="P86" cm="1">
        <f t="array" ref="P86">_xlfn.XLOOKUP(K$43,$BX$169:$CG$169,_xlfn.XLOOKUP($D$11,$BW$170:$BW$176,$BX$170:$CG$176))</f>
        <v>600</v>
      </c>
      <c r="Q86">
        <f t="shared" si="64"/>
        <v>0.76666666666666672</v>
      </c>
      <c r="T86">
        <f t="shared" si="22"/>
        <v>0</v>
      </c>
      <c r="V86">
        <v>1</v>
      </c>
      <c r="W86">
        <v>0</v>
      </c>
      <c r="X86">
        <v>0</v>
      </c>
      <c r="Y86">
        <f t="shared" si="65"/>
        <v>0</v>
      </c>
      <c r="Z86">
        <f t="shared" si="50"/>
        <v>6.9829999999999997</v>
      </c>
      <c r="AA86">
        <f t="shared" si="51"/>
        <v>1.2768791052116398E-3</v>
      </c>
      <c r="AB86">
        <f t="shared" si="66"/>
        <v>1.0232680056743308</v>
      </c>
      <c r="AC86">
        <f t="shared" si="52"/>
        <v>7.5885924675999998</v>
      </c>
      <c r="AD86">
        <f t="shared" si="53"/>
        <v>3.4421855433033599</v>
      </c>
      <c r="AE86">
        <f t="shared" si="54"/>
        <v>1.6194464094321492E-4</v>
      </c>
      <c r="AF86">
        <f t="shared" si="55"/>
        <v>1.9388988518406825E-3</v>
      </c>
      <c r="AG86">
        <f t="shared" si="56"/>
        <v>0</v>
      </c>
      <c r="AH86">
        <f t="shared" si="57"/>
        <v>0</v>
      </c>
      <c r="AI86">
        <f t="shared" si="58"/>
        <v>3.4319524781326508E-2</v>
      </c>
      <c r="AJ86">
        <f t="shared" si="59"/>
        <v>0</v>
      </c>
      <c r="AK86">
        <f t="shared" si="60"/>
        <v>3.5505924354929295E-2</v>
      </c>
      <c r="AL86">
        <f t="shared" si="61"/>
        <v>0</v>
      </c>
      <c r="AM86">
        <v>0.5</v>
      </c>
      <c r="AN86">
        <v>0.06</v>
      </c>
      <c r="BW86" s="2" t="s">
        <v>57</v>
      </c>
      <c r="BX86">
        <v>200</v>
      </c>
      <c r="BY86">
        <v>660</v>
      </c>
      <c r="BZ86">
        <v>202</v>
      </c>
      <c r="CA86">
        <v>272</v>
      </c>
      <c r="CB86">
        <v>365</v>
      </c>
      <c r="CC86">
        <v>390</v>
      </c>
      <c r="CD86">
        <v>208</v>
      </c>
      <c r="CE86">
        <v>260</v>
      </c>
      <c r="CF86">
        <v>337</v>
      </c>
      <c r="CG86" t="s">
        <v>72</v>
      </c>
    </row>
    <row r="87" spans="1:85" x14ac:dyDescent="0.2">
      <c r="K87" t="s">
        <v>51</v>
      </c>
      <c r="L87" t="s">
        <v>54</v>
      </c>
      <c r="N87" cm="1">
        <f t="array" ref="N87:N90">_xlfn.XLOOKUP(K87, $BX$46:$CG$46, $BX$47:$CG$50)</f>
        <v>380</v>
      </c>
      <c r="O87" cm="1">
        <f t="array" ref="O87:O90">_xlfn.XLOOKUP(K87, $BX$106:$CG$106, $BX$107:$CG$110)</f>
        <v>0.4</v>
      </c>
      <c r="P87" cm="1">
        <f t="array" ref="P87">_xlfn.XLOOKUP(K$47,$BX$169:$CG$169,_xlfn.XLOOKUP($D$11,$BW$170:$BW$176,$BX$170:$CG$176))</f>
        <v>600</v>
      </c>
      <c r="Q87">
        <f t="shared" si="64"/>
        <v>0.6333333333333333</v>
      </c>
      <c r="T87">
        <f t="shared" si="22"/>
        <v>0</v>
      </c>
      <c r="V87">
        <v>1</v>
      </c>
      <c r="W87">
        <v>0</v>
      </c>
      <c r="X87">
        <v>0</v>
      </c>
      <c r="Y87">
        <f t="shared" si="65"/>
        <v>0</v>
      </c>
      <c r="Z87">
        <f t="shared" si="50"/>
        <v>7.785000000000001</v>
      </c>
      <c r="AA87">
        <f t="shared" si="51"/>
        <v>5.9536831562818603E-3</v>
      </c>
      <c r="AB87">
        <f t="shared" si="66"/>
        <v>1.101888665936833</v>
      </c>
      <c r="AC87">
        <f t="shared" si="52"/>
        <v>7.0796437775999967</v>
      </c>
      <c r="AD87">
        <f t="shared" si="53"/>
        <v>2.9139813788601581</v>
      </c>
      <c r="AE87">
        <f t="shared" si="54"/>
        <v>1.37094198490489E-4</v>
      </c>
      <c r="AF87">
        <f t="shared" si="55"/>
        <v>1.6413743764477724E-3</v>
      </c>
      <c r="AG87">
        <f t="shared" si="56"/>
        <v>0</v>
      </c>
      <c r="AH87">
        <f t="shared" si="57"/>
        <v>0</v>
      </c>
      <c r="AI87">
        <f t="shared" si="58"/>
        <v>3.2950814352658779E-2</v>
      </c>
      <c r="AJ87">
        <f t="shared" si="59"/>
        <v>0</v>
      </c>
      <c r="AK87">
        <f t="shared" si="60"/>
        <v>3.8872729999792265E-2</v>
      </c>
      <c r="AL87">
        <f t="shared" si="61"/>
        <v>0</v>
      </c>
      <c r="AM87" cm="1">
        <f t="array" ref="AM87:AM90">_xlfn.XLOOKUP(G$51,$BV$17:$CD$17,$BV$18:$CD$21)</f>
        <v>0.55000000000000004</v>
      </c>
      <c r="AN87" cm="1">
        <f t="array" ref="AN87:AN90">_xlfn.XLOOKUP(G$51,$BV$29:$CD$29,$BV$30:$CD$33)</f>
        <v>7.0000000000000007E-2</v>
      </c>
      <c r="BU87" t="s">
        <v>81</v>
      </c>
      <c r="BV87" t="s">
        <v>77</v>
      </c>
      <c r="BW87" s="2" t="s">
        <v>54</v>
      </c>
      <c r="BX87">
        <v>260</v>
      </c>
      <c r="BY87" s="2">
        <v>705</v>
      </c>
      <c r="BZ87" s="2">
        <v>215</v>
      </c>
      <c r="CA87">
        <v>302</v>
      </c>
      <c r="CB87">
        <v>416</v>
      </c>
      <c r="CC87">
        <v>519</v>
      </c>
      <c r="CD87">
        <v>234</v>
      </c>
      <c r="CE87">
        <v>455</v>
      </c>
      <c r="CF87">
        <v>551</v>
      </c>
      <c r="CG87" s="2">
        <v>660</v>
      </c>
    </row>
    <row r="88" spans="1:85" x14ac:dyDescent="0.2">
      <c r="L88" t="s">
        <v>55</v>
      </c>
      <c r="N88">
        <v>420</v>
      </c>
      <c r="O88">
        <v>0.4</v>
      </c>
      <c r="P88" cm="1">
        <f t="array" ref="P88">_xlfn.XLOOKUP(K$47,$BX$169:$CG$169,_xlfn.XLOOKUP($D$11,$BW$170:$BW$176,$BX$170:$CG$176))</f>
        <v>600</v>
      </c>
      <c r="Q88">
        <f t="shared" si="64"/>
        <v>0.7</v>
      </c>
      <c r="T88">
        <f t="shared" si="22"/>
        <v>0</v>
      </c>
      <c r="V88">
        <v>1</v>
      </c>
      <c r="W88">
        <v>0</v>
      </c>
      <c r="X88">
        <v>0</v>
      </c>
      <c r="Y88">
        <f t="shared" si="65"/>
        <v>0</v>
      </c>
      <c r="Z88">
        <f t="shared" si="50"/>
        <v>9.3889999999999993</v>
      </c>
      <c r="AA88">
        <f t="shared" si="51"/>
        <v>5.4689366245148753E-3</v>
      </c>
      <c r="AB88">
        <f t="shared" si="66"/>
        <v>1.0979922441560788</v>
      </c>
      <c r="AC88">
        <f t="shared" si="52"/>
        <v>7.6129639056</v>
      </c>
      <c r="AD88">
        <f t="shared" si="53"/>
        <v>2.49400697547456</v>
      </c>
      <c r="AE88">
        <f t="shared" si="54"/>
        <v>1.1733564593543065E-4</v>
      </c>
      <c r="AF88">
        <f t="shared" si="55"/>
        <v>1.4048130759940598E-3</v>
      </c>
      <c r="AG88">
        <f t="shared" si="56"/>
        <v>0</v>
      </c>
      <c r="AH88">
        <f t="shared" si="57"/>
        <v>0</v>
      </c>
      <c r="AI88">
        <f t="shared" si="58"/>
        <v>3.9997610985095973E-2</v>
      </c>
      <c r="AJ88">
        <f t="shared" si="59"/>
        <v>0</v>
      </c>
      <c r="AK88">
        <f t="shared" si="60"/>
        <v>0.11125023905023224</v>
      </c>
      <c r="AL88">
        <f t="shared" si="61"/>
        <v>0</v>
      </c>
      <c r="AM88">
        <v>0.65</v>
      </c>
      <c r="AN88">
        <v>0.13</v>
      </c>
      <c r="BW88" s="2" t="s">
        <v>55</v>
      </c>
      <c r="BX88">
        <v>153</v>
      </c>
      <c r="BY88">
        <v>703</v>
      </c>
      <c r="BZ88" s="2">
        <v>118</v>
      </c>
      <c r="CA88">
        <v>277</v>
      </c>
      <c r="CB88">
        <v>397</v>
      </c>
      <c r="CC88">
        <v>483</v>
      </c>
      <c r="CD88">
        <v>111</v>
      </c>
      <c r="CE88">
        <v>304</v>
      </c>
      <c r="CF88">
        <v>521</v>
      </c>
      <c r="CG88" s="2">
        <v>547</v>
      </c>
    </row>
    <row r="89" spans="1:85" x14ac:dyDescent="0.2">
      <c r="L89" t="s">
        <v>56</v>
      </c>
      <c r="N89">
        <v>450</v>
      </c>
      <c r="O89">
        <v>0.3</v>
      </c>
      <c r="P89" cm="1">
        <f t="array" ref="P89">_xlfn.XLOOKUP(K$47,$BX$169:$CG$169,_xlfn.XLOOKUP($D$11,$BW$170:$BW$176,$BX$170:$CG$176))</f>
        <v>600</v>
      </c>
      <c r="Q89">
        <f t="shared" si="64"/>
        <v>0.75</v>
      </c>
      <c r="T89">
        <f t="shared" si="22"/>
        <v>0</v>
      </c>
      <c r="V89">
        <v>1</v>
      </c>
      <c r="W89">
        <v>0</v>
      </c>
      <c r="X89">
        <v>0</v>
      </c>
      <c r="Y89">
        <f t="shared" si="65"/>
        <v>0</v>
      </c>
      <c r="Z89">
        <f t="shared" si="50"/>
        <v>8.5869999999999997</v>
      </c>
      <c r="AA89">
        <f t="shared" si="51"/>
        <v>3.8897983284177057E-3</v>
      </c>
      <c r="AB89">
        <f t="shared" si="66"/>
        <v>1.0711847727263619</v>
      </c>
      <c r="AC89">
        <f t="shared" si="52"/>
        <v>7.8176159999999992</v>
      </c>
      <c r="AD89">
        <f t="shared" si="53"/>
        <v>2.8893908736</v>
      </c>
      <c r="AE89">
        <f t="shared" si="54"/>
        <v>1.3593728800589413E-4</v>
      </c>
      <c r="AF89">
        <f t="shared" si="55"/>
        <v>1.627523146810294E-3</v>
      </c>
      <c r="AG89">
        <f t="shared" si="56"/>
        <v>0</v>
      </c>
      <c r="AH89">
        <f t="shared" si="57"/>
        <v>0</v>
      </c>
      <c r="AI89">
        <f t="shared" si="58"/>
        <v>3.9292063490764792E-2</v>
      </c>
      <c r="AJ89">
        <f t="shared" si="59"/>
        <v>0</v>
      </c>
      <c r="AK89">
        <f t="shared" si="60"/>
        <v>8.0180415495995347E-2</v>
      </c>
      <c r="AL89">
        <f t="shared" si="61"/>
        <v>0</v>
      </c>
      <c r="AM89">
        <v>0.6</v>
      </c>
      <c r="AN89">
        <v>0.1</v>
      </c>
      <c r="BW89" s="2" t="s">
        <v>56</v>
      </c>
      <c r="BX89">
        <v>168</v>
      </c>
      <c r="BY89">
        <v>718</v>
      </c>
      <c r="BZ89" s="2">
        <v>191</v>
      </c>
      <c r="CA89">
        <v>319</v>
      </c>
      <c r="CB89">
        <v>440</v>
      </c>
      <c r="CC89">
        <v>506</v>
      </c>
      <c r="CD89">
        <v>188</v>
      </c>
      <c r="CE89">
        <v>326</v>
      </c>
      <c r="CF89">
        <v>520</v>
      </c>
      <c r="CG89" s="2">
        <v>582</v>
      </c>
    </row>
    <row r="90" spans="1:85" x14ac:dyDescent="0.2">
      <c r="L90" t="s">
        <v>57</v>
      </c>
      <c r="N90">
        <v>460</v>
      </c>
      <c r="O90">
        <v>0.1</v>
      </c>
      <c r="P90" cm="1">
        <f t="array" ref="P90">_xlfn.XLOOKUP(K$47,$BX$169:$CG$169,_xlfn.XLOOKUP($D$11,$BW$170:$BW$176,$BX$170:$CG$176))</f>
        <v>600</v>
      </c>
      <c r="Q90">
        <f t="shared" si="64"/>
        <v>0.76666666666666672</v>
      </c>
      <c r="T90">
        <f t="shared" si="22"/>
        <v>0</v>
      </c>
      <c r="V90">
        <v>1</v>
      </c>
      <c r="W90">
        <v>0</v>
      </c>
      <c r="X90">
        <v>0</v>
      </c>
      <c r="Y90">
        <f t="shared" si="65"/>
        <v>0</v>
      </c>
      <c r="Z90">
        <f t="shared" si="50"/>
        <v>6.9829999999999997</v>
      </c>
      <c r="AA90">
        <f t="shared" si="51"/>
        <v>1.2768791052116398E-3</v>
      </c>
      <c r="AB90">
        <f t="shared" si="66"/>
        <v>1.0232680056743308</v>
      </c>
      <c r="AC90">
        <f t="shared" si="52"/>
        <v>7.5885924675999998</v>
      </c>
      <c r="AD90">
        <f t="shared" si="53"/>
        <v>3.4421855433033599</v>
      </c>
      <c r="AE90">
        <f t="shared" si="54"/>
        <v>1.6194464094321492E-4</v>
      </c>
      <c r="AF90">
        <f t="shared" si="55"/>
        <v>1.9388988518406825E-3</v>
      </c>
      <c r="AG90">
        <f t="shared" si="56"/>
        <v>0</v>
      </c>
      <c r="AH90">
        <f t="shared" si="57"/>
        <v>0</v>
      </c>
      <c r="AI90">
        <f t="shared" si="58"/>
        <v>3.4319524781326508E-2</v>
      </c>
      <c r="AJ90">
        <f t="shared" si="59"/>
        <v>0</v>
      </c>
      <c r="AK90">
        <f t="shared" si="60"/>
        <v>3.5505924354929295E-2</v>
      </c>
      <c r="AL90">
        <f t="shared" si="61"/>
        <v>0</v>
      </c>
      <c r="AM90">
        <v>0.5</v>
      </c>
      <c r="AN90">
        <v>0.06</v>
      </c>
      <c r="BW90" s="2" t="s">
        <v>57</v>
      </c>
      <c r="BX90">
        <v>235</v>
      </c>
      <c r="BY90">
        <v>722</v>
      </c>
      <c r="BZ90" s="2">
        <v>207</v>
      </c>
      <c r="CA90">
        <v>352</v>
      </c>
      <c r="CB90">
        <v>470</v>
      </c>
      <c r="CC90">
        <v>514</v>
      </c>
      <c r="CD90">
        <v>209</v>
      </c>
      <c r="CE90">
        <v>421</v>
      </c>
      <c r="CF90">
        <v>512</v>
      </c>
      <c r="CG90" s="2">
        <v>605</v>
      </c>
    </row>
    <row r="91" spans="1:85" x14ac:dyDescent="0.2">
      <c r="A91" t="s">
        <v>118</v>
      </c>
      <c r="B91" t="s">
        <v>99</v>
      </c>
      <c r="C91" t="s">
        <v>169</v>
      </c>
      <c r="D91" t="s">
        <v>190</v>
      </c>
      <c r="F91" t="s">
        <v>53</v>
      </c>
      <c r="G91" t="s">
        <v>53</v>
      </c>
      <c r="H91" t="s">
        <v>180</v>
      </c>
      <c r="I91" t="s">
        <v>206</v>
      </c>
      <c r="J91" t="str">
        <f>IF(H91="Non-irrigated crop", IF(I91="high", "Non-irrigated crop (high rainfall)", "Non-irrigated crop (low rainfall)"), H91)</f>
        <v>Irrigated crop</v>
      </c>
      <c r="K91" t="s">
        <v>42</v>
      </c>
      <c r="L91" t="s">
        <v>54</v>
      </c>
      <c r="M91">
        <v>100</v>
      </c>
      <c r="N91" cm="1">
        <f t="array" ref="N91:N94">_xlfn.XLOOKUP(K91, $BX$46:$CG$46, $BX$47:$CG$50)</f>
        <v>80</v>
      </c>
      <c r="O91" cm="1">
        <f t="array" ref="O91:O94">_xlfn.XLOOKUP(K91, $BX$106:$CG$106, $BX$107:$CG$110)</f>
        <v>0.5</v>
      </c>
      <c r="P91" cm="1">
        <f t="array" ref="P91">_xlfn.XLOOKUP(K$11,$BX$169:$CG$169,_xlfn.XLOOKUP($D$11,$BW$170:$BW$176,$BX$170:$CG$176))</f>
        <v>700</v>
      </c>
      <c r="Q91">
        <f t="shared" si="64"/>
        <v>0.11428571428571428</v>
      </c>
      <c r="R91">
        <v>0</v>
      </c>
      <c r="T91">
        <f t="shared" si="22"/>
        <v>0</v>
      </c>
      <c r="V91">
        <v>1</v>
      </c>
      <c r="W91">
        <f>VLOOKUP($G$91, $CL$17:$CN$25, 2, FALSE)</f>
        <v>6</v>
      </c>
      <c r="X91">
        <v>0</v>
      </c>
      <c r="Y91">
        <f>T91*X91</f>
        <v>0</v>
      </c>
      <c r="Z91">
        <f>0.1604 * ($AM91*100) - 1.037</f>
        <v>7.785000000000001</v>
      </c>
      <c r="AA91">
        <f>(0.032 * Y91 /6.38) + ((0.212 - 0.008 * (AB91 - 2) - ((0.14 - 0.008 * (AB91 - 2)) / (1 + EXP(-6 * (Q91 - 0.4))))) * (O91 * 0.92)) / 6.25</f>
        <v>1.4421768711032507E-2</v>
      </c>
      <c r="AB91">
        <f t="shared" si="66"/>
        <v>1.2162479569787423</v>
      </c>
      <c r="AC91">
        <f>(1.185 + 0.00454 * N91 - 0.0000026 * N91^2 + 0.315 * O91)^2 * V91</f>
        <v>2.8529236835999998</v>
      </c>
      <c r="AD91">
        <f>(AC91 * (1 -AM91) + (0.04 * AC91)) * ( 1 - AV$11 )</f>
        <v>1.1742633881697597</v>
      </c>
      <c r="AE91">
        <f>AD91 * AT$91 * AP$91 * AR$91 * AU$91</f>
        <v>5.5245616593758213E-5</v>
      </c>
      <c r="AF91">
        <f>AD91 * AT$91 * AQ$91 * AS$91 * AU$91</f>
        <v>6.6143382058828331E-4</v>
      </c>
      <c r="AG91">
        <f t="shared" si="56"/>
        <v>0.50411625141804373</v>
      </c>
      <c r="AH91">
        <f t="shared" si="57"/>
        <v>6.0355836128680851</v>
      </c>
      <c r="AI91">
        <f>((0.3 * AC91 * $AN91 * (1 - ($AM91 + 0.1)) + (0.105 * $Z91 * $AC91 * 0.008) + (0.0152 * $AC91)) / 6.25) + (0.08 * 0.032 * $W91 / 6.38)</f>
        <v>1.5685897623246001E-2</v>
      </c>
      <c r="AJ91">
        <f>M91*AI91*91.25</f>
        <v>143.13381581211976</v>
      </c>
      <c r="AK91">
        <f>(AC91 * $AN91 / 6.25) + (0.032 * W91 / 6.38) - AA91 - AI91 - ((1.1 * (10 ^ -4) * (N91 ^ 0.75)) / 6.25)</f>
        <v>3.1468329634485426E-2</v>
      </c>
      <c r="AL91">
        <f>M91*AK91*91.25</f>
        <v>287.1485079146795</v>
      </c>
      <c r="AM91" cm="1">
        <f t="array" ref="AM91:AM94">_xlfn.XLOOKUP(G$91,$BV$17:$CD$17,$BV$18:$CD$21)</f>
        <v>0.55000000000000004</v>
      </c>
      <c r="AN91" cm="1">
        <f t="array" ref="AN91:AN94">_xlfn.XLOOKUP(G$91,$BV$29:$CD$29,$BV$30:$CD$33)</f>
        <v>7.0000000000000007E-2</v>
      </c>
      <c r="AO91" t="s">
        <v>91</v>
      </c>
      <c r="AP91">
        <f>IF(AO91="yes", $BV$6, $BW$6)</f>
        <v>0.05</v>
      </c>
      <c r="AQ91">
        <f>IF(AO91="yes", $BV$7, $BW$7)</f>
        <v>0.95</v>
      </c>
      <c r="AR91">
        <f>VLOOKUP(B91, $CH$17:$CI$26, 2, FALSE)</f>
        <v>7.3000000000000001E-3</v>
      </c>
      <c r="AS91">
        <f>$CI$14</f>
        <v>4.5999999999999999E-3</v>
      </c>
      <c r="AT91">
        <f>$CA$5</f>
        <v>0.19</v>
      </c>
      <c r="AU91">
        <f>$CA$6</f>
        <v>0.6784</v>
      </c>
      <c r="AV91">
        <f>$CA$7</f>
        <v>0.16</v>
      </c>
      <c r="AW91">
        <f>SUM(AG91:AH130)</f>
        <v>253.55531996355981</v>
      </c>
      <c r="AX91">
        <f>SUM(AJ91:AJ130)</f>
        <v>5265.3137287010286</v>
      </c>
      <c r="AY91">
        <f>IF(C91="wet",$CD$5,$CD$6)</f>
        <v>6.0000000000000001E-3</v>
      </c>
      <c r="AZ91">
        <f>$CD$7</f>
        <v>1.5714285714285714</v>
      </c>
      <c r="BA91">
        <f>$CD$8</f>
        <v>265</v>
      </c>
      <c r="BB91">
        <f>SUM(AL91:AL130)</f>
        <v>8674.393140734348</v>
      </c>
      <c r="BC91">
        <f>((AX91 * AY91 * AZ91) + (BB91 * AY91 * AZ91))  * (10^-3)</f>
        <v>0.13143152191181925</v>
      </c>
      <c r="BD91">
        <f>$CA$8</f>
        <v>28</v>
      </c>
      <c r="BE91">
        <f>$CD$9</f>
        <v>0.21</v>
      </c>
      <c r="BF91">
        <f>(AX91+BB91)*BE91</f>
        <v>2927.3384425814288</v>
      </c>
      <c r="BG91">
        <f>VLOOKUP(J91, $CH$29:$CI$33,2,FALSE)</f>
        <v>7.0000000000000001E-3</v>
      </c>
      <c r="BH91">
        <f>BF91*BG91*AZ91*(10^-3)</f>
        <v>3.2200722868395718E-2</v>
      </c>
      <c r="BI91">
        <f>$CA$9</f>
        <v>1.0999999999999999E-2</v>
      </c>
      <c r="BJ91">
        <f>VLOOKUP(D91, $CL$29:$CM$46, 2, FALSE)</f>
        <v>0.87</v>
      </c>
      <c r="BK91">
        <f>$CG$4</f>
        <v>0.24</v>
      </c>
      <c r="BL91">
        <f>(BB91+AX91)*BJ91*BK91</f>
        <v>2910.6107943381062</v>
      </c>
      <c r="BM91">
        <f>BL91*BI91*AZ91*(10^-3)</f>
        <v>5.0311986587844401E-2</v>
      </c>
      <c r="BN91">
        <f>BC91+BH91+BM91</f>
        <v>0.2139442313680594</v>
      </c>
      <c r="BO91">
        <f>AW91 * BD91 * 10^-3</f>
        <v>7.0995489589796748</v>
      </c>
      <c r="BU91" t="s">
        <v>81</v>
      </c>
      <c r="BV91" t="s">
        <v>78</v>
      </c>
      <c r="BW91" s="2" t="s">
        <v>54</v>
      </c>
      <c r="BX91">
        <v>230</v>
      </c>
      <c r="BY91" s="2">
        <v>674</v>
      </c>
      <c r="BZ91" s="2">
        <v>217</v>
      </c>
      <c r="CA91">
        <v>344</v>
      </c>
      <c r="CB91">
        <v>357</v>
      </c>
      <c r="CC91">
        <v>467</v>
      </c>
      <c r="CD91">
        <v>242</v>
      </c>
      <c r="CE91">
        <v>370</v>
      </c>
      <c r="CF91">
        <v>550</v>
      </c>
      <c r="CG91" s="2">
        <v>620</v>
      </c>
    </row>
    <row r="92" spans="1:85" x14ac:dyDescent="0.2">
      <c r="L92" t="s">
        <v>55</v>
      </c>
      <c r="M92">
        <v>110</v>
      </c>
      <c r="N92">
        <v>170</v>
      </c>
      <c r="O92">
        <v>1</v>
      </c>
      <c r="P92" cm="1">
        <f t="array" ref="P92">_xlfn.XLOOKUP(K$11,$BX$169:$CG$169,_xlfn.XLOOKUP($D$11,$BW$170:$BW$176,$BX$170:$CG$176))</f>
        <v>700</v>
      </c>
      <c r="Q92">
        <f t="shared" si="64"/>
        <v>0.24285714285714285</v>
      </c>
      <c r="S92">
        <v>0</v>
      </c>
      <c r="T92">
        <f t="shared" ref="T92:T117" si="67">R92+S92</f>
        <v>0</v>
      </c>
      <c r="V92">
        <v>1</v>
      </c>
      <c r="W92">
        <f>VLOOKUP($G$91, $CL$17:$CN$25, 3, FALSE)</f>
        <v>4</v>
      </c>
      <c r="X92">
        <v>0</v>
      </c>
      <c r="Y92">
        <f t="shared" ref="Y92:Y130" si="68">T92*X92</f>
        <v>0</v>
      </c>
      <c r="Z92">
        <f t="shared" ref="Z92:Z130" si="69">0.1604 * ($AM92*100) - 1.037</f>
        <v>9.3889999999999993</v>
      </c>
      <c r="AA92">
        <f t="shared" ref="AA92:AA130" si="70">(0.032 * Y92 /6.38) + ((0.212 - 0.008 * (AB92 - 2) - ((0.14 - 0.008 * (AB92 - 2)) / (1 + EXP(-6 * (Q92 - 0.4))))) * (O92 * 0.92)) / 6.25</f>
        <v>2.5969483089068355E-2</v>
      </c>
      <c r="AB92">
        <f t="shared" si="66"/>
        <v>1.3628353121567047</v>
      </c>
      <c r="AC92">
        <f t="shared" ref="AC92:AC130" si="71">(1.185 + 0.00454 * N92 - 0.0000026 * N92^2 + 0.315 * O92)^2 * V92</f>
        <v>4.8253151556000002</v>
      </c>
      <c r="AD92">
        <f t="shared" ref="AD92:AD130" si="72">(AC92 * (1 -AM92) + (0.04 * AC92)) * ( 1 - AV$11 )</f>
        <v>1.58077324497456</v>
      </c>
      <c r="AE92">
        <f t="shared" ref="AE92:AE130" si="73">AD92 * AT$91 * AP$91 * AR$91 * AU$91</f>
        <v>7.4370702087247912E-5</v>
      </c>
      <c r="AF92">
        <f t="shared" ref="AF92:AF130" si="74">AD92 * AT$91 * AQ$91 * AS$91 * AU$91</f>
        <v>8.9041087156513257E-4</v>
      </c>
      <c r="AG92">
        <f t="shared" ref="AG92:AG130" si="75">M92*AE92*91.25</f>
        <v>0.74649592220075089</v>
      </c>
      <c r="AH92">
        <f t="shared" ref="AH92:AH130" si="76">M92*AF92*91.25</f>
        <v>8.9374991233350194</v>
      </c>
      <c r="AI92">
        <f t="shared" ref="AI92:AI130" si="77">((0.3 * AC92 * $AN92 * (1 - ($AM92 + 0.1)) + (0.105 * $Z92 * $AC92 * 0.008) + (0.0152 * $AC92)) / 6.25) + (0.08 * 0.032 * $W92 / 6.38)</f>
        <v>2.6956650184189166E-2</v>
      </c>
      <c r="AJ92">
        <f t="shared" ref="AJ92:AJ130" si="78">M92*AI92*91.25</f>
        <v>270.57737622379875</v>
      </c>
      <c r="AK92">
        <f t="shared" ref="AK92:AK130" si="79">(AC92 * $AN92 / 6.25) + (0.032 * W92 / 6.38) - AA92 - AI92 - ((1.1 * (10 ^ -4) * (N92 ^ 0.75)) / 6.25)</f>
        <v>6.6674509436068091E-2</v>
      </c>
      <c r="AL92">
        <f t="shared" ref="AL92:AL130" si="80">M92*AK92*91.25</f>
        <v>669.24538846453345</v>
      </c>
      <c r="AM92">
        <v>0.65</v>
      </c>
      <c r="AN92">
        <v>0.13</v>
      </c>
      <c r="BW92" s="2" t="s">
        <v>55</v>
      </c>
      <c r="BX92">
        <v>113</v>
      </c>
      <c r="BY92" s="2">
        <v>669</v>
      </c>
      <c r="BZ92" s="2">
        <v>113</v>
      </c>
      <c r="CA92">
        <v>283</v>
      </c>
      <c r="CB92">
        <v>361</v>
      </c>
      <c r="CC92">
        <v>477</v>
      </c>
      <c r="CD92">
        <v>120</v>
      </c>
      <c r="CE92">
        <v>273</v>
      </c>
      <c r="CF92">
        <v>545</v>
      </c>
      <c r="CG92" s="2">
        <v>553</v>
      </c>
    </row>
    <row r="93" spans="1:85" x14ac:dyDescent="0.2">
      <c r="L93" t="s">
        <v>56</v>
      </c>
      <c r="M93">
        <v>120</v>
      </c>
      <c r="N93">
        <v>240</v>
      </c>
      <c r="O93">
        <v>0.8</v>
      </c>
      <c r="P93" cm="1">
        <f t="array" ref="P93">_xlfn.XLOOKUP(K$11,$BX$169:$CG$169,_xlfn.XLOOKUP($D$11,$BW$170:$BW$176,$BX$170:$CG$176))</f>
        <v>700</v>
      </c>
      <c r="Q93">
        <f t="shared" si="64"/>
        <v>0.34285714285714286</v>
      </c>
      <c r="T93">
        <f t="shared" si="67"/>
        <v>0</v>
      </c>
      <c r="V93">
        <v>1</v>
      </c>
      <c r="W93">
        <v>0</v>
      </c>
      <c r="X93">
        <v>0</v>
      </c>
      <c r="Y93">
        <f t="shared" si="68"/>
        <v>0</v>
      </c>
      <c r="Z93">
        <f t="shared" si="69"/>
        <v>8.5869999999999997</v>
      </c>
      <c r="AA93">
        <f t="shared" si="70"/>
        <v>1.853391985787713E-2</v>
      </c>
      <c r="AB93">
        <f t="shared" si="66"/>
        <v>1.2512596174632808</v>
      </c>
      <c r="AC93">
        <f t="shared" si="71"/>
        <v>5.6493683855999981</v>
      </c>
      <c r="AD93">
        <f t="shared" si="72"/>
        <v>2.0880065553177594</v>
      </c>
      <c r="AE93">
        <f t="shared" si="73"/>
        <v>9.8234527928296858E-5</v>
      </c>
      <c r="AF93">
        <f t="shared" si="74"/>
        <v>1.1761229782100196E-3</v>
      </c>
      <c r="AG93">
        <f t="shared" si="75"/>
        <v>1.0756680808148507</v>
      </c>
      <c r="AH93">
        <f t="shared" si="76"/>
        <v>12.878546611399717</v>
      </c>
      <c r="AI93">
        <f t="shared" si="77"/>
        <v>2.839424976741178E-2</v>
      </c>
      <c r="AJ93">
        <f t="shared" si="78"/>
        <v>310.91703495315897</v>
      </c>
      <c r="AK93">
        <f t="shared" si="79"/>
        <v>4.2388548180208527E-2</v>
      </c>
      <c r="AL93">
        <f t="shared" si="80"/>
        <v>464.15460257328334</v>
      </c>
      <c r="AM93">
        <v>0.6</v>
      </c>
      <c r="AN93">
        <v>0.1</v>
      </c>
      <c r="BW93" s="2" t="s">
        <v>56</v>
      </c>
      <c r="BX93">
        <v>172</v>
      </c>
      <c r="BY93" s="2">
        <v>685</v>
      </c>
      <c r="BZ93" s="2">
        <v>172</v>
      </c>
      <c r="CA93">
        <v>309</v>
      </c>
      <c r="CB93">
        <v>376</v>
      </c>
      <c r="CC93">
        <v>471</v>
      </c>
      <c r="CD93">
        <v>238</v>
      </c>
      <c r="CE93">
        <v>329</v>
      </c>
      <c r="CF93">
        <v>573</v>
      </c>
      <c r="CG93" s="2">
        <v>620</v>
      </c>
    </row>
    <row r="94" spans="1:85" x14ac:dyDescent="0.2">
      <c r="L94" t="s">
        <v>57</v>
      </c>
      <c r="M94">
        <v>130</v>
      </c>
      <c r="N94">
        <v>280</v>
      </c>
      <c r="O94">
        <v>0.4</v>
      </c>
      <c r="P94" cm="1">
        <f t="array" ref="P94">_xlfn.XLOOKUP(K$11,$BX$169:$CG$169,_xlfn.XLOOKUP($D$11,$BW$170:$BW$176,$BX$170:$CG$176))</f>
        <v>700</v>
      </c>
      <c r="Q94">
        <f t="shared" si="64"/>
        <v>0.4</v>
      </c>
      <c r="T94">
        <f t="shared" si="67"/>
        <v>0</v>
      </c>
      <c r="V94">
        <v>1</v>
      </c>
      <c r="W94">
        <v>0</v>
      </c>
      <c r="X94">
        <v>0</v>
      </c>
      <c r="Y94">
        <f t="shared" si="68"/>
        <v>0</v>
      </c>
      <c r="Z94">
        <f t="shared" si="69"/>
        <v>6.9829999999999997</v>
      </c>
      <c r="AA94">
        <f t="shared" si="70"/>
        <v>8.5693923550976409E-3</v>
      </c>
      <c r="AB94">
        <f t="shared" si="66"/>
        <v>1.1150120792389542</v>
      </c>
      <c r="AC94">
        <f t="shared" si="71"/>
        <v>5.6565962895999995</v>
      </c>
      <c r="AD94">
        <f t="shared" si="72"/>
        <v>2.5658320769625598</v>
      </c>
      <c r="AE94">
        <f t="shared" si="73"/>
        <v>1.2071480435814064E-4</v>
      </c>
      <c r="AF94">
        <f t="shared" si="74"/>
        <v>1.4452703973837659E-3</v>
      </c>
      <c r="AG94">
        <f t="shared" si="75"/>
        <v>1.4319793666984433</v>
      </c>
      <c r="AH94">
        <f t="shared" si="76"/>
        <v>17.144520088964921</v>
      </c>
      <c r="AI94">
        <f t="shared" si="77"/>
        <v>2.5582042699979598E-2</v>
      </c>
      <c r="AJ94">
        <f t="shared" si="78"/>
        <v>303.46698152850797</v>
      </c>
      <c r="AK94">
        <f t="shared" si="79"/>
        <v>1.8947182997803159E-2</v>
      </c>
      <c r="AL94">
        <f t="shared" si="80"/>
        <v>224.76095831143999</v>
      </c>
      <c r="AM94">
        <v>0.5</v>
      </c>
      <c r="AN94">
        <v>0.06</v>
      </c>
      <c r="BW94" s="2" t="s">
        <v>57</v>
      </c>
      <c r="BX94">
        <v>241</v>
      </c>
      <c r="BY94" s="2">
        <v>692</v>
      </c>
      <c r="BZ94" s="2">
        <v>208</v>
      </c>
      <c r="CA94">
        <v>344</v>
      </c>
      <c r="CB94">
        <v>364</v>
      </c>
      <c r="CC94">
        <v>484</v>
      </c>
      <c r="CD94">
        <v>260</v>
      </c>
      <c r="CE94">
        <v>350</v>
      </c>
      <c r="CF94">
        <v>567</v>
      </c>
      <c r="CG94" s="2">
        <v>620</v>
      </c>
    </row>
    <row r="95" spans="1:85" x14ac:dyDescent="0.2">
      <c r="K95" t="s">
        <v>43</v>
      </c>
      <c r="L95" t="s">
        <v>54</v>
      </c>
      <c r="N95" cm="1">
        <f t="array" ref="N95:N98">_xlfn.XLOOKUP(K95, $BX$46:$CG$46, $BX$47:$CG$50)</f>
        <v>480</v>
      </c>
      <c r="O95" cm="1">
        <f t="array" ref="O95:O98">_xlfn.XLOOKUP(K95, $BX$106:$CG$106, $BX$107:$CG$110)</f>
        <v>0.2</v>
      </c>
      <c r="P95" cm="1">
        <f t="array" ref="P95">_xlfn.XLOOKUP(K$15,$BX$169:$CG$169,_xlfn.XLOOKUP($D$11,$BW$170:$BW$176,$BX$170:$CG$176))</f>
        <v>700</v>
      </c>
      <c r="Q95">
        <f t="shared" si="64"/>
        <v>0.68571428571428572</v>
      </c>
      <c r="T95">
        <f t="shared" si="67"/>
        <v>0</v>
      </c>
      <c r="V95">
        <v>1</v>
      </c>
      <c r="W95">
        <v>0</v>
      </c>
      <c r="X95">
        <v>0</v>
      </c>
      <c r="Y95">
        <f t="shared" si="68"/>
        <v>0</v>
      </c>
      <c r="Z95">
        <f t="shared" si="69"/>
        <v>7.785000000000001</v>
      </c>
      <c r="AA95">
        <f t="shared" si="70"/>
        <v>2.7829578220966208E-3</v>
      </c>
      <c r="AB95">
        <f t="shared" si="66"/>
        <v>1.0460860709612354</v>
      </c>
      <c r="AC95">
        <f t="shared" si="71"/>
        <v>7.9984889855999999</v>
      </c>
      <c r="AD95">
        <f t="shared" si="72"/>
        <v>3.2921780664729599</v>
      </c>
      <c r="AE95">
        <f t="shared" si="73"/>
        <v>1.5488723318047602E-4</v>
      </c>
      <c r="AF95">
        <f t="shared" si="74"/>
        <v>1.8544033123251509E-3</v>
      </c>
      <c r="AG95">
        <f t="shared" si="75"/>
        <v>0</v>
      </c>
      <c r="AH95">
        <f t="shared" si="76"/>
        <v>0</v>
      </c>
      <c r="AI95">
        <f t="shared" si="77"/>
        <v>3.7227399279634019E-2</v>
      </c>
      <c r="AJ95">
        <f t="shared" si="78"/>
        <v>0</v>
      </c>
      <c r="AK95">
        <f t="shared" si="79"/>
        <v>4.776785922197168E-2</v>
      </c>
      <c r="AL95">
        <f t="shared" si="80"/>
        <v>0</v>
      </c>
      <c r="AM95" cm="1">
        <f t="array" ref="AM95:AM98">_xlfn.XLOOKUP(G$91,$BV$17:$CD$17,$BV$18:$CD$21)</f>
        <v>0.55000000000000004</v>
      </c>
      <c r="AN95" cm="1">
        <f t="array" ref="AN95:AN98">_xlfn.XLOOKUP(G$91,$BV$29:$CD$29,$BV$30:$CD$33)</f>
        <v>7.0000000000000007E-2</v>
      </c>
      <c r="BU95" t="s">
        <v>81</v>
      </c>
      <c r="BV95" t="s">
        <v>79</v>
      </c>
      <c r="BW95" s="2" t="s">
        <v>54</v>
      </c>
      <c r="BX95">
        <v>236</v>
      </c>
      <c r="BY95" s="2">
        <v>674</v>
      </c>
      <c r="BZ95" s="2">
        <v>178</v>
      </c>
      <c r="CA95">
        <v>310</v>
      </c>
      <c r="CB95">
        <v>428</v>
      </c>
      <c r="CC95">
        <v>466</v>
      </c>
      <c r="CD95">
        <v>193</v>
      </c>
      <c r="CE95">
        <v>370</v>
      </c>
      <c r="CF95">
        <v>519</v>
      </c>
      <c r="CG95" s="2">
        <v>565</v>
      </c>
    </row>
    <row r="96" spans="1:85" x14ac:dyDescent="0.2">
      <c r="L96" t="s">
        <v>55</v>
      </c>
      <c r="N96">
        <v>520</v>
      </c>
      <c r="O96">
        <v>0.4</v>
      </c>
      <c r="P96" cm="1">
        <f t="array" ref="P96">_xlfn.XLOOKUP(K$15,$BX$169:$CG$169,_xlfn.XLOOKUP($D$11,$BW$170:$BW$176,$BX$170:$CG$176))</f>
        <v>700</v>
      </c>
      <c r="Q96">
        <f>N96/P96</f>
        <v>0.74285714285714288</v>
      </c>
      <c r="T96">
        <f t="shared" si="67"/>
        <v>0</v>
      </c>
      <c r="V96">
        <v>1</v>
      </c>
      <c r="W96">
        <v>0</v>
      </c>
      <c r="X96">
        <v>0</v>
      </c>
      <c r="Y96">
        <f t="shared" si="68"/>
        <v>0</v>
      </c>
      <c r="Z96">
        <f t="shared" si="69"/>
        <v>9.3889999999999993</v>
      </c>
      <c r="AA96">
        <f t="shared" si="70"/>
        <v>5.2221304888844331E-3</v>
      </c>
      <c r="AB96">
        <f t="shared" si="66"/>
        <v>1.0906107843952688</v>
      </c>
      <c r="AC96">
        <f t="shared" si="71"/>
        <v>8.8135359375999975</v>
      </c>
      <c r="AD96">
        <f t="shared" si="72"/>
        <v>2.8873143731577593</v>
      </c>
      <c r="AE96">
        <f t="shared" si="73"/>
        <v>1.3583959480652805E-4</v>
      </c>
      <c r="AF96">
        <f t="shared" si="74"/>
        <v>1.626353504943911E-3</v>
      </c>
      <c r="AG96">
        <f t="shared" si="75"/>
        <v>0</v>
      </c>
      <c r="AH96">
        <f t="shared" si="76"/>
        <v>0</v>
      </c>
      <c r="AI96">
        <f t="shared" si="77"/>
        <v>4.6305274293495381E-2</v>
      </c>
      <c r="AJ96">
        <f t="shared" si="78"/>
        <v>0</v>
      </c>
      <c r="AK96">
        <f t="shared" si="79"/>
        <v>0.12987761468894801</v>
      </c>
      <c r="AL96">
        <f t="shared" si="80"/>
        <v>0</v>
      </c>
      <c r="AM96">
        <v>0.65</v>
      </c>
      <c r="AN96">
        <v>0.13</v>
      </c>
      <c r="BW96" s="2" t="s">
        <v>55</v>
      </c>
      <c r="BX96">
        <v>120</v>
      </c>
      <c r="BY96" s="2">
        <v>669</v>
      </c>
      <c r="BZ96" s="2">
        <v>112</v>
      </c>
      <c r="CA96">
        <v>250</v>
      </c>
      <c r="CB96">
        <v>390</v>
      </c>
      <c r="CC96">
        <v>448</v>
      </c>
      <c r="CD96">
        <v>115</v>
      </c>
      <c r="CE96">
        <v>273</v>
      </c>
      <c r="CF96">
        <v>433</v>
      </c>
      <c r="CG96" s="2">
        <v>556</v>
      </c>
    </row>
    <row r="97" spans="11:85" x14ac:dyDescent="0.2">
      <c r="L97" t="s">
        <v>56</v>
      </c>
      <c r="N97">
        <v>550</v>
      </c>
      <c r="O97">
        <v>0.3</v>
      </c>
      <c r="P97" cm="1">
        <f t="array" ref="P97">_xlfn.XLOOKUP(K$15,$BX$169:$CG$169,_xlfn.XLOOKUP($D$11,$BW$170:$BW$176,$BX$170:$CG$176))</f>
        <v>700</v>
      </c>
      <c r="Q97">
        <f t="shared" ref="Q97:Q119" si="81">N97/P97</f>
        <v>0.7857142857142857</v>
      </c>
      <c r="T97">
        <f t="shared" si="67"/>
        <v>0</v>
      </c>
      <c r="V97">
        <v>1</v>
      </c>
      <c r="W97">
        <v>0</v>
      </c>
      <c r="X97">
        <v>0</v>
      </c>
      <c r="Y97">
        <f t="shared" si="68"/>
        <v>0</v>
      </c>
      <c r="Z97">
        <f t="shared" si="69"/>
        <v>8.5869999999999997</v>
      </c>
      <c r="AA97">
        <f t="shared" si="70"/>
        <v>3.7652749370972547E-3</v>
      </c>
      <c r="AB97">
        <f t="shared" si="66"/>
        <v>1.0663388645663703</v>
      </c>
      <c r="AC97">
        <f t="shared" si="71"/>
        <v>8.940100000000001</v>
      </c>
      <c r="AD97">
        <f t="shared" si="72"/>
        <v>3.3042609600000006</v>
      </c>
      <c r="AE97">
        <f t="shared" si="73"/>
        <v>1.5545569755555841E-4</v>
      </c>
      <c r="AF97">
        <f t="shared" si="74"/>
        <v>1.8612093104596994E-3</v>
      </c>
      <c r="AG97">
        <f t="shared" si="75"/>
        <v>0</v>
      </c>
      <c r="AH97">
        <f t="shared" si="76"/>
        <v>0</v>
      </c>
      <c r="AI97">
        <f t="shared" si="77"/>
        <v>4.4933772241280007E-2</v>
      </c>
      <c r="AJ97">
        <f t="shared" si="78"/>
        <v>0</v>
      </c>
      <c r="AK97">
        <f t="shared" si="79"/>
        <v>9.2343682200284813E-2</v>
      </c>
      <c r="AL97">
        <f t="shared" si="80"/>
        <v>0</v>
      </c>
      <c r="AM97">
        <v>0.6</v>
      </c>
      <c r="AN97">
        <v>0.1</v>
      </c>
      <c r="BW97" s="2" t="s">
        <v>56</v>
      </c>
      <c r="BX97">
        <v>125</v>
      </c>
      <c r="BY97" s="2">
        <v>685</v>
      </c>
      <c r="BZ97" s="2">
        <v>140</v>
      </c>
      <c r="CA97">
        <v>277</v>
      </c>
      <c r="CB97">
        <v>407</v>
      </c>
      <c r="CC97">
        <v>455</v>
      </c>
      <c r="CD97">
        <v>141</v>
      </c>
      <c r="CE97">
        <v>296</v>
      </c>
      <c r="CF97">
        <v>445</v>
      </c>
      <c r="CG97" s="2">
        <v>593</v>
      </c>
    </row>
    <row r="98" spans="11:85" x14ac:dyDescent="0.2">
      <c r="L98" t="s">
        <v>57</v>
      </c>
      <c r="N98">
        <v>560</v>
      </c>
      <c r="O98">
        <v>0.1</v>
      </c>
      <c r="P98" cm="1">
        <f t="array" ref="P98">_xlfn.XLOOKUP(K$15,$BX$169:$CG$169,_xlfn.XLOOKUP($D$11,$BW$170:$BW$176,$BX$170:$CG$176))</f>
        <v>700</v>
      </c>
      <c r="Q98">
        <f t="shared" si="81"/>
        <v>0.8</v>
      </c>
      <c r="T98">
        <f t="shared" si="67"/>
        <v>0</v>
      </c>
      <c r="V98">
        <v>1</v>
      </c>
      <c r="W98">
        <v>0</v>
      </c>
      <c r="X98">
        <v>0</v>
      </c>
      <c r="Y98">
        <f t="shared" si="68"/>
        <v>0</v>
      </c>
      <c r="Z98">
        <f t="shared" si="69"/>
        <v>6.9829999999999997</v>
      </c>
      <c r="AA98">
        <f t="shared" si="70"/>
        <v>1.2408236680915622E-3</v>
      </c>
      <c r="AB98">
        <f t="shared" si="66"/>
        <v>1.0217513291410167</v>
      </c>
      <c r="AC98">
        <f t="shared" si="71"/>
        <v>8.6644277315999982</v>
      </c>
      <c r="AD98">
        <f t="shared" si="72"/>
        <v>3.9301844190537589</v>
      </c>
      <c r="AE98">
        <f t="shared" si="73"/>
        <v>1.8490354357059897E-4</v>
      </c>
      <c r="AF98">
        <f t="shared" si="74"/>
        <v>2.2137766723384039E-3</v>
      </c>
      <c r="AG98">
        <f t="shared" si="75"/>
        <v>0</v>
      </c>
      <c r="AH98">
        <f t="shared" si="76"/>
        <v>0</v>
      </c>
      <c r="AI98">
        <f t="shared" si="77"/>
        <v>3.9185006115462516E-2</v>
      </c>
      <c r="AJ98">
        <f t="shared" si="78"/>
        <v>0</v>
      </c>
      <c r="AK98">
        <f t="shared" si="79"/>
        <v>4.0726609975720147E-2</v>
      </c>
      <c r="AL98">
        <f t="shared" si="80"/>
        <v>0</v>
      </c>
      <c r="AM98">
        <v>0.5</v>
      </c>
      <c r="AN98">
        <v>0.06</v>
      </c>
      <c r="BW98" s="2" t="s">
        <v>57</v>
      </c>
      <c r="BX98" s="2">
        <v>180</v>
      </c>
      <c r="BY98" s="2">
        <v>692</v>
      </c>
      <c r="BZ98" s="2">
        <v>183</v>
      </c>
      <c r="CA98">
        <v>316</v>
      </c>
      <c r="CB98">
        <v>438</v>
      </c>
      <c r="CC98">
        <v>468</v>
      </c>
      <c r="CD98">
        <v>189</v>
      </c>
      <c r="CE98">
        <v>354</v>
      </c>
      <c r="CF98">
        <v>500</v>
      </c>
      <c r="CG98" s="2">
        <v>553</v>
      </c>
    </row>
    <row r="99" spans="11:85" x14ac:dyDescent="0.2">
      <c r="K99" t="s">
        <v>44</v>
      </c>
      <c r="L99" t="s">
        <v>54</v>
      </c>
      <c r="N99" cm="1">
        <f t="array" ref="N99:N102">_xlfn.XLOOKUP(K99, $BX$46:$CG$46, $BX$47:$CG$50)</f>
        <v>75</v>
      </c>
      <c r="O99" cm="1">
        <f t="array" ref="O99:O102">_xlfn.XLOOKUP(K99, $BX$106:$CG$106, $BX$107:$CG$110)</f>
        <v>0.5</v>
      </c>
      <c r="P99" cm="1">
        <f t="array" ref="P99">_xlfn.XLOOKUP(K$19,$BX$169:$CG$169,_xlfn.XLOOKUP($D$11,$BW$170:$BW$176,$BX$170:$CG$176))</f>
        <v>600</v>
      </c>
      <c r="Q99">
        <f t="shared" si="81"/>
        <v>0.125</v>
      </c>
      <c r="T99">
        <f t="shared" si="67"/>
        <v>0</v>
      </c>
      <c r="V99">
        <v>1</v>
      </c>
      <c r="W99">
        <f>VLOOKUP($G$91, $CL$17:$CN$25, 2, FALSE)</f>
        <v>6</v>
      </c>
      <c r="X99">
        <v>0</v>
      </c>
      <c r="Y99">
        <f t="shared" si="68"/>
        <v>0</v>
      </c>
      <c r="Z99">
        <f t="shared" si="69"/>
        <v>7.785000000000001</v>
      </c>
      <c r="AA99">
        <f t="shared" si="70"/>
        <v>1.4328724276547253E-2</v>
      </c>
      <c r="AB99">
        <f t="shared" si="66"/>
        <v>1.2193553180247376</v>
      </c>
      <c r="AC99">
        <f t="shared" si="71"/>
        <v>2.7834751406249998</v>
      </c>
      <c r="AD99">
        <f t="shared" si="72"/>
        <v>1.1456783678812499</v>
      </c>
      <c r="AE99">
        <f t="shared" si="73"/>
        <v>5.390077600084388E-5</v>
      </c>
      <c r="AF99">
        <f t="shared" si="74"/>
        <v>6.4533257842106233E-4</v>
      </c>
      <c r="AG99">
        <f t="shared" si="75"/>
        <v>0</v>
      </c>
      <c r="AH99">
        <f t="shared" si="76"/>
        <v>0</v>
      </c>
      <c r="AI99">
        <f t="shared" si="77"/>
        <v>1.5362662991883286E-2</v>
      </c>
      <c r="AJ99">
        <f t="shared" si="78"/>
        <v>0</v>
      </c>
      <c r="AK99">
        <f t="shared" si="79"/>
        <v>3.1129030513077163E-2</v>
      </c>
      <c r="AL99">
        <f t="shared" si="80"/>
        <v>0</v>
      </c>
      <c r="AM99" cm="1">
        <f t="array" ref="AM99:AM102">_xlfn.XLOOKUP(G$91,$BV$17:$CD$17,$BV$18:$CD$21)</f>
        <v>0.55000000000000004</v>
      </c>
      <c r="AN99" cm="1">
        <f t="array" ref="AN99:AN102">_xlfn.XLOOKUP(G$91,$BV$29:$CD$29,$BV$30:$CD$33)</f>
        <v>7.0000000000000007E-2</v>
      </c>
      <c r="BU99" t="s">
        <v>81</v>
      </c>
      <c r="BV99" t="s">
        <v>80</v>
      </c>
      <c r="BW99" s="2" t="s">
        <v>54</v>
      </c>
      <c r="BX99" s="2">
        <v>190</v>
      </c>
      <c r="BY99" s="2">
        <v>617</v>
      </c>
      <c r="BZ99" s="2">
        <v>174</v>
      </c>
      <c r="CA99">
        <v>265</v>
      </c>
      <c r="CB99">
        <v>371</v>
      </c>
      <c r="CC99">
        <v>415</v>
      </c>
      <c r="CD99">
        <v>170</v>
      </c>
      <c r="CE99">
        <v>272</v>
      </c>
      <c r="CF99">
        <v>392</v>
      </c>
      <c r="CG99" s="2">
        <v>531</v>
      </c>
    </row>
    <row r="100" spans="11:85" x14ac:dyDescent="0.2">
      <c r="L100" t="s">
        <v>55</v>
      </c>
      <c r="N100">
        <v>160</v>
      </c>
      <c r="O100">
        <v>0.9</v>
      </c>
      <c r="P100" cm="1">
        <f t="array" ref="P100">_xlfn.XLOOKUP(K$19,$BX$169:$CG$169,_xlfn.XLOOKUP($D$11,$BW$170:$BW$176,$BX$170:$CG$176))</f>
        <v>600</v>
      </c>
      <c r="Q100">
        <f t="shared" si="81"/>
        <v>0.26666666666666666</v>
      </c>
      <c r="T100">
        <f t="shared" si="67"/>
        <v>0</v>
      </c>
      <c r="V100">
        <v>1</v>
      </c>
      <c r="W100">
        <f>VLOOKUP($G$91, $CL$17:$CN$25, 3, FALSE)</f>
        <v>4</v>
      </c>
      <c r="X100">
        <v>0</v>
      </c>
      <c r="Y100">
        <f t="shared" si="68"/>
        <v>0</v>
      </c>
      <c r="Z100">
        <f t="shared" si="69"/>
        <v>9.3889999999999993</v>
      </c>
      <c r="AA100">
        <f t="shared" si="70"/>
        <v>2.2824899496607251E-2</v>
      </c>
      <c r="AB100">
        <f t="shared" si="66"/>
        <v>1.3309587678069252</v>
      </c>
      <c r="AC100">
        <f t="shared" si="71"/>
        <v>4.5298311556000002</v>
      </c>
      <c r="AD100">
        <f t="shared" si="72"/>
        <v>1.4839726865745599</v>
      </c>
      <c r="AE100">
        <f t="shared" si="73"/>
        <v>6.9816522344180778E-5</v>
      </c>
      <c r="AF100">
        <f t="shared" si="74"/>
        <v>8.3588548669608228E-4</v>
      </c>
      <c r="AG100">
        <f t="shared" si="75"/>
        <v>0</v>
      </c>
      <c r="AH100">
        <f t="shared" si="76"/>
        <v>0</v>
      </c>
      <c r="AI100">
        <f t="shared" si="77"/>
        <v>2.5404212233494764E-2</v>
      </c>
      <c r="AJ100">
        <f t="shared" si="78"/>
        <v>0</v>
      </c>
      <c r="AK100">
        <f t="shared" si="79"/>
        <v>6.5262295645274873E-2</v>
      </c>
      <c r="AL100">
        <f t="shared" si="80"/>
        <v>0</v>
      </c>
      <c r="AM100">
        <v>0.65</v>
      </c>
      <c r="AN100">
        <v>0.13</v>
      </c>
      <c r="BW100" s="2" t="s">
        <v>55</v>
      </c>
      <c r="BX100">
        <v>119</v>
      </c>
      <c r="BY100" s="2">
        <v>591</v>
      </c>
      <c r="BZ100" s="2">
        <v>140</v>
      </c>
      <c r="CA100">
        <v>205</v>
      </c>
      <c r="CB100">
        <v>310</v>
      </c>
      <c r="CC100">
        <v>405</v>
      </c>
      <c r="CD100">
        <v>133</v>
      </c>
      <c r="CE100">
        <v>218</v>
      </c>
      <c r="CF100">
        <v>315</v>
      </c>
      <c r="CG100" s="2">
        <v>445</v>
      </c>
    </row>
    <row r="101" spans="11:85" x14ac:dyDescent="0.2">
      <c r="L101" t="s">
        <v>56</v>
      </c>
      <c r="N101">
        <v>220</v>
      </c>
      <c r="O101">
        <v>0.7</v>
      </c>
      <c r="P101" cm="1">
        <f t="array" ref="P101">_xlfn.XLOOKUP(K$19,$BX$169:$CG$169,_xlfn.XLOOKUP($D$11,$BW$170:$BW$176,$BX$170:$CG$176))</f>
        <v>600</v>
      </c>
      <c r="Q101">
        <f t="shared" si="81"/>
        <v>0.36666666666666664</v>
      </c>
      <c r="T101">
        <f t="shared" si="67"/>
        <v>0</v>
      </c>
      <c r="V101">
        <v>1</v>
      </c>
      <c r="W101">
        <v>0</v>
      </c>
      <c r="X101">
        <v>0</v>
      </c>
      <c r="Y101">
        <f t="shared" si="68"/>
        <v>0</v>
      </c>
      <c r="Z101">
        <f t="shared" si="69"/>
        <v>8.5869999999999997</v>
      </c>
      <c r="AA101">
        <f t="shared" si="70"/>
        <v>1.570147670443419E-2</v>
      </c>
      <c r="AB101">
        <f t="shared" si="66"/>
        <v>1.2257699173903274</v>
      </c>
      <c r="AC101">
        <f t="shared" si="71"/>
        <v>5.1913799715999973</v>
      </c>
      <c r="AD101">
        <f t="shared" si="72"/>
        <v>1.918734037503359</v>
      </c>
      <c r="AE101">
        <f t="shared" si="73"/>
        <v>9.0270757011782037E-5</v>
      </c>
      <c r="AF101">
        <f t="shared" si="74"/>
        <v>1.0807759127164039E-3</v>
      </c>
      <c r="AG101">
        <f t="shared" si="75"/>
        <v>0</v>
      </c>
      <c r="AH101">
        <f t="shared" si="76"/>
        <v>0</v>
      </c>
      <c r="AI101">
        <f t="shared" si="77"/>
        <v>2.609235749732295E-2</v>
      </c>
      <c r="AJ101">
        <f t="shared" si="78"/>
        <v>0</v>
      </c>
      <c r="AK101">
        <f t="shared" si="79"/>
        <v>4.0262866647490236E-2</v>
      </c>
      <c r="AL101">
        <f t="shared" si="80"/>
        <v>0</v>
      </c>
      <c r="AM101">
        <v>0.6</v>
      </c>
      <c r="AN101">
        <v>0.1</v>
      </c>
      <c r="BW101" s="2" t="s">
        <v>56</v>
      </c>
      <c r="BX101">
        <v>175</v>
      </c>
      <c r="BY101" s="2">
        <v>610</v>
      </c>
      <c r="BZ101" s="2">
        <v>163</v>
      </c>
      <c r="CA101">
        <v>232</v>
      </c>
      <c r="CB101">
        <v>351</v>
      </c>
      <c r="CC101">
        <v>427</v>
      </c>
      <c r="CD101">
        <v>146</v>
      </c>
      <c r="CE101">
        <v>242</v>
      </c>
      <c r="CF101">
        <v>320</v>
      </c>
      <c r="CG101" s="2">
        <v>471</v>
      </c>
    </row>
    <row r="102" spans="11:85" x14ac:dyDescent="0.2">
      <c r="L102" t="s">
        <v>57</v>
      </c>
      <c r="N102">
        <v>260</v>
      </c>
      <c r="O102">
        <v>0.4</v>
      </c>
      <c r="P102" cm="1">
        <f t="array" ref="P102">_xlfn.XLOOKUP(K$19,$BX$169:$CG$169,_xlfn.XLOOKUP($D$11,$BW$170:$BW$176,$BX$170:$CG$176))</f>
        <v>600</v>
      </c>
      <c r="Q102">
        <f t="shared" si="81"/>
        <v>0.43333333333333335</v>
      </c>
      <c r="T102">
        <f t="shared" si="67"/>
        <v>0</v>
      </c>
      <c r="V102">
        <v>1</v>
      </c>
      <c r="W102">
        <v>0</v>
      </c>
      <c r="X102">
        <v>0</v>
      </c>
      <c r="Y102">
        <f t="shared" si="68"/>
        <v>0</v>
      </c>
      <c r="Z102">
        <f t="shared" si="69"/>
        <v>6.9829999999999997</v>
      </c>
      <c r="AA102">
        <f t="shared" si="70"/>
        <v>8.1371085957436407E-3</v>
      </c>
      <c r="AB102">
        <f t="shared" si="66"/>
        <v>1.1183986897081921</v>
      </c>
      <c r="AC102">
        <f t="shared" si="71"/>
        <v>5.3621886096000004</v>
      </c>
      <c r="AD102">
        <f t="shared" si="72"/>
        <v>2.4322887533145603</v>
      </c>
      <c r="AE102">
        <f t="shared" si="73"/>
        <v>1.1443198626874025E-4</v>
      </c>
      <c r="AF102">
        <f t="shared" si="74"/>
        <v>1.3700487123134107E-3</v>
      </c>
      <c r="AG102">
        <f t="shared" si="75"/>
        <v>0</v>
      </c>
      <c r="AH102">
        <f t="shared" si="76"/>
        <v>0</v>
      </c>
      <c r="AI102">
        <f t="shared" si="77"/>
        <v>2.4250579492182869E-2</v>
      </c>
      <c r="AJ102">
        <f t="shared" si="78"/>
        <v>0</v>
      </c>
      <c r="AK102">
        <f t="shared" si="79"/>
        <v>1.7949748179097211E-2</v>
      </c>
      <c r="AL102">
        <f t="shared" si="80"/>
        <v>0</v>
      </c>
      <c r="AM102">
        <v>0.5</v>
      </c>
      <c r="AN102">
        <v>0.06</v>
      </c>
      <c r="BW102" s="2" t="s">
        <v>57</v>
      </c>
      <c r="BX102">
        <v>192</v>
      </c>
      <c r="BY102" s="2">
        <v>615</v>
      </c>
      <c r="BZ102" s="2">
        <v>162</v>
      </c>
      <c r="CA102">
        <v>255</v>
      </c>
      <c r="CB102">
        <v>364</v>
      </c>
      <c r="CC102">
        <v>420</v>
      </c>
      <c r="CD102">
        <v>157</v>
      </c>
      <c r="CE102">
        <v>261</v>
      </c>
      <c r="CF102">
        <v>342</v>
      </c>
      <c r="CG102" s="2">
        <v>484</v>
      </c>
    </row>
    <row r="103" spans="11:85" x14ac:dyDescent="0.2">
      <c r="K103" t="s">
        <v>45</v>
      </c>
      <c r="L103" t="s">
        <v>54</v>
      </c>
      <c r="N103" cm="1">
        <f t="array" ref="N103:N106">_xlfn.XLOOKUP(K103, $BX$46:$CG$46, $BX$47:$CG$50)</f>
        <v>300</v>
      </c>
      <c r="O103" cm="1">
        <f t="array" ref="O103:O106">_xlfn.XLOOKUP(K103, $BX$106:$CG$106, $BX$107:$CG$110)</f>
        <v>0.4</v>
      </c>
      <c r="P103" cm="1">
        <f t="array" ref="P103">_xlfn.XLOOKUP(K$23,$BX$169:$CG$169,_xlfn.XLOOKUP($D$11,$BW$170:$BW$176,$BX$170:$CG$176))</f>
        <v>500</v>
      </c>
      <c r="Q103">
        <f t="shared" si="81"/>
        <v>0.6</v>
      </c>
      <c r="T103">
        <f t="shared" si="67"/>
        <v>0</v>
      </c>
      <c r="V103">
        <v>1</v>
      </c>
      <c r="W103">
        <v>0</v>
      </c>
      <c r="X103">
        <v>0</v>
      </c>
      <c r="Y103">
        <f t="shared" si="68"/>
        <v>0</v>
      </c>
      <c r="Z103">
        <f t="shared" si="69"/>
        <v>7.785000000000001</v>
      </c>
      <c r="AA103">
        <f t="shared" si="70"/>
        <v>6.2442878326350593E-3</v>
      </c>
      <c r="AB103">
        <f t="shared" si="66"/>
        <v>1.1119169101727504</v>
      </c>
      <c r="AC103">
        <f t="shared" si="71"/>
        <v>5.9487209999999981</v>
      </c>
      <c r="AD103">
        <f t="shared" si="72"/>
        <v>2.4484935635999991</v>
      </c>
      <c r="AE103">
        <f t="shared" si="73"/>
        <v>1.1519437462643171E-4</v>
      </c>
      <c r="AF103">
        <f t="shared" si="74"/>
        <v>1.3791764852534424E-3</v>
      </c>
      <c r="AG103">
        <f t="shared" si="75"/>
        <v>0</v>
      </c>
      <c r="AH103">
        <f t="shared" si="76"/>
        <v>0</v>
      </c>
      <c r="AI103">
        <f t="shared" si="77"/>
        <v>2.7687155945183992E-2</v>
      </c>
      <c r="AJ103">
        <f t="shared" si="78"/>
        <v>0</v>
      </c>
      <c r="AK103">
        <f t="shared" si="79"/>
        <v>3.1425546995517785E-2</v>
      </c>
      <c r="AL103">
        <f t="shared" si="80"/>
        <v>0</v>
      </c>
      <c r="AM103" cm="1">
        <f t="array" ref="AM103:AM106">_xlfn.XLOOKUP(G$91,$BV$17:$CD$17,$BV$18:$CD$21)</f>
        <v>0.55000000000000004</v>
      </c>
      <c r="AN103" cm="1">
        <f t="array" ref="AN103:AN106">_xlfn.XLOOKUP(G$91,$BV$29:$CD$29,$BV$30:$CD$33)</f>
        <v>7.0000000000000007E-2</v>
      </c>
    </row>
    <row r="104" spans="11:85" x14ac:dyDescent="0.2">
      <c r="L104" t="s">
        <v>55</v>
      </c>
      <c r="N104">
        <v>360</v>
      </c>
      <c r="O104">
        <v>0.7</v>
      </c>
      <c r="P104" cm="1">
        <f t="array" ref="P104">_xlfn.XLOOKUP(K$23,$BX$169:$CG$169,_xlfn.XLOOKUP($D$11,$BW$170:$BW$176,$BX$170:$CG$176))</f>
        <v>500</v>
      </c>
      <c r="Q104">
        <f t="shared" si="81"/>
        <v>0.72</v>
      </c>
      <c r="T104">
        <f t="shared" si="67"/>
        <v>0</v>
      </c>
      <c r="V104">
        <v>1</v>
      </c>
      <c r="W104">
        <v>0</v>
      </c>
      <c r="X104">
        <v>0</v>
      </c>
      <c r="Y104">
        <f t="shared" si="68"/>
        <v>0</v>
      </c>
      <c r="Z104">
        <f t="shared" si="69"/>
        <v>9.3889999999999993</v>
      </c>
      <c r="AA104">
        <f t="shared" si="70"/>
        <v>9.3492032207592203E-3</v>
      </c>
      <c r="AB104">
        <f t="shared" si="66"/>
        <v>1.1855374831795669</v>
      </c>
      <c r="AC104">
        <f t="shared" si="71"/>
        <v>7.3058846435999998</v>
      </c>
      <c r="AD104">
        <f t="shared" si="72"/>
        <v>2.3934078092433602</v>
      </c>
      <c r="AE104">
        <f t="shared" si="73"/>
        <v>1.1260275293778476E-4</v>
      </c>
      <c r="AF104">
        <f t="shared" si="74"/>
        <v>1.3481480283236143E-3</v>
      </c>
      <c r="AG104">
        <f t="shared" si="75"/>
        <v>0</v>
      </c>
      <c r="AH104">
        <f t="shared" si="76"/>
        <v>0</v>
      </c>
      <c r="AI104">
        <f t="shared" si="77"/>
        <v>3.8384252900732593E-2</v>
      </c>
      <c r="AJ104">
        <f t="shared" si="78"/>
        <v>0</v>
      </c>
      <c r="AK104">
        <f t="shared" si="79"/>
        <v>0.1027743579961435</v>
      </c>
      <c r="AL104">
        <f t="shared" si="80"/>
        <v>0</v>
      </c>
      <c r="AM104">
        <v>0.65</v>
      </c>
      <c r="AN104">
        <v>0.13</v>
      </c>
    </row>
    <row r="105" spans="11:85" x14ac:dyDescent="0.2">
      <c r="L105" t="s">
        <v>56</v>
      </c>
      <c r="N105">
        <v>390</v>
      </c>
      <c r="O105">
        <v>0.3</v>
      </c>
      <c r="P105" cm="1">
        <f t="array" ref="P105">_xlfn.XLOOKUP(K$23,$BX$169:$CG$169,_xlfn.XLOOKUP($D$11,$BW$170:$BW$176,$BX$170:$CG$176))</f>
        <v>500</v>
      </c>
      <c r="Q105">
        <f t="shared" si="81"/>
        <v>0.78</v>
      </c>
      <c r="T105">
        <f t="shared" si="67"/>
        <v>0</v>
      </c>
      <c r="V105">
        <v>1</v>
      </c>
      <c r="W105">
        <v>0</v>
      </c>
      <c r="X105">
        <v>0</v>
      </c>
      <c r="Y105">
        <f t="shared" si="68"/>
        <v>0</v>
      </c>
      <c r="Z105">
        <f t="shared" si="69"/>
        <v>8.5869999999999997</v>
      </c>
      <c r="AA105">
        <f t="shared" si="70"/>
        <v>3.7835202890765178E-3</v>
      </c>
      <c r="AB105">
        <f t="shared" si="66"/>
        <v>1.0751865867280543</v>
      </c>
      <c r="AC105">
        <f t="shared" si="71"/>
        <v>7.0471135296000007</v>
      </c>
      <c r="AD105">
        <f t="shared" si="72"/>
        <v>2.6046131605401603</v>
      </c>
      <c r="AE105">
        <f t="shared" si="73"/>
        <v>1.2253933954845938E-4</v>
      </c>
      <c r="AF105">
        <f t="shared" si="74"/>
        <v>1.4671148324021022E-3</v>
      </c>
      <c r="AG105">
        <f t="shared" si="75"/>
        <v>0</v>
      </c>
      <c r="AH105">
        <f t="shared" si="76"/>
        <v>0</v>
      </c>
      <c r="AI105">
        <f t="shared" si="77"/>
        <v>3.5419446571905155E-2</v>
      </c>
      <c r="AJ105">
        <f t="shared" si="78"/>
        <v>0</v>
      </c>
      <c r="AK105">
        <f t="shared" si="79"/>
        <v>7.2006267066110949E-2</v>
      </c>
      <c r="AL105">
        <f t="shared" si="80"/>
        <v>0</v>
      </c>
      <c r="AM105">
        <v>0.6</v>
      </c>
      <c r="AN105">
        <v>0.1</v>
      </c>
    </row>
    <row r="106" spans="11:85" x14ac:dyDescent="0.2">
      <c r="L106" t="s">
        <v>57</v>
      </c>
      <c r="N106">
        <v>410</v>
      </c>
      <c r="O106">
        <v>0.2</v>
      </c>
      <c r="P106" cm="1">
        <f t="array" ref="P106">_xlfn.XLOOKUP(K$23,$BX$169:$CG$169,_xlfn.XLOOKUP($D$11,$BW$170:$BW$176,$BX$170:$CG$176))</f>
        <v>500</v>
      </c>
      <c r="Q106">
        <f t="shared" si="81"/>
        <v>0.82</v>
      </c>
      <c r="T106">
        <f t="shared" si="67"/>
        <v>0</v>
      </c>
      <c r="V106">
        <v>1</v>
      </c>
      <c r="W106">
        <v>0</v>
      </c>
      <c r="X106">
        <v>0</v>
      </c>
      <c r="Y106">
        <f t="shared" si="68"/>
        <v>0</v>
      </c>
      <c r="Z106">
        <f t="shared" si="69"/>
        <v>6.9829999999999997</v>
      </c>
      <c r="AA106">
        <f t="shared" si="70"/>
        <v>2.4432886397722938E-3</v>
      </c>
      <c r="AB106">
        <f t="shared" si="66"/>
        <v>1.0488710073408023</v>
      </c>
      <c r="AC106">
        <f t="shared" si="71"/>
        <v>7.1414010756000028</v>
      </c>
      <c r="AD106">
        <f t="shared" si="72"/>
        <v>3.2393395278921613</v>
      </c>
      <c r="AE106">
        <f t="shared" si="73"/>
        <v>1.5240133634232363E-4</v>
      </c>
      <c r="AF106">
        <f t="shared" si="74"/>
        <v>1.8246406570300113E-3</v>
      </c>
      <c r="AG106">
        <f t="shared" si="75"/>
        <v>0</v>
      </c>
      <c r="AH106">
        <f t="shared" si="76"/>
        <v>0</v>
      </c>
      <c r="AI106">
        <f t="shared" si="77"/>
        <v>3.2297094913697359E-2</v>
      </c>
      <c r="AJ106">
        <f t="shared" si="78"/>
        <v>0</v>
      </c>
      <c r="AK106">
        <f t="shared" si="79"/>
        <v>3.2213450109116783E-2</v>
      </c>
      <c r="AL106">
        <f t="shared" si="80"/>
        <v>0</v>
      </c>
      <c r="AM106">
        <v>0.5</v>
      </c>
      <c r="AN106">
        <v>0.06</v>
      </c>
      <c r="BU106" t="s">
        <v>60</v>
      </c>
      <c r="BX106" s="3" t="s">
        <v>42</v>
      </c>
      <c r="BY106" s="3" t="s">
        <v>43</v>
      </c>
      <c r="BZ106" s="3" t="s">
        <v>44</v>
      </c>
      <c r="CA106" s="4" t="s">
        <v>45</v>
      </c>
      <c r="CB106" s="3" t="s">
        <v>46</v>
      </c>
      <c r="CC106" s="3" t="s">
        <v>47</v>
      </c>
      <c r="CD106" s="3" t="s">
        <v>48</v>
      </c>
      <c r="CE106" s="3" t="s">
        <v>49</v>
      </c>
      <c r="CF106" s="3" t="s">
        <v>50</v>
      </c>
      <c r="CG106" s="3" t="s">
        <v>51</v>
      </c>
    </row>
    <row r="107" spans="11:85" x14ac:dyDescent="0.2">
      <c r="K107" t="s">
        <v>46</v>
      </c>
      <c r="L107" t="s">
        <v>54</v>
      </c>
      <c r="M107">
        <v>100</v>
      </c>
      <c r="N107" cm="1">
        <f t="array" ref="N107:N110">_xlfn.XLOOKUP(K107, $BX$46:$CG$46, $BX$47:$CG$50)</f>
        <v>440</v>
      </c>
      <c r="O107" cm="1">
        <f t="array" ref="O107:O110">_xlfn.XLOOKUP(K107, $BX$106:$CG$106, $BX$107:$CG$110)</f>
        <v>0.3</v>
      </c>
      <c r="P107" cm="1">
        <f t="array" ref="P107">_xlfn.XLOOKUP(K$27,$BX$169:$CG$169,_xlfn.XLOOKUP($D$11,$BW$170:$BW$176,$BX$170:$CG$176))</f>
        <v>500</v>
      </c>
      <c r="Q107">
        <f t="shared" si="81"/>
        <v>0.88</v>
      </c>
      <c r="R107">
        <v>0.7</v>
      </c>
      <c r="T107">
        <f t="shared" si="67"/>
        <v>0.7</v>
      </c>
      <c r="U107">
        <f>1+(0.3*R107)+(0.1*S107)</f>
        <v>1.21</v>
      </c>
      <c r="V107">
        <f>(T107*U107)+(1 - T107)</f>
        <v>1.147</v>
      </c>
      <c r="W107">
        <v>0</v>
      </c>
      <c r="X107">
        <f>VLOOKUP($G$11, $CL$17:$CN$25, 2, FALSE)</f>
        <v>6</v>
      </c>
      <c r="Y107">
        <f t="shared" si="68"/>
        <v>4.1999999999999993</v>
      </c>
      <c r="Z107">
        <f t="shared" si="69"/>
        <v>7.785000000000001</v>
      </c>
      <c r="AA107">
        <f t="shared" si="70"/>
        <v>2.4591381589207564E-2</v>
      </c>
      <c r="AB107">
        <f t="shared" si="66"/>
        <v>1.0717864499078986</v>
      </c>
      <c r="AC107">
        <f t="shared" si="71"/>
        <v>8.8245977249772007</v>
      </c>
      <c r="AD107">
        <f t="shared" si="72"/>
        <v>3.6322044236006152</v>
      </c>
      <c r="AE107">
        <f t="shared" si="73"/>
        <v>1.7088446680531508E-4</v>
      </c>
      <c r="AF107">
        <f t="shared" si="74"/>
        <v>2.0459318354499366E-3</v>
      </c>
      <c r="AG107">
        <f t="shared" si="75"/>
        <v>1.5593207595984999</v>
      </c>
      <c r="AH107">
        <f t="shared" si="76"/>
        <v>18.669127998480672</v>
      </c>
      <c r="AI107">
        <f t="shared" si="77"/>
        <v>4.107236048975229E-2</v>
      </c>
      <c r="AJ107">
        <f t="shared" si="78"/>
        <v>374.78528946898962</v>
      </c>
      <c r="AK107">
        <f t="shared" si="79"/>
        <v>3.1480913757314127E-2</v>
      </c>
      <c r="AL107">
        <f t="shared" si="80"/>
        <v>287.26333803549142</v>
      </c>
      <c r="AM107" cm="1">
        <f t="array" ref="AM107:AM110">_xlfn.XLOOKUP(G$91,$BV$17:$CD$17,$BV$18:$CD$21)</f>
        <v>0.55000000000000004</v>
      </c>
      <c r="AN107" cm="1">
        <f t="array" ref="AN107:AN110">_xlfn.XLOOKUP(G$91,$BV$29:$CD$29,$BV$30:$CD$33)</f>
        <v>7.0000000000000007E-2</v>
      </c>
      <c r="BU107" t="s">
        <v>53</v>
      </c>
      <c r="BW107" t="s">
        <v>54</v>
      </c>
      <c r="BX107">
        <v>0.5</v>
      </c>
      <c r="BY107">
        <v>0.2</v>
      </c>
      <c r="BZ107">
        <v>0.5</v>
      </c>
      <c r="CA107">
        <v>0.4</v>
      </c>
      <c r="CB107">
        <v>0.3</v>
      </c>
      <c r="CC107">
        <v>0.3</v>
      </c>
      <c r="CD107">
        <v>0.5</v>
      </c>
      <c r="CE107">
        <v>0.4</v>
      </c>
      <c r="CF107">
        <v>0.4</v>
      </c>
      <c r="CG107">
        <v>0.4</v>
      </c>
    </row>
    <row r="108" spans="11:85" x14ac:dyDescent="0.2">
      <c r="L108" t="s">
        <v>55</v>
      </c>
      <c r="M108">
        <v>110</v>
      </c>
      <c r="N108">
        <v>470</v>
      </c>
      <c r="O108">
        <v>0.3</v>
      </c>
      <c r="P108" cm="1">
        <f t="array" ref="P108">_xlfn.XLOOKUP(K$27,$BX$169:$CG$169,_xlfn.XLOOKUP($D$11,$BW$170:$BW$176,$BX$170:$CG$176))</f>
        <v>500</v>
      </c>
      <c r="Q108">
        <f t="shared" si="81"/>
        <v>0.94</v>
      </c>
      <c r="R108">
        <v>0.3</v>
      </c>
      <c r="S108">
        <v>0.7</v>
      </c>
      <c r="T108">
        <f t="shared" si="67"/>
        <v>1</v>
      </c>
      <c r="U108">
        <f t="shared" ref="U108:U114" si="82">1+(0.3*R108)+(0.1*S108)</f>
        <v>1.1600000000000001</v>
      </c>
      <c r="V108">
        <f t="shared" ref="V108:V114" si="83">(T108*U108)+(1 - T108)</f>
        <v>1.1600000000000001</v>
      </c>
      <c r="W108">
        <v>0</v>
      </c>
      <c r="X108">
        <f>VLOOKUP($G$11, $CL$17:$CN$25, 3, FALSE)</f>
        <v>4</v>
      </c>
      <c r="Y108">
        <f t="shared" si="68"/>
        <v>4</v>
      </c>
      <c r="Z108">
        <f t="shared" si="69"/>
        <v>9.3889999999999993</v>
      </c>
      <c r="AA108">
        <f>(0.032 * Y108 /6.38) + ((0.212 - 0.008 * (AB108 - 2) - ((0.14 - 0.008 * (AB108 - 2)) / (1 + EXP(-6 * (Q108 - 0.4))))) * (O108 * 0.92)) / 6.25</f>
        <v>2.3487599223017373E-2</v>
      </c>
      <c r="AB108">
        <f t="shared" si="66"/>
        <v>1.0700516381378118</v>
      </c>
      <c r="AC108">
        <f t="shared" si="71"/>
        <v>9.3492449026560021</v>
      </c>
      <c r="AD108">
        <f t="shared" si="72"/>
        <v>3.0628126301101064</v>
      </c>
      <c r="AE108">
        <f t="shared" si="73"/>
        <v>1.4409626832129538E-4</v>
      </c>
      <c r="AF108">
        <f t="shared" si="74"/>
        <v>1.7252073768878379E-3</v>
      </c>
      <c r="AG108">
        <f t="shared" si="75"/>
        <v>1.4463662932750025</v>
      </c>
      <c r="AH108">
        <f t="shared" si="76"/>
        <v>17.316769045511673</v>
      </c>
      <c r="AI108">
        <f t="shared" si="77"/>
        <v>4.9119825767958168E-2</v>
      </c>
      <c r="AJ108">
        <f t="shared" si="78"/>
        <v>493.04025114588012</v>
      </c>
      <c r="AK108">
        <f t="shared" si="79"/>
        <v>0.12008028369670098</v>
      </c>
      <c r="AL108">
        <f t="shared" si="80"/>
        <v>1205.305847605636</v>
      </c>
      <c r="AM108">
        <v>0.65</v>
      </c>
      <c r="AN108">
        <v>0.13</v>
      </c>
      <c r="BW108" t="s">
        <v>55</v>
      </c>
      <c r="BX108">
        <v>1</v>
      </c>
      <c r="BY108">
        <v>0.4</v>
      </c>
      <c r="BZ108">
        <v>0.9</v>
      </c>
      <c r="CA108">
        <v>0.7</v>
      </c>
      <c r="CB108">
        <v>0.3</v>
      </c>
      <c r="CC108">
        <v>0.3</v>
      </c>
      <c r="CD108">
        <v>0.9</v>
      </c>
      <c r="CE108">
        <v>0.4</v>
      </c>
      <c r="CF108">
        <v>0.4</v>
      </c>
      <c r="CG108">
        <v>0.4</v>
      </c>
    </row>
    <row r="109" spans="11:85" x14ac:dyDescent="0.2">
      <c r="L109" t="s">
        <v>56</v>
      </c>
      <c r="M109">
        <v>120</v>
      </c>
      <c r="N109">
        <v>490</v>
      </c>
      <c r="O109">
        <v>0.2</v>
      </c>
      <c r="P109" cm="1">
        <f t="array" ref="P109">_xlfn.XLOOKUP(K$27,$BX$169:$CG$169,_xlfn.XLOOKUP($D$11,$BW$170:$BW$176,$BX$170:$CG$176))</f>
        <v>500</v>
      </c>
      <c r="Q109">
        <f t="shared" si="81"/>
        <v>0.98</v>
      </c>
      <c r="R109">
        <v>0</v>
      </c>
      <c r="S109">
        <v>0.3</v>
      </c>
      <c r="T109">
        <f t="shared" si="67"/>
        <v>0.3</v>
      </c>
      <c r="U109">
        <f t="shared" si="82"/>
        <v>1.03</v>
      </c>
      <c r="V109">
        <f t="shared" si="83"/>
        <v>1.0089999999999999</v>
      </c>
      <c r="W109">
        <v>0</v>
      </c>
      <c r="X109">
        <v>0</v>
      </c>
      <c r="Y109">
        <f t="shared" si="68"/>
        <v>0</v>
      </c>
      <c r="Z109">
        <f t="shared" si="69"/>
        <v>8.5869999999999997</v>
      </c>
      <c r="AA109">
        <f t="shared" si="70"/>
        <v>2.2495778311143037E-3</v>
      </c>
      <c r="AB109">
        <f t="shared" si="66"/>
        <v>1.0457484402934747</v>
      </c>
      <c r="AC109">
        <f t="shared" si="71"/>
        <v>8.1860581224004001</v>
      </c>
      <c r="AD109">
        <f t="shared" si="72"/>
        <v>3.0255670820391876</v>
      </c>
      <c r="AE109">
        <f t="shared" si="73"/>
        <v>1.4234397553138095E-4</v>
      </c>
      <c r="AF109">
        <f t="shared" si="74"/>
        <v>1.7042278714305059E-3</v>
      </c>
      <c r="AG109">
        <f t="shared" si="75"/>
        <v>1.5586665320686215</v>
      </c>
      <c r="AH109">
        <f t="shared" si="76"/>
        <v>18.66129519216404</v>
      </c>
      <c r="AI109">
        <f t="shared" si="77"/>
        <v>4.1143887789378171E-2</v>
      </c>
      <c r="AJ109">
        <f t="shared" si="78"/>
        <v>450.52557129369097</v>
      </c>
      <c r="AK109">
        <f t="shared" si="79"/>
        <v>8.5750475890299729E-2</v>
      </c>
      <c r="AL109">
        <f t="shared" si="80"/>
        <v>938.96771099878197</v>
      </c>
      <c r="AM109">
        <v>0.6</v>
      </c>
      <c r="AN109">
        <v>0.1</v>
      </c>
      <c r="BW109" t="s">
        <v>56</v>
      </c>
      <c r="BX109">
        <v>0.8</v>
      </c>
      <c r="BY109">
        <v>0.3</v>
      </c>
      <c r="BZ109">
        <v>0.7</v>
      </c>
      <c r="CA109">
        <v>0.3</v>
      </c>
      <c r="CB109">
        <v>0.2</v>
      </c>
      <c r="CC109">
        <v>0.2</v>
      </c>
      <c r="CD109">
        <v>0.7</v>
      </c>
      <c r="CE109">
        <v>0.3</v>
      </c>
      <c r="CF109">
        <v>0.3</v>
      </c>
      <c r="CG109">
        <v>0.3</v>
      </c>
    </row>
    <row r="110" spans="11:85" x14ac:dyDescent="0.2">
      <c r="L110" t="s">
        <v>57</v>
      </c>
      <c r="M110">
        <v>130</v>
      </c>
      <c r="N110">
        <v>500</v>
      </c>
      <c r="O110">
        <v>0.1</v>
      </c>
      <c r="P110" cm="1">
        <f t="array" ref="P110">_xlfn.XLOOKUP(K$27,$BX$169:$CG$169,_xlfn.XLOOKUP($D$11,$BW$170:$BW$176,$BX$170:$CG$176))</f>
        <v>500</v>
      </c>
      <c r="Q110">
        <f t="shared" si="81"/>
        <v>1</v>
      </c>
      <c r="R110">
        <v>0</v>
      </c>
      <c r="S110">
        <v>0</v>
      </c>
      <c r="T110">
        <f t="shared" si="67"/>
        <v>0</v>
      </c>
      <c r="U110">
        <f t="shared" si="82"/>
        <v>1</v>
      </c>
      <c r="V110">
        <f t="shared" si="83"/>
        <v>1</v>
      </c>
      <c r="W110">
        <v>0</v>
      </c>
      <c r="X110">
        <v>0</v>
      </c>
      <c r="Y110">
        <f t="shared" si="68"/>
        <v>0</v>
      </c>
      <c r="Z110">
        <f t="shared" si="69"/>
        <v>6.9829999999999997</v>
      </c>
      <c r="AA110">
        <f t="shared" si="70"/>
        <v>1.1177124055604386E-3</v>
      </c>
      <c r="AB110">
        <f t="shared" si="66"/>
        <v>1.0225860047470616</v>
      </c>
      <c r="AC110">
        <f t="shared" si="71"/>
        <v>8.0457322500000004</v>
      </c>
      <c r="AD110">
        <f t="shared" si="72"/>
        <v>3.6495441486</v>
      </c>
      <c r="AE110">
        <f t="shared" si="73"/>
        <v>1.7170024954095013E-4</v>
      </c>
      <c r="AF110">
        <f t="shared" si="74"/>
        <v>2.0556988780656223E-3</v>
      </c>
      <c r="AG110">
        <f t="shared" si="75"/>
        <v>2.0367942101795209</v>
      </c>
      <c r="AH110">
        <f t="shared" si="76"/>
        <v>24.385727941053442</v>
      </c>
      <c r="AI110">
        <f t="shared" si="77"/>
        <v>3.6386946395755196E-2</v>
      </c>
      <c r="AJ110">
        <f t="shared" si="78"/>
        <v>431.64015161964602</v>
      </c>
      <c r="AK110">
        <f t="shared" si="79"/>
        <v>3.7873397375028983E-2</v>
      </c>
      <c r="AL110">
        <f t="shared" si="80"/>
        <v>449.27317636128134</v>
      </c>
      <c r="AM110">
        <v>0.5</v>
      </c>
      <c r="AN110">
        <v>0.06</v>
      </c>
      <c r="BW110" t="s">
        <v>57</v>
      </c>
      <c r="BX110">
        <v>0.4</v>
      </c>
      <c r="BY110">
        <v>0.1</v>
      </c>
      <c r="BZ110">
        <v>0.4</v>
      </c>
      <c r="CA110">
        <v>0.2</v>
      </c>
      <c r="CB110">
        <v>0.1</v>
      </c>
      <c r="CC110">
        <v>0.1</v>
      </c>
      <c r="CD110">
        <v>0.4</v>
      </c>
      <c r="CE110">
        <v>0.1</v>
      </c>
      <c r="CF110">
        <v>0.1</v>
      </c>
      <c r="CG110">
        <v>0.1</v>
      </c>
    </row>
    <row r="111" spans="11:85" x14ac:dyDescent="0.2">
      <c r="K111" t="s">
        <v>47</v>
      </c>
      <c r="L111" t="s">
        <v>54</v>
      </c>
      <c r="M111" s="9">
        <v>50</v>
      </c>
      <c r="N111" cm="1">
        <f t="array" ref="N111:N114">_xlfn.XLOOKUP(K111, $BX$46:$CG$46, $BX$47:$CG$50)</f>
        <v>440</v>
      </c>
      <c r="O111" cm="1">
        <f t="array" ref="O111:O114">_xlfn.XLOOKUP(K111, $BX$106:$CG$106, $BX$107:$CG$110)</f>
        <v>0.3</v>
      </c>
      <c r="P111" cm="1">
        <f t="array" ref="P111">_xlfn.XLOOKUP(K$31,$BX$169:$CG$169,_xlfn.XLOOKUP($D$11,$BW$170:$BW$176,$BX$170:$CG$176))</f>
        <v>500</v>
      </c>
      <c r="Q111">
        <f t="shared" si="81"/>
        <v>0.88</v>
      </c>
      <c r="R111">
        <v>0.6</v>
      </c>
      <c r="S111">
        <v>0.4</v>
      </c>
      <c r="T111">
        <f t="shared" si="67"/>
        <v>1</v>
      </c>
      <c r="U111">
        <f t="shared" si="82"/>
        <v>1.22</v>
      </c>
      <c r="V111">
        <f t="shared" si="83"/>
        <v>1.22</v>
      </c>
      <c r="W111">
        <v>0</v>
      </c>
      <c r="X111">
        <f>VLOOKUP($G$11, $CL$17:$CN$25, 2, FALSE)</f>
        <v>6</v>
      </c>
      <c r="Y111">
        <f t="shared" si="68"/>
        <v>6</v>
      </c>
      <c r="Z111">
        <f t="shared" si="69"/>
        <v>7.785000000000001</v>
      </c>
      <c r="AA111">
        <f t="shared" si="70"/>
        <v>3.3619594755351763E-2</v>
      </c>
      <c r="AB111">
        <f t="shared" si="66"/>
        <v>1.0717864499078988</v>
      </c>
      <c r="AC111">
        <f t="shared" si="71"/>
        <v>9.3862329768720016</v>
      </c>
      <c r="AD111">
        <f t="shared" si="72"/>
        <v>3.8633734932805153</v>
      </c>
      <c r="AE111">
        <f t="shared" si="73"/>
        <v>1.8176028727330814E-4</v>
      </c>
      <c r="AF111">
        <f t="shared" si="74"/>
        <v>2.1761437133817987E-3</v>
      </c>
      <c r="AG111">
        <f t="shared" si="75"/>
        <v>0.82928131068446842</v>
      </c>
      <c r="AH111">
        <f t="shared" si="76"/>
        <v>9.9286556923044564</v>
      </c>
      <c r="AI111">
        <f t="shared" si="77"/>
        <v>4.3686381689187266E-2</v>
      </c>
      <c r="AJ111">
        <f t="shared" si="78"/>
        <v>199.3191164569169</v>
      </c>
      <c r="AK111">
        <f t="shared" si="79"/>
        <v>2.6128994212956742E-2</v>
      </c>
      <c r="AL111">
        <f t="shared" si="80"/>
        <v>119.21353609661513</v>
      </c>
      <c r="AM111" cm="1">
        <f t="array" ref="AM111:AM114">_xlfn.XLOOKUP(G$91,$BV$17:$CD$17,$BV$18:$CD$21)</f>
        <v>0.55000000000000004</v>
      </c>
      <c r="AN111" cm="1">
        <f t="array" ref="AN111:AN114">_xlfn.XLOOKUP(G$91,$BV$29:$CD$29,$BV$30:$CD$33)</f>
        <v>7.0000000000000007E-2</v>
      </c>
      <c r="BU111" t="s">
        <v>59</v>
      </c>
      <c r="BW111" t="s">
        <v>54</v>
      </c>
      <c r="BX111">
        <v>0.99</v>
      </c>
      <c r="BY111">
        <v>1.1000000000000001</v>
      </c>
      <c r="BZ111">
        <v>0.88</v>
      </c>
      <c r="CA111">
        <v>0.55000000000000004</v>
      </c>
      <c r="CB111">
        <v>0.55000000000000004</v>
      </c>
      <c r="CC111">
        <v>0.55000000000000004</v>
      </c>
      <c r="CD111">
        <v>0.88</v>
      </c>
      <c r="CE111">
        <v>0.22</v>
      </c>
      <c r="CF111">
        <v>0.22</v>
      </c>
      <c r="CG111">
        <v>0.22</v>
      </c>
    </row>
    <row r="112" spans="11:85" x14ac:dyDescent="0.2">
      <c r="L112" t="s">
        <v>55</v>
      </c>
      <c r="M112" s="9">
        <v>60</v>
      </c>
      <c r="N112">
        <v>470</v>
      </c>
      <c r="O112">
        <v>0.3</v>
      </c>
      <c r="P112" cm="1">
        <f t="array" ref="P112">_xlfn.XLOOKUP(K$31,$BX$169:$CG$169,_xlfn.XLOOKUP($D$11,$BW$170:$BW$176,$BX$170:$CG$176))</f>
        <v>500</v>
      </c>
      <c r="Q112">
        <f t="shared" si="81"/>
        <v>0.94</v>
      </c>
      <c r="R112">
        <v>0</v>
      </c>
      <c r="S112">
        <v>0.6</v>
      </c>
      <c r="T112">
        <f t="shared" si="67"/>
        <v>0.6</v>
      </c>
      <c r="U112">
        <f t="shared" si="82"/>
        <v>1.06</v>
      </c>
      <c r="V112">
        <f t="shared" si="83"/>
        <v>1.036</v>
      </c>
      <c r="W112">
        <v>0</v>
      </c>
      <c r="X112">
        <f>VLOOKUP($G$11, $CL$17:$CN$25, 3, FALSE)</f>
        <v>4</v>
      </c>
      <c r="Y112">
        <f t="shared" si="68"/>
        <v>2.4</v>
      </c>
      <c r="Z112">
        <f t="shared" si="69"/>
        <v>9.3889999999999993</v>
      </c>
      <c r="AA112">
        <f t="shared" si="70"/>
        <v>1.5462520853111415E-2</v>
      </c>
      <c r="AB112">
        <f t="shared" si="66"/>
        <v>1.0700516381378118</v>
      </c>
      <c r="AC112">
        <f t="shared" si="71"/>
        <v>8.349842861337601</v>
      </c>
      <c r="AD112">
        <f t="shared" si="72"/>
        <v>2.7354085213741977</v>
      </c>
      <c r="AE112">
        <f t="shared" si="73"/>
        <v>1.2869287412143273E-4</v>
      </c>
      <c r="AF112">
        <f t="shared" si="74"/>
        <v>1.5407886572894824E-3</v>
      </c>
      <c r="AG112">
        <f t="shared" si="75"/>
        <v>0.70459348581484416</v>
      </c>
      <c r="AH112">
        <f t="shared" si="76"/>
        <v>8.4358178986599164</v>
      </c>
      <c r="AI112">
        <f t="shared" si="77"/>
        <v>4.386908577207297E-2</v>
      </c>
      <c r="AJ112">
        <f t="shared" si="78"/>
        <v>240.18324460209953</v>
      </c>
      <c r="AK112">
        <f t="shared" si="79"/>
        <v>0.1125685396030694</v>
      </c>
      <c r="AL112">
        <f t="shared" si="80"/>
        <v>616.31275432680491</v>
      </c>
      <c r="AM112">
        <v>0.65</v>
      </c>
      <c r="AN112">
        <v>0.13</v>
      </c>
      <c r="BW112" t="s">
        <v>55</v>
      </c>
      <c r="BX112">
        <v>0.77</v>
      </c>
      <c r="BY112">
        <v>0</v>
      </c>
      <c r="BZ112">
        <v>0.66</v>
      </c>
      <c r="CA112">
        <v>0.22</v>
      </c>
      <c r="CB112">
        <v>0</v>
      </c>
      <c r="CC112">
        <v>0</v>
      </c>
      <c r="CD112">
        <v>0.66</v>
      </c>
      <c r="CE112">
        <v>0</v>
      </c>
      <c r="CF112">
        <v>0</v>
      </c>
      <c r="CG112">
        <v>0</v>
      </c>
    </row>
    <row r="113" spans="11:85" x14ac:dyDescent="0.2">
      <c r="L113" t="s">
        <v>56</v>
      </c>
      <c r="M113" s="9">
        <v>70</v>
      </c>
      <c r="N113">
        <v>490</v>
      </c>
      <c r="O113">
        <v>0.2</v>
      </c>
      <c r="P113" cm="1">
        <f t="array" ref="P113">_xlfn.XLOOKUP(K$31,$BX$169:$CG$169,_xlfn.XLOOKUP($D$11,$BW$170:$BW$176,$BX$170:$CG$176))</f>
        <v>500</v>
      </c>
      <c r="Q113">
        <f t="shared" si="81"/>
        <v>0.98</v>
      </c>
      <c r="R113">
        <v>0</v>
      </c>
      <c r="S113">
        <v>0</v>
      </c>
      <c r="T113">
        <f t="shared" si="67"/>
        <v>0</v>
      </c>
      <c r="U113">
        <f t="shared" si="82"/>
        <v>1</v>
      </c>
      <c r="V113">
        <f t="shared" si="83"/>
        <v>1</v>
      </c>
      <c r="W113">
        <v>0</v>
      </c>
      <c r="X113">
        <v>0</v>
      </c>
      <c r="Y113">
        <f t="shared" si="68"/>
        <v>0</v>
      </c>
      <c r="Z113">
        <f t="shared" si="69"/>
        <v>8.5869999999999997</v>
      </c>
      <c r="AA113">
        <f t="shared" si="70"/>
        <v>2.2495778311143037E-3</v>
      </c>
      <c r="AB113">
        <f t="shared" si="66"/>
        <v>1.0457484402934745</v>
      </c>
      <c r="AC113">
        <f t="shared" si="71"/>
        <v>8.1130407556000002</v>
      </c>
      <c r="AD113">
        <f t="shared" si="72"/>
        <v>2.99857986326976</v>
      </c>
      <c r="AE113">
        <f t="shared" si="73"/>
        <v>1.4107430677044692E-4</v>
      </c>
      <c r="AF113">
        <f t="shared" si="74"/>
        <v>1.6890266317448027E-3</v>
      </c>
      <c r="AG113">
        <f t="shared" si="75"/>
        <v>0.90111213449622973</v>
      </c>
      <c r="AH113">
        <f t="shared" si="76"/>
        <v>10.788657610269928</v>
      </c>
      <c r="AI113">
        <f t="shared" si="77"/>
        <v>4.0776895727827715E-2</v>
      </c>
      <c r="AJ113">
        <f t="shared" si="78"/>
        <v>260.4624214614995</v>
      </c>
      <c r="AK113">
        <f t="shared" si="79"/>
        <v>8.4949190083043788E-2</v>
      </c>
      <c r="AL113">
        <f t="shared" si="80"/>
        <v>542.6129516554422</v>
      </c>
      <c r="AM113">
        <v>0.6</v>
      </c>
      <c r="AN113">
        <v>0.1</v>
      </c>
      <c r="BW113" t="s">
        <v>56</v>
      </c>
      <c r="BX113">
        <v>0.9</v>
      </c>
      <c r="BY113">
        <v>-1.1000000000000001</v>
      </c>
      <c r="BZ113">
        <v>0.7</v>
      </c>
      <c r="CA113">
        <v>0.22</v>
      </c>
      <c r="CB113">
        <v>-0.55000000000000004</v>
      </c>
      <c r="CC113">
        <v>-0.55000000000000004</v>
      </c>
      <c r="CD113">
        <v>0.8</v>
      </c>
      <c r="CE113">
        <v>-0.22</v>
      </c>
      <c r="CF113">
        <v>-0.22</v>
      </c>
      <c r="CG113">
        <v>-0.22</v>
      </c>
    </row>
    <row r="114" spans="11:85" x14ac:dyDescent="0.2">
      <c r="L114" t="s">
        <v>57</v>
      </c>
      <c r="M114" s="9">
        <v>80</v>
      </c>
      <c r="N114">
        <v>500</v>
      </c>
      <c r="O114">
        <v>0.1</v>
      </c>
      <c r="P114" cm="1">
        <f t="array" ref="P114">_xlfn.XLOOKUP(K$31,$BX$169:$CG$169,_xlfn.XLOOKUP($D$11,$BW$170:$BW$176,$BX$170:$CG$176))</f>
        <v>500</v>
      </c>
      <c r="Q114">
        <f t="shared" si="81"/>
        <v>1</v>
      </c>
      <c r="R114">
        <v>0.4</v>
      </c>
      <c r="S114">
        <v>0</v>
      </c>
      <c r="T114">
        <f t="shared" si="67"/>
        <v>0.4</v>
      </c>
      <c r="U114">
        <f t="shared" si="82"/>
        <v>1.1200000000000001</v>
      </c>
      <c r="V114">
        <f t="shared" si="83"/>
        <v>1.048</v>
      </c>
      <c r="W114">
        <v>0</v>
      </c>
      <c r="X114">
        <v>0</v>
      </c>
      <c r="Y114">
        <f t="shared" si="68"/>
        <v>0</v>
      </c>
      <c r="Z114">
        <f t="shared" si="69"/>
        <v>6.9829999999999997</v>
      </c>
      <c r="AA114">
        <f t="shared" si="70"/>
        <v>1.1177124055604386E-3</v>
      </c>
      <c r="AB114">
        <f t="shared" si="66"/>
        <v>1.0225860047470616</v>
      </c>
      <c r="AC114">
        <f t="shared" si="71"/>
        <v>8.4319273980000009</v>
      </c>
      <c r="AD114">
        <f t="shared" si="72"/>
        <v>3.8247222677328003</v>
      </c>
      <c r="AE114">
        <f t="shared" si="73"/>
        <v>1.7994186151891575E-4</v>
      </c>
      <c r="AF114">
        <f t="shared" si="74"/>
        <v>2.154372424212772E-3</v>
      </c>
      <c r="AG114">
        <f t="shared" si="75"/>
        <v>1.3135755890880849</v>
      </c>
      <c r="AH114">
        <f t="shared" si="76"/>
        <v>15.726918696753236</v>
      </c>
      <c r="AI114">
        <f t="shared" si="77"/>
        <v>3.8133519822751455E-2</v>
      </c>
      <c r="AJ114">
        <f t="shared" si="78"/>
        <v>278.37469470608562</v>
      </c>
      <c r="AK114">
        <f t="shared" si="79"/>
        <v>3.9834297368832719E-2</v>
      </c>
      <c r="AL114">
        <f t="shared" si="80"/>
        <v>290.79037079247883</v>
      </c>
      <c r="AM114">
        <v>0.5</v>
      </c>
      <c r="AN114">
        <v>0.06</v>
      </c>
      <c r="BW114" t="s">
        <v>57</v>
      </c>
      <c r="BX114">
        <v>0.88</v>
      </c>
      <c r="BY114">
        <v>0</v>
      </c>
      <c r="BZ114">
        <v>0.77</v>
      </c>
      <c r="CA114" s="2">
        <v>0.55000000000000004</v>
      </c>
      <c r="CB114" s="2">
        <v>0</v>
      </c>
      <c r="CC114" s="2">
        <v>0</v>
      </c>
      <c r="CD114" s="2">
        <v>0.82</v>
      </c>
      <c r="CE114" s="2">
        <v>0</v>
      </c>
      <c r="CF114" s="2">
        <v>0</v>
      </c>
      <c r="CG114" s="2">
        <v>0</v>
      </c>
    </row>
    <row r="115" spans="11:85" x14ac:dyDescent="0.2">
      <c r="K115" t="s">
        <v>48</v>
      </c>
      <c r="L115" t="s">
        <v>54</v>
      </c>
      <c r="M115">
        <v>200</v>
      </c>
      <c r="N115" cm="1">
        <f t="array" ref="N115:N118">_xlfn.XLOOKUP(K115, $BX$46:$CG$46, $BX$47:$CG$50)</f>
        <v>75</v>
      </c>
      <c r="O115" cm="1">
        <f t="array" ref="O115:O118">_xlfn.XLOOKUP(K115, $BX$106:$CG$106, $BX$107:$CG$110)</f>
        <v>0.5</v>
      </c>
      <c r="P115" cm="1">
        <f t="array" ref="P115">_xlfn.XLOOKUP(K$35,$BX$169:$CG$169,_xlfn.XLOOKUP($D$11,$BW$170:$BW$176,$BX$170:$CG$176))</f>
        <v>500</v>
      </c>
      <c r="Q115">
        <f t="shared" si="81"/>
        <v>0.15</v>
      </c>
      <c r="T115">
        <f t="shared" si="67"/>
        <v>0</v>
      </c>
      <c r="V115">
        <v>1</v>
      </c>
      <c r="W115">
        <f>VLOOKUP($G$91, $CL$17:$CN$25, 2, FALSE)</f>
        <v>6</v>
      </c>
      <c r="X115">
        <v>0</v>
      </c>
      <c r="Y115">
        <f t="shared" si="68"/>
        <v>0</v>
      </c>
      <c r="Z115">
        <f t="shared" si="69"/>
        <v>7.785000000000001</v>
      </c>
      <c r="AA115">
        <f t="shared" si="70"/>
        <v>1.4099280269004926E-2</v>
      </c>
      <c r="AB115">
        <f t="shared" si="66"/>
        <v>1.2193553180247376</v>
      </c>
      <c r="AC115">
        <f t="shared" si="71"/>
        <v>2.7834751406249998</v>
      </c>
      <c r="AD115">
        <f t="shared" si="72"/>
        <v>1.1456783678812499</v>
      </c>
      <c r="AE115">
        <f t="shared" si="73"/>
        <v>5.390077600084388E-5</v>
      </c>
      <c r="AF115">
        <f t="shared" si="74"/>
        <v>6.4533257842106233E-4</v>
      </c>
      <c r="AG115">
        <f t="shared" si="75"/>
        <v>0.98368916201540069</v>
      </c>
      <c r="AH115">
        <f t="shared" si="76"/>
        <v>11.777319556184386</v>
      </c>
      <c r="AI115">
        <f t="shared" si="77"/>
        <v>1.5362662991883286E-2</v>
      </c>
      <c r="AJ115">
        <f t="shared" si="78"/>
        <v>280.36859960186996</v>
      </c>
      <c r="AK115">
        <f t="shared" si="79"/>
        <v>3.1358474520619482E-2</v>
      </c>
      <c r="AL115">
        <f t="shared" si="80"/>
        <v>572.29216000130555</v>
      </c>
      <c r="AM115" cm="1">
        <f t="array" ref="AM115:AM118">_xlfn.XLOOKUP(G$91,$BV$17:$CD$17,$BV$18:$CD$21)</f>
        <v>0.55000000000000004</v>
      </c>
      <c r="AN115" cm="1">
        <f t="array" ref="AN115:AN118">_xlfn.XLOOKUP(G$91,$BV$29:$CD$29,$BV$30:$CD$33)</f>
        <v>7.0000000000000007E-2</v>
      </c>
      <c r="BU115" t="s">
        <v>69</v>
      </c>
      <c r="BW115" t="s">
        <v>54</v>
      </c>
      <c r="BX115">
        <v>1</v>
      </c>
      <c r="BY115">
        <v>0.5</v>
      </c>
      <c r="BZ115">
        <v>1</v>
      </c>
      <c r="CA115" s="2">
        <v>1</v>
      </c>
      <c r="CB115" s="2">
        <v>-0.44</v>
      </c>
      <c r="CC115" s="2">
        <v>-0.44</v>
      </c>
      <c r="CD115" s="2">
        <v>1</v>
      </c>
      <c r="CE115" s="2">
        <v>0.5</v>
      </c>
      <c r="CF115" s="2">
        <v>0.5</v>
      </c>
      <c r="CG115" s="2">
        <v>0.5</v>
      </c>
    </row>
    <row r="116" spans="11:85" x14ac:dyDescent="0.2">
      <c r="L116" t="s">
        <v>55</v>
      </c>
      <c r="M116">
        <v>130</v>
      </c>
      <c r="N116">
        <v>160</v>
      </c>
      <c r="O116">
        <v>0.9</v>
      </c>
      <c r="P116" cm="1">
        <f t="array" ref="P116">_xlfn.XLOOKUP(K$35,$BX$169:$CG$169,_xlfn.XLOOKUP($D$11,$BW$170:$BW$176,$BX$170:$CG$176))</f>
        <v>500</v>
      </c>
      <c r="Q116">
        <f t="shared" si="81"/>
        <v>0.32</v>
      </c>
      <c r="T116">
        <f t="shared" si="67"/>
        <v>0</v>
      </c>
      <c r="V116">
        <v>1</v>
      </c>
      <c r="W116">
        <f>VLOOKUP($G$91, $CL$17:$CN$25, 3, FALSE)</f>
        <v>4</v>
      </c>
      <c r="X116">
        <v>0</v>
      </c>
      <c r="Y116">
        <f t="shared" si="68"/>
        <v>0</v>
      </c>
      <c r="Z116">
        <f t="shared" si="69"/>
        <v>9.3889999999999993</v>
      </c>
      <c r="AA116">
        <f t="shared" si="70"/>
        <v>2.1434083982391813E-2</v>
      </c>
      <c r="AB116">
        <f t="shared" si="66"/>
        <v>1.3309587678069252</v>
      </c>
      <c r="AC116">
        <f t="shared" si="71"/>
        <v>4.5298311556000002</v>
      </c>
      <c r="AD116">
        <f t="shared" si="72"/>
        <v>1.4839726865745599</v>
      </c>
      <c r="AE116">
        <f t="shared" si="73"/>
        <v>6.9816522344180778E-5</v>
      </c>
      <c r="AF116">
        <f t="shared" si="74"/>
        <v>8.3588548669608228E-4</v>
      </c>
      <c r="AG116">
        <f t="shared" si="75"/>
        <v>0.82819849630784437</v>
      </c>
      <c r="AH116">
        <f t="shared" si="76"/>
        <v>9.9156915859322758</v>
      </c>
      <c r="AI116">
        <f t="shared" si="77"/>
        <v>2.5404212233494764E-2</v>
      </c>
      <c r="AJ116">
        <f t="shared" si="78"/>
        <v>301.35746761983165</v>
      </c>
      <c r="AK116">
        <f t="shared" si="79"/>
        <v>6.6653111159490311E-2</v>
      </c>
      <c r="AL116">
        <f t="shared" si="80"/>
        <v>790.67253112945377</v>
      </c>
      <c r="AM116">
        <v>0.65</v>
      </c>
      <c r="AN116">
        <v>0.13</v>
      </c>
      <c r="BW116" t="s">
        <v>55</v>
      </c>
      <c r="BX116">
        <v>0.82</v>
      </c>
      <c r="BY116">
        <v>0.55000000000000004</v>
      </c>
      <c r="BZ116">
        <v>0.71</v>
      </c>
      <c r="CA116" s="2">
        <v>0.55000000000000004</v>
      </c>
      <c r="CB116" s="2">
        <v>0.99</v>
      </c>
      <c r="CC116" s="2">
        <v>0.99</v>
      </c>
      <c r="CD116" s="2">
        <v>0.77</v>
      </c>
      <c r="CE116" s="2">
        <v>0.5</v>
      </c>
      <c r="CF116" s="2">
        <v>0.5</v>
      </c>
      <c r="CG116" s="2">
        <v>0.5</v>
      </c>
    </row>
    <row r="117" spans="11:85" x14ac:dyDescent="0.2">
      <c r="L117" t="s">
        <v>56</v>
      </c>
      <c r="M117">
        <v>250</v>
      </c>
      <c r="N117">
        <v>220</v>
      </c>
      <c r="O117">
        <v>0.7</v>
      </c>
      <c r="P117" cm="1">
        <f t="array" ref="P117">_xlfn.XLOOKUP(K$35,$BX$169:$CG$169,_xlfn.XLOOKUP($D$11,$BW$170:$BW$176,$BX$170:$CG$176))</f>
        <v>500</v>
      </c>
      <c r="Q117">
        <f t="shared" si="81"/>
        <v>0.44</v>
      </c>
      <c r="T117">
        <f t="shared" si="67"/>
        <v>0</v>
      </c>
      <c r="V117">
        <v>1</v>
      </c>
      <c r="W117">
        <v>0</v>
      </c>
      <c r="X117">
        <v>0</v>
      </c>
      <c r="Y117">
        <f t="shared" si="68"/>
        <v>0</v>
      </c>
      <c r="Z117">
        <f t="shared" si="69"/>
        <v>8.5869999999999997</v>
      </c>
      <c r="AA117">
        <f t="shared" si="70"/>
        <v>1.4051271404335857E-2</v>
      </c>
      <c r="AB117">
        <f t="shared" si="66"/>
        <v>1.2257699173903274</v>
      </c>
      <c r="AC117">
        <f t="shared" si="71"/>
        <v>5.1913799715999973</v>
      </c>
      <c r="AD117">
        <f t="shared" si="72"/>
        <v>1.918734037503359</v>
      </c>
      <c r="AE117">
        <f t="shared" si="73"/>
        <v>9.0270757011782037E-5</v>
      </c>
      <c r="AF117">
        <f t="shared" si="74"/>
        <v>1.0807759127164039E-3</v>
      </c>
      <c r="AG117">
        <f t="shared" si="75"/>
        <v>2.0593016443312777</v>
      </c>
      <c r="AH117">
        <f t="shared" si="76"/>
        <v>24.655200508842963</v>
      </c>
      <c r="AI117">
        <f t="shared" si="77"/>
        <v>2.609235749732295E-2</v>
      </c>
      <c r="AJ117">
        <f t="shared" si="78"/>
        <v>595.23190540767985</v>
      </c>
      <c r="AK117">
        <f t="shared" si="79"/>
        <v>4.1913071947588573E-2</v>
      </c>
      <c r="AL117">
        <f t="shared" si="80"/>
        <v>956.14195380436422</v>
      </c>
      <c r="AM117">
        <v>0.6</v>
      </c>
      <c r="AN117">
        <v>0.1</v>
      </c>
      <c r="BW117" t="s">
        <v>56</v>
      </c>
      <c r="BX117">
        <v>0.77</v>
      </c>
      <c r="BY117">
        <v>0.5</v>
      </c>
      <c r="BZ117">
        <v>0.55000000000000004</v>
      </c>
      <c r="CA117" s="2">
        <v>0.11</v>
      </c>
      <c r="CB117" s="2">
        <v>-0.33</v>
      </c>
      <c r="CC117" s="2">
        <v>-0.33</v>
      </c>
      <c r="CD117" s="2">
        <v>0.6</v>
      </c>
      <c r="CE117" s="2">
        <v>0.33</v>
      </c>
      <c r="CF117" s="2">
        <v>0.33</v>
      </c>
      <c r="CG117" s="2">
        <v>0.33</v>
      </c>
    </row>
    <row r="118" spans="11:85" x14ac:dyDescent="0.2">
      <c r="L118" t="s">
        <v>57</v>
      </c>
      <c r="M118">
        <v>150</v>
      </c>
      <c r="N118">
        <v>260</v>
      </c>
      <c r="O118">
        <v>0.4</v>
      </c>
      <c r="P118" cm="1">
        <f t="array" ref="P118">_xlfn.XLOOKUP(K$35,$BX$169:$CG$169,_xlfn.XLOOKUP($D$11,$BW$170:$BW$176,$BX$170:$CG$176))</f>
        <v>500</v>
      </c>
      <c r="Q118">
        <f t="shared" si="81"/>
        <v>0.52</v>
      </c>
      <c r="V118">
        <v>1</v>
      </c>
      <c r="W118">
        <v>0</v>
      </c>
      <c r="X118">
        <v>0</v>
      </c>
      <c r="Y118">
        <f t="shared" si="68"/>
        <v>0</v>
      </c>
      <c r="Z118">
        <f t="shared" si="69"/>
        <v>6.9829999999999997</v>
      </c>
      <c r="AA118">
        <f t="shared" si="70"/>
        <v>7.074082151077782E-3</v>
      </c>
      <c r="AB118">
        <f t="shared" si="66"/>
        <v>1.1183986897081921</v>
      </c>
      <c r="AC118">
        <f t="shared" si="71"/>
        <v>5.3621886096000004</v>
      </c>
      <c r="AD118">
        <f t="shared" si="72"/>
        <v>2.4322887533145603</v>
      </c>
      <c r="AE118">
        <f t="shared" si="73"/>
        <v>1.1443198626874025E-4</v>
      </c>
      <c r="AF118">
        <f t="shared" si="74"/>
        <v>1.3700487123134107E-3</v>
      </c>
      <c r="AG118">
        <f t="shared" si="75"/>
        <v>1.5662878120533821</v>
      </c>
      <c r="AH118">
        <f t="shared" si="76"/>
        <v>18.75254174978981</v>
      </c>
      <c r="AI118">
        <f t="shared" si="77"/>
        <v>2.4250579492182869E-2</v>
      </c>
      <c r="AJ118">
        <f t="shared" si="78"/>
        <v>331.92980679925302</v>
      </c>
      <c r="AK118">
        <f t="shared" si="79"/>
        <v>1.9012774623763065E-2</v>
      </c>
      <c r="AL118">
        <f t="shared" si="80"/>
        <v>260.23735266275696</v>
      </c>
      <c r="AM118">
        <v>0.5</v>
      </c>
      <c r="AN118">
        <v>0.06</v>
      </c>
      <c r="BW118" t="s">
        <v>57</v>
      </c>
      <c r="BX118">
        <v>0.11</v>
      </c>
      <c r="BY118">
        <v>-0.27</v>
      </c>
      <c r="BZ118">
        <v>0.11</v>
      </c>
      <c r="CA118" s="2">
        <v>0.22</v>
      </c>
      <c r="CB118" s="2">
        <v>-0.44</v>
      </c>
      <c r="CC118" s="2">
        <v>-0.44</v>
      </c>
      <c r="CD118" s="2">
        <v>0.16</v>
      </c>
      <c r="CE118" s="2">
        <v>-0.22</v>
      </c>
      <c r="CF118" s="2">
        <v>-0.22</v>
      </c>
      <c r="CG118" s="2">
        <v>-0.22</v>
      </c>
    </row>
    <row r="119" spans="11:85" x14ac:dyDescent="0.2">
      <c r="K119" t="s">
        <v>49</v>
      </c>
      <c r="L119" t="s">
        <v>54</v>
      </c>
      <c r="N119" cm="1">
        <f t="array" ref="N119:N122">_xlfn.XLOOKUP(K119, $BX$46:$CG$46, $BX$47:$CG$50)</f>
        <v>380</v>
      </c>
      <c r="O119" cm="1">
        <f t="array" ref="O119:O122">_xlfn.XLOOKUP(K119, $BX$106:$CG$106, $BX$107:$CG$110)</f>
        <v>0.4</v>
      </c>
      <c r="P119" cm="1">
        <f t="array" ref="P119">_xlfn.XLOOKUP(K$39,$BX$169:$CG$169,_xlfn.XLOOKUP($D$11,$BW$170:$BW$176,$BX$170:$CG$176))</f>
        <v>600</v>
      </c>
      <c r="Q119">
        <f t="shared" si="81"/>
        <v>0.6333333333333333</v>
      </c>
      <c r="V119">
        <v>1</v>
      </c>
      <c r="W119">
        <v>0</v>
      </c>
      <c r="X119">
        <v>0</v>
      </c>
      <c r="Y119">
        <f t="shared" si="68"/>
        <v>0</v>
      </c>
      <c r="Z119">
        <f t="shared" si="69"/>
        <v>7.785000000000001</v>
      </c>
      <c r="AA119">
        <f t="shared" si="70"/>
        <v>5.9536831562818603E-3</v>
      </c>
      <c r="AB119">
        <f t="shared" si="66"/>
        <v>1.101888665936833</v>
      </c>
      <c r="AC119">
        <f t="shared" si="71"/>
        <v>7.0796437775999967</v>
      </c>
      <c r="AD119">
        <f t="shared" si="72"/>
        <v>2.9139813788601581</v>
      </c>
      <c r="AE119">
        <f t="shared" si="73"/>
        <v>1.37094198490489E-4</v>
      </c>
      <c r="AF119">
        <f t="shared" si="74"/>
        <v>1.6413743764477724E-3</v>
      </c>
      <c r="AG119">
        <f t="shared" si="75"/>
        <v>0</v>
      </c>
      <c r="AH119">
        <f t="shared" si="76"/>
        <v>0</v>
      </c>
      <c r="AI119">
        <f t="shared" si="77"/>
        <v>3.2950814352658779E-2</v>
      </c>
      <c r="AJ119">
        <f t="shared" si="78"/>
        <v>0</v>
      </c>
      <c r="AK119">
        <f t="shared" si="79"/>
        <v>3.8872729999792265E-2</v>
      </c>
      <c r="AL119">
        <f t="shared" si="80"/>
        <v>0</v>
      </c>
      <c r="AM119" cm="1">
        <f t="array" ref="AM119:AM122">_xlfn.XLOOKUP(G$91,$BV$17:$CD$17,$BV$18:$CD$21)</f>
        <v>0.55000000000000004</v>
      </c>
      <c r="AN119" cm="1">
        <f t="array" ref="AN119:AN122">_xlfn.XLOOKUP(G$91,$BV$29:$CD$29,$BV$30:$CD$33)</f>
        <v>7.0000000000000007E-2</v>
      </c>
      <c r="BU119" t="s">
        <v>70</v>
      </c>
      <c r="BW119" t="s">
        <v>54</v>
      </c>
      <c r="BX119">
        <v>1.1000000000000001</v>
      </c>
      <c r="BY119">
        <v>1.1000000000000001</v>
      </c>
      <c r="BZ119">
        <v>1.1000000000000001</v>
      </c>
      <c r="CA119" s="2">
        <v>0.99</v>
      </c>
      <c r="CB119" s="2">
        <v>0.99</v>
      </c>
      <c r="CC119" s="2">
        <v>0.99</v>
      </c>
      <c r="CD119" s="2">
        <v>1.1000000000000001</v>
      </c>
      <c r="CE119" s="2">
        <v>0.77</v>
      </c>
      <c r="CF119" s="2">
        <v>0.77</v>
      </c>
      <c r="CG119" s="2">
        <v>0.77</v>
      </c>
    </row>
    <row r="120" spans="11:85" x14ac:dyDescent="0.2">
      <c r="L120" t="s">
        <v>55</v>
      </c>
      <c r="N120">
        <v>420</v>
      </c>
      <c r="O120">
        <v>0.4</v>
      </c>
      <c r="P120" cm="1">
        <f t="array" ref="P120">_xlfn.XLOOKUP(K$39,$BX$169:$CG$169,_xlfn.XLOOKUP($D$11,$BW$170:$BW$176,$BX$170:$CG$176))</f>
        <v>600</v>
      </c>
      <c r="Q120">
        <f>N120/P120</f>
        <v>0.7</v>
      </c>
      <c r="V120">
        <v>1</v>
      </c>
      <c r="W120">
        <v>0</v>
      </c>
      <c r="X120">
        <v>0</v>
      </c>
      <c r="Y120">
        <f t="shared" si="68"/>
        <v>0</v>
      </c>
      <c r="Z120">
        <f t="shared" si="69"/>
        <v>9.3889999999999993</v>
      </c>
      <c r="AA120">
        <f t="shared" si="70"/>
        <v>5.4689366245148753E-3</v>
      </c>
      <c r="AB120">
        <f t="shared" si="66"/>
        <v>1.0979922441560788</v>
      </c>
      <c r="AC120">
        <f t="shared" si="71"/>
        <v>7.6129639056</v>
      </c>
      <c r="AD120">
        <f t="shared" si="72"/>
        <v>2.49400697547456</v>
      </c>
      <c r="AE120">
        <f t="shared" si="73"/>
        <v>1.1733564593543065E-4</v>
      </c>
      <c r="AF120">
        <f t="shared" si="74"/>
        <v>1.4048130759940598E-3</v>
      </c>
      <c r="AG120">
        <f t="shared" si="75"/>
        <v>0</v>
      </c>
      <c r="AH120">
        <f t="shared" si="76"/>
        <v>0</v>
      </c>
      <c r="AI120">
        <f t="shared" si="77"/>
        <v>3.9997610985095973E-2</v>
      </c>
      <c r="AJ120">
        <f t="shared" si="78"/>
        <v>0</v>
      </c>
      <c r="AK120">
        <f t="shared" si="79"/>
        <v>0.11125023905023224</v>
      </c>
      <c r="AL120">
        <f t="shared" si="80"/>
        <v>0</v>
      </c>
      <c r="AM120">
        <v>0.65</v>
      </c>
      <c r="AN120">
        <v>0.13</v>
      </c>
      <c r="BW120" t="s">
        <v>55</v>
      </c>
      <c r="BX120">
        <v>0.33</v>
      </c>
      <c r="BY120">
        <v>0.33</v>
      </c>
      <c r="BZ120">
        <v>0.22</v>
      </c>
      <c r="CA120" s="2">
        <v>0.33</v>
      </c>
      <c r="CB120" s="2">
        <v>-0.1</v>
      </c>
      <c r="CC120" s="2">
        <v>-0.1</v>
      </c>
      <c r="CD120" s="2">
        <v>0.33</v>
      </c>
      <c r="CE120" s="2">
        <v>0.11</v>
      </c>
      <c r="CF120" s="2">
        <v>0.11</v>
      </c>
      <c r="CG120" s="2">
        <v>0.11</v>
      </c>
    </row>
    <row r="121" spans="11:85" x14ac:dyDescent="0.2">
      <c r="L121" t="s">
        <v>56</v>
      </c>
      <c r="N121">
        <v>450</v>
      </c>
      <c r="O121">
        <v>0.3</v>
      </c>
      <c r="P121" cm="1">
        <f t="array" ref="P121">_xlfn.XLOOKUP(K$39,$BX$169:$CG$169,_xlfn.XLOOKUP($D$11,$BW$170:$BW$176,$BX$170:$CG$176))</f>
        <v>600</v>
      </c>
      <c r="Q121">
        <f t="shared" ref="Q121:Q130" si="84">N121/P121</f>
        <v>0.75</v>
      </c>
      <c r="V121">
        <v>1</v>
      </c>
      <c r="W121">
        <v>0</v>
      </c>
      <c r="X121">
        <v>0</v>
      </c>
      <c r="Y121">
        <f t="shared" si="68"/>
        <v>0</v>
      </c>
      <c r="Z121">
        <f t="shared" si="69"/>
        <v>8.5869999999999997</v>
      </c>
      <c r="AA121">
        <f t="shared" si="70"/>
        <v>3.8897983284177057E-3</v>
      </c>
      <c r="AB121">
        <f t="shared" si="66"/>
        <v>1.0711847727263619</v>
      </c>
      <c r="AC121">
        <f t="shared" si="71"/>
        <v>7.8176159999999992</v>
      </c>
      <c r="AD121">
        <f t="shared" si="72"/>
        <v>2.8893908736</v>
      </c>
      <c r="AE121">
        <f t="shared" si="73"/>
        <v>1.3593728800589413E-4</v>
      </c>
      <c r="AF121">
        <f t="shared" si="74"/>
        <v>1.627523146810294E-3</v>
      </c>
      <c r="AG121">
        <f t="shared" si="75"/>
        <v>0</v>
      </c>
      <c r="AH121">
        <f t="shared" si="76"/>
        <v>0</v>
      </c>
      <c r="AI121">
        <f t="shared" si="77"/>
        <v>3.9292063490764792E-2</v>
      </c>
      <c r="AJ121">
        <f t="shared" si="78"/>
        <v>0</v>
      </c>
      <c r="AK121">
        <f t="shared" si="79"/>
        <v>8.0180415495995347E-2</v>
      </c>
      <c r="AL121">
        <f t="shared" si="80"/>
        <v>0</v>
      </c>
      <c r="AM121">
        <v>0.6</v>
      </c>
      <c r="AN121">
        <v>0.1</v>
      </c>
      <c r="BW121" t="s">
        <v>56</v>
      </c>
      <c r="BX121">
        <v>0.5</v>
      </c>
      <c r="BY121">
        <v>0.2</v>
      </c>
      <c r="BZ121">
        <v>0.55000000000000004</v>
      </c>
      <c r="CA121" s="2">
        <v>0.44</v>
      </c>
      <c r="CB121" s="2">
        <v>0.2</v>
      </c>
      <c r="CC121" s="2">
        <v>0.2</v>
      </c>
      <c r="CD121" s="2">
        <v>0.55000000000000004</v>
      </c>
      <c r="CE121" s="2">
        <v>0.2</v>
      </c>
      <c r="CF121" s="2">
        <v>0.2</v>
      </c>
      <c r="CG121" s="2">
        <v>0.2</v>
      </c>
    </row>
    <row r="122" spans="11:85" x14ac:dyDescent="0.2">
      <c r="L122" t="s">
        <v>57</v>
      </c>
      <c r="N122">
        <v>460</v>
      </c>
      <c r="O122">
        <v>0.1</v>
      </c>
      <c r="P122" cm="1">
        <f t="array" ref="P122">_xlfn.XLOOKUP(K$39,$BX$169:$CG$169,_xlfn.XLOOKUP($D$11,$BW$170:$BW$176,$BX$170:$CG$176))</f>
        <v>600</v>
      </c>
      <c r="Q122">
        <f t="shared" si="84"/>
        <v>0.76666666666666672</v>
      </c>
      <c r="V122">
        <v>1</v>
      </c>
      <c r="W122">
        <v>0</v>
      </c>
      <c r="X122">
        <v>0</v>
      </c>
      <c r="Y122">
        <f t="shared" si="68"/>
        <v>0</v>
      </c>
      <c r="Z122">
        <f t="shared" si="69"/>
        <v>6.9829999999999997</v>
      </c>
      <c r="AA122">
        <f t="shared" si="70"/>
        <v>1.2768791052116398E-3</v>
      </c>
      <c r="AB122">
        <f t="shared" si="66"/>
        <v>1.0232680056743308</v>
      </c>
      <c r="AC122">
        <f t="shared" si="71"/>
        <v>7.5885924675999998</v>
      </c>
      <c r="AD122">
        <f t="shared" si="72"/>
        <v>3.4421855433033599</v>
      </c>
      <c r="AE122">
        <f t="shared" si="73"/>
        <v>1.6194464094321492E-4</v>
      </c>
      <c r="AF122">
        <f t="shared" si="74"/>
        <v>1.9388988518406825E-3</v>
      </c>
      <c r="AG122">
        <f t="shared" si="75"/>
        <v>0</v>
      </c>
      <c r="AH122">
        <f t="shared" si="76"/>
        <v>0</v>
      </c>
      <c r="AI122">
        <f t="shared" si="77"/>
        <v>3.4319524781326508E-2</v>
      </c>
      <c r="AJ122">
        <f t="shared" si="78"/>
        <v>0</v>
      </c>
      <c r="AK122">
        <f t="shared" si="79"/>
        <v>3.5505924354929295E-2</v>
      </c>
      <c r="AL122">
        <f t="shared" si="80"/>
        <v>0</v>
      </c>
      <c r="AM122">
        <v>0.5</v>
      </c>
      <c r="AN122">
        <v>0.06</v>
      </c>
      <c r="BW122" t="s">
        <v>57</v>
      </c>
      <c r="BX122">
        <v>0.55000000000000004</v>
      </c>
      <c r="BY122">
        <v>0.22</v>
      </c>
      <c r="BZ122">
        <v>0.49</v>
      </c>
      <c r="CA122" s="2">
        <v>0.22</v>
      </c>
      <c r="CB122" s="2">
        <v>0.22</v>
      </c>
      <c r="CC122" s="2">
        <v>0.22</v>
      </c>
      <c r="CD122" s="2">
        <v>0.49</v>
      </c>
      <c r="CE122" s="2">
        <v>0.33</v>
      </c>
      <c r="CF122" s="2">
        <v>0.33</v>
      </c>
      <c r="CG122" s="2">
        <v>0.33</v>
      </c>
    </row>
    <row r="123" spans="11:85" x14ac:dyDescent="0.2">
      <c r="K123" t="s">
        <v>50</v>
      </c>
      <c r="L123" t="s">
        <v>54</v>
      </c>
      <c r="N123" cm="1">
        <f t="array" ref="N123:N126">_xlfn.XLOOKUP(K123, $BX$46:$CG$46, $BX$47:$CG$50)</f>
        <v>380</v>
      </c>
      <c r="O123" cm="1">
        <f t="array" ref="O123:O126">_xlfn.XLOOKUP(K123, $BX$106:$CG$106, $BX$107:$CG$110)</f>
        <v>0.4</v>
      </c>
      <c r="P123" cm="1">
        <f t="array" ref="P123">_xlfn.XLOOKUP(K$43,$BX$169:$CG$169,_xlfn.XLOOKUP($D$11,$BW$170:$BW$176,$BX$170:$CG$176))</f>
        <v>600</v>
      </c>
      <c r="Q123">
        <f t="shared" si="84"/>
        <v>0.6333333333333333</v>
      </c>
      <c r="V123">
        <v>1</v>
      </c>
      <c r="W123">
        <v>0</v>
      </c>
      <c r="X123">
        <v>0</v>
      </c>
      <c r="Y123">
        <f t="shared" si="68"/>
        <v>0</v>
      </c>
      <c r="Z123">
        <f t="shared" si="69"/>
        <v>7.785000000000001</v>
      </c>
      <c r="AA123">
        <f t="shared" si="70"/>
        <v>5.9536831562818603E-3</v>
      </c>
      <c r="AB123">
        <f t="shared" si="66"/>
        <v>1.101888665936833</v>
      </c>
      <c r="AC123">
        <f t="shared" si="71"/>
        <v>7.0796437775999967</v>
      </c>
      <c r="AD123">
        <f t="shared" si="72"/>
        <v>2.9139813788601581</v>
      </c>
      <c r="AE123">
        <f t="shared" si="73"/>
        <v>1.37094198490489E-4</v>
      </c>
      <c r="AF123">
        <f t="shared" si="74"/>
        <v>1.6413743764477724E-3</v>
      </c>
      <c r="AG123">
        <f t="shared" si="75"/>
        <v>0</v>
      </c>
      <c r="AH123">
        <f t="shared" si="76"/>
        <v>0</v>
      </c>
      <c r="AI123">
        <f t="shared" si="77"/>
        <v>3.2950814352658779E-2</v>
      </c>
      <c r="AJ123">
        <f t="shared" si="78"/>
        <v>0</v>
      </c>
      <c r="AK123">
        <f t="shared" si="79"/>
        <v>3.8872729999792265E-2</v>
      </c>
      <c r="AL123">
        <f t="shared" si="80"/>
        <v>0</v>
      </c>
      <c r="AM123" cm="1">
        <f t="array" ref="AM123:AM126">_xlfn.XLOOKUP(G$91,$BV$17:$CD$17,$BV$18:$CD$21)</f>
        <v>0.55000000000000004</v>
      </c>
      <c r="AN123" cm="1">
        <f t="array" ref="AN123:AN126">_xlfn.XLOOKUP(G$91,$BV$29:$CD$29,$BV$30:$CD$33)</f>
        <v>7.0000000000000007E-2</v>
      </c>
      <c r="BU123" t="s">
        <v>65</v>
      </c>
      <c r="BV123" t="s">
        <v>62</v>
      </c>
      <c r="BW123" t="s">
        <v>54</v>
      </c>
      <c r="BX123">
        <v>1.64</v>
      </c>
      <c r="BY123">
        <v>1.1000000000000001</v>
      </c>
      <c r="BZ123">
        <v>1.21</v>
      </c>
      <c r="CA123" s="2">
        <v>0.99</v>
      </c>
      <c r="CB123" s="2">
        <v>0.66</v>
      </c>
      <c r="CC123" s="2">
        <v>0.66</v>
      </c>
      <c r="CD123" s="2">
        <v>1.42</v>
      </c>
      <c r="CE123" s="2">
        <v>1.1000000000000001</v>
      </c>
      <c r="CF123" s="2">
        <v>1.1000000000000001</v>
      </c>
      <c r="CG123" s="2">
        <v>1.1000000000000001</v>
      </c>
    </row>
    <row r="124" spans="11:85" x14ac:dyDescent="0.2">
      <c r="L124" t="s">
        <v>55</v>
      </c>
      <c r="N124">
        <v>420</v>
      </c>
      <c r="O124">
        <v>0.4</v>
      </c>
      <c r="P124" cm="1">
        <f t="array" ref="P124">_xlfn.XLOOKUP(K$43,$BX$169:$CG$169,_xlfn.XLOOKUP($D$11,$BW$170:$BW$176,$BX$170:$CG$176))</f>
        <v>600</v>
      </c>
      <c r="Q124">
        <f t="shared" si="84"/>
        <v>0.7</v>
      </c>
      <c r="V124">
        <v>1</v>
      </c>
      <c r="W124">
        <v>0</v>
      </c>
      <c r="X124">
        <v>0</v>
      </c>
      <c r="Y124">
        <f t="shared" si="68"/>
        <v>0</v>
      </c>
      <c r="Z124">
        <f t="shared" si="69"/>
        <v>9.3889999999999993</v>
      </c>
      <c r="AA124">
        <f t="shared" si="70"/>
        <v>5.4689366245148753E-3</v>
      </c>
      <c r="AB124">
        <f t="shared" si="66"/>
        <v>1.0979922441560788</v>
      </c>
      <c r="AC124">
        <f t="shared" si="71"/>
        <v>7.6129639056</v>
      </c>
      <c r="AD124">
        <f t="shared" si="72"/>
        <v>2.49400697547456</v>
      </c>
      <c r="AE124">
        <f t="shared" si="73"/>
        <v>1.1733564593543065E-4</v>
      </c>
      <c r="AF124">
        <f t="shared" si="74"/>
        <v>1.4048130759940598E-3</v>
      </c>
      <c r="AG124">
        <f t="shared" si="75"/>
        <v>0</v>
      </c>
      <c r="AH124">
        <f t="shared" si="76"/>
        <v>0</v>
      </c>
      <c r="AI124">
        <f t="shared" si="77"/>
        <v>3.9997610985095973E-2</v>
      </c>
      <c r="AJ124">
        <f t="shared" si="78"/>
        <v>0</v>
      </c>
      <c r="AK124">
        <f t="shared" si="79"/>
        <v>0.11125023905023224</v>
      </c>
      <c r="AL124">
        <f t="shared" si="80"/>
        <v>0</v>
      </c>
      <c r="AM124">
        <v>0.65</v>
      </c>
      <c r="AN124">
        <v>0.13</v>
      </c>
      <c r="BW124" t="s">
        <v>55</v>
      </c>
      <c r="BX124">
        <v>0.44</v>
      </c>
      <c r="BY124">
        <v>-0.22</v>
      </c>
      <c r="BZ124">
        <v>0.44</v>
      </c>
      <c r="CA124" s="2">
        <v>0.33</v>
      </c>
      <c r="CB124" s="2">
        <v>-0.22</v>
      </c>
      <c r="CC124" s="2">
        <v>-0.22</v>
      </c>
      <c r="CD124" s="2">
        <v>0.44</v>
      </c>
      <c r="CE124" s="2">
        <v>-0.11</v>
      </c>
      <c r="CF124" s="2">
        <v>-0.11</v>
      </c>
      <c r="CG124" s="2">
        <v>-0.11</v>
      </c>
    </row>
    <row r="125" spans="11:85" x14ac:dyDescent="0.2">
      <c r="L125" t="s">
        <v>56</v>
      </c>
      <c r="N125">
        <v>450</v>
      </c>
      <c r="O125">
        <v>0.3</v>
      </c>
      <c r="P125" cm="1">
        <f t="array" ref="P125">_xlfn.XLOOKUP(K$43,$BX$169:$CG$169,_xlfn.XLOOKUP($D$11,$BW$170:$BW$176,$BX$170:$CG$176))</f>
        <v>600</v>
      </c>
      <c r="Q125">
        <f t="shared" si="84"/>
        <v>0.75</v>
      </c>
      <c r="V125">
        <v>1</v>
      </c>
      <c r="W125">
        <v>0</v>
      </c>
      <c r="X125">
        <v>0</v>
      </c>
      <c r="Y125">
        <f t="shared" si="68"/>
        <v>0</v>
      </c>
      <c r="Z125">
        <f t="shared" si="69"/>
        <v>8.5869999999999997</v>
      </c>
      <c r="AA125">
        <f t="shared" si="70"/>
        <v>3.8897983284177057E-3</v>
      </c>
      <c r="AB125">
        <f t="shared" si="66"/>
        <v>1.0711847727263619</v>
      </c>
      <c r="AC125">
        <f t="shared" si="71"/>
        <v>7.8176159999999992</v>
      </c>
      <c r="AD125">
        <f t="shared" si="72"/>
        <v>2.8893908736</v>
      </c>
      <c r="AE125">
        <f t="shared" si="73"/>
        <v>1.3593728800589413E-4</v>
      </c>
      <c r="AF125">
        <f t="shared" si="74"/>
        <v>1.627523146810294E-3</v>
      </c>
      <c r="AG125">
        <f t="shared" si="75"/>
        <v>0</v>
      </c>
      <c r="AH125">
        <f t="shared" si="76"/>
        <v>0</v>
      </c>
      <c r="AI125">
        <f t="shared" si="77"/>
        <v>3.9292063490764792E-2</v>
      </c>
      <c r="AJ125">
        <f t="shared" si="78"/>
        <v>0</v>
      </c>
      <c r="AK125">
        <f t="shared" si="79"/>
        <v>8.0180415495995347E-2</v>
      </c>
      <c r="AL125">
        <f t="shared" si="80"/>
        <v>0</v>
      </c>
      <c r="AM125">
        <v>0.6</v>
      </c>
      <c r="AN125">
        <v>0.1</v>
      </c>
      <c r="BW125" t="s">
        <v>56</v>
      </c>
      <c r="BX125">
        <v>0.6</v>
      </c>
      <c r="BY125">
        <v>0</v>
      </c>
      <c r="BZ125">
        <v>0.6</v>
      </c>
      <c r="CA125" s="2">
        <v>0.22</v>
      </c>
      <c r="CB125" s="2">
        <v>-0.55000000000000004</v>
      </c>
      <c r="CC125" s="2">
        <v>-0.55000000000000004</v>
      </c>
      <c r="CD125" s="2">
        <v>0.6</v>
      </c>
      <c r="CE125" s="2">
        <v>0</v>
      </c>
      <c r="CF125" s="2">
        <v>0</v>
      </c>
      <c r="CG125" s="2">
        <v>0</v>
      </c>
    </row>
    <row r="126" spans="11:85" x14ac:dyDescent="0.2">
      <c r="L126" t="s">
        <v>57</v>
      </c>
      <c r="N126">
        <v>460</v>
      </c>
      <c r="O126">
        <v>0.1</v>
      </c>
      <c r="P126" cm="1">
        <f t="array" ref="P126">_xlfn.XLOOKUP(K$43,$BX$169:$CG$169,_xlfn.XLOOKUP($D$11,$BW$170:$BW$176,$BX$170:$CG$176))</f>
        <v>600</v>
      </c>
      <c r="Q126">
        <f t="shared" si="84"/>
        <v>0.76666666666666672</v>
      </c>
      <c r="V126">
        <v>1</v>
      </c>
      <c r="W126">
        <v>0</v>
      </c>
      <c r="X126">
        <v>0</v>
      </c>
      <c r="Y126">
        <f t="shared" si="68"/>
        <v>0</v>
      </c>
      <c r="Z126">
        <f t="shared" si="69"/>
        <v>6.9829999999999997</v>
      </c>
      <c r="AA126">
        <f t="shared" si="70"/>
        <v>1.2768791052116398E-3</v>
      </c>
      <c r="AB126">
        <f t="shared" si="66"/>
        <v>1.0232680056743308</v>
      </c>
      <c r="AC126">
        <f t="shared" si="71"/>
        <v>7.5885924675999998</v>
      </c>
      <c r="AD126">
        <f t="shared" si="72"/>
        <v>3.4421855433033599</v>
      </c>
      <c r="AE126">
        <f t="shared" si="73"/>
        <v>1.6194464094321492E-4</v>
      </c>
      <c r="AF126">
        <f t="shared" si="74"/>
        <v>1.9388988518406825E-3</v>
      </c>
      <c r="AG126">
        <f t="shared" si="75"/>
        <v>0</v>
      </c>
      <c r="AH126">
        <f t="shared" si="76"/>
        <v>0</v>
      </c>
      <c r="AI126">
        <f t="shared" si="77"/>
        <v>3.4319524781326508E-2</v>
      </c>
      <c r="AJ126">
        <f t="shared" si="78"/>
        <v>0</v>
      </c>
      <c r="AK126">
        <f t="shared" si="79"/>
        <v>3.5505924354929295E-2</v>
      </c>
      <c r="AL126">
        <f t="shared" si="80"/>
        <v>0</v>
      </c>
      <c r="AM126">
        <v>0.5</v>
      </c>
      <c r="AN126">
        <v>0.06</v>
      </c>
      <c r="BW126" t="s">
        <v>57</v>
      </c>
      <c r="BX126">
        <v>0.99</v>
      </c>
      <c r="BY126">
        <v>0.22</v>
      </c>
      <c r="BZ126">
        <v>0.77</v>
      </c>
      <c r="CA126" s="2">
        <v>0.11</v>
      </c>
      <c r="CB126" s="2">
        <v>0.11</v>
      </c>
      <c r="CC126" s="2">
        <v>0.11</v>
      </c>
      <c r="CD126" s="2">
        <v>0.77</v>
      </c>
      <c r="CE126" s="2">
        <v>0.44</v>
      </c>
      <c r="CF126" s="2">
        <v>0.44</v>
      </c>
      <c r="CG126" s="2">
        <v>0.44</v>
      </c>
    </row>
    <row r="127" spans="11:85" x14ac:dyDescent="0.2">
      <c r="K127" t="s">
        <v>51</v>
      </c>
      <c r="L127" t="s">
        <v>54</v>
      </c>
      <c r="N127" cm="1">
        <f t="array" ref="N127:N130">_xlfn.XLOOKUP(K127, $BX$46:$CG$46, $BX$47:$CG$50)</f>
        <v>380</v>
      </c>
      <c r="O127" cm="1">
        <f t="array" ref="O127:O130">_xlfn.XLOOKUP(K127, $BX$106:$CG$106, $BX$107:$CG$110)</f>
        <v>0.4</v>
      </c>
      <c r="P127" cm="1">
        <f t="array" ref="P127">_xlfn.XLOOKUP(K$47,$BX$169:$CG$169,_xlfn.XLOOKUP($D$11,$BW$170:$BW$176,$BX$170:$CG$176))</f>
        <v>600</v>
      </c>
      <c r="Q127">
        <f t="shared" si="84"/>
        <v>0.6333333333333333</v>
      </c>
      <c r="V127">
        <v>1</v>
      </c>
      <c r="W127">
        <v>0</v>
      </c>
      <c r="X127">
        <v>0</v>
      </c>
      <c r="Y127">
        <f t="shared" si="68"/>
        <v>0</v>
      </c>
      <c r="Z127">
        <f t="shared" si="69"/>
        <v>7.785000000000001</v>
      </c>
      <c r="AA127">
        <f t="shared" si="70"/>
        <v>5.9536831562818603E-3</v>
      </c>
      <c r="AB127">
        <f t="shared" si="66"/>
        <v>1.101888665936833</v>
      </c>
      <c r="AC127">
        <f t="shared" si="71"/>
        <v>7.0796437775999967</v>
      </c>
      <c r="AD127">
        <f t="shared" si="72"/>
        <v>2.9139813788601581</v>
      </c>
      <c r="AE127">
        <f t="shared" si="73"/>
        <v>1.37094198490489E-4</v>
      </c>
      <c r="AF127">
        <f t="shared" si="74"/>
        <v>1.6413743764477724E-3</v>
      </c>
      <c r="AG127">
        <f t="shared" si="75"/>
        <v>0</v>
      </c>
      <c r="AH127">
        <f t="shared" si="76"/>
        <v>0</v>
      </c>
      <c r="AI127">
        <f t="shared" si="77"/>
        <v>3.2950814352658779E-2</v>
      </c>
      <c r="AJ127">
        <f t="shared" si="78"/>
        <v>0</v>
      </c>
      <c r="AK127">
        <f t="shared" si="79"/>
        <v>3.8872729999792265E-2</v>
      </c>
      <c r="AL127">
        <f t="shared" si="80"/>
        <v>0</v>
      </c>
      <c r="AM127" cm="1">
        <f t="array" ref="AM127:AM130">_xlfn.XLOOKUP(G$91,$BV$17:$CD$17,$BV$18:$CD$21)</f>
        <v>0.55000000000000004</v>
      </c>
      <c r="AN127" cm="1">
        <f t="array" ref="AN127:AN130">_xlfn.XLOOKUP(G$91,$BV$29:$CD$29,$BV$30:$CD$33)</f>
        <v>7.0000000000000007E-2</v>
      </c>
      <c r="BU127" t="s">
        <v>65</v>
      </c>
      <c r="BV127" t="s">
        <v>63</v>
      </c>
      <c r="BW127" t="s">
        <v>54</v>
      </c>
      <c r="BX127">
        <v>0.7</v>
      </c>
      <c r="BY127">
        <v>-0.55000000000000004</v>
      </c>
      <c r="BZ127">
        <v>0.7</v>
      </c>
      <c r="CA127" s="2">
        <v>0.22</v>
      </c>
      <c r="CB127" s="2">
        <v>-0.22</v>
      </c>
      <c r="CC127" s="2">
        <v>-0.22</v>
      </c>
      <c r="CD127" s="2">
        <v>0.7</v>
      </c>
      <c r="CE127" s="2">
        <v>-0.22</v>
      </c>
      <c r="CF127" s="2">
        <v>-0.22</v>
      </c>
      <c r="CG127" s="2">
        <v>-0.22</v>
      </c>
    </row>
    <row r="128" spans="11:85" x14ac:dyDescent="0.2">
      <c r="L128" t="s">
        <v>55</v>
      </c>
      <c r="N128">
        <v>420</v>
      </c>
      <c r="O128">
        <v>0.4</v>
      </c>
      <c r="P128" cm="1">
        <f t="array" ref="P128">_xlfn.XLOOKUP(K$47,$BX$169:$CG$169,_xlfn.XLOOKUP($D$11,$BW$170:$BW$176,$BX$170:$CG$176))</f>
        <v>600</v>
      </c>
      <c r="Q128">
        <f t="shared" si="84"/>
        <v>0.7</v>
      </c>
      <c r="V128">
        <v>1</v>
      </c>
      <c r="W128">
        <v>0</v>
      </c>
      <c r="X128">
        <v>0</v>
      </c>
      <c r="Y128">
        <f t="shared" si="68"/>
        <v>0</v>
      </c>
      <c r="Z128">
        <f t="shared" si="69"/>
        <v>9.3889999999999993</v>
      </c>
      <c r="AA128">
        <f t="shared" si="70"/>
        <v>5.4689366245148753E-3</v>
      </c>
      <c r="AB128">
        <f t="shared" si="66"/>
        <v>1.0979922441560788</v>
      </c>
      <c r="AC128">
        <f t="shared" si="71"/>
        <v>7.6129639056</v>
      </c>
      <c r="AD128">
        <f t="shared" si="72"/>
        <v>2.49400697547456</v>
      </c>
      <c r="AE128">
        <f t="shared" si="73"/>
        <v>1.1733564593543065E-4</v>
      </c>
      <c r="AF128">
        <f t="shared" si="74"/>
        <v>1.4048130759940598E-3</v>
      </c>
      <c r="AG128">
        <f t="shared" si="75"/>
        <v>0</v>
      </c>
      <c r="AH128">
        <f t="shared" si="76"/>
        <v>0</v>
      </c>
      <c r="AI128">
        <f t="shared" si="77"/>
        <v>3.9997610985095973E-2</v>
      </c>
      <c r="AJ128">
        <f t="shared" si="78"/>
        <v>0</v>
      </c>
      <c r="AK128">
        <f t="shared" si="79"/>
        <v>0.11125023905023224</v>
      </c>
      <c r="AL128">
        <f t="shared" si="80"/>
        <v>0</v>
      </c>
      <c r="AM128">
        <v>0.65</v>
      </c>
      <c r="AN128">
        <v>0.13</v>
      </c>
      <c r="BW128" t="s">
        <v>55</v>
      </c>
      <c r="BX128">
        <v>0.77</v>
      </c>
      <c r="BY128">
        <v>0.55000000000000004</v>
      </c>
      <c r="BZ128">
        <v>0.77</v>
      </c>
      <c r="CA128" s="2">
        <v>0.66</v>
      </c>
      <c r="CB128" s="2">
        <v>0.55000000000000004</v>
      </c>
      <c r="CC128" s="2">
        <v>0.55000000000000004</v>
      </c>
      <c r="CD128" s="2">
        <v>0.77</v>
      </c>
      <c r="CE128" s="2">
        <v>0.33</v>
      </c>
      <c r="CF128" s="2">
        <v>0.33</v>
      </c>
      <c r="CG128" s="2">
        <v>0.33</v>
      </c>
    </row>
    <row r="129" spans="1:85" x14ac:dyDescent="0.2">
      <c r="L129" t="s">
        <v>56</v>
      </c>
      <c r="N129">
        <v>450</v>
      </c>
      <c r="O129">
        <v>0.3</v>
      </c>
      <c r="P129" cm="1">
        <f t="array" ref="P129">_xlfn.XLOOKUP(K$47,$BX$169:$CG$169,_xlfn.XLOOKUP($D$11,$BW$170:$BW$176,$BX$170:$CG$176))</f>
        <v>600</v>
      </c>
      <c r="Q129">
        <f t="shared" si="84"/>
        <v>0.75</v>
      </c>
      <c r="V129">
        <v>1</v>
      </c>
      <c r="W129">
        <v>0</v>
      </c>
      <c r="X129">
        <v>0</v>
      </c>
      <c r="Y129">
        <f t="shared" si="68"/>
        <v>0</v>
      </c>
      <c r="Z129">
        <f t="shared" si="69"/>
        <v>8.5869999999999997</v>
      </c>
      <c r="AA129">
        <f t="shared" si="70"/>
        <v>3.8897983284177057E-3</v>
      </c>
      <c r="AB129">
        <f t="shared" si="66"/>
        <v>1.0711847727263619</v>
      </c>
      <c r="AC129">
        <f t="shared" si="71"/>
        <v>7.8176159999999992</v>
      </c>
      <c r="AD129">
        <f t="shared" si="72"/>
        <v>2.8893908736</v>
      </c>
      <c r="AE129">
        <f t="shared" si="73"/>
        <v>1.3593728800589413E-4</v>
      </c>
      <c r="AF129">
        <f t="shared" si="74"/>
        <v>1.627523146810294E-3</v>
      </c>
      <c r="AG129">
        <f t="shared" si="75"/>
        <v>0</v>
      </c>
      <c r="AH129">
        <f t="shared" si="76"/>
        <v>0</v>
      </c>
      <c r="AI129">
        <f t="shared" si="77"/>
        <v>3.9292063490764792E-2</v>
      </c>
      <c r="AJ129">
        <f t="shared" si="78"/>
        <v>0</v>
      </c>
      <c r="AK129">
        <f t="shared" si="79"/>
        <v>8.0180415495995347E-2</v>
      </c>
      <c r="AL129">
        <f t="shared" si="80"/>
        <v>0</v>
      </c>
      <c r="AM129">
        <v>0.6</v>
      </c>
      <c r="AN129">
        <v>0.1</v>
      </c>
      <c r="BW129" t="s">
        <v>56</v>
      </c>
      <c r="BX129">
        <v>0.88</v>
      </c>
      <c r="BY129">
        <v>0.55000000000000004</v>
      </c>
      <c r="BZ129">
        <v>0.88</v>
      </c>
      <c r="CA129" s="2">
        <v>0.22</v>
      </c>
      <c r="CB129" s="2">
        <v>0.22</v>
      </c>
      <c r="CC129" s="2">
        <v>0.22</v>
      </c>
      <c r="CD129" s="2">
        <v>0.88</v>
      </c>
      <c r="CE129" s="2">
        <v>0.22</v>
      </c>
      <c r="CF129" s="2">
        <v>0.22</v>
      </c>
      <c r="CG129" s="2">
        <v>0.22</v>
      </c>
    </row>
    <row r="130" spans="1:85" x14ac:dyDescent="0.2">
      <c r="L130" t="s">
        <v>57</v>
      </c>
      <c r="N130">
        <v>460</v>
      </c>
      <c r="O130">
        <v>0.1</v>
      </c>
      <c r="P130" cm="1">
        <f t="array" ref="P130">_xlfn.XLOOKUP(K$47,$BX$169:$CG$169,_xlfn.XLOOKUP($D$11,$BW$170:$BW$176,$BX$170:$CG$176))</f>
        <v>600</v>
      </c>
      <c r="Q130">
        <f t="shared" si="84"/>
        <v>0.76666666666666672</v>
      </c>
      <c r="V130">
        <v>1</v>
      </c>
      <c r="W130">
        <v>0</v>
      </c>
      <c r="X130">
        <v>0</v>
      </c>
      <c r="Y130">
        <f t="shared" si="68"/>
        <v>0</v>
      </c>
      <c r="Z130">
        <f t="shared" si="69"/>
        <v>6.9829999999999997</v>
      </c>
      <c r="AA130">
        <f t="shared" si="70"/>
        <v>1.2768791052116398E-3</v>
      </c>
      <c r="AB130">
        <f t="shared" si="66"/>
        <v>1.0232680056743308</v>
      </c>
      <c r="AC130">
        <f t="shared" si="71"/>
        <v>7.5885924675999998</v>
      </c>
      <c r="AD130">
        <f t="shared" si="72"/>
        <v>3.4421855433033599</v>
      </c>
      <c r="AE130">
        <f t="shared" si="73"/>
        <v>1.6194464094321492E-4</v>
      </c>
      <c r="AF130">
        <f t="shared" si="74"/>
        <v>1.9388988518406825E-3</v>
      </c>
      <c r="AG130">
        <f t="shared" si="75"/>
        <v>0</v>
      </c>
      <c r="AH130">
        <f t="shared" si="76"/>
        <v>0</v>
      </c>
      <c r="AI130">
        <f t="shared" si="77"/>
        <v>3.4319524781326508E-2</v>
      </c>
      <c r="AJ130">
        <f t="shared" si="78"/>
        <v>0</v>
      </c>
      <c r="AK130">
        <f t="shared" si="79"/>
        <v>3.5505924354929295E-2</v>
      </c>
      <c r="AL130">
        <f t="shared" si="80"/>
        <v>0</v>
      </c>
      <c r="AM130">
        <v>0.5</v>
      </c>
      <c r="AN130">
        <v>0.06</v>
      </c>
      <c r="BW130" t="s">
        <v>57</v>
      </c>
      <c r="BX130">
        <v>0.22</v>
      </c>
      <c r="BY130">
        <v>-0.55000000000000004</v>
      </c>
      <c r="BZ130">
        <v>0.22</v>
      </c>
      <c r="CA130" s="5">
        <v>0.11</v>
      </c>
      <c r="CB130" s="5">
        <v>-0.22</v>
      </c>
      <c r="CC130" s="5">
        <v>-0.22</v>
      </c>
      <c r="CD130" s="5">
        <v>0.22</v>
      </c>
      <c r="CE130" s="5">
        <v>-0.33</v>
      </c>
      <c r="CF130" s="5">
        <v>-0.33</v>
      </c>
      <c r="CG130" s="5">
        <v>-0.33</v>
      </c>
    </row>
    <row r="131" spans="1:85" x14ac:dyDescent="0.2">
      <c r="BU131" t="s">
        <v>65</v>
      </c>
      <c r="BV131" t="s">
        <v>71</v>
      </c>
      <c r="BW131" t="s">
        <v>54</v>
      </c>
      <c r="BX131">
        <v>0.22</v>
      </c>
      <c r="BY131">
        <v>-0.55000000000000004</v>
      </c>
      <c r="BZ131">
        <v>0.33</v>
      </c>
      <c r="CA131" s="5">
        <v>0.22</v>
      </c>
      <c r="CB131" s="5">
        <v>-0.33</v>
      </c>
      <c r="CC131" s="5">
        <v>-0.33</v>
      </c>
      <c r="CD131" s="5">
        <v>0.22</v>
      </c>
      <c r="CE131" s="5">
        <v>-0.55000000000000004</v>
      </c>
      <c r="CF131" s="5">
        <v>-0.55000000000000004</v>
      </c>
      <c r="CG131" s="5">
        <v>-0.55000000000000004</v>
      </c>
    </row>
    <row r="132" spans="1:85" x14ac:dyDescent="0.2">
      <c r="BW132" t="s">
        <v>55</v>
      </c>
      <c r="BX132">
        <v>0.8</v>
      </c>
      <c r="BY132">
        <v>0.55000000000000004</v>
      </c>
      <c r="BZ132">
        <v>0.7</v>
      </c>
      <c r="CA132" s="5">
        <v>0.44</v>
      </c>
      <c r="CB132" s="5">
        <v>0.66</v>
      </c>
      <c r="CC132" s="5">
        <v>0.66</v>
      </c>
      <c r="CD132" s="5">
        <v>0.8</v>
      </c>
      <c r="CE132" s="5">
        <v>0.55000000000000004</v>
      </c>
      <c r="CF132" s="5">
        <v>0.55000000000000004</v>
      </c>
      <c r="CG132" s="5">
        <v>0.55000000000000004</v>
      </c>
    </row>
    <row r="133" spans="1:85" x14ac:dyDescent="0.2">
      <c r="D133" t="s">
        <v>141</v>
      </c>
      <c r="BW133" t="s">
        <v>56</v>
      </c>
      <c r="BX133">
        <v>0.66</v>
      </c>
      <c r="BY133">
        <v>0.55000000000000004</v>
      </c>
      <c r="BZ133">
        <v>0.55000000000000004</v>
      </c>
      <c r="CA133" s="5">
        <v>0.55000000000000004</v>
      </c>
      <c r="CB133" s="5">
        <v>0.11</v>
      </c>
      <c r="CC133" s="5">
        <v>0.11</v>
      </c>
      <c r="CD133" s="5">
        <v>0.66</v>
      </c>
      <c r="CE133" s="5">
        <v>0.55000000000000004</v>
      </c>
      <c r="CF133" s="5">
        <v>0.55000000000000004</v>
      </c>
      <c r="CG133" s="5">
        <v>0.55000000000000004</v>
      </c>
    </row>
    <row r="134" spans="1:85" x14ac:dyDescent="0.2">
      <c r="BW134" t="s">
        <v>57</v>
      </c>
      <c r="BX134">
        <v>0.33</v>
      </c>
      <c r="BY134">
        <v>-0.55000000000000004</v>
      </c>
      <c r="BZ134">
        <v>0.11</v>
      </c>
      <c r="CA134" s="5">
        <v>0.11</v>
      </c>
      <c r="CB134" s="5">
        <v>-0.44</v>
      </c>
      <c r="CC134" s="5">
        <v>-0.44</v>
      </c>
      <c r="CD134" s="5">
        <v>0.33</v>
      </c>
      <c r="CE134" s="5">
        <v>-0.55000000000000004</v>
      </c>
      <c r="CF134" s="5">
        <v>-0.55000000000000004</v>
      </c>
      <c r="CG134" s="5">
        <v>-0.55000000000000004</v>
      </c>
    </row>
    <row r="135" spans="1:85" x14ac:dyDescent="0.2">
      <c r="BU135" t="s">
        <v>73</v>
      </c>
      <c r="BV135" t="s">
        <v>74</v>
      </c>
      <c r="BW135" t="s">
        <v>54</v>
      </c>
      <c r="BX135">
        <v>0.22</v>
      </c>
      <c r="BY135">
        <v>-0.23</v>
      </c>
      <c r="BZ135">
        <v>0.25</v>
      </c>
      <c r="CA135" s="5">
        <v>0.17</v>
      </c>
      <c r="CB135" s="5">
        <v>0.18</v>
      </c>
      <c r="CC135" s="5">
        <v>-0.28000000000000003</v>
      </c>
      <c r="CD135" s="5">
        <v>0.32</v>
      </c>
      <c r="CE135" s="5">
        <v>0.24</v>
      </c>
      <c r="CF135" s="5">
        <v>0.25</v>
      </c>
      <c r="CG135">
        <v>-0.05</v>
      </c>
    </row>
    <row r="136" spans="1:85" x14ac:dyDescent="0.2">
      <c r="BW136" t="s">
        <v>55</v>
      </c>
      <c r="BX136">
        <v>0.66</v>
      </c>
      <c r="BY136">
        <v>0.2</v>
      </c>
      <c r="BZ136">
        <v>0.62</v>
      </c>
      <c r="CA136" s="5">
        <v>0.54</v>
      </c>
      <c r="CB136" s="5">
        <v>0.38</v>
      </c>
      <c r="CC136" s="5">
        <v>0.27</v>
      </c>
      <c r="CD136" s="5">
        <v>0.75</v>
      </c>
      <c r="CE136" s="5">
        <v>0.64</v>
      </c>
      <c r="CF136" s="5">
        <v>0.55000000000000004</v>
      </c>
      <c r="CG136">
        <v>0.48</v>
      </c>
    </row>
    <row r="137" spans="1:85" x14ac:dyDescent="0.2">
      <c r="BW137" t="s">
        <v>56</v>
      </c>
      <c r="BX137">
        <v>0.49</v>
      </c>
      <c r="BY137">
        <v>0.13</v>
      </c>
      <c r="BZ137">
        <v>0.54</v>
      </c>
      <c r="CA137" s="5">
        <v>0.45</v>
      </c>
      <c r="CB137" s="5">
        <v>0.35</v>
      </c>
      <c r="CC137" s="5">
        <v>0.15</v>
      </c>
      <c r="CD137" s="5">
        <v>0.63</v>
      </c>
      <c r="CE137" s="5">
        <v>0.54</v>
      </c>
      <c r="CF137" s="5">
        <v>0.42</v>
      </c>
      <c r="CG137">
        <v>0.26</v>
      </c>
    </row>
    <row r="138" spans="1:85" x14ac:dyDescent="0.2">
      <c r="BW138" t="s">
        <v>57</v>
      </c>
      <c r="BX138">
        <v>0.27</v>
      </c>
      <c r="BY138">
        <v>-0.8</v>
      </c>
      <c r="BZ138">
        <v>0.22</v>
      </c>
      <c r="CA138" s="5">
        <v>0.09</v>
      </c>
      <c r="CB138" s="5">
        <v>0.12</v>
      </c>
      <c r="CC138" s="5">
        <v>0.02</v>
      </c>
      <c r="CD138" s="5">
        <v>0.25</v>
      </c>
      <c r="CE138" s="5">
        <v>0.18</v>
      </c>
      <c r="CF138" s="5">
        <v>0.12</v>
      </c>
      <c r="CG138">
        <v>0.03</v>
      </c>
    </row>
    <row r="139" spans="1:85" x14ac:dyDescent="0.2">
      <c r="BU139" t="s">
        <v>73</v>
      </c>
      <c r="BV139" t="s">
        <v>75</v>
      </c>
      <c r="BW139" t="s">
        <v>54</v>
      </c>
      <c r="BX139">
        <v>0.22</v>
      </c>
      <c r="BY139">
        <v>-0.44</v>
      </c>
      <c r="BZ139">
        <v>0.2</v>
      </c>
      <c r="CA139" s="5">
        <v>0.21</v>
      </c>
      <c r="CB139" s="5">
        <v>0.18</v>
      </c>
      <c r="CC139" s="5">
        <v>0.01</v>
      </c>
      <c r="CD139" s="5">
        <v>0.12</v>
      </c>
      <c r="CE139" s="5">
        <v>0.09</v>
      </c>
      <c r="CF139" s="5" t="s">
        <v>72</v>
      </c>
      <c r="CG139" t="s">
        <v>72</v>
      </c>
    </row>
    <row r="140" spans="1:85" x14ac:dyDescent="0.2">
      <c r="BW140" t="s">
        <v>55</v>
      </c>
      <c r="BX140">
        <v>0.66</v>
      </c>
      <c r="BY140">
        <v>0.22</v>
      </c>
      <c r="BZ140">
        <v>0.68</v>
      </c>
      <c r="CA140" s="5">
        <v>0.22</v>
      </c>
      <c r="CB140" s="5">
        <v>0.24</v>
      </c>
      <c r="CC140" s="5">
        <v>0.25</v>
      </c>
      <c r="CD140" s="5">
        <v>0.64</v>
      </c>
      <c r="CE140" s="5">
        <v>0.37</v>
      </c>
      <c r="CF140" s="5" t="s">
        <v>72</v>
      </c>
      <c r="CG140" t="s">
        <v>72</v>
      </c>
    </row>
    <row r="141" spans="1:85" x14ac:dyDescent="0.2">
      <c r="A141" t="s">
        <v>117</v>
      </c>
      <c r="B141" t="s">
        <v>99</v>
      </c>
      <c r="C141" t="s">
        <v>169</v>
      </c>
      <c r="D141" t="s">
        <v>190</v>
      </c>
      <c r="G141" t="s">
        <v>53</v>
      </c>
      <c r="H141" t="s">
        <v>180</v>
      </c>
      <c r="I141" t="s">
        <v>206</v>
      </c>
      <c r="J141" t="str">
        <f>IF(H141="Non-irrigated crop", IF(I141="high", "Non-irrigated crop (high rainfall)", "Non-irrigated crop (low rainfall)"), H141)</f>
        <v>Irrigated crop</v>
      </c>
      <c r="K141" t="s">
        <v>42</v>
      </c>
      <c r="L141" t="s">
        <v>54</v>
      </c>
      <c r="M141">
        <v>100</v>
      </c>
      <c r="N141" s="8">
        <v>80</v>
      </c>
      <c r="O141" s="8">
        <v>0.4</v>
      </c>
      <c r="P141" cm="1">
        <f t="array" ref="P141">_xlfn.XLOOKUP(K$11,$BX$169:$CG$169,_xlfn.XLOOKUP($D$11,$BW$170:$BW$176,$BX$170:$CG$176))</f>
        <v>700</v>
      </c>
      <c r="Q141">
        <f t="shared" ref="Q141:Q160" si="85">N141/P141</f>
        <v>0.11428571428571428</v>
      </c>
      <c r="T141">
        <v>0</v>
      </c>
      <c r="V141">
        <v>1</v>
      </c>
      <c r="W141">
        <f>VLOOKUP($G$141, $CL$17:$CN$25, 2, FALSE)</f>
        <v>6</v>
      </c>
      <c r="X141">
        <v>0</v>
      </c>
      <c r="Y141">
        <f>T141*X141</f>
        <v>0</v>
      </c>
      <c r="Z141">
        <f>0.1604 * ($AM141*100) - 1.037</f>
        <v>8.5869999999999997</v>
      </c>
      <c r="AA141">
        <f>(0.032 * Y141 /6.38) + ((0.212 - 0.008 * (AB141 - 2) - ((0.14 - 0.008 * (AB141 - 2)) / (1 + EXP(-6 * (Q141 - 0.4))))) * (O141 * 0.92)) / 6.25</f>
        <v>1.1555353659145132E-2</v>
      </c>
      <c r="AB141">
        <f t="shared" ref="AB141" si="86">AC141 / ((1.185 + 0.00454 * N141 - 0.0000026 * N141 ^ 2 ) ^ 2 * V141)</f>
        <v>1.1713063160658626</v>
      </c>
      <c r="AC141">
        <f>(1.185 + 0.00454 * N141 - 0.0000026 * N141^2 + 0.315 * O141)^2 * V141</f>
        <v>2.7475051536000006</v>
      </c>
      <c r="AD141">
        <f>(AC141 * (1 -AM141) + (0.04 * AC141)) * ( 1 - AV$11 )</f>
        <v>1.0154779047705602</v>
      </c>
      <c r="AE141">
        <f>AD141 * AT$141 * AP$141 * AR$141 * AU$141</f>
        <v>0</v>
      </c>
      <c r="AF141">
        <f>AD141 * AT$141 * AQ$141 * AS$141 * AU$141</f>
        <v>6.0209878406120823E-4</v>
      </c>
      <c r="AG141">
        <f t="shared" ref="AG141" si="87">M141*AE141*91.25</f>
        <v>0</v>
      </c>
      <c r="AH141">
        <f t="shared" ref="AH141" si="88">M141*AF141*91.25</f>
        <v>5.4941514045585258</v>
      </c>
      <c r="AI141">
        <f>((0.3 * AC141 * $AN141 * (1 - ($AM141 + 0.1)) + (0.105 * $Z141 * $AC141 * 0.008) + (0.0152 * $AC141)) / 6.25) + (0.08 * 0.032 * $W141 / 6.38)</f>
        <v>1.4238535670851643E-2</v>
      </c>
      <c r="AJ141">
        <f>M141*AI141*91.25</f>
        <v>129.92663799652126</v>
      </c>
      <c r="AK141">
        <f>(AC141 * $AN141 / 6.25) + (0.032 * W141 / 6.38) - AA141 - AI141 - ((1.1 * (10 ^ -4) * (N141 ^ 0.75)) / 6.25)</f>
        <v>2.5809402611247166E-2</v>
      </c>
      <c r="AL141">
        <f>M141*AK141*91.25</f>
        <v>235.5107988276304</v>
      </c>
      <c r="AM141" s="8">
        <v>0.6</v>
      </c>
      <c r="AN141" s="8">
        <v>0.05</v>
      </c>
      <c r="AO141" s="8" t="s">
        <v>115</v>
      </c>
      <c r="AP141">
        <f>IF(AO141="yes", $BV$6, $BW$6)</f>
        <v>0</v>
      </c>
      <c r="AQ141">
        <f>IF(AO141="yes", $BV$7, $BW$7)</f>
        <v>1</v>
      </c>
      <c r="AR141">
        <f>VLOOKUP(B141, $CH$17:$CI$26, 2, FALSE)</f>
        <v>7.3000000000000001E-3</v>
      </c>
      <c r="AS141">
        <f>$CI$14</f>
        <v>4.5999999999999999E-3</v>
      </c>
      <c r="AT141">
        <f>$CA$5</f>
        <v>0.19</v>
      </c>
      <c r="AU141">
        <f>$CA$6</f>
        <v>0.6784</v>
      </c>
      <c r="AV141">
        <f>$CA$7</f>
        <v>0.16</v>
      </c>
      <c r="AW141">
        <f>SUM(AG141:AH180)</f>
        <v>587.17258792545908</v>
      </c>
      <c r="AX141">
        <f>SUM(AJ141:AJ180)</f>
        <v>10754.976949205649</v>
      </c>
      <c r="AY141">
        <f>IF(C141="wet",$CD$5,$CD$6)</f>
        <v>6.0000000000000001E-3</v>
      </c>
      <c r="AZ141">
        <f>$CD$7</f>
        <v>1.5714285714285714</v>
      </c>
      <c r="BA141">
        <f>$CD$8</f>
        <v>265</v>
      </c>
      <c r="BB141">
        <f>SUM(AL141:AL180)</f>
        <v>14269.286736573606</v>
      </c>
      <c r="BC141">
        <f>((AX141 * AY141 * AZ141) + (BB141 * AY141 * AZ141))  * (10^-3)</f>
        <v>0.23594305760877585</v>
      </c>
      <c r="BD141">
        <f>$CA$8</f>
        <v>28</v>
      </c>
      <c r="BE141">
        <f>$CD$9</f>
        <v>0.21</v>
      </c>
      <c r="BF141">
        <f>(AX141+BB141)*BE141</f>
        <v>5255.0953740136429</v>
      </c>
      <c r="BG141">
        <f>VLOOKUP(J141, $CH$29:$CI$33,2,FALSE)</f>
        <v>7.0000000000000001E-3</v>
      </c>
      <c r="BH141">
        <f>BF141*BG141*AZ141*(10^-3)</f>
        <v>5.780604911415007E-2</v>
      </c>
      <c r="BI141">
        <f>$CA$9</f>
        <v>1.0999999999999999E-2</v>
      </c>
      <c r="BJ141">
        <f>VLOOKUP(D141, $CL$29:$CM$46, 2, FALSE)</f>
        <v>0.87</v>
      </c>
      <c r="BK141">
        <f>$CG$4</f>
        <v>0.24</v>
      </c>
      <c r="BL141">
        <f>(BB141+AX141)*BJ141*BK141</f>
        <v>5225.0662575907081</v>
      </c>
      <c r="BM141">
        <f>BL141*BI141*AZ141*(10^-3)</f>
        <v>9.0319002452639366E-2</v>
      </c>
      <c r="BN141">
        <f>BC141+BH141+BM141</f>
        <v>0.38406810917556528</v>
      </c>
      <c r="BO141">
        <f>AW141 * BD141 * 10^-3</f>
        <v>16.440832461912855</v>
      </c>
      <c r="BW141" t="s">
        <v>56</v>
      </c>
      <c r="BX141">
        <v>0.49</v>
      </c>
      <c r="BY141">
        <v>0.05</v>
      </c>
      <c r="BZ141">
        <v>0.64</v>
      </c>
      <c r="CA141" s="5">
        <v>0.25</v>
      </c>
      <c r="CB141" s="5">
        <v>0.28999999999999998</v>
      </c>
      <c r="CC141" s="5">
        <v>0.12</v>
      </c>
      <c r="CD141" s="5">
        <v>0.56999999999999995</v>
      </c>
      <c r="CE141" s="5">
        <v>0.49</v>
      </c>
      <c r="CF141" s="5" t="s">
        <v>72</v>
      </c>
      <c r="CG141" t="s">
        <v>72</v>
      </c>
    </row>
    <row r="142" spans="1:85" x14ac:dyDescent="0.2">
      <c r="L142" t="s">
        <v>55</v>
      </c>
      <c r="M142">
        <v>110</v>
      </c>
      <c r="N142" s="8">
        <v>90</v>
      </c>
      <c r="O142" s="8">
        <v>0.4</v>
      </c>
      <c r="P142" cm="1">
        <f t="array" ref="P142">_xlfn.XLOOKUP(K$11,$BX$169:$CG$169,_xlfn.XLOOKUP($D$11,$BW$170:$BW$176,$BX$170:$CG$176))</f>
        <v>700</v>
      </c>
      <c r="Q142">
        <f t="shared" si="85"/>
        <v>0.12857142857142856</v>
      </c>
      <c r="V142">
        <v>1</v>
      </c>
      <c r="W142">
        <f>VLOOKUP($G$141, $CL$17:$CN$25, 3, FALSE)</f>
        <v>4</v>
      </c>
      <c r="X142">
        <v>0</v>
      </c>
      <c r="Y142">
        <f t="shared" ref="Y142:Y180" si="89">T142*X142</f>
        <v>0</v>
      </c>
      <c r="Z142">
        <f t="shared" ref="Z142:Z180" si="90">0.1604 * ($AM142*100) - 1.037</f>
        <v>6.9829999999999997</v>
      </c>
      <c r="AA142">
        <f t="shared" ref="AA142:AA180" si="91">(0.032 * Y142 /6.38) + ((0.212 - 0.008 * (AB142 - 2) - ((0.14 - 0.008 * (AB142 - 2)) / (1 + EXP(-6 * (Q142 - 0.4))))) * (O142 * 0.92)) / 6.25</f>
        <v>1.1458605752981877E-2</v>
      </c>
      <c r="AB142">
        <f t="shared" ref="AB142:AB180" si="92">AC142 / ((1.185 + 0.00454 * N142 - 0.0000026 * N142 ^ 2 ) ^ 2 * V142)</f>
        <v>1.166670335017931</v>
      </c>
      <c r="AC142">
        <f t="shared" ref="AC142:AC180" si="93">(1.185 + 0.00454 * N142 - 0.0000026 * N142^2 + 0.315 * O142)^2 * V142</f>
        <v>2.8850381316</v>
      </c>
      <c r="AD142">
        <f t="shared" ref="AD142:AD180" si="94">(AC142 * (1 -AM142) + (0.04 * AC142)) * ( 1 - AV$11 )</f>
        <v>1.3086532964937598</v>
      </c>
      <c r="AE142">
        <f t="shared" ref="AE142:AE180" si="95">AD142 * AT$141 * AP$141 * AR$141 * AU$141</f>
        <v>0</v>
      </c>
      <c r="AF142">
        <f t="shared" ref="AF142:AF180" si="96">AD142 * AT$141 * AQ$141 * AS$141 * AU$141</f>
        <v>7.7592880640235445E-4</v>
      </c>
      <c r="AG142">
        <f t="shared" ref="AG142:AG180" si="97">M142*AE142*91.25</f>
        <v>0</v>
      </c>
      <c r="AH142">
        <f t="shared" ref="AH142:AH180" si="98">M142*AF142*91.25</f>
        <v>7.7883853942636332</v>
      </c>
      <c r="AI142">
        <f t="shared" ref="AI142:AI180" si="99">((0.3 * AC142 * $AN142 * (1 - ($AM142 + 0.1)) + (0.105 * $Z142 * $AC142 * 0.008) + (0.0152 * $AC142)) / 6.25) + (0.08 * 0.032 * $W142 / 6.38)</f>
        <v>1.5206571797988993E-2</v>
      </c>
      <c r="AJ142">
        <f t="shared" ref="AJ142:AJ180" si="100">M142*AI142*91.25</f>
        <v>152.63596442231452</v>
      </c>
      <c r="AK142">
        <f t="shared" ref="AK142:AK180" si="101">(AC142 * $AN142 / 6.25) + (0.032 * W142 / 6.38) - AA142 - AI142 - ((1.1 * (10 ^ -4) * (N142 ^ 0.75)) / 6.25)</f>
        <v>2.5195671469601472E-2</v>
      </c>
      <c r="AL142">
        <f t="shared" ref="AL142:AL180" si="102">M142*AK142*91.25</f>
        <v>252.90155237612476</v>
      </c>
      <c r="AM142">
        <v>0.5</v>
      </c>
      <c r="AN142">
        <v>7.0000000000000007E-2</v>
      </c>
      <c r="BW142" t="s">
        <v>57</v>
      </c>
      <c r="BX142">
        <v>0.27</v>
      </c>
      <c r="BY142">
        <v>-0.27</v>
      </c>
      <c r="BZ142">
        <v>0.31</v>
      </c>
      <c r="CA142" s="5">
        <v>0.28999999999999998</v>
      </c>
      <c r="CB142" s="5">
        <v>0.19</v>
      </c>
      <c r="CC142" s="5">
        <v>0.04</v>
      </c>
      <c r="CD142" s="5">
        <v>0.26</v>
      </c>
      <c r="CE142" s="5">
        <v>0.28000000000000003</v>
      </c>
      <c r="CF142" s="5" t="s">
        <v>72</v>
      </c>
      <c r="CG142" t="s">
        <v>72</v>
      </c>
    </row>
    <row r="143" spans="1:85" x14ac:dyDescent="0.2">
      <c r="L143" t="s">
        <v>56</v>
      </c>
      <c r="M143">
        <v>120</v>
      </c>
      <c r="N143" s="8">
        <v>100</v>
      </c>
      <c r="O143" s="8">
        <v>0.5</v>
      </c>
      <c r="P143" cm="1">
        <f t="array" ref="P143">_xlfn.XLOOKUP(K$11,$BX$169:$CG$169,_xlfn.XLOOKUP($D$11,$BW$170:$BW$176,$BX$170:$CG$176))</f>
        <v>700</v>
      </c>
      <c r="Q143">
        <f t="shared" si="85"/>
        <v>0.14285714285714285</v>
      </c>
      <c r="V143">
        <v>1</v>
      </c>
      <c r="W143">
        <v>0</v>
      </c>
      <c r="X143">
        <v>0</v>
      </c>
      <c r="Y143">
        <f t="shared" si="89"/>
        <v>0</v>
      </c>
      <c r="Z143">
        <f t="shared" si="90"/>
        <v>5.3789999999999996</v>
      </c>
      <c r="AA143">
        <f t="shared" si="91"/>
        <v>1.4174197096460773E-2</v>
      </c>
      <c r="AB143">
        <f t="shared" si="92"/>
        <v>1.204822661043313</v>
      </c>
      <c r="AC143">
        <f t="shared" si="93"/>
        <v>3.1346702499999997</v>
      </c>
      <c r="AD143">
        <f t="shared" si="94"/>
        <v>1.6851987263999997</v>
      </c>
      <c r="AE143">
        <f t="shared" si="95"/>
        <v>0</v>
      </c>
      <c r="AF143">
        <f t="shared" si="96"/>
        <v>9.9919072517505028E-4</v>
      </c>
      <c r="AG143">
        <f t="shared" si="97"/>
        <v>0</v>
      </c>
      <c r="AH143">
        <f t="shared" si="98"/>
        <v>10.9411384406668</v>
      </c>
      <c r="AI143">
        <f t="shared" si="99"/>
        <v>1.7412897635326399E-2</v>
      </c>
      <c r="AJ143">
        <f t="shared" si="100"/>
        <v>190.67122910682409</v>
      </c>
      <c r="AK143">
        <f t="shared" si="101"/>
        <v>1.8011068400023193E-2</v>
      </c>
      <c r="AL143">
        <f t="shared" si="102"/>
        <v>197.22119898025397</v>
      </c>
      <c r="AM143">
        <v>0.4</v>
      </c>
      <c r="AN143">
        <v>0.1</v>
      </c>
      <c r="BU143" t="s">
        <v>73</v>
      </c>
      <c r="BV143" t="s">
        <v>76</v>
      </c>
      <c r="BW143" t="s">
        <v>54</v>
      </c>
      <c r="BX143">
        <v>0.22</v>
      </c>
      <c r="BY143">
        <v>-0.44</v>
      </c>
      <c r="BZ143">
        <v>0</v>
      </c>
      <c r="CA143" s="5">
        <v>0.15</v>
      </c>
      <c r="CB143" s="5">
        <v>0.08</v>
      </c>
      <c r="CC143" s="5">
        <v>0.17</v>
      </c>
      <c r="CD143" s="5">
        <v>0.06</v>
      </c>
      <c r="CE143" s="5">
        <v>0.02</v>
      </c>
      <c r="CF143" s="5">
        <v>-0.14000000000000001</v>
      </c>
      <c r="CG143" t="s">
        <v>72</v>
      </c>
    </row>
    <row r="144" spans="1:85" x14ac:dyDescent="0.2">
      <c r="L144" t="s">
        <v>57</v>
      </c>
      <c r="M144">
        <v>130</v>
      </c>
      <c r="N144" s="8">
        <v>110</v>
      </c>
      <c r="O144" s="8">
        <v>0.8</v>
      </c>
      <c r="P144" cm="1">
        <f t="array" ref="P144">_xlfn.XLOOKUP(K$11,$BX$169:$CG$169,_xlfn.XLOOKUP($D$11,$BW$170:$BW$176,$BX$170:$CG$176))</f>
        <v>700</v>
      </c>
      <c r="Q144">
        <f t="shared" si="85"/>
        <v>0.15714285714285714</v>
      </c>
      <c r="V144">
        <v>1</v>
      </c>
      <c r="W144">
        <v>0</v>
      </c>
      <c r="X144">
        <v>0</v>
      </c>
      <c r="Y144">
        <f t="shared" si="89"/>
        <v>0</v>
      </c>
      <c r="Z144">
        <f t="shared" si="90"/>
        <v>3.7749999999999995</v>
      </c>
      <c r="AA144">
        <f t="shared" si="91"/>
        <v>2.2364130185211158E-2</v>
      </c>
      <c r="AB144">
        <f t="shared" si="92"/>
        <v>1.328153966496026</v>
      </c>
      <c r="AC144">
        <f t="shared" si="93"/>
        <v>3.6287964036000004</v>
      </c>
      <c r="AD144">
        <f t="shared" si="94"/>
        <v>2.2556598444777598</v>
      </c>
      <c r="AE144">
        <f t="shared" si="95"/>
        <v>0</v>
      </c>
      <c r="AF144">
        <f t="shared" si="96"/>
        <v>1.3374294440435044E-3</v>
      </c>
      <c r="AG144">
        <f t="shared" si="97"/>
        <v>0</v>
      </c>
      <c r="AH144">
        <f t="shared" si="98"/>
        <v>15.865256779966071</v>
      </c>
      <c r="AI144">
        <f t="shared" si="99"/>
        <v>2.4252552731964094E-2</v>
      </c>
      <c r="AJ144">
        <f t="shared" si="100"/>
        <v>287.69590678292406</v>
      </c>
      <c r="AK144">
        <f t="shared" si="101"/>
        <v>2.826448052821743E-2</v>
      </c>
      <c r="AL144">
        <f t="shared" si="102"/>
        <v>335.28740026597927</v>
      </c>
      <c r="AM144">
        <v>0.3</v>
      </c>
      <c r="AN144">
        <v>0.13</v>
      </c>
      <c r="BW144" t="s">
        <v>55</v>
      </c>
      <c r="BX144">
        <v>0.66</v>
      </c>
      <c r="BY144">
        <v>0.22</v>
      </c>
      <c r="BZ144">
        <v>0.79</v>
      </c>
      <c r="CA144" s="5">
        <v>0.4</v>
      </c>
      <c r="CB144" s="5">
        <v>0.38</v>
      </c>
      <c r="CC144" s="5">
        <v>0.27</v>
      </c>
      <c r="CD144" s="5">
        <v>0.8</v>
      </c>
      <c r="CE144" s="5">
        <v>0.16</v>
      </c>
      <c r="CF144" s="5">
        <v>0.3</v>
      </c>
      <c r="CG144" t="s">
        <v>72</v>
      </c>
    </row>
    <row r="145" spans="11:94" x14ac:dyDescent="0.2">
      <c r="K145" t="s">
        <v>43</v>
      </c>
      <c r="L145" t="s">
        <v>54</v>
      </c>
      <c r="M145">
        <v>50</v>
      </c>
      <c r="N145" s="8">
        <v>470</v>
      </c>
      <c r="O145" s="8">
        <v>0.1</v>
      </c>
      <c r="P145" cm="1">
        <f t="array" ref="P145">_xlfn.XLOOKUP(K$15,$BX$169:$CG$169,_xlfn.XLOOKUP($D$11,$BW$170:$BW$176,$BX$170:$CG$176))</f>
        <v>700</v>
      </c>
      <c r="Q145">
        <f t="shared" si="85"/>
        <v>0.67142857142857137</v>
      </c>
      <c r="V145">
        <v>1</v>
      </c>
      <c r="W145">
        <v>0</v>
      </c>
      <c r="X145">
        <v>0</v>
      </c>
      <c r="Y145">
        <f t="shared" si="89"/>
        <v>0</v>
      </c>
      <c r="Z145">
        <f t="shared" si="90"/>
        <v>8.5869999999999997</v>
      </c>
      <c r="AA145">
        <f t="shared" si="91"/>
        <v>1.4167348772064425E-3</v>
      </c>
      <c r="AB145">
        <f t="shared" si="92"/>
        <v>1.0230870723325332</v>
      </c>
      <c r="AC145">
        <f t="shared" si="93"/>
        <v>7.7059539215999999</v>
      </c>
      <c r="AD145">
        <f t="shared" si="94"/>
        <v>2.8481205694233598</v>
      </c>
      <c r="AE145">
        <f t="shared" si="95"/>
        <v>0</v>
      </c>
      <c r="AF145">
        <f t="shared" si="96"/>
        <v>1.6887122050154094E-3</v>
      </c>
      <c r="AG145">
        <f t="shared" si="97"/>
        <v>0</v>
      </c>
      <c r="AH145">
        <f t="shared" si="98"/>
        <v>7.704749435382805</v>
      </c>
      <c r="AI145">
        <f t="shared" si="99"/>
        <v>3.3182552698933526E-2</v>
      </c>
      <c r="AJ145">
        <f t="shared" si="100"/>
        <v>151.3953966888842</v>
      </c>
      <c r="AK145">
        <f t="shared" si="101"/>
        <v>2.5271758509091705E-2</v>
      </c>
      <c r="AL145">
        <f t="shared" si="102"/>
        <v>115.30239819773089</v>
      </c>
      <c r="AM145" s="8">
        <v>0.6</v>
      </c>
      <c r="AN145" s="8">
        <v>0.05</v>
      </c>
      <c r="BW145" t="s">
        <v>56</v>
      </c>
      <c r="BX145">
        <v>0.49</v>
      </c>
      <c r="BY145">
        <v>0.05</v>
      </c>
      <c r="BZ145">
        <v>0.55000000000000004</v>
      </c>
      <c r="CA145" s="5">
        <v>0.38</v>
      </c>
      <c r="CB145" s="5">
        <v>0.36</v>
      </c>
      <c r="CC145" s="5">
        <v>0.06</v>
      </c>
      <c r="CD145" s="5">
        <v>0.57999999999999996</v>
      </c>
      <c r="CE145" s="5">
        <v>0.23</v>
      </c>
      <c r="CF145" s="5">
        <v>0.4</v>
      </c>
      <c r="CG145" t="s">
        <v>72</v>
      </c>
    </row>
    <row r="146" spans="11:94" x14ac:dyDescent="0.2">
      <c r="L146" t="s">
        <v>55</v>
      </c>
      <c r="M146">
        <v>55</v>
      </c>
      <c r="N146" s="8">
        <v>480</v>
      </c>
      <c r="O146" s="8">
        <v>0.2</v>
      </c>
      <c r="P146" cm="1">
        <f t="array" ref="P146">_xlfn.XLOOKUP(K$15,$BX$169:$CG$169,_xlfn.XLOOKUP($D$11,$BW$170:$BW$176,$BX$170:$CG$176))</f>
        <v>700</v>
      </c>
      <c r="Q146">
        <f>N146/P146</f>
        <v>0.68571428571428572</v>
      </c>
      <c r="V146">
        <v>1</v>
      </c>
      <c r="W146">
        <v>0</v>
      </c>
      <c r="X146">
        <v>0</v>
      </c>
      <c r="Y146">
        <f t="shared" si="89"/>
        <v>0</v>
      </c>
      <c r="Z146">
        <f t="shared" si="90"/>
        <v>6.9829999999999997</v>
      </c>
      <c r="AA146">
        <f t="shared" si="91"/>
        <v>2.7829578220966208E-3</v>
      </c>
      <c r="AB146">
        <f t="shared" si="92"/>
        <v>1.0460860709612354</v>
      </c>
      <c r="AC146">
        <f t="shared" si="93"/>
        <v>7.9984889855999999</v>
      </c>
      <c r="AD146">
        <f t="shared" si="94"/>
        <v>3.62811460386816</v>
      </c>
      <c r="AE146">
        <f t="shared" si="95"/>
        <v>0</v>
      </c>
      <c r="AF146">
        <f t="shared" si="96"/>
        <v>2.1511875159088757E-3</v>
      </c>
      <c r="AG146">
        <f t="shared" si="97"/>
        <v>0</v>
      </c>
      <c r="AH146">
        <f t="shared" si="98"/>
        <v>10.796272345467669</v>
      </c>
      <c r="AI146">
        <f t="shared" si="99"/>
        <v>3.7708997899643784E-2</v>
      </c>
      <c r="AJ146">
        <f t="shared" si="100"/>
        <v>189.25203320883722</v>
      </c>
      <c r="AK146">
        <f t="shared" si="101"/>
        <v>4.7286260601961914E-2</v>
      </c>
      <c r="AL146">
        <f t="shared" si="102"/>
        <v>237.31792039609638</v>
      </c>
      <c r="AM146">
        <v>0.5</v>
      </c>
      <c r="AN146">
        <v>7.0000000000000007E-2</v>
      </c>
      <c r="BW146" t="s">
        <v>57</v>
      </c>
      <c r="BX146">
        <v>0.27</v>
      </c>
      <c r="BY146">
        <v>-0.27</v>
      </c>
      <c r="BZ146">
        <v>0.02</v>
      </c>
      <c r="CA146">
        <v>0.09</v>
      </c>
      <c r="CB146">
        <v>0.16</v>
      </c>
      <c r="CC146">
        <v>-0.04</v>
      </c>
      <c r="CD146">
        <v>0.21</v>
      </c>
      <c r="CE146">
        <v>0.03</v>
      </c>
      <c r="CF146">
        <v>0.11</v>
      </c>
      <c r="CG146" t="s">
        <v>72</v>
      </c>
      <c r="CJ146" s="11">
        <v>700</v>
      </c>
      <c r="CK146">
        <v>700</v>
      </c>
      <c r="CL146">
        <v>600</v>
      </c>
      <c r="CM146">
        <v>500</v>
      </c>
      <c r="CN146">
        <v>500</v>
      </c>
      <c r="CO146">
        <v>500</v>
      </c>
      <c r="CP146">
        <v>500</v>
      </c>
    </row>
    <row r="147" spans="11:94" x14ac:dyDescent="0.2">
      <c r="L147" t="s">
        <v>56</v>
      </c>
      <c r="M147">
        <v>60</v>
      </c>
      <c r="N147" s="8">
        <v>490</v>
      </c>
      <c r="O147" s="8">
        <v>1.5</v>
      </c>
      <c r="P147" cm="1">
        <f t="array" ref="P147">_xlfn.XLOOKUP(K$15,$BX$169:$CG$169,_xlfn.XLOOKUP($D$11,$BW$170:$BW$176,$BX$170:$CG$176))</f>
        <v>700</v>
      </c>
      <c r="Q147">
        <f t="shared" ref="Q147:Q169" si="103">N147/P147</f>
        <v>0.7</v>
      </c>
      <c r="V147">
        <v>1</v>
      </c>
      <c r="W147">
        <v>0</v>
      </c>
      <c r="X147">
        <v>0</v>
      </c>
      <c r="Y147">
        <f t="shared" si="89"/>
        <v>0</v>
      </c>
      <c r="Z147">
        <f t="shared" si="90"/>
        <v>5.3789999999999996</v>
      </c>
      <c r="AA147">
        <f t="shared" si="91"/>
        <v>2.0440844257365254E-2</v>
      </c>
      <c r="AB147">
        <f t="shared" si="92"/>
        <v>1.3680534651587215</v>
      </c>
      <c r="AC147">
        <f t="shared" si="93"/>
        <v>10.6135214656</v>
      </c>
      <c r="AD147">
        <f t="shared" si="94"/>
        <v>5.7058291399065597</v>
      </c>
      <c r="AE147">
        <f t="shared" si="95"/>
        <v>0</v>
      </c>
      <c r="AF147">
        <f t="shared" si="96"/>
        <v>3.3831093429600211E-3</v>
      </c>
      <c r="AG147">
        <f t="shared" si="97"/>
        <v>0</v>
      </c>
      <c r="AH147">
        <f t="shared" si="98"/>
        <v>18.522523652706113</v>
      </c>
      <c r="AI147">
        <f t="shared" si="99"/>
        <v>5.8957449457668544E-2</v>
      </c>
      <c r="AJ147">
        <f t="shared" si="100"/>
        <v>322.79203578073526</v>
      </c>
      <c r="AK147">
        <f t="shared" si="101"/>
        <v>8.8585061286951997E-2</v>
      </c>
      <c r="AL147">
        <f t="shared" si="102"/>
        <v>485.00321054606212</v>
      </c>
      <c r="AM147">
        <v>0.4</v>
      </c>
      <c r="AN147">
        <v>0.1</v>
      </c>
      <c r="BU147" t="s">
        <v>81</v>
      </c>
      <c r="BV147" t="s">
        <v>77</v>
      </c>
      <c r="BW147" t="s">
        <v>54</v>
      </c>
      <c r="BX147">
        <v>0.27</v>
      </c>
      <c r="BY147">
        <v>-0.19</v>
      </c>
      <c r="BZ147">
        <v>0.38</v>
      </c>
      <c r="CA147" s="6">
        <v>0.25</v>
      </c>
      <c r="CB147">
        <v>7.0000000000000007E-2</v>
      </c>
      <c r="CC147">
        <v>0.05</v>
      </c>
      <c r="CD147">
        <v>0.52</v>
      </c>
      <c r="CE147">
        <v>0.55000000000000004</v>
      </c>
      <c r="CF147">
        <v>0.19</v>
      </c>
      <c r="CG147">
        <v>0.6</v>
      </c>
      <c r="CJ147" s="11">
        <v>770</v>
      </c>
      <c r="CK147">
        <v>770</v>
      </c>
      <c r="CL147">
        <v>660</v>
      </c>
      <c r="CM147">
        <v>550</v>
      </c>
      <c r="CN147">
        <v>550</v>
      </c>
      <c r="CO147">
        <v>550</v>
      </c>
      <c r="CP147">
        <v>550</v>
      </c>
    </row>
    <row r="148" spans="11:94" x14ac:dyDescent="0.2">
      <c r="L148" t="s">
        <v>57</v>
      </c>
      <c r="M148">
        <v>65</v>
      </c>
      <c r="N148" s="8">
        <v>500</v>
      </c>
      <c r="O148" s="8">
        <v>1.3</v>
      </c>
      <c r="P148" cm="1">
        <f t="array" ref="P148">_xlfn.XLOOKUP(K$15,$BX$169:$CG$169,_xlfn.XLOOKUP($D$11,$BW$170:$BW$176,$BX$170:$CG$176))</f>
        <v>700</v>
      </c>
      <c r="Q148">
        <f t="shared" si="103"/>
        <v>0.7142857142857143</v>
      </c>
      <c r="V148">
        <v>1</v>
      </c>
      <c r="W148">
        <v>0</v>
      </c>
      <c r="X148">
        <v>0</v>
      </c>
      <c r="Y148">
        <f t="shared" si="89"/>
        <v>0</v>
      </c>
      <c r="Z148">
        <f t="shared" si="90"/>
        <v>3.7749999999999995</v>
      </c>
      <c r="AA148">
        <f t="shared" si="91"/>
        <v>1.7445611455819392E-2</v>
      </c>
      <c r="AB148">
        <f t="shared" si="92"/>
        <v>1.3132914867454031</v>
      </c>
      <c r="AC148">
        <f t="shared" si="93"/>
        <v>10.333010250000001</v>
      </c>
      <c r="AD148">
        <f t="shared" si="94"/>
        <v>6.4229991713999999</v>
      </c>
      <c r="AE148">
        <f t="shared" si="95"/>
        <v>0</v>
      </c>
      <c r="AF148">
        <f t="shared" si="96"/>
        <v>3.8083349455051616E-3</v>
      </c>
      <c r="AG148">
        <f t="shared" si="97"/>
        <v>0</v>
      </c>
      <c r="AH148">
        <f t="shared" si="98"/>
        <v>22.58818664552749</v>
      </c>
      <c r="AI148">
        <f t="shared" si="99"/>
        <v>6.9059227384439995E-2</v>
      </c>
      <c r="AJ148">
        <f t="shared" si="100"/>
        <v>409.60754242395973</v>
      </c>
      <c r="AK148">
        <f t="shared" si="101"/>
        <v>0.12656080093608527</v>
      </c>
      <c r="AL148">
        <f t="shared" si="102"/>
        <v>750.66375055215576</v>
      </c>
      <c r="AM148">
        <v>0.3</v>
      </c>
      <c r="AN148">
        <v>0.13</v>
      </c>
      <c r="BW148" t="s">
        <v>55</v>
      </c>
      <c r="BX148">
        <v>0.16</v>
      </c>
      <c r="BY148">
        <v>0.16</v>
      </c>
      <c r="BZ148">
        <v>0.8</v>
      </c>
      <c r="CA148">
        <v>0.56999999999999995</v>
      </c>
      <c r="CB148">
        <v>0.76</v>
      </c>
      <c r="CC148">
        <v>0.49</v>
      </c>
      <c r="CD148">
        <v>0.84</v>
      </c>
      <c r="CE148">
        <v>0.51</v>
      </c>
      <c r="CF148">
        <v>0.36</v>
      </c>
      <c r="CG148">
        <v>0.17</v>
      </c>
      <c r="CJ148" s="11">
        <v>770</v>
      </c>
      <c r="CK148">
        <v>770</v>
      </c>
      <c r="CL148">
        <v>660</v>
      </c>
      <c r="CM148">
        <v>550</v>
      </c>
      <c r="CN148">
        <v>550</v>
      </c>
      <c r="CO148">
        <v>550</v>
      </c>
      <c r="CP148">
        <v>550</v>
      </c>
    </row>
    <row r="149" spans="11:94" x14ac:dyDescent="0.2">
      <c r="K149" t="s">
        <v>44</v>
      </c>
      <c r="L149" t="s">
        <v>54</v>
      </c>
      <c r="M149">
        <v>200</v>
      </c>
      <c r="N149" s="8">
        <v>70</v>
      </c>
      <c r="O149" s="8">
        <v>0.4</v>
      </c>
      <c r="P149" cm="1">
        <f t="array" ref="P149">_xlfn.XLOOKUP(K$19,$BX$169:$CG$169,_xlfn.XLOOKUP($D$11,$BW$170:$BW$176,$BX$170:$CG$176))</f>
        <v>600</v>
      </c>
      <c r="Q149">
        <f t="shared" si="103"/>
        <v>0.11666666666666667</v>
      </c>
      <c r="V149">
        <v>1</v>
      </c>
      <c r="W149">
        <f>VLOOKUP($G$141, $CL$17:$CN$25, 2, FALSE)</f>
        <v>6</v>
      </c>
      <c r="X149">
        <v>0</v>
      </c>
      <c r="Y149">
        <f t="shared" si="89"/>
        <v>0</v>
      </c>
      <c r="Z149">
        <f t="shared" si="90"/>
        <v>8.5869999999999997</v>
      </c>
      <c r="AA149">
        <f t="shared" si="91"/>
        <v>1.153734721070066E-2</v>
      </c>
      <c r="AB149">
        <f t="shared" si="92"/>
        <v>1.1762711598946149</v>
      </c>
      <c r="AC149">
        <f t="shared" si="93"/>
        <v>2.6116499236000004</v>
      </c>
      <c r="AD149">
        <f t="shared" si="94"/>
        <v>0.96526581176256021</v>
      </c>
      <c r="AE149">
        <f t="shared" si="95"/>
        <v>0</v>
      </c>
      <c r="AF149">
        <f t="shared" si="96"/>
        <v>5.7232694953555604E-4</v>
      </c>
      <c r="AG149">
        <f t="shared" si="97"/>
        <v>0</v>
      </c>
      <c r="AH149">
        <f t="shared" si="98"/>
        <v>10.444966829023898</v>
      </c>
      <c r="AI149">
        <f t="shared" si="99"/>
        <v>1.3653530443106299E-2</v>
      </c>
      <c r="AJ149">
        <f t="shared" si="100"/>
        <v>249.17693058668996</v>
      </c>
      <c r="AK149">
        <f t="shared" si="101"/>
        <v>2.5370437615461511E-2</v>
      </c>
      <c r="AL149">
        <f t="shared" si="102"/>
        <v>463.01048648217261</v>
      </c>
      <c r="AM149" s="8">
        <v>0.6</v>
      </c>
      <c r="AN149" s="8">
        <v>0.05</v>
      </c>
      <c r="BW149" t="s">
        <v>56</v>
      </c>
      <c r="BX149">
        <v>0.45</v>
      </c>
      <c r="BY149">
        <v>0.1</v>
      </c>
      <c r="BZ149">
        <v>0.49</v>
      </c>
      <c r="CA149" s="5">
        <v>0.41</v>
      </c>
      <c r="CB149">
        <v>0.4</v>
      </c>
      <c r="CC149">
        <v>0.17</v>
      </c>
      <c r="CD149">
        <v>0.54</v>
      </c>
      <c r="CE149">
        <v>0.64</v>
      </c>
      <c r="CF149">
        <v>-0.05</v>
      </c>
      <c r="CG149">
        <v>0.32</v>
      </c>
      <c r="CJ149" s="11">
        <v>770</v>
      </c>
      <c r="CK149">
        <v>770</v>
      </c>
      <c r="CL149">
        <v>660</v>
      </c>
      <c r="CM149">
        <v>550</v>
      </c>
      <c r="CN149">
        <v>550</v>
      </c>
      <c r="CO149">
        <v>550</v>
      </c>
      <c r="CP149">
        <v>550</v>
      </c>
    </row>
    <row r="150" spans="11:94" x14ac:dyDescent="0.2">
      <c r="L150" t="s">
        <v>55</v>
      </c>
      <c r="M150">
        <v>130</v>
      </c>
      <c r="N150" s="8">
        <v>75</v>
      </c>
      <c r="O150" s="8">
        <v>0.5</v>
      </c>
      <c r="P150" cm="1">
        <f t="array" ref="P150">_xlfn.XLOOKUP(K$19,$BX$169:$CG$169,_xlfn.XLOOKUP($D$11,$BW$170:$BW$176,$BX$170:$CG$176))</f>
        <v>600</v>
      </c>
      <c r="Q150">
        <f t="shared" si="103"/>
        <v>0.125</v>
      </c>
      <c r="V150">
        <v>1</v>
      </c>
      <c r="W150">
        <f>VLOOKUP($G$141, $CL$17:$CN$25, 3, FALSE)</f>
        <v>4</v>
      </c>
      <c r="X150">
        <v>0</v>
      </c>
      <c r="Y150">
        <f t="shared" si="89"/>
        <v>0</v>
      </c>
      <c r="Z150">
        <f t="shared" si="90"/>
        <v>6.9829999999999997</v>
      </c>
      <c r="AA150">
        <f t="shared" si="91"/>
        <v>1.4328724276547253E-2</v>
      </c>
      <c r="AB150">
        <f t="shared" si="92"/>
        <v>1.2193553180247376</v>
      </c>
      <c r="AC150">
        <f t="shared" si="93"/>
        <v>2.7834751406249998</v>
      </c>
      <c r="AD150">
        <f t="shared" si="94"/>
        <v>1.2625843237874999</v>
      </c>
      <c r="AE150">
        <f t="shared" si="95"/>
        <v>0</v>
      </c>
      <c r="AF150">
        <f t="shared" si="96"/>
        <v>7.4861351739500246E-4</v>
      </c>
      <c r="AG150">
        <f t="shared" si="97"/>
        <v>0</v>
      </c>
      <c r="AH150">
        <f t="shared" si="98"/>
        <v>8.8804278500982168</v>
      </c>
      <c r="AI150">
        <f t="shared" si="99"/>
        <v>1.4727751533279891E-2</v>
      </c>
      <c r="AJ150">
        <f t="shared" si="100"/>
        <v>174.7079525635327</v>
      </c>
      <c r="AK150">
        <f t="shared" si="101"/>
        <v>2.1732594009298115E-2</v>
      </c>
      <c r="AL150">
        <f t="shared" si="102"/>
        <v>257.80289643529886</v>
      </c>
      <c r="AM150">
        <v>0.5</v>
      </c>
      <c r="AN150">
        <v>7.0000000000000007E-2</v>
      </c>
      <c r="BW150" t="s">
        <v>57</v>
      </c>
      <c r="BX150">
        <v>0.51</v>
      </c>
      <c r="BY150">
        <v>-7.0000000000000007E-2</v>
      </c>
      <c r="BZ150">
        <v>0.13</v>
      </c>
      <c r="CA150" s="5">
        <v>-0.09</v>
      </c>
      <c r="CB150">
        <v>-0.13</v>
      </c>
      <c r="CC150">
        <v>7.0000000000000007E-2</v>
      </c>
      <c r="CD150">
        <v>0.25</v>
      </c>
      <c r="CE150">
        <v>0.71</v>
      </c>
      <c r="CF150">
        <v>0.17</v>
      </c>
      <c r="CG150">
        <v>0.43</v>
      </c>
      <c r="CJ150" s="11">
        <v>770</v>
      </c>
      <c r="CK150">
        <v>770</v>
      </c>
      <c r="CL150">
        <v>660</v>
      </c>
      <c r="CM150">
        <v>550</v>
      </c>
      <c r="CN150">
        <v>550</v>
      </c>
      <c r="CO150">
        <v>550</v>
      </c>
      <c r="CP150">
        <v>550</v>
      </c>
    </row>
    <row r="151" spans="11:94" x14ac:dyDescent="0.2">
      <c r="L151" t="s">
        <v>56</v>
      </c>
      <c r="M151">
        <v>250</v>
      </c>
      <c r="N151" s="8">
        <v>80</v>
      </c>
      <c r="O151" s="8">
        <v>0.6</v>
      </c>
      <c r="P151" cm="1">
        <f t="array" ref="P151">_xlfn.XLOOKUP(K$19,$BX$169:$CG$169,_xlfn.XLOOKUP($D$11,$BW$170:$BW$176,$BX$170:$CG$176))</f>
        <v>600</v>
      </c>
      <c r="Q151">
        <f t="shared" si="103"/>
        <v>0.13333333333333333</v>
      </c>
      <c r="V151">
        <v>1</v>
      </c>
      <c r="W151">
        <v>0</v>
      </c>
      <c r="X151">
        <v>0</v>
      </c>
      <c r="Y151">
        <f t="shared" si="89"/>
        <v>0</v>
      </c>
      <c r="Z151">
        <f t="shared" si="90"/>
        <v>5.3789999999999996</v>
      </c>
      <c r="AA151">
        <f t="shared" si="91"/>
        <v>1.7080608718711931E-2</v>
      </c>
      <c r="AB151">
        <f t="shared" si="92"/>
        <v>1.2620356226501883</v>
      </c>
      <c r="AC151">
        <f t="shared" si="93"/>
        <v>2.9603267136000002</v>
      </c>
      <c r="AD151">
        <f t="shared" si="94"/>
        <v>1.5914716412313599</v>
      </c>
      <c r="AE151">
        <f t="shared" si="95"/>
        <v>0</v>
      </c>
      <c r="AF151">
        <f t="shared" si="96"/>
        <v>9.4361791187352396E-4</v>
      </c>
      <c r="AG151">
        <f t="shared" si="97"/>
        <v>0</v>
      </c>
      <c r="AH151">
        <f t="shared" si="98"/>
        <v>21.526283614614766</v>
      </c>
      <c r="AI151">
        <f t="shared" si="99"/>
        <v>1.6444430169661069E-2</v>
      </c>
      <c r="AJ151">
        <f t="shared" si="100"/>
        <v>375.13856324539313</v>
      </c>
      <c r="AK151">
        <f t="shared" si="101"/>
        <v>1.3369395354523604E-2</v>
      </c>
      <c r="AL151">
        <f t="shared" si="102"/>
        <v>304.9893315250697</v>
      </c>
      <c r="AM151">
        <v>0.4</v>
      </c>
      <c r="AN151">
        <v>0.1</v>
      </c>
      <c r="BU151" t="s">
        <v>81</v>
      </c>
      <c r="BV151" t="s">
        <v>78</v>
      </c>
      <c r="BW151" t="s">
        <v>54</v>
      </c>
      <c r="BX151">
        <v>-0.12</v>
      </c>
      <c r="BY151">
        <v>-0.19</v>
      </c>
      <c r="BZ151">
        <v>0.41</v>
      </c>
      <c r="CA151">
        <v>0.09</v>
      </c>
      <c r="CB151">
        <v>0.41</v>
      </c>
      <c r="CC151">
        <v>-0.19</v>
      </c>
      <c r="CD151">
        <v>7.0000000000000007E-2</v>
      </c>
      <c r="CE151">
        <v>1.07</v>
      </c>
      <c r="CF151">
        <v>-0.08</v>
      </c>
      <c r="CG151">
        <v>0</v>
      </c>
      <c r="CJ151" s="11">
        <v>770</v>
      </c>
      <c r="CK151">
        <v>770</v>
      </c>
      <c r="CL151">
        <v>660</v>
      </c>
      <c r="CM151">
        <v>550</v>
      </c>
      <c r="CN151">
        <v>550</v>
      </c>
      <c r="CO151">
        <v>550</v>
      </c>
      <c r="CP151">
        <v>550</v>
      </c>
    </row>
    <row r="152" spans="11:94" x14ac:dyDescent="0.2">
      <c r="L152" t="s">
        <v>57</v>
      </c>
      <c r="M152">
        <v>150</v>
      </c>
      <c r="N152" s="8">
        <v>85</v>
      </c>
      <c r="O152" s="8">
        <v>0.7</v>
      </c>
      <c r="P152" cm="1">
        <f t="array" ref="P152">_xlfn.XLOOKUP(K$19,$BX$169:$CG$169,_xlfn.XLOOKUP($D$11,$BW$170:$BW$176,$BX$170:$CG$176))</f>
        <v>600</v>
      </c>
      <c r="Q152">
        <f t="shared" si="103"/>
        <v>0.14166666666666666</v>
      </c>
      <c r="V152">
        <v>1</v>
      </c>
      <c r="W152">
        <v>0</v>
      </c>
      <c r="X152">
        <v>0</v>
      </c>
      <c r="Y152">
        <f t="shared" si="89"/>
        <v>0</v>
      </c>
      <c r="Z152">
        <f t="shared" si="90"/>
        <v>3.7749999999999995</v>
      </c>
      <c r="AA152">
        <f t="shared" si="91"/>
        <v>1.9791819324490957E-2</v>
      </c>
      <c r="AB152">
        <f t="shared" si="92"/>
        <v>1.3043106725599385</v>
      </c>
      <c r="AC152">
        <f t="shared" si="93"/>
        <v>3.1421639382249995</v>
      </c>
      <c r="AD152">
        <f t="shared" si="94"/>
        <v>1.9531691040006594</v>
      </c>
      <c r="AE152">
        <f t="shared" si="95"/>
        <v>0</v>
      </c>
      <c r="AF152">
        <f t="shared" si="96"/>
        <v>1.1580761502146375E-3</v>
      </c>
      <c r="AG152">
        <f t="shared" si="97"/>
        <v>0</v>
      </c>
      <c r="AH152">
        <f t="shared" si="98"/>
        <v>15.85116730606285</v>
      </c>
      <c r="AI152">
        <f t="shared" si="99"/>
        <v>2.1000212778175431E-2</v>
      </c>
      <c r="AJ152">
        <f t="shared" si="100"/>
        <v>287.44041240127621</v>
      </c>
      <c r="AK152">
        <f t="shared" si="101"/>
        <v>2.4072284279126693E-2</v>
      </c>
      <c r="AL152">
        <f t="shared" si="102"/>
        <v>329.48939107054662</v>
      </c>
      <c r="AM152">
        <v>0.3</v>
      </c>
      <c r="AN152">
        <v>0.13</v>
      </c>
      <c r="BW152" t="s">
        <v>55</v>
      </c>
      <c r="BX152">
        <v>0.65</v>
      </c>
      <c r="BY152">
        <v>0.19</v>
      </c>
      <c r="BZ152">
        <v>0.65</v>
      </c>
      <c r="CA152">
        <v>0.51</v>
      </c>
      <c r="CB152">
        <v>0.18</v>
      </c>
      <c r="CC152">
        <v>0.63</v>
      </c>
      <c r="CD152">
        <v>1.3</v>
      </c>
      <c r="CE152">
        <v>0.48</v>
      </c>
      <c r="CF152">
        <v>1.1200000000000001</v>
      </c>
      <c r="CG152">
        <v>0.38</v>
      </c>
      <c r="CJ152" s="11">
        <v>770</v>
      </c>
      <c r="CK152">
        <v>770</v>
      </c>
      <c r="CL152">
        <v>660</v>
      </c>
      <c r="CM152">
        <v>550</v>
      </c>
      <c r="CN152">
        <v>550</v>
      </c>
      <c r="CO152">
        <v>550</v>
      </c>
      <c r="CP152">
        <v>550</v>
      </c>
    </row>
    <row r="153" spans="11:94" x14ac:dyDescent="0.2">
      <c r="K153" t="s">
        <v>45</v>
      </c>
      <c r="L153" t="s">
        <v>54</v>
      </c>
      <c r="M153">
        <v>20</v>
      </c>
      <c r="N153" s="8">
        <v>310</v>
      </c>
      <c r="O153" s="8">
        <v>0.5</v>
      </c>
      <c r="P153" cm="1">
        <f t="array" ref="P153">_xlfn.XLOOKUP(K$23,$BX$169:$CG$169,_xlfn.XLOOKUP($D$11,$BW$170:$BW$176,$BX$170:$CG$176))</f>
        <v>500</v>
      </c>
      <c r="Q153">
        <f t="shared" si="103"/>
        <v>0.62</v>
      </c>
      <c r="V153">
        <v>1</v>
      </c>
      <c r="W153">
        <v>0</v>
      </c>
      <c r="X153">
        <v>0</v>
      </c>
      <c r="Y153">
        <f t="shared" si="89"/>
        <v>0</v>
      </c>
      <c r="Z153">
        <f t="shared" si="90"/>
        <v>8.5869999999999997</v>
      </c>
      <c r="AA153">
        <f t="shared" si="91"/>
        <v>7.5783487136173748E-3</v>
      </c>
      <c r="AB153">
        <f t="shared" si="92"/>
        <v>1.1389899284489591</v>
      </c>
      <c r="AC153">
        <f t="shared" si="93"/>
        <v>6.2502000016000014</v>
      </c>
      <c r="AD153">
        <f t="shared" si="94"/>
        <v>2.3100739205913605</v>
      </c>
      <c r="AE153">
        <f t="shared" si="95"/>
        <v>0</v>
      </c>
      <c r="AF153">
        <f t="shared" si="96"/>
        <v>1.3696927251153025E-3</v>
      </c>
      <c r="AG153">
        <f t="shared" si="97"/>
        <v>0</v>
      </c>
      <c r="AH153">
        <f t="shared" si="98"/>
        <v>2.4996892233354271</v>
      </c>
      <c r="AI153">
        <f t="shared" si="99"/>
        <v>2.6913941225449756E-2</v>
      </c>
      <c r="AJ153">
        <f t="shared" si="100"/>
        <v>49.117942736445805</v>
      </c>
      <c r="AK153">
        <f t="shared" si="101"/>
        <v>1.420903888923677E-2</v>
      </c>
      <c r="AL153">
        <f t="shared" si="102"/>
        <v>25.931495972857103</v>
      </c>
      <c r="AM153" s="8">
        <v>0.6</v>
      </c>
      <c r="AN153" s="8">
        <v>0.05</v>
      </c>
      <c r="BW153" t="s">
        <v>56</v>
      </c>
      <c r="BX153">
        <v>0.7</v>
      </c>
      <c r="BY153">
        <v>0.13</v>
      </c>
      <c r="BZ153">
        <v>0.52</v>
      </c>
      <c r="CA153">
        <v>0.34</v>
      </c>
      <c r="CB153">
        <v>0.02</v>
      </c>
      <c r="CC153">
        <v>0.04</v>
      </c>
      <c r="CD153">
        <v>0.77</v>
      </c>
      <c r="CE153">
        <v>0.42</v>
      </c>
      <c r="CF153">
        <v>0.12</v>
      </c>
      <c r="CG153">
        <v>0.74</v>
      </c>
      <c r="CJ153" s="12"/>
    </row>
    <row r="154" spans="11:94" x14ac:dyDescent="0.2">
      <c r="L154" t="s">
        <v>55</v>
      </c>
      <c r="M154">
        <v>30</v>
      </c>
      <c r="N154" s="8">
        <v>320</v>
      </c>
      <c r="O154" s="8">
        <v>0.4</v>
      </c>
      <c r="P154" cm="1">
        <f t="array" ref="P154">_xlfn.XLOOKUP(K$23,$BX$169:$CG$169,_xlfn.XLOOKUP($D$11,$BW$170:$BW$176,$BX$170:$CG$176))</f>
        <v>500</v>
      </c>
      <c r="Q154">
        <f t="shared" si="103"/>
        <v>0.64</v>
      </c>
      <c r="V154">
        <v>1</v>
      </c>
      <c r="W154">
        <v>0</v>
      </c>
      <c r="X154">
        <v>0</v>
      </c>
      <c r="Y154">
        <f t="shared" si="89"/>
        <v>0</v>
      </c>
      <c r="Z154">
        <f t="shared" si="90"/>
        <v>6.9829999999999997</v>
      </c>
      <c r="AA154">
        <f t="shared" si="91"/>
        <v>5.8986901648212728E-3</v>
      </c>
      <c r="AB154">
        <f t="shared" si="92"/>
        <v>1.1090819240433485</v>
      </c>
      <c r="AC154">
        <f t="shared" si="93"/>
        <v>6.2378059535999979</v>
      </c>
      <c r="AD154">
        <f t="shared" si="94"/>
        <v>2.829468780552959</v>
      </c>
      <c r="AE154">
        <f t="shared" si="95"/>
        <v>0</v>
      </c>
      <c r="AF154">
        <f t="shared" si="96"/>
        <v>1.6776531565155094E-3</v>
      </c>
      <c r="AG154">
        <f t="shared" si="97"/>
        <v>0</v>
      </c>
      <c r="AH154">
        <f t="shared" si="98"/>
        <v>4.5925755159612072</v>
      </c>
      <c r="AI154">
        <f t="shared" si="99"/>
        <v>2.9408230982897684E-2</v>
      </c>
      <c r="AJ154">
        <f t="shared" si="100"/>
        <v>80.505032315682413</v>
      </c>
      <c r="AK154">
        <f t="shared" si="101"/>
        <v>3.3224901347124559E-2</v>
      </c>
      <c r="AL154">
        <f t="shared" si="102"/>
        <v>90.953167437753478</v>
      </c>
      <c r="AM154">
        <v>0.5</v>
      </c>
      <c r="AN154">
        <v>7.0000000000000007E-2</v>
      </c>
      <c r="BW154" t="s">
        <v>57</v>
      </c>
      <c r="BX154">
        <v>0.32</v>
      </c>
      <c r="BY154">
        <v>-0.06</v>
      </c>
      <c r="BZ154">
        <v>0.25</v>
      </c>
      <c r="CA154">
        <v>0.19</v>
      </c>
      <c r="CB154">
        <v>-0.1</v>
      </c>
      <c r="CC154">
        <v>-0.02</v>
      </c>
      <c r="CD154">
        <v>0.02</v>
      </c>
      <c r="CE154">
        <v>0.23</v>
      </c>
      <c r="CF154">
        <v>-0.13</v>
      </c>
      <c r="CG154">
        <v>0</v>
      </c>
      <c r="CJ154" s="12"/>
    </row>
    <row r="155" spans="11:94" x14ac:dyDescent="0.2">
      <c r="L155" t="s">
        <v>56</v>
      </c>
      <c r="M155">
        <v>60</v>
      </c>
      <c r="N155" s="8">
        <v>330</v>
      </c>
      <c r="O155" s="8">
        <v>0.3</v>
      </c>
      <c r="P155" cm="1">
        <f t="array" ref="P155">_xlfn.XLOOKUP(K$23,$BX$169:$CG$169,_xlfn.XLOOKUP($D$11,$BW$170:$BW$176,$BX$170:$CG$176))</f>
        <v>500</v>
      </c>
      <c r="Q155">
        <f t="shared" si="103"/>
        <v>0.66</v>
      </c>
      <c r="V155">
        <v>1</v>
      </c>
      <c r="W155">
        <v>0</v>
      </c>
      <c r="X155">
        <v>0</v>
      </c>
      <c r="Y155">
        <f t="shared" si="89"/>
        <v>0</v>
      </c>
      <c r="Z155">
        <f t="shared" si="90"/>
        <v>5.3789999999999996</v>
      </c>
      <c r="AA155">
        <f t="shared" si="91"/>
        <v>4.3094929447900074E-3</v>
      </c>
      <c r="AB155">
        <f t="shared" si="92"/>
        <v>1.0802983444075933</v>
      </c>
      <c r="AC155">
        <f t="shared" si="93"/>
        <v>6.222829593600002</v>
      </c>
      <c r="AD155">
        <f t="shared" si="94"/>
        <v>3.3453931895193607</v>
      </c>
      <c r="AE155">
        <f t="shared" si="95"/>
        <v>0</v>
      </c>
      <c r="AF155">
        <f t="shared" si="96"/>
        <v>1.9835558825589228E-3</v>
      </c>
      <c r="AG155">
        <f t="shared" si="97"/>
        <v>0</v>
      </c>
      <c r="AH155">
        <f t="shared" si="98"/>
        <v>10.859968457010101</v>
      </c>
      <c r="AI155">
        <f t="shared" si="99"/>
        <v>3.4567430087881372E-2</v>
      </c>
      <c r="AJ155">
        <f t="shared" si="100"/>
        <v>189.25667973115054</v>
      </c>
      <c r="AK155">
        <f t="shared" si="101"/>
        <v>5.9325657158312395E-2</v>
      </c>
      <c r="AL155">
        <f t="shared" si="102"/>
        <v>324.80797294176034</v>
      </c>
      <c r="AM155">
        <v>0.4</v>
      </c>
      <c r="AN155">
        <v>0.1</v>
      </c>
      <c r="BU155" t="s">
        <v>81</v>
      </c>
      <c r="BV155" t="s">
        <v>79</v>
      </c>
      <c r="BW155" t="s">
        <v>54</v>
      </c>
      <c r="BX155">
        <v>0.62</v>
      </c>
      <c r="BY155">
        <v>-0.19</v>
      </c>
      <c r="BZ155">
        <v>0.37</v>
      </c>
      <c r="CA155">
        <v>0.41</v>
      </c>
      <c r="CB155">
        <v>0.06</v>
      </c>
      <c r="CC155">
        <v>-0.02</v>
      </c>
      <c r="CD155">
        <v>0.47</v>
      </c>
      <c r="CE155">
        <v>0.44</v>
      </c>
      <c r="CF155">
        <v>0.3</v>
      </c>
      <c r="CG155">
        <v>0.13</v>
      </c>
      <c r="CJ155" s="12"/>
    </row>
    <row r="156" spans="11:94" x14ac:dyDescent="0.2">
      <c r="L156" t="s">
        <v>57</v>
      </c>
      <c r="M156">
        <v>30</v>
      </c>
      <c r="N156" s="8">
        <v>340</v>
      </c>
      <c r="O156" s="8">
        <v>0.2</v>
      </c>
      <c r="P156" cm="1">
        <f t="array" ref="P156">_xlfn.XLOOKUP(K$23,$BX$169:$CG$169,_xlfn.XLOOKUP($D$11,$BW$170:$BW$176,$BX$170:$CG$176))</f>
        <v>500</v>
      </c>
      <c r="Q156">
        <f t="shared" si="103"/>
        <v>0.68</v>
      </c>
      <c r="V156">
        <v>1</v>
      </c>
      <c r="W156">
        <v>0</v>
      </c>
      <c r="X156">
        <v>0</v>
      </c>
      <c r="Y156">
        <f t="shared" si="89"/>
        <v>0</v>
      </c>
      <c r="Z156">
        <f t="shared" si="90"/>
        <v>3.7749999999999995</v>
      </c>
      <c r="AA156">
        <f t="shared" si="91"/>
        <v>2.8022188783283029E-3</v>
      </c>
      <c r="AB156">
        <f t="shared" si="92"/>
        <v>1.0525669477512427</v>
      </c>
      <c r="AC156">
        <f t="shared" si="93"/>
        <v>6.2052802816000021</v>
      </c>
      <c r="AD156">
        <f t="shared" si="94"/>
        <v>3.8572022230425609</v>
      </c>
      <c r="AE156">
        <f t="shared" si="95"/>
        <v>0</v>
      </c>
      <c r="AF156">
        <f t="shared" si="96"/>
        <v>2.2870185136099519E-3</v>
      </c>
      <c r="AG156">
        <f t="shared" si="97"/>
        <v>0</v>
      </c>
      <c r="AH156">
        <f t="shared" si="98"/>
        <v>6.2607131810072429</v>
      </c>
      <c r="AI156">
        <f t="shared" si="99"/>
        <v>4.1472122022834179E-2</v>
      </c>
      <c r="AJ156">
        <f t="shared" si="100"/>
        <v>113.52993403750855</v>
      </c>
      <c r="AK156">
        <f t="shared" si="101"/>
        <v>8.3401941202381841E-2</v>
      </c>
      <c r="AL156">
        <f t="shared" si="102"/>
        <v>228.31281404152028</v>
      </c>
      <c r="AM156">
        <v>0.3</v>
      </c>
      <c r="AN156">
        <v>0.13</v>
      </c>
      <c r="BW156" t="s">
        <v>55</v>
      </c>
      <c r="BX156">
        <v>0.05</v>
      </c>
      <c r="BY156">
        <v>0.19</v>
      </c>
      <c r="BZ156">
        <v>0.31</v>
      </c>
      <c r="CA156">
        <v>0.54</v>
      </c>
      <c r="CB156">
        <v>0.53</v>
      </c>
      <c r="CC156">
        <v>0.15</v>
      </c>
      <c r="CD156">
        <v>0.28000000000000003</v>
      </c>
      <c r="CE156">
        <v>0.56999999999999995</v>
      </c>
      <c r="CF156">
        <v>0.42</v>
      </c>
      <c r="CG156">
        <v>0.4</v>
      </c>
      <c r="CJ156" s="12"/>
    </row>
    <row r="157" spans="11:94" x14ac:dyDescent="0.2">
      <c r="K157" t="s">
        <v>46</v>
      </c>
      <c r="L157" t="s">
        <v>54</v>
      </c>
      <c r="M157">
        <v>100</v>
      </c>
      <c r="N157" s="8">
        <v>450</v>
      </c>
      <c r="O157" s="8" cm="1">
        <f t="array" ref="O157:O160">_xlfn.XLOOKUP(K157, $BX$106:$CG$106, $BX$107:$CG$110)</f>
        <v>0.3</v>
      </c>
      <c r="P157" cm="1">
        <f t="array" ref="P157">_xlfn.XLOOKUP(K$27,$BX$169:$CG$169,_xlfn.XLOOKUP($D$11,$BW$170:$BW$176,$BX$170:$CG$176))</f>
        <v>500</v>
      </c>
      <c r="Q157">
        <f t="shared" si="103"/>
        <v>0.9</v>
      </c>
      <c r="R157">
        <v>1</v>
      </c>
      <c r="T157">
        <f>R157+S157</f>
        <v>1</v>
      </c>
      <c r="U157">
        <v>1.3</v>
      </c>
      <c r="V157">
        <f>(T157*U157)+(1 - T157)</f>
        <v>1.3</v>
      </c>
      <c r="W157">
        <v>0</v>
      </c>
      <c r="X157">
        <f>VLOOKUP($G$141, $CL$17:$CN$25, 2, FALSE)</f>
        <v>6</v>
      </c>
      <c r="Y157">
        <f t="shared" si="89"/>
        <v>6</v>
      </c>
      <c r="Z157">
        <f t="shared" si="90"/>
        <v>8.5869999999999997</v>
      </c>
      <c r="AA157">
        <f t="shared" si="91"/>
        <v>3.3582331544675256E-2</v>
      </c>
      <c r="AB157">
        <f t="shared" si="92"/>
        <v>1.0711847727263619</v>
      </c>
      <c r="AC157">
        <f t="shared" si="93"/>
        <v>10.162900799999999</v>
      </c>
      <c r="AD157">
        <f t="shared" si="94"/>
        <v>3.7562081356799992</v>
      </c>
      <c r="AE157">
        <f t="shared" si="95"/>
        <v>0</v>
      </c>
      <c r="AF157">
        <f t="shared" si="96"/>
        <v>2.2271369377404025E-3</v>
      </c>
      <c r="AG157">
        <f t="shared" si="97"/>
        <v>0</v>
      </c>
      <c r="AH157">
        <f t="shared" si="98"/>
        <v>20.322624556881173</v>
      </c>
      <c r="AI157">
        <f t="shared" si="99"/>
        <v>4.3762393961994238E-2</v>
      </c>
      <c r="AJ157">
        <f t="shared" si="100"/>
        <v>399.33184490319741</v>
      </c>
      <c r="AK157">
        <f t="shared" si="101"/>
        <v>2.2389022085083548E-3</v>
      </c>
      <c r="AL157">
        <f t="shared" si="102"/>
        <v>20.429982652638738</v>
      </c>
      <c r="AM157" s="8">
        <v>0.6</v>
      </c>
      <c r="AN157" s="8">
        <v>0.05</v>
      </c>
      <c r="BW157" t="s">
        <v>56</v>
      </c>
      <c r="BX157">
        <v>0.33</v>
      </c>
      <c r="BY157">
        <v>0.13</v>
      </c>
      <c r="BZ157">
        <v>0.39</v>
      </c>
      <c r="CA157">
        <v>0.36</v>
      </c>
      <c r="CB157">
        <v>0.26</v>
      </c>
      <c r="CC157">
        <v>0.11</v>
      </c>
      <c r="CD157">
        <v>0.4</v>
      </c>
      <c r="CE157">
        <v>0.44</v>
      </c>
      <c r="CF157">
        <v>0.37</v>
      </c>
      <c r="CG157">
        <v>-0.01</v>
      </c>
      <c r="CJ157" s="12"/>
    </row>
    <row r="158" spans="11:94" x14ac:dyDescent="0.2">
      <c r="L158" t="s">
        <v>55</v>
      </c>
      <c r="M158">
        <v>110</v>
      </c>
      <c r="N158" s="8">
        <v>460</v>
      </c>
      <c r="O158" s="8">
        <v>0.3</v>
      </c>
      <c r="P158" cm="1">
        <f t="array" ref="P158">_xlfn.XLOOKUP(K$27,$BX$169:$CG$169,_xlfn.XLOOKUP($D$11,$BW$170:$BW$176,$BX$170:$CG$176))</f>
        <v>500</v>
      </c>
      <c r="Q158">
        <f t="shared" si="103"/>
        <v>0.92</v>
      </c>
      <c r="R158">
        <v>0</v>
      </c>
      <c r="S158">
        <v>1</v>
      </c>
      <c r="T158">
        <f t="shared" ref="T158:T164" si="104">R158+S158</f>
        <v>1</v>
      </c>
      <c r="U158">
        <v>1.1000000000000001</v>
      </c>
      <c r="V158">
        <f t="shared" ref="V158:V164" si="105">(T158*U158)+(1 - T158)</f>
        <v>1.1000000000000001</v>
      </c>
      <c r="W158">
        <v>0</v>
      </c>
      <c r="X158">
        <f>VLOOKUP($G$141, $CL$17:$CN$25, 3, FALSE)</f>
        <v>4</v>
      </c>
      <c r="Y158">
        <f t="shared" si="89"/>
        <v>4</v>
      </c>
      <c r="Z158">
        <f t="shared" si="90"/>
        <v>6.9829999999999997</v>
      </c>
      <c r="AA158">
        <f t="shared" si="91"/>
        <v>2.3517553465919043E-2</v>
      </c>
      <c r="AB158">
        <f t="shared" si="92"/>
        <v>1.0706068043775374</v>
      </c>
      <c r="AC158">
        <f t="shared" si="93"/>
        <v>8.7336245783600006</v>
      </c>
      <c r="AD158">
        <f t="shared" si="94"/>
        <v>3.9615721087440963</v>
      </c>
      <c r="AE158">
        <f t="shared" si="95"/>
        <v>0</v>
      </c>
      <c r="AF158">
        <f t="shared" si="96"/>
        <v>2.3489016732319238E-3</v>
      </c>
      <c r="AG158">
        <f t="shared" si="97"/>
        <v>0</v>
      </c>
      <c r="AH158">
        <f t="shared" si="98"/>
        <v>23.577100545065438</v>
      </c>
      <c r="AI158">
        <f t="shared" si="99"/>
        <v>4.1174805825771814E-2</v>
      </c>
      <c r="AJ158">
        <f t="shared" si="100"/>
        <v>413.29211347618457</v>
      </c>
      <c r="AK158">
        <f t="shared" si="101"/>
        <v>3.1376076538448608E-2</v>
      </c>
      <c r="AL158">
        <f t="shared" si="102"/>
        <v>314.93736825467789</v>
      </c>
      <c r="AM158">
        <v>0.5</v>
      </c>
      <c r="AN158">
        <v>7.0000000000000007E-2</v>
      </c>
      <c r="BW158" t="s">
        <v>57</v>
      </c>
      <c r="BX158">
        <v>0.61</v>
      </c>
      <c r="BY158">
        <v>-0.06</v>
      </c>
      <c r="BZ158">
        <v>0.21</v>
      </c>
      <c r="CA158">
        <v>0.18</v>
      </c>
      <c r="CB158">
        <v>0.12</v>
      </c>
      <c r="CC158">
        <v>0.06</v>
      </c>
      <c r="CD158">
        <v>0.28999999999999998</v>
      </c>
      <c r="CE158">
        <v>0.41</v>
      </c>
      <c r="CF158">
        <v>0.41</v>
      </c>
      <c r="CG158">
        <v>-0.15</v>
      </c>
      <c r="CJ158" s="12"/>
    </row>
    <row r="159" spans="11:94" x14ac:dyDescent="0.2">
      <c r="L159" t="s">
        <v>56</v>
      </c>
      <c r="M159">
        <v>120</v>
      </c>
      <c r="N159" s="8">
        <v>470</v>
      </c>
      <c r="O159" s="8">
        <v>0.2</v>
      </c>
      <c r="P159" cm="1">
        <f t="array" ref="P159">_xlfn.XLOOKUP(K$27,$BX$169:$CG$169,_xlfn.XLOOKUP($D$11,$BW$170:$BW$176,$BX$170:$CG$176))</f>
        <v>500</v>
      </c>
      <c r="Q159">
        <f t="shared" si="103"/>
        <v>0.94</v>
      </c>
      <c r="R159">
        <v>0</v>
      </c>
      <c r="S159">
        <v>0</v>
      </c>
      <c r="T159">
        <f t="shared" si="104"/>
        <v>0</v>
      </c>
      <c r="U159">
        <v>1</v>
      </c>
      <c r="V159">
        <f t="shared" si="105"/>
        <v>1</v>
      </c>
      <c r="W159">
        <v>0</v>
      </c>
      <c r="X159">
        <v>0</v>
      </c>
      <c r="Y159">
        <f t="shared" si="89"/>
        <v>0</v>
      </c>
      <c r="Z159">
        <f t="shared" si="90"/>
        <v>5.3789999999999996</v>
      </c>
      <c r="AA159">
        <f t="shared" si="91"/>
        <v>2.2834784694911224E-3</v>
      </c>
      <c r="AB159">
        <f t="shared" si="92"/>
        <v>1.0464376183784707</v>
      </c>
      <c r="AC159">
        <f t="shared" si="93"/>
        <v>7.8818316516000015</v>
      </c>
      <c r="AD159">
        <f t="shared" si="94"/>
        <v>4.2372726959001605</v>
      </c>
      <c r="AE159">
        <f t="shared" si="95"/>
        <v>0</v>
      </c>
      <c r="AF159">
        <f t="shared" si="96"/>
        <v>2.5123705064894366E-3</v>
      </c>
      <c r="AG159">
        <f t="shared" si="97"/>
        <v>0</v>
      </c>
      <c r="AH159">
        <f t="shared" si="98"/>
        <v>27.510457046059333</v>
      </c>
      <c r="AI159">
        <f t="shared" si="99"/>
        <v>4.3783082998342951E-2</v>
      </c>
      <c r="AJ159">
        <f t="shared" si="100"/>
        <v>479.42475883185529</v>
      </c>
      <c r="AK159">
        <f t="shared" si="101"/>
        <v>7.8266159670197635E-2</v>
      </c>
      <c r="AL159">
        <f t="shared" si="102"/>
        <v>857.01444838866405</v>
      </c>
      <c r="AM159">
        <v>0.4</v>
      </c>
      <c r="AN159">
        <v>0.1</v>
      </c>
      <c r="BU159" t="s">
        <v>81</v>
      </c>
      <c r="BV159" t="s">
        <v>80</v>
      </c>
      <c r="BW159" t="s">
        <v>54</v>
      </c>
      <c r="BX159">
        <v>-0.2</v>
      </c>
      <c r="BY159">
        <v>0.02</v>
      </c>
      <c r="BZ159">
        <v>0.24</v>
      </c>
      <c r="CA159">
        <v>0.3</v>
      </c>
      <c r="CB159">
        <v>0.23</v>
      </c>
      <c r="CC159">
        <v>-0.05</v>
      </c>
      <c r="CD159">
        <v>0.34</v>
      </c>
      <c r="CE159">
        <v>0.3</v>
      </c>
      <c r="CF159">
        <v>0.56999999999999995</v>
      </c>
      <c r="CG159">
        <v>0.52</v>
      </c>
      <c r="CJ159" s="12"/>
    </row>
    <row r="160" spans="11:94" x14ac:dyDescent="0.2">
      <c r="L160" t="s">
        <v>57</v>
      </c>
      <c r="M160">
        <v>130</v>
      </c>
      <c r="N160" s="8">
        <v>480</v>
      </c>
      <c r="O160" s="8">
        <v>0.1</v>
      </c>
      <c r="P160" cm="1">
        <f t="array" ref="P160">_xlfn.XLOOKUP(K$27,$BX$169:$CG$169,_xlfn.XLOOKUP($D$11,$BW$170:$BW$176,$BX$170:$CG$176))</f>
        <v>500</v>
      </c>
      <c r="Q160">
        <f t="shared" si="103"/>
        <v>0.96</v>
      </c>
      <c r="R160">
        <v>0</v>
      </c>
      <c r="S160">
        <v>0</v>
      </c>
      <c r="T160">
        <f t="shared" si="104"/>
        <v>0</v>
      </c>
      <c r="U160">
        <v>1</v>
      </c>
      <c r="V160">
        <f t="shared" si="105"/>
        <v>1</v>
      </c>
      <c r="W160">
        <v>0</v>
      </c>
      <c r="X160">
        <v>0</v>
      </c>
      <c r="Y160">
        <f t="shared" si="89"/>
        <v>0</v>
      </c>
      <c r="Z160">
        <f t="shared" si="90"/>
        <v>3.7749999999999995</v>
      </c>
      <c r="AA160">
        <f t="shared" si="91"/>
        <v>1.1328819883808868E-3</v>
      </c>
      <c r="AB160">
        <f t="shared" si="92"/>
        <v>1.0229132636067324</v>
      </c>
      <c r="AC160">
        <f t="shared" si="93"/>
        <v>7.8213071555999987</v>
      </c>
      <c r="AD160">
        <f t="shared" si="94"/>
        <v>4.8617245279209591</v>
      </c>
      <c r="AE160">
        <f t="shared" si="95"/>
        <v>0</v>
      </c>
      <c r="AF160">
        <f t="shared" si="96"/>
        <v>2.88262148585414E-3</v>
      </c>
      <c r="AG160">
        <f t="shared" si="97"/>
        <v>0</v>
      </c>
      <c r="AH160">
        <f t="shared" si="98"/>
        <v>34.195097375944734</v>
      </c>
      <c r="AI160">
        <f t="shared" si="99"/>
        <v>5.2272611391450806E-2</v>
      </c>
      <c r="AJ160">
        <f t="shared" si="100"/>
        <v>620.08385263108516</v>
      </c>
      <c r="AK160">
        <f t="shared" si="101"/>
        <v>0.10747283514163058</v>
      </c>
      <c r="AL160">
        <f t="shared" si="102"/>
        <v>1274.896506867593</v>
      </c>
      <c r="AM160">
        <v>0.3</v>
      </c>
      <c r="AN160">
        <v>0.13</v>
      </c>
      <c r="BW160" t="s">
        <v>55</v>
      </c>
      <c r="BX160">
        <v>0.62</v>
      </c>
      <c r="BY160">
        <v>0.21</v>
      </c>
      <c r="BZ160">
        <v>0.25</v>
      </c>
      <c r="CA160">
        <v>0.32</v>
      </c>
      <c r="CB160">
        <v>0.47</v>
      </c>
      <c r="CC160">
        <v>0.31</v>
      </c>
      <c r="CD160">
        <v>0.14000000000000001</v>
      </c>
      <c r="CE160">
        <v>0.4</v>
      </c>
      <c r="CF160">
        <v>0.26</v>
      </c>
      <c r="CG160">
        <v>0.43</v>
      </c>
    </row>
    <row r="161" spans="11:88" x14ac:dyDescent="0.2">
      <c r="K161" t="s">
        <v>47</v>
      </c>
      <c r="L161" t="s">
        <v>54</v>
      </c>
      <c r="M161">
        <v>50</v>
      </c>
      <c r="N161" s="8">
        <v>470</v>
      </c>
      <c r="O161" s="8">
        <v>0.3</v>
      </c>
      <c r="P161" cm="1">
        <f t="array" ref="P161">_xlfn.XLOOKUP(K$31,$BX$169:$CG$169,_xlfn.XLOOKUP($D$11,$BW$170:$BW$176,$BX$170:$CG$176))</f>
        <v>500</v>
      </c>
      <c r="Q161">
        <f t="shared" si="103"/>
        <v>0.94</v>
      </c>
      <c r="R161">
        <v>1</v>
      </c>
      <c r="S161">
        <v>0</v>
      </c>
      <c r="T161">
        <f t="shared" si="104"/>
        <v>1</v>
      </c>
      <c r="U161">
        <v>1.3</v>
      </c>
      <c r="V161">
        <f t="shared" si="105"/>
        <v>1.3</v>
      </c>
      <c r="W161">
        <v>0</v>
      </c>
      <c r="X161">
        <f>VLOOKUP($G$141, $CL$17:$CN$25, 2, FALSE)</f>
        <v>6</v>
      </c>
      <c r="Y161">
        <f t="shared" si="89"/>
        <v>6</v>
      </c>
      <c r="Z161">
        <f t="shared" si="90"/>
        <v>8.5869999999999997</v>
      </c>
      <c r="AA161">
        <f t="shared" si="91"/>
        <v>3.3518947185399814E-2</v>
      </c>
      <c r="AB161">
        <f t="shared" si="92"/>
        <v>1.0700516381378118</v>
      </c>
      <c r="AC161">
        <f t="shared" si="93"/>
        <v>10.477602046080001</v>
      </c>
      <c r="AD161">
        <f t="shared" si="94"/>
        <v>3.872521716231168</v>
      </c>
      <c r="AE161">
        <f t="shared" si="95"/>
        <v>0</v>
      </c>
      <c r="AF161">
        <f t="shared" si="96"/>
        <v>2.2961017720225302E-3</v>
      </c>
      <c r="AG161">
        <f t="shared" si="97"/>
        <v>0</v>
      </c>
      <c r="AH161">
        <f t="shared" si="98"/>
        <v>10.475964334852794</v>
      </c>
      <c r="AI161">
        <f t="shared" si="99"/>
        <v>4.5117526731890366E-2</v>
      </c>
      <c r="AJ161">
        <f t="shared" si="100"/>
        <v>205.84871571424978</v>
      </c>
      <c r="AK161">
        <f t="shared" si="101"/>
        <v>3.4077571637815009E-3</v>
      </c>
      <c r="AL161">
        <f t="shared" si="102"/>
        <v>15.547892059753098</v>
      </c>
      <c r="AM161" s="8">
        <v>0.6</v>
      </c>
      <c r="AN161" s="8">
        <v>0.05</v>
      </c>
      <c r="BW161" t="s">
        <v>56</v>
      </c>
      <c r="BX161">
        <v>0.4</v>
      </c>
      <c r="BY161">
        <v>0.13</v>
      </c>
      <c r="BZ161">
        <v>0.12</v>
      </c>
      <c r="CA161">
        <v>0.27</v>
      </c>
      <c r="CB161">
        <v>0.3</v>
      </c>
      <c r="CC161">
        <v>0.08</v>
      </c>
      <c r="CD161">
        <v>0.13</v>
      </c>
      <c r="CE161">
        <v>0.24</v>
      </c>
      <c r="CF161">
        <v>0.15</v>
      </c>
      <c r="CG161">
        <v>0.21</v>
      </c>
    </row>
    <row r="162" spans="11:88" x14ac:dyDescent="0.2">
      <c r="L162" t="s">
        <v>55</v>
      </c>
      <c r="M162">
        <v>55</v>
      </c>
      <c r="N162" s="8">
        <v>480</v>
      </c>
      <c r="O162" s="8">
        <v>0.4</v>
      </c>
      <c r="P162" cm="1">
        <f t="array" ref="P162">_xlfn.XLOOKUP(K$31,$BX$169:$CG$169,_xlfn.XLOOKUP($D$11,$BW$170:$BW$176,$BX$170:$CG$176))</f>
        <v>500</v>
      </c>
      <c r="Q162">
        <f t="shared" si="103"/>
        <v>0.96</v>
      </c>
      <c r="R162">
        <v>0</v>
      </c>
      <c r="S162">
        <v>1</v>
      </c>
      <c r="T162">
        <f t="shared" si="104"/>
        <v>1</v>
      </c>
      <c r="U162">
        <v>1.1000000000000001</v>
      </c>
      <c r="V162">
        <f t="shared" si="105"/>
        <v>1.1000000000000001</v>
      </c>
      <c r="W162">
        <v>0</v>
      </c>
      <c r="X162">
        <f>VLOOKUP($G$141, $CL$17:$CN$25, 3, FALSE)</f>
        <v>4</v>
      </c>
      <c r="Y162">
        <f t="shared" si="89"/>
        <v>4</v>
      </c>
      <c r="Z162">
        <f t="shared" si="90"/>
        <v>6.9829999999999997</v>
      </c>
      <c r="AA162">
        <f t="shared" si="91"/>
        <v>2.4593112309863371E-2</v>
      </c>
      <c r="AB162">
        <f t="shared" si="92"/>
        <v>1.0932103169135521</v>
      </c>
      <c r="AC162">
        <f t="shared" si="93"/>
        <v>9.1946867601599997</v>
      </c>
      <c r="AD162">
        <f t="shared" si="94"/>
        <v>4.170709914408576</v>
      </c>
      <c r="AE162">
        <f t="shared" si="95"/>
        <v>0</v>
      </c>
      <c r="AF162">
        <f t="shared" si="96"/>
        <v>2.4729039955869963E-3</v>
      </c>
      <c r="AG162">
        <f t="shared" si="97"/>
        <v>0</v>
      </c>
      <c r="AH162">
        <f t="shared" si="98"/>
        <v>12.410886927852237</v>
      </c>
      <c r="AI162">
        <f t="shared" si="99"/>
        <v>4.3348490490013082E-2</v>
      </c>
      <c r="AJ162">
        <f t="shared" si="100"/>
        <v>217.55523664675314</v>
      </c>
      <c r="AK162">
        <f t="shared" si="101"/>
        <v>3.3234028598897875E-2</v>
      </c>
      <c r="AL162">
        <f t="shared" si="102"/>
        <v>166.7932810307187</v>
      </c>
      <c r="AM162">
        <v>0.5</v>
      </c>
      <c r="AN162">
        <v>7.0000000000000007E-2</v>
      </c>
      <c r="BW162" t="s">
        <v>57</v>
      </c>
      <c r="BX162">
        <v>0.08</v>
      </c>
      <c r="BY162">
        <v>0.04</v>
      </c>
      <c r="BZ162">
        <v>0.06</v>
      </c>
      <c r="CA162">
        <v>0.18</v>
      </c>
      <c r="CB162">
        <v>0.11</v>
      </c>
      <c r="CC162">
        <v>-7.0000000000000007E-2</v>
      </c>
      <c r="CD162">
        <v>0.13</v>
      </c>
      <c r="CE162">
        <v>0.16</v>
      </c>
      <c r="CF162">
        <v>0.4</v>
      </c>
      <c r="CG162">
        <v>0.33</v>
      </c>
    </row>
    <row r="163" spans="11:88" x14ac:dyDescent="0.2">
      <c r="L163" t="s">
        <v>56</v>
      </c>
      <c r="M163">
        <v>60</v>
      </c>
      <c r="N163" s="8">
        <v>490</v>
      </c>
      <c r="O163" s="8">
        <v>0.5</v>
      </c>
      <c r="P163" cm="1">
        <f t="array" ref="P163">_xlfn.XLOOKUP(K$31,$BX$169:$CG$169,_xlfn.XLOOKUP($D$11,$BW$170:$BW$176,$BX$170:$CG$176))</f>
        <v>500</v>
      </c>
      <c r="Q163">
        <f t="shared" si="103"/>
        <v>0.98</v>
      </c>
      <c r="R163">
        <v>0</v>
      </c>
      <c r="S163">
        <v>0</v>
      </c>
      <c r="T163">
        <f t="shared" si="104"/>
        <v>0</v>
      </c>
      <c r="U163">
        <v>1</v>
      </c>
      <c r="V163">
        <f t="shared" si="105"/>
        <v>1</v>
      </c>
      <c r="W163">
        <v>0</v>
      </c>
      <c r="X163">
        <v>0</v>
      </c>
      <c r="Y163">
        <f t="shared" si="89"/>
        <v>0</v>
      </c>
      <c r="Z163">
        <f t="shared" si="90"/>
        <v>5.3789999999999996</v>
      </c>
      <c r="AA163">
        <f t="shared" si="91"/>
        <v>5.6227032458970004E-3</v>
      </c>
      <c r="AB163">
        <f t="shared" si="92"/>
        <v>1.1162895748073525</v>
      </c>
      <c r="AC163">
        <f t="shared" si="93"/>
        <v>8.6603072656000002</v>
      </c>
      <c r="AD163">
        <f t="shared" si="94"/>
        <v>4.6557811859865605</v>
      </c>
      <c r="AE163">
        <f t="shared" si="95"/>
        <v>0</v>
      </c>
      <c r="AF163">
        <f t="shared" si="96"/>
        <v>2.7605132300450486E-3</v>
      </c>
      <c r="AG163">
        <f t="shared" si="97"/>
        <v>0</v>
      </c>
      <c r="AH163">
        <f t="shared" si="98"/>
        <v>15.11380993449664</v>
      </c>
      <c r="AI163">
        <f t="shared" si="99"/>
        <v>4.810746645723462E-2</v>
      </c>
      <c r="AJ163">
        <f t="shared" si="100"/>
        <v>263.38837885335954</v>
      </c>
      <c r="AK163">
        <f t="shared" si="101"/>
        <v>8.3001758098854142E-2</v>
      </c>
      <c r="AL163">
        <f t="shared" si="102"/>
        <v>454.43462559122639</v>
      </c>
      <c r="AM163">
        <v>0.4</v>
      </c>
      <c r="AN163">
        <v>0.1</v>
      </c>
    </row>
    <row r="164" spans="11:88" x14ac:dyDescent="0.2">
      <c r="L164" t="s">
        <v>57</v>
      </c>
      <c r="M164">
        <v>65</v>
      </c>
      <c r="N164" s="8">
        <v>500</v>
      </c>
      <c r="O164" s="8">
        <v>0.6</v>
      </c>
      <c r="P164" cm="1">
        <f t="array" ref="P164">_xlfn.XLOOKUP(K$31,$BX$169:$CG$169,_xlfn.XLOOKUP($D$11,$BW$170:$BW$176,$BX$170:$CG$176))</f>
        <v>500</v>
      </c>
      <c r="Q164">
        <f t="shared" si="103"/>
        <v>1</v>
      </c>
      <c r="R164">
        <v>0</v>
      </c>
      <c r="S164">
        <v>0</v>
      </c>
      <c r="T164">
        <f t="shared" si="104"/>
        <v>0</v>
      </c>
      <c r="U164">
        <v>1</v>
      </c>
      <c r="V164">
        <f t="shared" si="105"/>
        <v>1</v>
      </c>
      <c r="W164">
        <v>0</v>
      </c>
      <c r="X164">
        <v>0</v>
      </c>
      <c r="Y164">
        <f t="shared" si="89"/>
        <v>0</v>
      </c>
      <c r="Z164">
        <f t="shared" si="90"/>
        <v>3.7749999999999995</v>
      </c>
      <c r="AA164">
        <f t="shared" si="91"/>
        <v>6.7040811122333109E-3</v>
      </c>
      <c r="AB164">
        <f t="shared" si="92"/>
        <v>1.1392993794503703</v>
      </c>
      <c r="AC164">
        <f t="shared" si="93"/>
        <v>8.9640360000000019</v>
      </c>
      <c r="AD164">
        <f t="shared" si="94"/>
        <v>5.5720447776000004</v>
      </c>
      <c r="AE164">
        <f t="shared" si="95"/>
        <v>0</v>
      </c>
      <c r="AF164">
        <f t="shared" si="96"/>
        <v>3.303785704806236E-3</v>
      </c>
      <c r="AG164">
        <f t="shared" si="97"/>
        <v>0</v>
      </c>
      <c r="AH164">
        <f t="shared" si="98"/>
        <v>19.59557896163199</v>
      </c>
      <c r="AI164">
        <f t="shared" si="99"/>
        <v>5.990987964096002E-2</v>
      </c>
      <c r="AJ164">
        <f t="shared" si="100"/>
        <v>355.34047362044413</v>
      </c>
      <c r="AK164">
        <f t="shared" si="101"/>
        <v>0.11797701462315133</v>
      </c>
      <c r="AL164">
        <f t="shared" si="102"/>
        <v>699.75116798356635</v>
      </c>
      <c r="AM164">
        <v>0.3</v>
      </c>
      <c r="AN164">
        <v>0.13</v>
      </c>
    </row>
    <row r="165" spans="11:88" x14ac:dyDescent="0.2">
      <c r="K165" t="s">
        <v>48</v>
      </c>
      <c r="L165" t="s">
        <v>54</v>
      </c>
      <c r="M165">
        <v>200</v>
      </c>
      <c r="N165" s="8">
        <v>70</v>
      </c>
      <c r="O165" s="8">
        <v>0.7</v>
      </c>
      <c r="P165" cm="1">
        <f t="array" ref="P165">_xlfn.XLOOKUP(K$35,$BX$169:$CG$169,_xlfn.XLOOKUP($D$11,$BW$170:$BW$176,$BX$170:$CG$176))</f>
        <v>500</v>
      </c>
      <c r="Q165">
        <f t="shared" si="103"/>
        <v>0.14000000000000001</v>
      </c>
      <c r="S165">
        <v>0</v>
      </c>
      <c r="V165">
        <v>1</v>
      </c>
      <c r="W165">
        <f>VLOOKUP($G$141, $CL$17:$CN$25, 2, FALSE)</f>
        <v>6</v>
      </c>
      <c r="X165">
        <v>0</v>
      </c>
      <c r="Y165">
        <f t="shared" si="89"/>
        <v>0</v>
      </c>
      <c r="Z165">
        <f t="shared" si="90"/>
        <v>8.5869999999999997</v>
      </c>
      <c r="AA165">
        <f t="shared" si="91"/>
        <v>1.9804183119034049E-2</v>
      </c>
      <c r="AB165">
        <f t="shared" si="92"/>
        <v>1.3178594998320508</v>
      </c>
      <c r="AC165">
        <f t="shared" si="93"/>
        <v>2.9260155136000003</v>
      </c>
      <c r="AD165">
        <f t="shared" si="94"/>
        <v>1.08145533382656</v>
      </c>
      <c r="AE165">
        <f t="shared" si="95"/>
        <v>0</v>
      </c>
      <c r="AF165">
        <f t="shared" si="96"/>
        <v>6.4121822686097807E-4</v>
      </c>
      <c r="AG165">
        <f t="shared" si="97"/>
        <v>0</v>
      </c>
      <c r="AH165">
        <f t="shared" si="98"/>
        <v>11.70223264021285</v>
      </c>
      <c r="AI165">
        <f t="shared" si="99"/>
        <v>1.5007217846773051E-2</v>
      </c>
      <c r="AJ165">
        <f t="shared" si="100"/>
        <v>273.8817257036082</v>
      </c>
      <c r="AK165">
        <f t="shared" si="101"/>
        <v>1.826483902346137E-2</v>
      </c>
      <c r="AL165">
        <f t="shared" si="102"/>
        <v>333.33331217816999</v>
      </c>
      <c r="AM165" s="8">
        <v>0.6</v>
      </c>
      <c r="AN165" s="8">
        <v>0.05</v>
      </c>
    </row>
    <row r="166" spans="11:88" x14ac:dyDescent="0.2">
      <c r="L166" t="s">
        <v>55</v>
      </c>
      <c r="M166">
        <v>130</v>
      </c>
      <c r="N166" s="8">
        <v>75</v>
      </c>
      <c r="O166" s="8">
        <v>0.8</v>
      </c>
      <c r="P166" cm="1">
        <f t="array" ref="P166">_xlfn.XLOOKUP(K$35,$BX$169:$CG$169,_xlfn.XLOOKUP($D$11,$BW$170:$BW$176,$BX$170:$CG$176))</f>
        <v>500</v>
      </c>
      <c r="Q166">
        <f t="shared" si="103"/>
        <v>0.15</v>
      </c>
      <c r="V166">
        <v>1</v>
      </c>
      <c r="W166">
        <f>VLOOKUP($G$141, $CL$17:$CN$25, 3, FALSE)</f>
        <v>4</v>
      </c>
      <c r="X166">
        <v>0</v>
      </c>
      <c r="Y166">
        <f t="shared" si="89"/>
        <v>0</v>
      </c>
      <c r="Z166">
        <f t="shared" si="90"/>
        <v>6.9829999999999997</v>
      </c>
      <c r="AA166">
        <f t="shared" si="91"/>
        <v>2.2449442161161026E-2</v>
      </c>
      <c r="AB166">
        <f t="shared" si="92"/>
        <v>1.3614006938157037</v>
      </c>
      <c r="AC166">
        <f t="shared" si="93"/>
        <v>3.107728265625</v>
      </c>
      <c r="AD166">
        <f t="shared" si="94"/>
        <v>1.4096655412874999</v>
      </c>
      <c r="AE166">
        <f t="shared" si="95"/>
        <v>0</v>
      </c>
      <c r="AF166">
        <f t="shared" si="96"/>
        <v>8.358211482050506E-4</v>
      </c>
      <c r="AG166">
        <f t="shared" si="97"/>
        <v>0</v>
      </c>
      <c r="AH166">
        <f t="shared" si="98"/>
        <v>9.9149283705824125</v>
      </c>
      <c r="AI166">
        <f t="shared" si="99"/>
        <v>1.6256447819739891E-2</v>
      </c>
      <c r="AJ166">
        <f t="shared" si="100"/>
        <v>192.84211226166443</v>
      </c>
      <c r="AK166">
        <f t="shared" si="101"/>
        <v>1.5714814838224331E-2</v>
      </c>
      <c r="AL166">
        <f t="shared" si="102"/>
        <v>186.41699101843611</v>
      </c>
      <c r="AM166">
        <v>0.5</v>
      </c>
      <c r="AN166">
        <v>7.0000000000000007E-2</v>
      </c>
      <c r="BU166" t="s">
        <v>139</v>
      </c>
    </row>
    <row r="167" spans="11:88" x14ac:dyDescent="0.2">
      <c r="L167" t="s">
        <v>56</v>
      </c>
      <c r="M167">
        <v>250</v>
      </c>
      <c r="N167" s="8">
        <v>100</v>
      </c>
      <c r="O167" s="8">
        <v>0.9</v>
      </c>
      <c r="P167" cm="1">
        <f t="array" ref="P167">_xlfn.XLOOKUP(K$35,$BX$169:$CG$169,_xlfn.XLOOKUP($D$11,$BW$170:$BW$176,$BX$170:$CG$176))</f>
        <v>500</v>
      </c>
      <c r="Q167">
        <f t="shared" si="103"/>
        <v>0.2</v>
      </c>
      <c r="V167">
        <v>1</v>
      </c>
      <c r="W167">
        <v>0</v>
      </c>
      <c r="X167">
        <v>0</v>
      </c>
      <c r="Y167">
        <f t="shared" si="89"/>
        <v>0</v>
      </c>
      <c r="Z167">
        <f t="shared" si="90"/>
        <v>5.3789999999999996</v>
      </c>
      <c r="AA167">
        <f t="shared" si="91"/>
        <v>2.4295577897473983E-2</v>
      </c>
      <c r="AB167">
        <f t="shared" si="92"/>
        <v>1.3824102946879606</v>
      </c>
      <c r="AC167">
        <f t="shared" si="93"/>
        <v>3.5967122500000004</v>
      </c>
      <c r="AD167">
        <f t="shared" si="94"/>
        <v>1.9335925056000001</v>
      </c>
      <c r="AE167">
        <f t="shared" si="95"/>
        <v>0</v>
      </c>
      <c r="AF167">
        <f t="shared" si="96"/>
        <v>1.1464687621683611E-3</v>
      </c>
      <c r="AG167">
        <f t="shared" si="97"/>
        <v>0</v>
      </c>
      <c r="AH167">
        <f t="shared" si="98"/>
        <v>26.153818636965738</v>
      </c>
      <c r="AI167">
        <f t="shared" si="99"/>
        <v>1.9979512113905602E-2</v>
      </c>
      <c r="AJ167">
        <f t="shared" si="100"/>
        <v>455.78262009847157</v>
      </c>
      <c r="AK167">
        <f t="shared" si="101"/>
        <v>1.2715745120430787E-2</v>
      </c>
      <c r="AL167">
        <f t="shared" si="102"/>
        <v>290.07793555982732</v>
      </c>
      <c r="AM167">
        <v>0.4</v>
      </c>
      <c r="AN167">
        <v>0.1</v>
      </c>
      <c r="BU167" t="s">
        <v>138</v>
      </c>
    </row>
    <row r="168" spans="11:88" x14ac:dyDescent="0.2">
      <c r="L168" t="s">
        <v>57</v>
      </c>
      <c r="M168">
        <v>150</v>
      </c>
      <c r="N168" s="8">
        <v>105</v>
      </c>
      <c r="O168" s="8">
        <v>1</v>
      </c>
      <c r="P168" cm="1">
        <f t="array" ref="P168">_xlfn.XLOOKUP(K$35,$BX$169:$CG$169,_xlfn.XLOOKUP($D$11,$BW$170:$BW$176,$BX$170:$CG$176))</f>
        <v>500</v>
      </c>
      <c r="Q168">
        <f t="shared" si="103"/>
        <v>0.21</v>
      </c>
      <c r="V168">
        <v>1</v>
      </c>
      <c r="W168">
        <v>0</v>
      </c>
      <c r="X168">
        <v>0</v>
      </c>
      <c r="Y168">
        <f t="shared" si="89"/>
        <v>0</v>
      </c>
      <c r="Z168">
        <f t="shared" si="90"/>
        <v>3.7749999999999995</v>
      </c>
      <c r="AA168">
        <f t="shared" si="91"/>
        <v>2.6727493467467511E-2</v>
      </c>
      <c r="AB168">
        <f t="shared" si="92"/>
        <v>1.4229922189056508</v>
      </c>
      <c r="AC168">
        <f t="shared" si="93"/>
        <v>3.7948403612249999</v>
      </c>
      <c r="AD168">
        <f t="shared" si="94"/>
        <v>2.3588727685374598</v>
      </c>
      <c r="AE168">
        <f t="shared" si="95"/>
        <v>0</v>
      </c>
      <c r="AF168">
        <f t="shared" si="96"/>
        <v>1.3986266161176602E-3</v>
      </c>
      <c r="AG168">
        <f t="shared" si="97"/>
        <v>0</v>
      </c>
      <c r="AH168">
        <f t="shared" si="98"/>
        <v>19.143701808110475</v>
      </c>
      <c r="AI168">
        <f t="shared" si="99"/>
        <v>2.5362284276596713E-2</v>
      </c>
      <c r="AJ168">
        <f t="shared" si="100"/>
        <v>347.14626603591751</v>
      </c>
      <c r="AK168">
        <f t="shared" si="101"/>
        <v>2.626559766907291E-2</v>
      </c>
      <c r="AL168">
        <f t="shared" si="102"/>
        <v>359.51036809543541</v>
      </c>
      <c r="AM168">
        <v>0.3</v>
      </c>
      <c r="AN168">
        <v>0.13</v>
      </c>
    </row>
    <row r="169" spans="11:88" x14ac:dyDescent="0.2">
      <c r="K169" t="s">
        <v>49</v>
      </c>
      <c r="L169" t="s">
        <v>54</v>
      </c>
      <c r="M169">
        <v>20</v>
      </c>
      <c r="N169" s="8">
        <v>350</v>
      </c>
      <c r="O169" s="8">
        <v>1.1000000000000001</v>
      </c>
      <c r="P169" cm="1">
        <f t="array" ref="P169">_xlfn.XLOOKUP(K$39,$BX$169:$CG$169,_xlfn.XLOOKUP($D$11,$BW$170:$BW$176,$BX$170:$CG$176))</f>
        <v>600</v>
      </c>
      <c r="Q169">
        <f t="shared" si="103"/>
        <v>0.58333333333333337</v>
      </c>
      <c r="V169">
        <v>1</v>
      </c>
      <c r="W169">
        <v>0</v>
      </c>
      <c r="X169">
        <v>0</v>
      </c>
      <c r="Y169">
        <f t="shared" si="89"/>
        <v>0</v>
      </c>
      <c r="Z169">
        <f t="shared" si="90"/>
        <v>8.5869999999999997</v>
      </c>
      <c r="AA169">
        <f t="shared" si="91"/>
        <v>1.7545304826624378E-2</v>
      </c>
      <c r="AB169">
        <f t="shared" si="92"/>
        <v>1.3021361169563495</v>
      </c>
      <c r="AC169">
        <f t="shared" si="93"/>
        <v>7.8512039999999974</v>
      </c>
      <c r="AD169">
        <f t="shared" si="94"/>
        <v>2.9018049983999994</v>
      </c>
      <c r="AE169">
        <f t="shared" si="95"/>
        <v>0</v>
      </c>
      <c r="AF169">
        <f t="shared" si="96"/>
        <v>1.7205428625393249E-3</v>
      </c>
      <c r="AG169">
        <f t="shared" si="97"/>
        <v>0</v>
      </c>
      <c r="AH169">
        <f t="shared" si="98"/>
        <v>3.1399907241342682</v>
      </c>
      <c r="AI169">
        <f t="shared" si="99"/>
        <v>3.3808013015731192E-2</v>
      </c>
      <c r="AJ169">
        <f t="shared" si="100"/>
        <v>61.699623753709425</v>
      </c>
      <c r="AK169">
        <f t="shared" si="101"/>
        <v>1.003213803222228E-2</v>
      </c>
      <c r="AL169">
        <f t="shared" si="102"/>
        <v>18.308651908805661</v>
      </c>
      <c r="AM169" s="8">
        <v>0.6</v>
      </c>
      <c r="AN169" s="8">
        <v>0.05</v>
      </c>
      <c r="BW169" s="2"/>
      <c r="BX169" s="3" t="s">
        <v>42</v>
      </c>
      <c r="BY169" s="3" t="s">
        <v>43</v>
      </c>
      <c r="BZ169" s="3" t="s">
        <v>44</v>
      </c>
      <c r="CA169" s="4" t="s">
        <v>45</v>
      </c>
      <c r="CB169" s="3" t="s">
        <v>46</v>
      </c>
      <c r="CC169" s="3" t="s">
        <v>47</v>
      </c>
      <c r="CD169" s="3" t="s">
        <v>48</v>
      </c>
      <c r="CE169" s="3" t="s">
        <v>49</v>
      </c>
      <c r="CF169" s="3" t="s">
        <v>50</v>
      </c>
      <c r="CG169" s="3" t="s">
        <v>51</v>
      </c>
    </row>
    <row r="170" spans="11:88" x14ac:dyDescent="0.2">
      <c r="L170" t="s">
        <v>55</v>
      </c>
      <c r="M170">
        <v>30</v>
      </c>
      <c r="N170" s="8">
        <v>360</v>
      </c>
      <c r="O170" s="8">
        <v>1.2</v>
      </c>
      <c r="P170" cm="1">
        <f t="array" ref="P170">_xlfn.XLOOKUP(K$39,$BX$169:$CG$169,_xlfn.XLOOKUP($D$11,$BW$170:$BW$176,$BX$170:$CG$176))</f>
        <v>600</v>
      </c>
      <c r="Q170">
        <f>N170/P170</f>
        <v>0.6</v>
      </c>
      <c r="V170">
        <v>1</v>
      </c>
      <c r="W170">
        <v>0</v>
      </c>
      <c r="X170">
        <v>0</v>
      </c>
      <c r="Y170">
        <f t="shared" si="89"/>
        <v>0</v>
      </c>
      <c r="Z170">
        <f t="shared" si="90"/>
        <v>6.9829999999999997</v>
      </c>
      <c r="AA170">
        <f t="shared" si="91"/>
        <v>1.8662272153133458E-2</v>
      </c>
      <c r="AB170">
        <f t="shared" si="92"/>
        <v>1.3277250957104489</v>
      </c>
      <c r="AC170">
        <f t="shared" si="93"/>
        <v>8.1821169936000011</v>
      </c>
      <c r="AD170">
        <f t="shared" si="94"/>
        <v>3.7114082682969607</v>
      </c>
      <c r="AE170">
        <f t="shared" si="95"/>
        <v>0</v>
      </c>
      <c r="AF170">
        <f t="shared" si="96"/>
        <v>2.200574128691863E-3</v>
      </c>
      <c r="AG170">
        <f t="shared" si="97"/>
        <v>0</v>
      </c>
      <c r="AH170">
        <f t="shared" si="98"/>
        <v>6.0240716772939757</v>
      </c>
      <c r="AI170">
        <f t="shared" si="99"/>
        <v>3.8574714934505511E-2</v>
      </c>
      <c r="AJ170">
        <f t="shared" si="100"/>
        <v>105.59828213320884</v>
      </c>
      <c r="AK170">
        <f t="shared" si="101"/>
        <v>3.2948136771436369E-2</v>
      </c>
      <c r="AL170">
        <f t="shared" si="102"/>
        <v>90.195524411807057</v>
      </c>
      <c r="AM170">
        <v>0.5</v>
      </c>
      <c r="AN170">
        <v>7.0000000000000007E-2</v>
      </c>
      <c r="BW170" s="2" t="s">
        <v>190</v>
      </c>
      <c r="BX170" s="11">
        <v>700</v>
      </c>
      <c r="BY170">
        <v>700</v>
      </c>
      <c r="BZ170">
        <v>600</v>
      </c>
      <c r="CA170">
        <v>500</v>
      </c>
      <c r="CB170">
        <v>500</v>
      </c>
      <c r="CC170">
        <v>500</v>
      </c>
      <c r="CD170">
        <v>500</v>
      </c>
      <c r="CE170" s="2">
        <v>600</v>
      </c>
      <c r="CF170" s="2">
        <v>600</v>
      </c>
      <c r="CG170" s="2">
        <v>600</v>
      </c>
    </row>
    <row r="171" spans="11:88" x14ac:dyDescent="0.2">
      <c r="L171" t="s">
        <v>56</v>
      </c>
      <c r="M171">
        <v>60</v>
      </c>
      <c r="N171" s="8">
        <v>350</v>
      </c>
      <c r="O171" s="8">
        <v>1.3</v>
      </c>
      <c r="P171" cm="1">
        <f t="array" ref="P171">_xlfn.XLOOKUP(K$39,$BX$169:$CG$169,_xlfn.XLOOKUP($D$11,$BW$170:$BW$176,$BX$170:$CG$176))</f>
        <v>600</v>
      </c>
      <c r="Q171">
        <f t="shared" ref="Q171:Q180" si="106">N171/P171</f>
        <v>0.58333333333333337</v>
      </c>
      <c r="V171">
        <v>1</v>
      </c>
      <c r="W171">
        <v>0</v>
      </c>
      <c r="X171">
        <v>0</v>
      </c>
      <c r="Y171">
        <f t="shared" si="89"/>
        <v>0</v>
      </c>
      <c r="Z171">
        <f t="shared" si="90"/>
        <v>5.3789999999999996</v>
      </c>
      <c r="AA171">
        <f t="shared" si="91"/>
        <v>2.0712721994091524E-2</v>
      </c>
      <c r="AB171">
        <f t="shared" si="92"/>
        <v>1.3613486834126374</v>
      </c>
      <c r="AC171">
        <f t="shared" si="93"/>
        <v>8.2082249999999988</v>
      </c>
      <c r="AD171">
        <f t="shared" si="94"/>
        <v>4.4127417599999985</v>
      </c>
      <c r="AE171">
        <f t="shared" si="95"/>
        <v>0</v>
      </c>
      <c r="AF171">
        <f t="shared" si="96"/>
        <v>2.6164099047260156E-3</v>
      </c>
      <c r="AG171">
        <f t="shared" si="97"/>
        <v>0</v>
      </c>
      <c r="AH171">
        <f t="shared" si="98"/>
        <v>14.324844228374936</v>
      </c>
      <c r="AI171">
        <f t="shared" si="99"/>
        <v>4.5596177681759983E-2</v>
      </c>
      <c r="AJ171">
        <f t="shared" si="100"/>
        <v>249.63907280763593</v>
      </c>
      <c r="AK171">
        <f t="shared" si="101"/>
        <v>6.3598524198726344E-2</v>
      </c>
      <c r="AL171">
        <f t="shared" si="102"/>
        <v>348.2019199880267</v>
      </c>
      <c r="AM171">
        <v>0.4</v>
      </c>
      <c r="AN171">
        <v>0.1</v>
      </c>
      <c r="BW171" s="2" t="s">
        <v>140</v>
      </c>
      <c r="BX171" s="11">
        <v>700</v>
      </c>
      <c r="BY171">
        <v>700</v>
      </c>
      <c r="BZ171">
        <v>600</v>
      </c>
      <c r="CA171">
        <v>500</v>
      </c>
      <c r="CB171">
        <v>500</v>
      </c>
      <c r="CC171">
        <v>500</v>
      </c>
      <c r="CD171">
        <v>500</v>
      </c>
      <c r="CE171" s="2">
        <v>600</v>
      </c>
      <c r="CF171" s="2">
        <v>600</v>
      </c>
      <c r="CG171" s="2">
        <v>600</v>
      </c>
    </row>
    <row r="172" spans="11:88" x14ac:dyDescent="0.2">
      <c r="L172" t="s">
        <v>57</v>
      </c>
      <c r="M172">
        <v>30</v>
      </c>
      <c r="N172" s="8">
        <v>340</v>
      </c>
      <c r="O172" s="8">
        <v>1.4</v>
      </c>
      <c r="P172" cm="1">
        <f t="array" ref="P172">_xlfn.XLOOKUP(K$39,$BX$169:$CG$169,_xlfn.XLOOKUP($D$11,$BW$170:$BW$176,$BX$170:$CG$176))</f>
        <v>600</v>
      </c>
      <c r="Q172">
        <f t="shared" si="106"/>
        <v>0.56666666666666665</v>
      </c>
      <c r="V172">
        <v>1</v>
      </c>
      <c r="W172">
        <v>0</v>
      </c>
      <c r="X172">
        <v>0</v>
      </c>
      <c r="Y172">
        <f t="shared" si="89"/>
        <v>0</v>
      </c>
      <c r="Z172">
        <f t="shared" si="90"/>
        <v>3.7749999999999995</v>
      </c>
      <c r="AA172">
        <f t="shared" si="91"/>
        <v>2.286474034831034E-2</v>
      </c>
      <c r="AB172">
        <f t="shared" si="92"/>
        <v>1.3962446825746004</v>
      </c>
      <c r="AC172">
        <f t="shared" si="93"/>
        <v>8.2313905215999998</v>
      </c>
      <c r="AD172">
        <f t="shared" si="94"/>
        <v>5.1166323482265597</v>
      </c>
      <c r="AE172">
        <f t="shared" si="95"/>
        <v>0</v>
      </c>
      <c r="AF172">
        <f t="shared" si="96"/>
        <v>3.0337618385222493E-3</v>
      </c>
      <c r="AG172">
        <f t="shared" si="97"/>
        <v>0</v>
      </c>
      <c r="AH172">
        <f t="shared" si="98"/>
        <v>8.3049230329546582</v>
      </c>
      <c r="AI172">
        <f t="shared" si="99"/>
        <v>5.5013346156440573E-2</v>
      </c>
      <c r="AJ172">
        <f t="shared" si="100"/>
        <v>150.59903510325606</v>
      </c>
      <c r="AK172">
        <f t="shared" si="101"/>
        <v>9.1941288590793341E-2</v>
      </c>
      <c r="AL172">
        <f t="shared" si="102"/>
        <v>251.68927751729677</v>
      </c>
      <c r="AM172">
        <v>0.3</v>
      </c>
      <c r="AN172">
        <v>0.13</v>
      </c>
      <c r="BW172" s="2" t="s">
        <v>73</v>
      </c>
      <c r="BX172" s="11">
        <v>770</v>
      </c>
      <c r="BY172">
        <v>770</v>
      </c>
      <c r="BZ172">
        <v>660</v>
      </c>
      <c r="CA172">
        <v>550</v>
      </c>
      <c r="CB172">
        <v>550</v>
      </c>
      <c r="CC172">
        <v>550</v>
      </c>
      <c r="CD172">
        <v>550</v>
      </c>
      <c r="CE172" s="2">
        <v>660</v>
      </c>
      <c r="CF172" s="2">
        <v>660</v>
      </c>
      <c r="CG172" s="2">
        <v>660</v>
      </c>
      <c r="CJ172" s="11">
        <v>7.0070060050050004E+20</v>
      </c>
    </row>
    <row r="173" spans="11:88" x14ac:dyDescent="0.2">
      <c r="K173" t="s">
        <v>50</v>
      </c>
      <c r="L173" t="s">
        <v>54</v>
      </c>
      <c r="M173">
        <v>100</v>
      </c>
      <c r="N173" s="8">
        <v>400</v>
      </c>
      <c r="O173" s="8">
        <v>0.4</v>
      </c>
      <c r="P173" cm="1">
        <f t="array" ref="P173">_xlfn.XLOOKUP(K$43,$BX$169:$CG$169,_xlfn.XLOOKUP($D$11,$BW$170:$BW$176,$BX$170:$CG$176))</f>
        <v>600</v>
      </c>
      <c r="Q173">
        <f t="shared" si="106"/>
        <v>0.66666666666666663</v>
      </c>
      <c r="V173">
        <v>1</v>
      </c>
      <c r="W173">
        <v>0</v>
      </c>
      <c r="X173">
        <v>0</v>
      </c>
      <c r="Y173">
        <f t="shared" si="89"/>
        <v>0</v>
      </c>
      <c r="Z173">
        <f t="shared" si="90"/>
        <v>8.5869999999999997</v>
      </c>
      <c r="AA173">
        <f t="shared" si="91"/>
        <v>5.6952904724846352E-3</v>
      </c>
      <c r="AB173">
        <f t="shared" si="92"/>
        <v>1.0998613485777566</v>
      </c>
      <c r="AC173">
        <f t="shared" si="93"/>
        <v>7.3495209999999993</v>
      </c>
      <c r="AD173">
        <f t="shared" si="94"/>
        <v>2.7163829615999999</v>
      </c>
      <c r="AE173">
        <f t="shared" si="95"/>
        <v>0</v>
      </c>
      <c r="AF173">
        <f t="shared" si="96"/>
        <v>1.6106021318046105E-3</v>
      </c>
      <c r="AG173">
        <f t="shared" si="97"/>
        <v>0</v>
      </c>
      <c r="AH173">
        <f t="shared" si="98"/>
        <v>14.69674445271707</v>
      </c>
      <c r="AI173">
        <f t="shared" si="99"/>
        <v>3.1647719461548797E-2</v>
      </c>
      <c r="AJ173">
        <f t="shared" si="100"/>
        <v>288.78544008663278</v>
      </c>
      <c r="AK173">
        <f t="shared" si="101"/>
        <v>1.9878966209806719E-2</v>
      </c>
      <c r="AL173">
        <f t="shared" si="102"/>
        <v>181.3955666644863</v>
      </c>
      <c r="AM173" s="8">
        <v>0.6</v>
      </c>
      <c r="AN173" s="8">
        <v>0.05</v>
      </c>
      <c r="BW173" s="2" t="s">
        <v>92</v>
      </c>
      <c r="BX173" s="11">
        <v>770</v>
      </c>
      <c r="BY173">
        <v>770</v>
      </c>
      <c r="BZ173">
        <v>660</v>
      </c>
      <c r="CA173">
        <v>550</v>
      </c>
      <c r="CB173">
        <v>550</v>
      </c>
      <c r="CC173">
        <v>550</v>
      </c>
      <c r="CD173">
        <v>550</v>
      </c>
      <c r="CE173" s="2">
        <v>660</v>
      </c>
      <c r="CF173" s="2">
        <v>660</v>
      </c>
      <c r="CG173" s="2">
        <v>660</v>
      </c>
      <c r="CJ173" s="11">
        <v>7.7077066055054996E+20</v>
      </c>
    </row>
    <row r="174" spans="11:88" x14ac:dyDescent="0.2">
      <c r="L174" t="s">
        <v>55</v>
      </c>
      <c r="M174">
        <v>110</v>
      </c>
      <c r="N174" s="8">
        <v>410</v>
      </c>
      <c r="O174" s="8">
        <v>0.3</v>
      </c>
      <c r="P174" cm="1">
        <f t="array" ref="P174">_xlfn.XLOOKUP(K$43,$BX$169:$CG$169,_xlfn.XLOOKUP($D$11,$BW$170:$BW$176,$BX$170:$CG$176))</f>
        <v>600</v>
      </c>
      <c r="Q174">
        <f t="shared" si="106"/>
        <v>0.68333333333333335</v>
      </c>
      <c r="V174">
        <v>1</v>
      </c>
      <c r="W174">
        <v>0</v>
      </c>
      <c r="X174">
        <v>0</v>
      </c>
      <c r="Y174">
        <f t="shared" si="89"/>
        <v>0</v>
      </c>
      <c r="Z174">
        <f t="shared" si="90"/>
        <v>6.9829999999999997</v>
      </c>
      <c r="AA174">
        <f t="shared" si="91"/>
        <v>4.1850313870379317E-3</v>
      </c>
      <c r="AB174">
        <f t="shared" si="92"/>
        <v>1.0737437118823001</v>
      </c>
      <c r="AC174">
        <f t="shared" si="93"/>
        <v>7.3107507456000027</v>
      </c>
      <c r="AD174">
        <f t="shared" si="94"/>
        <v>3.3161565382041611</v>
      </c>
      <c r="AE174">
        <f t="shared" si="95"/>
        <v>0</v>
      </c>
      <c r="AF174">
        <f t="shared" si="96"/>
        <v>1.9662208404824725E-3</v>
      </c>
      <c r="AG174">
        <f t="shared" si="97"/>
        <v>0</v>
      </c>
      <c r="AH174">
        <f t="shared" si="98"/>
        <v>19.735941686342819</v>
      </c>
      <c r="AI174">
        <f t="shared" si="99"/>
        <v>3.4466645513542546E-2</v>
      </c>
      <c r="AJ174">
        <f t="shared" si="100"/>
        <v>345.95895434218329</v>
      </c>
      <c r="AK174">
        <f t="shared" si="101"/>
        <v>4.1625114786965969E-2</v>
      </c>
      <c r="AL174">
        <f t="shared" si="102"/>
        <v>417.81208967417092</v>
      </c>
      <c r="AM174">
        <v>0.5</v>
      </c>
      <c r="AN174">
        <v>7.0000000000000007E-2</v>
      </c>
      <c r="BW174" s="2" t="s">
        <v>93</v>
      </c>
      <c r="BX174" s="11">
        <v>770</v>
      </c>
      <c r="BY174">
        <v>770</v>
      </c>
      <c r="BZ174">
        <v>660</v>
      </c>
      <c r="CA174">
        <v>550</v>
      </c>
      <c r="CB174">
        <v>550</v>
      </c>
      <c r="CC174">
        <v>550</v>
      </c>
      <c r="CD174">
        <v>550</v>
      </c>
      <c r="CE174" s="2">
        <v>660</v>
      </c>
      <c r="CF174" s="2">
        <v>660</v>
      </c>
      <c r="CG174" s="2">
        <v>660</v>
      </c>
      <c r="CJ174" s="11">
        <v>7.7077066055054996E+20</v>
      </c>
    </row>
    <row r="175" spans="11:88" x14ac:dyDescent="0.2">
      <c r="L175" t="s">
        <v>56</v>
      </c>
      <c r="M175">
        <v>120</v>
      </c>
      <c r="N175" s="8">
        <v>420</v>
      </c>
      <c r="O175" s="8">
        <v>0.2</v>
      </c>
      <c r="P175" cm="1">
        <f t="array" ref="P175">_xlfn.XLOOKUP(K$43,$BX$169:$CG$169,_xlfn.XLOOKUP($D$11,$BW$170:$BW$176,$BX$170:$CG$176))</f>
        <v>600</v>
      </c>
      <c r="Q175">
        <f t="shared" si="106"/>
        <v>0.7</v>
      </c>
      <c r="V175">
        <v>1</v>
      </c>
      <c r="W175">
        <v>0</v>
      </c>
      <c r="X175">
        <v>0</v>
      </c>
      <c r="Y175">
        <f t="shared" si="89"/>
        <v>0</v>
      </c>
      <c r="Z175">
        <f t="shared" si="90"/>
        <v>5.3789999999999996</v>
      </c>
      <c r="AA175">
        <f t="shared" si="91"/>
        <v>2.7361243364419979E-3</v>
      </c>
      <c r="AB175">
        <f t="shared" si="92"/>
        <v>1.048423686523229</v>
      </c>
      <c r="AC175">
        <f t="shared" si="93"/>
        <v>7.2692787456000021</v>
      </c>
      <c r="AD175">
        <f t="shared" si="94"/>
        <v>3.9079642536345602</v>
      </c>
      <c r="AE175">
        <f t="shared" si="95"/>
        <v>0</v>
      </c>
      <c r="AF175">
        <f t="shared" si="96"/>
        <v>2.3171164180078095E-3</v>
      </c>
      <c r="AG175">
        <f t="shared" si="97"/>
        <v>0</v>
      </c>
      <c r="AH175">
        <f t="shared" si="98"/>
        <v>25.372424777185515</v>
      </c>
      <c r="AI175">
        <f t="shared" si="99"/>
        <v>4.0380389828814284E-2</v>
      </c>
      <c r="AJ175">
        <f t="shared" si="100"/>
        <v>442.16526862551638</v>
      </c>
      <c r="AK175">
        <f t="shared" si="101"/>
        <v>7.1559083187706832E-2</v>
      </c>
      <c r="AL175">
        <f t="shared" si="102"/>
        <v>783.5719609053898</v>
      </c>
      <c r="AM175">
        <v>0.4</v>
      </c>
      <c r="AN175">
        <v>0.1</v>
      </c>
      <c r="BW175" s="2" t="s">
        <v>94</v>
      </c>
      <c r="BX175" s="11">
        <v>770</v>
      </c>
      <c r="BY175">
        <v>770</v>
      </c>
      <c r="BZ175">
        <v>660</v>
      </c>
      <c r="CA175">
        <v>550</v>
      </c>
      <c r="CB175">
        <v>550</v>
      </c>
      <c r="CC175">
        <v>550</v>
      </c>
      <c r="CD175">
        <v>550</v>
      </c>
      <c r="CE175" s="2">
        <v>660</v>
      </c>
      <c r="CF175" s="2">
        <v>660</v>
      </c>
      <c r="CG175" s="2">
        <v>660</v>
      </c>
      <c r="CJ175" s="11">
        <v>7.7077066055054996E+20</v>
      </c>
    </row>
    <row r="176" spans="11:88" x14ac:dyDescent="0.2">
      <c r="L176" t="s">
        <v>57</v>
      </c>
      <c r="M176">
        <v>130</v>
      </c>
      <c r="N176" s="8">
        <v>430</v>
      </c>
      <c r="O176" s="8">
        <v>0.6</v>
      </c>
      <c r="P176" cm="1">
        <f t="array" ref="P176">_xlfn.XLOOKUP(K$43,$BX$169:$CG$169,_xlfn.XLOOKUP($D$11,$BW$170:$BW$176,$BX$170:$CG$176))</f>
        <v>600</v>
      </c>
      <c r="Q176">
        <f t="shared" si="106"/>
        <v>0.71666666666666667</v>
      </c>
      <c r="V176">
        <v>1</v>
      </c>
      <c r="W176">
        <v>0</v>
      </c>
      <c r="X176">
        <v>0</v>
      </c>
      <c r="Y176">
        <f t="shared" si="89"/>
        <v>0</v>
      </c>
      <c r="Z176">
        <f t="shared" si="90"/>
        <v>3.7749999999999995</v>
      </c>
      <c r="AA176">
        <f t="shared" si="91"/>
        <v>8.0461882996456305E-3</v>
      </c>
      <c r="AB176">
        <f t="shared" si="92"/>
        <v>1.1473565733309674</v>
      </c>
      <c r="AC176">
        <f t="shared" si="93"/>
        <v>8.0966426116000001</v>
      </c>
      <c r="AD176">
        <f t="shared" si="94"/>
        <v>5.0328730473705594</v>
      </c>
      <c r="AE176">
        <f t="shared" si="95"/>
        <v>0</v>
      </c>
      <c r="AF176">
        <f t="shared" si="96"/>
        <v>2.9840991398438275E-3</v>
      </c>
      <c r="AG176">
        <f t="shared" si="97"/>
        <v>0</v>
      </c>
      <c r="AH176">
        <f t="shared" si="98"/>
        <v>35.398876046397405</v>
      </c>
      <c r="AI176">
        <f t="shared" si="99"/>
        <v>5.4112777364662981E-2</v>
      </c>
      <c r="AJ176">
        <f t="shared" si="100"/>
        <v>641.91282148831453</v>
      </c>
      <c r="AK176">
        <f t="shared" si="101"/>
        <v>0.1045892657510106</v>
      </c>
      <c r="AL176">
        <f t="shared" si="102"/>
        <v>1240.6901649713632</v>
      </c>
      <c r="AM176">
        <v>0.3</v>
      </c>
      <c r="AN176">
        <v>0.13</v>
      </c>
      <c r="BW176" s="2" t="s">
        <v>95</v>
      </c>
      <c r="BX176" s="11">
        <v>770</v>
      </c>
      <c r="BY176">
        <v>770</v>
      </c>
      <c r="BZ176">
        <v>660</v>
      </c>
      <c r="CA176">
        <v>550</v>
      </c>
      <c r="CB176">
        <v>550</v>
      </c>
      <c r="CC176">
        <v>550</v>
      </c>
      <c r="CD176">
        <v>550</v>
      </c>
      <c r="CE176" s="2">
        <v>660</v>
      </c>
      <c r="CF176" s="2">
        <v>660</v>
      </c>
      <c r="CG176" s="2">
        <v>660</v>
      </c>
      <c r="CJ176" s="11">
        <v>7.7077066055054996E+20</v>
      </c>
    </row>
    <row r="177" spans="11:88" x14ac:dyDescent="0.2">
      <c r="K177" t="s">
        <v>51</v>
      </c>
      <c r="L177" t="s">
        <v>54</v>
      </c>
      <c r="M177">
        <v>50</v>
      </c>
      <c r="N177" s="8">
        <v>400</v>
      </c>
      <c r="O177" s="8">
        <v>0.5</v>
      </c>
      <c r="P177" cm="1">
        <f t="array" ref="P177">_xlfn.XLOOKUP(K$47,$BX$169:$CG$169,_xlfn.XLOOKUP($D$11,$BW$170:$BW$176,$BX$170:$CG$176))</f>
        <v>600</v>
      </c>
      <c r="Q177">
        <f t="shared" si="106"/>
        <v>0.66666666666666663</v>
      </c>
      <c r="V177">
        <v>1</v>
      </c>
      <c r="W177">
        <v>0</v>
      </c>
      <c r="X177">
        <v>0</v>
      </c>
      <c r="Y177">
        <f t="shared" si="89"/>
        <v>0</v>
      </c>
      <c r="Z177">
        <f t="shared" si="90"/>
        <v>8.5869999999999997</v>
      </c>
      <c r="AA177">
        <f t="shared" si="91"/>
        <v>7.1165703952506378E-3</v>
      </c>
      <c r="AB177">
        <f t="shared" si="92"/>
        <v>1.1255691405183157</v>
      </c>
      <c r="AC177">
        <f t="shared" si="93"/>
        <v>7.5213062500000012</v>
      </c>
      <c r="AD177">
        <f t="shared" si="94"/>
        <v>2.7798747900000005</v>
      </c>
      <c r="AE177">
        <f t="shared" si="95"/>
        <v>0</v>
      </c>
      <c r="AF177">
        <f t="shared" si="96"/>
        <v>1.6482478082864641E-3</v>
      </c>
      <c r="AG177">
        <f t="shared" si="97"/>
        <v>0</v>
      </c>
      <c r="AH177">
        <f t="shared" si="98"/>
        <v>7.5201306253069919</v>
      </c>
      <c r="AI177">
        <f t="shared" si="99"/>
        <v>3.2387442689720006E-2</v>
      </c>
      <c r="AJ177">
        <f t="shared" si="100"/>
        <v>147.76770727184754</v>
      </c>
      <c r="AK177">
        <f t="shared" si="101"/>
        <v>1.9092245058869514E-2</v>
      </c>
      <c r="AL177">
        <f t="shared" si="102"/>
        <v>87.108368081092166</v>
      </c>
      <c r="AM177" s="8">
        <v>0.6</v>
      </c>
      <c r="AN177" s="8">
        <v>0.05</v>
      </c>
      <c r="BW177" s="2" t="s">
        <v>65</v>
      </c>
      <c r="BX177" s="11">
        <v>770</v>
      </c>
      <c r="BY177">
        <v>770</v>
      </c>
      <c r="BZ177">
        <v>660</v>
      </c>
      <c r="CA177">
        <v>550</v>
      </c>
      <c r="CB177">
        <v>550</v>
      </c>
      <c r="CC177">
        <v>550</v>
      </c>
      <c r="CD177">
        <v>550</v>
      </c>
      <c r="CE177" s="2">
        <v>660</v>
      </c>
      <c r="CF177" s="2">
        <v>660</v>
      </c>
      <c r="CG177" s="2">
        <v>660</v>
      </c>
      <c r="CJ177" s="11">
        <v>7.7077066055054996E+20</v>
      </c>
    </row>
    <row r="178" spans="11:88" x14ac:dyDescent="0.2">
      <c r="L178" t="s">
        <v>55</v>
      </c>
      <c r="M178">
        <v>55</v>
      </c>
      <c r="N178" s="8">
        <v>420</v>
      </c>
      <c r="O178" s="8">
        <v>0.5</v>
      </c>
      <c r="P178" cm="1">
        <f t="array" ref="P178">_xlfn.XLOOKUP(K$47,$BX$169:$CG$169,_xlfn.XLOOKUP($D$11,$BW$170:$BW$176,$BX$170:$CG$176))</f>
        <v>600</v>
      </c>
      <c r="Q178">
        <f t="shared" si="106"/>
        <v>0.7</v>
      </c>
      <c r="V178">
        <v>1</v>
      </c>
      <c r="W178">
        <v>0</v>
      </c>
      <c r="X178">
        <v>0</v>
      </c>
      <c r="Y178">
        <f t="shared" si="89"/>
        <v>0</v>
      </c>
      <c r="Z178">
        <f t="shared" si="90"/>
        <v>6.9829999999999997</v>
      </c>
      <c r="AA178">
        <f t="shared" si="91"/>
        <v>6.8340648922310086E-3</v>
      </c>
      <c r="AB178">
        <f t="shared" si="92"/>
        <v>1.1232058496386121</v>
      </c>
      <c r="AC178">
        <f t="shared" si="93"/>
        <v>7.7877832356000019</v>
      </c>
      <c r="AD178">
        <f t="shared" si="94"/>
        <v>3.5325384756681606</v>
      </c>
      <c r="AE178">
        <f t="shared" si="95"/>
        <v>0</v>
      </c>
      <c r="AF178">
        <f t="shared" si="96"/>
        <v>2.094518365054727E-3</v>
      </c>
      <c r="AG178">
        <f t="shared" si="97"/>
        <v>0</v>
      </c>
      <c r="AH178">
        <f t="shared" si="98"/>
        <v>10.511864044618411</v>
      </c>
      <c r="AI178">
        <f t="shared" si="99"/>
        <v>3.6715622438541394E-2</v>
      </c>
      <c r="AJ178">
        <f t="shared" si="100"/>
        <v>184.26653011342961</v>
      </c>
      <c r="AK178">
        <f t="shared" si="101"/>
        <v>4.2040622331310659E-2</v>
      </c>
      <c r="AL178">
        <f t="shared" si="102"/>
        <v>210.99137332526536</v>
      </c>
      <c r="AM178">
        <v>0.5</v>
      </c>
      <c r="AN178">
        <v>7.0000000000000007E-2</v>
      </c>
      <c r="CJ178" s="11">
        <v>7.7077066055054996E+20</v>
      </c>
    </row>
    <row r="179" spans="11:88" x14ac:dyDescent="0.2">
      <c r="L179" t="s">
        <v>56</v>
      </c>
      <c r="M179">
        <v>60</v>
      </c>
      <c r="N179" s="8">
        <v>430</v>
      </c>
      <c r="O179" s="8">
        <v>0.5</v>
      </c>
      <c r="P179" cm="1">
        <f t="array" ref="P179">_xlfn.XLOOKUP(K$47,$BX$169:$CG$169,_xlfn.XLOOKUP($D$11,$BW$170:$BW$176,$BX$170:$CG$176))</f>
        <v>600</v>
      </c>
      <c r="Q179">
        <f t="shared" si="106"/>
        <v>0.71666666666666667</v>
      </c>
      <c r="V179">
        <v>1</v>
      </c>
      <c r="W179">
        <v>0</v>
      </c>
      <c r="X179">
        <v>0</v>
      </c>
      <c r="Y179">
        <f t="shared" si="89"/>
        <v>0</v>
      </c>
      <c r="Z179">
        <f t="shared" si="90"/>
        <v>5.3789999999999996</v>
      </c>
      <c r="AA179">
        <f t="shared" si="91"/>
        <v>6.7070922208563146E-3</v>
      </c>
      <c r="AB179">
        <f t="shared" si="92"/>
        <v>1.1220940971335449</v>
      </c>
      <c r="AC179">
        <f t="shared" si="93"/>
        <v>7.9183708816000014</v>
      </c>
      <c r="AD179">
        <f t="shared" si="94"/>
        <v>4.2569161859481603</v>
      </c>
      <c r="AE179">
        <f t="shared" si="95"/>
        <v>0</v>
      </c>
      <c r="AF179">
        <f t="shared" si="96"/>
        <v>2.5240175560382809E-3</v>
      </c>
      <c r="AG179">
        <f t="shared" si="97"/>
        <v>0</v>
      </c>
      <c r="AH179">
        <f t="shared" si="98"/>
        <v>13.818996119309588</v>
      </c>
      <c r="AI179">
        <f t="shared" si="99"/>
        <v>4.3986056140944994E-2</v>
      </c>
      <c r="AJ179">
        <f t="shared" si="100"/>
        <v>240.82365737167385</v>
      </c>
      <c r="AK179">
        <f t="shared" si="101"/>
        <v>7.4338850837837936E-2</v>
      </c>
      <c r="AL179">
        <f t="shared" si="102"/>
        <v>407.00520833716268</v>
      </c>
      <c r="AM179">
        <v>0.4</v>
      </c>
      <c r="AN179">
        <v>0.1</v>
      </c>
    </row>
    <row r="180" spans="11:88" x14ac:dyDescent="0.2">
      <c r="L180" t="s">
        <v>57</v>
      </c>
      <c r="M180">
        <v>65</v>
      </c>
      <c r="N180" s="8">
        <v>440</v>
      </c>
      <c r="O180" s="8">
        <v>0.5</v>
      </c>
      <c r="P180" cm="1">
        <f t="array" ref="P180">_xlfn.XLOOKUP(K$47,$BX$169:$CG$169,_xlfn.XLOOKUP($D$11,$BW$170:$BW$176,$BX$170:$CG$176))</f>
        <v>600</v>
      </c>
      <c r="Q180">
        <f t="shared" si="106"/>
        <v>0.73333333333333328</v>
      </c>
      <c r="V180">
        <v>1</v>
      </c>
      <c r="W180">
        <v>0</v>
      </c>
      <c r="X180">
        <v>0</v>
      </c>
      <c r="Y180">
        <f t="shared" si="89"/>
        <v>0</v>
      </c>
      <c r="Z180">
        <f t="shared" si="90"/>
        <v>3.7749999999999995</v>
      </c>
      <c r="AA180">
        <f t="shared" si="91"/>
        <v>6.58915914990709E-3</v>
      </c>
      <c r="AB180">
        <f t="shared" si="92"/>
        <v>1.1210263690566049</v>
      </c>
      <c r="AC180">
        <f t="shared" si="93"/>
        <v>8.0470938276000012</v>
      </c>
      <c r="AD180">
        <f t="shared" si="94"/>
        <v>5.0020735232361604</v>
      </c>
      <c r="AE180">
        <f t="shared" si="95"/>
        <v>0</v>
      </c>
      <c r="AF180">
        <f t="shared" si="96"/>
        <v>2.9658374367148217E-3</v>
      </c>
      <c r="AG180">
        <f t="shared" si="97"/>
        <v>0</v>
      </c>
      <c r="AH180">
        <f t="shared" si="98"/>
        <v>17.591123296514787</v>
      </c>
      <c r="AI180">
        <f t="shared" si="99"/>
        <v>5.3781625003628743E-2</v>
      </c>
      <c r="AJ180">
        <f t="shared" si="100"/>
        <v>318.99226330277298</v>
      </c>
      <c r="AK180">
        <f t="shared" si="101"/>
        <v>0.10531792877707352</v>
      </c>
      <c r="AL180">
        <f t="shared" si="102"/>
        <v>624.66696505901734</v>
      </c>
      <c r="AM180">
        <v>0.3</v>
      </c>
      <c r="AN180">
        <v>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A19E-DAFF-6F4D-A2EC-7D0A804FFFA7}">
  <dimension ref="A5:BC162"/>
  <sheetViews>
    <sheetView topLeftCell="D6" workbookViewId="0">
      <pane xSplit="4720" ySplit="3080" topLeftCell="D8" activePane="bottomRight"/>
      <selection activeCell="W64" sqref="V63:W64"/>
      <selection pane="topRight" activeCell="O10" sqref="O10"/>
      <selection pane="bottomLeft" activeCell="D52" sqref="D52"/>
      <selection pane="bottomRight" activeCell="M27" sqref="M27"/>
    </sheetView>
  </sheetViews>
  <sheetFormatPr baseColWidth="10" defaultRowHeight="16" x14ac:dyDescent="0.2"/>
  <cols>
    <col min="1" max="1" width="27.33203125" customWidth="1"/>
    <col min="5" max="5" width="13.83203125" customWidth="1"/>
    <col min="14" max="14" width="14" customWidth="1"/>
    <col min="15" max="15" width="15" customWidth="1"/>
    <col min="17" max="17" width="12.1640625" bestFit="1" customWidth="1"/>
    <col min="36" max="36" width="18" customWidth="1"/>
  </cols>
  <sheetData>
    <row r="5" spans="1:55" x14ac:dyDescent="0.2">
      <c r="N5" t="s">
        <v>0</v>
      </c>
      <c r="O5" t="s">
        <v>1</v>
      </c>
      <c r="P5" t="s">
        <v>2</v>
      </c>
      <c r="Q5" t="s">
        <v>3</v>
      </c>
      <c r="S5" t="s">
        <v>4</v>
      </c>
      <c r="AI5" t="s">
        <v>5</v>
      </c>
      <c r="AP5" t="s">
        <v>88</v>
      </c>
      <c r="AQ5" t="s">
        <v>89</v>
      </c>
      <c r="AT5" t="s">
        <v>110</v>
      </c>
      <c r="AU5">
        <v>0.19</v>
      </c>
    </row>
    <row r="6" spans="1:55" ht="68" x14ac:dyDescent="0.2">
      <c r="A6" s="7" t="s">
        <v>119</v>
      </c>
      <c r="G6" t="s">
        <v>6</v>
      </c>
      <c r="L6" t="s">
        <v>13</v>
      </c>
      <c r="M6" t="s">
        <v>14</v>
      </c>
      <c r="N6" t="s">
        <v>15</v>
      </c>
      <c r="O6" t="s">
        <v>16</v>
      </c>
      <c r="P6" t="s">
        <v>19</v>
      </c>
      <c r="Q6" t="s">
        <v>20</v>
      </c>
      <c r="S6" t="s">
        <v>21</v>
      </c>
      <c r="U6" t="s">
        <v>17</v>
      </c>
      <c r="Z6" t="s">
        <v>7</v>
      </c>
      <c r="AB6" t="s">
        <v>8</v>
      </c>
      <c r="AD6" t="s">
        <v>9</v>
      </c>
      <c r="AE6" t="s">
        <v>10</v>
      </c>
      <c r="AF6" t="s">
        <v>18</v>
      </c>
      <c r="AH6" t="s">
        <v>9</v>
      </c>
      <c r="AI6" t="s">
        <v>22</v>
      </c>
      <c r="AO6" t="s">
        <v>84</v>
      </c>
      <c r="AP6">
        <v>0.05</v>
      </c>
      <c r="AQ6">
        <v>0</v>
      </c>
      <c r="AT6" t="s">
        <v>111</v>
      </c>
      <c r="AU6">
        <v>0.6784</v>
      </c>
    </row>
    <row r="7" spans="1:55" x14ac:dyDescent="0.2">
      <c r="G7" t="s">
        <v>23</v>
      </c>
      <c r="H7" t="s">
        <v>11</v>
      </c>
      <c r="I7" t="s">
        <v>12</v>
      </c>
      <c r="L7" t="s">
        <v>23</v>
      </c>
      <c r="M7" t="s">
        <v>24</v>
      </c>
      <c r="N7" t="s">
        <v>25</v>
      </c>
      <c r="O7" t="s">
        <v>25</v>
      </c>
      <c r="P7" t="s">
        <v>25</v>
      </c>
      <c r="Q7" t="s">
        <v>25</v>
      </c>
      <c r="S7" t="s">
        <v>25</v>
      </c>
      <c r="U7" t="s">
        <v>24</v>
      </c>
      <c r="Z7" t="s">
        <v>24</v>
      </c>
      <c r="AB7" t="s">
        <v>24</v>
      </c>
      <c r="AD7" t="s">
        <v>24</v>
      </c>
      <c r="AE7" t="s">
        <v>24</v>
      </c>
      <c r="AF7" t="s">
        <v>24</v>
      </c>
      <c r="AH7" t="s">
        <v>24</v>
      </c>
      <c r="AI7" t="s">
        <v>25</v>
      </c>
      <c r="AO7" t="s">
        <v>85</v>
      </c>
      <c r="AP7">
        <v>0.95</v>
      </c>
      <c r="AQ7">
        <v>1</v>
      </c>
      <c r="AT7" t="s">
        <v>36</v>
      </c>
      <c r="AU7">
        <v>0.16</v>
      </c>
    </row>
    <row r="8" spans="1:55" x14ac:dyDescent="0.2">
      <c r="H8" t="s">
        <v>24</v>
      </c>
      <c r="I8" t="s">
        <v>24</v>
      </c>
      <c r="N8" t="s">
        <v>132</v>
      </c>
      <c r="O8" t="s">
        <v>134</v>
      </c>
      <c r="U8" t="s">
        <v>23</v>
      </c>
      <c r="Z8" t="s">
        <v>23</v>
      </c>
      <c r="AT8" t="s">
        <v>112</v>
      </c>
      <c r="AU8">
        <v>28</v>
      </c>
    </row>
    <row r="9" spans="1:55" x14ac:dyDescent="0.2">
      <c r="H9" t="s">
        <v>23</v>
      </c>
      <c r="I9" t="s">
        <v>23</v>
      </c>
      <c r="N9" t="s">
        <v>133</v>
      </c>
      <c r="O9" t="s">
        <v>135</v>
      </c>
      <c r="U9" t="s">
        <v>35</v>
      </c>
      <c r="Z9" t="s">
        <v>86</v>
      </c>
      <c r="AA9" t="s">
        <v>87</v>
      </c>
    </row>
    <row r="10" spans="1:55" x14ac:dyDescent="0.2">
      <c r="A10" t="s">
        <v>41</v>
      </c>
      <c r="B10" s="8" t="s">
        <v>98</v>
      </c>
      <c r="C10" s="8" t="s">
        <v>64</v>
      </c>
      <c r="D10" s="8" t="s">
        <v>58</v>
      </c>
      <c r="G10" s="8" t="s">
        <v>26</v>
      </c>
      <c r="H10" t="s">
        <v>29</v>
      </c>
      <c r="I10" t="s">
        <v>30</v>
      </c>
      <c r="J10" s="8" t="s">
        <v>122</v>
      </c>
      <c r="K10" s="8" t="s">
        <v>123</v>
      </c>
      <c r="L10" t="s">
        <v>31</v>
      </c>
      <c r="M10" t="s">
        <v>32</v>
      </c>
      <c r="N10" t="s">
        <v>33</v>
      </c>
      <c r="O10" t="s">
        <v>34</v>
      </c>
      <c r="P10" t="s">
        <v>37</v>
      </c>
      <c r="Q10" t="s">
        <v>83</v>
      </c>
      <c r="R10" t="s">
        <v>82</v>
      </c>
      <c r="S10" t="s">
        <v>113</v>
      </c>
      <c r="T10" t="s">
        <v>114</v>
      </c>
      <c r="U10" t="s">
        <v>54</v>
      </c>
      <c r="V10" t="s">
        <v>55</v>
      </c>
      <c r="W10" t="s">
        <v>56</v>
      </c>
      <c r="X10" t="s">
        <v>57</v>
      </c>
      <c r="Y10" s="8" t="s">
        <v>90</v>
      </c>
      <c r="Z10" t="s">
        <v>84</v>
      </c>
      <c r="AA10" t="s">
        <v>85</v>
      </c>
      <c r="AB10" t="s">
        <v>96</v>
      </c>
      <c r="AC10" t="s">
        <v>97</v>
      </c>
      <c r="AD10" t="s">
        <v>27</v>
      </c>
      <c r="AE10" t="s">
        <v>28</v>
      </c>
      <c r="AF10" t="s">
        <v>36</v>
      </c>
      <c r="AG10" t="s">
        <v>38</v>
      </c>
      <c r="AH10" t="s">
        <v>39</v>
      </c>
      <c r="AI10" s="1" t="s">
        <v>40</v>
      </c>
    </row>
    <row r="11" spans="1:55" x14ac:dyDescent="0.2">
      <c r="A11" s="9" t="s">
        <v>120</v>
      </c>
      <c r="B11" s="9" t="s">
        <v>99</v>
      </c>
      <c r="C11" s="9" t="s">
        <v>53</v>
      </c>
      <c r="D11" s="9" t="s">
        <v>53</v>
      </c>
      <c r="E11" s="9" t="s">
        <v>42</v>
      </c>
      <c r="F11" s="9" t="s">
        <v>54</v>
      </c>
      <c r="G11" s="9">
        <v>100</v>
      </c>
      <c r="H11" s="9" cm="1">
        <f t="array" ref="H11:H14">_xlfn.XLOOKUP(E11, $AR$46:$BA$46, $AR$47:$BA$50)</f>
        <v>80</v>
      </c>
      <c r="I11" s="9" cm="1">
        <f t="array" ref="I11:I14">_xlfn.XLOOKUP(E11, $AR$106:$BA$106, $AR$107:$BA$110)</f>
        <v>0.5</v>
      </c>
      <c r="J11" s="9"/>
      <c r="K11" s="9"/>
      <c r="L11" s="9">
        <v>0</v>
      </c>
      <c r="M11" s="9"/>
      <c r="N11" s="9">
        <v>1</v>
      </c>
      <c r="O11" s="9">
        <f>(1.185 + 0.00454 * H11 - 0.0000026 * H11^2 + 0.315 * I11)^2 * N11</f>
        <v>2.8529236835999998</v>
      </c>
      <c r="P11" s="9">
        <f>(O11 * (1 -U11) + (0.04 * O11)) * ( 1 - AF$11 )</f>
        <v>1.1742633881697597</v>
      </c>
      <c r="Q11" s="9">
        <f>P11 * AD$11 * Z$11 * AB$11 * AE$11</f>
        <v>5.5245616593758213E-5</v>
      </c>
      <c r="R11" s="9">
        <f t="shared" ref="R11:R38" si="0">P11 * AD$11 * AA$11 * AC$11 * AE$11</f>
        <v>6.6143382058828331E-4</v>
      </c>
      <c r="S11" s="9">
        <f>G11*Q11*91.25</f>
        <v>0.50411625141804373</v>
      </c>
      <c r="T11" s="9">
        <f>G11*R11*91.25</f>
        <v>6.0355836128680851</v>
      </c>
      <c r="U11" s="9" cm="1">
        <f t="array" ref="U11:X11">_xlfn.XLOOKUP(C11,$AT$18:$AT$26,$AU$18:$AX$26)</f>
        <v>0.55000000000000004</v>
      </c>
      <c r="V11" s="9">
        <v>0.65</v>
      </c>
      <c r="W11" s="9">
        <v>0.6</v>
      </c>
      <c r="X11" s="9">
        <v>0.5</v>
      </c>
      <c r="Y11" s="9" t="s">
        <v>91</v>
      </c>
      <c r="Z11" s="9">
        <f>IF(Y11="yes", $AP$6, $AQ$6)</f>
        <v>0.05</v>
      </c>
      <c r="AA11" s="9">
        <f>IF(Y11="yes", $AP$7, $AQ$7)</f>
        <v>0.95</v>
      </c>
      <c r="AB11" s="9">
        <f>VLOOKUP(B11, $BB$17:$BC$26, 2, FALSE)</f>
        <v>7.3000000000000001E-3</v>
      </c>
      <c r="AC11" s="9">
        <f>$BC$14</f>
        <v>4.5999999999999999E-3</v>
      </c>
      <c r="AD11" s="9">
        <f>$AU$5</f>
        <v>0.19</v>
      </c>
      <c r="AE11" s="9">
        <f>$AU$6</f>
        <v>0.6784</v>
      </c>
      <c r="AF11" s="9">
        <f>$AU$7</f>
        <v>0.16</v>
      </c>
      <c r="AG11" s="9">
        <f>SUM(S11:T38)</f>
        <v>253.55531996355981</v>
      </c>
      <c r="AH11" s="9">
        <f>$AU$8</f>
        <v>28</v>
      </c>
      <c r="AI11" s="9">
        <f>AG11 * AH11 * 10^-3</f>
        <v>7.0995489589796748</v>
      </c>
    </row>
    <row r="12" spans="1:55" x14ac:dyDescent="0.2">
      <c r="A12" s="9"/>
      <c r="B12" s="9"/>
      <c r="C12" s="9"/>
      <c r="D12" s="9"/>
      <c r="E12" s="9"/>
      <c r="F12" s="9" t="s">
        <v>55</v>
      </c>
      <c r="G12" s="9">
        <v>110</v>
      </c>
      <c r="H12" s="9">
        <v>170</v>
      </c>
      <c r="I12" s="9">
        <v>1</v>
      </c>
      <c r="J12" s="9"/>
      <c r="K12" s="9"/>
      <c r="L12" s="9"/>
      <c r="M12" s="9"/>
      <c r="N12" s="9">
        <v>1</v>
      </c>
      <c r="O12" s="9">
        <f t="shared" ref="O12:O26" si="1">(1.185 + 0.00454 * H12 - 0.0000026 * H12^2 + 0.315 * I12)^2 * N12</f>
        <v>4.8253151556000002</v>
      </c>
      <c r="P12" s="9">
        <f>(O12 * (1 -V$11) + (0.04 * O12)) * ( 1 - AF$11 )</f>
        <v>1.58077324497456</v>
      </c>
      <c r="Q12" s="9">
        <f t="shared" ref="Q12:Q38" si="2">P12 * AD$11 * Z$11 * AB$11 * AE$11</f>
        <v>7.4370702087247912E-5</v>
      </c>
      <c r="R12" s="9">
        <f t="shared" si="0"/>
        <v>8.9041087156513257E-4</v>
      </c>
      <c r="S12" s="9">
        <f t="shared" ref="S12:S38" si="3">G12*Q12*91.25</f>
        <v>0.74649592220075089</v>
      </c>
      <c r="T12" s="9">
        <f t="shared" ref="T12:T38" si="4">G12*R12*91.25</f>
        <v>8.9374991233350194</v>
      </c>
      <c r="U12" s="9"/>
      <c r="V12" s="9"/>
      <c r="W12" s="9"/>
      <c r="X12" s="9"/>
      <c r="Y12" s="9"/>
      <c r="Z12" s="9"/>
      <c r="AA12" s="9"/>
      <c r="AB12" s="9"/>
      <c r="AC12" s="9"/>
      <c r="AD12" s="9"/>
      <c r="AE12" s="9"/>
      <c r="AF12" s="9"/>
      <c r="AG12" s="9"/>
      <c r="AH12" s="9"/>
      <c r="AI12" s="9"/>
    </row>
    <row r="13" spans="1:55" x14ac:dyDescent="0.2">
      <c r="A13" s="9"/>
      <c r="B13" s="9"/>
      <c r="C13" s="9"/>
      <c r="D13" s="9"/>
      <c r="E13" s="9"/>
      <c r="F13" s="9" t="s">
        <v>56</v>
      </c>
      <c r="G13" s="9">
        <v>120</v>
      </c>
      <c r="H13" s="9">
        <v>240</v>
      </c>
      <c r="I13" s="9">
        <v>0.8</v>
      </c>
      <c r="J13" s="9"/>
      <c r="K13" s="9"/>
      <c r="L13" s="9"/>
      <c r="M13" s="9"/>
      <c r="N13" s="9">
        <v>1</v>
      </c>
      <c r="O13" s="9">
        <f t="shared" si="1"/>
        <v>5.6493683855999981</v>
      </c>
      <c r="P13" s="9">
        <f>(O13 * (1 -W$11) + (0.04 * O13)) * ( 1 - AF$11 )</f>
        <v>2.0880065553177594</v>
      </c>
      <c r="Q13" s="9">
        <f t="shared" si="2"/>
        <v>9.8234527928296858E-5</v>
      </c>
      <c r="R13" s="9">
        <f t="shared" si="0"/>
        <v>1.1761229782100196E-3</v>
      </c>
      <c r="S13" s="9">
        <f t="shared" si="3"/>
        <v>1.0756680808148507</v>
      </c>
      <c r="T13" s="9">
        <f t="shared" si="4"/>
        <v>12.878546611399717</v>
      </c>
      <c r="U13" s="9"/>
      <c r="V13" s="9"/>
      <c r="W13" s="9"/>
      <c r="X13" s="9"/>
      <c r="Y13" s="9"/>
      <c r="Z13" s="9"/>
      <c r="AA13" s="9"/>
      <c r="AB13" s="9"/>
      <c r="AC13" s="9"/>
      <c r="AD13" s="9"/>
      <c r="AE13" s="9"/>
      <c r="AF13" s="9"/>
      <c r="AG13" s="9"/>
      <c r="AH13" s="9"/>
      <c r="AI13" s="9"/>
    </row>
    <row r="14" spans="1:55" x14ac:dyDescent="0.2">
      <c r="A14" s="9"/>
      <c r="B14" s="9"/>
      <c r="C14" s="9"/>
      <c r="D14" s="9"/>
      <c r="E14" s="9"/>
      <c r="F14" s="9" t="s">
        <v>57</v>
      </c>
      <c r="G14" s="9">
        <v>130</v>
      </c>
      <c r="H14" s="9">
        <v>280</v>
      </c>
      <c r="I14" s="9">
        <v>0.4</v>
      </c>
      <c r="J14" s="9"/>
      <c r="K14" s="9"/>
      <c r="L14" s="9"/>
      <c r="M14" s="9"/>
      <c r="N14" s="9">
        <v>1</v>
      </c>
      <c r="O14" s="9">
        <f t="shared" si="1"/>
        <v>5.6565962895999995</v>
      </c>
      <c r="P14" s="9">
        <f>(O14 * (1 -X$11) + (0.04 * O14)) * ( 1 - AF$11 )</f>
        <v>2.5658320769625598</v>
      </c>
      <c r="Q14" s="9">
        <f t="shared" si="2"/>
        <v>1.2071480435814064E-4</v>
      </c>
      <c r="R14" s="9">
        <f t="shared" si="0"/>
        <v>1.4452703973837659E-3</v>
      </c>
      <c r="S14" s="9">
        <f t="shared" si="3"/>
        <v>1.4319793666984433</v>
      </c>
      <c r="T14" s="9">
        <f t="shared" si="4"/>
        <v>17.144520088964921</v>
      </c>
      <c r="U14" s="9"/>
      <c r="V14" s="9"/>
      <c r="W14" s="9"/>
      <c r="X14" s="9"/>
      <c r="Y14" s="9"/>
      <c r="Z14" s="9"/>
      <c r="AA14" s="9"/>
      <c r="AB14" s="9"/>
      <c r="AC14" s="9"/>
      <c r="AD14" s="9"/>
      <c r="AE14" s="9"/>
      <c r="AF14" s="9"/>
      <c r="AG14" s="9"/>
      <c r="AH14" s="9"/>
      <c r="AI14" s="9"/>
      <c r="BB14" t="s">
        <v>97</v>
      </c>
      <c r="BC14">
        <v>4.5999999999999999E-3</v>
      </c>
    </row>
    <row r="15" spans="1:55" x14ac:dyDescent="0.2">
      <c r="A15" s="9"/>
      <c r="B15" s="9"/>
      <c r="C15" s="9"/>
      <c r="D15" s="9"/>
      <c r="E15" s="9" t="s">
        <v>43</v>
      </c>
      <c r="F15" s="9" t="s">
        <v>54</v>
      </c>
      <c r="G15" s="9"/>
      <c r="H15" s="9" cm="1">
        <f t="array" ref="H15:H18">_xlfn.XLOOKUP(E15, $AR$46:$BA$46, $AR$47:$BA$50)</f>
        <v>480</v>
      </c>
      <c r="I15" s="9" cm="1">
        <f t="array" ref="I15:I18">_xlfn.XLOOKUP(E15, $AR$106:$BA$106, $AR$107:$BA$110)</f>
        <v>0.2</v>
      </c>
      <c r="J15" s="9"/>
      <c r="K15" s="9"/>
      <c r="L15" s="9"/>
      <c r="M15" s="9"/>
      <c r="N15" s="9">
        <v>1</v>
      </c>
      <c r="O15" s="9">
        <f t="shared" si="1"/>
        <v>7.9984889855999999</v>
      </c>
      <c r="P15" s="9">
        <f>(O15 * (1 -U$11) + (0.04 * O15)) * ( 1 - AF$11 )</f>
        <v>3.2921780664729599</v>
      </c>
      <c r="Q15" s="9">
        <f t="shared" si="2"/>
        <v>1.5488723318047602E-4</v>
      </c>
      <c r="R15" s="9">
        <f t="shared" si="0"/>
        <v>1.8544033123251509E-3</v>
      </c>
      <c r="S15" s="9">
        <f t="shared" si="3"/>
        <v>0</v>
      </c>
      <c r="T15" s="9">
        <f t="shared" si="4"/>
        <v>0</v>
      </c>
      <c r="U15" s="9"/>
      <c r="V15" s="9"/>
      <c r="W15" s="9"/>
      <c r="X15" s="9"/>
      <c r="Y15" s="9"/>
      <c r="Z15" s="9"/>
      <c r="AA15" s="9"/>
      <c r="AB15" s="9"/>
      <c r="AC15" s="9"/>
      <c r="AD15" s="9"/>
      <c r="AE15" s="9"/>
      <c r="AF15" s="9"/>
      <c r="AG15" s="9"/>
      <c r="AH15" s="9"/>
      <c r="AI15" s="9"/>
    </row>
    <row r="16" spans="1:55" x14ac:dyDescent="0.2">
      <c r="A16" s="9"/>
      <c r="B16" s="9"/>
      <c r="C16" s="9"/>
      <c r="D16" s="9"/>
      <c r="E16" s="9"/>
      <c r="F16" s="9" t="s">
        <v>55</v>
      </c>
      <c r="G16" s="9"/>
      <c r="H16" s="9">
        <v>520</v>
      </c>
      <c r="I16" s="9">
        <v>0.4</v>
      </c>
      <c r="J16" s="9"/>
      <c r="K16" s="9"/>
      <c r="L16" s="9"/>
      <c r="M16" s="9"/>
      <c r="N16" s="9">
        <v>1</v>
      </c>
      <c r="O16" s="9">
        <f t="shared" si="1"/>
        <v>8.8135359375999975</v>
      </c>
      <c r="P16" s="9">
        <f>(O16 * (1 -V$11) + (0.04 * O16)) * ( 1 - AF$11 )</f>
        <v>2.8873143731577593</v>
      </c>
      <c r="Q16" s="9">
        <f t="shared" si="2"/>
        <v>1.3583959480652805E-4</v>
      </c>
      <c r="R16" s="9">
        <f t="shared" si="0"/>
        <v>1.626353504943911E-3</v>
      </c>
      <c r="S16" s="9">
        <f t="shared" si="3"/>
        <v>0</v>
      </c>
      <c r="T16" s="9">
        <f t="shared" si="4"/>
        <v>0</v>
      </c>
      <c r="U16" s="9"/>
      <c r="V16" s="9"/>
      <c r="W16" s="9"/>
      <c r="X16" s="9"/>
      <c r="Y16" s="9"/>
      <c r="Z16" s="9"/>
      <c r="AA16" s="9"/>
      <c r="AB16" s="9"/>
      <c r="AC16" s="9"/>
      <c r="AD16" s="9"/>
      <c r="AE16" s="9"/>
      <c r="AF16" s="9"/>
      <c r="AG16" s="9"/>
      <c r="AH16" s="9"/>
      <c r="AI16" s="9"/>
      <c r="AS16" t="s">
        <v>61</v>
      </c>
      <c r="BB16" t="s">
        <v>96</v>
      </c>
    </row>
    <row r="17" spans="1:55" x14ac:dyDescent="0.2">
      <c r="A17" s="9"/>
      <c r="B17" s="9"/>
      <c r="C17" s="9"/>
      <c r="D17" s="9"/>
      <c r="E17" s="9"/>
      <c r="F17" s="9" t="s">
        <v>56</v>
      </c>
      <c r="G17" s="9"/>
      <c r="H17" s="9">
        <v>550</v>
      </c>
      <c r="I17" s="9">
        <v>0.3</v>
      </c>
      <c r="J17" s="9"/>
      <c r="K17" s="9"/>
      <c r="L17" s="9"/>
      <c r="M17" s="9"/>
      <c r="N17" s="9">
        <v>1</v>
      </c>
      <c r="O17" s="9">
        <f t="shared" si="1"/>
        <v>8.940100000000001</v>
      </c>
      <c r="P17" s="9">
        <f>(O17 * (1 -W$11) + (0.04 * O17)) * ( 1 - AF$11 )</f>
        <v>3.3042609600000006</v>
      </c>
      <c r="Q17" s="9">
        <f t="shared" si="2"/>
        <v>1.5545569755555841E-4</v>
      </c>
      <c r="R17" s="9">
        <f t="shared" si="0"/>
        <v>1.8612093104596994E-3</v>
      </c>
      <c r="S17" s="9">
        <f t="shared" si="3"/>
        <v>0</v>
      </c>
      <c r="T17" s="9">
        <f t="shared" si="4"/>
        <v>0</v>
      </c>
      <c r="U17" s="9"/>
      <c r="V17" s="9"/>
      <c r="W17" s="9"/>
      <c r="X17" s="9"/>
      <c r="Y17" s="9"/>
      <c r="Z17" s="9"/>
      <c r="AA17" s="9"/>
      <c r="AB17" s="9"/>
      <c r="AC17" s="9"/>
      <c r="AD17" s="9"/>
      <c r="AE17" s="9"/>
      <c r="AF17" s="9"/>
      <c r="AG17" s="9"/>
      <c r="AH17" s="9"/>
      <c r="AI17" s="9"/>
      <c r="AU17" s="2" t="s">
        <v>54</v>
      </c>
      <c r="AV17" s="2" t="s">
        <v>55</v>
      </c>
      <c r="AW17" t="s">
        <v>56</v>
      </c>
      <c r="AX17" t="s">
        <v>57</v>
      </c>
      <c r="BB17" t="s">
        <v>106</v>
      </c>
      <c r="BC17">
        <v>6.0000000000000001E-3</v>
      </c>
    </row>
    <row r="18" spans="1:55" x14ac:dyDescent="0.2">
      <c r="A18" s="9"/>
      <c r="B18" s="9"/>
      <c r="C18" s="9"/>
      <c r="D18" s="9"/>
      <c r="E18" s="9"/>
      <c r="F18" s="9" t="s">
        <v>57</v>
      </c>
      <c r="G18" s="9"/>
      <c r="H18" s="9">
        <v>560</v>
      </c>
      <c r="I18" s="9">
        <v>0.1</v>
      </c>
      <c r="J18" s="9"/>
      <c r="K18" s="9"/>
      <c r="L18" s="9"/>
      <c r="M18" s="9"/>
      <c r="N18" s="9">
        <v>1</v>
      </c>
      <c r="O18" s="9">
        <f t="shared" si="1"/>
        <v>8.6644277315999982</v>
      </c>
      <c r="P18" s="9">
        <f>(O18 * (1 -X$11) + (0.04 * O18)) * ( 1 - AF$11 )</f>
        <v>3.9301844190537589</v>
      </c>
      <c r="Q18" s="9">
        <f t="shared" si="2"/>
        <v>1.8490354357059897E-4</v>
      </c>
      <c r="R18" s="9">
        <f t="shared" si="0"/>
        <v>2.2137766723384039E-3</v>
      </c>
      <c r="S18" s="9">
        <f t="shared" si="3"/>
        <v>0</v>
      </c>
      <c r="T18" s="9">
        <f t="shared" si="4"/>
        <v>0</v>
      </c>
      <c r="U18" s="9"/>
      <c r="V18" s="9"/>
      <c r="W18" s="9"/>
      <c r="X18" s="9"/>
      <c r="Y18" s="9"/>
      <c r="Z18" s="9"/>
      <c r="AA18" s="9"/>
      <c r="AB18" s="9"/>
      <c r="AC18" s="9"/>
      <c r="AD18" s="9"/>
      <c r="AE18" s="9"/>
      <c r="AF18" s="9"/>
      <c r="AG18" s="9"/>
      <c r="AH18" s="9"/>
      <c r="AI18" s="9"/>
      <c r="AT18" t="s">
        <v>53</v>
      </c>
      <c r="AU18" s="2">
        <v>0.55000000000000004</v>
      </c>
      <c r="AV18" s="2">
        <v>0.65</v>
      </c>
      <c r="AW18">
        <v>0.6</v>
      </c>
      <c r="AX18">
        <v>0.5</v>
      </c>
      <c r="BB18" t="s">
        <v>107</v>
      </c>
      <c r="BC18">
        <v>6.7000000000000002E-3</v>
      </c>
    </row>
    <row r="19" spans="1:55" x14ac:dyDescent="0.2">
      <c r="A19" s="9"/>
      <c r="B19" s="9"/>
      <c r="C19" s="9"/>
      <c r="D19" s="9"/>
      <c r="E19" s="9" t="s">
        <v>44</v>
      </c>
      <c r="F19" s="9" t="s">
        <v>54</v>
      </c>
      <c r="G19" s="9"/>
      <c r="H19" s="9" cm="1">
        <f t="array" ref="H19:H22">_xlfn.XLOOKUP(E19, $AR$46:$BA$46, $AR$47:$BA$50)</f>
        <v>75</v>
      </c>
      <c r="I19" s="9" cm="1">
        <f t="array" ref="I19:I22">_xlfn.XLOOKUP(E19, $AR$106:$BA$106, $AR$107:$BA$110)</f>
        <v>0.5</v>
      </c>
      <c r="J19" s="9"/>
      <c r="K19" s="9"/>
      <c r="L19" s="9"/>
      <c r="M19" s="9"/>
      <c r="N19" s="9">
        <v>1</v>
      </c>
      <c r="O19" s="9">
        <f t="shared" si="1"/>
        <v>2.7834751406249998</v>
      </c>
      <c r="P19" s="9">
        <f>(O19 * (1 -U$11) + (0.04 * O19)) * ( 1 - AF$11 )</f>
        <v>1.1456783678812499</v>
      </c>
      <c r="Q19" s="9">
        <f t="shared" si="2"/>
        <v>5.390077600084388E-5</v>
      </c>
      <c r="R19" s="9">
        <f t="shared" si="0"/>
        <v>6.4533257842106233E-4</v>
      </c>
      <c r="S19" s="9">
        <f t="shared" si="3"/>
        <v>0</v>
      </c>
      <c r="T19" s="9">
        <f t="shared" si="4"/>
        <v>0</v>
      </c>
      <c r="U19" s="9"/>
      <c r="V19" s="9"/>
      <c r="W19" s="9"/>
      <c r="X19" s="9"/>
      <c r="Y19" s="9"/>
      <c r="Z19" s="9"/>
      <c r="AA19" s="9"/>
      <c r="AB19" s="9"/>
      <c r="AC19" s="9"/>
      <c r="AD19" s="9"/>
      <c r="AE19" s="9"/>
      <c r="AF19" s="9"/>
      <c r="AG19" s="9"/>
      <c r="AH19" s="9"/>
      <c r="AI19" s="9"/>
      <c r="AT19" t="s">
        <v>73</v>
      </c>
      <c r="AU19" s="2">
        <v>0.55000000000000004</v>
      </c>
      <c r="AV19" s="2">
        <v>0.61</v>
      </c>
      <c r="AW19" s="2">
        <v>0.56999999999999995</v>
      </c>
      <c r="AX19">
        <v>0.54</v>
      </c>
      <c r="BB19" t="s">
        <v>100</v>
      </c>
      <c r="BC19">
        <v>5.0000000000000001E-3</v>
      </c>
    </row>
    <row r="20" spans="1:55" x14ac:dyDescent="0.2">
      <c r="A20" s="9"/>
      <c r="B20" s="9"/>
      <c r="C20" s="9"/>
      <c r="D20" s="9"/>
      <c r="E20" s="9"/>
      <c r="F20" s="9" t="s">
        <v>55</v>
      </c>
      <c r="G20" s="9"/>
      <c r="H20" s="9">
        <v>160</v>
      </c>
      <c r="I20" s="9">
        <v>0.9</v>
      </c>
      <c r="J20" s="9"/>
      <c r="K20" s="9"/>
      <c r="L20" s="9"/>
      <c r="M20" s="9"/>
      <c r="N20" s="9">
        <v>1</v>
      </c>
      <c r="O20" s="9">
        <f t="shared" si="1"/>
        <v>4.5298311556000002</v>
      </c>
      <c r="P20" s="9">
        <f>(O20 * (1 -V$11) + (0.04 * O20)) * ( 1 - AF$11 )</f>
        <v>1.4839726865745599</v>
      </c>
      <c r="Q20" s="9">
        <f t="shared" si="2"/>
        <v>6.9816522344180778E-5</v>
      </c>
      <c r="R20" s="9">
        <f t="shared" si="0"/>
        <v>8.3588548669608228E-4</v>
      </c>
      <c r="S20" s="9">
        <f t="shared" si="3"/>
        <v>0</v>
      </c>
      <c r="T20" s="9">
        <f t="shared" si="4"/>
        <v>0</v>
      </c>
      <c r="U20" s="9"/>
      <c r="V20" s="9"/>
      <c r="W20" s="9"/>
      <c r="X20" s="9"/>
      <c r="Y20" s="9"/>
      <c r="Z20" s="9"/>
      <c r="AA20" s="9"/>
      <c r="AB20" s="9"/>
      <c r="AC20" s="9"/>
      <c r="AD20" s="9"/>
      <c r="AE20" s="9"/>
      <c r="AF20" s="9"/>
      <c r="AG20" s="9"/>
      <c r="AH20" s="9"/>
      <c r="AI20" s="9"/>
      <c r="AT20" t="s">
        <v>92</v>
      </c>
      <c r="AU20" s="2">
        <v>0.53</v>
      </c>
      <c r="AV20" s="2">
        <v>0.56999999999999995</v>
      </c>
      <c r="AW20" s="2">
        <v>0.55000000000000004</v>
      </c>
      <c r="AX20">
        <v>0.51</v>
      </c>
      <c r="BB20" t="s">
        <v>101</v>
      </c>
      <c r="BC20">
        <v>4.8999999999999998E-3</v>
      </c>
    </row>
    <row r="21" spans="1:55" x14ac:dyDescent="0.2">
      <c r="A21" s="9"/>
      <c r="B21" s="9"/>
      <c r="C21" s="9"/>
      <c r="D21" s="9"/>
      <c r="E21" s="9"/>
      <c r="F21" s="9" t="s">
        <v>56</v>
      </c>
      <c r="G21" s="9"/>
      <c r="H21" s="9">
        <v>220</v>
      </c>
      <c r="I21" s="9">
        <v>0.7</v>
      </c>
      <c r="J21" s="9"/>
      <c r="K21" s="9"/>
      <c r="L21" s="9"/>
      <c r="M21" s="9"/>
      <c r="N21" s="9">
        <v>1</v>
      </c>
      <c r="O21" s="9">
        <f t="shared" si="1"/>
        <v>5.1913799715999973</v>
      </c>
      <c r="P21" s="9">
        <f>(O21 * (1 -W$11) + (0.04 * O21)) * ( 1 - AF$11 )</f>
        <v>1.918734037503359</v>
      </c>
      <c r="Q21" s="9">
        <f t="shared" si="2"/>
        <v>9.0270757011782037E-5</v>
      </c>
      <c r="R21" s="9">
        <f t="shared" si="0"/>
        <v>1.0807759127164039E-3</v>
      </c>
      <c r="S21" s="9">
        <f t="shared" si="3"/>
        <v>0</v>
      </c>
      <c r="T21" s="9">
        <f t="shared" si="4"/>
        <v>0</v>
      </c>
      <c r="U21" s="9"/>
      <c r="V21" s="9"/>
      <c r="W21" s="9"/>
      <c r="X21" s="9"/>
      <c r="Y21" s="9"/>
      <c r="Z21" s="9"/>
      <c r="AA21" s="9"/>
      <c r="AB21" s="9"/>
      <c r="AC21" s="9"/>
      <c r="AD21" s="9"/>
      <c r="AE21" s="9"/>
      <c r="AF21" s="9"/>
      <c r="AG21" s="9"/>
      <c r="AH21" s="9"/>
      <c r="AI21" s="9"/>
      <c r="AT21" t="s">
        <v>93</v>
      </c>
      <c r="AU21" s="2">
        <v>0.7</v>
      </c>
      <c r="AV21" s="2">
        <v>0.55000000000000004</v>
      </c>
      <c r="AW21" s="2">
        <v>0.55000000000000004</v>
      </c>
      <c r="AX21">
        <v>0.75</v>
      </c>
      <c r="BB21" t="s">
        <v>108</v>
      </c>
      <c r="BC21">
        <v>7.3000000000000001E-3</v>
      </c>
    </row>
    <row r="22" spans="1:55" x14ac:dyDescent="0.2">
      <c r="A22" s="9"/>
      <c r="B22" s="9"/>
      <c r="C22" s="9"/>
      <c r="D22" s="9"/>
      <c r="E22" s="9"/>
      <c r="F22" s="9" t="s">
        <v>57</v>
      </c>
      <c r="G22" s="9"/>
      <c r="H22" s="9">
        <v>260</v>
      </c>
      <c r="I22" s="9">
        <v>0.4</v>
      </c>
      <c r="J22" s="9"/>
      <c r="K22" s="9"/>
      <c r="L22" s="9"/>
      <c r="M22" s="9"/>
      <c r="N22" s="9">
        <v>1</v>
      </c>
      <c r="O22" s="9">
        <f t="shared" si="1"/>
        <v>5.3621886096000004</v>
      </c>
      <c r="P22" s="9">
        <f>(O22 * (1 -X$11) + (0.04 * O22)) * ( 1 - AF$11 )</f>
        <v>2.4322887533145603</v>
      </c>
      <c r="Q22" s="9">
        <f t="shared" si="2"/>
        <v>1.1443198626874025E-4</v>
      </c>
      <c r="R22" s="9">
        <f t="shared" si="0"/>
        <v>1.3700487123134107E-3</v>
      </c>
      <c r="S22" s="9">
        <f t="shared" si="3"/>
        <v>0</v>
      </c>
      <c r="T22" s="9">
        <f t="shared" si="4"/>
        <v>0</v>
      </c>
      <c r="U22" s="9"/>
      <c r="V22" s="9"/>
      <c r="W22" s="9"/>
      <c r="X22" s="9"/>
      <c r="Y22" s="9"/>
      <c r="Z22" s="9"/>
      <c r="AA22" s="9"/>
      <c r="AB22" s="9"/>
      <c r="AC22" s="9"/>
      <c r="AD22" s="9"/>
      <c r="AE22" s="9"/>
      <c r="AF22" s="9"/>
      <c r="AG22" s="9"/>
      <c r="AH22" s="9"/>
      <c r="AI22" s="9"/>
      <c r="AT22" t="s">
        <v>94</v>
      </c>
      <c r="AU22" s="2">
        <v>0.75</v>
      </c>
      <c r="AV22" s="2">
        <v>0.6</v>
      </c>
      <c r="AW22" s="2">
        <v>0.7</v>
      </c>
      <c r="AX22">
        <v>0.75</v>
      </c>
      <c r="BB22" t="s">
        <v>109</v>
      </c>
      <c r="BC22">
        <v>7.6E-3</v>
      </c>
    </row>
    <row r="23" spans="1:55" x14ac:dyDescent="0.2">
      <c r="A23" s="9"/>
      <c r="B23" s="9"/>
      <c r="C23" s="9"/>
      <c r="D23" s="9"/>
      <c r="E23" s="9" t="s">
        <v>45</v>
      </c>
      <c r="F23" s="9" t="s">
        <v>54</v>
      </c>
      <c r="G23" s="9"/>
      <c r="H23" s="9" cm="1">
        <f t="array" ref="H23:H26">_xlfn.XLOOKUP(E23, $AR$46:$BA$46, $AR$47:$BA$50)</f>
        <v>300</v>
      </c>
      <c r="I23" s="9" cm="1">
        <f t="array" ref="I23:I26">_xlfn.XLOOKUP(E23, $AR$106:$BA$106, $AR$107:$BA$110)</f>
        <v>0.4</v>
      </c>
      <c r="J23" s="9"/>
      <c r="K23" s="9"/>
      <c r="L23" s="9"/>
      <c r="M23" s="9"/>
      <c r="N23" s="9">
        <v>1</v>
      </c>
      <c r="O23" s="9">
        <f t="shared" si="1"/>
        <v>5.9487209999999981</v>
      </c>
      <c r="P23" s="9">
        <f>(O23 * (1 -U$11) + (0.04 * O23)) * ( 1 - AF$11 )</f>
        <v>2.4484935635999991</v>
      </c>
      <c r="Q23" s="9">
        <f t="shared" si="2"/>
        <v>1.1519437462643171E-4</v>
      </c>
      <c r="R23" s="9">
        <f t="shared" si="0"/>
        <v>1.3791764852534424E-3</v>
      </c>
      <c r="S23" s="9">
        <f t="shared" si="3"/>
        <v>0</v>
      </c>
      <c r="T23" s="9">
        <f t="shared" si="4"/>
        <v>0</v>
      </c>
      <c r="U23" s="9"/>
      <c r="V23" s="9"/>
      <c r="W23" s="9"/>
      <c r="X23" s="9"/>
      <c r="Y23" s="9"/>
      <c r="Z23" s="9"/>
      <c r="AA23" s="9"/>
      <c r="AB23" s="9"/>
      <c r="AC23" s="9"/>
      <c r="AD23" s="9"/>
      <c r="AE23" s="9"/>
      <c r="AF23" s="9"/>
      <c r="AG23" s="9"/>
      <c r="AH23" s="9"/>
      <c r="AI23" s="9"/>
      <c r="AT23" t="s">
        <v>95</v>
      </c>
      <c r="AU23" s="2">
        <v>0.8</v>
      </c>
      <c r="AV23" s="2">
        <v>0.55000000000000004</v>
      </c>
      <c r="AW23" s="2">
        <v>0.6</v>
      </c>
      <c r="AX23">
        <v>0.76</v>
      </c>
      <c r="BB23" t="s">
        <v>102</v>
      </c>
      <c r="BC23">
        <v>7.6E-3</v>
      </c>
    </row>
    <row r="24" spans="1:55" x14ac:dyDescent="0.2">
      <c r="A24" s="9"/>
      <c r="B24" s="9"/>
      <c r="C24" s="9"/>
      <c r="D24" s="9"/>
      <c r="E24" s="9"/>
      <c r="F24" s="9" t="s">
        <v>55</v>
      </c>
      <c r="G24" s="9"/>
      <c r="H24" s="9">
        <v>360</v>
      </c>
      <c r="I24" s="9">
        <v>0.7</v>
      </c>
      <c r="J24" s="9"/>
      <c r="K24" s="9"/>
      <c r="L24" s="9"/>
      <c r="M24" s="9"/>
      <c r="N24" s="9">
        <v>1</v>
      </c>
      <c r="O24" s="9">
        <f t="shared" si="1"/>
        <v>7.3058846435999998</v>
      </c>
      <c r="P24" s="9">
        <f>(O24 * (1 -V$11) + (0.04 * O24)) * ( 1 - AF$11 )</f>
        <v>2.3934078092433602</v>
      </c>
      <c r="Q24" s="9">
        <f t="shared" si="2"/>
        <v>1.1260275293778476E-4</v>
      </c>
      <c r="R24" s="9">
        <f t="shared" si="0"/>
        <v>1.3481480283236143E-3</v>
      </c>
      <c r="S24" s="9">
        <f t="shared" si="3"/>
        <v>0</v>
      </c>
      <c r="T24" s="9">
        <f t="shared" si="4"/>
        <v>0</v>
      </c>
      <c r="U24" s="9"/>
      <c r="V24" s="9"/>
      <c r="W24" s="9"/>
      <c r="X24" s="9"/>
      <c r="Y24" s="9"/>
      <c r="Z24" s="9"/>
      <c r="AA24" s="9"/>
      <c r="AB24" s="9"/>
      <c r="AC24" s="9"/>
      <c r="AD24" s="9"/>
      <c r="AE24" s="9"/>
      <c r="AF24" s="9"/>
      <c r="AG24" s="9"/>
      <c r="AH24" s="9"/>
      <c r="AI24" s="9"/>
      <c r="AS24" t="s">
        <v>65</v>
      </c>
      <c r="AT24" t="s">
        <v>62</v>
      </c>
      <c r="AU24" s="2">
        <v>0.8</v>
      </c>
      <c r="AV24" s="2">
        <v>0.57999999999999996</v>
      </c>
      <c r="AW24" s="2">
        <v>0.5</v>
      </c>
      <c r="AX24">
        <v>0.75</v>
      </c>
      <c r="BB24" t="s">
        <v>103</v>
      </c>
      <c r="BC24">
        <v>8.0000000000000002E-3</v>
      </c>
    </row>
    <row r="25" spans="1:55" x14ac:dyDescent="0.2">
      <c r="A25" s="9"/>
      <c r="B25" s="9"/>
      <c r="C25" s="9"/>
      <c r="D25" s="9"/>
      <c r="E25" s="9"/>
      <c r="F25" s="9" t="s">
        <v>56</v>
      </c>
      <c r="G25" s="9"/>
      <c r="H25" s="9">
        <v>390</v>
      </c>
      <c r="I25" s="9">
        <v>0.3</v>
      </c>
      <c r="J25" s="9"/>
      <c r="K25" s="9"/>
      <c r="L25" s="9"/>
      <c r="M25" s="9"/>
      <c r="N25" s="9">
        <v>1</v>
      </c>
      <c r="O25" s="9">
        <f t="shared" si="1"/>
        <v>7.0471135296000007</v>
      </c>
      <c r="P25" s="9">
        <f>(O25 * (1 -W$11) + (0.04 * O25)) * ( 1 - AF$11 )</f>
        <v>2.6046131605401603</v>
      </c>
      <c r="Q25" s="9">
        <f t="shared" si="2"/>
        <v>1.2253933954845938E-4</v>
      </c>
      <c r="R25" s="9">
        <f t="shared" si="0"/>
        <v>1.4671148324021022E-3</v>
      </c>
      <c r="S25" s="9">
        <f t="shared" si="3"/>
        <v>0</v>
      </c>
      <c r="T25" s="9">
        <f t="shared" si="4"/>
        <v>0</v>
      </c>
      <c r="U25" s="9"/>
      <c r="V25" s="9"/>
      <c r="W25" s="9"/>
      <c r="X25" s="9"/>
      <c r="Y25" s="9"/>
      <c r="Z25" s="9"/>
      <c r="AA25" s="9"/>
      <c r="AB25" s="9"/>
      <c r="AC25" s="9"/>
      <c r="AD25" s="9"/>
      <c r="AE25" s="9"/>
      <c r="AF25" s="9"/>
      <c r="AG25" s="9"/>
      <c r="AH25" s="9"/>
      <c r="AI25" s="9"/>
      <c r="AS25" t="s">
        <v>65</v>
      </c>
      <c r="AT25" t="s">
        <v>63</v>
      </c>
      <c r="AU25" s="2">
        <v>0.4</v>
      </c>
      <c r="AV25" s="2">
        <v>0.65</v>
      </c>
      <c r="AW25">
        <v>0.55000000000000004</v>
      </c>
      <c r="AX25">
        <v>0.45</v>
      </c>
      <c r="BB25" t="s">
        <v>104</v>
      </c>
      <c r="BC25">
        <v>8.0000000000000002E-3</v>
      </c>
    </row>
    <row r="26" spans="1:55" x14ac:dyDescent="0.2">
      <c r="A26" s="9"/>
      <c r="B26" s="9"/>
      <c r="C26" s="9"/>
      <c r="D26" s="9"/>
      <c r="E26" s="9"/>
      <c r="F26" s="9" t="s">
        <v>57</v>
      </c>
      <c r="G26" s="9"/>
      <c r="H26" s="9">
        <v>410</v>
      </c>
      <c r="I26" s="9">
        <v>0.2</v>
      </c>
      <c r="J26" s="9"/>
      <c r="K26" s="9"/>
      <c r="L26" s="9"/>
      <c r="M26" s="9"/>
      <c r="N26" s="9">
        <v>1</v>
      </c>
      <c r="O26" s="9">
        <f t="shared" si="1"/>
        <v>7.1414010756000028</v>
      </c>
      <c r="P26" s="9">
        <f>(O26 * (1 -X$11) + (0.04 * O26)) * ( 1 - AF$11 )</f>
        <v>3.2393395278921613</v>
      </c>
      <c r="Q26" s="9">
        <f t="shared" si="2"/>
        <v>1.5240133634232363E-4</v>
      </c>
      <c r="R26" s="9">
        <f t="shared" si="0"/>
        <v>1.8246406570300113E-3</v>
      </c>
      <c r="S26" s="9">
        <f t="shared" si="3"/>
        <v>0</v>
      </c>
      <c r="T26" s="9">
        <f t="shared" si="4"/>
        <v>0</v>
      </c>
      <c r="U26" s="9"/>
      <c r="V26" s="9"/>
      <c r="W26" s="9"/>
      <c r="X26" s="9"/>
      <c r="Y26" s="9"/>
      <c r="Z26" s="9"/>
      <c r="AA26" s="9"/>
      <c r="AB26" s="9"/>
      <c r="AC26" s="9"/>
      <c r="AD26" s="9"/>
      <c r="AE26" s="9"/>
      <c r="AF26" s="9"/>
      <c r="AG26" s="9"/>
      <c r="AH26" s="9"/>
      <c r="AI26" s="9"/>
      <c r="AS26" t="s">
        <v>65</v>
      </c>
      <c r="AT26" t="s">
        <v>71</v>
      </c>
      <c r="AU26" s="2">
        <v>0.4</v>
      </c>
      <c r="AV26" s="2">
        <v>0.65</v>
      </c>
      <c r="AW26" s="2">
        <v>0.55000000000000004</v>
      </c>
      <c r="AX26">
        <v>0.45</v>
      </c>
      <c r="BB26" t="s">
        <v>105</v>
      </c>
      <c r="BC26">
        <v>8.0000000000000002E-3</v>
      </c>
    </row>
    <row r="27" spans="1:55" x14ac:dyDescent="0.2">
      <c r="A27" s="9"/>
      <c r="B27" s="9"/>
      <c r="C27" s="9"/>
      <c r="D27" s="9"/>
      <c r="E27" s="9" t="s">
        <v>46</v>
      </c>
      <c r="F27" s="9" t="s">
        <v>54</v>
      </c>
      <c r="G27" s="9">
        <v>100</v>
      </c>
      <c r="H27" s="9" cm="1">
        <f t="array" ref="H27:H30">_xlfn.XLOOKUP(E27, $AR$46:$BA$46, $AR$47:$BA$50)</f>
        <v>440</v>
      </c>
      <c r="I27" s="9" cm="1">
        <f t="array" ref="I27:I30">_xlfn.XLOOKUP(E27, $AR$106:$BA$106, $AR$107:$BA$110)</f>
        <v>0.3</v>
      </c>
      <c r="J27" s="9">
        <v>0.7</v>
      </c>
      <c r="K27" s="9">
        <v>0</v>
      </c>
      <c r="L27" s="9">
        <f>J27+K27</f>
        <v>0.7</v>
      </c>
      <c r="M27" s="9">
        <f>1+(0.3*J27) + (0.1*K27)</f>
        <v>1.21</v>
      </c>
      <c r="N27" s="9">
        <f>(L27*M27)+(1 - L27)</f>
        <v>1.147</v>
      </c>
      <c r="O27" s="9">
        <f>(1.185 + 0.00454 * H27 - 0.0000026 * H27^2 + 0.315 * I27)^2 * N27</f>
        <v>8.8245977249772007</v>
      </c>
      <c r="P27" s="9">
        <f>(O27 * (1 -U$11) + (0.04 * O27)) * ( 1 - AF$11 )</f>
        <v>3.6322044236006152</v>
      </c>
      <c r="Q27" s="9">
        <f t="shared" si="2"/>
        <v>1.7088446680531508E-4</v>
      </c>
      <c r="R27" s="9">
        <f t="shared" si="0"/>
        <v>2.0459318354499366E-3</v>
      </c>
      <c r="S27" s="9">
        <f t="shared" si="3"/>
        <v>1.5593207595984999</v>
      </c>
      <c r="T27" s="9">
        <f>G27*R27*91.25</f>
        <v>18.669127998480672</v>
      </c>
      <c r="U27" s="9"/>
      <c r="V27" s="9"/>
      <c r="W27" s="9">
        <f>(1.185 + 0.00454 * H27 - 0.0000026 * H27^2 + 0.315 * I27)^2</f>
        <v>7.6936335876000008</v>
      </c>
      <c r="X27" s="9">
        <f>(1.185 + 0.00454 * H27 - 0.0000026 * H27^2 + 0.315 * I27)^2 * N27</f>
        <v>8.8245977249772007</v>
      </c>
    </row>
    <row r="28" spans="1:55" x14ac:dyDescent="0.2">
      <c r="A28" s="9"/>
      <c r="B28" s="9"/>
      <c r="C28" s="9"/>
      <c r="D28" s="9"/>
      <c r="E28" s="9"/>
      <c r="F28" s="9" t="s">
        <v>55</v>
      </c>
      <c r="G28" s="9">
        <v>110</v>
      </c>
      <c r="H28" s="9">
        <v>470</v>
      </c>
      <c r="I28" s="9">
        <v>0.3</v>
      </c>
      <c r="J28" s="9">
        <v>0.3</v>
      </c>
      <c r="K28" s="9">
        <v>0.7</v>
      </c>
      <c r="L28" s="9">
        <f t="shared" ref="L28:L60" si="5">J28+K28</f>
        <v>1</v>
      </c>
      <c r="M28" s="9">
        <f>1+(0.3*J28) + (0.1*K28)</f>
        <v>1.1600000000000001</v>
      </c>
      <c r="N28" s="9">
        <f t="shared" ref="N28:N34" si="6">(L28*M28)+(1 - L28)</f>
        <v>1.1600000000000001</v>
      </c>
      <c r="O28" s="9">
        <f t="shared" ref="O28:O38" si="7">(1.185 + 0.00454 * H28 - 0.0000026 * H28^2 + 0.315 * I28)^2 * N28</f>
        <v>9.3492449026560021</v>
      </c>
      <c r="P28" s="9">
        <f>(O28 * (1 -V$11) + (0.04 * O28)) * ( 1 - AF$11 )</f>
        <v>3.0628126301101064</v>
      </c>
      <c r="Q28" s="9">
        <f t="shared" si="2"/>
        <v>1.4409626832129538E-4</v>
      </c>
      <c r="R28" s="9">
        <f t="shared" si="0"/>
        <v>1.7252073768878379E-3</v>
      </c>
      <c r="S28" s="9">
        <f t="shared" si="3"/>
        <v>1.4463662932750025</v>
      </c>
      <c r="T28" s="9">
        <f t="shared" si="4"/>
        <v>17.316769045511673</v>
      </c>
      <c r="U28" s="9"/>
      <c r="V28" s="9"/>
      <c r="W28" s="9"/>
      <c r="X28" s="9"/>
      <c r="Y28" s="9"/>
      <c r="Z28" s="9"/>
      <c r="AA28" s="9"/>
      <c r="AB28" s="9"/>
      <c r="AC28" s="9"/>
      <c r="AD28" s="9"/>
      <c r="AE28" s="9"/>
      <c r="AF28" s="9"/>
      <c r="AG28" s="9"/>
      <c r="AH28" s="9"/>
      <c r="AI28" s="9"/>
    </row>
    <row r="29" spans="1:55" x14ac:dyDescent="0.2">
      <c r="A29" s="9"/>
      <c r="B29" s="9"/>
      <c r="C29" s="9"/>
      <c r="D29" s="9"/>
      <c r="E29" s="9"/>
      <c r="F29" s="9" t="s">
        <v>56</v>
      </c>
      <c r="G29" s="9">
        <v>120</v>
      </c>
      <c r="H29" s="9">
        <v>490</v>
      </c>
      <c r="I29" s="9">
        <v>0.2</v>
      </c>
      <c r="J29" s="9">
        <v>0</v>
      </c>
      <c r="K29" s="9">
        <v>0.3</v>
      </c>
      <c r="L29" s="9">
        <f t="shared" si="5"/>
        <v>0.3</v>
      </c>
      <c r="M29" s="9">
        <f t="shared" ref="M29:M64" si="8">1+(0.3*J29) + (0.1*K29)</f>
        <v>1.03</v>
      </c>
      <c r="N29" s="9">
        <f t="shared" si="6"/>
        <v>1.0089999999999999</v>
      </c>
      <c r="O29" s="9">
        <f t="shared" si="7"/>
        <v>8.1860581224004001</v>
      </c>
      <c r="P29" s="9">
        <f>(O29 * (1 -W$11) + (0.04 * O29)) * ( 1 - AF$11 )</f>
        <v>3.0255670820391876</v>
      </c>
      <c r="Q29" s="9">
        <f t="shared" si="2"/>
        <v>1.4234397553138095E-4</v>
      </c>
      <c r="R29" s="9">
        <f t="shared" si="0"/>
        <v>1.7042278714305059E-3</v>
      </c>
      <c r="S29" s="9">
        <f t="shared" si="3"/>
        <v>1.5586665320686215</v>
      </c>
      <c r="T29" s="9">
        <f t="shared" si="4"/>
        <v>18.66129519216404</v>
      </c>
      <c r="U29" s="9"/>
      <c r="V29" s="9"/>
      <c r="W29" s="9"/>
      <c r="X29" s="9"/>
      <c r="Y29" s="9"/>
      <c r="Z29" s="9"/>
      <c r="AA29" s="9"/>
      <c r="AB29" s="9"/>
      <c r="AC29" s="9"/>
      <c r="AD29" s="9"/>
      <c r="AE29" s="9"/>
      <c r="AF29" s="9"/>
      <c r="AG29" s="9"/>
      <c r="AH29" s="9"/>
      <c r="AI29" s="9"/>
    </row>
    <row r="30" spans="1:55" x14ac:dyDescent="0.2">
      <c r="A30" s="9"/>
      <c r="B30" s="9"/>
      <c r="C30" s="9"/>
      <c r="D30" s="9"/>
      <c r="E30" s="9"/>
      <c r="F30" s="9" t="s">
        <v>57</v>
      </c>
      <c r="G30" s="9">
        <v>130</v>
      </c>
      <c r="H30" s="9">
        <v>500</v>
      </c>
      <c r="I30" s="9">
        <v>0.1</v>
      </c>
      <c r="J30" s="9">
        <v>0</v>
      </c>
      <c r="K30" s="9">
        <v>0</v>
      </c>
      <c r="L30" s="9">
        <f t="shared" si="5"/>
        <v>0</v>
      </c>
      <c r="M30" s="9">
        <f t="shared" si="8"/>
        <v>1</v>
      </c>
      <c r="N30" s="9">
        <f t="shared" si="6"/>
        <v>1</v>
      </c>
      <c r="O30" s="9">
        <f t="shared" si="7"/>
        <v>8.0457322500000004</v>
      </c>
      <c r="P30" s="9">
        <f>(O30 * (1 -X$11) + (0.04 * O30)) * ( 1 - AF$11 )</f>
        <v>3.6495441486</v>
      </c>
      <c r="Q30" s="9">
        <f t="shared" si="2"/>
        <v>1.7170024954095013E-4</v>
      </c>
      <c r="R30" s="9">
        <f t="shared" si="0"/>
        <v>2.0556988780656223E-3</v>
      </c>
      <c r="S30" s="9">
        <f t="shared" si="3"/>
        <v>2.0367942101795209</v>
      </c>
      <c r="T30" s="9">
        <f t="shared" si="4"/>
        <v>24.385727941053442</v>
      </c>
      <c r="U30" s="9"/>
      <c r="V30" s="9"/>
      <c r="W30" s="9"/>
      <c r="X30" s="9"/>
      <c r="Y30" s="9"/>
      <c r="Z30" s="9"/>
      <c r="AA30" s="9"/>
      <c r="AB30" s="9"/>
      <c r="AC30" s="9"/>
      <c r="AD30" s="9"/>
      <c r="AE30" s="9"/>
      <c r="AF30" s="9"/>
      <c r="AG30" s="9"/>
      <c r="AH30" s="9"/>
      <c r="AI30" s="9"/>
    </row>
    <row r="31" spans="1:55" x14ac:dyDescent="0.2">
      <c r="A31" s="9"/>
      <c r="B31" s="9"/>
      <c r="C31" s="9"/>
      <c r="D31" s="9"/>
      <c r="E31" s="9" t="s">
        <v>47</v>
      </c>
      <c r="F31" s="9" t="s">
        <v>54</v>
      </c>
      <c r="G31" s="9">
        <v>50</v>
      </c>
      <c r="H31" s="9" cm="1">
        <f t="array" ref="H31:H34">_xlfn.XLOOKUP(E31, $AR$46:$BA$46, $AR$47:$BA$50)</f>
        <v>440</v>
      </c>
      <c r="I31" s="9" cm="1">
        <f t="array" ref="I31:I34">_xlfn.XLOOKUP(E31, $AR$106:$BA$106, $AR$107:$BA$110)</f>
        <v>0.3</v>
      </c>
      <c r="J31" s="9">
        <v>0.6</v>
      </c>
      <c r="K31" s="9">
        <v>0.4</v>
      </c>
      <c r="L31" s="9">
        <f t="shared" si="5"/>
        <v>1</v>
      </c>
      <c r="M31" s="9">
        <f t="shared" si="8"/>
        <v>1.22</v>
      </c>
      <c r="N31" s="9">
        <f t="shared" si="6"/>
        <v>1.22</v>
      </c>
      <c r="O31" s="9">
        <f t="shared" si="7"/>
        <v>9.3862329768720016</v>
      </c>
      <c r="P31" s="9">
        <f>(O31 * (1 -U$11) + (0.04 * O31)) * ( 1 - AF$11 )</f>
        <v>3.8633734932805153</v>
      </c>
      <c r="Q31" s="9">
        <f t="shared" si="2"/>
        <v>1.8176028727330814E-4</v>
      </c>
      <c r="R31" s="9">
        <f t="shared" si="0"/>
        <v>2.1761437133817987E-3</v>
      </c>
      <c r="S31" s="9">
        <f t="shared" si="3"/>
        <v>0.82928131068446842</v>
      </c>
      <c r="T31" s="9">
        <f t="shared" si="4"/>
        <v>9.9286556923044564</v>
      </c>
      <c r="U31" s="9"/>
      <c r="V31" s="9"/>
      <c r="W31" s="9"/>
      <c r="X31" s="9"/>
      <c r="Y31" s="9"/>
      <c r="Z31" s="9"/>
      <c r="AA31" s="9"/>
      <c r="AB31" s="9"/>
      <c r="AC31" s="9"/>
      <c r="AD31" s="9"/>
      <c r="AE31" s="9"/>
      <c r="AF31" s="9"/>
      <c r="AG31" s="9"/>
      <c r="AH31" s="9"/>
      <c r="AI31" s="9"/>
    </row>
    <row r="32" spans="1:55" x14ac:dyDescent="0.2">
      <c r="A32" s="9"/>
      <c r="B32" s="9"/>
      <c r="C32" s="9"/>
      <c r="D32" s="9"/>
      <c r="E32" s="9"/>
      <c r="F32" s="9" t="s">
        <v>55</v>
      </c>
      <c r="G32" s="9">
        <v>60</v>
      </c>
      <c r="H32" s="9">
        <v>470</v>
      </c>
      <c r="I32" s="9">
        <v>0.3</v>
      </c>
      <c r="J32" s="9">
        <v>0</v>
      </c>
      <c r="K32" s="9">
        <v>0.6</v>
      </c>
      <c r="L32" s="9">
        <f t="shared" si="5"/>
        <v>0.6</v>
      </c>
      <c r="M32" s="9">
        <f t="shared" si="8"/>
        <v>1.06</v>
      </c>
      <c r="N32" s="9">
        <f t="shared" si="6"/>
        <v>1.036</v>
      </c>
      <c r="O32" s="9">
        <f t="shared" si="7"/>
        <v>8.349842861337601</v>
      </c>
      <c r="P32" s="9">
        <f>(O32 * (1 -V$11) + (0.04 * O32)) * ( 1 - AF$11 )</f>
        <v>2.7354085213741977</v>
      </c>
      <c r="Q32" s="9">
        <f t="shared" si="2"/>
        <v>1.2869287412143273E-4</v>
      </c>
      <c r="R32" s="9">
        <f t="shared" si="0"/>
        <v>1.5407886572894824E-3</v>
      </c>
      <c r="S32" s="9">
        <f t="shared" si="3"/>
        <v>0.70459348581484416</v>
      </c>
      <c r="T32" s="9">
        <f t="shared" si="4"/>
        <v>8.4358178986599164</v>
      </c>
      <c r="U32" s="9"/>
      <c r="V32" s="9"/>
      <c r="W32" s="9"/>
      <c r="X32" s="9"/>
      <c r="Y32" s="9"/>
      <c r="Z32" s="9"/>
      <c r="AA32" s="9"/>
      <c r="AB32" s="9"/>
      <c r="AC32" s="9"/>
      <c r="AD32" s="9"/>
      <c r="AE32" s="9"/>
      <c r="AF32" s="9"/>
      <c r="AG32" s="9"/>
      <c r="AH32" s="9"/>
      <c r="AI32" s="9"/>
    </row>
    <row r="33" spans="1:53" x14ac:dyDescent="0.2">
      <c r="A33" s="9"/>
      <c r="B33" s="9"/>
      <c r="C33" s="9"/>
      <c r="D33" s="9"/>
      <c r="E33" s="9"/>
      <c r="F33" s="9" t="s">
        <v>56</v>
      </c>
      <c r="G33" s="9">
        <v>70</v>
      </c>
      <c r="H33" s="9">
        <v>490</v>
      </c>
      <c r="I33" s="9">
        <v>0.2</v>
      </c>
      <c r="J33" s="9">
        <v>0</v>
      </c>
      <c r="K33" s="9">
        <v>0</v>
      </c>
      <c r="L33" s="9">
        <f t="shared" si="5"/>
        <v>0</v>
      </c>
      <c r="M33" s="9">
        <f t="shared" si="8"/>
        <v>1</v>
      </c>
      <c r="N33" s="9">
        <f t="shared" si="6"/>
        <v>1</v>
      </c>
      <c r="O33" s="9">
        <f t="shared" si="7"/>
        <v>8.1130407556000002</v>
      </c>
      <c r="P33" s="9">
        <f>(O33 * (1 -W$11) + (0.04 * O33)) * ( 1 - AF$11 )</f>
        <v>2.99857986326976</v>
      </c>
      <c r="Q33" s="9">
        <f t="shared" si="2"/>
        <v>1.4107430677044692E-4</v>
      </c>
      <c r="R33" s="9">
        <f t="shared" si="0"/>
        <v>1.6890266317448027E-3</v>
      </c>
      <c r="S33" s="9">
        <f t="shared" si="3"/>
        <v>0.90111213449622973</v>
      </c>
      <c r="T33" s="9">
        <f t="shared" si="4"/>
        <v>10.788657610269928</v>
      </c>
      <c r="U33" s="9"/>
      <c r="V33" s="9"/>
      <c r="W33" s="9"/>
      <c r="X33" s="9"/>
      <c r="Y33" s="9"/>
      <c r="Z33" s="9"/>
      <c r="AA33" s="9"/>
      <c r="AB33" s="9"/>
      <c r="AC33" s="9"/>
      <c r="AD33" s="9"/>
      <c r="AE33" s="9"/>
      <c r="AF33" s="9"/>
      <c r="AG33" s="9"/>
      <c r="AH33" s="9"/>
      <c r="AI33" s="9"/>
    </row>
    <row r="34" spans="1:53" x14ac:dyDescent="0.2">
      <c r="A34" s="9"/>
      <c r="B34" s="9"/>
      <c r="C34" s="9"/>
      <c r="D34" s="9"/>
      <c r="E34" s="9"/>
      <c r="F34" s="9" t="s">
        <v>57</v>
      </c>
      <c r="G34" s="9">
        <v>80</v>
      </c>
      <c r="H34" s="9">
        <v>500</v>
      </c>
      <c r="I34" s="9">
        <v>0.1</v>
      </c>
      <c r="J34" s="9">
        <v>0.4</v>
      </c>
      <c r="K34" s="9">
        <v>0</v>
      </c>
      <c r="L34" s="9">
        <f t="shared" si="5"/>
        <v>0.4</v>
      </c>
      <c r="M34" s="9">
        <f t="shared" si="8"/>
        <v>1.1200000000000001</v>
      </c>
      <c r="N34" s="9">
        <f t="shared" si="6"/>
        <v>1.048</v>
      </c>
      <c r="O34" s="9">
        <f t="shared" si="7"/>
        <v>8.4319273980000009</v>
      </c>
      <c r="P34" s="9">
        <f>(O34 * (1 -X$11) + (0.04 * O34)) * ( 1 - AF$11 )</f>
        <v>3.8247222677328003</v>
      </c>
      <c r="Q34" s="9">
        <f t="shared" si="2"/>
        <v>1.7994186151891575E-4</v>
      </c>
      <c r="R34" s="9">
        <f t="shared" si="0"/>
        <v>2.154372424212772E-3</v>
      </c>
      <c r="S34" s="9">
        <f t="shared" si="3"/>
        <v>1.3135755890880849</v>
      </c>
      <c r="T34" s="9">
        <f t="shared" si="4"/>
        <v>15.726918696753236</v>
      </c>
      <c r="U34" s="9"/>
      <c r="V34" s="9"/>
      <c r="W34" s="9"/>
      <c r="X34" s="9"/>
      <c r="Y34" s="9"/>
      <c r="Z34" s="9"/>
      <c r="AA34" s="9"/>
      <c r="AB34" s="9"/>
      <c r="AC34" s="9"/>
      <c r="AD34" s="9"/>
      <c r="AE34" s="9"/>
      <c r="AF34" s="9"/>
      <c r="AG34" s="9"/>
      <c r="AH34" s="9"/>
      <c r="AI34" s="9"/>
    </row>
    <row r="35" spans="1:53" x14ac:dyDescent="0.2">
      <c r="A35" s="9"/>
      <c r="B35" s="9"/>
      <c r="C35" s="9"/>
      <c r="D35" s="9"/>
      <c r="E35" s="9" t="s">
        <v>48</v>
      </c>
      <c r="F35" s="9" t="s">
        <v>54</v>
      </c>
      <c r="G35" s="9">
        <v>200</v>
      </c>
      <c r="H35" s="9" cm="1">
        <f t="array" ref="H35:H38">_xlfn.XLOOKUP(E35, $AR$46:$BA$46, $AR$47:$BA$50)</f>
        <v>75</v>
      </c>
      <c r="I35" s="9" cm="1">
        <f t="array" ref="I35:I38">_xlfn.XLOOKUP(E35, $AR$106:$BA$106, $AR$107:$BA$110)</f>
        <v>0.5</v>
      </c>
      <c r="J35" s="9"/>
      <c r="K35" s="9"/>
      <c r="L35" s="9">
        <f t="shared" si="5"/>
        <v>0</v>
      </c>
      <c r="M35" s="9">
        <f t="shared" si="8"/>
        <v>1</v>
      </c>
      <c r="N35" s="9">
        <v>1</v>
      </c>
      <c r="O35" s="9">
        <f t="shared" si="7"/>
        <v>2.7834751406249998</v>
      </c>
      <c r="P35" s="9">
        <f>(O35 * (1 -U$11) + (0.04 * O35)) * ( 1 - AF$11 )</f>
        <v>1.1456783678812499</v>
      </c>
      <c r="Q35" s="9">
        <f t="shared" si="2"/>
        <v>5.390077600084388E-5</v>
      </c>
      <c r="R35" s="9">
        <f t="shared" si="0"/>
        <v>6.4533257842106233E-4</v>
      </c>
      <c r="S35" s="9">
        <f t="shared" si="3"/>
        <v>0.98368916201540069</v>
      </c>
      <c r="T35" s="9">
        <f t="shared" si="4"/>
        <v>11.777319556184386</v>
      </c>
      <c r="U35" s="9"/>
      <c r="V35" s="9"/>
      <c r="W35" s="9"/>
      <c r="X35" s="9"/>
      <c r="Y35" s="9"/>
      <c r="Z35" s="9"/>
      <c r="AA35" s="9"/>
      <c r="AB35" s="9"/>
      <c r="AC35" s="9"/>
      <c r="AD35" s="9"/>
      <c r="AE35" s="9"/>
      <c r="AF35" s="9"/>
      <c r="AG35" s="9"/>
      <c r="AH35" s="9"/>
      <c r="AI35" s="9"/>
    </row>
    <row r="36" spans="1:53" x14ac:dyDescent="0.2">
      <c r="A36" s="9"/>
      <c r="B36" s="9"/>
      <c r="C36" s="9"/>
      <c r="D36" s="9"/>
      <c r="E36" s="9"/>
      <c r="F36" s="9" t="s">
        <v>55</v>
      </c>
      <c r="G36" s="9">
        <v>130</v>
      </c>
      <c r="H36" s="9">
        <v>160</v>
      </c>
      <c r="I36" s="9">
        <v>0.9</v>
      </c>
      <c r="J36" s="9"/>
      <c r="K36" s="9"/>
      <c r="L36" s="9">
        <f t="shared" si="5"/>
        <v>0</v>
      </c>
      <c r="M36" s="9">
        <f t="shared" si="8"/>
        <v>1</v>
      </c>
      <c r="N36" s="9">
        <v>1</v>
      </c>
      <c r="O36" s="9">
        <f t="shared" si="7"/>
        <v>4.5298311556000002</v>
      </c>
      <c r="P36" s="9">
        <f>(O36 * (1 -V$11) + (0.04 * O36)) * ( 1 - AF$11 )</f>
        <v>1.4839726865745599</v>
      </c>
      <c r="Q36" s="9">
        <f t="shared" si="2"/>
        <v>6.9816522344180778E-5</v>
      </c>
      <c r="R36" s="9">
        <f t="shared" si="0"/>
        <v>8.3588548669608228E-4</v>
      </c>
      <c r="S36" s="9">
        <f t="shared" si="3"/>
        <v>0.82819849630784437</v>
      </c>
      <c r="T36" s="9">
        <f t="shared" si="4"/>
        <v>9.9156915859322758</v>
      </c>
      <c r="U36" s="9"/>
      <c r="V36" s="9"/>
      <c r="W36" s="9"/>
      <c r="X36" s="9"/>
      <c r="Y36" s="9"/>
      <c r="Z36" s="9"/>
      <c r="AA36" s="9"/>
      <c r="AB36" s="9"/>
      <c r="AC36" s="9"/>
      <c r="AD36" s="9"/>
      <c r="AE36" s="9"/>
      <c r="AF36" s="9"/>
      <c r="AG36" s="9"/>
      <c r="AH36" s="9"/>
      <c r="AI36" s="9"/>
    </row>
    <row r="37" spans="1:53" x14ac:dyDescent="0.2">
      <c r="A37" s="9"/>
      <c r="B37" s="9"/>
      <c r="C37" s="9"/>
      <c r="D37" s="9"/>
      <c r="E37" s="9"/>
      <c r="F37" s="9" t="s">
        <v>56</v>
      </c>
      <c r="G37" s="9">
        <v>250</v>
      </c>
      <c r="H37" s="9">
        <v>220</v>
      </c>
      <c r="I37" s="9">
        <v>0.7</v>
      </c>
      <c r="J37" s="9"/>
      <c r="K37" s="9"/>
      <c r="L37" s="9">
        <f t="shared" si="5"/>
        <v>0</v>
      </c>
      <c r="M37" s="9">
        <f t="shared" si="8"/>
        <v>1</v>
      </c>
      <c r="N37" s="9">
        <v>1</v>
      </c>
      <c r="O37" s="9">
        <f t="shared" si="7"/>
        <v>5.1913799715999973</v>
      </c>
      <c r="P37" s="9">
        <f>(O37 * (1 -W$11) + (0.04 * O37)) * ( 1 - AF$11 )</f>
        <v>1.918734037503359</v>
      </c>
      <c r="Q37" s="9">
        <f t="shared" si="2"/>
        <v>9.0270757011782037E-5</v>
      </c>
      <c r="R37" s="9">
        <f t="shared" si="0"/>
        <v>1.0807759127164039E-3</v>
      </c>
      <c r="S37" s="9">
        <f t="shared" si="3"/>
        <v>2.0593016443312777</v>
      </c>
      <c r="T37" s="9">
        <f t="shared" si="4"/>
        <v>24.655200508842963</v>
      </c>
      <c r="U37" s="9"/>
      <c r="V37" s="9"/>
      <c r="W37" s="9"/>
      <c r="X37" s="9"/>
      <c r="Y37" s="9"/>
      <c r="Z37" s="9"/>
      <c r="AA37" s="9"/>
      <c r="AB37" s="9"/>
      <c r="AC37" s="9"/>
      <c r="AD37" s="9"/>
      <c r="AE37" s="9"/>
      <c r="AF37" s="9"/>
      <c r="AG37" s="9"/>
      <c r="AH37" s="9"/>
      <c r="AI37" s="9"/>
    </row>
    <row r="38" spans="1:53" x14ac:dyDescent="0.2">
      <c r="A38" s="9"/>
      <c r="B38" s="9"/>
      <c r="C38" s="9"/>
      <c r="D38" s="9"/>
      <c r="E38" s="9"/>
      <c r="F38" s="9" t="s">
        <v>57</v>
      </c>
      <c r="G38" s="9">
        <v>150</v>
      </c>
      <c r="H38" s="9">
        <v>260</v>
      </c>
      <c r="I38" s="9">
        <v>0.4</v>
      </c>
      <c r="J38" s="9"/>
      <c r="K38" s="9"/>
      <c r="L38" s="9">
        <f t="shared" si="5"/>
        <v>0</v>
      </c>
      <c r="M38" s="9">
        <f t="shared" si="8"/>
        <v>1</v>
      </c>
      <c r="N38" s="9">
        <v>1</v>
      </c>
      <c r="O38" s="9">
        <f t="shared" si="7"/>
        <v>5.3621886096000004</v>
      </c>
      <c r="P38" s="9">
        <f>(O38 * (1 -X$11) + (0.04 * O38)) * ( 1 - AF$11 )</f>
        <v>2.4322887533145603</v>
      </c>
      <c r="Q38" s="9">
        <f t="shared" si="2"/>
        <v>1.1443198626874025E-4</v>
      </c>
      <c r="R38" s="9">
        <f t="shared" si="0"/>
        <v>1.3700487123134107E-3</v>
      </c>
      <c r="S38" s="9">
        <f t="shared" si="3"/>
        <v>1.5662878120533821</v>
      </c>
      <c r="T38" s="9">
        <f t="shared" si="4"/>
        <v>18.75254174978981</v>
      </c>
      <c r="U38" s="9"/>
      <c r="V38" s="9"/>
      <c r="W38" s="9"/>
      <c r="X38" s="9"/>
      <c r="Y38" s="9"/>
      <c r="Z38" s="9"/>
      <c r="AA38" s="9"/>
      <c r="AB38" s="9"/>
      <c r="AC38" s="9"/>
      <c r="AD38" s="9"/>
      <c r="AE38" s="9"/>
      <c r="AF38" s="9"/>
      <c r="AG38" s="9"/>
      <c r="AH38" s="9"/>
      <c r="AI38" s="9"/>
    </row>
    <row r="39" spans="1:53" x14ac:dyDescent="0.2">
      <c r="L39" s="9">
        <f t="shared" si="5"/>
        <v>0</v>
      </c>
      <c r="M39" s="9">
        <f t="shared" si="8"/>
        <v>1</v>
      </c>
    </row>
    <row r="40" spans="1:53" x14ac:dyDescent="0.2">
      <c r="L40" s="9">
        <f t="shared" si="5"/>
        <v>0</v>
      </c>
      <c r="M40" s="9">
        <f t="shared" si="8"/>
        <v>1</v>
      </c>
      <c r="AJ40" s="9" t="s">
        <v>136</v>
      </c>
    </row>
    <row r="41" spans="1:53" x14ac:dyDescent="0.2">
      <c r="A41" s="9" t="s">
        <v>121</v>
      </c>
      <c r="B41" s="9" t="s">
        <v>99</v>
      </c>
      <c r="C41" s="9" t="s">
        <v>53</v>
      </c>
      <c r="D41" s="9" t="s">
        <v>53</v>
      </c>
      <c r="E41" s="9" t="s">
        <v>42</v>
      </c>
      <c r="F41" s="9" t="s">
        <v>54</v>
      </c>
      <c r="G41" s="9">
        <v>100</v>
      </c>
      <c r="H41" s="9" cm="1">
        <f t="array" ref="H41:H44">_xlfn.XLOOKUP(E41, $AR$46:$BA$46, $AR$47:$BA$50)</f>
        <v>80</v>
      </c>
      <c r="I41" s="9" cm="1">
        <f t="array" ref="I41:I44">_xlfn.XLOOKUP(E41, $AR$106:$BA$106, $AR$107:$BA$110)</f>
        <v>0.5</v>
      </c>
      <c r="J41" s="9"/>
      <c r="K41" s="9"/>
      <c r="L41" s="9">
        <f t="shared" si="5"/>
        <v>0</v>
      </c>
      <c r="M41" s="9">
        <f t="shared" si="8"/>
        <v>1</v>
      </c>
      <c r="N41" s="9">
        <v>1</v>
      </c>
      <c r="O41" s="9">
        <f>(1.185 + 0.00454 * H41 - 0.0000026 * H41^2 + 0.315 * I41)^2 * N41</f>
        <v>2.8529236835999998</v>
      </c>
      <c r="P41" s="9">
        <f>(O41 * (1 -U$41) + (0.04 * O41)) * ( 1 - AF$41 )</f>
        <v>1.1742633881697597</v>
      </c>
      <c r="Q41" s="10">
        <f>P41 * AD$41 * Z$41 * AB$41 * AE$41</f>
        <v>5.5245616593758213E-5</v>
      </c>
      <c r="R41" s="9">
        <f>P41 * AD$41 * AA$41 * AC$41 * AE$41</f>
        <v>6.6143382058828331E-4</v>
      </c>
      <c r="S41" s="9">
        <f>G41*Q41*91.25</f>
        <v>0.50411625141804373</v>
      </c>
      <c r="T41" s="9">
        <f>G41*R41*91.25</f>
        <v>6.0355836128680851</v>
      </c>
      <c r="U41" s="9" cm="1">
        <f t="array" ref="U41:X41">_xlfn.XLOOKUP(C41,$AT$18:$AT$26,$AU$18:$AX$26)</f>
        <v>0.55000000000000004</v>
      </c>
      <c r="V41" s="9">
        <v>0.65</v>
      </c>
      <c r="W41" s="9">
        <v>0.6</v>
      </c>
      <c r="X41" s="9">
        <v>0.5</v>
      </c>
      <c r="Y41" s="9" t="s">
        <v>91</v>
      </c>
      <c r="Z41" s="9">
        <f>IF(Y41="yes", $AP$6, $AQ$6)</f>
        <v>0.05</v>
      </c>
      <c r="AA41" s="9">
        <f>IF(Y41="yes", $AP$7, $AQ$7)</f>
        <v>0.95</v>
      </c>
      <c r="AB41" s="9">
        <f>VLOOKUP(B41, $BB$17:$BC$26, 2, FALSE)</f>
        <v>7.3000000000000001E-3</v>
      </c>
      <c r="AC41" s="9">
        <f>$BC$14</f>
        <v>4.5999999999999999E-3</v>
      </c>
      <c r="AD41" s="9">
        <f>$AU$5</f>
        <v>0.19</v>
      </c>
      <c r="AE41" s="9">
        <f>$AU$6</f>
        <v>0.6784</v>
      </c>
      <c r="AF41" s="9">
        <f>$AU$7</f>
        <v>0.16</v>
      </c>
      <c r="AG41" s="9">
        <f>SUM(S41:T64)</f>
        <v>256.46968526261992</v>
      </c>
      <c r="AH41" s="9">
        <f>$AU$8</f>
        <v>28</v>
      </c>
      <c r="AI41" s="9">
        <f>AG41 * AH41 * 10^-3</f>
        <v>7.1811511873533584</v>
      </c>
    </row>
    <row r="42" spans="1:53" x14ac:dyDescent="0.2">
      <c r="A42" s="9"/>
      <c r="B42" s="9"/>
      <c r="C42" s="9"/>
      <c r="D42" s="9"/>
      <c r="E42" s="9"/>
      <c r="F42" s="9" t="s">
        <v>55</v>
      </c>
      <c r="G42" s="9">
        <v>110</v>
      </c>
      <c r="H42" s="9">
        <v>170</v>
      </c>
      <c r="I42" s="9">
        <v>1</v>
      </c>
      <c r="J42" s="9"/>
      <c r="K42" s="9"/>
      <c r="L42" s="9">
        <f t="shared" si="5"/>
        <v>0</v>
      </c>
      <c r="M42" s="9">
        <f t="shared" si="8"/>
        <v>1</v>
      </c>
      <c r="N42" s="9">
        <v>1</v>
      </c>
      <c r="O42" s="9">
        <f t="shared" ref="O42:O44" si="9">(1.185 + 0.00454 * H42 - 0.0000026 * H42^2 + 0.315 * I42)^2 * N42</f>
        <v>4.8253151556000002</v>
      </c>
      <c r="P42" s="9">
        <f>(O42 * (1 -V$41) + (0.04 * O42)) * ( 1 - AF$41 )</f>
        <v>1.58077324497456</v>
      </c>
      <c r="Q42" s="10">
        <f t="shared" ref="Q42:Q64" si="10">P42 * AD$41 * Z$41 * AB$41 * AE$41</f>
        <v>7.4370702087247912E-5</v>
      </c>
      <c r="R42" s="9">
        <f t="shared" ref="R42:R64" si="11">P42 * AD$41 * AA$41 * AC$41 * AE$41</f>
        <v>8.9041087156513257E-4</v>
      </c>
      <c r="S42" s="9">
        <f>G42*Q42*91.25</f>
        <v>0.74649592220075089</v>
      </c>
      <c r="T42" s="9">
        <f>G42*R42*91.25</f>
        <v>8.9374991233350194</v>
      </c>
      <c r="U42" s="9"/>
      <c r="V42" s="9"/>
      <c r="W42" s="9"/>
      <c r="X42" s="9"/>
      <c r="Y42" s="9"/>
      <c r="Z42" s="9"/>
      <c r="AA42" s="9"/>
      <c r="AB42" s="9"/>
      <c r="AC42" s="9"/>
      <c r="AD42" s="9"/>
      <c r="AE42" s="9"/>
      <c r="AF42" s="9"/>
      <c r="AG42" s="9"/>
      <c r="AH42" s="9"/>
      <c r="AI42" s="9"/>
    </row>
    <row r="43" spans="1:53" x14ac:dyDescent="0.2">
      <c r="A43" s="9"/>
      <c r="B43" s="9"/>
      <c r="C43" s="9"/>
      <c r="D43" s="9"/>
      <c r="E43" s="9"/>
      <c r="F43" s="9" t="s">
        <v>56</v>
      </c>
      <c r="G43" s="9">
        <v>120</v>
      </c>
      <c r="H43" s="9">
        <v>240</v>
      </c>
      <c r="I43" s="9">
        <v>0.8</v>
      </c>
      <c r="J43" s="9"/>
      <c r="K43" s="9"/>
      <c r="L43" s="9">
        <f t="shared" si="5"/>
        <v>0</v>
      </c>
      <c r="M43" s="9">
        <f t="shared" si="8"/>
        <v>1</v>
      </c>
      <c r="N43" s="9">
        <v>1</v>
      </c>
      <c r="O43" s="9">
        <f t="shared" si="9"/>
        <v>5.6493683855999981</v>
      </c>
      <c r="P43" s="9">
        <f>(O43 * (1 -W$41) + (0.04 * O43)) * ( 1 - AF$41 )</f>
        <v>2.0880065553177594</v>
      </c>
      <c r="Q43" s="10">
        <f t="shared" si="10"/>
        <v>9.8234527928296858E-5</v>
      </c>
      <c r="R43" s="9">
        <f t="shared" si="11"/>
        <v>1.1761229782100196E-3</v>
      </c>
      <c r="S43" s="9">
        <f>G43*Q43*91.25</f>
        <v>1.0756680808148507</v>
      </c>
      <c r="T43" s="9">
        <f>G43*R43*91.25</f>
        <v>12.878546611399717</v>
      </c>
      <c r="U43" s="9"/>
      <c r="V43" s="9"/>
      <c r="W43" s="9"/>
      <c r="X43" s="9"/>
      <c r="Y43" s="9"/>
      <c r="Z43" s="9"/>
      <c r="AA43" s="9"/>
      <c r="AB43" s="9"/>
      <c r="AC43" s="9"/>
      <c r="AD43" s="9"/>
      <c r="AE43" s="9"/>
      <c r="AF43" s="9"/>
      <c r="AG43" s="9"/>
      <c r="AH43" s="9"/>
      <c r="AI43" s="9"/>
    </row>
    <row r="44" spans="1:53" x14ac:dyDescent="0.2">
      <c r="A44" s="9"/>
      <c r="B44" s="9"/>
      <c r="C44" s="9"/>
      <c r="D44" s="9"/>
      <c r="E44" s="9"/>
      <c r="F44" s="9" t="s">
        <v>57</v>
      </c>
      <c r="G44" s="9">
        <v>130</v>
      </c>
      <c r="H44" s="9">
        <v>280</v>
      </c>
      <c r="I44" s="9">
        <v>0.4</v>
      </c>
      <c r="J44" s="9"/>
      <c r="K44" s="9"/>
      <c r="L44" s="9">
        <f t="shared" si="5"/>
        <v>0</v>
      </c>
      <c r="M44" s="9">
        <f t="shared" si="8"/>
        <v>1</v>
      </c>
      <c r="N44" s="9">
        <v>1</v>
      </c>
      <c r="O44" s="9">
        <f t="shared" si="9"/>
        <v>5.6565962895999995</v>
      </c>
      <c r="P44" s="9">
        <f>(O44 * (1 -X$41) + (0.04 * O44)) * ( 1 - AF$41 )</f>
        <v>2.5658320769625598</v>
      </c>
      <c r="Q44" s="10">
        <f t="shared" si="10"/>
        <v>1.2071480435814064E-4</v>
      </c>
      <c r="R44" s="9">
        <f t="shared" si="11"/>
        <v>1.4452703973837659E-3</v>
      </c>
      <c r="S44" s="9">
        <f>G44*Q44*91.25</f>
        <v>1.4319793666984433</v>
      </c>
      <c r="T44" s="9">
        <f>G44*R44*91.25</f>
        <v>17.144520088964921</v>
      </c>
      <c r="U44" s="9"/>
      <c r="V44" s="9"/>
      <c r="W44" s="9"/>
      <c r="X44" s="9"/>
      <c r="Y44" s="9"/>
      <c r="Z44" s="9"/>
      <c r="AA44" s="9"/>
      <c r="AB44" s="9"/>
      <c r="AC44" s="9"/>
      <c r="AD44" s="9"/>
      <c r="AE44" s="9"/>
      <c r="AF44" s="9"/>
      <c r="AG44" s="9"/>
      <c r="AH44" s="9"/>
    </row>
    <row r="45" spans="1:53" x14ac:dyDescent="0.2">
      <c r="A45" s="9"/>
      <c r="B45" s="9"/>
      <c r="C45" s="9"/>
      <c r="D45" s="9"/>
      <c r="E45" s="9" t="s">
        <v>46</v>
      </c>
      <c r="F45" s="9" t="s">
        <v>54</v>
      </c>
      <c r="G45" s="9">
        <v>70</v>
      </c>
      <c r="H45" s="9" cm="1">
        <f t="array" ref="H45:H48">_xlfn.XLOOKUP(E45, $AR$46:$BA$46, $AR$47:$BA$50)</f>
        <v>440</v>
      </c>
      <c r="I45" s="9" cm="1">
        <f t="array" ref="I45:I48">_xlfn.XLOOKUP(E45, $AR$106:$BA$106, $AR$107:$BA$110)</f>
        <v>0.3</v>
      </c>
      <c r="J45" s="9">
        <v>1</v>
      </c>
      <c r="K45" s="9">
        <v>0</v>
      </c>
      <c r="L45" s="9">
        <f t="shared" si="5"/>
        <v>1</v>
      </c>
      <c r="M45" s="9">
        <f t="shared" si="8"/>
        <v>1.3</v>
      </c>
      <c r="N45" s="9">
        <f>(L45*M45)+(1 - L45)</f>
        <v>1.3</v>
      </c>
      <c r="O45" s="9">
        <f>(1.185 + 0.00454 * H45 - 0.0000026 * H45^2 + 0.315 * I45)^2 * N45</f>
        <v>10.001723663880002</v>
      </c>
      <c r="P45" s="9">
        <f t="shared" ref="P45" si="12">(O45 * (1 -U$41) + (0.04 * O45)) * ( 1 - AF$41 )</f>
        <v>4.1167094600530074</v>
      </c>
      <c r="Q45" s="10">
        <f t="shared" si="10"/>
        <v>1.9367899463549227E-4</v>
      </c>
      <c r="R45" s="9">
        <f t="shared" si="11"/>
        <v>2.3188416618002772E-3</v>
      </c>
      <c r="S45" s="9">
        <f t="shared" ref="S45:S64" si="13">G45*Q45*91.25</f>
        <v>1.2371245782342069</v>
      </c>
      <c r="T45" s="9">
        <f t="shared" ref="T45:T64" si="14">G45*R45*91.25</f>
        <v>14.811601114749271</v>
      </c>
      <c r="U45" s="9"/>
      <c r="V45" s="9"/>
      <c r="W45" s="9">
        <f>(1.185 + 0.00454 * H45 - 0.0000026 * H45^2 + 0.315 * I45)^2</f>
        <v>7.6936335876000008</v>
      </c>
      <c r="X45" s="9">
        <f>(1.185 + 0.00454 * H45 - 0.0000026 * H45^2 + 0.315 * I45)^2 * N45</f>
        <v>10.001723663880002</v>
      </c>
      <c r="Y45" s="9"/>
      <c r="Z45" s="9"/>
      <c r="AA45" s="9"/>
      <c r="AB45" s="9"/>
      <c r="AC45" s="9"/>
      <c r="AD45" s="9"/>
      <c r="AE45" s="9"/>
      <c r="AF45" s="9"/>
      <c r="AG45" s="9"/>
      <c r="AH45" s="9"/>
      <c r="AI45" s="9"/>
      <c r="AR45" s="3" t="s">
        <v>66</v>
      </c>
      <c r="AS45" s="3" t="s">
        <v>66</v>
      </c>
      <c r="AT45" s="3" t="s">
        <v>67</v>
      </c>
      <c r="AU45" s="3" t="s">
        <v>67</v>
      </c>
      <c r="AV45" s="3" t="s">
        <v>67</v>
      </c>
      <c r="AW45" s="3" t="s">
        <v>67</v>
      </c>
      <c r="AX45" s="3" t="s">
        <v>68</v>
      </c>
      <c r="AY45" s="3" t="s">
        <v>68</v>
      </c>
      <c r="AZ45" s="3" t="s">
        <v>68</v>
      </c>
      <c r="BA45" s="3" t="s">
        <v>68</v>
      </c>
    </row>
    <row r="46" spans="1:53" x14ac:dyDescent="0.2">
      <c r="A46" s="9"/>
      <c r="B46" s="9"/>
      <c r="C46" s="9"/>
      <c r="D46" s="9"/>
      <c r="E46" s="9"/>
      <c r="F46" s="9" t="s">
        <v>55</v>
      </c>
      <c r="G46" s="9">
        <v>77</v>
      </c>
      <c r="H46" s="9">
        <v>470</v>
      </c>
      <c r="I46" s="9">
        <v>0.3</v>
      </c>
      <c r="J46" s="9">
        <v>0</v>
      </c>
      <c r="K46" s="9">
        <v>1</v>
      </c>
      <c r="L46" s="9">
        <f t="shared" si="5"/>
        <v>1</v>
      </c>
      <c r="M46" s="9">
        <f t="shared" si="8"/>
        <v>1.1000000000000001</v>
      </c>
      <c r="N46" s="9">
        <f t="shared" ref="N46:N48" si="15">(L46*M46)+(1 - L46)</f>
        <v>1.1000000000000001</v>
      </c>
      <c r="O46" s="9">
        <f t="shared" ref="O46:O48" si="16">(1.185 + 0.00454 * H46 - 0.0000026 * H46^2 + 0.315 * I46)^2 * N46</f>
        <v>8.8656632697600024</v>
      </c>
      <c r="P46" s="9">
        <f t="shared" ref="P46" si="17">(O46 * (1 -V$41) + (0.04 * O46)) * ( 1 - AF$41 )</f>
        <v>2.9043912871733766</v>
      </c>
      <c r="Q46" s="10">
        <f t="shared" si="10"/>
        <v>1.3664301306329734E-4</v>
      </c>
      <c r="R46" s="9">
        <f t="shared" si="11"/>
        <v>1.6359725125660528E-3</v>
      </c>
      <c r="S46" s="9">
        <f t="shared" si="13"/>
        <v>0.96008797053599293</v>
      </c>
      <c r="T46" s="9">
        <f t="shared" si="14"/>
        <v>11.494751866417229</v>
      </c>
      <c r="U46" s="9"/>
      <c r="V46" s="9"/>
      <c r="W46" s="9"/>
      <c r="X46" s="9"/>
      <c r="Y46" s="9"/>
      <c r="Z46" s="9"/>
      <c r="AA46" s="9"/>
      <c r="AB46" s="9"/>
      <c r="AC46" s="9"/>
      <c r="AD46" s="9"/>
      <c r="AE46" s="9"/>
      <c r="AF46" s="9"/>
      <c r="AG46" s="9"/>
      <c r="AH46" s="9"/>
      <c r="AR46" s="3" t="s">
        <v>42</v>
      </c>
      <c r="AS46" s="3" t="s">
        <v>43</v>
      </c>
      <c r="AT46" s="3" t="s">
        <v>44</v>
      </c>
      <c r="AU46" s="4" t="s">
        <v>45</v>
      </c>
      <c r="AV46" s="3" t="s">
        <v>46</v>
      </c>
      <c r="AW46" s="3" t="s">
        <v>47</v>
      </c>
      <c r="AX46" s="3" t="s">
        <v>48</v>
      </c>
      <c r="AY46" s="3" t="s">
        <v>49</v>
      </c>
      <c r="AZ46" s="3" t="s">
        <v>50</v>
      </c>
      <c r="BA46" s="3" t="s">
        <v>51</v>
      </c>
    </row>
    <row r="47" spans="1:53" x14ac:dyDescent="0.2">
      <c r="A47" s="9"/>
      <c r="B47" s="9"/>
      <c r="C47" s="9"/>
      <c r="D47" s="9"/>
      <c r="E47" s="9"/>
      <c r="F47" s="9" t="s">
        <v>56</v>
      </c>
      <c r="G47" s="9">
        <v>84</v>
      </c>
      <c r="H47" s="9">
        <v>490</v>
      </c>
      <c r="I47" s="9">
        <v>0.2</v>
      </c>
      <c r="J47" s="9">
        <v>0</v>
      </c>
      <c r="K47" s="9">
        <v>0</v>
      </c>
      <c r="L47" s="9">
        <f t="shared" si="5"/>
        <v>0</v>
      </c>
      <c r="M47" s="9">
        <f t="shared" si="8"/>
        <v>1</v>
      </c>
      <c r="N47" s="9">
        <f t="shared" si="15"/>
        <v>1</v>
      </c>
      <c r="O47" s="9">
        <f t="shared" si="16"/>
        <v>8.1130407556000002</v>
      </c>
      <c r="P47" s="9">
        <f t="shared" ref="P47" si="18">(O47 * (1 -W$41) + (0.04 * O47)) * ( 1 - AF$41 )</f>
        <v>2.99857986326976</v>
      </c>
      <c r="Q47" s="10">
        <f t="shared" si="10"/>
        <v>1.4107430677044692E-4</v>
      </c>
      <c r="R47" s="9">
        <f t="shared" si="11"/>
        <v>1.6890266317448027E-3</v>
      </c>
      <c r="S47" s="9">
        <f t="shared" si="13"/>
        <v>1.0813345613954757</v>
      </c>
      <c r="T47" s="9">
        <f t="shared" si="14"/>
        <v>12.946389132323912</v>
      </c>
      <c r="U47" s="9"/>
      <c r="V47" s="9"/>
      <c r="W47" s="9"/>
      <c r="X47" s="9"/>
      <c r="Y47" s="9"/>
      <c r="Z47" s="9"/>
      <c r="AA47" s="9"/>
      <c r="AB47" s="9"/>
      <c r="AC47" s="9"/>
      <c r="AD47" s="9"/>
      <c r="AE47" s="9"/>
      <c r="AF47" s="9"/>
      <c r="AG47" s="9"/>
      <c r="AH47" s="9"/>
      <c r="AI47" s="9"/>
      <c r="AO47" t="s">
        <v>53</v>
      </c>
      <c r="AQ47" s="2" t="s">
        <v>54</v>
      </c>
      <c r="AR47" s="2">
        <v>80</v>
      </c>
      <c r="AS47" s="2">
        <v>480</v>
      </c>
      <c r="AT47" s="2">
        <v>75</v>
      </c>
      <c r="AU47" s="2">
        <v>300</v>
      </c>
      <c r="AV47" s="2">
        <v>440</v>
      </c>
      <c r="AW47" s="2">
        <v>440</v>
      </c>
      <c r="AX47" s="2">
        <v>75</v>
      </c>
      <c r="AY47">
        <v>380</v>
      </c>
      <c r="AZ47">
        <v>380</v>
      </c>
      <c r="BA47">
        <v>380</v>
      </c>
    </row>
    <row r="48" spans="1:53" x14ac:dyDescent="0.2">
      <c r="A48" s="9"/>
      <c r="B48" s="9"/>
      <c r="C48" s="9"/>
      <c r="D48" s="9"/>
      <c r="E48" s="9"/>
      <c r="F48" s="9" t="s">
        <v>57</v>
      </c>
      <c r="G48" s="9">
        <v>91</v>
      </c>
      <c r="H48" s="9">
        <v>500</v>
      </c>
      <c r="I48" s="9">
        <v>0.1</v>
      </c>
      <c r="J48" s="9">
        <v>0</v>
      </c>
      <c r="K48" s="9">
        <v>0</v>
      </c>
      <c r="L48" s="9">
        <f t="shared" si="5"/>
        <v>0</v>
      </c>
      <c r="M48" s="9">
        <f t="shared" si="8"/>
        <v>1</v>
      </c>
      <c r="N48" s="9">
        <f t="shared" si="15"/>
        <v>1</v>
      </c>
      <c r="O48" s="9">
        <f t="shared" si="16"/>
        <v>8.0457322500000004</v>
      </c>
      <c r="P48" s="9">
        <f t="shared" ref="P48" si="19">(O48 * (1 -X$41) + (0.04 * O48)) * ( 1 - AF$41 )</f>
        <v>3.6495441486</v>
      </c>
      <c r="Q48" s="10">
        <f t="shared" si="10"/>
        <v>1.7170024954095013E-4</v>
      </c>
      <c r="R48" s="9">
        <f t="shared" si="11"/>
        <v>2.0556988780656223E-3</v>
      </c>
      <c r="S48" s="9">
        <f t="shared" si="13"/>
        <v>1.4257559471256647</v>
      </c>
      <c r="T48" s="9">
        <f t="shared" si="14"/>
        <v>17.070009558737411</v>
      </c>
      <c r="U48" s="9"/>
      <c r="V48" s="9"/>
      <c r="W48" s="9"/>
      <c r="X48" s="9"/>
      <c r="Y48" s="9"/>
      <c r="Z48" s="9"/>
      <c r="AA48" s="9"/>
      <c r="AB48" s="9"/>
      <c r="AC48" s="9"/>
      <c r="AD48" s="9"/>
      <c r="AE48" s="9"/>
      <c r="AF48" s="9"/>
      <c r="AG48" s="9"/>
      <c r="AH48" s="9"/>
      <c r="AI48" s="9"/>
      <c r="AQ48" s="2" t="s">
        <v>55</v>
      </c>
      <c r="AR48" s="2">
        <v>170</v>
      </c>
      <c r="AS48" s="2">
        <v>520</v>
      </c>
      <c r="AT48" s="2">
        <v>160</v>
      </c>
      <c r="AU48" s="2">
        <v>360</v>
      </c>
      <c r="AV48">
        <v>470</v>
      </c>
      <c r="AW48">
        <v>470</v>
      </c>
      <c r="AX48">
        <v>160</v>
      </c>
      <c r="AY48">
        <v>420</v>
      </c>
      <c r="AZ48">
        <v>420</v>
      </c>
      <c r="BA48">
        <v>420</v>
      </c>
    </row>
    <row r="49" spans="1:53" x14ac:dyDescent="0.2">
      <c r="A49" s="9"/>
      <c r="B49" s="9"/>
      <c r="C49" s="9"/>
      <c r="D49" s="9"/>
      <c r="E49" s="9" t="s">
        <v>46</v>
      </c>
      <c r="F49" s="9" t="s">
        <v>54</v>
      </c>
      <c r="G49" s="9">
        <v>30</v>
      </c>
      <c r="H49" s="9" cm="1">
        <f t="array" ref="H49:H52">_xlfn.XLOOKUP(E49, $AR$46:$BA$46, $AR$47:$BA$50)</f>
        <v>440</v>
      </c>
      <c r="I49" s="9" cm="1">
        <f t="array" ref="I49:I52">_xlfn.XLOOKUP(E49, $AR$106:$BA$106, $AR$107:$BA$110)</f>
        <v>0.3</v>
      </c>
      <c r="J49" s="9">
        <v>0</v>
      </c>
      <c r="K49" s="9">
        <v>0</v>
      </c>
      <c r="L49" s="9">
        <f t="shared" si="5"/>
        <v>0</v>
      </c>
      <c r="M49" s="9">
        <f t="shared" si="8"/>
        <v>1</v>
      </c>
      <c r="N49" s="9">
        <f>(L49*M49)+(1 - L49)</f>
        <v>1</v>
      </c>
      <c r="O49" s="9">
        <f>(1.185 + 0.00454 * H49 - 0.0000026 * H49^2 + 0.315 * I49)^2 * N49</f>
        <v>7.6936335876000008</v>
      </c>
      <c r="P49" s="9">
        <f t="shared" ref="P49" si="20">(O49 * (1 -U$41) + (0.04 * O49)) * ( 1 - AF$41 )</f>
        <v>3.1666995846561599</v>
      </c>
      <c r="Q49" s="10">
        <f t="shared" si="10"/>
        <v>1.4898384202730175E-4</v>
      </c>
      <c r="R49" s="9">
        <f t="shared" si="11"/>
        <v>1.7837243552309826E-3</v>
      </c>
      <c r="S49" s="9">
        <f t="shared" si="13"/>
        <v>0.40784326754973854</v>
      </c>
      <c r="T49" s="9">
        <f t="shared" si="14"/>
        <v>4.8829454224448146</v>
      </c>
      <c r="U49" s="9"/>
      <c r="V49" s="9"/>
      <c r="W49" s="9"/>
      <c r="X49" s="9"/>
      <c r="Y49" s="9"/>
      <c r="Z49" s="9"/>
      <c r="AA49" s="9"/>
      <c r="AB49" s="9"/>
      <c r="AC49" s="9"/>
      <c r="AD49" s="9"/>
      <c r="AE49" s="9"/>
      <c r="AF49" s="9"/>
      <c r="AG49" s="9"/>
      <c r="AH49" s="9"/>
      <c r="AI49" s="9"/>
      <c r="AQ49" s="2" t="s">
        <v>56</v>
      </c>
      <c r="AR49" s="2">
        <v>240</v>
      </c>
      <c r="AS49" s="2">
        <v>550</v>
      </c>
      <c r="AT49" s="2">
        <v>220</v>
      </c>
      <c r="AU49" s="2">
        <v>390</v>
      </c>
      <c r="AV49">
        <v>490</v>
      </c>
      <c r="AW49">
        <v>490</v>
      </c>
      <c r="AX49">
        <v>220</v>
      </c>
      <c r="AY49">
        <v>450</v>
      </c>
      <c r="AZ49">
        <v>450</v>
      </c>
      <c r="BA49">
        <v>450</v>
      </c>
    </row>
    <row r="50" spans="1:53" x14ac:dyDescent="0.2">
      <c r="A50" s="9"/>
      <c r="B50" s="9"/>
      <c r="C50" s="9"/>
      <c r="D50" s="9"/>
      <c r="E50" s="9"/>
      <c r="F50" s="9" t="s">
        <v>55</v>
      </c>
      <c r="G50" s="9">
        <v>33</v>
      </c>
      <c r="H50" s="9">
        <v>470</v>
      </c>
      <c r="I50" s="9">
        <v>0.3</v>
      </c>
      <c r="J50" s="9">
        <v>1</v>
      </c>
      <c r="K50" s="9">
        <v>0</v>
      </c>
      <c r="L50" s="9">
        <f t="shared" si="5"/>
        <v>1</v>
      </c>
      <c r="M50" s="9">
        <f t="shared" si="8"/>
        <v>1.3</v>
      </c>
      <c r="N50" s="9">
        <f t="shared" ref="N50:N60" si="21">(L50*M50)+(1 - L50)</f>
        <v>1.3</v>
      </c>
      <c r="O50" s="9">
        <f t="shared" ref="O50:O64" si="22">(1.185 + 0.00454 * H50 - 0.0000026 * H50^2 + 0.315 * I50)^2 * N50</f>
        <v>10.477602046080001</v>
      </c>
      <c r="P50" s="9">
        <f t="shared" ref="P50" si="23">(O50 * (1 -V$41) + (0.04 * O50)) * ( 1 - AF$41 )</f>
        <v>3.432462430295808</v>
      </c>
      <c r="Q50" s="10">
        <f t="shared" si="10"/>
        <v>1.6148719725662413E-4</v>
      </c>
      <c r="R50" s="9">
        <f t="shared" si="11"/>
        <v>1.9334220603053353E-3</v>
      </c>
      <c r="S50" s="9">
        <f t="shared" si="13"/>
        <v>0.48627832273900945</v>
      </c>
      <c r="T50" s="9">
        <f t="shared" si="14"/>
        <v>5.8220171790944413</v>
      </c>
      <c r="U50" s="9"/>
      <c r="V50" s="9"/>
      <c r="W50" s="9"/>
      <c r="X50" s="9"/>
      <c r="Y50" s="9"/>
      <c r="Z50" s="9"/>
      <c r="AA50" s="9"/>
      <c r="AB50" s="9"/>
      <c r="AC50" s="9"/>
      <c r="AD50" s="9"/>
      <c r="AE50" s="9"/>
      <c r="AF50" s="9"/>
      <c r="AG50" s="9"/>
      <c r="AH50" s="9"/>
      <c r="AI50" s="9"/>
      <c r="AQ50" s="2" t="s">
        <v>57</v>
      </c>
      <c r="AR50" s="2">
        <v>280</v>
      </c>
      <c r="AS50" s="2">
        <v>560</v>
      </c>
      <c r="AT50" s="2">
        <v>260</v>
      </c>
      <c r="AU50" s="2">
        <v>410</v>
      </c>
      <c r="AV50">
        <v>500</v>
      </c>
      <c r="AW50">
        <v>500</v>
      </c>
      <c r="AX50">
        <v>260</v>
      </c>
      <c r="AY50">
        <v>460</v>
      </c>
      <c r="AZ50">
        <v>460</v>
      </c>
      <c r="BA50">
        <v>460</v>
      </c>
    </row>
    <row r="51" spans="1:53" x14ac:dyDescent="0.2">
      <c r="A51" s="9"/>
      <c r="B51" s="9"/>
      <c r="C51" s="9"/>
      <c r="D51" s="9"/>
      <c r="E51" s="9"/>
      <c r="F51" s="9" t="s">
        <v>56</v>
      </c>
      <c r="G51" s="9">
        <v>36</v>
      </c>
      <c r="H51" s="9">
        <v>490</v>
      </c>
      <c r="I51" s="9">
        <v>0.2</v>
      </c>
      <c r="J51" s="9">
        <v>0</v>
      </c>
      <c r="K51" s="9">
        <v>1</v>
      </c>
      <c r="L51" s="9">
        <f t="shared" si="5"/>
        <v>1</v>
      </c>
      <c r="M51" s="9">
        <f t="shared" si="8"/>
        <v>1.1000000000000001</v>
      </c>
      <c r="N51" s="9">
        <f t="shared" si="21"/>
        <v>1.1000000000000001</v>
      </c>
      <c r="O51" s="9">
        <f t="shared" si="22"/>
        <v>8.9243448311600009</v>
      </c>
      <c r="P51" s="9">
        <f t="shared" ref="P51" si="24">(O51 * (1 -W$41) + (0.04 * O51)) * ( 1 - AF$41 )</f>
        <v>3.2984378495967364</v>
      </c>
      <c r="Q51" s="10">
        <f t="shared" si="10"/>
        <v>1.5518173744749164E-4</v>
      </c>
      <c r="R51" s="9">
        <f t="shared" si="11"/>
        <v>1.8579292949192834E-3</v>
      </c>
      <c r="S51" s="9">
        <f t="shared" si="13"/>
        <v>0.50977200751501006</v>
      </c>
      <c r="T51" s="9">
        <f t="shared" si="14"/>
        <v>6.1032977338098462</v>
      </c>
      <c r="U51" s="9"/>
      <c r="V51" s="9"/>
      <c r="W51" s="9"/>
      <c r="X51" s="9" t="s">
        <v>126</v>
      </c>
      <c r="Y51" s="9" t="s">
        <v>127</v>
      </c>
      <c r="Z51" s="9" t="s">
        <v>128</v>
      </c>
      <c r="AA51" s="9" t="s">
        <v>129</v>
      </c>
      <c r="AB51" s="9" t="s">
        <v>130</v>
      </c>
      <c r="AC51" s="9" t="s">
        <v>131</v>
      </c>
      <c r="AD51" s="9" t="s">
        <v>124</v>
      </c>
      <c r="AE51" s="9" t="s">
        <v>125</v>
      </c>
      <c r="AF51" s="9"/>
      <c r="AG51" s="9"/>
      <c r="AH51" s="9"/>
      <c r="AI51" s="9"/>
      <c r="AO51" t="s">
        <v>59</v>
      </c>
      <c r="AQ51" s="2" t="s">
        <v>54</v>
      </c>
      <c r="AR51" s="2">
        <v>250</v>
      </c>
      <c r="AS51" s="2">
        <v>800</v>
      </c>
      <c r="AT51" s="2">
        <v>220</v>
      </c>
      <c r="AU51" s="2">
        <v>400</v>
      </c>
      <c r="AV51">
        <v>500</v>
      </c>
      <c r="AW51">
        <v>500</v>
      </c>
      <c r="AX51">
        <v>230</v>
      </c>
      <c r="AY51">
        <v>420</v>
      </c>
      <c r="AZ51">
        <v>420</v>
      </c>
      <c r="BA51">
        <v>420</v>
      </c>
    </row>
    <row r="52" spans="1:53" x14ac:dyDescent="0.2">
      <c r="A52" s="9"/>
      <c r="B52" s="9"/>
      <c r="C52" s="9"/>
      <c r="D52" s="9"/>
      <c r="E52" s="9"/>
      <c r="F52" s="9" t="s">
        <v>57</v>
      </c>
      <c r="G52" s="9">
        <v>39</v>
      </c>
      <c r="H52" s="9">
        <v>500</v>
      </c>
      <c r="I52" s="9">
        <v>0.1</v>
      </c>
      <c r="J52" s="9">
        <v>0</v>
      </c>
      <c r="K52" s="9">
        <v>0</v>
      </c>
      <c r="L52" s="9">
        <f t="shared" si="5"/>
        <v>0</v>
      </c>
      <c r="M52" s="9">
        <f t="shared" si="8"/>
        <v>1</v>
      </c>
      <c r="N52" s="9">
        <f t="shared" si="21"/>
        <v>1</v>
      </c>
      <c r="O52" s="9">
        <f t="shared" si="22"/>
        <v>8.0457322500000004</v>
      </c>
      <c r="P52" s="9">
        <f t="shared" ref="P52" si="25">(O52 * (1 -X$41) + (0.04 * O52)) * ( 1 - AF$41 )</f>
        <v>3.6495441486</v>
      </c>
      <c r="Q52" s="10">
        <f t="shared" si="10"/>
        <v>1.7170024954095013E-4</v>
      </c>
      <c r="R52" s="9">
        <f t="shared" si="11"/>
        <v>2.0556988780656223E-3</v>
      </c>
      <c r="S52" s="9">
        <f t="shared" si="13"/>
        <v>0.61103826305385622</v>
      </c>
      <c r="T52" s="9">
        <f t="shared" si="14"/>
        <v>7.3157183823160334</v>
      </c>
      <c r="U52" s="9"/>
      <c r="V52" s="9"/>
      <c r="W52" s="9"/>
      <c r="X52" s="9">
        <f>G45*Q45*91.25</f>
        <v>1.2371245782342069</v>
      </c>
      <c r="Y52" s="9">
        <f>G45*R45*91.25</f>
        <v>14.811601114749271</v>
      </c>
      <c r="Z52" s="9">
        <f>G49*Q49*91.25</f>
        <v>0.40784326754973854</v>
      </c>
      <c r="AA52" s="9">
        <f>G49*R49*91.25</f>
        <v>4.8829454224448146</v>
      </c>
      <c r="AB52">
        <f>X52+Z52</f>
        <v>1.6449678457839454</v>
      </c>
      <c r="AC52">
        <f>Y52+AA52</f>
        <v>19.694546537194086</v>
      </c>
      <c r="AD52" s="9">
        <f>G27*Q27*91.25</f>
        <v>1.5593207595984999</v>
      </c>
      <c r="AE52" s="9">
        <f>G27*R27*91.25</f>
        <v>18.669127998480672</v>
      </c>
      <c r="AF52" s="9"/>
      <c r="AG52" s="9"/>
      <c r="AH52" s="9"/>
      <c r="AI52" s="9"/>
      <c r="AQ52" s="2" t="s">
        <v>55</v>
      </c>
      <c r="AR52" s="2">
        <v>320</v>
      </c>
      <c r="AS52" s="2">
        <v>800</v>
      </c>
      <c r="AT52" s="2">
        <v>280</v>
      </c>
      <c r="AU52" s="2">
        <v>420</v>
      </c>
      <c r="AV52">
        <v>500</v>
      </c>
      <c r="AW52">
        <v>500</v>
      </c>
      <c r="AX52">
        <v>290</v>
      </c>
      <c r="AY52">
        <v>420</v>
      </c>
      <c r="AZ52">
        <v>420</v>
      </c>
      <c r="BA52">
        <v>420</v>
      </c>
    </row>
    <row r="53" spans="1:53" x14ac:dyDescent="0.2">
      <c r="A53" s="9"/>
      <c r="B53" s="9"/>
      <c r="C53" s="9"/>
      <c r="D53" s="9"/>
      <c r="E53" s="9" t="s">
        <v>47</v>
      </c>
      <c r="F53" s="9" t="s">
        <v>54</v>
      </c>
      <c r="G53" s="9">
        <v>30</v>
      </c>
      <c r="H53" s="9" cm="1">
        <f t="array" ref="H53:H56">_xlfn.XLOOKUP(E53, $AR$46:$BA$46, $AR$47:$BA$50)</f>
        <v>440</v>
      </c>
      <c r="I53" s="9" cm="1">
        <f t="array" ref="I53:I56">_xlfn.XLOOKUP(E53, $AR$106:$BA$106, $AR$107:$BA$110)</f>
        <v>0.3</v>
      </c>
      <c r="J53" s="9">
        <v>1</v>
      </c>
      <c r="K53" s="9">
        <v>0</v>
      </c>
      <c r="L53" s="9">
        <f t="shared" si="5"/>
        <v>1</v>
      </c>
      <c r="M53" s="9">
        <f t="shared" si="8"/>
        <v>1.3</v>
      </c>
      <c r="N53" s="9">
        <f t="shared" si="21"/>
        <v>1.3</v>
      </c>
      <c r="O53" s="9">
        <f t="shared" si="22"/>
        <v>10.001723663880002</v>
      </c>
      <c r="P53" s="9">
        <f t="shared" ref="P53" si="26">(O53 * (1 -U$41) + (0.04 * O53)) * ( 1 - AF$41 )</f>
        <v>4.1167094600530074</v>
      </c>
      <c r="Q53" s="10">
        <f t="shared" si="10"/>
        <v>1.9367899463549227E-4</v>
      </c>
      <c r="R53" s="9">
        <f t="shared" si="11"/>
        <v>2.3188416618002772E-3</v>
      </c>
      <c r="S53" s="9">
        <f t="shared" si="13"/>
        <v>0.53019624781466013</v>
      </c>
      <c r="T53" s="9">
        <f t="shared" si="14"/>
        <v>6.3478290491782587</v>
      </c>
      <c r="U53" s="9"/>
      <c r="V53" s="9"/>
      <c r="W53" s="9"/>
      <c r="X53" s="9">
        <f t="shared" ref="X53:X55" si="27">G46*Q46*91.25</f>
        <v>0.96008797053599293</v>
      </c>
      <c r="Y53" s="9">
        <f t="shared" ref="Y53:Y55" si="28">G46*R46*91.25</f>
        <v>11.494751866417229</v>
      </c>
      <c r="Z53" s="9">
        <f t="shared" ref="Z53:Z55" si="29">G50*Q50*91.25</f>
        <v>0.48627832273900945</v>
      </c>
      <c r="AA53" s="9">
        <f t="shared" ref="AA53:AA55" si="30">G50*R50*91.25</f>
        <v>5.8220171790944413</v>
      </c>
      <c r="AB53">
        <f t="shared" ref="AB53:AC55" si="31">X53+Z53</f>
        <v>1.4463662932750023</v>
      </c>
      <c r="AC53">
        <f t="shared" si="31"/>
        <v>17.31676904551167</v>
      </c>
      <c r="AD53" s="9">
        <f>G28*Q28*91.25</f>
        <v>1.4463662932750025</v>
      </c>
      <c r="AE53" s="9">
        <f>G28*R28*91.25</f>
        <v>17.316769045511673</v>
      </c>
      <c r="AF53" s="9"/>
      <c r="AG53" s="9"/>
      <c r="AH53" s="9"/>
      <c r="AI53" s="9"/>
      <c r="AQ53" s="2" t="s">
        <v>56</v>
      </c>
      <c r="AR53" s="2">
        <v>80</v>
      </c>
      <c r="AS53" s="2">
        <v>700</v>
      </c>
      <c r="AT53" s="2">
        <v>70</v>
      </c>
      <c r="AU53" s="2">
        <v>300</v>
      </c>
      <c r="AV53">
        <v>450</v>
      </c>
      <c r="AW53">
        <v>450</v>
      </c>
      <c r="AX53">
        <v>75</v>
      </c>
      <c r="AY53">
        <v>400</v>
      </c>
      <c r="AZ53">
        <v>400</v>
      </c>
      <c r="BA53">
        <v>400</v>
      </c>
    </row>
    <row r="54" spans="1:53" x14ac:dyDescent="0.2">
      <c r="A54" s="9"/>
      <c r="B54" s="9"/>
      <c r="C54" s="9"/>
      <c r="D54" s="9"/>
      <c r="E54" s="9"/>
      <c r="F54" s="9" t="s">
        <v>55</v>
      </c>
      <c r="G54" s="9">
        <v>36</v>
      </c>
      <c r="H54" s="9">
        <v>470</v>
      </c>
      <c r="I54" s="9">
        <v>0.3</v>
      </c>
      <c r="J54" s="9">
        <v>0</v>
      </c>
      <c r="K54" s="9">
        <v>1</v>
      </c>
      <c r="L54" s="9">
        <f t="shared" si="5"/>
        <v>1</v>
      </c>
      <c r="M54" s="9">
        <f t="shared" si="8"/>
        <v>1.1000000000000001</v>
      </c>
      <c r="N54" s="9">
        <f t="shared" si="21"/>
        <v>1.1000000000000001</v>
      </c>
      <c r="O54" s="9">
        <f t="shared" si="22"/>
        <v>8.8656632697600024</v>
      </c>
      <c r="P54" s="9">
        <f t="shared" ref="P54" si="32">(O54 * (1 -V$41) + (0.04 * O54)) * ( 1 - AF$41 )</f>
        <v>2.9043912871733766</v>
      </c>
      <c r="Q54" s="10">
        <f t="shared" si="10"/>
        <v>1.3664301306329734E-4</v>
      </c>
      <c r="R54" s="9">
        <f t="shared" si="11"/>
        <v>1.6359725125660528E-3</v>
      </c>
      <c r="S54" s="9">
        <f t="shared" si="13"/>
        <v>0.44887229791293171</v>
      </c>
      <c r="T54" s="9">
        <f t="shared" si="14"/>
        <v>5.3741697037794838</v>
      </c>
      <c r="U54" s="9"/>
      <c r="V54" s="9"/>
      <c r="W54" s="9"/>
      <c r="X54" s="9">
        <f t="shared" si="27"/>
        <v>1.0813345613954757</v>
      </c>
      <c r="Y54" s="9">
        <f t="shared" si="28"/>
        <v>12.946389132323912</v>
      </c>
      <c r="Z54" s="9">
        <f t="shared" si="29"/>
        <v>0.50977200751501006</v>
      </c>
      <c r="AA54" s="9">
        <f t="shared" si="30"/>
        <v>6.1032977338098462</v>
      </c>
      <c r="AB54">
        <f t="shared" si="31"/>
        <v>1.5911065689104857</v>
      </c>
      <c r="AC54">
        <f t="shared" si="31"/>
        <v>19.049686866133758</v>
      </c>
      <c r="AD54" s="9">
        <f>G29*Q29*91.25</f>
        <v>1.5586665320686215</v>
      </c>
      <c r="AE54" s="9">
        <f>G29*R29*91.25</f>
        <v>18.66129519216404</v>
      </c>
      <c r="AF54" s="9"/>
      <c r="AG54" s="9"/>
      <c r="AH54" s="9"/>
      <c r="AI54" s="9"/>
      <c r="AQ54" s="2" t="s">
        <v>57</v>
      </c>
      <c r="AR54" s="2">
        <v>160</v>
      </c>
      <c r="AS54" s="2">
        <v>700</v>
      </c>
      <c r="AT54" s="2">
        <v>140</v>
      </c>
      <c r="AU54" s="2">
        <v>350</v>
      </c>
      <c r="AV54" s="2">
        <v>450</v>
      </c>
      <c r="AW54" s="2">
        <v>450</v>
      </c>
      <c r="AX54" s="2">
        <v>150</v>
      </c>
      <c r="AY54">
        <v>400</v>
      </c>
      <c r="AZ54">
        <v>400</v>
      </c>
      <c r="BA54">
        <v>400</v>
      </c>
    </row>
    <row r="55" spans="1:53" x14ac:dyDescent="0.2">
      <c r="A55" s="9"/>
      <c r="B55" s="9"/>
      <c r="C55" s="9"/>
      <c r="D55" s="9"/>
      <c r="E55" s="9"/>
      <c r="F55" s="9" t="s">
        <v>56</v>
      </c>
      <c r="G55" s="9">
        <v>42</v>
      </c>
      <c r="H55" s="9">
        <v>490</v>
      </c>
      <c r="I55" s="9">
        <v>0.2</v>
      </c>
      <c r="J55" s="9">
        <v>0</v>
      </c>
      <c r="K55" s="9">
        <v>0</v>
      </c>
      <c r="L55" s="9">
        <f t="shared" si="5"/>
        <v>0</v>
      </c>
      <c r="M55" s="9">
        <f t="shared" si="8"/>
        <v>1</v>
      </c>
      <c r="N55" s="9">
        <f t="shared" si="21"/>
        <v>1</v>
      </c>
      <c r="O55" s="9">
        <f t="shared" si="22"/>
        <v>8.1130407556000002</v>
      </c>
      <c r="P55" s="9">
        <f t="shared" ref="P55" si="33">(O55 * (1 -W$41) + (0.04 * O55)) * ( 1 - AF$41 )</f>
        <v>2.99857986326976</v>
      </c>
      <c r="Q55" s="10">
        <f t="shared" si="10"/>
        <v>1.4107430677044692E-4</v>
      </c>
      <c r="R55" s="9">
        <f t="shared" si="11"/>
        <v>1.6890266317448027E-3</v>
      </c>
      <c r="S55" s="9">
        <f t="shared" si="13"/>
        <v>0.54066728069773784</v>
      </c>
      <c r="T55" s="9">
        <f t="shared" si="14"/>
        <v>6.4731945661619559</v>
      </c>
      <c r="U55" s="9"/>
      <c r="V55" s="9"/>
      <c r="W55" s="9"/>
      <c r="X55" s="9">
        <f t="shared" si="27"/>
        <v>1.4257559471256647</v>
      </c>
      <c r="Y55" s="9">
        <f t="shared" si="28"/>
        <v>17.070009558737411</v>
      </c>
      <c r="Z55" s="9">
        <f t="shared" si="29"/>
        <v>0.61103826305385622</v>
      </c>
      <c r="AA55" s="9">
        <f t="shared" si="30"/>
        <v>7.3157183823160334</v>
      </c>
      <c r="AB55">
        <f t="shared" si="31"/>
        <v>2.0367942101795209</v>
      </c>
      <c r="AC55">
        <f t="shared" si="31"/>
        <v>24.385727941053446</v>
      </c>
      <c r="AD55" s="9">
        <f>G30*Q30*91.25</f>
        <v>2.0367942101795209</v>
      </c>
      <c r="AE55" s="9">
        <f>G30*R30*91.25</f>
        <v>24.385727941053442</v>
      </c>
      <c r="AF55" s="9"/>
      <c r="AG55" s="9"/>
      <c r="AH55" s="9"/>
      <c r="AI55" s="9"/>
      <c r="AO55" t="s">
        <v>69</v>
      </c>
      <c r="AQ55" s="2" t="s">
        <v>54</v>
      </c>
      <c r="AR55" s="2">
        <v>105</v>
      </c>
      <c r="AS55" s="2">
        <v>700</v>
      </c>
      <c r="AT55" s="2">
        <v>85</v>
      </c>
      <c r="AU55" s="2">
        <v>300</v>
      </c>
      <c r="AV55">
        <v>490</v>
      </c>
      <c r="AW55">
        <v>490</v>
      </c>
      <c r="AX55">
        <v>90</v>
      </c>
      <c r="AY55">
        <v>480</v>
      </c>
      <c r="AZ55">
        <v>480</v>
      </c>
      <c r="BA55">
        <v>480</v>
      </c>
    </row>
    <row r="56" spans="1:53" x14ac:dyDescent="0.2">
      <c r="A56" s="9"/>
      <c r="B56" s="9"/>
      <c r="C56" s="9"/>
      <c r="D56" s="9"/>
      <c r="E56" s="9"/>
      <c r="F56" s="9" t="s">
        <v>57</v>
      </c>
      <c r="G56" s="9">
        <v>48</v>
      </c>
      <c r="H56" s="9">
        <v>500</v>
      </c>
      <c r="I56" s="9">
        <v>0.1</v>
      </c>
      <c r="J56" s="9">
        <v>0</v>
      </c>
      <c r="K56" s="9">
        <v>0</v>
      </c>
      <c r="L56" s="9">
        <f t="shared" si="5"/>
        <v>0</v>
      </c>
      <c r="M56" s="9">
        <f t="shared" si="8"/>
        <v>1</v>
      </c>
      <c r="N56" s="9">
        <f t="shared" si="21"/>
        <v>1</v>
      </c>
      <c r="O56" s="9">
        <f t="shared" si="22"/>
        <v>8.0457322500000004</v>
      </c>
      <c r="P56" s="9">
        <f t="shared" ref="P56" si="34">(O56 * (1 -X$41) + (0.04 * O56)) * ( 1 - AF$41 )</f>
        <v>3.6495441486</v>
      </c>
      <c r="Q56" s="10">
        <f t="shared" si="10"/>
        <v>1.7170024954095013E-4</v>
      </c>
      <c r="R56" s="9">
        <f t="shared" si="11"/>
        <v>2.0556988780656223E-3</v>
      </c>
      <c r="S56" s="9">
        <f t="shared" si="13"/>
        <v>0.75204709298936168</v>
      </c>
      <c r="T56" s="9">
        <f t="shared" si="14"/>
        <v>9.0039610859274255</v>
      </c>
      <c r="U56" s="9"/>
      <c r="V56" s="9"/>
      <c r="W56" s="9"/>
      <c r="X56" s="9"/>
      <c r="Y56" s="9"/>
      <c r="Z56" s="9"/>
      <c r="AA56" s="9"/>
      <c r="AB56" s="9"/>
      <c r="AC56" s="9"/>
      <c r="AD56" s="9"/>
      <c r="AE56" s="9"/>
      <c r="AF56" s="9"/>
      <c r="AG56" s="9"/>
      <c r="AH56" s="9"/>
      <c r="AI56" s="9"/>
      <c r="AQ56" s="2" t="s">
        <v>55</v>
      </c>
      <c r="AR56" s="2">
        <v>480</v>
      </c>
      <c r="AS56" s="2">
        <v>750</v>
      </c>
      <c r="AT56" s="2">
        <v>150</v>
      </c>
      <c r="AU56" s="2">
        <v>350</v>
      </c>
      <c r="AV56">
        <v>530</v>
      </c>
      <c r="AW56">
        <v>530</v>
      </c>
      <c r="AX56">
        <v>160</v>
      </c>
      <c r="AY56">
        <v>460</v>
      </c>
      <c r="AZ56">
        <v>460</v>
      </c>
      <c r="BA56">
        <v>460</v>
      </c>
    </row>
    <row r="57" spans="1:53" x14ac:dyDescent="0.2">
      <c r="A57" s="9"/>
      <c r="B57" s="9"/>
      <c r="C57" s="9"/>
      <c r="D57" s="9"/>
      <c r="E57" s="9" t="s">
        <v>47</v>
      </c>
      <c r="F57" s="9" t="s">
        <v>54</v>
      </c>
      <c r="G57" s="9">
        <v>20</v>
      </c>
      <c r="H57" s="9" cm="1">
        <f t="array" ref="H57:H60">_xlfn.XLOOKUP(E57, $AR$46:$BA$46, $AR$47:$BA$50)</f>
        <v>440</v>
      </c>
      <c r="I57" s="9" cm="1">
        <f t="array" ref="I57:I60">_xlfn.XLOOKUP(E57, $AR$106:$BA$106, $AR$107:$BA$110)</f>
        <v>0.3</v>
      </c>
      <c r="J57" s="9">
        <v>0</v>
      </c>
      <c r="K57" s="9">
        <v>1</v>
      </c>
      <c r="L57" s="9">
        <f t="shared" si="5"/>
        <v>1</v>
      </c>
      <c r="M57" s="9">
        <f t="shared" si="8"/>
        <v>1.1000000000000001</v>
      </c>
      <c r="N57" s="9">
        <f t="shared" si="21"/>
        <v>1.1000000000000001</v>
      </c>
      <c r="O57" s="9">
        <f t="shared" si="22"/>
        <v>8.4629969463600023</v>
      </c>
      <c r="P57" s="9">
        <f t="shared" ref="P57" si="35">(O57 * (1 -U$41) + (0.04 * O57)) * ( 1 - AF$41 )</f>
        <v>3.4833695431217762</v>
      </c>
      <c r="Q57" s="10">
        <f t="shared" si="10"/>
        <v>1.6388222623003193E-4</v>
      </c>
      <c r="R57" s="9">
        <f t="shared" si="11"/>
        <v>1.9620967907540807E-3</v>
      </c>
      <c r="S57" s="9">
        <f t="shared" si="13"/>
        <v>0.29908506286980829</v>
      </c>
      <c r="T57" s="9">
        <f t="shared" si="14"/>
        <v>3.5808266431261973</v>
      </c>
      <c r="U57" s="9"/>
      <c r="V57" s="9"/>
      <c r="W57" s="9"/>
      <c r="X57" s="9"/>
      <c r="Y57" s="9"/>
      <c r="Z57" s="9"/>
      <c r="AA57" s="9"/>
      <c r="AB57" s="9"/>
      <c r="AC57" s="9"/>
      <c r="AD57" s="9"/>
      <c r="AE57" s="9"/>
      <c r="AF57" s="9"/>
      <c r="AG57" s="9"/>
      <c r="AH57" s="9"/>
      <c r="AI57" s="9"/>
      <c r="AQ57" s="2" t="s">
        <v>56</v>
      </c>
      <c r="AR57" s="2">
        <v>250</v>
      </c>
      <c r="AS57" s="2">
        <v>725</v>
      </c>
      <c r="AT57" s="2">
        <v>200</v>
      </c>
      <c r="AU57" s="2">
        <v>360</v>
      </c>
      <c r="AV57" s="2">
        <v>500</v>
      </c>
      <c r="AW57" s="2">
        <v>500</v>
      </c>
      <c r="AX57">
        <v>215</v>
      </c>
      <c r="AY57">
        <v>490</v>
      </c>
      <c r="AZ57">
        <v>490</v>
      </c>
      <c r="BA57">
        <v>490</v>
      </c>
    </row>
    <row r="58" spans="1:53" x14ac:dyDescent="0.2">
      <c r="A58" s="9"/>
      <c r="B58" s="9"/>
      <c r="C58" s="9"/>
      <c r="D58" s="9"/>
      <c r="E58" s="9"/>
      <c r="F58" s="9" t="s">
        <v>55</v>
      </c>
      <c r="G58" s="9">
        <v>24</v>
      </c>
      <c r="H58" s="9">
        <v>470</v>
      </c>
      <c r="I58" s="9">
        <v>0.3</v>
      </c>
      <c r="J58" s="9">
        <v>0</v>
      </c>
      <c r="K58" s="9">
        <v>0</v>
      </c>
      <c r="L58" s="9">
        <f t="shared" si="5"/>
        <v>0</v>
      </c>
      <c r="M58" s="9">
        <f t="shared" si="8"/>
        <v>1</v>
      </c>
      <c r="N58" s="9">
        <f t="shared" si="21"/>
        <v>1</v>
      </c>
      <c r="O58" s="9">
        <f t="shared" si="22"/>
        <v>8.0596938816000012</v>
      </c>
      <c r="P58" s="9">
        <f t="shared" ref="P58" si="36">(O58 * (1 -V$41) + (0.04 * O58)) * ( 1 - AF$41 )</f>
        <v>2.6403557156121602</v>
      </c>
      <c r="Q58" s="10">
        <f t="shared" si="10"/>
        <v>1.2422092096663393E-4</v>
      </c>
      <c r="R58" s="9">
        <f t="shared" si="11"/>
        <v>1.4872477386964117E-3</v>
      </c>
      <c r="S58" s="9">
        <f t="shared" si="13"/>
        <v>0.2720438169169283</v>
      </c>
      <c r="T58" s="9">
        <f t="shared" si="14"/>
        <v>3.2570725477451412</v>
      </c>
      <c r="U58" s="9"/>
      <c r="V58" s="9"/>
      <c r="W58" s="9"/>
      <c r="X58" s="9"/>
      <c r="Y58" s="9"/>
      <c r="Z58" s="9"/>
      <c r="AA58" s="9"/>
      <c r="AB58" s="9"/>
      <c r="AC58" s="9"/>
      <c r="AD58" s="9"/>
      <c r="AE58" s="9"/>
      <c r="AF58" s="9"/>
      <c r="AG58" s="9"/>
      <c r="AH58" s="9"/>
      <c r="AI58" s="9"/>
      <c r="AQ58" s="2" t="s">
        <v>57</v>
      </c>
      <c r="AR58" s="2">
        <v>260</v>
      </c>
      <c r="AS58" s="2">
        <v>700</v>
      </c>
      <c r="AT58" s="2">
        <v>210</v>
      </c>
      <c r="AU58" s="2">
        <v>380</v>
      </c>
      <c r="AV58" s="2">
        <v>460</v>
      </c>
      <c r="AW58" s="2">
        <v>460</v>
      </c>
      <c r="AX58" s="2">
        <v>230</v>
      </c>
      <c r="AY58">
        <v>470</v>
      </c>
      <c r="AZ58">
        <v>470</v>
      </c>
      <c r="BA58">
        <v>470</v>
      </c>
    </row>
    <row r="59" spans="1:53" x14ac:dyDescent="0.2">
      <c r="A59" s="9"/>
      <c r="B59" s="9"/>
      <c r="C59" s="9"/>
      <c r="D59" s="9"/>
      <c r="E59" s="9"/>
      <c r="F59" s="9" t="s">
        <v>56</v>
      </c>
      <c r="G59" s="9">
        <v>28</v>
      </c>
      <c r="H59" s="9">
        <v>490</v>
      </c>
      <c r="I59" s="9">
        <v>0.2</v>
      </c>
      <c r="J59" s="9">
        <v>0</v>
      </c>
      <c r="K59" s="9">
        <v>0</v>
      </c>
      <c r="L59" s="9">
        <f t="shared" si="5"/>
        <v>0</v>
      </c>
      <c r="M59" s="9">
        <f t="shared" si="8"/>
        <v>1</v>
      </c>
      <c r="N59" s="9">
        <f t="shared" si="21"/>
        <v>1</v>
      </c>
      <c r="O59" s="9">
        <f t="shared" si="22"/>
        <v>8.1130407556000002</v>
      </c>
      <c r="P59" s="9">
        <f t="shared" ref="P59" si="37">(O59 * (1 -W$41) + (0.04 * O59)) * ( 1 - AF$41 )</f>
        <v>2.99857986326976</v>
      </c>
      <c r="Q59" s="10">
        <f t="shared" si="10"/>
        <v>1.4107430677044692E-4</v>
      </c>
      <c r="R59" s="9">
        <f t="shared" si="11"/>
        <v>1.6890266317448027E-3</v>
      </c>
      <c r="S59" s="9">
        <f t="shared" si="13"/>
        <v>0.36044485379849189</v>
      </c>
      <c r="T59" s="9">
        <f t="shared" si="14"/>
        <v>4.3154630441079709</v>
      </c>
      <c r="U59" s="9"/>
      <c r="V59" s="9"/>
      <c r="W59" s="9"/>
      <c r="X59" s="9"/>
      <c r="Y59" s="9"/>
      <c r="Z59" s="9"/>
      <c r="AA59" s="9"/>
      <c r="AB59" s="9"/>
      <c r="AC59" s="9"/>
      <c r="AD59" s="9"/>
      <c r="AE59" s="9"/>
      <c r="AF59" s="9"/>
      <c r="AG59" s="9"/>
      <c r="AH59" s="9"/>
      <c r="AI59" s="9"/>
      <c r="AO59" t="s">
        <v>70</v>
      </c>
      <c r="AQ59" s="2" t="s">
        <v>54</v>
      </c>
      <c r="AR59" s="2">
        <v>250</v>
      </c>
      <c r="AS59" s="2">
        <v>820</v>
      </c>
      <c r="AT59" s="2">
        <v>240</v>
      </c>
      <c r="AU59" s="2">
        <v>410</v>
      </c>
      <c r="AV59">
        <v>560</v>
      </c>
      <c r="AW59">
        <v>560</v>
      </c>
      <c r="AX59">
        <v>240</v>
      </c>
      <c r="AY59">
        <v>510</v>
      </c>
      <c r="AZ59">
        <v>510</v>
      </c>
      <c r="BA59">
        <v>510</v>
      </c>
    </row>
    <row r="60" spans="1:53" x14ac:dyDescent="0.2">
      <c r="A60" s="9"/>
      <c r="B60" s="9"/>
      <c r="C60" s="9"/>
      <c r="D60" s="9"/>
      <c r="E60" s="9"/>
      <c r="F60" s="9" t="s">
        <v>57</v>
      </c>
      <c r="G60" s="9">
        <v>32</v>
      </c>
      <c r="H60" s="9">
        <v>500</v>
      </c>
      <c r="I60" s="9">
        <v>0.1</v>
      </c>
      <c r="J60" s="9">
        <v>1</v>
      </c>
      <c r="K60" s="9">
        <v>0</v>
      </c>
      <c r="L60" s="9">
        <f t="shared" si="5"/>
        <v>1</v>
      </c>
      <c r="M60" s="9">
        <f t="shared" si="8"/>
        <v>1.3</v>
      </c>
      <c r="N60" s="9">
        <f t="shared" si="21"/>
        <v>1.3</v>
      </c>
      <c r="O60" s="9">
        <f t="shared" si="22"/>
        <v>10.459451925000002</v>
      </c>
      <c r="P60" s="9">
        <f t="shared" ref="P60" si="38">(O60 * (1 -X$41) + (0.04 * O60)) * ( 1 - AF$41 )</f>
        <v>4.7444073931800004</v>
      </c>
      <c r="Q60" s="10">
        <f t="shared" si="10"/>
        <v>2.232103244032352E-4</v>
      </c>
      <c r="R60" s="9">
        <f t="shared" si="11"/>
        <v>2.6724085414853087E-3</v>
      </c>
      <c r="S60" s="9">
        <f t="shared" si="13"/>
        <v>0.65177414725744676</v>
      </c>
      <c r="T60" s="9">
        <f t="shared" si="14"/>
        <v>7.8034329411371015</v>
      </c>
      <c r="U60" s="9"/>
      <c r="V60" s="9"/>
      <c r="W60" s="9"/>
      <c r="X60" s="9"/>
      <c r="Y60" s="9"/>
      <c r="Z60" s="9"/>
      <c r="AA60" s="9"/>
      <c r="AB60" s="9"/>
      <c r="AC60" s="9"/>
      <c r="AD60" s="9"/>
      <c r="AE60" s="9"/>
      <c r="AF60" s="9"/>
      <c r="AG60" s="9"/>
      <c r="AH60" s="9"/>
      <c r="AI60" s="9"/>
      <c r="AQ60" s="2" t="s">
        <v>55</v>
      </c>
      <c r="AR60" s="2">
        <v>280</v>
      </c>
      <c r="AS60" s="2">
        <v>850</v>
      </c>
      <c r="AT60" s="2">
        <v>260</v>
      </c>
      <c r="AU60" s="2">
        <v>440</v>
      </c>
      <c r="AV60">
        <v>550</v>
      </c>
      <c r="AW60">
        <v>550</v>
      </c>
      <c r="AX60">
        <v>270</v>
      </c>
      <c r="AY60">
        <v>520</v>
      </c>
      <c r="AZ60">
        <v>520</v>
      </c>
      <c r="BA60">
        <v>520</v>
      </c>
    </row>
    <row r="61" spans="1:53" x14ac:dyDescent="0.2">
      <c r="A61" s="9"/>
      <c r="B61" s="9"/>
      <c r="C61" s="9"/>
      <c r="D61" s="9"/>
      <c r="E61" s="9" t="s">
        <v>48</v>
      </c>
      <c r="F61" s="9" t="s">
        <v>54</v>
      </c>
      <c r="G61" s="9">
        <v>200</v>
      </c>
      <c r="H61" s="9" cm="1">
        <f t="array" ref="H61:H64">_xlfn.XLOOKUP(E61, $AR$46:$BA$46, $AR$47:$BA$50)</f>
        <v>75</v>
      </c>
      <c r="I61" s="9" cm="1">
        <f t="array" ref="I61:I64">_xlfn.XLOOKUP(E61, $AR$106:$BA$106, $AR$107:$BA$110)</f>
        <v>0.5</v>
      </c>
      <c r="J61" s="9"/>
      <c r="K61" s="9"/>
      <c r="L61" s="9"/>
      <c r="M61" s="9">
        <f t="shared" si="8"/>
        <v>1</v>
      </c>
      <c r="N61" s="9">
        <v>1</v>
      </c>
      <c r="O61" s="9">
        <f t="shared" si="22"/>
        <v>2.7834751406249998</v>
      </c>
      <c r="P61" s="9">
        <f t="shared" ref="P61" si="39">(O61 * (1 -U$41) + (0.04 * O61)) * ( 1 - AF$41 )</f>
        <v>1.1456783678812499</v>
      </c>
      <c r="Q61" s="10">
        <f t="shared" si="10"/>
        <v>5.390077600084388E-5</v>
      </c>
      <c r="R61" s="9">
        <f t="shared" si="11"/>
        <v>6.4533257842106233E-4</v>
      </c>
      <c r="S61" s="9">
        <f t="shared" si="13"/>
        <v>0.98368916201540069</v>
      </c>
      <c r="T61" s="9">
        <f t="shared" si="14"/>
        <v>11.777319556184386</v>
      </c>
      <c r="U61" s="9"/>
      <c r="V61" s="9"/>
      <c r="W61" s="9"/>
      <c r="X61" s="9"/>
      <c r="Y61" s="9"/>
      <c r="Z61" s="9"/>
      <c r="AA61" s="9"/>
      <c r="AB61" s="9"/>
      <c r="AC61" s="9"/>
      <c r="AD61" s="9"/>
      <c r="AE61" s="9"/>
      <c r="AF61" s="9"/>
      <c r="AG61" s="9"/>
      <c r="AH61" s="9"/>
      <c r="AI61" s="9"/>
      <c r="AQ61" s="2" t="s">
        <v>56</v>
      </c>
      <c r="AR61" s="2">
        <v>100</v>
      </c>
      <c r="AS61" s="2">
        <v>700</v>
      </c>
      <c r="AT61" s="2">
        <v>95</v>
      </c>
      <c r="AU61" s="2">
        <v>300</v>
      </c>
      <c r="AV61">
        <v>450</v>
      </c>
      <c r="AW61">
        <v>450</v>
      </c>
      <c r="AX61">
        <v>95</v>
      </c>
      <c r="AY61">
        <v>410</v>
      </c>
      <c r="AZ61">
        <v>410</v>
      </c>
      <c r="BA61">
        <v>410</v>
      </c>
    </row>
    <row r="62" spans="1:53" x14ac:dyDescent="0.2">
      <c r="A62" s="9"/>
      <c r="B62" s="9"/>
      <c r="C62" s="9"/>
      <c r="D62" s="9"/>
      <c r="E62" s="9"/>
      <c r="F62" s="9" t="s">
        <v>55</v>
      </c>
      <c r="G62" s="9">
        <v>130</v>
      </c>
      <c r="H62" s="9">
        <v>160</v>
      </c>
      <c r="I62" s="9">
        <v>0.9</v>
      </c>
      <c r="J62" s="9"/>
      <c r="K62" s="9"/>
      <c r="L62" s="9"/>
      <c r="M62" s="9">
        <f t="shared" si="8"/>
        <v>1</v>
      </c>
      <c r="N62" s="9">
        <v>1</v>
      </c>
      <c r="O62" s="9">
        <f t="shared" si="22"/>
        <v>4.5298311556000002</v>
      </c>
      <c r="P62" s="9">
        <f t="shared" ref="P62" si="40">(O62 * (1 -V$41) + (0.04 * O62)) * ( 1 - AF$41 )</f>
        <v>1.4839726865745599</v>
      </c>
      <c r="Q62" s="10">
        <f t="shared" si="10"/>
        <v>6.9816522344180778E-5</v>
      </c>
      <c r="R62" s="9">
        <f t="shared" si="11"/>
        <v>8.3588548669608228E-4</v>
      </c>
      <c r="S62" s="9">
        <f t="shared" si="13"/>
        <v>0.82819849630784437</v>
      </c>
      <c r="T62" s="9">
        <f t="shared" si="14"/>
        <v>9.9156915859322758</v>
      </c>
      <c r="U62" s="9"/>
      <c r="V62" s="9"/>
      <c r="W62" s="9"/>
      <c r="X62" s="9"/>
      <c r="Y62" s="9"/>
      <c r="Z62" s="9"/>
      <c r="AA62" s="9"/>
      <c r="AB62" s="9"/>
      <c r="AC62" s="9"/>
      <c r="AD62" s="9"/>
      <c r="AE62" s="9"/>
      <c r="AF62" s="9"/>
      <c r="AG62" s="9"/>
      <c r="AH62" s="9"/>
      <c r="AI62" s="9"/>
      <c r="AQ62" s="2" t="s">
        <v>57</v>
      </c>
      <c r="AR62" s="2">
        <v>150</v>
      </c>
      <c r="AS62" s="2">
        <v>720</v>
      </c>
      <c r="AT62" s="2">
        <v>140</v>
      </c>
      <c r="AU62" s="2">
        <v>320</v>
      </c>
      <c r="AV62" s="2">
        <v>470</v>
      </c>
      <c r="AW62" s="2">
        <v>470</v>
      </c>
      <c r="AX62">
        <v>140</v>
      </c>
      <c r="AY62">
        <v>440</v>
      </c>
      <c r="AZ62">
        <v>440</v>
      </c>
      <c r="BA62">
        <v>440</v>
      </c>
    </row>
    <row r="63" spans="1:53" x14ac:dyDescent="0.2">
      <c r="A63" s="9"/>
      <c r="B63" s="9"/>
      <c r="C63" s="9"/>
      <c r="D63" s="9"/>
      <c r="E63" s="9"/>
      <c r="F63" s="9" t="s">
        <v>56</v>
      </c>
      <c r="G63" s="9">
        <v>250</v>
      </c>
      <c r="H63" s="9">
        <v>220</v>
      </c>
      <c r="I63" s="9">
        <v>0.7</v>
      </c>
      <c r="J63" s="9"/>
      <c r="K63" s="9"/>
      <c r="L63" s="9"/>
      <c r="M63" s="9">
        <f t="shared" si="8"/>
        <v>1</v>
      </c>
      <c r="N63" s="9">
        <v>1</v>
      </c>
      <c r="O63" s="9">
        <f t="shared" si="22"/>
        <v>5.1913799715999973</v>
      </c>
      <c r="P63" s="9">
        <f t="shared" ref="P63" si="41">(O63 * (1 -W$41) + (0.04 * O63)) * ( 1 - AF$41 )</f>
        <v>1.918734037503359</v>
      </c>
      <c r="Q63" s="10">
        <f t="shared" si="10"/>
        <v>9.0270757011782037E-5</v>
      </c>
      <c r="R63" s="9">
        <f t="shared" si="11"/>
        <v>1.0807759127164039E-3</v>
      </c>
      <c r="S63" s="9">
        <f t="shared" si="13"/>
        <v>2.0593016443312777</v>
      </c>
      <c r="T63" s="9">
        <f t="shared" si="14"/>
        <v>24.655200508842963</v>
      </c>
      <c r="U63" s="9"/>
      <c r="V63" s="9"/>
      <c r="W63" s="9"/>
      <c r="X63" s="9"/>
      <c r="Y63" s="9"/>
      <c r="Z63" s="9"/>
      <c r="AA63" s="9"/>
      <c r="AB63" s="9"/>
      <c r="AC63" s="9"/>
      <c r="AD63" s="9"/>
      <c r="AE63" s="9"/>
      <c r="AF63" s="9"/>
      <c r="AG63" s="9"/>
      <c r="AH63" s="9"/>
      <c r="AI63" s="9"/>
      <c r="AO63" t="s">
        <v>65</v>
      </c>
      <c r="AP63" t="s">
        <v>62</v>
      </c>
      <c r="AQ63" s="2" t="s">
        <v>54</v>
      </c>
      <c r="AR63" s="2">
        <v>340</v>
      </c>
      <c r="AS63" s="2">
        <v>800</v>
      </c>
      <c r="AT63" s="2">
        <v>260</v>
      </c>
      <c r="AU63" s="2">
        <v>420</v>
      </c>
      <c r="AV63" s="2">
        <v>550</v>
      </c>
      <c r="AW63" s="2">
        <v>550</v>
      </c>
      <c r="AX63">
        <v>300</v>
      </c>
      <c r="AY63">
        <v>480</v>
      </c>
      <c r="AZ63">
        <v>480</v>
      </c>
      <c r="BA63">
        <v>480</v>
      </c>
    </row>
    <row r="64" spans="1:53" x14ac:dyDescent="0.2">
      <c r="A64" s="9"/>
      <c r="B64" s="9"/>
      <c r="C64" s="9"/>
      <c r="D64" s="9"/>
      <c r="E64" s="9"/>
      <c r="F64" s="9" t="s">
        <v>57</v>
      </c>
      <c r="G64" s="9">
        <v>150</v>
      </c>
      <c r="H64" s="9">
        <v>260</v>
      </c>
      <c r="I64" s="9">
        <v>0.4</v>
      </c>
      <c r="J64" s="9"/>
      <c r="K64" s="9"/>
      <c r="L64" s="9"/>
      <c r="M64" s="9">
        <f t="shared" si="8"/>
        <v>1</v>
      </c>
      <c r="N64" s="9">
        <v>1</v>
      </c>
      <c r="O64" s="9">
        <f t="shared" si="22"/>
        <v>5.3621886096000004</v>
      </c>
      <c r="P64" s="9">
        <f t="shared" ref="P64" si="42">(O64 * (1 -X$41) + (0.04 * O64)) * ( 1 - AF$41 )</f>
        <v>2.4322887533145603</v>
      </c>
      <c r="Q64" s="10">
        <f t="shared" si="10"/>
        <v>1.1443198626874025E-4</v>
      </c>
      <c r="R64" s="9">
        <f t="shared" si="11"/>
        <v>1.3700487123134107E-3</v>
      </c>
      <c r="S64" s="9">
        <f t="shared" si="13"/>
        <v>1.5662878120533821</v>
      </c>
      <c r="T64" s="9">
        <f t="shared" si="14"/>
        <v>18.75254174978981</v>
      </c>
      <c r="U64" s="9"/>
      <c r="V64" s="9"/>
      <c r="W64" s="9"/>
      <c r="X64" s="9"/>
      <c r="Y64" s="9"/>
      <c r="Z64" s="9"/>
      <c r="AA64" s="9"/>
      <c r="AB64" s="9"/>
      <c r="AC64" s="9"/>
      <c r="AD64" s="9"/>
      <c r="AE64" s="9"/>
      <c r="AF64" s="9"/>
      <c r="AG64" s="9"/>
      <c r="AH64" s="9"/>
      <c r="AI64" s="9"/>
      <c r="AQ64" s="2" t="s">
        <v>55</v>
      </c>
      <c r="AR64" s="2">
        <v>380</v>
      </c>
      <c r="AS64" s="2">
        <v>780</v>
      </c>
      <c r="AT64" s="2">
        <v>300</v>
      </c>
      <c r="AU64" s="2">
        <v>450</v>
      </c>
      <c r="AV64" s="2">
        <v>530</v>
      </c>
      <c r="AW64" s="2">
        <v>530</v>
      </c>
      <c r="AX64" s="2">
        <v>340</v>
      </c>
      <c r="AY64">
        <v>470</v>
      </c>
      <c r="AZ64">
        <v>470</v>
      </c>
      <c r="BA64">
        <v>470</v>
      </c>
    </row>
    <row r="65" spans="1:53"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Q65" s="2" t="s">
        <v>56</v>
      </c>
      <c r="AR65" s="2">
        <v>100</v>
      </c>
      <c r="AS65" s="2">
        <v>680</v>
      </c>
      <c r="AT65" s="2">
        <v>80</v>
      </c>
      <c r="AU65" s="2">
        <v>320</v>
      </c>
      <c r="AV65" s="2">
        <v>480</v>
      </c>
      <c r="AW65" s="2">
        <v>480</v>
      </c>
      <c r="AX65">
        <v>100</v>
      </c>
      <c r="AY65">
        <v>340</v>
      </c>
      <c r="AZ65">
        <v>340</v>
      </c>
      <c r="BA65">
        <v>340</v>
      </c>
    </row>
    <row r="66" spans="1:53"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Q66" s="2" t="s">
        <v>57</v>
      </c>
      <c r="AR66" s="2">
        <v>190</v>
      </c>
      <c r="AS66" s="2">
        <v>700</v>
      </c>
      <c r="AT66" s="2">
        <v>150</v>
      </c>
      <c r="AU66" s="2">
        <v>330</v>
      </c>
      <c r="AV66" s="2">
        <v>490</v>
      </c>
      <c r="AW66" s="2">
        <v>490</v>
      </c>
      <c r="AX66">
        <v>170</v>
      </c>
      <c r="AY66">
        <v>360</v>
      </c>
      <c r="AZ66">
        <v>360</v>
      </c>
      <c r="BA66">
        <v>360</v>
      </c>
    </row>
    <row r="67" spans="1:53" x14ac:dyDescent="0.2">
      <c r="AO67" t="s">
        <v>65</v>
      </c>
      <c r="AP67" t="s">
        <v>63</v>
      </c>
      <c r="AQ67" s="2" t="s">
        <v>54</v>
      </c>
      <c r="AR67" s="2">
        <v>80</v>
      </c>
      <c r="AS67" s="2">
        <v>450</v>
      </c>
      <c r="AT67" s="2">
        <v>70</v>
      </c>
      <c r="AU67" s="2">
        <v>260</v>
      </c>
      <c r="AV67" s="2">
        <v>340</v>
      </c>
      <c r="AW67" s="2">
        <v>340</v>
      </c>
      <c r="AX67" s="2">
        <v>80</v>
      </c>
      <c r="AY67">
        <v>370</v>
      </c>
      <c r="AZ67">
        <v>370</v>
      </c>
      <c r="BA67">
        <v>370</v>
      </c>
    </row>
    <row r="68" spans="1:53" x14ac:dyDescent="0.2">
      <c r="AQ68" s="2" t="s">
        <v>55</v>
      </c>
      <c r="AR68" s="2">
        <v>150</v>
      </c>
      <c r="AS68" s="2">
        <v>500</v>
      </c>
      <c r="AT68" s="2">
        <v>140</v>
      </c>
      <c r="AU68" s="2">
        <v>310</v>
      </c>
      <c r="AV68" s="2">
        <v>360</v>
      </c>
      <c r="AW68" s="2">
        <v>360</v>
      </c>
      <c r="AX68" s="2">
        <v>150</v>
      </c>
      <c r="AY68">
        <v>400</v>
      </c>
      <c r="AZ68">
        <v>400</v>
      </c>
      <c r="BA68">
        <v>400</v>
      </c>
    </row>
    <row r="69" spans="1:53" x14ac:dyDescent="0.2">
      <c r="AQ69" s="2" t="s">
        <v>56</v>
      </c>
      <c r="AR69" s="2">
        <v>230</v>
      </c>
      <c r="AS69" s="2">
        <v>550</v>
      </c>
      <c r="AT69" s="2">
        <v>220</v>
      </c>
      <c r="AU69" s="2">
        <v>330</v>
      </c>
      <c r="AV69" s="2">
        <v>380</v>
      </c>
      <c r="AW69" s="2">
        <v>380</v>
      </c>
      <c r="AX69" s="2">
        <v>230</v>
      </c>
      <c r="AY69">
        <v>420</v>
      </c>
      <c r="AZ69">
        <v>420</v>
      </c>
      <c r="BA69">
        <v>420</v>
      </c>
    </row>
    <row r="70" spans="1:53" x14ac:dyDescent="0.2">
      <c r="AQ70" s="2" t="s">
        <v>57</v>
      </c>
      <c r="AR70" s="2">
        <v>250</v>
      </c>
      <c r="AS70" s="2">
        <v>500</v>
      </c>
      <c r="AT70" s="2">
        <v>240</v>
      </c>
      <c r="AU70" s="2">
        <v>340</v>
      </c>
      <c r="AV70" s="2">
        <v>360</v>
      </c>
      <c r="AW70" s="2">
        <v>360</v>
      </c>
      <c r="AX70" s="2">
        <v>250</v>
      </c>
      <c r="AY70">
        <v>390</v>
      </c>
      <c r="AZ70">
        <v>390</v>
      </c>
      <c r="BA70">
        <v>390</v>
      </c>
    </row>
    <row r="71" spans="1:53" x14ac:dyDescent="0.2">
      <c r="AO71" t="s">
        <v>65</v>
      </c>
      <c r="AP71" t="s">
        <v>71</v>
      </c>
      <c r="AQ71" s="2" t="s">
        <v>54</v>
      </c>
      <c r="AR71" s="2">
        <v>220</v>
      </c>
      <c r="AS71" s="2">
        <v>500</v>
      </c>
      <c r="AT71" s="2">
        <v>180</v>
      </c>
      <c r="AU71" s="2">
        <v>300</v>
      </c>
      <c r="AV71" s="2">
        <v>320</v>
      </c>
      <c r="AW71" s="2">
        <v>320</v>
      </c>
      <c r="AX71" s="2">
        <v>210</v>
      </c>
      <c r="AY71" s="2">
        <v>340</v>
      </c>
      <c r="AZ71" s="2">
        <v>340</v>
      </c>
      <c r="BA71" s="2">
        <v>340</v>
      </c>
    </row>
    <row r="72" spans="1:53" x14ac:dyDescent="0.2">
      <c r="AQ72" s="2" t="s">
        <v>55</v>
      </c>
      <c r="AR72" s="2">
        <v>110</v>
      </c>
      <c r="AS72" s="2">
        <v>550</v>
      </c>
      <c r="AT72" s="2">
        <v>90</v>
      </c>
      <c r="AU72" s="2">
        <v>220</v>
      </c>
      <c r="AV72" s="2">
        <v>380</v>
      </c>
      <c r="AW72" s="2">
        <v>380</v>
      </c>
      <c r="AX72" s="2">
        <v>100</v>
      </c>
      <c r="AY72" s="2">
        <v>390</v>
      </c>
      <c r="AZ72" s="2">
        <v>390</v>
      </c>
      <c r="BA72" s="2">
        <v>390</v>
      </c>
    </row>
    <row r="73" spans="1:53" x14ac:dyDescent="0.2">
      <c r="AQ73" s="2" t="s">
        <v>56</v>
      </c>
      <c r="AR73" s="2">
        <v>170</v>
      </c>
      <c r="AS73" s="2">
        <v>600</v>
      </c>
      <c r="AT73" s="2">
        <v>140</v>
      </c>
      <c r="AU73" s="2">
        <v>270</v>
      </c>
      <c r="AV73" s="2">
        <v>390</v>
      </c>
      <c r="AW73" s="2">
        <v>390</v>
      </c>
      <c r="AX73" s="2">
        <v>160</v>
      </c>
      <c r="AY73" s="2">
        <v>430</v>
      </c>
      <c r="AZ73" s="2">
        <v>430</v>
      </c>
      <c r="BA73" s="2">
        <v>430</v>
      </c>
    </row>
    <row r="74" spans="1:53" x14ac:dyDescent="0.2">
      <c r="AQ74" s="2" t="s">
        <v>57</v>
      </c>
      <c r="AR74" s="2">
        <v>200</v>
      </c>
      <c r="AS74" s="2">
        <v>550</v>
      </c>
      <c r="AT74" s="2">
        <v>150</v>
      </c>
      <c r="AU74" s="2">
        <v>280</v>
      </c>
      <c r="AV74" s="2">
        <v>350</v>
      </c>
      <c r="AW74" s="2">
        <v>350</v>
      </c>
      <c r="AX74" s="2">
        <v>190</v>
      </c>
      <c r="AY74" s="2">
        <v>400</v>
      </c>
      <c r="AZ74" s="2">
        <v>400</v>
      </c>
      <c r="BA74" s="2">
        <v>400</v>
      </c>
    </row>
    <row r="75" spans="1:53" x14ac:dyDescent="0.2">
      <c r="AO75" t="s">
        <v>73</v>
      </c>
      <c r="AP75" t="s">
        <v>74</v>
      </c>
      <c r="AQ75" s="2" t="s">
        <v>54</v>
      </c>
      <c r="AR75">
        <v>220</v>
      </c>
      <c r="AS75">
        <v>706</v>
      </c>
      <c r="AT75">
        <v>208</v>
      </c>
      <c r="AU75">
        <v>323</v>
      </c>
      <c r="AV75">
        <v>415</v>
      </c>
      <c r="AW75">
        <v>467</v>
      </c>
      <c r="AX75">
        <v>223</v>
      </c>
      <c r="AY75">
        <v>371</v>
      </c>
      <c r="AZ75">
        <v>493</v>
      </c>
      <c r="BA75">
        <v>585</v>
      </c>
    </row>
    <row r="76" spans="1:53" x14ac:dyDescent="0.2">
      <c r="AQ76" s="2" t="s">
        <v>55</v>
      </c>
      <c r="AR76">
        <v>110</v>
      </c>
      <c r="AS76">
        <v>703</v>
      </c>
      <c r="AT76">
        <v>112</v>
      </c>
      <c r="AU76">
        <v>256</v>
      </c>
      <c r="AV76">
        <v>368</v>
      </c>
      <c r="AW76">
        <v>465</v>
      </c>
      <c r="AX76">
        <v>108</v>
      </c>
      <c r="AY76">
        <v>280</v>
      </c>
      <c r="AZ76">
        <v>421</v>
      </c>
      <c r="BA76">
        <v>543</v>
      </c>
    </row>
    <row r="77" spans="1:53" x14ac:dyDescent="0.2">
      <c r="AQ77" s="2" t="s">
        <v>56</v>
      </c>
      <c r="AR77">
        <v>170</v>
      </c>
      <c r="AS77">
        <v>721</v>
      </c>
      <c r="AT77">
        <v>169</v>
      </c>
      <c r="AU77">
        <v>306</v>
      </c>
      <c r="AV77">
        <v>392</v>
      </c>
      <c r="AW77">
        <v>464</v>
      </c>
      <c r="AX77">
        <v>176</v>
      </c>
      <c r="AY77">
        <v>339</v>
      </c>
      <c r="AZ77">
        <v>470</v>
      </c>
      <c r="BA77">
        <v>580</v>
      </c>
    </row>
    <row r="78" spans="1:53" x14ac:dyDescent="0.2">
      <c r="AQ78" s="2" t="s">
        <v>57</v>
      </c>
      <c r="AR78">
        <v>200</v>
      </c>
      <c r="AS78">
        <v>727</v>
      </c>
      <c r="AT78">
        <v>211</v>
      </c>
      <c r="AU78">
        <v>338</v>
      </c>
      <c r="AV78">
        <v>432</v>
      </c>
      <c r="AW78">
        <v>492</v>
      </c>
      <c r="AX78">
        <v>222</v>
      </c>
      <c r="AY78">
        <v>377</v>
      </c>
      <c r="AZ78">
        <v>498</v>
      </c>
      <c r="BA78">
        <v>590</v>
      </c>
    </row>
    <row r="79" spans="1:53" x14ac:dyDescent="0.2">
      <c r="AO79" t="s">
        <v>73</v>
      </c>
      <c r="AP79" t="s">
        <v>75</v>
      </c>
      <c r="AQ79" s="2" t="s">
        <v>54</v>
      </c>
      <c r="AR79">
        <v>220</v>
      </c>
      <c r="AS79">
        <v>620</v>
      </c>
      <c r="AT79">
        <v>227</v>
      </c>
      <c r="AU79">
        <v>319</v>
      </c>
      <c r="AV79">
        <v>398</v>
      </c>
      <c r="AW79">
        <v>452</v>
      </c>
      <c r="AX79">
        <v>216</v>
      </c>
      <c r="AY79">
        <v>334</v>
      </c>
      <c r="AZ79" t="s">
        <v>72</v>
      </c>
      <c r="BA79" t="s">
        <v>72</v>
      </c>
    </row>
    <row r="80" spans="1:53" x14ac:dyDescent="0.2">
      <c r="AQ80" s="2" t="s">
        <v>55</v>
      </c>
      <c r="AR80">
        <v>110</v>
      </c>
      <c r="AS80">
        <v>650</v>
      </c>
      <c r="AT80">
        <v>108</v>
      </c>
      <c r="AU80">
        <v>262</v>
      </c>
      <c r="AV80">
        <v>346</v>
      </c>
      <c r="AW80">
        <v>430</v>
      </c>
      <c r="AX80">
        <v>111</v>
      </c>
      <c r="AY80">
        <v>236</v>
      </c>
      <c r="AZ80" t="s">
        <v>72</v>
      </c>
      <c r="BA80" t="s">
        <v>72</v>
      </c>
    </row>
    <row r="81" spans="41:53" x14ac:dyDescent="0.2">
      <c r="AQ81" s="2" t="s">
        <v>56</v>
      </c>
      <c r="AR81">
        <v>170</v>
      </c>
      <c r="AS81">
        <v>670</v>
      </c>
      <c r="AT81">
        <v>170</v>
      </c>
      <c r="AU81">
        <v>266</v>
      </c>
      <c r="AV81">
        <v>363</v>
      </c>
      <c r="AW81">
        <v>444</v>
      </c>
      <c r="AX81">
        <v>169</v>
      </c>
      <c r="AY81">
        <v>282</v>
      </c>
      <c r="AZ81" t="s">
        <v>72</v>
      </c>
      <c r="BA81" t="s">
        <v>72</v>
      </c>
    </row>
    <row r="82" spans="41:53" x14ac:dyDescent="0.2">
      <c r="AQ82" s="2" t="s">
        <v>57</v>
      </c>
      <c r="AR82">
        <v>200</v>
      </c>
      <c r="AS82">
        <v>660</v>
      </c>
      <c r="AT82">
        <v>225</v>
      </c>
      <c r="AU82">
        <v>307</v>
      </c>
      <c r="AV82">
        <v>398</v>
      </c>
      <c r="AW82">
        <v>452</v>
      </c>
      <c r="AX82">
        <v>214</v>
      </c>
      <c r="AY82">
        <v>326</v>
      </c>
      <c r="AZ82" t="s">
        <v>72</v>
      </c>
      <c r="BA82" t="s">
        <v>72</v>
      </c>
    </row>
    <row r="83" spans="41:53" x14ac:dyDescent="0.2">
      <c r="AO83" t="s">
        <v>73</v>
      </c>
      <c r="AP83" t="s">
        <v>76</v>
      </c>
      <c r="AQ83" s="2" t="s">
        <v>54</v>
      </c>
      <c r="AR83">
        <v>220</v>
      </c>
      <c r="AS83">
        <v>620</v>
      </c>
      <c r="AT83">
        <v>177</v>
      </c>
      <c r="AU83">
        <v>267</v>
      </c>
      <c r="AV83">
        <v>365</v>
      </c>
      <c r="AW83">
        <v>406</v>
      </c>
      <c r="AX83">
        <v>231</v>
      </c>
      <c r="AY83">
        <v>249</v>
      </c>
      <c r="AZ83">
        <v>324</v>
      </c>
      <c r="BA83" t="s">
        <v>72</v>
      </c>
    </row>
    <row r="84" spans="41:53" x14ac:dyDescent="0.2">
      <c r="AQ84" s="2" t="s">
        <v>55</v>
      </c>
      <c r="AR84">
        <v>110</v>
      </c>
      <c r="AS84">
        <v>650</v>
      </c>
      <c r="AT84">
        <v>102</v>
      </c>
      <c r="AU84">
        <v>203</v>
      </c>
      <c r="AV84">
        <v>299</v>
      </c>
      <c r="AW84">
        <v>380</v>
      </c>
      <c r="AX84">
        <v>102</v>
      </c>
      <c r="AY84">
        <v>218</v>
      </c>
      <c r="AZ84">
        <v>263</v>
      </c>
      <c r="BA84" t="s">
        <v>72</v>
      </c>
    </row>
    <row r="85" spans="41:53" x14ac:dyDescent="0.2">
      <c r="AQ85" s="2" t="s">
        <v>56</v>
      </c>
      <c r="AR85">
        <v>170</v>
      </c>
      <c r="AS85">
        <v>670</v>
      </c>
      <c r="AT85">
        <v>173</v>
      </c>
      <c r="AU85">
        <v>250</v>
      </c>
      <c r="AV85">
        <v>336</v>
      </c>
      <c r="AW85">
        <v>414</v>
      </c>
      <c r="AX85">
        <v>175</v>
      </c>
      <c r="AY85">
        <v>243</v>
      </c>
      <c r="AZ85">
        <v>304</v>
      </c>
      <c r="BA85" t="s">
        <v>72</v>
      </c>
    </row>
    <row r="86" spans="41:53" x14ac:dyDescent="0.2">
      <c r="AQ86" s="2" t="s">
        <v>57</v>
      </c>
      <c r="AR86">
        <v>200</v>
      </c>
      <c r="AS86">
        <v>660</v>
      </c>
      <c r="AT86">
        <v>202</v>
      </c>
      <c r="AU86">
        <v>272</v>
      </c>
      <c r="AV86">
        <v>365</v>
      </c>
      <c r="AW86">
        <v>390</v>
      </c>
      <c r="AX86">
        <v>208</v>
      </c>
      <c r="AY86">
        <v>260</v>
      </c>
      <c r="AZ86">
        <v>337</v>
      </c>
      <c r="BA86" t="s">
        <v>72</v>
      </c>
    </row>
    <row r="87" spans="41:53" x14ac:dyDescent="0.2">
      <c r="AO87" t="s">
        <v>81</v>
      </c>
      <c r="AP87" t="s">
        <v>77</v>
      </c>
      <c r="AQ87" s="2" t="s">
        <v>54</v>
      </c>
      <c r="AR87">
        <v>260</v>
      </c>
      <c r="AS87" s="2">
        <v>705</v>
      </c>
      <c r="AT87" s="2">
        <v>215</v>
      </c>
      <c r="AU87">
        <v>302</v>
      </c>
      <c r="AV87">
        <v>416</v>
      </c>
      <c r="AW87">
        <v>519</v>
      </c>
      <c r="AX87">
        <v>234</v>
      </c>
      <c r="AY87">
        <v>455</v>
      </c>
      <c r="AZ87">
        <v>551</v>
      </c>
      <c r="BA87" s="2">
        <v>660</v>
      </c>
    </row>
    <row r="88" spans="41:53" x14ac:dyDescent="0.2">
      <c r="AQ88" s="2" t="s">
        <v>55</v>
      </c>
      <c r="AR88">
        <v>153</v>
      </c>
      <c r="AS88">
        <v>703</v>
      </c>
      <c r="AT88" s="2">
        <v>118</v>
      </c>
      <c r="AU88">
        <v>277</v>
      </c>
      <c r="AV88">
        <v>397</v>
      </c>
      <c r="AW88">
        <v>483</v>
      </c>
      <c r="AX88">
        <v>111</v>
      </c>
      <c r="AY88">
        <v>304</v>
      </c>
      <c r="AZ88">
        <v>521</v>
      </c>
      <c r="BA88" s="2">
        <v>547</v>
      </c>
    </row>
    <row r="89" spans="41:53" x14ac:dyDescent="0.2">
      <c r="AQ89" s="2" t="s">
        <v>56</v>
      </c>
      <c r="AR89">
        <v>168</v>
      </c>
      <c r="AS89">
        <v>718</v>
      </c>
      <c r="AT89" s="2">
        <v>191</v>
      </c>
      <c r="AU89">
        <v>319</v>
      </c>
      <c r="AV89">
        <v>440</v>
      </c>
      <c r="AW89">
        <v>506</v>
      </c>
      <c r="AX89">
        <v>188</v>
      </c>
      <c r="AY89">
        <v>326</v>
      </c>
      <c r="AZ89">
        <v>520</v>
      </c>
      <c r="BA89" s="2">
        <v>582</v>
      </c>
    </row>
    <row r="90" spans="41:53" x14ac:dyDescent="0.2">
      <c r="AQ90" s="2" t="s">
        <v>57</v>
      </c>
      <c r="AR90">
        <v>235</v>
      </c>
      <c r="AS90">
        <v>722</v>
      </c>
      <c r="AT90" s="2">
        <v>207</v>
      </c>
      <c r="AU90">
        <v>352</v>
      </c>
      <c r="AV90">
        <v>470</v>
      </c>
      <c r="AW90">
        <v>514</v>
      </c>
      <c r="AX90">
        <v>209</v>
      </c>
      <c r="AY90">
        <v>421</v>
      </c>
      <c r="AZ90">
        <v>512</v>
      </c>
      <c r="BA90" s="2">
        <v>605</v>
      </c>
    </row>
    <row r="91" spans="41:53" x14ac:dyDescent="0.2">
      <c r="AO91" t="s">
        <v>81</v>
      </c>
      <c r="AP91" t="s">
        <v>78</v>
      </c>
      <c r="AQ91" s="2" t="s">
        <v>54</v>
      </c>
      <c r="AR91">
        <v>230</v>
      </c>
      <c r="AS91" s="2">
        <v>674</v>
      </c>
      <c r="AT91" s="2">
        <v>217</v>
      </c>
      <c r="AU91">
        <v>344</v>
      </c>
      <c r="AV91">
        <v>357</v>
      </c>
      <c r="AW91">
        <v>467</v>
      </c>
      <c r="AX91">
        <v>242</v>
      </c>
      <c r="AY91">
        <v>370</v>
      </c>
      <c r="AZ91">
        <v>550</v>
      </c>
      <c r="BA91" s="2">
        <v>620</v>
      </c>
    </row>
    <row r="92" spans="41:53" x14ac:dyDescent="0.2">
      <c r="AQ92" s="2" t="s">
        <v>55</v>
      </c>
      <c r="AR92">
        <v>113</v>
      </c>
      <c r="AS92" s="2">
        <v>669</v>
      </c>
      <c r="AT92" s="2">
        <v>113</v>
      </c>
      <c r="AU92">
        <v>283</v>
      </c>
      <c r="AV92">
        <v>361</v>
      </c>
      <c r="AW92">
        <v>477</v>
      </c>
      <c r="AX92">
        <v>120</v>
      </c>
      <c r="AY92">
        <v>273</v>
      </c>
      <c r="AZ92">
        <v>545</v>
      </c>
      <c r="BA92" s="2">
        <v>553</v>
      </c>
    </row>
    <row r="93" spans="41:53" x14ac:dyDescent="0.2">
      <c r="AQ93" s="2" t="s">
        <v>56</v>
      </c>
      <c r="AR93">
        <v>172</v>
      </c>
      <c r="AS93" s="2">
        <v>685</v>
      </c>
      <c r="AT93" s="2">
        <v>172</v>
      </c>
      <c r="AU93">
        <v>309</v>
      </c>
      <c r="AV93">
        <v>376</v>
      </c>
      <c r="AW93">
        <v>471</v>
      </c>
      <c r="AX93">
        <v>238</v>
      </c>
      <c r="AY93">
        <v>329</v>
      </c>
      <c r="AZ93">
        <v>573</v>
      </c>
      <c r="BA93" s="2">
        <v>620</v>
      </c>
    </row>
    <row r="94" spans="41:53" x14ac:dyDescent="0.2">
      <c r="AQ94" s="2" t="s">
        <v>57</v>
      </c>
      <c r="AR94">
        <v>241</v>
      </c>
      <c r="AS94" s="2">
        <v>692</v>
      </c>
      <c r="AT94" s="2">
        <v>208</v>
      </c>
      <c r="AU94">
        <v>344</v>
      </c>
      <c r="AV94">
        <v>364</v>
      </c>
      <c r="AW94">
        <v>484</v>
      </c>
      <c r="AX94">
        <v>260</v>
      </c>
      <c r="AY94">
        <v>350</v>
      </c>
      <c r="AZ94">
        <v>567</v>
      </c>
      <c r="BA94" s="2">
        <v>620</v>
      </c>
    </row>
    <row r="95" spans="41:53" x14ac:dyDescent="0.2">
      <c r="AO95" t="s">
        <v>81</v>
      </c>
      <c r="AP95" t="s">
        <v>79</v>
      </c>
      <c r="AQ95" s="2" t="s">
        <v>54</v>
      </c>
      <c r="AR95">
        <v>236</v>
      </c>
      <c r="AS95" s="2">
        <v>674</v>
      </c>
      <c r="AT95" s="2">
        <v>178</v>
      </c>
      <c r="AU95">
        <v>310</v>
      </c>
      <c r="AV95">
        <v>428</v>
      </c>
      <c r="AW95">
        <v>466</v>
      </c>
      <c r="AX95">
        <v>193</v>
      </c>
      <c r="AY95">
        <v>370</v>
      </c>
      <c r="AZ95">
        <v>519</v>
      </c>
      <c r="BA95" s="2">
        <v>565</v>
      </c>
    </row>
    <row r="96" spans="41:53" x14ac:dyDescent="0.2">
      <c r="AQ96" s="2" t="s">
        <v>55</v>
      </c>
      <c r="AR96">
        <v>120</v>
      </c>
      <c r="AS96" s="2">
        <v>669</v>
      </c>
      <c r="AT96" s="2">
        <v>112</v>
      </c>
      <c r="AU96">
        <v>250</v>
      </c>
      <c r="AV96">
        <v>390</v>
      </c>
      <c r="AW96">
        <v>448</v>
      </c>
      <c r="AX96">
        <v>115</v>
      </c>
      <c r="AY96">
        <v>273</v>
      </c>
      <c r="AZ96">
        <v>433</v>
      </c>
      <c r="BA96" s="2">
        <v>556</v>
      </c>
    </row>
    <row r="97" spans="41:53" x14ac:dyDescent="0.2">
      <c r="AQ97" s="2" t="s">
        <v>56</v>
      </c>
      <c r="AR97">
        <v>125</v>
      </c>
      <c r="AS97" s="2">
        <v>685</v>
      </c>
      <c r="AT97" s="2">
        <v>140</v>
      </c>
      <c r="AU97">
        <v>277</v>
      </c>
      <c r="AV97">
        <v>407</v>
      </c>
      <c r="AW97">
        <v>455</v>
      </c>
      <c r="AX97">
        <v>141</v>
      </c>
      <c r="AY97">
        <v>296</v>
      </c>
      <c r="AZ97">
        <v>445</v>
      </c>
      <c r="BA97" s="2">
        <v>593</v>
      </c>
    </row>
    <row r="98" spans="41:53" x14ac:dyDescent="0.2">
      <c r="AQ98" s="2" t="s">
        <v>57</v>
      </c>
      <c r="AR98" s="2">
        <v>180</v>
      </c>
      <c r="AS98" s="2">
        <v>692</v>
      </c>
      <c r="AT98" s="2">
        <v>183</v>
      </c>
      <c r="AU98">
        <v>316</v>
      </c>
      <c r="AV98">
        <v>438</v>
      </c>
      <c r="AW98">
        <v>468</v>
      </c>
      <c r="AX98">
        <v>189</v>
      </c>
      <c r="AY98">
        <v>354</v>
      </c>
      <c r="AZ98">
        <v>500</v>
      </c>
      <c r="BA98" s="2">
        <v>553</v>
      </c>
    </row>
    <row r="99" spans="41:53" x14ac:dyDescent="0.2">
      <c r="AO99" t="s">
        <v>81</v>
      </c>
      <c r="AP99" t="s">
        <v>80</v>
      </c>
      <c r="AQ99" s="2" t="s">
        <v>54</v>
      </c>
      <c r="AR99" s="2">
        <v>190</v>
      </c>
      <c r="AS99" s="2">
        <v>617</v>
      </c>
      <c r="AT99" s="2">
        <v>174</v>
      </c>
      <c r="AU99">
        <v>265</v>
      </c>
      <c r="AV99">
        <v>371</v>
      </c>
      <c r="AW99">
        <v>415</v>
      </c>
      <c r="AX99">
        <v>170</v>
      </c>
      <c r="AY99">
        <v>272</v>
      </c>
      <c r="AZ99">
        <v>392</v>
      </c>
      <c r="BA99" s="2">
        <v>531</v>
      </c>
    </row>
    <row r="100" spans="41:53" x14ac:dyDescent="0.2">
      <c r="AQ100" s="2" t="s">
        <v>55</v>
      </c>
      <c r="AR100">
        <v>119</v>
      </c>
      <c r="AS100" s="2">
        <v>591</v>
      </c>
      <c r="AT100" s="2">
        <v>140</v>
      </c>
      <c r="AU100">
        <v>205</v>
      </c>
      <c r="AV100">
        <v>310</v>
      </c>
      <c r="AW100">
        <v>405</v>
      </c>
      <c r="AX100">
        <v>133</v>
      </c>
      <c r="AY100">
        <v>218</v>
      </c>
      <c r="AZ100">
        <v>315</v>
      </c>
      <c r="BA100" s="2">
        <v>445</v>
      </c>
    </row>
    <row r="101" spans="41:53" x14ac:dyDescent="0.2">
      <c r="AQ101" s="2" t="s">
        <v>56</v>
      </c>
      <c r="AR101">
        <v>175</v>
      </c>
      <c r="AS101" s="2">
        <v>610</v>
      </c>
      <c r="AT101" s="2">
        <v>163</v>
      </c>
      <c r="AU101">
        <v>232</v>
      </c>
      <c r="AV101">
        <v>351</v>
      </c>
      <c r="AW101">
        <v>427</v>
      </c>
      <c r="AX101">
        <v>146</v>
      </c>
      <c r="AY101">
        <v>242</v>
      </c>
      <c r="AZ101">
        <v>320</v>
      </c>
      <c r="BA101" s="2">
        <v>471</v>
      </c>
    </row>
    <row r="102" spans="41:53" x14ac:dyDescent="0.2">
      <c r="AQ102" s="2" t="s">
        <v>57</v>
      </c>
      <c r="AR102">
        <v>192</v>
      </c>
      <c r="AS102" s="2">
        <v>615</v>
      </c>
      <c r="AT102" s="2">
        <v>162</v>
      </c>
      <c r="AU102">
        <v>255</v>
      </c>
      <c r="AV102">
        <v>364</v>
      </c>
      <c r="AW102">
        <v>420</v>
      </c>
      <c r="AX102">
        <v>157</v>
      </c>
      <c r="AY102">
        <v>261</v>
      </c>
      <c r="AZ102">
        <v>342</v>
      </c>
      <c r="BA102" s="2">
        <v>484</v>
      </c>
    </row>
    <row r="106" spans="41:53" x14ac:dyDescent="0.2">
      <c r="AO106" t="s">
        <v>60</v>
      </c>
      <c r="AR106" s="3" t="s">
        <v>42</v>
      </c>
      <c r="AS106" s="3" t="s">
        <v>43</v>
      </c>
      <c r="AT106" s="3" t="s">
        <v>44</v>
      </c>
      <c r="AU106" s="4" t="s">
        <v>45</v>
      </c>
      <c r="AV106" s="3" t="s">
        <v>46</v>
      </c>
      <c r="AW106" s="3" t="s">
        <v>47</v>
      </c>
      <c r="AX106" s="3" t="s">
        <v>48</v>
      </c>
      <c r="AY106" s="3" t="s">
        <v>49</v>
      </c>
      <c r="AZ106" s="3" t="s">
        <v>50</v>
      </c>
      <c r="BA106" s="3" t="s">
        <v>51</v>
      </c>
    </row>
    <row r="107" spans="41:53" x14ac:dyDescent="0.2">
      <c r="AO107" t="s">
        <v>53</v>
      </c>
      <c r="AQ107" t="s">
        <v>54</v>
      </c>
      <c r="AR107">
        <v>0.5</v>
      </c>
      <c r="AS107">
        <v>0.2</v>
      </c>
      <c r="AT107">
        <v>0.5</v>
      </c>
      <c r="AU107">
        <v>0.4</v>
      </c>
      <c r="AV107">
        <v>0.3</v>
      </c>
      <c r="AW107">
        <v>0.3</v>
      </c>
      <c r="AX107">
        <v>0.5</v>
      </c>
      <c r="AY107">
        <v>0.4</v>
      </c>
      <c r="AZ107">
        <v>0.4</v>
      </c>
      <c r="BA107">
        <v>0.4</v>
      </c>
    </row>
    <row r="108" spans="41:53" x14ac:dyDescent="0.2">
      <c r="AQ108" t="s">
        <v>55</v>
      </c>
      <c r="AR108">
        <v>1</v>
      </c>
      <c r="AS108">
        <v>0.4</v>
      </c>
      <c r="AT108">
        <v>0.9</v>
      </c>
      <c r="AU108">
        <v>0.7</v>
      </c>
      <c r="AV108">
        <v>0.3</v>
      </c>
      <c r="AW108">
        <v>0.3</v>
      </c>
      <c r="AX108">
        <v>0.9</v>
      </c>
      <c r="AY108">
        <v>0.4</v>
      </c>
      <c r="AZ108">
        <v>0.4</v>
      </c>
      <c r="BA108">
        <v>0.4</v>
      </c>
    </row>
    <row r="109" spans="41:53" x14ac:dyDescent="0.2">
      <c r="AQ109" t="s">
        <v>56</v>
      </c>
      <c r="AR109">
        <v>0.8</v>
      </c>
      <c r="AS109">
        <v>0.3</v>
      </c>
      <c r="AT109">
        <v>0.7</v>
      </c>
      <c r="AU109">
        <v>0.3</v>
      </c>
      <c r="AV109">
        <v>0.2</v>
      </c>
      <c r="AW109">
        <v>0.2</v>
      </c>
      <c r="AX109">
        <v>0.7</v>
      </c>
      <c r="AY109">
        <v>0.3</v>
      </c>
      <c r="AZ109">
        <v>0.3</v>
      </c>
      <c r="BA109">
        <v>0.3</v>
      </c>
    </row>
    <row r="110" spans="41:53" x14ac:dyDescent="0.2">
      <c r="AQ110" t="s">
        <v>57</v>
      </c>
      <c r="AR110">
        <v>0.4</v>
      </c>
      <c r="AS110">
        <v>0.1</v>
      </c>
      <c r="AT110">
        <v>0.4</v>
      </c>
      <c r="AU110">
        <v>0.2</v>
      </c>
      <c r="AV110">
        <v>0.1</v>
      </c>
      <c r="AW110">
        <v>0.1</v>
      </c>
      <c r="AX110">
        <v>0.4</v>
      </c>
      <c r="AY110">
        <v>0.1</v>
      </c>
      <c r="AZ110">
        <v>0.1</v>
      </c>
      <c r="BA110">
        <v>0.1</v>
      </c>
    </row>
    <row r="111" spans="41:53" x14ac:dyDescent="0.2">
      <c r="AO111" t="s">
        <v>59</v>
      </c>
      <c r="AQ111" t="s">
        <v>54</v>
      </c>
      <c r="AR111">
        <v>0.99</v>
      </c>
      <c r="AS111">
        <v>1.1000000000000001</v>
      </c>
      <c r="AT111">
        <v>0.88</v>
      </c>
      <c r="AU111">
        <v>0.55000000000000004</v>
      </c>
      <c r="AV111">
        <v>0.55000000000000004</v>
      </c>
      <c r="AW111">
        <v>0.55000000000000004</v>
      </c>
      <c r="AX111">
        <v>0.88</v>
      </c>
      <c r="AY111">
        <v>0.22</v>
      </c>
      <c r="AZ111">
        <v>0.22</v>
      </c>
      <c r="BA111">
        <v>0.22</v>
      </c>
    </row>
    <row r="112" spans="41:53" x14ac:dyDescent="0.2">
      <c r="AQ112" t="s">
        <v>55</v>
      </c>
      <c r="AR112">
        <v>0.77</v>
      </c>
      <c r="AS112">
        <v>0</v>
      </c>
      <c r="AT112">
        <v>0.66</v>
      </c>
      <c r="AU112">
        <v>0.22</v>
      </c>
      <c r="AV112">
        <v>0</v>
      </c>
      <c r="AW112">
        <v>0</v>
      </c>
      <c r="AX112">
        <v>0.66</v>
      </c>
      <c r="AY112">
        <v>0</v>
      </c>
      <c r="AZ112">
        <v>0</v>
      </c>
      <c r="BA112">
        <v>0</v>
      </c>
    </row>
    <row r="113" spans="41:53" x14ac:dyDescent="0.2">
      <c r="AQ113" t="s">
        <v>56</v>
      </c>
      <c r="AR113">
        <v>0.9</v>
      </c>
      <c r="AS113">
        <v>-1.1000000000000001</v>
      </c>
      <c r="AT113">
        <v>0.7</v>
      </c>
      <c r="AU113">
        <v>0.22</v>
      </c>
      <c r="AV113">
        <v>-0.55000000000000004</v>
      </c>
      <c r="AW113">
        <v>-0.55000000000000004</v>
      </c>
      <c r="AX113">
        <v>0.8</v>
      </c>
      <c r="AY113">
        <v>-0.22</v>
      </c>
      <c r="AZ113">
        <v>-0.22</v>
      </c>
      <c r="BA113">
        <v>-0.22</v>
      </c>
    </row>
    <row r="114" spans="41:53" x14ac:dyDescent="0.2">
      <c r="AQ114" t="s">
        <v>57</v>
      </c>
      <c r="AR114">
        <v>0.88</v>
      </c>
      <c r="AS114">
        <v>0</v>
      </c>
      <c r="AT114">
        <v>0.77</v>
      </c>
      <c r="AU114" s="2">
        <v>0.55000000000000004</v>
      </c>
      <c r="AV114" s="2">
        <v>0</v>
      </c>
      <c r="AW114" s="2">
        <v>0</v>
      </c>
      <c r="AX114" s="2">
        <v>0.82</v>
      </c>
      <c r="AY114" s="2">
        <v>0</v>
      </c>
      <c r="AZ114" s="2">
        <v>0</v>
      </c>
      <c r="BA114" s="2">
        <v>0</v>
      </c>
    </row>
    <row r="115" spans="41:53" x14ac:dyDescent="0.2">
      <c r="AO115" t="s">
        <v>69</v>
      </c>
      <c r="AQ115" t="s">
        <v>54</v>
      </c>
      <c r="AR115">
        <v>1</v>
      </c>
      <c r="AS115">
        <v>0.5</v>
      </c>
      <c r="AT115">
        <v>1</v>
      </c>
      <c r="AU115" s="2">
        <v>1</v>
      </c>
      <c r="AV115" s="2">
        <v>-0.44</v>
      </c>
      <c r="AW115" s="2">
        <v>-0.44</v>
      </c>
      <c r="AX115" s="2">
        <v>1</v>
      </c>
      <c r="AY115" s="2">
        <v>0.5</v>
      </c>
      <c r="AZ115" s="2">
        <v>0.5</v>
      </c>
      <c r="BA115" s="2">
        <v>0.5</v>
      </c>
    </row>
    <row r="116" spans="41:53" x14ac:dyDescent="0.2">
      <c r="AQ116" t="s">
        <v>55</v>
      </c>
      <c r="AR116">
        <v>0.82</v>
      </c>
      <c r="AS116">
        <v>0.55000000000000004</v>
      </c>
      <c r="AT116">
        <v>0.71</v>
      </c>
      <c r="AU116" s="2">
        <v>0.55000000000000004</v>
      </c>
      <c r="AV116" s="2">
        <v>0.99</v>
      </c>
      <c r="AW116" s="2">
        <v>0.99</v>
      </c>
      <c r="AX116" s="2">
        <v>0.77</v>
      </c>
      <c r="AY116" s="2">
        <v>0.5</v>
      </c>
      <c r="AZ116" s="2">
        <v>0.5</v>
      </c>
      <c r="BA116" s="2">
        <v>0.5</v>
      </c>
    </row>
    <row r="117" spans="41:53" x14ac:dyDescent="0.2">
      <c r="AQ117" t="s">
        <v>56</v>
      </c>
      <c r="AR117">
        <v>0.77</v>
      </c>
      <c r="AS117">
        <v>0.5</v>
      </c>
      <c r="AT117">
        <v>0.55000000000000004</v>
      </c>
      <c r="AU117" s="2">
        <v>0.11</v>
      </c>
      <c r="AV117" s="2">
        <v>-0.33</v>
      </c>
      <c r="AW117" s="2">
        <v>-0.33</v>
      </c>
      <c r="AX117" s="2">
        <v>0.6</v>
      </c>
      <c r="AY117" s="2">
        <v>0.33</v>
      </c>
      <c r="AZ117" s="2">
        <v>0.33</v>
      </c>
      <c r="BA117" s="2">
        <v>0.33</v>
      </c>
    </row>
    <row r="118" spans="41:53" x14ac:dyDescent="0.2">
      <c r="AQ118" t="s">
        <v>57</v>
      </c>
      <c r="AR118">
        <v>0.11</v>
      </c>
      <c r="AS118">
        <v>-0.27</v>
      </c>
      <c r="AT118">
        <v>0.11</v>
      </c>
      <c r="AU118" s="2">
        <v>0.22</v>
      </c>
      <c r="AV118" s="2">
        <v>-0.44</v>
      </c>
      <c r="AW118" s="2">
        <v>-0.44</v>
      </c>
      <c r="AX118" s="2">
        <v>0.16</v>
      </c>
      <c r="AY118" s="2">
        <v>-0.22</v>
      </c>
      <c r="AZ118" s="2">
        <v>-0.22</v>
      </c>
      <c r="BA118" s="2">
        <v>-0.22</v>
      </c>
    </row>
    <row r="119" spans="41:53" x14ac:dyDescent="0.2">
      <c r="AO119" t="s">
        <v>70</v>
      </c>
      <c r="AQ119" t="s">
        <v>54</v>
      </c>
      <c r="AR119">
        <v>1.1000000000000001</v>
      </c>
      <c r="AS119">
        <v>1.1000000000000001</v>
      </c>
      <c r="AT119">
        <v>1.1000000000000001</v>
      </c>
      <c r="AU119" s="2">
        <v>0.99</v>
      </c>
      <c r="AV119" s="2">
        <v>0.99</v>
      </c>
      <c r="AW119" s="2">
        <v>0.99</v>
      </c>
      <c r="AX119" s="2">
        <v>1.1000000000000001</v>
      </c>
      <c r="AY119" s="2">
        <v>0.77</v>
      </c>
      <c r="AZ119" s="2">
        <v>0.77</v>
      </c>
      <c r="BA119" s="2">
        <v>0.77</v>
      </c>
    </row>
    <row r="120" spans="41:53" x14ac:dyDescent="0.2">
      <c r="AQ120" t="s">
        <v>55</v>
      </c>
      <c r="AR120">
        <v>0.33</v>
      </c>
      <c r="AS120">
        <v>0.33</v>
      </c>
      <c r="AT120">
        <v>0.22</v>
      </c>
      <c r="AU120" s="2">
        <v>0.33</v>
      </c>
      <c r="AV120" s="2">
        <v>-0.1</v>
      </c>
      <c r="AW120" s="2">
        <v>-0.1</v>
      </c>
      <c r="AX120" s="2">
        <v>0.33</v>
      </c>
      <c r="AY120" s="2">
        <v>0.11</v>
      </c>
      <c r="AZ120" s="2">
        <v>0.11</v>
      </c>
      <c r="BA120" s="2">
        <v>0.11</v>
      </c>
    </row>
    <row r="121" spans="41:53" x14ac:dyDescent="0.2">
      <c r="AQ121" t="s">
        <v>56</v>
      </c>
      <c r="AR121">
        <v>0.5</v>
      </c>
      <c r="AS121">
        <v>0.2</v>
      </c>
      <c r="AT121">
        <v>0.55000000000000004</v>
      </c>
      <c r="AU121" s="2">
        <v>0.44</v>
      </c>
      <c r="AV121" s="2">
        <v>0.2</v>
      </c>
      <c r="AW121" s="2">
        <v>0.2</v>
      </c>
      <c r="AX121" s="2">
        <v>0.55000000000000004</v>
      </c>
      <c r="AY121" s="2">
        <v>0.2</v>
      </c>
      <c r="AZ121" s="2">
        <v>0.2</v>
      </c>
      <c r="BA121" s="2">
        <v>0.2</v>
      </c>
    </row>
    <row r="122" spans="41:53" x14ac:dyDescent="0.2">
      <c r="AQ122" t="s">
        <v>57</v>
      </c>
      <c r="AR122">
        <v>0.55000000000000004</v>
      </c>
      <c r="AS122">
        <v>0.22</v>
      </c>
      <c r="AT122">
        <v>0.49</v>
      </c>
      <c r="AU122" s="2">
        <v>0.22</v>
      </c>
      <c r="AV122" s="2">
        <v>0.22</v>
      </c>
      <c r="AW122" s="2">
        <v>0.22</v>
      </c>
      <c r="AX122" s="2">
        <v>0.49</v>
      </c>
      <c r="AY122" s="2">
        <v>0.33</v>
      </c>
      <c r="AZ122" s="2">
        <v>0.33</v>
      </c>
      <c r="BA122" s="2">
        <v>0.33</v>
      </c>
    </row>
    <row r="123" spans="41:53" x14ac:dyDescent="0.2">
      <c r="AO123" t="s">
        <v>65</v>
      </c>
      <c r="AP123" t="s">
        <v>62</v>
      </c>
      <c r="AQ123" t="s">
        <v>54</v>
      </c>
      <c r="AR123">
        <v>1.64</v>
      </c>
      <c r="AS123">
        <v>1.1000000000000001</v>
      </c>
      <c r="AT123">
        <v>1.21</v>
      </c>
      <c r="AU123" s="2">
        <v>0.99</v>
      </c>
      <c r="AV123" s="2">
        <v>0.66</v>
      </c>
      <c r="AW123" s="2">
        <v>0.66</v>
      </c>
      <c r="AX123" s="2">
        <v>1.42</v>
      </c>
      <c r="AY123" s="2">
        <v>1.1000000000000001</v>
      </c>
      <c r="AZ123" s="2">
        <v>1.1000000000000001</v>
      </c>
      <c r="BA123" s="2">
        <v>1.1000000000000001</v>
      </c>
    </row>
    <row r="124" spans="41:53" x14ac:dyDescent="0.2">
      <c r="AQ124" t="s">
        <v>55</v>
      </c>
      <c r="AR124">
        <v>0.44</v>
      </c>
      <c r="AS124">
        <v>-0.22</v>
      </c>
      <c r="AT124">
        <v>0.44</v>
      </c>
      <c r="AU124" s="2">
        <v>0.33</v>
      </c>
      <c r="AV124" s="2">
        <v>-0.22</v>
      </c>
      <c r="AW124" s="2">
        <v>-0.22</v>
      </c>
      <c r="AX124" s="2">
        <v>0.44</v>
      </c>
      <c r="AY124" s="2">
        <v>-0.11</v>
      </c>
      <c r="AZ124" s="2">
        <v>-0.11</v>
      </c>
      <c r="BA124" s="2">
        <v>-0.11</v>
      </c>
    </row>
    <row r="125" spans="41:53" x14ac:dyDescent="0.2">
      <c r="AQ125" t="s">
        <v>56</v>
      </c>
      <c r="AR125">
        <v>0.6</v>
      </c>
      <c r="AS125">
        <v>0</v>
      </c>
      <c r="AT125">
        <v>0.6</v>
      </c>
      <c r="AU125" s="2">
        <v>0.22</v>
      </c>
      <c r="AV125" s="2">
        <v>-0.55000000000000004</v>
      </c>
      <c r="AW125" s="2">
        <v>-0.55000000000000004</v>
      </c>
      <c r="AX125" s="2">
        <v>0.6</v>
      </c>
      <c r="AY125" s="2">
        <v>0</v>
      </c>
      <c r="AZ125" s="2">
        <v>0</v>
      </c>
      <c r="BA125" s="2">
        <v>0</v>
      </c>
    </row>
    <row r="126" spans="41:53" x14ac:dyDescent="0.2">
      <c r="AQ126" t="s">
        <v>57</v>
      </c>
      <c r="AR126">
        <v>0.99</v>
      </c>
      <c r="AS126">
        <v>0.22</v>
      </c>
      <c r="AT126">
        <v>0.77</v>
      </c>
      <c r="AU126" s="2">
        <v>0.11</v>
      </c>
      <c r="AV126" s="2">
        <v>0.11</v>
      </c>
      <c r="AW126" s="2">
        <v>0.11</v>
      </c>
      <c r="AX126" s="2">
        <v>0.77</v>
      </c>
      <c r="AY126" s="2">
        <v>0.44</v>
      </c>
      <c r="AZ126" s="2">
        <v>0.44</v>
      </c>
      <c r="BA126" s="2">
        <v>0.44</v>
      </c>
    </row>
    <row r="127" spans="41:53" x14ac:dyDescent="0.2">
      <c r="AO127" t="s">
        <v>65</v>
      </c>
      <c r="AP127" t="s">
        <v>63</v>
      </c>
      <c r="AQ127" t="s">
        <v>54</v>
      </c>
      <c r="AR127">
        <v>0.7</v>
      </c>
      <c r="AS127">
        <v>-0.55000000000000004</v>
      </c>
      <c r="AT127">
        <v>0.7</v>
      </c>
      <c r="AU127" s="2">
        <v>0.22</v>
      </c>
      <c r="AV127" s="2">
        <v>-0.22</v>
      </c>
      <c r="AW127" s="2">
        <v>-0.22</v>
      </c>
      <c r="AX127" s="2">
        <v>0.7</v>
      </c>
      <c r="AY127" s="2">
        <v>-0.22</v>
      </c>
      <c r="AZ127" s="2">
        <v>-0.22</v>
      </c>
      <c r="BA127" s="2">
        <v>-0.22</v>
      </c>
    </row>
    <row r="128" spans="41:53" x14ac:dyDescent="0.2">
      <c r="AQ128" t="s">
        <v>55</v>
      </c>
      <c r="AR128">
        <v>0.77</v>
      </c>
      <c r="AS128">
        <v>0.55000000000000004</v>
      </c>
      <c r="AT128">
        <v>0.77</v>
      </c>
      <c r="AU128" s="2">
        <v>0.66</v>
      </c>
      <c r="AV128" s="2">
        <v>0.55000000000000004</v>
      </c>
      <c r="AW128" s="2">
        <v>0.55000000000000004</v>
      </c>
      <c r="AX128" s="2">
        <v>0.77</v>
      </c>
      <c r="AY128" s="2">
        <v>0.33</v>
      </c>
      <c r="AZ128" s="2">
        <v>0.33</v>
      </c>
      <c r="BA128" s="2">
        <v>0.33</v>
      </c>
    </row>
    <row r="129" spans="41:53" x14ac:dyDescent="0.2">
      <c r="AQ129" t="s">
        <v>56</v>
      </c>
      <c r="AR129">
        <v>0.88</v>
      </c>
      <c r="AS129">
        <v>0.55000000000000004</v>
      </c>
      <c r="AT129">
        <v>0.88</v>
      </c>
      <c r="AU129" s="2">
        <v>0.22</v>
      </c>
      <c r="AV129" s="2">
        <v>0.22</v>
      </c>
      <c r="AW129" s="2">
        <v>0.22</v>
      </c>
      <c r="AX129" s="2">
        <v>0.88</v>
      </c>
      <c r="AY129" s="2">
        <v>0.22</v>
      </c>
      <c r="AZ129" s="2">
        <v>0.22</v>
      </c>
      <c r="BA129" s="2">
        <v>0.22</v>
      </c>
    </row>
    <row r="130" spans="41:53" x14ac:dyDescent="0.2">
      <c r="AQ130" t="s">
        <v>57</v>
      </c>
      <c r="AR130">
        <v>0.22</v>
      </c>
      <c r="AS130">
        <v>-0.55000000000000004</v>
      </c>
      <c r="AT130">
        <v>0.22</v>
      </c>
      <c r="AU130" s="5">
        <v>0.11</v>
      </c>
      <c r="AV130" s="5">
        <v>-0.22</v>
      </c>
      <c r="AW130" s="5">
        <v>-0.22</v>
      </c>
      <c r="AX130" s="5">
        <v>0.22</v>
      </c>
      <c r="AY130" s="5">
        <v>-0.33</v>
      </c>
      <c r="AZ130" s="5">
        <v>-0.33</v>
      </c>
      <c r="BA130" s="5">
        <v>-0.33</v>
      </c>
    </row>
    <row r="131" spans="41:53" x14ac:dyDescent="0.2">
      <c r="AO131" t="s">
        <v>65</v>
      </c>
      <c r="AP131" t="s">
        <v>71</v>
      </c>
      <c r="AQ131" t="s">
        <v>54</v>
      </c>
      <c r="AR131">
        <v>0.22</v>
      </c>
      <c r="AS131">
        <v>-0.55000000000000004</v>
      </c>
      <c r="AT131">
        <v>0.33</v>
      </c>
      <c r="AU131" s="5">
        <v>0.22</v>
      </c>
      <c r="AV131" s="5">
        <v>-0.33</v>
      </c>
      <c r="AW131" s="5">
        <v>-0.33</v>
      </c>
      <c r="AX131" s="5">
        <v>0.22</v>
      </c>
      <c r="AY131" s="5">
        <v>-0.55000000000000004</v>
      </c>
      <c r="AZ131" s="5">
        <v>-0.55000000000000004</v>
      </c>
      <c r="BA131" s="5">
        <v>-0.55000000000000004</v>
      </c>
    </row>
    <row r="132" spans="41:53" x14ac:dyDescent="0.2">
      <c r="AQ132" t="s">
        <v>55</v>
      </c>
      <c r="AR132">
        <v>0.8</v>
      </c>
      <c r="AS132">
        <v>0.55000000000000004</v>
      </c>
      <c r="AT132">
        <v>0.7</v>
      </c>
      <c r="AU132" s="5">
        <v>0.44</v>
      </c>
      <c r="AV132" s="5">
        <v>0.66</v>
      </c>
      <c r="AW132" s="5">
        <v>0.66</v>
      </c>
      <c r="AX132" s="5">
        <v>0.8</v>
      </c>
      <c r="AY132" s="5">
        <v>0.55000000000000004</v>
      </c>
      <c r="AZ132" s="5">
        <v>0.55000000000000004</v>
      </c>
      <c r="BA132" s="5">
        <v>0.55000000000000004</v>
      </c>
    </row>
    <row r="133" spans="41:53" x14ac:dyDescent="0.2">
      <c r="AQ133" t="s">
        <v>56</v>
      </c>
      <c r="AR133">
        <v>0.66</v>
      </c>
      <c r="AS133">
        <v>0.55000000000000004</v>
      </c>
      <c r="AT133">
        <v>0.55000000000000004</v>
      </c>
      <c r="AU133" s="5">
        <v>0.55000000000000004</v>
      </c>
      <c r="AV133" s="5">
        <v>0.11</v>
      </c>
      <c r="AW133" s="5">
        <v>0.11</v>
      </c>
      <c r="AX133" s="5">
        <v>0.66</v>
      </c>
      <c r="AY133" s="5">
        <v>0.55000000000000004</v>
      </c>
      <c r="AZ133" s="5">
        <v>0.55000000000000004</v>
      </c>
      <c r="BA133" s="5">
        <v>0.55000000000000004</v>
      </c>
    </row>
    <row r="134" spans="41:53" x14ac:dyDescent="0.2">
      <c r="AQ134" t="s">
        <v>57</v>
      </c>
      <c r="AR134">
        <v>0.33</v>
      </c>
      <c r="AS134">
        <v>-0.55000000000000004</v>
      </c>
      <c r="AT134">
        <v>0.11</v>
      </c>
      <c r="AU134" s="5">
        <v>0.11</v>
      </c>
      <c r="AV134" s="5">
        <v>-0.44</v>
      </c>
      <c r="AW134" s="5">
        <v>-0.44</v>
      </c>
      <c r="AX134" s="5">
        <v>0.33</v>
      </c>
      <c r="AY134" s="5">
        <v>-0.55000000000000004</v>
      </c>
      <c r="AZ134" s="5">
        <v>-0.55000000000000004</v>
      </c>
      <c r="BA134" s="5">
        <v>-0.55000000000000004</v>
      </c>
    </row>
    <row r="135" spans="41:53" x14ac:dyDescent="0.2">
      <c r="AO135" t="s">
        <v>73</v>
      </c>
      <c r="AP135" t="s">
        <v>74</v>
      </c>
      <c r="AQ135" t="s">
        <v>54</v>
      </c>
      <c r="AR135">
        <v>0.22</v>
      </c>
      <c r="AS135">
        <v>-0.23</v>
      </c>
      <c r="AT135">
        <v>0.25</v>
      </c>
      <c r="AU135" s="5">
        <v>0.17</v>
      </c>
      <c r="AV135" s="5">
        <v>0.18</v>
      </c>
      <c r="AW135" s="5">
        <v>-0.28000000000000003</v>
      </c>
      <c r="AX135" s="5">
        <v>0.32</v>
      </c>
      <c r="AY135" s="5">
        <v>0.24</v>
      </c>
      <c r="AZ135" s="5">
        <v>0.25</v>
      </c>
      <c r="BA135">
        <v>-0.05</v>
      </c>
    </row>
    <row r="136" spans="41:53" x14ac:dyDescent="0.2">
      <c r="AQ136" t="s">
        <v>55</v>
      </c>
      <c r="AR136">
        <v>0.66</v>
      </c>
      <c r="AS136">
        <v>0.2</v>
      </c>
      <c r="AT136">
        <v>0.62</v>
      </c>
      <c r="AU136" s="5">
        <v>0.54</v>
      </c>
      <c r="AV136" s="5">
        <v>0.38</v>
      </c>
      <c r="AW136" s="5">
        <v>0.27</v>
      </c>
      <c r="AX136" s="5">
        <v>0.75</v>
      </c>
      <c r="AY136" s="5">
        <v>0.64</v>
      </c>
      <c r="AZ136" s="5">
        <v>0.55000000000000004</v>
      </c>
      <c r="BA136">
        <v>0.48</v>
      </c>
    </row>
    <row r="137" spans="41:53" x14ac:dyDescent="0.2">
      <c r="AQ137" t="s">
        <v>56</v>
      </c>
      <c r="AR137">
        <v>0.49</v>
      </c>
      <c r="AS137">
        <v>0.13</v>
      </c>
      <c r="AT137">
        <v>0.54</v>
      </c>
      <c r="AU137" s="5">
        <v>0.45</v>
      </c>
      <c r="AV137" s="5">
        <v>0.35</v>
      </c>
      <c r="AW137" s="5">
        <v>0.15</v>
      </c>
      <c r="AX137" s="5">
        <v>0.63</v>
      </c>
      <c r="AY137" s="5">
        <v>0.54</v>
      </c>
      <c r="AZ137" s="5">
        <v>0.42</v>
      </c>
      <c r="BA137">
        <v>0.26</v>
      </c>
    </row>
    <row r="138" spans="41:53" x14ac:dyDescent="0.2">
      <c r="AQ138" t="s">
        <v>57</v>
      </c>
      <c r="AR138">
        <v>0.27</v>
      </c>
      <c r="AS138">
        <v>-0.8</v>
      </c>
      <c r="AT138">
        <v>0.22</v>
      </c>
      <c r="AU138" s="5">
        <v>0.09</v>
      </c>
      <c r="AV138" s="5">
        <v>0.12</v>
      </c>
      <c r="AW138" s="5">
        <v>0.02</v>
      </c>
      <c r="AX138" s="5">
        <v>0.25</v>
      </c>
      <c r="AY138" s="5">
        <v>0.18</v>
      </c>
      <c r="AZ138" s="5">
        <v>0.12</v>
      </c>
      <c r="BA138">
        <v>0.03</v>
      </c>
    </row>
    <row r="139" spans="41:53" x14ac:dyDescent="0.2">
      <c r="AO139" t="s">
        <v>73</v>
      </c>
      <c r="AP139" t="s">
        <v>75</v>
      </c>
      <c r="AQ139" t="s">
        <v>54</v>
      </c>
      <c r="AR139">
        <v>0.22</v>
      </c>
      <c r="AS139">
        <v>-0.44</v>
      </c>
      <c r="AT139">
        <v>0.2</v>
      </c>
      <c r="AU139" s="5">
        <v>0.21</v>
      </c>
      <c r="AV139" s="5">
        <v>0.18</v>
      </c>
      <c r="AW139" s="5">
        <v>0.01</v>
      </c>
      <c r="AX139" s="5">
        <v>0.12</v>
      </c>
      <c r="AY139" s="5">
        <v>0.09</v>
      </c>
      <c r="AZ139" s="5" t="s">
        <v>72</v>
      </c>
      <c r="BA139" t="s">
        <v>72</v>
      </c>
    </row>
    <row r="140" spans="41:53" x14ac:dyDescent="0.2">
      <c r="AQ140" t="s">
        <v>55</v>
      </c>
      <c r="AR140">
        <v>0.66</v>
      </c>
      <c r="AS140">
        <v>0.22</v>
      </c>
      <c r="AT140">
        <v>0.68</v>
      </c>
      <c r="AU140" s="5">
        <v>0.22</v>
      </c>
      <c r="AV140" s="5">
        <v>0.24</v>
      </c>
      <c r="AW140" s="5">
        <v>0.25</v>
      </c>
      <c r="AX140" s="5">
        <v>0.64</v>
      </c>
      <c r="AY140" s="5">
        <v>0.37</v>
      </c>
      <c r="AZ140" s="5" t="s">
        <v>72</v>
      </c>
      <c r="BA140" t="s">
        <v>72</v>
      </c>
    </row>
    <row r="141" spans="41:53" x14ac:dyDescent="0.2">
      <c r="AQ141" t="s">
        <v>56</v>
      </c>
      <c r="AR141">
        <v>0.49</v>
      </c>
      <c r="AS141">
        <v>0.05</v>
      </c>
      <c r="AT141">
        <v>0.64</v>
      </c>
      <c r="AU141" s="5">
        <v>0.25</v>
      </c>
      <c r="AV141" s="5">
        <v>0.28999999999999998</v>
      </c>
      <c r="AW141" s="5">
        <v>0.12</v>
      </c>
      <c r="AX141" s="5">
        <v>0.56999999999999995</v>
      </c>
      <c r="AY141" s="5">
        <v>0.49</v>
      </c>
      <c r="AZ141" s="5" t="s">
        <v>72</v>
      </c>
      <c r="BA141" t="s">
        <v>72</v>
      </c>
    </row>
    <row r="142" spans="41:53" x14ac:dyDescent="0.2">
      <c r="AQ142" t="s">
        <v>57</v>
      </c>
      <c r="AR142">
        <v>0.27</v>
      </c>
      <c r="AS142">
        <v>-0.27</v>
      </c>
      <c r="AT142">
        <v>0.31</v>
      </c>
      <c r="AU142" s="5">
        <v>0.28999999999999998</v>
      </c>
      <c r="AV142" s="5">
        <v>0.19</v>
      </c>
      <c r="AW142" s="5">
        <v>0.04</v>
      </c>
      <c r="AX142" s="5">
        <v>0.26</v>
      </c>
      <c r="AY142" s="5">
        <v>0.28000000000000003</v>
      </c>
      <c r="AZ142" s="5" t="s">
        <v>72</v>
      </c>
      <c r="BA142" t="s">
        <v>72</v>
      </c>
    </row>
    <row r="143" spans="41:53" x14ac:dyDescent="0.2">
      <c r="AO143" t="s">
        <v>73</v>
      </c>
      <c r="AP143" t="s">
        <v>76</v>
      </c>
      <c r="AQ143" t="s">
        <v>54</v>
      </c>
      <c r="AR143">
        <v>0.22</v>
      </c>
      <c r="AS143">
        <v>-0.44</v>
      </c>
      <c r="AT143">
        <v>0</v>
      </c>
      <c r="AU143" s="5">
        <v>0.15</v>
      </c>
      <c r="AV143" s="5">
        <v>0.08</v>
      </c>
      <c r="AW143" s="5">
        <v>0.17</v>
      </c>
      <c r="AX143" s="5">
        <v>0.06</v>
      </c>
      <c r="AY143" s="5">
        <v>0.02</v>
      </c>
      <c r="AZ143" s="5">
        <v>-0.14000000000000001</v>
      </c>
      <c r="BA143" t="s">
        <v>72</v>
      </c>
    </row>
    <row r="144" spans="41:53" x14ac:dyDescent="0.2">
      <c r="AQ144" t="s">
        <v>55</v>
      </c>
      <c r="AR144">
        <v>0.66</v>
      </c>
      <c r="AS144">
        <v>0.22</v>
      </c>
      <c r="AT144">
        <v>0.79</v>
      </c>
      <c r="AU144" s="5">
        <v>0.4</v>
      </c>
      <c r="AV144" s="5">
        <v>0.38</v>
      </c>
      <c r="AW144" s="5">
        <v>0.27</v>
      </c>
      <c r="AX144" s="5">
        <v>0.8</v>
      </c>
      <c r="AY144" s="5">
        <v>0.16</v>
      </c>
      <c r="AZ144" s="5">
        <v>0.3</v>
      </c>
      <c r="BA144" t="s">
        <v>72</v>
      </c>
    </row>
    <row r="145" spans="41:53" x14ac:dyDescent="0.2">
      <c r="AQ145" t="s">
        <v>56</v>
      </c>
      <c r="AR145">
        <v>0.49</v>
      </c>
      <c r="AS145">
        <v>0.05</v>
      </c>
      <c r="AT145">
        <v>0.55000000000000004</v>
      </c>
      <c r="AU145" s="5">
        <v>0.38</v>
      </c>
      <c r="AV145" s="5">
        <v>0.36</v>
      </c>
      <c r="AW145" s="5">
        <v>0.06</v>
      </c>
      <c r="AX145" s="5">
        <v>0.57999999999999996</v>
      </c>
      <c r="AY145" s="5">
        <v>0.23</v>
      </c>
      <c r="AZ145" s="5">
        <v>0.4</v>
      </c>
      <c r="BA145" t="s">
        <v>72</v>
      </c>
    </row>
    <row r="146" spans="41:53" x14ac:dyDescent="0.2">
      <c r="AQ146" t="s">
        <v>57</v>
      </c>
      <c r="AR146">
        <v>0.27</v>
      </c>
      <c r="AS146">
        <v>-0.27</v>
      </c>
      <c r="AT146">
        <v>0.02</v>
      </c>
      <c r="AU146">
        <v>0.09</v>
      </c>
      <c r="AV146">
        <v>0.16</v>
      </c>
      <c r="AW146">
        <v>-0.04</v>
      </c>
      <c r="AX146">
        <v>0.21</v>
      </c>
      <c r="AY146">
        <v>0.03</v>
      </c>
      <c r="AZ146">
        <v>0.11</v>
      </c>
      <c r="BA146" t="s">
        <v>72</v>
      </c>
    </row>
    <row r="147" spans="41:53" x14ac:dyDescent="0.2">
      <c r="AO147" t="s">
        <v>81</v>
      </c>
      <c r="AP147" t="s">
        <v>77</v>
      </c>
      <c r="AQ147" t="s">
        <v>54</v>
      </c>
      <c r="AR147">
        <v>0.27</v>
      </c>
      <c r="AS147">
        <v>-0.19</v>
      </c>
      <c r="AT147">
        <v>0.38</v>
      </c>
      <c r="AU147" s="6">
        <v>0.25</v>
      </c>
      <c r="AV147">
        <v>7.0000000000000007E-2</v>
      </c>
      <c r="AW147">
        <v>0.05</v>
      </c>
      <c r="AX147">
        <v>0.52</v>
      </c>
      <c r="AY147">
        <v>0.55000000000000004</v>
      </c>
      <c r="AZ147">
        <v>0.19</v>
      </c>
      <c r="BA147">
        <v>0.6</v>
      </c>
    </row>
    <row r="148" spans="41:53" x14ac:dyDescent="0.2">
      <c r="AQ148" t="s">
        <v>55</v>
      </c>
      <c r="AR148">
        <v>0.16</v>
      </c>
      <c r="AS148">
        <v>0.16</v>
      </c>
      <c r="AT148">
        <v>0.8</v>
      </c>
      <c r="AU148">
        <v>0.56999999999999995</v>
      </c>
      <c r="AV148">
        <v>0.76</v>
      </c>
      <c r="AW148">
        <v>0.49</v>
      </c>
      <c r="AX148">
        <v>0.84</v>
      </c>
      <c r="AY148">
        <v>0.51</v>
      </c>
      <c r="AZ148">
        <v>0.36</v>
      </c>
      <c r="BA148">
        <v>0.17</v>
      </c>
    </row>
    <row r="149" spans="41:53" x14ac:dyDescent="0.2">
      <c r="AQ149" t="s">
        <v>56</v>
      </c>
      <c r="AR149">
        <v>0.45</v>
      </c>
      <c r="AS149">
        <v>0.1</v>
      </c>
      <c r="AT149">
        <v>0.49</v>
      </c>
      <c r="AU149" s="5">
        <v>0.41</v>
      </c>
      <c r="AV149">
        <v>0.4</v>
      </c>
      <c r="AW149">
        <v>0.17</v>
      </c>
      <c r="AX149">
        <v>0.54</v>
      </c>
      <c r="AY149">
        <v>0.64</v>
      </c>
      <c r="AZ149">
        <v>-0.05</v>
      </c>
      <c r="BA149">
        <v>0.32</v>
      </c>
    </row>
    <row r="150" spans="41:53" x14ac:dyDescent="0.2">
      <c r="AQ150" t="s">
        <v>57</v>
      </c>
      <c r="AR150">
        <v>0.51</v>
      </c>
      <c r="AS150">
        <v>-7.0000000000000007E-2</v>
      </c>
      <c r="AT150">
        <v>0.13</v>
      </c>
      <c r="AU150" s="5">
        <v>-0.09</v>
      </c>
      <c r="AV150">
        <v>-0.13</v>
      </c>
      <c r="AW150">
        <v>7.0000000000000007E-2</v>
      </c>
      <c r="AX150">
        <v>0.25</v>
      </c>
      <c r="AY150">
        <v>0.71</v>
      </c>
      <c r="AZ150">
        <v>0.17</v>
      </c>
      <c r="BA150">
        <v>0.43</v>
      </c>
    </row>
    <row r="151" spans="41:53" x14ac:dyDescent="0.2">
      <c r="AO151" t="s">
        <v>81</v>
      </c>
      <c r="AP151" t="s">
        <v>78</v>
      </c>
      <c r="AQ151" t="s">
        <v>54</v>
      </c>
      <c r="AR151">
        <v>-0.12</v>
      </c>
      <c r="AS151">
        <v>-0.19</v>
      </c>
      <c r="AT151">
        <v>0.41</v>
      </c>
      <c r="AU151">
        <v>0.09</v>
      </c>
      <c r="AV151">
        <v>0.41</v>
      </c>
      <c r="AW151">
        <v>-0.19</v>
      </c>
      <c r="AX151">
        <v>7.0000000000000007E-2</v>
      </c>
      <c r="AY151">
        <v>1.07</v>
      </c>
      <c r="AZ151">
        <v>-0.08</v>
      </c>
      <c r="BA151">
        <v>0</v>
      </c>
    </row>
    <row r="152" spans="41:53" x14ac:dyDescent="0.2">
      <c r="AQ152" t="s">
        <v>55</v>
      </c>
      <c r="AR152">
        <v>0.65</v>
      </c>
      <c r="AS152">
        <v>0.19</v>
      </c>
      <c r="AT152">
        <v>0.65</v>
      </c>
      <c r="AU152">
        <v>0.51</v>
      </c>
      <c r="AV152">
        <v>0.18</v>
      </c>
      <c r="AW152">
        <v>0.63</v>
      </c>
      <c r="AX152">
        <v>1.3</v>
      </c>
      <c r="AY152">
        <v>0.48</v>
      </c>
      <c r="AZ152">
        <v>1.1200000000000001</v>
      </c>
      <c r="BA152">
        <v>0.38</v>
      </c>
    </row>
    <row r="153" spans="41:53" x14ac:dyDescent="0.2">
      <c r="AQ153" t="s">
        <v>56</v>
      </c>
      <c r="AR153">
        <v>0.7</v>
      </c>
      <c r="AS153">
        <v>0.13</v>
      </c>
      <c r="AT153">
        <v>0.52</v>
      </c>
      <c r="AU153">
        <v>0.34</v>
      </c>
      <c r="AV153">
        <v>0.02</v>
      </c>
      <c r="AW153">
        <v>0.04</v>
      </c>
      <c r="AX153">
        <v>0.77</v>
      </c>
      <c r="AY153">
        <v>0.42</v>
      </c>
      <c r="AZ153">
        <v>0.12</v>
      </c>
      <c r="BA153">
        <v>0.74</v>
      </c>
    </row>
    <row r="154" spans="41:53" x14ac:dyDescent="0.2">
      <c r="AQ154" t="s">
        <v>57</v>
      </c>
      <c r="AR154">
        <v>0.32</v>
      </c>
      <c r="AS154">
        <v>-0.06</v>
      </c>
      <c r="AT154">
        <v>0.25</v>
      </c>
      <c r="AU154">
        <v>0.19</v>
      </c>
      <c r="AV154">
        <v>-0.1</v>
      </c>
      <c r="AW154">
        <v>-0.02</v>
      </c>
      <c r="AX154">
        <v>0.02</v>
      </c>
      <c r="AY154">
        <v>0.23</v>
      </c>
      <c r="AZ154">
        <v>-0.13</v>
      </c>
      <c r="BA154">
        <v>0</v>
      </c>
    </row>
    <row r="155" spans="41:53" x14ac:dyDescent="0.2">
      <c r="AO155" t="s">
        <v>81</v>
      </c>
      <c r="AP155" t="s">
        <v>79</v>
      </c>
      <c r="AQ155" t="s">
        <v>54</v>
      </c>
      <c r="AR155">
        <v>0.62</v>
      </c>
      <c r="AS155">
        <v>-0.19</v>
      </c>
      <c r="AT155">
        <v>0.37</v>
      </c>
      <c r="AU155">
        <v>0.41</v>
      </c>
      <c r="AV155">
        <v>0.06</v>
      </c>
      <c r="AW155">
        <v>-0.02</v>
      </c>
      <c r="AX155">
        <v>0.47</v>
      </c>
      <c r="AY155">
        <v>0.44</v>
      </c>
      <c r="AZ155">
        <v>0.3</v>
      </c>
      <c r="BA155">
        <v>0.13</v>
      </c>
    </row>
    <row r="156" spans="41:53" x14ac:dyDescent="0.2">
      <c r="AQ156" t="s">
        <v>55</v>
      </c>
      <c r="AR156">
        <v>0.05</v>
      </c>
      <c r="AS156">
        <v>0.19</v>
      </c>
      <c r="AT156">
        <v>0.31</v>
      </c>
      <c r="AU156">
        <v>0.54</v>
      </c>
      <c r="AV156">
        <v>0.53</v>
      </c>
      <c r="AW156">
        <v>0.15</v>
      </c>
      <c r="AX156">
        <v>0.28000000000000003</v>
      </c>
      <c r="AY156">
        <v>0.56999999999999995</v>
      </c>
      <c r="AZ156">
        <v>0.42</v>
      </c>
      <c r="BA156">
        <v>0.4</v>
      </c>
    </row>
    <row r="157" spans="41:53" x14ac:dyDescent="0.2">
      <c r="AQ157" t="s">
        <v>56</v>
      </c>
      <c r="AR157">
        <v>0.33</v>
      </c>
      <c r="AS157">
        <v>0.13</v>
      </c>
      <c r="AT157">
        <v>0.39</v>
      </c>
      <c r="AU157">
        <v>0.36</v>
      </c>
      <c r="AV157">
        <v>0.26</v>
      </c>
      <c r="AW157">
        <v>0.11</v>
      </c>
      <c r="AX157">
        <v>0.4</v>
      </c>
      <c r="AY157">
        <v>0.44</v>
      </c>
      <c r="AZ157">
        <v>0.37</v>
      </c>
      <c r="BA157">
        <v>-0.01</v>
      </c>
    </row>
    <row r="158" spans="41:53" x14ac:dyDescent="0.2">
      <c r="AQ158" t="s">
        <v>57</v>
      </c>
      <c r="AR158">
        <v>0.61</v>
      </c>
      <c r="AS158">
        <v>-0.06</v>
      </c>
      <c r="AT158">
        <v>0.21</v>
      </c>
      <c r="AU158">
        <v>0.18</v>
      </c>
      <c r="AV158">
        <v>0.12</v>
      </c>
      <c r="AW158">
        <v>0.06</v>
      </c>
      <c r="AX158">
        <v>0.28999999999999998</v>
      </c>
      <c r="AY158">
        <v>0.41</v>
      </c>
      <c r="AZ158">
        <v>0.41</v>
      </c>
      <c r="BA158">
        <v>-0.15</v>
      </c>
    </row>
    <row r="159" spans="41:53" x14ac:dyDescent="0.2">
      <c r="AO159" t="s">
        <v>81</v>
      </c>
      <c r="AP159" t="s">
        <v>80</v>
      </c>
      <c r="AQ159" t="s">
        <v>54</v>
      </c>
      <c r="AR159">
        <v>-0.2</v>
      </c>
      <c r="AS159">
        <v>0.02</v>
      </c>
      <c r="AT159">
        <v>0.24</v>
      </c>
      <c r="AU159">
        <v>0.3</v>
      </c>
      <c r="AV159">
        <v>0.23</v>
      </c>
      <c r="AW159">
        <v>-0.05</v>
      </c>
      <c r="AX159">
        <v>0.34</v>
      </c>
      <c r="AY159">
        <v>0.3</v>
      </c>
      <c r="AZ159">
        <v>0.56999999999999995</v>
      </c>
      <c r="BA159">
        <v>0.52</v>
      </c>
    </row>
    <row r="160" spans="41:53" x14ac:dyDescent="0.2">
      <c r="AQ160" t="s">
        <v>55</v>
      </c>
      <c r="AR160">
        <v>0.62</v>
      </c>
      <c r="AS160">
        <v>0.21</v>
      </c>
      <c r="AT160">
        <v>0.25</v>
      </c>
      <c r="AU160">
        <v>0.32</v>
      </c>
      <c r="AV160">
        <v>0.47</v>
      </c>
      <c r="AW160">
        <v>0.31</v>
      </c>
      <c r="AX160">
        <v>0.14000000000000001</v>
      </c>
      <c r="AY160">
        <v>0.4</v>
      </c>
      <c r="AZ160">
        <v>0.26</v>
      </c>
      <c r="BA160">
        <v>0.43</v>
      </c>
    </row>
    <row r="161" spans="43:53" x14ac:dyDescent="0.2">
      <c r="AQ161" t="s">
        <v>56</v>
      </c>
      <c r="AR161">
        <v>0.4</v>
      </c>
      <c r="AS161">
        <v>0.13</v>
      </c>
      <c r="AT161">
        <v>0.12</v>
      </c>
      <c r="AU161">
        <v>0.27</v>
      </c>
      <c r="AV161">
        <v>0.3</v>
      </c>
      <c r="AW161">
        <v>0.08</v>
      </c>
      <c r="AX161">
        <v>0.13</v>
      </c>
      <c r="AY161">
        <v>0.24</v>
      </c>
      <c r="AZ161">
        <v>0.15</v>
      </c>
      <c r="BA161">
        <v>0.21</v>
      </c>
    </row>
    <row r="162" spans="43:53" x14ac:dyDescent="0.2">
      <c r="AQ162" t="s">
        <v>57</v>
      </c>
      <c r="AR162">
        <v>0.08</v>
      </c>
      <c r="AS162">
        <v>0.04</v>
      </c>
      <c r="AT162">
        <v>0.06</v>
      </c>
      <c r="AU162">
        <v>0.18</v>
      </c>
      <c r="AV162">
        <v>0.11</v>
      </c>
      <c r="AW162">
        <v>-7.0000000000000007E-2</v>
      </c>
      <c r="AX162">
        <v>0.13</v>
      </c>
      <c r="AY162">
        <v>0.16</v>
      </c>
      <c r="AZ162">
        <v>0.4</v>
      </c>
      <c r="BA162">
        <v>0.33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4.2.1 methane</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Sholl</dc:creator>
  <cp:lastModifiedBy>Eddie Sholl</cp:lastModifiedBy>
  <dcterms:created xsi:type="dcterms:W3CDTF">2026-02-18T00:55:42Z</dcterms:created>
  <dcterms:modified xsi:type="dcterms:W3CDTF">2026-04-13T06:12:14Z</dcterms:modified>
</cp:coreProperties>
</file>