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202300"/>
  <xr:revisionPtr revIDLastSave="0" documentId="13_ncr:1_{A75FE2D7-B37D-2043-A965-480B18CDD0F2}" xr6:coauthVersionLast="47" xr6:coauthVersionMax="47" xr10:uidLastSave="{00000000-0000-0000-0000-000000000000}"/>
  <bookViews>
    <workbookView xWindow="0" yWindow="660" windowWidth="28800" windowHeight="15940" xr2:uid="{00000000-000D-0000-FFFF-FFFF00000000}"/>
  </bookViews>
  <sheets>
    <sheet name="4.2.1" sheetId="1" r:id="rId1"/>
  </sheets>
  <externalReferences>
    <externalReference r:id="rId2"/>
  </externalReferences>
  <definedNames>
    <definedName name="_xlnm._FilterDatabase" localSheetId="0" hidden="1">'4.2.1'!$U$11:$V$890</definedName>
    <definedName name="ExternalData_1" localSheetId="0" hidden="1">'4.2.1'!$BQ$65:$BS$105</definedName>
    <definedName name="ExternalData_2" localSheetId="0" hidden="1">'4.2.1'!$BQ$19:$BS$59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8" i="1" l="1"/>
  <c r="BF901" i="1" s="1"/>
  <c r="AU902" i="1"/>
  <c r="AU903" i="1"/>
  <c r="AU904" i="1"/>
  <c r="AU905" i="1"/>
  <c r="AU906" i="1"/>
  <c r="AU907" i="1"/>
  <c r="AU908" i="1"/>
  <c r="AU909" i="1"/>
  <c r="AU910" i="1"/>
  <c r="AU911" i="1"/>
  <c r="AU912" i="1"/>
  <c r="AU901" i="1"/>
  <c r="AU890" i="1"/>
  <c r="AU889" i="1"/>
  <c r="AU888" i="1"/>
  <c r="AU887" i="1"/>
  <c r="AU886" i="1"/>
  <c r="AU885" i="1"/>
  <c r="AU884" i="1"/>
  <c r="AU883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71" i="1"/>
  <c r="AT77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40" i="1"/>
  <c r="AU41" i="1"/>
  <c r="AU42" i="1"/>
  <c r="AU43" i="1"/>
  <c r="AU44" i="1"/>
  <c r="AU45" i="1"/>
  <c r="AU46" i="1"/>
  <c r="AU47" i="1"/>
  <c r="AU48" i="1"/>
  <c r="AU49" i="1"/>
  <c r="AU50" i="1"/>
  <c r="AU30" i="1"/>
  <c r="AU31" i="1"/>
  <c r="AU32" i="1"/>
  <c r="AU33" i="1"/>
  <c r="AU34" i="1"/>
  <c r="AU35" i="1"/>
  <c r="AU36" i="1"/>
  <c r="AU37" i="1"/>
  <c r="AU38" i="1"/>
  <c r="AU39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11" i="1"/>
  <c r="O908" i="1"/>
  <c r="O907" i="1"/>
  <c r="O906" i="1"/>
  <c r="O904" i="1"/>
  <c r="O905" i="1"/>
  <c r="O903" i="1"/>
  <c r="O902" i="1"/>
  <c r="O901" i="1"/>
  <c r="O912" i="1"/>
  <c r="M906" i="1"/>
  <c r="O911" i="1"/>
  <c r="O910" i="1"/>
  <c r="O909" i="1"/>
  <c r="Y906" i="1"/>
  <c r="Z906" i="1" s="1"/>
  <c r="M912" i="1"/>
  <c r="M911" i="1"/>
  <c r="M910" i="1"/>
  <c r="M909" i="1"/>
  <c r="M908" i="1"/>
  <c r="Y908" i="1" s="1"/>
  <c r="M907" i="1"/>
  <c r="Q907" i="1" s="1"/>
  <c r="M905" i="1"/>
  <c r="M904" i="1"/>
  <c r="M903" i="1"/>
  <c r="M902" i="1"/>
  <c r="M901" i="1"/>
  <c r="Q901" i="1" s="1"/>
  <c r="AK901" i="1"/>
  <c r="AK906" i="1" s="1"/>
  <c r="AE902" i="1"/>
  <c r="BB912" i="1"/>
  <c r="AY912" i="1"/>
  <c r="AH912" i="1"/>
  <c r="AG912" i="1"/>
  <c r="AE912" i="1"/>
  <c r="AC912" i="1"/>
  <c r="X912" i="1"/>
  <c r="Y912" i="1" s="1"/>
  <c r="W912" i="1"/>
  <c r="V912" i="1"/>
  <c r="AS912" i="1" s="1"/>
  <c r="U912" i="1"/>
  <c r="BB911" i="1"/>
  <c r="AY911" i="1"/>
  <c r="AS911" i="1"/>
  <c r="AM911" i="1"/>
  <c r="AH911" i="1"/>
  <c r="AG911" i="1"/>
  <c r="AE911" i="1"/>
  <c r="AC911" i="1"/>
  <c r="Y911" i="1"/>
  <c r="AF911" i="1" s="1"/>
  <c r="X911" i="1"/>
  <c r="W911" i="1"/>
  <c r="U911" i="1"/>
  <c r="BB910" i="1"/>
  <c r="AY910" i="1"/>
  <c r="AS910" i="1"/>
  <c r="AM910" i="1"/>
  <c r="AH910" i="1"/>
  <c r="AG910" i="1"/>
  <c r="AE910" i="1"/>
  <c r="AC910" i="1"/>
  <c r="Y910" i="1"/>
  <c r="X910" i="1"/>
  <c r="W910" i="1"/>
  <c r="U910" i="1"/>
  <c r="BB909" i="1"/>
  <c r="AY909" i="1"/>
  <c r="AS909" i="1"/>
  <c r="AM909" i="1"/>
  <c r="AH909" i="1"/>
  <c r="AG909" i="1"/>
  <c r="AE909" i="1"/>
  <c r="AC909" i="1"/>
  <c r="X909" i="1"/>
  <c r="W909" i="1"/>
  <c r="U909" i="1"/>
  <c r="BB908" i="1"/>
  <c r="AY908" i="1"/>
  <c r="AS908" i="1"/>
  <c r="AM908" i="1"/>
  <c r="AH908" i="1"/>
  <c r="AG908" i="1"/>
  <c r="AE908" i="1"/>
  <c r="AC908" i="1"/>
  <c r="X908" i="1"/>
  <c r="W908" i="1"/>
  <c r="BB907" i="1"/>
  <c r="AY907" i="1"/>
  <c r="AS907" i="1"/>
  <c r="AL907" i="1"/>
  <c r="AH907" i="1"/>
  <c r="AG907" i="1"/>
  <c r="AE907" i="1"/>
  <c r="AC907" i="1"/>
  <c r="X907" i="1"/>
  <c r="Y907" i="1" s="1"/>
  <c r="W907" i="1"/>
  <c r="BB906" i="1"/>
  <c r="AY906" i="1"/>
  <c r="AS906" i="1"/>
  <c r="AM906" i="1"/>
  <c r="AH906" i="1"/>
  <c r="AG906" i="1"/>
  <c r="AE906" i="1"/>
  <c r="AC906" i="1"/>
  <c r="X906" i="1"/>
  <c r="W906" i="1"/>
  <c r="BB905" i="1"/>
  <c r="AY905" i="1"/>
  <c r="AS905" i="1"/>
  <c r="AL905" i="1"/>
  <c r="AI905" i="1"/>
  <c r="AH905" i="1"/>
  <c r="AG905" i="1"/>
  <c r="AE905" i="1"/>
  <c r="AC905" i="1"/>
  <c r="X905" i="1"/>
  <c r="W905" i="1"/>
  <c r="BB904" i="1"/>
  <c r="AY904" i="1"/>
  <c r="AM904" i="1"/>
  <c r="AK904" i="1"/>
  <c r="AH904" i="1"/>
  <c r="AG904" i="1"/>
  <c r="AE904" i="1"/>
  <c r="AC904" i="1"/>
  <c r="X904" i="1"/>
  <c r="W904" i="1"/>
  <c r="V904" i="1"/>
  <c r="AS904" i="1" s="1"/>
  <c r="BB903" i="1"/>
  <c r="AY903" i="1"/>
  <c r="AM903" i="1"/>
  <c r="AK903" i="1"/>
  <c r="AH903" i="1"/>
  <c r="AG903" i="1"/>
  <c r="AE903" i="1"/>
  <c r="AC903" i="1"/>
  <c r="X903" i="1"/>
  <c r="W903" i="1"/>
  <c r="V903" i="1"/>
  <c r="AS903" i="1" s="1"/>
  <c r="BB902" i="1"/>
  <c r="AY902" i="1"/>
  <c r="AM902" i="1"/>
  <c r="AK902" i="1"/>
  <c r="AH902" i="1"/>
  <c r="AG902" i="1"/>
  <c r="AC902" i="1"/>
  <c r="X902" i="1"/>
  <c r="W902" i="1"/>
  <c r="V902" i="1"/>
  <c r="AS902" i="1" s="1"/>
  <c r="BI901" i="1"/>
  <c r="BH901" i="1"/>
  <c r="BD901" i="1"/>
  <c r="BB901" i="1"/>
  <c r="AZ901" i="1"/>
  <c r="AY901" i="1"/>
  <c r="AM901" i="1"/>
  <c r="AM905" i="1" s="1"/>
  <c r="AL901" i="1"/>
  <c r="AL911" i="1" s="1"/>
  <c r="AK912" i="1"/>
  <c r="AI901" i="1"/>
  <c r="AI906" i="1" s="1"/>
  <c r="AH901" i="1"/>
  <c r="AG901" i="1"/>
  <c r="AE901" i="1"/>
  <c r="AC901" i="1"/>
  <c r="X901" i="1"/>
  <c r="W901" i="1"/>
  <c r="V901" i="1"/>
  <c r="U901" i="1"/>
  <c r="AS901" i="1" s="1"/>
  <c r="P912" i="1"/>
  <c r="Q912" i="1" s="1"/>
  <c r="P911" i="1"/>
  <c r="Q911" i="1"/>
  <c r="P910" i="1"/>
  <c r="P909" i="1"/>
  <c r="B909" i="1"/>
  <c r="P908" i="1"/>
  <c r="B908" i="1"/>
  <c r="P907" i="1"/>
  <c r="B907" i="1"/>
  <c r="P906" i="1"/>
  <c r="P905" i="1"/>
  <c r="P904" i="1"/>
  <c r="B904" i="1"/>
  <c r="Q903" i="1"/>
  <c r="P903" i="1"/>
  <c r="B903" i="1"/>
  <c r="P902" i="1"/>
  <c r="P901" i="1"/>
  <c r="U878" i="1"/>
  <c r="U877" i="1"/>
  <c r="U876" i="1"/>
  <c r="V870" i="1"/>
  <c r="V869" i="1"/>
  <c r="V868" i="1"/>
  <c r="V772" i="1"/>
  <c r="V820" i="1"/>
  <c r="V867" i="1"/>
  <c r="V878" i="1"/>
  <c r="U875" i="1"/>
  <c r="U867" i="1"/>
  <c r="V830" i="1"/>
  <c r="U830" i="1"/>
  <c r="U829" i="1"/>
  <c r="U828" i="1"/>
  <c r="U827" i="1"/>
  <c r="V822" i="1"/>
  <c r="V821" i="1"/>
  <c r="V819" i="1"/>
  <c r="U819" i="1"/>
  <c r="V782" i="1"/>
  <c r="U782" i="1"/>
  <c r="U781" i="1"/>
  <c r="U780" i="1"/>
  <c r="U779" i="1"/>
  <c r="V774" i="1"/>
  <c r="V773" i="1"/>
  <c r="V771" i="1"/>
  <c r="U771" i="1"/>
  <c r="V745" i="1"/>
  <c r="V744" i="1"/>
  <c r="U744" i="1"/>
  <c r="V743" i="1"/>
  <c r="U743" i="1"/>
  <c r="U730" i="1"/>
  <c r="V729" i="1"/>
  <c r="V728" i="1"/>
  <c r="U728" i="1"/>
  <c r="V727" i="1"/>
  <c r="U727" i="1"/>
  <c r="V713" i="1"/>
  <c r="V712" i="1"/>
  <c r="U712" i="1"/>
  <c r="U711" i="1"/>
  <c r="V695" i="1"/>
  <c r="V694" i="1"/>
  <c r="U694" i="1"/>
  <c r="V693" i="1"/>
  <c r="U693" i="1"/>
  <c r="U680" i="1"/>
  <c r="V679" i="1"/>
  <c r="V678" i="1"/>
  <c r="U678" i="1"/>
  <c r="V677" i="1"/>
  <c r="U677" i="1"/>
  <c r="V663" i="1"/>
  <c r="V662" i="1"/>
  <c r="U662" i="1"/>
  <c r="U661" i="1"/>
  <c r="V645" i="1"/>
  <c r="V644" i="1"/>
  <c r="U644" i="1"/>
  <c r="V643" i="1"/>
  <c r="U643" i="1"/>
  <c r="U630" i="1"/>
  <c r="V629" i="1"/>
  <c r="V628" i="1"/>
  <c r="U628" i="1"/>
  <c r="V627" i="1"/>
  <c r="U627" i="1"/>
  <c r="V613" i="1"/>
  <c r="V612" i="1"/>
  <c r="U612" i="1"/>
  <c r="U611" i="1"/>
  <c r="V595" i="1"/>
  <c r="V594" i="1"/>
  <c r="U594" i="1"/>
  <c r="U593" i="1"/>
  <c r="V579" i="1"/>
  <c r="U579" i="1"/>
  <c r="U578" i="1"/>
  <c r="V562" i="1"/>
  <c r="U562" i="1"/>
  <c r="U561" i="1"/>
  <c r="V495" i="1"/>
  <c r="V494" i="1"/>
  <c r="U494" i="1"/>
  <c r="V493" i="1"/>
  <c r="U493" i="1"/>
  <c r="U480" i="1"/>
  <c r="V479" i="1"/>
  <c r="V478" i="1"/>
  <c r="U478" i="1"/>
  <c r="V477" i="1"/>
  <c r="U477" i="1"/>
  <c r="V463" i="1"/>
  <c r="V462" i="1"/>
  <c r="U462" i="1"/>
  <c r="U461" i="1"/>
  <c r="V545" i="1"/>
  <c r="V544" i="1"/>
  <c r="U544" i="1"/>
  <c r="U543" i="1"/>
  <c r="V529" i="1"/>
  <c r="U529" i="1"/>
  <c r="U528" i="1"/>
  <c r="V512" i="1"/>
  <c r="U512" i="1"/>
  <c r="U511" i="1"/>
  <c r="V445" i="1"/>
  <c r="V444" i="1"/>
  <c r="U444" i="1"/>
  <c r="V443" i="1"/>
  <c r="U443" i="1"/>
  <c r="U430" i="1"/>
  <c r="V429" i="1"/>
  <c r="V428" i="1"/>
  <c r="U428" i="1"/>
  <c r="V427" i="1"/>
  <c r="U427" i="1"/>
  <c r="V413" i="1"/>
  <c r="V412" i="1"/>
  <c r="U412" i="1"/>
  <c r="U411" i="1"/>
  <c r="V395" i="1"/>
  <c r="V394" i="1"/>
  <c r="U394" i="1"/>
  <c r="V393" i="1"/>
  <c r="U393" i="1"/>
  <c r="U380" i="1"/>
  <c r="V379" i="1"/>
  <c r="V378" i="1"/>
  <c r="U378" i="1"/>
  <c r="V377" i="1"/>
  <c r="U377" i="1"/>
  <c r="V363" i="1"/>
  <c r="V362" i="1"/>
  <c r="U362" i="1"/>
  <c r="U361" i="1"/>
  <c r="V345" i="1"/>
  <c r="V344" i="1"/>
  <c r="U344" i="1"/>
  <c r="V343" i="1"/>
  <c r="U343" i="1"/>
  <c r="U330" i="1"/>
  <c r="V329" i="1"/>
  <c r="V328" i="1"/>
  <c r="U328" i="1"/>
  <c r="V327" i="1"/>
  <c r="U327" i="1"/>
  <c r="V313" i="1"/>
  <c r="V312" i="1"/>
  <c r="U312" i="1"/>
  <c r="U311" i="1"/>
  <c r="V295" i="1"/>
  <c r="V294" i="1"/>
  <c r="U294" i="1"/>
  <c r="U293" i="1"/>
  <c r="V279" i="1"/>
  <c r="U279" i="1"/>
  <c r="U278" i="1"/>
  <c r="V262" i="1"/>
  <c r="U262" i="1"/>
  <c r="U261" i="1"/>
  <c r="V195" i="1"/>
  <c r="V194" i="1"/>
  <c r="U194" i="1"/>
  <c r="V193" i="1"/>
  <c r="U193" i="1"/>
  <c r="U180" i="1"/>
  <c r="V179" i="1"/>
  <c r="V178" i="1"/>
  <c r="U178" i="1"/>
  <c r="V177" i="1"/>
  <c r="U177" i="1"/>
  <c r="V163" i="1"/>
  <c r="U162" i="1"/>
  <c r="V162" i="1"/>
  <c r="U161" i="1"/>
  <c r="V245" i="1"/>
  <c r="V244" i="1"/>
  <c r="U244" i="1"/>
  <c r="U243" i="1"/>
  <c r="V229" i="1"/>
  <c r="U229" i="1"/>
  <c r="U228" i="1"/>
  <c r="V212" i="1"/>
  <c r="U212" i="1"/>
  <c r="U211" i="1"/>
  <c r="V145" i="1"/>
  <c r="V144" i="1"/>
  <c r="U144" i="1"/>
  <c r="U143" i="1"/>
  <c r="V129" i="1"/>
  <c r="U129" i="1"/>
  <c r="U128" i="1"/>
  <c r="V112" i="1"/>
  <c r="U112" i="1"/>
  <c r="U111" i="1"/>
  <c r="V95" i="1"/>
  <c r="U94" i="1"/>
  <c r="V94" i="1"/>
  <c r="U93" i="1"/>
  <c r="U79" i="1"/>
  <c r="V79" i="1"/>
  <c r="U78" i="1"/>
  <c r="U62" i="1"/>
  <c r="V62" i="1"/>
  <c r="U61" i="1"/>
  <c r="B413" i="1"/>
  <c r="B414" i="1"/>
  <c r="B779" i="1"/>
  <c r="B778" i="1"/>
  <c r="B777" i="1"/>
  <c r="B774" i="1"/>
  <c r="B773" i="1"/>
  <c r="AS860" i="1" s="1"/>
  <c r="B719" i="1"/>
  <c r="B718" i="1"/>
  <c r="B717" i="1"/>
  <c r="B714" i="1"/>
  <c r="B713" i="1"/>
  <c r="AS741" i="1" s="1"/>
  <c r="B669" i="1"/>
  <c r="B668" i="1"/>
  <c r="B667" i="1"/>
  <c r="B664" i="1"/>
  <c r="B663" i="1"/>
  <c r="AS692" i="1" s="1"/>
  <c r="B619" i="1"/>
  <c r="B618" i="1"/>
  <c r="B617" i="1"/>
  <c r="B614" i="1"/>
  <c r="B613" i="1"/>
  <c r="B569" i="1"/>
  <c r="B568" i="1"/>
  <c r="B567" i="1"/>
  <c r="B564" i="1"/>
  <c r="B563" i="1"/>
  <c r="B519" i="1"/>
  <c r="B518" i="1"/>
  <c r="B517" i="1"/>
  <c r="B514" i="1"/>
  <c r="B513" i="1"/>
  <c r="AS514" i="1" s="1"/>
  <c r="B469" i="1"/>
  <c r="B468" i="1"/>
  <c r="B467" i="1"/>
  <c r="B464" i="1"/>
  <c r="B463" i="1"/>
  <c r="B419" i="1"/>
  <c r="B418" i="1"/>
  <c r="B417" i="1"/>
  <c r="B369" i="1"/>
  <c r="B368" i="1"/>
  <c r="B367" i="1"/>
  <c r="B364" i="1"/>
  <c r="B363" i="1"/>
  <c r="B319" i="1"/>
  <c r="B318" i="1"/>
  <c r="B317" i="1"/>
  <c r="B314" i="1"/>
  <c r="B313" i="1"/>
  <c r="B269" i="1"/>
  <c r="B268" i="1"/>
  <c r="B267" i="1"/>
  <c r="B264" i="1"/>
  <c r="B263" i="1"/>
  <c r="AS289" i="1" s="1"/>
  <c r="B219" i="1"/>
  <c r="B218" i="1"/>
  <c r="B217" i="1"/>
  <c r="B214" i="1"/>
  <c r="B213" i="1"/>
  <c r="AS220" i="1" s="1"/>
  <c r="B169" i="1"/>
  <c r="B168" i="1"/>
  <c r="B167" i="1"/>
  <c r="B164" i="1"/>
  <c r="B163" i="1"/>
  <c r="AS193" i="1" s="1"/>
  <c r="B119" i="1"/>
  <c r="B118" i="1"/>
  <c r="B117" i="1"/>
  <c r="B114" i="1"/>
  <c r="B113" i="1"/>
  <c r="B69" i="1"/>
  <c r="B68" i="1"/>
  <c r="B67" i="1"/>
  <c r="B64" i="1"/>
  <c r="B63" i="1"/>
  <c r="B19" i="1"/>
  <c r="B18" i="1"/>
  <c r="B17" i="1"/>
  <c r="B14" i="1"/>
  <c r="B13" i="1"/>
  <c r="AS42" i="1" s="1"/>
  <c r="AK771" i="1"/>
  <c r="Y909" i="1" l="1"/>
  <c r="AF909" i="1" s="1"/>
  <c r="Q908" i="1"/>
  <c r="Y901" i="1"/>
  <c r="Q909" i="1"/>
  <c r="Y904" i="1"/>
  <c r="Z904" i="1" s="1"/>
  <c r="AT904" i="1" s="1"/>
  <c r="AV904" i="1" s="1"/>
  <c r="Q905" i="1"/>
  <c r="Y905" i="1"/>
  <c r="AF905" i="1" s="1"/>
  <c r="Y903" i="1"/>
  <c r="Z903" i="1" s="1"/>
  <c r="AT903" i="1" s="1"/>
  <c r="AV903" i="1" s="1"/>
  <c r="Y902" i="1"/>
  <c r="Z902" i="1" s="1"/>
  <c r="AT902" i="1" s="1"/>
  <c r="AV902" i="1" s="1"/>
  <c r="AT906" i="1"/>
  <c r="AV906" i="1" s="1"/>
  <c r="AT911" i="1"/>
  <c r="AV911" i="1" s="1"/>
  <c r="AF902" i="1"/>
  <c r="AO911" i="1"/>
  <c r="Z912" i="1"/>
  <c r="AT912" i="1" s="1"/>
  <c r="AV912" i="1" s="1"/>
  <c r="AF912" i="1"/>
  <c r="AF901" i="1"/>
  <c r="Z901" i="1"/>
  <c r="AT901" i="1" s="1"/>
  <c r="AV901" i="1" s="1"/>
  <c r="AF907" i="1"/>
  <c r="Z907" i="1"/>
  <c r="AT907" i="1" s="1"/>
  <c r="AV907" i="1" s="1"/>
  <c r="Z905" i="1"/>
  <c r="AT905" i="1" s="1"/>
  <c r="AV905" i="1" s="1"/>
  <c r="AF904" i="1"/>
  <c r="AL912" i="1"/>
  <c r="AI902" i="1"/>
  <c r="AI903" i="1"/>
  <c r="AI904" i="1"/>
  <c r="AK905" i="1"/>
  <c r="AL906" i="1"/>
  <c r="AM907" i="1"/>
  <c r="AM912" i="1"/>
  <c r="AL902" i="1"/>
  <c r="AL903" i="1"/>
  <c r="AL904" i="1"/>
  <c r="Z908" i="1"/>
  <c r="AT908" i="1" s="1"/>
  <c r="AV908" i="1" s="1"/>
  <c r="Z909" i="1"/>
  <c r="AT909" i="1" s="1"/>
  <c r="AV909" i="1" s="1"/>
  <c r="Z910" i="1"/>
  <c r="Z911" i="1"/>
  <c r="AF906" i="1"/>
  <c r="AI908" i="1"/>
  <c r="AI909" i="1"/>
  <c r="AI910" i="1"/>
  <c r="AI911" i="1"/>
  <c r="AF908" i="1"/>
  <c r="AF910" i="1"/>
  <c r="AI907" i="1"/>
  <c r="AK908" i="1"/>
  <c r="AK909" i="1"/>
  <c r="AK910" i="1"/>
  <c r="AK911" i="1"/>
  <c r="AI912" i="1"/>
  <c r="AK907" i="1"/>
  <c r="AL908" i="1"/>
  <c r="AL909" i="1"/>
  <c r="AO909" i="1" s="1"/>
  <c r="AL910" i="1"/>
  <c r="Q904" i="1"/>
  <c r="Q906" i="1"/>
  <c r="Q910" i="1"/>
  <c r="Q902" i="1"/>
  <c r="AS594" i="1"/>
  <c r="AS789" i="1"/>
  <c r="AS69" i="1"/>
  <c r="AS564" i="1"/>
  <c r="AS93" i="1"/>
  <c r="AS879" i="1"/>
  <c r="AS433" i="1"/>
  <c r="AS561" i="1"/>
  <c r="AS348" i="1"/>
  <c r="AS293" i="1"/>
  <c r="AS342" i="1"/>
  <c r="AS415" i="1"/>
  <c r="AS790" i="1"/>
  <c r="AS844" i="1"/>
  <c r="AS816" i="1"/>
  <c r="AS121" i="1"/>
  <c r="AS643" i="1"/>
  <c r="AS535" i="1"/>
  <c r="AS882" i="1"/>
  <c r="AS843" i="1"/>
  <c r="AS528" i="1"/>
  <c r="AS819" i="1"/>
  <c r="AS795" i="1"/>
  <c r="AS375" i="1"/>
  <c r="AS141" i="1"/>
  <c r="AS114" i="1"/>
  <c r="AS624" i="1"/>
  <c r="AS122" i="1"/>
  <c r="AS330" i="1"/>
  <c r="AS617" i="1"/>
  <c r="AS880" i="1"/>
  <c r="AS616" i="1"/>
  <c r="AS491" i="1"/>
  <c r="AS288" i="1"/>
  <c r="AS586" i="1"/>
  <c r="AS779" i="1"/>
  <c r="AS61" i="1"/>
  <c r="AS94" i="1"/>
  <c r="AS148" i="1"/>
  <c r="AS711" i="1"/>
  <c r="AS462" i="1"/>
  <c r="AS276" i="1"/>
  <c r="AS568" i="1"/>
  <c r="AS818" i="1"/>
  <c r="AS75" i="1"/>
  <c r="AS271" i="1"/>
  <c r="AS622" i="1"/>
  <c r="AS808" i="1"/>
  <c r="AS227" i="1"/>
  <c r="AS386" i="1"/>
  <c r="AS735" i="1"/>
  <c r="AS717" i="1"/>
  <c r="AS92" i="1"/>
  <c r="AS471" i="1"/>
  <c r="AS562" i="1"/>
  <c r="AS716" i="1"/>
  <c r="AS73" i="1"/>
  <c r="AS225" i="1"/>
  <c r="AS376" i="1"/>
  <c r="AS470" i="1"/>
  <c r="AS600" i="1"/>
  <c r="AS749" i="1"/>
  <c r="AS86" i="1"/>
  <c r="AS224" i="1"/>
  <c r="AS488" i="1"/>
  <c r="AS577" i="1"/>
  <c r="AS748" i="1"/>
  <c r="AS480" i="1"/>
  <c r="AS661" i="1"/>
  <c r="AS712" i="1"/>
  <c r="AS382" i="1"/>
  <c r="AS495" i="1"/>
  <c r="AS76" i="1"/>
  <c r="AS127" i="1"/>
  <c r="AS184" i="1"/>
  <c r="AS234" i="1"/>
  <c r="AS216" i="1"/>
  <c r="AS292" i="1"/>
  <c r="AS367" i="1"/>
  <c r="AS387" i="1"/>
  <c r="AS477" i="1"/>
  <c r="AS500" i="1"/>
  <c r="AS547" i="1"/>
  <c r="AS587" i="1"/>
  <c r="AS569" i="1"/>
  <c r="AS635" i="1"/>
  <c r="AS736" i="1"/>
  <c r="AS718" i="1"/>
  <c r="AS845" i="1"/>
  <c r="AS211" i="1"/>
  <c r="AS479" i="1"/>
  <c r="AS499" i="1"/>
  <c r="AS581" i="1"/>
  <c r="AS734" i="1"/>
  <c r="AS442" i="1"/>
  <c r="AS242" i="1"/>
  <c r="AS396" i="1"/>
  <c r="AS595" i="1"/>
  <c r="AS726" i="1"/>
  <c r="AS730" i="1"/>
  <c r="AS85" i="1"/>
  <c r="AS67" i="1"/>
  <c r="AS140" i="1"/>
  <c r="AS237" i="1"/>
  <c r="AS219" i="1"/>
  <c r="AS270" i="1"/>
  <c r="AS374" i="1"/>
  <c r="AS395" i="1"/>
  <c r="AS487" i="1"/>
  <c r="AS468" i="1"/>
  <c r="AS490" i="1"/>
  <c r="AS576" i="1"/>
  <c r="AS598" i="1"/>
  <c r="AS668" i="1"/>
  <c r="AS725" i="1"/>
  <c r="AS747" i="1"/>
  <c r="AS774" i="1"/>
  <c r="AS866" i="1"/>
  <c r="AS363" i="1"/>
  <c r="AS212" i="1"/>
  <c r="AS74" i="1"/>
  <c r="AS226" i="1"/>
  <c r="AS398" i="1"/>
  <c r="AS91" i="1"/>
  <c r="AS244" i="1"/>
  <c r="AS397" i="1"/>
  <c r="AS492" i="1"/>
  <c r="AS578" i="1"/>
  <c r="AS727" i="1"/>
  <c r="AS349" i="1"/>
  <c r="AS68" i="1"/>
  <c r="AS469" i="1"/>
  <c r="AS599" i="1"/>
  <c r="AS100" i="1"/>
  <c r="AS84" i="1"/>
  <c r="AS66" i="1"/>
  <c r="AS177" i="1"/>
  <c r="AS236" i="1"/>
  <c r="AS218" i="1"/>
  <c r="AS298" i="1"/>
  <c r="AS369" i="1"/>
  <c r="AS389" i="1"/>
  <c r="AS482" i="1"/>
  <c r="AS463" i="1"/>
  <c r="AS525" i="1"/>
  <c r="AS589" i="1"/>
  <c r="AS571" i="1"/>
  <c r="AS641" i="1"/>
  <c r="AS690" i="1"/>
  <c r="AS724" i="1"/>
  <c r="AS746" i="1"/>
  <c r="AS773" i="1"/>
  <c r="AS861" i="1"/>
  <c r="AS243" i="1"/>
  <c r="AS377" i="1"/>
  <c r="AS394" i="1"/>
  <c r="AS693" i="1"/>
  <c r="AS246" i="1"/>
  <c r="AS366" i="1"/>
  <c r="AS476" i="1"/>
  <c r="AS245" i="1"/>
  <c r="AS494" i="1"/>
  <c r="AS685" i="1"/>
  <c r="AS628" i="1"/>
  <c r="AS99" i="1"/>
  <c r="AS83" i="1"/>
  <c r="AS65" i="1"/>
  <c r="AS200" i="1"/>
  <c r="AS235" i="1"/>
  <c r="AS217" i="1"/>
  <c r="AS368" i="1"/>
  <c r="AS388" i="1"/>
  <c r="AS481" i="1"/>
  <c r="AS588" i="1"/>
  <c r="AS570" i="1"/>
  <c r="AS636" i="1"/>
  <c r="AS737" i="1"/>
  <c r="AS719" i="1"/>
  <c r="AS740" i="1"/>
  <c r="AS825" i="1"/>
  <c r="AS78" i="1"/>
  <c r="AS744" i="1"/>
  <c r="AS426" i="1"/>
  <c r="AS662" i="1"/>
  <c r="AS531" i="1"/>
  <c r="AS539" i="1"/>
  <c r="AS548" i="1"/>
  <c r="AS518" i="1"/>
  <c r="AS526" i="1"/>
  <c r="AS532" i="1"/>
  <c r="AS540" i="1"/>
  <c r="AS549" i="1"/>
  <c r="AS519" i="1"/>
  <c r="AS527" i="1"/>
  <c r="AS533" i="1"/>
  <c r="AS541" i="1"/>
  <c r="AS550" i="1"/>
  <c r="AS520" i="1"/>
  <c r="AS511" i="1"/>
  <c r="AS534" i="1"/>
  <c r="AS542" i="1"/>
  <c r="AS512" i="1"/>
  <c r="AS521" i="1"/>
  <c r="AS194" i="1"/>
  <c r="AS264" i="1"/>
  <c r="AS272" i="1"/>
  <c r="AS282" i="1"/>
  <c r="AS290" i="1"/>
  <c r="AS295" i="1"/>
  <c r="AS265" i="1"/>
  <c r="AS273" i="1"/>
  <c r="AS283" i="1"/>
  <c r="AS296" i="1"/>
  <c r="AS266" i="1"/>
  <c r="AS274" i="1"/>
  <c r="AS284" i="1"/>
  <c r="AS297" i="1"/>
  <c r="AS267" i="1"/>
  <c r="AS275" i="1"/>
  <c r="AS285" i="1"/>
  <c r="AS885" i="1"/>
  <c r="AS838" i="1"/>
  <c r="AS846" i="1"/>
  <c r="AS854" i="1"/>
  <c r="AS862" i="1"/>
  <c r="AS873" i="1"/>
  <c r="AS804" i="1"/>
  <c r="AS812" i="1"/>
  <c r="AS821" i="1"/>
  <c r="AS831" i="1"/>
  <c r="AS775" i="1"/>
  <c r="AS783" i="1"/>
  <c r="AS791" i="1"/>
  <c r="AS799" i="1"/>
  <c r="AS881" i="1"/>
  <c r="AS886" i="1"/>
  <c r="AS839" i="1"/>
  <c r="AS847" i="1"/>
  <c r="AS855" i="1"/>
  <c r="AS863" i="1"/>
  <c r="AS874" i="1"/>
  <c r="AS805" i="1"/>
  <c r="AS813" i="1"/>
  <c r="AS822" i="1"/>
  <c r="AS832" i="1"/>
  <c r="AS776" i="1"/>
  <c r="AS784" i="1"/>
  <c r="AS792" i="1"/>
  <c r="AS800" i="1"/>
  <c r="AS889" i="1"/>
  <c r="AS887" i="1"/>
  <c r="AS840" i="1"/>
  <c r="AS848" i="1"/>
  <c r="AS856" i="1"/>
  <c r="AS864" i="1"/>
  <c r="AS875" i="1"/>
  <c r="AS806" i="1"/>
  <c r="AS814" i="1"/>
  <c r="AS823" i="1"/>
  <c r="AS833" i="1"/>
  <c r="AS777" i="1"/>
  <c r="AS785" i="1"/>
  <c r="AS793" i="1"/>
  <c r="AS801" i="1"/>
  <c r="AS842" i="1"/>
  <c r="AS888" i="1"/>
  <c r="AS841" i="1"/>
  <c r="AS849" i="1"/>
  <c r="AS857" i="1"/>
  <c r="AS865" i="1"/>
  <c r="AS876" i="1"/>
  <c r="AS807" i="1"/>
  <c r="AS815" i="1"/>
  <c r="AS824" i="1"/>
  <c r="AS834" i="1"/>
  <c r="AS778" i="1"/>
  <c r="AS786" i="1"/>
  <c r="AS794" i="1"/>
  <c r="AS802" i="1"/>
  <c r="AS850" i="1"/>
  <c r="AS870" i="1"/>
  <c r="AS120" i="1"/>
  <c r="AS139" i="1"/>
  <c r="AS170" i="1"/>
  <c r="AS287" i="1"/>
  <c r="AS269" i="1"/>
  <c r="AS291" i="1"/>
  <c r="AS321" i="1"/>
  <c r="AS339" i="1"/>
  <c r="AS424" i="1"/>
  <c r="AS523" i="1"/>
  <c r="AS545" i="1"/>
  <c r="AS634" i="1"/>
  <c r="AS615" i="1"/>
  <c r="AS677" i="1"/>
  <c r="AS699" i="1"/>
  <c r="AS771" i="1"/>
  <c r="AS788" i="1"/>
  <c r="AS772" i="1"/>
  <c r="AS817" i="1"/>
  <c r="AS878" i="1"/>
  <c r="AS859" i="1"/>
  <c r="AS837" i="1"/>
  <c r="AS312" i="1"/>
  <c r="AS343" i="1"/>
  <c r="AS427" i="1"/>
  <c r="AS529" i="1"/>
  <c r="AS493" i="1"/>
  <c r="AS611" i="1"/>
  <c r="AS629" i="1"/>
  <c r="AS743" i="1"/>
  <c r="AS820" i="1"/>
  <c r="AS867" i="1"/>
  <c r="AS869" i="1"/>
  <c r="AS188" i="1"/>
  <c r="AS196" i="1"/>
  <c r="AS165" i="1"/>
  <c r="AS173" i="1"/>
  <c r="AS183" i="1"/>
  <c r="AS189" i="1"/>
  <c r="AS197" i="1"/>
  <c r="AS166" i="1"/>
  <c r="AS174" i="1"/>
  <c r="AS161" i="1"/>
  <c r="AS190" i="1"/>
  <c r="AS198" i="1"/>
  <c r="AS167" i="1"/>
  <c r="AS175" i="1"/>
  <c r="AS191" i="1"/>
  <c r="AS199" i="1"/>
  <c r="AS168" i="1"/>
  <c r="AS176" i="1"/>
  <c r="AS437" i="1"/>
  <c r="AS447" i="1"/>
  <c r="AS419" i="1"/>
  <c r="AS438" i="1"/>
  <c r="AS448" i="1"/>
  <c r="AS420" i="1"/>
  <c r="AS429" i="1"/>
  <c r="AS439" i="1"/>
  <c r="AS449" i="1"/>
  <c r="AS421" i="1"/>
  <c r="AS431" i="1"/>
  <c r="AS440" i="1"/>
  <c r="AS414" i="1"/>
  <c r="AS422" i="1"/>
  <c r="AS432" i="1"/>
  <c r="AS446" i="1"/>
  <c r="AS171" i="1"/>
  <c r="AS322" i="1"/>
  <c r="AS425" i="1"/>
  <c r="AS524" i="1"/>
  <c r="AS700" i="1"/>
  <c r="AS169" i="1"/>
  <c r="AS268" i="1"/>
  <c r="AS338" i="1"/>
  <c r="AS441" i="1"/>
  <c r="AS522" i="1"/>
  <c r="AS676" i="1"/>
  <c r="AS835" i="1"/>
  <c r="AS877" i="1"/>
  <c r="AS630" i="1"/>
  <c r="AS133" i="1"/>
  <c r="AS182" i="1"/>
  <c r="AS164" i="1"/>
  <c r="AS187" i="1"/>
  <c r="AS281" i="1"/>
  <c r="AS262" i="1"/>
  <c r="AS333" i="1"/>
  <c r="AS315" i="1"/>
  <c r="AS411" i="1"/>
  <c r="AS418" i="1"/>
  <c r="AS436" i="1"/>
  <c r="AS517" i="1"/>
  <c r="AS538" i="1"/>
  <c r="AS645" i="1"/>
  <c r="AS625" i="1"/>
  <c r="AS671" i="1"/>
  <c r="AS798" i="1"/>
  <c r="AS782" i="1"/>
  <c r="AS830" i="1"/>
  <c r="AS811" i="1"/>
  <c r="AS872" i="1"/>
  <c r="AS853" i="1"/>
  <c r="AS890" i="1"/>
  <c r="AS178" i="1"/>
  <c r="AS327" i="1"/>
  <c r="AS344" i="1"/>
  <c r="AS428" i="1"/>
  <c r="AS445" i="1"/>
  <c r="AS172" i="1"/>
  <c r="AS341" i="1"/>
  <c r="AS444" i="1"/>
  <c r="AS142" i="1"/>
  <c r="AS115" i="1"/>
  <c r="AS123" i="1"/>
  <c r="AS134" i="1"/>
  <c r="AS145" i="1"/>
  <c r="AS116" i="1"/>
  <c r="AS124" i="1"/>
  <c r="AS135" i="1"/>
  <c r="AS136" i="1"/>
  <c r="AS146" i="1"/>
  <c r="AS117" i="1"/>
  <c r="AS125" i="1"/>
  <c r="AS137" i="1"/>
  <c r="AS147" i="1"/>
  <c r="AS118" i="1"/>
  <c r="AS126" i="1"/>
  <c r="AS138" i="1"/>
  <c r="AS286" i="1"/>
  <c r="AS320" i="1"/>
  <c r="AS543" i="1"/>
  <c r="AS614" i="1"/>
  <c r="AS787" i="1"/>
  <c r="AS858" i="1"/>
  <c r="AS313" i="1"/>
  <c r="AS612" i="1"/>
  <c r="AS163" i="1"/>
  <c r="AS300" i="1"/>
  <c r="AS332" i="1"/>
  <c r="AS314" i="1"/>
  <c r="AS435" i="1"/>
  <c r="AS417" i="1"/>
  <c r="AS450" i="1"/>
  <c r="AS516" i="1"/>
  <c r="AS537" i="1"/>
  <c r="AS644" i="1"/>
  <c r="AS687" i="1"/>
  <c r="AS670" i="1"/>
  <c r="AS797" i="1"/>
  <c r="AS781" i="1"/>
  <c r="AS829" i="1"/>
  <c r="AS810" i="1"/>
  <c r="AS871" i="1"/>
  <c r="AS852" i="1"/>
  <c r="AS884" i="1"/>
  <c r="AS79" i="1"/>
  <c r="AS128" i="1"/>
  <c r="AS294" i="1"/>
  <c r="AS694" i="1"/>
  <c r="AS664" i="1"/>
  <c r="AS672" i="1"/>
  <c r="AS681" i="1"/>
  <c r="AS695" i="1"/>
  <c r="AS665" i="1"/>
  <c r="AS673" i="1"/>
  <c r="AS682" i="1"/>
  <c r="AS688" i="1"/>
  <c r="AS696" i="1"/>
  <c r="AS666" i="1"/>
  <c r="AS674" i="1"/>
  <c r="AS683" i="1"/>
  <c r="AS689" i="1"/>
  <c r="AS697" i="1"/>
  <c r="AS667" i="1"/>
  <c r="AS675" i="1"/>
  <c r="AS684" i="1"/>
  <c r="AS195" i="1"/>
  <c r="AS323" i="1"/>
  <c r="AS680" i="1"/>
  <c r="AS340" i="1"/>
  <c r="AS546" i="1"/>
  <c r="AS678" i="1"/>
  <c r="AS679" i="1"/>
  <c r="AS647" i="1"/>
  <c r="AS618" i="1"/>
  <c r="AS626" i="1"/>
  <c r="AS637" i="1"/>
  <c r="AS646" i="1"/>
  <c r="AS648" i="1"/>
  <c r="AS619" i="1"/>
  <c r="AS627" i="1"/>
  <c r="AS638" i="1"/>
  <c r="AS649" i="1"/>
  <c r="AS620" i="1"/>
  <c r="AS631" i="1"/>
  <c r="AS639" i="1"/>
  <c r="AS650" i="1"/>
  <c r="AS621" i="1"/>
  <c r="AS632" i="1"/>
  <c r="AS640" i="1"/>
  <c r="AS119" i="1"/>
  <c r="AS192" i="1"/>
  <c r="AS311" i="1"/>
  <c r="AS423" i="1"/>
  <c r="AS633" i="1"/>
  <c r="AS698" i="1"/>
  <c r="AS803" i="1"/>
  <c r="AS836" i="1"/>
  <c r="AS112" i="1"/>
  <c r="AS132" i="1"/>
  <c r="AS150" i="1"/>
  <c r="AS181" i="1"/>
  <c r="AS186" i="1"/>
  <c r="AS278" i="1"/>
  <c r="AS131" i="1"/>
  <c r="AS149" i="1"/>
  <c r="AS179" i="1"/>
  <c r="AS162" i="1"/>
  <c r="AS185" i="1"/>
  <c r="AS277" i="1"/>
  <c r="AS299" i="1"/>
  <c r="AS331" i="1"/>
  <c r="AS434" i="1"/>
  <c r="AS416" i="1"/>
  <c r="AS515" i="1"/>
  <c r="AS536" i="1"/>
  <c r="AS642" i="1"/>
  <c r="AS623" i="1"/>
  <c r="AS686" i="1"/>
  <c r="AS669" i="1"/>
  <c r="AS691" i="1"/>
  <c r="AS796" i="1"/>
  <c r="AS780" i="1"/>
  <c r="AS826" i="1"/>
  <c r="AS809" i="1"/>
  <c r="AS868" i="1"/>
  <c r="AS851" i="1"/>
  <c r="AS883" i="1"/>
  <c r="AS129" i="1"/>
  <c r="AS98" i="1"/>
  <c r="AS90" i="1"/>
  <c r="AS82" i="1"/>
  <c r="AS72" i="1"/>
  <c r="AS64" i="1"/>
  <c r="AS250" i="1"/>
  <c r="AS241" i="1"/>
  <c r="AS233" i="1"/>
  <c r="AS223" i="1"/>
  <c r="AS215" i="1"/>
  <c r="AS337" i="1"/>
  <c r="AS319" i="1"/>
  <c r="AS347" i="1"/>
  <c r="AS350" i="1"/>
  <c r="AS373" i="1"/>
  <c r="AS365" i="1"/>
  <c r="AS385" i="1"/>
  <c r="AS486" i="1"/>
  <c r="AS475" i="1"/>
  <c r="AS467" i="1"/>
  <c r="AS498" i="1"/>
  <c r="AS489" i="1"/>
  <c r="AS593" i="1"/>
  <c r="AS585" i="1"/>
  <c r="AS575" i="1"/>
  <c r="AS567" i="1"/>
  <c r="AS597" i="1"/>
  <c r="AS733" i="1"/>
  <c r="AS723" i="1"/>
  <c r="AS715" i="1"/>
  <c r="AS745" i="1"/>
  <c r="AS378" i="1"/>
  <c r="AS544" i="1"/>
  <c r="AS613" i="1"/>
  <c r="AS827" i="1"/>
  <c r="AS97" i="1"/>
  <c r="AS89" i="1"/>
  <c r="AS81" i="1"/>
  <c r="AS71" i="1"/>
  <c r="AS62" i="1"/>
  <c r="AS249" i="1"/>
  <c r="AS240" i="1"/>
  <c r="AS232" i="1"/>
  <c r="AS222" i="1"/>
  <c r="AS214" i="1"/>
  <c r="AS336" i="1"/>
  <c r="AS326" i="1"/>
  <c r="AS318" i="1"/>
  <c r="AS346" i="1"/>
  <c r="AS361" i="1"/>
  <c r="AS372" i="1"/>
  <c r="AS364" i="1"/>
  <c r="AS392" i="1"/>
  <c r="AS384" i="1"/>
  <c r="AS485" i="1"/>
  <c r="AS474" i="1"/>
  <c r="AS466" i="1"/>
  <c r="AS497" i="1"/>
  <c r="AS592" i="1"/>
  <c r="AS584" i="1"/>
  <c r="AS574" i="1"/>
  <c r="AS566" i="1"/>
  <c r="AS596" i="1"/>
  <c r="AS732" i="1"/>
  <c r="AS722" i="1"/>
  <c r="AS714" i="1"/>
  <c r="AS143" i="1"/>
  <c r="AS180" i="1"/>
  <c r="AS329" i="1"/>
  <c r="AS328" i="1"/>
  <c r="AS379" i="1"/>
  <c r="AS412" i="1"/>
  <c r="AS430" i="1"/>
  <c r="AS828" i="1"/>
  <c r="AS261" i="1"/>
  <c r="AS663" i="1"/>
  <c r="AS96" i="1"/>
  <c r="AS88" i="1"/>
  <c r="AS70" i="1"/>
  <c r="AS248" i="1"/>
  <c r="AS239" i="1"/>
  <c r="AS231" i="1"/>
  <c r="AS221" i="1"/>
  <c r="AS335" i="1"/>
  <c r="AS325" i="1"/>
  <c r="AS317" i="1"/>
  <c r="AS345" i="1"/>
  <c r="AS381" i="1"/>
  <c r="AS371" i="1"/>
  <c r="AS400" i="1"/>
  <c r="AS391" i="1"/>
  <c r="AS383" i="1"/>
  <c r="AS484" i="1"/>
  <c r="AS473" i="1"/>
  <c r="AS465" i="1"/>
  <c r="AS496" i="1"/>
  <c r="AS591" i="1"/>
  <c r="AS583" i="1"/>
  <c r="AS573" i="1"/>
  <c r="AS565" i="1"/>
  <c r="AS739" i="1"/>
  <c r="AS731" i="1"/>
  <c r="AS721" i="1"/>
  <c r="AS713" i="1"/>
  <c r="AS742" i="1"/>
  <c r="AS144" i="1"/>
  <c r="AS229" i="1"/>
  <c r="AS362" i="1"/>
  <c r="AS443" i="1"/>
  <c r="AS478" i="1"/>
  <c r="AS579" i="1"/>
  <c r="AS95" i="1"/>
  <c r="AS87" i="1"/>
  <c r="AS77" i="1"/>
  <c r="AS247" i="1"/>
  <c r="AS238" i="1"/>
  <c r="AS228" i="1"/>
  <c r="AS334" i="1"/>
  <c r="AS324" i="1"/>
  <c r="AS316" i="1"/>
  <c r="AS380" i="1"/>
  <c r="AS370" i="1"/>
  <c r="AS399" i="1"/>
  <c r="AS390" i="1"/>
  <c r="AS483" i="1"/>
  <c r="AS472" i="1"/>
  <c r="AS464" i="1"/>
  <c r="AS590" i="1"/>
  <c r="AS582" i="1"/>
  <c r="AS572" i="1"/>
  <c r="AS738" i="1"/>
  <c r="AS728" i="1"/>
  <c r="AS720" i="1"/>
  <c r="AS750" i="1"/>
  <c r="AS111" i="1"/>
  <c r="AS279" i="1"/>
  <c r="AS393" i="1"/>
  <c r="AS413" i="1"/>
  <c r="AS461" i="1"/>
  <c r="AS729" i="1"/>
  <c r="AS26" i="1"/>
  <c r="AS34" i="1"/>
  <c r="AS18" i="1"/>
  <c r="AS49" i="1"/>
  <c r="AS41" i="1"/>
  <c r="AS33" i="1"/>
  <c r="AS25" i="1"/>
  <c r="AS17" i="1"/>
  <c r="AS48" i="1"/>
  <c r="AS40" i="1"/>
  <c r="AS32" i="1"/>
  <c r="AS24" i="1"/>
  <c r="AS16" i="1"/>
  <c r="AS47" i="1"/>
  <c r="AS39" i="1"/>
  <c r="AS31" i="1"/>
  <c r="AS23" i="1"/>
  <c r="AS15" i="1"/>
  <c r="AS46" i="1"/>
  <c r="AS38" i="1"/>
  <c r="AS30" i="1"/>
  <c r="AS22" i="1"/>
  <c r="AS14" i="1"/>
  <c r="AS45" i="1"/>
  <c r="AS37" i="1"/>
  <c r="AS11" i="1"/>
  <c r="AS29" i="1"/>
  <c r="AS21" i="1"/>
  <c r="AS13" i="1"/>
  <c r="AS44" i="1"/>
  <c r="AS36" i="1"/>
  <c r="AS28" i="1"/>
  <c r="AS20" i="1"/>
  <c r="AS12" i="1"/>
  <c r="AS43" i="1"/>
  <c r="AS35" i="1"/>
  <c r="AS27" i="1"/>
  <c r="AS19" i="1"/>
  <c r="AS50" i="1"/>
  <c r="BI771" i="1"/>
  <c r="BH771" i="1"/>
  <c r="BD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771" i="1"/>
  <c r="BB771" i="1"/>
  <c r="AZ771" i="1"/>
  <c r="AM771" i="1"/>
  <c r="AM796" i="1" s="1"/>
  <c r="AL771" i="1"/>
  <c r="AL811" i="1" s="1"/>
  <c r="AK811" i="1"/>
  <c r="AI771" i="1"/>
  <c r="AI811" i="1" s="1"/>
  <c r="AC888" i="1"/>
  <c r="AE888" i="1"/>
  <c r="AC889" i="1"/>
  <c r="AE889" i="1"/>
  <c r="AC885" i="1"/>
  <c r="AE885" i="1"/>
  <c r="AC886" i="1"/>
  <c r="AE886" i="1"/>
  <c r="AC882" i="1"/>
  <c r="AE882" i="1"/>
  <c r="AC883" i="1"/>
  <c r="AE883" i="1"/>
  <c r="AC880" i="1"/>
  <c r="AE880" i="1"/>
  <c r="AC876" i="1"/>
  <c r="AE876" i="1"/>
  <c r="AC877" i="1"/>
  <c r="AE877" i="1"/>
  <c r="AC873" i="1"/>
  <c r="AE873" i="1"/>
  <c r="AC874" i="1"/>
  <c r="AE874" i="1"/>
  <c r="AC870" i="1"/>
  <c r="AE870" i="1"/>
  <c r="AC871" i="1"/>
  <c r="AE871" i="1"/>
  <c r="AC868" i="1"/>
  <c r="AE868" i="1"/>
  <c r="AC864" i="1"/>
  <c r="AE864" i="1"/>
  <c r="AC865" i="1"/>
  <c r="AE865" i="1"/>
  <c r="AC861" i="1"/>
  <c r="AE861" i="1"/>
  <c r="AC862" i="1"/>
  <c r="AE862" i="1"/>
  <c r="AC858" i="1"/>
  <c r="AE858" i="1"/>
  <c r="AC859" i="1"/>
  <c r="AE859" i="1"/>
  <c r="AC856" i="1"/>
  <c r="AE856" i="1"/>
  <c r="AC852" i="1"/>
  <c r="AE852" i="1"/>
  <c r="AC853" i="1"/>
  <c r="AE853" i="1"/>
  <c r="AC849" i="1"/>
  <c r="AE849" i="1"/>
  <c r="AC850" i="1"/>
  <c r="AE850" i="1"/>
  <c r="AC846" i="1"/>
  <c r="AE846" i="1"/>
  <c r="AC847" i="1"/>
  <c r="AE847" i="1"/>
  <c r="AC844" i="1"/>
  <c r="AE844" i="1"/>
  <c r="AC840" i="1"/>
  <c r="AE840" i="1"/>
  <c r="AC841" i="1"/>
  <c r="AE841" i="1"/>
  <c r="AC837" i="1"/>
  <c r="AE837" i="1"/>
  <c r="AC838" i="1"/>
  <c r="AE838" i="1"/>
  <c r="AC834" i="1"/>
  <c r="AE834" i="1"/>
  <c r="AC835" i="1"/>
  <c r="AE835" i="1"/>
  <c r="AC832" i="1"/>
  <c r="AE832" i="1"/>
  <c r="AC828" i="1"/>
  <c r="AE828" i="1"/>
  <c r="AC829" i="1"/>
  <c r="AE829" i="1"/>
  <c r="AC825" i="1"/>
  <c r="AE825" i="1"/>
  <c r="AC826" i="1"/>
  <c r="AE826" i="1"/>
  <c r="AC822" i="1"/>
  <c r="AE822" i="1"/>
  <c r="AC823" i="1"/>
  <c r="AE823" i="1"/>
  <c r="AC820" i="1"/>
  <c r="AE820" i="1"/>
  <c r="AC816" i="1"/>
  <c r="AE816" i="1"/>
  <c r="AC817" i="1"/>
  <c r="AE817" i="1"/>
  <c r="AC813" i="1"/>
  <c r="AE813" i="1"/>
  <c r="AC814" i="1"/>
  <c r="AE814" i="1"/>
  <c r="AC810" i="1"/>
  <c r="AE810" i="1"/>
  <c r="AC811" i="1"/>
  <c r="AE811" i="1"/>
  <c r="AC808" i="1"/>
  <c r="AE808" i="1"/>
  <c r="AC804" i="1"/>
  <c r="AE804" i="1"/>
  <c r="AC805" i="1"/>
  <c r="AE805" i="1"/>
  <c r="AC801" i="1"/>
  <c r="AE801" i="1"/>
  <c r="AC802" i="1"/>
  <c r="AE802" i="1"/>
  <c r="AC798" i="1"/>
  <c r="AE798" i="1"/>
  <c r="AC799" i="1"/>
  <c r="AE799" i="1"/>
  <c r="AC796" i="1"/>
  <c r="AE796" i="1"/>
  <c r="AC792" i="1"/>
  <c r="AE792" i="1"/>
  <c r="AC793" i="1"/>
  <c r="AE793" i="1"/>
  <c r="AC789" i="1"/>
  <c r="AE789" i="1"/>
  <c r="AC790" i="1"/>
  <c r="AE790" i="1"/>
  <c r="AC786" i="1"/>
  <c r="AE786" i="1"/>
  <c r="AC787" i="1"/>
  <c r="AE787" i="1"/>
  <c r="AC784" i="1"/>
  <c r="AE784" i="1"/>
  <c r="AC780" i="1"/>
  <c r="AE780" i="1"/>
  <c r="AC781" i="1"/>
  <c r="AE781" i="1"/>
  <c r="AC777" i="1"/>
  <c r="AE777" i="1"/>
  <c r="AC778" i="1"/>
  <c r="AE778" i="1"/>
  <c r="AC774" i="1"/>
  <c r="AE774" i="1"/>
  <c r="AC775" i="1"/>
  <c r="AE775" i="1"/>
  <c r="AC772" i="1"/>
  <c r="AE776" i="1"/>
  <c r="AE773" i="1"/>
  <c r="AE771" i="1"/>
  <c r="AE782" i="1"/>
  <c r="AE788" i="1"/>
  <c r="AE785" i="1"/>
  <c r="AE783" i="1"/>
  <c r="AE794" i="1"/>
  <c r="AE800" i="1"/>
  <c r="AE797" i="1"/>
  <c r="AE795" i="1"/>
  <c r="AE806" i="1"/>
  <c r="AE812" i="1"/>
  <c r="AE809" i="1"/>
  <c r="AE807" i="1"/>
  <c r="AE818" i="1"/>
  <c r="AE824" i="1"/>
  <c r="AE821" i="1"/>
  <c r="AE819" i="1"/>
  <c r="AE830" i="1"/>
  <c r="AE836" i="1"/>
  <c r="AE833" i="1"/>
  <c r="AE831" i="1"/>
  <c r="AE842" i="1"/>
  <c r="AE848" i="1"/>
  <c r="AE845" i="1"/>
  <c r="AE843" i="1"/>
  <c r="AE854" i="1"/>
  <c r="AE860" i="1"/>
  <c r="AE857" i="1"/>
  <c r="AE855" i="1"/>
  <c r="AE866" i="1"/>
  <c r="AE872" i="1"/>
  <c r="AE869" i="1"/>
  <c r="AE867" i="1"/>
  <c r="AE878" i="1"/>
  <c r="AE884" i="1"/>
  <c r="AE881" i="1"/>
  <c r="AE879" i="1"/>
  <c r="AE890" i="1"/>
  <c r="AE887" i="1"/>
  <c r="AE875" i="1"/>
  <c r="AE863" i="1"/>
  <c r="AE851" i="1"/>
  <c r="AE839" i="1"/>
  <c r="AE827" i="1"/>
  <c r="AE815" i="1"/>
  <c r="AE803" i="1"/>
  <c r="AE791" i="1"/>
  <c r="AC884" i="1"/>
  <c r="AC881" i="1"/>
  <c r="AC879" i="1"/>
  <c r="AC890" i="1"/>
  <c r="AC872" i="1"/>
  <c r="AC869" i="1"/>
  <c r="AC867" i="1"/>
  <c r="AC878" i="1"/>
  <c r="AC860" i="1"/>
  <c r="AC857" i="1"/>
  <c r="AC855" i="1"/>
  <c r="AC866" i="1"/>
  <c r="AC848" i="1"/>
  <c r="AC845" i="1"/>
  <c r="AC843" i="1"/>
  <c r="AC854" i="1"/>
  <c r="AC836" i="1"/>
  <c r="AC833" i="1"/>
  <c r="AC831" i="1"/>
  <c r="AC842" i="1"/>
  <c r="AC824" i="1"/>
  <c r="AC821" i="1"/>
  <c r="AC819" i="1"/>
  <c r="AC830" i="1"/>
  <c r="AC812" i="1"/>
  <c r="AC809" i="1"/>
  <c r="AC807" i="1"/>
  <c r="AC818" i="1"/>
  <c r="AC800" i="1"/>
  <c r="AC797" i="1"/>
  <c r="AC795" i="1"/>
  <c r="AC806" i="1"/>
  <c r="AC788" i="1"/>
  <c r="AC785" i="1"/>
  <c r="AC794" i="1"/>
  <c r="AC776" i="1"/>
  <c r="AC773" i="1"/>
  <c r="AC771" i="1"/>
  <c r="AC782" i="1"/>
  <c r="AC887" i="1"/>
  <c r="AC875" i="1"/>
  <c r="AC863" i="1"/>
  <c r="AC851" i="1"/>
  <c r="AC839" i="1"/>
  <c r="AC827" i="1"/>
  <c r="AC815" i="1"/>
  <c r="AC803" i="1"/>
  <c r="AC791" i="1"/>
  <c r="AC779" i="1"/>
  <c r="AE779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H771" i="1"/>
  <c r="AG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771" i="1"/>
  <c r="O888" i="1"/>
  <c r="P888" i="1"/>
  <c r="O889" i="1"/>
  <c r="P889" i="1"/>
  <c r="O885" i="1"/>
  <c r="P885" i="1"/>
  <c r="O886" i="1"/>
  <c r="P886" i="1"/>
  <c r="O882" i="1"/>
  <c r="P882" i="1"/>
  <c r="O883" i="1"/>
  <c r="P883" i="1"/>
  <c r="O880" i="1"/>
  <c r="P880" i="1"/>
  <c r="M876" i="1"/>
  <c r="O876" i="1"/>
  <c r="P876" i="1"/>
  <c r="M877" i="1"/>
  <c r="O877" i="1"/>
  <c r="P877" i="1"/>
  <c r="M873" i="1"/>
  <c r="O873" i="1"/>
  <c r="P873" i="1"/>
  <c r="M874" i="1"/>
  <c r="O874" i="1"/>
  <c r="P874" i="1"/>
  <c r="M870" i="1"/>
  <c r="O870" i="1"/>
  <c r="P870" i="1"/>
  <c r="M871" i="1"/>
  <c r="O871" i="1"/>
  <c r="P871" i="1"/>
  <c r="M868" i="1"/>
  <c r="O868" i="1"/>
  <c r="P868" i="1"/>
  <c r="M864" i="1"/>
  <c r="O864" i="1"/>
  <c r="P864" i="1"/>
  <c r="M865" i="1"/>
  <c r="O865" i="1"/>
  <c r="P865" i="1"/>
  <c r="O861" i="1"/>
  <c r="P861" i="1"/>
  <c r="M862" i="1"/>
  <c r="O862" i="1"/>
  <c r="P862" i="1"/>
  <c r="M858" i="1"/>
  <c r="O858" i="1"/>
  <c r="P858" i="1"/>
  <c r="M859" i="1"/>
  <c r="O859" i="1"/>
  <c r="P859" i="1"/>
  <c r="M856" i="1"/>
  <c r="O856" i="1"/>
  <c r="P856" i="1"/>
  <c r="M852" i="1"/>
  <c r="O852" i="1"/>
  <c r="P852" i="1"/>
  <c r="M853" i="1"/>
  <c r="O853" i="1"/>
  <c r="P853" i="1"/>
  <c r="M849" i="1"/>
  <c r="O849" i="1"/>
  <c r="P849" i="1"/>
  <c r="M850" i="1"/>
  <c r="O850" i="1"/>
  <c r="P850" i="1"/>
  <c r="M846" i="1"/>
  <c r="O846" i="1"/>
  <c r="P846" i="1"/>
  <c r="M847" i="1"/>
  <c r="O847" i="1"/>
  <c r="P847" i="1"/>
  <c r="M844" i="1"/>
  <c r="O844" i="1"/>
  <c r="P844" i="1"/>
  <c r="M840" i="1"/>
  <c r="O840" i="1"/>
  <c r="P840" i="1"/>
  <c r="M841" i="1"/>
  <c r="P841" i="1"/>
  <c r="M837" i="1"/>
  <c r="O837" i="1"/>
  <c r="P837" i="1"/>
  <c r="M838" i="1"/>
  <c r="O838" i="1"/>
  <c r="P838" i="1"/>
  <c r="M834" i="1"/>
  <c r="O834" i="1"/>
  <c r="P834" i="1"/>
  <c r="M835" i="1"/>
  <c r="O835" i="1"/>
  <c r="P835" i="1"/>
  <c r="M832" i="1"/>
  <c r="O832" i="1"/>
  <c r="P832" i="1"/>
  <c r="M828" i="1"/>
  <c r="O828" i="1"/>
  <c r="P828" i="1"/>
  <c r="M829" i="1"/>
  <c r="O829" i="1"/>
  <c r="P829" i="1"/>
  <c r="M825" i="1"/>
  <c r="O825" i="1"/>
  <c r="P825" i="1"/>
  <c r="M826" i="1"/>
  <c r="O826" i="1"/>
  <c r="P826" i="1"/>
  <c r="M822" i="1"/>
  <c r="O822" i="1"/>
  <c r="P822" i="1"/>
  <c r="M823" i="1"/>
  <c r="O823" i="1"/>
  <c r="P823" i="1"/>
  <c r="M820" i="1"/>
  <c r="O820" i="1"/>
  <c r="P820" i="1"/>
  <c r="M816" i="1"/>
  <c r="O816" i="1"/>
  <c r="P816" i="1"/>
  <c r="M817" i="1"/>
  <c r="O817" i="1"/>
  <c r="P817" i="1"/>
  <c r="M813" i="1"/>
  <c r="O813" i="1"/>
  <c r="P813" i="1"/>
  <c r="M814" i="1"/>
  <c r="O814" i="1"/>
  <c r="P814" i="1"/>
  <c r="M810" i="1"/>
  <c r="O810" i="1"/>
  <c r="P810" i="1"/>
  <c r="M811" i="1"/>
  <c r="O811" i="1"/>
  <c r="P811" i="1"/>
  <c r="M808" i="1"/>
  <c r="O808" i="1"/>
  <c r="P808" i="1"/>
  <c r="M804" i="1"/>
  <c r="O804" i="1"/>
  <c r="P804" i="1"/>
  <c r="M805" i="1"/>
  <c r="O805" i="1"/>
  <c r="P805" i="1"/>
  <c r="M801" i="1"/>
  <c r="P801" i="1"/>
  <c r="M802" i="1"/>
  <c r="O802" i="1"/>
  <c r="P802" i="1"/>
  <c r="M798" i="1"/>
  <c r="O798" i="1"/>
  <c r="P798" i="1"/>
  <c r="M799" i="1"/>
  <c r="O799" i="1"/>
  <c r="P799" i="1"/>
  <c r="M796" i="1"/>
  <c r="O796" i="1"/>
  <c r="P796" i="1"/>
  <c r="M792" i="1"/>
  <c r="O792" i="1"/>
  <c r="P792" i="1"/>
  <c r="M793" i="1"/>
  <c r="O793" i="1"/>
  <c r="P793" i="1"/>
  <c r="M789" i="1"/>
  <c r="O789" i="1"/>
  <c r="P789" i="1"/>
  <c r="M790" i="1"/>
  <c r="O790" i="1"/>
  <c r="P790" i="1"/>
  <c r="M786" i="1"/>
  <c r="O786" i="1"/>
  <c r="P786" i="1"/>
  <c r="M787" i="1"/>
  <c r="O787" i="1"/>
  <c r="P787" i="1"/>
  <c r="M784" i="1"/>
  <c r="O784" i="1"/>
  <c r="P784" i="1"/>
  <c r="M780" i="1"/>
  <c r="O780" i="1"/>
  <c r="P780" i="1"/>
  <c r="M781" i="1"/>
  <c r="O781" i="1"/>
  <c r="P781" i="1"/>
  <c r="M777" i="1"/>
  <c r="O777" i="1"/>
  <c r="P777" i="1"/>
  <c r="M778" i="1"/>
  <c r="P778" i="1"/>
  <c r="M774" i="1"/>
  <c r="O774" i="1"/>
  <c r="P774" i="1"/>
  <c r="M775" i="1"/>
  <c r="O775" i="1"/>
  <c r="P775" i="1"/>
  <c r="M772" i="1"/>
  <c r="O772" i="1"/>
  <c r="P772" i="1"/>
  <c r="P776" i="1"/>
  <c r="P773" i="1"/>
  <c r="P771" i="1"/>
  <c r="P782" i="1"/>
  <c r="P788" i="1"/>
  <c r="P785" i="1"/>
  <c r="P783" i="1"/>
  <c r="P794" i="1"/>
  <c r="P800" i="1"/>
  <c r="P797" i="1"/>
  <c r="P795" i="1"/>
  <c r="P806" i="1"/>
  <c r="P812" i="1"/>
  <c r="P809" i="1"/>
  <c r="P807" i="1"/>
  <c r="P818" i="1"/>
  <c r="P824" i="1"/>
  <c r="P821" i="1"/>
  <c r="P819" i="1"/>
  <c r="P830" i="1"/>
  <c r="P836" i="1"/>
  <c r="P833" i="1"/>
  <c r="P831" i="1"/>
  <c r="P842" i="1"/>
  <c r="P848" i="1"/>
  <c r="P845" i="1"/>
  <c r="P843" i="1"/>
  <c r="P854" i="1"/>
  <c r="P860" i="1"/>
  <c r="P857" i="1"/>
  <c r="P855" i="1"/>
  <c r="P866" i="1"/>
  <c r="P872" i="1"/>
  <c r="P869" i="1"/>
  <c r="P867" i="1"/>
  <c r="P878" i="1"/>
  <c r="P884" i="1"/>
  <c r="P881" i="1"/>
  <c r="P879" i="1"/>
  <c r="P890" i="1"/>
  <c r="P887" i="1"/>
  <c r="P875" i="1"/>
  <c r="P863" i="1"/>
  <c r="P851" i="1"/>
  <c r="P839" i="1"/>
  <c r="P827" i="1"/>
  <c r="P815" i="1"/>
  <c r="P803" i="1"/>
  <c r="P791" i="1"/>
  <c r="P779" i="1"/>
  <c r="O776" i="1"/>
  <c r="O773" i="1"/>
  <c r="O771" i="1"/>
  <c r="O782" i="1"/>
  <c r="O788" i="1"/>
  <c r="O785" i="1"/>
  <c r="O783" i="1"/>
  <c r="O794" i="1"/>
  <c r="O800" i="1"/>
  <c r="O797" i="1"/>
  <c r="O795" i="1"/>
  <c r="O806" i="1"/>
  <c r="O812" i="1"/>
  <c r="O809" i="1"/>
  <c r="O807" i="1"/>
  <c r="O818" i="1"/>
  <c r="O824" i="1"/>
  <c r="O821" i="1"/>
  <c r="O819" i="1"/>
  <c r="O830" i="1"/>
  <c r="O836" i="1"/>
  <c r="O833" i="1"/>
  <c r="O831" i="1"/>
  <c r="O842" i="1"/>
  <c r="O848" i="1"/>
  <c r="O845" i="1"/>
  <c r="O843" i="1"/>
  <c r="O854" i="1"/>
  <c r="O860" i="1"/>
  <c r="O857" i="1"/>
  <c r="O855" i="1"/>
  <c r="O866" i="1"/>
  <c r="O872" i="1"/>
  <c r="O869" i="1"/>
  <c r="O867" i="1"/>
  <c r="O878" i="1"/>
  <c r="O881" i="1"/>
  <c r="O879" i="1"/>
  <c r="O890" i="1"/>
  <c r="O887" i="1"/>
  <c r="O875" i="1"/>
  <c r="O863" i="1"/>
  <c r="O851" i="1"/>
  <c r="O839" i="1"/>
  <c r="O827" i="1"/>
  <c r="O815" i="1"/>
  <c r="O803" i="1"/>
  <c r="O791" i="1"/>
  <c r="O779" i="1"/>
  <c r="M773" i="1"/>
  <c r="M771" i="1"/>
  <c r="M788" i="1"/>
  <c r="M785" i="1"/>
  <c r="M783" i="1"/>
  <c r="M794" i="1"/>
  <c r="M800" i="1"/>
  <c r="M797" i="1"/>
  <c r="M795" i="1"/>
  <c r="M806" i="1"/>
  <c r="M812" i="1"/>
  <c r="M807" i="1"/>
  <c r="M818" i="1"/>
  <c r="M824" i="1"/>
  <c r="Q824" i="1" s="1"/>
  <c r="M821" i="1"/>
  <c r="M819" i="1"/>
  <c r="M830" i="1"/>
  <c r="M836" i="1"/>
  <c r="M833" i="1"/>
  <c r="M831" i="1"/>
  <c r="M842" i="1"/>
  <c r="M848" i="1"/>
  <c r="M845" i="1"/>
  <c r="M843" i="1"/>
  <c r="M854" i="1"/>
  <c r="M860" i="1"/>
  <c r="Q860" i="1" s="1"/>
  <c r="M857" i="1"/>
  <c r="M855" i="1"/>
  <c r="M866" i="1"/>
  <c r="M872" i="1"/>
  <c r="M869" i="1"/>
  <c r="M867" i="1"/>
  <c r="M878" i="1"/>
  <c r="M885" i="1"/>
  <c r="M886" i="1"/>
  <c r="M884" i="1"/>
  <c r="M882" i="1"/>
  <c r="M883" i="1"/>
  <c r="M881" i="1"/>
  <c r="M880" i="1"/>
  <c r="M879" i="1"/>
  <c r="M890" i="1"/>
  <c r="M888" i="1"/>
  <c r="M889" i="1"/>
  <c r="M887" i="1"/>
  <c r="M875" i="1"/>
  <c r="M863" i="1"/>
  <c r="M851" i="1"/>
  <c r="M839" i="1"/>
  <c r="M815" i="1"/>
  <c r="M803" i="1"/>
  <c r="M782" i="1"/>
  <c r="M779" i="1"/>
  <c r="W783" i="1"/>
  <c r="AM711" i="1"/>
  <c r="AM722" i="1" s="1"/>
  <c r="AL711" i="1"/>
  <c r="AK711" i="1"/>
  <c r="AK735" i="1" s="1"/>
  <c r="AI711" i="1"/>
  <c r="AM661" i="1"/>
  <c r="AM698" i="1" s="1"/>
  <c r="AL661" i="1"/>
  <c r="AL698" i="1" s="1"/>
  <c r="AK661" i="1"/>
  <c r="AK698" i="1" s="1"/>
  <c r="AI661" i="1"/>
  <c r="AI698" i="1" s="1"/>
  <c r="AM611" i="1"/>
  <c r="AM630" i="1" s="1"/>
  <c r="AL611" i="1"/>
  <c r="AL633" i="1" s="1"/>
  <c r="AK611" i="1"/>
  <c r="AK650" i="1" s="1"/>
  <c r="AI611" i="1"/>
  <c r="AI633" i="1" s="1"/>
  <c r="AM561" i="1"/>
  <c r="AM599" i="1" s="1"/>
  <c r="AL561" i="1"/>
  <c r="AK561" i="1"/>
  <c r="AI561" i="1"/>
  <c r="AI598" i="1" s="1"/>
  <c r="AM511" i="1"/>
  <c r="AM524" i="1" s="1"/>
  <c r="AL511" i="1"/>
  <c r="AL549" i="1" s="1"/>
  <c r="AK511" i="1"/>
  <c r="AK533" i="1" s="1"/>
  <c r="AI511" i="1"/>
  <c r="AI534" i="1" s="1"/>
  <c r="AM461" i="1"/>
  <c r="AM472" i="1" s="1"/>
  <c r="AL461" i="1"/>
  <c r="AL498" i="1" s="1"/>
  <c r="AK461" i="1"/>
  <c r="AK498" i="1" s="1"/>
  <c r="AI461" i="1"/>
  <c r="AI469" i="1" s="1"/>
  <c r="AM411" i="1"/>
  <c r="AM450" i="1" s="1"/>
  <c r="AL411" i="1"/>
  <c r="AL448" i="1" s="1"/>
  <c r="AK411" i="1"/>
  <c r="AK427" i="1" s="1"/>
  <c r="AI411" i="1"/>
  <c r="AI442" i="1" s="1"/>
  <c r="AM361" i="1"/>
  <c r="AM366" i="1" s="1"/>
  <c r="AL361" i="1"/>
  <c r="AL380" i="1" s="1"/>
  <c r="AK361" i="1"/>
  <c r="AK377" i="1" s="1"/>
  <c r="AI361" i="1"/>
  <c r="AI399" i="1" s="1"/>
  <c r="AM311" i="1"/>
  <c r="AM327" i="1" s="1"/>
  <c r="AL311" i="1"/>
  <c r="AL350" i="1" s="1"/>
  <c r="AK311" i="1"/>
  <c r="AK350" i="1" s="1"/>
  <c r="AI311" i="1"/>
  <c r="AI350" i="1" s="1"/>
  <c r="AM261" i="1"/>
  <c r="AM298" i="1" s="1"/>
  <c r="AL261" i="1"/>
  <c r="AL289" i="1" s="1"/>
  <c r="AK261" i="1"/>
  <c r="AK287" i="1" s="1"/>
  <c r="AI261" i="1"/>
  <c r="AI299" i="1" s="1"/>
  <c r="AM211" i="1"/>
  <c r="AM250" i="1" s="1"/>
  <c r="AL211" i="1"/>
  <c r="AL250" i="1" s="1"/>
  <c r="AK211" i="1"/>
  <c r="AK250" i="1" s="1"/>
  <c r="AI211" i="1"/>
  <c r="AI236" i="1" s="1"/>
  <c r="AM161" i="1"/>
  <c r="AM198" i="1" s="1"/>
  <c r="AL161" i="1"/>
  <c r="AL193" i="1" s="1"/>
  <c r="AK161" i="1"/>
  <c r="AK198" i="1" s="1"/>
  <c r="AI161" i="1"/>
  <c r="AM111" i="1"/>
  <c r="AM124" i="1" s="1"/>
  <c r="AL111" i="1"/>
  <c r="AL121" i="1" s="1"/>
  <c r="AK111" i="1"/>
  <c r="AK146" i="1" s="1"/>
  <c r="AI111" i="1"/>
  <c r="AI135" i="1" s="1"/>
  <c r="AL61" i="1"/>
  <c r="AL82" i="1" s="1"/>
  <c r="AI61" i="1"/>
  <c r="AI96" i="1" s="1"/>
  <c r="AK61" i="1"/>
  <c r="AK87" i="1" s="1"/>
  <c r="AM61" i="1"/>
  <c r="AM100" i="1" s="1"/>
  <c r="AY711" i="1"/>
  <c r="AY736" i="1" s="1"/>
  <c r="AY661" i="1"/>
  <c r="AY691" i="1" s="1"/>
  <c r="AY611" i="1"/>
  <c r="AY561" i="1"/>
  <c r="AY511" i="1"/>
  <c r="AY548" i="1" s="1"/>
  <c r="AY461" i="1"/>
  <c r="AY411" i="1"/>
  <c r="AY450" i="1" s="1"/>
  <c r="AY361" i="1"/>
  <c r="AY311" i="1"/>
  <c r="AY339" i="1" s="1"/>
  <c r="AY261" i="1"/>
  <c r="AY300" i="1" s="1"/>
  <c r="AY211" i="1"/>
  <c r="AY232" i="1" s="1"/>
  <c r="AY161" i="1"/>
  <c r="AY200" i="1" s="1"/>
  <c r="AY111" i="1"/>
  <c r="AY61" i="1"/>
  <c r="AY100" i="1" s="1"/>
  <c r="AY11" i="1"/>
  <c r="AY44" i="1" s="1"/>
  <c r="AC711" i="1" a="1"/>
  <c r="AE711" i="1" a="1"/>
  <c r="M711" i="1" a="1"/>
  <c r="AC661" i="1" a="1"/>
  <c r="AE661" i="1" a="1"/>
  <c r="AC611" i="1" a="1"/>
  <c r="AE611" i="1" a="1"/>
  <c r="AC561" i="1" a="1"/>
  <c r="AE561" i="1" a="1"/>
  <c r="AC511" i="1" a="1"/>
  <c r="AE511" i="1" a="1"/>
  <c r="AC461" i="1" a="1"/>
  <c r="AE461" i="1" a="1"/>
  <c r="AC411" i="1" a="1"/>
  <c r="AE411" i="1" a="1"/>
  <c r="BB750" i="1"/>
  <c r="AH750" i="1"/>
  <c r="AG750" i="1"/>
  <c r="X750" i="1"/>
  <c r="BB749" i="1"/>
  <c r="AH749" i="1"/>
  <c r="AG749" i="1"/>
  <c r="X749" i="1"/>
  <c r="BB748" i="1"/>
  <c r="AH748" i="1"/>
  <c r="AG748" i="1"/>
  <c r="X748" i="1"/>
  <c r="BB747" i="1"/>
  <c r="AH747" i="1"/>
  <c r="AG747" i="1"/>
  <c r="X747" i="1"/>
  <c r="BB746" i="1"/>
  <c r="AH746" i="1"/>
  <c r="AG746" i="1"/>
  <c r="X746" i="1"/>
  <c r="BB745" i="1"/>
  <c r="AH745" i="1"/>
  <c r="AG745" i="1"/>
  <c r="X745" i="1"/>
  <c r="BB744" i="1"/>
  <c r="AH744" i="1"/>
  <c r="AG744" i="1"/>
  <c r="X744" i="1"/>
  <c r="BB743" i="1"/>
  <c r="AH743" i="1"/>
  <c r="AG743" i="1"/>
  <c r="X743" i="1"/>
  <c r="BB742" i="1"/>
  <c r="AH742" i="1"/>
  <c r="AG742" i="1"/>
  <c r="X742" i="1"/>
  <c r="BB741" i="1"/>
  <c r="AH741" i="1"/>
  <c r="AG741" i="1"/>
  <c r="X741" i="1"/>
  <c r="BB740" i="1"/>
  <c r="AH740" i="1"/>
  <c r="AG740" i="1"/>
  <c r="X740" i="1"/>
  <c r="BB739" i="1"/>
  <c r="AH739" i="1"/>
  <c r="AG739" i="1"/>
  <c r="X739" i="1"/>
  <c r="BB738" i="1"/>
  <c r="AH738" i="1"/>
  <c r="AG738" i="1"/>
  <c r="X738" i="1"/>
  <c r="BB737" i="1"/>
  <c r="AH737" i="1"/>
  <c r="AG737" i="1"/>
  <c r="X737" i="1"/>
  <c r="BB736" i="1"/>
  <c r="AH736" i="1"/>
  <c r="AG736" i="1"/>
  <c r="X736" i="1"/>
  <c r="BB735" i="1"/>
  <c r="AH735" i="1"/>
  <c r="AG735" i="1"/>
  <c r="X735" i="1"/>
  <c r="BB734" i="1"/>
  <c r="AH734" i="1"/>
  <c r="AG734" i="1"/>
  <c r="X734" i="1"/>
  <c r="BB733" i="1"/>
  <c r="AH733" i="1"/>
  <c r="AG733" i="1"/>
  <c r="X733" i="1"/>
  <c r="BB732" i="1"/>
  <c r="AH732" i="1"/>
  <c r="AG732" i="1"/>
  <c r="X732" i="1"/>
  <c r="BB731" i="1"/>
  <c r="AH731" i="1"/>
  <c r="AG731" i="1"/>
  <c r="X731" i="1"/>
  <c r="BB730" i="1"/>
  <c r="AH730" i="1"/>
  <c r="AG730" i="1"/>
  <c r="X730" i="1"/>
  <c r="BB729" i="1"/>
  <c r="AH729" i="1"/>
  <c r="AG729" i="1"/>
  <c r="X729" i="1"/>
  <c r="BB728" i="1"/>
  <c r="AH728" i="1"/>
  <c r="AG728" i="1"/>
  <c r="X728" i="1"/>
  <c r="BB727" i="1"/>
  <c r="AH727" i="1"/>
  <c r="AG727" i="1"/>
  <c r="X727" i="1"/>
  <c r="BB726" i="1"/>
  <c r="AH726" i="1"/>
  <c r="AG726" i="1"/>
  <c r="X726" i="1"/>
  <c r="BB725" i="1"/>
  <c r="AH725" i="1"/>
  <c r="AG725" i="1"/>
  <c r="X725" i="1"/>
  <c r="BB724" i="1"/>
  <c r="AH724" i="1"/>
  <c r="AG724" i="1"/>
  <c r="X724" i="1"/>
  <c r="BB723" i="1"/>
  <c r="AH723" i="1"/>
  <c r="AG723" i="1"/>
  <c r="X723" i="1"/>
  <c r="BB722" i="1"/>
  <c r="AH722" i="1"/>
  <c r="AG722" i="1"/>
  <c r="X722" i="1"/>
  <c r="BB721" i="1"/>
  <c r="AH721" i="1"/>
  <c r="AG721" i="1"/>
  <c r="X721" i="1"/>
  <c r="BB720" i="1"/>
  <c r="AH720" i="1"/>
  <c r="AG720" i="1"/>
  <c r="X720" i="1"/>
  <c r="BB719" i="1"/>
  <c r="AH719" i="1"/>
  <c r="AG719" i="1"/>
  <c r="X719" i="1"/>
  <c r="BB718" i="1"/>
  <c r="AH718" i="1"/>
  <c r="AG718" i="1"/>
  <c r="X718" i="1"/>
  <c r="BB717" i="1"/>
  <c r="AH717" i="1"/>
  <c r="AG717" i="1"/>
  <c r="X717" i="1"/>
  <c r="BB716" i="1"/>
  <c r="AH716" i="1"/>
  <c r="AG716" i="1"/>
  <c r="X716" i="1"/>
  <c r="BB715" i="1"/>
  <c r="AH715" i="1"/>
  <c r="AG715" i="1"/>
  <c r="X715" i="1"/>
  <c r="BB714" i="1"/>
  <c r="AH714" i="1"/>
  <c r="AG714" i="1"/>
  <c r="X714" i="1"/>
  <c r="BB713" i="1"/>
  <c r="AH713" i="1"/>
  <c r="AG713" i="1"/>
  <c r="X713" i="1"/>
  <c r="BB712" i="1"/>
  <c r="AH712" i="1"/>
  <c r="AG712" i="1"/>
  <c r="X712" i="1"/>
  <c r="BI711" i="1"/>
  <c r="BH711" i="1"/>
  <c r="BD711" i="1"/>
  <c r="BB711" i="1"/>
  <c r="AZ711" i="1"/>
  <c r="AH711" i="1"/>
  <c r="AG711" i="1"/>
  <c r="X711" i="1"/>
  <c r="P711" i="1" a="1"/>
  <c r="O711" i="1" a="1"/>
  <c r="BB700" i="1"/>
  <c r="AH700" i="1"/>
  <c r="AG700" i="1"/>
  <c r="X700" i="1"/>
  <c r="BB699" i="1"/>
  <c r="AH699" i="1"/>
  <c r="AG699" i="1"/>
  <c r="X699" i="1"/>
  <c r="BB698" i="1"/>
  <c r="AH698" i="1"/>
  <c r="AG698" i="1"/>
  <c r="X698" i="1"/>
  <c r="BB697" i="1"/>
  <c r="AH697" i="1"/>
  <c r="AG697" i="1"/>
  <c r="X697" i="1"/>
  <c r="BB696" i="1"/>
  <c r="AH696" i="1"/>
  <c r="AG696" i="1"/>
  <c r="X696" i="1"/>
  <c r="BB695" i="1"/>
  <c r="AH695" i="1"/>
  <c r="AG695" i="1"/>
  <c r="X695" i="1"/>
  <c r="BB694" i="1"/>
  <c r="AH694" i="1"/>
  <c r="AG694" i="1"/>
  <c r="X694" i="1"/>
  <c r="BB693" i="1"/>
  <c r="AH693" i="1"/>
  <c r="AG693" i="1"/>
  <c r="X693" i="1"/>
  <c r="BB692" i="1"/>
  <c r="AH692" i="1"/>
  <c r="AG692" i="1"/>
  <c r="X692" i="1"/>
  <c r="BB691" i="1"/>
  <c r="AH691" i="1"/>
  <c r="AG691" i="1"/>
  <c r="X691" i="1"/>
  <c r="BB690" i="1"/>
  <c r="AH690" i="1"/>
  <c r="AG690" i="1"/>
  <c r="X690" i="1"/>
  <c r="BB689" i="1"/>
  <c r="AH689" i="1"/>
  <c r="AG689" i="1"/>
  <c r="X689" i="1"/>
  <c r="BB688" i="1"/>
  <c r="AH688" i="1"/>
  <c r="AG688" i="1"/>
  <c r="X688" i="1"/>
  <c r="BB687" i="1"/>
  <c r="AH687" i="1"/>
  <c r="AG687" i="1"/>
  <c r="X687" i="1"/>
  <c r="BB686" i="1"/>
  <c r="AH686" i="1"/>
  <c r="AG686" i="1"/>
  <c r="X686" i="1"/>
  <c r="BB685" i="1"/>
  <c r="AH685" i="1"/>
  <c r="AG685" i="1"/>
  <c r="X685" i="1"/>
  <c r="BB684" i="1"/>
  <c r="AH684" i="1"/>
  <c r="AG684" i="1"/>
  <c r="X684" i="1"/>
  <c r="BB683" i="1"/>
  <c r="AH683" i="1"/>
  <c r="AG683" i="1"/>
  <c r="X683" i="1"/>
  <c r="BB682" i="1"/>
  <c r="AH682" i="1"/>
  <c r="AG682" i="1"/>
  <c r="X682" i="1"/>
  <c r="BB681" i="1"/>
  <c r="AH681" i="1"/>
  <c r="AG681" i="1"/>
  <c r="X681" i="1"/>
  <c r="BB680" i="1"/>
  <c r="AH680" i="1"/>
  <c r="AG680" i="1"/>
  <c r="X680" i="1"/>
  <c r="BB679" i="1"/>
  <c r="AH679" i="1"/>
  <c r="AG679" i="1"/>
  <c r="X679" i="1"/>
  <c r="BB678" i="1"/>
  <c r="AH678" i="1"/>
  <c r="AG678" i="1"/>
  <c r="X678" i="1"/>
  <c r="BB677" i="1"/>
  <c r="AH677" i="1"/>
  <c r="AG677" i="1"/>
  <c r="X677" i="1"/>
  <c r="BB676" i="1"/>
  <c r="AH676" i="1"/>
  <c r="AG676" i="1"/>
  <c r="X676" i="1"/>
  <c r="BB675" i="1"/>
  <c r="AH675" i="1"/>
  <c r="AG675" i="1"/>
  <c r="X675" i="1"/>
  <c r="BB674" i="1"/>
  <c r="AH674" i="1"/>
  <c r="AG674" i="1"/>
  <c r="X674" i="1"/>
  <c r="BB673" i="1"/>
  <c r="AH673" i="1"/>
  <c r="AG673" i="1"/>
  <c r="X673" i="1"/>
  <c r="BB672" i="1"/>
  <c r="AH672" i="1"/>
  <c r="AG672" i="1"/>
  <c r="X672" i="1"/>
  <c r="BB671" i="1"/>
  <c r="AH671" i="1"/>
  <c r="AG671" i="1"/>
  <c r="X671" i="1"/>
  <c r="BB670" i="1"/>
  <c r="AH670" i="1"/>
  <c r="AG670" i="1"/>
  <c r="X670" i="1"/>
  <c r="BB669" i="1"/>
  <c r="AH669" i="1"/>
  <c r="AG669" i="1"/>
  <c r="X669" i="1"/>
  <c r="BB668" i="1"/>
  <c r="AH668" i="1"/>
  <c r="AG668" i="1"/>
  <c r="X668" i="1"/>
  <c r="BB667" i="1"/>
  <c r="AH667" i="1"/>
  <c r="AG667" i="1"/>
  <c r="X667" i="1"/>
  <c r="BB666" i="1"/>
  <c r="AH666" i="1"/>
  <c r="AG666" i="1"/>
  <c r="X666" i="1"/>
  <c r="BB665" i="1"/>
  <c r="AH665" i="1"/>
  <c r="AG665" i="1"/>
  <c r="X665" i="1"/>
  <c r="BB664" i="1"/>
  <c r="AH664" i="1"/>
  <c r="AG664" i="1"/>
  <c r="X664" i="1"/>
  <c r="BB663" i="1"/>
  <c r="AH663" i="1"/>
  <c r="AG663" i="1"/>
  <c r="X663" i="1"/>
  <c r="BB662" i="1"/>
  <c r="AH662" i="1"/>
  <c r="AG662" i="1"/>
  <c r="X662" i="1"/>
  <c r="BI661" i="1"/>
  <c r="BH661" i="1"/>
  <c r="BD661" i="1"/>
  <c r="BB661" i="1"/>
  <c r="AZ661" i="1"/>
  <c r="AH661" i="1"/>
  <c r="AG661" i="1"/>
  <c r="X661" i="1"/>
  <c r="P661" i="1" a="1"/>
  <c r="O661" i="1" a="1"/>
  <c r="M661" i="1" a="1"/>
  <c r="BB650" i="1"/>
  <c r="AH650" i="1"/>
  <c r="AG650" i="1"/>
  <c r="X650" i="1"/>
  <c r="BB649" i="1"/>
  <c r="AH649" i="1"/>
  <c r="AG649" i="1"/>
  <c r="X649" i="1"/>
  <c r="BB648" i="1"/>
  <c r="AH648" i="1"/>
  <c r="AG648" i="1"/>
  <c r="X648" i="1"/>
  <c r="BB647" i="1"/>
  <c r="AH647" i="1"/>
  <c r="AG647" i="1"/>
  <c r="X647" i="1"/>
  <c r="BB646" i="1"/>
  <c r="AH646" i="1"/>
  <c r="AG646" i="1"/>
  <c r="X646" i="1"/>
  <c r="BB645" i="1"/>
  <c r="AH645" i="1"/>
  <c r="AG645" i="1"/>
  <c r="X645" i="1"/>
  <c r="BB644" i="1"/>
  <c r="AH644" i="1"/>
  <c r="AG644" i="1"/>
  <c r="X644" i="1"/>
  <c r="BB643" i="1"/>
  <c r="AH643" i="1"/>
  <c r="AG643" i="1"/>
  <c r="X643" i="1"/>
  <c r="BB642" i="1"/>
  <c r="AH642" i="1"/>
  <c r="AG642" i="1"/>
  <c r="X642" i="1"/>
  <c r="BB641" i="1"/>
  <c r="AH641" i="1"/>
  <c r="AG641" i="1"/>
  <c r="X641" i="1"/>
  <c r="BB640" i="1"/>
  <c r="AH640" i="1"/>
  <c r="AG640" i="1"/>
  <c r="X640" i="1"/>
  <c r="BB639" i="1"/>
  <c r="AH639" i="1"/>
  <c r="AG639" i="1"/>
  <c r="X639" i="1"/>
  <c r="BB638" i="1"/>
  <c r="AH638" i="1"/>
  <c r="AG638" i="1"/>
  <c r="X638" i="1"/>
  <c r="BB637" i="1"/>
  <c r="AH637" i="1"/>
  <c r="AG637" i="1"/>
  <c r="X637" i="1"/>
  <c r="BB636" i="1"/>
  <c r="AH636" i="1"/>
  <c r="AG636" i="1"/>
  <c r="X636" i="1"/>
  <c r="BB635" i="1"/>
  <c r="AH635" i="1"/>
  <c r="AG635" i="1"/>
  <c r="X635" i="1"/>
  <c r="BB634" i="1"/>
  <c r="AH634" i="1"/>
  <c r="AG634" i="1"/>
  <c r="X634" i="1"/>
  <c r="BB633" i="1"/>
  <c r="AH633" i="1"/>
  <c r="AG633" i="1"/>
  <c r="X633" i="1"/>
  <c r="BB632" i="1"/>
  <c r="AH632" i="1"/>
  <c r="AG632" i="1"/>
  <c r="X632" i="1"/>
  <c r="BB631" i="1"/>
  <c r="AH631" i="1"/>
  <c r="AG631" i="1"/>
  <c r="X631" i="1"/>
  <c r="BB630" i="1"/>
  <c r="AH630" i="1"/>
  <c r="AG630" i="1"/>
  <c r="X630" i="1"/>
  <c r="BB629" i="1"/>
  <c r="AH629" i="1"/>
  <c r="AG629" i="1"/>
  <c r="X629" i="1"/>
  <c r="BB628" i="1"/>
  <c r="AH628" i="1"/>
  <c r="AG628" i="1"/>
  <c r="X628" i="1"/>
  <c r="BB627" i="1"/>
  <c r="AH627" i="1"/>
  <c r="AG627" i="1"/>
  <c r="X627" i="1"/>
  <c r="BB626" i="1"/>
  <c r="AH626" i="1"/>
  <c r="AG626" i="1"/>
  <c r="X626" i="1"/>
  <c r="BB625" i="1"/>
  <c r="AH625" i="1"/>
  <c r="AG625" i="1"/>
  <c r="X625" i="1"/>
  <c r="BB624" i="1"/>
  <c r="AH624" i="1"/>
  <c r="AG624" i="1"/>
  <c r="X624" i="1"/>
  <c r="BB623" i="1"/>
  <c r="AH623" i="1"/>
  <c r="AG623" i="1"/>
  <c r="X623" i="1"/>
  <c r="BB622" i="1"/>
  <c r="AH622" i="1"/>
  <c r="AG622" i="1"/>
  <c r="X622" i="1"/>
  <c r="BB621" i="1"/>
  <c r="AH621" i="1"/>
  <c r="AG621" i="1"/>
  <c r="X621" i="1"/>
  <c r="BB620" i="1"/>
  <c r="AH620" i="1"/>
  <c r="AG620" i="1"/>
  <c r="X620" i="1"/>
  <c r="BB619" i="1"/>
  <c r="AH619" i="1"/>
  <c r="AG619" i="1"/>
  <c r="X619" i="1"/>
  <c r="BB618" i="1"/>
  <c r="AH618" i="1"/>
  <c r="AG618" i="1"/>
  <c r="X618" i="1"/>
  <c r="BB617" i="1"/>
  <c r="AH617" i="1"/>
  <c r="AG617" i="1"/>
  <c r="X617" i="1"/>
  <c r="BB616" i="1"/>
  <c r="AH616" i="1"/>
  <c r="AG616" i="1"/>
  <c r="X616" i="1"/>
  <c r="BB615" i="1"/>
  <c r="AH615" i="1"/>
  <c r="AG615" i="1"/>
  <c r="X615" i="1"/>
  <c r="BB614" i="1"/>
  <c r="AH614" i="1"/>
  <c r="AG614" i="1"/>
  <c r="X614" i="1"/>
  <c r="BB613" i="1"/>
  <c r="AH613" i="1"/>
  <c r="AG613" i="1"/>
  <c r="X613" i="1"/>
  <c r="BB612" i="1"/>
  <c r="AH612" i="1"/>
  <c r="AG612" i="1"/>
  <c r="X612" i="1"/>
  <c r="BI611" i="1"/>
  <c r="BH611" i="1"/>
  <c r="BD611" i="1"/>
  <c r="BB611" i="1"/>
  <c r="AZ611" i="1"/>
  <c r="AH611" i="1"/>
  <c r="AG611" i="1"/>
  <c r="X611" i="1"/>
  <c r="P611" i="1" a="1"/>
  <c r="O611" i="1" a="1"/>
  <c r="M611" i="1" a="1"/>
  <c r="BB600" i="1"/>
  <c r="AH600" i="1"/>
  <c r="AG600" i="1"/>
  <c r="X600" i="1"/>
  <c r="BB599" i="1"/>
  <c r="AH599" i="1"/>
  <c r="AG599" i="1"/>
  <c r="X599" i="1"/>
  <c r="BB598" i="1"/>
  <c r="AH598" i="1"/>
  <c r="AG598" i="1"/>
  <c r="X598" i="1"/>
  <c r="BB597" i="1"/>
  <c r="AH597" i="1"/>
  <c r="AG597" i="1"/>
  <c r="X597" i="1"/>
  <c r="BB596" i="1"/>
  <c r="AH596" i="1"/>
  <c r="AG596" i="1"/>
  <c r="X596" i="1"/>
  <c r="BB595" i="1"/>
  <c r="AH595" i="1"/>
  <c r="AG595" i="1"/>
  <c r="X595" i="1"/>
  <c r="BB594" i="1"/>
  <c r="AH594" i="1"/>
  <c r="AG594" i="1"/>
  <c r="X594" i="1"/>
  <c r="BB593" i="1"/>
  <c r="AH593" i="1"/>
  <c r="AG593" i="1"/>
  <c r="X593" i="1"/>
  <c r="BB592" i="1"/>
  <c r="AH592" i="1"/>
  <c r="AG592" i="1"/>
  <c r="X592" i="1"/>
  <c r="BB591" i="1"/>
  <c r="AH591" i="1"/>
  <c r="AG591" i="1"/>
  <c r="X591" i="1"/>
  <c r="BB590" i="1"/>
  <c r="AH590" i="1"/>
  <c r="AG590" i="1"/>
  <c r="X590" i="1"/>
  <c r="BB589" i="1"/>
  <c r="AH589" i="1"/>
  <c r="AG589" i="1"/>
  <c r="X589" i="1"/>
  <c r="BB588" i="1"/>
  <c r="AH588" i="1"/>
  <c r="AG588" i="1"/>
  <c r="X588" i="1"/>
  <c r="BB587" i="1"/>
  <c r="AH587" i="1"/>
  <c r="AG587" i="1"/>
  <c r="X587" i="1"/>
  <c r="BB586" i="1"/>
  <c r="AH586" i="1"/>
  <c r="AG586" i="1"/>
  <c r="X586" i="1"/>
  <c r="BB585" i="1"/>
  <c r="AH585" i="1"/>
  <c r="AG585" i="1"/>
  <c r="X585" i="1"/>
  <c r="BB584" i="1"/>
  <c r="AH584" i="1"/>
  <c r="AG584" i="1"/>
  <c r="X584" i="1"/>
  <c r="BB583" i="1"/>
  <c r="AH583" i="1"/>
  <c r="AG583" i="1"/>
  <c r="X583" i="1"/>
  <c r="BB582" i="1"/>
  <c r="AH582" i="1"/>
  <c r="AG582" i="1"/>
  <c r="X582" i="1"/>
  <c r="BB581" i="1"/>
  <c r="AH581" i="1"/>
  <c r="AG581" i="1"/>
  <c r="X581" i="1"/>
  <c r="BB580" i="1"/>
  <c r="AH580" i="1"/>
  <c r="AG580" i="1"/>
  <c r="X580" i="1"/>
  <c r="BB579" i="1"/>
  <c r="AH579" i="1"/>
  <c r="AG579" i="1"/>
  <c r="X579" i="1"/>
  <c r="BB578" i="1"/>
  <c r="AH578" i="1"/>
  <c r="AG578" i="1"/>
  <c r="X578" i="1"/>
  <c r="BB577" i="1"/>
  <c r="AH577" i="1"/>
  <c r="AG577" i="1"/>
  <c r="X577" i="1"/>
  <c r="BB576" i="1"/>
  <c r="AH576" i="1"/>
  <c r="AG576" i="1"/>
  <c r="X576" i="1"/>
  <c r="BB575" i="1"/>
  <c r="AH575" i="1"/>
  <c r="AG575" i="1"/>
  <c r="X575" i="1"/>
  <c r="BB574" i="1"/>
  <c r="AH574" i="1"/>
  <c r="AG574" i="1"/>
  <c r="X574" i="1"/>
  <c r="BB573" i="1"/>
  <c r="AH573" i="1"/>
  <c r="AG573" i="1"/>
  <c r="X573" i="1"/>
  <c r="BB572" i="1"/>
  <c r="AH572" i="1"/>
  <c r="AG572" i="1"/>
  <c r="X572" i="1"/>
  <c r="BB571" i="1"/>
  <c r="AH571" i="1"/>
  <c r="AG571" i="1"/>
  <c r="X571" i="1"/>
  <c r="BB570" i="1"/>
  <c r="AH570" i="1"/>
  <c r="AG570" i="1"/>
  <c r="X570" i="1"/>
  <c r="BB569" i="1"/>
  <c r="AH569" i="1"/>
  <c r="AG569" i="1"/>
  <c r="X569" i="1"/>
  <c r="BB568" i="1"/>
  <c r="AH568" i="1"/>
  <c r="AG568" i="1"/>
  <c r="X568" i="1"/>
  <c r="BB567" i="1"/>
  <c r="AH567" i="1"/>
  <c r="AG567" i="1"/>
  <c r="X567" i="1"/>
  <c r="BB566" i="1"/>
  <c r="AH566" i="1"/>
  <c r="AG566" i="1"/>
  <c r="X566" i="1"/>
  <c r="BB565" i="1"/>
  <c r="AH565" i="1"/>
  <c r="AG565" i="1"/>
  <c r="X565" i="1"/>
  <c r="BB564" i="1"/>
  <c r="AH564" i="1"/>
  <c r="AG564" i="1"/>
  <c r="X564" i="1"/>
  <c r="BB563" i="1"/>
  <c r="AH563" i="1"/>
  <c r="AG563" i="1"/>
  <c r="X563" i="1"/>
  <c r="BB562" i="1"/>
  <c r="AH562" i="1"/>
  <c r="AG562" i="1"/>
  <c r="X562" i="1"/>
  <c r="BI561" i="1"/>
  <c r="BH561" i="1"/>
  <c r="BD561" i="1"/>
  <c r="BB561" i="1"/>
  <c r="AZ561" i="1"/>
  <c r="AH561" i="1"/>
  <c r="AG561" i="1"/>
  <c r="X561" i="1"/>
  <c r="P561" i="1" a="1"/>
  <c r="O561" i="1" a="1"/>
  <c r="M561" i="1" a="1"/>
  <c r="BB550" i="1"/>
  <c r="AH550" i="1"/>
  <c r="AG550" i="1"/>
  <c r="X550" i="1"/>
  <c r="BB549" i="1"/>
  <c r="AH549" i="1"/>
  <c r="AG549" i="1"/>
  <c r="X549" i="1"/>
  <c r="BB548" i="1"/>
  <c r="AH548" i="1"/>
  <c r="AG548" i="1"/>
  <c r="X548" i="1"/>
  <c r="BB547" i="1"/>
  <c r="AH547" i="1"/>
  <c r="AG547" i="1"/>
  <c r="X547" i="1"/>
  <c r="BB546" i="1"/>
  <c r="AH546" i="1"/>
  <c r="AG546" i="1"/>
  <c r="X546" i="1"/>
  <c r="BB545" i="1"/>
  <c r="AH545" i="1"/>
  <c r="AG545" i="1"/>
  <c r="X545" i="1"/>
  <c r="BB544" i="1"/>
  <c r="AH544" i="1"/>
  <c r="AG544" i="1"/>
  <c r="X544" i="1"/>
  <c r="BB543" i="1"/>
  <c r="AH543" i="1"/>
  <c r="AG543" i="1"/>
  <c r="X543" i="1"/>
  <c r="BB542" i="1"/>
  <c r="AH542" i="1"/>
  <c r="AG542" i="1"/>
  <c r="X542" i="1"/>
  <c r="BB541" i="1"/>
  <c r="AH541" i="1"/>
  <c r="AG541" i="1"/>
  <c r="X541" i="1"/>
  <c r="BB540" i="1"/>
  <c r="AH540" i="1"/>
  <c r="AG540" i="1"/>
  <c r="X540" i="1"/>
  <c r="BB539" i="1"/>
  <c r="AH539" i="1"/>
  <c r="AG539" i="1"/>
  <c r="X539" i="1"/>
  <c r="BB538" i="1"/>
  <c r="AH538" i="1"/>
  <c r="AG538" i="1"/>
  <c r="X538" i="1"/>
  <c r="BB537" i="1"/>
  <c r="AH537" i="1"/>
  <c r="AG537" i="1"/>
  <c r="X537" i="1"/>
  <c r="BB536" i="1"/>
  <c r="AH536" i="1"/>
  <c r="AG536" i="1"/>
  <c r="X536" i="1"/>
  <c r="BB535" i="1"/>
  <c r="AH535" i="1"/>
  <c r="AG535" i="1"/>
  <c r="X535" i="1"/>
  <c r="BB534" i="1"/>
  <c r="AH534" i="1"/>
  <c r="AG534" i="1"/>
  <c r="X534" i="1"/>
  <c r="BB533" i="1"/>
  <c r="AH533" i="1"/>
  <c r="AG533" i="1"/>
  <c r="X533" i="1"/>
  <c r="BB532" i="1"/>
  <c r="AH532" i="1"/>
  <c r="AG532" i="1"/>
  <c r="X532" i="1"/>
  <c r="BB531" i="1"/>
  <c r="AH531" i="1"/>
  <c r="AG531" i="1"/>
  <c r="X531" i="1"/>
  <c r="BB530" i="1"/>
  <c r="AH530" i="1"/>
  <c r="AG530" i="1"/>
  <c r="X530" i="1"/>
  <c r="BB529" i="1"/>
  <c r="AH529" i="1"/>
  <c r="AG529" i="1"/>
  <c r="X529" i="1"/>
  <c r="BB528" i="1"/>
  <c r="AH528" i="1"/>
  <c r="AG528" i="1"/>
  <c r="X528" i="1"/>
  <c r="BB527" i="1"/>
  <c r="AH527" i="1"/>
  <c r="AG527" i="1"/>
  <c r="X527" i="1"/>
  <c r="BB526" i="1"/>
  <c r="AH526" i="1"/>
  <c r="AG526" i="1"/>
  <c r="X526" i="1"/>
  <c r="BB525" i="1"/>
  <c r="AH525" i="1"/>
  <c r="AG525" i="1"/>
  <c r="X525" i="1"/>
  <c r="BB524" i="1"/>
  <c r="AH524" i="1"/>
  <c r="AG524" i="1"/>
  <c r="X524" i="1"/>
  <c r="BB523" i="1"/>
  <c r="AH523" i="1"/>
  <c r="AG523" i="1"/>
  <c r="X523" i="1"/>
  <c r="BB522" i="1"/>
  <c r="AH522" i="1"/>
  <c r="AG522" i="1"/>
  <c r="X522" i="1"/>
  <c r="BB521" i="1"/>
  <c r="AH521" i="1"/>
  <c r="AG521" i="1"/>
  <c r="X521" i="1"/>
  <c r="BB520" i="1"/>
  <c r="AH520" i="1"/>
  <c r="AG520" i="1"/>
  <c r="X520" i="1"/>
  <c r="BB519" i="1"/>
  <c r="AH519" i="1"/>
  <c r="AG519" i="1"/>
  <c r="X519" i="1"/>
  <c r="BB518" i="1"/>
  <c r="AH518" i="1"/>
  <c r="AG518" i="1"/>
  <c r="X518" i="1"/>
  <c r="BB517" i="1"/>
  <c r="AH517" i="1"/>
  <c r="AG517" i="1"/>
  <c r="X517" i="1"/>
  <c r="BB516" i="1"/>
  <c r="AH516" i="1"/>
  <c r="AG516" i="1"/>
  <c r="X516" i="1"/>
  <c r="BB515" i="1"/>
  <c r="AH515" i="1"/>
  <c r="AG515" i="1"/>
  <c r="X515" i="1"/>
  <c r="BB514" i="1"/>
  <c r="AH514" i="1"/>
  <c r="AG514" i="1"/>
  <c r="X514" i="1"/>
  <c r="BB513" i="1"/>
  <c r="AH513" i="1"/>
  <c r="AG513" i="1"/>
  <c r="X513" i="1"/>
  <c r="BB512" i="1"/>
  <c r="AH512" i="1"/>
  <c r="AG512" i="1"/>
  <c r="X512" i="1"/>
  <c r="BI511" i="1"/>
  <c r="BH511" i="1"/>
  <c r="BD511" i="1"/>
  <c r="BB511" i="1"/>
  <c r="AZ511" i="1"/>
  <c r="AH511" i="1"/>
  <c r="AG511" i="1"/>
  <c r="X511" i="1"/>
  <c r="P511" i="1" a="1"/>
  <c r="O511" i="1" a="1"/>
  <c r="M511" i="1" a="1"/>
  <c r="BB500" i="1"/>
  <c r="AH500" i="1"/>
  <c r="AG500" i="1"/>
  <c r="X500" i="1"/>
  <c r="BB499" i="1"/>
  <c r="AH499" i="1"/>
  <c r="AG499" i="1"/>
  <c r="X499" i="1"/>
  <c r="BB498" i="1"/>
  <c r="AH498" i="1"/>
  <c r="AG498" i="1"/>
  <c r="X498" i="1"/>
  <c r="BB497" i="1"/>
  <c r="AH497" i="1"/>
  <c r="AG497" i="1"/>
  <c r="X497" i="1"/>
  <c r="BB496" i="1"/>
  <c r="AH496" i="1"/>
  <c r="AG496" i="1"/>
  <c r="X496" i="1"/>
  <c r="BB495" i="1"/>
  <c r="AH495" i="1"/>
  <c r="AG495" i="1"/>
  <c r="X495" i="1"/>
  <c r="BB494" i="1"/>
  <c r="AH494" i="1"/>
  <c r="AG494" i="1"/>
  <c r="X494" i="1"/>
  <c r="BB493" i="1"/>
  <c r="AH493" i="1"/>
  <c r="AG493" i="1"/>
  <c r="X493" i="1"/>
  <c r="BB492" i="1"/>
  <c r="AH492" i="1"/>
  <c r="AG492" i="1"/>
  <c r="X492" i="1"/>
  <c r="BB491" i="1"/>
  <c r="AH491" i="1"/>
  <c r="AG491" i="1"/>
  <c r="X491" i="1"/>
  <c r="BB490" i="1"/>
  <c r="AH490" i="1"/>
  <c r="AG490" i="1"/>
  <c r="X490" i="1"/>
  <c r="BB489" i="1"/>
  <c r="AH489" i="1"/>
  <c r="AG489" i="1"/>
  <c r="X489" i="1"/>
  <c r="BB488" i="1"/>
  <c r="AH488" i="1"/>
  <c r="AG488" i="1"/>
  <c r="X488" i="1"/>
  <c r="BB487" i="1"/>
  <c r="AH487" i="1"/>
  <c r="AG487" i="1"/>
  <c r="X487" i="1"/>
  <c r="BB486" i="1"/>
  <c r="AH486" i="1"/>
  <c r="AG486" i="1"/>
  <c r="X486" i="1"/>
  <c r="BB485" i="1"/>
  <c r="AH485" i="1"/>
  <c r="AG485" i="1"/>
  <c r="X485" i="1"/>
  <c r="BB484" i="1"/>
  <c r="AH484" i="1"/>
  <c r="AG484" i="1"/>
  <c r="X484" i="1"/>
  <c r="BB483" i="1"/>
  <c r="AH483" i="1"/>
  <c r="AG483" i="1"/>
  <c r="X483" i="1"/>
  <c r="BB482" i="1"/>
  <c r="AH482" i="1"/>
  <c r="AG482" i="1"/>
  <c r="X482" i="1"/>
  <c r="BB481" i="1"/>
  <c r="AH481" i="1"/>
  <c r="AG481" i="1"/>
  <c r="X481" i="1"/>
  <c r="BB480" i="1"/>
  <c r="AH480" i="1"/>
  <c r="AG480" i="1"/>
  <c r="X480" i="1"/>
  <c r="BB479" i="1"/>
  <c r="AH479" i="1"/>
  <c r="AG479" i="1"/>
  <c r="X479" i="1"/>
  <c r="BB478" i="1"/>
  <c r="AH478" i="1"/>
  <c r="AG478" i="1"/>
  <c r="X478" i="1"/>
  <c r="BB477" i="1"/>
  <c r="AH477" i="1"/>
  <c r="AG477" i="1"/>
  <c r="X477" i="1"/>
  <c r="BB476" i="1"/>
  <c r="AH476" i="1"/>
  <c r="AG476" i="1"/>
  <c r="X476" i="1"/>
  <c r="BB475" i="1"/>
  <c r="AH475" i="1"/>
  <c r="AG475" i="1"/>
  <c r="X475" i="1"/>
  <c r="BB474" i="1"/>
  <c r="AH474" i="1"/>
  <c r="AG474" i="1"/>
  <c r="X474" i="1"/>
  <c r="BB473" i="1"/>
  <c r="AH473" i="1"/>
  <c r="AG473" i="1"/>
  <c r="X473" i="1"/>
  <c r="BB472" i="1"/>
  <c r="AH472" i="1"/>
  <c r="AG472" i="1"/>
  <c r="X472" i="1"/>
  <c r="BB471" i="1"/>
  <c r="AH471" i="1"/>
  <c r="AG471" i="1"/>
  <c r="X471" i="1"/>
  <c r="BB470" i="1"/>
  <c r="AH470" i="1"/>
  <c r="AG470" i="1"/>
  <c r="X470" i="1"/>
  <c r="BB469" i="1"/>
  <c r="AH469" i="1"/>
  <c r="AG469" i="1"/>
  <c r="X469" i="1"/>
  <c r="BB468" i="1"/>
  <c r="AH468" i="1"/>
  <c r="AG468" i="1"/>
  <c r="X468" i="1"/>
  <c r="BB467" i="1"/>
  <c r="AH467" i="1"/>
  <c r="AG467" i="1"/>
  <c r="X467" i="1"/>
  <c r="BB466" i="1"/>
  <c r="AH466" i="1"/>
  <c r="AG466" i="1"/>
  <c r="X466" i="1"/>
  <c r="BB465" i="1"/>
  <c r="AH465" i="1"/>
  <c r="AG465" i="1"/>
  <c r="X465" i="1"/>
  <c r="BB464" i="1"/>
  <c r="AH464" i="1"/>
  <c r="AG464" i="1"/>
  <c r="X464" i="1"/>
  <c r="BB463" i="1"/>
  <c r="AH463" i="1"/>
  <c r="AG463" i="1"/>
  <c r="X463" i="1"/>
  <c r="BB462" i="1"/>
  <c r="AH462" i="1"/>
  <c r="AG462" i="1"/>
  <c r="X462" i="1"/>
  <c r="BI461" i="1"/>
  <c r="BH461" i="1"/>
  <c r="BD461" i="1"/>
  <c r="BB461" i="1"/>
  <c r="AZ461" i="1"/>
  <c r="AH461" i="1"/>
  <c r="AG461" i="1"/>
  <c r="X461" i="1"/>
  <c r="P461" i="1" a="1"/>
  <c r="O461" i="1" a="1"/>
  <c r="M461" i="1" a="1"/>
  <c r="BB450" i="1"/>
  <c r="AH450" i="1"/>
  <c r="AG450" i="1"/>
  <c r="X450" i="1"/>
  <c r="BB449" i="1"/>
  <c r="AH449" i="1"/>
  <c r="AG449" i="1"/>
  <c r="X449" i="1"/>
  <c r="BB448" i="1"/>
  <c r="AH448" i="1"/>
  <c r="AG448" i="1"/>
  <c r="X448" i="1"/>
  <c r="BB447" i="1"/>
  <c r="AH447" i="1"/>
  <c r="AG447" i="1"/>
  <c r="X447" i="1"/>
  <c r="BB446" i="1"/>
  <c r="AH446" i="1"/>
  <c r="AG446" i="1"/>
  <c r="X446" i="1"/>
  <c r="BB445" i="1"/>
  <c r="AH445" i="1"/>
  <c r="AG445" i="1"/>
  <c r="X445" i="1"/>
  <c r="BB444" i="1"/>
  <c r="AH444" i="1"/>
  <c r="AG444" i="1"/>
  <c r="X444" i="1"/>
  <c r="BB443" i="1"/>
  <c r="AH443" i="1"/>
  <c r="AG443" i="1"/>
  <c r="X443" i="1"/>
  <c r="BB442" i="1"/>
  <c r="AH442" i="1"/>
  <c r="AG442" i="1"/>
  <c r="X442" i="1"/>
  <c r="BB441" i="1"/>
  <c r="AH441" i="1"/>
  <c r="AG441" i="1"/>
  <c r="X441" i="1"/>
  <c r="BB440" i="1"/>
  <c r="AH440" i="1"/>
  <c r="AG440" i="1"/>
  <c r="X440" i="1"/>
  <c r="BB439" i="1"/>
  <c r="AH439" i="1"/>
  <c r="AG439" i="1"/>
  <c r="X439" i="1"/>
  <c r="BB438" i="1"/>
  <c r="AH438" i="1"/>
  <c r="AG438" i="1"/>
  <c r="X438" i="1"/>
  <c r="BB437" i="1"/>
  <c r="AH437" i="1"/>
  <c r="AG437" i="1"/>
  <c r="X437" i="1"/>
  <c r="BB436" i="1"/>
  <c r="AH436" i="1"/>
  <c r="AG436" i="1"/>
  <c r="X436" i="1"/>
  <c r="BB435" i="1"/>
  <c r="AH435" i="1"/>
  <c r="AG435" i="1"/>
  <c r="X435" i="1"/>
  <c r="BB434" i="1"/>
  <c r="AH434" i="1"/>
  <c r="AG434" i="1"/>
  <c r="X434" i="1"/>
  <c r="BB433" i="1"/>
  <c r="AH433" i="1"/>
  <c r="AG433" i="1"/>
  <c r="X433" i="1"/>
  <c r="BB432" i="1"/>
  <c r="AH432" i="1"/>
  <c r="AG432" i="1"/>
  <c r="X432" i="1"/>
  <c r="BB431" i="1"/>
  <c r="AH431" i="1"/>
  <c r="AG431" i="1"/>
  <c r="X431" i="1"/>
  <c r="BB430" i="1"/>
  <c r="AH430" i="1"/>
  <c r="AG430" i="1"/>
  <c r="X430" i="1"/>
  <c r="BB429" i="1"/>
  <c r="AH429" i="1"/>
  <c r="AG429" i="1"/>
  <c r="X429" i="1"/>
  <c r="BB428" i="1"/>
  <c r="AH428" i="1"/>
  <c r="AG428" i="1"/>
  <c r="X428" i="1"/>
  <c r="BB427" i="1"/>
  <c r="AH427" i="1"/>
  <c r="AG427" i="1"/>
  <c r="X427" i="1"/>
  <c r="BB426" i="1"/>
  <c r="AH426" i="1"/>
  <c r="AG426" i="1"/>
  <c r="X426" i="1"/>
  <c r="BB425" i="1"/>
  <c r="AH425" i="1"/>
  <c r="AG425" i="1"/>
  <c r="X425" i="1"/>
  <c r="BB424" i="1"/>
  <c r="AH424" i="1"/>
  <c r="AG424" i="1"/>
  <c r="X424" i="1"/>
  <c r="BB423" i="1"/>
  <c r="AH423" i="1"/>
  <c r="AG423" i="1"/>
  <c r="X423" i="1"/>
  <c r="BB422" i="1"/>
  <c r="AH422" i="1"/>
  <c r="AG422" i="1"/>
  <c r="X422" i="1"/>
  <c r="BB421" i="1"/>
  <c r="AH421" i="1"/>
  <c r="AG421" i="1"/>
  <c r="X421" i="1"/>
  <c r="BB420" i="1"/>
  <c r="AH420" i="1"/>
  <c r="AG420" i="1"/>
  <c r="X420" i="1"/>
  <c r="BB419" i="1"/>
  <c r="AH419" i="1"/>
  <c r="AG419" i="1"/>
  <c r="X419" i="1"/>
  <c r="BB418" i="1"/>
  <c r="AH418" i="1"/>
  <c r="AG418" i="1"/>
  <c r="X418" i="1"/>
  <c r="BB417" i="1"/>
  <c r="AH417" i="1"/>
  <c r="AG417" i="1"/>
  <c r="X417" i="1"/>
  <c r="BB416" i="1"/>
  <c r="AH416" i="1"/>
  <c r="AG416" i="1"/>
  <c r="X416" i="1"/>
  <c r="BB415" i="1"/>
  <c r="AH415" i="1"/>
  <c r="AG415" i="1"/>
  <c r="X415" i="1"/>
  <c r="BB414" i="1"/>
  <c r="AH414" i="1"/>
  <c r="AG414" i="1"/>
  <c r="X414" i="1"/>
  <c r="BB413" i="1"/>
  <c r="AH413" i="1"/>
  <c r="AG413" i="1"/>
  <c r="X413" i="1"/>
  <c r="BB412" i="1"/>
  <c r="AH412" i="1"/>
  <c r="AG412" i="1"/>
  <c r="X412" i="1"/>
  <c r="BI411" i="1"/>
  <c r="BH411" i="1"/>
  <c r="BD411" i="1"/>
  <c r="BB411" i="1"/>
  <c r="AZ411" i="1"/>
  <c r="AH411" i="1"/>
  <c r="AG411" i="1"/>
  <c r="X411" i="1"/>
  <c r="P411" i="1" a="1"/>
  <c r="O411" i="1" a="1"/>
  <c r="M411" i="1" a="1"/>
  <c r="BB400" i="1"/>
  <c r="AH400" i="1"/>
  <c r="AG400" i="1"/>
  <c r="X400" i="1"/>
  <c r="BB399" i="1"/>
  <c r="AH399" i="1"/>
  <c r="AG399" i="1"/>
  <c r="X399" i="1"/>
  <c r="BB398" i="1"/>
  <c r="AH398" i="1"/>
  <c r="AG398" i="1"/>
  <c r="X398" i="1"/>
  <c r="BB397" i="1"/>
  <c r="AH397" i="1"/>
  <c r="AG397" i="1"/>
  <c r="X397" i="1"/>
  <c r="BB396" i="1"/>
  <c r="AH396" i="1"/>
  <c r="AG396" i="1"/>
  <c r="X396" i="1"/>
  <c r="BB395" i="1"/>
  <c r="AH395" i="1"/>
  <c r="AG395" i="1"/>
  <c r="X395" i="1"/>
  <c r="BB394" i="1"/>
  <c r="AH394" i="1"/>
  <c r="AG394" i="1"/>
  <c r="X394" i="1"/>
  <c r="BB393" i="1"/>
  <c r="AH393" i="1"/>
  <c r="AG393" i="1"/>
  <c r="X393" i="1"/>
  <c r="BB392" i="1"/>
  <c r="AH392" i="1"/>
  <c r="AG392" i="1"/>
  <c r="X392" i="1"/>
  <c r="BB391" i="1"/>
  <c r="AH391" i="1"/>
  <c r="AG391" i="1"/>
  <c r="X391" i="1"/>
  <c r="BB390" i="1"/>
  <c r="AH390" i="1"/>
  <c r="AG390" i="1"/>
  <c r="X390" i="1"/>
  <c r="BB389" i="1"/>
  <c r="AH389" i="1"/>
  <c r="AG389" i="1"/>
  <c r="X389" i="1"/>
  <c r="BB388" i="1"/>
  <c r="AH388" i="1"/>
  <c r="AG388" i="1"/>
  <c r="X388" i="1"/>
  <c r="BB387" i="1"/>
  <c r="AH387" i="1"/>
  <c r="AG387" i="1"/>
  <c r="X387" i="1"/>
  <c r="BB386" i="1"/>
  <c r="AH386" i="1"/>
  <c r="AG386" i="1"/>
  <c r="X386" i="1"/>
  <c r="BB385" i="1"/>
  <c r="AH385" i="1"/>
  <c r="AG385" i="1"/>
  <c r="X385" i="1"/>
  <c r="BB384" i="1"/>
  <c r="AH384" i="1"/>
  <c r="AG384" i="1"/>
  <c r="X384" i="1"/>
  <c r="BB383" i="1"/>
  <c r="AH383" i="1"/>
  <c r="AG383" i="1"/>
  <c r="X383" i="1"/>
  <c r="BB382" i="1"/>
  <c r="AH382" i="1"/>
  <c r="AG382" i="1"/>
  <c r="X382" i="1"/>
  <c r="BB381" i="1"/>
  <c r="AH381" i="1"/>
  <c r="AG381" i="1"/>
  <c r="X381" i="1"/>
  <c r="BB380" i="1"/>
  <c r="AH380" i="1"/>
  <c r="AG380" i="1"/>
  <c r="X380" i="1"/>
  <c r="BB379" i="1"/>
  <c r="AH379" i="1"/>
  <c r="AG379" i="1"/>
  <c r="X379" i="1"/>
  <c r="BB378" i="1"/>
  <c r="AH378" i="1"/>
  <c r="AG378" i="1"/>
  <c r="X378" i="1"/>
  <c r="BB377" i="1"/>
  <c r="AH377" i="1"/>
  <c r="AG377" i="1"/>
  <c r="X377" i="1"/>
  <c r="BB376" i="1"/>
  <c r="AH376" i="1"/>
  <c r="AG376" i="1"/>
  <c r="X376" i="1"/>
  <c r="BB375" i="1"/>
  <c r="AH375" i="1"/>
  <c r="AG375" i="1"/>
  <c r="X375" i="1"/>
  <c r="BB374" i="1"/>
  <c r="AH374" i="1"/>
  <c r="AG374" i="1"/>
  <c r="X374" i="1"/>
  <c r="BB373" i="1"/>
  <c r="AH373" i="1"/>
  <c r="AG373" i="1"/>
  <c r="X373" i="1"/>
  <c r="BB372" i="1"/>
  <c r="AH372" i="1"/>
  <c r="AG372" i="1"/>
  <c r="X372" i="1"/>
  <c r="BB371" i="1"/>
  <c r="AH371" i="1"/>
  <c r="AG371" i="1"/>
  <c r="X371" i="1"/>
  <c r="BB370" i="1"/>
  <c r="AH370" i="1"/>
  <c r="AG370" i="1"/>
  <c r="X370" i="1"/>
  <c r="BB369" i="1"/>
  <c r="AH369" i="1"/>
  <c r="AG369" i="1"/>
  <c r="X369" i="1"/>
  <c r="BB368" i="1"/>
  <c r="AH368" i="1"/>
  <c r="AG368" i="1"/>
  <c r="X368" i="1"/>
  <c r="BB367" i="1"/>
  <c r="AH367" i="1"/>
  <c r="AG367" i="1"/>
  <c r="X367" i="1"/>
  <c r="BB366" i="1"/>
  <c r="AH366" i="1"/>
  <c r="AG366" i="1"/>
  <c r="X366" i="1"/>
  <c r="BB365" i="1"/>
  <c r="AH365" i="1"/>
  <c r="AG365" i="1"/>
  <c r="X365" i="1"/>
  <c r="BB364" i="1"/>
  <c r="AH364" i="1"/>
  <c r="AG364" i="1"/>
  <c r="X364" i="1"/>
  <c r="BB363" i="1"/>
  <c r="AH363" i="1"/>
  <c r="AG363" i="1"/>
  <c r="X363" i="1"/>
  <c r="BB362" i="1"/>
  <c r="AH362" i="1"/>
  <c r="AG362" i="1"/>
  <c r="X362" i="1"/>
  <c r="BI361" i="1"/>
  <c r="BH361" i="1"/>
  <c r="BD361" i="1"/>
  <c r="BB361" i="1"/>
  <c r="AZ361" i="1"/>
  <c r="AC361" i="1" a="1"/>
  <c r="AH361" i="1"/>
  <c r="AG361" i="1"/>
  <c r="AE361" i="1" a="1"/>
  <c r="X361" i="1"/>
  <c r="P361" i="1" a="1"/>
  <c r="O361" i="1" a="1"/>
  <c r="M361" i="1" a="1"/>
  <c r="BB350" i="1"/>
  <c r="AH350" i="1"/>
  <c r="AG350" i="1"/>
  <c r="X350" i="1"/>
  <c r="BB349" i="1"/>
  <c r="AH349" i="1"/>
  <c r="AG349" i="1"/>
  <c r="X349" i="1"/>
  <c r="BB348" i="1"/>
  <c r="AH348" i="1"/>
  <c r="AG348" i="1"/>
  <c r="X348" i="1"/>
  <c r="BB347" i="1"/>
  <c r="AH347" i="1"/>
  <c r="AG347" i="1"/>
  <c r="X347" i="1"/>
  <c r="BB346" i="1"/>
  <c r="AH346" i="1"/>
  <c r="AG346" i="1"/>
  <c r="X346" i="1"/>
  <c r="BB345" i="1"/>
  <c r="AH345" i="1"/>
  <c r="AG345" i="1"/>
  <c r="X345" i="1"/>
  <c r="BB344" i="1"/>
  <c r="AH344" i="1"/>
  <c r="AG344" i="1"/>
  <c r="X344" i="1"/>
  <c r="BB343" i="1"/>
  <c r="AH343" i="1"/>
  <c r="AG343" i="1"/>
  <c r="X343" i="1"/>
  <c r="BB342" i="1"/>
  <c r="AH342" i="1"/>
  <c r="AG342" i="1"/>
  <c r="X342" i="1"/>
  <c r="BB341" i="1"/>
  <c r="AH341" i="1"/>
  <c r="AG341" i="1"/>
  <c r="X341" i="1"/>
  <c r="BB340" i="1"/>
  <c r="AH340" i="1"/>
  <c r="AG340" i="1"/>
  <c r="X340" i="1"/>
  <c r="BB339" i="1"/>
  <c r="AH339" i="1"/>
  <c r="AG339" i="1"/>
  <c r="X339" i="1"/>
  <c r="BB338" i="1"/>
  <c r="AH338" i="1"/>
  <c r="AG338" i="1"/>
  <c r="X338" i="1"/>
  <c r="BB337" i="1"/>
  <c r="AH337" i="1"/>
  <c r="AG337" i="1"/>
  <c r="X337" i="1"/>
  <c r="BB336" i="1"/>
  <c r="AH336" i="1"/>
  <c r="AG336" i="1"/>
  <c r="X336" i="1"/>
  <c r="BB335" i="1"/>
  <c r="AH335" i="1"/>
  <c r="AG335" i="1"/>
  <c r="X335" i="1"/>
  <c r="BB334" i="1"/>
  <c r="AH334" i="1"/>
  <c r="AG334" i="1"/>
  <c r="X334" i="1"/>
  <c r="BB333" i="1"/>
  <c r="AH333" i="1"/>
  <c r="AG333" i="1"/>
  <c r="X333" i="1"/>
  <c r="BB332" i="1"/>
  <c r="AH332" i="1"/>
  <c r="AG332" i="1"/>
  <c r="X332" i="1"/>
  <c r="BB331" i="1"/>
  <c r="AH331" i="1"/>
  <c r="AG331" i="1"/>
  <c r="X331" i="1"/>
  <c r="BB330" i="1"/>
  <c r="AH330" i="1"/>
  <c r="AG330" i="1"/>
  <c r="X330" i="1"/>
  <c r="BB329" i="1"/>
  <c r="AH329" i="1"/>
  <c r="AG329" i="1"/>
  <c r="X329" i="1"/>
  <c r="BB328" i="1"/>
  <c r="AH328" i="1"/>
  <c r="AG328" i="1"/>
  <c r="X328" i="1"/>
  <c r="BB327" i="1"/>
  <c r="AH327" i="1"/>
  <c r="AG327" i="1"/>
  <c r="X327" i="1"/>
  <c r="BB326" i="1"/>
  <c r="AH326" i="1"/>
  <c r="AG326" i="1"/>
  <c r="X326" i="1"/>
  <c r="BB325" i="1"/>
  <c r="AH325" i="1"/>
  <c r="AG325" i="1"/>
  <c r="X325" i="1"/>
  <c r="BB324" i="1"/>
  <c r="AH324" i="1"/>
  <c r="AG324" i="1"/>
  <c r="X324" i="1"/>
  <c r="BB323" i="1"/>
  <c r="AH323" i="1"/>
  <c r="AG323" i="1"/>
  <c r="X323" i="1"/>
  <c r="BB322" i="1"/>
  <c r="AH322" i="1"/>
  <c r="AG322" i="1"/>
  <c r="X322" i="1"/>
  <c r="BB321" i="1"/>
  <c r="AH321" i="1"/>
  <c r="AG321" i="1"/>
  <c r="X321" i="1"/>
  <c r="BB320" i="1"/>
  <c r="AH320" i="1"/>
  <c r="AG320" i="1"/>
  <c r="X320" i="1"/>
  <c r="BB319" i="1"/>
  <c r="AH319" i="1"/>
  <c r="AG319" i="1"/>
  <c r="X319" i="1"/>
  <c r="BB318" i="1"/>
  <c r="AH318" i="1"/>
  <c r="AG318" i="1"/>
  <c r="X318" i="1"/>
  <c r="BB317" i="1"/>
  <c r="AH317" i="1"/>
  <c r="AG317" i="1"/>
  <c r="X317" i="1"/>
  <c r="BB316" i="1"/>
  <c r="AH316" i="1"/>
  <c r="AG316" i="1"/>
  <c r="X316" i="1"/>
  <c r="BB315" i="1"/>
  <c r="AH315" i="1"/>
  <c r="AG315" i="1"/>
  <c r="X315" i="1"/>
  <c r="BB314" i="1"/>
  <c r="AH314" i="1"/>
  <c r="AG314" i="1"/>
  <c r="X314" i="1"/>
  <c r="BB313" i="1"/>
  <c r="AH313" i="1"/>
  <c r="AG313" i="1"/>
  <c r="X313" i="1"/>
  <c r="BB312" i="1"/>
  <c r="AH312" i="1"/>
  <c r="AG312" i="1"/>
  <c r="X312" i="1"/>
  <c r="BI311" i="1"/>
  <c r="BH311" i="1"/>
  <c r="BD311" i="1"/>
  <c r="BB311" i="1"/>
  <c r="AZ311" i="1"/>
  <c r="AC311" i="1" a="1"/>
  <c r="AH311" i="1"/>
  <c r="AG311" i="1"/>
  <c r="AE311" i="1" a="1"/>
  <c r="X311" i="1"/>
  <c r="P311" i="1" a="1"/>
  <c r="O311" i="1" a="1"/>
  <c r="M311" i="1" a="1"/>
  <c r="BB300" i="1"/>
  <c r="AH300" i="1"/>
  <c r="AG300" i="1"/>
  <c r="X300" i="1"/>
  <c r="BB299" i="1"/>
  <c r="AH299" i="1"/>
  <c r="AG299" i="1"/>
  <c r="X299" i="1"/>
  <c r="BB298" i="1"/>
  <c r="AH298" i="1"/>
  <c r="AG298" i="1"/>
  <c r="X298" i="1"/>
  <c r="BB297" i="1"/>
  <c r="AH297" i="1"/>
  <c r="AG297" i="1"/>
  <c r="X297" i="1"/>
  <c r="BB296" i="1"/>
  <c r="AH296" i="1"/>
  <c r="AG296" i="1"/>
  <c r="X296" i="1"/>
  <c r="BB295" i="1"/>
  <c r="AH295" i="1"/>
  <c r="AG295" i="1"/>
  <c r="X295" i="1"/>
  <c r="BB294" i="1"/>
  <c r="AH294" i="1"/>
  <c r="AG294" i="1"/>
  <c r="X294" i="1"/>
  <c r="BB293" i="1"/>
  <c r="AH293" i="1"/>
  <c r="AG293" i="1"/>
  <c r="X293" i="1"/>
  <c r="BB292" i="1"/>
  <c r="AH292" i="1"/>
  <c r="AG292" i="1"/>
  <c r="X292" i="1"/>
  <c r="BB291" i="1"/>
  <c r="AH291" i="1"/>
  <c r="AG291" i="1"/>
  <c r="X291" i="1"/>
  <c r="BB290" i="1"/>
  <c r="AH290" i="1"/>
  <c r="AG290" i="1"/>
  <c r="X290" i="1"/>
  <c r="BB289" i="1"/>
  <c r="AH289" i="1"/>
  <c r="AG289" i="1"/>
  <c r="X289" i="1"/>
  <c r="BB288" i="1"/>
  <c r="AH288" i="1"/>
  <c r="AG288" i="1"/>
  <c r="X288" i="1"/>
  <c r="BB287" i="1"/>
  <c r="AH287" i="1"/>
  <c r="AG287" i="1"/>
  <c r="X287" i="1"/>
  <c r="BB286" i="1"/>
  <c r="AH286" i="1"/>
  <c r="AG286" i="1"/>
  <c r="X286" i="1"/>
  <c r="BB285" i="1"/>
  <c r="AH285" i="1"/>
  <c r="AG285" i="1"/>
  <c r="X285" i="1"/>
  <c r="BB284" i="1"/>
  <c r="AH284" i="1"/>
  <c r="AG284" i="1"/>
  <c r="X284" i="1"/>
  <c r="BB283" i="1"/>
  <c r="AH283" i="1"/>
  <c r="AG283" i="1"/>
  <c r="X283" i="1"/>
  <c r="BB282" i="1"/>
  <c r="AH282" i="1"/>
  <c r="AG282" i="1"/>
  <c r="X282" i="1"/>
  <c r="BB281" i="1"/>
  <c r="AH281" i="1"/>
  <c r="AG281" i="1"/>
  <c r="X281" i="1"/>
  <c r="BB280" i="1"/>
  <c r="AH280" i="1"/>
  <c r="AG280" i="1"/>
  <c r="X280" i="1"/>
  <c r="BB279" i="1"/>
  <c r="AH279" i="1"/>
  <c r="AG279" i="1"/>
  <c r="X279" i="1"/>
  <c r="BB278" i="1"/>
  <c r="AH278" i="1"/>
  <c r="AG278" i="1"/>
  <c r="X278" i="1"/>
  <c r="BB277" i="1"/>
  <c r="AH277" i="1"/>
  <c r="AG277" i="1"/>
  <c r="X277" i="1"/>
  <c r="BB276" i="1"/>
  <c r="AH276" i="1"/>
  <c r="AG276" i="1"/>
  <c r="X276" i="1"/>
  <c r="BB275" i="1"/>
  <c r="AH275" i="1"/>
  <c r="AG275" i="1"/>
  <c r="X275" i="1"/>
  <c r="BB274" i="1"/>
  <c r="AH274" i="1"/>
  <c r="AG274" i="1"/>
  <c r="X274" i="1"/>
  <c r="BB273" i="1"/>
  <c r="AH273" i="1"/>
  <c r="AG273" i="1"/>
  <c r="X273" i="1"/>
  <c r="BB272" i="1"/>
  <c r="AH272" i="1"/>
  <c r="AG272" i="1"/>
  <c r="X272" i="1"/>
  <c r="BB271" i="1"/>
  <c r="AH271" i="1"/>
  <c r="AG271" i="1"/>
  <c r="X271" i="1"/>
  <c r="BB270" i="1"/>
  <c r="AH270" i="1"/>
  <c r="AG270" i="1"/>
  <c r="X270" i="1"/>
  <c r="BB269" i="1"/>
  <c r="AH269" i="1"/>
  <c r="AG269" i="1"/>
  <c r="X269" i="1"/>
  <c r="BB268" i="1"/>
  <c r="AH268" i="1"/>
  <c r="AG268" i="1"/>
  <c r="X268" i="1"/>
  <c r="BB267" i="1"/>
  <c r="AH267" i="1"/>
  <c r="AG267" i="1"/>
  <c r="X267" i="1"/>
  <c r="BB266" i="1"/>
  <c r="AH266" i="1"/>
  <c r="AG266" i="1"/>
  <c r="X266" i="1"/>
  <c r="BB265" i="1"/>
  <c r="AH265" i="1"/>
  <c r="AG265" i="1"/>
  <c r="X265" i="1"/>
  <c r="BB264" i="1"/>
  <c r="AH264" i="1"/>
  <c r="AG264" i="1"/>
  <c r="X264" i="1"/>
  <c r="BB263" i="1"/>
  <c r="AH263" i="1"/>
  <c r="AG263" i="1"/>
  <c r="X263" i="1"/>
  <c r="BB262" i="1"/>
  <c r="AH262" i="1"/>
  <c r="AG262" i="1"/>
  <c r="X262" i="1"/>
  <c r="BI261" i="1"/>
  <c r="BH261" i="1"/>
  <c r="BD261" i="1"/>
  <c r="BB261" i="1"/>
  <c r="AZ261" i="1"/>
  <c r="AC261" i="1" a="1"/>
  <c r="AH261" i="1"/>
  <c r="AG261" i="1"/>
  <c r="AE261" i="1" a="1"/>
  <c r="X261" i="1"/>
  <c r="P261" i="1" a="1"/>
  <c r="O261" i="1" a="1"/>
  <c r="M261" i="1" a="1"/>
  <c r="BB250" i="1"/>
  <c r="AH250" i="1"/>
  <c r="AG250" i="1"/>
  <c r="X250" i="1"/>
  <c r="BB249" i="1"/>
  <c r="AH249" i="1"/>
  <c r="AG249" i="1"/>
  <c r="X249" i="1"/>
  <c r="BB248" i="1"/>
  <c r="AH248" i="1"/>
  <c r="AG248" i="1"/>
  <c r="X248" i="1"/>
  <c r="BB247" i="1"/>
  <c r="AH247" i="1"/>
  <c r="AG247" i="1"/>
  <c r="X247" i="1"/>
  <c r="BB246" i="1"/>
  <c r="AH246" i="1"/>
  <c r="AG246" i="1"/>
  <c r="X246" i="1"/>
  <c r="BB245" i="1"/>
  <c r="AH245" i="1"/>
  <c r="AG245" i="1"/>
  <c r="X245" i="1"/>
  <c r="BB244" i="1"/>
  <c r="AH244" i="1"/>
  <c r="AG244" i="1"/>
  <c r="X244" i="1"/>
  <c r="BB243" i="1"/>
  <c r="AH243" i="1"/>
  <c r="AG243" i="1"/>
  <c r="X243" i="1"/>
  <c r="BB242" i="1"/>
  <c r="AH242" i="1"/>
  <c r="AG242" i="1"/>
  <c r="X242" i="1"/>
  <c r="BB241" i="1"/>
  <c r="AH241" i="1"/>
  <c r="AG241" i="1"/>
  <c r="X241" i="1"/>
  <c r="BB240" i="1"/>
  <c r="AH240" i="1"/>
  <c r="AG240" i="1"/>
  <c r="X240" i="1"/>
  <c r="BB239" i="1"/>
  <c r="AH239" i="1"/>
  <c r="AG239" i="1"/>
  <c r="X239" i="1"/>
  <c r="BB238" i="1"/>
  <c r="AH238" i="1"/>
  <c r="AG238" i="1"/>
  <c r="X238" i="1"/>
  <c r="BB237" i="1"/>
  <c r="AH237" i="1"/>
  <c r="AG237" i="1"/>
  <c r="X237" i="1"/>
  <c r="BB236" i="1"/>
  <c r="AH236" i="1"/>
  <c r="AG236" i="1"/>
  <c r="X236" i="1"/>
  <c r="BB235" i="1"/>
  <c r="AH235" i="1"/>
  <c r="AG235" i="1"/>
  <c r="X235" i="1"/>
  <c r="BB234" i="1"/>
  <c r="AH234" i="1"/>
  <c r="AG234" i="1"/>
  <c r="X234" i="1"/>
  <c r="BB233" i="1"/>
  <c r="AH233" i="1"/>
  <c r="AG233" i="1"/>
  <c r="X233" i="1"/>
  <c r="BB232" i="1"/>
  <c r="AH232" i="1"/>
  <c r="AG232" i="1"/>
  <c r="X232" i="1"/>
  <c r="BB231" i="1"/>
  <c r="AH231" i="1"/>
  <c r="AG231" i="1"/>
  <c r="X231" i="1"/>
  <c r="BB230" i="1"/>
  <c r="AH230" i="1"/>
  <c r="AG230" i="1"/>
  <c r="X230" i="1"/>
  <c r="BB229" i="1"/>
  <c r="AH229" i="1"/>
  <c r="AG229" i="1"/>
  <c r="X229" i="1"/>
  <c r="BB228" i="1"/>
  <c r="AH228" i="1"/>
  <c r="AG228" i="1"/>
  <c r="X228" i="1"/>
  <c r="BB227" i="1"/>
  <c r="AH227" i="1"/>
  <c r="AG227" i="1"/>
  <c r="X227" i="1"/>
  <c r="BB226" i="1"/>
  <c r="AH226" i="1"/>
  <c r="AG226" i="1"/>
  <c r="X226" i="1"/>
  <c r="BB225" i="1"/>
  <c r="AH225" i="1"/>
  <c r="AG225" i="1"/>
  <c r="X225" i="1"/>
  <c r="BB224" i="1"/>
  <c r="AH224" i="1"/>
  <c r="AG224" i="1"/>
  <c r="X224" i="1"/>
  <c r="BB223" i="1"/>
  <c r="AH223" i="1"/>
  <c r="AG223" i="1"/>
  <c r="X223" i="1"/>
  <c r="BB222" i="1"/>
  <c r="AH222" i="1"/>
  <c r="AG222" i="1"/>
  <c r="X222" i="1"/>
  <c r="BB221" i="1"/>
  <c r="AH221" i="1"/>
  <c r="AG221" i="1"/>
  <c r="X221" i="1"/>
  <c r="BB220" i="1"/>
  <c r="AH220" i="1"/>
  <c r="AG220" i="1"/>
  <c r="X220" i="1"/>
  <c r="BB219" i="1"/>
  <c r="AH219" i="1"/>
  <c r="AG219" i="1"/>
  <c r="X219" i="1"/>
  <c r="BB218" i="1"/>
  <c r="AH218" i="1"/>
  <c r="AG218" i="1"/>
  <c r="X218" i="1"/>
  <c r="BB217" i="1"/>
  <c r="AH217" i="1"/>
  <c r="AG217" i="1"/>
  <c r="X217" i="1"/>
  <c r="BB216" i="1"/>
  <c r="AH216" i="1"/>
  <c r="AG216" i="1"/>
  <c r="X216" i="1"/>
  <c r="BB215" i="1"/>
  <c r="AH215" i="1"/>
  <c r="AG215" i="1"/>
  <c r="X215" i="1"/>
  <c r="BB214" i="1"/>
  <c r="AH214" i="1"/>
  <c r="AG214" i="1"/>
  <c r="X214" i="1"/>
  <c r="BB213" i="1"/>
  <c r="AH213" i="1"/>
  <c r="AG213" i="1"/>
  <c r="X213" i="1"/>
  <c r="BB212" i="1"/>
  <c r="AH212" i="1"/>
  <c r="AG212" i="1"/>
  <c r="X212" i="1"/>
  <c r="BI211" i="1"/>
  <c r="BH211" i="1"/>
  <c r="BD211" i="1"/>
  <c r="BB211" i="1"/>
  <c r="AZ211" i="1"/>
  <c r="AC211" i="1" a="1"/>
  <c r="AH211" i="1"/>
  <c r="AG211" i="1"/>
  <c r="AE211" i="1" a="1"/>
  <c r="X211" i="1"/>
  <c r="P211" i="1" a="1"/>
  <c r="O211" i="1" a="1"/>
  <c r="M211" i="1" a="1"/>
  <c r="BB200" i="1"/>
  <c r="AH200" i="1"/>
  <c r="AG200" i="1"/>
  <c r="X200" i="1"/>
  <c r="BB199" i="1"/>
  <c r="AH199" i="1"/>
  <c r="AG199" i="1"/>
  <c r="X199" i="1"/>
  <c r="BB198" i="1"/>
  <c r="AH198" i="1"/>
  <c r="AG198" i="1"/>
  <c r="X198" i="1"/>
  <c r="BB197" i="1"/>
  <c r="AH197" i="1"/>
  <c r="AG197" i="1"/>
  <c r="X197" i="1"/>
  <c r="BB196" i="1"/>
  <c r="AH196" i="1"/>
  <c r="AG196" i="1"/>
  <c r="X196" i="1"/>
  <c r="BB195" i="1"/>
  <c r="AH195" i="1"/>
  <c r="AG195" i="1"/>
  <c r="X195" i="1"/>
  <c r="BB194" i="1"/>
  <c r="AH194" i="1"/>
  <c r="AG194" i="1"/>
  <c r="X194" i="1"/>
  <c r="BB193" i="1"/>
  <c r="AH193" i="1"/>
  <c r="AG193" i="1"/>
  <c r="X193" i="1"/>
  <c r="BB192" i="1"/>
  <c r="AH192" i="1"/>
  <c r="AG192" i="1"/>
  <c r="X192" i="1"/>
  <c r="BB191" i="1"/>
  <c r="AH191" i="1"/>
  <c r="AG191" i="1"/>
  <c r="X191" i="1"/>
  <c r="BB190" i="1"/>
  <c r="AH190" i="1"/>
  <c r="AG190" i="1"/>
  <c r="X190" i="1"/>
  <c r="BB189" i="1"/>
  <c r="AH189" i="1"/>
  <c r="AG189" i="1"/>
  <c r="X189" i="1"/>
  <c r="BB188" i="1"/>
  <c r="AH188" i="1"/>
  <c r="AG188" i="1"/>
  <c r="X188" i="1"/>
  <c r="BB187" i="1"/>
  <c r="AH187" i="1"/>
  <c r="AG187" i="1"/>
  <c r="X187" i="1"/>
  <c r="BB186" i="1"/>
  <c r="AH186" i="1"/>
  <c r="AG186" i="1"/>
  <c r="X186" i="1"/>
  <c r="BB185" i="1"/>
  <c r="AH185" i="1"/>
  <c r="AG185" i="1"/>
  <c r="X185" i="1"/>
  <c r="BB184" i="1"/>
  <c r="AH184" i="1"/>
  <c r="AG184" i="1"/>
  <c r="X184" i="1"/>
  <c r="BB183" i="1"/>
  <c r="AH183" i="1"/>
  <c r="AG183" i="1"/>
  <c r="X183" i="1"/>
  <c r="BB182" i="1"/>
  <c r="AH182" i="1"/>
  <c r="AG182" i="1"/>
  <c r="X182" i="1"/>
  <c r="BB181" i="1"/>
  <c r="AH181" i="1"/>
  <c r="AG181" i="1"/>
  <c r="X181" i="1"/>
  <c r="BB180" i="1"/>
  <c r="AH180" i="1"/>
  <c r="AG180" i="1"/>
  <c r="X180" i="1"/>
  <c r="BB179" i="1"/>
  <c r="AH179" i="1"/>
  <c r="AG179" i="1"/>
  <c r="X179" i="1"/>
  <c r="BB178" i="1"/>
  <c r="AH178" i="1"/>
  <c r="AG178" i="1"/>
  <c r="X178" i="1"/>
  <c r="BB177" i="1"/>
  <c r="AH177" i="1"/>
  <c r="AG177" i="1"/>
  <c r="X177" i="1"/>
  <c r="BB176" i="1"/>
  <c r="AH176" i="1"/>
  <c r="AG176" i="1"/>
  <c r="X176" i="1"/>
  <c r="BB175" i="1"/>
  <c r="AH175" i="1"/>
  <c r="AG175" i="1"/>
  <c r="X175" i="1"/>
  <c r="BB174" i="1"/>
  <c r="AH174" i="1"/>
  <c r="AG174" i="1"/>
  <c r="X174" i="1"/>
  <c r="BB173" i="1"/>
  <c r="AH173" i="1"/>
  <c r="AG173" i="1"/>
  <c r="X173" i="1"/>
  <c r="BB172" i="1"/>
  <c r="AH172" i="1"/>
  <c r="AG172" i="1"/>
  <c r="X172" i="1"/>
  <c r="BB171" i="1"/>
  <c r="AH171" i="1"/>
  <c r="AG171" i="1"/>
  <c r="X171" i="1"/>
  <c r="BB170" i="1"/>
  <c r="AH170" i="1"/>
  <c r="AG170" i="1"/>
  <c r="X170" i="1"/>
  <c r="BB169" i="1"/>
  <c r="AH169" i="1"/>
  <c r="AG169" i="1"/>
  <c r="X169" i="1"/>
  <c r="BB168" i="1"/>
  <c r="AH168" i="1"/>
  <c r="AG168" i="1"/>
  <c r="X168" i="1"/>
  <c r="BB167" i="1"/>
  <c r="AH167" i="1"/>
  <c r="AG167" i="1"/>
  <c r="X167" i="1"/>
  <c r="BB166" i="1"/>
  <c r="AH166" i="1"/>
  <c r="AG166" i="1"/>
  <c r="X166" i="1"/>
  <c r="BB165" i="1"/>
  <c r="AH165" i="1"/>
  <c r="AG165" i="1"/>
  <c r="X165" i="1"/>
  <c r="BB164" i="1"/>
  <c r="AH164" i="1"/>
  <c r="AG164" i="1"/>
  <c r="X164" i="1"/>
  <c r="BB163" i="1"/>
  <c r="AH163" i="1"/>
  <c r="AG163" i="1"/>
  <c r="X163" i="1"/>
  <c r="BB162" i="1"/>
  <c r="AH162" i="1"/>
  <c r="AG162" i="1"/>
  <c r="X162" i="1"/>
  <c r="BI161" i="1"/>
  <c r="BH161" i="1"/>
  <c r="BD161" i="1"/>
  <c r="BB161" i="1"/>
  <c r="AZ161" i="1"/>
  <c r="AC161" i="1" a="1"/>
  <c r="AH161" i="1"/>
  <c r="AG161" i="1"/>
  <c r="AE161" i="1" a="1"/>
  <c r="X161" i="1"/>
  <c r="P161" i="1" a="1"/>
  <c r="O161" i="1" a="1"/>
  <c r="M161" i="1" a="1"/>
  <c r="BB100" i="1"/>
  <c r="AH100" i="1"/>
  <c r="AG100" i="1"/>
  <c r="X100" i="1"/>
  <c r="BB99" i="1"/>
  <c r="AH99" i="1"/>
  <c r="AG99" i="1"/>
  <c r="X99" i="1"/>
  <c r="BB98" i="1"/>
  <c r="AH98" i="1"/>
  <c r="AG98" i="1"/>
  <c r="X98" i="1"/>
  <c r="BB97" i="1"/>
  <c r="AH97" i="1"/>
  <c r="AG97" i="1"/>
  <c r="X97" i="1"/>
  <c r="BB96" i="1"/>
  <c r="AH96" i="1"/>
  <c r="AG96" i="1"/>
  <c r="X96" i="1"/>
  <c r="BB95" i="1"/>
  <c r="AH95" i="1"/>
  <c r="AG95" i="1"/>
  <c r="X95" i="1"/>
  <c r="BB94" i="1"/>
  <c r="AH94" i="1"/>
  <c r="AG94" i="1"/>
  <c r="X94" i="1"/>
  <c r="BB93" i="1"/>
  <c r="AH93" i="1"/>
  <c r="AG93" i="1"/>
  <c r="X93" i="1"/>
  <c r="BB92" i="1"/>
  <c r="AH92" i="1"/>
  <c r="AG92" i="1"/>
  <c r="X92" i="1"/>
  <c r="BB91" i="1"/>
  <c r="AH91" i="1"/>
  <c r="AG91" i="1"/>
  <c r="X91" i="1"/>
  <c r="BB90" i="1"/>
  <c r="AH90" i="1"/>
  <c r="AG90" i="1"/>
  <c r="X90" i="1"/>
  <c r="BB89" i="1"/>
  <c r="AH89" i="1"/>
  <c r="AG89" i="1"/>
  <c r="X89" i="1"/>
  <c r="BB88" i="1"/>
  <c r="AH88" i="1"/>
  <c r="AG88" i="1"/>
  <c r="X88" i="1"/>
  <c r="BB87" i="1"/>
  <c r="AH87" i="1"/>
  <c r="AG87" i="1"/>
  <c r="X87" i="1"/>
  <c r="BB86" i="1"/>
  <c r="AH86" i="1"/>
  <c r="AG86" i="1"/>
  <c r="X86" i="1"/>
  <c r="BB85" i="1"/>
  <c r="AH85" i="1"/>
  <c r="AG85" i="1"/>
  <c r="X85" i="1"/>
  <c r="BB84" i="1"/>
  <c r="AH84" i="1"/>
  <c r="AG84" i="1"/>
  <c r="X84" i="1"/>
  <c r="BB83" i="1"/>
  <c r="AH83" i="1"/>
  <c r="AG83" i="1"/>
  <c r="X83" i="1"/>
  <c r="BB82" i="1"/>
  <c r="AH82" i="1"/>
  <c r="AG82" i="1"/>
  <c r="X82" i="1"/>
  <c r="BB81" i="1"/>
  <c r="AH81" i="1"/>
  <c r="AG81" i="1"/>
  <c r="X81" i="1"/>
  <c r="BB80" i="1"/>
  <c r="AH80" i="1"/>
  <c r="AG80" i="1"/>
  <c r="X80" i="1"/>
  <c r="BB79" i="1"/>
  <c r="AH79" i="1"/>
  <c r="AG79" i="1"/>
  <c r="X79" i="1"/>
  <c r="BB78" i="1"/>
  <c r="AH78" i="1"/>
  <c r="AG78" i="1"/>
  <c r="X78" i="1"/>
  <c r="BB77" i="1"/>
  <c r="AH77" i="1"/>
  <c r="AG77" i="1"/>
  <c r="X77" i="1"/>
  <c r="BB76" i="1"/>
  <c r="AH76" i="1"/>
  <c r="AG76" i="1"/>
  <c r="X76" i="1"/>
  <c r="BB75" i="1"/>
  <c r="AH75" i="1"/>
  <c r="AG75" i="1"/>
  <c r="X75" i="1"/>
  <c r="BB74" i="1"/>
  <c r="AH74" i="1"/>
  <c r="AG74" i="1"/>
  <c r="X74" i="1"/>
  <c r="BB73" i="1"/>
  <c r="AH73" i="1"/>
  <c r="AG73" i="1"/>
  <c r="X73" i="1"/>
  <c r="BB72" i="1"/>
  <c r="AH72" i="1"/>
  <c r="AG72" i="1"/>
  <c r="X72" i="1"/>
  <c r="BB71" i="1"/>
  <c r="AH71" i="1"/>
  <c r="AG71" i="1"/>
  <c r="X71" i="1"/>
  <c r="BB70" i="1"/>
  <c r="AH70" i="1"/>
  <c r="AG70" i="1"/>
  <c r="X70" i="1"/>
  <c r="BB69" i="1"/>
  <c r="AH69" i="1"/>
  <c r="AG69" i="1"/>
  <c r="X69" i="1"/>
  <c r="BB68" i="1"/>
  <c r="AH68" i="1"/>
  <c r="AG68" i="1"/>
  <c r="X68" i="1"/>
  <c r="BB67" i="1"/>
  <c r="AH67" i="1"/>
  <c r="AG67" i="1"/>
  <c r="X67" i="1"/>
  <c r="BB66" i="1"/>
  <c r="AH66" i="1"/>
  <c r="AG66" i="1"/>
  <c r="X66" i="1"/>
  <c r="BB65" i="1"/>
  <c r="AH65" i="1"/>
  <c r="AG65" i="1"/>
  <c r="X65" i="1"/>
  <c r="BB64" i="1"/>
  <c r="AH64" i="1"/>
  <c r="AG64" i="1"/>
  <c r="X64" i="1"/>
  <c r="BB63" i="1"/>
  <c r="AH63" i="1"/>
  <c r="AG63" i="1"/>
  <c r="X63" i="1"/>
  <c r="BB62" i="1"/>
  <c r="AH62" i="1"/>
  <c r="AG62" i="1"/>
  <c r="X62" i="1"/>
  <c r="BI61" i="1"/>
  <c r="BH61" i="1"/>
  <c r="BD61" i="1"/>
  <c r="BB61" i="1"/>
  <c r="AZ61" i="1"/>
  <c r="AC61" i="1" a="1"/>
  <c r="AH61" i="1"/>
  <c r="AG61" i="1"/>
  <c r="AE61" i="1" a="1"/>
  <c r="X61" i="1"/>
  <c r="P61" i="1" a="1"/>
  <c r="O61" i="1" a="1"/>
  <c r="M61" i="1" a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AZ111" i="1"/>
  <c r="AY36" i="1"/>
  <c r="O11" i="1" a="1"/>
  <c r="AV6" i="1" s="1"/>
  <c r="AT910" i="1" l="1"/>
  <c r="AV910" i="1" s="1"/>
  <c r="AF903" i="1"/>
  <c r="AN911" i="1"/>
  <c r="AP911" i="1" s="1"/>
  <c r="AQ911" i="1" s="1"/>
  <c r="AN909" i="1"/>
  <c r="AW901" i="1"/>
  <c r="AP909" i="1"/>
  <c r="AQ909" i="1" s="1"/>
  <c r="AO908" i="1"/>
  <c r="AN908" i="1"/>
  <c r="AP908" i="1" s="1"/>
  <c r="AQ908" i="1" s="1"/>
  <c r="AO903" i="1"/>
  <c r="AN903" i="1"/>
  <c r="AP903" i="1" s="1"/>
  <c r="AQ903" i="1" s="1"/>
  <c r="AN907" i="1"/>
  <c r="AO907" i="1"/>
  <c r="AO904" i="1"/>
  <c r="AN904" i="1"/>
  <c r="AO902" i="1"/>
  <c r="AN902" i="1"/>
  <c r="AP902" i="1" s="1"/>
  <c r="AQ902" i="1" s="1"/>
  <c r="AO910" i="1"/>
  <c r="AN910" i="1"/>
  <c r="AO901" i="1"/>
  <c r="AN901" i="1"/>
  <c r="AP901" i="1" s="1"/>
  <c r="AQ901" i="1" s="1"/>
  <c r="AO906" i="1"/>
  <c r="AN906" i="1"/>
  <c r="AO912" i="1"/>
  <c r="AN912" i="1"/>
  <c r="AP912" i="1" s="1"/>
  <c r="AQ912" i="1" s="1"/>
  <c r="AO905" i="1"/>
  <c r="AN905" i="1"/>
  <c r="V213" i="1"/>
  <c r="AS213" i="1" s="1"/>
  <c r="V230" i="1"/>
  <c r="AS230" i="1" s="1"/>
  <c r="V563" i="1"/>
  <c r="AS563" i="1" s="1"/>
  <c r="V580" i="1"/>
  <c r="AS580" i="1" s="1"/>
  <c r="V513" i="1"/>
  <c r="AS513" i="1" s="1"/>
  <c r="V530" i="1"/>
  <c r="AS530" i="1" s="1"/>
  <c r="V280" i="1"/>
  <c r="AS280" i="1" s="1"/>
  <c r="V263" i="1"/>
  <c r="AS263" i="1" s="1"/>
  <c r="V80" i="1"/>
  <c r="AS80" i="1" s="1"/>
  <c r="V63" i="1"/>
  <c r="AS63" i="1" s="1"/>
  <c r="Q788" i="1"/>
  <c r="Q889" i="1"/>
  <c r="AK66" i="1"/>
  <c r="AY22" i="1"/>
  <c r="AK378" i="1"/>
  <c r="AY43" i="1"/>
  <c r="AY21" i="1"/>
  <c r="Q846" i="1"/>
  <c r="AK466" i="1"/>
  <c r="Q803" i="1"/>
  <c r="AL365" i="1"/>
  <c r="AK269" i="1"/>
  <c r="AL386" i="1"/>
  <c r="AK299" i="1"/>
  <c r="Q883" i="1"/>
  <c r="Y807" i="1"/>
  <c r="Z807" i="1" s="1"/>
  <c r="Q881" i="1"/>
  <c r="AL872" i="1"/>
  <c r="Q827" i="1"/>
  <c r="Q851" i="1"/>
  <c r="AL845" i="1"/>
  <c r="Q771" i="1"/>
  <c r="Q863" i="1"/>
  <c r="Q819" i="1"/>
  <c r="Q783" i="1"/>
  <c r="AL839" i="1"/>
  <c r="AL836" i="1"/>
  <c r="AY682" i="1"/>
  <c r="AL377" i="1"/>
  <c r="AK463" i="1"/>
  <c r="AL818" i="1"/>
  <c r="AL64" i="1"/>
  <c r="AL378" i="1"/>
  <c r="AK490" i="1"/>
  <c r="AL180" i="1"/>
  <c r="Y878" i="1"/>
  <c r="Z878" i="1" s="1"/>
  <c r="W264" i="1"/>
  <c r="AI378" i="1"/>
  <c r="Y787" i="1"/>
  <c r="Z787" i="1" s="1"/>
  <c r="Y862" i="1"/>
  <c r="Z862" i="1" s="1"/>
  <c r="AK845" i="1"/>
  <c r="Y866" i="1"/>
  <c r="Z866" i="1" s="1"/>
  <c r="Q866" i="1"/>
  <c r="Q830" i="1"/>
  <c r="Q794" i="1"/>
  <c r="AK773" i="1"/>
  <c r="Q775" i="1"/>
  <c r="Q781" i="1"/>
  <c r="Q792" i="1"/>
  <c r="Q808" i="1"/>
  <c r="Q813" i="1"/>
  <c r="Q823" i="1"/>
  <c r="Q840" i="1"/>
  <c r="Q850" i="1"/>
  <c r="Q861" i="1"/>
  <c r="Q871" i="1"/>
  <c r="AM809" i="1"/>
  <c r="AY343" i="1"/>
  <c r="AI62" i="1"/>
  <c r="AL399" i="1"/>
  <c r="Q773" i="1"/>
  <c r="Q785" i="1"/>
  <c r="AL887" i="1"/>
  <c r="AK815" i="1"/>
  <c r="AY344" i="1"/>
  <c r="AI83" i="1"/>
  <c r="Q886" i="1"/>
  <c r="Q845" i="1"/>
  <c r="AL881" i="1"/>
  <c r="AI98" i="1"/>
  <c r="AK881" i="1"/>
  <c r="AI100" i="1"/>
  <c r="AL875" i="1"/>
  <c r="Q867" i="1"/>
  <c r="Q795" i="1"/>
  <c r="W349" i="1"/>
  <c r="AK69" i="1"/>
  <c r="AK286" i="1"/>
  <c r="AI366" i="1"/>
  <c r="AM433" i="1"/>
  <c r="Q779" i="1"/>
  <c r="Q888" i="1"/>
  <c r="Q791" i="1"/>
  <c r="Q805" i="1"/>
  <c r="Q816" i="1"/>
  <c r="Q826" i="1"/>
  <c r="Q853" i="1"/>
  <c r="Q864" i="1"/>
  <c r="Q874" i="1"/>
  <c r="Y820" i="1"/>
  <c r="Z820" i="1" s="1"/>
  <c r="Y772" i="1"/>
  <c r="Z772" i="1" s="1"/>
  <c r="AK857" i="1"/>
  <c r="Q815" i="1"/>
  <c r="AM740" i="1"/>
  <c r="Q839" i="1"/>
  <c r="Y818" i="1"/>
  <c r="Z818" i="1" s="1"/>
  <c r="W589" i="1"/>
  <c r="AK71" i="1"/>
  <c r="AL286" i="1"/>
  <c r="AK366" i="1"/>
  <c r="AM434" i="1"/>
  <c r="AL851" i="1"/>
  <c r="AL70" i="1"/>
  <c r="AY427" i="1"/>
  <c r="AL88" i="1"/>
  <c r="AM436" i="1"/>
  <c r="AY447" i="1"/>
  <c r="AM412" i="1"/>
  <c r="AM437" i="1"/>
  <c r="AI65" i="1"/>
  <c r="AK75" i="1"/>
  <c r="AM413" i="1"/>
  <c r="AM439" i="1"/>
  <c r="AL466" i="1"/>
  <c r="AL519" i="1"/>
  <c r="Q875" i="1"/>
  <c r="Y885" i="1"/>
  <c r="Z885" i="1" s="1"/>
  <c r="Y773" i="1"/>
  <c r="Z773" i="1" s="1"/>
  <c r="Y774" i="1"/>
  <c r="Y790" i="1"/>
  <c r="Q796" i="1"/>
  <c r="Y801" i="1"/>
  <c r="Z801" i="1" s="1"/>
  <c r="Q811" i="1"/>
  <c r="Y817" i="1"/>
  <c r="Y822" i="1"/>
  <c r="Z822" i="1" s="1"/>
  <c r="Y828" i="1"/>
  <c r="Y838" i="1"/>
  <c r="Z838" i="1" s="1"/>
  <c r="Q844" i="1"/>
  <c r="Q849" i="1"/>
  <c r="Q859" i="1"/>
  <c r="Y870" i="1"/>
  <c r="Z870" i="1" s="1"/>
  <c r="Y830" i="1"/>
  <c r="Z830" i="1" s="1"/>
  <c r="AL869" i="1"/>
  <c r="AK833" i="1"/>
  <c r="AI69" i="1"/>
  <c r="AK78" i="1"/>
  <c r="AI386" i="1"/>
  <c r="AK415" i="1"/>
  <c r="AM440" i="1"/>
  <c r="AL472" i="1"/>
  <c r="AI521" i="1"/>
  <c r="Y793" i="1"/>
  <c r="Z793" i="1" s="1"/>
  <c r="AK869" i="1"/>
  <c r="AL830" i="1"/>
  <c r="AY317" i="1"/>
  <c r="AI71" i="1"/>
  <c r="AK92" i="1"/>
  <c r="AK131" i="1"/>
  <c r="AM416" i="1"/>
  <c r="AM442" i="1"/>
  <c r="AL475" i="1"/>
  <c r="Q809" i="1"/>
  <c r="Y852" i="1"/>
  <c r="Y804" i="1"/>
  <c r="Z804" i="1" s="1"/>
  <c r="AL863" i="1"/>
  <c r="AL824" i="1"/>
  <c r="W688" i="1"/>
  <c r="AY320" i="1"/>
  <c r="AI78" i="1"/>
  <c r="AK97" i="1"/>
  <c r="AM139" i="1"/>
  <c r="AK389" i="1"/>
  <c r="AK418" i="1"/>
  <c r="AK445" i="1"/>
  <c r="AK481" i="1"/>
  <c r="Q869" i="1"/>
  <c r="Q833" i="1"/>
  <c r="Q797" i="1"/>
  <c r="Q789" i="1"/>
  <c r="Y799" i="1"/>
  <c r="Z799" i="1" s="1"/>
  <c r="Y810" i="1"/>
  <c r="Z810" i="1" s="1"/>
  <c r="Q837" i="1"/>
  <c r="AL860" i="1"/>
  <c r="AK824" i="1"/>
  <c r="W442" i="1"/>
  <c r="AY327" i="1"/>
  <c r="AI80" i="1"/>
  <c r="AK98" i="1"/>
  <c r="AK140" i="1"/>
  <c r="AL389" i="1"/>
  <c r="AM418" i="1"/>
  <c r="AM445" i="1"/>
  <c r="AK487" i="1"/>
  <c r="Q872" i="1"/>
  <c r="Q836" i="1"/>
  <c r="Q800" i="1"/>
  <c r="Q798" i="1"/>
  <c r="Q804" i="1"/>
  <c r="Q814" i="1"/>
  <c r="Q841" i="1"/>
  <c r="Q852" i="1"/>
  <c r="Q862" i="1"/>
  <c r="Y873" i="1"/>
  <c r="Y814" i="1"/>
  <c r="AM790" i="1"/>
  <c r="AL857" i="1"/>
  <c r="AL821" i="1"/>
  <c r="AY328" i="1"/>
  <c r="AY677" i="1"/>
  <c r="AI82" i="1"/>
  <c r="AK399" i="1"/>
  <c r="AM422" i="1"/>
  <c r="AM449" i="1"/>
  <c r="AL487" i="1"/>
  <c r="Y879" i="1"/>
  <c r="Y825" i="1"/>
  <c r="Z825" i="1" s="1"/>
  <c r="AM424" i="1"/>
  <c r="W466" i="1"/>
  <c r="Q667" i="1"/>
  <c r="AM427" i="1"/>
  <c r="AL499" i="1"/>
  <c r="Q857" i="1"/>
  <c r="Q821" i="1"/>
  <c r="AL884" i="1"/>
  <c r="AL848" i="1"/>
  <c r="AL812" i="1"/>
  <c r="AY296" i="1"/>
  <c r="AL65" i="1"/>
  <c r="AK125" i="1"/>
  <c r="AI478" i="1"/>
  <c r="Y882" i="1"/>
  <c r="Z882" i="1" s="1"/>
  <c r="Q854" i="1"/>
  <c r="Y786" i="1"/>
  <c r="Y829" i="1"/>
  <c r="Z829" i="1" s="1"/>
  <c r="Y877" i="1"/>
  <c r="Z877" i="1" s="1"/>
  <c r="Q885" i="1"/>
  <c r="Y843" i="1"/>
  <c r="Z843" i="1" s="1"/>
  <c r="AK791" i="1"/>
  <c r="AK887" i="1"/>
  <c r="AK875" i="1"/>
  <c r="AK863" i="1"/>
  <c r="AK851" i="1"/>
  <c r="AK839" i="1"/>
  <c r="AY671" i="1"/>
  <c r="AL66" i="1"/>
  <c r="AM127" i="1"/>
  <c r="AK478" i="1"/>
  <c r="Q884" i="1"/>
  <c r="Y853" i="1"/>
  <c r="Y819" i="1"/>
  <c r="AM791" i="1"/>
  <c r="AM884" i="1"/>
  <c r="AM872" i="1"/>
  <c r="AM860" i="1"/>
  <c r="AM848" i="1"/>
  <c r="AM836" i="1"/>
  <c r="AK821" i="1"/>
  <c r="AY316" i="1"/>
  <c r="AY415" i="1"/>
  <c r="AY672" i="1"/>
  <c r="AL67" i="1"/>
  <c r="AK70" i="1"/>
  <c r="AK128" i="1"/>
  <c r="AL169" i="1"/>
  <c r="AK384" i="1"/>
  <c r="AK424" i="1"/>
  <c r="AL478" i="1"/>
  <c r="AK662" i="1"/>
  <c r="Q776" i="1"/>
  <c r="AK797" i="1"/>
  <c r="AK665" i="1"/>
  <c r="Q848" i="1"/>
  <c r="Q812" i="1"/>
  <c r="Y889" i="1"/>
  <c r="Z889" i="1" s="1"/>
  <c r="Y782" i="1"/>
  <c r="Z782" i="1" s="1"/>
  <c r="AM802" i="1"/>
  <c r="AK884" i="1"/>
  <c r="AK872" i="1"/>
  <c r="AK860" i="1"/>
  <c r="AK848" i="1"/>
  <c r="AK836" i="1"/>
  <c r="AK818" i="1"/>
  <c r="Q233" i="1"/>
  <c r="AY23" i="1"/>
  <c r="AY319" i="1"/>
  <c r="AY439" i="1"/>
  <c r="AY679" i="1"/>
  <c r="AL80" i="1"/>
  <c r="AI79" i="1"/>
  <c r="AK74" i="1"/>
  <c r="AK134" i="1"/>
  <c r="AL198" i="1"/>
  <c r="AK271" i="1"/>
  <c r="AK365" i="1"/>
  <c r="AK386" i="1"/>
  <c r="AM425" i="1"/>
  <c r="AL463" i="1"/>
  <c r="AL484" i="1"/>
  <c r="AM518" i="1"/>
  <c r="AK668" i="1"/>
  <c r="Q887" i="1"/>
  <c r="Q878" i="1"/>
  <c r="Q842" i="1"/>
  <c r="Y806" i="1"/>
  <c r="Z806" i="1" s="1"/>
  <c r="Y776" i="1"/>
  <c r="Z776" i="1" s="1"/>
  <c r="Q843" i="1"/>
  <c r="Q807" i="1"/>
  <c r="Y884" i="1"/>
  <c r="Z884" i="1" s="1"/>
  <c r="AK803" i="1"/>
  <c r="AM881" i="1"/>
  <c r="AM869" i="1"/>
  <c r="AM857" i="1"/>
  <c r="AM845" i="1"/>
  <c r="AL833" i="1"/>
  <c r="AL815" i="1"/>
  <c r="AY24" i="1"/>
  <c r="AL81" i="1"/>
  <c r="AK137" i="1"/>
  <c r="AL427" i="1"/>
  <c r="AI466" i="1"/>
  <c r="AK671" i="1"/>
  <c r="Y831" i="1"/>
  <c r="Z831" i="1" s="1"/>
  <c r="Q838" i="1"/>
  <c r="Q790" i="1"/>
  <c r="Y803" i="1"/>
  <c r="AM803" i="1"/>
  <c r="Y837" i="1"/>
  <c r="AY37" i="1"/>
  <c r="AY172" i="1"/>
  <c r="AY724" i="1"/>
  <c r="AL89" i="1"/>
  <c r="AL430" i="1"/>
  <c r="AM533" i="1"/>
  <c r="Q782" i="1"/>
  <c r="Q890" i="1"/>
  <c r="AM778" i="1"/>
  <c r="AM890" i="1"/>
  <c r="AM878" i="1"/>
  <c r="AM866" i="1"/>
  <c r="AM854" i="1"/>
  <c r="AM842" i="1"/>
  <c r="AK830" i="1"/>
  <c r="AK812" i="1"/>
  <c r="AY38" i="1"/>
  <c r="Y643" i="1"/>
  <c r="Z643" i="1" s="1"/>
  <c r="AY184" i="1"/>
  <c r="AY329" i="1"/>
  <c r="AY536" i="1"/>
  <c r="AY728" i="1"/>
  <c r="AL90" i="1"/>
  <c r="AI84" i="1"/>
  <c r="AK93" i="1"/>
  <c r="AM112" i="1"/>
  <c r="AK143" i="1"/>
  <c r="AL366" i="1"/>
  <c r="AM396" i="1"/>
  <c r="AL415" i="1"/>
  <c r="AM430" i="1"/>
  <c r="AM446" i="1"/>
  <c r="AL490" i="1"/>
  <c r="Q831" i="1"/>
  <c r="Y835" i="1"/>
  <c r="Y777" i="1"/>
  <c r="Z777" i="1" s="1"/>
  <c r="AK779" i="1"/>
  <c r="AL890" i="1"/>
  <c r="AL878" i="1"/>
  <c r="AL866" i="1"/>
  <c r="AL854" i="1"/>
  <c r="AL842" i="1"/>
  <c r="AL827" i="1"/>
  <c r="AY42" i="1"/>
  <c r="AY196" i="1"/>
  <c r="AY539" i="1"/>
  <c r="AY729" i="1"/>
  <c r="AL93" i="1"/>
  <c r="AI85" i="1"/>
  <c r="AK94" i="1"/>
  <c r="AK113" i="1"/>
  <c r="AI150" i="1"/>
  <c r="AI245" i="1"/>
  <c r="AK371" i="1"/>
  <c r="AL398" i="1"/>
  <c r="AM415" i="1"/>
  <c r="AK433" i="1"/>
  <c r="AM448" i="1"/>
  <c r="AK469" i="1"/>
  <c r="AK493" i="1"/>
  <c r="AM539" i="1"/>
  <c r="AM633" i="1"/>
  <c r="Y783" i="1"/>
  <c r="Q777" i="1"/>
  <c r="Q793" i="1"/>
  <c r="Q825" i="1"/>
  <c r="Q873" i="1"/>
  <c r="Q879" i="1"/>
  <c r="Y868" i="1"/>
  <c r="AM779" i="1"/>
  <c r="AK890" i="1"/>
  <c r="AK878" i="1"/>
  <c r="AK866" i="1"/>
  <c r="AK854" i="1"/>
  <c r="AK842" i="1"/>
  <c r="AK827" i="1"/>
  <c r="W168" i="1"/>
  <c r="W218" i="1"/>
  <c r="AL99" i="1"/>
  <c r="AK116" i="1"/>
  <c r="AI248" i="1"/>
  <c r="AK499" i="1"/>
  <c r="Y815" i="1"/>
  <c r="Z815" i="1" s="1"/>
  <c r="Y821" i="1"/>
  <c r="Z821" i="1" s="1"/>
  <c r="Y785" i="1"/>
  <c r="Z785" i="1" s="1"/>
  <c r="Y890" i="1"/>
  <c r="AK785" i="1"/>
  <c r="AM887" i="1"/>
  <c r="AM875" i="1"/>
  <c r="AM863" i="1"/>
  <c r="AM851" i="1"/>
  <c r="AM839" i="1"/>
  <c r="Y809" i="1"/>
  <c r="Z809" i="1" s="1"/>
  <c r="W890" i="1"/>
  <c r="W874" i="1"/>
  <c r="W859" i="1"/>
  <c r="W842" i="1"/>
  <c r="W826" i="1"/>
  <c r="W811" i="1"/>
  <c r="W794" i="1"/>
  <c r="W778" i="1"/>
  <c r="AM773" i="1"/>
  <c r="AM785" i="1"/>
  <c r="AM797" i="1"/>
  <c r="AI810" i="1"/>
  <c r="AM888" i="1"/>
  <c r="AM885" i="1"/>
  <c r="AM882" i="1"/>
  <c r="AM879" i="1"/>
  <c r="AM876" i="1"/>
  <c r="AM873" i="1"/>
  <c r="AM870" i="1"/>
  <c r="AM867" i="1"/>
  <c r="AM864" i="1"/>
  <c r="AM861" i="1"/>
  <c r="AM858" i="1"/>
  <c r="AM855" i="1"/>
  <c r="AM852" i="1"/>
  <c r="AM849" i="1"/>
  <c r="AM846" i="1"/>
  <c r="AM843" i="1"/>
  <c r="AM840" i="1"/>
  <c r="AM837" i="1"/>
  <c r="AM834" i="1"/>
  <c r="AM831" i="1"/>
  <c r="AM828" i="1"/>
  <c r="AM825" i="1"/>
  <c r="AM822" i="1"/>
  <c r="AM819" i="1"/>
  <c r="AM816" i="1"/>
  <c r="AM813" i="1"/>
  <c r="Y886" i="1"/>
  <c r="Z886" i="1" s="1"/>
  <c r="W889" i="1"/>
  <c r="W873" i="1"/>
  <c r="W858" i="1"/>
  <c r="W841" i="1"/>
  <c r="W825" i="1"/>
  <c r="W810" i="1"/>
  <c r="W793" i="1"/>
  <c r="W777" i="1"/>
  <c r="AM775" i="1"/>
  <c r="AM787" i="1"/>
  <c r="AM799" i="1"/>
  <c r="AK810" i="1"/>
  <c r="AL888" i="1"/>
  <c r="AL885" i="1"/>
  <c r="AL882" i="1"/>
  <c r="AL879" i="1"/>
  <c r="AL876" i="1"/>
  <c r="AL873" i="1"/>
  <c r="AL870" i="1"/>
  <c r="AL867" i="1"/>
  <c r="AL864" i="1"/>
  <c r="AL861" i="1"/>
  <c r="AL858" i="1"/>
  <c r="AL855" i="1"/>
  <c r="AL852" i="1"/>
  <c r="AL849" i="1"/>
  <c r="AL846" i="1"/>
  <c r="AL843" i="1"/>
  <c r="AL840" i="1"/>
  <c r="AL837" i="1"/>
  <c r="AL834" i="1"/>
  <c r="AL831" i="1"/>
  <c r="AL828" i="1"/>
  <c r="AL825" i="1"/>
  <c r="AL822" i="1"/>
  <c r="AL819" i="1"/>
  <c r="AL816" i="1"/>
  <c r="AL813" i="1"/>
  <c r="Y802" i="1"/>
  <c r="Z802" i="1" s="1"/>
  <c r="Y834" i="1"/>
  <c r="Z834" i="1" s="1"/>
  <c r="W887" i="1"/>
  <c r="W872" i="1"/>
  <c r="W857" i="1"/>
  <c r="W839" i="1"/>
  <c r="W824" i="1"/>
  <c r="W809" i="1"/>
  <c r="W791" i="1"/>
  <c r="W776" i="1"/>
  <c r="AK776" i="1"/>
  <c r="AK788" i="1"/>
  <c r="AK800" i="1"/>
  <c r="AL810" i="1"/>
  <c r="AK888" i="1"/>
  <c r="AK885" i="1"/>
  <c r="AK882" i="1"/>
  <c r="AK879" i="1"/>
  <c r="AK876" i="1"/>
  <c r="AK873" i="1"/>
  <c r="AK870" i="1"/>
  <c r="AK867" i="1"/>
  <c r="AK864" i="1"/>
  <c r="AK861" i="1"/>
  <c r="AK858" i="1"/>
  <c r="AK855" i="1"/>
  <c r="AK852" i="1"/>
  <c r="AK849" i="1"/>
  <c r="AK846" i="1"/>
  <c r="AK843" i="1"/>
  <c r="AK840" i="1"/>
  <c r="AK837" i="1"/>
  <c r="AK834" i="1"/>
  <c r="AK831" i="1"/>
  <c r="AK828" i="1"/>
  <c r="AK825" i="1"/>
  <c r="AK822" i="1"/>
  <c r="AK819" i="1"/>
  <c r="AK816" i="1"/>
  <c r="AK813" i="1"/>
  <c r="W886" i="1"/>
  <c r="W871" i="1"/>
  <c r="W854" i="1"/>
  <c r="W838" i="1"/>
  <c r="W823" i="1"/>
  <c r="W806" i="1"/>
  <c r="W790" i="1"/>
  <c r="W775" i="1"/>
  <c r="AM776" i="1"/>
  <c r="AM788" i="1"/>
  <c r="AM800" i="1"/>
  <c r="AM810" i="1"/>
  <c r="AI888" i="1"/>
  <c r="AI885" i="1"/>
  <c r="AI882" i="1"/>
  <c r="AI879" i="1"/>
  <c r="AI876" i="1"/>
  <c r="AI873" i="1"/>
  <c r="AI870" i="1"/>
  <c r="AI867" i="1"/>
  <c r="AI864" i="1"/>
  <c r="AI861" i="1"/>
  <c r="AI858" i="1"/>
  <c r="AI855" i="1"/>
  <c r="AI852" i="1"/>
  <c r="AI849" i="1"/>
  <c r="AI846" i="1"/>
  <c r="AI843" i="1"/>
  <c r="AI840" i="1"/>
  <c r="AI837" i="1"/>
  <c r="AI834" i="1"/>
  <c r="AI831" i="1"/>
  <c r="AI828" i="1"/>
  <c r="AI825" i="1"/>
  <c r="AI822" i="1"/>
  <c r="AI819" i="1"/>
  <c r="AI816" i="1"/>
  <c r="AI813" i="1"/>
  <c r="W885" i="1"/>
  <c r="W870" i="1"/>
  <c r="W853" i="1"/>
  <c r="W837" i="1"/>
  <c r="W822" i="1"/>
  <c r="W805" i="1"/>
  <c r="W789" i="1"/>
  <c r="W774" i="1"/>
  <c r="AM833" i="1"/>
  <c r="AM830" i="1"/>
  <c r="AM827" i="1"/>
  <c r="AM824" i="1"/>
  <c r="AM821" i="1"/>
  <c r="AM818" i="1"/>
  <c r="AM815" i="1"/>
  <c r="AM812" i="1"/>
  <c r="Y780" i="1"/>
  <c r="Y865" i="1"/>
  <c r="Y876" i="1"/>
  <c r="W884" i="1"/>
  <c r="W869" i="1"/>
  <c r="W851" i="1"/>
  <c r="W836" i="1"/>
  <c r="W821" i="1"/>
  <c r="W803" i="1"/>
  <c r="W788" i="1"/>
  <c r="W773" i="1"/>
  <c r="W883" i="1"/>
  <c r="W866" i="1"/>
  <c r="W850" i="1"/>
  <c r="W835" i="1"/>
  <c r="W818" i="1"/>
  <c r="W802" i="1"/>
  <c r="W787" i="1"/>
  <c r="Y791" i="1"/>
  <c r="Z791" i="1" s="1"/>
  <c r="Y867" i="1"/>
  <c r="Z867" i="1" s="1"/>
  <c r="W882" i="1"/>
  <c r="W865" i="1"/>
  <c r="W849" i="1"/>
  <c r="W834" i="1"/>
  <c r="W817" i="1"/>
  <c r="W801" i="1"/>
  <c r="W786" i="1"/>
  <c r="AM781" i="1"/>
  <c r="AM793" i="1"/>
  <c r="AM805" i="1"/>
  <c r="AI890" i="1"/>
  <c r="AI887" i="1"/>
  <c r="AI884" i="1"/>
  <c r="AI881" i="1"/>
  <c r="AI878" i="1"/>
  <c r="AI875" i="1"/>
  <c r="AI872" i="1"/>
  <c r="AI869" i="1"/>
  <c r="AI866" i="1"/>
  <c r="AI863" i="1"/>
  <c r="AI860" i="1"/>
  <c r="AI857" i="1"/>
  <c r="AI854" i="1"/>
  <c r="AI851" i="1"/>
  <c r="AI848" i="1"/>
  <c r="AI845" i="1"/>
  <c r="AI842" i="1"/>
  <c r="AI839" i="1"/>
  <c r="AI836" i="1"/>
  <c r="AI833" i="1"/>
  <c r="AI830" i="1"/>
  <c r="AI827" i="1"/>
  <c r="AI824" i="1"/>
  <c r="AI821" i="1"/>
  <c r="AI818" i="1"/>
  <c r="AI815" i="1"/>
  <c r="AI812" i="1"/>
  <c r="Y795" i="1"/>
  <c r="Z795" i="1" s="1"/>
  <c r="Y778" i="1"/>
  <c r="Y789" i="1"/>
  <c r="Z789" i="1" s="1"/>
  <c r="Y805" i="1"/>
  <c r="Z805" i="1" s="1"/>
  <c r="Y816" i="1"/>
  <c r="Y832" i="1"/>
  <c r="Z832" i="1" s="1"/>
  <c r="Y847" i="1"/>
  <c r="Z847" i="1" s="1"/>
  <c r="Y858" i="1"/>
  <c r="Z858" i="1" s="1"/>
  <c r="Y864" i="1"/>
  <c r="W881" i="1"/>
  <c r="W863" i="1"/>
  <c r="W848" i="1"/>
  <c r="W833" i="1"/>
  <c r="W815" i="1"/>
  <c r="W800" i="1"/>
  <c r="W785" i="1"/>
  <c r="AK782" i="1"/>
  <c r="AK794" i="1"/>
  <c r="AK806" i="1"/>
  <c r="AM889" i="1"/>
  <c r="AM886" i="1"/>
  <c r="AM883" i="1"/>
  <c r="AM880" i="1"/>
  <c r="AM877" i="1"/>
  <c r="AM874" i="1"/>
  <c r="AM871" i="1"/>
  <c r="AM868" i="1"/>
  <c r="AM865" i="1"/>
  <c r="AM862" i="1"/>
  <c r="AM859" i="1"/>
  <c r="AM856" i="1"/>
  <c r="AM853" i="1"/>
  <c r="AM850" i="1"/>
  <c r="AM847" i="1"/>
  <c r="AM844" i="1"/>
  <c r="AM841" i="1"/>
  <c r="AM838" i="1"/>
  <c r="AM835" i="1"/>
  <c r="AM832" i="1"/>
  <c r="AM829" i="1"/>
  <c r="AM826" i="1"/>
  <c r="AM823" i="1"/>
  <c r="AM820" i="1"/>
  <c r="AM817" i="1"/>
  <c r="AM814" i="1"/>
  <c r="AM811" i="1"/>
  <c r="W878" i="1"/>
  <c r="W862" i="1"/>
  <c r="AT862" i="1" s="1"/>
  <c r="W847" i="1"/>
  <c r="W830" i="1"/>
  <c r="W814" i="1"/>
  <c r="W799" i="1"/>
  <c r="W782" i="1"/>
  <c r="AM782" i="1"/>
  <c r="AM794" i="1"/>
  <c r="AM806" i="1"/>
  <c r="AL889" i="1"/>
  <c r="AL886" i="1"/>
  <c r="AL883" i="1"/>
  <c r="AL880" i="1"/>
  <c r="AL877" i="1"/>
  <c r="AL874" i="1"/>
  <c r="AL871" i="1"/>
  <c r="AL868" i="1"/>
  <c r="AL865" i="1"/>
  <c r="AL862" i="1"/>
  <c r="AL859" i="1"/>
  <c r="AL856" i="1"/>
  <c r="AL853" i="1"/>
  <c r="AL850" i="1"/>
  <c r="AL847" i="1"/>
  <c r="AL844" i="1"/>
  <c r="AL841" i="1"/>
  <c r="AL838" i="1"/>
  <c r="AL835" i="1"/>
  <c r="AL832" i="1"/>
  <c r="AL829" i="1"/>
  <c r="AL826" i="1"/>
  <c r="AL823" i="1"/>
  <c r="AL820" i="1"/>
  <c r="AL817" i="1"/>
  <c r="AL814" i="1"/>
  <c r="Y794" i="1"/>
  <c r="Z794" i="1" s="1"/>
  <c r="W877" i="1"/>
  <c r="W861" i="1"/>
  <c r="W846" i="1"/>
  <c r="W829" i="1"/>
  <c r="W813" i="1"/>
  <c r="W798" i="1"/>
  <c r="W781" i="1"/>
  <c r="AM772" i="1"/>
  <c r="AM784" i="1"/>
  <c r="AK809" i="1"/>
  <c r="AK889" i="1"/>
  <c r="AK886" i="1"/>
  <c r="AK883" i="1"/>
  <c r="AK880" i="1"/>
  <c r="AK877" i="1"/>
  <c r="AK874" i="1"/>
  <c r="AK871" i="1"/>
  <c r="AK868" i="1"/>
  <c r="AK865" i="1"/>
  <c r="AK862" i="1"/>
  <c r="AK859" i="1"/>
  <c r="AK856" i="1"/>
  <c r="AK853" i="1"/>
  <c r="AK850" i="1"/>
  <c r="AK847" i="1"/>
  <c r="AK844" i="1"/>
  <c r="AK841" i="1"/>
  <c r="AK838" i="1"/>
  <c r="AK835" i="1"/>
  <c r="AK832" i="1"/>
  <c r="AK829" i="1"/>
  <c r="AK826" i="1"/>
  <c r="AK823" i="1"/>
  <c r="AK820" i="1"/>
  <c r="AK817" i="1"/>
  <c r="AK814" i="1"/>
  <c r="W875" i="1"/>
  <c r="W860" i="1"/>
  <c r="W845" i="1"/>
  <c r="W827" i="1"/>
  <c r="W812" i="1"/>
  <c r="W797" i="1"/>
  <c r="W779" i="1"/>
  <c r="AI889" i="1"/>
  <c r="AI886" i="1"/>
  <c r="AI883" i="1"/>
  <c r="AI880" i="1"/>
  <c r="AI877" i="1"/>
  <c r="AI874" i="1"/>
  <c r="AI871" i="1"/>
  <c r="AI868" i="1"/>
  <c r="AI865" i="1"/>
  <c r="AI862" i="1"/>
  <c r="AI859" i="1"/>
  <c r="AI856" i="1"/>
  <c r="AI853" i="1"/>
  <c r="AI850" i="1"/>
  <c r="AI847" i="1"/>
  <c r="AI844" i="1"/>
  <c r="AI841" i="1"/>
  <c r="AI838" i="1"/>
  <c r="AI835" i="1"/>
  <c r="AI832" i="1"/>
  <c r="AI829" i="1"/>
  <c r="AI826" i="1"/>
  <c r="AI823" i="1"/>
  <c r="AI820" i="1"/>
  <c r="AI817" i="1"/>
  <c r="AI814" i="1"/>
  <c r="AI772" i="1"/>
  <c r="AI775" i="1"/>
  <c r="AI778" i="1"/>
  <c r="AI781" i="1"/>
  <c r="AI784" i="1"/>
  <c r="AI787" i="1"/>
  <c r="AI790" i="1"/>
  <c r="AI793" i="1"/>
  <c r="AI796" i="1"/>
  <c r="AI799" i="1"/>
  <c r="AI802" i="1"/>
  <c r="AI805" i="1"/>
  <c r="AI808" i="1"/>
  <c r="AK772" i="1"/>
  <c r="AK775" i="1"/>
  <c r="AK778" i="1"/>
  <c r="AK781" i="1"/>
  <c r="AK784" i="1"/>
  <c r="AK787" i="1"/>
  <c r="AK790" i="1"/>
  <c r="AK793" i="1"/>
  <c r="AK796" i="1"/>
  <c r="AK799" i="1"/>
  <c r="AK802" i="1"/>
  <c r="AK805" i="1"/>
  <c r="AK808" i="1"/>
  <c r="AL772" i="1"/>
  <c r="AL775" i="1"/>
  <c r="AL778" i="1"/>
  <c r="AL781" i="1"/>
  <c r="AL784" i="1"/>
  <c r="AL787" i="1"/>
  <c r="AL790" i="1"/>
  <c r="AL793" i="1"/>
  <c r="AL796" i="1"/>
  <c r="AL799" i="1"/>
  <c r="AL802" i="1"/>
  <c r="AL805" i="1"/>
  <c r="AL808" i="1"/>
  <c r="AM808" i="1"/>
  <c r="AI773" i="1"/>
  <c r="AI776" i="1"/>
  <c r="AI779" i="1"/>
  <c r="AI782" i="1"/>
  <c r="AI785" i="1"/>
  <c r="AI788" i="1"/>
  <c r="AI791" i="1"/>
  <c r="AI794" i="1"/>
  <c r="AI797" i="1"/>
  <c r="AI800" i="1"/>
  <c r="AI803" i="1"/>
  <c r="AI806" i="1"/>
  <c r="AI809" i="1"/>
  <c r="AL773" i="1"/>
  <c r="AL776" i="1"/>
  <c r="AL779" i="1"/>
  <c r="AL782" i="1"/>
  <c r="AL785" i="1"/>
  <c r="AL788" i="1"/>
  <c r="AL791" i="1"/>
  <c r="AL794" i="1"/>
  <c r="AL797" i="1"/>
  <c r="AL800" i="1"/>
  <c r="AL803" i="1"/>
  <c r="AL806" i="1"/>
  <c r="AL809" i="1"/>
  <c r="AI774" i="1"/>
  <c r="AI777" i="1"/>
  <c r="AI780" i="1"/>
  <c r="AI783" i="1"/>
  <c r="AI786" i="1"/>
  <c r="AI789" i="1"/>
  <c r="AI792" i="1"/>
  <c r="AI795" i="1"/>
  <c r="AI798" i="1"/>
  <c r="AI801" i="1"/>
  <c r="AI804" i="1"/>
  <c r="AI807" i="1"/>
  <c r="AK774" i="1"/>
  <c r="AK777" i="1"/>
  <c r="AK780" i="1"/>
  <c r="AK783" i="1"/>
  <c r="AK786" i="1"/>
  <c r="AK789" i="1"/>
  <c r="AK792" i="1"/>
  <c r="AK795" i="1"/>
  <c r="AK798" i="1"/>
  <c r="AK801" i="1"/>
  <c r="AK804" i="1"/>
  <c r="AK807" i="1"/>
  <c r="AL774" i="1"/>
  <c r="AL777" i="1"/>
  <c r="AL780" i="1"/>
  <c r="AL783" i="1"/>
  <c r="AL786" i="1"/>
  <c r="AL789" i="1"/>
  <c r="AL792" i="1"/>
  <c r="AL795" i="1"/>
  <c r="AL798" i="1"/>
  <c r="AL801" i="1"/>
  <c r="AL804" i="1"/>
  <c r="AL807" i="1"/>
  <c r="AM774" i="1"/>
  <c r="AM777" i="1"/>
  <c r="AM780" i="1"/>
  <c r="AM783" i="1"/>
  <c r="AM786" i="1"/>
  <c r="AM789" i="1"/>
  <c r="AM792" i="1"/>
  <c r="AM795" i="1"/>
  <c r="AM798" i="1"/>
  <c r="AM801" i="1"/>
  <c r="AM804" i="1"/>
  <c r="AM807" i="1"/>
  <c r="AF886" i="1"/>
  <c r="AF870" i="1"/>
  <c r="W388" i="1"/>
  <c r="W628" i="1"/>
  <c r="AY533" i="1"/>
  <c r="AY670" i="1"/>
  <c r="AY750" i="1"/>
  <c r="AY730" i="1"/>
  <c r="AL79" i="1"/>
  <c r="AI68" i="1"/>
  <c r="AL168" i="1"/>
  <c r="AK180" i="1"/>
  <c r="AI269" i="1"/>
  <c r="AK284" i="1"/>
  <c r="AI374" i="1"/>
  <c r="AI398" i="1"/>
  <c r="AM372" i="1"/>
  <c r="AM390" i="1"/>
  <c r="AM734" i="1"/>
  <c r="Q870" i="1"/>
  <c r="Q822" i="1"/>
  <c r="Q806" i="1"/>
  <c r="Q774" i="1"/>
  <c r="Y874" i="1"/>
  <c r="Z874" i="1" s="1"/>
  <c r="Y850" i="1"/>
  <c r="Z850" i="1" s="1"/>
  <c r="Y826" i="1"/>
  <c r="Z826" i="1" s="1"/>
  <c r="AM150" i="1"/>
  <c r="AM134" i="1"/>
  <c r="AM137" i="1"/>
  <c r="AI166" i="1"/>
  <c r="AI163" i="1"/>
  <c r="AI169" i="1"/>
  <c r="AK200" i="1"/>
  <c r="AK195" i="1"/>
  <c r="AK183" i="1"/>
  <c r="AM493" i="1"/>
  <c r="AM483" i="1"/>
  <c r="AM499" i="1"/>
  <c r="AM486" i="1"/>
  <c r="AM474" i="1"/>
  <c r="Y856" i="1"/>
  <c r="Z856" i="1" s="1"/>
  <c r="Q856" i="1"/>
  <c r="Y771" i="1"/>
  <c r="Z771" i="1" s="1"/>
  <c r="Y861" i="1"/>
  <c r="Z861" i="1" s="1"/>
  <c r="W713" i="1"/>
  <c r="W750" i="1"/>
  <c r="AL200" i="1"/>
  <c r="AL195" i="1"/>
  <c r="AL184" i="1"/>
  <c r="AL172" i="1"/>
  <c r="AL183" i="1"/>
  <c r="AL171" i="1"/>
  <c r="AL162" i="1"/>
  <c r="AI171" i="1"/>
  <c r="AK186" i="1"/>
  <c r="AL199" i="1"/>
  <c r="AI292" i="1"/>
  <c r="AI278" i="1"/>
  <c r="AL271" i="1"/>
  <c r="AM475" i="1"/>
  <c r="AM490" i="1"/>
  <c r="AL642" i="1"/>
  <c r="AL622" i="1"/>
  <c r="AL630" i="1"/>
  <c r="AI639" i="1"/>
  <c r="Q882" i="1"/>
  <c r="Q834" i="1"/>
  <c r="Q818" i="1"/>
  <c r="Q786" i="1"/>
  <c r="Y854" i="1"/>
  <c r="Z854" i="1" s="1"/>
  <c r="Y849" i="1"/>
  <c r="Z849" i="1" s="1"/>
  <c r="Y797" i="1"/>
  <c r="Z797" i="1" s="1"/>
  <c r="Y792" i="1"/>
  <c r="Z792" i="1" s="1"/>
  <c r="AY600" i="1"/>
  <c r="AY584" i="1"/>
  <c r="AM113" i="1"/>
  <c r="AM128" i="1"/>
  <c r="AM140" i="1"/>
  <c r="AK171" i="1"/>
  <c r="AL186" i="1"/>
  <c r="AI239" i="1"/>
  <c r="AI230" i="1"/>
  <c r="AI227" i="1"/>
  <c r="AK300" i="1"/>
  <c r="AK265" i="1"/>
  <c r="AK290" i="1"/>
  <c r="AK263" i="1"/>
  <c r="AK293" i="1"/>
  <c r="AK272" i="1"/>
  <c r="AM477" i="1"/>
  <c r="AM492" i="1"/>
  <c r="AM642" i="1"/>
  <c r="AM646" i="1"/>
  <c r="AM622" i="1"/>
  <c r="AL639" i="1"/>
  <c r="Q865" i="1"/>
  <c r="Q817" i="1"/>
  <c r="Q802" i="1"/>
  <c r="Y842" i="1"/>
  <c r="Z842" i="1" s="1"/>
  <c r="Y808" i="1"/>
  <c r="Z808" i="1" s="1"/>
  <c r="Y781" i="1"/>
  <c r="Z781" i="1" s="1"/>
  <c r="AY220" i="1"/>
  <c r="AY550" i="1"/>
  <c r="AY515" i="1"/>
  <c r="AY572" i="1"/>
  <c r="AM115" i="1"/>
  <c r="AM130" i="1"/>
  <c r="AM142" i="1"/>
  <c r="AI162" i="1"/>
  <c r="AI174" i="1"/>
  <c r="AL187" i="1"/>
  <c r="AL300" i="1"/>
  <c r="AL277" i="1"/>
  <c r="AK275" i="1"/>
  <c r="AK292" i="1"/>
  <c r="AM378" i="1"/>
  <c r="AM463" i="1"/>
  <c r="AL615" i="1"/>
  <c r="AL640" i="1"/>
  <c r="Q801" i="1"/>
  <c r="AF884" i="1"/>
  <c r="Y848" i="1"/>
  <c r="Z848" i="1" s="1"/>
  <c r="Y813" i="1"/>
  <c r="Z813" i="1" s="1"/>
  <c r="Y775" i="1"/>
  <c r="Z775" i="1" s="1"/>
  <c r="AY221" i="1"/>
  <c r="AY512" i="1"/>
  <c r="AY596" i="1"/>
  <c r="AY689" i="1"/>
  <c r="AK162" i="1"/>
  <c r="AL175" i="1"/>
  <c r="AL189" i="1"/>
  <c r="AK277" i="1"/>
  <c r="AL292" i="1"/>
  <c r="AM328" i="1"/>
  <c r="AI444" i="1"/>
  <c r="AI433" i="1"/>
  <c r="AL418" i="1"/>
  <c r="AL433" i="1"/>
  <c r="AM465" i="1"/>
  <c r="AM615" i="1"/>
  <c r="AM640" i="1"/>
  <c r="Y871" i="1"/>
  <c r="Z871" i="1" s="1"/>
  <c r="Y859" i="1"/>
  <c r="Z859" i="1" s="1"/>
  <c r="Y823" i="1"/>
  <c r="Z823" i="1" s="1"/>
  <c r="Y796" i="1"/>
  <c r="Z796" i="1" s="1"/>
  <c r="W689" i="1"/>
  <c r="AY520" i="1"/>
  <c r="AK80" i="1"/>
  <c r="AK86" i="1"/>
  <c r="AM116" i="1"/>
  <c r="AM131" i="1"/>
  <c r="AM143" i="1"/>
  <c r="AL163" i="1"/>
  <c r="AK177" i="1"/>
  <c r="AL190" i="1"/>
  <c r="AK262" i="1"/>
  <c r="AK278" i="1"/>
  <c r="AK295" i="1"/>
  <c r="AM333" i="1"/>
  <c r="AK412" i="1"/>
  <c r="AK442" i="1"/>
  <c r="AL616" i="1"/>
  <c r="AL648" i="1"/>
  <c r="Q877" i="1"/>
  <c r="Q829" i="1"/>
  <c r="Y883" i="1"/>
  <c r="Z883" i="1" s="1"/>
  <c r="Y812" i="1"/>
  <c r="Z812" i="1" s="1"/>
  <c r="Y779" i="1"/>
  <c r="Z779" i="1" s="1"/>
  <c r="W426" i="1"/>
  <c r="W744" i="1"/>
  <c r="AY71" i="1"/>
  <c r="AY521" i="1"/>
  <c r="AY700" i="1"/>
  <c r="AY681" i="1"/>
  <c r="AY693" i="1"/>
  <c r="AI97" i="1"/>
  <c r="AI70" i="1"/>
  <c r="AM119" i="1"/>
  <c r="AM133" i="1"/>
  <c r="AM145" i="1"/>
  <c r="AK165" i="1"/>
  <c r="AL177" i="1"/>
  <c r="AI192" i="1"/>
  <c r="AI212" i="1"/>
  <c r="AL262" i="1"/>
  <c r="AK280" i="1"/>
  <c r="AL295" i="1"/>
  <c r="AM334" i="1"/>
  <c r="AL450" i="1"/>
  <c r="AL442" i="1"/>
  <c r="AL421" i="1"/>
  <c r="AL445" i="1"/>
  <c r="AL424" i="1"/>
  <c r="AM616" i="1"/>
  <c r="AM648" i="1"/>
  <c r="Q784" i="1"/>
  <c r="Q799" i="1"/>
  <c r="Q832" i="1"/>
  <c r="Q847" i="1"/>
  <c r="Q876" i="1"/>
  <c r="Q828" i="1"/>
  <c r="Q780" i="1"/>
  <c r="Y888" i="1"/>
  <c r="Z888" i="1" s="1"/>
  <c r="Y840" i="1"/>
  <c r="Z840" i="1" s="1"/>
  <c r="Y663" i="1"/>
  <c r="AY83" i="1"/>
  <c r="AY524" i="1"/>
  <c r="AY665" i="1"/>
  <c r="AY694" i="1"/>
  <c r="AM146" i="1"/>
  <c r="AL165" i="1"/>
  <c r="AI178" i="1"/>
  <c r="AK192" i="1"/>
  <c r="AI215" i="1"/>
  <c r="AL265" i="1"/>
  <c r="AL280" i="1"/>
  <c r="AK296" i="1"/>
  <c r="AM336" i="1"/>
  <c r="AI622" i="1"/>
  <c r="Q858" i="1"/>
  <c r="Q810" i="1"/>
  <c r="Y811" i="1"/>
  <c r="Z811" i="1" s="1"/>
  <c r="Y800" i="1"/>
  <c r="Z800" i="1" s="1"/>
  <c r="Y784" i="1"/>
  <c r="Z784" i="1" s="1"/>
  <c r="Q524" i="1"/>
  <c r="W549" i="1"/>
  <c r="AY95" i="1"/>
  <c r="AY350" i="1"/>
  <c r="AY341" i="1"/>
  <c r="AY527" i="1"/>
  <c r="AY667" i="1"/>
  <c r="AY695" i="1"/>
  <c r="AL76" i="1"/>
  <c r="AI66" i="1"/>
  <c r="AI86" i="1"/>
  <c r="AK79" i="1"/>
  <c r="AM121" i="1"/>
  <c r="AM148" i="1"/>
  <c r="AL166" i="1"/>
  <c r="AL178" i="1"/>
  <c r="AL192" i="1"/>
  <c r="AI224" i="1"/>
  <c r="AK268" i="1"/>
  <c r="AK283" i="1"/>
  <c r="AK298" i="1"/>
  <c r="AM345" i="1"/>
  <c r="AI368" i="1"/>
  <c r="AL412" i="1"/>
  <c r="AI450" i="1"/>
  <c r="AM484" i="1"/>
  <c r="AL533" i="1"/>
  <c r="AL534" i="1"/>
  <c r="AM590" i="1"/>
  <c r="AM572" i="1"/>
  <c r="AL624" i="1"/>
  <c r="AK700" i="1"/>
  <c r="AK695" i="1"/>
  <c r="AK674" i="1"/>
  <c r="AM721" i="1"/>
  <c r="Q778" i="1"/>
  <c r="Y881" i="1"/>
  <c r="Z881" i="1" s="1"/>
  <c r="Y875" i="1"/>
  <c r="Z875" i="1" s="1"/>
  <c r="Y869" i="1"/>
  <c r="Z869" i="1" s="1"/>
  <c r="Y863" i="1"/>
  <c r="Z863" i="1" s="1"/>
  <c r="Y845" i="1"/>
  <c r="Z845" i="1" s="1"/>
  <c r="Y839" i="1"/>
  <c r="Z839" i="1" s="1"/>
  <c r="Y833" i="1"/>
  <c r="Z833" i="1" s="1"/>
  <c r="Y827" i="1"/>
  <c r="Z827" i="1" s="1"/>
  <c r="W98" i="1"/>
  <c r="AY315" i="1"/>
  <c r="AY532" i="1"/>
  <c r="AY669" i="1"/>
  <c r="AY696" i="1"/>
  <c r="AL77" i="1"/>
  <c r="AI67" i="1"/>
  <c r="AI93" i="1"/>
  <c r="AK83" i="1"/>
  <c r="AM122" i="1"/>
  <c r="AM136" i="1"/>
  <c r="AM149" i="1"/>
  <c r="AK168" i="1"/>
  <c r="AI180" i="1"/>
  <c r="AI193" i="1"/>
  <c r="AI233" i="1"/>
  <c r="AL268" i="1"/>
  <c r="AL283" i="1"/>
  <c r="AL298" i="1"/>
  <c r="AM346" i="1"/>
  <c r="AL439" i="1"/>
  <c r="AM569" i="1"/>
  <c r="AM624" i="1"/>
  <c r="Q880" i="1"/>
  <c r="Y855" i="1"/>
  <c r="Z855" i="1" s="1"/>
  <c r="Q772" i="1"/>
  <c r="Q787" i="1"/>
  <c r="Y798" i="1"/>
  <c r="Z798" i="1" s="1"/>
  <c r="Q820" i="1"/>
  <c r="Q835" i="1"/>
  <c r="Y841" i="1"/>
  <c r="Z841" i="1" s="1"/>
  <c r="Y846" i="1"/>
  <c r="Z846" i="1" s="1"/>
  <c r="Q868" i="1"/>
  <c r="Q855" i="1"/>
  <c r="Y880" i="1"/>
  <c r="Z880" i="1" s="1"/>
  <c r="Y857" i="1"/>
  <c r="Z857" i="1" s="1"/>
  <c r="Y844" i="1"/>
  <c r="Z844" i="1" s="1"/>
  <c r="Y788" i="1"/>
  <c r="Z788" i="1" s="1"/>
  <c r="Y860" i="1"/>
  <c r="Z860" i="1" s="1"/>
  <c r="Y824" i="1"/>
  <c r="Z824" i="1" s="1"/>
  <c r="W888" i="1"/>
  <c r="W876" i="1"/>
  <c r="W864" i="1"/>
  <c r="W852" i="1"/>
  <c r="W840" i="1"/>
  <c r="W828" i="1"/>
  <c r="W816" i="1"/>
  <c r="W804" i="1"/>
  <c r="W792" i="1"/>
  <c r="W780" i="1"/>
  <c r="AM431" i="1"/>
  <c r="AL469" i="1"/>
  <c r="AL493" i="1"/>
  <c r="Y872" i="1"/>
  <c r="Z872" i="1" s="1"/>
  <c r="Y836" i="1"/>
  <c r="Z836" i="1" s="1"/>
  <c r="W880" i="1"/>
  <c r="W868" i="1"/>
  <c r="W856" i="1"/>
  <c r="W844" i="1"/>
  <c r="W832" i="1"/>
  <c r="W820" i="1"/>
  <c r="W808" i="1"/>
  <c r="W796" i="1"/>
  <c r="W784" i="1"/>
  <c r="W772" i="1"/>
  <c r="AK122" i="1"/>
  <c r="AL390" i="1"/>
  <c r="AM421" i="1"/>
  <c r="AK472" i="1"/>
  <c r="AK484" i="1"/>
  <c r="Y887" i="1"/>
  <c r="Z887" i="1" s="1"/>
  <c r="Y851" i="1"/>
  <c r="Z851" i="1" s="1"/>
  <c r="W771" i="1"/>
  <c r="W879" i="1"/>
  <c r="W867" i="1"/>
  <c r="W855" i="1"/>
  <c r="W843" i="1"/>
  <c r="W831" i="1"/>
  <c r="W819" i="1"/>
  <c r="W807" i="1"/>
  <c r="W795" i="1"/>
  <c r="W86" i="1"/>
  <c r="W181" i="1"/>
  <c r="W230" i="1"/>
  <c r="W281" i="1"/>
  <c r="W333" i="1"/>
  <c r="W387" i="1"/>
  <c r="W441" i="1"/>
  <c r="W493" i="1"/>
  <c r="W615" i="1"/>
  <c r="W673" i="1"/>
  <c r="W731" i="1"/>
  <c r="AK600" i="1"/>
  <c r="AK595" i="1"/>
  <c r="AK577" i="1"/>
  <c r="AK565" i="1"/>
  <c r="AK586" i="1"/>
  <c r="AK568" i="1"/>
  <c r="AK583" i="1"/>
  <c r="AK562" i="1"/>
  <c r="AK580" i="1"/>
  <c r="AK574" i="1"/>
  <c r="AK571" i="1"/>
  <c r="AK589" i="1"/>
  <c r="W540" i="1"/>
  <c r="W528" i="1"/>
  <c r="W546" i="1"/>
  <c r="W533" i="1"/>
  <c r="W520" i="1"/>
  <c r="W545" i="1"/>
  <c r="W532" i="1"/>
  <c r="W519" i="1"/>
  <c r="W542" i="1"/>
  <c r="W526" i="1"/>
  <c r="W512" i="1"/>
  <c r="W541" i="1"/>
  <c r="W525" i="1"/>
  <c r="W511" i="1"/>
  <c r="W539" i="1"/>
  <c r="W524" i="1"/>
  <c r="W538" i="1"/>
  <c r="W523" i="1"/>
  <c r="W537" i="1"/>
  <c r="W522" i="1"/>
  <c r="W536" i="1"/>
  <c r="W521" i="1"/>
  <c r="W544" i="1"/>
  <c r="W529" i="1"/>
  <c r="W514" i="1"/>
  <c r="W543" i="1"/>
  <c r="W527" i="1"/>
  <c r="W513" i="1"/>
  <c r="W87" i="1"/>
  <c r="W182" i="1"/>
  <c r="W232" i="1"/>
  <c r="W282" i="1"/>
  <c r="W334" i="1"/>
  <c r="W494" i="1"/>
  <c r="W550" i="1"/>
  <c r="W616" i="1"/>
  <c r="W674" i="1"/>
  <c r="AL598" i="1"/>
  <c r="AL566" i="1"/>
  <c r="AL569" i="1"/>
  <c r="AL563" i="1"/>
  <c r="AL575" i="1"/>
  <c r="AL572" i="1"/>
  <c r="W394" i="1"/>
  <c r="W382" i="1"/>
  <c r="W370" i="1"/>
  <c r="W393" i="1"/>
  <c r="W381" i="1"/>
  <c r="W369" i="1"/>
  <c r="W396" i="1"/>
  <c r="W380" i="1"/>
  <c r="W366" i="1"/>
  <c r="W395" i="1"/>
  <c r="W379" i="1"/>
  <c r="W365" i="1"/>
  <c r="W392" i="1"/>
  <c r="W378" i="1"/>
  <c r="W364" i="1"/>
  <c r="W391" i="1"/>
  <c r="W377" i="1"/>
  <c r="W363" i="1"/>
  <c r="W390" i="1"/>
  <c r="W376" i="1"/>
  <c r="W362" i="1"/>
  <c r="W389" i="1"/>
  <c r="W375" i="1"/>
  <c r="W361" i="1"/>
  <c r="W398" i="1"/>
  <c r="W384" i="1"/>
  <c r="W368" i="1"/>
  <c r="W397" i="1"/>
  <c r="W383" i="1"/>
  <c r="W367" i="1"/>
  <c r="Y465" i="1"/>
  <c r="AY250" i="1"/>
  <c r="AY245" i="1"/>
  <c r="AY244" i="1"/>
  <c r="AY233" i="1"/>
  <c r="AY650" i="1"/>
  <c r="AY644" i="1"/>
  <c r="AY632" i="1"/>
  <c r="AY628" i="1"/>
  <c r="AY620" i="1"/>
  <c r="AY616" i="1"/>
  <c r="W96" i="1"/>
  <c r="W192" i="1"/>
  <c r="W241" i="1"/>
  <c r="W293" i="1"/>
  <c r="W345" i="1"/>
  <c r="W399" i="1"/>
  <c r="W463" i="1"/>
  <c r="W515" i="1"/>
  <c r="W572" i="1"/>
  <c r="W686" i="1"/>
  <c r="W745" i="1"/>
  <c r="W644" i="1"/>
  <c r="W632" i="1"/>
  <c r="W620" i="1"/>
  <c r="W645" i="1"/>
  <c r="W631" i="1"/>
  <c r="W618" i="1"/>
  <c r="W643" i="1"/>
  <c r="W630" i="1"/>
  <c r="W617" i="1"/>
  <c r="W640" i="1"/>
  <c r="W625" i="1"/>
  <c r="W639" i="1"/>
  <c r="W624" i="1"/>
  <c r="W638" i="1"/>
  <c r="W623" i="1"/>
  <c r="W637" i="1"/>
  <c r="W622" i="1"/>
  <c r="W636" i="1"/>
  <c r="W621" i="1"/>
  <c r="W650" i="1"/>
  <c r="W635" i="1"/>
  <c r="W619" i="1"/>
  <c r="W642" i="1"/>
  <c r="W627" i="1"/>
  <c r="W612" i="1"/>
  <c r="W641" i="1"/>
  <c r="W626" i="1"/>
  <c r="W611" i="1"/>
  <c r="AY500" i="1"/>
  <c r="AY477" i="1"/>
  <c r="AY498" i="1"/>
  <c r="AY474" i="1"/>
  <c r="AY493" i="1"/>
  <c r="AY469" i="1"/>
  <c r="AY492" i="1"/>
  <c r="AY468" i="1"/>
  <c r="AY491" i="1"/>
  <c r="AY467" i="1"/>
  <c r="AY490" i="1"/>
  <c r="AY466" i="1"/>
  <c r="AY479" i="1"/>
  <c r="AY478" i="1"/>
  <c r="W61" i="1"/>
  <c r="W97" i="1"/>
  <c r="W193" i="1"/>
  <c r="W242" i="1"/>
  <c r="W294" i="1"/>
  <c r="W346" i="1"/>
  <c r="W400" i="1"/>
  <c r="W464" i="1"/>
  <c r="W516" i="1"/>
  <c r="W573" i="1"/>
  <c r="W629" i="1"/>
  <c r="W687" i="1"/>
  <c r="W746" i="1"/>
  <c r="AL150" i="1"/>
  <c r="AL145" i="1"/>
  <c r="AL139" i="1"/>
  <c r="AL133" i="1"/>
  <c r="AL112" i="1"/>
  <c r="AL125" i="1"/>
  <c r="AL142" i="1"/>
  <c r="AL118" i="1"/>
  <c r="AL149" i="1"/>
  <c r="AL134" i="1"/>
  <c r="AL127" i="1"/>
  <c r="AL143" i="1"/>
  <c r="AL116" i="1"/>
  <c r="AL124" i="1"/>
  <c r="AL115" i="1"/>
  <c r="AL140" i="1"/>
  <c r="AL131" i="1"/>
  <c r="AL122" i="1"/>
  <c r="AL113" i="1"/>
  <c r="AL148" i="1"/>
  <c r="AL128" i="1"/>
  <c r="AL119" i="1"/>
  <c r="AL136" i="1"/>
  <c r="AY462" i="1"/>
  <c r="W62" i="1"/>
  <c r="W194" i="1"/>
  <c r="W244" i="1"/>
  <c r="W295" i="1"/>
  <c r="W411" i="1"/>
  <c r="W465" i="1"/>
  <c r="W517" i="1"/>
  <c r="W575" i="1"/>
  <c r="W633" i="1"/>
  <c r="W93" i="1"/>
  <c r="W81" i="1"/>
  <c r="W69" i="1"/>
  <c r="W92" i="1"/>
  <c r="W80" i="1"/>
  <c r="W68" i="1"/>
  <c r="W91" i="1"/>
  <c r="W79" i="1"/>
  <c r="W67" i="1"/>
  <c r="W90" i="1"/>
  <c r="W78" i="1"/>
  <c r="W66" i="1"/>
  <c r="W89" i="1"/>
  <c r="W77" i="1"/>
  <c r="W65" i="1"/>
  <c r="W100" i="1"/>
  <c r="W88" i="1"/>
  <c r="W76" i="1"/>
  <c r="W64" i="1"/>
  <c r="W95" i="1"/>
  <c r="W83" i="1"/>
  <c r="W71" i="1"/>
  <c r="W94" i="1"/>
  <c r="W82" i="1"/>
  <c r="W70" i="1"/>
  <c r="W348" i="1"/>
  <c r="W336" i="1"/>
  <c r="W324" i="1"/>
  <c r="W312" i="1"/>
  <c r="W347" i="1"/>
  <c r="W335" i="1"/>
  <c r="W323" i="1"/>
  <c r="W311" i="1"/>
  <c r="W342" i="1"/>
  <c r="W328" i="1"/>
  <c r="W314" i="1"/>
  <c r="W341" i="1"/>
  <c r="W327" i="1"/>
  <c r="W313" i="1"/>
  <c r="W340" i="1"/>
  <c r="W326" i="1"/>
  <c r="W339" i="1"/>
  <c r="W325" i="1"/>
  <c r="W338" i="1"/>
  <c r="W322" i="1"/>
  <c r="W337" i="1"/>
  <c r="W321" i="1"/>
  <c r="W344" i="1"/>
  <c r="W330" i="1"/>
  <c r="W316" i="1"/>
  <c r="W343" i="1"/>
  <c r="W329" i="1"/>
  <c r="W315" i="1"/>
  <c r="AY465" i="1"/>
  <c r="W63" i="1"/>
  <c r="W99" i="1"/>
  <c r="W195" i="1"/>
  <c r="W245" i="1"/>
  <c r="W296" i="1"/>
  <c r="W350" i="1"/>
  <c r="W412" i="1"/>
  <c r="W518" i="1"/>
  <c r="W576" i="1"/>
  <c r="W634" i="1"/>
  <c r="AL146" i="1"/>
  <c r="W498" i="1"/>
  <c r="W486" i="1"/>
  <c r="W474" i="1"/>
  <c r="W462" i="1"/>
  <c r="W497" i="1"/>
  <c r="W485" i="1"/>
  <c r="W473" i="1"/>
  <c r="W461" i="1"/>
  <c r="W488" i="1"/>
  <c r="W472" i="1"/>
  <c r="W487" i="1"/>
  <c r="W471" i="1"/>
  <c r="W500" i="1"/>
  <c r="W484" i="1"/>
  <c r="W470" i="1"/>
  <c r="W499" i="1"/>
  <c r="W483" i="1"/>
  <c r="W469" i="1"/>
  <c r="W496" i="1"/>
  <c r="W482" i="1"/>
  <c r="W468" i="1"/>
  <c r="W495" i="1"/>
  <c r="W481" i="1"/>
  <c r="W467" i="1"/>
  <c r="W490" i="1"/>
  <c r="W476" i="1"/>
  <c r="W489" i="1"/>
  <c r="W475" i="1"/>
  <c r="AY480" i="1"/>
  <c r="W72" i="1"/>
  <c r="W166" i="1"/>
  <c r="W215" i="1"/>
  <c r="W317" i="1"/>
  <c r="W371" i="1"/>
  <c r="W423" i="1"/>
  <c r="W477" i="1"/>
  <c r="W530" i="1"/>
  <c r="W588" i="1"/>
  <c r="W646" i="1"/>
  <c r="W711" i="1"/>
  <c r="AK592" i="1"/>
  <c r="W290" i="1"/>
  <c r="W278" i="1"/>
  <c r="W289" i="1"/>
  <c r="W277" i="1"/>
  <c r="W265" i="1"/>
  <c r="W288" i="1"/>
  <c r="W274" i="1"/>
  <c r="W261" i="1"/>
  <c r="W287" i="1"/>
  <c r="W273" i="1"/>
  <c r="W300" i="1"/>
  <c r="W286" i="1"/>
  <c r="W272" i="1"/>
  <c r="W299" i="1"/>
  <c r="W285" i="1"/>
  <c r="W271" i="1"/>
  <c r="W298" i="1"/>
  <c r="W284" i="1"/>
  <c r="W270" i="1"/>
  <c r="W297" i="1"/>
  <c r="W283" i="1"/>
  <c r="W269" i="1"/>
  <c r="W292" i="1"/>
  <c r="W276" i="1"/>
  <c r="W263" i="1"/>
  <c r="W291" i="1"/>
  <c r="W275" i="1"/>
  <c r="W262" i="1"/>
  <c r="Y582" i="1"/>
  <c r="AY150" i="1"/>
  <c r="AY145" i="1"/>
  <c r="AY139" i="1"/>
  <c r="AY133" i="1"/>
  <c r="AY127" i="1"/>
  <c r="AY481" i="1"/>
  <c r="W73" i="1"/>
  <c r="W167" i="1"/>
  <c r="W216" i="1"/>
  <c r="W266" i="1"/>
  <c r="W318" i="1"/>
  <c r="W372" i="1"/>
  <c r="W424" i="1"/>
  <c r="W478" i="1"/>
  <c r="W531" i="1"/>
  <c r="W647" i="1"/>
  <c r="AL137" i="1"/>
  <c r="AK598" i="1"/>
  <c r="W598" i="1"/>
  <c r="W586" i="1"/>
  <c r="W574" i="1"/>
  <c r="W562" i="1"/>
  <c r="W595" i="1"/>
  <c r="W582" i="1"/>
  <c r="W569" i="1"/>
  <c r="W594" i="1"/>
  <c r="W581" i="1"/>
  <c r="W568" i="1"/>
  <c r="W600" i="1"/>
  <c r="W584" i="1"/>
  <c r="W567" i="1"/>
  <c r="W599" i="1"/>
  <c r="W583" i="1"/>
  <c r="W566" i="1"/>
  <c r="W597" i="1"/>
  <c r="W580" i="1"/>
  <c r="W565" i="1"/>
  <c r="W596" i="1"/>
  <c r="W579" i="1"/>
  <c r="W564" i="1"/>
  <c r="W593" i="1"/>
  <c r="W578" i="1"/>
  <c r="W563" i="1"/>
  <c r="W592" i="1"/>
  <c r="W577" i="1"/>
  <c r="W561" i="1"/>
  <c r="W587" i="1"/>
  <c r="W571" i="1"/>
  <c r="W585" i="1"/>
  <c r="W570" i="1"/>
  <c r="W748" i="1"/>
  <c r="W736" i="1"/>
  <c r="W724" i="1"/>
  <c r="W712" i="1"/>
  <c r="W743" i="1"/>
  <c r="W730" i="1"/>
  <c r="W717" i="1"/>
  <c r="W742" i="1"/>
  <c r="W729" i="1"/>
  <c r="W716" i="1"/>
  <c r="W739" i="1"/>
  <c r="W723" i="1"/>
  <c r="W738" i="1"/>
  <c r="W722" i="1"/>
  <c r="W737" i="1"/>
  <c r="W721" i="1"/>
  <c r="W735" i="1"/>
  <c r="W720" i="1"/>
  <c r="W734" i="1"/>
  <c r="W719" i="1"/>
  <c r="W749" i="1"/>
  <c r="W733" i="1"/>
  <c r="W718" i="1"/>
  <c r="W747" i="1"/>
  <c r="W732" i="1"/>
  <c r="W741" i="1"/>
  <c r="W726" i="1"/>
  <c r="W740" i="1"/>
  <c r="W725" i="1"/>
  <c r="AY115" i="1"/>
  <c r="AY486" i="1"/>
  <c r="W74" i="1"/>
  <c r="W217" i="1"/>
  <c r="W267" i="1"/>
  <c r="W319" i="1"/>
  <c r="W373" i="1"/>
  <c r="W425" i="1"/>
  <c r="W479" i="1"/>
  <c r="W534" i="1"/>
  <c r="W590" i="1"/>
  <c r="W648" i="1"/>
  <c r="W714" i="1"/>
  <c r="Q246" i="1"/>
  <c r="W197" i="1"/>
  <c r="W185" i="1"/>
  <c r="W173" i="1"/>
  <c r="W161" i="1"/>
  <c r="W189" i="1"/>
  <c r="W176" i="1"/>
  <c r="W163" i="1"/>
  <c r="W188" i="1"/>
  <c r="W175" i="1"/>
  <c r="W162" i="1"/>
  <c r="W200" i="1"/>
  <c r="W187" i="1"/>
  <c r="W174" i="1"/>
  <c r="W199" i="1"/>
  <c r="W186" i="1"/>
  <c r="W172" i="1"/>
  <c r="W198" i="1"/>
  <c r="W184" i="1"/>
  <c r="W171" i="1"/>
  <c r="W196" i="1"/>
  <c r="W183" i="1"/>
  <c r="W170" i="1"/>
  <c r="W191" i="1"/>
  <c r="W178" i="1"/>
  <c r="W165" i="1"/>
  <c r="W190" i="1"/>
  <c r="W177" i="1"/>
  <c r="W164" i="1"/>
  <c r="AY121" i="1"/>
  <c r="AY400" i="1"/>
  <c r="AY398" i="1"/>
  <c r="AY386" i="1"/>
  <c r="AY374" i="1"/>
  <c r="AY362" i="1"/>
  <c r="AY489" i="1"/>
  <c r="W75" i="1"/>
  <c r="W169" i="1"/>
  <c r="W268" i="1"/>
  <c r="W320" i="1"/>
  <c r="W374" i="1"/>
  <c r="W480" i="1"/>
  <c r="W535" i="1"/>
  <c r="W591" i="1"/>
  <c r="W649" i="1"/>
  <c r="W715" i="1"/>
  <c r="AL130" i="1"/>
  <c r="AI550" i="1"/>
  <c r="AI548" i="1"/>
  <c r="AI542" i="1"/>
  <c r="AI536" i="1"/>
  <c r="AI530" i="1"/>
  <c r="AI524" i="1"/>
  <c r="AI518" i="1"/>
  <c r="AI512" i="1"/>
  <c r="AI546" i="1"/>
  <c r="AI531" i="1"/>
  <c r="AI522" i="1"/>
  <c r="AI539" i="1"/>
  <c r="AI515" i="1"/>
  <c r="AI537" i="1"/>
  <c r="AI528" i="1"/>
  <c r="AI513" i="1"/>
  <c r="AI545" i="1"/>
  <c r="AI533" i="1"/>
  <c r="AI516" i="1"/>
  <c r="AI543" i="1"/>
  <c r="AI527" i="1"/>
  <c r="AI540" i="1"/>
  <c r="AI525" i="1"/>
  <c r="AI519" i="1"/>
  <c r="AI549" i="1"/>
  <c r="W243" i="1"/>
  <c r="W231" i="1"/>
  <c r="W219" i="1"/>
  <c r="W238" i="1"/>
  <c r="W225" i="1"/>
  <c r="W212" i="1"/>
  <c r="W250" i="1"/>
  <c r="W237" i="1"/>
  <c r="W224" i="1"/>
  <c r="W211" i="1"/>
  <c r="W249" i="1"/>
  <c r="W236" i="1"/>
  <c r="W223" i="1"/>
  <c r="W248" i="1"/>
  <c r="W235" i="1"/>
  <c r="W222" i="1"/>
  <c r="W247" i="1"/>
  <c r="W234" i="1"/>
  <c r="W221" i="1"/>
  <c r="W246" i="1"/>
  <c r="W233" i="1"/>
  <c r="W220" i="1"/>
  <c r="W240" i="1"/>
  <c r="W227" i="1"/>
  <c r="W214" i="1"/>
  <c r="W239" i="1"/>
  <c r="W226" i="1"/>
  <c r="W213" i="1"/>
  <c r="Q241" i="1"/>
  <c r="W440" i="1"/>
  <c r="W428" i="1"/>
  <c r="W416" i="1"/>
  <c r="W439" i="1"/>
  <c r="W427" i="1"/>
  <c r="W415" i="1"/>
  <c r="W448" i="1"/>
  <c r="W434" i="1"/>
  <c r="W420" i="1"/>
  <c r="W447" i="1"/>
  <c r="W433" i="1"/>
  <c r="W419" i="1"/>
  <c r="W446" i="1"/>
  <c r="W432" i="1"/>
  <c r="W418" i="1"/>
  <c r="W445" i="1"/>
  <c r="W431" i="1"/>
  <c r="W417" i="1"/>
  <c r="W444" i="1"/>
  <c r="W430" i="1"/>
  <c r="W414" i="1"/>
  <c r="W443" i="1"/>
  <c r="W429" i="1"/>
  <c r="W413" i="1"/>
  <c r="W450" i="1"/>
  <c r="W436" i="1"/>
  <c r="W422" i="1"/>
  <c r="W449" i="1"/>
  <c r="W435" i="1"/>
  <c r="W421" i="1"/>
  <c r="Q515" i="1"/>
  <c r="W690" i="1"/>
  <c r="W678" i="1"/>
  <c r="W666" i="1"/>
  <c r="W694" i="1"/>
  <c r="W681" i="1"/>
  <c r="W668" i="1"/>
  <c r="W693" i="1"/>
  <c r="W680" i="1"/>
  <c r="W667" i="1"/>
  <c r="W698" i="1"/>
  <c r="W683" i="1"/>
  <c r="W665" i="1"/>
  <c r="W697" i="1"/>
  <c r="W682" i="1"/>
  <c r="W664" i="1"/>
  <c r="W696" i="1"/>
  <c r="W679" i="1"/>
  <c r="W663" i="1"/>
  <c r="W695" i="1"/>
  <c r="W677" i="1"/>
  <c r="W662" i="1"/>
  <c r="W692" i="1"/>
  <c r="W676" i="1"/>
  <c r="W661" i="1"/>
  <c r="W691" i="1"/>
  <c r="W675" i="1"/>
  <c r="W700" i="1"/>
  <c r="W685" i="1"/>
  <c r="W670" i="1"/>
  <c r="W699" i="1"/>
  <c r="W684" i="1"/>
  <c r="W669" i="1"/>
  <c r="W84" i="1"/>
  <c r="W179" i="1"/>
  <c r="W228" i="1"/>
  <c r="W279" i="1"/>
  <c r="W331" i="1"/>
  <c r="W385" i="1"/>
  <c r="W437" i="1"/>
  <c r="W491" i="1"/>
  <c r="W547" i="1"/>
  <c r="W613" i="1"/>
  <c r="W671" i="1"/>
  <c r="W727" i="1"/>
  <c r="AI300" i="1"/>
  <c r="AI296" i="1"/>
  <c r="AI268" i="1"/>
  <c r="AI289" i="1"/>
  <c r="AI281" i="1"/>
  <c r="AI283" i="1"/>
  <c r="AI265" i="1"/>
  <c r="AI290" i="1"/>
  <c r="AI272" i="1"/>
  <c r="AI298" i="1"/>
  <c r="AI263" i="1"/>
  <c r="AI280" i="1"/>
  <c r="AI287" i="1"/>
  <c r="AI271" i="1"/>
  <c r="AI277" i="1"/>
  <c r="AI286" i="1"/>
  <c r="AI295" i="1"/>
  <c r="AI275" i="1"/>
  <c r="AI284" i="1"/>
  <c r="AI274" i="1"/>
  <c r="AI293" i="1"/>
  <c r="AI262" i="1"/>
  <c r="AI266" i="1"/>
  <c r="Q244" i="1"/>
  <c r="W85" i="1"/>
  <c r="W180" i="1"/>
  <c r="W229" i="1"/>
  <c r="W280" i="1"/>
  <c r="W332" i="1"/>
  <c r="W386" i="1"/>
  <c r="W438" i="1"/>
  <c r="W492" i="1"/>
  <c r="W548" i="1"/>
  <c r="W614" i="1"/>
  <c r="W672" i="1"/>
  <c r="W728" i="1"/>
  <c r="AL750" i="1"/>
  <c r="AL737" i="1"/>
  <c r="AL745" i="1"/>
  <c r="AL712" i="1"/>
  <c r="AL736" i="1"/>
  <c r="AL730" i="1"/>
  <c r="AL724" i="1"/>
  <c r="AL733" i="1"/>
  <c r="AL727" i="1"/>
  <c r="AL721" i="1"/>
  <c r="AL715" i="1"/>
  <c r="AL748" i="1"/>
  <c r="AL739" i="1"/>
  <c r="AL713" i="1"/>
  <c r="AL746" i="1"/>
  <c r="AL731" i="1"/>
  <c r="AL725" i="1"/>
  <c r="AL719" i="1"/>
  <c r="AL749" i="1"/>
  <c r="AL716" i="1"/>
  <c r="AL743" i="1"/>
  <c r="AL728" i="1"/>
  <c r="AL742" i="1"/>
  <c r="AL734" i="1"/>
  <c r="AL722" i="1"/>
  <c r="AL718" i="1"/>
  <c r="AL740" i="1"/>
  <c r="AI616" i="1"/>
  <c r="AI750" i="1"/>
  <c r="AI731" i="1"/>
  <c r="AI725" i="1"/>
  <c r="AI719" i="1"/>
  <c r="AI713" i="1"/>
  <c r="AI716" i="1"/>
  <c r="AI728" i="1"/>
  <c r="AY340" i="1"/>
  <c r="AY727" i="1"/>
  <c r="AK744" i="1"/>
  <c r="AK732" i="1"/>
  <c r="AK726" i="1"/>
  <c r="AK720" i="1"/>
  <c r="AK738" i="1"/>
  <c r="AK750" i="1"/>
  <c r="AK717" i="1"/>
  <c r="AK729" i="1"/>
  <c r="AK550" i="1"/>
  <c r="AK548" i="1"/>
  <c r="AK542" i="1"/>
  <c r="AK536" i="1"/>
  <c r="AK530" i="1"/>
  <c r="AK524" i="1"/>
  <c r="AK518" i="1"/>
  <c r="AK512" i="1"/>
  <c r="AK539" i="1"/>
  <c r="AK515" i="1"/>
  <c r="AK545" i="1"/>
  <c r="AK521" i="1"/>
  <c r="AI650" i="1"/>
  <c r="AI649" i="1"/>
  <c r="AI643" i="1"/>
  <c r="AI637" i="1"/>
  <c r="AI631" i="1"/>
  <c r="AI625" i="1"/>
  <c r="AI619" i="1"/>
  <c r="AI613" i="1"/>
  <c r="AI646" i="1"/>
  <c r="AI636" i="1"/>
  <c r="AI628" i="1"/>
  <c r="AI621" i="1"/>
  <c r="AI612" i="1"/>
  <c r="AI645" i="1"/>
  <c r="AI634" i="1"/>
  <c r="AI627" i="1"/>
  <c r="AI618" i="1"/>
  <c r="AI648" i="1"/>
  <c r="AI640" i="1"/>
  <c r="AY739" i="1"/>
  <c r="AL550" i="1"/>
  <c r="AL548" i="1"/>
  <c r="AL542" i="1"/>
  <c r="AL536" i="1"/>
  <c r="AL530" i="1"/>
  <c r="AL524" i="1"/>
  <c r="AL518" i="1"/>
  <c r="AL512" i="1"/>
  <c r="AL546" i="1"/>
  <c r="AL539" i="1"/>
  <c r="AL531" i="1"/>
  <c r="AL522" i="1"/>
  <c r="AL515" i="1"/>
  <c r="AL545" i="1"/>
  <c r="AL537" i="1"/>
  <c r="AL528" i="1"/>
  <c r="AL521" i="1"/>
  <c r="AL513" i="1"/>
  <c r="AL525" i="1"/>
  <c r="AI624" i="1"/>
  <c r="AI722" i="1"/>
  <c r="AY712" i="1"/>
  <c r="AY740" i="1"/>
  <c r="AK99" i="1"/>
  <c r="AI175" i="1"/>
  <c r="AI184" i="1"/>
  <c r="AI400" i="1"/>
  <c r="AI375" i="1"/>
  <c r="AI365" i="1"/>
  <c r="AI396" i="1"/>
  <c r="AI390" i="1"/>
  <c r="AI380" i="1"/>
  <c r="AI389" i="1"/>
  <c r="AI383" i="1"/>
  <c r="AI377" i="1"/>
  <c r="AI371" i="1"/>
  <c r="AI395" i="1"/>
  <c r="AI369" i="1"/>
  <c r="AI363" i="1"/>
  <c r="AI387" i="1"/>
  <c r="AI381" i="1"/>
  <c r="AM550" i="1"/>
  <c r="AM545" i="1"/>
  <c r="AM530" i="1"/>
  <c r="AM521" i="1"/>
  <c r="AM536" i="1"/>
  <c r="AL540" i="1"/>
  <c r="AY715" i="1"/>
  <c r="AY741" i="1"/>
  <c r="AM350" i="1"/>
  <c r="AM349" i="1"/>
  <c r="AM331" i="1"/>
  <c r="AM313" i="1"/>
  <c r="AM348" i="1"/>
  <c r="AM330" i="1"/>
  <c r="AM312" i="1"/>
  <c r="AM343" i="1"/>
  <c r="AM322" i="1"/>
  <c r="AM342" i="1"/>
  <c r="AM321" i="1"/>
  <c r="AM340" i="1"/>
  <c r="AM319" i="1"/>
  <c r="AM339" i="1"/>
  <c r="AM318" i="1"/>
  <c r="AM337" i="1"/>
  <c r="AM316" i="1"/>
  <c r="AK398" i="1"/>
  <c r="AK396" i="1"/>
  <c r="AK390" i="1"/>
  <c r="AK380" i="1"/>
  <c r="AK369" i="1"/>
  <c r="AK363" i="1"/>
  <c r="AK387" i="1"/>
  <c r="AK381" i="1"/>
  <c r="AK375" i="1"/>
  <c r="AK393" i="1"/>
  <c r="AK374" i="1"/>
  <c r="AK368" i="1"/>
  <c r="AK362" i="1"/>
  <c r="AL371" i="1"/>
  <c r="AI392" i="1"/>
  <c r="AI498" i="1"/>
  <c r="AI490" i="1"/>
  <c r="AI475" i="1"/>
  <c r="AI481" i="1"/>
  <c r="AI499" i="1"/>
  <c r="AI472" i="1"/>
  <c r="AI463" i="1"/>
  <c r="AI496" i="1"/>
  <c r="AI487" i="1"/>
  <c r="AM512" i="1"/>
  <c r="AK527" i="1"/>
  <c r="AM542" i="1"/>
  <c r="AI642" i="1"/>
  <c r="AY716" i="1"/>
  <c r="AY742" i="1"/>
  <c r="AK89" i="1"/>
  <c r="AK96" i="1"/>
  <c r="AK82" i="1"/>
  <c r="AK68" i="1"/>
  <c r="AK95" i="1"/>
  <c r="AK81" i="1"/>
  <c r="AK67" i="1"/>
  <c r="AK91" i="1"/>
  <c r="AK73" i="1"/>
  <c r="AK90" i="1"/>
  <c r="AK72" i="1"/>
  <c r="AI198" i="1"/>
  <c r="AI168" i="1"/>
  <c r="AI196" i="1"/>
  <c r="AI189" i="1"/>
  <c r="AI181" i="1"/>
  <c r="AI183" i="1"/>
  <c r="AI190" i="1"/>
  <c r="AI172" i="1"/>
  <c r="AI165" i="1"/>
  <c r="AI199" i="1"/>
  <c r="AI187" i="1"/>
  <c r="AI177" i="1"/>
  <c r="AI186" i="1"/>
  <c r="AM315" i="1"/>
  <c r="AL400" i="1"/>
  <c r="AL369" i="1"/>
  <c r="AL384" i="1"/>
  <c r="AL374" i="1"/>
  <c r="AL395" i="1"/>
  <c r="AL363" i="1"/>
  <c r="AL387" i="1"/>
  <c r="AL381" i="1"/>
  <c r="AL375" i="1"/>
  <c r="AL393" i="1"/>
  <c r="AL368" i="1"/>
  <c r="AL362" i="1"/>
  <c r="AI372" i="1"/>
  <c r="AK383" i="1"/>
  <c r="AL392" i="1"/>
  <c r="AI493" i="1"/>
  <c r="AM515" i="1"/>
  <c r="AL527" i="1"/>
  <c r="AI615" i="1"/>
  <c r="AI630" i="1"/>
  <c r="AK723" i="1"/>
  <c r="AY272" i="1"/>
  <c r="AY331" i="1"/>
  <c r="AY544" i="1"/>
  <c r="AY683" i="1"/>
  <c r="AY717" i="1"/>
  <c r="AY748" i="1"/>
  <c r="AK62" i="1"/>
  <c r="AK84" i="1"/>
  <c r="AI92" i="1"/>
  <c r="AI74" i="1"/>
  <c r="AI89" i="1"/>
  <c r="AI73" i="1"/>
  <c r="AI95" i="1"/>
  <c r="AI77" i="1"/>
  <c r="AI94" i="1"/>
  <c r="AI72" i="1"/>
  <c r="AM324" i="1"/>
  <c r="AM398" i="1"/>
  <c r="AM384" i="1"/>
  <c r="AM363" i="1"/>
  <c r="AM387" i="1"/>
  <c r="AM381" i="1"/>
  <c r="AM375" i="1"/>
  <c r="AM369" i="1"/>
  <c r="AM393" i="1"/>
  <c r="AM399" i="1"/>
  <c r="AK372" i="1"/>
  <c r="AL383" i="1"/>
  <c r="AI393" i="1"/>
  <c r="AI484" i="1"/>
  <c r="AM527" i="1"/>
  <c r="AL543" i="1"/>
  <c r="AI734" i="1"/>
  <c r="AY284" i="1"/>
  <c r="AY332" i="1"/>
  <c r="AY545" i="1"/>
  <c r="AY684" i="1"/>
  <c r="AY718" i="1"/>
  <c r="AI81" i="1"/>
  <c r="AK63" i="1"/>
  <c r="AK85" i="1"/>
  <c r="AL100" i="1"/>
  <c r="AL78" i="1"/>
  <c r="AL94" i="1"/>
  <c r="AL92" i="1"/>
  <c r="AL69" i="1"/>
  <c r="AL91" i="1"/>
  <c r="AL68" i="1"/>
  <c r="AM325" i="1"/>
  <c r="AI362" i="1"/>
  <c r="AL372" i="1"/>
  <c r="AI384" i="1"/>
  <c r="AL396" i="1"/>
  <c r="AL516" i="1"/>
  <c r="AM548" i="1"/>
  <c r="AM598" i="1"/>
  <c r="AM593" i="1"/>
  <c r="AM575" i="1"/>
  <c r="AM563" i="1"/>
  <c r="AM596" i="1"/>
  <c r="AM578" i="1"/>
  <c r="AM750" i="1"/>
  <c r="AM745" i="1"/>
  <c r="AM712" i="1"/>
  <c r="AM736" i="1"/>
  <c r="AM730" i="1"/>
  <c r="AM724" i="1"/>
  <c r="AM718" i="1"/>
  <c r="AM743" i="1"/>
  <c r="AM748" i="1"/>
  <c r="AM739" i="1"/>
  <c r="AM713" i="1"/>
  <c r="AM746" i="1"/>
  <c r="AM731" i="1"/>
  <c r="AM725" i="1"/>
  <c r="AM719" i="1"/>
  <c r="AM737" i="1"/>
  <c r="AM727" i="1"/>
  <c r="AI436" i="1"/>
  <c r="AM500" i="1"/>
  <c r="AM481" i="1"/>
  <c r="AM468" i="1"/>
  <c r="AM489" i="1"/>
  <c r="AM466" i="1"/>
  <c r="AM496" i="1"/>
  <c r="AM495" i="1"/>
  <c r="AM581" i="1"/>
  <c r="AL650" i="1"/>
  <c r="AL649" i="1"/>
  <c r="AL643" i="1"/>
  <c r="AL637" i="1"/>
  <c r="AL631" i="1"/>
  <c r="AL625" i="1"/>
  <c r="AL619" i="1"/>
  <c r="AL613" i="1"/>
  <c r="AL618" i="1"/>
  <c r="AL627" i="1"/>
  <c r="AL634" i="1"/>
  <c r="AM715" i="1"/>
  <c r="AM742" i="1"/>
  <c r="AM462" i="1"/>
  <c r="AM469" i="1"/>
  <c r="AM650" i="1"/>
  <c r="AM645" i="1"/>
  <c r="AM639" i="1"/>
  <c r="AM649" i="1"/>
  <c r="AM643" i="1"/>
  <c r="AM637" i="1"/>
  <c r="AM631" i="1"/>
  <c r="AM625" i="1"/>
  <c r="AM619" i="1"/>
  <c r="AM613" i="1"/>
  <c r="AM618" i="1"/>
  <c r="AM627" i="1"/>
  <c r="AM634" i="1"/>
  <c r="AK450" i="1"/>
  <c r="AK436" i="1"/>
  <c r="AM471" i="1"/>
  <c r="AM478" i="1"/>
  <c r="AM498" i="1"/>
  <c r="AM566" i="1"/>
  <c r="AM584" i="1"/>
  <c r="AL645" i="1"/>
  <c r="AM728" i="1"/>
  <c r="AI147" i="1"/>
  <c r="AI144" i="1"/>
  <c r="AI138" i="1"/>
  <c r="AI132" i="1"/>
  <c r="AI141" i="1"/>
  <c r="AK430" i="1"/>
  <c r="AI439" i="1"/>
  <c r="AM480" i="1"/>
  <c r="AM487" i="1"/>
  <c r="AL612" i="1"/>
  <c r="AL621" i="1"/>
  <c r="AL628" i="1"/>
  <c r="AL636" i="1"/>
  <c r="AM716" i="1"/>
  <c r="AM749" i="1"/>
  <c r="AK150" i="1"/>
  <c r="AK119" i="1"/>
  <c r="AI250" i="1"/>
  <c r="AI221" i="1"/>
  <c r="AI218" i="1"/>
  <c r="AI242" i="1"/>
  <c r="AK421" i="1"/>
  <c r="AK439" i="1"/>
  <c r="AK448" i="1"/>
  <c r="AM587" i="1"/>
  <c r="AM612" i="1"/>
  <c r="AM621" i="1"/>
  <c r="AM628" i="1"/>
  <c r="AM636" i="1"/>
  <c r="AL646" i="1"/>
  <c r="AM733" i="1"/>
  <c r="AK683" i="1"/>
  <c r="AK686" i="1"/>
  <c r="AK689" i="1"/>
  <c r="AK692" i="1"/>
  <c r="AM118" i="1"/>
  <c r="AK174" i="1"/>
  <c r="AK266" i="1"/>
  <c r="AK274" i="1"/>
  <c r="AL481" i="1"/>
  <c r="AK496" i="1"/>
  <c r="AK677" i="1"/>
  <c r="AM125" i="1"/>
  <c r="AL174" i="1"/>
  <c r="AL181" i="1"/>
  <c r="AK189" i="1"/>
  <c r="AL196" i="1"/>
  <c r="AL274" i="1"/>
  <c r="AK281" i="1"/>
  <c r="AK289" i="1"/>
  <c r="AM419" i="1"/>
  <c r="AM428" i="1"/>
  <c r="AL436" i="1"/>
  <c r="AM443" i="1"/>
  <c r="AK475" i="1"/>
  <c r="AL496" i="1"/>
  <c r="AK680" i="1"/>
  <c r="AI663" i="1"/>
  <c r="AI666" i="1"/>
  <c r="AI669" i="1"/>
  <c r="AI672" i="1"/>
  <c r="AI675" i="1"/>
  <c r="AI678" i="1"/>
  <c r="AI681" i="1"/>
  <c r="AI684" i="1"/>
  <c r="AI687" i="1"/>
  <c r="AI690" i="1"/>
  <c r="AI693" i="1"/>
  <c r="AI696" i="1"/>
  <c r="AI699" i="1"/>
  <c r="AI712" i="1"/>
  <c r="AI715" i="1"/>
  <c r="AI718" i="1"/>
  <c r="AI721" i="1"/>
  <c r="AI724" i="1"/>
  <c r="AI727" i="1"/>
  <c r="AI730" i="1"/>
  <c r="AI733" i="1"/>
  <c r="AI736" i="1"/>
  <c r="AI739" i="1"/>
  <c r="AI742" i="1"/>
  <c r="AI745" i="1"/>
  <c r="AI748" i="1"/>
  <c r="AK741" i="1"/>
  <c r="AK663" i="1"/>
  <c r="AK666" i="1"/>
  <c r="AK669" i="1"/>
  <c r="AK672" i="1"/>
  <c r="AK675" i="1"/>
  <c r="AK678" i="1"/>
  <c r="AK681" i="1"/>
  <c r="AK684" i="1"/>
  <c r="AK687" i="1"/>
  <c r="AK690" i="1"/>
  <c r="AK693" i="1"/>
  <c r="AK696" i="1"/>
  <c r="AK699" i="1"/>
  <c r="AK712" i="1"/>
  <c r="AK715" i="1"/>
  <c r="AK718" i="1"/>
  <c r="AK721" i="1"/>
  <c r="AK724" i="1"/>
  <c r="AK727" i="1"/>
  <c r="AK730" i="1"/>
  <c r="AK733" i="1"/>
  <c r="AK736" i="1"/>
  <c r="AK739" i="1"/>
  <c r="AK742" i="1"/>
  <c r="AK745" i="1"/>
  <c r="AK748" i="1"/>
  <c r="AL663" i="1"/>
  <c r="AL666" i="1"/>
  <c r="AL669" i="1"/>
  <c r="AL672" i="1"/>
  <c r="AL675" i="1"/>
  <c r="AL678" i="1"/>
  <c r="AL681" i="1"/>
  <c r="AL684" i="1"/>
  <c r="AL687" i="1"/>
  <c r="AL690" i="1"/>
  <c r="AL693" i="1"/>
  <c r="AL696" i="1"/>
  <c r="AL699" i="1"/>
  <c r="AM663" i="1"/>
  <c r="AM666" i="1"/>
  <c r="AM669" i="1"/>
  <c r="AM672" i="1"/>
  <c r="AM675" i="1"/>
  <c r="AM678" i="1"/>
  <c r="AM681" i="1"/>
  <c r="AM684" i="1"/>
  <c r="AM687" i="1"/>
  <c r="AM690" i="1"/>
  <c r="AM693" i="1"/>
  <c r="AM696" i="1"/>
  <c r="AM699" i="1"/>
  <c r="AI664" i="1"/>
  <c r="AI667" i="1"/>
  <c r="AI670" i="1"/>
  <c r="AI673" i="1"/>
  <c r="AI676" i="1"/>
  <c r="AI679" i="1"/>
  <c r="AI682" i="1"/>
  <c r="AI685" i="1"/>
  <c r="AI688" i="1"/>
  <c r="AI691" i="1"/>
  <c r="AI694" i="1"/>
  <c r="AI697" i="1"/>
  <c r="AI700" i="1"/>
  <c r="AI737" i="1"/>
  <c r="AI740" i="1"/>
  <c r="AI743" i="1"/>
  <c r="AI746" i="1"/>
  <c r="AI749" i="1"/>
  <c r="AK664" i="1"/>
  <c r="AK667" i="1"/>
  <c r="AK670" i="1"/>
  <c r="AK673" i="1"/>
  <c r="AK676" i="1"/>
  <c r="AK679" i="1"/>
  <c r="AK682" i="1"/>
  <c r="AK685" i="1"/>
  <c r="AK688" i="1"/>
  <c r="AK691" i="1"/>
  <c r="AK694" i="1"/>
  <c r="AK697" i="1"/>
  <c r="AK713" i="1"/>
  <c r="AK716" i="1"/>
  <c r="AK719" i="1"/>
  <c r="AK722" i="1"/>
  <c r="AK725" i="1"/>
  <c r="AK728" i="1"/>
  <c r="AK731" i="1"/>
  <c r="AK734" i="1"/>
  <c r="AK737" i="1"/>
  <c r="AK740" i="1"/>
  <c r="AK743" i="1"/>
  <c r="AK746" i="1"/>
  <c r="AK749" i="1"/>
  <c r="AL664" i="1"/>
  <c r="AL667" i="1"/>
  <c r="AL670" i="1"/>
  <c r="AL673" i="1"/>
  <c r="AL676" i="1"/>
  <c r="AL679" i="1"/>
  <c r="AL682" i="1"/>
  <c r="AL685" i="1"/>
  <c r="AL688" i="1"/>
  <c r="AL691" i="1"/>
  <c r="AL694" i="1"/>
  <c r="AL697" i="1"/>
  <c r="AL700" i="1"/>
  <c r="AM664" i="1"/>
  <c r="AM667" i="1"/>
  <c r="AM670" i="1"/>
  <c r="AM673" i="1"/>
  <c r="AM676" i="1"/>
  <c r="AM679" i="1"/>
  <c r="AM682" i="1"/>
  <c r="AM685" i="1"/>
  <c r="AM688" i="1"/>
  <c r="AM691" i="1"/>
  <c r="AM694" i="1"/>
  <c r="AM697" i="1"/>
  <c r="AM700" i="1"/>
  <c r="AI662" i="1"/>
  <c r="AI665" i="1"/>
  <c r="AI668" i="1"/>
  <c r="AI671" i="1"/>
  <c r="AI674" i="1"/>
  <c r="AI677" i="1"/>
  <c r="AI680" i="1"/>
  <c r="AI683" i="1"/>
  <c r="AI686" i="1"/>
  <c r="AI689" i="1"/>
  <c r="AI692" i="1"/>
  <c r="AI695" i="1"/>
  <c r="AI714" i="1"/>
  <c r="AI717" i="1"/>
  <c r="AI720" i="1"/>
  <c r="AI723" i="1"/>
  <c r="AI726" i="1"/>
  <c r="AI729" i="1"/>
  <c r="AI732" i="1"/>
  <c r="AI735" i="1"/>
  <c r="AI738" i="1"/>
  <c r="AI741" i="1"/>
  <c r="AI744" i="1"/>
  <c r="AI747" i="1"/>
  <c r="AK747" i="1"/>
  <c r="AL662" i="1"/>
  <c r="AL665" i="1"/>
  <c r="AL668" i="1"/>
  <c r="AL671" i="1"/>
  <c r="AL674" i="1"/>
  <c r="AL677" i="1"/>
  <c r="AL680" i="1"/>
  <c r="AL683" i="1"/>
  <c r="AL686" i="1"/>
  <c r="AL689" i="1"/>
  <c r="AL692" i="1"/>
  <c r="AL695" i="1"/>
  <c r="AL714" i="1"/>
  <c r="AL717" i="1"/>
  <c r="AL720" i="1"/>
  <c r="AL723" i="1"/>
  <c r="AL726" i="1"/>
  <c r="AL729" i="1"/>
  <c r="AL732" i="1"/>
  <c r="AL735" i="1"/>
  <c r="AL738" i="1"/>
  <c r="AL741" i="1"/>
  <c r="AL744" i="1"/>
  <c r="AL747" i="1"/>
  <c r="AK714" i="1"/>
  <c r="AM662" i="1"/>
  <c r="AM665" i="1"/>
  <c r="AM668" i="1"/>
  <c r="AM671" i="1"/>
  <c r="AM674" i="1"/>
  <c r="AM677" i="1"/>
  <c r="AM680" i="1"/>
  <c r="AM683" i="1"/>
  <c r="AM686" i="1"/>
  <c r="AM689" i="1"/>
  <c r="AM692" i="1"/>
  <c r="AM695" i="1"/>
  <c r="AM714" i="1"/>
  <c r="AM717" i="1"/>
  <c r="AM720" i="1"/>
  <c r="AM723" i="1"/>
  <c r="AM726" i="1"/>
  <c r="AM729" i="1"/>
  <c r="AM732" i="1"/>
  <c r="AM735" i="1"/>
  <c r="AM738" i="1"/>
  <c r="AM741" i="1"/>
  <c r="AM744" i="1"/>
  <c r="AM747" i="1"/>
  <c r="AI563" i="1"/>
  <c r="AI566" i="1"/>
  <c r="AI569" i="1"/>
  <c r="AI572" i="1"/>
  <c r="AI575" i="1"/>
  <c r="AI578" i="1"/>
  <c r="AI581" i="1"/>
  <c r="AI584" i="1"/>
  <c r="AI587" i="1"/>
  <c r="AI590" i="1"/>
  <c r="AI593" i="1"/>
  <c r="AI596" i="1"/>
  <c r="AI599" i="1"/>
  <c r="AK563" i="1"/>
  <c r="AK566" i="1"/>
  <c r="AK569" i="1"/>
  <c r="AK572" i="1"/>
  <c r="AK575" i="1"/>
  <c r="AK578" i="1"/>
  <c r="AK581" i="1"/>
  <c r="AK584" i="1"/>
  <c r="AK587" i="1"/>
  <c r="AK590" i="1"/>
  <c r="AK593" i="1"/>
  <c r="AK596" i="1"/>
  <c r="AK599" i="1"/>
  <c r="AK612" i="1"/>
  <c r="AK615" i="1"/>
  <c r="AK618" i="1"/>
  <c r="AK621" i="1"/>
  <c r="AK624" i="1"/>
  <c r="AK627" i="1"/>
  <c r="AK630" i="1"/>
  <c r="AK633" i="1"/>
  <c r="AK636" i="1"/>
  <c r="AK639" i="1"/>
  <c r="AK642" i="1"/>
  <c r="AK645" i="1"/>
  <c r="AK648" i="1"/>
  <c r="AL578" i="1"/>
  <c r="AL581" i="1"/>
  <c r="AL584" i="1"/>
  <c r="AL587" i="1"/>
  <c r="AL590" i="1"/>
  <c r="AL593" i="1"/>
  <c r="AL596" i="1"/>
  <c r="AL599" i="1"/>
  <c r="AI564" i="1"/>
  <c r="AI567" i="1"/>
  <c r="AI570" i="1"/>
  <c r="AI573" i="1"/>
  <c r="AI576" i="1"/>
  <c r="AI579" i="1"/>
  <c r="AI582" i="1"/>
  <c r="AI585" i="1"/>
  <c r="AI588" i="1"/>
  <c r="AI591" i="1"/>
  <c r="AI594" i="1"/>
  <c r="AI597" i="1"/>
  <c r="AI600" i="1"/>
  <c r="AK564" i="1"/>
  <c r="AK567" i="1"/>
  <c r="AK570" i="1"/>
  <c r="AK573" i="1"/>
  <c r="AK576" i="1"/>
  <c r="AK579" i="1"/>
  <c r="AK582" i="1"/>
  <c r="AK585" i="1"/>
  <c r="AK588" i="1"/>
  <c r="AK591" i="1"/>
  <c r="AK594" i="1"/>
  <c r="AK597" i="1"/>
  <c r="AK613" i="1"/>
  <c r="AK616" i="1"/>
  <c r="AK619" i="1"/>
  <c r="AK622" i="1"/>
  <c r="AK625" i="1"/>
  <c r="AK628" i="1"/>
  <c r="AK631" i="1"/>
  <c r="AK634" i="1"/>
  <c r="AK637" i="1"/>
  <c r="AK640" i="1"/>
  <c r="AK643" i="1"/>
  <c r="AK646" i="1"/>
  <c r="AK649" i="1"/>
  <c r="AL564" i="1"/>
  <c r="AL567" i="1"/>
  <c r="AL570" i="1"/>
  <c r="AL573" i="1"/>
  <c r="AL576" i="1"/>
  <c r="AL579" i="1"/>
  <c r="AL582" i="1"/>
  <c r="AL585" i="1"/>
  <c r="AL588" i="1"/>
  <c r="AL591" i="1"/>
  <c r="AL594" i="1"/>
  <c r="AL597" i="1"/>
  <c r="AL600" i="1"/>
  <c r="AM564" i="1"/>
  <c r="AM567" i="1"/>
  <c r="AM570" i="1"/>
  <c r="AM573" i="1"/>
  <c r="AM576" i="1"/>
  <c r="AM579" i="1"/>
  <c r="AM582" i="1"/>
  <c r="AM585" i="1"/>
  <c r="AM588" i="1"/>
  <c r="AM591" i="1"/>
  <c r="AM594" i="1"/>
  <c r="AM597" i="1"/>
  <c r="AM600" i="1"/>
  <c r="AI562" i="1"/>
  <c r="AI565" i="1"/>
  <c r="AI568" i="1"/>
  <c r="AI571" i="1"/>
  <c r="AI574" i="1"/>
  <c r="AI577" i="1"/>
  <c r="AI580" i="1"/>
  <c r="AI583" i="1"/>
  <c r="AI586" i="1"/>
  <c r="AI589" i="1"/>
  <c r="AI592" i="1"/>
  <c r="AI595" i="1"/>
  <c r="AI614" i="1"/>
  <c r="AI617" i="1"/>
  <c r="AI620" i="1"/>
  <c r="AI623" i="1"/>
  <c r="AI626" i="1"/>
  <c r="AI629" i="1"/>
  <c r="AI632" i="1"/>
  <c r="AI635" i="1"/>
  <c r="AI638" i="1"/>
  <c r="AI641" i="1"/>
  <c r="AI644" i="1"/>
  <c r="AI647" i="1"/>
  <c r="AK614" i="1"/>
  <c r="AK617" i="1"/>
  <c r="AK620" i="1"/>
  <c r="AK623" i="1"/>
  <c r="AK626" i="1"/>
  <c r="AK629" i="1"/>
  <c r="AK632" i="1"/>
  <c r="AK635" i="1"/>
  <c r="AK638" i="1"/>
  <c r="AK641" i="1"/>
  <c r="AK644" i="1"/>
  <c r="AK647" i="1"/>
  <c r="AL562" i="1"/>
  <c r="AL565" i="1"/>
  <c r="AL568" i="1"/>
  <c r="AL571" i="1"/>
  <c r="AL574" i="1"/>
  <c r="AL577" i="1"/>
  <c r="AL580" i="1"/>
  <c r="AL583" i="1"/>
  <c r="AL586" i="1"/>
  <c r="AL589" i="1"/>
  <c r="AL592" i="1"/>
  <c r="AL595" i="1"/>
  <c r="AL614" i="1"/>
  <c r="AL617" i="1"/>
  <c r="AL620" i="1"/>
  <c r="AL623" i="1"/>
  <c r="AL626" i="1"/>
  <c r="AL629" i="1"/>
  <c r="AL632" i="1"/>
  <c r="AL635" i="1"/>
  <c r="AL638" i="1"/>
  <c r="AL641" i="1"/>
  <c r="AL644" i="1"/>
  <c r="AL647" i="1"/>
  <c r="AM562" i="1"/>
  <c r="AM565" i="1"/>
  <c r="AM568" i="1"/>
  <c r="AM571" i="1"/>
  <c r="AM574" i="1"/>
  <c r="AM577" i="1"/>
  <c r="AM580" i="1"/>
  <c r="AM583" i="1"/>
  <c r="AM586" i="1"/>
  <c r="AM589" i="1"/>
  <c r="AM592" i="1"/>
  <c r="AM595" i="1"/>
  <c r="AM614" i="1"/>
  <c r="AM617" i="1"/>
  <c r="AM620" i="1"/>
  <c r="AM623" i="1"/>
  <c r="AM626" i="1"/>
  <c r="AM629" i="1"/>
  <c r="AM632" i="1"/>
  <c r="AM635" i="1"/>
  <c r="AM638" i="1"/>
  <c r="AM641" i="1"/>
  <c r="AM644" i="1"/>
  <c r="AM647" i="1"/>
  <c r="AI464" i="1"/>
  <c r="AI467" i="1"/>
  <c r="AI470" i="1"/>
  <c r="AI473" i="1"/>
  <c r="AI476" i="1"/>
  <c r="AI479" i="1"/>
  <c r="AI482" i="1"/>
  <c r="AI485" i="1"/>
  <c r="AI488" i="1"/>
  <c r="AI491" i="1"/>
  <c r="AI494" i="1"/>
  <c r="AI497" i="1"/>
  <c r="AI500" i="1"/>
  <c r="AK464" i="1"/>
  <c r="AK467" i="1"/>
  <c r="AK470" i="1"/>
  <c r="AK473" i="1"/>
  <c r="AK476" i="1"/>
  <c r="AK479" i="1"/>
  <c r="AK482" i="1"/>
  <c r="AK485" i="1"/>
  <c r="AK488" i="1"/>
  <c r="AK491" i="1"/>
  <c r="AK494" i="1"/>
  <c r="AK497" i="1"/>
  <c r="AK500" i="1"/>
  <c r="AK513" i="1"/>
  <c r="AK516" i="1"/>
  <c r="AK519" i="1"/>
  <c r="AK522" i="1"/>
  <c r="AK525" i="1"/>
  <c r="AK528" i="1"/>
  <c r="AK531" i="1"/>
  <c r="AK534" i="1"/>
  <c r="AK537" i="1"/>
  <c r="AK540" i="1"/>
  <c r="AK543" i="1"/>
  <c r="AK546" i="1"/>
  <c r="AK549" i="1"/>
  <c r="AL464" i="1"/>
  <c r="AL467" i="1"/>
  <c r="AL470" i="1"/>
  <c r="AL473" i="1"/>
  <c r="AL476" i="1"/>
  <c r="AL479" i="1"/>
  <c r="AL482" i="1"/>
  <c r="AL485" i="1"/>
  <c r="AL488" i="1"/>
  <c r="AL491" i="1"/>
  <c r="AL494" i="1"/>
  <c r="AL497" i="1"/>
  <c r="AL500" i="1"/>
  <c r="AM464" i="1"/>
  <c r="AM467" i="1"/>
  <c r="AM470" i="1"/>
  <c r="AM473" i="1"/>
  <c r="AM476" i="1"/>
  <c r="AM479" i="1"/>
  <c r="AM482" i="1"/>
  <c r="AM485" i="1"/>
  <c r="AM488" i="1"/>
  <c r="AM491" i="1"/>
  <c r="AM494" i="1"/>
  <c r="AM497" i="1"/>
  <c r="AM513" i="1"/>
  <c r="AM516" i="1"/>
  <c r="AM519" i="1"/>
  <c r="AM522" i="1"/>
  <c r="AM525" i="1"/>
  <c r="AM528" i="1"/>
  <c r="AM531" i="1"/>
  <c r="AM534" i="1"/>
  <c r="AM537" i="1"/>
  <c r="AM540" i="1"/>
  <c r="AM543" i="1"/>
  <c r="AM546" i="1"/>
  <c r="AM549" i="1"/>
  <c r="AI462" i="1"/>
  <c r="AI465" i="1"/>
  <c r="AI468" i="1"/>
  <c r="AI471" i="1"/>
  <c r="AI474" i="1"/>
  <c r="AI477" i="1"/>
  <c r="AI480" i="1"/>
  <c r="AI483" i="1"/>
  <c r="AI486" i="1"/>
  <c r="AI489" i="1"/>
  <c r="AI492" i="1"/>
  <c r="AI495" i="1"/>
  <c r="AI514" i="1"/>
  <c r="AI517" i="1"/>
  <c r="AI520" i="1"/>
  <c r="AI523" i="1"/>
  <c r="AI526" i="1"/>
  <c r="AI529" i="1"/>
  <c r="AI532" i="1"/>
  <c r="AI535" i="1"/>
  <c r="AI538" i="1"/>
  <c r="AI541" i="1"/>
  <c r="AI544" i="1"/>
  <c r="AI547" i="1"/>
  <c r="AK462" i="1"/>
  <c r="AK465" i="1"/>
  <c r="AK468" i="1"/>
  <c r="AK471" i="1"/>
  <c r="AK474" i="1"/>
  <c r="AK477" i="1"/>
  <c r="AK480" i="1"/>
  <c r="AK483" i="1"/>
  <c r="AK486" i="1"/>
  <c r="AK489" i="1"/>
  <c r="AK492" i="1"/>
  <c r="AK495" i="1"/>
  <c r="AK514" i="1"/>
  <c r="AK517" i="1"/>
  <c r="AK520" i="1"/>
  <c r="AK523" i="1"/>
  <c r="AK526" i="1"/>
  <c r="AK529" i="1"/>
  <c r="AK532" i="1"/>
  <c r="AK535" i="1"/>
  <c r="AK538" i="1"/>
  <c r="AK541" i="1"/>
  <c r="AK544" i="1"/>
  <c r="AK547" i="1"/>
  <c r="AL462" i="1"/>
  <c r="AL465" i="1"/>
  <c r="AL468" i="1"/>
  <c r="AL471" i="1"/>
  <c r="AL474" i="1"/>
  <c r="AL477" i="1"/>
  <c r="AL480" i="1"/>
  <c r="AL483" i="1"/>
  <c r="AL486" i="1"/>
  <c r="AL489" i="1"/>
  <c r="AL492" i="1"/>
  <c r="AL495" i="1"/>
  <c r="AL514" i="1"/>
  <c r="AL517" i="1"/>
  <c r="AL520" i="1"/>
  <c r="AL523" i="1"/>
  <c r="AL526" i="1"/>
  <c r="AL529" i="1"/>
  <c r="AL532" i="1"/>
  <c r="AL535" i="1"/>
  <c r="AL538" i="1"/>
  <c r="AL541" i="1"/>
  <c r="AL544" i="1"/>
  <c r="AL547" i="1"/>
  <c r="AM514" i="1"/>
  <c r="AM517" i="1"/>
  <c r="AM520" i="1"/>
  <c r="AM523" i="1"/>
  <c r="AM526" i="1"/>
  <c r="AM529" i="1"/>
  <c r="AM532" i="1"/>
  <c r="AM535" i="1"/>
  <c r="AM538" i="1"/>
  <c r="AM541" i="1"/>
  <c r="AM544" i="1"/>
  <c r="AM547" i="1"/>
  <c r="AI415" i="1"/>
  <c r="AI421" i="1"/>
  <c r="AI427" i="1"/>
  <c r="AI445" i="1"/>
  <c r="AI412" i="1"/>
  <c r="AI418" i="1"/>
  <c r="AI424" i="1"/>
  <c r="AI430" i="1"/>
  <c r="AI448" i="1"/>
  <c r="AI364" i="1"/>
  <c r="AI367" i="1"/>
  <c r="AI370" i="1"/>
  <c r="AI373" i="1"/>
  <c r="AI376" i="1"/>
  <c r="AI379" i="1"/>
  <c r="AI382" i="1"/>
  <c r="AI385" i="1"/>
  <c r="AI388" i="1"/>
  <c r="AI391" i="1"/>
  <c r="AI394" i="1"/>
  <c r="AI397" i="1"/>
  <c r="AI413" i="1"/>
  <c r="AI416" i="1"/>
  <c r="AI419" i="1"/>
  <c r="AI422" i="1"/>
  <c r="AI425" i="1"/>
  <c r="AI428" i="1"/>
  <c r="AI431" i="1"/>
  <c r="AI434" i="1"/>
  <c r="AI437" i="1"/>
  <c r="AI440" i="1"/>
  <c r="AI443" i="1"/>
  <c r="AI446" i="1"/>
  <c r="AI449" i="1"/>
  <c r="AK364" i="1"/>
  <c r="AK367" i="1"/>
  <c r="AK370" i="1"/>
  <c r="AK373" i="1"/>
  <c r="AK376" i="1"/>
  <c r="AK379" i="1"/>
  <c r="AK382" i="1"/>
  <c r="AK385" i="1"/>
  <c r="AK388" i="1"/>
  <c r="AK391" i="1"/>
  <c r="AK394" i="1"/>
  <c r="AK397" i="1"/>
  <c r="AK400" i="1"/>
  <c r="AK413" i="1"/>
  <c r="AK416" i="1"/>
  <c r="AK419" i="1"/>
  <c r="AK422" i="1"/>
  <c r="AK425" i="1"/>
  <c r="AK428" i="1"/>
  <c r="AK431" i="1"/>
  <c r="AK434" i="1"/>
  <c r="AK437" i="1"/>
  <c r="AK440" i="1"/>
  <c r="AK443" i="1"/>
  <c r="AK446" i="1"/>
  <c r="AK449" i="1"/>
  <c r="AL364" i="1"/>
  <c r="AL367" i="1"/>
  <c r="AL370" i="1"/>
  <c r="AL373" i="1"/>
  <c r="AL376" i="1"/>
  <c r="AL379" i="1"/>
  <c r="AL382" i="1"/>
  <c r="AL385" i="1"/>
  <c r="AL388" i="1"/>
  <c r="AL391" i="1"/>
  <c r="AL394" i="1"/>
  <c r="AL397" i="1"/>
  <c r="AL413" i="1"/>
  <c r="AL416" i="1"/>
  <c r="AL419" i="1"/>
  <c r="AL422" i="1"/>
  <c r="AL425" i="1"/>
  <c r="AL428" i="1"/>
  <c r="AL431" i="1"/>
  <c r="AL434" i="1"/>
  <c r="AL437" i="1"/>
  <c r="AL440" i="1"/>
  <c r="AL443" i="1"/>
  <c r="AL446" i="1"/>
  <c r="AL449" i="1"/>
  <c r="AM364" i="1"/>
  <c r="AM367" i="1"/>
  <c r="AM370" i="1"/>
  <c r="AM373" i="1"/>
  <c r="AM376" i="1"/>
  <c r="AM379" i="1"/>
  <c r="AM382" i="1"/>
  <c r="AM385" i="1"/>
  <c r="AM388" i="1"/>
  <c r="AM391" i="1"/>
  <c r="AM394" i="1"/>
  <c r="AM397" i="1"/>
  <c r="AM400" i="1"/>
  <c r="AI447" i="1"/>
  <c r="AK392" i="1"/>
  <c r="AK395" i="1"/>
  <c r="AK414" i="1"/>
  <c r="AK417" i="1"/>
  <c r="AK420" i="1"/>
  <c r="AK423" i="1"/>
  <c r="AK426" i="1"/>
  <c r="AK429" i="1"/>
  <c r="AK432" i="1"/>
  <c r="AK435" i="1"/>
  <c r="AK438" i="1"/>
  <c r="AK441" i="1"/>
  <c r="AK444" i="1"/>
  <c r="AK447" i="1"/>
  <c r="AL414" i="1"/>
  <c r="AL417" i="1"/>
  <c r="AL420" i="1"/>
  <c r="AL423" i="1"/>
  <c r="AL426" i="1"/>
  <c r="AL429" i="1"/>
  <c r="AL432" i="1"/>
  <c r="AL435" i="1"/>
  <c r="AL438" i="1"/>
  <c r="AL441" i="1"/>
  <c r="AL444" i="1"/>
  <c r="AL447" i="1"/>
  <c r="AI414" i="1"/>
  <c r="AI417" i="1"/>
  <c r="AI420" i="1"/>
  <c r="AI423" i="1"/>
  <c r="AI426" i="1"/>
  <c r="AI429" i="1"/>
  <c r="AI432" i="1"/>
  <c r="AI435" i="1"/>
  <c r="AI438" i="1"/>
  <c r="AI441" i="1"/>
  <c r="AM362" i="1"/>
  <c r="AM365" i="1"/>
  <c r="AM368" i="1"/>
  <c r="AM371" i="1"/>
  <c r="AM374" i="1"/>
  <c r="AM377" i="1"/>
  <c r="AM380" i="1"/>
  <c r="AM383" i="1"/>
  <c r="AM386" i="1"/>
  <c r="AM389" i="1"/>
  <c r="AM392" i="1"/>
  <c r="AM395" i="1"/>
  <c r="AM414" i="1"/>
  <c r="AM417" i="1"/>
  <c r="AM420" i="1"/>
  <c r="AM423" i="1"/>
  <c r="AM426" i="1"/>
  <c r="AM429" i="1"/>
  <c r="AM432" i="1"/>
  <c r="AM435" i="1"/>
  <c r="AM438" i="1"/>
  <c r="AM441" i="1"/>
  <c r="AM444" i="1"/>
  <c r="AM447" i="1"/>
  <c r="AI312" i="1"/>
  <c r="AI315" i="1"/>
  <c r="AI318" i="1"/>
  <c r="AI321" i="1"/>
  <c r="AI324" i="1"/>
  <c r="AI327" i="1"/>
  <c r="AI330" i="1"/>
  <c r="AI333" i="1"/>
  <c r="AI336" i="1"/>
  <c r="AI339" i="1"/>
  <c r="AI342" i="1"/>
  <c r="AI345" i="1"/>
  <c r="AI348" i="1"/>
  <c r="AK312" i="1"/>
  <c r="AK315" i="1"/>
  <c r="AK318" i="1"/>
  <c r="AK321" i="1"/>
  <c r="AK324" i="1"/>
  <c r="AK327" i="1"/>
  <c r="AK330" i="1"/>
  <c r="AK333" i="1"/>
  <c r="AK336" i="1"/>
  <c r="AK339" i="1"/>
  <c r="AK342" i="1"/>
  <c r="AK345" i="1"/>
  <c r="AK348" i="1"/>
  <c r="AL263" i="1"/>
  <c r="AL266" i="1"/>
  <c r="AL269" i="1"/>
  <c r="AL272" i="1"/>
  <c r="AL275" i="1"/>
  <c r="AL278" i="1"/>
  <c r="AL281" i="1"/>
  <c r="AL284" i="1"/>
  <c r="AL287" i="1"/>
  <c r="AL290" i="1"/>
  <c r="AL293" i="1"/>
  <c r="AL296" i="1"/>
  <c r="AL299" i="1"/>
  <c r="AL312" i="1"/>
  <c r="AL315" i="1"/>
  <c r="AL318" i="1"/>
  <c r="AL321" i="1"/>
  <c r="AL324" i="1"/>
  <c r="AL327" i="1"/>
  <c r="AL330" i="1"/>
  <c r="AL333" i="1"/>
  <c r="AL336" i="1"/>
  <c r="AL339" i="1"/>
  <c r="AL342" i="1"/>
  <c r="AL345" i="1"/>
  <c r="AL348" i="1"/>
  <c r="AM263" i="1"/>
  <c r="AM266" i="1"/>
  <c r="AM269" i="1"/>
  <c r="AM272" i="1"/>
  <c r="AM275" i="1"/>
  <c r="AM278" i="1"/>
  <c r="AM281" i="1"/>
  <c r="AM284" i="1"/>
  <c r="AM287" i="1"/>
  <c r="AM290" i="1"/>
  <c r="AM293" i="1"/>
  <c r="AM296" i="1"/>
  <c r="AM299" i="1"/>
  <c r="AI264" i="1"/>
  <c r="AI267" i="1"/>
  <c r="AI270" i="1"/>
  <c r="AI273" i="1"/>
  <c r="AI276" i="1"/>
  <c r="AI279" i="1"/>
  <c r="AI282" i="1"/>
  <c r="AI285" i="1"/>
  <c r="AI288" i="1"/>
  <c r="AI291" i="1"/>
  <c r="AI294" i="1"/>
  <c r="AI297" i="1"/>
  <c r="AI313" i="1"/>
  <c r="AI316" i="1"/>
  <c r="AI319" i="1"/>
  <c r="AI322" i="1"/>
  <c r="AI325" i="1"/>
  <c r="AI328" i="1"/>
  <c r="AI331" i="1"/>
  <c r="AI334" i="1"/>
  <c r="AI337" i="1"/>
  <c r="AI340" i="1"/>
  <c r="AI343" i="1"/>
  <c r="AI346" i="1"/>
  <c r="AI349" i="1"/>
  <c r="AK264" i="1"/>
  <c r="AK267" i="1"/>
  <c r="AK270" i="1"/>
  <c r="AK273" i="1"/>
  <c r="AK276" i="1"/>
  <c r="AK279" i="1"/>
  <c r="AK282" i="1"/>
  <c r="AK285" i="1"/>
  <c r="AK288" i="1"/>
  <c r="AK291" i="1"/>
  <c r="AK294" i="1"/>
  <c r="AK297" i="1"/>
  <c r="AK313" i="1"/>
  <c r="AK316" i="1"/>
  <c r="AK319" i="1"/>
  <c r="AK322" i="1"/>
  <c r="AK325" i="1"/>
  <c r="AK328" i="1"/>
  <c r="AK331" i="1"/>
  <c r="AK334" i="1"/>
  <c r="AK337" i="1"/>
  <c r="AK340" i="1"/>
  <c r="AK343" i="1"/>
  <c r="AK346" i="1"/>
  <c r="AK349" i="1"/>
  <c r="AL264" i="1"/>
  <c r="AL267" i="1"/>
  <c r="AL270" i="1"/>
  <c r="AL273" i="1"/>
  <c r="AL276" i="1"/>
  <c r="AL279" i="1"/>
  <c r="AL282" i="1"/>
  <c r="AL285" i="1"/>
  <c r="AL288" i="1"/>
  <c r="AL291" i="1"/>
  <c r="AL294" i="1"/>
  <c r="AL297" i="1"/>
  <c r="AL313" i="1"/>
  <c r="AL316" i="1"/>
  <c r="AL319" i="1"/>
  <c r="AL322" i="1"/>
  <c r="AL325" i="1"/>
  <c r="AL328" i="1"/>
  <c r="AL331" i="1"/>
  <c r="AL334" i="1"/>
  <c r="AL337" i="1"/>
  <c r="AL340" i="1"/>
  <c r="AL343" i="1"/>
  <c r="AL346" i="1"/>
  <c r="AL349" i="1"/>
  <c r="AM264" i="1"/>
  <c r="AM267" i="1"/>
  <c r="AM270" i="1"/>
  <c r="AM273" i="1"/>
  <c r="AM276" i="1"/>
  <c r="AM279" i="1"/>
  <c r="AM282" i="1"/>
  <c r="AM285" i="1"/>
  <c r="AM288" i="1"/>
  <c r="AM291" i="1"/>
  <c r="AM294" i="1"/>
  <c r="AM297" i="1"/>
  <c r="AM300" i="1"/>
  <c r="AI314" i="1"/>
  <c r="AI317" i="1"/>
  <c r="AI320" i="1"/>
  <c r="AI323" i="1"/>
  <c r="AI326" i="1"/>
  <c r="AI329" i="1"/>
  <c r="AI332" i="1"/>
  <c r="AI335" i="1"/>
  <c r="AI338" i="1"/>
  <c r="AI341" i="1"/>
  <c r="AI344" i="1"/>
  <c r="AI347" i="1"/>
  <c r="AK314" i="1"/>
  <c r="AK317" i="1"/>
  <c r="AK320" i="1"/>
  <c r="AK323" i="1"/>
  <c r="AK326" i="1"/>
  <c r="AK329" i="1"/>
  <c r="AK332" i="1"/>
  <c r="AK335" i="1"/>
  <c r="AK338" i="1"/>
  <c r="AK341" i="1"/>
  <c r="AK344" i="1"/>
  <c r="AK347" i="1"/>
  <c r="AL314" i="1"/>
  <c r="AL317" i="1"/>
  <c r="AL320" i="1"/>
  <c r="AL323" i="1"/>
  <c r="AL326" i="1"/>
  <c r="AL329" i="1"/>
  <c r="AL332" i="1"/>
  <c r="AL335" i="1"/>
  <c r="AL338" i="1"/>
  <c r="AL341" i="1"/>
  <c r="AL344" i="1"/>
  <c r="AL347" i="1"/>
  <c r="AM262" i="1"/>
  <c r="AM265" i="1"/>
  <c r="AM268" i="1"/>
  <c r="AM271" i="1"/>
  <c r="AM274" i="1"/>
  <c r="AM277" i="1"/>
  <c r="AM280" i="1"/>
  <c r="AM283" i="1"/>
  <c r="AM286" i="1"/>
  <c r="AM289" i="1"/>
  <c r="AM292" i="1"/>
  <c r="AM295" i="1"/>
  <c r="AM314" i="1"/>
  <c r="AM317" i="1"/>
  <c r="AM320" i="1"/>
  <c r="AM323" i="1"/>
  <c r="AM326" i="1"/>
  <c r="AM329" i="1"/>
  <c r="AM332" i="1"/>
  <c r="AM335" i="1"/>
  <c r="AM338" i="1"/>
  <c r="AM341" i="1"/>
  <c r="AM344" i="1"/>
  <c r="AM347" i="1"/>
  <c r="AK163" i="1"/>
  <c r="AK166" i="1"/>
  <c r="AK169" i="1"/>
  <c r="AK172" i="1"/>
  <c r="AK175" i="1"/>
  <c r="AK178" i="1"/>
  <c r="AK181" i="1"/>
  <c r="AK184" i="1"/>
  <c r="AK187" i="1"/>
  <c r="AK190" i="1"/>
  <c r="AK193" i="1"/>
  <c r="AK196" i="1"/>
  <c r="AK199" i="1"/>
  <c r="AK212" i="1"/>
  <c r="AK215" i="1"/>
  <c r="AK218" i="1"/>
  <c r="AK221" i="1"/>
  <c r="AK224" i="1"/>
  <c r="AK227" i="1"/>
  <c r="AK230" i="1"/>
  <c r="AK233" i="1"/>
  <c r="AK236" i="1"/>
  <c r="AK239" i="1"/>
  <c r="AK242" i="1"/>
  <c r="AK245" i="1"/>
  <c r="AK248" i="1"/>
  <c r="AL212" i="1"/>
  <c r="AL215" i="1"/>
  <c r="AL218" i="1"/>
  <c r="AL221" i="1"/>
  <c r="AL224" i="1"/>
  <c r="AL227" i="1"/>
  <c r="AL230" i="1"/>
  <c r="AL233" i="1"/>
  <c r="AL236" i="1"/>
  <c r="AL239" i="1"/>
  <c r="AL242" i="1"/>
  <c r="AL245" i="1"/>
  <c r="AL248" i="1"/>
  <c r="AM163" i="1"/>
  <c r="AM166" i="1"/>
  <c r="AM169" i="1"/>
  <c r="AM172" i="1"/>
  <c r="AM175" i="1"/>
  <c r="AM178" i="1"/>
  <c r="AM181" i="1"/>
  <c r="AM184" i="1"/>
  <c r="AM187" i="1"/>
  <c r="AM190" i="1"/>
  <c r="AM193" i="1"/>
  <c r="AM196" i="1"/>
  <c r="AM199" i="1"/>
  <c r="AM212" i="1"/>
  <c r="AM215" i="1"/>
  <c r="AM218" i="1"/>
  <c r="AM221" i="1"/>
  <c r="AM224" i="1"/>
  <c r="AM227" i="1"/>
  <c r="AM230" i="1"/>
  <c r="AM233" i="1"/>
  <c r="AM236" i="1"/>
  <c r="AM239" i="1"/>
  <c r="AM242" i="1"/>
  <c r="AM245" i="1"/>
  <c r="AM248" i="1"/>
  <c r="AI164" i="1"/>
  <c r="AI167" i="1"/>
  <c r="AI170" i="1"/>
  <c r="AI173" i="1"/>
  <c r="AI176" i="1"/>
  <c r="AI179" i="1"/>
  <c r="AI182" i="1"/>
  <c r="AI185" i="1"/>
  <c r="AI188" i="1"/>
  <c r="AI191" i="1"/>
  <c r="AI194" i="1"/>
  <c r="AI197" i="1"/>
  <c r="AI200" i="1"/>
  <c r="AI213" i="1"/>
  <c r="AI216" i="1"/>
  <c r="AI219" i="1"/>
  <c r="AI222" i="1"/>
  <c r="AI225" i="1"/>
  <c r="AI228" i="1"/>
  <c r="AI231" i="1"/>
  <c r="AI234" i="1"/>
  <c r="AI237" i="1"/>
  <c r="AI240" i="1"/>
  <c r="AI243" i="1"/>
  <c r="AI246" i="1"/>
  <c r="AI249" i="1"/>
  <c r="AK164" i="1"/>
  <c r="AK167" i="1"/>
  <c r="AK170" i="1"/>
  <c r="AK173" i="1"/>
  <c r="AK176" i="1"/>
  <c r="AK179" i="1"/>
  <c r="AK182" i="1"/>
  <c r="AK185" i="1"/>
  <c r="AK188" i="1"/>
  <c r="AK191" i="1"/>
  <c r="AK194" i="1"/>
  <c r="AK197" i="1"/>
  <c r="AK213" i="1"/>
  <c r="AK216" i="1"/>
  <c r="AK219" i="1"/>
  <c r="AK222" i="1"/>
  <c r="AK225" i="1"/>
  <c r="AK228" i="1"/>
  <c r="AK231" i="1"/>
  <c r="AK234" i="1"/>
  <c r="AK237" i="1"/>
  <c r="AK240" i="1"/>
  <c r="AK243" i="1"/>
  <c r="AK246" i="1"/>
  <c r="AK249" i="1"/>
  <c r="AL164" i="1"/>
  <c r="AL167" i="1"/>
  <c r="AL170" i="1"/>
  <c r="AL173" i="1"/>
  <c r="AL176" i="1"/>
  <c r="AL179" i="1"/>
  <c r="AL182" i="1"/>
  <c r="AL185" i="1"/>
  <c r="AL188" i="1"/>
  <c r="AL191" i="1"/>
  <c r="AL194" i="1"/>
  <c r="AL197" i="1"/>
  <c r="AL213" i="1"/>
  <c r="AL216" i="1"/>
  <c r="AL219" i="1"/>
  <c r="AL222" i="1"/>
  <c r="AL225" i="1"/>
  <c r="AL228" i="1"/>
  <c r="AL231" i="1"/>
  <c r="AL234" i="1"/>
  <c r="AL237" i="1"/>
  <c r="AL240" i="1"/>
  <c r="AL243" i="1"/>
  <c r="AL246" i="1"/>
  <c r="AL249" i="1"/>
  <c r="AM164" i="1"/>
  <c r="AM167" i="1"/>
  <c r="AM170" i="1"/>
  <c r="AM173" i="1"/>
  <c r="AM176" i="1"/>
  <c r="AM179" i="1"/>
  <c r="AM182" i="1"/>
  <c r="AM185" i="1"/>
  <c r="AM188" i="1"/>
  <c r="AM191" i="1"/>
  <c r="AM194" i="1"/>
  <c r="AM197" i="1"/>
  <c r="AM200" i="1"/>
  <c r="AM213" i="1"/>
  <c r="AM216" i="1"/>
  <c r="AM219" i="1"/>
  <c r="AM222" i="1"/>
  <c r="AM225" i="1"/>
  <c r="AM228" i="1"/>
  <c r="AM231" i="1"/>
  <c r="AM234" i="1"/>
  <c r="AM237" i="1"/>
  <c r="AM240" i="1"/>
  <c r="AM243" i="1"/>
  <c r="AM246" i="1"/>
  <c r="AM249" i="1"/>
  <c r="AI195" i="1"/>
  <c r="AI214" i="1"/>
  <c r="AI217" i="1"/>
  <c r="AI220" i="1"/>
  <c r="AI223" i="1"/>
  <c r="AI226" i="1"/>
  <c r="AI229" i="1"/>
  <c r="AI232" i="1"/>
  <c r="AI235" i="1"/>
  <c r="AI238" i="1"/>
  <c r="AI241" i="1"/>
  <c r="AI244" i="1"/>
  <c r="AI247" i="1"/>
  <c r="AK214" i="1"/>
  <c r="AK217" i="1"/>
  <c r="AK220" i="1"/>
  <c r="AK223" i="1"/>
  <c r="AK226" i="1"/>
  <c r="AK229" i="1"/>
  <c r="AK232" i="1"/>
  <c r="AK235" i="1"/>
  <c r="AK238" i="1"/>
  <c r="AK241" i="1"/>
  <c r="AK244" i="1"/>
  <c r="AK247" i="1"/>
  <c r="AL214" i="1"/>
  <c r="AL217" i="1"/>
  <c r="AL220" i="1"/>
  <c r="AL223" i="1"/>
  <c r="AL226" i="1"/>
  <c r="AL229" i="1"/>
  <c r="AL232" i="1"/>
  <c r="AL235" i="1"/>
  <c r="AL238" i="1"/>
  <c r="AL241" i="1"/>
  <c r="AL244" i="1"/>
  <c r="AL247" i="1"/>
  <c r="AM162" i="1"/>
  <c r="AM165" i="1"/>
  <c r="AM168" i="1"/>
  <c r="AM171" i="1"/>
  <c r="AM174" i="1"/>
  <c r="AM177" i="1"/>
  <c r="AM180" i="1"/>
  <c r="AM183" i="1"/>
  <c r="AM186" i="1"/>
  <c r="AM189" i="1"/>
  <c r="AM192" i="1"/>
  <c r="AM195" i="1"/>
  <c r="AM214" i="1"/>
  <c r="AM217" i="1"/>
  <c r="AM220" i="1"/>
  <c r="AM223" i="1"/>
  <c r="AM226" i="1"/>
  <c r="AM229" i="1"/>
  <c r="AM232" i="1"/>
  <c r="AM235" i="1"/>
  <c r="AM238" i="1"/>
  <c r="AM241" i="1"/>
  <c r="AM244" i="1"/>
  <c r="AM247" i="1"/>
  <c r="AI112" i="1"/>
  <c r="AI115" i="1"/>
  <c r="AI118" i="1"/>
  <c r="AI121" i="1"/>
  <c r="AI124" i="1"/>
  <c r="AI127" i="1"/>
  <c r="AI130" i="1"/>
  <c r="AI133" i="1"/>
  <c r="AI136" i="1"/>
  <c r="AI139" i="1"/>
  <c r="AI142" i="1"/>
  <c r="AI145" i="1"/>
  <c r="AI148" i="1"/>
  <c r="AK112" i="1"/>
  <c r="AK115" i="1"/>
  <c r="AK118" i="1"/>
  <c r="AK121" i="1"/>
  <c r="AK124" i="1"/>
  <c r="AK127" i="1"/>
  <c r="AK130" i="1"/>
  <c r="AK133" i="1"/>
  <c r="AK136" i="1"/>
  <c r="AK139" i="1"/>
  <c r="AK142" i="1"/>
  <c r="AK145" i="1"/>
  <c r="AK148" i="1"/>
  <c r="AI113" i="1"/>
  <c r="AI116" i="1"/>
  <c r="AI119" i="1"/>
  <c r="AI122" i="1"/>
  <c r="AI125" i="1"/>
  <c r="AI128" i="1"/>
  <c r="AI131" i="1"/>
  <c r="AI134" i="1"/>
  <c r="AI137" i="1"/>
  <c r="AI140" i="1"/>
  <c r="AI143" i="1"/>
  <c r="AI146" i="1"/>
  <c r="AI149" i="1"/>
  <c r="AK149" i="1"/>
  <c r="AI114" i="1"/>
  <c r="AI117" i="1"/>
  <c r="AI120" i="1"/>
  <c r="AI123" i="1"/>
  <c r="AI126" i="1"/>
  <c r="AI129" i="1"/>
  <c r="AK114" i="1"/>
  <c r="AK117" i="1"/>
  <c r="AK120" i="1"/>
  <c r="AK123" i="1"/>
  <c r="AK126" i="1"/>
  <c r="AK129" i="1"/>
  <c r="AK132" i="1"/>
  <c r="AK135" i="1"/>
  <c r="AK138" i="1"/>
  <c r="AK141" i="1"/>
  <c r="AK144" i="1"/>
  <c r="AK147" i="1"/>
  <c r="AL114" i="1"/>
  <c r="AL117" i="1"/>
  <c r="AL120" i="1"/>
  <c r="AL123" i="1"/>
  <c r="AL126" i="1"/>
  <c r="AL129" i="1"/>
  <c r="AL132" i="1"/>
  <c r="AL135" i="1"/>
  <c r="AL138" i="1"/>
  <c r="AL141" i="1"/>
  <c r="AL144" i="1"/>
  <c r="AL147" i="1"/>
  <c r="AM114" i="1"/>
  <c r="AM117" i="1"/>
  <c r="AM120" i="1"/>
  <c r="AM123" i="1"/>
  <c r="AM126" i="1"/>
  <c r="AM129" i="1"/>
  <c r="AM132" i="1"/>
  <c r="AM135" i="1"/>
  <c r="AM138" i="1"/>
  <c r="AM141" i="1"/>
  <c r="AM144" i="1"/>
  <c r="AM147" i="1"/>
  <c r="AK64" i="1"/>
  <c r="AK76" i="1"/>
  <c r="AK88" i="1"/>
  <c r="AK100" i="1"/>
  <c r="AK65" i="1"/>
  <c r="AK77" i="1"/>
  <c r="AM89" i="1"/>
  <c r="AM66" i="1"/>
  <c r="AM78" i="1"/>
  <c r="AM90" i="1"/>
  <c r="AM77" i="1"/>
  <c r="AM67" i="1"/>
  <c r="AM79" i="1"/>
  <c r="AM91" i="1"/>
  <c r="AM65" i="1"/>
  <c r="AM68" i="1"/>
  <c r="AM80" i="1"/>
  <c r="AM92" i="1"/>
  <c r="AM69" i="1"/>
  <c r="AM81" i="1"/>
  <c r="AM93" i="1"/>
  <c r="AM70" i="1"/>
  <c r="AM82" i="1"/>
  <c r="AM94" i="1"/>
  <c r="AM71" i="1"/>
  <c r="AM83" i="1"/>
  <c r="AM95" i="1"/>
  <c r="AM72" i="1"/>
  <c r="AM84" i="1"/>
  <c r="AM96" i="1"/>
  <c r="AM73" i="1"/>
  <c r="AM85" i="1"/>
  <c r="AM97" i="1"/>
  <c r="AM62" i="1"/>
  <c r="AM74" i="1"/>
  <c r="AM86" i="1"/>
  <c r="AM98" i="1"/>
  <c r="AM63" i="1"/>
  <c r="AM75" i="1"/>
  <c r="AM87" i="1"/>
  <c r="AM99" i="1"/>
  <c r="AM64" i="1"/>
  <c r="AM76" i="1"/>
  <c r="AM88" i="1"/>
  <c r="AI90" i="1"/>
  <c r="AI91" i="1"/>
  <c r="AI63" i="1"/>
  <c r="AI75" i="1"/>
  <c r="AI87" i="1"/>
  <c r="AI99" i="1"/>
  <c r="AI64" i="1"/>
  <c r="AI76" i="1"/>
  <c r="AI88" i="1"/>
  <c r="AL71" i="1"/>
  <c r="AL83" i="1"/>
  <c r="AL95" i="1"/>
  <c r="AL72" i="1"/>
  <c r="AL84" i="1"/>
  <c r="AL96" i="1"/>
  <c r="AL73" i="1"/>
  <c r="AL85" i="1"/>
  <c r="AL97" i="1"/>
  <c r="AL62" i="1"/>
  <c r="AL74" i="1"/>
  <c r="AL86" i="1"/>
  <c r="AL98" i="1"/>
  <c r="AL63" i="1"/>
  <c r="AL75" i="1"/>
  <c r="AL87" i="1"/>
  <c r="AY719" i="1"/>
  <c r="AY731" i="1"/>
  <c r="AY743" i="1"/>
  <c r="AY720" i="1"/>
  <c r="AY732" i="1"/>
  <c r="AY744" i="1"/>
  <c r="AY721" i="1"/>
  <c r="AY733" i="1"/>
  <c r="AY745" i="1"/>
  <c r="AY722" i="1"/>
  <c r="AY734" i="1"/>
  <c r="AY746" i="1"/>
  <c r="AY723" i="1"/>
  <c r="AY735" i="1"/>
  <c r="AY747" i="1"/>
  <c r="AY713" i="1"/>
  <c r="AY725" i="1"/>
  <c r="AY737" i="1"/>
  <c r="AY749" i="1"/>
  <c r="AY714" i="1"/>
  <c r="AY726" i="1"/>
  <c r="AY738" i="1"/>
  <c r="AY666" i="1"/>
  <c r="AY678" i="1"/>
  <c r="AY690" i="1"/>
  <c r="AY668" i="1"/>
  <c r="AY680" i="1"/>
  <c r="AY692" i="1"/>
  <c r="AY673" i="1"/>
  <c r="AY685" i="1"/>
  <c r="AY697" i="1"/>
  <c r="AY662" i="1"/>
  <c r="AY674" i="1"/>
  <c r="AY686" i="1"/>
  <c r="AY698" i="1"/>
  <c r="AY663" i="1"/>
  <c r="AY675" i="1"/>
  <c r="AY687" i="1"/>
  <c r="AY699" i="1"/>
  <c r="AY664" i="1"/>
  <c r="AY676" i="1"/>
  <c r="AY688" i="1"/>
  <c r="AY615" i="1"/>
  <c r="AY627" i="1"/>
  <c r="AY639" i="1"/>
  <c r="AY640" i="1"/>
  <c r="AY617" i="1"/>
  <c r="AY629" i="1"/>
  <c r="AY641" i="1"/>
  <c r="AY618" i="1"/>
  <c r="AY630" i="1"/>
  <c r="AY642" i="1"/>
  <c r="AY619" i="1"/>
  <c r="AY631" i="1"/>
  <c r="AY643" i="1"/>
  <c r="AY621" i="1"/>
  <c r="AY633" i="1"/>
  <c r="AY645" i="1"/>
  <c r="AY622" i="1"/>
  <c r="AY634" i="1"/>
  <c r="AY646" i="1"/>
  <c r="AY623" i="1"/>
  <c r="AY635" i="1"/>
  <c r="AY647" i="1"/>
  <c r="AY612" i="1"/>
  <c r="AY624" i="1"/>
  <c r="AY636" i="1"/>
  <c r="AY648" i="1"/>
  <c r="AY613" i="1"/>
  <c r="AY625" i="1"/>
  <c r="AY637" i="1"/>
  <c r="AY649" i="1"/>
  <c r="AY614" i="1"/>
  <c r="AY626" i="1"/>
  <c r="AY638" i="1"/>
  <c r="AY565" i="1"/>
  <c r="AY577" i="1"/>
  <c r="AY589" i="1"/>
  <c r="AY566" i="1"/>
  <c r="AY578" i="1"/>
  <c r="AY590" i="1"/>
  <c r="AY567" i="1"/>
  <c r="AY579" i="1"/>
  <c r="AY591" i="1"/>
  <c r="AY568" i="1"/>
  <c r="AY580" i="1"/>
  <c r="AY592" i="1"/>
  <c r="AY569" i="1"/>
  <c r="AY581" i="1"/>
  <c r="AY593" i="1"/>
  <c r="AY570" i="1"/>
  <c r="AY582" i="1"/>
  <c r="AY594" i="1"/>
  <c r="AY571" i="1"/>
  <c r="AY583" i="1"/>
  <c r="AY595" i="1"/>
  <c r="AY573" i="1"/>
  <c r="AY585" i="1"/>
  <c r="AY597" i="1"/>
  <c r="AY562" i="1"/>
  <c r="AY574" i="1"/>
  <c r="AY586" i="1"/>
  <c r="AY598" i="1"/>
  <c r="AY563" i="1"/>
  <c r="AY575" i="1"/>
  <c r="AY587" i="1"/>
  <c r="AY599" i="1"/>
  <c r="AY564" i="1"/>
  <c r="AY576" i="1"/>
  <c r="AY588" i="1"/>
  <c r="AY516" i="1"/>
  <c r="AY528" i="1"/>
  <c r="AY540" i="1"/>
  <c r="AY517" i="1"/>
  <c r="AY529" i="1"/>
  <c r="AY541" i="1"/>
  <c r="AY518" i="1"/>
  <c r="AY530" i="1"/>
  <c r="AY542" i="1"/>
  <c r="AY519" i="1"/>
  <c r="AY531" i="1"/>
  <c r="AY543" i="1"/>
  <c r="AY522" i="1"/>
  <c r="AY534" i="1"/>
  <c r="AY546" i="1"/>
  <c r="AY523" i="1"/>
  <c r="AY535" i="1"/>
  <c r="AY547" i="1"/>
  <c r="AY513" i="1"/>
  <c r="AY525" i="1"/>
  <c r="AY537" i="1"/>
  <c r="AY549" i="1"/>
  <c r="AY514" i="1"/>
  <c r="AY526" i="1"/>
  <c r="AY538" i="1"/>
  <c r="AY470" i="1"/>
  <c r="AY482" i="1"/>
  <c r="AY494" i="1"/>
  <c r="AY471" i="1"/>
  <c r="AY483" i="1"/>
  <c r="AY495" i="1"/>
  <c r="AY472" i="1"/>
  <c r="AY484" i="1"/>
  <c r="AY496" i="1"/>
  <c r="AY473" i="1"/>
  <c r="AY485" i="1"/>
  <c r="AY497" i="1"/>
  <c r="AY463" i="1"/>
  <c r="AY475" i="1"/>
  <c r="AY487" i="1"/>
  <c r="AY499" i="1"/>
  <c r="AY464" i="1"/>
  <c r="AY476" i="1"/>
  <c r="AY488" i="1"/>
  <c r="AY440" i="1"/>
  <c r="AY417" i="1"/>
  <c r="AY429" i="1"/>
  <c r="AY441" i="1"/>
  <c r="AY418" i="1"/>
  <c r="AY430" i="1"/>
  <c r="AY442" i="1"/>
  <c r="AY419" i="1"/>
  <c r="AY431" i="1"/>
  <c r="AY443" i="1"/>
  <c r="AY428" i="1"/>
  <c r="AY420" i="1"/>
  <c r="AY432" i="1"/>
  <c r="AY444" i="1"/>
  <c r="AY416" i="1"/>
  <c r="AY421" i="1"/>
  <c r="AY433" i="1"/>
  <c r="AY445" i="1"/>
  <c r="AY422" i="1"/>
  <c r="AY434" i="1"/>
  <c r="AY446" i="1"/>
  <c r="AY412" i="1"/>
  <c r="AY424" i="1"/>
  <c r="AY436" i="1"/>
  <c r="AY448" i="1"/>
  <c r="AY435" i="1"/>
  <c r="AY413" i="1"/>
  <c r="AY425" i="1"/>
  <c r="AY437" i="1"/>
  <c r="AY449" i="1"/>
  <c r="AY423" i="1"/>
  <c r="AY414" i="1"/>
  <c r="AY426" i="1"/>
  <c r="AY438" i="1"/>
  <c r="AY365" i="1"/>
  <c r="AY377" i="1"/>
  <c r="AY389" i="1"/>
  <c r="AY366" i="1"/>
  <c r="AY378" i="1"/>
  <c r="AY390" i="1"/>
  <c r="AY367" i="1"/>
  <c r="AY379" i="1"/>
  <c r="AY391" i="1"/>
  <c r="AY368" i="1"/>
  <c r="AY380" i="1"/>
  <c r="AY392" i="1"/>
  <c r="AY369" i="1"/>
  <c r="AY381" i="1"/>
  <c r="AY393" i="1"/>
  <c r="AY370" i="1"/>
  <c r="AY382" i="1"/>
  <c r="AY394" i="1"/>
  <c r="AY371" i="1"/>
  <c r="AY383" i="1"/>
  <c r="AY395" i="1"/>
  <c r="AY372" i="1"/>
  <c r="AY384" i="1"/>
  <c r="AY396" i="1"/>
  <c r="AY373" i="1"/>
  <c r="AY385" i="1"/>
  <c r="AY397" i="1"/>
  <c r="AY363" i="1"/>
  <c r="AY375" i="1"/>
  <c r="AY387" i="1"/>
  <c r="AY399" i="1"/>
  <c r="AY364" i="1"/>
  <c r="AY376" i="1"/>
  <c r="AY388" i="1"/>
  <c r="AY318" i="1"/>
  <c r="AY330" i="1"/>
  <c r="AY342" i="1"/>
  <c r="AY321" i="1"/>
  <c r="AY333" i="1"/>
  <c r="AY345" i="1"/>
  <c r="AY322" i="1"/>
  <c r="AY334" i="1"/>
  <c r="AY346" i="1"/>
  <c r="AY323" i="1"/>
  <c r="AY335" i="1"/>
  <c r="AY347" i="1"/>
  <c r="AY312" i="1"/>
  <c r="AY324" i="1"/>
  <c r="AY336" i="1"/>
  <c r="AY348" i="1"/>
  <c r="AY313" i="1"/>
  <c r="AY325" i="1"/>
  <c r="AY337" i="1"/>
  <c r="AY349" i="1"/>
  <c r="AY314" i="1"/>
  <c r="AY326" i="1"/>
  <c r="AY338" i="1"/>
  <c r="AY265" i="1"/>
  <c r="AY277" i="1"/>
  <c r="AY289" i="1"/>
  <c r="AY266" i="1"/>
  <c r="AY278" i="1"/>
  <c r="AY290" i="1"/>
  <c r="AY267" i="1"/>
  <c r="AY279" i="1"/>
  <c r="AY291" i="1"/>
  <c r="AY268" i="1"/>
  <c r="AY280" i="1"/>
  <c r="AY292" i="1"/>
  <c r="AY269" i="1"/>
  <c r="AY281" i="1"/>
  <c r="AY293" i="1"/>
  <c r="AY270" i="1"/>
  <c r="AY282" i="1"/>
  <c r="AY294" i="1"/>
  <c r="AY271" i="1"/>
  <c r="AY283" i="1"/>
  <c r="AY295" i="1"/>
  <c r="AY273" i="1"/>
  <c r="AY285" i="1"/>
  <c r="AY297" i="1"/>
  <c r="AY262" i="1"/>
  <c r="AY274" i="1"/>
  <c r="AY286" i="1"/>
  <c r="AY298" i="1"/>
  <c r="AY263" i="1"/>
  <c r="AY275" i="1"/>
  <c r="AY287" i="1"/>
  <c r="AY299" i="1"/>
  <c r="AY264" i="1"/>
  <c r="AY276" i="1"/>
  <c r="AY288" i="1"/>
  <c r="AY215" i="1"/>
  <c r="AY227" i="1"/>
  <c r="AY239" i="1"/>
  <c r="AY216" i="1"/>
  <c r="AY228" i="1"/>
  <c r="AY240" i="1"/>
  <c r="AY217" i="1"/>
  <c r="AY229" i="1"/>
  <c r="AY241" i="1"/>
  <c r="AY218" i="1"/>
  <c r="AY230" i="1"/>
  <c r="AY242" i="1"/>
  <c r="AY219" i="1"/>
  <c r="AY231" i="1"/>
  <c r="AY243" i="1"/>
  <c r="AY222" i="1"/>
  <c r="AY234" i="1"/>
  <c r="AY246" i="1"/>
  <c r="AY223" i="1"/>
  <c r="AY235" i="1"/>
  <c r="AY247" i="1"/>
  <c r="AY212" i="1"/>
  <c r="AY224" i="1"/>
  <c r="AY236" i="1"/>
  <c r="AY248" i="1"/>
  <c r="AY213" i="1"/>
  <c r="AY225" i="1"/>
  <c r="AY237" i="1"/>
  <c r="AY249" i="1"/>
  <c r="AY214" i="1"/>
  <c r="AY226" i="1"/>
  <c r="AY238" i="1"/>
  <c r="AY165" i="1"/>
  <c r="AY177" i="1"/>
  <c r="AY189" i="1"/>
  <c r="AY166" i="1"/>
  <c r="AY178" i="1"/>
  <c r="AY190" i="1"/>
  <c r="AY167" i="1"/>
  <c r="AY179" i="1"/>
  <c r="AY191" i="1"/>
  <c r="AY168" i="1"/>
  <c r="AY180" i="1"/>
  <c r="AY192" i="1"/>
  <c r="AY169" i="1"/>
  <c r="AY181" i="1"/>
  <c r="AY193" i="1"/>
  <c r="AY170" i="1"/>
  <c r="AY182" i="1"/>
  <c r="AY194" i="1"/>
  <c r="AY171" i="1"/>
  <c r="AY183" i="1"/>
  <c r="AY195" i="1"/>
  <c r="AY173" i="1"/>
  <c r="AY185" i="1"/>
  <c r="AY197" i="1"/>
  <c r="AY162" i="1"/>
  <c r="AY174" i="1"/>
  <c r="AY186" i="1"/>
  <c r="AY198" i="1"/>
  <c r="AY163" i="1"/>
  <c r="AY175" i="1"/>
  <c r="AY187" i="1"/>
  <c r="AY199" i="1"/>
  <c r="AY164" i="1"/>
  <c r="AY176" i="1"/>
  <c r="AY188" i="1"/>
  <c r="AY116" i="1"/>
  <c r="AY128" i="1"/>
  <c r="AY140" i="1"/>
  <c r="AY117" i="1"/>
  <c r="AY129" i="1"/>
  <c r="AY141" i="1"/>
  <c r="AY118" i="1"/>
  <c r="AY130" i="1"/>
  <c r="AY142" i="1"/>
  <c r="AY119" i="1"/>
  <c r="AY131" i="1"/>
  <c r="AY143" i="1"/>
  <c r="AY120" i="1"/>
  <c r="AY132" i="1"/>
  <c r="AY144" i="1"/>
  <c r="AY122" i="1"/>
  <c r="AY134" i="1"/>
  <c r="AY146" i="1"/>
  <c r="AY123" i="1"/>
  <c r="AY135" i="1"/>
  <c r="AY147" i="1"/>
  <c r="AY112" i="1"/>
  <c r="AY124" i="1"/>
  <c r="AY136" i="1"/>
  <c r="AY148" i="1"/>
  <c r="AY113" i="1"/>
  <c r="AY125" i="1"/>
  <c r="AY137" i="1"/>
  <c r="AY149" i="1"/>
  <c r="AY114" i="1"/>
  <c r="AY126" i="1"/>
  <c r="AY138" i="1"/>
  <c r="AY65" i="1"/>
  <c r="AY77" i="1"/>
  <c r="AY89" i="1"/>
  <c r="AY66" i="1"/>
  <c r="AY78" i="1"/>
  <c r="AY90" i="1"/>
  <c r="AY67" i="1"/>
  <c r="AY79" i="1"/>
  <c r="AY91" i="1"/>
  <c r="AY68" i="1"/>
  <c r="AY80" i="1"/>
  <c r="AY92" i="1"/>
  <c r="AY69" i="1"/>
  <c r="AY81" i="1"/>
  <c r="AY93" i="1"/>
  <c r="AY70" i="1"/>
  <c r="AY82" i="1"/>
  <c r="AY94" i="1"/>
  <c r="AY72" i="1"/>
  <c r="AY84" i="1"/>
  <c r="AY96" i="1"/>
  <c r="AY73" i="1"/>
  <c r="AY85" i="1"/>
  <c r="AY97" i="1"/>
  <c r="AY62" i="1"/>
  <c r="AY74" i="1"/>
  <c r="AY86" i="1"/>
  <c r="AY98" i="1"/>
  <c r="AY63" i="1"/>
  <c r="AY75" i="1"/>
  <c r="AY87" i="1"/>
  <c r="AY99" i="1"/>
  <c r="AY64" i="1"/>
  <c r="AY76" i="1"/>
  <c r="AY88" i="1"/>
  <c r="Y274" i="1"/>
  <c r="Y248" i="1"/>
  <c r="AY20" i="1"/>
  <c r="AY35" i="1"/>
  <c r="AY50" i="1"/>
  <c r="Y648" i="1"/>
  <c r="Y93" i="1"/>
  <c r="Z93" i="1" s="1"/>
  <c r="AY25" i="1"/>
  <c r="AY41" i="1"/>
  <c r="AY29" i="1"/>
  <c r="AY17" i="1"/>
  <c r="AY40" i="1"/>
  <c r="AY28" i="1"/>
  <c r="AY16" i="1"/>
  <c r="AY27" i="1"/>
  <c r="AY39" i="1"/>
  <c r="AY15" i="1"/>
  <c r="AY26" i="1"/>
  <c r="Y380" i="1"/>
  <c r="Z380" i="1" s="1"/>
  <c r="AY30" i="1"/>
  <c r="Y279" i="1"/>
  <c r="Z279" i="1" s="1"/>
  <c r="AY13" i="1"/>
  <c r="AY46" i="1"/>
  <c r="Q227" i="1"/>
  <c r="Y236" i="1"/>
  <c r="AY45" i="1"/>
  <c r="AY47" i="1"/>
  <c r="Q235" i="1"/>
  <c r="Y576" i="1"/>
  <c r="Y568" i="1"/>
  <c r="Z568" i="1" s="1"/>
  <c r="Q592" i="1"/>
  <c r="AY12" i="1"/>
  <c r="AY31" i="1"/>
  <c r="AY14" i="1"/>
  <c r="AY32" i="1"/>
  <c r="AY18" i="1"/>
  <c r="AY33" i="1"/>
  <c r="AY48" i="1"/>
  <c r="Q218" i="1"/>
  <c r="Q226" i="1"/>
  <c r="AY19" i="1"/>
  <c r="AY34" i="1"/>
  <c r="AY49" i="1"/>
  <c r="Q247" i="1"/>
  <c r="Y293" i="1"/>
  <c r="Y379" i="1"/>
  <c r="Z379" i="1" s="1"/>
  <c r="Y519" i="1"/>
  <c r="Q689" i="1"/>
  <c r="Q228" i="1"/>
  <c r="Y193" i="1"/>
  <c r="Y393" i="1"/>
  <c r="Z393" i="1" s="1"/>
  <c r="Q741" i="1"/>
  <c r="Y732" i="1"/>
  <c r="Z732" i="1" s="1"/>
  <c r="Q714" i="1"/>
  <c r="Q745" i="1"/>
  <c r="Y717" i="1"/>
  <c r="Q716" i="1"/>
  <c r="Q743" i="1"/>
  <c r="Q748" i="1"/>
  <c r="Y729" i="1"/>
  <c r="Y733" i="1"/>
  <c r="Z733" i="1" s="1"/>
  <c r="Q676" i="1"/>
  <c r="Q672" i="1"/>
  <c r="Y677" i="1"/>
  <c r="Y669" i="1"/>
  <c r="Y662" i="1"/>
  <c r="Z662" i="1" s="1"/>
  <c r="Y673" i="1"/>
  <c r="Z673" i="1" s="1"/>
  <c r="Y700" i="1"/>
  <c r="Y619" i="1"/>
  <c r="Y636" i="1"/>
  <c r="Q643" i="1"/>
  <c r="Q650" i="1"/>
  <c r="Q623" i="1"/>
  <c r="Q632" i="1"/>
  <c r="Q633" i="1"/>
  <c r="Y634" i="1"/>
  <c r="Z634" i="1" s="1"/>
  <c r="Q612" i="1"/>
  <c r="Q613" i="1"/>
  <c r="Q622" i="1"/>
  <c r="Y624" i="1"/>
  <c r="Q631" i="1"/>
  <c r="Y611" i="1" s="1"/>
  <c r="Z611" i="1" s="1"/>
  <c r="Q614" i="1"/>
  <c r="Y615" i="1"/>
  <c r="Y623" i="1"/>
  <c r="Z623" i="1" s="1"/>
  <c r="Y633" i="1"/>
  <c r="Q640" i="1"/>
  <c r="Q641" i="1"/>
  <c r="Y642" i="1"/>
  <c r="Y613" i="1"/>
  <c r="Z613" i="1" s="1"/>
  <c r="Y632" i="1"/>
  <c r="Z632" i="1" s="1"/>
  <c r="Q639" i="1"/>
  <c r="Y612" i="1"/>
  <c r="Y614" i="1"/>
  <c r="Z614" i="1" s="1"/>
  <c r="Q629" i="1"/>
  <c r="Y641" i="1"/>
  <c r="Y640" i="1"/>
  <c r="Q647" i="1"/>
  <c r="Y620" i="1"/>
  <c r="Q626" i="1"/>
  <c r="Q636" i="1"/>
  <c r="Q637" i="1"/>
  <c r="Y638" i="1"/>
  <c r="Q646" i="1"/>
  <c r="Q619" i="1"/>
  <c r="Y627" i="1"/>
  <c r="Y628" i="1"/>
  <c r="Q635" i="1"/>
  <c r="Y647" i="1"/>
  <c r="Z647" i="1" s="1"/>
  <c r="Q627" i="1"/>
  <c r="Q628" i="1"/>
  <c r="Y629" i="1"/>
  <c r="Z629" i="1" s="1"/>
  <c r="Q617" i="1"/>
  <c r="Q618" i="1"/>
  <c r="Y637" i="1"/>
  <c r="Q564" i="1"/>
  <c r="Q580" i="1"/>
  <c r="Y564" i="1"/>
  <c r="Y573" i="1"/>
  <c r="Y597" i="1"/>
  <c r="Z597" i="1" s="1"/>
  <c r="Y579" i="1"/>
  <c r="Q590" i="1"/>
  <c r="Q584" i="1"/>
  <c r="Y595" i="1"/>
  <c r="Y589" i="1"/>
  <c r="Q576" i="1"/>
  <c r="Q575" i="1"/>
  <c r="Q566" i="1"/>
  <c r="Q543" i="1"/>
  <c r="Q517" i="1"/>
  <c r="Q518" i="1"/>
  <c r="Q525" i="1"/>
  <c r="Y522" i="1"/>
  <c r="Y536" i="1"/>
  <c r="Z536" i="1" s="1"/>
  <c r="Y540" i="1"/>
  <c r="Y539" i="1"/>
  <c r="Y512" i="1"/>
  <c r="Y513" i="1"/>
  <c r="Z513" i="1" s="1"/>
  <c r="Q530" i="1"/>
  <c r="Q522" i="1"/>
  <c r="Q482" i="1"/>
  <c r="Q491" i="1"/>
  <c r="Y476" i="1"/>
  <c r="Q487" i="1"/>
  <c r="Q492" i="1"/>
  <c r="Q468" i="1"/>
  <c r="Q474" i="1"/>
  <c r="Y475" i="1"/>
  <c r="Q498" i="1"/>
  <c r="Y499" i="1"/>
  <c r="Y498" i="1"/>
  <c r="Z498" i="1" s="1"/>
  <c r="Y473" i="1"/>
  <c r="Z473" i="1" s="1"/>
  <c r="Q484" i="1"/>
  <c r="Y485" i="1"/>
  <c r="Z485" i="1" s="1"/>
  <c r="Q490" i="1"/>
  <c r="Q495" i="1"/>
  <c r="Y496" i="1"/>
  <c r="Z496" i="1" s="1"/>
  <c r="Q471" i="1"/>
  <c r="Y472" i="1"/>
  <c r="Q475" i="1"/>
  <c r="Q500" i="1"/>
  <c r="Y469" i="1"/>
  <c r="Z469" i="1" s="1"/>
  <c r="Q497" i="1"/>
  <c r="Q463" i="1"/>
  <c r="Q464" i="1"/>
  <c r="Y478" i="1"/>
  <c r="Q423" i="1"/>
  <c r="Q411" i="1" s="1"/>
  <c r="Q414" i="1"/>
  <c r="Q412" i="1"/>
  <c r="Y437" i="1"/>
  <c r="Y441" i="1"/>
  <c r="Z441" i="1" s="1"/>
  <c r="Y445" i="1"/>
  <c r="Z445" i="1" s="1"/>
  <c r="Q426" i="1"/>
  <c r="Q384" i="1"/>
  <c r="Q374" i="1"/>
  <c r="Y373" i="1"/>
  <c r="Y362" i="1"/>
  <c r="Q376" i="1"/>
  <c r="Y377" i="1"/>
  <c r="Z377" i="1" s="1"/>
  <c r="Y367" i="1"/>
  <c r="Q263" i="1"/>
  <c r="Q273" i="1"/>
  <c r="Q297" i="1"/>
  <c r="Q300" i="1"/>
  <c r="Y264" i="1"/>
  <c r="Y270" i="1"/>
  <c r="Y263" i="1"/>
  <c r="Z263" i="1" s="1"/>
  <c r="Q279" i="1"/>
  <c r="Y289" i="1"/>
  <c r="Y261" i="1" s="1"/>
  <c r="Y267" i="1"/>
  <c r="Y273" i="1"/>
  <c r="Z273" i="1" s="1"/>
  <c r="Y284" i="1"/>
  <c r="Y266" i="1"/>
  <c r="Z266" i="1" s="1"/>
  <c r="Q276" i="1"/>
  <c r="Y277" i="1"/>
  <c r="Z277" i="1" s="1"/>
  <c r="Q282" i="1"/>
  <c r="Q270" i="1"/>
  <c r="Y276" i="1"/>
  <c r="Z276" i="1" s="1"/>
  <c r="Q231" i="1"/>
  <c r="Q229" i="1"/>
  <c r="Q219" i="1"/>
  <c r="Y213" i="1"/>
  <c r="Z213" i="1" s="1"/>
  <c r="Q213" i="1"/>
  <c r="Q223" i="1"/>
  <c r="Q237" i="1"/>
  <c r="Y243" i="1"/>
  <c r="Q212" i="1"/>
  <c r="Q214" i="1"/>
  <c r="Y224" i="1"/>
  <c r="Z224" i="1" s="1"/>
  <c r="Y238" i="1"/>
  <c r="Z238" i="1" s="1"/>
  <c r="Y245" i="1"/>
  <c r="Z245" i="1" s="1"/>
  <c r="Y247" i="1"/>
  <c r="Y215" i="1"/>
  <c r="Z215" i="1" s="1"/>
  <c r="Q222" i="1"/>
  <c r="Q236" i="1"/>
  <c r="Q243" i="1"/>
  <c r="Y246" i="1"/>
  <c r="Z246" i="1" s="1"/>
  <c r="Y229" i="1"/>
  <c r="Y242" i="1"/>
  <c r="Z242" i="1" s="1"/>
  <c r="Y214" i="1"/>
  <c r="Y228" i="1"/>
  <c r="Z228" i="1" s="1"/>
  <c r="Q240" i="1"/>
  <c r="Y212" i="1"/>
  <c r="Y220" i="1"/>
  <c r="Z220" i="1" s="1"/>
  <c r="Y227" i="1"/>
  <c r="Y234" i="1"/>
  <c r="Y241" i="1"/>
  <c r="Z241" i="1" s="1"/>
  <c r="Y223" i="1"/>
  <c r="Q217" i="1"/>
  <c r="Q232" i="1"/>
  <c r="Q239" i="1"/>
  <c r="Y240" i="1"/>
  <c r="Z240" i="1" s="1"/>
  <c r="Y237" i="1"/>
  <c r="Z237" i="1" s="1"/>
  <c r="Y219" i="1"/>
  <c r="Z219" i="1" s="1"/>
  <c r="Y233" i="1"/>
  <c r="Z233" i="1" s="1"/>
  <c r="Q245" i="1"/>
  <c r="Y232" i="1"/>
  <c r="Q681" i="1"/>
  <c r="Y682" i="1"/>
  <c r="Z682" i="1" s="1"/>
  <c r="Q685" i="1"/>
  <c r="Y686" i="1"/>
  <c r="Z686" i="1" s="1"/>
  <c r="Q697" i="1"/>
  <c r="Y698" i="1"/>
  <c r="Z698" i="1" s="1"/>
  <c r="Y693" i="1"/>
  <c r="Z693" i="1" s="1"/>
  <c r="Q692" i="1"/>
  <c r="Y689" i="1"/>
  <c r="Z689" i="1" s="1"/>
  <c r="Y668" i="1"/>
  <c r="Z668" i="1" s="1"/>
  <c r="Y692" i="1"/>
  <c r="Z692" i="1" s="1"/>
  <c r="Q694" i="1"/>
  <c r="Q671" i="1"/>
  <c r="Y667" i="1"/>
  <c r="Z667" i="1" s="1"/>
  <c r="Y681" i="1"/>
  <c r="Z681" i="1" s="1"/>
  <c r="Q684" i="1"/>
  <c r="Y685" i="1"/>
  <c r="Z685" i="1" s="1"/>
  <c r="Q688" i="1"/>
  <c r="Q696" i="1"/>
  <c r="Y697" i="1"/>
  <c r="Z697" i="1" s="1"/>
  <c r="Y714" i="1"/>
  <c r="Z714" i="1" s="1"/>
  <c r="Q720" i="1"/>
  <c r="Y722" i="1"/>
  <c r="Z722" i="1" s="1"/>
  <c r="Y725" i="1"/>
  <c r="Z725" i="1" s="1"/>
  <c r="Q739" i="1"/>
  <c r="Q747" i="1"/>
  <c r="Q679" i="1"/>
  <c r="Y694" i="1"/>
  <c r="Z694" i="1" s="1"/>
  <c r="Q699" i="1"/>
  <c r="Y716" i="1"/>
  <c r="Z716" i="1" s="1"/>
  <c r="Q740" i="1"/>
  <c r="Y672" i="1"/>
  <c r="Z672" i="1" s="1"/>
  <c r="Q675" i="1"/>
  <c r="Q665" i="1"/>
  <c r="Y666" i="1"/>
  <c r="Z666" i="1" s="1"/>
  <c r="Q670" i="1"/>
  <c r="Y671" i="1"/>
  <c r="Z671" i="1" s="1"/>
  <c r="Q674" i="1"/>
  <c r="Y675" i="1"/>
  <c r="Z675" i="1" s="1"/>
  <c r="Y680" i="1"/>
  <c r="Z680" i="1" s="1"/>
  <c r="Y691" i="1"/>
  <c r="Z691" i="1" s="1"/>
  <c r="Q750" i="1"/>
  <c r="Y748" i="1"/>
  <c r="Z748" i="1" s="1"/>
  <c r="Y743" i="1"/>
  <c r="Z743" i="1" s="1"/>
  <c r="Q742" i="1"/>
  <c r="Y739" i="1"/>
  <c r="Z739" i="1" s="1"/>
  <c r="Q738" i="1"/>
  <c r="Y735" i="1"/>
  <c r="Z735" i="1" s="1"/>
  <c r="Q734" i="1"/>
  <c r="Y731" i="1"/>
  <c r="Z731" i="1" s="1"/>
  <c r="Q730" i="1"/>
  <c r="Y726" i="1"/>
  <c r="Z726" i="1" s="1"/>
  <c r="Q725" i="1"/>
  <c r="Y744" i="1"/>
  <c r="Z744" i="1" s="1"/>
  <c r="Y750" i="1"/>
  <c r="Z750" i="1" s="1"/>
  <c r="Y746" i="1"/>
  <c r="Z746" i="1" s="1"/>
  <c r="Y742" i="1"/>
  <c r="Z742" i="1" s="1"/>
  <c r="Y738" i="1"/>
  <c r="Z738" i="1" s="1"/>
  <c r="Y734" i="1"/>
  <c r="Z734" i="1" s="1"/>
  <c r="Y730" i="1"/>
  <c r="Z730" i="1" s="1"/>
  <c r="Q729" i="1"/>
  <c r="Q717" i="1"/>
  <c r="Y712" i="1"/>
  <c r="Z712" i="1" s="1"/>
  <c r="Q744" i="1"/>
  <c r="Y723" i="1"/>
  <c r="Z723" i="1" s="1"/>
  <c r="Q722" i="1"/>
  <c r="Y719" i="1"/>
  <c r="Z719" i="1" s="1"/>
  <c r="Y713" i="1"/>
  <c r="Z713" i="1" s="1"/>
  <c r="Q746" i="1"/>
  <c r="Y749" i="1"/>
  <c r="Z749" i="1" s="1"/>
  <c r="Y747" i="1"/>
  <c r="Z747" i="1" s="1"/>
  <c r="Q723" i="1"/>
  <c r="Y720" i="1"/>
  <c r="Z720" i="1" s="1"/>
  <c r="Q719" i="1"/>
  <c r="Y728" i="1"/>
  <c r="Z728" i="1" s="1"/>
  <c r="Y745" i="1"/>
  <c r="Z745" i="1" s="1"/>
  <c r="Q713" i="1"/>
  <c r="Q718" i="1"/>
  <c r="Q726" i="1"/>
  <c r="Q749" i="1"/>
  <c r="Q678" i="1"/>
  <c r="Q683" i="1"/>
  <c r="Y684" i="1"/>
  <c r="Z684" i="1" s="1"/>
  <c r="Q687" i="1"/>
  <c r="Y688" i="1"/>
  <c r="Z688" i="1" s="1"/>
  <c r="Q690" i="1"/>
  <c r="Q693" i="1"/>
  <c r="Y696" i="1"/>
  <c r="Z696" i="1" s="1"/>
  <c r="Q721" i="1"/>
  <c r="Q727" i="1"/>
  <c r="Q735" i="1"/>
  <c r="Q680" i="1"/>
  <c r="Q664" i="1"/>
  <c r="Y679" i="1"/>
  <c r="Z679" i="1" s="1"/>
  <c r="Q695" i="1"/>
  <c r="Y699" i="1"/>
  <c r="Z699" i="1" s="1"/>
  <c r="Q715" i="1"/>
  <c r="Q724" i="1"/>
  <c r="Q736" i="1"/>
  <c r="Q737" i="1"/>
  <c r="Y740" i="1"/>
  <c r="Z740" i="1" s="1"/>
  <c r="Y741" i="1"/>
  <c r="Z741" i="1" s="1"/>
  <c r="Q666" i="1"/>
  <c r="Q691" i="1"/>
  <c r="Q663" i="1"/>
  <c r="Y665" i="1"/>
  <c r="Z665" i="1" s="1"/>
  <c r="Q669" i="1"/>
  <c r="Y670" i="1"/>
  <c r="Z670" i="1" s="1"/>
  <c r="Q673" i="1"/>
  <c r="Y674" i="1"/>
  <c r="Z674" i="1" s="1"/>
  <c r="Q677" i="1"/>
  <c r="Y718" i="1"/>
  <c r="Z718" i="1" s="1"/>
  <c r="Q662" i="1"/>
  <c r="Y678" i="1"/>
  <c r="Z678" i="1" s="1"/>
  <c r="Q682" i="1"/>
  <c r="Y683" i="1"/>
  <c r="Z683" i="1" s="1"/>
  <c r="Q686" i="1"/>
  <c r="Y687" i="1"/>
  <c r="Z687" i="1" s="1"/>
  <c r="Y690" i="1"/>
  <c r="Z690" i="1" s="1"/>
  <c r="Q698" i="1"/>
  <c r="Q700" i="1"/>
  <c r="Q712" i="1"/>
  <c r="Y721" i="1"/>
  <c r="Z721" i="1" s="1"/>
  <c r="Y727" i="1"/>
  <c r="Z727" i="1" s="1"/>
  <c r="Q728" i="1"/>
  <c r="Q731" i="1"/>
  <c r="Y676" i="1"/>
  <c r="Z676" i="1" s="1"/>
  <c r="Y664" i="1"/>
  <c r="Z664" i="1" s="1"/>
  <c r="Q668" i="1"/>
  <c r="Y695" i="1"/>
  <c r="Z695" i="1" s="1"/>
  <c r="Y715" i="1"/>
  <c r="Z715" i="1" s="1"/>
  <c r="Y724" i="1"/>
  <c r="Z724" i="1" s="1"/>
  <c r="Q732" i="1"/>
  <c r="Q733" i="1"/>
  <c r="Y736" i="1"/>
  <c r="Z736" i="1" s="1"/>
  <c r="Y737" i="1"/>
  <c r="Z737" i="1" s="1"/>
  <c r="Q465" i="1"/>
  <c r="Y466" i="1"/>
  <c r="Z466" i="1" s="1"/>
  <c r="Q469" i="1"/>
  <c r="Q472" i="1"/>
  <c r="Q478" i="1"/>
  <c r="Y479" i="1"/>
  <c r="Z479" i="1" s="1"/>
  <c r="Y488" i="1"/>
  <c r="Z488" i="1" s="1"/>
  <c r="Y493" i="1"/>
  <c r="Z493" i="1" s="1"/>
  <c r="Y535" i="1"/>
  <c r="Z535" i="1" s="1"/>
  <c r="Y544" i="1"/>
  <c r="Z544" i="1" s="1"/>
  <c r="Q462" i="1"/>
  <c r="Q477" i="1"/>
  <c r="Y487" i="1"/>
  <c r="Z487" i="1" s="1"/>
  <c r="Y492" i="1"/>
  <c r="Z492" i="1" s="1"/>
  <c r="Y518" i="1"/>
  <c r="Z518" i="1" s="1"/>
  <c r="Q520" i="1"/>
  <c r="Y527" i="1"/>
  <c r="Z527" i="1" s="1"/>
  <c r="Y532" i="1"/>
  <c r="Z532" i="1" s="1"/>
  <c r="Y464" i="1"/>
  <c r="Z464" i="1" s="1"/>
  <c r="Y484" i="1"/>
  <c r="Z484" i="1" s="1"/>
  <c r="Y530" i="1"/>
  <c r="Z530" i="1" s="1"/>
  <c r="Y545" i="1"/>
  <c r="Z545" i="1" s="1"/>
  <c r="Y463" i="1"/>
  <c r="Z463" i="1" s="1"/>
  <c r="Y468" i="1"/>
  <c r="Z468" i="1" s="1"/>
  <c r="Y471" i="1"/>
  <c r="Z471" i="1" s="1"/>
  <c r="Y474" i="1"/>
  <c r="Z474" i="1" s="1"/>
  <c r="Q480" i="1"/>
  <c r="Y481" i="1"/>
  <c r="Z481" i="1" s="1"/>
  <c r="Q483" i="1"/>
  <c r="Q486" i="1"/>
  <c r="Q494" i="1"/>
  <c r="Y497" i="1"/>
  <c r="Z497" i="1" s="1"/>
  <c r="Y500" i="1"/>
  <c r="Z500" i="1" s="1"/>
  <c r="Q514" i="1"/>
  <c r="Y517" i="1"/>
  <c r="Z517" i="1" s="1"/>
  <c r="Q521" i="1"/>
  <c r="Y525" i="1"/>
  <c r="Z525" i="1" s="1"/>
  <c r="Y462" i="1"/>
  <c r="Z462" i="1" s="1"/>
  <c r="Q470" i="1"/>
  <c r="Y477" i="1"/>
  <c r="Z477" i="1" s="1"/>
  <c r="Q516" i="1"/>
  <c r="Q526" i="1"/>
  <c r="Q531" i="1"/>
  <c r="Q542" i="1"/>
  <c r="Q493" i="1"/>
  <c r="Y490" i="1"/>
  <c r="Z490" i="1" s="1"/>
  <c r="Q489" i="1"/>
  <c r="Y486" i="1"/>
  <c r="Z486" i="1" s="1"/>
  <c r="Q485" i="1"/>
  <c r="Y482" i="1"/>
  <c r="Z482" i="1" s="1"/>
  <c r="Q481" i="1"/>
  <c r="Q467" i="1"/>
  <c r="Y495" i="1"/>
  <c r="Z495" i="1" s="1"/>
  <c r="Q473" i="1"/>
  <c r="Q476" i="1"/>
  <c r="Y489" i="1"/>
  <c r="Z489" i="1" s="1"/>
  <c r="Q496" i="1"/>
  <c r="Q499" i="1"/>
  <c r="Q550" i="1"/>
  <c r="Y549" i="1"/>
  <c r="Z549" i="1" s="1"/>
  <c r="Y546" i="1"/>
  <c r="Z546" i="1" s="1"/>
  <c r="Y541" i="1"/>
  <c r="Z541" i="1" s="1"/>
  <c r="Q540" i="1"/>
  <c r="Y537" i="1"/>
  <c r="Z537" i="1" s="1"/>
  <c r="Q536" i="1"/>
  <c r="Y533" i="1"/>
  <c r="Z533" i="1" s="1"/>
  <c r="Q532" i="1"/>
  <c r="Y528" i="1"/>
  <c r="Z528" i="1" s="1"/>
  <c r="Q512" i="1"/>
  <c r="Q545" i="1"/>
  <c r="Q527" i="1"/>
  <c r="Y524" i="1"/>
  <c r="Z524" i="1" s="1"/>
  <c r="Q523" i="1"/>
  <c r="Y520" i="1"/>
  <c r="Z520" i="1" s="1"/>
  <c r="Q519" i="1"/>
  <c r="Y515" i="1"/>
  <c r="Z515" i="1" s="1"/>
  <c r="Q513" i="1"/>
  <c r="Y547" i="1"/>
  <c r="Z547" i="1" s="1"/>
  <c r="Y529" i="1"/>
  <c r="Z529" i="1" s="1"/>
  <c r="Q549" i="1"/>
  <c r="Q546" i="1"/>
  <c r="Y542" i="1"/>
  <c r="Z542" i="1" s="1"/>
  <c r="Q541" i="1"/>
  <c r="Y538" i="1"/>
  <c r="Z538" i="1" s="1"/>
  <c r="Q537" i="1"/>
  <c r="Y534" i="1"/>
  <c r="Z534" i="1" s="1"/>
  <c r="Q533" i="1"/>
  <c r="Y550" i="1"/>
  <c r="Z550" i="1" s="1"/>
  <c r="Q547" i="1"/>
  <c r="Q529" i="1"/>
  <c r="Q548" i="1"/>
  <c r="Q544" i="1"/>
  <c r="Q528" i="1"/>
  <c r="Q538" i="1"/>
  <c r="Q539" i="1"/>
  <c r="Q466" i="1"/>
  <c r="Y467" i="1"/>
  <c r="Z467" i="1" s="1"/>
  <c r="Q479" i="1"/>
  <c r="Y480" i="1"/>
  <c r="Z480" i="1" s="1"/>
  <c r="Y483" i="1"/>
  <c r="Z483" i="1" s="1"/>
  <c r="Q488" i="1"/>
  <c r="Y494" i="1"/>
  <c r="Z494" i="1" s="1"/>
  <c r="Y514" i="1"/>
  <c r="Z514" i="1" s="1"/>
  <c r="Y521" i="1"/>
  <c r="Z521" i="1" s="1"/>
  <c r="Q534" i="1"/>
  <c r="Q535" i="1"/>
  <c r="Y470" i="1"/>
  <c r="Z470" i="1" s="1"/>
  <c r="Y491" i="1"/>
  <c r="Z491" i="1" s="1"/>
  <c r="Y516" i="1"/>
  <c r="Z516" i="1" s="1"/>
  <c r="Y523" i="1"/>
  <c r="Z523" i="1" s="1"/>
  <c r="Y526" i="1"/>
  <c r="Z526" i="1" s="1"/>
  <c r="Y531" i="1"/>
  <c r="Z531" i="1" s="1"/>
  <c r="Y543" i="1"/>
  <c r="Z543" i="1" s="1"/>
  <c r="Y548" i="1"/>
  <c r="Z548" i="1" s="1"/>
  <c r="Y572" i="1"/>
  <c r="Z572" i="1" s="1"/>
  <c r="Q582" i="1"/>
  <c r="Y586" i="1"/>
  <c r="Z586" i="1" s="1"/>
  <c r="Q589" i="1"/>
  <c r="Y594" i="1"/>
  <c r="Z594" i="1" s="1"/>
  <c r="Q585" i="1"/>
  <c r="Y587" i="1"/>
  <c r="Z587" i="1" s="1"/>
  <c r="Q598" i="1"/>
  <c r="Q599" i="1"/>
  <c r="Q567" i="1"/>
  <c r="Q571" i="1"/>
  <c r="Y578" i="1"/>
  <c r="Z578" i="1" s="1"/>
  <c r="Y590" i="1"/>
  <c r="Z590" i="1" s="1"/>
  <c r="Q593" i="1"/>
  <c r="Q600" i="1"/>
  <c r="Y563" i="1"/>
  <c r="Z563" i="1" s="1"/>
  <c r="Q596" i="1"/>
  <c r="Y592" i="1"/>
  <c r="Z592" i="1" s="1"/>
  <c r="Q591" i="1"/>
  <c r="Y588" i="1"/>
  <c r="Z588" i="1" s="1"/>
  <c r="Q587" i="1"/>
  <c r="Y584" i="1"/>
  <c r="Z584" i="1" s="1"/>
  <c r="Q583" i="1"/>
  <c r="Q578" i="1"/>
  <c r="Y580" i="1"/>
  <c r="Z580" i="1" s="1"/>
  <c r="Y575" i="1"/>
  <c r="Z575" i="1" s="1"/>
  <c r="Q574" i="1"/>
  <c r="Y571" i="1"/>
  <c r="Z571" i="1" s="1"/>
  <c r="Q570" i="1"/>
  <c r="Y566" i="1"/>
  <c r="Z566" i="1" s="1"/>
  <c r="Q565" i="1"/>
  <c r="Y598" i="1"/>
  <c r="Z598" i="1" s="1"/>
  <c r="Q597" i="1"/>
  <c r="Q579" i="1"/>
  <c r="Y599" i="1"/>
  <c r="Z599" i="1" s="1"/>
  <c r="Q595" i="1"/>
  <c r="Q577" i="1"/>
  <c r="Y574" i="1"/>
  <c r="Z574" i="1" s="1"/>
  <c r="Q573" i="1"/>
  <c r="Y570" i="1"/>
  <c r="Z570" i="1" s="1"/>
  <c r="Q569" i="1"/>
  <c r="Y565" i="1"/>
  <c r="Z565" i="1" s="1"/>
  <c r="Q563" i="1"/>
  <c r="Q562" i="1"/>
  <c r="Q581" i="1"/>
  <c r="Y585" i="1"/>
  <c r="Z585" i="1" s="1"/>
  <c r="Y567" i="1"/>
  <c r="Z567" i="1" s="1"/>
  <c r="Y569" i="1"/>
  <c r="Z569" i="1" s="1"/>
  <c r="Q572" i="1"/>
  <c r="Q586" i="1"/>
  <c r="Q588" i="1"/>
  <c r="Y593" i="1"/>
  <c r="Z593" i="1" s="1"/>
  <c r="Q594" i="1"/>
  <c r="Y600" i="1"/>
  <c r="Z600" i="1" s="1"/>
  <c r="Y583" i="1"/>
  <c r="Z583" i="1" s="1"/>
  <c r="Y596" i="1"/>
  <c r="Z596" i="1" s="1"/>
  <c r="Y562" i="1"/>
  <c r="Z562" i="1" s="1"/>
  <c r="Q568" i="1"/>
  <c r="Y577" i="1"/>
  <c r="Z577" i="1" s="1"/>
  <c r="Y581" i="1"/>
  <c r="Z581" i="1" s="1"/>
  <c r="Y591" i="1"/>
  <c r="Z591" i="1" s="1"/>
  <c r="Q615" i="1"/>
  <c r="Y616" i="1"/>
  <c r="Z616" i="1" s="1"/>
  <c r="Q620" i="1"/>
  <c r="Y621" i="1"/>
  <c r="Z621" i="1" s="1"/>
  <c r="Q624" i="1"/>
  <c r="Y625" i="1"/>
  <c r="Z625" i="1" s="1"/>
  <c r="Y630" i="1"/>
  <c r="Z630" i="1" s="1"/>
  <c r="Q645" i="1"/>
  <c r="Y646" i="1"/>
  <c r="Z646" i="1" s="1"/>
  <c r="Q644" i="1"/>
  <c r="Q649" i="1"/>
  <c r="Y650" i="1"/>
  <c r="Z650" i="1" s="1"/>
  <c r="Y645" i="1"/>
  <c r="Z645" i="1" s="1"/>
  <c r="Y618" i="1"/>
  <c r="Z618" i="1" s="1"/>
  <c r="Y644" i="1"/>
  <c r="Z644" i="1" s="1"/>
  <c r="Q648" i="1"/>
  <c r="Y649" i="1"/>
  <c r="Z649" i="1" s="1"/>
  <c r="Q616" i="1"/>
  <c r="Q621" i="1"/>
  <c r="Y622" i="1"/>
  <c r="Z622" i="1" s="1"/>
  <c r="Q625" i="1"/>
  <c r="Y626" i="1"/>
  <c r="Z626" i="1" s="1"/>
  <c r="Q630" i="1"/>
  <c r="Y617" i="1"/>
  <c r="Z617" i="1" s="1"/>
  <c r="Y631" i="1"/>
  <c r="Z631" i="1" s="1"/>
  <c r="Q634" i="1"/>
  <c r="Y635" i="1"/>
  <c r="Z635" i="1" s="1"/>
  <c r="Q638" i="1"/>
  <c r="Y639" i="1"/>
  <c r="Z639" i="1" s="1"/>
  <c r="Q642" i="1"/>
  <c r="Q350" i="1"/>
  <c r="Q346" i="1"/>
  <c r="Y342" i="1"/>
  <c r="Z342" i="1" s="1"/>
  <c r="Q341" i="1"/>
  <c r="Y338" i="1"/>
  <c r="Z338" i="1" s="1"/>
  <c r="Q337" i="1"/>
  <c r="Y334" i="1"/>
  <c r="Z334" i="1" s="1"/>
  <c r="Q333" i="1"/>
  <c r="Q328" i="1"/>
  <c r="Y348" i="1"/>
  <c r="Z348" i="1" s="1"/>
  <c r="Y343" i="1"/>
  <c r="Z343" i="1" s="1"/>
  <c r="Q342" i="1"/>
  <c r="Y339" i="1"/>
  <c r="Z339" i="1" s="1"/>
  <c r="Q338" i="1"/>
  <c r="Y335" i="1"/>
  <c r="Z335" i="1" s="1"/>
  <c r="Q334" i="1"/>
  <c r="Y331" i="1"/>
  <c r="Z331" i="1" s="1"/>
  <c r="Y341" i="1"/>
  <c r="Z341" i="1" s="1"/>
  <c r="Y330" i="1"/>
  <c r="Z330" i="1" s="1"/>
  <c r="Q329" i="1"/>
  <c r="Q312" i="1"/>
  <c r="Q349" i="1"/>
  <c r="Y345" i="1"/>
  <c r="Z345" i="1" s="1"/>
  <c r="Y337" i="1"/>
  <c r="Z337" i="1" s="1"/>
  <c r="Q332" i="1"/>
  <c r="Q326" i="1"/>
  <c r="Y324" i="1"/>
  <c r="Z324" i="1" s="1"/>
  <c r="Q323" i="1"/>
  <c r="Y320" i="1"/>
  <c r="Z320" i="1" s="1"/>
  <c r="Q319" i="1"/>
  <c r="Y315" i="1"/>
  <c r="Z315" i="1" s="1"/>
  <c r="Q313" i="1"/>
  <c r="Y327" i="1"/>
  <c r="Z327" i="1" s="1"/>
  <c r="Q314" i="1"/>
  <c r="Y350" i="1"/>
  <c r="Z350" i="1" s="1"/>
  <c r="Q343" i="1"/>
  <c r="Q339" i="1"/>
  <c r="Y333" i="1"/>
  <c r="Z333" i="1" s="1"/>
  <c r="Q330" i="1"/>
  <c r="Q345" i="1"/>
  <c r="Q324" i="1"/>
  <c r="Y321" i="1"/>
  <c r="Z321" i="1" s="1"/>
  <c r="Q320" i="1"/>
  <c r="Y316" i="1"/>
  <c r="Z316" i="1" s="1"/>
  <c r="Q315" i="1"/>
  <c r="Y332" i="1"/>
  <c r="Z332" i="1" s="1"/>
  <c r="Y329" i="1"/>
  <c r="Z329" i="1" s="1"/>
  <c r="Y313" i="1"/>
  <c r="Z313" i="1" s="1"/>
  <c r="Y349" i="1"/>
  <c r="Z349" i="1" s="1"/>
  <c r="Y336" i="1"/>
  <c r="Z336" i="1" s="1"/>
  <c r="Y319" i="1"/>
  <c r="Z319" i="1" s="1"/>
  <c r="Q318" i="1"/>
  <c r="Y340" i="1"/>
  <c r="Z340" i="1" s="1"/>
  <c r="Y325" i="1"/>
  <c r="Z325" i="1" s="1"/>
  <c r="Y344" i="1"/>
  <c r="Z344" i="1" s="1"/>
  <c r="Y314" i="1"/>
  <c r="Z314" i="1" s="1"/>
  <c r="Q348" i="1"/>
  <c r="Q336" i="1"/>
  <c r="Q331" i="1"/>
  <c r="Y328" i="1"/>
  <c r="Z328" i="1" s="1"/>
  <c r="Y322" i="1"/>
  <c r="Z322" i="1" s="1"/>
  <c r="Q340" i="1"/>
  <c r="Q335" i="1"/>
  <c r="Q325" i="1"/>
  <c r="Y317" i="1"/>
  <c r="Z317" i="1" s="1"/>
  <c r="Y347" i="1"/>
  <c r="Z347" i="1" s="1"/>
  <c r="Q344" i="1"/>
  <c r="Q327" i="1"/>
  <c r="Q322" i="1"/>
  <c r="Q321" i="1"/>
  <c r="Q317" i="1"/>
  <c r="Y312" i="1"/>
  <c r="Z312" i="1" s="1"/>
  <c r="Y346" i="1"/>
  <c r="Z346" i="1" s="1"/>
  <c r="Y323" i="1"/>
  <c r="Z323" i="1" s="1"/>
  <c r="Q316" i="1"/>
  <c r="Y318" i="1"/>
  <c r="Z318" i="1" s="1"/>
  <c r="Q264" i="1"/>
  <c r="Q288" i="1"/>
  <c r="Q265" i="1"/>
  <c r="Q296" i="1"/>
  <c r="Q278" i="1"/>
  <c r="Q272" i="1"/>
  <c r="Q269" i="1"/>
  <c r="Q286" i="1"/>
  <c r="Q275" i="1"/>
  <c r="Q262" i="1"/>
  <c r="Q291" i="1"/>
  <c r="Q284" i="1"/>
  <c r="Q266" i="1"/>
  <c r="Q261" i="1" s="1"/>
  <c r="Y326" i="1"/>
  <c r="Z326" i="1" s="1"/>
  <c r="Q347" i="1"/>
  <c r="Y287" i="1"/>
  <c r="Z287" i="1" s="1"/>
  <c r="Y298" i="1"/>
  <c r="Z298" i="1" s="1"/>
  <c r="Y275" i="1"/>
  <c r="Z275" i="1" s="1"/>
  <c r="Y281" i="1"/>
  <c r="Z281" i="1" s="1"/>
  <c r="Q283" i="1"/>
  <c r="Q268" i="1"/>
  <c r="Y269" i="1"/>
  <c r="Z269" i="1" s="1"/>
  <c r="Q271" i="1"/>
  <c r="Y272" i="1"/>
  <c r="Z272" i="1" s="1"/>
  <c r="Q274" i="1"/>
  <c r="Y278" i="1"/>
  <c r="Z278" i="1" s="1"/>
  <c r="Q280" i="1"/>
  <c r="Q290" i="1"/>
  <c r="Q292" i="1"/>
  <c r="Q293" i="1"/>
  <c r="Y290" i="1"/>
  <c r="Z290" i="1" s="1"/>
  <c r="Q289" i="1"/>
  <c r="Y286" i="1"/>
  <c r="Z286" i="1" s="1"/>
  <c r="Q285" i="1"/>
  <c r="Y282" i="1"/>
  <c r="Z282" i="1" s="1"/>
  <c r="Q281" i="1"/>
  <c r="Q267" i="1"/>
  <c r="Y262" i="1"/>
  <c r="Z262" i="1" s="1"/>
  <c r="Y295" i="1"/>
  <c r="Z295" i="1" s="1"/>
  <c r="Y300" i="1"/>
  <c r="Z300" i="1" s="1"/>
  <c r="Q299" i="1"/>
  <c r="Q294" i="1"/>
  <c r="Y296" i="1"/>
  <c r="Z296" i="1" s="1"/>
  <c r="Y291" i="1"/>
  <c r="Z291" i="1" s="1"/>
  <c r="Q295" i="1"/>
  <c r="Y265" i="1"/>
  <c r="Z265" i="1" s="1"/>
  <c r="Q277" i="1"/>
  <c r="Y288" i="1"/>
  <c r="Z288" i="1" s="1"/>
  <c r="Y299" i="1"/>
  <c r="Z299" i="1" s="1"/>
  <c r="Y283" i="1"/>
  <c r="Z283" i="1" s="1"/>
  <c r="Y364" i="1"/>
  <c r="Z364" i="1" s="1"/>
  <c r="Q366" i="1"/>
  <c r="Q367" i="1"/>
  <c r="Y268" i="1"/>
  <c r="Z268" i="1" s="1"/>
  <c r="Y271" i="1"/>
  <c r="Z271" i="1" s="1"/>
  <c r="Y280" i="1"/>
  <c r="Z280" i="1" s="1"/>
  <c r="Y285" i="1"/>
  <c r="Z285" i="1" s="1"/>
  <c r="Q287" i="1"/>
  <c r="Y292" i="1"/>
  <c r="Z292" i="1" s="1"/>
  <c r="Y294" i="1"/>
  <c r="Z294" i="1" s="1"/>
  <c r="Y297" i="1"/>
  <c r="Z297" i="1" s="1"/>
  <c r="Q298" i="1"/>
  <c r="Q396" i="1"/>
  <c r="Y392" i="1"/>
  <c r="Z392" i="1" s="1"/>
  <c r="Q391" i="1"/>
  <c r="Y388" i="1"/>
  <c r="Z388" i="1" s="1"/>
  <c r="Q387" i="1"/>
  <c r="Y384" i="1"/>
  <c r="Z384" i="1" s="1"/>
  <c r="Q383" i="1"/>
  <c r="Q378" i="1"/>
  <c r="Y396" i="1"/>
  <c r="Z396" i="1" s="1"/>
  <c r="Y391" i="1"/>
  <c r="Z391" i="1" s="1"/>
  <c r="Q390" i="1"/>
  <c r="Y387" i="1"/>
  <c r="Z387" i="1" s="1"/>
  <c r="Q386" i="1"/>
  <c r="Y383" i="1"/>
  <c r="Z383" i="1" s="1"/>
  <c r="Q382" i="1"/>
  <c r="Y378" i="1"/>
  <c r="Z378" i="1" s="1"/>
  <c r="Y397" i="1"/>
  <c r="Z397" i="1" s="1"/>
  <c r="Y394" i="1"/>
  <c r="Z394" i="1" s="1"/>
  <c r="Q393" i="1"/>
  <c r="Q377" i="1"/>
  <c r="Y375" i="1"/>
  <c r="Z375" i="1" s="1"/>
  <c r="Y365" i="1"/>
  <c r="Z365" i="1" s="1"/>
  <c r="Q363" i="1"/>
  <c r="Y385" i="1"/>
  <c r="Z385" i="1" s="1"/>
  <c r="Y372" i="1"/>
  <c r="Z372" i="1" s="1"/>
  <c r="Y369" i="1"/>
  <c r="Z369" i="1" s="1"/>
  <c r="Q364" i="1"/>
  <c r="Y400" i="1"/>
  <c r="Z400" i="1" s="1"/>
  <c r="Q399" i="1"/>
  <c r="Q389" i="1"/>
  <c r="Q380" i="1"/>
  <c r="Q368" i="1"/>
  <c r="Q397" i="1"/>
  <c r="Y395" i="1"/>
  <c r="Z395" i="1" s="1"/>
  <c r="Q394" i="1"/>
  <c r="Y381" i="1"/>
  <c r="Z381" i="1" s="1"/>
  <c r="Q375" i="1"/>
  <c r="Q365" i="1"/>
  <c r="Y390" i="1"/>
  <c r="Z390" i="1" s="1"/>
  <c r="Q385" i="1"/>
  <c r="Q372" i="1"/>
  <c r="Y370" i="1"/>
  <c r="Z370" i="1" s="1"/>
  <c r="Q369" i="1"/>
  <c r="Y366" i="1"/>
  <c r="Z366" i="1" s="1"/>
  <c r="Y399" i="1"/>
  <c r="Z399" i="1" s="1"/>
  <c r="Q388" i="1"/>
  <c r="Y371" i="1"/>
  <c r="Z371" i="1" s="1"/>
  <c r="Q392" i="1"/>
  <c r="Q379" i="1"/>
  <c r="Q362" i="1"/>
  <c r="Q395" i="1"/>
  <c r="Y382" i="1"/>
  <c r="Z382" i="1" s="1"/>
  <c r="Y363" i="1"/>
  <c r="Z363" i="1" s="1"/>
  <c r="Y386" i="1"/>
  <c r="Z386" i="1" s="1"/>
  <c r="Y374" i="1"/>
  <c r="Z374" i="1" s="1"/>
  <c r="Q371" i="1"/>
  <c r="Q381" i="1"/>
  <c r="Q370" i="1"/>
  <c r="Y398" i="1"/>
  <c r="Z398" i="1" s="1"/>
  <c r="Y389" i="1"/>
  <c r="Z389" i="1" s="1"/>
  <c r="Y376" i="1"/>
  <c r="Z376" i="1" s="1"/>
  <c r="Q398" i="1"/>
  <c r="Q400" i="1"/>
  <c r="Q373" i="1"/>
  <c r="Y368" i="1"/>
  <c r="Z368" i="1" s="1"/>
  <c r="Y443" i="1"/>
  <c r="Z443" i="1" s="1"/>
  <c r="Q442" i="1"/>
  <c r="Y439" i="1"/>
  <c r="Z439" i="1" s="1"/>
  <c r="Q438" i="1"/>
  <c r="Y435" i="1"/>
  <c r="Z435" i="1" s="1"/>
  <c r="Q434" i="1"/>
  <c r="Y431" i="1"/>
  <c r="Z431" i="1" s="1"/>
  <c r="Y417" i="1"/>
  <c r="Z417" i="1" s="1"/>
  <c r="Q430" i="1"/>
  <c r="Y426" i="1"/>
  <c r="Z426" i="1" s="1"/>
  <c r="Q425" i="1"/>
  <c r="Y422" i="1"/>
  <c r="Z422" i="1" s="1"/>
  <c r="Q421" i="1"/>
  <c r="Q416" i="1"/>
  <c r="Q443" i="1"/>
  <c r="Y440" i="1"/>
  <c r="Z440" i="1" s="1"/>
  <c r="Q439" i="1"/>
  <c r="Y436" i="1"/>
  <c r="Z436" i="1" s="1"/>
  <c r="Q435" i="1"/>
  <c r="Y432" i="1"/>
  <c r="Z432" i="1" s="1"/>
  <c r="Q431" i="1"/>
  <c r="Q417" i="1"/>
  <c r="Y412" i="1"/>
  <c r="Z412" i="1" s="1"/>
  <c r="Y450" i="1"/>
  <c r="Z450" i="1" s="1"/>
  <c r="Q449" i="1"/>
  <c r="Q446" i="1"/>
  <c r="Y442" i="1"/>
  <c r="Z442" i="1" s="1"/>
  <c r="Q441" i="1"/>
  <c r="Y438" i="1"/>
  <c r="Z438" i="1" s="1"/>
  <c r="Q437" i="1"/>
  <c r="Y434" i="1"/>
  <c r="Z434" i="1" s="1"/>
  <c r="Q433" i="1"/>
  <c r="Q428" i="1"/>
  <c r="Y430" i="1"/>
  <c r="Z430" i="1" s="1"/>
  <c r="Y425" i="1"/>
  <c r="Z425" i="1" s="1"/>
  <c r="Q424" i="1"/>
  <c r="Y421" i="1"/>
  <c r="Z421" i="1" s="1"/>
  <c r="Q420" i="1"/>
  <c r="Y416" i="1"/>
  <c r="Z416" i="1" s="1"/>
  <c r="Q415" i="1"/>
  <c r="Y448" i="1"/>
  <c r="Z448" i="1" s="1"/>
  <c r="Q447" i="1"/>
  <c r="Y419" i="1"/>
  <c r="Z419" i="1" s="1"/>
  <c r="Q448" i="1"/>
  <c r="Q450" i="1"/>
  <c r="Q427" i="1"/>
  <c r="Q429" i="1"/>
  <c r="Q432" i="1"/>
  <c r="Y423" i="1"/>
  <c r="Z423" i="1" s="1"/>
  <c r="Y446" i="1"/>
  <c r="Z446" i="1" s="1"/>
  <c r="Y449" i="1"/>
  <c r="Z449" i="1" s="1"/>
  <c r="Y414" i="1"/>
  <c r="Z414" i="1" s="1"/>
  <c r="Y420" i="1"/>
  <c r="Z420" i="1" s="1"/>
  <c r="Y427" i="1"/>
  <c r="Z427" i="1" s="1"/>
  <c r="Y429" i="1"/>
  <c r="Z429" i="1" s="1"/>
  <c r="Q436" i="1"/>
  <c r="Q418" i="1"/>
  <c r="Q413" i="1"/>
  <c r="Y424" i="1"/>
  <c r="Z424" i="1" s="1"/>
  <c r="Q440" i="1"/>
  <c r="Q444" i="1"/>
  <c r="Y433" i="1"/>
  <c r="Z433" i="1" s="1"/>
  <c r="Y418" i="1"/>
  <c r="Z418" i="1" s="1"/>
  <c r="Q445" i="1"/>
  <c r="Y413" i="1"/>
  <c r="Z413" i="1" s="1"/>
  <c r="Y415" i="1"/>
  <c r="Z415" i="1" s="1"/>
  <c r="Q419" i="1"/>
  <c r="Q422" i="1"/>
  <c r="Y428" i="1"/>
  <c r="Z428" i="1" s="1"/>
  <c r="Y444" i="1"/>
  <c r="Z444" i="1" s="1"/>
  <c r="Y447" i="1"/>
  <c r="Z447" i="1" s="1"/>
  <c r="Q215" i="1"/>
  <c r="Y216" i="1"/>
  <c r="Z216" i="1" s="1"/>
  <c r="Q220" i="1"/>
  <c r="Y221" i="1"/>
  <c r="Z221" i="1" s="1"/>
  <c r="Q224" i="1"/>
  <c r="Y225" i="1"/>
  <c r="Z225" i="1" s="1"/>
  <c r="Y230" i="1"/>
  <c r="Z230" i="1" s="1"/>
  <c r="Q250" i="1"/>
  <c r="Q249" i="1"/>
  <c r="Y250" i="1"/>
  <c r="Z250" i="1" s="1"/>
  <c r="Y218" i="1"/>
  <c r="Z218" i="1" s="1"/>
  <c r="Y244" i="1"/>
  <c r="Z244" i="1" s="1"/>
  <c r="Q248" i="1"/>
  <c r="Y249" i="1"/>
  <c r="Z249" i="1" s="1"/>
  <c r="Q216" i="1"/>
  <c r="Q221" i="1"/>
  <c r="Y222" i="1"/>
  <c r="Z222" i="1" s="1"/>
  <c r="Q225" i="1"/>
  <c r="Y226" i="1"/>
  <c r="Z226" i="1" s="1"/>
  <c r="Q230" i="1"/>
  <c r="Y217" i="1"/>
  <c r="Z217" i="1" s="1"/>
  <c r="Y231" i="1"/>
  <c r="Z231" i="1" s="1"/>
  <c r="Q234" i="1"/>
  <c r="Y235" i="1"/>
  <c r="Z235" i="1" s="1"/>
  <c r="Q238" i="1"/>
  <c r="Y239" i="1"/>
  <c r="Z239" i="1" s="1"/>
  <c r="Q242" i="1"/>
  <c r="Q179" i="1"/>
  <c r="Q197" i="1"/>
  <c r="Y198" i="1"/>
  <c r="Z198" i="1" s="1"/>
  <c r="Q165" i="1"/>
  <c r="Y166" i="1"/>
  <c r="Z166" i="1" s="1"/>
  <c r="Q170" i="1"/>
  <c r="Y171" i="1"/>
  <c r="Z171" i="1" s="1"/>
  <c r="Q174" i="1"/>
  <c r="Y175" i="1"/>
  <c r="Z175" i="1" s="1"/>
  <c r="Y180" i="1"/>
  <c r="Z180" i="1" s="1"/>
  <c r="Q178" i="1"/>
  <c r="Q183" i="1"/>
  <c r="Y184" i="1"/>
  <c r="Z184" i="1" s="1"/>
  <c r="Q187" i="1"/>
  <c r="Y188" i="1"/>
  <c r="Z188" i="1" s="1"/>
  <c r="Q191" i="1"/>
  <c r="Y192" i="1"/>
  <c r="Z192" i="1" s="1"/>
  <c r="Q196" i="1"/>
  <c r="Y168" i="1"/>
  <c r="Z168" i="1" s="1"/>
  <c r="Q164" i="1"/>
  <c r="Y179" i="1"/>
  <c r="Z179" i="1" s="1"/>
  <c r="Y197" i="1"/>
  <c r="Z197" i="1" s="1"/>
  <c r="Q200" i="1"/>
  <c r="Q163" i="1"/>
  <c r="Y165" i="1"/>
  <c r="Z165" i="1" s="1"/>
  <c r="Q169" i="1"/>
  <c r="Y170" i="1"/>
  <c r="Z170" i="1" s="1"/>
  <c r="Q173" i="1"/>
  <c r="Y174" i="1"/>
  <c r="Z174" i="1" s="1"/>
  <c r="Q177" i="1"/>
  <c r="Q195" i="1"/>
  <c r="Q162" i="1"/>
  <c r="Y178" i="1"/>
  <c r="Z178" i="1" s="1"/>
  <c r="Q182" i="1"/>
  <c r="Y183" i="1"/>
  <c r="Z183" i="1" s="1"/>
  <c r="Q186" i="1"/>
  <c r="Y187" i="1"/>
  <c r="Z187" i="1" s="1"/>
  <c r="Q190" i="1"/>
  <c r="Y191" i="1"/>
  <c r="Z191" i="1" s="1"/>
  <c r="Y196" i="1"/>
  <c r="Z196" i="1" s="1"/>
  <c r="Q168" i="1"/>
  <c r="Y163" i="1"/>
  <c r="Z163" i="1" s="1"/>
  <c r="Y169" i="1"/>
  <c r="Z169" i="1" s="1"/>
  <c r="Q172" i="1"/>
  <c r="Y173" i="1"/>
  <c r="Z173" i="1" s="1"/>
  <c r="Q176" i="1"/>
  <c r="Y177" i="1"/>
  <c r="Z177" i="1" s="1"/>
  <c r="Y195" i="1"/>
  <c r="Z195" i="1" s="1"/>
  <c r="Y164" i="1"/>
  <c r="Z164" i="1" s="1"/>
  <c r="Q194" i="1"/>
  <c r="Q199" i="1"/>
  <c r="Y200" i="1"/>
  <c r="Z200" i="1" s="1"/>
  <c r="Y162" i="1"/>
  <c r="Z162" i="1" s="1"/>
  <c r="Q167" i="1"/>
  <c r="Q181" i="1"/>
  <c r="Y182" i="1"/>
  <c r="Z182" i="1" s="1"/>
  <c r="Q185" i="1"/>
  <c r="Y186" i="1"/>
  <c r="Z186" i="1" s="1"/>
  <c r="Q189" i="1"/>
  <c r="Y190" i="1"/>
  <c r="Z190" i="1" s="1"/>
  <c r="Q193" i="1"/>
  <c r="Y194" i="1"/>
  <c r="Z194" i="1" s="1"/>
  <c r="Q198" i="1"/>
  <c r="Y199" i="1"/>
  <c r="Z199" i="1" s="1"/>
  <c r="Q166" i="1"/>
  <c r="Q171" i="1"/>
  <c r="Y172" i="1"/>
  <c r="Z172" i="1" s="1"/>
  <c r="Q175" i="1"/>
  <c r="Y176" i="1"/>
  <c r="Z176" i="1" s="1"/>
  <c r="Q180" i="1"/>
  <c r="Y167" i="1"/>
  <c r="Z167" i="1" s="1"/>
  <c r="Y181" i="1"/>
  <c r="Z181" i="1" s="1"/>
  <c r="Q184" i="1"/>
  <c r="Y185" i="1"/>
  <c r="Z185" i="1" s="1"/>
  <c r="Q188" i="1"/>
  <c r="Y189" i="1"/>
  <c r="Z189" i="1" s="1"/>
  <c r="Q192" i="1"/>
  <c r="Q79" i="1"/>
  <c r="Q97" i="1"/>
  <c r="Y98" i="1"/>
  <c r="Z98" i="1" s="1"/>
  <c r="Q65" i="1"/>
  <c r="Y66" i="1"/>
  <c r="Z66" i="1" s="1"/>
  <c r="Q70" i="1"/>
  <c r="Y71" i="1"/>
  <c r="Z71" i="1" s="1"/>
  <c r="Q74" i="1"/>
  <c r="Y75" i="1"/>
  <c r="Z75" i="1" s="1"/>
  <c r="Y80" i="1"/>
  <c r="Z80" i="1" s="1"/>
  <c r="Q78" i="1"/>
  <c r="Q83" i="1"/>
  <c r="Y84" i="1"/>
  <c r="Z84" i="1" s="1"/>
  <c r="Q87" i="1"/>
  <c r="Y88" i="1"/>
  <c r="Z88" i="1" s="1"/>
  <c r="Q91" i="1"/>
  <c r="Y92" i="1"/>
  <c r="Z92" i="1" s="1"/>
  <c r="Q96" i="1"/>
  <c r="Q64" i="1"/>
  <c r="Y79" i="1"/>
  <c r="Z79" i="1" s="1"/>
  <c r="Y97" i="1"/>
  <c r="Z97" i="1" s="1"/>
  <c r="Q100" i="1"/>
  <c r="Q63" i="1"/>
  <c r="Y65" i="1"/>
  <c r="Z65" i="1" s="1"/>
  <c r="Q69" i="1"/>
  <c r="Y70" i="1"/>
  <c r="Z70" i="1" s="1"/>
  <c r="Q73" i="1"/>
  <c r="Y74" i="1"/>
  <c r="Z74" i="1" s="1"/>
  <c r="Q77" i="1"/>
  <c r="Q95" i="1"/>
  <c r="Q62" i="1"/>
  <c r="Y78" i="1"/>
  <c r="Z78" i="1" s="1"/>
  <c r="Q82" i="1"/>
  <c r="Y83" i="1"/>
  <c r="Z83" i="1" s="1"/>
  <c r="Q86" i="1"/>
  <c r="Y87" i="1"/>
  <c r="Z87" i="1" s="1"/>
  <c r="Q90" i="1"/>
  <c r="Y91" i="1"/>
  <c r="Z91" i="1" s="1"/>
  <c r="Y96" i="1"/>
  <c r="Z96" i="1" s="1"/>
  <c r="Y64" i="1"/>
  <c r="Z64" i="1" s="1"/>
  <c r="Q68" i="1"/>
  <c r="Q94" i="1"/>
  <c r="Q99" i="1"/>
  <c r="Y100" i="1"/>
  <c r="Z100" i="1" s="1"/>
  <c r="Y63" i="1"/>
  <c r="Z63" i="1" s="1"/>
  <c r="Y69" i="1"/>
  <c r="Z69" i="1" s="1"/>
  <c r="Q72" i="1"/>
  <c r="Y73" i="1"/>
  <c r="Z73" i="1" s="1"/>
  <c r="Q76" i="1"/>
  <c r="Y77" i="1"/>
  <c r="Z77" i="1" s="1"/>
  <c r="Y95" i="1"/>
  <c r="Z95" i="1" s="1"/>
  <c r="Y62" i="1"/>
  <c r="Z62" i="1" s="1"/>
  <c r="Q67" i="1"/>
  <c r="Q81" i="1"/>
  <c r="Y82" i="1"/>
  <c r="Z82" i="1" s="1"/>
  <c r="Q85" i="1"/>
  <c r="Y86" i="1"/>
  <c r="Z86" i="1" s="1"/>
  <c r="Q89" i="1"/>
  <c r="Y90" i="1"/>
  <c r="Z90" i="1" s="1"/>
  <c r="Q93" i="1"/>
  <c r="Y68" i="1"/>
  <c r="Z68" i="1" s="1"/>
  <c r="Y94" i="1"/>
  <c r="Z94" i="1" s="1"/>
  <c r="Q98" i="1"/>
  <c r="Y99" i="1"/>
  <c r="Z99" i="1" s="1"/>
  <c r="Q66" i="1"/>
  <c r="Q71" i="1"/>
  <c r="Y72" i="1"/>
  <c r="Z72" i="1" s="1"/>
  <c r="Q75" i="1"/>
  <c r="Y76" i="1"/>
  <c r="Z76" i="1" s="1"/>
  <c r="Q80" i="1"/>
  <c r="Y67" i="1"/>
  <c r="Z67" i="1" s="1"/>
  <c r="Y81" i="1"/>
  <c r="Z81" i="1" s="1"/>
  <c r="Q84" i="1"/>
  <c r="Y85" i="1"/>
  <c r="Z85" i="1" s="1"/>
  <c r="Q88" i="1"/>
  <c r="Y89" i="1"/>
  <c r="Z89" i="1" s="1"/>
  <c r="Q92" i="1"/>
  <c r="AP906" i="1" l="1"/>
  <c r="AQ906" i="1" s="1"/>
  <c r="AP905" i="1"/>
  <c r="AQ905" i="1" s="1"/>
  <c r="AP910" i="1"/>
  <c r="AQ910" i="1" s="1"/>
  <c r="AP904" i="1"/>
  <c r="AQ904" i="1" s="1"/>
  <c r="AR901" i="1" s="1"/>
  <c r="AP907" i="1"/>
  <c r="AQ907" i="1" s="1"/>
  <c r="BE901" i="1"/>
  <c r="BL901" i="1" s="1"/>
  <c r="BA901" i="1"/>
  <c r="BK901" i="1" s="1"/>
  <c r="BJ901" i="1"/>
  <c r="AT878" i="1"/>
  <c r="AF785" i="1"/>
  <c r="AT821" i="1"/>
  <c r="AF878" i="1"/>
  <c r="AF822" i="1"/>
  <c r="AN822" i="1" s="1"/>
  <c r="AF772" i="1"/>
  <c r="AO772" i="1" s="1"/>
  <c r="AT777" i="1"/>
  <c r="AV777" i="1" s="1"/>
  <c r="AT793" i="1"/>
  <c r="AV793" i="1" s="1"/>
  <c r="AF802" i="1"/>
  <c r="AN802" i="1" s="1"/>
  <c r="AF773" i="1"/>
  <c r="AN773" i="1" s="1"/>
  <c r="AT807" i="1"/>
  <c r="AF229" i="1"/>
  <c r="AO229" i="1" s="1"/>
  <c r="Z229" i="1"/>
  <c r="AT229" i="1" s="1"/>
  <c r="AF478" i="1"/>
  <c r="AN478" i="1" s="1"/>
  <c r="Z478" i="1"/>
  <c r="AT478" i="1" s="1"/>
  <c r="AF677" i="1"/>
  <c r="AN677" i="1" s="1"/>
  <c r="Z677" i="1"/>
  <c r="AT677" i="1" s="1"/>
  <c r="AF223" i="1"/>
  <c r="AO223" i="1" s="1"/>
  <c r="Z223" i="1"/>
  <c r="AF214" i="1"/>
  <c r="AN214" i="1" s="1"/>
  <c r="Z214" i="1"/>
  <c r="AT214" i="1" s="1"/>
  <c r="AF243" i="1"/>
  <c r="AO243" i="1" s="1"/>
  <c r="Z243" i="1"/>
  <c r="AT243" i="1" s="1"/>
  <c r="AF267" i="1"/>
  <c r="AO267" i="1" s="1"/>
  <c r="Z267" i="1"/>
  <c r="AT267" i="1" s="1"/>
  <c r="AF539" i="1"/>
  <c r="AN539" i="1" s="1"/>
  <c r="Z539" i="1"/>
  <c r="AT539" i="1" s="1"/>
  <c r="AF627" i="1"/>
  <c r="AO627" i="1" s="1"/>
  <c r="Z627" i="1"/>
  <c r="AT627" i="1" s="1"/>
  <c r="AF193" i="1"/>
  <c r="Z193" i="1"/>
  <c r="AT193" i="1" s="1"/>
  <c r="AF648" i="1"/>
  <c r="AO648" i="1" s="1"/>
  <c r="Z648" i="1"/>
  <c r="AT648" i="1" s="1"/>
  <c r="AF868" i="1"/>
  <c r="AN868" i="1" s="1"/>
  <c r="Z868" i="1"/>
  <c r="AT868" i="1" s="1"/>
  <c r="AF814" i="1"/>
  <c r="AN814" i="1" s="1"/>
  <c r="Z814" i="1"/>
  <c r="AT814" i="1" s="1"/>
  <c r="AV814" i="1" s="1"/>
  <c r="AF261" i="1"/>
  <c r="AN261" i="1" s="1"/>
  <c r="Z261" i="1"/>
  <c r="AT261" i="1" s="1"/>
  <c r="AF472" i="1"/>
  <c r="AO472" i="1" s="1"/>
  <c r="Z472" i="1"/>
  <c r="AT472" i="1" s="1"/>
  <c r="AF476" i="1"/>
  <c r="AO476" i="1" s="1"/>
  <c r="Z476" i="1"/>
  <c r="AT476" i="1" s="1"/>
  <c r="AF540" i="1"/>
  <c r="AN540" i="1" s="1"/>
  <c r="Z540" i="1"/>
  <c r="AT540" i="1" s="1"/>
  <c r="AF579" i="1"/>
  <c r="AO579" i="1" s="1"/>
  <c r="Z579" i="1"/>
  <c r="AT579" i="1" s="1"/>
  <c r="AF640" i="1"/>
  <c r="AO640" i="1" s="1"/>
  <c r="Z640" i="1"/>
  <c r="AT640" i="1" s="1"/>
  <c r="AF642" i="1"/>
  <c r="AN642" i="1" s="1"/>
  <c r="Z642" i="1"/>
  <c r="AT642" i="1" s="1"/>
  <c r="AF669" i="1"/>
  <c r="AN669" i="1" s="1"/>
  <c r="Z669" i="1"/>
  <c r="AT669" i="1" s="1"/>
  <c r="AF465" i="1"/>
  <c r="AN465" i="1" s="1"/>
  <c r="Z465" i="1"/>
  <c r="AT465" i="1" s="1"/>
  <c r="AF838" i="1"/>
  <c r="AO838" i="1" s="1"/>
  <c r="AT884" i="1"/>
  <c r="AV884" i="1" s="1"/>
  <c r="AF873" i="1"/>
  <c r="AN873" i="1" s="1"/>
  <c r="Z873" i="1"/>
  <c r="AT873" i="1" s="1"/>
  <c r="AF852" i="1"/>
  <c r="AO852" i="1" s="1"/>
  <c r="Z852" i="1"/>
  <c r="AF624" i="1"/>
  <c r="AN624" i="1" s="1"/>
  <c r="Z624" i="1"/>
  <c r="AT624" i="1" s="1"/>
  <c r="AF236" i="1"/>
  <c r="AN236" i="1" s="1"/>
  <c r="Z236" i="1"/>
  <c r="AT236" i="1" s="1"/>
  <c r="AF778" i="1"/>
  <c r="AN778" i="1" s="1"/>
  <c r="Z778" i="1"/>
  <c r="AT778" i="1" s="1"/>
  <c r="AF876" i="1"/>
  <c r="AO876" i="1" s="1"/>
  <c r="Z876" i="1"/>
  <c r="AT876" i="1" s="1"/>
  <c r="AF835" i="1"/>
  <c r="AN835" i="1" s="1"/>
  <c r="Z835" i="1"/>
  <c r="AT835" i="1" s="1"/>
  <c r="AF819" i="1"/>
  <c r="AN819" i="1" s="1"/>
  <c r="Z819" i="1"/>
  <c r="AF790" i="1"/>
  <c r="AN790" i="1" s="1"/>
  <c r="Z790" i="1"/>
  <c r="AF663" i="1"/>
  <c r="AO663" i="1" s="1"/>
  <c r="Z663" i="1"/>
  <c r="AT663" i="1" s="1"/>
  <c r="AF864" i="1"/>
  <c r="AO864" i="1" s="1"/>
  <c r="Z864" i="1"/>
  <c r="AT864" i="1" s="1"/>
  <c r="AV864" i="1" s="1"/>
  <c r="AF865" i="1"/>
  <c r="AN865" i="1" s="1"/>
  <c r="Z865" i="1"/>
  <c r="AT865" i="1" s="1"/>
  <c r="AV865" i="1" s="1"/>
  <c r="AT809" i="1"/>
  <c r="AV809" i="1" s="1"/>
  <c r="AF853" i="1"/>
  <c r="AO853" i="1" s="1"/>
  <c r="Z853" i="1"/>
  <c r="AT853" i="1" s="1"/>
  <c r="AV853" i="1" s="1"/>
  <c r="AF786" i="1"/>
  <c r="AN786" i="1" s="1"/>
  <c r="Z786" i="1"/>
  <c r="AT786" i="1" s="1"/>
  <c r="AF774" i="1"/>
  <c r="AO774" i="1" s="1"/>
  <c r="Z774" i="1"/>
  <c r="AT774" i="1" s="1"/>
  <c r="AV774" i="1" s="1"/>
  <c r="AF641" i="1"/>
  <c r="AO641" i="1" s="1"/>
  <c r="Z641" i="1"/>
  <c r="AT641" i="1" s="1"/>
  <c r="AF780" i="1"/>
  <c r="AO780" i="1" s="1"/>
  <c r="Z780" i="1"/>
  <c r="AT780" i="1" s="1"/>
  <c r="AT885" i="1"/>
  <c r="AV885" i="1" s="1"/>
  <c r="AF828" i="1"/>
  <c r="AO828" i="1" s="1"/>
  <c r="Z828" i="1"/>
  <c r="AT828" i="1" s="1"/>
  <c r="AF499" i="1"/>
  <c r="AO499" i="1" s="1"/>
  <c r="Z499" i="1"/>
  <c r="AT499" i="1" s="1"/>
  <c r="AF582" i="1"/>
  <c r="AN582" i="1" s="1"/>
  <c r="Z582" i="1"/>
  <c r="AT582" i="1" s="1"/>
  <c r="AF818" i="1"/>
  <c r="AO818" i="1" s="1"/>
  <c r="AF837" i="1"/>
  <c r="AO837" i="1" s="1"/>
  <c r="Z837" i="1"/>
  <c r="AT837" i="1" s="1"/>
  <c r="AV837" i="1" s="1"/>
  <c r="AF879" i="1"/>
  <c r="AO879" i="1" s="1"/>
  <c r="Z879" i="1"/>
  <c r="AT879" i="1" s="1"/>
  <c r="AV879" i="1" s="1"/>
  <c r="AF247" i="1"/>
  <c r="AO247" i="1" s="1"/>
  <c r="Z247" i="1"/>
  <c r="AT247" i="1" s="1"/>
  <c r="AF227" i="1"/>
  <c r="AN227" i="1" s="1"/>
  <c r="Z227" i="1"/>
  <c r="AT227" i="1" s="1"/>
  <c r="AF522" i="1"/>
  <c r="AN522" i="1" s="1"/>
  <c r="Z522" i="1"/>
  <c r="AT522" i="1" s="1"/>
  <c r="AF638" i="1"/>
  <c r="AO638" i="1" s="1"/>
  <c r="Z638" i="1"/>
  <c r="AT638" i="1" s="1"/>
  <c r="AF475" i="1"/>
  <c r="AN475" i="1" s="1"/>
  <c r="Z475" i="1"/>
  <c r="AT475" i="1" s="1"/>
  <c r="AF636" i="1"/>
  <c r="AN636" i="1" s="1"/>
  <c r="Z636" i="1"/>
  <c r="AT636" i="1" s="1"/>
  <c r="AF519" i="1"/>
  <c r="AO519" i="1" s="1"/>
  <c r="Z519" i="1"/>
  <c r="AT519" i="1" s="1"/>
  <c r="AF212" i="1"/>
  <c r="AO212" i="1" s="1"/>
  <c r="Z212" i="1"/>
  <c r="AT212" i="1" s="1"/>
  <c r="AF437" i="1"/>
  <c r="AN437" i="1" s="1"/>
  <c r="Z437" i="1"/>
  <c r="AT437" i="1" s="1"/>
  <c r="AF589" i="1"/>
  <c r="AO589" i="1" s="1"/>
  <c r="Z589" i="1"/>
  <c r="AT589" i="1" s="1"/>
  <c r="AF612" i="1"/>
  <c r="AO612" i="1" s="1"/>
  <c r="Z612" i="1"/>
  <c r="AT612" i="1" s="1"/>
  <c r="AF274" i="1"/>
  <c r="AO274" i="1" s="1"/>
  <c r="Z274" i="1"/>
  <c r="AT274" i="1" s="1"/>
  <c r="AF284" i="1"/>
  <c r="AO284" i="1" s="1"/>
  <c r="Z284" i="1"/>
  <c r="AT284" i="1" s="1"/>
  <c r="AF264" i="1"/>
  <c r="AO264" i="1" s="1"/>
  <c r="Z264" i="1"/>
  <c r="AT264" i="1" s="1"/>
  <c r="AF362" i="1"/>
  <c r="AO362" i="1" s="1"/>
  <c r="Z362" i="1"/>
  <c r="AT362" i="1" s="1"/>
  <c r="AF595" i="1"/>
  <c r="AO595" i="1" s="1"/>
  <c r="Z595" i="1"/>
  <c r="AT595" i="1" s="1"/>
  <c r="AF615" i="1"/>
  <c r="AN615" i="1" s="1"/>
  <c r="Z615" i="1"/>
  <c r="AT615" i="1" s="1"/>
  <c r="AF700" i="1"/>
  <c r="AO700" i="1" s="1"/>
  <c r="Z700" i="1"/>
  <c r="AT700" i="1" s="1"/>
  <c r="AF729" i="1"/>
  <c r="AN729" i="1" s="1"/>
  <c r="Z729" i="1"/>
  <c r="AF293" i="1"/>
  <c r="AO293" i="1" s="1"/>
  <c r="Z293" i="1"/>
  <c r="AT293" i="1" s="1"/>
  <c r="AF576" i="1"/>
  <c r="AN576" i="1" s="1"/>
  <c r="Z576" i="1"/>
  <c r="AT576" i="1" s="1"/>
  <c r="AF804" i="1"/>
  <c r="AO804" i="1" s="1"/>
  <c r="AT815" i="1"/>
  <c r="AV815" i="1" s="1"/>
  <c r="Z783" i="1"/>
  <c r="AT783" i="1" s="1"/>
  <c r="AV783" i="1" s="1"/>
  <c r="AF817" i="1"/>
  <c r="AO817" i="1" s="1"/>
  <c r="Z817" i="1"/>
  <c r="AT817" i="1" s="1"/>
  <c r="AV817" i="1" s="1"/>
  <c r="AF234" i="1"/>
  <c r="AN234" i="1" s="1"/>
  <c r="Z234" i="1"/>
  <c r="AT234" i="1" s="1"/>
  <c r="AF289" i="1"/>
  <c r="AO289" i="1" s="1"/>
  <c r="Z289" i="1"/>
  <c r="AT289" i="1" s="1"/>
  <c r="AF717" i="1"/>
  <c r="AO717" i="1" s="1"/>
  <c r="Z717" i="1"/>
  <c r="AT717" i="1" s="1"/>
  <c r="AF367" i="1"/>
  <c r="AO367" i="1" s="1"/>
  <c r="Z367" i="1"/>
  <c r="AT367" i="1" s="1"/>
  <c r="AF573" i="1"/>
  <c r="AN573" i="1" s="1"/>
  <c r="Z573" i="1"/>
  <c r="AT573" i="1" s="1"/>
  <c r="AF564" i="1"/>
  <c r="AO564" i="1" s="1"/>
  <c r="Z564" i="1"/>
  <c r="AT564" i="1" s="1"/>
  <c r="AF633" i="1"/>
  <c r="AO633" i="1" s="1"/>
  <c r="Z633" i="1"/>
  <c r="AT633" i="1" s="1"/>
  <c r="AF248" i="1"/>
  <c r="AO248" i="1" s="1"/>
  <c r="Z248" i="1"/>
  <c r="AT248" i="1" s="1"/>
  <c r="AF270" i="1"/>
  <c r="AO270" i="1" s="1"/>
  <c r="Z270" i="1"/>
  <c r="AT270" i="1" s="1"/>
  <c r="AF619" i="1"/>
  <c r="AN619" i="1" s="1"/>
  <c r="Z619" i="1"/>
  <c r="AT619" i="1" s="1"/>
  <c r="AF232" i="1"/>
  <c r="AO232" i="1" s="1"/>
  <c r="Z232" i="1"/>
  <c r="AT232" i="1" s="1"/>
  <c r="AF373" i="1"/>
  <c r="AO373" i="1" s="1"/>
  <c r="Z373" i="1"/>
  <c r="AT373" i="1" s="1"/>
  <c r="AF512" i="1"/>
  <c r="AN512" i="1" s="1"/>
  <c r="Z512" i="1"/>
  <c r="AT512" i="1" s="1"/>
  <c r="AF637" i="1"/>
  <c r="AN637" i="1" s="1"/>
  <c r="Z637" i="1"/>
  <c r="AT637" i="1" s="1"/>
  <c r="AF628" i="1"/>
  <c r="AO628" i="1" s="1"/>
  <c r="Z628" i="1"/>
  <c r="AT628" i="1" s="1"/>
  <c r="AF620" i="1"/>
  <c r="AN620" i="1" s="1"/>
  <c r="Z620" i="1"/>
  <c r="AT620" i="1" s="1"/>
  <c r="AF866" i="1"/>
  <c r="AN866" i="1" s="1"/>
  <c r="AF807" i="1"/>
  <c r="AO807" i="1" s="1"/>
  <c r="AF816" i="1"/>
  <c r="AO816" i="1" s="1"/>
  <c r="Z816" i="1"/>
  <c r="AF890" i="1"/>
  <c r="AO890" i="1" s="1"/>
  <c r="Z890" i="1"/>
  <c r="AT890" i="1" s="1"/>
  <c r="AF803" i="1"/>
  <c r="AO803" i="1" s="1"/>
  <c r="Z803" i="1"/>
  <c r="AT803" i="1" s="1"/>
  <c r="AT877" i="1"/>
  <c r="AV877" i="1" s="1"/>
  <c r="AT787" i="1"/>
  <c r="AV787" i="1" s="1"/>
  <c r="AT279" i="1"/>
  <c r="AT228" i="1"/>
  <c r="AT240" i="1"/>
  <c r="AF801" i="1"/>
  <c r="AN801" i="1" s="1"/>
  <c r="AT662" i="1"/>
  <c r="AT445" i="1"/>
  <c r="AT233" i="1"/>
  <c r="AT772" i="1"/>
  <c r="AV772" i="1" s="1"/>
  <c r="AT829" i="1"/>
  <c r="AV829" i="1" s="1"/>
  <c r="AT776" i="1"/>
  <c r="AV776" i="1" s="1"/>
  <c r="AF830" i="1"/>
  <c r="AN830" i="1" s="1"/>
  <c r="AT830" i="1"/>
  <c r="AV830" i="1" s="1"/>
  <c r="AT773" i="1"/>
  <c r="AV773" i="1" s="1"/>
  <c r="AT496" i="1"/>
  <c r="AT473" i="1"/>
  <c r="AT241" i="1"/>
  <c r="AT380" i="1"/>
  <c r="AT806" i="1"/>
  <c r="AV806" i="1" s="1"/>
  <c r="AT263" i="1"/>
  <c r="AT469" i="1"/>
  <c r="AT623" i="1"/>
  <c r="AT276" i="1"/>
  <c r="AT245" i="1"/>
  <c r="AT632" i="1"/>
  <c r="AT870" i="1"/>
  <c r="AV870" i="1" s="1"/>
  <c r="AT838" i="1"/>
  <c r="AV838" i="1" s="1"/>
  <c r="AT220" i="1"/>
  <c r="AT377" i="1"/>
  <c r="AT224" i="1"/>
  <c r="AT273" i="1"/>
  <c r="AT393" i="1"/>
  <c r="AT673" i="1"/>
  <c r="AT246" i="1"/>
  <c r="AT237" i="1"/>
  <c r="AT568" i="1"/>
  <c r="AT831" i="1"/>
  <c r="AT886" i="1"/>
  <c r="AV886" i="1" s="1"/>
  <c r="AF787" i="1"/>
  <c r="AN787" i="1" s="1"/>
  <c r="AT732" i="1"/>
  <c r="AT498" i="1"/>
  <c r="AT242" i="1"/>
  <c r="AT536" i="1"/>
  <c r="AT810" i="1"/>
  <c r="AV810" i="1" s="1"/>
  <c r="AT614" i="1"/>
  <c r="AT613" i="1"/>
  <c r="AT441" i="1"/>
  <c r="AT802" i="1"/>
  <c r="AV802" i="1" s="1"/>
  <c r="AT825" i="1"/>
  <c r="AV825" i="1" s="1"/>
  <c r="AT565" i="1"/>
  <c r="AT634" i="1"/>
  <c r="AT818" i="1"/>
  <c r="AV818" i="1" s="1"/>
  <c r="AF393" i="1"/>
  <c r="AN393" i="1" s="1"/>
  <c r="AT213" i="1"/>
  <c r="AT238" i="1"/>
  <c r="AT733" i="1"/>
  <c r="AT643" i="1"/>
  <c r="AT379" i="1"/>
  <c r="AT523" i="1"/>
  <c r="AF809" i="1"/>
  <c r="AN809" i="1" s="1"/>
  <c r="AT789" i="1"/>
  <c r="AV789" i="1" s="1"/>
  <c r="AT219" i="1"/>
  <c r="AT597" i="1"/>
  <c r="AT277" i="1"/>
  <c r="AT820" i="1"/>
  <c r="AV820" i="1" s="1"/>
  <c r="AF810" i="1"/>
  <c r="AO810" i="1" s="1"/>
  <c r="AT782" i="1"/>
  <c r="AV782" i="1" s="1"/>
  <c r="AT801" i="1"/>
  <c r="AV801" i="1" s="1"/>
  <c r="AT805" i="1"/>
  <c r="AV805" i="1" s="1"/>
  <c r="AT174" i="1"/>
  <c r="AT215" i="1"/>
  <c r="AT93" i="1"/>
  <c r="AT629" i="1"/>
  <c r="AT513" i="1"/>
  <c r="AT832" i="1"/>
  <c r="AT804" i="1"/>
  <c r="AV804" i="1" s="1"/>
  <c r="AT799" i="1"/>
  <c r="AV799" i="1" s="1"/>
  <c r="AT785" i="1"/>
  <c r="AV785" i="1" s="1"/>
  <c r="AT866" i="1"/>
  <c r="AV866" i="1" s="1"/>
  <c r="AT822" i="1"/>
  <c r="AV822" i="1" s="1"/>
  <c r="AT889" i="1"/>
  <c r="AV889" i="1" s="1"/>
  <c r="AF777" i="1"/>
  <c r="AN777" i="1" s="1"/>
  <c r="AF782" i="1"/>
  <c r="AO782" i="1" s="1"/>
  <c r="AF820" i="1"/>
  <c r="AN820" i="1" s="1"/>
  <c r="AV862" i="1"/>
  <c r="AV878" i="1"/>
  <c r="AF877" i="1"/>
  <c r="AO877" i="1" s="1"/>
  <c r="AF783" i="1"/>
  <c r="AO783" i="1" s="1"/>
  <c r="AF862" i="1"/>
  <c r="AO862" i="1" s="1"/>
  <c r="AF793" i="1"/>
  <c r="AO793" i="1" s="1"/>
  <c r="AF829" i="1"/>
  <c r="AO829" i="1" s="1"/>
  <c r="AF885" i="1"/>
  <c r="AN885" i="1" s="1"/>
  <c r="Q211" i="1"/>
  <c r="AF815" i="1"/>
  <c r="AO815" i="1" s="1"/>
  <c r="AF377" i="1"/>
  <c r="AN377" i="1" s="1"/>
  <c r="AF634" i="1"/>
  <c r="AN634" i="1" s="1"/>
  <c r="AF568" i="1"/>
  <c r="AO568" i="1" s="1"/>
  <c r="AT816" i="1"/>
  <c r="AV816" i="1" s="1"/>
  <c r="AF889" i="1"/>
  <c r="AN889" i="1" s="1"/>
  <c r="AF279" i="1"/>
  <c r="AO279" i="1" s="1"/>
  <c r="AN879" i="1"/>
  <c r="AF776" i="1"/>
  <c r="AN776" i="1" s="1"/>
  <c r="AF805" i="1"/>
  <c r="AO805" i="1" s="1"/>
  <c r="AF825" i="1"/>
  <c r="AN825" i="1" s="1"/>
  <c r="AF806" i="1"/>
  <c r="AN806" i="1" s="1"/>
  <c r="AF799" i="1"/>
  <c r="AN799" i="1" s="1"/>
  <c r="AF215" i="1"/>
  <c r="AO215" i="1" s="1"/>
  <c r="AF662" i="1"/>
  <c r="AN662" i="1" s="1"/>
  <c r="AT882" i="1"/>
  <c r="AV821" i="1"/>
  <c r="AF795" i="1"/>
  <c r="AO795" i="1" s="1"/>
  <c r="AF821" i="1"/>
  <c r="AN821" i="1" s="1"/>
  <c r="AF673" i="1"/>
  <c r="AN673" i="1" s="1"/>
  <c r="AF242" i="1"/>
  <c r="AN242" i="1" s="1"/>
  <c r="AF643" i="1"/>
  <c r="AO643" i="1" s="1"/>
  <c r="AF597" i="1"/>
  <c r="AO597" i="1" s="1"/>
  <c r="AF733" i="1"/>
  <c r="AO733" i="1" s="1"/>
  <c r="AF882" i="1"/>
  <c r="AN882" i="1" s="1"/>
  <c r="AF791" i="1"/>
  <c r="AO791" i="1" s="1"/>
  <c r="AF245" i="1"/>
  <c r="AO245" i="1" s="1"/>
  <c r="AF831" i="1"/>
  <c r="AN831" i="1" s="1"/>
  <c r="AF843" i="1"/>
  <c r="AO843" i="1" s="1"/>
  <c r="AF732" i="1"/>
  <c r="AO732" i="1" s="1"/>
  <c r="AV807" i="1"/>
  <c r="AF847" i="1"/>
  <c r="AN847" i="1" s="1"/>
  <c r="AF834" i="1"/>
  <c r="AO834" i="1" s="1"/>
  <c r="AF832" i="1"/>
  <c r="AO832" i="1" s="1"/>
  <c r="AO884" i="1"/>
  <c r="AN884" i="1"/>
  <c r="AN772" i="1"/>
  <c r="AF867" i="1"/>
  <c r="AT867" i="1"/>
  <c r="AF858" i="1"/>
  <c r="AO886" i="1"/>
  <c r="AN886" i="1"/>
  <c r="AN785" i="1"/>
  <c r="AO785" i="1"/>
  <c r="AF789" i="1"/>
  <c r="AN870" i="1"/>
  <c r="AO870" i="1"/>
  <c r="AF794" i="1"/>
  <c r="AO878" i="1"/>
  <c r="AN878" i="1"/>
  <c r="AT851" i="1"/>
  <c r="AF851" i="1"/>
  <c r="AF788" i="1"/>
  <c r="AF849" i="1"/>
  <c r="AF441" i="1"/>
  <c r="AO441" i="1" s="1"/>
  <c r="AF887" i="1"/>
  <c r="AF844" i="1"/>
  <c r="AT844" i="1"/>
  <c r="AT855" i="1"/>
  <c r="AF855" i="1"/>
  <c r="AT779" i="1"/>
  <c r="AF779" i="1"/>
  <c r="AT775" i="1"/>
  <c r="AF775" i="1"/>
  <c r="AF854" i="1"/>
  <c r="AF857" i="1"/>
  <c r="AT784" i="1"/>
  <c r="AF784" i="1"/>
  <c r="AT812" i="1"/>
  <c r="AF812" i="1"/>
  <c r="AF796" i="1"/>
  <c r="AT796" i="1"/>
  <c r="AF813" i="1"/>
  <c r="AT813" i="1"/>
  <c r="AF880" i="1"/>
  <c r="AF827" i="1"/>
  <c r="AT800" i="1"/>
  <c r="AF800" i="1"/>
  <c r="AF823" i="1"/>
  <c r="AF848" i="1"/>
  <c r="AT861" i="1"/>
  <c r="AF861" i="1"/>
  <c r="AT833" i="1"/>
  <c r="AF833" i="1"/>
  <c r="AF811" i="1"/>
  <c r="AF883" i="1"/>
  <c r="AT859" i="1"/>
  <c r="AF859" i="1"/>
  <c r="AT781" i="1"/>
  <c r="AF781" i="1"/>
  <c r="AF771" i="1"/>
  <c r="AF836" i="1"/>
  <c r="AF839" i="1"/>
  <c r="AF871" i="1"/>
  <c r="AF808" i="1"/>
  <c r="AT872" i="1"/>
  <c r="AF872" i="1"/>
  <c r="AT846" i="1"/>
  <c r="AF846" i="1"/>
  <c r="AT845" i="1"/>
  <c r="AF845" i="1"/>
  <c r="AF842" i="1"/>
  <c r="AF856" i="1"/>
  <c r="AT856" i="1"/>
  <c r="AT826" i="1"/>
  <c r="AF826" i="1"/>
  <c r="AF841" i="1"/>
  <c r="AT863" i="1"/>
  <c r="AF863" i="1"/>
  <c r="AT850" i="1"/>
  <c r="AF850" i="1"/>
  <c r="AF536" i="1"/>
  <c r="AN536" i="1" s="1"/>
  <c r="AF632" i="1"/>
  <c r="AO632" i="1" s="1"/>
  <c r="AT824" i="1"/>
  <c r="AF824" i="1"/>
  <c r="AT869" i="1"/>
  <c r="AF869" i="1"/>
  <c r="AT874" i="1"/>
  <c r="AF874" i="1"/>
  <c r="AF798" i="1"/>
  <c r="AF881" i="1"/>
  <c r="AF840" i="1"/>
  <c r="AT840" i="1"/>
  <c r="AF792" i="1"/>
  <c r="AT792" i="1"/>
  <c r="AF888" i="1"/>
  <c r="AF797" i="1"/>
  <c r="AF220" i="1"/>
  <c r="AN220" i="1" s="1"/>
  <c r="AF860" i="1"/>
  <c r="AT875" i="1"/>
  <c r="AF875" i="1"/>
  <c r="AF93" i="1"/>
  <c r="AO93" i="1" s="1"/>
  <c r="Q611" i="1"/>
  <c r="AF498" i="1"/>
  <c r="AN498" i="1" s="1"/>
  <c r="AF469" i="1"/>
  <c r="AO469" i="1" s="1"/>
  <c r="AT729" i="1"/>
  <c r="AF513" i="1"/>
  <c r="AO513" i="1" s="1"/>
  <c r="AF263" i="1"/>
  <c r="AN263" i="1" s="1"/>
  <c r="AF277" i="1"/>
  <c r="AO277" i="1" s="1"/>
  <c r="AF224" i="1"/>
  <c r="AN224" i="1" s="1"/>
  <c r="Y211" i="1"/>
  <c r="AF276" i="1"/>
  <c r="AN276" i="1" s="1"/>
  <c r="AF496" i="1"/>
  <c r="AO496" i="1" s="1"/>
  <c r="AF623" i="1"/>
  <c r="AO623" i="1" s="1"/>
  <c r="AF614" i="1"/>
  <c r="AN614" i="1" s="1"/>
  <c r="AF380" i="1"/>
  <c r="AN380" i="1" s="1"/>
  <c r="AF379" i="1"/>
  <c r="AO379" i="1" s="1"/>
  <c r="AF238" i="1"/>
  <c r="AN238" i="1" s="1"/>
  <c r="AT223" i="1"/>
  <c r="AF246" i="1"/>
  <c r="AN246" i="1" s="1"/>
  <c r="AF240" i="1"/>
  <c r="AN240" i="1" s="1"/>
  <c r="Y411" i="1"/>
  <c r="AF233" i="1"/>
  <c r="AO233" i="1" s="1"/>
  <c r="AF219" i="1"/>
  <c r="AO219" i="1" s="1"/>
  <c r="AF273" i="1"/>
  <c r="AO273" i="1" s="1"/>
  <c r="AF213" i="1"/>
  <c r="AN213" i="1" s="1"/>
  <c r="AF611" i="1"/>
  <c r="AO611" i="1" s="1"/>
  <c r="AF613" i="1"/>
  <c r="AO613" i="1" s="1"/>
  <c r="AF629" i="1"/>
  <c r="AO629" i="1" s="1"/>
  <c r="AT647" i="1"/>
  <c r="AF647" i="1"/>
  <c r="AO647" i="1" s="1"/>
  <c r="AF473" i="1"/>
  <c r="AN473" i="1" s="1"/>
  <c r="AF485" i="1"/>
  <c r="AT485" i="1"/>
  <c r="AF445" i="1"/>
  <c r="AO445" i="1" s="1"/>
  <c r="AT266" i="1"/>
  <c r="AF266" i="1"/>
  <c r="AO266" i="1" s="1"/>
  <c r="AF228" i="1"/>
  <c r="AF241" i="1"/>
  <c r="AO241" i="1" s="1"/>
  <c r="AF237" i="1"/>
  <c r="AN237" i="1" s="1"/>
  <c r="AF736" i="1"/>
  <c r="AT736" i="1"/>
  <c r="AF679" i="1"/>
  <c r="AT679" i="1"/>
  <c r="AF744" i="1"/>
  <c r="AT744" i="1"/>
  <c r="AF672" i="1"/>
  <c r="AT672" i="1"/>
  <c r="AF694" i="1"/>
  <c r="AT694" i="1"/>
  <c r="AF681" i="1"/>
  <c r="AT681" i="1"/>
  <c r="AF698" i="1"/>
  <c r="AT698" i="1"/>
  <c r="AF670" i="1"/>
  <c r="AT670" i="1"/>
  <c r="AF741" i="1"/>
  <c r="AT741" i="1"/>
  <c r="AT723" i="1"/>
  <c r="AF723" i="1"/>
  <c r="AF737" i="1"/>
  <c r="AT737" i="1"/>
  <c r="AT719" i="1"/>
  <c r="AF719" i="1"/>
  <c r="AF693" i="1"/>
  <c r="AT693" i="1"/>
  <c r="AT690" i="1"/>
  <c r="AF690" i="1"/>
  <c r="AF740" i="1"/>
  <c r="AT740" i="1"/>
  <c r="AT726" i="1"/>
  <c r="AF726" i="1"/>
  <c r="AF665" i="1"/>
  <c r="AT665" i="1"/>
  <c r="Y661" i="1"/>
  <c r="Z661" i="1" s="1"/>
  <c r="Q661" i="1"/>
  <c r="Y711" i="1"/>
  <c r="Z711" i="1" s="1"/>
  <c r="Q711" i="1"/>
  <c r="AF728" i="1"/>
  <c r="AT728" i="1"/>
  <c r="AF712" i="1"/>
  <c r="AT712" i="1"/>
  <c r="AF691" i="1"/>
  <c r="AT691" i="1"/>
  <c r="AF725" i="1"/>
  <c r="AT725" i="1"/>
  <c r="AF674" i="1"/>
  <c r="AT674" i="1"/>
  <c r="AF689" i="1"/>
  <c r="AT689" i="1"/>
  <c r="AF667" i="1"/>
  <c r="AT667" i="1"/>
  <c r="AF745" i="1"/>
  <c r="AT745" i="1"/>
  <c r="AF724" i="1"/>
  <c r="AT724" i="1"/>
  <c r="AT687" i="1"/>
  <c r="AF687" i="1"/>
  <c r="AF696" i="1"/>
  <c r="AT696" i="1"/>
  <c r="AF731" i="1"/>
  <c r="AT731" i="1"/>
  <c r="AF680" i="1"/>
  <c r="AT680" i="1"/>
  <c r="AF722" i="1"/>
  <c r="AT722" i="1"/>
  <c r="AF682" i="1"/>
  <c r="AT682" i="1"/>
  <c r="AF686" i="1"/>
  <c r="AT686" i="1"/>
  <c r="AT695" i="1"/>
  <c r="AF695" i="1"/>
  <c r="AT720" i="1"/>
  <c r="AF720" i="1"/>
  <c r="AF675" i="1"/>
  <c r="AT675" i="1"/>
  <c r="AF748" i="1"/>
  <c r="AT748" i="1"/>
  <c r="AT715" i="1"/>
  <c r="AF715" i="1"/>
  <c r="AT683" i="1"/>
  <c r="AF683" i="1"/>
  <c r="AF730" i="1"/>
  <c r="AT730" i="1"/>
  <c r="AF735" i="1"/>
  <c r="AT735" i="1"/>
  <c r="AF714" i="1"/>
  <c r="AT714" i="1"/>
  <c r="AF676" i="1"/>
  <c r="AT676" i="1"/>
  <c r="AF750" i="1"/>
  <c r="AT750" i="1"/>
  <c r="AF727" i="1"/>
  <c r="AT727" i="1"/>
  <c r="AF688" i="1"/>
  <c r="AT688" i="1"/>
  <c r="AF747" i="1"/>
  <c r="AT747" i="1"/>
  <c r="AF734" i="1"/>
  <c r="AT734" i="1"/>
  <c r="AF671" i="1"/>
  <c r="AT671" i="1"/>
  <c r="AF697" i="1"/>
  <c r="AT697" i="1"/>
  <c r="AT721" i="1"/>
  <c r="AF721" i="1"/>
  <c r="AT678" i="1"/>
  <c r="AF678" i="1"/>
  <c r="AF749" i="1"/>
  <c r="AT749" i="1"/>
  <c r="AF738" i="1"/>
  <c r="AT738" i="1"/>
  <c r="AF739" i="1"/>
  <c r="AT739" i="1"/>
  <c r="AF718" i="1"/>
  <c r="AT718" i="1"/>
  <c r="AF699" i="1"/>
  <c r="AT699" i="1"/>
  <c r="AF684" i="1"/>
  <c r="AT684" i="1"/>
  <c r="AT742" i="1"/>
  <c r="AF742" i="1"/>
  <c r="AF666" i="1"/>
  <c r="AT666" i="1"/>
  <c r="AT692" i="1"/>
  <c r="AF692" i="1"/>
  <c r="AF664" i="1"/>
  <c r="AT664" i="1"/>
  <c r="AT713" i="1"/>
  <c r="AF713" i="1"/>
  <c r="AF746" i="1"/>
  <c r="AT746" i="1"/>
  <c r="AF743" i="1"/>
  <c r="AT743" i="1"/>
  <c r="AF716" i="1"/>
  <c r="AT716" i="1"/>
  <c r="AF685" i="1"/>
  <c r="AT685" i="1"/>
  <c r="AT668" i="1"/>
  <c r="AF668" i="1"/>
  <c r="AF639" i="1"/>
  <c r="AT639" i="1"/>
  <c r="AT626" i="1"/>
  <c r="AF626" i="1"/>
  <c r="Q561" i="1"/>
  <c r="Y561" i="1"/>
  <c r="Z561" i="1" s="1"/>
  <c r="AT599" i="1"/>
  <c r="AF599" i="1"/>
  <c r="AT480" i="1"/>
  <c r="AF480" i="1"/>
  <c r="AT550" i="1"/>
  <c r="AF550" i="1"/>
  <c r="AT515" i="1"/>
  <c r="AF515" i="1"/>
  <c r="AT537" i="1"/>
  <c r="AF537" i="1"/>
  <c r="AT495" i="1"/>
  <c r="AF495" i="1"/>
  <c r="AF497" i="1"/>
  <c r="AT497" i="1"/>
  <c r="AF463" i="1"/>
  <c r="AT463" i="1"/>
  <c r="AF487" i="1"/>
  <c r="AT487" i="1"/>
  <c r="AT488" i="1"/>
  <c r="AF488" i="1"/>
  <c r="AF616" i="1"/>
  <c r="AT616" i="1"/>
  <c r="AF585" i="1"/>
  <c r="AT585" i="1"/>
  <c r="AF584" i="1"/>
  <c r="AT584" i="1"/>
  <c r="AF548" i="1"/>
  <c r="AT548" i="1"/>
  <c r="AO540" i="1"/>
  <c r="AF470" i="1"/>
  <c r="AT470" i="1"/>
  <c r="AF534" i="1"/>
  <c r="AT534" i="1"/>
  <c r="AF545" i="1"/>
  <c r="AT545" i="1"/>
  <c r="AF479" i="1"/>
  <c r="AT479" i="1"/>
  <c r="AT650" i="1"/>
  <c r="AF650" i="1"/>
  <c r="AF645" i="1"/>
  <c r="AT645" i="1"/>
  <c r="AT520" i="1"/>
  <c r="AF520" i="1"/>
  <c r="AF590" i="1"/>
  <c r="AT590" i="1"/>
  <c r="AT514" i="1"/>
  <c r="AF514" i="1"/>
  <c r="AT524" i="1"/>
  <c r="AF524" i="1"/>
  <c r="AF530" i="1"/>
  <c r="AT530" i="1"/>
  <c r="AF649" i="1"/>
  <c r="AT649" i="1"/>
  <c r="AF593" i="1"/>
  <c r="AT593" i="1"/>
  <c r="AF565" i="1"/>
  <c r="AT566" i="1"/>
  <c r="AF566" i="1"/>
  <c r="AF592" i="1"/>
  <c r="AT592" i="1"/>
  <c r="AF586" i="1"/>
  <c r="AT586" i="1"/>
  <c r="Y511" i="1"/>
  <c r="Z511" i="1" s="1"/>
  <c r="Q511" i="1"/>
  <c r="AF486" i="1"/>
  <c r="AT486" i="1"/>
  <c r="AF525" i="1"/>
  <c r="AT525" i="1"/>
  <c r="AF481" i="1"/>
  <c r="AT481" i="1"/>
  <c r="AF527" i="1"/>
  <c r="AT527" i="1"/>
  <c r="AO478" i="1"/>
  <c r="AT541" i="1"/>
  <c r="AF541" i="1"/>
  <c r="AF538" i="1"/>
  <c r="AT538" i="1"/>
  <c r="AF532" i="1"/>
  <c r="AT532" i="1"/>
  <c r="AF617" i="1"/>
  <c r="AT617" i="1"/>
  <c r="AO636" i="1"/>
  <c r="AF563" i="1"/>
  <c r="AT563" i="1"/>
  <c r="AF578" i="1"/>
  <c r="AT578" i="1"/>
  <c r="AT531" i="1"/>
  <c r="AF531" i="1"/>
  <c r="Y461" i="1"/>
  <c r="Z461" i="1" s="1"/>
  <c r="Q461" i="1"/>
  <c r="AF542" i="1"/>
  <c r="AT542" i="1"/>
  <c r="AT562" i="1"/>
  <c r="AF562" i="1"/>
  <c r="AT467" i="1"/>
  <c r="AF467" i="1"/>
  <c r="AF644" i="1"/>
  <c r="AT644" i="1"/>
  <c r="AF630" i="1"/>
  <c r="AT630" i="1"/>
  <c r="AF570" i="1"/>
  <c r="AT570" i="1"/>
  <c r="AT571" i="1"/>
  <c r="AF571" i="1"/>
  <c r="AF587" i="1"/>
  <c r="AT587" i="1"/>
  <c r="AF572" i="1"/>
  <c r="AT572" i="1"/>
  <c r="AF526" i="1"/>
  <c r="AT526" i="1"/>
  <c r="AT494" i="1"/>
  <c r="AF494" i="1"/>
  <c r="AF490" i="1"/>
  <c r="AT490" i="1"/>
  <c r="AF517" i="1"/>
  <c r="AT517" i="1"/>
  <c r="AF484" i="1"/>
  <c r="AT484" i="1"/>
  <c r="AF518" i="1"/>
  <c r="AT518" i="1"/>
  <c r="AF466" i="1"/>
  <c r="AT466" i="1"/>
  <c r="AF635" i="1"/>
  <c r="AT635" i="1"/>
  <c r="AT549" i="1"/>
  <c r="AF549" i="1"/>
  <c r="AF625" i="1"/>
  <c r="AT625" i="1"/>
  <c r="AT591" i="1"/>
  <c r="AF591" i="1"/>
  <c r="AF523" i="1"/>
  <c r="AT528" i="1"/>
  <c r="AF528" i="1"/>
  <c r="AT477" i="1"/>
  <c r="AF477" i="1"/>
  <c r="AF474" i="1"/>
  <c r="AT474" i="1"/>
  <c r="AF544" i="1"/>
  <c r="AT544" i="1"/>
  <c r="AF588" i="1"/>
  <c r="AT588" i="1"/>
  <c r="AF543" i="1"/>
  <c r="AT543" i="1"/>
  <c r="AT546" i="1"/>
  <c r="AF546" i="1"/>
  <c r="AF581" i="1"/>
  <c r="AT581" i="1"/>
  <c r="AT596" i="1"/>
  <c r="AF596" i="1"/>
  <c r="AT574" i="1"/>
  <c r="AF574" i="1"/>
  <c r="AT575" i="1"/>
  <c r="AF575" i="1"/>
  <c r="AF516" i="1"/>
  <c r="AT516" i="1"/>
  <c r="AF529" i="1"/>
  <c r="AT529" i="1"/>
  <c r="AF489" i="1"/>
  <c r="AT489" i="1"/>
  <c r="AF464" i="1"/>
  <c r="AT464" i="1"/>
  <c r="AF535" i="1"/>
  <c r="AT535" i="1"/>
  <c r="AT622" i="1"/>
  <c r="AF622" i="1"/>
  <c r="AF600" i="1"/>
  <c r="AT600" i="1"/>
  <c r="AF521" i="1"/>
  <c r="AT521" i="1"/>
  <c r="AF482" i="1"/>
  <c r="AT482" i="1"/>
  <c r="AF631" i="1"/>
  <c r="AT631" i="1"/>
  <c r="AF621" i="1"/>
  <c r="AT621" i="1"/>
  <c r="AF569" i="1"/>
  <c r="AT569" i="1"/>
  <c r="AT580" i="1"/>
  <c r="AF580" i="1"/>
  <c r="AT483" i="1"/>
  <c r="AF483" i="1"/>
  <c r="AF547" i="1"/>
  <c r="AT547" i="1"/>
  <c r="AT533" i="1"/>
  <c r="AF533" i="1"/>
  <c r="AF500" i="1"/>
  <c r="AT500" i="1"/>
  <c r="AF471" i="1"/>
  <c r="AT471" i="1"/>
  <c r="AF492" i="1"/>
  <c r="AT492" i="1"/>
  <c r="AF598" i="1"/>
  <c r="AT598" i="1"/>
  <c r="AT594" i="1"/>
  <c r="AF594" i="1"/>
  <c r="AF618" i="1"/>
  <c r="AT618" i="1"/>
  <c r="AF646" i="1"/>
  <c r="AT646" i="1"/>
  <c r="AT577" i="1"/>
  <c r="AF577" i="1"/>
  <c r="AT583" i="1"/>
  <c r="AF583" i="1"/>
  <c r="AF567" i="1"/>
  <c r="AT567" i="1"/>
  <c r="AF491" i="1"/>
  <c r="AT491" i="1"/>
  <c r="AF462" i="1"/>
  <c r="AT462" i="1"/>
  <c r="AF468" i="1"/>
  <c r="AT468" i="1"/>
  <c r="AF493" i="1"/>
  <c r="AT493" i="1"/>
  <c r="AF363" i="1"/>
  <c r="AT363" i="1"/>
  <c r="AF394" i="1"/>
  <c r="AT394" i="1"/>
  <c r="AF428" i="1"/>
  <c r="AT428" i="1"/>
  <c r="AF412" i="1"/>
  <c r="AT412" i="1"/>
  <c r="AF382" i="1"/>
  <c r="AT382" i="1"/>
  <c r="AF323" i="1"/>
  <c r="AT323" i="1"/>
  <c r="AF414" i="1"/>
  <c r="AT414" i="1"/>
  <c r="AT430" i="1"/>
  <c r="AF430" i="1"/>
  <c r="AT426" i="1"/>
  <c r="AF426" i="1"/>
  <c r="AF390" i="1"/>
  <c r="AT390" i="1"/>
  <c r="AF400" i="1"/>
  <c r="AT400" i="1"/>
  <c r="AF378" i="1"/>
  <c r="AT378" i="1"/>
  <c r="AF388" i="1"/>
  <c r="AT388" i="1"/>
  <c r="AO261" i="1"/>
  <c r="AF314" i="1"/>
  <c r="AT314" i="1"/>
  <c r="AF316" i="1"/>
  <c r="AT316" i="1"/>
  <c r="AF449" i="1"/>
  <c r="AT449" i="1"/>
  <c r="Y361" i="1"/>
  <c r="Z361" i="1" s="1"/>
  <c r="Q361" i="1"/>
  <c r="AT285" i="1"/>
  <c r="AF285" i="1"/>
  <c r="AF364" i="1"/>
  <c r="AT364" i="1"/>
  <c r="AF278" i="1"/>
  <c r="AT278" i="1"/>
  <c r="AF275" i="1"/>
  <c r="AT275" i="1"/>
  <c r="AF344" i="1"/>
  <c r="AT344" i="1"/>
  <c r="AT315" i="1"/>
  <c r="AF315" i="1"/>
  <c r="AT330" i="1"/>
  <c r="AF330" i="1"/>
  <c r="AF334" i="1"/>
  <c r="AT334" i="1"/>
  <c r="AF332" i="1"/>
  <c r="AT332" i="1"/>
  <c r="AF415" i="1"/>
  <c r="AT415" i="1"/>
  <c r="AF432" i="1"/>
  <c r="AT432" i="1"/>
  <c r="AF417" i="1"/>
  <c r="AT417" i="1"/>
  <c r="AF376" i="1"/>
  <c r="AT376" i="1"/>
  <c r="AT369" i="1"/>
  <c r="AF369" i="1"/>
  <c r="AF383" i="1"/>
  <c r="AT383" i="1"/>
  <c r="AF392" i="1"/>
  <c r="AT392" i="1"/>
  <c r="AF280" i="1"/>
  <c r="AT280" i="1"/>
  <c r="AF282" i="1"/>
  <c r="AT282" i="1"/>
  <c r="AF326" i="1"/>
  <c r="AT326" i="1"/>
  <c r="AF347" i="1"/>
  <c r="AT347" i="1"/>
  <c r="AT325" i="1"/>
  <c r="AF325" i="1"/>
  <c r="AF321" i="1"/>
  <c r="AT321" i="1"/>
  <c r="AF341" i="1"/>
  <c r="AT341" i="1"/>
  <c r="AF431" i="1"/>
  <c r="AT431" i="1"/>
  <c r="AF389" i="1"/>
  <c r="AT389" i="1"/>
  <c r="AT372" i="1"/>
  <c r="AF372" i="1"/>
  <c r="AF265" i="1"/>
  <c r="AT265" i="1"/>
  <c r="AF272" i="1"/>
  <c r="AT272" i="1"/>
  <c r="AF317" i="1"/>
  <c r="AT317" i="1"/>
  <c r="AF340" i="1"/>
  <c r="AT340" i="1"/>
  <c r="AT320" i="1"/>
  <c r="AF320" i="1"/>
  <c r="AF331" i="1"/>
  <c r="AT331" i="1"/>
  <c r="AF338" i="1"/>
  <c r="AT338" i="1"/>
  <c r="AF292" i="1"/>
  <c r="AT292" i="1"/>
  <c r="AT423" i="1"/>
  <c r="AF423" i="1"/>
  <c r="AF381" i="1"/>
  <c r="AT381" i="1"/>
  <c r="AF448" i="1"/>
  <c r="AT448" i="1"/>
  <c r="AF438" i="1"/>
  <c r="AT438" i="1"/>
  <c r="AF435" i="1"/>
  <c r="AT435" i="1"/>
  <c r="AF291" i="1"/>
  <c r="AT291" i="1"/>
  <c r="AT269" i="1"/>
  <c r="AF269" i="1"/>
  <c r="AF346" i="1"/>
  <c r="AT346" i="1"/>
  <c r="AF319" i="1"/>
  <c r="AT319" i="1"/>
  <c r="AT324" i="1"/>
  <c r="AF324" i="1"/>
  <c r="AF335" i="1"/>
  <c r="AT335" i="1"/>
  <c r="AF342" i="1"/>
  <c r="AT342" i="1"/>
  <c r="AF327" i="1"/>
  <c r="AT327" i="1"/>
  <c r="AF424" i="1"/>
  <c r="AT424" i="1"/>
  <c r="AF436" i="1"/>
  <c r="AT436" i="1"/>
  <c r="AT385" i="1"/>
  <c r="AF385" i="1"/>
  <c r="AF286" i="1"/>
  <c r="AT286" i="1"/>
  <c r="AF440" i="1"/>
  <c r="AT440" i="1"/>
  <c r="AF399" i="1"/>
  <c r="AT399" i="1"/>
  <c r="AF395" i="1"/>
  <c r="AT395" i="1"/>
  <c r="AF365" i="1"/>
  <c r="AT365" i="1"/>
  <c r="AF391" i="1"/>
  <c r="AT391" i="1"/>
  <c r="AF271" i="1"/>
  <c r="AT271" i="1"/>
  <c r="AF296" i="1"/>
  <c r="AT296" i="1"/>
  <c r="AT290" i="1"/>
  <c r="AF290" i="1"/>
  <c r="AF298" i="1"/>
  <c r="AT298" i="1"/>
  <c r="AF318" i="1"/>
  <c r="AT318" i="1"/>
  <c r="AF336" i="1"/>
  <c r="AT336" i="1"/>
  <c r="AF333" i="1"/>
  <c r="AT333" i="1"/>
  <c r="AT422" i="1"/>
  <c r="AF422" i="1"/>
  <c r="AF384" i="1"/>
  <c r="AT384" i="1"/>
  <c r="AF446" i="1"/>
  <c r="AT446" i="1"/>
  <c r="AF434" i="1"/>
  <c r="AT434" i="1"/>
  <c r="AT371" i="1"/>
  <c r="AF371" i="1"/>
  <c r="AF387" i="1"/>
  <c r="AT387" i="1"/>
  <c r="AT283" i="1"/>
  <c r="AF283" i="1"/>
  <c r="AF418" i="1"/>
  <c r="AT418" i="1"/>
  <c r="AT416" i="1"/>
  <c r="AF416" i="1"/>
  <c r="AF442" i="1"/>
  <c r="AT442" i="1"/>
  <c r="AF439" i="1"/>
  <c r="AT439" i="1"/>
  <c r="AT366" i="1"/>
  <c r="AF366" i="1"/>
  <c r="AT375" i="1"/>
  <c r="AF375" i="1"/>
  <c r="AF396" i="1"/>
  <c r="AT396" i="1"/>
  <c r="AF268" i="1"/>
  <c r="AT268" i="1"/>
  <c r="AF287" i="1"/>
  <c r="AT287" i="1"/>
  <c r="Q311" i="1"/>
  <c r="Y311" i="1"/>
  <c r="Z311" i="1" s="1"/>
  <c r="AF322" i="1"/>
  <c r="AT322" i="1"/>
  <c r="AT349" i="1"/>
  <c r="AF349" i="1"/>
  <c r="AT339" i="1"/>
  <c r="AF339" i="1"/>
  <c r="AT427" i="1"/>
  <c r="AF427" i="1"/>
  <c r="AF450" i="1"/>
  <c r="AT450" i="1"/>
  <c r="AF368" i="1"/>
  <c r="AT368" i="1"/>
  <c r="AT295" i="1"/>
  <c r="AF295" i="1"/>
  <c r="AF348" i="1"/>
  <c r="AT348" i="1"/>
  <c r="AF420" i="1"/>
  <c r="AT420" i="1"/>
  <c r="AT425" i="1"/>
  <c r="AF425" i="1"/>
  <c r="AF397" i="1"/>
  <c r="AT397" i="1"/>
  <c r="AF288" i="1"/>
  <c r="AT288" i="1"/>
  <c r="AF262" i="1"/>
  <c r="AT262" i="1"/>
  <c r="AF281" i="1"/>
  <c r="AT281" i="1"/>
  <c r="AF447" i="1"/>
  <c r="AT447" i="1"/>
  <c r="AF374" i="1"/>
  <c r="AT374" i="1"/>
  <c r="AF297" i="1"/>
  <c r="AT297" i="1"/>
  <c r="AN284" i="1"/>
  <c r="AF312" i="1"/>
  <c r="AT312" i="1"/>
  <c r="AF328" i="1"/>
  <c r="AT328" i="1"/>
  <c r="AF313" i="1"/>
  <c r="AT313" i="1"/>
  <c r="AT337" i="1"/>
  <c r="AF337" i="1"/>
  <c r="AT413" i="1"/>
  <c r="AF413" i="1"/>
  <c r="AT419" i="1"/>
  <c r="AF419" i="1"/>
  <c r="AF398" i="1"/>
  <c r="AT398" i="1"/>
  <c r="AF444" i="1"/>
  <c r="AT444" i="1"/>
  <c r="AF433" i="1"/>
  <c r="AT433" i="1"/>
  <c r="AF429" i="1"/>
  <c r="AT429" i="1"/>
  <c r="AT421" i="1"/>
  <c r="AF421" i="1"/>
  <c r="AF443" i="1"/>
  <c r="AT443" i="1"/>
  <c r="AF386" i="1"/>
  <c r="AT386" i="1"/>
  <c r="AF370" i="1"/>
  <c r="AT370" i="1"/>
  <c r="AT294" i="1"/>
  <c r="AF294" i="1"/>
  <c r="AF299" i="1"/>
  <c r="AT299" i="1"/>
  <c r="AF300" i="1"/>
  <c r="AT300" i="1"/>
  <c r="AF329" i="1"/>
  <c r="AT329" i="1"/>
  <c r="AF350" i="1"/>
  <c r="AT350" i="1"/>
  <c r="AT345" i="1"/>
  <c r="AF345" i="1"/>
  <c r="AF343" i="1"/>
  <c r="AT343" i="1"/>
  <c r="AF244" i="1"/>
  <c r="AT244" i="1"/>
  <c r="AN248" i="1"/>
  <c r="AF216" i="1"/>
  <c r="AT216" i="1"/>
  <c r="AT226" i="1"/>
  <c r="AF226" i="1"/>
  <c r="AN247" i="1"/>
  <c r="AF231" i="1"/>
  <c r="AT231" i="1"/>
  <c r="AF230" i="1"/>
  <c r="AT230" i="1"/>
  <c r="AF217" i="1"/>
  <c r="AT217" i="1"/>
  <c r="AF218" i="1"/>
  <c r="AT218" i="1"/>
  <c r="AF250" i="1"/>
  <c r="AT250" i="1"/>
  <c r="AF225" i="1"/>
  <c r="AT225" i="1"/>
  <c r="AT222" i="1"/>
  <c r="AF222" i="1"/>
  <c r="AF249" i="1"/>
  <c r="AT249" i="1"/>
  <c r="AF239" i="1"/>
  <c r="AT239" i="1"/>
  <c r="AF235" i="1"/>
  <c r="AT235" i="1"/>
  <c r="AF221" i="1"/>
  <c r="AT221" i="1"/>
  <c r="AF185" i="1"/>
  <c r="AT185" i="1"/>
  <c r="AT163" i="1"/>
  <c r="AF163" i="1"/>
  <c r="AF180" i="1"/>
  <c r="AT180" i="1"/>
  <c r="AF162" i="1"/>
  <c r="AT162" i="1"/>
  <c r="AF199" i="1"/>
  <c r="AT199" i="1"/>
  <c r="AF168" i="1"/>
  <c r="AT168" i="1"/>
  <c r="AF167" i="1"/>
  <c r="AT167" i="1"/>
  <c r="AF171" i="1"/>
  <c r="AT171" i="1"/>
  <c r="AF194" i="1"/>
  <c r="AT194" i="1"/>
  <c r="AF174" i="1"/>
  <c r="AF192" i="1"/>
  <c r="AT192" i="1"/>
  <c r="AT169" i="1"/>
  <c r="AF169" i="1"/>
  <c r="AF179" i="1"/>
  <c r="AT179" i="1"/>
  <c r="AF181" i="1"/>
  <c r="AT181" i="1"/>
  <c r="AF196" i="1"/>
  <c r="AT196" i="1"/>
  <c r="AF164" i="1"/>
  <c r="AT164" i="1"/>
  <c r="AF187" i="1"/>
  <c r="AT187" i="1"/>
  <c r="AF166" i="1"/>
  <c r="AT166" i="1"/>
  <c r="AF197" i="1"/>
  <c r="AT197" i="1"/>
  <c r="AF190" i="1"/>
  <c r="AT190" i="1"/>
  <c r="AF195" i="1"/>
  <c r="AT195" i="1"/>
  <c r="AF170" i="1"/>
  <c r="AT170" i="1"/>
  <c r="AF188" i="1"/>
  <c r="AT188" i="1"/>
  <c r="AO193" i="1"/>
  <c r="AN193" i="1"/>
  <c r="AT172" i="1"/>
  <c r="AF172" i="1"/>
  <c r="AF175" i="1"/>
  <c r="AT175" i="1"/>
  <c r="AF200" i="1"/>
  <c r="AT200" i="1"/>
  <c r="AF191" i="1"/>
  <c r="AT191" i="1"/>
  <c r="AF177" i="1"/>
  <c r="AT177" i="1"/>
  <c r="AT183" i="1"/>
  <c r="AF183" i="1"/>
  <c r="AF198" i="1"/>
  <c r="AT198" i="1"/>
  <c r="AF186" i="1"/>
  <c r="AT186" i="1"/>
  <c r="AF165" i="1"/>
  <c r="AT165" i="1"/>
  <c r="AF184" i="1"/>
  <c r="AT184" i="1"/>
  <c r="AF189" i="1"/>
  <c r="AT189" i="1"/>
  <c r="AT176" i="1"/>
  <c r="AF176" i="1"/>
  <c r="AT173" i="1"/>
  <c r="AF173" i="1"/>
  <c r="AF178" i="1"/>
  <c r="AT178" i="1"/>
  <c r="AF182" i="1"/>
  <c r="AT182" i="1"/>
  <c r="Y161" i="1"/>
  <c r="Z161" i="1" s="1"/>
  <c r="Q161" i="1"/>
  <c r="AF64" i="1"/>
  <c r="AT64" i="1"/>
  <c r="AF69" i="1"/>
  <c r="AT69" i="1"/>
  <c r="AF96" i="1"/>
  <c r="AT96" i="1"/>
  <c r="AF97" i="1"/>
  <c r="AT97" i="1"/>
  <c r="AF63" i="1"/>
  <c r="AT63" i="1"/>
  <c r="AF91" i="1"/>
  <c r="AT91" i="1"/>
  <c r="AF84" i="1"/>
  <c r="AT84" i="1"/>
  <c r="AF66" i="1"/>
  <c r="AT66" i="1"/>
  <c r="AF68" i="1"/>
  <c r="AT68" i="1"/>
  <c r="AF100" i="1"/>
  <c r="AT100" i="1"/>
  <c r="AF88" i="1"/>
  <c r="AT88" i="1"/>
  <c r="AF89" i="1"/>
  <c r="AT89" i="1"/>
  <c r="AT76" i="1"/>
  <c r="AF76" i="1"/>
  <c r="AF87" i="1"/>
  <c r="AT87" i="1"/>
  <c r="AF74" i="1"/>
  <c r="AT74" i="1"/>
  <c r="AF79" i="1"/>
  <c r="AT79" i="1"/>
  <c r="AF98" i="1"/>
  <c r="AT98" i="1"/>
  <c r="AF85" i="1"/>
  <c r="AT85" i="1"/>
  <c r="AT72" i="1"/>
  <c r="AF72" i="1"/>
  <c r="AF90" i="1"/>
  <c r="AT90" i="1"/>
  <c r="AF62" i="1"/>
  <c r="AT62" i="1"/>
  <c r="AF83" i="1"/>
  <c r="AT83" i="1"/>
  <c r="AF70" i="1"/>
  <c r="AT70" i="1"/>
  <c r="AF81" i="1"/>
  <c r="AT81" i="1"/>
  <c r="AF86" i="1"/>
  <c r="AT86" i="1"/>
  <c r="AF95" i="1"/>
  <c r="AT95" i="1"/>
  <c r="AF78" i="1"/>
  <c r="AT78" i="1"/>
  <c r="AF80" i="1"/>
  <c r="AT80" i="1"/>
  <c r="AF99" i="1"/>
  <c r="AT99" i="1"/>
  <c r="AF77" i="1"/>
  <c r="AT77" i="1"/>
  <c r="AF65" i="1"/>
  <c r="AT65" i="1"/>
  <c r="AF75" i="1"/>
  <c r="AT75" i="1"/>
  <c r="AF67" i="1"/>
  <c r="AT67" i="1"/>
  <c r="AF82" i="1"/>
  <c r="AT82" i="1"/>
  <c r="AF92" i="1"/>
  <c r="AT92" i="1"/>
  <c r="AF94" i="1"/>
  <c r="AT94" i="1"/>
  <c r="AF73" i="1"/>
  <c r="AT73" i="1"/>
  <c r="Y61" i="1"/>
  <c r="Z61" i="1" s="1"/>
  <c r="Q61" i="1"/>
  <c r="AF71" i="1"/>
  <c r="AT71" i="1"/>
  <c r="AO214" i="1" l="1"/>
  <c r="AN638" i="1"/>
  <c r="AN627" i="1"/>
  <c r="AN243" i="1"/>
  <c r="AO465" i="1"/>
  <c r="AP465" i="1" s="1"/>
  <c r="AQ465" i="1" s="1"/>
  <c r="AO624" i="1"/>
  <c r="AO669" i="1"/>
  <c r="AP669" i="1" s="1"/>
  <c r="AQ669" i="1" s="1"/>
  <c r="AN579" i="1"/>
  <c r="AP579" i="1" s="1"/>
  <c r="AQ579" i="1" s="1"/>
  <c r="AN245" i="1"/>
  <c r="AP245" i="1" s="1"/>
  <c r="AQ245" i="1" s="1"/>
  <c r="AN595" i="1"/>
  <c r="AP595" i="1" s="1"/>
  <c r="AQ595" i="1" s="1"/>
  <c r="AO822" i="1"/>
  <c r="AN267" i="1"/>
  <c r="AP267" i="1" s="1"/>
  <c r="AQ267" i="1" s="1"/>
  <c r="AN803" i="1"/>
  <c r="AN274" i="1"/>
  <c r="AP274" i="1" s="1"/>
  <c r="AQ274" i="1" s="1"/>
  <c r="AN717" i="1"/>
  <c r="AP717" i="1" s="1"/>
  <c r="AQ717" i="1" s="1"/>
  <c r="AO236" i="1"/>
  <c r="AP236" i="1" s="1"/>
  <c r="AQ236" i="1" s="1"/>
  <c r="AO576" i="1"/>
  <c r="AP576" i="1" s="1"/>
  <c r="AQ576" i="1" s="1"/>
  <c r="AN472" i="1"/>
  <c r="AN373" i="1"/>
  <c r="AP373" i="1" s="1"/>
  <c r="AQ373" i="1" s="1"/>
  <c r="AO620" i="1"/>
  <c r="AP620" i="1" s="1"/>
  <c r="AQ620" i="1" s="1"/>
  <c r="AN817" i="1"/>
  <c r="AP817" i="1" s="1"/>
  <c r="AQ817" i="1" s="1"/>
  <c r="AO835" i="1"/>
  <c r="AN877" i="1"/>
  <c r="AP877" i="1" s="1"/>
  <c r="AQ877" i="1" s="1"/>
  <c r="AO809" i="1"/>
  <c r="AN568" i="1"/>
  <c r="AP568" i="1" s="1"/>
  <c r="AQ568" i="1" s="1"/>
  <c r="AN641" i="1"/>
  <c r="AP641" i="1" s="1"/>
  <c r="AQ641" i="1" s="1"/>
  <c r="AO673" i="1"/>
  <c r="AP673" i="1" s="1"/>
  <c r="AQ673" i="1" s="1"/>
  <c r="AO802" i="1"/>
  <c r="AP802" i="1" s="1"/>
  <c r="AQ802" i="1" s="1"/>
  <c r="AN223" i="1"/>
  <c r="AP223" i="1" s="1"/>
  <c r="AQ223" i="1" s="1"/>
  <c r="AO615" i="1"/>
  <c r="AO393" i="1"/>
  <c r="AP393" i="1" s="1"/>
  <c r="AQ393" i="1" s="1"/>
  <c r="AO522" i="1"/>
  <c r="AP522" i="1" s="1"/>
  <c r="AQ522" i="1" s="1"/>
  <c r="AN828" i="1"/>
  <c r="AN499" i="1"/>
  <c r="AP499" i="1" s="1"/>
  <c r="AQ499" i="1" s="1"/>
  <c r="AO677" i="1"/>
  <c r="AP677" i="1" s="1"/>
  <c r="AQ677" i="1" s="1"/>
  <c r="AO819" i="1"/>
  <c r="AP819" i="1" s="1"/>
  <c r="AQ819" i="1" s="1"/>
  <c r="AN367" i="1"/>
  <c r="AP367" i="1" s="1"/>
  <c r="AQ367" i="1" s="1"/>
  <c r="AN648" i="1"/>
  <c r="AP648" i="1" s="1"/>
  <c r="AQ648" i="1" s="1"/>
  <c r="AN640" i="1"/>
  <c r="AP640" i="1" s="1"/>
  <c r="AQ640" i="1" s="1"/>
  <c r="AO637" i="1"/>
  <c r="AP637" i="1" s="1"/>
  <c r="AQ637" i="1" s="1"/>
  <c r="AO512" i="1"/>
  <c r="AP512" i="1" s="1"/>
  <c r="AQ512" i="1" s="1"/>
  <c r="AO662" i="1"/>
  <c r="AP662" i="1" s="1"/>
  <c r="AQ662" i="1" s="1"/>
  <c r="AO790" i="1"/>
  <c r="AP790" i="1" s="1"/>
  <c r="AQ790" i="1" s="1"/>
  <c r="AN864" i="1"/>
  <c r="AP864" i="1" s="1"/>
  <c r="AQ864" i="1" s="1"/>
  <c r="AN838" i="1"/>
  <c r="AP838" i="1" s="1"/>
  <c r="AQ838" i="1" s="1"/>
  <c r="AO865" i="1"/>
  <c r="AN293" i="1"/>
  <c r="AP293" i="1" s="1"/>
  <c r="AQ293" i="1" s="1"/>
  <c r="AO539" i="1"/>
  <c r="AP539" i="1" s="1"/>
  <c r="AQ539" i="1" s="1"/>
  <c r="AN289" i="1"/>
  <c r="AP289" i="1" s="1"/>
  <c r="AQ289" i="1" s="1"/>
  <c r="AO778" i="1"/>
  <c r="AP778" i="1" s="1"/>
  <c r="AQ778" i="1" s="1"/>
  <c r="AN807" i="1"/>
  <c r="AP807" i="1" s="1"/>
  <c r="AQ807" i="1" s="1"/>
  <c r="AO234" i="1"/>
  <c r="AP234" i="1" s="1"/>
  <c r="AQ234" i="1" s="1"/>
  <c r="AN212" i="1"/>
  <c r="AP212" i="1" s="1"/>
  <c r="AQ212" i="1" s="1"/>
  <c r="AO475" i="1"/>
  <c r="AP475" i="1" s="1"/>
  <c r="AQ475" i="1" s="1"/>
  <c r="AO573" i="1"/>
  <c r="AP573" i="1" s="1"/>
  <c r="AQ573" i="1" s="1"/>
  <c r="AN774" i="1"/>
  <c r="AP774" i="1" s="1"/>
  <c r="AQ774" i="1" s="1"/>
  <c r="AN270" i="1"/>
  <c r="AP270" i="1" s="1"/>
  <c r="AQ270" i="1" s="1"/>
  <c r="AN476" i="1"/>
  <c r="AP476" i="1" s="1"/>
  <c r="AQ476" i="1" s="1"/>
  <c r="AO866" i="1"/>
  <c r="AP866" i="1" s="1"/>
  <c r="AQ866" i="1" s="1"/>
  <c r="AP627" i="1"/>
  <c r="AQ627" i="1" s="1"/>
  <c r="AO729" i="1"/>
  <c r="AP729" i="1" s="1"/>
  <c r="AQ729" i="1" s="1"/>
  <c r="AN876" i="1"/>
  <c r="AP876" i="1" s="1"/>
  <c r="AQ876" i="1" s="1"/>
  <c r="AO814" i="1"/>
  <c r="AP814" i="1" s="1"/>
  <c r="AQ814" i="1" s="1"/>
  <c r="AO227" i="1"/>
  <c r="AP227" i="1" s="1"/>
  <c r="AQ227" i="1" s="1"/>
  <c r="AN663" i="1"/>
  <c r="AP663" i="1" s="1"/>
  <c r="AQ663" i="1" s="1"/>
  <c r="AO619" i="1"/>
  <c r="AP619" i="1" s="1"/>
  <c r="AQ619" i="1" s="1"/>
  <c r="AO582" i="1"/>
  <c r="AP582" i="1" s="1"/>
  <c r="AQ582" i="1" s="1"/>
  <c r="AN810" i="1"/>
  <c r="AP810" i="1" s="1"/>
  <c r="AQ810" i="1" s="1"/>
  <c r="AO830" i="1"/>
  <c r="AP830" i="1" s="1"/>
  <c r="AQ830" i="1" s="1"/>
  <c r="AO873" i="1"/>
  <c r="AP873" i="1" s="1"/>
  <c r="AQ873" i="1" s="1"/>
  <c r="AO801" i="1"/>
  <c r="AP801" i="1" s="1"/>
  <c r="AQ801" i="1" s="1"/>
  <c r="AN890" i="1"/>
  <c r="AP890" i="1" s="1"/>
  <c r="AQ890" i="1" s="1"/>
  <c r="AO773" i="1"/>
  <c r="AP773" i="1" s="1"/>
  <c r="AQ773" i="1" s="1"/>
  <c r="AO885" i="1"/>
  <c r="AP885" i="1" s="1"/>
  <c r="AQ885" i="1" s="1"/>
  <c r="AN589" i="1"/>
  <c r="AP589" i="1" s="1"/>
  <c r="AQ589" i="1" s="1"/>
  <c r="AN229" i="1"/>
  <c r="AP229" i="1" s="1"/>
  <c r="AQ229" i="1" s="1"/>
  <c r="AN362" i="1"/>
  <c r="AP362" i="1" s="1"/>
  <c r="AQ362" i="1" s="1"/>
  <c r="AO642" i="1"/>
  <c r="AP642" i="1" s="1"/>
  <c r="AQ642" i="1" s="1"/>
  <c r="AN612" i="1"/>
  <c r="AP612" i="1" s="1"/>
  <c r="AQ612" i="1" s="1"/>
  <c r="AN633" i="1"/>
  <c r="AP633" i="1" s="1"/>
  <c r="AQ633" i="1" s="1"/>
  <c r="AN628" i="1"/>
  <c r="AP628" i="1" s="1"/>
  <c r="AQ628" i="1" s="1"/>
  <c r="AO437" i="1"/>
  <c r="AP437" i="1" s="1"/>
  <c r="AQ437" i="1" s="1"/>
  <c r="AO868" i="1"/>
  <c r="AP868" i="1" s="1"/>
  <c r="AQ868" i="1" s="1"/>
  <c r="AN837" i="1"/>
  <c r="AP837" i="1" s="1"/>
  <c r="AQ837" i="1" s="1"/>
  <c r="AN564" i="1"/>
  <c r="AP564" i="1" s="1"/>
  <c r="AQ564" i="1" s="1"/>
  <c r="AN519" i="1"/>
  <c r="AP519" i="1" s="1"/>
  <c r="AQ519" i="1" s="1"/>
  <c r="AN818" i="1"/>
  <c r="AP818" i="1" s="1"/>
  <c r="AQ818" i="1" s="1"/>
  <c r="AO786" i="1"/>
  <c r="AP786" i="1" s="1"/>
  <c r="AQ786" i="1" s="1"/>
  <c r="AN852" i="1"/>
  <c r="AP852" i="1" s="1"/>
  <c r="AQ852" i="1" s="1"/>
  <c r="AN232" i="1"/>
  <c r="AP232" i="1" s="1"/>
  <c r="AQ232" i="1" s="1"/>
  <c r="AN264" i="1"/>
  <c r="AP264" i="1" s="1"/>
  <c r="AQ264" i="1" s="1"/>
  <c r="AN733" i="1"/>
  <c r="AP733" i="1" s="1"/>
  <c r="AQ733" i="1" s="1"/>
  <c r="AN804" i="1"/>
  <c r="AP804" i="1" s="1"/>
  <c r="AQ804" i="1" s="1"/>
  <c r="AN816" i="1"/>
  <c r="AP816" i="1" s="1"/>
  <c r="AQ816" i="1" s="1"/>
  <c r="AN853" i="1"/>
  <c r="AP853" i="1" s="1"/>
  <c r="AQ853" i="1" s="1"/>
  <c r="AN780" i="1"/>
  <c r="AP780" i="1" s="1"/>
  <c r="AQ780" i="1" s="1"/>
  <c r="AN700" i="1"/>
  <c r="AP700" i="1" s="1"/>
  <c r="AQ700" i="1" s="1"/>
  <c r="Z411" i="1"/>
  <c r="AT411" i="1" s="1"/>
  <c r="Z211" i="1"/>
  <c r="AT211" i="1" s="1"/>
  <c r="AO246" i="1"/>
  <c r="AP246" i="1" s="1"/>
  <c r="AQ246" i="1" s="1"/>
  <c r="AN805" i="1"/>
  <c r="AP805" i="1" s="1"/>
  <c r="AQ805" i="1" s="1"/>
  <c r="AO820" i="1"/>
  <c r="AP820" i="1" s="1"/>
  <c r="AQ820" i="1" s="1"/>
  <c r="AN782" i="1"/>
  <c r="AP782" i="1" s="1"/>
  <c r="AQ782" i="1" s="1"/>
  <c r="AT611" i="1"/>
  <c r="AO787" i="1"/>
  <c r="AP787" i="1" s="1"/>
  <c r="AQ787" i="1" s="1"/>
  <c r="AT858" i="1"/>
  <c r="AV858" i="1" s="1"/>
  <c r="AT860" i="1"/>
  <c r="AV860" i="1" s="1"/>
  <c r="AT887" i="1"/>
  <c r="AV887" i="1" s="1"/>
  <c r="AT827" i="1"/>
  <c r="AV827" i="1" s="1"/>
  <c r="AT842" i="1"/>
  <c r="AV842" i="1" s="1"/>
  <c r="AT819" i="1"/>
  <c r="AV819" i="1" s="1"/>
  <c r="AT854" i="1"/>
  <c r="AV854" i="1" s="1"/>
  <c r="AT795" i="1"/>
  <c r="AV795" i="1" s="1"/>
  <c r="AV863" i="1"/>
  <c r="AV846" i="1"/>
  <c r="AV771" i="1"/>
  <c r="AV861" i="1"/>
  <c r="AV775" i="1"/>
  <c r="AV867" i="1"/>
  <c r="AV868" i="1"/>
  <c r="AT790" i="1"/>
  <c r="AV790" i="1" s="1"/>
  <c r="AV869" i="1"/>
  <c r="AV796" i="1"/>
  <c r="AO777" i="1"/>
  <c r="AP777" i="1" s="1"/>
  <c r="AQ777" i="1" s="1"/>
  <c r="AV828" i="1"/>
  <c r="AV873" i="1"/>
  <c r="AV792" i="1"/>
  <c r="AV872" i="1"/>
  <c r="AV781" i="1"/>
  <c r="AV779" i="1"/>
  <c r="AN783" i="1"/>
  <c r="AP783" i="1" s="1"/>
  <c r="AQ783" i="1" s="1"/>
  <c r="AV803" i="1"/>
  <c r="AT888" i="1"/>
  <c r="AV888" i="1" s="1"/>
  <c r="AT857" i="1"/>
  <c r="AV857" i="1" s="1"/>
  <c r="AT848" i="1"/>
  <c r="AV848" i="1" s="1"/>
  <c r="AV824" i="1"/>
  <c r="AT843" i="1"/>
  <c r="AV843" i="1" s="1"/>
  <c r="AV845" i="1"/>
  <c r="AO634" i="1"/>
  <c r="AP634" i="1" s="1"/>
  <c r="AQ634" i="1" s="1"/>
  <c r="AV840" i="1"/>
  <c r="AV826" i="1"/>
  <c r="AV859" i="1"/>
  <c r="AV812" i="1"/>
  <c r="AV855" i="1"/>
  <c r="AV851" i="1"/>
  <c r="AV882" i="1"/>
  <c r="AV876" i="1"/>
  <c r="AT798" i="1"/>
  <c r="AV798" i="1" s="1"/>
  <c r="AT808" i="1"/>
  <c r="AV808" i="1" s="1"/>
  <c r="AT794" i="1"/>
  <c r="AV794" i="1" s="1"/>
  <c r="AT836" i="1"/>
  <c r="AV836" i="1" s="1"/>
  <c r="AT852" i="1"/>
  <c r="AV852" i="1" s="1"/>
  <c r="AT788" i="1"/>
  <c r="AV788" i="1" s="1"/>
  <c r="AT791" i="1"/>
  <c r="AV791" i="1" s="1"/>
  <c r="AV874" i="1"/>
  <c r="AV813" i="1"/>
  <c r="AN93" i="1"/>
  <c r="AP93" i="1" s="1"/>
  <c r="AQ93" i="1" s="1"/>
  <c r="AN215" i="1"/>
  <c r="AP215" i="1" s="1"/>
  <c r="AQ215" i="1" s="1"/>
  <c r="AV875" i="1"/>
  <c r="AV856" i="1"/>
  <c r="AV844" i="1"/>
  <c r="AV832" i="1"/>
  <c r="AV831" i="1"/>
  <c r="AV890" i="1"/>
  <c r="AV780" i="1"/>
  <c r="AT797" i="1"/>
  <c r="AV797" i="1" s="1"/>
  <c r="AT841" i="1"/>
  <c r="AV841" i="1" s="1"/>
  <c r="AT881" i="1"/>
  <c r="AV881" i="1" s="1"/>
  <c r="AT839" i="1"/>
  <c r="AV839" i="1" s="1"/>
  <c r="AT880" i="1"/>
  <c r="AV880" i="1" s="1"/>
  <c r="AT823" i="1"/>
  <c r="AV823" i="1" s="1"/>
  <c r="AT883" i="1"/>
  <c r="AV883" i="1" s="1"/>
  <c r="AV850" i="1"/>
  <c r="AV833" i="1"/>
  <c r="AV786" i="1"/>
  <c r="AV800" i="1"/>
  <c r="AV784" i="1"/>
  <c r="AN829" i="1"/>
  <c r="AP829" i="1" s="1"/>
  <c r="AQ829" i="1" s="1"/>
  <c r="AV778" i="1"/>
  <c r="AV835" i="1"/>
  <c r="AT811" i="1"/>
  <c r="AV811" i="1" s="1"/>
  <c r="AT871" i="1"/>
  <c r="AV871" i="1" s="1"/>
  <c r="AT847" i="1"/>
  <c r="AV847" i="1" s="1"/>
  <c r="AT849" i="1"/>
  <c r="AV849" i="1" s="1"/>
  <c r="AT834" i="1"/>
  <c r="AV834" i="1" s="1"/>
  <c r="AO380" i="1"/>
  <c r="AP380" i="1" s="1"/>
  <c r="AQ380" i="1" s="1"/>
  <c r="AO377" i="1"/>
  <c r="AP377" i="1" s="1"/>
  <c r="AQ377" i="1" s="1"/>
  <c r="AO799" i="1"/>
  <c r="AP799" i="1" s="1"/>
  <c r="AQ799" i="1" s="1"/>
  <c r="AO776" i="1"/>
  <c r="AP776" i="1" s="1"/>
  <c r="AQ776" i="1" s="1"/>
  <c r="AN862" i="1"/>
  <c r="AP862" i="1" s="1"/>
  <c r="AQ862" i="1" s="1"/>
  <c r="AN793" i="1"/>
  <c r="AP793" i="1" s="1"/>
  <c r="AQ793" i="1" s="1"/>
  <c r="AN623" i="1"/>
  <c r="AP623" i="1" s="1"/>
  <c r="AQ623" i="1" s="1"/>
  <c r="AN815" i="1"/>
  <c r="AP815" i="1" s="1"/>
  <c r="AQ815" i="1" s="1"/>
  <c r="AN632" i="1"/>
  <c r="AP632" i="1" s="1"/>
  <c r="AQ632" i="1" s="1"/>
  <c r="AO847" i="1"/>
  <c r="AP847" i="1" s="1"/>
  <c r="AQ847" i="1" s="1"/>
  <c r="AO806" i="1"/>
  <c r="AP806" i="1" s="1"/>
  <c r="AQ806" i="1" s="1"/>
  <c r="AO889" i="1"/>
  <c r="AP889" i="1" s="1"/>
  <c r="AQ889" i="1" s="1"/>
  <c r="AP809" i="1"/>
  <c r="AQ809" i="1" s="1"/>
  <c r="AN832" i="1"/>
  <c r="AP832" i="1" s="1"/>
  <c r="AQ832" i="1" s="1"/>
  <c r="AN843" i="1"/>
  <c r="AP843" i="1" s="1"/>
  <c r="AQ843" i="1" s="1"/>
  <c r="AN597" i="1"/>
  <c r="AP597" i="1" s="1"/>
  <c r="AQ597" i="1" s="1"/>
  <c r="AO242" i="1"/>
  <c r="AP242" i="1" s="1"/>
  <c r="AQ242" i="1" s="1"/>
  <c r="AN279" i="1"/>
  <c r="AP279" i="1" s="1"/>
  <c r="AQ279" i="1" s="1"/>
  <c r="AO498" i="1"/>
  <c r="AP498" i="1" s="1"/>
  <c r="AQ498" i="1" s="1"/>
  <c r="AO240" i="1"/>
  <c r="AP240" i="1" s="1"/>
  <c r="AQ240" i="1" s="1"/>
  <c r="AN643" i="1"/>
  <c r="AP643" i="1" s="1"/>
  <c r="AQ643" i="1" s="1"/>
  <c r="AP879" i="1"/>
  <c r="AQ879" i="1" s="1"/>
  <c r="AN513" i="1"/>
  <c r="AP513" i="1" s="1"/>
  <c r="AQ513" i="1" s="1"/>
  <c r="AN611" i="1"/>
  <c r="AP611" i="1" s="1"/>
  <c r="AQ611" i="1" s="1"/>
  <c r="AN791" i="1"/>
  <c r="AP791" i="1" s="1"/>
  <c r="AQ791" i="1" s="1"/>
  <c r="AO237" i="1"/>
  <c r="AP237" i="1" s="1"/>
  <c r="AQ237" i="1" s="1"/>
  <c r="AO825" i="1"/>
  <c r="AP825" i="1" s="1"/>
  <c r="AQ825" i="1" s="1"/>
  <c r="AN732" i="1"/>
  <c r="AP732" i="1" s="1"/>
  <c r="AQ732" i="1" s="1"/>
  <c r="AN834" i="1"/>
  <c r="AP834" i="1" s="1"/>
  <c r="AQ834" i="1" s="1"/>
  <c r="AP822" i="1"/>
  <c r="AQ822" i="1" s="1"/>
  <c r="AO536" i="1"/>
  <c r="AP536" i="1" s="1"/>
  <c r="AQ536" i="1" s="1"/>
  <c r="AO238" i="1"/>
  <c r="AP238" i="1" s="1"/>
  <c r="AQ238" i="1" s="1"/>
  <c r="AP772" i="1"/>
  <c r="AQ772" i="1" s="1"/>
  <c r="AN613" i="1"/>
  <c r="AP613" i="1" s="1"/>
  <c r="AQ613" i="1" s="1"/>
  <c r="AO473" i="1"/>
  <c r="AP473" i="1" s="1"/>
  <c r="AQ473" i="1" s="1"/>
  <c r="AO882" i="1"/>
  <c r="AP882" i="1" s="1"/>
  <c r="AQ882" i="1" s="1"/>
  <c r="AO220" i="1"/>
  <c r="AP220" i="1" s="1"/>
  <c r="AQ220" i="1" s="1"/>
  <c r="AO224" i="1"/>
  <c r="AP224" i="1" s="1"/>
  <c r="AQ224" i="1" s="1"/>
  <c r="AN277" i="1"/>
  <c r="AP277" i="1" s="1"/>
  <c r="AQ277" i="1" s="1"/>
  <c r="AN379" i="1"/>
  <c r="AP379" i="1" s="1"/>
  <c r="AQ379" i="1" s="1"/>
  <c r="AN469" i="1"/>
  <c r="AP469" i="1" s="1"/>
  <c r="AQ469" i="1" s="1"/>
  <c r="AP785" i="1"/>
  <c r="AQ785" i="1" s="1"/>
  <c r="AP828" i="1"/>
  <c r="AQ828" i="1" s="1"/>
  <c r="AN795" i="1"/>
  <c r="AP795" i="1" s="1"/>
  <c r="AQ795" i="1" s="1"/>
  <c r="AO831" i="1"/>
  <c r="AP831" i="1" s="1"/>
  <c r="AQ831" i="1" s="1"/>
  <c r="AN496" i="1"/>
  <c r="AP496" i="1" s="1"/>
  <c r="AQ496" i="1" s="1"/>
  <c r="AO821" i="1"/>
  <c r="AP821" i="1" s="1"/>
  <c r="AQ821" i="1" s="1"/>
  <c r="AP803" i="1"/>
  <c r="AQ803" i="1" s="1"/>
  <c r="AO263" i="1"/>
  <c r="AP263" i="1" s="1"/>
  <c r="AQ263" i="1" s="1"/>
  <c r="AO840" i="1"/>
  <c r="AN840" i="1"/>
  <c r="AN844" i="1"/>
  <c r="AO844" i="1"/>
  <c r="AO839" i="1"/>
  <c r="AN839" i="1"/>
  <c r="AN857" i="1"/>
  <c r="AO857" i="1"/>
  <c r="AO789" i="1"/>
  <c r="AN789" i="1"/>
  <c r="AN798" i="1"/>
  <c r="AO798" i="1"/>
  <c r="AN850" i="1"/>
  <c r="AO850" i="1"/>
  <c r="AN845" i="1"/>
  <c r="AO845" i="1"/>
  <c r="AO836" i="1"/>
  <c r="AN836" i="1"/>
  <c r="AN833" i="1"/>
  <c r="AO833" i="1"/>
  <c r="AO854" i="1"/>
  <c r="AN854" i="1"/>
  <c r="AP870" i="1"/>
  <c r="AQ870" i="1" s="1"/>
  <c r="AN858" i="1"/>
  <c r="AO858" i="1"/>
  <c r="AN880" i="1"/>
  <c r="AO880" i="1"/>
  <c r="AN871" i="1"/>
  <c r="AO871" i="1"/>
  <c r="AN856" i="1"/>
  <c r="AO856" i="1"/>
  <c r="AO863" i="1"/>
  <c r="AN863" i="1"/>
  <c r="AN846" i="1"/>
  <c r="AO846" i="1"/>
  <c r="AO771" i="1"/>
  <c r="AN771" i="1"/>
  <c r="AO861" i="1"/>
  <c r="AN861" i="1"/>
  <c r="AN775" i="1"/>
  <c r="AO775" i="1"/>
  <c r="AP878" i="1"/>
  <c r="AQ878" i="1" s="1"/>
  <c r="AO860" i="1"/>
  <c r="AN860" i="1"/>
  <c r="AN827" i="1"/>
  <c r="AO827" i="1"/>
  <c r="AP884" i="1"/>
  <c r="AQ884" i="1" s="1"/>
  <c r="AN869" i="1"/>
  <c r="AO869" i="1"/>
  <c r="AO813" i="1"/>
  <c r="AN813" i="1"/>
  <c r="AN849" i="1"/>
  <c r="AO849" i="1"/>
  <c r="AN784" i="1"/>
  <c r="AO784" i="1"/>
  <c r="AN881" i="1"/>
  <c r="AO881" i="1"/>
  <c r="AN883" i="1"/>
  <c r="AO883" i="1"/>
  <c r="AN811" i="1"/>
  <c r="AO811" i="1"/>
  <c r="AN874" i="1"/>
  <c r="AO874" i="1"/>
  <c r="AO888" i="1"/>
  <c r="AN888" i="1"/>
  <c r="AO841" i="1"/>
  <c r="AN841" i="1"/>
  <c r="AN872" i="1"/>
  <c r="AO872" i="1"/>
  <c r="AO781" i="1"/>
  <c r="AN781" i="1"/>
  <c r="AN848" i="1"/>
  <c r="AO848" i="1"/>
  <c r="AN779" i="1"/>
  <c r="AO779" i="1"/>
  <c r="AO788" i="1"/>
  <c r="AN788" i="1"/>
  <c r="AP865" i="1"/>
  <c r="AQ865" i="1" s="1"/>
  <c r="AP886" i="1"/>
  <c r="AQ886" i="1" s="1"/>
  <c r="AN800" i="1"/>
  <c r="AO800" i="1"/>
  <c r="AO842" i="1"/>
  <c r="AN842" i="1"/>
  <c r="AO887" i="1"/>
  <c r="AN887" i="1"/>
  <c r="AO867" i="1"/>
  <c r="AN867" i="1"/>
  <c r="AN797" i="1"/>
  <c r="AO797" i="1"/>
  <c r="AN824" i="1"/>
  <c r="AO824" i="1"/>
  <c r="AN796" i="1"/>
  <c r="AO796" i="1"/>
  <c r="AO792" i="1"/>
  <c r="AN792" i="1"/>
  <c r="AN826" i="1"/>
  <c r="AO826" i="1"/>
  <c r="AN859" i="1"/>
  <c r="AO859" i="1"/>
  <c r="AN823" i="1"/>
  <c r="AO823" i="1"/>
  <c r="AO812" i="1"/>
  <c r="AN812" i="1"/>
  <c r="AO855" i="1"/>
  <c r="AN855" i="1"/>
  <c r="AN851" i="1"/>
  <c r="AO851" i="1"/>
  <c r="AN875" i="1"/>
  <c r="AO875" i="1"/>
  <c r="AN808" i="1"/>
  <c r="AO808" i="1"/>
  <c r="AO794" i="1"/>
  <c r="AN794" i="1"/>
  <c r="AP835" i="1"/>
  <c r="AQ835" i="1" s="1"/>
  <c r="AN219" i="1"/>
  <c r="AP219" i="1" s="1"/>
  <c r="AQ219" i="1" s="1"/>
  <c r="AN629" i="1"/>
  <c r="AP629" i="1" s="1"/>
  <c r="AQ629" i="1" s="1"/>
  <c r="AN273" i="1"/>
  <c r="AP273" i="1" s="1"/>
  <c r="AQ273" i="1" s="1"/>
  <c r="AN441" i="1"/>
  <c r="AP441" i="1" s="1"/>
  <c r="AQ441" i="1" s="1"/>
  <c r="AO276" i="1"/>
  <c r="AP276" i="1" s="1"/>
  <c r="AQ276" i="1" s="1"/>
  <c r="AO213" i="1"/>
  <c r="AP213" i="1" s="1"/>
  <c r="AQ213" i="1" s="1"/>
  <c r="AF411" i="1"/>
  <c r="AN411" i="1" s="1"/>
  <c r="AF211" i="1"/>
  <c r="AO211" i="1" s="1"/>
  <c r="AP247" i="1"/>
  <c r="AQ247" i="1" s="1"/>
  <c r="AO614" i="1"/>
  <c r="AP614" i="1" s="1"/>
  <c r="AQ614" i="1" s="1"/>
  <c r="AN445" i="1"/>
  <c r="AP445" i="1" s="1"/>
  <c r="AQ445" i="1" s="1"/>
  <c r="AP472" i="1"/>
  <c r="AQ472" i="1" s="1"/>
  <c r="AN266" i="1"/>
  <c r="AP266" i="1" s="1"/>
  <c r="AQ266" i="1" s="1"/>
  <c r="AP261" i="1"/>
  <c r="AQ261" i="1" s="1"/>
  <c r="AN233" i="1"/>
  <c r="AP233" i="1" s="1"/>
  <c r="AQ233" i="1" s="1"/>
  <c r="AP243" i="1"/>
  <c r="AQ243" i="1" s="1"/>
  <c r="AP638" i="1"/>
  <c r="AQ638" i="1" s="1"/>
  <c r="AP615" i="1"/>
  <c r="AQ615" i="1" s="1"/>
  <c r="AP624" i="1"/>
  <c r="AQ624" i="1" s="1"/>
  <c r="AN647" i="1"/>
  <c r="AP647" i="1" s="1"/>
  <c r="AQ647" i="1" s="1"/>
  <c r="AP478" i="1"/>
  <c r="AQ478" i="1" s="1"/>
  <c r="AN485" i="1"/>
  <c r="AO485" i="1"/>
  <c r="AP248" i="1"/>
  <c r="AQ248" i="1" s="1"/>
  <c r="AN241" i="1"/>
  <c r="AP241" i="1" s="1"/>
  <c r="AQ241" i="1" s="1"/>
  <c r="AO228" i="1"/>
  <c r="AN228" i="1"/>
  <c r="AP193" i="1"/>
  <c r="AQ193" i="1" s="1"/>
  <c r="AO697" i="1"/>
  <c r="AN697" i="1"/>
  <c r="AO670" i="1"/>
  <c r="AN670" i="1"/>
  <c r="AO728" i="1"/>
  <c r="AN728" i="1"/>
  <c r="AN738" i="1"/>
  <c r="AO738" i="1"/>
  <c r="AO722" i="1"/>
  <c r="AN722" i="1"/>
  <c r="AN694" i="1"/>
  <c r="AO694" i="1"/>
  <c r="AO736" i="1"/>
  <c r="AN736" i="1"/>
  <c r="AO731" i="1"/>
  <c r="AN731" i="1"/>
  <c r="AO735" i="1"/>
  <c r="AN735" i="1"/>
  <c r="AO720" i="1"/>
  <c r="AN720" i="1"/>
  <c r="AN671" i="1"/>
  <c r="AO671" i="1"/>
  <c r="AN727" i="1"/>
  <c r="AO727" i="1"/>
  <c r="AO730" i="1"/>
  <c r="AN730" i="1"/>
  <c r="AO687" i="1"/>
  <c r="AN687" i="1"/>
  <c r="AN689" i="1"/>
  <c r="AO689" i="1"/>
  <c r="AF661" i="1"/>
  <c r="AT661" i="1"/>
  <c r="AN750" i="1"/>
  <c r="AO750" i="1"/>
  <c r="AO681" i="1"/>
  <c r="AN681" i="1"/>
  <c r="AO664" i="1"/>
  <c r="AN664" i="1"/>
  <c r="AN668" i="1"/>
  <c r="AO668" i="1"/>
  <c r="AN699" i="1"/>
  <c r="AO699" i="1"/>
  <c r="AO695" i="1"/>
  <c r="AN695" i="1"/>
  <c r="AO745" i="1"/>
  <c r="AN745" i="1"/>
  <c r="AO667" i="1"/>
  <c r="AN667" i="1"/>
  <c r="AN691" i="1"/>
  <c r="AO691" i="1"/>
  <c r="AO719" i="1"/>
  <c r="AN719" i="1"/>
  <c r="AO723" i="1"/>
  <c r="AN723" i="1"/>
  <c r="AO672" i="1"/>
  <c r="AN672" i="1"/>
  <c r="AO676" i="1"/>
  <c r="AN676" i="1"/>
  <c r="AO716" i="1"/>
  <c r="AN716" i="1"/>
  <c r="AO748" i="1"/>
  <c r="AN748" i="1"/>
  <c r="AO743" i="1"/>
  <c r="AN743" i="1"/>
  <c r="AN749" i="1"/>
  <c r="AO749" i="1"/>
  <c r="AO665" i="1"/>
  <c r="AN665" i="1"/>
  <c r="AO679" i="1"/>
  <c r="AN679" i="1"/>
  <c r="AO721" i="1"/>
  <c r="AN721" i="1"/>
  <c r="AO715" i="1"/>
  <c r="AN715" i="1"/>
  <c r="AO690" i="1"/>
  <c r="AN690" i="1"/>
  <c r="AN680" i="1"/>
  <c r="AO680" i="1"/>
  <c r="AO674" i="1"/>
  <c r="AN674" i="1"/>
  <c r="AN726" i="1"/>
  <c r="AO726" i="1"/>
  <c r="AO747" i="1"/>
  <c r="AN747" i="1"/>
  <c r="AO696" i="1"/>
  <c r="AN696" i="1"/>
  <c r="AT711" i="1"/>
  <c r="AF711" i="1"/>
  <c r="AN666" i="1"/>
  <c r="AO666" i="1"/>
  <c r="AO678" i="1"/>
  <c r="AN678" i="1"/>
  <c r="AN734" i="1"/>
  <c r="AO734" i="1"/>
  <c r="AO724" i="1"/>
  <c r="AN724" i="1"/>
  <c r="AO741" i="1"/>
  <c r="AN741" i="1"/>
  <c r="AO682" i="1"/>
  <c r="AN682" i="1"/>
  <c r="AO739" i="1"/>
  <c r="AN739" i="1"/>
  <c r="AO725" i="1"/>
  <c r="AN725" i="1"/>
  <c r="AO685" i="1"/>
  <c r="AN685" i="1"/>
  <c r="AO746" i="1"/>
  <c r="AN746" i="1"/>
  <c r="AO683" i="1"/>
  <c r="AN683" i="1"/>
  <c r="AO712" i="1"/>
  <c r="AN712" i="1"/>
  <c r="AO737" i="1"/>
  <c r="AN737" i="1"/>
  <c r="AO698" i="1"/>
  <c r="AN698" i="1"/>
  <c r="AO744" i="1"/>
  <c r="AN744" i="1"/>
  <c r="AO713" i="1"/>
  <c r="AN713" i="1"/>
  <c r="AO686" i="1"/>
  <c r="AN686" i="1"/>
  <c r="AO684" i="1"/>
  <c r="AN684" i="1"/>
  <c r="AN688" i="1"/>
  <c r="AO688" i="1"/>
  <c r="AN692" i="1"/>
  <c r="AO692" i="1"/>
  <c r="AN742" i="1"/>
  <c r="AO742" i="1"/>
  <c r="AO718" i="1"/>
  <c r="AN718" i="1"/>
  <c r="AN714" i="1"/>
  <c r="AO714" i="1"/>
  <c r="AN675" i="1"/>
  <c r="AO675" i="1"/>
  <c r="AO740" i="1"/>
  <c r="AN740" i="1"/>
  <c r="AO693" i="1"/>
  <c r="AN693" i="1"/>
  <c r="AO477" i="1"/>
  <c r="AN477" i="1"/>
  <c r="AO541" i="1"/>
  <c r="AN541" i="1"/>
  <c r="AO486" i="1"/>
  <c r="AN486" i="1"/>
  <c r="AN566" i="1"/>
  <c r="AO566" i="1"/>
  <c r="AO530" i="1"/>
  <c r="AN530" i="1"/>
  <c r="AN585" i="1"/>
  <c r="AO585" i="1"/>
  <c r="AO500" i="1"/>
  <c r="AN500" i="1"/>
  <c r="AO631" i="1"/>
  <c r="AN631" i="1"/>
  <c r="AO516" i="1"/>
  <c r="AN516" i="1"/>
  <c r="AN596" i="1"/>
  <c r="AO596" i="1"/>
  <c r="AO644" i="1"/>
  <c r="AN644" i="1"/>
  <c r="AF461" i="1"/>
  <c r="AT461" i="1"/>
  <c r="AO520" i="1"/>
  <c r="AN520" i="1"/>
  <c r="AO479" i="1"/>
  <c r="AN479" i="1"/>
  <c r="AP540" i="1"/>
  <c r="AQ540" i="1" s="1"/>
  <c r="AO480" i="1"/>
  <c r="AN480" i="1"/>
  <c r="AN493" i="1"/>
  <c r="AO493" i="1"/>
  <c r="AO491" i="1"/>
  <c r="AN491" i="1"/>
  <c r="AO625" i="1"/>
  <c r="AN625" i="1"/>
  <c r="AO533" i="1"/>
  <c r="AN533" i="1"/>
  <c r="AN622" i="1"/>
  <c r="AO622" i="1"/>
  <c r="AN575" i="1"/>
  <c r="AO575" i="1"/>
  <c r="AO581" i="1"/>
  <c r="AN581" i="1"/>
  <c r="AN544" i="1"/>
  <c r="AO544" i="1"/>
  <c r="AO549" i="1"/>
  <c r="AN549" i="1"/>
  <c r="AN517" i="1"/>
  <c r="AO517" i="1"/>
  <c r="AO572" i="1"/>
  <c r="AN572" i="1"/>
  <c r="AO514" i="1"/>
  <c r="AN514" i="1"/>
  <c r="AO645" i="1"/>
  <c r="AN645" i="1"/>
  <c r="AO545" i="1"/>
  <c r="AN545" i="1"/>
  <c r="AO537" i="1"/>
  <c r="AN537" i="1"/>
  <c r="AO598" i="1"/>
  <c r="AN598" i="1"/>
  <c r="AO562" i="1"/>
  <c r="AN562" i="1"/>
  <c r="AN481" i="1"/>
  <c r="AO481" i="1"/>
  <c r="AO586" i="1"/>
  <c r="AN586" i="1"/>
  <c r="AO593" i="1"/>
  <c r="AN593" i="1"/>
  <c r="AN548" i="1"/>
  <c r="AO548" i="1"/>
  <c r="AO600" i="1"/>
  <c r="AN600" i="1"/>
  <c r="AO526" i="1"/>
  <c r="AN526" i="1"/>
  <c r="AO580" i="1"/>
  <c r="AN580" i="1"/>
  <c r="AO616" i="1"/>
  <c r="AN616" i="1"/>
  <c r="AO468" i="1"/>
  <c r="AN468" i="1"/>
  <c r="AO646" i="1"/>
  <c r="AN646" i="1"/>
  <c r="AO492" i="1"/>
  <c r="AN492" i="1"/>
  <c r="AN482" i="1"/>
  <c r="AO482" i="1"/>
  <c r="AO523" i="1"/>
  <c r="AN523" i="1"/>
  <c r="AN578" i="1"/>
  <c r="AO578" i="1"/>
  <c r="AO650" i="1"/>
  <c r="AN650" i="1"/>
  <c r="AO534" i="1"/>
  <c r="AN534" i="1"/>
  <c r="AO515" i="1"/>
  <c r="AN515" i="1"/>
  <c r="AO599" i="1"/>
  <c r="AN599" i="1"/>
  <c r="AO639" i="1"/>
  <c r="AN639" i="1"/>
  <c r="AO594" i="1"/>
  <c r="AN594" i="1"/>
  <c r="AO531" i="1"/>
  <c r="AN531" i="1"/>
  <c r="AN495" i="1"/>
  <c r="AO495" i="1"/>
  <c r="AO527" i="1"/>
  <c r="AN527" i="1"/>
  <c r="AO547" i="1"/>
  <c r="AN547" i="1"/>
  <c r="AN569" i="1"/>
  <c r="AO569" i="1"/>
  <c r="AN489" i="1"/>
  <c r="AO489" i="1"/>
  <c r="AO574" i="1"/>
  <c r="AN574" i="1"/>
  <c r="AO546" i="1"/>
  <c r="AN546" i="1"/>
  <c r="AO466" i="1"/>
  <c r="AN466" i="1"/>
  <c r="AN532" i="1"/>
  <c r="AO532" i="1"/>
  <c r="AO525" i="1"/>
  <c r="AN525" i="1"/>
  <c r="AO463" i="1"/>
  <c r="AN463" i="1"/>
  <c r="AN577" i="1"/>
  <c r="AO577" i="1"/>
  <c r="AN467" i="1"/>
  <c r="AO467" i="1"/>
  <c r="AF511" i="1"/>
  <c r="AT511" i="1"/>
  <c r="AO528" i="1"/>
  <c r="AN528" i="1"/>
  <c r="AO570" i="1"/>
  <c r="AN570" i="1"/>
  <c r="AN626" i="1"/>
  <c r="AO626" i="1"/>
  <c r="AO462" i="1"/>
  <c r="AN462" i="1"/>
  <c r="AO567" i="1"/>
  <c r="AN567" i="1"/>
  <c r="AO618" i="1"/>
  <c r="AN618" i="1"/>
  <c r="AO521" i="1"/>
  <c r="AN521" i="1"/>
  <c r="AO535" i="1"/>
  <c r="AN535" i="1"/>
  <c r="AO635" i="1"/>
  <c r="AN635" i="1"/>
  <c r="AN490" i="1"/>
  <c r="AO490" i="1"/>
  <c r="AN587" i="1"/>
  <c r="AO587" i="1"/>
  <c r="AO630" i="1"/>
  <c r="AN630" i="1"/>
  <c r="AN563" i="1"/>
  <c r="AO563" i="1"/>
  <c r="AO592" i="1"/>
  <c r="AN592" i="1"/>
  <c r="AO649" i="1"/>
  <c r="AN649" i="1"/>
  <c r="AO590" i="1"/>
  <c r="AN590" i="1"/>
  <c r="AO584" i="1"/>
  <c r="AN584" i="1"/>
  <c r="AO488" i="1"/>
  <c r="AN488" i="1"/>
  <c r="AO588" i="1"/>
  <c r="AN588" i="1"/>
  <c r="AO487" i="1"/>
  <c r="AN487" i="1"/>
  <c r="AO471" i="1"/>
  <c r="AN471" i="1"/>
  <c r="AO483" i="1"/>
  <c r="AN483" i="1"/>
  <c r="AO474" i="1"/>
  <c r="AN474" i="1"/>
  <c r="AO494" i="1"/>
  <c r="AN494" i="1"/>
  <c r="AO542" i="1"/>
  <c r="AN542" i="1"/>
  <c r="AO538" i="1"/>
  <c r="AN538" i="1"/>
  <c r="AO470" i="1"/>
  <c r="AN470" i="1"/>
  <c r="AO464" i="1"/>
  <c r="AN464" i="1"/>
  <c r="AO484" i="1"/>
  <c r="AN484" i="1"/>
  <c r="AO565" i="1"/>
  <c r="AN565" i="1"/>
  <c r="AN524" i="1"/>
  <c r="AO524" i="1"/>
  <c r="AO617" i="1"/>
  <c r="AN617" i="1"/>
  <c r="AN583" i="1"/>
  <c r="AO583" i="1"/>
  <c r="AO621" i="1"/>
  <c r="AN621" i="1"/>
  <c r="AN529" i="1"/>
  <c r="AO529" i="1"/>
  <c r="AO543" i="1"/>
  <c r="AN543" i="1"/>
  <c r="AN591" i="1"/>
  <c r="AO591" i="1"/>
  <c r="AO518" i="1"/>
  <c r="AN518" i="1"/>
  <c r="AO571" i="1"/>
  <c r="AN571" i="1"/>
  <c r="AP636" i="1"/>
  <c r="AQ636" i="1" s="1"/>
  <c r="AN497" i="1"/>
  <c r="AO497" i="1"/>
  <c r="AN550" i="1"/>
  <c r="AO550" i="1"/>
  <c r="AF561" i="1"/>
  <c r="AT561" i="1"/>
  <c r="AN390" i="1"/>
  <c r="AO390" i="1"/>
  <c r="AO265" i="1"/>
  <c r="AN265" i="1"/>
  <c r="AN329" i="1"/>
  <c r="AO329" i="1"/>
  <c r="AO299" i="1"/>
  <c r="AN299" i="1"/>
  <c r="AO444" i="1"/>
  <c r="AN444" i="1"/>
  <c r="AP284" i="1"/>
  <c r="AQ284" i="1" s="1"/>
  <c r="AO397" i="1"/>
  <c r="AN397" i="1"/>
  <c r="AO295" i="1"/>
  <c r="AN295" i="1"/>
  <c r="AO416" i="1"/>
  <c r="AN416" i="1"/>
  <c r="AO324" i="1"/>
  <c r="AN324" i="1"/>
  <c r="AO340" i="1"/>
  <c r="AN340" i="1"/>
  <c r="AO278" i="1"/>
  <c r="AN278" i="1"/>
  <c r="AN376" i="1"/>
  <c r="AO376" i="1"/>
  <c r="AO440" i="1"/>
  <c r="AN440" i="1"/>
  <c r="AO269" i="1"/>
  <c r="AN269" i="1"/>
  <c r="AO448" i="1"/>
  <c r="AN448" i="1"/>
  <c r="AO372" i="1"/>
  <c r="AN372" i="1"/>
  <c r="AO388" i="1"/>
  <c r="AN388" i="1"/>
  <c r="AO426" i="1"/>
  <c r="AN426" i="1"/>
  <c r="AO415" i="1"/>
  <c r="AN415" i="1"/>
  <c r="AN321" i="1"/>
  <c r="AO321" i="1"/>
  <c r="AO326" i="1"/>
  <c r="AN326" i="1"/>
  <c r="AO332" i="1"/>
  <c r="AN332" i="1"/>
  <c r="AO316" i="1"/>
  <c r="AN316" i="1"/>
  <c r="AN442" i="1"/>
  <c r="AO442" i="1"/>
  <c r="AO317" i="1"/>
  <c r="AN317" i="1"/>
  <c r="AO392" i="1"/>
  <c r="AN392" i="1"/>
  <c r="AO344" i="1"/>
  <c r="AN344" i="1"/>
  <c r="AO430" i="1"/>
  <c r="AN430" i="1"/>
  <c r="AO315" i="1"/>
  <c r="AN315" i="1"/>
  <c r="AO339" i="1"/>
  <c r="AN339" i="1"/>
  <c r="AO280" i="1"/>
  <c r="AN280" i="1"/>
  <c r="AO365" i="1"/>
  <c r="AN365" i="1"/>
  <c r="AN338" i="1"/>
  <c r="AO338" i="1"/>
  <c r="AO364" i="1"/>
  <c r="AN364" i="1"/>
  <c r="AN378" i="1"/>
  <c r="AO378" i="1"/>
  <c r="AO436" i="1"/>
  <c r="AN436" i="1"/>
  <c r="AN428" i="1"/>
  <c r="AO428" i="1"/>
  <c r="AO271" i="1"/>
  <c r="AN271" i="1"/>
  <c r="AO449" i="1"/>
  <c r="AN449" i="1"/>
  <c r="AO366" i="1"/>
  <c r="AN366" i="1"/>
  <c r="AO419" i="1"/>
  <c r="AN419" i="1"/>
  <c r="AN281" i="1"/>
  <c r="AO281" i="1"/>
  <c r="AO368" i="1"/>
  <c r="AN368" i="1"/>
  <c r="AN434" i="1"/>
  <c r="AO434" i="1"/>
  <c r="AN328" i="1"/>
  <c r="AO328" i="1"/>
  <c r="AO283" i="1"/>
  <c r="AN283" i="1"/>
  <c r="AO286" i="1"/>
  <c r="AN286" i="1"/>
  <c r="AO327" i="1"/>
  <c r="AN327" i="1"/>
  <c r="AO319" i="1"/>
  <c r="AN319" i="1"/>
  <c r="AO291" i="1"/>
  <c r="AN291" i="1"/>
  <c r="AO325" i="1"/>
  <c r="AN325" i="1"/>
  <c r="AN417" i="1"/>
  <c r="AO417" i="1"/>
  <c r="AN382" i="1"/>
  <c r="AO382" i="1"/>
  <c r="AN337" i="1"/>
  <c r="AO337" i="1"/>
  <c r="AN298" i="1"/>
  <c r="AO298" i="1"/>
  <c r="AO424" i="1"/>
  <c r="AN424" i="1"/>
  <c r="AO345" i="1"/>
  <c r="AN345" i="1"/>
  <c r="AO370" i="1"/>
  <c r="AN370" i="1"/>
  <c r="AO429" i="1"/>
  <c r="AN429" i="1"/>
  <c r="AO262" i="1"/>
  <c r="AN262" i="1"/>
  <c r="AO450" i="1"/>
  <c r="AN450" i="1"/>
  <c r="AO322" i="1"/>
  <c r="AN322" i="1"/>
  <c r="AN439" i="1"/>
  <c r="AO439" i="1"/>
  <c r="AN446" i="1"/>
  <c r="AO446" i="1"/>
  <c r="AO336" i="1"/>
  <c r="AN336" i="1"/>
  <c r="AO389" i="1"/>
  <c r="AN389" i="1"/>
  <c r="AN383" i="1"/>
  <c r="AO383" i="1"/>
  <c r="AN334" i="1"/>
  <c r="AO334" i="1"/>
  <c r="AN285" i="1"/>
  <c r="AO285" i="1"/>
  <c r="AO314" i="1"/>
  <c r="AN314" i="1"/>
  <c r="AO394" i="1"/>
  <c r="AN394" i="1"/>
  <c r="AO447" i="1"/>
  <c r="AN447" i="1"/>
  <c r="AN396" i="1"/>
  <c r="AO396" i="1"/>
  <c r="AO425" i="1"/>
  <c r="AN425" i="1"/>
  <c r="AN391" i="1"/>
  <c r="AO391" i="1"/>
  <c r="AO418" i="1"/>
  <c r="AN418" i="1"/>
  <c r="AN333" i="1"/>
  <c r="AO333" i="1"/>
  <c r="AO413" i="1"/>
  <c r="AN413" i="1"/>
  <c r="AO374" i="1"/>
  <c r="AN374" i="1"/>
  <c r="AO420" i="1"/>
  <c r="AN420" i="1"/>
  <c r="AO268" i="1"/>
  <c r="AN268" i="1"/>
  <c r="AO296" i="1"/>
  <c r="AN296" i="1"/>
  <c r="AO395" i="1"/>
  <c r="AN395" i="1"/>
  <c r="AO385" i="1"/>
  <c r="AN385" i="1"/>
  <c r="AN346" i="1"/>
  <c r="AO346" i="1"/>
  <c r="AN435" i="1"/>
  <c r="AO435" i="1"/>
  <c r="AO423" i="1"/>
  <c r="AN423" i="1"/>
  <c r="AO331" i="1"/>
  <c r="AN331" i="1"/>
  <c r="AO400" i="1"/>
  <c r="AN400" i="1"/>
  <c r="AO412" i="1"/>
  <c r="AN412" i="1"/>
  <c r="AN384" i="1"/>
  <c r="AO384" i="1"/>
  <c r="AO399" i="1"/>
  <c r="AN399" i="1"/>
  <c r="AN443" i="1"/>
  <c r="AO443" i="1"/>
  <c r="AN371" i="1"/>
  <c r="AO371" i="1"/>
  <c r="AO421" i="1"/>
  <c r="AN421" i="1"/>
  <c r="AO398" i="1"/>
  <c r="AN398" i="1"/>
  <c r="AO297" i="1"/>
  <c r="AN297" i="1"/>
  <c r="AO349" i="1"/>
  <c r="AN349" i="1"/>
  <c r="AO290" i="1"/>
  <c r="AN290" i="1"/>
  <c r="AN287" i="1"/>
  <c r="AO287" i="1"/>
  <c r="AO300" i="1"/>
  <c r="AN300" i="1"/>
  <c r="AT311" i="1"/>
  <c r="AF311" i="1"/>
  <c r="AN342" i="1"/>
  <c r="AO342" i="1"/>
  <c r="AO320" i="1"/>
  <c r="AN320" i="1"/>
  <c r="AN431" i="1"/>
  <c r="AO431" i="1"/>
  <c r="AO347" i="1"/>
  <c r="AN347" i="1"/>
  <c r="AO369" i="1"/>
  <c r="AN369" i="1"/>
  <c r="AO432" i="1"/>
  <c r="AN432" i="1"/>
  <c r="AO330" i="1"/>
  <c r="AN330" i="1"/>
  <c r="AN414" i="1"/>
  <c r="AO414" i="1"/>
  <c r="AN363" i="1"/>
  <c r="AO363" i="1"/>
  <c r="AO318" i="1"/>
  <c r="AN318" i="1"/>
  <c r="AO292" i="1"/>
  <c r="AN292" i="1"/>
  <c r="AO375" i="1"/>
  <c r="AN375" i="1"/>
  <c r="AO422" i="1"/>
  <c r="AN422" i="1"/>
  <c r="AO335" i="1"/>
  <c r="AN335" i="1"/>
  <c r="AN438" i="1"/>
  <c r="AO438" i="1"/>
  <c r="AN341" i="1"/>
  <c r="AO341" i="1"/>
  <c r="AO323" i="1"/>
  <c r="AN323" i="1"/>
  <c r="AO294" i="1"/>
  <c r="AN294" i="1"/>
  <c r="AO343" i="1"/>
  <c r="AN343" i="1"/>
  <c r="AO313" i="1"/>
  <c r="AN313" i="1"/>
  <c r="AO381" i="1"/>
  <c r="AN381" i="1"/>
  <c r="AN312" i="1"/>
  <c r="AO312" i="1"/>
  <c r="AO427" i="1"/>
  <c r="AN427" i="1"/>
  <c r="AN350" i="1"/>
  <c r="AO350" i="1"/>
  <c r="AN386" i="1"/>
  <c r="AO386" i="1"/>
  <c r="AN433" i="1"/>
  <c r="AO433" i="1"/>
  <c r="AO288" i="1"/>
  <c r="AN288" i="1"/>
  <c r="AO348" i="1"/>
  <c r="AN348" i="1"/>
  <c r="AN387" i="1"/>
  <c r="AO387" i="1"/>
  <c r="AO272" i="1"/>
  <c r="AN272" i="1"/>
  <c r="AN282" i="1"/>
  <c r="AO282" i="1"/>
  <c r="AO275" i="1"/>
  <c r="AN275" i="1"/>
  <c r="AF361" i="1"/>
  <c r="AT361" i="1"/>
  <c r="AP214" i="1"/>
  <c r="AQ214" i="1" s="1"/>
  <c r="AO249" i="1"/>
  <c r="AN249" i="1"/>
  <c r="AO250" i="1"/>
  <c r="AN250" i="1"/>
  <c r="AN239" i="1"/>
  <c r="AO239" i="1"/>
  <c r="AO244" i="1"/>
  <c r="AN244" i="1"/>
  <c r="AO222" i="1"/>
  <c r="AN222" i="1"/>
  <c r="AO231" i="1"/>
  <c r="AN231" i="1"/>
  <c r="AO226" i="1"/>
  <c r="AN226" i="1"/>
  <c r="AO216" i="1"/>
  <c r="AN216" i="1"/>
  <c r="AN217" i="1"/>
  <c r="AO217" i="1"/>
  <c r="AO230" i="1"/>
  <c r="AN230" i="1"/>
  <c r="AN218" i="1"/>
  <c r="AO218" i="1"/>
  <c r="AO225" i="1"/>
  <c r="AN225" i="1"/>
  <c r="AO221" i="1"/>
  <c r="AN221" i="1"/>
  <c r="AN235" i="1"/>
  <c r="AO235" i="1"/>
  <c r="AO162" i="1"/>
  <c r="AN162" i="1"/>
  <c r="AO186" i="1"/>
  <c r="AN186" i="1"/>
  <c r="AO191" i="1"/>
  <c r="AN191" i="1"/>
  <c r="AO180" i="1"/>
  <c r="AN180" i="1"/>
  <c r="AN167" i="1"/>
  <c r="AO167" i="1"/>
  <c r="AO182" i="1"/>
  <c r="AN182" i="1"/>
  <c r="AO189" i="1"/>
  <c r="AN189" i="1"/>
  <c r="AO198" i="1"/>
  <c r="AN198" i="1"/>
  <c r="AO200" i="1"/>
  <c r="AN200" i="1"/>
  <c r="AO163" i="1"/>
  <c r="AN163" i="1"/>
  <c r="AO190" i="1"/>
  <c r="AN190" i="1"/>
  <c r="AT161" i="1"/>
  <c r="AF161" i="1"/>
  <c r="AO183" i="1"/>
  <c r="AN183" i="1"/>
  <c r="AO170" i="1"/>
  <c r="AN170" i="1"/>
  <c r="AO166" i="1"/>
  <c r="AN166" i="1"/>
  <c r="AN181" i="1"/>
  <c r="AO181" i="1"/>
  <c r="AO168" i="1"/>
  <c r="AN168" i="1"/>
  <c r="AO171" i="1"/>
  <c r="AN171" i="1"/>
  <c r="AN188" i="1"/>
  <c r="AO188" i="1"/>
  <c r="AO175" i="1"/>
  <c r="AN175" i="1"/>
  <c r="AO174" i="1"/>
  <c r="AN174" i="1"/>
  <c r="AO176" i="1"/>
  <c r="AN176" i="1"/>
  <c r="AO197" i="1"/>
  <c r="AN197" i="1"/>
  <c r="AO164" i="1"/>
  <c r="AN164" i="1"/>
  <c r="AN192" i="1"/>
  <c r="AO192" i="1"/>
  <c r="AO178" i="1"/>
  <c r="AN178" i="1"/>
  <c r="AO173" i="1"/>
  <c r="AN173" i="1"/>
  <c r="AO172" i="1"/>
  <c r="AN172" i="1"/>
  <c r="AO195" i="1"/>
  <c r="AN195" i="1"/>
  <c r="AO187" i="1"/>
  <c r="AN187" i="1"/>
  <c r="AO179" i="1"/>
  <c r="AN179" i="1"/>
  <c r="AO199" i="1"/>
  <c r="AN199" i="1"/>
  <c r="AO185" i="1"/>
  <c r="AN185" i="1"/>
  <c r="AO169" i="1"/>
  <c r="AN169" i="1"/>
  <c r="AO196" i="1"/>
  <c r="AN196" i="1"/>
  <c r="AN184" i="1"/>
  <c r="AO184" i="1"/>
  <c r="AO165" i="1"/>
  <c r="AN165" i="1"/>
  <c r="AO177" i="1"/>
  <c r="AN177" i="1"/>
  <c r="AN194" i="1"/>
  <c r="AO194" i="1"/>
  <c r="AO72" i="1"/>
  <c r="AN72" i="1"/>
  <c r="AN92" i="1"/>
  <c r="AO92" i="1"/>
  <c r="AO70" i="1"/>
  <c r="AN70" i="1"/>
  <c r="AO89" i="1"/>
  <c r="AN89" i="1"/>
  <c r="AO95" i="1"/>
  <c r="AN95" i="1"/>
  <c r="AN88" i="1"/>
  <c r="AO88" i="1"/>
  <c r="AO99" i="1"/>
  <c r="AN99" i="1"/>
  <c r="AO91" i="1"/>
  <c r="AN91" i="1"/>
  <c r="AO78" i="1"/>
  <c r="AN78" i="1"/>
  <c r="AO97" i="1"/>
  <c r="AN97" i="1"/>
  <c r="AO96" i="1"/>
  <c r="AN96" i="1"/>
  <c r="AO86" i="1"/>
  <c r="AN86" i="1"/>
  <c r="AO87" i="1"/>
  <c r="AN87" i="1"/>
  <c r="AO81" i="1"/>
  <c r="AN81" i="1"/>
  <c r="AO68" i="1"/>
  <c r="AN68" i="1"/>
  <c r="AO63" i="1"/>
  <c r="AN63" i="1"/>
  <c r="AO64" i="1"/>
  <c r="AN64" i="1"/>
  <c r="AO65" i="1"/>
  <c r="AN65" i="1"/>
  <c r="AO79" i="1"/>
  <c r="AN79" i="1"/>
  <c r="AO82" i="1"/>
  <c r="AN82" i="1"/>
  <c r="AN84" i="1"/>
  <c r="AO84" i="1"/>
  <c r="AO85" i="1"/>
  <c r="AN85" i="1"/>
  <c r="AO67" i="1"/>
  <c r="AN67" i="1"/>
  <c r="AO69" i="1"/>
  <c r="AN69" i="1"/>
  <c r="AO75" i="1"/>
  <c r="AN75" i="1"/>
  <c r="AO80" i="1"/>
  <c r="AN80" i="1"/>
  <c r="AO98" i="1"/>
  <c r="AN98" i="1"/>
  <c r="AO94" i="1"/>
  <c r="AN94" i="1"/>
  <c r="AO66" i="1"/>
  <c r="AN66" i="1"/>
  <c r="AO71" i="1"/>
  <c r="AN71" i="1"/>
  <c r="AO77" i="1"/>
  <c r="AN77" i="1"/>
  <c r="AO74" i="1"/>
  <c r="AN74" i="1"/>
  <c r="AT61" i="1"/>
  <c r="AF61" i="1"/>
  <c r="AO61" i="1" s="1"/>
  <c r="AO83" i="1"/>
  <c r="AN83" i="1"/>
  <c r="AO73" i="1"/>
  <c r="AN73" i="1"/>
  <c r="AO100" i="1"/>
  <c r="AN100" i="1"/>
  <c r="AO62" i="1"/>
  <c r="AN62" i="1"/>
  <c r="AO76" i="1"/>
  <c r="AN76" i="1"/>
  <c r="AO90" i="1"/>
  <c r="AN90" i="1"/>
  <c r="AP90" i="1" l="1"/>
  <c r="AQ90" i="1" s="1"/>
  <c r="AP881" i="1"/>
  <c r="AQ881" i="1" s="1"/>
  <c r="AP463" i="1"/>
  <c r="AQ463" i="1" s="1"/>
  <c r="AP808" i="1"/>
  <c r="AQ808" i="1" s="1"/>
  <c r="AP824" i="1"/>
  <c r="AQ824" i="1" s="1"/>
  <c r="AW771" i="1"/>
  <c r="BE771" i="1" s="1"/>
  <c r="AP781" i="1"/>
  <c r="AQ781" i="1" s="1"/>
  <c r="AP327" i="1"/>
  <c r="AQ327" i="1" s="1"/>
  <c r="AP846" i="1"/>
  <c r="AQ846" i="1" s="1"/>
  <c r="AP857" i="1"/>
  <c r="AQ857" i="1" s="1"/>
  <c r="AP856" i="1"/>
  <c r="AQ856" i="1" s="1"/>
  <c r="AP872" i="1"/>
  <c r="AQ872" i="1" s="1"/>
  <c r="AP479" i="1"/>
  <c r="AQ479" i="1" s="1"/>
  <c r="AP851" i="1"/>
  <c r="AQ851" i="1" s="1"/>
  <c r="AP792" i="1"/>
  <c r="AQ792" i="1" s="1"/>
  <c r="AP887" i="1"/>
  <c r="AQ887" i="1" s="1"/>
  <c r="AP811" i="1"/>
  <c r="AQ811" i="1" s="1"/>
  <c r="AP871" i="1"/>
  <c r="AQ871" i="1" s="1"/>
  <c r="AP854" i="1"/>
  <c r="AQ854" i="1" s="1"/>
  <c r="AP784" i="1"/>
  <c r="AQ784" i="1" s="1"/>
  <c r="AP863" i="1"/>
  <c r="AQ863" i="1" s="1"/>
  <c r="AP839" i="1"/>
  <c r="AQ839" i="1" s="1"/>
  <c r="AP874" i="1"/>
  <c r="AQ874" i="1" s="1"/>
  <c r="AP849" i="1"/>
  <c r="AQ849" i="1" s="1"/>
  <c r="AP840" i="1"/>
  <c r="AQ840" i="1" s="1"/>
  <c r="AP842" i="1"/>
  <c r="AQ842" i="1" s="1"/>
  <c r="AP869" i="1"/>
  <c r="AQ869" i="1" s="1"/>
  <c r="AP861" i="1"/>
  <c r="AQ861" i="1" s="1"/>
  <c r="AP880" i="1"/>
  <c r="AQ880" i="1" s="1"/>
  <c r="AP833" i="1"/>
  <c r="AQ833" i="1" s="1"/>
  <c r="AP538" i="1"/>
  <c r="AQ538" i="1" s="1"/>
  <c r="AP487" i="1"/>
  <c r="AQ487" i="1" s="1"/>
  <c r="AP592" i="1"/>
  <c r="AQ592" i="1" s="1"/>
  <c r="AP535" i="1"/>
  <c r="AQ535" i="1" s="1"/>
  <c r="AP570" i="1"/>
  <c r="AQ570" i="1" s="1"/>
  <c r="AP468" i="1"/>
  <c r="AQ468" i="1" s="1"/>
  <c r="AP537" i="1"/>
  <c r="AQ537" i="1" s="1"/>
  <c r="AP549" i="1"/>
  <c r="AQ549" i="1" s="1"/>
  <c r="AP520" i="1"/>
  <c r="AQ520" i="1" s="1"/>
  <c r="AN211" i="1"/>
  <c r="AP211" i="1" s="1"/>
  <c r="AQ211" i="1" s="1"/>
  <c r="AP796" i="1"/>
  <c r="AQ796" i="1" s="1"/>
  <c r="AP800" i="1"/>
  <c r="AQ800" i="1" s="1"/>
  <c r="AP789" i="1"/>
  <c r="AQ789" i="1" s="1"/>
  <c r="AP177" i="1"/>
  <c r="AQ177" i="1" s="1"/>
  <c r="AP199" i="1"/>
  <c r="AQ199" i="1" s="1"/>
  <c r="AP178" i="1"/>
  <c r="AQ178" i="1" s="1"/>
  <c r="AP170" i="1"/>
  <c r="AQ170" i="1" s="1"/>
  <c r="AP198" i="1"/>
  <c r="AQ198" i="1" s="1"/>
  <c r="AP225" i="1"/>
  <c r="AQ225" i="1" s="1"/>
  <c r="AP398" i="1"/>
  <c r="AQ398" i="1" s="1"/>
  <c r="AP385" i="1"/>
  <c r="AQ385" i="1" s="1"/>
  <c r="AP389" i="1"/>
  <c r="AQ389" i="1" s="1"/>
  <c r="AP859" i="1"/>
  <c r="AQ859" i="1" s="1"/>
  <c r="AP841" i="1"/>
  <c r="AQ841" i="1" s="1"/>
  <c r="AP826" i="1"/>
  <c r="AQ826" i="1" s="1"/>
  <c r="AP850" i="1"/>
  <c r="AQ850" i="1" s="1"/>
  <c r="AP369" i="1"/>
  <c r="AQ369" i="1" s="1"/>
  <c r="AP400" i="1"/>
  <c r="AQ400" i="1" s="1"/>
  <c r="AP526" i="1"/>
  <c r="AQ526" i="1" s="1"/>
  <c r="AP679" i="1"/>
  <c r="AQ679" i="1" s="1"/>
  <c r="AP676" i="1"/>
  <c r="AQ676" i="1" s="1"/>
  <c r="AP867" i="1"/>
  <c r="AQ867" i="1" s="1"/>
  <c r="AP812" i="1"/>
  <c r="AQ812" i="1" s="1"/>
  <c r="AP823" i="1"/>
  <c r="AQ823" i="1" s="1"/>
  <c r="AP836" i="1"/>
  <c r="AQ836" i="1" s="1"/>
  <c r="AP794" i="1"/>
  <c r="AQ794" i="1" s="1"/>
  <c r="AP827" i="1"/>
  <c r="AQ827" i="1" s="1"/>
  <c r="AP858" i="1"/>
  <c r="AQ858" i="1" s="1"/>
  <c r="AP845" i="1"/>
  <c r="AQ845" i="1" s="1"/>
  <c r="AP875" i="1"/>
  <c r="AQ875" i="1" s="1"/>
  <c r="AP797" i="1"/>
  <c r="AQ797" i="1" s="1"/>
  <c r="AP860" i="1"/>
  <c r="AQ860" i="1" s="1"/>
  <c r="AP883" i="1"/>
  <c r="AQ883" i="1" s="1"/>
  <c r="AP788" i="1"/>
  <c r="AQ788" i="1" s="1"/>
  <c r="AP888" i="1"/>
  <c r="AQ888" i="1" s="1"/>
  <c r="AP844" i="1"/>
  <c r="AQ844" i="1" s="1"/>
  <c r="AP779" i="1"/>
  <c r="AQ779" i="1" s="1"/>
  <c r="AP771" i="1"/>
  <c r="AQ771" i="1" s="1"/>
  <c r="AP855" i="1"/>
  <c r="AQ855" i="1" s="1"/>
  <c r="AP848" i="1"/>
  <c r="AQ848" i="1" s="1"/>
  <c r="AP813" i="1"/>
  <c r="AQ813" i="1" s="1"/>
  <c r="AP775" i="1"/>
  <c r="AQ775" i="1" s="1"/>
  <c r="AP798" i="1"/>
  <c r="AQ798" i="1" s="1"/>
  <c r="AP420" i="1"/>
  <c r="AQ420" i="1" s="1"/>
  <c r="AP425" i="1"/>
  <c r="AQ425" i="1" s="1"/>
  <c r="AO411" i="1"/>
  <c r="AP66" i="1"/>
  <c r="AQ66" i="1" s="1"/>
  <c r="AP319" i="1"/>
  <c r="AQ319" i="1" s="1"/>
  <c r="AP317" i="1"/>
  <c r="AQ317" i="1" s="1"/>
  <c r="AP415" i="1"/>
  <c r="AQ415" i="1" s="1"/>
  <c r="AP686" i="1"/>
  <c r="AQ686" i="1" s="1"/>
  <c r="AP683" i="1"/>
  <c r="AQ683" i="1" s="1"/>
  <c r="AP221" i="1"/>
  <c r="AQ221" i="1" s="1"/>
  <c r="AP185" i="1"/>
  <c r="AQ185" i="1" s="1"/>
  <c r="AP173" i="1"/>
  <c r="AQ173" i="1" s="1"/>
  <c r="AP174" i="1"/>
  <c r="AQ174" i="1" s="1"/>
  <c r="AP166" i="1"/>
  <c r="AQ166" i="1" s="1"/>
  <c r="AP200" i="1"/>
  <c r="AQ200" i="1" s="1"/>
  <c r="AP343" i="1"/>
  <c r="AQ343" i="1" s="1"/>
  <c r="AP330" i="1"/>
  <c r="AQ330" i="1" s="1"/>
  <c r="AP297" i="1"/>
  <c r="AQ297" i="1" s="1"/>
  <c r="AP416" i="1"/>
  <c r="AQ416" i="1" s="1"/>
  <c r="AP725" i="1"/>
  <c r="AQ725" i="1" s="1"/>
  <c r="AP665" i="1"/>
  <c r="AQ665" i="1" s="1"/>
  <c r="AP672" i="1"/>
  <c r="AQ672" i="1" s="1"/>
  <c r="AP695" i="1"/>
  <c r="AQ695" i="1" s="1"/>
  <c r="AP617" i="1"/>
  <c r="AQ617" i="1" s="1"/>
  <c r="AP295" i="1"/>
  <c r="AQ295" i="1" s="1"/>
  <c r="AP292" i="1"/>
  <c r="AQ292" i="1" s="1"/>
  <c r="AP300" i="1"/>
  <c r="AQ300" i="1" s="1"/>
  <c r="AP278" i="1"/>
  <c r="AQ278" i="1" s="1"/>
  <c r="AP230" i="1"/>
  <c r="AQ230" i="1" s="1"/>
  <c r="AP244" i="1"/>
  <c r="AQ244" i="1" s="1"/>
  <c r="AP228" i="1"/>
  <c r="AQ228" i="1" s="1"/>
  <c r="AP165" i="1"/>
  <c r="AQ165" i="1" s="1"/>
  <c r="AP179" i="1"/>
  <c r="AQ179" i="1" s="1"/>
  <c r="AP67" i="1"/>
  <c r="AQ67" i="1" s="1"/>
  <c r="AP741" i="1"/>
  <c r="AQ741" i="1" s="1"/>
  <c r="AP715" i="1"/>
  <c r="AQ715" i="1" s="1"/>
  <c r="AP730" i="1"/>
  <c r="AQ730" i="1" s="1"/>
  <c r="AP736" i="1"/>
  <c r="AQ736" i="1" s="1"/>
  <c r="AP698" i="1"/>
  <c r="AQ698" i="1" s="1"/>
  <c r="AP678" i="1"/>
  <c r="AQ678" i="1" s="1"/>
  <c r="AP681" i="1"/>
  <c r="AQ681" i="1" s="1"/>
  <c r="AP427" i="1"/>
  <c r="AQ427" i="1" s="1"/>
  <c r="AP421" i="1"/>
  <c r="AQ421" i="1" s="1"/>
  <c r="AP429" i="1"/>
  <c r="AQ429" i="1" s="1"/>
  <c r="AP189" i="1"/>
  <c r="AQ189" i="1" s="1"/>
  <c r="AP98" i="1"/>
  <c r="AQ98" i="1" s="1"/>
  <c r="AP64" i="1"/>
  <c r="AQ64" i="1" s="1"/>
  <c r="AP68" i="1"/>
  <c r="AQ68" i="1" s="1"/>
  <c r="AP62" i="1"/>
  <c r="AQ62" i="1" s="1"/>
  <c r="AP96" i="1"/>
  <c r="AQ96" i="1" s="1"/>
  <c r="AP97" i="1"/>
  <c r="AQ97" i="1" s="1"/>
  <c r="AP78" i="1"/>
  <c r="AQ78" i="1" s="1"/>
  <c r="AP76" i="1"/>
  <c r="AQ76" i="1" s="1"/>
  <c r="AP95" i="1"/>
  <c r="AQ95" i="1" s="1"/>
  <c r="AP83" i="1"/>
  <c r="AQ83" i="1" s="1"/>
  <c r="AP94" i="1"/>
  <c r="AQ94" i="1" s="1"/>
  <c r="AP85" i="1"/>
  <c r="AQ85" i="1" s="1"/>
  <c r="AP63" i="1"/>
  <c r="AQ63" i="1" s="1"/>
  <c r="AP89" i="1"/>
  <c r="AQ89" i="1" s="1"/>
  <c r="AP70" i="1"/>
  <c r="AQ70" i="1" s="1"/>
  <c r="AP594" i="1"/>
  <c r="AQ594" i="1" s="1"/>
  <c r="AP395" i="1"/>
  <c r="AQ395" i="1" s="1"/>
  <c r="AP339" i="1"/>
  <c r="AQ339" i="1" s="1"/>
  <c r="AP283" i="1"/>
  <c r="AQ283" i="1" s="1"/>
  <c r="AP190" i="1"/>
  <c r="AQ190" i="1" s="1"/>
  <c r="AP664" i="1"/>
  <c r="AQ664" i="1" s="1"/>
  <c r="AP693" i="1"/>
  <c r="AQ693" i="1" s="1"/>
  <c r="AP518" i="1"/>
  <c r="AQ518" i="1" s="1"/>
  <c r="AP474" i="1"/>
  <c r="AQ474" i="1" s="1"/>
  <c r="AP483" i="1"/>
  <c r="AQ483" i="1" s="1"/>
  <c r="AP462" i="1"/>
  <c r="AQ462" i="1" s="1"/>
  <c r="AP464" i="1"/>
  <c r="AQ464" i="1" s="1"/>
  <c r="AP492" i="1"/>
  <c r="AQ492" i="1" s="1"/>
  <c r="AP430" i="1"/>
  <c r="AQ430" i="1" s="1"/>
  <c r="AP411" i="1"/>
  <c r="AQ411" i="1" s="1"/>
  <c r="AP419" i="1"/>
  <c r="AQ419" i="1" s="1"/>
  <c r="AP571" i="1"/>
  <c r="AQ571" i="1" s="1"/>
  <c r="AP584" i="1"/>
  <c r="AQ584" i="1" s="1"/>
  <c r="AP567" i="1"/>
  <c r="AQ567" i="1" s="1"/>
  <c r="AP477" i="1"/>
  <c r="AQ477" i="1" s="1"/>
  <c r="AP525" i="1"/>
  <c r="AQ525" i="1" s="1"/>
  <c r="AP368" i="1"/>
  <c r="AQ368" i="1" s="1"/>
  <c r="AP323" i="1"/>
  <c r="AQ323" i="1" s="1"/>
  <c r="AP265" i="1"/>
  <c r="AQ265" i="1" s="1"/>
  <c r="AP183" i="1"/>
  <c r="AQ183" i="1" s="1"/>
  <c r="AP275" i="1"/>
  <c r="AQ275" i="1" s="1"/>
  <c r="AP73" i="1"/>
  <c r="AQ73" i="1" s="1"/>
  <c r="AP77" i="1"/>
  <c r="AQ77" i="1" s="1"/>
  <c r="AP75" i="1"/>
  <c r="AQ75" i="1" s="1"/>
  <c r="AP79" i="1"/>
  <c r="AQ79" i="1" s="1"/>
  <c r="AP87" i="1"/>
  <c r="AQ87" i="1" s="1"/>
  <c r="AP99" i="1"/>
  <c r="AQ99" i="1" s="1"/>
  <c r="AP72" i="1"/>
  <c r="AQ72" i="1" s="1"/>
  <c r="AP288" i="1"/>
  <c r="AQ288" i="1" s="1"/>
  <c r="AP381" i="1"/>
  <c r="AQ381" i="1" s="1"/>
  <c r="AP290" i="1"/>
  <c r="AQ290" i="1" s="1"/>
  <c r="AP423" i="1"/>
  <c r="AQ423" i="1" s="1"/>
  <c r="AP268" i="1"/>
  <c r="AQ268" i="1" s="1"/>
  <c r="AP580" i="1"/>
  <c r="AQ580" i="1" s="1"/>
  <c r="AP581" i="1"/>
  <c r="AQ581" i="1" s="1"/>
  <c r="AP697" i="1"/>
  <c r="AQ697" i="1" s="1"/>
  <c r="AP685" i="1"/>
  <c r="AQ685" i="1" s="1"/>
  <c r="AP226" i="1"/>
  <c r="AQ226" i="1" s="1"/>
  <c r="AP262" i="1"/>
  <c r="AQ262" i="1" s="1"/>
  <c r="AP737" i="1"/>
  <c r="AQ737" i="1" s="1"/>
  <c r="AP712" i="1"/>
  <c r="AQ712" i="1" s="1"/>
  <c r="AP682" i="1"/>
  <c r="AQ682" i="1" s="1"/>
  <c r="AP690" i="1"/>
  <c r="AQ690" i="1" s="1"/>
  <c r="AP743" i="1"/>
  <c r="AQ743" i="1" s="1"/>
  <c r="AP687" i="1"/>
  <c r="AQ687" i="1" s="1"/>
  <c r="AP731" i="1"/>
  <c r="AQ731" i="1" s="1"/>
  <c r="AP74" i="1"/>
  <c r="AQ74" i="1" s="1"/>
  <c r="AP80" i="1"/>
  <c r="AQ80" i="1" s="1"/>
  <c r="AP81" i="1"/>
  <c r="AQ81" i="1" s="1"/>
  <c r="AP91" i="1"/>
  <c r="AQ91" i="1" s="1"/>
  <c r="AP397" i="1"/>
  <c r="AQ397" i="1" s="1"/>
  <c r="AP542" i="1"/>
  <c r="AQ542" i="1" s="1"/>
  <c r="AP588" i="1"/>
  <c r="AQ588" i="1" s="1"/>
  <c r="AP521" i="1"/>
  <c r="AQ521" i="1" s="1"/>
  <c r="AP528" i="1"/>
  <c r="AQ528" i="1" s="1"/>
  <c r="AP523" i="1"/>
  <c r="AQ523" i="1" s="1"/>
  <c r="AP670" i="1"/>
  <c r="AQ670" i="1" s="1"/>
  <c r="AP365" i="1"/>
  <c r="AQ365" i="1" s="1"/>
  <c r="AP392" i="1"/>
  <c r="AQ392" i="1" s="1"/>
  <c r="AP324" i="1"/>
  <c r="AQ324" i="1" s="1"/>
  <c r="AP621" i="1"/>
  <c r="AQ621" i="1" s="1"/>
  <c r="AP546" i="1"/>
  <c r="AQ546" i="1" s="1"/>
  <c r="AP534" i="1"/>
  <c r="AQ534" i="1" s="1"/>
  <c r="AP516" i="1"/>
  <c r="AQ516" i="1" s="1"/>
  <c r="AP530" i="1"/>
  <c r="AQ530" i="1" s="1"/>
  <c r="AP739" i="1"/>
  <c r="AQ739" i="1" s="1"/>
  <c r="AP543" i="1"/>
  <c r="AQ543" i="1" s="1"/>
  <c r="AP565" i="1"/>
  <c r="AQ565" i="1" s="1"/>
  <c r="AP532" i="1"/>
  <c r="AQ532" i="1" s="1"/>
  <c r="AP163" i="1"/>
  <c r="AQ163" i="1" s="1"/>
  <c r="AP180" i="1"/>
  <c r="AQ180" i="1" s="1"/>
  <c r="AP325" i="1"/>
  <c r="AQ325" i="1" s="1"/>
  <c r="AP449" i="1"/>
  <c r="AQ449" i="1" s="1"/>
  <c r="AP344" i="1"/>
  <c r="AQ344" i="1" s="1"/>
  <c r="AP326" i="1"/>
  <c r="AQ326" i="1" s="1"/>
  <c r="AP340" i="1"/>
  <c r="AQ340" i="1" s="1"/>
  <c r="AP444" i="1"/>
  <c r="AQ444" i="1" s="1"/>
  <c r="AP527" i="1"/>
  <c r="AQ527" i="1" s="1"/>
  <c r="AP515" i="1"/>
  <c r="AQ515" i="1" s="1"/>
  <c r="AP713" i="1"/>
  <c r="AQ713" i="1" s="1"/>
  <c r="AP746" i="1"/>
  <c r="AQ746" i="1" s="1"/>
  <c r="AP716" i="1"/>
  <c r="AQ716" i="1" s="1"/>
  <c r="AP748" i="1"/>
  <c r="AQ748" i="1" s="1"/>
  <c r="AP742" i="1"/>
  <c r="AQ742" i="1" s="1"/>
  <c r="AP747" i="1"/>
  <c r="AQ747" i="1" s="1"/>
  <c r="AP721" i="1"/>
  <c r="AQ721" i="1" s="1"/>
  <c r="AP722" i="1"/>
  <c r="AQ722" i="1" s="1"/>
  <c r="AP735" i="1"/>
  <c r="AQ735" i="1" s="1"/>
  <c r="AP718" i="1"/>
  <c r="AQ718" i="1" s="1"/>
  <c r="AP740" i="1"/>
  <c r="AQ740" i="1" s="1"/>
  <c r="AP720" i="1"/>
  <c r="AQ720" i="1" s="1"/>
  <c r="AP714" i="1"/>
  <c r="AQ714" i="1" s="1"/>
  <c r="AP744" i="1"/>
  <c r="AQ744" i="1" s="1"/>
  <c r="AP724" i="1"/>
  <c r="AQ724" i="1" s="1"/>
  <c r="AP719" i="1"/>
  <c r="AQ719" i="1" s="1"/>
  <c r="AP728" i="1"/>
  <c r="AQ728" i="1" s="1"/>
  <c r="AP699" i="1"/>
  <c r="AQ699" i="1" s="1"/>
  <c r="AP668" i="1"/>
  <c r="AQ668" i="1" s="1"/>
  <c r="AP684" i="1"/>
  <c r="AQ684" i="1" s="1"/>
  <c r="AP696" i="1"/>
  <c r="AQ696" i="1" s="1"/>
  <c r="AP622" i="1"/>
  <c r="AQ622" i="1" s="1"/>
  <c r="AP631" i="1"/>
  <c r="AQ631" i="1" s="1"/>
  <c r="AP630" i="1"/>
  <c r="AQ630" i="1" s="1"/>
  <c r="AP645" i="1"/>
  <c r="AQ645" i="1" s="1"/>
  <c r="AP644" i="1"/>
  <c r="AQ644" i="1" s="1"/>
  <c r="AP639" i="1"/>
  <c r="AQ639" i="1" s="1"/>
  <c r="AP625" i="1"/>
  <c r="AQ625" i="1" s="1"/>
  <c r="AP626" i="1"/>
  <c r="AQ626" i="1" s="1"/>
  <c r="AP616" i="1"/>
  <c r="AQ616" i="1" s="1"/>
  <c r="AP590" i="1"/>
  <c r="AQ590" i="1" s="1"/>
  <c r="AP596" i="1"/>
  <c r="AQ596" i="1" s="1"/>
  <c r="AP585" i="1"/>
  <c r="AQ585" i="1" s="1"/>
  <c r="AP577" i="1"/>
  <c r="AQ577" i="1" s="1"/>
  <c r="AP583" i="1"/>
  <c r="AQ583" i="1" s="1"/>
  <c r="AP598" i="1"/>
  <c r="AQ598" i="1" s="1"/>
  <c r="AP593" i="1"/>
  <c r="AQ593" i="1" s="1"/>
  <c r="AP533" i="1"/>
  <c r="AQ533" i="1" s="1"/>
  <c r="AP514" i="1"/>
  <c r="AQ514" i="1" s="1"/>
  <c r="AP544" i="1"/>
  <c r="AQ544" i="1" s="1"/>
  <c r="AP491" i="1"/>
  <c r="AQ491" i="1" s="1"/>
  <c r="AP500" i="1"/>
  <c r="AQ500" i="1" s="1"/>
  <c r="AP494" i="1"/>
  <c r="AQ494" i="1" s="1"/>
  <c r="AP488" i="1"/>
  <c r="AQ488" i="1" s="1"/>
  <c r="AP466" i="1"/>
  <c r="AQ466" i="1" s="1"/>
  <c r="AP485" i="1"/>
  <c r="AQ485" i="1" s="1"/>
  <c r="AP486" i="1"/>
  <c r="AQ486" i="1" s="1"/>
  <c r="AP412" i="1"/>
  <c r="AQ412" i="1" s="1"/>
  <c r="AP413" i="1"/>
  <c r="AQ413" i="1" s="1"/>
  <c r="AP447" i="1"/>
  <c r="AQ447" i="1" s="1"/>
  <c r="AP422" i="1"/>
  <c r="AQ422" i="1" s="1"/>
  <c r="AP436" i="1"/>
  <c r="AQ436" i="1" s="1"/>
  <c r="AP426" i="1"/>
  <c r="AQ426" i="1" s="1"/>
  <c r="AP440" i="1"/>
  <c r="AQ440" i="1" s="1"/>
  <c r="AP418" i="1"/>
  <c r="AQ418" i="1" s="1"/>
  <c r="AP448" i="1"/>
  <c r="AQ448" i="1" s="1"/>
  <c r="AP376" i="1"/>
  <c r="AQ376" i="1" s="1"/>
  <c r="AP399" i="1"/>
  <c r="AQ399" i="1" s="1"/>
  <c r="AP372" i="1"/>
  <c r="AQ372" i="1" s="1"/>
  <c r="AP396" i="1"/>
  <c r="AQ396" i="1" s="1"/>
  <c r="AP383" i="1"/>
  <c r="AQ383" i="1" s="1"/>
  <c r="AP394" i="1"/>
  <c r="AQ394" i="1" s="1"/>
  <c r="AP370" i="1"/>
  <c r="AQ370" i="1" s="1"/>
  <c r="AP366" i="1"/>
  <c r="AQ366" i="1" s="1"/>
  <c r="AP364" i="1"/>
  <c r="AQ364" i="1" s="1"/>
  <c r="AP313" i="1"/>
  <c r="AQ313" i="1" s="1"/>
  <c r="AP335" i="1"/>
  <c r="AQ335" i="1" s="1"/>
  <c r="AP349" i="1"/>
  <c r="AQ349" i="1" s="1"/>
  <c r="AP322" i="1"/>
  <c r="AQ322" i="1" s="1"/>
  <c r="AP336" i="1"/>
  <c r="AQ336" i="1" s="1"/>
  <c r="AP315" i="1"/>
  <c r="AQ315" i="1" s="1"/>
  <c r="AP316" i="1"/>
  <c r="AQ316" i="1" s="1"/>
  <c r="AP332" i="1"/>
  <c r="AQ332" i="1" s="1"/>
  <c r="AP345" i="1"/>
  <c r="AQ345" i="1" s="1"/>
  <c r="AP350" i="1"/>
  <c r="AQ350" i="1" s="1"/>
  <c r="AP320" i="1"/>
  <c r="AQ320" i="1" s="1"/>
  <c r="AP334" i="1"/>
  <c r="AQ334" i="1" s="1"/>
  <c r="AP346" i="1"/>
  <c r="AQ346" i="1" s="1"/>
  <c r="AP348" i="1"/>
  <c r="AQ348" i="1" s="1"/>
  <c r="AP318" i="1"/>
  <c r="AQ318" i="1" s="1"/>
  <c r="AP347" i="1"/>
  <c r="AQ347" i="1" s="1"/>
  <c r="AP331" i="1"/>
  <c r="AQ331" i="1" s="1"/>
  <c r="AP314" i="1"/>
  <c r="AQ314" i="1" s="1"/>
  <c r="AP291" i="1"/>
  <c r="AQ291" i="1" s="1"/>
  <c r="AP271" i="1"/>
  <c r="AQ271" i="1" s="1"/>
  <c r="AP299" i="1"/>
  <c r="AQ299" i="1" s="1"/>
  <c r="AP280" i="1"/>
  <c r="AQ280" i="1" s="1"/>
  <c r="AP269" i="1"/>
  <c r="AQ269" i="1" s="1"/>
  <c r="AP296" i="1"/>
  <c r="AQ296" i="1" s="1"/>
  <c r="AP298" i="1"/>
  <c r="AQ298" i="1" s="1"/>
  <c r="AP286" i="1"/>
  <c r="AQ286" i="1" s="1"/>
  <c r="AP231" i="1"/>
  <c r="AQ231" i="1" s="1"/>
  <c r="AP249" i="1"/>
  <c r="AQ249" i="1" s="1"/>
  <c r="AP216" i="1"/>
  <c r="AQ216" i="1" s="1"/>
  <c r="AP250" i="1"/>
  <c r="AQ250" i="1" s="1"/>
  <c r="AP169" i="1"/>
  <c r="AQ169" i="1" s="1"/>
  <c r="AP172" i="1"/>
  <c r="AQ172" i="1" s="1"/>
  <c r="AP182" i="1"/>
  <c r="AQ182" i="1" s="1"/>
  <c r="AP176" i="1"/>
  <c r="AQ176" i="1" s="1"/>
  <c r="AP191" i="1"/>
  <c r="AQ191" i="1" s="1"/>
  <c r="AP186" i="1"/>
  <c r="AQ186" i="1" s="1"/>
  <c r="AP162" i="1"/>
  <c r="AQ162" i="1" s="1"/>
  <c r="AP184" i="1"/>
  <c r="AQ184" i="1" s="1"/>
  <c r="AP196" i="1"/>
  <c r="AQ196" i="1" s="1"/>
  <c r="AP195" i="1"/>
  <c r="AQ195" i="1" s="1"/>
  <c r="AP197" i="1"/>
  <c r="AQ197" i="1" s="1"/>
  <c r="AP168" i="1"/>
  <c r="AQ168" i="1" s="1"/>
  <c r="AP691" i="1"/>
  <c r="AQ691" i="1" s="1"/>
  <c r="AP667" i="1"/>
  <c r="AQ667" i="1" s="1"/>
  <c r="AO661" i="1"/>
  <c r="AN661" i="1"/>
  <c r="AP671" i="1"/>
  <c r="AQ671" i="1" s="1"/>
  <c r="AP666" i="1"/>
  <c r="AQ666" i="1" s="1"/>
  <c r="AP745" i="1"/>
  <c r="AQ745" i="1" s="1"/>
  <c r="AP694" i="1"/>
  <c r="AQ694" i="1" s="1"/>
  <c r="AP738" i="1"/>
  <c r="AQ738" i="1" s="1"/>
  <c r="AP680" i="1"/>
  <c r="AQ680" i="1" s="1"/>
  <c r="AO711" i="1"/>
  <c r="AN711" i="1"/>
  <c r="AP689" i="1"/>
  <c r="AQ689" i="1" s="1"/>
  <c r="AP734" i="1"/>
  <c r="AQ734" i="1" s="1"/>
  <c r="AP692" i="1"/>
  <c r="AQ692" i="1" s="1"/>
  <c r="AP750" i="1"/>
  <c r="AQ750" i="1" s="1"/>
  <c r="AP675" i="1"/>
  <c r="AQ675" i="1" s="1"/>
  <c r="AP726" i="1"/>
  <c r="AQ726" i="1" s="1"/>
  <c r="AP688" i="1"/>
  <c r="AQ688" i="1" s="1"/>
  <c r="AP674" i="1"/>
  <c r="AQ674" i="1" s="1"/>
  <c r="AP749" i="1"/>
  <c r="AQ749" i="1" s="1"/>
  <c r="AP723" i="1"/>
  <c r="AQ723" i="1" s="1"/>
  <c r="AP727" i="1"/>
  <c r="AQ727" i="1" s="1"/>
  <c r="AP517" i="1"/>
  <c r="AQ517" i="1" s="1"/>
  <c r="AP578" i="1"/>
  <c r="AQ578" i="1" s="1"/>
  <c r="AP563" i="1"/>
  <c r="AQ563" i="1" s="1"/>
  <c r="AP569" i="1"/>
  <c r="AQ569" i="1" s="1"/>
  <c r="AP566" i="1"/>
  <c r="AQ566" i="1" s="1"/>
  <c r="AP591" i="1"/>
  <c r="AQ591" i="1" s="1"/>
  <c r="AP524" i="1"/>
  <c r="AQ524" i="1" s="1"/>
  <c r="AP529" i="1"/>
  <c r="AQ529" i="1" s="1"/>
  <c r="AP618" i="1"/>
  <c r="AQ618" i="1" s="1"/>
  <c r="AP547" i="1"/>
  <c r="AQ547" i="1" s="1"/>
  <c r="AP599" i="1"/>
  <c r="AQ599" i="1" s="1"/>
  <c r="AP586" i="1"/>
  <c r="AQ586" i="1" s="1"/>
  <c r="AP545" i="1"/>
  <c r="AQ545" i="1" s="1"/>
  <c r="AP489" i="1"/>
  <c r="AQ489" i="1" s="1"/>
  <c r="AP548" i="1"/>
  <c r="AQ548" i="1" s="1"/>
  <c r="AP497" i="1"/>
  <c r="AQ497" i="1" s="1"/>
  <c r="AP484" i="1"/>
  <c r="AQ484" i="1" s="1"/>
  <c r="AP550" i="1"/>
  <c r="AQ550" i="1" s="1"/>
  <c r="AN511" i="1"/>
  <c r="AO511" i="1"/>
  <c r="AO461" i="1"/>
  <c r="AN461" i="1"/>
  <c r="AP541" i="1"/>
  <c r="AQ541" i="1" s="1"/>
  <c r="AP587" i="1"/>
  <c r="AQ587" i="1" s="1"/>
  <c r="AP482" i="1"/>
  <c r="AQ482" i="1" s="1"/>
  <c r="AP481" i="1"/>
  <c r="AQ481" i="1" s="1"/>
  <c r="AP467" i="1"/>
  <c r="AQ467" i="1" s="1"/>
  <c r="AP493" i="1"/>
  <c r="AQ493" i="1" s="1"/>
  <c r="AO561" i="1"/>
  <c r="AN561" i="1"/>
  <c r="AP470" i="1"/>
  <c r="AQ470" i="1" s="1"/>
  <c r="AP490" i="1"/>
  <c r="AQ490" i="1" s="1"/>
  <c r="AP495" i="1"/>
  <c r="AQ495" i="1" s="1"/>
  <c r="AP600" i="1"/>
  <c r="AQ600" i="1" s="1"/>
  <c r="AP562" i="1"/>
  <c r="AQ562" i="1" s="1"/>
  <c r="AP575" i="1"/>
  <c r="AQ575" i="1" s="1"/>
  <c r="AP480" i="1"/>
  <c r="AQ480" i="1" s="1"/>
  <c r="AP471" i="1"/>
  <c r="AQ471" i="1" s="1"/>
  <c r="AP649" i="1"/>
  <c r="AQ649" i="1" s="1"/>
  <c r="AP635" i="1"/>
  <c r="AQ635" i="1" s="1"/>
  <c r="AP574" i="1"/>
  <c r="AQ574" i="1" s="1"/>
  <c r="AP531" i="1"/>
  <c r="AQ531" i="1" s="1"/>
  <c r="AP650" i="1"/>
  <c r="AQ650" i="1" s="1"/>
  <c r="AP646" i="1"/>
  <c r="AQ646" i="1" s="1"/>
  <c r="AP572" i="1"/>
  <c r="AQ572" i="1" s="1"/>
  <c r="AP428" i="1"/>
  <c r="AQ428" i="1" s="1"/>
  <c r="AP329" i="1"/>
  <c r="AQ329" i="1" s="1"/>
  <c r="AP337" i="1"/>
  <c r="AQ337" i="1" s="1"/>
  <c r="AP281" i="1"/>
  <c r="AQ281" i="1" s="1"/>
  <c r="AP442" i="1"/>
  <c r="AQ442" i="1" s="1"/>
  <c r="AP388" i="1"/>
  <c r="AQ388" i="1" s="1"/>
  <c r="AP312" i="1"/>
  <c r="AQ312" i="1" s="1"/>
  <c r="AP333" i="1"/>
  <c r="AQ333" i="1" s="1"/>
  <c r="AO361" i="1"/>
  <c r="AN361" i="1"/>
  <c r="AP431" i="1"/>
  <c r="AQ431" i="1" s="1"/>
  <c r="AP443" i="1"/>
  <c r="AQ443" i="1" s="1"/>
  <c r="AP417" i="1"/>
  <c r="AQ417" i="1" s="1"/>
  <c r="AP390" i="1"/>
  <c r="AQ390" i="1" s="1"/>
  <c r="AP387" i="1"/>
  <c r="AQ387" i="1" s="1"/>
  <c r="AP341" i="1"/>
  <c r="AQ341" i="1" s="1"/>
  <c r="AP378" i="1"/>
  <c r="AQ378" i="1" s="1"/>
  <c r="AP363" i="1"/>
  <c r="AQ363" i="1" s="1"/>
  <c r="AP433" i="1"/>
  <c r="AQ433" i="1" s="1"/>
  <c r="AP414" i="1"/>
  <c r="AQ414" i="1" s="1"/>
  <c r="AP391" i="1"/>
  <c r="AQ391" i="1" s="1"/>
  <c r="AP285" i="1"/>
  <c r="AQ285" i="1" s="1"/>
  <c r="AP439" i="1"/>
  <c r="AQ439" i="1" s="1"/>
  <c r="AP382" i="1"/>
  <c r="AQ382" i="1" s="1"/>
  <c r="AP287" i="1"/>
  <c r="AQ287" i="1" s="1"/>
  <c r="AP438" i="1"/>
  <c r="AQ438" i="1" s="1"/>
  <c r="AP424" i="1"/>
  <c r="AQ424" i="1" s="1"/>
  <c r="AP328" i="1"/>
  <c r="AQ328" i="1" s="1"/>
  <c r="AP338" i="1"/>
  <c r="AQ338" i="1" s="1"/>
  <c r="AP446" i="1"/>
  <c r="AQ446" i="1" s="1"/>
  <c r="AP282" i="1"/>
  <c r="AQ282" i="1" s="1"/>
  <c r="AP371" i="1"/>
  <c r="AQ371" i="1" s="1"/>
  <c r="AP386" i="1"/>
  <c r="AQ386" i="1" s="1"/>
  <c r="AP342" i="1"/>
  <c r="AQ342" i="1" s="1"/>
  <c r="AP435" i="1"/>
  <c r="AQ435" i="1" s="1"/>
  <c r="AP272" i="1"/>
  <c r="AQ272" i="1" s="1"/>
  <c r="AP294" i="1"/>
  <c r="AQ294" i="1" s="1"/>
  <c r="AP375" i="1"/>
  <c r="AQ375" i="1" s="1"/>
  <c r="AP432" i="1"/>
  <c r="AQ432" i="1" s="1"/>
  <c r="AN311" i="1"/>
  <c r="AO311" i="1"/>
  <c r="AP384" i="1"/>
  <c r="AQ384" i="1" s="1"/>
  <c r="AP374" i="1"/>
  <c r="AQ374" i="1" s="1"/>
  <c r="AP450" i="1"/>
  <c r="AQ450" i="1" s="1"/>
  <c r="AP434" i="1"/>
  <c r="AQ434" i="1" s="1"/>
  <c r="AP321" i="1"/>
  <c r="AQ321" i="1" s="1"/>
  <c r="AP235" i="1"/>
  <c r="AQ235" i="1" s="1"/>
  <c r="AP239" i="1"/>
  <c r="AQ239" i="1" s="1"/>
  <c r="AP222" i="1"/>
  <c r="AQ222" i="1" s="1"/>
  <c r="AP217" i="1"/>
  <c r="AQ217" i="1" s="1"/>
  <c r="AP218" i="1"/>
  <c r="AQ218" i="1" s="1"/>
  <c r="AP181" i="1"/>
  <c r="AQ181" i="1" s="1"/>
  <c r="AP194" i="1"/>
  <c r="AQ194" i="1" s="1"/>
  <c r="AP167" i="1"/>
  <c r="AQ167" i="1" s="1"/>
  <c r="AP175" i="1"/>
  <c r="AQ175" i="1" s="1"/>
  <c r="AP192" i="1"/>
  <c r="AQ192" i="1" s="1"/>
  <c r="AP188" i="1"/>
  <c r="AQ188" i="1" s="1"/>
  <c r="AP187" i="1"/>
  <c r="AQ187" i="1" s="1"/>
  <c r="AP164" i="1"/>
  <c r="AQ164" i="1" s="1"/>
  <c r="AP171" i="1"/>
  <c r="AQ171" i="1" s="1"/>
  <c r="AO161" i="1"/>
  <c r="AN161" i="1"/>
  <c r="AP71" i="1"/>
  <c r="AQ71" i="1" s="1"/>
  <c r="AP69" i="1"/>
  <c r="AQ69" i="1" s="1"/>
  <c r="AP65" i="1"/>
  <c r="AQ65" i="1" s="1"/>
  <c r="AP86" i="1"/>
  <c r="AQ86" i="1" s="1"/>
  <c r="AP82" i="1"/>
  <c r="AQ82" i="1" s="1"/>
  <c r="AN61" i="1"/>
  <c r="AP61" i="1" s="1"/>
  <c r="AQ61" i="1" s="1"/>
  <c r="AP88" i="1"/>
  <c r="AQ88" i="1" s="1"/>
  <c r="AP92" i="1"/>
  <c r="AQ92" i="1" s="1"/>
  <c r="AP84" i="1"/>
  <c r="AQ84" i="1" s="1"/>
  <c r="AP100" i="1"/>
  <c r="AQ100" i="1" s="1"/>
  <c r="BA771" i="1" l="1"/>
  <c r="AP361" i="1"/>
  <c r="AQ361" i="1" s="1"/>
  <c r="AR61" i="1"/>
  <c r="AR771" i="1"/>
  <c r="AP661" i="1"/>
  <c r="AQ661" i="1" s="1"/>
  <c r="AR661" i="1" s="1"/>
  <c r="AP161" i="1"/>
  <c r="AQ161" i="1" s="1"/>
  <c r="AR161" i="1" s="1"/>
  <c r="AP711" i="1"/>
  <c r="AQ711" i="1" s="1"/>
  <c r="AR711" i="1" s="1"/>
  <c r="AP461" i="1"/>
  <c r="AQ461" i="1" s="1"/>
  <c r="AR461" i="1" s="1"/>
  <c r="AP561" i="1"/>
  <c r="AQ561" i="1" s="1"/>
  <c r="AR561" i="1" s="1"/>
  <c r="AR211" i="1"/>
  <c r="AR411" i="1"/>
  <c r="AR611" i="1"/>
  <c r="AP311" i="1"/>
  <c r="AQ311" i="1" s="1"/>
  <c r="AR311" i="1" s="1"/>
  <c r="AR261" i="1"/>
  <c r="AP511" i="1"/>
  <c r="AQ511" i="1" s="1"/>
  <c r="AR511" i="1" s="1"/>
  <c r="AR361" i="1"/>
  <c r="AG112" i="1" l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BI111" i="1"/>
  <c r="BH111" i="1"/>
  <c r="BD111" i="1"/>
  <c r="AC111" i="1" a="1"/>
  <c r="AH111" i="1"/>
  <c r="AG111" i="1"/>
  <c r="AE111" i="1" a="1"/>
  <c r="X111" i="1"/>
  <c r="P111" i="1" a="1"/>
  <c r="O111" i="1" a="1"/>
  <c r="M111" i="1" a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11" i="1"/>
  <c r="AI11" i="1"/>
  <c r="BI11" i="1"/>
  <c r="BH11" i="1"/>
  <c r="BF771" i="1"/>
  <c r="BD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11" i="1"/>
  <c r="AZ11" i="1"/>
  <c r="AC11" i="1" a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11" i="1"/>
  <c r="AK12" i="1"/>
  <c r="AM12" i="1"/>
  <c r="AK13" i="1"/>
  <c r="AM13" i="1"/>
  <c r="AK14" i="1"/>
  <c r="AM14" i="1"/>
  <c r="AK15" i="1"/>
  <c r="AM15" i="1"/>
  <c r="AK16" i="1"/>
  <c r="AM16" i="1"/>
  <c r="AK17" i="1"/>
  <c r="AM17" i="1"/>
  <c r="AK18" i="1"/>
  <c r="AM18" i="1"/>
  <c r="AK19" i="1"/>
  <c r="AM19" i="1"/>
  <c r="AK20" i="1"/>
  <c r="AM20" i="1"/>
  <c r="AK21" i="1"/>
  <c r="AM21" i="1"/>
  <c r="AK22" i="1"/>
  <c r="AM22" i="1"/>
  <c r="AK23" i="1"/>
  <c r="AM23" i="1"/>
  <c r="AK24" i="1"/>
  <c r="AM24" i="1"/>
  <c r="AK25" i="1"/>
  <c r="AM25" i="1"/>
  <c r="AK26" i="1"/>
  <c r="AM26" i="1"/>
  <c r="AK27" i="1"/>
  <c r="AM27" i="1"/>
  <c r="AK28" i="1"/>
  <c r="AM28" i="1"/>
  <c r="AK29" i="1"/>
  <c r="AM29" i="1"/>
  <c r="AK30" i="1"/>
  <c r="AM30" i="1"/>
  <c r="AK31" i="1"/>
  <c r="AM31" i="1"/>
  <c r="AK32" i="1"/>
  <c r="AM32" i="1"/>
  <c r="AK33" i="1"/>
  <c r="AM33" i="1"/>
  <c r="AK34" i="1"/>
  <c r="AM34" i="1"/>
  <c r="AK35" i="1"/>
  <c r="AM35" i="1"/>
  <c r="AK36" i="1"/>
  <c r="AM36" i="1"/>
  <c r="AK37" i="1"/>
  <c r="AM37" i="1"/>
  <c r="AK38" i="1"/>
  <c r="AM38" i="1"/>
  <c r="AK39" i="1"/>
  <c r="AM39" i="1"/>
  <c r="AK40" i="1"/>
  <c r="AM40" i="1"/>
  <c r="AK41" i="1"/>
  <c r="AM41" i="1"/>
  <c r="AK42" i="1"/>
  <c r="AM42" i="1"/>
  <c r="AK43" i="1"/>
  <c r="AM43" i="1"/>
  <c r="AK44" i="1"/>
  <c r="AM44" i="1"/>
  <c r="AK45" i="1"/>
  <c r="AM45" i="1"/>
  <c r="AK46" i="1"/>
  <c r="AM46" i="1"/>
  <c r="AK47" i="1"/>
  <c r="AM47" i="1"/>
  <c r="AK48" i="1"/>
  <c r="AM48" i="1"/>
  <c r="AK49" i="1"/>
  <c r="AM49" i="1"/>
  <c r="AK50" i="1"/>
  <c r="AM50" i="1"/>
  <c r="AM11" i="1"/>
  <c r="AK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11" i="1"/>
  <c r="AE11" i="1" a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11" i="1"/>
  <c r="P11" i="1" a="1"/>
  <c r="M11" i="1" a="1"/>
  <c r="V130" i="1" l="1"/>
  <c r="AS130" i="1" s="1"/>
  <c r="V113" i="1"/>
  <c r="AS113" i="1" s="1"/>
  <c r="BJ771" i="1"/>
  <c r="BK771" i="1"/>
  <c r="BL771" i="1"/>
  <c r="W139" i="1"/>
  <c r="W140" i="1"/>
  <c r="W127" i="1"/>
  <c r="W115" i="1"/>
  <c r="W138" i="1"/>
  <c r="W126" i="1"/>
  <c r="W114" i="1"/>
  <c r="W150" i="1"/>
  <c r="W137" i="1"/>
  <c r="W125" i="1"/>
  <c r="W113" i="1"/>
  <c r="W149" i="1"/>
  <c r="W136" i="1"/>
  <c r="W124" i="1"/>
  <c r="W112" i="1"/>
  <c r="W148" i="1"/>
  <c r="W135" i="1"/>
  <c r="W123" i="1"/>
  <c r="W111" i="1"/>
  <c r="W147" i="1"/>
  <c r="W134" i="1"/>
  <c r="W122" i="1"/>
  <c r="W142" i="1"/>
  <c r="W129" i="1"/>
  <c r="W117" i="1"/>
  <c r="W141" i="1"/>
  <c r="W128" i="1"/>
  <c r="W116" i="1"/>
  <c r="W131" i="1"/>
  <c r="W130" i="1"/>
  <c r="W121" i="1"/>
  <c r="W120" i="1"/>
  <c r="W119" i="1"/>
  <c r="W118" i="1"/>
  <c r="W146" i="1"/>
  <c r="W145" i="1"/>
  <c r="W144" i="1"/>
  <c r="W143" i="1"/>
  <c r="W133" i="1"/>
  <c r="W132" i="1"/>
  <c r="W47" i="1"/>
  <c r="W35" i="1"/>
  <c r="W23" i="1"/>
  <c r="W11" i="1"/>
  <c r="W46" i="1"/>
  <c r="W34" i="1"/>
  <c r="W22" i="1"/>
  <c r="W45" i="1"/>
  <c r="W33" i="1"/>
  <c r="W21" i="1"/>
  <c r="W44" i="1"/>
  <c r="W32" i="1"/>
  <c r="W20" i="1"/>
  <c r="W43" i="1"/>
  <c r="W31" i="1"/>
  <c r="W19" i="1"/>
  <c r="W42" i="1"/>
  <c r="W30" i="1"/>
  <c r="W18" i="1"/>
  <c r="W49" i="1"/>
  <c r="W37" i="1"/>
  <c r="W25" i="1"/>
  <c r="W13" i="1"/>
  <c r="W48" i="1"/>
  <c r="W36" i="1"/>
  <c r="W24" i="1"/>
  <c r="W12" i="1"/>
  <c r="W39" i="1"/>
  <c r="W38" i="1"/>
  <c r="W29" i="1"/>
  <c r="W28" i="1"/>
  <c r="W27" i="1"/>
  <c r="W26" i="1"/>
  <c r="W17" i="1"/>
  <c r="W16" i="1"/>
  <c r="W15" i="1"/>
  <c r="W50" i="1"/>
  <c r="W14" i="1"/>
  <c r="W41" i="1"/>
  <c r="W40" i="1"/>
  <c r="AV747" i="1"/>
  <c r="AV738" i="1"/>
  <c r="AV734" i="1"/>
  <c r="AV720" i="1"/>
  <c r="AV666" i="1"/>
  <c r="AV649" i="1"/>
  <c r="AV639" i="1"/>
  <c r="AV629" i="1"/>
  <c r="AV624" i="1"/>
  <c r="AV594" i="1"/>
  <c r="AV579" i="1"/>
  <c r="AV569" i="1"/>
  <c r="AV547" i="1"/>
  <c r="AV528" i="1"/>
  <c r="AV516" i="1"/>
  <c r="AV499" i="1"/>
  <c r="AV490" i="1"/>
  <c r="AV472" i="1"/>
  <c r="AV446" i="1"/>
  <c r="AV442" i="1"/>
  <c r="AV438" i="1"/>
  <c r="AV434" i="1"/>
  <c r="AV429" i="1"/>
  <c r="AV425" i="1"/>
  <c r="AV421" i="1"/>
  <c r="AV416" i="1"/>
  <c r="AV334" i="1"/>
  <c r="AV328" i="1"/>
  <c r="AV316" i="1"/>
  <c r="AV311" i="1"/>
  <c r="AV300" i="1"/>
  <c r="AV290" i="1"/>
  <c r="AV286" i="1"/>
  <c r="AV268" i="1"/>
  <c r="AV262" i="1"/>
  <c r="AV238" i="1"/>
  <c r="AV229" i="1"/>
  <c r="AV215" i="1"/>
  <c r="AV211" i="1"/>
  <c r="AV193" i="1"/>
  <c r="AV187" i="1"/>
  <c r="AV181" i="1"/>
  <c r="AV174" i="1"/>
  <c r="AV68" i="1"/>
  <c r="AV730" i="1"/>
  <c r="AV725" i="1"/>
  <c r="AV714" i="1"/>
  <c r="AV698" i="1"/>
  <c r="AV688" i="1"/>
  <c r="AV683" i="1"/>
  <c r="AV673" i="1"/>
  <c r="AV667" i="1"/>
  <c r="AV644" i="1"/>
  <c r="AV613" i="1"/>
  <c r="AV599" i="1"/>
  <c r="AV589" i="1"/>
  <c r="AV585" i="1"/>
  <c r="AV541" i="1"/>
  <c r="AV535" i="1"/>
  <c r="AV523" i="1"/>
  <c r="AV477" i="1"/>
  <c r="AV468" i="1"/>
  <c r="AV396" i="1"/>
  <c r="AV392" i="1"/>
  <c r="AV388" i="1"/>
  <c r="AV384" i="1"/>
  <c r="AV379" i="1"/>
  <c r="AV375" i="1"/>
  <c r="AV371" i="1"/>
  <c r="AV366" i="1"/>
  <c r="AV345" i="1"/>
  <c r="AV340" i="1"/>
  <c r="AV323" i="1"/>
  <c r="AV296" i="1"/>
  <c r="AV282" i="1"/>
  <c r="AV277" i="1"/>
  <c r="AV273" i="1"/>
  <c r="AV263" i="1"/>
  <c r="AV248" i="1"/>
  <c r="AV234" i="1"/>
  <c r="AV200" i="1"/>
  <c r="AV194" i="1"/>
  <c r="AV743" i="1"/>
  <c r="AV739" i="1"/>
  <c r="AV715" i="1"/>
  <c r="AV693" i="1"/>
  <c r="AV678" i="1"/>
  <c r="AV668" i="1"/>
  <c r="AV640" i="1"/>
  <c r="AV635" i="1"/>
  <c r="AV630" i="1"/>
  <c r="AV625" i="1"/>
  <c r="AV620" i="1"/>
  <c r="AV614" i="1"/>
  <c r="AV580" i="1"/>
  <c r="AV575" i="1"/>
  <c r="AV570" i="1"/>
  <c r="AV562" i="1"/>
  <c r="AV529" i="1"/>
  <c r="AV517" i="1"/>
  <c r="AV511" i="1"/>
  <c r="AV500" i="1"/>
  <c r="AV495" i="1"/>
  <c r="AV486" i="1"/>
  <c r="AV482" i="1"/>
  <c r="AV462" i="1"/>
  <c r="AV447" i="1"/>
  <c r="AV430" i="1"/>
  <c r="AV417" i="1"/>
  <c r="AV335" i="1"/>
  <c r="AV329" i="1"/>
  <c r="AV317" i="1"/>
  <c r="AV291" i="1"/>
  <c r="AV269" i="1"/>
  <c r="AV243" i="1"/>
  <c r="AV225" i="1"/>
  <c r="AV221" i="1"/>
  <c r="AV188" i="1"/>
  <c r="AV182" i="1"/>
  <c r="AV175" i="1"/>
  <c r="AV170" i="1"/>
  <c r="AV99" i="1"/>
  <c r="AV97" i="1"/>
  <c r="AV66" i="1"/>
  <c r="AV748" i="1"/>
  <c r="AV735" i="1"/>
  <c r="AV731" i="1"/>
  <c r="AV726" i="1"/>
  <c r="AV721" i="1"/>
  <c r="AV699" i="1"/>
  <c r="AV689" i="1"/>
  <c r="AV684" i="1"/>
  <c r="AV674" i="1"/>
  <c r="AV669" i="1"/>
  <c r="AV661" i="1"/>
  <c r="AV650" i="1"/>
  <c r="AV645" i="1"/>
  <c r="AV595" i="1"/>
  <c r="AV590" i="1"/>
  <c r="AV581" i="1"/>
  <c r="AV548" i="1"/>
  <c r="AV542" i="1"/>
  <c r="AV536" i="1"/>
  <c r="AV524" i="1"/>
  <c r="AV744" i="1"/>
  <c r="AV694" i="1"/>
  <c r="AV679" i="1"/>
  <c r="AV641" i="1"/>
  <c r="AV636" i="1"/>
  <c r="AV631" i="1"/>
  <c r="AV621" i="1"/>
  <c r="AV615" i="1"/>
  <c r="AV611" i="1"/>
  <c r="AV600" i="1"/>
  <c r="AV586" i="1"/>
  <c r="AV576" i="1"/>
  <c r="AV571" i="1"/>
  <c r="AV563" i="1"/>
  <c r="AV530" i="1"/>
  <c r="AV519" i="1"/>
  <c r="AV487" i="1"/>
  <c r="AV478" i="1"/>
  <c r="AV463" i="1"/>
  <c r="AV448" i="1"/>
  <c r="AV418" i="1"/>
  <c r="AV393" i="1"/>
  <c r="AV389" i="1"/>
  <c r="AV385" i="1"/>
  <c r="AV381" i="1"/>
  <c r="AV376" i="1"/>
  <c r="AV372" i="1"/>
  <c r="AV362" i="1"/>
  <c r="AV347" i="1"/>
  <c r="AV336" i="1"/>
  <c r="AV330" i="1"/>
  <c r="AV319" i="1"/>
  <c r="AV283" i="1"/>
  <c r="AV274" i="1"/>
  <c r="AV249" i="1"/>
  <c r="AV749" i="1"/>
  <c r="AV740" i="1"/>
  <c r="AV716" i="1"/>
  <c r="AV675" i="1"/>
  <c r="AV670" i="1"/>
  <c r="AV646" i="1"/>
  <c r="AV626" i="1"/>
  <c r="AV736" i="1"/>
  <c r="AV732" i="1"/>
  <c r="AV727" i="1"/>
  <c r="AV722" i="1"/>
  <c r="AV711" i="1"/>
  <c r="AV700" i="1"/>
  <c r="AV690" i="1"/>
  <c r="AV685" i="1"/>
  <c r="AV680" i="1"/>
  <c r="AV637" i="1"/>
  <c r="AV632" i="1"/>
  <c r="AV616" i="1"/>
  <c r="AV745" i="1"/>
  <c r="AV728" i="1"/>
  <c r="AV717" i="1"/>
  <c r="AV750" i="1"/>
  <c r="AV741" i="1"/>
  <c r="AV723" i="1"/>
  <c r="AV718" i="1"/>
  <c r="AV737" i="1"/>
  <c r="AV733" i="1"/>
  <c r="AV664" i="1"/>
  <c r="AV638" i="1"/>
  <c r="AV628" i="1"/>
  <c r="AV623" i="1"/>
  <c r="AV618" i="1"/>
  <c r="AV593" i="1"/>
  <c r="AV583" i="1"/>
  <c r="AV573" i="1"/>
  <c r="AV566" i="1"/>
  <c r="AV545" i="1"/>
  <c r="AV539" i="1"/>
  <c r="AV533" i="1"/>
  <c r="AV513" i="1"/>
  <c r="AV512" i="1"/>
  <c r="AV498" i="1"/>
  <c r="AV746" i="1"/>
  <c r="AV729" i="1"/>
  <c r="AV719" i="1"/>
  <c r="AV697" i="1"/>
  <c r="AV682" i="1"/>
  <c r="AV742" i="1"/>
  <c r="AV724" i="1"/>
  <c r="AV648" i="1"/>
  <c r="AV591" i="1"/>
  <c r="AV564" i="1"/>
  <c r="AV546" i="1"/>
  <c r="AV520" i="1"/>
  <c r="AV515" i="1"/>
  <c r="AV494" i="1"/>
  <c r="AV466" i="1"/>
  <c r="AV439" i="1"/>
  <c r="AV424" i="1"/>
  <c r="AV386" i="1"/>
  <c r="AV349" i="1"/>
  <c r="AV344" i="1"/>
  <c r="AV326" i="1"/>
  <c r="AV321" i="1"/>
  <c r="AV289" i="1"/>
  <c r="AV270" i="1"/>
  <c r="AV230" i="1"/>
  <c r="AV226" i="1"/>
  <c r="AV222" i="1"/>
  <c r="AV218" i="1"/>
  <c r="AV189" i="1"/>
  <c r="AV185" i="1"/>
  <c r="AV180" i="1"/>
  <c r="AV633" i="1"/>
  <c r="AV598" i="1"/>
  <c r="AV518" i="1"/>
  <c r="AV485" i="1"/>
  <c r="AV415" i="1"/>
  <c r="AV324" i="1"/>
  <c r="AV284" i="1"/>
  <c r="AV276" i="1"/>
  <c r="AV245" i="1"/>
  <c r="AV198" i="1"/>
  <c r="AV71" i="1"/>
  <c r="AV691" i="1"/>
  <c r="AV677" i="1"/>
  <c r="AV627" i="1"/>
  <c r="AV612" i="1"/>
  <c r="AV592" i="1"/>
  <c r="AV584" i="1"/>
  <c r="AV538" i="1"/>
  <c r="AV525" i="1"/>
  <c r="AV475" i="1"/>
  <c r="AV471" i="1"/>
  <c r="AV443" i="1"/>
  <c r="AV432" i="1"/>
  <c r="AV428" i="1"/>
  <c r="AV397" i="1"/>
  <c r="AV383" i="1"/>
  <c r="AV368" i="1"/>
  <c r="AV363" i="1"/>
  <c r="AV293" i="1"/>
  <c r="AV266" i="1"/>
  <c r="AV235" i="1"/>
  <c r="AV213" i="1"/>
  <c r="AV171" i="1"/>
  <c r="AV166" i="1"/>
  <c r="AV98" i="1"/>
  <c r="AV96" i="1"/>
  <c r="AV94" i="1"/>
  <c r="AV92" i="1"/>
  <c r="AV90" i="1"/>
  <c r="AV88" i="1"/>
  <c r="AV86" i="1"/>
  <c r="AV84" i="1"/>
  <c r="AV82" i="1"/>
  <c r="AV237" i="1"/>
  <c r="AV686" i="1"/>
  <c r="AV672" i="1"/>
  <c r="AV712" i="1"/>
  <c r="AV681" i="1"/>
  <c r="AV588" i="1"/>
  <c r="AV577" i="1"/>
  <c r="AV565" i="1"/>
  <c r="AV521" i="1"/>
  <c r="AV483" i="1"/>
  <c r="AV479" i="1"/>
  <c r="AV467" i="1"/>
  <c r="AV436" i="1"/>
  <c r="AV390" i="1"/>
  <c r="AV331" i="1"/>
  <c r="AV298" i="1"/>
  <c r="AV278" i="1"/>
  <c r="AV239" i="1"/>
  <c r="AV231" i="1"/>
  <c r="AV227" i="1"/>
  <c r="AV219" i="1"/>
  <c r="AV190" i="1"/>
  <c r="AV100" i="1"/>
  <c r="AV80" i="1"/>
  <c r="AV78" i="1"/>
  <c r="AV76" i="1"/>
  <c r="AV74" i="1"/>
  <c r="AV72" i="1"/>
  <c r="AV70" i="1"/>
  <c r="AV233" i="1"/>
  <c r="AV178" i="1"/>
  <c r="AV91" i="1"/>
  <c r="AV89" i="1"/>
  <c r="AV87" i="1"/>
  <c r="AV85" i="1"/>
  <c r="AV81" i="1"/>
  <c r="AV473" i="1"/>
  <c r="AV338" i="1"/>
  <c r="AV713" i="1"/>
  <c r="AV695" i="1"/>
  <c r="AV617" i="1"/>
  <c r="AV596" i="1"/>
  <c r="AV543" i="1"/>
  <c r="AV534" i="1"/>
  <c r="AV440" i="1"/>
  <c r="AV398" i="1"/>
  <c r="AV387" i="1"/>
  <c r="AV369" i="1"/>
  <c r="AV364" i="1"/>
  <c r="AV361" i="1"/>
  <c r="AV350" i="1"/>
  <c r="AV327" i="1"/>
  <c r="AV322" i="1"/>
  <c r="AV294" i="1"/>
  <c r="AV271" i="1"/>
  <c r="AV267" i="1"/>
  <c r="AV223" i="1"/>
  <c r="AV214" i="1"/>
  <c r="AV195" i="1"/>
  <c r="AV186" i="1"/>
  <c r="AV167" i="1"/>
  <c r="AV161" i="1"/>
  <c r="AV192" i="1"/>
  <c r="AV83" i="1"/>
  <c r="AV314" i="1"/>
  <c r="AV183" i="1"/>
  <c r="AV696" i="1"/>
  <c r="AV692" i="1"/>
  <c r="AV662" i="1"/>
  <c r="AV574" i="1"/>
  <c r="AV526" i="1"/>
  <c r="AV491" i="1"/>
  <c r="AV476" i="1"/>
  <c r="AV444" i="1"/>
  <c r="AV433" i="1"/>
  <c r="AV412" i="1"/>
  <c r="AV394" i="1"/>
  <c r="AV380" i="1"/>
  <c r="AV332" i="1"/>
  <c r="AV236" i="1"/>
  <c r="AV196" i="1"/>
  <c r="AV191" i="1"/>
  <c r="AV176" i="1"/>
  <c r="AV172" i="1"/>
  <c r="AV64" i="1"/>
  <c r="AV95" i="1"/>
  <c r="AV497" i="1"/>
  <c r="AV464" i="1"/>
  <c r="AV419" i="1"/>
  <c r="AV77" i="1"/>
  <c r="AV73" i="1"/>
  <c r="AV671" i="1"/>
  <c r="AV642" i="1"/>
  <c r="AV597" i="1"/>
  <c r="AV578" i="1"/>
  <c r="AV522" i="1"/>
  <c r="AV484" i="1"/>
  <c r="AV480" i="1"/>
  <c r="AV437" i="1"/>
  <c r="AV413" i="1"/>
  <c r="AV391" i="1"/>
  <c r="AV373" i="1"/>
  <c r="AV365" i="1"/>
  <c r="AV341" i="1"/>
  <c r="AV312" i="1"/>
  <c r="AV299" i="1"/>
  <c r="AV279" i="1"/>
  <c r="AV275" i="1"/>
  <c r="AV244" i="1"/>
  <c r="AV240" i="1"/>
  <c r="AV232" i="1"/>
  <c r="AV228" i="1"/>
  <c r="AV220" i="1"/>
  <c r="AV168" i="1"/>
  <c r="AV643" i="1"/>
  <c r="AV619" i="1"/>
  <c r="AV75" i="1"/>
  <c r="AV663" i="1"/>
  <c r="AV582" i="1"/>
  <c r="AV544" i="1"/>
  <c r="AV492" i="1"/>
  <c r="AV488" i="1"/>
  <c r="AV441" i="1"/>
  <c r="AV422" i="1"/>
  <c r="AV414" i="1"/>
  <c r="AV399" i="1"/>
  <c r="AV370" i="1"/>
  <c r="AV346" i="1"/>
  <c r="AV337" i="1"/>
  <c r="AV333" i="1"/>
  <c r="AV318" i="1"/>
  <c r="AV313" i="1"/>
  <c r="AV295" i="1"/>
  <c r="AV287" i="1"/>
  <c r="AV272" i="1"/>
  <c r="AV224" i="1"/>
  <c r="AV197" i="1"/>
  <c r="AV177" i="1"/>
  <c r="AV173" i="1"/>
  <c r="AV62" i="1"/>
  <c r="AV61" i="1"/>
  <c r="AV241" i="1"/>
  <c r="AV374" i="1"/>
  <c r="AV69" i="1"/>
  <c r="AV622" i="1"/>
  <c r="AV567" i="1"/>
  <c r="AV540" i="1"/>
  <c r="AV531" i="1"/>
  <c r="AV527" i="1"/>
  <c r="AV496" i="1"/>
  <c r="AV481" i="1"/>
  <c r="AV469" i="1"/>
  <c r="AV449" i="1"/>
  <c r="AV445" i="1"/>
  <c r="AV426" i="1"/>
  <c r="AV395" i="1"/>
  <c r="AV342" i="1"/>
  <c r="AV647" i="1"/>
  <c r="AV572" i="1"/>
  <c r="AV568" i="1"/>
  <c r="AV549" i="1"/>
  <c r="AV532" i="1"/>
  <c r="AV493" i="1"/>
  <c r="AV489" i="1"/>
  <c r="AV423" i="1"/>
  <c r="AV411" i="1"/>
  <c r="AV400" i="1"/>
  <c r="AV343" i="1"/>
  <c r="AV288" i="1"/>
  <c r="AV261" i="1"/>
  <c r="AV216" i="1"/>
  <c r="AV164" i="1"/>
  <c r="AV163" i="1"/>
  <c r="AV162" i="1"/>
  <c r="AV67" i="1"/>
  <c r="AV65" i="1"/>
  <c r="AV79" i="1"/>
  <c r="AV676" i="1"/>
  <c r="AV665" i="1"/>
  <c r="AV474" i="1"/>
  <c r="AV470" i="1"/>
  <c r="AV465" i="1"/>
  <c r="AV461" i="1"/>
  <c r="AV450" i="1"/>
  <c r="AV431" i="1"/>
  <c r="AV427" i="1"/>
  <c r="AV382" i="1"/>
  <c r="AV378" i="1"/>
  <c r="AV348" i="1"/>
  <c r="AV325" i="1"/>
  <c r="AV320" i="1"/>
  <c r="AV315" i="1"/>
  <c r="AV281" i="1"/>
  <c r="AV265" i="1"/>
  <c r="AV250" i="1"/>
  <c r="AV246" i="1"/>
  <c r="AV242" i="1"/>
  <c r="AV184" i="1"/>
  <c r="AV179" i="1"/>
  <c r="AV687" i="1"/>
  <c r="AV634" i="1"/>
  <c r="AV587" i="1"/>
  <c r="AV561" i="1"/>
  <c r="AV550" i="1"/>
  <c r="AV537" i="1"/>
  <c r="AV514" i="1"/>
  <c r="AV435" i="1"/>
  <c r="AV420" i="1"/>
  <c r="AV367" i="1"/>
  <c r="AV339" i="1"/>
  <c r="AV297" i="1"/>
  <c r="AV292" i="1"/>
  <c r="AV285" i="1"/>
  <c r="AV247" i="1"/>
  <c r="AV217" i="1"/>
  <c r="AV212" i="1"/>
  <c r="AV199" i="1"/>
  <c r="AV165" i="1"/>
  <c r="AV63" i="1"/>
  <c r="AV377" i="1"/>
  <c r="AV169" i="1"/>
  <c r="AV93" i="1"/>
  <c r="AV280" i="1"/>
  <c r="AV264" i="1"/>
  <c r="BF11" i="1"/>
  <c r="BF511" i="1"/>
  <c r="BF661" i="1"/>
  <c r="BF711" i="1"/>
  <c r="BF611" i="1"/>
  <c r="BF161" i="1"/>
  <c r="BF361" i="1"/>
  <c r="BF211" i="1"/>
  <c r="BF461" i="1"/>
  <c r="BF261" i="1"/>
  <c r="BF411" i="1"/>
  <c r="BF561" i="1"/>
  <c r="BF61" i="1"/>
  <c r="BF311" i="1"/>
  <c r="Q118" i="1"/>
  <c r="BF111" i="1"/>
  <c r="Y143" i="1"/>
  <c r="Y111" i="1" s="1"/>
  <c r="Y114" i="1"/>
  <c r="Z114" i="1" s="1"/>
  <c r="Q129" i="1"/>
  <c r="Q147" i="1"/>
  <c r="Y148" i="1"/>
  <c r="Z148" i="1" s="1"/>
  <c r="Q115" i="1"/>
  <c r="Y116" i="1"/>
  <c r="Z116" i="1" s="1"/>
  <c r="Q120" i="1"/>
  <c r="Y121" i="1"/>
  <c r="Z121" i="1" s="1"/>
  <c r="Q124" i="1"/>
  <c r="Y125" i="1"/>
  <c r="Z125" i="1" s="1"/>
  <c r="Y130" i="1"/>
  <c r="Z130" i="1" s="1"/>
  <c r="Q128" i="1"/>
  <c r="Q133" i="1"/>
  <c r="Y134" i="1"/>
  <c r="Z134" i="1" s="1"/>
  <c r="Q137" i="1"/>
  <c r="Y138" i="1"/>
  <c r="Z138" i="1" s="1"/>
  <c r="Q141" i="1"/>
  <c r="Y142" i="1"/>
  <c r="Z142" i="1" s="1"/>
  <c r="Q146" i="1"/>
  <c r="Q114" i="1"/>
  <c r="Y129" i="1"/>
  <c r="Z129" i="1" s="1"/>
  <c r="Y147" i="1"/>
  <c r="Z147" i="1" s="1"/>
  <c r="Q150" i="1"/>
  <c r="Q113" i="1"/>
  <c r="Y115" i="1"/>
  <c r="Z115" i="1" s="1"/>
  <c r="Q119" i="1"/>
  <c r="Y120" i="1"/>
  <c r="Z120" i="1" s="1"/>
  <c r="Q123" i="1"/>
  <c r="Y124" i="1"/>
  <c r="Z124" i="1" s="1"/>
  <c r="Q127" i="1"/>
  <c r="Q145" i="1"/>
  <c r="Q112" i="1"/>
  <c r="Y128" i="1"/>
  <c r="Z128" i="1" s="1"/>
  <c r="Q132" i="1"/>
  <c r="Y133" i="1"/>
  <c r="Z133" i="1" s="1"/>
  <c r="Q136" i="1"/>
  <c r="Y137" i="1"/>
  <c r="Z137" i="1" s="1"/>
  <c r="Q140" i="1"/>
  <c r="Y141" i="1"/>
  <c r="Z141" i="1" s="1"/>
  <c r="Y146" i="1"/>
  <c r="Z146" i="1" s="1"/>
  <c r="Q144" i="1"/>
  <c r="Q149" i="1"/>
  <c r="Y150" i="1"/>
  <c r="Z150" i="1" s="1"/>
  <c r="Y113" i="1"/>
  <c r="Z113" i="1" s="1"/>
  <c r="Y119" i="1"/>
  <c r="Z119" i="1" s="1"/>
  <c r="Q122" i="1"/>
  <c r="Y123" i="1"/>
  <c r="Z123" i="1" s="1"/>
  <c r="Q126" i="1"/>
  <c r="Y127" i="1"/>
  <c r="Z127" i="1" s="1"/>
  <c r="Y145" i="1"/>
  <c r="Z145" i="1" s="1"/>
  <c r="Y112" i="1"/>
  <c r="Z112" i="1" s="1"/>
  <c r="Q117" i="1"/>
  <c r="Q131" i="1"/>
  <c r="Y132" i="1"/>
  <c r="Z132" i="1" s="1"/>
  <c r="Q135" i="1"/>
  <c r="Y136" i="1"/>
  <c r="Z136" i="1" s="1"/>
  <c r="Q139" i="1"/>
  <c r="Y140" i="1"/>
  <c r="Z140" i="1" s="1"/>
  <c r="Q143" i="1"/>
  <c r="Y118" i="1"/>
  <c r="Z118" i="1" s="1"/>
  <c r="Y144" i="1"/>
  <c r="Z144" i="1" s="1"/>
  <c r="Q148" i="1"/>
  <c r="Y149" i="1"/>
  <c r="Z149" i="1" s="1"/>
  <c r="Q116" i="1"/>
  <c r="Q121" i="1"/>
  <c r="Y122" i="1"/>
  <c r="Z122" i="1" s="1"/>
  <c r="Q125" i="1"/>
  <c r="Y126" i="1"/>
  <c r="Z126" i="1" s="1"/>
  <c r="Q130" i="1"/>
  <c r="Y117" i="1"/>
  <c r="Z117" i="1" s="1"/>
  <c r="Y131" i="1"/>
  <c r="Z131" i="1" s="1"/>
  <c r="Q134" i="1"/>
  <c r="Y135" i="1"/>
  <c r="Z135" i="1" s="1"/>
  <c r="Q138" i="1"/>
  <c r="Y139" i="1"/>
  <c r="Z139" i="1" s="1"/>
  <c r="Q142" i="1"/>
  <c r="Y42" i="1"/>
  <c r="Z42" i="1" s="1"/>
  <c r="Y30" i="1"/>
  <c r="Z30" i="1" s="1"/>
  <c r="Y18" i="1"/>
  <c r="Z18" i="1" s="1"/>
  <c r="Y43" i="1"/>
  <c r="Z43" i="1" s="1"/>
  <c r="Y31" i="1"/>
  <c r="Z31" i="1" s="1"/>
  <c r="Y19" i="1"/>
  <c r="Z19" i="1" s="1"/>
  <c r="Y41" i="1"/>
  <c r="Z41" i="1" s="1"/>
  <c r="Y29" i="1"/>
  <c r="Z29" i="1" s="1"/>
  <c r="Y17" i="1"/>
  <c r="Z17" i="1" s="1"/>
  <c r="Y40" i="1"/>
  <c r="Z40" i="1" s="1"/>
  <c r="Y28" i="1"/>
  <c r="Z28" i="1" s="1"/>
  <c r="Y16" i="1"/>
  <c r="Z16" i="1" s="1"/>
  <c r="Y39" i="1"/>
  <c r="Z39" i="1" s="1"/>
  <c r="Y27" i="1"/>
  <c r="Z27" i="1" s="1"/>
  <c r="Y15" i="1"/>
  <c r="Z15" i="1" s="1"/>
  <c r="Y50" i="1"/>
  <c r="Z50" i="1" s="1"/>
  <c r="Y38" i="1"/>
  <c r="Z38" i="1" s="1"/>
  <c r="Y26" i="1"/>
  <c r="Z26" i="1" s="1"/>
  <c r="Y14" i="1"/>
  <c r="Z14" i="1" s="1"/>
  <c r="Y49" i="1"/>
  <c r="Z49" i="1" s="1"/>
  <c r="Y37" i="1"/>
  <c r="Z37" i="1" s="1"/>
  <c r="Y25" i="1"/>
  <c r="Z25" i="1" s="1"/>
  <c r="Y13" i="1"/>
  <c r="Z13" i="1" s="1"/>
  <c r="Y46" i="1"/>
  <c r="Z46" i="1" s="1"/>
  <c r="Y34" i="1"/>
  <c r="Z34" i="1" s="1"/>
  <c r="Y22" i="1"/>
  <c r="Z22" i="1" s="1"/>
  <c r="Y48" i="1"/>
  <c r="Z48" i="1" s="1"/>
  <c r="Y36" i="1"/>
  <c r="Z36" i="1" s="1"/>
  <c r="Y24" i="1"/>
  <c r="Z24" i="1" s="1"/>
  <c r="Y12" i="1"/>
  <c r="Z12" i="1" s="1"/>
  <c r="Y47" i="1"/>
  <c r="Z47" i="1" s="1"/>
  <c r="Y23" i="1"/>
  <c r="Y45" i="1"/>
  <c r="Z45" i="1" s="1"/>
  <c r="Y33" i="1"/>
  <c r="Z33" i="1" s="1"/>
  <c r="Y21" i="1"/>
  <c r="Z21" i="1" s="1"/>
  <c r="Y35" i="1"/>
  <c r="Z35" i="1" s="1"/>
  <c r="Y44" i="1"/>
  <c r="Z44" i="1" s="1"/>
  <c r="Y32" i="1"/>
  <c r="Z32" i="1" s="1"/>
  <c r="Y20" i="1"/>
  <c r="Z20" i="1" s="1"/>
  <c r="Q46" i="1"/>
  <c r="Q34" i="1"/>
  <c r="Q22" i="1"/>
  <c r="Q28" i="1"/>
  <c r="Q47" i="1"/>
  <c r="Q35" i="1"/>
  <c r="Q23" i="1"/>
  <c r="Q45" i="1"/>
  <c r="Q33" i="1"/>
  <c r="Q21" i="1"/>
  <c r="Q44" i="1"/>
  <c r="Q32" i="1"/>
  <c r="Q20" i="1"/>
  <c r="Q43" i="1"/>
  <c r="Q19" i="1"/>
  <c r="Q18" i="1"/>
  <c r="Q41" i="1"/>
  <c r="Q29" i="1"/>
  <c r="Q17" i="1"/>
  <c r="Q16" i="1"/>
  <c r="Q15" i="1"/>
  <c r="Q14" i="1"/>
  <c r="Q13" i="1"/>
  <c r="Q31" i="1"/>
  <c r="Q42" i="1"/>
  <c r="Q30" i="1"/>
  <c r="Q40" i="1"/>
  <c r="Q39" i="1"/>
  <c r="Q27" i="1"/>
  <c r="Q50" i="1"/>
  <c r="Q38" i="1"/>
  <c r="Q26" i="1"/>
  <c r="Q49" i="1"/>
  <c r="Q37" i="1"/>
  <c r="Q25" i="1"/>
  <c r="Q48" i="1"/>
  <c r="Q36" i="1"/>
  <c r="Q24" i="1"/>
  <c r="Q12" i="1"/>
  <c r="AF111" i="1" l="1"/>
  <c r="AO111" i="1" s="1"/>
  <c r="Z111" i="1"/>
  <c r="Z23" i="1"/>
  <c r="AT23" i="1" s="1"/>
  <c r="AF143" i="1"/>
  <c r="AN143" i="1" s="1"/>
  <c r="Z143" i="1"/>
  <c r="AT114" i="1"/>
  <c r="AV114" i="1" s="1"/>
  <c r="AT131" i="1"/>
  <c r="AT138" i="1"/>
  <c r="AT15" i="1"/>
  <c r="AT127" i="1"/>
  <c r="AT37" i="1"/>
  <c r="AT33" i="1"/>
  <c r="AT144" i="1"/>
  <c r="AT45" i="1"/>
  <c r="AT125" i="1"/>
  <c r="AW461" i="1"/>
  <c r="AW711" i="1"/>
  <c r="BE711" i="1" s="1"/>
  <c r="AW261" i="1"/>
  <c r="BE161" i="1"/>
  <c r="BL161" i="1" s="1"/>
  <c r="AW161" i="1"/>
  <c r="AW361" i="1"/>
  <c r="AW311" i="1"/>
  <c r="AW611" i="1"/>
  <c r="AW61" i="1"/>
  <c r="AW511" i="1"/>
  <c r="AW561" i="1"/>
  <c r="AW661" i="1"/>
  <c r="AW211" i="1"/>
  <c r="AW411" i="1"/>
  <c r="AF114" i="1"/>
  <c r="AO114" i="1" s="1"/>
  <c r="Q111" i="1"/>
  <c r="AF145" i="1"/>
  <c r="AT145" i="1"/>
  <c r="AF127" i="1"/>
  <c r="AF123" i="1"/>
  <c r="AT123" i="1"/>
  <c r="AT126" i="1"/>
  <c r="AF126" i="1"/>
  <c r="AF136" i="1"/>
  <c r="AT136" i="1"/>
  <c r="AF133" i="1"/>
  <c r="AT133" i="1"/>
  <c r="AF118" i="1"/>
  <c r="AT118" i="1"/>
  <c r="AF138" i="1"/>
  <c r="AT122" i="1"/>
  <c r="AF122" i="1"/>
  <c r="AF132" i="1"/>
  <c r="AT132" i="1"/>
  <c r="AF128" i="1"/>
  <c r="AT128" i="1"/>
  <c r="AF147" i="1"/>
  <c r="AT147" i="1"/>
  <c r="AF116" i="1"/>
  <c r="AT116" i="1"/>
  <c r="AF137" i="1"/>
  <c r="AT137" i="1"/>
  <c r="AF115" i="1"/>
  <c r="AT115" i="1"/>
  <c r="AO143" i="1"/>
  <c r="AF113" i="1"/>
  <c r="AT113" i="1"/>
  <c r="AF129" i="1"/>
  <c r="AT129" i="1"/>
  <c r="AF130" i="1"/>
  <c r="AT130" i="1"/>
  <c r="AF141" i="1"/>
  <c r="AT141" i="1"/>
  <c r="AF120" i="1"/>
  <c r="AT120" i="1"/>
  <c r="AF134" i="1"/>
  <c r="AT134" i="1"/>
  <c r="AF119" i="1"/>
  <c r="AT119" i="1"/>
  <c r="AF150" i="1"/>
  <c r="AT150" i="1"/>
  <c r="AF125" i="1"/>
  <c r="AF148" i="1"/>
  <c r="AT148" i="1"/>
  <c r="AF139" i="1"/>
  <c r="AT139" i="1"/>
  <c r="AF149" i="1"/>
  <c r="AT149" i="1"/>
  <c r="AF140" i="1"/>
  <c r="AT140" i="1"/>
  <c r="AF121" i="1"/>
  <c r="AT121" i="1"/>
  <c r="AF131" i="1"/>
  <c r="AF117" i="1"/>
  <c r="AT117" i="1"/>
  <c r="AF135" i="1"/>
  <c r="AT135" i="1"/>
  <c r="AF144" i="1"/>
  <c r="AF112" i="1"/>
  <c r="AT112" i="1"/>
  <c r="AF146" i="1"/>
  <c r="AT146" i="1"/>
  <c r="AF124" i="1"/>
  <c r="AT124" i="1"/>
  <c r="AF142" i="1"/>
  <c r="AT142" i="1"/>
  <c r="AT28" i="1"/>
  <c r="AF28" i="1"/>
  <c r="AF33" i="1"/>
  <c r="AF45" i="1"/>
  <c r="AT48" i="1"/>
  <c r="AF48" i="1"/>
  <c r="AF37" i="1"/>
  <c r="AF15" i="1"/>
  <c r="AT17" i="1"/>
  <c r="AF17" i="1"/>
  <c r="AT35" i="1"/>
  <c r="AF35" i="1"/>
  <c r="AT20" i="1"/>
  <c r="AF20" i="1"/>
  <c r="AT49" i="1"/>
  <c r="AF49" i="1"/>
  <c r="AT27" i="1"/>
  <c r="AF27" i="1"/>
  <c r="AT29" i="1"/>
  <c r="AF29" i="1"/>
  <c r="AT18" i="1"/>
  <c r="AF18" i="1"/>
  <c r="AT50" i="1"/>
  <c r="AF50" i="1"/>
  <c r="AT32" i="1"/>
  <c r="AF32" i="1"/>
  <c r="AT39" i="1"/>
  <c r="AF39" i="1"/>
  <c r="AT41" i="1"/>
  <c r="AF41" i="1"/>
  <c r="AT30" i="1"/>
  <c r="AF30" i="1"/>
  <c r="AT31" i="1"/>
  <c r="AF31" i="1"/>
  <c r="AT21" i="1"/>
  <c r="AF21" i="1"/>
  <c r="AT44" i="1"/>
  <c r="AF44" i="1"/>
  <c r="AT22" i="1"/>
  <c r="AF22" i="1"/>
  <c r="AT42" i="1"/>
  <c r="AF42" i="1"/>
  <c r="AT40" i="1"/>
  <c r="AF40" i="1"/>
  <c r="AT12" i="1"/>
  <c r="AF12" i="1"/>
  <c r="AT43" i="1"/>
  <c r="AF43" i="1"/>
  <c r="AT24" i="1"/>
  <c r="AF24" i="1"/>
  <c r="AT36" i="1"/>
  <c r="AF36" i="1"/>
  <c r="AT34" i="1"/>
  <c r="AF34" i="1"/>
  <c r="AF23" i="1"/>
  <c r="AT46" i="1"/>
  <c r="AF46" i="1"/>
  <c r="AT14" i="1"/>
  <c r="AF14" i="1"/>
  <c r="AT38" i="1"/>
  <c r="AF38" i="1"/>
  <c r="AT13" i="1"/>
  <c r="AF13" i="1"/>
  <c r="AT25" i="1"/>
  <c r="AF25" i="1"/>
  <c r="AT47" i="1"/>
  <c r="AF47" i="1"/>
  <c r="AT26" i="1"/>
  <c r="AF26" i="1"/>
  <c r="AT16" i="1"/>
  <c r="AF16" i="1"/>
  <c r="AT19" i="1"/>
  <c r="AF19" i="1"/>
  <c r="AT111" i="1" l="1"/>
  <c r="AV111" i="1" s="1"/>
  <c r="BE111" i="1" s="1"/>
  <c r="BL111" i="1" s="1"/>
  <c r="AN111" i="1"/>
  <c r="AT143" i="1"/>
  <c r="AV143" i="1" s="1"/>
  <c r="AV144" i="1"/>
  <c r="BJ661" i="1"/>
  <c r="BE661" i="1"/>
  <c r="BL661" i="1" s="1"/>
  <c r="AV124" i="1"/>
  <c r="BA611" i="1"/>
  <c r="BK611" i="1" s="1"/>
  <c r="BJ611" i="1"/>
  <c r="BE611" i="1"/>
  <c r="BL611" i="1" s="1"/>
  <c r="BA311" i="1"/>
  <c r="BK311" i="1" s="1"/>
  <c r="BJ311" i="1"/>
  <c r="BE311" i="1"/>
  <c r="BL311" i="1" s="1"/>
  <c r="AV112" i="1"/>
  <c r="AV127" i="1"/>
  <c r="BA411" i="1"/>
  <c r="BK411" i="1" s="1"/>
  <c r="BE411" i="1"/>
  <c r="BL411" i="1" s="1"/>
  <c r="BJ411" i="1"/>
  <c r="BA461" i="1"/>
  <c r="BK461" i="1" s="1"/>
  <c r="BJ461" i="1"/>
  <c r="BE461" i="1"/>
  <c r="BL461" i="1" s="1"/>
  <c r="BA511" i="1"/>
  <c r="BK511" i="1" s="1"/>
  <c r="BJ511" i="1"/>
  <c r="BE511" i="1"/>
  <c r="BL511" i="1" s="1"/>
  <c r="AV139" i="1"/>
  <c r="BJ261" i="1"/>
  <c r="BE261" i="1"/>
  <c r="BL261" i="1" s="1"/>
  <c r="AV120" i="1"/>
  <c r="BA711" i="1"/>
  <c r="BK711" i="1" s="1"/>
  <c r="BJ711" i="1"/>
  <c r="BL711" i="1"/>
  <c r="AV137" i="1"/>
  <c r="AV125" i="1"/>
  <c r="AV136" i="1"/>
  <c r="AN114" i="1"/>
  <c r="AP114" i="1" s="1"/>
  <c r="AQ114" i="1" s="1"/>
  <c r="AV150" i="1"/>
  <c r="AV115" i="1"/>
  <c r="AV142" i="1"/>
  <c r="AV117" i="1"/>
  <c r="AV132" i="1"/>
  <c r="AV126" i="1"/>
  <c r="AV123" i="1"/>
  <c r="AV141" i="1"/>
  <c r="AV130" i="1"/>
  <c r="AV118" i="1"/>
  <c r="AV146" i="1"/>
  <c r="AV133" i="1"/>
  <c r="BA361" i="1"/>
  <c r="BK361" i="1" s="1"/>
  <c r="BJ361" i="1"/>
  <c r="BE361" i="1"/>
  <c r="BL361" i="1" s="1"/>
  <c r="AV129" i="1"/>
  <c r="AV134" i="1"/>
  <c r="AV148" i="1"/>
  <c r="BA561" i="1"/>
  <c r="BK561" i="1" s="1"/>
  <c r="BJ561" i="1"/>
  <c r="BE561" i="1"/>
  <c r="BL561" i="1" s="1"/>
  <c r="AV122" i="1"/>
  <c r="AV121" i="1"/>
  <c r="AV138" i="1"/>
  <c r="AV131" i="1"/>
  <c r="AV135" i="1"/>
  <c r="AV149" i="1"/>
  <c r="AV119" i="1"/>
  <c r="AV113" i="1"/>
  <c r="AV128" i="1"/>
  <c r="BA211" i="1"/>
  <c r="BK211" i="1" s="1"/>
  <c r="BJ211" i="1"/>
  <c r="BE211" i="1"/>
  <c r="BL211" i="1" s="1"/>
  <c r="BA161" i="1"/>
  <c r="BK161" i="1" s="1"/>
  <c r="BJ161" i="1"/>
  <c r="AV140" i="1"/>
  <c r="AV116" i="1"/>
  <c r="AV147" i="1"/>
  <c r="AV145" i="1"/>
  <c r="BA61" i="1"/>
  <c r="BK61" i="1" s="1"/>
  <c r="BJ61" i="1"/>
  <c r="BE61" i="1"/>
  <c r="BL61" i="1" s="1"/>
  <c r="BA261" i="1"/>
  <c r="BK261" i="1" s="1"/>
  <c r="AV32" i="1"/>
  <c r="AV43" i="1"/>
  <c r="AV33" i="1"/>
  <c r="AV18" i="1"/>
  <c r="AV22" i="1"/>
  <c r="AV19" i="1"/>
  <c r="AV26" i="1"/>
  <c r="AV48" i="1"/>
  <c r="AV21" i="1"/>
  <c r="AV38" i="1"/>
  <c r="AV45" i="1"/>
  <c r="AV47" i="1"/>
  <c r="AV16" i="1"/>
  <c r="AV46" i="1"/>
  <c r="AV17" i="1"/>
  <c r="AV40" i="1"/>
  <c r="AV29" i="1"/>
  <c r="BA661" i="1"/>
  <c r="BK661" i="1" s="1"/>
  <c r="AV12" i="1"/>
  <c r="AV23" i="1"/>
  <c r="AV30" i="1"/>
  <c r="AV34" i="1"/>
  <c r="AP143" i="1"/>
  <c r="AQ143" i="1" s="1"/>
  <c r="AP111" i="1"/>
  <c r="AQ111" i="1" s="1"/>
  <c r="AN142" i="1"/>
  <c r="AO142" i="1"/>
  <c r="AO115" i="1"/>
  <c r="AN115" i="1"/>
  <c r="AO148" i="1"/>
  <c r="AN148" i="1"/>
  <c r="AO119" i="1"/>
  <c r="AN119" i="1"/>
  <c r="AO135" i="1"/>
  <c r="AN135" i="1"/>
  <c r="AN134" i="1"/>
  <c r="AO134" i="1"/>
  <c r="AO129" i="1"/>
  <c r="AN129" i="1"/>
  <c r="AO133" i="1"/>
  <c r="AN133" i="1"/>
  <c r="AO127" i="1"/>
  <c r="AN127" i="1"/>
  <c r="AO139" i="1"/>
  <c r="AN139" i="1"/>
  <c r="AO124" i="1"/>
  <c r="AN124" i="1"/>
  <c r="AO132" i="1"/>
  <c r="AN132" i="1"/>
  <c r="AO122" i="1"/>
  <c r="AN122" i="1"/>
  <c r="AO140" i="1"/>
  <c r="AN140" i="1"/>
  <c r="AO137" i="1"/>
  <c r="AN137" i="1"/>
  <c r="AO146" i="1"/>
  <c r="AN146" i="1"/>
  <c r="AO117" i="1"/>
  <c r="AN117" i="1"/>
  <c r="AO116" i="1"/>
  <c r="AN116" i="1"/>
  <c r="AO130" i="1"/>
  <c r="AN130" i="1"/>
  <c r="AO125" i="1"/>
  <c r="AN125" i="1"/>
  <c r="AO120" i="1"/>
  <c r="AN120" i="1"/>
  <c r="AO113" i="1"/>
  <c r="AN113" i="1"/>
  <c r="AO136" i="1"/>
  <c r="AN136" i="1"/>
  <c r="AO145" i="1"/>
  <c r="AN145" i="1"/>
  <c r="AO121" i="1"/>
  <c r="AN121" i="1"/>
  <c r="AO128" i="1"/>
  <c r="AN128" i="1"/>
  <c r="AO144" i="1"/>
  <c r="AN144" i="1"/>
  <c r="AO123" i="1"/>
  <c r="AN123" i="1"/>
  <c r="AO149" i="1"/>
  <c r="AN149" i="1"/>
  <c r="AO131" i="1"/>
  <c r="AN131" i="1"/>
  <c r="AO147" i="1"/>
  <c r="AN147" i="1"/>
  <c r="AN138" i="1"/>
  <c r="AO138" i="1"/>
  <c r="AO126" i="1"/>
  <c r="AN126" i="1"/>
  <c r="AO118" i="1"/>
  <c r="AN118" i="1"/>
  <c r="AO112" i="1"/>
  <c r="AN112" i="1"/>
  <c r="AO150" i="1"/>
  <c r="AN150" i="1"/>
  <c r="AO141" i="1"/>
  <c r="AN141" i="1"/>
  <c r="AN18" i="1"/>
  <c r="AO18" i="1"/>
  <c r="AN15" i="1"/>
  <c r="AO15" i="1"/>
  <c r="AN28" i="1"/>
  <c r="AO28" i="1"/>
  <c r="AN23" i="1"/>
  <c r="AO23" i="1"/>
  <c r="AO42" i="1"/>
  <c r="AN42" i="1"/>
  <c r="AN27" i="1"/>
  <c r="AO27" i="1"/>
  <c r="AO37" i="1"/>
  <c r="AN37" i="1"/>
  <c r="AN17" i="1"/>
  <c r="AO17" i="1"/>
  <c r="AN40" i="1"/>
  <c r="AO40" i="1"/>
  <c r="AO29" i="1"/>
  <c r="AN29" i="1"/>
  <c r="AO12" i="1"/>
  <c r="AN12" i="1"/>
  <c r="AO47" i="1"/>
  <c r="AN47" i="1"/>
  <c r="AN41" i="1"/>
  <c r="AO41" i="1"/>
  <c r="AN13" i="1"/>
  <c r="AO13" i="1"/>
  <c r="AO48" i="1"/>
  <c r="AN48" i="1"/>
  <c r="AO46" i="1"/>
  <c r="AN46" i="1"/>
  <c r="AO30" i="1"/>
  <c r="AN30" i="1"/>
  <c r="AO25" i="1"/>
  <c r="AN25" i="1"/>
  <c r="AO36" i="1"/>
  <c r="AN36" i="1"/>
  <c r="AN49" i="1"/>
  <c r="AO49" i="1"/>
  <c r="AN31" i="1"/>
  <c r="AO31" i="1"/>
  <c r="AN39" i="1"/>
  <c r="AO39" i="1"/>
  <c r="AN44" i="1"/>
  <c r="AO44" i="1"/>
  <c r="AN32" i="1"/>
  <c r="AO32" i="1"/>
  <c r="AO45" i="1"/>
  <c r="AN45" i="1"/>
  <c r="AN26" i="1"/>
  <c r="AO26" i="1"/>
  <c r="AN34" i="1"/>
  <c r="AO34" i="1"/>
  <c r="AN19" i="1"/>
  <c r="AO19" i="1"/>
  <c r="AO24" i="1"/>
  <c r="AN24" i="1"/>
  <c r="AN20" i="1"/>
  <c r="AO20" i="1"/>
  <c r="AO22" i="1"/>
  <c r="AN22" i="1"/>
  <c r="AN38" i="1"/>
  <c r="AO38" i="1"/>
  <c r="AN16" i="1"/>
  <c r="AO16" i="1"/>
  <c r="AN14" i="1"/>
  <c r="AO14" i="1"/>
  <c r="AO43" i="1"/>
  <c r="AN43" i="1"/>
  <c r="AO21" i="1"/>
  <c r="AN21" i="1"/>
  <c r="AN50" i="1"/>
  <c r="AO50" i="1"/>
  <c r="AN35" i="1"/>
  <c r="AO35" i="1"/>
  <c r="AO33" i="1"/>
  <c r="AN33" i="1"/>
  <c r="AV25" i="1"/>
  <c r="AV39" i="1"/>
  <c r="AV44" i="1"/>
  <c r="AV31" i="1"/>
  <c r="AV49" i="1"/>
  <c r="AV28" i="1"/>
  <c r="AV20" i="1"/>
  <c r="AV50" i="1"/>
  <c r="AV14" i="1"/>
  <c r="AV15" i="1"/>
  <c r="AV13" i="1"/>
  <c r="AV42" i="1"/>
  <c r="AV36" i="1"/>
  <c r="AV27" i="1"/>
  <c r="AV37" i="1"/>
  <c r="AV24" i="1"/>
  <c r="AV35" i="1"/>
  <c r="AV41" i="1"/>
  <c r="AP144" i="1" l="1"/>
  <c r="AQ144" i="1" s="1"/>
  <c r="AP120" i="1"/>
  <c r="AQ120" i="1" s="1"/>
  <c r="AP127" i="1"/>
  <c r="AQ127" i="1" s="1"/>
  <c r="AP133" i="1"/>
  <c r="AQ133" i="1" s="1"/>
  <c r="AP150" i="1"/>
  <c r="AQ150" i="1" s="1"/>
  <c r="AW111" i="1"/>
  <c r="BJ111" i="1" s="1"/>
  <c r="AP141" i="1"/>
  <c r="AQ141" i="1" s="1"/>
  <c r="AP139" i="1"/>
  <c r="AQ139" i="1" s="1"/>
  <c r="AP119" i="1"/>
  <c r="AQ119" i="1" s="1"/>
  <c r="AP137" i="1"/>
  <c r="AQ137" i="1" s="1"/>
  <c r="AP128" i="1"/>
  <c r="AQ128" i="1" s="1"/>
  <c r="AP115" i="1"/>
  <c r="AQ115" i="1" s="1"/>
  <c r="AP112" i="1"/>
  <c r="AQ112" i="1" s="1"/>
  <c r="AP125" i="1"/>
  <c r="AQ125" i="1" s="1"/>
  <c r="AP126" i="1"/>
  <c r="AQ126" i="1" s="1"/>
  <c r="AP124" i="1"/>
  <c r="AQ124" i="1" s="1"/>
  <c r="AP135" i="1"/>
  <c r="AQ135" i="1" s="1"/>
  <c r="AP123" i="1"/>
  <c r="AQ123" i="1" s="1"/>
  <c r="AP113" i="1"/>
  <c r="AQ113" i="1" s="1"/>
  <c r="AP146" i="1"/>
  <c r="AQ146" i="1" s="1"/>
  <c r="AP148" i="1"/>
  <c r="AQ148" i="1" s="1"/>
  <c r="AP149" i="1"/>
  <c r="AQ149" i="1" s="1"/>
  <c r="AP136" i="1"/>
  <c r="AQ136" i="1" s="1"/>
  <c r="AP117" i="1"/>
  <c r="AQ117" i="1" s="1"/>
  <c r="AP147" i="1"/>
  <c r="AQ147" i="1" s="1"/>
  <c r="AP121" i="1"/>
  <c r="AQ121" i="1" s="1"/>
  <c r="AP130" i="1"/>
  <c r="AQ130" i="1" s="1"/>
  <c r="AP122" i="1"/>
  <c r="AQ122" i="1" s="1"/>
  <c r="AP132" i="1"/>
  <c r="AQ132" i="1" s="1"/>
  <c r="AP131" i="1"/>
  <c r="AQ131" i="1" s="1"/>
  <c r="AP138" i="1"/>
  <c r="AQ138" i="1" s="1"/>
  <c r="AP140" i="1"/>
  <c r="AQ140" i="1" s="1"/>
  <c r="AP134" i="1"/>
  <c r="AQ134" i="1" s="1"/>
  <c r="AP145" i="1"/>
  <c r="AQ145" i="1" s="1"/>
  <c r="AP116" i="1"/>
  <c r="AQ116" i="1" s="1"/>
  <c r="AP129" i="1"/>
  <c r="AQ129" i="1" s="1"/>
  <c r="AP118" i="1"/>
  <c r="AQ118" i="1" s="1"/>
  <c r="AP142" i="1"/>
  <c r="AQ142" i="1" s="1"/>
  <c r="AP28" i="1"/>
  <c r="AQ28" i="1" s="1"/>
  <c r="AP17" i="1"/>
  <c r="AQ17" i="1" s="1"/>
  <c r="AP16" i="1"/>
  <c r="AQ16" i="1" s="1"/>
  <c r="AP38" i="1"/>
  <c r="AQ38" i="1" s="1"/>
  <c r="AP45" i="1"/>
  <c r="AQ45" i="1" s="1"/>
  <c r="AP26" i="1"/>
  <c r="AQ26" i="1" s="1"/>
  <c r="AP49" i="1"/>
  <c r="AQ49" i="1" s="1"/>
  <c r="AP37" i="1"/>
  <c r="AQ37" i="1" s="1"/>
  <c r="AP41" i="1"/>
  <c r="AQ41" i="1" s="1"/>
  <c r="AP43" i="1"/>
  <c r="AQ43" i="1" s="1"/>
  <c r="AP18" i="1"/>
  <c r="AQ18" i="1" s="1"/>
  <c r="AP19" i="1"/>
  <c r="AQ19" i="1" s="1"/>
  <c r="AP12" i="1"/>
  <c r="AQ12" i="1" s="1"/>
  <c r="AP24" i="1"/>
  <c r="AQ24" i="1" s="1"/>
  <c r="AP36" i="1"/>
  <c r="AQ36" i="1" s="1"/>
  <c r="AP35" i="1"/>
  <c r="AQ35" i="1" s="1"/>
  <c r="AP25" i="1"/>
  <c r="AQ25" i="1" s="1"/>
  <c r="AP34" i="1"/>
  <c r="AQ34" i="1" s="1"/>
  <c r="AP21" i="1"/>
  <c r="AQ21" i="1" s="1"/>
  <c r="AP14" i="1"/>
  <c r="AQ14" i="1" s="1"/>
  <c r="AP47" i="1"/>
  <c r="AQ47" i="1" s="1"/>
  <c r="AP30" i="1"/>
  <c r="AQ30" i="1" s="1"/>
  <c r="AP32" i="1"/>
  <c r="AQ32" i="1" s="1"/>
  <c r="AP44" i="1"/>
  <c r="AQ44" i="1" s="1"/>
  <c r="AP31" i="1"/>
  <c r="AQ31" i="1" s="1"/>
  <c r="AP48" i="1"/>
  <c r="AQ48" i="1" s="1"/>
  <c r="AP39" i="1"/>
  <c r="AQ39" i="1" s="1"/>
  <c r="AP22" i="1"/>
  <c r="AQ22" i="1" s="1"/>
  <c r="AP27" i="1"/>
  <c r="AQ27" i="1" s="1"/>
  <c r="AP13" i="1"/>
  <c r="AQ13" i="1" s="1"/>
  <c r="AP15" i="1"/>
  <c r="AQ15" i="1" s="1"/>
  <c r="AP42" i="1"/>
  <c r="AQ42" i="1" s="1"/>
  <c r="AP40" i="1"/>
  <c r="AQ40" i="1" s="1"/>
  <c r="AP46" i="1"/>
  <c r="AQ46" i="1" s="1"/>
  <c r="AP33" i="1"/>
  <c r="AQ33" i="1" s="1"/>
  <c r="AP23" i="1"/>
  <c r="AQ23" i="1" s="1"/>
  <c r="AP20" i="1"/>
  <c r="AQ20" i="1" s="1"/>
  <c r="AP50" i="1"/>
  <c r="AQ50" i="1" s="1"/>
  <c r="AP29" i="1"/>
  <c r="AQ29" i="1" s="1"/>
  <c r="BA111" i="1" l="1"/>
  <c r="BK111" i="1" s="1"/>
  <c r="AR111" i="1"/>
  <c r="Y11" i="1" l="1"/>
  <c r="Z11" i="1" s="1"/>
  <c r="Q11" i="1"/>
  <c r="AF11" i="1" l="1"/>
  <c r="AT11" i="1" l="1"/>
  <c r="AV11" i="1" s="1"/>
  <c r="AW11" i="1" s="1"/>
  <c r="BJ11" i="1" s="1"/>
  <c r="AN11" i="1"/>
  <c r="AO11" i="1"/>
  <c r="AP11" i="1" l="1"/>
  <c r="AQ11" i="1" s="1"/>
  <c r="AR11" i="1" s="1"/>
  <c r="BE11" i="1"/>
  <c r="BL11" i="1" s="1"/>
  <c r="BA11" i="1" l="1"/>
  <c r="BK1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D587D-6C19-0145-AFBF-46547D312259}" keepAlive="1" name="Query - beefFunction" description="Connection to the 'beefFunction' query in the workbook." type="5" refreshedVersion="0" background="1">
    <dbPr connection="Provider=Microsoft.Mashup.OleDb.1;Data Source=$Workbook$;Location=beefFunction;Extended Properties=&quot;&quot;" command="SELECT * FROM [beefFunction]"/>
  </connection>
  <connection id="2" xr16:uid="{2A39F8D3-FC7B-1149-969F-7E817032AE24}" keepAlive="1" name="Query - beefFunction (2)" description="Connection to the 'beefFunction (2)' query in the workbook." type="5" refreshedVersion="0" background="1">
    <dbPr connection="Provider=Microsoft.Mashup.OleDb.1;Data Source=$Workbook$;Location=&quot;beefFunction (2)&quot;;Extended Properties=&quot;&quot;" command="SELECT * FROM [beefFunction (2)]"/>
  </connection>
  <connection id="3" xr16:uid="{C51FA209-1272-8B45-AA32-C0E087A088BB}" keepAlive="1" name="Query - TableLWG" description="Connection to the 'TableLWG' query in the workbook." type="5" refreshedVersion="8" background="1" saveData="1">
    <dbPr connection="Provider=Microsoft.Mashup.OleDb.1;Data Source=$Workbook$;Location=TableLWG;Extended Properties=&quot;&quot;" command="SELECT * FROM [TableLWG]"/>
  </connection>
  <connection id="4" xr16:uid="{8EFBDB0B-9A6A-DE47-B9E3-BE7DEDFFC20E}" keepAlive="1" name="Query - TableW (2)" description="Connection to the 'TableW (2)' query in the workbook." type="5" refreshedVersion="8" background="1" saveData="1">
    <dbPr connection="Provider=Microsoft.Mashup.OleDb.1;Data Source=$Workbook$;Location=&quot;TableW (2)&quot;;Extended Properties=&quot;&quot;" command="SELECT * FROM [TableW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<sst xmlns="http://schemas.openxmlformats.org/spreadsheetml/2006/main" count="2082" uniqueCount="289">
  <si>
    <t>(LCjk=4,5 * FAjk=4,5) + (1 - LCjk=4,5 )</t>
  </si>
  <si>
    <t>(1.185 + 0.00454 * Wjkl- 0.0000026 * Wjkl ^2 + 0.315 * LWGjkl)^2 * MAjk=4,5</t>
  </si>
  <si>
    <t>(Ijkl * (1 - DMDjkl) + (0.04 * Ijkl)) * ( 1 - A )</t>
  </si>
  <si>
    <t>VSjkl * BO * MMSm * MCFim * 𝜌</t>
  </si>
  <si>
    <t>SUM SUM SUM SUM ( Njkl * Mjklm * Dj) * 10^-3</t>
  </si>
  <si>
    <t>Wjkl / SRWk</t>
  </si>
  <si>
    <t>LCjk=4,5 * DMPjk=4,5</t>
  </si>
  <si>
    <t>Ijkl / ((1.185 + 0.00454 * Wjkl - 0.0000026 * Wjkl ^ 2) ^ 2)</t>
  </si>
  <si>
    <t>(0.032 * MPjk=5 / 6.38) + {{0.212 - 0.008 * (Ljkl - 2) - [0.140-0.008*(Ljkl - 2) / 1+e^(-6*( Zjkl - 0.4)) ]} * (LWGjkl * 0.92)} / 6.25</t>
  </si>
  <si>
    <t>(Ijkl * CPj / 6.25) + (0.032 * MCjk=1,3,6 / 6.38) - NRjkl - [(1.1 * 10^-4 * Wjkl ^ 0.75) / 6.25]</t>
  </si>
  <si>
    <t>SUM SUM SUM (Njkl * NEjkl * Dj)</t>
  </si>
  <si>
    <t>AE * FracGASMsoil</t>
  </si>
  <si>
    <t>AE * FracWet * FracLEACH</t>
  </si>
  <si>
    <t>(AE * EFPRP * CN2O) * 10^-3</t>
  </si>
  <si>
    <t>Mvol * EFN2O * CN2O * 10^-3</t>
  </si>
  <si>
    <t>Mleach * EFleach * CN2O * 10^-3</t>
  </si>
  <si>
    <t>159</t>
  </si>
  <si>
    <t>163</t>
  </si>
  <si>
    <t>164</t>
  </si>
  <si>
    <t>138</t>
  </si>
  <si>
    <t>128</t>
  </si>
  <si>
    <t>570</t>
  </si>
  <si>
    <t>454</t>
  </si>
  <si>
    <t>577</t>
  </si>
  <si>
    <t>579</t>
  </si>
  <si>
    <t>576</t>
  </si>
  <si>
    <t>580</t>
  </si>
  <si>
    <t>565</t>
  </si>
  <si>
    <t>438</t>
  </si>
  <si>
    <t>569</t>
  </si>
  <si>
    <t>429</t>
  </si>
  <si>
    <t>587</t>
  </si>
  <si>
    <t>519</t>
  </si>
  <si>
    <t>585</t>
  </si>
  <si>
    <t>508</t>
  </si>
  <si>
    <t>516</t>
  </si>
  <si>
    <t>573</t>
  </si>
  <si>
    <t>584</t>
  </si>
  <si>
    <t>498</t>
  </si>
  <si>
    <t>487</t>
  </si>
  <si>
    <t>480</t>
  </si>
  <si>
    <t>588</t>
  </si>
  <si>
    <t>590</t>
  </si>
  <si>
    <t>540</t>
  </si>
  <si>
    <t>592</t>
  </si>
  <si>
    <t>591</t>
  </si>
  <si>
    <t>555</t>
  </si>
  <si>
    <t>583</t>
  </si>
  <si>
    <t>589</t>
  </si>
  <si>
    <t>593</t>
  </si>
  <si>
    <t>472</t>
  </si>
  <si>
    <t>533</t>
  </si>
  <si>
    <t>549</t>
  </si>
  <si>
    <t>input</t>
  </si>
  <si>
    <t>constant</t>
  </si>
  <si>
    <t>expression</t>
  </si>
  <si>
    <t/>
  </si>
  <si>
    <t>d</t>
  </si>
  <si>
    <t>kg</t>
  </si>
  <si>
    <t>kg/head/day</t>
  </si>
  <si>
    <t>kg/day</t>
  </si>
  <si>
    <t>m3 CH4/kg VS</t>
  </si>
  <si>
    <t>kg/m3</t>
  </si>
  <si>
    <t>head</t>
  </si>
  <si>
    <t>days</t>
  </si>
  <si>
    <t>t CH4</t>
  </si>
  <si>
    <t>kg N/head/day</t>
  </si>
  <si>
    <t>kg N</t>
  </si>
  <si>
    <t>kg N2O-N/kg N deposited</t>
  </si>
  <si>
    <t>kg volatilised N / kg N</t>
  </si>
  <si>
    <t>kg N2O N/kg N</t>
  </si>
  <si>
    <t>t N2O</t>
  </si>
  <si>
    <t>Proportion of cows &gt; 2 years in calf in the season of calving</t>
  </si>
  <si>
    <t>Average liveweight of beef pasture cattle per time-period, class, and sub-class.</t>
  </si>
  <si>
    <t>Average liveweight gain of beef pasture cattle per time-period, class, and sub-class.</t>
  </si>
  <si>
    <t>additional intake for milk production in cows &gt;2 years</t>
  </si>
  <si>
    <t>dry matter intake as calculated in Chapter 3 Section 3.2.1</t>
  </si>
  <si>
    <t>dry matter digestibility expressed as a fraction</t>
  </si>
  <si>
    <t>volatile solid production</t>
  </si>
  <si>
    <t>emissions potential</t>
  </si>
  <si>
    <t>fraction of waste in each manure management system</t>
  </si>
  <si>
    <t>Methane conversion factor for temperature zone and MMS</t>
  </si>
  <si>
    <t>density of methane</t>
  </si>
  <si>
    <t>number of beef cattle in each time-period, class and sub class</t>
  </si>
  <si>
    <t>methane production from manure in each time-period, class, sub class and MMS</t>
  </si>
  <si>
    <t>number of days in each time-period for each input class</t>
  </si>
  <si>
    <t>Total annual methane production from manure management</t>
  </si>
  <si>
    <t>standard reference weight</t>
  </si>
  <si>
    <t>relative size</t>
  </si>
  <si>
    <t>Daily milk production</t>
  </si>
  <si>
    <t>milk production</t>
  </si>
  <si>
    <t>intake relative to that needed for maintenance</t>
  </si>
  <si>
    <t>crude protein content of dry matter intake</t>
  </si>
  <si>
    <t>milk intake</t>
  </si>
  <si>
    <t>the amount of nitrogen retained by the body</t>
  </si>
  <si>
    <t>nitrogen excreted in each time-period, by each class and subclass</t>
  </si>
  <si>
    <t>total mass of nitrogen excreted on PRP for beef cattle</t>
  </si>
  <si>
    <t>emission factor for nitrous oxide from urine and dung deposited to</t>
  </si>
  <si>
    <t>fraction of nitrogen volatilised from urine and faeces deposited on pasture</t>
  </si>
  <si>
    <t>mass of nitrogen volatilised from urine and faeces deposited on pasture</t>
  </si>
  <si>
    <t>fraction of all N that is lost through leaching and runoff</t>
  </si>
  <si>
    <t>fraction of N available for leaching and runoff</t>
  </si>
  <si>
    <t>mass of nitrogen lost to leaching and runoff</t>
  </si>
  <si>
    <t>factor to convert elemental mass of nitrous oxide to molecular mass</t>
  </si>
  <si>
    <t>Nitrous oxide emission factor for atmospheric deposition</t>
  </si>
  <si>
    <t>emission factor for leaching and runoff</t>
  </si>
  <si>
    <t>Total annual direct nitrous oxide emissions from agricultural soils from deposition of urine and dung</t>
  </si>
  <si>
    <t>Atmospheric deposition emissions from urine and dung deposited on pasture</t>
  </si>
  <si>
    <t>Leaching and runoff emissions from urine and dung deposited on pasture</t>
  </si>
  <si>
    <t>Wjkl</t>
  </si>
  <si>
    <t>LWGjkl</t>
  </si>
  <si>
    <t>MAjk=4,5</t>
  </si>
  <si>
    <t>Ijkl</t>
  </si>
  <si>
    <t>DMDjkl</t>
  </si>
  <si>
    <t>VSjkl</t>
  </si>
  <si>
    <t>BO</t>
  </si>
  <si>
    <t>𝜌</t>
  </si>
  <si>
    <t>Njkl</t>
  </si>
  <si>
    <t>Mjklm</t>
  </si>
  <si>
    <t>Dj</t>
  </si>
  <si>
    <t>ECH4</t>
  </si>
  <si>
    <t>SRWk</t>
  </si>
  <si>
    <t>Zjkl</t>
  </si>
  <si>
    <t>DMPjk=4,5</t>
  </si>
  <si>
    <t>MPjk=5</t>
  </si>
  <si>
    <t>Ljkl</t>
  </si>
  <si>
    <t>CPj</t>
  </si>
  <si>
    <t>MCjk=1,3,6</t>
  </si>
  <si>
    <t>NRjkl</t>
  </si>
  <si>
    <t>AE</t>
  </si>
  <si>
    <t>EFPRP</t>
  </si>
  <si>
    <t>FracGASMsoil</t>
  </si>
  <si>
    <t>Mvol</t>
  </si>
  <si>
    <t>FracLEACH</t>
  </si>
  <si>
    <t>FracWet</t>
  </si>
  <si>
    <t>Mleach</t>
  </si>
  <si>
    <t>CN2O</t>
  </si>
  <si>
    <t>EFN2O</t>
  </si>
  <si>
    <t>EFleach</t>
  </si>
  <si>
    <t>EN2O,dir</t>
  </si>
  <si>
    <t>EN2O,ad</t>
  </si>
  <si>
    <t>EN2O,leach</t>
  </si>
  <si>
    <t>wet</t>
  </si>
  <si>
    <t>FA (this season)</t>
  </si>
  <si>
    <t>MMSm=1</t>
  </si>
  <si>
    <t>dry</t>
  </si>
  <si>
    <t>FA (previous season)</t>
  </si>
  <si>
    <t>MMSm=14</t>
  </si>
  <si>
    <t>FracGASMSoil</t>
  </si>
  <si>
    <t>Scenario</t>
  </si>
  <si>
    <t>Climate zone</t>
  </si>
  <si>
    <t>State or region</t>
  </si>
  <si>
    <t>MCFm=1</t>
  </si>
  <si>
    <t>MCFm=14</t>
  </si>
  <si>
    <t>Baseline</t>
  </si>
  <si>
    <t>Warm temperate moist</t>
  </si>
  <si>
    <t>ACT</t>
  </si>
  <si>
    <t>ACT/NSW</t>
  </si>
  <si>
    <t>Irrigated crop</t>
  </si>
  <si>
    <t>Bulls &lt; 1 year</t>
  </si>
  <si>
    <t>Spring</t>
  </si>
  <si>
    <t>yes</t>
  </si>
  <si>
    <t>Summer</t>
  </si>
  <si>
    <t>Autumn</t>
  </si>
  <si>
    <t>Winter</t>
  </si>
  <si>
    <t>Bulls &gt; 1 year</t>
  </si>
  <si>
    <t>DMP</t>
  </si>
  <si>
    <t>MC</t>
  </si>
  <si>
    <t>Season</t>
  </si>
  <si>
    <t>NT</t>
  </si>
  <si>
    <t>QLD</t>
  </si>
  <si>
    <t>SA</t>
  </si>
  <si>
    <t>TAS</t>
  </si>
  <si>
    <t>VIC</t>
  </si>
  <si>
    <t>Pilbara</t>
  </si>
  <si>
    <t>Kimberley</t>
  </si>
  <si>
    <t>Cows &lt; 1 year</t>
  </si>
  <si>
    <t>Cows 1-2 years</t>
  </si>
  <si>
    <t>WA</t>
  </si>
  <si>
    <t>Cows 2-3 years</t>
  </si>
  <si>
    <t>Irrigated pasture</t>
  </si>
  <si>
    <t>NSW</t>
  </si>
  <si>
    <t>Cows &gt; 3 years</t>
  </si>
  <si>
    <t>Non-irrigated pasture</t>
  </si>
  <si>
    <t>Non-irrigated crop (low rainfall)</t>
  </si>
  <si>
    <t>Non-irrigated crop (high rainfall)</t>
  </si>
  <si>
    <t>Steers &lt; 1 year</t>
  </si>
  <si>
    <t>Steers 1-2 years</t>
  </si>
  <si>
    <t>Steers 2-3 years</t>
  </si>
  <si>
    <t>Steers &gt;3 years</t>
  </si>
  <si>
    <t>no</t>
  </si>
  <si>
    <t>State</t>
  </si>
  <si>
    <t>Breed</t>
  </si>
  <si>
    <t>Extended region</t>
  </si>
  <si>
    <t>Hereford or Shorthorn breeds</t>
  </si>
  <si>
    <t>5a</t>
  </si>
  <si>
    <t>5b</t>
  </si>
  <si>
    <t>7a</t>
  </si>
  <si>
    <t>7b</t>
  </si>
  <si>
    <t>7c</t>
  </si>
  <si>
    <t>Class</t>
  </si>
  <si>
    <t>WA - South West</t>
  </si>
  <si>
    <t>WA - Pilbara</t>
  </si>
  <si>
    <t>WA - Kimberley</t>
  </si>
  <si>
    <t>NT - Alice Springs</t>
  </si>
  <si>
    <t>NT - Barkly</t>
  </si>
  <si>
    <t>NT - Northern</t>
  </si>
  <si>
    <t>QLD - High</t>
  </si>
  <si>
    <t>QLD - Moderate/High</t>
  </si>
  <si>
    <t>QLD - Moderate/Low</t>
  </si>
  <si>
    <t>QLD - Low</t>
  </si>
  <si>
    <t>SeasonOrder</t>
  </si>
  <si>
    <t>W</t>
  </si>
  <si>
    <t>Appendix A.1.2.1</t>
  </si>
  <si>
    <t>LWG</t>
  </si>
  <si>
    <t>Appendix A.1.2.3</t>
  </si>
  <si>
    <t>Appendix A.1.2.8</t>
  </si>
  <si>
    <t>Northern Brahman cross breed</t>
  </si>
  <si>
    <t>Calving season</t>
  </si>
  <si>
    <t>Post calving season</t>
  </si>
  <si>
    <t>LCjk=4,5 (this)</t>
  </si>
  <si>
    <t>LCjk=4,5 (prev)</t>
  </si>
  <si>
    <t>DMP (calving)</t>
  </si>
  <si>
    <t>DMP (post calving)</t>
  </si>
  <si>
    <t>DMDj</t>
  </si>
  <si>
    <t>Appendix A.1.2.5</t>
  </si>
  <si>
    <t>A (ash content of feed)</t>
  </si>
  <si>
    <t>B0</t>
  </si>
  <si>
    <t>m=14</t>
  </si>
  <si>
    <t>m=1</t>
  </si>
  <si>
    <t>No unfenced water</t>
  </si>
  <si>
    <t>n/a</t>
  </si>
  <si>
    <t>South</t>
  </si>
  <si>
    <t>West</t>
  </si>
  <si>
    <t>Manure proportion</t>
  </si>
  <si>
    <t>MCFim=1</t>
  </si>
  <si>
    <t>MCFim=14</t>
  </si>
  <si>
    <t>Mjklm=1</t>
  </si>
  <si>
    <t>Mjklm=14</t>
  </si>
  <si>
    <t>Crude protein</t>
  </si>
  <si>
    <t>Appendix A.1.2.6</t>
  </si>
  <si>
    <t>NEjkl (calving)</t>
  </si>
  <si>
    <t>Leaching zone</t>
  </si>
  <si>
    <t>Cn2o</t>
  </si>
  <si>
    <t>Production system</t>
  </si>
  <si>
    <t>Sugar</t>
  </si>
  <si>
    <t>Cotton</t>
  </si>
  <si>
    <t>Horticultural crops</t>
  </si>
  <si>
    <t>Aquaculture </t>
  </si>
  <si>
    <t>Rice (continuous flooding)</t>
  </si>
  <si>
    <t>Rice (single and multiple drainage, or alternate wetting and drying)</t>
  </si>
  <si>
    <t>Aquaculture</t>
  </si>
  <si>
    <t>Forestry</t>
  </si>
  <si>
    <t>Tropical montane</t>
  </si>
  <si>
    <t>Tropical wet</t>
  </si>
  <si>
    <t>Tropical moist</t>
  </si>
  <si>
    <t>Cool temperate moist</t>
  </si>
  <si>
    <t>Boreal moist</t>
  </si>
  <si>
    <t>Tropical dry</t>
  </si>
  <si>
    <t>Warm temperate dry</t>
  </si>
  <si>
    <t>Cool temperate dry</t>
  </si>
  <si>
    <t>Boreal dry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</si>
  <si>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</si>
  <si>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</si>
  <si>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</si>
  <si>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</si>
  <si>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</si>
  <si>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</si>
  <si>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</si>
  <si>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</si>
  <si>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</si>
  <si>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</si>
  <si>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</si>
  <si>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</si>
  <si>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</t>
  </si>
  <si>
    <t>Custom Dj</t>
  </si>
  <si>
    <t>MAT</t>
  </si>
  <si>
    <t>MCF by climate zone</t>
  </si>
  <si>
    <t>10 or below</t>
  </si>
  <si>
    <t>28 or above</t>
  </si>
  <si>
    <t>Custom W</t>
  </si>
  <si>
    <t>Custom LWG</t>
  </si>
  <si>
    <t>WA - Kimberley - No calving</t>
  </si>
  <si>
    <t>Hereford or Shorthorn</t>
  </si>
  <si>
    <t>Custom DMD</t>
  </si>
  <si>
    <t>Custom CP</t>
  </si>
  <si>
    <t>Prop. Born</t>
  </si>
  <si>
    <t>born last season</t>
  </si>
  <si>
    <t>Monthly - leap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</si>
</sst>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2" xfId="0" applyFont="1" applyFill="1" applyBorder="1"/>
    <xf numFmtId="0" fontId="0" fillId="0" borderId="1" xfId="0" applyBorder="1"/>
    <xf numFmtId="0" fontId="0" fillId="0" borderId="2" xfId="0" applyBorder="1"/>
    <xf numFmtId="0" fontId="0" fillId="4" borderId="1" xfId="0" applyFill="1" applyBorder="1"/>
    <xf numFmtId="0" fontId="0" fillId="4" borderId="2" xfId="0" applyFill="1" applyBorder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.xlsx" TargetMode="External"/><Relationship Id="rId1" Type="http://schemas.openxmlformats.org/officeDocument/2006/relationships/externalLinkPath" Target="../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3DD6AC4-56D8-E84C-84D2-E2C4559DF1B1}" autoFormatId="16" applyNumberFormats="0" applyBorderFormats="0" applyFontFormats="0" applyPatternFormats="0" applyAlignmentFormats="0" applyWidthHeightFormats="0">
  <queryTableRefresh nextId="19" unboundColumnsRight="15">
    <queryTableFields count="18">
      <queryTableField id="1" name="Season" tableColumnId="1"/>
      <queryTableField id="2" name="Class" tableColumnId="2"/>
      <queryTableField id="3" name="ACT/NSW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  <queryTableDeletedFields count="14">
      <deletedField name="SA"/>
      <deletedField name="TAS"/>
      <deletedField name="VIC"/>
      <deletedField name="WA - South West"/>
      <deletedField name="WA - Pilbara"/>
      <deletedField name="WA - Kimberley"/>
      <deletedField name="NT - Alice Springs"/>
      <deletedField name="NT - Barkly"/>
      <deletedField name="NT - Northern"/>
      <deletedField name="QLD - High"/>
      <deletedField name="QLD - Moderate/High"/>
      <deletedField name="QLD - Moderate/Low"/>
      <deletedField name="QLD - Low"/>
      <deletedField name="SeasonOrde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9CE2E31-5B04-B649-ABEF-1E82E0CC928A}" autoFormatId="16" applyNumberFormats="0" applyBorderFormats="0" applyFontFormats="0" applyPatternFormats="0" applyAlignmentFormats="0" applyWidthHeightFormats="0">
  <queryTableRefresh nextId="20" unboundColumnsRight="15">
    <queryTableFields count="18">
      <queryTableField id="2" name="Season" tableColumnId="2"/>
      <queryTableField id="3" name="Class" tableColumnId="3"/>
      <queryTableField id="4" name="ACT/NSW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"/>
    </queryTableFields>
    <queryTableDeletedFields count="14">
      <deletedField name="SA"/>
      <deletedField name="TAS"/>
      <deletedField name="VIC"/>
      <deletedField name="WA - South West"/>
      <deletedField name="WA - Pilbara"/>
      <deletedField name="WA - Kimberley"/>
      <deletedField name="NT - Alice Springs"/>
      <deletedField name="NT - Barkly"/>
      <deletedField name="NT - Northern"/>
      <deletedField name="QLD - High"/>
      <deletedField name="QLD - Moderate/High"/>
      <deletedField name="QLD - Moderate/Low"/>
      <deletedField name="QLD - Low"/>
      <deletedField name="SeasonOr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6D68F-5E16-2040-B2B0-25AEC43C11B9}" name="TableW" displayName="TableW" ref="BQ19:CH59" tableType="queryTable" totalsRowShown="0">
  <autoFilter ref="BQ19:CH59" xr:uid="{B136D68F-5E16-2040-B2B0-25AEC43C11B9}"/>
  <tableColumns count="18">
    <tableColumn id="1" xr3:uid="{01E2B190-DC81-B14E-BF1C-15B9E539E0B0}" uniqueName="1" name="Season" queryTableFieldId="1" dataDxfId="9"/>
    <tableColumn id="2" xr3:uid="{8424A2A4-7138-6946-BD43-90A48AE99819}" uniqueName="2" name="Class" queryTableFieldId="2" dataDxfId="8"/>
    <tableColumn id="3" xr3:uid="{7A7B7ED2-7293-0E4E-935A-16AABE075BDE}" uniqueName="3" name="ACT" queryTableFieldId="3"/>
    <tableColumn id="4" xr3:uid="{CD2C8730-95A3-7F47-8FBB-A04DF4A82E29}" uniqueName="4" name="NSW" queryTableFieldId="4"/>
    <tableColumn id="5" xr3:uid="{2831CF6B-52E4-824C-885C-503316377D03}" uniqueName="5" name="SA" queryTableFieldId="5"/>
    <tableColumn id="6" xr3:uid="{1FCD80F9-B4DE-8546-9226-22C68A6133D9}" uniqueName="6" name="TAS" queryTableFieldId="6"/>
    <tableColumn id="7" xr3:uid="{9EE7820A-81AE-6A42-A664-EB8A2FD4773B}" uniqueName="7" name="VIC" queryTableFieldId="7"/>
    <tableColumn id="8" xr3:uid="{E117C93D-C8E3-E94D-A665-83C9AF5B4605}" uniqueName="8" name="WA - South West" queryTableFieldId="8"/>
    <tableColumn id="9" xr3:uid="{C55374DF-D152-C445-8E0B-E2C8B4FACDE8}" uniqueName="9" name="WA - Pilbara" queryTableFieldId="9"/>
    <tableColumn id="10" xr3:uid="{4C09E422-CA6C-CD43-B425-DC48B9780D6E}" uniqueName="10" name="WA - Kimberley" queryTableFieldId="10"/>
    <tableColumn id="11" xr3:uid="{CC6AC642-5A18-B34B-A1D6-85DDF86E9E71}" uniqueName="11" name="NT - Alice Springs" queryTableFieldId="11"/>
    <tableColumn id="12" xr3:uid="{DC77EABC-9033-BD4D-AD17-6B4B893F2B67}" uniqueName="12" name="NT - Barkly" queryTableFieldId="12"/>
    <tableColumn id="13" xr3:uid="{0CC7B7C9-0E5D-2C4B-AC03-027037A02509}" uniqueName="13" name="NT - Northern" queryTableFieldId="13"/>
    <tableColumn id="14" xr3:uid="{30336AA0-B781-AE48-9D4D-8BCDAF471A38}" uniqueName="14" name="QLD - High" queryTableFieldId="14"/>
    <tableColumn id="15" xr3:uid="{97B94762-225D-3F47-A727-C1D48CD6D1C7}" uniqueName="15" name="QLD - Moderate/High" queryTableFieldId="15"/>
    <tableColumn id="16" xr3:uid="{910EF729-56D4-DA45-B4CC-3067CF09765B}" uniqueName="16" name="QLD - Moderate/Low" queryTableFieldId="16"/>
    <tableColumn id="17" xr3:uid="{77133C9A-A822-B84A-92D8-7A0FE9E0B300}" uniqueName="17" name="QLD - Low" queryTableFieldId="17"/>
    <tableColumn id="18" xr3:uid="{D8A89456-B3C0-0740-B955-CBD9C6352C6E}" uniqueName="18" name="SeasonOrder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B66C70-224C-5249-8661-331E0D78789A}" name="TableLWG" displayName="TableLWG" ref="BQ65:CH105" tableType="queryTable" totalsRowShown="0">
  <autoFilter ref="BQ65:CH105" xr:uid="{7AB66C70-224C-5249-8661-331E0D78789A}"/>
  <tableColumns count="18">
    <tableColumn id="2" xr3:uid="{B7E230E6-9C2E-E44E-9A4D-A0A6A95E08BA}" uniqueName="2" name="Season" queryTableFieldId="2" dataDxfId="7"/>
    <tableColumn id="3" xr3:uid="{F97487EE-73A2-834F-806B-DCEA17E0B31D}" uniqueName="3" name="Class" queryTableFieldId="3" dataDxfId="6"/>
    <tableColumn id="4" xr3:uid="{7715E8F4-DDEC-884D-8E51-444E35E1C5A4}" uniqueName="4" name="ACT" queryTableFieldId="4"/>
    <tableColumn id="5" xr3:uid="{EBF7C794-C1FC-5B46-AA66-D0CE781E9E17}" uniqueName="5" name="NSW" queryTableFieldId="5"/>
    <tableColumn id="6" xr3:uid="{DCD4CA9C-D655-0942-A644-69923BA024FF}" uniqueName="6" name="SA" queryTableFieldId="6"/>
    <tableColumn id="7" xr3:uid="{7F44877E-FE9F-B741-87E0-EDFFB8A86E1C}" uniqueName="7" name="TAS" queryTableFieldId="7"/>
    <tableColumn id="8" xr3:uid="{1801F1B5-641F-D443-ACA4-C59EC193823C}" uniqueName="8" name="VIC" queryTableFieldId="8"/>
    <tableColumn id="9" xr3:uid="{84642FDA-EF4E-624A-B4BB-B6CCAEDB8245}" uniqueName="9" name="WA - South West" queryTableFieldId="9"/>
    <tableColumn id="10" xr3:uid="{0C00BBA4-E58B-0641-A502-596F3000894F}" uniqueName="10" name="WA - Pilbara" queryTableFieldId="10"/>
    <tableColumn id="11" xr3:uid="{9C45E742-56D3-554A-AC19-2B48DDAAEBA1}" uniqueName="11" name="WA - Kimberley" queryTableFieldId="11"/>
    <tableColumn id="12" xr3:uid="{D69E62C5-977B-3C43-8DD0-D79C8C6874E8}" uniqueName="12" name="NT - Alice Springs" queryTableFieldId="12"/>
    <tableColumn id="13" xr3:uid="{452C55C9-0F65-9946-AF2E-06AC64B4D233}" uniqueName="13" name="NT - Barkly" queryTableFieldId="13"/>
    <tableColumn id="14" xr3:uid="{D78786FC-6D8D-C34F-985A-B052CF8AB366}" uniqueName="14" name="NT - Northern" queryTableFieldId="14"/>
    <tableColumn id="15" xr3:uid="{C1F271C4-8890-FC46-9EFC-069AA0DEB794}" uniqueName="15" name="QLD - High" queryTableFieldId="15"/>
    <tableColumn id="16" xr3:uid="{A44F1783-FBE5-524A-A84D-7ACE2D4B9070}" uniqueName="16" name="QLD - Moderate/High" queryTableFieldId="16"/>
    <tableColumn id="17" xr3:uid="{1DA66F6B-652A-C844-810A-68639EA963AA}" uniqueName="17" name="QLD - Moderate/Low" queryTableFieldId="17"/>
    <tableColumn id="18" xr3:uid="{619AD50B-0453-2544-BF3A-D1CB0C92756A}" uniqueName="18" name="QLD - Low" queryTableFieldId="18"/>
    <tableColumn id="1" xr3:uid="{DC0C9B67-6E7C-1143-A548-423D8CA55140}" uniqueName="1" name="SeasonOrder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886F9F-74BC-8D45-ACAE-E3592CEF43AB}" name="TableSRW" displayName="TableSRW" ref="BQ112:BZ152" totalsRowShown="0">
  <autoFilter ref="BQ112:BZ152" xr:uid="{D1886F9F-74BC-8D45-ACAE-E3592CEF43AB}"/>
  <tableColumns count="10">
    <tableColumn id="1" xr3:uid="{A07CE5DF-0859-BA41-A6B7-1FB1BDD03ADB}" name="Season" dataDxfId="5"/>
    <tableColumn id="2" xr3:uid="{3C9CC1C8-AEEA-9F4A-A04E-75C558753096}" name="Class" dataDxfId="4"/>
    <tableColumn id="3" xr3:uid="{B4198406-6FA5-1B4E-85AD-29C6853BD3AA}" name="ACT"/>
    <tableColumn id="4" xr3:uid="{465CFF81-20DA-4642-A186-EC9977B1CCF3}" name="NSW"/>
    <tableColumn id="5" xr3:uid="{CBE34464-76DE-BD49-B349-5CECA3E3A88D}" name="NT"/>
    <tableColumn id="6" xr3:uid="{D2A4740B-F4B1-8F42-8995-4CD643672A5D}" name="QLD"/>
    <tableColumn id="7" xr3:uid="{15D6CC20-1619-DD43-B35E-017305B35929}" name="SA"/>
    <tableColumn id="8" xr3:uid="{2BEE0675-9EEF-5547-A4B1-484901236EB6}" name="TAS"/>
    <tableColumn id="9" xr3:uid="{1E53A3FF-F809-1440-949E-ED99F007DB4F}" name="VIC"/>
    <tableColumn id="10" xr3:uid="{1962E53F-94A6-8648-9B38-5EC69BA540DA}" name="W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39E759-D6FC-FB4B-8B45-8F79F0364205}" name="TableDMD" displayName="TableDMD" ref="BQ160:CB200" totalsRowShown="0">
  <autoFilter ref="BQ160:CB200" xr:uid="{8A39E759-D6FC-FB4B-8B45-8F79F0364205}"/>
  <tableColumns count="12">
    <tableColumn id="1" xr3:uid="{91C6D4C1-C36F-044D-82B5-D39204E48E20}" name="Season" dataDxfId="3"/>
    <tableColumn id="2" xr3:uid="{FC945953-3540-3F4C-9779-C0249FBD05FF}" name="Class" dataDxfId="2"/>
    <tableColumn id="3" xr3:uid="{75B4DFF5-7DFB-3F47-B332-D7AE11392377}" name="ACT"/>
    <tableColumn id="4" xr3:uid="{912A09A1-9E22-D84E-AD66-7430D32D7F8D}" name="NSW"/>
    <tableColumn id="5" xr3:uid="{8F1EE703-FCE0-4C41-BFDD-4F31F1A32CB8}" name="NT"/>
    <tableColumn id="6" xr3:uid="{E79464CA-8BCD-FE4A-95D2-7DC89D2F0BC5}" name="QLD"/>
    <tableColumn id="7" xr3:uid="{8C195616-2F3B-BF48-855A-528A02E1AF86}" name="SA"/>
    <tableColumn id="8" xr3:uid="{5C317341-5ACB-DA45-93C2-F15781F1974F}" name="TAS"/>
    <tableColumn id="9" xr3:uid="{175ABDAF-EAD9-8045-99FF-16910B3A6EC9}" name="VIC"/>
    <tableColumn id="10" xr3:uid="{F98DDB9C-EEFE-BA44-836A-83E5750CF348}" name="WA - South West"/>
    <tableColumn id="11" xr3:uid="{715DFDB4-94F9-184B-A4BE-78AF32C13F73}" name="WA - Pilbara"/>
    <tableColumn id="12" xr3:uid="{7D7A73AC-019E-644C-8FD2-B442ED362FA8}" name="WA - Kimberle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5EF6B8-7AF8-DB4A-8AAB-86F07DFFEE09}" name="TableCP" displayName="TableCP" ref="BQ229:CB269" totalsRowShown="0">
  <autoFilter ref="BQ229:CB269" xr:uid="{AE5EF6B8-7AF8-DB4A-8AAB-86F07DFFEE09}"/>
  <tableColumns count="12">
    <tableColumn id="1" xr3:uid="{A60FFCED-18AA-BC4E-8402-36072B0F4647}" name="Season" dataDxfId="1"/>
    <tableColumn id="2" xr3:uid="{530DE96C-BFA4-D64E-8EF9-04C02897E047}" name="Class" dataDxfId="0"/>
    <tableColumn id="3" xr3:uid="{728C114F-B957-F94B-A609-E8B2E85BAB62}" name="ACT"/>
    <tableColumn id="4" xr3:uid="{B832E71F-F21C-9840-A1CE-96E693871C84}" name="NSW"/>
    <tableColumn id="5" xr3:uid="{6C2FE56F-7C84-D543-B8BA-8CBC5FD778CF}" name="NT"/>
    <tableColumn id="6" xr3:uid="{2EEBDE65-BAE3-8745-BB14-25E398CA0231}" name="QLD"/>
    <tableColumn id="7" xr3:uid="{CE6DDD57-5F59-0F4E-BB53-9246AAAC3779}" name="SA"/>
    <tableColumn id="8" xr3:uid="{517DC5CA-6DF1-224B-9D82-FB0F0244C523}" name="TAS"/>
    <tableColumn id="9" xr3:uid="{AA2CD256-EDB2-4A4D-99B1-DE72B544AF7F}" name="VIC"/>
    <tableColumn id="10" xr3:uid="{B7814E8E-DBCE-0E4B-8B2A-CE65A0352ED1}" name="WA - South West"/>
    <tableColumn id="11" xr3:uid="{B5842CBE-D78A-7249-B281-5AA127573518}" name="WA - Pilbara"/>
    <tableColumn id="12" xr3:uid="{D4813FFD-C6BE-6C4F-8CA2-28842EE07CE7}" name="WA - Kimberl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M923"/>
  <sheetViews>
    <sheetView tabSelected="1" zoomScale="94" zoomScaleNormal="94" workbookViewId="0">
      <pane xSplit="8" ySplit="10" topLeftCell="AO923" activePane="bottomRight" state="frozenSplit"/>
      <selection pane="topRight" activeCell="S1" sqref="S1"/>
      <selection pane="bottomLeft" activeCell="A37" sqref="A37"/>
      <selection pane="bottomRight" activeCell="AU901" sqref="AU901:AU912"/>
    </sheetView>
  </sheetViews>
  <sheetFormatPr baseColWidth="10" defaultRowHeight="16" x14ac:dyDescent="0.2"/>
  <cols>
    <col min="1" max="1" width="13.1640625" customWidth="1"/>
    <col min="2" max="2" width="18" customWidth="1"/>
    <col min="3" max="3" width="12.33203125" customWidth="1"/>
    <col min="5" max="5" width="5.6640625" bestFit="1" customWidth="1"/>
    <col min="8" max="8" width="10" customWidth="1"/>
    <col min="9" max="9" width="10.33203125" bestFit="1" customWidth="1"/>
    <col min="35" max="36" width="12" customWidth="1"/>
    <col min="48" max="48" width="13.1640625" customWidth="1"/>
    <col min="50" max="50" width="19.5" bestFit="1" customWidth="1"/>
    <col min="59" max="59" width="19.33203125" bestFit="1" customWidth="1"/>
    <col min="70" max="70" width="13.1640625" customWidth="1"/>
    <col min="71" max="71" width="11.5" customWidth="1"/>
    <col min="87" max="87" width="19.1640625" customWidth="1"/>
    <col min="89" max="89" width="17" customWidth="1"/>
  </cols>
  <sheetData>
    <row r="2" spans="1:88" x14ac:dyDescent="0.2">
      <c r="Q2" t="s">
        <v>5</v>
      </c>
      <c r="W2" t="s">
        <v>6</v>
      </c>
      <c r="X2" t="s">
        <v>0</v>
      </c>
      <c r="Y2" t="s">
        <v>1</v>
      </c>
      <c r="Z2" t="s">
        <v>7</v>
      </c>
      <c r="AF2" t="s">
        <v>2</v>
      </c>
      <c r="AN2" t="s">
        <v>3</v>
      </c>
      <c r="AR2" t="s">
        <v>4</v>
      </c>
      <c r="AT2" t="s">
        <v>8</v>
      </c>
      <c r="AU2" t="s">
        <v>9</v>
      </c>
      <c r="AV2" t="s">
        <v>10</v>
      </c>
      <c r="BA2" t="s">
        <v>11</v>
      </c>
      <c r="BE2" t="s">
        <v>12</v>
      </c>
      <c r="BJ2" t="s">
        <v>13</v>
      </c>
      <c r="BK2" t="s">
        <v>14</v>
      </c>
      <c r="BL2" t="s">
        <v>15</v>
      </c>
      <c r="BS2" t="s">
        <v>166</v>
      </c>
      <c r="BT2" t="s">
        <v>218</v>
      </c>
      <c r="BU2" t="s">
        <v>219</v>
      </c>
      <c r="BZ2" t="s">
        <v>130</v>
      </c>
    </row>
    <row r="3" spans="1:88" x14ac:dyDescent="0.2">
      <c r="J3" t="s">
        <v>29</v>
      </c>
      <c r="K3" t="s">
        <v>27</v>
      </c>
      <c r="M3" t="s">
        <v>17</v>
      </c>
      <c r="O3" t="s">
        <v>18</v>
      </c>
      <c r="P3" t="s">
        <v>31</v>
      </c>
      <c r="Q3" t="s">
        <v>32</v>
      </c>
      <c r="R3" t="s">
        <v>33</v>
      </c>
      <c r="S3" t="s">
        <v>16</v>
      </c>
      <c r="W3" t="s">
        <v>34</v>
      </c>
      <c r="X3" t="s">
        <v>19</v>
      </c>
      <c r="Y3" t="s">
        <v>20</v>
      </c>
      <c r="Z3" t="s">
        <v>35</v>
      </c>
      <c r="AC3" t="s">
        <v>36</v>
      </c>
      <c r="AE3" t="s">
        <v>21</v>
      </c>
      <c r="AF3" t="s">
        <v>22</v>
      </c>
      <c r="AG3" t="s">
        <v>23</v>
      </c>
      <c r="AH3" t="s">
        <v>26</v>
      </c>
      <c r="AI3" t="s">
        <v>24</v>
      </c>
      <c r="AK3" t="s">
        <v>25</v>
      </c>
      <c r="AN3" t="s">
        <v>28</v>
      </c>
      <c r="AR3" t="s">
        <v>30</v>
      </c>
      <c r="AS3" t="s">
        <v>37</v>
      </c>
      <c r="AT3" t="s">
        <v>38</v>
      </c>
      <c r="AU3" t="s">
        <v>39</v>
      </c>
      <c r="AV3" t="s">
        <v>40</v>
      </c>
      <c r="AY3" t="s">
        <v>41</v>
      </c>
      <c r="AZ3" t="s">
        <v>42</v>
      </c>
      <c r="BA3" t="s">
        <v>43</v>
      </c>
      <c r="BB3" t="s">
        <v>44</v>
      </c>
      <c r="BD3" t="s">
        <v>45</v>
      </c>
      <c r="BE3" t="s">
        <v>46</v>
      </c>
      <c r="BF3" t="s">
        <v>47</v>
      </c>
      <c r="BH3" t="s">
        <v>48</v>
      </c>
      <c r="BI3" t="s">
        <v>49</v>
      </c>
      <c r="BJ3" t="s">
        <v>50</v>
      </c>
      <c r="BK3" t="s">
        <v>51</v>
      </c>
      <c r="BL3" t="s">
        <v>52</v>
      </c>
      <c r="BS3" t="s">
        <v>194</v>
      </c>
      <c r="BT3">
        <v>6</v>
      </c>
      <c r="BU3">
        <v>4</v>
      </c>
      <c r="BW3" t="s">
        <v>143</v>
      </c>
      <c r="BX3">
        <v>1.3</v>
      </c>
      <c r="BZ3" t="s">
        <v>142</v>
      </c>
      <c r="CA3">
        <v>6.0000000000000001E-3</v>
      </c>
      <c r="CI3" t="s">
        <v>226</v>
      </c>
      <c r="CJ3">
        <v>0.08</v>
      </c>
    </row>
    <row r="4" spans="1:88" x14ac:dyDescent="0.2">
      <c r="J4" t="s">
        <v>54</v>
      </c>
      <c r="K4" t="s">
        <v>53</v>
      </c>
      <c r="M4" t="s">
        <v>54</v>
      </c>
      <c r="O4" t="s">
        <v>54</v>
      </c>
      <c r="P4" t="s">
        <v>54</v>
      </c>
      <c r="Q4" t="s">
        <v>55</v>
      </c>
      <c r="R4" t="s">
        <v>54</v>
      </c>
      <c r="S4" t="s">
        <v>53</v>
      </c>
      <c r="W4" t="s">
        <v>55</v>
      </c>
      <c r="X4" t="s">
        <v>55</v>
      </c>
      <c r="Y4" t="s">
        <v>55</v>
      </c>
      <c r="Z4" t="s">
        <v>55</v>
      </c>
      <c r="AC4" t="s">
        <v>54</v>
      </c>
      <c r="AE4" t="s">
        <v>54</v>
      </c>
      <c r="AF4" t="s">
        <v>55</v>
      </c>
      <c r="AG4" t="s">
        <v>54</v>
      </c>
      <c r="AH4" t="s">
        <v>54</v>
      </c>
      <c r="AI4" t="s">
        <v>54</v>
      </c>
      <c r="AK4" t="s">
        <v>54</v>
      </c>
      <c r="AN4" t="s">
        <v>55</v>
      </c>
      <c r="AR4" t="s">
        <v>55</v>
      </c>
      <c r="AS4" t="s">
        <v>54</v>
      </c>
      <c r="AT4" t="s">
        <v>55</v>
      </c>
      <c r="AU4" t="s">
        <v>55</v>
      </c>
      <c r="AV4" t="s">
        <v>55</v>
      </c>
      <c r="AY4" t="s">
        <v>54</v>
      </c>
      <c r="AZ4" t="s">
        <v>54</v>
      </c>
      <c r="BA4" t="s">
        <v>55</v>
      </c>
      <c r="BB4" t="s">
        <v>54</v>
      </c>
      <c r="BD4" t="s">
        <v>54</v>
      </c>
      <c r="BE4" t="s">
        <v>55</v>
      </c>
      <c r="BF4" t="s">
        <v>54</v>
      </c>
      <c r="BH4" t="s">
        <v>54</v>
      </c>
      <c r="BI4" t="s">
        <v>54</v>
      </c>
      <c r="BJ4" t="s">
        <v>55</v>
      </c>
      <c r="BK4" t="s">
        <v>55</v>
      </c>
      <c r="BL4" t="s">
        <v>55</v>
      </c>
      <c r="BS4" t="s">
        <v>217</v>
      </c>
      <c r="BT4">
        <v>4</v>
      </c>
      <c r="BU4">
        <v>3</v>
      </c>
      <c r="BW4" t="s">
        <v>146</v>
      </c>
      <c r="BX4">
        <v>1.1000000000000001</v>
      </c>
      <c r="BZ4" t="s">
        <v>145</v>
      </c>
      <c r="CA4">
        <v>2E-3</v>
      </c>
      <c r="CI4" t="s">
        <v>227</v>
      </c>
      <c r="CJ4">
        <v>0.19</v>
      </c>
    </row>
    <row r="5" spans="1:88" x14ac:dyDescent="0.2">
      <c r="J5" t="s">
        <v>53</v>
      </c>
      <c r="K5" t="s">
        <v>56</v>
      </c>
      <c r="M5" t="s">
        <v>53</v>
      </c>
      <c r="O5" t="s">
        <v>53</v>
      </c>
      <c r="P5" t="s">
        <v>56</v>
      </c>
      <c r="Q5" t="s">
        <v>56</v>
      </c>
      <c r="R5" t="s">
        <v>56</v>
      </c>
      <c r="S5" t="s">
        <v>56</v>
      </c>
      <c r="W5" t="s">
        <v>56</v>
      </c>
      <c r="X5" t="s">
        <v>56</v>
      </c>
      <c r="Y5" t="s">
        <v>56</v>
      </c>
      <c r="Z5" t="s">
        <v>56</v>
      </c>
      <c r="AC5" t="s">
        <v>53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53</v>
      </c>
      <c r="AN5" t="s">
        <v>56</v>
      </c>
      <c r="AR5" t="s">
        <v>56</v>
      </c>
      <c r="AS5" t="s">
        <v>56</v>
      </c>
      <c r="AU5" t="s">
        <v>56</v>
      </c>
      <c r="AV5" t="s">
        <v>56</v>
      </c>
      <c r="AY5" t="s">
        <v>56</v>
      </c>
      <c r="AZ5" t="s">
        <v>56</v>
      </c>
      <c r="BA5" t="s">
        <v>56</v>
      </c>
      <c r="BB5" t="s">
        <v>56</v>
      </c>
      <c r="BD5" t="s">
        <v>56</v>
      </c>
      <c r="BE5" t="s">
        <v>56</v>
      </c>
      <c r="BF5" t="s">
        <v>56</v>
      </c>
      <c r="BH5" t="s">
        <v>56</v>
      </c>
      <c r="BI5" t="s">
        <v>56</v>
      </c>
      <c r="BJ5" t="s">
        <v>56</v>
      </c>
      <c r="BK5" t="s">
        <v>56</v>
      </c>
      <c r="BL5" t="s">
        <v>56</v>
      </c>
      <c r="CI5" t="s">
        <v>116</v>
      </c>
      <c r="CJ5">
        <v>0.6784</v>
      </c>
    </row>
    <row r="6" spans="1:88" x14ac:dyDescent="0.2">
      <c r="AV6">
        <f>O11</f>
        <v>1.1000000000000001</v>
      </c>
      <c r="CI6" t="s">
        <v>148</v>
      </c>
      <c r="CJ6">
        <v>0.21</v>
      </c>
    </row>
    <row r="7" spans="1:88" x14ac:dyDescent="0.2">
      <c r="CI7" t="s">
        <v>133</v>
      </c>
      <c r="CJ7">
        <v>0.24</v>
      </c>
    </row>
    <row r="8" spans="1:88" x14ac:dyDescent="0.2">
      <c r="J8" t="s">
        <v>64</v>
      </c>
      <c r="K8" t="s">
        <v>63</v>
      </c>
      <c r="M8" t="s">
        <v>58</v>
      </c>
      <c r="O8" t="s">
        <v>59</v>
      </c>
      <c r="P8" t="s">
        <v>58</v>
      </c>
      <c r="Q8" t="s">
        <v>57</v>
      </c>
      <c r="R8" t="s">
        <v>59</v>
      </c>
      <c r="S8" t="s">
        <v>57</v>
      </c>
      <c r="W8" t="s">
        <v>59</v>
      </c>
      <c r="X8" t="s">
        <v>59</v>
      </c>
      <c r="Y8" t="s">
        <v>59</v>
      </c>
      <c r="Z8" t="s">
        <v>57</v>
      </c>
      <c r="AC8" t="s">
        <v>57</v>
      </c>
      <c r="AE8" t="s">
        <v>57</v>
      </c>
      <c r="AF8" t="s">
        <v>60</v>
      </c>
      <c r="AG8" t="s">
        <v>61</v>
      </c>
      <c r="AH8" t="s">
        <v>62</v>
      </c>
      <c r="AI8" t="s">
        <v>57</v>
      </c>
      <c r="AK8" t="s">
        <v>57</v>
      </c>
      <c r="AN8" t="s">
        <v>59</v>
      </c>
      <c r="AR8" t="s">
        <v>65</v>
      </c>
      <c r="AS8" t="s">
        <v>59</v>
      </c>
      <c r="AT8" t="s">
        <v>66</v>
      </c>
      <c r="AU8" t="s">
        <v>66</v>
      </c>
      <c r="AV8" t="s">
        <v>67</v>
      </c>
      <c r="AY8" t="s">
        <v>68</v>
      </c>
      <c r="AZ8" t="s">
        <v>69</v>
      </c>
      <c r="BA8" t="s">
        <v>67</v>
      </c>
      <c r="BB8" t="s">
        <v>57</v>
      </c>
      <c r="BD8" t="s">
        <v>57</v>
      </c>
      <c r="BE8" t="s">
        <v>67</v>
      </c>
      <c r="BF8" t="s">
        <v>57</v>
      </c>
      <c r="BH8" t="s">
        <v>70</v>
      </c>
      <c r="BI8" t="s">
        <v>70</v>
      </c>
      <c r="BJ8" t="s">
        <v>71</v>
      </c>
      <c r="BK8" t="s">
        <v>71</v>
      </c>
      <c r="BL8" t="s">
        <v>71</v>
      </c>
      <c r="CI8" t="s">
        <v>243</v>
      </c>
      <c r="CJ8">
        <f>[1]!common_cn2o</f>
        <v>1.57</v>
      </c>
    </row>
    <row r="9" spans="1:88" x14ac:dyDescent="0.2">
      <c r="J9" t="s">
        <v>85</v>
      </c>
      <c r="K9" t="s">
        <v>83</v>
      </c>
      <c r="M9" t="s">
        <v>73</v>
      </c>
      <c r="O9" t="s">
        <v>74</v>
      </c>
      <c r="P9" t="s">
        <v>87</v>
      </c>
      <c r="Q9" t="s">
        <v>88</v>
      </c>
      <c r="R9" t="s">
        <v>89</v>
      </c>
      <c r="S9" t="s">
        <v>72</v>
      </c>
      <c r="U9" t="s">
        <v>286</v>
      </c>
      <c r="V9" t="s">
        <v>287</v>
      </c>
      <c r="W9" t="s">
        <v>90</v>
      </c>
      <c r="X9" t="s">
        <v>75</v>
      </c>
      <c r="Y9" t="s">
        <v>76</v>
      </c>
      <c r="Z9" t="s">
        <v>91</v>
      </c>
      <c r="AC9" t="s">
        <v>92</v>
      </c>
      <c r="AE9" t="s">
        <v>77</v>
      </c>
      <c r="AF9" t="s">
        <v>78</v>
      </c>
      <c r="AG9" t="s">
        <v>79</v>
      </c>
      <c r="AH9" t="s">
        <v>82</v>
      </c>
      <c r="AI9" t="s">
        <v>80</v>
      </c>
      <c r="AK9" t="s">
        <v>81</v>
      </c>
      <c r="AN9" t="s">
        <v>84</v>
      </c>
      <c r="AR9" t="s">
        <v>86</v>
      </c>
      <c r="AS9" t="s">
        <v>93</v>
      </c>
      <c r="AT9" t="s">
        <v>94</v>
      </c>
      <c r="AU9" t="s">
        <v>95</v>
      </c>
      <c r="AV9" t="s">
        <v>96</v>
      </c>
      <c r="AY9" t="s">
        <v>97</v>
      </c>
      <c r="AZ9" t="s">
        <v>98</v>
      </c>
      <c r="BA9" t="s">
        <v>99</v>
      </c>
      <c r="BB9" t="s">
        <v>100</v>
      </c>
      <c r="BD9" t="s">
        <v>101</v>
      </c>
      <c r="BE9" t="s">
        <v>102</v>
      </c>
      <c r="BF9" t="s">
        <v>103</v>
      </c>
      <c r="BH9" t="s">
        <v>104</v>
      </c>
      <c r="BI9" t="s">
        <v>105</v>
      </c>
      <c r="BJ9" t="s">
        <v>106</v>
      </c>
      <c r="BK9" t="s">
        <v>107</v>
      </c>
      <c r="BL9" t="s">
        <v>108</v>
      </c>
      <c r="CI9" t="s">
        <v>138</v>
      </c>
      <c r="CJ9">
        <v>1.0999999999999999E-2</v>
      </c>
    </row>
    <row r="10" spans="1:88" x14ac:dyDescent="0.2">
      <c r="A10" t="s">
        <v>149</v>
      </c>
      <c r="B10" s="1" t="s">
        <v>192</v>
      </c>
      <c r="C10" s="1" t="s">
        <v>193</v>
      </c>
      <c r="D10" s="1" t="s">
        <v>151</v>
      </c>
      <c r="E10" s="1" t="s">
        <v>191</v>
      </c>
      <c r="F10" s="1" t="s">
        <v>230</v>
      </c>
      <c r="I10" s="1" t="s">
        <v>275</v>
      </c>
      <c r="J10" s="1" t="s">
        <v>119</v>
      </c>
      <c r="K10" s="1" t="s">
        <v>117</v>
      </c>
      <c r="L10" s="1" t="s">
        <v>280</v>
      </c>
      <c r="M10" t="s">
        <v>109</v>
      </c>
      <c r="N10" s="1" t="s">
        <v>281</v>
      </c>
      <c r="O10" t="s">
        <v>110</v>
      </c>
      <c r="P10" t="s">
        <v>121</v>
      </c>
      <c r="Q10" t="s">
        <v>122</v>
      </c>
      <c r="R10" t="s">
        <v>123</v>
      </c>
      <c r="S10" s="1" t="s">
        <v>220</v>
      </c>
      <c r="T10" s="1" t="s">
        <v>221</v>
      </c>
      <c r="U10" s="1"/>
      <c r="V10" s="1"/>
      <c r="W10" t="s">
        <v>124</v>
      </c>
      <c r="X10" t="s">
        <v>111</v>
      </c>
      <c r="Y10" t="s">
        <v>112</v>
      </c>
      <c r="Z10" t="s">
        <v>125</v>
      </c>
      <c r="AB10" s="1" t="s">
        <v>285</v>
      </c>
      <c r="AC10" s="1" t="s">
        <v>126</v>
      </c>
      <c r="AD10" s="1" t="s">
        <v>284</v>
      </c>
      <c r="AE10" s="1" t="s">
        <v>113</v>
      </c>
      <c r="AF10" t="s">
        <v>114</v>
      </c>
      <c r="AG10" t="s">
        <v>115</v>
      </c>
      <c r="AH10" t="s">
        <v>116</v>
      </c>
      <c r="AI10" t="s">
        <v>144</v>
      </c>
      <c r="AJ10" s="1" t="s">
        <v>276</v>
      </c>
      <c r="AK10" t="s">
        <v>235</v>
      </c>
      <c r="AL10" t="s">
        <v>147</v>
      </c>
      <c r="AM10" t="s">
        <v>236</v>
      </c>
      <c r="AN10" t="s">
        <v>237</v>
      </c>
      <c r="AO10" t="s">
        <v>238</v>
      </c>
      <c r="AP10" t="s">
        <v>118</v>
      </c>
      <c r="AQ10" t="s">
        <v>120</v>
      </c>
      <c r="AR10" s="7" t="s">
        <v>120</v>
      </c>
      <c r="AS10" s="1" t="s">
        <v>127</v>
      </c>
      <c r="AT10" t="s">
        <v>128</v>
      </c>
      <c r="AU10" t="s">
        <v>241</v>
      </c>
      <c r="AV10" t="s">
        <v>129</v>
      </c>
      <c r="AW10" t="s">
        <v>129</v>
      </c>
      <c r="AX10" s="1" t="s">
        <v>150</v>
      </c>
      <c r="AY10" t="s">
        <v>130</v>
      </c>
      <c r="AZ10" t="s">
        <v>131</v>
      </c>
      <c r="BA10" t="s">
        <v>132</v>
      </c>
      <c r="BB10" t="s">
        <v>133</v>
      </c>
      <c r="BC10" s="1" t="s">
        <v>242</v>
      </c>
      <c r="BD10" t="s">
        <v>134</v>
      </c>
      <c r="BE10" t="s">
        <v>135</v>
      </c>
      <c r="BF10" t="s">
        <v>136</v>
      </c>
      <c r="BG10" s="1" t="s">
        <v>244</v>
      </c>
      <c r="BH10" t="s">
        <v>137</v>
      </c>
      <c r="BI10" t="s">
        <v>138</v>
      </c>
      <c r="BJ10" t="s">
        <v>139</v>
      </c>
      <c r="BK10" t="s">
        <v>140</v>
      </c>
      <c r="BL10" t="s">
        <v>141</v>
      </c>
    </row>
    <row r="11" spans="1:88" x14ac:dyDescent="0.2">
      <c r="A11" t="s">
        <v>154</v>
      </c>
      <c r="B11" t="s">
        <v>283</v>
      </c>
      <c r="C11" t="s">
        <v>173</v>
      </c>
      <c r="D11" t="s">
        <v>173</v>
      </c>
      <c r="E11" t="s">
        <v>173</v>
      </c>
      <c r="F11" t="s">
        <v>190</v>
      </c>
      <c r="G11" t="s">
        <v>159</v>
      </c>
      <c r="H11" t="s">
        <v>160</v>
      </c>
      <c r="J11">
        <v>91.25</v>
      </c>
      <c r="K11">
        <v>20</v>
      </c>
      <c r="M11" cm="1">
        <f t="array" ref="M11:M50">_xlfn.DROP(_xlfn.XLOOKUP($D11,TableW[[#Headers],[ACT]:[QLD - Moderate/Low]],TableW[[#All],[ACT]:[QLD - Moderate/Low]]),1)</f>
        <v>250</v>
      </c>
      <c r="O11" cm="1">
        <f t="array" ref="O11:O50">_xlfn.DROP(_xlfn.XLOOKUP($D11,TableLWG[[#Headers],[ACT]:[QLD - Low]],TableLWG[[#All],[ACT]:[QLD - Low]]),1)</f>
        <v>1.1000000000000001</v>
      </c>
      <c r="P11" cm="1">
        <f t="array" ref="P11:P50">_xlfn.DROP(_xlfn.XLOOKUP($E11,TableSRW[[#Headers],[ACT]:[WA]],TableSRW[[#All],[ACT]:[WA]]),1)</f>
        <v>770</v>
      </c>
      <c r="Q11">
        <f>M11 / P11</f>
        <v>0.32467532467532467</v>
      </c>
      <c r="S11">
        <v>0</v>
      </c>
      <c r="T11">
        <v>0</v>
      </c>
      <c r="U11">
        <v>1</v>
      </c>
      <c r="V11">
        <v>0</v>
      </c>
      <c r="W11">
        <f>S11*B13+T11*B14</f>
        <v>0</v>
      </c>
      <c r="X11">
        <f t="shared" ref="X11:X50" si="0">(S11 * $BX$3 +T11* $BX$4) + (1 -S11 -T11 )</f>
        <v>1</v>
      </c>
      <c r="Y11">
        <f t="shared" ref="Y11:Y50" si="1">(1.185 + 0.00454 * M11- 0.0000026 * M11 ^2 + 0.315 * O11)^2 * X11</f>
        <v>6.2700160000000018</v>
      </c>
      <c r="Z11">
        <f>Y11 / ((1.185 + 0.00454 * M11 - 0.0000026 * M11 ^ 2) ^ 2 * X11)</f>
        <v>1.3469982773182021</v>
      </c>
      <c r="AC11" cm="1">
        <f t="array" ref="AC11:AC50">_xlfn.DROP(_xlfn.XLOOKUP($C11,TableCP[[#Headers],[ACT]:[WA - Kimberley]],TableCP[[#All],[ACT]:[WA - Kimberley]]),1)</f>
        <v>0.25</v>
      </c>
      <c r="AE11" cm="1">
        <f t="array" ref="AE11:AE50">_xlfn.DROP(_xlfn.XLOOKUP($C11,TableDMD[[#Headers],[ACT]:[WA - Kimberley]],TableDMD[[#All],[ACT]:[WA - Kimberley]]),1)</f>
        <v>0.8</v>
      </c>
      <c r="AF11">
        <f t="shared" ref="AF11:AF50" si="2">(Y11 * (1 - AE11) + (0.04 * Y11)) * ( 1 - $CJ$3 )</f>
        <v>1.3844195328000002</v>
      </c>
      <c r="AG11">
        <f t="shared" ref="AG11:AG50" si="3">$CJ$4</f>
        <v>0.19</v>
      </c>
      <c r="AH11">
        <f t="shared" ref="AH11:AH50" si="4">$CJ$5</f>
        <v>0.6784</v>
      </c>
      <c r="AI11">
        <f t="shared" ref="AI11:AI50" si="5">IF(F$11="yes",0,VLOOKUP(C$11,$BQ$211:$BS$225,3,FALSE))</f>
        <v>1.1060000000000001</v>
      </c>
      <c r="AK11">
        <f t="shared" ref="AK11:AK50" si="6">VLOOKUP(C$11,$BQ$211:$BU$225,4,FALSE)</f>
        <v>0.74</v>
      </c>
      <c r="AL11">
        <f t="shared" ref="AL11:AL50" si="7">IF(F$11="yes",1,VLOOKUP(C$11,$BQ$211:$BS$225,2,FALSE))</f>
        <v>98.894000000000005</v>
      </c>
      <c r="AM11">
        <f t="shared" ref="AM11:AM50" si="8">VLOOKUP(C$11,$BQ$211:$BU$225,5,FALSE)</f>
        <v>4.7000000000000002E-3</v>
      </c>
      <c r="AN11">
        <f>AF11 * AG11 * AI11/100 * AK11 * AH11</f>
        <v>1.4604745890327119E-3</v>
      </c>
      <c r="AO11">
        <f>AF11 * AG11 * AL11/100 * AM11 * AH11</f>
        <v>8.2942087121434035E-4</v>
      </c>
      <c r="AP11">
        <f>AN11+AO11</f>
        <v>2.2898954602470524E-3</v>
      </c>
      <c r="AQ11">
        <f>K11*AP11*J11</f>
        <v>4.179059214950871</v>
      </c>
      <c r="AR11">
        <f>SUM(AQ11:AQ50)*10^-3</f>
        <v>1.018687096488111</v>
      </c>
      <c r="AS11">
        <f>U11*$B$13+V11*$B$14</f>
        <v>6</v>
      </c>
      <c r="AT11">
        <f t="shared" ref="AT11:AT50" si="9" xml:space="preserve"> (0.032*W11/6.38) + (((0.212 - 0.008*(Z11-2) - (0.14 - 0.008*(Z11 - 2))/(1+EXP(-6*(Q11-0.4))))*O11*0.92)/6.25)</f>
        <v>2.6028110352171493E-2</v>
      </c>
      <c r="AU11">
        <f>MAX((Y11*AC11/6.25)+(0.032*AS11/6.38)-AT11-((1.1*(10^-4)*(M11^0.75))/6.25), 0)</f>
        <v>0.25376003211685488</v>
      </c>
      <c r="AV11">
        <f t="shared" ref="AV11:AV50" si="10">K11*AU11*J11</f>
        <v>463.11205861326016</v>
      </c>
      <c r="AW11">
        <f>SUM(AV11:AV50)</f>
        <v>40506.528989170736</v>
      </c>
      <c r="AX11" t="s">
        <v>256</v>
      </c>
      <c r="AY11">
        <f>VLOOKUP(AX11, $CK$18:$CM$27, 2, FALSE)</f>
        <v>6.0000000000000001E-3</v>
      </c>
      <c r="AZ11">
        <f>$CJ$6</f>
        <v>0.21</v>
      </c>
      <c r="BA11">
        <f>AW11*AZ11</f>
        <v>8506.3710877258545</v>
      </c>
      <c r="BB11">
        <f>$CJ$7</f>
        <v>0.24</v>
      </c>
      <c r="BC11" t="s">
        <v>161</v>
      </c>
      <c r="BD11">
        <f>IF(BC11="yes",1,0)</f>
        <v>1</v>
      </c>
      <c r="BE11">
        <f>AW11 * BD11 * BB11</f>
        <v>9721.5669574009771</v>
      </c>
      <c r="BF11">
        <f>$CJ$8</f>
        <v>1.57</v>
      </c>
      <c r="BG11" t="s">
        <v>183</v>
      </c>
      <c r="BH11">
        <f>VLOOKUP(BG11, $BQ$274:$BR$286, 2, FALSE)</f>
        <v>1.8E-3</v>
      </c>
      <c r="BI11">
        <f>$CJ$9</f>
        <v>1.0999999999999999E-2</v>
      </c>
      <c r="BJ11" s="7">
        <f>(AW11 * AY11 * BF11) * 10^-3</f>
        <v>0.38157150307798837</v>
      </c>
      <c r="BK11" s="7">
        <f>BA11 * BH11 * BF11 * 10^-3</f>
        <v>2.4039004693913266E-2</v>
      </c>
      <c r="BL11" s="7">
        <f>BE11 * BI11 * BF11 * 10^-3</f>
        <v>0.16789146135431487</v>
      </c>
    </row>
    <row r="12" spans="1:88" x14ac:dyDescent="0.2">
      <c r="G12">
        <v>1</v>
      </c>
      <c r="H12" t="s">
        <v>162</v>
      </c>
      <c r="J12">
        <v>91.25</v>
      </c>
      <c r="K12">
        <v>50</v>
      </c>
      <c r="M12">
        <v>280</v>
      </c>
      <c r="O12">
        <v>0.33</v>
      </c>
      <c r="P12">
        <v>770</v>
      </c>
      <c r="Q12">
        <f t="shared" ref="Q12:Q50" si="11">M12 / P12</f>
        <v>0.36363636363636365</v>
      </c>
      <c r="S12">
        <v>0</v>
      </c>
      <c r="T12">
        <v>0</v>
      </c>
      <c r="U12">
        <v>0</v>
      </c>
      <c r="V12">
        <v>1</v>
      </c>
      <c r="W12">
        <f>S12*B13+T12*B14</f>
        <v>0</v>
      </c>
      <c r="X12">
        <f t="shared" si="0"/>
        <v>1</v>
      </c>
      <c r="Y12">
        <f t="shared" si="1"/>
        <v>5.5521968161000004</v>
      </c>
      <c r="Z12">
        <f t="shared" ref="Z12:Z50" si="12">Y12 / ((1.185 + 0.00454 * M12 - 0.0000026 * M12 ^ 2) ^ 2 * X12)</f>
        <v>1.0944331536697551</v>
      </c>
      <c r="AC12">
        <v>7.0000000000000007E-2</v>
      </c>
      <c r="AE12">
        <v>0.55000000000000004</v>
      </c>
      <c r="AF12">
        <f t="shared" si="2"/>
        <v>2.5029303246978798</v>
      </c>
      <c r="AG12">
        <f t="shared" si="3"/>
        <v>0.19</v>
      </c>
      <c r="AH12">
        <f t="shared" si="4"/>
        <v>0.6784</v>
      </c>
      <c r="AI12">
        <f t="shared" si="5"/>
        <v>1.1060000000000001</v>
      </c>
      <c r="AK12">
        <f t="shared" si="6"/>
        <v>0.74</v>
      </c>
      <c r="AL12">
        <f t="shared" si="7"/>
        <v>98.894000000000005</v>
      </c>
      <c r="AM12">
        <f t="shared" si="8"/>
        <v>4.7000000000000002E-3</v>
      </c>
      <c r="AN12">
        <f t="shared" ref="AN12:AN50" si="13">AF12 * AG12 * AI12/100 * AK12 * AH12</f>
        <v>2.640432362253252E-3</v>
      </c>
      <c r="AO12">
        <f t="shared" ref="AO12:AO50" si="14">AF12 * AG12 * AL12/100 * AM12 * AH12</f>
        <v>1.4995329098694632E-3</v>
      </c>
      <c r="AP12">
        <f t="shared" ref="AP12:AP50" si="15">AN12+AO12</f>
        <v>4.1399652721227156E-3</v>
      </c>
      <c r="AQ12">
        <f t="shared" ref="AQ12:AQ50" si="16">K12*AP12*J12</f>
        <v>18.888591554059889</v>
      </c>
      <c r="AS12">
        <f t="shared" ref="AS12:AS50" si="17">U12*$B$13+V12*$B$14</f>
        <v>4</v>
      </c>
      <c r="AT12">
        <f t="shared" si="9"/>
        <v>7.462346052572965E-3</v>
      </c>
      <c r="AU12">
        <f t="shared" ref="AU12:AU50" si="18">MAX((Y12*AC12/6.25)+(0.032*AS12/6.38)-AT12-((1.1*(10^-4)*(M12^0.75))/6.25), 0)</f>
        <v>7.3580247885232333E-2</v>
      </c>
      <c r="AV12">
        <f t="shared" si="10"/>
        <v>335.70988097637252</v>
      </c>
      <c r="AY12">
        <f>AY11</f>
        <v>6.0000000000000001E-3</v>
      </c>
      <c r="BB12">
        <f t="shared" ref="BB12:BB50" si="19">$CJ$7</f>
        <v>0.24</v>
      </c>
    </row>
    <row r="13" spans="1:88" x14ac:dyDescent="0.2">
      <c r="A13" t="s">
        <v>222</v>
      </c>
      <c r="B13">
        <f>IF(B11="Hereford or Shorthorn",$BT$3,$BT$4)</f>
        <v>6</v>
      </c>
      <c r="H13" t="s">
        <v>163</v>
      </c>
      <c r="J13">
        <v>91.25</v>
      </c>
      <c r="K13">
        <v>48</v>
      </c>
      <c r="M13">
        <v>100</v>
      </c>
      <c r="O13">
        <v>0.5</v>
      </c>
      <c r="P13">
        <v>770</v>
      </c>
      <c r="Q13">
        <f t="shared" si="11"/>
        <v>0.12987012987012986</v>
      </c>
      <c r="S13">
        <v>0</v>
      </c>
      <c r="T13">
        <v>0</v>
      </c>
      <c r="U13">
        <v>0</v>
      </c>
      <c r="V13">
        <v>0</v>
      </c>
      <c r="W13">
        <f>S13*B13+T13*B14</f>
        <v>0</v>
      </c>
      <c r="X13">
        <f t="shared" si="0"/>
        <v>1</v>
      </c>
      <c r="Y13">
        <f t="shared" si="1"/>
        <v>3.1346702499999997</v>
      </c>
      <c r="Z13">
        <f t="shared" si="12"/>
        <v>1.204822661043313</v>
      </c>
      <c r="AC13">
        <v>0.1</v>
      </c>
      <c r="AE13">
        <v>0.6</v>
      </c>
      <c r="AF13">
        <f t="shared" si="2"/>
        <v>1.2689145172</v>
      </c>
      <c r="AG13">
        <f t="shared" si="3"/>
        <v>0.19</v>
      </c>
      <c r="AH13">
        <f t="shared" si="4"/>
        <v>0.6784</v>
      </c>
      <c r="AI13">
        <f t="shared" si="5"/>
        <v>1.1060000000000001</v>
      </c>
      <c r="AK13">
        <f t="shared" si="6"/>
        <v>0.74</v>
      </c>
      <c r="AL13">
        <f t="shared" si="7"/>
        <v>98.894000000000005</v>
      </c>
      <c r="AM13">
        <f t="shared" si="8"/>
        <v>4.7000000000000002E-3</v>
      </c>
      <c r="AN13">
        <f t="shared" si="13"/>
        <v>1.3386241411063914E-3</v>
      </c>
      <c r="AO13">
        <f t="shared" si="14"/>
        <v>7.6022055411478513E-4</v>
      </c>
      <c r="AP13">
        <f t="shared" si="15"/>
        <v>2.0988446952211765E-3</v>
      </c>
      <c r="AQ13">
        <f t="shared" si="16"/>
        <v>9.1929397650687523</v>
      </c>
      <c r="AS13">
        <f t="shared" si="17"/>
        <v>0</v>
      </c>
      <c r="AT13">
        <f t="shared" si="9"/>
        <v>1.429293776809247E-2</v>
      </c>
      <c r="AU13">
        <f t="shared" si="18"/>
        <v>3.5305225363717899E-2</v>
      </c>
      <c r="AV13">
        <f t="shared" si="10"/>
        <v>154.6368870930844</v>
      </c>
      <c r="AY13">
        <f>AY11</f>
        <v>6.0000000000000001E-3</v>
      </c>
      <c r="BB13">
        <f t="shared" si="19"/>
        <v>0.24</v>
      </c>
    </row>
    <row r="14" spans="1:88" x14ac:dyDescent="0.2">
      <c r="A14" t="s">
        <v>223</v>
      </c>
      <c r="B14">
        <f>IF(B11="Hereford or Shorthorn",$BU$3,$BU$4)</f>
        <v>4</v>
      </c>
      <c r="H14" t="s">
        <v>164</v>
      </c>
      <c r="J14">
        <v>91.25</v>
      </c>
      <c r="K14">
        <v>25</v>
      </c>
      <c r="M14">
        <v>150</v>
      </c>
      <c r="O14">
        <v>0.55000000000000004</v>
      </c>
      <c r="P14">
        <v>770</v>
      </c>
      <c r="Q14">
        <f t="shared" si="11"/>
        <v>0.19480519480519481</v>
      </c>
      <c r="S14">
        <v>0</v>
      </c>
      <c r="T14">
        <v>0</v>
      </c>
      <c r="U14">
        <v>0</v>
      </c>
      <c r="V14">
        <v>0</v>
      </c>
      <c r="W14">
        <f>S14*B13+T14*B14</f>
        <v>0</v>
      </c>
      <c r="X14">
        <f t="shared" si="0"/>
        <v>1</v>
      </c>
      <c r="Y14">
        <f t="shared" si="1"/>
        <v>3.9233705625000002</v>
      </c>
      <c r="Z14">
        <f t="shared" si="12"/>
        <v>1.200888586629018</v>
      </c>
      <c r="AC14">
        <v>0.21</v>
      </c>
      <c r="AE14">
        <v>0.76</v>
      </c>
      <c r="AF14">
        <f t="shared" si="2"/>
        <v>1.0106602568999998</v>
      </c>
      <c r="AG14">
        <f t="shared" si="3"/>
        <v>0.19</v>
      </c>
      <c r="AH14">
        <f t="shared" si="4"/>
        <v>0.6784</v>
      </c>
      <c r="AI14">
        <f t="shared" si="5"/>
        <v>1.1060000000000001</v>
      </c>
      <c r="AK14">
        <f t="shared" si="6"/>
        <v>0.74</v>
      </c>
      <c r="AL14">
        <f t="shared" si="7"/>
        <v>98.894000000000005</v>
      </c>
      <c r="AM14">
        <f t="shared" si="8"/>
        <v>4.7000000000000002E-3</v>
      </c>
      <c r="AN14">
        <f t="shared" si="13"/>
        <v>1.0661823156759508E-3</v>
      </c>
      <c r="AO14">
        <f t="shared" si="14"/>
        <v>6.0549760453344195E-4</v>
      </c>
      <c r="AP14">
        <f t="shared" si="15"/>
        <v>1.6716799202093928E-3</v>
      </c>
      <c r="AQ14">
        <f t="shared" si="16"/>
        <v>3.813519817977677</v>
      </c>
      <c r="AS14">
        <f t="shared" si="17"/>
        <v>0</v>
      </c>
      <c r="AT14">
        <f t="shared" si="9"/>
        <v>1.5002817165910336E-2</v>
      </c>
      <c r="AU14">
        <f t="shared" si="18"/>
        <v>0.11606806946064917</v>
      </c>
      <c r="AV14">
        <f t="shared" si="10"/>
        <v>264.7802834571059</v>
      </c>
      <c r="AY14">
        <f>AY11</f>
        <v>6.0000000000000001E-3</v>
      </c>
      <c r="BB14">
        <f t="shared" si="19"/>
        <v>0.24</v>
      </c>
    </row>
    <row r="15" spans="1:88" x14ac:dyDescent="0.2">
      <c r="G15" t="s">
        <v>165</v>
      </c>
      <c r="H15" t="s">
        <v>160</v>
      </c>
      <c r="J15">
        <v>91.25</v>
      </c>
      <c r="K15">
        <v>20</v>
      </c>
      <c r="M15">
        <v>820</v>
      </c>
      <c r="O15">
        <v>1.1000000000000001</v>
      </c>
      <c r="P15">
        <v>770</v>
      </c>
      <c r="Q15">
        <f t="shared" si="11"/>
        <v>1.0649350649350648</v>
      </c>
      <c r="S15">
        <v>0</v>
      </c>
      <c r="T15">
        <v>0</v>
      </c>
      <c r="U15">
        <v>0</v>
      </c>
      <c r="V15">
        <v>0</v>
      </c>
      <c r="W15">
        <f>S15*B13+T15*B14</f>
        <v>0</v>
      </c>
      <c r="X15">
        <f t="shared" si="0"/>
        <v>1</v>
      </c>
      <c r="Y15">
        <f t="shared" si="1"/>
        <v>12.292456723599997</v>
      </c>
      <c r="Z15">
        <f t="shared" si="12"/>
        <v>1.2313612256153517</v>
      </c>
      <c r="AC15">
        <v>0.25</v>
      </c>
      <c r="AE15">
        <v>0.8</v>
      </c>
      <c r="AF15">
        <f t="shared" si="2"/>
        <v>2.7141744445708791</v>
      </c>
      <c r="AG15">
        <f t="shared" si="3"/>
        <v>0.19</v>
      </c>
      <c r="AH15">
        <f t="shared" si="4"/>
        <v>0.6784</v>
      </c>
      <c r="AI15">
        <f t="shared" si="5"/>
        <v>1.1060000000000001</v>
      </c>
      <c r="AK15">
        <f t="shared" si="6"/>
        <v>0.74</v>
      </c>
      <c r="AL15">
        <f t="shared" si="7"/>
        <v>98.894000000000005</v>
      </c>
      <c r="AM15">
        <f t="shared" si="8"/>
        <v>4.7000000000000002E-3</v>
      </c>
      <c r="AN15">
        <f t="shared" si="13"/>
        <v>2.8632814783251109E-3</v>
      </c>
      <c r="AO15">
        <f t="shared" si="14"/>
        <v>1.6260915705881584E-3</v>
      </c>
      <c r="AP15">
        <f t="shared" si="15"/>
        <v>4.4893730489132689E-3</v>
      </c>
      <c r="AQ15">
        <f t="shared" si="16"/>
        <v>8.1931058142667155</v>
      </c>
      <c r="AS15">
        <f t="shared" si="17"/>
        <v>0</v>
      </c>
      <c r="AT15">
        <f t="shared" si="9"/>
        <v>1.2088238467881327E-2</v>
      </c>
      <c r="AU15">
        <f t="shared" si="18"/>
        <v>0.47691307946911099</v>
      </c>
      <c r="AV15">
        <f t="shared" si="10"/>
        <v>870.36637003112753</v>
      </c>
      <c r="AY15">
        <f>AY11</f>
        <v>6.0000000000000001E-3</v>
      </c>
      <c r="BB15">
        <f t="shared" si="19"/>
        <v>0.24</v>
      </c>
    </row>
    <row r="16" spans="1:88" x14ac:dyDescent="0.2">
      <c r="A16" t="s">
        <v>167</v>
      </c>
      <c r="G16">
        <v>2</v>
      </c>
      <c r="H16" t="s">
        <v>162</v>
      </c>
      <c r="J16">
        <v>91.25</v>
      </c>
      <c r="K16">
        <v>45</v>
      </c>
      <c r="M16">
        <v>850</v>
      </c>
      <c r="O16">
        <v>0.33</v>
      </c>
      <c r="P16">
        <v>770</v>
      </c>
      <c r="Q16">
        <f t="shared" si="11"/>
        <v>1.1038961038961039</v>
      </c>
      <c r="S16">
        <v>0</v>
      </c>
      <c r="T16">
        <v>0</v>
      </c>
      <c r="U16">
        <v>0</v>
      </c>
      <c r="V16">
        <v>0</v>
      </c>
      <c r="W16">
        <f>S16*B13+T16*B14</f>
        <v>0</v>
      </c>
      <c r="X16">
        <f t="shared" si="0"/>
        <v>1</v>
      </c>
      <c r="Y16">
        <f t="shared" si="1"/>
        <v>10.689303302500006</v>
      </c>
      <c r="Z16">
        <f t="shared" si="12"/>
        <v>1.0667551897492218</v>
      </c>
      <c r="AC16">
        <v>7.0000000000000007E-2</v>
      </c>
      <c r="AE16">
        <v>0.55000000000000004</v>
      </c>
      <c r="AF16">
        <f t="shared" si="2"/>
        <v>4.8187379287670025</v>
      </c>
      <c r="AG16">
        <f t="shared" si="3"/>
        <v>0.19</v>
      </c>
      <c r="AH16">
        <f t="shared" si="4"/>
        <v>0.6784</v>
      </c>
      <c r="AI16">
        <f t="shared" si="5"/>
        <v>1.1060000000000001</v>
      </c>
      <c r="AK16">
        <f t="shared" si="6"/>
        <v>0.74</v>
      </c>
      <c r="AL16">
        <f t="shared" si="7"/>
        <v>98.894000000000005</v>
      </c>
      <c r="AM16">
        <f t="shared" si="8"/>
        <v>4.7000000000000002E-3</v>
      </c>
      <c r="AN16">
        <f t="shared" si="13"/>
        <v>5.0834621510566485E-3</v>
      </c>
      <c r="AO16">
        <f t="shared" si="14"/>
        <v>2.8869585529091948E-3</v>
      </c>
      <c r="AP16">
        <f t="shared" si="15"/>
        <v>7.9704207039658428E-3</v>
      </c>
      <c r="AQ16">
        <f t="shared" si="16"/>
        <v>32.728540015659739</v>
      </c>
      <c r="AS16">
        <f t="shared" si="17"/>
        <v>0</v>
      </c>
      <c r="AT16">
        <f t="shared" si="9"/>
        <v>3.6008929427515397E-3</v>
      </c>
      <c r="AU16">
        <f t="shared" si="18"/>
        <v>0.11334868470103578</v>
      </c>
      <c r="AV16">
        <f t="shared" si="10"/>
        <v>465.43803655362814</v>
      </c>
      <c r="AY16">
        <f>AY11</f>
        <v>6.0000000000000001E-3</v>
      </c>
      <c r="BB16">
        <f t="shared" si="19"/>
        <v>0.24</v>
      </c>
    </row>
    <row r="17" spans="1:91" x14ac:dyDescent="0.2">
      <c r="A17" t="s">
        <v>160</v>
      </c>
      <c r="B17">
        <f>IF(B11="Hereford or Shorthorn", 1.3, 0)</f>
        <v>1.3</v>
      </c>
      <c r="H17" t="s">
        <v>163</v>
      </c>
      <c r="J17">
        <v>91.25</v>
      </c>
      <c r="K17">
        <v>30</v>
      </c>
      <c r="M17">
        <v>700</v>
      </c>
      <c r="O17">
        <v>0.2</v>
      </c>
      <c r="P17">
        <v>770</v>
      </c>
      <c r="Q17">
        <f t="shared" si="11"/>
        <v>0.90909090909090906</v>
      </c>
      <c r="S17">
        <v>0</v>
      </c>
      <c r="T17">
        <v>0</v>
      </c>
      <c r="U17">
        <v>0</v>
      </c>
      <c r="V17">
        <v>0</v>
      </c>
      <c r="W17">
        <f>S17*B13+T17*B14</f>
        <v>0</v>
      </c>
      <c r="X17">
        <f t="shared" si="0"/>
        <v>1</v>
      </c>
      <c r="Y17">
        <f t="shared" si="1"/>
        <v>9.9351039999999973</v>
      </c>
      <c r="Z17">
        <f t="shared" si="12"/>
        <v>1.0412058536221376</v>
      </c>
      <c r="AC17">
        <v>0.1</v>
      </c>
      <c r="AE17">
        <v>0.6</v>
      </c>
      <c r="AF17">
        <f t="shared" si="2"/>
        <v>4.0217300992</v>
      </c>
      <c r="AG17">
        <f t="shared" si="3"/>
        <v>0.19</v>
      </c>
      <c r="AH17">
        <f t="shared" si="4"/>
        <v>0.6784</v>
      </c>
      <c r="AI17">
        <f t="shared" si="5"/>
        <v>1.1060000000000001</v>
      </c>
      <c r="AK17">
        <f t="shared" si="6"/>
        <v>0.74</v>
      </c>
      <c r="AL17">
        <f t="shared" si="7"/>
        <v>98.894000000000005</v>
      </c>
      <c r="AM17">
        <f t="shared" si="8"/>
        <v>4.7000000000000002E-3</v>
      </c>
      <c r="AN17">
        <f t="shared" si="13"/>
        <v>4.2426695627084459E-3</v>
      </c>
      <c r="AO17">
        <f t="shared" si="14"/>
        <v>2.409462452412026E-3</v>
      </c>
      <c r="AP17">
        <f t="shared" si="15"/>
        <v>6.6521320151204724E-3</v>
      </c>
      <c r="AQ17">
        <f t="shared" si="16"/>
        <v>18.210211391392296</v>
      </c>
      <c r="AS17">
        <f t="shared" si="17"/>
        <v>0</v>
      </c>
      <c r="AT17">
        <f t="shared" si="9"/>
        <v>2.3154077550156544E-3</v>
      </c>
      <c r="AU17">
        <f t="shared" si="18"/>
        <v>0.15425108704786952</v>
      </c>
      <c r="AV17">
        <f t="shared" si="10"/>
        <v>422.26235079354279</v>
      </c>
      <c r="AY17">
        <f>AY11</f>
        <v>6.0000000000000001E-3</v>
      </c>
      <c r="BB17">
        <f t="shared" si="19"/>
        <v>0.24</v>
      </c>
    </row>
    <row r="18" spans="1:91" x14ac:dyDescent="0.2">
      <c r="A18" t="s">
        <v>162</v>
      </c>
      <c r="B18">
        <f>IF(B11="Hereford or Shorthorn", 1.1, 1.3)</f>
        <v>1.1000000000000001</v>
      </c>
      <c r="H18" t="s">
        <v>164</v>
      </c>
      <c r="J18">
        <v>91.25</v>
      </c>
      <c r="K18">
        <v>5</v>
      </c>
      <c r="M18">
        <v>720</v>
      </c>
      <c r="O18">
        <v>0.22</v>
      </c>
      <c r="P18">
        <v>770</v>
      </c>
      <c r="Q18">
        <f t="shared" si="11"/>
        <v>0.93506493506493504</v>
      </c>
      <c r="S18">
        <v>0</v>
      </c>
      <c r="T18">
        <v>0</v>
      </c>
      <c r="U18">
        <v>0</v>
      </c>
      <c r="V18">
        <v>0</v>
      </c>
      <c r="W18">
        <f>S18*B13+T18*B14</f>
        <v>0</v>
      </c>
      <c r="X18">
        <f t="shared" si="0"/>
        <v>1</v>
      </c>
      <c r="Y18">
        <f t="shared" si="1"/>
        <v>10.082276067599995</v>
      </c>
      <c r="Z18">
        <f t="shared" si="12"/>
        <v>1.0451217071676906</v>
      </c>
      <c r="AC18">
        <v>0.21</v>
      </c>
      <c r="AE18">
        <v>0.76</v>
      </c>
      <c r="AF18">
        <f t="shared" si="2"/>
        <v>2.5971943150137586</v>
      </c>
      <c r="AG18">
        <f t="shared" si="3"/>
        <v>0.19</v>
      </c>
      <c r="AH18">
        <f t="shared" si="4"/>
        <v>0.6784</v>
      </c>
      <c r="AI18">
        <f t="shared" si="5"/>
        <v>1.1060000000000001</v>
      </c>
      <c r="AK18">
        <f t="shared" si="6"/>
        <v>0.74</v>
      </c>
      <c r="AL18">
        <f t="shared" si="7"/>
        <v>98.894000000000005</v>
      </c>
      <c r="AM18">
        <f t="shared" si="8"/>
        <v>4.7000000000000002E-3</v>
      </c>
      <c r="AN18">
        <f t="shared" si="13"/>
        <v>2.7398748789582332E-3</v>
      </c>
      <c r="AO18">
        <f t="shared" si="14"/>
        <v>1.5560074965966584E-3</v>
      </c>
      <c r="AP18">
        <f t="shared" si="15"/>
        <v>4.2958823755548919E-3</v>
      </c>
      <c r="AQ18">
        <f t="shared" si="16"/>
        <v>1.9599963338469195</v>
      </c>
      <c r="AS18">
        <f t="shared" si="17"/>
        <v>0</v>
      </c>
      <c r="AT18">
        <f t="shared" si="9"/>
        <v>2.5170444871336788E-3</v>
      </c>
      <c r="AU18">
        <f t="shared" si="18"/>
        <v>0.3338011182888973</v>
      </c>
      <c r="AV18">
        <f t="shared" si="10"/>
        <v>152.29676021930939</v>
      </c>
      <c r="AY18">
        <f>AY11</f>
        <v>6.0000000000000001E-3</v>
      </c>
      <c r="BB18">
        <f t="shared" si="19"/>
        <v>0.24</v>
      </c>
      <c r="BQ18" t="s">
        <v>212</v>
      </c>
      <c r="BR18" t="s">
        <v>213</v>
      </c>
      <c r="CK18" t="s">
        <v>253</v>
      </c>
      <c r="CL18">
        <v>6.0000000000000001E-3</v>
      </c>
      <c r="CM18" t="s">
        <v>142</v>
      </c>
    </row>
    <row r="19" spans="1:91" x14ac:dyDescent="0.2">
      <c r="A19" t="s">
        <v>163</v>
      </c>
      <c r="B19">
        <f>IF(B11="Hereford or Shorthorn", 0, 1.1)</f>
        <v>0</v>
      </c>
      <c r="G19" t="s">
        <v>177</v>
      </c>
      <c r="H19" t="s">
        <v>160</v>
      </c>
      <c r="J19">
        <v>91.25</v>
      </c>
      <c r="K19">
        <v>100</v>
      </c>
      <c r="M19">
        <v>410</v>
      </c>
      <c r="O19">
        <v>0.99</v>
      </c>
      <c r="P19">
        <v>550</v>
      </c>
      <c r="Q19">
        <f t="shared" si="11"/>
        <v>0.74545454545454548</v>
      </c>
      <c r="S19">
        <v>0</v>
      </c>
      <c r="T19">
        <v>0</v>
      </c>
      <c r="U19">
        <v>0</v>
      </c>
      <c r="V19">
        <v>0</v>
      </c>
      <c r="W19">
        <f>S19*B13+T19*B14</f>
        <v>0</v>
      </c>
      <c r="X19">
        <f t="shared" si="0"/>
        <v>1</v>
      </c>
      <c r="Y19">
        <f t="shared" si="1"/>
        <v>8.5333510161000028</v>
      </c>
      <c r="Z19">
        <f t="shared" si="12"/>
        <v>1.2533093130464572</v>
      </c>
      <c r="AC19">
        <v>0.25</v>
      </c>
      <c r="AE19">
        <v>0.8</v>
      </c>
      <c r="AF19">
        <f t="shared" si="2"/>
        <v>1.8841639043548803</v>
      </c>
      <c r="AG19">
        <f t="shared" si="3"/>
        <v>0.19</v>
      </c>
      <c r="AH19">
        <f t="shared" si="4"/>
        <v>0.6784</v>
      </c>
      <c r="AI19">
        <f t="shared" si="5"/>
        <v>1.1060000000000001</v>
      </c>
      <c r="AK19">
        <f t="shared" si="6"/>
        <v>0.74</v>
      </c>
      <c r="AL19">
        <f t="shared" si="7"/>
        <v>98.894000000000005</v>
      </c>
      <c r="AM19">
        <f t="shared" si="8"/>
        <v>4.7000000000000002E-3</v>
      </c>
      <c r="AN19">
        <f t="shared" si="13"/>
        <v>1.9876731284753533E-3</v>
      </c>
      <c r="AO19">
        <f t="shared" si="14"/>
        <v>1.1288231854833287E-3</v>
      </c>
      <c r="AP19">
        <f t="shared" si="15"/>
        <v>3.1164963139586818E-3</v>
      </c>
      <c r="AQ19">
        <f t="shared" si="16"/>
        <v>28.438028864872972</v>
      </c>
      <c r="AS19">
        <f t="shared" si="17"/>
        <v>0</v>
      </c>
      <c r="AT19">
        <f t="shared" si="9"/>
        <v>1.2870162751364154E-2</v>
      </c>
      <c r="AU19">
        <f t="shared" si="18"/>
        <v>0.32686026122946238</v>
      </c>
      <c r="AV19">
        <f t="shared" si="10"/>
        <v>2982.599883718844</v>
      </c>
      <c r="AY19">
        <f>AY11</f>
        <v>6.0000000000000001E-3</v>
      </c>
      <c r="BB19">
        <f t="shared" si="19"/>
        <v>0.24</v>
      </c>
      <c r="BQ19" t="s">
        <v>168</v>
      </c>
      <c r="BR19" t="s">
        <v>200</v>
      </c>
      <c r="BS19" t="s">
        <v>156</v>
      </c>
      <c r="BT19" t="s">
        <v>181</v>
      </c>
      <c r="BU19" t="s">
        <v>171</v>
      </c>
      <c r="BV19" t="s">
        <v>172</v>
      </c>
      <c r="BW19" t="s">
        <v>173</v>
      </c>
      <c r="BX19" t="s">
        <v>201</v>
      </c>
      <c r="BY19" t="s">
        <v>202</v>
      </c>
      <c r="BZ19" t="s">
        <v>203</v>
      </c>
      <c r="CA19" t="s">
        <v>204</v>
      </c>
      <c r="CB19" t="s">
        <v>205</v>
      </c>
      <c r="CC19" t="s">
        <v>206</v>
      </c>
      <c r="CD19" t="s">
        <v>207</v>
      </c>
      <c r="CE19" t="s">
        <v>208</v>
      </c>
      <c r="CF19" t="s">
        <v>209</v>
      </c>
      <c r="CG19" t="s">
        <v>210</v>
      </c>
      <c r="CH19" t="s">
        <v>211</v>
      </c>
      <c r="CK19" t="s">
        <v>254</v>
      </c>
      <c r="CL19">
        <v>6.0000000000000001E-3</v>
      </c>
      <c r="CM19" t="s">
        <v>142</v>
      </c>
    </row>
    <row r="20" spans="1:91" x14ac:dyDescent="0.2">
      <c r="A20" t="s">
        <v>164</v>
      </c>
      <c r="B20">
        <v>0</v>
      </c>
      <c r="G20">
        <v>4</v>
      </c>
      <c r="H20" t="s">
        <v>162</v>
      </c>
      <c r="J20">
        <v>91.25</v>
      </c>
      <c r="K20">
        <v>140</v>
      </c>
      <c r="M20">
        <v>440</v>
      </c>
      <c r="O20">
        <v>0.33</v>
      </c>
      <c r="P20">
        <v>550</v>
      </c>
      <c r="Q20">
        <f t="shared" si="11"/>
        <v>0.8</v>
      </c>
      <c r="S20">
        <v>0</v>
      </c>
      <c r="T20">
        <v>0</v>
      </c>
      <c r="U20">
        <v>0</v>
      </c>
      <c r="V20">
        <v>0</v>
      </c>
      <c r="W20">
        <f>S20*B13+T20*B14</f>
        <v>0</v>
      </c>
      <c r="X20">
        <f t="shared" si="0"/>
        <v>1</v>
      </c>
      <c r="Y20">
        <f t="shared" si="1"/>
        <v>7.7461465761000019</v>
      </c>
      <c r="Z20">
        <f t="shared" si="12"/>
        <v>1.0791019412004894</v>
      </c>
      <c r="AC20">
        <v>7.0000000000000007E-2</v>
      </c>
      <c r="AE20">
        <v>0.55000000000000004</v>
      </c>
      <c r="AF20">
        <f t="shared" si="2"/>
        <v>3.4919628765058808</v>
      </c>
      <c r="AG20">
        <f t="shared" si="3"/>
        <v>0.19</v>
      </c>
      <c r="AH20">
        <f t="shared" si="4"/>
        <v>0.6784</v>
      </c>
      <c r="AI20">
        <f t="shared" si="5"/>
        <v>1.1060000000000001</v>
      </c>
      <c r="AK20">
        <f t="shared" si="6"/>
        <v>0.74</v>
      </c>
      <c r="AL20">
        <f t="shared" si="7"/>
        <v>98.894000000000005</v>
      </c>
      <c r="AM20">
        <f t="shared" si="8"/>
        <v>4.7000000000000002E-3</v>
      </c>
      <c r="AN20">
        <f t="shared" si="13"/>
        <v>3.6837988240947268E-3</v>
      </c>
      <c r="AO20">
        <f t="shared" si="14"/>
        <v>2.0920731199319592E-3</v>
      </c>
      <c r="AP20">
        <f t="shared" si="15"/>
        <v>5.7758719440266859E-3</v>
      </c>
      <c r="AQ20">
        <f t="shared" si="16"/>
        <v>73.786764084940913</v>
      </c>
      <c r="AS20">
        <f t="shared" si="17"/>
        <v>0</v>
      </c>
      <c r="AT20">
        <f t="shared" si="9"/>
        <v>4.092864442579466E-3</v>
      </c>
      <c r="AU20">
        <f t="shared" si="18"/>
        <v>8.0973138526269903E-2</v>
      </c>
      <c r="AV20">
        <f t="shared" si="10"/>
        <v>1034.4318446730981</v>
      </c>
      <c r="AY20">
        <f>AY11</f>
        <v>6.0000000000000001E-3</v>
      </c>
      <c r="BB20">
        <f t="shared" si="19"/>
        <v>0.24</v>
      </c>
      <c r="BQ20" t="s">
        <v>160</v>
      </c>
      <c r="BR20" t="s">
        <v>159</v>
      </c>
      <c r="BS20">
        <v>80</v>
      </c>
      <c r="BT20">
        <v>80</v>
      </c>
      <c r="BU20">
        <v>250</v>
      </c>
      <c r="BV20">
        <v>105</v>
      </c>
      <c r="BW20">
        <v>250</v>
      </c>
      <c r="BX20">
        <v>340</v>
      </c>
      <c r="BY20">
        <v>80</v>
      </c>
      <c r="BZ20">
        <v>220</v>
      </c>
      <c r="CA20">
        <v>220</v>
      </c>
      <c r="CB20">
        <v>220</v>
      </c>
      <c r="CC20">
        <v>220</v>
      </c>
      <c r="CD20">
        <v>260</v>
      </c>
      <c r="CE20">
        <v>230</v>
      </c>
      <c r="CF20">
        <v>236</v>
      </c>
      <c r="CG20">
        <v>190</v>
      </c>
      <c r="CH20">
        <v>1</v>
      </c>
      <c r="CK20" t="s">
        <v>255</v>
      </c>
      <c r="CL20">
        <v>6.0000000000000001E-3</v>
      </c>
      <c r="CM20" t="s">
        <v>142</v>
      </c>
    </row>
    <row r="21" spans="1:91" x14ac:dyDescent="0.2">
      <c r="H21" t="s">
        <v>163</v>
      </c>
      <c r="J21">
        <v>91.25</v>
      </c>
      <c r="K21">
        <v>130</v>
      </c>
      <c r="M21">
        <v>300</v>
      </c>
      <c r="O21">
        <v>0.44</v>
      </c>
      <c r="P21">
        <v>550</v>
      </c>
      <c r="Q21">
        <f t="shared" si="11"/>
        <v>0.54545454545454541</v>
      </c>
      <c r="S21">
        <v>0</v>
      </c>
      <c r="T21">
        <v>0</v>
      </c>
      <c r="U21">
        <v>0</v>
      </c>
      <c r="V21">
        <v>0</v>
      </c>
      <c r="W21">
        <f>S21*B13+T21*B14</f>
        <v>0</v>
      </c>
      <c r="X21">
        <f t="shared" si="0"/>
        <v>1</v>
      </c>
      <c r="Y21">
        <f t="shared" si="1"/>
        <v>6.010342559999998</v>
      </c>
      <c r="Z21">
        <f t="shared" si="12"/>
        <v>1.1234350255113625</v>
      </c>
      <c r="AC21">
        <v>0.1</v>
      </c>
      <c r="AE21">
        <v>0.6</v>
      </c>
      <c r="AF21">
        <f t="shared" si="2"/>
        <v>2.4329866682879997</v>
      </c>
      <c r="AG21">
        <f t="shared" si="3"/>
        <v>0.19</v>
      </c>
      <c r="AH21">
        <f t="shared" si="4"/>
        <v>0.6784</v>
      </c>
      <c r="AI21">
        <f t="shared" si="5"/>
        <v>1.1060000000000001</v>
      </c>
      <c r="AK21">
        <f t="shared" si="6"/>
        <v>0.74</v>
      </c>
      <c r="AL21">
        <f t="shared" si="7"/>
        <v>98.894000000000005</v>
      </c>
      <c r="AM21">
        <f t="shared" si="8"/>
        <v>4.7000000000000002E-3</v>
      </c>
      <c r="AN21">
        <f t="shared" si="13"/>
        <v>2.5666462515906378E-3</v>
      </c>
      <c r="AO21">
        <f t="shared" si="14"/>
        <v>1.4576289009610741E-3</v>
      </c>
      <c r="AP21">
        <f t="shared" si="15"/>
        <v>4.0242751525517116E-3</v>
      </c>
      <c r="AQ21">
        <f t="shared" si="16"/>
        <v>47.737963997144682</v>
      </c>
      <c r="AS21">
        <f t="shared" si="17"/>
        <v>0</v>
      </c>
      <c r="AT21">
        <f t="shared" si="9"/>
        <v>7.4692204769956005E-3</v>
      </c>
      <c r="AU21">
        <f t="shared" si="18"/>
        <v>8.7427576056341216E-2</v>
      </c>
      <c r="AV21">
        <f t="shared" si="10"/>
        <v>1037.1096209683476</v>
      </c>
      <c r="AY21">
        <f>AY11</f>
        <v>6.0000000000000001E-3</v>
      </c>
      <c r="BB21">
        <f t="shared" si="19"/>
        <v>0.24</v>
      </c>
      <c r="BQ21" t="s">
        <v>162</v>
      </c>
      <c r="BR21" t="s">
        <v>159</v>
      </c>
      <c r="BS21">
        <v>170</v>
      </c>
      <c r="BT21">
        <v>170</v>
      </c>
      <c r="BU21">
        <v>320</v>
      </c>
      <c r="BV21">
        <v>480</v>
      </c>
      <c r="BW21">
        <v>280</v>
      </c>
      <c r="BX21">
        <v>380</v>
      </c>
      <c r="BY21">
        <v>150</v>
      </c>
      <c r="BZ21">
        <v>110</v>
      </c>
      <c r="CA21">
        <v>110</v>
      </c>
      <c r="CB21">
        <v>110</v>
      </c>
      <c r="CC21">
        <v>110</v>
      </c>
      <c r="CD21">
        <v>153</v>
      </c>
      <c r="CE21">
        <v>113</v>
      </c>
      <c r="CF21">
        <v>120</v>
      </c>
      <c r="CG21">
        <v>119</v>
      </c>
      <c r="CH21">
        <v>2</v>
      </c>
      <c r="CK21" t="s">
        <v>155</v>
      </c>
      <c r="CL21">
        <v>6.0000000000000001E-3</v>
      </c>
      <c r="CM21" t="s">
        <v>142</v>
      </c>
    </row>
    <row r="22" spans="1:91" x14ac:dyDescent="0.2">
      <c r="H22" t="s">
        <v>164</v>
      </c>
      <c r="J22">
        <v>91.25</v>
      </c>
      <c r="K22">
        <v>105</v>
      </c>
      <c r="M22">
        <v>320</v>
      </c>
      <c r="O22">
        <v>0.22</v>
      </c>
      <c r="P22">
        <v>550</v>
      </c>
      <c r="Q22">
        <f t="shared" si="11"/>
        <v>0.58181818181818179</v>
      </c>
      <c r="S22">
        <v>0</v>
      </c>
      <c r="T22">
        <v>0</v>
      </c>
      <c r="U22">
        <v>0</v>
      </c>
      <c r="V22">
        <v>0</v>
      </c>
      <c r="W22">
        <f>S22*B13+T22*B14</f>
        <v>0</v>
      </c>
      <c r="X22">
        <f t="shared" si="0"/>
        <v>1</v>
      </c>
      <c r="Y22">
        <f t="shared" si="1"/>
        <v>5.9577975395999987</v>
      </c>
      <c r="Z22">
        <f t="shared" si="12"/>
        <v>1.0592964268897831</v>
      </c>
      <c r="AC22">
        <v>0.21</v>
      </c>
      <c r="AE22">
        <v>0.76</v>
      </c>
      <c r="AF22">
        <f t="shared" si="2"/>
        <v>1.5347286462009599</v>
      </c>
      <c r="AG22">
        <f t="shared" si="3"/>
        <v>0.19</v>
      </c>
      <c r="AH22">
        <f t="shared" si="4"/>
        <v>0.6784</v>
      </c>
      <c r="AI22">
        <f t="shared" si="5"/>
        <v>1.1060000000000001</v>
      </c>
      <c r="AK22">
        <f t="shared" si="6"/>
        <v>0.74</v>
      </c>
      <c r="AL22">
        <f t="shared" si="7"/>
        <v>98.894000000000005</v>
      </c>
      <c r="AM22">
        <f t="shared" si="8"/>
        <v>4.7000000000000002E-3</v>
      </c>
      <c r="AN22">
        <f t="shared" si="13"/>
        <v>1.6190411473780365E-3</v>
      </c>
      <c r="AO22">
        <f t="shared" si="14"/>
        <v>9.1947270365008629E-4</v>
      </c>
      <c r="AP22">
        <f t="shared" si="15"/>
        <v>2.538513851028123E-3</v>
      </c>
      <c r="AQ22">
        <f t="shared" si="16"/>
        <v>24.322135835163202</v>
      </c>
      <c r="AS22">
        <f t="shared" si="17"/>
        <v>0</v>
      </c>
      <c r="AT22">
        <f t="shared" si="9"/>
        <v>3.5329291057988096E-3</v>
      </c>
      <c r="AU22">
        <f t="shared" si="18"/>
        <v>0.19531746403928466</v>
      </c>
      <c r="AV22">
        <f t="shared" si="10"/>
        <v>1871.385452326396</v>
      </c>
      <c r="AY22">
        <f>AY11</f>
        <v>6.0000000000000001E-3</v>
      </c>
      <c r="BB22">
        <f t="shared" si="19"/>
        <v>0.24</v>
      </c>
      <c r="BQ22" t="s">
        <v>163</v>
      </c>
      <c r="BR22" t="s">
        <v>159</v>
      </c>
      <c r="BS22">
        <v>240</v>
      </c>
      <c r="BT22">
        <v>240</v>
      </c>
      <c r="BU22">
        <v>80</v>
      </c>
      <c r="BV22">
        <v>250</v>
      </c>
      <c r="BW22">
        <v>100</v>
      </c>
      <c r="BX22">
        <v>100</v>
      </c>
      <c r="BY22">
        <v>230</v>
      </c>
      <c r="BZ22">
        <v>170</v>
      </c>
      <c r="CA22">
        <v>170</v>
      </c>
      <c r="CB22">
        <v>170</v>
      </c>
      <c r="CC22">
        <v>170</v>
      </c>
      <c r="CD22">
        <v>168</v>
      </c>
      <c r="CE22">
        <v>172</v>
      </c>
      <c r="CF22">
        <v>125</v>
      </c>
      <c r="CG22">
        <v>175</v>
      </c>
      <c r="CH22">
        <v>3</v>
      </c>
      <c r="CK22" t="s">
        <v>256</v>
      </c>
      <c r="CL22">
        <v>6.0000000000000001E-3</v>
      </c>
      <c r="CM22" t="s">
        <v>142</v>
      </c>
    </row>
    <row r="23" spans="1:91" x14ac:dyDescent="0.2">
      <c r="G23" t="s">
        <v>179</v>
      </c>
      <c r="H23" t="s">
        <v>160</v>
      </c>
      <c r="J23">
        <v>91.25</v>
      </c>
      <c r="K23">
        <v>130</v>
      </c>
      <c r="M23">
        <v>560</v>
      </c>
      <c r="O23">
        <v>0.99</v>
      </c>
      <c r="P23">
        <v>550</v>
      </c>
      <c r="Q23">
        <f t="shared" si="11"/>
        <v>1.0181818181818181</v>
      </c>
      <c r="S23">
        <v>0.8</v>
      </c>
      <c r="T23">
        <v>0.05</v>
      </c>
      <c r="U23">
        <v>0</v>
      </c>
      <c r="V23">
        <v>0</v>
      </c>
      <c r="W23">
        <f>S23*B13+T23*B14</f>
        <v>5.0000000000000009</v>
      </c>
      <c r="X23">
        <f t="shared" si="0"/>
        <v>1.2449999999999999</v>
      </c>
      <c r="Y23">
        <f t="shared" si="1"/>
        <v>12.939866081464499</v>
      </c>
      <c r="Z23">
        <f t="shared" si="12"/>
        <v>1.2256479916354592</v>
      </c>
      <c r="AC23">
        <v>0.25</v>
      </c>
      <c r="AE23">
        <v>0.8</v>
      </c>
      <c r="AF23">
        <f t="shared" si="2"/>
        <v>2.8571224307873613</v>
      </c>
      <c r="AG23">
        <f t="shared" si="3"/>
        <v>0.19</v>
      </c>
      <c r="AH23">
        <f t="shared" si="4"/>
        <v>0.6784</v>
      </c>
      <c r="AI23">
        <f t="shared" si="5"/>
        <v>1.1060000000000001</v>
      </c>
      <c r="AK23">
        <f t="shared" si="6"/>
        <v>0.74</v>
      </c>
      <c r="AL23">
        <f t="shared" si="7"/>
        <v>98.894000000000005</v>
      </c>
      <c r="AM23">
        <f t="shared" si="8"/>
        <v>4.7000000000000002E-3</v>
      </c>
      <c r="AN23">
        <f t="shared" si="13"/>
        <v>3.0140825154936109E-3</v>
      </c>
      <c r="AO23">
        <f t="shared" si="14"/>
        <v>1.7117332712843435E-3</v>
      </c>
      <c r="AP23">
        <f t="shared" si="15"/>
        <v>4.7258157867779548E-3</v>
      </c>
      <c r="AQ23">
        <f t="shared" si="16"/>
        <v>56.059989770653488</v>
      </c>
      <c r="AS23">
        <f t="shared" si="17"/>
        <v>0</v>
      </c>
      <c r="AT23">
        <f t="shared" si="9"/>
        <v>3.6080263854280183E-2</v>
      </c>
      <c r="AU23">
        <f t="shared" si="18"/>
        <v>0.47948831294021399</v>
      </c>
      <c r="AV23">
        <f t="shared" si="10"/>
        <v>5687.9301122532879</v>
      </c>
      <c r="AY23">
        <f>AY11</f>
        <v>6.0000000000000001E-3</v>
      </c>
      <c r="BB23">
        <f t="shared" si="19"/>
        <v>0.24</v>
      </c>
      <c r="BQ23" t="s">
        <v>164</v>
      </c>
      <c r="BR23" t="s">
        <v>159</v>
      </c>
      <c r="BS23">
        <v>280</v>
      </c>
      <c r="BT23">
        <v>280</v>
      </c>
      <c r="BU23">
        <v>160</v>
      </c>
      <c r="BV23">
        <v>260</v>
      </c>
      <c r="BW23">
        <v>150</v>
      </c>
      <c r="BX23">
        <v>190</v>
      </c>
      <c r="BY23">
        <v>250</v>
      </c>
      <c r="BZ23">
        <v>200</v>
      </c>
      <c r="CA23">
        <v>200</v>
      </c>
      <c r="CB23">
        <v>200</v>
      </c>
      <c r="CC23">
        <v>200</v>
      </c>
      <c r="CD23">
        <v>235</v>
      </c>
      <c r="CE23">
        <v>241</v>
      </c>
      <c r="CF23">
        <v>180</v>
      </c>
      <c r="CG23">
        <v>192</v>
      </c>
      <c r="CH23">
        <v>4</v>
      </c>
      <c r="CK23" t="s">
        <v>257</v>
      </c>
      <c r="CL23">
        <v>6.0000000000000001E-3</v>
      </c>
      <c r="CM23" t="s">
        <v>142</v>
      </c>
    </row>
    <row r="24" spans="1:91" x14ac:dyDescent="0.2">
      <c r="G24" t="s">
        <v>195</v>
      </c>
      <c r="H24" t="s">
        <v>162</v>
      </c>
      <c r="J24">
        <v>91.25</v>
      </c>
      <c r="K24">
        <v>162</v>
      </c>
      <c r="M24">
        <v>550</v>
      </c>
      <c r="O24">
        <v>-0.1</v>
      </c>
      <c r="P24">
        <v>550</v>
      </c>
      <c r="Q24">
        <f t="shared" si="11"/>
        <v>1</v>
      </c>
      <c r="S24">
        <v>0</v>
      </c>
      <c r="T24">
        <v>0.75</v>
      </c>
      <c r="U24">
        <v>0</v>
      </c>
      <c r="V24">
        <v>0</v>
      </c>
      <c r="W24">
        <f>S24*B13+T24*B14</f>
        <v>3</v>
      </c>
      <c r="X24">
        <f t="shared" si="0"/>
        <v>1.0750000000000002</v>
      </c>
      <c r="Y24">
        <f t="shared" si="1"/>
        <v>8.8176832000000029</v>
      </c>
      <c r="Z24">
        <f t="shared" si="12"/>
        <v>0.9783604513652191</v>
      </c>
      <c r="AC24">
        <v>7.0000000000000007E-2</v>
      </c>
      <c r="AE24">
        <v>0.55000000000000004</v>
      </c>
      <c r="AF24">
        <f t="shared" si="2"/>
        <v>3.9750115865600013</v>
      </c>
      <c r="AG24">
        <f t="shared" si="3"/>
        <v>0.19</v>
      </c>
      <c r="AH24">
        <f t="shared" si="4"/>
        <v>0.6784</v>
      </c>
      <c r="AI24">
        <f t="shared" si="5"/>
        <v>1.1060000000000001</v>
      </c>
      <c r="AK24">
        <f t="shared" si="6"/>
        <v>0.74</v>
      </c>
      <c r="AL24">
        <f t="shared" si="7"/>
        <v>98.894000000000005</v>
      </c>
      <c r="AM24">
        <f t="shared" si="8"/>
        <v>4.7000000000000002E-3</v>
      </c>
      <c r="AN24">
        <f t="shared" si="13"/>
        <v>4.1933845021241561E-3</v>
      </c>
      <c r="AO24">
        <f t="shared" si="14"/>
        <v>2.3814728809435168E-3</v>
      </c>
      <c r="AP24">
        <f t="shared" si="15"/>
        <v>6.574857383067673E-3</v>
      </c>
      <c r="AQ24">
        <f t="shared" si="16"/>
        <v>97.192829265197886</v>
      </c>
      <c r="AS24">
        <f t="shared" si="17"/>
        <v>0</v>
      </c>
      <c r="AT24">
        <f t="shared" si="9"/>
        <v>1.3929171020839662E-2</v>
      </c>
      <c r="AU24">
        <f t="shared" si="18"/>
        <v>8.2830010197822421E-2</v>
      </c>
      <c r="AV24">
        <f t="shared" si="10"/>
        <v>1224.43462574931</v>
      </c>
      <c r="AY24">
        <f>AY11</f>
        <v>6.0000000000000001E-3</v>
      </c>
      <c r="BB24">
        <f t="shared" si="19"/>
        <v>0.24</v>
      </c>
      <c r="BQ24" t="s">
        <v>160</v>
      </c>
      <c r="BR24" t="s">
        <v>165</v>
      </c>
      <c r="BS24">
        <v>480</v>
      </c>
      <c r="BT24">
        <v>480</v>
      </c>
      <c r="BU24">
        <v>800</v>
      </c>
      <c r="BV24">
        <v>700</v>
      </c>
      <c r="BW24">
        <v>820</v>
      </c>
      <c r="BX24">
        <v>800</v>
      </c>
      <c r="BY24">
        <v>450</v>
      </c>
      <c r="BZ24">
        <v>500</v>
      </c>
      <c r="CA24">
        <v>706</v>
      </c>
      <c r="CB24">
        <v>620</v>
      </c>
      <c r="CC24">
        <v>620</v>
      </c>
      <c r="CD24">
        <v>705</v>
      </c>
      <c r="CE24">
        <v>674</v>
      </c>
      <c r="CF24">
        <v>674</v>
      </c>
      <c r="CG24">
        <v>617</v>
      </c>
      <c r="CH24">
        <v>1</v>
      </c>
      <c r="CK24" t="s">
        <v>258</v>
      </c>
      <c r="CL24">
        <v>2E-3</v>
      </c>
      <c r="CM24" t="s">
        <v>145</v>
      </c>
    </row>
    <row r="25" spans="1:91" x14ac:dyDescent="0.2">
      <c r="H25" t="s">
        <v>163</v>
      </c>
      <c r="J25">
        <v>91.25</v>
      </c>
      <c r="K25">
        <v>158</v>
      </c>
      <c r="M25">
        <v>450</v>
      </c>
      <c r="O25">
        <v>0.2</v>
      </c>
      <c r="P25">
        <v>550</v>
      </c>
      <c r="Q25">
        <f t="shared" si="11"/>
        <v>0.81818181818181823</v>
      </c>
      <c r="S25">
        <v>0</v>
      </c>
      <c r="T25">
        <v>0</v>
      </c>
      <c r="U25">
        <v>0</v>
      </c>
      <c r="V25">
        <v>0</v>
      </c>
      <c r="W25">
        <f>S25*B13+T25*B14</f>
        <v>0</v>
      </c>
      <c r="X25">
        <f t="shared" si="0"/>
        <v>1</v>
      </c>
      <c r="Y25">
        <f t="shared" si="1"/>
        <v>7.6424602500000001</v>
      </c>
      <c r="Z25">
        <f t="shared" si="12"/>
        <v>1.0471845951459506</v>
      </c>
      <c r="AC25">
        <v>0.1</v>
      </c>
      <c r="AE25">
        <v>0.6</v>
      </c>
      <c r="AF25">
        <f t="shared" si="2"/>
        <v>3.0936679092000006</v>
      </c>
      <c r="AG25">
        <f t="shared" si="3"/>
        <v>0.19</v>
      </c>
      <c r="AH25">
        <f t="shared" si="4"/>
        <v>0.6784</v>
      </c>
      <c r="AI25">
        <f t="shared" si="5"/>
        <v>1.1060000000000001</v>
      </c>
      <c r="AK25">
        <f t="shared" si="6"/>
        <v>0.74</v>
      </c>
      <c r="AL25">
        <f t="shared" si="7"/>
        <v>98.894000000000005</v>
      </c>
      <c r="AM25">
        <f t="shared" si="8"/>
        <v>4.7000000000000002E-3</v>
      </c>
      <c r="AN25">
        <f t="shared" si="13"/>
        <v>3.2636229562251371E-3</v>
      </c>
      <c r="AO25">
        <f t="shared" si="14"/>
        <v>1.8534502524006221E-3</v>
      </c>
      <c r="AP25">
        <f t="shared" si="15"/>
        <v>5.1170732086257588E-3</v>
      </c>
      <c r="AQ25">
        <f t="shared" si="16"/>
        <v>73.775402985361879</v>
      </c>
      <c r="AS25">
        <f t="shared" si="17"/>
        <v>0</v>
      </c>
      <c r="AT25">
        <f t="shared" si="9"/>
        <v>2.4466011067008062E-3</v>
      </c>
      <c r="AU25">
        <f t="shared" si="18"/>
        <v>0.11811318420847705</v>
      </c>
      <c r="AV25">
        <f t="shared" si="10"/>
        <v>1702.8968333257178</v>
      </c>
      <c r="AY25">
        <f>AY11</f>
        <v>6.0000000000000001E-3</v>
      </c>
      <c r="BB25">
        <f t="shared" si="19"/>
        <v>0.24</v>
      </c>
      <c r="BQ25" t="s">
        <v>162</v>
      </c>
      <c r="BR25" t="s">
        <v>165</v>
      </c>
      <c r="BS25">
        <v>520</v>
      </c>
      <c r="BT25">
        <v>520</v>
      </c>
      <c r="BU25">
        <v>800</v>
      </c>
      <c r="BV25">
        <v>750</v>
      </c>
      <c r="BW25">
        <v>850</v>
      </c>
      <c r="BX25">
        <v>780</v>
      </c>
      <c r="BY25">
        <v>500</v>
      </c>
      <c r="BZ25">
        <v>550</v>
      </c>
      <c r="CA25">
        <v>703</v>
      </c>
      <c r="CB25">
        <v>650</v>
      </c>
      <c r="CC25">
        <v>650</v>
      </c>
      <c r="CD25">
        <v>703</v>
      </c>
      <c r="CE25">
        <v>669</v>
      </c>
      <c r="CF25">
        <v>669</v>
      </c>
      <c r="CG25">
        <v>591</v>
      </c>
      <c r="CH25">
        <v>2</v>
      </c>
      <c r="CK25" t="s">
        <v>259</v>
      </c>
      <c r="CL25">
        <v>2E-3</v>
      </c>
      <c r="CM25" t="s">
        <v>145</v>
      </c>
    </row>
    <row r="26" spans="1:91" x14ac:dyDescent="0.2">
      <c r="H26" t="s">
        <v>164</v>
      </c>
      <c r="J26">
        <v>91.25</v>
      </c>
      <c r="K26">
        <v>130</v>
      </c>
      <c r="M26">
        <v>470</v>
      </c>
      <c r="O26">
        <v>0.22</v>
      </c>
      <c r="P26">
        <v>550</v>
      </c>
      <c r="Q26">
        <f t="shared" si="11"/>
        <v>0.8545454545454545</v>
      </c>
      <c r="S26">
        <v>0.1</v>
      </c>
      <c r="T26">
        <v>0</v>
      </c>
      <c r="U26">
        <v>0</v>
      </c>
      <c r="V26">
        <v>0</v>
      </c>
      <c r="W26">
        <f>S26*B13+T26*B14</f>
        <v>0.60000000000000009</v>
      </c>
      <c r="X26">
        <f t="shared" si="0"/>
        <v>1.03</v>
      </c>
      <c r="Y26">
        <f t="shared" si="1"/>
        <v>8.1547626977280014</v>
      </c>
      <c r="Z26">
        <f t="shared" si="12"/>
        <v>1.0511393444332666</v>
      </c>
      <c r="AC26">
        <v>0.21</v>
      </c>
      <c r="AE26">
        <v>0.76</v>
      </c>
      <c r="AF26">
        <f t="shared" si="2"/>
        <v>2.1006668709347331</v>
      </c>
      <c r="AG26">
        <f t="shared" si="3"/>
        <v>0.19</v>
      </c>
      <c r="AH26">
        <f t="shared" si="4"/>
        <v>0.6784</v>
      </c>
      <c r="AI26">
        <f t="shared" si="5"/>
        <v>1.1060000000000001</v>
      </c>
      <c r="AK26">
        <f t="shared" si="6"/>
        <v>0.74</v>
      </c>
      <c r="AL26">
        <f t="shared" si="7"/>
        <v>98.894000000000005</v>
      </c>
      <c r="AM26">
        <f t="shared" si="8"/>
        <v>4.7000000000000002E-3</v>
      </c>
      <c r="AN26">
        <f t="shared" si="13"/>
        <v>2.2160699934780899E-3</v>
      </c>
      <c r="AO26">
        <f t="shared" si="14"/>
        <v>1.2585324787334497E-3</v>
      </c>
      <c r="AP26">
        <f t="shared" si="15"/>
        <v>3.4746024722115396E-3</v>
      </c>
      <c r="AQ26">
        <f t="shared" si="16"/>
        <v>41.21747182660939</v>
      </c>
      <c r="AS26">
        <f t="shared" si="17"/>
        <v>0</v>
      </c>
      <c r="AT26">
        <f t="shared" si="9"/>
        <v>5.6344380593281937E-3</v>
      </c>
      <c r="AU26">
        <f t="shared" si="18"/>
        <v>0.26658900329676433</v>
      </c>
      <c r="AV26">
        <f t="shared" si="10"/>
        <v>3162.4120516078669</v>
      </c>
      <c r="AY26">
        <f>AY11</f>
        <v>6.0000000000000001E-3</v>
      </c>
      <c r="BB26">
        <f t="shared" si="19"/>
        <v>0.24</v>
      </c>
      <c r="BQ26" t="s">
        <v>163</v>
      </c>
      <c r="BR26" t="s">
        <v>165</v>
      </c>
      <c r="BS26">
        <v>550</v>
      </c>
      <c r="BT26">
        <v>550</v>
      </c>
      <c r="BU26">
        <v>700</v>
      </c>
      <c r="BV26">
        <v>725</v>
      </c>
      <c r="BW26">
        <v>700</v>
      </c>
      <c r="BX26">
        <v>680</v>
      </c>
      <c r="BY26">
        <v>550</v>
      </c>
      <c r="BZ26">
        <v>600</v>
      </c>
      <c r="CA26">
        <v>721</v>
      </c>
      <c r="CB26">
        <v>670</v>
      </c>
      <c r="CC26">
        <v>670</v>
      </c>
      <c r="CD26">
        <v>718</v>
      </c>
      <c r="CE26">
        <v>685</v>
      </c>
      <c r="CF26">
        <v>685</v>
      </c>
      <c r="CG26">
        <v>610</v>
      </c>
      <c r="CH26">
        <v>3</v>
      </c>
      <c r="CK26" t="s">
        <v>260</v>
      </c>
      <c r="CL26">
        <v>2E-3</v>
      </c>
      <c r="CM26" t="s">
        <v>145</v>
      </c>
    </row>
    <row r="27" spans="1:91" x14ac:dyDescent="0.2">
      <c r="G27" t="s">
        <v>176</v>
      </c>
      <c r="H27" t="s">
        <v>160</v>
      </c>
      <c r="J27">
        <v>91.25</v>
      </c>
      <c r="K27">
        <v>30</v>
      </c>
      <c r="M27">
        <v>240</v>
      </c>
      <c r="O27">
        <v>1.1000000000000001</v>
      </c>
      <c r="P27">
        <v>550</v>
      </c>
      <c r="Q27">
        <f t="shared" si="11"/>
        <v>0.43636363636363634</v>
      </c>
      <c r="S27">
        <v>0</v>
      </c>
      <c r="T27">
        <v>0</v>
      </c>
      <c r="U27">
        <v>1</v>
      </c>
      <c r="V27">
        <v>0</v>
      </c>
      <c r="W27">
        <f>S27*B13+T27*B14</f>
        <v>0</v>
      </c>
      <c r="X27">
        <f t="shared" si="0"/>
        <v>1</v>
      </c>
      <c r="Y27">
        <f t="shared" si="1"/>
        <v>6.1075213955999983</v>
      </c>
      <c r="Z27">
        <f t="shared" si="12"/>
        <v>1.3527343878984126</v>
      </c>
      <c r="AC27">
        <v>0.25</v>
      </c>
      <c r="AE27">
        <v>0.8</v>
      </c>
      <c r="AF27">
        <f t="shared" si="2"/>
        <v>1.3485407241484795</v>
      </c>
      <c r="AG27">
        <f t="shared" si="3"/>
        <v>0.19</v>
      </c>
      <c r="AH27">
        <f t="shared" si="4"/>
        <v>0.6784</v>
      </c>
      <c r="AI27">
        <f t="shared" si="5"/>
        <v>1.1060000000000001</v>
      </c>
      <c r="AK27">
        <f t="shared" si="6"/>
        <v>0.74</v>
      </c>
      <c r="AL27">
        <f t="shared" si="7"/>
        <v>98.894000000000005</v>
      </c>
      <c r="AM27">
        <f t="shared" si="8"/>
        <v>4.7000000000000002E-3</v>
      </c>
      <c r="AN27">
        <f t="shared" si="13"/>
        <v>1.4226247269939025E-3</v>
      </c>
      <c r="AO27">
        <f t="shared" si="14"/>
        <v>8.0792548486300101E-4</v>
      </c>
      <c r="AP27">
        <f t="shared" si="15"/>
        <v>2.2305502118569035E-3</v>
      </c>
      <c r="AQ27">
        <f t="shared" si="16"/>
        <v>6.106131204958273</v>
      </c>
      <c r="AS27">
        <f t="shared" si="17"/>
        <v>6</v>
      </c>
      <c r="AT27">
        <f t="shared" si="9"/>
        <v>2.2134710160958325E-2</v>
      </c>
      <c r="AU27">
        <f t="shared" si="18"/>
        <v>0.25118701318608644</v>
      </c>
      <c r="AV27">
        <f t="shared" si="10"/>
        <v>687.62444859691163</v>
      </c>
      <c r="AY27">
        <f>AY11</f>
        <v>6.0000000000000001E-3</v>
      </c>
      <c r="BB27">
        <f t="shared" si="19"/>
        <v>0.24</v>
      </c>
      <c r="BQ27" t="s">
        <v>164</v>
      </c>
      <c r="BR27" t="s">
        <v>165</v>
      </c>
      <c r="BS27">
        <v>560</v>
      </c>
      <c r="BT27">
        <v>560</v>
      </c>
      <c r="BU27">
        <v>700</v>
      </c>
      <c r="BV27">
        <v>700</v>
      </c>
      <c r="BW27">
        <v>720</v>
      </c>
      <c r="BX27">
        <v>700</v>
      </c>
      <c r="BY27">
        <v>500</v>
      </c>
      <c r="BZ27">
        <v>550</v>
      </c>
      <c r="CA27">
        <v>727</v>
      </c>
      <c r="CB27">
        <v>660</v>
      </c>
      <c r="CC27">
        <v>660</v>
      </c>
      <c r="CD27">
        <v>722</v>
      </c>
      <c r="CE27">
        <v>692</v>
      </c>
      <c r="CF27">
        <v>692</v>
      </c>
      <c r="CG27">
        <v>615</v>
      </c>
      <c r="CH27">
        <v>4</v>
      </c>
      <c r="CK27" t="s">
        <v>261</v>
      </c>
      <c r="CL27">
        <v>2E-3</v>
      </c>
      <c r="CM27" t="s">
        <v>145</v>
      </c>
    </row>
    <row r="28" spans="1:91" x14ac:dyDescent="0.2">
      <c r="G28">
        <v>3</v>
      </c>
      <c r="H28" t="s">
        <v>162</v>
      </c>
      <c r="J28">
        <v>91.25</v>
      </c>
      <c r="K28">
        <v>68</v>
      </c>
      <c r="M28">
        <v>260</v>
      </c>
      <c r="O28">
        <v>0.22</v>
      </c>
      <c r="P28">
        <v>550</v>
      </c>
      <c r="Q28">
        <f t="shared" si="11"/>
        <v>0.47272727272727272</v>
      </c>
      <c r="S28">
        <v>0</v>
      </c>
      <c r="T28">
        <v>0</v>
      </c>
      <c r="U28">
        <v>0</v>
      </c>
      <c r="V28">
        <v>1</v>
      </c>
      <c r="W28">
        <f>S28*B13+T28*B14</f>
        <v>0</v>
      </c>
      <c r="X28">
        <f t="shared" si="0"/>
        <v>1</v>
      </c>
      <c r="Y28">
        <f t="shared" si="1"/>
        <v>5.1028099236000015</v>
      </c>
      <c r="Z28">
        <f t="shared" si="12"/>
        <v>1.0642997380149821</v>
      </c>
      <c r="AC28">
        <v>7.0000000000000007E-2</v>
      </c>
      <c r="AE28">
        <v>0.55000000000000004</v>
      </c>
      <c r="AF28">
        <f t="shared" si="2"/>
        <v>2.3003467135588807</v>
      </c>
      <c r="AG28">
        <f t="shared" si="3"/>
        <v>0.19</v>
      </c>
      <c r="AH28">
        <f t="shared" si="4"/>
        <v>0.6784</v>
      </c>
      <c r="AI28">
        <f t="shared" si="5"/>
        <v>1.1060000000000001</v>
      </c>
      <c r="AK28">
        <f t="shared" si="6"/>
        <v>0.74</v>
      </c>
      <c r="AL28">
        <f t="shared" si="7"/>
        <v>98.894000000000005</v>
      </c>
      <c r="AM28">
        <f t="shared" si="8"/>
        <v>4.7000000000000002E-3</v>
      </c>
      <c r="AN28">
        <f t="shared" si="13"/>
        <v>2.4267195322814029E-3</v>
      </c>
      <c r="AO28">
        <f t="shared" si="14"/>
        <v>1.3781628545764554E-3</v>
      </c>
      <c r="AP28">
        <f t="shared" si="15"/>
        <v>3.8048823868578581E-3</v>
      </c>
      <c r="AQ28">
        <f t="shared" si="16"/>
        <v>23.609295210453009</v>
      </c>
      <c r="AS28">
        <f t="shared" si="17"/>
        <v>4</v>
      </c>
      <c r="AT28">
        <f t="shared" si="9"/>
        <v>4.2068109787787977E-3</v>
      </c>
      <c r="AU28">
        <f t="shared" si="18"/>
        <v>7.1867781705169831E-2</v>
      </c>
      <c r="AV28">
        <f t="shared" si="10"/>
        <v>445.93958548057878</v>
      </c>
      <c r="AY28">
        <f>AY11</f>
        <v>6.0000000000000001E-3</v>
      </c>
      <c r="BB28">
        <f t="shared" si="19"/>
        <v>0.24</v>
      </c>
      <c r="BQ28" t="s">
        <v>160</v>
      </c>
      <c r="BR28" t="s">
        <v>177</v>
      </c>
      <c r="BS28">
        <v>300</v>
      </c>
      <c r="BT28">
        <v>300</v>
      </c>
      <c r="BU28">
        <v>400</v>
      </c>
      <c r="BV28">
        <v>300</v>
      </c>
      <c r="BW28">
        <v>410</v>
      </c>
      <c r="BX28">
        <v>420</v>
      </c>
      <c r="BY28">
        <v>260</v>
      </c>
      <c r="BZ28">
        <v>300</v>
      </c>
      <c r="CA28">
        <v>323</v>
      </c>
      <c r="CB28">
        <v>319</v>
      </c>
      <c r="CC28">
        <v>267</v>
      </c>
      <c r="CD28">
        <v>302</v>
      </c>
      <c r="CE28">
        <v>344</v>
      </c>
      <c r="CF28">
        <v>310</v>
      </c>
      <c r="CG28">
        <v>265</v>
      </c>
      <c r="CH28">
        <v>1</v>
      </c>
    </row>
    <row r="29" spans="1:91" x14ac:dyDescent="0.2">
      <c r="H29" t="s">
        <v>163</v>
      </c>
      <c r="J29">
        <v>91.25</v>
      </c>
      <c r="K29">
        <v>65</v>
      </c>
      <c r="M29">
        <v>95</v>
      </c>
      <c r="O29">
        <v>0.55000000000000004</v>
      </c>
      <c r="P29">
        <v>550</v>
      </c>
      <c r="Q29">
        <f t="shared" si="11"/>
        <v>0.17272727272727273</v>
      </c>
      <c r="S29">
        <v>0</v>
      </c>
      <c r="T29">
        <v>0</v>
      </c>
      <c r="U29">
        <v>0</v>
      </c>
      <c r="V29">
        <v>0</v>
      </c>
      <c r="W29">
        <f>S29*B13+T29*B14</f>
        <v>0</v>
      </c>
      <c r="X29">
        <f t="shared" si="0"/>
        <v>1</v>
      </c>
      <c r="Y29">
        <f t="shared" si="1"/>
        <v>3.1190562272249998</v>
      </c>
      <c r="Z29">
        <f t="shared" si="12"/>
        <v>1.2293672055519751</v>
      </c>
      <c r="AC29">
        <v>0.1</v>
      </c>
      <c r="AE29">
        <v>0.6</v>
      </c>
      <c r="AF29">
        <f t="shared" si="2"/>
        <v>1.26259396078068</v>
      </c>
      <c r="AG29">
        <f t="shared" si="3"/>
        <v>0.19</v>
      </c>
      <c r="AH29">
        <f t="shared" si="4"/>
        <v>0.6784</v>
      </c>
      <c r="AI29">
        <f t="shared" si="5"/>
        <v>1.1060000000000001</v>
      </c>
      <c r="AK29">
        <f t="shared" si="6"/>
        <v>0.74</v>
      </c>
      <c r="AL29">
        <f t="shared" si="7"/>
        <v>98.894000000000005</v>
      </c>
      <c r="AM29">
        <f t="shared" si="8"/>
        <v>4.7000000000000002E-3</v>
      </c>
      <c r="AN29">
        <f t="shared" si="13"/>
        <v>1.3319563559298167E-3</v>
      </c>
      <c r="AO29">
        <f t="shared" si="14"/>
        <v>7.5643383969212078E-4</v>
      </c>
      <c r="AP29">
        <f t="shared" si="15"/>
        <v>2.0883901956219374E-3</v>
      </c>
      <c r="AQ29">
        <f t="shared" si="16"/>
        <v>12.386764347782615</v>
      </c>
      <c r="AS29">
        <f t="shared" si="17"/>
        <v>0</v>
      </c>
      <c r="AT29">
        <f t="shared" si="9"/>
        <v>1.5252747184963202E-2</v>
      </c>
      <c r="AU29">
        <f t="shared" si="18"/>
        <v>3.4116595855547577E-2</v>
      </c>
      <c r="AV29">
        <f t="shared" si="10"/>
        <v>202.35405916821657</v>
      </c>
      <c r="AY29">
        <f>AY11</f>
        <v>6.0000000000000001E-3</v>
      </c>
      <c r="BB29">
        <f t="shared" si="19"/>
        <v>0.24</v>
      </c>
      <c r="BQ29" t="s">
        <v>162</v>
      </c>
      <c r="BR29" t="s">
        <v>177</v>
      </c>
      <c r="BS29">
        <v>360</v>
      </c>
      <c r="BT29">
        <v>360</v>
      </c>
      <c r="BU29">
        <v>420</v>
      </c>
      <c r="BV29">
        <v>350</v>
      </c>
      <c r="BW29">
        <v>440</v>
      </c>
      <c r="BX29">
        <v>450</v>
      </c>
      <c r="BY29">
        <v>310</v>
      </c>
      <c r="BZ29">
        <v>220</v>
      </c>
      <c r="CA29">
        <v>256</v>
      </c>
      <c r="CB29">
        <v>262</v>
      </c>
      <c r="CC29">
        <v>203</v>
      </c>
      <c r="CD29">
        <v>277</v>
      </c>
      <c r="CE29">
        <v>283</v>
      </c>
      <c r="CF29">
        <v>250</v>
      </c>
      <c r="CG29">
        <v>205</v>
      </c>
      <c r="CH29">
        <v>2</v>
      </c>
    </row>
    <row r="30" spans="1:91" x14ac:dyDescent="0.2">
      <c r="H30" t="s">
        <v>164</v>
      </c>
      <c r="J30">
        <v>91.25</v>
      </c>
      <c r="K30">
        <v>62</v>
      </c>
      <c r="M30">
        <v>140</v>
      </c>
      <c r="O30">
        <v>0.49</v>
      </c>
      <c r="P30">
        <v>550</v>
      </c>
      <c r="Q30">
        <f t="shared" si="11"/>
        <v>0.25454545454545452</v>
      </c>
      <c r="S30">
        <v>0</v>
      </c>
      <c r="T30">
        <v>0</v>
      </c>
      <c r="U30">
        <v>0</v>
      </c>
      <c r="V30">
        <v>0</v>
      </c>
      <c r="W30">
        <f>S30*B13+T30*B14</f>
        <v>0</v>
      </c>
      <c r="X30">
        <f t="shared" si="0"/>
        <v>1</v>
      </c>
      <c r="Y30">
        <f t="shared" si="1"/>
        <v>3.7017375200999996</v>
      </c>
      <c r="Z30">
        <f t="shared" si="12"/>
        <v>1.1820497849124583</v>
      </c>
      <c r="AC30">
        <v>0.21</v>
      </c>
      <c r="AE30">
        <v>0.76</v>
      </c>
      <c r="AF30">
        <f t="shared" si="2"/>
        <v>0.95356758517775997</v>
      </c>
      <c r="AG30">
        <f t="shared" si="3"/>
        <v>0.19</v>
      </c>
      <c r="AH30">
        <f t="shared" si="4"/>
        <v>0.6784</v>
      </c>
      <c r="AI30">
        <f t="shared" si="5"/>
        <v>1.1060000000000001</v>
      </c>
      <c r="AK30">
        <f t="shared" si="6"/>
        <v>0.74</v>
      </c>
      <c r="AL30">
        <f t="shared" si="7"/>
        <v>98.894000000000005</v>
      </c>
      <c r="AM30">
        <f t="shared" si="8"/>
        <v>4.7000000000000002E-3</v>
      </c>
      <c r="AN30">
        <f t="shared" si="13"/>
        <v>1.0059531768240335E-3</v>
      </c>
      <c r="AO30">
        <f t="shared" si="14"/>
        <v>5.7129276098862351E-4</v>
      </c>
      <c r="AP30">
        <f t="shared" si="15"/>
        <v>1.5772459378126571E-3</v>
      </c>
      <c r="AQ30">
        <f t="shared" si="16"/>
        <v>8.9232688931751074</v>
      </c>
      <c r="AS30">
        <f t="shared" si="17"/>
        <v>0</v>
      </c>
      <c r="AT30">
        <f t="shared" si="9"/>
        <v>1.2648300318058733E-2</v>
      </c>
      <c r="AU30">
        <f>MAX((Y30*AC30/6.25)+(0.032*AS30/6.38)-AT30-((1.1*(10^-4)*(M30^0.75))/6.25), 0)</f>
        <v>0.1110137576893564</v>
      </c>
      <c r="AV30">
        <f t="shared" si="10"/>
        <v>628.06033412753379</v>
      </c>
      <c r="AY30">
        <f>AY11</f>
        <v>6.0000000000000001E-3</v>
      </c>
      <c r="BB30">
        <f t="shared" si="19"/>
        <v>0.24</v>
      </c>
      <c r="BQ30" t="s">
        <v>163</v>
      </c>
      <c r="BR30" t="s">
        <v>177</v>
      </c>
      <c r="BS30">
        <v>390</v>
      </c>
      <c r="BT30">
        <v>390</v>
      </c>
      <c r="BU30">
        <v>300</v>
      </c>
      <c r="BV30">
        <v>360</v>
      </c>
      <c r="BW30">
        <v>300</v>
      </c>
      <c r="BX30">
        <v>320</v>
      </c>
      <c r="BY30">
        <v>330</v>
      </c>
      <c r="BZ30">
        <v>270</v>
      </c>
      <c r="CA30">
        <v>306</v>
      </c>
      <c r="CB30">
        <v>266</v>
      </c>
      <c r="CC30">
        <v>250</v>
      </c>
      <c r="CD30">
        <v>319</v>
      </c>
      <c r="CE30">
        <v>309</v>
      </c>
      <c r="CF30">
        <v>277</v>
      </c>
      <c r="CG30">
        <v>232</v>
      </c>
      <c r="CH30">
        <v>3</v>
      </c>
    </row>
    <row r="31" spans="1:91" x14ac:dyDescent="0.2">
      <c r="G31" t="s">
        <v>182</v>
      </c>
      <c r="H31" t="s">
        <v>160</v>
      </c>
      <c r="J31">
        <v>91.25</v>
      </c>
      <c r="K31">
        <v>120</v>
      </c>
      <c r="M31">
        <v>560</v>
      </c>
      <c r="O31">
        <v>0.99</v>
      </c>
      <c r="P31">
        <v>550</v>
      </c>
      <c r="Q31">
        <f t="shared" si="11"/>
        <v>1.0181818181818181</v>
      </c>
      <c r="S31">
        <v>0.7</v>
      </c>
      <c r="T31">
        <v>0.03</v>
      </c>
      <c r="U31">
        <v>0</v>
      </c>
      <c r="V31">
        <v>0</v>
      </c>
      <c r="W31">
        <f>S31*B13+T31*B14</f>
        <v>4.3199999999999994</v>
      </c>
      <c r="X31">
        <f t="shared" si="0"/>
        <v>1.2130000000000001</v>
      </c>
      <c r="Y31">
        <f t="shared" si="1"/>
        <v>12.607275146037301</v>
      </c>
      <c r="Z31">
        <f t="shared" si="12"/>
        <v>1.225647991635459</v>
      </c>
      <c r="AC31">
        <v>0.25</v>
      </c>
      <c r="AE31">
        <v>0.8</v>
      </c>
      <c r="AF31">
        <f t="shared" si="2"/>
        <v>2.7836863522450357</v>
      </c>
      <c r="AG31">
        <f t="shared" si="3"/>
        <v>0.19</v>
      </c>
      <c r="AH31">
        <f t="shared" si="4"/>
        <v>0.6784</v>
      </c>
      <c r="AI31">
        <f t="shared" si="5"/>
        <v>1.1060000000000001</v>
      </c>
      <c r="AK31">
        <f t="shared" si="6"/>
        <v>0.74</v>
      </c>
      <c r="AL31">
        <f t="shared" si="7"/>
        <v>98.894000000000005</v>
      </c>
      <c r="AM31">
        <f t="shared" si="8"/>
        <v>4.7000000000000002E-3</v>
      </c>
      <c r="AN31">
        <f t="shared" si="13"/>
        <v>2.9366121215210848E-3</v>
      </c>
      <c r="AO31">
        <f t="shared" si="14"/>
        <v>1.6677369141107703E-3</v>
      </c>
      <c r="AP31">
        <f t="shared" si="15"/>
        <v>4.6043490356318549E-3</v>
      </c>
      <c r="AQ31">
        <f t="shared" si="16"/>
        <v>50.417621940168814</v>
      </c>
      <c r="AS31">
        <f t="shared" si="17"/>
        <v>0</v>
      </c>
      <c r="AT31">
        <f t="shared" si="9"/>
        <v>3.2669605547070137E-2</v>
      </c>
      <c r="AU31">
        <f t="shared" si="18"/>
        <v>0.46959533383033608</v>
      </c>
      <c r="AV31">
        <f t="shared" si="10"/>
        <v>5142.06890544218</v>
      </c>
      <c r="AY31">
        <f>AY11</f>
        <v>6.0000000000000001E-3</v>
      </c>
      <c r="BB31">
        <f t="shared" si="19"/>
        <v>0.24</v>
      </c>
      <c r="BQ31" t="s">
        <v>164</v>
      </c>
      <c r="BR31" t="s">
        <v>177</v>
      </c>
      <c r="BS31">
        <v>410</v>
      </c>
      <c r="BT31">
        <v>410</v>
      </c>
      <c r="BU31">
        <v>350</v>
      </c>
      <c r="BV31">
        <v>380</v>
      </c>
      <c r="BW31">
        <v>320</v>
      </c>
      <c r="BX31">
        <v>330</v>
      </c>
      <c r="BY31">
        <v>340</v>
      </c>
      <c r="BZ31">
        <v>280</v>
      </c>
      <c r="CA31">
        <v>338</v>
      </c>
      <c r="CB31">
        <v>307</v>
      </c>
      <c r="CC31">
        <v>272</v>
      </c>
      <c r="CD31">
        <v>352</v>
      </c>
      <c r="CE31">
        <v>344</v>
      </c>
      <c r="CF31">
        <v>316</v>
      </c>
      <c r="CG31">
        <v>255</v>
      </c>
      <c r="CH31">
        <v>4</v>
      </c>
    </row>
    <row r="32" spans="1:91" x14ac:dyDescent="0.2">
      <c r="G32" t="s">
        <v>196</v>
      </c>
      <c r="H32" t="s">
        <v>162</v>
      </c>
      <c r="J32">
        <v>91.25</v>
      </c>
      <c r="K32">
        <v>155</v>
      </c>
      <c r="M32">
        <v>550</v>
      </c>
      <c r="O32">
        <v>-0.1</v>
      </c>
      <c r="P32">
        <v>550</v>
      </c>
      <c r="Q32">
        <f t="shared" si="11"/>
        <v>1</v>
      </c>
      <c r="S32">
        <v>0.05</v>
      </c>
      <c r="T32">
        <v>0.72</v>
      </c>
      <c r="U32">
        <v>0</v>
      </c>
      <c r="V32">
        <v>0</v>
      </c>
      <c r="W32">
        <f>S32*B13+T32*B14</f>
        <v>3.1799999999999997</v>
      </c>
      <c r="X32">
        <f t="shared" si="0"/>
        <v>1.087</v>
      </c>
      <c r="Y32">
        <f t="shared" si="1"/>
        <v>8.9161131520000012</v>
      </c>
      <c r="Z32">
        <f t="shared" si="12"/>
        <v>0.9783604513652191</v>
      </c>
      <c r="AC32">
        <v>7.0000000000000007E-2</v>
      </c>
      <c r="AE32">
        <v>0.55000000000000004</v>
      </c>
      <c r="AF32">
        <f t="shared" si="2"/>
        <v>4.0193838089216003</v>
      </c>
      <c r="AG32">
        <f t="shared" si="3"/>
        <v>0.19</v>
      </c>
      <c r="AH32">
        <f t="shared" si="4"/>
        <v>0.6784</v>
      </c>
      <c r="AI32">
        <f t="shared" si="5"/>
        <v>1.1060000000000001</v>
      </c>
      <c r="AK32">
        <f t="shared" si="6"/>
        <v>0.74</v>
      </c>
      <c r="AL32">
        <f t="shared" si="7"/>
        <v>98.894000000000005</v>
      </c>
      <c r="AM32">
        <f t="shared" si="8"/>
        <v>4.7000000000000002E-3</v>
      </c>
      <c r="AN32">
        <f t="shared" si="13"/>
        <v>4.2401943756362383E-3</v>
      </c>
      <c r="AO32">
        <f t="shared" si="14"/>
        <v>2.4080567642656759E-3</v>
      </c>
      <c r="AP32">
        <f t="shared" si="15"/>
        <v>6.6482511399019138E-3</v>
      </c>
      <c r="AQ32">
        <f t="shared" si="16"/>
        <v>94.031202059987692</v>
      </c>
      <c r="AS32">
        <f t="shared" si="17"/>
        <v>0</v>
      </c>
      <c r="AT32">
        <f t="shared" si="9"/>
        <v>1.4831992337454082E-2</v>
      </c>
      <c r="AU32">
        <f t="shared" si="18"/>
        <v>8.3029604343607982E-2</v>
      </c>
      <c r="AV32">
        <f t="shared" si="10"/>
        <v>1174.3499664349054</v>
      </c>
      <c r="AY32">
        <f>AY11</f>
        <v>6.0000000000000001E-3</v>
      </c>
      <c r="BB32">
        <f t="shared" si="19"/>
        <v>0.24</v>
      </c>
      <c r="BQ32" t="s">
        <v>160</v>
      </c>
      <c r="BR32" t="s">
        <v>179</v>
      </c>
      <c r="BS32">
        <v>440</v>
      </c>
      <c r="BT32">
        <v>440</v>
      </c>
      <c r="BU32">
        <v>500</v>
      </c>
      <c r="BV32">
        <v>490</v>
      </c>
      <c r="BW32">
        <v>560</v>
      </c>
      <c r="BX32">
        <v>550</v>
      </c>
      <c r="BY32">
        <v>340</v>
      </c>
      <c r="BZ32">
        <v>320</v>
      </c>
      <c r="CA32">
        <v>415</v>
      </c>
      <c r="CB32">
        <v>398</v>
      </c>
      <c r="CC32">
        <v>365</v>
      </c>
      <c r="CD32">
        <v>416</v>
      </c>
      <c r="CE32">
        <v>357</v>
      </c>
      <c r="CF32">
        <v>428</v>
      </c>
      <c r="CG32">
        <v>371</v>
      </c>
      <c r="CH32">
        <v>1</v>
      </c>
    </row>
    <row r="33" spans="7:90" x14ac:dyDescent="0.2">
      <c r="H33" t="s">
        <v>163</v>
      </c>
      <c r="J33">
        <v>91.25</v>
      </c>
      <c r="K33">
        <v>152</v>
      </c>
      <c r="M33">
        <v>450</v>
      </c>
      <c r="O33">
        <v>0.2</v>
      </c>
      <c r="P33">
        <v>550</v>
      </c>
      <c r="Q33">
        <f t="shared" si="11"/>
        <v>0.81818181818181823</v>
      </c>
      <c r="S33">
        <v>0</v>
      </c>
      <c r="T33">
        <v>0.02</v>
      </c>
      <c r="U33">
        <v>0</v>
      </c>
      <c r="V33">
        <v>0</v>
      </c>
      <c r="W33">
        <f>S33*B13+T33*B14</f>
        <v>0.08</v>
      </c>
      <c r="X33">
        <f t="shared" si="0"/>
        <v>1.002</v>
      </c>
      <c r="Y33">
        <f t="shared" si="1"/>
        <v>7.6577451705000001</v>
      </c>
      <c r="Z33">
        <f t="shared" si="12"/>
        <v>1.0471845951459506</v>
      </c>
      <c r="AC33">
        <v>0.1</v>
      </c>
      <c r="AE33">
        <v>0.6</v>
      </c>
      <c r="AF33">
        <f t="shared" si="2"/>
        <v>3.0998552450184005</v>
      </c>
      <c r="AG33">
        <f t="shared" si="3"/>
        <v>0.19</v>
      </c>
      <c r="AH33">
        <f t="shared" si="4"/>
        <v>0.6784</v>
      </c>
      <c r="AI33">
        <f t="shared" si="5"/>
        <v>1.1060000000000001</v>
      </c>
      <c r="AK33">
        <f t="shared" si="6"/>
        <v>0.74</v>
      </c>
      <c r="AL33">
        <f t="shared" si="7"/>
        <v>98.894000000000005</v>
      </c>
      <c r="AM33">
        <f t="shared" si="8"/>
        <v>4.7000000000000002E-3</v>
      </c>
      <c r="AN33">
        <f t="shared" si="13"/>
        <v>3.2701502021375869E-3</v>
      </c>
      <c r="AO33">
        <f t="shared" si="14"/>
        <v>1.857157152905423E-3</v>
      </c>
      <c r="AP33">
        <f t="shared" si="15"/>
        <v>5.12730735504301E-3</v>
      </c>
      <c r="AQ33">
        <f t="shared" si="16"/>
        <v>71.115753014446554</v>
      </c>
      <c r="AS33">
        <f t="shared" si="17"/>
        <v>0</v>
      </c>
      <c r="AT33">
        <f t="shared" si="9"/>
        <v>2.8478550251961041E-3</v>
      </c>
      <c r="AU33">
        <f t="shared" si="18"/>
        <v>0.11795648901798177</v>
      </c>
      <c r="AV33">
        <f t="shared" si="10"/>
        <v>1636.0565026794072</v>
      </c>
      <c r="AY33">
        <f>AY11</f>
        <v>6.0000000000000001E-3</v>
      </c>
      <c r="BB33">
        <f t="shared" si="19"/>
        <v>0.24</v>
      </c>
      <c r="BQ33" t="s">
        <v>162</v>
      </c>
      <c r="BR33" t="s">
        <v>179</v>
      </c>
      <c r="BS33">
        <v>470</v>
      </c>
      <c r="BT33">
        <v>470</v>
      </c>
      <c r="BU33">
        <v>500</v>
      </c>
      <c r="BV33">
        <v>530</v>
      </c>
      <c r="BW33">
        <v>550</v>
      </c>
      <c r="BX33">
        <v>530</v>
      </c>
      <c r="BY33">
        <v>360</v>
      </c>
      <c r="BZ33">
        <v>380</v>
      </c>
      <c r="CA33">
        <v>368</v>
      </c>
      <c r="CB33">
        <v>346</v>
      </c>
      <c r="CC33">
        <v>299</v>
      </c>
      <c r="CD33">
        <v>397</v>
      </c>
      <c r="CE33">
        <v>361</v>
      </c>
      <c r="CF33">
        <v>390</v>
      </c>
      <c r="CG33">
        <v>310</v>
      </c>
      <c r="CH33">
        <v>2</v>
      </c>
      <c r="CK33" t="s">
        <v>277</v>
      </c>
    </row>
    <row r="34" spans="7:90" x14ac:dyDescent="0.2">
      <c r="H34" t="s">
        <v>164</v>
      </c>
      <c r="J34">
        <v>91.25</v>
      </c>
      <c r="K34">
        <v>89</v>
      </c>
      <c r="M34">
        <v>470</v>
      </c>
      <c r="O34">
        <v>0.22</v>
      </c>
      <c r="P34">
        <v>550</v>
      </c>
      <c r="Q34">
        <f t="shared" si="11"/>
        <v>0.8545454545454545</v>
      </c>
      <c r="S34">
        <v>0.02</v>
      </c>
      <c r="T34">
        <v>0</v>
      </c>
      <c r="U34">
        <v>0</v>
      </c>
      <c r="V34">
        <v>0</v>
      </c>
      <c r="W34">
        <f>S34*B13+T34*B14</f>
        <v>0.12</v>
      </c>
      <c r="X34">
        <f t="shared" si="0"/>
        <v>1.006</v>
      </c>
      <c r="Y34">
        <f t="shared" si="1"/>
        <v>7.9647488096256014</v>
      </c>
      <c r="Z34">
        <f t="shared" si="12"/>
        <v>1.0511393444332666</v>
      </c>
      <c r="AC34">
        <v>0.21</v>
      </c>
      <c r="AE34">
        <v>0.76</v>
      </c>
      <c r="AF34">
        <f t="shared" si="2"/>
        <v>2.0517192933595547</v>
      </c>
      <c r="AG34">
        <f t="shared" si="3"/>
        <v>0.19</v>
      </c>
      <c r="AH34">
        <f t="shared" si="4"/>
        <v>0.6784</v>
      </c>
      <c r="AI34">
        <f t="shared" si="5"/>
        <v>1.1060000000000001</v>
      </c>
      <c r="AK34">
        <f t="shared" si="6"/>
        <v>0.74</v>
      </c>
      <c r="AL34">
        <f t="shared" si="7"/>
        <v>98.894000000000005</v>
      </c>
      <c r="AM34">
        <f t="shared" si="8"/>
        <v>4.7000000000000002E-3</v>
      </c>
      <c r="AN34">
        <f t="shared" si="13"/>
        <v>2.1644334111057852E-3</v>
      </c>
      <c r="AO34">
        <f t="shared" si="14"/>
        <v>1.2292074501027675E-3</v>
      </c>
      <c r="AP34">
        <f t="shared" si="15"/>
        <v>3.3936408612085527E-3</v>
      </c>
      <c r="AQ34">
        <f t="shared" si="16"/>
        <v>27.560605844089956</v>
      </c>
      <c r="AS34">
        <f t="shared" si="17"/>
        <v>0</v>
      </c>
      <c r="AT34">
        <f t="shared" si="9"/>
        <v>3.2269145483564072E-3</v>
      </c>
      <c r="AU34">
        <f t="shared" si="18"/>
        <v>0.26261206016749544</v>
      </c>
      <c r="AV34">
        <f t="shared" si="10"/>
        <v>2132.7381936352722</v>
      </c>
      <c r="AY34">
        <f>AY11</f>
        <v>6.0000000000000001E-3</v>
      </c>
      <c r="BB34">
        <f t="shared" si="19"/>
        <v>0.24</v>
      </c>
      <c r="BQ34" t="s">
        <v>163</v>
      </c>
      <c r="BR34" t="s">
        <v>179</v>
      </c>
      <c r="BS34">
        <v>490</v>
      </c>
      <c r="BT34">
        <v>490</v>
      </c>
      <c r="BU34">
        <v>450</v>
      </c>
      <c r="BV34">
        <v>500</v>
      </c>
      <c r="BW34">
        <v>450</v>
      </c>
      <c r="BX34">
        <v>480</v>
      </c>
      <c r="BY34">
        <v>380</v>
      </c>
      <c r="BZ34">
        <v>390</v>
      </c>
      <c r="CA34">
        <v>392</v>
      </c>
      <c r="CB34">
        <v>363</v>
      </c>
      <c r="CC34">
        <v>336</v>
      </c>
      <c r="CD34">
        <v>440</v>
      </c>
      <c r="CE34">
        <v>376</v>
      </c>
      <c r="CF34">
        <v>407</v>
      </c>
      <c r="CG34">
        <v>351</v>
      </c>
      <c r="CH34">
        <v>3</v>
      </c>
      <c r="CK34" t="s">
        <v>276</v>
      </c>
    </row>
    <row r="35" spans="7:90" x14ac:dyDescent="0.2">
      <c r="G35" t="s">
        <v>187</v>
      </c>
      <c r="H35" t="s">
        <v>160</v>
      </c>
      <c r="J35">
        <v>91.25</v>
      </c>
      <c r="K35">
        <v>25</v>
      </c>
      <c r="M35">
        <v>510</v>
      </c>
      <c r="O35">
        <v>0.77</v>
      </c>
      <c r="P35">
        <v>660</v>
      </c>
      <c r="Q35">
        <f t="shared" si="11"/>
        <v>0.77272727272727271</v>
      </c>
      <c r="S35">
        <v>0</v>
      </c>
      <c r="T35">
        <v>0</v>
      </c>
      <c r="U35">
        <v>0</v>
      </c>
      <c r="V35">
        <v>0</v>
      </c>
      <c r="W35">
        <f>S35*B13+T35*B14</f>
        <v>0</v>
      </c>
      <c r="X35">
        <f t="shared" si="0"/>
        <v>1</v>
      </c>
      <c r="Y35">
        <f t="shared" si="1"/>
        <v>9.4045875560999992</v>
      </c>
      <c r="Z35">
        <f>Y35 / ((1.185 + 0.00454 * M35 - 0.0000026 * M35 ^ 2) ^ 2 * X35)</f>
        <v>1.1791452612832629</v>
      </c>
      <c r="AC35">
        <v>0.25</v>
      </c>
      <c r="AE35">
        <v>0.8</v>
      </c>
      <c r="AF35">
        <f t="shared" si="2"/>
        <v>2.0765329323868795</v>
      </c>
      <c r="AG35">
        <f t="shared" si="3"/>
        <v>0.19</v>
      </c>
      <c r="AH35">
        <f t="shared" si="4"/>
        <v>0.6784</v>
      </c>
      <c r="AI35">
        <f t="shared" si="5"/>
        <v>1.1060000000000001</v>
      </c>
      <c r="AK35">
        <f t="shared" si="6"/>
        <v>0.74</v>
      </c>
      <c r="AL35">
        <f t="shared" si="7"/>
        <v>98.894000000000005</v>
      </c>
      <c r="AM35">
        <f t="shared" si="8"/>
        <v>4.7000000000000002E-3</v>
      </c>
      <c r="AN35">
        <f t="shared" si="13"/>
        <v>2.190610222687996E-3</v>
      </c>
      <c r="AO35">
        <f t="shared" si="14"/>
        <v>1.244073572410661E-3</v>
      </c>
      <c r="AP35">
        <f t="shared" si="15"/>
        <v>3.4346837950986571E-3</v>
      </c>
      <c r="AQ35">
        <f t="shared" si="16"/>
        <v>7.8353724075688111</v>
      </c>
      <c r="AS35">
        <f t="shared" si="17"/>
        <v>0</v>
      </c>
      <c r="AT35">
        <f t="shared" si="9"/>
        <v>9.7644067315841177E-3</v>
      </c>
      <c r="AU35">
        <f t="shared" si="18"/>
        <v>0.36453027669881344</v>
      </c>
      <c r="AV35">
        <f t="shared" si="10"/>
        <v>831.58469371916817</v>
      </c>
      <c r="AY35">
        <f>AY11</f>
        <v>6.0000000000000001E-3</v>
      </c>
      <c r="BB35">
        <f t="shared" si="19"/>
        <v>0.24</v>
      </c>
      <c r="BQ35" t="s">
        <v>164</v>
      </c>
      <c r="BR35" t="s">
        <v>179</v>
      </c>
      <c r="BS35">
        <v>500</v>
      </c>
      <c r="BT35">
        <v>500</v>
      </c>
      <c r="BU35">
        <v>450</v>
      </c>
      <c r="BV35">
        <v>460</v>
      </c>
      <c r="BW35">
        <v>470</v>
      </c>
      <c r="BX35">
        <v>490</v>
      </c>
      <c r="BY35">
        <v>360</v>
      </c>
      <c r="BZ35">
        <v>350</v>
      </c>
      <c r="CA35">
        <v>432</v>
      </c>
      <c r="CB35">
        <v>398</v>
      </c>
      <c r="CC35">
        <v>365</v>
      </c>
      <c r="CD35">
        <v>470</v>
      </c>
      <c r="CE35">
        <v>364</v>
      </c>
      <c r="CF35">
        <v>438</v>
      </c>
      <c r="CG35">
        <v>364</v>
      </c>
      <c r="CH35">
        <v>4</v>
      </c>
      <c r="CK35" t="s">
        <v>278</v>
      </c>
      <c r="CL35">
        <v>0.66</v>
      </c>
    </row>
    <row r="36" spans="7:90" x14ac:dyDescent="0.2">
      <c r="G36" t="s">
        <v>197</v>
      </c>
      <c r="H36" t="s">
        <v>162</v>
      </c>
      <c r="J36">
        <v>91.25</v>
      </c>
      <c r="K36">
        <v>55</v>
      </c>
      <c r="M36">
        <v>520</v>
      </c>
      <c r="O36">
        <v>0.11</v>
      </c>
      <c r="P36">
        <v>660</v>
      </c>
      <c r="Q36">
        <f t="shared" si="11"/>
        <v>0.78787878787878785</v>
      </c>
      <c r="S36">
        <v>0</v>
      </c>
      <c r="T36">
        <v>0</v>
      </c>
      <c r="U36">
        <v>0</v>
      </c>
      <c r="V36">
        <v>0</v>
      </c>
      <c r="W36">
        <f>S36*B13+T36*B14</f>
        <v>0</v>
      </c>
      <c r="X36">
        <f t="shared" si="0"/>
        <v>1</v>
      </c>
      <c r="Y36">
        <f t="shared" si="1"/>
        <v>8.2794883080999995</v>
      </c>
      <c r="Z36">
        <f t="shared" si="12"/>
        <v>1.0245262857063089</v>
      </c>
      <c r="AC36">
        <v>7.0000000000000007E-2</v>
      </c>
      <c r="AE36">
        <v>0.55000000000000004</v>
      </c>
      <c r="AF36">
        <f t="shared" si="2"/>
        <v>3.7323933292914799</v>
      </c>
      <c r="AG36">
        <f t="shared" si="3"/>
        <v>0.19</v>
      </c>
      <c r="AH36">
        <f t="shared" si="4"/>
        <v>0.6784</v>
      </c>
      <c r="AI36">
        <f t="shared" si="5"/>
        <v>1.1060000000000001</v>
      </c>
      <c r="AK36">
        <f t="shared" si="6"/>
        <v>0.74</v>
      </c>
      <c r="AL36">
        <f t="shared" si="7"/>
        <v>98.894000000000005</v>
      </c>
      <c r="AM36">
        <f t="shared" si="8"/>
        <v>4.7000000000000002E-3</v>
      </c>
      <c r="AN36">
        <f t="shared" si="13"/>
        <v>3.9374376657923789E-3</v>
      </c>
      <c r="AO36">
        <f t="shared" si="14"/>
        <v>2.2361176316505744E-3</v>
      </c>
      <c r="AP36">
        <f t="shared" si="15"/>
        <v>6.1735552974429529E-3</v>
      </c>
      <c r="AQ36">
        <f t="shared" si="16"/>
        <v>30.983530649041821</v>
      </c>
      <c r="AS36">
        <f t="shared" si="17"/>
        <v>0</v>
      </c>
      <c r="AT36">
        <f t="shared" si="9"/>
        <v>1.378557317183868E-3</v>
      </c>
      <c r="AU36">
        <f t="shared" si="18"/>
        <v>8.9435183702784041E-2</v>
      </c>
      <c r="AV36">
        <f t="shared" si="10"/>
        <v>448.85282820834738</v>
      </c>
      <c r="AY36">
        <f>AY11</f>
        <v>6.0000000000000001E-3</v>
      </c>
      <c r="BB36">
        <f t="shared" si="19"/>
        <v>0.24</v>
      </c>
      <c r="BQ36" t="s">
        <v>160</v>
      </c>
      <c r="BR36" t="s">
        <v>176</v>
      </c>
      <c r="BS36">
        <v>75</v>
      </c>
      <c r="BT36">
        <v>75</v>
      </c>
      <c r="BU36">
        <v>220</v>
      </c>
      <c r="BV36">
        <v>85</v>
      </c>
      <c r="BW36">
        <v>240</v>
      </c>
      <c r="BX36">
        <v>260</v>
      </c>
      <c r="BY36">
        <v>70</v>
      </c>
      <c r="BZ36">
        <v>180</v>
      </c>
      <c r="CA36">
        <v>208</v>
      </c>
      <c r="CB36">
        <v>227</v>
      </c>
      <c r="CC36">
        <v>177</v>
      </c>
      <c r="CD36">
        <v>215</v>
      </c>
      <c r="CE36">
        <v>217</v>
      </c>
      <c r="CF36">
        <v>178</v>
      </c>
      <c r="CG36">
        <v>174</v>
      </c>
      <c r="CH36">
        <v>1</v>
      </c>
      <c r="CK36">
        <v>11</v>
      </c>
      <c r="CL36">
        <v>0.68</v>
      </c>
    </row>
    <row r="37" spans="7:90" x14ac:dyDescent="0.2">
      <c r="H37" t="s">
        <v>163</v>
      </c>
      <c r="J37">
        <v>91.25</v>
      </c>
      <c r="K37">
        <v>52</v>
      </c>
      <c r="M37">
        <v>410</v>
      </c>
      <c r="O37">
        <v>0.2</v>
      </c>
      <c r="P37">
        <v>660</v>
      </c>
      <c r="Q37">
        <f t="shared" si="11"/>
        <v>0.62121212121212122</v>
      </c>
      <c r="S37">
        <v>0</v>
      </c>
      <c r="T37">
        <v>0</v>
      </c>
      <c r="U37">
        <v>0</v>
      </c>
      <c r="V37">
        <v>0</v>
      </c>
      <c r="W37">
        <f>S37*B13+T37*B14</f>
        <v>0</v>
      </c>
      <c r="X37">
        <f t="shared" si="0"/>
        <v>1</v>
      </c>
      <c r="Y37">
        <f t="shared" si="1"/>
        <v>7.1414010756000028</v>
      </c>
      <c r="Z37">
        <f t="shared" si="12"/>
        <v>1.0488710073408023</v>
      </c>
      <c r="AC37">
        <v>0.1</v>
      </c>
      <c r="AE37">
        <v>0.6</v>
      </c>
      <c r="AF37">
        <f t="shared" si="2"/>
        <v>2.8908391554028818</v>
      </c>
      <c r="AG37">
        <f t="shared" si="3"/>
        <v>0.19</v>
      </c>
      <c r="AH37">
        <f t="shared" si="4"/>
        <v>0.6784</v>
      </c>
      <c r="AI37">
        <f t="shared" si="5"/>
        <v>1.1060000000000001</v>
      </c>
      <c r="AK37">
        <f t="shared" si="6"/>
        <v>0.74</v>
      </c>
      <c r="AL37">
        <f t="shared" si="7"/>
        <v>98.894000000000005</v>
      </c>
      <c r="AM37">
        <f t="shared" si="8"/>
        <v>4.7000000000000002E-3</v>
      </c>
      <c r="AN37">
        <f t="shared" si="13"/>
        <v>3.0496515163345541E-3</v>
      </c>
      <c r="AO37">
        <f t="shared" si="14"/>
        <v>1.7319333294621845E-3</v>
      </c>
      <c r="AP37">
        <f t="shared" si="15"/>
        <v>4.7815848457967384E-3</v>
      </c>
      <c r="AQ37">
        <f t="shared" si="16"/>
        <v>22.688620093305524</v>
      </c>
      <c r="AS37">
        <f>U37*$B$13+V37*$B$14</f>
        <v>0</v>
      </c>
      <c r="AT37">
        <f t="shared" si="9"/>
        <v>3.0305669673174138E-3</v>
      </c>
      <c r="AU37">
        <f t="shared" si="18"/>
        <v>0.10962823357910904</v>
      </c>
      <c r="AV37">
        <f t="shared" si="10"/>
        <v>520.18596833287233</v>
      </c>
      <c r="AY37">
        <f>AY11</f>
        <v>6.0000000000000001E-3</v>
      </c>
      <c r="BB37">
        <f t="shared" si="19"/>
        <v>0.24</v>
      </c>
      <c r="BQ37" t="s">
        <v>162</v>
      </c>
      <c r="BR37" t="s">
        <v>176</v>
      </c>
      <c r="BS37">
        <v>160</v>
      </c>
      <c r="BT37">
        <v>160</v>
      </c>
      <c r="BU37">
        <v>280</v>
      </c>
      <c r="BV37">
        <v>150</v>
      </c>
      <c r="BW37">
        <v>260</v>
      </c>
      <c r="BX37">
        <v>300</v>
      </c>
      <c r="BY37">
        <v>140</v>
      </c>
      <c r="BZ37">
        <v>90</v>
      </c>
      <c r="CA37">
        <v>112</v>
      </c>
      <c r="CB37">
        <v>108</v>
      </c>
      <c r="CC37">
        <v>102</v>
      </c>
      <c r="CD37">
        <v>118</v>
      </c>
      <c r="CE37">
        <v>113</v>
      </c>
      <c r="CF37">
        <v>112</v>
      </c>
      <c r="CG37">
        <v>140</v>
      </c>
      <c r="CH37">
        <v>2</v>
      </c>
      <c r="CK37">
        <v>12</v>
      </c>
      <c r="CL37">
        <v>0.7</v>
      </c>
    </row>
    <row r="38" spans="7:90" x14ac:dyDescent="0.2">
      <c r="H38" t="s">
        <v>164</v>
      </c>
      <c r="J38">
        <v>91.25</v>
      </c>
      <c r="K38">
        <v>45</v>
      </c>
      <c r="M38">
        <v>440</v>
      </c>
      <c r="O38">
        <v>0.33</v>
      </c>
      <c r="P38">
        <v>660</v>
      </c>
      <c r="Q38">
        <f t="shared" si="11"/>
        <v>0.66666666666666663</v>
      </c>
      <c r="S38">
        <v>0</v>
      </c>
      <c r="T38">
        <v>0</v>
      </c>
      <c r="U38">
        <v>0</v>
      </c>
      <c r="V38">
        <v>0</v>
      </c>
      <c r="W38">
        <f>S38*B13+T38*B14</f>
        <v>0</v>
      </c>
      <c r="X38">
        <f t="shared" si="0"/>
        <v>1</v>
      </c>
      <c r="Y38">
        <f t="shared" si="1"/>
        <v>7.7461465761000019</v>
      </c>
      <c r="Z38">
        <f t="shared" si="12"/>
        <v>1.0791019412004894</v>
      </c>
      <c r="AC38">
        <v>0.21</v>
      </c>
      <c r="AE38">
        <v>0.76</v>
      </c>
      <c r="AF38">
        <f t="shared" si="2"/>
        <v>1.9954073580033607</v>
      </c>
      <c r="AG38">
        <f t="shared" si="3"/>
        <v>0.19</v>
      </c>
      <c r="AH38">
        <f t="shared" si="4"/>
        <v>0.6784</v>
      </c>
      <c r="AI38">
        <f t="shared" si="5"/>
        <v>1.1060000000000001</v>
      </c>
      <c r="AK38">
        <f t="shared" si="6"/>
        <v>0.74</v>
      </c>
      <c r="AL38">
        <f t="shared" si="7"/>
        <v>98.894000000000005</v>
      </c>
      <c r="AM38">
        <f t="shared" si="8"/>
        <v>4.7000000000000002E-3</v>
      </c>
      <c r="AN38">
        <f t="shared" si="13"/>
        <v>2.1050278994827021E-3</v>
      </c>
      <c r="AO38">
        <f t="shared" si="14"/>
        <v>1.195470354246834E-3</v>
      </c>
      <c r="AP38">
        <f t="shared" si="15"/>
        <v>3.3004982537295363E-3</v>
      </c>
      <c r="AQ38">
        <f t="shared" si="16"/>
        <v>13.552670954376907</v>
      </c>
      <c r="AS38">
        <f t="shared" si="17"/>
        <v>0</v>
      </c>
      <c r="AT38">
        <f t="shared" si="9"/>
        <v>4.6999697931413391E-3</v>
      </c>
      <c r="AU38">
        <f t="shared" si="18"/>
        <v>0.25387971648034802</v>
      </c>
      <c r="AV38">
        <f t="shared" si="10"/>
        <v>1042.4935857974292</v>
      </c>
      <c r="AY38">
        <f>AY11</f>
        <v>6.0000000000000001E-3</v>
      </c>
      <c r="BB38">
        <f t="shared" si="19"/>
        <v>0.24</v>
      </c>
      <c r="BQ38" t="s">
        <v>163</v>
      </c>
      <c r="BR38" t="s">
        <v>176</v>
      </c>
      <c r="BS38">
        <v>220</v>
      </c>
      <c r="BT38">
        <v>220</v>
      </c>
      <c r="BU38">
        <v>70</v>
      </c>
      <c r="BV38">
        <v>200</v>
      </c>
      <c r="BW38">
        <v>95</v>
      </c>
      <c r="BX38">
        <v>80</v>
      </c>
      <c r="BY38">
        <v>220</v>
      </c>
      <c r="BZ38">
        <v>140</v>
      </c>
      <c r="CA38">
        <v>169</v>
      </c>
      <c r="CB38">
        <v>170</v>
      </c>
      <c r="CC38">
        <v>173</v>
      </c>
      <c r="CD38">
        <v>191</v>
      </c>
      <c r="CE38">
        <v>172</v>
      </c>
      <c r="CF38">
        <v>140</v>
      </c>
      <c r="CG38">
        <v>163</v>
      </c>
      <c r="CH38">
        <v>3</v>
      </c>
      <c r="CK38">
        <v>13</v>
      </c>
      <c r="CL38">
        <v>0.71</v>
      </c>
    </row>
    <row r="39" spans="7:90" x14ac:dyDescent="0.2">
      <c r="G39" t="s">
        <v>188</v>
      </c>
      <c r="H39" t="s">
        <v>160</v>
      </c>
      <c r="J39">
        <v>91.25</v>
      </c>
      <c r="K39">
        <v>28</v>
      </c>
      <c r="M39">
        <v>510</v>
      </c>
      <c r="O39">
        <v>0.77</v>
      </c>
      <c r="P39">
        <v>660</v>
      </c>
      <c r="Q39">
        <f t="shared" si="11"/>
        <v>0.77272727272727271</v>
      </c>
      <c r="S39">
        <v>0</v>
      </c>
      <c r="T39">
        <v>0</v>
      </c>
      <c r="U39">
        <v>0</v>
      </c>
      <c r="V39">
        <v>0</v>
      </c>
      <c r="W39">
        <f>S39*B13+T39*B14</f>
        <v>0</v>
      </c>
      <c r="X39">
        <f t="shared" si="0"/>
        <v>1</v>
      </c>
      <c r="Y39">
        <f t="shared" si="1"/>
        <v>9.4045875560999992</v>
      </c>
      <c r="Z39">
        <f t="shared" si="12"/>
        <v>1.1791452612832629</v>
      </c>
      <c r="AC39">
        <v>0.25</v>
      </c>
      <c r="AE39">
        <v>0.8</v>
      </c>
      <c r="AF39">
        <f t="shared" si="2"/>
        <v>2.0765329323868795</v>
      </c>
      <c r="AG39">
        <f t="shared" si="3"/>
        <v>0.19</v>
      </c>
      <c r="AH39">
        <f t="shared" si="4"/>
        <v>0.6784</v>
      </c>
      <c r="AI39">
        <f t="shared" si="5"/>
        <v>1.1060000000000001</v>
      </c>
      <c r="AK39">
        <f t="shared" si="6"/>
        <v>0.74</v>
      </c>
      <c r="AL39">
        <f t="shared" si="7"/>
        <v>98.894000000000005</v>
      </c>
      <c r="AM39">
        <f t="shared" si="8"/>
        <v>4.7000000000000002E-3</v>
      </c>
      <c r="AN39">
        <f t="shared" si="13"/>
        <v>2.190610222687996E-3</v>
      </c>
      <c r="AO39">
        <f t="shared" si="14"/>
        <v>1.244073572410661E-3</v>
      </c>
      <c r="AP39">
        <f t="shared" si="15"/>
        <v>3.4346837950986571E-3</v>
      </c>
      <c r="AQ39">
        <f t="shared" si="16"/>
        <v>8.7756170964770686</v>
      </c>
      <c r="AS39">
        <f t="shared" si="17"/>
        <v>0</v>
      </c>
      <c r="AT39">
        <f t="shared" si="9"/>
        <v>9.7644067315841177E-3</v>
      </c>
      <c r="AU39">
        <f t="shared" si="18"/>
        <v>0.36453027669881344</v>
      </c>
      <c r="AV39">
        <f t="shared" si="10"/>
        <v>931.37485696546833</v>
      </c>
      <c r="AY39">
        <f>AY11</f>
        <v>6.0000000000000001E-3</v>
      </c>
      <c r="BB39">
        <f t="shared" si="19"/>
        <v>0.24</v>
      </c>
      <c r="BQ39" t="s">
        <v>164</v>
      </c>
      <c r="BR39" t="s">
        <v>176</v>
      </c>
      <c r="BS39">
        <v>260</v>
      </c>
      <c r="BT39">
        <v>260</v>
      </c>
      <c r="BU39">
        <v>140</v>
      </c>
      <c r="BV39">
        <v>210</v>
      </c>
      <c r="BW39">
        <v>140</v>
      </c>
      <c r="BX39">
        <v>150</v>
      </c>
      <c r="BY39">
        <v>240</v>
      </c>
      <c r="BZ39">
        <v>150</v>
      </c>
      <c r="CA39">
        <v>211</v>
      </c>
      <c r="CB39">
        <v>225</v>
      </c>
      <c r="CC39">
        <v>202</v>
      </c>
      <c r="CD39">
        <v>207</v>
      </c>
      <c r="CE39">
        <v>208</v>
      </c>
      <c r="CF39">
        <v>183</v>
      </c>
      <c r="CG39">
        <v>162</v>
      </c>
      <c r="CH39">
        <v>4</v>
      </c>
      <c r="CK39">
        <v>14</v>
      </c>
      <c r="CL39">
        <v>0.73</v>
      </c>
    </row>
    <row r="40" spans="7:90" x14ac:dyDescent="0.2">
      <c r="G40" t="s">
        <v>198</v>
      </c>
      <c r="H40" t="s">
        <v>162</v>
      </c>
      <c r="J40">
        <v>91.25</v>
      </c>
      <c r="K40">
        <v>50</v>
      </c>
      <c r="M40">
        <v>520</v>
      </c>
      <c r="O40">
        <v>0.11</v>
      </c>
      <c r="P40">
        <v>660</v>
      </c>
      <c r="Q40">
        <f t="shared" si="11"/>
        <v>0.78787878787878785</v>
      </c>
      <c r="S40">
        <v>0</v>
      </c>
      <c r="T40">
        <v>0</v>
      </c>
      <c r="U40">
        <v>0</v>
      </c>
      <c r="V40">
        <v>0</v>
      </c>
      <c r="W40">
        <f>S40*B13+T40*B14</f>
        <v>0</v>
      </c>
      <c r="X40">
        <f t="shared" si="0"/>
        <v>1</v>
      </c>
      <c r="Y40">
        <f t="shared" si="1"/>
        <v>8.2794883080999995</v>
      </c>
      <c r="Z40">
        <f t="shared" si="12"/>
        <v>1.0245262857063089</v>
      </c>
      <c r="AC40">
        <v>7.0000000000000007E-2</v>
      </c>
      <c r="AE40">
        <v>0.55000000000000004</v>
      </c>
      <c r="AF40">
        <f t="shared" si="2"/>
        <v>3.7323933292914799</v>
      </c>
      <c r="AG40">
        <f t="shared" si="3"/>
        <v>0.19</v>
      </c>
      <c r="AH40">
        <f t="shared" si="4"/>
        <v>0.6784</v>
      </c>
      <c r="AI40">
        <f t="shared" si="5"/>
        <v>1.1060000000000001</v>
      </c>
      <c r="AK40">
        <f t="shared" si="6"/>
        <v>0.74</v>
      </c>
      <c r="AL40">
        <f t="shared" si="7"/>
        <v>98.894000000000005</v>
      </c>
      <c r="AM40">
        <f t="shared" si="8"/>
        <v>4.7000000000000002E-3</v>
      </c>
      <c r="AN40">
        <f t="shared" si="13"/>
        <v>3.9374376657923789E-3</v>
      </c>
      <c r="AO40">
        <f t="shared" si="14"/>
        <v>2.2361176316505744E-3</v>
      </c>
      <c r="AP40">
        <f t="shared" si="15"/>
        <v>6.1735552974429529E-3</v>
      </c>
      <c r="AQ40">
        <f t="shared" si="16"/>
        <v>28.166846044583473</v>
      </c>
      <c r="AS40">
        <f t="shared" si="17"/>
        <v>0</v>
      </c>
      <c r="AT40">
        <f t="shared" si="9"/>
        <v>1.378557317183868E-3</v>
      </c>
      <c r="AU40">
        <f>MAX((Y40*AC40/6.25)+(0.032*AS40/6.38)-AT40-((1.1*(10^-4)*(M40^0.75))/6.25), 0)</f>
        <v>8.9435183702784041E-2</v>
      </c>
      <c r="AV40">
        <f t="shared" si="10"/>
        <v>408.0480256439522</v>
      </c>
      <c r="AY40">
        <f>AY11</f>
        <v>6.0000000000000001E-3</v>
      </c>
      <c r="BB40">
        <f t="shared" si="19"/>
        <v>0.24</v>
      </c>
      <c r="BQ40" t="s">
        <v>160</v>
      </c>
      <c r="BR40" t="s">
        <v>182</v>
      </c>
      <c r="BS40">
        <v>440</v>
      </c>
      <c r="BT40">
        <v>440</v>
      </c>
      <c r="BU40">
        <v>500</v>
      </c>
      <c r="BV40">
        <v>490</v>
      </c>
      <c r="BW40">
        <v>560</v>
      </c>
      <c r="BX40">
        <v>550</v>
      </c>
      <c r="BY40">
        <v>340</v>
      </c>
      <c r="BZ40">
        <v>320</v>
      </c>
      <c r="CA40">
        <v>467</v>
      </c>
      <c r="CB40">
        <v>452</v>
      </c>
      <c r="CC40">
        <v>406</v>
      </c>
      <c r="CD40">
        <v>519</v>
      </c>
      <c r="CE40">
        <v>467</v>
      </c>
      <c r="CF40">
        <v>466</v>
      </c>
      <c r="CG40">
        <v>415</v>
      </c>
      <c r="CH40">
        <v>1</v>
      </c>
      <c r="CK40">
        <v>15</v>
      </c>
      <c r="CL40">
        <v>0.74</v>
      </c>
    </row>
    <row r="41" spans="7:90" x14ac:dyDescent="0.2">
      <c r="H41" t="s">
        <v>163</v>
      </c>
      <c r="J41">
        <v>91.25</v>
      </c>
      <c r="K41">
        <v>44</v>
      </c>
      <c r="M41">
        <v>410</v>
      </c>
      <c r="O41">
        <v>0.2</v>
      </c>
      <c r="P41">
        <v>660</v>
      </c>
      <c r="Q41">
        <f t="shared" si="11"/>
        <v>0.62121212121212122</v>
      </c>
      <c r="S41">
        <v>0</v>
      </c>
      <c r="T41">
        <v>0</v>
      </c>
      <c r="U41">
        <v>0</v>
      </c>
      <c r="V41">
        <v>0</v>
      </c>
      <c r="W41">
        <f>S41*B13+T41*B14</f>
        <v>0</v>
      </c>
      <c r="X41">
        <f t="shared" si="0"/>
        <v>1</v>
      </c>
      <c r="Y41">
        <f t="shared" si="1"/>
        <v>7.1414010756000028</v>
      </c>
      <c r="Z41">
        <f t="shared" si="12"/>
        <v>1.0488710073408023</v>
      </c>
      <c r="AC41">
        <v>0.1</v>
      </c>
      <c r="AE41">
        <v>0.6</v>
      </c>
      <c r="AF41">
        <f t="shared" si="2"/>
        <v>2.8908391554028818</v>
      </c>
      <c r="AG41">
        <f t="shared" si="3"/>
        <v>0.19</v>
      </c>
      <c r="AH41">
        <f t="shared" si="4"/>
        <v>0.6784</v>
      </c>
      <c r="AI41">
        <f t="shared" si="5"/>
        <v>1.1060000000000001</v>
      </c>
      <c r="AK41">
        <f t="shared" si="6"/>
        <v>0.74</v>
      </c>
      <c r="AL41">
        <f t="shared" si="7"/>
        <v>98.894000000000005</v>
      </c>
      <c r="AM41">
        <f t="shared" si="8"/>
        <v>4.7000000000000002E-3</v>
      </c>
      <c r="AN41">
        <f t="shared" si="13"/>
        <v>3.0496515163345541E-3</v>
      </c>
      <c r="AO41">
        <f t="shared" si="14"/>
        <v>1.7319333294621845E-3</v>
      </c>
      <c r="AP41">
        <f t="shared" si="15"/>
        <v>4.7815848457967384E-3</v>
      </c>
      <c r="AQ41">
        <f t="shared" si="16"/>
        <v>19.198063155873907</v>
      </c>
      <c r="AS41">
        <f t="shared" si="17"/>
        <v>0</v>
      </c>
      <c r="AT41">
        <f t="shared" si="9"/>
        <v>3.0305669673174138E-3</v>
      </c>
      <c r="AU41">
        <f t="shared" si="18"/>
        <v>0.10962823357910904</v>
      </c>
      <c r="AV41">
        <f t="shared" si="10"/>
        <v>440.1573578201228</v>
      </c>
      <c r="AY41">
        <f>AY11</f>
        <v>6.0000000000000001E-3</v>
      </c>
      <c r="BB41">
        <f t="shared" si="19"/>
        <v>0.24</v>
      </c>
      <c r="BQ41" t="s">
        <v>162</v>
      </c>
      <c r="BR41" t="s">
        <v>182</v>
      </c>
      <c r="BS41">
        <v>470</v>
      </c>
      <c r="BT41">
        <v>470</v>
      </c>
      <c r="BU41">
        <v>500</v>
      </c>
      <c r="BV41">
        <v>530</v>
      </c>
      <c r="BW41">
        <v>550</v>
      </c>
      <c r="BX41">
        <v>530</v>
      </c>
      <c r="BY41">
        <v>360</v>
      </c>
      <c r="BZ41">
        <v>380</v>
      </c>
      <c r="CA41">
        <v>465</v>
      </c>
      <c r="CB41">
        <v>430</v>
      </c>
      <c r="CC41">
        <v>380</v>
      </c>
      <c r="CD41">
        <v>483</v>
      </c>
      <c r="CE41">
        <v>477</v>
      </c>
      <c r="CF41">
        <v>448</v>
      </c>
      <c r="CG41">
        <v>405</v>
      </c>
      <c r="CH41">
        <v>2</v>
      </c>
      <c r="CK41">
        <v>16</v>
      </c>
      <c r="CL41">
        <v>0.75</v>
      </c>
    </row>
    <row r="42" spans="7:90" x14ac:dyDescent="0.2">
      <c r="H42" t="s">
        <v>164</v>
      </c>
      <c r="J42">
        <v>91.25</v>
      </c>
      <c r="K42">
        <v>20</v>
      </c>
      <c r="M42">
        <v>440</v>
      </c>
      <c r="O42">
        <v>0.33</v>
      </c>
      <c r="P42">
        <v>660</v>
      </c>
      <c r="Q42">
        <f t="shared" si="11"/>
        <v>0.66666666666666663</v>
      </c>
      <c r="S42">
        <v>0</v>
      </c>
      <c r="T42">
        <v>0</v>
      </c>
      <c r="U42">
        <v>0</v>
      </c>
      <c r="V42">
        <v>0</v>
      </c>
      <c r="W42">
        <f>S42*B13+T42*B14</f>
        <v>0</v>
      </c>
      <c r="X42">
        <f t="shared" si="0"/>
        <v>1</v>
      </c>
      <c r="Y42">
        <f t="shared" si="1"/>
        <v>7.7461465761000019</v>
      </c>
      <c r="Z42">
        <f t="shared" si="12"/>
        <v>1.0791019412004894</v>
      </c>
      <c r="AC42">
        <v>0.21</v>
      </c>
      <c r="AE42">
        <v>0.76</v>
      </c>
      <c r="AF42">
        <f t="shared" si="2"/>
        <v>1.9954073580033607</v>
      </c>
      <c r="AG42">
        <f t="shared" si="3"/>
        <v>0.19</v>
      </c>
      <c r="AH42">
        <f t="shared" si="4"/>
        <v>0.6784</v>
      </c>
      <c r="AI42">
        <f t="shared" si="5"/>
        <v>1.1060000000000001</v>
      </c>
      <c r="AK42">
        <f t="shared" si="6"/>
        <v>0.74</v>
      </c>
      <c r="AL42">
        <f t="shared" si="7"/>
        <v>98.894000000000005</v>
      </c>
      <c r="AM42">
        <f t="shared" si="8"/>
        <v>4.7000000000000002E-3</v>
      </c>
      <c r="AN42">
        <f t="shared" si="13"/>
        <v>2.1050278994827021E-3</v>
      </c>
      <c r="AO42">
        <f t="shared" si="14"/>
        <v>1.195470354246834E-3</v>
      </c>
      <c r="AP42">
        <f t="shared" si="15"/>
        <v>3.3004982537295363E-3</v>
      </c>
      <c r="AQ42">
        <f t="shared" si="16"/>
        <v>6.0234093130564039</v>
      </c>
      <c r="AS42">
        <f t="shared" si="17"/>
        <v>0</v>
      </c>
      <c r="AT42">
        <f t="shared" si="9"/>
        <v>4.6999697931413391E-3</v>
      </c>
      <c r="AU42">
        <f t="shared" si="18"/>
        <v>0.25387971648034802</v>
      </c>
      <c r="AV42">
        <f t="shared" si="10"/>
        <v>463.33048257663506</v>
      </c>
      <c r="AY42">
        <f>AY11</f>
        <v>6.0000000000000001E-3</v>
      </c>
      <c r="BB42">
        <f t="shared" si="19"/>
        <v>0.24</v>
      </c>
      <c r="BQ42" t="s">
        <v>163</v>
      </c>
      <c r="BR42" t="s">
        <v>182</v>
      </c>
      <c r="BS42">
        <v>490</v>
      </c>
      <c r="BT42">
        <v>490</v>
      </c>
      <c r="BU42">
        <v>450</v>
      </c>
      <c r="BV42">
        <v>500</v>
      </c>
      <c r="BW42">
        <v>450</v>
      </c>
      <c r="BX42">
        <v>480</v>
      </c>
      <c r="BY42">
        <v>380</v>
      </c>
      <c r="BZ42">
        <v>390</v>
      </c>
      <c r="CA42">
        <v>464</v>
      </c>
      <c r="CB42">
        <v>444</v>
      </c>
      <c r="CC42">
        <v>414</v>
      </c>
      <c r="CD42">
        <v>506</v>
      </c>
      <c r="CE42">
        <v>471</v>
      </c>
      <c r="CF42">
        <v>455</v>
      </c>
      <c r="CG42">
        <v>427</v>
      </c>
      <c r="CH42">
        <v>3</v>
      </c>
      <c r="CK42">
        <v>17</v>
      </c>
      <c r="CL42">
        <v>0.76</v>
      </c>
    </row>
    <row r="43" spans="7:90" x14ac:dyDescent="0.2">
      <c r="G43" t="s">
        <v>186</v>
      </c>
      <c r="H43" t="s">
        <v>160</v>
      </c>
      <c r="J43">
        <v>91.25</v>
      </c>
      <c r="K43">
        <v>15</v>
      </c>
      <c r="M43">
        <v>240</v>
      </c>
      <c r="O43">
        <v>1.1000000000000001</v>
      </c>
      <c r="P43">
        <v>660</v>
      </c>
      <c r="Q43">
        <f t="shared" si="11"/>
        <v>0.36363636363636365</v>
      </c>
      <c r="S43">
        <v>0</v>
      </c>
      <c r="T43">
        <v>0</v>
      </c>
      <c r="U43">
        <v>1</v>
      </c>
      <c r="V43">
        <v>0</v>
      </c>
      <c r="W43">
        <f>S43*B13+T43*B14</f>
        <v>0</v>
      </c>
      <c r="X43">
        <f t="shared" si="0"/>
        <v>1</v>
      </c>
      <c r="Y43">
        <f t="shared" si="1"/>
        <v>6.1075213955999983</v>
      </c>
      <c r="Z43">
        <f t="shared" si="12"/>
        <v>1.3527343878984126</v>
      </c>
      <c r="AC43">
        <v>0.25</v>
      </c>
      <c r="AE43">
        <v>0.8</v>
      </c>
      <c r="AF43">
        <f t="shared" si="2"/>
        <v>1.3485407241484795</v>
      </c>
      <c r="AG43">
        <f t="shared" si="3"/>
        <v>0.19</v>
      </c>
      <c r="AH43">
        <f t="shared" si="4"/>
        <v>0.6784</v>
      </c>
      <c r="AI43">
        <f t="shared" si="5"/>
        <v>1.1060000000000001</v>
      </c>
      <c r="AK43">
        <f t="shared" si="6"/>
        <v>0.74</v>
      </c>
      <c r="AL43">
        <f t="shared" si="7"/>
        <v>98.894000000000005</v>
      </c>
      <c r="AM43">
        <f t="shared" si="8"/>
        <v>4.7000000000000002E-3</v>
      </c>
      <c r="AN43">
        <f t="shared" si="13"/>
        <v>1.4226247269939025E-3</v>
      </c>
      <c r="AO43">
        <f t="shared" si="14"/>
        <v>8.0792548486300101E-4</v>
      </c>
      <c r="AP43">
        <f t="shared" si="15"/>
        <v>2.2305502118569035E-3</v>
      </c>
      <c r="AQ43">
        <f t="shared" si="16"/>
        <v>3.0530656024791365</v>
      </c>
      <c r="AS43">
        <f t="shared" si="17"/>
        <v>6</v>
      </c>
      <c r="AT43">
        <f t="shared" si="9"/>
        <v>2.4689011822333583E-2</v>
      </c>
      <c r="AU43">
        <f t="shared" si="18"/>
        <v>0.24863271152471117</v>
      </c>
      <c r="AV43">
        <f t="shared" si="10"/>
        <v>340.3160238994484</v>
      </c>
      <c r="AY43">
        <f>AY11</f>
        <v>6.0000000000000001E-3</v>
      </c>
      <c r="BB43">
        <f t="shared" si="19"/>
        <v>0.24</v>
      </c>
      <c r="BQ43" t="s">
        <v>164</v>
      </c>
      <c r="BR43" t="s">
        <v>182</v>
      </c>
      <c r="BS43">
        <v>500</v>
      </c>
      <c r="BT43">
        <v>500</v>
      </c>
      <c r="BU43">
        <v>450</v>
      </c>
      <c r="BV43">
        <v>460</v>
      </c>
      <c r="BW43">
        <v>470</v>
      </c>
      <c r="BX43">
        <v>490</v>
      </c>
      <c r="BY43">
        <v>360</v>
      </c>
      <c r="BZ43">
        <v>350</v>
      </c>
      <c r="CA43">
        <v>492</v>
      </c>
      <c r="CB43">
        <v>452</v>
      </c>
      <c r="CC43">
        <v>390</v>
      </c>
      <c r="CD43">
        <v>514</v>
      </c>
      <c r="CE43">
        <v>484</v>
      </c>
      <c r="CF43">
        <v>468</v>
      </c>
      <c r="CG43">
        <v>420</v>
      </c>
      <c r="CH43">
        <v>4</v>
      </c>
      <c r="CK43">
        <v>18</v>
      </c>
      <c r="CL43">
        <v>0.77</v>
      </c>
    </row>
    <row r="44" spans="7:90" x14ac:dyDescent="0.2">
      <c r="G44">
        <v>6</v>
      </c>
      <c r="H44" t="s">
        <v>162</v>
      </c>
      <c r="J44">
        <v>91.25</v>
      </c>
      <c r="K44">
        <v>40</v>
      </c>
      <c r="M44">
        <v>270</v>
      </c>
      <c r="O44">
        <v>0.33</v>
      </c>
      <c r="P44">
        <v>660</v>
      </c>
      <c r="Q44">
        <f t="shared" si="11"/>
        <v>0.40909090909090912</v>
      </c>
      <c r="S44">
        <v>0</v>
      </c>
      <c r="T44">
        <v>0</v>
      </c>
      <c r="U44">
        <v>0</v>
      </c>
      <c r="V44">
        <v>1</v>
      </c>
      <c r="W44">
        <f>S44*B13+T44*B14</f>
        <v>0</v>
      </c>
      <c r="X44">
        <f t="shared" si="0"/>
        <v>1</v>
      </c>
      <c r="Y44">
        <f t="shared" si="1"/>
        <v>5.4066015441000008</v>
      </c>
      <c r="Z44">
        <f t="shared" si="12"/>
        <v>1.0957855575253286</v>
      </c>
      <c r="AC44">
        <v>7.0000000000000007E-2</v>
      </c>
      <c r="AE44">
        <v>0.55000000000000004</v>
      </c>
      <c r="AF44">
        <f t="shared" si="2"/>
        <v>2.4372959760802804</v>
      </c>
      <c r="AG44">
        <f t="shared" si="3"/>
        <v>0.19</v>
      </c>
      <c r="AH44">
        <f t="shared" si="4"/>
        <v>0.6784</v>
      </c>
      <c r="AI44">
        <f t="shared" si="5"/>
        <v>1.1060000000000001</v>
      </c>
      <c r="AK44">
        <f t="shared" si="6"/>
        <v>0.74</v>
      </c>
      <c r="AL44">
        <f t="shared" si="7"/>
        <v>98.894000000000005</v>
      </c>
      <c r="AM44">
        <f t="shared" si="8"/>
        <v>4.7000000000000002E-3</v>
      </c>
      <c r="AN44">
        <f t="shared" si="13"/>
        <v>2.5711922973360472E-3</v>
      </c>
      <c r="AO44">
        <f t="shared" si="14"/>
        <v>1.4602106543520966E-3</v>
      </c>
      <c r="AP44">
        <f t="shared" si="15"/>
        <v>4.031402951688144E-3</v>
      </c>
      <c r="AQ44">
        <f t="shared" si="16"/>
        <v>14.714620773661727</v>
      </c>
      <c r="AS44">
        <f t="shared" si="17"/>
        <v>4</v>
      </c>
      <c r="AT44">
        <f t="shared" si="9"/>
        <v>6.9759810430649952E-3</v>
      </c>
      <c r="AU44">
        <f t="shared" si="18"/>
        <v>7.2468361013304131E-2</v>
      </c>
      <c r="AV44">
        <f t="shared" si="10"/>
        <v>264.50951769856005</v>
      </c>
      <c r="AY44">
        <f>AY11</f>
        <v>6.0000000000000001E-3</v>
      </c>
      <c r="BB44">
        <f t="shared" si="19"/>
        <v>0.24</v>
      </c>
      <c r="BQ44" t="s">
        <v>160</v>
      </c>
      <c r="BR44" t="s">
        <v>187</v>
      </c>
      <c r="BS44">
        <v>380</v>
      </c>
      <c r="BT44">
        <v>380</v>
      </c>
      <c r="BU44">
        <v>420</v>
      </c>
      <c r="BV44">
        <v>480</v>
      </c>
      <c r="BW44">
        <v>510</v>
      </c>
      <c r="BX44">
        <v>480</v>
      </c>
      <c r="BY44">
        <v>370</v>
      </c>
      <c r="BZ44">
        <v>340</v>
      </c>
      <c r="CA44">
        <v>371</v>
      </c>
      <c r="CB44">
        <v>334</v>
      </c>
      <c r="CC44">
        <v>249</v>
      </c>
      <c r="CD44">
        <v>455</v>
      </c>
      <c r="CE44">
        <v>370</v>
      </c>
      <c r="CF44">
        <v>370</v>
      </c>
      <c r="CG44">
        <v>272</v>
      </c>
      <c r="CH44">
        <v>1</v>
      </c>
      <c r="CK44">
        <v>19</v>
      </c>
      <c r="CL44">
        <v>0.77</v>
      </c>
    </row>
    <row r="45" spans="7:90" x14ac:dyDescent="0.2">
      <c r="H45" t="s">
        <v>163</v>
      </c>
      <c r="J45">
        <v>91.25</v>
      </c>
      <c r="K45">
        <v>35</v>
      </c>
      <c r="M45">
        <v>95</v>
      </c>
      <c r="O45">
        <v>0.55000000000000004</v>
      </c>
      <c r="P45">
        <v>660</v>
      </c>
      <c r="Q45">
        <f t="shared" si="11"/>
        <v>0.14393939393939395</v>
      </c>
      <c r="S45">
        <v>0</v>
      </c>
      <c r="T45">
        <v>0</v>
      </c>
      <c r="U45">
        <v>0</v>
      </c>
      <c r="V45">
        <v>0</v>
      </c>
      <c r="W45">
        <f>S45*B13+T45*B14</f>
        <v>0</v>
      </c>
      <c r="X45">
        <f t="shared" si="0"/>
        <v>1</v>
      </c>
      <c r="Y45">
        <f t="shared" si="1"/>
        <v>3.1190562272249998</v>
      </c>
      <c r="Z45">
        <f t="shared" si="12"/>
        <v>1.2293672055519751</v>
      </c>
      <c r="AC45">
        <v>0.1</v>
      </c>
      <c r="AE45">
        <v>0.6</v>
      </c>
      <c r="AF45">
        <f t="shared" si="2"/>
        <v>1.26259396078068</v>
      </c>
      <c r="AG45">
        <f t="shared" si="3"/>
        <v>0.19</v>
      </c>
      <c r="AH45">
        <f t="shared" si="4"/>
        <v>0.6784</v>
      </c>
      <c r="AI45">
        <f t="shared" si="5"/>
        <v>1.1060000000000001</v>
      </c>
      <c r="AK45">
        <f t="shared" si="6"/>
        <v>0.74</v>
      </c>
      <c r="AL45">
        <f t="shared" si="7"/>
        <v>98.894000000000005</v>
      </c>
      <c r="AM45">
        <f t="shared" si="8"/>
        <v>4.7000000000000002E-3</v>
      </c>
      <c r="AN45">
        <f t="shared" si="13"/>
        <v>1.3319563559298167E-3</v>
      </c>
      <c r="AO45">
        <f t="shared" si="14"/>
        <v>7.5643383969212078E-4</v>
      </c>
      <c r="AP45">
        <f t="shared" si="15"/>
        <v>2.0883901956219374E-3</v>
      </c>
      <c r="AQ45">
        <f t="shared" si="16"/>
        <v>6.6697961872675622</v>
      </c>
      <c r="AS45">
        <f t="shared" si="17"/>
        <v>0</v>
      </c>
      <c r="AT45">
        <f t="shared" si="9"/>
        <v>1.5567346334886791E-2</v>
      </c>
      <c r="AU45">
        <f t="shared" si="18"/>
        <v>3.3801996705623991E-2</v>
      </c>
      <c r="AV45">
        <f t="shared" si="10"/>
        <v>107.95512697858662</v>
      </c>
      <c r="AY45">
        <f>AY11</f>
        <v>6.0000000000000001E-3</v>
      </c>
      <c r="BB45">
        <f t="shared" si="19"/>
        <v>0.24</v>
      </c>
      <c r="BQ45" t="s">
        <v>162</v>
      </c>
      <c r="BR45" t="s">
        <v>187</v>
      </c>
      <c r="BS45">
        <v>420</v>
      </c>
      <c r="BT45">
        <v>420</v>
      </c>
      <c r="BU45">
        <v>420</v>
      </c>
      <c r="BV45">
        <v>460</v>
      </c>
      <c r="BW45">
        <v>520</v>
      </c>
      <c r="BX45">
        <v>470</v>
      </c>
      <c r="BY45">
        <v>400</v>
      </c>
      <c r="BZ45">
        <v>390</v>
      </c>
      <c r="CA45">
        <v>280</v>
      </c>
      <c r="CB45">
        <v>236</v>
      </c>
      <c r="CC45">
        <v>218</v>
      </c>
      <c r="CD45">
        <v>304</v>
      </c>
      <c r="CE45">
        <v>273</v>
      </c>
      <c r="CF45">
        <v>273</v>
      </c>
      <c r="CG45">
        <v>218</v>
      </c>
      <c r="CH45">
        <v>2</v>
      </c>
      <c r="CK45">
        <v>20</v>
      </c>
      <c r="CL45">
        <v>0.78</v>
      </c>
    </row>
    <row r="46" spans="7:90" x14ac:dyDescent="0.2">
      <c r="H46" t="s">
        <v>164</v>
      </c>
      <c r="J46">
        <v>91.25</v>
      </c>
      <c r="K46">
        <v>38</v>
      </c>
      <c r="M46">
        <v>140</v>
      </c>
      <c r="O46">
        <v>0.49</v>
      </c>
      <c r="P46">
        <v>660</v>
      </c>
      <c r="Q46">
        <f t="shared" si="11"/>
        <v>0.21212121212121213</v>
      </c>
      <c r="S46">
        <v>0</v>
      </c>
      <c r="T46">
        <v>0</v>
      </c>
      <c r="U46">
        <v>0</v>
      </c>
      <c r="V46">
        <v>0</v>
      </c>
      <c r="W46">
        <f>S46*B13+T46*B14</f>
        <v>0</v>
      </c>
      <c r="X46">
        <f t="shared" si="0"/>
        <v>1</v>
      </c>
      <c r="Y46">
        <f t="shared" si="1"/>
        <v>3.7017375200999996</v>
      </c>
      <c r="Z46">
        <f t="shared" si="12"/>
        <v>1.1820497849124583</v>
      </c>
      <c r="AC46">
        <v>0.21</v>
      </c>
      <c r="AE46">
        <v>0.76</v>
      </c>
      <c r="AF46">
        <f t="shared" si="2"/>
        <v>0.95356758517775997</v>
      </c>
      <c r="AG46">
        <f t="shared" si="3"/>
        <v>0.19</v>
      </c>
      <c r="AH46">
        <f t="shared" si="4"/>
        <v>0.6784</v>
      </c>
      <c r="AI46">
        <f t="shared" si="5"/>
        <v>1.1060000000000001</v>
      </c>
      <c r="AK46">
        <f t="shared" si="6"/>
        <v>0.74</v>
      </c>
      <c r="AL46">
        <f t="shared" si="7"/>
        <v>98.894000000000005</v>
      </c>
      <c r="AM46">
        <f t="shared" si="8"/>
        <v>4.7000000000000002E-3</v>
      </c>
      <c r="AN46">
        <f t="shared" si="13"/>
        <v>1.0059531768240335E-3</v>
      </c>
      <c r="AO46">
        <f t="shared" si="14"/>
        <v>5.7129276098862351E-4</v>
      </c>
      <c r="AP46">
        <f t="shared" si="15"/>
        <v>1.5772459378126571E-3</v>
      </c>
      <c r="AQ46">
        <f t="shared" si="16"/>
        <v>5.4691002893653877</v>
      </c>
      <c r="AS46">
        <f t="shared" si="17"/>
        <v>0</v>
      </c>
      <c r="AT46">
        <f t="shared" si="9"/>
        <v>1.3177031609751406E-2</v>
      </c>
      <c r="AU46">
        <f t="shared" si="18"/>
        <v>0.11048502639766372</v>
      </c>
      <c r="AV46">
        <f t="shared" si="10"/>
        <v>383.10682903389898</v>
      </c>
      <c r="AY46">
        <f>AY11</f>
        <v>6.0000000000000001E-3</v>
      </c>
      <c r="BB46">
        <f t="shared" si="19"/>
        <v>0.24</v>
      </c>
      <c r="BQ46" t="s">
        <v>163</v>
      </c>
      <c r="BR46" t="s">
        <v>187</v>
      </c>
      <c r="BS46">
        <v>450</v>
      </c>
      <c r="BT46">
        <v>450</v>
      </c>
      <c r="BU46">
        <v>400</v>
      </c>
      <c r="BV46">
        <v>490</v>
      </c>
      <c r="BW46">
        <v>410</v>
      </c>
      <c r="BX46">
        <v>340</v>
      </c>
      <c r="BY46">
        <v>420</v>
      </c>
      <c r="BZ46">
        <v>430</v>
      </c>
      <c r="CA46">
        <v>339</v>
      </c>
      <c r="CB46">
        <v>282</v>
      </c>
      <c r="CC46">
        <v>243</v>
      </c>
      <c r="CD46">
        <v>326</v>
      </c>
      <c r="CE46">
        <v>329</v>
      </c>
      <c r="CF46">
        <v>296</v>
      </c>
      <c r="CG46">
        <v>242</v>
      </c>
      <c r="CH46">
        <v>3</v>
      </c>
      <c r="CK46">
        <v>21</v>
      </c>
      <c r="CL46">
        <v>0.78</v>
      </c>
    </row>
    <row r="47" spans="7:90" x14ac:dyDescent="0.2">
      <c r="G47" t="s">
        <v>189</v>
      </c>
      <c r="H47" t="s">
        <v>160</v>
      </c>
      <c r="J47">
        <v>91.25</v>
      </c>
      <c r="K47">
        <v>6</v>
      </c>
      <c r="M47">
        <v>510</v>
      </c>
      <c r="O47">
        <v>0.77</v>
      </c>
      <c r="P47">
        <v>660</v>
      </c>
      <c r="Q47">
        <f t="shared" si="11"/>
        <v>0.77272727272727271</v>
      </c>
      <c r="S47">
        <v>0</v>
      </c>
      <c r="T47">
        <v>0</v>
      </c>
      <c r="U47">
        <v>0</v>
      </c>
      <c r="V47">
        <v>0</v>
      </c>
      <c r="W47">
        <f>S47*B13+T47*B14</f>
        <v>0</v>
      </c>
      <c r="X47">
        <f t="shared" si="0"/>
        <v>1</v>
      </c>
      <c r="Y47">
        <f t="shared" si="1"/>
        <v>9.4045875560999992</v>
      </c>
      <c r="Z47">
        <f t="shared" si="12"/>
        <v>1.1791452612832629</v>
      </c>
      <c r="AC47">
        <v>0.25</v>
      </c>
      <c r="AE47">
        <v>0.8</v>
      </c>
      <c r="AF47">
        <f t="shared" si="2"/>
        <v>2.0765329323868795</v>
      </c>
      <c r="AG47">
        <f t="shared" si="3"/>
        <v>0.19</v>
      </c>
      <c r="AH47">
        <f t="shared" si="4"/>
        <v>0.6784</v>
      </c>
      <c r="AI47">
        <f t="shared" si="5"/>
        <v>1.1060000000000001</v>
      </c>
      <c r="AK47">
        <f t="shared" si="6"/>
        <v>0.74</v>
      </c>
      <c r="AL47">
        <f t="shared" si="7"/>
        <v>98.894000000000005</v>
      </c>
      <c r="AM47">
        <f t="shared" si="8"/>
        <v>4.7000000000000002E-3</v>
      </c>
      <c r="AN47">
        <f t="shared" si="13"/>
        <v>2.190610222687996E-3</v>
      </c>
      <c r="AO47">
        <f t="shared" si="14"/>
        <v>1.244073572410661E-3</v>
      </c>
      <c r="AP47">
        <f t="shared" si="15"/>
        <v>3.4346837950986571E-3</v>
      </c>
      <c r="AQ47">
        <f t="shared" si="16"/>
        <v>1.8804893778165146</v>
      </c>
      <c r="AS47">
        <f t="shared" si="17"/>
        <v>0</v>
      </c>
      <c r="AT47">
        <f t="shared" si="9"/>
        <v>9.7644067315841177E-3</v>
      </c>
      <c r="AU47">
        <f t="shared" si="18"/>
        <v>0.36453027669881344</v>
      </c>
      <c r="AV47">
        <f t="shared" si="10"/>
        <v>199.58032649260036</v>
      </c>
      <c r="AY47">
        <f>AY11</f>
        <v>6.0000000000000001E-3</v>
      </c>
      <c r="BB47">
        <f t="shared" si="19"/>
        <v>0.24</v>
      </c>
      <c r="BQ47" t="s">
        <v>164</v>
      </c>
      <c r="BR47" t="s">
        <v>187</v>
      </c>
      <c r="BS47">
        <v>460</v>
      </c>
      <c r="BT47">
        <v>460</v>
      </c>
      <c r="BU47">
        <v>400</v>
      </c>
      <c r="BV47">
        <v>470</v>
      </c>
      <c r="BW47">
        <v>440</v>
      </c>
      <c r="BX47">
        <v>360</v>
      </c>
      <c r="BY47">
        <v>390</v>
      </c>
      <c r="BZ47">
        <v>400</v>
      </c>
      <c r="CA47">
        <v>377</v>
      </c>
      <c r="CB47">
        <v>326</v>
      </c>
      <c r="CC47">
        <v>260</v>
      </c>
      <c r="CD47">
        <v>421</v>
      </c>
      <c r="CE47">
        <v>350</v>
      </c>
      <c r="CF47">
        <v>354</v>
      </c>
      <c r="CG47">
        <v>261</v>
      </c>
      <c r="CH47">
        <v>4</v>
      </c>
      <c r="CK47">
        <v>22</v>
      </c>
      <c r="CL47">
        <v>0.78</v>
      </c>
    </row>
    <row r="48" spans="7:90" x14ac:dyDescent="0.2">
      <c r="G48" t="s">
        <v>199</v>
      </c>
      <c r="H48" t="s">
        <v>162</v>
      </c>
      <c r="J48">
        <v>91.25</v>
      </c>
      <c r="K48">
        <v>25</v>
      </c>
      <c r="M48">
        <v>520</v>
      </c>
      <c r="O48">
        <v>0.11</v>
      </c>
      <c r="P48">
        <v>660</v>
      </c>
      <c r="Q48">
        <f t="shared" si="11"/>
        <v>0.78787878787878785</v>
      </c>
      <c r="S48">
        <v>0</v>
      </c>
      <c r="T48">
        <v>0</v>
      </c>
      <c r="U48">
        <v>0</v>
      </c>
      <c r="V48">
        <v>0</v>
      </c>
      <c r="W48">
        <f>S48*B13+T48*B14</f>
        <v>0</v>
      </c>
      <c r="X48">
        <f t="shared" si="0"/>
        <v>1</v>
      </c>
      <c r="Y48">
        <f t="shared" si="1"/>
        <v>8.2794883080999995</v>
      </c>
      <c r="Z48">
        <f t="shared" si="12"/>
        <v>1.0245262857063089</v>
      </c>
      <c r="AC48">
        <v>7.0000000000000007E-2</v>
      </c>
      <c r="AE48">
        <v>0.55000000000000004</v>
      </c>
      <c r="AF48">
        <f t="shared" si="2"/>
        <v>3.7323933292914799</v>
      </c>
      <c r="AG48">
        <f t="shared" si="3"/>
        <v>0.19</v>
      </c>
      <c r="AH48">
        <f t="shared" si="4"/>
        <v>0.6784</v>
      </c>
      <c r="AI48">
        <f t="shared" si="5"/>
        <v>1.1060000000000001</v>
      </c>
      <c r="AK48">
        <f t="shared" si="6"/>
        <v>0.74</v>
      </c>
      <c r="AL48">
        <f t="shared" si="7"/>
        <v>98.894000000000005</v>
      </c>
      <c r="AM48">
        <f t="shared" si="8"/>
        <v>4.7000000000000002E-3</v>
      </c>
      <c r="AN48">
        <f t="shared" si="13"/>
        <v>3.9374376657923789E-3</v>
      </c>
      <c r="AO48">
        <f t="shared" si="14"/>
        <v>2.2361176316505744E-3</v>
      </c>
      <c r="AP48">
        <f t="shared" si="15"/>
        <v>6.1735552974429529E-3</v>
      </c>
      <c r="AQ48">
        <f t="shared" si="16"/>
        <v>14.083423022291736</v>
      </c>
      <c r="AS48">
        <f t="shared" si="17"/>
        <v>0</v>
      </c>
      <c r="AT48">
        <f t="shared" si="9"/>
        <v>1.378557317183868E-3</v>
      </c>
      <c r="AU48">
        <f t="shared" si="18"/>
        <v>8.9435183702784041E-2</v>
      </c>
      <c r="AV48">
        <f t="shared" si="10"/>
        <v>204.0240128219761</v>
      </c>
      <c r="AY48">
        <f>AY11</f>
        <v>6.0000000000000001E-3</v>
      </c>
      <c r="BB48">
        <f t="shared" si="19"/>
        <v>0.24</v>
      </c>
      <c r="BQ48" t="s">
        <v>160</v>
      </c>
      <c r="BR48" t="s">
        <v>188</v>
      </c>
      <c r="BS48">
        <v>380</v>
      </c>
      <c r="BT48">
        <v>380</v>
      </c>
      <c r="BU48">
        <v>420</v>
      </c>
      <c r="BV48">
        <v>480</v>
      </c>
      <c r="BW48">
        <v>510</v>
      </c>
      <c r="BX48">
        <v>480</v>
      </c>
      <c r="BY48">
        <v>370</v>
      </c>
      <c r="BZ48">
        <v>340</v>
      </c>
      <c r="CA48">
        <v>493</v>
      </c>
      <c r="CC48">
        <v>324</v>
      </c>
      <c r="CD48">
        <v>551</v>
      </c>
      <c r="CE48">
        <v>550</v>
      </c>
      <c r="CF48">
        <v>519</v>
      </c>
      <c r="CG48">
        <v>392</v>
      </c>
      <c r="CH48">
        <v>1</v>
      </c>
      <c r="CK48">
        <v>23</v>
      </c>
      <c r="CL48">
        <v>0.79</v>
      </c>
    </row>
    <row r="49" spans="1:90" x14ac:dyDescent="0.2">
      <c r="H49" t="s">
        <v>163</v>
      </c>
      <c r="J49">
        <v>91.25</v>
      </c>
      <c r="K49">
        <v>4</v>
      </c>
      <c r="M49">
        <v>410</v>
      </c>
      <c r="O49">
        <v>0.2</v>
      </c>
      <c r="P49">
        <v>660</v>
      </c>
      <c r="Q49">
        <f t="shared" si="11"/>
        <v>0.62121212121212122</v>
      </c>
      <c r="S49">
        <v>0</v>
      </c>
      <c r="T49">
        <v>0</v>
      </c>
      <c r="U49">
        <v>0</v>
      </c>
      <c r="V49">
        <v>0</v>
      </c>
      <c r="W49">
        <f>S49*B13+T49*B14</f>
        <v>0</v>
      </c>
      <c r="X49">
        <f t="shared" si="0"/>
        <v>1</v>
      </c>
      <c r="Y49">
        <f t="shared" si="1"/>
        <v>7.1414010756000028</v>
      </c>
      <c r="Z49">
        <f t="shared" si="12"/>
        <v>1.0488710073408023</v>
      </c>
      <c r="AC49">
        <v>0.1</v>
      </c>
      <c r="AE49">
        <v>0.6</v>
      </c>
      <c r="AF49">
        <f t="shared" si="2"/>
        <v>2.8908391554028818</v>
      </c>
      <c r="AG49">
        <f t="shared" si="3"/>
        <v>0.19</v>
      </c>
      <c r="AH49">
        <f t="shared" si="4"/>
        <v>0.6784</v>
      </c>
      <c r="AI49">
        <f t="shared" si="5"/>
        <v>1.1060000000000001</v>
      </c>
      <c r="AK49">
        <f t="shared" si="6"/>
        <v>0.74</v>
      </c>
      <c r="AL49">
        <f t="shared" si="7"/>
        <v>98.894000000000005</v>
      </c>
      <c r="AM49">
        <f t="shared" si="8"/>
        <v>4.7000000000000002E-3</v>
      </c>
      <c r="AN49">
        <f t="shared" si="13"/>
        <v>3.0496515163345541E-3</v>
      </c>
      <c r="AO49">
        <f t="shared" si="14"/>
        <v>1.7319333294621845E-3</v>
      </c>
      <c r="AP49">
        <f t="shared" si="15"/>
        <v>4.7815848457967384E-3</v>
      </c>
      <c r="AQ49">
        <f t="shared" si="16"/>
        <v>1.7452784687158096</v>
      </c>
      <c r="AS49">
        <f t="shared" si="17"/>
        <v>0</v>
      </c>
      <c r="AT49">
        <f t="shared" si="9"/>
        <v>3.0305669673174138E-3</v>
      </c>
      <c r="AU49">
        <f t="shared" si="18"/>
        <v>0.10962823357910904</v>
      </c>
      <c r="AV49">
        <f t="shared" si="10"/>
        <v>40.014305256374804</v>
      </c>
      <c r="AY49">
        <f>AY11</f>
        <v>6.0000000000000001E-3</v>
      </c>
      <c r="BB49">
        <f t="shared" si="19"/>
        <v>0.24</v>
      </c>
      <c r="BQ49" t="s">
        <v>162</v>
      </c>
      <c r="BR49" t="s">
        <v>188</v>
      </c>
      <c r="BS49">
        <v>420</v>
      </c>
      <c r="BT49">
        <v>420</v>
      </c>
      <c r="BU49">
        <v>420</v>
      </c>
      <c r="BV49">
        <v>460</v>
      </c>
      <c r="BW49">
        <v>520</v>
      </c>
      <c r="BX49">
        <v>470</v>
      </c>
      <c r="BY49">
        <v>400</v>
      </c>
      <c r="BZ49">
        <v>390</v>
      </c>
      <c r="CA49">
        <v>421</v>
      </c>
      <c r="CC49">
        <v>263</v>
      </c>
      <c r="CD49">
        <v>521</v>
      </c>
      <c r="CE49">
        <v>545</v>
      </c>
      <c r="CF49">
        <v>433</v>
      </c>
      <c r="CG49">
        <v>315</v>
      </c>
      <c r="CH49">
        <v>2</v>
      </c>
      <c r="CK49">
        <v>24</v>
      </c>
      <c r="CL49">
        <v>0.79</v>
      </c>
    </row>
    <row r="50" spans="1:90" x14ac:dyDescent="0.2">
      <c r="H50" t="s">
        <v>164</v>
      </c>
      <c r="J50">
        <v>91.25</v>
      </c>
      <c r="K50">
        <v>0</v>
      </c>
      <c r="M50">
        <v>440</v>
      </c>
      <c r="O50">
        <v>0.33</v>
      </c>
      <c r="P50">
        <v>660</v>
      </c>
      <c r="Q50">
        <f t="shared" si="11"/>
        <v>0.66666666666666663</v>
      </c>
      <c r="S50">
        <v>0</v>
      </c>
      <c r="T50">
        <v>0</v>
      </c>
      <c r="U50">
        <v>0</v>
      </c>
      <c r="V50">
        <v>0</v>
      </c>
      <c r="W50">
        <f>S50*B13+T50*B14</f>
        <v>0</v>
      </c>
      <c r="X50">
        <f t="shared" si="0"/>
        <v>1</v>
      </c>
      <c r="Y50">
        <f t="shared" si="1"/>
        <v>7.7461465761000019</v>
      </c>
      <c r="Z50">
        <f t="shared" si="12"/>
        <v>1.0791019412004894</v>
      </c>
      <c r="AC50">
        <v>0.21</v>
      </c>
      <c r="AE50">
        <v>0.76</v>
      </c>
      <c r="AF50">
        <f t="shared" si="2"/>
        <v>1.9954073580033607</v>
      </c>
      <c r="AG50">
        <f t="shared" si="3"/>
        <v>0.19</v>
      </c>
      <c r="AH50">
        <f t="shared" si="4"/>
        <v>0.6784</v>
      </c>
      <c r="AI50">
        <f t="shared" si="5"/>
        <v>1.1060000000000001</v>
      </c>
      <c r="AK50">
        <f t="shared" si="6"/>
        <v>0.74</v>
      </c>
      <c r="AL50">
        <f t="shared" si="7"/>
        <v>98.894000000000005</v>
      </c>
      <c r="AM50">
        <f t="shared" si="8"/>
        <v>4.7000000000000002E-3</v>
      </c>
      <c r="AN50">
        <f t="shared" si="13"/>
        <v>2.1050278994827021E-3</v>
      </c>
      <c r="AO50">
        <f t="shared" si="14"/>
        <v>1.195470354246834E-3</v>
      </c>
      <c r="AP50">
        <f t="shared" si="15"/>
        <v>3.3004982537295363E-3</v>
      </c>
      <c r="AQ50">
        <f t="shared" si="16"/>
        <v>0</v>
      </c>
      <c r="AS50">
        <f t="shared" si="17"/>
        <v>0</v>
      </c>
      <c r="AT50">
        <f t="shared" si="9"/>
        <v>4.6999697931413391E-3</v>
      </c>
      <c r="AU50">
        <f t="shared" si="18"/>
        <v>0.25387971648034802</v>
      </c>
      <c r="AV50">
        <f t="shared" si="10"/>
        <v>0</v>
      </c>
      <c r="AY50">
        <f>AY11</f>
        <v>6.0000000000000001E-3</v>
      </c>
      <c r="BB50">
        <f t="shared" si="19"/>
        <v>0.24</v>
      </c>
      <c r="BQ50" t="s">
        <v>163</v>
      </c>
      <c r="BR50" t="s">
        <v>188</v>
      </c>
      <c r="BS50">
        <v>450</v>
      </c>
      <c r="BT50">
        <v>450</v>
      </c>
      <c r="BU50">
        <v>400</v>
      </c>
      <c r="BV50">
        <v>490</v>
      </c>
      <c r="BW50">
        <v>410</v>
      </c>
      <c r="BX50">
        <v>340</v>
      </c>
      <c r="BY50">
        <v>420</v>
      </c>
      <c r="BZ50">
        <v>430</v>
      </c>
      <c r="CA50">
        <v>470</v>
      </c>
      <c r="CC50">
        <v>304</v>
      </c>
      <c r="CD50">
        <v>520</v>
      </c>
      <c r="CE50">
        <v>573</v>
      </c>
      <c r="CF50">
        <v>445</v>
      </c>
      <c r="CG50">
        <v>320</v>
      </c>
      <c r="CH50">
        <v>3</v>
      </c>
      <c r="CK50">
        <v>25</v>
      </c>
      <c r="CL50">
        <v>0.79</v>
      </c>
    </row>
    <row r="51" spans="1:90" x14ac:dyDescent="0.2">
      <c r="BQ51" t="s">
        <v>164</v>
      </c>
      <c r="BR51" t="s">
        <v>188</v>
      </c>
      <c r="BS51">
        <v>460</v>
      </c>
      <c r="BT51">
        <v>460</v>
      </c>
      <c r="BU51">
        <v>400</v>
      </c>
      <c r="BV51">
        <v>470</v>
      </c>
      <c r="BW51">
        <v>440</v>
      </c>
      <c r="BX51">
        <v>360</v>
      </c>
      <c r="BY51">
        <v>390</v>
      </c>
      <c r="BZ51">
        <v>400</v>
      </c>
      <c r="CA51">
        <v>498</v>
      </c>
      <c r="CC51">
        <v>337</v>
      </c>
      <c r="CD51">
        <v>512</v>
      </c>
      <c r="CE51">
        <v>567</v>
      </c>
      <c r="CF51">
        <v>500</v>
      </c>
      <c r="CG51">
        <v>342</v>
      </c>
      <c r="CH51">
        <v>4</v>
      </c>
      <c r="CK51">
        <v>26</v>
      </c>
      <c r="CL51">
        <v>0.79</v>
      </c>
    </row>
    <row r="52" spans="1:90" x14ac:dyDescent="0.2">
      <c r="BQ52" t="s">
        <v>160</v>
      </c>
      <c r="BR52" t="s">
        <v>186</v>
      </c>
      <c r="BS52">
        <v>75</v>
      </c>
      <c r="BT52">
        <v>75</v>
      </c>
      <c r="BU52">
        <v>230</v>
      </c>
      <c r="BV52">
        <v>90</v>
      </c>
      <c r="BW52">
        <v>240</v>
      </c>
      <c r="BX52">
        <v>300</v>
      </c>
      <c r="BY52">
        <v>80</v>
      </c>
      <c r="BZ52">
        <v>210</v>
      </c>
      <c r="CA52">
        <v>223</v>
      </c>
      <c r="CB52">
        <v>216</v>
      </c>
      <c r="CC52">
        <v>231</v>
      </c>
      <c r="CD52">
        <v>234</v>
      </c>
      <c r="CE52">
        <v>242</v>
      </c>
      <c r="CF52">
        <v>193</v>
      </c>
      <c r="CG52">
        <v>170</v>
      </c>
      <c r="CH52">
        <v>1</v>
      </c>
      <c r="CK52">
        <v>27</v>
      </c>
      <c r="CL52">
        <v>0.8</v>
      </c>
    </row>
    <row r="53" spans="1:90" x14ac:dyDescent="0.2">
      <c r="BQ53" t="s">
        <v>162</v>
      </c>
      <c r="BR53" t="s">
        <v>186</v>
      </c>
      <c r="BS53">
        <v>160</v>
      </c>
      <c r="BT53">
        <v>160</v>
      </c>
      <c r="BU53">
        <v>290</v>
      </c>
      <c r="BV53">
        <v>160</v>
      </c>
      <c r="BW53">
        <v>270</v>
      </c>
      <c r="BX53">
        <v>340</v>
      </c>
      <c r="BY53">
        <v>150</v>
      </c>
      <c r="BZ53">
        <v>100</v>
      </c>
      <c r="CA53">
        <v>108</v>
      </c>
      <c r="CB53">
        <v>111</v>
      </c>
      <c r="CC53">
        <v>102</v>
      </c>
      <c r="CD53">
        <v>111</v>
      </c>
      <c r="CE53">
        <v>120</v>
      </c>
      <c r="CF53">
        <v>115</v>
      </c>
      <c r="CG53">
        <v>133</v>
      </c>
      <c r="CH53">
        <v>2</v>
      </c>
      <c r="CK53" t="s">
        <v>279</v>
      </c>
      <c r="CL53">
        <v>0.8</v>
      </c>
    </row>
    <row r="54" spans="1:90" x14ac:dyDescent="0.2">
      <c r="BQ54" t="s">
        <v>163</v>
      </c>
      <c r="BR54" t="s">
        <v>186</v>
      </c>
      <c r="BS54">
        <v>220</v>
      </c>
      <c r="BT54">
        <v>220</v>
      </c>
      <c r="BU54">
        <v>75</v>
      </c>
      <c r="BV54">
        <v>215</v>
      </c>
      <c r="BW54">
        <v>95</v>
      </c>
      <c r="BX54">
        <v>100</v>
      </c>
      <c r="BY54">
        <v>230</v>
      </c>
      <c r="BZ54">
        <v>160</v>
      </c>
      <c r="CA54">
        <v>176</v>
      </c>
      <c r="CB54">
        <v>169</v>
      </c>
      <c r="CC54">
        <v>175</v>
      </c>
      <c r="CD54">
        <v>188</v>
      </c>
      <c r="CE54">
        <v>238</v>
      </c>
      <c r="CF54">
        <v>141</v>
      </c>
      <c r="CG54">
        <v>146</v>
      </c>
      <c r="CH54">
        <v>3</v>
      </c>
    </row>
    <row r="55" spans="1:90" x14ac:dyDescent="0.2">
      <c r="BQ55" t="s">
        <v>164</v>
      </c>
      <c r="BR55" t="s">
        <v>186</v>
      </c>
      <c r="BS55">
        <v>260</v>
      </c>
      <c r="BT55">
        <v>260</v>
      </c>
      <c r="BU55">
        <v>150</v>
      </c>
      <c r="BV55">
        <v>230</v>
      </c>
      <c r="BW55">
        <v>140</v>
      </c>
      <c r="BX55">
        <v>170</v>
      </c>
      <c r="BY55">
        <v>250</v>
      </c>
      <c r="BZ55">
        <v>190</v>
      </c>
      <c r="CA55">
        <v>222</v>
      </c>
      <c r="CB55">
        <v>214</v>
      </c>
      <c r="CC55">
        <v>208</v>
      </c>
      <c r="CD55">
        <v>209</v>
      </c>
      <c r="CE55">
        <v>260</v>
      </c>
      <c r="CF55">
        <v>189</v>
      </c>
      <c r="CG55">
        <v>157</v>
      </c>
      <c r="CH55">
        <v>4</v>
      </c>
    </row>
    <row r="56" spans="1:90" x14ac:dyDescent="0.2">
      <c r="BQ56" t="s">
        <v>160</v>
      </c>
      <c r="BR56" t="s">
        <v>189</v>
      </c>
      <c r="BS56">
        <v>380</v>
      </c>
      <c r="BT56">
        <v>380</v>
      </c>
      <c r="BU56">
        <v>420</v>
      </c>
      <c r="BV56">
        <v>480</v>
      </c>
      <c r="BW56">
        <v>510</v>
      </c>
      <c r="BX56">
        <v>480</v>
      </c>
      <c r="BY56">
        <v>370</v>
      </c>
      <c r="BZ56">
        <v>340</v>
      </c>
      <c r="CA56">
        <v>585</v>
      </c>
      <c r="CD56">
        <v>660</v>
      </c>
      <c r="CE56">
        <v>620</v>
      </c>
      <c r="CF56">
        <v>565</v>
      </c>
      <c r="CG56">
        <v>531</v>
      </c>
      <c r="CH56">
        <v>1</v>
      </c>
    </row>
    <row r="57" spans="1:90" x14ac:dyDescent="0.2">
      <c r="BQ57" t="s">
        <v>162</v>
      </c>
      <c r="BR57" t="s">
        <v>189</v>
      </c>
      <c r="BS57">
        <v>420</v>
      </c>
      <c r="BT57">
        <v>420</v>
      </c>
      <c r="BU57">
        <v>420</v>
      </c>
      <c r="BV57">
        <v>460</v>
      </c>
      <c r="BW57">
        <v>520</v>
      </c>
      <c r="BX57">
        <v>470</v>
      </c>
      <c r="BY57">
        <v>400</v>
      </c>
      <c r="BZ57">
        <v>390</v>
      </c>
      <c r="CA57">
        <v>543</v>
      </c>
      <c r="CD57">
        <v>547</v>
      </c>
      <c r="CE57">
        <v>553</v>
      </c>
      <c r="CF57">
        <v>556</v>
      </c>
      <c r="CG57">
        <v>445</v>
      </c>
      <c r="CH57">
        <v>2</v>
      </c>
    </row>
    <row r="58" spans="1:90" x14ac:dyDescent="0.2">
      <c r="BQ58" t="s">
        <v>163</v>
      </c>
      <c r="BR58" t="s">
        <v>189</v>
      </c>
      <c r="BS58">
        <v>450</v>
      </c>
      <c r="BT58">
        <v>450</v>
      </c>
      <c r="BU58">
        <v>400</v>
      </c>
      <c r="BV58">
        <v>490</v>
      </c>
      <c r="BW58">
        <v>410</v>
      </c>
      <c r="BX58">
        <v>340</v>
      </c>
      <c r="BY58">
        <v>420</v>
      </c>
      <c r="BZ58">
        <v>430</v>
      </c>
      <c r="CA58">
        <v>580</v>
      </c>
      <c r="CD58">
        <v>582</v>
      </c>
      <c r="CE58">
        <v>620</v>
      </c>
      <c r="CF58">
        <v>593</v>
      </c>
      <c r="CG58">
        <v>471</v>
      </c>
      <c r="CH58">
        <v>3</v>
      </c>
    </row>
    <row r="59" spans="1:90" x14ac:dyDescent="0.2">
      <c r="BQ59" t="s">
        <v>164</v>
      </c>
      <c r="BR59" t="s">
        <v>189</v>
      </c>
      <c r="BS59">
        <v>460</v>
      </c>
      <c r="BT59">
        <v>460</v>
      </c>
      <c r="BU59">
        <v>400</v>
      </c>
      <c r="BV59">
        <v>470</v>
      </c>
      <c r="BW59">
        <v>440</v>
      </c>
      <c r="BX59">
        <v>360</v>
      </c>
      <c r="BY59">
        <v>390</v>
      </c>
      <c r="BZ59">
        <v>400</v>
      </c>
      <c r="CA59">
        <v>590</v>
      </c>
      <c r="CD59">
        <v>605</v>
      </c>
      <c r="CE59">
        <v>620</v>
      </c>
      <c r="CF59">
        <v>553</v>
      </c>
      <c r="CG59">
        <v>484</v>
      </c>
      <c r="CH59">
        <v>4</v>
      </c>
    </row>
    <row r="61" spans="1:90" x14ac:dyDescent="0.2">
      <c r="A61" t="s">
        <v>154</v>
      </c>
      <c r="B61" t="s">
        <v>283</v>
      </c>
      <c r="C61" t="s">
        <v>156</v>
      </c>
      <c r="D61" t="s">
        <v>156</v>
      </c>
      <c r="E61" t="s">
        <v>156</v>
      </c>
      <c r="F61" t="s">
        <v>161</v>
      </c>
      <c r="G61" t="s">
        <v>159</v>
      </c>
      <c r="H61" t="s">
        <v>160</v>
      </c>
      <c r="J61">
        <v>91.25</v>
      </c>
      <c r="K61">
        <v>41</v>
      </c>
      <c r="M61" cm="1">
        <f t="array" ref="M61:M100">_xlfn.DROP(_xlfn.XLOOKUP($D61,TableW[[#Headers],[ACT]:[QLD - Moderate/Low]],TableW[[#All],[ACT]:[QLD - Moderate/Low]]),1)</f>
        <v>80</v>
      </c>
      <c r="O61" cm="1">
        <f t="array" ref="O61:O100">_xlfn.DROP(_xlfn.XLOOKUP($D61,TableLWG[[#Headers],[ACT]:[QLD - Low]],TableLWG[[#All],[ACT]:[QLD - Low]]),1)</f>
        <v>0.5</v>
      </c>
      <c r="P61" cm="1">
        <f t="array" ref="P61:P100">_xlfn.DROP(_xlfn.XLOOKUP($E61,TableSRW[[#Headers],[ACT]:[WA]],TableSRW[[#All],[ACT]:[WA]]),1)</f>
        <v>700</v>
      </c>
      <c r="Q61">
        <f>M61 / P61</f>
        <v>0.11428571428571428</v>
      </c>
      <c r="S61">
        <v>0</v>
      </c>
      <c r="T61">
        <v>0</v>
      </c>
      <c r="U61">
        <f>30/K61</f>
        <v>0.73170731707317072</v>
      </c>
      <c r="V61">
        <v>0</v>
      </c>
      <c r="W61">
        <f>S61*B63+T61*B64</f>
        <v>0</v>
      </c>
      <c r="X61">
        <f t="shared" ref="X61:X100" si="20">(S61 * $BX$3 +T61* $BX$4) + (1 -S61 -T61 )</f>
        <v>1</v>
      </c>
      <c r="Y61">
        <f t="shared" ref="Y61:Y100" si="21">(1.185 + 0.00454 * M61- 0.0000026 * M61 ^2 + 0.315 * O61)^2 * X61</f>
        <v>2.8529236835999998</v>
      </c>
      <c r="Z61">
        <f>Y61 / ((1.185 + 0.00454 * M61 - 0.0000026 * M61 ^ 2) ^ 2 * X61)</f>
        <v>1.2162479569787423</v>
      </c>
      <c r="AC61" cm="1">
        <f t="array" ref="AC61:AC100">_xlfn.DROP(_xlfn.XLOOKUP($C61,TableCP[[#Headers],[ACT]:[WA - Kimberley]],TableCP[[#All],[ACT]:[WA - Kimberley]]),1)</f>
        <v>7.0000000000000007E-2</v>
      </c>
      <c r="AE61" cm="1">
        <f t="array" ref="AE61:AE100">_xlfn.DROP(_xlfn.XLOOKUP($C61,TableDMD[[#Headers],[ACT]:[WA - Kimberley]],TableDMD[[#All],[ACT]:[WA - Kimberley]]),1)</f>
        <v>0.55000000000000004</v>
      </c>
      <c r="AF61">
        <f t="shared" ref="AF61:AF100" si="22">(Y61 * (1 - AE61) + (0.04 * Y61)) * ( 1 - $CJ$3 )</f>
        <v>1.2860979965668797</v>
      </c>
      <c r="AG61">
        <f t="shared" ref="AG61:AG100" si="23">$CJ$4</f>
        <v>0.19</v>
      </c>
      <c r="AH61">
        <f t="shared" ref="AH61:AH100" si="24">$CJ$5</f>
        <v>0.6784</v>
      </c>
      <c r="AI61">
        <f>IF(F61="yes",0,VLOOKUP(C61,$BQ$211:$BS$225,3,FALSE))</f>
        <v>0</v>
      </c>
      <c r="AK61">
        <f>VLOOKUP(C61,$BQ$211:$BU$225,4,FALSE)</f>
        <v>0.71</v>
      </c>
      <c r="AL61">
        <f>IF(F61="yes",100,VLOOKUP(C61,$BQ$211:$BS$225,2,FALSE))</f>
        <v>100</v>
      </c>
      <c r="AM61">
        <f>VLOOKUP(C61,$BQ$211:$BU$225,5,FALSE)</f>
        <v>4.7000000000000002E-3</v>
      </c>
      <c r="AN61">
        <f>AF61 * AG61 * AI61/100 * AK61 * AH61</f>
        <v>0</v>
      </c>
      <c r="AO61">
        <f>AF61 * AG61 * AL61/100 * AM61 * AH61</f>
        <v>7.7913257061777729E-4</v>
      </c>
      <c r="AP61">
        <f>AN61+AO61</f>
        <v>7.7913257061777729E-4</v>
      </c>
      <c r="AQ61">
        <f>K61*AP61*J61</f>
        <v>2.9149297298237591</v>
      </c>
      <c r="AR61">
        <f>SUM(AQ61:AQ100)*10^-3</f>
        <v>0.90256150310394756</v>
      </c>
      <c r="AS61">
        <f>U61*$B$63+V61*$B$64</f>
        <v>4.3902439024390247</v>
      </c>
      <c r="AT61">
        <f t="shared" ref="AT61:AT100" si="25" xml:space="preserve"> (0.032*W61/6.38) + (((0.212 - 0.008*(Z61-2) - (0.14 - 0.008*(Z61 - 2))/(1+EXP(-6*(Q61-0.4))))*O61*0.92)/6.25)</f>
        <v>1.4421768711032507E-2</v>
      </c>
      <c r="AU61">
        <f>MAX((Y61*AC61/6.25)+(0.032*AS61/6.38)-AT61-((1.1*(10^-4)*(M61^0.75))/6.25), 0)</f>
        <v>3.9080215483130926E-2</v>
      </c>
      <c r="AV61">
        <f t="shared" ref="AV61:AV100" si="26">K61*AU61*J61</f>
        <v>146.20885617626357</v>
      </c>
      <c r="AW61">
        <f>SUM(AV61:AV100)</f>
        <v>49802.355067325734</v>
      </c>
      <c r="AX61" t="s">
        <v>260</v>
      </c>
      <c r="AY61">
        <f>VLOOKUP(AX61, $CK$18:$CM$27, 2, FALSE)</f>
        <v>2E-3</v>
      </c>
      <c r="AZ61">
        <f>$CJ$6</f>
        <v>0.21</v>
      </c>
      <c r="BA61">
        <f>AW61*AZ61</f>
        <v>10458.494564138404</v>
      </c>
      <c r="BB61">
        <f>$CJ$7</f>
        <v>0.24</v>
      </c>
      <c r="BC61" t="s">
        <v>161</v>
      </c>
      <c r="BD61">
        <f>IF(BC61="yes",1,0)</f>
        <v>1</v>
      </c>
      <c r="BE61">
        <f>AW61 * BD61 * BB61</f>
        <v>11952.565216158177</v>
      </c>
      <c r="BF61">
        <f>$CJ$8</f>
        <v>1.57</v>
      </c>
      <c r="BG61" t="s">
        <v>184</v>
      </c>
      <c r="BH61">
        <f>VLOOKUP(BG61, $BQ$274:$BR$286, 2, FALSE)</f>
        <v>2.8999999999999998E-3</v>
      </c>
      <c r="BI61">
        <f>$CJ$9</f>
        <v>1.0999999999999999E-2</v>
      </c>
      <c r="BJ61" s="7">
        <f>(AW61 * AY61 * BF61) * 10^-3</f>
        <v>0.15637939491140282</v>
      </c>
      <c r="BK61" s="7">
        <f>BA61 * BH61 * BF61 * 10^-3</f>
        <v>4.7617525750522152E-2</v>
      </c>
      <c r="BL61" s="7">
        <f>BE61 * BI61 * BF61 * 10^-3</f>
        <v>0.20642080128305171</v>
      </c>
    </row>
    <row r="62" spans="1:90" x14ac:dyDescent="0.2">
      <c r="G62">
        <v>1</v>
      </c>
      <c r="H62" t="s">
        <v>162</v>
      </c>
      <c r="J62">
        <v>91.25</v>
      </c>
      <c r="K62">
        <v>102</v>
      </c>
      <c r="M62">
        <v>170</v>
      </c>
      <c r="O62">
        <v>1</v>
      </c>
      <c r="P62">
        <v>700</v>
      </c>
      <c r="Q62">
        <f t="shared" ref="Q62:Q100" si="27">M62 / P62</f>
        <v>0.24285714285714285</v>
      </c>
      <c r="S62">
        <v>0</v>
      </c>
      <c r="T62">
        <v>0</v>
      </c>
      <c r="U62">
        <f>70/K62</f>
        <v>0.68627450980392157</v>
      </c>
      <c r="V62">
        <f>30/K62</f>
        <v>0.29411764705882354</v>
      </c>
      <c r="W62">
        <f>S62*B63+T62*B64</f>
        <v>0</v>
      </c>
      <c r="X62">
        <f t="shared" si="20"/>
        <v>1</v>
      </c>
      <c r="Y62">
        <f t="shared" si="21"/>
        <v>4.8253151556000002</v>
      </c>
      <c r="Z62">
        <f t="shared" ref="Z62:Z100" si="28">Y62 / ((1.185 + 0.00454 * M62 - 0.0000026 * M62 ^ 2) ^ 2 * X62)</f>
        <v>1.3628353121567047</v>
      </c>
      <c r="AC62">
        <v>0.13</v>
      </c>
      <c r="AE62">
        <v>0.65</v>
      </c>
      <c r="AF62">
        <f t="shared" si="22"/>
        <v>1.7313230778292801</v>
      </c>
      <c r="AG62">
        <f t="shared" si="23"/>
        <v>0.19</v>
      </c>
      <c r="AH62">
        <f t="shared" si="24"/>
        <v>0.6784</v>
      </c>
      <c r="AI62">
        <f>AI61</f>
        <v>0</v>
      </c>
      <c r="AK62">
        <f>AK61</f>
        <v>0.71</v>
      </c>
      <c r="AL62">
        <f>AL61</f>
        <v>100</v>
      </c>
      <c r="AM62">
        <f>AM61</f>
        <v>4.7000000000000002E-3</v>
      </c>
      <c r="AN62">
        <f t="shared" ref="AN62:AN100" si="29">AF62 * AG62 * AI62/100 * AK62 * AH62</f>
        <v>0</v>
      </c>
      <c r="AO62">
        <f t="shared" ref="AO62:AO100" si="30">AF62 * AG62 * AL62/100 * AM62 * AH62</f>
        <v>1.0488549113674497E-3</v>
      </c>
      <c r="AP62">
        <f t="shared" ref="AP62:AP100" si="31">AN62+AO62</f>
        <v>1.0488549113674497E-3</v>
      </c>
      <c r="AQ62">
        <f t="shared" ref="AQ62:AQ100" si="32">K62*AP62*J62</f>
        <v>9.7622170875525374</v>
      </c>
      <c r="AS62">
        <f t="shared" ref="AS62:AS100" si="33">U62*$B$63+V62*$B$64</f>
        <v>5.2941176470588234</v>
      </c>
      <c r="AT62">
        <f t="shared" si="25"/>
        <v>2.5969483089068355E-2</v>
      </c>
      <c r="AU62">
        <f t="shared" ref="AU62:AU100" si="34">MAX((Y62*AC62/6.25)+(0.032*AS62/6.38)-AT62-((1.1*(10^-4)*(M62^0.75))/6.25), 0)</f>
        <v>0.10012203183121059</v>
      </c>
      <c r="AV62">
        <f t="shared" si="26"/>
        <v>931.8858112689926</v>
      </c>
      <c r="AY62">
        <f>AY61</f>
        <v>2E-3</v>
      </c>
      <c r="BB62">
        <f t="shared" ref="BB62:BB100" si="35">$CJ$7</f>
        <v>0.24</v>
      </c>
    </row>
    <row r="63" spans="1:90" x14ac:dyDescent="0.2">
      <c r="A63" t="s">
        <v>222</v>
      </c>
      <c r="B63">
        <f>IF(B61="Hereford or Shorthorn",$BT$3,$BT$4)</f>
        <v>6</v>
      </c>
      <c r="H63" t="s">
        <v>163</v>
      </c>
      <c r="J63">
        <v>91.25</v>
      </c>
      <c r="K63">
        <v>99</v>
      </c>
      <c r="M63">
        <v>240</v>
      </c>
      <c r="O63">
        <v>0.8</v>
      </c>
      <c r="P63">
        <v>700</v>
      </c>
      <c r="Q63">
        <f t="shared" si="27"/>
        <v>0.34285714285714286</v>
      </c>
      <c r="S63">
        <v>0</v>
      </c>
      <c r="T63">
        <v>0</v>
      </c>
      <c r="U63">
        <v>0</v>
      </c>
      <c r="V63">
        <f>70/M63</f>
        <v>0.29166666666666669</v>
      </c>
      <c r="W63">
        <f>S63*B63+T63*B64</f>
        <v>0</v>
      </c>
      <c r="X63">
        <f t="shared" si="20"/>
        <v>1</v>
      </c>
      <c r="Y63">
        <f t="shared" si="21"/>
        <v>5.6493683855999981</v>
      </c>
      <c r="Z63">
        <f t="shared" si="28"/>
        <v>1.2512596174632808</v>
      </c>
      <c r="AC63">
        <v>0.1</v>
      </c>
      <c r="AE63">
        <v>0.6</v>
      </c>
      <c r="AF63">
        <f t="shared" si="22"/>
        <v>2.2868643224908793</v>
      </c>
      <c r="AG63">
        <f t="shared" si="23"/>
        <v>0.19</v>
      </c>
      <c r="AH63">
        <f t="shared" si="24"/>
        <v>0.6784</v>
      </c>
      <c r="AI63">
        <f>AI61</f>
        <v>0</v>
      </c>
      <c r="AK63">
        <f>AK61</f>
        <v>0.71</v>
      </c>
      <c r="AL63">
        <f>AL61</f>
        <v>100</v>
      </c>
      <c r="AM63">
        <f>AM61</f>
        <v>4.7000000000000002E-3</v>
      </c>
      <c r="AN63">
        <f t="shared" si="29"/>
        <v>0</v>
      </c>
      <c r="AO63">
        <f t="shared" si="30"/>
        <v>1.3854080194453868E-3</v>
      </c>
      <c r="AP63">
        <f t="shared" si="31"/>
        <v>1.3854080194453868E-3</v>
      </c>
      <c r="AQ63">
        <f t="shared" si="32"/>
        <v>12.515429695664762</v>
      </c>
      <c r="AS63">
        <f t="shared" si="33"/>
        <v>1.1666666666666667</v>
      </c>
      <c r="AT63">
        <f t="shared" si="25"/>
        <v>1.8533919857877126E-2</v>
      </c>
      <c r="AU63">
        <f t="shared" si="34"/>
        <v>7.6634417592343407E-2</v>
      </c>
      <c r="AV63">
        <f t="shared" si="26"/>
        <v>692.29616992483227</v>
      </c>
      <c r="AY63">
        <f>AY61</f>
        <v>2E-3</v>
      </c>
      <c r="BB63">
        <f t="shared" si="35"/>
        <v>0.24</v>
      </c>
    </row>
    <row r="64" spans="1:90" x14ac:dyDescent="0.2">
      <c r="A64" t="s">
        <v>223</v>
      </c>
      <c r="B64">
        <f>IF(B61="Hereford or Shorthorn",$BU$3,$BU$4)</f>
        <v>4</v>
      </c>
      <c r="H64" t="s">
        <v>164</v>
      </c>
      <c r="J64">
        <v>91.25</v>
      </c>
      <c r="K64">
        <v>54</v>
      </c>
      <c r="M64">
        <v>280</v>
      </c>
      <c r="O64">
        <v>0.4</v>
      </c>
      <c r="P64">
        <v>700</v>
      </c>
      <c r="Q64">
        <f t="shared" si="27"/>
        <v>0.4</v>
      </c>
      <c r="S64">
        <v>0</v>
      </c>
      <c r="T64">
        <v>0</v>
      </c>
      <c r="U64">
        <v>0</v>
      </c>
      <c r="V64">
        <v>0</v>
      </c>
      <c r="W64">
        <f>S64*B63+T64*B64</f>
        <v>0</v>
      </c>
      <c r="X64">
        <f t="shared" si="20"/>
        <v>1</v>
      </c>
      <c r="Y64">
        <f t="shared" si="21"/>
        <v>5.6565962895999995</v>
      </c>
      <c r="Z64">
        <f t="shared" si="28"/>
        <v>1.1150120792389542</v>
      </c>
      <c r="AC64">
        <v>0.06</v>
      </c>
      <c r="AE64">
        <v>0.5</v>
      </c>
      <c r="AF64">
        <f t="shared" si="22"/>
        <v>2.81019703667328</v>
      </c>
      <c r="AG64">
        <f t="shared" si="23"/>
        <v>0.19</v>
      </c>
      <c r="AH64">
        <f t="shared" si="24"/>
        <v>0.6784</v>
      </c>
      <c r="AI64">
        <f>AI61</f>
        <v>0</v>
      </c>
      <c r="AK64">
        <f>AK61</f>
        <v>0.71</v>
      </c>
      <c r="AL64">
        <f>AL61</f>
        <v>100</v>
      </c>
      <c r="AM64">
        <f>AM61</f>
        <v>4.7000000000000002E-3</v>
      </c>
      <c r="AN64">
        <f t="shared" si="29"/>
        <v>0</v>
      </c>
      <c r="AO64">
        <f t="shared" si="30"/>
        <v>1.7024488390234836E-3</v>
      </c>
      <c r="AP64">
        <f t="shared" si="31"/>
        <v>1.7024488390234836E-3</v>
      </c>
      <c r="AQ64">
        <f t="shared" si="32"/>
        <v>8.388816654288215</v>
      </c>
      <c r="AS64">
        <f t="shared" si="33"/>
        <v>0</v>
      </c>
      <c r="AT64">
        <f t="shared" si="25"/>
        <v>8.5693923550976409E-3</v>
      </c>
      <c r="AU64">
        <f t="shared" si="34"/>
        <v>4.4529225697782754E-2</v>
      </c>
      <c r="AV64">
        <f t="shared" si="26"/>
        <v>219.41775962582452</v>
      </c>
      <c r="AY64">
        <f>AY61</f>
        <v>2E-3</v>
      </c>
      <c r="BB64">
        <f t="shared" si="35"/>
        <v>0.24</v>
      </c>
      <c r="BQ64" t="s">
        <v>214</v>
      </c>
      <c r="BR64" t="s">
        <v>215</v>
      </c>
    </row>
    <row r="65" spans="1:86" x14ac:dyDescent="0.2">
      <c r="G65" t="s">
        <v>165</v>
      </c>
      <c r="H65" t="s">
        <v>160</v>
      </c>
      <c r="J65">
        <v>91.25</v>
      </c>
      <c r="K65">
        <v>45</v>
      </c>
      <c r="M65">
        <v>480</v>
      </c>
      <c r="O65">
        <v>0.2</v>
      </c>
      <c r="P65">
        <v>700</v>
      </c>
      <c r="Q65">
        <f t="shared" si="27"/>
        <v>0.68571428571428572</v>
      </c>
      <c r="S65">
        <v>0</v>
      </c>
      <c r="T65">
        <v>0</v>
      </c>
      <c r="U65">
        <v>0</v>
      </c>
      <c r="V65">
        <v>0</v>
      </c>
      <c r="W65">
        <f>S65*B63+T65*B64</f>
        <v>0</v>
      </c>
      <c r="X65">
        <f t="shared" si="20"/>
        <v>1</v>
      </c>
      <c r="Y65">
        <f t="shared" si="21"/>
        <v>7.9984889855999999</v>
      </c>
      <c r="Z65">
        <f t="shared" si="28"/>
        <v>1.0460860709612354</v>
      </c>
      <c r="AC65">
        <v>7.0000000000000007E-2</v>
      </c>
      <c r="AE65">
        <v>0.55000000000000004</v>
      </c>
      <c r="AF65">
        <f t="shared" si="22"/>
        <v>3.6057188347084801</v>
      </c>
      <c r="AG65">
        <f t="shared" si="23"/>
        <v>0.19</v>
      </c>
      <c r="AH65">
        <f t="shared" si="24"/>
        <v>0.6784</v>
      </c>
      <c r="AI65">
        <f>AI61</f>
        <v>0</v>
      </c>
      <c r="AK65">
        <f>AK61</f>
        <v>0.71</v>
      </c>
      <c r="AL65">
        <f>AL61</f>
        <v>100</v>
      </c>
      <c r="AM65">
        <f>AM61</f>
        <v>4.7000000000000002E-3</v>
      </c>
      <c r="AN65">
        <f t="shared" si="29"/>
        <v>0</v>
      </c>
      <c r="AO65">
        <f t="shared" si="30"/>
        <v>2.184384854117346E-3</v>
      </c>
      <c r="AP65">
        <f t="shared" si="31"/>
        <v>2.184384854117346E-3</v>
      </c>
      <c r="AQ65">
        <f t="shared" si="32"/>
        <v>8.9696303072193526</v>
      </c>
      <c r="AS65">
        <f t="shared" si="33"/>
        <v>0</v>
      </c>
      <c r="AT65">
        <f t="shared" si="25"/>
        <v>2.7829578220966199E-3</v>
      </c>
      <c r="AU65">
        <f t="shared" si="34"/>
        <v>8.4995258501605692E-2</v>
      </c>
      <c r="AV65">
        <f t="shared" si="26"/>
        <v>349.01178022221836</v>
      </c>
      <c r="AY65">
        <f>AY61</f>
        <v>2E-3</v>
      </c>
      <c r="BB65">
        <f t="shared" si="35"/>
        <v>0.24</v>
      </c>
      <c r="BQ65" t="s">
        <v>168</v>
      </c>
      <c r="BR65" t="s">
        <v>200</v>
      </c>
      <c r="BS65" t="s">
        <v>156</v>
      </c>
      <c r="BT65" t="s">
        <v>181</v>
      </c>
      <c r="BU65" t="s">
        <v>171</v>
      </c>
      <c r="BV65" t="s">
        <v>172</v>
      </c>
      <c r="BW65" t="s">
        <v>173</v>
      </c>
      <c r="BX65" t="s">
        <v>201</v>
      </c>
      <c r="BY65" t="s">
        <v>202</v>
      </c>
      <c r="BZ65" t="s">
        <v>203</v>
      </c>
      <c r="CA65" t="s">
        <v>204</v>
      </c>
      <c r="CB65" t="s">
        <v>205</v>
      </c>
      <c r="CC65" t="s">
        <v>206</v>
      </c>
      <c r="CD65" t="s">
        <v>207</v>
      </c>
      <c r="CE65" t="s">
        <v>208</v>
      </c>
      <c r="CF65" t="s">
        <v>209</v>
      </c>
      <c r="CG65" t="s">
        <v>210</v>
      </c>
      <c r="CH65" t="s">
        <v>211</v>
      </c>
    </row>
    <row r="66" spans="1:86" x14ac:dyDescent="0.2">
      <c r="A66" t="s">
        <v>167</v>
      </c>
      <c r="G66">
        <v>2</v>
      </c>
      <c r="H66" t="s">
        <v>162</v>
      </c>
      <c r="J66">
        <v>91.25</v>
      </c>
      <c r="K66">
        <v>96</v>
      </c>
      <c r="M66">
        <v>520</v>
      </c>
      <c r="O66">
        <v>0.4</v>
      </c>
      <c r="P66">
        <v>700</v>
      </c>
      <c r="Q66">
        <f t="shared" si="27"/>
        <v>0.74285714285714288</v>
      </c>
      <c r="S66">
        <v>0</v>
      </c>
      <c r="T66">
        <v>0</v>
      </c>
      <c r="U66">
        <v>0</v>
      </c>
      <c r="V66">
        <v>0</v>
      </c>
      <c r="W66">
        <f>S66*B63+T66*B64</f>
        <v>0</v>
      </c>
      <c r="X66">
        <f t="shared" si="20"/>
        <v>1</v>
      </c>
      <c r="Y66">
        <f t="shared" si="21"/>
        <v>8.8135359375999975</v>
      </c>
      <c r="Z66">
        <f t="shared" si="28"/>
        <v>1.0906107843952688</v>
      </c>
      <c r="AC66">
        <v>0.13</v>
      </c>
      <c r="AE66">
        <v>0.65</v>
      </c>
      <c r="AF66">
        <f t="shared" si="22"/>
        <v>3.1622966944108795</v>
      </c>
      <c r="AG66">
        <f t="shared" si="23"/>
        <v>0.19</v>
      </c>
      <c r="AH66">
        <f t="shared" si="24"/>
        <v>0.6784</v>
      </c>
      <c r="AI66">
        <f>AI61</f>
        <v>0</v>
      </c>
      <c r="AK66">
        <f>AK61</f>
        <v>0.71</v>
      </c>
      <c r="AL66">
        <f>AL61</f>
        <v>100</v>
      </c>
      <c r="AM66">
        <f>AM61</f>
        <v>4.7000000000000002E-3</v>
      </c>
      <c r="AN66">
        <f t="shared" si="29"/>
        <v>0</v>
      </c>
      <c r="AO66">
        <f t="shared" si="30"/>
        <v>1.9157547551970884E-3</v>
      </c>
      <c r="AP66">
        <f t="shared" si="31"/>
        <v>1.9157547551970884E-3</v>
      </c>
      <c r="AQ66">
        <f t="shared" si="32"/>
        <v>16.782011655526496</v>
      </c>
      <c r="AS66">
        <f t="shared" si="33"/>
        <v>0</v>
      </c>
      <c r="AT66">
        <f t="shared" si="25"/>
        <v>5.2221304888844331E-3</v>
      </c>
      <c r="AU66">
        <f t="shared" si="34"/>
        <v>0.17618288898244339</v>
      </c>
      <c r="AV66">
        <f t="shared" si="26"/>
        <v>1543.362107486204</v>
      </c>
      <c r="AY66">
        <f>AY61</f>
        <v>2E-3</v>
      </c>
      <c r="BB66">
        <f t="shared" si="35"/>
        <v>0.24</v>
      </c>
      <c r="BQ66" t="s">
        <v>160</v>
      </c>
      <c r="BR66" t="s">
        <v>159</v>
      </c>
      <c r="BS66">
        <v>0.5</v>
      </c>
      <c r="BT66">
        <v>0.5</v>
      </c>
      <c r="BU66">
        <v>0.99</v>
      </c>
      <c r="BV66">
        <v>1</v>
      </c>
      <c r="BW66">
        <v>1.1000000000000001</v>
      </c>
      <c r="BX66">
        <v>1.64</v>
      </c>
      <c r="BY66">
        <v>0.7</v>
      </c>
      <c r="BZ66">
        <v>0.22</v>
      </c>
      <c r="CA66">
        <v>0.22</v>
      </c>
      <c r="CB66">
        <v>0.22</v>
      </c>
      <c r="CC66">
        <v>0.22</v>
      </c>
      <c r="CD66">
        <v>0.27</v>
      </c>
      <c r="CE66">
        <v>-0.12</v>
      </c>
      <c r="CF66">
        <v>0.62</v>
      </c>
      <c r="CG66">
        <v>-0.2</v>
      </c>
      <c r="CH66">
        <v>1</v>
      </c>
    </row>
    <row r="67" spans="1:86" x14ac:dyDescent="0.2">
      <c r="A67" t="s">
        <v>160</v>
      </c>
      <c r="B67">
        <f>IF(B61="Hereford or Shorthorn", 1.3, 0)</f>
        <v>1.3</v>
      </c>
      <c r="H67" t="s">
        <v>163</v>
      </c>
      <c r="J67">
        <v>91.25</v>
      </c>
      <c r="K67">
        <v>67</v>
      </c>
      <c r="M67">
        <v>550</v>
      </c>
      <c r="O67">
        <v>0.3</v>
      </c>
      <c r="P67">
        <v>700</v>
      </c>
      <c r="Q67">
        <f t="shared" si="27"/>
        <v>0.7857142857142857</v>
      </c>
      <c r="S67">
        <v>0</v>
      </c>
      <c r="T67">
        <v>0</v>
      </c>
      <c r="U67">
        <v>0</v>
      </c>
      <c r="V67">
        <v>0</v>
      </c>
      <c r="W67">
        <f>S67*B63+T67*B64</f>
        <v>0</v>
      </c>
      <c r="X67">
        <f t="shared" si="20"/>
        <v>1</v>
      </c>
      <c r="Y67">
        <f t="shared" si="21"/>
        <v>8.940100000000001</v>
      </c>
      <c r="Z67">
        <f t="shared" si="28"/>
        <v>1.0663388645663703</v>
      </c>
      <c r="AC67">
        <v>0.1</v>
      </c>
      <c r="AE67">
        <v>0.6</v>
      </c>
      <c r="AF67">
        <f t="shared" si="22"/>
        <v>3.6189524800000012</v>
      </c>
      <c r="AG67">
        <f t="shared" si="23"/>
        <v>0.19</v>
      </c>
      <c r="AH67">
        <f t="shared" si="24"/>
        <v>0.6784</v>
      </c>
      <c r="AI67">
        <f>AI61</f>
        <v>0</v>
      </c>
      <c r="AK67">
        <f>AK61</f>
        <v>0.71</v>
      </c>
      <c r="AL67">
        <f>AL61</f>
        <v>100</v>
      </c>
      <c r="AM67">
        <f>AM61</f>
        <v>4.7000000000000002E-3</v>
      </c>
      <c r="AN67">
        <f t="shared" si="29"/>
        <v>0</v>
      </c>
      <c r="AO67">
        <f t="shared" si="30"/>
        <v>2.192401944651777E-3</v>
      </c>
      <c r="AP67">
        <f t="shared" si="31"/>
        <v>2.192401944651777E-3</v>
      </c>
      <c r="AQ67">
        <f t="shared" si="32"/>
        <v>13.403797389114802</v>
      </c>
      <c r="AS67">
        <f t="shared" si="33"/>
        <v>0</v>
      </c>
      <c r="AT67">
        <f t="shared" si="25"/>
        <v>3.7652749370972543E-3</v>
      </c>
      <c r="AU67">
        <f t="shared" si="34"/>
        <v>0.13727745444156481</v>
      </c>
      <c r="AV67">
        <f t="shared" si="26"/>
        <v>839.28003709211691</v>
      </c>
      <c r="AY67">
        <f>AY61</f>
        <v>2E-3</v>
      </c>
      <c r="BB67">
        <f t="shared" si="35"/>
        <v>0.24</v>
      </c>
      <c r="BQ67" t="s">
        <v>162</v>
      </c>
      <c r="BR67" t="s">
        <v>159</v>
      </c>
      <c r="BS67">
        <v>1</v>
      </c>
      <c r="BT67">
        <v>1</v>
      </c>
      <c r="BU67">
        <v>0.77</v>
      </c>
      <c r="BV67">
        <v>0.82</v>
      </c>
      <c r="BW67">
        <v>0.33</v>
      </c>
      <c r="BX67">
        <v>0.44</v>
      </c>
      <c r="BY67">
        <v>0.77</v>
      </c>
      <c r="BZ67">
        <v>0.8</v>
      </c>
      <c r="CA67">
        <v>0.66</v>
      </c>
      <c r="CB67">
        <v>0.66</v>
      </c>
      <c r="CC67">
        <v>0.66</v>
      </c>
      <c r="CD67">
        <v>0.16</v>
      </c>
      <c r="CE67">
        <v>0.65</v>
      </c>
      <c r="CF67">
        <v>0.05</v>
      </c>
      <c r="CG67">
        <v>0.62</v>
      </c>
      <c r="CH67">
        <v>2</v>
      </c>
    </row>
    <row r="68" spans="1:86" x14ac:dyDescent="0.2">
      <c r="A68" t="s">
        <v>162</v>
      </c>
      <c r="B68">
        <f>IF(B61="Hereford or Shorthorn", 1.1, 1.3)</f>
        <v>1.1000000000000001</v>
      </c>
      <c r="H68" t="s">
        <v>164</v>
      </c>
      <c r="J68">
        <v>91.25</v>
      </c>
      <c r="K68">
        <v>18</v>
      </c>
      <c r="M68">
        <v>560</v>
      </c>
      <c r="O68">
        <v>0.1</v>
      </c>
      <c r="P68">
        <v>700</v>
      </c>
      <c r="Q68">
        <f t="shared" si="27"/>
        <v>0.8</v>
      </c>
      <c r="S68">
        <v>0</v>
      </c>
      <c r="T68">
        <v>0</v>
      </c>
      <c r="U68">
        <v>0</v>
      </c>
      <c r="V68">
        <v>0</v>
      </c>
      <c r="W68">
        <f>S68*B63+T68*B64</f>
        <v>0</v>
      </c>
      <c r="X68">
        <f t="shared" si="20"/>
        <v>1</v>
      </c>
      <c r="Y68">
        <f t="shared" si="21"/>
        <v>8.6644277315999982</v>
      </c>
      <c r="Z68">
        <f t="shared" si="28"/>
        <v>1.0217513291410167</v>
      </c>
      <c r="AC68">
        <v>0.06</v>
      </c>
      <c r="AE68">
        <v>0.5</v>
      </c>
      <c r="AF68">
        <f t="shared" si="22"/>
        <v>4.304487697058879</v>
      </c>
      <c r="AG68">
        <f t="shared" si="23"/>
        <v>0.19</v>
      </c>
      <c r="AH68">
        <f t="shared" si="24"/>
        <v>0.6784</v>
      </c>
      <c r="AI68">
        <f>AI61</f>
        <v>0</v>
      </c>
      <c r="AK68">
        <f>AK61</f>
        <v>0.71</v>
      </c>
      <c r="AL68">
        <f>AL61</f>
        <v>100</v>
      </c>
      <c r="AM68">
        <f>AM61</f>
        <v>4.7000000000000002E-3</v>
      </c>
      <c r="AN68">
        <f t="shared" si="29"/>
        <v>0</v>
      </c>
      <c r="AO68">
        <f t="shared" si="30"/>
        <v>2.6077068571404762E-3</v>
      </c>
      <c r="AP68">
        <f t="shared" si="31"/>
        <v>2.6077068571404762E-3</v>
      </c>
      <c r="AQ68">
        <f t="shared" si="32"/>
        <v>4.2831585128532321</v>
      </c>
      <c r="AS68">
        <f t="shared" si="33"/>
        <v>0</v>
      </c>
      <c r="AT68">
        <f t="shared" si="25"/>
        <v>1.2408236680915622E-3</v>
      </c>
      <c r="AU68">
        <f t="shared" si="34"/>
        <v>7.9911616091182663E-2</v>
      </c>
      <c r="AV68">
        <f t="shared" si="26"/>
        <v>131.25482942976754</v>
      </c>
      <c r="AY68">
        <f>AY61</f>
        <v>2E-3</v>
      </c>
      <c r="BB68">
        <f t="shared" si="35"/>
        <v>0.24</v>
      </c>
      <c r="BQ68" t="s">
        <v>163</v>
      </c>
      <c r="BR68" t="s">
        <v>159</v>
      </c>
      <c r="BS68">
        <v>0.8</v>
      </c>
      <c r="BT68">
        <v>0.8</v>
      </c>
      <c r="BU68">
        <v>0.9</v>
      </c>
      <c r="BV68">
        <v>0.77</v>
      </c>
      <c r="BW68">
        <v>0.5</v>
      </c>
      <c r="BX68">
        <v>0.6</v>
      </c>
      <c r="BY68">
        <v>0.88</v>
      </c>
      <c r="BZ68">
        <v>0.66</v>
      </c>
      <c r="CA68">
        <v>0.49</v>
      </c>
      <c r="CB68">
        <v>0.49</v>
      </c>
      <c r="CC68">
        <v>0.49</v>
      </c>
      <c r="CD68">
        <v>0.45</v>
      </c>
      <c r="CE68">
        <v>0.7</v>
      </c>
      <c r="CF68">
        <v>0.33</v>
      </c>
      <c r="CG68">
        <v>0.4</v>
      </c>
      <c r="CH68">
        <v>3</v>
      </c>
    </row>
    <row r="69" spans="1:86" x14ac:dyDescent="0.2">
      <c r="A69" t="s">
        <v>163</v>
      </c>
      <c r="B69">
        <f>IF(B61="Hereford or Shorthorn", 0, 1.1)</f>
        <v>0</v>
      </c>
      <c r="G69" t="s">
        <v>177</v>
      </c>
      <c r="H69" t="s">
        <v>160</v>
      </c>
      <c r="J69">
        <v>91.25</v>
      </c>
      <c r="K69">
        <v>209</v>
      </c>
      <c r="M69">
        <v>300</v>
      </c>
      <c r="O69">
        <v>0.4</v>
      </c>
      <c r="P69">
        <v>500</v>
      </c>
      <c r="Q69">
        <f t="shared" si="27"/>
        <v>0.6</v>
      </c>
      <c r="S69">
        <v>0</v>
      </c>
      <c r="T69">
        <v>0</v>
      </c>
      <c r="U69">
        <v>0</v>
      </c>
      <c r="V69">
        <v>0</v>
      </c>
      <c r="W69">
        <f>S69*B63+T69*B64</f>
        <v>0</v>
      </c>
      <c r="X69">
        <f t="shared" si="20"/>
        <v>1</v>
      </c>
      <c r="Y69">
        <f t="shared" si="21"/>
        <v>5.9487209999999981</v>
      </c>
      <c r="Z69">
        <f t="shared" si="28"/>
        <v>1.1119169101727504</v>
      </c>
      <c r="AC69">
        <v>7.0000000000000007E-2</v>
      </c>
      <c r="AE69">
        <v>0.55000000000000004</v>
      </c>
      <c r="AF69">
        <f t="shared" si="22"/>
        <v>2.6816834267999994</v>
      </c>
      <c r="AG69">
        <f t="shared" si="23"/>
        <v>0.19</v>
      </c>
      <c r="AH69">
        <f t="shared" si="24"/>
        <v>0.6784</v>
      </c>
      <c r="AI69">
        <f>AI61</f>
        <v>0</v>
      </c>
      <c r="AK69">
        <f>AK61</f>
        <v>0.71</v>
      </c>
      <c r="AL69">
        <f>AL61</f>
        <v>100</v>
      </c>
      <c r="AM69">
        <f>AM61</f>
        <v>4.7000000000000002E-3</v>
      </c>
      <c r="AN69">
        <f t="shared" si="29"/>
        <v>0</v>
      </c>
      <c r="AO69">
        <f t="shared" si="30"/>
        <v>1.6245938548098201E-3</v>
      </c>
      <c r="AP69">
        <f t="shared" si="31"/>
        <v>1.6245938548098201E-3</v>
      </c>
      <c r="AQ69">
        <f t="shared" si="32"/>
        <v>30.983035553541779</v>
      </c>
      <c r="AS69">
        <f t="shared" si="33"/>
        <v>0</v>
      </c>
      <c r="AT69">
        <f t="shared" si="25"/>
        <v>6.2442878326350593E-3</v>
      </c>
      <c r="AU69">
        <f t="shared" si="34"/>
        <v>5.9112702940701776E-2</v>
      </c>
      <c r="AV69">
        <f t="shared" si="26"/>
        <v>1127.3531359578587</v>
      </c>
      <c r="AY69">
        <f>AY61</f>
        <v>2E-3</v>
      </c>
      <c r="BB69">
        <f t="shared" si="35"/>
        <v>0.24</v>
      </c>
      <c r="BQ69" t="s">
        <v>164</v>
      </c>
      <c r="BR69" t="s">
        <v>159</v>
      </c>
      <c r="BS69">
        <v>0.4</v>
      </c>
      <c r="BT69">
        <v>0.4</v>
      </c>
      <c r="BU69">
        <v>0.88</v>
      </c>
      <c r="BV69">
        <v>0.11</v>
      </c>
      <c r="BW69">
        <v>0.55000000000000004</v>
      </c>
      <c r="BX69">
        <v>0.99</v>
      </c>
      <c r="BY69">
        <v>0.22</v>
      </c>
      <c r="BZ69">
        <v>0.33</v>
      </c>
      <c r="CA69">
        <v>0.27</v>
      </c>
      <c r="CB69">
        <v>0.27</v>
      </c>
      <c r="CC69">
        <v>0.27</v>
      </c>
      <c r="CD69">
        <v>0.51</v>
      </c>
      <c r="CE69">
        <v>0.32</v>
      </c>
      <c r="CF69">
        <v>0.61</v>
      </c>
      <c r="CG69">
        <v>0.08</v>
      </c>
      <c r="CH69">
        <v>4</v>
      </c>
    </row>
    <row r="70" spans="1:86" x14ac:dyDescent="0.2">
      <c r="A70" t="s">
        <v>164</v>
      </c>
      <c r="B70">
        <v>0</v>
      </c>
      <c r="G70">
        <v>4</v>
      </c>
      <c r="H70" t="s">
        <v>162</v>
      </c>
      <c r="J70">
        <v>91.25</v>
      </c>
      <c r="K70">
        <v>290</v>
      </c>
      <c r="M70">
        <v>360</v>
      </c>
      <c r="O70">
        <v>0.7</v>
      </c>
      <c r="P70">
        <v>500</v>
      </c>
      <c r="Q70">
        <f t="shared" si="27"/>
        <v>0.72</v>
      </c>
      <c r="S70">
        <v>0</v>
      </c>
      <c r="T70">
        <v>0</v>
      </c>
      <c r="U70">
        <v>0</v>
      </c>
      <c r="V70">
        <v>0</v>
      </c>
      <c r="W70">
        <f>S70*B63+T70*B64</f>
        <v>0</v>
      </c>
      <c r="X70">
        <f t="shared" si="20"/>
        <v>1</v>
      </c>
      <c r="Y70">
        <f t="shared" si="21"/>
        <v>7.3058846435999998</v>
      </c>
      <c r="Z70">
        <f t="shared" si="28"/>
        <v>1.1855374831795669</v>
      </c>
      <c r="AC70">
        <v>0.13</v>
      </c>
      <c r="AE70">
        <v>0.65</v>
      </c>
      <c r="AF70">
        <f t="shared" si="22"/>
        <v>2.6213514101236801</v>
      </c>
      <c r="AG70">
        <f t="shared" si="23"/>
        <v>0.19</v>
      </c>
      <c r="AH70">
        <f t="shared" si="24"/>
        <v>0.6784</v>
      </c>
      <c r="AI70">
        <f>AI61</f>
        <v>0</v>
      </c>
      <c r="AK70">
        <f>AK61</f>
        <v>0.71</v>
      </c>
      <c r="AL70">
        <f>AL61</f>
        <v>100</v>
      </c>
      <c r="AM70">
        <f>AM61</f>
        <v>4.7000000000000002E-3</v>
      </c>
      <c r="AN70">
        <f t="shared" si="29"/>
        <v>0</v>
      </c>
      <c r="AO70">
        <f t="shared" si="30"/>
        <v>1.5880440433887189E-3</v>
      </c>
      <c r="AP70">
        <f t="shared" si="31"/>
        <v>1.5880440433887189E-3</v>
      </c>
      <c r="AQ70">
        <f t="shared" si="32"/>
        <v>42.023615498173974</v>
      </c>
      <c r="AS70">
        <f t="shared" si="33"/>
        <v>0</v>
      </c>
      <c r="AT70">
        <f t="shared" si="25"/>
        <v>9.349203220759222E-3</v>
      </c>
      <c r="AU70">
        <f t="shared" si="34"/>
        <v>0.14115861089687609</v>
      </c>
      <c r="AV70">
        <f t="shared" si="26"/>
        <v>3735.4097408585835</v>
      </c>
      <c r="AY70">
        <f>AY61</f>
        <v>2E-3</v>
      </c>
      <c r="BB70">
        <f t="shared" si="35"/>
        <v>0.24</v>
      </c>
      <c r="BQ70" t="s">
        <v>160</v>
      </c>
      <c r="BR70" t="s">
        <v>165</v>
      </c>
      <c r="BS70">
        <v>0.2</v>
      </c>
      <c r="BT70">
        <v>0.2</v>
      </c>
      <c r="BU70">
        <v>1.1000000000000001</v>
      </c>
      <c r="BV70">
        <v>0.5</v>
      </c>
      <c r="BW70">
        <v>1.1000000000000001</v>
      </c>
      <c r="BX70">
        <v>1.1000000000000001</v>
      </c>
      <c r="BY70">
        <v>-0.55000000000000004</v>
      </c>
      <c r="BZ70">
        <v>-0.55000000000000004</v>
      </c>
      <c r="CA70">
        <v>-0.23</v>
      </c>
      <c r="CB70">
        <v>-0.44</v>
      </c>
      <c r="CC70">
        <v>-0.44</v>
      </c>
      <c r="CD70">
        <v>-0.19</v>
      </c>
      <c r="CE70">
        <v>-0.19</v>
      </c>
      <c r="CF70">
        <v>-0.19</v>
      </c>
      <c r="CG70">
        <v>0.02</v>
      </c>
      <c r="CH70">
        <v>1</v>
      </c>
    </row>
    <row r="71" spans="1:86" x14ac:dyDescent="0.2">
      <c r="H71" t="s">
        <v>163</v>
      </c>
      <c r="J71">
        <v>91.25</v>
      </c>
      <c r="K71">
        <v>271</v>
      </c>
      <c r="M71">
        <v>390</v>
      </c>
      <c r="O71">
        <v>0.3</v>
      </c>
      <c r="P71">
        <v>500</v>
      </c>
      <c r="Q71">
        <f t="shared" si="27"/>
        <v>0.78</v>
      </c>
      <c r="S71">
        <v>0</v>
      </c>
      <c r="T71">
        <v>0</v>
      </c>
      <c r="U71">
        <v>0</v>
      </c>
      <c r="V71">
        <v>0</v>
      </c>
      <c r="W71">
        <f>S71*B63+T71*B64</f>
        <v>0</v>
      </c>
      <c r="X71">
        <f t="shared" si="20"/>
        <v>1</v>
      </c>
      <c r="Y71">
        <f t="shared" si="21"/>
        <v>7.0471135296000007</v>
      </c>
      <c r="Z71">
        <f t="shared" si="28"/>
        <v>1.0751865867280543</v>
      </c>
      <c r="AC71">
        <v>0.1</v>
      </c>
      <c r="AE71">
        <v>0.6</v>
      </c>
      <c r="AF71">
        <f t="shared" si="22"/>
        <v>2.8526715567820804</v>
      </c>
      <c r="AG71">
        <f t="shared" si="23"/>
        <v>0.19</v>
      </c>
      <c r="AH71">
        <f t="shared" si="24"/>
        <v>0.6784</v>
      </c>
      <c r="AI71">
        <f>AI61</f>
        <v>0</v>
      </c>
      <c r="AK71">
        <f>AK61</f>
        <v>0.71</v>
      </c>
      <c r="AL71">
        <f>AL61</f>
        <v>100</v>
      </c>
      <c r="AM71">
        <f>AM61</f>
        <v>4.7000000000000002E-3</v>
      </c>
      <c r="AN71">
        <f t="shared" si="29"/>
        <v>0</v>
      </c>
      <c r="AO71">
        <f t="shared" si="30"/>
        <v>1.7281803790200204E-3</v>
      </c>
      <c r="AP71">
        <f t="shared" si="31"/>
        <v>1.7281803790200204E-3</v>
      </c>
      <c r="AQ71">
        <f t="shared" si="32"/>
        <v>42.735740547691329</v>
      </c>
      <c r="AS71">
        <f t="shared" si="33"/>
        <v>0</v>
      </c>
      <c r="AT71">
        <f t="shared" si="25"/>
        <v>3.7835202890765178E-3</v>
      </c>
      <c r="AU71">
        <f t="shared" si="34"/>
        <v>0.1074257136380161</v>
      </c>
      <c r="AV71">
        <f t="shared" si="26"/>
        <v>2656.5036161260909</v>
      </c>
      <c r="AY71">
        <f>AY61</f>
        <v>2E-3</v>
      </c>
      <c r="BB71">
        <f t="shared" si="35"/>
        <v>0.24</v>
      </c>
      <c r="BQ71" t="s">
        <v>162</v>
      </c>
      <c r="BR71" t="s">
        <v>165</v>
      </c>
      <c r="BS71">
        <v>0.4</v>
      </c>
      <c r="BT71">
        <v>0.4</v>
      </c>
      <c r="BU71">
        <v>0</v>
      </c>
      <c r="BV71">
        <v>0.55000000000000004</v>
      </c>
      <c r="BW71">
        <v>0.33</v>
      </c>
      <c r="BX71">
        <v>-0.22</v>
      </c>
      <c r="BY71">
        <v>0.55000000000000004</v>
      </c>
      <c r="BZ71">
        <v>0.55000000000000004</v>
      </c>
      <c r="CA71">
        <v>0.2</v>
      </c>
      <c r="CB71">
        <v>0.22</v>
      </c>
      <c r="CC71">
        <v>0.22</v>
      </c>
      <c r="CD71">
        <v>0.16</v>
      </c>
      <c r="CE71">
        <v>0.19</v>
      </c>
      <c r="CF71">
        <v>0.19</v>
      </c>
      <c r="CG71">
        <v>0.21</v>
      </c>
      <c r="CH71">
        <v>2</v>
      </c>
    </row>
    <row r="72" spans="1:86" x14ac:dyDescent="0.2">
      <c r="H72" t="s">
        <v>164</v>
      </c>
      <c r="J72">
        <v>91.25</v>
      </c>
      <c r="K72">
        <v>222</v>
      </c>
      <c r="M72">
        <v>410</v>
      </c>
      <c r="O72">
        <v>0.2</v>
      </c>
      <c r="P72">
        <v>500</v>
      </c>
      <c r="Q72">
        <f t="shared" si="27"/>
        <v>0.82</v>
      </c>
      <c r="S72">
        <v>0</v>
      </c>
      <c r="T72">
        <v>0</v>
      </c>
      <c r="U72">
        <v>0</v>
      </c>
      <c r="V72">
        <v>0</v>
      </c>
      <c r="W72">
        <f>S72*B63+T72*B64</f>
        <v>0</v>
      </c>
      <c r="X72">
        <f t="shared" si="20"/>
        <v>1</v>
      </c>
      <c r="Y72">
        <f t="shared" si="21"/>
        <v>7.1414010756000028</v>
      </c>
      <c r="Z72">
        <f t="shared" si="28"/>
        <v>1.0488710073408023</v>
      </c>
      <c r="AC72">
        <v>0.06</v>
      </c>
      <c r="AE72">
        <v>0.5</v>
      </c>
      <c r="AF72">
        <f t="shared" si="22"/>
        <v>3.5478480543580817</v>
      </c>
      <c r="AG72">
        <f t="shared" si="23"/>
        <v>0.19</v>
      </c>
      <c r="AH72">
        <f t="shared" si="24"/>
        <v>0.6784</v>
      </c>
      <c r="AI72">
        <f>AI61</f>
        <v>0</v>
      </c>
      <c r="AK72">
        <f>AK61</f>
        <v>0.71</v>
      </c>
      <c r="AL72">
        <f>AL61</f>
        <v>100</v>
      </c>
      <c r="AM72">
        <f>AM61</f>
        <v>4.7000000000000002E-3</v>
      </c>
      <c r="AN72">
        <f t="shared" si="29"/>
        <v>0</v>
      </c>
      <c r="AO72">
        <f t="shared" si="30"/>
        <v>2.1493260872283352E-3</v>
      </c>
      <c r="AP72">
        <f t="shared" si="31"/>
        <v>2.1493260872283352E-3</v>
      </c>
      <c r="AQ72">
        <f t="shared" si="32"/>
        <v>43.539973212028002</v>
      </c>
      <c r="AS72">
        <f t="shared" si="33"/>
        <v>0</v>
      </c>
      <c r="AT72">
        <f t="shared" si="25"/>
        <v>2.4432886397722938E-3</v>
      </c>
      <c r="AU72">
        <f t="shared" si="34"/>
        <v>6.4510545022814142E-2</v>
      </c>
      <c r="AV72">
        <f t="shared" si="26"/>
        <v>1306.8223657996575</v>
      </c>
      <c r="AY72">
        <f>AY61</f>
        <v>2E-3</v>
      </c>
      <c r="BB72">
        <f t="shared" si="35"/>
        <v>0.24</v>
      </c>
      <c r="BQ72" t="s">
        <v>163</v>
      </c>
      <c r="BR72" t="s">
        <v>165</v>
      </c>
      <c r="BS72">
        <v>0.3</v>
      </c>
      <c r="BT72">
        <v>0.3</v>
      </c>
      <c r="BU72">
        <v>-1.1000000000000001</v>
      </c>
      <c r="BV72">
        <v>0.5</v>
      </c>
      <c r="BW72">
        <v>0.2</v>
      </c>
      <c r="BX72">
        <v>0</v>
      </c>
      <c r="BY72">
        <v>0.55000000000000004</v>
      </c>
      <c r="BZ72">
        <v>0.55000000000000004</v>
      </c>
      <c r="CA72">
        <v>0.13</v>
      </c>
      <c r="CB72">
        <v>0.05</v>
      </c>
      <c r="CC72">
        <v>0.05</v>
      </c>
      <c r="CD72">
        <v>0.1</v>
      </c>
      <c r="CE72">
        <v>0.13</v>
      </c>
      <c r="CF72">
        <v>0.13</v>
      </c>
      <c r="CG72">
        <v>0.13</v>
      </c>
      <c r="CH72">
        <v>3</v>
      </c>
    </row>
    <row r="73" spans="1:86" x14ac:dyDescent="0.2">
      <c r="G73" t="s">
        <v>179</v>
      </c>
      <c r="H73" t="s">
        <v>160</v>
      </c>
      <c r="J73">
        <v>91.25</v>
      </c>
      <c r="K73">
        <v>261</v>
      </c>
      <c r="M73">
        <v>440</v>
      </c>
      <c r="O73">
        <v>0.3</v>
      </c>
      <c r="P73">
        <v>500</v>
      </c>
      <c r="Q73">
        <f t="shared" si="27"/>
        <v>0.88</v>
      </c>
      <c r="S73">
        <v>0.78</v>
      </c>
      <c r="T73">
        <v>0.05</v>
      </c>
      <c r="U73">
        <v>0</v>
      </c>
      <c r="V73">
        <v>0</v>
      </c>
      <c r="W73">
        <f>S73*B63+T73*B64</f>
        <v>4.88</v>
      </c>
      <c r="X73">
        <f t="shared" si="20"/>
        <v>1.2389999999999999</v>
      </c>
      <c r="Y73">
        <f t="shared" si="21"/>
        <v>9.5324120150363996</v>
      </c>
      <c r="Z73">
        <f t="shared" si="28"/>
        <v>1.0717864499078988</v>
      </c>
      <c r="AC73">
        <v>7.0000000000000007E-2</v>
      </c>
      <c r="AE73">
        <v>0.55000000000000004</v>
      </c>
      <c r="AF73">
        <f t="shared" si="22"/>
        <v>4.2972113363784095</v>
      </c>
      <c r="AG73">
        <f t="shared" si="23"/>
        <v>0.19</v>
      </c>
      <c r="AH73">
        <f t="shared" si="24"/>
        <v>0.6784</v>
      </c>
      <c r="AI73">
        <f>AI61</f>
        <v>0</v>
      </c>
      <c r="AK73">
        <f>AK61</f>
        <v>0.71</v>
      </c>
      <c r="AL73">
        <f>AL61</f>
        <v>100</v>
      </c>
      <c r="AM73">
        <f>AM61</f>
        <v>4.7000000000000002E-3</v>
      </c>
      <c r="AN73">
        <f t="shared" si="29"/>
        <v>0</v>
      </c>
      <c r="AO73">
        <f t="shared" si="30"/>
        <v>2.6032987563450079E-3</v>
      </c>
      <c r="AP73">
        <f t="shared" si="31"/>
        <v>2.6032987563450079E-3</v>
      </c>
      <c r="AQ73">
        <f t="shared" si="32"/>
        <v>62.0008140058018</v>
      </c>
      <c r="AS73">
        <f t="shared" si="33"/>
        <v>0</v>
      </c>
      <c r="AT73">
        <f t="shared" si="25"/>
        <v>2.8002039896417596E-2</v>
      </c>
      <c r="AU73">
        <f t="shared" si="34"/>
        <v>7.7070135988519417E-2</v>
      </c>
      <c r="AV73">
        <f t="shared" si="26"/>
        <v>1835.5216262365757</v>
      </c>
      <c r="AY73">
        <f>AY61</f>
        <v>2E-3</v>
      </c>
      <c r="BB73">
        <f t="shared" si="35"/>
        <v>0.24</v>
      </c>
      <c r="BQ73" t="s">
        <v>164</v>
      </c>
      <c r="BR73" t="s">
        <v>165</v>
      </c>
      <c r="BS73">
        <v>0.1</v>
      </c>
      <c r="BT73">
        <v>0.1</v>
      </c>
      <c r="BU73">
        <v>0</v>
      </c>
      <c r="BV73">
        <v>-0.27</v>
      </c>
      <c r="BW73">
        <v>0.22</v>
      </c>
      <c r="BX73">
        <v>0.22</v>
      </c>
      <c r="BY73">
        <v>-0.55000000000000004</v>
      </c>
      <c r="BZ73">
        <v>-0.55000000000000004</v>
      </c>
      <c r="CA73">
        <v>-0.8</v>
      </c>
      <c r="CB73">
        <v>-0.27</v>
      </c>
      <c r="CC73">
        <v>-0.27</v>
      </c>
      <c r="CD73">
        <v>-7.0000000000000007E-2</v>
      </c>
      <c r="CE73">
        <v>-0.06</v>
      </c>
      <c r="CF73">
        <v>-0.06</v>
      </c>
      <c r="CG73">
        <v>0.04</v>
      </c>
      <c r="CH73">
        <v>4</v>
      </c>
    </row>
    <row r="74" spans="1:86" x14ac:dyDescent="0.2">
      <c r="G74" t="s">
        <v>195</v>
      </c>
      <c r="H74" t="s">
        <v>162</v>
      </c>
      <c r="J74">
        <v>91.25</v>
      </c>
      <c r="K74">
        <v>326</v>
      </c>
      <c r="M74">
        <v>470</v>
      </c>
      <c r="O74">
        <v>0.3</v>
      </c>
      <c r="P74">
        <v>500</v>
      </c>
      <c r="Q74">
        <f t="shared" si="27"/>
        <v>0.94</v>
      </c>
      <c r="S74">
        <v>0</v>
      </c>
      <c r="T74">
        <v>0.75</v>
      </c>
      <c r="U74">
        <v>0</v>
      </c>
      <c r="V74">
        <v>0</v>
      </c>
      <c r="W74">
        <f>S74*B63+T74*B64</f>
        <v>3</v>
      </c>
      <c r="X74">
        <f t="shared" si="20"/>
        <v>1.0750000000000002</v>
      </c>
      <c r="Y74">
        <f t="shared" si="21"/>
        <v>8.6641709227200021</v>
      </c>
      <c r="Z74">
        <f t="shared" si="28"/>
        <v>1.0700516381378118</v>
      </c>
      <c r="AC74">
        <v>0.13</v>
      </c>
      <c r="AE74">
        <v>0.65</v>
      </c>
      <c r="AF74">
        <f t="shared" si="22"/>
        <v>3.1087045270719367</v>
      </c>
      <c r="AG74">
        <f t="shared" si="23"/>
        <v>0.19</v>
      </c>
      <c r="AH74">
        <f t="shared" si="24"/>
        <v>0.6784</v>
      </c>
      <c r="AI74">
        <f>AI61</f>
        <v>0</v>
      </c>
      <c r="AK74">
        <f>AK61</f>
        <v>0.71</v>
      </c>
      <c r="AL74">
        <f>AL61</f>
        <v>100</v>
      </c>
      <c r="AM74">
        <f>AM61</f>
        <v>4.7000000000000002E-3</v>
      </c>
      <c r="AN74">
        <f t="shared" si="29"/>
        <v>0</v>
      </c>
      <c r="AO74">
        <f t="shared" si="30"/>
        <v>1.8832880199908823E-3</v>
      </c>
      <c r="AP74">
        <f t="shared" si="31"/>
        <v>1.8832880199908823E-3</v>
      </c>
      <c r="AQ74">
        <f t="shared" si="32"/>
        <v>56.023110374678765</v>
      </c>
      <c r="AS74">
        <f t="shared" si="33"/>
        <v>0</v>
      </c>
      <c r="AT74">
        <f t="shared" si="25"/>
        <v>1.847192524182615E-2</v>
      </c>
      <c r="AU74">
        <f t="shared" si="34"/>
        <v>0.1599662446631816</v>
      </c>
      <c r="AV74">
        <f t="shared" si="26"/>
        <v>4758.5958631179947</v>
      </c>
      <c r="AY74">
        <f>AY61</f>
        <v>2E-3</v>
      </c>
      <c r="BB74">
        <f t="shared" si="35"/>
        <v>0.24</v>
      </c>
      <c r="BQ74" t="s">
        <v>160</v>
      </c>
      <c r="BR74" t="s">
        <v>177</v>
      </c>
      <c r="BS74">
        <v>0.4</v>
      </c>
      <c r="BT74">
        <v>0.4</v>
      </c>
      <c r="BU74">
        <v>0.55000000000000004</v>
      </c>
      <c r="BV74">
        <v>1</v>
      </c>
      <c r="BW74">
        <v>0.99</v>
      </c>
      <c r="BX74">
        <v>0.99</v>
      </c>
      <c r="BY74">
        <v>0.22</v>
      </c>
      <c r="BZ74">
        <v>0.22</v>
      </c>
      <c r="CA74">
        <v>0.17</v>
      </c>
      <c r="CB74">
        <v>0.21</v>
      </c>
      <c r="CC74">
        <v>0.15</v>
      </c>
      <c r="CD74">
        <v>0.25</v>
      </c>
      <c r="CE74">
        <v>0.09</v>
      </c>
      <c r="CF74">
        <v>0.41</v>
      </c>
      <c r="CG74">
        <v>0.3</v>
      </c>
      <c r="CH74">
        <v>1</v>
      </c>
    </row>
    <row r="75" spans="1:86" x14ac:dyDescent="0.2">
      <c r="H75" t="s">
        <v>163</v>
      </c>
      <c r="J75">
        <v>91.25</v>
      </c>
      <c r="K75">
        <v>319</v>
      </c>
      <c r="M75">
        <v>490</v>
      </c>
      <c r="O75">
        <v>0.2</v>
      </c>
      <c r="P75">
        <v>500</v>
      </c>
      <c r="Q75">
        <f t="shared" si="27"/>
        <v>0.98</v>
      </c>
      <c r="S75">
        <v>0</v>
      </c>
      <c r="T75">
        <v>0</v>
      </c>
      <c r="U75">
        <v>0</v>
      </c>
      <c r="V75">
        <v>0</v>
      </c>
      <c r="W75">
        <f>S75*B63+T75*B64</f>
        <v>0</v>
      </c>
      <c r="X75">
        <f t="shared" si="20"/>
        <v>1</v>
      </c>
      <c r="Y75">
        <f t="shared" si="21"/>
        <v>8.1130407556000002</v>
      </c>
      <c r="Z75">
        <f t="shared" si="28"/>
        <v>1.0457484402934745</v>
      </c>
      <c r="AC75">
        <v>0.1</v>
      </c>
      <c r="AE75">
        <v>0.6</v>
      </c>
      <c r="AF75">
        <f t="shared" si="22"/>
        <v>3.2841588978668801</v>
      </c>
      <c r="AG75">
        <f t="shared" si="23"/>
        <v>0.19</v>
      </c>
      <c r="AH75">
        <f t="shared" si="24"/>
        <v>0.6784</v>
      </c>
      <c r="AI75">
        <f>AI61</f>
        <v>0</v>
      </c>
      <c r="AK75">
        <f>AK61</f>
        <v>0.71</v>
      </c>
      <c r="AL75">
        <f>AL61</f>
        <v>100</v>
      </c>
      <c r="AM75">
        <f>AM61</f>
        <v>4.7000000000000002E-3</v>
      </c>
      <c r="AN75">
        <f t="shared" si="29"/>
        <v>0</v>
      </c>
      <c r="AO75">
        <f t="shared" si="30"/>
        <v>1.989580242907412E-3</v>
      </c>
      <c r="AP75">
        <f t="shared" si="31"/>
        <v>1.989580242907412E-3</v>
      </c>
      <c r="AQ75">
        <f t="shared" si="32"/>
        <v>57.914193895731131</v>
      </c>
      <c r="AS75">
        <f t="shared" si="33"/>
        <v>0</v>
      </c>
      <c r="AT75">
        <f t="shared" si="25"/>
        <v>2.2495778311143037E-3</v>
      </c>
      <c r="AU75">
        <f t="shared" si="34"/>
        <v>0.1257260858108715</v>
      </c>
      <c r="AV75">
        <f t="shared" si="26"/>
        <v>3659.7292003472053</v>
      </c>
      <c r="AY75">
        <f>AY61</f>
        <v>2E-3</v>
      </c>
      <c r="BB75">
        <f t="shared" si="35"/>
        <v>0.24</v>
      </c>
      <c r="BQ75" t="s">
        <v>162</v>
      </c>
      <c r="BR75" t="s">
        <v>177</v>
      </c>
      <c r="BS75">
        <v>0.7</v>
      </c>
      <c r="BT75">
        <v>0.7</v>
      </c>
      <c r="BU75">
        <v>0.22</v>
      </c>
      <c r="BV75">
        <v>0.55000000000000004</v>
      </c>
      <c r="BW75">
        <v>0.33</v>
      </c>
      <c r="BX75">
        <v>0.33</v>
      </c>
      <c r="BY75">
        <v>0.66</v>
      </c>
      <c r="BZ75">
        <v>0.44</v>
      </c>
      <c r="CA75">
        <v>0.54</v>
      </c>
      <c r="CB75">
        <v>0.22</v>
      </c>
      <c r="CC75">
        <v>0.4</v>
      </c>
      <c r="CD75">
        <v>0.56999999999999995</v>
      </c>
      <c r="CE75">
        <v>0.51</v>
      </c>
      <c r="CF75">
        <v>0.54</v>
      </c>
      <c r="CG75">
        <v>0.32</v>
      </c>
      <c r="CH75">
        <v>2</v>
      </c>
    </row>
    <row r="76" spans="1:86" x14ac:dyDescent="0.2">
      <c r="H76" t="s">
        <v>164</v>
      </c>
      <c r="J76">
        <v>91.25</v>
      </c>
      <c r="K76">
        <v>264</v>
      </c>
      <c r="M76">
        <v>500</v>
      </c>
      <c r="O76">
        <v>0.1</v>
      </c>
      <c r="P76">
        <v>500</v>
      </c>
      <c r="Q76">
        <f t="shared" si="27"/>
        <v>1</v>
      </c>
      <c r="S76">
        <v>0.11</v>
      </c>
      <c r="T76">
        <v>0</v>
      </c>
      <c r="U76">
        <v>0</v>
      </c>
      <c r="V76">
        <v>0</v>
      </c>
      <c r="W76">
        <f>S76*B63+T76*B64</f>
        <v>0.66</v>
      </c>
      <c r="X76">
        <f t="shared" si="20"/>
        <v>1.0329999999999999</v>
      </c>
      <c r="Y76">
        <f t="shared" si="21"/>
        <v>8.3112414142500004</v>
      </c>
      <c r="Z76">
        <f t="shared" si="28"/>
        <v>1.0225860047470618</v>
      </c>
      <c r="AC76">
        <v>0.06</v>
      </c>
      <c r="AE76">
        <v>0.5</v>
      </c>
      <c r="AF76">
        <f t="shared" si="22"/>
        <v>4.1290247345994002</v>
      </c>
      <c r="AG76">
        <f t="shared" si="23"/>
        <v>0.19</v>
      </c>
      <c r="AH76">
        <f t="shared" si="24"/>
        <v>0.6784</v>
      </c>
      <c r="AI76">
        <f>AI61</f>
        <v>0</v>
      </c>
      <c r="AK76">
        <f>AK61</f>
        <v>0.71</v>
      </c>
      <c r="AL76">
        <f>AL61</f>
        <v>100</v>
      </c>
      <c r="AM76">
        <f>AM61</f>
        <v>4.7000000000000002E-3</v>
      </c>
      <c r="AN76">
        <f t="shared" si="29"/>
        <v>0</v>
      </c>
      <c r="AO76">
        <f t="shared" si="30"/>
        <v>2.5014094292973442E-3</v>
      </c>
      <c r="AP76">
        <f t="shared" si="31"/>
        <v>2.5014094292973442E-3</v>
      </c>
      <c r="AQ76">
        <f t="shared" si="32"/>
        <v>60.258953151773021</v>
      </c>
      <c r="AS76">
        <f t="shared" si="33"/>
        <v>0</v>
      </c>
      <c r="AT76">
        <f t="shared" si="25"/>
        <v>4.4280572331466452E-3</v>
      </c>
      <c r="AU76">
        <f t="shared" si="34"/>
        <v>7.3498886919997966E-2</v>
      </c>
      <c r="AV76">
        <f t="shared" si="26"/>
        <v>1770.5881859027511</v>
      </c>
      <c r="AY76">
        <f>AY61</f>
        <v>2E-3</v>
      </c>
      <c r="BB76">
        <f t="shared" si="35"/>
        <v>0.24</v>
      </c>
      <c r="BQ76" t="s">
        <v>163</v>
      </c>
      <c r="BR76" t="s">
        <v>177</v>
      </c>
      <c r="BS76">
        <v>0.3</v>
      </c>
      <c r="BT76">
        <v>0.3</v>
      </c>
      <c r="BU76">
        <v>0.22</v>
      </c>
      <c r="BV76">
        <v>0.11</v>
      </c>
      <c r="BW76">
        <v>0.44</v>
      </c>
      <c r="BX76">
        <v>0.22</v>
      </c>
      <c r="BY76">
        <v>0.22</v>
      </c>
      <c r="BZ76">
        <v>0.55000000000000004</v>
      </c>
      <c r="CA76">
        <v>0.45</v>
      </c>
      <c r="CB76">
        <v>0.25</v>
      </c>
      <c r="CC76">
        <v>0.38</v>
      </c>
      <c r="CD76">
        <v>0.41</v>
      </c>
      <c r="CE76">
        <v>0.34</v>
      </c>
      <c r="CF76">
        <v>0.36</v>
      </c>
      <c r="CG76">
        <v>0.27</v>
      </c>
      <c r="CH76">
        <v>3</v>
      </c>
    </row>
    <row r="77" spans="1:86" x14ac:dyDescent="0.2">
      <c r="G77" t="s">
        <v>176</v>
      </c>
      <c r="H77" t="s">
        <v>160</v>
      </c>
      <c r="J77">
        <v>91.25</v>
      </c>
      <c r="K77">
        <v>65</v>
      </c>
      <c r="M77">
        <v>75</v>
      </c>
      <c r="O77">
        <v>0.5</v>
      </c>
      <c r="P77">
        <v>500</v>
      </c>
      <c r="Q77">
        <f t="shared" si="27"/>
        <v>0.15</v>
      </c>
      <c r="S77">
        <v>0</v>
      </c>
      <c r="T77">
        <v>0</v>
      </c>
      <c r="U77">
        <v>0</v>
      </c>
      <c r="V77">
        <v>0</v>
      </c>
      <c r="W77">
        <f>S77*B63+T77*B64</f>
        <v>0</v>
      </c>
      <c r="X77">
        <f t="shared" si="20"/>
        <v>1</v>
      </c>
      <c r="Y77">
        <f t="shared" si="21"/>
        <v>2.7834751406249998</v>
      </c>
      <c r="Z77">
        <f t="shared" si="28"/>
        <v>1.2193553180247376</v>
      </c>
      <c r="AC77">
        <v>7.0000000000000007E-2</v>
      </c>
      <c r="AE77">
        <v>0.55000000000000004</v>
      </c>
      <c r="AF77">
        <f t="shared" si="22"/>
        <v>1.25479059339375</v>
      </c>
      <c r="AG77">
        <f t="shared" si="23"/>
        <v>0.19</v>
      </c>
      <c r="AH77">
        <f t="shared" si="24"/>
        <v>0.6784</v>
      </c>
      <c r="AI77">
        <f>AI61</f>
        <v>0</v>
      </c>
      <c r="AK77">
        <f>AK61</f>
        <v>0.71</v>
      </c>
      <c r="AL77">
        <f>AL61</f>
        <v>100</v>
      </c>
      <c r="AM77">
        <f>AM61</f>
        <v>4.7000000000000002E-3</v>
      </c>
      <c r="AN77">
        <f t="shared" si="29"/>
        <v>0</v>
      </c>
      <c r="AO77">
        <f t="shared" si="30"/>
        <v>7.6016619513257974E-4</v>
      </c>
      <c r="AP77">
        <f t="shared" si="31"/>
        <v>7.6016619513257974E-4</v>
      </c>
      <c r="AQ77">
        <f t="shared" si="32"/>
        <v>4.5087357448801129</v>
      </c>
      <c r="AS77">
        <f t="shared" si="33"/>
        <v>0</v>
      </c>
      <c r="AT77">
        <f t="shared" si="25"/>
        <v>1.4099280269004926E-2</v>
      </c>
      <c r="AU77">
        <f t="shared" si="34"/>
        <v>1.6627093625355433E-2</v>
      </c>
      <c r="AV77">
        <f t="shared" si="26"/>
        <v>98.619449065389418</v>
      </c>
      <c r="AY77">
        <f>AY61</f>
        <v>2E-3</v>
      </c>
      <c r="BB77">
        <f t="shared" si="35"/>
        <v>0.24</v>
      </c>
      <c r="BQ77" t="s">
        <v>164</v>
      </c>
      <c r="BR77" t="s">
        <v>177</v>
      </c>
      <c r="BS77">
        <v>0.2</v>
      </c>
      <c r="BT77">
        <v>0.2</v>
      </c>
      <c r="BU77">
        <v>0.55000000000000004</v>
      </c>
      <c r="BV77">
        <v>0.22</v>
      </c>
      <c r="BW77">
        <v>0.22</v>
      </c>
      <c r="BX77">
        <v>0.11</v>
      </c>
      <c r="BY77">
        <v>0.11</v>
      </c>
      <c r="BZ77">
        <v>0.11</v>
      </c>
      <c r="CA77">
        <v>0.09</v>
      </c>
      <c r="CB77">
        <v>0.28999999999999998</v>
      </c>
      <c r="CC77">
        <v>0.09</v>
      </c>
      <c r="CD77">
        <v>-0.09</v>
      </c>
      <c r="CE77">
        <v>0.19</v>
      </c>
      <c r="CF77">
        <v>0.18</v>
      </c>
      <c r="CG77">
        <v>0.18</v>
      </c>
      <c r="CH77">
        <v>4</v>
      </c>
    </row>
    <row r="78" spans="1:86" x14ac:dyDescent="0.2">
      <c r="G78">
        <v>3</v>
      </c>
      <c r="H78" t="s">
        <v>162</v>
      </c>
      <c r="J78">
        <v>91.25</v>
      </c>
      <c r="K78">
        <v>142</v>
      </c>
      <c r="M78">
        <v>160</v>
      </c>
      <c r="O78">
        <v>0.9</v>
      </c>
      <c r="P78">
        <v>500</v>
      </c>
      <c r="Q78">
        <f t="shared" si="27"/>
        <v>0.32</v>
      </c>
      <c r="S78">
        <v>0</v>
      </c>
      <c r="T78">
        <v>0</v>
      </c>
      <c r="U78">
        <f>60/K77</f>
        <v>0.92307692307692313</v>
      </c>
      <c r="V78">
        <v>0</v>
      </c>
      <c r="W78">
        <f>S78*B63+T78*B64</f>
        <v>0</v>
      </c>
      <c r="X78">
        <f t="shared" si="20"/>
        <v>1</v>
      </c>
      <c r="Y78">
        <f t="shared" si="21"/>
        <v>4.5298311556000002</v>
      </c>
      <c r="Z78">
        <f t="shared" si="28"/>
        <v>1.3309587678069252</v>
      </c>
      <c r="AC78">
        <v>0.13</v>
      </c>
      <c r="AE78">
        <v>0.65</v>
      </c>
      <c r="AF78">
        <f t="shared" si="22"/>
        <v>1.6253034186292801</v>
      </c>
      <c r="AG78">
        <f t="shared" si="23"/>
        <v>0.19</v>
      </c>
      <c r="AH78">
        <f t="shared" si="24"/>
        <v>0.6784</v>
      </c>
      <c r="AI78">
        <f>AI61</f>
        <v>0</v>
      </c>
      <c r="AK78">
        <f>AK61</f>
        <v>0.71</v>
      </c>
      <c r="AL78">
        <f>AL61</f>
        <v>100</v>
      </c>
      <c r="AM78">
        <f>AM61</f>
        <v>4.7000000000000002E-3</v>
      </c>
      <c r="AN78">
        <f t="shared" si="29"/>
        <v>0</v>
      </c>
      <c r="AO78">
        <f t="shared" si="30"/>
        <v>9.8462701440390674E-4</v>
      </c>
      <c r="AP78">
        <f t="shared" si="31"/>
        <v>9.8462701440390674E-4</v>
      </c>
      <c r="AQ78">
        <f t="shared" si="32"/>
        <v>12.758304539138621</v>
      </c>
      <c r="AS78">
        <f t="shared" si="33"/>
        <v>5.5384615384615383</v>
      </c>
      <c r="AT78">
        <f t="shared" si="25"/>
        <v>2.1434083982391806E-2</v>
      </c>
      <c r="AU78">
        <f t="shared" si="34"/>
        <v>9.9773744902510036E-2</v>
      </c>
      <c r="AV78">
        <f t="shared" si="26"/>
        <v>1292.8182995742736</v>
      </c>
      <c r="AY78">
        <f>AY61</f>
        <v>2E-3</v>
      </c>
      <c r="BB78">
        <f t="shared" si="35"/>
        <v>0.24</v>
      </c>
      <c r="BQ78" t="s">
        <v>160</v>
      </c>
      <c r="BR78" t="s">
        <v>179</v>
      </c>
      <c r="BS78">
        <v>0.3</v>
      </c>
      <c r="BT78">
        <v>0.3</v>
      </c>
      <c r="BU78">
        <v>0.55000000000000004</v>
      </c>
      <c r="BV78">
        <v>0.55000000000000004</v>
      </c>
      <c r="BW78">
        <v>0.99</v>
      </c>
      <c r="BX78">
        <v>0.66</v>
      </c>
      <c r="BY78">
        <v>-0.22</v>
      </c>
      <c r="BZ78">
        <v>-0.33</v>
      </c>
      <c r="CA78">
        <v>0.18</v>
      </c>
      <c r="CB78">
        <v>0.18</v>
      </c>
      <c r="CC78">
        <v>0.08</v>
      </c>
      <c r="CD78">
        <v>7.0000000000000007E-2</v>
      </c>
      <c r="CE78">
        <v>0.41</v>
      </c>
      <c r="CF78">
        <v>0.06</v>
      </c>
      <c r="CG78">
        <v>0.23</v>
      </c>
      <c r="CH78">
        <v>1</v>
      </c>
    </row>
    <row r="79" spans="1:86" x14ac:dyDescent="0.2">
      <c r="H79" t="s">
        <v>163</v>
      </c>
      <c r="J79">
        <v>91.25</v>
      </c>
      <c r="K79">
        <v>137</v>
      </c>
      <c r="M79">
        <v>220</v>
      </c>
      <c r="O79">
        <v>0.7</v>
      </c>
      <c r="P79">
        <v>500</v>
      </c>
      <c r="Q79">
        <f t="shared" si="27"/>
        <v>0.44</v>
      </c>
      <c r="S79">
        <v>0</v>
      </c>
      <c r="T79">
        <v>0</v>
      </c>
      <c r="U79">
        <f>70/K78</f>
        <v>0.49295774647887325</v>
      </c>
      <c r="V79">
        <f>60/K78</f>
        <v>0.42253521126760563</v>
      </c>
      <c r="W79">
        <f>S79*B63+T79*B64</f>
        <v>0</v>
      </c>
      <c r="X79">
        <f t="shared" si="20"/>
        <v>1</v>
      </c>
      <c r="Y79">
        <f t="shared" si="21"/>
        <v>5.1913799715999973</v>
      </c>
      <c r="Z79">
        <f t="shared" si="28"/>
        <v>1.2257699173903274</v>
      </c>
      <c r="AC79">
        <v>0.1</v>
      </c>
      <c r="AE79">
        <v>0.6</v>
      </c>
      <c r="AF79">
        <f t="shared" si="22"/>
        <v>2.1014706125036788</v>
      </c>
      <c r="AG79">
        <f t="shared" si="23"/>
        <v>0.19</v>
      </c>
      <c r="AH79">
        <f t="shared" si="24"/>
        <v>0.6784</v>
      </c>
      <c r="AI79">
        <f>AI61</f>
        <v>0</v>
      </c>
      <c r="AK79">
        <f>AK61</f>
        <v>0.71</v>
      </c>
      <c r="AL79">
        <f>AL61</f>
        <v>100</v>
      </c>
      <c r="AM79">
        <f>AM61</f>
        <v>4.7000000000000002E-3</v>
      </c>
      <c r="AN79">
        <f t="shared" si="29"/>
        <v>0</v>
      </c>
      <c r="AO79">
        <f t="shared" si="30"/>
        <v>1.2730944335255887E-3</v>
      </c>
      <c r="AP79">
        <f t="shared" si="31"/>
        <v>1.2730944335255887E-3</v>
      </c>
      <c r="AQ79">
        <f t="shared" si="32"/>
        <v>15.915271787111765</v>
      </c>
      <c r="AS79">
        <f t="shared" si="33"/>
        <v>4.647887323943662</v>
      </c>
      <c r="AT79">
        <f t="shared" si="25"/>
        <v>1.4051271404335857E-2</v>
      </c>
      <c r="AU79">
        <f t="shared" si="34"/>
        <v>9.1317716963124254E-2</v>
      </c>
      <c r="AV79">
        <f t="shared" si="26"/>
        <v>1141.585609185257</v>
      </c>
      <c r="AY79">
        <f>AY61</f>
        <v>2E-3</v>
      </c>
      <c r="BB79">
        <f t="shared" si="35"/>
        <v>0.24</v>
      </c>
      <c r="BQ79" t="s">
        <v>162</v>
      </c>
      <c r="BR79" t="s">
        <v>179</v>
      </c>
      <c r="BS79">
        <v>0.3</v>
      </c>
      <c r="BT79">
        <v>0.3</v>
      </c>
      <c r="BU79">
        <v>0</v>
      </c>
      <c r="BV79">
        <v>0.44</v>
      </c>
      <c r="BW79">
        <v>-0.1</v>
      </c>
      <c r="BX79">
        <v>-0.22</v>
      </c>
      <c r="BY79">
        <v>0.55000000000000004</v>
      </c>
      <c r="BZ79">
        <v>0.66</v>
      </c>
      <c r="CA79">
        <v>0.38</v>
      </c>
      <c r="CB79">
        <v>0.24</v>
      </c>
      <c r="CC79">
        <v>0.38</v>
      </c>
      <c r="CD79">
        <v>0.76</v>
      </c>
      <c r="CE79">
        <v>0.18</v>
      </c>
      <c r="CF79">
        <v>0.53</v>
      </c>
      <c r="CG79">
        <v>0.47</v>
      </c>
      <c r="CH79">
        <v>2</v>
      </c>
    </row>
    <row r="80" spans="1:86" x14ac:dyDescent="0.2">
      <c r="H80" t="s">
        <v>164</v>
      </c>
      <c r="J80">
        <v>91.25</v>
      </c>
      <c r="K80">
        <v>132</v>
      </c>
      <c r="M80">
        <v>260</v>
      </c>
      <c r="O80">
        <v>0.4</v>
      </c>
      <c r="P80">
        <v>500</v>
      </c>
      <c r="Q80">
        <f t="shared" si="27"/>
        <v>0.52</v>
      </c>
      <c r="S80">
        <v>0</v>
      </c>
      <c r="T80">
        <v>0</v>
      </c>
      <c r="U80">
        <v>0</v>
      </c>
      <c r="V80">
        <f>70/M80</f>
        <v>0.26923076923076922</v>
      </c>
      <c r="W80">
        <f>S80*B63+T80*B64</f>
        <v>0</v>
      </c>
      <c r="X80">
        <f t="shared" si="20"/>
        <v>1</v>
      </c>
      <c r="Y80">
        <f t="shared" si="21"/>
        <v>5.3621886096000004</v>
      </c>
      <c r="Z80">
        <f t="shared" si="28"/>
        <v>1.1183986897081921</v>
      </c>
      <c r="AC80">
        <v>0.06</v>
      </c>
      <c r="AE80">
        <v>0.5</v>
      </c>
      <c r="AF80">
        <f t="shared" si="22"/>
        <v>2.6639353012492806</v>
      </c>
      <c r="AG80">
        <f t="shared" si="23"/>
        <v>0.19</v>
      </c>
      <c r="AH80">
        <f t="shared" si="24"/>
        <v>0.6784</v>
      </c>
      <c r="AI80">
        <f>AI61</f>
        <v>0</v>
      </c>
      <c r="AK80">
        <f>AK61</f>
        <v>0.71</v>
      </c>
      <c r="AL80">
        <f>AL61</f>
        <v>100</v>
      </c>
      <c r="AM80">
        <f>AM61</f>
        <v>4.7000000000000002E-3</v>
      </c>
      <c r="AN80">
        <f t="shared" si="29"/>
        <v>0</v>
      </c>
      <c r="AO80">
        <f t="shared" si="30"/>
        <v>1.6138418415721884E-3</v>
      </c>
      <c r="AP80">
        <f t="shared" si="31"/>
        <v>1.6138418415721884E-3</v>
      </c>
      <c r="AQ80">
        <f t="shared" si="32"/>
        <v>19.43872498173701</v>
      </c>
      <c r="AS80">
        <f t="shared" si="33"/>
        <v>1.0769230769230769</v>
      </c>
      <c r="AT80">
        <f t="shared" si="25"/>
        <v>7.0740821510777811E-3</v>
      </c>
      <c r="AU80">
        <f>MAX((Y80*AC80/6.25)+(0.032*AS80/6.38)-AT80-((1.1*(10^-4)*(M80^0.75))/6.25), 0)</f>
        <v>4.8664849172613413E-2</v>
      </c>
      <c r="AV80">
        <f t="shared" si="26"/>
        <v>586.16810828412849</v>
      </c>
      <c r="AY80">
        <f>AY61</f>
        <v>2E-3</v>
      </c>
      <c r="BB80">
        <f t="shared" si="35"/>
        <v>0.24</v>
      </c>
      <c r="BQ80" t="s">
        <v>163</v>
      </c>
      <c r="BR80" t="s">
        <v>179</v>
      </c>
      <c r="BS80">
        <v>0.2</v>
      </c>
      <c r="BT80">
        <v>0.2</v>
      </c>
      <c r="BU80">
        <v>-0.55000000000000004</v>
      </c>
      <c r="BV80">
        <v>-0.33</v>
      </c>
      <c r="BW80">
        <v>0.2</v>
      </c>
      <c r="BX80">
        <v>-0.55000000000000004</v>
      </c>
      <c r="BY80">
        <v>0.22</v>
      </c>
      <c r="BZ80">
        <v>0.11</v>
      </c>
      <c r="CA80">
        <v>0.35</v>
      </c>
      <c r="CB80">
        <v>0.28999999999999998</v>
      </c>
      <c r="CC80">
        <v>0.36</v>
      </c>
      <c r="CD80">
        <v>0.4</v>
      </c>
      <c r="CE80">
        <v>0.02</v>
      </c>
      <c r="CF80">
        <v>0.26</v>
      </c>
      <c r="CG80">
        <v>0.3</v>
      </c>
      <c r="CH80">
        <v>3</v>
      </c>
    </row>
    <row r="81" spans="7:86" x14ac:dyDescent="0.2">
      <c r="G81" t="s">
        <v>182</v>
      </c>
      <c r="H81" t="s">
        <v>160</v>
      </c>
      <c r="J81">
        <v>91.25</v>
      </c>
      <c r="K81">
        <v>249</v>
      </c>
      <c r="M81">
        <v>440</v>
      </c>
      <c r="O81">
        <v>0.3</v>
      </c>
      <c r="P81">
        <v>500</v>
      </c>
      <c r="Q81">
        <f t="shared" si="27"/>
        <v>0.88</v>
      </c>
      <c r="S81">
        <v>0.75</v>
      </c>
      <c r="T81">
        <v>0.03</v>
      </c>
      <c r="U81">
        <v>0</v>
      </c>
      <c r="V81">
        <v>0</v>
      </c>
      <c r="W81">
        <f>S81*B63+T81*B64</f>
        <v>4.62</v>
      </c>
      <c r="X81">
        <f t="shared" si="20"/>
        <v>1.228</v>
      </c>
      <c r="Y81">
        <f t="shared" si="21"/>
        <v>9.4477820455728008</v>
      </c>
      <c r="Z81">
        <f t="shared" si="28"/>
        <v>1.0717864499078988</v>
      </c>
      <c r="AC81">
        <v>7.0000000000000007E-2</v>
      </c>
      <c r="AE81">
        <v>0.55000000000000004</v>
      </c>
      <c r="AF81">
        <f t="shared" si="22"/>
        <v>4.2590601461442184</v>
      </c>
      <c r="AG81">
        <f t="shared" si="23"/>
        <v>0.19</v>
      </c>
      <c r="AH81">
        <f t="shared" si="24"/>
        <v>0.6784</v>
      </c>
      <c r="AI81">
        <f>AI61</f>
        <v>0</v>
      </c>
      <c r="AK81">
        <f>AK61</f>
        <v>0.71</v>
      </c>
      <c r="AL81">
        <f>AL61</f>
        <v>100</v>
      </c>
      <c r="AM81">
        <f>AM61</f>
        <v>4.7000000000000002E-3</v>
      </c>
      <c r="AN81">
        <f t="shared" si="29"/>
        <v>0</v>
      </c>
      <c r="AO81">
        <f t="shared" si="30"/>
        <v>2.5801863380078044E-3</v>
      </c>
      <c r="AP81">
        <f t="shared" si="31"/>
        <v>2.5801863380078044E-3</v>
      </c>
      <c r="AQ81">
        <f t="shared" si="32"/>
        <v>58.625058832459828</v>
      </c>
      <c r="AS81">
        <f t="shared" si="33"/>
        <v>0</v>
      </c>
      <c r="AT81">
        <f t="shared" si="25"/>
        <v>2.6697964661307878E-2</v>
      </c>
      <c r="AU81">
        <f t="shared" si="34"/>
        <v>7.7426355565636831E-2</v>
      </c>
      <c r="AV81">
        <f t="shared" si="26"/>
        <v>1759.2235813957259</v>
      </c>
      <c r="AY81">
        <f>AY61</f>
        <v>2E-3</v>
      </c>
      <c r="BB81">
        <f t="shared" si="35"/>
        <v>0.24</v>
      </c>
      <c r="BQ81" t="s">
        <v>164</v>
      </c>
      <c r="BR81" t="s">
        <v>179</v>
      </c>
      <c r="BS81">
        <v>0.1</v>
      </c>
      <c r="BT81">
        <v>0.1</v>
      </c>
      <c r="BU81">
        <v>0</v>
      </c>
      <c r="BV81">
        <v>-0.44</v>
      </c>
      <c r="BW81">
        <v>0.22</v>
      </c>
      <c r="BX81">
        <v>0.11</v>
      </c>
      <c r="BY81">
        <v>-0.22</v>
      </c>
      <c r="BZ81">
        <v>-0.44</v>
      </c>
      <c r="CA81">
        <v>0.12</v>
      </c>
      <c r="CB81">
        <v>0.19</v>
      </c>
      <c r="CC81">
        <v>0.16</v>
      </c>
      <c r="CD81">
        <v>-0.13</v>
      </c>
      <c r="CE81">
        <v>-0.1</v>
      </c>
      <c r="CF81">
        <v>0.12</v>
      </c>
      <c r="CG81">
        <v>0.11</v>
      </c>
      <c r="CH81">
        <v>4</v>
      </c>
    </row>
    <row r="82" spans="7:86" x14ac:dyDescent="0.2">
      <c r="G82" t="s">
        <v>196</v>
      </c>
      <c r="H82" t="s">
        <v>162</v>
      </c>
      <c r="J82">
        <v>91.25</v>
      </c>
      <c r="K82">
        <v>320</v>
      </c>
      <c r="M82">
        <v>470</v>
      </c>
      <c r="O82">
        <v>0.3</v>
      </c>
      <c r="P82">
        <v>500</v>
      </c>
      <c r="Q82">
        <f t="shared" si="27"/>
        <v>0.94</v>
      </c>
      <c r="S82">
        <v>0.05</v>
      </c>
      <c r="T82">
        <v>0.72</v>
      </c>
      <c r="U82">
        <v>0</v>
      </c>
      <c r="V82">
        <v>0</v>
      </c>
      <c r="W82">
        <f>S82*B63+T82*B64</f>
        <v>3.1799999999999997</v>
      </c>
      <c r="X82">
        <f t="shared" si="20"/>
        <v>1.087</v>
      </c>
      <c r="Y82">
        <f t="shared" si="21"/>
        <v>8.7608872492992003</v>
      </c>
      <c r="Z82">
        <f t="shared" si="28"/>
        <v>1.0700516381378118</v>
      </c>
      <c r="AC82">
        <v>0.13</v>
      </c>
      <c r="AE82">
        <v>0.65</v>
      </c>
      <c r="AF82">
        <f t="shared" si="22"/>
        <v>3.143406345048553</v>
      </c>
      <c r="AG82">
        <f t="shared" si="23"/>
        <v>0.19</v>
      </c>
      <c r="AH82">
        <f t="shared" si="24"/>
        <v>0.6784</v>
      </c>
      <c r="AI82">
        <f>AI61</f>
        <v>0</v>
      </c>
      <c r="AK82">
        <f>AK61</f>
        <v>0.71</v>
      </c>
      <c r="AL82">
        <f>AL61</f>
        <v>100</v>
      </c>
      <c r="AM82">
        <f>AM61</f>
        <v>4.7000000000000002E-3</v>
      </c>
      <c r="AN82">
        <f t="shared" si="29"/>
        <v>0</v>
      </c>
      <c r="AO82">
        <f t="shared" si="30"/>
        <v>1.9043107699814779E-3</v>
      </c>
      <c r="AP82">
        <f t="shared" si="31"/>
        <v>1.9043107699814779E-3</v>
      </c>
      <c r="AQ82">
        <f t="shared" si="32"/>
        <v>55.605874483459154</v>
      </c>
      <c r="AS82">
        <f t="shared" si="33"/>
        <v>0</v>
      </c>
      <c r="AT82">
        <f t="shared" si="25"/>
        <v>1.937474655844057E-2</v>
      </c>
      <c r="AU82">
        <f t="shared" si="34"/>
        <v>0.16107512293941448</v>
      </c>
      <c r="AV82">
        <f t="shared" si="26"/>
        <v>4703.3935898309028</v>
      </c>
      <c r="AY82">
        <f>AY61</f>
        <v>2E-3</v>
      </c>
      <c r="BB82">
        <f t="shared" si="35"/>
        <v>0.24</v>
      </c>
      <c r="BQ82" t="s">
        <v>160</v>
      </c>
      <c r="BR82" t="s">
        <v>176</v>
      </c>
      <c r="BS82">
        <v>0.5</v>
      </c>
      <c r="BT82">
        <v>0.5</v>
      </c>
      <c r="BU82">
        <v>0.88</v>
      </c>
      <c r="BV82">
        <v>1</v>
      </c>
      <c r="BW82">
        <v>1.1000000000000001</v>
      </c>
      <c r="BX82">
        <v>1.21</v>
      </c>
      <c r="BY82">
        <v>0.7</v>
      </c>
      <c r="BZ82">
        <v>0.33</v>
      </c>
      <c r="CA82">
        <v>0.25</v>
      </c>
      <c r="CB82">
        <v>0.2</v>
      </c>
      <c r="CC82">
        <v>0</v>
      </c>
      <c r="CD82">
        <v>0.38</v>
      </c>
      <c r="CE82">
        <v>0.41</v>
      </c>
      <c r="CF82">
        <v>0.37</v>
      </c>
      <c r="CG82">
        <v>0.24</v>
      </c>
      <c r="CH82">
        <v>1</v>
      </c>
    </row>
    <row r="83" spans="7:86" x14ac:dyDescent="0.2">
      <c r="H83" t="s">
        <v>163</v>
      </c>
      <c r="J83">
        <v>91.25</v>
      </c>
      <c r="K83">
        <v>315</v>
      </c>
      <c r="M83">
        <v>490</v>
      </c>
      <c r="O83">
        <v>0.2</v>
      </c>
      <c r="P83">
        <v>500</v>
      </c>
      <c r="Q83">
        <f t="shared" si="27"/>
        <v>0.98</v>
      </c>
      <c r="S83">
        <v>0</v>
      </c>
      <c r="T83">
        <v>0.02</v>
      </c>
      <c r="U83">
        <v>0</v>
      </c>
      <c r="V83">
        <v>0</v>
      </c>
      <c r="W83">
        <f>S83*B63+T83*B64</f>
        <v>0.08</v>
      </c>
      <c r="X83">
        <f t="shared" si="20"/>
        <v>1.002</v>
      </c>
      <c r="Y83">
        <f t="shared" si="21"/>
        <v>8.1292668371111994</v>
      </c>
      <c r="Z83">
        <f t="shared" si="28"/>
        <v>1.0457484402934745</v>
      </c>
      <c r="AC83">
        <v>0.1</v>
      </c>
      <c r="AE83">
        <v>0.6</v>
      </c>
      <c r="AF83">
        <f t="shared" si="22"/>
        <v>3.2907272156626139</v>
      </c>
      <c r="AG83">
        <f t="shared" si="23"/>
        <v>0.19</v>
      </c>
      <c r="AH83">
        <f t="shared" si="24"/>
        <v>0.6784</v>
      </c>
      <c r="AI83">
        <f>AI61</f>
        <v>0</v>
      </c>
      <c r="AK83">
        <f>AK61</f>
        <v>0.71</v>
      </c>
      <c r="AL83">
        <f>AL61</f>
        <v>100</v>
      </c>
      <c r="AM83">
        <f>AM61</f>
        <v>4.7000000000000002E-3</v>
      </c>
      <c r="AN83">
        <f t="shared" si="29"/>
        <v>0</v>
      </c>
      <c r="AO83">
        <f t="shared" si="30"/>
        <v>1.993559403393227E-3</v>
      </c>
      <c r="AP83">
        <f t="shared" si="31"/>
        <v>1.993559403393227E-3</v>
      </c>
      <c r="AQ83">
        <f t="shared" si="32"/>
        <v>57.302373101284068</v>
      </c>
      <c r="AS83">
        <f t="shared" si="33"/>
        <v>0</v>
      </c>
      <c r="AT83">
        <f t="shared" si="25"/>
        <v>2.6508317496096016E-3</v>
      </c>
      <c r="AU83">
        <f t="shared" si="34"/>
        <v>0.12558444919655537</v>
      </c>
      <c r="AV83">
        <f t="shared" si="26"/>
        <v>3609.7680115934886</v>
      </c>
      <c r="AY83">
        <f>AY61</f>
        <v>2E-3</v>
      </c>
      <c r="BB83">
        <f t="shared" si="35"/>
        <v>0.24</v>
      </c>
      <c r="BQ83" t="s">
        <v>162</v>
      </c>
      <c r="BR83" t="s">
        <v>176</v>
      </c>
      <c r="BS83">
        <v>0.9</v>
      </c>
      <c r="BT83">
        <v>0.9</v>
      </c>
      <c r="BU83">
        <v>0.66</v>
      </c>
      <c r="BV83">
        <v>0.71</v>
      </c>
      <c r="BW83">
        <v>0.22</v>
      </c>
      <c r="BX83">
        <v>0.44</v>
      </c>
      <c r="BY83">
        <v>0.77</v>
      </c>
      <c r="BZ83">
        <v>0.7</v>
      </c>
      <c r="CA83">
        <v>0.62</v>
      </c>
      <c r="CB83">
        <v>0.68</v>
      </c>
      <c r="CC83">
        <v>0.79</v>
      </c>
      <c r="CD83">
        <v>0.8</v>
      </c>
      <c r="CE83">
        <v>0.65</v>
      </c>
      <c r="CF83">
        <v>0.31</v>
      </c>
      <c r="CG83">
        <v>0.25</v>
      </c>
      <c r="CH83">
        <v>2</v>
      </c>
    </row>
    <row r="84" spans="7:86" x14ac:dyDescent="0.2">
      <c r="H84" t="s">
        <v>164</v>
      </c>
      <c r="J84">
        <v>91.25</v>
      </c>
      <c r="K84">
        <v>190</v>
      </c>
      <c r="M84">
        <v>500</v>
      </c>
      <c r="O84">
        <v>0.1</v>
      </c>
      <c r="P84">
        <v>500</v>
      </c>
      <c r="Q84">
        <f t="shared" si="27"/>
        <v>1</v>
      </c>
      <c r="S84">
        <v>0.02</v>
      </c>
      <c r="T84">
        <v>0</v>
      </c>
      <c r="U84">
        <v>0</v>
      </c>
      <c r="V84">
        <v>0</v>
      </c>
      <c r="W84">
        <f>S84*B63+T84*B64</f>
        <v>0.12</v>
      </c>
      <c r="X84">
        <f t="shared" si="20"/>
        <v>1.006</v>
      </c>
      <c r="Y84">
        <f t="shared" si="21"/>
        <v>8.0940066435000002</v>
      </c>
      <c r="Z84">
        <f t="shared" si="28"/>
        <v>1.0225860047470614</v>
      </c>
      <c r="AC84">
        <v>0.06</v>
      </c>
      <c r="AE84">
        <v>0.5</v>
      </c>
      <c r="AF84">
        <f t="shared" si="22"/>
        <v>4.0211025004907999</v>
      </c>
      <c r="AG84">
        <f t="shared" si="23"/>
        <v>0.19</v>
      </c>
      <c r="AH84">
        <f t="shared" si="24"/>
        <v>0.6784</v>
      </c>
      <c r="AI84">
        <f>AI61</f>
        <v>0</v>
      </c>
      <c r="AK84">
        <f>AK61</f>
        <v>0.71</v>
      </c>
      <c r="AL84">
        <f>AL61</f>
        <v>100</v>
      </c>
      <c r="AM84">
        <f>AM61</f>
        <v>4.7000000000000002E-3</v>
      </c>
      <c r="AN84">
        <f t="shared" si="29"/>
        <v>0</v>
      </c>
      <c r="AO84">
        <f t="shared" si="30"/>
        <v>2.4360289311453325E-3</v>
      </c>
      <c r="AP84">
        <f t="shared" si="31"/>
        <v>2.4360289311453325E-3</v>
      </c>
      <c r="AQ84">
        <f t="shared" si="32"/>
        <v>42.234651593732202</v>
      </c>
      <c r="AS84">
        <f t="shared" si="33"/>
        <v>0</v>
      </c>
      <c r="AT84">
        <f t="shared" si="25"/>
        <v>1.7195932833033853E-3</v>
      </c>
      <c r="AU84">
        <f t="shared" si="34"/>
        <v>7.4121897070641221E-2</v>
      </c>
      <c r="AV84">
        <f t="shared" si="26"/>
        <v>1285.0883904622422</v>
      </c>
      <c r="AY84">
        <f>AY61</f>
        <v>2E-3</v>
      </c>
      <c r="BB84">
        <f t="shared" si="35"/>
        <v>0.24</v>
      </c>
      <c r="BQ84" t="s">
        <v>163</v>
      </c>
      <c r="BR84" t="s">
        <v>176</v>
      </c>
      <c r="BS84">
        <v>0.7</v>
      </c>
      <c r="BT84">
        <v>0.7</v>
      </c>
      <c r="BU84">
        <v>0.7</v>
      </c>
      <c r="BV84">
        <v>0.55000000000000004</v>
      </c>
      <c r="BW84">
        <v>0.55000000000000004</v>
      </c>
      <c r="BX84">
        <v>0.6</v>
      </c>
      <c r="BY84">
        <v>0.88</v>
      </c>
      <c r="BZ84">
        <v>0.55000000000000004</v>
      </c>
      <c r="CA84">
        <v>0.54</v>
      </c>
      <c r="CB84">
        <v>0.64</v>
      </c>
      <c r="CC84">
        <v>0.55000000000000004</v>
      </c>
      <c r="CD84">
        <v>0.49</v>
      </c>
      <c r="CE84">
        <v>0.52</v>
      </c>
      <c r="CF84">
        <v>0.39</v>
      </c>
      <c r="CG84">
        <v>0.12</v>
      </c>
      <c r="CH84">
        <v>3</v>
      </c>
    </row>
    <row r="85" spans="7:86" x14ac:dyDescent="0.2">
      <c r="G85" t="s">
        <v>187</v>
      </c>
      <c r="H85" t="s">
        <v>160</v>
      </c>
      <c r="J85">
        <v>91.25</v>
      </c>
      <c r="K85">
        <v>51</v>
      </c>
      <c r="M85">
        <v>380</v>
      </c>
      <c r="O85">
        <v>0.4</v>
      </c>
      <c r="P85">
        <v>600</v>
      </c>
      <c r="Q85">
        <f t="shared" si="27"/>
        <v>0.6333333333333333</v>
      </c>
      <c r="S85">
        <v>0</v>
      </c>
      <c r="T85">
        <v>0</v>
      </c>
      <c r="U85">
        <v>0</v>
      </c>
      <c r="V85">
        <v>0</v>
      </c>
      <c r="W85">
        <f>S85*B63+T85*B64</f>
        <v>0</v>
      </c>
      <c r="X85">
        <f t="shared" si="20"/>
        <v>1</v>
      </c>
      <c r="Y85">
        <f t="shared" si="21"/>
        <v>7.0796437775999967</v>
      </c>
      <c r="Z85">
        <f>Y85 / ((1.185 + 0.00454 * M85 - 0.0000026 * M85 ^ 2) ^ 2 * X85)</f>
        <v>1.101888665936833</v>
      </c>
      <c r="AC85">
        <v>7.0000000000000007E-2</v>
      </c>
      <c r="AE85">
        <v>0.55000000000000004</v>
      </c>
      <c r="AF85">
        <f t="shared" si="22"/>
        <v>3.1915034149420785</v>
      </c>
      <c r="AG85">
        <f t="shared" si="23"/>
        <v>0.19</v>
      </c>
      <c r="AH85">
        <f t="shared" si="24"/>
        <v>0.6784</v>
      </c>
      <c r="AI85">
        <f>AI61</f>
        <v>0</v>
      </c>
      <c r="AK85">
        <f>AK61</f>
        <v>0.71</v>
      </c>
      <c r="AL85">
        <f>AL61</f>
        <v>100</v>
      </c>
      <c r="AM85">
        <f>AM61</f>
        <v>4.7000000000000002E-3</v>
      </c>
      <c r="AN85">
        <f t="shared" si="29"/>
        <v>0</v>
      </c>
      <c r="AO85">
        <f t="shared" si="30"/>
        <v>1.9334485136101587E-3</v>
      </c>
      <c r="AP85">
        <f t="shared" si="31"/>
        <v>1.9334485136101587E-3</v>
      </c>
      <c r="AQ85">
        <f t="shared" si="32"/>
        <v>8.997786020213276</v>
      </c>
      <c r="AS85">
        <f t="shared" si="33"/>
        <v>0</v>
      </c>
      <c r="AT85">
        <f t="shared" si="25"/>
        <v>5.9536831562818594E-3</v>
      </c>
      <c r="AU85">
        <f t="shared" si="34"/>
        <v>7.1823544352451044E-2</v>
      </c>
      <c r="AV85">
        <f t="shared" si="26"/>
        <v>334.24881953021907</v>
      </c>
      <c r="AY85">
        <f>AY61</f>
        <v>2E-3</v>
      </c>
      <c r="BB85">
        <f t="shared" si="35"/>
        <v>0.24</v>
      </c>
      <c r="BQ85" t="s">
        <v>164</v>
      </c>
      <c r="BR85" t="s">
        <v>176</v>
      </c>
      <c r="BS85">
        <v>0.4</v>
      </c>
      <c r="BT85">
        <v>0.4</v>
      </c>
      <c r="BU85">
        <v>0.77</v>
      </c>
      <c r="BV85">
        <v>0.11</v>
      </c>
      <c r="BW85">
        <v>0.49</v>
      </c>
      <c r="BX85">
        <v>0.77</v>
      </c>
      <c r="BY85">
        <v>0.22</v>
      </c>
      <c r="BZ85">
        <v>0.11</v>
      </c>
      <c r="CA85">
        <v>0.22</v>
      </c>
      <c r="CB85">
        <v>0.31</v>
      </c>
      <c r="CC85">
        <v>0.02</v>
      </c>
      <c r="CD85">
        <v>0.13</v>
      </c>
      <c r="CE85">
        <v>0.25</v>
      </c>
      <c r="CF85">
        <v>0.21</v>
      </c>
      <c r="CG85">
        <v>0.06</v>
      </c>
      <c r="CH85">
        <v>4</v>
      </c>
    </row>
    <row r="86" spans="7:86" x14ac:dyDescent="0.2">
      <c r="G86" t="s">
        <v>197</v>
      </c>
      <c r="H86" t="s">
        <v>162</v>
      </c>
      <c r="J86">
        <v>91.25</v>
      </c>
      <c r="K86">
        <v>112</v>
      </c>
      <c r="M86">
        <v>420</v>
      </c>
      <c r="O86">
        <v>0.4</v>
      </c>
      <c r="P86">
        <v>600</v>
      </c>
      <c r="Q86">
        <f t="shared" si="27"/>
        <v>0.7</v>
      </c>
      <c r="S86">
        <v>0</v>
      </c>
      <c r="T86">
        <v>0</v>
      </c>
      <c r="U86">
        <v>0</v>
      </c>
      <c r="V86">
        <v>0</v>
      </c>
      <c r="W86">
        <f>S86*B63+T86*B64</f>
        <v>0</v>
      </c>
      <c r="X86">
        <f t="shared" si="20"/>
        <v>1</v>
      </c>
      <c r="Y86">
        <f t="shared" si="21"/>
        <v>7.6129639056</v>
      </c>
      <c r="Z86">
        <f t="shared" si="28"/>
        <v>1.0979922441560788</v>
      </c>
      <c r="AC86">
        <v>0.13</v>
      </c>
      <c r="AE86">
        <v>0.65</v>
      </c>
      <c r="AF86">
        <f t="shared" si="22"/>
        <v>2.7315314493292799</v>
      </c>
      <c r="AG86">
        <f t="shared" si="23"/>
        <v>0.19</v>
      </c>
      <c r="AH86">
        <f t="shared" si="24"/>
        <v>0.6784</v>
      </c>
      <c r="AI86">
        <f>AI61</f>
        <v>0</v>
      </c>
      <c r="AK86">
        <f>AK61</f>
        <v>0.71</v>
      </c>
      <c r="AL86">
        <f>AL61</f>
        <v>100</v>
      </c>
      <c r="AM86">
        <f>AM61</f>
        <v>4.7000000000000002E-3</v>
      </c>
      <c r="AN86">
        <f t="shared" si="29"/>
        <v>0</v>
      </c>
      <c r="AO86">
        <f t="shared" si="30"/>
        <v>1.6547923451559103E-3</v>
      </c>
      <c r="AP86">
        <f t="shared" si="31"/>
        <v>1.6547923451559103E-3</v>
      </c>
      <c r="AQ86">
        <f t="shared" si="32"/>
        <v>16.911977767493404</v>
      </c>
      <c r="AS86">
        <f t="shared" si="33"/>
        <v>0</v>
      </c>
      <c r="AT86">
        <f t="shared" si="25"/>
        <v>5.4689366245148753E-3</v>
      </c>
      <c r="AU86">
        <f t="shared" si="34"/>
        <v>0.1512478500353282</v>
      </c>
      <c r="AV86">
        <f t="shared" si="26"/>
        <v>1545.7530273610541</v>
      </c>
      <c r="AY86">
        <f>AY61</f>
        <v>2E-3</v>
      </c>
      <c r="BB86">
        <f t="shared" si="35"/>
        <v>0.24</v>
      </c>
      <c r="BQ86" t="s">
        <v>160</v>
      </c>
      <c r="BR86" t="s">
        <v>182</v>
      </c>
      <c r="BS86">
        <v>0.3</v>
      </c>
      <c r="BT86">
        <v>0.3</v>
      </c>
      <c r="BU86">
        <v>0.55000000000000004</v>
      </c>
      <c r="BV86">
        <v>0.55000000000000004</v>
      </c>
      <c r="BW86">
        <v>0.99</v>
      </c>
      <c r="BX86">
        <v>0.66</v>
      </c>
      <c r="BY86">
        <v>-0.22</v>
      </c>
      <c r="BZ86">
        <v>-0.33</v>
      </c>
      <c r="CA86">
        <v>-0.28000000000000003</v>
      </c>
      <c r="CB86">
        <v>0.01</v>
      </c>
      <c r="CC86">
        <v>0.17</v>
      </c>
      <c r="CD86">
        <v>0.05</v>
      </c>
      <c r="CE86">
        <v>-0.19</v>
      </c>
      <c r="CF86">
        <v>-0.02</v>
      </c>
      <c r="CG86">
        <v>-0.05</v>
      </c>
      <c r="CH86">
        <v>1</v>
      </c>
    </row>
    <row r="87" spans="7:86" x14ac:dyDescent="0.2">
      <c r="H87" t="s">
        <v>163</v>
      </c>
      <c r="J87">
        <v>91.25</v>
      </c>
      <c r="K87">
        <v>107</v>
      </c>
      <c r="M87">
        <v>450</v>
      </c>
      <c r="O87">
        <v>0.3</v>
      </c>
      <c r="P87">
        <v>600</v>
      </c>
      <c r="Q87">
        <f t="shared" si="27"/>
        <v>0.75</v>
      </c>
      <c r="S87">
        <v>0</v>
      </c>
      <c r="T87">
        <v>0</v>
      </c>
      <c r="U87">
        <v>0</v>
      </c>
      <c r="V87">
        <v>0</v>
      </c>
      <c r="W87">
        <f>S87*B63+T87*B64</f>
        <v>0</v>
      </c>
      <c r="X87">
        <f t="shared" si="20"/>
        <v>1</v>
      </c>
      <c r="Y87">
        <f t="shared" si="21"/>
        <v>7.8176159999999992</v>
      </c>
      <c r="Z87">
        <f t="shared" si="28"/>
        <v>1.0711847727263619</v>
      </c>
      <c r="AC87">
        <v>0.1</v>
      </c>
      <c r="AE87">
        <v>0.6</v>
      </c>
      <c r="AF87">
        <f t="shared" si="22"/>
        <v>3.1645709568</v>
      </c>
      <c r="AG87">
        <f t="shared" si="23"/>
        <v>0.19</v>
      </c>
      <c r="AH87">
        <f t="shared" si="24"/>
        <v>0.6784</v>
      </c>
      <c r="AI87">
        <f>AI61</f>
        <v>0</v>
      </c>
      <c r="AK87">
        <f>AK61</f>
        <v>0.71</v>
      </c>
      <c r="AL87">
        <f>AL61</f>
        <v>100</v>
      </c>
      <c r="AM87">
        <f>AM61</f>
        <v>4.7000000000000002E-3</v>
      </c>
      <c r="AN87">
        <f t="shared" si="29"/>
        <v>0</v>
      </c>
      <c r="AO87">
        <f t="shared" si="30"/>
        <v>1.9171325288241561E-3</v>
      </c>
      <c r="AP87">
        <f t="shared" si="31"/>
        <v>1.9171325288241561E-3</v>
      </c>
      <c r="AQ87">
        <f t="shared" si="32"/>
        <v>18.718402728306852</v>
      </c>
      <c r="AS87">
        <f t="shared" si="33"/>
        <v>0</v>
      </c>
      <c r="AT87">
        <f t="shared" si="25"/>
        <v>3.8897983284177057E-3</v>
      </c>
      <c r="AU87">
        <f t="shared" si="34"/>
        <v>0.11947247898676014</v>
      </c>
      <c r="AV87">
        <f t="shared" si="26"/>
        <v>1166.4994167069794</v>
      </c>
      <c r="AY87">
        <f>AY61</f>
        <v>2E-3</v>
      </c>
      <c r="BB87">
        <f t="shared" si="35"/>
        <v>0.24</v>
      </c>
      <c r="BQ87" t="s">
        <v>162</v>
      </c>
      <c r="BR87" t="s">
        <v>182</v>
      </c>
      <c r="BS87">
        <v>0.3</v>
      </c>
      <c r="BT87">
        <v>0.3</v>
      </c>
      <c r="BU87">
        <v>0</v>
      </c>
      <c r="BV87">
        <v>0.44</v>
      </c>
      <c r="BW87">
        <v>-0.1</v>
      </c>
      <c r="BX87">
        <v>-0.22</v>
      </c>
      <c r="BY87">
        <v>0.55000000000000004</v>
      </c>
      <c r="BZ87">
        <v>0.66</v>
      </c>
      <c r="CA87">
        <v>0.27</v>
      </c>
      <c r="CB87">
        <v>0.25</v>
      </c>
      <c r="CC87">
        <v>0.27</v>
      </c>
      <c r="CD87">
        <v>0.49</v>
      </c>
      <c r="CE87">
        <v>0.63</v>
      </c>
      <c r="CF87">
        <v>0.15</v>
      </c>
      <c r="CG87">
        <v>0.31</v>
      </c>
      <c r="CH87">
        <v>2</v>
      </c>
    </row>
    <row r="88" spans="7:86" x14ac:dyDescent="0.2">
      <c r="H88" t="s">
        <v>164</v>
      </c>
      <c r="J88">
        <v>91.25</v>
      </c>
      <c r="K88">
        <v>94</v>
      </c>
      <c r="M88">
        <v>460</v>
      </c>
      <c r="O88">
        <v>0.1</v>
      </c>
      <c r="P88">
        <v>600</v>
      </c>
      <c r="Q88">
        <f t="shared" si="27"/>
        <v>0.76666666666666672</v>
      </c>
      <c r="S88">
        <v>0</v>
      </c>
      <c r="T88">
        <v>0</v>
      </c>
      <c r="U88">
        <v>0</v>
      </c>
      <c r="V88">
        <v>0</v>
      </c>
      <c r="W88">
        <f>S88*B63+T88*B64</f>
        <v>0</v>
      </c>
      <c r="X88">
        <f t="shared" si="20"/>
        <v>1</v>
      </c>
      <c r="Y88">
        <f t="shared" si="21"/>
        <v>7.5885924675999998</v>
      </c>
      <c r="Z88">
        <f t="shared" si="28"/>
        <v>1.0232680056743308</v>
      </c>
      <c r="AC88">
        <v>0.06</v>
      </c>
      <c r="AE88">
        <v>0.5</v>
      </c>
      <c r="AF88">
        <f t="shared" si="22"/>
        <v>3.7700127379036799</v>
      </c>
      <c r="AG88">
        <f t="shared" si="23"/>
        <v>0.19</v>
      </c>
      <c r="AH88">
        <f t="shared" si="24"/>
        <v>0.6784</v>
      </c>
      <c r="AI88">
        <f>AI61</f>
        <v>0</v>
      </c>
      <c r="AK88">
        <f>AK61</f>
        <v>0.71</v>
      </c>
      <c r="AL88">
        <f>AL61</f>
        <v>100</v>
      </c>
      <c r="AM88">
        <f>AM61</f>
        <v>4.7000000000000002E-3</v>
      </c>
      <c r="AN88">
        <f t="shared" si="29"/>
        <v>0</v>
      </c>
      <c r="AO88">
        <f t="shared" si="30"/>
        <v>2.283915940764714E-3</v>
      </c>
      <c r="AP88">
        <f t="shared" si="31"/>
        <v>2.283915940764714E-3</v>
      </c>
      <c r="AQ88">
        <f t="shared" si="32"/>
        <v>19.590288981909332</v>
      </c>
      <c r="AS88">
        <f t="shared" si="33"/>
        <v>0</v>
      </c>
      <c r="AT88">
        <f t="shared" si="25"/>
        <v>1.2768791052116398E-3</v>
      </c>
      <c r="AU88">
        <f t="shared" si="34"/>
        <v>6.982544913625581E-2</v>
      </c>
      <c r="AV88">
        <f t="shared" si="26"/>
        <v>598.92778996623417</v>
      </c>
      <c r="AY88">
        <f>AY61</f>
        <v>2E-3</v>
      </c>
      <c r="BB88">
        <f t="shared" si="35"/>
        <v>0.24</v>
      </c>
      <c r="BQ88" t="s">
        <v>163</v>
      </c>
      <c r="BR88" t="s">
        <v>182</v>
      </c>
      <c r="BS88">
        <v>0.2</v>
      </c>
      <c r="BT88">
        <v>0.2</v>
      </c>
      <c r="BU88">
        <v>-0.55000000000000004</v>
      </c>
      <c r="BV88">
        <v>-0.33</v>
      </c>
      <c r="BW88">
        <v>0.2</v>
      </c>
      <c r="BX88">
        <v>-0.55000000000000004</v>
      </c>
      <c r="BY88">
        <v>0.22</v>
      </c>
      <c r="BZ88">
        <v>0.11</v>
      </c>
      <c r="CA88">
        <v>0.15</v>
      </c>
      <c r="CB88">
        <v>0.12</v>
      </c>
      <c r="CC88">
        <v>0.06</v>
      </c>
      <c r="CD88">
        <v>0.17</v>
      </c>
      <c r="CE88">
        <v>0.04</v>
      </c>
      <c r="CF88">
        <v>0.11</v>
      </c>
      <c r="CG88">
        <v>0.08</v>
      </c>
      <c r="CH88">
        <v>3</v>
      </c>
    </row>
    <row r="89" spans="7:86" x14ac:dyDescent="0.2">
      <c r="G89" t="s">
        <v>188</v>
      </c>
      <c r="H89" t="s">
        <v>160</v>
      </c>
      <c r="J89">
        <v>91.25</v>
      </c>
      <c r="K89">
        <v>61</v>
      </c>
      <c r="M89">
        <v>380</v>
      </c>
      <c r="O89">
        <v>0.4</v>
      </c>
      <c r="P89">
        <v>600</v>
      </c>
      <c r="Q89">
        <f t="shared" si="27"/>
        <v>0.6333333333333333</v>
      </c>
      <c r="S89">
        <v>0</v>
      </c>
      <c r="T89">
        <v>0</v>
      </c>
      <c r="U89">
        <v>0</v>
      </c>
      <c r="V89">
        <v>0</v>
      </c>
      <c r="W89">
        <f>S89*B63+T89*B64</f>
        <v>0</v>
      </c>
      <c r="X89">
        <f t="shared" si="20"/>
        <v>1</v>
      </c>
      <c r="Y89">
        <f t="shared" si="21"/>
        <v>7.0796437775999967</v>
      </c>
      <c r="Z89">
        <f t="shared" si="28"/>
        <v>1.101888665936833</v>
      </c>
      <c r="AC89">
        <v>7.0000000000000007E-2</v>
      </c>
      <c r="AE89">
        <v>0.55000000000000004</v>
      </c>
      <c r="AF89">
        <f t="shared" si="22"/>
        <v>3.1915034149420785</v>
      </c>
      <c r="AG89">
        <f t="shared" si="23"/>
        <v>0.19</v>
      </c>
      <c r="AH89">
        <f t="shared" si="24"/>
        <v>0.6784</v>
      </c>
      <c r="AI89">
        <f>AI61</f>
        <v>0</v>
      </c>
      <c r="AK89">
        <f>AK61</f>
        <v>0.71</v>
      </c>
      <c r="AL89">
        <f>AL61</f>
        <v>100</v>
      </c>
      <c r="AM89">
        <f>AM61</f>
        <v>4.7000000000000002E-3</v>
      </c>
      <c r="AN89">
        <f t="shared" si="29"/>
        <v>0</v>
      </c>
      <c r="AO89">
        <f t="shared" si="30"/>
        <v>1.9334485136101587E-3</v>
      </c>
      <c r="AP89">
        <f t="shared" si="31"/>
        <v>1.9334485136101587E-3</v>
      </c>
      <c r="AQ89">
        <f t="shared" si="32"/>
        <v>10.762057788882545</v>
      </c>
      <c r="AS89">
        <f t="shared" si="33"/>
        <v>0</v>
      </c>
      <c r="AT89">
        <f t="shared" si="25"/>
        <v>5.9536831562818594E-3</v>
      </c>
      <c r="AU89">
        <f t="shared" si="34"/>
        <v>7.1823544352451044E-2</v>
      </c>
      <c r="AV89">
        <f t="shared" si="26"/>
        <v>399.78780375183061</v>
      </c>
      <c r="AY89">
        <f>AY61</f>
        <v>2E-3</v>
      </c>
      <c r="BB89">
        <f t="shared" si="35"/>
        <v>0.24</v>
      </c>
      <c r="BQ89" t="s">
        <v>164</v>
      </c>
      <c r="BR89" t="s">
        <v>182</v>
      </c>
      <c r="BS89">
        <v>0.1</v>
      </c>
      <c r="BT89">
        <v>0.1</v>
      </c>
      <c r="BU89">
        <v>0</v>
      </c>
      <c r="BV89">
        <v>-0.44</v>
      </c>
      <c r="BW89">
        <v>0.22</v>
      </c>
      <c r="BX89">
        <v>0.11</v>
      </c>
      <c r="BY89">
        <v>-0.22</v>
      </c>
      <c r="BZ89">
        <v>-0.44</v>
      </c>
      <c r="CA89">
        <v>0.02</v>
      </c>
      <c r="CB89">
        <v>0.04</v>
      </c>
      <c r="CC89">
        <v>-0.04</v>
      </c>
      <c r="CD89">
        <v>7.0000000000000007E-2</v>
      </c>
      <c r="CE89">
        <v>-0.02</v>
      </c>
      <c r="CF89">
        <v>0.06</v>
      </c>
      <c r="CG89">
        <v>-7.0000000000000007E-2</v>
      </c>
      <c r="CH89">
        <v>4</v>
      </c>
    </row>
    <row r="90" spans="7:86" x14ac:dyDescent="0.2">
      <c r="G90" t="s">
        <v>198</v>
      </c>
      <c r="H90" t="s">
        <v>162</v>
      </c>
      <c r="J90">
        <v>91.25</v>
      </c>
      <c r="K90">
        <v>106</v>
      </c>
      <c r="M90">
        <v>420</v>
      </c>
      <c r="O90">
        <v>0.4</v>
      </c>
      <c r="P90">
        <v>600</v>
      </c>
      <c r="Q90">
        <f t="shared" si="27"/>
        <v>0.7</v>
      </c>
      <c r="S90">
        <v>0</v>
      </c>
      <c r="T90">
        <v>0</v>
      </c>
      <c r="U90">
        <v>0</v>
      </c>
      <c r="V90">
        <v>0</v>
      </c>
      <c r="W90">
        <f>S90*B63+T90*B64</f>
        <v>0</v>
      </c>
      <c r="X90">
        <f t="shared" si="20"/>
        <v>1</v>
      </c>
      <c r="Y90">
        <f t="shared" si="21"/>
        <v>7.6129639056</v>
      </c>
      <c r="Z90">
        <f t="shared" si="28"/>
        <v>1.0979922441560788</v>
      </c>
      <c r="AC90">
        <v>0.13</v>
      </c>
      <c r="AE90">
        <v>0.65</v>
      </c>
      <c r="AF90">
        <f t="shared" si="22"/>
        <v>2.7315314493292799</v>
      </c>
      <c r="AG90">
        <f t="shared" si="23"/>
        <v>0.19</v>
      </c>
      <c r="AH90">
        <f t="shared" si="24"/>
        <v>0.6784</v>
      </c>
      <c r="AI90">
        <f>AI61</f>
        <v>0</v>
      </c>
      <c r="AK90">
        <f>AK61</f>
        <v>0.71</v>
      </c>
      <c r="AL90">
        <f>AL61</f>
        <v>100</v>
      </c>
      <c r="AM90">
        <f>AM61</f>
        <v>4.7000000000000002E-3</v>
      </c>
      <c r="AN90">
        <f t="shared" si="29"/>
        <v>0</v>
      </c>
      <c r="AO90">
        <f t="shared" si="30"/>
        <v>1.6547923451559103E-3</v>
      </c>
      <c r="AP90">
        <f t="shared" si="31"/>
        <v>1.6547923451559103E-3</v>
      </c>
      <c r="AQ90">
        <f t="shared" si="32"/>
        <v>16.005978958520544</v>
      </c>
      <c r="AS90">
        <f t="shared" si="33"/>
        <v>0</v>
      </c>
      <c r="AT90">
        <f t="shared" si="25"/>
        <v>5.4689366245148753E-3</v>
      </c>
      <c r="AU90">
        <f>MAX((Y90*AC90/6.25)+(0.032*AS90/6.38)-AT90-((1.1*(10^-4)*(M90^0.75))/6.25), 0)</f>
        <v>0.1512478500353282</v>
      </c>
      <c r="AV90">
        <f t="shared" si="26"/>
        <v>1462.9448294667118</v>
      </c>
      <c r="AY90">
        <f>AY61</f>
        <v>2E-3</v>
      </c>
      <c r="BB90">
        <f t="shared" si="35"/>
        <v>0.24</v>
      </c>
      <c r="BQ90" t="s">
        <v>160</v>
      </c>
      <c r="BR90" t="s">
        <v>187</v>
      </c>
      <c r="BS90">
        <v>0.4</v>
      </c>
      <c r="BT90">
        <v>0.4</v>
      </c>
      <c r="BU90">
        <v>0.22</v>
      </c>
      <c r="BV90">
        <v>0.5</v>
      </c>
      <c r="BW90">
        <v>0.77</v>
      </c>
      <c r="BX90">
        <v>1.1000000000000001</v>
      </c>
      <c r="BY90">
        <v>-0.22</v>
      </c>
      <c r="BZ90">
        <v>-0.66</v>
      </c>
      <c r="CA90">
        <v>0.24</v>
      </c>
      <c r="CB90">
        <v>0.09</v>
      </c>
      <c r="CC90">
        <v>0.02</v>
      </c>
      <c r="CD90">
        <v>0.55000000000000004</v>
      </c>
      <c r="CE90">
        <v>1.07</v>
      </c>
      <c r="CF90">
        <v>0.44</v>
      </c>
      <c r="CG90">
        <v>0.3</v>
      </c>
      <c r="CH90">
        <v>1</v>
      </c>
    </row>
    <row r="91" spans="7:86" x14ac:dyDescent="0.2">
      <c r="H91" t="s">
        <v>163</v>
      </c>
      <c r="J91">
        <v>91.25</v>
      </c>
      <c r="K91">
        <v>95</v>
      </c>
      <c r="M91">
        <v>450</v>
      </c>
      <c r="O91">
        <v>0.3</v>
      </c>
      <c r="P91">
        <v>600</v>
      </c>
      <c r="Q91">
        <f t="shared" si="27"/>
        <v>0.75</v>
      </c>
      <c r="S91">
        <v>0</v>
      </c>
      <c r="T91">
        <v>0</v>
      </c>
      <c r="U91">
        <v>0</v>
      </c>
      <c r="V91">
        <v>0</v>
      </c>
      <c r="W91">
        <f>S91*B63+T91*B64</f>
        <v>0</v>
      </c>
      <c r="X91">
        <f t="shared" si="20"/>
        <v>1</v>
      </c>
      <c r="Y91">
        <f t="shared" si="21"/>
        <v>7.8176159999999992</v>
      </c>
      <c r="Z91">
        <f t="shared" si="28"/>
        <v>1.0711847727263619</v>
      </c>
      <c r="AC91">
        <v>0.1</v>
      </c>
      <c r="AE91">
        <v>0.6</v>
      </c>
      <c r="AF91">
        <f t="shared" si="22"/>
        <v>3.1645709568</v>
      </c>
      <c r="AG91">
        <f t="shared" si="23"/>
        <v>0.19</v>
      </c>
      <c r="AH91">
        <f t="shared" si="24"/>
        <v>0.6784</v>
      </c>
      <c r="AI91">
        <f>AI61</f>
        <v>0</v>
      </c>
      <c r="AK91">
        <f>AK61</f>
        <v>0.71</v>
      </c>
      <c r="AL91">
        <f>AL61</f>
        <v>100</v>
      </c>
      <c r="AM91">
        <f>AM61</f>
        <v>4.7000000000000002E-3</v>
      </c>
      <c r="AN91">
        <f t="shared" si="29"/>
        <v>0</v>
      </c>
      <c r="AO91">
        <f t="shared" si="30"/>
        <v>1.9171325288241561E-3</v>
      </c>
      <c r="AP91">
        <f t="shared" si="31"/>
        <v>1.9171325288241561E-3</v>
      </c>
      <c r="AQ91">
        <f t="shared" si="32"/>
        <v>16.619142609244403</v>
      </c>
      <c r="AS91">
        <f t="shared" si="33"/>
        <v>0</v>
      </c>
      <c r="AT91">
        <f t="shared" si="25"/>
        <v>3.8897983284177057E-3</v>
      </c>
      <c r="AU91">
        <f t="shared" si="34"/>
        <v>0.11947247898676014</v>
      </c>
      <c r="AV91">
        <f t="shared" si="26"/>
        <v>1035.677052216477</v>
      </c>
      <c r="AY91">
        <f>AY61</f>
        <v>2E-3</v>
      </c>
      <c r="BB91">
        <f t="shared" si="35"/>
        <v>0.24</v>
      </c>
      <c r="BQ91" t="s">
        <v>162</v>
      </c>
      <c r="BR91" t="s">
        <v>187</v>
      </c>
      <c r="BS91">
        <v>0.4</v>
      </c>
      <c r="BT91">
        <v>0.4</v>
      </c>
      <c r="BU91">
        <v>0</v>
      </c>
      <c r="BV91">
        <v>0.5</v>
      </c>
      <c r="BW91">
        <v>0.11</v>
      </c>
      <c r="BX91">
        <v>-0.11</v>
      </c>
      <c r="BY91">
        <v>0.33</v>
      </c>
      <c r="BZ91">
        <v>0.55000000000000004</v>
      </c>
      <c r="CA91">
        <v>0.64</v>
      </c>
      <c r="CB91">
        <v>0.37</v>
      </c>
      <c r="CC91">
        <v>0.16</v>
      </c>
      <c r="CD91">
        <v>0.51</v>
      </c>
      <c r="CE91">
        <v>0.48</v>
      </c>
      <c r="CF91">
        <v>0.56999999999999995</v>
      </c>
      <c r="CG91">
        <v>0.4</v>
      </c>
      <c r="CH91">
        <v>2</v>
      </c>
    </row>
    <row r="92" spans="7:86" x14ac:dyDescent="0.2">
      <c r="H92" t="s">
        <v>164</v>
      </c>
      <c r="J92">
        <v>91.25</v>
      </c>
      <c r="K92">
        <v>48</v>
      </c>
      <c r="M92">
        <v>460</v>
      </c>
      <c r="O92">
        <v>0.1</v>
      </c>
      <c r="P92">
        <v>600</v>
      </c>
      <c r="Q92">
        <f t="shared" si="27"/>
        <v>0.76666666666666672</v>
      </c>
      <c r="S92">
        <v>0</v>
      </c>
      <c r="T92">
        <v>0</v>
      </c>
      <c r="U92">
        <v>0</v>
      </c>
      <c r="V92">
        <v>0</v>
      </c>
      <c r="W92">
        <f>S92*B63+T92*B64</f>
        <v>0</v>
      </c>
      <c r="X92">
        <f t="shared" si="20"/>
        <v>1</v>
      </c>
      <c r="Y92">
        <f t="shared" si="21"/>
        <v>7.5885924675999998</v>
      </c>
      <c r="Z92">
        <f t="shared" si="28"/>
        <v>1.0232680056743308</v>
      </c>
      <c r="AC92">
        <v>0.06</v>
      </c>
      <c r="AE92">
        <v>0.5</v>
      </c>
      <c r="AF92">
        <f t="shared" si="22"/>
        <v>3.7700127379036799</v>
      </c>
      <c r="AG92">
        <f t="shared" si="23"/>
        <v>0.19</v>
      </c>
      <c r="AH92">
        <f t="shared" si="24"/>
        <v>0.6784</v>
      </c>
      <c r="AI92">
        <f>AI61</f>
        <v>0</v>
      </c>
      <c r="AK92">
        <f>AK61</f>
        <v>0.71</v>
      </c>
      <c r="AL92">
        <f>AL61</f>
        <v>100</v>
      </c>
      <c r="AM92">
        <f>AM61</f>
        <v>4.7000000000000002E-3</v>
      </c>
      <c r="AN92">
        <f t="shared" si="29"/>
        <v>0</v>
      </c>
      <c r="AO92">
        <f t="shared" si="30"/>
        <v>2.283915940764714E-3</v>
      </c>
      <c r="AP92">
        <f t="shared" si="31"/>
        <v>2.283915940764714E-3</v>
      </c>
      <c r="AQ92">
        <f t="shared" si="32"/>
        <v>10.003551820549449</v>
      </c>
      <c r="AS92">
        <f t="shared" si="33"/>
        <v>0</v>
      </c>
      <c r="AT92">
        <f t="shared" si="25"/>
        <v>1.2768791052116398E-3</v>
      </c>
      <c r="AU92">
        <f t="shared" si="34"/>
        <v>6.982544913625581E-2</v>
      </c>
      <c r="AV92">
        <f t="shared" si="26"/>
        <v>305.83546721680045</v>
      </c>
      <c r="AY92">
        <f>AY61</f>
        <v>2E-3</v>
      </c>
      <c r="BB92">
        <f t="shared" si="35"/>
        <v>0.24</v>
      </c>
      <c r="BQ92" t="s">
        <v>163</v>
      </c>
      <c r="BR92" t="s">
        <v>187</v>
      </c>
      <c r="BS92">
        <v>0.3</v>
      </c>
      <c r="BT92">
        <v>0.3</v>
      </c>
      <c r="BU92">
        <v>-0.22</v>
      </c>
      <c r="BV92">
        <v>0.33</v>
      </c>
      <c r="BW92">
        <v>0.2</v>
      </c>
      <c r="BX92">
        <v>0</v>
      </c>
      <c r="BY92">
        <v>0.22</v>
      </c>
      <c r="BZ92">
        <v>0.44</v>
      </c>
      <c r="CA92">
        <v>0.54</v>
      </c>
      <c r="CB92">
        <v>0.49</v>
      </c>
      <c r="CC92">
        <v>0.23</v>
      </c>
      <c r="CD92">
        <v>0.64</v>
      </c>
      <c r="CE92">
        <v>0.42</v>
      </c>
      <c r="CF92">
        <v>0.44</v>
      </c>
      <c r="CG92">
        <v>0.24</v>
      </c>
      <c r="CH92">
        <v>3</v>
      </c>
    </row>
    <row r="93" spans="7:86" x14ac:dyDescent="0.2">
      <c r="G93" t="s">
        <v>186</v>
      </c>
      <c r="H93" t="s">
        <v>160</v>
      </c>
      <c r="J93">
        <v>91.25</v>
      </c>
      <c r="K93">
        <v>39</v>
      </c>
      <c r="M93">
        <v>75</v>
      </c>
      <c r="O93">
        <v>0.5</v>
      </c>
      <c r="P93">
        <v>600</v>
      </c>
      <c r="Q93">
        <f t="shared" si="27"/>
        <v>0.125</v>
      </c>
      <c r="S93">
        <v>0</v>
      </c>
      <c r="T93">
        <v>0</v>
      </c>
      <c r="U93">
        <f>27/K93</f>
        <v>0.69230769230769229</v>
      </c>
      <c r="V93">
        <v>0</v>
      </c>
      <c r="W93">
        <f>S93*B63+T93*B64</f>
        <v>0</v>
      </c>
      <c r="X93">
        <f t="shared" si="20"/>
        <v>1</v>
      </c>
      <c r="Y93">
        <f t="shared" si="21"/>
        <v>2.7834751406249998</v>
      </c>
      <c r="Z93">
        <f t="shared" si="28"/>
        <v>1.2193553180247376</v>
      </c>
      <c r="AC93">
        <v>7.0000000000000007E-2</v>
      </c>
      <c r="AE93">
        <v>0.55000000000000004</v>
      </c>
      <c r="AF93">
        <f t="shared" si="22"/>
        <v>1.25479059339375</v>
      </c>
      <c r="AG93">
        <f t="shared" si="23"/>
        <v>0.19</v>
      </c>
      <c r="AH93">
        <f t="shared" si="24"/>
        <v>0.6784</v>
      </c>
      <c r="AI93">
        <f>AI61</f>
        <v>0</v>
      </c>
      <c r="AK93">
        <f>AK61</f>
        <v>0.71</v>
      </c>
      <c r="AL93">
        <f>AL61</f>
        <v>100</v>
      </c>
      <c r="AM93">
        <f>AM61</f>
        <v>4.7000000000000002E-3</v>
      </c>
      <c r="AN93">
        <f t="shared" si="29"/>
        <v>0</v>
      </c>
      <c r="AO93">
        <f t="shared" si="30"/>
        <v>7.6016619513257974E-4</v>
      </c>
      <c r="AP93">
        <f t="shared" si="31"/>
        <v>7.6016619513257974E-4</v>
      </c>
      <c r="AQ93">
        <f t="shared" si="32"/>
        <v>2.7052414469280683</v>
      </c>
      <c r="AS93">
        <f t="shared" si="33"/>
        <v>4.1538461538461533</v>
      </c>
      <c r="AT93">
        <f t="shared" si="25"/>
        <v>1.4328724276547253E-2</v>
      </c>
      <c r="AU93">
        <f t="shared" si="34"/>
        <v>3.7231987693530491E-2</v>
      </c>
      <c r="AV93">
        <f t="shared" si="26"/>
        <v>132.49933620435164</v>
      </c>
      <c r="AY93">
        <f>AY61</f>
        <v>2E-3</v>
      </c>
      <c r="BB93">
        <f t="shared" si="35"/>
        <v>0.24</v>
      </c>
      <c r="BQ93" t="s">
        <v>164</v>
      </c>
      <c r="BR93" t="s">
        <v>187</v>
      </c>
      <c r="BS93">
        <v>0.1</v>
      </c>
      <c r="BT93">
        <v>0.1</v>
      </c>
      <c r="BU93">
        <v>0</v>
      </c>
      <c r="BV93">
        <v>-0.22</v>
      </c>
      <c r="BW93">
        <v>0.33</v>
      </c>
      <c r="BX93">
        <v>0.44</v>
      </c>
      <c r="BY93">
        <v>-0.33</v>
      </c>
      <c r="BZ93">
        <v>-0.33</v>
      </c>
      <c r="CA93">
        <v>0.18</v>
      </c>
      <c r="CB93">
        <v>0.28000000000000003</v>
      </c>
      <c r="CC93">
        <v>0.03</v>
      </c>
      <c r="CD93">
        <v>0.71</v>
      </c>
      <c r="CE93">
        <v>0.23</v>
      </c>
      <c r="CF93">
        <v>0.41</v>
      </c>
      <c r="CG93">
        <v>0.16</v>
      </c>
      <c r="CH93">
        <v>4</v>
      </c>
    </row>
    <row r="94" spans="7:86" x14ac:dyDescent="0.2">
      <c r="G94">
        <v>6</v>
      </c>
      <c r="H94" t="s">
        <v>162</v>
      </c>
      <c r="J94">
        <v>91.25</v>
      </c>
      <c r="K94">
        <v>90</v>
      </c>
      <c r="M94">
        <v>160</v>
      </c>
      <c r="O94">
        <v>0.9</v>
      </c>
      <c r="P94">
        <v>600</v>
      </c>
      <c r="Q94">
        <f t="shared" si="27"/>
        <v>0.26666666666666666</v>
      </c>
      <c r="S94">
        <v>0</v>
      </c>
      <c r="T94">
        <v>0</v>
      </c>
      <c r="U94">
        <f>51/K94</f>
        <v>0.56666666666666665</v>
      </c>
      <c r="V94">
        <f>27/K94</f>
        <v>0.3</v>
      </c>
      <c r="W94">
        <f>S94*B63+T94*B64</f>
        <v>0</v>
      </c>
      <c r="X94">
        <f t="shared" si="20"/>
        <v>1</v>
      </c>
      <c r="Y94">
        <f t="shared" si="21"/>
        <v>4.5298311556000002</v>
      </c>
      <c r="Z94">
        <f t="shared" si="28"/>
        <v>1.3309587678069252</v>
      </c>
      <c r="AC94">
        <v>0.13</v>
      </c>
      <c r="AE94">
        <v>0.65</v>
      </c>
      <c r="AF94">
        <f t="shared" si="22"/>
        <v>1.6253034186292801</v>
      </c>
      <c r="AG94">
        <f t="shared" si="23"/>
        <v>0.19</v>
      </c>
      <c r="AH94">
        <f t="shared" si="24"/>
        <v>0.6784</v>
      </c>
      <c r="AI94">
        <f>AI61</f>
        <v>0</v>
      </c>
      <c r="AK94">
        <f>AK61</f>
        <v>0.71</v>
      </c>
      <c r="AL94">
        <f>AL61</f>
        <v>100</v>
      </c>
      <c r="AM94">
        <f>AM61</f>
        <v>4.7000000000000002E-3</v>
      </c>
      <c r="AN94">
        <f t="shared" si="29"/>
        <v>0</v>
      </c>
      <c r="AO94">
        <f t="shared" si="30"/>
        <v>9.8462701440390674E-4</v>
      </c>
      <c r="AP94">
        <f t="shared" si="31"/>
        <v>9.8462701440390674E-4</v>
      </c>
      <c r="AQ94">
        <f t="shared" si="32"/>
        <v>8.0862493557920843</v>
      </c>
      <c r="AS94">
        <f t="shared" si="33"/>
        <v>4.5999999999999996</v>
      </c>
      <c r="AT94">
        <f t="shared" si="25"/>
        <v>2.2824899496607251E-2</v>
      </c>
      <c r="AU94">
        <f t="shared" si="34"/>
        <v>9.3675912267484354E-2</v>
      </c>
      <c r="AV94">
        <f t="shared" si="26"/>
        <v>769.31342949671523</v>
      </c>
      <c r="AY94">
        <f>AY61</f>
        <v>2E-3</v>
      </c>
      <c r="BB94">
        <f t="shared" si="35"/>
        <v>0.24</v>
      </c>
      <c r="BQ94" t="s">
        <v>160</v>
      </c>
      <c r="BR94" t="s">
        <v>188</v>
      </c>
      <c r="BS94">
        <v>0.4</v>
      </c>
      <c r="BT94">
        <v>0.4</v>
      </c>
      <c r="BU94">
        <v>0.22</v>
      </c>
      <c r="BV94">
        <v>0.5</v>
      </c>
      <c r="BW94">
        <v>0.77</v>
      </c>
      <c r="BX94">
        <v>1.1000000000000001</v>
      </c>
      <c r="BY94">
        <v>-0.22</v>
      </c>
      <c r="BZ94">
        <v>-0.66</v>
      </c>
      <c r="CA94">
        <v>0.25</v>
      </c>
      <c r="CC94">
        <v>-0.14000000000000001</v>
      </c>
      <c r="CD94">
        <v>0.19</v>
      </c>
      <c r="CE94">
        <v>-0.08</v>
      </c>
      <c r="CF94">
        <v>0.3</v>
      </c>
      <c r="CG94">
        <v>0.56999999999999995</v>
      </c>
      <c r="CH94">
        <v>1</v>
      </c>
    </row>
    <row r="95" spans="7:86" x14ac:dyDescent="0.2">
      <c r="H95" t="s">
        <v>163</v>
      </c>
      <c r="J95">
        <v>91.25</v>
      </c>
      <c r="K95">
        <v>81</v>
      </c>
      <c r="M95">
        <v>220</v>
      </c>
      <c r="O95">
        <v>0.7</v>
      </c>
      <c r="P95">
        <v>600</v>
      </c>
      <c r="Q95">
        <f t="shared" si="27"/>
        <v>0.36666666666666664</v>
      </c>
      <c r="S95">
        <v>0</v>
      </c>
      <c r="T95">
        <v>0</v>
      </c>
      <c r="U95">
        <v>0</v>
      </c>
      <c r="V95">
        <f>51/K95</f>
        <v>0.62962962962962965</v>
      </c>
      <c r="W95">
        <f>S95*B63+T95*B64</f>
        <v>0</v>
      </c>
      <c r="X95">
        <f t="shared" si="20"/>
        <v>1</v>
      </c>
      <c r="Y95">
        <f t="shared" si="21"/>
        <v>5.1913799715999973</v>
      </c>
      <c r="Z95">
        <f t="shared" si="28"/>
        <v>1.2257699173903274</v>
      </c>
      <c r="AC95">
        <v>0.1</v>
      </c>
      <c r="AE95">
        <v>0.6</v>
      </c>
      <c r="AF95">
        <f t="shared" si="22"/>
        <v>2.1014706125036788</v>
      </c>
      <c r="AG95">
        <f t="shared" si="23"/>
        <v>0.19</v>
      </c>
      <c r="AH95">
        <f t="shared" si="24"/>
        <v>0.6784</v>
      </c>
      <c r="AI95">
        <f>AI61</f>
        <v>0</v>
      </c>
      <c r="AK95">
        <f>AK61</f>
        <v>0.71</v>
      </c>
      <c r="AL95">
        <f>AL61</f>
        <v>100</v>
      </c>
      <c r="AM95">
        <f>AM61</f>
        <v>4.7000000000000002E-3</v>
      </c>
      <c r="AN95">
        <f t="shared" si="29"/>
        <v>0</v>
      </c>
      <c r="AO95">
        <f t="shared" si="30"/>
        <v>1.2730944335255887E-3</v>
      </c>
      <c r="AP95">
        <f t="shared" si="31"/>
        <v>1.2730944335255887E-3</v>
      </c>
      <c r="AQ95">
        <f t="shared" si="32"/>
        <v>9.4097592317960075</v>
      </c>
      <c r="AS95">
        <f t="shared" si="33"/>
        <v>2.5185185185185186</v>
      </c>
      <c r="AT95">
        <f t="shared" si="25"/>
        <v>1.570147670443419E-2</v>
      </c>
      <c r="AU95">
        <f t="shared" si="34"/>
        <v>7.8987291949294811E-2</v>
      </c>
      <c r="AV95">
        <f t="shared" si="26"/>
        <v>583.8148216202253</v>
      </c>
      <c r="AY95">
        <f>AY61</f>
        <v>2E-3</v>
      </c>
      <c r="BB95">
        <f t="shared" si="35"/>
        <v>0.24</v>
      </c>
      <c r="BQ95" t="s">
        <v>162</v>
      </c>
      <c r="BR95" t="s">
        <v>188</v>
      </c>
      <c r="BS95">
        <v>0.4</v>
      </c>
      <c r="BT95">
        <v>0.4</v>
      </c>
      <c r="BU95">
        <v>0</v>
      </c>
      <c r="BV95">
        <v>0.5</v>
      </c>
      <c r="BW95">
        <v>0.11</v>
      </c>
      <c r="BX95">
        <v>-0.11</v>
      </c>
      <c r="BY95">
        <v>0.33</v>
      </c>
      <c r="BZ95">
        <v>0.55000000000000004</v>
      </c>
      <c r="CA95">
        <v>0.55000000000000004</v>
      </c>
      <c r="CC95">
        <v>0.3</v>
      </c>
      <c r="CD95">
        <v>0.36</v>
      </c>
      <c r="CE95">
        <v>1.1200000000000001</v>
      </c>
      <c r="CF95">
        <v>0.42</v>
      </c>
      <c r="CG95">
        <v>0.26</v>
      </c>
      <c r="CH95">
        <v>2</v>
      </c>
    </row>
    <row r="96" spans="7:86" x14ac:dyDescent="0.2">
      <c r="H96" t="s">
        <v>164</v>
      </c>
      <c r="J96">
        <v>91.25</v>
      </c>
      <c r="K96">
        <v>88</v>
      </c>
      <c r="M96">
        <v>260</v>
      </c>
      <c r="O96">
        <v>0.4</v>
      </c>
      <c r="P96">
        <v>600</v>
      </c>
      <c r="Q96">
        <f t="shared" si="27"/>
        <v>0.43333333333333335</v>
      </c>
      <c r="S96">
        <v>0</v>
      </c>
      <c r="T96">
        <v>0</v>
      </c>
      <c r="U96">
        <v>0</v>
      </c>
      <c r="V96">
        <v>0</v>
      </c>
      <c r="W96">
        <f>S96*B63+T96*B64</f>
        <v>0</v>
      </c>
      <c r="X96">
        <f t="shared" si="20"/>
        <v>1</v>
      </c>
      <c r="Y96">
        <f t="shared" si="21"/>
        <v>5.3621886096000004</v>
      </c>
      <c r="Z96">
        <f t="shared" si="28"/>
        <v>1.1183986897081921</v>
      </c>
      <c r="AC96">
        <v>0.06</v>
      </c>
      <c r="AE96">
        <v>0.5</v>
      </c>
      <c r="AF96">
        <f t="shared" si="22"/>
        <v>2.6639353012492806</v>
      </c>
      <c r="AG96">
        <f t="shared" si="23"/>
        <v>0.19</v>
      </c>
      <c r="AH96">
        <f t="shared" si="24"/>
        <v>0.6784</v>
      </c>
      <c r="AI96">
        <f>AI61</f>
        <v>0</v>
      </c>
      <c r="AK96">
        <f>AK61</f>
        <v>0.71</v>
      </c>
      <c r="AL96">
        <f>AL61</f>
        <v>100</v>
      </c>
      <c r="AM96">
        <f>AM61</f>
        <v>4.7000000000000002E-3</v>
      </c>
      <c r="AN96">
        <f t="shared" si="29"/>
        <v>0</v>
      </c>
      <c r="AO96">
        <f t="shared" si="30"/>
        <v>1.6138418415721884E-3</v>
      </c>
      <c r="AP96">
        <f t="shared" si="31"/>
        <v>1.6138418415721884E-3</v>
      </c>
      <c r="AQ96">
        <f t="shared" si="32"/>
        <v>12.959149987824674</v>
      </c>
      <c r="AS96">
        <f t="shared" si="33"/>
        <v>0</v>
      </c>
      <c r="AT96">
        <f t="shared" si="25"/>
        <v>8.1371085957436407E-3</v>
      </c>
      <c r="AU96">
        <f t="shared" si="34"/>
        <v>4.2200327671280083E-2</v>
      </c>
      <c r="AV96">
        <f t="shared" si="26"/>
        <v>338.86863120037907</v>
      </c>
      <c r="AY96">
        <f>AY61</f>
        <v>2E-3</v>
      </c>
      <c r="BB96">
        <f t="shared" si="35"/>
        <v>0.24</v>
      </c>
      <c r="BQ96" t="s">
        <v>163</v>
      </c>
      <c r="BR96" t="s">
        <v>188</v>
      </c>
      <c r="BS96">
        <v>0.3</v>
      </c>
      <c r="BT96">
        <v>0.3</v>
      </c>
      <c r="BU96">
        <v>-0.22</v>
      </c>
      <c r="BV96">
        <v>0.33</v>
      </c>
      <c r="BW96">
        <v>0.2</v>
      </c>
      <c r="BX96">
        <v>0</v>
      </c>
      <c r="BY96">
        <v>0.22</v>
      </c>
      <c r="BZ96">
        <v>0.44</v>
      </c>
      <c r="CA96">
        <v>0.42</v>
      </c>
      <c r="CC96">
        <v>0.4</v>
      </c>
      <c r="CD96">
        <v>-0.05</v>
      </c>
      <c r="CE96">
        <v>0.12</v>
      </c>
      <c r="CF96">
        <v>0.37</v>
      </c>
      <c r="CG96">
        <v>0.15</v>
      </c>
      <c r="CH96">
        <v>3</v>
      </c>
    </row>
    <row r="97" spans="1:86" x14ac:dyDescent="0.2">
      <c r="G97" t="s">
        <v>189</v>
      </c>
      <c r="H97" t="s">
        <v>160</v>
      </c>
      <c r="J97">
        <v>91.25</v>
      </c>
      <c r="K97">
        <v>13</v>
      </c>
      <c r="M97">
        <v>380</v>
      </c>
      <c r="O97">
        <v>0.4</v>
      </c>
      <c r="P97">
        <v>600</v>
      </c>
      <c r="Q97">
        <f t="shared" si="27"/>
        <v>0.6333333333333333</v>
      </c>
      <c r="S97">
        <v>0</v>
      </c>
      <c r="T97">
        <v>0</v>
      </c>
      <c r="U97">
        <v>0</v>
      </c>
      <c r="V97">
        <v>0</v>
      </c>
      <c r="W97">
        <f>S97*B63+T97*B64</f>
        <v>0</v>
      </c>
      <c r="X97">
        <f t="shared" si="20"/>
        <v>1</v>
      </c>
      <c r="Y97">
        <f t="shared" si="21"/>
        <v>7.0796437775999967</v>
      </c>
      <c r="Z97">
        <f t="shared" si="28"/>
        <v>1.101888665936833</v>
      </c>
      <c r="AC97">
        <v>7.0000000000000007E-2</v>
      </c>
      <c r="AE97">
        <v>0.55000000000000004</v>
      </c>
      <c r="AF97">
        <f t="shared" si="22"/>
        <v>3.1915034149420785</v>
      </c>
      <c r="AG97">
        <f t="shared" si="23"/>
        <v>0.19</v>
      </c>
      <c r="AH97">
        <f t="shared" si="24"/>
        <v>0.6784</v>
      </c>
      <c r="AI97">
        <f>AI61</f>
        <v>0</v>
      </c>
      <c r="AK97">
        <f>AK61</f>
        <v>0.71</v>
      </c>
      <c r="AL97">
        <f>AL61</f>
        <v>100</v>
      </c>
      <c r="AM97">
        <f>AM61</f>
        <v>4.7000000000000002E-3</v>
      </c>
      <c r="AN97">
        <f t="shared" si="29"/>
        <v>0</v>
      </c>
      <c r="AO97">
        <f t="shared" si="30"/>
        <v>1.9334485136101587E-3</v>
      </c>
      <c r="AP97">
        <f t="shared" si="31"/>
        <v>1.9334485136101587E-3</v>
      </c>
      <c r="AQ97">
        <f t="shared" si="32"/>
        <v>2.2935532992700507</v>
      </c>
      <c r="AS97">
        <f t="shared" si="33"/>
        <v>0</v>
      </c>
      <c r="AT97">
        <f t="shared" si="25"/>
        <v>5.9536831562818594E-3</v>
      </c>
      <c r="AU97">
        <f t="shared" si="34"/>
        <v>7.1823544352451044E-2</v>
      </c>
      <c r="AV97">
        <f t="shared" si="26"/>
        <v>85.200679488095048</v>
      </c>
      <c r="AY97">
        <f>AY61</f>
        <v>2E-3</v>
      </c>
      <c r="BB97">
        <f t="shared" si="35"/>
        <v>0.24</v>
      </c>
      <c r="BQ97" t="s">
        <v>164</v>
      </c>
      <c r="BR97" t="s">
        <v>188</v>
      </c>
      <c r="BS97">
        <v>0.1</v>
      </c>
      <c r="BT97">
        <v>0.1</v>
      </c>
      <c r="BU97">
        <v>0</v>
      </c>
      <c r="BV97">
        <v>-0.22</v>
      </c>
      <c r="BW97">
        <v>0.33</v>
      </c>
      <c r="BX97">
        <v>0.44</v>
      </c>
      <c r="BY97">
        <v>-0.33</v>
      </c>
      <c r="BZ97">
        <v>-0.33</v>
      </c>
      <c r="CA97">
        <v>0.12</v>
      </c>
      <c r="CC97">
        <v>0.11</v>
      </c>
      <c r="CD97">
        <v>0.17</v>
      </c>
      <c r="CE97">
        <v>-0.13</v>
      </c>
      <c r="CF97">
        <v>0.41</v>
      </c>
      <c r="CG97">
        <v>0.4</v>
      </c>
      <c r="CH97">
        <v>4</v>
      </c>
    </row>
    <row r="98" spans="1:86" x14ac:dyDescent="0.2">
      <c r="G98" t="s">
        <v>199</v>
      </c>
      <c r="H98" t="s">
        <v>162</v>
      </c>
      <c r="J98">
        <v>91.25</v>
      </c>
      <c r="K98">
        <v>52</v>
      </c>
      <c r="M98">
        <v>420</v>
      </c>
      <c r="O98">
        <v>0.4</v>
      </c>
      <c r="P98">
        <v>600</v>
      </c>
      <c r="Q98">
        <f t="shared" si="27"/>
        <v>0.7</v>
      </c>
      <c r="S98">
        <v>0</v>
      </c>
      <c r="T98">
        <v>0</v>
      </c>
      <c r="U98">
        <v>0</v>
      </c>
      <c r="V98">
        <v>0</v>
      </c>
      <c r="W98">
        <f>S98*B63+T98*B64</f>
        <v>0</v>
      </c>
      <c r="X98">
        <f t="shared" si="20"/>
        <v>1</v>
      </c>
      <c r="Y98">
        <f t="shared" si="21"/>
        <v>7.6129639056</v>
      </c>
      <c r="Z98">
        <f t="shared" si="28"/>
        <v>1.0979922441560788</v>
      </c>
      <c r="AC98">
        <v>0.13</v>
      </c>
      <c r="AE98">
        <v>0.65</v>
      </c>
      <c r="AF98">
        <f t="shared" si="22"/>
        <v>2.7315314493292799</v>
      </c>
      <c r="AG98">
        <f t="shared" si="23"/>
        <v>0.19</v>
      </c>
      <c r="AH98">
        <f t="shared" si="24"/>
        <v>0.6784</v>
      </c>
      <c r="AI98">
        <f>AI61</f>
        <v>0</v>
      </c>
      <c r="AK98">
        <f>AK61</f>
        <v>0.71</v>
      </c>
      <c r="AL98">
        <f>AL61</f>
        <v>100</v>
      </c>
      <c r="AM98">
        <f>AM61</f>
        <v>4.7000000000000002E-3</v>
      </c>
      <c r="AN98">
        <f t="shared" si="29"/>
        <v>0</v>
      </c>
      <c r="AO98">
        <f t="shared" si="30"/>
        <v>1.6547923451559103E-3</v>
      </c>
      <c r="AP98">
        <f t="shared" si="31"/>
        <v>1.6547923451559103E-3</v>
      </c>
      <c r="AQ98">
        <f t="shared" si="32"/>
        <v>7.8519896777647942</v>
      </c>
      <c r="AS98">
        <f t="shared" si="33"/>
        <v>0</v>
      </c>
      <c r="AT98">
        <f t="shared" si="25"/>
        <v>5.4689366245148753E-3</v>
      </c>
      <c r="AU98">
        <f t="shared" si="34"/>
        <v>0.1512478500353282</v>
      </c>
      <c r="AV98">
        <f t="shared" si="26"/>
        <v>717.67104841763239</v>
      </c>
      <c r="AY98">
        <f>AY61</f>
        <v>2E-3</v>
      </c>
      <c r="BB98">
        <f t="shared" si="35"/>
        <v>0.24</v>
      </c>
      <c r="BQ98" t="s">
        <v>160</v>
      </c>
      <c r="BR98" t="s">
        <v>186</v>
      </c>
      <c r="BS98">
        <v>0.5</v>
      </c>
      <c r="BT98">
        <v>0.5</v>
      </c>
      <c r="BU98">
        <v>0.88</v>
      </c>
      <c r="BV98">
        <v>1</v>
      </c>
      <c r="BW98">
        <v>1.1000000000000001</v>
      </c>
      <c r="BX98">
        <v>1.42</v>
      </c>
      <c r="BY98">
        <v>0.7</v>
      </c>
      <c r="BZ98">
        <v>0.22</v>
      </c>
      <c r="CA98">
        <v>0.32</v>
      </c>
      <c r="CB98">
        <v>0.12</v>
      </c>
      <c r="CC98">
        <v>0.06</v>
      </c>
      <c r="CD98">
        <v>0.52</v>
      </c>
      <c r="CE98">
        <v>7.0000000000000007E-2</v>
      </c>
      <c r="CF98">
        <v>0.47</v>
      </c>
      <c r="CG98">
        <v>0.34</v>
      </c>
      <c r="CH98">
        <v>1</v>
      </c>
    </row>
    <row r="99" spans="1:86" x14ac:dyDescent="0.2">
      <c r="H99" t="s">
        <v>163</v>
      </c>
      <c r="J99">
        <v>91.25</v>
      </c>
      <c r="K99">
        <v>11</v>
      </c>
      <c r="M99">
        <v>450</v>
      </c>
      <c r="O99">
        <v>0.3</v>
      </c>
      <c r="P99">
        <v>600</v>
      </c>
      <c r="Q99">
        <f t="shared" si="27"/>
        <v>0.75</v>
      </c>
      <c r="S99">
        <v>0</v>
      </c>
      <c r="T99">
        <v>0</v>
      </c>
      <c r="U99">
        <v>0</v>
      </c>
      <c r="V99">
        <v>0</v>
      </c>
      <c r="W99">
        <f>S99*B63+T99*B64</f>
        <v>0</v>
      </c>
      <c r="X99">
        <f t="shared" si="20"/>
        <v>1</v>
      </c>
      <c r="Y99">
        <f t="shared" si="21"/>
        <v>7.8176159999999992</v>
      </c>
      <c r="Z99">
        <f t="shared" si="28"/>
        <v>1.0711847727263619</v>
      </c>
      <c r="AC99">
        <v>0.1</v>
      </c>
      <c r="AE99">
        <v>0.6</v>
      </c>
      <c r="AF99">
        <f t="shared" si="22"/>
        <v>3.1645709568</v>
      </c>
      <c r="AG99">
        <f t="shared" si="23"/>
        <v>0.19</v>
      </c>
      <c r="AH99">
        <f t="shared" si="24"/>
        <v>0.6784</v>
      </c>
      <c r="AI99">
        <f>AI61</f>
        <v>0</v>
      </c>
      <c r="AK99">
        <f>AK61</f>
        <v>0.71</v>
      </c>
      <c r="AL99">
        <f>AL61</f>
        <v>100</v>
      </c>
      <c r="AM99">
        <f>AM61</f>
        <v>4.7000000000000002E-3</v>
      </c>
      <c r="AN99">
        <f t="shared" si="29"/>
        <v>0</v>
      </c>
      <c r="AO99">
        <f t="shared" si="30"/>
        <v>1.9171325288241561E-3</v>
      </c>
      <c r="AP99">
        <f t="shared" si="31"/>
        <v>1.9171325288241561E-3</v>
      </c>
      <c r="AQ99">
        <f t="shared" si="32"/>
        <v>1.9243217758072468</v>
      </c>
      <c r="AS99">
        <f t="shared" si="33"/>
        <v>0</v>
      </c>
      <c r="AT99">
        <f t="shared" si="25"/>
        <v>3.8897983284177057E-3</v>
      </c>
      <c r="AU99">
        <f t="shared" si="34"/>
        <v>0.11947247898676014</v>
      </c>
      <c r="AV99">
        <f t="shared" si="26"/>
        <v>119.92050078296049</v>
      </c>
      <c r="AY99">
        <f>AY61</f>
        <v>2E-3</v>
      </c>
      <c r="BB99">
        <f t="shared" si="35"/>
        <v>0.24</v>
      </c>
      <c r="BQ99" t="s">
        <v>162</v>
      </c>
      <c r="BR99" t="s">
        <v>186</v>
      </c>
      <c r="BS99">
        <v>0.9</v>
      </c>
      <c r="BT99">
        <v>0.9</v>
      </c>
      <c r="BU99">
        <v>0.66</v>
      </c>
      <c r="BV99">
        <v>0.77</v>
      </c>
      <c r="BW99">
        <v>0.33</v>
      </c>
      <c r="BX99">
        <v>0.44</v>
      </c>
      <c r="BY99">
        <v>0.77</v>
      </c>
      <c r="BZ99">
        <v>0.8</v>
      </c>
      <c r="CA99">
        <v>0.75</v>
      </c>
      <c r="CB99">
        <v>0.64</v>
      </c>
      <c r="CC99">
        <v>0.8</v>
      </c>
      <c r="CD99">
        <v>0.84</v>
      </c>
      <c r="CE99">
        <v>1.3</v>
      </c>
      <c r="CF99">
        <v>0.28000000000000003</v>
      </c>
      <c r="CG99">
        <v>0.14000000000000001</v>
      </c>
      <c r="CH99">
        <v>2</v>
      </c>
    </row>
    <row r="100" spans="1:86" x14ac:dyDescent="0.2">
      <c r="H100" t="s">
        <v>164</v>
      </c>
      <c r="J100">
        <v>91.25</v>
      </c>
      <c r="K100">
        <v>4</v>
      </c>
      <c r="M100">
        <v>460</v>
      </c>
      <c r="O100">
        <v>0.1</v>
      </c>
      <c r="P100">
        <v>600</v>
      </c>
      <c r="Q100">
        <f t="shared" si="27"/>
        <v>0.76666666666666672</v>
      </c>
      <c r="S100">
        <v>0</v>
      </c>
      <c r="T100">
        <v>0</v>
      </c>
      <c r="U100">
        <v>0</v>
      </c>
      <c r="V100">
        <v>0</v>
      </c>
      <c r="W100">
        <f>S100*B63+T100*B64</f>
        <v>0</v>
      </c>
      <c r="X100">
        <f t="shared" si="20"/>
        <v>1</v>
      </c>
      <c r="Y100">
        <f t="shared" si="21"/>
        <v>7.5885924675999998</v>
      </c>
      <c r="Z100">
        <f t="shared" si="28"/>
        <v>1.0232680056743308</v>
      </c>
      <c r="AC100">
        <v>0.06</v>
      </c>
      <c r="AE100">
        <v>0.5</v>
      </c>
      <c r="AF100">
        <f t="shared" si="22"/>
        <v>3.7700127379036799</v>
      </c>
      <c r="AG100">
        <f t="shared" si="23"/>
        <v>0.19</v>
      </c>
      <c r="AH100">
        <f t="shared" si="24"/>
        <v>0.6784</v>
      </c>
      <c r="AI100">
        <f>AI61</f>
        <v>0</v>
      </c>
      <c r="AK100">
        <f>AK61</f>
        <v>0.71</v>
      </c>
      <c r="AL100">
        <f>AL61</f>
        <v>100</v>
      </c>
      <c r="AM100">
        <f>AM61</f>
        <v>4.7000000000000002E-3</v>
      </c>
      <c r="AN100">
        <f t="shared" si="29"/>
        <v>0</v>
      </c>
      <c r="AO100">
        <f t="shared" si="30"/>
        <v>2.283915940764714E-3</v>
      </c>
      <c r="AP100">
        <f t="shared" si="31"/>
        <v>2.283915940764714E-3</v>
      </c>
      <c r="AQ100">
        <f t="shared" si="32"/>
        <v>0.83362931837912058</v>
      </c>
      <c r="AS100">
        <f t="shared" si="33"/>
        <v>0</v>
      </c>
      <c r="AT100">
        <f t="shared" si="25"/>
        <v>1.2768791052116398E-3</v>
      </c>
      <c r="AU100">
        <f t="shared" si="34"/>
        <v>6.982544913625581E-2</v>
      </c>
      <c r="AV100">
        <f t="shared" si="26"/>
        <v>25.48628893473337</v>
      </c>
      <c r="AY100">
        <f>AY61</f>
        <v>2E-3</v>
      </c>
      <c r="BB100">
        <f t="shared" si="35"/>
        <v>0.24</v>
      </c>
      <c r="BQ100" t="s">
        <v>163</v>
      </c>
      <c r="BR100" t="s">
        <v>186</v>
      </c>
      <c r="BS100">
        <v>0.7</v>
      </c>
      <c r="BT100">
        <v>0.7</v>
      </c>
      <c r="BU100">
        <v>0.8</v>
      </c>
      <c r="BV100">
        <v>0.6</v>
      </c>
      <c r="BW100">
        <v>0.55000000000000004</v>
      </c>
      <c r="BX100">
        <v>0.6</v>
      </c>
      <c r="BY100">
        <v>0.88</v>
      </c>
      <c r="BZ100">
        <v>0.66</v>
      </c>
      <c r="CA100">
        <v>0.63</v>
      </c>
      <c r="CB100">
        <v>0.56999999999999995</v>
      </c>
      <c r="CC100">
        <v>0.57999999999999996</v>
      </c>
      <c r="CD100">
        <v>0.54</v>
      </c>
      <c r="CE100">
        <v>0.77</v>
      </c>
      <c r="CF100">
        <v>0.4</v>
      </c>
      <c r="CG100">
        <v>0.13</v>
      </c>
      <c r="CH100">
        <v>3</v>
      </c>
    </row>
    <row r="101" spans="1:86" x14ac:dyDescent="0.2">
      <c r="BQ101" t="s">
        <v>164</v>
      </c>
      <c r="BR101" t="s">
        <v>186</v>
      </c>
      <c r="BS101">
        <v>0.4</v>
      </c>
      <c r="BT101">
        <v>0.4</v>
      </c>
      <c r="BU101">
        <v>0.82</v>
      </c>
      <c r="BV101">
        <v>0.16</v>
      </c>
      <c r="BW101">
        <v>0.49</v>
      </c>
      <c r="BX101">
        <v>0.77</v>
      </c>
      <c r="BY101">
        <v>0.22</v>
      </c>
      <c r="BZ101">
        <v>0.33</v>
      </c>
      <c r="CA101">
        <v>0.25</v>
      </c>
      <c r="CB101">
        <v>0.26</v>
      </c>
      <c r="CC101">
        <v>0.21</v>
      </c>
      <c r="CD101">
        <v>0.25</v>
      </c>
      <c r="CE101">
        <v>0.02</v>
      </c>
      <c r="CF101">
        <v>0.28999999999999998</v>
      </c>
      <c r="CG101">
        <v>0.13</v>
      </c>
      <c r="CH101">
        <v>4</v>
      </c>
    </row>
    <row r="102" spans="1:86" x14ac:dyDescent="0.2">
      <c r="BQ102" t="s">
        <v>160</v>
      </c>
      <c r="BR102" t="s">
        <v>189</v>
      </c>
      <c r="BS102">
        <v>0.4</v>
      </c>
      <c r="BT102">
        <v>0.4</v>
      </c>
      <c r="BU102">
        <v>0.22</v>
      </c>
      <c r="BV102">
        <v>0.5</v>
      </c>
      <c r="BW102">
        <v>0.77</v>
      </c>
      <c r="BX102">
        <v>1.1000000000000001</v>
      </c>
      <c r="BY102">
        <v>-0.22</v>
      </c>
      <c r="BZ102">
        <v>-0.66</v>
      </c>
      <c r="CA102">
        <v>-0.05</v>
      </c>
      <c r="CD102">
        <v>0.6</v>
      </c>
      <c r="CE102">
        <v>0</v>
      </c>
      <c r="CF102">
        <v>0.13</v>
      </c>
      <c r="CG102">
        <v>0.52</v>
      </c>
      <c r="CH102">
        <v>1</v>
      </c>
    </row>
    <row r="103" spans="1:86" x14ac:dyDescent="0.2">
      <c r="BQ103" t="s">
        <v>162</v>
      </c>
      <c r="BR103" t="s">
        <v>189</v>
      </c>
      <c r="BS103">
        <v>0.4</v>
      </c>
      <c r="BT103">
        <v>0.4</v>
      </c>
      <c r="BU103">
        <v>0</v>
      </c>
      <c r="BV103">
        <v>0.5</v>
      </c>
      <c r="BW103">
        <v>0.11</v>
      </c>
      <c r="BX103">
        <v>-0.11</v>
      </c>
      <c r="BY103">
        <v>0.33</v>
      </c>
      <c r="BZ103">
        <v>0.55000000000000004</v>
      </c>
      <c r="CA103">
        <v>0.48</v>
      </c>
      <c r="CD103">
        <v>0.17</v>
      </c>
      <c r="CE103">
        <v>0.38</v>
      </c>
      <c r="CF103">
        <v>0.4</v>
      </c>
      <c r="CG103">
        <v>0.43</v>
      </c>
      <c r="CH103">
        <v>2</v>
      </c>
    </row>
    <row r="104" spans="1:86" x14ac:dyDescent="0.2">
      <c r="BQ104" t="s">
        <v>163</v>
      </c>
      <c r="BR104" t="s">
        <v>189</v>
      </c>
      <c r="BS104">
        <v>0.3</v>
      </c>
      <c r="BT104">
        <v>0.3</v>
      </c>
      <c r="BU104">
        <v>-0.22</v>
      </c>
      <c r="BV104">
        <v>0.33</v>
      </c>
      <c r="BW104">
        <v>0.2</v>
      </c>
      <c r="BX104">
        <v>0</v>
      </c>
      <c r="BY104">
        <v>0.22</v>
      </c>
      <c r="BZ104">
        <v>0.44</v>
      </c>
      <c r="CA104">
        <v>0.26</v>
      </c>
      <c r="CD104">
        <v>0.32</v>
      </c>
      <c r="CE104">
        <v>0.74</v>
      </c>
      <c r="CF104">
        <v>-0.01</v>
      </c>
      <c r="CG104">
        <v>0.21</v>
      </c>
      <c r="CH104">
        <v>3</v>
      </c>
    </row>
    <row r="105" spans="1:86" x14ac:dyDescent="0.2">
      <c r="BQ105" t="s">
        <v>164</v>
      </c>
      <c r="BR105" t="s">
        <v>189</v>
      </c>
      <c r="BS105">
        <v>0.1</v>
      </c>
      <c r="BT105">
        <v>0.1</v>
      </c>
      <c r="BU105">
        <v>0</v>
      </c>
      <c r="BV105">
        <v>-0.22</v>
      </c>
      <c r="BW105">
        <v>0.33</v>
      </c>
      <c r="BX105">
        <v>0.44</v>
      </c>
      <c r="BY105">
        <v>-0.33</v>
      </c>
      <c r="BZ105">
        <v>-0.33</v>
      </c>
      <c r="CA105">
        <v>0.03</v>
      </c>
      <c r="CD105">
        <v>0.43</v>
      </c>
      <c r="CE105">
        <v>0</v>
      </c>
      <c r="CF105">
        <v>-0.15</v>
      </c>
      <c r="CG105">
        <v>0.33</v>
      </c>
      <c r="CH105">
        <v>4</v>
      </c>
    </row>
    <row r="111" spans="1:86" x14ac:dyDescent="0.2">
      <c r="A111" t="s">
        <v>181</v>
      </c>
      <c r="B111" t="s">
        <v>283</v>
      </c>
      <c r="C111" t="s">
        <v>181</v>
      </c>
      <c r="D111" t="s">
        <v>181</v>
      </c>
      <c r="E111" t="s">
        <v>181</v>
      </c>
      <c r="F111" t="s">
        <v>190</v>
      </c>
      <c r="G111" t="s">
        <v>159</v>
      </c>
      <c r="H111" t="s">
        <v>160</v>
      </c>
      <c r="J111">
        <v>91.25</v>
      </c>
      <c r="K111">
        <v>62</v>
      </c>
      <c r="M111" cm="1">
        <f t="array" ref="M111:M150">_xlfn.DROP(_xlfn.XLOOKUP($D111,TableW[[#Headers],[ACT]:[QLD - Moderate/Low]],TableW[[#All],[ACT]:[QLD - Moderate/Low]]),1)</f>
        <v>80</v>
      </c>
      <c r="O111" cm="1">
        <f t="array" ref="O111:O150">_xlfn.DROP(_xlfn.XLOOKUP($D111,TableLWG[[#Headers],[ACT]:[QLD - Low]],TableLWG[[#All],[ACT]:[QLD - Low]]),1)</f>
        <v>0.5</v>
      </c>
      <c r="P111" cm="1">
        <f t="array" ref="P111:P150">_xlfn.DROP(_xlfn.XLOOKUP($E111,TableSRW[[#Headers],[ACT]:[WA]],TableSRW[[#All],[ACT]:[WA]]),1)</f>
        <v>700</v>
      </c>
      <c r="Q111">
        <f>M111 / P111</f>
        <v>0.11428571428571428</v>
      </c>
      <c r="S111">
        <v>0</v>
      </c>
      <c r="T111">
        <v>0</v>
      </c>
      <c r="U111">
        <f>30/K111</f>
        <v>0.4838709677419355</v>
      </c>
      <c r="V111">
        <v>0</v>
      </c>
      <c r="W111">
        <f>S111*B113+T111*B114</f>
        <v>0</v>
      </c>
      <c r="X111">
        <f t="shared" ref="X111:X150" si="36">(S111 * $BX$3 +T111* $BX$4) + (1 -S111 -T111 )</f>
        <v>1</v>
      </c>
      <c r="Y111">
        <f t="shared" ref="Y111:Y150" si="37">(1.185 + 0.00454 * M111- 0.0000026 * M111 ^2 + 0.315 * O111)^2 * X111</f>
        <v>2.8529236835999998</v>
      </c>
      <c r="Z111">
        <f>Y111 / ((1.185 + 0.00454 * M111 - 0.0000026 * M111 ^ 2) ^ 2 * X111)</f>
        <v>1.2162479569787423</v>
      </c>
      <c r="AC111" cm="1">
        <f t="array" ref="AC111:AC150">_xlfn.DROP(_xlfn.XLOOKUP($C111,TableCP[[#Headers],[ACT]:[WA - Kimberley]],TableCP[[#All],[ACT]:[WA - Kimberley]]),1)</f>
        <v>7.0000000000000007E-2</v>
      </c>
      <c r="AE111" cm="1">
        <f t="array" ref="AE111:AE150">_xlfn.DROP(_xlfn.XLOOKUP($C111,TableDMD[[#Headers],[ACT]:[WA - Kimberley]],TableDMD[[#All],[ACT]:[WA - Kimberley]]),1)</f>
        <v>0.55000000000000004</v>
      </c>
      <c r="AF111">
        <f t="shared" ref="AF111:AF150" si="38">(Y111 * (1 - AE111) + (0.04 * Y111)) * ( 1 - $CJ$3 )</f>
        <v>1.2860979965668797</v>
      </c>
      <c r="AG111">
        <f>$CJ$4</f>
        <v>0.19</v>
      </c>
      <c r="AH111">
        <f>$CJ$5</f>
        <v>0.6784</v>
      </c>
      <c r="AI111">
        <f>IF(F111="yes",0,VLOOKUP(C111,$BQ$211:$BS$225,3,FALSE))</f>
        <v>0.54800000000000004</v>
      </c>
      <c r="AK111">
        <f>VLOOKUP(C111,$BQ$211:$BU$225,4,FALSE)</f>
        <v>0.75</v>
      </c>
      <c r="AL111">
        <f>IF(F111="yes",100,VLOOKUP(C111,$BQ$211:$BS$225,2,FALSE))</f>
        <v>99.451999999999998</v>
      </c>
      <c r="AM111">
        <f>VLOOKUP(C111,$BQ$211:$BU$225,5,FALSE)</f>
        <v>4.7000000000000002E-3</v>
      </c>
      <c r="AN111">
        <f>AF111 * AG111 * AI111/100 * AK111 * AH111</f>
        <v>6.8132656707214152E-4</v>
      </c>
      <c r="AO111">
        <f>AF111 * AG111 * AL111/100 * AM111 * AH111</f>
        <v>7.7486292413079193E-4</v>
      </c>
      <c r="AP111">
        <f>AN111+AO111</f>
        <v>1.4561894912029335E-3</v>
      </c>
      <c r="AQ111">
        <f>K111*AP111*J111</f>
        <v>8.2383920464805964</v>
      </c>
      <c r="AR111">
        <f>SUM(AQ111:AQ150)*10^-3</f>
        <v>2.5639491195042239</v>
      </c>
      <c r="AS111">
        <f>U111*$B$113+V111*$B$114</f>
        <v>2.903225806451613</v>
      </c>
      <c r="AT111">
        <f t="shared" ref="AT111:AT150" si="39" xml:space="preserve"> (0.032*W111/6.38) + (((0.212 - 0.008*(Z111-2) - (0.14 - 0.008*(Z111 - 2))/(1+EXP(-6*(Q111-0.4))))*O111*0.92)/6.25)</f>
        <v>1.4421768711032507E-2</v>
      </c>
      <c r="AU111">
        <f>MAX((Y111*AC111/6.25)+(0.032*AS111/6.38)-AT111-((1.1*(10^-4)*(M111^0.75))/6.25), 0)</f>
        <v>3.1621817509526355E-2</v>
      </c>
      <c r="AV111">
        <f t="shared" ref="AV111:AV150" si="40">K111*AU111*J111</f>
        <v>178.90043256014536</v>
      </c>
      <c r="AW111">
        <f>SUM(AV111:AV150)</f>
        <v>75067.350694567969</v>
      </c>
      <c r="AX111" t="s">
        <v>257</v>
      </c>
      <c r="AY111">
        <f>VLOOKUP(AX111, $CK$18:$CM$27, 2, FALSE)</f>
        <v>6.0000000000000001E-3</v>
      </c>
      <c r="AZ111">
        <f>$CJ$6</f>
        <v>0.21</v>
      </c>
      <c r="BA111">
        <f>AW111*AZ111</f>
        <v>15764.143645859273</v>
      </c>
      <c r="BB111">
        <f>$CJ$7</f>
        <v>0.24</v>
      </c>
      <c r="BC111" t="s">
        <v>190</v>
      </c>
      <c r="BD111">
        <f>IF(BC111="yes",1,0)</f>
        <v>0</v>
      </c>
      <c r="BE111">
        <f>AV111 * BD111 * BB111</f>
        <v>0</v>
      </c>
      <c r="BF111">
        <f>$CJ$8</f>
        <v>1.57</v>
      </c>
      <c r="BG111" t="s">
        <v>180</v>
      </c>
      <c r="BH111">
        <f>VLOOKUP(BG111, $BQ$274:$BR$286, 2, FALSE)</f>
        <v>5.8999999999999999E-3</v>
      </c>
      <c r="BI111">
        <f>$CJ$9</f>
        <v>1.0999999999999999E-2</v>
      </c>
      <c r="BJ111" s="7">
        <f>(AW111 * AY111 * BF111) * 10^-3</f>
        <v>0.70713444354283028</v>
      </c>
      <c r="BK111" s="7">
        <f>BA111 * BH111 * BF111 * 10^-3</f>
        <v>0.14602326259159445</v>
      </c>
      <c r="BL111" s="7">
        <f>BE111 * BI111 * BF111 * 10^-3</f>
        <v>0</v>
      </c>
      <c r="BQ111" t="s">
        <v>121</v>
      </c>
      <c r="BR111" t="s">
        <v>216</v>
      </c>
    </row>
    <row r="112" spans="1:86" x14ac:dyDescent="0.2">
      <c r="G112">
        <v>1</v>
      </c>
      <c r="H112" t="s">
        <v>162</v>
      </c>
      <c r="J112">
        <v>91.25</v>
      </c>
      <c r="K112">
        <v>154</v>
      </c>
      <c r="M112">
        <v>170</v>
      </c>
      <c r="O112">
        <v>1</v>
      </c>
      <c r="P112">
        <v>700</v>
      </c>
      <c r="Q112">
        <f t="shared" ref="Q112:Q150" si="41">M112 / P112</f>
        <v>0.24285714285714285</v>
      </c>
      <c r="S112">
        <v>0</v>
      </c>
      <c r="T112">
        <v>0</v>
      </c>
      <c r="U112">
        <f>70/K112</f>
        <v>0.45454545454545453</v>
      </c>
      <c r="V112">
        <f>30/K112</f>
        <v>0.19480519480519481</v>
      </c>
      <c r="W112">
        <f>S112*B113+T112*B114</f>
        <v>0</v>
      </c>
      <c r="X112">
        <f t="shared" si="36"/>
        <v>1</v>
      </c>
      <c r="Y112">
        <f t="shared" si="37"/>
        <v>4.8253151556000002</v>
      </c>
      <c r="Z112">
        <f t="shared" ref="Z112:Z150" si="42">Y112 / ((1.185 + 0.00454 * M112 - 0.0000026 * M112 ^ 2) ^ 2 * X112)</f>
        <v>1.3628353121567047</v>
      </c>
      <c r="AC112">
        <v>0.13</v>
      </c>
      <c r="AE112">
        <v>0.65</v>
      </c>
      <c r="AF112">
        <f t="shared" si="38"/>
        <v>1.7313230778292801</v>
      </c>
      <c r="AG112">
        <f t="shared" ref="AG112:AG150" si="43">$CJ$4</f>
        <v>0.19</v>
      </c>
      <c r="AH112">
        <f t="shared" ref="AH112:AH150" si="44">$CJ$5</f>
        <v>0.6784</v>
      </c>
      <c r="AI112">
        <f>AI111</f>
        <v>0.54800000000000004</v>
      </c>
      <c r="AK112">
        <f>AK111</f>
        <v>0.75</v>
      </c>
      <c r="AL112">
        <f>AL111</f>
        <v>99.451999999999998</v>
      </c>
      <c r="AM112">
        <f>AM111</f>
        <v>4.7000000000000002E-3</v>
      </c>
      <c r="AN112">
        <f t="shared" ref="AN112:AN150" si="45">AF112 * AG112 * AI112/100 * AK112 * AH112</f>
        <v>9.1719014589791866E-4</v>
      </c>
      <c r="AO112">
        <f t="shared" ref="AO112:AO150" si="46">AF112 * AG112 * AL112/100 * AM112 * AH112</f>
        <v>1.0431071864531558E-3</v>
      </c>
      <c r="AP112">
        <f t="shared" ref="AP112:AP150" si="47">AN112+AO112</f>
        <v>1.9602973323510743E-3</v>
      </c>
      <c r="AQ112">
        <f t="shared" ref="AQ112:AQ150" si="48">K112*AP112*J112</f>
        <v>27.547078262863472</v>
      </c>
      <c r="AS112">
        <f t="shared" ref="AS112:AS150" si="49">U112*$B$113+V112*$B$114</f>
        <v>3.5064935064935066</v>
      </c>
      <c r="AT112">
        <f t="shared" si="39"/>
        <v>2.5969483089068355E-2</v>
      </c>
      <c r="AU112">
        <f t="shared" ref="AU112:AU150" si="50">MAX((Y112*AC112/6.25)+(0.032*AS112/6.38)-AT112-((1.1*(10^-4)*(M112^0.75))/6.25), 0)</f>
        <v>9.1155891941227821E-2</v>
      </c>
      <c r="AV112">
        <f t="shared" si="40"/>
        <v>1280.968171504104</v>
      </c>
      <c r="AY112">
        <f>AY111</f>
        <v>6.0000000000000001E-3</v>
      </c>
      <c r="BB112">
        <f t="shared" ref="BB112:BB150" si="51">$CJ$7</f>
        <v>0.24</v>
      </c>
      <c r="BQ112" t="s">
        <v>168</v>
      </c>
      <c r="BR112" t="s">
        <v>200</v>
      </c>
      <c r="BS112" t="s">
        <v>156</v>
      </c>
      <c r="BT112" t="s">
        <v>181</v>
      </c>
      <c r="BU112" t="s">
        <v>169</v>
      </c>
      <c r="BV112" t="s">
        <v>170</v>
      </c>
      <c r="BW112" t="s">
        <v>171</v>
      </c>
      <c r="BX112" t="s">
        <v>172</v>
      </c>
      <c r="BY112" t="s">
        <v>173</v>
      </c>
      <c r="BZ112" t="s">
        <v>178</v>
      </c>
    </row>
    <row r="113" spans="1:78" x14ac:dyDescent="0.2">
      <c r="A113" t="s">
        <v>222</v>
      </c>
      <c r="B113">
        <f>IF(B111="Hereford or Shorthorn",$BT$3,$BT$4)</f>
        <v>6</v>
      </c>
      <c r="H113" t="s">
        <v>163</v>
      </c>
      <c r="J113">
        <v>91.25</v>
      </c>
      <c r="K113">
        <v>150</v>
      </c>
      <c r="M113">
        <v>240</v>
      </c>
      <c r="O113">
        <v>0.8</v>
      </c>
      <c r="P113">
        <v>700</v>
      </c>
      <c r="Q113">
        <f t="shared" si="41"/>
        <v>0.34285714285714286</v>
      </c>
      <c r="S113">
        <v>0</v>
      </c>
      <c r="T113">
        <v>0</v>
      </c>
      <c r="U113">
        <v>0</v>
      </c>
      <c r="V113">
        <f>70/M113</f>
        <v>0.29166666666666669</v>
      </c>
      <c r="W113">
        <f>S113*B113+T113*B114</f>
        <v>0</v>
      </c>
      <c r="X113">
        <f t="shared" si="36"/>
        <v>1</v>
      </c>
      <c r="Y113">
        <f t="shared" si="37"/>
        <v>5.6493683855999981</v>
      </c>
      <c r="Z113">
        <f t="shared" si="42"/>
        <v>1.2512596174632808</v>
      </c>
      <c r="AC113">
        <v>0.1</v>
      </c>
      <c r="AE113">
        <v>0.6</v>
      </c>
      <c r="AF113">
        <f t="shared" si="38"/>
        <v>2.2868643224908793</v>
      </c>
      <c r="AG113">
        <f t="shared" si="43"/>
        <v>0.19</v>
      </c>
      <c r="AH113">
        <f t="shared" si="44"/>
        <v>0.6784</v>
      </c>
      <c r="AI113">
        <f>AI111</f>
        <v>0.54800000000000004</v>
      </c>
      <c r="AK113">
        <f>AK111</f>
        <v>0.75</v>
      </c>
      <c r="AL113">
        <f>AL111</f>
        <v>99.451999999999998</v>
      </c>
      <c r="AM113">
        <f>AM111</f>
        <v>4.7000000000000002E-3</v>
      </c>
      <c r="AN113">
        <f t="shared" si="45"/>
        <v>1.2114950978554342E-3</v>
      </c>
      <c r="AO113">
        <f t="shared" si="46"/>
        <v>1.3778159834988261E-3</v>
      </c>
      <c r="AP113">
        <f t="shared" si="47"/>
        <v>2.5893110813542605E-3</v>
      </c>
      <c r="AQ113">
        <f t="shared" si="48"/>
        <v>35.441195426036437</v>
      </c>
      <c r="AS113">
        <f t="shared" si="49"/>
        <v>1.1666666666666667</v>
      </c>
      <c r="AT113">
        <f t="shared" si="39"/>
        <v>1.8533919857877126E-2</v>
      </c>
      <c r="AU113">
        <f t="shared" si="50"/>
        <v>7.6634417592343407E-2</v>
      </c>
      <c r="AV113">
        <f t="shared" si="40"/>
        <v>1048.9335907952004</v>
      </c>
      <c r="AY113">
        <f>AY111</f>
        <v>6.0000000000000001E-3</v>
      </c>
      <c r="BB113">
        <f t="shared" si="51"/>
        <v>0.24</v>
      </c>
      <c r="BQ113" s="5" t="s">
        <v>160</v>
      </c>
      <c r="BR113" s="6" t="s">
        <v>159</v>
      </c>
      <c r="BS113">
        <v>700</v>
      </c>
      <c r="BT113">
        <v>700</v>
      </c>
      <c r="BU113">
        <v>770</v>
      </c>
      <c r="BV113">
        <v>770</v>
      </c>
      <c r="BW113">
        <v>770</v>
      </c>
      <c r="BX113">
        <v>770</v>
      </c>
      <c r="BY113">
        <v>770</v>
      </c>
      <c r="BZ113">
        <v>770</v>
      </c>
    </row>
    <row r="114" spans="1:78" x14ac:dyDescent="0.2">
      <c r="A114" t="s">
        <v>223</v>
      </c>
      <c r="B114">
        <f>IF(B111="Hereford or Shorthorn",$BU$3,$BU$4)</f>
        <v>4</v>
      </c>
      <c r="H114" t="s">
        <v>164</v>
      </c>
      <c r="J114">
        <v>91.25</v>
      </c>
      <c r="K114">
        <v>83</v>
      </c>
      <c r="M114">
        <v>280</v>
      </c>
      <c r="O114">
        <v>0.4</v>
      </c>
      <c r="P114">
        <v>700</v>
      </c>
      <c r="Q114">
        <f t="shared" si="41"/>
        <v>0.4</v>
      </c>
      <c r="S114">
        <v>0</v>
      </c>
      <c r="T114">
        <v>0</v>
      </c>
      <c r="U114">
        <v>0</v>
      </c>
      <c r="V114">
        <v>0</v>
      </c>
      <c r="W114">
        <f>S114*B113+T114*B114</f>
        <v>0</v>
      </c>
      <c r="X114">
        <f t="shared" si="36"/>
        <v>1</v>
      </c>
      <c r="Y114">
        <f t="shared" si="37"/>
        <v>5.6565962895999995</v>
      </c>
      <c r="Z114">
        <f t="shared" si="42"/>
        <v>1.1150120792389542</v>
      </c>
      <c r="AC114">
        <v>0.06</v>
      </c>
      <c r="AE114">
        <v>0.5</v>
      </c>
      <c r="AF114">
        <f t="shared" si="38"/>
        <v>2.81019703667328</v>
      </c>
      <c r="AG114">
        <f t="shared" si="43"/>
        <v>0.19</v>
      </c>
      <c r="AH114">
        <f t="shared" si="44"/>
        <v>0.6784</v>
      </c>
      <c r="AI114">
        <f>AI111</f>
        <v>0.54800000000000004</v>
      </c>
      <c r="AK114">
        <f>AK111</f>
        <v>0.75</v>
      </c>
      <c r="AL114">
        <f>AL111</f>
        <v>99.451999999999998</v>
      </c>
      <c r="AM114">
        <f>AM111</f>
        <v>4.7000000000000002E-3</v>
      </c>
      <c r="AN114">
        <f t="shared" si="45"/>
        <v>1.4887371762524507E-3</v>
      </c>
      <c r="AO114">
        <f t="shared" si="46"/>
        <v>1.6931194193856353E-3</v>
      </c>
      <c r="AP114">
        <f t="shared" si="47"/>
        <v>3.181856595638086E-3</v>
      </c>
      <c r="AQ114">
        <f t="shared" si="48"/>
        <v>24.098586391213953</v>
      </c>
      <c r="AS114">
        <f t="shared" si="49"/>
        <v>0</v>
      </c>
      <c r="AT114">
        <f t="shared" si="39"/>
        <v>8.5693923550976409E-3</v>
      </c>
      <c r="AU114">
        <f t="shared" si="50"/>
        <v>4.4529225697782754E-2</v>
      </c>
      <c r="AV114">
        <f t="shared" si="40"/>
        <v>337.25322312858214</v>
      </c>
      <c r="AY114">
        <f>AY111</f>
        <v>6.0000000000000001E-3</v>
      </c>
      <c r="BB114">
        <f t="shared" si="51"/>
        <v>0.24</v>
      </c>
      <c r="BQ114" s="3" t="s">
        <v>162</v>
      </c>
      <c r="BR114" s="4" t="s">
        <v>159</v>
      </c>
      <c r="BS114">
        <v>700</v>
      </c>
      <c r="BT114">
        <v>700</v>
      </c>
      <c r="BU114">
        <v>770</v>
      </c>
      <c r="BV114">
        <v>770</v>
      </c>
      <c r="BW114">
        <v>770</v>
      </c>
      <c r="BX114">
        <v>770</v>
      </c>
      <c r="BY114">
        <v>770</v>
      </c>
      <c r="BZ114">
        <v>770</v>
      </c>
    </row>
    <row r="115" spans="1:78" x14ac:dyDescent="0.2">
      <c r="G115" t="s">
        <v>165</v>
      </c>
      <c r="H115" t="s">
        <v>160</v>
      </c>
      <c r="J115">
        <v>91.25</v>
      </c>
      <c r="K115">
        <v>70</v>
      </c>
      <c r="M115">
        <v>480</v>
      </c>
      <c r="O115">
        <v>0.2</v>
      </c>
      <c r="P115">
        <v>700</v>
      </c>
      <c r="Q115">
        <f t="shared" si="41"/>
        <v>0.68571428571428572</v>
      </c>
      <c r="S115">
        <v>0</v>
      </c>
      <c r="T115">
        <v>0</v>
      </c>
      <c r="U115">
        <v>0</v>
      </c>
      <c r="V115">
        <v>0</v>
      </c>
      <c r="W115">
        <f>S115*B113+T115*B114</f>
        <v>0</v>
      </c>
      <c r="X115">
        <f t="shared" si="36"/>
        <v>1</v>
      </c>
      <c r="Y115">
        <f t="shared" si="37"/>
        <v>7.9984889855999999</v>
      </c>
      <c r="Z115">
        <f t="shared" si="42"/>
        <v>1.0460860709612354</v>
      </c>
      <c r="AC115">
        <v>7.0000000000000007E-2</v>
      </c>
      <c r="AE115">
        <v>0.55000000000000004</v>
      </c>
      <c r="AF115">
        <f t="shared" si="38"/>
        <v>3.6057188347084801</v>
      </c>
      <c r="AG115">
        <f t="shared" si="43"/>
        <v>0.19</v>
      </c>
      <c r="AH115">
        <f t="shared" si="44"/>
        <v>0.6784</v>
      </c>
      <c r="AI115">
        <f>AI111</f>
        <v>0.54800000000000004</v>
      </c>
      <c r="AK115">
        <f>AK111</f>
        <v>0.75</v>
      </c>
      <c r="AL115">
        <f>AL111</f>
        <v>99.451999999999998</v>
      </c>
      <c r="AM115">
        <f>AM111</f>
        <v>4.7000000000000002E-3</v>
      </c>
      <c r="AN115">
        <f t="shared" si="45"/>
        <v>1.9101748405153816E-3</v>
      </c>
      <c r="AO115">
        <f t="shared" si="46"/>
        <v>2.172414425116783E-3</v>
      </c>
      <c r="AP115">
        <f t="shared" si="47"/>
        <v>4.0825892656321649E-3</v>
      </c>
      <c r="AQ115">
        <f t="shared" si="48"/>
        <v>26.077538934225451</v>
      </c>
      <c r="AS115">
        <f t="shared" si="49"/>
        <v>0</v>
      </c>
      <c r="AT115">
        <f t="shared" si="39"/>
        <v>2.7829578220966199E-3</v>
      </c>
      <c r="AU115">
        <f t="shared" si="50"/>
        <v>8.4995258501605692E-2</v>
      </c>
      <c r="AV115">
        <f t="shared" si="40"/>
        <v>542.90721367900642</v>
      </c>
      <c r="AY115">
        <f>AY111</f>
        <v>6.0000000000000001E-3</v>
      </c>
      <c r="BB115">
        <f t="shared" si="51"/>
        <v>0.24</v>
      </c>
      <c r="BQ115" s="5" t="s">
        <v>163</v>
      </c>
      <c r="BR115" s="6" t="s">
        <v>159</v>
      </c>
      <c r="BS115">
        <v>700</v>
      </c>
      <c r="BT115">
        <v>700</v>
      </c>
      <c r="BU115">
        <v>770</v>
      </c>
      <c r="BV115">
        <v>770</v>
      </c>
      <c r="BW115">
        <v>770</v>
      </c>
      <c r="BX115">
        <v>770</v>
      </c>
      <c r="BY115">
        <v>770</v>
      </c>
      <c r="BZ115">
        <v>770</v>
      </c>
    </row>
    <row r="116" spans="1:78" x14ac:dyDescent="0.2">
      <c r="A116" t="s">
        <v>167</v>
      </c>
      <c r="G116">
        <v>2</v>
      </c>
      <c r="H116" t="s">
        <v>162</v>
      </c>
      <c r="J116">
        <v>91.25</v>
      </c>
      <c r="K116">
        <v>147</v>
      </c>
      <c r="M116">
        <v>520</v>
      </c>
      <c r="O116">
        <v>0.4</v>
      </c>
      <c r="P116">
        <v>700</v>
      </c>
      <c r="Q116">
        <f t="shared" si="41"/>
        <v>0.74285714285714288</v>
      </c>
      <c r="S116">
        <v>0</v>
      </c>
      <c r="T116">
        <v>0</v>
      </c>
      <c r="U116">
        <v>0</v>
      </c>
      <c r="V116">
        <v>0</v>
      </c>
      <c r="W116">
        <f>S116*B113+T116*B114</f>
        <v>0</v>
      </c>
      <c r="X116">
        <f t="shared" si="36"/>
        <v>1</v>
      </c>
      <c r="Y116">
        <f t="shared" si="37"/>
        <v>8.8135359375999975</v>
      </c>
      <c r="Z116">
        <f t="shared" si="42"/>
        <v>1.0906107843952688</v>
      </c>
      <c r="AC116">
        <v>0.13</v>
      </c>
      <c r="AE116">
        <v>0.65</v>
      </c>
      <c r="AF116">
        <f t="shared" si="38"/>
        <v>3.1622966944108795</v>
      </c>
      <c r="AG116">
        <f t="shared" si="43"/>
        <v>0.19</v>
      </c>
      <c r="AH116">
        <f t="shared" si="44"/>
        <v>0.6784</v>
      </c>
      <c r="AI116">
        <f>AI111</f>
        <v>0.54800000000000004</v>
      </c>
      <c r="AK116">
        <f>AK111</f>
        <v>0.75</v>
      </c>
      <c r="AL116">
        <f>AL111</f>
        <v>99.451999999999998</v>
      </c>
      <c r="AM116">
        <f>AM111</f>
        <v>4.7000000000000002E-3</v>
      </c>
      <c r="AN116">
        <f t="shared" si="45"/>
        <v>1.6752663923106455E-3</v>
      </c>
      <c r="AO116">
        <f t="shared" si="46"/>
        <v>1.9052564191386085E-3</v>
      </c>
      <c r="AP116">
        <f t="shared" si="47"/>
        <v>3.5805228114492542E-3</v>
      </c>
      <c r="AQ116">
        <f t="shared" si="48"/>
        <v>48.028237862077432</v>
      </c>
      <c r="AS116">
        <f t="shared" si="49"/>
        <v>0</v>
      </c>
      <c r="AT116">
        <f t="shared" si="39"/>
        <v>5.2221304888844331E-3</v>
      </c>
      <c r="AU116">
        <f t="shared" si="50"/>
        <v>0.17618288898244339</v>
      </c>
      <c r="AV116">
        <f t="shared" si="40"/>
        <v>2363.2732270882502</v>
      </c>
      <c r="AY116">
        <f>AY111</f>
        <v>6.0000000000000001E-3</v>
      </c>
      <c r="BB116">
        <f t="shared" si="51"/>
        <v>0.24</v>
      </c>
      <c r="BQ116" s="3" t="s">
        <v>164</v>
      </c>
      <c r="BR116" s="4" t="s">
        <v>159</v>
      </c>
      <c r="BS116">
        <v>700</v>
      </c>
      <c r="BT116">
        <v>700</v>
      </c>
      <c r="BU116">
        <v>770</v>
      </c>
      <c r="BV116">
        <v>770</v>
      </c>
      <c r="BW116">
        <v>770</v>
      </c>
      <c r="BX116">
        <v>770</v>
      </c>
      <c r="BY116">
        <v>770</v>
      </c>
      <c r="BZ116">
        <v>770</v>
      </c>
    </row>
    <row r="117" spans="1:78" x14ac:dyDescent="0.2">
      <c r="A117" t="s">
        <v>160</v>
      </c>
      <c r="B117">
        <f>IF(B111="Hereford or Shorthorn", 1.3, 0)</f>
        <v>1.3</v>
      </c>
      <c r="H117" t="s">
        <v>163</v>
      </c>
      <c r="J117">
        <v>91.25</v>
      </c>
      <c r="K117">
        <v>104</v>
      </c>
      <c r="M117">
        <v>550</v>
      </c>
      <c r="O117">
        <v>0.3</v>
      </c>
      <c r="P117">
        <v>700</v>
      </c>
      <c r="Q117">
        <f t="shared" si="41"/>
        <v>0.7857142857142857</v>
      </c>
      <c r="S117">
        <v>0</v>
      </c>
      <c r="T117">
        <v>0</v>
      </c>
      <c r="U117">
        <v>0</v>
      </c>
      <c r="V117">
        <v>0</v>
      </c>
      <c r="W117">
        <f>S117*B113+T117*B114</f>
        <v>0</v>
      </c>
      <c r="X117">
        <f t="shared" si="36"/>
        <v>1</v>
      </c>
      <c r="Y117">
        <f t="shared" si="37"/>
        <v>8.940100000000001</v>
      </c>
      <c r="Z117">
        <f t="shared" si="42"/>
        <v>1.0663388645663703</v>
      </c>
      <c r="AC117">
        <v>0.1</v>
      </c>
      <c r="AE117">
        <v>0.6</v>
      </c>
      <c r="AF117">
        <f t="shared" si="38"/>
        <v>3.6189524800000012</v>
      </c>
      <c r="AG117">
        <f t="shared" si="43"/>
        <v>0.19</v>
      </c>
      <c r="AH117">
        <f t="shared" si="44"/>
        <v>0.6784</v>
      </c>
      <c r="AI117">
        <f>AI111</f>
        <v>0.54800000000000004</v>
      </c>
      <c r="AK117">
        <f>AK111</f>
        <v>0.75</v>
      </c>
      <c r="AL117">
        <f>AL111</f>
        <v>99.451999999999998</v>
      </c>
      <c r="AM117">
        <f>AM111</f>
        <v>4.7000000000000002E-3</v>
      </c>
      <c r="AN117">
        <f t="shared" si="45"/>
        <v>1.9171855303231498E-3</v>
      </c>
      <c r="AO117">
        <f t="shared" si="46"/>
        <v>2.1803875819950851E-3</v>
      </c>
      <c r="AP117">
        <f t="shared" si="47"/>
        <v>4.0975731123182348E-3</v>
      </c>
      <c r="AQ117">
        <f t="shared" si="48"/>
        <v>38.885968835900044</v>
      </c>
      <c r="AS117">
        <f t="shared" si="49"/>
        <v>0</v>
      </c>
      <c r="AT117">
        <f t="shared" si="39"/>
        <v>3.7652749370972543E-3</v>
      </c>
      <c r="AU117">
        <f t="shared" si="50"/>
        <v>0.13727745444156481</v>
      </c>
      <c r="AV117">
        <f t="shared" si="40"/>
        <v>1302.7630426504502</v>
      </c>
      <c r="AY117">
        <f>AY111</f>
        <v>6.0000000000000001E-3</v>
      </c>
      <c r="BB117">
        <f t="shared" si="51"/>
        <v>0.24</v>
      </c>
      <c r="BQ117" s="5" t="s">
        <v>160</v>
      </c>
      <c r="BR117" s="6" t="s">
        <v>165</v>
      </c>
      <c r="BS117">
        <v>700</v>
      </c>
      <c r="BT117">
        <v>700</v>
      </c>
      <c r="BU117">
        <v>770</v>
      </c>
      <c r="BV117">
        <v>770</v>
      </c>
      <c r="BW117">
        <v>770</v>
      </c>
      <c r="BX117">
        <v>770</v>
      </c>
      <c r="BY117">
        <v>770</v>
      </c>
      <c r="BZ117">
        <v>770</v>
      </c>
    </row>
    <row r="118" spans="1:78" x14ac:dyDescent="0.2">
      <c r="A118" t="s">
        <v>162</v>
      </c>
      <c r="B118">
        <f>IF(B111="Hereford or Shorthorn", 1.1, 1.3)</f>
        <v>1.1000000000000001</v>
      </c>
      <c r="H118" t="s">
        <v>164</v>
      </c>
      <c r="J118">
        <v>91.25</v>
      </c>
      <c r="K118">
        <v>31</v>
      </c>
      <c r="M118">
        <v>560</v>
      </c>
      <c r="O118">
        <v>0.1</v>
      </c>
      <c r="P118">
        <v>700</v>
      </c>
      <c r="Q118">
        <f t="shared" si="41"/>
        <v>0.8</v>
      </c>
      <c r="S118">
        <v>0</v>
      </c>
      <c r="T118">
        <v>0</v>
      </c>
      <c r="U118">
        <v>0</v>
      </c>
      <c r="V118">
        <v>0</v>
      </c>
      <c r="W118">
        <f>S118*B113+T118*B114</f>
        <v>0</v>
      </c>
      <c r="X118">
        <f t="shared" si="36"/>
        <v>1</v>
      </c>
      <c r="Y118">
        <f t="shared" si="37"/>
        <v>8.6644277315999982</v>
      </c>
      <c r="Z118">
        <f t="shared" si="42"/>
        <v>1.0217513291410167</v>
      </c>
      <c r="AC118">
        <v>0.06</v>
      </c>
      <c r="AE118">
        <v>0.5</v>
      </c>
      <c r="AF118">
        <f t="shared" si="38"/>
        <v>4.304487697058879</v>
      </c>
      <c r="AG118">
        <f t="shared" si="43"/>
        <v>0.19</v>
      </c>
      <c r="AH118">
        <f t="shared" si="44"/>
        <v>0.6784</v>
      </c>
      <c r="AI118">
        <f>AI111</f>
        <v>0.54800000000000004</v>
      </c>
      <c r="AK118">
        <f>AK111</f>
        <v>0.75</v>
      </c>
      <c r="AL118">
        <f>AL111</f>
        <v>99.451999999999998</v>
      </c>
      <c r="AM118">
        <f>AM111</f>
        <v>4.7000000000000002E-3</v>
      </c>
      <c r="AN118">
        <f t="shared" si="45"/>
        <v>2.2803564218824165E-3</v>
      </c>
      <c r="AO118">
        <f t="shared" si="46"/>
        <v>2.5934166235633467E-3</v>
      </c>
      <c r="AP118">
        <f t="shared" si="47"/>
        <v>4.8737730454457631E-3</v>
      </c>
      <c r="AQ118">
        <f t="shared" si="48"/>
        <v>13.786685502304703</v>
      </c>
      <c r="AS118">
        <f t="shared" si="49"/>
        <v>0</v>
      </c>
      <c r="AT118">
        <f t="shared" si="39"/>
        <v>1.2408236680915622E-3</v>
      </c>
      <c r="AU118">
        <f t="shared" si="50"/>
        <v>7.9911616091182663E-2</v>
      </c>
      <c r="AV118">
        <f t="shared" si="40"/>
        <v>226.04998401793296</v>
      </c>
      <c r="AY118">
        <f>AY111</f>
        <v>6.0000000000000001E-3</v>
      </c>
      <c r="BB118">
        <f t="shared" si="51"/>
        <v>0.24</v>
      </c>
      <c r="BQ118" s="3" t="s">
        <v>162</v>
      </c>
      <c r="BR118" s="4" t="s">
        <v>165</v>
      </c>
      <c r="BS118">
        <v>700</v>
      </c>
      <c r="BT118">
        <v>700</v>
      </c>
      <c r="BU118">
        <v>770</v>
      </c>
      <c r="BV118">
        <v>770</v>
      </c>
      <c r="BW118">
        <v>770</v>
      </c>
      <c r="BX118">
        <v>770</v>
      </c>
      <c r="BY118">
        <v>770</v>
      </c>
      <c r="BZ118">
        <v>770</v>
      </c>
    </row>
    <row r="119" spans="1:78" x14ac:dyDescent="0.2">
      <c r="A119" t="s">
        <v>163</v>
      </c>
      <c r="B119">
        <f>IF(B111="Hereford or Shorthorn", 0, 1.1)</f>
        <v>0</v>
      </c>
      <c r="G119" t="s">
        <v>177</v>
      </c>
      <c r="H119" t="s">
        <v>160</v>
      </c>
      <c r="J119">
        <v>91.25</v>
      </c>
      <c r="K119">
        <v>318</v>
      </c>
      <c r="M119">
        <v>300</v>
      </c>
      <c r="O119">
        <v>0.4</v>
      </c>
      <c r="P119">
        <v>500</v>
      </c>
      <c r="Q119">
        <f t="shared" si="41"/>
        <v>0.6</v>
      </c>
      <c r="S119">
        <v>0</v>
      </c>
      <c r="T119">
        <v>0</v>
      </c>
      <c r="U119">
        <v>0</v>
      </c>
      <c r="V119">
        <v>0</v>
      </c>
      <c r="W119">
        <f>S119*B113+T119*B114</f>
        <v>0</v>
      </c>
      <c r="X119">
        <f t="shared" si="36"/>
        <v>1</v>
      </c>
      <c r="Y119">
        <f t="shared" si="37"/>
        <v>5.9487209999999981</v>
      </c>
      <c r="Z119">
        <f t="shared" si="42"/>
        <v>1.1119169101727504</v>
      </c>
      <c r="AC119">
        <v>7.0000000000000007E-2</v>
      </c>
      <c r="AE119">
        <v>0.55000000000000004</v>
      </c>
      <c r="AF119">
        <f t="shared" si="38"/>
        <v>2.6816834267999994</v>
      </c>
      <c r="AG119">
        <f t="shared" si="43"/>
        <v>0.19</v>
      </c>
      <c r="AH119">
        <f t="shared" si="44"/>
        <v>0.6784</v>
      </c>
      <c r="AI119">
        <f>AI111</f>
        <v>0.54800000000000004</v>
      </c>
      <c r="AK119">
        <f>AK111</f>
        <v>0.75</v>
      </c>
      <c r="AL119">
        <f>AL111</f>
        <v>99.451999999999998</v>
      </c>
      <c r="AM119">
        <f>AM111</f>
        <v>4.7000000000000002E-3</v>
      </c>
      <c r="AN119">
        <f t="shared" si="45"/>
        <v>1.4206554772911403E-3</v>
      </c>
      <c r="AO119">
        <f t="shared" si="46"/>
        <v>1.6156910804854619E-3</v>
      </c>
      <c r="AP119">
        <f t="shared" si="47"/>
        <v>3.0363465577766023E-3</v>
      </c>
      <c r="AQ119">
        <f t="shared" si="48"/>
        <v>88.107186240282559</v>
      </c>
      <c r="AS119">
        <f t="shared" si="49"/>
        <v>0</v>
      </c>
      <c r="AT119">
        <f t="shared" si="39"/>
        <v>6.2442878326350593E-3</v>
      </c>
      <c r="AU119">
        <f t="shared" si="50"/>
        <v>5.9112702940701776E-2</v>
      </c>
      <c r="AV119">
        <f t="shared" si="40"/>
        <v>1715.3028575818139</v>
      </c>
      <c r="AY119">
        <f>AY111</f>
        <v>6.0000000000000001E-3</v>
      </c>
      <c r="BB119">
        <f t="shared" si="51"/>
        <v>0.24</v>
      </c>
      <c r="BQ119" s="5" t="s">
        <v>163</v>
      </c>
      <c r="BR119" s="6" t="s">
        <v>165</v>
      </c>
      <c r="BS119">
        <v>700</v>
      </c>
      <c r="BT119">
        <v>700</v>
      </c>
      <c r="BU119">
        <v>770</v>
      </c>
      <c r="BV119">
        <v>770</v>
      </c>
      <c r="BW119">
        <v>770</v>
      </c>
      <c r="BX119">
        <v>770</v>
      </c>
      <c r="BY119">
        <v>770</v>
      </c>
      <c r="BZ119">
        <v>770</v>
      </c>
    </row>
    <row r="120" spans="1:78" x14ac:dyDescent="0.2">
      <c r="A120" t="s">
        <v>164</v>
      </c>
      <c r="B120">
        <v>0</v>
      </c>
      <c r="G120">
        <v>4</v>
      </c>
      <c r="H120" t="s">
        <v>162</v>
      </c>
      <c r="J120">
        <v>91.25</v>
      </c>
      <c r="K120">
        <v>440</v>
      </c>
      <c r="M120">
        <v>360</v>
      </c>
      <c r="O120">
        <v>0.7</v>
      </c>
      <c r="P120">
        <v>500</v>
      </c>
      <c r="Q120">
        <f t="shared" si="41"/>
        <v>0.72</v>
      </c>
      <c r="S120">
        <v>0</v>
      </c>
      <c r="T120">
        <v>0</v>
      </c>
      <c r="U120">
        <v>0</v>
      </c>
      <c r="V120">
        <v>0</v>
      </c>
      <c r="W120">
        <f>S120*B113+T120*B114</f>
        <v>0</v>
      </c>
      <c r="X120">
        <f t="shared" si="36"/>
        <v>1</v>
      </c>
      <c r="Y120">
        <f t="shared" si="37"/>
        <v>7.3058846435999998</v>
      </c>
      <c r="Z120">
        <f t="shared" si="42"/>
        <v>1.1855374831795669</v>
      </c>
      <c r="AC120">
        <v>0.13</v>
      </c>
      <c r="AE120">
        <v>0.65</v>
      </c>
      <c r="AF120">
        <f t="shared" si="38"/>
        <v>2.6213514101236801</v>
      </c>
      <c r="AG120">
        <f t="shared" si="43"/>
        <v>0.19</v>
      </c>
      <c r="AH120">
        <f t="shared" si="44"/>
        <v>0.6784</v>
      </c>
      <c r="AI120">
        <f>AI111</f>
        <v>0.54800000000000004</v>
      </c>
      <c r="AK120">
        <f>AK111</f>
        <v>0.75</v>
      </c>
      <c r="AL120">
        <f>AL111</f>
        <v>99.451999999999998</v>
      </c>
      <c r="AM120">
        <f>AM111</f>
        <v>4.7000000000000002E-3</v>
      </c>
      <c r="AN120">
        <f t="shared" si="45"/>
        <v>1.3886938336867311E-3</v>
      </c>
      <c r="AO120">
        <f t="shared" si="46"/>
        <v>1.5793415620309486E-3</v>
      </c>
      <c r="AP120">
        <f t="shared" si="47"/>
        <v>2.9680353957176799E-3</v>
      </c>
      <c r="AQ120">
        <f t="shared" si="48"/>
        <v>119.16662113806485</v>
      </c>
      <c r="AS120">
        <f t="shared" si="49"/>
        <v>0</v>
      </c>
      <c r="AT120">
        <f t="shared" si="39"/>
        <v>9.349203220759222E-3</v>
      </c>
      <c r="AU120">
        <f t="shared" si="50"/>
        <v>0.14115861089687609</v>
      </c>
      <c r="AV120">
        <f t="shared" si="40"/>
        <v>5667.5182275095749</v>
      </c>
      <c r="AY120">
        <f>AY111</f>
        <v>6.0000000000000001E-3</v>
      </c>
      <c r="BB120">
        <f t="shared" si="51"/>
        <v>0.24</v>
      </c>
      <c r="BQ120" s="3" t="s">
        <v>164</v>
      </c>
      <c r="BR120" s="4" t="s">
        <v>165</v>
      </c>
      <c r="BS120">
        <v>700</v>
      </c>
      <c r="BT120">
        <v>700</v>
      </c>
      <c r="BU120">
        <v>770</v>
      </c>
      <c r="BV120">
        <v>770</v>
      </c>
      <c r="BW120">
        <v>770</v>
      </c>
      <c r="BX120">
        <v>770</v>
      </c>
      <c r="BY120">
        <v>770</v>
      </c>
      <c r="BZ120">
        <v>770</v>
      </c>
    </row>
    <row r="121" spans="1:78" x14ac:dyDescent="0.2">
      <c r="H121" t="s">
        <v>163</v>
      </c>
      <c r="J121">
        <v>91.25</v>
      </c>
      <c r="K121">
        <v>412</v>
      </c>
      <c r="M121">
        <v>390</v>
      </c>
      <c r="O121">
        <v>0.3</v>
      </c>
      <c r="P121">
        <v>500</v>
      </c>
      <c r="Q121">
        <f t="shared" si="41"/>
        <v>0.78</v>
      </c>
      <c r="S121">
        <v>0</v>
      </c>
      <c r="T121">
        <v>0</v>
      </c>
      <c r="U121">
        <v>0</v>
      </c>
      <c r="V121">
        <v>0</v>
      </c>
      <c r="W121">
        <f>S121*B113+T121*B114</f>
        <v>0</v>
      </c>
      <c r="X121">
        <f t="shared" si="36"/>
        <v>1</v>
      </c>
      <c r="Y121">
        <f t="shared" si="37"/>
        <v>7.0471135296000007</v>
      </c>
      <c r="Z121">
        <f t="shared" si="42"/>
        <v>1.0751865867280543</v>
      </c>
      <c r="AC121">
        <v>0.1</v>
      </c>
      <c r="AE121">
        <v>0.6</v>
      </c>
      <c r="AF121">
        <f t="shared" si="38"/>
        <v>2.8526715567820804</v>
      </c>
      <c r="AG121">
        <f t="shared" si="43"/>
        <v>0.19</v>
      </c>
      <c r="AH121">
        <f t="shared" si="44"/>
        <v>0.6784</v>
      </c>
      <c r="AI121">
        <f>AI111</f>
        <v>0.54800000000000004</v>
      </c>
      <c r="AK121">
        <f>AK111</f>
        <v>0.75</v>
      </c>
      <c r="AL121">
        <f>AL111</f>
        <v>99.451999999999998</v>
      </c>
      <c r="AM121">
        <f>AM111</f>
        <v>4.7000000000000002E-3</v>
      </c>
      <c r="AN121">
        <f t="shared" si="45"/>
        <v>1.5112385867600605E-3</v>
      </c>
      <c r="AO121">
        <f t="shared" si="46"/>
        <v>1.7187099505429904E-3</v>
      </c>
      <c r="AP121">
        <f t="shared" si="47"/>
        <v>3.2299485373030509E-3</v>
      </c>
      <c r="AQ121">
        <f t="shared" si="48"/>
        <v>121.4299152599082</v>
      </c>
      <c r="AS121">
        <f t="shared" si="49"/>
        <v>0</v>
      </c>
      <c r="AT121">
        <f t="shared" si="39"/>
        <v>3.7835202890765178E-3</v>
      </c>
      <c r="AU121">
        <f t="shared" si="50"/>
        <v>0.1074257136380161</v>
      </c>
      <c r="AV121">
        <f t="shared" si="40"/>
        <v>4038.6697042212154</v>
      </c>
      <c r="AY121">
        <f>AY111</f>
        <v>6.0000000000000001E-3</v>
      </c>
      <c r="BB121">
        <f t="shared" si="51"/>
        <v>0.24</v>
      </c>
      <c r="BQ121" s="5" t="s">
        <v>160</v>
      </c>
      <c r="BR121" s="6" t="s">
        <v>177</v>
      </c>
      <c r="BS121">
        <v>500</v>
      </c>
      <c r="BT121">
        <v>500</v>
      </c>
      <c r="BU121">
        <v>550</v>
      </c>
      <c r="BV121">
        <v>550</v>
      </c>
      <c r="BW121">
        <v>550</v>
      </c>
      <c r="BX121">
        <v>550</v>
      </c>
      <c r="BY121">
        <v>550</v>
      </c>
      <c r="BZ121">
        <v>550</v>
      </c>
    </row>
    <row r="122" spans="1:78" x14ac:dyDescent="0.2">
      <c r="H122" t="s">
        <v>164</v>
      </c>
      <c r="J122">
        <v>91.25</v>
      </c>
      <c r="K122">
        <v>339</v>
      </c>
      <c r="M122">
        <v>410</v>
      </c>
      <c r="O122">
        <v>0.2</v>
      </c>
      <c r="P122">
        <v>500</v>
      </c>
      <c r="Q122">
        <f t="shared" si="41"/>
        <v>0.82</v>
      </c>
      <c r="S122">
        <v>0</v>
      </c>
      <c r="T122">
        <v>0</v>
      </c>
      <c r="U122">
        <v>0</v>
      </c>
      <c r="V122">
        <v>0</v>
      </c>
      <c r="W122">
        <f>S122*B113+T122*B114</f>
        <v>0</v>
      </c>
      <c r="X122">
        <f t="shared" si="36"/>
        <v>1</v>
      </c>
      <c r="Y122">
        <f t="shared" si="37"/>
        <v>7.1414010756000028</v>
      </c>
      <c r="Z122">
        <f t="shared" si="42"/>
        <v>1.0488710073408023</v>
      </c>
      <c r="AC122">
        <v>0.06</v>
      </c>
      <c r="AE122">
        <v>0.5</v>
      </c>
      <c r="AF122">
        <f t="shared" si="38"/>
        <v>3.5478480543580817</v>
      </c>
      <c r="AG122">
        <f t="shared" si="43"/>
        <v>0.19</v>
      </c>
      <c r="AH122">
        <f t="shared" si="44"/>
        <v>0.6784</v>
      </c>
      <c r="AI122">
        <f>AI111</f>
        <v>0.54800000000000004</v>
      </c>
      <c r="AK122">
        <f>AK111</f>
        <v>0.75</v>
      </c>
      <c r="AL122">
        <f>AL111</f>
        <v>99.451999999999998</v>
      </c>
      <c r="AM122">
        <f>AM111</f>
        <v>4.7000000000000002E-3</v>
      </c>
      <c r="AN122">
        <f t="shared" si="45"/>
        <v>1.8795170677677567E-3</v>
      </c>
      <c r="AO122">
        <f t="shared" si="46"/>
        <v>2.1375477802703237E-3</v>
      </c>
      <c r="AP122">
        <f t="shared" si="47"/>
        <v>4.0170648480380806E-3</v>
      </c>
      <c r="AQ122">
        <f t="shared" si="48"/>
        <v>124.26287974299798</v>
      </c>
      <c r="AS122">
        <f t="shared" si="49"/>
        <v>0</v>
      </c>
      <c r="AT122">
        <f t="shared" si="39"/>
        <v>2.4432886397722938E-3</v>
      </c>
      <c r="AU122">
        <f t="shared" si="50"/>
        <v>6.4510545022814142E-2</v>
      </c>
      <c r="AV122">
        <f t="shared" si="40"/>
        <v>1995.553072099477</v>
      </c>
      <c r="AY122">
        <f>AY111</f>
        <v>6.0000000000000001E-3</v>
      </c>
      <c r="BB122">
        <f t="shared" si="51"/>
        <v>0.24</v>
      </c>
      <c r="BQ122" s="3" t="s">
        <v>162</v>
      </c>
      <c r="BR122" s="4" t="s">
        <v>177</v>
      </c>
      <c r="BS122">
        <v>500</v>
      </c>
      <c r="BT122">
        <v>500</v>
      </c>
      <c r="BU122">
        <v>550</v>
      </c>
      <c r="BV122">
        <v>550</v>
      </c>
      <c r="BW122">
        <v>550</v>
      </c>
      <c r="BX122">
        <v>550</v>
      </c>
      <c r="BY122">
        <v>550</v>
      </c>
      <c r="BZ122">
        <v>550</v>
      </c>
    </row>
    <row r="123" spans="1:78" x14ac:dyDescent="0.2">
      <c r="G123" t="s">
        <v>179</v>
      </c>
      <c r="H123" t="s">
        <v>160</v>
      </c>
      <c r="J123">
        <v>91.25</v>
      </c>
      <c r="K123">
        <v>392</v>
      </c>
      <c r="M123">
        <v>440</v>
      </c>
      <c r="O123">
        <v>0.3</v>
      </c>
      <c r="P123">
        <v>500</v>
      </c>
      <c r="Q123">
        <f t="shared" si="41"/>
        <v>0.88</v>
      </c>
      <c r="S123">
        <v>0.8</v>
      </c>
      <c r="T123">
        <v>0.05</v>
      </c>
      <c r="U123">
        <v>0</v>
      </c>
      <c r="V123">
        <v>0</v>
      </c>
      <c r="W123">
        <f>S123*B113+T123*B114</f>
        <v>5.0000000000000009</v>
      </c>
      <c r="X123">
        <f t="shared" si="36"/>
        <v>1.2449999999999999</v>
      </c>
      <c r="Y123">
        <f t="shared" si="37"/>
        <v>9.5785738165620007</v>
      </c>
      <c r="Z123">
        <f t="shared" si="42"/>
        <v>1.0717864499078986</v>
      </c>
      <c r="AC123">
        <v>7.0000000000000007E-2</v>
      </c>
      <c r="AE123">
        <v>0.55000000000000004</v>
      </c>
      <c r="AF123">
        <f t="shared" si="38"/>
        <v>4.3180210765061497</v>
      </c>
      <c r="AG123">
        <f t="shared" si="43"/>
        <v>0.19</v>
      </c>
      <c r="AH123">
        <f t="shared" si="44"/>
        <v>0.6784</v>
      </c>
      <c r="AI123">
        <f>AI111</f>
        <v>0.54800000000000004</v>
      </c>
      <c r="AK123">
        <f>AK111</f>
        <v>0.75</v>
      </c>
      <c r="AL123">
        <f>AL111</f>
        <v>99.451999999999998</v>
      </c>
      <c r="AM123">
        <f>AM111</f>
        <v>4.7000000000000002E-3</v>
      </c>
      <c r="AN123">
        <f t="shared" si="45"/>
        <v>2.287525899623854E-3</v>
      </c>
      <c r="AO123">
        <f t="shared" si="46"/>
        <v>2.6015703676791728E-3</v>
      </c>
      <c r="AP123">
        <f t="shared" si="47"/>
        <v>4.8890962673030268E-3</v>
      </c>
      <c r="AQ123">
        <f t="shared" si="48"/>
        <v>174.88297348142927</v>
      </c>
      <c r="AS123">
        <f t="shared" si="49"/>
        <v>0</v>
      </c>
      <c r="AT123">
        <f t="shared" si="39"/>
        <v>2.860392077416055E-2</v>
      </c>
      <c r="AU123">
        <f t="shared" si="50"/>
        <v>7.6985267287863202E-2</v>
      </c>
      <c r="AV123">
        <f t="shared" si="40"/>
        <v>2753.7630108868666</v>
      </c>
      <c r="AY123">
        <f>AY111</f>
        <v>6.0000000000000001E-3</v>
      </c>
      <c r="BB123">
        <f t="shared" si="51"/>
        <v>0.24</v>
      </c>
      <c r="BQ123" s="5" t="s">
        <v>163</v>
      </c>
      <c r="BR123" s="6" t="s">
        <v>177</v>
      </c>
      <c r="BS123">
        <v>500</v>
      </c>
      <c r="BT123">
        <v>500</v>
      </c>
      <c r="BU123">
        <v>550</v>
      </c>
      <c r="BV123">
        <v>550</v>
      </c>
      <c r="BW123">
        <v>550</v>
      </c>
      <c r="BX123">
        <v>550</v>
      </c>
      <c r="BY123">
        <v>550</v>
      </c>
      <c r="BZ123">
        <v>550</v>
      </c>
    </row>
    <row r="124" spans="1:78" x14ac:dyDescent="0.2">
      <c r="G124" t="s">
        <v>195</v>
      </c>
      <c r="H124" t="s">
        <v>162</v>
      </c>
      <c r="J124">
        <v>91.25</v>
      </c>
      <c r="K124">
        <v>490</v>
      </c>
      <c r="M124">
        <v>470</v>
      </c>
      <c r="O124">
        <v>0.3</v>
      </c>
      <c r="P124">
        <v>500</v>
      </c>
      <c r="Q124">
        <f t="shared" si="41"/>
        <v>0.94</v>
      </c>
      <c r="S124">
        <v>0.05</v>
      </c>
      <c r="T124">
        <v>0.75</v>
      </c>
      <c r="U124">
        <v>0</v>
      </c>
      <c r="V124">
        <v>0</v>
      </c>
      <c r="W124">
        <f>S124*B113+T124*B114</f>
        <v>3.3</v>
      </c>
      <c r="X124">
        <f t="shared" si="36"/>
        <v>1.0900000000000001</v>
      </c>
      <c r="Y124">
        <f t="shared" si="37"/>
        <v>8.7850663309440016</v>
      </c>
      <c r="Z124">
        <f t="shared" si="42"/>
        <v>1.0700516381378118</v>
      </c>
      <c r="AC124">
        <v>0.13</v>
      </c>
      <c r="AE124">
        <v>0.65</v>
      </c>
      <c r="AF124">
        <f t="shared" si="38"/>
        <v>3.1520817995427075</v>
      </c>
      <c r="AG124">
        <f t="shared" si="43"/>
        <v>0.19</v>
      </c>
      <c r="AH124">
        <f t="shared" si="44"/>
        <v>0.6784</v>
      </c>
      <c r="AI124">
        <f>AI111</f>
        <v>0.54800000000000004</v>
      </c>
      <c r="AK124">
        <f>AK111</f>
        <v>0.75</v>
      </c>
      <c r="AL124">
        <f>AL111</f>
        <v>99.451999999999998</v>
      </c>
      <c r="AM124">
        <f>AM111</f>
        <v>4.7000000000000002E-3</v>
      </c>
      <c r="AN124">
        <f t="shared" si="45"/>
        <v>1.6698549234551519E-3</v>
      </c>
      <c r="AO124">
        <f t="shared" si="46"/>
        <v>1.899102033292142E-3</v>
      </c>
      <c r="AP124">
        <f t="shared" si="47"/>
        <v>3.5689569567472941E-3</v>
      </c>
      <c r="AQ124">
        <f t="shared" si="48"/>
        <v>159.5769879285634</v>
      </c>
      <c r="AS124">
        <f t="shared" si="49"/>
        <v>0</v>
      </c>
      <c r="AT124">
        <f t="shared" si="39"/>
        <v>1.9976627436183517E-2</v>
      </c>
      <c r="AU124">
        <f t="shared" si="50"/>
        <v>0.1609761669598834</v>
      </c>
      <c r="AV124">
        <f t="shared" si="40"/>
        <v>7197.6468651937867</v>
      </c>
      <c r="AY124">
        <f>AY111</f>
        <v>6.0000000000000001E-3</v>
      </c>
      <c r="BB124">
        <f t="shared" si="51"/>
        <v>0.24</v>
      </c>
      <c r="BQ124" s="3" t="s">
        <v>164</v>
      </c>
      <c r="BR124" s="4" t="s">
        <v>177</v>
      </c>
      <c r="BS124">
        <v>500</v>
      </c>
      <c r="BT124">
        <v>500</v>
      </c>
      <c r="BU124">
        <v>550</v>
      </c>
      <c r="BV124">
        <v>550</v>
      </c>
      <c r="BW124">
        <v>550</v>
      </c>
      <c r="BX124">
        <v>550</v>
      </c>
      <c r="BY124">
        <v>550</v>
      </c>
      <c r="BZ124">
        <v>550</v>
      </c>
    </row>
    <row r="125" spans="1:78" x14ac:dyDescent="0.2">
      <c r="H125" t="s">
        <v>163</v>
      </c>
      <c r="J125">
        <v>91.25</v>
      </c>
      <c r="K125">
        <v>480</v>
      </c>
      <c r="M125">
        <v>490</v>
      </c>
      <c r="O125">
        <v>0.2</v>
      </c>
      <c r="P125">
        <v>500</v>
      </c>
      <c r="Q125">
        <f t="shared" si="41"/>
        <v>0.98</v>
      </c>
      <c r="S125">
        <v>0</v>
      </c>
      <c r="T125">
        <v>0.05</v>
      </c>
      <c r="U125">
        <v>0</v>
      </c>
      <c r="V125">
        <v>0</v>
      </c>
      <c r="W125">
        <f>S125*B113+T125*B114</f>
        <v>0.2</v>
      </c>
      <c r="X125">
        <f t="shared" si="36"/>
        <v>1.0049999999999999</v>
      </c>
      <c r="Y125">
        <f t="shared" si="37"/>
        <v>8.1536059593779999</v>
      </c>
      <c r="Z125">
        <f t="shared" si="42"/>
        <v>1.0457484402934747</v>
      </c>
      <c r="AC125">
        <v>0.1</v>
      </c>
      <c r="AE125">
        <v>0.6</v>
      </c>
      <c r="AF125">
        <f t="shared" si="38"/>
        <v>3.3005796923562145</v>
      </c>
      <c r="AG125">
        <f t="shared" si="43"/>
        <v>0.19</v>
      </c>
      <c r="AH125">
        <f t="shared" si="44"/>
        <v>0.6784</v>
      </c>
      <c r="AI125">
        <f>AI111</f>
        <v>0.54800000000000004</v>
      </c>
      <c r="AK125">
        <f>AK111</f>
        <v>0.75</v>
      </c>
      <c r="AL125">
        <f>AL111</f>
        <v>99.451999999999998</v>
      </c>
      <c r="AM125">
        <f>AM111</f>
        <v>4.7000000000000002E-3</v>
      </c>
      <c r="AN125">
        <f t="shared" si="45"/>
        <v>1.7485235473066406E-3</v>
      </c>
      <c r="AO125">
        <f t="shared" si="46"/>
        <v>1.9885707298921609E-3</v>
      </c>
      <c r="AP125">
        <f t="shared" si="47"/>
        <v>3.7370942771988015E-3</v>
      </c>
      <c r="AQ125">
        <f t="shared" si="48"/>
        <v>163.6847293413075</v>
      </c>
      <c r="AS125">
        <f t="shared" si="49"/>
        <v>0</v>
      </c>
      <c r="AT125">
        <f t="shared" si="39"/>
        <v>3.252712627352548E-3</v>
      </c>
      <c r="AU125">
        <f t="shared" si="50"/>
        <v>0.12537199427508122</v>
      </c>
      <c r="AV125">
        <f t="shared" si="40"/>
        <v>5491.2933492485572</v>
      </c>
      <c r="AY125">
        <f>AY111</f>
        <v>6.0000000000000001E-3</v>
      </c>
      <c r="BB125">
        <f t="shared" si="51"/>
        <v>0.24</v>
      </c>
      <c r="BQ125" s="5" t="s">
        <v>160</v>
      </c>
      <c r="BR125" s="6" t="s">
        <v>179</v>
      </c>
      <c r="BS125">
        <v>500</v>
      </c>
      <c r="BT125">
        <v>500</v>
      </c>
      <c r="BU125">
        <v>550</v>
      </c>
      <c r="BV125">
        <v>550</v>
      </c>
      <c r="BW125">
        <v>550</v>
      </c>
      <c r="BX125">
        <v>550</v>
      </c>
      <c r="BY125">
        <v>550</v>
      </c>
      <c r="BZ125">
        <v>550</v>
      </c>
    </row>
    <row r="126" spans="1:78" x14ac:dyDescent="0.2">
      <c r="H126" t="s">
        <v>164</v>
      </c>
      <c r="J126">
        <v>91.25</v>
      </c>
      <c r="K126">
        <v>398</v>
      </c>
      <c r="M126">
        <v>500</v>
      </c>
      <c r="O126">
        <v>0.1</v>
      </c>
      <c r="P126">
        <v>500</v>
      </c>
      <c r="Q126">
        <f t="shared" si="41"/>
        <v>1</v>
      </c>
      <c r="S126">
        <v>0</v>
      </c>
      <c r="T126">
        <v>0</v>
      </c>
      <c r="U126">
        <v>0</v>
      </c>
      <c r="V126">
        <v>0</v>
      </c>
      <c r="W126">
        <f>S126*B113+T126*B114</f>
        <v>0</v>
      </c>
      <c r="X126">
        <f t="shared" si="36"/>
        <v>1</v>
      </c>
      <c r="Y126">
        <f t="shared" si="37"/>
        <v>8.0457322500000004</v>
      </c>
      <c r="Z126">
        <f t="shared" si="42"/>
        <v>1.0225860047470616</v>
      </c>
      <c r="AC126">
        <v>0.06</v>
      </c>
      <c r="AE126">
        <v>0.5</v>
      </c>
      <c r="AF126">
        <f t="shared" si="38"/>
        <v>3.9971197818000004</v>
      </c>
      <c r="AG126">
        <f t="shared" si="43"/>
        <v>0.19</v>
      </c>
      <c r="AH126">
        <f t="shared" si="44"/>
        <v>0.6784</v>
      </c>
      <c r="AI126">
        <f>AI111</f>
        <v>0.54800000000000004</v>
      </c>
      <c r="AK126">
        <f>AK111</f>
        <v>0.75</v>
      </c>
      <c r="AL126">
        <f>AL111</f>
        <v>99.451999999999998</v>
      </c>
      <c r="AM126">
        <f>AM111</f>
        <v>4.7000000000000002E-3</v>
      </c>
      <c r="AN126">
        <f t="shared" si="45"/>
        <v>2.1175244082330099E-3</v>
      </c>
      <c r="AO126">
        <f t="shared" si="46"/>
        <v>2.4082301119310694E-3</v>
      </c>
      <c r="AP126">
        <f t="shared" si="47"/>
        <v>4.5257545201640792E-3</v>
      </c>
      <c r="AQ126">
        <f t="shared" si="48"/>
        <v>164.36408978605894</v>
      </c>
      <c r="AS126">
        <f t="shared" si="49"/>
        <v>0</v>
      </c>
      <c r="AT126">
        <f t="shared" si="39"/>
        <v>1.1177124055604386E-3</v>
      </c>
      <c r="AU126">
        <f t="shared" si="50"/>
        <v>7.4260343770784179E-2</v>
      </c>
      <c r="AV126">
        <f t="shared" si="40"/>
        <v>2696.9500348954543</v>
      </c>
      <c r="AY126">
        <f>AY111</f>
        <v>6.0000000000000001E-3</v>
      </c>
      <c r="BB126">
        <f t="shared" si="51"/>
        <v>0.24</v>
      </c>
      <c r="BQ126" s="3" t="s">
        <v>162</v>
      </c>
      <c r="BR126" s="4" t="s">
        <v>179</v>
      </c>
      <c r="BS126">
        <v>500</v>
      </c>
      <c r="BT126">
        <v>500</v>
      </c>
      <c r="BU126">
        <v>550</v>
      </c>
      <c r="BV126">
        <v>550</v>
      </c>
      <c r="BW126">
        <v>550</v>
      </c>
      <c r="BX126">
        <v>550</v>
      </c>
      <c r="BY126">
        <v>550</v>
      </c>
      <c r="BZ126">
        <v>550</v>
      </c>
    </row>
    <row r="127" spans="1:78" x14ac:dyDescent="0.2">
      <c r="G127" t="s">
        <v>176</v>
      </c>
      <c r="H127" t="s">
        <v>160</v>
      </c>
      <c r="J127">
        <v>91.25</v>
      </c>
      <c r="K127">
        <v>100</v>
      </c>
      <c r="M127">
        <v>75</v>
      </c>
      <c r="O127">
        <v>0.5</v>
      </c>
      <c r="P127">
        <v>500</v>
      </c>
      <c r="Q127">
        <f t="shared" si="41"/>
        <v>0.15</v>
      </c>
      <c r="S127">
        <v>0</v>
      </c>
      <c r="T127">
        <v>0</v>
      </c>
      <c r="U127">
        <v>0</v>
      </c>
      <c r="V127">
        <v>0</v>
      </c>
      <c r="W127">
        <f>S127*B113+T127*B114</f>
        <v>0</v>
      </c>
      <c r="X127">
        <f t="shared" si="36"/>
        <v>1</v>
      </c>
      <c r="Y127">
        <f t="shared" si="37"/>
        <v>2.7834751406249998</v>
      </c>
      <c r="Z127">
        <f t="shared" si="42"/>
        <v>1.2193553180247376</v>
      </c>
      <c r="AC127">
        <v>7.0000000000000007E-2</v>
      </c>
      <c r="AE127">
        <v>0.55000000000000004</v>
      </c>
      <c r="AF127">
        <f t="shared" si="38"/>
        <v>1.25479059339375</v>
      </c>
      <c r="AG127">
        <f t="shared" si="43"/>
        <v>0.19</v>
      </c>
      <c r="AH127">
        <f t="shared" si="44"/>
        <v>0.6784</v>
      </c>
      <c r="AI127">
        <f>AI111</f>
        <v>0.54800000000000004</v>
      </c>
      <c r="AK127">
        <f>AK111</f>
        <v>0.75</v>
      </c>
      <c r="AL127">
        <f>AL111</f>
        <v>99.451999999999998</v>
      </c>
      <c r="AM127">
        <f>AM111</f>
        <v>4.7000000000000002E-3</v>
      </c>
      <c r="AN127">
        <f t="shared" si="45"/>
        <v>6.6474107702019214E-4</v>
      </c>
      <c r="AO127">
        <f t="shared" si="46"/>
        <v>7.5600048438325329E-4</v>
      </c>
      <c r="AP127">
        <f t="shared" si="47"/>
        <v>1.4207415614034455E-3</v>
      </c>
      <c r="AQ127">
        <f t="shared" si="48"/>
        <v>12.964266747806439</v>
      </c>
      <c r="AS127">
        <f t="shared" si="49"/>
        <v>0</v>
      </c>
      <c r="AT127">
        <f t="shared" si="39"/>
        <v>1.4099280269004926E-2</v>
      </c>
      <c r="AU127">
        <f t="shared" si="50"/>
        <v>1.6627093625355433E-2</v>
      </c>
      <c r="AV127">
        <f t="shared" si="40"/>
        <v>151.72222933136834</v>
      </c>
      <c r="AY127">
        <f>AY111</f>
        <v>6.0000000000000001E-3</v>
      </c>
      <c r="BB127">
        <f t="shared" si="51"/>
        <v>0.24</v>
      </c>
      <c r="BQ127" s="5" t="s">
        <v>163</v>
      </c>
      <c r="BR127" s="6" t="s">
        <v>179</v>
      </c>
      <c r="BS127">
        <v>500</v>
      </c>
      <c r="BT127">
        <v>500</v>
      </c>
      <c r="BU127">
        <v>550</v>
      </c>
      <c r="BV127">
        <v>550</v>
      </c>
      <c r="BW127">
        <v>550</v>
      </c>
      <c r="BX127">
        <v>550</v>
      </c>
      <c r="BY127">
        <v>550</v>
      </c>
      <c r="BZ127">
        <v>550</v>
      </c>
    </row>
    <row r="128" spans="1:78" x14ac:dyDescent="0.2">
      <c r="G128">
        <v>3</v>
      </c>
      <c r="H128" t="s">
        <v>162</v>
      </c>
      <c r="J128">
        <v>91.25</v>
      </c>
      <c r="K128">
        <v>216</v>
      </c>
      <c r="M128">
        <v>160</v>
      </c>
      <c r="O128">
        <v>0.9</v>
      </c>
      <c r="P128">
        <v>500</v>
      </c>
      <c r="Q128">
        <f t="shared" si="41"/>
        <v>0.32</v>
      </c>
      <c r="S128">
        <v>0</v>
      </c>
      <c r="T128">
        <v>0</v>
      </c>
      <c r="U128">
        <f>60/K127</f>
        <v>0.6</v>
      </c>
      <c r="V128">
        <v>0</v>
      </c>
      <c r="W128">
        <f>S128*B113+T128*B114</f>
        <v>0</v>
      </c>
      <c r="X128">
        <f t="shared" si="36"/>
        <v>1</v>
      </c>
      <c r="Y128">
        <f t="shared" si="37"/>
        <v>4.5298311556000002</v>
      </c>
      <c r="Z128">
        <f t="shared" si="42"/>
        <v>1.3309587678069252</v>
      </c>
      <c r="AC128">
        <v>0.13</v>
      </c>
      <c r="AE128">
        <v>0.65</v>
      </c>
      <c r="AF128">
        <f t="shared" si="38"/>
        <v>1.6253034186292801</v>
      </c>
      <c r="AG128">
        <f t="shared" si="43"/>
        <v>0.19</v>
      </c>
      <c r="AH128">
        <f t="shared" si="44"/>
        <v>0.6784</v>
      </c>
      <c r="AI128">
        <f>AI111</f>
        <v>0.54800000000000004</v>
      </c>
      <c r="AK128">
        <f>AK111</f>
        <v>0.75</v>
      </c>
      <c r="AL128">
        <f>AL111</f>
        <v>99.451999999999998</v>
      </c>
      <c r="AM128">
        <f>AM111</f>
        <v>4.7000000000000002E-3</v>
      </c>
      <c r="AN128">
        <f t="shared" si="45"/>
        <v>8.6102489982979927E-4</v>
      </c>
      <c r="AO128">
        <f t="shared" si="46"/>
        <v>9.7923125836497341E-4</v>
      </c>
      <c r="AP128">
        <f t="shared" si="47"/>
        <v>1.8402561581947726E-3</v>
      </c>
      <c r="AQ128">
        <f t="shared" si="48"/>
        <v>36.271448878018965</v>
      </c>
      <c r="AS128">
        <f t="shared" si="49"/>
        <v>3.5999999999999996</v>
      </c>
      <c r="AT128">
        <f t="shared" si="39"/>
        <v>2.1434083982391806E-2</v>
      </c>
      <c r="AU128">
        <f t="shared" si="50"/>
        <v>9.0051053800508596E-2</v>
      </c>
      <c r="AV128">
        <f t="shared" si="40"/>
        <v>1774.9062704080243</v>
      </c>
      <c r="AY128">
        <f>AY111</f>
        <v>6.0000000000000001E-3</v>
      </c>
      <c r="BB128">
        <f t="shared" si="51"/>
        <v>0.24</v>
      </c>
      <c r="BQ128" s="3" t="s">
        <v>164</v>
      </c>
      <c r="BR128" s="4" t="s">
        <v>179</v>
      </c>
      <c r="BS128">
        <v>500</v>
      </c>
      <c r="BT128">
        <v>500</v>
      </c>
      <c r="BU128">
        <v>550</v>
      </c>
      <c r="BV128">
        <v>550</v>
      </c>
      <c r="BW128">
        <v>550</v>
      </c>
      <c r="BX128">
        <v>550</v>
      </c>
      <c r="BY128">
        <v>550</v>
      </c>
      <c r="BZ128">
        <v>550</v>
      </c>
    </row>
    <row r="129" spans="7:78" x14ac:dyDescent="0.2">
      <c r="H129" t="s">
        <v>163</v>
      </c>
      <c r="J129">
        <v>91.25</v>
      </c>
      <c r="K129">
        <v>209</v>
      </c>
      <c r="M129">
        <v>220</v>
      </c>
      <c r="O129">
        <v>0.7</v>
      </c>
      <c r="P129">
        <v>500</v>
      </c>
      <c r="Q129">
        <f t="shared" si="41"/>
        <v>0.44</v>
      </c>
      <c r="S129">
        <v>0</v>
      </c>
      <c r="T129">
        <v>0</v>
      </c>
      <c r="U129">
        <f>70/K128</f>
        <v>0.32407407407407407</v>
      </c>
      <c r="V129">
        <f>60/K128</f>
        <v>0.27777777777777779</v>
      </c>
      <c r="W129">
        <f>S129*B113+T129*B114</f>
        <v>0</v>
      </c>
      <c r="X129">
        <f t="shared" si="36"/>
        <v>1</v>
      </c>
      <c r="Y129">
        <f t="shared" si="37"/>
        <v>5.1913799715999973</v>
      </c>
      <c r="Z129">
        <f t="shared" si="42"/>
        <v>1.2257699173903274</v>
      </c>
      <c r="AC129">
        <v>0.1</v>
      </c>
      <c r="AE129">
        <v>0.6</v>
      </c>
      <c r="AF129">
        <f t="shared" si="38"/>
        <v>2.1014706125036788</v>
      </c>
      <c r="AG129">
        <f t="shared" si="43"/>
        <v>0.19</v>
      </c>
      <c r="AH129">
        <f t="shared" si="44"/>
        <v>0.6784</v>
      </c>
      <c r="AI129">
        <f>AI111</f>
        <v>0.54800000000000004</v>
      </c>
      <c r="AK129">
        <f>AK111</f>
        <v>0.75</v>
      </c>
      <c r="AL129">
        <f>AL111</f>
        <v>99.451999999999998</v>
      </c>
      <c r="AM129">
        <f>AM111</f>
        <v>4.7000000000000002E-3</v>
      </c>
      <c r="AN129">
        <f t="shared" si="45"/>
        <v>1.1132804514447172E-3</v>
      </c>
      <c r="AO129">
        <f t="shared" si="46"/>
        <v>1.2661178760298682E-3</v>
      </c>
      <c r="AP129">
        <f t="shared" si="47"/>
        <v>2.3793983274745852E-3</v>
      </c>
      <c r="AQ129">
        <f t="shared" si="48"/>
        <v>45.378100352849685</v>
      </c>
      <c r="AS129">
        <f t="shared" si="49"/>
        <v>3.0555555555555554</v>
      </c>
      <c r="AT129">
        <f t="shared" si="39"/>
        <v>1.4051271404335857E-2</v>
      </c>
      <c r="AU129">
        <f t="shared" si="50"/>
        <v>8.3331099942995826E-2</v>
      </c>
      <c r="AV129">
        <f t="shared" si="40"/>
        <v>1589.2282397878589</v>
      </c>
      <c r="AY129">
        <f>AY111</f>
        <v>6.0000000000000001E-3</v>
      </c>
      <c r="BB129">
        <f t="shared" si="51"/>
        <v>0.24</v>
      </c>
      <c r="BQ129" s="5" t="s">
        <v>160</v>
      </c>
      <c r="BR129" s="6" t="s">
        <v>176</v>
      </c>
      <c r="BS129">
        <v>500</v>
      </c>
      <c r="BT129">
        <v>500</v>
      </c>
      <c r="BU129">
        <v>550</v>
      </c>
      <c r="BV129">
        <v>550</v>
      </c>
      <c r="BW129">
        <v>550</v>
      </c>
      <c r="BX129">
        <v>550</v>
      </c>
      <c r="BY129">
        <v>550</v>
      </c>
      <c r="BZ129">
        <v>550</v>
      </c>
    </row>
    <row r="130" spans="7:78" x14ac:dyDescent="0.2">
      <c r="H130" t="s">
        <v>164</v>
      </c>
      <c r="J130">
        <v>91.25</v>
      </c>
      <c r="K130">
        <v>202</v>
      </c>
      <c r="M130">
        <v>260</v>
      </c>
      <c r="O130">
        <v>0.4</v>
      </c>
      <c r="P130">
        <v>500</v>
      </c>
      <c r="Q130">
        <f t="shared" si="41"/>
        <v>0.52</v>
      </c>
      <c r="S130">
        <v>0</v>
      </c>
      <c r="T130">
        <v>0</v>
      </c>
      <c r="U130">
        <v>0</v>
      </c>
      <c r="V130">
        <f>70/M130</f>
        <v>0.26923076923076922</v>
      </c>
      <c r="W130">
        <f>S130*B113+T130*B114</f>
        <v>0</v>
      </c>
      <c r="X130">
        <f t="shared" si="36"/>
        <v>1</v>
      </c>
      <c r="Y130">
        <f t="shared" si="37"/>
        <v>5.3621886096000004</v>
      </c>
      <c r="Z130">
        <f t="shared" si="42"/>
        <v>1.1183986897081921</v>
      </c>
      <c r="AC130">
        <v>0.06</v>
      </c>
      <c r="AE130">
        <v>0.5</v>
      </c>
      <c r="AF130">
        <f t="shared" si="38"/>
        <v>2.6639353012492806</v>
      </c>
      <c r="AG130">
        <f t="shared" si="43"/>
        <v>0.19</v>
      </c>
      <c r="AH130">
        <f t="shared" si="44"/>
        <v>0.6784</v>
      </c>
      <c r="AI130">
        <f>AI111</f>
        <v>0.54800000000000004</v>
      </c>
      <c r="AK130">
        <f>AK111</f>
        <v>0.75</v>
      </c>
      <c r="AL130">
        <f>AL111</f>
        <v>99.451999999999998</v>
      </c>
      <c r="AM130">
        <f>AM111</f>
        <v>4.7000000000000002E-3</v>
      </c>
      <c r="AN130">
        <f t="shared" si="45"/>
        <v>1.4112531848641905E-3</v>
      </c>
      <c r="AO130">
        <f t="shared" si="46"/>
        <v>1.6049979882803731E-3</v>
      </c>
      <c r="AP130">
        <f t="shared" si="47"/>
        <v>3.0162511731445635E-3</v>
      </c>
      <c r="AQ130">
        <f t="shared" si="48"/>
        <v>55.597049748987168</v>
      </c>
      <c r="AS130">
        <f t="shared" si="49"/>
        <v>1.0769230769230769</v>
      </c>
      <c r="AT130">
        <f t="shared" si="39"/>
        <v>7.0740821510777811E-3</v>
      </c>
      <c r="AU130">
        <f>MAX((Y130*AC130/6.25)+(0.032*AS130/6.38)-AT130-((1.1*(10^-4)*(M130^0.75))/6.25), 0)</f>
        <v>4.8664849172613413E-2</v>
      </c>
      <c r="AV130">
        <f t="shared" si="40"/>
        <v>897.01483237419677</v>
      </c>
      <c r="AY130">
        <f>AY111</f>
        <v>6.0000000000000001E-3</v>
      </c>
      <c r="BB130">
        <f t="shared" si="51"/>
        <v>0.24</v>
      </c>
      <c r="BQ130" s="3" t="s">
        <v>162</v>
      </c>
      <c r="BR130" s="4" t="s">
        <v>176</v>
      </c>
      <c r="BS130">
        <v>500</v>
      </c>
      <c r="BT130">
        <v>500</v>
      </c>
      <c r="BU130">
        <v>550</v>
      </c>
      <c r="BV130">
        <v>550</v>
      </c>
      <c r="BW130">
        <v>550</v>
      </c>
      <c r="BX130">
        <v>550</v>
      </c>
      <c r="BY130">
        <v>550</v>
      </c>
      <c r="BZ130">
        <v>550</v>
      </c>
    </row>
    <row r="131" spans="7:78" x14ac:dyDescent="0.2">
      <c r="G131" t="s">
        <v>182</v>
      </c>
      <c r="H131" t="s">
        <v>160</v>
      </c>
      <c r="J131">
        <v>91.25</v>
      </c>
      <c r="K131">
        <v>378</v>
      </c>
      <c r="M131">
        <v>440</v>
      </c>
      <c r="O131">
        <v>0.3</v>
      </c>
      <c r="P131">
        <v>500</v>
      </c>
      <c r="Q131">
        <f t="shared" si="41"/>
        <v>0.88</v>
      </c>
      <c r="S131">
        <v>0.7</v>
      </c>
      <c r="T131">
        <v>0.03</v>
      </c>
      <c r="U131">
        <v>0</v>
      </c>
      <c r="V131">
        <v>0</v>
      </c>
      <c r="W131">
        <f>S131*B113+T131*B114</f>
        <v>4.3199999999999994</v>
      </c>
      <c r="X131">
        <f t="shared" si="36"/>
        <v>1.2130000000000001</v>
      </c>
      <c r="Y131">
        <f t="shared" si="37"/>
        <v>9.3323775417588024</v>
      </c>
      <c r="Z131">
        <f t="shared" si="42"/>
        <v>1.0717864499078988</v>
      </c>
      <c r="AC131">
        <v>7.0000000000000007E-2</v>
      </c>
      <c r="AE131">
        <v>0.55000000000000004</v>
      </c>
      <c r="AF131">
        <f t="shared" si="38"/>
        <v>4.2070357958248676</v>
      </c>
      <c r="AG131">
        <f t="shared" si="43"/>
        <v>0.19</v>
      </c>
      <c r="AH131">
        <f t="shared" si="44"/>
        <v>0.6784</v>
      </c>
      <c r="AI131">
        <f>AI111</f>
        <v>0.54800000000000004</v>
      </c>
      <c r="AK131">
        <f>AK111</f>
        <v>0.75</v>
      </c>
      <c r="AL131">
        <f>AL111</f>
        <v>99.451999999999998</v>
      </c>
      <c r="AM131">
        <f>AM111</f>
        <v>4.7000000000000002E-3</v>
      </c>
      <c r="AN131">
        <f t="shared" si="45"/>
        <v>2.2287300532078196E-3</v>
      </c>
      <c r="AO131">
        <f t="shared" si="46"/>
        <v>2.5347026955781825E-3</v>
      </c>
      <c r="AP131">
        <f t="shared" si="47"/>
        <v>4.7634327487860017E-3</v>
      </c>
      <c r="AQ131">
        <f t="shared" si="48"/>
        <v>164.30270408750118</v>
      </c>
      <c r="AS131">
        <f t="shared" si="49"/>
        <v>0</v>
      </c>
      <c r="AT131">
        <f t="shared" si="39"/>
        <v>2.5193262466950507E-2</v>
      </c>
      <c r="AU131">
        <f t="shared" si="50"/>
        <v>7.7638527317277412E-2</v>
      </c>
      <c r="AV131">
        <f t="shared" si="40"/>
        <v>2677.9469034911908</v>
      </c>
      <c r="AY131">
        <f>AY111</f>
        <v>6.0000000000000001E-3</v>
      </c>
      <c r="BB131">
        <f t="shared" si="51"/>
        <v>0.24</v>
      </c>
      <c r="BQ131" s="5" t="s">
        <v>163</v>
      </c>
      <c r="BR131" s="6" t="s">
        <v>176</v>
      </c>
      <c r="BS131">
        <v>500</v>
      </c>
      <c r="BT131">
        <v>500</v>
      </c>
      <c r="BU131">
        <v>550</v>
      </c>
      <c r="BV131">
        <v>550</v>
      </c>
      <c r="BW131">
        <v>550</v>
      </c>
      <c r="BX131">
        <v>550</v>
      </c>
      <c r="BY131">
        <v>550</v>
      </c>
      <c r="BZ131">
        <v>550</v>
      </c>
    </row>
    <row r="132" spans="7:78" x14ac:dyDescent="0.2">
      <c r="G132" t="s">
        <v>196</v>
      </c>
      <c r="H132" t="s">
        <v>162</v>
      </c>
      <c r="J132">
        <v>91.25</v>
      </c>
      <c r="K132">
        <v>485</v>
      </c>
      <c r="M132">
        <v>470</v>
      </c>
      <c r="O132">
        <v>0.3</v>
      </c>
      <c r="P132">
        <v>500</v>
      </c>
      <c r="Q132">
        <f t="shared" si="41"/>
        <v>0.94</v>
      </c>
      <c r="S132">
        <v>0.05</v>
      </c>
      <c r="T132">
        <v>0.72</v>
      </c>
      <c r="U132">
        <v>0</v>
      </c>
      <c r="V132">
        <v>0</v>
      </c>
      <c r="W132">
        <f>S132*B113+T132*B114</f>
        <v>3.1799999999999997</v>
      </c>
      <c r="X132">
        <f t="shared" si="36"/>
        <v>1.087</v>
      </c>
      <c r="Y132">
        <f t="shared" si="37"/>
        <v>8.7608872492992003</v>
      </c>
      <c r="Z132">
        <f t="shared" si="42"/>
        <v>1.0700516381378118</v>
      </c>
      <c r="AC132">
        <v>0.13</v>
      </c>
      <c r="AE132">
        <v>0.65</v>
      </c>
      <c r="AF132">
        <f t="shared" si="38"/>
        <v>3.143406345048553</v>
      </c>
      <c r="AG132">
        <f t="shared" si="43"/>
        <v>0.19</v>
      </c>
      <c r="AH132">
        <f t="shared" si="44"/>
        <v>0.6784</v>
      </c>
      <c r="AI132">
        <f>AI111</f>
        <v>0.54800000000000004</v>
      </c>
      <c r="AK132">
        <f>AK111</f>
        <v>0.75</v>
      </c>
      <c r="AL132">
        <f>AL111</f>
        <v>99.451999999999998</v>
      </c>
      <c r="AM132">
        <f>AM111</f>
        <v>4.7000000000000002E-3</v>
      </c>
      <c r="AN132">
        <f t="shared" si="45"/>
        <v>1.6652589924731648E-3</v>
      </c>
      <c r="AO132">
        <f t="shared" si="46"/>
        <v>1.8938751469619796E-3</v>
      </c>
      <c r="AP132">
        <f t="shared" si="47"/>
        <v>3.5591341394351442E-3</v>
      </c>
      <c r="AQ132">
        <f t="shared" si="48"/>
        <v>157.5139302583766</v>
      </c>
      <c r="AS132">
        <f t="shared" si="49"/>
        <v>0</v>
      </c>
      <c r="AT132">
        <f t="shared" si="39"/>
        <v>1.937474655844057E-2</v>
      </c>
      <c r="AU132">
        <f t="shared" si="50"/>
        <v>0.16107512293941448</v>
      </c>
      <c r="AV132">
        <f t="shared" si="40"/>
        <v>7128.580909587462</v>
      </c>
      <c r="AY132">
        <f>AY111</f>
        <v>6.0000000000000001E-3</v>
      </c>
      <c r="BB132">
        <f t="shared" si="51"/>
        <v>0.24</v>
      </c>
      <c r="BQ132" s="3" t="s">
        <v>164</v>
      </c>
      <c r="BR132" s="4" t="s">
        <v>176</v>
      </c>
      <c r="BS132">
        <v>500</v>
      </c>
      <c r="BT132">
        <v>500</v>
      </c>
      <c r="BU132">
        <v>550</v>
      </c>
      <c r="BV132">
        <v>550</v>
      </c>
      <c r="BW132">
        <v>550</v>
      </c>
      <c r="BX132">
        <v>550</v>
      </c>
      <c r="BY132">
        <v>550</v>
      </c>
      <c r="BZ132">
        <v>550</v>
      </c>
    </row>
    <row r="133" spans="7:78" x14ac:dyDescent="0.2">
      <c r="H133" t="s">
        <v>163</v>
      </c>
      <c r="J133">
        <v>91.25</v>
      </c>
      <c r="K133">
        <v>478</v>
      </c>
      <c r="M133">
        <v>490</v>
      </c>
      <c r="O133">
        <v>0.2</v>
      </c>
      <c r="P133">
        <v>500</v>
      </c>
      <c r="Q133">
        <f t="shared" si="41"/>
        <v>0.98</v>
      </c>
      <c r="S133">
        <v>0</v>
      </c>
      <c r="T133">
        <v>0.02</v>
      </c>
      <c r="U133">
        <v>0</v>
      </c>
      <c r="V133">
        <v>0</v>
      </c>
      <c r="W133">
        <f>S133*B113+T133*B114</f>
        <v>0.08</v>
      </c>
      <c r="X133">
        <f t="shared" si="36"/>
        <v>1.002</v>
      </c>
      <c r="Y133">
        <f t="shared" si="37"/>
        <v>8.1292668371111994</v>
      </c>
      <c r="Z133">
        <f t="shared" si="42"/>
        <v>1.0457484402934745</v>
      </c>
      <c r="AC133">
        <v>0.1</v>
      </c>
      <c r="AE133">
        <v>0.6</v>
      </c>
      <c r="AF133">
        <f t="shared" si="38"/>
        <v>3.2907272156626139</v>
      </c>
      <c r="AG133">
        <f t="shared" si="43"/>
        <v>0.19</v>
      </c>
      <c r="AH133">
        <f t="shared" si="44"/>
        <v>0.6784</v>
      </c>
      <c r="AI133">
        <f>AI111</f>
        <v>0.54800000000000004</v>
      </c>
      <c r="AK133">
        <f>AK111</f>
        <v>0.75</v>
      </c>
      <c r="AL133">
        <f>AL111</f>
        <v>99.451999999999998</v>
      </c>
      <c r="AM133">
        <f>AM111</f>
        <v>4.7000000000000002E-3</v>
      </c>
      <c r="AN133">
        <f t="shared" si="45"/>
        <v>1.7433040740310983E-3</v>
      </c>
      <c r="AO133">
        <f t="shared" si="46"/>
        <v>1.9826346978626319E-3</v>
      </c>
      <c r="AP133">
        <f t="shared" si="47"/>
        <v>3.7259387718937302E-3</v>
      </c>
      <c r="AQ133">
        <f t="shared" si="48"/>
        <v>162.51613438307479</v>
      </c>
      <c r="AS133">
        <f t="shared" si="49"/>
        <v>0</v>
      </c>
      <c r="AT133">
        <f t="shared" si="39"/>
        <v>2.6508317496096016E-3</v>
      </c>
      <c r="AU133">
        <f t="shared" si="50"/>
        <v>0.12558444919655537</v>
      </c>
      <c r="AV133">
        <f t="shared" si="40"/>
        <v>5477.6797128307535</v>
      </c>
      <c r="AY133">
        <f>AY111</f>
        <v>6.0000000000000001E-3</v>
      </c>
      <c r="BB133">
        <f t="shared" si="51"/>
        <v>0.24</v>
      </c>
      <c r="BQ133" s="5" t="s">
        <v>160</v>
      </c>
      <c r="BR133" s="6" t="s">
        <v>182</v>
      </c>
      <c r="BS133">
        <v>500</v>
      </c>
      <c r="BT133">
        <v>500</v>
      </c>
      <c r="BU133">
        <v>550</v>
      </c>
      <c r="BV133">
        <v>550</v>
      </c>
      <c r="BW133">
        <v>550</v>
      </c>
      <c r="BX133">
        <v>550</v>
      </c>
      <c r="BY133">
        <v>550</v>
      </c>
      <c r="BZ133">
        <v>550</v>
      </c>
    </row>
    <row r="134" spans="7:78" x14ac:dyDescent="0.2">
      <c r="H134" t="s">
        <v>164</v>
      </c>
      <c r="J134">
        <v>91.25</v>
      </c>
      <c r="K134">
        <v>291</v>
      </c>
      <c r="M134">
        <v>500</v>
      </c>
      <c r="O134">
        <v>0.1</v>
      </c>
      <c r="P134">
        <v>500</v>
      </c>
      <c r="Q134">
        <f t="shared" si="41"/>
        <v>1</v>
      </c>
      <c r="S134">
        <v>0.02</v>
      </c>
      <c r="T134">
        <v>0</v>
      </c>
      <c r="U134">
        <v>0</v>
      </c>
      <c r="V134">
        <v>0</v>
      </c>
      <c r="W134">
        <f>S134*B113+T134*B114</f>
        <v>0.12</v>
      </c>
      <c r="X134">
        <f t="shared" si="36"/>
        <v>1.006</v>
      </c>
      <c r="Y134">
        <f t="shared" si="37"/>
        <v>8.0940066435000002</v>
      </c>
      <c r="Z134">
        <f t="shared" si="42"/>
        <v>1.0225860047470614</v>
      </c>
      <c r="AC134">
        <v>0.06</v>
      </c>
      <c r="AE134">
        <v>0.5</v>
      </c>
      <c r="AF134">
        <f t="shared" si="38"/>
        <v>4.0211025004907999</v>
      </c>
      <c r="AG134">
        <f t="shared" si="43"/>
        <v>0.19</v>
      </c>
      <c r="AH134">
        <f t="shared" si="44"/>
        <v>0.6784</v>
      </c>
      <c r="AI134">
        <f>AI111</f>
        <v>0.54800000000000004</v>
      </c>
      <c r="AK134">
        <f>AK111</f>
        <v>0.75</v>
      </c>
      <c r="AL134">
        <f>AL111</f>
        <v>99.451999999999998</v>
      </c>
      <c r="AM134">
        <f>AM111</f>
        <v>4.7000000000000002E-3</v>
      </c>
      <c r="AN134">
        <f t="shared" si="45"/>
        <v>2.1302295546824076E-3</v>
      </c>
      <c r="AO134">
        <f t="shared" si="46"/>
        <v>2.4226794926026558E-3</v>
      </c>
      <c r="AP134">
        <f t="shared" si="47"/>
        <v>4.5529090472850638E-3</v>
      </c>
      <c r="AQ134">
        <f t="shared" si="48"/>
        <v>120.89680861434576</v>
      </c>
      <c r="AS134">
        <f t="shared" si="49"/>
        <v>0</v>
      </c>
      <c r="AT134">
        <f t="shared" si="39"/>
        <v>1.7195932833033853E-3</v>
      </c>
      <c r="AU134">
        <f t="shared" si="50"/>
        <v>7.4121897070641221E-2</v>
      </c>
      <c r="AV134">
        <f t="shared" si="40"/>
        <v>1968.2143243395392</v>
      </c>
      <c r="AY134">
        <f>AY111</f>
        <v>6.0000000000000001E-3</v>
      </c>
      <c r="BB134">
        <f t="shared" si="51"/>
        <v>0.24</v>
      </c>
      <c r="BQ134" s="3" t="s">
        <v>162</v>
      </c>
      <c r="BR134" s="4" t="s">
        <v>182</v>
      </c>
      <c r="BS134">
        <v>500</v>
      </c>
      <c r="BT134">
        <v>500</v>
      </c>
      <c r="BU134">
        <v>550</v>
      </c>
      <c r="BV134">
        <v>550</v>
      </c>
      <c r="BW134">
        <v>550</v>
      </c>
      <c r="BX134">
        <v>550</v>
      </c>
      <c r="BY134">
        <v>550</v>
      </c>
      <c r="BZ134">
        <v>550</v>
      </c>
    </row>
    <row r="135" spans="7:78" x14ac:dyDescent="0.2">
      <c r="G135" t="s">
        <v>187</v>
      </c>
      <c r="H135" t="s">
        <v>160</v>
      </c>
      <c r="J135">
        <v>91.25</v>
      </c>
      <c r="K135">
        <v>77</v>
      </c>
      <c r="M135">
        <v>380</v>
      </c>
      <c r="O135">
        <v>0.4</v>
      </c>
      <c r="P135">
        <v>600</v>
      </c>
      <c r="Q135">
        <f t="shared" si="41"/>
        <v>0.6333333333333333</v>
      </c>
      <c r="S135">
        <v>0</v>
      </c>
      <c r="T135">
        <v>0</v>
      </c>
      <c r="U135">
        <v>0</v>
      </c>
      <c r="V135">
        <v>0</v>
      </c>
      <c r="W135">
        <f>S135*B113+T135*B114</f>
        <v>0</v>
      </c>
      <c r="X135">
        <f t="shared" si="36"/>
        <v>1</v>
      </c>
      <c r="Y135">
        <f t="shared" si="37"/>
        <v>7.0796437775999967</v>
      </c>
      <c r="Z135">
        <f>Y135 / ((1.185 + 0.00454 * M135 - 0.0000026 * M135 ^ 2) ^ 2 * X135)</f>
        <v>1.101888665936833</v>
      </c>
      <c r="AC135">
        <v>7.0000000000000007E-2</v>
      </c>
      <c r="AE135">
        <v>0.55000000000000004</v>
      </c>
      <c r="AF135">
        <f t="shared" si="38"/>
        <v>3.1915034149420785</v>
      </c>
      <c r="AG135">
        <f t="shared" si="43"/>
        <v>0.19</v>
      </c>
      <c r="AH135">
        <f t="shared" si="44"/>
        <v>0.6784</v>
      </c>
      <c r="AI135">
        <f>AI111</f>
        <v>0.54800000000000004</v>
      </c>
      <c r="AK135">
        <f>AK111</f>
        <v>0.75</v>
      </c>
      <c r="AL135">
        <f>AL111</f>
        <v>99.451999999999998</v>
      </c>
      <c r="AM135">
        <f>AM111</f>
        <v>4.7000000000000002E-3</v>
      </c>
      <c r="AN135">
        <f t="shared" si="45"/>
        <v>1.6907390193484576E-3</v>
      </c>
      <c r="AO135">
        <f t="shared" si="46"/>
        <v>1.9228532157555751E-3</v>
      </c>
      <c r="AP135">
        <f t="shared" si="47"/>
        <v>3.6135922351040327E-3</v>
      </c>
      <c r="AQ135">
        <f t="shared" si="48"/>
        <v>25.390002441899707</v>
      </c>
      <c r="AS135">
        <f t="shared" si="49"/>
        <v>0</v>
      </c>
      <c r="AT135">
        <f t="shared" si="39"/>
        <v>5.9536831562818594E-3</v>
      </c>
      <c r="AU135">
        <f t="shared" si="50"/>
        <v>7.1823544352451044E-2</v>
      </c>
      <c r="AV135">
        <f t="shared" si="40"/>
        <v>504.65017850640913</v>
      </c>
      <c r="AY135">
        <f>AY111</f>
        <v>6.0000000000000001E-3</v>
      </c>
      <c r="BB135">
        <f t="shared" si="51"/>
        <v>0.24</v>
      </c>
      <c r="BQ135" s="5" t="s">
        <v>163</v>
      </c>
      <c r="BR135" s="6" t="s">
        <v>182</v>
      </c>
      <c r="BS135">
        <v>500</v>
      </c>
      <c r="BT135">
        <v>500</v>
      </c>
      <c r="BU135">
        <v>550</v>
      </c>
      <c r="BV135">
        <v>550</v>
      </c>
      <c r="BW135">
        <v>550</v>
      </c>
      <c r="BX135">
        <v>550</v>
      </c>
      <c r="BY135">
        <v>550</v>
      </c>
      <c r="BZ135">
        <v>550</v>
      </c>
    </row>
    <row r="136" spans="7:78" x14ac:dyDescent="0.2">
      <c r="G136" t="s">
        <v>197</v>
      </c>
      <c r="H136" t="s">
        <v>162</v>
      </c>
      <c r="J136">
        <v>91.25</v>
      </c>
      <c r="K136">
        <v>169</v>
      </c>
      <c r="M136">
        <v>420</v>
      </c>
      <c r="O136">
        <v>0.4</v>
      </c>
      <c r="P136">
        <v>600</v>
      </c>
      <c r="Q136">
        <f t="shared" si="41"/>
        <v>0.7</v>
      </c>
      <c r="S136">
        <v>0</v>
      </c>
      <c r="T136">
        <v>0</v>
      </c>
      <c r="U136">
        <v>0</v>
      </c>
      <c r="V136">
        <v>0</v>
      </c>
      <c r="W136">
        <f>S136*B113+T136*B114</f>
        <v>0</v>
      </c>
      <c r="X136">
        <f t="shared" si="36"/>
        <v>1</v>
      </c>
      <c r="Y136">
        <f t="shared" si="37"/>
        <v>7.6129639056</v>
      </c>
      <c r="Z136">
        <f t="shared" si="42"/>
        <v>1.0979922441560788</v>
      </c>
      <c r="AC136">
        <v>0.13</v>
      </c>
      <c r="AE136">
        <v>0.65</v>
      </c>
      <c r="AF136">
        <f t="shared" si="38"/>
        <v>2.7315314493292799</v>
      </c>
      <c r="AG136">
        <f t="shared" si="43"/>
        <v>0.19</v>
      </c>
      <c r="AH136">
        <f t="shared" si="44"/>
        <v>0.6784</v>
      </c>
      <c r="AI136">
        <f>AI111</f>
        <v>0.54800000000000004</v>
      </c>
      <c r="AK136">
        <f>AK111</f>
        <v>0.75</v>
      </c>
      <c r="AL136">
        <f>AL111</f>
        <v>99.451999999999998</v>
      </c>
      <c r="AM136">
        <f>AM111</f>
        <v>4.7000000000000002E-3</v>
      </c>
      <c r="AN136">
        <f t="shared" si="45"/>
        <v>1.4470630933171899E-3</v>
      </c>
      <c r="AO136">
        <f t="shared" si="46"/>
        <v>1.6457240831044559E-3</v>
      </c>
      <c r="AP136">
        <f t="shared" si="47"/>
        <v>3.092787176421646E-3</v>
      </c>
      <c r="AQ136">
        <f t="shared" si="48"/>
        <v>47.694644244392308</v>
      </c>
      <c r="AS136">
        <f>U136*$B$113+V136*$B$114</f>
        <v>0</v>
      </c>
      <c r="AT136">
        <f t="shared" si="39"/>
        <v>5.4689366245148753E-3</v>
      </c>
      <c r="AU136">
        <f t="shared" si="50"/>
        <v>0.1512478500353282</v>
      </c>
      <c r="AV136">
        <f t="shared" si="40"/>
        <v>2332.4309073573049</v>
      </c>
      <c r="AY136">
        <f>AY111</f>
        <v>6.0000000000000001E-3</v>
      </c>
      <c r="BB136">
        <f t="shared" si="51"/>
        <v>0.24</v>
      </c>
      <c r="BQ136" s="3" t="s">
        <v>164</v>
      </c>
      <c r="BR136" s="4" t="s">
        <v>182</v>
      </c>
      <c r="BS136">
        <v>500</v>
      </c>
      <c r="BT136">
        <v>500</v>
      </c>
      <c r="BU136">
        <v>550</v>
      </c>
      <c r="BV136">
        <v>550</v>
      </c>
      <c r="BW136">
        <v>550</v>
      </c>
      <c r="BX136">
        <v>550</v>
      </c>
      <c r="BY136">
        <v>550</v>
      </c>
      <c r="BZ136">
        <v>550</v>
      </c>
    </row>
    <row r="137" spans="7:78" x14ac:dyDescent="0.2">
      <c r="H137" t="s">
        <v>163</v>
      </c>
      <c r="J137">
        <v>91.25</v>
      </c>
      <c r="K137">
        <v>162</v>
      </c>
      <c r="M137">
        <v>450</v>
      </c>
      <c r="O137">
        <v>0.3</v>
      </c>
      <c r="P137">
        <v>600</v>
      </c>
      <c r="Q137">
        <f t="shared" si="41"/>
        <v>0.75</v>
      </c>
      <c r="S137">
        <v>0</v>
      </c>
      <c r="T137">
        <v>0</v>
      </c>
      <c r="U137">
        <v>0</v>
      </c>
      <c r="V137">
        <v>0</v>
      </c>
      <c r="W137">
        <f>S137*B113+T137*B114</f>
        <v>0</v>
      </c>
      <c r="X137">
        <f t="shared" si="36"/>
        <v>1</v>
      </c>
      <c r="Y137">
        <f t="shared" si="37"/>
        <v>7.8176159999999992</v>
      </c>
      <c r="Z137">
        <f t="shared" si="42"/>
        <v>1.0711847727263619</v>
      </c>
      <c r="AC137">
        <v>0.1</v>
      </c>
      <c r="AE137">
        <v>0.6</v>
      </c>
      <c r="AF137">
        <f t="shared" si="38"/>
        <v>3.1645709568</v>
      </c>
      <c r="AG137">
        <f t="shared" si="43"/>
        <v>0.19</v>
      </c>
      <c r="AH137">
        <f t="shared" si="44"/>
        <v>0.6784</v>
      </c>
      <c r="AI137">
        <f>AI111</f>
        <v>0.54800000000000004</v>
      </c>
      <c r="AK137">
        <f>AK111</f>
        <v>0.75</v>
      </c>
      <c r="AL137">
        <f>AL111</f>
        <v>99.451999999999998</v>
      </c>
      <c r="AM137">
        <f>AM111</f>
        <v>4.7000000000000002E-3</v>
      </c>
      <c r="AN137">
        <f t="shared" si="45"/>
        <v>1.6764712113760177E-3</v>
      </c>
      <c r="AO137">
        <f t="shared" si="46"/>
        <v>1.9066266425661999E-3</v>
      </c>
      <c r="AP137">
        <f t="shared" si="47"/>
        <v>3.5830978539422177E-3</v>
      </c>
      <c r="AQ137">
        <f t="shared" si="48"/>
        <v>52.967144025900829</v>
      </c>
      <c r="AS137">
        <f t="shared" si="49"/>
        <v>0</v>
      </c>
      <c r="AT137">
        <f t="shared" si="39"/>
        <v>3.8897983284177057E-3</v>
      </c>
      <c r="AU137">
        <f t="shared" si="50"/>
        <v>0.11947247898676014</v>
      </c>
      <c r="AV137">
        <f t="shared" si="40"/>
        <v>1766.1019206217818</v>
      </c>
      <c r="AY137">
        <f>AY111</f>
        <v>6.0000000000000001E-3</v>
      </c>
      <c r="BB137">
        <f t="shared" si="51"/>
        <v>0.24</v>
      </c>
      <c r="BQ137" s="5" t="s">
        <v>160</v>
      </c>
      <c r="BR137" s="6" t="s">
        <v>187</v>
      </c>
      <c r="BS137">
        <v>600</v>
      </c>
      <c r="BT137">
        <v>600</v>
      </c>
      <c r="BU137">
        <v>660</v>
      </c>
      <c r="BV137">
        <v>660</v>
      </c>
      <c r="BW137">
        <v>660</v>
      </c>
      <c r="BX137">
        <v>660</v>
      </c>
      <c r="BY137">
        <v>660</v>
      </c>
      <c r="BZ137">
        <v>660</v>
      </c>
    </row>
    <row r="138" spans="7:78" x14ac:dyDescent="0.2">
      <c r="H138" t="s">
        <v>164</v>
      </c>
      <c r="J138">
        <v>91.25</v>
      </c>
      <c r="K138">
        <v>143</v>
      </c>
      <c r="M138">
        <v>460</v>
      </c>
      <c r="O138">
        <v>0.1</v>
      </c>
      <c r="P138">
        <v>600</v>
      </c>
      <c r="Q138">
        <f t="shared" si="41"/>
        <v>0.76666666666666672</v>
      </c>
      <c r="S138">
        <v>0</v>
      </c>
      <c r="T138">
        <v>0</v>
      </c>
      <c r="U138">
        <v>0</v>
      </c>
      <c r="V138">
        <v>0</v>
      </c>
      <c r="W138">
        <f>S138*B113+T138*B114</f>
        <v>0</v>
      </c>
      <c r="X138">
        <f t="shared" si="36"/>
        <v>1</v>
      </c>
      <c r="Y138">
        <f t="shared" si="37"/>
        <v>7.5885924675999998</v>
      </c>
      <c r="Z138">
        <f t="shared" si="42"/>
        <v>1.0232680056743308</v>
      </c>
      <c r="AC138">
        <v>0.06</v>
      </c>
      <c r="AE138">
        <v>0.5</v>
      </c>
      <c r="AF138">
        <f t="shared" si="38"/>
        <v>3.7700127379036799</v>
      </c>
      <c r="AG138">
        <f t="shared" si="43"/>
        <v>0.19</v>
      </c>
      <c r="AH138">
        <f t="shared" si="44"/>
        <v>0.6784</v>
      </c>
      <c r="AI138">
        <f>AI111</f>
        <v>0.54800000000000004</v>
      </c>
      <c r="AK138">
        <f>AK111</f>
        <v>0.75</v>
      </c>
      <c r="AL138">
        <f>AL111</f>
        <v>99.451999999999998</v>
      </c>
      <c r="AM138">
        <f>AM111</f>
        <v>4.7000000000000002E-3</v>
      </c>
      <c r="AN138">
        <f t="shared" si="45"/>
        <v>1.9972115992644627E-3</v>
      </c>
      <c r="AO138">
        <f t="shared" si="46"/>
        <v>2.2714000814093235E-3</v>
      </c>
      <c r="AP138">
        <f t="shared" si="47"/>
        <v>4.2686116806737867E-3</v>
      </c>
      <c r="AQ138">
        <f t="shared" si="48"/>
        <v>55.700046668192073</v>
      </c>
      <c r="AS138">
        <f t="shared" si="49"/>
        <v>0</v>
      </c>
      <c r="AT138">
        <f t="shared" si="39"/>
        <v>1.2768791052116398E-3</v>
      </c>
      <c r="AU138">
        <f t="shared" si="50"/>
        <v>6.982544913625581E-2</v>
      </c>
      <c r="AV138">
        <f t="shared" si="40"/>
        <v>911.13482941671805</v>
      </c>
      <c r="AY138">
        <f>AY111</f>
        <v>6.0000000000000001E-3</v>
      </c>
      <c r="BB138">
        <f t="shared" si="51"/>
        <v>0.24</v>
      </c>
      <c r="BQ138" s="3" t="s">
        <v>162</v>
      </c>
      <c r="BR138" s="4" t="s">
        <v>187</v>
      </c>
      <c r="BS138">
        <v>600</v>
      </c>
      <c r="BT138">
        <v>600</v>
      </c>
      <c r="BU138">
        <v>660</v>
      </c>
      <c r="BV138">
        <v>660</v>
      </c>
      <c r="BW138">
        <v>660</v>
      </c>
      <c r="BX138">
        <v>660</v>
      </c>
      <c r="BY138">
        <v>660</v>
      </c>
      <c r="BZ138">
        <v>660</v>
      </c>
    </row>
    <row r="139" spans="7:78" x14ac:dyDescent="0.2">
      <c r="G139" t="s">
        <v>188</v>
      </c>
      <c r="H139" t="s">
        <v>160</v>
      </c>
      <c r="J139">
        <v>91.25</v>
      </c>
      <c r="K139">
        <v>94</v>
      </c>
      <c r="M139">
        <v>380</v>
      </c>
      <c r="O139">
        <v>0.4</v>
      </c>
      <c r="P139">
        <v>600</v>
      </c>
      <c r="Q139">
        <f t="shared" si="41"/>
        <v>0.6333333333333333</v>
      </c>
      <c r="S139">
        <v>0</v>
      </c>
      <c r="T139">
        <v>0</v>
      </c>
      <c r="U139">
        <v>0</v>
      </c>
      <c r="V139">
        <v>0</v>
      </c>
      <c r="W139">
        <f>S139*B113+T139*B114</f>
        <v>0</v>
      </c>
      <c r="X139">
        <f t="shared" si="36"/>
        <v>1</v>
      </c>
      <c r="Y139">
        <f t="shared" si="37"/>
        <v>7.0796437775999967</v>
      </c>
      <c r="Z139">
        <f t="shared" si="42"/>
        <v>1.101888665936833</v>
      </c>
      <c r="AC139">
        <v>7.0000000000000007E-2</v>
      </c>
      <c r="AE139">
        <v>0.55000000000000004</v>
      </c>
      <c r="AF139">
        <f t="shared" si="38"/>
        <v>3.1915034149420785</v>
      </c>
      <c r="AG139">
        <f t="shared" si="43"/>
        <v>0.19</v>
      </c>
      <c r="AH139">
        <f t="shared" si="44"/>
        <v>0.6784</v>
      </c>
      <c r="AI139">
        <f>AI111</f>
        <v>0.54800000000000004</v>
      </c>
      <c r="AK139">
        <f>AK111</f>
        <v>0.75</v>
      </c>
      <c r="AL139">
        <f>AL111</f>
        <v>99.451999999999998</v>
      </c>
      <c r="AM139">
        <f>AM111</f>
        <v>4.7000000000000002E-3</v>
      </c>
      <c r="AN139">
        <f t="shared" si="45"/>
        <v>1.6907390193484576E-3</v>
      </c>
      <c r="AO139">
        <f t="shared" si="46"/>
        <v>1.9228532157555751E-3</v>
      </c>
      <c r="AP139">
        <f t="shared" si="47"/>
        <v>3.6135922351040327E-3</v>
      </c>
      <c r="AQ139">
        <f t="shared" si="48"/>
        <v>30.99558739660484</v>
      </c>
      <c r="AS139">
        <f t="shared" si="49"/>
        <v>0</v>
      </c>
      <c r="AT139">
        <f t="shared" si="39"/>
        <v>5.9536831562818594E-3</v>
      </c>
      <c r="AU139">
        <f t="shared" si="50"/>
        <v>7.1823544352451044E-2</v>
      </c>
      <c r="AV139">
        <f t="shared" si="40"/>
        <v>616.06645168314878</v>
      </c>
      <c r="AY139">
        <f>AY111</f>
        <v>6.0000000000000001E-3</v>
      </c>
      <c r="BB139">
        <f t="shared" si="51"/>
        <v>0.24</v>
      </c>
      <c r="BQ139" s="5" t="s">
        <v>163</v>
      </c>
      <c r="BR139" s="6" t="s">
        <v>187</v>
      </c>
      <c r="BS139">
        <v>600</v>
      </c>
      <c r="BT139">
        <v>600</v>
      </c>
      <c r="BU139">
        <v>660</v>
      </c>
      <c r="BV139">
        <v>660</v>
      </c>
      <c r="BW139">
        <v>660</v>
      </c>
      <c r="BX139">
        <v>660</v>
      </c>
      <c r="BY139">
        <v>660</v>
      </c>
      <c r="BZ139">
        <v>660</v>
      </c>
    </row>
    <row r="140" spans="7:78" x14ac:dyDescent="0.2">
      <c r="G140" t="s">
        <v>198</v>
      </c>
      <c r="H140" t="s">
        <v>162</v>
      </c>
      <c r="J140">
        <v>91.25</v>
      </c>
      <c r="K140">
        <v>162</v>
      </c>
      <c r="M140">
        <v>420</v>
      </c>
      <c r="O140">
        <v>0.4</v>
      </c>
      <c r="P140">
        <v>600</v>
      </c>
      <c r="Q140">
        <f t="shared" si="41"/>
        <v>0.7</v>
      </c>
      <c r="S140">
        <v>0</v>
      </c>
      <c r="T140">
        <v>0</v>
      </c>
      <c r="U140">
        <v>0</v>
      </c>
      <c r="V140">
        <v>0</v>
      </c>
      <c r="W140">
        <f>S140*B113+T140*B114</f>
        <v>0</v>
      </c>
      <c r="X140">
        <f t="shared" si="36"/>
        <v>1</v>
      </c>
      <c r="Y140">
        <f t="shared" si="37"/>
        <v>7.6129639056</v>
      </c>
      <c r="Z140">
        <f t="shared" si="42"/>
        <v>1.0979922441560788</v>
      </c>
      <c r="AC140">
        <v>0.13</v>
      </c>
      <c r="AE140">
        <v>0.65</v>
      </c>
      <c r="AF140">
        <f t="shared" si="38"/>
        <v>2.7315314493292799</v>
      </c>
      <c r="AG140">
        <f t="shared" si="43"/>
        <v>0.19</v>
      </c>
      <c r="AH140">
        <f t="shared" si="44"/>
        <v>0.6784</v>
      </c>
      <c r="AI140">
        <f>AI111</f>
        <v>0.54800000000000004</v>
      </c>
      <c r="AK140">
        <f>AK111</f>
        <v>0.75</v>
      </c>
      <c r="AL140">
        <f>AL111</f>
        <v>99.451999999999998</v>
      </c>
      <c r="AM140">
        <f>AM111</f>
        <v>4.7000000000000002E-3</v>
      </c>
      <c r="AN140">
        <f t="shared" si="45"/>
        <v>1.4470630933171899E-3</v>
      </c>
      <c r="AO140">
        <f t="shared" si="46"/>
        <v>1.6457240831044559E-3</v>
      </c>
      <c r="AP140">
        <f t="shared" si="47"/>
        <v>3.092787176421646E-3</v>
      </c>
      <c r="AQ140">
        <f t="shared" si="48"/>
        <v>45.719126435452985</v>
      </c>
      <c r="AS140">
        <f t="shared" si="49"/>
        <v>0</v>
      </c>
      <c r="AT140">
        <f t="shared" si="39"/>
        <v>5.4689366245148753E-3</v>
      </c>
      <c r="AU140">
        <f>MAX((Y140*AC140/6.25)+(0.032*AS140/6.38)-AT140-((1.1*(10^-4)*(M140^0.75))/6.25), 0)</f>
        <v>0.1512478500353282</v>
      </c>
      <c r="AV140">
        <f t="shared" si="40"/>
        <v>2235.8213431472391</v>
      </c>
      <c r="AY140">
        <f>AY111</f>
        <v>6.0000000000000001E-3</v>
      </c>
      <c r="BB140">
        <f t="shared" si="51"/>
        <v>0.24</v>
      </c>
      <c r="BQ140" s="3" t="s">
        <v>164</v>
      </c>
      <c r="BR140" s="4" t="s">
        <v>187</v>
      </c>
      <c r="BS140">
        <v>600</v>
      </c>
      <c r="BT140">
        <v>600</v>
      </c>
      <c r="BU140">
        <v>660</v>
      </c>
      <c r="BV140">
        <v>660</v>
      </c>
      <c r="BW140">
        <v>660</v>
      </c>
      <c r="BX140">
        <v>660</v>
      </c>
      <c r="BY140">
        <v>660</v>
      </c>
      <c r="BZ140">
        <v>660</v>
      </c>
    </row>
    <row r="141" spans="7:78" x14ac:dyDescent="0.2">
      <c r="H141" t="s">
        <v>163</v>
      </c>
      <c r="J141">
        <v>91.25</v>
      </c>
      <c r="K141">
        <v>146</v>
      </c>
      <c r="M141">
        <v>450</v>
      </c>
      <c r="O141">
        <v>0.3</v>
      </c>
      <c r="P141">
        <v>600</v>
      </c>
      <c r="Q141">
        <f t="shared" si="41"/>
        <v>0.75</v>
      </c>
      <c r="S141">
        <v>0</v>
      </c>
      <c r="T141">
        <v>0</v>
      </c>
      <c r="U141">
        <v>0</v>
      </c>
      <c r="V141">
        <v>0</v>
      </c>
      <c r="W141">
        <f>S141*B113+T141*B114</f>
        <v>0</v>
      </c>
      <c r="X141">
        <f t="shared" si="36"/>
        <v>1</v>
      </c>
      <c r="Y141">
        <f t="shared" si="37"/>
        <v>7.8176159999999992</v>
      </c>
      <c r="Z141">
        <f t="shared" si="42"/>
        <v>1.0711847727263619</v>
      </c>
      <c r="AC141">
        <v>0.1</v>
      </c>
      <c r="AE141">
        <v>0.6</v>
      </c>
      <c r="AF141">
        <f t="shared" si="38"/>
        <v>3.1645709568</v>
      </c>
      <c r="AG141">
        <f t="shared" si="43"/>
        <v>0.19</v>
      </c>
      <c r="AH141">
        <f t="shared" si="44"/>
        <v>0.6784</v>
      </c>
      <c r="AI141">
        <f>AI111</f>
        <v>0.54800000000000004</v>
      </c>
      <c r="AK141">
        <f>AK111</f>
        <v>0.75</v>
      </c>
      <c r="AL141">
        <f>AL111</f>
        <v>99.451999999999998</v>
      </c>
      <c r="AM141">
        <f>AM111</f>
        <v>4.7000000000000002E-3</v>
      </c>
      <c r="AN141">
        <f t="shared" si="45"/>
        <v>1.6764712113760177E-3</v>
      </c>
      <c r="AO141">
        <f t="shared" si="46"/>
        <v>1.9066266425661999E-3</v>
      </c>
      <c r="AP141">
        <f t="shared" si="47"/>
        <v>3.5830978539422177E-3</v>
      </c>
      <c r="AQ141">
        <f t="shared" si="48"/>
        <v>47.735821159145196</v>
      </c>
      <c r="AS141">
        <f t="shared" si="49"/>
        <v>0</v>
      </c>
      <c r="AT141">
        <f t="shared" si="39"/>
        <v>3.8897983284177057E-3</v>
      </c>
      <c r="AU141">
        <f t="shared" si="50"/>
        <v>0.11947247898676014</v>
      </c>
      <c r="AV141">
        <f t="shared" si="40"/>
        <v>1591.672101301112</v>
      </c>
      <c r="AY141">
        <f>AY111</f>
        <v>6.0000000000000001E-3</v>
      </c>
      <c r="BB141">
        <f t="shared" si="51"/>
        <v>0.24</v>
      </c>
      <c r="BQ141" s="5" t="s">
        <v>160</v>
      </c>
      <c r="BR141" s="6" t="s">
        <v>188</v>
      </c>
      <c r="BS141">
        <v>600</v>
      </c>
      <c r="BT141">
        <v>600</v>
      </c>
      <c r="BU141">
        <v>660</v>
      </c>
      <c r="BV141">
        <v>660</v>
      </c>
      <c r="BW141">
        <v>660</v>
      </c>
      <c r="BX141">
        <v>660</v>
      </c>
      <c r="BY141">
        <v>660</v>
      </c>
      <c r="BZ141">
        <v>660</v>
      </c>
    </row>
    <row r="142" spans="7:78" x14ac:dyDescent="0.2">
      <c r="H142" t="s">
        <v>164</v>
      </c>
      <c r="J142">
        <v>91.25</v>
      </c>
      <c r="K142">
        <v>76</v>
      </c>
      <c r="M142">
        <v>460</v>
      </c>
      <c r="O142">
        <v>0.1</v>
      </c>
      <c r="P142">
        <v>600</v>
      </c>
      <c r="Q142">
        <f t="shared" si="41"/>
        <v>0.76666666666666672</v>
      </c>
      <c r="S142">
        <v>0</v>
      </c>
      <c r="T142">
        <v>0</v>
      </c>
      <c r="U142">
        <v>0</v>
      </c>
      <c r="V142">
        <v>0</v>
      </c>
      <c r="W142">
        <f>S142*B113+T142*B114</f>
        <v>0</v>
      </c>
      <c r="X142">
        <f t="shared" si="36"/>
        <v>1</v>
      </c>
      <c r="Y142">
        <f t="shared" si="37"/>
        <v>7.5885924675999998</v>
      </c>
      <c r="Z142">
        <f t="shared" si="42"/>
        <v>1.0232680056743308</v>
      </c>
      <c r="AC142">
        <v>0.06</v>
      </c>
      <c r="AE142">
        <v>0.5</v>
      </c>
      <c r="AF142">
        <f t="shared" si="38"/>
        <v>3.7700127379036799</v>
      </c>
      <c r="AG142">
        <f t="shared" si="43"/>
        <v>0.19</v>
      </c>
      <c r="AH142">
        <f t="shared" si="44"/>
        <v>0.6784</v>
      </c>
      <c r="AI142">
        <f>AI111</f>
        <v>0.54800000000000004</v>
      </c>
      <c r="AK142">
        <f>AK111</f>
        <v>0.75</v>
      </c>
      <c r="AL142">
        <f>AL111</f>
        <v>99.451999999999998</v>
      </c>
      <c r="AM142">
        <f>AM111</f>
        <v>4.7000000000000002E-3</v>
      </c>
      <c r="AN142">
        <f t="shared" si="45"/>
        <v>1.9972115992644627E-3</v>
      </c>
      <c r="AO142">
        <f t="shared" si="46"/>
        <v>2.2714000814093235E-3</v>
      </c>
      <c r="AP142">
        <f t="shared" si="47"/>
        <v>4.2686116806737867E-3</v>
      </c>
      <c r="AQ142">
        <f t="shared" si="48"/>
        <v>29.60282200547271</v>
      </c>
      <c r="AS142">
        <f t="shared" si="49"/>
        <v>0</v>
      </c>
      <c r="AT142">
        <f t="shared" si="39"/>
        <v>1.2768791052116398E-3</v>
      </c>
      <c r="AU142">
        <f t="shared" si="50"/>
        <v>6.982544913625581E-2</v>
      </c>
      <c r="AV142">
        <f t="shared" si="40"/>
        <v>484.23948975993409</v>
      </c>
      <c r="AY142">
        <f>AY111</f>
        <v>6.0000000000000001E-3</v>
      </c>
      <c r="BB142">
        <f t="shared" si="51"/>
        <v>0.24</v>
      </c>
      <c r="BQ142" s="3" t="s">
        <v>162</v>
      </c>
      <c r="BR142" s="4" t="s">
        <v>188</v>
      </c>
      <c r="BS142">
        <v>600</v>
      </c>
      <c r="BT142">
        <v>600</v>
      </c>
      <c r="BU142">
        <v>660</v>
      </c>
      <c r="BV142">
        <v>660</v>
      </c>
      <c r="BW142">
        <v>660</v>
      </c>
      <c r="BX142">
        <v>660</v>
      </c>
      <c r="BY142">
        <v>660</v>
      </c>
      <c r="BZ142">
        <v>660</v>
      </c>
    </row>
    <row r="143" spans="7:78" x14ac:dyDescent="0.2">
      <c r="G143" t="s">
        <v>186</v>
      </c>
      <c r="H143" t="s">
        <v>160</v>
      </c>
      <c r="J143">
        <v>91.25</v>
      </c>
      <c r="K143">
        <v>63</v>
      </c>
      <c r="M143">
        <v>75</v>
      </c>
      <c r="O143">
        <v>0.5</v>
      </c>
      <c r="P143">
        <v>600</v>
      </c>
      <c r="Q143">
        <f t="shared" si="41"/>
        <v>0.125</v>
      </c>
      <c r="S143">
        <v>0</v>
      </c>
      <c r="T143">
        <v>0</v>
      </c>
      <c r="U143">
        <f>27/K143</f>
        <v>0.42857142857142855</v>
      </c>
      <c r="V143">
        <v>0</v>
      </c>
      <c r="W143">
        <f>S143*B113+T143*B114</f>
        <v>0</v>
      </c>
      <c r="X143">
        <f t="shared" si="36"/>
        <v>1</v>
      </c>
      <c r="Y143">
        <f t="shared" si="37"/>
        <v>2.7834751406249998</v>
      </c>
      <c r="Z143">
        <f t="shared" si="42"/>
        <v>1.2193553180247376</v>
      </c>
      <c r="AC143">
        <v>7.0000000000000007E-2</v>
      </c>
      <c r="AE143">
        <v>0.55000000000000004</v>
      </c>
      <c r="AF143">
        <f t="shared" si="38"/>
        <v>1.25479059339375</v>
      </c>
      <c r="AG143">
        <f t="shared" si="43"/>
        <v>0.19</v>
      </c>
      <c r="AH143">
        <f t="shared" si="44"/>
        <v>0.6784</v>
      </c>
      <c r="AI143">
        <f>AI111</f>
        <v>0.54800000000000004</v>
      </c>
      <c r="AK143">
        <f>AK111</f>
        <v>0.75</v>
      </c>
      <c r="AL143">
        <f>AL111</f>
        <v>99.451999999999998</v>
      </c>
      <c r="AM143">
        <f>AM111</f>
        <v>4.7000000000000002E-3</v>
      </c>
      <c r="AN143">
        <f t="shared" si="45"/>
        <v>6.6474107702019214E-4</v>
      </c>
      <c r="AO143">
        <f t="shared" si="46"/>
        <v>7.5600048438325329E-4</v>
      </c>
      <c r="AP143">
        <f t="shared" si="47"/>
        <v>1.4207415614034455E-3</v>
      </c>
      <c r="AQ143">
        <f t="shared" si="48"/>
        <v>8.1674880511180579</v>
      </c>
      <c r="AS143">
        <f t="shared" si="49"/>
        <v>2.5714285714285712</v>
      </c>
      <c r="AT143">
        <f t="shared" si="39"/>
        <v>1.4328724276547253E-2</v>
      </c>
      <c r="AU143">
        <f t="shared" si="50"/>
        <v>2.9295096998019108E-2</v>
      </c>
      <c r="AV143">
        <f t="shared" si="40"/>
        <v>168.41018886736236</v>
      </c>
      <c r="AY143">
        <f>AY111</f>
        <v>6.0000000000000001E-3</v>
      </c>
      <c r="BB143">
        <f t="shared" si="51"/>
        <v>0.24</v>
      </c>
      <c r="BQ143" s="5" t="s">
        <v>163</v>
      </c>
      <c r="BR143" s="6" t="s">
        <v>188</v>
      </c>
      <c r="BS143">
        <v>600</v>
      </c>
      <c r="BT143">
        <v>600</v>
      </c>
      <c r="BU143">
        <v>660</v>
      </c>
      <c r="BV143">
        <v>660</v>
      </c>
      <c r="BW143">
        <v>660</v>
      </c>
      <c r="BX143">
        <v>660</v>
      </c>
      <c r="BY143">
        <v>660</v>
      </c>
      <c r="BZ143">
        <v>660</v>
      </c>
    </row>
    <row r="144" spans="7:78" x14ac:dyDescent="0.2">
      <c r="G144">
        <v>6</v>
      </c>
      <c r="H144" t="s">
        <v>162</v>
      </c>
      <c r="J144">
        <v>91.25</v>
      </c>
      <c r="K144">
        <v>140</v>
      </c>
      <c r="M144">
        <v>160</v>
      </c>
      <c r="O144">
        <v>0.9</v>
      </c>
      <c r="P144">
        <v>600</v>
      </c>
      <c r="Q144">
        <f t="shared" si="41"/>
        <v>0.26666666666666666</v>
      </c>
      <c r="S144">
        <v>0</v>
      </c>
      <c r="T144">
        <v>0</v>
      </c>
      <c r="U144">
        <f>51/K144</f>
        <v>0.36428571428571427</v>
      </c>
      <c r="V144">
        <f>27/K144</f>
        <v>0.19285714285714287</v>
      </c>
      <c r="W144">
        <f>S144*B113+T144*B114</f>
        <v>0</v>
      </c>
      <c r="X144">
        <f t="shared" si="36"/>
        <v>1</v>
      </c>
      <c r="Y144">
        <f t="shared" si="37"/>
        <v>4.5298311556000002</v>
      </c>
      <c r="Z144">
        <f t="shared" si="42"/>
        <v>1.3309587678069252</v>
      </c>
      <c r="AC144">
        <v>0.13</v>
      </c>
      <c r="AE144">
        <v>0.65</v>
      </c>
      <c r="AF144">
        <f t="shared" si="38"/>
        <v>1.6253034186292801</v>
      </c>
      <c r="AG144">
        <f t="shared" si="43"/>
        <v>0.19</v>
      </c>
      <c r="AH144">
        <f t="shared" si="44"/>
        <v>0.6784</v>
      </c>
      <c r="AI144">
        <f>AI111</f>
        <v>0.54800000000000004</v>
      </c>
      <c r="AK144">
        <f>AK111</f>
        <v>0.75</v>
      </c>
      <c r="AL144">
        <f>AL111</f>
        <v>99.451999999999998</v>
      </c>
      <c r="AM144">
        <f>AM111</f>
        <v>4.7000000000000002E-3</v>
      </c>
      <c r="AN144">
        <f t="shared" si="45"/>
        <v>8.6102489982979927E-4</v>
      </c>
      <c r="AO144">
        <f t="shared" si="46"/>
        <v>9.7923125836497341E-4</v>
      </c>
      <c r="AP144">
        <f t="shared" si="47"/>
        <v>1.8402561581947726E-3</v>
      </c>
      <c r="AQ144">
        <f t="shared" si="48"/>
        <v>23.509272420938217</v>
      </c>
      <c r="AS144">
        <f t="shared" si="49"/>
        <v>2.9571428571428569</v>
      </c>
      <c r="AT144">
        <f t="shared" si="39"/>
        <v>2.2824899496607251E-2</v>
      </c>
      <c r="AU144">
        <f t="shared" si="50"/>
        <v>8.5435876441241634E-2</v>
      </c>
      <c r="AV144">
        <f t="shared" si="40"/>
        <v>1091.4433215368617</v>
      </c>
      <c r="AY144">
        <f>AY111</f>
        <v>6.0000000000000001E-3</v>
      </c>
      <c r="BB144">
        <f t="shared" si="51"/>
        <v>0.24</v>
      </c>
      <c r="BQ144" s="3" t="s">
        <v>164</v>
      </c>
      <c r="BR144" s="4" t="s">
        <v>188</v>
      </c>
      <c r="BS144">
        <v>600</v>
      </c>
      <c r="BT144">
        <v>600</v>
      </c>
      <c r="BU144">
        <v>660</v>
      </c>
      <c r="BV144">
        <v>660</v>
      </c>
      <c r="BW144">
        <v>660</v>
      </c>
      <c r="BX144">
        <v>660</v>
      </c>
      <c r="BY144">
        <v>660</v>
      </c>
      <c r="BZ144">
        <v>660</v>
      </c>
    </row>
    <row r="145" spans="7:80" x14ac:dyDescent="0.2">
      <c r="H145" t="s">
        <v>163</v>
      </c>
      <c r="J145">
        <v>91.25</v>
      </c>
      <c r="K145">
        <v>127</v>
      </c>
      <c r="M145">
        <v>220</v>
      </c>
      <c r="O145">
        <v>0.7</v>
      </c>
      <c r="P145">
        <v>600</v>
      </c>
      <c r="Q145">
        <f t="shared" si="41"/>
        <v>0.36666666666666664</v>
      </c>
      <c r="S145">
        <v>0</v>
      </c>
      <c r="T145">
        <v>0</v>
      </c>
      <c r="U145">
        <v>0</v>
      </c>
      <c r="V145">
        <f>51/K145</f>
        <v>0.40157480314960631</v>
      </c>
      <c r="W145">
        <f>S145*B113+T145*B114</f>
        <v>0</v>
      </c>
      <c r="X145">
        <f t="shared" si="36"/>
        <v>1</v>
      </c>
      <c r="Y145">
        <f t="shared" si="37"/>
        <v>5.1913799715999973</v>
      </c>
      <c r="Z145">
        <f t="shared" si="42"/>
        <v>1.2257699173903274</v>
      </c>
      <c r="AC145">
        <v>0.1</v>
      </c>
      <c r="AE145">
        <v>0.6</v>
      </c>
      <c r="AF145">
        <f t="shared" si="38"/>
        <v>2.1014706125036788</v>
      </c>
      <c r="AG145">
        <f t="shared" si="43"/>
        <v>0.19</v>
      </c>
      <c r="AH145">
        <f t="shared" si="44"/>
        <v>0.6784</v>
      </c>
      <c r="AI145">
        <f>AI111</f>
        <v>0.54800000000000004</v>
      </c>
      <c r="AK145">
        <f>AK111</f>
        <v>0.75</v>
      </c>
      <c r="AL145">
        <f>AL111</f>
        <v>99.451999999999998</v>
      </c>
      <c r="AM145">
        <f>AM111</f>
        <v>4.7000000000000002E-3</v>
      </c>
      <c r="AN145">
        <f t="shared" si="45"/>
        <v>1.1132804514447172E-3</v>
      </c>
      <c r="AO145">
        <f t="shared" si="46"/>
        <v>1.2661178760298682E-3</v>
      </c>
      <c r="AP145">
        <f t="shared" si="47"/>
        <v>2.3793983274745852E-3</v>
      </c>
      <c r="AQ145">
        <f t="shared" si="48"/>
        <v>27.574252367521101</v>
      </c>
      <c r="AS145">
        <f t="shared" si="49"/>
        <v>1.6062992125984252</v>
      </c>
      <c r="AT145">
        <f t="shared" si="39"/>
        <v>1.570147670443419E-2</v>
      </c>
      <c r="AU145">
        <f t="shared" si="50"/>
        <v>7.4411897311451078E-2</v>
      </c>
      <c r="AV145">
        <f t="shared" si="40"/>
        <v>862.34087496807865</v>
      </c>
      <c r="AY145">
        <f>AY111</f>
        <v>6.0000000000000001E-3</v>
      </c>
      <c r="BB145">
        <f t="shared" si="51"/>
        <v>0.24</v>
      </c>
      <c r="BQ145" s="5" t="s">
        <v>160</v>
      </c>
      <c r="BR145" s="6" t="s">
        <v>186</v>
      </c>
      <c r="BS145">
        <v>600</v>
      </c>
      <c r="BT145">
        <v>600</v>
      </c>
      <c r="BU145">
        <v>660</v>
      </c>
      <c r="BV145">
        <v>660</v>
      </c>
      <c r="BW145">
        <v>660</v>
      </c>
      <c r="BX145">
        <v>660</v>
      </c>
      <c r="BY145">
        <v>660</v>
      </c>
      <c r="BZ145">
        <v>660</v>
      </c>
    </row>
    <row r="146" spans="7:80" x14ac:dyDescent="0.2">
      <c r="H146" t="s">
        <v>164</v>
      </c>
      <c r="J146">
        <v>91.25</v>
      </c>
      <c r="K146">
        <v>138</v>
      </c>
      <c r="M146">
        <v>260</v>
      </c>
      <c r="O146">
        <v>0.4</v>
      </c>
      <c r="P146">
        <v>600</v>
      </c>
      <c r="Q146">
        <f t="shared" si="41"/>
        <v>0.43333333333333335</v>
      </c>
      <c r="S146">
        <v>0</v>
      </c>
      <c r="T146">
        <v>0</v>
      </c>
      <c r="U146">
        <v>0</v>
      </c>
      <c r="V146">
        <v>0</v>
      </c>
      <c r="W146">
        <f>S146*B113+T146*B114</f>
        <v>0</v>
      </c>
      <c r="X146">
        <f t="shared" si="36"/>
        <v>1</v>
      </c>
      <c r="Y146">
        <f t="shared" si="37"/>
        <v>5.3621886096000004</v>
      </c>
      <c r="Z146">
        <f t="shared" si="42"/>
        <v>1.1183986897081921</v>
      </c>
      <c r="AC146">
        <v>0.06</v>
      </c>
      <c r="AE146">
        <v>0.5</v>
      </c>
      <c r="AF146">
        <f t="shared" si="38"/>
        <v>2.6639353012492806</v>
      </c>
      <c r="AG146">
        <f t="shared" si="43"/>
        <v>0.19</v>
      </c>
      <c r="AH146">
        <f t="shared" si="44"/>
        <v>0.6784</v>
      </c>
      <c r="AI146">
        <f>AI111</f>
        <v>0.54800000000000004</v>
      </c>
      <c r="AK146">
        <f>AK111</f>
        <v>0.75</v>
      </c>
      <c r="AL146">
        <f>AL111</f>
        <v>99.451999999999998</v>
      </c>
      <c r="AM146">
        <f>AM111</f>
        <v>4.7000000000000002E-3</v>
      </c>
      <c r="AN146">
        <f t="shared" si="45"/>
        <v>1.4112531848641905E-3</v>
      </c>
      <c r="AO146">
        <f t="shared" si="46"/>
        <v>1.6049979882803731E-3</v>
      </c>
      <c r="AP146">
        <f t="shared" si="47"/>
        <v>3.0162511731445635E-3</v>
      </c>
      <c r="AQ146">
        <f t="shared" si="48"/>
        <v>37.982142897822918</v>
      </c>
      <c r="AS146">
        <f t="shared" si="49"/>
        <v>0</v>
      </c>
      <c r="AT146">
        <f t="shared" si="39"/>
        <v>8.1371085957436407E-3</v>
      </c>
      <c r="AU146">
        <f t="shared" si="50"/>
        <v>4.2200327671280083E-2</v>
      </c>
      <c r="AV146">
        <f t="shared" si="40"/>
        <v>531.40762620059445</v>
      </c>
      <c r="AY146">
        <f>AY111</f>
        <v>6.0000000000000001E-3</v>
      </c>
      <c r="BB146">
        <f t="shared" si="51"/>
        <v>0.24</v>
      </c>
      <c r="BQ146" s="3" t="s">
        <v>162</v>
      </c>
      <c r="BR146" s="4" t="s">
        <v>186</v>
      </c>
      <c r="BS146">
        <v>600</v>
      </c>
      <c r="BT146">
        <v>600</v>
      </c>
      <c r="BU146">
        <v>660</v>
      </c>
      <c r="BV146">
        <v>660</v>
      </c>
      <c r="BW146">
        <v>660</v>
      </c>
      <c r="BX146">
        <v>660</v>
      </c>
      <c r="BY146">
        <v>660</v>
      </c>
      <c r="BZ146">
        <v>660</v>
      </c>
    </row>
    <row r="147" spans="7:80" x14ac:dyDescent="0.2">
      <c r="G147" t="s">
        <v>189</v>
      </c>
      <c r="H147" t="s">
        <v>160</v>
      </c>
      <c r="J147">
        <v>91.25</v>
      </c>
      <c r="K147">
        <v>20</v>
      </c>
      <c r="M147">
        <v>380</v>
      </c>
      <c r="O147">
        <v>0.4</v>
      </c>
      <c r="P147">
        <v>600</v>
      </c>
      <c r="Q147">
        <f t="shared" si="41"/>
        <v>0.6333333333333333</v>
      </c>
      <c r="S147">
        <v>0</v>
      </c>
      <c r="T147">
        <v>0</v>
      </c>
      <c r="U147">
        <v>0</v>
      </c>
      <c r="V147">
        <v>0</v>
      </c>
      <c r="W147">
        <f>S147*B113+T147*B114</f>
        <v>0</v>
      </c>
      <c r="X147">
        <f t="shared" si="36"/>
        <v>1</v>
      </c>
      <c r="Y147">
        <f t="shared" si="37"/>
        <v>7.0796437775999967</v>
      </c>
      <c r="Z147">
        <f t="shared" si="42"/>
        <v>1.101888665936833</v>
      </c>
      <c r="AC147">
        <v>7.0000000000000007E-2</v>
      </c>
      <c r="AE147">
        <v>0.55000000000000004</v>
      </c>
      <c r="AF147">
        <f t="shared" si="38"/>
        <v>3.1915034149420785</v>
      </c>
      <c r="AG147">
        <f t="shared" si="43"/>
        <v>0.19</v>
      </c>
      <c r="AH147">
        <f t="shared" si="44"/>
        <v>0.6784</v>
      </c>
      <c r="AI147">
        <f>AI111</f>
        <v>0.54800000000000004</v>
      </c>
      <c r="AK147">
        <f>AK111</f>
        <v>0.75</v>
      </c>
      <c r="AL147">
        <f>AL111</f>
        <v>99.451999999999998</v>
      </c>
      <c r="AM147">
        <f>AM111</f>
        <v>4.7000000000000002E-3</v>
      </c>
      <c r="AN147">
        <f t="shared" si="45"/>
        <v>1.6907390193484576E-3</v>
      </c>
      <c r="AO147">
        <f t="shared" si="46"/>
        <v>1.9228532157555751E-3</v>
      </c>
      <c r="AP147">
        <f t="shared" si="47"/>
        <v>3.6135922351040327E-3</v>
      </c>
      <c r="AQ147">
        <f t="shared" si="48"/>
        <v>6.5948058290648603</v>
      </c>
      <c r="AS147">
        <f t="shared" si="49"/>
        <v>0</v>
      </c>
      <c r="AT147">
        <f t="shared" si="39"/>
        <v>5.9536831562818594E-3</v>
      </c>
      <c r="AU147">
        <f t="shared" si="50"/>
        <v>7.1823544352451044E-2</v>
      </c>
      <c r="AV147">
        <f t="shared" si="40"/>
        <v>131.07796844322314</v>
      </c>
      <c r="AY147">
        <f>AY111</f>
        <v>6.0000000000000001E-3</v>
      </c>
      <c r="BB147">
        <f t="shared" si="51"/>
        <v>0.24</v>
      </c>
      <c r="BQ147" s="5" t="s">
        <v>163</v>
      </c>
      <c r="BR147" s="6" t="s">
        <v>186</v>
      </c>
      <c r="BS147">
        <v>600</v>
      </c>
      <c r="BT147">
        <v>600</v>
      </c>
      <c r="BU147">
        <v>660</v>
      </c>
      <c r="BV147">
        <v>660</v>
      </c>
      <c r="BW147">
        <v>660</v>
      </c>
      <c r="BX147">
        <v>660</v>
      </c>
      <c r="BY147">
        <v>660</v>
      </c>
      <c r="BZ147">
        <v>660</v>
      </c>
    </row>
    <row r="148" spans="7:80" x14ac:dyDescent="0.2">
      <c r="G148" t="s">
        <v>199</v>
      </c>
      <c r="H148" t="s">
        <v>162</v>
      </c>
      <c r="J148">
        <v>91.25</v>
      </c>
      <c r="K148">
        <v>79</v>
      </c>
      <c r="M148">
        <v>420</v>
      </c>
      <c r="O148">
        <v>0.4</v>
      </c>
      <c r="P148">
        <v>600</v>
      </c>
      <c r="Q148">
        <f t="shared" si="41"/>
        <v>0.7</v>
      </c>
      <c r="S148">
        <v>0</v>
      </c>
      <c r="T148">
        <v>0</v>
      </c>
      <c r="U148">
        <v>0</v>
      </c>
      <c r="V148">
        <v>0</v>
      </c>
      <c r="W148">
        <f>S148*B113+T148*B114</f>
        <v>0</v>
      </c>
      <c r="X148">
        <f t="shared" si="36"/>
        <v>1</v>
      </c>
      <c r="Y148">
        <f t="shared" si="37"/>
        <v>7.6129639056</v>
      </c>
      <c r="Z148">
        <f t="shared" si="42"/>
        <v>1.0979922441560788</v>
      </c>
      <c r="AC148">
        <v>0.13</v>
      </c>
      <c r="AE148">
        <v>0.65</v>
      </c>
      <c r="AF148">
        <f t="shared" si="38"/>
        <v>2.7315314493292799</v>
      </c>
      <c r="AG148">
        <f t="shared" si="43"/>
        <v>0.19</v>
      </c>
      <c r="AH148">
        <f t="shared" si="44"/>
        <v>0.6784</v>
      </c>
      <c r="AI148">
        <f>AI111</f>
        <v>0.54800000000000004</v>
      </c>
      <c r="AK148">
        <f>AK111</f>
        <v>0.75</v>
      </c>
      <c r="AL148">
        <f>AL111</f>
        <v>99.451999999999998</v>
      </c>
      <c r="AM148">
        <f>AM111</f>
        <v>4.7000000000000002E-3</v>
      </c>
      <c r="AN148">
        <f t="shared" si="45"/>
        <v>1.4470630933171899E-3</v>
      </c>
      <c r="AO148">
        <f t="shared" si="46"/>
        <v>1.6457240831044559E-3</v>
      </c>
      <c r="AP148">
        <f t="shared" si="47"/>
        <v>3.092787176421646E-3</v>
      </c>
      <c r="AQ148">
        <f t="shared" si="48"/>
        <v>22.29512955802954</v>
      </c>
      <c r="AS148">
        <f t="shared" si="49"/>
        <v>0</v>
      </c>
      <c r="AT148">
        <f t="shared" si="39"/>
        <v>5.4689366245148753E-3</v>
      </c>
      <c r="AU148">
        <f t="shared" si="50"/>
        <v>0.1512478500353282</v>
      </c>
      <c r="AV148">
        <f t="shared" si="40"/>
        <v>1090.3079389421721</v>
      </c>
      <c r="AY148">
        <f>AY111</f>
        <v>6.0000000000000001E-3</v>
      </c>
      <c r="BB148">
        <f t="shared" si="51"/>
        <v>0.24</v>
      </c>
      <c r="BQ148" s="3" t="s">
        <v>164</v>
      </c>
      <c r="BR148" s="4" t="s">
        <v>186</v>
      </c>
      <c r="BS148">
        <v>600</v>
      </c>
      <c r="BT148">
        <v>600</v>
      </c>
      <c r="BU148">
        <v>660</v>
      </c>
      <c r="BV148">
        <v>660</v>
      </c>
      <c r="BW148">
        <v>660</v>
      </c>
      <c r="BX148">
        <v>660</v>
      </c>
      <c r="BY148">
        <v>660</v>
      </c>
      <c r="BZ148">
        <v>660</v>
      </c>
    </row>
    <row r="149" spans="7:80" x14ac:dyDescent="0.2">
      <c r="H149" t="s">
        <v>163</v>
      </c>
      <c r="J149">
        <v>91.25</v>
      </c>
      <c r="K149">
        <v>18</v>
      </c>
      <c r="M149">
        <v>450</v>
      </c>
      <c r="O149">
        <v>0.3</v>
      </c>
      <c r="P149">
        <v>600</v>
      </c>
      <c r="Q149">
        <f t="shared" si="41"/>
        <v>0.75</v>
      </c>
      <c r="S149">
        <v>0</v>
      </c>
      <c r="T149">
        <v>0</v>
      </c>
      <c r="U149">
        <v>0</v>
      </c>
      <c r="V149">
        <v>0</v>
      </c>
      <c r="W149">
        <f>S149*B113+T149*B114</f>
        <v>0</v>
      </c>
      <c r="X149">
        <f t="shared" si="36"/>
        <v>1</v>
      </c>
      <c r="Y149">
        <f t="shared" si="37"/>
        <v>7.8176159999999992</v>
      </c>
      <c r="Z149">
        <f t="shared" si="42"/>
        <v>1.0711847727263619</v>
      </c>
      <c r="AC149">
        <v>0.1</v>
      </c>
      <c r="AE149">
        <v>0.6</v>
      </c>
      <c r="AF149">
        <f t="shared" si="38"/>
        <v>3.1645709568</v>
      </c>
      <c r="AG149">
        <f t="shared" si="43"/>
        <v>0.19</v>
      </c>
      <c r="AH149">
        <f t="shared" si="44"/>
        <v>0.6784</v>
      </c>
      <c r="AI149">
        <f>AI111</f>
        <v>0.54800000000000004</v>
      </c>
      <c r="AK149">
        <f>AK111</f>
        <v>0.75</v>
      </c>
      <c r="AL149">
        <f>AL111</f>
        <v>99.451999999999998</v>
      </c>
      <c r="AM149">
        <f>AM111</f>
        <v>4.7000000000000002E-3</v>
      </c>
      <c r="AN149">
        <f t="shared" si="45"/>
        <v>1.6764712113760177E-3</v>
      </c>
      <c r="AO149">
        <f t="shared" si="46"/>
        <v>1.9066266425661999E-3</v>
      </c>
      <c r="AP149">
        <f t="shared" si="47"/>
        <v>3.5830978539422177E-3</v>
      </c>
      <c r="AQ149">
        <f t="shared" si="48"/>
        <v>5.8852382251000925</v>
      </c>
      <c r="AS149">
        <f t="shared" si="49"/>
        <v>0</v>
      </c>
      <c r="AT149">
        <f t="shared" si="39"/>
        <v>3.8897983284177057E-3</v>
      </c>
      <c r="AU149">
        <f t="shared" si="50"/>
        <v>0.11947247898676014</v>
      </c>
      <c r="AV149">
        <f t="shared" si="40"/>
        <v>196.23354673575352</v>
      </c>
      <c r="AY149">
        <f>AY111</f>
        <v>6.0000000000000001E-3</v>
      </c>
      <c r="BB149">
        <f t="shared" si="51"/>
        <v>0.24</v>
      </c>
      <c r="BQ149" s="5" t="s">
        <v>160</v>
      </c>
      <c r="BR149" s="6" t="s">
        <v>189</v>
      </c>
      <c r="BS149">
        <v>600</v>
      </c>
      <c r="BT149">
        <v>600</v>
      </c>
      <c r="BU149">
        <v>660</v>
      </c>
      <c r="BV149">
        <v>660</v>
      </c>
      <c r="BW149">
        <v>660</v>
      </c>
      <c r="BX149">
        <v>660</v>
      </c>
      <c r="BY149">
        <v>660</v>
      </c>
      <c r="BZ149">
        <v>660</v>
      </c>
    </row>
    <row r="150" spans="7:80" x14ac:dyDescent="0.2">
      <c r="H150" t="s">
        <v>164</v>
      </c>
      <c r="J150">
        <v>91.25</v>
      </c>
      <c r="K150">
        <v>8</v>
      </c>
      <c r="M150">
        <v>460</v>
      </c>
      <c r="O150">
        <v>0.1</v>
      </c>
      <c r="P150">
        <v>600</v>
      </c>
      <c r="Q150">
        <f t="shared" si="41"/>
        <v>0.76666666666666672</v>
      </c>
      <c r="S150">
        <v>0</v>
      </c>
      <c r="T150">
        <v>0</v>
      </c>
      <c r="U150">
        <v>0</v>
      </c>
      <c r="V150">
        <v>0</v>
      </c>
      <c r="W150">
        <f>S150*B113+T150*B114</f>
        <v>0</v>
      </c>
      <c r="X150">
        <f t="shared" si="36"/>
        <v>1</v>
      </c>
      <c r="Y150">
        <f t="shared" si="37"/>
        <v>7.5885924675999998</v>
      </c>
      <c r="Z150">
        <f t="shared" si="42"/>
        <v>1.0232680056743308</v>
      </c>
      <c r="AC150">
        <v>0.06</v>
      </c>
      <c r="AE150">
        <v>0.5</v>
      </c>
      <c r="AF150">
        <f t="shared" si="38"/>
        <v>3.7700127379036799</v>
      </c>
      <c r="AG150">
        <f t="shared" si="43"/>
        <v>0.19</v>
      </c>
      <c r="AH150">
        <f t="shared" si="44"/>
        <v>0.6784</v>
      </c>
      <c r="AI150">
        <f>AI111</f>
        <v>0.54800000000000004</v>
      </c>
      <c r="AK150">
        <f>AK111</f>
        <v>0.75</v>
      </c>
      <c r="AL150">
        <f>AL111</f>
        <v>99.451999999999998</v>
      </c>
      <c r="AM150">
        <f>AM111</f>
        <v>4.7000000000000002E-3</v>
      </c>
      <c r="AN150">
        <f t="shared" si="45"/>
        <v>1.9972115992644627E-3</v>
      </c>
      <c r="AO150">
        <f t="shared" si="46"/>
        <v>2.2714000814093235E-3</v>
      </c>
      <c r="AP150">
        <f t="shared" si="47"/>
        <v>4.2686116806737867E-3</v>
      </c>
      <c r="AQ150">
        <f t="shared" si="48"/>
        <v>3.1160865268918645</v>
      </c>
      <c r="AS150">
        <f t="shared" si="49"/>
        <v>0</v>
      </c>
      <c r="AT150">
        <f t="shared" si="39"/>
        <v>1.2768791052116398E-3</v>
      </c>
      <c r="AU150">
        <f t="shared" si="50"/>
        <v>6.982544913625581E-2</v>
      </c>
      <c r="AV150">
        <f t="shared" si="40"/>
        <v>50.97257786946674</v>
      </c>
      <c r="AY150">
        <f>AY111</f>
        <v>6.0000000000000001E-3</v>
      </c>
      <c r="BB150">
        <f t="shared" si="51"/>
        <v>0.24</v>
      </c>
      <c r="BQ150" s="3" t="s">
        <v>162</v>
      </c>
      <c r="BR150" s="4" t="s">
        <v>189</v>
      </c>
      <c r="BS150">
        <v>600</v>
      </c>
      <c r="BT150">
        <v>600</v>
      </c>
      <c r="BU150">
        <v>660</v>
      </c>
      <c r="BV150">
        <v>660</v>
      </c>
      <c r="BW150">
        <v>660</v>
      </c>
      <c r="BX150">
        <v>660</v>
      </c>
      <c r="BY150">
        <v>660</v>
      </c>
      <c r="BZ150">
        <v>660</v>
      </c>
    </row>
    <row r="151" spans="7:80" x14ac:dyDescent="0.2">
      <c r="BQ151" s="5" t="s">
        <v>163</v>
      </c>
      <c r="BR151" s="6" t="s">
        <v>189</v>
      </c>
      <c r="BS151">
        <v>600</v>
      </c>
      <c r="BT151">
        <v>600</v>
      </c>
      <c r="BU151">
        <v>660</v>
      </c>
      <c r="BV151">
        <v>660</v>
      </c>
      <c r="BW151">
        <v>660</v>
      </c>
      <c r="BX151">
        <v>660</v>
      </c>
      <c r="BY151">
        <v>660</v>
      </c>
      <c r="BZ151">
        <v>660</v>
      </c>
    </row>
    <row r="152" spans="7:80" x14ac:dyDescent="0.2">
      <c r="BQ152" s="3" t="s">
        <v>164</v>
      </c>
      <c r="BR152" s="4" t="s">
        <v>189</v>
      </c>
      <c r="BS152">
        <v>600</v>
      </c>
      <c r="BT152">
        <v>600</v>
      </c>
      <c r="BU152">
        <v>660</v>
      </c>
      <c r="BV152">
        <v>660</v>
      </c>
      <c r="BW152">
        <v>660</v>
      </c>
      <c r="BX152">
        <v>660</v>
      </c>
      <c r="BY152">
        <v>660</v>
      </c>
      <c r="BZ152">
        <v>660</v>
      </c>
    </row>
    <row r="159" spans="7:80" x14ac:dyDescent="0.2">
      <c r="BQ159" t="s">
        <v>224</v>
      </c>
      <c r="BR159" t="s">
        <v>225</v>
      </c>
    </row>
    <row r="160" spans="7:80" x14ac:dyDescent="0.2">
      <c r="BQ160" t="s">
        <v>168</v>
      </c>
      <c r="BR160" t="s">
        <v>200</v>
      </c>
      <c r="BS160" t="s">
        <v>156</v>
      </c>
      <c r="BT160" t="s">
        <v>181</v>
      </c>
      <c r="BU160" t="s">
        <v>169</v>
      </c>
      <c r="BV160" t="s">
        <v>170</v>
      </c>
      <c r="BW160" t="s">
        <v>171</v>
      </c>
      <c r="BX160" t="s">
        <v>172</v>
      </c>
      <c r="BY160" t="s">
        <v>173</v>
      </c>
      <c r="BZ160" t="s">
        <v>201</v>
      </c>
      <c r="CA160" t="s">
        <v>202</v>
      </c>
      <c r="CB160" t="s">
        <v>203</v>
      </c>
    </row>
    <row r="161" spans="1:80" x14ac:dyDescent="0.2">
      <c r="A161" t="s">
        <v>172</v>
      </c>
      <c r="B161" t="s">
        <v>283</v>
      </c>
      <c r="C161" t="s">
        <v>172</v>
      </c>
      <c r="D161" t="s">
        <v>172</v>
      </c>
      <c r="E161" t="s">
        <v>172</v>
      </c>
      <c r="F161" t="s">
        <v>161</v>
      </c>
      <c r="G161" t="s">
        <v>159</v>
      </c>
      <c r="H161" t="s">
        <v>160</v>
      </c>
      <c r="J161">
        <v>91.25</v>
      </c>
      <c r="K161">
        <v>20</v>
      </c>
      <c r="M161" cm="1">
        <f t="array" ref="M161:M200">_xlfn.DROP(_xlfn.XLOOKUP($D161,TableW[[#Headers],[ACT]:[QLD - Moderate/Low]],TableW[[#All],[ACT]:[QLD - Moderate/Low]]),1)</f>
        <v>105</v>
      </c>
      <c r="O161" cm="1">
        <f t="array" ref="O161:O200">_xlfn.DROP(_xlfn.XLOOKUP($D161,TableLWG[[#Headers],[ACT]:[QLD - Low]],TableLWG[[#All],[ACT]:[QLD - Low]]),1)</f>
        <v>1</v>
      </c>
      <c r="P161" cm="1">
        <f t="array" ref="P161:P200">_xlfn.DROP(_xlfn.XLOOKUP($E161,TableSRW[[#Headers],[ACT]:[WA]],TableSRW[[#All],[ACT]:[WA]]),1)</f>
        <v>770</v>
      </c>
      <c r="Q161">
        <f>M161 / P161</f>
        <v>0.13636363636363635</v>
      </c>
      <c r="S161">
        <v>0</v>
      </c>
      <c r="T161">
        <v>0</v>
      </c>
      <c r="U161">
        <f>20/K161</f>
        <v>1</v>
      </c>
      <c r="V161">
        <v>0</v>
      </c>
      <c r="W161">
        <f>S161*B163+T161*B164</f>
        <v>0</v>
      </c>
      <c r="X161">
        <f t="shared" ref="X161:X200" si="52">(S161 * $BX$3 +T161* $BX$4) + (1 -S161 -T161 )</f>
        <v>1</v>
      </c>
      <c r="Y161">
        <f t="shared" ref="Y161:Y200" si="53">(1.185 + 0.00454 * M161- 0.0000026 * M161 ^2 + 0.315 * O161)^2 * X161</f>
        <v>3.7948403612249999</v>
      </c>
      <c r="Z161">
        <f>Y161 / ((1.185 + 0.00454 * M161 - 0.0000026 * M161 ^ 2) ^ 2 * X161)</f>
        <v>1.4229922189056508</v>
      </c>
      <c r="AC161" cm="1">
        <f t="array" ref="AC161:AC200">_xlfn.DROP(_xlfn.XLOOKUP($C161,TableCP[[#Headers],[ACT]:[WA - Kimberley]],TableCP[[#All],[ACT]:[WA - Kimberley]]),1)</f>
        <v>0.2</v>
      </c>
      <c r="AE161" cm="1">
        <f t="array" ref="AE161:AE200">_xlfn.DROP(_xlfn.XLOOKUP($C161,TableDMD[[#Headers],[ACT]:[WA - Kimberley]],TableDMD[[#All],[ACT]:[WA - Kimberley]]),1)</f>
        <v>0.75</v>
      </c>
      <c r="AF161">
        <f t="shared" ref="AF161:AF200" si="54">(Y161 * (1 - AE161) + (0.04 * Y161)) * ( 1 - $CJ$3 )</f>
        <v>1.0124634083748301</v>
      </c>
      <c r="AG161">
        <f>$CJ$4</f>
        <v>0.19</v>
      </c>
      <c r="AH161">
        <f>$CJ$5</f>
        <v>0.6784</v>
      </c>
      <c r="AI161">
        <f>IF(F161="yes",0,VLOOKUP(C161,$BQ$211:$BS$225,3,FALSE))</f>
        <v>0</v>
      </c>
      <c r="AK161">
        <f>VLOOKUP(C161,$BQ$211:$BU$225,4,FALSE)</f>
        <v>0.7</v>
      </c>
      <c r="AL161">
        <f>IF(F161="yes",100,VLOOKUP(C161,$BQ$211:$BS$225,2,FALSE))</f>
        <v>100</v>
      </c>
      <c r="AM161">
        <f>VLOOKUP(C161,$BQ$211:$BU$225,5,FALSE)</f>
        <v>4.7000000000000002E-3</v>
      </c>
      <c r="AN161">
        <f>AF161 * AG161 * AI161/100 * AK161 * AH161</f>
        <v>0</v>
      </c>
      <c r="AO161">
        <f>AF161 * AG161 * AL161/100 * AM161 * AH161</f>
        <v>6.1336167238364603E-4</v>
      </c>
      <c r="AP161">
        <f>AN161+AO161</f>
        <v>6.1336167238364603E-4</v>
      </c>
      <c r="AQ161">
        <f>K161*AP161*J161</f>
        <v>1.119385052100154</v>
      </c>
      <c r="AR161">
        <f>SUM(AQ161:AQ200)*10^-3</f>
        <v>0.34473168633168227</v>
      </c>
      <c r="AS161">
        <f>U161*$B$163+V161*$B$164</f>
        <v>6</v>
      </c>
      <c r="AT161">
        <f t="shared" ref="AT161:AT200" si="55" xml:space="preserve"> (0.032*W161/6.38) + (((0.212 - 0.008*(Z161-2) - (0.14 - 0.008*(Z161 - 2))/(1+EXP(-6*(Q161-0.4))))*O161*0.92)/6.25)</f>
        <v>2.8255556433105414E-2</v>
      </c>
      <c r="AU161">
        <f>MAX((Y161*AC161/6.25)+(0.032*AS161/6.38)-AT161-((1.1*(10^-4)*(M161^0.75))/6.25), 0)</f>
        <v>0.12269607491289908</v>
      </c>
      <c r="AV161">
        <f t="shared" ref="AV161:AV200" si="56">K161*AU161*J161</f>
        <v>223.92033671604085</v>
      </c>
      <c r="AW161">
        <f>SUM(AV161:AV200)</f>
        <v>41524.901163396353</v>
      </c>
      <c r="AX161" t="s">
        <v>256</v>
      </c>
      <c r="AY161">
        <f>VLOOKUP(AX161, $CK$18:$CM$27, 2, FALSE)</f>
        <v>6.0000000000000001E-3</v>
      </c>
      <c r="AZ161">
        <f>$CJ$6</f>
        <v>0.21</v>
      </c>
      <c r="BA161">
        <f>AW161*AZ161</f>
        <v>8720.2292443132337</v>
      </c>
      <c r="BB161">
        <f>$CJ$7</f>
        <v>0.24</v>
      </c>
      <c r="BC161" t="s">
        <v>190</v>
      </c>
      <c r="BD161">
        <f>IF(BC161="yes",1,0)</f>
        <v>0</v>
      </c>
      <c r="BE161">
        <f>AV161 * BD161 * BB161</f>
        <v>0</v>
      </c>
      <c r="BF161">
        <f>$CJ$8</f>
        <v>1.57</v>
      </c>
      <c r="BG161" t="s">
        <v>183</v>
      </c>
      <c r="BH161">
        <f>VLOOKUP(BG161, $BQ$274:$BR$286, 2, FALSE)</f>
        <v>1.8E-3</v>
      </c>
      <c r="BI161">
        <f>$CJ$9</f>
        <v>1.0999999999999999E-2</v>
      </c>
      <c r="BJ161" s="7">
        <f>(AW161 * AY161 * BF161) * 10^-3</f>
        <v>0.39116456895919366</v>
      </c>
      <c r="BK161" s="7">
        <f>BA161 * BH161 * BF161 * 10^-3</f>
        <v>2.46433678444292E-2</v>
      </c>
      <c r="BL161" s="7">
        <f>BE161 * BI161 * BF161 * 10^-3</f>
        <v>0</v>
      </c>
      <c r="BQ161" s="5" t="s">
        <v>160</v>
      </c>
      <c r="BR161" s="6" t="s">
        <v>159</v>
      </c>
      <c r="BS161">
        <v>0.55000000000000004</v>
      </c>
      <c r="BT161">
        <v>0.55000000000000004</v>
      </c>
      <c r="BU161">
        <v>0.55000000000000004</v>
      </c>
      <c r="BV161">
        <v>0.53</v>
      </c>
      <c r="BW161">
        <v>0.7</v>
      </c>
      <c r="BX161">
        <v>0.75</v>
      </c>
      <c r="BY161">
        <v>0.8</v>
      </c>
      <c r="BZ161">
        <v>0.8</v>
      </c>
      <c r="CA161">
        <v>0.4</v>
      </c>
      <c r="CB161">
        <v>0.4</v>
      </c>
    </row>
    <row r="162" spans="1:80" x14ac:dyDescent="0.2">
      <c r="G162">
        <v>1</v>
      </c>
      <c r="H162" t="s">
        <v>162</v>
      </c>
      <c r="J162">
        <v>91.25</v>
      </c>
      <c r="K162">
        <v>50</v>
      </c>
      <c r="M162">
        <v>480</v>
      </c>
      <c r="O162">
        <v>0.82</v>
      </c>
      <c r="P162">
        <v>770</v>
      </c>
      <c r="Q162">
        <f t="shared" ref="Q162:Q200" si="57">M162 / P162</f>
        <v>0.62337662337662336</v>
      </c>
      <c r="S162">
        <v>0</v>
      </c>
      <c r="T162">
        <v>0</v>
      </c>
      <c r="U162">
        <f>30/K162</f>
        <v>0.6</v>
      </c>
      <c r="V162">
        <f>20/K162</f>
        <v>0.4</v>
      </c>
      <c r="W162">
        <f>S162*B163+T162*B164</f>
        <v>0</v>
      </c>
      <c r="X162">
        <f t="shared" si="52"/>
        <v>1</v>
      </c>
      <c r="Y162">
        <f t="shared" si="53"/>
        <v>9.1413103715999995</v>
      </c>
      <c r="Z162">
        <f t="shared" ref="Z162:Z200" si="58">Y162 / ((1.185 + 0.00454 * M162 - 0.0000026 * M162 ^ 2) ^ 2 * X162)</f>
        <v>1.1955504930093874</v>
      </c>
      <c r="AC162">
        <v>0.1</v>
      </c>
      <c r="AE162">
        <v>0.6</v>
      </c>
      <c r="AF162">
        <f t="shared" si="54"/>
        <v>3.70040243842368</v>
      </c>
      <c r="AG162">
        <f t="shared" ref="AG162:AG200" si="59">$CJ$4</f>
        <v>0.19</v>
      </c>
      <c r="AH162">
        <f t="shared" ref="AH162:AH200" si="60">$CJ$5</f>
        <v>0.6784</v>
      </c>
      <c r="AI162">
        <f>AI161</f>
        <v>0</v>
      </c>
      <c r="AK162">
        <f>AK161</f>
        <v>0.7</v>
      </c>
      <c r="AL162">
        <f>AL161</f>
        <v>100</v>
      </c>
      <c r="AM162">
        <f>AM161</f>
        <v>4.7000000000000002E-3</v>
      </c>
      <c r="AN162">
        <f t="shared" ref="AN162:AN200" si="61">AF162 * AG162 * AI162/100 * AK162 * AH162</f>
        <v>0</v>
      </c>
      <c r="AO162">
        <f t="shared" ref="AO162:AO200" si="62">AF162 * AG162 * AL162/100 * AM162 * AH162</f>
        <v>2.241745241704376E-3</v>
      </c>
      <c r="AP162">
        <f t="shared" ref="AP162:AP200" si="63">AN162+AO162</f>
        <v>2.241745241704376E-3</v>
      </c>
      <c r="AQ162">
        <f t="shared" ref="AQ162:AQ200" si="64">K162*AP162*J162</f>
        <v>10.227962665276216</v>
      </c>
      <c r="AS162">
        <f t="shared" ref="AS162:AS200" si="65">U162*$B$163+V162*$B$164</f>
        <v>5.1999999999999993</v>
      </c>
      <c r="AT162">
        <f t="shared" si="55"/>
        <v>1.2357748510915523E-2</v>
      </c>
      <c r="AU162">
        <f t="shared" ref="AU162:AU200" si="66">MAX((Y162*AC162/6.25)+(0.032*AS162/6.38)-AT162-((1.1*(10^-4)*(M162^0.75))/6.25), 0)</f>
        <v>0.15817986182186114</v>
      </c>
      <c r="AV162">
        <f t="shared" si="56"/>
        <v>721.69561956224152</v>
      </c>
      <c r="AY162">
        <f>AY161</f>
        <v>6.0000000000000001E-3</v>
      </c>
      <c r="BB162">
        <f t="shared" ref="BB162:BB200" si="67">$CJ$7</f>
        <v>0.24</v>
      </c>
      <c r="BQ162" s="3" t="s">
        <v>162</v>
      </c>
      <c r="BR162" s="4" t="s">
        <v>159</v>
      </c>
      <c r="BS162">
        <v>0.65</v>
      </c>
      <c r="BT162">
        <v>0.65</v>
      </c>
      <c r="BU162">
        <v>0.61</v>
      </c>
      <c r="BV162">
        <v>0.56999999999999995</v>
      </c>
      <c r="BW162">
        <v>0.55000000000000004</v>
      </c>
      <c r="BX162">
        <v>0.6</v>
      </c>
      <c r="BY162">
        <v>0.55000000000000004</v>
      </c>
      <c r="BZ162">
        <v>0.57999999999999996</v>
      </c>
      <c r="CA162">
        <v>0.65</v>
      </c>
      <c r="CB162">
        <v>0.65</v>
      </c>
    </row>
    <row r="163" spans="1:80" x14ac:dyDescent="0.2">
      <c r="A163" t="s">
        <v>222</v>
      </c>
      <c r="B163">
        <f>IF(B161="Hereford or Shorthorn",$BT$3,$BT$4)</f>
        <v>6</v>
      </c>
      <c r="H163" t="s">
        <v>163</v>
      </c>
      <c r="J163">
        <v>91.25</v>
      </c>
      <c r="K163">
        <v>48</v>
      </c>
      <c r="M163">
        <v>250</v>
      </c>
      <c r="O163">
        <v>0.77</v>
      </c>
      <c r="P163">
        <v>770</v>
      </c>
      <c r="Q163">
        <f t="shared" si="57"/>
        <v>0.32467532467532467</v>
      </c>
      <c r="S163">
        <v>0</v>
      </c>
      <c r="T163">
        <v>0</v>
      </c>
      <c r="U163">
        <v>0</v>
      </c>
      <c r="V163">
        <f>30/K163</f>
        <v>0.625</v>
      </c>
      <c r="W163">
        <f>S163*B163+T163*B164</f>
        <v>0</v>
      </c>
      <c r="X163">
        <f t="shared" si="52"/>
        <v>1</v>
      </c>
      <c r="Y163">
        <f t="shared" si="53"/>
        <v>5.7602400025000016</v>
      </c>
      <c r="Z163">
        <f t="shared" si="58"/>
        <v>1.2374822265695806</v>
      </c>
      <c r="AC163">
        <v>0.16</v>
      </c>
      <c r="AE163">
        <v>0.7</v>
      </c>
      <c r="AF163">
        <f t="shared" si="54"/>
        <v>1.8018030727820007</v>
      </c>
      <c r="AG163">
        <f t="shared" si="59"/>
        <v>0.19</v>
      </c>
      <c r="AH163">
        <f t="shared" si="60"/>
        <v>0.6784</v>
      </c>
      <c r="AI163">
        <f>AI161</f>
        <v>0</v>
      </c>
      <c r="AK163">
        <f>AK161</f>
        <v>0.7</v>
      </c>
      <c r="AL163">
        <f>AL161</f>
        <v>100</v>
      </c>
      <c r="AM163">
        <f>AM161</f>
        <v>4.7000000000000002E-3</v>
      </c>
      <c r="AN163">
        <f t="shared" si="61"/>
        <v>0</v>
      </c>
      <c r="AO163">
        <f t="shared" si="62"/>
        <v>1.0915524816857514E-3</v>
      </c>
      <c r="AP163">
        <f t="shared" si="63"/>
        <v>1.0915524816857514E-3</v>
      </c>
      <c r="AQ163">
        <f t="shared" si="64"/>
        <v>4.7809998697835914</v>
      </c>
      <c r="AS163">
        <f t="shared" si="65"/>
        <v>2.5</v>
      </c>
      <c r="AT163">
        <f t="shared" si="55"/>
        <v>1.8280362087096089E-2</v>
      </c>
      <c r="AU163">
        <f t="shared" si="66"/>
        <v>0.14061442551176104</v>
      </c>
      <c r="AV163">
        <f t="shared" si="56"/>
        <v>615.89118374151326</v>
      </c>
      <c r="AY163">
        <f>AY161</f>
        <v>6.0000000000000001E-3</v>
      </c>
      <c r="BB163">
        <f t="shared" si="67"/>
        <v>0.24</v>
      </c>
      <c r="BQ163" s="5" t="s">
        <v>163</v>
      </c>
      <c r="BR163" s="6" t="s">
        <v>159</v>
      </c>
      <c r="BS163">
        <v>0.6</v>
      </c>
      <c r="BT163">
        <v>0.6</v>
      </c>
      <c r="BU163">
        <v>0.56999999999999995</v>
      </c>
      <c r="BV163">
        <v>0.55000000000000004</v>
      </c>
      <c r="BW163">
        <v>0.55000000000000004</v>
      </c>
      <c r="BX163">
        <v>0.7</v>
      </c>
      <c r="BY163">
        <v>0.6</v>
      </c>
      <c r="BZ163">
        <v>0.5</v>
      </c>
      <c r="CA163">
        <v>0.55000000000000004</v>
      </c>
      <c r="CB163">
        <v>0.55000000000000004</v>
      </c>
    </row>
    <row r="164" spans="1:80" x14ac:dyDescent="0.2">
      <c r="A164" t="s">
        <v>223</v>
      </c>
      <c r="B164">
        <f>IF(B161="Hereford or Shorthorn",$BU$3,$BU$4)</f>
        <v>4</v>
      </c>
      <c r="H164" t="s">
        <v>164</v>
      </c>
      <c r="J164">
        <v>91.25</v>
      </c>
      <c r="K164">
        <v>25</v>
      </c>
      <c r="M164">
        <v>260</v>
      </c>
      <c r="O164">
        <v>0.11</v>
      </c>
      <c r="P164">
        <v>770</v>
      </c>
      <c r="Q164">
        <f t="shared" si="57"/>
        <v>0.33766233766233766</v>
      </c>
      <c r="S164">
        <v>0</v>
      </c>
      <c r="T164">
        <v>0</v>
      </c>
      <c r="U164">
        <v>0</v>
      </c>
      <c r="V164">
        <v>0</v>
      </c>
      <c r="W164">
        <f>S164*B163+T164*B164</f>
        <v>0</v>
      </c>
      <c r="X164">
        <f t="shared" si="52"/>
        <v>1</v>
      </c>
      <c r="Y164">
        <f t="shared" si="53"/>
        <v>4.9474660041000016</v>
      </c>
      <c r="Z164">
        <f t="shared" si="58"/>
        <v>1.0318994536027755</v>
      </c>
      <c r="AC164">
        <v>0.2</v>
      </c>
      <c r="AE164">
        <v>0.75</v>
      </c>
      <c r="AF164">
        <f t="shared" si="54"/>
        <v>1.3199839298938805</v>
      </c>
      <c r="AG164">
        <f t="shared" si="59"/>
        <v>0.19</v>
      </c>
      <c r="AH164">
        <f t="shared" si="60"/>
        <v>0.6784</v>
      </c>
      <c r="AI164">
        <f>AI161</f>
        <v>0</v>
      </c>
      <c r="AK164">
        <f>AK161</f>
        <v>0.7</v>
      </c>
      <c r="AL164">
        <f>AL161</f>
        <v>100</v>
      </c>
      <c r="AM164">
        <f>AM161</f>
        <v>4.7000000000000002E-3</v>
      </c>
      <c r="AN164">
        <f t="shared" si="61"/>
        <v>0</v>
      </c>
      <c r="AO164">
        <f t="shared" si="62"/>
        <v>7.9966104854972773E-4</v>
      </c>
      <c r="AP164">
        <f t="shared" si="63"/>
        <v>7.9966104854972773E-4</v>
      </c>
      <c r="AQ164">
        <f t="shared" si="64"/>
        <v>1.8242267670040664</v>
      </c>
      <c r="AS164">
        <f t="shared" si="65"/>
        <v>0</v>
      </c>
      <c r="AT164">
        <f t="shared" si="55"/>
        <v>2.5830881705756065E-3</v>
      </c>
      <c r="AU164">
        <f t="shared" si="66"/>
        <v>0.15459624957548818</v>
      </c>
      <c r="AV164">
        <f t="shared" si="56"/>
        <v>352.6726943440824</v>
      </c>
      <c r="AY164">
        <f>AY161</f>
        <v>6.0000000000000001E-3</v>
      </c>
      <c r="BB164">
        <f t="shared" si="67"/>
        <v>0.24</v>
      </c>
      <c r="BQ164" s="3" t="s">
        <v>164</v>
      </c>
      <c r="BR164" s="4" t="s">
        <v>159</v>
      </c>
      <c r="BS164">
        <v>0.5</v>
      </c>
      <c r="BT164">
        <v>0.5</v>
      </c>
      <c r="BU164">
        <v>0.54</v>
      </c>
      <c r="BV164">
        <v>0.51</v>
      </c>
      <c r="BW164">
        <v>0.75</v>
      </c>
      <c r="BX164">
        <v>0.75</v>
      </c>
      <c r="BY164">
        <v>0.76</v>
      </c>
      <c r="BZ164">
        <v>0.75</v>
      </c>
      <c r="CA164">
        <v>0.45</v>
      </c>
      <c r="CB164">
        <v>0.45</v>
      </c>
    </row>
    <row r="165" spans="1:80" x14ac:dyDescent="0.2">
      <c r="G165" t="s">
        <v>165</v>
      </c>
      <c r="H165" t="s">
        <v>160</v>
      </c>
      <c r="J165">
        <v>91.25</v>
      </c>
      <c r="K165">
        <v>20</v>
      </c>
      <c r="M165">
        <v>700</v>
      </c>
      <c r="O165">
        <v>0.5</v>
      </c>
      <c r="P165">
        <v>770</v>
      </c>
      <c r="Q165">
        <f t="shared" si="57"/>
        <v>0.90909090909090906</v>
      </c>
      <c r="S165">
        <v>0</v>
      </c>
      <c r="T165">
        <v>0</v>
      </c>
      <c r="U165">
        <v>0</v>
      </c>
      <c r="V165">
        <v>0</v>
      </c>
      <c r="W165">
        <f>S165*B163+T165*B164</f>
        <v>0</v>
      </c>
      <c r="X165">
        <f t="shared" si="52"/>
        <v>1</v>
      </c>
      <c r="Y165">
        <f t="shared" si="53"/>
        <v>10.539762249999999</v>
      </c>
      <c r="Z165">
        <f t="shared" si="58"/>
        <v>1.1045744614737434</v>
      </c>
      <c r="AC165">
        <v>0.2</v>
      </c>
      <c r="AE165">
        <v>0.75</v>
      </c>
      <c r="AF165">
        <f t="shared" si="54"/>
        <v>2.8120085682999996</v>
      </c>
      <c r="AG165">
        <f t="shared" si="59"/>
        <v>0.19</v>
      </c>
      <c r="AH165">
        <f t="shared" si="60"/>
        <v>0.6784</v>
      </c>
      <c r="AI165">
        <f>AI161</f>
        <v>0</v>
      </c>
      <c r="AK165">
        <f>AK161</f>
        <v>0.7</v>
      </c>
      <c r="AL165">
        <f>AL161</f>
        <v>100</v>
      </c>
      <c r="AM165">
        <f>AM161</f>
        <v>4.7000000000000002E-3</v>
      </c>
      <c r="AN165">
        <f t="shared" si="61"/>
        <v>0</v>
      </c>
      <c r="AO165">
        <f t="shared" si="62"/>
        <v>1.7035462851721049E-3</v>
      </c>
      <c r="AP165">
        <f t="shared" si="63"/>
        <v>1.7035462851721049E-3</v>
      </c>
      <c r="AQ165">
        <f t="shared" si="64"/>
        <v>3.1089719704390912</v>
      </c>
      <c r="AS165">
        <f t="shared" si="65"/>
        <v>0</v>
      </c>
      <c r="AT165">
        <f t="shared" si="55"/>
        <v>5.7868395655454952E-3</v>
      </c>
      <c r="AU165">
        <f t="shared" si="66"/>
        <v>0.32909038323733969</v>
      </c>
      <c r="AV165">
        <f t="shared" si="56"/>
        <v>600.589949408145</v>
      </c>
      <c r="AY165">
        <f>AY161</f>
        <v>6.0000000000000001E-3</v>
      </c>
      <c r="BB165">
        <f t="shared" si="67"/>
        <v>0.24</v>
      </c>
      <c r="BQ165" s="5" t="s">
        <v>160</v>
      </c>
      <c r="BR165" s="6" t="s">
        <v>165</v>
      </c>
      <c r="BS165">
        <v>0.55000000000000004</v>
      </c>
      <c r="BT165">
        <v>0.55000000000000004</v>
      </c>
      <c r="BU165">
        <v>0.55000000000000004</v>
      </c>
      <c r="BV165">
        <v>0.53</v>
      </c>
      <c r="BW165">
        <v>0.7</v>
      </c>
      <c r="BX165">
        <v>0.75</v>
      </c>
      <c r="BY165">
        <v>0.8</v>
      </c>
      <c r="BZ165">
        <v>0.8</v>
      </c>
      <c r="CA165">
        <v>0.4</v>
      </c>
      <c r="CB165">
        <v>0.4</v>
      </c>
    </row>
    <row r="166" spans="1:80" x14ac:dyDescent="0.2">
      <c r="A166" t="s">
        <v>167</v>
      </c>
      <c r="G166">
        <v>2</v>
      </c>
      <c r="H166" t="s">
        <v>162</v>
      </c>
      <c r="J166">
        <v>91.25</v>
      </c>
      <c r="K166">
        <v>45</v>
      </c>
      <c r="M166">
        <v>750</v>
      </c>
      <c r="O166">
        <v>0.55000000000000004</v>
      </c>
      <c r="P166">
        <v>770</v>
      </c>
      <c r="Q166">
        <f t="shared" si="57"/>
        <v>0.97402597402597402</v>
      </c>
      <c r="S166">
        <v>0</v>
      </c>
      <c r="T166">
        <v>0</v>
      </c>
      <c r="U166">
        <v>0</v>
      </c>
      <c r="V166">
        <v>0</v>
      </c>
      <c r="W166">
        <f>S166*B163+T166*B164</f>
        <v>0</v>
      </c>
      <c r="X166">
        <f t="shared" si="52"/>
        <v>1</v>
      </c>
      <c r="Y166">
        <f t="shared" si="53"/>
        <v>10.894950562499996</v>
      </c>
      <c r="Z166">
        <f t="shared" si="58"/>
        <v>1.1138600486517261</v>
      </c>
      <c r="AC166">
        <v>0.1</v>
      </c>
      <c r="AE166">
        <v>0.6</v>
      </c>
      <c r="AF166">
        <f t="shared" si="54"/>
        <v>4.4102759876999995</v>
      </c>
      <c r="AG166">
        <f t="shared" si="59"/>
        <v>0.19</v>
      </c>
      <c r="AH166">
        <f t="shared" si="60"/>
        <v>0.6784</v>
      </c>
      <c r="AI166">
        <f>AI161</f>
        <v>0</v>
      </c>
      <c r="AK166">
        <f>AK161</f>
        <v>0.7</v>
      </c>
      <c r="AL166">
        <f>AL161</f>
        <v>100</v>
      </c>
      <c r="AM166">
        <f>AM161</f>
        <v>4.7000000000000002E-3</v>
      </c>
      <c r="AN166">
        <f t="shared" si="61"/>
        <v>0</v>
      </c>
      <c r="AO166">
        <f t="shared" si="62"/>
        <v>2.6717945884397222E-3</v>
      </c>
      <c r="AP166">
        <f t="shared" si="63"/>
        <v>2.6717945884397222E-3</v>
      </c>
      <c r="AQ166">
        <f t="shared" si="64"/>
        <v>10.971056528780609</v>
      </c>
      <c r="AS166">
        <f t="shared" si="65"/>
        <v>0</v>
      </c>
      <c r="AT166">
        <f t="shared" si="55"/>
        <v>6.1976070364613469E-3</v>
      </c>
      <c r="AU166">
        <f t="shared" si="66"/>
        <v>0.16559923299211907</v>
      </c>
      <c r="AV166">
        <f t="shared" si="56"/>
        <v>679.99185047388892</v>
      </c>
      <c r="AY166">
        <f>AY161</f>
        <v>6.0000000000000001E-3</v>
      </c>
      <c r="BB166">
        <f t="shared" si="67"/>
        <v>0.24</v>
      </c>
      <c r="BQ166" s="3" t="s">
        <v>162</v>
      </c>
      <c r="BR166" s="4" t="s">
        <v>165</v>
      </c>
      <c r="BS166">
        <v>0.65</v>
      </c>
      <c r="BT166">
        <v>0.65</v>
      </c>
      <c r="BU166">
        <v>0.61</v>
      </c>
      <c r="BV166">
        <v>0.56999999999999995</v>
      </c>
      <c r="BW166">
        <v>0.55000000000000004</v>
      </c>
      <c r="BX166">
        <v>0.6</v>
      </c>
      <c r="BY166">
        <v>0.55000000000000004</v>
      </c>
      <c r="BZ166">
        <v>0.57999999999999996</v>
      </c>
      <c r="CA166">
        <v>0.65</v>
      </c>
      <c r="CB166">
        <v>0.65</v>
      </c>
    </row>
    <row r="167" spans="1:80" x14ac:dyDescent="0.2">
      <c r="A167" t="s">
        <v>160</v>
      </c>
      <c r="B167">
        <f>IF(B161="Hereford or Shorthorn", 1.3, 0)</f>
        <v>1.3</v>
      </c>
      <c r="H167" t="s">
        <v>163</v>
      </c>
      <c r="J167">
        <v>91.25</v>
      </c>
      <c r="K167">
        <v>30</v>
      </c>
      <c r="M167">
        <v>725</v>
      </c>
      <c r="O167">
        <v>0.5</v>
      </c>
      <c r="P167">
        <v>770</v>
      </c>
      <c r="Q167">
        <f t="shared" si="57"/>
        <v>0.94155844155844159</v>
      </c>
      <c r="S167">
        <v>0</v>
      </c>
      <c r="T167">
        <v>0</v>
      </c>
      <c r="U167">
        <v>0</v>
      </c>
      <c r="V167">
        <v>0</v>
      </c>
      <c r="W167">
        <f>S167*B163+T167*B164</f>
        <v>0</v>
      </c>
      <c r="X167">
        <f t="shared" si="52"/>
        <v>1</v>
      </c>
      <c r="Y167">
        <f t="shared" si="53"/>
        <v>10.675739390624999</v>
      </c>
      <c r="Z167">
        <f t="shared" si="58"/>
        <v>1.1038551732068973</v>
      </c>
      <c r="AC167">
        <v>0.16</v>
      </c>
      <c r="AE167">
        <v>0.7</v>
      </c>
      <c r="AF167">
        <f t="shared" si="54"/>
        <v>3.3393712813875007</v>
      </c>
      <c r="AG167">
        <f t="shared" si="59"/>
        <v>0.19</v>
      </c>
      <c r="AH167">
        <f t="shared" si="60"/>
        <v>0.6784</v>
      </c>
      <c r="AI167">
        <f>AI161</f>
        <v>0</v>
      </c>
      <c r="AK167">
        <f>AK161</f>
        <v>0.7</v>
      </c>
      <c r="AL167">
        <f>AL161</f>
        <v>100</v>
      </c>
      <c r="AM167">
        <f>AM161</f>
        <v>4.7000000000000002E-3</v>
      </c>
      <c r="AN167">
        <f t="shared" si="61"/>
        <v>0</v>
      </c>
      <c r="AO167">
        <f t="shared" si="62"/>
        <v>2.0230285232228995E-3</v>
      </c>
      <c r="AP167">
        <f t="shared" si="63"/>
        <v>2.0230285232228995E-3</v>
      </c>
      <c r="AQ167">
        <f t="shared" si="64"/>
        <v>5.5380405823226875</v>
      </c>
      <c r="AS167">
        <f t="shared" si="65"/>
        <v>0</v>
      </c>
      <c r="AT167">
        <f t="shared" si="55"/>
        <v>5.7037645983231211E-3</v>
      </c>
      <c r="AU167">
        <f t="shared" si="66"/>
        <v>0.26513612052051339</v>
      </c>
      <c r="AV167">
        <f t="shared" si="56"/>
        <v>725.81012992490537</v>
      </c>
      <c r="AY167">
        <f>AY161</f>
        <v>6.0000000000000001E-3</v>
      </c>
      <c r="BB167">
        <f t="shared" si="67"/>
        <v>0.24</v>
      </c>
      <c r="BQ167" s="5" t="s">
        <v>163</v>
      </c>
      <c r="BR167" s="6" t="s">
        <v>165</v>
      </c>
      <c r="BS167">
        <v>0.6</v>
      </c>
      <c r="BT167">
        <v>0.6</v>
      </c>
      <c r="BU167">
        <v>0.56999999999999995</v>
      </c>
      <c r="BV167">
        <v>0.55000000000000004</v>
      </c>
      <c r="BW167">
        <v>0.55000000000000004</v>
      </c>
      <c r="BX167">
        <v>0.7</v>
      </c>
      <c r="BY167">
        <v>0.6</v>
      </c>
      <c r="BZ167">
        <v>0.5</v>
      </c>
      <c r="CA167">
        <v>0.55000000000000004</v>
      </c>
      <c r="CB167">
        <v>0.55000000000000004</v>
      </c>
    </row>
    <row r="168" spans="1:80" x14ac:dyDescent="0.2">
      <c r="A168" t="s">
        <v>162</v>
      </c>
      <c r="B168">
        <f>IF(B161="Hereford or Shorthorn", 1.1, 1.3)</f>
        <v>1.1000000000000001</v>
      </c>
      <c r="H168" t="s">
        <v>164</v>
      </c>
      <c r="J168">
        <v>91.25</v>
      </c>
      <c r="K168">
        <v>5</v>
      </c>
      <c r="M168">
        <v>700</v>
      </c>
      <c r="O168">
        <v>-0.27</v>
      </c>
      <c r="P168">
        <v>770</v>
      </c>
      <c r="Q168">
        <f t="shared" si="57"/>
        <v>0.90909090909090906</v>
      </c>
      <c r="S168">
        <v>0</v>
      </c>
      <c r="T168">
        <v>0</v>
      </c>
      <c r="U168">
        <v>0</v>
      </c>
      <c r="V168">
        <v>0</v>
      </c>
      <c r="W168">
        <f>S168*B163+T168*B164</f>
        <v>0</v>
      </c>
      <c r="X168">
        <f t="shared" si="52"/>
        <v>1</v>
      </c>
      <c r="Y168">
        <f t="shared" si="53"/>
        <v>9.0237156024999976</v>
      </c>
      <c r="Z168">
        <f t="shared" si="58"/>
        <v>0.94569171160608023</v>
      </c>
      <c r="AC168">
        <v>0.2</v>
      </c>
      <c r="AE168">
        <v>0.75</v>
      </c>
      <c r="AF168">
        <f t="shared" si="54"/>
        <v>2.4075273227469993</v>
      </c>
      <c r="AG168">
        <f t="shared" si="59"/>
        <v>0.19</v>
      </c>
      <c r="AH168">
        <f t="shared" si="60"/>
        <v>0.6784</v>
      </c>
      <c r="AI168">
        <f>AI161</f>
        <v>0</v>
      </c>
      <c r="AK168">
        <f>AK161</f>
        <v>0.7</v>
      </c>
      <c r="AL168">
        <f>AL161</f>
        <v>100</v>
      </c>
      <c r="AM168">
        <f>AM161</f>
        <v>4.7000000000000002E-3</v>
      </c>
      <c r="AN168">
        <f t="shared" si="61"/>
        <v>0</v>
      </c>
      <c r="AO168">
        <f t="shared" si="62"/>
        <v>1.4585070164261468E-3</v>
      </c>
      <c r="AP168">
        <f t="shared" si="63"/>
        <v>1.4585070164261468E-3</v>
      </c>
      <c r="AQ168">
        <f t="shared" si="64"/>
        <v>0.66544382624442944</v>
      </c>
      <c r="AS168">
        <f t="shared" si="65"/>
        <v>0</v>
      </c>
      <c r="AT168">
        <f t="shared" si="55"/>
        <v>-3.1271677274676917E-3</v>
      </c>
      <c r="AU168">
        <f t="shared" si="66"/>
        <v>0.28949089781035281</v>
      </c>
      <c r="AV168">
        <f t="shared" si="56"/>
        <v>132.08022212597348</v>
      </c>
      <c r="AY168">
        <f>AY161</f>
        <v>6.0000000000000001E-3</v>
      </c>
      <c r="BB168">
        <f t="shared" si="67"/>
        <v>0.24</v>
      </c>
      <c r="BQ168" s="3" t="s">
        <v>164</v>
      </c>
      <c r="BR168" s="4" t="s">
        <v>165</v>
      </c>
      <c r="BS168">
        <v>0.5</v>
      </c>
      <c r="BT168">
        <v>0.5</v>
      </c>
      <c r="BU168">
        <v>0.54</v>
      </c>
      <c r="BV168">
        <v>0.51</v>
      </c>
      <c r="BW168">
        <v>0.75</v>
      </c>
      <c r="BX168">
        <v>0.75</v>
      </c>
      <c r="BY168">
        <v>0.76</v>
      </c>
      <c r="BZ168">
        <v>0.75</v>
      </c>
      <c r="CA168">
        <v>0.45</v>
      </c>
      <c r="CB168">
        <v>0.45</v>
      </c>
    </row>
    <row r="169" spans="1:80" x14ac:dyDescent="0.2">
      <c r="A169" t="s">
        <v>163</v>
      </c>
      <c r="B169">
        <f>IF(B161="Hereford or Shorthorn", 0, 1.1)</f>
        <v>0</v>
      </c>
      <c r="G169" t="s">
        <v>177</v>
      </c>
      <c r="H169" t="s">
        <v>160</v>
      </c>
      <c r="J169">
        <v>91.25</v>
      </c>
      <c r="K169">
        <v>100</v>
      </c>
      <c r="M169">
        <v>300</v>
      </c>
      <c r="O169">
        <v>1</v>
      </c>
      <c r="P169">
        <v>550</v>
      </c>
      <c r="Q169">
        <f t="shared" si="57"/>
        <v>0.54545454545454541</v>
      </c>
      <c r="S169">
        <v>0</v>
      </c>
      <c r="T169">
        <v>0</v>
      </c>
      <c r="U169">
        <v>0</v>
      </c>
      <c r="V169">
        <v>0</v>
      </c>
      <c r="W169">
        <f>S169*B163+T169*B164</f>
        <v>0</v>
      </c>
      <c r="X169">
        <f t="shared" si="52"/>
        <v>1</v>
      </c>
      <c r="Y169">
        <f t="shared" si="53"/>
        <v>6.9063839999999983</v>
      </c>
      <c r="Z169">
        <f t="shared" si="58"/>
        <v>1.2909203772956441</v>
      </c>
      <c r="AC169">
        <v>0.2</v>
      </c>
      <c r="AE169">
        <v>0.75</v>
      </c>
      <c r="AF169">
        <f t="shared" si="54"/>
        <v>1.8426232511999994</v>
      </c>
      <c r="AG169">
        <f t="shared" si="59"/>
        <v>0.19</v>
      </c>
      <c r="AH169">
        <f t="shared" si="60"/>
        <v>0.6784</v>
      </c>
      <c r="AI169">
        <f>AI161</f>
        <v>0</v>
      </c>
      <c r="AK169">
        <f>AK161</f>
        <v>0.7</v>
      </c>
      <c r="AL169">
        <f>AL161</f>
        <v>100</v>
      </c>
      <c r="AM169">
        <f>AM161</f>
        <v>4.7000000000000002E-3</v>
      </c>
      <c r="AN169">
        <f t="shared" si="61"/>
        <v>0</v>
      </c>
      <c r="AO169">
        <f t="shared" si="62"/>
        <v>1.1162818029573731E-3</v>
      </c>
      <c r="AP169">
        <f t="shared" si="63"/>
        <v>1.1162818029573731E-3</v>
      </c>
      <c r="AQ169">
        <f t="shared" si="64"/>
        <v>10.186071451986031</v>
      </c>
      <c r="AS169">
        <f t="shared" si="65"/>
        <v>0</v>
      </c>
      <c r="AT169">
        <f t="shared" si="55"/>
        <v>1.6917379720272494E-2</v>
      </c>
      <c r="AU169">
        <f t="shared" si="66"/>
        <v>0.20281822385306433</v>
      </c>
      <c r="AV169">
        <f t="shared" si="56"/>
        <v>1850.7162926592121</v>
      </c>
      <c r="AY169">
        <f>AY161</f>
        <v>6.0000000000000001E-3</v>
      </c>
      <c r="BB169">
        <f t="shared" si="67"/>
        <v>0.24</v>
      </c>
      <c r="BQ169" s="5" t="s">
        <v>160</v>
      </c>
      <c r="BR169" s="6" t="s">
        <v>177</v>
      </c>
      <c r="BS169">
        <v>0.55000000000000004</v>
      </c>
      <c r="BT169">
        <v>0.55000000000000004</v>
      </c>
      <c r="BU169">
        <v>0.55000000000000004</v>
      </c>
      <c r="BV169">
        <v>0.53</v>
      </c>
      <c r="BW169">
        <v>0.7</v>
      </c>
      <c r="BX169">
        <v>0.75</v>
      </c>
      <c r="BY169">
        <v>0.8</v>
      </c>
      <c r="BZ169">
        <v>0.8</v>
      </c>
      <c r="CA169">
        <v>0.4</v>
      </c>
      <c r="CB169">
        <v>0.4</v>
      </c>
    </row>
    <row r="170" spans="1:80" x14ac:dyDescent="0.2">
      <c r="A170" t="s">
        <v>164</v>
      </c>
      <c r="B170">
        <v>0</v>
      </c>
      <c r="G170">
        <v>4</v>
      </c>
      <c r="H170" t="s">
        <v>162</v>
      </c>
      <c r="J170">
        <v>91.25</v>
      </c>
      <c r="K170">
        <v>140</v>
      </c>
      <c r="M170">
        <v>350</v>
      </c>
      <c r="O170">
        <v>0.55000000000000004</v>
      </c>
      <c r="P170">
        <v>550</v>
      </c>
      <c r="Q170">
        <f t="shared" si="57"/>
        <v>0.63636363636363635</v>
      </c>
      <c r="S170">
        <v>0</v>
      </c>
      <c r="T170">
        <v>0</v>
      </c>
      <c r="U170">
        <v>0</v>
      </c>
      <c r="V170">
        <v>0</v>
      </c>
      <c r="W170">
        <f>S170*B163+T170*B164</f>
        <v>0</v>
      </c>
      <c r="X170">
        <f t="shared" si="52"/>
        <v>1</v>
      </c>
      <c r="Y170">
        <f t="shared" si="53"/>
        <v>6.9103265624999981</v>
      </c>
      <c r="Z170">
        <f t="shared" si="58"/>
        <v>1.1460899241688369</v>
      </c>
      <c r="AC170">
        <v>0.1</v>
      </c>
      <c r="AE170">
        <v>0.6</v>
      </c>
      <c r="AF170">
        <f t="shared" si="54"/>
        <v>2.7973001924999998</v>
      </c>
      <c r="AG170">
        <f t="shared" si="59"/>
        <v>0.19</v>
      </c>
      <c r="AH170">
        <f t="shared" si="60"/>
        <v>0.6784</v>
      </c>
      <c r="AI170">
        <f>AI161</f>
        <v>0</v>
      </c>
      <c r="AK170">
        <f>AK161</f>
        <v>0.7</v>
      </c>
      <c r="AL170">
        <f>AL161</f>
        <v>100</v>
      </c>
      <c r="AM170">
        <f>AM161</f>
        <v>4.7000000000000002E-3</v>
      </c>
      <c r="AN170">
        <f t="shared" si="61"/>
        <v>0</v>
      </c>
      <c r="AO170">
        <f t="shared" si="62"/>
        <v>1.6946357863786559E-3</v>
      </c>
      <c r="AP170">
        <f t="shared" si="63"/>
        <v>1.6946357863786559E-3</v>
      </c>
      <c r="AQ170">
        <f t="shared" si="64"/>
        <v>21.648972170987328</v>
      </c>
      <c r="AS170">
        <f t="shared" si="65"/>
        <v>0</v>
      </c>
      <c r="AT170">
        <f t="shared" si="55"/>
        <v>8.1465420877267439E-3</v>
      </c>
      <c r="AU170">
        <f t="shared" si="66"/>
        <v>0.10099450678685108</v>
      </c>
      <c r="AV170">
        <f t="shared" si="56"/>
        <v>1290.2048242020226</v>
      </c>
      <c r="AY170">
        <f>AY161</f>
        <v>6.0000000000000001E-3</v>
      </c>
      <c r="BB170">
        <f t="shared" si="67"/>
        <v>0.24</v>
      </c>
      <c r="BQ170" s="3" t="s">
        <v>162</v>
      </c>
      <c r="BR170" s="4" t="s">
        <v>177</v>
      </c>
      <c r="BS170">
        <v>0.65</v>
      </c>
      <c r="BT170">
        <v>0.65</v>
      </c>
      <c r="BU170">
        <v>0.61</v>
      </c>
      <c r="BV170">
        <v>0.56999999999999995</v>
      </c>
      <c r="BW170">
        <v>0.55000000000000004</v>
      </c>
      <c r="BX170">
        <v>0.6</v>
      </c>
      <c r="BY170">
        <v>0.55000000000000004</v>
      </c>
      <c r="BZ170">
        <v>0.57999999999999996</v>
      </c>
      <c r="CA170">
        <v>0.65</v>
      </c>
      <c r="CB170">
        <v>0.65</v>
      </c>
    </row>
    <row r="171" spans="1:80" x14ac:dyDescent="0.2">
      <c r="H171" t="s">
        <v>163</v>
      </c>
      <c r="J171">
        <v>91.25</v>
      </c>
      <c r="K171">
        <v>130</v>
      </c>
      <c r="M171">
        <v>360</v>
      </c>
      <c r="O171">
        <v>0.11</v>
      </c>
      <c r="P171">
        <v>550</v>
      </c>
      <c r="Q171">
        <f t="shared" si="57"/>
        <v>0.65454545454545454</v>
      </c>
      <c r="S171">
        <v>0</v>
      </c>
      <c r="T171">
        <v>0</v>
      </c>
      <c r="U171">
        <v>0</v>
      </c>
      <c r="V171">
        <v>0</v>
      </c>
      <c r="W171">
        <f>S171*B163+T171*B164</f>
        <v>0</v>
      </c>
      <c r="X171">
        <f t="shared" si="52"/>
        <v>1</v>
      </c>
      <c r="Y171">
        <f t="shared" si="53"/>
        <v>6.3357420681000001</v>
      </c>
      <c r="Z171">
        <f t="shared" si="58"/>
        <v>1.0281109094803582</v>
      </c>
      <c r="AC171">
        <v>0.16</v>
      </c>
      <c r="AE171">
        <v>0.7</v>
      </c>
      <c r="AF171">
        <f t="shared" si="54"/>
        <v>1.9818201189016804</v>
      </c>
      <c r="AG171">
        <f t="shared" si="59"/>
        <v>0.19</v>
      </c>
      <c r="AH171">
        <f t="shared" si="60"/>
        <v>0.6784</v>
      </c>
      <c r="AI171">
        <f>AI161</f>
        <v>0</v>
      </c>
      <c r="AK171">
        <f>AK161</f>
        <v>0.7</v>
      </c>
      <c r="AL171">
        <f>AL161</f>
        <v>100</v>
      </c>
      <c r="AM171">
        <f>AM161</f>
        <v>4.7000000000000002E-3</v>
      </c>
      <c r="AN171">
        <f t="shared" si="61"/>
        <v>0</v>
      </c>
      <c r="AO171">
        <f t="shared" si="62"/>
        <v>1.2006088244159699E-3</v>
      </c>
      <c r="AP171">
        <f t="shared" si="63"/>
        <v>1.2006088244159699E-3</v>
      </c>
      <c r="AQ171">
        <f t="shared" si="64"/>
        <v>14.242222179634442</v>
      </c>
      <c r="AS171">
        <f t="shared" si="65"/>
        <v>0</v>
      </c>
      <c r="AT171">
        <f t="shared" si="55"/>
        <v>1.5926784083957694E-3</v>
      </c>
      <c r="AU171">
        <f t="shared" si="66"/>
        <v>0.15914773206571955</v>
      </c>
      <c r="AV171">
        <f t="shared" si="56"/>
        <v>1887.8899716295982</v>
      </c>
      <c r="AY171">
        <f>AY161</f>
        <v>6.0000000000000001E-3</v>
      </c>
      <c r="BB171">
        <f t="shared" si="67"/>
        <v>0.24</v>
      </c>
      <c r="BQ171" s="5" t="s">
        <v>163</v>
      </c>
      <c r="BR171" s="6" t="s">
        <v>177</v>
      </c>
      <c r="BS171">
        <v>0.6</v>
      </c>
      <c r="BT171">
        <v>0.6</v>
      </c>
      <c r="BU171">
        <v>0.56999999999999995</v>
      </c>
      <c r="BV171">
        <v>0.55000000000000004</v>
      </c>
      <c r="BW171">
        <v>0.55000000000000004</v>
      </c>
      <c r="BX171">
        <v>0.7</v>
      </c>
      <c r="BY171">
        <v>0.6</v>
      </c>
      <c r="BZ171">
        <v>0.5</v>
      </c>
      <c r="CA171">
        <v>0.55000000000000004</v>
      </c>
      <c r="CB171">
        <v>0.55000000000000004</v>
      </c>
    </row>
    <row r="172" spans="1:80" x14ac:dyDescent="0.2">
      <c r="H172" t="s">
        <v>164</v>
      </c>
      <c r="J172">
        <v>91.25</v>
      </c>
      <c r="K172">
        <v>105</v>
      </c>
      <c r="M172">
        <v>380</v>
      </c>
      <c r="O172">
        <v>0.22</v>
      </c>
      <c r="P172">
        <v>550</v>
      </c>
      <c r="Q172">
        <f t="shared" si="57"/>
        <v>0.69090909090909092</v>
      </c>
      <c r="S172">
        <v>0</v>
      </c>
      <c r="T172">
        <v>0</v>
      </c>
      <c r="U172">
        <v>0</v>
      </c>
      <c r="V172">
        <v>0</v>
      </c>
      <c r="W172">
        <f>S172*B163+T172*B164</f>
        <v>0</v>
      </c>
      <c r="X172">
        <f t="shared" si="52"/>
        <v>1</v>
      </c>
      <c r="Y172">
        <f t="shared" si="53"/>
        <v>6.7811284835999981</v>
      </c>
      <c r="Z172">
        <f t="shared" si="58"/>
        <v>1.0554272012925048</v>
      </c>
      <c r="AC172">
        <v>0.2</v>
      </c>
      <c r="AE172">
        <v>0.75</v>
      </c>
      <c r="AF172">
        <f t="shared" si="54"/>
        <v>1.8092050794244796</v>
      </c>
      <c r="AG172">
        <f t="shared" si="59"/>
        <v>0.19</v>
      </c>
      <c r="AH172">
        <f t="shared" si="60"/>
        <v>0.6784</v>
      </c>
      <c r="AI172">
        <f>AI161</f>
        <v>0</v>
      </c>
      <c r="AK172">
        <f>AK161</f>
        <v>0.7</v>
      </c>
      <c r="AL172">
        <f>AL161</f>
        <v>100</v>
      </c>
      <c r="AM172">
        <f>AM161</f>
        <v>4.7000000000000002E-3</v>
      </c>
      <c r="AN172">
        <f t="shared" si="61"/>
        <v>0</v>
      </c>
      <c r="AO172">
        <f t="shared" si="62"/>
        <v>1.0960367002122392E-3</v>
      </c>
      <c r="AP172">
        <f t="shared" si="63"/>
        <v>1.0960367002122392E-3</v>
      </c>
      <c r="AQ172">
        <f t="shared" si="64"/>
        <v>10.501401633908516</v>
      </c>
      <c r="AS172">
        <f t="shared" si="65"/>
        <v>0</v>
      </c>
      <c r="AT172">
        <f t="shared" si="55"/>
        <v>3.0418313976484424E-3</v>
      </c>
      <c r="AU172">
        <f t="shared" si="66"/>
        <v>0.21243949727716444</v>
      </c>
      <c r="AV172">
        <f t="shared" si="56"/>
        <v>2035.4359332868316</v>
      </c>
      <c r="AY172">
        <f>AY161</f>
        <v>6.0000000000000001E-3</v>
      </c>
      <c r="BB172">
        <f t="shared" si="67"/>
        <v>0.24</v>
      </c>
      <c r="BQ172" s="3" t="s">
        <v>164</v>
      </c>
      <c r="BR172" s="4" t="s">
        <v>177</v>
      </c>
      <c r="BS172">
        <v>0.5</v>
      </c>
      <c r="BT172">
        <v>0.5</v>
      </c>
      <c r="BU172">
        <v>0.54</v>
      </c>
      <c r="BV172">
        <v>0.51</v>
      </c>
      <c r="BW172">
        <v>0.75</v>
      </c>
      <c r="BX172">
        <v>0.75</v>
      </c>
      <c r="BY172">
        <v>0.76</v>
      </c>
      <c r="BZ172">
        <v>0.75</v>
      </c>
      <c r="CA172">
        <v>0.45</v>
      </c>
      <c r="CB172">
        <v>0.45</v>
      </c>
    </row>
    <row r="173" spans="1:80" x14ac:dyDescent="0.2">
      <c r="G173" t="s">
        <v>179</v>
      </c>
      <c r="H173" t="s">
        <v>160</v>
      </c>
      <c r="J173">
        <v>91.25</v>
      </c>
      <c r="K173">
        <v>130</v>
      </c>
      <c r="M173">
        <v>490</v>
      </c>
      <c r="O173">
        <v>0.55000000000000004</v>
      </c>
      <c r="P173">
        <v>550</v>
      </c>
      <c r="Q173">
        <f t="shared" si="57"/>
        <v>0.89090909090909087</v>
      </c>
      <c r="S173">
        <v>0.8</v>
      </c>
      <c r="T173">
        <v>0.05</v>
      </c>
      <c r="U173">
        <v>0</v>
      </c>
      <c r="V173">
        <v>0</v>
      </c>
      <c r="W173">
        <f>S173*B163+T173*B164</f>
        <v>5.0000000000000009</v>
      </c>
      <c r="X173">
        <f t="shared" si="52"/>
        <v>1.2449999999999999</v>
      </c>
      <c r="Y173">
        <f t="shared" si="53"/>
        <v>10.897802211184496</v>
      </c>
      <c r="Z173">
        <f t="shared" si="58"/>
        <v>1.1282702525349262</v>
      </c>
      <c r="AC173">
        <v>0.2</v>
      </c>
      <c r="AE173">
        <v>0.75</v>
      </c>
      <c r="AF173">
        <f t="shared" si="54"/>
        <v>2.9075336299440235</v>
      </c>
      <c r="AG173">
        <f t="shared" si="59"/>
        <v>0.19</v>
      </c>
      <c r="AH173">
        <f t="shared" si="60"/>
        <v>0.6784</v>
      </c>
      <c r="AI173">
        <f>AI161</f>
        <v>0</v>
      </c>
      <c r="AK173">
        <f>AK161</f>
        <v>0.7</v>
      </c>
      <c r="AL173">
        <f>AL161</f>
        <v>100</v>
      </c>
      <c r="AM173">
        <f>AM161</f>
        <v>4.7000000000000002E-3</v>
      </c>
      <c r="AN173">
        <f t="shared" si="61"/>
        <v>0</v>
      </c>
      <c r="AO173">
        <f t="shared" si="62"/>
        <v>1.7614164373967449E-3</v>
      </c>
      <c r="AP173">
        <f t="shared" si="63"/>
        <v>1.7614164373967449E-3</v>
      </c>
      <c r="AQ173">
        <f t="shared" si="64"/>
        <v>20.894802488618886</v>
      </c>
      <c r="AS173">
        <f t="shared" si="65"/>
        <v>0</v>
      </c>
      <c r="AT173">
        <f t="shared" si="55"/>
        <v>3.1501866263650875E-2</v>
      </c>
      <c r="AU173">
        <f t="shared" si="66"/>
        <v>0.31539481604663883</v>
      </c>
      <c r="AV173">
        <f t="shared" si="56"/>
        <v>3741.3710053532527</v>
      </c>
      <c r="AY173">
        <f>AY161</f>
        <v>6.0000000000000001E-3</v>
      </c>
      <c r="BB173">
        <f t="shared" si="67"/>
        <v>0.24</v>
      </c>
      <c r="BQ173" s="5" t="s">
        <v>160</v>
      </c>
      <c r="BR173" s="6" t="s">
        <v>179</v>
      </c>
      <c r="BS173">
        <v>0.55000000000000004</v>
      </c>
      <c r="BT173">
        <v>0.55000000000000004</v>
      </c>
      <c r="BU173">
        <v>0.55000000000000004</v>
      </c>
      <c r="BV173">
        <v>0.53</v>
      </c>
      <c r="BW173">
        <v>0.7</v>
      </c>
      <c r="BX173">
        <v>0.75</v>
      </c>
      <c r="BY173">
        <v>0.8</v>
      </c>
      <c r="BZ173">
        <v>0.8</v>
      </c>
      <c r="CA173">
        <v>0.4</v>
      </c>
      <c r="CB173">
        <v>0.4</v>
      </c>
    </row>
    <row r="174" spans="1:80" x14ac:dyDescent="0.2">
      <c r="G174" t="s">
        <v>195</v>
      </c>
      <c r="H174" t="s">
        <v>162</v>
      </c>
      <c r="J174">
        <v>91.25</v>
      </c>
      <c r="K174">
        <v>162</v>
      </c>
      <c r="M174">
        <v>530</v>
      </c>
      <c r="O174">
        <v>0.44</v>
      </c>
      <c r="P174">
        <v>550</v>
      </c>
      <c r="Q174">
        <f t="shared" si="57"/>
        <v>0.96363636363636362</v>
      </c>
      <c r="S174">
        <v>0</v>
      </c>
      <c r="T174">
        <v>0.75</v>
      </c>
      <c r="U174">
        <v>0</v>
      </c>
      <c r="V174">
        <v>0</v>
      </c>
      <c r="W174">
        <f>S174*B163+T174*B164</f>
        <v>3</v>
      </c>
      <c r="X174">
        <f t="shared" si="52"/>
        <v>1.0750000000000002</v>
      </c>
      <c r="Y174">
        <f t="shared" si="53"/>
        <v>9.6715173134699981</v>
      </c>
      <c r="Z174">
        <f t="shared" si="58"/>
        <v>1.0992410499325751</v>
      </c>
      <c r="AC174">
        <v>0.1</v>
      </c>
      <c r="AE174">
        <v>0.6</v>
      </c>
      <c r="AF174">
        <f t="shared" si="54"/>
        <v>3.9150302084926554</v>
      </c>
      <c r="AG174">
        <f t="shared" si="59"/>
        <v>0.19</v>
      </c>
      <c r="AH174">
        <f t="shared" si="60"/>
        <v>0.6784</v>
      </c>
      <c r="AI174">
        <f>AI161</f>
        <v>0</v>
      </c>
      <c r="AK174">
        <f>AK161</f>
        <v>0.7</v>
      </c>
      <c r="AL174">
        <f>AL161</f>
        <v>100</v>
      </c>
      <c r="AM174">
        <f>AM161</f>
        <v>4.7000000000000002E-3</v>
      </c>
      <c r="AN174">
        <f t="shared" si="61"/>
        <v>0</v>
      </c>
      <c r="AO174">
        <f t="shared" si="62"/>
        <v>2.371769148643186E-3</v>
      </c>
      <c r="AP174">
        <f t="shared" si="63"/>
        <v>2.371769148643186E-3</v>
      </c>
      <c r="AQ174">
        <f t="shared" si="64"/>
        <v>35.060677439817901</v>
      </c>
      <c r="AS174">
        <f t="shared" si="65"/>
        <v>0</v>
      </c>
      <c r="AT174">
        <f t="shared" si="55"/>
        <v>2.002369467117358E-2</v>
      </c>
      <c r="AU174">
        <f t="shared" si="66"/>
        <v>0.13277647800330789</v>
      </c>
      <c r="AV174">
        <f t="shared" si="56"/>
        <v>1962.7682860838991</v>
      </c>
      <c r="AY174">
        <f>AY161</f>
        <v>6.0000000000000001E-3</v>
      </c>
      <c r="BB174">
        <f t="shared" si="67"/>
        <v>0.24</v>
      </c>
      <c r="BQ174" s="3" t="s">
        <v>162</v>
      </c>
      <c r="BR174" s="4" t="s">
        <v>179</v>
      </c>
      <c r="BS174">
        <v>0.65</v>
      </c>
      <c r="BT174">
        <v>0.65</v>
      </c>
      <c r="BU174">
        <v>0.61</v>
      </c>
      <c r="BV174">
        <v>0.56999999999999995</v>
      </c>
      <c r="BW174">
        <v>0.55000000000000004</v>
      </c>
      <c r="BX174">
        <v>0.6</v>
      </c>
      <c r="BY174">
        <v>0.55000000000000004</v>
      </c>
      <c r="BZ174">
        <v>0.57999999999999996</v>
      </c>
      <c r="CA174">
        <v>0.65</v>
      </c>
      <c r="CB174">
        <v>0.65</v>
      </c>
    </row>
    <row r="175" spans="1:80" x14ac:dyDescent="0.2">
      <c r="H175" t="s">
        <v>163</v>
      </c>
      <c r="J175">
        <v>91.25</v>
      </c>
      <c r="K175">
        <v>158</v>
      </c>
      <c r="M175">
        <v>500</v>
      </c>
      <c r="O175">
        <v>-0.33</v>
      </c>
      <c r="P175">
        <v>550</v>
      </c>
      <c r="Q175">
        <f t="shared" si="57"/>
        <v>0.90909090909090906</v>
      </c>
      <c r="S175">
        <v>0</v>
      </c>
      <c r="T175">
        <v>0</v>
      </c>
      <c r="U175">
        <v>0</v>
      </c>
      <c r="V175">
        <v>0</v>
      </c>
      <c r="W175">
        <f>S175*B163+T175*B164</f>
        <v>0</v>
      </c>
      <c r="X175">
        <f t="shared" si="52"/>
        <v>1</v>
      </c>
      <c r="Y175">
        <f t="shared" si="53"/>
        <v>7.2956711025000001</v>
      </c>
      <c r="Z175">
        <f t="shared" si="58"/>
        <v>0.92725570934256041</v>
      </c>
      <c r="AC175">
        <v>0.16</v>
      </c>
      <c r="AE175">
        <v>0.7</v>
      </c>
      <c r="AF175">
        <f t="shared" si="54"/>
        <v>2.2820859208620003</v>
      </c>
      <c r="AG175">
        <f t="shared" si="59"/>
        <v>0.19</v>
      </c>
      <c r="AH175">
        <f t="shared" si="60"/>
        <v>0.6784</v>
      </c>
      <c r="AI175">
        <f>AI161</f>
        <v>0</v>
      </c>
      <c r="AK175">
        <f>AK161</f>
        <v>0.7</v>
      </c>
      <c r="AL175">
        <f>AL161</f>
        <v>100</v>
      </c>
      <c r="AM175">
        <f>AM161</f>
        <v>4.7000000000000002E-3</v>
      </c>
      <c r="AN175">
        <f t="shared" si="61"/>
        <v>0</v>
      </c>
      <c r="AO175">
        <f t="shared" si="62"/>
        <v>1.3825132102205137E-3</v>
      </c>
      <c r="AP175">
        <f t="shared" si="63"/>
        <v>1.3825132102205137E-3</v>
      </c>
      <c r="AQ175">
        <f t="shared" si="64"/>
        <v>19.932384208354254</v>
      </c>
      <c r="AS175">
        <f t="shared" si="65"/>
        <v>0</v>
      </c>
      <c r="AT175">
        <f t="shared" si="55"/>
        <v>-3.8224164411614398E-3</v>
      </c>
      <c r="AU175">
        <f t="shared" si="66"/>
        <v>0.18873062324150602</v>
      </c>
      <c r="AV175">
        <f t="shared" si="56"/>
        <v>2721.0237605844131</v>
      </c>
      <c r="AY175">
        <f>AY161</f>
        <v>6.0000000000000001E-3</v>
      </c>
      <c r="BB175">
        <f t="shared" si="67"/>
        <v>0.24</v>
      </c>
      <c r="BQ175" s="5" t="s">
        <v>163</v>
      </c>
      <c r="BR175" s="6" t="s">
        <v>179</v>
      </c>
      <c r="BS175">
        <v>0.6</v>
      </c>
      <c r="BT175">
        <v>0.6</v>
      </c>
      <c r="BU175">
        <v>0.56999999999999995</v>
      </c>
      <c r="BV175">
        <v>0.55000000000000004</v>
      </c>
      <c r="BW175">
        <v>0.55000000000000004</v>
      </c>
      <c r="BX175">
        <v>0.7</v>
      </c>
      <c r="BY175">
        <v>0.6</v>
      </c>
      <c r="BZ175">
        <v>0.5</v>
      </c>
      <c r="CA175">
        <v>0.55000000000000004</v>
      </c>
      <c r="CB175">
        <v>0.55000000000000004</v>
      </c>
    </row>
    <row r="176" spans="1:80" x14ac:dyDescent="0.2">
      <c r="H176" t="s">
        <v>164</v>
      </c>
      <c r="J176">
        <v>91.25</v>
      </c>
      <c r="K176">
        <v>130</v>
      </c>
      <c r="M176">
        <v>460</v>
      </c>
      <c r="O176">
        <v>-0.44</v>
      </c>
      <c r="P176">
        <v>550</v>
      </c>
      <c r="Q176">
        <f t="shared" si="57"/>
        <v>0.83636363636363631</v>
      </c>
      <c r="S176">
        <v>0.1</v>
      </c>
      <c r="T176">
        <v>0</v>
      </c>
      <c r="U176">
        <v>0</v>
      </c>
      <c r="V176">
        <v>0</v>
      </c>
      <c r="W176">
        <f>S176*B163+T176*B164</f>
        <v>0.60000000000000009</v>
      </c>
      <c r="X176">
        <f t="shared" si="52"/>
        <v>1.03</v>
      </c>
      <c r="Y176">
        <f t="shared" si="53"/>
        <v>6.8807748474880013</v>
      </c>
      <c r="Z176">
        <f t="shared" si="58"/>
        <v>0.90079981295694067</v>
      </c>
      <c r="AC176">
        <v>0.2</v>
      </c>
      <c r="AE176">
        <v>0.75</v>
      </c>
      <c r="AF176">
        <f t="shared" si="54"/>
        <v>1.8357907293097988</v>
      </c>
      <c r="AG176">
        <f t="shared" si="59"/>
        <v>0.19</v>
      </c>
      <c r="AH176">
        <f t="shared" si="60"/>
        <v>0.6784</v>
      </c>
      <c r="AI176">
        <f>AI161</f>
        <v>0</v>
      </c>
      <c r="AK176">
        <f>AK161</f>
        <v>0.7</v>
      </c>
      <c r="AL176">
        <f>AL161</f>
        <v>100</v>
      </c>
      <c r="AM176">
        <f>AM161</f>
        <v>4.7000000000000002E-3</v>
      </c>
      <c r="AN176">
        <f t="shared" si="61"/>
        <v>0</v>
      </c>
      <c r="AO176">
        <f t="shared" si="62"/>
        <v>1.1121425846720445E-3</v>
      </c>
      <c r="AP176">
        <f t="shared" si="63"/>
        <v>1.1121425846720445E-3</v>
      </c>
      <c r="AQ176">
        <f t="shared" si="64"/>
        <v>13.192791410672127</v>
      </c>
      <c r="AS176">
        <f t="shared" si="65"/>
        <v>0</v>
      </c>
      <c r="AT176">
        <f t="shared" si="55"/>
        <v>-2.3089941327337879E-3</v>
      </c>
      <c r="AU176">
        <f t="shared" si="66"/>
        <v>0.22074562980485726</v>
      </c>
      <c r="AV176">
        <f t="shared" si="56"/>
        <v>2618.5950335601192</v>
      </c>
      <c r="AY176">
        <f>AY161</f>
        <v>6.0000000000000001E-3</v>
      </c>
      <c r="BB176">
        <f t="shared" si="67"/>
        <v>0.24</v>
      </c>
      <c r="BQ176" s="3" t="s">
        <v>164</v>
      </c>
      <c r="BR176" s="4" t="s">
        <v>179</v>
      </c>
      <c r="BS176">
        <v>0.5</v>
      </c>
      <c r="BT176">
        <v>0.5</v>
      </c>
      <c r="BU176">
        <v>0.54</v>
      </c>
      <c r="BV176">
        <v>0.51</v>
      </c>
      <c r="BW176">
        <v>0.75</v>
      </c>
      <c r="BX176">
        <v>0.75</v>
      </c>
      <c r="BY176">
        <v>0.76</v>
      </c>
      <c r="BZ176">
        <v>0.75</v>
      </c>
      <c r="CA176">
        <v>0.45</v>
      </c>
      <c r="CB176">
        <v>0.45</v>
      </c>
    </row>
    <row r="177" spans="7:80" x14ac:dyDescent="0.2">
      <c r="G177" t="s">
        <v>176</v>
      </c>
      <c r="H177" t="s">
        <v>160</v>
      </c>
      <c r="J177">
        <v>91.25</v>
      </c>
      <c r="K177">
        <v>30</v>
      </c>
      <c r="M177">
        <v>85</v>
      </c>
      <c r="O177">
        <v>1</v>
      </c>
      <c r="P177">
        <v>550</v>
      </c>
      <c r="Q177">
        <f t="shared" si="57"/>
        <v>0.15454545454545454</v>
      </c>
      <c r="S177">
        <v>0</v>
      </c>
      <c r="T177">
        <v>0</v>
      </c>
      <c r="U177">
        <f>25/K177</f>
        <v>0.83333333333333337</v>
      </c>
      <c r="V177">
        <f>5/K177</f>
        <v>0.16666666666666666</v>
      </c>
      <c r="W177">
        <f>S177*B163+T177*B164</f>
        <v>0</v>
      </c>
      <c r="X177">
        <f t="shared" si="52"/>
        <v>1</v>
      </c>
      <c r="Y177">
        <f t="shared" si="53"/>
        <v>3.4861184232249993</v>
      </c>
      <c r="Z177">
        <f t="shared" si="58"/>
        <v>1.4470860065273263</v>
      </c>
      <c r="AC177">
        <v>0.2</v>
      </c>
      <c r="AE177">
        <v>0.75</v>
      </c>
      <c r="AF177">
        <f t="shared" si="54"/>
        <v>0.93009639531642985</v>
      </c>
      <c r="AG177">
        <f t="shared" si="59"/>
        <v>0.19</v>
      </c>
      <c r="AH177">
        <f t="shared" si="60"/>
        <v>0.6784</v>
      </c>
      <c r="AI177">
        <f>AI161</f>
        <v>0</v>
      </c>
      <c r="AK177">
        <f>AK161</f>
        <v>0.7</v>
      </c>
      <c r="AL177">
        <f>AL161</f>
        <v>100</v>
      </c>
      <c r="AM177">
        <f>AM161</f>
        <v>4.7000000000000002E-3</v>
      </c>
      <c r="AN177">
        <f t="shared" si="61"/>
        <v>0</v>
      </c>
      <c r="AO177">
        <f t="shared" si="62"/>
        <v>5.6346281336232078E-4</v>
      </c>
      <c r="AP177">
        <f t="shared" si="63"/>
        <v>5.6346281336232078E-4</v>
      </c>
      <c r="AQ177">
        <f t="shared" si="64"/>
        <v>1.5424794515793532</v>
      </c>
      <c r="AS177">
        <f t="shared" si="65"/>
        <v>5.666666666666667</v>
      </c>
      <c r="AT177">
        <f t="shared" si="55"/>
        <v>2.7892082699998676E-2</v>
      </c>
      <c r="AU177">
        <f t="shared" si="66"/>
        <v>0.11159316586999798</v>
      </c>
      <c r="AV177">
        <f t="shared" si="56"/>
        <v>305.48629156911949</v>
      </c>
      <c r="AY177">
        <f>AY161</f>
        <v>6.0000000000000001E-3</v>
      </c>
      <c r="BB177">
        <f t="shared" si="67"/>
        <v>0.24</v>
      </c>
      <c r="BQ177" s="5" t="s">
        <v>160</v>
      </c>
      <c r="BR177" s="6" t="s">
        <v>176</v>
      </c>
      <c r="BS177">
        <v>0.55000000000000004</v>
      </c>
      <c r="BT177">
        <v>0.55000000000000004</v>
      </c>
      <c r="BU177">
        <v>0.55000000000000004</v>
      </c>
      <c r="BV177">
        <v>0.53</v>
      </c>
      <c r="BW177">
        <v>0.7</v>
      </c>
      <c r="BX177">
        <v>0.75</v>
      </c>
      <c r="BY177">
        <v>0.8</v>
      </c>
      <c r="BZ177">
        <v>0.8</v>
      </c>
      <c r="CA177">
        <v>0.4</v>
      </c>
      <c r="CB177">
        <v>0.4</v>
      </c>
    </row>
    <row r="178" spans="7:80" x14ac:dyDescent="0.2">
      <c r="G178">
        <v>3</v>
      </c>
      <c r="H178" t="s">
        <v>162</v>
      </c>
      <c r="J178">
        <v>91.25</v>
      </c>
      <c r="K178">
        <v>68</v>
      </c>
      <c r="M178">
        <v>150</v>
      </c>
      <c r="O178">
        <v>0.71</v>
      </c>
      <c r="P178">
        <v>550</v>
      </c>
      <c r="Q178">
        <f t="shared" si="57"/>
        <v>0.27272727272727271</v>
      </c>
      <c r="S178">
        <v>0</v>
      </c>
      <c r="T178">
        <v>0</v>
      </c>
      <c r="U178">
        <f>40/K178</f>
        <v>0.58823529411764708</v>
      </c>
      <c r="V178">
        <f>25/K178</f>
        <v>0.36764705882352944</v>
      </c>
      <c r="W178">
        <f>S178*B163+T178*B164</f>
        <v>0</v>
      </c>
      <c r="X178">
        <f t="shared" si="52"/>
        <v>1</v>
      </c>
      <c r="Y178">
        <f t="shared" si="53"/>
        <v>4.1255703225000007</v>
      </c>
      <c r="Z178">
        <f t="shared" si="58"/>
        <v>1.2627790912690897</v>
      </c>
      <c r="AC178">
        <v>0.1</v>
      </c>
      <c r="AE178">
        <v>0.6</v>
      </c>
      <c r="AF178">
        <f t="shared" si="54"/>
        <v>1.6700308665480004</v>
      </c>
      <c r="AG178">
        <f t="shared" si="59"/>
        <v>0.19</v>
      </c>
      <c r="AH178">
        <f t="shared" si="60"/>
        <v>0.6784</v>
      </c>
      <c r="AI178">
        <f>AI161</f>
        <v>0</v>
      </c>
      <c r="AK178">
        <f>AK161</f>
        <v>0.7</v>
      </c>
      <c r="AL178">
        <f>AL161</f>
        <v>100</v>
      </c>
      <c r="AM178">
        <f>AM161</f>
        <v>4.7000000000000002E-3</v>
      </c>
      <c r="AN178">
        <f t="shared" si="61"/>
        <v>0</v>
      </c>
      <c r="AO178">
        <f t="shared" si="62"/>
        <v>1.0117234033004841E-3</v>
      </c>
      <c r="AP178">
        <f t="shared" si="63"/>
        <v>1.0117234033004841E-3</v>
      </c>
      <c r="AQ178">
        <f t="shared" si="64"/>
        <v>6.2777437174795034</v>
      </c>
      <c r="AS178">
        <f t="shared" si="65"/>
        <v>5</v>
      </c>
      <c r="AT178">
        <f t="shared" si="55"/>
        <v>1.7926222001524435E-2</v>
      </c>
      <c r="AU178">
        <f t="shared" si="66"/>
        <v>7.2406908790991209E-2</v>
      </c>
      <c r="AV178">
        <f t="shared" si="56"/>
        <v>449.28486904810052</v>
      </c>
      <c r="AY178">
        <f>AY161</f>
        <v>6.0000000000000001E-3</v>
      </c>
      <c r="BB178">
        <f t="shared" si="67"/>
        <v>0.24</v>
      </c>
      <c r="BQ178" s="3" t="s">
        <v>162</v>
      </c>
      <c r="BR178" s="4" t="s">
        <v>176</v>
      </c>
      <c r="BS178">
        <v>0.65</v>
      </c>
      <c r="BT178">
        <v>0.65</v>
      </c>
      <c r="BU178">
        <v>0.61</v>
      </c>
      <c r="BV178">
        <v>0.56999999999999995</v>
      </c>
      <c r="BW178">
        <v>0.55000000000000004</v>
      </c>
      <c r="BX178">
        <v>0.6</v>
      </c>
      <c r="BY178">
        <v>0.55000000000000004</v>
      </c>
      <c r="BZ178">
        <v>0.57999999999999996</v>
      </c>
      <c r="CA178">
        <v>0.65</v>
      </c>
      <c r="CB178">
        <v>0.65</v>
      </c>
    </row>
    <row r="179" spans="7:80" x14ac:dyDescent="0.2">
      <c r="H179" t="s">
        <v>163</v>
      </c>
      <c r="J179">
        <v>91.25</v>
      </c>
      <c r="K179">
        <v>65</v>
      </c>
      <c r="M179">
        <v>200</v>
      </c>
      <c r="O179">
        <v>0.55000000000000004</v>
      </c>
      <c r="P179">
        <v>550</v>
      </c>
      <c r="Q179">
        <f t="shared" si="57"/>
        <v>0.36363636363636365</v>
      </c>
      <c r="S179">
        <v>0</v>
      </c>
      <c r="T179">
        <v>0</v>
      </c>
      <c r="U179">
        <v>0</v>
      </c>
      <c r="V179">
        <f>40/K179</f>
        <v>0.61538461538461542</v>
      </c>
      <c r="W179">
        <f>S179*B163+T179*B164</f>
        <v>0</v>
      </c>
      <c r="X179">
        <f t="shared" si="52"/>
        <v>1</v>
      </c>
      <c r="Y179">
        <f t="shared" si="53"/>
        <v>4.6753250624999989</v>
      </c>
      <c r="Z179">
        <f t="shared" si="58"/>
        <v>1.1817952642247291</v>
      </c>
      <c r="AC179">
        <v>0.16</v>
      </c>
      <c r="AE179">
        <v>0.7</v>
      </c>
      <c r="AF179">
        <f t="shared" si="54"/>
        <v>1.4624416795500002</v>
      </c>
      <c r="AG179">
        <f t="shared" si="59"/>
        <v>0.19</v>
      </c>
      <c r="AH179">
        <f t="shared" si="60"/>
        <v>0.6784</v>
      </c>
      <c r="AI179">
        <f>AI161</f>
        <v>0</v>
      </c>
      <c r="AK179">
        <f>AK161</f>
        <v>0.7</v>
      </c>
      <c r="AL179">
        <f>AL161</f>
        <v>100</v>
      </c>
      <c r="AM179">
        <f>AM161</f>
        <v>4.7000000000000002E-3</v>
      </c>
      <c r="AN179">
        <f t="shared" si="61"/>
        <v>0</v>
      </c>
      <c r="AO179">
        <f t="shared" si="62"/>
        <v>8.8596354881820109E-4</v>
      </c>
      <c r="AP179">
        <f t="shared" si="63"/>
        <v>8.8596354881820109E-4</v>
      </c>
      <c r="AQ179">
        <f t="shared" si="64"/>
        <v>5.2548712989279558</v>
      </c>
      <c r="AS179">
        <f t="shared" si="65"/>
        <v>2.4615384615384617</v>
      </c>
      <c r="AT179">
        <f t="shared" si="55"/>
        <v>1.240587793171561E-2</v>
      </c>
      <c r="AU179">
        <f t="shared" si="66"/>
        <v>0.118692698005662</v>
      </c>
      <c r="AV179">
        <f t="shared" si="56"/>
        <v>703.99606504608278</v>
      </c>
      <c r="AY179">
        <f>AY161</f>
        <v>6.0000000000000001E-3</v>
      </c>
      <c r="BB179">
        <f t="shared" si="67"/>
        <v>0.24</v>
      </c>
      <c r="BQ179" s="5" t="s">
        <v>163</v>
      </c>
      <c r="BR179" s="6" t="s">
        <v>176</v>
      </c>
      <c r="BS179">
        <v>0.6</v>
      </c>
      <c r="BT179">
        <v>0.6</v>
      </c>
      <c r="BU179">
        <v>0.56999999999999995</v>
      </c>
      <c r="BV179">
        <v>0.55000000000000004</v>
      </c>
      <c r="BW179">
        <v>0.55000000000000004</v>
      </c>
      <c r="BX179">
        <v>0.7</v>
      </c>
      <c r="BY179">
        <v>0.6</v>
      </c>
      <c r="BZ179">
        <v>0.5</v>
      </c>
      <c r="CA179">
        <v>0.55000000000000004</v>
      </c>
      <c r="CB179">
        <v>0.55000000000000004</v>
      </c>
    </row>
    <row r="180" spans="7:80" x14ac:dyDescent="0.2">
      <c r="H180" t="s">
        <v>164</v>
      </c>
      <c r="J180">
        <v>91.25</v>
      </c>
      <c r="K180">
        <v>62</v>
      </c>
      <c r="M180">
        <v>210</v>
      </c>
      <c r="O180">
        <v>0.11</v>
      </c>
      <c r="P180">
        <v>550</v>
      </c>
      <c r="Q180">
        <f t="shared" si="57"/>
        <v>0.38181818181818183</v>
      </c>
      <c r="S180">
        <v>0</v>
      </c>
      <c r="T180">
        <v>0</v>
      </c>
      <c r="U180">
        <f>5/K180</f>
        <v>8.0645161290322578E-2</v>
      </c>
      <c r="V180">
        <v>0</v>
      </c>
      <c r="W180">
        <f>S180*B163+T180*B164</f>
        <v>0</v>
      </c>
      <c r="X180">
        <f t="shared" si="52"/>
        <v>1</v>
      </c>
      <c r="Y180">
        <f t="shared" si="53"/>
        <v>4.2369693920999989</v>
      </c>
      <c r="Z180">
        <f t="shared" si="58"/>
        <v>1.0345366841319763</v>
      </c>
      <c r="AC180">
        <v>0.2</v>
      </c>
      <c r="AE180">
        <v>0.75</v>
      </c>
      <c r="AF180">
        <f t="shared" si="54"/>
        <v>1.1304234338122798</v>
      </c>
      <c r="AG180">
        <f t="shared" si="59"/>
        <v>0.19</v>
      </c>
      <c r="AH180">
        <f t="shared" si="60"/>
        <v>0.6784</v>
      </c>
      <c r="AI180">
        <f>AI161</f>
        <v>0</v>
      </c>
      <c r="AK180">
        <f>AK161</f>
        <v>0.7</v>
      </c>
      <c r="AL180">
        <f>AL161</f>
        <v>100</v>
      </c>
      <c r="AM180">
        <f>AM161</f>
        <v>4.7000000000000002E-3</v>
      </c>
      <c r="AN180">
        <f t="shared" si="61"/>
        <v>0</v>
      </c>
      <c r="AO180">
        <f t="shared" si="62"/>
        <v>6.8482317694593792E-4</v>
      </c>
      <c r="AP180">
        <f t="shared" si="63"/>
        <v>6.8482317694593792E-4</v>
      </c>
      <c r="AQ180">
        <f t="shared" si="64"/>
        <v>3.8743871235716436</v>
      </c>
      <c r="AS180">
        <f t="shared" si="65"/>
        <v>0.4838709677419355</v>
      </c>
      <c r="AT180">
        <f t="shared" si="55"/>
        <v>2.4269652980866948E-3</v>
      </c>
      <c r="AU180">
        <f>MAX((Y180*AC180/6.25)+(0.032*AS180/6.38)-AT180-((1.1*(10^-4)*(M180^0.75))/6.25), 0)</f>
        <v>0.13461208837529115</v>
      </c>
      <c r="AV180">
        <f t="shared" si="56"/>
        <v>761.56788998320974</v>
      </c>
      <c r="AY180">
        <f>AY161</f>
        <v>6.0000000000000001E-3</v>
      </c>
      <c r="BB180">
        <f t="shared" si="67"/>
        <v>0.24</v>
      </c>
      <c r="BQ180" s="3" t="s">
        <v>164</v>
      </c>
      <c r="BR180" s="4" t="s">
        <v>176</v>
      </c>
      <c r="BS180">
        <v>0.5</v>
      </c>
      <c r="BT180">
        <v>0.5</v>
      </c>
      <c r="BU180">
        <v>0.54</v>
      </c>
      <c r="BV180">
        <v>0.51</v>
      </c>
      <c r="BW180">
        <v>0.75</v>
      </c>
      <c r="BX180">
        <v>0.75</v>
      </c>
      <c r="BY180">
        <v>0.76</v>
      </c>
      <c r="BZ180">
        <v>0.75</v>
      </c>
      <c r="CA180">
        <v>0.45</v>
      </c>
      <c r="CB180">
        <v>0.45</v>
      </c>
    </row>
    <row r="181" spans="7:80" x14ac:dyDescent="0.2">
      <c r="G181" t="s">
        <v>182</v>
      </c>
      <c r="H181" t="s">
        <v>160</v>
      </c>
      <c r="J181">
        <v>91.25</v>
      </c>
      <c r="K181">
        <v>120</v>
      </c>
      <c r="M181">
        <v>490</v>
      </c>
      <c r="O181">
        <v>0.55000000000000004</v>
      </c>
      <c r="P181">
        <v>550</v>
      </c>
      <c r="Q181">
        <f t="shared" si="57"/>
        <v>0.89090909090909087</v>
      </c>
      <c r="S181">
        <v>0.7</v>
      </c>
      <c r="T181">
        <v>0.03</v>
      </c>
      <c r="U181">
        <v>0</v>
      </c>
      <c r="V181">
        <v>0</v>
      </c>
      <c r="W181">
        <f>S181*B163+T181*B164</f>
        <v>4.3199999999999994</v>
      </c>
      <c r="X181">
        <f t="shared" si="52"/>
        <v>1.2130000000000001</v>
      </c>
      <c r="Y181">
        <f t="shared" si="53"/>
        <v>10.617698057965297</v>
      </c>
      <c r="Z181">
        <f t="shared" si="58"/>
        <v>1.1282702525349262</v>
      </c>
      <c r="AC181">
        <v>0.2</v>
      </c>
      <c r="AE181">
        <v>0.75</v>
      </c>
      <c r="AF181">
        <f t="shared" si="54"/>
        <v>2.8328018418651415</v>
      </c>
      <c r="AG181">
        <f t="shared" si="59"/>
        <v>0.19</v>
      </c>
      <c r="AH181">
        <f t="shared" si="60"/>
        <v>0.6784</v>
      </c>
      <c r="AI181">
        <f>AI161</f>
        <v>0</v>
      </c>
      <c r="AK181">
        <f>AK161</f>
        <v>0.7</v>
      </c>
      <c r="AL181">
        <f>AL161</f>
        <v>100</v>
      </c>
      <c r="AM181">
        <f>AM161</f>
        <v>4.7000000000000002E-3</v>
      </c>
      <c r="AN181">
        <f t="shared" si="61"/>
        <v>0</v>
      </c>
      <c r="AO181">
        <f t="shared" si="62"/>
        <v>1.7161430831825314E-3</v>
      </c>
      <c r="AP181">
        <f t="shared" si="63"/>
        <v>1.7161430831825314E-3</v>
      </c>
      <c r="AQ181">
        <f t="shared" si="64"/>
        <v>18.79176676084872</v>
      </c>
      <c r="AS181">
        <f t="shared" si="65"/>
        <v>0</v>
      </c>
      <c r="AT181">
        <f t="shared" si="55"/>
        <v>2.8091207956440829E-2</v>
      </c>
      <c r="AU181">
        <f t="shared" si="66"/>
        <v>0.3098421414508345</v>
      </c>
      <c r="AV181">
        <f t="shared" si="56"/>
        <v>3392.7714488866377</v>
      </c>
      <c r="AY181">
        <f>AY161</f>
        <v>6.0000000000000001E-3</v>
      </c>
      <c r="BB181">
        <f t="shared" si="67"/>
        <v>0.24</v>
      </c>
      <c r="BQ181" s="5" t="s">
        <v>160</v>
      </c>
      <c r="BR181" s="6" t="s">
        <v>182</v>
      </c>
      <c r="BS181">
        <v>0.55000000000000004</v>
      </c>
      <c r="BT181">
        <v>0.55000000000000004</v>
      </c>
      <c r="BU181">
        <v>0.55000000000000004</v>
      </c>
      <c r="BV181">
        <v>0.53</v>
      </c>
      <c r="BW181">
        <v>0.7</v>
      </c>
      <c r="BX181">
        <v>0.75</v>
      </c>
      <c r="BY181">
        <v>0.8</v>
      </c>
      <c r="BZ181">
        <v>0.8</v>
      </c>
      <c r="CA181">
        <v>0.4</v>
      </c>
      <c r="CB181">
        <v>0.4</v>
      </c>
    </row>
    <row r="182" spans="7:80" x14ac:dyDescent="0.2">
      <c r="G182" t="s">
        <v>196</v>
      </c>
      <c r="H182" t="s">
        <v>162</v>
      </c>
      <c r="J182">
        <v>91.25</v>
      </c>
      <c r="K182">
        <v>155</v>
      </c>
      <c r="M182">
        <v>530</v>
      </c>
      <c r="O182">
        <v>0.44</v>
      </c>
      <c r="P182">
        <v>550</v>
      </c>
      <c r="Q182">
        <f t="shared" si="57"/>
        <v>0.96363636363636362</v>
      </c>
      <c r="S182">
        <v>0.05</v>
      </c>
      <c r="T182">
        <v>0.72</v>
      </c>
      <c r="U182">
        <v>0</v>
      </c>
      <c r="V182">
        <v>0</v>
      </c>
      <c r="W182">
        <f>S182*B163+T182*B164</f>
        <v>3.1799999999999997</v>
      </c>
      <c r="X182">
        <f t="shared" si="52"/>
        <v>1.087</v>
      </c>
      <c r="Y182">
        <f t="shared" si="53"/>
        <v>9.7794784369691978</v>
      </c>
      <c r="Z182">
        <f t="shared" si="58"/>
        <v>1.0992410499325751</v>
      </c>
      <c r="AC182">
        <v>0.1</v>
      </c>
      <c r="AE182">
        <v>0.6</v>
      </c>
      <c r="AF182">
        <f t="shared" si="54"/>
        <v>3.9587328712851315</v>
      </c>
      <c r="AG182">
        <f t="shared" si="59"/>
        <v>0.19</v>
      </c>
      <c r="AH182">
        <f t="shared" si="60"/>
        <v>0.6784</v>
      </c>
      <c r="AI182">
        <f>AI161</f>
        <v>0</v>
      </c>
      <c r="AK182">
        <f>AK161</f>
        <v>0.7</v>
      </c>
      <c r="AL182">
        <f>AL161</f>
        <v>100</v>
      </c>
      <c r="AM182">
        <f>AM161</f>
        <v>4.7000000000000002E-3</v>
      </c>
      <c r="AN182">
        <f t="shared" si="61"/>
        <v>0</v>
      </c>
      <c r="AO182">
        <f t="shared" si="62"/>
        <v>2.3982447112326911E-3</v>
      </c>
      <c r="AP182">
        <f t="shared" si="63"/>
        <v>2.3982447112326911E-3</v>
      </c>
      <c r="AQ182">
        <f t="shared" si="64"/>
        <v>33.920173634497381</v>
      </c>
      <c r="AS182">
        <f t="shared" si="65"/>
        <v>0</v>
      </c>
      <c r="AT182">
        <f t="shared" si="55"/>
        <v>2.0926515987788E-2</v>
      </c>
      <c r="AU182">
        <f t="shared" si="66"/>
        <v>0.13360103466268067</v>
      </c>
      <c r="AV182">
        <f t="shared" si="56"/>
        <v>1889.6196340102897</v>
      </c>
      <c r="AY182">
        <f>AY161</f>
        <v>6.0000000000000001E-3</v>
      </c>
      <c r="BB182">
        <f t="shared" si="67"/>
        <v>0.24</v>
      </c>
      <c r="BQ182" s="3" t="s">
        <v>162</v>
      </c>
      <c r="BR182" s="4" t="s">
        <v>182</v>
      </c>
      <c r="BS182">
        <v>0.65</v>
      </c>
      <c r="BT182">
        <v>0.65</v>
      </c>
      <c r="BU182">
        <v>0.61</v>
      </c>
      <c r="BV182">
        <v>0.56999999999999995</v>
      </c>
      <c r="BW182">
        <v>0.55000000000000004</v>
      </c>
      <c r="BX182">
        <v>0.6</v>
      </c>
      <c r="BY182">
        <v>0.55000000000000004</v>
      </c>
      <c r="BZ182">
        <v>0.57999999999999996</v>
      </c>
      <c r="CA182">
        <v>0.65</v>
      </c>
      <c r="CB182">
        <v>0.65</v>
      </c>
    </row>
    <row r="183" spans="7:80" x14ac:dyDescent="0.2">
      <c r="H183" t="s">
        <v>163</v>
      </c>
      <c r="J183">
        <v>91.25</v>
      </c>
      <c r="K183">
        <v>152</v>
      </c>
      <c r="M183">
        <v>500</v>
      </c>
      <c r="O183">
        <v>-0.33</v>
      </c>
      <c r="P183">
        <v>550</v>
      </c>
      <c r="Q183">
        <f t="shared" si="57"/>
        <v>0.90909090909090906</v>
      </c>
      <c r="S183">
        <v>0</v>
      </c>
      <c r="T183">
        <v>0.02</v>
      </c>
      <c r="U183">
        <v>0</v>
      </c>
      <c r="V183">
        <v>0</v>
      </c>
      <c r="W183">
        <f>S183*B163+T183*B164</f>
        <v>0.08</v>
      </c>
      <c r="X183">
        <f t="shared" si="52"/>
        <v>1.002</v>
      </c>
      <c r="Y183">
        <f t="shared" si="53"/>
        <v>7.3102624447049998</v>
      </c>
      <c r="Z183">
        <f t="shared" si="58"/>
        <v>0.92725570934256041</v>
      </c>
      <c r="AC183">
        <v>0.16</v>
      </c>
      <c r="AE183">
        <v>0.7</v>
      </c>
      <c r="AF183">
        <f t="shared" si="54"/>
        <v>2.2866500927037241</v>
      </c>
      <c r="AG183">
        <f t="shared" si="59"/>
        <v>0.19</v>
      </c>
      <c r="AH183">
        <f t="shared" si="60"/>
        <v>0.6784</v>
      </c>
      <c r="AI183">
        <f>AI161</f>
        <v>0</v>
      </c>
      <c r="AK183">
        <f>AK161</f>
        <v>0.7</v>
      </c>
      <c r="AL183">
        <f>AL161</f>
        <v>100</v>
      </c>
      <c r="AM183">
        <f>AM161</f>
        <v>4.7000000000000002E-3</v>
      </c>
      <c r="AN183">
        <f t="shared" si="61"/>
        <v>0</v>
      </c>
      <c r="AO183">
        <f t="shared" si="62"/>
        <v>1.3852782366409549E-3</v>
      </c>
      <c r="AP183">
        <f t="shared" si="63"/>
        <v>1.3852782366409549E-3</v>
      </c>
      <c r="AQ183">
        <f t="shared" si="64"/>
        <v>19.213809142210042</v>
      </c>
      <c r="AS183">
        <f t="shared" si="65"/>
        <v>0</v>
      </c>
      <c r="AT183">
        <f t="shared" si="55"/>
        <v>-3.4211625226661419E-3</v>
      </c>
      <c r="AU183">
        <f t="shared" si="66"/>
        <v>0.18870290768345874</v>
      </c>
      <c r="AV183">
        <f t="shared" si="56"/>
        <v>2617.3093295695726</v>
      </c>
      <c r="AY183">
        <f>AY161</f>
        <v>6.0000000000000001E-3</v>
      </c>
      <c r="BB183">
        <f t="shared" si="67"/>
        <v>0.24</v>
      </c>
      <c r="BQ183" s="5" t="s">
        <v>163</v>
      </c>
      <c r="BR183" s="6" t="s">
        <v>182</v>
      </c>
      <c r="BS183">
        <v>0.6</v>
      </c>
      <c r="BT183">
        <v>0.6</v>
      </c>
      <c r="BU183">
        <v>0.56999999999999995</v>
      </c>
      <c r="BV183">
        <v>0.55000000000000004</v>
      </c>
      <c r="BW183">
        <v>0.55000000000000004</v>
      </c>
      <c r="BX183">
        <v>0.7</v>
      </c>
      <c r="BY183">
        <v>0.6</v>
      </c>
      <c r="BZ183">
        <v>0.5</v>
      </c>
      <c r="CA183">
        <v>0.55000000000000004</v>
      </c>
      <c r="CB183">
        <v>0.55000000000000004</v>
      </c>
    </row>
    <row r="184" spans="7:80" x14ac:dyDescent="0.2">
      <c r="H184" t="s">
        <v>164</v>
      </c>
      <c r="J184">
        <v>91.25</v>
      </c>
      <c r="K184">
        <v>89</v>
      </c>
      <c r="M184">
        <v>460</v>
      </c>
      <c r="O184">
        <v>-0.44</v>
      </c>
      <c r="P184">
        <v>550</v>
      </c>
      <c r="Q184">
        <f t="shared" si="57"/>
        <v>0.83636363636363631</v>
      </c>
      <c r="S184">
        <v>0.02</v>
      </c>
      <c r="T184">
        <v>0</v>
      </c>
      <c r="U184">
        <v>0</v>
      </c>
      <c r="V184">
        <v>0</v>
      </c>
      <c r="W184">
        <f>S184*B163+T184*B164</f>
        <v>0.12</v>
      </c>
      <c r="X184">
        <f t="shared" si="52"/>
        <v>1.006</v>
      </c>
      <c r="Y184">
        <f t="shared" si="53"/>
        <v>6.7204461131776014</v>
      </c>
      <c r="Z184">
        <f t="shared" si="58"/>
        <v>0.90079981295694089</v>
      </c>
      <c r="AC184">
        <v>0.2</v>
      </c>
      <c r="AE184">
        <v>0.75</v>
      </c>
      <c r="AF184">
        <f t="shared" si="54"/>
        <v>1.7930150229957842</v>
      </c>
      <c r="AG184">
        <f t="shared" si="59"/>
        <v>0.19</v>
      </c>
      <c r="AH184">
        <f t="shared" si="60"/>
        <v>0.6784</v>
      </c>
      <c r="AI184">
        <f>AI161</f>
        <v>0</v>
      </c>
      <c r="AK184">
        <f>AK161</f>
        <v>0.7</v>
      </c>
      <c r="AL184">
        <f>AL161</f>
        <v>100</v>
      </c>
      <c r="AM184">
        <f>AM161</f>
        <v>4.7000000000000002E-3</v>
      </c>
      <c r="AN184">
        <f t="shared" si="61"/>
        <v>0</v>
      </c>
      <c r="AO184">
        <f t="shared" si="62"/>
        <v>1.0862285826991037E-3</v>
      </c>
      <c r="AP184">
        <f t="shared" si="63"/>
        <v>1.0862285826991037E-3</v>
      </c>
      <c r="AQ184">
        <f t="shared" si="64"/>
        <v>8.8215338772450949</v>
      </c>
      <c r="AS184">
        <f>U184*$B$163+V184*$B$164</f>
        <v>0</v>
      </c>
      <c r="AT184">
        <f t="shared" si="55"/>
        <v>-4.7165176437055749E-3</v>
      </c>
      <c r="AU184">
        <f t="shared" si="66"/>
        <v>0.21802263381789624</v>
      </c>
      <c r="AV184">
        <f t="shared" si="56"/>
        <v>1770.6163148935898</v>
      </c>
      <c r="AY184">
        <f>AY161</f>
        <v>6.0000000000000001E-3</v>
      </c>
      <c r="BB184">
        <f t="shared" si="67"/>
        <v>0.24</v>
      </c>
      <c r="BQ184" s="3" t="s">
        <v>164</v>
      </c>
      <c r="BR184" s="4" t="s">
        <v>182</v>
      </c>
      <c r="BS184">
        <v>0.5</v>
      </c>
      <c r="BT184">
        <v>0.5</v>
      </c>
      <c r="BU184">
        <v>0.54</v>
      </c>
      <c r="BV184">
        <v>0.51</v>
      </c>
      <c r="BW184">
        <v>0.75</v>
      </c>
      <c r="BX184">
        <v>0.75</v>
      </c>
      <c r="BY184">
        <v>0.76</v>
      </c>
      <c r="BZ184">
        <v>0.75</v>
      </c>
      <c r="CA184">
        <v>0.45</v>
      </c>
      <c r="CB184">
        <v>0.45</v>
      </c>
    </row>
    <row r="185" spans="7:80" x14ac:dyDescent="0.2">
      <c r="G185" t="s">
        <v>187</v>
      </c>
      <c r="H185" t="s">
        <v>160</v>
      </c>
      <c r="J185">
        <v>91.25</v>
      </c>
      <c r="K185">
        <v>25</v>
      </c>
      <c r="M185">
        <v>480</v>
      </c>
      <c r="O185">
        <v>0.5</v>
      </c>
      <c r="P185">
        <v>660</v>
      </c>
      <c r="Q185">
        <f t="shared" si="57"/>
        <v>0.72727272727272729</v>
      </c>
      <c r="S185">
        <v>0</v>
      </c>
      <c r="T185">
        <v>0</v>
      </c>
      <c r="U185">
        <v>0</v>
      </c>
      <c r="V185">
        <v>0</v>
      </c>
      <c r="W185">
        <f>S185*B163+T185*B164</f>
        <v>0</v>
      </c>
      <c r="X185">
        <f t="shared" si="52"/>
        <v>1</v>
      </c>
      <c r="Y185">
        <f t="shared" si="53"/>
        <v>8.5419414755999998</v>
      </c>
      <c r="Z185">
        <f>Y185 / ((1.185 + 0.00454 * M185 - 0.0000026 * M185 ^ 2) ^ 2 * X185)</f>
        <v>1.117161755511366</v>
      </c>
      <c r="AC185">
        <v>0.2</v>
      </c>
      <c r="AE185">
        <v>0.75</v>
      </c>
      <c r="AF185">
        <f t="shared" si="54"/>
        <v>2.2789899856900799</v>
      </c>
      <c r="AG185">
        <f t="shared" si="59"/>
        <v>0.19</v>
      </c>
      <c r="AH185">
        <f t="shared" si="60"/>
        <v>0.6784</v>
      </c>
      <c r="AI185">
        <f>AI161</f>
        <v>0</v>
      </c>
      <c r="AK185">
        <f>AK161</f>
        <v>0.7</v>
      </c>
      <c r="AL185">
        <f>AL161</f>
        <v>100</v>
      </c>
      <c r="AM185">
        <f>AM161</f>
        <v>4.7000000000000002E-3</v>
      </c>
      <c r="AN185">
        <f t="shared" si="61"/>
        <v>0</v>
      </c>
      <c r="AO185">
        <f t="shared" si="62"/>
        <v>1.3806376580188901E-3</v>
      </c>
      <c r="AP185">
        <f t="shared" si="63"/>
        <v>1.3806376580188901E-3</v>
      </c>
      <c r="AQ185">
        <f t="shared" si="64"/>
        <v>3.1495796573555928</v>
      </c>
      <c r="AS185">
        <f t="shared" si="65"/>
        <v>0</v>
      </c>
      <c r="AT185">
        <f t="shared" si="55"/>
        <v>6.6313307479572928E-3</v>
      </c>
      <c r="AU185">
        <f t="shared" si="66"/>
        <v>0.26490593615622499</v>
      </c>
      <c r="AV185">
        <f t="shared" si="56"/>
        <v>604.31666685638822</v>
      </c>
      <c r="AY185">
        <f>AY161</f>
        <v>6.0000000000000001E-3</v>
      </c>
      <c r="BB185">
        <f t="shared" si="67"/>
        <v>0.24</v>
      </c>
      <c r="BQ185" s="5" t="s">
        <v>160</v>
      </c>
      <c r="BR185" s="6" t="s">
        <v>187</v>
      </c>
      <c r="BS185">
        <v>0.55000000000000004</v>
      </c>
      <c r="BT185">
        <v>0.55000000000000004</v>
      </c>
      <c r="BU185">
        <v>0.55000000000000004</v>
      </c>
      <c r="BV185">
        <v>0.53</v>
      </c>
      <c r="BW185">
        <v>0.7</v>
      </c>
      <c r="BX185">
        <v>0.75</v>
      </c>
      <c r="BY185">
        <v>0.8</v>
      </c>
      <c r="BZ185">
        <v>0.8</v>
      </c>
      <c r="CA185">
        <v>0.4</v>
      </c>
      <c r="CB185">
        <v>0.4</v>
      </c>
    </row>
    <row r="186" spans="7:80" x14ac:dyDescent="0.2">
      <c r="G186" t="s">
        <v>197</v>
      </c>
      <c r="H186" t="s">
        <v>162</v>
      </c>
      <c r="J186">
        <v>91.25</v>
      </c>
      <c r="K186">
        <v>55</v>
      </c>
      <c r="M186">
        <v>460</v>
      </c>
      <c r="O186">
        <v>0.5</v>
      </c>
      <c r="P186">
        <v>660</v>
      </c>
      <c r="Q186">
        <f t="shared" si="57"/>
        <v>0.69696969696969702</v>
      </c>
      <c r="S186">
        <v>0</v>
      </c>
      <c r="T186">
        <v>0</v>
      </c>
      <c r="U186">
        <v>0</v>
      </c>
      <c r="V186">
        <v>0</v>
      </c>
      <c r="W186">
        <f>S186*B163+T186*B164</f>
        <v>0</v>
      </c>
      <c r="X186">
        <f t="shared" si="52"/>
        <v>1</v>
      </c>
      <c r="Y186">
        <f t="shared" si="53"/>
        <v>8.2986629476000022</v>
      </c>
      <c r="Z186">
        <f t="shared" si="58"/>
        <v>1.1190159862201372</v>
      </c>
      <c r="AC186">
        <v>0.1</v>
      </c>
      <c r="AE186">
        <v>0.6</v>
      </c>
      <c r="AF186">
        <f t="shared" si="54"/>
        <v>3.359298761188481</v>
      </c>
      <c r="AG186">
        <f t="shared" si="59"/>
        <v>0.19</v>
      </c>
      <c r="AH186">
        <f t="shared" si="60"/>
        <v>0.6784</v>
      </c>
      <c r="AI186">
        <f>AI161</f>
        <v>0</v>
      </c>
      <c r="AK186">
        <f>AK161</f>
        <v>0.7</v>
      </c>
      <c r="AL186">
        <f>AL161</f>
        <v>100</v>
      </c>
      <c r="AM186">
        <f>AM161</f>
        <v>4.7000000000000002E-3</v>
      </c>
      <c r="AN186">
        <f t="shared" si="61"/>
        <v>0</v>
      </c>
      <c r="AO186">
        <f t="shared" si="62"/>
        <v>2.0351008136741074E-3</v>
      </c>
      <c r="AP186">
        <f t="shared" si="63"/>
        <v>2.0351008136741074E-3</v>
      </c>
      <c r="AQ186">
        <f t="shared" si="64"/>
        <v>10.213662208626927</v>
      </c>
      <c r="AS186">
        <f t="shared" si="65"/>
        <v>0</v>
      </c>
      <c r="AT186">
        <f t="shared" si="55"/>
        <v>6.858524680573205E-3</v>
      </c>
      <c r="AU186">
        <f t="shared" si="66"/>
        <v>0.12417192303353429</v>
      </c>
      <c r="AV186">
        <f t="shared" si="56"/>
        <v>623.18783872455015</v>
      </c>
      <c r="AY186">
        <f>AY161</f>
        <v>6.0000000000000001E-3</v>
      </c>
      <c r="BB186">
        <f t="shared" si="67"/>
        <v>0.24</v>
      </c>
      <c r="BQ186" s="3" t="s">
        <v>162</v>
      </c>
      <c r="BR186" s="4" t="s">
        <v>187</v>
      </c>
      <c r="BS186">
        <v>0.65</v>
      </c>
      <c r="BT186">
        <v>0.65</v>
      </c>
      <c r="BU186">
        <v>0.61</v>
      </c>
      <c r="BV186">
        <v>0.56999999999999995</v>
      </c>
      <c r="BW186">
        <v>0.55000000000000004</v>
      </c>
      <c r="BX186">
        <v>0.6</v>
      </c>
      <c r="BY186">
        <v>0.55000000000000004</v>
      </c>
      <c r="BZ186">
        <v>0.57999999999999996</v>
      </c>
      <c r="CA186">
        <v>0.65</v>
      </c>
      <c r="CB186">
        <v>0.65</v>
      </c>
    </row>
    <row r="187" spans="7:80" x14ac:dyDescent="0.2">
      <c r="H187" t="s">
        <v>163</v>
      </c>
      <c r="J187">
        <v>91.25</v>
      </c>
      <c r="K187">
        <v>52</v>
      </c>
      <c r="M187">
        <v>490</v>
      </c>
      <c r="O187">
        <v>0.33</v>
      </c>
      <c r="P187">
        <v>660</v>
      </c>
      <c r="Q187">
        <f t="shared" si="57"/>
        <v>0.74242424242424243</v>
      </c>
      <c r="S187">
        <v>0</v>
      </c>
      <c r="T187">
        <v>0</v>
      </c>
      <c r="U187">
        <v>0</v>
      </c>
      <c r="V187">
        <v>0</v>
      </c>
      <c r="W187">
        <f>S187*B163+T187*B164</f>
        <v>0</v>
      </c>
      <c r="X187">
        <f t="shared" si="52"/>
        <v>1</v>
      </c>
      <c r="Y187">
        <f t="shared" si="53"/>
        <v>8.3479967040999998</v>
      </c>
      <c r="Z187">
        <f t="shared" si="58"/>
        <v>1.0760336100693013</v>
      </c>
      <c r="AC187">
        <v>0.16</v>
      </c>
      <c r="AE187">
        <v>0.7</v>
      </c>
      <c r="AF187">
        <f t="shared" si="54"/>
        <v>2.6112533690424806</v>
      </c>
      <c r="AG187">
        <f t="shared" si="59"/>
        <v>0.19</v>
      </c>
      <c r="AH187">
        <f t="shared" si="60"/>
        <v>0.6784</v>
      </c>
      <c r="AI187">
        <f>AI161</f>
        <v>0</v>
      </c>
      <c r="AK187">
        <f>AK161</f>
        <v>0.7</v>
      </c>
      <c r="AL187">
        <f>AL161</f>
        <v>100</v>
      </c>
      <c r="AM187">
        <f>AM161</f>
        <v>4.7000000000000002E-3</v>
      </c>
      <c r="AN187">
        <f t="shared" si="61"/>
        <v>0</v>
      </c>
      <c r="AO187">
        <f t="shared" si="62"/>
        <v>1.5819265370036681E-3</v>
      </c>
      <c r="AP187">
        <f t="shared" si="63"/>
        <v>1.5819265370036681E-3</v>
      </c>
      <c r="AQ187">
        <f t="shared" si="64"/>
        <v>7.5062414180824053</v>
      </c>
      <c r="AS187">
        <f t="shared" si="65"/>
        <v>0</v>
      </c>
      <c r="AT187">
        <f t="shared" si="55"/>
        <v>4.3107702823742518E-3</v>
      </c>
      <c r="AU187">
        <f t="shared" si="66"/>
        <v>0.20756495689497151</v>
      </c>
      <c r="AV187">
        <f t="shared" si="56"/>
        <v>984.89572046663977</v>
      </c>
      <c r="AY187">
        <f>AY161</f>
        <v>6.0000000000000001E-3</v>
      </c>
      <c r="BB187">
        <f t="shared" si="67"/>
        <v>0.24</v>
      </c>
      <c r="BQ187" s="5" t="s">
        <v>163</v>
      </c>
      <c r="BR187" s="6" t="s">
        <v>187</v>
      </c>
      <c r="BS187">
        <v>0.6</v>
      </c>
      <c r="BT187">
        <v>0.6</v>
      </c>
      <c r="BU187">
        <v>0.56999999999999995</v>
      </c>
      <c r="BV187">
        <v>0.55000000000000004</v>
      </c>
      <c r="BW187">
        <v>0.55000000000000004</v>
      </c>
      <c r="BX187">
        <v>0.7</v>
      </c>
      <c r="BY187">
        <v>0.6</v>
      </c>
      <c r="BZ187">
        <v>0.5</v>
      </c>
      <c r="CA187">
        <v>0.55000000000000004</v>
      </c>
      <c r="CB187">
        <v>0.55000000000000004</v>
      </c>
    </row>
    <row r="188" spans="7:80" x14ac:dyDescent="0.2">
      <c r="H188" t="s">
        <v>164</v>
      </c>
      <c r="J188">
        <v>91.25</v>
      </c>
      <c r="K188">
        <v>45</v>
      </c>
      <c r="M188">
        <v>470</v>
      </c>
      <c r="O188">
        <v>-0.22</v>
      </c>
      <c r="P188">
        <v>660</v>
      </c>
      <c r="Q188">
        <f t="shared" si="57"/>
        <v>0.71212121212121215</v>
      </c>
      <c r="S188">
        <v>0</v>
      </c>
      <c r="T188">
        <v>0</v>
      </c>
      <c r="U188">
        <v>0</v>
      </c>
      <c r="V188">
        <v>0</v>
      </c>
      <c r="W188">
        <f>S188*B163+T188*B164</f>
        <v>0</v>
      </c>
      <c r="X188">
        <f t="shared" si="52"/>
        <v>1</v>
      </c>
      <c r="Y188">
        <f t="shared" si="53"/>
        <v>7.1564810255999998</v>
      </c>
      <c r="Z188">
        <f t="shared" si="58"/>
        <v>0.95013586833960861</v>
      </c>
      <c r="AC188">
        <v>0.2</v>
      </c>
      <c r="AE188">
        <v>0.75</v>
      </c>
      <c r="AF188">
        <f t="shared" si="54"/>
        <v>1.9093491376300802</v>
      </c>
      <c r="AG188">
        <f t="shared" si="59"/>
        <v>0.19</v>
      </c>
      <c r="AH188">
        <f t="shared" si="60"/>
        <v>0.6784</v>
      </c>
      <c r="AI188">
        <f>AI161</f>
        <v>0</v>
      </c>
      <c r="AK188">
        <f>AK161</f>
        <v>0.7</v>
      </c>
      <c r="AL188">
        <f>AL161</f>
        <v>100</v>
      </c>
      <c r="AM188">
        <f>AM161</f>
        <v>4.7000000000000002E-3</v>
      </c>
      <c r="AN188">
        <f t="shared" si="61"/>
        <v>0</v>
      </c>
      <c r="AO188">
        <f t="shared" si="62"/>
        <v>1.1567050922866441E-3</v>
      </c>
      <c r="AP188">
        <f t="shared" si="63"/>
        <v>1.1567050922866441E-3</v>
      </c>
      <c r="AQ188">
        <f t="shared" si="64"/>
        <v>4.7497202852020326</v>
      </c>
      <c r="AS188">
        <f t="shared" si="65"/>
        <v>0</v>
      </c>
      <c r="AT188">
        <f t="shared" si="55"/>
        <v>-2.9719011597439866E-3</v>
      </c>
      <c r="AU188">
        <f t="shared" si="66"/>
        <v>0.23020270869137566</v>
      </c>
      <c r="AV188">
        <f t="shared" si="56"/>
        <v>945.26987256396126</v>
      </c>
      <c r="AY188">
        <f>AY161</f>
        <v>6.0000000000000001E-3</v>
      </c>
      <c r="BB188">
        <f t="shared" si="67"/>
        <v>0.24</v>
      </c>
      <c r="BQ188" s="3" t="s">
        <v>164</v>
      </c>
      <c r="BR188" s="4" t="s">
        <v>187</v>
      </c>
      <c r="BS188">
        <v>0.5</v>
      </c>
      <c r="BT188">
        <v>0.5</v>
      </c>
      <c r="BU188">
        <v>0.54</v>
      </c>
      <c r="BV188">
        <v>0.51</v>
      </c>
      <c r="BW188">
        <v>0.75</v>
      </c>
      <c r="BX188">
        <v>0.75</v>
      </c>
      <c r="BY188">
        <v>0.76</v>
      </c>
      <c r="BZ188">
        <v>0.75</v>
      </c>
      <c r="CA188">
        <v>0.45</v>
      </c>
      <c r="CB188">
        <v>0.45</v>
      </c>
    </row>
    <row r="189" spans="7:80" x14ac:dyDescent="0.2">
      <c r="G189" t="s">
        <v>188</v>
      </c>
      <c r="H189" t="s">
        <v>160</v>
      </c>
      <c r="J189">
        <v>91.25</v>
      </c>
      <c r="K189">
        <v>28</v>
      </c>
      <c r="M189">
        <v>480</v>
      </c>
      <c r="O189">
        <v>0.5</v>
      </c>
      <c r="P189">
        <v>660</v>
      </c>
      <c r="Q189">
        <f t="shared" si="57"/>
        <v>0.72727272727272729</v>
      </c>
      <c r="S189">
        <v>0</v>
      </c>
      <c r="T189">
        <v>0</v>
      </c>
      <c r="U189">
        <v>0</v>
      </c>
      <c r="V189">
        <v>0</v>
      </c>
      <c r="W189">
        <f>S189*B163+T189*B164</f>
        <v>0</v>
      </c>
      <c r="X189">
        <f t="shared" si="52"/>
        <v>1</v>
      </c>
      <c r="Y189">
        <f t="shared" si="53"/>
        <v>8.5419414755999998</v>
      </c>
      <c r="Z189">
        <f t="shared" si="58"/>
        <v>1.117161755511366</v>
      </c>
      <c r="AC189">
        <v>0.2</v>
      </c>
      <c r="AE189">
        <v>0.75</v>
      </c>
      <c r="AF189">
        <f t="shared" si="54"/>
        <v>2.2789899856900799</v>
      </c>
      <c r="AG189">
        <f t="shared" si="59"/>
        <v>0.19</v>
      </c>
      <c r="AH189">
        <f t="shared" si="60"/>
        <v>0.6784</v>
      </c>
      <c r="AI189">
        <f>AI161</f>
        <v>0</v>
      </c>
      <c r="AK189">
        <f>AK161</f>
        <v>0.7</v>
      </c>
      <c r="AL189">
        <f>AL161</f>
        <v>100</v>
      </c>
      <c r="AM189">
        <f>AM161</f>
        <v>4.7000000000000002E-3</v>
      </c>
      <c r="AN189">
        <f t="shared" si="61"/>
        <v>0</v>
      </c>
      <c r="AO189">
        <f t="shared" si="62"/>
        <v>1.3806376580188901E-3</v>
      </c>
      <c r="AP189">
        <f t="shared" si="63"/>
        <v>1.3806376580188901E-3</v>
      </c>
      <c r="AQ189">
        <f t="shared" si="64"/>
        <v>3.5275292162382645</v>
      </c>
      <c r="AS189">
        <f t="shared" si="65"/>
        <v>0</v>
      </c>
      <c r="AT189">
        <f t="shared" si="55"/>
        <v>6.6313307479572928E-3</v>
      </c>
      <c r="AU189">
        <f t="shared" si="66"/>
        <v>0.26490593615622499</v>
      </c>
      <c r="AV189">
        <f t="shared" si="56"/>
        <v>676.83466687915484</v>
      </c>
      <c r="AY189">
        <f>AY161</f>
        <v>6.0000000000000001E-3</v>
      </c>
      <c r="BB189">
        <f t="shared" si="67"/>
        <v>0.24</v>
      </c>
      <c r="BQ189" s="5" t="s">
        <v>160</v>
      </c>
      <c r="BR189" s="6" t="s">
        <v>188</v>
      </c>
      <c r="BS189">
        <v>0.55000000000000004</v>
      </c>
      <c r="BT189">
        <v>0.55000000000000004</v>
      </c>
      <c r="BU189">
        <v>0.55000000000000004</v>
      </c>
      <c r="BV189">
        <v>0.53</v>
      </c>
      <c r="BW189">
        <v>0.7</v>
      </c>
      <c r="BX189">
        <v>0.75</v>
      </c>
      <c r="BY189">
        <v>0.8</v>
      </c>
      <c r="BZ189">
        <v>0.8</v>
      </c>
      <c r="CA189">
        <v>0.4</v>
      </c>
      <c r="CB189">
        <v>0.4</v>
      </c>
    </row>
    <row r="190" spans="7:80" x14ac:dyDescent="0.2">
      <c r="G190" t="s">
        <v>198</v>
      </c>
      <c r="H190" t="s">
        <v>162</v>
      </c>
      <c r="J190">
        <v>91.25</v>
      </c>
      <c r="K190">
        <v>50</v>
      </c>
      <c r="M190">
        <v>460</v>
      </c>
      <c r="O190">
        <v>0.5</v>
      </c>
      <c r="P190">
        <v>660</v>
      </c>
      <c r="Q190">
        <f t="shared" si="57"/>
        <v>0.69696969696969702</v>
      </c>
      <c r="S190">
        <v>0</v>
      </c>
      <c r="T190">
        <v>0</v>
      </c>
      <c r="U190">
        <v>0</v>
      </c>
      <c r="V190">
        <v>0</v>
      </c>
      <c r="W190">
        <f>S190*B163+T190*B164</f>
        <v>0</v>
      </c>
      <c r="X190">
        <f t="shared" si="52"/>
        <v>1</v>
      </c>
      <c r="Y190">
        <f t="shared" si="53"/>
        <v>8.2986629476000022</v>
      </c>
      <c r="Z190">
        <f t="shared" si="58"/>
        <v>1.1190159862201372</v>
      </c>
      <c r="AC190">
        <v>0.1</v>
      </c>
      <c r="AE190">
        <v>0.6</v>
      </c>
      <c r="AF190">
        <f t="shared" si="54"/>
        <v>3.359298761188481</v>
      </c>
      <c r="AG190">
        <f t="shared" si="59"/>
        <v>0.19</v>
      </c>
      <c r="AH190">
        <f t="shared" si="60"/>
        <v>0.6784</v>
      </c>
      <c r="AI190">
        <f>AI161</f>
        <v>0</v>
      </c>
      <c r="AK190">
        <f>AK161</f>
        <v>0.7</v>
      </c>
      <c r="AL190">
        <f>AL161</f>
        <v>100</v>
      </c>
      <c r="AM190">
        <f>AM161</f>
        <v>4.7000000000000002E-3</v>
      </c>
      <c r="AN190">
        <f t="shared" si="61"/>
        <v>0</v>
      </c>
      <c r="AO190">
        <f t="shared" si="62"/>
        <v>2.0351008136741074E-3</v>
      </c>
      <c r="AP190">
        <f t="shared" si="63"/>
        <v>2.0351008136741074E-3</v>
      </c>
      <c r="AQ190">
        <f t="shared" si="64"/>
        <v>9.2851474623881156</v>
      </c>
      <c r="AS190">
        <f t="shared" si="65"/>
        <v>0</v>
      </c>
      <c r="AT190">
        <f t="shared" si="55"/>
        <v>6.858524680573205E-3</v>
      </c>
      <c r="AU190">
        <f>MAX((Y190*AC190/6.25)+(0.032*AS190/6.38)-AT190-((1.1*(10^-4)*(M190^0.75))/6.25), 0)</f>
        <v>0.12417192303353429</v>
      </c>
      <c r="AV190">
        <f t="shared" si="56"/>
        <v>566.53439884050022</v>
      </c>
      <c r="AY190">
        <f>AY161</f>
        <v>6.0000000000000001E-3</v>
      </c>
      <c r="BB190">
        <f t="shared" si="67"/>
        <v>0.24</v>
      </c>
      <c r="BQ190" s="3" t="s">
        <v>162</v>
      </c>
      <c r="BR190" s="4" t="s">
        <v>188</v>
      </c>
      <c r="BS190">
        <v>0.65</v>
      </c>
      <c r="BT190">
        <v>0.65</v>
      </c>
      <c r="BU190">
        <v>0.61</v>
      </c>
      <c r="BV190">
        <v>0.56999999999999995</v>
      </c>
      <c r="BW190">
        <v>0.55000000000000004</v>
      </c>
      <c r="BX190">
        <v>0.6</v>
      </c>
      <c r="BY190">
        <v>0.55000000000000004</v>
      </c>
      <c r="BZ190">
        <v>0.57999999999999996</v>
      </c>
      <c r="CA190">
        <v>0.65</v>
      </c>
      <c r="CB190">
        <v>0.65</v>
      </c>
    </row>
    <row r="191" spans="7:80" x14ac:dyDescent="0.2">
      <c r="H191" t="s">
        <v>163</v>
      </c>
      <c r="J191">
        <v>91.25</v>
      </c>
      <c r="K191">
        <v>44</v>
      </c>
      <c r="M191">
        <v>490</v>
      </c>
      <c r="O191">
        <v>0.33</v>
      </c>
      <c r="P191">
        <v>660</v>
      </c>
      <c r="Q191">
        <f t="shared" si="57"/>
        <v>0.74242424242424243</v>
      </c>
      <c r="S191">
        <v>0</v>
      </c>
      <c r="T191">
        <v>0</v>
      </c>
      <c r="U191">
        <v>0</v>
      </c>
      <c r="V191">
        <v>0</v>
      </c>
      <c r="W191">
        <f>S191*B163+T191*B164</f>
        <v>0</v>
      </c>
      <c r="X191">
        <f t="shared" si="52"/>
        <v>1</v>
      </c>
      <c r="Y191">
        <f t="shared" si="53"/>
        <v>8.3479967040999998</v>
      </c>
      <c r="Z191">
        <f t="shared" si="58"/>
        <v>1.0760336100693013</v>
      </c>
      <c r="AC191">
        <v>0.16</v>
      </c>
      <c r="AE191">
        <v>0.7</v>
      </c>
      <c r="AF191">
        <f t="shared" si="54"/>
        <v>2.6112533690424806</v>
      </c>
      <c r="AG191">
        <f t="shared" si="59"/>
        <v>0.19</v>
      </c>
      <c r="AH191">
        <f t="shared" si="60"/>
        <v>0.6784</v>
      </c>
      <c r="AI191">
        <f>AI161</f>
        <v>0</v>
      </c>
      <c r="AK191">
        <f>AK161</f>
        <v>0.7</v>
      </c>
      <c r="AL191">
        <f>AL161</f>
        <v>100</v>
      </c>
      <c r="AM191">
        <f>AM161</f>
        <v>4.7000000000000002E-3</v>
      </c>
      <c r="AN191">
        <f t="shared" si="61"/>
        <v>0</v>
      </c>
      <c r="AO191">
        <f t="shared" si="62"/>
        <v>1.5819265370036681E-3</v>
      </c>
      <c r="AP191">
        <f t="shared" si="63"/>
        <v>1.5819265370036681E-3</v>
      </c>
      <c r="AQ191">
        <f t="shared" si="64"/>
        <v>6.3514350460697271</v>
      </c>
      <c r="AS191">
        <f t="shared" si="65"/>
        <v>0</v>
      </c>
      <c r="AT191">
        <f t="shared" si="55"/>
        <v>4.3107702823742518E-3</v>
      </c>
      <c r="AU191">
        <f t="shared" si="66"/>
        <v>0.20756495689497151</v>
      </c>
      <c r="AV191">
        <f t="shared" si="56"/>
        <v>833.37330193331059</v>
      </c>
      <c r="AY191">
        <f>AY161</f>
        <v>6.0000000000000001E-3</v>
      </c>
      <c r="BB191">
        <f t="shared" si="67"/>
        <v>0.24</v>
      </c>
      <c r="BQ191" s="5" t="s">
        <v>163</v>
      </c>
      <c r="BR191" s="6" t="s">
        <v>188</v>
      </c>
      <c r="BS191">
        <v>0.6</v>
      </c>
      <c r="BT191">
        <v>0.6</v>
      </c>
      <c r="BU191">
        <v>0.56999999999999995</v>
      </c>
      <c r="BV191">
        <v>0.55000000000000004</v>
      </c>
      <c r="BW191">
        <v>0.55000000000000004</v>
      </c>
      <c r="BX191">
        <v>0.7</v>
      </c>
      <c r="BY191">
        <v>0.6</v>
      </c>
      <c r="BZ191">
        <v>0.5</v>
      </c>
      <c r="CA191">
        <v>0.55000000000000004</v>
      </c>
      <c r="CB191">
        <v>0.55000000000000004</v>
      </c>
    </row>
    <row r="192" spans="7:80" x14ac:dyDescent="0.2">
      <c r="H192" t="s">
        <v>164</v>
      </c>
      <c r="J192">
        <v>91.25</v>
      </c>
      <c r="K192">
        <v>20</v>
      </c>
      <c r="M192">
        <v>470</v>
      </c>
      <c r="O192">
        <v>-0.22</v>
      </c>
      <c r="P192">
        <v>660</v>
      </c>
      <c r="Q192">
        <f t="shared" si="57"/>
        <v>0.71212121212121215</v>
      </c>
      <c r="S192">
        <v>0</v>
      </c>
      <c r="T192">
        <v>0</v>
      </c>
      <c r="U192">
        <v>0</v>
      </c>
      <c r="V192">
        <v>0</v>
      </c>
      <c r="W192">
        <f>S192*B163+T192*B164</f>
        <v>0</v>
      </c>
      <c r="X192">
        <f t="shared" si="52"/>
        <v>1</v>
      </c>
      <c r="Y192">
        <f t="shared" si="53"/>
        <v>7.1564810255999998</v>
      </c>
      <c r="Z192">
        <f t="shared" si="58"/>
        <v>0.95013586833960861</v>
      </c>
      <c r="AC192">
        <v>0.2</v>
      </c>
      <c r="AE192">
        <v>0.75</v>
      </c>
      <c r="AF192">
        <f t="shared" si="54"/>
        <v>1.9093491376300802</v>
      </c>
      <c r="AG192">
        <f t="shared" si="59"/>
        <v>0.19</v>
      </c>
      <c r="AH192">
        <f t="shared" si="60"/>
        <v>0.6784</v>
      </c>
      <c r="AI192">
        <f>AI161</f>
        <v>0</v>
      </c>
      <c r="AK192">
        <f>AK161</f>
        <v>0.7</v>
      </c>
      <c r="AL192">
        <f>AL161</f>
        <v>100</v>
      </c>
      <c r="AM192">
        <f>AM161</f>
        <v>4.7000000000000002E-3</v>
      </c>
      <c r="AN192">
        <f t="shared" si="61"/>
        <v>0</v>
      </c>
      <c r="AO192">
        <f t="shared" si="62"/>
        <v>1.1567050922866441E-3</v>
      </c>
      <c r="AP192">
        <f t="shared" si="63"/>
        <v>1.1567050922866441E-3</v>
      </c>
      <c r="AQ192">
        <f t="shared" si="64"/>
        <v>2.1109867934231255</v>
      </c>
      <c r="AS192">
        <f t="shared" si="65"/>
        <v>0</v>
      </c>
      <c r="AT192">
        <f t="shared" si="55"/>
        <v>-2.9719011597439866E-3</v>
      </c>
      <c r="AU192">
        <f t="shared" si="66"/>
        <v>0.23020270869137566</v>
      </c>
      <c r="AV192">
        <f t="shared" si="56"/>
        <v>420.11994336176053</v>
      </c>
      <c r="AY192">
        <f>AY161</f>
        <v>6.0000000000000001E-3</v>
      </c>
      <c r="BB192">
        <f t="shared" si="67"/>
        <v>0.24</v>
      </c>
      <c r="BQ192" s="3" t="s">
        <v>164</v>
      </c>
      <c r="BR192" s="4" t="s">
        <v>188</v>
      </c>
      <c r="BS192">
        <v>0.5</v>
      </c>
      <c r="BT192">
        <v>0.5</v>
      </c>
      <c r="BU192">
        <v>0.54</v>
      </c>
      <c r="BV192">
        <v>0.51</v>
      </c>
      <c r="BW192">
        <v>0.75</v>
      </c>
      <c r="BX192">
        <v>0.75</v>
      </c>
      <c r="BY192">
        <v>0.76</v>
      </c>
      <c r="BZ192">
        <v>0.75</v>
      </c>
      <c r="CA192">
        <v>0.45</v>
      </c>
      <c r="CB192">
        <v>0.45</v>
      </c>
    </row>
    <row r="193" spans="7:85" x14ac:dyDescent="0.2">
      <c r="G193" t="s">
        <v>186</v>
      </c>
      <c r="H193" t="s">
        <v>160</v>
      </c>
      <c r="J193">
        <v>91.25</v>
      </c>
      <c r="K193">
        <v>15</v>
      </c>
      <c r="M193">
        <v>90</v>
      </c>
      <c r="O193">
        <v>1</v>
      </c>
      <c r="P193">
        <v>660</v>
      </c>
      <c r="Q193">
        <f t="shared" si="57"/>
        <v>0.13636363636363635</v>
      </c>
      <c r="S193">
        <v>0</v>
      </c>
      <c r="T193">
        <v>0</v>
      </c>
      <c r="U193">
        <f>10/K193</f>
        <v>0.66666666666666663</v>
      </c>
      <c r="V193">
        <f>5/K193</f>
        <v>0.33333333333333331</v>
      </c>
      <c r="W193">
        <f>S193*B163+T193*B164</f>
        <v>0</v>
      </c>
      <c r="X193">
        <f t="shared" si="52"/>
        <v>1</v>
      </c>
      <c r="Y193">
        <f t="shared" si="53"/>
        <v>3.5628072515999993</v>
      </c>
      <c r="Z193">
        <f t="shared" si="58"/>
        <v>1.4407509849872533</v>
      </c>
      <c r="AC193">
        <v>0.2</v>
      </c>
      <c r="AE193">
        <v>0.75</v>
      </c>
      <c r="AF193">
        <f t="shared" si="54"/>
        <v>0.95055697472687994</v>
      </c>
      <c r="AG193">
        <f t="shared" si="59"/>
        <v>0.19</v>
      </c>
      <c r="AH193">
        <f t="shared" si="60"/>
        <v>0.6784</v>
      </c>
      <c r="AI193">
        <f>AI161</f>
        <v>0</v>
      </c>
      <c r="AK193">
        <f>AK161</f>
        <v>0.7</v>
      </c>
      <c r="AL193">
        <f>AL161</f>
        <v>100</v>
      </c>
      <c r="AM193">
        <f>AM161</f>
        <v>4.7000000000000002E-3</v>
      </c>
      <c r="AN193">
        <f t="shared" si="61"/>
        <v>0</v>
      </c>
      <c r="AO193">
        <f t="shared" si="62"/>
        <v>5.7585806152766084E-4</v>
      </c>
      <c r="AP193">
        <f t="shared" si="63"/>
        <v>5.7585806152766084E-4</v>
      </c>
      <c r="AQ193">
        <f t="shared" si="64"/>
        <v>0.78820572171598591</v>
      </c>
      <c r="AS193">
        <f t="shared" si="65"/>
        <v>5.333333333333333</v>
      </c>
      <c r="AT193">
        <f t="shared" si="55"/>
        <v>2.823821012698224E-2</v>
      </c>
      <c r="AU193">
        <f t="shared" si="66"/>
        <v>0.11200760917912504</v>
      </c>
      <c r="AV193">
        <f t="shared" si="56"/>
        <v>153.31041506392739</v>
      </c>
      <c r="AY193">
        <f>AY161</f>
        <v>6.0000000000000001E-3</v>
      </c>
      <c r="BB193">
        <f t="shared" si="67"/>
        <v>0.24</v>
      </c>
      <c r="BQ193" s="5" t="s">
        <v>160</v>
      </c>
      <c r="BR193" s="6" t="s">
        <v>186</v>
      </c>
      <c r="BS193">
        <v>0.55000000000000004</v>
      </c>
      <c r="BT193">
        <v>0.55000000000000004</v>
      </c>
      <c r="BU193">
        <v>0.55000000000000004</v>
      </c>
      <c r="BV193">
        <v>0.53</v>
      </c>
      <c r="BW193">
        <v>0.7</v>
      </c>
      <c r="BX193">
        <v>0.75</v>
      </c>
      <c r="BY193">
        <v>0.8</v>
      </c>
      <c r="BZ193">
        <v>0.8</v>
      </c>
      <c r="CA193">
        <v>0.4</v>
      </c>
      <c r="CB193">
        <v>0.4</v>
      </c>
    </row>
    <row r="194" spans="7:85" x14ac:dyDescent="0.2">
      <c r="G194">
        <v>6</v>
      </c>
      <c r="H194" t="s">
        <v>162</v>
      </c>
      <c r="J194">
        <v>91.25</v>
      </c>
      <c r="K194">
        <v>40</v>
      </c>
      <c r="M194">
        <v>160</v>
      </c>
      <c r="O194">
        <v>0.77</v>
      </c>
      <c r="P194">
        <v>660</v>
      </c>
      <c r="Q194">
        <f t="shared" si="57"/>
        <v>0.24242424242424243</v>
      </c>
      <c r="S194">
        <v>0</v>
      </c>
      <c r="T194">
        <v>0</v>
      </c>
      <c r="U194">
        <f>25/K194</f>
        <v>0.625</v>
      </c>
      <c r="V194">
        <f>10/K194</f>
        <v>0.25</v>
      </c>
      <c r="W194">
        <f>S194*B163+T194*B164</f>
        <v>0</v>
      </c>
      <c r="X194">
        <f t="shared" si="52"/>
        <v>1</v>
      </c>
      <c r="Y194">
        <f t="shared" si="53"/>
        <v>4.3571970121000003</v>
      </c>
      <c r="Z194">
        <f t="shared" si="58"/>
        <v>1.2802352597949076</v>
      </c>
      <c r="AC194">
        <v>0.1</v>
      </c>
      <c r="AE194">
        <v>0.6</v>
      </c>
      <c r="AF194">
        <f t="shared" si="54"/>
        <v>1.7637933504980803</v>
      </c>
      <c r="AG194">
        <f t="shared" si="59"/>
        <v>0.19</v>
      </c>
      <c r="AH194">
        <f t="shared" si="60"/>
        <v>0.6784</v>
      </c>
      <c r="AI194">
        <f>AI161</f>
        <v>0</v>
      </c>
      <c r="AK194">
        <f>AK161</f>
        <v>0.7</v>
      </c>
      <c r="AL194">
        <f>AL161</f>
        <v>100</v>
      </c>
      <c r="AM194">
        <f>AM161</f>
        <v>4.7000000000000002E-3</v>
      </c>
      <c r="AN194">
        <f t="shared" si="61"/>
        <v>0</v>
      </c>
      <c r="AO194">
        <f t="shared" si="62"/>
        <v>1.0685257662172627E-3</v>
      </c>
      <c r="AP194">
        <f t="shared" si="63"/>
        <v>1.0685257662172627E-3</v>
      </c>
      <c r="AQ194">
        <f t="shared" si="64"/>
        <v>3.9001190466930082</v>
      </c>
      <c r="AS194">
        <f t="shared" si="65"/>
        <v>4.75</v>
      </c>
      <c r="AT194">
        <f t="shared" si="55"/>
        <v>2.0059056191859395E-2</v>
      </c>
      <c r="AU194">
        <f t="shared" si="66"/>
        <v>7.2688770826530899E-2</v>
      </c>
      <c r="AV194">
        <f t="shared" si="56"/>
        <v>265.3140135168378</v>
      </c>
      <c r="AY194">
        <f>AY161</f>
        <v>6.0000000000000001E-3</v>
      </c>
      <c r="BB194">
        <f t="shared" si="67"/>
        <v>0.24</v>
      </c>
      <c r="BQ194" s="3" t="s">
        <v>162</v>
      </c>
      <c r="BR194" s="4" t="s">
        <v>186</v>
      </c>
      <c r="BS194">
        <v>0.65</v>
      </c>
      <c r="BT194">
        <v>0.65</v>
      </c>
      <c r="BU194">
        <v>0.61</v>
      </c>
      <c r="BV194">
        <v>0.56999999999999995</v>
      </c>
      <c r="BW194">
        <v>0.55000000000000004</v>
      </c>
      <c r="BX194">
        <v>0.6</v>
      </c>
      <c r="BY194">
        <v>0.55000000000000004</v>
      </c>
      <c r="BZ194">
        <v>0.57999999999999996</v>
      </c>
      <c r="CA194">
        <v>0.65</v>
      </c>
      <c r="CB194">
        <v>0.65</v>
      </c>
    </row>
    <row r="195" spans="7:85" x14ac:dyDescent="0.2">
      <c r="H195" t="s">
        <v>163</v>
      </c>
      <c r="J195">
        <v>91.25</v>
      </c>
      <c r="K195">
        <v>35</v>
      </c>
      <c r="M195">
        <v>215</v>
      </c>
      <c r="O195">
        <v>0.6</v>
      </c>
      <c r="P195">
        <v>660</v>
      </c>
      <c r="Q195">
        <f t="shared" si="57"/>
        <v>0.32575757575757575</v>
      </c>
      <c r="S195">
        <v>0</v>
      </c>
      <c r="T195">
        <v>0</v>
      </c>
      <c r="U195">
        <v>0</v>
      </c>
      <c r="V195">
        <f>25/K195</f>
        <v>0.7142857142857143</v>
      </c>
      <c r="W195">
        <f>S195*B163+T195*B164</f>
        <v>0</v>
      </c>
      <c r="X195">
        <f t="shared" si="52"/>
        <v>1</v>
      </c>
      <c r="Y195">
        <f t="shared" si="53"/>
        <v>4.9725209072250003</v>
      </c>
      <c r="Z195">
        <f t="shared" si="58"/>
        <v>1.1937868278477273</v>
      </c>
      <c r="AC195">
        <v>0.16</v>
      </c>
      <c r="AE195">
        <v>0.7</v>
      </c>
      <c r="AF195">
        <f t="shared" si="54"/>
        <v>1.5554045397799805</v>
      </c>
      <c r="AG195">
        <f t="shared" si="59"/>
        <v>0.19</v>
      </c>
      <c r="AH195">
        <f t="shared" si="60"/>
        <v>0.6784</v>
      </c>
      <c r="AI195">
        <f>AI161</f>
        <v>0</v>
      </c>
      <c r="AK195">
        <f>AK161</f>
        <v>0.7</v>
      </c>
      <c r="AL195">
        <f>AL161</f>
        <v>100</v>
      </c>
      <c r="AM195">
        <f>AM161</f>
        <v>4.7000000000000002E-3</v>
      </c>
      <c r="AN195">
        <f t="shared" si="61"/>
        <v>0</v>
      </c>
      <c r="AO195">
        <f t="shared" si="62"/>
        <v>9.422814907295579E-4</v>
      </c>
      <c r="AP195">
        <f t="shared" si="63"/>
        <v>9.422814907295579E-4</v>
      </c>
      <c r="AQ195">
        <f t="shared" si="64"/>
        <v>3.0094115110175257</v>
      </c>
      <c r="AS195">
        <f t="shared" si="65"/>
        <v>2.8571428571428572</v>
      </c>
      <c r="AT195">
        <f t="shared" si="55"/>
        <v>1.424332975094679E-2</v>
      </c>
      <c r="AU195">
        <f t="shared" si="66"/>
        <v>0.12639551015571099</v>
      </c>
      <c r="AV195">
        <f t="shared" si="56"/>
        <v>403.675660559802</v>
      </c>
      <c r="AY195">
        <f>AY161</f>
        <v>6.0000000000000001E-3</v>
      </c>
      <c r="BB195">
        <f t="shared" si="67"/>
        <v>0.24</v>
      </c>
      <c r="BQ195" s="5" t="s">
        <v>163</v>
      </c>
      <c r="BR195" s="6" t="s">
        <v>186</v>
      </c>
      <c r="BS195">
        <v>0.6</v>
      </c>
      <c r="BT195">
        <v>0.6</v>
      </c>
      <c r="BU195">
        <v>0.56999999999999995</v>
      </c>
      <c r="BV195">
        <v>0.55000000000000004</v>
      </c>
      <c r="BW195">
        <v>0.55000000000000004</v>
      </c>
      <c r="BX195">
        <v>0.7</v>
      </c>
      <c r="BY195">
        <v>0.6</v>
      </c>
      <c r="BZ195">
        <v>0.5</v>
      </c>
      <c r="CA195">
        <v>0.55000000000000004</v>
      </c>
      <c r="CB195">
        <v>0.55000000000000004</v>
      </c>
    </row>
    <row r="196" spans="7:85" x14ac:dyDescent="0.2">
      <c r="H196" t="s">
        <v>164</v>
      </c>
      <c r="J196">
        <v>91.25</v>
      </c>
      <c r="K196">
        <v>38</v>
      </c>
      <c r="M196">
        <v>230</v>
      </c>
      <c r="O196">
        <v>0.16</v>
      </c>
      <c r="P196">
        <v>660</v>
      </c>
      <c r="Q196">
        <f t="shared" si="57"/>
        <v>0.34848484848484851</v>
      </c>
      <c r="S196">
        <v>0</v>
      </c>
      <c r="T196">
        <v>0</v>
      </c>
      <c r="U196">
        <v>0</v>
      </c>
      <c r="V196">
        <v>0</v>
      </c>
      <c r="W196">
        <f>S196*B163+T196*B164</f>
        <v>0</v>
      </c>
      <c r="X196">
        <f t="shared" si="52"/>
        <v>1</v>
      </c>
      <c r="Y196">
        <f t="shared" si="53"/>
        <v>4.5884210435999995</v>
      </c>
      <c r="Z196">
        <f t="shared" si="58"/>
        <v>1.0487719911430045</v>
      </c>
      <c r="AC196">
        <v>0.2</v>
      </c>
      <c r="AE196">
        <v>0.75</v>
      </c>
      <c r="AF196">
        <f t="shared" si="54"/>
        <v>1.2241907344324798</v>
      </c>
      <c r="AG196">
        <f t="shared" si="59"/>
        <v>0.19</v>
      </c>
      <c r="AH196">
        <f t="shared" si="60"/>
        <v>0.6784</v>
      </c>
      <c r="AI196">
        <f>AI161</f>
        <v>0</v>
      </c>
      <c r="AK196">
        <f>AK161</f>
        <v>0.7</v>
      </c>
      <c r="AL196">
        <f>AL161</f>
        <v>100</v>
      </c>
      <c r="AM196">
        <f>AM161</f>
        <v>4.7000000000000002E-3</v>
      </c>
      <c r="AN196">
        <f t="shared" si="61"/>
        <v>0</v>
      </c>
      <c r="AO196">
        <f t="shared" si="62"/>
        <v>7.4162845785542201E-4</v>
      </c>
      <c r="AP196">
        <f t="shared" si="63"/>
        <v>7.4162845785542201E-4</v>
      </c>
      <c r="AQ196">
        <f t="shared" si="64"/>
        <v>2.5715966776136758</v>
      </c>
      <c r="AS196">
        <f t="shared" si="65"/>
        <v>0</v>
      </c>
      <c r="AT196">
        <f t="shared" si="55"/>
        <v>3.7005179177870932E-3</v>
      </c>
      <c r="AU196">
        <f t="shared" si="66"/>
        <v>0.14208949365085419</v>
      </c>
      <c r="AV196">
        <f t="shared" si="56"/>
        <v>492.69531923433686</v>
      </c>
      <c r="AY196">
        <f>AY161</f>
        <v>6.0000000000000001E-3</v>
      </c>
      <c r="BB196">
        <f t="shared" si="67"/>
        <v>0.24</v>
      </c>
      <c r="BQ196" s="3" t="s">
        <v>164</v>
      </c>
      <c r="BR196" s="4" t="s">
        <v>186</v>
      </c>
      <c r="BS196">
        <v>0.5</v>
      </c>
      <c r="BT196">
        <v>0.5</v>
      </c>
      <c r="BU196">
        <v>0.54</v>
      </c>
      <c r="BV196">
        <v>0.51</v>
      </c>
      <c r="BW196">
        <v>0.75</v>
      </c>
      <c r="BX196">
        <v>0.75</v>
      </c>
      <c r="BY196">
        <v>0.76</v>
      </c>
      <c r="BZ196">
        <v>0.75</v>
      </c>
      <c r="CA196">
        <v>0.45</v>
      </c>
      <c r="CB196">
        <v>0.45</v>
      </c>
    </row>
    <row r="197" spans="7:85" x14ac:dyDescent="0.2">
      <c r="G197" t="s">
        <v>189</v>
      </c>
      <c r="H197" t="s">
        <v>160</v>
      </c>
      <c r="J197">
        <v>91.25</v>
      </c>
      <c r="K197">
        <v>6</v>
      </c>
      <c r="M197">
        <v>480</v>
      </c>
      <c r="O197">
        <v>0.5</v>
      </c>
      <c r="P197">
        <v>660</v>
      </c>
      <c r="Q197">
        <f t="shared" si="57"/>
        <v>0.72727272727272729</v>
      </c>
      <c r="S197">
        <v>0</v>
      </c>
      <c r="T197">
        <v>0</v>
      </c>
      <c r="U197">
        <v>0</v>
      </c>
      <c r="V197">
        <v>0</v>
      </c>
      <c r="W197">
        <f>S197*B163+T197*B164</f>
        <v>0</v>
      </c>
      <c r="X197">
        <f t="shared" si="52"/>
        <v>1</v>
      </c>
      <c r="Y197">
        <f t="shared" si="53"/>
        <v>8.5419414755999998</v>
      </c>
      <c r="Z197">
        <f t="shared" si="58"/>
        <v>1.117161755511366</v>
      </c>
      <c r="AC197">
        <v>0.2</v>
      </c>
      <c r="AE197">
        <v>0.75</v>
      </c>
      <c r="AF197">
        <f t="shared" si="54"/>
        <v>2.2789899856900799</v>
      </c>
      <c r="AG197">
        <f t="shared" si="59"/>
        <v>0.19</v>
      </c>
      <c r="AH197">
        <f t="shared" si="60"/>
        <v>0.6784</v>
      </c>
      <c r="AI197">
        <f>AI161</f>
        <v>0</v>
      </c>
      <c r="AK197">
        <f>AK161</f>
        <v>0.7</v>
      </c>
      <c r="AL197">
        <f>AL161</f>
        <v>100</v>
      </c>
      <c r="AM197">
        <f>AM161</f>
        <v>4.7000000000000002E-3</v>
      </c>
      <c r="AN197">
        <f t="shared" si="61"/>
        <v>0</v>
      </c>
      <c r="AO197">
        <f t="shared" si="62"/>
        <v>1.3806376580188901E-3</v>
      </c>
      <c r="AP197">
        <f t="shared" si="63"/>
        <v>1.3806376580188901E-3</v>
      </c>
      <c r="AQ197">
        <f t="shared" si="64"/>
        <v>0.75589911776534235</v>
      </c>
      <c r="AS197">
        <f t="shared" si="65"/>
        <v>0</v>
      </c>
      <c r="AT197">
        <f t="shared" si="55"/>
        <v>6.6313307479572928E-3</v>
      </c>
      <c r="AU197">
        <f t="shared" si="66"/>
        <v>0.26490593615622499</v>
      </c>
      <c r="AV197">
        <f t="shared" si="56"/>
        <v>145.0360000455332</v>
      </c>
      <c r="AY197">
        <f>AY161</f>
        <v>6.0000000000000001E-3</v>
      </c>
      <c r="BB197">
        <f t="shared" si="67"/>
        <v>0.24</v>
      </c>
      <c r="BQ197" s="5" t="s">
        <v>160</v>
      </c>
      <c r="BR197" s="6" t="s">
        <v>189</v>
      </c>
      <c r="BS197">
        <v>0.55000000000000004</v>
      </c>
      <c r="BT197">
        <v>0.55000000000000004</v>
      </c>
      <c r="BU197">
        <v>0.55000000000000004</v>
      </c>
      <c r="BV197">
        <v>0.53</v>
      </c>
      <c r="BW197">
        <v>0.7</v>
      </c>
      <c r="BX197">
        <v>0.75</v>
      </c>
      <c r="BY197">
        <v>0.8</v>
      </c>
      <c r="BZ197">
        <v>0.8</v>
      </c>
      <c r="CA197">
        <v>0.4</v>
      </c>
      <c r="CB197">
        <v>0.4</v>
      </c>
    </row>
    <row r="198" spans="7:85" x14ac:dyDescent="0.2">
      <c r="G198" t="s">
        <v>199</v>
      </c>
      <c r="H198" t="s">
        <v>162</v>
      </c>
      <c r="J198">
        <v>91.25</v>
      </c>
      <c r="K198">
        <v>25</v>
      </c>
      <c r="M198">
        <v>460</v>
      </c>
      <c r="O198">
        <v>0.5</v>
      </c>
      <c r="P198">
        <v>660</v>
      </c>
      <c r="Q198">
        <f t="shared" si="57"/>
        <v>0.69696969696969702</v>
      </c>
      <c r="S198">
        <v>0</v>
      </c>
      <c r="T198">
        <v>0</v>
      </c>
      <c r="U198">
        <v>0</v>
      </c>
      <c r="V198">
        <v>0</v>
      </c>
      <c r="W198">
        <f>S198*B163+T198*B164</f>
        <v>0</v>
      </c>
      <c r="X198">
        <f t="shared" si="52"/>
        <v>1</v>
      </c>
      <c r="Y198">
        <f t="shared" si="53"/>
        <v>8.2986629476000022</v>
      </c>
      <c r="Z198">
        <f t="shared" si="58"/>
        <v>1.1190159862201372</v>
      </c>
      <c r="AC198">
        <v>0.1</v>
      </c>
      <c r="AE198">
        <v>0.6</v>
      </c>
      <c r="AF198">
        <f t="shared" si="54"/>
        <v>3.359298761188481</v>
      </c>
      <c r="AG198">
        <f t="shared" si="59"/>
        <v>0.19</v>
      </c>
      <c r="AH198">
        <f t="shared" si="60"/>
        <v>0.6784</v>
      </c>
      <c r="AI198">
        <f>AI161</f>
        <v>0</v>
      </c>
      <c r="AK198">
        <f>AK161</f>
        <v>0.7</v>
      </c>
      <c r="AL198">
        <f>AL161</f>
        <v>100</v>
      </c>
      <c r="AM198">
        <f>AM161</f>
        <v>4.7000000000000002E-3</v>
      </c>
      <c r="AN198">
        <f t="shared" si="61"/>
        <v>0</v>
      </c>
      <c r="AO198">
        <f t="shared" si="62"/>
        <v>2.0351008136741074E-3</v>
      </c>
      <c r="AP198">
        <f t="shared" si="63"/>
        <v>2.0351008136741074E-3</v>
      </c>
      <c r="AQ198">
        <f t="shared" si="64"/>
        <v>4.6425737311940578</v>
      </c>
      <c r="AS198">
        <f t="shared" si="65"/>
        <v>0</v>
      </c>
      <c r="AT198">
        <f t="shared" si="55"/>
        <v>6.858524680573205E-3</v>
      </c>
      <c r="AU198">
        <f t="shared" si="66"/>
        <v>0.12417192303353429</v>
      </c>
      <c r="AV198">
        <f t="shared" si="56"/>
        <v>283.26719942025011</v>
      </c>
      <c r="AY198">
        <f>AY161</f>
        <v>6.0000000000000001E-3</v>
      </c>
      <c r="BB198">
        <f t="shared" si="67"/>
        <v>0.24</v>
      </c>
      <c r="BQ198" s="3" t="s">
        <v>162</v>
      </c>
      <c r="BR198" s="4" t="s">
        <v>189</v>
      </c>
      <c r="BS198">
        <v>0.65</v>
      </c>
      <c r="BT198">
        <v>0.65</v>
      </c>
      <c r="BU198">
        <v>0.61</v>
      </c>
      <c r="BV198">
        <v>0.56999999999999995</v>
      </c>
      <c r="BW198">
        <v>0.55000000000000004</v>
      </c>
      <c r="BX198">
        <v>0.6</v>
      </c>
      <c r="BY198">
        <v>0.55000000000000004</v>
      </c>
      <c r="BZ198">
        <v>0.57999999999999996</v>
      </c>
      <c r="CA198">
        <v>0.65</v>
      </c>
      <c r="CB198">
        <v>0.65</v>
      </c>
    </row>
    <row r="199" spans="7:85" x14ac:dyDescent="0.2">
      <c r="H199" t="s">
        <v>163</v>
      </c>
      <c r="J199">
        <v>91.25</v>
      </c>
      <c r="K199">
        <v>4</v>
      </c>
      <c r="M199">
        <v>490</v>
      </c>
      <c r="O199">
        <v>0.33</v>
      </c>
      <c r="P199">
        <v>660</v>
      </c>
      <c r="Q199">
        <f t="shared" si="57"/>
        <v>0.74242424242424243</v>
      </c>
      <c r="S199">
        <v>0</v>
      </c>
      <c r="T199">
        <v>0</v>
      </c>
      <c r="U199">
        <v>0</v>
      </c>
      <c r="V199">
        <v>0</v>
      </c>
      <c r="W199">
        <f>S199*B163+T199*B164</f>
        <v>0</v>
      </c>
      <c r="X199">
        <f t="shared" si="52"/>
        <v>1</v>
      </c>
      <c r="Y199">
        <f t="shared" si="53"/>
        <v>8.3479967040999998</v>
      </c>
      <c r="Z199">
        <f t="shared" si="58"/>
        <v>1.0760336100693013</v>
      </c>
      <c r="AC199">
        <v>0.16</v>
      </c>
      <c r="AE199">
        <v>0.7</v>
      </c>
      <c r="AF199">
        <f t="shared" si="54"/>
        <v>2.6112533690424806</v>
      </c>
      <c r="AG199">
        <f t="shared" si="59"/>
        <v>0.19</v>
      </c>
      <c r="AH199">
        <f t="shared" si="60"/>
        <v>0.6784</v>
      </c>
      <c r="AI199">
        <f>AI161</f>
        <v>0</v>
      </c>
      <c r="AK199">
        <f>AK161</f>
        <v>0.7</v>
      </c>
      <c r="AL199">
        <f>AL161</f>
        <v>100</v>
      </c>
      <c r="AM199">
        <f>AM161</f>
        <v>4.7000000000000002E-3</v>
      </c>
      <c r="AN199">
        <f t="shared" si="61"/>
        <v>0</v>
      </c>
      <c r="AO199">
        <f t="shared" si="62"/>
        <v>1.5819265370036681E-3</v>
      </c>
      <c r="AP199">
        <f t="shared" si="63"/>
        <v>1.5819265370036681E-3</v>
      </c>
      <c r="AQ199">
        <f t="shared" si="64"/>
        <v>0.57740318600633889</v>
      </c>
      <c r="AS199">
        <f t="shared" si="65"/>
        <v>0</v>
      </c>
      <c r="AT199">
        <f t="shared" si="55"/>
        <v>4.3107702823742518E-3</v>
      </c>
      <c r="AU199">
        <f t="shared" si="66"/>
        <v>0.20756495689497151</v>
      </c>
      <c r="AV199">
        <f t="shared" si="56"/>
        <v>75.761209266664594</v>
      </c>
      <c r="AY199">
        <f>AY161</f>
        <v>6.0000000000000001E-3</v>
      </c>
      <c r="BB199">
        <f t="shared" si="67"/>
        <v>0.24</v>
      </c>
      <c r="BQ199" s="5" t="s">
        <v>163</v>
      </c>
      <c r="BR199" s="6" t="s">
        <v>189</v>
      </c>
      <c r="BS199">
        <v>0.6</v>
      </c>
      <c r="BT199">
        <v>0.6</v>
      </c>
      <c r="BU199">
        <v>0.56999999999999995</v>
      </c>
      <c r="BV199">
        <v>0.55000000000000004</v>
      </c>
      <c r="BW199">
        <v>0.55000000000000004</v>
      </c>
      <c r="BX199">
        <v>0.7</v>
      </c>
      <c r="BY199">
        <v>0.6</v>
      </c>
      <c r="BZ199">
        <v>0.5</v>
      </c>
      <c r="CA199">
        <v>0.55000000000000004</v>
      </c>
      <c r="CB199">
        <v>0.55000000000000004</v>
      </c>
    </row>
    <row r="200" spans="7:85" x14ac:dyDescent="0.2">
      <c r="H200" t="s">
        <v>164</v>
      </c>
      <c r="J200">
        <v>91.25</v>
      </c>
      <c r="K200">
        <v>0</v>
      </c>
      <c r="M200">
        <v>470</v>
      </c>
      <c r="O200">
        <v>-0.22</v>
      </c>
      <c r="P200">
        <v>660</v>
      </c>
      <c r="Q200">
        <f t="shared" si="57"/>
        <v>0.71212121212121215</v>
      </c>
      <c r="S200">
        <v>0</v>
      </c>
      <c r="T200">
        <v>0</v>
      </c>
      <c r="U200">
        <v>0</v>
      </c>
      <c r="V200">
        <v>0</v>
      </c>
      <c r="W200">
        <f>S200*B163+T200*B164</f>
        <v>0</v>
      </c>
      <c r="X200">
        <f t="shared" si="52"/>
        <v>1</v>
      </c>
      <c r="Y200">
        <f t="shared" si="53"/>
        <v>7.1564810255999998</v>
      </c>
      <c r="Z200">
        <f t="shared" si="58"/>
        <v>0.95013586833960861</v>
      </c>
      <c r="AC200">
        <v>0.2</v>
      </c>
      <c r="AE200">
        <v>0.75</v>
      </c>
      <c r="AF200">
        <f t="shared" si="54"/>
        <v>1.9093491376300802</v>
      </c>
      <c r="AG200">
        <f t="shared" si="59"/>
        <v>0.19</v>
      </c>
      <c r="AH200">
        <f t="shared" si="60"/>
        <v>0.6784</v>
      </c>
      <c r="AI200">
        <f>AI161</f>
        <v>0</v>
      </c>
      <c r="AK200">
        <f>AK161</f>
        <v>0.7</v>
      </c>
      <c r="AL200">
        <f>AL161</f>
        <v>100</v>
      </c>
      <c r="AM200">
        <f>AM161</f>
        <v>4.7000000000000002E-3</v>
      </c>
      <c r="AN200">
        <f t="shared" si="61"/>
        <v>0</v>
      </c>
      <c r="AO200">
        <f t="shared" si="62"/>
        <v>1.1567050922866441E-3</v>
      </c>
      <c r="AP200">
        <f t="shared" si="63"/>
        <v>1.1567050922866441E-3</v>
      </c>
      <c r="AQ200">
        <f t="shared" si="64"/>
        <v>0</v>
      </c>
      <c r="AS200">
        <f t="shared" si="65"/>
        <v>0</v>
      </c>
      <c r="AT200">
        <f t="shared" si="55"/>
        <v>-2.9719011597439866E-3</v>
      </c>
      <c r="AU200">
        <f t="shared" si="66"/>
        <v>0.23020270869137566</v>
      </c>
      <c r="AV200">
        <f t="shared" si="56"/>
        <v>0</v>
      </c>
      <c r="AY200">
        <f>AY161</f>
        <v>6.0000000000000001E-3</v>
      </c>
      <c r="BB200">
        <f t="shared" si="67"/>
        <v>0.24</v>
      </c>
      <c r="BQ200" s="3" t="s">
        <v>164</v>
      </c>
      <c r="BR200" s="4" t="s">
        <v>189</v>
      </c>
      <c r="BS200">
        <v>0.5</v>
      </c>
      <c r="BT200">
        <v>0.5</v>
      </c>
      <c r="BU200">
        <v>0.54</v>
      </c>
      <c r="BV200">
        <v>0.51</v>
      </c>
      <c r="BW200">
        <v>0.75</v>
      </c>
      <c r="BX200">
        <v>0.75</v>
      </c>
      <c r="BY200">
        <v>0.76</v>
      </c>
      <c r="BZ200">
        <v>0.75</v>
      </c>
      <c r="CA200">
        <v>0.45</v>
      </c>
      <c r="CB200">
        <v>0.45</v>
      </c>
    </row>
    <row r="205" spans="7:85" x14ac:dyDescent="0.2">
      <c r="BS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</row>
    <row r="210" spans="1:73" x14ac:dyDescent="0.2">
      <c r="BQ210" t="s">
        <v>234</v>
      </c>
      <c r="BR210" t="s">
        <v>228</v>
      </c>
      <c r="BS210" t="s">
        <v>229</v>
      </c>
      <c r="BT210" t="s">
        <v>152</v>
      </c>
      <c r="BU210" t="s">
        <v>153</v>
      </c>
    </row>
    <row r="211" spans="1:73" x14ac:dyDescent="0.2">
      <c r="A211" t="s">
        <v>171</v>
      </c>
      <c r="B211" t="s">
        <v>283</v>
      </c>
      <c r="C211" t="s">
        <v>171</v>
      </c>
      <c r="D211" t="s">
        <v>171</v>
      </c>
      <c r="E211" t="s">
        <v>171</v>
      </c>
      <c r="F211" t="s">
        <v>190</v>
      </c>
      <c r="G211" t="s">
        <v>159</v>
      </c>
      <c r="H211" t="s">
        <v>160</v>
      </c>
      <c r="J211">
        <v>91.25</v>
      </c>
      <c r="K211">
        <v>41</v>
      </c>
      <c r="M211" cm="1">
        <f t="array" ref="M211:M250">_xlfn.DROP(_xlfn.XLOOKUP($D211,TableW[[#Headers],[ACT]:[QLD - Moderate/Low]],TableW[[#All],[ACT]:[QLD - Moderate/Low]]),1)</f>
        <v>250</v>
      </c>
      <c r="O211" cm="1">
        <f t="array" ref="O211:O250">_xlfn.DROP(_xlfn.XLOOKUP($D211,TableLWG[[#Headers],[ACT]:[QLD - Low]],TableLWG[[#All],[ACT]:[QLD - Low]]),1)</f>
        <v>0.99</v>
      </c>
      <c r="P211" cm="1">
        <f t="array" ref="P211:P250">_xlfn.DROP(_xlfn.XLOOKUP($E211,TableSRW[[#Headers],[ACT]:[WA]],TableSRW[[#All],[ACT]:[WA]]),1)</f>
        <v>770</v>
      </c>
      <c r="Q211">
        <f>M211 / P211</f>
        <v>0.32467532467532467</v>
      </c>
      <c r="S211">
        <v>0</v>
      </c>
      <c r="T211">
        <v>0</v>
      </c>
      <c r="U211">
        <f>30/K211</f>
        <v>0.73170731707317072</v>
      </c>
      <c r="V211">
        <v>0</v>
      </c>
      <c r="W211">
        <f>S211*B213+T211*B214</f>
        <v>0</v>
      </c>
      <c r="X211">
        <f t="shared" ref="X211:X250" si="68">(S211 * $BX$3 +T211* $BX$4) + (1 -S211 -T211 )</f>
        <v>1</v>
      </c>
      <c r="Y211">
        <f t="shared" ref="Y211:Y250" si="69">(1.185 + 0.00454 * M211- 0.0000026 * M211 ^2 + 0.315 * O211)^2 * X211</f>
        <v>6.097689422500002</v>
      </c>
      <c r="Z211">
        <f>Y211 / ((1.185 + 0.00454 * M211 - 0.0000026 * M211 ^ 2) ^ 2 * X211)</f>
        <v>1.3099770634921701</v>
      </c>
      <c r="AC211" cm="1">
        <f t="array" ref="AC211:AC250">_xlfn.DROP(_xlfn.XLOOKUP($C211,TableCP[[#Headers],[ACT]:[WA - Kimberley]],TableCP[[#All],[ACT]:[WA - Kimberley]]),1)</f>
        <v>0.16</v>
      </c>
      <c r="AE211" cm="1">
        <f t="array" ref="AE211:AE250">_xlfn.DROP(_xlfn.XLOOKUP($C211,TableDMD[[#Headers],[ACT]:[WA - Kimberley]],TableDMD[[#All],[ACT]:[WA - Kimberley]]),1)</f>
        <v>0.7</v>
      </c>
      <c r="AF211">
        <f t="shared" ref="AF211:AF250" si="70">(Y211 * (1 - AE211) + (0.04 * Y211)) * ( 1 - $CJ$3 )</f>
        <v>1.9073572513580006</v>
      </c>
      <c r="AG211">
        <f>$CJ$4</f>
        <v>0.19</v>
      </c>
      <c r="AH211">
        <f>$CJ$5</f>
        <v>0.6784</v>
      </c>
      <c r="AI211">
        <f>IF(F211="yes",0,VLOOKUP(C211,$BQ$211:$BS$225,3,FALSE))</f>
        <v>0.24099999999999999</v>
      </c>
      <c r="AK211">
        <f>VLOOKUP(C211,$BQ$211:$BU$225,4,FALSE)</f>
        <v>0.74</v>
      </c>
      <c r="AL211">
        <f>IF(F211="yes",100,VLOOKUP(C211,$BQ$211:$BS$225,2,FALSE))</f>
        <v>99.759</v>
      </c>
      <c r="AM211">
        <f>VLOOKUP(C211,$BQ$211:$BU$225,5,FALSE)</f>
        <v>4.7000000000000002E-3</v>
      </c>
      <c r="AN211">
        <f>AF211 * AG211 * AI211/100 * AK211 * AH211</f>
        <v>4.3845017453137417E-4</v>
      </c>
      <c r="AO211">
        <f>AF211 * AG211 * AL211/100 * AM211 * AH211</f>
        <v>1.152713634165382E-3</v>
      </c>
      <c r="AP211">
        <f>AN211+AO211</f>
        <v>1.5911638086967561E-3</v>
      </c>
      <c r="AQ211">
        <f>K211*AP211*J211</f>
        <v>5.9529415992867385</v>
      </c>
      <c r="AR211">
        <f>SUM(AQ211:AQ250)*10^-3</f>
        <v>1.0917493930054984</v>
      </c>
      <c r="AS211">
        <f>U211*$B$213+V211*$B$214</f>
        <v>4.3902439024390247</v>
      </c>
      <c r="AT211">
        <f t="shared" ref="AT211:AT250" si="71" xml:space="preserve"> (0.032*W211/6.38) + (((0.212 - 0.008*(Z211-2) - (0.14 - 0.008*(Z211 - 2))/(1+EXP(-6*(Q211-0.4))))*O211*0.92)/6.25)</f>
        <v>2.345167462644742E-2</v>
      </c>
      <c r="AU211">
        <f>MAX((Y211*AC211/6.25)+(0.032*AS211/6.38)-AT211-((1.1*(10^-4)*(M211^0.75))/6.25), 0)</f>
        <v>0.15356266528397849</v>
      </c>
      <c r="AV211">
        <f t="shared" ref="AV211:AV250" si="72">K211*AU211*J211</f>
        <v>574.51632149368459</v>
      </c>
      <c r="AW211">
        <f>SUM(AV211:AV250)</f>
        <v>63635.691925641033</v>
      </c>
      <c r="AX211" t="s">
        <v>259</v>
      </c>
      <c r="AY211">
        <f>VLOOKUP(AX211, $CK$18:$CM$27, 2, FALSE)</f>
        <v>2E-3</v>
      </c>
      <c r="AZ211">
        <f>$CJ$6</f>
        <v>0.21</v>
      </c>
      <c r="BA211">
        <f>AW211*AZ211</f>
        <v>13363.495304384616</v>
      </c>
      <c r="BB211">
        <f>$CJ$7</f>
        <v>0.24</v>
      </c>
      <c r="BC211" t="s">
        <v>161</v>
      </c>
      <c r="BD211">
        <f>IF(BC211="yes",1,0)</f>
        <v>1</v>
      </c>
      <c r="BE211">
        <f>AW211 * BD211 * BB211</f>
        <v>15272.566062153848</v>
      </c>
      <c r="BF211">
        <f>$CJ$8</f>
        <v>1.57</v>
      </c>
      <c r="BG211" t="s">
        <v>184</v>
      </c>
      <c r="BH211">
        <f>VLOOKUP(BG211, $BQ$274:$BR$286, 2, FALSE)</f>
        <v>2.8999999999999998E-3</v>
      </c>
      <c r="BI211">
        <f>$CJ$9</f>
        <v>1.0999999999999999E-2</v>
      </c>
      <c r="BJ211" s="7">
        <f>(AW211 * AY211 * BF211) * 10^-3</f>
        <v>0.19981607264651285</v>
      </c>
      <c r="BK211" s="7">
        <f>BA211 * BH211 * BF211 * 10^-3</f>
        <v>6.0843994120863158E-2</v>
      </c>
      <c r="BL211" s="7">
        <f>BE211 * BI211 * BF211 * 10^-3</f>
        <v>0.26375721589339696</v>
      </c>
      <c r="BQ211" t="s">
        <v>156</v>
      </c>
      <c r="BR211">
        <v>99.191999999999993</v>
      </c>
      <c r="BS211">
        <v>0.80800000000000005</v>
      </c>
      <c r="BT211">
        <v>0.71</v>
      </c>
      <c r="BU211">
        <v>4.7000000000000002E-3</v>
      </c>
    </row>
    <row r="212" spans="1:73" x14ac:dyDescent="0.2">
      <c r="G212">
        <v>1</v>
      </c>
      <c r="H212" t="s">
        <v>162</v>
      </c>
      <c r="J212">
        <v>91.25</v>
      </c>
      <c r="K212">
        <v>102</v>
      </c>
      <c r="M212">
        <v>320</v>
      </c>
      <c r="O212">
        <v>0.77</v>
      </c>
      <c r="P212">
        <v>770</v>
      </c>
      <c r="Q212">
        <f t="shared" ref="Q212:Q250" si="73">M212 / P212</f>
        <v>0.41558441558441561</v>
      </c>
      <c r="S212">
        <v>0</v>
      </c>
      <c r="T212">
        <v>0</v>
      </c>
      <c r="U212">
        <f>70/K212</f>
        <v>0.68627450980392157</v>
      </c>
      <c r="V212">
        <f>30/K212</f>
        <v>0.29411764705882354</v>
      </c>
      <c r="W212">
        <f>S212*B213+T212*B214</f>
        <v>0</v>
      </c>
      <c r="X212">
        <f t="shared" si="68"/>
        <v>1</v>
      </c>
      <c r="Y212">
        <f t="shared" si="69"/>
        <v>6.8335710920999988</v>
      </c>
      <c r="Z212">
        <f t="shared" ref="Z212:Z250" si="74">Y212 / ((1.185 + 0.00454 * M212 - 0.0000026 * M212 ^ 2) ^ 2 * X212)</f>
        <v>1.2150089681034792</v>
      </c>
      <c r="AC212">
        <v>7.0000000000000007E-2</v>
      </c>
      <c r="AE212">
        <v>0.55000000000000004</v>
      </c>
      <c r="AF212">
        <f t="shared" si="70"/>
        <v>3.0805738483186795</v>
      </c>
      <c r="AG212">
        <f t="shared" ref="AG212:AG250" si="75">$CJ$4</f>
        <v>0.19</v>
      </c>
      <c r="AH212">
        <f t="shared" ref="AH212:AH250" si="76">$CJ$5</f>
        <v>0.6784</v>
      </c>
      <c r="AI212">
        <f>AI211</f>
        <v>0.24099999999999999</v>
      </c>
      <c r="AK212">
        <f>AK211</f>
        <v>0.74</v>
      </c>
      <c r="AL212">
        <f>AL211</f>
        <v>99.759</v>
      </c>
      <c r="AM212">
        <f>AM211</f>
        <v>4.7000000000000002E-3</v>
      </c>
      <c r="AN212">
        <f t="shared" ref="AN212:AN250" si="77">AF212 * AG212 * AI212/100 * AK212 * AH212</f>
        <v>7.0814114161909419E-4</v>
      </c>
      <c r="AO212">
        <f t="shared" ref="AO212:AO250" si="78">AF212 * AG212 * AL212/100 * AM212 * AH212</f>
        <v>1.8617484865417876E-3</v>
      </c>
      <c r="AP212">
        <f t="shared" ref="AP212:AP250" si="79">AN212+AO212</f>
        <v>2.5698896281608819E-3</v>
      </c>
      <c r="AQ212">
        <f t="shared" ref="AQ212:AQ250" si="80">K212*AP212*J212</f>
        <v>23.919247714107406</v>
      </c>
      <c r="AS212">
        <f t="shared" ref="AS212:AS250" si="81">U212*$B$213+V212*$B$214</f>
        <v>5.2941176470588234</v>
      </c>
      <c r="AT212">
        <f t="shared" si="71"/>
        <v>1.6063442951201816E-2</v>
      </c>
      <c r="AU212">
        <f t="shared" ref="AU212:AU250" si="82">MAX((Y212*AC212/6.25)+(0.032*AS212/6.38)-AT212-((1.1*(10^-4)*(M212^0.75))/6.25), 0)</f>
        <v>8.5694517230559944E-2</v>
      </c>
      <c r="AV212">
        <f t="shared" si="72"/>
        <v>797.60171912343674</v>
      </c>
      <c r="AY212">
        <f>AY211</f>
        <v>2E-3</v>
      </c>
      <c r="BB212">
        <f t="shared" ref="BB212:BB250" si="83">$CJ$7</f>
        <v>0.24</v>
      </c>
      <c r="BQ212" t="s">
        <v>181</v>
      </c>
      <c r="BR212">
        <v>99.451999999999998</v>
      </c>
      <c r="BS212">
        <v>0.54800000000000004</v>
      </c>
      <c r="BT212">
        <v>0.75</v>
      </c>
      <c r="BU212">
        <v>4.7000000000000002E-3</v>
      </c>
    </row>
    <row r="213" spans="1:73" x14ac:dyDescent="0.2">
      <c r="A213" t="s">
        <v>222</v>
      </c>
      <c r="B213">
        <f>IF(B211="Hereford or Shorthorn",$BT$3,$BT$4)</f>
        <v>6</v>
      </c>
      <c r="H213" t="s">
        <v>163</v>
      </c>
      <c r="J213">
        <v>91.25</v>
      </c>
      <c r="K213">
        <v>99</v>
      </c>
      <c r="M213">
        <v>80</v>
      </c>
      <c r="O213">
        <v>0.9</v>
      </c>
      <c r="P213">
        <v>770</v>
      </c>
      <c r="Q213">
        <f t="shared" si="73"/>
        <v>0.1038961038961039</v>
      </c>
      <c r="S213">
        <v>0</v>
      </c>
      <c r="T213">
        <v>0</v>
      </c>
      <c r="U213">
        <v>0</v>
      </c>
      <c r="V213">
        <f>70/M213</f>
        <v>0.875</v>
      </c>
      <c r="W213">
        <f>S213*B213+T213*B214</f>
        <v>0</v>
      </c>
      <c r="X213">
        <f t="shared" si="68"/>
        <v>1</v>
      </c>
      <c r="Y213">
        <f t="shared" si="69"/>
        <v>3.2944428036000004</v>
      </c>
      <c r="Z213">
        <f t="shared" si="74"/>
        <v>1.4044747682159207</v>
      </c>
      <c r="AC213">
        <v>0.09</v>
      </c>
      <c r="AE213">
        <v>0.55000000000000004</v>
      </c>
      <c r="AF213">
        <f t="shared" si="70"/>
        <v>1.4851348158628801</v>
      </c>
      <c r="AG213">
        <f t="shared" si="75"/>
        <v>0.19</v>
      </c>
      <c r="AH213">
        <f t="shared" si="76"/>
        <v>0.6784</v>
      </c>
      <c r="AI213">
        <f>AI211</f>
        <v>0.24099999999999999</v>
      </c>
      <c r="AK213">
        <f>AK211</f>
        <v>0.74</v>
      </c>
      <c r="AL213">
        <f>AL211</f>
        <v>99.759</v>
      </c>
      <c r="AM213">
        <f>AM211</f>
        <v>4.7000000000000002E-3</v>
      </c>
      <c r="AN213">
        <f t="shared" si="77"/>
        <v>3.4139258324788856E-4</v>
      </c>
      <c r="AO213">
        <f t="shared" si="78"/>
        <v>8.9754300071471756E-4</v>
      </c>
      <c r="AP213">
        <f t="shared" si="79"/>
        <v>1.2389355839626062E-3</v>
      </c>
      <c r="AQ213">
        <f t="shared" si="80"/>
        <v>11.192234331622194</v>
      </c>
      <c r="AS213">
        <f t="shared" si="81"/>
        <v>3.5</v>
      </c>
      <c r="AT213">
        <f t="shared" si="71"/>
        <v>2.5941417874303204E-2</v>
      </c>
      <c r="AU213">
        <f t="shared" si="82"/>
        <v>3.8582624257002665E-2</v>
      </c>
      <c r="AV213">
        <f t="shared" si="72"/>
        <v>348.54578188169785</v>
      </c>
      <c r="AY213">
        <f>AY211</f>
        <v>2E-3</v>
      </c>
      <c r="BB213">
        <f t="shared" si="83"/>
        <v>0.24</v>
      </c>
      <c r="BQ213" t="s">
        <v>171</v>
      </c>
      <c r="BR213">
        <v>99.759</v>
      </c>
      <c r="BS213">
        <v>0.24099999999999999</v>
      </c>
      <c r="BT213">
        <v>0.74</v>
      </c>
      <c r="BU213">
        <v>4.7000000000000002E-3</v>
      </c>
    </row>
    <row r="214" spans="1:73" x14ac:dyDescent="0.2">
      <c r="A214" t="s">
        <v>223</v>
      </c>
      <c r="B214">
        <f>IF(B211="Hereford or Shorthorn",$BU$3,$BU$4)</f>
        <v>4</v>
      </c>
      <c r="H214" t="s">
        <v>164</v>
      </c>
      <c r="J214">
        <v>91.25</v>
      </c>
      <c r="K214">
        <v>54</v>
      </c>
      <c r="M214">
        <v>160</v>
      </c>
      <c r="O214">
        <v>0.88</v>
      </c>
      <c r="P214">
        <v>770</v>
      </c>
      <c r="Q214">
        <f t="shared" si="73"/>
        <v>0.20779220779220781</v>
      </c>
      <c r="S214">
        <v>0</v>
      </c>
      <c r="T214">
        <v>0</v>
      </c>
      <c r="U214">
        <v>0</v>
      </c>
      <c r="V214">
        <v>0</v>
      </c>
      <c r="W214">
        <f>S214*B213+T214*B214</f>
        <v>0</v>
      </c>
      <c r="X214">
        <f t="shared" si="68"/>
        <v>1</v>
      </c>
      <c r="Y214">
        <f t="shared" si="69"/>
        <v>4.5030537616000004</v>
      </c>
      <c r="Z214">
        <f t="shared" si="74"/>
        <v>1.3230910115707439</v>
      </c>
      <c r="AC214">
        <v>0.2</v>
      </c>
      <c r="AE214">
        <v>0.75</v>
      </c>
      <c r="AF214">
        <f t="shared" si="70"/>
        <v>1.2014147435948801</v>
      </c>
      <c r="AG214">
        <f t="shared" si="75"/>
        <v>0.19</v>
      </c>
      <c r="AH214">
        <f t="shared" si="76"/>
        <v>0.6784</v>
      </c>
      <c r="AI214">
        <f>AI211</f>
        <v>0.24099999999999999</v>
      </c>
      <c r="AK214">
        <f>AK211</f>
        <v>0.74</v>
      </c>
      <c r="AL214">
        <f>AL211</f>
        <v>99.759</v>
      </c>
      <c r="AM214">
        <f>AM211</f>
        <v>4.7000000000000002E-3</v>
      </c>
      <c r="AN214">
        <f t="shared" si="77"/>
        <v>2.7617296321320943E-4</v>
      </c>
      <c r="AO214">
        <f t="shared" si="78"/>
        <v>7.2607643599179581E-4</v>
      </c>
      <c r="AP214">
        <f t="shared" si="79"/>
        <v>1.0022493992050052E-3</v>
      </c>
      <c r="AQ214">
        <f t="shared" si="80"/>
        <v>4.9385839145826633</v>
      </c>
      <c r="AS214">
        <f t="shared" si="81"/>
        <v>0</v>
      </c>
      <c r="AT214">
        <f t="shared" si="71"/>
        <v>2.364429025868834E-2</v>
      </c>
      <c r="AU214">
        <f t="shared" si="82"/>
        <v>0.11966165352664368</v>
      </c>
      <c r="AV214">
        <f t="shared" si="72"/>
        <v>589.6327977525367</v>
      </c>
      <c r="AY214">
        <f>AY211</f>
        <v>2E-3</v>
      </c>
      <c r="BB214">
        <f t="shared" si="83"/>
        <v>0.24</v>
      </c>
      <c r="BQ214" t="s">
        <v>172</v>
      </c>
      <c r="BR214">
        <v>99.122</v>
      </c>
      <c r="BS214">
        <v>0.878</v>
      </c>
      <c r="BT214">
        <v>0.7</v>
      </c>
      <c r="BU214">
        <v>4.7000000000000002E-3</v>
      </c>
    </row>
    <row r="215" spans="1:73" x14ac:dyDescent="0.2">
      <c r="G215" t="s">
        <v>165</v>
      </c>
      <c r="H215" t="s">
        <v>160</v>
      </c>
      <c r="J215">
        <v>91.25</v>
      </c>
      <c r="K215">
        <v>45</v>
      </c>
      <c r="M215">
        <v>800</v>
      </c>
      <c r="O215">
        <v>1.1000000000000001</v>
      </c>
      <c r="P215">
        <v>770</v>
      </c>
      <c r="Q215">
        <f t="shared" si="73"/>
        <v>1.0389610389610389</v>
      </c>
      <c r="S215">
        <v>0</v>
      </c>
      <c r="T215">
        <v>0</v>
      </c>
      <c r="U215">
        <v>0</v>
      </c>
      <c r="V215">
        <v>0</v>
      </c>
      <c r="W215">
        <f>S215*B213+T215*B214</f>
        <v>0</v>
      </c>
      <c r="X215">
        <f t="shared" si="68"/>
        <v>1</v>
      </c>
      <c r="Y215">
        <f t="shared" si="69"/>
        <v>12.246500250000002</v>
      </c>
      <c r="Z215">
        <f t="shared" si="74"/>
        <v>1.2318676608114607</v>
      </c>
      <c r="AC215">
        <v>0.16</v>
      </c>
      <c r="AE215">
        <v>0.7</v>
      </c>
      <c r="AF215">
        <f t="shared" si="70"/>
        <v>3.8307052782000017</v>
      </c>
      <c r="AG215">
        <f t="shared" si="75"/>
        <v>0.19</v>
      </c>
      <c r="AH215">
        <f t="shared" si="76"/>
        <v>0.6784</v>
      </c>
      <c r="AI215">
        <f>AI211</f>
        <v>0.24099999999999999</v>
      </c>
      <c r="AK215">
        <f>AK211</f>
        <v>0.74</v>
      </c>
      <c r="AL215">
        <f>AL211</f>
        <v>99.759</v>
      </c>
      <c r="AM215">
        <f>AM211</f>
        <v>4.7000000000000002E-3</v>
      </c>
      <c r="AN215">
        <f t="shared" si="77"/>
        <v>8.8057619861681613E-4</v>
      </c>
      <c r="AO215">
        <f t="shared" si="78"/>
        <v>2.3150913126036244E-3</v>
      </c>
      <c r="AP215">
        <f t="shared" si="79"/>
        <v>3.1956675112204407E-3</v>
      </c>
      <c r="AQ215">
        <f t="shared" si="80"/>
        <v>13.122209717948936</v>
      </c>
      <c r="AS215">
        <f t="shared" si="81"/>
        <v>0</v>
      </c>
      <c r="AT215">
        <f t="shared" si="71"/>
        <v>1.2159206080141411E-2</v>
      </c>
      <c r="AU215">
        <f t="shared" si="82"/>
        <v>0.29870373574232578</v>
      </c>
      <c r="AV215">
        <f t="shared" si="72"/>
        <v>1226.5522148919251</v>
      </c>
      <c r="AY215">
        <f>AY211</f>
        <v>2E-3</v>
      </c>
      <c r="BB215">
        <f t="shared" si="83"/>
        <v>0.24</v>
      </c>
      <c r="BQ215" t="s">
        <v>173</v>
      </c>
      <c r="BR215">
        <v>98.894000000000005</v>
      </c>
      <c r="BS215">
        <v>1.1060000000000001</v>
      </c>
      <c r="BT215">
        <v>0.74</v>
      </c>
      <c r="BU215">
        <v>4.7000000000000002E-3</v>
      </c>
    </row>
    <row r="216" spans="1:73" x14ac:dyDescent="0.2">
      <c r="A216" t="s">
        <v>167</v>
      </c>
      <c r="G216">
        <v>2</v>
      </c>
      <c r="H216" t="s">
        <v>162</v>
      </c>
      <c r="J216">
        <v>91.25</v>
      </c>
      <c r="K216">
        <v>96</v>
      </c>
      <c r="M216">
        <v>800</v>
      </c>
      <c r="O216">
        <v>0</v>
      </c>
      <c r="P216">
        <v>770</v>
      </c>
      <c r="Q216">
        <f t="shared" si="73"/>
        <v>1.0389610389610389</v>
      </c>
      <c r="S216">
        <v>0</v>
      </c>
      <c r="T216">
        <v>0</v>
      </c>
      <c r="U216">
        <v>0</v>
      </c>
      <c r="V216">
        <v>0</v>
      </c>
      <c r="W216">
        <f>S216*B213+T216*B214</f>
        <v>0</v>
      </c>
      <c r="X216">
        <f t="shared" si="68"/>
        <v>1</v>
      </c>
      <c r="Y216">
        <f t="shared" si="69"/>
        <v>9.9414090000000002</v>
      </c>
      <c r="Z216">
        <f t="shared" si="74"/>
        <v>1</v>
      </c>
      <c r="AC216">
        <v>7.0000000000000007E-2</v>
      </c>
      <c r="AE216">
        <v>0.55000000000000004</v>
      </c>
      <c r="AF216">
        <f t="shared" si="70"/>
        <v>4.4815871771999998</v>
      </c>
      <c r="AG216">
        <f t="shared" si="75"/>
        <v>0.19</v>
      </c>
      <c r="AH216">
        <f t="shared" si="76"/>
        <v>0.6784</v>
      </c>
      <c r="AI216">
        <f>AI211</f>
        <v>0.24099999999999999</v>
      </c>
      <c r="AK216">
        <f>AK211</f>
        <v>0.74</v>
      </c>
      <c r="AL216">
        <f>AL211</f>
        <v>99.759</v>
      </c>
      <c r="AM216">
        <f>AM211</f>
        <v>4.7000000000000002E-3</v>
      </c>
      <c r="AN216">
        <f t="shared" si="77"/>
        <v>1.0301964556571148E-3</v>
      </c>
      <c r="AO216">
        <f t="shared" si="78"/>
        <v>2.7084525660733497E-3</v>
      </c>
      <c r="AP216">
        <f t="shared" si="79"/>
        <v>3.7386490217304648E-3</v>
      </c>
      <c r="AQ216">
        <f t="shared" si="80"/>
        <v>32.750565430358868</v>
      </c>
      <c r="AS216">
        <f t="shared" si="81"/>
        <v>0</v>
      </c>
      <c r="AT216">
        <f t="shared" si="71"/>
        <v>0</v>
      </c>
      <c r="AU216">
        <f t="shared" si="82"/>
        <v>0.1086963162224672</v>
      </c>
      <c r="AV216">
        <f t="shared" si="72"/>
        <v>952.17973010881258</v>
      </c>
      <c r="AY216">
        <f>AY211</f>
        <v>2E-3</v>
      </c>
      <c r="BB216">
        <f t="shared" si="83"/>
        <v>0.24</v>
      </c>
      <c r="BQ216" t="s">
        <v>201</v>
      </c>
      <c r="BR216">
        <v>99.622</v>
      </c>
      <c r="BS216">
        <v>0.378</v>
      </c>
      <c r="BT216">
        <v>0.76</v>
      </c>
      <c r="BU216">
        <v>4.7000000000000002E-3</v>
      </c>
    </row>
    <row r="217" spans="1:73" x14ac:dyDescent="0.2">
      <c r="A217" t="s">
        <v>160</v>
      </c>
      <c r="B217">
        <f>IF(B211="Hereford or Shorthorn", 1.3, 0)</f>
        <v>1.3</v>
      </c>
      <c r="H217" t="s">
        <v>163</v>
      </c>
      <c r="J217">
        <v>91.25</v>
      </c>
      <c r="K217">
        <v>67</v>
      </c>
      <c r="M217">
        <v>700</v>
      </c>
      <c r="O217">
        <v>-1.1000000000000001</v>
      </c>
      <c r="P217">
        <v>770</v>
      </c>
      <c r="Q217">
        <f t="shared" si="73"/>
        <v>0.90909090909090906</v>
      </c>
      <c r="S217">
        <v>0</v>
      </c>
      <c r="T217">
        <v>0</v>
      </c>
      <c r="U217">
        <v>0</v>
      </c>
      <c r="V217">
        <v>0</v>
      </c>
      <c r="W217">
        <f>S217*B213+T217*B214</f>
        <v>0</v>
      </c>
      <c r="X217">
        <f t="shared" si="68"/>
        <v>1</v>
      </c>
      <c r="Y217">
        <f t="shared" si="69"/>
        <v>7.5213062499999985</v>
      </c>
      <c r="Z217">
        <f t="shared" si="74"/>
        <v>0.78823815980031708</v>
      </c>
      <c r="AC217">
        <v>0.09</v>
      </c>
      <c r="AE217">
        <v>0.55000000000000004</v>
      </c>
      <c r="AF217">
        <f t="shared" si="70"/>
        <v>3.3906048574999992</v>
      </c>
      <c r="AG217">
        <f t="shared" si="75"/>
        <v>0.19</v>
      </c>
      <c r="AH217">
        <f t="shared" si="76"/>
        <v>0.6784</v>
      </c>
      <c r="AI217">
        <f>AI211</f>
        <v>0.24099999999999999</v>
      </c>
      <c r="AK217">
        <f>AK211</f>
        <v>0.74</v>
      </c>
      <c r="AL217">
        <f>AL211</f>
        <v>99.759</v>
      </c>
      <c r="AM217">
        <f>AM211</f>
        <v>4.7000000000000002E-3</v>
      </c>
      <c r="AN217">
        <f t="shared" si="77"/>
        <v>7.7940893898055129E-4</v>
      </c>
      <c r="AO217">
        <f t="shared" si="78"/>
        <v>2.0491160974300542E-3</v>
      </c>
      <c r="AP217">
        <f t="shared" si="79"/>
        <v>2.8285250364106056E-3</v>
      </c>
      <c r="AQ217">
        <f t="shared" si="80"/>
        <v>17.292894941355339</v>
      </c>
      <c r="AS217">
        <f t="shared" si="81"/>
        <v>0</v>
      </c>
      <c r="AT217">
        <f t="shared" si="71"/>
        <v>-1.2749495533584626E-2</v>
      </c>
      <c r="AU217">
        <f t="shared" si="82"/>
        <v>0.11866113633646978</v>
      </c>
      <c r="AV217">
        <f t="shared" si="72"/>
        <v>725.46452227709221</v>
      </c>
      <c r="AY217">
        <f>AY211</f>
        <v>2E-3</v>
      </c>
      <c r="BB217">
        <f t="shared" si="83"/>
        <v>0.24</v>
      </c>
      <c r="BQ217" t="s">
        <v>202</v>
      </c>
      <c r="BR217">
        <v>99.998999999999995</v>
      </c>
      <c r="BS217">
        <v>1E-3</v>
      </c>
      <c r="BT217">
        <v>0.76</v>
      </c>
      <c r="BU217">
        <v>4.7000000000000002E-3</v>
      </c>
    </row>
    <row r="218" spans="1:73" x14ac:dyDescent="0.2">
      <c r="A218" t="s">
        <v>162</v>
      </c>
      <c r="B218">
        <f>IF(B211="Hereford or Shorthorn", 1.1, 1.3)</f>
        <v>1.1000000000000001</v>
      </c>
      <c r="H218" t="s">
        <v>164</v>
      </c>
      <c r="J218">
        <v>91.25</v>
      </c>
      <c r="K218">
        <v>18</v>
      </c>
      <c r="M218">
        <v>700</v>
      </c>
      <c r="O218">
        <v>0</v>
      </c>
      <c r="P218">
        <v>770</v>
      </c>
      <c r="Q218">
        <f t="shared" si="73"/>
        <v>0.90909090909090906</v>
      </c>
      <c r="S218">
        <v>0</v>
      </c>
      <c r="T218">
        <v>0</v>
      </c>
      <c r="U218">
        <v>0</v>
      </c>
      <c r="V218">
        <v>0</v>
      </c>
      <c r="W218">
        <f>S218*B213+T218*B214</f>
        <v>0</v>
      </c>
      <c r="X218">
        <f t="shared" si="68"/>
        <v>1</v>
      </c>
      <c r="Y218">
        <f t="shared" si="69"/>
        <v>9.5419209999999968</v>
      </c>
      <c r="Z218">
        <f t="shared" si="74"/>
        <v>1</v>
      </c>
      <c r="AC218">
        <v>0.2</v>
      </c>
      <c r="AE218">
        <v>0.75</v>
      </c>
      <c r="AF218">
        <f t="shared" si="70"/>
        <v>2.5457845227999991</v>
      </c>
      <c r="AG218">
        <f t="shared" si="75"/>
        <v>0.19</v>
      </c>
      <c r="AH218">
        <f t="shared" si="76"/>
        <v>0.6784</v>
      </c>
      <c r="AI218">
        <f>AI211</f>
        <v>0.24099999999999999</v>
      </c>
      <c r="AK218">
        <f>AK211</f>
        <v>0.74</v>
      </c>
      <c r="AL218">
        <f>AL211</f>
        <v>99.759</v>
      </c>
      <c r="AM218">
        <f>AM211</f>
        <v>4.7000000000000002E-3</v>
      </c>
      <c r="AN218">
        <f t="shared" si="77"/>
        <v>5.8520744739676788E-4</v>
      </c>
      <c r="AO218">
        <f t="shared" si="78"/>
        <v>1.5385479185870507E-3</v>
      </c>
      <c r="AP218">
        <f t="shared" si="79"/>
        <v>2.1237553659838185E-3</v>
      </c>
      <c r="AQ218">
        <f t="shared" si="80"/>
        <v>3.4882681886284219</v>
      </c>
      <c r="AS218">
        <f t="shared" si="81"/>
        <v>0</v>
      </c>
      <c r="AT218">
        <f t="shared" si="71"/>
        <v>0</v>
      </c>
      <c r="AU218">
        <f t="shared" si="82"/>
        <v>0.30294630280288515</v>
      </c>
      <c r="AV218">
        <f t="shared" si="72"/>
        <v>497.5893023537389</v>
      </c>
      <c r="AY218">
        <f>AY211</f>
        <v>2E-3</v>
      </c>
      <c r="BB218">
        <f t="shared" si="83"/>
        <v>0.24</v>
      </c>
      <c r="BQ218" t="s">
        <v>203</v>
      </c>
      <c r="BR218">
        <v>99.998999999999995</v>
      </c>
      <c r="BS218">
        <v>1E-3</v>
      </c>
      <c r="BT218">
        <v>0.76</v>
      </c>
      <c r="BU218">
        <v>4.7000000000000002E-3</v>
      </c>
    </row>
    <row r="219" spans="1:73" x14ac:dyDescent="0.2">
      <c r="A219" t="s">
        <v>163</v>
      </c>
      <c r="B219">
        <f>IF(B211="Hereford or Shorthorn", 0, 1.1)</f>
        <v>0</v>
      </c>
      <c r="G219" t="s">
        <v>177</v>
      </c>
      <c r="H219" t="s">
        <v>160</v>
      </c>
      <c r="J219">
        <v>91.25</v>
      </c>
      <c r="K219">
        <v>209</v>
      </c>
      <c r="M219">
        <v>400</v>
      </c>
      <c r="O219">
        <v>0.55000000000000004</v>
      </c>
      <c r="P219">
        <v>550</v>
      </c>
      <c r="Q219">
        <f t="shared" si="73"/>
        <v>0.72727272727272729</v>
      </c>
      <c r="S219">
        <v>0</v>
      </c>
      <c r="T219">
        <v>0</v>
      </c>
      <c r="U219">
        <v>0</v>
      </c>
      <c r="V219">
        <v>0</v>
      </c>
      <c r="W219">
        <f>S219*B213+T219*B214</f>
        <v>0</v>
      </c>
      <c r="X219">
        <f t="shared" si="68"/>
        <v>1</v>
      </c>
      <c r="Y219">
        <f t="shared" si="69"/>
        <v>7.6079430624999995</v>
      </c>
      <c r="Z219">
        <f t="shared" si="74"/>
        <v>1.1385344047080126</v>
      </c>
      <c r="AC219">
        <v>0.16</v>
      </c>
      <c r="AE219">
        <v>0.7</v>
      </c>
      <c r="AF219">
        <f t="shared" si="70"/>
        <v>2.3797645899500002</v>
      </c>
      <c r="AG219">
        <f t="shared" si="75"/>
        <v>0.19</v>
      </c>
      <c r="AH219">
        <f t="shared" si="76"/>
        <v>0.6784</v>
      </c>
      <c r="AI219">
        <f>AI211</f>
        <v>0.24099999999999999</v>
      </c>
      <c r="AK219">
        <f>AK211</f>
        <v>0.74</v>
      </c>
      <c r="AL219">
        <f>AL211</f>
        <v>99.759</v>
      </c>
      <c r="AM219">
        <f>AM211</f>
        <v>4.7000000000000002E-3</v>
      </c>
      <c r="AN219">
        <f t="shared" si="77"/>
        <v>5.4704392638782061E-4</v>
      </c>
      <c r="AO219">
        <f t="shared" si="78"/>
        <v>1.438213573774006E-3</v>
      </c>
      <c r="AP219">
        <f t="shared" si="79"/>
        <v>1.9852575001618267E-3</v>
      </c>
      <c r="AQ219">
        <f t="shared" si="80"/>
        <v>37.861342099961234</v>
      </c>
      <c r="AS219">
        <f t="shared" si="81"/>
        <v>0</v>
      </c>
      <c r="AT219">
        <f t="shared" si="71"/>
        <v>7.2927601533272438E-3</v>
      </c>
      <c r="AU219">
        <f t="shared" si="82"/>
        <v>0.18589639039051292</v>
      </c>
      <c r="AV219">
        <f t="shared" si="72"/>
        <v>3545.2765352350698</v>
      </c>
      <c r="AY219">
        <f>AY211</f>
        <v>2E-3</v>
      </c>
      <c r="BB219">
        <f t="shared" si="83"/>
        <v>0.24</v>
      </c>
      <c r="BQ219" t="s">
        <v>204</v>
      </c>
      <c r="BR219">
        <v>99.998999999999995</v>
      </c>
      <c r="BS219">
        <v>1E-3</v>
      </c>
      <c r="BT219">
        <v>0.8</v>
      </c>
      <c r="BU219">
        <v>4.7000000000000002E-3</v>
      </c>
    </row>
    <row r="220" spans="1:73" x14ac:dyDescent="0.2">
      <c r="A220" t="s">
        <v>164</v>
      </c>
      <c r="B220">
        <v>0</v>
      </c>
      <c r="G220">
        <v>4</v>
      </c>
      <c r="H220" t="s">
        <v>162</v>
      </c>
      <c r="J220">
        <v>91.25</v>
      </c>
      <c r="K220">
        <v>290</v>
      </c>
      <c r="M220">
        <v>420</v>
      </c>
      <c r="O220">
        <v>0.22</v>
      </c>
      <c r="P220">
        <v>550</v>
      </c>
      <c r="Q220">
        <f t="shared" si="73"/>
        <v>0.76363636363636367</v>
      </c>
      <c r="S220">
        <v>0</v>
      </c>
      <c r="T220">
        <v>0</v>
      </c>
      <c r="U220">
        <v>0</v>
      </c>
      <c r="V220">
        <v>0</v>
      </c>
      <c r="W220">
        <f>S220*B213+T220*B214</f>
        <v>0</v>
      </c>
      <c r="X220">
        <f t="shared" si="68"/>
        <v>1</v>
      </c>
      <c r="Y220">
        <f t="shared" si="69"/>
        <v>7.3032900516000012</v>
      </c>
      <c r="Z220">
        <f t="shared" si="74"/>
        <v>1.0533290230865808</v>
      </c>
      <c r="AC220">
        <v>7.0000000000000007E-2</v>
      </c>
      <c r="AE220">
        <v>0.55000000000000004</v>
      </c>
      <c r="AF220">
        <f t="shared" si="70"/>
        <v>3.2923231552612804</v>
      </c>
      <c r="AG220">
        <f t="shared" si="75"/>
        <v>0.19</v>
      </c>
      <c r="AH220">
        <f t="shared" si="76"/>
        <v>0.6784</v>
      </c>
      <c r="AI220">
        <f>AI211</f>
        <v>0.24099999999999999</v>
      </c>
      <c r="AK220">
        <f>AK211</f>
        <v>0.74</v>
      </c>
      <c r="AL220">
        <f>AL211</f>
        <v>99.759</v>
      </c>
      <c r="AM220">
        <f>AM211</f>
        <v>4.7000000000000002E-3</v>
      </c>
      <c r="AN220">
        <f t="shared" si="77"/>
        <v>7.5681661681902305E-4</v>
      </c>
      <c r="AO220">
        <f t="shared" si="78"/>
        <v>1.9897194332346639E-3</v>
      </c>
      <c r="AP220">
        <f t="shared" si="79"/>
        <v>2.7465360500536868E-3</v>
      </c>
      <c r="AQ220">
        <f t="shared" si="80"/>
        <v>72.680210224545689</v>
      </c>
      <c r="AS220">
        <f t="shared" si="81"/>
        <v>0</v>
      </c>
      <c r="AT220">
        <f t="shared" si="71"/>
        <v>2.8162170177212509E-3</v>
      </c>
      <c r="AU220">
        <f t="shared" si="82"/>
        <v>7.7347768983561827E-2</v>
      </c>
      <c r="AV220">
        <f t="shared" si="72"/>
        <v>2046.8153367275049</v>
      </c>
      <c r="AY220">
        <f>AY211</f>
        <v>2E-3</v>
      </c>
      <c r="BB220">
        <f t="shared" si="83"/>
        <v>0.24</v>
      </c>
      <c r="BQ220" t="s">
        <v>205</v>
      </c>
      <c r="BR220">
        <v>99.994</v>
      </c>
      <c r="BS220">
        <v>6.0000000000000001E-3</v>
      </c>
      <c r="BT220">
        <v>0.8</v>
      </c>
      <c r="BU220">
        <v>4.7000000000000002E-3</v>
      </c>
    </row>
    <row r="221" spans="1:73" x14ac:dyDescent="0.2">
      <c r="H221" t="s">
        <v>163</v>
      </c>
      <c r="J221">
        <v>91.25</v>
      </c>
      <c r="K221">
        <v>271</v>
      </c>
      <c r="M221">
        <v>300</v>
      </c>
      <c r="O221">
        <v>0.22</v>
      </c>
      <c r="P221">
        <v>550</v>
      </c>
      <c r="Q221">
        <f t="shared" si="73"/>
        <v>0.54545454545454541</v>
      </c>
      <c r="S221">
        <v>0</v>
      </c>
      <c r="T221">
        <v>0</v>
      </c>
      <c r="U221">
        <v>0</v>
      </c>
      <c r="V221">
        <v>0</v>
      </c>
      <c r="W221">
        <f>S221*B213+T221*B214</f>
        <v>0</v>
      </c>
      <c r="X221">
        <f t="shared" si="68"/>
        <v>1</v>
      </c>
      <c r="Y221">
        <f t="shared" si="69"/>
        <v>5.6753532899999994</v>
      </c>
      <c r="Z221">
        <f t="shared" si="74"/>
        <v>1.0608198458720042</v>
      </c>
      <c r="AC221">
        <v>0.09</v>
      </c>
      <c r="AE221">
        <v>0.55000000000000004</v>
      </c>
      <c r="AF221">
        <f t="shared" si="70"/>
        <v>2.5584492631319997</v>
      </c>
      <c r="AG221">
        <f t="shared" si="75"/>
        <v>0.19</v>
      </c>
      <c r="AH221">
        <f t="shared" si="76"/>
        <v>0.6784</v>
      </c>
      <c r="AI221">
        <f>AI211</f>
        <v>0.24099999999999999</v>
      </c>
      <c r="AK221">
        <f>AK211</f>
        <v>0.74</v>
      </c>
      <c r="AL221">
        <f>AL211</f>
        <v>99.759</v>
      </c>
      <c r="AM221">
        <f>AM211</f>
        <v>4.7000000000000002E-3</v>
      </c>
      <c r="AN221">
        <f t="shared" si="77"/>
        <v>5.881187308519291E-4</v>
      </c>
      <c r="AO221">
        <f t="shared" si="78"/>
        <v>1.5462018695411612E-3</v>
      </c>
      <c r="AP221">
        <f t="shared" si="79"/>
        <v>2.1343206003930902E-3</v>
      </c>
      <c r="AQ221">
        <f t="shared" si="80"/>
        <v>52.779080546970633</v>
      </c>
      <c r="AS221">
        <f t="shared" si="81"/>
        <v>0</v>
      </c>
      <c r="AT221">
        <f t="shared" si="71"/>
        <v>3.7393906059229815E-3</v>
      </c>
      <c r="AU221">
        <f t="shared" si="82"/>
        <v>7.6717012343413854E-2</v>
      </c>
      <c r="AV221">
        <f t="shared" si="72"/>
        <v>1897.1158189871953</v>
      </c>
      <c r="AY221">
        <f>AY211</f>
        <v>2E-3</v>
      </c>
      <c r="BB221">
        <f t="shared" si="83"/>
        <v>0.24</v>
      </c>
      <c r="BQ221" t="s">
        <v>206</v>
      </c>
      <c r="BR221">
        <v>99.998999999999995</v>
      </c>
      <c r="BS221">
        <v>1E-3</v>
      </c>
      <c r="BT221">
        <v>0.8</v>
      </c>
      <c r="BU221">
        <v>4.7000000000000002E-3</v>
      </c>
    </row>
    <row r="222" spans="1:73" x14ac:dyDescent="0.2">
      <c r="H222" t="s">
        <v>164</v>
      </c>
      <c r="J222">
        <v>91.25</v>
      </c>
      <c r="K222">
        <v>222</v>
      </c>
      <c r="M222">
        <v>350</v>
      </c>
      <c r="O222">
        <v>0.55000000000000004</v>
      </c>
      <c r="P222">
        <v>550</v>
      </c>
      <c r="Q222">
        <f t="shared" si="73"/>
        <v>0.63636363636363635</v>
      </c>
      <c r="S222">
        <v>0</v>
      </c>
      <c r="T222">
        <v>0</v>
      </c>
      <c r="U222">
        <v>0</v>
      </c>
      <c r="V222">
        <v>0</v>
      </c>
      <c r="W222">
        <f>S222*B213+T222*B214</f>
        <v>0</v>
      </c>
      <c r="X222">
        <f t="shared" si="68"/>
        <v>1</v>
      </c>
      <c r="Y222">
        <f t="shared" si="69"/>
        <v>6.9103265624999981</v>
      </c>
      <c r="Z222">
        <f t="shared" si="74"/>
        <v>1.1460899241688369</v>
      </c>
      <c r="AC222">
        <v>0.2</v>
      </c>
      <c r="AE222">
        <v>0.75</v>
      </c>
      <c r="AF222">
        <f t="shared" si="70"/>
        <v>1.8436751268749998</v>
      </c>
      <c r="AG222">
        <f t="shared" si="75"/>
        <v>0.19</v>
      </c>
      <c r="AH222">
        <f t="shared" si="76"/>
        <v>0.6784</v>
      </c>
      <c r="AI222">
        <f>AI211</f>
        <v>0.24099999999999999</v>
      </c>
      <c r="AK222">
        <f>AK211</f>
        <v>0.74</v>
      </c>
      <c r="AL222">
        <f>AL211</f>
        <v>99.759</v>
      </c>
      <c r="AM222">
        <f>AM211</f>
        <v>4.7000000000000002E-3</v>
      </c>
      <c r="AN222">
        <f t="shared" si="77"/>
        <v>4.2381136548067286E-4</v>
      </c>
      <c r="AO222">
        <f t="shared" si="78"/>
        <v>1.1142272661334321E-3</v>
      </c>
      <c r="AP222">
        <f t="shared" si="79"/>
        <v>1.538038631614105E-3</v>
      </c>
      <c r="AQ222">
        <f t="shared" si="80"/>
        <v>31.15681757992273</v>
      </c>
      <c r="AS222">
        <f t="shared" si="81"/>
        <v>0</v>
      </c>
      <c r="AT222">
        <f t="shared" si="71"/>
        <v>8.1465420877267439E-3</v>
      </c>
      <c r="AU222">
        <f t="shared" si="82"/>
        <v>0.21155973178685106</v>
      </c>
      <c r="AV222">
        <f t="shared" si="72"/>
        <v>4285.6712666721351</v>
      </c>
      <c r="AY222">
        <f>AY211</f>
        <v>2E-3</v>
      </c>
      <c r="BB222">
        <f t="shared" si="83"/>
        <v>0.24</v>
      </c>
      <c r="BQ222" t="s">
        <v>207</v>
      </c>
      <c r="BR222">
        <v>99.772999999999996</v>
      </c>
      <c r="BS222">
        <v>0.22700000000000001</v>
      </c>
      <c r="BT222">
        <v>0.78</v>
      </c>
      <c r="BU222">
        <v>4.7000000000000002E-3</v>
      </c>
    </row>
    <row r="223" spans="1:73" x14ac:dyDescent="0.2">
      <c r="G223" t="s">
        <v>179</v>
      </c>
      <c r="H223" t="s">
        <v>160</v>
      </c>
      <c r="J223">
        <v>91.25</v>
      </c>
      <c r="K223">
        <v>261</v>
      </c>
      <c r="M223">
        <v>500</v>
      </c>
      <c r="O223">
        <v>0.55000000000000004</v>
      </c>
      <c r="P223">
        <v>550</v>
      </c>
      <c r="Q223">
        <f t="shared" si="73"/>
        <v>0.90909090909090906</v>
      </c>
      <c r="S223">
        <v>0.78</v>
      </c>
      <c r="T223">
        <v>0.05</v>
      </c>
      <c r="U223">
        <v>0</v>
      </c>
      <c r="V223">
        <v>0</v>
      </c>
      <c r="W223">
        <f>S223*B213+T223*B214</f>
        <v>4.88</v>
      </c>
      <c r="X223">
        <f t="shared" si="68"/>
        <v>1.2389999999999999</v>
      </c>
      <c r="Y223">
        <f t="shared" si="69"/>
        <v>10.989896624437499</v>
      </c>
      <c r="Z223">
        <f t="shared" si="74"/>
        <v>1.1273442906574394</v>
      </c>
      <c r="AC223">
        <v>0.16</v>
      </c>
      <c r="AE223">
        <v>0.7</v>
      </c>
      <c r="AF223">
        <f t="shared" si="70"/>
        <v>3.4376396641240503</v>
      </c>
      <c r="AG223">
        <f t="shared" si="75"/>
        <v>0.19</v>
      </c>
      <c r="AH223">
        <f t="shared" si="76"/>
        <v>0.6784</v>
      </c>
      <c r="AI223">
        <f>AI211</f>
        <v>0.24099999999999999</v>
      </c>
      <c r="AK223">
        <f>AK211</f>
        <v>0.74</v>
      </c>
      <c r="AL223">
        <f>AL211</f>
        <v>99.759</v>
      </c>
      <c r="AM223">
        <f>AM211</f>
        <v>4.7000000000000002E-3</v>
      </c>
      <c r="AN223">
        <f t="shared" si="77"/>
        <v>7.902209770288413E-4</v>
      </c>
      <c r="AO223">
        <f t="shared" si="78"/>
        <v>2.0775416390202699E-3</v>
      </c>
      <c r="AP223">
        <f t="shared" si="79"/>
        <v>2.8677626160491113E-3</v>
      </c>
      <c r="AQ223">
        <f t="shared" si="80"/>
        <v>68.299351404479651</v>
      </c>
      <c r="AS223">
        <f t="shared" si="81"/>
        <v>0</v>
      </c>
      <c r="AT223">
        <f t="shared" si="71"/>
        <v>3.0841348590866E-2</v>
      </c>
      <c r="AU223">
        <f t="shared" si="82"/>
        <v>0.24863903157107856</v>
      </c>
      <c r="AV223">
        <f t="shared" si="72"/>
        <v>5921.6493356546989</v>
      </c>
      <c r="AY223">
        <f>AY211</f>
        <v>2E-3</v>
      </c>
      <c r="BB223">
        <f t="shared" si="83"/>
        <v>0.24</v>
      </c>
      <c r="BQ223" t="s">
        <v>208</v>
      </c>
      <c r="BR223">
        <v>99.897999999999996</v>
      </c>
      <c r="BS223">
        <v>0.10199999999999999</v>
      </c>
      <c r="BT223">
        <v>0.78</v>
      </c>
      <c r="BU223">
        <v>4.7000000000000002E-3</v>
      </c>
    </row>
    <row r="224" spans="1:73" x14ac:dyDescent="0.2">
      <c r="G224" t="s">
        <v>195</v>
      </c>
      <c r="H224" t="s">
        <v>162</v>
      </c>
      <c r="J224">
        <v>91.25</v>
      </c>
      <c r="K224">
        <v>326</v>
      </c>
      <c r="M224">
        <v>500</v>
      </c>
      <c r="O224">
        <v>0</v>
      </c>
      <c r="P224">
        <v>550</v>
      </c>
      <c r="Q224">
        <f t="shared" si="73"/>
        <v>0.90909090909090906</v>
      </c>
      <c r="S224">
        <v>0</v>
      </c>
      <c r="T224">
        <v>0.75</v>
      </c>
      <c r="U224">
        <v>0</v>
      </c>
      <c r="V224">
        <v>0</v>
      </c>
      <c r="W224">
        <f>S224*B213+T224*B214</f>
        <v>3</v>
      </c>
      <c r="X224">
        <f t="shared" si="68"/>
        <v>1.0750000000000002</v>
      </c>
      <c r="Y224">
        <f t="shared" si="69"/>
        <v>8.4581268750000032</v>
      </c>
      <c r="Z224">
        <f t="shared" si="74"/>
        <v>1</v>
      </c>
      <c r="AC224">
        <v>7.0000000000000007E-2</v>
      </c>
      <c r="AE224">
        <v>0.55000000000000004</v>
      </c>
      <c r="AF224">
        <f t="shared" si="70"/>
        <v>3.8129235952500009</v>
      </c>
      <c r="AG224">
        <f t="shared" si="75"/>
        <v>0.19</v>
      </c>
      <c r="AH224">
        <f t="shared" si="76"/>
        <v>0.6784</v>
      </c>
      <c r="AI224">
        <f>AI211</f>
        <v>0.24099999999999999</v>
      </c>
      <c r="AK224">
        <f>AK211</f>
        <v>0.74</v>
      </c>
      <c r="AL224">
        <f>AL211</f>
        <v>99.759</v>
      </c>
      <c r="AM224">
        <f>AM211</f>
        <v>4.7000000000000002E-3</v>
      </c>
      <c r="AN224">
        <f t="shared" si="77"/>
        <v>8.7648866756444592E-4</v>
      </c>
      <c r="AO224">
        <f t="shared" si="78"/>
        <v>2.3043449312635379E-3</v>
      </c>
      <c r="AP224">
        <f t="shared" si="79"/>
        <v>3.1808335988279838E-3</v>
      </c>
      <c r="AQ224">
        <f t="shared" si="80"/>
        <v>94.621847481135447</v>
      </c>
      <c r="AS224">
        <f t="shared" si="81"/>
        <v>0</v>
      </c>
      <c r="AT224">
        <f t="shared" si="71"/>
        <v>1.5047021943573668E-2</v>
      </c>
      <c r="AU224">
        <f t="shared" si="82"/>
        <v>7.7823025632770979E-2</v>
      </c>
      <c r="AV224">
        <f t="shared" si="72"/>
        <v>2315.0404550108547</v>
      </c>
      <c r="AY224">
        <f>AY211</f>
        <v>2E-3</v>
      </c>
      <c r="BB224">
        <f t="shared" si="83"/>
        <v>0.24</v>
      </c>
      <c r="BQ224" t="s">
        <v>209</v>
      </c>
      <c r="BR224">
        <v>99.978999999999999</v>
      </c>
      <c r="BS224">
        <v>2.1000000000000001E-2</v>
      </c>
      <c r="BT224">
        <v>0.78</v>
      </c>
      <c r="BU224">
        <v>4.7000000000000002E-3</v>
      </c>
    </row>
    <row r="225" spans="7:88" x14ac:dyDescent="0.2">
      <c r="H225" t="s">
        <v>163</v>
      </c>
      <c r="J225">
        <v>91.25</v>
      </c>
      <c r="K225">
        <v>319</v>
      </c>
      <c r="M225">
        <v>450</v>
      </c>
      <c r="O225">
        <v>-0.55000000000000004</v>
      </c>
      <c r="P225">
        <v>550</v>
      </c>
      <c r="Q225">
        <f t="shared" si="73"/>
        <v>0.81818181818181823</v>
      </c>
      <c r="S225">
        <v>0</v>
      </c>
      <c r="T225">
        <v>0</v>
      </c>
      <c r="U225">
        <v>0</v>
      </c>
      <c r="V225">
        <v>0</v>
      </c>
      <c r="W225">
        <f>S225*B213+T225*B214</f>
        <v>0</v>
      </c>
      <c r="X225">
        <f t="shared" si="68"/>
        <v>1</v>
      </c>
      <c r="Y225">
        <f t="shared" si="69"/>
        <v>6.3920480624999998</v>
      </c>
      <c r="Z225">
        <f t="shared" si="74"/>
        <v>0.87585071345088394</v>
      </c>
      <c r="AC225">
        <v>0.09</v>
      </c>
      <c r="AE225">
        <v>0.55000000000000004</v>
      </c>
      <c r="AF225">
        <f t="shared" si="70"/>
        <v>2.8815352665749998</v>
      </c>
      <c r="AG225">
        <f t="shared" si="75"/>
        <v>0.19</v>
      </c>
      <c r="AH225">
        <f t="shared" si="76"/>
        <v>0.6784</v>
      </c>
      <c r="AI225">
        <f>AI211</f>
        <v>0.24099999999999999</v>
      </c>
      <c r="AK225">
        <f>AK211</f>
        <v>0.74</v>
      </c>
      <c r="AL225">
        <f>AL211</f>
        <v>99.759</v>
      </c>
      <c r="AM225">
        <f>AM211</f>
        <v>4.7000000000000002E-3</v>
      </c>
      <c r="AN225">
        <f t="shared" si="77"/>
        <v>6.6238752055945271E-4</v>
      </c>
      <c r="AO225">
        <f t="shared" si="78"/>
        <v>1.7414592818122973E-3</v>
      </c>
      <c r="AP225">
        <f t="shared" si="79"/>
        <v>2.4038468023717501E-3</v>
      </c>
      <c r="AQ225">
        <f t="shared" si="80"/>
        <v>69.97297560853869</v>
      </c>
      <c r="AS225">
        <f t="shared" si="81"/>
        <v>0</v>
      </c>
      <c r="AT225">
        <f t="shared" si="71"/>
        <v>-6.7365005404201152E-3</v>
      </c>
      <c r="AU225">
        <f t="shared" si="82"/>
        <v>9.7062413955597976E-2</v>
      </c>
      <c r="AV225">
        <f t="shared" si="72"/>
        <v>2825.3655422300126</v>
      </c>
      <c r="AY225">
        <f>AY211</f>
        <v>2E-3</v>
      </c>
      <c r="BB225">
        <f t="shared" si="83"/>
        <v>0.24</v>
      </c>
      <c r="BQ225" t="s">
        <v>210</v>
      </c>
      <c r="BR225">
        <v>99.977000000000004</v>
      </c>
      <c r="BS225">
        <v>2.3E-2</v>
      </c>
      <c r="BT225">
        <v>0.78</v>
      </c>
      <c r="BU225">
        <v>4.7000000000000002E-3</v>
      </c>
    </row>
    <row r="226" spans="7:88" x14ac:dyDescent="0.2">
      <c r="H226" t="s">
        <v>164</v>
      </c>
      <c r="J226">
        <v>91.25</v>
      </c>
      <c r="K226">
        <v>264</v>
      </c>
      <c r="M226">
        <v>450</v>
      </c>
      <c r="O226">
        <v>0</v>
      </c>
      <c r="P226">
        <v>550</v>
      </c>
      <c r="Q226">
        <f t="shared" si="73"/>
        <v>0.81818181818181823</v>
      </c>
      <c r="S226">
        <v>0.11</v>
      </c>
      <c r="T226">
        <v>0</v>
      </c>
      <c r="U226">
        <v>0</v>
      </c>
      <c r="V226">
        <v>0</v>
      </c>
      <c r="W226">
        <f>S226*B213+T226*B214</f>
        <v>0.66</v>
      </c>
      <c r="X226">
        <f t="shared" si="68"/>
        <v>1.0329999999999999</v>
      </c>
      <c r="Y226">
        <f t="shared" si="69"/>
        <v>7.5389396242499975</v>
      </c>
      <c r="Z226">
        <f t="shared" si="74"/>
        <v>1</v>
      </c>
      <c r="AC226">
        <v>0.2</v>
      </c>
      <c r="AE226">
        <v>0.75</v>
      </c>
      <c r="AF226">
        <f t="shared" si="70"/>
        <v>2.0113890917498995</v>
      </c>
      <c r="AG226">
        <f t="shared" si="75"/>
        <v>0.19</v>
      </c>
      <c r="AH226">
        <f t="shared" si="76"/>
        <v>0.6784</v>
      </c>
      <c r="AI226">
        <f>AI211</f>
        <v>0.24099999999999999</v>
      </c>
      <c r="AK226">
        <f>AK211</f>
        <v>0.74</v>
      </c>
      <c r="AL226">
        <f>AL211</f>
        <v>99.759</v>
      </c>
      <c r="AM226">
        <f>AM211</f>
        <v>4.7000000000000002E-3</v>
      </c>
      <c r="AN226">
        <f t="shared" si="77"/>
        <v>4.6236429892740583E-4</v>
      </c>
      <c r="AO226">
        <f t="shared" si="78"/>
        <v>1.2155854012251073E-3</v>
      </c>
      <c r="AP226">
        <f t="shared" si="79"/>
        <v>1.6779497001525132E-3</v>
      </c>
      <c r="AQ226">
        <f t="shared" si="80"/>
        <v>40.421808276674042</v>
      </c>
      <c r="AS226">
        <f t="shared" si="81"/>
        <v>0</v>
      </c>
      <c r="AT226">
        <f t="shared" si="71"/>
        <v>3.3103448275862068E-3</v>
      </c>
      <c r="AU226">
        <f t="shared" si="82"/>
        <v>0.2362161444635916</v>
      </c>
      <c r="AV226">
        <f t="shared" si="72"/>
        <v>5690.4469201279217</v>
      </c>
      <c r="AY226">
        <f>AY211</f>
        <v>2E-3</v>
      </c>
      <c r="BB226">
        <f t="shared" si="83"/>
        <v>0.24</v>
      </c>
    </row>
    <row r="227" spans="7:88" x14ac:dyDescent="0.2">
      <c r="G227" t="s">
        <v>176</v>
      </c>
      <c r="H227" t="s">
        <v>160</v>
      </c>
      <c r="J227">
        <v>91.25</v>
      </c>
      <c r="K227">
        <v>65</v>
      </c>
      <c r="M227">
        <v>220</v>
      </c>
      <c r="O227">
        <v>0.88</v>
      </c>
      <c r="P227">
        <v>550</v>
      </c>
      <c r="Q227">
        <f t="shared" si="73"/>
        <v>0.4</v>
      </c>
      <c r="S227">
        <v>0</v>
      </c>
      <c r="T227">
        <v>0</v>
      </c>
      <c r="U227">
        <v>0</v>
      </c>
      <c r="V227">
        <v>0</v>
      </c>
      <c r="W227">
        <f>S227*B213+T227*B214</f>
        <v>0</v>
      </c>
      <c r="X227">
        <f t="shared" si="68"/>
        <v>1</v>
      </c>
      <c r="Y227">
        <f t="shared" si="69"/>
        <v>5.4529722255999982</v>
      </c>
      <c r="Z227">
        <f t="shared" si="74"/>
        <v>1.2875361370332146</v>
      </c>
      <c r="AC227">
        <v>0.16</v>
      </c>
      <c r="AE227">
        <v>0.7</v>
      </c>
      <c r="AF227">
        <f t="shared" si="70"/>
        <v>1.7056897121676797</v>
      </c>
      <c r="AG227">
        <f t="shared" si="75"/>
        <v>0.19</v>
      </c>
      <c r="AH227">
        <f t="shared" si="76"/>
        <v>0.6784</v>
      </c>
      <c r="AI227">
        <f>AI211</f>
        <v>0.24099999999999999</v>
      </c>
      <c r="AK227">
        <f>AK211</f>
        <v>0.74</v>
      </c>
      <c r="AL227">
        <f>AL211</f>
        <v>99.759</v>
      </c>
      <c r="AM227">
        <f>AM211</f>
        <v>4.7000000000000002E-3</v>
      </c>
      <c r="AN227">
        <f t="shared" si="77"/>
        <v>3.9209222680430063E-4</v>
      </c>
      <c r="AO227">
        <f t="shared" si="78"/>
        <v>1.0308356158613889E-3</v>
      </c>
      <c r="AP227">
        <f t="shared" si="79"/>
        <v>1.4229278426656894E-3</v>
      </c>
      <c r="AQ227">
        <f t="shared" si="80"/>
        <v>8.4397407668108713</v>
      </c>
      <c r="AS227">
        <f t="shared" si="81"/>
        <v>0</v>
      </c>
      <c r="AT227">
        <f t="shared" si="71"/>
        <v>1.876327087581306E-2</v>
      </c>
      <c r="AU227">
        <f t="shared" si="82"/>
        <v>0.11982743940319431</v>
      </c>
      <c r="AV227">
        <f t="shared" si="72"/>
        <v>710.72649996019629</v>
      </c>
      <c r="AY227">
        <f>AY211</f>
        <v>2E-3</v>
      </c>
      <c r="BB227">
        <f t="shared" si="83"/>
        <v>0.24</v>
      </c>
    </row>
    <row r="228" spans="7:88" x14ac:dyDescent="0.2">
      <c r="G228">
        <v>3</v>
      </c>
      <c r="H228" t="s">
        <v>162</v>
      </c>
      <c r="J228">
        <v>91.25</v>
      </c>
      <c r="K228">
        <v>142</v>
      </c>
      <c r="M228">
        <v>280</v>
      </c>
      <c r="O228">
        <v>0.66</v>
      </c>
      <c r="P228">
        <v>550</v>
      </c>
      <c r="Q228">
        <f t="shared" si="73"/>
        <v>0.50909090909090904</v>
      </c>
      <c r="S228">
        <v>0</v>
      </c>
      <c r="T228">
        <v>0</v>
      </c>
      <c r="U228">
        <f>60/K227</f>
        <v>0.92307692307692313</v>
      </c>
      <c r="V228">
        <v>0</v>
      </c>
      <c r="W228">
        <f>S228*B213+T228*B214</f>
        <v>0</v>
      </c>
      <c r="X228">
        <f t="shared" si="68"/>
        <v>1</v>
      </c>
      <c r="Y228">
        <f t="shared" si="69"/>
        <v>6.0528792675999998</v>
      </c>
      <c r="Z228">
        <f t="shared" si="74"/>
        <v>1.1931262462476857</v>
      </c>
      <c r="AC228">
        <v>7.0000000000000007E-2</v>
      </c>
      <c r="AE228">
        <v>0.55000000000000004</v>
      </c>
      <c r="AF228">
        <f t="shared" si="70"/>
        <v>2.7286379738340796</v>
      </c>
      <c r="AG228">
        <f t="shared" si="75"/>
        <v>0.19</v>
      </c>
      <c r="AH228">
        <f t="shared" si="76"/>
        <v>0.6784</v>
      </c>
      <c r="AI228">
        <f>AI211</f>
        <v>0.24099999999999999</v>
      </c>
      <c r="AK228">
        <f>AK211</f>
        <v>0.74</v>
      </c>
      <c r="AL228">
        <f>AL211</f>
        <v>99.759</v>
      </c>
      <c r="AM228">
        <f>AM211</f>
        <v>4.7000000000000002E-3</v>
      </c>
      <c r="AN228">
        <f t="shared" si="77"/>
        <v>6.2724054185900129E-4</v>
      </c>
      <c r="AO228">
        <f t="shared" si="78"/>
        <v>1.6490556202308341E-3</v>
      </c>
      <c r="AP228">
        <f t="shared" si="79"/>
        <v>2.2762961620898352E-3</v>
      </c>
      <c r="AQ228">
        <f t="shared" si="80"/>
        <v>29.495107520279042</v>
      </c>
      <c r="AS228">
        <f t="shared" si="81"/>
        <v>5.5384615384615383</v>
      </c>
      <c r="AT228">
        <f t="shared" si="71"/>
        <v>1.1860570846561242E-2</v>
      </c>
      <c r="AU228">
        <f t="shared" si="82"/>
        <v>8.2506088057569024E-2</v>
      </c>
      <c r="AV228">
        <f t="shared" si="72"/>
        <v>1069.0726360059507</v>
      </c>
      <c r="AY228">
        <f>AY211</f>
        <v>2E-3</v>
      </c>
      <c r="BB228">
        <f t="shared" si="83"/>
        <v>0.24</v>
      </c>
      <c r="BQ228" t="s">
        <v>239</v>
      </c>
      <c r="BR228" t="s">
        <v>240</v>
      </c>
      <c r="CG228" t="s">
        <v>160</v>
      </c>
      <c r="CH228" t="s">
        <v>162</v>
      </c>
      <c r="CI228" t="s">
        <v>163</v>
      </c>
      <c r="CJ228" t="s">
        <v>164</v>
      </c>
    </row>
    <row r="229" spans="7:88" x14ac:dyDescent="0.2">
      <c r="H229" t="s">
        <v>163</v>
      </c>
      <c r="J229">
        <v>91.25</v>
      </c>
      <c r="K229">
        <v>137</v>
      </c>
      <c r="M229">
        <v>70</v>
      </c>
      <c r="O229">
        <v>0.7</v>
      </c>
      <c r="P229">
        <v>550</v>
      </c>
      <c r="Q229">
        <f t="shared" si="73"/>
        <v>0.12727272727272726</v>
      </c>
      <c r="S229">
        <v>0</v>
      </c>
      <c r="T229">
        <v>0</v>
      </c>
      <c r="U229">
        <f>70/K228</f>
        <v>0.49295774647887325</v>
      </c>
      <c r="V229">
        <f>60/K228</f>
        <v>0.42253521126760563</v>
      </c>
      <c r="W229">
        <f>S229*B213+T229*B214</f>
        <v>0</v>
      </c>
      <c r="X229">
        <f t="shared" si="68"/>
        <v>1</v>
      </c>
      <c r="Y229">
        <f t="shared" si="69"/>
        <v>2.9260155136000003</v>
      </c>
      <c r="Z229">
        <f t="shared" si="74"/>
        <v>1.3178594998320508</v>
      </c>
      <c r="AC229">
        <v>0.09</v>
      </c>
      <c r="AE229">
        <v>0.55000000000000004</v>
      </c>
      <c r="AF229">
        <f t="shared" si="70"/>
        <v>1.3190477935308802</v>
      </c>
      <c r="AG229">
        <f t="shared" si="75"/>
        <v>0.19</v>
      </c>
      <c r="AH229">
        <f t="shared" si="76"/>
        <v>0.6784</v>
      </c>
      <c r="AI229">
        <f>AI211</f>
        <v>0.24099999999999999</v>
      </c>
      <c r="AK229">
        <f>AK211</f>
        <v>0.74</v>
      </c>
      <c r="AL229">
        <f>AL211</f>
        <v>99.759</v>
      </c>
      <c r="AM229">
        <f>AM211</f>
        <v>4.7000000000000002E-3</v>
      </c>
      <c r="AN229">
        <f t="shared" si="77"/>
        <v>3.0321364016996515E-4</v>
      </c>
      <c r="AO229">
        <f t="shared" si="78"/>
        <v>7.9716811029305324E-4</v>
      </c>
      <c r="AP229">
        <f t="shared" si="79"/>
        <v>1.1003817504630184E-3</v>
      </c>
      <c r="AQ229">
        <f t="shared" si="80"/>
        <v>13.756147357975809</v>
      </c>
      <c r="AS229">
        <f t="shared" si="81"/>
        <v>4.647887323943662</v>
      </c>
      <c r="AT229">
        <f t="shared" si="71"/>
        <v>1.9964346483033385E-2</v>
      </c>
      <c r="AU229">
        <f t="shared" si="82"/>
        <v>4.5056636424340477E-2</v>
      </c>
      <c r="AV229">
        <f t="shared" si="72"/>
        <v>563.26427609978634</v>
      </c>
      <c r="AY229">
        <f>AY211</f>
        <v>2E-3</v>
      </c>
      <c r="BB229">
        <f t="shared" si="83"/>
        <v>0.24</v>
      </c>
      <c r="BQ229" t="s">
        <v>168</v>
      </c>
      <c r="BR229" t="s">
        <v>200</v>
      </c>
      <c r="BS229" t="s">
        <v>156</v>
      </c>
      <c r="BT229" t="s">
        <v>181</v>
      </c>
      <c r="BU229" t="s">
        <v>169</v>
      </c>
      <c r="BV229" t="s">
        <v>170</v>
      </c>
      <c r="BW229" t="s">
        <v>171</v>
      </c>
      <c r="BX229" t="s">
        <v>172</v>
      </c>
      <c r="BY229" t="s">
        <v>173</v>
      </c>
      <c r="BZ229" t="s">
        <v>201</v>
      </c>
      <c r="CA229" t="s">
        <v>202</v>
      </c>
      <c r="CB229" t="s">
        <v>203</v>
      </c>
      <c r="CE229" t="s">
        <v>157</v>
      </c>
      <c r="CF229" t="s">
        <v>231</v>
      </c>
      <c r="CG229">
        <v>7.0000000000000007E-2</v>
      </c>
      <c r="CH229">
        <v>0.13</v>
      </c>
      <c r="CI229">
        <v>0.1</v>
      </c>
      <c r="CJ229">
        <v>0.06</v>
      </c>
    </row>
    <row r="230" spans="7:88" x14ac:dyDescent="0.2">
      <c r="H230" t="s">
        <v>164</v>
      </c>
      <c r="J230">
        <v>91.25</v>
      </c>
      <c r="K230">
        <v>132</v>
      </c>
      <c r="M230">
        <v>140</v>
      </c>
      <c r="O230">
        <v>0.77</v>
      </c>
      <c r="P230">
        <v>550</v>
      </c>
      <c r="Q230">
        <f t="shared" si="73"/>
        <v>0.25454545454545452</v>
      </c>
      <c r="S230">
        <v>0</v>
      </c>
      <c r="T230">
        <v>0</v>
      </c>
      <c r="U230">
        <v>0</v>
      </c>
      <c r="V230">
        <f>70/M230</f>
        <v>0.5</v>
      </c>
      <c r="W230">
        <f>S230*B213+T230*B214</f>
        <v>0</v>
      </c>
      <c r="X230">
        <f t="shared" si="68"/>
        <v>1</v>
      </c>
      <c r="Y230">
        <f t="shared" si="69"/>
        <v>4.0489085960999995</v>
      </c>
      <c r="Z230">
        <f t="shared" si="74"/>
        <v>1.2929094807945531</v>
      </c>
      <c r="AC230">
        <v>0.2</v>
      </c>
      <c r="AE230">
        <v>0.75</v>
      </c>
      <c r="AF230">
        <f t="shared" si="70"/>
        <v>1.0802488134394799</v>
      </c>
      <c r="AG230">
        <f t="shared" si="75"/>
        <v>0.19</v>
      </c>
      <c r="AH230">
        <f t="shared" si="76"/>
        <v>0.6784</v>
      </c>
      <c r="AI230">
        <f>AI211</f>
        <v>0.24099999999999999</v>
      </c>
      <c r="AK230">
        <f>AK211</f>
        <v>0.74</v>
      </c>
      <c r="AL230">
        <f>AL211</f>
        <v>99.759</v>
      </c>
      <c r="AM230">
        <f>AM211</f>
        <v>4.7000000000000002E-3</v>
      </c>
      <c r="AN230">
        <f t="shared" si="77"/>
        <v>2.4832017203522353E-4</v>
      </c>
      <c r="AO230">
        <f t="shared" si="78"/>
        <v>6.5284966130812376E-4</v>
      </c>
      <c r="AP230">
        <f t="shared" si="79"/>
        <v>9.011698333433473E-4</v>
      </c>
      <c r="AQ230">
        <f t="shared" si="80"/>
        <v>10.854590642620618</v>
      </c>
      <c r="AS230">
        <f t="shared" si="81"/>
        <v>2</v>
      </c>
      <c r="AT230">
        <f t="shared" si="71"/>
        <v>1.9805000862516527E-2</v>
      </c>
      <c r="AU230">
        <f>MAX((Y230*AC230/6.25)+(0.032*AS230/6.38)-AT230-((1.1*(10^-4)*(M230^0.75))/6.25), 0)</f>
        <v>0.11907509950712107</v>
      </c>
      <c r="AV230">
        <f t="shared" si="72"/>
        <v>1434.2595735632733</v>
      </c>
      <c r="AY230">
        <f>AY211</f>
        <v>2E-3</v>
      </c>
      <c r="BB230">
        <f t="shared" si="83"/>
        <v>0.24</v>
      </c>
      <c r="BQ230" s="5" t="s">
        <v>160</v>
      </c>
      <c r="BR230" s="6" t="s">
        <v>159</v>
      </c>
      <c r="BS230">
        <v>7.0000000000000007E-2</v>
      </c>
      <c r="BT230">
        <v>7.0000000000000007E-2</v>
      </c>
      <c r="BU230">
        <v>5.8000000000000003E-2</v>
      </c>
      <c r="BV230">
        <v>7.1999999999999995E-2</v>
      </c>
      <c r="BW230">
        <v>0.16</v>
      </c>
      <c r="BX230">
        <v>0.2</v>
      </c>
      <c r="BY230">
        <v>0.25</v>
      </c>
      <c r="BZ230">
        <v>0.2</v>
      </c>
      <c r="CA230">
        <v>0.04</v>
      </c>
      <c r="CB230">
        <v>0.04</v>
      </c>
      <c r="CE230" t="s">
        <v>169</v>
      </c>
      <c r="CF230" t="s">
        <v>231</v>
      </c>
      <c r="CG230">
        <v>5.8000000000000003E-2</v>
      </c>
      <c r="CH230">
        <v>9.1999999999999998E-2</v>
      </c>
      <c r="CI230">
        <v>7.4999999999999997E-2</v>
      </c>
      <c r="CJ230">
        <v>5.2999999999999999E-2</v>
      </c>
    </row>
    <row r="231" spans="7:88" x14ac:dyDescent="0.2">
      <c r="G231" t="s">
        <v>182</v>
      </c>
      <c r="H231" t="s">
        <v>160</v>
      </c>
      <c r="J231">
        <v>91.25</v>
      </c>
      <c r="K231">
        <v>249</v>
      </c>
      <c r="M231">
        <v>500</v>
      </c>
      <c r="O231">
        <v>0.55000000000000004</v>
      </c>
      <c r="P231">
        <v>550</v>
      </c>
      <c r="Q231">
        <f t="shared" si="73"/>
        <v>0.90909090909090906</v>
      </c>
      <c r="S231">
        <v>0.75</v>
      </c>
      <c r="T231">
        <v>0.03</v>
      </c>
      <c r="U231">
        <v>0</v>
      </c>
      <c r="V231">
        <v>0</v>
      </c>
      <c r="W231">
        <f>S231*B213+T231*B214</f>
        <v>4.62</v>
      </c>
      <c r="X231">
        <f t="shared" si="68"/>
        <v>1.228</v>
      </c>
      <c r="Y231">
        <f t="shared" si="69"/>
        <v>10.89232692075</v>
      </c>
      <c r="Z231">
        <f t="shared" si="74"/>
        <v>1.1273442906574391</v>
      </c>
      <c r="AC231">
        <v>0.16</v>
      </c>
      <c r="AE231">
        <v>0.7</v>
      </c>
      <c r="AF231">
        <f t="shared" si="70"/>
        <v>3.4071198608106004</v>
      </c>
      <c r="AG231">
        <f t="shared" si="75"/>
        <v>0.19</v>
      </c>
      <c r="AH231">
        <f t="shared" si="76"/>
        <v>0.6784</v>
      </c>
      <c r="AI231">
        <f>AI211</f>
        <v>0.24099999999999999</v>
      </c>
      <c r="AK231">
        <f>AK211</f>
        <v>0.74</v>
      </c>
      <c r="AL231">
        <f>AL211</f>
        <v>99.759</v>
      </c>
      <c r="AM231">
        <f>AM211</f>
        <v>4.7000000000000002E-3</v>
      </c>
      <c r="AN231">
        <f t="shared" si="77"/>
        <v>7.8320529442406567E-4</v>
      </c>
      <c r="AO231">
        <f t="shared" si="78"/>
        <v>2.0590969594163774E-3</v>
      </c>
      <c r="AP231">
        <f t="shared" si="79"/>
        <v>2.8423022538404431E-3</v>
      </c>
      <c r="AQ231">
        <f t="shared" si="80"/>
        <v>64.580660085072168</v>
      </c>
      <c r="AS231">
        <f t="shared" si="81"/>
        <v>0</v>
      </c>
      <c r="AT231">
        <f t="shared" si="71"/>
        <v>2.9537273355756281E-2</v>
      </c>
      <c r="AU231">
        <f t="shared" si="82"/>
        <v>0.24744532239178826</v>
      </c>
      <c r="AV231">
        <f t="shared" si="72"/>
        <v>5622.2670313944191</v>
      </c>
      <c r="AY231">
        <f>AY211</f>
        <v>2E-3</v>
      </c>
      <c r="BB231">
        <f t="shared" si="83"/>
        <v>0.24</v>
      </c>
      <c r="BQ231" s="3" t="s">
        <v>162</v>
      </c>
      <c r="BR231" s="4" t="s">
        <v>159</v>
      </c>
      <c r="BS231">
        <v>0.13</v>
      </c>
      <c r="BT231">
        <v>0.13</v>
      </c>
      <c r="BU231">
        <v>9.1999999999999998E-2</v>
      </c>
      <c r="BV231">
        <v>9.9000000000000005E-2</v>
      </c>
      <c r="BW231">
        <v>7.0000000000000007E-2</v>
      </c>
      <c r="BX231">
        <v>0.1</v>
      </c>
      <c r="BY231">
        <v>7.0000000000000007E-2</v>
      </c>
      <c r="BZ231">
        <v>0.09</v>
      </c>
      <c r="CA231">
        <v>0.12</v>
      </c>
      <c r="CB231">
        <v>0.12</v>
      </c>
      <c r="CE231" t="s">
        <v>170</v>
      </c>
      <c r="CF231" t="s">
        <v>231</v>
      </c>
      <c r="CG231">
        <v>7.1999999999999995E-2</v>
      </c>
      <c r="CH231">
        <v>9.9000000000000005E-2</v>
      </c>
      <c r="CI231">
        <v>7.8E-2</v>
      </c>
      <c r="CJ231">
        <v>5.8999999999999997E-2</v>
      </c>
    </row>
    <row r="232" spans="7:88" x14ac:dyDescent="0.2">
      <c r="G232" t="s">
        <v>196</v>
      </c>
      <c r="H232" t="s">
        <v>162</v>
      </c>
      <c r="J232">
        <v>91.25</v>
      </c>
      <c r="K232">
        <v>320</v>
      </c>
      <c r="M232">
        <v>500</v>
      </c>
      <c r="O232">
        <v>0</v>
      </c>
      <c r="P232">
        <v>550</v>
      </c>
      <c r="Q232">
        <f t="shared" si="73"/>
        <v>0.90909090909090906</v>
      </c>
      <c r="S232">
        <v>0.05</v>
      </c>
      <c r="T232">
        <v>0.72</v>
      </c>
      <c r="U232">
        <v>0</v>
      </c>
      <c r="V232">
        <v>0</v>
      </c>
      <c r="W232">
        <f>S232*B213+T232*B214</f>
        <v>3.1799999999999997</v>
      </c>
      <c r="X232">
        <f t="shared" si="68"/>
        <v>1.087</v>
      </c>
      <c r="Y232">
        <f t="shared" si="69"/>
        <v>8.5525431750000003</v>
      </c>
      <c r="Z232">
        <f t="shared" si="74"/>
        <v>1</v>
      </c>
      <c r="AC232">
        <v>7.0000000000000007E-2</v>
      </c>
      <c r="AE232">
        <v>0.55000000000000004</v>
      </c>
      <c r="AF232">
        <f t="shared" si="70"/>
        <v>3.8554864632899997</v>
      </c>
      <c r="AG232">
        <f t="shared" si="75"/>
        <v>0.19</v>
      </c>
      <c r="AH232">
        <f t="shared" si="76"/>
        <v>0.6784</v>
      </c>
      <c r="AI232">
        <f>AI211</f>
        <v>0.24099999999999999</v>
      </c>
      <c r="AK232">
        <f>AK211</f>
        <v>0.74</v>
      </c>
      <c r="AL232">
        <f>AL211</f>
        <v>99.759</v>
      </c>
      <c r="AM232">
        <f>AM211</f>
        <v>4.7000000000000002E-3</v>
      </c>
      <c r="AN232">
        <f t="shared" si="77"/>
        <v>8.8627272710935104E-4</v>
      </c>
      <c r="AO232">
        <f t="shared" si="78"/>
        <v>2.3300678514264791E-3</v>
      </c>
      <c r="AP232">
        <f t="shared" si="79"/>
        <v>3.2163405785358302E-3</v>
      </c>
      <c r="AQ232">
        <f t="shared" si="80"/>
        <v>93.917144893246231</v>
      </c>
      <c r="AS232">
        <f t="shared" si="81"/>
        <v>0</v>
      </c>
      <c r="AT232">
        <f t="shared" si="71"/>
        <v>1.5949843260188088E-2</v>
      </c>
      <c r="AU232">
        <f t="shared" si="82"/>
        <v>7.7977666876156537E-2</v>
      </c>
      <c r="AV232">
        <f t="shared" si="72"/>
        <v>2276.9478727837709</v>
      </c>
      <c r="AY232">
        <f>AY211</f>
        <v>2E-3</v>
      </c>
      <c r="BB232">
        <f t="shared" si="83"/>
        <v>0.24</v>
      </c>
      <c r="BQ232" s="5" t="s">
        <v>163</v>
      </c>
      <c r="BR232" s="6" t="s">
        <v>159</v>
      </c>
      <c r="BS232">
        <v>0.1</v>
      </c>
      <c r="BT232">
        <v>0.1</v>
      </c>
      <c r="BU232">
        <v>7.4999999999999997E-2</v>
      </c>
      <c r="BV232">
        <v>7.8E-2</v>
      </c>
      <c r="BW232">
        <v>0.09</v>
      </c>
      <c r="BX232">
        <v>0.16</v>
      </c>
      <c r="BY232">
        <v>0.1</v>
      </c>
      <c r="BZ232">
        <v>0.06</v>
      </c>
      <c r="CA232">
        <v>0.09</v>
      </c>
      <c r="CB232">
        <v>0.09</v>
      </c>
      <c r="CE232" t="s">
        <v>171</v>
      </c>
      <c r="CF232" t="s">
        <v>231</v>
      </c>
      <c r="CG232">
        <v>0.16</v>
      </c>
      <c r="CH232">
        <v>7.0000000000000007E-2</v>
      </c>
      <c r="CI232">
        <v>0.09</v>
      </c>
      <c r="CJ232">
        <v>0.2</v>
      </c>
    </row>
    <row r="233" spans="7:88" x14ac:dyDescent="0.2">
      <c r="H233" t="s">
        <v>163</v>
      </c>
      <c r="J233">
        <v>91.25</v>
      </c>
      <c r="K233">
        <v>315</v>
      </c>
      <c r="M233">
        <v>450</v>
      </c>
      <c r="O233">
        <v>-0.55000000000000004</v>
      </c>
      <c r="P233">
        <v>550</v>
      </c>
      <c r="Q233">
        <f t="shared" si="73"/>
        <v>0.81818181818181823</v>
      </c>
      <c r="S233">
        <v>0</v>
      </c>
      <c r="T233">
        <v>0.02</v>
      </c>
      <c r="U233">
        <v>0</v>
      </c>
      <c r="V233">
        <v>0</v>
      </c>
      <c r="W233">
        <f>S233*B213+T233*B214</f>
        <v>0.08</v>
      </c>
      <c r="X233">
        <f t="shared" si="68"/>
        <v>1.002</v>
      </c>
      <c r="Y233">
        <f t="shared" si="69"/>
        <v>6.4048321586250001</v>
      </c>
      <c r="Z233">
        <f t="shared" si="74"/>
        <v>0.87585071345088394</v>
      </c>
      <c r="AC233">
        <v>0.09</v>
      </c>
      <c r="AE233">
        <v>0.55000000000000004</v>
      </c>
      <c r="AF233">
        <f t="shared" si="70"/>
        <v>2.8872983371081498</v>
      </c>
      <c r="AG233">
        <f t="shared" si="75"/>
        <v>0.19</v>
      </c>
      <c r="AH233">
        <f t="shared" si="76"/>
        <v>0.6784</v>
      </c>
      <c r="AI233">
        <f>AI211</f>
        <v>0.24099999999999999</v>
      </c>
      <c r="AK233">
        <f>AK211</f>
        <v>0.74</v>
      </c>
      <c r="AL233">
        <f>AL211</f>
        <v>99.759</v>
      </c>
      <c r="AM233">
        <f>AM211</f>
        <v>4.7000000000000002E-3</v>
      </c>
      <c r="AN233">
        <f t="shared" si="77"/>
        <v>6.6371229560057148E-4</v>
      </c>
      <c r="AO233">
        <f t="shared" si="78"/>
        <v>1.7449422003759213E-3</v>
      </c>
      <c r="AP233">
        <f t="shared" si="79"/>
        <v>2.408654495976493E-3</v>
      </c>
      <c r="AQ233">
        <f t="shared" si="80"/>
        <v>69.23376266872431</v>
      </c>
      <c r="AS233">
        <f t="shared" si="81"/>
        <v>0</v>
      </c>
      <c r="AT233">
        <f t="shared" si="71"/>
        <v>-6.3352466219248173E-3</v>
      </c>
      <c r="AU233">
        <f t="shared" si="82"/>
        <v>9.6845251021302661E-2</v>
      </c>
      <c r="AV233">
        <f t="shared" si="72"/>
        <v>2783.6956840435682</v>
      </c>
      <c r="AY233">
        <f>AY211</f>
        <v>2E-3</v>
      </c>
      <c r="BB233">
        <f t="shared" si="83"/>
        <v>0.24</v>
      </c>
      <c r="BQ233" s="3" t="s">
        <v>164</v>
      </c>
      <c r="BR233" s="4" t="s">
        <v>159</v>
      </c>
      <c r="BS233">
        <v>0.06</v>
      </c>
      <c r="BT233">
        <v>0.06</v>
      </c>
      <c r="BU233">
        <v>5.2999999999999999E-2</v>
      </c>
      <c r="BV233">
        <v>5.8999999999999997E-2</v>
      </c>
      <c r="BW233">
        <v>0.2</v>
      </c>
      <c r="BX233">
        <v>0.2</v>
      </c>
      <c r="BY233">
        <v>0.21</v>
      </c>
      <c r="BZ233">
        <v>0.2</v>
      </c>
      <c r="CA233">
        <v>0.06</v>
      </c>
      <c r="CB233">
        <v>0.06</v>
      </c>
      <c r="CE233" t="s">
        <v>172</v>
      </c>
      <c r="CF233" t="s">
        <v>231</v>
      </c>
      <c r="CG233">
        <v>0.2</v>
      </c>
      <c r="CH233">
        <v>0.1</v>
      </c>
      <c r="CI233">
        <v>0.16</v>
      </c>
      <c r="CJ233">
        <v>0.2</v>
      </c>
    </row>
    <row r="234" spans="7:88" x14ac:dyDescent="0.2">
      <c r="H234" t="s">
        <v>164</v>
      </c>
      <c r="J234">
        <v>91.25</v>
      </c>
      <c r="K234">
        <v>190</v>
      </c>
      <c r="M234">
        <v>450</v>
      </c>
      <c r="O234">
        <v>0</v>
      </c>
      <c r="P234">
        <v>550</v>
      </c>
      <c r="Q234">
        <f t="shared" si="73"/>
        <v>0.81818181818181823</v>
      </c>
      <c r="S234">
        <v>0.02</v>
      </c>
      <c r="T234">
        <v>0</v>
      </c>
      <c r="U234">
        <v>0</v>
      </c>
      <c r="V234">
        <v>0</v>
      </c>
      <c r="W234">
        <f>S234*B213+T234*B214</f>
        <v>0.12</v>
      </c>
      <c r="X234">
        <f t="shared" si="68"/>
        <v>1.006</v>
      </c>
      <c r="Y234">
        <f t="shared" si="69"/>
        <v>7.3418908634999989</v>
      </c>
      <c r="Z234">
        <f t="shared" si="74"/>
        <v>1</v>
      </c>
      <c r="AC234">
        <v>0.2</v>
      </c>
      <c r="AE234">
        <v>0.75</v>
      </c>
      <c r="AF234">
        <f t="shared" si="70"/>
        <v>1.9588164823817997</v>
      </c>
      <c r="AG234">
        <f t="shared" si="75"/>
        <v>0.19</v>
      </c>
      <c r="AH234">
        <f t="shared" si="76"/>
        <v>0.6784</v>
      </c>
      <c r="AI234">
        <f>AI211</f>
        <v>0.24099999999999999</v>
      </c>
      <c r="AK234">
        <f>AK211</f>
        <v>0.74</v>
      </c>
      <c r="AL234">
        <f>AL211</f>
        <v>99.759</v>
      </c>
      <c r="AM234">
        <f>AM211</f>
        <v>4.7000000000000002E-3</v>
      </c>
      <c r="AN234">
        <f t="shared" si="77"/>
        <v>4.5027926884895486E-4</v>
      </c>
      <c r="AO234">
        <f t="shared" si="78"/>
        <v>1.1838130819288078E-3</v>
      </c>
      <c r="AP234">
        <f t="shared" si="79"/>
        <v>1.6340923507777627E-3</v>
      </c>
      <c r="AQ234">
        <f t="shared" si="80"/>
        <v>28.331076131609464</v>
      </c>
      <c r="AS234">
        <f t="shared" si="81"/>
        <v>0</v>
      </c>
      <c r="AT234">
        <f t="shared" si="71"/>
        <v>6.0188087774294674E-4</v>
      </c>
      <c r="AU234">
        <f t="shared" si="82"/>
        <v>0.2326190480694349</v>
      </c>
      <c r="AV234">
        <f t="shared" si="72"/>
        <v>4033.0327459038276</v>
      </c>
      <c r="AY234">
        <f>AY211</f>
        <v>2E-3</v>
      </c>
      <c r="BB234">
        <f t="shared" si="83"/>
        <v>0.24</v>
      </c>
      <c r="BQ234" s="5" t="s">
        <v>160</v>
      </c>
      <c r="BR234" s="6" t="s">
        <v>165</v>
      </c>
      <c r="BS234">
        <v>7.0000000000000007E-2</v>
      </c>
      <c r="BT234">
        <v>7.0000000000000007E-2</v>
      </c>
      <c r="BU234">
        <v>5.8000000000000003E-2</v>
      </c>
      <c r="BV234">
        <v>7.1999999999999995E-2</v>
      </c>
      <c r="BW234">
        <v>0.16</v>
      </c>
      <c r="BX234">
        <v>0.2</v>
      </c>
      <c r="BY234">
        <v>0.25</v>
      </c>
      <c r="BZ234">
        <v>0.2</v>
      </c>
      <c r="CA234">
        <v>0.04</v>
      </c>
      <c r="CB234">
        <v>0.04</v>
      </c>
      <c r="CE234" t="s">
        <v>173</v>
      </c>
      <c r="CF234" t="s">
        <v>231</v>
      </c>
      <c r="CG234">
        <v>0.25</v>
      </c>
      <c r="CH234">
        <v>7.0000000000000007E-2</v>
      </c>
      <c r="CI234">
        <v>0.1</v>
      </c>
      <c r="CJ234">
        <v>0.21</v>
      </c>
    </row>
    <row r="235" spans="7:88" x14ac:dyDescent="0.2">
      <c r="G235" t="s">
        <v>187</v>
      </c>
      <c r="H235" t="s">
        <v>160</v>
      </c>
      <c r="J235">
        <v>91.25</v>
      </c>
      <c r="K235">
        <v>51</v>
      </c>
      <c r="M235">
        <v>420</v>
      </c>
      <c r="O235">
        <v>0.22</v>
      </c>
      <c r="P235">
        <v>660</v>
      </c>
      <c r="Q235">
        <f t="shared" si="73"/>
        <v>0.63636363636363635</v>
      </c>
      <c r="S235">
        <v>0</v>
      </c>
      <c r="T235">
        <v>0</v>
      </c>
      <c r="U235">
        <v>0</v>
      </c>
      <c r="V235">
        <v>0</v>
      </c>
      <c r="W235">
        <f>S235*B213+T235*B214</f>
        <v>0</v>
      </c>
      <c r="X235">
        <f t="shared" si="68"/>
        <v>1</v>
      </c>
      <c r="Y235">
        <f t="shared" si="69"/>
        <v>7.3032900516000012</v>
      </c>
      <c r="Z235">
        <f>Y235 / ((1.185 + 0.00454 * M235 - 0.0000026 * M235 ^ 2) ^ 2 * X235)</f>
        <v>1.0533290230865808</v>
      </c>
      <c r="AC235">
        <v>0.16</v>
      </c>
      <c r="AE235">
        <v>0.7</v>
      </c>
      <c r="AF235">
        <f t="shared" si="70"/>
        <v>2.2844691281404805</v>
      </c>
      <c r="AG235">
        <f t="shared" si="75"/>
        <v>0.19</v>
      </c>
      <c r="AH235">
        <f t="shared" si="76"/>
        <v>0.6784</v>
      </c>
      <c r="AI235">
        <f>AI211</f>
        <v>0.24099999999999999</v>
      </c>
      <c r="AK235">
        <f>AK211</f>
        <v>0.74</v>
      </c>
      <c r="AL235">
        <f>AL211</f>
        <v>99.759</v>
      </c>
      <c r="AM235">
        <f>AM211</f>
        <v>4.7000000000000002E-3</v>
      </c>
      <c r="AN235">
        <f t="shared" si="77"/>
        <v>5.2513806064993437E-4</v>
      </c>
      <c r="AO235">
        <f t="shared" si="78"/>
        <v>1.3806216475505833E-3</v>
      </c>
      <c r="AP235">
        <f t="shared" si="79"/>
        <v>1.9057597082005177E-3</v>
      </c>
      <c r="AQ235">
        <f t="shared" si="80"/>
        <v>8.868929242038158</v>
      </c>
      <c r="AS235">
        <f t="shared" si="81"/>
        <v>0</v>
      </c>
      <c r="AT235">
        <f t="shared" si="71"/>
        <v>3.263301747682234E-3</v>
      </c>
      <c r="AU235">
        <f t="shared" si="82"/>
        <v>0.18206806099664086</v>
      </c>
      <c r="AV235">
        <f t="shared" si="72"/>
        <v>847.29923886311747</v>
      </c>
      <c r="AY235">
        <f>AY211</f>
        <v>2E-3</v>
      </c>
      <c r="BB235">
        <f t="shared" si="83"/>
        <v>0.24</v>
      </c>
      <c r="BQ235" s="3" t="s">
        <v>162</v>
      </c>
      <c r="BR235" s="4" t="s">
        <v>165</v>
      </c>
      <c r="BS235">
        <v>0.13</v>
      </c>
      <c r="BT235">
        <v>0.13</v>
      </c>
      <c r="BU235">
        <v>9.1999999999999998E-2</v>
      </c>
      <c r="BV235">
        <v>9.9000000000000005E-2</v>
      </c>
      <c r="BW235">
        <v>7.0000000000000007E-2</v>
      </c>
      <c r="BX235">
        <v>0.1</v>
      </c>
      <c r="BY235">
        <v>7.0000000000000007E-2</v>
      </c>
      <c r="BZ235">
        <v>0.09</v>
      </c>
      <c r="CA235">
        <v>0.12</v>
      </c>
      <c r="CB235">
        <v>0.12</v>
      </c>
      <c r="CE235" t="s">
        <v>232</v>
      </c>
      <c r="CF235" t="s">
        <v>233</v>
      </c>
      <c r="CG235">
        <v>0.2</v>
      </c>
      <c r="CH235">
        <v>0.09</v>
      </c>
      <c r="CI235">
        <v>0.06</v>
      </c>
      <c r="CJ235">
        <v>0.2</v>
      </c>
    </row>
    <row r="236" spans="7:88" x14ac:dyDescent="0.2">
      <c r="G236" t="s">
        <v>197</v>
      </c>
      <c r="H236" t="s">
        <v>162</v>
      </c>
      <c r="J236">
        <v>91.25</v>
      </c>
      <c r="K236">
        <v>112</v>
      </c>
      <c r="M236">
        <v>420</v>
      </c>
      <c r="O236">
        <v>0</v>
      </c>
      <c r="P236">
        <v>660</v>
      </c>
      <c r="Q236">
        <f t="shared" si="73"/>
        <v>0.63636363636363635</v>
      </c>
      <c r="S236">
        <v>0</v>
      </c>
      <c r="T236">
        <v>0</v>
      </c>
      <c r="U236">
        <v>0</v>
      </c>
      <c r="V236">
        <v>0</v>
      </c>
      <c r="W236">
        <f>S236*B213+T236*B214</f>
        <v>0</v>
      </c>
      <c r="X236">
        <f t="shared" si="68"/>
        <v>1</v>
      </c>
      <c r="Y236">
        <f t="shared" si="69"/>
        <v>6.9335315856000008</v>
      </c>
      <c r="Z236">
        <f t="shared" si="74"/>
        <v>1</v>
      </c>
      <c r="AC236">
        <v>7.0000000000000007E-2</v>
      </c>
      <c r="AE236">
        <v>0.55000000000000004</v>
      </c>
      <c r="AF236">
        <f t="shared" si="70"/>
        <v>3.1256360387884805</v>
      </c>
      <c r="AG236">
        <f t="shared" si="75"/>
        <v>0.19</v>
      </c>
      <c r="AH236">
        <f t="shared" si="76"/>
        <v>0.6784</v>
      </c>
      <c r="AI236">
        <f>AI211</f>
        <v>0.24099999999999999</v>
      </c>
      <c r="AK236">
        <f>AK211</f>
        <v>0.74</v>
      </c>
      <c r="AL236">
        <f>AL211</f>
        <v>99.759</v>
      </c>
      <c r="AM236">
        <f>AM211</f>
        <v>4.7000000000000002E-3</v>
      </c>
      <c r="AN236">
        <f t="shared" si="77"/>
        <v>7.1849972822481969E-4</v>
      </c>
      <c r="AO236">
        <f t="shared" si="78"/>
        <v>1.88898187520189E-3</v>
      </c>
      <c r="AP236">
        <f t="shared" si="79"/>
        <v>2.6074816034267097E-3</v>
      </c>
      <c r="AQ236">
        <f t="shared" si="80"/>
        <v>26.648461987020973</v>
      </c>
      <c r="AS236">
        <f t="shared" si="81"/>
        <v>0</v>
      </c>
      <c r="AT236">
        <f t="shared" si="71"/>
        <v>0</v>
      </c>
      <c r="AU236">
        <f t="shared" si="82"/>
        <v>7.6022691182083074E-2</v>
      </c>
      <c r="AV236">
        <f t="shared" si="72"/>
        <v>776.95190388088906</v>
      </c>
      <c r="AY236">
        <f>AY211</f>
        <v>2E-3</v>
      </c>
      <c r="BB236">
        <f t="shared" si="83"/>
        <v>0.24</v>
      </c>
      <c r="BQ236" s="5" t="s">
        <v>163</v>
      </c>
      <c r="BR236" s="6" t="s">
        <v>165</v>
      </c>
      <c r="BS236">
        <v>0.1</v>
      </c>
      <c r="BT236">
        <v>0.1</v>
      </c>
      <c r="BU236">
        <v>7.4999999999999997E-2</v>
      </c>
      <c r="BV236">
        <v>7.8E-2</v>
      </c>
      <c r="BW236">
        <v>0.09</v>
      </c>
      <c r="BX236">
        <v>0.16</v>
      </c>
      <c r="BY236">
        <v>0.1</v>
      </c>
      <c r="BZ236">
        <v>0.06</v>
      </c>
      <c r="CA236">
        <v>0.09</v>
      </c>
      <c r="CB236">
        <v>0.09</v>
      </c>
      <c r="CE236" t="s">
        <v>178</v>
      </c>
    </row>
    <row r="237" spans="7:88" x14ac:dyDescent="0.2">
      <c r="H237" t="s">
        <v>163</v>
      </c>
      <c r="J237">
        <v>91.25</v>
      </c>
      <c r="K237">
        <v>107</v>
      </c>
      <c r="M237">
        <v>400</v>
      </c>
      <c r="O237">
        <v>-0.22</v>
      </c>
      <c r="P237">
        <v>660</v>
      </c>
      <c r="Q237">
        <f t="shared" si="73"/>
        <v>0.60606060606060608</v>
      </c>
      <c r="S237">
        <v>0</v>
      </c>
      <c r="T237">
        <v>0</v>
      </c>
      <c r="U237">
        <v>0</v>
      </c>
      <c r="V237">
        <v>0</v>
      </c>
      <c r="W237">
        <f>S237*B213+T237*B214</f>
        <v>0</v>
      </c>
      <c r="X237">
        <f t="shared" si="68"/>
        <v>1</v>
      </c>
      <c r="Y237">
        <f t="shared" si="69"/>
        <v>6.3287464899999994</v>
      </c>
      <c r="Z237">
        <f t="shared" si="74"/>
        <v>0.94710167496604791</v>
      </c>
      <c r="AC237">
        <v>0.09</v>
      </c>
      <c r="AE237">
        <v>0.55000000000000004</v>
      </c>
      <c r="AF237">
        <f t="shared" si="70"/>
        <v>2.8529989176919996</v>
      </c>
      <c r="AG237">
        <f t="shared" si="75"/>
        <v>0.19</v>
      </c>
      <c r="AH237">
        <f t="shared" si="76"/>
        <v>0.6784</v>
      </c>
      <c r="AI237">
        <f>AI211</f>
        <v>0.24099999999999999</v>
      </c>
      <c r="AK237">
        <f>AK211</f>
        <v>0.74</v>
      </c>
      <c r="AL237">
        <f>AL211</f>
        <v>99.759</v>
      </c>
      <c r="AM237">
        <f>AM211</f>
        <v>4.7000000000000002E-3</v>
      </c>
      <c r="AN237">
        <f t="shared" si="77"/>
        <v>6.5582778082567614E-4</v>
      </c>
      <c r="AO237">
        <f t="shared" si="78"/>
        <v>1.7242133052636909E-3</v>
      </c>
      <c r="AP237">
        <f t="shared" si="79"/>
        <v>2.3800410860893668E-3</v>
      </c>
      <c r="AQ237">
        <f t="shared" si="80"/>
        <v>23.238126154305053</v>
      </c>
      <c r="AS237">
        <f t="shared" si="81"/>
        <v>0</v>
      </c>
      <c r="AT237">
        <f t="shared" si="71"/>
        <v>-3.4134531535922131E-3</v>
      </c>
      <c r="AU237">
        <f t="shared" si="82"/>
        <v>9.2973210753432359E-2</v>
      </c>
      <c r="AV237">
        <f t="shared" si="72"/>
        <v>907.76718649382519</v>
      </c>
      <c r="AY237">
        <f>AY211</f>
        <v>2E-3</v>
      </c>
      <c r="BB237">
        <f t="shared" si="83"/>
        <v>0.24</v>
      </c>
      <c r="BQ237" s="3" t="s">
        <v>164</v>
      </c>
      <c r="BR237" s="4" t="s">
        <v>165</v>
      </c>
      <c r="BS237">
        <v>0.06</v>
      </c>
      <c r="BT237">
        <v>0.06</v>
      </c>
      <c r="BU237">
        <v>5.2999999999999999E-2</v>
      </c>
      <c r="BV237">
        <v>5.8999999999999997E-2</v>
      </c>
      <c r="BW237">
        <v>0.2</v>
      </c>
      <c r="BX237">
        <v>0.2</v>
      </c>
      <c r="BY237">
        <v>0.21</v>
      </c>
      <c r="BZ237">
        <v>0.2</v>
      </c>
      <c r="CA237">
        <v>0.06</v>
      </c>
      <c r="CB237">
        <v>0.06</v>
      </c>
      <c r="CE237" t="s">
        <v>174</v>
      </c>
      <c r="CF237">
        <v>0.04</v>
      </c>
      <c r="CG237">
        <v>0.12</v>
      </c>
      <c r="CH237">
        <v>0.09</v>
      </c>
      <c r="CI237">
        <v>0.06</v>
      </c>
    </row>
    <row r="238" spans="7:88" x14ac:dyDescent="0.2">
      <c r="H238" t="s">
        <v>164</v>
      </c>
      <c r="J238">
        <v>91.25</v>
      </c>
      <c r="K238">
        <v>94</v>
      </c>
      <c r="M238">
        <v>400</v>
      </c>
      <c r="O238">
        <v>0</v>
      </c>
      <c r="P238">
        <v>660</v>
      </c>
      <c r="Q238">
        <f t="shared" si="73"/>
        <v>0.60606060606060608</v>
      </c>
      <c r="S238">
        <v>0</v>
      </c>
      <c r="T238">
        <v>0</v>
      </c>
      <c r="U238">
        <v>0</v>
      </c>
      <c r="V238">
        <v>0</v>
      </c>
      <c r="W238">
        <f>S238*B213+T238*B214</f>
        <v>0</v>
      </c>
      <c r="X238">
        <f t="shared" si="68"/>
        <v>1</v>
      </c>
      <c r="Y238">
        <f t="shared" si="69"/>
        <v>6.6822249999999999</v>
      </c>
      <c r="Z238">
        <f t="shared" si="74"/>
        <v>1</v>
      </c>
      <c r="AC238">
        <v>0.2</v>
      </c>
      <c r="AE238">
        <v>0.75</v>
      </c>
      <c r="AF238">
        <f t="shared" si="70"/>
        <v>1.78281763</v>
      </c>
      <c r="AG238">
        <f t="shared" si="75"/>
        <v>0.19</v>
      </c>
      <c r="AH238">
        <f t="shared" si="76"/>
        <v>0.6784</v>
      </c>
      <c r="AI238">
        <f>AI211</f>
        <v>0.24099999999999999</v>
      </c>
      <c r="AK238">
        <f>AK211</f>
        <v>0.74</v>
      </c>
      <c r="AL238">
        <f>AL211</f>
        <v>99.759</v>
      </c>
      <c r="AM238">
        <f>AM211</f>
        <v>4.7000000000000002E-3</v>
      </c>
      <c r="AN238">
        <f t="shared" si="77"/>
        <v>4.098218624091384E-4</v>
      </c>
      <c r="AO238">
        <f t="shared" si="78"/>
        <v>1.0774479651718303E-3</v>
      </c>
      <c r="AP238">
        <f t="shared" si="79"/>
        <v>1.4872698275809686E-3</v>
      </c>
      <c r="AQ238">
        <f t="shared" si="80"/>
        <v>12.757056946075759</v>
      </c>
      <c r="AS238">
        <f t="shared" si="81"/>
        <v>0</v>
      </c>
      <c r="AT238">
        <f t="shared" si="71"/>
        <v>0</v>
      </c>
      <c r="AU238">
        <f t="shared" si="82"/>
        <v>0.21225700814384019</v>
      </c>
      <c r="AV238">
        <f t="shared" si="72"/>
        <v>1820.6344873537892</v>
      </c>
      <c r="AY238">
        <f>AY211</f>
        <v>2E-3</v>
      </c>
      <c r="BB238">
        <f t="shared" si="83"/>
        <v>0.24</v>
      </c>
      <c r="BQ238" s="5" t="s">
        <v>160</v>
      </c>
      <c r="BR238" s="6" t="s">
        <v>177</v>
      </c>
      <c r="BS238">
        <v>7.0000000000000007E-2</v>
      </c>
      <c r="BT238">
        <v>7.0000000000000007E-2</v>
      </c>
      <c r="BU238">
        <v>5.8000000000000003E-2</v>
      </c>
      <c r="BV238">
        <v>7.1999999999999995E-2</v>
      </c>
      <c r="BW238">
        <v>0.16</v>
      </c>
      <c r="BX238">
        <v>0.2</v>
      </c>
      <c r="BY238">
        <v>0.25</v>
      </c>
      <c r="BZ238">
        <v>0.2</v>
      </c>
      <c r="CA238">
        <v>0.04</v>
      </c>
      <c r="CB238">
        <v>0.04</v>
      </c>
      <c r="CE238" t="s">
        <v>175</v>
      </c>
      <c r="CF238">
        <v>0.04</v>
      </c>
      <c r="CG238">
        <v>0.12</v>
      </c>
      <c r="CH238">
        <v>0.09</v>
      </c>
      <c r="CI238">
        <v>0.06</v>
      </c>
    </row>
    <row r="239" spans="7:88" x14ac:dyDescent="0.2">
      <c r="G239" t="s">
        <v>188</v>
      </c>
      <c r="H239" t="s">
        <v>160</v>
      </c>
      <c r="J239">
        <v>91.25</v>
      </c>
      <c r="K239">
        <v>61</v>
      </c>
      <c r="M239">
        <v>420</v>
      </c>
      <c r="O239">
        <v>0.22</v>
      </c>
      <c r="P239">
        <v>660</v>
      </c>
      <c r="Q239">
        <f t="shared" si="73"/>
        <v>0.63636363636363635</v>
      </c>
      <c r="S239">
        <v>0</v>
      </c>
      <c r="T239">
        <v>0</v>
      </c>
      <c r="U239">
        <v>0</v>
      </c>
      <c r="V239">
        <v>0</v>
      </c>
      <c r="W239">
        <f>S239*B213+T239*B214</f>
        <v>0</v>
      </c>
      <c r="X239">
        <f t="shared" si="68"/>
        <v>1</v>
      </c>
      <c r="Y239">
        <f t="shared" si="69"/>
        <v>7.3032900516000012</v>
      </c>
      <c r="Z239">
        <f t="shared" si="74"/>
        <v>1.0533290230865808</v>
      </c>
      <c r="AC239">
        <v>0.16</v>
      </c>
      <c r="AE239">
        <v>0.7</v>
      </c>
      <c r="AF239">
        <f t="shared" si="70"/>
        <v>2.2844691281404805</v>
      </c>
      <c r="AG239">
        <f t="shared" si="75"/>
        <v>0.19</v>
      </c>
      <c r="AH239">
        <f t="shared" si="76"/>
        <v>0.6784</v>
      </c>
      <c r="AI239">
        <f>AI211</f>
        <v>0.24099999999999999</v>
      </c>
      <c r="AK239">
        <f>AK211</f>
        <v>0.74</v>
      </c>
      <c r="AL239">
        <f>AL211</f>
        <v>99.759</v>
      </c>
      <c r="AM239">
        <f>AM211</f>
        <v>4.7000000000000002E-3</v>
      </c>
      <c r="AN239">
        <f t="shared" si="77"/>
        <v>5.2513806064993437E-4</v>
      </c>
      <c r="AO239">
        <f t="shared" si="78"/>
        <v>1.3806216475505833E-3</v>
      </c>
      <c r="AP239">
        <f t="shared" si="79"/>
        <v>1.9057597082005177E-3</v>
      </c>
      <c r="AQ239">
        <f t="shared" si="80"/>
        <v>10.607934975771132</v>
      </c>
      <c r="AS239">
        <f t="shared" si="81"/>
        <v>0</v>
      </c>
      <c r="AT239">
        <f t="shared" si="71"/>
        <v>3.263301747682234E-3</v>
      </c>
      <c r="AU239">
        <f t="shared" si="82"/>
        <v>0.18206806099664086</v>
      </c>
      <c r="AV239">
        <f t="shared" si="72"/>
        <v>1013.4363445225521</v>
      </c>
      <c r="AY239">
        <f>AY211</f>
        <v>2E-3</v>
      </c>
      <c r="BB239">
        <f t="shared" si="83"/>
        <v>0.24</v>
      </c>
      <c r="BQ239" s="3" t="s">
        <v>162</v>
      </c>
      <c r="BR239" s="4" t="s">
        <v>177</v>
      </c>
      <c r="BS239">
        <v>0.13</v>
      </c>
      <c r="BT239">
        <v>0.13</v>
      </c>
      <c r="BU239">
        <v>9.1999999999999998E-2</v>
      </c>
      <c r="BV239">
        <v>9.9000000000000005E-2</v>
      </c>
      <c r="BW239">
        <v>7.0000000000000007E-2</v>
      </c>
      <c r="BX239">
        <v>0.1</v>
      </c>
      <c r="BY239">
        <v>7.0000000000000007E-2</v>
      </c>
      <c r="BZ239">
        <v>0.09</v>
      </c>
      <c r="CA239">
        <v>0.12</v>
      </c>
      <c r="CB239">
        <v>0.12</v>
      </c>
    </row>
    <row r="240" spans="7:88" x14ac:dyDescent="0.2">
      <c r="G240" t="s">
        <v>198</v>
      </c>
      <c r="H240" t="s">
        <v>162</v>
      </c>
      <c r="J240">
        <v>91.25</v>
      </c>
      <c r="K240">
        <v>106</v>
      </c>
      <c r="M240">
        <v>420</v>
      </c>
      <c r="O240">
        <v>0</v>
      </c>
      <c r="P240">
        <v>660</v>
      </c>
      <c r="Q240">
        <f t="shared" si="73"/>
        <v>0.63636363636363635</v>
      </c>
      <c r="S240">
        <v>0</v>
      </c>
      <c r="T240">
        <v>0</v>
      </c>
      <c r="U240">
        <v>0</v>
      </c>
      <c r="V240">
        <v>0</v>
      </c>
      <c r="W240">
        <f>S240*B213+T240*B214</f>
        <v>0</v>
      </c>
      <c r="X240">
        <f t="shared" si="68"/>
        <v>1</v>
      </c>
      <c r="Y240">
        <f t="shared" si="69"/>
        <v>6.9335315856000008</v>
      </c>
      <c r="Z240">
        <f t="shared" si="74"/>
        <v>1</v>
      </c>
      <c r="AC240">
        <v>7.0000000000000007E-2</v>
      </c>
      <c r="AE240">
        <v>0.55000000000000004</v>
      </c>
      <c r="AF240">
        <f t="shared" si="70"/>
        <v>3.1256360387884805</v>
      </c>
      <c r="AG240">
        <f t="shared" si="75"/>
        <v>0.19</v>
      </c>
      <c r="AH240">
        <f t="shared" si="76"/>
        <v>0.6784</v>
      </c>
      <c r="AI240">
        <f>AI211</f>
        <v>0.24099999999999999</v>
      </c>
      <c r="AK240">
        <f>AK211</f>
        <v>0.74</v>
      </c>
      <c r="AL240">
        <f>AL211</f>
        <v>99.759</v>
      </c>
      <c r="AM240">
        <f>AM211</f>
        <v>4.7000000000000002E-3</v>
      </c>
      <c r="AN240">
        <f t="shared" si="77"/>
        <v>7.1849972822481969E-4</v>
      </c>
      <c r="AO240">
        <f t="shared" si="78"/>
        <v>1.88898187520189E-3</v>
      </c>
      <c r="AP240">
        <f t="shared" si="79"/>
        <v>2.6074816034267097E-3</v>
      </c>
      <c r="AQ240">
        <f t="shared" si="80"/>
        <v>25.220865809144847</v>
      </c>
      <c r="AS240">
        <f t="shared" si="81"/>
        <v>0</v>
      </c>
      <c r="AT240">
        <f t="shared" si="71"/>
        <v>0</v>
      </c>
      <c r="AU240">
        <f>MAX((Y240*AC240/6.25)+(0.032*AS240/6.38)-AT240-((1.1*(10^-4)*(M240^0.75))/6.25), 0)</f>
        <v>7.6022691182083074E-2</v>
      </c>
      <c r="AV240">
        <f t="shared" si="72"/>
        <v>735.32948045869853</v>
      </c>
      <c r="AY240">
        <f>AY211</f>
        <v>2E-3</v>
      </c>
      <c r="BB240">
        <f t="shared" si="83"/>
        <v>0.24</v>
      </c>
      <c r="BQ240" s="5" t="s">
        <v>163</v>
      </c>
      <c r="BR240" s="6" t="s">
        <v>177</v>
      </c>
      <c r="BS240">
        <v>0.1</v>
      </c>
      <c r="BT240">
        <v>0.1</v>
      </c>
      <c r="BU240">
        <v>7.4999999999999997E-2</v>
      </c>
      <c r="BV240">
        <v>7.8E-2</v>
      </c>
      <c r="BW240">
        <v>0.09</v>
      </c>
      <c r="BX240">
        <v>0.16</v>
      </c>
      <c r="BY240">
        <v>0.1</v>
      </c>
      <c r="BZ240">
        <v>0.06</v>
      </c>
      <c r="CA240">
        <v>0.09</v>
      </c>
      <c r="CB240">
        <v>0.09</v>
      </c>
    </row>
    <row r="241" spans="7:80" x14ac:dyDescent="0.2">
      <c r="H241" t="s">
        <v>163</v>
      </c>
      <c r="J241">
        <v>91.25</v>
      </c>
      <c r="K241">
        <v>95</v>
      </c>
      <c r="M241">
        <v>400</v>
      </c>
      <c r="O241">
        <v>-0.22</v>
      </c>
      <c r="P241">
        <v>660</v>
      </c>
      <c r="Q241">
        <f t="shared" si="73"/>
        <v>0.60606060606060608</v>
      </c>
      <c r="S241">
        <v>0</v>
      </c>
      <c r="T241">
        <v>0</v>
      </c>
      <c r="U241">
        <v>0</v>
      </c>
      <c r="V241">
        <v>0</v>
      </c>
      <c r="W241">
        <f>S241*B213+T241*B214</f>
        <v>0</v>
      </c>
      <c r="X241">
        <f t="shared" si="68"/>
        <v>1</v>
      </c>
      <c r="Y241">
        <f t="shared" si="69"/>
        <v>6.3287464899999994</v>
      </c>
      <c r="Z241">
        <f t="shared" si="74"/>
        <v>0.94710167496604791</v>
      </c>
      <c r="AC241">
        <v>0.09</v>
      </c>
      <c r="AE241">
        <v>0.55000000000000004</v>
      </c>
      <c r="AF241">
        <f t="shared" si="70"/>
        <v>2.8529989176919996</v>
      </c>
      <c r="AG241">
        <f t="shared" si="75"/>
        <v>0.19</v>
      </c>
      <c r="AH241">
        <f t="shared" si="76"/>
        <v>0.6784</v>
      </c>
      <c r="AI241">
        <f>AI211</f>
        <v>0.24099999999999999</v>
      </c>
      <c r="AK241">
        <f>AK211</f>
        <v>0.74</v>
      </c>
      <c r="AL241">
        <f>AL211</f>
        <v>99.759</v>
      </c>
      <c r="AM241">
        <f>AM211</f>
        <v>4.7000000000000002E-3</v>
      </c>
      <c r="AN241">
        <f t="shared" si="77"/>
        <v>6.5582778082567614E-4</v>
      </c>
      <c r="AO241">
        <f t="shared" si="78"/>
        <v>1.7242133052636909E-3</v>
      </c>
      <c r="AP241">
        <f t="shared" si="79"/>
        <v>2.3800410860893668E-3</v>
      </c>
      <c r="AQ241">
        <f t="shared" si="80"/>
        <v>20.6319811650372</v>
      </c>
      <c r="AS241">
        <f t="shared" si="81"/>
        <v>0</v>
      </c>
      <c r="AT241">
        <f t="shared" si="71"/>
        <v>-3.4134531535922131E-3</v>
      </c>
      <c r="AU241">
        <f t="shared" si="82"/>
        <v>9.2973210753432359E-2</v>
      </c>
      <c r="AV241">
        <f t="shared" si="72"/>
        <v>805.9615207188167</v>
      </c>
      <c r="AY241">
        <f>AY211</f>
        <v>2E-3</v>
      </c>
      <c r="BB241">
        <f t="shared" si="83"/>
        <v>0.24</v>
      </c>
      <c r="BQ241" s="3" t="s">
        <v>164</v>
      </c>
      <c r="BR241" s="4" t="s">
        <v>177</v>
      </c>
      <c r="BS241">
        <v>0.06</v>
      </c>
      <c r="BT241">
        <v>0.06</v>
      </c>
      <c r="BU241">
        <v>5.2999999999999999E-2</v>
      </c>
      <c r="BV241">
        <v>5.8999999999999997E-2</v>
      </c>
      <c r="BW241">
        <v>0.2</v>
      </c>
      <c r="BX241">
        <v>0.2</v>
      </c>
      <c r="BY241">
        <v>0.21</v>
      </c>
      <c r="BZ241">
        <v>0.2</v>
      </c>
      <c r="CA241">
        <v>0.06</v>
      </c>
      <c r="CB241">
        <v>0.06</v>
      </c>
    </row>
    <row r="242" spans="7:80" x14ac:dyDescent="0.2">
      <c r="H242" t="s">
        <v>164</v>
      </c>
      <c r="J242">
        <v>91.25</v>
      </c>
      <c r="K242">
        <v>48</v>
      </c>
      <c r="M242">
        <v>400</v>
      </c>
      <c r="O242">
        <v>0</v>
      </c>
      <c r="P242">
        <v>660</v>
      </c>
      <c r="Q242">
        <f t="shared" si="73"/>
        <v>0.60606060606060608</v>
      </c>
      <c r="S242">
        <v>0</v>
      </c>
      <c r="T242">
        <v>0</v>
      </c>
      <c r="U242">
        <v>0</v>
      </c>
      <c r="V242">
        <v>0</v>
      </c>
      <c r="W242">
        <f>S242*B213+T242*B214</f>
        <v>0</v>
      </c>
      <c r="X242">
        <f t="shared" si="68"/>
        <v>1</v>
      </c>
      <c r="Y242">
        <f t="shared" si="69"/>
        <v>6.6822249999999999</v>
      </c>
      <c r="Z242">
        <f t="shared" si="74"/>
        <v>1</v>
      </c>
      <c r="AC242">
        <v>0.2</v>
      </c>
      <c r="AE242">
        <v>0.75</v>
      </c>
      <c r="AF242">
        <f t="shared" si="70"/>
        <v>1.78281763</v>
      </c>
      <c r="AG242">
        <f t="shared" si="75"/>
        <v>0.19</v>
      </c>
      <c r="AH242">
        <f t="shared" si="76"/>
        <v>0.6784</v>
      </c>
      <c r="AI242">
        <f>AI211</f>
        <v>0.24099999999999999</v>
      </c>
      <c r="AK242">
        <f>AK211</f>
        <v>0.74</v>
      </c>
      <c r="AL242">
        <f>AL211</f>
        <v>99.759</v>
      </c>
      <c r="AM242">
        <f>AM211</f>
        <v>4.7000000000000002E-3</v>
      </c>
      <c r="AN242">
        <f t="shared" si="77"/>
        <v>4.098218624091384E-4</v>
      </c>
      <c r="AO242">
        <f t="shared" si="78"/>
        <v>1.0774479651718303E-3</v>
      </c>
      <c r="AP242">
        <f t="shared" si="79"/>
        <v>1.4872698275809686E-3</v>
      </c>
      <c r="AQ242">
        <f t="shared" si="80"/>
        <v>6.5142418448046433</v>
      </c>
      <c r="AS242">
        <f t="shared" si="81"/>
        <v>0</v>
      </c>
      <c r="AT242">
        <f t="shared" si="71"/>
        <v>0</v>
      </c>
      <c r="AU242">
        <f t="shared" si="82"/>
        <v>0.21225700814384019</v>
      </c>
      <c r="AV242">
        <f t="shared" si="72"/>
        <v>929.68569567001998</v>
      </c>
      <c r="AY242">
        <f>AY211</f>
        <v>2E-3</v>
      </c>
      <c r="BB242">
        <f t="shared" si="83"/>
        <v>0.24</v>
      </c>
      <c r="BQ242" s="5" t="s">
        <v>160</v>
      </c>
      <c r="BR242" s="6" t="s">
        <v>179</v>
      </c>
      <c r="BS242">
        <v>7.0000000000000007E-2</v>
      </c>
      <c r="BT242">
        <v>7.0000000000000007E-2</v>
      </c>
      <c r="BU242">
        <v>5.8000000000000003E-2</v>
      </c>
      <c r="BV242">
        <v>7.1999999999999995E-2</v>
      </c>
      <c r="BW242">
        <v>0.16</v>
      </c>
      <c r="BX242">
        <v>0.2</v>
      </c>
      <c r="BY242">
        <v>0.25</v>
      </c>
      <c r="BZ242">
        <v>0.2</v>
      </c>
      <c r="CA242">
        <v>0.04</v>
      </c>
      <c r="CB242">
        <v>0.04</v>
      </c>
    </row>
    <row r="243" spans="7:80" x14ac:dyDescent="0.2">
      <c r="G243" t="s">
        <v>186</v>
      </c>
      <c r="H243" t="s">
        <v>160</v>
      </c>
      <c r="J243">
        <v>91.25</v>
      </c>
      <c r="K243">
        <v>39</v>
      </c>
      <c r="M243">
        <v>230</v>
      </c>
      <c r="O243">
        <v>0.88</v>
      </c>
      <c r="P243">
        <v>660</v>
      </c>
      <c r="Q243">
        <f t="shared" si="73"/>
        <v>0.34848484848484851</v>
      </c>
      <c r="S243">
        <v>0</v>
      </c>
      <c r="T243">
        <v>0</v>
      </c>
      <c r="U243">
        <f>27/K243</f>
        <v>0.69230769230769229</v>
      </c>
      <c r="V243">
        <v>0</v>
      </c>
      <c r="W243">
        <f>S243*B213+T243*B214</f>
        <v>0</v>
      </c>
      <c r="X243">
        <f t="shared" si="68"/>
        <v>1</v>
      </c>
      <c r="Y243">
        <f t="shared" si="69"/>
        <v>5.611497699600001</v>
      </c>
      <c r="Z243">
        <f t="shared" si="74"/>
        <v>1.2826158627950293</v>
      </c>
      <c r="AC243">
        <v>0.16</v>
      </c>
      <c r="AE243">
        <v>0.7</v>
      </c>
      <c r="AF243">
        <f t="shared" si="70"/>
        <v>1.7552764804348806</v>
      </c>
      <c r="AG243">
        <f t="shared" si="75"/>
        <v>0.19</v>
      </c>
      <c r="AH243">
        <f t="shared" si="76"/>
        <v>0.6784</v>
      </c>
      <c r="AI243">
        <f>AI211</f>
        <v>0.24099999999999999</v>
      </c>
      <c r="AK243">
        <f>AK211</f>
        <v>0.74</v>
      </c>
      <c r="AL243">
        <f>AL211</f>
        <v>99.759</v>
      </c>
      <c r="AM243">
        <f>AM211</f>
        <v>4.7000000000000002E-3</v>
      </c>
      <c r="AN243">
        <f t="shared" si="77"/>
        <v>4.0349089225395437E-4</v>
      </c>
      <c r="AO243">
        <f t="shared" si="78"/>
        <v>1.0608034385202565E-3</v>
      </c>
      <c r="AP243">
        <f t="shared" si="79"/>
        <v>1.4642943307742109E-3</v>
      </c>
      <c r="AQ243">
        <f t="shared" si="80"/>
        <v>5.2110574496427224</v>
      </c>
      <c r="AS243">
        <f t="shared" si="81"/>
        <v>4.1538461538461533</v>
      </c>
      <c r="AT243">
        <f t="shared" si="71"/>
        <v>2.0213105950765278E-2</v>
      </c>
      <c r="AU243">
        <f t="shared" si="82"/>
        <v>0.14323611140815343</v>
      </c>
      <c r="AV243">
        <f t="shared" si="72"/>
        <v>509.74151147376602</v>
      </c>
      <c r="AY243">
        <f>AY211</f>
        <v>2E-3</v>
      </c>
      <c r="BB243">
        <f t="shared" si="83"/>
        <v>0.24</v>
      </c>
      <c r="BQ243" s="3" t="s">
        <v>162</v>
      </c>
      <c r="BR243" s="4" t="s">
        <v>179</v>
      </c>
      <c r="BS243">
        <v>0.13</v>
      </c>
      <c r="BT243">
        <v>0.13</v>
      </c>
      <c r="BU243">
        <v>9.1999999999999998E-2</v>
      </c>
      <c r="BV243">
        <v>9.9000000000000005E-2</v>
      </c>
      <c r="BW243">
        <v>7.0000000000000007E-2</v>
      </c>
      <c r="BX243">
        <v>0.1</v>
      </c>
      <c r="BY243">
        <v>7.0000000000000007E-2</v>
      </c>
      <c r="BZ243">
        <v>0.09</v>
      </c>
      <c r="CA243">
        <v>0.12</v>
      </c>
      <c r="CB243">
        <v>0.12</v>
      </c>
    </row>
    <row r="244" spans="7:80" x14ac:dyDescent="0.2">
      <c r="G244">
        <v>6</v>
      </c>
      <c r="H244" t="s">
        <v>162</v>
      </c>
      <c r="J244">
        <v>91.25</v>
      </c>
      <c r="K244">
        <v>90</v>
      </c>
      <c r="M244">
        <v>290</v>
      </c>
      <c r="O244">
        <v>0.66</v>
      </c>
      <c r="P244">
        <v>660</v>
      </c>
      <c r="Q244">
        <f t="shared" si="73"/>
        <v>0.43939393939393939</v>
      </c>
      <c r="S244">
        <v>0</v>
      </c>
      <c r="T244">
        <v>0</v>
      </c>
      <c r="U244">
        <f>51/K244</f>
        <v>0.56666666666666665</v>
      </c>
      <c r="V244">
        <f>27/K244</f>
        <v>0.3</v>
      </c>
      <c r="W244">
        <f>S244*B213+T244*B214</f>
        <v>0</v>
      </c>
      <c r="X244">
        <f t="shared" si="68"/>
        <v>1</v>
      </c>
      <c r="Y244">
        <f t="shared" si="69"/>
        <v>6.2042839055999996</v>
      </c>
      <c r="Z244">
        <f t="shared" si="74"/>
        <v>1.1904267234538055</v>
      </c>
      <c r="AC244">
        <v>7.0000000000000007E-2</v>
      </c>
      <c r="AE244">
        <v>0.55000000000000004</v>
      </c>
      <c r="AF244">
        <f t="shared" si="70"/>
        <v>2.7968911846444797</v>
      </c>
      <c r="AG244">
        <f t="shared" si="75"/>
        <v>0.19</v>
      </c>
      <c r="AH244">
        <f t="shared" si="76"/>
        <v>0.6784</v>
      </c>
      <c r="AI244">
        <f>AI211</f>
        <v>0.24099999999999999</v>
      </c>
      <c r="AK244">
        <f>AK211</f>
        <v>0.74</v>
      </c>
      <c r="AL244">
        <f>AL211</f>
        <v>99.759</v>
      </c>
      <c r="AM244">
        <f>AM211</f>
        <v>4.7000000000000002E-3</v>
      </c>
      <c r="AN244">
        <f t="shared" si="77"/>
        <v>6.4293012081482624E-4</v>
      </c>
      <c r="AO244">
        <f t="shared" si="78"/>
        <v>1.6903045297472323E-3</v>
      </c>
      <c r="AP244">
        <f t="shared" si="79"/>
        <v>2.3332346505620587E-3</v>
      </c>
      <c r="AQ244">
        <f t="shared" si="80"/>
        <v>19.161689567740908</v>
      </c>
      <c r="AS244">
        <f t="shared" si="81"/>
        <v>4.5999999999999996</v>
      </c>
      <c r="AT244">
        <f t="shared" si="71"/>
        <v>1.3273191017299703E-2</v>
      </c>
      <c r="AU244">
        <f t="shared" si="82"/>
        <v>7.8050055748191044E-2</v>
      </c>
      <c r="AV244">
        <f t="shared" si="72"/>
        <v>640.98608283201895</v>
      </c>
      <c r="AY244">
        <f>AY211</f>
        <v>2E-3</v>
      </c>
      <c r="BB244">
        <f t="shared" si="83"/>
        <v>0.24</v>
      </c>
      <c r="BQ244" s="5" t="s">
        <v>163</v>
      </c>
      <c r="BR244" s="6" t="s">
        <v>179</v>
      </c>
      <c r="BS244">
        <v>0.1</v>
      </c>
      <c r="BT244">
        <v>0.1</v>
      </c>
      <c r="BU244">
        <v>7.4999999999999997E-2</v>
      </c>
      <c r="BV244">
        <v>7.8E-2</v>
      </c>
      <c r="BW244">
        <v>0.09</v>
      </c>
      <c r="BX244">
        <v>0.16</v>
      </c>
      <c r="BY244">
        <v>0.1</v>
      </c>
      <c r="BZ244">
        <v>0.06</v>
      </c>
      <c r="CA244">
        <v>0.09</v>
      </c>
      <c r="CB244">
        <v>0.09</v>
      </c>
    </row>
    <row r="245" spans="7:80" x14ac:dyDescent="0.2">
      <c r="H245" t="s">
        <v>163</v>
      </c>
      <c r="J245">
        <v>91.25</v>
      </c>
      <c r="K245">
        <v>81</v>
      </c>
      <c r="M245">
        <v>75</v>
      </c>
      <c r="O245">
        <v>0.8</v>
      </c>
      <c r="P245">
        <v>660</v>
      </c>
      <c r="Q245">
        <f t="shared" si="73"/>
        <v>0.11363636363636363</v>
      </c>
      <c r="S245">
        <v>0</v>
      </c>
      <c r="T245">
        <v>0</v>
      </c>
      <c r="U245">
        <v>0</v>
      </c>
      <c r="V245">
        <f>51/K245</f>
        <v>0.62962962962962965</v>
      </c>
      <c r="W245">
        <f>S245*B213+T245*B214</f>
        <v>0</v>
      </c>
      <c r="X245">
        <f t="shared" si="68"/>
        <v>1</v>
      </c>
      <c r="Y245">
        <f t="shared" si="69"/>
        <v>3.107728265625</v>
      </c>
      <c r="Z245">
        <f t="shared" si="74"/>
        <v>1.3614006938157037</v>
      </c>
      <c r="AC245">
        <v>0.09</v>
      </c>
      <c r="AE245">
        <v>0.55000000000000004</v>
      </c>
      <c r="AF245">
        <f t="shared" si="70"/>
        <v>1.4009639021437499</v>
      </c>
      <c r="AG245">
        <f t="shared" si="75"/>
        <v>0.19</v>
      </c>
      <c r="AH245">
        <f t="shared" si="76"/>
        <v>0.6784</v>
      </c>
      <c r="AI245">
        <f>AI211</f>
        <v>0.24099999999999999</v>
      </c>
      <c r="AK245">
        <f>AK211</f>
        <v>0.74</v>
      </c>
      <c r="AL245">
        <f>AL211</f>
        <v>99.759</v>
      </c>
      <c r="AM245">
        <f>AM211</f>
        <v>4.7000000000000002E-3</v>
      </c>
      <c r="AN245">
        <f t="shared" si="77"/>
        <v>3.220439521593274E-4</v>
      </c>
      <c r="AO245">
        <f t="shared" si="78"/>
        <v>8.4667420842364613E-4</v>
      </c>
      <c r="AP245">
        <f t="shared" si="79"/>
        <v>1.1687181605829736E-3</v>
      </c>
      <c r="AQ245">
        <f t="shared" si="80"/>
        <v>8.6382881044089039</v>
      </c>
      <c r="AS245">
        <f t="shared" si="81"/>
        <v>2.5185185185185186</v>
      </c>
      <c r="AT245">
        <f t="shared" si="71"/>
        <v>2.2967550991549523E-2</v>
      </c>
      <c r="AU245">
        <f t="shared" si="82"/>
        <v>3.3967256157292437E-2</v>
      </c>
      <c r="AV245">
        <f t="shared" si="72"/>
        <v>251.06048207258772</v>
      </c>
      <c r="AY245">
        <f>AY211</f>
        <v>2E-3</v>
      </c>
      <c r="BB245">
        <f t="shared" si="83"/>
        <v>0.24</v>
      </c>
      <c r="BQ245" s="3" t="s">
        <v>164</v>
      </c>
      <c r="BR245" s="4" t="s">
        <v>179</v>
      </c>
      <c r="BS245">
        <v>0.06</v>
      </c>
      <c r="BT245">
        <v>0.06</v>
      </c>
      <c r="BU245">
        <v>5.2999999999999999E-2</v>
      </c>
      <c r="BV245">
        <v>5.8999999999999997E-2</v>
      </c>
      <c r="BW245">
        <v>0.2</v>
      </c>
      <c r="BX245">
        <v>0.2</v>
      </c>
      <c r="BY245">
        <v>0.21</v>
      </c>
      <c r="BZ245">
        <v>0.2</v>
      </c>
      <c r="CA245">
        <v>0.06</v>
      </c>
      <c r="CB245">
        <v>0.06</v>
      </c>
    </row>
    <row r="246" spans="7:80" x14ac:dyDescent="0.2">
      <c r="H246" t="s">
        <v>164</v>
      </c>
      <c r="J246">
        <v>91.25</v>
      </c>
      <c r="K246">
        <v>88</v>
      </c>
      <c r="M246">
        <v>150</v>
      </c>
      <c r="O246">
        <v>0.82</v>
      </c>
      <c r="P246">
        <v>660</v>
      </c>
      <c r="Q246">
        <f t="shared" si="73"/>
        <v>0.22727272727272727</v>
      </c>
      <c r="S246">
        <v>0</v>
      </c>
      <c r="T246">
        <v>0</v>
      </c>
      <c r="U246">
        <v>0</v>
      </c>
      <c r="V246">
        <v>0</v>
      </c>
      <c r="W246">
        <f>S246*B213+T246*B214</f>
        <v>0</v>
      </c>
      <c r="X246">
        <f t="shared" si="68"/>
        <v>1</v>
      </c>
      <c r="Y246">
        <f t="shared" si="69"/>
        <v>4.2675296400000011</v>
      </c>
      <c r="Z246">
        <f t="shared" si="74"/>
        <v>1.3062308431328664</v>
      </c>
      <c r="AC246">
        <v>0.2</v>
      </c>
      <c r="AE246">
        <v>0.75</v>
      </c>
      <c r="AF246">
        <f t="shared" si="70"/>
        <v>1.1385769079520003</v>
      </c>
      <c r="AG246">
        <f t="shared" si="75"/>
        <v>0.19</v>
      </c>
      <c r="AH246">
        <f t="shared" si="76"/>
        <v>0.6784</v>
      </c>
      <c r="AI246">
        <f>AI211</f>
        <v>0.24099999999999999</v>
      </c>
      <c r="AK246">
        <f>AK211</f>
        <v>0.74</v>
      </c>
      <c r="AL246">
        <f>AL211</f>
        <v>99.759</v>
      </c>
      <c r="AM246">
        <f>AM211</f>
        <v>4.7000000000000002E-3</v>
      </c>
      <c r="AN246">
        <f t="shared" si="77"/>
        <v>2.6172823347777132E-4</v>
      </c>
      <c r="AO246">
        <f t="shared" si="78"/>
        <v>6.8810031492930505E-4</v>
      </c>
      <c r="AP246">
        <f t="shared" si="79"/>
        <v>9.4982854840707637E-4</v>
      </c>
      <c r="AQ246">
        <f t="shared" si="80"/>
        <v>7.627123243708823</v>
      </c>
      <c r="AS246">
        <f t="shared" si="81"/>
        <v>0</v>
      </c>
      <c r="AT246">
        <f t="shared" si="71"/>
        <v>2.1658826331671995E-2</v>
      </c>
      <c r="AU246">
        <f t="shared" si="82"/>
        <v>0.11414775787488755</v>
      </c>
      <c r="AV246">
        <f t="shared" si="72"/>
        <v>916.60649573534704</v>
      </c>
      <c r="AY246">
        <f>AY211</f>
        <v>2E-3</v>
      </c>
      <c r="BB246">
        <f t="shared" si="83"/>
        <v>0.24</v>
      </c>
      <c r="BQ246" s="5" t="s">
        <v>160</v>
      </c>
      <c r="BR246" s="6" t="s">
        <v>176</v>
      </c>
      <c r="BS246">
        <v>7.0000000000000007E-2</v>
      </c>
      <c r="BT246">
        <v>7.0000000000000007E-2</v>
      </c>
      <c r="BU246">
        <v>5.8000000000000003E-2</v>
      </c>
      <c r="BV246">
        <v>7.1999999999999995E-2</v>
      </c>
      <c r="BW246">
        <v>0.16</v>
      </c>
      <c r="BX246">
        <v>0.2</v>
      </c>
      <c r="BY246">
        <v>0.25</v>
      </c>
      <c r="BZ246">
        <v>0.2</v>
      </c>
      <c r="CA246">
        <v>0.04</v>
      </c>
      <c r="CB246">
        <v>0.04</v>
      </c>
    </row>
    <row r="247" spans="7:80" x14ac:dyDescent="0.2">
      <c r="G247" t="s">
        <v>189</v>
      </c>
      <c r="H247" t="s">
        <v>160</v>
      </c>
      <c r="J247">
        <v>91.25</v>
      </c>
      <c r="K247">
        <v>13</v>
      </c>
      <c r="M247">
        <v>420</v>
      </c>
      <c r="O247">
        <v>0.22</v>
      </c>
      <c r="P247">
        <v>660</v>
      </c>
      <c r="Q247">
        <f t="shared" si="73"/>
        <v>0.63636363636363635</v>
      </c>
      <c r="S247">
        <v>0</v>
      </c>
      <c r="T247">
        <v>0</v>
      </c>
      <c r="U247">
        <v>0</v>
      </c>
      <c r="V247">
        <v>0</v>
      </c>
      <c r="W247">
        <f>S247*B213+T247*B214</f>
        <v>0</v>
      </c>
      <c r="X247">
        <f t="shared" si="68"/>
        <v>1</v>
      </c>
      <c r="Y247">
        <f t="shared" si="69"/>
        <v>7.3032900516000012</v>
      </c>
      <c r="Z247">
        <f t="shared" si="74"/>
        <v>1.0533290230865808</v>
      </c>
      <c r="AC247">
        <v>0.16</v>
      </c>
      <c r="AE247">
        <v>0.7</v>
      </c>
      <c r="AF247">
        <f t="shared" si="70"/>
        <v>2.2844691281404805</v>
      </c>
      <c r="AG247">
        <f t="shared" si="75"/>
        <v>0.19</v>
      </c>
      <c r="AH247">
        <f t="shared" si="76"/>
        <v>0.6784</v>
      </c>
      <c r="AI247">
        <f>AI211</f>
        <v>0.24099999999999999</v>
      </c>
      <c r="AK247">
        <f>AK211</f>
        <v>0.74</v>
      </c>
      <c r="AL247">
        <f>AL211</f>
        <v>99.759</v>
      </c>
      <c r="AM247">
        <f>AM211</f>
        <v>4.7000000000000002E-3</v>
      </c>
      <c r="AN247">
        <f t="shared" si="77"/>
        <v>5.2513806064993437E-4</v>
      </c>
      <c r="AO247">
        <f t="shared" si="78"/>
        <v>1.3806216475505833E-3</v>
      </c>
      <c r="AP247">
        <f t="shared" si="79"/>
        <v>1.9057597082005177E-3</v>
      </c>
      <c r="AQ247">
        <f t="shared" si="80"/>
        <v>2.2607074538528642</v>
      </c>
      <c r="AS247">
        <f t="shared" si="81"/>
        <v>0</v>
      </c>
      <c r="AT247">
        <f t="shared" si="71"/>
        <v>3.263301747682234E-3</v>
      </c>
      <c r="AU247">
        <f t="shared" si="82"/>
        <v>0.18206806099664086</v>
      </c>
      <c r="AV247">
        <f t="shared" si="72"/>
        <v>215.97823735726521</v>
      </c>
      <c r="AY247">
        <f>AY211</f>
        <v>2E-3</v>
      </c>
      <c r="BB247">
        <f t="shared" si="83"/>
        <v>0.24</v>
      </c>
      <c r="BQ247" s="3" t="s">
        <v>162</v>
      </c>
      <c r="BR247" s="4" t="s">
        <v>176</v>
      </c>
      <c r="BS247">
        <v>0.13</v>
      </c>
      <c r="BT247">
        <v>0.13</v>
      </c>
      <c r="BU247">
        <v>9.1999999999999998E-2</v>
      </c>
      <c r="BV247">
        <v>9.9000000000000005E-2</v>
      </c>
      <c r="BW247">
        <v>7.0000000000000007E-2</v>
      </c>
      <c r="BX247">
        <v>0.1</v>
      </c>
      <c r="BY247">
        <v>7.0000000000000007E-2</v>
      </c>
      <c r="BZ247">
        <v>0.09</v>
      </c>
      <c r="CA247">
        <v>0.12</v>
      </c>
      <c r="CB247">
        <v>0.12</v>
      </c>
    </row>
    <row r="248" spans="7:80" x14ac:dyDescent="0.2">
      <c r="G248" t="s">
        <v>199</v>
      </c>
      <c r="H248" t="s">
        <v>162</v>
      </c>
      <c r="J248">
        <v>91.25</v>
      </c>
      <c r="K248">
        <v>52</v>
      </c>
      <c r="M248">
        <v>420</v>
      </c>
      <c r="O248">
        <v>0</v>
      </c>
      <c r="P248">
        <v>660</v>
      </c>
      <c r="Q248">
        <f t="shared" si="73"/>
        <v>0.63636363636363635</v>
      </c>
      <c r="S248">
        <v>0</v>
      </c>
      <c r="T248">
        <v>0</v>
      </c>
      <c r="U248">
        <v>0</v>
      </c>
      <c r="V248">
        <v>0</v>
      </c>
      <c r="W248">
        <f>S248*B213+T248*B214</f>
        <v>0</v>
      </c>
      <c r="X248">
        <f t="shared" si="68"/>
        <v>1</v>
      </c>
      <c r="Y248">
        <f t="shared" si="69"/>
        <v>6.9335315856000008</v>
      </c>
      <c r="Z248">
        <f t="shared" si="74"/>
        <v>1</v>
      </c>
      <c r="AC248">
        <v>7.0000000000000007E-2</v>
      </c>
      <c r="AE248">
        <v>0.55000000000000004</v>
      </c>
      <c r="AF248">
        <f t="shared" si="70"/>
        <v>3.1256360387884805</v>
      </c>
      <c r="AG248">
        <f t="shared" si="75"/>
        <v>0.19</v>
      </c>
      <c r="AH248">
        <f t="shared" si="76"/>
        <v>0.6784</v>
      </c>
      <c r="AI248">
        <f>AI211</f>
        <v>0.24099999999999999</v>
      </c>
      <c r="AK248">
        <f>AK211</f>
        <v>0.74</v>
      </c>
      <c r="AL248">
        <f>AL211</f>
        <v>99.759</v>
      </c>
      <c r="AM248">
        <f>AM211</f>
        <v>4.7000000000000002E-3</v>
      </c>
      <c r="AN248">
        <f t="shared" si="77"/>
        <v>7.1849972822481969E-4</v>
      </c>
      <c r="AO248">
        <f t="shared" si="78"/>
        <v>1.88898187520189E-3</v>
      </c>
      <c r="AP248">
        <f t="shared" si="79"/>
        <v>2.6074816034267097E-3</v>
      </c>
      <c r="AQ248">
        <f t="shared" si="80"/>
        <v>12.372500208259735</v>
      </c>
      <c r="AS248">
        <f t="shared" si="81"/>
        <v>0</v>
      </c>
      <c r="AT248">
        <f t="shared" si="71"/>
        <v>0</v>
      </c>
      <c r="AU248">
        <f t="shared" si="82"/>
        <v>7.6022691182083074E-2</v>
      </c>
      <c r="AV248">
        <f t="shared" si="72"/>
        <v>360.72766965898415</v>
      </c>
      <c r="AY248">
        <f>AY211</f>
        <v>2E-3</v>
      </c>
      <c r="BB248">
        <f t="shared" si="83"/>
        <v>0.24</v>
      </c>
      <c r="BQ248" s="5" t="s">
        <v>163</v>
      </c>
      <c r="BR248" s="6" t="s">
        <v>176</v>
      </c>
      <c r="BS248">
        <v>0.1</v>
      </c>
      <c r="BT248">
        <v>0.1</v>
      </c>
      <c r="BU248">
        <v>7.4999999999999997E-2</v>
      </c>
      <c r="BV248">
        <v>7.8E-2</v>
      </c>
      <c r="BW248">
        <v>0.09</v>
      </c>
      <c r="BX248">
        <v>0.16</v>
      </c>
      <c r="BY248">
        <v>0.1</v>
      </c>
      <c r="BZ248">
        <v>0.06</v>
      </c>
      <c r="CA248">
        <v>0.09</v>
      </c>
      <c r="CB248">
        <v>0.09</v>
      </c>
    </row>
    <row r="249" spans="7:80" x14ac:dyDescent="0.2">
      <c r="H249" t="s">
        <v>163</v>
      </c>
      <c r="J249">
        <v>91.25</v>
      </c>
      <c r="K249">
        <v>11</v>
      </c>
      <c r="M249">
        <v>400</v>
      </c>
      <c r="O249">
        <v>-0.22</v>
      </c>
      <c r="P249">
        <v>660</v>
      </c>
      <c r="Q249">
        <f t="shared" si="73"/>
        <v>0.60606060606060608</v>
      </c>
      <c r="S249">
        <v>0</v>
      </c>
      <c r="T249">
        <v>0</v>
      </c>
      <c r="U249">
        <v>0</v>
      </c>
      <c r="V249">
        <v>0</v>
      </c>
      <c r="W249">
        <f>S249*B213+T249*B214</f>
        <v>0</v>
      </c>
      <c r="X249">
        <f t="shared" si="68"/>
        <v>1</v>
      </c>
      <c r="Y249">
        <f t="shared" si="69"/>
        <v>6.3287464899999994</v>
      </c>
      <c r="Z249">
        <f t="shared" si="74"/>
        <v>0.94710167496604791</v>
      </c>
      <c r="AC249">
        <v>0.09</v>
      </c>
      <c r="AE249">
        <v>0.55000000000000004</v>
      </c>
      <c r="AF249">
        <f t="shared" si="70"/>
        <v>2.8529989176919996</v>
      </c>
      <c r="AG249">
        <f t="shared" si="75"/>
        <v>0.19</v>
      </c>
      <c r="AH249">
        <f t="shared" si="76"/>
        <v>0.6784</v>
      </c>
      <c r="AI249">
        <f>AI211</f>
        <v>0.24099999999999999</v>
      </c>
      <c r="AK249">
        <f>AK211</f>
        <v>0.74</v>
      </c>
      <c r="AL249">
        <f>AL211</f>
        <v>99.759</v>
      </c>
      <c r="AM249">
        <f>AM211</f>
        <v>4.7000000000000002E-3</v>
      </c>
      <c r="AN249">
        <f t="shared" si="77"/>
        <v>6.5582778082567614E-4</v>
      </c>
      <c r="AO249">
        <f t="shared" si="78"/>
        <v>1.7242133052636909E-3</v>
      </c>
      <c r="AP249">
        <f t="shared" si="79"/>
        <v>2.3800410860893668E-3</v>
      </c>
      <c r="AQ249">
        <f t="shared" si="80"/>
        <v>2.388966240162202</v>
      </c>
      <c r="AS249">
        <f t="shared" si="81"/>
        <v>0</v>
      </c>
      <c r="AT249">
        <f t="shared" si="71"/>
        <v>-3.4134531535922131E-3</v>
      </c>
      <c r="AU249">
        <f t="shared" si="82"/>
        <v>9.2973210753432359E-2</v>
      </c>
      <c r="AV249">
        <f t="shared" si="72"/>
        <v>93.321860293757723</v>
      </c>
      <c r="AY249">
        <f>AY211</f>
        <v>2E-3</v>
      </c>
      <c r="BB249">
        <f t="shared" si="83"/>
        <v>0.24</v>
      </c>
      <c r="BQ249" s="3" t="s">
        <v>164</v>
      </c>
      <c r="BR249" s="4" t="s">
        <v>176</v>
      </c>
      <c r="BS249">
        <v>0.06</v>
      </c>
      <c r="BT249">
        <v>0.06</v>
      </c>
      <c r="BU249">
        <v>5.2999999999999999E-2</v>
      </c>
      <c r="BV249">
        <v>5.8999999999999997E-2</v>
      </c>
      <c r="BW249">
        <v>0.2</v>
      </c>
      <c r="BX249">
        <v>0.2</v>
      </c>
      <c r="BY249">
        <v>0.21</v>
      </c>
      <c r="BZ249">
        <v>0.2</v>
      </c>
      <c r="CA249">
        <v>0.06</v>
      </c>
      <c r="CB249">
        <v>0.06</v>
      </c>
    </row>
    <row r="250" spans="7:80" x14ac:dyDescent="0.2">
      <c r="H250" t="s">
        <v>164</v>
      </c>
      <c r="J250">
        <v>91.25</v>
      </c>
      <c r="K250">
        <v>4</v>
      </c>
      <c r="M250">
        <v>400</v>
      </c>
      <c r="O250">
        <v>0</v>
      </c>
      <c r="P250">
        <v>660</v>
      </c>
      <c r="Q250">
        <f t="shared" si="73"/>
        <v>0.60606060606060608</v>
      </c>
      <c r="S250">
        <v>0</v>
      </c>
      <c r="T250">
        <v>0</v>
      </c>
      <c r="U250">
        <v>0</v>
      </c>
      <c r="V250">
        <v>0</v>
      </c>
      <c r="W250">
        <f>S250*B213+T250*B214</f>
        <v>0</v>
      </c>
      <c r="X250">
        <f t="shared" si="68"/>
        <v>1</v>
      </c>
      <c r="Y250">
        <f t="shared" si="69"/>
        <v>6.6822249999999999</v>
      </c>
      <c r="Z250">
        <f t="shared" si="74"/>
        <v>1</v>
      </c>
      <c r="AC250">
        <v>0.2</v>
      </c>
      <c r="AE250">
        <v>0.75</v>
      </c>
      <c r="AF250">
        <f t="shared" si="70"/>
        <v>1.78281763</v>
      </c>
      <c r="AG250">
        <f t="shared" si="75"/>
        <v>0.19</v>
      </c>
      <c r="AH250">
        <f t="shared" si="76"/>
        <v>0.6784</v>
      </c>
      <c r="AI250">
        <f>AI211</f>
        <v>0.24099999999999999</v>
      </c>
      <c r="AK250">
        <f>AK211</f>
        <v>0.74</v>
      </c>
      <c r="AL250">
        <f>AL211</f>
        <v>99.759</v>
      </c>
      <c r="AM250">
        <f>AM211</f>
        <v>4.7000000000000002E-3</v>
      </c>
      <c r="AN250">
        <f t="shared" si="77"/>
        <v>4.098218624091384E-4</v>
      </c>
      <c r="AO250">
        <f t="shared" si="78"/>
        <v>1.0774479651718303E-3</v>
      </c>
      <c r="AP250">
        <f t="shared" si="79"/>
        <v>1.4872698275809686E-3</v>
      </c>
      <c r="AQ250">
        <f t="shared" si="80"/>
        <v>0.54285348706705361</v>
      </c>
      <c r="AS250">
        <f t="shared" si="81"/>
        <v>0</v>
      </c>
      <c r="AT250">
        <f t="shared" si="71"/>
        <v>0</v>
      </c>
      <c r="AU250">
        <f t="shared" si="82"/>
        <v>0.21225700814384019</v>
      </c>
      <c r="AV250">
        <f t="shared" si="72"/>
        <v>77.473807972501675</v>
      </c>
      <c r="AY250">
        <f>AY211</f>
        <v>2E-3</v>
      </c>
      <c r="BB250">
        <f t="shared" si="83"/>
        <v>0.24</v>
      </c>
      <c r="BQ250" s="5" t="s">
        <v>160</v>
      </c>
      <c r="BR250" s="6" t="s">
        <v>182</v>
      </c>
      <c r="BS250">
        <v>7.0000000000000007E-2</v>
      </c>
      <c r="BT250">
        <v>7.0000000000000007E-2</v>
      </c>
      <c r="BU250">
        <v>5.8000000000000003E-2</v>
      </c>
      <c r="BV250">
        <v>7.1999999999999995E-2</v>
      </c>
      <c r="BW250">
        <v>0.16</v>
      </c>
      <c r="BX250">
        <v>0.2</v>
      </c>
      <c r="BY250">
        <v>0.25</v>
      </c>
      <c r="BZ250">
        <v>0.2</v>
      </c>
      <c r="CA250">
        <v>0.04</v>
      </c>
      <c r="CB250">
        <v>0.04</v>
      </c>
    </row>
    <row r="251" spans="7:80" x14ac:dyDescent="0.2">
      <c r="BQ251" s="3" t="s">
        <v>162</v>
      </c>
      <c r="BR251" s="4" t="s">
        <v>182</v>
      </c>
      <c r="BS251">
        <v>0.13</v>
      </c>
      <c r="BT251">
        <v>0.13</v>
      </c>
      <c r="BU251">
        <v>9.1999999999999998E-2</v>
      </c>
      <c r="BV251">
        <v>9.9000000000000005E-2</v>
      </c>
      <c r="BW251">
        <v>7.0000000000000007E-2</v>
      </c>
      <c r="BX251">
        <v>0.1</v>
      </c>
      <c r="BY251">
        <v>7.0000000000000007E-2</v>
      </c>
      <c r="BZ251">
        <v>0.09</v>
      </c>
      <c r="CA251">
        <v>0.12</v>
      </c>
      <c r="CB251">
        <v>0.12</v>
      </c>
    </row>
    <row r="252" spans="7:80" x14ac:dyDescent="0.2">
      <c r="BQ252" s="5" t="s">
        <v>163</v>
      </c>
      <c r="BR252" s="6" t="s">
        <v>182</v>
      </c>
      <c r="BS252">
        <v>0.1</v>
      </c>
      <c r="BT252">
        <v>0.1</v>
      </c>
      <c r="BU252">
        <v>7.4999999999999997E-2</v>
      </c>
      <c r="BV252">
        <v>7.8E-2</v>
      </c>
      <c r="BW252">
        <v>0.09</v>
      </c>
      <c r="BX252">
        <v>0.16</v>
      </c>
      <c r="BY252">
        <v>0.1</v>
      </c>
      <c r="BZ252">
        <v>0.06</v>
      </c>
      <c r="CA252">
        <v>0.09</v>
      </c>
      <c r="CB252">
        <v>0.09</v>
      </c>
    </row>
    <row r="253" spans="7:80" x14ac:dyDescent="0.2">
      <c r="BQ253" s="3" t="s">
        <v>164</v>
      </c>
      <c r="BR253" s="4" t="s">
        <v>182</v>
      </c>
      <c r="BS253">
        <v>0.06</v>
      </c>
      <c r="BT253">
        <v>0.06</v>
      </c>
      <c r="BU253">
        <v>5.2999999999999999E-2</v>
      </c>
      <c r="BV253">
        <v>5.8999999999999997E-2</v>
      </c>
      <c r="BW253">
        <v>0.2</v>
      </c>
      <c r="BX253">
        <v>0.2</v>
      </c>
      <c r="BY253">
        <v>0.21</v>
      </c>
      <c r="BZ253">
        <v>0.2</v>
      </c>
      <c r="CA253">
        <v>0.06</v>
      </c>
      <c r="CB253">
        <v>0.06</v>
      </c>
    </row>
    <row r="254" spans="7:80" x14ac:dyDescent="0.2">
      <c r="BQ254" s="5" t="s">
        <v>160</v>
      </c>
      <c r="BR254" s="6" t="s">
        <v>187</v>
      </c>
      <c r="BS254">
        <v>7.0000000000000007E-2</v>
      </c>
      <c r="BT254">
        <v>7.0000000000000007E-2</v>
      </c>
      <c r="BU254">
        <v>5.8000000000000003E-2</v>
      </c>
      <c r="BV254">
        <v>7.1999999999999995E-2</v>
      </c>
      <c r="BW254">
        <v>0.16</v>
      </c>
      <c r="BX254">
        <v>0.2</v>
      </c>
      <c r="BY254">
        <v>0.25</v>
      </c>
      <c r="BZ254">
        <v>0.2</v>
      </c>
      <c r="CA254">
        <v>0.04</v>
      </c>
      <c r="CB254">
        <v>0.04</v>
      </c>
    </row>
    <row r="255" spans="7:80" x14ac:dyDescent="0.2">
      <c r="BQ255" s="3" t="s">
        <v>162</v>
      </c>
      <c r="BR255" s="4" t="s">
        <v>187</v>
      </c>
      <c r="BS255">
        <v>0.13</v>
      </c>
      <c r="BT255">
        <v>0.13</v>
      </c>
      <c r="BU255">
        <v>9.1999999999999998E-2</v>
      </c>
      <c r="BV255">
        <v>9.9000000000000005E-2</v>
      </c>
      <c r="BW255">
        <v>7.0000000000000007E-2</v>
      </c>
      <c r="BX255">
        <v>0.1</v>
      </c>
      <c r="BY255">
        <v>7.0000000000000007E-2</v>
      </c>
      <c r="BZ255">
        <v>0.09</v>
      </c>
      <c r="CA255">
        <v>0.12</v>
      </c>
      <c r="CB255">
        <v>0.12</v>
      </c>
    </row>
    <row r="256" spans="7:80" x14ac:dyDescent="0.2">
      <c r="BQ256" s="5" t="s">
        <v>163</v>
      </c>
      <c r="BR256" s="6" t="s">
        <v>187</v>
      </c>
      <c r="BS256">
        <v>0.1</v>
      </c>
      <c r="BT256">
        <v>0.1</v>
      </c>
      <c r="BU256">
        <v>7.4999999999999997E-2</v>
      </c>
      <c r="BV256">
        <v>7.8E-2</v>
      </c>
      <c r="BW256">
        <v>0.09</v>
      </c>
      <c r="BX256">
        <v>0.16</v>
      </c>
      <c r="BY256">
        <v>0.1</v>
      </c>
      <c r="BZ256">
        <v>0.06</v>
      </c>
      <c r="CA256">
        <v>0.09</v>
      </c>
      <c r="CB256">
        <v>0.09</v>
      </c>
    </row>
    <row r="257" spans="1:80" x14ac:dyDescent="0.2">
      <c r="BQ257" s="3" t="s">
        <v>164</v>
      </c>
      <c r="BR257" s="4" t="s">
        <v>187</v>
      </c>
      <c r="BS257">
        <v>0.06</v>
      </c>
      <c r="BT257">
        <v>0.06</v>
      </c>
      <c r="BU257">
        <v>5.2999999999999999E-2</v>
      </c>
      <c r="BV257">
        <v>5.8999999999999997E-2</v>
      </c>
      <c r="BW257">
        <v>0.2</v>
      </c>
      <c r="BX257">
        <v>0.2</v>
      </c>
      <c r="BY257">
        <v>0.21</v>
      </c>
      <c r="BZ257">
        <v>0.2</v>
      </c>
      <c r="CA257">
        <v>0.06</v>
      </c>
      <c r="CB257">
        <v>0.06</v>
      </c>
    </row>
    <row r="258" spans="1:80" x14ac:dyDescent="0.2">
      <c r="BQ258" s="5" t="s">
        <v>160</v>
      </c>
      <c r="BR258" s="6" t="s">
        <v>188</v>
      </c>
      <c r="BS258">
        <v>7.0000000000000007E-2</v>
      </c>
      <c r="BT258">
        <v>7.0000000000000007E-2</v>
      </c>
      <c r="BU258">
        <v>5.8000000000000003E-2</v>
      </c>
      <c r="BV258">
        <v>7.1999999999999995E-2</v>
      </c>
      <c r="BW258">
        <v>0.16</v>
      </c>
      <c r="BX258">
        <v>0.2</v>
      </c>
      <c r="BY258">
        <v>0.25</v>
      </c>
      <c r="BZ258">
        <v>0.2</v>
      </c>
      <c r="CA258">
        <v>0.04</v>
      </c>
      <c r="CB258">
        <v>0.04</v>
      </c>
    </row>
    <row r="259" spans="1:80" x14ac:dyDescent="0.2">
      <c r="BQ259" s="3" t="s">
        <v>162</v>
      </c>
      <c r="BR259" s="4" t="s">
        <v>188</v>
      </c>
      <c r="BS259">
        <v>0.13</v>
      </c>
      <c r="BT259">
        <v>0.13</v>
      </c>
      <c r="BU259">
        <v>9.1999999999999998E-2</v>
      </c>
      <c r="BV259">
        <v>9.9000000000000005E-2</v>
      </c>
      <c r="BW259">
        <v>7.0000000000000007E-2</v>
      </c>
      <c r="BX259">
        <v>0.1</v>
      </c>
      <c r="BY259">
        <v>7.0000000000000007E-2</v>
      </c>
      <c r="BZ259">
        <v>0.09</v>
      </c>
      <c r="CA259">
        <v>0.12</v>
      </c>
      <c r="CB259">
        <v>0.12</v>
      </c>
    </row>
    <row r="260" spans="1:80" x14ac:dyDescent="0.2">
      <c r="BQ260" s="5" t="s">
        <v>163</v>
      </c>
      <c r="BR260" s="6" t="s">
        <v>188</v>
      </c>
      <c r="BS260">
        <v>0.1</v>
      </c>
      <c r="BT260">
        <v>0.1</v>
      </c>
      <c r="BU260">
        <v>7.4999999999999997E-2</v>
      </c>
      <c r="BV260">
        <v>7.8E-2</v>
      </c>
      <c r="BW260">
        <v>0.09</v>
      </c>
      <c r="BX260">
        <v>0.16</v>
      </c>
      <c r="BY260">
        <v>0.1</v>
      </c>
      <c r="BZ260">
        <v>0.06</v>
      </c>
      <c r="CA260">
        <v>0.09</v>
      </c>
      <c r="CB260">
        <v>0.09</v>
      </c>
    </row>
    <row r="261" spans="1:80" x14ac:dyDescent="0.2">
      <c r="A261" t="s">
        <v>201</v>
      </c>
      <c r="B261" t="s">
        <v>283</v>
      </c>
      <c r="C261" t="s">
        <v>201</v>
      </c>
      <c r="D261" t="s">
        <v>201</v>
      </c>
      <c r="E261" t="s">
        <v>178</v>
      </c>
      <c r="F261" t="s">
        <v>161</v>
      </c>
      <c r="G261" t="s">
        <v>159</v>
      </c>
      <c r="H261" t="s">
        <v>160</v>
      </c>
      <c r="J261">
        <v>91.25</v>
      </c>
      <c r="K261">
        <v>62</v>
      </c>
      <c r="M261" cm="1">
        <f t="array" ref="M261:M300">_xlfn.DROP(_xlfn.XLOOKUP($D261,TableW[[#Headers],[ACT]:[QLD - Moderate/Low]],TableW[[#All],[ACT]:[QLD - Moderate/Low]]),1)</f>
        <v>340</v>
      </c>
      <c r="O261" cm="1">
        <f t="array" ref="O261:O300">_xlfn.DROP(_xlfn.XLOOKUP($D261,TableLWG[[#Headers],[ACT]:[QLD - Low]],TableLWG[[#All],[ACT]:[QLD - Low]]),1)</f>
        <v>1.64</v>
      </c>
      <c r="P261" cm="1">
        <f t="array" ref="P261:P300">_xlfn.DROP(_xlfn.XLOOKUP($E261,TableSRW[[#Headers],[ACT]:[WA]],TableSRW[[#All],[ACT]:[WA]]),1)</f>
        <v>770</v>
      </c>
      <c r="Q261">
        <f>M261 / P261</f>
        <v>0.44155844155844154</v>
      </c>
      <c r="S261">
        <v>0</v>
      </c>
      <c r="T261">
        <v>0</v>
      </c>
      <c r="U261">
        <f>30/K261</f>
        <v>0.4838709677419355</v>
      </c>
      <c r="V261">
        <v>0</v>
      </c>
      <c r="W261">
        <f>S261*B263+T261*B264</f>
        <v>0</v>
      </c>
      <c r="X261">
        <f t="shared" ref="X261:X300" si="84">(S261 * $BX$3 +T261* $BX$4) + (1 -S261 -T261 )</f>
        <v>1</v>
      </c>
      <c r="Y261">
        <f t="shared" ref="Y261:Y300" si="85">(1.185 + 0.00454 * M261- 0.0000026 * M261 ^2 + 0.315 * O261)^2 * X261</f>
        <v>8.6709047296000001</v>
      </c>
      <c r="Z261">
        <f>Y261 / ((1.185 + 0.00454 * M261 - 0.0000026 * M261 ^ 2) ^ 2 * X261)</f>
        <v>1.4707970166214006</v>
      </c>
      <c r="AC261" cm="1">
        <f t="array" ref="AC261:AC300">_xlfn.DROP(_xlfn.XLOOKUP($C261,TableCP[[#Headers],[ACT]:[WA - Kimberley]],TableCP[[#All],[ACT]:[WA - Kimberley]]),1)</f>
        <v>0.2</v>
      </c>
      <c r="AE261" cm="1">
        <f t="array" ref="AE261:AE300">_xlfn.DROP(_xlfn.XLOOKUP($C261,TableDMD[[#Headers],[ACT]:[WA - Kimberley]],TableDMD[[#All],[ACT]:[WA - Kimberley]]),1)</f>
        <v>0.8</v>
      </c>
      <c r="AF261">
        <f t="shared" ref="AF261:AF300" si="86">(Y261 * (1 - AE261) + (0.04 * Y261)) * ( 1 - $CJ$3 )</f>
        <v>1.9145357642956797</v>
      </c>
      <c r="AG261">
        <f t="shared" ref="AG261:AG300" si="87">$CJ$4</f>
        <v>0.19</v>
      </c>
      <c r="AH261">
        <f t="shared" ref="AH261:AH300" si="88">$CJ$5</f>
        <v>0.6784</v>
      </c>
      <c r="AI261">
        <f>IF(F261="yes",0,VLOOKUP(C261,$BQ$211:$BS$225,3,FALSE))</f>
        <v>0</v>
      </c>
      <c r="AK261">
        <f>VLOOKUP(C261,$BQ$211:$BU$225,4,FALSE)</f>
        <v>0.76</v>
      </c>
      <c r="AL261">
        <f>IF(F261="yes",100,VLOOKUP(C261,$BQ$211:$BS$225,2,FALSE))</f>
        <v>100</v>
      </c>
      <c r="AM261">
        <f>VLOOKUP(C261,$BQ$211:$BU$225,5,FALSE)</f>
        <v>4.7000000000000002E-3</v>
      </c>
      <c r="AN261">
        <f>AF261 * AG261 * AI261/100 * AK261 * AH261</f>
        <v>0</v>
      </c>
      <c r="AO261">
        <f>AF261 * AG261 * AL261/100 * AM261 * AH261</f>
        <v>1.159847208810883E-3</v>
      </c>
      <c r="AP261">
        <f>AN261+AO261</f>
        <v>1.159847208810883E-3</v>
      </c>
      <c r="AQ261">
        <f>K261*AP261*J261</f>
        <v>6.5618355838475706</v>
      </c>
      <c r="AR261">
        <f>SUM(AQ261:AQ300)*10^-3</f>
        <v>1.1859879293010152</v>
      </c>
      <c r="AS261">
        <f>U261*$B$263+V261*$B$264</f>
        <v>2.903225806451613</v>
      </c>
      <c r="AT261">
        <f t="shared" ref="AT261:AT300" si="89" xml:space="preserve"> (0.032*W261/6.38) + (((0.212 - 0.008*(Z261-2) - (0.14 - 0.008*(Z261 - 2))/(1+EXP(-6*(Q261-0.4))))*O261*0.92)/6.25)</f>
        <v>3.2631583658999173E-2</v>
      </c>
      <c r="AU261">
        <f>MAX((Y261*AC261/6.25)+(0.032*AS261/6.38)-AT261-((1.1*(10^-4)*(M261^0.75))/6.25), 0)</f>
        <v>0.25800545407340736</v>
      </c>
      <c r="AV261">
        <f t="shared" ref="AV261:AV300" si="90">K261*AU261*J261</f>
        <v>1459.6658564203021</v>
      </c>
      <c r="AW261">
        <f>SUM(AV261:AV300)</f>
        <v>111570.81032524264</v>
      </c>
      <c r="AX261" t="s">
        <v>261</v>
      </c>
      <c r="AY261">
        <f>VLOOKUP(AX261, $CK$18:$CM$27, 2, FALSE)</f>
        <v>2E-3</v>
      </c>
      <c r="AZ261">
        <f>$CJ$6</f>
        <v>0.21</v>
      </c>
      <c r="BA261">
        <f>AW261*AZ261</f>
        <v>23429.870168300953</v>
      </c>
      <c r="BB261">
        <f>$CJ$7</f>
        <v>0.24</v>
      </c>
      <c r="BC261" t="s">
        <v>161</v>
      </c>
      <c r="BD261">
        <f>IF(BC261="yes",1,0)</f>
        <v>1</v>
      </c>
      <c r="BE261">
        <f>AW261 * BD261 * BB261</f>
        <v>26776.994478058234</v>
      </c>
      <c r="BF261">
        <f>$CJ$8</f>
        <v>1.57</v>
      </c>
      <c r="BG261" t="s">
        <v>158</v>
      </c>
      <c r="BH261">
        <f>VLOOKUP(BG261, $BQ$274:$BR$286, 2, FALSE)</f>
        <v>7.0000000000000001E-3</v>
      </c>
      <c r="BI261">
        <f>$CJ$9</f>
        <v>1.0999999999999999E-2</v>
      </c>
      <c r="BJ261" s="7">
        <f>(AW261 * AY261 * BF261) * 10^-3</f>
        <v>0.35033234442126188</v>
      </c>
      <c r="BK261" s="7">
        <f>BA261 * BH261 * BF261 * 10^-3</f>
        <v>0.25749427314962747</v>
      </c>
      <c r="BL261" s="7">
        <f>BE261 * BI261 * BF261 * 10^-3</f>
        <v>0.46243869463606574</v>
      </c>
      <c r="BQ261" s="3" t="s">
        <v>164</v>
      </c>
      <c r="BR261" s="4" t="s">
        <v>188</v>
      </c>
      <c r="BS261">
        <v>0.06</v>
      </c>
      <c r="BT261">
        <v>0.06</v>
      </c>
      <c r="BU261">
        <v>5.2999999999999999E-2</v>
      </c>
      <c r="BV261">
        <v>5.8999999999999997E-2</v>
      </c>
      <c r="BW261">
        <v>0.2</v>
      </c>
      <c r="BX261">
        <v>0.2</v>
      </c>
      <c r="BY261">
        <v>0.21</v>
      </c>
      <c r="BZ261">
        <v>0.2</v>
      </c>
      <c r="CA261">
        <v>0.06</v>
      </c>
      <c r="CB261">
        <v>0.06</v>
      </c>
    </row>
    <row r="262" spans="1:80" x14ac:dyDescent="0.2">
      <c r="G262">
        <v>1</v>
      </c>
      <c r="H262" t="s">
        <v>162</v>
      </c>
      <c r="J262">
        <v>91.25</v>
      </c>
      <c r="K262">
        <v>154</v>
      </c>
      <c r="M262">
        <v>380</v>
      </c>
      <c r="O262">
        <v>0.44</v>
      </c>
      <c r="P262">
        <v>770</v>
      </c>
      <c r="Q262">
        <f t="shared" ref="Q262:Q300" si="91">M262 / P262</f>
        <v>0.4935064935064935</v>
      </c>
      <c r="S262">
        <v>0</v>
      </c>
      <c r="T262">
        <v>0</v>
      </c>
      <c r="U262">
        <f>70/K262</f>
        <v>0.45454545454545453</v>
      </c>
      <c r="V262">
        <f>30/K262</f>
        <v>0.19480519480519481</v>
      </c>
      <c r="W262">
        <f>S262*B263+T262*B264</f>
        <v>0</v>
      </c>
      <c r="X262">
        <f t="shared" si="84"/>
        <v>1</v>
      </c>
      <c r="Y262">
        <f t="shared" si="85"/>
        <v>7.1468536895999959</v>
      </c>
      <c r="Z262">
        <f t="shared" ref="Z262:Z300" si="92">Y262 / ((1.185 + 0.00454 * M262 - 0.0000026 * M262 ^ 2) ^ 2 * X262)</f>
        <v>1.1123493391850732</v>
      </c>
      <c r="AC262">
        <v>0.09</v>
      </c>
      <c r="AE262">
        <v>0.57999999999999996</v>
      </c>
      <c r="AF262">
        <f t="shared" si="86"/>
        <v>3.0245484814387189</v>
      </c>
      <c r="AG262">
        <f t="shared" si="87"/>
        <v>0.19</v>
      </c>
      <c r="AH262">
        <f t="shared" si="88"/>
        <v>0.6784</v>
      </c>
      <c r="AI262">
        <f>AI261</f>
        <v>0</v>
      </c>
      <c r="AK262">
        <f>AK261</f>
        <v>0.76</v>
      </c>
      <c r="AL262">
        <f>AL261</f>
        <v>100</v>
      </c>
      <c r="AM262">
        <f>AM261</f>
        <v>4.7000000000000002E-3</v>
      </c>
      <c r="AN262">
        <f t="shared" ref="AN262:AN300" si="93">AF262 * AG262 * AI262/100 * AK262 * AH262</f>
        <v>0</v>
      </c>
      <c r="AO262">
        <f t="shared" ref="AO262:AO300" si="94">AF262 * AG262 * AL262/100 * AM262 * AH262</f>
        <v>1.8323053449985681E-3</v>
      </c>
      <c r="AP262">
        <f t="shared" ref="AP262:AP300" si="95">AN262+AO262</f>
        <v>1.8323053449985681E-3</v>
      </c>
      <c r="AQ262">
        <f t="shared" ref="AQ262:AQ300" si="96">K262*AP262*J262</f>
        <v>25.748470860592377</v>
      </c>
      <c r="AS262">
        <f t="shared" ref="AS262:AS300" si="97">U262*$B$263+V262*$B$264</f>
        <v>3.5064935064935066</v>
      </c>
      <c r="AT262">
        <f t="shared" si="89"/>
        <v>8.1246865273940476E-3</v>
      </c>
      <c r="AU262">
        <f t="shared" ref="AU262:AU300" si="98">MAX((Y262*AC262/6.25)+(0.032*AS262/6.38)-AT262-((1.1*(10^-4)*(M262^0.75))/6.25), 0)</f>
        <v>0.11086265204819427</v>
      </c>
      <c r="AV262">
        <f t="shared" si="90"/>
        <v>1557.8974179072502</v>
      </c>
      <c r="AY262">
        <f>AY261</f>
        <v>2E-3</v>
      </c>
      <c r="BB262">
        <f t="shared" ref="BB262:BB300" si="99">$CJ$7</f>
        <v>0.24</v>
      </c>
      <c r="BQ262" s="5" t="s">
        <v>160</v>
      </c>
      <c r="BR262" s="6" t="s">
        <v>186</v>
      </c>
      <c r="BS262">
        <v>7.0000000000000007E-2</v>
      </c>
      <c r="BT262">
        <v>7.0000000000000007E-2</v>
      </c>
      <c r="BU262">
        <v>5.8000000000000003E-2</v>
      </c>
      <c r="BV262">
        <v>7.1999999999999995E-2</v>
      </c>
      <c r="BW262">
        <v>0.16</v>
      </c>
      <c r="BX262">
        <v>0.2</v>
      </c>
      <c r="BY262">
        <v>0.25</v>
      </c>
      <c r="BZ262">
        <v>0.2</v>
      </c>
      <c r="CA262">
        <v>0.04</v>
      </c>
      <c r="CB262">
        <v>0.04</v>
      </c>
    </row>
    <row r="263" spans="1:80" x14ac:dyDescent="0.2">
      <c r="A263" t="s">
        <v>222</v>
      </c>
      <c r="B263">
        <f>IF(B261="Hereford or Shorthorn",$BT$3,$BT$4)</f>
        <v>6</v>
      </c>
      <c r="H263" t="s">
        <v>163</v>
      </c>
      <c r="J263">
        <v>91.25</v>
      </c>
      <c r="K263">
        <v>150</v>
      </c>
      <c r="M263">
        <v>100</v>
      </c>
      <c r="O263">
        <v>0.6</v>
      </c>
      <c r="P263">
        <v>770</v>
      </c>
      <c r="Q263">
        <f t="shared" si="91"/>
        <v>0.12987012987012986</v>
      </c>
      <c r="S263">
        <v>0</v>
      </c>
      <c r="T263">
        <v>0</v>
      </c>
      <c r="U263">
        <v>0</v>
      </c>
      <c r="V263">
        <f>70/M263</f>
        <v>0.7</v>
      </c>
      <c r="W263">
        <f>S263*B263+T263*B264</f>
        <v>0</v>
      </c>
      <c r="X263">
        <f t="shared" si="84"/>
        <v>1</v>
      </c>
      <c r="Y263">
        <f t="shared" si="85"/>
        <v>3.247204</v>
      </c>
      <c r="Z263">
        <f t="shared" si="92"/>
        <v>1.2480754440536419</v>
      </c>
      <c r="AC263">
        <v>0.06</v>
      </c>
      <c r="AE263">
        <v>0.5</v>
      </c>
      <c r="AF263">
        <f t="shared" si="86"/>
        <v>1.6132109472</v>
      </c>
      <c r="AG263">
        <f t="shared" si="87"/>
        <v>0.19</v>
      </c>
      <c r="AH263">
        <f t="shared" si="88"/>
        <v>0.6784</v>
      </c>
      <c r="AI263">
        <f>AI261</f>
        <v>0</v>
      </c>
      <c r="AK263">
        <f>AK261</f>
        <v>0.76</v>
      </c>
      <c r="AL263">
        <f>AL261</f>
        <v>100</v>
      </c>
      <c r="AM263">
        <f>AM261</f>
        <v>4.7000000000000002E-3</v>
      </c>
      <c r="AN263">
        <f t="shared" si="93"/>
        <v>0</v>
      </c>
      <c r="AO263">
        <f t="shared" si="94"/>
        <v>9.7730125977636868E-4</v>
      </c>
      <c r="AP263">
        <f t="shared" si="95"/>
        <v>9.7730125977636868E-4</v>
      </c>
      <c r="AQ263">
        <f t="shared" si="96"/>
        <v>13.376810993189045</v>
      </c>
      <c r="AS263">
        <f t="shared" si="97"/>
        <v>2.8</v>
      </c>
      <c r="AT263">
        <f t="shared" si="89"/>
        <v>1.7126010126251878E-2</v>
      </c>
      <c r="AU263">
        <f t="shared" si="98"/>
        <v>2.7534474552893911E-2</v>
      </c>
      <c r="AV263">
        <f t="shared" si="90"/>
        <v>376.87812044273539</v>
      </c>
      <c r="AY263">
        <f>AY261</f>
        <v>2E-3</v>
      </c>
      <c r="BB263">
        <f t="shared" si="99"/>
        <v>0.24</v>
      </c>
      <c r="BQ263" s="3" t="s">
        <v>162</v>
      </c>
      <c r="BR263" s="4" t="s">
        <v>186</v>
      </c>
      <c r="BS263">
        <v>0.13</v>
      </c>
      <c r="BT263">
        <v>0.13</v>
      </c>
      <c r="BU263">
        <v>9.1999999999999998E-2</v>
      </c>
      <c r="BV263">
        <v>9.9000000000000005E-2</v>
      </c>
      <c r="BW263">
        <v>7.0000000000000007E-2</v>
      </c>
      <c r="BX263">
        <v>0.1</v>
      </c>
      <c r="BY263">
        <v>7.0000000000000007E-2</v>
      </c>
      <c r="BZ263">
        <v>0.09</v>
      </c>
      <c r="CA263">
        <v>0.12</v>
      </c>
      <c r="CB263">
        <v>0.12</v>
      </c>
    </row>
    <row r="264" spans="1:80" x14ac:dyDescent="0.2">
      <c r="A264" t="s">
        <v>223</v>
      </c>
      <c r="B264">
        <f>IF(B261="Hereford or Shorthorn",$BU$3,$BU$4)</f>
        <v>4</v>
      </c>
      <c r="H264" t="s">
        <v>164</v>
      </c>
      <c r="J264">
        <v>91.25</v>
      </c>
      <c r="K264">
        <v>83</v>
      </c>
      <c r="M264">
        <v>190</v>
      </c>
      <c r="O264">
        <v>0.99</v>
      </c>
      <c r="P264">
        <v>770</v>
      </c>
      <c r="Q264">
        <f t="shared" si="91"/>
        <v>0.24675324675324675</v>
      </c>
      <c r="S264">
        <v>0</v>
      </c>
      <c r="T264">
        <v>0</v>
      </c>
      <c r="U264">
        <v>0</v>
      </c>
      <c r="V264">
        <v>0</v>
      </c>
      <c r="W264">
        <f>S264*B263+T264*B264</f>
        <v>0</v>
      </c>
      <c r="X264">
        <f t="shared" si="84"/>
        <v>1</v>
      </c>
      <c r="Y264">
        <f t="shared" si="85"/>
        <v>5.1328980481000004</v>
      </c>
      <c r="Z264">
        <f t="shared" si="92"/>
        <v>1.3447114471128401</v>
      </c>
      <c r="AC264">
        <v>0.2</v>
      </c>
      <c r="AE264">
        <v>0.75</v>
      </c>
      <c r="AF264">
        <f t="shared" si="86"/>
        <v>1.3694571992330802</v>
      </c>
      <c r="AG264">
        <f t="shared" si="87"/>
        <v>0.19</v>
      </c>
      <c r="AH264">
        <f t="shared" si="88"/>
        <v>0.6784</v>
      </c>
      <c r="AI264">
        <f>AI261</f>
        <v>0</v>
      </c>
      <c r="AK264">
        <f>AK261</f>
        <v>0.76</v>
      </c>
      <c r="AL264">
        <f>AL261</f>
        <v>100</v>
      </c>
      <c r="AM264">
        <f>AM261</f>
        <v>4.7000000000000002E-3</v>
      </c>
      <c r="AN264">
        <f t="shared" si="93"/>
        <v>0</v>
      </c>
      <c r="AO264">
        <f t="shared" si="94"/>
        <v>8.296325092160315E-4</v>
      </c>
      <c r="AP264">
        <f t="shared" si="95"/>
        <v>8.296325092160315E-4</v>
      </c>
      <c r="AQ264">
        <f t="shared" si="96"/>
        <v>6.2834292166749179</v>
      </c>
      <c r="AS264">
        <f t="shared" si="97"/>
        <v>0</v>
      </c>
      <c r="AT264">
        <f t="shared" si="89"/>
        <v>2.5624664446187655E-2</v>
      </c>
      <c r="AU264">
        <f t="shared" si="98"/>
        <v>0.13772737785106035</v>
      </c>
      <c r="AV264">
        <f t="shared" si="90"/>
        <v>1043.1127279994682</v>
      </c>
      <c r="AY264">
        <f>AY261</f>
        <v>2E-3</v>
      </c>
      <c r="BB264">
        <f t="shared" si="99"/>
        <v>0.24</v>
      </c>
      <c r="BQ264" s="5" t="s">
        <v>163</v>
      </c>
      <c r="BR264" s="6" t="s">
        <v>186</v>
      </c>
      <c r="BS264">
        <v>0.1</v>
      </c>
      <c r="BT264">
        <v>0.1</v>
      </c>
      <c r="BU264">
        <v>7.4999999999999997E-2</v>
      </c>
      <c r="BV264">
        <v>7.8E-2</v>
      </c>
      <c r="BW264">
        <v>0.09</v>
      </c>
      <c r="BX264">
        <v>0.16</v>
      </c>
      <c r="BY264">
        <v>0.1</v>
      </c>
      <c r="BZ264">
        <v>0.06</v>
      </c>
      <c r="CA264">
        <v>0.09</v>
      </c>
      <c r="CB264">
        <v>0.09</v>
      </c>
    </row>
    <row r="265" spans="1:80" x14ac:dyDescent="0.2">
      <c r="G265" t="s">
        <v>165</v>
      </c>
      <c r="H265" t="s">
        <v>160</v>
      </c>
      <c r="J265">
        <v>91.25</v>
      </c>
      <c r="K265">
        <v>70</v>
      </c>
      <c r="M265">
        <v>800</v>
      </c>
      <c r="O265">
        <v>1.1000000000000001</v>
      </c>
      <c r="P265">
        <v>770</v>
      </c>
      <c r="Q265">
        <f t="shared" si="91"/>
        <v>1.0389610389610389</v>
      </c>
      <c r="S265">
        <v>0</v>
      </c>
      <c r="T265">
        <v>0</v>
      </c>
      <c r="U265">
        <v>0</v>
      </c>
      <c r="V265">
        <v>0</v>
      </c>
      <c r="W265">
        <f>S265*B263+T265*B264</f>
        <v>0</v>
      </c>
      <c r="X265">
        <f t="shared" si="84"/>
        <v>1</v>
      </c>
      <c r="Y265">
        <f t="shared" si="85"/>
        <v>12.246500250000002</v>
      </c>
      <c r="Z265">
        <f t="shared" si="92"/>
        <v>1.2318676608114607</v>
      </c>
      <c r="AC265">
        <v>0.2</v>
      </c>
      <c r="AE265">
        <v>0.8</v>
      </c>
      <c r="AF265">
        <f t="shared" si="86"/>
        <v>2.7040272552000002</v>
      </c>
      <c r="AG265">
        <f t="shared" si="87"/>
        <v>0.19</v>
      </c>
      <c r="AH265">
        <f t="shared" si="88"/>
        <v>0.6784</v>
      </c>
      <c r="AI265">
        <f>AI261</f>
        <v>0</v>
      </c>
      <c r="AK265">
        <f>AK261</f>
        <v>0.76</v>
      </c>
      <c r="AL265">
        <f>AL261</f>
        <v>100</v>
      </c>
      <c r="AM265">
        <f>AM261</f>
        <v>4.7000000000000002E-3</v>
      </c>
      <c r="AN265">
        <f t="shared" si="93"/>
        <v>0</v>
      </c>
      <c r="AO265">
        <f t="shared" si="94"/>
        <v>1.6381299963054185E-3</v>
      </c>
      <c r="AP265">
        <f t="shared" si="95"/>
        <v>1.6381299963054185E-3</v>
      </c>
      <c r="AQ265">
        <f t="shared" si="96"/>
        <v>10.46355535140086</v>
      </c>
      <c r="AS265">
        <f t="shared" si="97"/>
        <v>0</v>
      </c>
      <c r="AT265">
        <f t="shared" si="89"/>
        <v>1.2159206080141411E-2</v>
      </c>
      <c r="AU265">
        <f t="shared" si="98"/>
        <v>0.37708133734232585</v>
      </c>
      <c r="AV265">
        <f t="shared" si="90"/>
        <v>2408.6070422741063</v>
      </c>
      <c r="AY265">
        <f>AY261</f>
        <v>2E-3</v>
      </c>
      <c r="BB265">
        <f t="shared" si="99"/>
        <v>0.24</v>
      </c>
      <c r="BQ265" s="3" t="s">
        <v>164</v>
      </c>
      <c r="BR265" s="4" t="s">
        <v>186</v>
      </c>
      <c r="BS265">
        <v>0.06</v>
      </c>
      <c r="BT265">
        <v>0.06</v>
      </c>
      <c r="BU265">
        <v>5.2999999999999999E-2</v>
      </c>
      <c r="BV265">
        <v>5.8999999999999997E-2</v>
      </c>
      <c r="BW265">
        <v>0.2</v>
      </c>
      <c r="BX265">
        <v>0.2</v>
      </c>
      <c r="BY265">
        <v>0.21</v>
      </c>
      <c r="BZ265">
        <v>0.2</v>
      </c>
      <c r="CA265">
        <v>0.06</v>
      </c>
      <c r="CB265">
        <v>0.06</v>
      </c>
    </row>
    <row r="266" spans="1:80" x14ac:dyDescent="0.2">
      <c r="A266" t="s">
        <v>167</v>
      </c>
      <c r="G266">
        <v>2</v>
      </c>
      <c r="H266" t="s">
        <v>162</v>
      </c>
      <c r="J266">
        <v>91.25</v>
      </c>
      <c r="K266">
        <v>147</v>
      </c>
      <c r="M266">
        <v>780</v>
      </c>
      <c r="O266">
        <v>-0.22</v>
      </c>
      <c r="P266">
        <v>770</v>
      </c>
      <c r="Q266">
        <f t="shared" si="91"/>
        <v>1.0129870129870129</v>
      </c>
      <c r="S266">
        <v>0</v>
      </c>
      <c r="T266">
        <v>0</v>
      </c>
      <c r="U266">
        <v>0</v>
      </c>
      <c r="V266">
        <v>0</v>
      </c>
      <c r="W266">
        <f>S266*B263+T266*B264</f>
        <v>0</v>
      </c>
      <c r="X266">
        <f t="shared" si="84"/>
        <v>1</v>
      </c>
      <c r="Y266">
        <f t="shared" si="85"/>
        <v>9.4559940036000008</v>
      </c>
      <c r="Z266">
        <f t="shared" si="92"/>
        <v>0.95640681558610863</v>
      </c>
      <c r="AC266">
        <v>0.09</v>
      </c>
      <c r="AE266">
        <v>0.57999999999999996</v>
      </c>
      <c r="AF266">
        <f t="shared" si="86"/>
        <v>4.0017766623235218</v>
      </c>
      <c r="AG266">
        <f t="shared" si="87"/>
        <v>0.19</v>
      </c>
      <c r="AH266">
        <f t="shared" si="88"/>
        <v>0.6784</v>
      </c>
      <c r="AI266">
        <f>AI261</f>
        <v>0</v>
      </c>
      <c r="AK266">
        <f>AK261</f>
        <v>0.76</v>
      </c>
      <c r="AL266">
        <f>AL261</f>
        <v>100</v>
      </c>
      <c r="AM266">
        <f>AM261</f>
        <v>4.7000000000000002E-3</v>
      </c>
      <c r="AN266">
        <f t="shared" si="93"/>
        <v>0</v>
      </c>
      <c r="AO266">
        <f t="shared" si="94"/>
        <v>2.4243211219342076E-3</v>
      </c>
      <c r="AP266">
        <f t="shared" si="95"/>
        <v>2.4243211219342076E-3</v>
      </c>
      <c r="AQ266">
        <f t="shared" si="96"/>
        <v>32.519237449344978</v>
      </c>
      <c r="AS266">
        <f t="shared" si="97"/>
        <v>0</v>
      </c>
      <c r="AT266">
        <f t="shared" si="89"/>
        <v>-2.4500809510830078E-3</v>
      </c>
      <c r="AU266">
        <f t="shared" si="98"/>
        <v>0.13601872675007995</v>
      </c>
      <c r="AV266">
        <f t="shared" si="90"/>
        <v>1824.521195943885</v>
      </c>
      <c r="AY266">
        <f>AY261</f>
        <v>2E-3</v>
      </c>
      <c r="BB266">
        <f t="shared" si="99"/>
        <v>0.24</v>
      </c>
      <c r="BQ266" s="5" t="s">
        <v>160</v>
      </c>
      <c r="BR266" s="6" t="s">
        <v>189</v>
      </c>
      <c r="BS266">
        <v>7.0000000000000007E-2</v>
      </c>
      <c r="BT266">
        <v>7.0000000000000007E-2</v>
      </c>
      <c r="BU266">
        <v>5.8000000000000003E-2</v>
      </c>
      <c r="BV266">
        <v>7.1999999999999995E-2</v>
      </c>
      <c r="BW266">
        <v>0.16</v>
      </c>
      <c r="BX266">
        <v>0.2</v>
      </c>
      <c r="BY266">
        <v>0.25</v>
      </c>
      <c r="BZ266">
        <v>0.2</v>
      </c>
      <c r="CA266">
        <v>0.04</v>
      </c>
      <c r="CB266">
        <v>0.04</v>
      </c>
    </row>
    <row r="267" spans="1:80" x14ac:dyDescent="0.2">
      <c r="A267" t="s">
        <v>160</v>
      </c>
      <c r="B267">
        <f>IF(B261="Hereford or Shorthorn", 1.3, 0)</f>
        <v>1.3</v>
      </c>
      <c r="H267" t="s">
        <v>163</v>
      </c>
      <c r="J267">
        <v>91.25</v>
      </c>
      <c r="K267">
        <v>104</v>
      </c>
      <c r="M267">
        <v>680</v>
      </c>
      <c r="O267">
        <v>0</v>
      </c>
      <c r="P267">
        <v>770</v>
      </c>
      <c r="Q267">
        <f t="shared" si="91"/>
        <v>0.88311688311688308</v>
      </c>
      <c r="S267">
        <v>0</v>
      </c>
      <c r="T267">
        <v>0</v>
      </c>
      <c r="U267">
        <v>0</v>
      </c>
      <c r="V267">
        <v>0</v>
      </c>
      <c r="W267">
        <f>S267*B263+T267*B264</f>
        <v>0</v>
      </c>
      <c r="X267">
        <f t="shared" si="84"/>
        <v>1</v>
      </c>
      <c r="Y267">
        <f t="shared" si="85"/>
        <v>9.4246544015999998</v>
      </c>
      <c r="Z267">
        <f t="shared" si="92"/>
        <v>1</v>
      </c>
      <c r="AC267">
        <v>0.06</v>
      </c>
      <c r="AE267">
        <v>0.5</v>
      </c>
      <c r="AF267">
        <f t="shared" si="86"/>
        <v>4.68216830671488</v>
      </c>
      <c r="AG267">
        <f t="shared" si="87"/>
        <v>0.19</v>
      </c>
      <c r="AH267">
        <f t="shared" si="88"/>
        <v>0.6784</v>
      </c>
      <c r="AI267">
        <f>AI261</f>
        <v>0</v>
      </c>
      <c r="AK267">
        <f>AK261</f>
        <v>0.76</v>
      </c>
      <c r="AL267">
        <f>AL261</f>
        <v>100</v>
      </c>
      <c r="AM267">
        <f>AM261</f>
        <v>4.7000000000000002E-3</v>
      </c>
      <c r="AN267">
        <f t="shared" si="93"/>
        <v>0</v>
      </c>
      <c r="AO267">
        <f t="shared" si="94"/>
        <v>2.8365100004929095E-3</v>
      </c>
      <c r="AP267">
        <f t="shared" si="95"/>
        <v>2.8365100004929095E-3</v>
      </c>
      <c r="AQ267">
        <f t="shared" si="96"/>
        <v>26.91847990467771</v>
      </c>
      <c r="AS267">
        <f t="shared" si="97"/>
        <v>0</v>
      </c>
      <c r="AT267">
        <f t="shared" si="89"/>
        <v>0</v>
      </c>
      <c r="AU267">
        <f t="shared" si="98"/>
        <v>8.8133023634157495E-2</v>
      </c>
      <c r="AV267">
        <f t="shared" si="90"/>
        <v>836.38239428815473</v>
      </c>
      <c r="AY267">
        <f>AY261</f>
        <v>2E-3</v>
      </c>
      <c r="BB267">
        <f t="shared" si="99"/>
        <v>0.24</v>
      </c>
      <c r="BQ267" s="3" t="s">
        <v>162</v>
      </c>
      <c r="BR267" s="4" t="s">
        <v>189</v>
      </c>
      <c r="BS267">
        <v>0.13</v>
      </c>
      <c r="BT267">
        <v>0.13</v>
      </c>
      <c r="BU267">
        <v>9.1999999999999998E-2</v>
      </c>
      <c r="BV267">
        <v>9.9000000000000005E-2</v>
      </c>
      <c r="BW267">
        <v>7.0000000000000007E-2</v>
      </c>
      <c r="BX267">
        <v>0.1</v>
      </c>
      <c r="BY267">
        <v>7.0000000000000007E-2</v>
      </c>
      <c r="BZ267">
        <v>0.09</v>
      </c>
      <c r="CA267">
        <v>0.12</v>
      </c>
      <c r="CB267">
        <v>0.12</v>
      </c>
    </row>
    <row r="268" spans="1:80" x14ac:dyDescent="0.2">
      <c r="A268" t="s">
        <v>162</v>
      </c>
      <c r="B268">
        <f>IF(B261="Hereford or Shorthorn", 1.1, 1.3)</f>
        <v>1.1000000000000001</v>
      </c>
      <c r="H268" t="s">
        <v>164</v>
      </c>
      <c r="J268">
        <v>91.25</v>
      </c>
      <c r="K268">
        <v>31</v>
      </c>
      <c r="M268">
        <v>700</v>
      </c>
      <c r="O268">
        <v>0.22</v>
      </c>
      <c r="P268">
        <v>770</v>
      </c>
      <c r="Q268">
        <f t="shared" si="91"/>
        <v>0.90909090909090906</v>
      </c>
      <c r="S268">
        <v>0</v>
      </c>
      <c r="T268">
        <v>0</v>
      </c>
      <c r="U268">
        <v>0</v>
      </c>
      <c r="V268">
        <v>0</v>
      </c>
      <c r="W268">
        <f>S268*B263+T268*B264</f>
        <v>0</v>
      </c>
      <c r="X268">
        <f t="shared" si="84"/>
        <v>1</v>
      </c>
      <c r="Y268">
        <f t="shared" si="85"/>
        <v>9.9748588899999984</v>
      </c>
      <c r="Z268">
        <f t="shared" si="92"/>
        <v>1.0453721939219578</v>
      </c>
      <c r="AC268">
        <v>0.2</v>
      </c>
      <c r="AE268">
        <v>0.75</v>
      </c>
      <c r="AF268">
        <f t="shared" si="86"/>
        <v>2.6612923518519995</v>
      </c>
      <c r="AG268">
        <f t="shared" si="87"/>
        <v>0.19</v>
      </c>
      <c r="AH268">
        <f t="shared" si="88"/>
        <v>0.6784</v>
      </c>
      <c r="AI268">
        <f>AI261</f>
        <v>0</v>
      </c>
      <c r="AK268">
        <f>AK261</f>
        <v>0.76</v>
      </c>
      <c r="AL268">
        <f>AL261</f>
        <v>100</v>
      </c>
      <c r="AM268">
        <f>AM261</f>
        <v>4.7000000000000002E-3</v>
      </c>
      <c r="AN268">
        <f t="shared" si="93"/>
        <v>0</v>
      </c>
      <c r="AO268">
        <f t="shared" si="94"/>
        <v>1.6122407132262823E-3</v>
      </c>
      <c r="AP268">
        <f t="shared" si="95"/>
        <v>1.6122407132262823E-3</v>
      </c>
      <c r="AQ268">
        <f t="shared" si="96"/>
        <v>4.5606259175388457</v>
      </c>
      <c r="AS268">
        <f t="shared" si="97"/>
        <v>0</v>
      </c>
      <c r="AT268">
        <f t="shared" si="89"/>
        <v>2.5468999349659745E-3</v>
      </c>
      <c r="AU268">
        <f t="shared" si="98"/>
        <v>0.31425341534791917</v>
      </c>
      <c r="AV268">
        <f t="shared" si="90"/>
        <v>888.94434866542645</v>
      </c>
      <c r="AY268">
        <f>AY261</f>
        <v>2E-3</v>
      </c>
      <c r="BB268">
        <f t="shared" si="99"/>
        <v>0.24</v>
      </c>
      <c r="BQ268" s="5" t="s">
        <v>163</v>
      </c>
      <c r="BR268" s="6" t="s">
        <v>189</v>
      </c>
      <c r="BS268">
        <v>0.1</v>
      </c>
      <c r="BT268">
        <v>0.1</v>
      </c>
      <c r="BU268">
        <v>7.4999999999999997E-2</v>
      </c>
      <c r="BV268">
        <v>7.8E-2</v>
      </c>
      <c r="BW268">
        <v>0.09</v>
      </c>
      <c r="BX268">
        <v>0.16</v>
      </c>
      <c r="BY268">
        <v>0.1</v>
      </c>
      <c r="BZ268">
        <v>0.06</v>
      </c>
      <c r="CA268">
        <v>0.09</v>
      </c>
      <c r="CB268">
        <v>0.09</v>
      </c>
    </row>
    <row r="269" spans="1:80" x14ac:dyDescent="0.2">
      <c r="A269" t="s">
        <v>163</v>
      </c>
      <c r="B269">
        <f>IF(B261="Hereford or Shorthorn", 0, 1.1)</f>
        <v>0</v>
      </c>
      <c r="G269" t="s">
        <v>177</v>
      </c>
      <c r="H269" t="s">
        <v>160</v>
      </c>
      <c r="J269">
        <v>91.25</v>
      </c>
      <c r="K269">
        <v>318</v>
      </c>
      <c r="M269">
        <v>420</v>
      </c>
      <c r="O269">
        <v>0.99</v>
      </c>
      <c r="P269">
        <v>550</v>
      </c>
      <c r="Q269">
        <f t="shared" si="91"/>
        <v>0.76363636363636367</v>
      </c>
      <c r="S269">
        <v>0</v>
      </c>
      <c r="T269">
        <v>0</v>
      </c>
      <c r="U269">
        <v>0</v>
      </c>
      <c r="V269">
        <v>0</v>
      </c>
      <c r="W269">
        <f>S269*B263+T269*B264</f>
        <v>0</v>
      </c>
      <c r="X269">
        <f t="shared" si="84"/>
        <v>1</v>
      </c>
      <c r="Y269">
        <f t="shared" si="85"/>
        <v>8.6730839001000017</v>
      </c>
      <c r="Z269">
        <f t="shared" si="92"/>
        <v>1.2508897944754176</v>
      </c>
      <c r="AC269">
        <v>0.2</v>
      </c>
      <c r="AE269">
        <v>0.8</v>
      </c>
      <c r="AF269">
        <f t="shared" si="86"/>
        <v>1.9150169251420801</v>
      </c>
      <c r="AG269">
        <f t="shared" si="87"/>
        <v>0.19</v>
      </c>
      <c r="AH269">
        <f t="shared" si="88"/>
        <v>0.6784</v>
      </c>
      <c r="AI269">
        <f>AI261</f>
        <v>0</v>
      </c>
      <c r="AK269">
        <f>AK261</f>
        <v>0.76</v>
      </c>
      <c r="AL269">
        <f>AL261</f>
        <v>100</v>
      </c>
      <c r="AM269">
        <f>AM261</f>
        <v>4.7000000000000002E-3</v>
      </c>
      <c r="AN269">
        <f t="shared" si="93"/>
        <v>0</v>
      </c>
      <c r="AO269">
        <f t="shared" si="94"/>
        <v>1.1601387014406337E-3</v>
      </c>
      <c r="AP269">
        <f t="shared" si="95"/>
        <v>1.1601387014406337E-3</v>
      </c>
      <c r="AQ269">
        <f t="shared" si="96"/>
        <v>33.664324769053586</v>
      </c>
      <c r="AS269">
        <f t="shared" si="97"/>
        <v>0</v>
      </c>
      <c r="AT269">
        <f t="shared" si="89"/>
        <v>1.264962313940218E-2</v>
      </c>
      <c r="AU269">
        <f t="shared" si="98"/>
        <v>0.26325619908716097</v>
      </c>
      <c r="AV269">
        <f t="shared" si="90"/>
        <v>7639.0367570116932</v>
      </c>
      <c r="AY269">
        <f>AY261</f>
        <v>2E-3</v>
      </c>
      <c r="BB269">
        <f t="shared" si="99"/>
        <v>0.24</v>
      </c>
      <c r="BQ269" s="3" t="s">
        <v>164</v>
      </c>
      <c r="BR269" s="4" t="s">
        <v>189</v>
      </c>
      <c r="BS269">
        <v>0.06</v>
      </c>
      <c r="BT269">
        <v>0.06</v>
      </c>
      <c r="BU269">
        <v>5.2999999999999999E-2</v>
      </c>
      <c r="BV269">
        <v>5.8999999999999997E-2</v>
      </c>
      <c r="BW269">
        <v>0.2</v>
      </c>
      <c r="BX269">
        <v>0.2</v>
      </c>
      <c r="BY269">
        <v>0.21</v>
      </c>
      <c r="BZ269">
        <v>0.2</v>
      </c>
      <c r="CA269">
        <v>0.06</v>
      </c>
      <c r="CB269">
        <v>0.06</v>
      </c>
    </row>
    <row r="270" spans="1:80" x14ac:dyDescent="0.2">
      <c r="A270" t="s">
        <v>164</v>
      </c>
      <c r="B270">
        <v>0</v>
      </c>
      <c r="G270">
        <v>4</v>
      </c>
      <c r="H270" t="s">
        <v>162</v>
      </c>
      <c r="J270">
        <v>91.25</v>
      </c>
      <c r="K270">
        <v>440</v>
      </c>
      <c r="M270">
        <v>450</v>
      </c>
      <c r="O270">
        <v>0.33</v>
      </c>
      <c r="P270">
        <v>550</v>
      </c>
      <c r="Q270">
        <f t="shared" si="91"/>
        <v>0.81818181818181823</v>
      </c>
      <c r="S270">
        <v>0</v>
      </c>
      <c r="T270">
        <v>0</v>
      </c>
      <c r="U270">
        <v>0</v>
      </c>
      <c r="V270">
        <v>0</v>
      </c>
      <c r="W270">
        <f>S270*B263+T270*B264</f>
        <v>0</v>
      </c>
      <c r="X270">
        <f t="shared" si="84"/>
        <v>1</v>
      </c>
      <c r="Y270">
        <f t="shared" si="85"/>
        <v>7.8705497025</v>
      </c>
      <c r="Z270">
        <f t="shared" si="92"/>
        <v>1.0784378504014522</v>
      </c>
      <c r="AC270">
        <v>0.09</v>
      </c>
      <c r="AE270">
        <v>0.57999999999999996</v>
      </c>
      <c r="AF270">
        <f t="shared" si="86"/>
        <v>3.3308166340980003</v>
      </c>
      <c r="AG270">
        <f t="shared" si="87"/>
        <v>0.19</v>
      </c>
      <c r="AH270">
        <f t="shared" si="88"/>
        <v>0.6784</v>
      </c>
      <c r="AI270">
        <f>AI261</f>
        <v>0</v>
      </c>
      <c r="AK270">
        <f>AK261</f>
        <v>0.76</v>
      </c>
      <c r="AL270">
        <f>AL261</f>
        <v>100</v>
      </c>
      <c r="AM270">
        <f>AM261</f>
        <v>4.7000000000000002E-3</v>
      </c>
      <c r="AN270">
        <f t="shared" si="93"/>
        <v>0</v>
      </c>
      <c r="AO270">
        <f t="shared" si="94"/>
        <v>2.0178460220828705E-3</v>
      </c>
      <c r="AP270">
        <f t="shared" si="95"/>
        <v>2.0178460220828705E-3</v>
      </c>
      <c r="AQ270">
        <f t="shared" si="96"/>
        <v>81.016517786627247</v>
      </c>
      <c r="AS270">
        <f t="shared" si="97"/>
        <v>0</v>
      </c>
      <c r="AT270">
        <f t="shared" si="89"/>
        <v>4.0359782188292637E-3</v>
      </c>
      <c r="AU270">
        <f t="shared" si="98"/>
        <v>0.10758035881234858</v>
      </c>
      <c r="AV270">
        <f t="shared" si="90"/>
        <v>4319.3514063157954</v>
      </c>
      <c r="AY270">
        <f>AY261</f>
        <v>2E-3</v>
      </c>
      <c r="BB270">
        <f t="shared" si="99"/>
        <v>0.24</v>
      </c>
    </row>
    <row r="271" spans="1:80" x14ac:dyDescent="0.2">
      <c r="H271" t="s">
        <v>163</v>
      </c>
      <c r="J271">
        <v>91.25</v>
      </c>
      <c r="K271">
        <v>412</v>
      </c>
      <c r="M271">
        <v>320</v>
      </c>
      <c r="O271">
        <v>0.22</v>
      </c>
      <c r="P271">
        <v>550</v>
      </c>
      <c r="Q271">
        <f t="shared" si="91"/>
        <v>0.58181818181818179</v>
      </c>
      <c r="S271">
        <v>0</v>
      </c>
      <c r="T271">
        <v>0</v>
      </c>
      <c r="U271">
        <v>0</v>
      </c>
      <c r="V271">
        <v>0</v>
      </c>
      <c r="W271">
        <f>S271*B263+T271*B264</f>
        <v>0</v>
      </c>
      <c r="X271">
        <f t="shared" si="84"/>
        <v>1</v>
      </c>
      <c r="Y271">
        <f t="shared" si="85"/>
        <v>5.9577975395999987</v>
      </c>
      <c r="Z271">
        <f t="shared" si="92"/>
        <v>1.0592964268897831</v>
      </c>
      <c r="AC271">
        <v>0.06</v>
      </c>
      <c r="AE271">
        <v>0.5</v>
      </c>
      <c r="AF271">
        <f t="shared" si="86"/>
        <v>2.9598338176732795</v>
      </c>
      <c r="AG271">
        <f t="shared" si="87"/>
        <v>0.19</v>
      </c>
      <c r="AH271">
        <f t="shared" si="88"/>
        <v>0.6784</v>
      </c>
      <c r="AI271">
        <f>AI261</f>
        <v>0</v>
      </c>
      <c r="AK271">
        <f>AK261</f>
        <v>0.76</v>
      </c>
      <c r="AL271">
        <f>AL261</f>
        <v>100</v>
      </c>
      <c r="AM271">
        <f>AM261</f>
        <v>4.7000000000000002E-3</v>
      </c>
      <c r="AN271">
        <f t="shared" si="93"/>
        <v>0</v>
      </c>
      <c r="AO271">
        <f t="shared" si="94"/>
        <v>1.7931004768852307E-3</v>
      </c>
      <c r="AP271">
        <f t="shared" si="95"/>
        <v>1.7931004768852307E-3</v>
      </c>
      <c r="AQ271">
        <f t="shared" si="96"/>
        <v>67.411612428500248</v>
      </c>
      <c r="AS271">
        <f t="shared" si="97"/>
        <v>0</v>
      </c>
      <c r="AT271">
        <f t="shared" si="89"/>
        <v>3.5329291057988096E-3</v>
      </c>
      <c r="AU271">
        <f t="shared" si="98"/>
        <v>5.2330323088884703E-2</v>
      </c>
      <c r="AV271">
        <f t="shared" si="90"/>
        <v>1967.3584965266202</v>
      </c>
      <c r="AY271">
        <f>AY261</f>
        <v>2E-3</v>
      </c>
      <c r="BB271">
        <f t="shared" si="99"/>
        <v>0.24</v>
      </c>
    </row>
    <row r="272" spans="1:80" x14ac:dyDescent="0.2">
      <c r="H272" t="s">
        <v>164</v>
      </c>
      <c r="J272">
        <v>91.25</v>
      </c>
      <c r="K272">
        <v>339</v>
      </c>
      <c r="M272">
        <v>330</v>
      </c>
      <c r="O272">
        <v>0.11</v>
      </c>
      <c r="P272">
        <v>550</v>
      </c>
      <c r="Q272">
        <f t="shared" si="91"/>
        <v>0.6</v>
      </c>
      <c r="S272">
        <v>0</v>
      </c>
      <c r="T272">
        <v>0</v>
      </c>
      <c r="U272">
        <v>0</v>
      </c>
      <c r="V272">
        <v>0</v>
      </c>
      <c r="W272">
        <f>S272*B263+T272*B264</f>
        <v>0</v>
      </c>
      <c r="X272">
        <f t="shared" si="84"/>
        <v>1</v>
      </c>
      <c r="Y272">
        <f t="shared" si="85"/>
        <v>5.9278127841000021</v>
      </c>
      <c r="Z272">
        <f t="shared" si="92"/>
        <v>1.0290827091276171</v>
      </c>
      <c r="AC272">
        <v>0.2</v>
      </c>
      <c r="AE272">
        <v>0.75</v>
      </c>
      <c r="AF272">
        <f t="shared" si="86"/>
        <v>1.5815404507978805</v>
      </c>
      <c r="AG272">
        <f t="shared" si="87"/>
        <v>0.19</v>
      </c>
      <c r="AH272">
        <f t="shared" si="88"/>
        <v>0.6784</v>
      </c>
      <c r="AI272">
        <f>AI261</f>
        <v>0</v>
      </c>
      <c r="AK272">
        <f>AK261</f>
        <v>0.76</v>
      </c>
      <c r="AL272">
        <f>AL261</f>
        <v>100</v>
      </c>
      <c r="AM272">
        <f>AM261</f>
        <v>4.7000000000000002E-3</v>
      </c>
      <c r="AN272">
        <f t="shared" si="93"/>
        <v>0</v>
      </c>
      <c r="AO272">
        <f t="shared" si="94"/>
        <v>9.5811491834640493E-4</v>
      </c>
      <c r="AP272">
        <f t="shared" si="95"/>
        <v>9.5811491834640493E-4</v>
      </c>
      <c r="AQ272">
        <f t="shared" si="96"/>
        <v>29.638087355398103</v>
      </c>
      <c r="AS272">
        <f t="shared" si="97"/>
        <v>0</v>
      </c>
      <c r="AT272">
        <f t="shared" si="89"/>
        <v>1.7196628856093364E-3</v>
      </c>
      <c r="AU272">
        <f t="shared" si="98"/>
        <v>0.18660765289897449</v>
      </c>
      <c r="AV272">
        <f t="shared" si="90"/>
        <v>5772.4744828636522</v>
      </c>
      <c r="AY272">
        <f>AY261</f>
        <v>2E-3</v>
      </c>
      <c r="BB272">
        <f t="shared" si="99"/>
        <v>0.24</v>
      </c>
    </row>
    <row r="273" spans="7:70" x14ac:dyDescent="0.2">
      <c r="G273" t="s">
        <v>179</v>
      </c>
      <c r="H273" t="s">
        <v>160</v>
      </c>
      <c r="J273">
        <v>91.25</v>
      </c>
      <c r="K273">
        <v>392</v>
      </c>
      <c r="M273">
        <v>550</v>
      </c>
      <c r="O273">
        <v>0.66</v>
      </c>
      <c r="P273">
        <v>550</v>
      </c>
      <c r="Q273">
        <f t="shared" si="91"/>
        <v>1</v>
      </c>
      <c r="S273">
        <v>0.8</v>
      </c>
      <c r="T273">
        <v>0.05</v>
      </c>
      <c r="U273">
        <v>0</v>
      </c>
      <c r="V273">
        <v>0</v>
      </c>
      <c r="W273">
        <f>S273*B263+T273*B264</f>
        <v>5.0000000000000009</v>
      </c>
      <c r="X273">
        <f t="shared" si="84"/>
        <v>1.2449999999999999</v>
      </c>
      <c r="Y273">
        <f t="shared" si="85"/>
        <v>11.9907089922</v>
      </c>
      <c r="Z273">
        <f t="shared" si="92"/>
        <v>1.1487575349968291</v>
      </c>
      <c r="AC273">
        <v>0.2</v>
      </c>
      <c r="AE273">
        <v>0.8</v>
      </c>
      <c r="AF273">
        <f t="shared" si="86"/>
        <v>2.6475485454777599</v>
      </c>
      <c r="AG273">
        <f t="shared" si="87"/>
        <v>0.19</v>
      </c>
      <c r="AH273">
        <f t="shared" si="88"/>
        <v>0.6784</v>
      </c>
      <c r="AI273">
        <f>AI261</f>
        <v>0</v>
      </c>
      <c r="AK273">
        <f>AK261</f>
        <v>0.76</v>
      </c>
      <c r="AL273">
        <f>AL261</f>
        <v>100</v>
      </c>
      <c r="AM273">
        <f>AM261</f>
        <v>4.7000000000000002E-3</v>
      </c>
      <c r="AN273">
        <f t="shared" si="93"/>
        <v>0</v>
      </c>
      <c r="AO273">
        <f t="shared" si="94"/>
        <v>1.6039145613941362E-3</v>
      </c>
      <c r="AP273">
        <f t="shared" si="95"/>
        <v>1.6039145613941362E-3</v>
      </c>
      <c r="AQ273">
        <f t="shared" si="96"/>
        <v>57.372023861068243</v>
      </c>
      <c r="AS273">
        <f t="shared" si="97"/>
        <v>0</v>
      </c>
      <c r="AT273">
        <f t="shared" si="89"/>
        <v>3.2452663614119824E-2</v>
      </c>
      <c r="AU273">
        <f t="shared" si="98"/>
        <v>0.34925115351494224</v>
      </c>
      <c r="AV273">
        <f t="shared" si="90"/>
        <v>12492.713761229483</v>
      </c>
      <c r="AY273">
        <f>AY261</f>
        <v>2E-3</v>
      </c>
      <c r="BB273">
        <f t="shared" si="99"/>
        <v>0.24</v>
      </c>
      <c r="BQ273" t="s">
        <v>137</v>
      </c>
    </row>
    <row r="274" spans="7:70" x14ac:dyDescent="0.2">
      <c r="G274" t="s">
        <v>195</v>
      </c>
      <c r="H274" t="s">
        <v>162</v>
      </c>
      <c r="J274">
        <v>91.25</v>
      </c>
      <c r="K274">
        <v>490</v>
      </c>
      <c r="M274">
        <v>530</v>
      </c>
      <c r="O274">
        <v>-0.22</v>
      </c>
      <c r="P274">
        <v>550</v>
      </c>
      <c r="Q274">
        <f t="shared" si="91"/>
        <v>0.96363636363636362</v>
      </c>
      <c r="S274">
        <v>0.05</v>
      </c>
      <c r="T274">
        <v>0.75</v>
      </c>
      <c r="U274">
        <v>0</v>
      </c>
      <c r="V274">
        <v>0</v>
      </c>
      <c r="W274">
        <f>S274*B263+T274*B264</f>
        <v>3.3</v>
      </c>
      <c r="X274">
        <f t="shared" si="84"/>
        <v>1.0900000000000001</v>
      </c>
      <c r="Y274">
        <f t="shared" si="85"/>
        <v>8.4941598846239987</v>
      </c>
      <c r="Z274">
        <f t="shared" si="92"/>
        <v>0.9521398067460578</v>
      </c>
      <c r="AC274">
        <v>0.09</v>
      </c>
      <c r="AE274">
        <v>0.57999999999999996</v>
      </c>
      <c r="AF274">
        <f t="shared" si="86"/>
        <v>3.5947284631728769</v>
      </c>
      <c r="AG274">
        <f t="shared" si="87"/>
        <v>0.19</v>
      </c>
      <c r="AH274">
        <f t="shared" si="88"/>
        <v>0.6784</v>
      </c>
      <c r="AI274">
        <f>AI261</f>
        <v>0</v>
      </c>
      <c r="AK274">
        <f>AK261</f>
        <v>0.76</v>
      </c>
      <c r="AL274">
        <f>AL261</f>
        <v>100</v>
      </c>
      <c r="AM274">
        <f>AM261</f>
        <v>4.7000000000000002E-3</v>
      </c>
      <c r="AN274">
        <f t="shared" si="93"/>
        <v>0</v>
      </c>
      <c r="AO274">
        <f t="shared" si="94"/>
        <v>2.1777267639489163E-3</v>
      </c>
      <c r="AP274">
        <f t="shared" si="95"/>
        <v>2.1777267639489163E-3</v>
      </c>
      <c r="AQ274">
        <f t="shared" si="96"/>
        <v>97.371607933065917</v>
      </c>
      <c r="AS274">
        <f t="shared" si="97"/>
        <v>0</v>
      </c>
      <c r="AT274">
        <f t="shared" si="89"/>
        <v>1.4062135159868244E-2</v>
      </c>
      <c r="AU274">
        <f t="shared" si="98"/>
        <v>0.10630966283767884</v>
      </c>
      <c r="AV274">
        <f t="shared" si="90"/>
        <v>4753.3707996297153</v>
      </c>
      <c r="AY274">
        <f>AY261</f>
        <v>2E-3</v>
      </c>
      <c r="BB274">
        <f t="shared" si="99"/>
        <v>0.24</v>
      </c>
      <c r="BQ274" s="8" t="s">
        <v>180</v>
      </c>
      <c r="BR274" s="8">
        <v>5.8999999999999999E-3</v>
      </c>
    </row>
    <row r="275" spans="7:70" x14ac:dyDescent="0.2">
      <c r="H275" t="s">
        <v>163</v>
      </c>
      <c r="J275">
        <v>91.25</v>
      </c>
      <c r="K275">
        <v>480</v>
      </c>
      <c r="M275">
        <v>480</v>
      </c>
      <c r="O275">
        <v>-0.55000000000000004</v>
      </c>
      <c r="P275">
        <v>550</v>
      </c>
      <c r="Q275">
        <f t="shared" si="91"/>
        <v>0.87272727272727268</v>
      </c>
      <c r="S275">
        <v>0</v>
      </c>
      <c r="T275">
        <v>0.05</v>
      </c>
      <c r="U275">
        <v>0</v>
      </c>
      <c r="V275">
        <v>0</v>
      </c>
      <c r="W275">
        <f>S275*B263+T275*B264</f>
        <v>0.2</v>
      </c>
      <c r="X275">
        <f t="shared" si="84"/>
        <v>1.0049999999999999</v>
      </c>
      <c r="Y275">
        <f t="shared" si="85"/>
        <v>6.7515874353404985</v>
      </c>
      <c r="Z275">
        <f t="shared" si="92"/>
        <v>0.87861639465436658</v>
      </c>
      <c r="AC275">
        <v>0.06</v>
      </c>
      <c r="AE275">
        <v>0.5</v>
      </c>
      <c r="AF275">
        <f t="shared" si="86"/>
        <v>3.3541886378771597</v>
      </c>
      <c r="AG275">
        <f t="shared" si="87"/>
        <v>0.19</v>
      </c>
      <c r="AH275">
        <f t="shared" si="88"/>
        <v>0.6784</v>
      </c>
      <c r="AI275">
        <f>AI261</f>
        <v>0</v>
      </c>
      <c r="AK275">
        <f>AK261</f>
        <v>0.76</v>
      </c>
      <c r="AL275">
        <f>AL261</f>
        <v>100</v>
      </c>
      <c r="AM275">
        <f>AM261</f>
        <v>4.7000000000000002E-3</v>
      </c>
      <c r="AN275">
        <f t="shared" si="93"/>
        <v>0</v>
      </c>
      <c r="AO275">
        <f t="shared" si="94"/>
        <v>2.0320050437387278E-3</v>
      </c>
      <c r="AP275">
        <f t="shared" si="95"/>
        <v>2.0320050437387278E-3</v>
      </c>
      <c r="AQ275">
        <f t="shared" si="96"/>
        <v>89.001820915756284</v>
      </c>
      <c r="AS275">
        <f t="shared" si="97"/>
        <v>0</v>
      </c>
      <c r="AT275">
        <f t="shared" si="89"/>
        <v>-5.494033205409264E-3</v>
      </c>
      <c r="AU275">
        <f t="shared" si="98"/>
        <v>6.850441226966035E-2</v>
      </c>
      <c r="AV275">
        <f t="shared" si="90"/>
        <v>3000.4932574111235</v>
      </c>
      <c r="AY275">
        <f>AY261</f>
        <v>2E-3</v>
      </c>
      <c r="BB275">
        <f t="shared" si="99"/>
        <v>0.24</v>
      </c>
      <c r="BQ275" s="8" t="s">
        <v>158</v>
      </c>
      <c r="BR275" s="8">
        <v>7.0000000000000001E-3</v>
      </c>
    </row>
    <row r="276" spans="7:70" x14ac:dyDescent="0.2">
      <c r="H276" t="s">
        <v>164</v>
      </c>
      <c r="J276">
        <v>91.25</v>
      </c>
      <c r="K276">
        <v>398</v>
      </c>
      <c r="M276">
        <v>490</v>
      </c>
      <c r="O276">
        <v>0.11</v>
      </c>
      <c r="P276">
        <v>550</v>
      </c>
      <c r="Q276">
        <f t="shared" si="91"/>
        <v>0.89090909090909087</v>
      </c>
      <c r="S276">
        <v>0</v>
      </c>
      <c r="T276">
        <v>0</v>
      </c>
      <c r="U276">
        <v>0</v>
      </c>
      <c r="V276">
        <v>0</v>
      </c>
      <c r="W276">
        <f>S276*B263+T276*B264</f>
        <v>0</v>
      </c>
      <c r="X276">
        <f t="shared" si="84"/>
        <v>1</v>
      </c>
      <c r="Y276">
        <f t="shared" si="85"/>
        <v>7.952343600099999</v>
      </c>
      <c r="Z276">
        <f t="shared" si="92"/>
        <v>1.0250350228725489</v>
      </c>
      <c r="AC276">
        <v>0.2</v>
      </c>
      <c r="AE276">
        <v>0.75</v>
      </c>
      <c r="AF276">
        <f t="shared" si="86"/>
        <v>2.1216852725066797</v>
      </c>
      <c r="AG276">
        <f t="shared" si="87"/>
        <v>0.19</v>
      </c>
      <c r="AH276">
        <f t="shared" si="88"/>
        <v>0.6784</v>
      </c>
      <c r="AI276">
        <f>AI261</f>
        <v>0</v>
      </c>
      <c r="AK276">
        <f>AK261</f>
        <v>0.76</v>
      </c>
      <c r="AL276">
        <f>AL261</f>
        <v>100</v>
      </c>
      <c r="AM276">
        <f>AM261</f>
        <v>4.7000000000000002E-3</v>
      </c>
      <c r="AN276">
        <f t="shared" si="93"/>
        <v>0</v>
      </c>
      <c r="AO276">
        <f t="shared" si="94"/>
        <v>1.2853407009595988E-3</v>
      </c>
      <c r="AP276">
        <f t="shared" si="95"/>
        <v>1.2853407009595988E-3</v>
      </c>
      <c r="AQ276">
        <f t="shared" si="96"/>
        <v>46.68036090710023</v>
      </c>
      <c r="AS276">
        <f t="shared" si="97"/>
        <v>0</v>
      </c>
      <c r="AT276">
        <f t="shared" si="89"/>
        <v>1.285367260679178E-3</v>
      </c>
      <c r="AU276">
        <f t="shared" si="98"/>
        <v>0.25135663949490661</v>
      </c>
      <c r="AV276">
        <f t="shared" si="90"/>
        <v>9128.6447548562719</v>
      </c>
      <c r="AY276">
        <f>AY261</f>
        <v>2E-3</v>
      </c>
      <c r="BB276">
        <f t="shared" si="99"/>
        <v>0.24</v>
      </c>
      <c r="BQ276" s="8" t="s">
        <v>183</v>
      </c>
      <c r="BR276" s="8">
        <v>1.8E-3</v>
      </c>
    </row>
    <row r="277" spans="7:70" x14ac:dyDescent="0.2">
      <c r="G277" t="s">
        <v>176</v>
      </c>
      <c r="H277" t="s">
        <v>160</v>
      </c>
      <c r="J277">
        <v>91.25</v>
      </c>
      <c r="K277">
        <v>100</v>
      </c>
      <c r="M277">
        <v>260</v>
      </c>
      <c r="O277">
        <v>1.21</v>
      </c>
      <c r="P277">
        <v>550</v>
      </c>
      <c r="Q277">
        <f t="shared" si="91"/>
        <v>0.47272727272727272</v>
      </c>
      <c r="S277">
        <v>0</v>
      </c>
      <c r="T277">
        <v>0</v>
      </c>
      <c r="U277">
        <v>0</v>
      </c>
      <c r="V277">
        <v>0</v>
      </c>
      <c r="W277">
        <f>S277*B263+T277*B264</f>
        <v>0</v>
      </c>
      <c r="X277">
        <f t="shared" si="84"/>
        <v>1</v>
      </c>
      <c r="Y277">
        <f t="shared" si="85"/>
        <v>6.6089612241000006</v>
      </c>
      <c r="Z277">
        <f t="shared" si="92"/>
        <v>1.3784396841492426</v>
      </c>
      <c r="AC277">
        <v>0.2</v>
      </c>
      <c r="AE277">
        <v>0.8</v>
      </c>
      <c r="AF277">
        <f t="shared" si="86"/>
        <v>1.45925863828128</v>
      </c>
      <c r="AG277">
        <f t="shared" si="87"/>
        <v>0.19</v>
      </c>
      <c r="AH277">
        <f t="shared" si="88"/>
        <v>0.6784</v>
      </c>
      <c r="AI277">
        <f>AI261</f>
        <v>0</v>
      </c>
      <c r="AK277">
        <f>AK261</f>
        <v>0.76</v>
      </c>
      <c r="AL277">
        <f>AL261</f>
        <v>100</v>
      </c>
      <c r="AM277">
        <f>AM261</f>
        <v>4.7000000000000002E-3</v>
      </c>
      <c r="AN277">
        <f t="shared" si="93"/>
        <v>0</v>
      </c>
      <c r="AO277">
        <f t="shared" si="94"/>
        <v>8.8403522676754813E-4</v>
      </c>
      <c r="AP277">
        <f t="shared" si="95"/>
        <v>8.8403522676754813E-4</v>
      </c>
      <c r="AQ277">
        <f t="shared" si="96"/>
        <v>8.0668214442538773</v>
      </c>
      <c r="AS277">
        <f t="shared" si="97"/>
        <v>0</v>
      </c>
      <c r="AT277">
        <f t="shared" si="89"/>
        <v>2.2961722562736007E-2</v>
      </c>
      <c r="AU277">
        <f t="shared" si="98"/>
        <v>0.18738546222332772</v>
      </c>
      <c r="AV277">
        <f t="shared" si="90"/>
        <v>1709.8923427878653</v>
      </c>
      <c r="AY277">
        <f>AY261</f>
        <v>2E-3</v>
      </c>
      <c r="BB277">
        <f t="shared" si="99"/>
        <v>0.24</v>
      </c>
      <c r="BQ277" s="8" t="s">
        <v>184</v>
      </c>
      <c r="BR277" s="8">
        <v>2.8999999999999998E-3</v>
      </c>
    </row>
    <row r="278" spans="7:70" x14ac:dyDescent="0.2">
      <c r="G278">
        <v>3</v>
      </c>
      <c r="H278" t="s">
        <v>162</v>
      </c>
      <c r="J278">
        <v>91.25</v>
      </c>
      <c r="K278">
        <v>216</v>
      </c>
      <c r="M278">
        <v>300</v>
      </c>
      <c r="O278">
        <v>0.44</v>
      </c>
      <c r="P278">
        <v>550</v>
      </c>
      <c r="Q278">
        <f t="shared" si="91"/>
        <v>0.54545454545454541</v>
      </c>
      <c r="S278">
        <v>0</v>
      </c>
      <c r="T278">
        <v>0</v>
      </c>
      <c r="U278">
        <f>60/K277</f>
        <v>0.6</v>
      </c>
      <c r="V278">
        <v>0</v>
      </c>
      <c r="W278">
        <f>S278*B263+T278*B264</f>
        <v>0</v>
      </c>
      <c r="X278">
        <f t="shared" si="84"/>
        <v>1</v>
      </c>
      <c r="Y278">
        <f t="shared" si="85"/>
        <v>6.010342559999998</v>
      </c>
      <c r="Z278">
        <f t="shared" si="92"/>
        <v>1.1234350255113625</v>
      </c>
      <c r="AC278">
        <v>0.09</v>
      </c>
      <c r="AE278">
        <v>0.57999999999999996</v>
      </c>
      <c r="AF278">
        <f t="shared" si="86"/>
        <v>2.5435769713919996</v>
      </c>
      <c r="AG278">
        <f t="shared" si="87"/>
        <v>0.19</v>
      </c>
      <c r="AH278">
        <f t="shared" si="88"/>
        <v>0.6784</v>
      </c>
      <c r="AI278">
        <f>AI261</f>
        <v>0</v>
      </c>
      <c r="AK278">
        <f>AK261</f>
        <v>0.76</v>
      </c>
      <c r="AL278">
        <f>AL261</f>
        <v>100</v>
      </c>
      <c r="AM278">
        <f>AM261</f>
        <v>4.7000000000000002E-3</v>
      </c>
      <c r="AN278">
        <f t="shared" si="93"/>
        <v>0</v>
      </c>
      <c r="AO278">
        <f t="shared" si="94"/>
        <v>1.5409274173313529E-3</v>
      </c>
      <c r="AP278">
        <f t="shared" si="95"/>
        <v>1.5409274173313529E-3</v>
      </c>
      <c r="AQ278">
        <f t="shared" si="96"/>
        <v>30.371679395600967</v>
      </c>
      <c r="AS278">
        <f t="shared" si="97"/>
        <v>3.5999999999999996</v>
      </c>
      <c r="AT278">
        <f t="shared" si="89"/>
        <v>7.4692204769956005E-3</v>
      </c>
      <c r="AU278">
        <f t="shared" si="98"/>
        <v>9.586745429262962E-2</v>
      </c>
      <c r="AV278">
        <f t="shared" si="90"/>
        <v>1889.5475241077297</v>
      </c>
      <c r="AY278">
        <f>AY261</f>
        <v>2E-3</v>
      </c>
      <c r="BB278">
        <f t="shared" si="99"/>
        <v>0.24</v>
      </c>
      <c r="BQ278" s="8" t="s">
        <v>185</v>
      </c>
      <c r="BR278" s="8">
        <v>8.0000000000000002E-3</v>
      </c>
    </row>
    <row r="279" spans="7:70" x14ac:dyDescent="0.2">
      <c r="H279" t="s">
        <v>163</v>
      </c>
      <c r="J279">
        <v>91.25</v>
      </c>
      <c r="K279">
        <v>209</v>
      </c>
      <c r="M279">
        <v>80</v>
      </c>
      <c r="O279">
        <v>0.6</v>
      </c>
      <c r="P279">
        <v>550</v>
      </c>
      <c r="Q279">
        <f t="shared" si="91"/>
        <v>0.14545454545454545</v>
      </c>
      <c r="S279">
        <v>0</v>
      </c>
      <c r="T279">
        <v>0</v>
      </c>
      <c r="U279">
        <f>70/K278</f>
        <v>0.32407407407407407</v>
      </c>
      <c r="V279">
        <f>60/K278</f>
        <v>0.27777777777777779</v>
      </c>
      <c r="W279">
        <f>S279*B263+T279*B264</f>
        <v>0</v>
      </c>
      <c r="X279">
        <f t="shared" si="84"/>
        <v>1</v>
      </c>
      <c r="Y279">
        <f t="shared" si="85"/>
        <v>2.9603267136000002</v>
      </c>
      <c r="Z279">
        <f t="shared" si="92"/>
        <v>1.2620356226501883</v>
      </c>
      <c r="AC279">
        <v>0.06</v>
      </c>
      <c r="AE279">
        <v>0.5</v>
      </c>
      <c r="AF279">
        <f t="shared" si="86"/>
        <v>1.47069031131648</v>
      </c>
      <c r="AG279">
        <f t="shared" si="87"/>
        <v>0.19</v>
      </c>
      <c r="AH279">
        <f t="shared" si="88"/>
        <v>0.6784</v>
      </c>
      <c r="AI279">
        <f>AI261</f>
        <v>0</v>
      </c>
      <c r="AK279">
        <f>AK261</f>
        <v>0.76</v>
      </c>
      <c r="AL279">
        <f>AL261</f>
        <v>100</v>
      </c>
      <c r="AM279">
        <f>AM261</f>
        <v>4.7000000000000002E-3</v>
      </c>
      <c r="AN279">
        <f t="shared" si="93"/>
        <v>0</v>
      </c>
      <c r="AO279">
        <f t="shared" si="94"/>
        <v>8.9096066232701051E-4</v>
      </c>
      <c r="AP279">
        <f t="shared" si="95"/>
        <v>8.9096066232701051E-4</v>
      </c>
      <c r="AQ279">
        <f t="shared" si="96"/>
        <v>16.991733531403998</v>
      </c>
      <c r="AS279">
        <f t="shared" si="97"/>
        <v>3.0555555555555554</v>
      </c>
      <c r="AT279">
        <f t="shared" si="89"/>
        <v>1.6946444473002843E-2</v>
      </c>
      <c r="AU279">
        <f t="shared" si="98"/>
        <v>2.6327569300938047E-2</v>
      </c>
      <c r="AV279">
        <f t="shared" si="90"/>
        <v>502.09965603051472</v>
      </c>
      <c r="AY279">
        <f>AY261</f>
        <v>2E-3</v>
      </c>
      <c r="BB279">
        <f t="shared" si="99"/>
        <v>0.24</v>
      </c>
      <c r="BQ279" s="8" t="s">
        <v>245</v>
      </c>
      <c r="BR279" s="8">
        <v>1.9900000000000001E-2</v>
      </c>
    </row>
    <row r="280" spans="7:70" x14ac:dyDescent="0.2">
      <c r="H280" t="s">
        <v>164</v>
      </c>
      <c r="J280">
        <v>91.25</v>
      </c>
      <c r="K280">
        <v>202</v>
      </c>
      <c r="M280">
        <v>150</v>
      </c>
      <c r="O280">
        <v>0.77</v>
      </c>
      <c r="P280">
        <v>550</v>
      </c>
      <c r="Q280">
        <f t="shared" si="91"/>
        <v>0.27272727272727271</v>
      </c>
      <c r="S280">
        <v>0</v>
      </c>
      <c r="T280">
        <v>0</v>
      </c>
      <c r="U280">
        <v>0</v>
      </c>
      <c r="V280">
        <f>70/M280</f>
        <v>0.46666666666666667</v>
      </c>
      <c r="W280">
        <f>S280*B263+T280*B264</f>
        <v>0</v>
      </c>
      <c r="X280">
        <f t="shared" si="84"/>
        <v>1</v>
      </c>
      <c r="Y280">
        <f t="shared" si="85"/>
        <v>4.202705002500001</v>
      </c>
      <c r="Z280">
        <f t="shared" si="92"/>
        <v>1.2863889326974398</v>
      </c>
      <c r="AC280">
        <v>0.2</v>
      </c>
      <c r="AE280">
        <v>0.75</v>
      </c>
      <c r="AF280">
        <f t="shared" si="86"/>
        <v>1.1212816946670003</v>
      </c>
      <c r="AG280">
        <f t="shared" si="87"/>
        <v>0.19</v>
      </c>
      <c r="AH280">
        <f t="shared" si="88"/>
        <v>0.6784</v>
      </c>
      <c r="AI280">
        <f>AI261</f>
        <v>0</v>
      </c>
      <c r="AK280">
        <f>AK261</f>
        <v>0.76</v>
      </c>
      <c r="AL280">
        <f>AL261</f>
        <v>100</v>
      </c>
      <c r="AM280">
        <f>AM261</f>
        <v>4.7000000000000002E-3</v>
      </c>
      <c r="AN280">
        <f t="shared" si="93"/>
        <v>0</v>
      </c>
      <c r="AO280">
        <f t="shared" si="94"/>
        <v>6.7928500898424907E-4</v>
      </c>
      <c r="AP280">
        <f t="shared" si="95"/>
        <v>6.7928500898424907E-4</v>
      </c>
      <c r="AQ280">
        <f t="shared" si="96"/>
        <v>12.52092092810217</v>
      </c>
      <c r="AS280">
        <f t="shared" si="97"/>
        <v>1.8666666666666667</v>
      </c>
      <c r="AT280">
        <f t="shared" si="89"/>
        <v>1.942651050577586E-2</v>
      </c>
      <c r="AU280">
        <f>MAX((Y280*AC280/6.25)+(0.032*AS280/6.38)-AT280-((1.1*(10^-4)*(M280^0.75))/6.25), 0)</f>
        <v>0.12366827673234065</v>
      </c>
      <c r="AV280">
        <f t="shared" si="90"/>
        <v>2279.5155108688691</v>
      </c>
      <c r="AY280">
        <f>AY261</f>
        <v>2E-3</v>
      </c>
      <c r="BB280">
        <f t="shared" si="99"/>
        <v>0.24</v>
      </c>
      <c r="BQ280" s="8" t="s">
        <v>246</v>
      </c>
      <c r="BR280" s="8">
        <v>5.3E-3</v>
      </c>
    </row>
    <row r="281" spans="7:70" x14ac:dyDescent="0.2">
      <c r="G281" t="s">
        <v>182</v>
      </c>
      <c r="H281" t="s">
        <v>160</v>
      </c>
      <c r="J281">
        <v>91.25</v>
      </c>
      <c r="K281">
        <v>378</v>
      </c>
      <c r="M281">
        <v>550</v>
      </c>
      <c r="O281">
        <v>0.66</v>
      </c>
      <c r="P281">
        <v>550</v>
      </c>
      <c r="Q281">
        <f t="shared" si="91"/>
        <v>1</v>
      </c>
      <c r="S281">
        <v>0.7</v>
      </c>
      <c r="T281">
        <v>0.03</v>
      </c>
      <c r="U281">
        <v>0</v>
      </c>
      <c r="V281">
        <v>0</v>
      </c>
      <c r="W281">
        <f>S281*B263+T281*B264</f>
        <v>4.3199999999999994</v>
      </c>
      <c r="X281">
        <f t="shared" si="84"/>
        <v>1.2130000000000001</v>
      </c>
      <c r="Y281">
        <f t="shared" si="85"/>
        <v>11.682514062280003</v>
      </c>
      <c r="Z281">
        <f t="shared" si="92"/>
        <v>1.1487575349968293</v>
      </c>
      <c r="AC281">
        <v>0.2</v>
      </c>
      <c r="AE281">
        <v>0.8</v>
      </c>
      <c r="AF281">
        <f t="shared" si="86"/>
        <v>2.5794991049514242</v>
      </c>
      <c r="AG281">
        <f t="shared" si="87"/>
        <v>0.19</v>
      </c>
      <c r="AH281">
        <f t="shared" si="88"/>
        <v>0.6784</v>
      </c>
      <c r="AI281">
        <f>AI261</f>
        <v>0</v>
      </c>
      <c r="AK281">
        <f>AK261</f>
        <v>0.76</v>
      </c>
      <c r="AL281">
        <f>AL261</f>
        <v>100</v>
      </c>
      <c r="AM281">
        <f>AM261</f>
        <v>4.7000000000000002E-3</v>
      </c>
      <c r="AN281">
        <f t="shared" si="93"/>
        <v>0</v>
      </c>
      <c r="AO281">
        <f t="shared" si="94"/>
        <v>1.5626894481695485E-3</v>
      </c>
      <c r="AP281">
        <f t="shared" si="95"/>
        <v>1.5626894481695485E-3</v>
      </c>
      <c r="AQ281">
        <f t="shared" si="96"/>
        <v>53.901065790988156</v>
      </c>
      <c r="AS281">
        <f t="shared" si="97"/>
        <v>0</v>
      </c>
      <c r="AT281">
        <f t="shared" si="89"/>
        <v>2.9042005306909785E-2</v>
      </c>
      <c r="AU281">
        <f t="shared" si="98"/>
        <v>0.34279957406471229</v>
      </c>
      <c r="AV281">
        <f t="shared" si="90"/>
        <v>11824.014308427088</v>
      </c>
      <c r="AY281">
        <f>AY261</f>
        <v>2E-3</v>
      </c>
      <c r="BB281">
        <f t="shared" si="99"/>
        <v>0.24</v>
      </c>
      <c r="BQ281" s="8" t="s">
        <v>247</v>
      </c>
      <c r="BR281" s="8">
        <v>6.4000000000000003E-3</v>
      </c>
    </row>
    <row r="282" spans="7:70" x14ac:dyDescent="0.2">
      <c r="G282" t="s">
        <v>196</v>
      </c>
      <c r="H282" t="s">
        <v>162</v>
      </c>
      <c r="J282">
        <v>91.25</v>
      </c>
      <c r="K282">
        <v>485</v>
      </c>
      <c r="M282">
        <v>530</v>
      </c>
      <c r="O282">
        <v>-0.22</v>
      </c>
      <c r="P282">
        <v>550</v>
      </c>
      <c r="Q282">
        <f t="shared" si="91"/>
        <v>0.96363636363636362</v>
      </c>
      <c r="S282">
        <v>0.05</v>
      </c>
      <c r="T282">
        <v>0.72</v>
      </c>
      <c r="U282">
        <v>0</v>
      </c>
      <c r="V282">
        <v>0</v>
      </c>
      <c r="W282">
        <f>S282*B263+T282*B264</f>
        <v>3.1799999999999997</v>
      </c>
      <c r="X282">
        <f t="shared" si="84"/>
        <v>1.087</v>
      </c>
      <c r="Y282">
        <f t="shared" si="85"/>
        <v>8.4707814629231972</v>
      </c>
      <c r="Z282">
        <f t="shared" si="92"/>
        <v>0.95213980674605758</v>
      </c>
      <c r="AC282">
        <v>0.09</v>
      </c>
      <c r="AE282">
        <v>0.57999999999999996</v>
      </c>
      <c r="AF282">
        <f t="shared" si="86"/>
        <v>3.5848347151090976</v>
      </c>
      <c r="AG282">
        <f t="shared" si="87"/>
        <v>0.19</v>
      </c>
      <c r="AH282">
        <f t="shared" si="88"/>
        <v>0.6784</v>
      </c>
      <c r="AI282">
        <f>AI261</f>
        <v>0</v>
      </c>
      <c r="AK282">
        <f>AK261</f>
        <v>0.76</v>
      </c>
      <c r="AL282">
        <f>AL261</f>
        <v>100</v>
      </c>
      <c r="AM282">
        <f>AM261</f>
        <v>4.7000000000000002E-3</v>
      </c>
      <c r="AN282">
        <f t="shared" si="93"/>
        <v>0</v>
      </c>
      <c r="AO282">
        <f t="shared" si="94"/>
        <v>2.1717330205619006E-3</v>
      </c>
      <c r="AP282">
        <f t="shared" si="95"/>
        <v>2.1717330205619006E-3</v>
      </c>
      <c r="AQ282">
        <f t="shared" si="96"/>
        <v>96.112759491242613</v>
      </c>
      <c r="AS282">
        <f t="shared" si="97"/>
        <v>0</v>
      </c>
      <c r="AT282">
        <f t="shared" si="89"/>
        <v>1.3460254282125297E-2</v>
      </c>
      <c r="AU282">
        <f t="shared" si="98"/>
        <v>0.10657489444293025</v>
      </c>
      <c r="AV282">
        <f t="shared" si="90"/>
        <v>4716.6051721899321</v>
      </c>
      <c r="AY282">
        <f>AY261</f>
        <v>2E-3</v>
      </c>
      <c r="BB282">
        <f t="shared" si="99"/>
        <v>0.24</v>
      </c>
      <c r="BQ282" s="8" t="s">
        <v>248</v>
      </c>
      <c r="BR282" s="8">
        <v>2.5999999999999999E-3</v>
      </c>
    </row>
    <row r="283" spans="7:70" x14ac:dyDescent="0.2">
      <c r="H283" t="s">
        <v>163</v>
      </c>
      <c r="J283">
        <v>91.25</v>
      </c>
      <c r="K283">
        <v>478</v>
      </c>
      <c r="M283">
        <v>480</v>
      </c>
      <c r="O283">
        <v>-0.55000000000000004</v>
      </c>
      <c r="P283">
        <v>550</v>
      </c>
      <c r="Q283">
        <f t="shared" si="91"/>
        <v>0.87272727272727268</v>
      </c>
      <c r="S283">
        <v>0</v>
      </c>
      <c r="T283">
        <v>0.02</v>
      </c>
      <c r="U283">
        <v>0</v>
      </c>
      <c r="V283">
        <v>0</v>
      </c>
      <c r="W283">
        <f>S283*B263+T283*B264</f>
        <v>0.08</v>
      </c>
      <c r="X283">
        <f t="shared" si="84"/>
        <v>1.002</v>
      </c>
      <c r="Y283">
        <f t="shared" si="85"/>
        <v>6.7314334429961997</v>
      </c>
      <c r="Z283">
        <f t="shared" si="92"/>
        <v>0.87861639465436669</v>
      </c>
      <c r="AC283">
        <v>0.06</v>
      </c>
      <c r="AE283">
        <v>0.5</v>
      </c>
      <c r="AF283">
        <f t="shared" si="86"/>
        <v>3.3441761344805125</v>
      </c>
      <c r="AG283">
        <f t="shared" si="87"/>
        <v>0.19</v>
      </c>
      <c r="AH283">
        <f t="shared" si="88"/>
        <v>0.6784</v>
      </c>
      <c r="AI283">
        <f>AI261</f>
        <v>0</v>
      </c>
      <c r="AK283">
        <f>AK261</f>
        <v>0.76</v>
      </c>
      <c r="AL283">
        <f>AL261</f>
        <v>100</v>
      </c>
      <c r="AM283">
        <f>AM261</f>
        <v>4.7000000000000002E-3</v>
      </c>
      <c r="AN283">
        <f t="shared" si="93"/>
        <v>0</v>
      </c>
      <c r="AO283">
        <f t="shared" si="94"/>
        <v>2.025939357041001E-3</v>
      </c>
      <c r="AP283">
        <f t="shared" si="95"/>
        <v>2.025939357041001E-3</v>
      </c>
      <c r="AQ283">
        <f t="shared" si="96"/>
        <v>88.366409905735864</v>
      </c>
      <c r="AS283">
        <f t="shared" si="97"/>
        <v>0</v>
      </c>
      <c r="AT283">
        <f t="shared" si="89"/>
        <v>-6.0959140831522108E-3</v>
      </c>
      <c r="AU283">
        <f t="shared" si="98"/>
        <v>6.8912814820898033E-2</v>
      </c>
      <c r="AV283">
        <f t="shared" si="90"/>
        <v>3005.8047004505202</v>
      </c>
      <c r="AY283">
        <f>AY261</f>
        <v>2E-3</v>
      </c>
      <c r="BB283">
        <f t="shared" si="99"/>
        <v>0.24</v>
      </c>
      <c r="BQ283" s="8" t="s">
        <v>249</v>
      </c>
      <c r="BR283" s="8">
        <v>3.0000000000000001E-3</v>
      </c>
    </row>
    <row r="284" spans="7:70" x14ac:dyDescent="0.2">
      <c r="H284" t="s">
        <v>164</v>
      </c>
      <c r="J284">
        <v>91.25</v>
      </c>
      <c r="K284">
        <v>291</v>
      </c>
      <c r="M284">
        <v>490</v>
      </c>
      <c r="O284">
        <v>0.11</v>
      </c>
      <c r="P284">
        <v>550</v>
      </c>
      <c r="Q284">
        <f t="shared" si="91"/>
        <v>0.89090909090909087</v>
      </c>
      <c r="S284">
        <v>0.02</v>
      </c>
      <c r="T284">
        <v>0</v>
      </c>
      <c r="U284">
        <v>0</v>
      </c>
      <c r="V284">
        <v>0</v>
      </c>
      <c r="W284">
        <f>S284*B263+T284*B264</f>
        <v>0.12</v>
      </c>
      <c r="X284">
        <f t="shared" si="84"/>
        <v>1.006</v>
      </c>
      <c r="Y284">
        <f t="shared" si="85"/>
        <v>8.0000576617005983</v>
      </c>
      <c r="Z284">
        <f t="shared" si="92"/>
        <v>1.0250350228725489</v>
      </c>
      <c r="AC284">
        <v>0.2</v>
      </c>
      <c r="AE284">
        <v>0.75</v>
      </c>
      <c r="AF284">
        <f t="shared" si="86"/>
        <v>2.1344153841417199</v>
      </c>
      <c r="AG284">
        <f t="shared" si="87"/>
        <v>0.19</v>
      </c>
      <c r="AH284">
        <f t="shared" si="88"/>
        <v>0.6784</v>
      </c>
      <c r="AI284">
        <f>AI261</f>
        <v>0</v>
      </c>
      <c r="AK284">
        <f>AK261</f>
        <v>0.76</v>
      </c>
      <c r="AL284">
        <f>AL261</f>
        <v>100</v>
      </c>
      <c r="AM284">
        <f>AM261</f>
        <v>4.7000000000000002E-3</v>
      </c>
      <c r="AN284">
        <f t="shared" si="93"/>
        <v>0</v>
      </c>
      <c r="AO284">
        <f t="shared" si="94"/>
        <v>1.2930527451653563E-3</v>
      </c>
      <c r="AP284">
        <f t="shared" si="95"/>
        <v>1.2930527451653563E-3</v>
      </c>
      <c r="AQ284">
        <f t="shared" si="96"/>
        <v>34.335399331934582</v>
      </c>
      <c r="AS284">
        <f t="shared" si="97"/>
        <v>0</v>
      </c>
      <c r="AT284">
        <f t="shared" si="89"/>
        <v>1.8872481384221247E-3</v>
      </c>
      <c r="AU284">
        <f t="shared" si="98"/>
        <v>0.25228160858838283</v>
      </c>
      <c r="AV284">
        <f t="shared" si="90"/>
        <v>6699.0227640537714</v>
      </c>
      <c r="AY284">
        <f>AY261</f>
        <v>2E-3</v>
      </c>
      <c r="BB284">
        <f t="shared" si="99"/>
        <v>0.24</v>
      </c>
      <c r="BQ284" s="8" t="s">
        <v>250</v>
      </c>
      <c r="BR284" s="8">
        <v>5.0000000000000001E-3</v>
      </c>
    </row>
    <row r="285" spans="7:70" x14ac:dyDescent="0.2">
      <c r="G285" t="s">
        <v>187</v>
      </c>
      <c r="H285" t="s">
        <v>160</v>
      </c>
      <c r="J285">
        <v>91.25</v>
      </c>
      <c r="K285">
        <v>77</v>
      </c>
      <c r="M285">
        <v>480</v>
      </c>
      <c r="O285">
        <v>1.1000000000000001</v>
      </c>
      <c r="P285">
        <v>660</v>
      </c>
      <c r="Q285">
        <f t="shared" si="91"/>
        <v>0.72727272727272729</v>
      </c>
      <c r="S285">
        <v>0</v>
      </c>
      <c r="T285">
        <v>0</v>
      </c>
      <c r="U285">
        <v>0</v>
      </c>
      <c r="V285">
        <v>0</v>
      </c>
      <c r="W285">
        <f>S285*B263+T285*B264</f>
        <v>0</v>
      </c>
      <c r="X285">
        <f t="shared" si="84"/>
        <v>1</v>
      </c>
      <c r="Y285">
        <f t="shared" si="85"/>
        <v>9.6824279555999979</v>
      </c>
      <c r="Z285">
        <f>Y285 / ((1.185 + 0.00454 * M285 - 0.0000026 * M285 ^ 2) ^ 2 * X285)</f>
        <v>1.2663208058014268</v>
      </c>
      <c r="AC285">
        <v>0.2</v>
      </c>
      <c r="AE285">
        <v>0.8</v>
      </c>
      <c r="AF285">
        <f t="shared" si="86"/>
        <v>2.1378800925964794</v>
      </c>
      <c r="AG285">
        <f t="shared" si="87"/>
        <v>0.19</v>
      </c>
      <c r="AH285">
        <f t="shared" si="88"/>
        <v>0.6784</v>
      </c>
      <c r="AI285">
        <f>AI261</f>
        <v>0</v>
      </c>
      <c r="AK285">
        <f>AK261</f>
        <v>0.76</v>
      </c>
      <c r="AL285">
        <f>AL261</f>
        <v>100</v>
      </c>
      <c r="AM285">
        <f>AM261</f>
        <v>4.7000000000000002E-3</v>
      </c>
      <c r="AN285">
        <f t="shared" si="93"/>
        <v>0</v>
      </c>
      <c r="AO285">
        <f t="shared" si="94"/>
        <v>1.2951517043519845E-3</v>
      </c>
      <c r="AP285">
        <f t="shared" si="95"/>
        <v>1.2951517043519845E-3</v>
      </c>
      <c r="AQ285">
        <f t="shared" si="96"/>
        <v>9.1000596627031314</v>
      </c>
      <c r="AS285">
        <f t="shared" si="97"/>
        <v>0</v>
      </c>
      <c r="AT285">
        <f t="shared" si="89"/>
        <v>1.4565147934229332E-2</v>
      </c>
      <c r="AU285">
        <f t="shared" si="98"/>
        <v>0.29346768632995296</v>
      </c>
      <c r="AV285">
        <f t="shared" si="90"/>
        <v>2061.9773310758319</v>
      </c>
      <c r="AY285">
        <f>AY261</f>
        <v>2E-3</v>
      </c>
      <c r="BB285">
        <f t="shared" si="99"/>
        <v>0.24</v>
      </c>
      <c r="BQ285" s="8" t="s">
        <v>251</v>
      </c>
      <c r="BR285" s="8">
        <v>2.5999999999999999E-3</v>
      </c>
    </row>
    <row r="286" spans="7:70" x14ac:dyDescent="0.2">
      <c r="G286" t="s">
        <v>197</v>
      </c>
      <c r="H286" t="s">
        <v>162</v>
      </c>
      <c r="J286">
        <v>91.25</v>
      </c>
      <c r="K286">
        <v>169</v>
      </c>
      <c r="M286">
        <v>470</v>
      </c>
      <c r="O286">
        <v>-0.11</v>
      </c>
      <c r="P286">
        <v>660</v>
      </c>
      <c r="Q286">
        <f t="shared" si="91"/>
        <v>0.71212121212121215</v>
      </c>
      <c r="S286">
        <v>0</v>
      </c>
      <c r="T286">
        <v>0</v>
      </c>
      <c r="U286">
        <v>0</v>
      </c>
      <c r="V286">
        <v>0</v>
      </c>
      <c r="W286">
        <f>S286*B263+T286*B264</f>
        <v>0</v>
      </c>
      <c r="X286">
        <f t="shared" si="84"/>
        <v>1</v>
      </c>
      <c r="Y286">
        <f t="shared" si="85"/>
        <v>7.3430702361</v>
      </c>
      <c r="Z286">
        <f t="shared" si="92"/>
        <v>0.97490853257319487</v>
      </c>
      <c r="AC286">
        <v>0.09</v>
      </c>
      <c r="AE286">
        <v>0.57999999999999996</v>
      </c>
      <c r="AF286">
        <f t="shared" si="86"/>
        <v>3.1075873239175205</v>
      </c>
      <c r="AG286">
        <f t="shared" si="87"/>
        <v>0.19</v>
      </c>
      <c r="AH286">
        <f t="shared" si="88"/>
        <v>0.6784</v>
      </c>
      <c r="AI286">
        <f>AI261</f>
        <v>0</v>
      </c>
      <c r="AK286">
        <f>AK261</f>
        <v>0.76</v>
      </c>
      <c r="AL286">
        <f>AL261</f>
        <v>100</v>
      </c>
      <c r="AM286">
        <f>AM261</f>
        <v>4.7000000000000002E-3</v>
      </c>
      <c r="AN286">
        <f t="shared" si="93"/>
        <v>0</v>
      </c>
      <c r="AO286">
        <f t="shared" si="94"/>
        <v>1.8826112058072618E-3</v>
      </c>
      <c r="AP286">
        <f t="shared" si="95"/>
        <v>1.8826112058072618E-3</v>
      </c>
      <c r="AQ286">
        <f t="shared" si="96"/>
        <v>29.032218057555237</v>
      </c>
      <c r="AS286">
        <f t="shared" si="97"/>
        <v>0</v>
      </c>
      <c r="AT286">
        <f t="shared" si="89"/>
        <v>-1.4855230625479237E-3</v>
      </c>
      <c r="AU286">
        <f t="shared" si="98"/>
        <v>0.1054491491748196</v>
      </c>
      <c r="AV286">
        <f t="shared" si="90"/>
        <v>1626.1576917121865</v>
      </c>
      <c r="AY286">
        <f>AY261</f>
        <v>2E-3</v>
      </c>
      <c r="BB286">
        <f t="shared" si="99"/>
        <v>0.24</v>
      </c>
      <c r="BQ286" s="8" t="s">
        <v>252</v>
      </c>
      <c r="BR286" s="8">
        <v>1.8E-3</v>
      </c>
    </row>
    <row r="287" spans="7:70" x14ac:dyDescent="0.2">
      <c r="H287" t="s">
        <v>163</v>
      </c>
      <c r="J287">
        <v>91.25</v>
      </c>
      <c r="K287">
        <v>162</v>
      </c>
      <c r="M287">
        <v>340</v>
      </c>
      <c r="O287">
        <v>0</v>
      </c>
      <c r="P287">
        <v>660</v>
      </c>
      <c r="Q287">
        <f t="shared" si="91"/>
        <v>0.51515151515151514</v>
      </c>
      <c r="S287">
        <v>0</v>
      </c>
      <c r="T287">
        <v>0</v>
      </c>
      <c r="U287">
        <v>0</v>
      </c>
      <c r="V287">
        <v>0</v>
      </c>
      <c r="W287">
        <f>S287*B263+T287*B264</f>
        <v>0</v>
      </c>
      <c r="X287">
        <f t="shared" si="84"/>
        <v>1</v>
      </c>
      <c r="Y287">
        <f t="shared" si="85"/>
        <v>5.8953782416000013</v>
      </c>
      <c r="Z287">
        <f t="shared" si="92"/>
        <v>1</v>
      </c>
      <c r="AC287">
        <v>0.06</v>
      </c>
      <c r="AE287">
        <v>0.5</v>
      </c>
      <c r="AF287">
        <f t="shared" si="86"/>
        <v>2.9288239104268809</v>
      </c>
      <c r="AG287">
        <f t="shared" si="87"/>
        <v>0.19</v>
      </c>
      <c r="AH287">
        <f t="shared" si="88"/>
        <v>0.6784</v>
      </c>
      <c r="AI287">
        <f>AI261</f>
        <v>0</v>
      </c>
      <c r="AK287">
        <f>AK261</f>
        <v>0.76</v>
      </c>
      <c r="AL287">
        <f>AL261</f>
        <v>100</v>
      </c>
      <c r="AM287">
        <f>AM261</f>
        <v>4.7000000000000002E-3</v>
      </c>
      <c r="AN287">
        <f t="shared" si="93"/>
        <v>0</v>
      </c>
      <c r="AO287">
        <f t="shared" si="94"/>
        <v>1.7743143277644013E-3</v>
      </c>
      <c r="AP287">
        <f t="shared" si="95"/>
        <v>1.7743143277644013E-3</v>
      </c>
      <c r="AQ287">
        <f t="shared" si="96"/>
        <v>26.228801550177259</v>
      </c>
      <c r="AS287">
        <f t="shared" si="97"/>
        <v>0</v>
      </c>
      <c r="AT287">
        <f t="shared" si="89"/>
        <v>0</v>
      </c>
      <c r="AU287">
        <f t="shared" si="98"/>
        <v>5.520208336562428E-2</v>
      </c>
      <c r="AV287">
        <f t="shared" si="90"/>
        <v>816.0247973523409</v>
      </c>
      <c r="AY287">
        <f>AY261</f>
        <v>2E-3</v>
      </c>
      <c r="BB287">
        <f t="shared" si="99"/>
        <v>0.24</v>
      </c>
    </row>
    <row r="288" spans="7:70" x14ac:dyDescent="0.2">
      <c r="H288" t="s">
        <v>164</v>
      </c>
      <c r="J288">
        <v>91.25</v>
      </c>
      <c r="K288">
        <v>143</v>
      </c>
      <c r="M288">
        <v>360</v>
      </c>
      <c r="O288">
        <v>0.44</v>
      </c>
      <c r="P288">
        <v>660</v>
      </c>
      <c r="Q288">
        <f t="shared" si="91"/>
        <v>0.54545454545454541</v>
      </c>
      <c r="S288">
        <v>0</v>
      </c>
      <c r="T288">
        <v>0</v>
      </c>
      <c r="U288">
        <v>0</v>
      </c>
      <c r="V288">
        <v>0</v>
      </c>
      <c r="W288">
        <f>S288*B263+T288*B264</f>
        <v>0</v>
      </c>
      <c r="X288">
        <f t="shared" si="84"/>
        <v>1</v>
      </c>
      <c r="Y288">
        <f t="shared" si="85"/>
        <v>6.8698506815999991</v>
      </c>
      <c r="Z288">
        <f t="shared" si="92"/>
        <v>1.1147815609185805</v>
      </c>
      <c r="AC288">
        <v>0.2</v>
      </c>
      <c r="AE288">
        <v>0.75</v>
      </c>
      <c r="AF288">
        <f t="shared" si="86"/>
        <v>1.8328761618508798</v>
      </c>
      <c r="AG288">
        <f t="shared" si="87"/>
        <v>0.19</v>
      </c>
      <c r="AH288">
        <f t="shared" si="88"/>
        <v>0.6784</v>
      </c>
      <c r="AI288">
        <f>AI261</f>
        <v>0</v>
      </c>
      <c r="AK288">
        <f>AK261</f>
        <v>0.76</v>
      </c>
      <c r="AL288">
        <f>AL261</f>
        <v>100</v>
      </c>
      <c r="AM288">
        <f>AM261</f>
        <v>4.7000000000000002E-3</v>
      </c>
      <c r="AN288">
        <f t="shared" si="93"/>
        <v>0</v>
      </c>
      <c r="AO288">
        <f t="shared" si="94"/>
        <v>1.1103769070622757E-3</v>
      </c>
      <c r="AP288">
        <f t="shared" si="95"/>
        <v>1.1103769070622757E-3</v>
      </c>
      <c r="AQ288">
        <f t="shared" si="96"/>
        <v>14.489030666028869</v>
      </c>
      <c r="AS288">
        <f t="shared" si="97"/>
        <v>0</v>
      </c>
      <c r="AT288">
        <f t="shared" si="89"/>
        <v>7.4705417776927338E-3</v>
      </c>
      <c r="AU288">
        <f t="shared" si="98"/>
        <v>0.21091009356426255</v>
      </c>
      <c r="AV288">
        <f t="shared" si="90"/>
        <v>2752.1130833966708</v>
      </c>
      <c r="AY288">
        <f>AY261</f>
        <v>2E-3</v>
      </c>
      <c r="BB288">
        <f t="shared" si="99"/>
        <v>0.24</v>
      </c>
    </row>
    <row r="289" spans="7:54" x14ac:dyDescent="0.2">
      <c r="G289" t="s">
        <v>188</v>
      </c>
      <c r="H289" t="s">
        <v>160</v>
      </c>
      <c r="J289">
        <v>91.25</v>
      </c>
      <c r="K289">
        <v>94</v>
      </c>
      <c r="M289">
        <v>480</v>
      </c>
      <c r="O289">
        <v>1.1000000000000001</v>
      </c>
      <c r="P289">
        <v>660</v>
      </c>
      <c r="Q289">
        <f t="shared" si="91"/>
        <v>0.72727272727272729</v>
      </c>
      <c r="S289">
        <v>0</v>
      </c>
      <c r="T289">
        <v>0</v>
      </c>
      <c r="U289">
        <v>0</v>
      </c>
      <c r="V289">
        <v>0</v>
      </c>
      <c r="W289">
        <f>S289*B263+T289*B264</f>
        <v>0</v>
      </c>
      <c r="X289">
        <f t="shared" si="84"/>
        <v>1</v>
      </c>
      <c r="Y289">
        <f t="shared" si="85"/>
        <v>9.6824279555999979</v>
      </c>
      <c r="Z289">
        <f t="shared" si="92"/>
        <v>1.2663208058014268</v>
      </c>
      <c r="AC289">
        <v>0.2</v>
      </c>
      <c r="AE289">
        <v>0.8</v>
      </c>
      <c r="AF289">
        <f t="shared" si="86"/>
        <v>2.1378800925964794</v>
      </c>
      <c r="AG289">
        <f t="shared" si="87"/>
        <v>0.19</v>
      </c>
      <c r="AH289">
        <f t="shared" si="88"/>
        <v>0.6784</v>
      </c>
      <c r="AI289">
        <f>AI261</f>
        <v>0</v>
      </c>
      <c r="AK289">
        <f>AK261</f>
        <v>0.76</v>
      </c>
      <c r="AL289">
        <f>AL261</f>
        <v>100</v>
      </c>
      <c r="AM289">
        <f>AM261</f>
        <v>4.7000000000000002E-3</v>
      </c>
      <c r="AN289">
        <f t="shared" si="93"/>
        <v>0</v>
      </c>
      <c r="AO289">
        <f t="shared" si="94"/>
        <v>1.2951517043519845E-3</v>
      </c>
      <c r="AP289">
        <f t="shared" si="95"/>
        <v>1.2951517043519845E-3</v>
      </c>
      <c r="AQ289">
        <f t="shared" si="96"/>
        <v>11.109163744079147</v>
      </c>
      <c r="AS289">
        <f t="shared" si="97"/>
        <v>0</v>
      </c>
      <c r="AT289">
        <f t="shared" si="89"/>
        <v>1.4565147934229332E-2</v>
      </c>
      <c r="AU289">
        <f t="shared" si="98"/>
        <v>0.29346768632995296</v>
      </c>
      <c r="AV289">
        <f t="shared" si="90"/>
        <v>2517.2190794951716</v>
      </c>
      <c r="AY289">
        <f>AY261</f>
        <v>2E-3</v>
      </c>
      <c r="BB289">
        <f t="shared" si="99"/>
        <v>0.24</v>
      </c>
    </row>
    <row r="290" spans="7:54" x14ac:dyDescent="0.2">
      <c r="G290" t="s">
        <v>198</v>
      </c>
      <c r="H290" t="s">
        <v>162</v>
      </c>
      <c r="J290">
        <v>91.25</v>
      </c>
      <c r="K290">
        <v>162</v>
      </c>
      <c r="M290">
        <v>470</v>
      </c>
      <c r="O290">
        <v>-0.11</v>
      </c>
      <c r="P290">
        <v>660</v>
      </c>
      <c r="Q290">
        <f t="shared" si="91"/>
        <v>0.71212121212121215</v>
      </c>
      <c r="S290">
        <v>0</v>
      </c>
      <c r="T290">
        <v>0</v>
      </c>
      <c r="U290">
        <v>0</v>
      </c>
      <c r="V290">
        <v>0</v>
      </c>
      <c r="W290">
        <f>S290*B263+T290*B264</f>
        <v>0</v>
      </c>
      <c r="X290">
        <f t="shared" si="84"/>
        <v>1</v>
      </c>
      <c r="Y290">
        <f t="shared" si="85"/>
        <v>7.3430702361</v>
      </c>
      <c r="Z290">
        <f t="shared" si="92"/>
        <v>0.97490853257319487</v>
      </c>
      <c r="AC290">
        <v>0.09</v>
      </c>
      <c r="AE290">
        <v>0.57999999999999996</v>
      </c>
      <c r="AF290">
        <f t="shared" si="86"/>
        <v>3.1075873239175205</v>
      </c>
      <c r="AG290">
        <f t="shared" si="87"/>
        <v>0.19</v>
      </c>
      <c r="AH290">
        <f t="shared" si="88"/>
        <v>0.6784</v>
      </c>
      <c r="AI290">
        <f>AI261</f>
        <v>0</v>
      </c>
      <c r="AK290">
        <f>AK261</f>
        <v>0.76</v>
      </c>
      <c r="AL290">
        <f>AL261</f>
        <v>100</v>
      </c>
      <c r="AM290">
        <f>AM261</f>
        <v>4.7000000000000002E-3</v>
      </c>
      <c r="AN290">
        <f t="shared" si="93"/>
        <v>0</v>
      </c>
      <c r="AO290">
        <f t="shared" si="94"/>
        <v>1.8826112058072618E-3</v>
      </c>
      <c r="AP290">
        <f t="shared" si="95"/>
        <v>1.8826112058072618E-3</v>
      </c>
      <c r="AQ290">
        <f t="shared" si="96"/>
        <v>27.829700149845849</v>
      </c>
      <c r="AS290">
        <f t="shared" si="97"/>
        <v>0</v>
      </c>
      <c r="AT290">
        <f t="shared" si="89"/>
        <v>-1.4855230625479237E-3</v>
      </c>
      <c r="AU290">
        <f>MAX((Y290*AC290/6.25)+(0.032*AS290/6.38)-AT290-((1.1*(10^-4)*(M290^0.75))/6.25), 0)</f>
        <v>0.1054491491748196</v>
      </c>
      <c r="AV290">
        <f t="shared" si="90"/>
        <v>1558.8020476767706</v>
      </c>
      <c r="AY290">
        <f>AY261</f>
        <v>2E-3</v>
      </c>
      <c r="BB290">
        <f t="shared" si="99"/>
        <v>0.24</v>
      </c>
    </row>
    <row r="291" spans="7:54" x14ac:dyDescent="0.2">
      <c r="H291" t="s">
        <v>163</v>
      </c>
      <c r="J291">
        <v>91.25</v>
      </c>
      <c r="K291">
        <v>146</v>
      </c>
      <c r="M291">
        <v>340</v>
      </c>
      <c r="O291">
        <v>0</v>
      </c>
      <c r="P291">
        <v>660</v>
      </c>
      <c r="Q291">
        <f t="shared" si="91"/>
        <v>0.51515151515151514</v>
      </c>
      <c r="S291">
        <v>0</v>
      </c>
      <c r="T291">
        <v>0</v>
      </c>
      <c r="U291">
        <v>0</v>
      </c>
      <c r="V291">
        <v>0</v>
      </c>
      <c r="W291">
        <f>S291*B263+T291*B264</f>
        <v>0</v>
      </c>
      <c r="X291">
        <f t="shared" si="84"/>
        <v>1</v>
      </c>
      <c r="Y291">
        <f t="shared" si="85"/>
        <v>5.8953782416000013</v>
      </c>
      <c r="Z291">
        <f t="shared" si="92"/>
        <v>1</v>
      </c>
      <c r="AC291">
        <v>0.06</v>
      </c>
      <c r="AE291">
        <v>0.5</v>
      </c>
      <c r="AF291">
        <f t="shared" si="86"/>
        <v>2.9288239104268809</v>
      </c>
      <c r="AG291">
        <f t="shared" si="87"/>
        <v>0.19</v>
      </c>
      <c r="AH291">
        <f t="shared" si="88"/>
        <v>0.6784</v>
      </c>
      <c r="AI291">
        <f>AI261</f>
        <v>0</v>
      </c>
      <c r="AK291">
        <f>AK261</f>
        <v>0.76</v>
      </c>
      <c r="AL291">
        <f>AL261</f>
        <v>100</v>
      </c>
      <c r="AM291">
        <f>AM261</f>
        <v>4.7000000000000002E-3</v>
      </c>
      <c r="AN291">
        <f t="shared" si="93"/>
        <v>0</v>
      </c>
      <c r="AO291">
        <f t="shared" si="94"/>
        <v>1.7743143277644013E-3</v>
      </c>
      <c r="AP291">
        <f t="shared" si="95"/>
        <v>1.7743143277644013E-3</v>
      </c>
      <c r="AQ291">
        <f t="shared" si="96"/>
        <v>23.638302631641238</v>
      </c>
      <c r="AS291">
        <f>U291*$B$263+V291*$B$264</f>
        <v>0</v>
      </c>
      <c r="AT291">
        <f t="shared" si="89"/>
        <v>0</v>
      </c>
      <c r="AU291">
        <f t="shared" si="98"/>
        <v>5.520208336562428E-2</v>
      </c>
      <c r="AV291">
        <f t="shared" si="90"/>
        <v>735.4297556385294</v>
      </c>
      <c r="AY291">
        <f>AY261</f>
        <v>2E-3</v>
      </c>
      <c r="BB291">
        <f t="shared" si="99"/>
        <v>0.24</v>
      </c>
    </row>
    <row r="292" spans="7:54" x14ac:dyDescent="0.2">
      <c r="H292" t="s">
        <v>164</v>
      </c>
      <c r="J292">
        <v>91.25</v>
      </c>
      <c r="K292">
        <v>76</v>
      </c>
      <c r="M292">
        <v>360</v>
      </c>
      <c r="O292">
        <v>0.44</v>
      </c>
      <c r="P292">
        <v>660</v>
      </c>
      <c r="Q292">
        <f t="shared" si="91"/>
        <v>0.54545454545454541</v>
      </c>
      <c r="S292">
        <v>0</v>
      </c>
      <c r="T292">
        <v>0</v>
      </c>
      <c r="U292">
        <v>0</v>
      </c>
      <c r="V292">
        <v>0</v>
      </c>
      <c r="W292">
        <f>S292*B263+T292*B264</f>
        <v>0</v>
      </c>
      <c r="X292">
        <f t="shared" si="84"/>
        <v>1</v>
      </c>
      <c r="Y292">
        <f t="shared" si="85"/>
        <v>6.8698506815999991</v>
      </c>
      <c r="Z292">
        <f t="shared" si="92"/>
        <v>1.1147815609185805</v>
      </c>
      <c r="AC292">
        <v>0.2</v>
      </c>
      <c r="AE292">
        <v>0.75</v>
      </c>
      <c r="AF292">
        <f t="shared" si="86"/>
        <v>1.8328761618508798</v>
      </c>
      <c r="AG292">
        <f t="shared" si="87"/>
        <v>0.19</v>
      </c>
      <c r="AH292">
        <f t="shared" si="88"/>
        <v>0.6784</v>
      </c>
      <c r="AI292">
        <f>AI261</f>
        <v>0</v>
      </c>
      <c r="AK292">
        <f>AK261</f>
        <v>0.76</v>
      </c>
      <c r="AL292">
        <f>AL261</f>
        <v>100</v>
      </c>
      <c r="AM292">
        <f>AM261</f>
        <v>4.7000000000000002E-3</v>
      </c>
      <c r="AN292">
        <f t="shared" si="93"/>
        <v>0</v>
      </c>
      <c r="AO292">
        <f t="shared" si="94"/>
        <v>1.1103769070622757E-3</v>
      </c>
      <c r="AP292">
        <f t="shared" si="95"/>
        <v>1.1103769070622757E-3</v>
      </c>
      <c r="AQ292">
        <f t="shared" si="96"/>
        <v>7.7004638504768819</v>
      </c>
      <c r="AS292">
        <f t="shared" si="97"/>
        <v>0</v>
      </c>
      <c r="AT292">
        <f t="shared" si="89"/>
        <v>7.4705417776927338E-3</v>
      </c>
      <c r="AU292">
        <f t="shared" si="98"/>
        <v>0.21091009356426255</v>
      </c>
      <c r="AV292">
        <f t="shared" si="90"/>
        <v>1462.6614988681608</v>
      </c>
      <c r="AY292">
        <f>AY261</f>
        <v>2E-3</v>
      </c>
      <c r="BB292">
        <f t="shared" si="99"/>
        <v>0.24</v>
      </c>
    </row>
    <row r="293" spans="7:54" x14ac:dyDescent="0.2">
      <c r="G293" t="s">
        <v>186</v>
      </c>
      <c r="H293" t="s">
        <v>160</v>
      </c>
      <c r="J293">
        <v>91.25</v>
      </c>
      <c r="K293">
        <v>63</v>
      </c>
      <c r="M293">
        <v>300</v>
      </c>
      <c r="O293">
        <v>1.42</v>
      </c>
      <c r="P293">
        <v>660</v>
      </c>
      <c r="Q293">
        <f t="shared" si="91"/>
        <v>0.45454545454545453</v>
      </c>
      <c r="S293">
        <v>0</v>
      </c>
      <c r="T293">
        <v>0</v>
      </c>
      <c r="U293">
        <f>27/K293</f>
        <v>0.42857142857142855</v>
      </c>
      <c r="V293">
        <v>0</v>
      </c>
      <c r="W293">
        <f>S293*B263+T293*B264</f>
        <v>0</v>
      </c>
      <c r="X293">
        <f t="shared" si="84"/>
        <v>1</v>
      </c>
      <c r="Y293">
        <f t="shared" si="85"/>
        <v>7.6192560899999977</v>
      </c>
      <c r="Z293">
        <f t="shared" si="92"/>
        <v>1.4241682690123998</v>
      </c>
      <c r="AC293">
        <v>0.2</v>
      </c>
      <c r="AE293">
        <v>0.8</v>
      </c>
      <c r="AF293">
        <f t="shared" si="86"/>
        <v>1.6823317446719992</v>
      </c>
      <c r="AG293">
        <f t="shared" si="87"/>
        <v>0.19</v>
      </c>
      <c r="AH293">
        <f t="shared" si="88"/>
        <v>0.6784</v>
      </c>
      <c r="AI293">
        <f>AI261</f>
        <v>0</v>
      </c>
      <c r="AK293">
        <f>AK261</f>
        <v>0.76</v>
      </c>
      <c r="AL293">
        <f>AL261</f>
        <v>100</v>
      </c>
      <c r="AM293">
        <f>AM261</f>
        <v>4.7000000000000002E-3</v>
      </c>
      <c r="AN293">
        <f t="shared" si="93"/>
        <v>0</v>
      </c>
      <c r="AO293">
        <f t="shared" si="94"/>
        <v>1.0191754130378374E-3</v>
      </c>
      <c r="AP293">
        <f t="shared" si="95"/>
        <v>1.0191754130378374E-3</v>
      </c>
      <c r="AQ293">
        <f t="shared" si="96"/>
        <v>5.8589846557012679</v>
      </c>
      <c r="AS293">
        <f t="shared" si="97"/>
        <v>2.5714285714285712</v>
      </c>
      <c r="AT293">
        <f t="shared" si="89"/>
        <v>2.7711640554981157E-2</v>
      </c>
      <c r="AU293">
        <f t="shared" si="98"/>
        <v>0.22773331727856164</v>
      </c>
      <c r="AV293">
        <f t="shared" si="90"/>
        <v>1309.1819077051312</v>
      </c>
      <c r="AY293">
        <f>AY261</f>
        <v>2E-3</v>
      </c>
      <c r="BB293">
        <f t="shared" si="99"/>
        <v>0.24</v>
      </c>
    </row>
    <row r="294" spans="7:54" x14ac:dyDescent="0.2">
      <c r="G294">
        <v>6</v>
      </c>
      <c r="H294" t="s">
        <v>162</v>
      </c>
      <c r="J294">
        <v>91.25</v>
      </c>
      <c r="K294">
        <v>140</v>
      </c>
      <c r="M294">
        <v>340</v>
      </c>
      <c r="O294">
        <v>0.44</v>
      </c>
      <c r="P294">
        <v>660</v>
      </c>
      <c r="Q294">
        <f t="shared" si="91"/>
        <v>0.51515151515151514</v>
      </c>
      <c r="S294">
        <v>0</v>
      </c>
      <c r="T294">
        <v>0</v>
      </c>
      <c r="U294">
        <f>51/K294</f>
        <v>0.36428571428571427</v>
      </c>
      <c r="V294">
        <f>27/K294</f>
        <v>0.19285714285714287</v>
      </c>
      <c r="W294">
        <f>S294*B263+T294*B264</f>
        <v>0</v>
      </c>
      <c r="X294">
        <f t="shared" si="84"/>
        <v>1</v>
      </c>
      <c r="Y294">
        <f t="shared" si="85"/>
        <v>6.5876408896000003</v>
      </c>
      <c r="Z294">
        <f t="shared" si="92"/>
        <v>1.1174246366611618</v>
      </c>
      <c r="AC294">
        <v>0.09</v>
      </c>
      <c r="AE294">
        <v>0.57999999999999996</v>
      </c>
      <c r="AF294">
        <f t="shared" si="86"/>
        <v>2.7878896244787201</v>
      </c>
      <c r="AG294">
        <f t="shared" si="87"/>
        <v>0.19</v>
      </c>
      <c r="AH294">
        <f t="shared" si="88"/>
        <v>0.6784</v>
      </c>
      <c r="AI294">
        <f>AI261</f>
        <v>0</v>
      </c>
      <c r="AK294">
        <f>AK261</f>
        <v>0.76</v>
      </c>
      <c r="AL294">
        <f>AL261</f>
        <v>100</v>
      </c>
      <c r="AM294">
        <f>AM261</f>
        <v>4.7000000000000002E-3</v>
      </c>
      <c r="AN294">
        <f t="shared" si="93"/>
        <v>0</v>
      </c>
      <c r="AO294">
        <f t="shared" si="94"/>
        <v>1.6889347588730031E-3</v>
      </c>
      <c r="AP294">
        <f t="shared" si="95"/>
        <v>1.6889347588730031E-3</v>
      </c>
      <c r="AQ294">
        <f t="shared" si="96"/>
        <v>21.576141544602613</v>
      </c>
      <c r="AS294">
        <f t="shared" si="97"/>
        <v>2.9571428571428569</v>
      </c>
      <c r="AT294">
        <f t="shared" si="89"/>
        <v>7.8429753428800597E-3</v>
      </c>
      <c r="AU294">
        <f t="shared" si="98"/>
        <v>0.10045757020086112</v>
      </c>
      <c r="AV294">
        <f t="shared" si="90"/>
        <v>1283.3454593160006</v>
      </c>
      <c r="AY294">
        <f>AY261</f>
        <v>2E-3</v>
      </c>
      <c r="BB294">
        <f t="shared" si="99"/>
        <v>0.24</v>
      </c>
    </row>
    <row r="295" spans="7:54" x14ac:dyDescent="0.2">
      <c r="H295" t="s">
        <v>163</v>
      </c>
      <c r="J295">
        <v>91.25</v>
      </c>
      <c r="K295">
        <v>127</v>
      </c>
      <c r="M295">
        <v>100</v>
      </c>
      <c r="O295">
        <v>0.6</v>
      </c>
      <c r="P295">
        <v>660</v>
      </c>
      <c r="Q295">
        <f t="shared" si="91"/>
        <v>0.15151515151515152</v>
      </c>
      <c r="S295">
        <v>0</v>
      </c>
      <c r="T295">
        <v>0</v>
      </c>
      <c r="U295">
        <v>0</v>
      </c>
      <c r="V295">
        <f>51/K295</f>
        <v>0.40157480314960631</v>
      </c>
      <c r="W295">
        <f>S295*B263+T295*B264</f>
        <v>0</v>
      </c>
      <c r="X295">
        <f t="shared" si="84"/>
        <v>1</v>
      </c>
      <c r="Y295">
        <f t="shared" si="85"/>
        <v>3.247204</v>
      </c>
      <c r="Z295">
        <f t="shared" si="92"/>
        <v>1.2480754440536419</v>
      </c>
      <c r="AC295">
        <v>0.06</v>
      </c>
      <c r="AE295">
        <v>0.5</v>
      </c>
      <c r="AF295">
        <f t="shared" si="86"/>
        <v>1.6132109472</v>
      </c>
      <c r="AG295">
        <f t="shared" si="87"/>
        <v>0.19</v>
      </c>
      <c r="AH295">
        <f t="shared" si="88"/>
        <v>0.6784</v>
      </c>
      <c r="AI295">
        <f>AI261</f>
        <v>0</v>
      </c>
      <c r="AK295">
        <f>AK261</f>
        <v>0.76</v>
      </c>
      <c r="AL295">
        <f>AL261</f>
        <v>100</v>
      </c>
      <c r="AM295">
        <f>AM261</f>
        <v>4.7000000000000002E-3</v>
      </c>
      <c r="AN295">
        <f t="shared" si="93"/>
        <v>0</v>
      </c>
      <c r="AO295">
        <f t="shared" si="94"/>
        <v>9.7730125977636868E-4</v>
      </c>
      <c r="AP295">
        <f t="shared" si="95"/>
        <v>9.7730125977636868E-4</v>
      </c>
      <c r="AQ295">
        <f t="shared" si="96"/>
        <v>11.325699974233393</v>
      </c>
      <c r="AS295">
        <f t="shared" si="97"/>
        <v>1.6062992125984252</v>
      </c>
      <c r="AT295">
        <f t="shared" si="89"/>
        <v>1.688500969679714E-2</v>
      </c>
      <c r="AU295">
        <f t="shared" si="98"/>
        <v>2.1788261001651092E-2</v>
      </c>
      <c r="AV295">
        <f t="shared" si="90"/>
        <v>252.49870968288411</v>
      </c>
      <c r="AY295">
        <f>AY261</f>
        <v>2E-3</v>
      </c>
      <c r="BB295">
        <f t="shared" si="99"/>
        <v>0.24</v>
      </c>
    </row>
    <row r="296" spans="7:54" x14ac:dyDescent="0.2">
      <c r="H296" t="s">
        <v>164</v>
      </c>
      <c r="J296">
        <v>91.25</v>
      </c>
      <c r="K296">
        <v>138</v>
      </c>
      <c r="M296">
        <v>170</v>
      </c>
      <c r="O296">
        <v>0.77</v>
      </c>
      <c r="P296">
        <v>660</v>
      </c>
      <c r="Q296">
        <f t="shared" si="91"/>
        <v>0.25757575757575757</v>
      </c>
      <c r="S296">
        <v>0</v>
      </c>
      <c r="T296">
        <v>0</v>
      </c>
      <c r="U296">
        <v>0</v>
      </c>
      <c r="V296">
        <v>0</v>
      </c>
      <c r="W296">
        <f>S296*B263+T296*B264</f>
        <v>0</v>
      </c>
      <c r="X296">
        <f t="shared" si="84"/>
        <v>1</v>
      </c>
      <c r="Y296">
        <f t="shared" si="85"/>
        <v>4.5122681240999984</v>
      </c>
      <c r="Z296">
        <f t="shared" si="92"/>
        <v>1.2744200407937745</v>
      </c>
      <c r="AC296">
        <v>0.2</v>
      </c>
      <c r="AE296">
        <v>0.75</v>
      </c>
      <c r="AF296">
        <f t="shared" si="86"/>
        <v>1.2038731355098797</v>
      </c>
      <c r="AG296">
        <f t="shared" si="87"/>
        <v>0.19</v>
      </c>
      <c r="AH296">
        <f t="shared" si="88"/>
        <v>0.6784</v>
      </c>
      <c r="AI296">
        <f>AI261</f>
        <v>0</v>
      </c>
      <c r="AK296">
        <f>AK261</f>
        <v>0.76</v>
      </c>
      <c r="AL296">
        <f>AL261</f>
        <v>100</v>
      </c>
      <c r="AM296">
        <f>AM261</f>
        <v>4.7000000000000002E-3</v>
      </c>
      <c r="AN296">
        <f t="shared" si="93"/>
        <v>0</v>
      </c>
      <c r="AO296">
        <f t="shared" si="94"/>
        <v>7.2931982887100284E-4</v>
      </c>
      <c r="AP296">
        <f t="shared" si="95"/>
        <v>7.2931982887100284E-4</v>
      </c>
      <c r="AQ296">
        <f t="shared" si="96"/>
        <v>9.1839599450581026</v>
      </c>
      <c r="AS296">
        <f t="shared" si="97"/>
        <v>0</v>
      </c>
      <c r="AT296">
        <f t="shared" si="89"/>
        <v>1.9754140848253471E-2</v>
      </c>
      <c r="AU296">
        <f t="shared" si="98"/>
        <v>0.12380983067102717</v>
      </c>
      <c r="AV296">
        <f t="shared" si="90"/>
        <v>1559.0752927249098</v>
      </c>
      <c r="AY296">
        <f>AY261</f>
        <v>2E-3</v>
      </c>
      <c r="BB296">
        <f t="shared" si="99"/>
        <v>0.24</v>
      </c>
    </row>
    <row r="297" spans="7:54" x14ac:dyDescent="0.2">
      <c r="G297" t="s">
        <v>189</v>
      </c>
      <c r="H297" t="s">
        <v>160</v>
      </c>
      <c r="J297">
        <v>91.25</v>
      </c>
      <c r="K297">
        <v>20</v>
      </c>
      <c r="M297">
        <v>480</v>
      </c>
      <c r="O297">
        <v>1.1000000000000001</v>
      </c>
      <c r="P297">
        <v>660</v>
      </c>
      <c r="Q297">
        <f t="shared" si="91"/>
        <v>0.72727272727272729</v>
      </c>
      <c r="S297">
        <v>0</v>
      </c>
      <c r="T297">
        <v>0</v>
      </c>
      <c r="U297">
        <v>0</v>
      </c>
      <c r="V297">
        <v>0</v>
      </c>
      <c r="W297">
        <f>S297*B263+T297*B264</f>
        <v>0</v>
      </c>
      <c r="X297">
        <f t="shared" si="84"/>
        <v>1</v>
      </c>
      <c r="Y297">
        <f t="shared" si="85"/>
        <v>9.6824279555999979</v>
      </c>
      <c r="Z297">
        <f t="shared" si="92"/>
        <v>1.2663208058014268</v>
      </c>
      <c r="AC297">
        <v>0.2</v>
      </c>
      <c r="AE297">
        <v>0.8</v>
      </c>
      <c r="AF297">
        <f t="shared" si="86"/>
        <v>2.1378800925964794</v>
      </c>
      <c r="AG297">
        <f t="shared" si="87"/>
        <v>0.19</v>
      </c>
      <c r="AH297">
        <f t="shared" si="88"/>
        <v>0.6784</v>
      </c>
      <c r="AI297">
        <f>AI261</f>
        <v>0</v>
      </c>
      <c r="AK297">
        <f>AK261</f>
        <v>0.76</v>
      </c>
      <c r="AL297">
        <f>AL261</f>
        <v>100</v>
      </c>
      <c r="AM297">
        <f>AM261</f>
        <v>4.7000000000000002E-3</v>
      </c>
      <c r="AN297">
        <f t="shared" si="93"/>
        <v>0</v>
      </c>
      <c r="AO297">
        <f t="shared" si="94"/>
        <v>1.2951517043519845E-3</v>
      </c>
      <c r="AP297">
        <f t="shared" si="95"/>
        <v>1.2951517043519845E-3</v>
      </c>
      <c r="AQ297">
        <f t="shared" si="96"/>
        <v>2.3636518604423715</v>
      </c>
      <c r="AS297">
        <f t="shared" si="97"/>
        <v>0</v>
      </c>
      <c r="AT297">
        <f t="shared" si="89"/>
        <v>1.4565147934229332E-2</v>
      </c>
      <c r="AU297">
        <f t="shared" si="98"/>
        <v>0.29346768632995296</v>
      </c>
      <c r="AV297">
        <f t="shared" si="90"/>
        <v>535.57852755216413</v>
      </c>
      <c r="AY297">
        <f>AY261</f>
        <v>2E-3</v>
      </c>
      <c r="BB297">
        <f t="shared" si="99"/>
        <v>0.24</v>
      </c>
    </row>
    <row r="298" spans="7:54" x14ac:dyDescent="0.2">
      <c r="G298" t="s">
        <v>199</v>
      </c>
      <c r="H298" t="s">
        <v>162</v>
      </c>
      <c r="J298">
        <v>91.25</v>
      </c>
      <c r="K298">
        <v>79</v>
      </c>
      <c r="M298">
        <v>470</v>
      </c>
      <c r="O298">
        <v>-0.11</v>
      </c>
      <c r="P298">
        <v>660</v>
      </c>
      <c r="Q298">
        <f t="shared" si="91"/>
        <v>0.71212121212121215</v>
      </c>
      <c r="S298">
        <v>0</v>
      </c>
      <c r="T298">
        <v>0</v>
      </c>
      <c r="U298">
        <v>0</v>
      </c>
      <c r="V298">
        <v>0</v>
      </c>
      <c r="W298">
        <f>S298*B263+T298*B264</f>
        <v>0</v>
      </c>
      <c r="X298">
        <f t="shared" si="84"/>
        <v>1</v>
      </c>
      <c r="Y298">
        <f t="shared" si="85"/>
        <v>7.3430702361</v>
      </c>
      <c r="Z298">
        <f t="shared" si="92"/>
        <v>0.97490853257319487</v>
      </c>
      <c r="AC298">
        <v>0.09</v>
      </c>
      <c r="AE298">
        <v>0.57999999999999996</v>
      </c>
      <c r="AF298">
        <f t="shared" si="86"/>
        <v>3.1075873239175205</v>
      </c>
      <c r="AG298">
        <f t="shared" si="87"/>
        <v>0.19</v>
      </c>
      <c r="AH298">
        <f t="shared" si="88"/>
        <v>0.6784</v>
      </c>
      <c r="AI298">
        <f>AI261</f>
        <v>0</v>
      </c>
      <c r="AK298">
        <f>AK261</f>
        <v>0.76</v>
      </c>
      <c r="AL298">
        <f>AL261</f>
        <v>100</v>
      </c>
      <c r="AM298">
        <f>AM261</f>
        <v>4.7000000000000002E-3</v>
      </c>
      <c r="AN298">
        <f t="shared" si="93"/>
        <v>0</v>
      </c>
      <c r="AO298">
        <f t="shared" si="94"/>
        <v>1.8826112058072618E-3</v>
      </c>
      <c r="AP298">
        <f t="shared" si="95"/>
        <v>1.8826112058072618E-3</v>
      </c>
      <c r="AQ298">
        <f t="shared" si="96"/>
        <v>13.571273529863099</v>
      </c>
      <c r="AS298">
        <f t="shared" si="97"/>
        <v>0</v>
      </c>
      <c r="AT298">
        <f t="shared" si="89"/>
        <v>-1.4855230625479237E-3</v>
      </c>
      <c r="AU298">
        <f t="shared" si="98"/>
        <v>0.1054491491748196</v>
      </c>
      <c r="AV298">
        <f t="shared" si="90"/>
        <v>760.15655411398075</v>
      </c>
      <c r="AY298">
        <f>AY261</f>
        <v>2E-3</v>
      </c>
      <c r="BB298">
        <f t="shared" si="99"/>
        <v>0.24</v>
      </c>
    </row>
    <row r="299" spans="7:54" x14ac:dyDescent="0.2">
      <c r="H299" t="s">
        <v>163</v>
      </c>
      <c r="J299">
        <v>91.25</v>
      </c>
      <c r="K299">
        <v>18</v>
      </c>
      <c r="M299">
        <v>340</v>
      </c>
      <c r="O299">
        <v>0</v>
      </c>
      <c r="P299">
        <v>660</v>
      </c>
      <c r="Q299">
        <f t="shared" si="91"/>
        <v>0.51515151515151514</v>
      </c>
      <c r="S299">
        <v>0</v>
      </c>
      <c r="T299">
        <v>0</v>
      </c>
      <c r="U299">
        <v>0</v>
      </c>
      <c r="V299">
        <v>0</v>
      </c>
      <c r="W299">
        <f>S299*B263+T299*B264</f>
        <v>0</v>
      </c>
      <c r="X299">
        <f t="shared" si="84"/>
        <v>1</v>
      </c>
      <c r="Y299">
        <f t="shared" si="85"/>
        <v>5.8953782416000013</v>
      </c>
      <c r="Z299">
        <f t="shared" si="92"/>
        <v>1</v>
      </c>
      <c r="AC299">
        <v>0.06</v>
      </c>
      <c r="AE299">
        <v>0.5</v>
      </c>
      <c r="AF299">
        <f t="shared" si="86"/>
        <v>2.9288239104268809</v>
      </c>
      <c r="AG299">
        <f t="shared" si="87"/>
        <v>0.19</v>
      </c>
      <c r="AH299">
        <f t="shared" si="88"/>
        <v>0.6784</v>
      </c>
      <c r="AI299">
        <f>AI261</f>
        <v>0</v>
      </c>
      <c r="AK299">
        <f>AK261</f>
        <v>0.76</v>
      </c>
      <c r="AL299">
        <f>AL261</f>
        <v>100</v>
      </c>
      <c r="AM299">
        <f>AM261</f>
        <v>4.7000000000000002E-3</v>
      </c>
      <c r="AN299">
        <f t="shared" si="93"/>
        <v>0</v>
      </c>
      <c r="AO299">
        <f t="shared" si="94"/>
        <v>1.7743143277644013E-3</v>
      </c>
      <c r="AP299">
        <f t="shared" si="95"/>
        <v>1.7743143277644013E-3</v>
      </c>
      <c r="AQ299">
        <f t="shared" si="96"/>
        <v>2.9143112833530287</v>
      </c>
      <c r="AS299">
        <f t="shared" si="97"/>
        <v>0</v>
      </c>
      <c r="AT299">
        <f t="shared" si="89"/>
        <v>0</v>
      </c>
      <c r="AU299">
        <f t="shared" si="98"/>
        <v>5.520208336562428E-2</v>
      </c>
      <c r="AV299">
        <f t="shared" si="90"/>
        <v>90.669421928037877</v>
      </c>
      <c r="AY299">
        <f>AY261</f>
        <v>2E-3</v>
      </c>
      <c r="BB299">
        <f t="shared" si="99"/>
        <v>0.24</v>
      </c>
    </row>
    <row r="300" spans="7:54" x14ac:dyDescent="0.2">
      <c r="H300" t="s">
        <v>164</v>
      </c>
      <c r="J300">
        <v>91.25</v>
      </c>
      <c r="K300">
        <v>8</v>
      </c>
      <c r="M300">
        <v>360</v>
      </c>
      <c r="O300">
        <v>0.44</v>
      </c>
      <c r="P300">
        <v>660</v>
      </c>
      <c r="Q300">
        <f t="shared" si="91"/>
        <v>0.54545454545454541</v>
      </c>
      <c r="S300">
        <v>0</v>
      </c>
      <c r="T300">
        <v>0</v>
      </c>
      <c r="U300">
        <v>0</v>
      </c>
      <c r="V300">
        <v>0</v>
      </c>
      <c r="W300">
        <f>S300*B263+T300*B264</f>
        <v>0</v>
      </c>
      <c r="X300">
        <f t="shared" si="84"/>
        <v>1</v>
      </c>
      <c r="Y300">
        <f t="shared" si="85"/>
        <v>6.8698506815999991</v>
      </c>
      <c r="Z300">
        <f t="shared" si="92"/>
        <v>1.1147815609185805</v>
      </c>
      <c r="AC300">
        <v>0.2</v>
      </c>
      <c r="AE300">
        <v>0.75</v>
      </c>
      <c r="AF300">
        <f t="shared" si="86"/>
        <v>1.8328761618508798</v>
      </c>
      <c r="AG300">
        <f t="shared" si="87"/>
        <v>0.19</v>
      </c>
      <c r="AH300">
        <f t="shared" si="88"/>
        <v>0.6784</v>
      </c>
      <c r="AI300">
        <f>AI261</f>
        <v>0</v>
      </c>
      <c r="AK300">
        <f>AK261</f>
        <v>0.76</v>
      </c>
      <c r="AL300">
        <f>AL261</f>
        <v>100</v>
      </c>
      <c r="AM300">
        <f>AM261</f>
        <v>4.7000000000000002E-3</v>
      </c>
      <c r="AN300">
        <f t="shared" si="93"/>
        <v>0</v>
      </c>
      <c r="AO300">
        <f t="shared" si="94"/>
        <v>1.1103769070622757E-3</v>
      </c>
      <c r="AP300">
        <f t="shared" si="95"/>
        <v>1.1103769070622757E-3</v>
      </c>
      <c r="AQ300">
        <f t="shared" si="96"/>
        <v>0.81057514215546123</v>
      </c>
      <c r="AS300">
        <f t="shared" si="97"/>
        <v>0</v>
      </c>
      <c r="AT300">
        <f t="shared" si="89"/>
        <v>7.4705417776927338E-3</v>
      </c>
      <c r="AU300">
        <f t="shared" si="98"/>
        <v>0.21091009356426255</v>
      </c>
      <c r="AV300">
        <f t="shared" si="90"/>
        <v>153.96436830191166</v>
      </c>
      <c r="AY300">
        <f>AY261</f>
        <v>2E-3</v>
      </c>
      <c r="BB300">
        <f t="shared" si="99"/>
        <v>0.24</v>
      </c>
    </row>
    <row r="311" spans="1:64" x14ac:dyDescent="0.2">
      <c r="A311" t="s">
        <v>202</v>
      </c>
      <c r="B311" t="s">
        <v>217</v>
      </c>
      <c r="C311" t="s">
        <v>202</v>
      </c>
      <c r="D311" t="s">
        <v>202</v>
      </c>
      <c r="E311" t="s">
        <v>178</v>
      </c>
      <c r="F311" t="s">
        <v>190</v>
      </c>
      <c r="G311" t="s">
        <v>159</v>
      </c>
      <c r="H311" t="s">
        <v>160</v>
      </c>
      <c r="J311">
        <v>91.25</v>
      </c>
      <c r="K311">
        <v>20</v>
      </c>
      <c r="M311" cm="1">
        <f t="array" ref="M311:M350">_xlfn.DROP(_xlfn.XLOOKUP($D311,TableW[[#Headers],[ACT]:[QLD - Moderate/Low]],TableW[[#All],[ACT]:[QLD - Moderate/Low]]),1)</f>
        <v>80</v>
      </c>
      <c r="O311" cm="1">
        <f t="array" ref="O311:O350">_xlfn.DROP(_xlfn.XLOOKUP($D311,TableLWG[[#Headers],[ACT]:[QLD - Low]],TableLWG[[#All],[ACT]:[QLD - Low]]),1)</f>
        <v>0.7</v>
      </c>
      <c r="P311" cm="1">
        <f t="array" ref="P311:P350">_xlfn.DROP(_xlfn.XLOOKUP($E311,TableSRW[[#Headers],[ACT]:[WA]],TableSRW[[#All],[ACT]:[WA]]),1)</f>
        <v>770</v>
      </c>
      <c r="Q311">
        <f>M311 / P311</f>
        <v>0.1038961038961039</v>
      </c>
      <c r="S311">
        <v>0</v>
      </c>
      <c r="T311">
        <v>0</v>
      </c>
      <c r="U311">
        <f>20/K311</f>
        <v>1</v>
      </c>
      <c r="V311">
        <v>0</v>
      </c>
      <c r="W311">
        <f>S311*B313+T311*B314</f>
        <v>0</v>
      </c>
      <c r="X311">
        <f t="shared" ref="X311:X350" si="100">(S311 * $BX$3 +T311* $BX$4) + (1 -S311 -T311 )</f>
        <v>1</v>
      </c>
      <c r="Y311">
        <f t="shared" ref="Y311:Y350" si="101">(1.185 + 0.00454 * M311- 0.0000026 * M311 ^2 + 0.315 * O311)^2 * X311</f>
        <v>3.0697142436</v>
      </c>
      <c r="Z311">
        <f>Y311 / ((1.185 + 0.00454 * M311 - 0.0000026 * M311 ^ 2) ^ 2 * X311)</f>
        <v>1.3086693130801998</v>
      </c>
      <c r="AC311" cm="1">
        <f t="array" ref="AC311:AC350">_xlfn.DROP(_xlfn.XLOOKUP($C311,TableCP[[#Headers],[ACT]:[WA - Kimberley]],TableCP[[#All],[ACT]:[WA - Kimberley]]),1)</f>
        <v>0.04</v>
      </c>
      <c r="AE311" cm="1">
        <f t="array" ref="AE311:AE350">_xlfn.DROP(_xlfn.XLOOKUP($C311,TableDMD[[#Headers],[ACT]:[WA - Kimberley]],TableDMD[[#All],[ACT]:[WA - Kimberley]]),1)</f>
        <v>0.4</v>
      </c>
      <c r="AF311">
        <f t="shared" ref="AF311:AF350" si="102">(Y311 * (1 - AE311) + (0.04 * Y311)) * ( 1 - $CJ$3 )</f>
        <v>1.8074477466316801</v>
      </c>
      <c r="AG311">
        <f>$CJ$4</f>
        <v>0.19</v>
      </c>
      <c r="AH311">
        <f>$CJ$5</f>
        <v>0.6784</v>
      </c>
      <c r="AI311">
        <f>IF(F311="yes",0,VLOOKUP(C311,$BQ$211:$BS$225,3,FALSE))</f>
        <v>1E-3</v>
      </c>
      <c r="AK311">
        <f>VLOOKUP(C311,$BQ$211:$BU$225,4,FALSE)</f>
        <v>0.76</v>
      </c>
      <c r="AL311">
        <f>IF(F311="yes",100,VLOOKUP(C311,$BQ$211:$BS$225,2,FALSE))</f>
        <v>99.998999999999995</v>
      </c>
      <c r="AM311">
        <f>VLOOKUP(C311,$BQ$211:$BU$225,5,FALSE)</f>
        <v>4.7000000000000002E-3</v>
      </c>
      <c r="AN311">
        <f>AF311 * AG311 * AI311/100 * AK311 * AH311</f>
        <v>1.7705931640987615E-6</v>
      </c>
      <c r="AO311">
        <f>AF311 * AG311 * AL311/100 * AM311 * AH311</f>
        <v>1.0949611386033508E-3</v>
      </c>
      <c r="AP311">
        <f>AN311+AO311</f>
        <v>1.0967317317674495E-3</v>
      </c>
      <c r="AQ311">
        <f>K311*AP311*J311</f>
        <v>2.0015354104755954</v>
      </c>
      <c r="AR311">
        <f>SUM(AQ311:AQ350)*10^-3</f>
        <v>0.40952583894205197</v>
      </c>
      <c r="AS311">
        <f>U311*$B$313+V311*$B$314</f>
        <v>4</v>
      </c>
      <c r="AT311">
        <f t="shared" ref="AT311:AT350" si="103" xml:space="preserve"> (0.032*W311/6.38) + (((0.212 - 0.008*(Z311-2) - (0.14 - 0.008*(Z311 - 2))/(1+EXP(-6*(Q311-0.4))))*O311*0.92)/6.25)</f>
        <v>2.0244203485346782E-2</v>
      </c>
      <c r="AU311">
        <f>MAX((Y311*AC311/6.25)+(0.032*AS311/6.38)-AT311-((1.1*(10^-4)*(M311^0.75))/6.25), 0)</f>
        <v>1.8993870423754704E-2</v>
      </c>
      <c r="AV311">
        <f t="shared" ref="AV311:AV350" si="104">K311*AU311*J311</f>
        <v>34.663813523352339</v>
      </c>
      <c r="AW311">
        <f>SUM(AV311:AV350)</f>
        <v>18635.462713423371</v>
      </c>
      <c r="AX311" t="s">
        <v>155</v>
      </c>
      <c r="AY311">
        <f>VLOOKUP(AX311, $CK$18:$CM$27, 2, FALSE)</f>
        <v>6.0000000000000001E-3</v>
      </c>
      <c r="AZ311">
        <f>$CJ$6</f>
        <v>0.21</v>
      </c>
      <c r="BA311">
        <f>AW311*AZ311</f>
        <v>3913.4471698189077</v>
      </c>
      <c r="BB311">
        <f>$CJ$7</f>
        <v>0.24</v>
      </c>
      <c r="BC311" t="s">
        <v>190</v>
      </c>
      <c r="BD311">
        <f>IF(BC311="yes",1,0)</f>
        <v>0</v>
      </c>
      <c r="BE311">
        <f>AW311 * BD311 * BB311</f>
        <v>0</v>
      </c>
      <c r="BF311">
        <f>$CJ$8</f>
        <v>1.57</v>
      </c>
      <c r="BG311" t="s">
        <v>183</v>
      </c>
      <c r="BH311">
        <f>VLOOKUP(BG311, $BQ$274:$BR$286, 2, FALSE)</f>
        <v>1.8E-3</v>
      </c>
      <c r="BI311">
        <f>$CJ$9</f>
        <v>1.0999999999999999E-2</v>
      </c>
      <c r="BJ311" s="7">
        <f>(AW311 * AY311 * BF311) * 10^-3</f>
        <v>0.17554605876044815</v>
      </c>
      <c r="BK311" s="7">
        <f>BA311 * BH311 * BF311 * 10^-3</f>
        <v>1.1059401701908233E-2</v>
      </c>
      <c r="BL311" s="7">
        <f>BE311 * BI311 * BF311 * 10^-3</f>
        <v>0</v>
      </c>
    </row>
    <row r="312" spans="1:64" x14ac:dyDescent="0.2">
      <c r="G312">
        <v>1</v>
      </c>
      <c r="H312" t="s">
        <v>162</v>
      </c>
      <c r="J312">
        <v>91.25</v>
      </c>
      <c r="K312">
        <v>50</v>
      </c>
      <c r="M312">
        <v>150</v>
      </c>
      <c r="O312">
        <v>0.77</v>
      </c>
      <c r="P312">
        <v>770</v>
      </c>
      <c r="Q312">
        <f t="shared" ref="Q312:Q350" si="105">M312 / P312</f>
        <v>0.19480519480519481</v>
      </c>
      <c r="S312">
        <v>0</v>
      </c>
      <c r="T312">
        <v>0</v>
      </c>
      <c r="U312">
        <f>30/K312</f>
        <v>0.6</v>
      </c>
      <c r="V312">
        <f>20/K312</f>
        <v>0.4</v>
      </c>
      <c r="W312">
        <f>S312*B313+T312*B314</f>
        <v>0</v>
      </c>
      <c r="X312">
        <f t="shared" si="100"/>
        <v>1</v>
      </c>
      <c r="Y312">
        <f t="shared" si="101"/>
        <v>4.202705002500001</v>
      </c>
      <c r="Z312">
        <f t="shared" ref="Z312:Z350" si="106">Y312 / ((1.185 + 0.00454 * M312 - 0.0000026 * M312 ^ 2) ^ 2 * X312)</f>
        <v>1.2863889326974398</v>
      </c>
      <c r="AC312">
        <v>0.12</v>
      </c>
      <c r="AE312">
        <v>0.65</v>
      </c>
      <c r="AF312">
        <f t="shared" si="102"/>
        <v>1.5079305548970003</v>
      </c>
      <c r="AG312">
        <f t="shared" ref="AG312:AG350" si="107">$CJ$4</f>
        <v>0.19</v>
      </c>
      <c r="AH312">
        <f t="shared" ref="AH312:AH350" si="108">$CJ$5</f>
        <v>0.6784</v>
      </c>
      <c r="AI312">
        <f>AI311</f>
        <v>1E-3</v>
      </c>
      <c r="AK312">
        <f>AK311</f>
        <v>0.76</v>
      </c>
      <c r="AL312">
        <f>AL311</f>
        <v>99.998999999999995</v>
      </c>
      <c r="AM312">
        <f>AM311</f>
        <v>4.7000000000000002E-3</v>
      </c>
      <c r="AN312">
        <f t="shared" ref="AN312:AN350" si="109">AF312 * AG312 * AI312/100 * AK312 * AH312</f>
        <v>1.4771832477104285E-6</v>
      </c>
      <c r="AO312">
        <f t="shared" ref="AO312:AO350" si="110">AF312 * AG312 * AL312/100 * AM312 * AH312</f>
        <v>9.1351208376662797E-4</v>
      </c>
      <c r="AP312">
        <f t="shared" ref="AP312:AP350" si="111">AN312+AO312</f>
        <v>9.1498926701433843E-4</v>
      </c>
      <c r="AQ312">
        <f t="shared" ref="AQ312:AQ350" si="112">K312*AP312*J312</f>
        <v>4.1746385307529197</v>
      </c>
      <c r="AS312">
        <f t="shared" ref="AS312:AS349" si="113">U312*$B$313+V312*$B$314</f>
        <v>3.6</v>
      </c>
      <c r="AT312">
        <f t="shared" si="103"/>
        <v>2.0943935872830468E-2</v>
      </c>
      <c r="AU312">
        <f t="shared" ref="AU312:AU350" si="114">MAX((Y312*AC312/6.25)+(0.032*AS312/6.38)-AT312-((1.1*(10^-4)*(M312^0.75))/6.25), 0)</f>
        <v>7.7050062234017475E-2</v>
      </c>
      <c r="AV312">
        <f t="shared" si="104"/>
        <v>351.54090894270473</v>
      </c>
      <c r="AY312">
        <f>AY311</f>
        <v>6.0000000000000001E-3</v>
      </c>
      <c r="BB312">
        <f t="shared" ref="BB312:BB350" si="115">$CJ$7</f>
        <v>0.24</v>
      </c>
    </row>
    <row r="313" spans="1:64" x14ac:dyDescent="0.2">
      <c r="A313" t="s">
        <v>222</v>
      </c>
      <c r="B313">
        <f>IF(B311="Hereford or Shorthorn",$BT$3,$BT$4)</f>
        <v>4</v>
      </c>
      <c r="H313" t="s">
        <v>163</v>
      </c>
      <c r="J313">
        <v>91.25</v>
      </c>
      <c r="K313">
        <v>48</v>
      </c>
      <c r="M313">
        <v>230</v>
      </c>
      <c r="O313">
        <v>0.88</v>
      </c>
      <c r="P313">
        <v>770</v>
      </c>
      <c r="Q313">
        <f t="shared" si="105"/>
        <v>0.29870129870129869</v>
      </c>
      <c r="S313">
        <v>0</v>
      </c>
      <c r="T313">
        <v>0</v>
      </c>
      <c r="U313">
        <v>0</v>
      </c>
      <c r="V313">
        <f>30/K313</f>
        <v>0.625</v>
      </c>
      <c r="W313">
        <f>S313*B313+T313*B314</f>
        <v>0</v>
      </c>
      <c r="X313">
        <f t="shared" si="100"/>
        <v>1</v>
      </c>
      <c r="Y313">
        <f t="shared" si="101"/>
        <v>5.611497699600001</v>
      </c>
      <c r="Z313">
        <f t="shared" si="106"/>
        <v>1.2826158627950293</v>
      </c>
      <c r="AC313">
        <v>0.09</v>
      </c>
      <c r="AE313">
        <v>0.55000000000000004</v>
      </c>
      <c r="AF313">
        <f t="shared" si="102"/>
        <v>2.5296631629796802</v>
      </c>
      <c r="AG313">
        <f t="shared" si="107"/>
        <v>0.19</v>
      </c>
      <c r="AH313">
        <f t="shared" si="108"/>
        <v>0.6784</v>
      </c>
      <c r="AI313">
        <f>AI311</f>
        <v>1E-3</v>
      </c>
      <c r="AK313">
        <f>AK311</f>
        <v>0.76</v>
      </c>
      <c r="AL313">
        <f>AL311</f>
        <v>99.998999999999995</v>
      </c>
      <c r="AM313">
        <f>AM311</f>
        <v>4.7000000000000002E-3</v>
      </c>
      <c r="AN313">
        <f t="shared" si="109"/>
        <v>2.4780823192212594E-6</v>
      </c>
      <c r="AO313">
        <f t="shared" si="110"/>
        <v>1.5324829513777519E-3</v>
      </c>
      <c r="AP313">
        <f t="shared" si="111"/>
        <v>1.5349610336969732E-3</v>
      </c>
      <c r="AQ313">
        <f t="shared" si="112"/>
        <v>6.7231293275927424</v>
      </c>
      <c r="AS313">
        <f t="shared" si="113"/>
        <v>1.875</v>
      </c>
      <c r="AT313">
        <f t="shared" si="103"/>
        <v>2.1549203486061676E-2</v>
      </c>
      <c r="AU313">
        <f t="shared" si="114"/>
        <v>6.7621290276353205E-2</v>
      </c>
      <c r="AV313">
        <f t="shared" si="104"/>
        <v>296.18125141042702</v>
      </c>
      <c r="AY313">
        <f>AY311</f>
        <v>6.0000000000000001E-3</v>
      </c>
      <c r="BB313">
        <f t="shared" si="115"/>
        <v>0.24</v>
      </c>
    </row>
    <row r="314" spans="1:64" x14ac:dyDescent="0.2">
      <c r="A314" t="s">
        <v>223</v>
      </c>
      <c r="B314">
        <f>IF(B311="Hereford or Shorthorn",$BU$3,$BU$4)</f>
        <v>3</v>
      </c>
      <c r="H314" t="s">
        <v>164</v>
      </c>
      <c r="J314">
        <v>91.25</v>
      </c>
      <c r="K314">
        <v>25</v>
      </c>
      <c r="M314">
        <v>250</v>
      </c>
      <c r="O314">
        <v>0.22</v>
      </c>
      <c r="P314">
        <v>770</v>
      </c>
      <c r="Q314">
        <f t="shared" si="105"/>
        <v>0.32467532467532467</v>
      </c>
      <c r="S314">
        <v>0</v>
      </c>
      <c r="T314">
        <v>0</v>
      </c>
      <c r="U314">
        <v>0</v>
      </c>
      <c r="V314">
        <v>0</v>
      </c>
      <c r="W314">
        <f>S314*B313+T314*B314</f>
        <v>0</v>
      </c>
      <c r="X314">
        <f t="shared" si="100"/>
        <v>1</v>
      </c>
      <c r="Y314">
        <f t="shared" si="101"/>
        <v>4.9586382400000018</v>
      </c>
      <c r="Z314">
        <f t="shared" si="106"/>
        <v>1.0652727468517085</v>
      </c>
      <c r="AC314">
        <v>0.06</v>
      </c>
      <c r="AE314">
        <v>0.45</v>
      </c>
      <c r="AF314">
        <f t="shared" si="102"/>
        <v>2.6915488366720011</v>
      </c>
      <c r="AG314">
        <f t="shared" si="107"/>
        <v>0.19</v>
      </c>
      <c r="AH314">
        <f t="shared" si="108"/>
        <v>0.6784</v>
      </c>
      <c r="AI314">
        <f>AI311</f>
        <v>1E-3</v>
      </c>
      <c r="AK314">
        <f>AK311</f>
        <v>0.76</v>
      </c>
      <c r="AL314">
        <f>AL311</f>
        <v>99.998999999999995</v>
      </c>
      <c r="AM314">
        <f>AM311</f>
        <v>4.7000000000000002E-3</v>
      </c>
      <c r="AN314">
        <f t="shared" si="109"/>
        <v>2.6366670792727241E-6</v>
      </c>
      <c r="AO314">
        <f t="shared" si="110"/>
        <v>1.6305541248985631E-3</v>
      </c>
      <c r="AP314">
        <f t="shared" si="111"/>
        <v>1.6331907919778358E-3</v>
      </c>
      <c r="AQ314">
        <f t="shared" si="112"/>
        <v>3.7257164941994376</v>
      </c>
      <c r="AS314">
        <f t="shared" si="113"/>
        <v>0</v>
      </c>
      <c r="AT314">
        <f t="shared" si="103"/>
        <v>5.2502247142234169E-3</v>
      </c>
      <c r="AU314">
        <f t="shared" si="114"/>
        <v>4.1246160971655621E-2</v>
      </c>
      <c r="AV314">
        <f t="shared" si="104"/>
        <v>94.092804716589384</v>
      </c>
      <c r="AY314">
        <f>AY311</f>
        <v>6.0000000000000001E-3</v>
      </c>
      <c r="BB314">
        <f t="shared" si="115"/>
        <v>0.24</v>
      </c>
    </row>
    <row r="315" spans="1:64" x14ac:dyDescent="0.2">
      <c r="G315" t="s">
        <v>165</v>
      </c>
      <c r="H315" t="s">
        <v>160</v>
      </c>
      <c r="J315">
        <v>91.25</v>
      </c>
      <c r="K315">
        <v>20</v>
      </c>
      <c r="M315">
        <v>450</v>
      </c>
      <c r="O315">
        <v>-0.55000000000000004</v>
      </c>
      <c r="P315">
        <v>770</v>
      </c>
      <c r="Q315">
        <f t="shared" si="105"/>
        <v>0.58441558441558439</v>
      </c>
      <c r="S315">
        <v>0</v>
      </c>
      <c r="T315">
        <v>0</v>
      </c>
      <c r="U315">
        <v>0</v>
      </c>
      <c r="V315">
        <v>0</v>
      </c>
      <c r="W315">
        <f>S315*B313+T315*B314</f>
        <v>0</v>
      </c>
      <c r="X315">
        <f t="shared" si="100"/>
        <v>1</v>
      </c>
      <c r="Y315">
        <f t="shared" si="101"/>
        <v>6.3920480624999998</v>
      </c>
      <c r="Z315">
        <f t="shared" si="106"/>
        <v>0.87585071345088394</v>
      </c>
      <c r="AC315">
        <v>0.04</v>
      </c>
      <c r="AE315">
        <v>0.4</v>
      </c>
      <c r="AF315">
        <f t="shared" si="102"/>
        <v>3.7636378991999999</v>
      </c>
      <c r="AG315">
        <f t="shared" si="107"/>
        <v>0.19</v>
      </c>
      <c r="AH315">
        <f t="shared" si="108"/>
        <v>0.6784</v>
      </c>
      <c r="AI315">
        <f>AI311</f>
        <v>1E-3</v>
      </c>
      <c r="AK315">
        <f>AK311</f>
        <v>0.76</v>
      </c>
      <c r="AL315">
        <f>AL311</f>
        <v>99.998999999999995</v>
      </c>
      <c r="AM315">
        <f>AM311</f>
        <v>4.7000000000000002E-3</v>
      </c>
      <c r="AN315">
        <f t="shared" si="109"/>
        <v>3.6868958169801525E-6</v>
      </c>
      <c r="AO315">
        <f t="shared" si="110"/>
        <v>2.2800311915399107E-3</v>
      </c>
      <c r="AP315">
        <f t="shared" si="111"/>
        <v>2.2837180873568909E-3</v>
      </c>
      <c r="AQ315">
        <f t="shared" si="112"/>
        <v>4.1677855094263263</v>
      </c>
      <c r="AS315">
        <f t="shared" si="113"/>
        <v>0</v>
      </c>
      <c r="AT315">
        <f t="shared" si="103"/>
        <v>-8.8269523142673872E-3</v>
      </c>
      <c r="AU315">
        <f t="shared" si="114"/>
        <v>4.8016481229445247E-2</v>
      </c>
      <c r="AV315">
        <f t="shared" si="104"/>
        <v>87.630078243737572</v>
      </c>
      <c r="AY315">
        <f>AY311</f>
        <v>6.0000000000000001E-3</v>
      </c>
      <c r="BB315">
        <f t="shared" si="115"/>
        <v>0.24</v>
      </c>
    </row>
    <row r="316" spans="1:64" x14ac:dyDescent="0.2">
      <c r="A316" t="s">
        <v>167</v>
      </c>
      <c r="G316">
        <v>2</v>
      </c>
      <c r="H316" t="s">
        <v>162</v>
      </c>
      <c r="J316">
        <v>91.25</v>
      </c>
      <c r="K316">
        <v>45</v>
      </c>
      <c r="M316">
        <v>500</v>
      </c>
      <c r="O316">
        <v>0.55000000000000004</v>
      </c>
      <c r="P316">
        <v>770</v>
      </c>
      <c r="Q316">
        <f t="shared" si="105"/>
        <v>0.64935064935064934</v>
      </c>
      <c r="S316">
        <v>0</v>
      </c>
      <c r="T316">
        <v>0</v>
      </c>
      <c r="U316">
        <v>0</v>
      </c>
      <c r="V316">
        <v>0</v>
      </c>
      <c r="W316">
        <f>S316*B313+T316*B314</f>
        <v>0</v>
      </c>
      <c r="X316">
        <f t="shared" si="100"/>
        <v>1</v>
      </c>
      <c r="Y316">
        <f t="shared" si="101"/>
        <v>8.8699730624999997</v>
      </c>
      <c r="Z316">
        <f t="shared" si="106"/>
        <v>1.1273442906574394</v>
      </c>
      <c r="AC316">
        <v>0.12</v>
      </c>
      <c r="AE316">
        <v>0.65</v>
      </c>
      <c r="AF316">
        <f t="shared" si="102"/>
        <v>3.182546334825</v>
      </c>
      <c r="AG316">
        <f t="shared" si="107"/>
        <v>0.19</v>
      </c>
      <c r="AH316">
        <f t="shared" si="108"/>
        <v>0.6784</v>
      </c>
      <c r="AI316">
        <f>AI311</f>
        <v>1E-3</v>
      </c>
      <c r="AK316">
        <f>AK311</f>
        <v>0.76</v>
      </c>
      <c r="AL316">
        <f>AL311</f>
        <v>99.998999999999995</v>
      </c>
      <c r="AM316">
        <f>AM311</f>
        <v>4.7000000000000002E-3</v>
      </c>
      <c r="AN316">
        <f t="shared" si="109"/>
        <v>3.1176529420393845E-6</v>
      </c>
      <c r="AO316">
        <f t="shared" si="110"/>
        <v>1.9280029339337936E-3</v>
      </c>
      <c r="AP316">
        <f t="shared" si="111"/>
        <v>1.931120586875833E-3</v>
      </c>
      <c r="AQ316">
        <f t="shared" si="112"/>
        <v>7.9296639098588884</v>
      </c>
      <c r="AS316">
        <f t="shared" si="113"/>
        <v>0</v>
      </c>
      <c r="AT316">
        <f t="shared" si="103"/>
        <v>8.00683436190857E-3</v>
      </c>
      <c r="AU316">
        <f t="shared" si="114"/>
        <v>0.16043567501443601</v>
      </c>
      <c r="AV316">
        <f t="shared" si="104"/>
        <v>658.78899052802785</v>
      </c>
      <c r="AY316">
        <f>AY311</f>
        <v>6.0000000000000001E-3</v>
      </c>
      <c r="BB316">
        <f t="shared" si="115"/>
        <v>0.24</v>
      </c>
    </row>
    <row r="317" spans="1:64" x14ac:dyDescent="0.2">
      <c r="A317" t="s">
        <v>160</v>
      </c>
      <c r="B317">
        <f>IF(B311="Hereford or Shorthorn", 1.3, 0)</f>
        <v>0</v>
      </c>
      <c r="H317" t="s">
        <v>163</v>
      </c>
      <c r="J317">
        <v>91.25</v>
      </c>
      <c r="K317">
        <v>30</v>
      </c>
      <c r="M317">
        <v>550</v>
      </c>
      <c r="O317">
        <v>0.55000000000000004</v>
      </c>
      <c r="P317">
        <v>770</v>
      </c>
      <c r="Q317">
        <f t="shared" si="105"/>
        <v>0.7142857142857143</v>
      </c>
      <c r="S317">
        <v>0</v>
      </c>
      <c r="T317">
        <v>0</v>
      </c>
      <c r="U317">
        <v>0</v>
      </c>
      <c r="V317">
        <v>0</v>
      </c>
      <c r="W317">
        <f>S317*B313+T317*B314</f>
        <v>0</v>
      </c>
      <c r="X317">
        <f t="shared" si="100"/>
        <v>1</v>
      </c>
      <c r="Y317">
        <f t="shared" si="101"/>
        <v>9.4172265624999998</v>
      </c>
      <c r="Z317">
        <f t="shared" si="106"/>
        <v>1.1232485855885854</v>
      </c>
      <c r="AC317">
        <v>0.09</v>
      </c>
      <c r="AE317">
        <v>0.55000000000000004</v>
      </c>
      <c r="AF317">
        <f t="shared" si="102"/>
        <v>4.2452857343749999</v>
      </c>
      <c r="AG317">
        <f t="shared" si="107"/>
        <v>0.19</v>
      </c>
      <c r="AH317">
        <f t="shared" si="108"/>
        <v>0.6784</v>
      </c>
      <c r="AI317">
        <f>AI311</f>
        <v>1E-3</v>
      </c>
      <c r="AK317">
        <f>AK311</f>
        <v>0.76</v>
      </c>
      <c r="AL317">
        <f>AL311</f>
        <v>99.998999999999995</v>
      </c>
      <c r="AM317">
        <f>AM311</f>
        <v>4.7000000000000002E-3</v>
      </c>
      <c r="AN317">
        <f t="shared" si="109"/>
        <v>4.1587226601368002E-6</v>
      </c>
      <c r="AO317">
        <f t="shared" si="110"/>
        <v>2.5718159266681488E-3</v>
      </c>
      <c r="AP317">
        <f t="shared" si="111"/>
        <v>2.5759746493282856E-3</v>
      </c>
      <c r="AQ317">
        <f t="shared" si="112"/>
        <v>7.051730602536181</v>
      </c>
      <c r="AS317">
        <f t="shared" si="113"/>
        <v>0</v>
      </c>
      <c r="AT317">
        <f t="shared" si="103"/>
        <v>7.3970503442349553E-3</v>
      </c>
      <c r="AU317">
        <f t="shared" si="114"/>
        <v>0.12621214153442706</v>
      </c>
      <c r="AV317">
        <f t="shared" si="104"/>
        <v>345.50573745049405</v>
      </c>
      <c r="AY317">
        <f>AY311</f>
        <v>6.0000000000000001E-3</v>
      </c>
      <c r="BB317">
        <f t="shared" si="115"/>
        <v>0.24</v>
      </c>
    </row>
    <row r="318" spans="1:64" x14ac:dyDescent="0.2">
      <c r="A318" t="s">
        <v>162</v>
      </c>
      <c r="B318">
        <f>IF(B311="Hereford or Shorthorn", 1.1, 1.3)</f>
        <v>1.3</v>
      </c>
      <c r="H318" t="s">
        <v>164</v>
      </c>
      <c r="J318">
        <v>91.25</v>
      </c>
      <c r="K318">
        <v>5</v>
      </c>
      <c r="M318">
        <v>500</v>
      </c>
      <c r="O318">
        <v>-0.55000000000000004</v>
      </c>
      <c r="P318">
        <v>770</v>
      </c>
      <c r="Q318">
        <f t="shared" si="105"/>
        <v>0.64935064935064934</v>
      </c>
      <c r="S318">
        <v>0</v>
      </c>
      <c r="T318">
        <v>0</v>
      </c>
      <c r="U318">
        <v>0</v>
      </c>
      <c r="V318">
        <v>0</v>
      </c>
      <c r="W318">
        <f>S318*B313+T318*B314</f>
        <v>0</v>
      </c>
      <c r="X318">
        <f t="shared" si="100"/>
        <v>1</v>
      </c>
      <c r="Y318">
        <f t="shared" si="101"/>
        <v>6.9261080625000018</v>
      </c>
      <c r="Z318">
        <f t="shared" si="106"/>
        <v>0.8802854671280278</v>
      </c>
      <c r="AC318">
        <v>0.06</v>
      </c>
      <c r="AE318">
        <v>0.45</v>
      </c>
      <c r="AF318">
        <f t="shared" si="102"/>
        <v>3.7594914563250015</v>
      </c>
      <c r="AG318">
        <f t="shared" si="107"/>
        <v>0.19</v>
      </c>
      <c r="AH318">
        <f t="shared" si="108"/>
        <v>0.6784</v>
      </c>
      <c r="AI318">
        <f>AI311</f>
        <v>1E-3</v>
      </c>
      <c r="AK318">
        <f>AK311</f>
        <v>0.76</v>
      </c>
      <c r="AL318">
        <f>AL311</f>
        <v>99.998999999999995</v>
      </c>
      <c r="AM318">
        <f>AM311</f>
        <v>4.7000000000000002E-3</v>
      </c>
      <c r="AN318">
        <f t="shared" si="109"/>
        <v>3.6828339217339522E-6</v>
      </c>
      <c r="AO318">
        <f t="shared" si="110"/>
        <v>2.2775192551256914E-3</v>
      </c>
      <c r="AP318">
        <f t="shared" si="111"/>
        <v>2.2812020890474252E-3</v>
      </c>
      <c r="AQ318">
        <f t="shared" si="112"/>
        <v>1.0407984531278878</v>
      </c>
      <c r="AS318">
        <f t="shared" si="113"/>
        <v>0</v>
      </c>
      <c r="AT318">
        <f t="shared" si="103"/>
        <v>-8.0361182910665442E-3</v>
      </c>
      <c r="AU318">
        <f t="shared" si="114"/>
        <v>7.2665782267411161E-2</v>
      </c>
      <c r="AV318">
        <f t="shared" si="104"/>
        <v>33.15376315950634</v>
      </c>
      <c r="AY318">
        <f>AY311</f>
        <v>6.0000000000000001E-3</v>
      </c>
      <c r="BB318">
        <f t="shared" si="115"/>
        <v>0.24</v>
      </c>
    </row>
    <row r="319" spans="1:64" x14ac:dyDescent="0.2">
      <c r="A319" t="s">
        <v>163</v>
      </c>
      <c r="B319">
        <f>IF(B311="Hereford or Shorthorn", 0, 1.1)</f>
        <v>1.1000000000000001</v>
      </c>
      <c r="G319" t="s">
        <v>177</v>
      </c>
      <c r="H319" t="s">
        <v>160</v>
      </c>
      <c r="J319">
        <v>91.25</v>
      </c>
      <c r="K319">
        <v>100</v>
      </c>
      <c r="M319">
        <v>260</v>
      </c>
      <c r="O319">
        <v>0.22</v>
      </c>
      <c r="P319">
        <v>550</v>
      </c>
      <c r="Q319">
        <f t="shared" si="105"/>
        <v>0.47272727272727272</v>
      </c>
      <c r="S319">
        <v>0</v>
      </c>
      <c r="T319">
        <v>0</v>
      </c>
      <c r="U319">
        <v>0</v>
      </c>
      <c r="V319">
        <v>0</v>
      </c>
      <c r="W319">
        <f>S319*B313+T319*B314</f>
        <v>0</v>
      </c>
      <c r="X319">
        <f t="shared" si="100"/>
        <v>1</v>
      </c>
      <c r="Y319">
        <f t="shared" si="101"/>
        <v>5.1028099236000015</v>
      </c>
      <c r="Z319">
        <f t="shared" si="106"/>
        <v>1.0642997380149821</v>
      </c>
      <c r="AC319">
        <v>0.04</v>
      </c>
      <c r="AE319">
        <v>0.4</v>
      </c>
      <c r="AF319">
        <f t="shared" si="102"/>
        <v>3.0045344830156813</v>
      </c>
      <c r="AG319">
        <f t="shared" si="107"/>
        <v>0.19</v>
      </c>
      <c r="AH319">
        <f t="shared" si="108"/>
        <v>0.6784</v>
      </c>
      <c r="AI319">
        <f>AI311</f>
        <v>1E-3</v>
      </c>
      <c r="AK319">
        <f>AK311</f>
        <v>0.76</v>
      </c>
      <c r="AL319">
        <f>AL311</f>
        <v>99.998999999999995</v>
      </c>
      <c r="AM319">
        <f>AM311</f>
        <v>4.7000000000000002E-3</v>
      </c>
      <c r="AN319">
        <f t="shared" si="109"/>
        <v>2.9432708230931986E-6</v>
      </c>
      <c r="AO319">
        <f t="shared" si="110"/>
        <v>1.8201624387907036E-3</v>
      </c>
      <c r="AP319">
        <f t="shared" si="111"/>
        <v>1.8231057096137968E-3</v>
      </c>
      <c r="AQ319">
        <f t="shared" si="112"/>
        <v>16.635839600225896</v>
      </c>
      <c r="AS319">
        <f t="shared" si="113"/>
        <v>0</v>
      </c>
      <c r="AT319">
        <f t="shared" si="103"/>
        <v>4.2068109787787977E-3</v>
      </c>
      <c r="AU319">
        <f t="shared" si="114"/>
        <v>2.7311598147124926E-2</v>
      </c>
      <c r="AV319">
        <f t="shared" si="104"/>
        <v>249.21833309251494</v>
      </c>
      <c r="AY319">
        <f>AY311</f>
        <v>6.0000000000000001E-3</v>
      </c>
      <c r="BB319">
        <f t="shared" si="115"/>
        <v>0.24</v>
      </c>
    </row>
    <row r="320" spans="1:64" x14ac:dyDescent="0.2">
      <c r="A320" t="s">
        <v>164</v>
      </c>
      <c r="B320">
        <v>0</v>
      </c>
      <c r="G320">
        <v>4</v>
      </c>
      <c r="H320" t="s">
        <v>162</v>
      </c>
      <c r="J320">
        <v>91.25</v>
      </c>
      <c r="K320">
        <v>140</v>
      </c>
      <c r="M320">
        <v>310</v>
      </c>
      <c r="O320">
        <v>0.66</v>
      </c>
      <c r="P320">
        <v>550</v>
      </c>
      <c r="Q320">
        <f t="shared" si="105"/>
        <v>0.5636363636363636</v>
      </c>
      <c r="S320">
        <v>0</v>
      </c>
      <c r="T320">
        <v>0</v>
      </c>
      <c r="U320">
        <v>0</v>
      </c>
      <c r="V320">
        <v>0</v>
      </c>
      <c r="W320">
        <f>S320*B313+T320*B314</f>
        <v>0</v>
      </c>
      <c r="X320">
        <f t="shared" si="100"/>
        <v>1</v>
      </c>
      <c r="Y320">
        <f t="shared" si="101"/>
        <v>6.5047441936000006</v>
      </c>
      <c r="Z320">
        <f t="shared" si="106"/>
        <v>1.1853761674427448</v>
      </c>
      <c r="AC320">
        <v>0.12</v>
      </c>
      <c r="AE320">
        <v>0.65</v>
      </c>
      <c r="AF320">
        <f t="shared" si="102"/>
        <v>2.33390221666368</v>
      </c>
      <c r="AG320">
        <f t="shared" si="107"/>
        <v>0.19</v>
      </c>
      <c r="AH320">
        <f t="shared" si="108"/>
        <v>0.6784</v>
      </c>
      <c r="AI320">
        <f>AI311</f>
        <v>1E-3</v>
      </c>
      <c r="AK320">
        <f>AK311</f>
        <v>0.76</v>
      </c>
      <c r="AL320">
        <f>AL311</f>
        <v>99.998999999999995</v>
      </c>
      <c r="AM320">
        <f>AM311</f>
        <v>4.7000000000000002E-3</v>
      </c>
      <c r="AN320">
        <f t="shared" si="109"/>
        <v>2.2863130169050211E-6</v>
      </c>
      <c r="AO320">
        <f t="shared" si="110"/>
        <v>1.4138899635186585E-3</v>
      </c>
      <c r="AP320">
        <f t="shared" si="111"/>
        <v>1.4161762765355634E-3</v>
      </c>
      <c r="AQ320">
        <f t="shared" si="112"/>
        <v>18.091651932741822</v>
      </c>
      <c r="AS320">
        <f t="shared" si="113"/>
        <v>0</v>
      </c>
      <c r="AT320">
        <f t="shared" si="103"/>
        <v>1.087426671431581E-2</v>
      </c>
      <c r="AU320">
        <f t="shared" si="114"/>
        <v>0.11271655061830807</v>
      </c>
      <c r="AV320">
        <f t="shared" si="104"/>
        <v>1439.9539341488855</v>
      </c>
      <c r="AY320">
        <f>AY311</f>
        <v>6.0000000000000001E-3</v>
      </c>
      <c r="BB320">
        <f t="shared" si="115"/>
        <v>0.24</v>
      </c>
    </row>
    <row r="321" spans="7:54" x14ac:dyDescent="0.2">
      <c r="H321" t="s">
        <v>163</v>
      </c>
      <c r="J321">
        <v>91.25</v>
      </c>
      <c r="K321">
        <v>130</v>
      </c>
      <c r="M321">
        <v>330</v>
      </c>
      <c r="O321">
        <v>0.22</v>
      </c>
      <c r="P321">
        <v>550</v>
      </c>
      <c r="Q321">
        <f t="shared" si="105"/>
        <v>0.6</v>
      </c>
      <c r="S321">
        <v>0</v>
      </c>
      <c r="T321">
        <v>0</v>
      </c>
      <c r="U321">
        <v>0</v>
      </c>
      <c r="V321">
        <v>0</v>
      </c>
      <c r="W321">
        <f>S321*B313+T321*B314</f>
        <v>0</v>
      </c>
      <c r="X321">
        <f t="shared" si="100"/>
        <v>1</v>
      </c>
      <c r="Y321">
        <f t="shared" si="101"/>
        <v>6.0977388096000018</v>
      </c>
      <c r="Z321">
        <f t="shared" si="106"/>
        <v>1.0585822802243749</v>
      </c>
      <c r="AC321">
        <v>0.09</v>
      </c>
      <c r="AE321">
        <v>0.55000000000000004</v>
      </c>
      <c r="AF321">
        <f t="shared" si="102"/>
        <v>2.7488606553676811</v>
      </c>
      <c r="AG321">
        <f t="shared" si="107"/>
        <v>0.19</v>
      </c>
      <c r="AH321">
        <f t="shared" si="108"/>
        <v>0.6784</v>
      </c>
      <c r="AI321">
        <f>AI311</f>
        <v>1E-3</v>
      </c>
      <c r="AK321">
        <f>AK311</f>
        <v>0.76</v>
      </c>
      <c r="AL321">
        <f>AL311</f>
        <v>99.998999999999995</v>
      </c>
      <c r="AM321">
        <f>AM311</f>
        <v>4.7000000000000002E-3</v>
      </c>
      <c r="AN321">
        <f t="shared" si="109"/>
        <v>2.6928102870604727E-6</v>
      </c>
      <c r="AO321">
        <f t="shared" si="110"/>
        <v>1.6652739193553587E-3</v>
      </c>
      <c r="AP321">
        <f t="shared" si="111"/>
        <v>1.6679667296424191E-3</v>
      </c>
      <c r="AQ321">
        <f t="shared" si="112"/>
        <v>19.786255330383199</v>
      </c>
      <c r="AS321">
        <f t="shared" si="113"/>
        <v>0</v>
      </c>
      <c r="AT321">
        <f t="shared" si="103"/>
        <v>3.4375567188944271E-3</v>
      </c>
      <c r="AU321">
        <f t="shared" si="114"/>
        <v>8.3007188832729326E-2</v>
      </c>
      <c r="AV321">
        <f t="shared" si="104"/>
        <v>984.67277752825157</v>
      </c>
      <c r="AY321">
        <f>AY311</f>
        <v>6.0000000000000001E-3</v>
      </c>
      <c r="BB321">
        <f t="shared" si="115"/>
        <v>0.24</v>
      </c>
    </row>
    <row r="322" spans="7:54" x14ac:dyDescent="0.2">
      <c r="H322" t="s">
        <v>164</v>
      </c>
      <c r="J322">
        <v>91.25</v>
      </c>
      <c r="K322">
        <v>105</v>
      </c>
      <c r="M322">
        <v>340</v>
      </c>
      <c r="O322">
        <v>0.11</v>
      </c>
      <c r="P322">
        <v>550</v>
      </c>
      <c r="Q322">
        <f t="shared" si="105"/>
        <v>0.61818181818181817</v>
      </c>
      <c r="S322">
        <v>0</v>
      </c>
      <c r="T322">
        <v>0</v>
      </c>
      <c r="U322">
        <v>0</v>
      </c>
      <c r="V322">
        <v>0</v>
      </c>
      <c r="W322">
        <f>S322*B313+T322*B314</f>
        <v>0</v>
      </c>
      <c r="X322">
        <f t="shared" si="100"/>
        <v>1</v>
      </c>
      <c r="Y322">
        <f t="shared" si="101"/>
        <v>6.0648420361000017</v>
      </c>
      <c r="Z322">
        <f t="shared" si="106"/>
        <v>1.0287451945498933</v>
      </c>
      <c r="AC322">
        <v>0.06</v>
      </c>
      <c r="AE322">
        <v>0.45</v>
      </c>
      <c r="AF322">
        <f t="shared" si="102"/>
        <v>3.2919962571950814</v>
      </c>
      <c r="AG322">
        <f t="shared" si="107"/>
        <v>0.19</v>
      </c>
      <c r="AH322">
        <f t="shared" si="108"/>
        <v>0.6784</v>
      </c>
      <c r="AI322">
        <f>AI311</f>
        <v>1E-3</v>
      </c>
      <c r="AK322">
        <f>AK311</f>
        <v>0.76</v>
      </c>
      <c r="AL322">
        <f>AL311</f>
        <v>99.998999999999995</v>
      </c>
      <c r="AM322">
        <f>AM311</f>
        <v>4.7000000000000002E-3</v>
      </c>
      <c r="AN322">
        <f t="shared" si="109"/>
        <v>3.224871136712371E-6</v>
      </c>
      <c r="AO322">
        <f t="shared" si="110"/>
        <v>1.9943082596848311E-3</v>
      </c>
      <c r="AP322">
        <f t="shared" si="111"/>
        <v>1.9975331308215434E-3</v>
      </c>
      <c r="AQ322">
        <f t="shared" si="112"/>
        <v>19.13886430968391</v>
      </c>
      <c r="AS322">
        <f t="shared" si="113"/>
        <v>0</v>
      </c>
      <c r="AT322">
        <f t="shared" si="103"/>
        <v>1.6746037509255468E-3</v>
      </c>
      <c r="AU322">
        <f t="shared" si="114"/>
        <v>5.5154332041898735E-2</v>
      </c>
      <c r="AV322">
        <f t="shared" si="104"/>
        <v>528.44744387644221</v>
      </c>
      <c r="AY322">
        <f>AY311</f>
        <v>6.0000000000000001E-3</v>
      </c>
      <c r="BB322">
        <f t="shared" si="115"/>
        <v>0.24</v>
      </c>
    </row>
    <row r="323" spans="7:54" x14ac:dyDescent="0.2">
      <c r="G323" t="s">
        <v>179</v>
      </c>
      <c r="H323" t="s">
        <v>160</v>
      </c>
      <c r="J323">
        <v>91.25</v>
      </c>
      <c r="K323">
        <v>130</v>
      </c>
      <c r="M323">
        <v>340</v>
      </c>
      <c r="O323">
        <v>-0.22</v>
      </c>
      <c r="P323">
        <v>550</v>
      </c>
      <c r="Q323">
        <f t="shared" si="105"/>
        <v>0.61818181818181817</v>
      </c>
      <c r="S323">
        <v>0</v>
      </c>
      <c r="T323">
        <v>0</v>
      </c>
      <c r="U323">
        <v>0</v>
      </c>
      <c r="V323">
        <v>0</v>
      </c>
      <c r="W323">
        <f>S323*B313+T323*B314</f>
        <v>0</v>
      </c>
      <c r="X323">
        <f t="shared" si="100"/>
        <v>1</v>
      </c>
      <c r="Y323">
        <f t="shared" si="101"/>
        <v>5.5636543876000006</v>
      </c>
      <c r="Z323">
        <f t="shared" si="106"/>
        <v>0.94373154013100757</v>
      </c>
      <c r="AC323">
        <v>0.04</v>
      </c>
      <c r="AE323">
        <v>0.4</v>
      </c>
      <c r="AF323">
        <f t="shared" si="102"/>
        <v>3.2758797034188802</v>
      </c>
      <c r="AG323">
        <f t="shared" si="107"/>
        <v>0.19</v>
      </c>
      <c r="AH323">
        <f t="shared" si="108"/>
        <v>0.6784</v>
      </c>
      <c r="AI323">
        <f>AI311</f>
        <v>1E-3</v>
      </c>
      <c r="AK323">
        <f>AK311</f>
        <v>0.76</v>
      </c>
      <c r="AL323">
        <f>AL311</f>
        <v>99.998999999999995</v>
      </c>
      <c r="AM323">
        <f>AM311</f>
        <v>4.7000000000000002E-3</v>
      </c>
      <c r="AN323">
        <f t="shared" si="109"/>
        <v>3.2090832059142881E-6</v>
      </c>
      <c r="AO323">
        <f t="shared" si="110"/>
        <v>1.984544768537694E-3</v>
      </c>
      <c r="AP323">
        <f t="shared" si="111"/>
        <v>1.9877538517436085E-3</v>
      </c>
      <c r="AQ323">
        <f t="shared" si="112"/>
        <v>23.579730066308553</v>
      </c>
      <c r="AS323">
        <f t="shared" si="113"/>
        <v>0</v>
      </c>
      <c r="AT323">
        <f t="shared" si="103"/>
        <v>-3.3538908031618144E-3</v>
      </c>
      <c r="AU323">
        <f t="shared" si="114"/>
        <v>3.7567731130066083E-2</v>
      </c>
      <c r="AV323">
        <f t="shared" si="104"/>
        <v>445.64721053040887</v>
      </c>
      <c r="AY323">
        <f>AY311</f>
        <v>6.0000000000000001E-3</v>
      </c>
      <c r="BB323">
        <f t="shared" si="115"/>
        <v>0.24</v>
      </c>
    </row>
    <row r="324" spans="7:54" x14ac:dyDescent="0.2">
      <c r="G324" t="s">
        <v>195</v>
      </c>
      <c r="H324" t="s">
        <v>162</v>
      </c>
      <c r="J324">
        <v>91.25</v>
      </c>
      <c r="K324">
        <v>162</v>
      </c>
      <c r="M324">
        <v>360</v>
      </c>
      <c r="O324">
        <v>0.55000000000000004</v>
      </c>
      <c r="P324">
        <v>550</v>
      </c>
      <c r="Q324">
        <f t="shared" si="105"/>
        <v>0.65454545454545454</v>
      </c>
      <c r="S324">
        <v>0.75</v>
      </c>
      <c r="T324">
        <v>0</v>
      </c>
      <c r="U324">
        <v>0</v>
      </c>
      <c r="V324">
        <v>0</v>
      </c>
      <c r="W324">
        <f>S324*B313+T324*B314</f>
        <v>3</v>
      </c>
      <c r="X324">
        <f t="shared" si="100"/>
        <v>1.2250000000000001</v>
      </c>
      <c r="Y324">
        <f t="shared" si="101"/>
        <v>8.6395444857224994</v>
      </c>
      <c r="Z324">
        <f t="shared" si="106"/>
        <v>1.1444510857303707</v>
      </c>
      <c r="AC324">
        <v>0.12</v>
      </c>
      <c r="AE324">
        <v>0.65</v>
      </c>
      <c r="AF324">
        <f t="shared" si="102"/>
        <v>3.0998685614772326</v>
      </c>
      <c r="AG324">
        <f t="shared" si="107"/>
        <v>0.19</v>
      </c>
      <c r="AH324">
        <f t="shared" si="108"/>
        <v>0.6784</v>
      </c>
      <c r="AI324">
        <f>AI311</f>
        <v>1E-3</v>
      </c>
      <c r="AK324">
        <f>AK311</f>
        <v>0.76</v>
      </c>
      <c r="AL324">
        <f>AL311</f>
        <v>99.998999999999995</v>
      </c>
      <c r="AM324">
        <f>AM311</f>
        <v>4.7000000000000002E-3</v>
      </c>
      <c r="AN324">
        <f t="shared" si="109"/>
        <v>3.0366610015612868E-6</v>
      </c>
      <c r="AO324">
        <f t="shared" si="110"/>
        <v>1.8779163137198651E-3</v>
      </c>
      <c r="AP324">
        <f t="shared" si="111"/>
        <v>1.8809529747214264E-3</v>
      </c>
      <c r="AQ324">
        <f t="shared" si="112"/>
        <v>27.805187348819484</v>
      </c>
      <c r="AS324">
        <f t="shared" si="113"/>
        <v>0</v>
      </c>
      <c r="AT324">
        <f t="shared" si="103"/>
        <v>2.2996971852789996E-2</v>
      </c>
      <c r="AU324">
        <f t="shared" si="114"/>
        <v>0.14142769580383729</v>
      </c>
      <c r="AV324">
        <f t="shared" si="104"/>
        <v>2090.6549132202249</v>
      </c>
      <c r="AY324">
        <f>AY311</f>
        <v>6.0000000000000001E-3</v>
      </c>
      <c r="BB324">
        <f t="shared" si="115"/>
        <v>0.24</v>
      </c>
    </row>
    <row r="325" spans="7:54" x14ac:dyDescent="0.2">
      <c r="H325" t="s">
        <v>163</v>
      </c>
      <c r="J325">
        <v>91.25</v>
      </c>
      <c r="K325">
        <v>158</v>
      </c>
      <c r="M325">
        <v>380</v>
      </c>
      <c r="O325">
        <v>0.22</v>
      </c>
      <c r="P325">
        <v>550</v>
      </c>
      <c r="Q325">
        <f t="shared" si="105"/>
        <v>0.69090909090909092</v>
      </c>
      <c r="S325">
        <v>0.15</v>
      </c>
      <c r="T325">
        <v>0.76</v>
      </c>
      <c r="U325">
        <v>0</v>
      </c>
      <c r="V325">
        <v>0</v>
      </c>
      <c r="W325">
        <f>S325*B313+T325*B314</f>
        <v>2.8800000000000003</v>
      </c>
      <c r="X325">
        <f t="shared" si="100"/>
        <v>1.121</v>
      </c>
      <c r="Y325">
        <f t="shared" si="101"/>
        <v>7.6016450301155976</v>
      </c>
      <c r="Z325">
        <f t="shared" si="106"/>
        <v>1.0554272012925048</v>
      </c>
      <c r="AC325">
        <v>0.09</v>
      </c>
      <c r="AE325">
        <v>0.55000000000000004</v>
      </c>
      <c r="AF325">
        <f t="shared" si="102"/>
        <v>3.4268215795761114</v>
      </c>
      <c r="AG325">
        <f t="shared" si="107"/>
        <v>0.19</v>
      </c>
      <c r="AH325">
        <f t="shared" si="108"/>
        <v>0.6784</v>
      </c>
      <c r="AI325">
        <f>AI311</f>
        <v>1E-3</v>
      </c>
      <c r="AK325">
        <f>AK311</f>
        <v>0.76</v>
      </c>
      <c r="AL325">
        <f>AL311</f>
        <v>99.998999999999995</v>
      </c>
      <c r="AM325">
        <f>AM311</f>
        <v>4.7000000000000002E-3</v>
      </c>
      <c r="AN325">
        <f t="shared" si="109"/>
        <v>3.3569473168399231E-6</v>
      </c>
      <c r="AO325">
        <f t="shared" si="110"/>
        <v>2.0759861332399665E-3</v>
      </c>
      <c r="AP325">
        <f t="shared" si="111"/>
        <v>2.0793430805568064E-3</v>
      </c>
      <c r="AQ325">
        <f t="shared" si="112"/>
        <v>29.978928863927756</v>
      </c>
      <c r="AS325">
        <f t="shared" si="113"/>
        <v>0</v>
      </c>
      <c r="AT325">
        <f t="shared" si="103"/>
        <v>1.7486972463479165E-2</v>
      </c>
      <c r="AU325">
        <f t="shared" si="114"/>
        <v>9.0461933169798378E-2</v>
      </c>
      <c r="AV325">
        <f t="shared" si="104"/>
        <v>1304.2349214755682</v>
      </c>
      <c r="AY325">
        <f>AY311</f>
        <v>6.0000000000000001E-3</v>
      </c>
      <c r="BB325">
        <f t="shared" si="115"/>
        <v>0.24</v>
      </c>
    </row>
    <row r="326" spans="7:54" x14ac:dyDescent="0.2">
      <c r="H326" t="s">
        <v>164</v>
      </c>
      <c r="J326">
        <v>91.25</v>
      </c>
      <c r="K326">
        <v>130</v>
      </c>
      <c r="M326">
        <v>360</v>
      </c>
      <c r="O326">
        <v>-0.22</v>
      </c>
      <c r="P326">
        <v>550</v>
      </c>
      <c r="Q326">
        <f t="shared" si="105"/>
        <v>0.65454545454545454</v>
      </c>
      <c r="S326">
        <v>0</v>
      </c>
      <c r="T326">
        <v>0.14000000000000001</v>
      </c>
      <c r="U326">
        <v>0</v>
      </c>
      <c r="V326">
        <v>0</v>
      </c>
      <c r="W326">
        <f>S326*B313+T326*B314</f>
        <v>0.42000000000000004</v>
      </c>
      <c r="X326">
        <f t="shared" si="100"/>
        <v>1.014</v>
      </c>
      <c r="Y326">
        <f t="shared" si="101"/>
        <v>5.9047700848343991</v>
      </c>
      <c r="Z326">
        <f t="shared" si="106"/>
        <v>0.94494714253785794</v>
      </c>
      <c r="AC326">
        <v>0.06</v>
      </c>
      <c r="AE326">
        <v>0.45</v>
      </c>
      <c r="AF326">
        <f t="shared" si="102"/>
        <v>3.2051092020481122</v>
      </c>
      <c r="AG326">
        <f t="shared" si="107"/>
        <v>0.19</v>
      </c>
      <c r="AH326">
        <f t="shared" si="108"/>
        <v>0.6784</v>
      </c>
      <c r="AI326">
        <f>AI311</f>
        <v>1E-3</v>
      </c>
      <c r="AK326">
        <f>AK311</f>
        <v>0.76</v>
      </c>
      <c r="AL326">
        <f>AL311</f>
        <v>99.998999999999995</v>
      </c>
      <c r="AM326">
        <f>AM311</f>
        <v>4.7000000000000002E-3</v>
      </c>
      <c r="AN326">
        <f t="shared" si="109"/>
        <v>3.1397557433746707E-6</v>
      </c>
      <c r="AO326">
        <f t="shared" si="110"/>
        <v>1.9416716349132911E-3</v>
      </c>
      <c r="AP326">
        <f t="shared" si="111"/>
        <v>1.9448113906566657E-3</v>
      </c>
      <c r="AQ326">
        <f t="shared" si="112"/>
        <v>23.070325121664698</v>
      </c>
      <c r="AS326">
        <f t="shared" si="113"/>
        <v>0</v>
      </c>
      <c r="AT326">
        <f t="shared" si="103"/>
        <v>-1.0826172953280048E-3</v>
      </c>
      <c r="AU326">
        <f t="shared" si="114"/>
        <v>5.6313823640493546E-2</v>
      </c>
      <c r="AV326">
        <f t="shared" si="104"/>
        <v>668.02273293535461</v>
      </c>
      <c r="AY326">
        <f>AY311</f>
        <v>6.0000000000000001E-3</v>
      </c>
      <c r="BB326">
        <f t="shared" si="115"/>
        <v>0.24</v>
      </c>
    </row>
    <row r="327" spans="7:54" x14ac:dyDescent="0.2">
      <c r="G327" t="s">
        <v>176</v>
      </c>
      <c r="H327" t="s">
        <v>160</v>
      </c>
      <c r="J327">
        <v>91.25</v>
      </c>
      <c r="K327">
        <v>30</v>
      </c>
      <c r="M327">
        <v>70</v>
      </c>
      <c r="O327">
        <v>0.7</v>
      </c>
      <c r="P327">
        <v>550</v>
      </c>
      <c r="Q327">
        <f t="shared" si="105"/>
        <v>0.12727272727272726</v>
      </c>
      <c r="S327">
        <v>0</v>
      </c>
      <c r="T327">
        <v>0</v>
      </c>
      <c r="U327">
        <f>25/K327</f>
        <v>0.83333333333333337</v>
      </c>
      <c r="V327">
        <f>5/K327</f>
        <v>0.16666666666666666</v>
      </c>
      <c r="W327">
        <f>S327*B313+T327*B314</f>
        <v>0</v>
      </c>
      <c r="X327">
        <f t="shared" si="100"/>
        <v>1</v>
      </c>
      <c r="Y327">
        <f t="shared" si="101"/>
        <v>2.9260155136000003</v>
      </c>
      <c r="Z327">
        <f t="shared" si="106"/>
        <v>1.3178594998320508</v>
      </c>
      <c r="AC327">
        <v>0.04</v>
      </c>
      <c r="AE327">
        <v>0.4</v>
      </c>
      <c r="AF327">
        <f t="shared" si="102"/>
        <v>1.7228379344076803</v>
      </c>
      <c r="AG327">
        <f t="shared" si="107"/>
        <v>0.19</v>
      </c>
      <c r="AH327">
        <f t="shared" si="108"/>
        <v>0.6784</v>
      </c>
      <c r="AI327">
        <f>AI311</f>
        <v>1E-3</v>
      </c>
      <c r="AK327">
        <f>AK311</f>
        <v>0.76</v>
      </c>
      <c r="AL327">
        <f>AL311</f>
        <v>99.998999999999995</v>
      </c>
      <c r="AM327">
        <f>AM311</f>
        <v>4.7000000000000002E-3</v>
      </c>
      <c r="AN327">
        <f t="shared" si="109"/>
        <v>1.6877085797899341E-6</v>
      </c>
      <c r="AO327">
        <f t="shared" si="110"/>
        <v>1.0437040793038737E-3</v>
      </c>
      <c r="AP327">
        <f t="shared" si="111"/>
        <v>1.0453917878836636E-3</v>
      </c>
      <c r="AQ327">
        <f t="shared" si="112"/>
        <v>2.8617600193315291</v>
      </c>
      <c r="AS327">
        <f t="shared" si="113"/>
        <v>3.8333333333333335</v>
      </c>
      <c r="AT327">
        <f t="shared" si="103"/>
        <v>1.9964346483033385E-2</v>
      </c>
      <c r="AU327">
        <f t="shared" si="114"/>
        <v>1.7562975058560762E-2</v>
      </c>
      <c r="AV327">
        <f t="shared" si="104"/>
        <v>48.078644222810091</v>
      </c>
      <c r="AY327">
        <f>AY311</f>
        <v>6.0000000000000001E-3</v>
      </c>
      <c r="BB327">
        <f t="shared" si="115"/>
        <v>0.24</v>
      </c>
    </row>
    <row r="328" spans="7:54" x14ac:dyDescent="0.2">
      <c r="G328">
        <v>3</v>
      </c>
      <c r="H328" t="s">
        <v>162</v>
      </c>
      <c r="J328">
        <v>91.25</v>
      </c>
      <c r="K328">
        <v>68</v>
      </c>
      <c r="M328">
        <v>140</v>
      </c>
      <c r="O328">
        <v>0.77</v>
      </c>
      <c r="P328">
        <v>550</v>
      </c>
      <c r="Q328">
        <f t="shared" si="105"/>
        <v>0.25454545454545452</v>
      </c>
      <c r="S328">
        <v>0</v>
      </c>
      <c r="T328">
        <v>0</v>
      </c>
      <c r="U328">
        <f>40/K328</f>
        <v>0.58823529411764708</v>
      </c>
      <c r="V328">
        <f>25/K328</f>
        <v>0.36764705882352944</v>
      </c>
      <c r="W328">
        <f>S328*B313+T328*B314</f>
        <v>0</v>
      </c>
      <c r="X328">
        <f t="shared" si="100"/>
        <v>1</v>
      </c>
      <c r="Y328">
        <f t="shared" si="101"/>
        <v>4.0489085960999995</v>
      </c>
      <c r="Z328">
        <f t="shared" si="106"/>
        <v>1.2929094807945531</v>
      </c>
      <c r="AC328">
        <v>0.12</v>
      </c>
      <c r="AE328">
        <v>0.65</v>
      </c>
      <c r="AF328">
        <f t="shared" si="102"/>
        <v>1.4527484042806798</v>
      </c>
      <c r="AG328">
        <f t="shared" si="107"/>
        <v>0.19</v>
      </c>
      <c r="AH328">
        <f t="shared" si="108"/>
        <v>0.6784</v>
      </c>
      <c r="AI328">
        <f>AI311</f>
        <v>1E-3</v>
      </c>
      <c r="AK328">
        <f>AK311</f>
        <v>0.76</v>
      </c>
      <c r="AL328">
        <f>AL311</f>
        <v>99.998999999999995</v>
      </c>
      <c r="AM328">
        <f>AM311</f>
        <v>4.7000000000000002E-3</v>
      </c>
      <c r="AN328">
        <f t="shared" si="109"/>
        <v>1.4231262832180353E-6</v>
      </c>
      <c r="AO328">
        <f t="shared" si="110"/>
        <v>8.8008245318282289E-4</v>
      </c>
      <c r="AP328">
        <f t="shared" si="111"/>
        <v>8.8150557946604089E-4</v>
      </c>
      <c r="AQ328">
        <f t="shared" si="112"/>
        <v>5.4697421205867833</v>
      </c>
      <c r="AS328">
        <f t="shared" si="113"/>
        <v>3.4558823529411766</v>
      </c>
      <c r="AT328">
        <f t="shared" si="103"/>
        <v>1.9805000862516527E-2</v>
      </c>
      <c r="AU328">
        <f t="shared" si="114"/>
        <v>7.4551300714363597E-2</v>
      </c>
      <c r="AV328">
        <f t="shared" si="104"/>
        <v>462.59082093262617</v>
      </c>
      <c r="AY328">
        <f>AY311</f>
        <v>6.0000000000000001E-3</v>
      </c>
      <c r="BB328">
        <f t="shared" si="115"/>
        <v>0.24</v>
      </c>
    </row>
    <row r="329" spans="7:54" x14ac:dyDescent="0.2">
      <c r="H329" t="s">
        <v>163</v>
      </c>
      <c r="J329">
        <v>91.25</v>
      </c>
      <c r="K329">
        <v>65</v>
      </c>
      <c r="M329">
        <v>220</v>
      </c>
      <c r="O329">
        <v>0.88</v>
      </c>
      <c r="P329">
        <v>550</v>
      </c>
      <c r="Q329">
        <f t="shared" si="105"/>
        <v>0.4</v>
      </c>
      <c r="S329">
        <v>0</v>
      </c>
      <c r="T329">
        <v>0</v>
      </c>
      <c r="U329">
        <v>0</v>
      </c>
      <c r="V329">
        <f>40/K329</f>
        <v>0.61538461538461542</v>
      </c>
      <c r="W329">
        <f>S329*B313+T329*B314</f>
        <v>0</v>
      </c>
      <c r="X329">
        <f t="shared" si="100"/>
        <v>1</v>
      </c>
      <c r="Y329">
        <f t="shared" si="101"/>
        <v>5.4529722255999982</v>
      </c>
      <c r="Z329">
        <f t="shared" si="106"/>
        <v>1.2875361370332146</v>
      </c>
      <c r="AC329">
        <v>0.09</v>
      </c>
      <c r="AE329">
        <v>0.55000000000000004</v>
      </c>
      <c r="AF329">
        <f t="shared" si="102"/>
        <v>2.4581998793004791</v>
      </c>
      <c r="AG329">
        <f t="shared" si="107"/>
        <v>0.19</v>
      </c>
      <c r="AH329">
        <f t="shared" si="108"/>
        <v>0.6784</v>
      </c>
      <c r="AI329">
        <f>AI311</f>
        <v>1E-3</v>
      </c>
      <c r="AK329">
        <f>AK311</f>
        <v>0.76</v>
      </c>
      <c r="AL329">
        <f>AL311</f>
        <v>99.998999999999995</v>
      </c>
      <c r="AM329">
        <f>AM311</f>
        <v>4.7000000000000002E-3</v>
      </c>
      <c r="AN329">
        <f t="shared" si="109"/>
        <v>2.4080762004815907E-6</v>
      </c>
      <c r="AO329">
        <f t="shared" si="110"/>
        <v>1.489190126668691E-3</v>
      </c>
      <c r="AP329">
        <f t="shared" si="111"/>
        <v>1.4915982028691726E-3</v>
      </c>
      <c r="AQ329">
        <f t="shared" si="112"/>
        <v>8.8470418407677798</v>
      </c>
      <c r="AS329">
        <f t="shared" si="113"/>
        <v>1.8461538461538463</v>
      </c>
      <c r="AT329">
        <f t="shared" si="103"/>
        <v>1.876327087581306E-2</v>
      </c>
      <c r="AU329">
        <f t="shared" si="114"/>
        <v>6.8013856287904281E-2</v>
      </c>
      <c r="AV329">
        <f t="shared" si="104"/>
        <v>403.40718510763224</v>
      </c>
      <c r="AY329">
        <f>AY311</f>
        <v>6.0000000000000001E-3</v>
      </c>
      <c r="BB329">
        <f t="shared" si="115"/>
        <v>0.24</v>
      </c>
    </row>
    <row r="330" spans="7:54" x14ac:dyDescent="0.2">
      <c r="H330" t="s">
        <v>164</v>
      </c>
      <c r="J330">
        <v>91.25</v>
      </c>
      <c r="K330">
        <v>62</v>
      </c>
      <c r="M330">
        <v>240</v>
      </c>
      <c r="O330">
        <v>0.22</v>
      </c>
      <c r="P330">
        <v>550</v>
      </c>
      <c r="Q330">
        <f t="shared" si="105"/>
        <v>0.43636363636363634</v>
      </c>
      <c r="S330">
        <v>0</v>
      </c>
      <c r="T330">
        <v>0</v>
      </c>
      <c r="U330">
        <f>5/K330</f>
        <v>8.0645161290322578E-2</v>
      </c>
      <c r="V330">
        <v>0</v>
      </c>
      <c r="W330">
        <f>S330*B313+T330*B314</f>
        <v>0</v>
      </c>
      <c r="X330">
        <f t="shared" si="100"/>
        <v>1</v>
      </c>
      <c r="Y330">
        <f t="shared" si="101"/>
        <v>4.8142503396</v>
      </c>
      <c r="Z330">
        <f t="shared" si="106"/>
        <v>1.0662921280996607</v>
      </c>
      <c r="AC330">
        <v>0.06</v>
      </c>
      <c r="AE330">
        <v>0.45</v>
      </c>
      <c r="AF330">
        <f t="shared" si="102"/>
        <v>2.6131750843348804</v>
      </c>
      <c r="AG330">
        <f t="shared" si="107"/>
        <v>0.19</v>
      </c>
      <c r="AH330">
        <f t="shared" si="108"/>
        <v>0.6784</v>
      </c>
      <c r="AI330">
        <f>AI311</f>
        <v>1E-3</v>
      </c>
      <c r="AK330">
        <f>AK311</f>
        <v>0.76</v>
      </c>
      <c r="AL330">
        <f>AL311</f>
        <v>99.998999999999995</v>
      </c>
      <c r="AM330">
        <f>AM311</f>
        <v>4.7000000000000002E-3</v>
      </c>
      <c r="AN330">
        <f t="shared" si="109"/>
        <v>2.5598913990952591E-6</v>
      </c>
      <c r="AO330">
        <f t="shared" si="110"/>
        <v>1.5830749027436787E-3</v>
      </c>
      <c r="AP330">
        <f t="shared" si="111"/>
        <v>1.5856347941427739E-3</v>
      </c>
      <c r="AQ330">
        <f t="shared" si="112"/>
        <v>8.9707288478627429</v>
      </c>
      <c r="AS330">
        <f t="shared" si="113"/>
        <v>0.32258064516129031</v>
      </c>
      <c r="AT330">
        <f t="shared" si="103"/>
        <v>4.4600148251045324E-3</v>
      </c>
      <c r="AU330">
        <f>MAX((Y330*AC330/6.25)+(0.032*AS330/6.38)-AT330-((1.1*(10^-4)*(M330^0.75))/6.25), 0)</f>
        <v>4.2301571419724279E-2</v>
      </c>
      <c r="AV330">
        <f t="shared" si="104"/>
        <v>239.3211403070901</v>
      </c>
      <c r="AY330">
        <f>AY311</f>
        <v>6.0000000000000001E-3</v>
      </c>
      <c r="BB330">
        <f t="shared" si="115"/>
        <v>0.24</v>
      </c>
    </row>
    <row r="331" spans="7:54" x14ac:dyDescent="0.2">
      <c r="G331" t="s">
        <v>182</v>
      </c>
      <c r="H331" t="s">
        <v>160</v>
      </c>
      <c r="J331">
        <v>91.25</v>
      </c>
      <c r="K331">
        <v>120</v>
      </c>
      <c r="M331">
        <v>340</v>
      </c>
      <c r="O331">
        <v>-0.22</v>
      </c>
      <c r="P331">
        <v>550</v>
      </c>
      <c r="Q331">
        <f t="shared" si="105"/>
        <v>0.61818181818181817</v>
      </c>
      <c r="S331">
        <v>0</v>
      </c>
      <c r="T331">
        <v>0</v>
      </c>
      <c r="U331">
        <v>0</v>
      </c>
      <c r="V331">
        <v>0</v>
      </c>
      <c r="W331">
        <f>S331*B313+T331*B314</f>
        <v>0</v>
      </c>
      <c r="X331">
        <f t="shared" si="100"/>
        <v>1</v>
      </c>
      <c r="Y331">
        <f t="shared" si="101"/>
        <v>5.5636543876000006</v>
      </c>
      <c r="Z331">
        <f t="shared" si="106"/>
        <v>0.94373154013100757</v>
      </c>
      <c r="AC331">
        <v>0.04</v>
      </c>
      <c r="AE331">
        <v>0.4</v>
      </c>
      <c r="AF331">
        <f t="shared" si="102"/>
        <v>3.2758797034188802</v>
      </c>
      <c r="AG331">
        <f t="shared" si="107"/>
        <v>0.19</v>
      </c>
      <c r="AH331">
        <f t="shared" si="108"/>
        <v>0.6784</v>
      </c>
      <c r="AI331">
        <f>AI311</f>
        <v>1E-3</v>
      </c>
      <c r="AK331">
        <f>AK311</f>
        <v>0.76</v>
      </c>
      <c r="AL331">
        <f>AL311</f>
        <v>99.998999999999995</v>
      </c>
      <c r="AM331">
        <f>AM311</f>
        <v>4.7000000000000002E-3</v>
      </c>
      <c r="AN331">
        <f t="shared" si="109"/>
        <v>3.2090832059142881E-6</v>
      </c>
      <c r="AO331">
        <f t="shared" si="110"/>
        <v>1.984544768537694E-3</v>
      </c>
      <c r="AP331">
        <f t="shared" si="111"/>
        <v>1.9877538517436085E-3</v>
      </c>
      <c r="AQ331">
        <f t="shared" si="112"/>
        <v>21.765904676592513</v>
      </c>
      <c r="AS331">
        <f t="shared" si="113"/>
        <v>0</v>
      </c>
      <c r="AT331">
        <f t="shared" si="103"/>
        <v>-3.3538908031618144E-3</v>
      </c>
      <c r="AU331">
        <f t="shared" si="114"/>
        <v>3.7567731130066083E-2</v>
      </c>
      <c r="AV331">
        <f t="shared" si="104"/>
        <v>411.36665587422362</v>
      </c>
      <c r="AY331">
        <f>AY311</f>
        <v>6.0000000000000001E-3</v>
      </c>
      <c r="BB331">
        <f t="shared" si="115"/>
        <v>0.24</v>
      </c>
    </row>
    <row r="332" spans="7:54" x14ac:dyDescent="0.2">
      <c r="G332" t="s">
        <v>196</v>
      </c>
      <c r="H332" t="s">
        <v>162</v>
      </c>
      <c r="J332">
        <v>91.25</v>
      </c>
      <c r="K332">
        <v>155</v>
      </c>
      <c r="M332">
        <v>360</v>
      </c>
      <c r="O332">
        <v>0.55000000000000004</v>
      </c>
      <c r="P332">
        <v>550</v>
      </c>
      <c r="Q332">
        <f t="shared" si="105"/>
        <v>0.65454545454545454</v>
      </c>
      <c r="S332">
        <v>0.8</v>
      </c>
      <c r="T332">
        <v>0</v>
      </c>
      <c r="U332">
        <v>0</v>
      </c>
      <c r="V332">
        <v>0</v>
      </c>
      <c r="W332">
        <f>S332*B313+T332*B314</f>
        <v>3.2</v>
      </c>
      <c r="X332">
        <f t="shared" si="100"/>
        <v>1.24</v>
      </c>
      <c r="Y332">
        <f t="shared" si="101"/>
        <v>8.7453348263639992</v>
      </c>
      <c r="Z332">
        <f t="shared" si="106"/>
        <v>1.1444510857303707</v>
      </c>
      <c r="AC332">
        <v>0.12</v>
      </c>
      <c r="AE332">
        <v>0.65</v>
      </c>
      <c r="AF332">
        <f t="shared" si="102"/>
        <v>3.1378261356994033</v>
      </c>
      <c r="AG332">
        <f t="shared" si="107"/>
        <v>0.19</v>
      </c>
      <c r="AH332">
        <f t="shared" si="108"/>
        <v>0.6784</v>
      </c>
      <c r="AI332">
        <f>AI311</f>
        <v>1E-3</v>
      </c>
      <c r="AK332">
        <f>AK311</f>
        <v>0.76</v>
      </c>
      <c r="AL332">
        <f>AL311</f>
        <v>99.998999999999995</v>
      </c>
      <c r="AM332">
        <f>AM311</f>
        <v>4.7000000000000002E-3</v>
      </c>
      <c r="AN332">
        <f t="shared" si="109"/>
        <v>3.073844605662038E-6</v>
      </c>
      <c r="AO332">
        <f t="shared" si="110"/>
        <v>1.9009112073572519E-3</v>
      </c>
      <c r="AP332">
        <f t="shared" si="111"/>
        <v>1.903985051962914E-3</v>
      </c>
      <c r="AQ332">
        <f t="shared" si="112"/>
        <v>26.929488578700465</v>
      </c>
      <c r="AS332">
        <f t="shared" si="113"/>
        <v>0</v>
      </c>
      <c r="AT332">
        <f t="shared" si="103"/>
        <v>2.4000106649028241E-2</v>
      </c>
      <c r="AU332">
        <f t="shared" si="114"/>
        <v>0.14245573554791585</v>
      </c>
      <c r="AV332">
        <f t="shared" si="104"/>
        <v>2014.858309655835</v>
      </c>
      <c r="AY332">
        <f>AY311</f>
        <v>6.0000000000000001E-3</v>
      </c>
      <c r="BB332">
        <f t="shared" si="115"/>
        <v>0.24</v>
      </c>
    </row>
    <row r="333" spans="7:54" x14ac:dyDescent="0.2">
      <c r="H333" t="s">
        <v>163</v>
      </c>
      <c r="J333">
        <v>91.25</v>
      </c>
      <c r="K333">
        <v>152</v>
      </c>
      <c r="M333">
        <v>380</v>
      </c>
      <c r="O333">
        <v>0.22</v>
      </c>
      <c r="P333">
        <v>550</v>
      </c>
      <c r="Q333">
        <f t="shared" si="105"/>
        <v>0.69090909090909092</v>
      </c>
      <c r="S333">
        <v>0.1</v>
      </c>
      <c r="T333">
        <v>0.81</v>
      </c>
      <c r="U333">
        <v>0</v>
      </c>
      <c r="V333">
        <v>0</v>
      </c>
      <c r="W333">
        <f>S333*B313+T333*B314</f>
        <v>2.83</v>
      </c>
      <c r="X333">
        <f t="shared" si="100"/>
        <v>1.1110000000000002</v>
      </c>
      <c r="Y333">
        <f t="shared" si="101"/>
        <v>7.5338337452795994</v>
      </c>
      <c r="Z333">
        <f t="shared" si="106"/>
        <v>1.0554272012925048</v>
      </c>
      <c r="AC333">
        <v>0.09</v>
      </c>
      <c r="AE333">
        <v>0.55000000000000004</v>
      </c>
      <c r="AF333">
        <f t="shared" si="102"/>
        <v>3.3962522523720429</v>
      </c>
      <c r="AG333">
        <f t="shared" si="107"/>
        <v>0.19</v>
      </c>
      <c r="AH333">
        <f t="shared" si="108"/>
        <v>0.6784</v>
      </c>
      <c r="AI333">
        <f>AI311</f>
        <v>1E-3</v>
      </c>
      <c r="AK333">
        <f>AK311</f>
        <v>0.76</v>
      </c>
      <c r="AL333">
        <f>AL311</f>
        <v>99.998999999999995</v>
      </c>
      <c r="AM333">
        <f>AM311</f>
        <v>4.7000000000000002E-3</v>
      </c>
      <c r="AN333">
        <f t="shared" si="109"/>
        <v>3.3270013104452759E-6</v>
      </c>
      <c r="AO333">
        <f t="shared" si="110"/>
        <v>2.0574670776356847E-3</v>
      </c>
      <c r="AP333">
        <f t="shared" si="111"/>
        <v>2.0607940789461299E-3</v>
      </c>
      <c r="AQ333">
        <f t="shared" si="112"/>
        <v>28.583213874982821</v>
      </c>
      <c r="AS333">
        <f t="shared" si="113"/>
        <v>0</v>
      </c>
      <c r="AT333">
        <f t="shared" si="103"/>
        <v>1.7236188764419604E-2</v>
      </c>
      <c r="AU333">
        <f t="shared" si="114"/>
        <v>8.9736234367219572E-2</v>
      </c>
      <c r="AV333">
        <f t="shared" si="104"/>
        <v>1244.6415706733355</v>
      </c>
      <c r="AY333">
        <f>AY311</f>
        <v>6.0000000000000001E-3</v>
      </c>
      <c r="BB333">
        <f t="shared" si="115"/>
        <v>0.24</v>
      </c>
    </row>
    <row r="334" spans="7:54" x14ac:dyDescent="0.2">
      <c r="H334" t="s">
        <v>164</v>
      </c>
      <c r="J334">
        <v>91.25</v>
      </c>
      <c r="K334">
        <v>89</v>
      </c>
      <c r="M334">
        <v>360</v>
      </c>
      <c r="O334">
        <v>-0.22</v>
      </c>
      <c r="P334">
        <v>550</v>
      </c>
      <c r="Q334">
        <f t="shared" si="105"/>
        <v>0.65454545454545454</v>
      </c>
      <c r="S334">
        <v>0</v>
      </c>
      <c r="T334">
        <v>0.05</v>
      </c>
      <c r="U334">
        <v>0</v>
      </c>
      <c r="V334">
        <v>0</v>
      </c>
      <c r="W334">
        <f>S334*B313+T334*B314</f>
        <v>0.15000000000000002</v>
      </c>
      <c r="X334">
        <f t="shared" si="100"/>
        <v>1.0049999999999999</v>
      </c>
      <c r="Y334">
        <f t="shared" si="101"/>
        <v>5.8523608828979992</v>
      </c>
      <c r="Z334">
        <f t="shared" si="106"/>
        <v>0.94494714253785805</v>
      </c>
      <c r="AC334">
        <v>0.06</v>
      </c>
      <c r="AE334">
        <v>0.45</v>
      </c>
      <c r="AF334">
        <f t="shared" si="102"/>
        <v>3.1766614872370345</v>
      </c>
      <c r="AG334">
        <f t="shared" si="107"/>
        <v>0.19</v>
      </c>
      <c r="AH334">
        <f t="shared" si="108"/>
        <v>0.6784</v>
      </c>
      <c r="AI334">
        <f>AI311</f>
        <v>1E-3</v>
      </c>
      <c r="AK334">
        <f>AK311</f>
        <v>0.76</v>
      </c>
      <c r="AL334">
        <f>AL311</f>
        <v>99.998999999999995</v>
      </c>
      <c r="AM334">
        <f>AM311</f>
        <v>4.7000000000000002E-3</v>
      </c>
      <c r="AN334">
        <f t="shared" si="109"/>
        <v>3.1118880888476765E-6</v>
      </c>
      <c r="AO334">
        <f t="shared" si="110"/>
        <v>1.9244378630057766E-3</v>
      </c>
      <c r="AP334">
        <f t="shared" si="111"/>
        <v>1.9275497510946244E-3</v>
      </c>
      <c r="AQ334">
        <f t="shared" si="112"/>
        <v>15.654113416077218</v>
      </c>
      <c r="AS334">
        <f t="shared" si="113"/>
        <v>0</v>
      </c>
      <c r="AT334">
        <f t="shared" si="103"/>
        <v>-2.4368492702496352E-3</v>
      </c>
      <c r="AU334">
        <f t="shared" si="114"/>
        <v>5.716492727682574E-2</v>
      </c>
      <c r="AV334">
        <f t="shared" si="104"/>
        <v>464.25066564692099</v>
      </c>
      <c r="AY334">
        <f>AY311</f>
        <v>6.0000000000000001E-3</v>
      </c>
      <c r="BB334">
        <f t="shared" si="115"/>
        <v>0.24</v>
      </c>
    </row>
    <row r="335" spans="7:54" x14ac:dyDescent="0.2">
      <c r="G335" t="s">
        <v>187</v>
      </c>
      <c r="H335" t="s">
        <v>160</v>
      </c>
      <c r="J335">
        <v>91.25</v>
      </c>
      <c r="K335">
        <v>25</v>
      </c>
      <c r="M335">
        <v>370</v>
      </c>
      <c r="O335">
        <v>-0.22</v>
      </c>
      <c r="P335">
        <v>660</v>
      </c>
      <c r="Q335">
        <f t="shared" si="105"/>
        <v>0.56060606060606055</v>
      </c>
      <c r="S335">
        <v>0</v>
      </c>
      <c r="T335">
        <v>0</v>
      </c>
      <c r="U335">
        <v>0</v>
      </c>
      <c r="V335">
        <v>0</v>
      </c>
      <c r="W335">
        <f>S335*B313+T335*B314</f>
        <v>0</v>
      </c>
      <c r="X335">
        <f t="shared" si="100"/>
        <v>1</v>
      </c>
      <c r="Y335">
        <f t="shared" si="101"/>
        <v>5.9514529935999985</v>
      </c>
      <c r="Z335">
        <f>Y335 / ((1.185 + 0.00454 * M335 - 0.0000026 * M335 ^ 2) ^ 2 * X335)</f>
        <v>0.94551876630523668</v>
      </c>
      <c r="AC335">
        <v>0.04</v>
      </c>
      <c r="AE335">
        <v>0.4</v>
      </c>
      <c r="AF335">
        <f t="shared" si="102"/>
        <v>3.5042155226316791</v>
      </c>
      <c r="AG335">
        <f t="shared" si="107"/>
        <v>0.19</v>
      </c>
      <c r="AH335">
        <f t="shared" si="108"/>
        <v>0.6784</v>
      </c>
      <c r="AI335">
        <f>AI311</f>
        <v>1E-3</v>
      </c>
      <c r="AK335">
        <f>AK311</f>
        <v>0.76</v>
      </c>
      <c r="AL335">
        <f>AL311</f>
        <v>99.998999999999995</v>
      </c>
      <c r="AM335">
        <f>AM311</f>
        <v>4.7000000000000002E-3</v>
      </c>
      <c r="AN335">
        <f t="shared" si="109"/>
        <v>3.4327631664390108E-6</v>
      </c>
      <c r="AO335">
        <f t="shared" si="110"/>
        <v>2.1228717818940167E-3</v>
      </c>
      <c r="AP335">
        <f t="shared" si="111"/>
        <v>2.1263045450604558E-3</v>
      </c>
      <c r="AQ335">
        <f t="shared" si="112"/>
        <v>4.8506322434191649</v>
      </c>
      <c r="AS335">
        <f t="shared" si="113"/>
        <v>0</v>
      </c>
      <c r="AT335">
        <f t="shared" si="103"/>
        <v>-3.6590897797626415E-3</v>
      </c>
      <c r="AU335">
        <f t="shared" si="114"/>
        <v>4.026360260745087E-2</v>
      </c>
      <c r="AV335">
        <f t="shared" si="104"/>
        <v>91.851343448247306</v>
      </c>
      <c r="AY335">
        <f>AY311</f>
        <v>6.0000000000000001E-3</v>
      </c>
      <c r="BB335">
        <f t="shared" si="115"/>
        <v>0.24</v>
      </c>
    </row>
    <row r="336" spans="7:54" x14ac:dyDescent="0.2">
      <c r="G336" t="s">
        <v>197</v>
      </c>
      <c r="H336" t="s">
        <v>162</v>
      </c>
      <c r="J336">
        <v>91.25</v>
      </c>
      <c r="K336">
        <v>55</v>
      </c>
      <c r="M336">
        <v>400</v>
      </c>
      <c r="O336">
        <v>0.33</v>
      </c>
      <c r="P336">
        <v>660</v>
      </c>
      <c r="Q336">
        <f t="shared" si="105"/>
        <v>0.60606060606060608</v>
      </c>
      <c r="S336">
        <v>0</v>
      </c>
      <c r="T336">
        <v>0</v>
      </c>
      <c r="U336">
        <v>0</v>
      </c>
      <c r="V336">
        <v>0</v>
      </c>
      <c r="W336">
        <f>S336*B313+T336*B314</f>
        <v>0</v>
      </c>
      <c r="X336">
        <f t="shared" si="100"/>
        <v>1</v>
      </c>
      <c r="Y336">
        <f t="shared" si="101"/>
        <v>7.230452102500001</v>
      </c>
      <c r="Z336">
        <f t="shared" si="106"/>
        <v>1.0820425984608422</v>
      </c>
      <c r="AC336">
        <v>0.12</v>
      </c>
      <c r="AE336">
        <v>0.65</v>
      </c>
      <c r="AF336">
        <f t="shared" si="102"/>
        <v>2.594286214377</v>
      </c>
      <c r="AG336">
        <f t="shared" si="107"/>
        <v>0.19</v>
      </c>
      <c r="AH336">
        <f t="shared" si="108"/>
        <v>0.6784</v>
      </c>
      <c r="AI336">
        <f>AI311</f>
        <v>1E-3</v>
      </c>
      <c r="AK336">
        <f>AK311</f>
        <v>0.76</v>
      </c>
      <c r="AL336">
        <f>AL311</f>
        <v>99.998999999999995</v>
      </c>
      <c r="AM336">
        <f>AM311</f>
        <v>4.7000000000000002E-3</v>
      </c>
      <c r="AN336">
        <f t="shared" si="109"/>
        <v>2.5413876807513675E-6</v>
      </c>
      <c r="AO336">
        <f t="shared" si="110"/>
        <v>1.5716319281987407E-3</v>
      </c>
      <c r="AP336">
        <f t="shared" si="111"/>
        <v>1.5741733158794922E-3</v>
      </c>
      <c r="AQ336">
        <f t="shared" si="112"/>
        <v>7.9003823290702018</v>
      </c>
      <c r="AS336">
        <f t="shared" si="113"/>
        <v>0</v>
      </c>
      <c r="AT336">
        <f t="shared" si="103"/>
        <v>5.1083772790481274E-3</v>
      </c>
      <c r="AU336">
        <f t="shared" si="114"/>
        <v>0.13214211123279204</v>
      </c>
      <c r="AV336">
        <f t="shared" si="104"/>
        <v>663.18822074957507</v>
      </c>
      <c r="AY336">
        <f>AY311</f>
        <v>6.0000000000000001E-3</v>
      </c>
      <c r="BB336">
        <f t="shared" si="115"/>
        <v>0.24</v>
      </c>
    </row>
    <row r="337" spans="7:54" x14ac:dyDescent="0.2">
      <c r="H337" t="s">
        <v>163</v>
      </c>
      <c r="J337">
        <v>91.25</v>
      </c>
      <c r="K337">
        <v>52</v>
      </c>
      <c r="M337">
        <v>420</v>
      </c>
      <c r="O337">
        <v>0.22</v>
      </c>
      <c r="P337">
        <v>660</v>
      </c>
      <c r="Q337">
        <f t="shared" si="105"/>
        <v>0.63636363636363635</v>
      </c>
      <c r="S337">
        <v>0</v>
      </c>
      <c r="T337">
        <v>0</v>
      </c>
      <c r="U337">
        <v>0</v>
      </c>
      <c r="V337">
        <v>0</v>
      </c>
      <c r="W337">
        <f>S337*B313+T337*B314</f>
        <v>0</v>
      </c>
      <c r="X337">
        <f t="shared" si="100"/>
        <v>1</v>
      </c>
      <c r="Y337">
        <f t="shared" si="101"/>
        <v>7.3032900516000012</v>
      </c>
      <c r="Z337">
        <f t="shared" si="106"/>
        <v>1.0533290230865808</v>
      </c>
      <c r="AC337">
        <v>0.09</v>
      </c>
      <c r="AE337">
        <v>0.55000000000000004</v>
      </c>
      <c r="AF337">
        <f t="shared" si="102"/>
        <v>3.2923231552612804</v>
      </c>
      <c r="AG337">
        <f t="shared" si="107"/>
        <v>0.19</v>
      </c>
      <c r="AH337">
        <f t="shared" si="108"/>
        <v>0.6784</v>
      </c>
      <c r="AI337">
        <f>AI311</f>
        <v>1E-3</v>
      </c>
      <c r="AK337">
        <f>AK311</f>
        <v>0.76</v>
      </c>
      <c r="AL337">
        <f>AL311</f>
        <v>99.998999999999995</v>
      </c>
      <c r="AM337">
        <f>AM311</f>
        <v>4.7000000000000002E-3</v>
      </c>
      <c r="AN337">
        <f t="shared" si="109"/>
        <v>3.2251913691962406E-6</v>
      </c>
      <c r="AO337">
        <f t="shared" si="110"/>
        <v>1.9945062962142077E-3</v>
      </c>
      <c r="AP337">
        <f t="shared" si="111"/>
        <v>1.9977314875834038E-3</v>
      </c>
      <c r="AQ337">
        <f t="shared" si="112"/>
        <v>9.4792359085832505</v>
      </c>
      <c r="AS337">
        <f t="shared" si="113"/>
        <v>0</v>
      </c>
      <c r="AT337">
        <f t="shared" si="103"/>
        <v>3.263301747682234E-3</v>
      </c>
      <c r="AU337">
        <f t="shared" si="114"/>
        <v>0.10027121241872085</v>
      </c>
      <c r="AV337">
        <f t="shared" si="104"/>
        <v>475.78690292683046</v>
      </c>
      <c r="AY337">
        <f>AY311</f>
        <v>6.0000000000000001E-3</v>
      </c>
      <c r="BB337">
        <f t="shared" si="115"/>
        <v>0.24</v>
      </c>
    </row>
    <row r="338" spans="7:54" x14ac:dyDescent="0.2">
      <c r="H338" t="s">
        <v>164</v>
      </c>
      <c r="J338">
        <v>91.25</v>
      </c>
      <c r="K338">
        <v>45</v>
      </c>
      <c r="M338">
        <v>390</v>
      </c>
      <c r="O338">
        <v>-0.33</v>
      </c>
      <c r="P338">
        <v>660</v>
      </c>
      <c r="Q338">
        <f t="shared" si="105"/>
        <v>0.59090909090909094</v>
      </c>
      <c r="S338">
        <v>0</v>
      </c>
      <c r="T338">
        <v>0</v>
      </c>
      <c r="U338">
        <v>0</v>
      </c>
      <c r="V338">
        <v>0</v>
      </c>
      <c r="W338">
        <f>S338*B313+T338*B314</f>
        <v>0</v>
      </c>
      <c r="X338">
        <f t="shared" si="100"/>
        <v>1</v>
      </c>
      <c r="Y338">
        <f t="shared" si="101"/>
        <v>6.0328693160999993</v>
      </c>
      <c r="Z338">
        <f t="shared" si="106"/>
        <v>0.92044212724953012</v>
      </c>
      <c r="AC338">
        <v>0.06</v>
      </c>
      <c r="AE338">
        <v>0.45</v>
      </c>
      <c r="AF338">
        <f t="shared" si="102"/>
        <v>3.27464146477908</v>
      </c>
      <c r="AG338">
        <f t="shared" si="107"/>
        <v>0.19</v>
      </c>
      <c r="AH338">
        <f t="shared" si="108"/>
        <v>0.6784</v>
      </c>
      <c r="AI338">
        <f>AI311</f>
        <v>1E-3</v>
      </c>
      <c r="AK338">
        <f>AK311</f>
        <v>0.76</v>
      </c>
      <c r="AL338">
        <f>AL311</f>
        <v>99.998999999999995</v>
      </c>
      <c r="AM338">
        <f>AM311</f>
        <v>4.7000000000000002E-3</v>
      </c>
      <c r="AN338">
        <f t="shared" si="109"/>
        <v>3.207870215455649E-6</v>
      </c>
      <c r="AO338">
        <f t="shared" si="110"/>
        <v>1.9837946372028188E-3</v>
      </c>
      <c r="AP338">
        <f t="shared" si="111"/>
        <v>1.9870025074182744E-3</v>
      </c>
      <c r="AQ338">
        <f t="shared" si="112"/>
        <v>8.1591290460862886</v>
      </c>
      <c r="AS338">
        <f>U338*$B$313+V338*$B$314</f>
        <v>0</v>
      </c>
      <c r="AT338">
        <f t="shared" si="103"/>
        <v>-5.2398443993221903E-3</v>
      </c>
      <c r="AU338">
        <f t="shared" si="114"/>
        <v>6.1610807287374773E-2</v>
      </c>
      <c r="AV338">
        <f t="shared" si="104"/>
        <v>252.98937742378268</v>
      </c>
      <c r="AY338">
        <f>AY311</f>
        <v>6.0000000000000001E-3</v>
      </c>
      <c r="BB338">
        <f t="shared" si="115"/>
        <v>0.24</v>
      </c>
    </row>
    <row r="339" spans="7:54" x14ac:dyDescent="0.2">
      <c r="G339" t="s">
        <v>188</v>
      </c>
      <c r="H339" t="s">
        <v>160</v>
      </c>
      <c r="J339">
        <v>91.25</v>
      </c>
      <c r="K339">
        <v>28</v>
      </c>
      <c r="M339">
        <v>370</v>
      </c>
      <c r="O339">
        <v>-0.22</v>
      </c>
      <c r="P339">
        <v>660</v>
      </c>
      <c r="Q339">
        <f t="shared" si="105"/>
        <v>0.56060606060606055</v>
      </c>
      <c r="S339">
        <v>0</v>
      </c>
      <c r="T339">
        <v>0</v>
      </c>
      <c r="U339">
        <v>0</v>
      </c>
      <c r="V339">
        <v>0</v>
      </c>
      <c r="W339">
        <f>S339*B313+T339*B314</f>
        <v>0</v>
      </c>
      <c r="X339">
        <f t="shared" si="100"/>
        <v>1</v>
      </c>
      <c r="Y339">
        <f t="shared" si="101"/>
        <v>5.9514529935999985</v>
      </c>
      <c r="Z339">
        <f t="shared" si="106"/>
        <v>0.94551876630523668</v>
      </c>
      <c r="AC339">
        <v>0.04</v>
      </c>
      <c r="AE339">
        <v>0.4</v>
      </c>
      <c r="AF339">
        <f t="shared" si="102"/>
        <v>3.5042155226316791</v>
      </c>
      <c r="AG339">
        <f t="shared" si="107"/>
        <v>0.19</v>
      </c>
      <c r="AH339">
        <f t="shared" si="108"/>
        <v>0.6784</v>
      </c>
      <c r="AI339">
        <f>AI311</f>
        <v>1E-3</v>
      </c>
      <c r="AK339">
        <f>AK311</f>
        <v>0.76</v>
      </c>
      <c r="AL339">
        <f>AL311</f>
        <v>99.998999999999995</v>
      </c>
      <c r="AM339">
        <f>AM311</f>
        <v>4.7000000000000002E-3</v>
      </c>
      <c r="AN339">
        <f t="shared" si="109"/>
        <v>3.4327631664390108E-6</v>
      </c>
      <c r="AO339">
        <f t="shared" si="110"/>
        <v>2.1228717818940167E-3</v>
      </c>
      <c r="AP339">
        <f t="shared" si="111"/>
        <v>2.1263045450604558E-3</v>
      </c>
      <c r="AQ339">
        <f t="shared" si="112"/>
        <v>5.4327081126294647</v>
      </c>
      <c r="AS339">
        <f t="shared" si="113"/>
        <v>0</v>
      </c>
      <c r="AT339">
        <f t="shared" si="103"/>
        <v>-3.6590897797626415E-3</v>
      </c>
      <c r="AU339">
        <f t="shared" si="114"/>
        <v>4.026360260745087E-2</v>
      </c>
      <c r="AV339">
        <f t="shared" si="104"/>
        <v>102.87350466203696</v>
      </c>
      <c r="AY339">
        <f>AY311</f>
        <v>6.0000000000000001E-3</v>
      </c>
      <c r="BB339">
        <f t="shared" si="115"/>
        <v>0.24</v>
      </c>
    </row>
    <row r="340" spans="7:54" x14ac:dyDescent="0.2">
      <c r="G340" t="s">
        <v>198</v>
      </c>
      <c r="H340" t="s">
        <v>162</v>
      </c>
      <c r="J340">
        <v>91.25</v>
      </c>
      <c r="K340">
        <v>50</v>
      </c>
      <c r="M340">
        <v>400</v>
      </c>
      <c r="O340">
        <v>0.33</v>
      </c>
      <c r="P340">
        <v>660</v>
      </c>
      <c r="Q340">
        <f t="shared" si="105"/>
        <v>0.60606060606060608</v>
      </c>
      <c r="S340">
        <v>0</v>
      </c>
      <c r="T340">
        <v>0</v>
      </c>
      <c r="U340">
        <v>0</v>
      </c>
      <c r="V340">
        <v>0</v>
      </c>
      <c r="W340">
        <f>S340*B313+T340*B314</f>
        <v>0</v>
      </c>
      <c r="X340">
        <f t="shared" si="100"/>
        <v>1</v>
      </c>
      <c r="Y340">
        <f t="shared" si="101"/>
        <v>7.230452102500001</v>
      </c>
      <c r="Z340">
        <f t="shared" si="106"/>
        <v>1.0820425984608422</v>
      </c>
      <c r="AC340">
        <v>0.12</v>
      </c>
      <c r="AE340">
        <v>0.65</v>
      </c>
      <c r="AF340">
        <f t="shared" si="102"/>
        <v>2.594286214377</v>
      </c>
      <c r="AG340">
        <f t="shared" si="107"/>
        <v>0.19</v>
      </c>
      <c r="AH340">
        <f t="shared" si="108"/>
        <v>0.6784</v>
      </c>
      <c r="AI340">
        <f>AI311</f>
        <v>1E-3</v>
      </c>
      <c r="AK340">
        <f>AK311</f>
        <v>0.76</v>
      </c>
      <c r="AL340">
        <f>AL311</f>
        <v>99.998999999999995</v>
      </c>
      <c r="AM340">
        <f>AM311</f>
        <v>4.7000000000000002E-3</v>
      </c>
      <c r="AN340">
        <f t="shared" si="109"/>
        <v>2.5413876807513675E-6</v>
      </c>
      <c r="AO340">
        <f t="shared" si="110"/>
        <v>1.5716319281987407E-3</v>
      </c>
      <c r="AP340">
        <f t="shared" si="111"/>
        <v>1.5741733158794922E-3</v>
      </c>
      <c r="AQ340">
        <f t="shared" si="112"/>
        <v>7.1821657537001826</v>
      </c>
      <c r="AS340">
        <f t="shared" si="113"/>
        <v>0</v>
      </c>
      <c r="AT340">
        <f t="shared" si="103"/>
        <v>5.1083772790481274E-3</v>
      </c>
      <c r="AU340">
        <f>MAX((Y340*AC340/6.25)+(0.032*AS340/6.38)-AT340-((1.1*(10^-4)*(M340^0.75))/6.25), 0)</f>
        <v>0.13214211123279204</v>
      </c>
      <c r="AV340">
        <f t="shared" si="104"/>
        <v>602.89838249961372</v>
      </c>
      <c r="AY340">
        <f>AY311</f>
        <v>6.0000000000000001E-3</v>
      </c>
      <c r="BB340">
        <f t="shared" si="115"/>
        <v>0.24</v>
      </c>
    </row>
    <row r="341" spans="7:54" x14ac:dyDescent="0.2">
      <c r="H341" t="s">
        <v>163</v>
      </c>
      <c r="J341">
        <v>91.25</v>
      </c>
      <c r="K341">
        <v>44</v>
      </c>
      <c r="M341">
        <v>420</v>
      </c>
      <c r="O341">
        <v>0.22</v>
      </c>
      <c r="P341">
        <v>660</v>
      </c>
      <c r="Q341">
        <f t="shared" si="105"/>
        <v>0.63636363636363635</v>
      </c>
      <c r="S341">
        <v>0</v>
      </c>
      <c r="T341">
        <v>0</v>
      </c>
      <c r="U341">
        <v>0</v>
      </c>
      <c r="V341">
        <v>0</v>
      </c>
      <c r="W341">
        <f>S341*B313+T341*B314</f>
        <v>0</v>
      </c>
      <c r="X341">
        <f t="shared" si="100"/>
        <v>1</v>
      </c>
      <c r="Y341">
        <f t="shared" si="101"/>
        <v>7.3032900516000012</v>
      </c>
      <c r="Z341">
        <f t="shared" si="106"/>
        <v>1.0533290230865808</v>
      </c>
      <c r="AC341">
        <v>0.09</v>
      </c>
      <c r="AE341">
        <v>0.55000000000000004</v>
      </c>
      <c r="AF341">
        <f t="shared" si="102"/>
        <v>3.2923231552612804</v>
      </c>
      <c r="AG341">
        <f t="shared" si="107"/>
        <v>0.19</v>
      </c>
      <c r="AH341">
        <f t="shared" si="108"/>
        <v>0.6784</v>
      </c>
      <c r="AI341">
        <f>AI311</f>
        <v>1E-3</v>
      </c>
      <c r="AK341">
        <f>AK311</f>
        <v>0.76</v>
      </c>
      <c r="AL341">
        <f>AL311</f>
        <v>99.998999999999995</v>
      </c>
      <c r="AM341">
        <f>AM311</f>
        <v>4.7000000000000002E-3</v>
      </c>
      <c r="AN341">
        <f t="shared" si="109"/>
        <v>3.2251913691962406E-6</v>
      </c>
      <c r="AO341">
        <f t="shared" si="110"/>
        <v>1.9945062962142077E-3</v>
      </c>
      <c r="AP341">
        <f t="shared" si="111"/>
        <v>1.9977314875834038E-3</v>
      </c>
      <c r="AQ341">
        <f t="shared" si="112"/>
        <v>8.0208919226473654</v>
      </c>
      <c r="AS341">
        <f t="shared" si="113"/>
        <v>0</v>
      </c>
      <c r="AT341">
        <f t="shared" si="103"/>
        <v>3.263301747682234E-3</v>
      </c>
      <c r="AU341">
        <f t="shared" si="114"/>
        <v>0.10027121241872085</v>
      </c>
      <c r="AV341">
        <f t="shared" si="104"/>
        <v>402.58891786116425</v>
      </c>
      <c r="AY341">
        <f>AY311</f>
        <v>6.0000000000000001E-3</v>
      </c>
      <c r="BB341">
        <f t="shared" si="115"/>
        <v>0.24</v>
      </c>
    </row>
    <row r="342" spans="7:54" x14ac:dyDescent="0.2">
      <c r="H342" t="s">
        <v>164</v>
      </c>
      <c r="J342">
        <v>91.25</v>
      </c>
      <c r="K342">
        <v>20</v>
      </c>
      <c r="M342">
        <v>390</v>
      </c>
      <c r="O342">
        <v>-0.33</v>
      </c>
      <c r="P342">
        <v>660</v>
      </c>
      <c r="Q342">
        <f t="shared" si="105"/>
        <v>0.59090909090909094</v>
      </c>
      <c r="S342">
        <v>0</v>
      </c>
      <c r="T342">
        <v>0</v>
      </c>
      <c r="U342">
        <v>0</v>
      </c>
      <c r="V342">
        <v>0</v>
      </c>
      <c r="W342">
        <f>S342*B313+T342*B314</f>
        <v>0</v>
      </c>
      <c r="X342">
        <f t="shared" si="100"/>
        <v>1</v>
      </c>
      <c r="Y342">
        <f t="shared" si="101"/>
        <v>6.0328693160999993</v>
      </c>
      <c r="Z342">
        <f t="shared" si="106"/>
        <v>0.92044212724953012</v>
      </c>
      <c r="AC342">
        <v>0.06</v>
      </c>
      <c r="AE342">
        <v>0.45</v>
      </c>
      <c r="AF342">
        <f t="shared" si="102"/>
        <v>3.27464146477908</v>
      </c>
      <c r="AG342">
        <f t="shared" si="107"/>
        <v>0.19</v>
      </c>
      <c r="AH342">
        <f t="shared" si="108"/>
        <v>0.6784</v>
      </c>
      <c r="AI342">
        <f>AI311</f>
        <v>1E-3</v>
      </c>
      <c r="AK342">
        <f>AK311</f>
        <v>0.76</v>
      </c>
      <c r="AL342">
        <f>AL311</f>
        <v>99.998999999999995</v>
      </c>
      <c r="AM342">
        <f>AM311</f>
        <v>4.7000000000000002E-3</v>
      </c>
      <c r="AN342">
        <f t="shared" si="109"/>
        <v>3.207870215455649E-6</v>
      </c>
      <c r="AO342">
        <f t="shared" si="110"/>
        <v>1.9837946372028188E-3</v>
      </c>
      <c r="AP342">
        <f t="shared" si="111"/>
        <v>1.9870025074182744E-3</v>
      </c>
      <c r="AQ342">
        <f t="shared" si="112"/>
        <v>3.6262795760383506</v>
      </c>
      <c r="AS342">
        <f t="shared" si="113"/>
        <v>0</v>
      </c>
      <c r="AT342">
        <f t="shared" si="103"/>
        <v>-5.2398443993221903E-3</v>
      </c>
      <c r="AU342">
        <f t="shared" si="114"/>
        <v>6.1610807287374773E-2</v>
      </c>
      <c r="AV342">
        <f t="shared" si="104"/>
        <v>112.43972329945895</v>
      </c>
      <c r="AY342">
        <f>AY311</f>
        <v>6.0000000000000001E-3</v>
      </c>
      <c r="BB342">
        <f t="shared" si="115"/>
        <v>0.24</v>
      </c>
    </row>
    <row r="343" spans="7:54" x14ac:dyDescent="0.2">
      <c r="G343" t="s">
        <v>186</v>
      </c>
      <c r="H343" t="s">
        <v>160</v>
      </c>
      <c r="J343">
        <v>91.25</v>
      </c>
      <c r="K343">
        <v>15</v>
      </c>
      <c r="M343">
        <v>80</v>
      </c>
      <c r="O343">
        <v>0.7</v>
      </c>
      <c r="P343">
        <v>660</v>
      </c>
      <c r="Q343">
        <f t="shared" si="105"/>
        <v>0.12121212121212122</v>
      </c>
      <c r="S343">
        <v>0</v>
      </c>
      <c r="T343">
        <v>0</v>
      </c>
      <c r="U343">
        <f>10/K343</f>
        <v>0.66666666666666663</v>
      </c>
      <c r="V343">
        <f>5/K343</f>
        <v>0.33333333333333331</v>
      </c>
      <c r="W343">
        <f>S343*B313+T343*B314</f>
        <v>0</v>
      </c>
      <c r="X343">
        <f t="shared" si="100"/>
        <v>1</v>
      </c>
      <c r="Y343">
        <f t="shared" si="101"/>
        <v>3.0697142436</v>
      </c>
      <c r="Z343">
        <f t="shared" si="106"/>
        <v>1.3086693130801998</v>
      </c>
      <c r="AC343">
        <v>0.04</v>
      </c>
      <c r="AE343">
        <v>0.4</v>
      </c>
      <c r="AF343">
        <f t="shared" si="102"/>
        <v>1.8074477466316801</v>
      </c>
      <c r="AG343">
        <f t="shared" si="107"/>
        <v>0.19</v>
      </c>
      <c r="AH343">
        <f t="shared" si="108"/>
        <v>0.6784</v>
      </c>
      <c r="AI343">
        <f>AI311</f>
        <v>1E-3</v>
      </c>
      <c r="AK343">
        <f>AK311</f>
        <v>0.76</v>
      </c>
      <c r="AL343">
        <f>AL311</f>
        <v>99.998999999999995</v>
      </c>
      <c r="AM343">
        <f>AM311</f>
        <v>4.7000000000000002E-3</v>
      </c>
      <c r="AN343">
        <f t="shared" si="109"/>
        <v>1.7705931640987615E-6</v>
      </c>
      <c r="AO343">
        <f t="shared" si="110"/>
        <v>1.0949611386033508E-3</v>
      </c>
      <c r="AP343">
        <f t="shared" si="111"/>
        <v>1.0967317317674495E-3</v>
      </c>
      <c r="AQ343">
        <f t="shared" si="112"/>
        <v>1.5011515578566965</v>
      </c>
      <c r="AS343">
        <f t="shared" si="113"/>
        <v>3.6666666666666665</v>
      </c>
      <c r="AT343">
        <f t="shared" si="103"/>
        <v>2.0044158990204494E-2</v>
      </c>
      <c r="AU343">
        <f t="shared" si="114"/>
        <v>1.7522023591833254E-2</v>
      </c>
      <c r="AV343">
        <f t="shared" si="104"/>
        <v>23.983269791321767</v>
      </c>
      <c r="AY343">
        <f>AY311</f>
        <v>6.0000000000000001E-3</v>
      </c>
      <c r="BB343">
        <f t="shared" si="115"/>
        <v>0.24</v>
      </c>
    </row>
    <row r="344" spans="7:54" x14ac:dyDescent="0.2">
      <c r="G344">
        <v>6</v>
      </c>
      <c r="H344" t="s">
        <v>162</v>
      </c>
      <c r="J344">
        <v>91.25</v>
      </c>
      <c r="K344">
        <v>40</v>
      </c>
      <c r="M344">
        <v>150</v>
      </c>
      <c r="O344">
        <v>0.77</v>
      </c>
      <c r="P344">
        <v>660</v>
      </c>
      <c r="Q344">
        <f t="shared" si="105"/>
        <v>0.22727272727272727</v>
      </c>
      <c r="S344">
        <v>0</v>
      </c>
      <c r="T344">
        <v>0</v>
      </c>
      <c r="U344">
        <f>25/K344</f>
        <v>0.625</v>
      </c>
      <c r="V344">
        <f>10/K344</f>
        <v>0.25</v>
      </c>
      <c r="W344">
        <f>S344*B313+T344*B314</f>
        <v>0</v>
      </c>
      <c r="X344">
        <f t="shared" si="100"/>
        <v>1</v>
      </c>
      <c r="Y344">
        <f t="shared" si="101"/>
        <v>4.202705002500001</v>
      </c>
      <c r="Z344">
        <f t="shared" si="106"/>
        <v>1.2863889326974398</v>
      </c>
      <c r="AC344">
        <v>0.12</v>
      </c>
      <c r="AE344">
        <v>0.65</v>
      </c>
      <c r="AF344">
        <f t="shared" si="102"/>
        <v>1.5079305548970003</v>
      </c>
      <c r="AG344">
        <f t="shared" si="107"/>
        <v>0.19</v>
      </c>
      <c r="AH344">
        <f t="shared" si="108"/>
        <v>0.6784</v>
      </c>
      <c r="AI344">
        <f>AI311</f>
        <v>1E-3</v>
      </c>
      <c r="AK344">
        <f>AK311</f>
        <v>0.76</v>
      </c>
      <c r="AL344">
        <f>AL311</f>
        <v>99.998999999999995</v>
      </c>
      <c r="AM344">
        <f>AM311</f>
        <v>4.7000000000000002E-3</v>
      </c>
      <c r="AN344">
        <f t="shared" si="109"/>
        <v>1.4771832477104285E-6</v>
      </c>
      <c r="AO344">
        <f t="shared" si="110"/>
        <v>9.1351208376662797E-4</v>
      </c>
      <c r="AP344">
        <f t="shared" si="111"/>
        <v>9.1498926701433843E-4</v>
      </c>
      <c r="AQ344">
        <f t="shared" si="112"/>
        <v>3.3397108246023355</v>
      </c>
      <c r="AS344">
        <f t="shared" si="113"/>
        <v>3.25</v>
      </c>
      <c r="AT344">
        <f t="shared" si="103"/>
        <v>2.0351446716589922E-2</v>
      </c>
      <c r="AU344">
        <f t="shared" si="114"/>
        <v>7.5887065496841086E-2</v>
      </c>
      <c r="AV344">
        <f t="shared" si="104"/>
        <v>276.98778906346996</v>
      </c>
      <c r="AY344">
        <f>AY311</f>
        <v>6.0000000000000001E-3</v>
      </c>
      <c r="BB344">
        <f t="shared" si="115"/>
        <v>0.24</v>
      </c>
    </row>
    <row r="345" spans="7:54" x14ac:dyDescent="0.2">
      <c r="H345" t="s">
        <v>163</v>
      </c>
      <c r="J345">
        <v>91.25</v>
      </c>
      <c r="K345">
        <v>35</v>
      </c>
      <c r="M345">
        <v>230</v>
      </c>
      <c r="O345">
        <v>0.88</v>
      </c>
      <c r="P345">
        <v>660</v>
      </c>
      <c r="Q345">
        <f t="shared" si="105"/>
        <v>0.34848484848484851</v>
      </c>
      <c r="S345">
        <v>0</v>
      </c>
      <c r="T345">
        <v>0</v>
      </c>
      <c r="U345">
        <v>0</v>
      </c>
      <c r="V345">
        <f>25/K345</f>
        <v>0.7142857142857143</v>
      </c>
      <c r="W345">
        <f>S345*B313+T345*B314</f>
        <v>0</v>
      </c>
      <c r="X345">
        <f t="shared" si="100"/>
        <v>1</v>
      </c>
      <c r="Y345">
        <f t="shared" si="101"/>
        <v>5.611497699600001</v>
      </c>
      <c r="Z345">
        <f t="shared" si="106"/>
        <v>1.2826158627950293</v>
      </c>
      <c r="AC345">
        <v>0.09</v>
      </c>
      <c r="AE345">
        <v>0.55000000000000004</v>
      </c>
      <c r="AF345">
        <f t="shared" si="102"/>
        <v>2.5296631629796802</v>
      </c>
      <c r="AG345">
        <f t="shared" si="107"/>
        <v>0.19</v>
      </c>
      <c r="AH345">
        <f t="shared" si="108"/>
        <v>0.6784</v>
      </c>
      <c r="AI345">
        <f>AI311</f>
        <v>1E-3</v>
      </c>
      <c r="AK345">
        <f>AK311</f>
        <v>0.76</v>
      </c>
      <c r="AL345">
        <f>AL311</f>
        <v>99.998999999999995</v>
      </c>
      <c r="AM345">
        <f>AM311</f>
        <v>4.7000000000000002E-3</v>
      </c>
      <c r="AN345">
        <f t="shared" si="109"/>
        <v>2.4780823192212594E-6</v>
      </c>
      <c r="AO345">
        <f t="shared" si="110"/>
        <v>1.5324829513777519E-3</v>
      </c>
      <c r="AP345">
        <f t="shared" si="111"/>
        <v>1.5349610336969732E-3</v>
      </c>
      <c r="AQ345">
        <f t="shared" si="112"/>
        <v>4.9022818013697078</v>
      </c>
      <c r="AS345">
        <f t="shared" si="113"/>
        <v>2.1428571428571428</v>
      </c>
      <c r="AT345">
        <f t="shared" si="103"/>
        <v>2.0213105950765278E-2</v>
      </c>
      <c r="AU345">
        <f t="shared" si="114"/>
        <v>7.0300871913754392E-2</v>
      </c>
      <c r="AV345">
        <f t="shared" si="104"/>
        <v>224.52340967455311</v>
      </c>
      <c r="AY345">
        <f>AY311</f>
        <v>6.0000000000000001E-3</v>
      </c>
      <c r="BB345">
        <f t="shared" si="115"/>
        <v>0.24</v>
      </c>
    </row>
    <row r="346" spans="7:54" x14ac:dyDescent="0.2">
      <c r="H346" t="s">
        <v>164</v>
      </c>
      <c r="J346">
        <v>91.25</v>
      </c>
      <c r="K346">
        <v>38</v>
      </c>
      <c r="M346">
        <v>250</v>
      </c>
      <c r="O346">
        <v>0.22</v>
      </c>
      <c r="P346">
        <v>660</v>
      </c>
      <c r="Q346">
        <f t="shared" si="105"/>
        <v>0.37878787878787878</v>
      </c>
      <c r="S346">
        <v>0</v>
      </c>
      <c r="T346">
        <v>0</v>
      </c>
      <c r="U346">
        <v>0</v>
      </c>
      <c r="V346">
        <v>0</v>
      </c>
      <c r="W346">
        <f>S346*B313+T346*B314</f>
        <v>0</v>
      </c>
      <c r="X346">
        <f t="shared" si="100"/>
        <v>1</v>
      </c>
      <c r="Y346">
        <f t="shared" si="101"/>
        <v>4.9586382400000018</v>
      </c>
      <c r="Z346">
        <f t="shared" si="106"/>
        <v>1.0652727468517085</v>
      </c>
      <c r="AC346">
        <v>0.06</v>
      </c>
      <c r="AE346">
        <v>0.45</v>
      </c>
      <c r="AF346">
        <f t="shared" si="102"/>
        <v>2.6915488366720011</v>
      </c>
      <c r="AG346">
        <f t="shared" si="107"/>
        <v>0.19</v>
      </c>
      <c r="AH346">
        <f t="shared" si="108"/>
        <v>0.6784</v>
      </c>
      <c r="AI346">
        <f>AI311</f>
        <v>1E-3</v>
      </c>
      <c r="AK346">
        <f>AK311</f>
        <v>0.76</v>
      </c>
      <c r="AL346">
        <f>AL311</f>
        <v>99.998999999999995</v>
      </c>
      <c r="AM346">
        <f>AM311</f>
        <v>4.7000000000000002E-3</v>
      </c>
      <c r="AN346">
        <f t="shared" si="109"/>
        <v>2.6366670792727241E-6</v>
      </c>
      <c r="AO346">
        <f t="shared" si="110"/>
        <v>1.6305541248985631E-3</v>
      </c>
      <c r="AP346">
        <f t="shared" si="111"/>
        <v>1.6331907919778358E-3</v>
      </c>
      <c r="AQ346">
        <f t="shared" si="112"/>
        <v>5.6630890711831459</v>
      </c>
      <c r="AS346">
        <f t="shared" si="113"/>
        <v>0</v>
      </c>
      <c r="AT346">
        <f t="shared" si="103"/>
        <v>4.8713651782717375E-3</v>
      </c>
      <c r="AU346">
        <f t="shared" si="114"/>
        <v>4.1625020507607295E-2</v>
      </c>
      <c r="AV346">
        <f t="shared" si="104"/>
        <v>144.33475861012829</v>
      </c>
      <c r="AY346">
        <f>AY311</f>
        <v>6.0000000000000001E-3</v>
      </c>
      <c r="BB346">
        <f t="shared" si="115"/>
        <v>0.24</v>
      </c>
    </row>
    <row r="347" spans="7:54" x14ac:dyDescent="0.2">
      <c r="G347" t="s">
        <v>189</v>
      </c>
      <c r="H347" t="s">
        <v>160</v>
      </c>
      <c r="J347">
        <v>91.25</v>
      </c>
      <c r="K347">
        <v>6</v>
      </c>
      <c r="M347">
        <v>370</v>
      </c>
      <c r="O347">
        <v>-0.22</v>
      </c>
      <c r="P347">
        <v>660</v>
      </c>
      <c r="Q347">
        <f t="shared" si="105"/>
        <v>0.56060606060606055</v>
      </c>
      <c r="S347">
        <v>0</v>
      </c>
      <c r="T347">
        <v>0</v>
      </c>
      <c r="U347">
        <v>0</v>
      </c>
      <c r="V347">
        <v>0</v>
      </c>
      <c r="W347">
        <f>S347*B313+T347*B314</f>
        <v>0</v>
      </c>
      <c r="X347">
        <f t="shared" si="100"/>
        <v>1</v>
      </c>
      <c r="Y347">
        <f t="shared" si="101"/>
        <v>5.9514529935999985</v>
      </c>
      <c r="Z347">
        <f t="shared" si="106"/>
        <v>0.94551876630523668</v>
      </c>
      <c r="AC347">
        <v>0.04</v>
      </c>
      <c r="AE347">
        <v>0.4</v>
      </c>
      <c r="AF347">
        <f t="shared" si="102"/>
        <v>3.5042155226316791</v>
      </c>
      <c r="AG347">
        <f t="shared" si="107"/>
        <v>0.19</v>
      </c>
      <c r="AH347">
        <f t="shared" si="108"/>
        <v>0.6784</v>
      </c>
      <c r="AI347">
        <f>AI311</f>
        <v>1E-3</v>
      </c>
      <c r="AK347">
        <f>AK311</f>
        <v>0.76</v>
      </c>
      <c r="AL347">
        <f>AL311</f>
        <v>99.998999999999995</v>
      </c>
      <c r="AM347">
        <f>AM311</f>
        <v>4.7000000000000002E-3</v>
      </c>
      <c r="AN347">
        <f t="shared" si="109"/>
        <v>3.4327631664390108E-6</v>
      </c>
      <c r="AO347">
        <f t="shared" si="110"/>
        <v>2.1228717818940167E-3</v>
      </c>
      <c r="AP347">
        <f t="shared" si="111"/>
        <v>2.1263045450604558E-3</v>
      </c>
      <c r="AQ347">
        <f t="shared" si="112"/>
        <v>1.1641517384205995</v>
      </c>
      <c r="AS347">
        <f t="shared" si="113"/>
        <v>0</v>
      </c>
      <c r="AT347">
        <f t="shared" si="103"/>
        <v>-3.6590897797626415E-3</v>
      </c>
      <c r="AU347">
        <f t="shared" si="114"/>
        <v>4.026360260745087E-2</v>
      </c>
      <c r="AV347">
        <f t="shared" si="104"/>
        <v>22.044322427579349</v>
      </c>
      <c r="AY347">
        <f>AY311</f>
        <v>6.0000000000000001E-3</v>
      </c>
      <c r="BB347">
        <f t="shared" si="115"/>
        <v>0.24</v>
      </c>
    </row>
    <row r="348" spans="7:54" x14ac:dyDescent="0.2">
      <c r="G348" t="s">
        <v>199</v>
      </c>
      <c r="H348" t="s">
        <v>162</v>
      </c>
      <c r="J348">
        <v>91.25</v>
      </c>
      <c r="K348">
        <v>25</v>
      </c>
      <c r="M348">
        <v>400</v>
      </c>
      <c r="O348">
        <v>0.33</v>
      </c>
      <c r="P348">
        <v>660</v>
      </c>
      <c r="Q348">
        <f t="shared" si="105"/>
        <v>0.60606060606060608</v>
      </c>
      <c r="S348">
        <v>0</v>
      </c>
      <c r="T348">
        <v>0</v>
      </c>
      <c r="U348">
        <v>0</v>
      </c>
      <c r="V348">
        <v>0</v>
      </c>
      <c r="W348">
        <f>S348*B313+T348*B314</f>
        <v>0</v>
      </c>
      <c r="X348">
        <f t="shared" si="100"/>
        <v>1</v>
      </c>
      <c r="Y348">
        <f t="shared" si="101"/>
        <v>7.230452102500001</v>
      </c>
      <c r="Z348">
        <f t="shared" si="106"/>
        <v>1.0820425984608422</v>
      </c>
      <c r="AC348">
        <v>0.12</v>
      </c>
      <c r="AE348">
        <v>0.65</v>
      </c>
      <c r="AF348">
        <f t="shared" si="102"/>
        <v>2.594286214377</v>
      </c>
      <c r="AG348">
        <f t="shared" si="107"/>
        <v>0.19</v>
      </c>
      <c r="AH348">
        <f t="shared" si="108"/>
        <v>0.6784</v>
      </c>
      <c r="AI348">
        <f>AI311</f>
        <v>1E-3</v>
      </c>
      <c r="AK348">
        <f>AK311</f>
        <v>0.76</v>
      </c>
      <c r="AL348">
        <f>AL311</f>
        <v>99.998999999999995</v>
      </c>
      <c r="AM348">
        <f>AM311</f>
        <v>4.7000000000000002E-3</v>
      </c>
      <c r="AN348">
        <f t="shared" si="109"/>
        <v>2.5413876807513675E-6</v>
      </c>
      <c r="AO348">
        <f t="shared" si="110"/>
        <v>1.5716319281987407E-3</v>
      </c>
      <c r="AP348">
        <f t="shared" si="111"/>
        <v>1.5741733158794922E-3</v>
      </c>
      <c r="AQ348">
        <f t="shared" si="112"/>
        <v>3.5910828768500913</v>
      </c>
      <c r="AS348">
        <f t="shared" si="113"/>
        <v>0</v>
      </c>
      <c r="AT348">
        <f t="shared" si="103"/>
        <v>5.1083772790481274E-3</v>
      </c>
      <c r="AU348">
        <f t="shared" si="114"/>
        <v>0.13214211123279204</v>
      </c>
      <c r="AV348">
        <f t="shared" si="104"/>
        <v>301.44919124980686</v>
      </c>
      <c r="AY348">
        <f>AY311</f>
        <v>6.0000000000000001E-3</v>
      </c>
      <c r="BB348">
        <f t="shared" si="115"/>
        <v>0.24</v>
      </c>
    </row>
    <row r="349" spans="7:54" x14ac:dyDescent="0.2">
      <c r="H349" t="s">
        <v>163</v>
      </c>
      <c r="J349">
        <v>91.25</v>
      </c>
      <c r="K349">
        <v>4</v>
      </c>
      <c r="M349">
        <v>420</v>
      </c>
      <c r="O349">
        <v>0.22</v>
      </c>
      <c r="P349">
        <v>660</v>
      </c>
      <c r="Q349">
        <f t="shared" si="105"/>
        <v>0.63636363636363635</v>
      </c>
      <c r="S349">
        <v>0</v>
      </c>
      <c r="T349">
        <v>0</v>
      </c>
      <c r="U349">
        <v>0</v>
      </c>
      <c r="V349">
        <v>0</v>
      </c>
      <c r="W349">
        <f>S349*B313+T349*B314</f>
        <v>0</v>
      </c>
      <c r="X349">
        <f t="shared" si="100"/>
        <v>1</v>
      </c>
      <c r="Y349">
        <f t="shared" si="101"/>
        <v>7.3032900516000012</v>
      </c>
      <c r="Z349">
        <f t="shared" si="106"/>
        <v>1.0533290230865808</v>
      </c>
      <c r="AC349">
        <v>0.09</v>
      </c>
      <c r="AE349">
        <v>0.55000000000000004</v>
      </c>
      <c r="AF349">
        <f t="shared" si="102"/>
        <v>3.2923231552612804</v>
      </c>
      <c r="AG349">
        <f t="shared" si="107"/>
        <v>0.19</v>
      </c>
      <c r="AH349">
        <f t="shared" si="108"/>
        <v>0.6784</v>
      </c>
      <c r="AI349">
        <f>AI311</f>
        <v>1E-3</v>
      </c>
      <c r="AK349">
        <f>AK311</f>
        <v>0.76</v>
      </c>
      <c r="AL349">
        <f>AL311</f>
        <v>99.998999999999995</v>
      </c>
      <c r="AM349">
        <f>AM311</f>
        <v>4.7000000000000002E-3</v>
      </c>
      <c r="AN349">
        <f t="shared" si="109"/>
        <v>3.2251913691962406E-6</v>
      </c>
      <c r="AO349">
        <f t="shared" si="110"/>
        <v>1.9945062962142077E-3</v>
      </c>
      <c r="AP349">
        <f t="shared" si="111"/>
        <v>1.9977314875834038E-3</v>
      </c>
      <c r="AQ349">
        <f t="shared" si="112"/>
        <v>0.72917199296794233</v>
      </c>
      <c r="AS349">
        <f t="shared" si="113"/>
        <v>0</v>
      </c>
      <c r="AT349">
        <f t="shared" si="103"/>
        <v>3.263301747682234E-3</v>
      </c>
      <c r="AU349">
        <f t="shared" si="114"/>
        <v>0.10027121241872085</v>
      </c>
      <c r="AV349">
        <f t="shared" si="104"/>
        <v>36.598992532833108</v>
      </c>
      <c r="AY349">
        <f>AY311</f>
        <v>6.0000000000000001E-3</v>
      </c>
      <c r="BB349">
        <f t="shared" si="115"/>
        <v>0.24</v>
      </c>
    </row>
    <row r="350" spans="7:54" x14ac:dyDescent="0.2">
      <c r="H350" t="s">
        <v>164</v>
      </c>
      <c r="J350">
        <v>91.25</v>
      </c>
      <c r="K350">
        <v>0</v>
      </c>
      <c r="M350">
        <v>390</v>
      </c>
      <c r="O350">
        <v>-0.33</v>
      </c>
      <c r="P350">
        <v>660</v>
      </c>
      <c r="Q350">
        <f t="shared" si="105"/>
        <v>0.59090909090909094</v>
      </c>
      <c r="S350">
        <v>0</v>
      </c>
      <c r="T350">
        <v>0</v>
      </c>
      <c r="U350">
        <v>0</v>
      </c>
      <c r="V350">
        <v>0</v>
      </c>
      <c r="W350">
        <f>S350*B313+T350*B314</f>
        <v>0</v>
      </c>
      <c r="X350">
        <f t="shared" si="100"/>
        <v>1</v>
      </c>
      <c r="Y350">
        <f t="shared" si="101"/>
        <v>6.0328693160999993</v>
      </c>
      <c r="Z350">
        <f t="shared" si="106"/>
        <v>0.92044212724953012</v>
      </c>
      <c r="AC350">
        <v>0.06</v>
      </c>
      <c r="AE350">
        <v>0.45</v>
      </c>
      <c r="AF350">
        <f t="shared" si="102"/>
        <v>3.27464146477908</v>
      </c>
      <c r="AG350">
        <f t="shared" si="107"/>
        <v>0.19</v>
      </c>
      <c r="AH350">
        <f t="shared" si="108"/>
        <v>0.6784</v>
      </c>
      <c r="AI350">
        <f>AI311</f>
        <v>1E-3</v>
      </c>
      <c r="AK350">
        <f>AK311</f>
        <v>0.76</v>
      </c>
      <c r="AL350">
        <f>AL311</f>
        <v>99.998999999999995</v>
      </c>
      <c r="AM350">
        <f>AM311</f>
        <v>4.7000000000000002E-3</v>
      </c>
      <c r="AN350">
        <f t="shared" si="109"/>
        <v>3.207870215455649E-6</v>
      </c>
      <c r="AO350">
        <f t="shared" si="110"/>
        <v>1.9837946372028188E-3</v>
      </c>
      <c r="AP350">
        <f t="shared" si="111"/>
        <v>1.9870025074182744E-3</v>
      </c>
      <c r="AQ350">
        <f t="shared" si="112"/>
        <v>0</v>
      </c>
      <c r="AS350">
        <f>U350*$B$313+V350*$B$314</f>
        <v>0</v>
      </c>
      <c r="AT350">
        <f t="shared" si="103"/>
        <v>-5.2398443993221903E-3</v>
      </c>
      <c r="AU350">
        <f t="shared" si="114"/>
        <v>6.1610807287374773E-2</v>
      </c>
      <c r="AV350">
        <f t="shared" si="104"/>
        <v>0</v>
      </c>
      <c r="AY350">
        <f>AY311</f>
        <v>6.0000000000000001E-3</v>
      </c>
      <c r="BB350">
        <f t="shared" si="115"/>
        <v>0.24</v>
      </c>
    </row>
    <row r="361" spans="1:64" x14ac:dyDescent="0.2">
      <c r="A361" t="s">
        <v>282</v>
      </c>
      <c r="B361" t="s">
        <v>217</v>
      </c>
      <c r="C361" t="s">
        <v>203</v>
      </c>
      <c r="D361" t="s">
        <v>203</v>
      </c>
      <c r="E361" t="s">
        <v>178</v>
      </c>
      <c r="F361" t="s">
        <v>161</v>
      </c>
      <c r="G361" t="s">
        <v>159</v>
      </c>
      <c r="H361" t="s">
        <v>160</v>
      </c>
      <c r="J361">
        <v>91.25</v>
      </c>
      <c r="K361">
        <v>41</v>
      </c>
      <c r="M361" cm="1">
        <f t="array" ref="M361:M400">_xlfn.DROP(_xlfn.XLOOKUP($D361,TableW[[#Headers],[ACT]:[QLD - Moderate/Low]],TableW[[#All],[ACT]:[QLD - Moderate/Low]]),1)</f>
        <v>220</v>
      </c>
      <c r="O361" cm="1">
        <f t="array" ref="O361:O400">_xlfn.DROP(_xlfn.XLOOKUP($D361,TableLWG[[#Headers],[ACT]:[QLD - Low]],TableLWG[[#All],[ACT]:[QLD - Low]]),1)</f>
        <v>0.22</v>
      </c>
      <c r="P361" cm="1">
        <f t="array" ref="P361:P400">_xlfn.DROP(_xlfn.XLOOKUP($E361,TableSRW[[#Headers],[ACT]:[WA]],TableSRW[[#All],[ACT]:[WA]]),1)</f>
        <v>770</v>
      </c>
      <c r="Q361">
        <f>M361 / P361</f>
        <v>0.2857142857142857</v>
      </c>
      <c r="S361">
        <v>0</v>
      </c>
      <c r="T361">
        <v>0</v>
      </c>
      <c r="U361">
        <f>20/K361</f>
        <v>0.48780487804878048</v>
      </c>
      <c r="V361">
        <v>0</v>
      </c>
      <c r="W361">
        <f>S361*B363+T361*B364</f>
        <v>0</v>
      </c>
      <c r="X361">
        <f t="shared" ref="X361:X400" si="116">(S361 * $BX$3 +T361* $BX$4) + (1 -S361 -T361 )</f>
        <v>1</v>
      </c>
      <c r="Y361">
        <f t="shared" ref="Y361:Y400" si="117">(1.185 + 0.00454 * M361- 0.0000026 * M361 ^2 + 0.315 * O361)^2 * X361</f>
        <v>4.5252351075999986</v>
      </c>
      <c r="Z361">
        <f>Y361 / ((1.185 + 0.00454 * M361 - 0.0000026 * M361 ^ 2) ^ 2 * X361)</f>
        <v>1.0684821943990916</v>
      </c>
      <c r="AC361" cm="1">
        <f t="array" ref="AC361:AC400">_xlfn.DROP(_xlfn.XLOOKUP($C361,TableCP[[#Headers],[ACT]:[WA - Kimberley]],TableCP[[#All],[ACT]:[WA - Kimberley]]),1)</f>
        <v>0.04</v>
      </c>
      <c r="AE361" cm="1">
        <f t="array" ref="AE361:AE400">_xlfn.DROP(_xlfn.XLOOKUP($C361,TableDMD[[#Headers],[ACT]:[WA - Kimberley]],TableDMD[[#All],[ACT]:[WA - Kimberley]]),1)</f>
        <v>0.4</v>
      </c>
      <c r="AF361">
        <f t="shared" ref="AF361:AF400" si="118">(Y361 * (1 - AE361) + (0.04 * Y361)) * ( 1 - $CJ$3 )</f>
        <v>2.6644584313548796</v>
      </c>
      <c r="AG361">
        <f>$CJ$4</f>
        <v>0.19</v>
      </c>
      <c r="AH361">
        <f>$CJ$5</f>
        <v>0.6784</v>
      </c>
      <c r="AI361">
        <f>IF(F361="yes",0,VLOOKUP(C361,$BQ$211:$BS$225,3,FALSE))</f>
        <v>0</v>
      </c>
      <c r="AK361">
        <f>VLOOKUP(C361,$BQ$211:$BU$225,4,FALSE)</f>
        <v>0.76</v>
      </c>
      <c r="AL361">
        <f>IF(F361="yes",100,VLOOKUP(C361,$BQ$211:$BS$225,2,FALSE))</f>
        <v>100</v>
      </c>
      <c r="AM361">
        <f>VLOOKUP(C361,$BQ$211:$BU$225,5,FALSE)</f>
        <v>4.7000000000000002E-3</v>
      </c>
      <c r="AN361">
        <f>AF361 * AG361 * AI361/100 * AK361 * AH361</f>
        <v>0</v>
      </c>
      <c r="AO361">
        <f>AF361 * AG361 * AL361/100 * AM361 * AH361</f>
        <v>1.6141587596492175E-3</v>
      </c>
      <c r="AP361">
        <f>AN361+AO361</f>
        <v>1.6141587596492175E-3</v>
      </c>
      <c r="AQ361">
        <f>K361*AP361*J361</f>
        <v>6.0389714595376347</v>
      </c>
      <c r="AR361">
        <f>SUM(AQ361:AQ400)*10^-3</f>
        <v>0.78501707061888937</v>
      </c>
      <c r="AS361">
        <f>U361*$B$363+V361*$B$364</f>
        <v>1.9512195121951219</v>
      </c>
      <c r="AT361">
        <f t="shared" ref="AT361:AT400" si="119" xml:space="preserve"> (0.032*W361/6.38) + (((0.212 - 0.008*(Z361-2) - (0.14 - 0.008*(Z361 - 2))/(1+EXP(-6*(Q361-0.4))))*O361*0.92)/6.25)</f>
        <v>5.5071444310909436E-3</v>
      </c>
      <c r="AU361">
        <f>MAX((Y361*AC361/6.25)+(0.032*AS361/6.38)-AT361-((1.1*(10^-4)*(M361^0.75))/6.25), 0)</f>
        <v>3.223566250010617E-2</v>
      </c>
      <c r="AV361">
        <f t="shared" ref="AV361:AV400" si="120">K361*AU361*J361</f>
        <v>120.60167232852221</v>
      </c>
      <c r="AW361">
        <f>SUM(AV361:AV400)</f>
        <v>36221.788062440144</v>
      </c>
      <c r="AX361" t="s">
        <v>258</v>
      </c>
      <c r="AY361">
        <f>VLOOKUP(AX361, $CK$18:$CM$27, 2, FALSE)</f>
        <v>2E-3</v>
      </c>
      <c r="AZ361">
        <f>$CJ$6</f>
        <v>0.21</v>
      </c>
      <c r="BA361">
        <f>AW361*AZ361</f>
        <v>7606.5754931124302</v>
      </c>
      <c r="BB361">
        <f>$CJ$7</f>
        <v>0.24</v>
      </c>
      <c r="BC361" t="s">
        <v>190</v>
      </c>
      <c r="BD361">
        <f>IF(BC361="yes",1,0)</f>
        <v>0</v>
      </c>
      <c r="BE361">
        <f>AW361 * BD361 * BB361</f>
        <v>0</v>
      </c>
      <c r="BF361">
        <f>$CJ$8</f>
        <v>1.57</v>
      </c>
      <c r="BG361" t="s">
        <v>185</v>
      </c>
      <c r="BH361">
        <f>VLOOKUP(BG361, $BQ$274:$BR$286, 2, FALSE)</f>
        <v>8.0000000000000002E-3</v>
      </c>
      <c r="BI361">
        <f>$CJ$9</f>
        <v>1.0999999999999999E-2</v>
      </c>
      <c r="BJ361" s="7">
        <f>(AW361 * AY361 * BF361) * 10^-3</f>
        <v>0.11373641451606208</v>
      </c>
      <c r="BK361" s="7">
        <f>BA361 * BH361 * BF361 * 10^-3</f>
        <v>9.5538588193492133E-2</v>
      </c>
      <c r="BL361" s="7">
        <f>BE361 * BI361 * BF361 * 10^-3</f>
        <v>0</v>
      </c>
    </row>
    <row r="362" spans="1:64" x14ac:dyDescent="0.2">
      <c r="G362">
        <v>1</v>
      </c>
      <c r="H362" t="s">
        <v>162</v>
      </c>
      <c r="J362">
        <v>91.25</v>
      </c>
      <c r="K362">
        <v>102</v>
      </c>
      <c r="M362">
        <v>110</v>
      </c>
      <c r="O362">
        <v>0.8</v>
      </c>
      <c r="P362">
        <v>770</v>
      </c>
      <c r="Q362">
        <f t="shared" ref="Q362:Q400" si="121">M362 / P362</f>
        <v>0.14285714285714285</v>
      </c>
      <c r="S362">
        <v>0</v>
      </c>
      <c r="T362">
        <v>0</v>
      </c>
      <c r="U362">
        <f>30/K362</f>
        <v>0.29411764705882354</v>
      </c>
      <c r="V362">
        <f>20/K362</f>
        <v>0.19607843137254902</v>
      </c>
      <c r="W362">
        <f>S362*B363+T362*B364</f>
        <v>0</v>
      </c>
      <c r="X362">
        <f t="shared" si="116"/>
        <v>1</v>
      </c>
      <c r="Y362">
        <f t="shared" si="117"/>
        <v>3.6287964036000004</v>
      </c>
      <c r="Z362">
        <f t="shared" ref="Z362:Z400" si="122">Y362 / ((1.185 + 0.00454 * M362 - 0.0000026 * M362 ^ 2) ^ 2 * X362)</f>
        <v>1.328153966496026</v>
      </c>
      <c r="AC362">
        <v>0.12</v>
      </c>
      <c r="AE362">
        <v>0.65</v>
      </c>
      <c r="AF362">
        <f t="shared" si="118"/>
        <v>1.3020121496116801</v>
      </c>
      <c r="AG362">
        <f t="shared" ref="AG362:AG400" si="123">$CJ$4</f>
        <v>0.19</v>
      </c>
      <c r="AH362">
        <f t="shared" ref="AH362:AH400" si="124">$CJ$5</f>
        <v>0.6784</v>
      </c>
      <c r="AI362">
        <f>AI361</f>
        <v>0</v>
      </c>
      <c r="AK362">
        <f>AK361</f>
        <v>0.76</v>
      </c>
      <c r="AL362">
        <f>AL361</f>
        <v>100</v>
      </c>
      <c r="AM362">
        <f>AM361</f>
        <v>4.7000000000000002E-3</v>
      </c>
      <c r="AN362">
        <f t="shared" ref="AN362:AN400" si="125">AF362 * AG362 * AI362/100 * AK362 * AH362</f>
        <v>0</v>
      </c>
      <c r="AO362">
        <f t="shared" ref="AO362:AO400" si="126">AF362 * AG362 * AL362/100 * AM362 * AH362</f>
        <v>7.8877354277083163E-4</v>
      </c>
      <c r="AP362">
        <f t="shared" ref="AP362:AP400" si="127">AN362+AO362</f>
        <v>7.8877354277083163E-4</v>
      </c>
      <c r="AQ362">
        <f t="shared" ref="AQ362:AQ400" si="128">K362*AP362*J362</f>
        <v>7.3415097493395152</v>
      </c>
      <c r="AS362">
        <f t="shared" ref="AS362:AS400" si="129">U362*$B$363+V362*$B$364</f>
        <v>1.7647058823529411</v>
      </c>
      <c r="AT362">
        <f t="shared" si="119"/>
        <v>2.2582990457440846E-2</v>
      </c>
      <c r="AU362">
        <f t="shared" ref="AU362:AU400" si="130">MAX((Y362*AC362/6.25)+(0.032*AS362/6.38)-AT362-((1.1*(10^-4)*(M362^0.75))/6.25), 0)</f>
        <v>5.534328812076459E-2</v>
      </c>
      <c r="AV362">
        <f t="shared" si="120"/>
        <v>515.10765418401638</v>
      </c>
      <c r="AY362">
        <f>AY361</f>
        <v>2E-3</v>
      </c>
      <c r="BB362">
        <f t="shared" ref="BB362:BB400" si="131">$CJ$7</f>
        <v>0.24</v>
      </c>
    </row>
    <row r="363" spans="1:64" x14ac:dyDescent="0.2">
      <c r="A363" t="s">
        <v>222</v>
      </c>
      <c r="B363">
        <f>IF(B361="Hereford or Shorthorn",$BT$3,$BT$4)</f>
        <v>4</v>
      </c>
      <c r="H363" t="s">
        <v>163</v>
      </c>
      <c r="J363">
        <v>91.25</v>
      </c>
      <c r="K363">
        <v>99</v>
      </c>
      <c r="M363">
        <v>170</v>
      </c>
      <c r="O363">
        <v>0.66</v>
      </c>
      <c r="P363">
        <v>770</v>
      </c>
      <c r="Q363">
        <f t="shared" si="121"/>
        <v>0.22077922077922077</v>
      </c>
      <c r="S363">
        <v>0</v>
      </c>
      <c r="T363">
        <v>0</v>
      </c>
      <c r="U363">
        <v>0</v>
      </c>
      <c r="V363">
        <f>30/K363</f>
        <v>0.30303030303030304</v>
      </c>
      <c r="W363">
        <f>S363*B363+T363*B364</f>
        <v>0</v>
      </c>
      <c r="X363">
        <f t="shared" si="116"/>
        <v>1</v>
      </c>
      <c r="Y363">
        <f t="shared" si="117"/>
        <v>4.3662609936000001</v>
      </c>
      <c r="Z363">
        <f t="shared" si="122"/>
        <v>1.2331825947709709</v>
      </c>
      <c r="AC363">
        <v>0.09</v>
      </c>
      <c r="AE363">
        <v>0.55000000000000004</v>
      </c>
      <c r="AF363">
        <f t="shared" si="118"/>
        <v>1.9683104559148799</v>
      </c>
      <c r="AG363">
        <f t="shared" si="123"/>
        <v>0.19</v>
      </c>
      <c r="AH363">
        <f t="shared" si="124"/>
        <v>0.6784</v>
      </c>
      <c r="AI363">
        <f>AI361</f>
        <v>0</v>
      </c>
      <c r="AK363">
        <f>AK361</f>
        <v>0.76</v>
      </c>
      <c r="AL363">
        <f>AL361</f>
        <v>100</v>
      </c>
      <c r="AM363">
        <f>AM361</f>
        <v>4.7000000000000002E-3</v>
      </c>
      <c r="AN363">
        <f t="shared" si="125"/>
        <v>0</v>
      </c>
      <c r="AO363">
        <f t="shared" si="126"/>
        <v>1.1924245192703406E-3</v>
      </c>
      <c r="AP363">
        <f t="shared" si="127"/>
        <v>1.1924245192703406E-3</v>
      </c>
      <c r="AQ363">
        <f t="shared" si="128"/>
        <v>10.772065000958438</v>
      </c>
      <c r="AS363">
        <f t="shared" si="129"/>
        <v>0.90909090909090917</v>
      </c>
      <c r="AT363">
        <f t="shared" si="119"/>
        <v>1.7580539562139799E-2</v>
      </c>
      <c r="AU363">
        <f t="shared" si="130"/>
        <v>4.9024713913045657E-2</v>
      </c>
      <c r="AV363">
        <f t="shared" si="120"/>
        <v>442.87700931197617</v>
      </c>
      <c r="AY363">
        <f>AY361</f>
        <v>2E-3</v>
      </c>
      <c r="BB363">
        <f t="shared" si="131"/>
        <v>0.24</v>
      </c>
    </row>
    <row r="364" spans="1:64" x14ac:dyDescent="0.2">
      <c r="A364" t="s">
        <v>223</v>
      </c>
      <c r="B364">
        <f>IF(B361="Hereford or Shorthorn",$BU$3,$BU$4)</f>
        <v>3</v>
      </c>
      <c r="H364" t="s">
        <v>164</v>
      </c>
      <c r="J364">
        <v>91.25</v>
      </c>
      <c r="K364">
        <v>54</v>
      </c>
      <c r="M364">
        <v>200</v>
      </c>
      <c r="O364">
        <v>0.33</v>
      </c>
      <c r="P364">
        <v>770</v>
      </c>
      <c r="Q364">
        <f t="shared" si="121"/>
        <v>0.25974025974025972</v>
      </c>
      <c r="S364">
        <v>0</v>
      </c>
      <c r="T364">
        <v>0</v>
      </c>
      <c r="U364">
        <v>0</v>
      </c>
      <c r="V364">
        <v>0</v>
      </c>
      <c r="W364">
        <f>S364*B363+T364*B364</f>
        <v>0</v>
      </c>
      <c r="X364">
        <f t="shared" si="116"/>
        <v>1</v>
      </c>
      <c r="Y364">
        <f t="shared" si="117"/>
        <v>4.3804397025000004</v>
      </c>
      <c r="Z364">
        <f t="shared" si="122"/>
        <v>1.107256249872034</v>
      </c>
      <c r="AC364">
        <v>0.06</v>
      </c>
      <c r="AE364">
        <v>0.45</v>
      </c>
      <c r="AF364">
        <f t="shared" si="118"/>
        <v>2.3777026705170008</v>
      </c>
      <c r="AG364">
        <f t="shared" si="123"/>
        <v>0.19</v>
      </c>
      <c r="AH364">
        <f t="shared" si="124"/>
        <v>0.6784</v>
      </c>
      <c r="AI364">
        <f>AI361</f>
        <v>0</v>
      </c>
      <c r="AK364">
        <f>AK361</f>
        <v>0.76</v>
      </c>
      <c r="AL364">
        <f>AL361</f>
        <v>100</v>
      </c>
      <c r="AM364">
        <f>AM361</f>
        <v>4.7000000000000002E-3</v>
      </c>
      <c r="AN364">
        <f t="shared" si="125"/>
        <v>0</v>
      </c>
      <c r="AO364">
        <f t="shared" si="126"/>
        <v>1.4404389080691089E-3</v>
      </c>
      <c r="AP364">
        <f t="shared" si="127"/>
        <v>1.4404389080691089E-3</v>
      </c>
      <c r="AQ364">
        <f t="shared" si="128"/>
        <v>7.0977627195105351</v>
      </c>
      <c r="AS364">
        <f t="shared" si="129"/>
        <v>0</v>
      </c>
      <c r="AT364">
        <f t="shared" si="119"/>
        <v>8.4921444724500236E-3</v>
      </c>
      <c r="AU364">
        <f t="shared" si="130"/>
        <v>3.2624056593687667E-2</v>
      </c>
      <c r="AV364">
        <f t="shared" si="120"/>
        <v>160.75503886539596</v>
      </c>
      <c r="AY364">
        <f>AY361</f>
        <v>2E-3</v>
      </c>
      <c r="BB364">
        <f t="shared" si="131"/>
        <v>0.24</v>
      </c>
    </row>
    <row r="365" spans="1:64" x14ac:dyDescent="0.2">
      <c r="G365" t="s">
        <v>165</v>
      </c>
      <c r="H365" t="s">
        <v>160</v>
      </c>
      <c r="J365">
        <v>91.25</v>
      </c>
      <c r="K365">
        <v>45</v>
      </c>
      <c r="M365">
        <v>500</v>
      </c>
      <c r="O365">
        <v>-0.55000000000000004</v>
      </c>
      <c r="P365">
        <v>770</v>
      </c>
      <c r="Q365">
        <f t="shared" si="121"/>
        <v>0.64935064935064934</v>
      </c>
      <c r="S365">
        <v>0</v>
      </c>
      <c r="T365">
        <v>0</v>
      </c>
      <c r="U365">
        <v>0</v>
      </c>
      <c r="V365">
        <v>0</v>
      </c>
      <c r="W365">
        <f>S365*B363+T365*B364</f>
        <v>0</v>
      </c>
      <c r="X365">
        <f t="shared" si="116"/>
        <v>1</v>
      </c>
      <c r="Y365">
        <f t="shared" si="117"/>
        <v>6.9261080625000018</v>
      </c>
      <c r="Z365">
        <f t="shared" si="122"/>
        <v>0.8802854671280278</v>
      </c>
      <c r="AC365">
        <v>0.04</v>
      </c>
      <c r="AE365">
        <v>0.4</v>
      </c>
      <c r="AF365">
        <f t="shared" si="118"/>
        <v>4.0780924272000005</v>
      </c>
      <c r="AG365">
        <f t="shared" si="123"/>
        <v>0.19</v>
      </c>
      <c r="AH365">
        <f t="shared" si="124"/>
        <v>0.6784</v>
      </c>
      <c r="AI365">
        <f>AI361</f>
        <v>0</v>
      </c>
      <c r="AK365">
        <f>AK361</f>
        <v>0.76</v>
      </c>
      <c r="AL365">
        <f>AL361</f>
        <v>100</v>
      </c>
      <c r="AM365">
        <f>AM361</f>
        <v>4.7000000000000002E-3</v>
      </c>
      <c r="AN365">
        <f t="shared" si="125"/>
        <v>0</v>
      </c>
      <c r="AO365">
        <f t="shared" si="126"/>
        <v>2.470554067032945E-3</v>
      </c>
      <c r="AP365">
        <f t="shared" si="127"/>
        <v>2.470554067032945E-3</v>
      </c>
      <c r="AQ365">
        <f t="shared" si="128"/>
        <v>10.144712637754031</v>
      </c>
      <c r="AS365">
        <f t="shared" si="129"/>
        <v>0</v>
      </c>
      <c r="AT365">
        <f t="shared" si="119"/>
        <v>-8.0361182910665442E-3</v>
      </c>
      <c r="AU365">
        <f t="shared" si="130"/>
        <v>5.0502236467411157E-2</v>
      </c>
      <c r="AV365">
        <f t="shared" si="120"/>
        <v>207.37480849430705</v>
      </c>
      <c r="AY365">
        <f>AY361</f>
        <v>2E-3</v>
      </c>
      <c r="BB365">
        <f t="shared" si="131"/>
        <v>0.24</v>
      </c>
    </row>
    <row r="366" spans="1:64" x14ac:dyDescent="0.2">
      <c r="A366" t="s">
        <v>167</v>
      </c>
      <c r="G366">
        <v>2</v>
      </c>
      <c r="H366" t="s">
        <v>162</v>
      </c>
      <c r="J366">
        <v>91.25</v>
      </c>
      <c r="K366">
        <v>96</v>
      </c>
      <c r="M366">
        <v>550</v>
      </c>
      <c r="O366">
        <v>0.55000000000000004</v>
      </c>
      <c r="P366">
        <v>770</v>
      </c>
      <c r="Q366">
        <f t="shared" si="121"/>
        <v>0.7142857142857143</v>
      </c>
      <c r="S366">
        <v>0</v>
      </c>
      <c r="T366">
        <v>0</v>
      </c>
      <c r="U366">
        <v>0</v>
      </c>
      <c r="V366">
        <v>0</v>
      </c>
      <c r="W366">
        <f>S366*B363+T366*B364</f>
        <v>0</v>
      </c>
      <c r="X366">
        <f t="shared" si="116"/>
        <v>1</v>
      </c>
      <c r="Y366">
        <f t="shared" si="117"/>
        <v>9.4172265624999998</v>
      </c>
      <c r="Z366">
        <f t="shared" si="122"/>
        <v>1.1232485855885854</v>
      </c>
      <c r="AC366">
        <v>0.12</v>
      </c>
      <c r="AE366">
        <v>0.65</v>
      </c>
      <c r="AF366">
        <f t="shared" si="118"/>
        <v>3.3789008906249998</v>
      </c>
      <c r="AG366">
        <f t="shared" si="123"/>
        <v>0.19</v>
      </c>
      <c r="AH366">
        <f t="shared" si="124"/>
        <v>0.6784</v>
      </c>
      <c r="AI366">
        <f>AI361</f>
        <v>0</v>
      </c>
      <c r="AK366">
        <f>AK361</f>
        <v>0.76</v>
      </c>
      <c r="AL366">
        <f>AL361</f>
        <v>100</v>
      </c>
      <c r="AM366">
        <f>AM361</f>
        <v>4.7000000000000002E-3</v>
      </c>
      <c r="AN366">
        <f t="shared" si="125"/>
        <v>0</v>
      </c>
      <c r="AO366">
        <f t="shared" si="126"/>
        <v>2.0469760032306001E-3</v>
      </c>
      <c r="AP366">
        <f t="shared" si="127"/>
        <v>2.0469760032306001E-3</v>
      </c>
      <c r="AQ366">
        <f t="shared" si="128"/>
        <v>17.931509788300055</v>
      </c>
      <c r="AS366">
        <f t="shared" si="129"/>
        <v>0</v>
      </c>
      <c r="AT366">
        <f t="shared" si="119"/>
        <v>7.3970503442349553E-3</v>
      </c>
      <c r="AU366">
        <f t="shared" si="130"/>
        <v>0.17141482903442706</v>
      </c>
      <c r="AV366">
        <f t="shared" si="120"/>
        <v>1501.593902341581</v>
      </c>
      <c r="AY366">
        <f>AY361</f>
        <v>2E-3</v>
      </c>
      <c r="BB366">
        <f t="shared" si="131"/>
        <v>0.24</v>
      </c>
    </row>
    <row r="367" spans="1:64" x14ac:dyDescent="0.2">
      <c r="A367" t="s">
        <v>160</v>
      </c>
      <c r="B367">
        <f>IF(B361="Hereford or Shorthorn", 1.3, 0)</f>
        <v>0</v>
      </c>
      <c r="H367" t="s">
        <v>163</v>
      </c>
      <c r="J367">
        <v>91.25</v>
      </c>
      <c r="K367">
        <v>67</v>
      </c>
      <c r="M367">
        <v>600</v>
      </c>
      <c r="O367">
        <v>0.55000000000000004</v>
      </c>
      <c r="P367">
        <v>770</v>
      </c>
      <c r="Q367">
        <f t="shared" si="121"/>
        <v>0.77922077922077926</v>
      </c>
      <c r="S367">
        <v>0</v>
      </c>
      <c r="T367">
        <v>0</v>
      </c>
      <c r="U367">
        <v>0</v>
      </c>
      <c r="V367">
        <v>0</v>
      </c>
      <c r="W367">
        <f>S367*B363+T367*B364</f>
        <v>0</v>
      </c>
      <c r="X367">
        <f t="shared" si="116"/>
        <v>1</v>
      </c>
      <c r="Y367">
        <f t="shared" si="117"/>
        <v>9.8988890624999986</v>
      </c>
      <c r="Z367">
        <f t="shared" si="122"/>
        <v>1.1199448543450081</v>
      </c>
      <c r="AC367">
        <v>0.09</v>
      </c>
      <c r="AE367">
        <v>0.55000000000000004</v>
      </c>
      <c r="AF367">
        <f t="shared" si="118"/>
        <v>4.4624191893749998</v>
      </c>
      <c r="AG367">
        <f t="shared" si="123"/>
        <v>0.19</v>
      </c>
      <c r="AH367">
        <f t="shared" si="124"/>
        <v>0.6784</v>
      </c>
      <c r="AI367">
        <f>AI361</f>
        <v>0</v>
      </c>
      <c r="AK367">
        <f>AK361</f>
        <v>0.76</v>
      </c>
      <c r="AL367">
        <f>AL361</f>
        <v>100</v>
      </c>
      <c r="AM367">
        <f>AM361</f>
        <v>4.7000000000000002E-3</v>
      </c>
      <c r="AN367">
        <f t="shared" si="125"/>
        <v>0</v>
      </c>
      <c r="AO367">
        <f t="shared" si="126"/>
        <v>2.7033835240182959E-3</v>
      </c>
      <c r="AP367">
        <f t="shared" si="127"/>
        <v>2.7033835240182959E-3</v>
      </c>
      <c r="AQ367">
        <f t="shared" si="128"/>
        <v>16.527811019966858</v>
      </c>
      <c r="AS367">
        <f t="shared" si="129"/>
        <v>0</v>
      </c>
      <c r="AT367">
        <f t="shared" si="119"/>
        <v>6.9384581468872521E-3</v>
      </c>
      <c r="AU367">
        <f t="shared" si="130"/>
        <v>0.13347187998017421</v>
      </c>
      <c r="AV367">
        <f t="shared" si="120"/>
        <v>816.01370622879006</v>
      </c>
      <c r="AY367">
        <f>AY361</f>
        <v>2E-3</v>
      </c>
      <c r="BB367">
        <f t="shared" si="131"/>
        <v>0.24</v>
      </c>
    </row>
    <row r="368" spans="1:64" x14ac:dyDescent="0.2">
      <c r="A368" t="s">
        <v>162</v>
      </c>
      <c r="B368">
        <f>IF(B361="Hereford or Shorthorn", 1.1, 1.3)</f>
        <v>1.3</v>
      </c>
      <c r="H368" t="s">
        <v>164</v>
      </c>
      <c r="J368">
        <v>91.25</v>
      </c>
      <c r="K368">
        <v>18</v>
      </c>
      <c r="M368">
        <v>550</v>
      </c>
      <c r="O368">
        <v>-0.55000000000000004</v>
      </c>
      <c r="P368">
        <v>770</v>
      </c>
      <c r="Q368">
        <f t="shared" si="121"/>
        <v>0.7142857142857143</v>
      </c>
      <c r="S368">
        <v>0</v>
      </c>
      <c r="T368">
        <v>0</v>
      </c>
      <c r="U368">
        <v>0</v>
      </c>
      <c r="V368">
        <v>0</v>
      </c>
      <c r="W368">
        <f>S368*B363+T368*B364</f>
        <v>0</v>
      </c>
      <c r="X368">
        <f t="shared" si="116"/>
        <v>1</v>
      </c>
      <c r="Y368">
        <f t="shared" si="117"/>
        <v>7.4106450625000013</v>
      </c>
      <c r="Z368">
        <f t="shared" si="122"/>
        <v>0.8839116834991364</v>
      </c>
      <c r="AC368">
        <v>0.06</v>
      </c>
      <c r="AE368">
        <v>0.45</v>
      </c>
      <c r="AF368">
        <f t="shared" si="118"/>
        <v>4.022498139925001</v>
      </c>
      <c r="AG368">
        <f t="shared" si="123"/>
        <v>0.19</v>
      </c>
      <c r="AH368">
        <f t="shared" si="124"/>
        <v>0.6784</v>
      </c>
      <c r="AI368">
        <f>AI361</f>
        <v>0</v>
      </c>
      <c r="AK368">
        <f>AK361</f>
        <v>0.76</v>
      </c>
      <c r="AL368">
        <f>AL361</f>
        <v>100</v>
      </c>
      <c r="AM368">
        <f>AM361</f>
        <v>4.7000000000000002E-3</v>
      </c>
      <c r="AN368">
        <f t="shared" si="125"/>
        <v>0</v>
      </c>
      <c r="AO368">
        <f t="shared" si="126"/>
        <v>2.4368744251457328E-3</v>
      </c>
      <c r="AP368">
        <f t="shared" si="127"/>
        <v>2.4368744251457328E-3</v>
      </c>
      <c r="AQ368">
        <f t="shared" si="128"/>
        <v>4.0025662433018665</v>
      </c>
      <c r="AS368">
        <f t="shared" si="129"/>
        <v>0</v>
      </c>
      <c r="AT368">
        <f t="shared" si="119"/>
        <v>-7.4174709062167074E-3</v>
      </c>
      <c r="AU368">
        <f t="shared" si="130"/>
        <v>7.656079288487877E-2</v>
      </c>
      <c r="AV368">
        <f t="shared" si="120"/>
        <v>125.75110231341338</v>
      </c>
      <c r="AY368">
        <f>AY361</f>
        <v>2E-3</v>
      </c>
      <c r="BB368">
        <f t="shared" si="131"/>
        <v>0.24</v>
      </c>
    </row>
    <row r="369" spans="1:54" x14ac:dyDescent="0.2">
      <c r="A369" t="s">
        <v>163</v>
      </c>
      <c r="B369">
        <f>IF(B361="Hereford or Shorthorn", 0, 1.1)</f>
        <v>1.1000000000000001</v>
      </c>
      <c r="G369" t="s">
        <v>177</v>
      </c>
      <c r="H369" t="s">
        <v>160</v>
      </c>
      <c r="J369">
        <v>91.25</v>
      </c>
      <c r="K369">
        <v>209</v>
      </c>
      <c r="M369">
        <v>300</v>
      </c>
      <c r="O369">
        <v>0.22</v>
      </c>
      <c r="P369">
        <v>550</v>
      </c>
      <c r="Q369">
        <f t="shared" si="121"/>
        <v>0.54545454545454541</v>
      </c>
      <c r="S369">
        <v>0</v>
      </c>
      <c r="T369">
        <v>0</v>
      </c>
      <c r="U369">
        <v>0</v>
      </c>
      <c r="V369">
        <v>0</v>
      </c>
      <c r="W369">
        <f>S369*B363+T369*B364</f>
        <v>0</v>
      </c>
      <c r="X369">
        <f t="shared" si="116"/>
        <v>1</v>
      </c>
      <c r="Y369">
        <f t="shared" si="117"/>
        <v>5.6753532899999994</v>
      </c>
      <c r="Z369">
        <f t="shared" si="122"/>
        <v>1.0608198458720042</v>
      </c>
      <c r="AC369">
        <v>0.04</v>
      </c>
      <c r="AE369">
        <v>0.4</v>
      </c>
      <c r="AF369">
        <f t="shared" si="118"/>
        <v>3.3416480171519996</v>
      </c>
      <c r="AG369">
        <f t="shared" si="123"/>
        <v>0.19</v>
      </c>
      <c r="AH369">
        <f t="shared" si="124"/>
        <v>0.6784</v>
      </c>
      <c r="AI369">
        <f>AI361</f>
        <v>0</v>
      </c>
      <c r="AK369">
        <f>AK361</f>
        <v>0.76</v>
      </c>
      <c r="AL369">
        <f>AL361</f>
        <v>100</v>
      </c>
      <c r="AM369">
        <f>AM361</f>
        <v>4.7000000000000002E-3</v>
      </c>
      <c r="AN369">
        <f t="shared" si="125"/>
        <v>0</v>
      </c>
      <c r="AO369">
        <f t="shared" si="126"/>
        <v>2.0244077952484736E-3</v>
      </c>
      <c r="AP369">
        <f t="shared" si="127"/>
        <v>2.0244077952484736E-3</v>
      </c>
      <c r="AQ369">
        <f t="shared" si="128"/>
        <v>38.607987165132457</v>
      </c>
      <c r="AS369">
        <f t="shared" si="129"/>
        <v>0</v>
      </c>
      <c r="AT369">
        <f t="shared" si="119"/>
        <v>3.7393906059229815E-3</v>
      </c>
      <c r="AU369">
        <f t="shared" si="130"/>
        <v>3.1314186023413869E-2</v>
      </c>
      <c r="AV369">
        <f t="shared" si="120"/>
        <v>597.20067019903172</v>
      </c>
      <c r="AY369">
        <f>AY361</f>
        <v>2E-3</v>
      </c>
      <c r="BB369">
        <f t="shared" si="131"/>
        <v>0.24</v>
      </c>
    </row>
    <row r="370" spans="1:54" x14ac:dyDescent="0.2">
      <c r="A370" t="s">
        <v>164</v>
      </c>
      <c r="B370">
        <v>0</v>
      </c>
      <c r="G370">
        <v>4</v>
      </c>
      <c r="H370" t="s">
        <v>162</v>
      </c>
      <c r="J370">
        <v>91.25</v>
      </c>
      <c r="K370">
        <v>290</v>
      </c>
      <c r="M370">
        <v>220</v>
      </c>
      <c r="O370">
        <v>0.44</v>
      </c>
      <c r="P370">
        <v>550</v>
      </c>
      <c r="Q370">
        <f t="shared" si="121"/>
        <v>0.4</v>
      </c>
      <c r="S370">
        <v>0</v>
      </c>
      <c r="T370">
        <v>0</v>
      </c>
      <c r="U370">
        <v>0</v>
      </c>
      <c r="V370">
        <v>0</v>
      </c>
      <c r="W370">
        <f>S370*B363+T370*B364</f>
        <v>0</v>
      </c>
      <c r="X370">
        <f t="shared" si="116"/>
        <v>1</v>
      </c>
      <c r="Y370">
        <f t="shared" si="117"/>
        <v>4.8248758335999975</v>
      </c>
      <c r="Z370">
        <f t="shared" si="122"/>
        <v>1.1392322820376577</v>
      </c>
      <c r="AC370">
        <v>0.12</v>
      </c>
      <c r="AE370">
        <v>0.65</v>
      </c>
      <c r="AF370">
        <f t="shared" si="118"/>
        <v>1.7311654490956792</v>
      </c>
      <c r="AG370">
        <f t="shared" si="123"/>
        <v>0.19</v>
      </c>
      <c r="AH370">
        <f t="shared" si="124"/>
        <v>0.6784</v>
      </c>
      <c r="AI370">
        <f>AI361</f>
        <v>0</v>
      </c>
      <c r="AK370">
        <f>AK361</f>
        <v>0.76</v>
      </c>
      <c r="AL370">
        <f>AL361</f>
        <v>100</v>
      </c>
      <c r="AM370">
        <f>AM361</f>
        <v>4.7000000000000002E-3</v>
      </c>
      <c r="AN370">
        <f t="shared" si="125"/>
        <v>0</v>
      </c>
      <c r="AO370">
        <f t="shared" si="126"/>
        <v>1.0487594181151922E-3</v>
      </c>
      <c r="AP370">
        <f t="shared" si="127"/>
        <v>1.0487594181151922E-3</v>
      </c>
      <c r="AQ370">
        <f t="shared" si="128"/>
        <v>27.752796101873273</v>
      </c>
      <c r="AS370">
        <f t="shared" si="129"/>
        <v>0</v>
      </c>
      <c r="AT370">
        <f t="shared" si="119"/>
        <v>9.4200568142279398E-3</v>
      </c>
      <c r="AU370">
        <f t="shared" si="130"/>
        <v>8.2212180494539419E-2</v>
      </c>
      <c r="AV370">
        <f t="shared" si="120"/>
        <v>2175.5398263367492</v>
      </c>
      <c r="AY370">
        <f>AY361</f>
        <v>2E-3</v>
      </c>
      <c r="BB370">
        <f t="shared" si="131"/>
        <v>0.24</v>
      </c>
    </row>
    <row r="371" spans="1:54" x14ac:dyDescent="0.2">
      <c r="H371" t="s">
        <v>163</v>
      </c>
      <c r="J371">
        <v>91.25</v>
      </c>
      <c r="K371">
        <v>271</v>
      </c>
      <c r="M371">
        <v>270</v>
      </c>
      <c r="O371">
        <v>0.55000000000000004</v>
      </c>
      <c r="P371">
        <v>550</v>
      </c>
      <c r="Q371">
        <f t="shared" si="121"/>
        <v>0.49090909090909091</v>
      </c>
      <c r="S371">
        <v>0</v>
      </c>
      <c r="T371">
        <v>0</v>
      </c>
      <c r="U371">
        <v>0</v>
      </c>
      <c r="V371">
        <v>0</v>
      </c>
      <c r="W371">
        <f>S371*B363+T371*B364</f>
        <v>0</v>
      </c>
      <c r="X371">
        <f t="shared" si="116"/>
        <v>1</v>
      </c>
      <c r="Y371">
        <f t="shared" si="117"/>
        <v>5.7336781400999994</v>
      </c>
      <c r="Z371">
        <f t="shared" si="122"/>
        <v>1.1620759632779882</v>
      </c>
      <c r="AC371">
        <v>0.09</v>
      </c>
      <c r="AE371">
        <v>0.55000000000000004</v>
      </c>
      <c r="AF371">
        <f t="shared" si="118"/>
        <v>2.5847421055570798</v>
      </c>
      <c r="AG371">
        <f t="shared" si="123"/>
        <v>0.19</v>
      </c>
      <c r="AH371">
        <f t="shared" si="124"/>
        <v>0.6784</v>
      </c>
      <c r="AI371">
        <f>AI361</f>
        <v>0</v>
      </c>
      <c r="AK371">
        <f>AK361</f>
        <v>0.76</v>
      </c>
      <c r="AL371">
        <f>AL361</f>
        <v>100</v>
      </c>
      <c r="AM371">
        <f>AM361</f>
        <v>4.7000000000000002E-3</v>
      </c>
      <c r="AN371">
        <f t="shared" si="125"/>
        <v>0</v>
      </c>
      <c r="AO371">
        <f t="shared" si="126"/>
        <v>1.5658657166580615E-3</v>
      </c>
      <c r="AP371">
        <f t="shared" si="127"/>
        <v>1.5658657166580615E-3</v>
      </c>
      <c r="AQ371">
        <f t="shared" si="128"/>
        <v>38.721901840808037</v>
      </c>
      <c r="AS371">
        <f t="shared" si="129"/>
        <v>0</v>
      </c>
      <c r="AT371">
        <f t="shared" si="119"/>
        <v>1.0187063582707979E-2</v>
      </c>
      <c r="AU371">
        <f t="shared" si="130"/>
        <v>7.1205610472416248E-2</v>
      </c>
      <c r="AV371">
        <f t="shared" si="120"/>
        <v>1760.8257399697632</v>
      </c>
      <c r="AY371">
        <f>AY361</f>
        <v>2E-3</v>
      </c>
      <c r="BB371">
        <f t="shared" si="131"/>
        <v>0.24</v>
      </c>
    </row>
    <row r="372" spans="1:54" x14ac:dyDescent="0.2">
      <c r="H372" t="s">
        <v>164</v>
      </c>
      <c r="J372">
        <v>91.25</v>
      </c>
      <c r="K372">
        <v>222</v>
      </c>
      <c r="M372">
        <v>280</v>
      </c>
      <c r="O372">
        <v>0.11</v>
      </c>
      <c r="P372">
        <v>550</v>
      </c>
      <c r="Q372">
        <f t="shared" si="121"/>
        <v>0.50909090909090904</v>
      </c>
      <c r="S372">
        <v>0</v>
      </c>
      <c r="T372">
        <v>0</v>
      </c>
      <c r="U372">
        <v>0</v>
      </c>
      <c r="V372">
        <v>0</v>
      </c>
      <c r="W372">
        <f>S372*B363+T372*B364</f>
        <v>0</v>
      </c>
      <c r="X372">
        <f t="shared" si="116"/>
        <v>1</v>
      </c>
      <c r="Y372">
        <f t="shared" si="117"/>
        <v>5.2304147400999996</v>
      </c>
      <c r="Z372">
        <f t="shared" si="122"/>
        <v>1.0310043913445655</v>
      </c>
      <c r="AC372">
        <v>0.06</v>
      </c>
      <c r="AE372">
        <v>0.45</v>
      </c>
      <c r="AF372">
        <f t="shared" si="118"/>
        <v>2.8390691209262799</v>
      </c>
      <c r="AG372">
        <f t="shared" si="123"/>
        <v>0.19</v>
      </c>
      <c r="AH372">
        <f t="shared" si="124"/>
        <v>0.6784</v>
      </c>
      <c r="AI372">
        <f>AI361</f>
        <v>0</v>
      </c>
      <c r="AK372">
        <f>AK361</f>
        <v>0.76</v>
      </c>
      <c r="AL372">
        <f>AL361</f>
        <v>100</v>
      </c>
      <c r="AM372">
        <f>AM361</f>
        <v>4.7000000000000002E-3</v>
      </c>
      <c r="AN372">
        <f t="shared" si="125"/>
        <v>0</v>
      </c>
      <c r="AO372">
        <f t="shared" si="126"/>
        <v>1.7199398710312948E-3</v>
      </c>
      <c r="AP372">
        <f t="shared" si="127"/>
        <v>1.7199398710312948E-3</v>
      </c>
      <c r="AQ372">
        <f t="shared" si="128"/>
        <v>34.841681937416453</v>
      </c>
      <c r="AS372">
        <f t="shared" si="129"/>
        <v>0</v>
      </c>
      <c r="AT372">
        <f t="shared" si="119"/>
        <v>1.983943303813197E-3</v>
      </c>
      <c r="AU372">
        <f t="shared" si="130"/>
        <v>4.7023331873867202E-2</v>
      </c>
      <c r="AV372">
        <f t="shared" si="120"/>
        <v>952.57514543486479</v>
      </c>
      <c r="AY372">
        <f>AY361</f>
        <v>2E-3</v>
      </c>
      <c r="BB372">
        <f t="shared" si="131"/>
        <v>0.24</v>
      </c>
    </row>
    <row r="373" spans="1:54" x14ac:dyDescent="0.2">
      <c r="G373" t="s">
        <v>179</v>
      </c>
      <c r="H373" t="s">
        <v>160</v>
      </c>
      <c r="J373">
        <v>91.25</v>
      </c>
      <c r="K373">
        <v>261</v>
      </c>
      <c r="M373">
        <v>320</v>
      </c>
      <c r="O373">
        <v>-0.33</v>
      </c>
      <c r="P373">
        <v>550</v>
      </c>
      <c r="Q373">
        <f t="shared" si="121"/>
        <v>0.58181818181818179</v>
      </c>
      <c r="S373">
        <v>0</v>
      </c>
      <c r="T373">
        <v>0</v>
      </c>
      <c r="U373">
        <v>0</v>
      </c>
      <c r="V373">
        <v>0</v>
      </c>
      <c r="W373">
        <f>S373*B363+T373*B364</f>
        <v>0</v>
      </c>
      <c r="X373">
        <f t="shared" si="116"/>
        <v>1</v>
      </c>
      <c r="Y373">
        <f t="shared" si="117"/>
        <v>5.1420551120999978</v>
      </c>
      <c r="Z373">
        <f t="shared" si="122"/>
        <v>0.91425741994642784</v>
      </c>
      <c r="AC373">
        <v>0.04</v>
      </c>
      <c r="AE373">
        <v>0.4</v>
      </c>
      <c r="AF373">
        <f t="shared" si="118"/>
        <v>3.0276420500044785</v>
      </c>
      <c r="AG373">
        <f t="shared" si="123"/>
        <v>0.19</v>
      </c>
      <c r="AH373">
        <f t="shared" si="124"/>
        <v>0.6784</v>
      </c>
      <c r="AI373">
        <f>AI361</f>
        <v>0</v>
      </c>
      <c r="AK373">
        <f>AK361</f>
        <v>0.76</v>
      </c>
      <c r="AL373">
        <f>AL361</f>
        <v>100</v>
      </c>
      <c r="AM373">
        <f>AM361</f>
        <v>4.7000000000000002E-3</v>
      </c>
      <c r="AN373">
        <f t="shared" si="125"/>
        <v>0</v>
      </c>
      <c r="AO373">
        <f t="shared" si="126"/>
        <v>1.8341794634836731E-3</v>
      </c>
      <c r="AP373">
        <f t="shared" si="127"/>
        <v>1.8341794634836731E-3</v>
      </c>
      <c r="AQ373">
        <f t="shared" si="128"/>
        <v>43.683276647193033</v>
      </c>
      <c r="AS373">
        <f t="shared" si="129"/>
        <v>0</v>
      </c>
      <c r="AT373">
        <f t="shared" si="119"/>
        <v>-5.3135660533105552E-3</v>
      </c>
      <c r="AU373">
        <f t="shared" si="130"/>
        <v>3.6891114585274068E-2</v>
      </c>
      <c r="AV373">
        <f t="shared" si="120"/>
        <v>878.60800774153358</v>
      </c>
      <c r="AY373">
        <f>AY361</f>
        <v>2E-3</v>
      </c>
      <c r="BB373">
        <f t="shared" si="131"/>
        <v>0.24</v>
      </c>
    </row>
    <row r="374" spans="1:54" x14ac:dyDescent="0.2">
      <c r="G374" t="s">
        <v>195</v>
      </c>
      <c r="H374" t="s">
        <v>162</v>
      </c>
      <c r="J374">
        <v>91.25</v>
      </c>
      <c r="K374">
        <v>326</v>
      </c>
      <c r="M374">
        <v>380</v>
      </c>
      <c r="O374">
        <v>0.66</v>
      </c>
      <c r="P374">
        <v>550</v>
      </c>
      <c r="Q374">
        <f t="shared" si="121"/>
        <v>0.69090909090909092</v>
      </c>
      <c r="S374">
        <v>0</v>
      </c>
      <c r="T374">
        <v>0</v>
      </c>
      <c r="U374">
        <v>0</v>
      </c>
      <c r="V374">
        <v>0</v>
      </c>
      <c r="W374">
        <f>S374*B363+T374*B364</f>
        <v>0</v>
      </c>
      <c r="X374">
        <f t="shared" si="116"/>
        <v>1</v>
      </c>
      <c r="Y374">
        <f t="shared" si="117"/>
        <v>7.522183875599997</v>
      </c>
      <c r="Z374">
        <f t="shared" si="122"/>
        <v>1.1707664136777063</v>
      </c>
      <c r="AC374">
        <v>0.12</v>
      </c>
      <c r="AE374">
        <v>0.65</v>
      </c>
      <c r="AF374">
        <f t="shared" si="118"/>
        <v>2.6989595745652788</v>
      </c>
      <c r="AG374">
        <f t="shared" si="123"/>
        <v>0.19</v>
      </c>
      <c r="AH374">
        <f t="shared" si="124"/>
        <v>0.6784</v>
      </c>
      <c r="AI374">
        <f>AI361</f>
        <v>0</v>
      </c>
      <c r="AK374">
        <f>AK361</f>
        <v>0.76</v>
      </c>
      <c r="AL374">
        <f>AL361</f>
        <v>100</v>
      </c>
      <c r="AM374">
        <f>AM361</f>
        <v>4.7000000000000002E-3</v>
      </c>
      <c r="AN374">
        <f t="shared" si="125"/>
        <v>0</v>
      </c>
      <c r="AO374">
        <f t="shared" si="126"/>
        <v>1.6350599386188809E-3</v>
      </c>
      <c r="AP374">
        <f t="shared" si="127"/>
        <v>1.6350599386188809E-3</v>
      </c>
      <c r="AQ374">
        <f t="shared" si="128"/>
        <v>48.638945524065164</v>
      </c>
      <c r="AS374">
        <f t="shared" si="129"/>
        <v>0</v>
      </c>
      <c r="AT374">
        <f t="shared" si="119"/>
        <v>9.1121712505338529E-3</v>
      </c>
      <c r="AU374">
        <f t="shared" si="130"/>
        <v>0.13379897636059901</v>
      </c>
      <c r="AV374">
        <f t="shared" si="120"/>
        <v>3980.1850492869194</v>
      </c>
      <c r="AY374">
        <f>AY361</f>
        <v>2E-3</v>
      </c>
      <c r="BB374">
        <f t="shared" si="131"/>
        <v>0.24</v>
      </c>
    </row>
    <row r="375" spans="1:54" x14ac:dyDescent="0.2">
      <c r="H375" t="s">
        <v>163</v>
      </c>
      <c r="J375">
        <v>91.25</v>
      </c>
      <c r="K375">
        <v>319</v>
      </c>
      <c r="M375">
        <v>390</v>
      </c>
      <c r="O375">
        <v>0.11</v>
      </c>
      <c r="P375">
        <v>550</v>
      </c>
      <c r="Q375">
        <f t="shared" si="121"/>
        <v>0.70909090909090911</v>
      </c>
      <c r="S375">
        <v>0</v>
      </c>
      <c r="T375">
        <v>0</v>
      </c>
      <c r="U375">
        <v>0</v>
      </c>
      <c r="V375">
        <v>0</v>
      </c>
      <c r="W375">
        <f>S375*B363+T375*B364</f>
        <v>0</v>
      </c>
      <c r="X375">
        <f t="shared" si="116"/>
        <v>1</v>
      </c>
      <c r="Y375">
        <f t="shared" si="117"/>
        <v>6.7329351441000007</v>
      </c>
      <c r="Z375">
        <f t="shared" si="122"/>
        <v>1.0272520125920463</v>
      </c>
      <c r="AC375">
        <v>0.09</v>
      </c>
      <c r="AE375">
        <v>0.55000000000000004</v>
      </c>
      <c r="AF375">
        <f t="shared" si="118"/>
        <v>3.0352071629602801</v>
      </c>
      <c r="AG375">
        <f t="shared" si="123"/>
        <v>0.19</v>
      </c>
      <c r="AH375">
        <f t="shared" si="124"/>
        <v>0.6784</v>
      </c>
      <c r="AI375">
        <f>AI361</f>
        <v>0</v>
      </c>
      <c r="AK375">
        <f>AK361</f>
        <v>0.76</v>
      </c>
      <c r="AL375">
        <f>AL361</f>
        <v>100</v>
      </c>
      <c r="AM375">
        <f>AM361</f>
        <v>4.7000000000000002E-3</v>
      </c>
      <c r="AN375">
        <f t="shared" si="125"/>
        <v>0</v>
      </c>
      <c r="AO375">
        <f t="shared" si="126"/>
        <v>1.8387624936415633E-3</v>
      </c>
      <c r="AP375">
        <f t="shared" si="127"/>
        <v>1.8387624936415633E-3</v>
      </c>
      <c r="AQ375">
        <f t="shared" si="128"/>
        <v>53.524077736788861</v>
      </c>
      <c r="AS375">
        <f t="shared" si="129"/>
        <v>0</v>
      </c>
      <c r="AT375">
        <f t="shared" si="119"/>
        <v>1.4896773940673914E-3</v>
      </c>
      <c r="AU375">
        <f t="shared" si="130"/>
        <v>9.3920006134465217E-2</v>
      </c>
      <c r="AV375">
        <f t="shared" si="120"/>
        <v>2733.8939785666144</v>
      </c>
      <c r="AY375">
        <f>AY361</f>
        <v>2E-3</v>
      </c>
      <c r="BB375">
        <f t="shared" si="131"/>
        <v>0.24</v>
      </c>
    </row>
    <row r="376" spans="1:54" x14ac:dyDescent="0.2">
      <c r="H376" t="s">
        <v>164</v>
      </c>
      <c r="J376">
        <v>91.25</v>
      </c>
      <c r="K376">
        <v>264</v>
      </c>
      <c r="M376">
        <v>350</v>
      </c>
      <c r="O376">
        <v>-0.44</v>
      </c>
      <c r="P376">
        <v>550</v>
      </c>
      <c r="Q376">
        <f t="shared" si="121"/>
        <v>0.63636363636363635</v>
      </c>
      <c r="S376">
        <v>0</v>
      </c>
      <c r="T376">
        <v>0</v>
      </c>
      <c r="U376">
        <v>0</v>
      </c>
      <c r="V376">
        <v>0</v>
      </c>
      <c r="W376">
        <f>S376*B363+T376*B364</f>
        <v>0</v>
      </c>
      <c r="X376">
        <f t="shared" si="116"/>
        <v>1</v>
      </c>
      <c r="Y376">
        <f t="shared" si="117"/>
        <v>5.3680256100000001</v>
      </c>
      <c r="Z376">
        <f t="shared" si="122"/>
        <v>0.8902965740703771</v>
      </c>
      <c r="AC376">
        <v>0.06</v>
      </c>
      <c r="AE376">
        <v>0.45</v>
      </c>
      <c r="AF376">
        <f t="shared" si="118"/>
        <v>2.9137643011080008</v>
      </c>
      <c r="AG376">
        <f t="shared" si="123"/>
        <v>0.19</v>
      </c>
      <c r="AH376">
        <f t="shared" si="124"/>
        <v>0.6784</v>
      </c>
      <c r="AI376">
        <f>AI361</f>
        <v>0</v>
      </c>
      <c r="AK376">
        <f>AK361</f>
        <v>0.76</v>
      </c>
      <c r="AL376">
        <f>AL361</f>
        <v>100</v>
      </c>
      <c r="AM376">
        <f>AM361</f>
        <v>4.7000000000000002E-3</v>
      </c>
      <c r="AN376">
        <f t="shared" si="125"/>
        <v>0</v>
      </c>
      <c r="AO376">
        <f t="shared" si="126"/>
        <v>1.7651910477713994E-3</v>
      </c>
      <c r="AP376">
        <f t="shared" si="127"/>
        <v>1.7651910477713994E-3</v>
      </c>
      <c r="AQ376">
        <f t="shared" si="128"/>
        <v>42.523452340813009</v>
      </c>
      <c r="AS376">
        <f t="shared" si="129"/>
        <v>0</v>
      </c>
      <c r="AT376">
        <f t="shared" si="119"/>
        <v>-6.5430714848797415E-3</v>
      </c>
      <c r="AU376">
        <f t="shared" si="130"/>
        <v>5.66519412154576E-2</v>
      </c>
      <c r="AV376">
        <f t="shared" si="120"/>
        <v>1364.7452638803736</v>
      </c>
      <c r="AY376">
        <f>AY361</f>
        <v>2E-3</v>
      </c>
      <c r="BB376">
        <f t="shared" si="131"/>
        <v>0.24</v>
      </c>
    </row>
    <row r="377" spans="1:54" x14ac:dyDescent="0.2">
      <c r="G377" t="s">
        <v>176</v>
      </c>
      <c r="H377" t="s">
        <v>160</v>
      </c>
      <c r="J377">
        <v>91.25</v>
      </c>
      <c r="K377">
        <v>65</v>
      </c>
      <c r="M377">
        <v>180</v>
      </c>
      <c r="O377">
        <v>0.33</v>
      </c>
      <c r="P377">
        <v>550</v>
      </c>
      <c r="Q377">
        <f t="shared" si="121"/>
        <v>0.32727272727272727</v>
      </c>
      <c r="S377">
        <v>0</v>
      </c>
      <c r="T377">
        <v>0</v>
      </c>
      <c r="U377">
        <f>25/K377</f>
        <v>0.38461538461538464</v>
      </c>
      <c r="V377">
        <f>5/K377</f>
        <v>7.6923076923076927E-2</v>
      </c>
      <c r="W377">
        <f>S377*B363+T377*B364</f>
        <v>0</v>
      </c>
      <c r="X377">
        <f t="shared" si="116"/>
        <v>1</v>
      </c>
      <c r="Y377">
        <f t="shared" si="117"/>
        <v>4.0881200481000004</v>
      </c>
      <c r="Z377">
        <f t="shared" si="122"/>
        <v>1.11133386722963</v>
      </c>
      <c r="AC377">
        <v>0.04</v>
      </c>
      <c r="AE377">
        <v>0.4</v>
      </c>
      <c r="AF377">
        <f t="shared" si="118"/>
        <v>2.4070850843212801</v>
      </c>
      <c r="AG377">
        <f t="shared" si="123"/>
        <v>0.19</v>
      </c>
      <c r="AH377">
        <f t="shared" si="124"/>
        <v>0.6784</v>
      </c>
      <c r="AI377">
        <f>AI361</f>
        <v>0</v>
      </c>
      <c r="AK377">
        <f>AK361</f>
        <v>0.76</v>
      </c>
      <c r="AL377">
        <f>AL361</f>
        <v>100</v>
      </c>
      <c r="AM377">
        <f>AM361</f>
        <v>4.7000000000000002E-3</v>
      </c>
      <c r="AN377">
        <f t="shared" si="125"/>
        <v>0</v>
      </c>
      <c r="AO377">
        <f t="shared" si="126"/>
        <v>1.458239103434776E-3</v>
      </c>
      <c r="AP377">
        <f t="shared" si="127"/>
        <v>1.458239103434776E-3</v>
      </c>
      <c r="AQ377">
        <f t="shared" si="128"/>
        <v>8.6491806822475148</v>
      </c>
      <c r="AS377">
        <f t="shared" si="129"/>
        <v>1.7692307692307694</v>
      </c>
      <c r="AT377">
        <f t="shared" si="119"/>
        <v>7.8378863221437896E-3</v>
      </c>
      <c r="AU377">
        <f t="shared" si="130"/>
        <v>2.6335064432343683E-2</v>
      </c>
      <c r="AV377">
        <f t="shared" si="120"/>
        <v>156.19985091433847</v>
      </c>
      <c r="AY377">
        <f>AY361</f>
        <v>2E-3</v>
      </c>
      <c r="BB377">
        <f t="shared" si="131"/>
        <v>0.24</v>
      </c>
    </row>
    <row r="378" spans="1:54" x14ac:dyDescent="0.2">
      <c r="G378">
        <v>3</v>
      </c>
      <c r="H378" t="s">
        <v>162</v>
      </c>
      <c r="J378">
        <v>91.25</v>
      </c>
      <c r="K378">
        <v>142</v>
      </c>
      <c r="M378">
        <v>90</v>
      </c>
      <c r="O378">
        <v>0.7</v>
      </c>
      <c r="P378">
        <v>550</v>
      </c>
      <c r="Q378">
        <f t="shared" si="121"/>
        <v>0.16363636363636364</v>
      </c>
      <c r="S378">
        <v>0</v>
      </c>
      <c r="T378">
        <v>0</v>
      </c>
      <c r="U378">
        <f>40/K378</f>
        <v>0.28169014084507044</v>
      </c>
      <c r="V378">
        <f>25/K378</f>
        <v>0.176056338028169</v>
      </c>
      <c r="W378">
        <f>S378*B363+T378*B364</f>
        <v>0</v>
      </c>
      <c r="X378">
        <f t="shared" si="116"/>
        <v>1</v>
      </c>
      <c r="Y378">
        <f t="shared" si="117"/>
        <v>3.2149924415999993</v>
      </c>
      <c r="Z378">
        <f t="shared" si="122"/>
        <v>1.3000993878862281</v>
      </c>
      <c r="AC378">
        <v>0.12</v>
      </c>
      <c r="AE378">
        <v>0.65</v>
      </c>
      <c r="AF378">
        <f t="shared" si="118"/>
        <v>1.1535392880460797</v>
      </c>
      <c r="AG378">
        <f t="shared" si="123"/>
        <v>0.19</v>
      </c>
      <c r="AH378">
        <f t="shared" si="124"/>
        <v>0.6784</v>
      </c>
      <c r="AI378">
        <f>AI361</f>
        <v>0</v>
      </c>
      <c r="AK378">
        <f>AK361</f>
        <v>0.76</v>
      </c>
      <c r="AL378">
        <f>AL361</f>
        <v>100</v>
      </c>
      <c r="AM378">
        <f>AM361</f>
        <v>4.7000000000000002E-3</v>
      </c>
      <c r="AN378">
        <f t="shared" si="125"/>
        <v>0</v>
      </c>
      <c r="AO378">
        <f t="shared" si="126"/>
        <v>6.9882702033834121E-4</v>
      </c>
      <c r="AP378">
        <f t="shared" si="127"/>
        <v>6.9882702033834121E-4</v>
      </c>
      <c r="AQ378">
        <f t="shared" si="128"/>
        <v>9.0550511160340559</v>
      </c>
      <c r="AS378">
        <f t="shared" si="129"/>
        <v>1.6549295774647887</v>
      </c>
      <c r="AT378">
        <f t="shared" si="119"/>
        <v>1.9496724872899437E-2</v>
      </c>
      <c r="AU378">
        <f t="shared" si="130"/>
        <v>5.0017443250101906E-2</v>
      </c>
      <c r="AV378">
        <f t="shared" si="120"/>
        <v>648.1010209131955</v>
      </c>
      <c r="AY378">
        <f>AY361</f>
        <v>2E-3</v>
      </c>
      <c r="BB378">
        <f t="shared" si="131"/>
        <v>0.24</v>
      </c>
    </row>
    <row r="379" spans="1:54" x14ac:dyDescent="0.2">
      <c r="H379" t="s">
        <v>163</v>
      </c>
      <c r="J379">
        <v>91.25</v>
      </c>
      <c r="K379">
        <v>137</v>
      </c>
      <c r="M379">
        <v>140</v>
      </c>
      <c r="O379">
        <v>0.55000000000000004</v>
      </c>
      <c r="P379">
        <v>550</v>
      </c>
      <c r="Q379">
        <f t="shared" si="121"/>
        <v>0.25454545454545452</v>
      </c>
      <c r="S379">
        <v>0</v>
      </c>
      <c r="T379">
        <v>0</v>
      </c>
      <c r="U379">
        <v>0</v>
      </c>
      <c r="V379">
        <f>40/K379</f>
        <v>0.29197080291970801</v>
      </c>
      <c r="W379">
        <f>S379*B363+T379*B364</f>
        <v>0</v>
      </c>
      <c r="X379">
        <f t="shared" si="116"/>
        <v>1</v>
      </c>
      <c r="Y379">
        <f t="shared" si="117"/>
        <v>3.7748215520999993</v>
      </c>
      <c r="Z379">
        <f t="shared" si="122"/>
        <v>1.205387194395722</v>
      </c>
      <c r="AC379">
        <v>0.09</v>
      </c>
      <c r="AE379">
        <v>0.55000000000000004</v>
      </c>
      <c r="AF379">
        <f t="shared" si="118"/>
        <v>1.7016895556866798</v>
      </c>
      <c r="AG379">
        <f t="shared" si="123"/>
        <v>0.19</v>
      </c>
      <c r="AH379">
        <f t="shared" si="124"/>
        <v>0.6784</v>
      </c>
      <c r="AI379">
        <f>AI361</f>
        <v>0</v>
      </c>
      <c r="AK379">
        <f>AK361</f>
        <v>0.76</v>
      </c>
      <c r="AL379">
        <f>AL361</f>
        <v>100</v>
      </c>
      <c r="AM379">
        <f>AM361</f>
        <v>4.7000000000000002E-3</v>
      </c>
      <c r="AN379">
        <f t="shared" si="125"/>
        <v>0</v>
      </c>
      <c r="AO379">
        <f t="shared" si="126"/>
        <v>1.0309025917580143E-3</v>
      </c>
      <c r="AP379">
        <f t="shared" si="127"/>
        <v>1.0309025917580143E-3</v>
      </c>
      <c r="AQ379">
        <f t="shared" si="128"/>
        <v>12.887571025214875</v>
      </c>
      <c r="AS379">
        <f t="shared" si="129"/>
        <v>0.87591240875912402</v>
      </c>
      <c r="AT379">
        <f t="shared" si="119"/>
        <v>1.4186410859268155E-2</v>
      </c>
      <c r="AU379">
        <f t="shared" si="130"/>
        <v>4.3847987901442655E-2</v>
      </c>
      <c r="AV379">
        <f t="shared" si="120"/>
        <v>548.15465875291</v>
      </c>
      <c r="AY379">
        <f>AY361</f>
        <v>2E-3</v>
      </c>
      <c r="BB379">
        <f t="shared" si="131"/>
        <v>0.24</v>
      </c>
    </row>
    <row r="380" spans="1:54" x14ac:dyDescent="0.2">
      <c r="H380" t="s">
        <v>164</v>
      </c>
      <c r="J380">
        <v>91.25</v>
      </c>
      <c r="K380">
        <v>132</v>
      </c>
      <c r="M380">
        <v>150</v>
      </c>
      <c r="O380">
        <v>0.11</v>
      </c>
      <c r="P380">
        <v>550</v>
      </c>
      <c r="Q380">
        <f t="shared" si="121"/>
        <v>0.27272727272727271</v>
      </c>
      <c r="S380">
        <v>0</v>
      </c>
      <c r="T380">
        <v>0</v>
      </c>
      <c r="U380">
        <f>5/K380</f>
        <v>3.787878787878788E-2</v>
      </c>
      <c r="V380">
        <v>0</v>
      </c>
      <c r="W380">
        <f>S380*B363+T380*B364</f>
        <v>0</v>
      </c>
      <c r="X380">
        <f t="shared" si="116"/>
        <v>1</v>
      </c>
      <c r="Y380">
        <f t="shared" si="117"/>
        <v>3.3935166225000009</v>
      </c>
      <c r="Z380">
        <f t="shared" si="122"/>
        <v>1.0387077426352853</v>
      </c>
      <c r="AC380">
        <v>0.06</v>
      </c>
      <c r="AE380">
        <v>0.45</v>
      </c>
      <c r="AF380">
        <f t="shared" si="118"/>
        <v>1.8420008226930007</v>
      </c>
      <c r="AG380">
        <f t="shared" si="123"/>
        <v>0.19</v>
      </c>
      <c r="AH380">
        <f t="shared" si="124"/>
        <v>0.6784</v>
      </c>
      <c r="AI380">
        <f>AI361</f>
        <v>0</v>
      </c>
      <c r="AK380">
        <f>AK361</f>
        <v>0.76</v>
      </c>
      <c r="AL380">
        <f>AL361</f>
        <v>100</v>
      </c>
      <c r="AM380">
        <f>AM361</f>
        <v>4.7000000000000002E-3</v>
      </c>
      <c r="AN380">
        <f t="shared" si="125"/>
        <v>0</v>
      </c>
      <c r="AO380">
        <f t="shared" si="126"/>
        <v>1.115904728796634E-3</v>
      </c>
      <c r="AP380">
        <f t="shared" si="127"/>
        <v>1.115904728796634E-3</v>
      </c>
      <c r="AQ380">
        <f t="shared" si="128"/>
        <v>13.441072458355457</v>
      </c>
      <c r="AS380">
        <f t="shared" si="129"/>
        <v>0.15151515151515152</v>
      </c>
      <c r="AT380">
        <f t="shared" si="119"/>
        <v>2.7971014011763618E-3</v>
      </c>
      <c r="AU380">
        <f>MAX((Y380*AC380/6.25)+(0.032*AS380/6.38)-AT380-((1.1*(10^-4)*(M380^0.75))/6.25), 0)</f>
        <v>2.9786244504593953E-2</v>
      </c>
      <c r="AV380">
        <f t="shared" si="120"/>
        <v>358.77531505783418</v>
      </c>
      <c r="AY380">
        <f>AY361</f>
        <v>2E-3</v>
      </c>
      <c r="BB380">
        <f t="shared" si="131"/>
        <v>0.24</v>
      </c>
    </row>
    <row r="381" spans="1:54" x14ac:dyDescent="0.2">
      <c r="G381" t="s">
        <v>182</v>
      </c>
      <c r="H381" t="s">
        <v>160</v>
      </c>
      <c r="J381">
        <v>91.25</v>
      </c>
      <c r="K381">
        <v>249</v>
      </c>
      <c r="M381">
        <v>320</v>
      </c>
      <c r="O381">
        <v>-0.33</v>
      </c>
      <c r="P381">
        <v>550</v>
      </c>
      <c r="Q381">
        <f t="shared" si="121"/>
        <v>0.58181818181818179</v>
      </c>
      <c r="S381">
        <v>0</v>
      </c>
      <c r="T381">
        <v>0</v>
      </c>
      <c r="U381">
        <v>0</v>
      </c>
      <c r="V381">
        <v>0</v>
      </c>
      <c r="W381">
        <f>S381*B363+T381*B364</f>
        <v>0</v>
      </c>
      <c r="X381">
        <f t="shared" si="116"/>
        <v>1</v>
      </c>
      <c r="Y381">
        <f t="shared" si="117"/>
        <v>5.1420551120999978</v>
      </c>
      <c r="Z381">
        <f t="shared" si="122"/>
        <v>0.91425741994642784</v>
      </c>
      <c r="AC381">
        <v>0.04</v>
      </c>
      <c r="AE381">
        <v>0.4</v>
      </c>
      <c r="AF381">
        <f t="shared" si="118"/>
        <v>3.0276420500044785</v>
      </c>
      <c r="AG381">
        <f t="shared" si="123"/>
        <v>0.19</v>
      </c>
      <c r="AH381">
        <f t="shared" si="124"/>
        <v>0.6784</v>
      </c>
      <c r="AI381">
        <f>AI361</f>
        <v>0</v>
      </c>
      <c r="AK381">
        <f>AK361</f>
        <v>0.76</v>
      </c>
      <c r="AL381">
        <f>AL361</f>
        <v>100</v>
      </c>
      <c r="AM381">
        <f>AM361</f>
        <v>4.7000000000000002E-3</v>
      </c>
      <c r="AN381">
        <f t="shared" si="125"/>
        <v>0</v>
      </c>
      <c r="AO381">
        <f t="shared" si="126"/>
        <v>1.8341794634836731E-3</v>
      </c>
      <c r="AP381">
        <f t="shared" si="127"/>
        <v>1.8341794634836731E-3</v>
      </c>
      <c r="AQ381">
        <f t="shared" si="128"/>
        <v>41.674850134678408</v>
      </c>
      <c r="AS381">
        <f t="shared" si="129"/>
        <v>0</v>
      </c>
      <c r="AT381">
        <f t="shared" si="119"/>
        <v>-5.3135660533105552E-3</v>
      </c>
      <c r="AU381">
        <f t="shared" si="130"/>
        <v>3.6891114585274068E-2</v>
      </c>
      <c r="AV381">
        <f t="shared" si="120"/>
        <v>838.21223727065842</v>
      </c>
      <c r="AY381">
        <f>AY361</f>
        <v>2E-3</v>
      </c>
      <c r="BB381">
        <f t="shared" si="131"/>
        <v>0.24</v>
      </c>
    </row>
    <row r="382" spans="1:54" x14ac:dyDescent="0.2">
      <c r="G382" t="s">
        <v>196</v>
      </c>
      <c r="H382" t="s">
        <v>162</v>
      </c>
      <c r="J382">
        <v>91.25</v>
      </c>
      <c r="K382">
        <v>320</v>
      </c>
      <c r="M382">
        <v>380</v>
      </c>
      <c r="O382">
        <v>0.66</v>
      </c>
      <c r="P382">
        <v>550</v>
      </c>
      <c r="Q382">
        <f t="shared" si="121"/>
        <v>0.69090909090909092</v>
      </c>
      <c r="S382">
        <v>0</v>
      </c>
      <c r="T382">
        <v>0</v>
      </c>
      <c r="U382">
        <v>0</v>
      </c>
      <c r="V382">
        <v>0</v>
      </c>
      <c r="W382">
        <f>S382*B363+T382*B364</f>
        <v>0</v>
      </c>
      <c r="X382">
        <f t="shared" si="116"/>
        <v>1</v>
      </c>
      <c r="Y382">
        <f t="shared" si="117"/>
        <v>7.522183875599997</v>
      </c>
      <c r="Z382">
        <f t="shared" si="122"/>
        <v>1.1707664136777063</v>
      </c>
      <c r="AC382">
        <v>0.12</v>
      </c>
      <c r="AE382">
        <v>0.65</v>
      </c>
      <c r="AF382">
        <f t="shared" si="118"/>
        <v>2.6989595745652788</v>
      </c>
      <c r="AG382">
        <f t="shared" si="123"/>
        <v>0.19</v>
      </c>
      <c r="AH382">
        <f t="shared" si="124"/>
        <v>0.6784</v>
      </c>
      <c r="AI382">
        <f>AI361</f>
        <v>0</v>
      </c>
      <c r="AK382">
        <f>AK361</f>
        <v>0.76</v>
      </c>
      <c r="AL382">
        <f>AL361</f>
        <v>100</v>
      </c>
      <c r="AM382">
        <f>AM361</f>
        <v>4.7000000000000002E-3</v>
      </c>
      <c r="AN382">
        <f t="shared" si="125"/>
        <v>0</v>
      </c>
      <c r="AO382">
        <f t="shared" si="126"/>
        <v>1.6350599386188809E-3</v>
      </c>
      <c r="AP382">
        <f t="shared" si="127"/>
        <v>1.6350599386188809E-3</v>
      </c>
      <c r="AQ382">
        <f t="shared" si="128"/>
        <v>47.743750207671326</v>
      </c>
      <c r="AS382">
        <f>U382*$B$363+V382*$B$364</f>
        <v>0</v>
      </c>
      <c r="AT382">
        <f t="shared" si="119"/>
        <v>9.1121712505338529E-3</v>
      </c>
      <c r="AU382">
        <f t="shared" si="130"/>
        <v>0.13379897636059901</v>
      </c>
      <c r="AV382">
        <f t="shared" si="120"/>
        <v>3906.9301097294911</v>
      </c>
      <c r="AY382">
        <f>AY361</f>
        <v>2E-3</v>
      </c>
      <c r="BB382">
        <f t="shared" si="131"/>
        <v>0.24</v>
      </c>
    </row>
    <row r="383" spans="1:54" x14ac:dyDescent="0.2">
      <c r="H383" t="s">
        <v>163</v>
      </c>
      <c r="J383">
        <v>91.25</v>
      </c>
      <c r="K383">
        <v>315</v>
      </c>
      <c r="M383">
        <v>390</v>
      </c>
      <c r="O383">
        <v>0.11</v>
      </c>
      <c r="P383">
        <v>550</v>
      </c>
      <c r="Q383">
        <f t="shared" si="121"/>
        <v>0.70909090909090911</v>
      </c>
      <c r="S383">
        <v>0</v>
      </c>
      <c r="T383">
        <v>0</v>
      </c>
      <c r="U383">
        <v>0</v>
      </c>
      <c r="V383">
        <v>0</v>
      </c>
      <c r="W383">
        <f>S383*B363+T383*B364</f>
        <v>0</v>
      </c>
      <c r="X383">
        <f t="shared" si="116"/>
        <v>1</v>
      </c>
      <c r="Y383">
        <f t="shared" si="117"/>
        <v>6.7329351441000007</v>
      </c>
      <c r="Z383">
        <f t="shared" si="122"/>
        <v>1.0272520125920463</v>
      </c>
      <c r="AC383">
        <v>0.09</v>
      </c>
      <c r="AE383">
        <v>0.55000000000000004</v>
      </c>
      <c r="AF383">
        <f t="shared" si="118"/>
        <v>3.0352071629602801</v>
      </c>
      <c r="AG383">
        <f t="shared" si="123"/>
        <v>0.19</v>
      </c>
      <c r="AH383">
        <f t="shared" si="124"/>
        <v>0.6784</v>
      </c>
      <c r="AI383">
        <f>AI361</f>
        <v>0</v>
      </c>
      <c r="AK383">
        <f>AK361</f>
        <v>0.76</v>
      </c>
      <c r="AL383">
        <f>AL361</f>
        <v>100</v>
      </c>
      <c r="AM383">
        <f>AM361</f>
        <v>4.7000000000000002E-3</v>
      </c>
      <c r="AN383">
        <f t="shared" si="125"/>
        <v>0</v>
      </c>
      <c r="AO383">
        <f t="shared" si="126"/>
        <v>1.8387624936415633E-3</v>
      </c>
      <c r="AP383">
        <f t="shared" si="127"/>
        <v>1.8387624936415633E-3</v>
      </c>
      <c r="AQ383">
        <f t="shared" si="128"/>
        <v>52.852929426609684</v>
      </c>
      <c r="AS383">
        <f t="shared" si="129"/>
        <v>0</v>
      </c>
      <c r="AT383">
        <f t="shared" si="119"/>
        <v>1.4896773940673914E-3</v>
      </c>
      <c r="AU383">
        <f t="shared" si="130"/>
        <v>9.3920006134465217E-2</v>
      </c>
      <c r="AV383">
        <f t="shared" si="120"/>
        <v>2699.6131763275348</v>
      </c>
      <c r="AY383">
        <f>AY361</f>
        <v>2E-3</v>
      </c>
      <c r="BB383">
        <f t="shared" si="131"/>
        <v>0.24</v>
      </c>
    </row>
    <row r="384" spans="1:54" x14ac:dyDescent="0.2">
      <c r="H384" t="s">
        <v>164</v>
      </c>
      <c r="J384">
        <v>91.25</v>
      </c>
      <c r="K384">
        <v>190</v>
      </c>
      <c r="M384">
        <v>350</v>
      </c>
      <c r="O384">
        <v>-0.44</v>
      </c>
      <c r="P384">
        <v>550</v>
      </c>
      <c r="Q384">
        <f t="shared" si="121"/>
        <v>0.63636363636363635</v>
      </c>
      <c r="S384">
        <v>0</v>
      </c>
      <c r="T384">
        <v>0</v>
      </c>
      <c r="U384">
        <v>0</v>
      </c>
      <c r="V384">
        <v>0</v>
      </c>
      <c r="W384">
        <f>S384*B363+T384*B364</f>
        <v>0</v>
      </c>
      <c r="X384">
        <f t="shared" si="116"/>
        <v>1</v>
      </c>
      <c r="Y384">
        <f t="shared" si="117"/>
        <v>5.3680256100000001</v>
      </c>
      <c r="Z384">
        <f t="shared" si="122"/>
        <v>0.8902965740703771</v>
      </c>
      <c r="AC384">
        <v>0.06</v>
      </c>
      <c r="AE384">
        <v>0.45</v>
      </c>
      <c r="AF384">
        <f t="shared" si="118"/>
        <v>2.9137643011080008</v>
      </c>
      <c r="AG384">
        <f t="shared" si="123"/>
        <v>0.19</v>
      </c>
      <c r="AH384">
        <f t="shared" si="124"/>
        <v>0.6784</v>
      </c>
      <c r="AI384">
        <f>AI361</f>
        <v>0</v>
      </c>
      <c r="AK384">
        <f>AK361</f>
        <v>0.76</v>
      </c>
      <c r="AL384">
        <f>AL361</f>
        <v>100</v>
      </c>
      <c r="AM384">
        <f>AM361</f>
        <v>4.7000000000000002E-3</v>
      </c>
      <c r="AN384">
        <f t="shared" si="125"/>
        <v>0</v>
      </c>
      <c r="AO384">
        <f t="shared" si="126"/>
        <v>1.7651910477713994E-3</v>
      </c>
      <c r="AP384">
        <f t="shared" si="127"/>
        <v>1.7651910477713994E-3</v>
      </c>
      <c r="AQ384">
        <f t="shared" si="128"/>
        <v>30.603999790736633</v>
      </c>
      <c r="AS384">
        <f t="shared" si="129"/>
        <v>0</v>
      </c>
      <c r="AT384">
        <f t="shared" si="119"/>
        <v>-6.5430714848797415E-3</v>
      </c>
      <c r="AU384">
        <f t="shared" si="130"/>
        <v>5.66519412154576E-2</v>
      </c>
      <c r="AV384">
        <f t="shared" si="120"/>
        <v>982.2030308229962</v>
      </c>
      <c r="AY384">
        <f>AY361</f>
        <v>2E-3</v>
      </c>
      <c r="BB384">
        <f t="shared" si="131"/>
        <v>0.24</v>
      </c>
    </row>
    <row r="385" spans="7:54" x14ac:dyDescent="0.2">
      <c r="G385" t="s">
        <v>187</v>
      </c>
      <c r="H385" t="s">
        <v>160</v>
      </c>
      <c r="J385">
        <v>91.25</v>
      </c>
      <c r="K385">
        <v>51</v>
      </c>
      <c r="M385">
        <v>340</v>
      </c>
      <c r="O385">
        <v>-0.66</v>
      </c>
      <c r="P385">
        <v>660</v>
      </c>
      <c r="Q385">
        <f t="shared" si="121"/>
        <v>0.51515151515151514</v>
      </c>
      <c r="S385">
        <v>0</v>
      </c>
      <c r="T385">
        <v>0</v>
      </c>
      <c r="U385">
        <v>0</v>
      </c>
      <c r="V385">
        <v>0</v>
      </c>
      <c r="W385">
        <f>S385*B363+T385*B364</f>
        <v>0</v>
      </c>
      <c r="X385">
        <f t="shared" si="116"/>
        <v>1</v>
      </c>
      <c r="Y385">
        <f t="shared" si="117"/>
        <v>4.9290216196000012</v>
      </c>
      <c r="Z385">
        <f>Y385 / ((1.185 + 0.00454 * M385 - 0.0000026 * M385 ^ 2) ^ 2 * X385)</f>
        <v>0.83608233731620052</v>
      </c>
      <c r="AC385">
        <v>0.04</v>
      </c>
      <c r="AE385">
        <v>0.4</v>
      </c>
      <c r="AF385">
        <f t="shared" si="118"/>
        <v>2.9022079296204808</v>
      </c>
      <c r="AG385">
        <f t="shared" si="123"/>
        <v>0.19</v>
      </c>
      <c r="AH385">
        <f t="shared" si="124"/>
        <v>0.6784</v>
      </c>
      <c r="AI385">
        <f>AI361</f>
        <v>0</v>
      </c>
      <c r="AK385">
        <f>AK361</f>
        <v>0.76</v>
      </c>
      <c r="AL385">
        <f>AL361</f>
        <v>100</v>
      </c>
      <c r="AM385">
        <f>AM361</f>
        <v>4.7000000000000002E-3</v>
      </c>
      <c r="AN385">
        <f t="shared" si="125"/>
        <v>0</v>
      </c>
      <c r="AO385">
        <f t="shared" si="126"/>
        <v>1.7581900684928993E-3</v>
      </c>
      <c r="AP385">
        <f t="shared" si="127"/>
        <v>1.7581900684928993E-3</v>
      </c>
      <c r="AQ385">
        <f t="shared" si="128"/>
        <v>8.1821770312488287</v>
      </c>
      <c r="AS385">
        <f t="shared" si="129"/>
        <v>0</v>
      </c>
      <c r="AT385">
        <f t="shared" si="119"/>
        <v>-1.183745972015351E-2</v>
      </c>
      <c r="AU385">
        <f t="shared" si="130"/>
        <v>4.1989650331857781E-2</v>
      </c>
      <c r="AV385">
        <f t="shared" si="120"/>
        <v>195.40933523188315</v>
      </c>
      <c r="AY385">
        <f>AY361</f>
        <v>2E-3</v>
      </c>
      <c r="BB385">
        <f t="shared" si="131"/>
        <v>0.24</v>
      </c>
    </row>
    <row r="386" spans="7:54" x14ac:dyDescent="0.2">
      <c r="G386" t="s">
        <v>197</v>
      </c>
      <c r="H386" t="s">
        <v>162</v>
      </c>
      <c r="J386">
        <v>91.25</v>
      </c>
      <c r="K386">
        <v>112</v>
      </c>
      <c r="M386">
        <v>390</v>
      </c>
      <c r="O386">
        <v>0.55000000000000004</v>
      </c>
      <c r="P386">
        <v>660</v>
      </c>
      <c r="Q386">
        <f t="shared" si="121"/>
        <v>0.59090909090909094</v>
      </c>
      <c r="S386">
        <v>0</v>
      </c>
      <c r="T386">
        <v>0</v>
      </c>
      <c r="U386">
        <v>0</v>
      </c>
      <c r="V386">
        <v>0</v>
      </c>
      <c r="W386">
        <f>S386*B363+T386*B364</f>
        <v>0</v>
      </c>
      <c r="X386">
        <f t="shared" si="116"/>
        <v>1</v>
      </c>
      <c r="Y386">
        <f t="shared" si="117"/>
        <v>7.4714208921000003</v>
      </c>
      <c r="Z386">
        <f t="shared" si="122"/>
        <v>1.1399236713363468</v>
      </c>
      <c r="AC386">
        <v>0.12</v>
      </c>
      <c r="AE386">
        <v>0.65</v>
      </c>
      <c r="AF386">
        <f t="shared" si="118"/>
        <v>2.68074581608548</v>
      </c>
      <c r="AG386">
        <f t="shared" si="123"/>
        <v>0.19</v>
      </c>
      <c r="AH386">
        <f t="shared" si="124"/>
        <v>0.6784</v>
      </c>
      <c r="AI386">
        <f>AI361</f>
        <v>0</v>
      </c>
      <c r="AK386">
        <f>AK361</f>
        <v>0.76</v>
      </c>
      <c r="AL386">
        <f>AL361</f>
        <v>100</v>
      </c>
      <c r="AM386">
        <f>AM361</f>
        <v>4.7000000000000002E-3</v>
      </c>
      <c r="AN386">
        <f t="shared" si="125"/>
        <v>0</v>
      </c>
      <c r="AO386">
        <f t="shared" si="126"/>
        <v>1.6240258397377241E-3</v>
      </c>
      <c r="AP386">
        <f t="shared" si="127"/>
        <v>1.6240258397377241E-3</v>
      </c>
      <c r="AQ386">
        <f t="shared" si="128"/>
        <v>16.597544082119541</v>
      </c>
      <c r="AS386">
        <f t="shared" si="129"/>
        <v>0</v>
      </c>
      <c r="AT386">
        <f t="shared" si="119"/>
        <v>8.6987693985136026E-3</v>
      </c>
      <c r="AU386">
        <f t="shared" si="130"/>
        <v>0.13320792918329899</v>
      </c>
      <c r="AV386">
        <f t="shared" si="120"/>
        <v>1361.3850362533155</v>
      </c>
      <c r="AY386">
        <f>AY361</f>
        <v>2E-3</v>
      </c>
      <c r="BB386">
        <f t="shared" si="131"/>
        <v>0.24</v>
      </c>
    </row>
    <row r="387" spans="7:54" x14ac:dyDescent="0.2">
      <c r="H387" t="s">
        <v>163</v>
      </c>
      <c r="J387">
        <v>91.25</v>
      </c>
      <c r="K387">
        <v>107</v>
      </c>
      <c r="M387">
        <v>430</v>
      </c>
      <c r="O387">
        <v>0.44</v>
      </c>
      <c r="P387">
        <v>660</v>
      </c>
      <c r="Q387">
        <f t="shared" si="121"/>
        <v>0.65151515151515149</v>
      </c>
      <c r="S387">
        <v>0</v>
      </c>
      <c r="T387">
        <v>0</v>
      </c>
      <c r="U387">
        <v>0</v>
      </c>
      <c r="V387">
        <v>0</v>
      </c>
      <c r="W387">
        <f>S387*B363+T387*B364</f>
        <v>0</v>
      </c>
      <c r="X387">
        <f t="shared" si="116"/>
        <v>1</v>
      </c>
      <c r="Y387">
        <f t="shared" si="117"/>
        <v>7.8123604035999996</v>
      </c>
      <c r="Z387">
        <f t="shared" si="122"/>
        <v>1.1070715964984053</v>
      </c>
      <c r="AC387">
        <v>0.09</v>
      </c>
      <c r="AE387">
        <v>0.55000000000000004</v>
      </c>
      <c r="AF387">
        <f t="shared" si="118"/>
        <v>3.5218120699428797</v>
      </c>
      <c r="AG387">
        <f t="shared" si="123"/>
        <v>0.19</v>
      </c>
      <c r="AH387">
        <f t="shared" si="124"/>
        <v>0.6784</v>
      </c>
      <c r="AI387">
        <f>AI361</f>
        <v>0</v>
      </c>
      <c r="AK387">
        <f>AK361</f>
        <v>0.76</v>
      </c>
      <c r="AL387">
        <f>AL361</f>
        <v>100</v>
      </c>
      <c r="AM387">
        <f>AM361</f>
        <v>4.7000000000000002E-3</v>
      </c>
      <c r="AN387">
        <f t="shared" si="125"/>
        <v>0</v>
      </c>
      <c r="AO387">
        <f t="shared" si="126"/>
        <v>2.1335531962665805E-3</v>
      </c>
      <c r="AP387">
        <f t="shared" si="127"/>
        <v>2.1335531962665805E-3</v>
      </c>
      <c r="AQ387">
        <f t="shared" si="128"/>
        <v>20.831480020047824</v>
      </c>
      <c r="AS387">
        <f t="shared" si="129"/>
        <v>0</v>
      </c>
      <c r="AT387">
        <f t="shared" si="119"/>
        <v>6.3889606098065819E-3</v>
      </c>
      <c r="AU387">
        <f t="shared" si="130"/>
        <v>0.1044470942960726</v>
      </c>
      <c r="AV387">
        <f t="shared" si="120"/>
        <v>1019.7953169332787</v>
      </c>
      <c r="AY387">
        <f>AY361</f>
        <v>2E-3</v>
      </c>
      <c r="BB387">
        <f t="shared" si="131"/>
        <v>0.24</v>
      </c>
    </row>
    <row r="388" spans="7:54" x14ac:dyDescent="0.2">
      <c r="H388" t="s">
        <v>164</v>
      </c>
      <c r="J388">
        <v>91.25</v>
      </c>
      <c r="K388">
        <v>94</v>
      </c>
      <c r="M388">
        <v>400</v>
      </c>
      <c r="O388">
        <v>-0.33</v>
      </c>
      <c r="P388">
        <v>660</v>
      </c>
      <c r="Q388">
        <f t="shared" si="121"/>
        <v>0.60606060606060608</v>
      </c>
      <c r="S388">
        <v>0</v>
      </c>
      <c r="T388">
        <v>0</v>
      </c>
      <c r="U388">
        <v>0</v>
      </c>
      <c r="V388">
        <v>0</v>
      </c>
      <c r="W388">
        <f>S388*B363+T388*B364</f>
        <v>0</v>
      </c>
      <c r="X388">
        <f t="shared" si="116"/>
        <v>1</v>
      </c>
      <c r="Y388">
        <f t="shared" si="117"/>
        <v>6.1556091024999988</v>
      </c>
      <c r="Z388">
        <f t="shared" si="122"/>
        <v>0.92119153463105463</v>
      </c>
      <c r="AC388">
        <v>0.06</v>
      </c>
      <c r="AE388">
        <v>0.45</v>
      </c>
      <c r="AF388">
        <f t="shared" si="118"/>
        <v>3.3412646208369998</v>
      </c>
      <c r="AG388">
        <f t="shared" si="123"/>
        <v>0.19</v>
      </c>
      <c r="AH388">
        <f t="shared" si="124"/>
        <v>0.6784</v>
      </c>
      <c r="AI388">
        <f>AI361</f>
        <v>0</v>
      </c>
      <c r="AK388">
        <f>AK361</f>
        <v>0.76</v>
      </c>
      <c r="AL388">
        <f>AL361</f>
        <v>100</v>
      </c>
      <c r="AM388">
        <f>AM361</f>
        <v>4.7000000000000002E-3</v>
      </c>
      <c r="AN388">
        <f t="shared" si="125"/>
        <v>0</v>
      </c>
      <c r="AO388">
        <f t="shared" si="126"/>
        <v>2.0241755294668081E-3</v>
      </c>
      <c r="AP388">
        <f t="shared" si="127"/>
        <v>2.0241755294668081E-3</v>
      </c>
      <c r="AQ388">
        <f t="shared" si="128"/>
        <v>17.362365604001546</v>
      </c>
      <c r="AS388">
        <f t="shared" si="129"/>
        <v>0</v>
      </c>
      <c r="AT388">
        <f t="shared" si="119"/>
        <v>-5.1224459307566104E-3</v>
      </c>
      <c r="AU388">
        <f t="shared" si="130"/>
        <v>6.2642101458596736E-2</v>
      </c>
      <c r="AV388">
        <f t="shared" si="120"/>
        <v>537.31262526111345</v>
      </c>
      <c r="AY388">
        <f>AY361</f>
        <v>2E-3</v>
      </c>
      <c r="BB388">
        <f t="shared" si="131"/>
        <v>0.24</v>
      </c>
    </row>
    <row r="389" spans="7:54" x14ac:dyDescent="0.2">
      <c r="G389" t="s">
        <v>188</v>
      </c>
      <c r="H389" t="s">
        <v>160</v>
      </c>
      <c r="J389">
        <v>91.25</v>
      </c>
      <c r="K389">
        <v>61</v>
      </c>
      <c r="M389">
        <v>340</v>
      </c>
      <c r="O389">
        <v>-0.66</v>
      </c>
      <c r="P389">
        <v>660</v>
      </c>
      <c r="Q389">
        <f t="shared" si="121"/>
        <v>0.51515151515151514</v>
      </c>
      <c r="S389">
        <v>0</v>
      </c>
      <c r="T389">
        <v>0</v>
      </c>
      <c r="U389">
        <v>0</v>
      </c>
      <c r="V389">
        <v>0</v>
      </c>
      <c r="W389">
        <f>S389*B363+T389*B364</f>
        <v>0</v>
      </c>
      <c r="X389">
        <f t="shared" si="116"/>
        <v>1</v>
      </c>
      <c r="Y389">
        <f t="shared" si="117"/>
        <v>4.9290216196000012</v>
      </c>
      <c r="Z389">
        <f t="shared" si="122"/>
        <v>0.83608233731620052</v>
      </c>
      <c r="AC389">
        <v>0.04</v>
      </c>
      <c r="AE389">
        <v>0.4</v>
      </c>
      <c r="AF389">
        <f t="shared" si="118"/>
        <v>2.9022079296204808</v>
      </c>
      <c r="AG389">
        <f t="shared" si="123"/>
        <v>0.19</v>
      </c>
      <c r="AH389">
        <f t="shared" si="124"/>
        <v>0.6784</v>
      </c>
      <c r="AI389">
        <f>AI361</f>
        <v>0</v>
      </c>
      <c r="AK389">
        <f>AK361</f>
        <v>0.76</v>
      </c>
      <c r="AL389">
        <f>AL361</f>
        <v>100</v>
      </c>
      <c r="AM389">
        <f>AM361</f>
        <v>4.7000000000000002E-3</v>
      </c>
      <c r="AN389">
        <f t="shared" si="125"/>
        <v>0</v>
      </c>
      <c r="AO389">
        <f t="shared" si="126"/>
        <v>1.7581900684928993E-3</v>
      </c>
      <c r="AP389">
        <f t="shared" si="127"/>
        <v>1.7581900684928993E-3</v>
      </c>
      <c r="AQ389">
        <f t="shared" si="128"/>
        <v>9.7865254687486001</v>
      </c>
      <c r="AS389">
        <f t="shared" si="129"/>
        <v>0</v>
      </c>
      <c r="AT389">
        <f t="shared" si="119"/>
        <v>-1.183745972015351E-2</v>
      </c>
      <c r="AU389">
        <f t="shared" si="130"/>
        <v>4.1989650331857781E-2</v>
      </c>
      <c r="AV389">
        <f t="shared" si="120"/>
        <v>233.72489115970339</v>
      </c>
      <c r="AY389">
        <f>AY361</f>
        <v>2E-3</v>
      </c>
      <c r="BB389">
        <f t="shared" si="131"/>
        <v>0.24</v>
      </c>
    </row>
    <row r="390" spans="7:54" x14ac:dyDescent="0.2">
      <c r="G390" t="s">
        <v>198</v>
      </c>
      <c r="H390" t="s">
        <v>162</v>
      </c>
      <c r="J390">
        <v>91.25</v>
      </c>
      <c r="K390">
        <v>106</v>
      </c>
      <c r="M390">
        <v>390</v>
      </c>
      <c r="O390">
        <v>0.55000000000000004</v>
      </c>
      <c r="P390">
        <v>660</v>
      </c>
      <c r="Q390">
        <f t="shared" si="121"/>
        <v>0.59090909090909094</v>
      </c>
      <c r="S390">
        <v>0</v>
      </c>
      <c r="T390">
        <v>0</v>
      </c>
      <c r="U390">
        <v>0</v>
      </c>
      <c r="V390">
        <v>0</v>
      </c>
      <c r="W390">
        <f>S390*B363+T390*B364</f>
        <v>0</v>
      </c>
      <c r="X390">
        <f t="shared" si="116"/>
        <v>1</v>
      </c>
      <c r="Y390">
        <f t="shared" si="117"/>
        <v>7.4714208921000003</v>
      </c>
      <c r="Z390">
        <f t="shared" si="122"/>
        <v>1.1399236713363468</v>
      </c>
      <c r="AC390">
        <v>0.12</v>
      </c>
      <c r="AE390">
        <v>0.65</v>
      </c>
      <c r="AF390">
        <f t="shared" si="118"/>
        <v>2.68074581608548</v>
      </c>
      <c r="AG390">
        <f t="shared" si="123"/>
        <v>0.19</v>
      </c>
      <c r="AH390">
        <f t="shared" si="124"/>
        <v>0.6784</v>
      </c>
      <c r="AI390">
        <f>AI361</f>
        <v>0</v>
      </c>
      <c r="AK390">
        <f>AK361</f>
        <v>0.76</v>
      </c>
      <c r="AL390">
        <f>AL361</f>
        <v>100</v>
      </c>
      <c r="AM390">
        <f>AM361</f>
        <v>4.7000000000000002E-3</v>
      </c>
      <c r="AN390">
        <f t="shared" si="125"/>
        <v>0</v>
      </c>
      <c r="AO390">
        <f t="shared" si="126"/>
        <v>1.6240258397377241E-3</v>
      </c>
      <c r="AP390">
        <f t="shared" si="127"/>
        <v>1.6240258397377241E-3</v>
      </c>
      <c r="AQ390">
        <f t="shared" si="128"/>
        <v>15.708389934863137</v>
      </c>
      <c r="AS390">
        <f t="shared" si="129"/>
        <v>0</v>
      </c>
      <c r="AT390">
        <f t="shared" si="119"/>
        <v>8.6987693985136026E-3</v>
      </c>
      <c r="AU390">
        <f>MAX((Y390*AC390/6.25)+(0.032*AS390/6.38)-AT390-((1.1*(10^-4)*(M390^0.75))/6.25), 0)</f>
        <v>0.13320792918329899</v>
      </c>
      <c r="AV390">
        <f t="shared" si="120"/>
        <v>1288.4536950254594</v>
      </c>
      <c r="AY390">
        <f>AY361</f>
        <v>2E-3</v>
      </c>
      <c r="BB390">
        <f t="shared" si="131"/>
        <v>0.24</v>
      </c>
    </row>
    <row r="391" spans="7:54" x14ac:dyDescent="0.2">
      <c r="H391" t="s">
        <v>163</v>
      </c>
      <c r="J391">
        <v>91.25</v>
      </c>
      <c r="K391">
        <v>95</v>
      </c>
      <c r="M391">
        <v>430</v>
      </c>
      <c r="O391">
        <v>0.44</v>
      </c>
      <c r="P391">
        <v>660</v>
      </c>
      <c r="Q391">
        <f t="shared" si="121"/>
        <v>0.65151515151515149</v>
      </c>
      <c r="S391">
        <v>0</v>
      </c>
      <c r="T391">
        <v>0</v>
      </c>
      <c r="U391">
        <v>0</v>
      </c>
      <c r="V391">
        <v>0</v>
      </c>
      <c r="W391">
        <f>S391*B363+T391*B364</f>
        <v>0</v>
      </c>
      <c r="X391">
        <f t="shared" si="116"/>
        <v>1</v>
      </c>
      <c r="Y391">
        <f t="shared" si="117"/>
        <v>7.8123604035999996</v>
      </c>
      <c r="Z391">
        <f t="shared" si="122"/>
        <v>1.1070715964984053</v>
      </c>
      <c r="AC391">
        <v>0.09</v>
      </c>
      <c r="AE391">
        <v>0.55000000000000004</v>
      </c>
      <c r="AF391">
        <f t="shared" si="118"/>
        <v>3.5218120699428797</v>
      </c>
      <c r="AG391">
        <f t="shared" si="123"/>
        <v>0.19</v>
      </c>
      <c r="AH391">
        <f t="shared" si="124"/>
        <v>0.6784</v>
      </c>
      <c r="AI391">
        <f>AI361</f>
        <v>0</v>
      </c>
      <c r="AK391">
        <f>AK361</f>
        <v>0.76</v>
      </c>
      <c r="AL391">
        <f>AL361</f>
        <v>100</v>
      </c>
      <c r="AM391">
        <f>AM361</f>
        <v>4.7000000000000002E-3</v>
      </c>
      <c r="AN391">
        <f t="shared" si="125"/>
        <v>0</v>
      </c>
      <c r="AO391">
        <f t="shared" si="126"/>
        <v>2.1335531962665805E-3</v>
      </c>
      <c r="AP391">
        <f t="shared" si="127"/>
        <v>2.1335531962665805E-3</v>
      </c>
      <c r="AQ391">
        <f t="shared" si="128"/>
        <v>18.495239270135919</v>
      </c>
      <c r="AS391">
        <f t="shared" si="129"/>
        <v>0</v>
      </c>
      <c r="AT391">
        <f t="shared" si="119"/>
        <v>6.3889606098065819E-3</v>
      </c>
      <c r="AU391">
        <f t="shared" si="130"/>
        <v>0.1044470942960726</v>
      </c>
      <c r="AV391">
        <f t="shared" si="120"/>
        <v>905.42574867907933</v>
      </c>
      <c r="AY391">
        <f>AY361</f>
        <v>2E-3</v>
      </c>
      <c r="BB391">
        <f t="shared" si="131"/>
        <v>0.24</v>
      </c>
    </row>
    <row r="392" spans="7:54" x14ac:dyDescent="0.2">
      <c r="H392" t="s">
        <v>164</v>
      </c>
      <c r="J392">
        <v>91.25</v>
      </c>
      <c r="K392">
        <v>48</v>
      </c>
      <c r="M392">
        <v>400</v>
      </c>
      <c r="O392">
        <v>-0.33</v>
      </c>
      <c r="P392">
        <v>660</v>
      </c>
      <c r="Q392">
        <f t="shared" si="121"/>
        <v>0.60606060606060608</v>
      </c>
      <c r="S392">
        <v>0</v>
      </c>
      <c r="T392">
        <v>0</v>
      </c>
      <c r="U392">
        <v>0</v>
      </c>
      <c r="V392">
        <v>0</v>
      </c>
      <c r="W392">
        <f>S392*B363+T392*B364</f>
        <v>0</v>
      </c>
      <c r="X392">
        <f t="shared" si="116"/>
        <v>1</v>
      </c>
      <c r="Y392">
        <f t="shared" si="117"/>
        <v>6.1556091024999988</v>
      </c>
      <c r="Z392">
        <f t="shared" si="122"/>
        <v>0.92119153463105463</v>
      </c>
      <c r="AC392">
        <v>0.06</v>
      </c>
      <c r="AE392">
        <v>0.45</v>
      </c>
      <c r="AF392">
        <f t="shared" si="118"/>
        <v>3.3412646208369998</v>
      </c>
      <c r="AG392">
        <f t="shared" si="123"/>
        <v>0.19</v>
      </c>
      <c r="AH392">
        <f t="shared" si="124"/>
        <v>0.6784</v>
      </c>
      <c r="AI392">
        <f>AI361</f>
        <v>0</v>
      </c>
      <c r="AK392">
        <f>AK361</f>
        <v>0.76</v>
      </c>
      <c r="AL392">
        <f>AL361</f>
        <v>100</v>
      </c>
      <c r="AM392">
        <f>AM361</f>
        <v>4.7000000000000002E-3</v>
      </c>
      <c r="AN392">
        <f t="shared" si="125"/>
        <v>0</v>
      </c>
      <c r="AO392">
        <f t="shared" si="126"/>
        <v>2.0241755294668081E-3</v>
      </c>
      <c r="AP392">
        <f t="shared" si="127"/>
        <v>2.0241755294668081E-3</v>
      </c>
      <c r="AQ392">
        <f t="shared" si="128"/>
        <v>8.8658888190646188</v>
      </c>
      <c r="AS392">
        <f t="shared" si="129"/>
        <v>0</v>
      </c>
      <c r="AT392">
        <f t="shared" si="119"/>
        <v>-5.1224459307566104E-3</v>
      </c>
      <c r="AU392">
        <f t="shared" si="130"/>
        <v>6.2642101458596736E-2</v>
      </c>
      <c r="AV392">
        <f t="shared" si="120"/>
        <v>274.37240438865371</v>
      </c>
      <c r="AY392">
        <f>AY361</f>
        <v>2E-3</v>
      </c>
      <c r="BB392">
        <f t="shared" si="131"/>
        <v>0.24</v>
      </c>
    </row>
    <row r="393" spans="7:54" x14ac:dyDescent="0.2">
      <c r="G393" t="s">
        <v>186</v>
      </c>
      <c r="H393" t="s">
        <v>160</v>
      </c>
      <c r="J393">
        <v>91.25</v>
      </c>
      <c r="K393">
        <v>39</v>
      </c>
      <c r="M393">
        <v>210</v>
      </c>
      <c r="O393">
        <v>0.22</v>
      </c>
      <c r="P393">
        <v>660</v>
      </c>
      <c r="Q393">
        <f t="shared" si="121"/>
        <v>0.31818181818181818</v>
      </c>
      <c r="S393">
        <v>0</v>
      </c>
      <c r="T393">
        <v>0</v>
      </c>
      <c r="U393">
        <f>10/K393</f>
        <v>0.25641025641025639</v>
      </c>
      <c r="V393">
        <f>5/K393</f>
        <v>0.12820512820512819</v>
      </c>
      <c r="W393">
        <f>S393*B363+T393*B364</f>
        <v>0</v>
      </c>
      <c r="X393">
        <f t="shared" si="116"/>
        <v>1</v>
      </c>
      <c r="Y393">
        <f t="shared" si="117"/>
        <v>4.3808164415999995</v>
      </c>
      <c r="Z393">
        <f t="shared" si="122"/>
        <v>1.0696596779136569</v>
      </c>
      <c r="AC393">
        <v>0.04</v>
      </c>
      <c r="AE393">
        <v>0.4</v>
      </c>
      <c r="AF393">
        <f t="shared" si="118"/>
        <v>2.5794247208140799</v>
      </c>
      <c r="AG393">
        <f t="shared" si="123"/>
        <v>0.19</v>
      </c>
      <c r="AH393">
        <f t="shared" si="124"/>
        <v>0.6784</v>
      </c>
      <c r="AI393">
        <f>AI361</f>
        <v>0</v>
      </c>
      <c r="AK393">
        <f>AK361</f>
        <v>0.76</v>
      </c>
      <c r="AL393">
        <f>AL361</f>
        <v>100</v>
      </c>
      <c r="AM393">
        <f>AM361</f>
        <v>4.7000000000000002E-3</v>
      </c>
      <c r="AN393">
        <f t="shared" si="125"/>
        <v>0</v>
      </c>
      <c r="AO393">
        <f t="shared" si="126"/>
        <v>1.5626443854260426E-3</v>
      </c>
      <c r="AP393">
        <f t="shared" si="127"/>
        <v>1.5626443854260426E-3</v>
      </c>
      <c r="AQ393">
        <f t="shared" si="128"/>
        <v>5.5610607066349287</v>
      </c>
      <c r="AS393">
        <f t="shared" si="129"/>
        <v>1.4102564102564101</v>
      </c>
      <c r="AT393">
        <f t="shared" si="119"/>
        <v>5.29354542040502E-3</v>
      </c>
      <c r="AU393">
        <f t="shared" si="130"/>
        <v>2.8846160292587023E-2</v>
      </c>
      <c r="AV393">
        <f t="shared" si="120"/>
        <v>102.65627294124407</v>
      </c>
      <c r="AY393">
        <f>AY361</f>
        <v>2E-3</v>
      </c>
      <c r="BB393">
        <f t="shared" si="131"/>
        <v>0.24</v>
      </c>
    </row>
    <row r="394" spans="7:54" x14ac:dyDescent="0.2">
      <c r="G394">
        <v>6</v>
      </c>
      <c r="H394" t="s">
        <v>162</v>
      </c>
      <c r="J394">
        <v>91.25</v>
      </c>
      <c r="K394">
        <v>90</v>
      </c>
      <c r="M394">
        <v>100</v>
      </c>
      <c r="O394">
        <v>0.8</v>
      </c>
      <c r="P394">
        <v>660</v>
      </c>
      <c r="Q394">
        <f t="shared" si="121"/>
        <v>0.15151515151515152</v>
      </c>
      <c r="S394">
        <v>0</v>
      </c>
      <c r="T394">
        <v>0</v>
      </c>
      <c r="U394">
        <f>25/K394</f>
        <v>0.27777777777777779</v>
      </c>
      <c r="V394">
        <f>10/K394</f>
        <v>0.1111111111111111</v>
      </c>
      <c r="W394">
        <f>S394*B363+T394*B364</f>
        <v>0</v>
      </c>
      <c r="X394">
        <f t="shared" si="116"/>
        <v>1</v>
      </c>
      <c r="Y394">
        <f t="shared" si="117"/>
        <v>3.4782250000000001</v>
      </c>
      <c r="Z394">
        <f t="shared" si="122"/>
        <v>1.3368692608759656</v>
      </c>
      <c r="AC394">
        <v>0.12</v>
      </c>
      <c r="AE394">
        <v>0.65</v>
      </c>
      <c r="AF394">
        <f t="shared" si="118"/>
        <v>1.2479871300000001</v>
      </c>
      <c r="AG394">
        <f t="shared" si="123"/>
        <v>0.19</v>
      </c>
      <c r="AH394">
        <f t="shared" si="124"/>
        <v>0.6784</v>
      </c>
      <c r="AI394">
        <f>AI361</f>
        <v>0</v>
      </c>
      <c r="AK394">
        <f>AK361</f>
        <v>0.76</v>
      </c>
      <c r="AL394">
        <f>AL361</f>
        <v>100</v>
      </c>
      <c r="AM394">
        <f>AM361</f>
        <v>4.7000000000000002E-3</v>
      </c>
      <c r="AN394">
        <f t="shared" si="125"/>
        <v>0</v>
      </c>
      <c r="AO394">
        <f t="shared" si="126"/>
        <v>7.5604458080985614E-4</v>
      </c>
      <c r="AP394">
        <f t="shared" si="127"/>
        <v>7.5604458080985614E-4</v>
      </c>
      <c r="AQ394">
        <f t="shared" si="128"/>
        <v>6.2090161199009435</v>
      </c>
      <c r="AS394">
        <f t="shared" si="129"/>
        <v>1.4444444444444444</v>
      </c>
      <c r="AT394">
        <f t="shared" si="119"/>
        <v>2.2445069186754495E-2</v>
      </c>
      <c r="AU394">
        <f t="shared" si="130"/>
        <v>5.1025152362332064E-2</v>
      </c>
      <c r="AV394">
        <f t="shared" si="120"/>
        <v>419.04406377565209</v>
      </c>
      <c r="AY394">
        <f>AY361</f>
        <v>2E-3</v>
      </c>
      <c r="BB394">
        <f t="shared" si="131"/>
        <v>0.24</v>
      </c>
    </row>
    <row r="395" spans="7:54" x14ac:dyDescent="0.2">
      <c r="H395" t="s">
        <v>163</v>
      </c>
      <c r="J395">
        <v>91.25</v>
      </c>
      <c r="K395">
        <v>81</v>
      </c>
      <c r="M395">
        <v>160</v>
      </c>
      <c r="O395">
        <v>0.66</v>
      </c>
      <c r="P395">
        <v>660</v>
      </c>
      <c r="Q395">
        <f t="shared" si="121"/>
        <v>0.24242424242424243</v>
      </c>
      <c r="S395">
        <v>0</v>
      </c>
      <c r="T395">
        <v>0</v>
      </c>
      <c r="U395">
        <v>0</v>
      </c>
      <c r="V395">
        <f>25/K395</f>
        <v>0.30864197530864196</v>
      </c>
      <c r="W395">
        <f>S395*B363+T395*B364</f>
        <v>0</v>
      </c>
      <c r="X395">
        <f t="shared" si="116"/>
        <v>1</v>
      </c>
      <c r="Y395">
        <f t="shared" si="117"/>
        <v>4.2137415076</v>
      </c>
      <c r="Z395">
        <f t="shared" si="122"/>
        <v>1.238085043827498</v>
      </c>
      <c r="AC395">
        <v>0.09</v>
      </c>
      <c r="AE395">
        <v>0.55000000000000004</v>
      </c>
      <c r="AF395">
        <f t="shared" si="118"/>
        <v>1.89955467162608</v>
      </c>
      <c r="AG395">
        <f t="shared" si="123"/>
        <v>0.19</v>
      </c>
      <c r="AH395">
        <f t="shared" si="124"/>
        <v>0.6784</v>
      </c>
      <c r="AI395">
        <f>AI361</f>
        <v>0</v>
      </c>
      <c r="AK395">
        <f>AK361</f>
        <v>0.76</v>
      </c>
      <c r="AL395">
        <f>AL361</f>
        <v>100</v>
      </c>
      <c r="AM395">
        <f>AM361</f>
        <v>4.7000000000000002E-3</v>
      </c>
      <c r="AN395">
        <f t="shared" si="125"/>
        <v>0</v>
      </c>
      <c r="AO395">
        <f t="shared" si="126"/>
        <v>1.1507714950834014E-3</v>
      </c>
      <c r="AP395">
        <f t="shared" si="127"/>
        <v>1.1507714950834014E-3</v>
      </c>
      <c r="AQ395">
        <f t="shared" si="128"/>
        <v>8.5056398130351916</v>
      </c>
      <c r="AS395">
        <f t="shared" si="129"/>
        <v>0.92592592592592582</v>
      </c>
      <c r="AT395">
        <f t="shared" si="119"/>
        <v>1.7217070364200018E-2</v>
      </c>
      <c r="AU395">
        <f t="shared" si="130"/>
        <v>4.7313173334549014E-2</v>
      </c>
      <c r="AV395">
        <f t="shared" si="120"/>
        <v>349.70349240898537</v>
      </c>
      <c r="AY395">
        <f>AY361</f>
        <v>2E-3</v>
      </c>
      <c r="BB395">
        <f t="shared" si="131"/>
        <v>0.24</v>
      </c>
    </row>
    <row r="396" spans="7:54" x14ac:dyDescent="0.2">
      <c r="H396" t="s">
        <v>164</v>
      </c>
      <c r="J396">
        <v>91.25</v>
      </c>
      <c r="K396">
        <v>88</v>
      </c>
      <c r="M396">
        <v>190</v>
      </c>
      <c r="O396">
        <v>0.33</v>
      </c>
      <c r="P396">
        <v>660</v>
      </c>
      <c r="Q396">
        <f t="shared" si="121"/>
        <v>0.2878787878787879</v>
      </c>
      <c r="S396">
        <v>0</v>
      </c>
      <c r="T396">
        <v>0</v>
      </c>
      <c r="U396">
        <v>0</v>
      </c>
      <c r="V396">
        <v>0</v>
      </c>
      <c r="W396">
        <f>S396*B363+T396*B364</f>
        <v>0</v>
      </c>
      <c r="X396">
        <f t="shared" si="116"/>
        <v>1</v>
      </c>
      <c r="Y396">
        <f t="shared" si="117"/>
        <v>4.2340881361000005</v>
      </c>
      <c r="Z396">
        <f t="shared" si="122"/>
        <v>1.1092421340427556</v>
      </c>
      <c r="AC396">
        <v>0.06</v>
      </c>
      <c r="AE396">
        <v>0.45</v>
      </c>
      <c r="AF396">
        <f t="shared" si="118"/>
        <v>2.2982630402750805</v>
      </c>
      <c r="AG396">
        <f t="shared" si="123"/>
        <v>0.19</v>
      </c>
      <c r="AH396">
        <f t="shared" si="124"/>
        <v>0.6784</v>
      </c>
      <c r="AI396">
        <f>AI361</f>
        <v>0</v>
      </c>
      <c r="AK396">
        <f>AK361</f>
        <v>0.76</v>
      </c>
      <c r="AL396">
        <f>AL361</f>
        <v>100</v>
      </c>
      <c r="AM396">
        <f>AM361</f>
        <v>4.7000000000000002E-3</v>
      </c>
      <c r="AN396">
        <f t="shared" si="125"/>
        <v>0</v>
      </c>
      <c r="AO396">
        <f t="shared" si="126"/>
        <v>1.392313490344695E-3</v>
      </c>
      <c r="AP396">
        <f t="shared" si="127"/>
        <v>1.392313490344695E-3</v>
      </c>
      <c r="AQ396">
        <f t="shared" si="128"/>
        <v>11.180277327467902</v>
      </c>
      <c r="AS396">
        <f t="shared" si="129"/>
        <v>0</v>
      </c>
      <c r="AT396">
        <f t="shared" si="119"/>
        <v>8.2294623844125867E-3</v>
      </c>
      <c r="AU396">
        <f t="shared" si="130"/>
        <v>3.1517088480195389E-2</v>
      </c>
      <c r="AV396">
        <f t="shared" si="120"/>
        <v>253.08222049596898</v>
      </c>
      <c r="AY396">
        <f>AY361</f>
        <v>2E-3</v>
      </c>
      <c r="BB396">
        <f t="shared" si="131"/>
        <v>0.24</v>
      </c>
    </row>
    <row r="397" spans="7:54" x14ac:dyDescent="0.2">
      <c r="G397" t="s">
        <v>189</v>
      </c>
      <c r="H397" t="s">
        <v>160</v>
      </c>
      <c r="J397">
        <v>91.25</v>
      </c>
      <c r="K397">
        <v>13</v>
      </c>
      <c r="M397">
        <v>340</v>
      </c>
      <c r="O397">
        <v>-0.66</v>
      </c>
      <c r="P397">
        <v>660</v>
      </c>
      <c r="Q397">
        <f t="shared" si="121"/>
        <v>0.51515151515151514</v>
      </c>
      <c r="S397">
        <v>0</v>
      </c>
      <c r="T397">
        <v>0</v>
      </c>
      <c r="U397">
        <v>0</v>
      </c>
      <c r="V397">
        <v>0</v>
      </c>
      <c r="W397">
        <f>S397*B363+T397*B364</f>
        <v>0</v>
      </c>
      <c r="X397">
        <f t="shared" si="116"/>
        <v>1</v>
      </c>
      <c r="Y397">
        <f t="shared" si="117"/>
        <v>4.9290216196000012</v>
      </c>
      <c r="Z397">
        <f t="shared" si="122"/>
        <v>0.83608233731620052</v>
      </c>
      <c r="AC397">
        <v>0.04</v>
      </c>
      <c r="AE397">
        <v>0.4</v>
      </c>
      <c r="AF397">
        <f t="shared" si="118"/>
        <v>2.9022079296204808</v>
      </c>
      <c r="AG397">
        <f t="shared" si="123"/>
        <v>0.19</v>
      </c>
      <c r="AH397">
        <f t="shared" si="124"/>
        <v>0.6784</v>
      </c>
      <c r="AI397">
        <f>AI361</f>
        <v>0</v>
      </c>
      <c r="AK397">
        <f>AK361</f>
        <v>0.76</v>
      </c>
      <c r="AL397">
        <f>AL361</f>
        <v>100</v>
      </c>
      <c r="AM397">
        <f>AM361</f>
        <v>4.7000000000000002E-3</v>
      </c>
      <c r="AN397">
        <f t="shared" si="125"/>
        <v>0</v>
      </c>
      <c r="AO397">
        <f t="shared" si="126"/>
        <v>1.7581900684928993E-3</v>
      </c>
      <c r="AP397">
        <f t="shared" si="127"/>
        <v>1.7581900684928993E-3</v>
      </c>
      <c r="AQ397">
        <f t="shared" si="128"/>
        <v>2.0856529687497014</v>
      </c>
      <c r="AS397">
        <f t="shared" si="129"/>
        <v>0</v>
      </c>
      <c r="AT397">
        <f t="shared" si="119"/>
        <v>-1.183745972015351E-2</v>
      </c>
      <c r="AU397">
        <f t="shared" si="130"/>
        <v>4.1989650331857781E-2</v>
      </c>
      <c r="AV397">
        <f t="shared" si="120"/>
        <v>49.810222706166293</v>
      </c>
      <c r="AY397">
        <f>AY361</f>
        <v>2E-3</v>
      </c>
      <c r="BB397">
        <f t="shared" si="131"/>
        <v>0.24</v>
      </c>
    </row>
    <row r="398" spans="7:54" x14ac:dyDescent="0.2">
      <c r="G398" t="s">
        <v>199</v>
      </c>
      <c r="H398" t="s">
        <v>162</v>
      </c>
      <c r="J398">
        <v>91.25</v>
      </c>
      <c r="K398">
        <v>52</v>
      </c>
      <c r="M398">
        <v>390</v>
      </c>
      <c r="O398">
        <v>0.55000000000000004</v>
      </c>
      <c r="P398">
        <v>660</v>
      </c>
      <c r="Q398">
        <f t="shared" si="121"/>
        <v>0.59090909090909094</v>
      </c>
      <c r="S398">
        <v>0</v>
      </c>
      <c r="T398">
        <v>0</v>
      </c>
      <c r="U398">
        <v>0</v>
      </c>
      <c r="V398">
        <v>0</v>
      </c>
      <c r="W398">
        <f>S398*B363+T398*B364</f>
        <v>0</v>
      </c>
      <c r="X398">
        <f t="shared" si="116"/>
        <v>1</v>
      </c>
      <c r="Y398">
        <f t="shared" si="117"/>
        <v>7.4714208921000003</v>
      </c>
      <c r="Z398">
        <f t="shared" si="122"/>
        <v>1.1399236713363468</v>
      </c>
      <c r="AC398">
        <v>0.12</v>
      </c>
      <c r="AE398">
        <v>0.65</v>
      </c>
      <c r="AF398">
        <f t="shared" si="118"/>
        <v>2.68074581608548</v>
      </c>
      <c r="AG398">
        <f t="shared" si="123"/>
        <v>0.19</v>
      </c>
      <c r="AH398">
        <f t="shared" si="124"/>
        <v>0.6784</v>
      </c>
      <c r="AI398">
        <f>AI361</f>
        <v>0</v>
      </c>
      <c r="AK398">
        <f>AK361</f>
        <v>0.76</v>
      </c>
      <c r="AL398">
        <f>AL361</f>
        <v>100</v>
      </c>
      <c r="AM398">
        <f>AM361</f>
        <v>4.7000000000000002E-3</v>
      </c>
      <c r="AN398">
        <f t="shared" si="125"/>
        <v>0</v>
      </c>
      <c r="AO398">
        <f t="shared" si="126"/>
        <v>1.6240258397377241E-3</v>
      </c>
      <c r="AP398">
        <f t="shared" si="127"/>
        <v>1.6240258397377241E-3</v>
      </c>
      <c r="AQ398">
        <f t="shared" si="128"/>
        <v>7.706002609555501</v>
      </c>
      <c r="AS398">
        <f t="shared" si="129"/>
        <v>0</v>
      </c>
      <c r="AT398">
        <f t="shared" si="119"/>
        <v>8.6987693985136026E-3</v>
      </c>
      <c r="AU398">
        <f t="shared" si="130"/>
        <v>0.13320792918329899</v>
      </c>
      <c r="AV398">
        <f t="shared" si="120"/>
        <v>632.07162397475372</v>
      </c>
      <c r="AY398">
        <f>AY361</f>
        <v>2E-3</v>
      </c>
      <c r="BB398">
        <f t="shared" si="131"/>
        <v>0.24</v>
      </c>
    </row>
    <row r="399" spans="7:54" x14ac:dyDescent="0.2">
      <c r="H399" t="s">
        <v>163</v>
      </c>
      <c r="J399">
        <v>91.25</v>
      </c>
      <c r="K399">
        <v>11</v>
      </c>
      <c r="M399">
        <v>430</v>
      </c>
      <c r="O399">
        <v>0.44</v>
      </c>
      <c r="P399">
        <v>660</v>
      </c>
      <c r="Q399">
        <f t="shared" si="121"/>
        <v>0.65151515151515149</v>
      </c>
      <c r="S399">
        <v>0</v>
      </c>
      <c r="T399">
        <v>0</v>
      </c>
      <c r="U399">
        <v>0</v>
      </c>
      <c r="V399">
        <v>0</v>
      </c>
      <c r="W399">
        <f>S399*B363+T399*B364</f>
        <v>0</v>
      </c>
      <c r="X399">
        <f t="shared" si="116"/>
        <v>1</v>
      </c>
      <c r="Y399">
        <f t="shared" si="117"/>
        <v>7.8123604035999996</v>
      </c>
      <c r="Z399">
        <f t="shared" si="122"/>
        <v>1.1070715964984053</v>
      </c>
      <c r="AC399">
        <v>0.09</v>
      </c>
      <c r="AE399">
        <v>0.55000000000000004</v>
      </c>
      <c r="AF399">
        <f t="shared" si="118"/>
        <v>3.5218120699428797</v>
      </c>
      <c r="AG399">
        <f t="shared" si="123"/>
        <v>0.19</v>
      </c>
      <c r="AH399">
        <f t="shared" si="124"/>
        <v>0.6784</v>
      </c>
      <c r="AI399">
        <f>AI361</f>
        <v>0</v>
      </c>
      <c r="AK399">
        <f>AK361</f>
        <v>0.76</v>
      </c>
      <c r="AL399">
        <f>AL361</f>
        <v>100</v>
      </c>
      <c r="AM399">
        <f>AM361</f>
        <v>4.7000000000000002E-3</v>
      </c>
      <c r="AN399">
        <f t="shared" si="125"/>
        <v>0</v>
      </c>
      <c r="AO399">
        <f t="shared" si="126"/>
        <v>2.1335531962665805E-3</v>
      </c>
      <c r="AP399">
        <f t="shared" si="127"/>
        <v>2.1335531962665805E-3</v>
      </c>
      <c r="AQ399">
        <f t="shared" si="128"/>
        <v>2.1415540207525803</v>
      </c>
      <c r="AS399">
        <f t="shared" si="129"/>
        <v>0</v>
      </c>
      <c r="AT399">
        <f t="shared" si="119"/>
        <v>6.3889606098065819E-3</v>
      </c>
      <c r="AU399">
        <f t="shared" si="130"/>
        <v>0.1044470942960726</v>
      </c>
      <c r="AV399">
        <f t="shared" si="120"/>
        <v>104.83877089968287</v>
      </c>
      <c r="AY399">
        <f>AY361</f>
        <v>2E-3</v>
      </c>
      <c r="BB399">
        <f t="shared" si="131"/>
        <v>0.24</v>
      </c>
    </row>
    <row r="400" spans="7:54" x14ac:dyDescent="0.2">
      <c r="H400" t="s">
        <v>164</v>
      </c>
      <c r="J400">
        <v>91.25</v>
      </c>
      <c r="K400">
        <v>4</v>
      </c>
      <c r="M400">
        <v>400</v>
      </c>
      <c r="O400">
        <v>-0.33</v>
      </c>
      <c r="P400">
        <v>660</v>
      </c>
      <c r="Q400">
        <f t="shared" si="121"/>
        <v>0.60606060606060608</v>
      </c>
      <c r="S400">
        <v>0</v>
      </c>
      <c r="T400">
        <v>0</v>
      </c>
      <c r="U400">
        <v>0</v>
      </c>
      <c r="V400">
        <v>0</v>
      </c>
      <c r="W400">
        <f>S400*B363+T400*B364</f>
        <v>0</v>
      </c>
      <c r="X400">
        <f t="shared" si="116"/>
        <v>1</v>
      </c>
      <c r="Y400">
        <f t="shared" si="117"/>
        <v>6.1556091024999988</v>
      </c>
      <c r="Z400">
        <f t="shared" si="122"/>
        <v>0.92119153463105463</v>
      </c>
      <c r="AC400">
        <v>0.06</v>
      </c>
      <c r="AE400">
        <v>0.45</v>
      </c>
      <c r="AF400">
        <f t="shared" si="118"/>
        <v>3.3412646208369998</v>
      </c>
      <c r="AG400">
        <f t="shared" si="123"/>
        <v>0.19</v>
      </c>
      <c r="AH400">
        <f t="shared" si="124"/>
        <v>0.6784</v>
      </c>
      <c r="AI400">
        <f>AI361</f>
        <v>0</v>
      </c>
      <c r="AK400">
        <f>AK361</f>
        <v>0.76</v>
      </c>
      <c r="AL400">
        <f>AL361</f>
        <v>100</v>
      </c>
      <c r="AM400">
        <f>AM361</f>
        <v>4.7000000000000002E-3</v>
      </c>
      <c r="AN400">
        <f t="shared" si="125"/>
        <v>0</v>
      </c>
      <c r="AO400">
        <f t="shared" si="126"/>
        <v>2.0241755294668081E-3</v>
      </c>
      <c r="AP400">
        <f t="shared" si="127"/>
        <v>2.0241755294668081E-3</v>
      </c>
      <c r="AQ400">
        <f t="shared" si="128"/>
        <v>0.73882406825538494</v>
      </c>
      <c r="AS400">
        <f t="shared" si="129"/>
        <v>0</v>
      </c>
      <c r="AT400">
        <f t="shared" si="119"/>
        <v>-5.1224459307566104E-3</v>
      </c>
      <c r="AU400">
        <f t="shared" si="130"/>
        <v>6.2642101458596736E-2</v>
      </c>
      <c r="AV400">
        <f t="shared" si="120"/>
        <v>22.864367032387808</v>
      </c>
      <c r="AY400">
        <f>AY361</f>
        <v>2E-3</v>
      </c>
      <c r="BB400">
        <f t="shared" si="131"/>
        <v>0.24</v>
      </c>
    </row>
    <row r="411" spans="1:64" x14ac:dyDescent="0.2">
      <c r="A411" t="s">
        <v>204</v>
      </c>
      <c r="B411" t="s">
        <v>283</v>
      </c>
      <c r="C411" t="s">
        <v>204</v>
      </c>
      <c r="D411" t="s">
        <v>204</v>
      </c>
      <c r="E411" t="s">
        <v>169</v>
      </c>
      <c r="F411" t="s">
        <v>190</v>
      </c>
      <c r="G411" t="s">
        <v>159</v>
      </c>
      <c r="H411" t="s">
        <v>160</v>
      </c>
      <c r="J411">
        <v>91.25</v>
      </c>
      <c r="K411">
        <v>62</v>
      </c>
      <c r="M411" cm="1">
        <f t="array" ref="M411:M450">_xlfn.DROP(_xlfn.XLOOKUP($D411,TableW[[#Headers],[ACT]:[QLD - Moderate/Low]],TableW[[#All],[ACT]:[QLD - Moderate/Low]]),1)</f>
        <v>220</v>
      </c>
      <c r="O411" cm="1">
        <f t="array" ref="O411:O450">_xlfn.DROP(_xlfn.XLOOKUP($D411,TableLWG[[#Headers],[ACT]:[QLD - Low]],TableLWG[[#All],[ACT]:[QLD - Low]]),1)</f>
        <v>0.22</v>
      </c>
      <c r="P411" cm="1">
        <f t="array" ref="P411:P450">_xlfn.DROP(_xlfn.XLOOKUP($E411,TableSRW[[#Headers],[ACT]:[WA]],TableSRW[[#All],[ACT]:[WA]]),1)</f>
        <v>770</v>
      </c>
      <c r="Q411">
        <f>M411 / P411</f>
        <v>0.2857142857142857</v>
      </c>
      <c r="S411">
        <v>0</v>
      </c>
      <c r="T411">
        <v>0</v>
      </c>
      <c r="U411">
        <f>20/K411</f>
        <v>0.32258064516129031</v>
      </c>
      <c r="V411">
        <v>0</v>
      </c>
      <c r="W411">
        <f>S411*B413+T411*B414</f>
        <v>0</v>
      </c>
      <c r="X411">
        <f t="shared" ref="X411:X450" si="132">(S411 * $BX$3 +T411* $BX$4) + (1 -S411 -T411 )</f>
        <v>1</v>
      </c>
      <c r="Y411">
        <f t="shared" ref="Y411:Y450" si="133">(1.185 + 0.00454 * M411- 0.0000026 * M411 ^2 + 0.315 * O411)^2 * X411</f>
        <v>4.5252351075999986</v>
      </c>
      <c r="Z411">
        <f>Y411 / ((1.185 + 0.00454 * M411 - 0.0000026 * M411 ^ 2) ^ 2 * X411)</f>
        <v>1.0684821943990916</v>
      </c>
      <c r="AC411" cm="1">
        <f t="array" ref="AC411:AC450">_xlfn.DROP(_xlfn.XLOOKUP($E411,TableCP[[#Headers],[ACT]:[WA - Kimberley]],TableCP[[#All],[ACT]:[WA - Kimberley]]),1)</f>
        <v>5.8000000000000003E-2</v>
      </c>
      <c r="AE411" cm="1">
        <f t="array" ref="AE411:AE450">_xlfn.DROP(_xlfn.XLOOKUP($E411,TableDMD[[#Headers],[ACT]:[WA - Kimberley]],TableDMD[[#All],[ACT]:[WA - Kimberley]]),1)</f>
        <v>0.55000000000000004</v>
      </c>
      <c r="AF411">
        <f t="shared" ref="AF411:AF450" si="134">(Y411 * (1 - AE411) + (0.04 * Y411)) * ( 1 - $CJ$3 )</f>
        <v>2.0399759865060796</v>
      </c>
      <c r="AG411">
        <f>$CJ$4</f>
        <v>0.19</v>
      </c>
      <c r="AH411">
        <f>$CJ$5</f>
        <v>0.6784</v>
      </c>
      <c r="AI411">
        <f>IF(F411="yes",0,VLOOKUP(C411,$BQ$211:$BS$225,3,FALSE))</f>
        <v>1E-3</v>
      </c>
      <c r="AK411">
        <f>VLOOKUP(C411,$BQ$211:$BU$225,4,FALSE)</f>
        <v>0.8</v>
      </c>
      <c r="AL411">
        <f>IF(F411="yes",100,VLOOKUP(C411,$BQ$211:$BS$225,2,FALSE))</f>
        <v>99.998999999999995</v>
      </c>
      <c r="AM411">
        <f>VLOOKUP(C411,$BQ$211:$BU$225,5,FALSE)</f>
        <v>4.7000000000000002E-3</v>
      </c>
      <c r="AN411">
        <f>AF411 * AG411 * AI411/100 * AK411 * AH411</f>
        <v>2.1035579580535014E-6</v>
      </c>
      <c r="AO411">
        <f>AF411 * AG411 * AL411/100 * AM411 * AH411</f>
        <v>1.2358279419534281E-3</v>
      </c>
      <c r="AP411">
        <f>AN411+AO411</f>
        <v>1.2379314999114816E-3</v>
      </c>
      <c r="AQ411">
        <f>K411*AP411*J411</f>
        <v>7.0035974607492069</v>
      </c>
      <c r="AR411">
        <f>SUM(AQ411:AQ450)*10^-3</f>
        <v>1.3003240733853767</v>
      </c>
      <c r="AS411">
        <f>U411*$B$413+V411*$B$414</f>
        <v>1.935483870967742</v>
      </c>
      <c r="AT411">
        <f t="shared" ref="AT411:AT450" si="135" xml:space="preserve"> (0.032*W411/6.38) + (((0.212 - 0.008*(Z411-2) - (0.14 - 0.008*(Z411 - 2))/(1+EXP(-6*(Q411-0.4))))*O411*0.92)/6.25)</f>
        <v>5.5071444310909436E-3</v>
      </c>
      <c r="AU411">
        <f>MAX((Y411*AC411/6.25)+(0.032*AS411/6.38)-AT411-((1.1*(10^-4)*(M411^0.75))/6.25), 0)</f>
        <v>4.5189414763712639E-2</v>
      </c>
      <c r="AV411">
        <f t="shared" ref="AV411:AV450" si="136">K411*AU411*J411</f>
        <v>255.65911402570427</v>
      </c>
      <c r="AW411">
        <f>SUM(AV411:AV450)</f>
        <v>49770.595352244898</v>
      </c>
      <c r="AX411" t="s">
        <v>259</v>
      </c>
      <c r="AY411">
        <f>VLOOKUP(AX411, $CK$18:$CM$27, 2, FALSE)</f>
        <v>2E-3</v>
      </c>
      <c r="AZ411">
        <f>$CJ$6</f>
        <v>0.21</v>
      </c>
      <c r="BA411">
        <f>AW411*AZ411</f>
        <v>10451.825023971429</v>
      </c>
      <c r="BB411">
        <f>$CJ$7</f>
        <v>0.24</v>
      </c>
      <c r="BC411" t="s">
        <v>161</v>
      </c>
      <c r="BD411">
        <f>IF(BC411="yes",1,0)</f>
        <v>1</v>
      </c>
      <c r="BE411">
        <f>AW411 * BD411 * BB411</f>
        <v>11944.942884538776</v>
      </c>
      <c r="BF411">
        <f>$CJ$8</f>
        <v>1.57</v>
      </c>
      <c r="BG411" t="s">
        <v>184</v>
      </c>
      <c r="BH411">
        <f>VLOOKUP(BG411, $BQ$274:$BR$286, 2, FALSE)</f>
        <v>2.8999999999999998E-3</v>
      </c>
      <c r="BI411">
        <f>$CJ$9</f>
        <v>1.0999999999999999E-2</v>
      </c>
      <c r="BJ411">
        <f>(AW411 * AY411 * BF411) * 10^-3</f>
        <v>0.15627966940604898</v>
      </c>
      <c r="BK411">
        <f>BA411 * BH411 * BF411 * 10^-3</f>
        <v>4.7587159334141919E-2</v>
      </c>
      <c r="BL411">
        <f>BE411 * BI411 * BF411 * 10^-3</f>
        <v>0.20628916361598465</v>
      </c>
    </row>
    <row r="412" spans="1:64" x14ac:dyDescent="0.2">
      <c r="G412">
        <v>1</v>
      </c>
      <c r="H412" t="s">
        <v>162</v>
      </c>
      <c r="J412">
        <v>91.25</v>
      </c>
      <c r="K412">
        <v>154</v>
      </c>
      <c r="M412">
        <v>110</v>
      </c>
      <c r="O412">
        <v>0.66</v>
      </c>
      <c r="P412">
        <v>770</v>
      </c>
      <c r="Q412">
        <f t="shared" ref="Q412:Q450" si="137">M412 / P412</f>
        <v>0.14285714285714285</v>
      </c>
      <c r="S412">
        <v>0</v>
      </c>
      <c r="T412">
        <v>0</v>
      </c>
      <c r="U412">
        <f>30/K412</f>
        <v>0.19480519480519481</v>
      </c>
      <c r="V412">
        <f>20/K412</f>
        <v>0.12987012987012986</v>
      </c>
      <c r="W412">
        <f>S412*B413+T412*B414</f>
        <v>0</v>
      </c>
      <c r="X412">
        <f t="shared" si="132"/>
        <v>1</v>
      </c>
      <c r="Y412">
        <f t="shared" si="133"/>
        <v>3.4627255056000004</v>
      </c>
      <c r="Z412">
        <f t="shared" ref="Z412:Z450" si="138">Y412 / ((1.185 + 0.00454 * M412 - 0.0000026 * M412 ^ 2) ^ 2 * X412)</f>
        <v>1.2673713550275403</v>
      </c>
      <c r="AC412">
        <v>9.1999999999999998E-2</v>
      </c>
      <c r="AE412">
        <v>0.61</v>
      </c>
      <c r="AF412">
        <f t="shared" si="134"/>
        <v>1.3698542100153603</v>
      </c>
      <c r="AG412">
        <f t="shared" ref="AG412:AG450" si="139">$CJ$4</f>
        <v>0.19</v>
      </c>
      <c r="AH412">
        <f t="shared" ref="AH412:AH450" si="140">$CJ$5</f>
        <v>0.6784</v>
      </c>
      <c r="AI412">
        <f>AI411</f>
        <v>1E-3</v>
      </c>
      <c r="AK412">
        <f>AK411</f>
        <v>0.8</v>
      </c>
      <c r="AL412">
        <f>AL411</f>
        <v>99.998999999999995</v>
      </c>
      <c r="AM412">
        <f>AM411</f>
        <v>4.7000000000000002E-3</v>
      </c>
      <c r="AN412">
        <f t="shared" ref="AN412:AN450" si="141">AF412 * AG412 * AI412/100 * AK412 * AH412</f>
        <v>1.4125498260331189E-6</v>
      </c>
      <c r="AO412">
        <f t="shared" ref="AO412:AO450" si="142">AF412 * AG412 * AL412/100 * AM412 * AH412</f>
        <v>8.298647240642294E-4</v>
      </c>
      <c r="AP412">
        <f t="shared" ref="AP412:AP450" si="143">AN412+AO412</f>
        <v>8.3127727389026252E-4</v>
      </c>
      <c r="AQ412">
        <f t="shared" ref="AQ412:AQ450" si="144">K412*AP412*J412</f>
        <v>11.681523891342914</v>
      </c>
      <c r="AS412">
        <f t="shared" ref="AS412:AS449" si="145">U412*$B$413+V412*$B$414</f>
        <v>1.6883116883116884</v>
      </c>
      <c r="AT412">
        <f t="shared" si="135"/>
        <v>1.866988820736518E-2</v>
      </c>
      <c r="AU412">
        <f t="shared" ref="AU412:AU450" si="146">MAX((Y412*AC412/6.25)+(0.032*AS412/6.38)-AT412-((1.1*(10^-4)*(M412^0.75))/6.25), 0)</f>
        <v>4.0171650492785461E-2</v>
      </c>
      <c r="AV412">
        <f t="shared" si="136"/>
        <v>564.51211854986775</v>
      </c>
      <c r="AY412">
        <f>AY411</f>
        <v>2E-3</v>
      </c>
      <c r="BB412">
        <f t="shared" ref="BB412:BB450" si="147">$CJ$7</f>
        <v>0.24</v>
      </c>
    </row>
    <row r="413" spans="1:64" x14ac:dyDescent="0.2">
      <c r="A413" t="s">
        <v>222</v>
      </c>
      <c r="B413">
        <f>IF(B411="Hereford or Shorthorn",$BT$3,$BT$4)</f>
        <v>6</v>
      </c>
      <c r="H413" t="s">
        <v>163</v>
      </c>
      <c r="J413">
        <v>91.25</v>
      </c>
      <c r="K413">
        <v>150</v>
      </c>
      <c r="M413">
        <v>170</v>
      </c>
      <c r="O413">
        <v>0.49</v>
      </c>
      <c r="P413">
        <v>770</v>
      </c>
      <c r="Q413">
        <f t="shared" si="137"/>
        <v>0.22077922077922077</v>
      </c>
      <c r="S413">
        <v>0</v>
      </c>
      <c r="T413">
        <v>0</v>
      </c>
      <c r="U413">
        <v>0</v>
      </c>
      <c r="V413">
        <f>30/K413</f>
        <v>0.2</v>
      </c>
      <c r="W413">
        <f>S413*B413+T413*B414</f>
        <v>0</v>
      </c>
      <c r="X413">
        <f t="shared" si="132"/>
        <v>1</v>
      </c>
      <c r="Y413">
        <f t="shared" si="133"/>
        <v>4.1453367201000004</v>
      </c>
      <c r="Z413">
        <f t="shared" si="138"/>
        <v>1.1707859654256434</v>
      </c>
      <c r="AC413">
        <v>7.4999999999999997E-2</v>
      </c>
      <c r="AE413">
        <v>0.56999999999999995</v>
      </c>
      <c r="AF413">
        <f t="shared" si="134"/>
        <v>1.7924435977712405</v>
      </c>
      <c r="AG413">
        <f t="shared" si="139"/>
        <v>0.19</v>
      </c>
      <c r="AH413">
        <f t="shared" si="140"/>
        <v>0.6784</v>
      </c>
      <c r="AI413">
        <f>AI411</f>
        <v>1E-3</v>
      </c>
      <c r="AK413">
        <f>AK411</f>
        <v>0.8</v>
      </c>
      <c r="AL413">
        <f>AL411</f>
        <v>99.998999999999995</v>
      </c>
      <c r="AM413">
        <f>AM411</f>
        <v>4.7000000000000002E-3</v>
      </c>
      <c r="AN413">
        <f t="shared" si="141"/>
        <v>1.8483104798265747E-6</v>
      </c>
      <c r="AO413">
        <f t="shared" si="142"/>
        <v>1.0858715480740436E-3</v>
      </c>
      <c r="AP413">
        <f t="shared" si="143"/>
        <v>1.0877198585538702E-3</v>
      </c>
      <c r="AQ413">
        <f t="shared" si="144"/>
        <v>14.888165563956099</v>
      </c>
      <c r="AS413">
        <f t="shared" si="145"/>
        <v>0.8</v>
      </c>
      <c r="AT413">
        <f t="shared" si="135"/>
        <v>1.3079063906488301E-2</v>
      </c>
      <c r="AU413">
        <f t="shared" si="146"/>
        <v>3.9848907467745387E-2</v>
      </c>
      <c r="AV413">
        <f t="shared" si="136"/>
        <v>545.43192096476491</v>
      </c>
      <c r="AY413">
        <f>AY411</f>
        <v>2E-3</v>
      </c>
      <c r="BB413">
        <f t="shared" si="147"/>
        <v>0.24</v>
      </c>
    </row>
    <row r="414" spans="1:64" x14ac:dyDescent="0.2">
      <c r="A414" t="s">
        <v>223</v>
      </c>
      <c r="B414">
        <f>IF(B411="Hereford or Shorthorn",$BU$3,$BU$4)</f>
        <v>4</v>
      </c>
      <c r="H414" t="s">
        <v>164</v>
      </c>
      <c r="J414">
        <v>91.25</v>
      </c>
      <c r="K414">
        <v>83</v>
      </c>
      <c r="M414">
        <v>200</v>
      </c>
      <c r="O414">
        <v>0.27</v>
      </c>
      <c r="P414">
        <v>770</v>
      </c>
      <c r="Q414">
        <f t="shared" si="137"/>
        <v>0.25974025974025972</v>
      </c>
      <c r="S414">
        <v>0</v>
      </c>
      <c r="T414">
        <v>0</v>
      </c>
      <c r="U414">
        <v>0</v>
      </c>
      <c r="V414">
        <v>0</v>
      </c>
      <c r="W414">
        <f>S414*B413+T414*B414</f>
        <v>0</v>
      </c>
      <c r="X414">
        <f t="shared" si="132"/>
        <v>1</v>
      </c>
      <c r="Y414">
        <f t="shared" si="133"/>
        <v>4.3016834024999993</v>
      </c>
      <c r="Z414">
        <f t="shared" si="138"/>
        <v>1.087348795069716</v>
      </c>
      <c r="AC414">
        <v>5.2999999999999999E-2</v>
      </c>
      <c r="AE414">
        <v>0.54</v>
      </c>
      <c r="AF414">
        <f t="shared" si="134"/>
        <v>1.9787743651499998</v>
      </c>
      <c r="AG414">
        <f t="shared" si="139"/>
        <v>0.19</v>
      </c>
      <c r="AH414">
        <f t="shared" si="140"/>
        <v>0.6784</v>
      </c>
      <c r="AI414">
        <f>AI411</f>
        <v>1E-3</v>
      </c>
      <c r="AK414">
        <f>AK411</f>
        <v>0.8</v>
      </c>
      <c r="AL414">
        <f>AL411</f>
        <v>99.998999999999995</v>
      </c>
      <c r="AM414">
        <f>AM411</f>
        <v>4.7000000000000002E-3</v>
      </c>
      <c r="AN414">
        <f t="shared" si="141"/>
        <v>2.0404488045629953E-6</v>
      </c>
      <c r="AO414">
        <f t="shared" si="142"/>
        <v>1.1987516850440326E-3</v>
      </c>
      <c r="AP414">
        <f t="shared" si="143"/>
        <v>1.2007921338485956E-3</v>
      </c>
      <c r="AQ414">
        <f t="shared" si="144"/>
        <v>9.094499423735801</v>
      </c>
      <c r="AS414">
        <f t="shared" si="145"/>
        <v>0</v>
      </c>
      <c r="AT414">
        <f t="shared" si="135"/>
        <v>6.9525412975886356E-3</v>
      </c>
      <c r="AU414">
        <f t="shared" si="146"/>
        <v>2.8589713877749043E-2</v>
      </c>
      <c r="AV414">
        <f t="shared" si="136"/>
        <v>216.53134548160182</v>
      </c>
      <c r="AY414">
        <f>AY411</f>
        <v>2E-3</v>
      </c>
      <c r="BB414">
        <f t="shared" si="147"/>
        <v>0.24</v>
      </c>
    </row>
    <row r="415" spans="1:64" x14ac:dyDescent="0.2">
      <c r="G415" t="s">
        <v>165</v>
      </c>
      <c r="H415" t="s">
        <v>160</v>
      </c>
      <c r="J415">
        <v>91.25</v>
      </c>
      <c r="K415">
        <v>70</v>
      </c>
      <c r="M415">
        <v>706</v>
      </c>
      <c r="O415">
        <v>-0.23</v>
      </c>
      <c r="P415">
        <v>770</v>
      </c>
      <c r="Q415">
        <f t="shared" si="137"/>
        <v>0.91688311688311686</v>
      </c>
      <c r="S415">
        <v>0</v>
      </c>
      <c r="T415">
        <v>0</v>
      </c>
      <c r="U415">
        <v>0</v>
      </c>
      <c r="V415">
        <v>0</v>
      </c>
      <c r="W415">
        <f>S415*B413+T415*B414</f>
        <v>0</v>
      </c>
      <c r="X415">
        <f t="shared" si="132"/>
        <v>1</v>
      </c>
      <c r="Y415">
        <f t="shared" si="133"/>
        <v>9.1316161022209617</v>
      </c>
      <c r="Z415">
        <f t="shared" si="138"/>
        <v>0.95372027223664135</v>
      </c>
      <c r="AC415">
        <v>5.8000000000000003E-2</v>
      </c>
      <c r="AE415">
        <v>0.55000000000000004</v>
      </c>
      <c r="AF415">
        <f t="shared" si="134"/>
        <v>4.1165325388812084</v>
      </c>
      <c r="AG415">
        <f t="shared" si="139"/>
        <v>0.19</v>
      </c>
      <c r="AH415">
        <f t="shared" si="140"/>
        <v>0.6784</v>
      </c>
      <c r="AI415">
        <f>AI411</f>
        <v>1E-3</v>
      </c>
      <c r="AK415">
        <f>AK411</f>
        <v>0.8</v>
      </c>
      <c r="AL415">
        <f>AL411</f>
        <v>99.998999999999995</v>
      </c>
      <c r="AM415">
        <f>AM411</f>
        <v>4.7000000000000002E-3</v>
      </c>
      <c r="AN415">
        <f t="shared" si="141"/>
        <v>4.2448366250530579E-6</v>
      </c>
      <c r="AO415">
        <f t="shared" si="142"/>
        <v>2.4938165788034993E-3</v>
      </c>
      <c r="AP415">
        <f t="shared" si="143"/>
        <v>2.4980614154285524E-3</v>
      </c>
      <c r="AQ415">
        <f t="shared" si="144"/>
        <v>15.956367291049879</v>
      </c>
      <c r="AS415">
        <f t="shared" si="145"/>
        <v>0</v>
      </c>
      <c r="AT415">
        <f t="shared" si="135"/>
        <v>-2.6539004094373584E-3</v>
      </c>
      <c r="AU415">
        <f t="shared" si="146"/>
        <v>8.4984747563368213E-2</v>
      </c>
      <c r="AV415">
        <f t="shared" si="136"/>
        <v>542.84007506101443</v>
      </c>
      <c r="AY415">
        <f>AY411</f>
        <v>2E-3</v>
      </c>
      <c r="BB415">
        <f t="shared" si="147"/>
        <v>0.24</v>
      </c>
    </row>
    <row r="416" spans="1:64" x14ac:dyDescent="0.2">
      <c r="A416" t="s">
        <v>167</v>
      </c>
      <c r="G416">
        <v>2</v>
      </c>
      <c r="H416" t="s">
        <v>162</v>
      </c>
      <c r="J416">
        <v>91.25</v>
      </c>
      <c r="K416">
        <v>147</v>
      </c>
      <c r="M416">
        <v>703</v>
      </c>
      <c r="O416">
        <v>0.2</v>
      </c>
      <c r="P416">
        <v>770</v>
      </c>
      <c r="Q416">
        <f t="shared" si="137"/>
        <v>0.91298701298701301</v>
      </c>
      <c r="S416">
        <v>0</v>
      </c>
      <c r="T416">
        <v>0</v>
      </c>
      <c r="U416">
        <v>0</v>
      </c>
      <c r="V416">
        <v>0</v>
      </c>
      <c r="W416">
        <f>S416*B413+T416*B414</f>
        <v>0</v>
      </c>
      <c r="X416">
        <f t="shared" si="132"/>
        <v>1</v>
      </c>
      <c r="Y416">
        <f t="shared" si="133"/>
        <v>9.9519844505875614</v>
      </c>
      <c r="Z416">
        <f t="shared" si="138"/>
        <v>1.0411698201099799</v>
      </c>
      <c r="AC416">
        <v>9.1999999999999998E-2</v>
      </c>
      <c r="AE416">
        <v>0.61</v>
      </c>
      <c r="AF416">
        <f t="shared" si="134"/>
        <v>3.9370050486524399</v>
      </c>
      <c r="AG416">
        <f t="shared" si="139"/>
        <v>0.19</v>
      </c>
      <c r="AH416">
        <f t="shared" si="140"/>
        <v>0.6784</v>
      </c>
      <c r="AI416">
        <f>AI411</f>
        <v>1E-3</v>
      </c>
      <c r="AK416">
        <f>AK411</f>
        <v>0.8</v>
      </c>
      <c r="AL416">
        <f>AL411</f>
        <v>99.998999999999995</v>
      </c>
      <c r="AM416">
        <f>AM411</f>
        <v>4.7000000000000002E-3</v>
      </c>
      <c r="AN416">
        <f t="shared" si="141"/>
        <v>4.0597136220088396E-6</v>
      </c>
      <c r="AO416">
        <f t="shared" si="142"/>
        <v>2.385057902112664E-3</v>
      </c>
      <c r="AP416">
        <f t="shared" si="143"/>
        <v>2.3891176157346729E-3</v>
      </c>
      <c r="AQ416">
        <f t="shared" si="144"/>
        <v>32.047026418060966</v>
      </c>
      <c r="AS416">
        <f t="shared" si="145"/>
        <v>0</v>
      </c>
      <c r="AT416">
        <f t="shared" si="135"/>
        <v>2.3110848477566137E-3</v>
      </c>
      <c r="AU416">
        <f t="shared" si="146"/>
        <v>0.14177926242663144</v>
      </c>
      <c r="AV416">
        <f t="shared" si="136"/>
        <v>1901.7915813752275</v>
      </c>
      <c r="AY416">
        <f>AY411</f>
        <v>2E-3</v>
      </c>
      <c r="BB416">
        <f t="shared" si="147"/>
        <v>0.24</v>
      </c>
    </row>
    <row r="417" spans="1:54" x14ac:dyDescent="0.2">
      <c r="A417" t="s">
        <v>160</v>
      </c>
      <c r="B417">
        <f>IF(B411="Hereford or Shorthorn", 1.3, 0)</f>
        <v>1.3</v>
      </c>
      <c r="H417" t="s">
        <v>163</v>
      </c>
      <c r="J417">
        <v>91.25</v>
      </c>
      <c r="K417">
        <v>104</v>
      </c>
      <c r="M417">
        <v>721</v>
      </c>
      <c r="O417">
        <v>0.13</v>
      </c>
      <c r="P417">
        <v>770</v>
      </c>
      <c r="Q417">
        <f t="shared" si="137"/>
        <v>0.9363636363636364</v>
      </c>
      <c r="S417">
        <v>0</v>
      </c>
      <c r="T417">
        <v>0</v>
      </c>
      <c r="U417">
        <v>0</v>
      </c>
      <c r="V417">
        <v>0</v>
      </c>
      <c r="W417">
        <f>S417*B413+T417*B414</f>
        <v>0</v>
      </c>
      <c r="X417">
        <f t="shared" si="132"/>
        <v>1</v>
      </c>
      <c r="Y417">
        <f t="shared" si="133"/>
        <v>9.9080366943715585</v>
      </c>
      <c r="Z417">
        <f t="shared" si="138"/>
        <v>1.0265356627318911</v>
      </c>
      <c r="AC417">
        <v>7.4999999999999997E-2</v>
      </c>
      <c r="AE417">
        <v>0.56999999999999995</v>
      </c>
      <c r="AF417">
        <f t="shared" si="134"/>
        <v>4.2842350666462625</v>
      </c>
      <c r="AG417">
        <f t="shared" si="139"/>
        <v>0.19</v>
      </c>
      <c r="AH417">
        <f t="shared" si="140"/>
        <v>0.6784</v>
      </c>
      <c r="AI417">
        <f>AI411</f>
        <v>1E-3</v>
      </c>
      <c r="AK417">
        <f>AK411</f>
        <v>0.8</v>
      </c>
      <c r="AL417">
        <f>AL411</f>
        <v>99.998999999999995</v>
      </c>
      <c r="AM417">
        <f>AM411</f>
        <v>4.7000000000000002E-3</v>
      </c>
      <c r="AN417">
        <f t="shared" si="141"/>
        <v>4.4177661052034934E-6</v>
      </c>
      <c r="AO417">
        <f t="shared" si="142"/>
        <v>2.5954116324311844E-3</v>
      </c>
      <c r="AP417">
        <f t="shared" si="143"/>
        <v>2.599829398536388E-3</v>
      </c>
      <c r="AQ417">
        <f t="shared" si="144"/>
        <v>24.672380992110323</v>
      </c>
      <c r="AS417">
        <f t="shared" si="145"/>
        <v>0</v>
      </c>
      <c r="AT417">
        <f t="shared" si="135"/>
        <v>1.4866363662022523E-3</v>
      </c>
      <c r="AU417">
        <f t="shared" si="146"/>
        <v>0.11496094307026744</v>
      </c>
      <c r="AV417">
        <f t="shared" si="136"/>
        <v>1090.979349736838</v>
      </c>
      <c r="AY417">
        <f>AY411</f>
        <v>2E-3</v>
      </c>
      <c r="BB417">
        <f t="shared" si="147"/>
        <v>0.24</v>
      </c>
    </row>
    <row r="418" spans="1:54" x14ac:dyDescent="0.2">
      <c r="A418" t="s">
        <v>162</v>
      </c>
      <c r="B418">
        <f>IF(B411="Hereford or Shorthorn", 1.1, 1.3)</f>
        <v>1.1000000000000001</v>
      </c>
      <c r="H418" t="s">
        <v>164</v>
      </c>
      <c r="J418">
        <v>91.25</v>
      </c>
      <c r="K418">
        <v>31</v>
      </c>
      <c r="M418">
        <v>727</v>
      </c>
      <c r="O418">
        <v>-0.8</v>
      </c>
      <c r="P418">
        <v>770</v>
      </c>
      <c r="Q418">
        <f t="shared" si="137"/>
        <v>0.94415584415584419</v>
      </c>
      <c r="S418">
        <v>0</v>
      </c>
      <c r="T418">
        <v>0</v>
      </c>
      <c r="U418">
        <v>0</v>
      </c>
      <c r="V418">
        <v>0</v>
      </c>
      <c r="W418">
        <f>S418*B413+T418*B414</f>
        <v>0</v>
      </c>
      <c r="X418">
        <f t="shared" si="132"/>
        <v>1</v>
      </c>
      <c r="Y418">
        <f t="shared" si="133"/>
        <v>8.1761946665011571</v>
      </c>
      <c r="Z418">
        <f t="shared" si="138"/>
        <v>0.84457504324607413</v>
      </c>
      <c r="AC418">
        <v>5.2999999999999999E-2</v>
      </c>
      <c r="AE418">
        <v>0.54</v>
      </c>
      <c r="AF418">
        <f t="shared" si="134"/>
        <v>3.7610495465905323</v>
      </c>
      <c r="AG418">
        <f t="shared" si="139"/>
        <v>0.19</v>
      </c>
      <c r="AH418">
        <f t="shared" si="140"/>
        <v>0.6784</v>
      </c>
      <c r="AI418">
        <f>AI411</f>
        <v>1E-3</v>
      </c>
      <c r="AK418">
        <f>AK411</f>
        <v>0.8</v>
      </c>
      <c r="AL418">
        <f>AL411</f>
        <v>99.998999999999995</v>
      </c>
      <c r="AM418">
        <f>AM411</f>
        <v>4.7000000000000002E-3</v>
      </c>
      <c r="AN418">
        <f t="shared" si="141"/>
        <v>3.8782739388586668E-6</v>
      </c>
      <c r="AO418">
        <f t="shared" si="142"/>
        <v>2.2784631542200756E-3</v>
      </c>
      <c r="AP418">
        <f t="shared" si="143"/>
        <v>2.2823414281589343E-3</v>
      </c>
      <c r="AQ418">
        <f t="shared" si="144"/>
        <v>6.4561733149045857</v>
      </c>
      <c r="AS418">
        <f t="shared" si="145"/>
        <v>0</v>
      </c>
      <c r="AT418">
        <f t="shared" si="135"/>
        <v>-9.1253693835185046E-3</v>
      </c>
      <c r="AU418">
        <f t="shared" si="146"/>
        <v>7.5995370950888264E-2</v>
      </c>
      <c r="AV418">
        <f t="shared" si="136"/>
        <v>214.97190557732515</v>
      </c>
      <c r="AY418">
        <f>AY411</f>
        <v>2E-3</v>
      </c>
      <c r="BB418">
        <f t="shared" si="147"/>
        <v>0.24</v>
      </c>
    </row>
    <row r="419" spans="1:54" x14ac:dyDescent="0.2">
      <c r="A419" t="s">
        <v>163</v>
      </c>
      <c r="B419">
        <f>IF(B411="Hereford or Shorthorn", 0, 1.1)</f>
        <v>0</v>
      </c>
      <c r="G419" t="s">
        <v>177</v>
      </c>
      <c r="H419" t="s">
        <v>160</v>
      </c>
      <c r="J419">
        <v>91.25</v>
      </c>
      <c r="K419">
        <v>318</v>
      </c>
      <c r="M419">
        <v>323</v>
      </c>
      <c r="O419">
        <v>0.17</v>
      </c>
      <c r="P419">
        <v>550</v>
      </c>
      <c r="Q419">
        <f t="shared" si="137"/>
        <v>0.58727272727272728</v>
      </c>
      <c r="S419">
        <v>0</v>
      </c>
      <c r="T419">
        <v>0</v>
      </c>
      <c r="U419">
        <v>0</v>
      </c>
      <c r="V419">
        <v>0</v>
      </c>
      <c r="W419">
        <f>S419*B413+T419*B414</f>
        <v>0</v>
      </c>
      <c r="X419">
        <f t="shared" si="132"/>
        <v>1</v>
      </c>
      <c r="Y419">
        <f t="shared" si="133"/>
        <v>5.9229667542531583</v>
      </c>
      <c r="Z419">
        <f t="shared" si="138"/>
        <v>1.0455030680134529</v>
      </c>
      <c r="AC419">
        <v>5.8000000000000003E-2</v>
      </c>
      <c r="AE419">
        <v>0.55000000000000004</v>
      </c>
      <c r="AF419">
        <f t="shared" si="134"/>
        <v>2.6700734128173234</v>
      </c>
      <c r="AG419">
        <f t="shared" si="139"/>
        <v>0.19</v>
      </c>
      <c r="AH419">
        <f t="shared" si="140"/>
        <v>0.6784</v>
      </c>
      <c r="AI419">
        <f>AI411</f>
        <v>1E-3</v>
      </c>
      <c r="AK419">
        <f>AK411</f>
        <v>0.8</v>
      </c>
      <c r="AL419">
        <f>AL411</f>
        <v>99.998999999999995</v>
      </c>
      <c r="AM419">
        <f>AM411</f>
        <v>4.7000000000000002E-3</v>
      </c>
      <c r="AN419">
        <f t="shared" si="141"/>
        <v>2.753294260948014E-6</v>
      </c>
      <c r="AO419">
        <f t="shared" si="142"/>
        <v>1.6175442027031748E-3</v>
      </c>
      <c r="AP419">
        <f t="shared" si="143"/>
        <v>1.6202974969641228E-3</v>
      </c>
      <c r="AQ419">
        <f t="shared" si="144"/>
        <v>47.016982618156426</v>
      </c>
      <c r="AS419">
        <f t="shared" si="145"/>
        <v>0</v>
      </c>
      <c r="AT419">
        <f t="shared" si="135"/>
        <v>2.7081129488869464E-3</v>
      </c>
      <c r="AU419">
        <f t="shared" si="146"/>
        <v>5.091606243262211E-2</v>
      </c>
      <c r="AV419">
        <f t="shared" si="136"/>
        <v>1477.4568416386121</v>
      </c>
      <c r="AY419">
        <f>AY411</f>
        <v>2E-3</v>
      </c>
      <c r="BB419">
        <f t="shared" si="147"/>
        <v>0.24</v>
      </c>
    </row>
    <row r="420" spans="1:54" x14ac:dyDescent="0.2">
      <c r="A420" t="s">
        <v>164</v>
      </c>
      <c r="B420">
        <v>0</v>
      </c>
      <c r="G420">
        <v>4</v>
      </c>
      <c r="H420" t="s">
        <v>162</v>
      </c>
      <c r="J420">
        <v>91.25</v>
      </c>
      <c r="K420">
        <v>440</v>
      </c>
      <c r="M420">
        <v>256</v>
      </c>
      <c r="O420">
        <v>0.54</v>
      </c>
      <c r="P420">
        <v>550</v>
      </c>
      <c r="Q420">
        <f t="shared" si="137"/>
        <v>0.46545454545454545</v>
      </c>
      <c r="S420">
        <v>0</v>
      </c>
      <c r="T420">
        <v>0</v>
      </c>
      <c r="U420">
        <v>0</v>
      </c>
      <c r="V420">
        <v>0</v>
      </c>
      <c r="W420">
        <f>S420*B413+T420*B414</f>
        <v>0</v>
      </c>
      <c r="X420">
        <f t="shared" si="132"/>
        <v>1</v>
      </c>
      <c r="Y420">
        <f t="shared" si="133"/>
        <v>5.5081574044729606</v>
      </c>
      <c r="Z420">
        <f t="shared" si="138"/>
        <v>1.1623870703562369</v>
      </c>
      <c r="AC420">
        <v>9.1999999999999998E-2</v>
      </c>
      <c r="AE420">
        <v>0.61</v>
      </c>
      <c r="AF420">
        <f t="shared" si="134"/>
        <v>2.1790270692095035</v>
      </c>
      <c r="AG420">
        <f t="shared" si="139"/>
        <v>0.19</v>
      </c>
      <c r="AH420">
        <f t="shared" si="140"/>
        <v>0.6784</v>
      </c>
      <c r="AI420">
        <f>AI411</f>
        <v>1E-3</v>
      </c>
      <c r="AK420">
        <f>AK411</f>
        <v>0.8</v>
      </c>
      <c r="AL420">
        <f>AL411</f>
        <v>99.998999999999995</v>
      </c>
      <c r="AM420">
        <f>AM411</f>
        <v>4.7000000000000002E-3</v>
      </c>
      <c r="AN420">
        <f t="shared" si="141"/>
        <v>2.2469429849026259E-6</v>
      </c>
      <c r="AO420">
        <f t="shared" si="142"/>
        <v>1.3200658028402561E-3</v>
      </c>
      <c r="AP420">
        <f t="shared" si="143"/>
        <v>1.3223127458251588E-3</v>
      </c>
      <c r="AQ420">
        <f t="shared" si="144"/>
        <v>53.090856744880121</v>
      </c>
      <c r="AS420">
        <f t="shared" si="145"/>
        <v>0</v>
      </c>
      <c r="AT420">
        <f t="shared" si="135"/>
        <v>1.0423214045766566E-2</v>
      </c>
      <c r="AU420">
        <f t="shared" si="146"/>
        <v>6.9530462948075397E-2</v>
      </c>
      <c r="AV420">
        <f t="shared" si="136"/>
        <v>2791.6480873652272</v>
      </c>
      <c r="AY420">
        <f>AY411</f>
        <v>2E-3</v>
      </c>
      <c r="BB420">
        <f t="shared" si="147"/>
        <v>0.24</v>
      </c>
    </row>
    <row r="421" spans="1:54" x14ac:dyDescent="0.2">
      <c r="H421" t="s">
        <v>163</v>
      </c>
      <c r="J421">
        <v>91.25</v>
      </c>
      <c r="K421">
        <v>412</v>
      </c>
      <c r="M421">
        <v>306</v>
      </c>
      <c r="O421">
        <v>0.45</v>
      </c>
      <c r="P421">
        <v>550</v>
      </c>
      <c r="Q421">
        <f t="shared" si="137"/>
        <v>0.55636363636363639</v>
      </c>
      <c r="S421">
        <v>0</v>
      </c>
      <c r="T421">
        <v>0</v>
      </c>
      <c r="U421">
        <v>0</v>
      </c>
      <c r="V421">
        <v>0</v>
      </c>
      <c r="W421">
        <f>S421*B413+T421*B414</f>
        <v>0</v>
      </c>
      <c r="X421">
        <f t="shared" si="132"/>
        <v>1</v>
      </c>
      <c r="Y421">
        <f t="shared" si="133"/>
        <v>6.1134362493249608</v>
      </c>
      <c r="Z421">
        <f t="shared" si="138"/>
        <v>1.1253313999034602</v>
      </c>
      <c r="AC421">
        <v>7.4999999999999997E-2</v>
      </c>
      <c r="AE421">
        <v>0.56999999999999995</v>
      </c>
      <c r="AF421">
        <f t="shared" si="134"/>
        <v>2.6434498342081136</v>
      </c>
      <c r="AG421">
        <f t="shared" si="139"/>
        <v>0.19</v>
      </c>
      <c r="AH421">
        <f t="shared" si="140"/>
        <v>0.6784</v>
      </c>
      <c r="AI421">
        <f>AI411</f>
        <v>1E-3</v>
      </c>
      <c r="AK421">
        <f>AK411</f>
        <v>0.8</v>
      </c>
      <c r="AL421">
        <f>AL411</f>
        <v>99.998999999999995</v>
      </c>
      <c r="AM421">
        <f>AM411</f>
        <v>4.7000000000000002E-3</v>
      </c>
      <c r="AN421">
        <f t="shared" si="141"/>
        <v>2.7258408786407127E-6</v>
      </c>
      <c r="AO421">
        <f t="shared" si="142"/>
        <v>1.6014155018862564E-3</v>
      </c>
      <c r="AP421">
        <f t="shared" si="143"/>
        <v>1.6041413427648971E-3</v>
      </c>
      <c r="AQ421">
        <f t="shared" si="144"/>
        <v>60.3076937812463</v>
      </c>
      <c r="AS421">
        <f t="shared" si="145"/>
        <v>0</v>
      </c>
      <c r="AT421">
        <f t="shared" si="135"/>
        <v>7.5080134719455096E-3</v>
      </c>
      <c r="AU421">
        <f t="shared" si="146"/>
        <v>6.4565554010496073E-2</v>
      </c>
      <c r="AV421">
        <f t="shared" si="136"/>
        <v>2427.3420030246002</v>
      </c>
      <c r="AY421">
        <f>AY411</f>
        <v>2E-3</v>
      </c>
      <c r="BB421">
        <f t="shared" si="147"/>
        <v>0.24</v>
      </c>
    </row>
    <row r="422" spans="1:54" x14ac:dyDescent="0.2">
      <c r="H422" t="s">
        <v>164</v>
      </c>
      <c r="J422">
        <v>91.25</v>
      </c>
      <c r="K422">
        <v>339</v>
      </c>
      <c r="M422">
        <v>338</v>
      </c>
      <c r="O422">
        <v>0.09</v>
      </c>
      <c r="P422">
        <v>550</v>
      </c>
      <c r="Q422">
        <f t="shared" si="137"/>
        <v>0.61454545454545451</v>
      </c>
      <c r="S422">
        <v>0</v>
      </c>
      <c r="T422">
        <v>0</v>
      </c>
      <c r="U422">
        <v>0</v>
      </c>
      <c r="V422">
        <v>0</v>
      </c>
      <c r="W422">
        <f>S422*B413+T422*B414</f>
        <v>0</v>
      </c>
      <c r="X422">
        <f t="shared" si="132"/>
        <v>1</v>
      </c>
      <c r="Y422">
        <f t="shared" si="133"/>
        <v>6.0065951382273601</v>
      </c>
      <c r="Z422">
        <f t="shared" si="138"/>
        <v>1.0235426687225613</v>
      </c>
      <c r="AC422">
        <v>5.2999999999999999E-2</v>
      </c>
      <c r="AE422">
        <v>0.54</v>
      </c>
      <c r="AF422">
        <f t="shared" si="134"/>
        <v>2.7630337635845854</v>
      </c>
      <c r="AG422">
        <f t="shared" si="139"/>
        <v>0.19</v>
      </c>
      <c r="AH422">
        <f t="shared" si="140"/>
        <v>0.6784</v>
      </c>
      <c r="AI422">
        <f>AI411</f>
        <v>1E-3</v>
      </c>
      <c r="AK422">
        <f>AK411</f>
        <v>0.8</v>
      </c>
      <c r="AL422">
        <f>AL411</f>
        <v>99.998999999999995</v>
      </c>
      <c r="AM422">
        <f>AM411</f>
        <v>4.7000000000000002E-3</v>
      </c>
      <c r="AN422">
        <f t="shared" si="141"/>
        <v>2.84915199992799E-6</v>
      </c>
      <c r="AO422">
        <f t="shared" si="142"/>
        <v>1.6738600611896943E-3</v>
      </c>
      <c r="AP422">
        <f t="shared" si="143"/>
        <v>1.6767092131896222E-3</v>
      </c>
      <c r="AQ422">
        <f t="shared" si="144"/>
        <v>51.866903623504477</v>
      </c>
      <c r="AS422">
        <f t="shared" si="145"/>
        <v>0</v>
      </c>
      <c r="AT422">
        <f t="shared" si="135"/>
        <v>1.3774455325755281E-3</v>
      </c>
      <c r="AU422">
        <f t="shared" si="146"/>
        <v>4.817108602236108E-2</v>
      </c>
      <c r="AV422">
        <f t="shared" si="136"/>
        <v>1490.112332244212</v>
      </c>
      <c r="AY422">
        <f>AY411</f>
        <v>2E-3</v>
      </c>
      <c r="BB422">
        <f t="shared" si="147"/>
        <v>0.24</v>
      </c>
    </row>
    <row r="423" spans="1:54" x14ac:dyDescent="0.2">
      <c r="G423" t="s">
        <v>179</v>
      </c>
      <c r="H423" t="s">
        <v>160</v>
      </c>
      <c r="J423">
        <v>91.25</v>
      </c>
      <c r="K423">
        <v>392</v>
      </c>
      <c r="M423">
        <v>415</v>
      </c>
      <c r="O423">
        <v>0.18</v>
      </c>
      <c r="P423">
        <v>550</v>
      </c>
      <c r="Q423">
        <f t="shared" si="137"/>
        <v>0.75454545454545452</v>
      </c>
      <c r="S423">
        <v>0.8</v>
      </c>
      <c r="T423">
        <v>0.05</v>
      </c>
      <c r="U423">
        <v>0</v>
      </c>
      <c r="V423">
        <v>0</v>
      </c>
      <c r="W423">
        <f>S423*B413+T423*B414</f>
        <v>5.0000000000000009</v>
      </c>
      <c r="X423">
        <f t="shared" si="132"/>
        <v>1.2449999999999999</v>
      </c>
      <c r="Y423">
        <f t="shared" si="133"/>
        <v>8.9288466035801228</v>
      </c>
      <c r="Z423">
        <f t="shared" si="138"/>
        <v>1.0437286025107726</v>
      </c>
      <c r="AC423">
        <v>5.8000000000000003E-2</v>
      </c>
      <c r="AE423">
        <v>0.55000000000000004</v>
      </c>
      <c r="AF423">
        <f t="shared" si="134"/>
        <v>4.0251240488939199</v>
      </c>
      <c r="AG423">
        <f t="shared" si="139"/>
        <v>0.19</v>
      </c>
      <c r="AH423">
        <f t="shared" si="140"/>
        <v>0.6784</v>
      </c>
      <c r="AI423">
        <f>AI411</f>
        <v>1E-3</v>
      </c>
      <c r="AK423">
        <f>AK411</f>
        <v>0.8</v>
      </c>
      <c r="AL423">
        <f>AL411</f>
        <v>99.998999999999995</v>
      </c>
      <c r="AM423">
        <f>AM411</f>
        <v>4.7000000000000002E-3</v>
      </c>
      <c r="AN423">
        <f t="shared" si="141"/>
        <v>4.1505791152498454E-6</v>
      </c>
      <c r="AO423">
        <f t="shared" si="142"/>
        <v>2.4384408455569817E-3</v>
      </c>
      <c r="AP423">
        <f t="shared" si="143"/>
        <v>2.4425914246722314E-3</v>
      </c>
      <c r="AQ423">
        <f t="shared" si="144"/>
        <v>87.37149526052572</v>
      </c>
      <c r="AS423">
        <f t="shared" si="145"/>
        <v>0</v>
      </c>
      <c r="AT423">
        <f t="shared" si="135"/>
        <v>2.740262368746944E-2</v>
      </c>
      <c r="AU423">
        <f t="shared" si="146"/>
        <v>5.3838811150740858E-2</v>
      </c>
      <c r="AV423">
        <f t="shared" si="136"/>
        <v>1925.8142748620005</v>
      </c>
      <c r="AY423">
        <f>AY411</f>
        <v>2E-3</v>
      </c>
      <c r="BB423">
        <f t="shared" si="147"/>
        <v>0.24</v>
      </c>
    </row>
    <row r="424" spans="1:54" x14ac:dyDescent="0.2">
      <c r="G424" t="s">
        <v>195</v>
      </c>
      <c r="H424" t="s">
        <v>162</v>
      </c>
      <c r="J424">
        <v>91.25</v>
      </c>
      <c r="K424">
        <v>490</v>
      </c>
      <c r="M424">
        <v>368</v>
      </c>
      <c r="O424">
        <v>0.38</v>
      </c>
      <c r="P424">
        <v>550</v>
      </c>
      <c r="Q424">
        <f t="shared" si="137"/>
        <v>0.66909090909090907</v>
      </c>
      <c r="S424">
        <v>0</v>
      </c>
      <c r="T424">
        <v>0.75</v>
      </c>
      <c r="U424">
        <v>0</v>
      </c>
      <c r="V424">
        <v>0</v>
      </c>
      <c r="W424">
        <f>S424*B413+T424*B414</f>
        <v>3</v>
      </c>
      <c r="X424">
        <f t="shared" si="132"/>
        <v>1.0750000000000002</v>
      </c>
      <c r="Y424">
        <f t="shared" si="133"/>
        <v>7.3979298727549905</v>
      </c>
      <c r="Z424">
        <f t="shared" si="138"/>
        <v>1.0979075057851067</v>
      </c>
      <c r="AC424">
        <v>9.1999999999999998E-2</v>
      </c>
      <c r="AE424">
        <v>0.61</v>
      </c>
      <c r="AF424">
        <f t="shared" si="134"/>
        <v>2.9266210576618743</v>
      </c>
      <c r="AG424">
        <f t="shared" si="139"/>
        <v>0.19</v>
      </c>
      <c r="AH424">
        <f t="shared" si="140"/>
        <v>0.6784</v>
      </c>
      <c r="AI424">
        <f>AI411</f>
        <v>1E-3</v>
      </c>
      <c r="AK424">
        <f>AK411</f>
        <v>0.8</v>
      </c>
      <c r="AL424">
        <f>AL411</f>
        <v>99.998999999999995</v>
      </c>
      <c r="AM424">
        <f>AM411</f>
        <v>4.7000000000000002E-3</v>
      </c>
      <c r="AN424">
        <f t="shared" si="141"/>
        <v>3.0178379827870792E-6</v>
      </c>
      <c r="AO424">
        <f t="shared" si="142"/>
        <v>1.7729620850892604E-3</v>
      </c>
      <c r="AP424">
        <f t="shared" si="143"/>
        <v>1.7759799230720474E-3</v>
      </c>
      <c r="AQ424">
        <f t="shared" si="144"/>
        <v>79.408502310358926</v>
      </c>
      <c r="AS424">
        <f t="shared" si="145"/>
        <v>0</v>
      </c>
      <c r="AT424">
        <f t="shared" si="135"/>
        <v>2.0441034929470331E-2</v>
      </c>
      <c r="AU424">
        <f t="shared" si="146"/>
        <v>8.697772994653051E-2</v>
      </c>
      <c r="AV424">
        <f t="shared" si="136"/>
        <v>3888.9917502342455</v>
      </c>
      <c r="AY424">
        <f>AY411</f>
        <v>2E-3</v>
      </c>
      <c r="BB424">
        <f t="shared" si="147"/>
        <v>0.24</v>
      </c>
    </row>
    <row r="425" spans="1:54" x14ac:dyDescent="0.2">
      <c r="H425" t="s">
        <v>163</v>
      </c>
      <c r="J425">
        <v>91.25</v>
      </c>
      <c r="K425">
        <v>480</v>
      </c>
      <c r="M425">
        <v>392</v>
      </c>
      <c r="O425">
        <v>0.35</v>
      </c>
      <c r="P425">
        <v>550</v>
      </c>
      <c r="Q425">
        <f t="shared" si="137"/>
        <v>0.71272727272727276</v>
      </c>
      <c r="S425">
        <v>0</v>
      </c>
      <c r="T425">
        <v>0</v>
      </c>
      <c r="U425">
        <v>0</v>
      </c>
      <c r="V425">
        <v>0</v>
      </c>
      <c r="W425">
        <f>S425*B413+T425*B414</f>
        <v>0</v>
      </c>
      <c r="X425">
        <f t="shared" si="132"/>
        <v>1</v>
      </c>
      <c r="Y425">
        <f t="shared" si="133"/>
        <v>7.1577844228929601</v>
      </c>
      <c r="Z425">
        <f t="shared" si="138"/>
        <v>1.0878070350374989</v>
      </c>
      <c r="AC425">
        <v>7.4999999999999997E-2</v>
      </c>
      <c r="AE425">
        <v>0.56999999999999995</v>
      </c>
      <c r="AF425">
        <f t="shared" si="134"/>
        <v>3.0950259844589167</v>
      </c>
      <c r="AG425">
        <f t="shared" si="139"/>
        <v>0.19</v>
      </c>
      <c r="AH425">
        <f t="shared" si="140"/>
        <v>0.6784</v>
      </c>
      <c r="AI425">
        <f>AI411</f>
        <v>1E-3</v>
      </c>
      <c r="AK425">
        <f>AK411</f>
        <v>0.8</v>
      </c>
      <c r="AL425">
        <f>AL411</f>
        <v>99.998999999999995</v>
      </c>
      <c r="AM425">
        <f>AM411</f>
        <v>4.7000000000000002E-3</v>
      </c>
      <c r="AN425">
        <f t="shared" si="141"/>
        <v>3.1914917543425323E-6</v>
      </c>
      <c r="AO425">
        <f t="shared" si="142"/>
        <v>1.8749826556621807E-3</v>
      </c>
      <c r="AP425">
        <f t="shared" si="143"/>
        <v>1.8781741474165232E-3</v>
      </c>
      <c r="AQ425">
        <f t="shared" si="144"/>
        <v>82.264027656843723</v>
      </c>
      <c r="AS425">
        <f t="shared" si="145"/>
        <v>0</v>
      </c>
      <c r="AT425">
        <f t="shared" si="135"/>
        <v>4.7172825575452562E-3</v>
      </c>
      <c r="AU425">
        <f t="shared" si="146"/>
        <v>7.9625611068589619E-2</v>
      </c>
      <c r="AV425">
        <f t="shared" si="136"/>
        <v>3487.6017648042257</v>
      </c>
      <c r="AY425">
        <f>AY411</f>
        <v>2E-3</v>
      </c>
      <c r="BB425">
        <f t="shared" si="147"/>
        <v>0.24</v>
      </c>
    </row>
    <row r="426" spans="1:54" x14ac:dyDescent="0.2">
      <c r="H426" t="s">
        <v>164</v>
      </c>
      <c r="J426">
        <v>91.25</v>
      </c>
      <c r="K426">
        <v>398</v>
      </c>
      <c r="M426">
        <v>432</v>
      </c>
      <c r="O426">
        <v>0.12</v>
      </c>
      <c r="P426">
        <v>550</v>
      </c>
      <c r="Q426">
        <f t="shared" si="137"/>
        <v>0.78545454545454541</v>
      </c>
      <c r="S426">
        <v>0.1</v>
      </c>
      <c r="T426">
        <v>0</v>
      </c>
      <c r="U426">
        <v>0</v>
      </c>
      <c r="V426">
        <v>0</v>
      </c>
      <c r="W426">
        <f>S426*B413+T426*B414</f>
        <v>0.60000000000000009</v>
      </c>
      <c r="X426">
        <f t="shared" si="132"/>
        <v>1.03</v>
      </c>
      <c r="Y426">
        <f t="shared" si="133"/>
        <v>7.5023473154300913</v>
      </c>
      <c r="Z426">
        <f t="shared" si="138"/>
        <v>1.0286115356574279</v>
      </c>
      <c r="AC426">
        <v>5.2999999999999999E-2</v>
      </c>
      <c r="AE426">
        <v>0.54</v>
      </c>
      <c r="AF426">
        <f t="shared" si="134"/>
        <v>3.4510797650978415</v>
      </c>
      <c r="AG426">
        <f t="shared" si="139"/>
        <v>0.19</v>
      </c>
      <c r="AH426">
        <f t="shared" si="140"/>
        <v>0.6784</v>
      </c>
      <c r="AI426">
        <f>AI411</f>
        <v>1E-3</v>
      </c>
      <c r="AK426">
        <f>AK411</f>
        <v>0.8</v>
      </c>
      <c r="AL426">
        <f>AL411</f>
        <v>99.998999999999995</v>
      </c>
      <c r="AM426">
        <f>AM411</f>
        <v>4.7000000000000002E-3</v>
      </c>
      <c r="AN426">
        <f t="shared" si="141"/>
        <v>3.558643019216411E-6</v>
      </c>
      <c r="AO426">
        <f t="shared" si="142"/>
        <v>2.0906818667619032E-3</v>
      </c>
      <c r="AP426">
        <f t="shared" si="143"/>
        <v>2.0942405097811195E-3</v>
      </c>
      <c r="AQ426">
        <f t="shared" si="144"/>
        <v>76.057579713975812</v>
      </c>
      <c r="AS426">
        <f t="shared" si="145"/>
        <v>0</v>
      </c>
      <c r="AT426">
        <f t="shared" si="135"/>
        <v>4.5163270938851433E-3</v>
      </c>
      <c r="AU426">
        <f t="shared" si="146"/>
        <v>5.7435849151748632E-2</v>
      </c>
      <c r="AV426">
        <f t="shared" si="136"/>
        <v>2085.9264515686309</v>
      </c>
      <c r="AY426">
        <f>AY411</f>
        <v>2E-3</v>
      </c>
      <c r="BB426">
        <f t="shared" si="147"/>
        <v>0.24</v>
      </c>
    </row>
    <row r="427" spans="1:54" x14ac:dyDescent="0.2">
      <c r="G427" t="s">
        <v>176</v>
      </c>
      <c r="H427" t="s">
        <v>160</v>
      </c>
      <c r="J427">
        <v>91.25</v>
      </c>
      <c r="K427">
        <v>100</v>
      </c>
      <c r="M427">
        <v>208</v>
      </c>
      <c r="O427">
        <v>0.25</v>
      </c>
      <c r="P427">
        <v>550</v>
      </c>
      <c r="Q427">
        <f t="shared" si="137"/>
        <v>0.37818181818181817</v>
      </c>
      <c r="S427">
        <v>0</v>
      </c>
      <c r="T427">
        <v>0</v>
      </c>
      <c r="U427">
        <f>25/K427</f>
        <v>0.25</v>
      </c>
      <c r="V427">
        <f>5/K427</f>
        <v>0.05</v>
      </c>
      <c r="W427">
        <f>S427*B413+T427*B414</f>
        <v>0</v>
      </c>
      <c r="X427">
        <f t="shared" si="132"/>
        <v>1</v>
      </c>
      <c r="Y427">
        <f t="shared" si="133"/>
        <v>4.3914706245889592</v>
      </c>
      <c r="Z427">
        <f t="shared" si="138"/>
        <v>1.0796173270953422</v>
      </c>
      <c r="AC427">
        <v>5.8000000000000003E-2</v>
      </c>
      <c r="AE427">
        <v>0.55000000000000004</v>
      </c>
      <c r="AF427">
        <f t="shared" si="134"/>
        <v>1.9796749575647028</v>
      </c>
      <c r="AG427">
        <f t="shared" si="139"/>
        <v>0.19</v>
      </c>
      <c r="AH427">
        <f t="shared" si="140"/>
        <v>0.6784</v>
      </c>
      <c r="AI427">
        <f>AI411</f>
        <v>1E-3</v>
      </c>
      <c r="AK427">
        <f>AK411</f>
        <v>0.8</v>
      </c>
      <c r="AL427">
        <f>AL411</f>
        <v>99.998999999999995</v>
      </c>
      <c r="AM427">
        <f>AM411</f>
        <v>4.7000000000000002E-3</v>
      </c>
      <c r="AN427">
        <f t="shared" si="141"/>
        <v>2.04137746664208E-6</v>
      </c>
      <c r="AO427">
        <f t="shared" si="142"/>
        <v>1.1992972685596053E-3</v>
      </c>
      <c r="AP427">
        <f t="shared" si="143"/>
        <v>1.2013386460262474E-3</v>
      </c>
      <c r="AQ427">
        <f t="shared" si="144"/>
        <v>10.962215144989507</v>
      </c>
      <c r="AS427">
        <f t="shared" si="145"/>
        <v>1.7</v>
      </c>
      <c r="AT427">
        <f t="shared" si="135"/>
        <v>5.538306018324661E-3</v>
      </c>
      <c r="AU427">
        <f t="shared" si="146"/>
        <v>4.2777224579969117E-2</v>
      </c>
      <c r="AV427">
        <f t="shared" si="136"/>
        <v>390.34217429221815</v>
      </c>
      <c r="AY427">
        <f>AY411</f>
        <v>2E-3</v>
      </c>
      <c r="BB427">
        <f t="shared" si="147"/>
        <v>0.24</v>
      </c>
    </row>
    <row r="428" spans="1:54" x14ac:dyDescent="0.2">
      <c r="G428">
        <v>3</v>
      </c>
      <c r="H428" t="s">
        <v>162</v>
      </c>
      <c r="J428">
        <v>91.25</v>
      </c>
      <c r="K428">
        <v>216</v>
      </c>
      <c r="M428">
        <v>112</v>
      </c>
      <c r="O428">
        <v>0.62</v>
      </c>
      <c r="P428">
        <v>550</v>
      </c>
      <c r="Q428">
        <f t="shared" si="137"/>
        <v>0.20363636363636364</v>
      </c>
      <c r="S428">
        <v>0</v>
      </c>
      <c r="T428">
        <v>0</v>
      </c>
      <c r="U428">
        <f>40/K428</f>
        <v>0.18518518518518517</v>
      </c>
      <c r="V428">
        <f>25/K428</f>
        <v>0.11574074074074074</v>
      </c>
      <c r="W428">
        <f>S428*B413+T428*B414</f>
        <v>0</v>
      </c>
      <c r="X428">
        <f t="shared" si="132"/>
        <v>1</v>
      </c>
      <c r="Y428">
        <f t="shared" si="133"/>
        <v>3.4453507346233607</v>
      </c>
      <c r="Z428">
        <f t="shared" si="138"/>
        <v>1.2490058121201351</v>
      </c>
      <c r="AC428">
        <v>9.1999999999999998E-2</v>
      </c>
      <c r="AE428">
        <v>0.61</v>
      </c>
      <c r="AF428">
        <f t="shared" si="134"/>
        <v>1.3629807506170015</v>
      </c>
      <c r="AG428">
        <f t="shared" si="139"/>
        <v>0.19</v>
      </c>
      <c r="AH428">
        <f t="shared" si="140"/>
        <v>0.6784</v>
      </c>
      <c r="AI428">
        <f>AI411</f>
        <v>1E-3</v>
      </c>
      <c r="AK428">
        <f>AK411</f>
        <v>0.8</v>
      </c>
      <c r="AL428">
        <f>AL411</f>
        <v>99.998999999999995</v>
      </c>
      <c r="AM428">
        <f>AM411</f>
        <v>4.7000000000000002E-3</v>
      </c>
      <c r="AN428">
        <f t="shared" si="141"/>
        <v>1.4054621346522321E-6</v>
      </c>
      <c r="AO428">
        <f t="shared" si="142"/>
        <v>8.2570074701814533E-4</v>
      </c>
      <c r="AP428">
        <f t="shared" si="143"/>
        <v>8.271062091527976E-4</v>
      </c>
      <c r="AQ428">
        <f t="shared" si="144"/>
        <v>16.302263382401641</v>
      </c>
      <c r="AS428">
        <f t="shared" si="145"/>
        <v>1.5740740740740742</v>
      </c>
      <c r="AT428">
        <f t="shared" si="135"/>
        <v>1.675978560583288E-2</v>
      </c>
      <c r="AU428">
        <f t="shared" si="146"/>
        <v>4.1244884382075228E-2</v>
      </c>
      <c r="AV428">
        <f t="shared" si="136"/>
        <v>812.93667117070277</v>
      </c>
      <c r="AY428">
        <f>AY411</f>
        <v>2E-3</v>
      </c>
      <c r="BB428">
        <f t="shared" si="147"/>
        <v>0.24</v>
      </c>
    </row>
    <row r="429" spans="1:54" x14ac:dyDescent="0.2">
      <c r="H429" t="s">
        <v>163</v>
      </c>
      <c r="J429">
        <v>91.25</v>
      </c>
      <c r="K429">
        <v>209</v>
      </c>
      <c r="M429">
        <v>169</v>
      </c>
      <c r="O429">
        <v>0.54</v>
      </c>
      <c r="P429">
        <v>550</v>
      </c>
      <c r="Q429">
        <f t="shared" si="137"/>
        <v>0.30727272727272725</v>
      </c>
      <c r="S429">
        <v>0</v>
      </c>
      <c r="T429">
        <v>0</v>
      </c>
      <c r="U429">
        <v>0</v>
      </c>
      <c r="V429">
        <f>40/K429</f>
        <v>0.19138755980861244</v>
      </c>
      <c r="W429">
        <f>S429*B413+T429*B414</f>
        <v>0</v>
      </c>
      <c r="X429">
        <f t="shared" si="132"/>
        <v>1</v>
      </c>
      <c r="Y429">
        <f t="shared" si="133"/>
        <v>4.1947193446819586</v>
      </c>
      <c r="Z429">
        <f t="shared" si="138"/>
        <v>1.1893538575641567</v>
      </c>
      <c r="AC429">
        <v>7.4999999999999997E-2</v>
      </c>
      <c r="AE429">
        <v>0.56999999999999995</v>
      </c>
      <c r="AF429">
        <f t="shared" si="134"/>
        <v>1.813796644640479</v>
      </c>
      <c r="AG429">
        <f t="shared" si="139"/>
        <v>0.19</v>
      </c>
      <c r="AH429">
        <f t="shared" si="140"/>
        <v>0.6784</v>
      </c>
      <c r="AI429">
        <f>AI411</f>
        <v>1E-3</v>
      </c>
      <c r="AK429">
        <f>AK411</f>
        <v>0.8</v>
      </c>
      <c r="AL429">
        <f>AL411</f>
        <v>99.998999999999995</v>
      </c>
      <c r="AM429">
        <f>AM411</f>
        <v>4.7000000000000002E-3</v>
      </c>
      <c r="AN429">
        <f t="shared" si="141"/>
        <v>1.8703290584606337E-6</v>
      </c>
      <c r="AO429">
        <f t="shared" si="142"/>
        <v>1.0988073336624037E-3</v>
      </c>
      <c r="AP429">
        <f t="shared" si="143"/>
        <v>1.1006776627208643E-3</v>
      </c>
      <c r="AQ429">
        <f t="shared" si="144"/>
        <v>20.991298875165285</v>
      </c>
      <c r="AS429">
        <f t="shared" si="145"/>
        <v>0.76555023923444976</v>
      </c>
      <c r="AT429">
        <f t="shared" si="135"/>
        <v>1.3124068666461319E-2</v>
      </c>
      <c r="AU429">
        <f t="shared" si="146"/>
        <v>4.0227363754118971E-2</v>
      </c>
      <c r="AV429">
        <f t="shared" si="136"/>
        <v>767.18611099574139</v>
      </c>
      <c r="AY429">
        <f>AY411</f>
        <v>2E-3</v>
      </c>
      <c r="BB429">
        <f t="shared" si="147"/>
        <v>0.24</v>
      </c>
    </row>
    <row r="430" spans="1:54" x14ac:dyDescent="0.2">
      <c r="H430" t="s">
        <v>164</v>
      </c>
      <c r="J430">
        <v>91.25</v>
      </c>
      <c r="K430">
        <v>202</v>
      </c>
      <c r="M430">
        <v>211</v>
      </c>
      <c r="O430">
        <v>0.22</v>
      </c>
      <c r="P430">
        <v>550</v>
      </c>
      <c r="Q430">
        <f t="shared" si="137"/>
        <v>0.38363636363636361</v>
      </c>
      <c r="S430">
        <v>0</v>
      </c>
      <c r="T430">
        <v>0</v>
      </c>
      <c r="U430">
        <f>5/K430</f>
        <v>2.4752475247524754E-2</v>
      </c>
      <c r="V430">
        <v>0</v>
      </c>
      <c r="W430">
        <f>S430*B413+T430*B414</f>
        <v>0</v>
      </c>
      <c r="X430">
        <f t="shared" si="132"/>
        <v>1</v>
      </c>
      <c r="Y430">
        <f t="shared" si="133"/>
        <v>4.3952510324131611</v>
      </c>
      <c r="Z430">
        <f t="shared" si="138"/>
        <v>1.0695392948790317</v>
      </c>
      <c r="AC430">
        <v>5.2999999999999999E-2</v>
      </c>
      <c r="AE430">
        <v>0.54</v>
      </c>
      <c r="AF430">
        <f t="shared" si="134"/>
        <v>2.0218154749100541</v>
      </c>
      <c r="AG430">
        <f t="shared" si="139"/>
        <v>0.19</v>
      </c>
      <c r="AH430">
        <f t="shared" si="140"/>
        <v>0.6784</v>
      </c>
      <c r="AI430">
        <f>AI411</f>
        <v>1E-3</v>
      </c>
      <c r="AK430">
        <f>AK411</f>
        <v>0.8</v>
      </c>
      <c r="AL430">
        <f>AL411</f>
        <v>99.998999999999995</v>
      </c>
      <c r="AM430">
        <f>AM411</f>
        <v>4.7000000000000002E-3</v>
      </c>
      <c r="AN430">
        <f t="shared" si="141"/>
        <v>2.084831419632051E-6</v>
      </c>
      <c r="AO430">
        <f t="shared" si="142"/>
        <v>1.2248262106492394E-3</v>
      </c>
      <c r="AP430">
        <f t="shared" si="143"/>
        <v>1.2269110420688714E-3</v>
      </c>
      <c r="AQ430">
        <f t="shared" si="144"/>
        <v>22.615037782934472</v>
      </c>
      <c r="AS430">
        <f t="shared" si="145"/>
        <v>0.14851485148514854</v>
      </c>
      <c r="AT430">
        <f t="shared" si="135"/>
        <v>4.8361621379398381E-3</v>
      </c>
      <c r="AU430">
        <f>MAX((Y430*AC430/6.25)+(0.032*AS430/6.38)-AT430-((1.1*(10^-4)*(M430^0.75))/6.25), 0)</f>
        <v>3.2206097335214824E-2</v>
      </c>
      <c r="AV430">
        <f t="shared" si="136"/>
        <v>593.63888913134724</v>
      </c>
      <c r="AY430">
        <f>AY411</f>
        <v>2E-3</v>
      </c>
      <c r="BB430">
        <f t="shared" si="147"/>
        <v>0.24</v>
      </c>
    </row>
    <row r="431" spans="1:54" x14ac:dyDescent="0.2">
      <c r="G431" t="s">
        <v>182</v>
      </c>
      <c r="H431" t="s">
        <v>160</v>
      </c>
      <c r="J431">
        <v>91.25</v>
      </c>
      <c r="K431">
        <v>378</v>
      </c>
      <c r="M431">
        <v>467</v>
      </c>
      <c r="O431">
        <v>-0.28000000000000003</v>
      </c>
      <c r="P431">
        <v>550</v>
      </c>
      <c r="Q431">
        <f t="shared" si="137"/>
        <v>0.84909090909090912</v>
      </c>
      <c r="S431">
        <v>0.7</v>
      </c>
      <c r="T431">
        <v>0.03</v>
      </c>
      <c r="U431">
        <v>0</v>
      </c>
      <c r="V431">
        <v>0</v>
      </c>
      <c r="W431">
        <f>S431*B413+T431*B414</f>
        <v>4.3199999999999994</v>
      </c>
      <c r="X431">
        <f t="shared" si="132"/>
        <v>1.2130000000000001</v>
      </c>
      <c r="Y431">
        <f t="shared" si="133"/>
        <v>8.5179620577446951</v>
      </c>
      <c r="Z431">
        <f t="shared" si="138"/>
        <v>0.93661449140145581</v>
      </c>
      <c r="AC431">
        <v>5.8000000000000003E-2</v>
      </c>
      <c r="AE431">
        <v>0.55000000000000004</v>
      </c>
      <c r="AF431">
        <f t="shared" si="134"/>
        <v>3.8398972956313084</v>
      </c>
      <c r="AG431">
        <f t="shared" si="139"/>
        <v>0.19</v>
      </c>
      <c r="AH431">
        <f t="shared" si="140"/>
        <v>0.6784</v>
      </c>
      <c r="AI431">
        <f>AI411</f>
        <v>1E-3</v>
      </c>
      <c r="AK431">
        <f>AK411</f>
        <v>0.8</v>
      </c>
      <c r="AL431">
        <f>AL411</f>
        <v>99.998999999999995</v>
      </c>
      <c r="AM431">
        <f>AM411</f>
        <v>4.7000000000000002E-3</v>
      </c>
      <c r="AN431">
        <f t="shared" si="141"/>
        <v>3.9595792145415458E-6</v>
      </c>
      <c r="AO431">
        <f t="shared" si="142"/>
        <v>2.3262295260152725E-3</v>
      </c>
      <c r="AP431">
        <f t="shared" si="143"/>
        <v>2.3301891052298139E-3</v>
      </c>
      <c r="AQ431">
        <f t="shared" si="144"/>
        <v>80.374047712139358</v>
      </c>
      <c r="AS431">
        <f t="shared" si="145"/>
        <v>0</v>
      </c>
      <c r="AT431">
        <f t="shared" si="135"/>
        <v>1.8312733233640757E-2</v>
      </c>
      <c r="AU431">
        <f t="shared" si="146"/>
        <v>5.896588110819042E-2</v>
      </c>
      <c r="AV431">
        <f t="shared" si="136"/>
        <v>2033.8806541242579</v>
      </c>
      <c r="AY431">
        <f>AY411</f>
        <v>2E-3</v>
      </c>
      <c r="BB431">
        <f t="shared" si="147"/>
        <v>0.24</v>
      </c>
    </row>
    <row r="432" spans="1:54" x14ac:dyDescent="0.2">
      <c r="G432" t="s">
        <v>196</v>
      </c>
      <c r="H432" t="s">
        <v>162</v>
      </c>
      <c r="J432">
        <v>91.25</v>
      </c>
      <c r="K432">
        <v>485</v>
      </c>
      <c r="M432">
        <v>465</v>
      </c>
      <c r="O432">
        <v>0.27</v>
      </c>
      <c r="P432">
        <v>550</v>
      </c>
      <c r="Q432">
        <f t="shared" si="137"/>
        <v>0.84545454545454546</v>
      </c>
      <c r="S432">
        <v>0.05</v>
      </c>
      <c r="T432">
        <v>0.72</v>
      </c>
      <c r="U432">
        <v>0</v>
      </c>
      <c r="V432">
        <v>0</v>
      </c>
      <c r="W432">
        <f>S432*B413+T432*B414</f>
        <v>3.1799999999999997</v>
      </c>
      <c r="X432">
        <f t="shared" si="132"/>
        <v>1.087</v>
      </c>
      <c r="Y432">
        <f t="shared" si="133"/>
        <v>8.6379147106215743</v>
      </c>
      <c r="Z432">
        <f t="shared" si="138"/>
        <v>1.0631862513303942</v>
      </c>
      <c r="AC432">
        <v>9.1999999999999998E-2</v>
      </c>
      <c r="AE432">
        <v>0.61</v>
      </c>
      <c r="AF432">
        <f t="shared" si="134"/>
        <v>3.4171590595218952</v>
      </c>
      <c r="AG432">
        <f t="shared" si="139"/>
        <v>0.19</v>
      </c>
      <c r="AH432">
        <f t="shared" si="140"/>
        <v>0.6784</v>
      </c>
      <c r="AI432">
        <f>AI411</f>
        <v>1E-3</v>
      </c>
      <c r="AK432">
        <f>AK411</f>
        <v>0.8</v>
      </c>
      <c r="AL432">
        <f>AL411</f>
        <v>99.998999999999995</v>
      </c>
      <c r="AM432">
        <f>AM411</f>
        <v>4.7000000000000002E-3</v>
      </c>
      <c r="AN432">
        <f t="shared" si="141"/>
        <v>3.5236650730890741E-6</v>
      </c>
      <c r="AO432">
        <f t="shared" si="142"/>
        <v>2.070132528907526E-3</v>
      </c>
      <c r="AP432">
        <f t="shared" si="143"/>
        <v>2.0736561939806151E-3</v>
      </c>
      <c r="AQ432">
        <f t="shared" si="144"/>
        <v>91.772246934854593</v>
      </c>
      <c r="AS432">
        <f t="shared" si="145"/>
        <v>0</v>
      </c>
      <c r="AT432">
        <f t="shared" si="135"/>
        <v>1.9190109403100449E-2</v>
      </c>
      <c r="AU432">
        <f t="shared" si="146"/>
        <v>0.10619760366592886</v>
      </c>
      <c r="AV432">
        <f t="shared" si="136"/>
        <v>4699.9076972402636</v>
      </c>
      <c r="AY432">
        <f>AY411</f>
        <v>2E-3</v>
      </c>
      <c r="BB432">
        <f t="shared" si="147"/>
        <v>0.24</v>
      </c>
    </row>
    <row r="433" spans="7:54" x14ac:dyDescent="0.2">
      <c r="H433" t="s">
        <v>163</v>
      </c>
      <c r="J433">
        <v>91.25</v>
      </c>
      <c r="K433">
        <v>478</v>
      </c>
      <c r="M433">
        <v>464</v>
      </c>
      <c r="O433">
        <v>0.15</v>
      </c>
      <c r="P433">
        <v>550</v>
      </c>
      <c r="Q433">
        <f t="shared" si="137"/>
        <v>0.84363636363636363</v>
      </c>
      <c r="S433">
        <v>0</v>
      </c>
      <c r="T433">
        <v>0.02</v>
      </c>
      <c r="U433">
        <v>0</v>
      </c>
      <c r="V433">
        <v>0</v>
      </c>
      <c r="W433">
        <f>S433*B413+T433*B414</f>
        <v>0.08</v>
      </c>
      <c r="X433">
        <f t="shared" si="132"/>
        <v>1.002</v>
      </c>
      <c r="Y433">
        <f t="shared" si="133"/>
        <v>7.7385116759218242</v>
      </c>
      <c r="Z433">
        <f t="shared" si="138"/>
        <v>1.0348918615745921</v>
      </c>
      <c r="AC433">
        <v>7.4999999999999997E-2</v>
      </c>
      <c r="AE433">
        <v>0.56999999999999995</v>
      </c>
      <c r="AF433">
        <f t="shared" si="134"/>
        <v>3.3461324486685973</v>
      </c>
      <c r="AG433">
        <f t="shared" si="139"/>
        <v>0.19</v>
      </c>
      <c r="AH433">
        <f t="shared" si="140"/>
        <v>0.6784</v>
      </c>
      <c r="AI433">
        <f>AI411</f>
        <v>1E-3</v>
      </c>
      <c r="AK433">
        <f>AK411</f>
        <v>0.8</v>
      </c>
      <c r="AL433">
        <f>AL411</f>
        <v>99.998999999999995</v>
      </c>
      <c r="AM433">
        <f>AM411</f>
        <v>4.7000000000000002E-3</v>
      </c>
      <c r="AN433">
        <f t="shared" si="141"/>
        <v>3.4504247048287009E-6</v>
      </c>
      <c r="AO433">
        <f t="shared" si="142"/>
        <v>2.0271042428417207E-3</v>
      </c>
      <c r="AP433">
        <f t="shared" si="143"/>
        <v>2.0305546675465492E-3</v>
      </c>
      <c r="AQ433">
        <f t="shared" si="144"/>
        <v>88.567718211711608</v>
      </c>
      <c r="AS433">
        <f t="shared" si="145"/>
        <v>0</v>
      </c>
      <c r="AT433">
        <f t="shared" si="135"/>
        <v>2.2038850556722151E-3</v>
      </c>
      <c r="AU433">
        <f t="shared" si="146"/>
        <v>8.8898706915775061E-2</v>
      </c>
      <c r="AV433">
        <f t="shared" si="136"/>
        <v>3877.5393488988184</v>
      </c>
      <c r="AY433">
        <f>AY411</f>
        <v>2E-3</v>
      </c>
      <c r="BB433">
        <f t="shared" si="147"/>
        <v>0.24</v>
      </c>
    </row>
    <row r="434" spans="7:54" x14ac:dyDescent="0.2">
      <c r="H434" t="s">
        <v>164</v>
      </c>
      <c r="J434">
        <v>91.25</v>
      </c>
      <c r="K434">
        <v>291</v>
      </c>
      <c r="M434">
        <v>492</v>
      </c>
      <c r="O434">
        <v>0.02</v>
      </c>
      <c r="P434">
        <v>550</v>
      </c>
      <c r="Q434">
        <f t="shared" si="137"/>
        <v>0.89454545454545453</v>
      </c>
      <c r="S434">
        <v>0.02</v>
      </c>
      <c r="T434">
        <v>0</v>
      </c>
      <c r="U434">
        <v>0</v>
      </c>
      <c r="V434">
        <v>0</v>
      </c>
      <c r="W434">
        <f>S434*B413+T434*B414</f>
        <v>0.12</v>
      </c>
      <c r="X434">
        <f t="shared" si="132"/>
        <v>1.006</v>
      </c>
      <c r="Y434">
        <f t="shared" si="133"/>
        <v>7.8623481329079885</v>
      </c>
      <c r="Z434">
        <f t="shared" si="138"/>
        <v>1.0045223417356755</v>
      </c>
      <c r="AC434">
        <v>5.2999999999999999E-2</v>
      </c>
      <c r="AE434">
        <v>0.54</v>
      </c>
      <c r="AF434">
        <f t="shared" si="134"/>
        <v>3.616680141137675</v>
      </c>
      <c r="AG434">
        <f t="shared" si="139"/>
        <v>0.19</v>
      </c>
      <c r="AH434">
        <f t="shared" si="140"/>
        <v>0.6784</v>
      </c>
      <c r="AI434">
        <f>AI411</f>
        <v>1E-3</v>
      </c>
      <c r="AK434">
        <f>AK411</f>
        <v>0.8</v>
      </c>
      <c r="AL434">
        <f>AL411</f>
        <v>99.998999999999995</v>
      </c>
      <c r="AM434">
        <f>AM411</f>
        <v>4.7000000000000002E-3</v>
      </c>
      <c r="AN434">
        <f t="shared" si="141"/>
        <v>3.7294048277766543E-6</v>
      </c>
      <c r="AO434">
        <f t="shared" si="142"/>
        <v>2.1910034260654208E-3</v>
      </c>
      <c r="AP434">
        <f t="shared" si="143"/>
        <v>2.1947328308931976E-3</v>
      </c>
      <c r="AQ434">
        <f t="shared" si="144"/>
        <v>58.278386908330248</v>
      </c>
      <c r="AS434">
        <f t="shared" si="145"/>
        <v>0</v>
      </c>
      <c r="AT434">
        <f t="shared" si="135"/>
        <v>8.3516151853821991E-4</v>
      </c>
      <c r="AU434">
        <f t="shared" si="146"/>
        <v>6.3998953869775915E-2</v>
      </c>
      <c r="AV434">
        <f t="shared" si="136"/>
        <v>1699.4122213195621</v>
      </c>
      <c r="AY434">
        <f>AY411</f>
        <v>2E-3</v>
      </c>
      <c r="BB434">
        <f t="shared" si="147"/>
        <v>0.24</v>
      </c>
    </row>
    <row r="435" spans="7:54" x14ac:dyDescent="0.2">
      <c r="G435" t="s">
        <v>187</v>
      </c>
      <c r="H435" t="s">
        <v>160</v>
      </c>
      <c r="J435">
        <v>91.25</v>
      </c>
      <c r="K435">
        <v>77</v>
      </c>
      <c r="M435">
        <v>371</v>
      </c>
      <c r="O435">
        <v>0.24</v>
      </c>
      <c r="P435">
        <v>660</v>
      </c>
      <c r="Q435">
        <f t="shared" si="137"/>
        <v>0.56212121212121213</v>
      </c>
      <c r="S435">
        <v>0</v>
      </c>
      <c r="T435">
        <v>0</v>
      </c>
      <c r="U435">
        <v>0</v>
      </c>
      <c r="V435">
        <v>0</v>
      </c>
      <c r="W435">
        <f>S435*B413+T435*B414</f>
        <v>0</v>
      </c>
      <c r="X435">
        <f t="shared" si="132"/>
        <v>1</v>
      </c>
      <c r="Y435">
        <f t="shared" si="133"/>
        <v>6.6929487769875617</v>
      </c>
      <c r="Z435">
        <f>Y435 / ((1.185 + 0.00454 * M435 - 0.0000026 * M435 ^ 2) ^ 2 * X435)</f>
        <v>1.0611098250108792</v>
      </c>
      <c r="AC435">
        <v>5.8000000000000003E-2</v>
      </c>
      <c r="AE435">
        <v>0.55000000000000004</v>
      </c>
      <c r="AF435">
        <f t="shared" si="134"/>
        <v>3.0171813086659927</v>
      </c>
      <c r="AG435">
        <f t="shared" si="139"/>
        <v>0.19</v>
      </c>
      <c r="AH435">
        <f t="shared" si="140"/>
        <v>0.6784</v>
      </c>
      <c r="AI435">
        <f>AI411</f>
        <v>1E-3</v>
      </c>
      <c r="AK435">
        <f>AK411</f>
        <v>0.8</v>
      </c>
      <c r="AL435">
        <f>AL411</f>
        <v>99.998999999999995</v>
      </c>
      <c r="AM435">
        <f>AM411</f>
        <v>4.7000000000000002E-3</v>
      </c>
      <c r="AN435">
        <f t="shared" si="141"/>
        <v>3.1112208156944944E-6</v>
      </c>
      <c r="AO435">
        <f t="shared" si="142"/>
        <v>1.8278239507982235E-3</v>
      </c>
      <c r="AP435">
        <f t="shared" si="143"/>
        <v>1.8309351716139181E-3</v>
      </c>
      <c r="AQ435">
        <f t="shared" si="144"/>
        <v>12.864608249552292</v>
      </c>
      <c r="AS435">
        <f t="shared" si="145"/>
        <v>0</v>
      </c>
      <c r="AT435">
        <f t="shared" si="135"/>
        <v>3.9732621858216974E-3</v>
      </c>
      <c r="AU435">
        <f t="shared" si="146"/>
        <v>5.6649507446896029E-2</v>
      </c>
      <c r="AV435">
        <f t="shared" si="136"/>
        <v>398.03360169875327</v>
      </c>
      <c r="AY435">
        <f>AY411</f>
        <v>2E-3</v>
      </c>
      <c r="BB435">
        <f t="shared" si="147"/>
        <v>0.24</v>
      </c>
    </row>
    <row r="436" spans="7:54" x14ac:dyDescent="0.2">
      <c r="G436" t="s">
        <v>197</v>
      </c>
      <c r="H436" t="s">
        <v>162</v>
      </c>
      <c r="J436">
        <v>91.25</v>
      </c>
      <c r="K436">
        <v>169</v>
      </c>
      <c r="M436">
        <v>280</v>
      </c>
      <c r="O436">
        <v>0.64</v>
      </c>
      <c r="P436">
        <v>660</v>
      </c>
      <c r="Q436">
        <f t="shared" si="137"/>
        <v>0.42424242424242425</v>
      </c>
      <c r="S436">
        <v>0</v>
      </c>
      <c r="T436">
        <v>0</v>
      </c>
      <c r="U436">
        <v>0</v>
      </c>
      <c r="V436">
        <v>0</v>
      </c>
      <c r="W436">
        <f>S436*B413+T436*B414</f>
        <v>0</v>
      </c>
      <c r="X436">
        <f t="shared" si="132"/>
        <v>1</v>
      </c>
      <c r="Y436">
        <f t="shared" si="133"/>
        <v>6.0219196816</v>
      </c>
      <c r="Z436">
        <f t="shared" si="138"/>
        <v>1.1870235812189467</v>
      </c>
      <c r="AC436">
        <v>9.1999999999999998E-2</v>
      </c>
      <c r="AE436">
        <v>0.61</v>
      </c>
      <c r="AF436">
        <f t="shared" si="134"/>
        <v>2.3822714260409601</v>
      </c>
      <c r="AG436">
        <f t="shared" si="139"/>
        <v>0.19</v>
      </c>
      <c r="AH436">
        <f t="shared" si="140"/>
        <v>0.6784</v>
      </c>
      <c r="AI436">
        <f>AI411</f>
        <v>1E-3</v>
      </c>
      <c r="AK436">
        <f>AK411</f>
        <v>0.8</v>
      </c>
      <c r="AL436">
        <f>AL411</f>
        <v>99.998999999999995</v>
      </c>
      <c r="AM436">
        <f>AM411</f>
        <v>4.7000000000000002E-3</v>
      </c>
      <c r="AN436">
        <f t="shared" si="141"/>
        <v>2.456522061847805E-6</v>
      </c>
      <c r="AO436">
        <f t="shared" si="142"/>
        <v>1.4431922792684719E-3</v>
      </c>
      <c r="AP436">
        <f t="shared" si="143"/>
        <v>1.4456488013303197E-3</v>
      </c>
      <c r="AQ436">
        <f t="shared" si="144"/>
        <v>22.293711577515193</v>
      </c>
      <c r="AS436">
        <f>U436*$B$413+V436*$B$414</f>
        <v>0</v>
      </c>
      <c r="AT436">
        <f t="shared" si="135"/>
        <v>1.3182889761625056E-2</v>
      </c>
      <c r="AU436">
        <f t="shared" si="146"/>
        <v>7.4255061624247345E-2</v>
      </c>
      <c r="AV436">
        <f t="shared" si="136"/>
        <v>1145.1058690729244</v>
      </c>
      <c r="AY436">
        <f>AY411</f>
        <v>2E-3</v>
      </c>
      <c r="BB436">
        <f t="shared" si="147"/>
        <v>0.24</v>
      </c>
    </row>
    <row r="437" spans="7:54" x14ac:dyDescent="0.2">
      <c r="H437" t="s">
        <v>163</v>
      </c>
      <c r="J437">
        <v>91.25</v>
      </c>
      <c r="K437">
        <v>162</v>
      </c>
      <c r="M437">
        <v>339</v>
      </c>
      <c r="O437">
        <v>0.54</v>
      </c>
      <c r="P437">
        <v>660</v>
      </c>
      <c r="Q437">
        <f t="shared" si="137"/>
        <v>0.51363636363636367</v>
      </c>
      <c r="S437">
        <v>0</v>
      </c>
      <c r="T437">
        <v>0</v>
      </c>
      <c r="U437">
        <v>0</v>
      </c>
      <c r="V437">
        <v>0</v>
      </c>
      <c r="W437">
        <f>S437*B413+T437*B414</f>
        <v>0</v>
      </c>
      <c r="X437">
        <f t="shared" si="132"/>
        <v>1</v>
      </c>
      <c r="Y437">
        <f t="shared" si="133"/>
        <v>6.73592155951716</v>
      </c>
      <c r="Z437">
        <f t="shared" si="138"/>
        <v>1.1451924580419581</v>
      </c>
      <c r="AC437">
        <v>7.4999999999999997E-2</v>
      </c>
      <c r="AE437">
        <v>0.56999999999999995</v>
      </c>
      <c r="AF437">
        <f t="shared" si="134"/>
        <v>2.9126124823352204</v>
      </c>
      <c r="AG437">
        <f t="shared" si="139"/>
        <v>0.19</v>
      </c>
      <c r="AH437">
        <f t="shared" si="140"/>
        <v>0.6784</v>
      </c>
      <c r="AI437">
        <f>AI411</f>
        <v>1E-3</v>
      </c>
      <c r="AK437">
        <f>AK411</f>
        <v>0.8</v>
      </c>
      <c r="AL437">
        <f>AL411</f>
        <v>99.998999999999995</v>
      </c>
      <c r="AM437">
        <f>AM411</f>
        <v>4.7000000000000002E-3</v>
      </c>
      <c r="AN437">
        <f t="shared" si="141"/>
        <v>3.0033927881846447E-6</v>
      </c>
      <c r="AO437">
        <f t="shared" si="142"/>
        <v>1.7644756181258482E-3</v>
      </c>
      <c r="AP437">
        <f t="shared" si="143"/>
        <v>1.7674790109140329E-3</v>
      </c>
      <c r="AQ437">
        <f t="shared" si="144"/>
        <v>26.127758478836689</v>
      </c>
      <c r="AS437">
        <f t="shared" si="145"/>
        <v>0</v>
      </c>
      <c r="AT437">
        <f t="shared" si="135"/>
        <v>9.6432077598237239E-3</v>
      </c>
      <c r="AU437">
        <f t="shared" si="146"/>
        <v>6.9797378334579649E-2</v>
      </c>
      <c r="AV437">
        <f t="shared" si="136"/>
        <v>1031.7797452309237</v>
      </c>
      <c r="AY437">
        <f>AY411</f>
        <v>2E-3</v>
      </c>
      <c r="BB437">
        <f t="shared" si="147"/>
        <v>0.24</v>
      </c>
    </row>
    <row r="438" spans="7:54" x14ac:dyDescent="0.2">
      <c r="H438" t="s">
        <v>164</v>
      </c>
      <c r="J438">
        <v>91.25</v>
      </c>
      <c r="K438">
        <v>143</v>
      </c>
      <c r="M438">
        <v>377</v>
      </c>
      <c r="O438">
        <v>0.18</v>
      </c>
      <c r="P438">
        <v>660</v>
      </c>
      <c r="Q438">
        <f t="shared" si="137"/>
        <v>0.57121212121212117</v>
      </c>
      <c r="S438">
        <v>0</v>
      </c>
      <c r="T438">
        <v>0</v>
      </c>
      <c r="U438">
        <v>0</v>
      </c>
      <c r="V438">
        <v>0</v>
      </c>
      <c r="W438">
        <f>S438*B413+T438*B414</f>
        <v>0</v>
      </c>
      <c r="X438">
        <f t="shared" si="132"/>
        <v>1</v>
      </c>
      <c r="Y438">
        <f t="shared" si="133"/>
        <v>6.675736158029161</v>
      </c>
      <c r="Z438">
        <f t="shared" si="138"/>
        <v>1.0453779856568599</v>
      </c>
      <c r="AC438">
        <v>5.2999999999999999E-2</v>
      </c>
      <c r="AE438">
        <v>0.54</v>
      </c>
      <c r="AF438">
        <f t="shared" si="134"/>
        <v>3.0708386326934138</v>
      </c>
      <c r="AG438">
        <f t="shared" si="139"/>
        <v>0.19</v>
      </c>
      <c r="AH438">
        <f t="shared" si="140"/>
        <v>0.6784</v>
      </c>
      <c r="AI438">
        <f>AI411</f>
        <v>1E-3</v>
      </c>
      <c r="AK438">
        <f>AK411</f>
        <v>0.8</v>
      </c>
      <c r="AL438">
        <f>AL411</f>
        <v>99.998999999999995</v>
      </c>
      <c r="AM438">
        <f>AM411</f>
        <v>4.7000000000000002E-3</v>
      </c>
      <c r="AN438">
        <f t="shared" si="141"/>
        <v>3.1665505311972025E-6</v>
      </c>
      <c r="AO438">
        <f t="shared" si="142"/>
        <v>1.8603298335939855E-3</v>
      </c>
      <c r="AP438">
        <f t="shared" si="143"/>
        <v>1.8634963841251827E-3</v>
      </c>
      <c r="AQ438">
        <f t="shared" si="144"/>
        <v>24.316298442353474</v>
      </c>
      <c r="AS438">
        <f t="shared" si="145"/>
        <v>0</v>
      </c>
      <c r="AT438">
        <f t="shared" si="135"/>
        <v>2.9389112391192745E-3</v>
      </c>
      <c r="AU438">
        <f t="shared" si="146"/>
        <v>5.2165526569606942E-2</v>
      </c>
      <c r="AV438">
        <f t="shared" si="136"/>
        <v>680.69491482515855</v>
      </c>
      <c r="AY438">
        <f>AY411</f>
        <v>2E-3</v>
      </c>
      <c r="BB438">
        <f t="shared" si="147"/>
        <v>0.24</v>
      </c>
    </row>
    <row r="439" spans="7:54" x14ac:dyDescent="0.2">
      <c r="G439" t="s">
        <v>188</v>
      </c>
      <c r="H439" t="s">
        <v>160</v>
      </c>
      <c r="J439">
        <v>91.25</v>
      </c>
      <c r="K439">
        <v>94</v>
      </c>
      <c r="M439">
        <v>493</v>
      </c>
      <c r="O439">
        <v>0.25</v>
      </c>
      <c r="P439">
        <v>660</v>
      </c>
      <c r="Q439">
        <f t="shared" si="137"/>
        <v>0.74696969696969695</v>
      </c>
      <c r="S439">
        <v>0</v>
      </c>
      <c r="T439">
        <v>0</v>
      </c>
      <c r="U439">
        <v>0</v>
      </c>
      <c r="V439">
        <v>0</v>
      </c>
      <c r="W439">
        <f>S439*B413+T439*B414</f>
        <v>0</v>
      </c>
      <c r="X439">
        <f t="shared" si="132"/>
        <v>1</v>
      </c>
      <c r="Y439">
        <f t="shared" si="133"/>
        <v>8.2371445258147613</v>
      </c>
      <c r="Z439">
        <f t="shared" si="138"/>
        <v>1.0572214295719153</v>
      </c>
      <c r="AC439">
        <v>5.8000000000000003E-2</v>
      </c>
      <c r="AE439">
        <v>0.55000000000000004</v>
      </c>
      <c r="AF439">
        <f t="shared" si="134"/>
        <v>3.7133047522372942</v>
      </c>
      <c r="AG439">
        <f t="shared" si="139"/>
        <v>0.19</v>
      </c>
      <c r="AH439">
        <f t="shared" si="140"/>
        <v>0.6784</v>
      </c>
      <c r="AI439">
        <f>AI411</f>
        <v>1E-3</v>
      </c>
      <c r="AK439">
        <f>AK411</f>
        <v>0.8</v>
      </c>
      <c r="AL439">
        <f>AL411</f>
        <v>99.998999999999995</v>
      </c>
      <c r="AM439">
        <f>AM411</f>
        <v>4.7000000000000002E-3</v>
      </c>
      <c r="AN439">
        <f t="shared" si="141"/>
        <v>3.829041034755027E-6</v>
      </c>
      <c r="AO439">
        <f t="shared" si="142"/>
        <v>2.2495391123024989E-3</v>
      </c>
      <c r="AP439">
        <f t="shared" si="143"/>
        <v>2.2533681533372539E-3</v>
      </c>
      <c r="AQ439">
        <f t="shared" si="144"/>
        <v>19.328265335250297</v>
      </c>
      <c r="AS439">
        <f t="shared" si="145"/>
        <v>0</v>
      </c>
      <c r="AT439">
        <f t="shared" si="135"/>
        <v>3.2516104778445897E-3</v>
      </c>
      <c r="AU439">
        <f t="shared" si="146"/>
        <v>7.1347691915454425E-2</v>
      </c>
      <c r="AV439">
        <f t="shared" si="136"/>
        <v>611.98482740481029</v>
      </c>
      <c r="AY439">
        <f>AY411</f>
        <v>2E-3</v>
      </c>
      <c r="BB439">
        <f t="shared" si="147"/>
        <v>0.24</v>
      </c>
    </row>
    <row r="440" spans="7:54" x14ac:dyDescent="0.2">
      <c r="G440" t="s">
        <v>198</v>
      </c>
      <c r="H440" t="s">
        <v>162</v>
      </c>
      <c r="J440">
        <v>91.25</v>
      </c>
      <c r="K440">
        <v>162</v>
      </c>
      <c r="M440">
        <v>421</v>
      </c>
      <c r="O440">
        <v>0.55000000000000004</v>
      </c>
      <c r="P440">
        <v>660</v>
      </c>
      <c r="Q440">
        <f t="shared" si="137"/>
        <v>0.63787878787878793</v>
      </c>
      <c r="S440">
        <v>0</v>
      </c>
      <c r="T440">
        <v>0</v>
      </c>
      <c r="U440">
        <v>0</v>
      </c>
      <c r="V440">
        <v>0</v>
      </c>
      <c r="W440">
        <f>S440*B413+T440*B414</f>
        <v>0</v>
      </c>
      <c r="X440">
        <f t="shared" si="132"/>
        <v>1</v>
      </c>
      <c r="Y440">
        <f t="shared" si="133"/>
        <v>7.8891518371795586</v>
      </c>
      <c r="Z440">
        <f t="shared" si="138"/>
        <v>1.1357947511544346</v>
      </c>
      <c r="AC440">
        <v>9.1999999999999998E-2</v>
      </c>
      <c r="AE440">
        <v>0.61</v>
      </c>
      <c r="AF440">
        <f t="shared" si="134"/>
        <v>3.1209484667882337</v>
      </c>
      <c r="AG440">
        <f t="shared" si="139"/>
        <v>0.19</v>
      </c>
      <c r="AH440">
        <f t="shared" si="140"/>
        <v>0.6784</v>
      </c>
      <c r="AI440">
        <f>AI411</f>
        <v>1E-3</v>
      </c>
      <c r="AK440">
        <f>AK411</f>
        <v>0.8</v>
      </c>
      <c r="AL440">
        <f>AL411</f>
        <v>99.998999999999995</v>
      </c>
      <c r="AM440">
        <f>AM411</f>
        <v>4.7000000000000002E-3</v>
      </c>
      <c r="AN440">
        <f t="shared" si="141"/>
        <v>3.2182221886010901E-6</v>
      </c>
      <c r="AO440">
        <f t="shared" si="142"/>
        <v>1.8906866287477821E-3</v>
      </c>
      <c r="AP440">
        <f t="shared" si="143"/>
        <v>1.8939048509363831E-3</v>
      </c>
      <c r="AQ440">
        <f t="shared" si="144"/>
        <v>27.996648458967083</v>
      </c>
      <c r="AS440">
        <f t="shared" si="145"/>
        <v>0</v>
      </c>
      <c r="AT440">
        <f t="shared" si="135"/>
        <v>8.1309190847687306E-3</v>
      </c>
      <c r="AU440">
        <f>MAX((Y440*AC440/6.25)+(0.032*AS440/6.38)-AT440-((1.1*(10^-4)*(M440^0.75))/6.25), 0)</f>
        <v>0.10636161842279332</v>
      </c>
      <c r="AV440">
        <f t="shared" si="136"/>
        <v>1572.2906243349423</v>
      </c>
      <c r="AY440">
        <f>AY411</f>
        <v>2E-3</v>
      </c>
      <c r="BB440">
        <f t="shared" si="147"/>
        <v>0.24</v>
      </c>
    </row>
    <row r="441" spans="7:54" x14ac:dyDescent="0.2">
      <c r="H441" t="s">
        <v>163</v>
      </c>
      <c r="J441">
        <v>91.25</v>
      </c>
      <c r="K441">
        <v>146</v>
      </c>
      <c r="M441">
        <v>470</v>
      </c>
      <c r="O441">
        <v>0.42</v>
      </c>
      <c r="P441">
        <v>660</v>
      </c>
      <c r="Q441">
        <f t="shared" si="137"/>
        <v>0.71212121212121215</v>
      </c>
      <c r="S441">
        <v>0</v>
      </c>
      <c r="T441">
        <v>0</v>
      </c>
      <c r="U441">
        <v>0</v>
      </c>
      <c r="V441">
        <v>0</v>
      </c>
      <c r="W441">
        <f>S441*B413+T441*B414</f>
        <v>0</v>
      </c>
      <c r="X441">
        <f t="shared" si="132"/>
        <v>1</v>
      </c>
      <c r="Y441">
        <f t="shared" si="133"/>
        <v>8.2757480975999993</v>
      </c>
      <c r="Z441">
        <f t="shared" si="138"/>
        <v>1.0987362471507145</v>
      </c>
      <c r="AC441">
        <v>7.4999999999999997E-2</v>
      </c>
      <c r="AE441">
        <v>0.56999999999999995</v>
      </c>
      <c r="AF441">
        <f t="shared" si="134"/>
        <v>3.5784334774022399</v>
      </c>
      <c r="AG441">
        <f t="shared" si="139"/>
        <v>0.19</v>
      </c>
      <c r="AH441">
        <f t="shared" si="140"/>
        <v>0.6784</v>
      </c>
      <c r="AI441">
        <f>AI411</f>
        <v>1E-3</v>
      </c>
      <c r="AK441">
        <f>AK411</f>
        <v>0.8</v>
      </c>
      <c r="AL441">
        <f>AL411</f>
        <v>99.998999999999995</v>
      </c>
      <c r="AM441">
        <f>AM411</f>
        <v>4.7000000000000002E-3</v>
      </c>
      <c r="AN441">
        <f t="shared" si="141"/>
        <v>3.6899660920259138E-6</v>
      </c>
      <c r="AO441">
        <f t="shared" si="142"/>
        <v>2.1678334005144333E-3</v>
      </c>
      <c r="AP441">
        <f t="shared" si="143"/>
        <v>2.1715233666064595E-3</v>
      </c>
      <c r="AQ441">
        <f t="shared" si="144"/>
        <v>28.930120051614558</v>
      </c>
      <c r="AS441">
        <f t="shared" si="145"/>
        <v>0</v>
      </c>
      <c r="AT441">
        <f t="shared" si="135"/>
        <v>5.6638377997576808E-3</v>
      </c>
      <c r="AU441">
        <f t="shared" si="146"/>
        <v>9.1868554083873982E-2</v>
      </c>
      <c r="AV441">
        <f t="shared" si="136"/>
        <v>1223.9188117824112</v>
      </c>
      <c r="AY441">
        <f>AY411</f>
        <v>2E-3</v>
      </c>
      <c r="BB441">
        <f t="shared" si="147"/>
        <v>0.24</v>
      </c>
    </row>
    <row r="442" spans="7:54" x14ac:dyDescent="0.2">
      <c r="H442" t="s">
        <v>164</v>
      </c>
      <c r="J442">
        <v>91.25</v>
      </c>
      <c r="K442">
        <v>76</v>
      </c>
      <c r="M442">
        <v>498</v>
      </c>
      <c r="O442">
        <v>0.12</v>
      </c>
      <c r="P442">
        <v>660</v>
      </c>
      <c r="Q442">
        <f t="shared" si="137"/>
        <v>0.75454545454545452</v>
      </c>
      <c r="S442">
        <v>0</v>
      </c>
      <c r="T442">
        <v>0</v>
      </c>
      <c r="U442">
        <v>0</v>
      </c>
      <c r="V442">
        <v>0</v>
      </c>
      <c r="W442">
        <f>S442*B413+T442*B414</f>
        <v>0</v>
      </c>
      <c r="X442">
        <f t="shared" si="132"/>
        <v>1</v>
      </c>
      <c r="Y442">
        <f t="shared" si="133"/>
        <v>8.0594077169721601</v>
      </c>
      <c r="Z442">
        <f t="shared" si="138"/>
        <v>1.0271714101638532</v>
      </c>
      <c r="AC442">
        <v>5.2999999999999999E-2</v>
      </c>
      <c r="AE442">
        <v>0.54</v>
      </c>
      <c r="AF442">
        <f t="shared" si="134"/>
        <v>3.7073275498071938</v>
      </c>
      <c r="AG442">
        <f t="shared" si="139"/>
        <v>0.19</v>
      </c>
      <c r="AH442">
        <f t="shared" si="140"/>
        <v>0.6784</v>
      </c>
      <c r="AI442">
        <f>AI411</f>
        <v>1E-3</v>
      </c>
      <c r="AK442">
        <f>AK411</f>
        <v>0.8</v>
      </c>
      <c r="AL442">
        <f>AL411</f>
        <v>99.998999999999995</v>
      </c>
      <c r="AM442">
        <f>AM411</f>
        <v>4.7000000000000002E-3</v>
      </c>
      <c r="AN442">
        <f t="shared" si="141"/>
        <v>3.8228775348795847E-6</v>
      </c>
      <c r="AO442">
        <f t="shared" si="142"/>
        <v>2.2459180923362384E-3</v>
      </c>
      <c r="AP442">
        <f t="shared" si="143"/>
        <v>2.249740969871118E-3</v>
      </c>
      <c r="AQ442">
        <f t="shared" si="144"/>
        <v>15.601953626056204</v>
      </c>
      <c r="AS442">
        <f t="shared" si="145"/>
        <v>0</v>
      </c>
      <c r="AT442">
        <f t="shared" si="135"/>
        <v>1.5497516418361051E-3</v>
      </c>
      <c r="AU442">
        <f t="shared" si="146"/>
        <v>6.493863809082645E-2</v>
      </c>
      <c r="AV442">
        <f t="shared" si="136"/>
        <v>450.34945515988142</v>
      </c>
      <c r="AY442">
        <f>AY411</f>
        <v>2E-3</v>
      </c>
      <c r="BB442">
        <f t="shared" si="147"/>
        <v>0.24</v>
      </c>
    </row>
    <row r="443" spans="7:54" x14ac:dyDescent="0.2">
      <c r="G443" t="s">
        <v>186</v>
      </c>
      <c r="H443" t="s">
        <v>160</v>
      </c>
      <c r="J443">
        <v>91.25</v>
      </c>
      <c r="K443">
        <v>63</v>
      </c>
      <c r="M443">
        <v>223</v>
      </c>
      <c r="O443">
        <v>0.32</v>
      </c>
      <c r="P443">
        <v>660</v>
      </c>
      <c r="Q443">
        <f t="shared" si="137"/>
        <v>0.33787878787878789</v>
      </c>
      <c r="S443">
        <v>0</v>
      </c>
      <c r="T443">
        <v>0</v>
      </c>
      <c r="U443">
        <f>10/K443</f>
        <v>0.15873015873015872</v>
      </c>
      <c r="V443">
        <f>5/K443</f>
        <v>7.9365079365079361E-2</v>
      </c>
      <c r="W443">
        <f>S443*B413+T443*B414</f>
        <v>0</v>
      </c>
      <c r="X443">
        <f t="shared" si="132"/>
        <v>1</v>
      </c>
      <c r="Y443">
        <f t="shared" si="133"/>
        <v>4.7042339204851595</v>
      </c>
      <c r="Z443">
        <f t="shared" si="138"/>
        <v>1.0998551890176538</v>
      </c>
      <c r="AC443">
        <v>5.8000000000000003E-2</v>
      </c>
      <c r="AE443">
        <v>0.55000000000000004</v>
      </c>
      <c r="AF443">
        <f t="shared" si="134"/>
        <v>2.1206686513547095</v>
      </c>
      <c r="AG443">
        <f t="shared" si="139"/>
        <v>0.19</v>
      </c>
      <c r="AH443">
        <f t="shared" si="140"/>
        <v>0.6784</v>
      </c>
      <c r="AI443">
        <f>AI411</f>
        <v>1E-3</v>
      </c>
      <c r="AK443">
        <f>AK411</f>
        <v>0.8</v>
      </c>
      <c r="AL443">
        <f>AL411</f>
        <v>99.998999999999995</v>
      </c>
      <c r="AM443">
        <f>AM411</f>
        <v>4.7000000000000002E-3</v>
      </c>
      <c r="AN443">
        <f t="shared" si="141"/>
        <v>2.1867656518801329E-6</v>
      </c>
      <c r="AO443">
        <f t="shared" si="142"/>
        <v>1.2847119732313733E-3</v>
      </c>
      <c r="AP443">
        <f t="shared" si="143"/>
        <v>1.2868987388832535E-3</v>
      </c>
      <c r="AQ443">
        <f t="shared" si="144"/>
        <v>7.3980591251551031</v>
      </c>
      <c r="AS443">
        <f t="shared" si="145"/>
        <v>1.2698412698412698</v>
      </c>
      <c r="AT443">
        <f t="shared" si="135"/>
        <v>7.497092843266745E-3</v>
      </c>
      <c r="AU443">
        <f t="shared" si="146"/>
        <v>4.1511664205538187E-2</v>
      </c>
      <c r="AV443">
        <f t="shared" si="136"/>
        <v>238.64017960158768</v>
      </c>
      <c r="AY443">
        <f>AY411</f>
        <v>2E-3</v>
      </c>
      <c r="BB443">
        <f t="shared" si="147"/>
        <v>0.24</v>
      </c>
    </row>
    <row r="444" spans="7:54" x14ac:dyDescent="0.2">
      <c r="G444">
        <v>6</v>
      </c>
      <c r="H444" t="s">
        <v>162</v>
      </c>
      <c r="J444">
        <v>91.25</v>
      </c>
      <c r="K444">
        <v>140</v>
      </c>
      <c r="M444">
        <v>108</v>
      </c>
      <c r="O444">
        <v>0.75</v>
      </c>
      <c r="P444">
        <v>660</v>
      </c>
      <c r="Q444">
        <f t="shared" si="137"/>
        <v>0.16363636363636364</v>
      </c>
      <c r="S444">
        <v>0</v>
      </c>
      <c r="T444">
        <v>0</v>
      </c>
      <c r="U444">
        <f>25/K444</f>
        <v>0.17857142857142858</v>
      </c>
      <c r="V444">
        <f>10/K444</f>
        <v>7.1428571428571425E-2</v>
      </c>
      <c r="W444">
        <f>S444*B413+T444*B414</f>
        <v>0</v>
      </c>
      <c r="X444">
        <f t="shared" si="132"/>
        <v>1</v>
      </c>
      <c r="Y444">
        <f t="shared" si="133"/>
        <v>3.5390774825409603</v>
      </c>
      <c r="Z444">
        <f t="shared" si="138"/>
        <v>1.3078611693580704</v>
      </c>
      <c r="AC444">
        <v>9.1999999999999998E-2</v>
      </c>
      <c r="AE444">
        <v>0.61</v>
      </c>
      <c r="AF444">
        <f t="shared" si="134"/>
        <v>1.4000590520932039</v>
      </c>
      <c r="AG444">
        <f t="shared" si="139"/>
        <v>0.19</v>
      </c>
      <c r="AH444">
        <f t="shared" si="140"/>
        <v>0.6784</v>
      </c>
      <c r="AI444">
        <f>AI411</f>
        <v>1E-3</v>
      </c>
      <c r="AK444">
        <f>AK411</f>
        <v>0.8</v>
      </c>
      <c r="AL444">
        <f>AL411</f>
        <v>99.998999999999995</v>
      </c>
      <c r="AM444">
        <f>AM411</f>
        <v>4.7000000000000002E-3</v>
      </c>
      <c r="AN444">
        <f t="shared" si="141"/>
        <v>1.4436960926288452E-6</v>
      </c>
      <c r="AO444">
        <f t="shared" si="142"/>
        <v>8.4816297270490226E-4</v>
      </c>
      <c r="AP444">
        <f t="shared" si="143"/>
        <v>8.4960666879753107E-4</v>
      </c>
      <c r="AQ444">
        <f t="shared" si="144"/>
        <v>10.853725193888458</v>
      </c>
      <c r="AS444">
        <f t="shared" si="145"/>
        <v>1.3571428571428572</v>
      </c>
      <c r="AT444">
        <f t="shared" si="135"/>
        <v>2.0883829272897173E-2</v>
      </c>
      <c r="AU444">
        <f t="shared" si="146"/>
        <v>3.742874614870962E-2</v>
      </c>
      <c r="AV444">
        <f t="shared" si="136"/>
        <v>478.15223204976542</v>
      </c>
      <c r="AY444">
        <f>AY411</f>
        <v>2E-3</v>
      </c>
      <c r="BB444">
        <f t="shared" si="147"/>
        <v>0.24</v>
      </c>
    </row>
    <row r="445" spans="7:54" x14ac:dyDescent="0.2">
      <c r="H445" t="s">
        <v>163</v>
      </c>
      <c r="J445">
        <v>91.25</v>
      </c>
      <c r="K445">
        <v>127</v>
      </c>
      <c r="M445">
        <v>176</v>
      </c>
      <c r="O445">
        <v>0.63</v>
      </c>
      <c r="P445">
        <v>660</v>
      </c>
      <c r="Q445">
        <f t="shared" si="137"/>
        <v>0.26666666666666666</v>
      </c>
      <c r="S445">
        <v>0</v>
      </c>
      <c r="T445">
        <v>0</v>
      </c>
      <c r="U445">
        <v>0</v>
      </c>
      <c r="V445">
        <f>25/K445</f>
        <v>0.19685039370078741</v>
      </c>
      <c r="W445">
        <f>S445*B413+T445*B414</f>
        <v>0</v>
      </c>
      <c r="X445">
        <f t="shared" si="132"/>
        <v>1</v>
      </c>
      <c r="Y445">
        <f t="shared" si="133"/>
        <v>4.41820389186576</v>
      </c>
      <c r="Z445">
        <f t="shared" si="138"/>
        <v>1.2193795195630577</v>
      </c>
      <c r="AC445">
        <v>7.4999999999999997E-2</v>
      </c>
      <c r="AE445">
        <v>0.56999999999999995</v>
      </c>
      <c r="AF445">
        <f t="shared" si="134"/>
        <v>1.9104313628427549</v>
      </c>
      <c r="AG445">
        <f t="shared" si="139"/>
        <v>0.19</v>
      </c>
      <c r="AH445">
        <f t="shared" si="140"/>
        <v>0.6784</v>
      </c>
      <c r="AI445">
        <f>AI411</f>
        <v>1E-3</v>
      </c>
      <c r="AK445">
        <f>AK411</f>
        <v>0.8</v>
      </c>
      <c r="AL445">
        <f>AL411</f>
        <v>99.998999999999995</v>
      </c>
      <c r="AM445">
        <f>AM411</f>
        <v>4.7000000000000002E-3</v>
      </c>
      <c r="AN445">
        <f t="shared" si="141"/>
        <v>1.9699756875598382E-6</v>
      </c>
      <c r="AO445">
        <f t="shared" si="142"/>
        <v>1.1573491428342403E-3</v>
      </c>
      <c r="AP445">
        <f t="shared" si="143"/>
        <v>1.1593191185218002E-3</v>
      </c>
      <c r="AQ445">
        <f t="shared" si="144"/>
        <v>13.435059434769514</v>
      </c>
      <c r="AS445">
        <f t="shared" si="145"/>
        <v>0.78740157480314965</v>
      </c>
      <c r="AT445">
        <f t="shared" si="135"/>
        <v>1.6034545255862134E-2</v>
      </c>
      <c r="AU445">
        <f t="shared" si="146"/>
        <v>4.0082804204097294E-2</v>
      </c>
      <c r="AV445">
        <f t="shared" si="136"/>
        <v>464.50959722023254</v>
      </c>
      <c r="AY445">
        <f>AY411</f>
        <v>2E-3</v>
      </c>
      <c r="BB445">
        <f t="shared" si="147"/>
        <v>0.24</v>
      </c>
    </row>
    <row r="446" spans="7:54" x14ac:dyDescent="0.2">
      <c r="H446" t="s">
        <v>164</v>
      </c>
      <c r="J446">
        <v>91.25</v>
      </c>
      <c r="K446">
        <v>138</v>
      </c>
      <c r="M446">
        <v>222</v>
      </c>
      <c r="O446">
        <v>0.25</v>
      </c>
      <c r="P446">
        <v>660</v>
      </c>
      <c r="Q446">
        <f t="shared" si="137"/>
        <v>0.33636363636363636</v>
      </c>
      <c r="S446">
        <v>0</v>
      </c>
      <c r="T446">
        <v>0</v>
      </c>
      <c r="U446">
        <v>0</v>
      </c>
      <c r="V446">
        <v>0</v>
      </c>
      <c r="W446">
        <f>S446*B413+T446*B414</f>
        <v>0</v>
      </c>
      <c r="X446">
        <f t="shared" si="132"/>
        <v>1</v>
      </c>
      <c r="Y446">
        <f t="shared" si="133"/>
        <v>4.5945562392705579</v>
      </c>
      <c r="Z446">
        <f t="shared" si="138"/>
        <v>1.0777354191974031</v>
      </c>
      <c r="AC446">
        <v>5.2999999999999999E-2</v>
      </c>
      <c r="AE446">
        <v>0.54</v>
      </c>
      <c r="AF446">
        <f t="shared" si="134"/>
        <v>2.1134958700644564</v>
      </c>
      <c r="AG446">
        <f t="shared" si="139"/>
        <v>0.19</v>
      </c>
      <c r="AH446">
        <f t="shared" si="140"/>
        <v>0.6784</v>
      </c>
      <c r="AI446">
        <f>AI411</f>
        <v>1E-3</v>
      </c>
      <c r="AK446">
        <f>AK411</f>
        <v>0.8</v>
      </c>
      <c r="AL446">
        <f>AL411</f>
        <v>99.998999999999995</v>
      </c>
      <c r="AM446">
        <f>AM411</f>
        <v>4.7000000000000002E-3</v>
      </c>
      <c r="AN446">
        <f t="shared" si="141"/>
        <v>2.1793693093426259E-6</v>
      </c>
      <c r="AO446">
        <f t="shared" si="142"/>
        <v>1.2803666654441E-3</v>
      </c>
      <c r="AP446">
        <f t="shared" si="143"/>
        <v>1.2825460347534426E-3</v>
      </c>
      <c r="AQ446">
        <f t="shared" si="144"/>
        <v>16.150460942632726</v>
      </c>
      <c r="AS446">
        <f t="shared" si="145"/>
        <v>0</v>
      </c>
      <c r="AT446">
        <f t="shared" si="135"/>
        <v>5.8728574305923001E-3</v>
      </c>
      <c r="AU446">
        <f t="shared" si="146"/>
        <v>3.2076753687573165E-2</v>
      </c>
      <c r="AV446">
        <f t="shared" si="136"/>
        <v>403.92652081076506</v>
      </c>
      <c r="AY446">
        <f>AY411</f>
        <v>2E-3</v>
      </c>
      <c r="BB446">
        <f t="shared" si="147"/>
        <v>0.24</v>
      </c>
    </row>
    <row r="447" spans="7:54" x14ac:dyDescent="0.2">
      <c r="G447" t="s">
        <v>189</v>
      </c>
      <c r="H447" t="s">
        <v>160</v>
      </c>
      <c r="J447">
        <v>91.25</v>
      </c>
      <c r="K447">
        <v>20</v>
      </c>
      <c r="M447">
        <v>585</v>
      </c>
      <c r="O447">
        <v>-0.05</v>
      </c>
      <c r="P447">
        <v>660</v>
      </c>
      <c r="Q447">
        <f t="shared" si="137"/>
        <v>0.88636363636363635</v>
      </c>
      <c r="S447">
        <v>0</v>
      </c>
      <c r="T447">
        <v>0</v>
      </c>
      <c r="U447">
        <v>0</v>
      </c>
      <c r="V447">
        <v>0</v>
      </c>
      <c r="W447">
        <f>S447*B413+T447*B414</f>
        <v>0</v>
      </c>
      <c r="X447">
        <f t="shared" si="132"/>
        <v>1</v>
      </c>
      <c r="Y447">
        <f t="shared" si="133"/>
        <v>8.6163676832249969</v>
      </c>
      <c r="Z447">
        <f t="shared" si="138"/>
        <v>0.98935455148724238</v>
      </c>
      <c r="AC447">
        <v>5.8000000000000003E-2</v>
      </c>
      <c r="AE447">
        <v>0.55000000000000004</v>
      </c>
      <c r="AF447">
        <f t="shared" si="134"/>
        <v>3.8842585515978283</v>
      </c>
      <c r="AG447">
        <f t="shared" si="139"/>
        <v>0.19</v>
      </c>
      <c r="AH447">
        <f t="shared" si="140"/>
        <v>0.6784</v>
      </c>
      <c r="AI447">
        <f>AI411</f>
        <v>1E-3</v>
      </c>
      <c r="AK447">
        <f>AK411</f>
        <v>0.8</v>
      </c>
      <c r="AL447">
        <f>AL411</f>
        <v>99.998999999999995</v>
      </c>
      <c r="AM447">
        <f>AM411</f>
        <v>4.7000000000000002E-3</v>
      </c>
      <c r="AN447">
        <f t="shared" si="141"/>
        <v>4.0053231221340296E-6</v>
      </c>
      <c r="AO447">
        <f t="shared" si="142"/>
        <v>2.3531038029803997E-3</v>
      </c>
      <c r="AP447">
        <f t="shared" si="143"/>
        <v>2.3571091261025338E-3</v>
      </c>
      <c r="AQ447">
        <f t="shared" si="144"/>
        <v>4.3017241551371246</v>
      </c>
      <c r="AS447">
        <f t="shared" si="145"/>
        <v>0</v>
      </c>
      <c r="AT447">
        <f t="shared" si="135"/>
        <v>-5.8579086223426791E-4</v>
      </c>
      <c r="AU447">
        <f t="shared" si="146"/>
        <v>7.8452151136914922E-2</v>
      </c>
      <c r="AV447">
        <f t="shared" si="136"/>
        <v>143.17517582486974</v>
      </c>
      <c r="AY447">
        <f>AY411</f>
        <v>2E-3</v>
      </c>
      <c r="BB447">
        <f t="shared" si="147"/>
        <v>0.24</v>
      </c>
    </row>
    <row r="448" spans="7:54" x14ac:dyDescent="0.2">
      <c r="G448" t="s">
        <v>199</v>
      </c>
      <c r="H448" t="s">
        <v>162</v>
      </c>
      <c r="J448">
        <v>91.25</v>
      </c>
      <c r="K448">
        <v>79</v>
      </c>
      <c r="M448">
        <v>543</v>
      </c>
      <c r="O448">
        <v>0.48</v>
      </c>
      <c r="P448">
        <v>660</v>
      </c>
      <c r="Q448">
        <f t="shared" si="137"/>
        <v>0.82272727272727275</v>
      </c>
      <c r="S448">
        <v>0</v>
      </c>
      <c r="T448">
        <v>0</v>
      </c>
      <c r="U448">
        <v>0</v>
      </c>
      <c r="V448">
        <v>0</v>
      </c>
      <c r="W448">
        <f>S448*B413+T448*B414</f>
        <v>0</v>
      </c>
      <c r="X448">
        <f t="shared" si="132"/>
        <v>1</v>
      </c>
      <c r="Y448">
        <f t="shared" si="133"/>
        <v>9.2100875171187617</v>
      </c>
      <c r="Z448">
        <f t="shared" si="138"/>
        <v>1.1076178038775739</v>
      </c>
      <c r="AC448">
        <v>9.1999999999999998E-2</v>
      </c>
      <c r="AE448">
        <v>0.61</v>
      </c>
      <c r="AF448">
        <f t="shared" si="134"/>
        <v>3.6435106217721822</v>
      </c>
      <c r="AG448">
        <f t="shared" si="139"/>
        <v>0.19</v>
      </c>
      <c r="AH448">
        <f t="shared" si="140"/>
        <v>0.6784</v>
      </c>
      <c r="AI448">
        <f>AI411</f>
        <v>1E-3</v>
      </c>
      <c r="AK448">
        <f>AK411</f>
        <v>0.8</v>
      </c>
      <c r="AL448">
        <f>AL411</f>
        <v>99.998999999999995</v>
      </c>
      <c r="AM448">
        <f>AM411</f>
        <v>4.7000000000000002E-3</v>
      </c>
      <c r="AN448">
        <f t="shared" si="141"/>
        <v>3.7570715608315777E-6</v>
      </c>
      <c r="AO448">
        <f t="shared" si="142"/>
        <v>2.2072574691931325E-3</v>
      </c>
      <c r="AP448">
        <f t="shared" si="143"/>
        <v>2.211014540753964E-3</v>
      </c>
      <c r="AQ448">
        <f t="shared" si="144"/>
        <v>15.938651070660137</v>
      </c>
      <c r="AS448">
        <f t="shared" si="145"/>
        <v>0</v>
      </c>
      <c r="AT448">
        <f t="shared" si="135"/>
        <v>5.8497761232602311E-3</v>
      </c>
      <c r="AU448">
        <f t="shared" si="146"/>
        <v>0.12774295215293255</v>
      </c>
      <c r="AV448">
        <f t="shared" si="136"/>
        <v>920.86700633245255</v>
      </c>
      <c r="AY448">
        <f>AY411</f>
        <v>2E-3</v>
      </c>
      <c r="BB448">
        <f t="shared" si="147"/>
        <v>0.24</v>
      </c>
    </row>
    <row r="449" spans="1:64" x14ac:dyDescent="0.2">
      <c r="H449" t="s">
        <v>163</v>
      </c>
      <c r="J449">
        <v>91.25</v>
      </c>
      <c r="K449">
        <v>18</v>
      </c>
      <c r="M449">
        <v>580</v>
      </c>
      <c r="O449">
        <v>0.26</v>
      </c>
      <c r="P449">
        <v>660</v>
      </c>
      <c r="Q449">
        <f t="shared" si="137"/>
        <v>0.87878787878787878</v>
      </c>
      <c r="S449">
        <v>0</v>
      </c>
      <c r="T449">
        <v>0</v>
      </c>
      <c r="U449">
        <v>0</v>
      </c>
      <c r="V449">
        <v>0</v>
      </c>
      <c r="W449">
        <f>S449*B413+T449*B414</f>
        <v>0</v>
      </c>
      <c r="X449">
        <f t="shared" si="132"/>
        <v>1</v>
      </c>
      <c r="Y449">
        <f t="shared" si="133"/>
        <v>9.1534082115999986</v>
      </c>
      <c r="Z449">
        <f t="shared" si="138"/>
        <v>1.05642104822342</v>
      </c>
      <c r="AC449">
        <v>7.4999999999999997E-2</v>
      </c>
      <c r="AE449">
        <v>0.56999999999999995</v>
      </c>
      <c r="AF449">
        <f t="shared" si="134"/>
        <v>3.9579337106958401</v>
      </c>
      <c r="AG449">
        <f t="shared" si="139"/>
        <v>0.19</v>
      </c>
      <c r="AH449">
        <f t="shared" si="140"/>
        <v>0.6784</v>
      </c>
      <c r="AI449">
        <f>AI411</f>
        <v>1E-3</v>
      </c>
      <c r="AK449">
        <f>AK411</f>
        <v>0.8</v>
      </c>
      <c r="AL449">
        <f>AL411</f>
        <v>99.998999999999995</v>
      </c>
      <c r="AM449">
        <f>AM411</f>
        <v>4.7000000000000002E-3</v>
      </c>
      <c r="AN449">
        <f t="shared" si="141"/>
        <v>4.0812945885908085E-6</v>
      </c>
      <c r="AO449">
        <f t="shared" si="142"/>
        <v>2.397736593191392E-3</v>
      </c>
      <c r="AP449">
        <f t="shared" si="143"/>
        <v>2.4018178877799829E-3</v>
      </c>
      <c r="AQ449">
        <f t="shared" si="144"/>
        <v>3.9449858806786215</v>
      </c>
      <c r="AS449">
        <f t="shared" si="145"/>
        <v>0</v>
      </c>
      <c r="AT449">
        <f t="shared" si="135"/>
        <v>3.0578010391368459E-3</v>
      </c>
      <c r="AU449">
        <f t="shared" si="146"/>
        <v>0.10470300013921606</v>
      </c>
      <c r="AV449">
        <f t="shared" si="136"/>
        <v>171.97467772866239</v>
      </c>
      <c r="AY449">
        <f>AY411</f>
        <v>2E-3</v>
      </c>
      <c r="BB449">
        <f t="shared" si="147"/>
        <v>0.24</v>
      </c>
    </row>
    <row r="450" spans="1:64" x14ac:dyDescent="0.2">
      <c r="H450" t="s">
        <v>164</v>
      </c>
      <c r="J450">
        <v>91.25</v>
      </c>
      <c r="K450">
        <v>8</v>
      </c>
      <c r="M450">
        <v>590</v>
      </c>
      <c r="O450">
        <v>0.03</v>
      </c>
      <c r="P450">
        <v>660</v>
      </c>
      <c r="Q450">
        <f t="shared" si="137"/>
        <v>0.89393939393939392</v>
      </c>
      <c r="S450">
        <v>0</v>
      </c>
      <c r="T450">
        <v>0</v>
      </c>
      <c r="U450">
        <v>0</v>
      </c>
      <c r="V450">
        <v>0</v>
      </c>
      <c r="W450">
        <f>S450*B413+T450*B414</f>
        <v>0</v>
      </c>
      <c r="X450">
        <f t="shared" si="132"/>
        <v>1</v>
      </c>
      <c r="Y450">
        <f t="shared" si="133"/>
        <v>8.8089646400999992</v>
      </c>
      <c r="Z450">
        <f t="shared" si="138"/>
        <v>1.0063984886639659</v>
      </c>
      <c r="AC450">
        <v>5.2999999999999999E-2</v>
      </c>
      <c r="AE450">
        <v>0.54</v>
      </c>
      <c r="AF450">
        <f t="shared" si="134"/>
        <v>4.052123734445999</v>
      </c>
      <c r="AG450">
        <f t="shared" si="139"/>
        <v>0.19</v>
      </c>
      <c r="AH450">
        <f t="shared" si="140"/>
        <v>0.6784</v>
      </c>
      <c r="AI450">
        <f>AI411</f>
        <v>1E-3</v>
      </c>
      <c r="AK450">
        <f>AK411</f>
        <v>0.8</v>
      </c>
      <c r="AL450">
        <f>AL411</f>
        <v>99.998999999999995</v>
      </c>
      <c r="AM450">
        <f>AM411</f>
        <v>4.7000000000000002E-3</v>
      </c>
      <c r="AN450">
        <f t="shared" si="141"/>
        <v>4.1784203270012123E-6</v>
      </c>
      <c r="AO450">
        <f t="shared" si="142"/>
        <v>2.4547973938937907E-3</v>
      </c>
      <c r="AP450">
        <f t="shared" si="143"/>
        <v>2.4589758142207919E-3</v>
      </c>
      <c r="AQ450">
        <f t="shared" si="144"/>
        <v>1.7950523443811781</v>
      </c>
      <c r="AS450">
        <f>U450*$B$413+V450*$B$414</f>
        <v>0</v>
      </c>
      <c r="AT450">
        <f t="shared" si="135"/>
        <v>3.5002845164350824E-4</v>
      </c>
      <c r="AU450">
        <f t="shared" si="146"/>
        <v>7.2243054081823549E-2</v>
      </c>
      <c r="AV450">
        <f t="shared" si="136"/>
        <v>52.73742947973119</v>
      </c>
      <c r="AY450">
        <f>AY411</f>
        <v>2E-3</v>
      </c>
      <c r="BB450">
        <f t="shared" si="147"/>
        <v>0.24</v>
      </c>
    </row>
    <row r="461" spans="1:64" x14ac:dyDescent="0.2">
      <c r="A461" t="s">
        <v>205</v>
      </c>
      <c r="B461" t="s">
        <v>217</v>
      </c>
      <c r="C461" t="s">
        <v>205</v>
      </c>
      <c r="D461" t="s">
        <v>205</v>
      </c>
      <c r="E461" t="s">
        <v>169</v>
      </c>
      <c r="F461" t="s">
        <v>161</v>
      </c>
      <c r="G461" t="s">
        <v>159</v>
      </c>
      <c r="H461" t="s">
        <v>160</v>
      </c>
      <c r="J461">
        <v>91.25</v>
      </c>
      <c r="K461">
        <v>20</v>
      </c>
      <c r="M461" cm="1">
        <f t="array" ref="M461:M500">_xlfn.DROP(_xlfn.XLOOKUP($D461,TableW[[#Headers],[ACT]:[QLD - Moderate/Low]],TableW[[#All],[ACT]:[QLD - Moderate/Low]]),1)</f>
        <v>220</v>
      </c>
      <c r="O461" cm="1">
        <f t="array" ref="O461:O500">_xlfn.DROP(_xlfn.XLOOKUP($D461,TableLWG[[#Headers],[ACT]:[QLD - Low]],TableLWG[[#All],[ACT]:[QLD - Low]]),1)</f>
        <v>0.22</v>
      </c>
      <c r="P461" cm="1">
        <f t="array" ref="P461:P500">_xlfn.DROP(_xlfn.XLOOKUP($E461,TableSRW[[#Headers],[ACT]:[WA]],TableSRW[[#All],[ACT]:[WA]]),1)</f>
        <v>770</v>
      </c>
      <c r="Q461">
        <f>M461 / P461</f>
        <v>0.2857142857142857</v>
      </c>
      <c r="S461">
        <v>0</v>
      </c>
      <c r="T461">
        <v>0</v>
      </c>
      <c r="U461">
        <f>20/K461</f>
        <v>1</v>
      </c>
      <c r="V461">
        <v>0</v>
      </c>
      <c r="W461">
        <f>S461*B463+T461*B464</f>
        <v>0</v>
      </c>
      <c r="X461">
        <f t="shared" ref="X461:X500" si="148">(S461 * $BX$3 +T461* $BX$4) + (1 -S461 -T461 )</f>
        <v>1</v>
      </c>
      <c r="Y461">
        <f t="shared" ref="Y461:Y500" si="149">(1.185 + 0.00454 * M461- 0.0000026 * M461 ^2 + 0.315 * O461)^2 * X461</f>
        <v>4.5252351075999986</v>
      </c>
      <c r="Z461">
        <f>Y461 / ((1.185 + 0.00454 * M461 - 0.0000026 * M461 ^ 2) ^ 2 * X461)</f>
        <v>1.0684821943990916</v>
      </c>
      <c r="AC461" cm="1">
        <f t="array" ref="AC461:AC500">_xlfn.DROP(_xlfn.XLOOKUP($E461,TableCP[[#Headers],[ACT]:[WA - Kimberley]],TableCP[[#All],[ACT]:[WA - Kimberley]]),1)</f>
        <v>5.8000000000000003E-2</v>
      </c>
      <c r="AE461" cm="1">
        <f t="array" ref="AE461:AE500">_xlfn.DROP(_xlfn.XLOOKUP($E461,TableDMD[[#Headers],[ACT]:[WA - Kimberley]],TableDMD[[#All],[ACT]:[WA - Kimberley]]),1)</f>
        <v>0.55000000000000004</v>
      </c>
      <c r="AF461">
        <f t="shared" ref="AF461:AF500" si="150">(Y461 * (1 - AE461) + (0.04 * Y461)) * ( 1 - $CJ$3 )</f>
        <v>2.0399759865060796</v>
      </c>
      <c r="AG461">
        <f t="shared" ref="AG461:AG500" si="151">$CJ$4</f>
        <v>0.19</v>
      </c>
      <c r="AH461">
        <f t="shared" ref="AH461:AH500" si="152">$CJ$5</f>
        <v>0.6784</v>
      </c>
      <c r="AI461">
        <f>IF(F461="yes",0,VLOOKUP(C461,$BQ$211:$BS$225,3,FALSE))</f>
        <v>0</v>
      </c>
      <c r="AK461">
        <f>VLOOKUP(C461,$BQ$211:$BU$225,4,FALSE)</f>
        <v>0.8</v>
      </c>
      <c r="AL461">
        <f>IF(F461="yes",100,VLOOKUP(C461,$BQ$211:$BS$225,2,FALSE))</f>
        <v>100</v>
      </c>
      <c r="AM461">
        <f>VLOOKUP(C461,$BQ$211:$BU$225,5,FALSE)</f>
        <v>4.7000000000000002E-3</v>
      </c>
      <c r="AN461">
        <f>AF461 * AG461 * AI461/100 * AK461 * AH461</f>
        <v>0</v>
      </c>
      <c r="AO461">
        <f>AF461 * AG461 * AL461/100 * AM461 * AH461</f>
        <v>1.2358403003564318E-3</v>
      </c>
      <c r="AP461">
        <f>AN461+AO461</f>
        <v>1.2358403003564318E-3</v>
      </c>
      <c r="AQ461">
        <f>K461*AP461*J461</f>
        <v>2.2554085481504882</v>
      </c>
      <c r="AR461">
        <f>SUM(AQ461:AQ500)*10^-3</f>
        <v>0.3643668362393494</v>
      </c>
      <c r="AS461">
        <f>U461*$B$463+V461*$B$464</f>
        <v>4</v>
      </c>
      <c r="AT461">
        <f t="shared" ref="AT461:AT500" si="153" xml:space="preserve"> (0.032*W461/6.38) + (((0.212 - 0.008*(Z461-2) - (0.14 - 0.008*(Z461 - 2))/(1+EXP(-6*(Q461-0.4))))*O461*0.92)/6.25)</f>
        <v>5.5071444310909436E-3</v>
      </c>
      <c r="AU461">
        <f>MAX((Y461*AC461/6.25)+(0.032*AS461/6.38)-AT461-((1.1*(10^-4)*(M461^0.75))/6.25), 0)</f>
        <v>5.5544354595849353E-2</v>
      </c>
      <c r="AV461">
        <f t="shared" ref="AV461:AV500" si="154">K461*AU461*J461</f>
        <v>101.36844713742508</v>
      </c>
      <c r="AW461">
        <f>SUM(AV461:AV500)</f>
        <v>14432.629437954398</v>
      </c>
      <c r="AX461" t="s">
        <v>253</v>
      </c>
      <c r="AY461">
        <f>VLOOKUP(AX461, $CK$18:$CM$27, 2, FALSE)</f>
        <v>6.0000000000000001E-3</v>
      </c>
      <c r="AZ461">
        <f>$CJ$6</f>
        <v>0.21</v>
      </c>
      <c r="BA461">
        <f>AW461*AZ461</f>
        <v>3030.8521819704233</v>
      </c>
      <c r="BB461">
        <f>$CJ$7</f>
        <v>0.24</v>
      </c>
      <c r="BC461" t="s">
        <v>161</v>
      </c>
      <c r="BD461">
        <f>IF(BC461="yes",1,0)</f>
        <v>1</v>
      </c>
      <c r="BE461">
        <f>AW461 * BD461 * BB461</f>
        <v>3463.8310651090555</v>
      </c>
      <c r="BF461">
        <f>$CJ$8</f>
        <v>1.57</v>
      </c>
      <c r="BG461" t="s">
        <v>183</v>
      </c>
      <c r="BH461">
        <f>VLOOKUP(BG461, $BQ$274:$BR$286, 2, FALSE)</f>
        <v>1.8E-3</v>
      </c>
      <c r="BI461">
        <f>$CJ$9</f>
        <v>1.0999999999999999E-2</v>
      </c>
      <c r="BJ461" s="7">
        <f>(AW461 * AY461 * BF461) * 10^-3</f>
        <v>0.13595536930553045</v>
      </c>
      <c r="BK461" s="7">
        <f>BA461 * BH461 * BF461 * 10^-3</f>
        <v>8.565188266248417E-3</v>
      </c>
      <c r="BL461" s="7">
        <f>BE461 * BI461 * BF461 * 10^-3</f>
        <v>5.9820362494433392E-2</v>
      </c>
    </row>
    <row r="462" spans="1:64" x14ac:dyDescent="0.2">
      <c r="G462">
        <v>1</v>
      </c>
      <c r="H462" t="s">
        <v>162</v>
      </c>
      <c r="J462">
        <v>91.25</v>
      </c>
      <c r="K462">
        <v>50</v>
      </c>
      <c r="M462">
        <v>110</v>
      </c>
      <c r="O462">
        <v>0.66</v>
      </c>
      <c r="P462">
        <v>770</v>
      </c>
      <c r="Q462">
        <f t="shared" ref="Q462:Q500" si="155">M462 / P462</f>
        <v>0.14285714285714285</v>
      </c>
      <c r="S462">
        <v>0</v>
      </c>
      <c r="T462">
        <v>0</v>
      </c>
      <c r="U462">
        <f>30/K462</f>
        <v>0.6</v>
      </c>
      <c r="V462">
        <f>20/K462</f>
        <v>0.4</v>
      </c>
      <c r="W462">
        <f>S462*B463+T462*B464</f>
        <v>0</v>
      </c>
      <c r="X462">
        <f t="shared" si="148"/>
        <v>1</v>
      </c>
      <c r="Y462">
        <f t="shared" si="149"/>
        <v>3.4627255056000004</v>
      </c>
      <c r="Z462">
        <f t="shared" ref="Z462:Z500" si="156">Y462 / ((1.185 + 0.00454 * M462 - 0.0000026 * M462 ^ 2) ^ 2 * X462)</f>
        <v>1.2673713550275403</v>
      </c>
      <c r="AC462">
        <v>9.1999999999999998E-2</v>
      </c>
      <c r="AE462">
        <v>0.61</v>
      </c>
      <c r="AF462">
        <f t="shared" si="150"/>
        <v>1.3698542100153603</v>
      </c>
      <c r="AG462">
        <f t="shared" si="151"/>
        <v>0.19</v>
      </c>
      <c r="AH462">
        <f t="shared" si="152"/>
        <v>0.6784</v>
      </c>
      <c r="AI462">
        <f>AI461</f>
        <v>0</v>
      </c>
      <c r="AK462">
        <f>AK461</f>
        <v>0.8</v>
      </c>
      <c r="AL462">
        <f>AL461</f>
        <v>100</v>
      </c>
      <c r="AM462">
        <f>AM461</f>
        <v>4.7000000000000002E-3</v>
      </c>
      <c r="AN462">
        <f t="shared" ref="AN462:AN500" si="157">AF462 * AG462 * AI462/100 * AK462 * AH462</f>
        <v>0</v>
      </c>
      <c r="AO462">
        <f t="shared" ref="AO462:AO500" si="158">AF462 * AG462 * AL462/100 * AM462 * AH462</f>
        <v>8.2987302279445736E-4</v>
      </c>
      <c r="AP462">
        <f t="shared" ref="AP462:AP500" si="159">AN462+AO462</f>
        <v>8.2987302279445736E-4</v>
      </c>
      <c r="AQ462">
        <f t="shared" ref="AQ462:AQ500" si="160">K462*AP462*J462</f>
        <v>3.7862956664997114</v>
      </c>
      <c r="AS462">
        <f t="shared" ref="AS462:AS500" si="161">U462*$B$463+V462*$B$464</f>
        <v>3.6</v>
      </c>
      <c r="AT462">
        <f t="shared" si="153"/>
        <v>1.866988820736518E-2</v>
      </c>
      <c r="AU462">
        <f t="shared" ref="AU462:AU500" si="162">MAX((Y462*AC462/6.25)+(0.032*AS462/6.38)-AT462-((1.1*(10^-4)*(M462^0.75))/6.25), 0)</f>
        <v>4.9760055817867903E-2</v>
      </c>
      <c r="AV462">
        <f t="shared" si="154"/>
        <v>227.0302546690223</v>
      </c>
      <c r="AY462">
        <f>AY461</f>
        <v>6.0000000000000001E-3</v>
      </c>
      <c r="BB462">
        <f t="shared" ref="BB462:BB500" si="163">$CJ$7</f>
        <v>0.24</v>
      </c>
    </row>
    <row r="463" spans="1:64" x14ac:dyDescent="0.2">
      <c r="A463" t="s">
        <v>222</v>
      </c>
      <c r="B463">
        <f>IF(B461="Hereford or Shorthorn",$BT$3,$BT$4)</f>
        <v>4</v>
      </c>
      <c r="H463" t="s">
        <v>163</v>
      </c>
      <c r="J463">
        <v>91.25</v>
      </c>
      <c r="K463">
        <v>48</v>
      </c>
      <c r="M463">
        <v>170</v>
      </c>
      <c r="O463">
        <v>0.49</v>
      </c>
      <c r="P463">
        <v>770</v>
      </c>
      <c r="Q463">
        <f t="shared" si="155"/>
        <v>0.22077922077922077</v>
      </c>
      <c r="S463">
        <v>0</v>
      </c>
      <c r="T463">
        <v>0</v>
      </c>
      <c r="U463">
        <v>0</v>
      </c>
      <c r="V463">
        <f>30/K463</f>
        <v>0.625</v>
      </c>
      <c r="W463">
        <f>S463*B463+T463*B464</f>
        <v>0</v>
      </c>
      <c r="X463">
        <f t="shared" si="148"/>
        <v>1</v>
      </c>
      <c r="Y463">
        <f t="shared" si="149"/>
        <v>4.1453367201000004</v>
      </c>
      <c r="Z463">
        <f t="shared" si="156"/>
        <v>1.1707859654256434</v>
      </c>
      <c r="AC463">
        <v>7.4999999999999997E-2</v>
      </c>
      <c r="AE463">
        <v>0.56999999999999995</v>
      </c>
      <c r="AF463">
        <f t="shared" si="150"/>
        <v>1.7924435977712405</v>
      </c>
      <c r="AG463">
        <f t="shared" si="151"/>
        <v>0.19</v>
      </c>
      <c r="AH463">
        <f t="shared" si="152"/>
        <v>0.6784</v>
      </c>
      <c r="AI463">
        <f>AI461</f>
        <v>0</v>
      </c>
      <c r="AK463">
        <f>AK461</f>
        <v>0.8</v>
      </c>
      <c r="AL463">
        <f>AL461</f>
        <v>100</v>
      </c>
      <c r="AM463">
        <f>AM461</f>
        <v>4.7000000000000002E-3</v>
      </c>
      <c r="AN463">
        <f t="shared" si="157"/>
        <v>0</v>
      </c>
      <c r="AO463">
        <f t="shared" si="158"/>
        <v>1.0858824068981125E-3</v>
      </c>
      <c r="AP463">
        <f t="shared" si="159"/>
        <v>1.0858824068981125E-3</v>
      </c>
      <c r="AQ463">
        <f t="shared" si="160"/>
        <v>4.7561649422137329</v>
      </c>
      <c r="AS463">
        <f t="shared" si="161"/>
        <v>1.875</v>
      </c>
      <c r="AT463">
        <f t="shared" si="153"/>
        <v>1.3079063906488301E-2</v>
      </c>
      <c r="AU463">
        <f t="shared" si="162"/>
        <v>4.5240756997525951E-2</v>
      </c>
      <c r="AV463">
        <f t="shared" si="154"/>
        <v>198.15451564916367</v>
      </c>
      <c r="AY463">
        <f>AY461</f>
        <v>6.0000000000000001E-3</v>
      </c>
      <c r="BB463">
        <f t="shared" si="163"/>
        <v>0.24</v>
      </c>
    </row>
    <row r="464" spans="1:64" x14ac:dyDescent="0.2">
      <c r="A464" t="s">
        <v>223</v>
      </c>
      <c r="B464">
        <f>IF(B461="Hereford or Shorthorn",$BU$3,$BU$4)</f>
        <v>3</v>
      </c>
      <c r="H464" t="s">
        <v>164</v>
      </c>
      <c r="J464">
        <v>91.25</v>
      </c>
      <c r="K464">
        <v>25</v>
      </c>
      <c r="M464">
        <v>200</v>
      </c>
      <c r="O464">
        <v>0.27</v>
      </c>
      <c r="P464">
        <v>770</v>
      </c>
      <c r="Q464">
        <f t="shared" si="155"/>
        <v>0.25974025974025972</v>
      </c>
      <c r="S464">
        <v>0</v>
      </c>
      <c r="T464">
        <v>0</v>
      </c>
      <c r="U464">
        <v>0</v>
      </c>
      <c r="V464">
        <v>0</v>
      </c>
      <c r="W464">
        <f>S464*B463+T464*B464</f>
        <v>0</v>
      </c>
      <c r="X464">
        <f t="shared" si="148"/>
        <v>1</v>
      </c>
      <c r="Y464">
        <f t="shared" si="149"/>
        <v>4.3016834024999993</v>
      </c>
      <c r="Z464">
        <f t="shared" si="156"/>
        <v>1.087348795069716</v>
      </c>
      <c r="AC464">
        <v>5.2999999999999999E-2</v>
      </c>
      <c r="AE464">
        <v>0.54</v>
      </c>
      <c r="AF464">
        <f t="shared" si="150"/>
        <v>1.9787743651499998</v>
      </c>
      <c r="AG464">
        <f t="shared" si="151"/>
        <v>0.19</v>
      </c>
      <c r="AH464">
        <f t="shared" si="152"/>
        <v>0.6784</v>
      </c>
      <c r="AI464">
        <f>AI461</f>
        <v>0</v>
      </c>
      <c r="AK464">
        <f>AK461</f>
        <v>0.8</v>
      </c>
      <c r="AL464">
        <f>AL461</f>
        <v>100</v>
      </c>
      <c r="AM464">
        <f>AM461</f>
        <v>4.7000000000000002E-3</v>
      </c>
      <c r="AN464">
        <f t="shared" si="157"/>
        <v>0</v>
      </c>
      <c r="AO464">
        <f t="shared" si="158"/>
        <v>1.1987636726807594E-3</v>
      </c>
      <c r="AP464">
        <f t="shared" si="159"/>
        <v>1.1987636726807594E-3</v>
      </c>
      <c r="AQ464">
        <f t="shared" si="160"/>
        <v>2.7346796283029824</v>
      </c>
      <c r="AS464">
        <f t="shared" si="161"/>
        <v>0</v>
      </c>
      <c r="AT464">
        <f t="shared" si="153"/>
        <v>6.9525412975886356E-3</v>
      </c>
      <c r="AU464">
        <f t="shared" si="162"/>
        <v>2.8589713877749043E-2</v>
      </c>
      <c r="AV464">
        <f t="shared" si="154"/>
        <v>65.220284783615</v>
      </c>
      <c r="AY464">
        <f>AY461</f>
        <v>6.0000000000000001E-3</v>
      </c>
      <c r="BB464">
        <f t="shared" si="163"/>
        <v>0.24</v>
      </c>
    </row>
    <row r="465" spans="1:54" x14ac:dyDescent="0.2">
      <c r="G465" t="s">
        <v>165</v>
      </c>
      <c r="H465" t="s">
        <v>160</v>
      </c>
      <c r="J465">
        <v>91.25</v>
      </c>
      <c r="K465">
        <v>20</v>
      </c>
      <c r="M465">
        <v>620</v>
      </c>
      <c r="O465">
        <v>-0.44</v>
      </c>
      <c r="P465">
        <v>770</v>
      </c>
      <c r="Q465">
        <f t="shared" si="155"/>
        <v>0.80519480519480524</v>
      </c>
      <c r="S465">
        <v>0</v>
      </c>
      <c r="T465">
        <v>0</v>
      </c>
      <c r="U465">
        <v>0</v>
      </c>
      <c r="V465">
        <v>0</v>
      </c>
      <c r="W465">
        <f>S465*B463+T465*B464</f>
        <v>0</v>
      </c>
      <c r="X465">
        <f t="shared" si="148"/>
        <v>1</v>
      </c>
      <c r="Y465">
        <f t="shared" si="149"/>
        <v>8.1896702976000011</v>
      </c>
      <c r="Z465">
        <f t="shared" si="156"/>
        <v>0.90974501449619283</v>
      </c>
      <c r="AC465">
        <v>5.8000000000000003E-2</v>
      </c>
      <c r="AE465">
        <v>0.55000000000000004</v>
      </c>
      <c r="AF465">
        <f t="shared" si="150"/>
        <v>3.6919033701580801</v>
      </c>
      <c r="AG465">
        <f t="shared" si="151"/>
        <v>0.19</v>
      </c>
      <c r="AH465">
        <f t="shared" si="152"/>
        <v>0.6784</v>
      </c>
      <c r="AI465">
        <f>AI461</f>
        <v>0</v>
      </c>
      <c r="AK465">
        <f>AK461</f>
        <v>0.8</v>
      </c>
      <c r="AL465">
        <f>AL461</f>
        <v>100</v>
      </c>
      <c r="AM465">
        <f>AM461</f>
        <v>4.7000000000000002E-3</v>
      </c>
      <c r="AN465">
        <f t="shared" si="157"/>
        <v>0</v>
      </c>
      <c r="AO465">
        <f t="shared" si="158"/>
        <v>2.2365964109595103E-3</v>
      </c>
      <c r="AP465">
        <f t="shared" si="159"/>
        <v>2.2365964109595103E-3</v>
      </c>
      <c r="AQ465">
        <f t="shared" si="160"/>
        <v>4.0817884500011061</v>
      </c>
      <c r="AS465">
        <f t="shared" si="161"/>
        <v>0</v>
      </c>
      <c r="AT465">
        <f t="shared" si="153"/>
        <v>-5.441852375901831E-3</v>
      </c>
      <c r="AU465">
        <f t="shared" si="162"/>
        <v>7.9255205981828891E-2</v>
      </c>
      <c r="AV465">
        <f t="shared" si="154"/>
        <v>144.64075091683773</v>
      </c>
      <c r="AY465">
        <f>AY461</f>
        <v>6.0000000000000001E-3</v>
      </c>
      <c r="BB465">
        <f t="shared" si="163"/>
        <v>0.24</v>
      </c>
    </row>
    <row r="466" spans="1:54" x14ac:dyDescent="0.2">
      <c r="A466" t="s">
        <v>167</v>
      </c>
      <c r="G466">
        <v>2</v>
      </c>
      <c r="H466" t="s">
        <v>162</v>
      </c>
      <c r="J466">
        <v>91.25</v>
      </c>
      <c r="K466">
        <v>45</v>
      </c>
      <c r="M466">
        <v>650</v>
      </c>
      <c r="O466">
        <v>0.22</v>
      </c>
      <c r="P466">
        <v>770</v>
      </c>
      <c r="Q466">
        <f t="shared" si="155"/>
        <v>0.8441558441558441</v>
      </c>
      <c r="S466">
        <v>0</v>
      </c>
      <c r="T466">
        <v>0</v>
      </c>
      <c r="U466">
        <v>0</v>
      </c>
      <c r="V466">
        <v>0</v>
      </c>
      <c r="W466">
        <f>S466*B463+T466*B464</f>
        <v>0</v>
      </c>
      <c r="X466">
        <f t="shared" si="148"/>
        <v>1</v>
      </c>
      <c r="Y466">
        <f t="shared" si="149"/>
        <v>9.6522062400000017</v>
      </c>
      <c r="Z466">
        <f t="shared" si="156"/>
        <v>1.046150145404664</v>
      </c>
      <c r="AC466">
        <v>9.1999999999999998E-2</v>
      </c>
      <c r="AE466">
        <v>0.61</v>
      </c>
      <c r="AF466">
        <f t="shared" si="150"/>
        <v>3.8184127885440007</v>
      </c>
      <c r="AG466">
        <f t="shared" si="151"/>
        <v>0.19</v>
      </c>
      <c r="AH466">
        <f t="shared" si="152"/>
        <v>0.6784</v>
      </c>
      <c r="AI466">
        <f>AI461</f>
        <v>0</v>
      </c>
      <c r="AK466">
        <f>AK461</f>
        <v>0.8</v>
      </c>
      <c r="AL466">
        <f>AL461</f>
        <v>100</v>
      </c>
      <c r="AM466">
        <f>AM461</f>
        <v>4.7000000000000002E-3</v>
      </c>
      <c r="AN466">
        <f t="shared" si="157"/>
        <v>0</v>
      </c>
      <c r="AO466">
        <f t="shared" si="158"/>
        <v>2.3132372335231879E-3</v>
      </c>
      <c r="AP466">
        <f t="shared" si="159"/>
        <v>2.3132372335231879E-3</v>
      </c>
      <c r="AQ466">
        <f t="shared" si="160"/>
        <v>9.4987303901545896</v>
      </c>
      <c r="AS466">
        <f t="shared" si="161"/>
        <v>0</v>
      </c>
      <c r="AT466">
        <f t="shared" si="153"/>
        <v>2.6427608149524606E-3</v>
      </c>
      <c r="AU466">
        <f t="shared" si="162"/>
        <v>0.13717203965846858</v>
      </c>
      <c r="AV466">
        <f t="shared" si="154"/>
        <v>563.26268784758656</v>
      </c>
      <c r="AY466">
        <f>AY461</f>
        <v>6.0000000000000001E-3</v>
      </c>
      <c r="BB466">
        <f t="shared" si="163"/>
        <v>0.24</v>
      </c>
    </row>
    <row r="467" spans="1:54" x14ac:dyDescent="0.2">
      <c r="A467" t="s">
        <v>160</v>
      </c>
      <c r="B467">
        <f>IF(B461="Hereford or Shorthorn", 1.3, 0)</f>
        <v>0</v>
      </c>
      <c r="H467" t="s">
        <v>163</v>
      </c>
      <c r="J467">
        <v>91.25</v>
      </c>
      <c r="K467">
        <v>30</v>
      </c>
      <c r="M467">
        <v>670</v>
      </c>
      <c r="O467">
        <v>0.05</v>
      </c>
      <c r="P467">
        <v>770</v>
      </c>
      <c r="Q467">
        <f t="shared" si="155"/>
        <v>0.87012987012987009</v>
      </c>
      <c r="S467">
        <v>0</v>
      </c>
      <c r="T467">
        <v>0</v>
      </c>
      <c r="U467">
        <v>0</v>
      </c>
      <c r="V467">
        <v>0</v>
      </c>
      <c r="W467">
        <f>S467*B463+T467*B464</f>
        <v>0</v>
      </c>
      <c r="X467">
        <f t="shared" si="148"/>
        <v>1</v>
      </c>
      <c r="Y467">
        <f t="shared" si="149"/>
        <v>9.4581466681000013</v>
      </c>
      <c r="Z467">
        <f t="shared" si="156"/>
        <v>1.0103217596676834</v>
      </c>
      <c r="AC467">
        <v>7.4999999999999997E-2</v>
      </c>
      <c r="AE467">
        <v>0.56999999999999995</v>
      </c>
      <c r="AF467">
        <f t="shared" si="150"/>
        <v>4.0897026192864416</v>
      </c>
      <c r="AG467">
        <f t="shared" si="151"/>
        <v>0.19</v>
      </c>
      <c r="AH467">
        <f t="shared" si="152"/>
        <v>0.6784</v>
      </c>
      <c r="AI467">
        <f>AI461</f>
        <v>0</v>
      </c>
      <c r="AK467">
        <f>AK461</f>
        <v>0.8</v>
      </c>
      <c r="AL467">
        <f>AL461</f>
        <v>100</v>
      </c>
      <c r="AM467">
        <f>AM461</f>
        <v>4.7000000000000002E-3</v>
      </c>
      <c r="AN467">
        <f t="shared" si="157"/>
        <v>0</v>
      </c>
      <c r="AO467">
        <f t="shared" si="158"/>
        <v>2.4775876514330627E-3</v>
      </c>
      <c r="AP467">
        <f t="shared" si="159"/>
        <v>2.4775876514330627E-3</v>
      </c>
      <c r="AQ467">
        <f t="shared" si="160"/>
        <v>6.7823961957980092</v>
      </c>
      <c r="AS467">
        <f t="shared" si="161"/>
        <v>0</v>
      </c>
      <c r="AT467">
        <f t="shared" si="153"/>
        <v>5.9111598773990627E-4</v>
      </c>
      <c r="AU467">
        <f t="shared" si="162"/>
        <v>0.11058888239468335</v>
      </c>
      <c r="AV467">
        <f t="shared" si="154"/>
        <v>302.73706555544567</v>
      </c>
      <c r="AY467">
        <f>AY461</f>
        <v>6.0000000000000001E-3</v>
      </c>
      <c r="BB467">
        <f t="shared" si="163"/>
        <v>0.24</v>
      </c>
    </row>
    <row r="468" spans="1:54" x14ac:dyDescent="0.2">
      <c r="A468" t="s">
        <v>162</v>
      </c>
      <c r="B468">
        <f>IF(B461="Hereford or Shorthorn", 1.1, 1.3)</f>
        <v>1.3</v>
      </c>
      <c r="H468" t="s">
        <v>164</v>
      </c>
      <c r="J468">
        <v>91.25</v>
      </c>
      <c r="K468">
        <v>5</v>
      </c>
      <c r="M468">
        <v>660</v>
      </c>
      <c r="O468">
        <v>-0.27</v>
      </c>
      <c r="P468">
        <v>770</v>
      </c>
      <c r="Q468">
        <f t="shared" si="155"/>
        <v>0.8571428571428571</v>
      </c>
      <c r="S468">
        <v>0</v>
      </c>
      <c r="T468">
        <v>0</v>
      </c>
      <c r="U468">
        <v>0</v>
      </c>
      <c r="V468">
        <v>0</v>
      </c>
      <c r="W468">
        <f>S468*B463+T468*B464</f>
        <v>0</v>
      </c>
      <c r="X468">
        <f t="shared" si="148"/>
        <v>1</v>
      </c>
      <c r="Y468">
        <f t="shared" si="149"/>
        <v>8.7840511641000028</v>
      </c>
      <c r="Z468">
        <f t="shared" si="156"/>
        <v>0.94498646780676276</v>
      </c>
      <c r="AC468">
        <v>5.2999999999999999E-2</v>
      </c>
      <c r="AE468">
        <v>0.54</v>
      </c>
      <c r="AF468">
        <f t="shared" si="150"/>
        <v>4.0406635354860008</v>
      </c>
      <c r="AG468">
        <f t="shared" si="151"/>
        <v>0.19</v>
      </c>
      <c r="AH468">
        <f t="shared" si="152"/>
        <v>0.6784</v>
      </c>
      <c r="AI468">
        <f>AI461</f>
        <v>0</v>
      </c>
      <c r="AK468">
        <f>AK461</f>
        <v>0.8</v>
      </c>
      <c r="AL468">
        <f>AL461</f>
        <v>100</v>
      </c>
      <c r="AM468">
        <f>AM461</f>
        <v>4.7000000000000002E-3</v>
      </c>
      <c r="AN468">
        <f t="shared" si="157"/>
        <v>0</v>
      </c>
      <c r="AO468">
        <f t="shared" si="158"/>
        <v>2.4478792252290169E-3</v>
      </c>
      <c r="AP468">
        <f t="shared" si="159"/>
        <v>2.4478792252290169E-3</v>
      </c>
      <c r="AQ468">
        <f t="shared" si="160"/>
        <v>1.1168448965107389</v>
      </c>
      <c r="AS468">
        <f t="shared" si="161"/>
        <v>0</v>
      </c>
      <c r="AT468">
        <f t="shared" si="153"/>
        <v>-3.2184428235015224E-3</v>
      </c>
      <c r="AU468">
        <f t="shared" si="162"/>
        <v>7.5415428861821843E-2</v>
      </c>
      <c r="AV468">
        <f t="shared" si="154"/>
        <v>34.408289418206216</v>
      </c>
      <c r="AY468">
        <f>AY461</f>
        <v>6.0000000000000001E-3</v>
      </c>
      <c r="BB468">
        <f t="shared" si="163"/>
        <v>0.24</v>
      </c>
    </row>
    <row r="469" spans="1:54" x14ac:dyDescent="0.2">
      <c r="A469" t="s">
        <v>163</v>
      </c>
      <c r="B469">
        <f>IF(B461="Hereford or Shorthorn", 0, 1.1)</f>
        <v>1.1000000000000001</v>
      </c>
      <c r="G469" t="s">
        <v>177</v>
      </c>
      <c r="H469" t="s">
        <v>160</v>
      </c>
      <c r="J469">
        <v>91.25</v>
      </c>
      <c r="K469">
        <v>100</v>
      </c>
      <c r="M469">
        <v>319</v>
      </c>
      <c r="O469">
        <v>0.21</v>
      </c>
      <c r="P469">
        <v>550</v>
      </c>
      <c r="Q469">
        <f t="shared" si="155"/>
        <v>0.57999999999999996</v>
      </c>
      <c r="S469">
        <v>0</v>
      </c>
      <c r="T469">
        <v>0</v>
      </c>
      <c r="U469">
        <v>0</v>
      </c>
      <c r="V469">
        <v>0</v>
      </c>
      <c r="W469">
        <f>S469*B463+T469*B464</f>
        <v>0</v>
      </c>
      <c r="X469">
        <f t="shared" si="148"/>
        <v>1</v>
      </c>
      <c r="Y469">
        <f t="shared" si="149"/>
        <v>5.9284039464259592</v>
      </c>
      <c r="Z469">
        <f t="shared" si="156"/>
        <v>1.0566337737229126</v>
      </c>
      <c r="AC469">
        <v>5.8000000000000003E-2</v>
      </c>
      <c r="AE469">
        <v>0.55000000000000004</v>
      </c>
      <c r="AF469">
        <f t="shared" si="150"/>
        <v>2.6725244990488224</v>
      </c>
      <c r="AG469">
        <f t="shared" si="151"/>
        <v>0.19</v>
      </c>
      <c r="AH469">
        <f t="shared" si="152"/>
        <v>0.6784</v>
      </c>
      <c r="AI469">
        <f>AI461</f>
        <v>0</v>
      </c>
      <c r="AK469">
        <f>AK461</f>
        <v>0.8</v>
      </c>
      <c r="AL469">
        <f>AL461</f>
        <v>100</v>
      </c>
      <c r="AM469">
        <f>AM461</f>
        <v>4.7000000000000002E-3</v>
      </c>
      <c r="AN469">
        <f t="shared" si="157"/>
        <v>0</v>
      </c>
      <c r="AO469">
        <f t="shared" si="158"/>
        <v>1.6190452737981657E-3</v>
      </c>
      <c r="AP469">
        <f t="shared" si="159"/>
        <v>1.6190452737981657E-3</v>
      </c>
      <c r="AQ469">
        <f t="shared" si="160"/>
        <v>14.773788123408261</v>
      </c>
      <c r="AS469">
        <f t="shared" si="161"/>
        <v>0</v>
      </c>
      <c r="AT469">
        <f t="shared" si="153"/>
        <v>3.3818975128239821E-3</v>
      </c>
      <c r="AU469">
        <f t="shared" si="162"/>
        <v>5.0305209092552393E-2</v>
      </c>
      <c r="AV469">
        <f t="shared" si="154"/>
        <v>459.03503296954057</v>
      </c>
      <c r="AY469">
        <f>AY461</f>
        <v>6.0000000000000001E-3</v>
      </c>
      <c r="BB469">
        <f t="shared" si="163"/>
        <v>0.24</v>
      </c>
    </row>
    <row r="470" spans="1:54" x14ac:dyDescent="0.2">
      <c r="A470" t="s">
        <v>164</v>
      </c>
      <c r="B470">
        <v>0</v>
      </c>
      <c r="G470">
        <v>4</v>
      </c>
      <c r="H470" t="s">
        <v>162</v>
      </c>
      <c r="J470">
        <v>91.25</v>
      </c>
      <c r="K470">
        <v>140</v>
      </c>
      <c r="M470">
        <v>262</v>
      </c>
      <c r="O470">
        <v>0.22</v>
      </c>
      <c r="P470">
        <v>550</v>
      </c>
      <c r="Q470">
        <f t="shared" si="155"/>
        <v>0.47636363636363638</v>
      </c>
      <c r="S470">
        <v>0</v>
      </c>
      <c r="T470">
        <v>0</v>
      </c>
      <c r="U470">
        <v>0</v>
      </c>
      <c r="V470">
        <v>0</v>
      </c>
      <c r="W470">
        <f>S470*B463+T470*B464</f>
        <v>0</v>
      </c>
      <c r="X470">
        <f t="shared" si="148"/>
        <v>1</v>
      </c>
      <c r="Y470">
        <f t="shared" si="149"/>
        <v>5.1316094613913625</v>
      </c>
      <c r="Z470">
        <f t="shared" si="156"/>
        <v>1.0641104561175354</v>
      </c>
      <c r="AC470">
        <v>9.1999999999999998E-2</v>
      </c>
      <c r="AE470">
        <v>0.61</v>
      </c>
      <c r="AF470">
        <f t="shared" si="150"/>
        <v>2.0300647029264232</v>
      </c>
      <c r="AG470">
        <f t="shared" si="151"/>
        <v>0.19</v>
      </c>
      <c r="AH470">
        <f t="shared" si="152"/>
        <v>0.6784</v>
      </c>
      <c r="AI470">
        <f>AI461</f>
        <v>0</v>
      </c>
      <c r="AK470">
        <f>AK461</f>
        <v>0.8</v>
      </c>
      <c r="AL470">
        <f>AL461</f>
        <v>100</v>
      </c>
      <c r="AM470">
        <f>AM461</f>
        <v>4.7000000000000002E-3</v>
      </c>
      <c r="AN470">
        <f t="shared" si="157"/>
        <v>0</v>
      </c>
      <c r="AO470">
        <f t="shared" si="158"/>
        <v>1.2298359337575E-3</v>
      </c>
      <c r="AP470">
        <f t="shared" si="159"/>
        <v>1.2298359337575E-3</v>
      </c>
      <c r="AQ470">
        <f t="shared" si="160"/>
        <v>15.711154053752063</v>
      </c>
      <c r="AS470">
        <f t="shared" si="161"/>
        <v>0</v>
      </c>
      <c r="AT470">
        <f t="shared" si="153"/>
        <v>4.1820390247112585E-3</v>
      </c>
      <c r="AU470">
        <f t="shared" si="162"/>
        <v>7.02091096956559E-2</v>
      </c>
      <c r="AV470">
        <f t="shared" si="154"/>
        <v>896.92137636200403</v>
      </c>
      <c r="AY470">
        <f>AY461</f>
        <v>6.0000000000000001E-3</v>
      </c>
      <c r="BB470">
        <f t="shared" si="163"/>
        <v>0.24</v>
      </c>
    </row>
    <row r="471" spans="1:54" x14ac:dyDescent="0.2">
      <c r="H471" t="s">
        <v>163</v>
      </c>
      <c r="J471">
        <v>91.25</v>
      </c>
      <c r="K471">
        <v>130</v>
      </c>
      <c r="M471">
        <v>266</v>
      </c>
      <c r="O471">
        <v>0.25</v>
      </c>
      <c r="P471">
        <v>550</v>
      </c>
      <c r="Q471">
        <f t="shared" si="155"/>
        <v>0.48363636363636364</v>
      </c>
      <c r="S471">
        <v>0</v>
      </c>
      <c r="T471">
        <v>0</v>
      </c>
      <c r="U471">
        <v>0</v>
      </c>
      <c r="V471">
        <v>0</v>
      </c>
      <c r="W471">
        <f>S471*B463+T471*B464</f>
        <v>0</v>
      </c>
      <c r="X471">
        <f t="shared" si="148"/>
        <v>1</v>
      </c>
      <c r="Y471">
        <f t="shared" si="149"/>
        <v>5.2323103857153592</v>
      </c>
      <c r="Z471">
        <f t="shared" si="156"/>
        <v>1.0725810110635874</v>
      </c>
      <c r="AC471">
        <v>7.4999999999999997E-2</v>
      </c>
      <c r="AE471">
        <v>0.56999999999999995</v>
      </c>
      <c r="AF471">
        <f t="shared" si="150"/>
        <v>2.2624510107833213</v>
      </c>
      <c r="AG471">
        <f t="shared" si="151"/>
        <v>0.19</v>
      </c>
      <c r="AH471">
        <f t="shared" si="152"/>
        <v>0.6784</v>
      </c>
      <c r="AI471">
        <f>AI461</f>
        <v>0</v>
      </c>
      <c r="AK471">
        <f>AK461</f>
        <v>0.8</v>
      </c>
      <c r="AL471">
        <f>AL461</f>
        <v>100</v>
      </c>
      <c r="AM471">
        <f>AM461</f>
        <v>4.7000000000000002E-3</v>
      </c>
      <c r="AN471">
        <f t="shared" si="157"/>
        <v>0</v>
      </c>
      <c r="AO471">
        <f t="shared" si="158"/>
        <v>1.370618161783857E-3</v>
      </c>
      <c r="AP471">
        <f t="shared" si="159"/>
        <v>1.370618161783857E-3</v>
      </c>
      <c r="AQ471">
        <f t="shared" si="160"/>
        <v>16.258957944161004</v>
      </c>
      <c r="AS471">
        <f t="shared" si="161"/>
        <v>0</v>
      </c>
      <c r="AT471">
        <f t="shared" si="153"/>
        <v>4.6954527780283528E-3</v>
      </c>
      <c r="AU471">
        <f t="shared" si="162"/>
        <v>5.693303041696586E-2</v>
      </c>
      <c r="AV471">
        <f t="shared" si="154"/>
        <v>675.3680733212575</v>
      </c>
      <c r="AY471">
        <f>AY461</f>
        <v>6.0000000000000001E-3</v>
      </c>
      <c r="BB471">
        <f t="shared" si="163"/>
        <v>0.24</v>
      </c>
    </row>
    <row r="472" spans="1:54" x14ac:dyDescent="0.2">
      <c r="H472" t="s">
        <v>164</v>
      </c>
      <c r="J472">
        <v>91.25</v>
      </c>
      <c r="K472">
        <v>105</v>
      </c>
      <c r="M472">
        <v>307</v>
      </c>
      <c r="O472">
        <v>0.28999999999999998</v>
      </c>
      <c r="P472">
        <v>550</v>
      </c>
      <c r="Q472">
        <f t="shared" si="155"/>
        <v>0.55818181818181822</v>
      </c>
      <c r="S472">
        <v>0</v>
      </c>
      <c r="T472">
        <v>0</v>
      </c>
      <c r="U472">
        <v>0</v>
      </c>
      <c r="V472">
        <v>0</v>
      </c>
      <c r="W472">
        <f>S472*B463+T472*B464</f>
        <v>0</v>
      </c>
      <c r="X472">
        <f t="shared" si="148"/>
        <v>1</v>
      </c>
      <c r="Y472">
        <f t="shared" si="149"/>
        <v>5.8810256168227601</v>
      </c>
      <c r="Z472">
        <f t="shared" si="156"/>
        <v>1.0798188021368404</v>
      </c>
      <c r="AC472">
        <v>5.2999999999999999E-2</v>
      </c>
      <c r="AE472">
        <v>0.54</v>
      </c>
      <c r="AF472">
        <f t="shared" si="150"/>
        <v>2.7052717837384694</v>
      </c>
      <c r="AG472">
        <f t="shared" si="151"/>
        <v>0.19</v>
      </c>
      <c r="AH472">
        <f t="shared" si="152"/>
        <v>0.6784</v>
      </c>
      <c r="AI472">
        <f>AI461</f>
        <v>0</v>
      </c>
      <c r="AK472">
        <f>AK461</f>
        <v>0.8</v>
      </c>
      <c r="AL472">
        <f>AL461</f>
        <v>100</v>
      </c>
      <c r="AM472">
        <f>AM461</f>
        <v>4.7000000000000002E-3</v>
      </c>
      <c r="AN472">
        <f t="shared" si="157"/>
        <v>0</v>
      </c>
      <c r="AO472">
        <f t="shared" si="158"/>
        <v>1.6388839456327427E-3</v>
      </c>
      <c r="AP472">
        <f t="shared" si="159"/>
        <v>1.6388839456327427E-3</v>
      </c>
      <c r="AQ472">
        <f t="shared" si="160"/>
        <v>15.702556804093716</v>
      </c>
      <c r="AS472">
        <f t="shared" si="161"/>
        <v>0</v>
      </c>
      <c r="AT472">
        <f t="shared" si="153"/>
        <v>4.8290295633814807E-3</v>
      </c>
      <c r="AU472">
        <f t="shared" si="162"/>
        <v>4.3751245397483242E-2</v>
      </c>
      <c r="AV472">
        <f t="shared" si="154"/>
        <v>419.19161996463629</v>
      </c>
      <c r="AY472">
        <f>AY461</f>
        <v>6.0000000000000001E-3</v>
      </c>
      <c r="BB472">
        <f t="shared" si="163"/>
        <v>0.24</v>
      </c>
    </row>
    <row r="473" spans="1:54" x14ac:dyDescent="0.2">
      <c r="G473" t="s">
        <v>179</v>
      </c>
      <c r="H473" t="s">
        <v>160</v>
      </c>
      <c r="J473">
        <v>91.25</v>
      </c>
      <c r="K473">
        <v>130</v>
      </c>
      <c r="M473">
        <v>398</v>
      </c>
      <c r="O473">
        <v>0.18</v>
      </c>
      <c r="P473">
        <v>550</v>
      </c>
      <c r="Q473">
        <f t="shared" si="155"/>
        <v>0.72363636363636363</v>
      </c>
      <c r="S473">
        <v>0</v>
      </c>
      <c r="T473">
        <v>0</v>
      </c>
      <c r="U473">
        <v>0</v>
      </c>
      <c r="V473">
        <v>0</v>
      </c>
      <c r="W473">
        <f>S473*B463+T473*B464</f>
        <v>0</v>
      </c>
      <c r="X473">
        <f t="shared" si="148"/>
        <v>1</v>
      </c>
      <c r="Y473">
        <f t="shared" si="149"/>
        <v>6.9525539234841602</v>
      </c>
      <c r="Z473">
        <f t="shared" si="156"/>
        <v>1.0444352539098314</v>
      </c>
      <c r="AC473">
        <v>5.8000000000000003E-2</v>
      </c>
      <c r="AE473">
        <v>0.55000000000000004</v>
      </c>
      <c r="AF473">
        <f t="shared" si="150"/>
        <v>3.1342113087066594</v>
      </c>
      <c r="AG473">
        <f t="shared" si="151"/>
        <v>0.19</v>
      </c>
      <c r="AH473">
        <f t="shared" si="152"/>
        <v>0.6784</v>
      </c>
      <c r="AI473">
        <f>AI461</f>
        <v>0</v>
      </c>
      <c r="AK473">
        <f>AK461</f>
        <v>0.8</v>
      </c>
      <c r="AL473">
        <f>AL461</f>
        <v>100</v>
      </c>
      <c r="AM473">
        <f>AM461</f>
        <v>4.7000000000000002E-3</v>
      </c>
      <c r="AN473">
        <f t="shared" si="157"/>
        <v>0</v>
      </c>
      <c r="AO473">
        <f t="shared" si="158"/>
        <v>1.8987403139811519E-3</v>
      </c>
      <c r="AP473">
        <f t="shared" si="159"/>
        <v>1.8987403139811519E-3</v>
      </c>
      <c r="AQ473">
        <f t="shared" si="160"/>
        <v>22.523806974601417</v>
      </c>
      <c r="AS473">
        <f t="shared" si="161"/>
        <v>0</v>
      </c>
      <c r="AT473">
        <f t="shared" si="153"/>
        <v>2.3984641774666433E-3</v>
      </c>
      <c r="AU473">
        <f t="shared" si="162"/>
        <v>6.0552951292987461E-2</v>
      </c>
      <c r="AV473">
        <f t="shared" si="154"/>
        <v>718.30938471306376</v>
      </c>
      <c r="AY473">
        <f>AY461</f>
        <v>6.0000000000000001E-3</v>
      </c>
      <c r="BB473">
        <f t="shared" si="163"/>
        <v>0.24</v>
      </c>
    </row>
    <row r="474" spans="1:54" x14ac:dyDescent="0.2">
      <c r="G474" t="s">
        <v>195</v>
      </c>
      <c r="H474" t="s">
        <v>162</v>
      </c>
      <c r="J474">
        <v>91.25</v>
      </c>
      <c r="K474">
        <v>162</v>
      </c>
      <c r="M474">
        <v>346</v>
      </c>
      <c r="O474">
        <v>0.24</v>
      </c>
      <c r="P474">
        <v>550</v>
      </c>
      <c r="Q474">
        <f t="shared" si="155"/>
        <v>0.62909090909090915</v>
      </c>
      <c r="S474">
        <v>0.75</v>
      </c>
      <c r="T474">
        <v>0</v>
      </c>
      <c r="U474">
        <v>0</v>
      </c>
      <c r="V474">
        <v>0</v>
      </c>
      <c r="W474">
        <f>S474*B463+T474*B464</f>
        <v>3</v>
      </c>
      <c r="X474">
        <f t="shared" si="148"/>
        <v>1.2250000000000001</v>
      </c>
      <c r="Y474">
        <f t="shared" si="149"/>
        <v>7.7803414805875386</v>
      </c>
      <c r="Z474">
        <f t="shared" si="156"/>
        <v>1.0628075473861764</v>
      </c>
      <c r="AC474">
        <v>9.1999999999999998E-2</v>
      </c>
      <c r="AE474">
        <v>0.61</v>
      </c>
      <c r="AF474">
        <f t="shared" si="150"/>
        <v>3.0779030897204303</v>
      </c>
      <c r="AG474">
        <f t="shared" si="151"/>
        <v>0.19</v>
      </c>
      <c r="AH474">
        <f t="shared" si="152"/>
        <v>0.6784</v>
      </c>
      <c r="AI474">
        <f>AI461</f>
        <v>0</v>
      </c>
      <c r="AK474">
        <f>AK461</f>
        <v>0.8</v>
      </c>
      <c r="AL474">
        <f>AL461</f>
        <v>100</v>
      </c>
      <c r="AM474">
        <f>AM461</f>
        <v>4.7000000000000002E-3</v>
      </c>
      <c r="AN474">
        <f t="shared" si="157"/>
        <v>0</v>
      </c>
      <c r="AO474">
        <f t="shared" si="158"/>
        <v>1.8646281642672419E-3</v>
      </c>
      <c r="AP474">
        <f t="shared" si="159"/>
        <v>1.8646281642672419E-3</v>
      </c>
      <c r="AQ474">
        <f t="shared" si="160"/>
        <v>27.563865838280506</v>
      </c>
      <c r="AS474">
        <f t="shared" si="161"/>
        <v>0</v>
      </c>
      <c r="AT474">
        <f t="shared" si="153"/>
        <v>1.8642626473037535E-2</v>
      </c>
      <c r="AU474">
        <f t="shared" si="162"/>
        <v>9.4472048742192588E-2</v>
      </c>
      <c r="AV474">
        <f t="shared" si="154"/>
        <v>1396.5330605314618</v>
      </c>
      <c r="AY474">
        <f>AY461</f>
        <v>6.0000000000000001E-3</v>
      </c>
      <c r="BB474">
        <f t="shared" si="163"/>
        <v>0.24</v>
      </c>
    </row>
    <row r="475" spans="1:54" x14ac:dyDescent="0.2">
      <c r="H475" t="s">
        <v>163</v>
      </c>
      <c r="J475">
        <v>91.25</v>
      </c>
      <c r="K475">
        <v>158</v>
      </c>
      <c r="M475">
        <v>363</v>
      </c>
      <c r="O475">
        <v>0.28999999999999998</v>
      </c>
      <c r="P475">
        <v>550</v>
      </c>
      <c r="Q475">
        <f t="shared" si="155"/>
        <v>0.66</v>
      </c>
      <c r="S475">
        <v>0.15</v>
      </c>
      <c r="T475">
        <v>0.76</v>
      </c>
      <c r="U475">
        <v>0</v>
      </c>
      <c r="V475">
        <v>0</v>
      </c>
      <c r="W475">
        <f>S475*B463+T475*B464</f>
        <v>2.8800000000000003</v>
      </c>
      <c r="X475">
        <f t="shared" si="148"/>
        <v>1.121</v>
      </c>
      <c r="Y475">
        <f t="shared" si="149"/>
        <v>7.4720697021783042</v>
      </c>
      <c r="Z475">
        <f t="shared" si="156"/>
        <v>1.0747065649634018</v>
      </c>
      <c r="AC475">
        <v>7.4999999999999997E-2</v>
      </c>
      <c r="AE475">
        <v>0.56999999999999995</v>
      </c>
      <c r="AF475">
        <f t="shared" si="150"/>
        <v>3.230922939221899</v>
      </c>
      <c r="AG475">
        <f t="shared" si="151"/>
        <v>0.19</v>
      </c>
      <c r="AH475">
        <f t="shared" si="152"/>
        <v>0.6784</v>
      </c>
      <c r="AI475">
        <f>AI461</f>
        <v>0</v>
      </c>
      <c r="AK475">
        <f>AK461</f>
        <v>0.8</v>
      </c>
      <c r="AL475">
        <f>AL461</f>
        <v>100</v>
      </c>
      <c r="AM475">
        <f>AM461</f>
        <v>4.7000000000000002E-3</v>
      </c>
      <c r="AN475">
        <f t="shared" si="157"/>
        <v>0</v>
      </c>
      <c r="AO475">
        <f t="shared" si="158"/>
        <v>1.9573293029175459E-3</v>
      </c>
      <c r="AP475">
        <f t="shared" si="159"/>
        <v>1.9573293029175459E-3</v>
      </c>
      <c r="AQ475">
        <f t="shared" si="160"/>
        <v>28.219795224813719</v>
      </c>
      <c r="AS475">
        <f t="shared" si="161"/>
        <v>0</v>
      </c>
      <c r="AT475">
        <f t="shared" si="153"/>
        <v>1.8611315844044459E-2</v>
      </c>
      <c r="AU475">
        <f t="shared" si="162"/>
        <v>6.9589852384653192E-2</v>
      </c>
      <c r="AV475">
        <f t="shared" si="154"/>
        <v>1003.3116967557374</v>
      </c>
      <c r="AY475">
        <f>AY461</f>
        <v>6.0000000000000001E-3</v>
      </c>
      <c r="BB475">
        <f t="shared" si="163"/>
        <v>0.24</v>
      </c>
    </row>
    <row r="476" spans="1:54" x14ac:dyDescent="0.2">
      <c r="H476" t="s">
        <v>164</v>
      </c>
      <c r="J476">
        <v>91.25</v>
      </c>
      <c r="K476">
        <v>130</v>
      </c>
      <c r="M476">
        <v>398</v>
      </c>
      <c r="O476">
        <v>0.19</v>
      </c>
      <c r="P476">
        <v>550</v>
      </c>
      <c r="Q476">
        <f t="shared" si="155"/>
        <v>0.72363636363636363</v>
      </c>
      <c r="S476">
        <v>0</v>
      </c>
      <c r="T476">
        <v>0.14000000000000001</v>
      </c>
      <c r="U476">
        <v>0</v>
      </c>
      <c r="V476">
        <v>0</v>
      </c>
      <c r="W476">
        <f>S476*B463+T476*B464</f>
        <v>0.42000000000000004</v>
      </c>
      <c r="X476">
        <f t="shared" si="148"/>
        <v>1.014</v>
      </c>
      <c r="Y476">
        <f t="shared" si="149"/>
        <v>7.0667439513866572</v>
      </c>
      <c r="Z476">
        <f t="shared" si="156"/>
        <v>1.0469322003410177</v>
      </c>
      <c r="AC476">
        <v>5.2999999999999999E-2</v>
      </c>
      <c r="AE476">
        <v>0.54</v>
      </c>
      <c r="AF476">
        <f t="shared" si="150"/>
        <v>3.2507022176378619</v>
      </c>
      <c r="AG476">
        <f t="shared" si="151"/>
        <v>0.19</v>
      </c>
      <c r="AH476">
        <f t="shared" si="152"/>
        <v>0.6784</v>
      </c>
      <c r="AI476">
        <f>AI461</f>
        <v>0</v>
      </c>
      <c r="AK476">
        <f>AK461</f>
        <v>0.8</v>
      </c>
      <c r="AL476">
        <f>AL461</f>
        <v>100</v>
      </c>
      <c r="AM476">
        <f>AM461</f>
        <v>4.7000000000000002E-3</v>
      </c>
      <c r="AN476">
        <f t="shared" si="157"/>
        <v>0</v>
      </c>
      <c r="AO476">
        <f t="shared" si="158"/>
        <v>1.9693118113098544E-3</v>
      </c>
      <c r="AP476">
        <f t="shared" si="159"/>
        <v>1.9693118113098544E-3</v>
      </c>
      <c r="AQ476">
        <f t="shared" si="160"/>
        <v>23.360961361663147</v>
      </c>
      <c r="AS476">
        <f t="shared" si="161"/>
        <v>0</v>
      </c>
      <c r="AT476">
        <f t="shared" si="153"/>
        <v>4.6382251744037286E-3</v>
      </c>
      <c r="AU476">
        <f t="shared" si="162"/>
        <v>5.3719478593876206E-2</v>
      </c>
      <c r="AV476">
        <f t="shared" si="154"/>
        <v>637.24731481985646</v>
      </c>
      <c r="AY476">
        <f>AY461</f>
        <v>6.0000000000000001E-3</v>
      </c>
      <c r="BB476">
        <f t="shared" si="163"/>
        <v>0.24</v>
      </c>
    </row>
    <row r="477" spans="1:54" x14ac:dyDescent="0.2">
      <c r="G477" t="s">
        <v>176</v>
      </c>
      <c r="H477" t="s">
        <v>160</v>
      </c>
      <c r="J477">
        <v>91.25</v>
      </c>
      <c r="K477">
        <v>30</v>
      </c>
      <c r="M477">
        <v>227</v>
      </c>
      <c r="O477">
        <v>0.2</v>
      </c>
      <c r="P477">
        <v>550</v>
      </c>
      <c r="Q477">
        <f t="shared" si="155"/>
        <v>0.41272727272727272</v>
      </c>
      <c r="S477">
        <v>0</v>
      </c>
      <c r="T477">
        <v>0</v>
      </c>
      <c r="U477">
        <f>25/K477</f>
        <v>0.83333333333333337</v>
      </c>
      <c r="V477">
        <f>5/K477</f>
        <v>0.16666666666666666</v>
      </c>
      <c r="W477">
        <f>S477*B463+T477*B464</f>
        <v>0</v>
      </c>
      <c r="X477">
        <f t="shared" si="148"/>
        <v>1</v>
      </c>
      <c r="Y477">
        <f t="shared" si="149"/>
        <v>4.5993288903411607</v>
      </c>
      <c r="Z477">
        <f t="shared" si="156"/>
        <v>1.0614462046087929</v>
      </c>
      <c r="AC477">
        <v>5.8000000000000003E-2</v>
      </c>
      <c r="AE477">
        <v>0.55000000000000004</v>
      </c>
      <c r="AF477">
        <f t="shared" si="150"/>
        <v>2.0733774637657949</v>
      </c>
      <c r="AG477">
        <f t="shared" si="151"/>
        <v>0.19</v>
      </c>
      <c r="AH477">
        <f t="shared" si="152"/>
        <v>0.6784</v>
      </c>
      <c r="AI477">
        <f>AI461</f>
        <v>0</v>
      </c>
      <c r="AK477">
        <f>AK461</f>
        <v>0.8</v>
      </c>
      <c r="AL477">
        <f>AL461</f>
        <v>100</v>
      </c>
      <c r="AM477">
        <f>AM461</f>
        <v>4.7000000000000002E-3</v>
      </c>
      <c r="AN477">
        <f t="shared" si="157"/>
        <v>0</v>
      </c>
      <c r="AO477">
        <f t="shared" si="158"/>
        <v>1.2560752893769126E-3</v>
      </c>
      <c r="AP477">
        <f t="shared" si="159"/>
        <v>1.2560752893769126E-3</v>
      </c>
      <c r="AQ477">
        <f t="shared" si="160"/>
        <v>3.438506104669298</v>
      </c>
      <c r="AS477">
        <f t="shared" si="161"/>
        <v>3.8333333333333335</v>
      </c>
      <c r="AT477">
        <f t="shared" si="153"/>
        <v>4.2081392574271738E-3</v>
      </c>
      <c r="AU477">
        <f t="shared" si="162"/>
        <v>5.6671106598006053E-2</v>
      </c>
      <c r="AV477">
        <f t="shared" si="154"/>
        <v>155.13715431204159</v>
      </c>
      <c r="AY477">
        <f>AY461</f>
        <v>6.0000000000000001E-3</v>
      </c>
      <c r="BB477">
        <f t="shared" si="163"/>
        <v>0.24</v>
      </c>
    </row>
    <row r="478" spans="1:54" x14ac:dyDescent="0.2">
      <c r="G478">
        <v>3</v>
      </c>
      <c r="H478" t="s">
        <v>162</v>
      </c>
      <c r="J478">
        <v>91.25</v>
      </c>
      <c r="K478">
        <v>68</v>
      </c>
      <c r="M478">
        <v>108</v>
      </c>
      <c r="O478">
        <v>0.68</v>
      </c>
      <c r="P478">
        <v>550</v>
      </c>
      <c r="Q478">
        <f t="shared" si="155"/>
        <v>0.19636363636363635</v>
      </c>
      <c r="S478">
        <v>0</v>
      </c>
      <c r="T478">
        <v>0</v>
      </c>
      <c r="U478">
        <f>40/K478</f>
        <v>0.58823529411764708</v>
      </c>
      <c r="V478">
        <f>25/K478</f>
        <v>0.36764705882352944</v>
      </c>
      <c r="W478">
        <f>S478*B463+T478*B464</f>
        <v>0</v>
      </c>
      <c r="X478">
        <f t="shared" si="148"/>
        <v>1</v>
      </c>
      <c r="Y478">
        <f t="shared" si="149"/>
        <v>3.45660084228096</v>
      </c>
      <c r="Z478">
        <f t="shared" si="156"/>
        <v>1.27738204147593</v>
      </c>
      <c r="AC478">
        <v>9.1999999999999998E-2</v>
      </c>
      <c r="AE478">
        <v>0.61</v>
      </c>
      <c r="AF478">
        <f t="shared" si="150"/>
        <v>1.3674312932063479</v>
      </c>
      <c r="AG478">
        <f t="shared" si="151"/>
        <v>0.19</v>
      </c>
      <c r="AH478">
        <f t="shared" si="152"/>
        <v>0.6784</v>
      </c>
      <c r="AI478">
        <f>AI461</f>
        <v>0</v>
      </c>
      <c r="AK478">
        <f>AK461</f>
        <v>0.8</v>
      </c>
      <c r="AL478">
        <f>AL461</f>
        <v>100</v>
      </c>
      <c r="AM478">
        <f>AM461</f>
        <v>4.7000000000000002E-3</v>
      </c>
      <c r="AN478">
        <f t="shared" si="157"/>
        <v>0</v>
      </c>
      <c r="AO478">
        <f t="shared" si="158"/>
        <v>8.2840519265488959E-4</v>
      </c>
      <c r="AP478">
        <f t="shared" si="159"/>
        <v>8.2840519265488959E-4</v>
      </c>
      <c r="AQ478">
        <f t="shared" si="160"/>
        <v>5.1402542204235901</v>
      </c>
      <c r="AS478">
        <f t="shared" si="161"/>
        <v>3.4558823529411766</v>
      </c>
      <c r="AT478">
        <f t="shared" si="153"/>
        <v>1.8477598953466554E-2</v>
      </c>
      <c r="AU478">
        <f t="shared" si="162"/>
        <v>4.9147513405887043E-2</v>
      </c>
      <c r="AV478">
        <f t="shared" si="154"/>
        <v>304.96032068352912</v>
      </c>
      <c r="AY478">
        <f>AY461</f>
        <v>6.0000000000000001E-3</v>
      </c>
      <c r="BB478">
        <f t="shared" si="163"/>
        <v>0.24</v>
      </c>
    </row>
    <row r="479" spans="1:54" x14ac:dyDescent="0.2">
      <c r="H479" t="s">
        <v>163</v>
      </c>
      <c r="J479">
        <v>91.25</v>
      </c>
      <c r="K479">
        <v>65</v>
      </c>
      <c r="M479">
        <v>170</v>
      </c>
      <c r="O479">
        <v>0.64</v>
      </c>
      <c r="P479">
        <v>550</v>
      </c>
      <c r="Q479">
        <f t="shared" si="155"/>
        <v>0.30909090909090908</v>
      </c>
      <c r="S479">
        <v>0</v>
      </c>
      <c r="T479">
        <v>0</v>
      </c>
      <c r="U479">
        <v>0</v>
      </c>
      <c r="V479">
        <f>40/K479</f>
        <v>0.61538461538461542</v>
      </c>
      <c r="W479">
        <f>S479*B463+T479*B464</f>
        <v>0</v>
      </c>
      <c r="X479">
        <f t="shared" si="148"/>
        <v>1</v>
      </c>
      <c r="Y479">
        <f t="shared" si="149"/>
        <v>4.3399722276000006</v>
      </c>
      <c r="Z479">
        <f t="shared" si="156"/>
        <v>1.2257577411681457</v>
      </c>
      <c r="AC479">
        <v>7.4999999999999997E-2</v>
      </c>
      <c r="AE479">
        <v>0.56999999999999995</v>
      </c>
      <c r="AF479">
        <f t="shared" si="150"/>
        <v>1.8766039912142403</v>
      </c>
      <c r="AG479">
        <f t="shared" si="151"/>
        <v>0.19</v>
      </c>
      <c r="AH479">
        <f t="shared" si="152"/>
        <v>0.6784</v>
      </c>
      <c r="AI479">
        <f>AI461</f>
        <v>0</v>
      </c>
      <c r="AK479">
        <f>AK461</f>
        <v>0.8</v>
      </c>
      <c r="AL479">
        <f>AL461</f>
        <v>100</v>
      </c>
      <c r="AM479">
        <f>AM461</f>
        <v>4.7000000000000002E-3</v>
      </c>
      <c r="AN479">
        <f t="shared" si="157"/>
        <v>0</v>
      </c>
      <c r="AO479">
        <f t="shared" si="158"/>
        <v>1.1368677158422884E-3</v>
      </c>
      <c r="AP479">
        <f t="shared" si="159"/>
        <v>1.1368677158422884E-3</v>
      </c>
      <c r="AQ479">
        <f t="shared" si="160"/>
        <v>6.743046639589573</v>
      </c>
      <c r="AS479">
        <f t="shared" si="161"/>
        <v>1.8461538461538463</v>
      </c>
      <c r="AT479">
        <f t="shared" si="153"/>
        <v>1.5502163078436987E-2</v>
      </c>
      <c r="AU479">
        <f t="shared" si="162"/>
        <v>4.5008601012273677E-2</v>
      </c>
      <c r="AV479">
        <f t="shared" si="154"/>
        <v>266.95726475404825</v>
      </c>
      <c r="AY479">
        <f>AY461</f>
        <v>6.0000000000000001E-3</v>
      </c>
      <c r="BB479">
        <f t="shared" si="163"/>
        <v>0.24</v>
      </c>
    </row>
    <row r="480" spans="1:54" x14ac:dyDescent="0.2">
      <c r="H480" t="s">
        <v>164</v>
      </c>
      <c r="J480">
        <v>91.25</v>
      </c>
      <c r="K480">
        <v>62</v>
      </c>
      <c r="M480">
        <v>225</v>
      </c>
      <c r="O480">
        <v>0.31</v>
      </c>
      <c r="P480">
        <v>550</v>
      </c>
      <c r="Q480">
        <f t="shared" si="155"/>
        <v>0.40909090909090912</v>
      </c>
      <c r="S480">
        <v>0</v>
      </c>
      <c r="T480">
        <v>0</v>
      </c>
      <c r="U480">
        <f>5/K480</f>
        <v>8.0645161290322578E-2</v>
      </c>
      <c r="V480">
        <v>0</v>
      </c>
      <c r="W480">
        <f>S480*B463+T480*B464</f>
        <v>0</v>
      </c>
      <c r="X480">
        <f t="shared" si="148"/>
        <v>1</v>
      </c>
      <c r="Y480">
        <f t="shared" si="149"/>
        <v>4.7198648756249995</v>
      </c>
      <c r="Z480">
        <f t="shared" si="156"/>
        <v>1.0963410853087934</v>
      </c>
      <c r="AC480">
        <v>5.2999999999999999E-2</v>
      </c>
      <c r="AE480">
        <v>0.54</v>
      </c>
      <c r="AF480">
        <f t="shared" si="150"/>
        <v>2.1711378427874997</v>
      </c>
      <c r="AG480">
        <f t="shared" si="151"/>
        <v>0.19</v>
      </c>
      <c r="AH480">
        <f t="shared" si="152"/>
        <v>0.6784</v>
      </c>
      <c r="AI480">
        <f>AI461</f>
        <v>0</v>
      </c>
      <c r="AK480">
        <f>AK461</f>
        <v>0.8</v>
      </c>
      <c r="AL480">
        <f>AL461</f>
        <v>100</v>
      </c>
      <c r="AM480">
        <f>AM461</f>
        <v>4.7000000000000002E-3</v>
      </c>
      <c r="AN480">
        <f t="shared" si="157"/>
        <v>0</v>
      </c>
      <c r="AO480">
        <f t="shared" si="158"/>
        <v>1.3152996219045064E-3</v>
      </c>
      <c r="AP480">
        <f t="shared" si="159"/>
        <v>1.3152996219045064E-3</v>
      </c>
      <c r="AQ480">
        <f t="shared" si="160"/>
        <v>7.4413076109247456</v>
      </c>
      <c r="AS480">
        <f t="shared" si="161"/>
        <v>0.32258064516129031</v>
      </c>
      <c r="AT480">
        <f t="shared" si="153"/>
        <v>6.553095678559071E-3</v>
      </c>
      <c r="AU480">
        <f>MAX((Y480*AC480/6.25)+(0.032*AS480/6.38)-AT480-((1.1*(10^-4)*(M480^0.75))/6.25), 0)</f>
        <v>3.4066850212113524E-2</v>
      </c>
      <c r="AV480">
        <f t="shared" si="154"/>
        <v>192.73320507503226</v>
      </c>
      <c r="AY480">
        <f>AY461</f>
        <v>6.0000000000000001E-3</v>
      </c>
      <c r="BB480">
        <f t="shared" si="163"/>
        <v>0.24</v>
      </c>
    </row>
    <row r="481" spans="7:54" x14ac:dyDescent="0.2">
      <c r="G481" t="s">
        <v>182</v>
      </c>
      <c r="H481" t="s">
        <v>160</v>
      </c>
      <c r="J481">
        <v>91.25</v>
      </c>
      <c r="K481">
        <v>120</v>
      </c>
      <c r="M481">
        <v>452</v>
      </c>
      <c r="O481">
        <v>0.01</v>
      </c>
      <c r="P481">
        <v>550</v>
      </c>
      <c r="Q481">
        <f t="shared" si="155"/>
        <v>0.82181818181818178</v>
      </c>
      <c r="S481">
        <v>0</v>
      </c>
      <c r="T481">
        <v>0</v>
      </c>
      <c r="U481">
        <v>0</v>
      </c>
      <c r="V481">
        <v>0</v>
      </c>
      <c r="W481">
        <f>S481*B463+T481*B464</f>
        <v>0</v>
      </c>
      <c r="X481">
        <f t="shared" si="148"/>
        <v>1</v>
      </c>
      <c r="Y481">
        <f t="shared" si="149"/>
        <v>7.3388955543681602</v>
      </c>
      <c r="Z481">
        <f t="shared" si="156"/>
        <v>1.0023296098263021</v>
      </c>
      <c r="AC481">
        <v>5.8000000000000003E-2</v>
      </c>
      <c r="AE481">
        <v>0.55000000000000004</v>
      </c>
      <c r="AF481">
        <f t="shared" si="150"/>
        <v>3.3083741159091664</v>
      </c>
      <c r="AG481">
        <f t="shared" si="151"/>
        <v>0.19</v>
      </c>
      <c r="AH481">
        <f t="shared" si="152"/>
        <v>0.6784</v>
      </c>
      <c r="AI481">
        <f>AI461</f>
        <v>0</v>
      </c>
      <c r="AK481">
        <f>AK461</f>
        <v>0.8</v>
      </c>
      <c r="AL481">
        <f>AL461</f>
        <v>100</v>
      </c>
      <c r="AM481">
        <f>AM461</f>
        <v>4.7000000000000002E-3</v>
      </c>
      <c r="AN481">
        <f t="shared" si="157"/>
        <v>0</v>
      </c>
      <c r="AO481">
        <f t="shared" si="158"/>
        <v>2.0042500932078711E-3</v>
      </c>
      <c r="AP481">
        <f t="shared" si="159"/>
        <v>2.0042500932078711E-3</v>
      </c>
      <c r="AQ481">
        <f t="shared" si="160"/>
        <v>21.946538520626188</v>
      </c>
      <c r="AS481">
        <f t="shared" si="161"/>
        <v>0</v>
      </c>
      <c r="AT481">
        <f t="shared" si="153"/>
        <v>1.2204222287501291E-4</v>
      </c>
      <c r="AU481">
        <f t="shared" si="162"/>
        <v>6.6257601086412599E-2</v>
      </c>
      <c r="AV481">
        <f t="shared" si="154"/>
        <v>725.52073189621797</v>
      </c>
      <c r="AY481">
        <f>AY461</f>
        <v>6.0000000000000001E-3</v>
      </c>
      <c r="BB481">
        <f t="shared" si="163"/>
        <v>0.24</v>
      </c>
    </row>
    <row r="482" spans="7:54" x14ac:dyDescent="0.2">
      <c r="G482" t="s">
        <v>196</v>
      </c>
      <c r="H482" t="s">
        <v>162</v>
      </c>
      <c r="J482">
        <v>91.25</v>
      </c>
      <c r="K482">
        <v>155</v>
      </c>
      <c r="M482">
        <v>430</v>
      </c>
      <c r="O482">
        <v>0.25</v>
      </c>
      <c r="P482">
        <v>550</v>
      </c>
      <c r="Q482">
        <f t="shared" si="155"/>
        <v>0.78181818181818186</v>
      </c>
      <c r="S482">
        <v>0.8</v>
      </c>
      <c r="T482">
        <v>0</v>
      </c>
      <c r="U482">
        <v>0</v>
      </c>
      <c r="V482">
        <v>0</v>
      </c>
      <c r="W482">
        <f>S482*B463+T482*B464</f>
        <v>3.2</v>
      </c>
      <c r="X482">
        <f t="shared" si="148"/>
        <v>1.24</v>
      </c>
      <c r="Y482">
        <f t="shared" si="149"/>
        <v>9.2769034426840005</v>
      </c>
      <c r="Z482">
        <f t="shared" si="156"/>
        <v>1.0601682394306124</v>
      </c>
      <c r="AC482">
        <v>9.1999999999999998E-2</v>
      </c>
      <c r="AE482">
        <v>0.61</v>
      </c>
      <c r="AF482">
        <f t="shared" si="150"/>
        <v>3.669943001925791</v>
      </c>
      <c r="AG482">
        <f t="shared" si="151"/>
        <v>0.19</v>
      </c>
      <c r="AH482">
        <f t="shared" si="152"/>
        <v>0.6784</v>
      </c>
      <c r="AI482">
        <f>AI461</f>
        <v>0</v>
      </c>
      <c r="AK482">
        <f>AK461</f>
        <v>0.8</v>
      </c>
      <c r="AL482">
        <f>AL461</f>
        <v>100</v>
      </c>
      <c r="AM482">
        <f>AM461</f>
        <v>4.7000000000000002E-3</v>
      </c>
      <c r="AN482">
        <f t="shared" si="157"/>
        <v>0</v>
      </c>
      <c r="AO482">
        <f t="shared" si="158"/>
        <v>2.223292573928266E-3</v>
      </c>
      <c r="AP482">
        <f t="shared" si="159"/>
        <v>2.223292573928266E-3</v>
      </c>
      <c r="AQ482">
        <f t="shared" si="160"/>
        <v>31.445694342497909</v>
      </c>
      <c r="AS482">
        <f t="shared" si="161"/>
        <v>0</v>
      </c>
      <c r="AT482">
        <f t="shared" si="153"/>
        <v>1.9198537232460542E-2</v>
      </c>
      <c r="AU482">
        <f t="shared" si="162"/>
        <v>0.11569554653788715</v>
      </c>
      <c r="AV482">
        <f t="shared" si="154"/>
        <v>1636.3688863452412</v>
      </c>
      <c r="AY482">
        <f>AY461</f>
        <v>6.0000000000000001E-3</v>
      </c>
      <c r="BB482">
        <f t="shared" si="163"/>
        <v>0.24</v>
      </c>
    </row>
    <row r="483" spans="7:54" x14ac:dyDescent="0.2">
      <c r="H483" t="s">
        <v>163</v>
      </c>
      <c r="J483">
        <v>91.25</v>
      </c>
      <c r="K483">
        <v>152</v>
      </c>
      <c r="M483">
        <v>444</v>
      </c>
      <c r="O483">
        <v>0.12</v>
      </c>
      <c r="P483">
        <v>550</v>
      </c>
      <c r="Q483">
        <f t="shared" si="155"/>
        <v>0.80727272727272725</v>
      </c>
      <c r="S483">
        <v>0.1</v>
      </c>
      <c r="T483">
        <v>0.81</v>
      </c>
      <c r="U483">
        <v>0</v>
      </c>
      <c r="V483">
        <v>0</v>
      </c>
      <c r="W483">
        <f>S483*B463+T483*B464</f>
        <v>2.83</v>
      </c>
      <c r="X483">
        <f t="shared" si="148"/>
        <v>1.1110000000000002</v>
      </c>
      <c r="Y483">
        <f t="shared" si="149"/>
        <v>8.2559642019463073</v>
      </c>
      <c r="Z483">
        <f t="shared" si="156"/>
        <v>1.0283205641079969</v>
      </c>
      <c r="AC483">
        <v>7.4999999999999997E-2</v>
      </c>
      <c r="AE483">
        <v>0.56999999999999995</v>
      </c>
      <c r="AF483">
        <f t="shared" si="150"/>
        <v>3.569878920921584</v>
      </c>
      <c r="AG483">
        <f t="shared" si="151"/>
        <v>0.19</v>
      </c>
      <c r="AH483">
        <f t="shared" si="152"/>
        <v>0.6784</v>
      </c>
      <c r="AI483">
        <f>AI461</f>
        <v>0</v>
      </c>
      <c r="AK483">
        <f>AK461</f>
        <v>0.8</v>
      </c>
      <c r="AL483">
        <f>AL461</f>
        <v>100</v>
      </c>
      <c r="AM483">
        <f>AM461</f>
        <v>4.7000000000000002E-3</v>
      </c>
      <c r="AN483">
        <f t="shared" si="157"/>
        <v>0</v>
      </c>
      <c r="AO483">
        <f t="shared" si="158"/>
        <v>2.1626726329382101E-3</v>
      </c>
      <c r="AP483">
        <f t="shared" si="159"/>
        <v>2.1626726329382101E-3</v>
      </c>
      <c r="AQ483">
        <f t="shared" si="160"/>
        <v>29.996269418852975</v>
      </c>
      <c r="AS483">
        <f t="shared" si="161"/>
        <v>0</v>
      </c>
      <c r="AT483">
        <f t="shared" si="153"/>
        <v>1.567473939760166E-2</v>
      </c>
      <c r="AU483">
        <f t="shared" si="162"/>
        <v>8.169447694784969E-2</v>
      </c>
      <c r="AV483">
        <f t="shared" si="154"/>
        <v>1133.1023952666751</v>
      </c>
      <c r="AY483">
        <f>AY461</f>
        <v>6.0000000000000001E-3</v>
      </c>
      <c r="BB483">
        <f t="shared" si="163"/>
        <v>0.24</v>
      </c>
    </row>
    <row r="484" spans="7:54" x14ac:dyDescent="0.2">
      <c r="H484" t="s">
        <v>164</v>
      </c>
      <c r="J484">
        <v>91.25</v>
      </c>
      <c r="K484">
        <v>89</v>
      </c>
      <c r="M484">
        <v>452</v>
      </c>
      <c r="O484">
        <v>0.04</v>
      </c>
      <c r="P484">
        <v>550</v>
      </c>
      <c r="Q484">
        <f t="shared" si="155"/>
        <v>0.82181818181818178</v>
      </c>
      <c r="S484">
        <v>0</v>
      </c>
      <c r="T484">
        <v>0.05</v>
      </c>
      <c r="U484">
        <v>0</v>
      </c>
      <c r="V484">
        <v>0</v>
      </c>
      <c r="W484">
        <f>S484*B463+T484*B464</f>
        <v>0.15000000000000002</v>
      </c>
      <c r="X484">
        <f t="shared" si="148"/>
        <v>1.0049999999999999</v>
      </c>
      <c r="Y484">
        <f t="shared" si="149"/>
        <v>7.4271366338346994</v>
      </c>
      <c r="Z484">
        <f t="shared" si="156"/>
        <v>1.0093347016141287</v>
      </c>
      <c r="AC484">
        <v>5.2999999999999999E-2</v>
      </c>
      <c r="AE484">
        <v>0.54</v>
      </c>
      <c r="AF484">
        <f t="shared" si="150"/>
        <v>3.4164828515639614</v>
      </c>
      <c r="AG484">
        <f t="shared" si="151"/>
        <v>0.19</v>
      </c>
      <c r="AH484">
        <f t="shared" si="152"/>
        <v>0.6784</v>
      </c>
      <c r="AI484">
        <f>AI461</f>
        <v>0</v>
      </c>
      <c r="AK484">
        <f>AK461</f>
        <v>0.8</v>
      </c>
      <c r="AL484">
        <f>AL461</f>
        <v>100</v>
      </c>
      <c r="AM484">
        <f>AM461</f>
        <v>4.7000000000000002E-3</v>
      </c>
      <c r="AN484">
        <f t="shared" si="157"/>
        <v>0</v>
      </c>
      <c r="AO484">
        <f t="shared" si="158"/>
        <v>2.0697435760853853E-3</v>
      </c>
      <c r="AP484">
        <f t="shared" si="159"/>
        <v>2.0697435760853853E-3</v>
      </c>
      <c r="AQ484">
        <f t="shared" si="160"/>
        <v>16.808905017283436</v>
      </c>
      <c r="AS484">
        <f t="shared" si="161"/>
        <v>0</v>
      </c>
      <c r="AT484">
        <f t="shared" si="153"/>
        <v>1.2404956635993459E-3</v>
      </c>
      <c r="AU484">
        <f t="shared" si="162"/>
        <v>6.0016315556069975E-2</v>
      </c>
      <c r="AV484">
        <f t="shared" si="154"/>
        <v>487.40750270973325</v>
      </c>
      <c r="AY484">
        <f>AY461</f>
        <v>6.0000000000000001E-3</v>
      </c>
      <c r="BB484">
        <f t="shared" si="163"/>
        <v>0.24</v>
      </c>
    </row>
    <row r="485" spans="7:54" x14ac:dyDescent="0.2">
      <c r="G485" t="s">
        <v>187</v>
      </c>
      <c r="H485" t="s">
        <v>160</v>
      </c>
      <c r="J485">
        <v>91.25</v>
      </c>
      <c r="K485">
        <v>25</v>
      </c>
      <c r="M485">
        <v>334</v>
      </c>
      <c r="O485">
        <v>0.09</v>
      </c>
      <c r="P485">
        <v>660</v>
      </c>
      <c r="Q485">
        <f t="shared" si="155"/>
        <v>0.5060606060606061</v>
      </c>
      <c r="S485">
        <v>0</v>
      </c>
      <c r="T485">
        <v>0</v>
      </c>
      <c r="U485">
        <v>0</v>
      </c>
      <c r="V485">
        <v>0</v>
      </c>
      <c r="W485">
        <f>S485*B463+T485*B464</f>
        <v>0</v>
      </c>
      <c r="X485">
        <f t="shared" si="148"/>
        <v>1</v>
      </c>
      <c r="Y485">
        <f t="shared" si="149"/>
        <v>5.951962384627361</v>
      </c>
      <c r="Z485">
        <f>Y485 / ((1.185 + 0.00454 * M485 - 0.0000026 * M485 ^ 2) ^ 2 * X485)</f>
        <v>1.0236523752465834</v>
      </c>
      <c r="AC485">
        <v>5.8000000000000003E-2</v>
      </c>
      <c r="AE485">
        <v>0.55000000000000004</v>
      </c>
      <c r="AF485">
        <f t="shared" si="150"/>
        <v>2.6831446429900145</v>
      </c>
      <c r="AG485">
        <f t="shared" si="151"/>
        <v>0.19</v>
      </c>
      <c r="AH485">
        <f t="shared" si="152"/>
        <v>0.6784</v>
      </c>
      <c r="AI485">
        <f>AI461</f>
        <v>0</v>
      </c>
      <c r="AK485">
        <f>AK461</f>
        <v>0.8</v>
      </c>
      <c r="AL485">
        <f>AL461</f>
        <v>100</v>
      </c>
      <c r="AM485">
        <f>AM461</f>
        <v>4.7000000000000002E-3</v>
      </c>
      <c r="AN485">
        <f t="shared" si="157"/>
        <v>0</v>
      </c>
      <c r="AO485">
        <f t="shared" si="158"/>
        <v>1.6254790759433523E-3</v>
      </c>
      <c r="AP485">
        <f t="shared" si="159"/>
        <v>1.6254790759433523E-3</v>
      </c>
      <c r="AQ485">
        <f t="shared" si="160"/>
        <v>3.7081241419957727</v>
      </c>
      <c r="AS485">
        <f t="shared" si="161"/>
        <v>0</v>
      </c>
      <c r="AT485">
        <f t="shared" si="153"/>
        <v>1.6315273683529051E-3</v>
      </c>
      <c r="AU485">
        <f t="shared" si="162"/>
        <v>5.2227620809127677E-2</v>
      </c>
      <c r="AV485">
        <f t="shared" si="154"/>
        <v>119.1442599708225</v>
      </c>
      <c r="AY485">
        <f>AY461</f>
        <v>6.0000000000000001E-3</v>
      </c>
      <c r="BB485">
        <f t="shared" si="163"/>
        <v>0.24</v>
      </c>
    </row>
    <row r="486" spans="7:54" x14ac:dyDescent="0.2">
      <c r="G486" t="s">
        <v>197</v>
      </c>
      <c r="H486" t="s">
        <v>162</v>
      </c>
      <c r="J486">
        <v>91.25</v>
      </c>
      <c r="K486">
        <v>55</v>
      </c>
      <c r="M486">
        <v>236</v>
      </c>
      <c r="O486">
        <v>0.37</v>
      </c>
      <c r="P486">
        <v>660</v>
      </c>
      <c r="Q486">
        <f t="shared" si="155"/>
        <v>0.3575757575757576</v>
      </c>
      <c r="S486">
        <v>0</v>
      </c>
      <c r="T486">
        <v>0</v>
      </c>
      <c r="U486">
        <v>0</v>
      </c>
      <c r="V486">
        <v>0</v>
      </c>
      <c r="W486">
        <f>S486*B463+T486*B464</f>
        <v>0</v>
      </c>
      <c r="X486">
        <f t="shared" si="148"/>
        <v>1</v>
      </c>
      <c r="Y486">
        <f t="shared" si="149"/>
        <v>4.9647878949441608</v>
      </c>
      <c r="Z486">
        <f t="shared" si="156"/>
        <v>1.1134350489432983</v>
      </c>
      <c r="AC486">
        <v>9.1999999999999998E-2</v>
      </c>
      <c r="AE486">
        <v>0.61</v>
      </c>
      <c r="AF486">
        <f t="shared" si="150"/>
        <v>1.9640700912399098</v>
      </c>
      <c r="AG486">
        <f t="shared" si="151"/>
        <v>0.19</v>
      </c>
      <c r="AH486">
        <f t="shared" si="152"/>
        <v>0.6784</v>
      </c>
      <c r="AI486">
        <f>AI461</f>
        <v>0</v>
      </c>
      <c r="AK486">
        <f>AK461</f>
        <v>0.8</v>
      </c>
      <c r="AL486">
        <f>AL461</f>
        <v>100</v>
      </c>
      <c r="AM486">
        <f>AM461</f>
        <v>4.7000000000000002E-3</v>
      </c>
      <c r="AN486">
        <f t="shared" si="157"/>
        <v>0</v>
      </c>
      <c r="AO486">
        <f t="shared" si="158"/>
        <v>1.1898556588581593E-3</v>
      </c>
      <c r="AP486">
        <f t="shared" si="159"/>
        <v>1.1898556588581593E-3</v>
      </c>
      <c r="AQ486">
        <f t="shared" si="160"/>
        <v>5.9715880878943866</v>
      </c>
      <c r="AS486">
        <f t="shared" si="161"/>
        <v>0</v>
      </c>
      <c r="AT486">
        <f t="shared" si="153"/>
        <v>8.4341031649235749E-3</v>
      </c>
      <c r="AU486">
        <f t="shared" si="162"/>
        <v>6.358784113232227E-2</v>
      </c>
      <c r="AV486">
        <f t="shared" si="154"/>
        <v>319.13147768284239</v>
      </c>
      <c r="AY486">
        <f>AY461</f>
        <v>6.0000000000000001E-3</v>
      </c>
      <c r="BB486">
        <f t="shared" si="163"/>
        <v>0.24</v>
      </c>
    </row>
    <row r="487" spans="7:54" x14ac:dyDescent="0.2">
      <c r="H487" t="s">
        <v>163</v>
      </c>
      <c r="J487">
        <v>91.25</v>
      </c>
      <c r="K487">
        <v>52</v>
      </c>
      <c r="M487">
        <v>282</v>
      </c>
      <c r="O487">
        <v>0.49</v>
      </c>
      <c r="P487">
        <v>660</v>
      </c>
      <c r="Q487">
        <f t="shared" si="155"/>
        <v>0.42727272727272725</v>
      </c>
      <c r="S487">
        <v>0</v>
      </c>
      <c r="T487">
        <v>0</v>
      </c>
      <c r="U487">
        <v>0</v>
      </c>
      <c r="V487">
        <v>0</v>
      </c>
      <c r="W487">
        <f>S487*B463+T487*B464</f>
        <v>0</v>
      </c>
      <c r="X487">
        <f t="shared" si="148"/>
        <v>1</v>
      </c>
      <c r="Y487">
        <f t="shared" si="149"/>
        <v>5.8219300551297586</v>
      </c>
      <c r="Z487">
        <f t="shared" si="156"/>
        <v>1.1413531059854851</v>
      </c>
      <c r="AC487">
        <v>7.4999999999999997E-2</v>
      </c>
      <c r="AE487">
        <v>0.56999999999999995</v>
      </c>
      <c r="AF487">
        <f t="shared" si="150"/>
        <v>2.5174025558381077</v>
      </c>
      <c r="AG487">
        <f t="shared" si="151"/>
        <v>0.19</v>
      </c>
      <c r="AH487">
        <f t="shared" si="152"/>
        <v>0.6784</v>
      </c>
      <c r="AI487">
        <f>AI461</f>
        <v>0</v>
      </c>
      <c r="AK487">
        <f>AK461</f>
        <v>0.8</v>
      </c>
      <c r="AL487">
        <f>AL461</f>
        <v>100</v>
      </c>
      <c r="AM487">
        <f>AM461</f>
        <v>4.7000000000000002E-3</v>
      </c>
      <c r="AN487">
        <f t="shared" si="157"/>
        <v>0</v>
      </c>
      <c r="AO487">
        <f t="shared" si="158"/>
        <v>1.5250706632353511E-3</v>
      </c>
      <c r="AP487">
        <f t="shared" si="159"/>
        <v>1.5250706632353511E-3</v>
      </c>
      <c r="AQ487">
        <f t="shared" si="160"/>
        <v>7.2364602970517415</v>
      </c>
      <c r="AS487">
        <f t="shared" si="161"/>
        <v>0</v>
      </c>
      <c r="AT487">
        <f t="shared" si="153"/>
        <v>1.0057504824390854E-2</v>
      </c>
      <c r="AU487">
        <f t="shared" si="162"/>
        <v>5.8594501471216413E-2</v>
      </c>
      <c r="AV487">
        <f t="shared" si="154"/>
        <v>278.03090948092188</v>
      </c>
      <c r="AY487">
        <f>AY461</f>
        <v>6.0000000000000001E-3</v>
      </c>
      <c r="BB487">
        <f t="shared" si="163"/>
        <v>0.24</v>
      </c>
    </row>
    <row r="488" spans="7:54" x14ac:dyDescent="0.2">
      <c r="H488" t="s">
        <v>164</v>
      </c>
      <c r="J488">
        <v>91.25</v>
      </c>
      <c r="K488">
        <v>45</v>
      </c>
      <c r="M488">
        <v>326</v>
      </c>
      <c r="O488">
        <v>0.28000000000000003</v>
      </c>
      <c r="P488">
        <v>660</v>
      </c>
      <c r="Q488">
        <f t="shared" si="155"/>
        <v>0.49393939393939396</v>
      </c>
      <c r="S488">
        <v>0</v>
      </c>
      <c r="T488">
        <v>0</v>
      </c>
      <c r="U488">
        <v>0</v>
      </c>
      <c r="V488">
        <v>0</v>
      </c>
      <c r="W488">
        <f>S488*B463+T488*B464</f>
        <v>0</v>
      </c>
      <c r="X488">
        <f t="shared" si="148"/>
        <v>1</v>
      </c>
      <c r="Y488">
        <f t="shared" si="149"/>
        <v>6.1351445756217613</v>
      </c>
      <c r="Z488">
        <f t="shared" si="156"/>
        <v>1.0752103522001994</v>
      </c>
      <c r="AC488">
        <v>5.2999999999999999E-2</v>
      </c>
      <c r="AE488">
        <v>0.54</v>
      </c>
      <c r="AF488">
        <f t="shared" si="150"/>
        <v>2.8221665047860105</v>
      </c>
      <c r="AG488">
        <f t="shared" si="151"/>
        <v>0.19</v>
      </c>
      <c r="AH488">
        <f t="shared" si="152"/>
        <v>0.6784</v>
      </c>
      <c r="AI488">
        <f>AI461</f>
        <v>0</v>
      </c>
      <c r="AK488">
        <f>AK461</f>
        <v>0.8</v>
      </c>
      <c r="AL488">
        <f>AL461</f>
        <v>100</v>
      </c>
      <c r="AM488">
        <f>AM461</f>
        <v>4.7000000000000002E-3</v>
      </c>
      <c r="AN488">
        <f t="shared" si="157"/>
        <v>0</v>
      </c>
      <c r="AO488">
        <f t="shared" si="158"/>
        <v>1.7097000768642185E-3</v>
      </c>
      <c r="AP488">
        <f t="shared" si="159"/>
        <v>1.7097000768642185E-3</v>
      </c>
      <c r="AQ488">
        <f t="shared" si="160"/>
        <v>7.0204559406236973</v>
      </c>
      <c r="AS488">
        <f t="shared" si="161"/>
        <v>0</v>
      </c>
      <c r="AT488">
        <f t="shared" si="153"/>
        <v>5.1710552605561001E-3</v>
      </c>
      <c r="AU488">
        <f t="shared" si="162"/>
        <v>4.5504684420398518E-2</v>
      </c>
      <c r="AV488">
        <f t="shared" si="154"/>
        <v>186.85361040126142</v>
      </c>
      <c r="AY488">
        <f>AY461</f>
        <v>6.0000000000000001E-3</v>
      </c>
      <c r="BB488">
        <f t="shared" si="163"/>
        <v>0.24</v>
      </c>
    </row>
    <row r="489" spans="7:54" x14ac:dyDescent="0.2">
      <c r="G489" t="s">
        <v>188</v>
      </c>
      <c r="H489" t="s">
        <v>160</v>
      </c>
      <c r="J489">
        <v>91.25</v>
      </c>
      <c r="K489">
        <v>28</v>
      </c>
      <c r="M489">
        <v>0</v>
      </c>
      <c r="O489">
        <v>0</v>
      </c>
      <c r="P489">
        <v>660</v>
      </c>
      <c r="Q489">
        <f t="shared" si="155"/>
        <v>0</v>
      </c>
      <c r="S489">
        <v>0</v>
      </c>
      <c r="T489">
        <v>0</v>
      </c>
      <c r="U489">
        <v>0</v>
      </c>
      <c r="V489">
        <v>0</v>
      </c>
      <c r="W489">
        <f>S489*B463+T489*B464</f>
        <v>0</v>
      </c>
      <c r="X489">
        <f t="shared" si="148"/>
        <v>1</v>
      </c>
      <c r="Y489">
        <f t="shared" si="149"/>
        <v>1.4042250000000001</v>
      </c>
      <c r="Z489">
        <f t="shared" si="156"/>
        <v>1</v>
      </c>
      <c r="AC489">
        <v>5.8000000000000003E-2</v>
      </c>
      <c r="AE489">
        <v>0.55000000000000004</v>
      </c>
      <c r="AF489">
        <f t="shared" si="150"/>
        <v>0.63302462999999998</v>
      </c>
      <c r="AG489">
        <f t="shared" si="151"/>
        <v>0.19</v>
      </c>
      <c r="AH489">
        <f t="shared" si="152"/>
        <v>0.6784</v>
      </c>
      <c r="AI489">
        <f>AI461</f>
        <v>0</v>
      </c>
      <c r="AK489">
        <f>AK461</f>
        <v>0.8</v>
      </c>
      <c r="AL489">
        <f>AL461</f>
        <v>100</v>
      </c>
      <c r="AM489">
        <f>AM461</f>
        <v>4.7000000000000002E-3</v>
      </c>
      <c r="AN489">
        <f t="shared" si="157"/>
        <v>0</v>
      </c>
      <c r="AO489">
        <f t="shared" si="158"/>
        <v>3.8349341072985599E-4</v>
      </c>
      <c r="AP489">
        <f t="shared" si="159"/>
        <v>3.8349341072985599E-4</v>
      </c>
      <c r="AQ489">
        <f t="shared" si="160"/>
        <v>0.97982566441478214</v>
      </c>
      <c r="AS489">
        <f>U489*$B$463+V489*$B$464</f>
        <v>0</v>
      </c>
      <c r="AT489">
        <f t="shared" si="153"/>
        <v>0</v>
      </c>
      <c r="AU489">
        <f t="shared" si="162"/>
        <v>1.3031208000000001E-2</v>
      </c>
      <c r="AV489">
        <f t="shared" si="154"/>
        <v>33.294736440000001</v>
      </c>
      <c r="AY489">
        <f>AY461</f>
        <v>6.0000000000000001E-3</v>
      </c>
      <c r="BB489">
        <f t="shared" si="163"/>
        <v>0.24</v>
      </c>
    </row>
    <row r="490" spans="7:54" x14ac:dyDescent="0.2">
      <c r="G490" t="s">
        <v>198</v>
      </c>
      <c r="H490" t="s">
        <v>162</v>
      </c>
      <c r="J490">
        <v>91.25</v>
      </c>
      <c r="K490">
        <v>50</v>
      </c>
      <c r="M490">
        <v>0</v>
      </c>
      <c r="O490">
        <v>0</v>
      </c>
      <c r="P490">
        <v>660</v>
      </c>
      <c r="Q490">
        <f t="shared" si="155"/>
        <v>0</v>
      </c>
      <c r="S490">
        <v>0</v>
      </c>
      <c r="T490">
        <v>0</v>
      </c>
      <c r="U490">
        <v>0</v>
      </c>
      <c r="V490">
        <v>0</v>
      </c>
      <c r="W490">
        <f>S490*B463+T490*B464</f>
        <v>0</v>
      </c>
      <c r="X490">
        <f t="shared" si="148"/>
        <v>1</v>
      </c>
      <c r="Y490">
        <f t="shared" si="149"/>
        <v>1.4042250000000001</v>
      </c>
      <c r="Z490">
        <f t="shared" si="156"/>
        <v>1</v>
      </c>
      <c r="AC490">
        <v>9.1999999999999998E-2</v>
      </c>
      <c r="AE490">
        <v>0.61</v>
      </c>
      <c r="AF490">
        <f t="shared" si="150"/>
        <v>0.55551141000000004</v>
      </c>
      <c r="AG490">
        <f t="shared" si="151"/>
        <v>0.19</v>
      </c>
      <c r="AH490">
        <f t="shared" si="152"/>
        <v>0.6784</v>
      </c>
      <c r="AI490">
        <f>AI461</f>
        <v>0</v>
      </c>
      <c r="AK490">
        <f>AK461</f>
        <v>0.8</v>
      </c>
      <c r="AL490">
        <f>AL461</f>
        <v>100</v>
      </c>
      <c r="AM490">
        <f>AM461</f>
        <v>4.7000000000000002E-3</v>
      </c>
      <c r="AN490">
        <f t="shared" si="157"/>
        <v>0</v>
      </c>
      <c r="AO490">
        <f t="shared" si="158"/>
        <v>3.3653503390579208E-4</v>
      </c>
      <c r="AP490">
        <f t="shared" si="159"/>
        <v>3.3653503390579208E-4</v>
      </c>
      <c r="AQ490">
        <f t="shared" si="160"/>
        <v>1.5354410921951764</v>
      </c>
      <c r="AS490">
        <f t="shared" si="161"/>
        <v>0</v>
      </c>
      <c r="AT490">
        <f t="shared" si="153"/>
        <v>0</v>
      </c>
      <c r="AU490">
        <f>MAX((Y490*AC490/6.25)+(0.032*AS490/6.38)-AT490-((1.1*(10^-4)*(M490^0.75))/6.25), 0)</f>
        <v>2.0670191999999997E-2</v>
      </c>
      <c r="AV490">
        <f t="shared" si="154"/>
        <v>94.307750999999996</v>
      </c>
      <c r="AY490">
        <f>AY461</f>
        <v>6.0000000000000001E-3</v>
      </c>
      <c r="BB490">
        <f t="shared" si="163"/>
        <v>0.24</v>
      </c>
    </row>
    <row r="491" spans="7:54" x14ac:dyDescent="0.2">
      <c r="H491" t="s">
        <v>163</v>
      </c>
      <c r="J491">
        <v>91.25</v>
      </c>
      <c r="K491">
        <v>44</v>
      </c>
      <c r="M491">
        <v>0</v>
      </c>
      <c r="O491">
        <v>0</v>
      </c>
      <c r="P491">
        <v>660</v>
      </c>
      <c r="Q491">
        <f t="shared" si="155"/>
        <v>0</v>
      </c>
      <c r="S491">
        <v>0</v>
      </c>
      <c r="T491">
        <v>0</v>
      </c>
      <c r="U491">
        <v>0</v>
      </c>
      <c r="V491">
        <v>0</v>
      </c>
      <c r="W491">
        <f>S491*B463+T491*B464</f>
        <v>0</v>
      </c>
      <c r="X491">
        <f t="shared" si="148"/>
        <v>1</v>
      </c>
      <c r="Y491">
        <f t="shared" si="149"/>
        <v>1.4042250000000001</v>
      </c>
      <c r="Z491">
        <f t="shared" si="156"/>
        <v>1</v>
      </c>
      <c r="AC491">
        <v>7.4999999999999997E-2</v>
      </c>
      <c r="AE491">
        <v>0.56999999999999995</v>
      </c>
      <c r="AF491">
        <f t="shared" si="150"/>
        <v>0.60718689000000015</v>
      </c>
      <c r="AG491">
        <f t="shared" si="151"/>
        <v>0.19</v>
      </c>
      <c r="AH491">
        <f t="shared" si="152"/>
        <v>0.6784</v>
      </c>
      <c r="AI491">
        <f>AI461</f>
        <v>0</v>
      </c>
      <c r="AK491">
        <f>AK461</f>
        <v>0.8</v>
      </c>
      <c r="AL491">
        <f>AL461</f>
        <v>100</v>
      </c>
      <c r="AM491">
        <f>AM461</f>
        <v>4.7000000000000002E-3</v>
      </c>
      <c r="AN491">
        <f t="shared" si="157"/>
        <v>0</v>
      </c>
      <c r="AO491">
        <f t="shared" si="158"/>
        <v>3.6784061845516813E-4</v>
      </c>
      <c r="AP491">
        <f t="shared" si="159"/>
        <v>3.6784061845516813E-4</v>
      </c>
      <c r="AQ491">
        <f t="shared" si="160"/>
        <v>1.4768800830975</v>
      </c>
      <c r="AS491">
        <f t="shared" si="161"/>
        <v>0</v>
      </c>
      <c r="AT491">
        <f t="shared" si="153"/>
        <v>0</v>
      </c>
      <c r="AU491">
        <f t="shared" si="162"/>
        <v>1.68507E-2</v>
      </c>
      <c r="AV491">
        <f t="shared" si="154"/>
        <v>67.655560499999993</v>
      </c>
      <c r="AY491">
        <f>AY461</f>
        <v>6.0000000000000001E-3</v>
      </c>
      <c r="BB491">
        <f t="shared" si="163"/>
        <v>0.24</v>
      </c>
    </row>
    <row r="492" spans="7:54" x14ac:dyDescent="0.2">
      <c r="H492" t="s">
        <v>164</v>
      </c>
      <c r="J492">
        <v>91.25</v>
      </c>
      <c r="K492">
        <v>20</v>
      </c>
      <c r="M492">
        <v>0</v>
      </c>
      <c r="O492">
        <v>0</v>
      </c>
      <c r="P492">
        <v>660</v>
      </c>
      <c r="Q492">
        <f t="shared" si="155"/>
        <v>0</v>
      </c>
      <c r="S492">
        <v>0</v>
      </c>
      <c r="T492">
        <v>0</v>
      </c>
      <c r="U492">
        <v>0</v>
      </c>
      <c r="V492">
        <v>0</v>
      </c>
      <c r="W492">
        <f>S492*B463+T492*B464</f>
        <v>0</v>
      </c>
      <c r="X492">
        <f t="shared" si="148"/>
        <v>1</v>
      </c>
      <c r="Y492">
        <f t="shared" si="149"/>
        <v>1.4042250000000001</v>
      </c>
      <c r="Z492">
        <f t="shared" si="156"/>
        <v>1</v>
      </c>
      <c r="AC492">
        <v>5.2999999999999999E-2</v>
      </c>
      <c r="AE492">
        <v>0.54</v>
      </c>
      <c r="AF492">
        <f t="shared" si="150"/>
        <v>0.6459435</v>
      </c>
      <c r="AG492">
        <f t="shared" si="151"/>
        <v>0.19</v>
      </c>
      <c r="AH492">
        <f t="shared" si="152"/>
        <v>0.6784</v>
      </c>
      <c r="AI492">
        <f>AI461</f>
        <v>0</v>
      </c>
      <c r="AK492">
        <f>AK461</f>
        <v>0.8</v>
      </c>
      <c r="AL492">
        <f>AL461</f>
        <v>100</v>
      </c>
      <c r="AM492">
        <f>AM461</f>
        <v>4.7000000000000002E-3</v>
      </c>
      <c r="AN492">
        <f t="shared" si="157"/>
        <v>0</v>
      </c>
      <c r="AO492">
        <f t="shared" si="158"/>
        <v>3.9131980686720001E-4</v>
      </c>
      <c r="AP492">
        <f t="shared" si="159"/>
        <v>3.9131980686720001E-4</v>
      </c>
      <c r="AQ492">
        <f t="shared" si="160"/>
        <v>0.71415864753264002</v>
      </c>
      <c r="AS492">
        <f t="shared" si="161"/>
        <v>0</v>
      </c>
      <c r="AT492">
        <f t="shared" si="153"/>
        <v>0</v>
      </c>
      <c r="AU492">
        <f t="shared" si="162"/>
        <v>1.1907828000000001E-2</v>
      </c>
      <c r="AV492">
        <f t="shared" si="154"/>
        <v>21.731786100000001</v>
      </c>
      <c r="AY492">
        <f>AY461</f>
        <v>6.0000000000000001E-3</v>
      </c>
      <c r="BB492">
        <f t="shared" si="163"/>
        <v>0.24</v>
      </c>
    </row>
    <row r="493" spans="7:54" x14ac:dyDescent="0.2">
      <c r="G493" t="s">
        <v>186</v>
      </c>
      <c r="H493" t="s">
        <v>160</v>
      </c>
      <c r="J493">
        <v>91.25</v>
      </c>
      <c r="K493">
        <v>15</v>
      </c>
      <c r="M493">
        <v>216</v>
      </c>
      <c r="O493">
        <v>0.12</v>
      </c>
      <c r="P493">
        <v>660</v>
      </c>
      <c r="Q493">
        <f t="shared" si="155"/>
        <v>0.32727272727272727</v>
      </c>
      <c r="S493">
        <v>0</v>
      </c>
      <c r="T493">
        <v>0</v>
      </c>
      <c r="U493">
        <f>10/K493</f>
        <v>0.66666666666666663</v>
      </c>
      <c r="V493">
        <f>5/K493</f>
        <v>0.33333333333333331</v>
      </c>
      <c r="W493">
        <f>S493*B463+T493*B464</f>
        <v>0</v>
      </c>
      <c r="X493">
        <f t="shared" si="148"/>
        <v>1</v>
      </c>
      <c r="Y493">
        <f t="shared" si="149"/>
        <v>4.335283659663359</v>
      </c>
      <c r="Z493">
        <f t="shared" si="156"/>
        <v>1.0373221361196712</v>
      </c>
      <c r="AC493">
        <v>5.8000000000000003E-2</v>
      </c>
      <c r="AE493">
        <v>0.55000000000000004</v>
      </c>
      <c r="AF493">
        <f t="shared" si="150"/>
        <v>1.9543458737762422</v>
      </c>
      <c r="AG493">
        <f t="shared" si="151"/>
        <v>0.19</v>
      </c>
      <c r="AH493">
        <f t="shared" si="152"/>
        <v>0.6784</v>
      </c>
      <c r="AI493">
        <f>AI461</f>
        <v>0</v>
      </c>
      <c r="AK493">
        <f>AK461</f>
        <v>0.8</v>
      </c>
      <c r="AL493">
        <f>AL461</f>
        <v>100</v>
      </c>
      <c r="AM493">
        <f>AM461</f>
        <v>4.7000000000000002E-3</v>
      </c>
      <c r="AN493">
        <f t="shared" si="157"/>
        <v>0</v>
      </c>
      <c r="AO493">
        <f t="shared" si="158"/>
        <v>1.1839646190074339E-3</v>
      </c>
      <c r="AP493">
        <f t="shared" si="159"/>
        <v>1.1839646190074339E-3</v>
      </c>
      <c r="AQ493">
        <f t="shared" si="160"/>
        <v>1.620551572266425</v>
      </c>
      <c r="AS493">
        <f t="shared" si="161"/>
        <v>3.6666666666666665</v>
      </c>
      <c r="AT493">
        <f t="shared" si="153"/>
        <v>2.856493041554014E-3</v>
      </c>
      <c r="AU493">
        <f t="shared" si="162"/>
        <v>5.4774106327888678E-2</v>
      </c>
      <c r="AV493">
        <f t="shared" si="154"/>
        <v>74.972058036297625</v>
      </c>
      <c r="AY493">
        <f>AY461</f>
        <v>6.0000000000000001E-3</v>
      </c>
      <c r="BB493">
        <f t="shared" si="163"/>
        <v>0.24</v>
      </c>
    </row>
    <row r="494" spans="7:54" x14ac:dyDescent="0.2">
      <c r="G494">
        <v>6</v>
      </c>
      <c r="H494" t="s">
        <v>162</v>
      </c>
      <c r="J494">
        <v>91.25</v>
      </c>
      <c r="K494">
        <v>40</v>
      </c>
      <c r="M494">
        <v>111</v>
      </c>
      <c r="O494">
        <v>0.64</v>
      </c>
      <c r="P494">
        <v>660</v>
      </c>
      <c r="Q494">
        <f t="shared" si="155"/>
        <v>0.16818181818181818</v>
      </c>
      <c r="S494">
        <v>0</v>
      </c>
      <c r="T494">
        <v>0</v>
      </c>
      <c r="U494">
        <f>25/K494</f>
        <v>0.625</v>
      </c>
      <c r="V494">
        <f>10/K494</f>
        <v>0.25</v>
      </c>
      <c r="W494">
        <f>S494*B463+T494*B464</f>
        <v>0</v>
      </c>
      <c r="X494">
        <f t="shared" si="148"/>
        <v>1</v>
      </c>
      <c r="Y494">
        <f t="shared" si="149"/>
        <v>3.4540423218291605</v>
      </c>
      <c r="Z494">
        <f t="shared" si="156"/>
        <v>1.258149437875858</v>
      </c>
      <c r="AC494">
        <v>9.1999999999999998E-2</v>
      </c>
      <c r="AE494">
        <v>0.61</v>
      </c>
      <c r="AF494">
        <f t="shared" si="150"/>
        <v>1.366419142515616</v>
      </c>
      <c r="AG494">
        <f t="shared" si="151"/>
        <v>0.19</v>
      </c>
      <c r="AH494">
        <f t="shared" si="152"/>
        <v>0.6784</v>
      </c>
      <c r="AI494">
        <f>AI461</f>
        <v>0</v>
      </c>
      <c r="AK494">
        <f>AK461</f>
        <v>0.8</v>
      </c>
      <c r="AL494">
        <f>AL461</f>
        <v>100</v>
      </c>
      <c r="AM494">
        <f>AM461</f>
        <v>4.7000000000000002E-3</v>
      </c>
      <c r="AN494">
        <f t="shared" si="157"/>
        <v>0</v>
      </c>
      <c r="AO494">
        <f t="shared" si="158"/>
        <v>8.2779202043035635E-4</v>
      </c>
      <c r="AP494">
        <f t="shared" si="159"/>
        <v>8.2779202043035635E-4</v>
      </c>
      <c r="AQ494">
        <f t="shared" si="160"/>
        <v>3.0214408745708004</v>
      </c>
      <c r="AS494">
        <f t="shared" si="161"/>
        <v>3.25</v>
      </c>
      <c r="AT494">
        <f t="shared" si="153"/>
        <v>1.7791693893474254E-2</v>
      </c>
      <c r="AU494">
        <f t="shared" si="162"/>
        <v>4.8750876466489103E-2</v>
      </c>
      <c r="AV494">
        <f t="shared" si="154"/>
        <v>177.94069910268522</v>
      </c>
      <c r="AY494">
        <f>AY461</f>
        <v>6.0000000000000001E-3</v>
      </c>
      <c r="BB494">
        <f t="shared" si="163"/>
        <v>0.24</v>
      </c>
    </row>
    <row r="495" spans="7:54" x14ac:dyDescent="0.2">
      <c r="H495" t="s">
        <v>163</v>
      </c>
      <c r="J495">
        <v>91.25</v>
      </c>
      <c r="K495">
        <v>35</v>
      </c>
      <c r="M495">
        <v>169</v>
      </c>
      <c r="O495">
        <v>0.56999999999999995</v>
      </c>
      <c r="P495">
        <v>660</v>
      </c>
      <c r="Q495">
        <f t="shared" si="155"/>
        <v>0.25606060606060604</v>
      </c>
      <c r="S495">
        <v>0</v>
      </c>
      <c r="T495">
        <v>0</v>
      </c>
      <c r="U495">
        <v>0</v>
      </c>
      <c r="V495">
        <f>25/K495</f>
        <v>0.7142857142857143</v>
      </c>
      <c r="W495">
        <f>S495*B463+T495*B464</f>
        <v>0</v>
      </c>
      <c r="X495">
        <f t="shared" si="148"/>
        <v>1</v>
      </c>
      <c r="Y495">
        <f t="shared" si="149"/>
        <v>4.2335177636419594</v>
      </c>
      <c r="Z495">
        <f t="shared" si="156"/>
        <v>1.2003546052818723</v>
      </c>
      <c r="AC495">
        <v>7.4999999999999997E-2</v>
      </c>
      <c r="AE495">
        <v>0.56999999999999995</v>
      </c>
      <c r="AF495">
        <f t="shared" si="150"/>
        <v>1.8305730809987835</v>
      </c>
      <c r="AG495">
        <f t="shared" si="151"/>
        <v>0.19</v>
      </c>
      <c r="AH495">
        <f t="shared" si="152"/>
        <v>0.6784</v>
      </c>
      <c r="AI495">
        <f>AI461</f>
        <v>0</v>
      </c>
      <c r="AK495">
        <f>AK461</f>
        <v>0.8</v>
      </c>
      <c r="AL495">
        <f>AL461</f>
        <v>100</v>
      </c>
      <c r="AM495">
        <f>AM461</f>
        <v>4.7000000000000002E-3</v>
      </c>
      <c r="AN495">
        <f t="shared" si="157"/>
        <v>0</v>
      </c>
      <c r="AO495">
        <f t="shared" si="158"/>
        <v>1.1089816748875703E-3</v>
      </c>
      <c r="AP495">
        <f t="shared" si="159"/>
        <v>1.1089816748875703E-3</v>
      </c>
      <c r="AQ495">
        <f t="shared" si="160"/>
        <v>3.5418102241721781</v>
      </c>
      <c r="AS495">
        <f t="shared" si="161"/>
        <v>2.1428571428571428</v>
      </c>
      <c r="AT495">
        <f t="shared" si="153"/>
        <v>1.468141018469959E-2</v>
      </c>
      <c r="AU495">
        <f t="shared" si="162"/>
        <v>4.60437256640161E-2</v>
      </c>
      <c r="AV495">
        <f t="shared" si="154"/>
        <v>147.05214883945143</v>
      </c>
      <c r="AY495">
        <f>AY461</f>
        <v>6.0000000000000001E-3</v>
      </c>
      <c r="BB495">
        <f t="shared" si="163"/>
        <v>0.24</v>
      </c>
    </row>
    <row r="496" spans="7:54" x14ac:dyDescent="0.2">
      <c r="H496" t="s">
        <v>164</v>
      </c>
      <c r="J496">
        <v>91.25</v>
      </c>
      <c r="K496">
        <v>38</v>
      </c>
      <c r="M496">
        <v>214</v>
      </c>
      <c r="O496">
        <v>0.26</v>
      </c>
      <c r="P496">
        <v>660</v>
      </c>
      <c r="Q496">
        <f t="shared" si="155"/>
        <v>0.32424242424242422</v>
      </c>
      <c r="S496">
        <v>0</v>
      </c>
      <c r="T496">
        <v>0</v>
      </c>
      <c r="U496">
        <v>0</v>
      </c>
      <c r="V496">
        <v>0</v>
      </c>
      <c r="W496">
        <f>S496*B463+T496*B464</f>
        <v>0</v>
      </c>
      <c r="X496">
        <f t="shared" si="148"/>
        <v>1</v>
      </c>
      <c r="Y496">
        <f t="shared" si="149"/>
        <v>4.4918156676121592</v>
      </c>
      <c r="Z496">
        <f t="shared" si="156"/>
        <v>1.0820087761094843</v>
      </c>
      <c r="AC496">
        <v>5.2999999999999999E-2</v>
      </c>
      <c r="AE496">
        <v>0.54</v>
      </c>
      <c r="AF496">
        <f t="shared" si="150"/>
        <v>2.066235207101593</v>
      </c>
      <c r="AG496">
        <f t="shared" si="151"/>
        <v>0.19</v>
      </c>
      <c r="AH496">
        <f t="shared" si="152"/>
        <v>0.6784</v>
      </c>
      <c r="AI496">
        <f>AI461</f>
        <v>0</v>
      </c>
      <c r="AK496">
        <f>AK461</f>
        <v>0.8</v>
      </c>
      <c r="AL496">
        <f>AL461</f>
        <v>100</v>
      </c>
      <c r="AM496">
        <f>AM461</f>
        <v>4.7000000000000002E-3</v>
      </c>
      <c r="AN496">
        <f t="shared" si="157"/>
        <v>0</v>
      </c>
      <c r="AO496">
        <f t="shared" si="158"/>
        <v>1.2517484302964647E-3</v>
      </c>
      <c r="AP496">
        <f t="shared" si="159"/>
        <v>1.2517484302964647E-3</v>
      </c>
      <c r="AQ496">
        <f t="shared" si="160"/>
        <v>4.3404376820529915</v>
      </c>
      <c r="AS496">
        <f t="shared" si="161"/>
        <v>0</v>
      </c>
      <c r="AT496">
        <f t="shared" si="153"/>
        <v>6.2051596108629922E-3</v>
      </c>
      <c r="AU496">
        <f t="shared" si="162"/>
        <v>3.0900694033955026E-2</v>
      </c>
      <c r="AV496">
        <f t="shared" si="154"/>
        <v>107.14815656273905</v>
      </c>
      <c r="AY496">
        <f>AY461</f>
        <v>6.0000000000000001E-3</v>
      </c>
      <c r="BB496">
        <f t="shared" si="163"/>
        <v>0.24</v>
      </c>
    </row>
    <row r="497" spans="1:64" x14ac:dyDescent="0.2">
      <c r="G497" t="s">
        <v>189</v>
      </c>
      <c r="H497" t="s">
        <v>160</v>
      </c>
      <c r="J497">
        <v>91.25</v>
      </c>
      <c r="K497">
        <v>6</v>
      </c>
      <c r="M497">
        <v>0</v>
      </c>
      <c r="O497">
        <v>0</v>
      </c>
      <c r="P497">
        <v>660</v>
      </c>
      <c r="Q497">
        <f t="shared" si="155"/>
        <v>0</v>
      </c>
      <c r="S497">
        <v>0</v>
      </c>
      <c r="T497">
        <v>0</v>
      </c>
      <c r="U497">
        <v>0</v>
      </c>
      <c r="V497">
        <v>0</v>
      </c>
      <c r="W497">
        <f>S497*B463+T497*B464</f>
        <v>0</v>
      </c>
      <c r="X497">
        <f t="shared" si="148"/>
        <v>1</v>
      </c>
      <c r="Y497">
        <f t="shared" si="149"/>
        <v>1.4042250000000001</v>
      </c>
      <c r="Z497">
        <f t="shared" si="156"/>
        <v>1</v>
      </c>
      <c r="AC497">
        <v>5.8000000000000003E-2</v>
      </c>
      <c r="AE497">
        <v>0.55000000000000004</v>
      </c>
      <c r="AF497">
        <f t="shared" si="150"/>
        <v>0.63302462999999998</v>
      </c>
      <c r="AG497">
        <f t="shared" si="151"/>
        <v>0.19</v>
      </c>
      <c r="AH497">
        <f t="shared" si="152"/>
        <v>0.6784</v>
      </c>
      <c r="AI497">
        <f>AI461</f>
        <v>0</v>
      </c>
      <c r="AK497">
        <f>AK461</f>
        <v>0.8</v>
      </c>
      <c r="AL497">
        <f>AL461</f>
        <v>100</v>
      </c>
      <c r="AM497">
        <f>AM461</f>
        <v>4.7000000000000002E-3</v>
      </c>
      <c r="AN497">
        <f t="shared" si="157"/>
        <v>0</v>
      </c>
      <c r="AO497">
        <f t="shared" si="158"/>
        <v>3.8349341072985599E-4</v>
      </c>
      <c r="AP497">
        <f t="shared" si="159"/>
        <v>3.8349341072985599E-4</v>
      </c>
      <c r="AQ497">
        <f t="shared" si="160"/>
        <v>0.20996264237459616</v>
      </c>
      <c r="AS497">
        <f t="shared" si="161"/>
        <v>0</v>
      </c>
      <c r="AT497">
        <f t="shared" si="153"/>
        <v>0</v>
      </c>
      <c r="AU497">
        <f t="shared" si="162"/>
        <v>1.3031208000000001E-2</v>
      </c>
      <c r="AV497">
        <f t="shared" si="154"/>
        <v>7.13458638</v>
      </c>
      <c r="AY497">
        <f>AY461</f>
        <v>6.0000000000000001E-3</v>
      </c>
      <c r="BB497">
        <f t="shared" si="163"/>
        <v>0.24</v>
      </c>
    </row>
    <row r="498" spans="1:64" x14ac:dyDescent="0.2">
      <c r="G498" t="s">
        <v>199</v>
      </c>
      <c r="H498" t="s">
        <v>162</v>
      </c>
      <c r="J498">
        <v>91.25</v>
      </c>
      <c r="K498">
        <v>25</v>
      </c>
      <c r="M498">
        <v>0</v>
      </c>
      <c r="O498">
        <v>0</v>
      </c>
      <c r="P498">
        <v>660</v>
      </c>
      <c r="Q498">
        <f t="shared" si="155"/>
        <v>0</v>
      </c>
      <c r="S498">
        <v>0</v>
      </c>
      <c r="T498">
        <v>0</v>
      </c>
      <c r="U498">
        <v>0</v>
      </c>
      <c r="V498">
        <v>0</v>
      </c>
      <c r="W498">
        <f>S498*B463+T498*B464</f>
        <v>0</v>
      </c>
      <c r="X498">
        <f t="shared" si="148"/>
        <v>1</v>
      </c>
      <c r="Y498">
        <f t="shared" si="149"/>
        <v>1.4042250000000001</v>
      </c>
      <c r="Z498">
        <f t="shared" si="156"/>
        <v>1</v>
      </c>
      <c r="AC498">
        <v>9.1999999999999998E-2</v>
      </c>
      <c r="AE498">
        <v>0.61</v>
      </c>
      <c r="AF498">
        <f t="shared" si="150"/>
        <v>0.55551141000000004</v>
      </c>
      <c r="AG498">
        <f t="shared" si="151"/>
        <v>0.19</v>
      </c>
      <c r="AH498">
        <f t="shared" si="152"/>
        <v>0.6784</v>
      </c>
      <c r="AI498">
        <f>AI461</f>
        <v>0</v>
      </c>
      <c r="AK498">
        <f>AK461</f>
        <v>0.8</v>
      </c>
      <c r="AL498">
        <f>AL461</f>
        <v>100</v>
      </c>
      <c r="AM498">
        <f>AM461</f>
        <v>4.7000000000000002E-3</v>
      </c>
      <c r="AN498">
        <f t="shared" si="157"/>
        <v>0</v>
      </c>
      <c r="AO498">
        <f t="shared" si="158"/>
        <v>3.3653503390579208E-4</v>
      </c>
      <c r="AP498">
        <f t="shared" si="159"/>
        <v>3.3653503390579208E-4</v>
      </c>
      <c r="AQ498">
        <f t="shared" si="160"/>
        <v>0.76772054609758822</v>
      </c>
      <c r="AS498">
        <f t="shared" si="161"/>
        <v>0</v>
      </c>
      <c r="AT498">
        <f t="shared" si="153"/>
        <v>0</v>
      </c>
      <c r="AU498">
        <f t="shared" si="162"/>
        <v>2.0670191999999997E-2</v>
      </c>
      <c r="AV498">
        <f t="shared" si="154"/>
        <v>47.153875499999998</v>
      </c>
      <c r="AY498">
        <f>AY461</f>
        <v>6.0000000000000001E-3</v>
      </c>
      <c r="BB498">
        <f t="shared" si="163"/>
        <v>0.24</v>
      </c>
    </row>
    <row r="499" spans="1:64" x14ac:dyDescent="0.2">
      <c r="H499" t="s">
        <v>163</v>
      </c>
      <c r="J499">
        <v>91.25</v>
      </c>
      <c r="K499">
        <v>4</v>
      </c>
      <c r="M499">
        <v>0</v>
      </c>
      <c r="O499">
        <v>0</v>
      </c>
      <c r="P499">
        <v>660</v>
      </c>
      <c r="Q499">
        <f t="shared" si="155"/>
        <v>0</v>
      </c>
      <c r="S499">
        <v>0</v>
      </c>
      <c r="T499">
        <v>0</v>
      </c>
      <c r="U499">
        <v>0</v>
      </c>
      <c r="V499">
        <v>0</v>
      </c>
      <c r="W499">
        <f>S499*B463+T499*B464</f>
        <v>0</v>
      </c>
      <c r="X499">
        <f t="shared" si="148"/>
        <v>1</v>
      </c>
      <c r="Y499">
        <f t="shared" si="149"/>
        <v>1.4042250000000001</v>
      </c>
      <c r="Z499">
        <f t="shared" si="156"/>
        <v>1</v>
      </c>
      <c r="AC499">
        <v>7.4999999999999997E-2</v>
      </c>
      <c r="AE499">
        <v>0.56999999999999995</v>
      </c>
      <c r="AF499">
        <f t="shared" si="150"/>
        <v>0.60718689000000015</v>
      </c>
      <c r="AG499">
        <f t="shared" si="151"/>
        <v>0.19</v>
      </c>
      <c r="AH499">
        <f t="shared" si="152"/>
        <v>0.6784</v>
      </c>
      <c r="AI499">
        <f>AI461</f>
        <v>0</v>
      </c>
      <c r="AK499">
        <f>AK461</f>
        <v>0.8</v>
      </c>
      <c r="AL499">
        <f>AL461</f>
        <v>100</v>
      </c>
      <c r="AM499">
        <f>AM461</f>
        <v>4.7000000000000002E-3</v>
      </c>
      <c r="AN499">
        <f t="shared" si="157"/>
        <v>0</v>
      </c>
      <c r="AO499">
        <f t="shared" si="158"/>
        <v>3.6784061845516813E-4</v>
      </c>
      <c r="AP499">
        <f t="shared" si="159"/>
        <v>3.6784061845516813E-4</v>
      </c>
      <c r="AQ499">
        <f t="shared" si="160"/>
        <v>0.13426182573613638</v>
      </c>
      <c r="AS499">
        <f t="shared" si="161"/>
        <v>0</v>
      </c>
      <c r="AT499">
        <f t="shared" si="153"/>
        <v>0</v>
      </c>
      <c r="AU499">
        <f t="shared" si="162"/>
        <v>1.68507E-2</v>
      </c>
      <c r="AV499">
        <f t="shared" si="154"/>
        <v>6.1505054999999995</v>
      </c>
      <c r="AY499">
        <f>AY461</f>
        <v>6.0000000000000001E-3</v>
      </c>
      <c r="BB499">
        <f t="shared" si="163"/>
        <v>0.24</v>
      </c>
    </row>
    <row r="500" spans="1:64" x14ac:dyDescent="0.2">
      <c r="H500" t="s">
        <v>164</v>
      </c>
      <c r="J500">
        <v>91.25</v>
      </c>
      <c r="K500">
        <v>0</v>
      </c>
      <c r="M500">
        <v>0</v>
      </c>
      <c r="O500">
        <v>0</v>
      </c>
      <c r="P500">
        <v>660</v>
      </c>
      <c r="Q500">
        <f t="shared" si="155"/>
        <v>0</v>
      </c>
      <c r="S500">
        <v>0</v>
      </c>
      <c r="T500">
        <v>0</v>
      </c>
      <c r="U500">
        <v>0</v>
      </c>
      <c r="V500">
        <v>0</v>
      </c>
      <c r="W500">
        <f>S500*B463+T500*B464</f>
        <v>0</v>
      </c>
      <c r="X500">
        <f t="shared" si="148"/>
        <v>1</v>
      </c>
      <c r="Y500">
        <f t="shared" si="149"/>
        <v>1.4042250000000001</v>
      </c>
      <c r="Z500">
        <f t="shared" si="156"/>
        <v>1</v>
      </c>
      <c r="AC500">
        <v>5.2999999999999999E-2</v>
      </c>
      <c r="AE500">
        <v>0.54</v>
      </c>
      <c r="AF500">
        <f t="shared" si="150"/>
        <v>0.6459435</v>
      </c>
      <c r="AG500">
        <f t="shared" si="151"/>
        <v>0.19</v>
      </c>
      <c r="AH500">
        <f t="shared" si="152"/>
        <v>0.6784</v>
      </c>
      <c r="AI500">
        <f>AI461</f>
        <v>0</v>
      </c>
      <c r="AK500">
        <f>AK461</f>
        <v>0.8</v>
      </c>
      <c r="AL500">
        <f>AL461</f>
        <v>100</v>
      </c>
      <c r="AM500">
        <f>AM461</f>
        <v>4.7000000000000002E-3</v>
      </c>
      <c r="AN500">
        <f t="shared" si="157"/>
        <v>0</v>
      </c>
      <c r="AO500">
        <f t="shared" si="158"/>
        <v>3.9131980686720001E-4</v>
      </c>
      <c r="AP500">
        <f t="shared" si="159"/>
        <v>3.9131980686720001E-4</v>
      </c>
      <c r="AQ500">
        <f t="shared" si="160"/>
        <v>0</v>
      </c>
      <c r="AS500">
        <f t="shared" si="161"/>
        <v>0</v>
      </c>
      <c r="AT500">
        <f t="shared" si="153"/>
        <v>0</v>
      </c>
      <c r="AU500">
        <f t="shared" si="162"/>
        <v>1.1907828000000001E-2</v>
      </c>
      <c r="AV500">
        <f t="shared" si="154"/>
        <v>0</v>
      </c>
      <c r="AY500">
        <f>AY461</f>
        <v>6.0000000000000001E-3</v>
      </c>
      <c r="BB500">
        <f t="shared" si="163"/>
        <v>0.24</v>
      </c>
    </row>
    <row r="511" spans="1:64" x14ac:dyDescent="0.2">
      <c r="A511" t="s">
        <v>206</v>
      </c>
      <c r="B511" t="s">
        <v>217</v>
      </c>
      <c r="C511" t="s">
        <v>206</v>
      </c>
      <c r="D511" t="s">
        <v>206</v>
      </c>
      <c r="E511" t="s">
        <v>169</v>
      </c>
      <c r="F511" t="s">
        <v>190</v>
      </c>
      <c r="G511" t="s">
        <v>159</v>
      </c>
      <c r="H511" t="s">
        <v>160</v>
      </c>
      <c r="J511">
        <v>91.25</v>
      </c>
      <c r="K511">
        <v>41</v>
      </c>
      <c r="M511" cm="1">
        <f t="array" ref="M511:M550">_xlfn.DROP(_xlfn.XLOOKUP($D511,TableW[[#Headers],[ACT]:[QLD - Moderate/Low]],TableW[[#All],[ACT]:[QLD - Moderate/Low]]),1)</f>
        <v>220</v>
      </c>
      <c r="O511" cm="1">
        <f t="array" ref="O511:O550">_xlfn.DROP(_xlfn.XLOOKUP($D511,TableLWG[[#Headers],[ACT]:[QLD - Low]],TableLWG[[#All],[ACT]:[QLD - Low]]),1)</f>
        <v>0.22</v>
      </c>
      <c r="P511" cm="1">
        <f t="array" ref="P511:P550">_xlfn.DROP(_xlfn.XLOOKUP($E511,TableSRW[[#Headers],[ACT]:[WA]],TableSRW[[#All],[ACT]:[WA]]),1)</f>
        <v>770</v>
      </c>
      <c r="Q511">
        <f>M511 / P511</f>
        <v>0.2857142857142857</v>
      </c>
      <c r="S511">
        <v>0</v>
      </c>
      <c r="T511">
        <v>0</v>
      </c>
      <c r="U511">
        <f>30/K511</f>
        <v>0.73170731707317072</v>
      </c>
      <c r="V511">
        <v>0</v>
      </c>
      <c r="W511">
        <f>S511*B513+T511*B514</f>
        <v>0</v>
      </c>
      <c r="X511">
        <f t="shared" ref="X511:X550" si="164">(S511 * $BX$3 +T511* $BX$4) + (1 -S511 -T511 )</f>
        <v>1</v>
      </c>
      <c r="Y511">
        <f t="shared" ref="Y511:Y550" si="165">(1.185 + 0.00454 * M511- 0.0000026 * M511 ^2 + 0.315 * O511)^2 * X511</f>
        <v>4.5252351075999986</v>
      </c>
      <c r="Z511">
        <f>Y511 / ((1.185 + 0.00454 * M511 - 0.0000026 * M511 ^ 2) ^ 2 * X511)</f>
        <v>1.0684821943990916</v>
      </c>
      <c r="AC511" cm="1">
        <f t="array" ref="AC511:AC550">_xlfn.DROP(_xlfn.XLOOKUP($E511,TableCP[[#Headers],[ACT]:[WA - Kimberley]],TableCP[[#All],[ACT]:[WA - Kimberley]]),1)</f>
        <v>5.8000000000000003E-2</v>
      </c>
      <c r="AE511" cm="1">
        <f t="array" ref="AE511:AE550">_xlfn.DROP(_xlfn.XLOOKUP($E511,TableDMD[[#Headers],[ACT]:[WA - Kimberley]],TableDMD[[#All],[ACT]:[WA - Kimberley]]),1)</f>
        <v>0.55000000000000004</v>
      </c>
      <c r="AF511">
        <f t="shared" ref="AF511:AF550" si="166">(Y511 * (1 - AE511) + (0.04 * Y511)) * ( 1 - $CJ$3 )</f>
        <v>2.0399759865060796</v>
      </c>
      <c r="AG511">
        <f>$CJ$4</f>
        <v>0.19</v>
      </c>
      <c r="AH511">
        <f>$CJ$5</f>
        <v>0.6784</v>
      </c>
      <c r="AI511">
        <f>IF(F511="yes",0,VLOOKUP(C511,$BQ$211:$BS$225,3,FALSE))</f>
        <v>1E-3</v>
      </c>
      <c r="AK511">
        <f>VLOOKUP(C511,$BQ$211:$BU$225,4,FALSE)</f>
        <v>0.8</v>
      </c>
      <c r="AL511">
        <f>IF(F511="yes",100,VLOOKUP(C511,$BQ$211:$BS$225,2,FALSE))</f>
        <v>99.998999999999995</v>
      </c>
      <c r="AM511">
        <f>VLOOKUP(C511,$BQ$211:$BU$225,5,FALSE)</f>
        <v>4.7000000000000002E-3</v>
      </c>
      <c r="AN511">
        <f>AF511 * AG511 * AI511/100 * AK511 * AH511</f>
        <v>2.1035579580535014E-6</v>
      </c>
      <c r="AO511">
        <f>AF511 * AG511 * AL511/100 * AM511 * AH511</f>
        <v>1.2358279419534281E-3</v>
      </c>
      <c r="AP511">
        <f>AN511+AO511</f>
        <v>1.2379314999114816E-3</v>
      </c>
      <c r="AQ511">
        <f>K511*AP511*J511</f>
        <v>4.6314112240438305</v>
      </c>
      <c r="AR511">
        <f>SUM(AQ511:AQ550)*10^-3</f>
        <v>0.73728228337748303</v>
      </c>
      <c r="AS511">
        <f>U511*$B$513+V511*$B$514</f>
        <v>2.9268292682926829</v>
      </c>
      <c r="AT511">
        <f t="shared" ref="AT511:AT550" si="167" xml:space="preserve"> (0.032*W511/6.38) + (((0.212 - 0.008*(Z511-2) - (0.14 - 0.008*(Z511 - 2))/(1+EXP(-6*(Q511-0.4))))*O511*0.92)/6.25)</f>
        <v>5.5071444310909436E-3</v>
      </c>
      <c r="AU511">
        <f>MAX((Y511*AC511/6.25)+(0.032*AS511/6.38)-AT511-((1.1*(10^-4)*(M511^0.75))/6.25), 0)</f>
        <v>5.0161680079449017E-2</v>
      </c>
      <c r="AV511">
        <f t="shared" ref="AV511:AV550" si="168">K511*AU511*J511</f>
        <v>187.66738559723865</v>
      </c>
      <c r="AW511">
        <f>SUM(AV511:AV550)</f>
        <v>29004.880703647534</v>
      </c>
      <c r="AX511" t="s">
        <v>254</v>
      </c>
      <c r="AY511">
        <f>VLOOKUP(AX511, $CK$18:$CM$27, 2, FALSE)</f>
        <v>6.0000000000000001E-3</v>
      </c>
      <c r="AZ511">
        <f>$CJ$6</f>
        <v>0.21</v>
      </c>
      <c r="BA511">
        <f>AW511*AZ511</f>
        <v>6091.0249477659818</v>
      </c>
      <c r="BB511">
        <f>$CJ$7</f>
        <v>0.24</v>
      </c>
      <c r="BC511" t="s">
        <v>190</v>
      </c>
      <c r="BD511">
        <f>IF(BC511="yes",1,0)</f>
        <v>0</v>
      </c>
      <c r="BE511">
        <f>AW511 * BD511 * BB511</f>
        <v>0</v>
      </c>
      <c r="BF511">
        <f>$CJ$8</f>
        <v>1.57</v>
      </c>
      <c r="BG511" t="s">
        <v>185</v>
      </c>
      <c r="BH511">
        <f>VLOOKUP(BG511, $BQ$274:$BR$286, 2, FALSE)</f>
        <v>8.0000000000000002E-3</v>
      </c>
      <c r="BI511">
        <f>$CJ$9</f>
        <v>1.0999999999999999E-2</v>
      </c>
      <c r="BJ511" s="7">
        <f>(AW511 * AY511 * BF511) * 10^-3</f>
        <v>0.27322597622835981</v>
      </c>
      <c r="BK511" s="7">
        <f>BA511 * BH511 * BF511 * 10^-3</f>
        <v>7.6503273343940734E-2</v>
      </c>
      <c r="BL511" s="7">
        <f>BE511 * BI511 * BF511 * 10^-3</f>
        <v>0</v>
      </c>
    </row>
    <row r="512" spans="1:64" x14ac:dyDescent="0.2">
      <c r="G512">
        <v>1</v>
      </c>
      <c r="H512" t="s">
        <v>162</v>
      </c>
      <c r="J512">
        <v>91.25</v>
      </c>
      <c r="K512">
        <v>102</v>
      </c>
      <c r="M512">
        <v>110</v>
      </c>
      <c r="O512">
        <v>0.66</v>
      </c>
      <c r="P512">
        <v>770</v>
      </c>
      <c r="Q512">
        <f t="shared" ref="Q512:Q550" si="169">M512 / P512</f>
        <v>0.14285714285714285</v>
      </c>
      <c r="S512">
        <v>0</v>
      </c>
      <c r="T512">
        <v>0</v>
      </c>
      <c r="U512">
        <f>70/K512</f>
        <v>0.68627450980392157</v>
      </c>
      <c r="V512">
        <f>30/K512</f>
        <v>0.29411764705882354</v>
      </c>
      <c r="W512">
        <f>S512*B513+T512*B514</f>
        <v>0</v>
      </c>
      <c r="X512">
        <f t="shared" si="164"/>
        <v>1</v>
      </c>
      <c r="Y512">
        <f t="shared" si="165"/>
        <v>3.4627255056000004</v>
      </c>
      <c r="Z512">
        <f t="shared" ref="Z512:Z550" si="170">Y512 / ((1.185 + 0.00454 * M512 - 0.0000026 * M512 ^ 2) ^ 2 * X512)</f>
        <v>1.2673713550275403</v>
      </c>
      <c r="AC512">
        <v>9.1999999999999998E-2</v>
      </c>
      <c r="AE512">
        <v>0.61</v>
      </c>
      <c r="AF512">
        <f t="shared" si="166"/>
        <v>1.3698542100153603</v>
      </c>
      <c r="AG512">
        <f t="shared" ref="AG512:AG550" si="171">$CJ$4</f>
        <v>0.19</v>
      </c>
      <c r="AH512">
        <f t="shared" ref="AH512:AH550" si="172">$CJ$5</f>
        <v>0.6784</v>
      </c>
      <c r="AI512">
        <f>AI511</f>
        <v>1E-3</v>
      </c>
      <c r="AK512">
        <f>AK511</f>
        <v>0.8</v>
      </c>
      <c r="AL512">
        <f>AL511</f>
        <v>99.998999999999995</v>
      </c>
      <c r="AM512">
        <f>AM511</f>
        <v>4.7000000000000002E-3</v>
      </c>
      <c r="AN512">
        <f t="shared" ref="AN512:AN550" si="173">AF512 * AG512 * AI512/100 * AK512 * AH512</f>
        <v>1.4125498260331189E-6</v>
      </c>
      <c r="AO512">
        <f t="shared" ref="AO512:AO550" si="174">AF512 * AG512 * AL512/100 * AM512 * AH512</f>
        <v>8.298647240642294E-4</v>
      </c>
      <c r="AP512">
        <f t="shared" ref="AP512:AP550" si="175">AN512+AO512</f>
        <v>8.3127727389026252E-4</v>
      </c>
      <c r="AQ512">
        <f t="shared" ref="AQ512:AQ550" si="176">K512*AP512*J512</f>
        <v>7.7371132267336185</v>
      </c>
      <c r="AS512">
        <f t="shared" ref="AS512:AS550" si="177">U512*$B$513+V512*$B$514</f>
        <v>3.6274509803921569</v>
      </c>
      <c r="AT512">
        <f t="shared" si="167"/>
        <v>1.866988820736518E-2</v>
      </c>
      <c r="AU512">
        <f t="shared" ref="AU512:AU550" si="178">MAX((Y512*AC512/6.25)+(0.032*AS512/6.38)-AT512-((1.1*(10^-4)*(M512^0.75))/6.25), 0)</f>
        <v>4.9897740985979037E-2</v>
      </c>
      <c r="AV512">
        <f t="shared" si="168"/>
        <v>464.42322422699988</v>
      </c>
      <c r="AY512">
        <f>AY511</f>
        <v>6.0000000000000001E-3</v>
      </c>
      <c r="BB512">
        <f t="shared" ref="BB512:BB550" si="179">$CJ$7</f>
        <v>0.24</v>
      </c>
    </row>
    <row r="513" spans="1:54" x14ac:dyDescent="0.2">
      <c r="A513" t="s">
        <v>222</v>
      </c>
      <c r="B513">
        <f>IF(B511="Hereford or Shorthorn",$BT$3,$BT$4)</f>
        <v>4</v>
      </c>
      <c r="H513" t="s">
        <v>163</v>
      </c>
      <c r="J513">
        <v>91.25</v>
      </c>
      <c r="K513">
        <v>99</v>
      </c>
      <c r="M513">
        <v>170</v>
      </c>
      <c r="O513">
        <v>0.49</v>
      </c>
      <c r="P513">
        <v>770</v>
      </c>
      <c r="Q513">
        <f t="shared" si="169"/>
        <v>0.22077922077922077</v>
      </c>
      <c r="S513">
        <v>0</v>
      </c>
      <c r="T513">
        <v>0</v>
      </c>
      <c r="U513">
        <v>0</v>
      </c>
      <c r="V513">
        <f>70/M513</f>
        <v>0.41176470588235292</v>
      </c>
      <c r="W513">
        <f>S513*B513+T513*B514</f>
        <v>0</v>
      </c>
      <c r="X513">
        <f t="shared" si="164"/>
        <v>1</v>
      </c>
      <c r="Y513">
        <f t="shared" si="165"/>
        <v>4.1453367201000004</v>
      </c>
      <c r="Z513">
        <f t="shared" si="170"/>
        <v>1.1707859654256434</v>
      </c>
      <c r="AC513">
        <v>7.4999999999999997E-2</v>
      </c>
      <c r="AE513">
        <v>0.56999999999999995</v>
      </c>
      <c r="AF513">
        <f t="shared" si="166"/>
        <v>1.7924435977712405</v>
      </c>
      <c r="AG513">
        <f t="shared" si="171"/>
        <v>0.19</v>
      </c>
      <c r="AH513">
        <f t="shared" si="172"/>
        <v>0.6784</v>
      </c>
      <c r="AI513">
        <f>AI511</f>
        <v>1E-3</v>
      </c>
      <c r="AK513">
        <f>AK511</f>
        <v>0.8</v>
      </c>
      <c r="AL513">
        <f>AL511</f>
        <v>99.998999999999995</v>
      </c>
      <c r="AM513">
        <f>AM511</f>
        <v>4.7000000000000002E-3</v>
      </c>
      <c r="AN513">
        <f t="shared" si="173"/>
        <v>1.8483104798265747E-6</v>
      </c>
      <c r="AO513">
        <f t="shared" si="174"/>
        <v>1.0858715480740436E-3</v>
      </c>
      <c r="AP513">
        <f t="shared" si="175"/>
        <v>1.0877198585538702E-3</v>
      </c>
      <c r="AQ513">
        <f t="shared" si="176"/>
        <v>9.8261892722110247</v>
      </c>
      <c r="AS513">
        <f t="shared" si="177"/>
        <v>1.2352941176470589</v>
      </c>
      <c r="AT513">
        <f t="shared" si="167"/>
        <v>1.3079063906488301E-2</v>
      </c>
      <c r="AU513">
        <f t="shared" si="178"/>
        <v>4.2032200847793327E-2</v>
      </c>
      <c r="AV513">
        <f t="shared" si="168"/>
        <v>379.70839440875295</v>
      </c>
      <c r="AY513">
        <f>AY511</f>
        <v>6.0000000000000001E-3</v>
      </c>
      <c r="BB513">
        <f t="shared" si="179"/>
        <v>0.24</v>
      </c>
    </row>
    <row r="514" spans="1:54" x14ac:dyDescent="0.2">
      <c r="A514" t="s">
        <v>223</v>
      </c>
      <c r="B514">
        <f>IF(B511="Hereford or Shorthorn",$BU$3,$BU$4)</f>
        <v>3</v>
      </c>
      <c r="H514" t="s">
        <v>164</v>
      </c>
      <c r="J514">
        <v>91.25</v>
      </c>
      <c r="K514">
        <v>54</v>
      </c>
      <c r="M514">
        <v>200</v>
      </c>
      <c r="O514">
        <v>0.27</v>
      </c>
      <c r="P514">
        <v>770</v>
      </c>
      <c r="Q514">
        <f t="shared" si="169"/>
        <v>0.25974025974025972</v>
      </c>
      <c r="S514">
        <v>0</v>
      </c>
      <c r="T514">
        <v>0</v>
      </c>
      <c r="U514">
        <v>0</v>
      </c>
      <c r="V514">
        <v>0</v>
      </c>
      <c r="W514">
        <f>S514*B513+T514*B514</f>
        <v>0</v>
      </c>
      <c r="X514">
        <f t="shared" si="164"/>
        <v>1</v>
      </c>
      <c r="Y514">
        <f t="shared" si="165"/>
        <v>4.3016834024999993</v>
      </c>
      <c r="Z514">
        <f t="shared" si="170"/>
        <v>1.087348795069716</v>
      </c>
      <c r="AC514">
        <v>5.2999999999999999E-2</v>
      </c>
      <c r="AE514">
        <v>0.54</v>
      </c>
      <c r="AF514">
        <f t="shared" si="166"/>
        <v>1.9787743651499998</v>
      </c>
      <c r="AG514">
        <f t="shared" si="171"/>
        <v>0.19</v>
      </c>
      <c r="AH514">
        <f t="shared" si="172"/>
        <v>0.6784</v>
      </c>
      <c r="AI514">
        <f>AI511</f>
        <v>1E-3</v>
      </c>
      <c r="AK514">
        <f>AK511</f>
        <v>0.8</v>
      </c>
      <c r="AL514">
        <f>AL511</f>
        <v>99.998999999999995</v>
      </c>
      <c r="AM514">
        <f>AM511</f>
        <v>4.7000000000000002E-3</v>
      </c>
      <c r="AN514">
        <f t="shared" si="173"/>
        <v>2.0404488045629953E-6</v>
      </c>
      <c r="AO514">
        <f t="shared" si="174"/>
        <v>1.1987516850440326E-3</v>
      </c>
      <c r="AP514">
        <f t="shared" si="175"/>
        <v>1.2007921338485956E-3</v>
      </c>
      <c r="AQ514">
        <f t="shared" si="176"/>
        <v>5.9169032395389554</v>
      </c>
      <c r="AS514">
        <f t="shared" si="177"/>
        <v>0</v>
      </c>
      <c r="AT514">
        <f t="shared" si="167"/>
        <v>6.9525412975886356E-3</v>
      </c>
      <c r="AU514">
        <f t="shared" si="178"/>
        <v>2.8589713877749043E-2</v>
      </c>
      <c r="AV514">
        <f t="shared" si="168"/>
        <v>140.87581513260841</v>
      </c>
      <c r="AY514">
        <f>AY511</f>
        <v>6.0000000000000001E-3</v>
      </c>
      <c r="BB514">
        <f t="shared" si="179"/>
        <v>0.24</v>
      </c>
    </row>
    <row r="515" spans="1:54" x14ac:dyDescent="0.2">
      <c r="G515" t="s">
        <v>165</v>
      </c>
      <c r="H515" t="s">
        <v>160</v>
      </c>
      <c r="J515">
        <v>91.25</v>
      </c>
      <c r="K515">
        <v>45</v>
      </c>
      <c r="M515">
        <v>620</v>
      </c>
      <c r="O515">
        <v>-0.44</v>
      </c>
      <c r="P515">
        <v>770</v>
      </c>
      <c r="Q515">
        <f t="shared" si="169"/>
        <v>0.80519480519480524</v>
      </c>
      <c r="S515">
        <v>0</v>
      </c>
      <c r="T515">
        <v>0</v>
      </c>
      <c r="U515">
        <v>0</v>
      </c>
      <c r="V515">
        <v>0</v>
      </c>
      <c r="W515">
        <f>S515*B513+T515*B514</f>
        <v>0</v>
      </c>
      <c r="X515">
        <f t="shared" si="164"/>
        <v>1</v>
      </c>
      <c r="Y515">
        <f t="shared" si="165"/>
        <v>8.1896702976000011</v>
      </c>
      <c r="Z515">
        <f t="shared" si="170"/>
        <v>0.90974501449619283</v>
      </c>
      <c r="AC515">
        <v>5.8000000000000003E-2</v>
      </c>
      <c r="AE515">
        <v>0.55000000000000004</v>
      </c>
      <c r="AF515">
        <f t="shared" si="166"/>
        <v>3.6919033701580801</v>
      </c>
      <c r="AG515">
        <f t="shared" si="171"/>
        <v>0.19</v>
      </c>
      <c r="AH515">
        <f t="shared" si="172"/>
        <v>0.6784</v>
      </c>
      <c r="AI515">
        <f>AI511</f>
        <v>1E-3</v>
      </c>
      <c r="AK515">
        <f>AK511</f>
        <v>0.8</v>
      </c>
      <c r="AL515">
        <f>AL511</f>
        <v>99.998999999999995</v>
      </c>
      <c r="AM515">
        <f>AM511</f>
        <v>4.7000000000000002E-3</v>
      </c>
      <c r="AN515">
        <f t="shared" si="173"/>
        <v>3.8069726143991674E-6</v>
      </c>
      <c r="AO515">
        <f t="shared" si="174"/>
        <v>2.2365740449954009E-3</v>
      </c>
      <c r="AP515">
        <f t="shared" si="175"/>
        <v>2.2403810176098E-3</v>
      </c>
      <c r="AQ515">
        <f t="shared" si="176"/>
        <v>9.1995645535602417</v>
      </c>
      <c r="AS515">
        <f t="shared" si="177"/>
        <v>0</v>
      </c>
      <c r="AT515">
        <f t="shared" si="167"/>
        <v>-5.441852375901831E-3</v>
      </c>
      <c r="AU515">
        <f t="shared" si="178"/>
        <v>7.9255205981828891E-2</v>
      </c>
      <c r="AV515">
        <f t="shared" si="168"/>
        <v>325.44168956288485</v>
      </c>
      <c r="AY515">
        <f>AY511</f>
        <v>6.0000000000000001E-3</v>
      </c>
      <c r="BB515">
        <f t="shared" si="179"/>
        <v>0.24</v>
      </c>
    </row>
    <row r="516" spans="1:54" x14ac:dyDescent="0.2">
      <c r="A516" t="s">
        <v>167</v>
      </c>
      <c r="G516">
        <v>2</v>
      </c>
      <c r="H516" t="s">
        <v>162</v>
      </c>
      <c r="J516">
        <v>91.25</v>
      </c>
      <c r="K516">
        <v>96</v>
      </c>
      <c r="M516">
        <v>650</v>
      </c>
      <c r="O516">
        <v>0.22</v>
      </c>
      <c r="P516">
        <v>770</v>
      </c>
      <c r="Q516">
        <f t="shared" si="169"/>
        <v>0.8441558441558441</v>
      </c>
      <c r="S516">
        <v>0</v>
      </c>
      <c r="T516">
        <v>0</v>
      </c>
      <c r="U516">
        <v>0</v>
      </c>
      <c r="V516">
        <v>0</v>
      </c>
      <c r="W516">
        <f>S516*B513+T516*B514</f>
        <v>0</v>
      </c>
      <c r="X516">
        <f t="shared" si="164"/>
        <v>1</v>
      </c>
      <c r="Y516">
        <f t="shared" si="165"/>
        <v>9.6522062400000017</v>
      </c>
      <c r="Z516">
        <f t="shared" si="170"/>
        <v>1.046150145404664</v>
      </c>
      <c r="AC516">
        <v>9.1999999999999998E-2</v>
      </c>
      <c r="AE516">
        <v>0.61</v>
      </c>
      <c r="AF516">
        <f t="shared" si="166"/>
        <v>3.8184127885440007</v>
      </c>
      <c r="AG516">
        <f t="shared" si="171"/>
        <v>0.19</v>
      </c>
      <c r="AH516">
        <f t="shared" si="172"/>
        <v>0.6784</v>
      </c>
      <c r="AI516">
        <f>AI511</f>
        <v>1E-3</v>
      </c>
      <c r="AK516">
        <f>AK511</f>
        <v>0.8</v>
      </c>
      <c r="AL516">
        <f>AL511</f>
        <v>99.998999999999995</v>
      </c>
      <c r="AM516">
        <f>AM511</f>
        <v>4.7000000000000002E-3</v>
      </c>
      <c r="AN516">
        <f t="shared" si="173"/>
        <v>3.9374250783373405E-6</v>
      </c>
      <c r="AO516">
        <f t="shared" si="174"/>
        <v>2.3132141011508521E-3</v>
      </c>
      <c r="AP516">
        <f t="shared" si="175"/>
        <v>2.3171515262291895E-3</v>
      </c>
      <c r="AQ516">
        <f t="shared" si="176"/>
        <v>20.298247369767701</v>
      </c>
      <c r="AS516">
        <f t="shared" si="177"/>
        <v>0</v>
      </c>
      <c r="AT516">
        <f t="shared" si="167"/>
        <v>2.6427608149524606E-3</v>
      </c>
      <c r="AU516">
        <f t="shared" si="178"/>
        <v>0.13717203965846858</v>
      </c>
      <c r="AV516">
        <f t="shared" si="168"/>
        <v>1201.6270674081848</v>
      </c>
      <c r="AY516">
        <f>AY511</f>
        <v>6.0000000000000001E-3</v>
      </c>
      <c r="BB516">
        <f t="shared" si="179"/>
        <v>0.24</v>
      </c>
    </row>
    <row r="517" spans="1:54" x14ac:dyDescent="0.2">
      <c r="A517" t="s">
        <v>160</v>
      </c>
      <c r="B517">
        <f>IF(B511="Hereford or Shorthorn", 1.3, 0)</f>
        <v>0</v>
      </c>
      <c r="H517" t="s">
        <v>163</v>
      </c>
      <c r="J517">
        <v>91.25</v>
      </c>
      <c r="K517">
        <v>67</v>
      </c>
      <c r="M517">
        <v>670</v>
      </c>
      <c r="O517">
        <v>0.05</v>
      </c>
      <c r="P517">
        <v>770</v>
      </c>
      <c r="Q517">
        <f t="shared" si="169"/>
        <v>0.87012987012987009</v>
      </c>
      <c r="S517">
        <v>0</v>
      </c>
      <c r="T517">
        <v>0</v>
      </c>
      <c r="U517">
        <v>0</v>
      </c>
      <c r="V517">
        <v>0</v>
      </c>
      <c r="W517">
        <f>S517*B513+T517*B514</f>
        <v>0</v>
      </c>
      <c r="X517">
        <f t="shared" si="164"/>
        <v>1</v>
      </c>
      <c r="Y517">
        <f t="shared" si="165"/>
        <v>9.4581466681000013</v>
      </c>
      <c r="Z517">
        <f t="shared" si="170"/>
        <v>1.0103217596676834</v>
      </c>
      <c r="AC517">
        <v>7.4999999999999997E-2</v>
      </c>
      <c r="AE517">
        <v>0.56999999999999995</v>
      </c>
      <c r="AF517">
        <f t="shared" si="166"/>
        <v>4.0897026192864416</v>
      </c>
      <c r="AG517">
        <f t="shared" si="171"/>
        <v>0.19</v>
      </c>
      <c r="AH517">
        <f t="shared" si="172"/>
        <v>0.6784</v>
      </c>
      <c r="AI517">
        <f>AI511</f>
        <v>1E-3</v>
      </c>
      <c r="AK517">
        <f>AK511</f>
        <v>0.8</v>
      </c>
      <c r="AL517">
        <f>AL511</f>
        <v>99.998999999999995</v>
      </c>
      <c r="AM517">
        <f>AM511</f>
        <v>4.7000000000000002E-3</v>
      </c>
      <c r="AN517">
        <f t="shared" si="173"/>
        <v>4.2171704705243615E-6</v>
      </c>
      <c r="AO517">
        <f t="shared" si="174"/>
        <v>2.4775628755565483E-3</v>
      </c>
      <c r="AP517">
        <f t="shared" si="175"/>
        <v>2.4817800460270726E-3</v>
      </c>
      <c r="AQ517">
        <f t="shared" si="176"/>
        <v>15.172982756398014</v>
      </c>
      <c r="AS517">
        <f t="shared" si="177"/>
        <v>0</v>
      </c>
      <c r="AT517">
        <f t="shared" si="167"/>
        <v>5.9111598773990627E-4</v>
      </c>
      <c r="AU517">
        <f t="shared" si="178"/>
        <v>0.11058888239468335</v>
      </c>
      <c r="AV517">
        <f t="shared" si="168"/>
        <v>676.1127797404954</v>
      </c>
      <c r="AY517">
        <f>AY511</f>
        <v>6.0000000000000001E-3</v>
      </c>
      <c r="BB517">
        <f t="shared" si="179"/>
        <v>0.24</v>
      </c>
    </row>
    <row r="518" spans="1:54" x14ac:dyDescent="0.2">
      <c r="A518" t="s">
        <v>162</v>
      </c>
      <c r="B518">
        <f>IF(B511="Hereford or Shorthorn", 1.1, 1.3)</f>
        <v>1.3</v>
      </c>
      <c r="H518" t="s">
        <v>164</v>
      </c>
      <c r="J518">
        <v>91.25</v>
      </c>
      <c r="K518">
        <v>18</v>
      </c>
      <c r="M518">
        <v>660</v>
      </c>
      <c r="O518">
        <v>-0.27</v>
      </c>
      <c r="P518">
        <v>770</v>
      </c>
      <c r="Q518">
        <f t="shared" si="169"/>
        <v>0.8571428571428571</v>
      </c>
      <c r="S518">
        <v>0</v>
      </c>
      <c r="T518">
        <v>0</v>
      </c>
      <c r="U518">
        <v>0</v>
      </c>
      <c r="V518">
        <v>0</v>
      </c>
      <c r="W518">
        <f>S518*B513+T518*B514</f>
        <v>0</v>
      </c>
      <c r="X518">
        <f t="shared" si="164"/>
        <v>1</v>
      </c>
      <c r="Y518">
        <f t="shared" si="165"/>
        <v>8.7840511641000028</v>
      </c>
      <c r="Z518">
        <f t="shared" si="170"/>
        <v>0.94498646780676276</v>
      </c>
      <c r="AC518">
        <v>5.2999999999999999E-2</v>
      </c>
      <c r="AE518">
        <v>0.54</v>
      </c>
      <c r="AF518">
        <f t="shared" si="166"/>
        <v>4.0406635354860008</v>
      </c>
      <c r="AG518">
        <f t="shared" si="171"/>
        <v>0.19</v>
      </c>
      <c r="AH518">
        <f t="shared" si="172"/>
        <v>0.6784</v>
      </c>
      <c r="AI518">
        <f>AI511</f>
        <v>1E-3</v>
      </c>
      <c r="AK518">
        <f>AK511</f>
        <v>0.8</v>
      </c>
      <c r="AL518">
        <f>AL511</f>
        <v>99.998999999999995</v>
      </c>
      <c r="AM518">
        <f>AM511</f>
        <v>4.7000000000000002E-3</v>
      </c>
      <c r="AN518">
        <f t="shared" si="173"/>
        <v>4.1666029365600291E-6</v>
      </c>
      <c r="AO518">
        <f t="shared" si="174"/>
        <v>2.4478547464367646E-3</v>
      </c>
      <c r="AP518">
        <f t="shared" si="175"/>
        <v>2.4520213493733245E-3</v>
      </c>
      <c r="AQ518">
        <f t="shared" si="176"/>
        <v>4.0274450663456856</v>
      </c>
      <c r="AS518">
        <f t="shared" si="177"/>
        <v>0</v>
      </c>
      <c r="AT518">
        <f t="shared" si="167"/>
        <v>-3.2184428235015224E-3</v>
      </c>
      <c r="AU518">
        <f t="shared" si="178"/>
        <v>7.5415428861821843E-2</v>
      </c>
      <c r="AV518">
        <f t="shared" si="168"/>
        <v>123.86984190554237</v>
      </c>
      <c r="AY518">
        <f>AY511</f>
        <v>6.0000000000000001E-3</v>
      </c>
      <c r="BB518">
        <f t="shared" si="179"/>
        <v>0.24</v>
      </c>
    </row>
    <row r="519" spans="1:54" x14ac:dyDescent="0.2">
      <c r="A519" t="s">
        <v>163</v>
      </c>
      <c r="B519">
        <f>IF(B511="Hereford or Shorthorn", 0, 1.1)</f>
        <v>1.1000000000000001</v>
      </c>
      <c r="G519" t="s">
        <v>177</v>
      </c>
      <c r="H519" t="s">
        <v>160</v>
      </c>
      <c r="J519">
        <v>91.25</v>
      </c>
      <c r="K519">
        <v>209</v>
      </c>
      <c r="M519">
        <v>267</v>
      </c>
      <c r="O519">
        <v>0.15</v>
      </c>
      <c r="P519">
        <v>550</v>
      </c>
      <c r="Q519">
        <f t="shared" si="169"/>
        <v>0.48545454545454547</v>
      </c>
      <c r="S519">
        <v>0</v>
      </c>
      <c r="T519">
        <v>0</v>
      </c>
      <c r="U519">
        <v>0</v>
      </c>
      <c r="V519">
        <v>0</v>
      </c>
      <c r="W519">
        <f>S519*B513+T519*B514</f>
        <v>0</v>
      </c>
      <c r="X519">
        <f t="shared" si="164"/>
        <v>1</v>
      </c>
      <c r="Y519">
        <f t="shared" si="165"/>
        <v>5.1034361209779604</v>
      </c>
      <c r="Z519">
        <f t="shared" si="170"/>
        <v>1.0431811823478905</v>
      </c>
      <c r="AC519">
        <v>5.8000000000000003E-2</v>
      </c>
      <c r="AE519">
        <v>0.55000000000000004</v>
      </c>
      <c r="AF519">
        <f t="shared" si="166"/>
        <v>2.3006290033368644</v>
      </c>
      <c r="AG519">
        <f t="shared" si="171"/>
        <v>0.19</v>
      </c>
      <c r="AH519">
        <f t="shared" si="172"/>
        <v>0.6784</v>
      </c>
      <c r="AI519">
        <f>AI511</f>
        <v>1E-3</v>
      </c>
      <c r="AK519">
        <f>AK511</f>
        <v>0.8</v>
      </c>
      <c r="AL519">
        <f>AL511</f>
        <v>99.998999999999995</v>
      </c>
      <c r="AM519">
        <f>AM511</f>
        <v>4.7000000000000002E-3</v>
      </c>
      <c r="AN519">
        <f t="shared" si="173"/>
        <v>2.3723350081128681E-6</v>
      </c>
      <c r="AO519">
        <f t="shared" si="174"/>
        <v>1.3937328797981371E-3</v>
      </c>
      <c r="AP519">
        <f t="shared" si="175"/>
        <v>1.39610521480625E-3</v>
      </c>
      <c r="AQ519">
        <f t="shared" si="176"/>
        <v>26.625471577873693</v>
      </c>
      <c r="AS519">
        <f t="shared" si="177"/>
        <v>0</v>
      </c>
      <c r="AT519">
        <f t="shared" si="167"/>
        <v>2.8108869508815127E-3</v>
      </c>
      <c r="AU519">
        <f t="shared" si="178"/>
        <v>4.3386491813893362E-2</v>
      </c>
      <c r="AV519">
        <f t="shared" si="168"/>
        <v>827.43463200571375</v>
      </c>
      <c r="AY519">
        <f>AY511</f>
        <v>6.0000000000000001E-3</v>
      </c>
      <c r="BB519">
        <f t="shared" si="179"/>
        <v>0.24</v>
      </c>
    </row>
    <row r="520" spans="1:54" x14ac:dyDescent="0.2">
      <c r="A520" t="s">
        <v>164</v>
      </c>
      <c r="B520">
        <v>0</v>
      </c>
      <c r="G520">
        <v>4</v>
      </c>
      <c r="H520" t="s">
        <v>162</v>
      </c>
      <c r="J520">
        <v>91.25</v>
      </c>
      <c r="K520">
        <v>290</v>
      </c>
      <c r="M520">
        <v>203</v>
      </c>
      <c r="O520">
        <v>0.4</v>
      </c>
      <c r="P520">
        <v>550</v>
      </c>
      <c r="Q520">
        <f t="shared" si="169"/>
        <v>0.36909090909090908</v>
      </c>
      <c r="S520">
        <v>0</v>
      </c>
      <c r="T520">
        <v>0</v>
      </c>
      <c r="U520">
        <v>0</v>
      </c>
      <c r="V520">
        <v>0</v>
      </c>
      <c r="W520">
        <f>S520*B513+T520*B514</f>
        <v>0</v>
      </c>
      <c r="X520">
        <f t="shared" si="164"/>
        <v>1</v>
      </c>
      <c r="Y520">
        <f t="shared" si="165"/>
        <v>4.5176507771475594</v>
      </c>
      <c r="Z520">
        <f t="shared" si="170"/>
        <v>1.1300040610219648</v>
      </c>
      <c r="AC520">
        <v>9.1999999999999998E-2</v>
      </c>
      <c r="AE520">
        <v>0.61</v>
      </c>
      <c r="AF520">
        <f t="shared" si="166"/>
        <v>1.7871826474395744</v>
      </c>
      <c r="AG520">
        <f t="shared" si="171"/>
        <v>0.19</v>
      </c>
      <c r="AH520">
        <f t="shared" si="172"/>
        <v>0.6784</v>
      </c>
      <c r="AI520">
        <f>AI511</f>
        <v>1E-3</v>
      </c>
      <c r="AK520">
        <f>AK511</f>
        <v>0.8</v>
      </c>
      <c r="AL520">
        <f>AL511</f>
        <v>99.998999999999995</v>
      </c>
      <c r="AM520">
        <f>AM511</f>
        <v>4.7000000000000002E-3</v>
      </c>
      <c r="AN520">
        <f t="shared" si="173"/>
        <v>1.8428855561949712E-6</v>
      </c>
      <c r="AO520">
        <f t="shared" si="174"/>
        <v>1.082684437311903E-3</v>
      </c>
      <c r="AP520">
        <f t="shared" si="175"/>
        <v>1.084527322868098E-3</v>
      </c>
      <c r="AQ520">
        <f t="shared" si="176"/>
        <v>28.699304281397044</v>
      </c>
      <c r="AS520">
        <f t="shared" si="177"/>
        <v>0</v>
      </c>
      <c r="AT520">
        <f t="shared" si="167"/>
        <v>8.965900222129548E-3</v>
      </c>
      <c r="AU520">
        <f t="shared" si="178"/>
        <v>5.6587388535547838E-2</v>
      </c>
      <c r="AV520">
        <f t="shared" si="168"/>
        <v>1497.4437691219346</v>
      </c>
      <c r="AY520">
        <f>AY511</f>
        <v>6.0000000000000001E-3</v>
      </c>
      <c r="BB520">
        <f t="shared" si="179"/>
        <v>0.24</v>
      </c>
    </row>
    <row r="521" spans="1:54" x14ac:dyDescent="0.2">
      <c r="H521" t="s">
        <v>163</v>
      </c>
      <c r="J521">
        <v>91.25</v>
      </c>
      <c r="K521">
        <v>271</v>
      </c>
      <c r="M521">
        <v>250</v>
      </c>
      <c r="O521">
        <v>0.38</v>
      </c>
      <c r="P521">
        <v>550</v>
      </c>
      <c r="Q521">
        <f t="shared" si="169"/>
        <v>0.45454545454545453</v>
      </c>
      <c r="S521">
        <v>0</v>
      </c>
      <c r="T521">
        <v>0</v>
      </c>
      <c r="U521">
        <v>0</v>
      </c>
      <c r="V521">
        <v>0</v>
      </c>
      <c r="W521">
        <f>S521*B513+T521*B514</f>
        <v>0</v>
      </c>
      <c r="X521">
        <f t="shared" si="164"/>
        <v>1</v>
      </c>
      <c r="Y521">
        <f t="shared" si="165"/>
        <v>5.1856398400000003</v>
      </c>
      <c r="Z521">
        <f t="shared" si="170"/>
        <v>1.1140398894153756</v>
      </c>
      <c r="AC521">
        <v>7.4999999999999997E-2</v>
      </c>
      <c r="AE521">
        <v>0.56999999999999995</v>
      </c>
      <c r="AF521">
        <f t="shared" si="166"/>
        <v>2.2422706668160006</v>
      </c>
      <c r="AG521">
        <f t="shared" si="171"/>
        <v>0.19</v>
      </c>
      <c r="AH521">
        <f t="shared" si="172"/>
        <v>0.6784</v>
      </c>
      <c r="AI521">
        <f>AI511</f>
        <v>1E-3</v>
      </c>
      <c r="AK521">
        <f>AK511</f>
        <v>0.8</v>
      </c>
      <c r="AL521">
        <f>AL511</f>
        <v>99.998999999999995</v>
      </c>
      <c r="AM521">
        <f>AM511</f>
        <v>4.7000000000000002E-3</v>
      </c>
      <c r="AN521">
        <f t="shared" si="173"/>
        <v>2.3121577589593219E-6</v>
      </c>
      <c r="AO521">
        <f t="shared" si="174"/>
        <v>1.3583790994617677E-3</v>
      </c>
      <c r="AP521">
        <f t="shared" si="175"/>
        <v>1.360691257220727E-3</v>
      </c>
      <c r="AQ521">
        <f t="shared" si="176"/>
        <v>33.648193926997052</v>
      </c>
      <c r="AS521">
        <f t="shared" si="177"/>
        <v>0</v>
      </c>
      <c r="AT521">
        <f t="shared" si="167"/>
        <v>7.4739261485558661E-3</v>
      </c>
      <c r="AU521">
        <f t="shared" si="178"/>
        <v>5.3647210513323149E-2</v>
      </c>
      <c r="AV521">
        <f t="shared" si="168"/>
        <v>1326.6284569813399</v>
      </c>
      <c r="AY521">
        <f>AY511</f>
        <v>6.0000000000000001E-3</v>
      </c>
      <c r="BB521">
        <f t="shared" si="179"/>
        <v>0.24</v>
      </c>
    </row>
    <row r="522" spans="1:54" x14ac:dyDescent="0.2">
      <c r="H522" t="s">
        <v>164</v>
      </c>
      <c r="J522">
        <v>91.25</v>
      </c>
      <c r="K522">
        <v>222</v>
      </c>
      <c r="M522">
        <v>272</v>
      </c>
      <c r="O522">
        <v>0.09</v>
      </c>
      <c r="P522">
        <v>550</v>
      </c>
      <c r="Q522">
        <f t="shared" si="169"/>
        <v>0.49454545454545457</v>
      </c>
      <c r="S522">
        <v>0</v>
      </c>
      <c r="T522">
        <v>0</v>
      </c>
      <c r="U522">
        <v>0</v>
      </c>
      <c r="V522">
        <v>0</v>
      </c>
      <c r="W522">
        <f>S522*B513+T522*B514</f>
        <v>0</v>
      </c>
      <c r="X522">
        <f t="shared" si="164"/>
        <v>1</v>
      </c>
      <c r="Y522">
        <f t="shared" si="165"/>
        <v>5.0889566756865614</v>
      </c>
      <c r="Z522">
        <f t="shared" si="170"/>
        <v>1.0256162789546055</v>
      </c>
      <c r="AC522">
        <v>5.2999999999999999E-2</v>
      </c>
      <c r="AE522">
        <v>0.54</v>
      </c>
      <c r="AF522">
        <f t="shared" si="166"/>
        <v>2.3409200708158182</v>
      </c>
      <c r="AG522">
        <f t="shared" si="171"/>
        <v>0.19</v>
      </c>
      <c r="AH522">
        <f t="shared" si="172"/>
        <v>0.6784</v>
      </c>
      <c r="AI522">
        <f>AI511</f>
        <v>1E-3</v>
      </c>
      <c r="AK522">
        <f>AK511</f>
        <v>0.8</v>
      </c>
      <c r="AL522">
        <f>AL511</f>
        <v>99.998999999999995</v>
      </c>
      <c r="AM522">
        <f>AM511</f>
        <v>4.7000000000000002E-3</v>
      </c>
      <c r="AN522">
        <f t="shared" si="173"/>
        <v>2.4138818675830059E-6</v>
      </c>
      <c r="AO522">
        <f t="shared" si="174"/>
        <v>1.4181414156490438E-3</v>
      </c>
      <c r="AP522">
        <f t="shared" si="175"/>
        <v>1.4205552975166268E-3</v>
      </c>
      <c r="AQ522">
        <f t="shared" si="176"/>
        <v>28.776898939443065</v>
      </c>
      <c r="AS522">
        <f t="shared" si="177"/>
        <v>0</v>
      </c>
      <c r="AT522">
        <f t="shared" si="167"/>
        <v>1.6623863958859595E-3</v>
      </c>
      <c r="AU522">
        <f t="shared" si="178"/>
        <v>4.0313168334710228E-2</v>
      </c>
      <c r="AV522">
        <f t="shared" si="168"/>
        <v>816.64400754039241</v>
      </c>
      <c r="AY522">
        <f>AY511</f>
        <v>6.0000000000000001E-3</v>
      </c>
      <c r="BB522">
        <f t="shared" si="179"/>
        <v>0.24</v>
      </c>
    </row>
    <row r="523" spans="1:54" x14ac:dyDescent="0.2">
      <c r="G523" t="s">
        <v>179</v>
      </c>
      <c r="H523" t="s">
        <v>160</v>
      </c>
      <c r="J523">
        <v>91.25</v>
      </c>
      <c r="K523">
        <v>261</v>
      </c>
      <c r="M523">
        <v>365</v>
      </c>
      <c r="O523">
        <v>0.08</v>
      </c>
      <c r="P523">
        <v>550</v>
      </c>
      <c r="Q523">
        <f t="shared" si="169"/>
        <v>0.66363636363636369</v>
      </c>
      <c r="S523">
        <v>0</v>
      </c>
      <c r="T523">
        <v>0</v>
      </c>
      <c r="U523">
        <v>0</v>
      </c>
      <c r="V523">
        <v>0</v>
      </c>
      <c r="W523">
        <f>S523*B513+T523*B514</f>
        <v>0</v>
      </c>
      <c r="X523">
        <f t="shared" si="164"/>
        <v>1</v>
      </c>
      <c r="Y523">
        <f t="shared" si="165"/>
        <v>6.3550124372249996</v>
      </c>
      <c r="Z523">
        <f t="shared" si="170"/>
        <v>1.0202965691719414</v>
      </c>
      <c r="AC523">
        <v>5.8000000000000003E-2</v>
      </c>
      <c r="AE523">
        <v>0.55000000000000004</v>
      </c>
      <c r="AF523">
        <f t="shared" si="166"/>
        <v>2.8648396067010293</v>
      </c>
      <c r="AG523">
        <f t="shared" si="171"/>
        <v>0.19</v>
      </c>
      <c r="AH523">
        <f t="shared" si="172"/>
        <v>0.6784</v>
      </c>
      <c r="AI523">
        <f>AI511</f>
        <v>1E-3</v>
      </c>
      <c r="AK523">
        <f>AK511</f>
        <v>0.8</v>
      </c>
      <c r="AL523">
        <f>AL511</f>
        <v>99.998999999999995</v>
      </c>
      <c r="AM523">
        <f>AM511</f>
        <v>4.7000000000000002E-3</v>
      </c>
      <c r="AN523">
        <f t="shared" si="173"/>
        <v>2.9541309275626877E-6</v>
      </c>
      <c r="AO523">
        <f t="shared" si="174"/>
        <v>1.7355345644238793E-3</v>
      </c>
      <c r="AP523">
        <f t="shared" si="175"/>
        <v>1.7384886953514421E-3</v>
      </c>
      <c r="AQ523">
        <f t="shared" si="176"/>
        <v>41.404281390663776</v>
      </c>
      <c r="AS523">
        <f t="shared" si="177"/>
        <v>0</v>
      </c>
      <c r="AT523">
        <f t="shared" si="167"/>
        <v>1.1447679655881781E-3</v>
      </c>
      <c r="AU523">
        <f t="shared" si="178"/>
        <v>5.6360035194630738E-2</v>
      </c>
      <c r="AV523">
        <f t="shared" si="168"/>
        <v>1342.2846882041242</v>
      </c>
      <c r="AY523">
        <f>AY511</f>
        <v>6.0000000000000001E-3</v>
      </c>
      <c r="BB523">
        <f t="shared" si="179"/>
        <v>0.24</v>
      </c>
    </row>
    <row r="524" spans="1:54" x14ac:dyDescent="0.2">
      <c r="G524" t="s">
        <v>195</v>
      </c>
      <c r="H524" t="s">
        <v>162</v>
      </c>
      <c r="J524">
        <v>91.25</v>
      </c>
      <c r="K524">
        <v>326</v>
      </c>
      <c r="M524">
        <v>299</v>
      </c>
      <c r="O524">
        <v>0.38</v>
      </c>
      <c r="P524">
        <v>550</v>
      </c>
      <c r="Q524">
        <f t="shared" si="169"/>
        <v>0.54363636363636358</v>
      </c>
      <c r="S524">
        <v>0.77</v>
      </c>
      <c r="T524">
        <v>0</v>
      </c>
      <c r="U524">
        <v>0</v>
      </c>
      <c r="V524">
        <v>0</v>
      </c>
      <c r="W524">
        <f>S524*B513+T524*B514</f>
        <v>3.08</v>
      </c>
      <c r="X524">
        <f t="shared" si="164"/>
        <v>1.2310000000000001</v>
      </c>
      <c r="Y524">
        <f t="shared" si="165"/>
        <v>7.2672412985950583</v>
      </c>
      <c r="Z524">
        <f t="shared" si="170"/>
        <v>1.1063206665208802</v>
      </c>
      <c r="AC524">
        <v>9.1999999999999998E-2</v>
      </c>
      <c r="AE524">
        <v>0.61</v>
      </c>
      <c r="AF524">
        <f t="shared" si="166"/>
        <v>2.8749206577242052</v>
      </c>
      <c r="AG524">
        <f t="shared" si="171"/>
        <v>0.19</v>
      </c>
      <c r="AH524">
        <f t="shared" si="172"/>
        <v>0.6784</v>
      </c>
      <c r="AI524">
        <f>AI511</f>
        <v>1E-3</v>
      </c>
      <c r="AK524">
        <f>AK511</f>
        <v>0.8</v>
      </c>
      <c r="AL524">
        <f>AL511</f>
        <v>99.998999999999995</v>
      </c>
      <c r="AM524">
        <f>AM511</f>
        <v>4.7000000000000002E-3</v>
      </c>
      <c r="AN524">
        <f t="shared" si="173"/>
        <v>2.9645261847841533E-6</v>
      </c>
      <c r="AO524">
        <f t="shared" si="174"/>
        <v>1.7416417169693543E-3</v>
      </c>
      <c r="AP524">
        <f t="shared" si="175"/>
        <v>1.7446062431541384E-3</v>
      </c>
      <c r="AQ524">
        <f t="shared" si="176"/>
        <v>51.897674218227735</v>
      </c>
      <c r="AS524">
        <f t="shared" si="177"/>
        <v>0</v>
      </c>
      <c r="AT524">
        <f t="shared" si="167"/>
        <v>2.1919927839282635E-2</v>
      </c>
      <c r="AU524">
        <f t="shared" si="178"/>
        <v>8.378835268382534E-2</v>
      </c>
      <c r="AV524">
        <f t="shared" si="168"/>
        <v>2492.4940214620942</v>
      </c>
      <c r="AY524">
        <f>AY511</f>
        <v>6.0000000000000001E-3</v>
      </c>
      <c r="BB524">
        <f t="shared" si="179"/>
        <v>0.24</v>
      </c>
    </row>
    <row r="525" spans="1:54" x14ac:dyDescent="0.2">
      <c r="H525" t="s">
        <v>163</v>
      </c>
      <c r="J525">
        <v>91.25</v>
      </c>
      <c r="K525">
        <v>319</v>
      </c>
      <c r="M525">
        <v>336</v>
      </c>
      <c r="O525">
        <v>0.36</v>
      </c>
      <c r="P525">
        <v>550</v>
      </c>
      <c r="Q525">
        <f t="shared" si="169"/>
        <v>0.61090909090909096</v>
      </c>
      <c r="S525">
        <v>0.15</v>
      </c>
      <c r="T525">
        <v>0.76</v>
      </c>
      <c r="U525">
        <v>0</v>
      </c>
      <c r="V525">
        <v>0</v>
      </c>
      <c r="W525">
        <f>S525*B513+T525*B514</f>
        <v>2.8800000000000003</v>
      </c>
      <c r="X525">
        <f t="shared" si="164"/>
        <v>1.121</v>
      </c>
      <c r="Y525">
        <f t="shared" si="165"/>
        <v>7.1771696775102889</v>
      </c>
      <c r="Z525">
        <f t="shared" si="170"/>
        <v>1.096040242379376</v>
      </c>
      <c r="AC525">
        <v>7.4999999999999997E-2</v>
      </c>
      <c r="AE525">
        <v>0.56999999999999995</v>
      </c>
      <c r="AF525">
        <f t="shared" si="166"/>
        <v>3.1034081685554491</v>
      </c>
      <c r="AG525">
        <f t="shared" si="171"/>
        <v>0.19</v>
      </c>
      <c r="AH525">
        <f t="shared" si="172"/>
        <v>0.6784</v>
      </c>
      <c r="AI525">
        <f>AI511</f>
        <v>1E-3</v>
      </c>
      <c r="AK525">
        <f>AK511</f>
        <v>0.8</v>
      </c>
      <c r="AL525">
        <f>AL511</f>
        <v>99.998999999999995</v>
      </c>
      <c r="AM525">
        <f>AM511</f>
        <v>4.7000000000000002E-3</v>
      </c>
      <c r="AN525">
        <f t="shared" si="173"/>
        <v>3.2001351943529854E-6</v>
      </c>
      <c r="AO525">
        <f t="shared" si="174"/>
        <v>1.880060625888112E-3</v>
      </c>
      <c r="AP525">
        <f t="shared" si="175"/>
        <v>1.8832607610824649E-3</v>
      </c>
      <c r="AQ525">
        <f t="shared" si="176"/>
        <v>54.819366679159202</v>
      </c>
      <c r="AS525">
        <f t="shared" si="177"/>
        <v>0</v>
      </c>
      <c r="AT525">
        <f t="shared" si="167"/>
        <v>1.9977310924839307E-2</v>
      </c>
      <c r="AU525">
        <f t="shared" si="178"/>
        <v>6.4767491632737428E-2</v>
      </c>
      <c r="AV525">
        <f t="shared" si="168"/>
        <v>1885.3007220644458</v>
      </c>
      <c r="AY525">
        <f>AY511</f>
        <v>6.0000000000000001E-3</v>
      </c>
      <c r="BB525">
        <f t="shared" si="179"/>
        <v>0.24</v>
      </c>
    </row>
    <row r="526" spans="1:54" x14ac:dyDescent="0.2">
      <c r="H526" t="s">
        <v>164</v>
      </c>
      <c r="J526">
        <v>91.25</v>
      </c>
      <c r="K526">
        <v>264</v>
      </c>
      <c r="M526">
        <v>365</v>
      </c>
      <c r="O526">
        <v>0.16</v>
      </c>
      <c r="P526">
        <v>550</v>
      </c>
      <c r="Q526">
        <f t="shared" si="169"/>
        <v>0.66363636363636369</v>
      </c>
      <c r="S526">
        <v>0</v>
      </c>
      <c r="T526">
        <v>0.12</v>
      </c>
      <c r="U526">
        <v>0</v>
      </c>
      <c r="V526">
        <v>0</v>
      </c>
      <c r="W526">
        <f>S526*B513+T526*B514</f>
        <v>0.36</v>
      </c>
      <c r="X526">
        <f t="shared" si="164"/>
        <v>1.012</v>
      </c>
      <c r="Y526">
        <f t="shared" si="165"/>
        <v>6.5604940123437023</v>
      </c>
      <c r="Z526">
        <f t="shared" si="170"/>
        <v>1.040797049552457</v>
      </c>
      <c r="AC526">
        <v>5.2999999999999999E-2</v>
      </c>
      <c r="AE526">
        <v>0.54</v>
      </c>
      <c r="AF526">
        <f t="shared" si="166"/>
        <v>3.0178272456781028</v>
      </c>
      <c r="AG526">
        <f t="shared" si="171"/>
        <v>0.19</v>
      </c>
      <c r="AH526">
        <f t="shared" si="172"/>
        <v>0.6784</v>
      </c>
      <c r="AI526">
        <f>AI511</f>
        <v>1E-3</v>
      </c>
      <c r="AK526">
        <f>AK511</f>
        <v>0.8</v>
      </c>
      <c r="AL526">
        <f>AL511</f>
        <v>99.998999999999995</v>
      </c>
      <c r="AM526">
        <f>AM511</f>
        <v>4.7000000000000002E-3</v>
      </c>
      <c r="AN526">
        <f t="shared" si="173"/>
        <v>3.1118868852713987E-6</v>
      </c>
      <c r="AO526">
        <f t="shared" si="174"/>
        <v>1.8282152627614953E-3</v>
      </c>
      <c r="AP526">
        <f t="shared" si="175"/>
        <v>1.8313271496467668E-3</v>
      </c>
      <c r="AQ526">
        <f t="shared" si="176"/>
        <v>44.11667103499061</v>
      </c>
      <c r="AS526">
        <f t="shared" si="177"/>
        <v>0</v>
      </c>
      <c r="AT526">
        <f t="shared" si="167"/>
        <v>4.0945198406393763E-3</v>
      </c>
      <c r="AU526">
        <f t="shared" si="178"/>
        <v>5.0068757126806127E-2</v>
      </c>
      <c r="AV526">
        <f t="shared" si="168"/>
        <v>1206.1563591847596</v>
      </c>
      <c r="AY526">
        <f>AY511</f>
        <v>6.0000000000000001E-3</v>
      </c>
      <c r="BB526">
        <f t="shared" si="179"/>
        <v>0.24</v>
      </c>
    </row>
    <row r="527" spans="1:54" x14ac:dyDescent="0.2">
      <c r="G527" t="s">
        <v>176</v>
      </c>
      <c r="H527" t="s">
        <v>160</v>
      </c>
      <c r="J527">
        <v>91.25</v>
      </c>
      <c r="K527">
        <v>65</v>
      </c>
      <c r="M527">
        <v>177</v>
      </c>
      <c r="O527">
        <v>0</v>
      </c>
      <c r="P527">
        <v>550</v>
      </c>
      <c r="Q527">
        <f t="shared" si="169"/>
        <v>0.32181818181818184</v>
      </c>
      <c r="S527">
        <v>0</v>
      </c>
      <c r="T527">
        <v>0</v>
      </c>
      <c r="U527">
        <v>0</v>
      </c>
      <c r="V527">
        <v>0</v>
      </c>
      <c r="W527">
        <f>S527*B513+T527*B514</f>
        <v>0</v>
      </c>
      <c r="X527">
        <f t="shared" si="164"/>
        <v>1</v>
      </c>
      <c r="Y527">
        <f t="shared" si="165"/>
        <v>3.6371242399251598</v>
      </c>
      <c r="Z527">
        <f t="shared" si="170"/>
        <v>1</v>
      </c>
      <c r="AC527">
        <v>5.8000000000000003E-2</v>
      </c>
      <c r="AE527">
        <v>0.55000000000000004</v>
      </c>
      <c r="AF527">
        <f t="shared" si="166"/>
        <v>1.639615607358262</v>
      </c>
      <c r="AG527">
        <f t="shared" si="171"/>
        <v>0.19</v>
      </c>
      <c r="AH527">
        <f t="shared" si="172"/>
        <v>0.6784</v>
      </c>
      <c r="AI527">
        <f>AI511</f>
        <v>1E-3</v>
      </c>
      <c r="AK527">
        <f>AK511</f>
        <v>0.8</v>
      </c>
      <c r="AL527">
        <f>AL511</f>
        <v>99.998999999999995</v>
      </c>
      <c r="AM527">
        <f>AM511</f>
        <v>4.7000000000000002E-3</v>
      </c>
      <c r="AN527">
        <f t="shared" si="173"/>
        <v>1.6907191466084047E-6</v>
      </c>
      <c r="AO527">
        <f t="shared" si="174"/>
        <v>9.9328756565745125E-4</v>
      </c>
      <c r="AP527">
        <f t="shared" si="175"/>
        <v>9.9497828480405955E-4</v>
      </c>
      <c r="AQ527">
        <f t="shared" si="176"/>
        <v>5.9014649517440789</v>
      </c>
      <c r="AS527">
        <f t="shared" si="177"/>
        <v>0</v>
      </c>
      <c r="AT527">
        <f t="shared" si="167"/>
        <v>0</v>
      </c>
      <c r="AU527">
        <f t="shared" si="178"/>
        <v>3.2898444617208318E-2</v>
      </c>
      <c r="AV527">
        <f t="shared" si="168"/>
        <v>195.12889963581682</v>
      </c>
      <c r="AY527">
        <f>AY511</f>
        <v>6.0000000000000001E-3</v>
      </c>
      <c r="BB527">
        <f t="shared" si="179"/>
        <v>0.24</v>
      </c>
    </row>
    <row r="528" spans="1:54" x14ac:dyDescent="0.2">
      <c r="G528">
        <v>3</v>
      </c>
      <c r="H528" t="s">
        <v>162</v>
      </c>
      <c r="J528">
        <v>91.25</v>
      </c>
      <c r="K528">
        <v>142</v>
      </c>
      <c r="M528">
        <v>102</v>
      </c>
      <c r="O528">
        <v>0.79</v>
      </c>
      <c r="P528">
        <v>550</v>
      </c>
      <c r="Q528">
        <f t="shared" si="169"/>
        <v>0.18545454545454546</v>
      </c>
      <c r="S528">
        <v>0</v>
      </c>
      <c r="T528">
        <v>0</v>
      </c>
      <c r="U528">
        <f>60/K527</f>
        <v>0.92307692307692313</v>
      </c>
      <c r="V528">
        <v>0</v>
      </c>
      <c r="W528">
        <f>S528*B513+T528*B514</f>
        <v>0</v>
      </c>
      <c r="X528">
        <f t="shared" si="164"/>
        <v>1</v>
      </c>
      <c r="Y528">
        <f t="shared" si="165"/>
        <v>3.49644971849616</v>
      </c>
      <c r="Z528">
        <f t="shared" si="170"/>
        <v>1.3305934978638227</v>
      </c>
      <c r="AC528">
        <v>9.1999999999999998E-2</v>
      </c>
      <c r="AE528">
        <v>0.61</v>
      </c>
      <c r="AF528">
        <f t="shared" si="166"/>
        <v>1.3831955086370809</v>
      </c>
      <c r="AG528">
        <f t="shared" si="171"/>
        <v>0.19</v>
      </c>
      <c r="AH528">
        <f t="shared" si="172"/>
        <v>0.6784</v>
      </c>
      <c r="AI528">
        <f>AI511</f>
        <v>1E-3</v>
      </c>
      <c r="AK528">
        <f>AK511</f>
        <v>0.8</v>
      </c>
      <c r="AL528">
        <f>AL511</f>
        <v>99.998999999999995</v>
      </c>
      <c r="AM528">
        <f>AM511</f>
        <v>4.7000000000000002E-3</v>
      </c>
      <c r="AN528">
        <f t="shared" si="173"/>
        <v>1.4263069462502817E-6</v>
      </c>
      <c r="AO528">
        <f t="shared" si="174"/>
        <v>8.3794695136873119E-4</v>
      </c>
      <c r="AP528">
        <f t="shared" si="175"/>
        <v>8.3937325831498152E-4</v>
      </c>
      <c r="AQ528">
        <f t="shared" si="176"/>
        <v>10.876178994616373</v>
      </c>
      <c r="AS528">
        <f t="shared" si="177"/>
        <v>3.6923076923076925</v>
      </c>
      <c r="AT528">
        <f t="shared" si="167"/>
        <v>2.1619423212679754E-2</v>
      </c>
      <c r="AU528">
        <f t="shared" si="178"/>
        <v>4.7802839684270008E-2</v>
      </c>
      <c r="AV528">
        <f t="shared" si="168"/>
        <v>619.40529520892869</v>
      </c>
      <c r="AY528">
        <f>AY511</f>
        <v>6.0000000000000001E-3</v>
      </c>
      <c r="BB528">
        <f t="shared" si="179"/>
        <v>0.24</v>
      </c>
    </row>
    <row r="529" spans="7:54" x14ac:dyDescent="0.2">
      <c r="H529" t="s">
        <v>163</v>
      </c>
      <c r="J529">
        <v>91.25</v>
      </c>
      <c r="K529">
        <v>137</v>
      </c>
      <c r="M529">
        <v>173</v>
      </c>
      <c r="O529">
        <v>0.55000000000000004</v>
      </c>
      <c r="P529">
        <v>550</v>
      </c>
      <c r="Q529">
        <f t="shared" si="169"/>
        <v>0.31454545454545457</v>
      </c>
      <c r="S529">
        <v>0</v>
      </c>
      <c r="T529">
        <v>0</v>
      </c>
      <c r="U529">
        <f>70/K528</f>
        <v>0.49295774647887325</v>
      </c>
      <c r="V529">
        <f>60/K528</f>
        <v>0.42253521126760563</v>
      </c>
      <c r="W529">
        <f>S529*B513+T529*B514</f>
        <v>0</v>
      </c>
      <c r="X529">
        <f t="shared" si="164"/>
        <v>1</v>
      </c>
      <c r="Y529">
        <f t="shared" si="165"/>
        <v>4.2677552283411613</v>
      </c>
      <c r="Z529">
        <f t="shared" si="170"/>
        <v>1.1914606961455727</v>
      </c>
      <c r="AC529">
        <v>7.4999999999999997E-2</v>
      </c>
      <c r="AE529">
        <v>0.56999999999999995</v>
      </c>
      <c r="AF529">
        <f t="shared" si="166"/>
        <v>1.8453773607347184</v>
      </c>
      <c r="AG529">
        <f t="shared" si="171"/>
        <v>0.19</v>
      </c>
      <c r="AH529">
        <f t="shared" si="172"/>
        <v>0.6784</v>
      </c>
      <c r="AI529">
        <f>AI511</f>
        <v>1E-3</v>
      </c>
      <c r="AK529">
        <f>AK511</f>
        <v>0.8</v>
      </c>
      <c r="AL529">
        <f>AL511</f>
        <v>99.998999999999995</v>
      </c>
      <c r="AM529">
        <f>AM511</f>
        <v>4.7000000000000002E-3</v>
      </c>
      <c r="AN529">
        <f t="shared" si="173"/>
        <v>1.9028940823140984E-6</v>
      </c>
      <c r="AO529">
        <f t="shared" si="174"/>
        <v>1.1179390938567992E-3</v>
      </c>
      <c r="AP529">
        <f t="shared" si="175"/>
        <v>1.1198419879391132E-3</v>
      </c>
      <c r="AQ529">
        <f t="shared" si="176"/>
        <v>13.999424651723841</v>
      </c>
      <c r="AS529">
        <f t="shared" si="177"/>
        <v>3.23943661971831</v>
      </c>
      <c r="AT529">
        <f t="shared" si="167"/>
        <v>1.3245700584357735E-2</v>
      </c>
      <c r="AU529">
        <f t="shared" si="178"/>
        <v>5.3375768809992057E-2</v>
      </c>
      <c r="AV529">
        <f t="shared" si="168"/>
        <v>667.26382983591316</v>
      </c>
      <c r="AY529">
        <f>AY511</f>
        <v>6.0000000000000001E-3</v>
      </c>
      <c r="BB529">
        <f t="shared" si="179"/>
        <v>0.24</v>
      </c>
    </row>
    <row r="530" spans="7:54" x14ac:dyDescent="0.2">
      <c r="H530" t="s">
        <v>164</v>
      </c>
      <c r="J530">
        <v>91.25</v>
      </c>
      <c r="K530">
        <v>132</v>
      </c>
      <c r="M530">
        <v>202</v>
      </c>
      <c r="O530">
        <v>0.02</v>
      </c>
      <c r="P530">
        <v>550</v>
      </c>
      <c r="Q530">
        <f t="shared" si="169"/>
        <v>0.36727272727272725</v>
      </c>
      <c r="S530">
        <v>0</v>
      </c>
      <c r="T530">
        <v>0</v>
      </c>
      <c r="U530">
        <v>0</v>
      </c>
      <c r="V530">
        <f>70/M530</f>
        <v>0.34653465346534651</v>
      </c>
      <c r="W530">
        <f>S530*B513+T530*B514</f>
        <v>0</v>
      </c>
      <c r="X530">
        <f t="shared" si="164"/>
        <v>1</v>
      </c>
      <c r="Y530">
        <f t="shared" si="165"/>
        <v>4.0091636422681605</v>
      </c>
      <c r="Z530">
        <f t="shared" si="170"/>
        <v>1.0063226205553115</v>
      </c>
      <c r="AC530">
        <v>5.2999999999999999E-2</v>
      </c>
      <c r="AE530">
        <v>0.54</v>
      </c>
      <c r="AF530">
        <f t="shared" si="166"/>
        <v>1.8442152754433538</v>
      </c>
      <c r="AG530">
        <f t="shared" si="171"/>
        <v>0.19</v>
      </c>
      <c r="AH530">
        <f t="shared" si="172"/>
        <v>0.6784</v>
      </c>
      <c r="AI530">
        <f>AI511</f>
        <v>1E-3</v>
      </c>
      <c r="AK530">
        <f>AK511</f>
        <v>0.8</v>
      </c>
      <c r="AL530">
        <f>AL511</f>
        <v>99.998999999999995</v>
      </c>
      <c r="AM530">
        <f>AM511</f>
        <v>4.7000000000000002E-3</v>
      </c>
      <c r="AN530">
        <f t="shared" si="173"/>
        <v>1.9016957771483724E-6</v>
      </c>
      <c r="AO530">
        <f t="shared" si="174"/>
        <v>1.1172350966119778E-3</v>
      </c>
      <c r="AP530">
        <f t="shared" si="175"/>
        <v>1.1191367923891263E-3</v>
      </c>
      <c r="AQ530">
        <f t="shared" si="176"/>
        <v>13.480002664327026</v>
      </c>
      <c r="AS530">
        <f t="shared" si="177"/>
        <v>1.0396039603960396</v>
      </c>
      <c r="AT530">
        <f t="shared" si="167"/>
        <v>4.5106329100646993E-4</v>
      </c>
      <c r="AU530">
        <f>MAX((Y530*AC530/6.25)+(0.032*AS530/6.38)-AT530-((1.1*(10^-4)*(M530^0.75))/6.25), 0)</f>
        <v>3.7817927440712294E-2</v>
      </c>
      <c r="AV530">
        <f t="shared" si="168"/>
        <v>455.51693602337957</v>
      </c>
      <c r="AY530">
        <f>AY511</f>
        <v>6.0000000000000001E-3</v>
      </c>
      <c r="BB530">
        <f t="shared" si="179"/>
        <v>0.24</v>
      </c>
    </row>
    <row r="531" spans="7:54" x14ac:dyDescent="0.2">
      <c r="G531" t="s">
        <v>182</v>
      </c>
      <c r="H531" t="s">
        <v>160</v>
      </c>
      <c r="J531">
        <v>91.25</v>
      </c>
      <c r="K531">
        <v>249</v>
      </c>
      <c r="M531">
        <v>406</v>
      </c>
      <c r="O531">
        <v>0.17</v>
      </c>
      <c r="P531">
        <v>550</v>
      </c>
      <c r="Q531">
        <f t="shared" si="169"/>
        <v>0.73818181818181816</v>
      </c>
      <c r="S531">
        <v>0</v>
      </c>
      <c r="T531">
        <v>0</v>
      </c>
      <c r="U531">
        <v>0</v>
      </c>
      <c r="V531">
        <v>0</v>
      </c>
      <c r="W531">
        <f>S531*B513+T531*B514</f>
        <v>0</v>
      </c>
      <c r="X531">
        <f t="shared" si="164"/>
        <v>1</v>
      </c>
      <c r="Y531">
        <f t="shared" si="165"/>
        <v>7.0395572652289617</v>
      </c>
      <c r="Z531">
        <f t="shared" si="170"/>
        <v>1.0416219040913326</v>
      </c>
      <c r="AC531">
        <v>5.8000000000000003E-2</v>
      </c>
      <c r="AE531">
        <v>0.55000000000000004</v>
      </c>
      <c r="AF531">
        <f t="shared" si="166"/>
        <v>3.1734324151652156</v>
      </c>
      <c r="AG531">
        <f t="shared" si="171"/>
        <v>0.19</v>
      </c>
      <c r="AH531">
        <f t="shared" si="172"/>
        <v>0.6784</v>
      </c>
      <c r="AI531">
        <f>AI511</f>
        <v>1E-3</v>
      </c>
      <c r="AK531">
        <f>AK511</f>
        <v>0.8</v>
      </c>
      <c r="AL531">
        <f>AL511</f>
        <v>99.998999999999995</v>
      </c>
      <c r="AM531">
        <f>AM511</f>
        <v>4.7000000000000002E-3</v>
      </c>
      <c r="AN531">
        <f t="shared" si="173"/>
        <v>3.2723419566810854E-6</v>
      </c>
      <c r="AO531">
        <f t="shared" si="174"/>
        <v>1.9224816745411419E-3</v>
      </c>
      <c r="AP531">
        <f t="shared" si="175"/>
        <v>1.9257540164978229E-3</v>
      </c>
      <c r="AQ531">
        <f t="shared" si="176"/>
        <v>43.755538447351157</v>
      </c>
      <c r="AS531">
        <f t="shared" si="177"/>
        <v>0</v>
      </c>
      <c r="AT531">
        <f t="shared" si="167"/>
        <v>2.2310468881991991E-3</v>
      </c>
      <c r="AU531">
        <f t="shared" si="178"/>
        <v>6.1504176018392517E-2</v>
      </c>
      <c r="AV531">
        <f t="shared" si="168"/>
        <v>1397.451759357901</v>
      </c>
      <c r="AY531">
        <f>AY511</f>
        <v>6.0000000000000001E-3</v>
      </c>
      <c r="BB531">
        <f t="shared" si="179"/>
        <v>0.24</v>
      </c>
    </row>
    <row r="532" spans="7:54" x14ac:dyDescent="0.2">
      <c r="G532" t="s">
        <v>196</v>
      </c>
      <c r="H532" t="s">
        <v>162</v>
      </c>
      <c r="J532">
        <v>91.25</v>
      </c>
      <c r="K532">
        <v>320</v>
      </c>
      <c r="M532">
        <v>380</v>
      </c>
      <c r="O532">
        <v>0.27</v>
      </c>
      <c r="P532">
        <v>550</v>
      </c>
      <c r="Q532">
        <f t="shared" si="169"/>
        <v>0.69090909090909092</v>
      </c>
      <c r="S532">
        <v>0.7</v>
      </c>
      <c r="T532">
        <v>0</v>
      </c>
      <c r="U532">
        <v>0</v>
      </c>
      <c r="V532">
        <v>0</v>
      </c>
      <c r="W532">
        <f>S532*B513+T532*B514</f>
        <v>2.8</v>
      </c>
      <c r="X532">
        <f t="shared" si="164"/>
        <v>1.21</v>
      </c>
      <c r="Y532">
        <f t="shared" si="165"/>
        <v>8.3047193676809954</v>
      </c>
      <c r="Z532">
        <f t="shared" si="170"/>
        <v>1.0682327805542398</v>
      </c>
      <c r="AC532">
        <v>9.1999999999999998E-2</v>
      </c>
      <c r="AE532">
        <v>0.61</v>
      </c>
      <c r="AF532">
        <f t="shared" si="166"/>
        <v>3.2853469818546017</v>
      </c>
      <c r="AG532">
        <f t="shared" si="171"/>
        <v>0.19</v>
      </c>
      <c r="AH532">
        <f t="shared" si="172"/>
        <v>0.6784</v>
      </c>
      <c r="AI532">
        <f>AI511</f>
        <v>1E-3</v>
      </c>
      <c r="AK532">
        <f>AK511</f>
        <v>0.8</v>
      </c>
      <c r="AL532">
        <f>AL511</f>
        <v>99.998999999999995</v>
      </c>
      <c r="AM532">
        <f>AM511</f>
        <v>4.7000000000000002E-3</v>
      </c>
      <c r="AN532">
        <f t="shared" si="173"/>
        <v>3.3877446765850461E-6</v>
      </c>
      <c r="AO532">
        <f t="shared" si="174"/>
        <v>1.9902800944937397E-3</v>
      </c>
      <c r="AP532">
        <f t="shared" si="175"/>
        <v>1.993667839170325E-3</v>
      </c>
      <c r="AQ532">
        <f t="shared" si="176"/>
        <v>58.215100903773489</v>
      </c>
      <c r="AS532">
        <f t="shared" si="177"/>
        <v>0</v>
      </c>
      <c r="AT532">
        <f t="shared" si="167"/>
        <v>1.7776438741629028E-2</v>
      </c>
      <c r="AU532">
        <f t="shared" si="178"/>
        <v>0.10295424755024817</v>
      </c>
      <c r="AV532">
        <f t="shared" si="168"/>
        <v>3006.2640284672461</v>
      </c>
      <c r="AY532">
        <f>AY511</f>
        <v>6.0000000000000001E-3</v>
      </c>
      <c r="BB532">
        <f t="shared" si="179"/>
        <v>0.24</v>
      </c>
    </row>
    <row r="533" spans="7:54" x14ac:dyDescent="0.2">
      <c r="H533" t="s">
        <v>163</v>
      </c>
      <c r="J533">
        <v>91.25</v>
      </c>
      <c r="K533">
        <v>315</v>
      </c>
      <c r="M533">
        <v>414</v>
      </c>
      <c r="O533">
        <v>0.06</v>
      </c>
      <c r="P533">
        <v>550</v>
      </c>
      <c r="Q533">
        <f t="shared" si="169"/>
        <v>0.75272727272727269</v>
      </c>
      <c r="S533">
        <v>0.1</v>
      </c>
      <c r="T533">
        <v>0.81</v>
      </c>
      <c r="U533">
        <v>0</v>
      </c>
      <c r="V533">
        <v>0</v>
      </c>
      <c r="W533">
        <f>S533*B513+T533*B514</f>
        <v>2.83</v>
      </c>
      <c r="X533">
        <f t="shared" si="164"/>
        <v>1.1110000000000002</v>
      </c>
      <c r="Y533">
        <f t="shared" si="165"/>
        <v>7.7305037824913825</v>
      </c>
      <c r="Z533">
        <f t="shared" si="170"/>
        <v>1.0144854538239307</v>
      </c>
      <c r="AC533">
        <v>7.4999999999999997E-2</v>
      </c>
      <c r="AE533">
        <v>0.56999999999999995</v>
      </c>
      <c r="AF533">
        <f t="shared" si="166"/>
        <v>3.3426698355492745</v>
      </c>
      <c r="AG533">
        <f t="shared" si="171"/>
        <v>0.19</v>
      </c>
      <c r="AH533">
        <f t="shared" si="172"/>
        <v>0.6784</v>
      </c>
      <c r="AI533">
        <f>AI511</f>
        <v>1E-3</v>
      </c>
      <c r="AK533">
        <f>AK511</f>
        <v>0.8</v>
      </c>
      <c r="AL533">
        <f>AL511</f>
        <v>99.998999999999995</v>
      </c>
      <c r="AM533">
        <f>AM511</f>
        <v>4.7000000000000002E-3</v>
      </c>
      <c r="AN533">
        <f t="shared" si="173"/>
        <v>3.4468541689836748E-6</v>
      </c>
      <c r="AO533">
        <f t="shared" si="174"/>
        <v>2.025006574009666E-3</v>
      </c>
      <c r="AP533">
        <f t="shared" si="175"/>
        <v>2.0284534281786496E-3</v>
      </c>
      <c r="AQ533">
        <f t="shared" si="176"/>
        <v>58.30535822621006</v>
      </c>
      <c r="AS533">
        <f t="shared" si="177"/>
        <v>0</v>
      </c>
      <c r="AT533">
        <f t="shared" si="167"/>
        <v>1.4970690021290423E-2</v>
      </c>
      <c r="AU533">
        <f t="shared" si="178"/>
        <v>7.6180019176607272E-2</v>
      </c>
      <c r="AV533">
        <f t="shared" si="168"/>
        <v>2189.6994262076055</v>
      </c>
      <c r="AY533">
        <f>AY511</f>
        <v>6.0000000000000001E-3</v>
      </c>
      <c r="BB533">
        <f t="shared" si="179"/>
        <v>0.24</v>
      </c>
    </row>
    <row r="534" spans="7:54" x14ac:dyDescent="0.2">
      <c r="H534" t="s">
        <v>164</v>
      </c>
      <c r="J534">
        <v>91.25</v>
      </c>
      <c r="K534">
        <v>190</v>
      </c>
      <c r="M534">
        <v>390</v>
      </c>
      <c r="O534">
        <v>-0.04</v>
      </c>
      <c r="P534">
        <v>550</v>
      </c>
      <c r="Q534">
        <f t="shared" si="169"/>
        <v>0.70909090909090911</v>
      </c>
      <c r="S534">
        <v>0</v>
      </c>
      <c r="T534">
        <v>0.05</v>
      </c>
      <c r="U534">
        <v>0</v>
      </c>
      <c r="V534">
        <v>0</v>
      </c>
      <c r="W534">
        <f>S534*B513+T534*B514</f>
        <v>0.15000000000000002</v>
      </c>
      <c r="X534">
        <f t="shared" si="164"/>
        <v>1.0049999999999999</v>
      </c>
      <c r="Y534">
        <f t="shared" si="165"/>
        <v>6.5224098518579998</v>
      </c>
      <c r="Z534">
        <f t="shared" si="170"/>
        <v>0.99018101050477936</v>
      </c>
      <c r="AC534">
        <v>5.2999999999999999E-2</v>
      </c>
      <c r="AE534">
        <v>0.54</v>
      </c>
      <c r="AF534">
        <f t="shared" si="166"/>
        <v>3.0003085318546798</v>
      </c>
      <c r="AG534">
        <f t="shared" si="171"/>
        <v>0.19</v>
      </c>
      <c r="AH534">
        <f t="shared" si="172"/>
        <v>0.6784</v>
      </c>
      <c r="AI534">
        <f>AI511</f>
        <v>1E-3</v>
      </c>
      <c r="AK534">
        <f>AK511</f>
        <v>0.8</v>
      </c>
      <c r="AL534">
        <f>AL511</f>
        <v>99.998999999999995</v>
      </c>
      <c r="AM534">
        <f>AM511</f>
        <v>4.7000000000000002E-3</v>
      </c>
      <c r="AN534">
        <f t="shared" si="173"/>
        <v>3.0938221481755266E-6</v>
      </c>
      <c r="AO534">
        <f t="shared" si="174"/>
        <v>1.8176023358480013E-3</v>
      </c>
      <c r="AP534">
        <f t="shared" si="175"/>
        <v>1.8206961579961768E-3</v>
      </c>
      <c r="AQ534">
        <f t="shared" si="176"/>
        <v>31.566319639258712</v>
      </c>
      <c r="AS534">
        <f t="shared" si="177"/>
        <v>0</v>
      </c>
      <c r="AT534">
        <f t="shared" si="167"/>
        <v>2.1041389675862797E-4</v>
      </c>
      <c r="AU534">
        <f t="shared" si="178"/>
        <v>5.355503910048981E-2</v>
      </c>
      <c r="AV534">
        <f t="shared" si="168"/>
        <v>928.51049040474197</v>
      </c>
      <c r="AY534">
        <f>AY511</f>
        <v>6.0000000000000001E-3</v>
      </c>
      <c r="BB534">
        <f t="shared" si="179"/>
        <v>0.24</v>
      </c>
    </row>
    <row r="535" spans="7:54" x14ac:dyDescent="0.2">
      <c r="G535" t="s">
        <v>187</v>
      </c>
      <c r="H535" t="s">
        <v>160</v>
      </c>
      <c r="J535">
        <v>91.25</v>
      </c>
      <c r="K535">
        <v>51</v>
      </c>
      <c r="M535">
        <v>249</v>
      </c>
      <c r="O535">
        <v>0.02</v>
      </c>
      <c r="P535">
        <v>660</v>
      </c>
      <c r="Q535">
        <f t="shared" si="169"/>
        <v>0.37727272727272726</v>
      </c>
      <c r="S535">
        <v>0</v>
      </c>
      <c r="T535">
        <v>0</v>
      </c>
      <c r="U535">
        <v>0</v>
      </c>
      <c r="V535">
        <v>0</v>
      </c>
      <c r="W535">
        <f>S535*B513+T535*B514</f>
        <v>0</v>
      </c>
      <c r="X535">
        <f t="shared" si="164"/>
        <v>1</v>
      </c>
      <c r="Y535">
        <f t="shared" si="165"/>
        <v>4.6680082786947583</v>
      </c>
      <c r="Z535">
        <f>Y535 / ((1.185 + 0.00454 * M535 - 0.0000026 * M535 ^ 2) ^ 2 * X535)</f>
        <v>1.0058574355980876</v>
      </c>
      <c r="AC535">
        <v>5.8000000000000003E-2</v>
      </c>
      <c r="AE535">
        <v>0.55000000000000004</v>
      </c>
      <c r="AF535">
        <f t="shared" si="166"/>
        <v>2.1043381320355969</v>
      </c>
      <c r="AG535">
        <f t="shared" si="171"/>
        <v>0.19</v>
      </c>
      <c r="AH535">
        <f t="shared" si="172"/>
        <v>0.6784</v>
      </c>
      <c r="AI535">
        <f>AI511</f>
        <v>1E-3</v>
      </c>
      <c r="AK535">
        <f>AK511</f>
        <v>0.8</v>
      </c>
      <c r="AL535">
        <f>AL511</f>
        <v>99.998999999999995</v>
      </c>
      <c r="AM535">
        <f>AM511</f>
        <v>4.7000000000000002E-3</v>
      </c>
      <c r="AN535">
        <f t="shared" si="173"/>
        <v>2.1699261429348825E-6</v>
      </c>
      <c r="AO535">
        <f t="shared" si="174"/>
        <v>1.2748188606581535E-3</v>
      </c>
      <c r="AP535">
        <f t="shared" si="175"/>
        <v>1.2769887868010884E-3</v>
      </c>
      <c r="AQ535">
        <f t="shared" si="176"/>
        <v>5.9427865665755659</v>
      </c>
      <c r="AS535">
        <f t="shared" si="177"/>
        <v>0</v>
      </c>
      <c r="AT535">
        <f t="shared" si="167"/>
        <v>4.4458117074618953E-4</v>
      </c>
      <c r="AU535">
        <f t="shared" si="178"/>
        <v>4.1771315524259271E-2</v>
      </c>
      <c r="AV535">
        <f t="shared" si="168"/>
        <v>194.39325962102157</v>
      </c>
      <c r="AY535">
        <f>AY511</f>
        <v>6.0000000000000001E-3</v>
      </c>
      <c r="BB535">
        <f t="shared" si="179"/>
        <v>0.24</v>
      </c>
    </row>
    <row r="536" spans="7:54" x14ac:dyDescent="0.2">
      <c r="G536" t="s">
        <v>197</v>
      </c>
      <c r="H536" t="s">
        <v>162</v>
      </c>
      <c r="J536">
        <v>91.25</v>
      </c>
      <c r="K536">
        <v>112</v>
      </c>
      <c r="M536">
        <v>218</v>
      </c>
      <c r="O536">
        <v>0.16</v>
      </c>
      <c r="P536">
        <v>660</v>
      </c>
      <c r="Q536">
        <f t="shared" si="169"/>
        <v>0.33030303030303032</v>
      </c>
      <c r="S536">
        <v>0</v>
      </c>
      <c r="T536">
        <v>0</v>
      </c>
      <c r="U536">
        <v>0</v>
      </c>
      <c r="V536">
        <v>0</v>
      </c>
      <c r="W536">
        <f>S536*B513+T536*B514</f>
        <v>0</v>
      </c>
      <c r="X536">
        <f t="shared" si="164"/>
        <v>1</v>
      </c>
      <c r="Y536">
        <f t="shared" si="165"/>
        <v>4.4165443461177585</v>
      </c>
      <c r="Z536">
        <f t="shared" si="170"/>
        <v>1.0497467396624802</v>
      </c>
      <c r="AC536">
        <v>9.1999999999999998E-2</v>
      </c>
      <c r="AE536">
        <v>0.61</v>
      </c>
      <c r="AF536">
        <f t="shared" si="166"/>
        <v>1.7471849433241853</v>
      </c>
      <c r="AG536">
        <f t="shared" si="171"/>
        <v>0.19</v>
      </c>
      <c r="AH536">
        <f t="shared" si="172"/>
        <v>0.6784</v>
      </c>
      <c r="AI536">
        <f>AI511</f>
        <v>1E-3</v>
      </c>
      <c r="AK536">
        <f>AK511</f>
        <v>0.8</v>
      </c>
      <c r="AL536">
        <f>AL511</f>
        <v>99.998999999999995</v>
      </c>
      <c r="AM536">
        <f>AM511</f>
        <v>4.7000000000000002E-3</v>
      </c>
      <c r="AN536">
        <f t="shared" si="173"/>
        <v>1.8016412036377136E-6</v>
      </c>
      <c r="AO536">
        <f t="shared" si="174"/>
        <v>1.0584536224950854E-3</v>
      </c>
      <c r="AP536">
        <f t="shared" si="175"/>
        <v>1.0602552636987232E-3</v>
      </c>
      <c r="AQ536">
        <f t="shared" si="176"/>
        <v>10.835808795000951</v>
      </c>
      <c r="AS536">
        <f t="shared" si="177"/>
        <v>0</v>
      </c>
      <c r="AT536">
        <f t="shared" si="167"/>
        <v>3.7921339071213451E-3</v>
      </c>
      <c r="AU536">
        <f t="shared" si="178"/>
        <v>6.022088284539287E-2</v>
      </c>
      <c r="AV536">
        <f t="shared" si="168"/>
        <v>615.45742267991523</v>
      </c>
      <c r="AY536">
        <f>AY511</f>
        <v>6.0000000000000001E-3</v>
      </c>
      <c r="BB536">
        <f t="shared" si="179"/>
        <v>0.24</v>
      </c>
    </row>
    <row r="537" spans="7:54" x14ac:dyDescent="0.2">
      <c r="H537" t="s">
        <v>163</v>
      </c>
      <c r="J537">
        <v>91.25</v>
      </c>
      <c r="K537">
        <v>107</v>
      </c>
      <c r="M537">
        <v>243</v>
      </c>
      <c r="O537">
        <v>0.23</v>
      </c>
      <c r="P537">
        <v>660</v>
      </c>
      <c r="Q537">
        <f t="shared" si="169"/>
        <v>0.36818181818181817</v>
      </c>
      <c r="S537">
        <v>0</v>
      </c>
      <c r="T537">
        <v>0</v>
      </c>
      <c r="U537">
        <v>0</v>
      </c>
      <c r="V537">
        <v>0</v>
      </c>
      <c r="W537">
        <f>S537*B513+T537*B514</f>
        <v>0</v>
      </c>
      <c r="X537">
        <f t="shared" si="164"/>
        <v>1</v>
      </c>
      <c r="Y537">
        <f t="shared" si="165"/>
        <v>4.8714784567347582</v>
      </c>
      <c r="Z537">
        <f t="shared" si="170"/>
        <v>1.0690305026664366</v>
      </c>
      <c r="AC537">
        <v>7.4999999999999997E-2</v>
      </c>
      <c r="AE537">
        <v>0.56999999999999995</v>
      </c>
      <c r="AF537">
        <f t="shared" si="166"/>
        <v>2.1064272846921099</v>
      </c>
      <c r="AG537">
        <f t="shared" si="171"/>
        <v>0.19</v>
      </c>
      <c r="AH537">
        <f t="shared" si="172"/>
        <v>0.6784</v>
      </c>
      <c r="AI537">
        <f>AI511</f>
        <v>1E-3</v>
      </c>
      <c r="AK537">
        <f>AK511</f>
        <v>0.8</v>
      </c>
      <c r="AL537">
        <f>AL511</f>
        <v>99.998999999999995</v>
      </c>
      <c r="AM537">
        <f>AM511</f>
        <v>4.7000000000000002E-3</v>
      </c>
      <c r="AN537">
        <f t="shared" si="173"/>
        <v>2.1720804103013936E-6</v>
      </c>
      <c r="AO537">
        <f t="shared" si="174"/>
        <v>1.2760844800796581E-3</v>
      </c>
      <c r="AP537">
        <f t="shared" si="175"/>
        <v>1.2782565604899595E-3</v>
      </c>
      <c r="AQ537">
        <f t="shared" si="176"/>
        <v>12.480577492483841</v>
      </c>
      <c r="AS537">
        <f t="shared" si="177"/>
        <v>0</v>
      </c>
      <c r="AT537">
        <f t="shared" si="167"/>
        <v>5.1711607444975115E-3</v>
      </c>
      <c r="AU537">
        <f t="shared" si="178"/>
        <v>5.2203358982854678E-2</v>
      </c>
      <c r="AV537">
        <f t="shared" si="168"/>
        <v>509.70054626884735</v>
      </c>
      <c r="AY537">
        <f>AY511</f>
        <v>6.0000000000000001E-3</v>
      </c>
      <c r="BB537">
        <f t="shared" si="179"/>
        <v>0.24</v>
      </c>
    </row>
    <row r="538" spans="7:54" x14ac:dyDescent="0.2">
      <c r="H538" t="s">
        <v>164</v>
      </c>
      <c r="J538">
        <v>91.25</v>
      </c>
      <c r="K538">
        <v>94</v>
      </c>
      <c r="M538">
        <v>260</v>
      </c>
      <c r="O538">
        <v>0.03</v>
      </c>
      <c r="P538">
        <v>660</v>
      </c>
      <c r="Q538">
        <f t="shared" si="169"/>
        <v>0.39393939393939392</v>
      </c>
      <c r="S538">
        <v>0</v>
      </c>
      <c r="T538">
        <v>0</v>
      </c>
      <c r="U538">
        <v>0</v>
      </c>
      <c r="V538">
        <v>0</v>
      </c>
      <c r="W538">
        <f>S538*B513+T538*B514</f>
        <v>0</v>
      </c>
      <c r="X538">
        <f t="shared" si="164"/>
        <v>1</v>
      </c>
      <c r="Y538">
        <f t="shared" si="165"/>
        <v>4.8359968281000016</v>
      </c>
      <c r="Z538">
        <f t="shared" si="170"/>
        <v>1.008650181811392</v>
      </c>
      <c r="AC538">
        <v>5.2999999999999999E-2</v>
      </c>
      <c r="AE538">
        <v>0.54</v>
      </c>
      <c r="AF538">
        <f t="shared" si="166"/>
        <v>2.2245585409260005</v>
      </c>
      <c r="AG538">
        <f t="shared" si="171"/>
        <v>0.19</v>
      </c>
      <c r="AH538">
        <f t="shared" si="172"/>
        <v>0.6784</v>
      </c>
      <c r="AI538">
        <f>AI511</f>
        <v>1E-3</v>
      </c>
      <c r="AK538">
        <f>AK511</f>
        <v>0.8</v>
      </c>
      <c r="AL538">
        <f>AL511</f>
        <v>99.998999999999995</v>
      </c>
      <c r="AM538">
        <f>AM511</f>
        <v>4.7000000000000002E-3</v>
      </c>
      <c r="AN538">
        <f t="shared" si="173"/>
        <v>2.293893581529582E-6</v>
      </c>
      <c r="AO538">
        <f t="shared" si="174"/>
        <v>1.3476490025238377E-3</v>
      </c>
      <c r="AP538">
        <f t="shared" si="175"/>
        <v>1.3499428961053672E-3</v>
      </c>
      <c r="AQ538">
        <f t="shared" si="176"/>
        <v>11.579135191343786</v>
      </c>
      <c r="AS538">
        <f t="shared" si="177"/>
        <v>0</v>
      </c>
      <c r="AT538">
        <f t="shared" si="167"/>
        <v>6.5052129801626709E-4</v>
      </c>
      <c r="AU538">
        <f t="shared" si="178"/>
        <v>3.921915741913546E-2</v>
      </c>
      <c r="AV538">
        <f t="shared" si="168"/>
        <v>336.40232276263441</v>
      </c>
      <c r="AY538">
        <f>AY511</f>
        <v>6.0000000000000001E-3</v>
      </c>
      <c r="BB538">
        <f t="shared" si="179"/>
        <v>0.24</v>
      </c>
    </row>
    <row r="539" spans="7:54" x14ac:dyDescent="0.2">
      <c r="G539" t="s">
        <v>188</v>
      </c>
      <c r="H539" t="s">
        <v>160</v>
      </c>
      <c r="J539">
        <v>91.25</v>
      </c>
      <c r="K539">
        <v>61</v>
      </c>
      <c r="M539">
        <v>324</v>
      </c>
      <c r="O539">
        <v>-0.14000000000000001</v>
      </c>
      <c r="P539">
        <v>660</v>
      </c>
      <c r="Q539">
        <f t="shared" si="169"/>
        <v>0.49090909090909091</v>
      </c>
      <c r="S539">
        <v>0</v>
      </c>
      <c r="T539">
        <v>0</v>
      </c>
      <c r="U539">
        <v>0</v>
      </c>
      <c r="V539">
        <v>0</v>
      </c>
      <c r="W539">
        <f>S539*B513+T539*B514</f>
        <v>0</v>
      </c>
      <c r="X539">
        <f t="shared" si="164"/>
        <v>1</v>
      </c>
      <c r="Y539">
        <f t="shared" si="165"/>
        <v>5.4705579932217594</v>
      </c>
      <c r="Z539">
        <f t="shared" si="170"/>
        <v>0.96333064710883853</v>
      </c>
      <c r="AC539">
        <v>5.8000000000000003E-2</v>
      </c>
      <c r="AE539">
        <v>0.55000000000000004</v>
      </c>
      <c r="AF539">
        <f t="shared" si="166"/>
        <v>2.4661275433443688</v>
      </c>
      <c r="AG539">
        <f t="shared" si="171"/>
        <v>0.19</v>
      </c>
      <c r="AH539">
        <f t="shared" si="172"/>
        <v>0.6784</v>
      </c>
      <c r="AI539">
        <f>AI511</f>
        <v>1E-3</v>
      </c>
      <c r="AK539">
        <f>AK511</f>
        <v>0.8</v>
      </c>
      <c r="AL539">
        <f>AL511</f>
        <v>99.998999999999995</v>
      </c>
      <c r="AM539">
        <f>AM511</f>
        <v>4.7000000000000002E-3</v>
      </c>
      <c r="AN539">
        <f t="shared" si="173"/>
        <v>2.542991806615326E-6</v>
      </c>
      <c r="AO539">
        <f t="shared" si="174"/>
        <v>1.4939927463096404E-3</v>
      </c>
      <c r="AP539">
        <f t="shared" si="175"/>
        <v>1.4965357381162556E-3</v>
      </c>
      <c r="AQ539">
        <f t="shared" si="176"/>
        <v>8.3300920522896078</v>
      </c>
      <c r="AS539">
        <f t="shared" si="177"/>
        <v>0</v>
      </c>
      <c r="AT539">
        <f t="shared" si="167"/>
        <v>-2.6050931996134423E-3</v>
      </c>
      <c r="AU539">
        <f t="shared" si="178"/>
        <v>5.2027802807031981E-2</v>
      </c>
      <c r="AV539">
        <f t="shared" si="168"/>
        <v>289.5997573746418</v>
      </c>
      <c r="AY539">
        <f>AY511</f>
        <v>6.0000000000000001E-3</v>
      </c>
      <c r="BB539">
        <f t="shared" si="179"/>
        <v>0.24</v>
      </c>
    </row>
    <row r="540" spans="7:54" x14ac:dyDescent="0.2">
      <c r="G540" t="s">
        <v>198</v>
      </c>
      <c r="H540" t="s">
        <v>162</v>
      </c>
      <c r="J540">
        <v>91.25</v>
      </c>
      <c r="K540">
        <v>106</v>
      </c>
      <c r="M540">
        <v>263</v>
      </c>
      <c r="O540">
        <v>0.3</v>
      </c>
      <c r="P540">
        <v>660</v>
      </c>
      <c r="Q540">
        <f t="shared" si="169"/>
        <v>0.3984848484848485</v>
      </c>
      <c r="S540">
        <v>0</v>
      </c>
      <c r="T540">
        <v>0</v>
      </c>
      <c r="U540">
        <v>0</v>
      </c>
      <c r="V540">
        <v>0</v>
      </c>
      <c r="W540">
        <f>S540*B513+T540*B514</f>
        <v>0</v>
      </c>
      <c r="X540">
        <f t="shared" si="164"/>
        <v>1</v>
      </c>
      <c r="Y540">
        <f t="shared" si="165"/>
        <v>5.2609706948163586</v>
      </c>
      <c r="Z540">
        <f t="shared" si="170"/>
        <v>1.0877875682324367</v>
      </c>
      <c r="AC540">
        <v>9.1999999999999998E-2</v>
      </c>
      <c r="AE540">
        <v>0.61</v>
      </c>
      <c r="AF540">
        <f t="shared" si="166"/>
        <v>2.0812400068693515</v>
      </c>
      <c r="AG540">
        <f t="shared" si="171"/>
        <v>0.19</v>
      </c>
      <c r="AH540">
        <f t="shared" si="172"/>
        <v>0.6784</v>
      </c>
      <c r="AI540">
        <f>AI511</f>
        <v>1E-3</v>
      </c>
      <c r="AK540">
        <f>AK511</f>
        <v>0.8</v>
      </c>
      <c r="AL540">
        <f>AL511</f>
        <v>99.998999999999995</v>
      </c>
      <c r="AM540">
        <f>AM511</f>
        <v>4.7000000000000002E-3</v>
      </c>
      <c r="AN540">
        <f t="shared" si="173"/>
        <v>2.1461080954034557E-6</v>
      </c>
      <c r="AO540">
        <f t="shared" si="174"/>
        <v>1.2608258976644696E-3</v>
      </c>
      <c r="AP540">
        <f t="shared" si="175"/>
        <v>1.2629720057598731E-3</v>
      </c>
      <c r="AQ540">
        <f t="shared" si="176"/>
        <v>12.21609672571237</v>
      </c>
      <c r="AS540">
        <f t="shared" si="177"/>
        <v>0</v>
      </c>
      <c r="AT540">
        <f t="shared" si="167"/>
        <v>6.446636434879892E-3</v>
      </c>
      <c r="AU540">
        <f>MAX((Y540*AC540/6.25)+(0.032*AS540/6.38)-AT540-((1.1*(10^-4)*(M540^0.75))/6.25), 0)</f>
        <v>6.9845430261936403E-2</v>
      </c>
      <c r="AV540">
        <f t="shared" si="168"/>
        <v>675.57992420857988</v>
      </c>
      <c r="AY540">
        <f>AY511</f>
        <v>6.0000000000000001E-3</v>
      </c>
      <c r="BB540">
        <f t="shared" si="179"/>
        <v>0.24</v>
      </c>
    </row>
    <row r="541" spans="7:54" x14ac:dyDescent="0.2">
      <c r="H541" t="s">
        <v>163</v>
      </c>
      <c r="J541">
        <v>91.25</v>
      </c>
      <c r="K541">
        <v>95</v>
      </c>
      <c r="M541">
        <v>304</v>
      </c>
      <c r="O541">
        <v>0.4</v>
      </c>
      <c r="P541">
        <v>660</v>
      </c>
      <c r="Q541">
        <f t="shared" si="169"/>
        <v>0.46060606060606063</v>
      </c>
      <c r="S541">
        <v>0</v>
      </c>
      <c r="T541">
        <v>0</v>
      </c>
      <c r="U541">
        <v>0</v>
      </c>
      <c r="V541">
        <v>0</v>
      </c>
      <c r="W541">
        <f>S541*B513+T541*B514</f>
        <v>0</v>
      </c>
      <c r="X541">
        <f t="shared" si="164"/>
        <v>1</v>
      </c>
      <c r="Y541">
        <f t="shared" si="165"/>
        <v>6.0068049315865588</v>
      </c>
      <c r="Z541">
        <f t="shared" si="170"/>
        <v>1.1113300137535971</v>
      </c>
      <c r="AC541">
        <v>7.4999999999999997E-2</v>
      </c>
      <c r="AE541">
        <v>0.56999999999999995</v>
      </c>
      <c r="AF541">
        <f t="shared" si="166"/>
        <v>2.5973424524180286</v>
      </c>
      <c r="AG541">
        <f t="shared" si="171"/>
        <v>0.19</v>
      </c>
      <c r="AH541">
        <f t="shared" si="172"/>
        <v>0.6784</v>
      </c>
      <c r="AI541">
        <f>AI511</f>
        <v>1E-3</v>
      </c>
      <c r="AK541">
        <f>AK511</f>
        <v>0.8</v>
      </c>
      <c r="AL541">
        <f>AL511</f>
        <v>99.998999999999995</v>
      </c>
      <c r="AM541">
        <f>AM511</f>
        <v>4.7000000000000002E-3</v>
      </c>
      <c r="AN541">
        <f t="shared" si="173"/>
        <v>2.6782964219749937E-6</v>
      </c>
      <c r="AO541">
        <f t="shared" si="174"/>
        <v>1.5734834129188299E-3</v>
      </c>
      <c r="AP541">
        <f t="shared" si="175"/>
        <v>1.5761617093408048E-3</v>
      </c>
      <c r="AQ541">
        <f t="shared" si="176"/>
        <v>13.663351817848101</v>
      </c>
      <c r="AS541">
        <f t="shared" si="177"/>
        <v>0</v>
      </c>
      <c r="AT541">
        <f t="shared" si="167"/>
        <v>7.7913870342106164E-3</v>
      </c>
      <c r="AU541">
        <f t="shared" si="178"/>
        <v>6.3008921902041437E-2</v>
      </c>
      <c r="AV541">
        <f t="shared" si="168"/>
        <v>546.20859173832173</v>
      </c>
      <c r="AY541">
        <f>AY511</f>
        <v>6.0000000000000001E-3</v>
      </c>
      <c r="BB541">
        <f t="shared" si="179"/>
        <v>0.24</v>
      </c>
    </row>
    <row r="542" spans="7:54" x14ac:dyDescent="0.2">
      <c r="H542" t="s">
        <v>164</v>
      </c>
      <c r="J542">
        <v>91.25</v>
      </c>
      <c r="K542">
        <v>48</v>
      </c>
      <c r="M542">
        <v>337</v>
      </c>
      <c r="O542">
        <v>0.11</v>
      </c>
      <c r="P542">
        <v>660</v>
      </c>
      <c r="Q542">
        <f t="shared" si="169"/>
        <v>0.51060606060606062</v>
      </c>
      <c r="S542">
        <v>0</v>
      </c>
      <c r="T542">
        <v>0</v>
      </c>
      <c r="U542">
        <v>0</v>
      </c>
      <c r="V542">
        <v>0</v>
      </c>
      <c r="W542">
        <f>S542*B513+T542*B514</f>
        <v>0</v>
      </c>
      <c r="X542">
        <f t="shared" si="164"/>
        <v>1</v>
      </c>
      <c r="Y542">
        <f t="shared" si="165"/>
        <v>6.0238368677203589</v>
      </c>
      <c r="Z542">
        <f t="shared" si="170"/>
        <v>1.0288449680045904</v>
      </c>
      <c r="AC542">
        <v>5.2999999999999999E-2</v>
      </c>
      <c r="AE542">
        <v>0.54</v>
      </c>
      <c r="AF542">
        <f t="shared" si="166"/>
        <v>2.7709649591513648</v>
      </c>
      <c r="AG542">
        <f t="shared" si="171"/>
        <v>0.19</v>
      </c>
      <c r="AH542">
        <f t="shared" si="172"/>
        <v>0.6784</v>
      </c>
      <c r="AI542">
        <f>AI511</f>
        <v>1E-3</v>
      </c>
      <c r="AK542">
        <f>AK511</f>
        <v>0.8</v>
      </c>
      <c r="AL542">
        <f>AL511</f>
        <v>99.998999999999995</v>
      </c>
      <c r="AM542">
        <f>AM511</f>
        <v>4.7000000000000002E-3</v>
      </c>
      <c r="AN542">
        <f t="shared" si="173"/>
        <v>2.8573303949981945E-6</v>
      </c>
      <c r="AO542">
        <f t="shared" si="174"/>
        <v>1.6786648202453682E-3</v>
      </c>
      <c r="AP542">
        <f t="shared" si="175"/>
        <v>1.6815221506403665E-3</v>
      </c>
      <c r="AQ542">
        <f t="shared" si="176"/>
        <v>7.3650670198048056</v>
      </c>
      <c r="AS542">
        <f t="shared" si="177"/>
        <v>0</v>
      </c>
      <c r="AT542">
        <f t="shared" si="167"/>
        <v>1.9791513488302379E-3</v>
      </c>
      <c r="AU542">
        <f t="shared" si="178"/>
        <v>4.7718669751809238E-2</v>
      </c>
      <c r="AV542">
        <f t="shared" si="168"/>
        <v>209.00777351292444</v>
      </c>
      <c r="AY542">
        <f>AY511</f>
        <v>6.0000000000000001E-3</v>
      </c>
      <c r="BB542">
        <f t="shared" si="179"/>
        <v>0.24</v>
      </c>
    </row>
    <row r="543" spans="7:54" x14ac:dyDescent="0.2">
      <c r="G543" t="s">
        <v>186</v>
      </c>
      <c r="H543" t="s">
        <v>160</v>
      </c>
      <c r="J543">
        <v>91.25</v>
      </c>
      <c r="K543">
        <v>39</v>
      </c>
      <c r="M543">
        <v>231</v>
      </c>
      <c r="O543">
        <v>0.06</v>
      </c>
      <c r="P543">
        <v>660</v>
      </c>
      <c r="Q543">
        <f t="shared" si="169"/>
        <v>0.35</v>
      </c>
      <c r="S543">
        <v>0</v>
      </c>
      <c r="T543">
        <v>0</v>
      </c>
      <c r="U543">
        <f>27/K543</f>
        <v>0.69230769230769229</v>
      </c>
      <c r="V543">
        <v>0</v>
      </c>
      <c r="W543">
        <f>S543*B513+T543*B514</f>
        <v>0</v>
      </c>
      <c r="X543">
        <f t="shared" si="164"/>
        <v>1</v>
      </c>
      <c r="Y543">
        <f t="shared" si="165"/>
        <v>4.4685791289219603</v>
      </c>
      <c r="Z543">
        <f t="shared" si="170"/>
        <v>1.0181243343573159</v>
      </c>
      <c r="AC543">
        <v>5.8000000000000003E-2</v>
      </c>
      <c r="AE543">
        <v>0.55000000000000004</v>
      </c>
      <c r="AF543">
        <f t="shared" si="166"/>
        <v>2.0144354713180195</v>
      </c>
      <c r="AG543">
        <f t="shared" si="171"/>
        <v>0.19</v>
      </c>
      <c r="AH543">
        <f t="shared" si="172"/>
        <v>0.6784</v>
      </c>
      <c r="AI543">
        <f>AI511</f>
        <v>1E-3</v>
      </c>
      <c r="AK543">
        <f>AK511</f>
        <v>0.8</v>
      </c>
      <c r="AL543">
        <f>AL511</f>
        <v>99.998999999999995</v>
      </c>
      <c r="AM543">
        <f>AM511</f>
        <v>4.7000000000000002E-3</v>
      </c>
      <c r="AN543">
        <f t="shared" si="173"/>
        <v>2.07722139608806E-6</v>
      </c>
      <c r="AO543">
        <f t="shared" si="174"/>
        <v>1.2203553665260331E-3</v>
      </c>
      <c r="AP543">
        <f t="shared" si="175"/>
        <v>1.2224325879221212E-3</v>
      </c>
      <c r="AQ543">
        <f t="shared" si="176"/>
        <v>4.3503319722678491</v>
      </c>
      <c r="AS543">
        <f t="shared" si="177"/>
        <v>2.7692307692307692</v>
      </c>
      <c r="AT543">
        <f t="shared" si="167"/>
        <v>1.3860428666073741E-3</v>
      </c>
      <c r="AU543">
        <f t="shared" si="178"/>
        <v>5.2929080629757569E-2</v>
      </c>
      <c r="AV543">
        <f t="shared" si="168"/>
        <v>188.36136569114976</v>
      </c>
      <c r="AY543">
        <f>AY511</f>
        <v>6.0000000000000001E-3</v>
      </c>
      <c r="BB543">
        <f t="shared" si="179"/>
        <v>0.24</v>
      </c>
    </row>
    <row r="544" spans="7:54" x14ac:dyDescent="0.2">
      <c r="G544">
        <v>6</v>
      </c>
      <c r="H544" t="s">
        <v>162</v>
      </c>
      <c r="J544">
        <v>91.25</v>
      </c>
      <c r="K544">
        <v>90</v>
      </c>
      <c r="M544">
        <v>102</v>
      </c>
      <c r="O544">
        <v>0.8</v>
      </c>
      <c r="P544">
        <v>660</v>
      </c>
      <c r="Q544">
        <f t="shared" si="169"/>
        <v>0.15454545454545454</v>
      </c>
      <c r="S544">
        <v>0</v>
      </c>
      <c r="T544">
        <v>0</v>
      </c>
      <c r="U544">
        <f>51/K544</f>
        <v>0.56666666666666665</v>
      </c>
      <c r="V544">
        <f>27/K544</f>
        <v>0.3</v>
      </c>
      <c r="W544">
        <f>S544*B513+T544*B514</f>
        <v>0</v>
      </c>
      <c r="X544">
        <f t="shared" si="164"/>
        <v>1</v>
      </c>
      <c r="Y544">
        <f t="shared" si="165"/>
        <v>3.5082398824761598</v>
      </c>
      <c r="Z544">
        <f t="shared" si="170"/>
        <v>1.3350803107150264</v>
      </c>
      <c r="AC544">
        <v>9.1999999999999998E-2</v>
      </c>
      <c r="AE544">
        <v>0.61</v>
      </c>
      <c r="AF544">
        <f t="shared" si="166"/>
        <v>1.387859697507569</v>
      </c>
      <c r="AG544">
        <f t="shared" si="171"/>
        <v>0.19</v>
      </c>
      <c r="AH544">
        <f t="shared" si="172"/>
        <v>0.6784</v>
      </c>
      <c r="AI544">
        <f>AI511</f>
        <v>1E-3</v>
      </c>
      <c r="AK544">
        <f>AK511</f>
        <v>0.8</v>
      </c>
      <c r="AL544">
        <f>AL511</f>
        <v>99.998999999999995</v>
      </c>
      <c r="AM544">
        <f>AM511</f>
        <v>4.7000000000000002E-3</v>
      </c>
      <c r="AN544">
        <f t="shared" si="173"/>
        <v>1.4311165085594851E-6</v>
      </c>
      <c r="AO544">
        <f t="shared" si="174"/>
        <v>8.4077254096920958E-4</v>
      </c>
      <c r="AP544">
        <f t="shared" si="175"/>
        <v>8.4220365747776909E-4</v>
      </c>
      <c r="AQ544">
        <f t="shared" si="176"/>
        <v>6.9165975370361794</v>
      </c>
      <c r="AS544">
        <f t="shared" si="177"/>
        <v>3.1666666666666665</v>
      </c>
      <c r="AT544">
        <f t="shared" si="167"/>
        <v>2.2399502317626271E-2</v>
      </c>
      <c r="AU544">
        <f t="shared" si="178"/>
        <v>4.4559867777354725E-2</v>
      </c>
      <c r="AV544">
        <f t="shared" si="168"/>
        <v>365.94791412152574</v>
      </c>
      <c r="AY544">
        <f>AY511</f>
        <v>6.0000000000000001E-3</v>
      </c>
      <c r="BB544">
        <f t="shared" si="179"/>
        <v>0.24</v>
      </c>
    </row>
    <row r="545" spans="7:54" x14ac:dyDescent="0.2">
      <c r="H545" t="s">
        <v>163</v>
      </c>
      <c r="J545">
        <v>91.25</v>
      </c>
      <c r="K545">
        <v>81</v>
      </c>
      <c r="M545">
        <v>175</v>
      </c>
      <c r="O545">
        <v>0.57999999999999996</v>
      </c>
      <c r="P545">
        <v>660</v>
      </c>
      <c r="Q545">
        <f t="shared" si="169"/>
        <v>0.26515151515151514</v>
      </c>
      <c r="S545">
        <v>0</v>
      </c>
      <c r="T545">
        <v>0</v>
      </c>
      <c r="U545">
        <v>0</v>
      </c>
      <c r="V545">
        <f>51/K545</f>
        <v>0.62962962962962965</v>
      </c>
      <c r="W545">
        <f>S545*B513+T545*B514</f>
        <v>0</v>
      </c>
      <c r="X545">
        <f t="shared" si="164"/>
        <v>1</v>
      </c>
      <c r="Y545">
        <f t="shared" si="165"/>
        <v>4.3371186306249996</v>
      </c>
      <c r="Z545">
        <f t="shared" si="170"/>
        <v>1.2015760001247739</v>
      </c>
      <c r="AC545">
        <v>7.4999999999999997E-2</v>
      </c>
      <c r="AE545">
        <v>0.56999999999999995</v>
      </c>
      <c r="AF545">
        <f t="shared" si="166"/>
        <v>1.8753700958822501</v>
      </c>
      <c r="AG545">
        <f t="shared" si="171"/>
        <v>0.19</v>
      </c>
      <c r="AH545">
        <f t="shared" si="172"/>
        <v>0.6784</v>
      </c>
      <c r="AI545">
        <f>AI511</f>
        <v>1E-3</v>
      </c>
      <c r="AK545">
        <f>AK511</f>
        <v>0.8</v>
      </c>
      <c r="AL545">
        <f>AL511</f>
        <v>99.998999999999995</v>
      </c>
      <c r="AM545">
        <f>AM511</f>
        <v>4.7000000000000002E-3</v>
      </c>
      <c r="AN545">
        <f t="shared" si="173"/>
        <v>1.9338216310307086E-6</v>
      </c>
      <c r="AO545">
        <f t="shared" si="174"/>
        <v>1.1361088470284587E-3</v>
      </c>
      <c r="AP545">
        <f t="shared" si="175"/>
        <v>1.1380426686594895E-3</v>
      </c>
      <c r="AQ545">
        <f t="shared" si="176"/>
        <v>8.4115578747294517</v>
      </c>
      <c r="AS545">
        <f t="shared" si="177"/>
        <v>1.8888888888888888</v>
      </c>
      <c r="AT545">
        <f t="shared" si="167"/>
        <v>1.4794614255643945E-2</v>
      </c>
      <c r="AU545">
        <f t="shared" si="178"/>
        <v>4.5878039974532742E-2</v>
      </c>
      <c r="AV545">
        <f t="shared" si="168"/>
        <v>339.09606296176514</v>
      </c>
      <c r="AY545">
        <f>AY511</f>
        <v>6.0000000000000001E-3</v>
      </c>
      <c r="BB545">
        <f t="shared" si="179"/>
        <v>0.24</v>
      </c>
    </row>
    <row r="546" spans="7:54" x14ac:dyDescent="0.2">
      <c r="H546" t="s">
        <v>164</v>
      </c>
      <c r="J546">
        <v>91.25</v>
      </c>
      <c r="K546">
        <v>88</v>
      </c>
      <c r="M546">
        <v>208</v>
      </c>
      <c r="O546">
        <v>0.21</v>
      </c>
      <c r="P546">
        <v>660</v>
      </c>
      <c r="Q546">
        <f t="shared" si="169"/>
        <v>0.31515151515151513</v>
      </c>
      <c r="S546">
        <v>0</v>
      </c>
      <c r="T546">
        <v>0</v>
      </c>
      <c r="U546">
        <v>0</v>
      </c>
      <c r="V546">
        <v>0</v>
      </c>
      <c r="W546">
        <f>S546*B513+T546*B514</f>
        <v>0</v>
      </c>
      <c r="X546">
        <f t="shared" si="164"/>
        <v>1</v>
      </c>
      <c r="Y546">
        <f t="shared" si="165"/>
        <v>4.3388206778689593</v>
      </c>
      <c r="Z546">
        <f t="shared" si="170"/>
        <v>1.0666736461263095</v>
      </c>
      <c r="AC546">
        <v>5.2999999999999999E-2</v>
      </c>
      <c r="AE546">
        <v>0.54</v>
      </c>
      <c r="AF546">
        <f t="shared" si="166"/>
        <v>1.995857511819721</v>
      </c>
      <c r="AG546">
        <f t="shared" si="171"/>
        <v>0.19</v>
      </c>
      <c r="AH546">
        <f t="shared" si="172"/>
        <v>0.6784</v>
      </c>
      <c r="AI546">
        <f>AI511</f>
        <v>1E-3</v>
      </c>
      <c r="AK546">
        <f>AK511</f>
        <v>0.8</v>
      </c>
      <c r="AL546">
        <f>AL511</f>
        <v>99.998999999999995</v>
      </c>
      <c r="AM546">
        <f>AM511</f>
        <v>4.7000000000000002E-3</v>
      </c>
      <c r="AN546">
        <f t="shared" si="173"/>
        <v>2.0580643987481182E-6</v>
      </c>
      <c r="AO546">
        <f t="shared" si="174"/>
        <v>1.209100743136177E-3</v>
      </c>
      <c r="AP546">
        <f t="shared" si="175"/>
        <v>1.2111588075349252E-3</v>
      </c>
      <c r="AQ546">
        <f t="shared" si="176"/>
        <v>9.7256052245054487</v>
      </c>
      <c r="AS546">
        <f t="shared" si="177"/>
        <v>0</v>
      </c>
      <c r="AT546">
        <f t="shared" si="167"/>
        <v>5.0728651582325904E-3</v>
      </c>
      <c r="AU546">
        <f t="shared" si="178"/>
        <v>3.0756371624179341E-2</v>
      </c>
      <c r="AV546">
        <f t="shared" si="168"/>
        <v>246.97366414216009</v>
      </c>
      <c r="AY546">
        <f>AY511</f>
        <v>6.0000000000000001E-3</v>
      </c>
      <c r="BB546">
        <f t="shared" si="179"/>
        <v>0.24</v>
      </c>
    </row>
    <row r="547" spans="7:54" x14ac:dyDescent="0.2">
      <c r="G547" t="s">
        <v>189</v>
      </c>
      <c r="H547" t="s">
        <v>160</v>
      </c>
      <c r="J547">
        <v>91.25</v>
      </c>
      <c r="K547">
        <v>13</v>
      </c>
      <c r="M547">
        <v>0</v>
      </c>
      <c r="O547">
        <v>0</v>
      </c>
      <c r="P547">
        <v>660</v>
      </c>
      <c r="Q547">
        <f t="shared" si="169"/>
        <v>0</v>
      </c>
      <c r="S547">
        <v>0</v>
      </c>
      <c r="T547">
        <v>0</v>
      </c>
      <c r="U547">
        <v>0</v>
      </c>
      <c r="V547">
        <v>0</v>
      </c>
      <c r="W547">
        <f>S547*B513+T547*B514</f>
        <v>0</v>
      </c>
      <c r="X547">
        <f t="shared" si="164"/>
        <v>1</v>
      </c>
      <c r="Y547">
        <f t="shared" si="165"/>
        <v>1.4042250000000001</v>
      </c>
      <c r="Z547">
        <f t="shared" si="170"/>
        <v>1</v>
      </c>
      <c r="AC547">
        <v>5.8000000000000003E-2</v>
      </c>
      <c r="AE547">
        <v>0.55000000000000004</v>
      </c>
      <c r="AF547">
        <f t="shared" si="166"/>
        <v>0.63302462999999998</v>
      </c>
      <c r="AG547">
        <f t="shared" si="171"/>
        <v>0.19</v>
      </c>
      <c r="AH547">
        <f t="shared" si="172"/>
        <v>0.6784</v>
      </c>
      <c r="AI547">
        <f>AI511</f>
        <v>1E-3</v>
      </c>
      <c r="AK547">
        <f>AK511</f>
        <v>0.8</v>
      </c>
      <c r="AL547">
        <f>AL511</f>
        <v>99.998999999999995</v>
      </c>
      <c r="AM547">
        <f>AM511</f>
        <v>4.7000000000000002E-3</v>
      </c>
      <c r="AN547">
        <f t="shared" si="173"/>
        <v>6.5275474166784001E-7</v>
      </c>
      <c r="AO547">
        <f t="shared" si="174"/>
        <v>3.8348957579574869E-4</v>
      </c>
      <c r="AP547">
        <f t="shared" si="175"/>
        <v>3.8414233053741653E-4</v>
      </c>
      <c r="AQ547">
        <f t="shared" si="176"/>
        <v>0.45568883960001033</v>
      </c>
      <c r="AS547">
        <f t="shared" si="177"/>
        <v>0</v>
      </c>
      <c r="AT547">
        <f t="shared" si="167"/>
        <v>0</v>
      </c>
      <c r="AU547">
        <f t="shared" si="178"/>
        <v>1.3031208000000001E-2</v>
      </c>
      <c r="AV547">
        <f t="shared" si="168"/>
        <v>15.458270490000002</v>
      </c>
      <c r="AY547">
        <f>AY511</f>
        <v>6.0000000000000001E-3</v>
      </c>
      <c r="BB547">
        <f t="shared" si="179"/>
        <v>0.24</v>
      </c>
    </row>
    <row r="548" spans="7:54" x14ac:dyDescent="0.2">
      <c r="G548" t="s">
        <v>199</v>
      </c>
      <c r="H548" t="s">
        <v>162</v>
      </c>
      <c r="J548">
        <v>91.25</v>
      </c>
      <c r="K548">
        <v>52</v>
      </c>
      <c r="M548">
        <v>0</v>
      </c>
      <c r="O548">
        <v>0</v>
      </c>
      <c r="P548">
        <v>660</v>
      </c>
      <c r="Q548">
        <f t="shared" si="169"/>
        <v>0</v>
      </c>
      <c r="S548">
        <v>0</v>
      </c>
      <c r="T548">
        <v>0</v>
      </c>
      <c r="U548">
        <v>0</v>
      </c>
      <c r="V548">
        <v>0</v>
      </c>
      <c r="W548">
        <f>S548*B513+T548*B514</f>
        <v>0</v>
      </c>
      <c r="X548">
        <f t="shared" si="164"/>
        <v>1</v>
      </c>
      <c r="Y548">
        <f t="shared" si="165"/>
        <v>1.4042250000000001</v>
      </c>
      <c r="Z548">
        <f t="shared" si="170"/>
        <v>1</v>
      </c>
      <c r="AC548">
        <v>9.1999999999999998E-2</v>
      </c>
      <c r="AE548">
        <v>0.61</v>
      </c>
      <c r="AF548">
        <f t="shared" si="166"/>
        <v>0.55551141000000004</v>
      </c>
      <c r="AG548">
        <f t="shared" si="171"/>
        <v>0.19</v>
      </c>
      <c r="AH548">
        <f t="shared" si="172"/>
        <v>0.6784</v>
      </c>
      <c r="AI548">
        <f>AI511</f>
        <v>1E-3</v>
      </c>
      <c r="AK548">
        <f>AK511</f>
        <v>0.8</v>
      </c>
      <c r="AL548">
        <f>AL511</f>
        <v>99.998999999999995</v>
      </c>
      <c r="AM548">
        <f>AM511</f>
        <v>4.7000000000000002E-3</v>
      </c>
      <c r="AN548">
        <f t="shared" si="173"/>
        <v>5.7282558962687999E-7</v>
      </c>
      <c r="AO548">
        <f t="shared" si="174"/>
        <v>3.3653166855545302E-4</v>
      </c>
      <c r="AP548">
        <f t="shared" si="175"/>
        <v>3.3710449414507991E-4</v>
      </c>
      <c r="AQ548">
        <f t="shared" si="176"/>
        <v>1.5995608247184041</v>
      </c>
      <c r="AS548">
        <f t="shared" si="177"/>
        <v>0</v>
      </c>
      <c r="AT548">
        <f t="shared" si="167"/>
        <v>0</v>
      </c>
      <c r="AU548">
        <f t="shared" si="178"/>
        <v>2.0670191999999997E-2</v>
      </c>
      <c r="AV548">
        <f t="shared" si="168"/>
        <v>98.08006103999999</v>
      </c>
      <c r="AY548">
        <f>AY511</f>
        <v>6.0000000000000001E-3</v>
      </c>
      <c r="BB548">
        <f t="shared" si="179"/>
        <v>0.24</v>
      </c>
    </row>
    <row r="549" spans="7:54" x14ac:dyDescent="0.2">
      <c r="H549" t="s">
        <v>163</v>
      </c>
      <c r="J549">
        <v>91.25</v>
      </c>
      <c r="K549">
        <v>11</v>
      </c>
      <c r="M549">
        <v>0</v>
      </c>
      <c r="O549">
        <v>0</v>
      </c>
      <c r="P549">
        <v>660</v>
      </c>
      <c r="Q549">
        <f t="shared" si="169"/>
        <v>0</v>
      </c>
      <c r="S549">
        <v>0</v>
      </c>
      <c r="T549">
        <v>0</v>
      </c>
      <c r="U549">
        <v>0</v>
      </c>
      <c r="V549">
        <v>0</v>
      </c>
      <c r="W549">
        <f>S549*B513+T549*B514</f>
        <v>0</v>
      </c>
      <c r="X549">
        <f t="shared" si="164"/>
        <v>1</v>
      </c>
      <c r="Y549">
        <f t="shared" si="165"/>
        <v>1.4042250000000001</v>
      </c>
      <c r="Z549">
        <f t="shared" si="170"/>
        <v>1</v>
      </c>
      <c r="AC549">
        <v>7.4999999999999997E-2</v>
      </c>
      <c r="AE549">
        <v>0.56999999999999995</v>
      </c>
      <c r="AF549">
        <f t="shared" si="166"/>
        <v>0.60718689000000015</v>
      </c>
      <c r="AG549">
        <f t="shared" si="171"/>
        <v>0.19</v>
      </c>
      <c r="AH549">
        <f t="shared" si="172"/>
        <v>0.6784</v>
      </c>
      <c r="AI549">
        <f>AI511</f>
        <v>1E-3</v>
      </c>
      <c r="AK549">
        <f>AK511</f>
        <v>0.8</v>
      </c>
      <c r="AL549">
        <f>AL511</f>
        <v>99.998999999999995</v>
      </c>
      <c r="AM549">
        <f>AM511</f>
        <v>4.7000000000000002E-3</v>
      </c>
      <c r="AN549">
        <f t="shared" si="173"/>
        <v>6.2611169098752022E-7</v>
      </c>
      <c r="AO549">
        <f t="shared" si="174"/>
        <v>3.6783694004898355E-4</v>
      </c>
      <c r="AP549">
        <f t="shared" si="175"/>
        <v>3.6846305173997106E-4</v>
      </c>
      <c r="AQ549">
        <f t="shared" si="176"/>
        <v>0.36984478818399591</v>
      </c>
      <c r="AS549">
        <f t="shared" si="177"/>
        <v>0</v>
      </c>
      <c r="AT549">
        <f t="shared" si="167"/>
        <v>0</v>
      </c>
      <c r="AU549">
        <f t="shared" si="178"/>
        <v>1.68507E-2</v>
      </c>
      <c r="AV549">
        <f t="shared" si="168"/>
        <v>16.913890124999998</v>
      </c>
      <c r="AY549">
        <f>AY511</f>
        <v>6.0000000000000001E-3</v>
      </c>
      <c r="BB549">
        <f t="shared" si="179"/>
        <v>0.24</v>
      </c>
    </row>
    <row r="550" spans="7:54" x14ac:dyDescent="0.2">
      <c r="H550" t="s">
        <v>164</v>
      </c>
      <c r="J550">
        <v>91.25</v>
      </c>
      <c r="K550">
        <v>4</v>
      </c>
      <c r="M550">
        <v>0</v>
      </c>
      <c r="O550">
        <v>0</v>
      </c>
      <c r="P550">
        <v>660</v>
      </c>
      <c r="Q550">
        <f t="shared" si="169"/>
        <v>0</v>
      </c>
      <c r="S550">
        <v>0</v>
      </c>
      <c r="T550">
        <v>0</v>
      </c>
      <c r="U550">
        <v>0</v>
      </c>
      <c r="V550">
        <v>0</v>
      </c>
      <c r="W550">
        <f>S550*B513+T550*B514</f>
        <v>0</v>
      </c>
      <c r="X550">
        <f t="shared" si="164"/>
        <v>1</v>
      </c>
      <c r="Y550">
        <f t="shared" si="165"/>
        <v>1.4042250000000001</v>
      </c>
      <c r="Z550">
        <f t="shared" si="170"/>
        <v>1</v>
      </c>
      <c r="AC550">
        <v>5.2999999999999999E-2</v>
      </c>
      <c r="AE550">
        <v>0.54</v>
      </c>
      <c r="AF550">
        <f t="shared" si="166"/>
        <v>0.6459435</v>
      </c>
      <c r="AG550">
        <f t="shared" si="171"/>
        <v>0.19</v>
      </c>
      <c r="AH550">
        <f t="shared" si="172"/>
        <v>0.6784</v>
      </c>
      <c r="AI550">
        <f>AI511</f>
        <v>1E-3</v>
      </c>
      <c r="AK550">
        <f>AK511</f>
        <v>0.8</v>
      </c>
      <c r="AL550">
        <f>AL511</f>
        <v>99.998999999999995</v>
      </c>
      <c r="AM550">
        <f>AM511</f>
        <v>4.7000000000000002E-3</v>
      </c>
      <c r="AN550">
        <f t="shared" si="173"/>
        <v>6.6607626700799997E-7</v>
      </c>
      <c r="AO550">
        <f t="shared" si="174"/>
        <v>3.9131589366913131E-4</v>
      </c>
      <c r="AP550">
        <f t="shared" si="175"/>
        <v>3.9198196993613929E-4</v>
      </c>
      <c r="AQ550">
        <f t="shared" si="176"/>
        <v>0.14307341902669085</v>
      </c>
      <c r="AS550">
        <f t="shared" si="177"/>
        <v>0</v>
      </c>
      <c r="AT550">
        <f t="shared" si="167"/>
        <v>0</v>
      </c>
      <c r="AU550">
        <f t="shared" si="178"/>
        <v>1.1907828000000001E-2</v>
      </c>
      <c r="AV550">
        <f t="shared" si="168"/>
        <v>4.3463572199999998</v>
      </c>
      <c r="AY550">
        <f>AY511</f>
        <v>6.0000000000000001E-3</v>
      </c>
      <c r="BB550">
        <f t="shared" si="179"/>
        <v>0.24</v>
      </c>
    </row>
    <row r="561" spans="1:64" x14ac:dyDescent="0.2">
      <c r="A561" t="s">
        <v>207</v>
      </c>
      <c r="B561" t="s">
        <v>217</v>
      </c>
      <c r="C561" t="s">
        <v>207</v>
      </c>
      <c r="D561" t="s">
        <v>207</v>
      </c>
      <c r="E561" t="s">
        <v>170</v>
      </c>
      <c r="F561" t="s">
        <v>161</v>
      </c>
      <c r="G561" t="s">
        <v>159</v>
      </c>
      <c r="H561" t="s">
        <v>160</v>
      </c>
      <c r="J561">
        <v>91.25</v>
      </c>
      <c r="K561">
        <v>62</v>
      </c>
      <c r="M561" cm="1">
        <f t="array" ref="M561:M600">_xlfn.DROP(_xlfn.XLOOKUP($D561,TableW[[#Headers],[ACT]:[QLD - Moderate/Low]],TableW[[#All],[ACT]:[QLD - Moderate/Low]]),1)</f>
        <v>260</v>
      </c>
      <c r="O561" cm="1">
        <f t="array" ref="O561:O600">_xlfn.DROP(_xlfn.XLOOKUP($D561,TableLWG[[#Headers],[ACT]:[QLD - Low]],TableLWG[[#All],[ACT]:[QLD - Low]]),1)</f>
        <v>0.27</v>
      </c>
      <c r="P561" cm="1">
        <f t="array" ref="P561:P600">_xlfn.DROP(_xlfn.XLOOKUP($E561,TableSRW[[#Headers],[ACT]:[WA]],TableSRW[[#All],[ACT]:[WA]]),1)</f>
        <v>770</v>
      </c>
      <c r="Q561">
        <f>M561 / P561</f>
        <v>0.33766233766233766</v>
      </c>
      <c r="S561">
        <v>0</v>
      </c>
      <c r="T561">
        <v>0</v>
      </c>
      <c r="U561">
        <f>30/K561</f>
        <v>0.4838709677419355</v>
      </c>
      <c r="V561">
        <v>0</v>
      </c>
      <c r="W561">
        <f>S561*B563+T561*B564</f>
        <v>0</v>
      </c>
      <c r="X561">
        <f t="shared" ref="X561:X600" si="180">(S561 * $BX$3 +T561* $BX$4) + (1 -S561 -T561 )</f>
        <v>1</v>
      </c>
      <c r="Y561">
        <f t="shared" ref="Y561:Y600" si="181">(1.185 + 0.00454 * M561- 0.0000026 * M561 ^2 + 0.315 * O561)^2 * X561</f>
        <v>5.1742145961000006</v>
      </c>
      <c r="Z561">
        <f>Y561 / ((1.185 + 0.00454 * M561 - 0.0000026 * M561 ^ 2) ^ 2 * X561)</f>
        <v>1.0791927039244746</v>
      </c>
      <c r="AC561" cm="1">
        <f t="array" ref="AC561:AC600">_xlfn.DROP(_xlfn.XLOOKUP($E561,TableCP[[#Headers],[ACT]:[WA - Kimberley]],TableCP[[#All],[ACT]:[WA - Kimberley]]),1)</f>
        <v>7.1999999999999995E-2</v>
      </c>
      <c r="AE561" cm="1">
        <f t="array" ref="AE561:AE600">_xlfn.DROP(_xlfn.XLOOKUP($E561,TableDMD[[#Headers],[ACT]:[WA - Kimberley]],TableDMD[[#All],[ACT]:[WA - Kimberley]]),1)</f>
        <v>0.53</v>
      </c>
      <c r="AF561">
        <f t="shared" ref="AF561:AF600" si="182">(Y561 * (1 - AE561) + (0.04 * Y561)) * ( 1 - $CJ$3 )</f>
        <v>2.4277414884901205</v>
      </c>
      <c r="AG561">
        <f>$CJ$4</f>
        <v>0.19</v>
      </c>
      <c r="AH561">
        <f>$CJ$5</f>
        <v>0.6784</v>
      </c>
      <c r="AI561">
        <f>IF(F561="yes",0,VLOOKUP(C561,$BQ$211:$BS$225,3,FALSE))</f>
        <v>0</v>
      </c>
      <c r="AK561">
        <f>VLOOKUP(C561,$BQ$211:$BU$225,4,FALSE)</f>
        <v>0.78</v>
      </c>
      <c r="AL561">
        <f>IF(F561="yes",100,VLOOKUP(C561,$BQ$211:$BS$225,2,FALSE))</f>
        <v>100</v>
      </c>
      <c r="AM561">
        <f>VLOOKUP(C561,$BQ$211:$BU$225,5,FALSE)</f>
        <v>4.7000000000000002E-3</v>
      </c>
      <c r="AN561">
        <f>AF561 * AG561 * AI561/100 * AK561 * AH561</f>
        <v>0</v>
      </c>
      <c r="AO561">
        <f>AF561 * AG561 * AL561/100 * AM561 * AH561</f>
        <v>1.4707529844319861E-3</v>
      </c>
      <c r="AP561">
        <f>AN561+AO561</f>
        <v>1.4707529844319861E-3</v>
      </c>
      <c r="AQ561">
        <f>K561*AP561*J561</f>
        <v>8.320785009423961</v>
      </c>
      <c r="AR561">
        <f>SUM(AQ561:AQ600)*10^-3</f>
        <v>1.4648771283594064</v>
      </c>
      <c r="AS561">
        <f>U561*$B$563+V561*$B$564</f>
        <v>1.935483870967742</v>
      </c>
      <c r="AT561">
        <f t="shared" ref="AT561:AT600" si="183" xml:space="preserve"> (0.032*W561/6.38) + (((0.212 - 0.008*(Z561-2) - (0.14 - 0.008*(Z561 - 2))/(1+EXP(-6*(Q561-0.4))))*O561*0.92)/6.25)</f>
        <v>6.3313989460282325E-3</v>
      </c>
      <c r="AU561">
        <f>MAX((Y561*AC561/6.25)+(0.032*AS561/6.38)-AT561-((1.1*(10^-4)*(M561^0.75))/6.25), 0)</f>
        <v>6.1843734908535654E-2</v>
      </c>
      <c r="AV561">
        <f t="shared" ref="AV561:AV600" si="184">K561*AU561*J561</f>
        <v>349.88093024504047</v>
      </c>
      <c r="AW561">
        <f>SUM(AV561:AV600)</f>
        <v>61018.962377788121</v>
      </c>
      <c r="AX561" t="s">
        <v>255</v>
      </c>
      <c r="AY561">
        <f>VLOOKUP(AX561, $CK$18:$CM$27, 2, FALSE)</f>
        <v>6.0000000000000001E-3</v>
      </c>
      <c r="AZ561">
        <f>$CJ$6</f>
        <v>0.21</v>
      </c>
      <c r="BA561">
        <f>AW561*AZ561</f>
        <v>12813.982099335504</v>
      </c>
      <c r="BB561">
        <f>$CJ$7</f>
        <v>0.24</v>
      </c>
      <c r="BC561" t="s">
        <v>190</v>
      </c>
      <c r="BD561">
        <f>IF(BC561="yes",1,0)</f>
        <v>0</v>
      </c>
      <c r="BE561">
        <f>AW561 * BD561 * BB561</f>
        <v>0</v>
      </c>
      <c r="BF561">
        <f>$CJ$8</f>
        <v>1.57</v>
      </c>
      <c r="BG561" t="s">
        <v>183</v>
      </c>
      <c r="BH561">
        <f>VLOOKUP(BG561, $BQ$274:$BR$286, 2, FALSE)</f>
        <v>1.8E-3</v>
      </c>
      <c r="BI561">
        <f>$CJ$9</f>
        <v>1.0999999999999999E-2</v>
      </c>
      <c r="BJ561" s="7">
        <f>(AW561 * AY561 * BF561) * 10^-3</f>
        <v>0.57479862559876416</v>
      </c>
      <c r="BK561" s="7">
        <f>BA561 * BH561 * BF561 * 10^-3</f>
        <v>3.6212313412722137E-2</v>
      </c>
      <c r="BL561" s="7">
        <f>BE561 * BI561 * BF561 * 10^-3</f>
        <v>0</v>
      </c>
    </row>
    <row r="562" spans="1:64" x14ac:dyDescent="0.2">
      <c r="G562">
        <v>1</v>
      </c>
      <c r="H562" t="s">
        <v>162</v>
      </c>
      <c r="J562">
        <v>91.25</v>
      </c>
      <c r="K562">
        <v>154</v>
      </c>
      <c r="M562">
        <v>153</v>
      </c>
      <c r="O562">
        <v>0.16</v>
      </c>
      <c r="P562">
        <v>770</v>
      </c>
      <c r="Q562">
        <f t="shared" ref="Q562:Q600" si="185">M562 / P562</f>
        <v>0.19870129870129871</v>
      </c>
      <c r="S562">
        <v>0</v>
      </c>
      <c r="T562">
        <v>0</v>
      </c>
      <c r="U562">
        <f>70/K562</f>
        <v>0.45454545454545453</v>
      </c>
      <c r="V562">
        <f>30/K562</f>
        <v>0.19480519480519481</v>
      </c>
      <c r="W562">
        <f>S562*B563+T562*B564</f>
        <v>0</v>
      </c>
      <c r="X562">
        <f t="shared" si="180"/>
        <v>1</v>
      </c>
      <c r="Y562">
        <f t="shared" si="181"/>
        <v>3.4937463953235608</v>
      </c>
      <c r="Z562">
        <f t="shared" ref="Z562:Z600" si="186">Y562 / ((1.185 + 0.00454 * M562 - 0.0000026 * M562 ^ 2) ^ 2 * X562)</f>
        <v>1.0561903920943292</v>
      </c>
      <c r="AC562">
        <v>9.9000000000000005E-2</v>
      </c>
      <c r="AE562">
        <v>0.56999999999999995</v>
      </c>
      <c r="AF562">
        <f t="shared" si="182"/>
        <v>1.510695941337908</v>
      </c>
      <c r="AG562">
        <f t="shared" ref="AG562:AG600" si="187">$CJ$4</f>
        <v>0.19</v>
      </c>
      <c r="AH562">
        <f t="shared" ref="AH562:AH600" si="188">$CJ$5</f>
        <v>0.6784</v>
      </c>
      <c r="AI562">
        <f>AI561</f>
        <v>0</v>
      </c>
      <c r="AK562">
        <f>AK561</f>
        <v>0.78</v>
      </c>
      <c r="AL562">
        <f>AL561</f>
        <v>100</v>
      </c>
      <c r="AM562">
        <f>AM561</f>
        <v>4.7000000000000002E-3</v>
      </c>
      <c r="AN562">
        <f t="shared" ref="AN562:AN600" si="189">AF562 * AG562 * AI562/100 * AK562 * AH562</f>
        <v>0</v>
      </c>
      <c r="AO562">
        <f t="shared" ref="AO562:AO600" si="190">AF562 * AG562 * AL562/100 * AM562 * AH562</f>
        <v>9.1519652105704773E-4</v>
      </c>
      <c r="AP562">
        <f t="shared" ref="AP562:AP600" si="191">AN562+AO562</f>
        <v>9.1519652105704773E-4</v>
      </c>
      <c r="AQ562">
        <f t="shared" ref="AQ562:AQ600" si="192">K562*AP562*J562</f>
        <v>12.860799112154163</v>
      </c>
      <c r="AS562">
        <f t="shared" ref="AS562:AS600" si="193">U562*$B$563+V562*$B$564</f>
        <v>2.4025974025974026</v>
      </c>
      <c r="AT562">
        <f t="shared" si="183"/>
        <v>4.3712583420444729E-3</v>
      </c>
      <c r="AU562">
        <f t="shared" ref="AU562:AU600" si="194">MAX((Y562*AC562/6.25)+(0.032*AS562/6.38)-AT562-((1.1*(10^-4)*(M562^0.75))/6.25), 0)</f>
        <v>6.2254678157363526E-2</v>
      </c>
      <c r="AV562">
        <f t="shared" si="184"/>
        <v>874.8338648063509</v>
      </c>
      <c r="AY562">
        <f>AY561</f>
        <v>6.0000000000000001E-3</v>
      </c>
      <c r="BB562">
        <f t="shared" ref="BB562:BB600" si="195">$CJ$7</f>
        <v>0.24</v>
      </c>
    </row>
    <row r="563" spans="1:64" x14ac:dyDescent="0.2">
      <c r="A563" t="s">
        <v>222</v>
      </c>
      <c r="B563">
        <f>IF(B561="Hereford or Shorthorn",$BT$3,$BT$4)</f>
        <v>4</v>
      </c>
      <c r="H563" t="s">
        <v>163</v>
      </c>
      <c r="J563">
        <v>91.25</v>
      </c>
      <c r="K563">
        <v>150</v>
      </c>
      <c r="M563">
        <v>168</v>
      </c>
      <c r="O563">
        <v>0.45</v>
      </c>
      <c r="P563">
        <v>770</v>
      </c>
      <c r="Q563">
        <f t="shared" si="185"/>
        <v>0.21818181818181817</v>
      </c>
      <c r="S563">
        <v>0</v>
      </c>
      <c r="T563">
        <v>0</v>
      </c>
      <c r="U563">
        <v>0</v>
      </c>
      <c r="V563">
        <f>70/M563</f>
        <v>0.41666666666666669</v>
      </c>
      <c r="W563">
        <f>S563*B563+T563*B564</f>
        <v>0</v>
      </c>
      <c r="X563">
        <f t="shared" si="180"/>
        <v>1</v>
      </c>
      <c r="Y563">
        <f t="shared" si="181"/>
        <v>4.0646092108737584</v>
      </c>
      <c r="Z563">
        <f t="shared" si="186"/>
        <v>1.1569728351991675</v>
      </c>
      <c r="AC563">
        <v>7.8E-2</v>
      </c>
      <c r="AE563">
        <v>0.55000000000000004</v>
      </c>
      <c r="AF563">
        <f t="shared" si="182"/>
        <v>1.8323258322618903</v>
      </c>
      <c r="AG563">
        <f t="shared" si="187"/>
        <v>0.19</v>
      </c>
      <c r="AH563">
        <f t="shared" si="188"/>
        <v>0.6784</v>
      </c>
      <c r="AI563">
        <f>AI561</f>
        <v>0</v>
      </c>
      <c r="AK563">
        <f>AK561</f>
        <v>0.78</v>
      </c>
      <c r="AL563">
        <f>AL561</f>
        <v>100</v>
      </c>
      <c r="AM563">
        <f>AM561</f>
        <v>4.7000000000000002E-3</v>
      </c>
      <c r="AN563">
        <f t="shared" si="189"/>
        <v>0</v>
      </c>
      <c r="AO563">
        <f t="shared" si="190"/>
        <v>1.1100435112335746E-3</v>
      </c>
      <c r="AP563">
        <f t="shared" si="191"/>
        <v>1.1100435112335746E-3</v>
      </c>
      <c r="AQ563">
        <f t="shared" si="192"/>
        <v>15.193720560009552</v>
      </c>
      <c r="AS563">
        <f t="shared" si="193"/>
        <v>1.25</v>
      </c>
      <c r="AT563">
        <f t="shared" si="183"/>
        <v>1.2045466131919418E-2</v>
      </c>
      <c r="AU563">
        <f t="shared" si="194"/>
        <v>4.412916290029751E-2</v>
      </c>
      <c r="AV563">
        <f t="shared" si="184"/>
        <v>604.01791719782216</v>
      </c>
      <c r="AY563">
        <f>AY561</f>
        <v>6.0000000000000001E-3</v>
      </c>
      <c r="BB563">
        <f t="shared" si="195"/>
        <v>0.24</v>
      </c>
    </row>
    <row r="564" spans="1:64" x14ac:dyDescent="0.2">
      <c r="A564" t="s">
        <v>223</v>
      </c>
      <c r="B564">
        <f>IF(B561="Hereford or Shorthorn",$BU$3,$BU$4)</f>
        <v>3</v>
      </c>
      <c r="H564" t="s">
        <v>164</v>
      </c>
      <c r="J564">
        <v>91.25</v>
      </c>
      <c r="K564">
        <v>83</v>
      </c>
      <c r="M564">
        <v>235</v>
      </c>
      <c r="O564">
        <v>0.51</v>
      </c>
      <c r="P564">
        <v>770</v>
      </c>
      <c r="Q564">
        <f t="shared" si="185"/>
        <v>0.30519480519480519</v>
      </c>
      <c r="S564">
        <v>0</v>
      </c>
      <c r="T564">
        <v>0</v>
      </c>
      <c r="U564">
        <v>0</v>
      </c>
      <c r="V564">
        <v>0</v>
      </c>
      <c r="W564">
        <f>S564*B563+T564*B564</f>
        <v>0</v>
      </c>
      <c r="X564">
        <f t="shared" si="180"/>
        <v>1</v>
      </c>
      <c r="Y564">
        <f t="shared" si="181"/>
        <v>5.1482021712250008</v>
      </c>
      <c r="Z564">
        <f t="shared" si="186"/>
        <v>1.1582027616639627</v>
      </c>
      <c r="AC564">
        <v>5.8999999999999997E-2</v>
      </c>
      <c r="AE564">
        <v>0.51</v>
      </c>
      <c r="AF564">
        <f t="shared" si="182"/>
        <v>2.5102633786893103</v>
      </c>
      <c r="AG564">
        <f t="shared" si="187"/>
        <v>0.19</v>
      </c>
      <c r="AH564">
        <f t="shared" si="188"/>
        <v>0.6784</v>
      </c>
      <c r="AI564">
        <f>AI561</f>
        <v>0</v>
      </c>
      <c r="AK564">
        <f>AK561</f>
        <v>0.78</v>
      </c>
      <c r="AL564">
        <f>AL561</f>
        <v>100</v>
      </c>
      <c r="AM564">
        <f>AM561</f>
        <v>4.7000000000000002E-3</v>
      </c>
      <c r="AN564">
        <f t="shared" si="189"/>
        <v>0</v>
      </c>
      <c r="AO564">
        <f t="shared" si="190"/>
        <v>1.5207456697598257E-3</v>
      </c>
      <c r="AP564">
        <f t="shared" si="191"/>
        <v>1.5207456697598257E-3</v>
      </c>
      <c r="AQ564">
        <f t="shared" si="192"/>
        <v>11.51774751634348</v>
      </c>
      <c r="AS564">
        <f t="shared" si="193"/>
        <v>0</v>
      </c>
      <c r="AT564">
        <f t="shared" si="183"/>
        <v>1.2438599819154714E-2</v>
      </c>
      <c r="AU564">
        <f t="shared" si="194"/>
        <v>3.5104064745016574E-2</v>
      </c>
      <c r="AV564">
        <f t="shared" si="184"/>
        <v>265.86941036256928</v>
      </c>
      <c r="AY564">
        <f>AY561</f>
        <v>6.0000000000000001E-3</v>
      </c>
      <c r="BB564">
        <f t="shared" si="195"/>
        <v>0.24</v>
      </c>
    </row>
    <row r="565" spans="1:64" x14ac:dyDescent="0.2">
      <c r="G565" t="s">
        <v>165</v>
      </c>
      <c r="H565" t="s">
        <v>160</v>
      </c>
      <c r="J565">
        <v>91.25</v>
      </c>
      <c r="K565">
        <v>70</v>
      </c>
      <c r="M565">
        <v>705</v>
      </c>
      <c r="O565">
        <v>-0.19</v>
      </c>
      <c r="P565">
        <v>770</v>
      </c>
      <c r="Q565">
        <f t="shared" si="185"/>
        <v>0.91558441558441561</v>
      </c>
      <c r="S565">
        <v>0</v>
      </c>
      <c r="T565">
        <v>0</v>
      </c>
      <c r="U565">
        <v>0</v>
      </c>
      <c r="V565">
        <v>0</v>
      </c>
      <c r="W565">
        <f>S565*B563+T565*B564</f>
        <v>0</v>
      </c>
      <c r="X565">
        <f t="shared" si="180"/>
        <v>1</v>
      </c>
      <c r="Y565">
        <f t="shared" si="181"/>
        <v>9.2026379522250004</v>
      </c>
      <c r="Z565">
        <f t="shared" si="186"/>
        <v>0.9616794739033574</v>
      </c>
      <c r="AC565">
        <v>7.1999999999999995E-2</v>
      </c>
      <c r="AE565">
        <v>0.53</v>
      </c>
      <c r="AF565">
        <f t="shared" si="182"/>
        <v>4.3178777271839701</v>
      </c>
      <c r="AG565">
        <f t="shared" si="187"/>
        <v>0.19</v>
      </c>
      <c r="AH565">
        <f t="shared" si="188"/>
        <v>0.6784</v>
      </c>
      <c r="AI565">
        <f>AI561</f>
        <v>0</v>
      </c>
      <c r="AK565">
        <f>AK561</f>
        <v>0.78</v>
      </c>
      <c r="AL565">
        <f>AL561</f>
        <v>100</v>
      </c>
      <c r="AM565">
        <f>AM561</f>
        <v>4.7000000000000002E-3</v>
      </c>
      <c r="AN565">
        <f t="shared" si="189"/>
        <v>0</v>
      </c>
      <c r="AO565">
        <f t="shared" si="190"/>
        <v>2.6158186873585939E-3</v>
      </c>
      <c r="AP565">
        <f t="shared" si="191"/>
        <v>2.6158186873585939E-3</v>
      </c>
      <c r="AQ565">
        <f t="shared" si="192"/>
        <v>16.708541865503019</v>
      </c>
      <c r="AS565">
        <f t="shared" si="193"/>
        <v>0</v>
      </c>
      <c r="AT565">
        <f t="shared" si="183"/>
        <v>-2.1936122132588044E-3</v>
      </c>
      <c r="AU565">
        <f t="shared" si="194"/>
        <v>0.10580001238474503</v>
      </c>
      <c r="AV565">
        <f t="shared" si="184"/>
        <v>675.79757910755882</v>
      </c>
      <c r="AY565">
        <f>AY561</f>
        <v>6.0000000000000001E-3</v>
      </c>
      <c r="BB565">
        <f t="shared" si="195"/>
        <v>0.24</v>
      </c>
    </row>
    <row r="566" spans="1:64" x14ac:dyDescent="0.2">
      <c r="A566" t="s">
        <v>167</v>
      </c>
      <c r="G566">
        <v>2</v>
      </c>
      <c r="H566" t="s">
        <v>162</v>
      </c>
      <c r="J566">
        <v>91.25</v>
      </c>
      <c r="K566">
        <v>147</v>
      </c>
      <c r="M566">
        <v>703</v>
      </c>
      <c r="O566">
        <v>0.16</v>
      </c>
      <c r="P566">
        <v>770</v>
      </c>
      <c r="Q566">
        <f t="shared" si="185"/>
        <v>0.91298701298701301</v>
      </c>
      <c r="S566">
        <v>0</v>
      </c>
      <c r="T566">
        <v>0</v>
      </c>
      <c r="U566">
        <v>0</v>
      </c>
      <c r="V566">
        <v>0</v>
      </c>
      <c r="W566">
        <f>S566*B563+T566*B564</f>
        <v>0</v>
      </c>
      <c r="X566">
        <f t="shared" si="180"/>
        <v>1</v>
      </c>
      <c r="Y566">
        <f t="shared" si="181"/>
        <v>9.8726453602675619</v>
      </c>
      <c r="Z566">
        <f t="shared" si="186"/>
        <v>1.0328694186366552</v>
      </c>
      <c r="AC566">
        <v>9.9000000000000005E-2</v>
      </c>
      <c r="AE566">
        <v>0.56999999999999995</v>
      </c>
      <c r="AF566">
        <f t="shared" si="182"/>
        <v>4.2689318537796952</v>
      </c>
      <c r="AG566">
        <f t="shared" si="187"/>
        <v>0.19</v>
      </c>
      <c r="AH566">
        <f t="shared" si="188"/>
        <v>0.6784</v>
      </c>
      <c r="AI566">
        <f>AI561</f>
        <v>0</v>
      </c>
      <c r="AK566">
        <f>AK561</f>
        <v>0.78</v>
      </c>
      <c r="AL566">
        <f>AL561</f>
        <v>100</v>
      </c>
      <c r="AM566">
        <f>AM561</f>
        <v>4.7000000000000002E-3</v>
      </c>
      <c r="AN566">
        <f t="shared" si="189"/>
        <v>0</v>
      </c>
      <c r="AO566">
        <f t="shared" si="190"/>
        <v>2.5861667290565018E-3</v>
      </c>
      <c r="AP566">
        <f t="shared" si="191"/>
        <v>2.5861667290565018E-3</v>
      </c>
      <c r="AQ566">
        <f t="shared" si="192"/>
        <v>34.690193961881654</v>
      </c>
      <c r="AS566">
        <f t="shared" si="193"/>
        <v>0</v>
      </c>
      <c r="AT566">
        <f t="shared" si="183"/>
        <v>1.8489367335797575E-3</v>
      </c>
      <c r="AU566">
        <f t="shared" si="194"/>
        <v>0.15213090193479759</v>
      </c>
      <c r="AV566">
        <f t="shared" si="184"/>
        <v>2040.6458858278913</v>
      </c>
      <c r="AY566">
        <f>AY561</f>
        <v>6.0000000000000001E-3</v>
      </c>
      <c r="BB566">
        <f t="shared" si="195"/>
        <v>0.24</v>
      </c>
    </row>
    <row r="567" spans="1:64" x14ac:dyDescent="0.2">
      <c r="A567" t="s">
        <v>160</v>
      </c>
      <c r="B567">
        <f>IF(B561="Hereford or Shorthorn", 1.3, 0)</f>
        <v>0</v>
      </c>
      <c r="H567" t="s">
        <v>163</v>
      </c>
      <c r="J567">
        <v>91.25</v>
      </c>
      <c r="K567">
        <v>104</v>
      </c>
      <c r="M567">
        <v>718</v>
      </c>
      <c r="O567">
        <v>0.1</v>
      </c>
      <c r="P567">
        <v>770</v>
      </c>
      <c r="Q567">
        <f t="shared" si="185"/>
        <v>0.93246753246753245</v>
      </c>
      <c r="S567">
        <v>0</v>
      </c>
      <c r="T567">
        <v>0</v>
      </c>
      <c r="U567">
        <v>0</v>
      </c>
      <c r="V567">
        <v>0</v>
      </c>
      <c r="W567">
        <f>S567*B563+T567*B564</f>
        <v>0</v>
      </c>
      <c r="X567">
        <f t="shared" si="180"/>
        <v>1</v>
      </c>
      <c r="Y567">
        <f t="shared" si="181"/>
        <v>9.8336028874777597</v>
      </c>
      <c r="Z567">
        <f t="shared" si="186"/>
        <v>1.0203970159064777</v>
      </c>
      <c r="AC567">
        <v>7.8E-2</v>
      </c>
      <c r="AE567">
        <v>0.55000000000000004</v>
      </c>
      <c r="AF567">
        <f t="shared" si="182"/>
        <v>4.4329881816749737</v>
      </c>
      <c r="AG567">
        <f t="shared" si="187"/>
        <v>0.19</v>
      </c>
      <c r="AH567">
        <f t="shared" si="188"/>
        <v>0.6784</v>
      </c>
      <c r="AI567">
        <f>AI561</f>
        <v>0</v>
      </c>
      <c r="AK567">
        <f>AK561</f>
        <v>0.78</v>
      </c>
      <c r="AL567">
        <f>AL561</f>
        <v>100</v>
      </c>
      <c r="AM567">
        <f>AM561</f>
        <v>4.7000000000000002E-3</v>
      </c>
      <c r="AN567">
        <f t="shared" si="189"/>
        <v>0</v>
      </c>
      <c r="AO567">
        <f t="shared" si="190"/>
        <v>2.6855538899263338E-3</v>
      </c>
      <c r="AP567">
        <f t="shared" si="191"/>
        <v>2.6855538899263338E-3</v>
      </c>
      <c r="AQ567">
        <f t="shared" si="192"/>
        <v>25.485906415400908</v>
      </c>
      <c r="AS567">
        <f t="shared" si="193"/>
        <v>0</v>
      </c>
      <c r="AT567">
        <f t="shared" si="183"/>
        <v>1.1454972392558201E-3</v>
      </c>
      <c r="AU567">
        <f t="shared" si="194"/>
        <v>0.11913665195841748</v>
      </c>
      <c r="AV567">
        <f t="shared" si="184"/>
        <v>1130.6068270853818</v>
      </c>
      <c r="AY567">
        <f>AY561</f>
        <v>6.0000000000000001E-3</v>
      </c>
      <c r="BB567">
        <f t="shared" si="195"/>
        <v>0.24</v>
      </c>
    </row>
    <row r="568" spans="1:64" x14ac:dyDescent="0.2">
      <c r="A568" t="s">
        <v>162</v>
      </c>
      <c r="B568">
        <f>IF(B561="Hereford or Shorthorn", 1.1, 1.3)</f>
        <v>1.3</v>
      </c>
      <c r="H568" t="s">
        <v>164</v>
      </c>
      <c r="J568">
        <v>91.25</v>
      </c>
      <c r="K568">
        <v>31</v>
      </c>
      <c r="M568">
        <v>722</v>
      </c>
      <c r="O568">
        <v>-7.0000000000000007E-2</v>
      </c>
      <c r="P568">
        <v>770</v>
      </c>
      <c r="Q568">
        <f t="shared" si="185"/>
        <v>0.93766233766233764</v>
      </c>
      <c r="S568">
        <v>0</v>
      </c>
      <c r="T568">
        <v>0</v>
      </c>
      <c r="U568">
        <v>0</v>
      </c>
      <c r="V568">
        <v>0</v>
      </c>
      <c r="W568">
        <f>S568*B563+T568*B564</f>
        <v>0</v>
      </c>
      <c r="X568">
        <f t="shared" si="180"/>
        <v>1</v>
      </c>
      <c r="Y568">
        <f t="shared" si="181"/>
        <v>9.520258413670561</v>
      </c>
      <c r="Z568">
        <f t="shared" si="186"/>
        <v>0.98585906585674876</v>
      </c>
      <c r="AC568">
        <v>5.8999999999999997E-2</v>
      </c>
      <c r="AE568">
        <v>0.51</v>
      </c>
      <c r="AF568">
        <f t="shared" si="182"/>
        <v>4.642078002505766</v>
      </c>
      <c r="AG568">
        <f t="shared" si="187"/>
        <v>0.19</v>
      </c>
      <c r="AH568">
        <f t="shared" si="188"/>
        <v>0.6784</v>
      </c>
      <c r="AI568">
        <f>AI561</f>
        <v>0</v>
      </c>
      <c r="AK568">
        <f>AK561</f>
        <v>0.78</v>
      </c>
      <c r="AL568">
        <f>AL561</f>
        <v>100</v>
      </c>
      <c r="AM568">
        <f>AM561</f>
        <v>4.7000000000000002E-3</v>
      </c>
      <c r="AN568">
        <f t="shared" si="189"/>
        <v>0</v>
      </c>
      <c r="AO568">
        <f t="shared" si="190"/>
        <v>2.8122228451916212E-3</v>
      </c>
      <c r="AP568">
        <f t="shared" si="191"/>
        <v>2.8122228451916212E-3</v>
      </c>
      <c r="AQ568">
        <f t="shared" si="192"/>
        <v>7.9550753733357995</v>
      </c>
      <c r="AS568">
        <f t="shared" si="193"/>
        <v>0</v>
      </c>
      <c r="AT568">
        <f t="shared" si="183"/>
        <v>-8.0018705389059202E-4</v>
      </c>
      <c r="AU568">
        <f t="shared" si="194"/>
        <v>8.8220018665564684E-2</v>
      </c>
      <c r="AV568">
        <f t="shared" si="184"/>
        <v>249.55237780021608</v>
      </c>
      <c r="AY568">
        <f>AY561</f>
        <v>6.0000000000000001E-3</v>
      </c>
      <c r="BB568">
        <f t="shared" si="195"/>
        <v>0.24</v>
      </c>
    </row>
    <row r="569" spans="1:64" x14ac:dyDescent="0.2">
      <c r="A569" t="s">
        <v>163</v>
      </c>
      <c r="B569">
        <f>IF(B561="Hereford or Shorthorn", 0, 1.1)</f>
        <v>1.1000000000000001</v>
      </c>
      <c r="G569" t="s">
        <v>177</v>
      </c>
      <c r="H569" t="s">
        <v>160</v>
      </c>
      <c r="J569">
        <v>91.25</v>
      </c>
      <c r="K569">
        <v>318</v>
      </c>
      <c r="M569">
        <v>302</v>
      </c>
      <c r="O569">
        <v>0.25</v>
      </c>
      <c r="P569">
        <v>550</v>
      </c>
      <c r="Q569">
        <f t="shared" si="185"/>
        <v>0.54909090909090907</v>
      </c>
      <c r="S569">
        <v>0</v>
      </c>
      <c r="T569">
        <v>0</v>
      </c>
      <c r="U569">
        <v>0</v>
      </c>
      <c r="V569">
        <v>0</v>
      </c>
      <c r="W569">
        <f>S569*B563+T569*B564</f>
        <v>0</v>
      </c>
      <c r="X569">
        <f t="shared" si="180"/>
        <v>1</v>
      </c>
      <c r="Y569">
        <f t="shared" si="181"/>
        <v>5.7489633718401585</v>
      </c>
      <c r="Z569">
        <f t="shared" si="186"/>
        <v>1.0690719186376449</v>
      </c>
      <c r="AC569">
        <v>7.1999999999999995E-2</v>
      </c>
      <c r="AE569">
        <v>0.53</v>
      </c>
      <c r="AF569">
        <f t="shared" si="182"/>
        <v>2.6974136140674023</v>
      </c>
      <c r="AG569">
        <f t="shared" si="187"/>
        <v>0.19</v>
      </c>
      <c r="AH569">
        <f t="shared" si="188"/>
        <v>0.6784</v>
      </c>
      <c r="AI569">
        <f>AI561</f>
        <v>0</v>
      </c>
      <c r="AK569">
        <f>AK561</f>
        <v>0.78</v>
      </c>
      <c r="AL569">
        <f>AL561</f>
        <v>100</v>
      </c>
      <c r="AM569">
        <f>AM561</f>
        <v>4.7000000000000002E-3</v>
      </c>
      <c r="AN569">
        <f t="shared" si="189"/>
        <v>0</v>
      </c>
      <c r="AO569">
        <f t="shared" si="190"/>
        <v>1.6341233784345098E-3</v>
      </c>
      <c r="AP569">
        <f t="shared" si="191"/>
        <v>1.6341233784345098E-3</v>
      </c>
      <c r="AQ569">
        <f t="shared" si="192"/>
        <v>47.418175133723388</v>
      </c>
      <c r="AS569">
        <f t="shared" si="193"/>
        <v>0</v>
      </c>
      <c r="AT569">
        <f t="shared" si="183"/>
        <v>4.2240959788915743E-3</v>
      </c>
      <c r="AU569">
        <f t="shared" si="194"/>
        <v>6.0728939487466667E-2</v>
      </c>
      <c r="AV569">
        <f t="shared" si="184"/>
        <v>1762.202001577564</v>
      </c>
      <c r="AY569">
        <f>AY561</f>
        <v>6.0000000000000001E-3</v>
      </c>
      <c r="BB569">
        <f t="shared" si="195"/>
        <v>0.24</v>
      </c>
    </row>
    <row r="570" spans="1:64" x14ac:dyDescent="0.2">
      <c r="A570" t="s">
        <v>164</v>
      </c>
      <c r="B570">
        <v>0</v>
      </c>
      <c r="G570">
        <v>4</v>
      </c>
      <c r="H570" t="s">
        <v>162</v>
      </c>
      <c r="J570">
        <v>91.25</v>
      </c>
      <c r="K570">
        <v>440</v>
      </c>
      <c r="M570">
        <v>277</v>
      </c>
      <c r="O570">
        <v>0.56999999999999995</v>
      </c>
      <c r="P570">
        <v>550</v>
      </c>
      <c r="Q570">
        <f t="shared" si="185"/>
        <v>0.50363636363636366</v>
      </c>
      <c r="S570">
        <v>0</v>
      </c>
      <c r="T570">
        <v>0</v>
      </c>
      <c r="U570">
        <v>0</v>
      </c>
      <c r="V570">
        <v>0</v>
      </c>
      <c r="W570">
        <f>S570*B563+T570*B564</f>
        <v>0</v>
      </c>
      <c r="X570">
        <f t="shared" si="180"/>
        <v>1</v>
      </c>
      <c r="Y570">
        <f t="shared" si="181"/>
        <v>5.869158405117159</v>
      </c>
      <c r="Z570">
        <f t="shared" si="186"/>
        <v>1.1664994103704236</v>
      </c>
      <c r="AC570">
        <v>9.9000000000000005E-2</v>
      </c>
      <c r="AE570">
        <v>0.56999999999999995</v>
      </c>
      <c r="AF570">
        <f t="shared" si="182"/>
        <v>2.53782409437266</v>
      </c>
      <c r="AG570">
        <f t="shared" si="187"/>
        <v>0.19</v>
      </c>
      <c r="AH570">
        <f t="shared" si="188"/>
        <v>0.6784</v>
      </c>
      <c r="AI570">
        <f>AI561</f>
        <v>0</v>
      </c>
      <c r="AK570">
        <f>AK561</f>
        <v>0.78</v>
      </c>
      <c r="AL570">
        <f>AL561</f>
        <v>100</v>
      </c>
      <c r="AM570">
        <f>AM561</f>
        <v>4.7000000000000002E-3</v>
      </c>
      <c r="AN570">
        <f t="shared" si="189"/>
        <v>0</v>
      </c>
      <c r="AO570">
        <f t="shared" si="190"/>
        <v>1.5374422600008145E-3</v>
      </c>
      <c r="AP570">
        <f t="shared" si="191"/>
        <v>1.5374422600008145E-3</v>
      </c>
      <c r="AQ570">
        <f t="shared" si="192"/>
        <v>61.728306739032703</v>
      </c>
      <c r="AS570">
        <f t="shared" si="193"/>
        <v>0</v>
      </c>
      <c r="AT570">
        <f t="shared" si="183"/>
        <v>1.0340422464418559E-2</v>
      </c>
      <c r="AU570">
        <f t="shared" si="194"/>
        <v>8.1432034044624318E-2</v>
      </c>
      <c r="AV570">
        <f t="shared" si="184"/>
        <v>3269.4961668916667</v>
      </c>
      <c r="AY570">
        <f>AY561</f>
        <v>6.0000000000000001E-3</v>
      </c>
      <c r="BB570">
        <f t="shared" si="195"/>
        <v>0.24</v>
      </c>
    </row>
    <row r="571" spans="1:64" x14ac:dyDescent="0.2">
      <c r="H571" t="s">
        <v>163</v>
      </c>
      <c r="J571">
        <v>91.25</v>
      </c>
      <c r="K571">
        <v>412</v>
      </c>
      <c r="M571">
        <v>319</v>
      </c>
      <c r="O571">
        <v>0.41</v>
      </c>
      <c r="P571">
        <v>550</v>
      </c>
      <c r="Q571">
        <f t="shared" si="185"/>
        <v>0.57999999999999996</v>
      </c>
      <c r="S571">
        <v>0</v>
      </c>
      <c r="T571">
        <v>0</v>
      </c>
      <c r="U571">
        <v>0</v>
      </c>
      <c r="V571">
        <v>0</v>
      </c>
      <c r="W571">
        <f>S571*B563+T571*B564</f>
        <v>0</v>
      </c>
      <c r="X571">
        <f t="shared" si="180"/>
        <v>1</v>
      </c>
      <c r="Y571">
        <f t="shared" si="181"/>
        <v>6.2391617028259594</v>
      </c>
      <c r="Z571">
        <f t="shared" si="186"/>
        <v>1.1120208802402667</v>
      </c>
      <c r="AC571">
        <v>7.8E-2</v>
      </c>
      <c r="AE571">
        <v>0.55000000000000004</v>
      </c>
      <c r="AF571">
        <f t="shared" si="182"/>
        <v>2.8126140956339425</v>
      </c>
      <c r="AG571">
        <f t="shared" si="187"/>
        <v>0.19</v>
      </c>
      <c r="AH571">
        <f t="shared" si="188"/>
        <v>0.6784</v>
      </c>
      <c r="AI571">
        <f>AI561</f>
        <v>0</v>
      </c>
      <c r="AK571">
        <f>AK561</f>
        <v>0.78</v>
      </c>
      <c r="AL571">
        <f>AL561</f>
        <v>100</v>
      </c>
      <c r="AM571">
        <f>AM561</f>
        <v>4.7000000000000002E-3</v>
      </c>
      <c r="AN571">
        <f t="shared" si="189"/>
        <v>0</v>
      </c>
      <c r="AO571">
        <f t="shared" si="190"/>
        <v>1.7039131204129136E-3</v>
      </c>
      <c r="AP571">
        <f t="shared" si="191"/>
        <v>1.7039131204129136E-3</v>
      </c>
      <c r="AQ571">
        <f t="shared" si="192"/>
        <v>64.058613761923496</v>
      </c>
      <c r="AS571">
        <f t="shared" si="193"/>
        <v>0</v>
      </c>
      <c r="AT571">
        <f t="shared" si="183"/>
        <v>6.5959730845064502E-3</v>
      </c>
      <c r="AU571">
        <f t="shared" si="194"/>
        <v>6.9940282949305002E-2</v>
      </c>
      <c r="AV571">
        <f t="shared" si="184"/>
        <v>2629.4049374791216</v>
      </c>
      <c r="AY571">
        <f>AY561</f>
        <v>6.0000000000000001E-3</v>
      </c>
      <c r="BB571">
        <f t="shared" si="195"/>
        <v>0.24</v>
      </c>
    </row>
    <row r="572" spans="1:64" x14ac:dyDescent="0.2">
      <c r="H572" t="s">
        <v>164</v>
      </c>
      <c r="J572">
        <v>91.25</v>
      </c>
      <c r="K572">
        <v>339</v>
      </c>
      <c r="M572">
        <v>352</v>
      </c>
      <c r="O572">
        <v>-0.09</v>
      </c>
      <c r="P572">
        <v>550</v>
      </c>
      <c r="Q572">
        <f t="shared" si="185"/>
        <v>0.64</v>
      </c>
      <c r="S572">
        <v>0</v>
      </c>
      <c r="T572">
        <v>0</v>
      </c>
      <c r="U572">
        <v>0</v>
      </c>
      <c r="V572">
        <v>0</v>
      </c>
      <c r="W572">
        <f>S572*B563+T572*B564</f>
        <v>0</v>
      </c>
      <c r="X572">
        <f t="shared" si="180"/>
        <v>1</v>
      </c>
      <c r="Y572">
        <f t="shared" si="181"/>
        <v>5.9174435103361596</v>
      </c>
      <c r="Z572">
        <f t="shared" si="186"/>
        <v>0.97709263728975237</v>
      </c>
      <c r="AC572">
        <v>5.8999999999999997E-2</v>
      </c>
      <c r="AE572">
        <v>0.51</v>
      </c>
      <c r="AF572">
        <f t="shared" si="182"/>
        <v>2.8853454556399112</v>
      </c>
      <c r="AG572">
        <f t="shared" si="187"/>
        <v>0.19</v>
      </c>
      <c r="AH572">
        <f t="shared" si="188"/>
        <v>0.6784</v>
      </c>
      <c r="AI572">
        <f>AI561</f>
        <v>0</v>
      </c>
      <c r="AK572">
        <f>AK561</f>
        <v>0.78</v>
      </c>
      <c r="AL572">
        <f>AL561</f>
        <v>100</v>
      </c>
      <c r="AM572">
        <f>AM561</f>
        <v>4.7000000000000002E-3</v>
      </c>
      <c r="AN572">
        <f t="shared" si="189"/>
        <v>0</v>
      </c>
      <c r="AO572">
        <f t="shared" si="190"/>
        <v>1.7479745928957614E-3</v>
      </c>
      <c r="AP572">
        <f t="shared" si="191"/>
        <v>1.7479745928957614E-3</v>
      </c>
      <c r="AQ572">
        <f t="shared" si="192"/>
        <v>54.071409062989261</v>
      </c>
      <c r="AS572">
        <f t="shared" si="193"/>
        <v>0</v>
      </c>
      <c r="AT572">
        <f t="shared" si="183"/>
        <v>-1.3298847675712283E-3</v>
      </c>
      <c r="AU572">
        <f t="shared" si="194"/>
        <v>5.5760276117132114E-2</v>
      </c>
      <c r="AV572">
        <f t="shared" si="184"/>
        <v>1724.8744413383356</v>
      </c>
      <c r="AY572">
        <f>AY561</f>
        <v>6.0000000000000001E-3</v>
      </c>
      <c r="BB572">
        <f t="shared" si="195"/>
        <v>0.24</v>
      </c>
    </row>
    <row r="573" spans="1:64" x14ac:dyDescent="0.2">
      <c r="G573" t="s">
        <v>179</v>
      </c>
      <c r="H573" t="s">
        <v>160</v>
      </c>
      <c r="J573">
        <v>91.25</v>
      </c>
      <c r="K573">
        <v>392</v>
      </c>
      <c r="M573">
        <v>416</v>
      </c>
      <c r="O573">
        <v>7.0000000000000007E-2</v>
      </c>
      <c r="P573">
        <v>550</v>
      </c>
      <c r="Q573">
        <f t="shared" si="185"/>
        <v>0.75636363636363635</v>
      </c>
      <c r="S573">
        <v>0</v>
      </c>
      <c r="T573">
        <v>0</v>
      </c>
      <c r="U573">
        <v>0</v>
      </c>
      <c r="V573">
        <v>0</v>
      </c>
      <c r="W573">
        <f>S573*B563+T573*B564</f>
        <v>0</v>
      </c>
      <c r="X573">
        <f t="shared" si="180"/>
        <v>1</v>
      </c>
      <c r="Y573">
        <f t="shared" si="181"/>
        <v>6.9999634301313618</v>
      </c>
      <c r="Z573">
        <f t="shared" si="186"/>
        <v>1.0168789902394799</v>
      </c>
      <c r="AC573">
        <v>7.1999999999999995E-2</v>
      </c>
      <c r="AE573">
        <v>0.53</v>
      </c>
      <c r="AF573">
        <f t="shared" si="182"/>
        <v>3.284382841417635</v>
      </c>
      <c r="AG573">
        <f t="shared" si="187"/>
        <v>0.19</v>
      </c>
      <c r="AH573">
        <f t="shared" si="188"/>
        <v>0.6784</v>
      </c>
      <c r="AI573">
        <f>AI561</f>
        <v>0</v>
      </c>
      <c r="AK573">
        <f>AK561</f>
        <v>0.78</v>
      </c>
      <c r="AL573">
        <f>AL561</f>
        <v>100</v>
      </c>
      <c r="AM573">
        <f>AM561</f>
        <v>4.7000000000000002E-3</v>
      </c>
      <c r="AN573">
        <f t="shared" si="189"/>
        <v>0</v>
      </c>
      <c r="AO573">
        <f t="shared" si="190"/>
        <v>1.9897159104186276E-3</v>
      </c>
      <c r="AP573">
        <f t="shared" si="191"/>
        <v>1.9897159104186276E-3</v>
      </c>
      <c r="AQ573">
        <f t="shared" si="192"/>
        <v>71.172138115674315</v>
      </c>
      <c r="AS573">
        <f t="shared" si="193"/>
        <v>0</v>
      </c>
      <c r="AT573">
        <f t="shared" si="183"/>
        <v>9.025376129174938E-4</v>
      </c>
      <c r="AU573">
        <f t="shared" si="194"/>
        <v>7.8115855769959289E-2</v>
      </c>
      <c r="AV573">
        <f t="shared" si="184"/>
        <v>2794.2041608914437</v>
      </c>
      <c r="AY573">
        <f>AY561</f>
        <v>6.0000000000000001E-3</v>
      </c>
      <c r="BB573">
        <f t="shared" si="195"/>
        <v>0.24</v>
      </c>
    </row>
    <row r="574" spans="1:64" x14ac:dyDescent="0.2">
      <c r="G574" t="s">
        <v>195</v>
      </c>
      <c r="H574" t="s">
        <v>162</v>
      </c>
      <c r="J574">
        <v>91.25</v>
      </c>
      <c r="K574">
        <v>490</v>
      </c>
      <c r="M574">
        <v>397</v>
      </c>
      <c r="O574">
        <v>0.76</v>
      </c>
      <c r="P574">
        <v>550</v>
      </c>
      <c r="Q574">
        <f t="shared" si="185"/>
        <v>0.7218181818181818</v>
      </c>
      <c r="S574">
        <v>0.75</v>
      </c>
      <c r="T574">
        <v>0</v>
      </c>
      <c r="U574">
        <v>0</v>
      </c>
      <c r="V574">
        <v>0</v>
      </c>
      <c r="W574">
        <f>S574*B563+T574*B564</f>
        <v>3</v>
      </c>
      <c r="X574">
        <f t="shared" si="180"/>
        <v>1.2250000000000001</v>
      </c>
      <c r="Y574">
        <f t="shared" si="181"/>
        <v>9.7209505594041588</v>
      </c>
      <c r="Z574">
        <f t="shared" si="186"/>
        <v>1.1943806124919927</v>
      </c>
      <c r="AC574">
        <v>9.9000000000000005E-2</v>
      </c>
      <c r="AE574">
        <v>0.56999999999999995</v>
      </c>
      <c r="AF574">
        <f t="shared" si="182"/>
        <v>4.2033390218863591</v>
      </c>
      <c r="AG574">
        <f t="shared" si="187"/>
        <v>0.19</v>
      </c>
      <c r="AH574">
        <f t="shared" si="188"/>
        <v>0.6784</v>
      </c>
      <c r="AI574">
        <f>AI561</f>
        <v>0</v>
      </c>
      <c r="AK574">
        <f>AK561</f>
        <v>0.78</v>
      </c>
      <c r="AL574">
        <f>AL561</f>
        <v>100</v>
      </c>
      <c r="AM574">
        <f>AM561</f>
        <v>4.7000000000000002E-3</v>
      </c>
      <c r="AN574">
        <f t="shared" si="189"/>
        <v>0</v>
      </c>
      <c r="AO574">
        <f t="shared" si="190"/>
        <v>2.5464298568558018E-3</v>
      </c>
      <c r="AP574">
        <f t="shared" si="191"/>
        <v>2.5464298568558018E-3</v>
      </c>
      <c r="AQ574">
        <f t="shared" si="192"/>
        <v>113.85724497466504</v>
      </c>
      <c r="AS574">
        <f t="shared" si="193"/>
        <v>0</v>
      </c>
      <c r="AT574">
        <f t="shared" si="183"/>
        <v>2.5176724157437075E-2</v>
      </c>
      <c r="AU574">
        <f t="shared" si="194"/>
        <v>0.12723780400401008</v>
      </c>
      <c r="AV574">
        <f t="shared" si="184"/>
        <v>5689.120311529301</v>
      </c>
      <c r="AY574">
        <f>AY561</f>
        <v>6.0000000000000001E-3</v>
      </c>
      <c r="BB574">
        <f t="shared" si="195"/>
        <v>0.24</v>
      </c>
    </row>
    <row r="575" spans="1:64" x14ac:dyDescent="0.2">
      <c r="H575" t="s">
        <v>163</v>
      </c>
      <c r="J575">
        <v>91.25</v>
      </c>
      <c r="K575">
        <v>480</v>
      </c>
      <c r="M575">
        <v>440</v>
      </c>
      <c r="O575">
        <v>0.4</v>
      </c>
      <c r="P575">
        <v>550</v>
      </c>
      <c r="Q575">
        <f t="shared" si="185"/>
        <v>0.8</v>
      </c>
      <c r="S575">
        <v>0.15</v>
      </c>
      <c r="T575">
        <v>0.76</v>
      </c>
      <c r="U575">
        <v>0</v>
      </c>
      <c r="V575">
        <v>0</v>
      </c>
      <c r="W575">
        <f>S575*B563+T575*B564</f>
        <v>2.8800000000000003</v>
      </c>
      <c r="X575">
        <f t="shared" si="180"/>
        <v>1.121</v>
      </c>
      <c r="Y575">
        <f t="shared" si="181"/>
        <v>8.8215654039696005</v>
      </c>
      <c r="Z575">
        <f t="shared" si="186"/>
        <v>1.0962681808945745</v>
      </c>
      <c r="AC575">
        <v>7.8E-2</v>
      </c>
      <c r="AE575">
        <v>0.55000000000000004</v>
      </c>
      <c r="AF575">
        <f t="shared" si="182"/>
        <v>3.976761684109495</v>
      </c>
      <c r="AG575">
        <f t="shared" si="187"/>
        <v>0.19</v>
      </c>
      <c r="AH575">
        <f t="shared" si="188"/>
        <v>0.6784</v>
      </c>
      <c r="AI575">
        <f>AI561</f>
        <v>0</v>
      </c>
      <c r="AK575">
        <f>AK561</f>
        <v>0.78</v>
      </c>
      <c r="AL575">
        <f>AL561</f>
        <v>100</v>
      </c>
      <c r="AM575">
        <f>AM561</f>
        <v>4.7000000000000002E-3</v>
      </c>
      <c r="AN575">
        <f t="shared" si="189"/>
        <v>0</v>
      </c>
      <c r="AO575">
        <f t="shared" si="190"/>
        <v>2.4091667679643947E-3</v>
      </c>
      <c r="AP575">
        <f t="shared" si="191"/>
        <v>2.4091667679643947E-3</v>
      </c>
      <c r="AQ575">
        <f t="shared" si="192"/>
        <v>105.52150443684047</v>
      </c>
      <c r="AS575">
        <f t="shared" si="193"/>
        <v>0</v>
      </c>
      <c r="AT575">
        <f t="shared" si="183"/>
        <v>1.9405516341796325E-2</v>
      </c>
      <c r="AU575">
        <f t="shared" si="194"/>
        <v>8.8996781216273635E-2</v>
      </c>
      <c r="AV575">
        <f t="shared" si="184"/>
        <v>3898.0590172727848</v>
      </c>
      <c r="AY575">
        <f>AY561</f>
        <v>6.0000000000000001E-3</v>
      </c>
      <c r="BB575">
        <f t="shared" si="195"/>
        <v>0.24</v>
      </c>
    </row>
    <row r="576" spans="1:64" x14ac:dyDescent="0.2">
      <c r="H576" t="s">
        <v>164</v>
      </c>
      <c r="J576">
        <v>91.25</v>
      </c>
      <c r="K576">
        <v>398</v>
      </c>
      <c r="M576">
        <v>470</v>
      </c>
      <c r="O576">
        <v>-0.13</v>
      </c>
      <c r="P576">
        <v>550</v>
      </c>
      <c r="Q576">
        <f t="shared" si="185"/>
        <v>0.8545454545454545</v>
      </c>
      <c r="S576">
        <v>0</v>
      </c>
      <c r="T576">
        <v>0.14000000000000001</v>
      </c>
      <c r="U576">
        <v>0</v>
      </c>
      <c r="V576">
        <v>0</v>
      </c>
      <c r="W576">
        <f>S576*B563+T576*B564</f>
        <v>0.42000000000000004</v>
      </c>
      <c r="X576">
        <f t="shared" si="180"/>
        <v>1.014</v>
      </c>
      <c r="Y576">
        <f t="shared" si="181"/>
        <v>7.411291848581401</v>
      </c>
      <c r="Z576">
        <f t="shared" si="186"/>
        <v>0.97038069916924574</v>
      </c>
      <c r="AC576">
        <v>5.8999999999999997E-2</v>
      </c>
      <c r="AE576">
        <v>0.51</v>
      </c>
      <c r="AF576">
        <f t="shared" si="182"/>
        <v>3.6137459053682912</v>
      </c>
      <c r="AG576">
        <f t="shared" si="187"/>
        <v>0.19</v>
      </c>
      <c r="AH576">
        <f t="shared" si="188"/>
        <v>0.6784</v>
      </c>
      <c r="AI576">
        <f>AI561</f>
        <v>0</v>
      </c>
      <c r="AK576">
        <f>AK561</f>
        <v>0.78</v>
      </c>
      <c r="AL576">
        <f>AL561</f>
        <v>100</v>
      </c>
      <c r="AM576">
        <f>AM561</f>
        <v>4.7000000000000002E-3</v>
      </c>
      <c r="AN576">
        <f t="shared" si="189"/>
        <v>0</v>
      </c>
      <c r="AO576">
        <f t="shared" si="190"/>
        <v>2.1892477434262512E-3</v>
      </c>
      <c r="AP576">
        <f t="shared" si="191"/>
        <v>2.1892477434262512E-3</v>
      </c>
      <c r="AQ576">
        <f t="shared" si="192"/>
        <v>79.508004921882886</v>
      </c>
      <c r="AS576">
        <f t="shared" si="193"/>
        <v>0</v>
      </c>
      <c r="AT576">
        <f t="shared" si="183"/>
        <v>5.5466792181811187E-4</v>
      </c>
      <c r="AU576">
        <f t="shared" si="194"/>
        <v>6.7631341841221979E-2</v>
      </c>
      <c r="AV576">
        <f t="shared" si="184"/>
        <v>2456.2012573185793</v>
      </c>
      <c r="AY576">
        <f>AY561</f>
        <v>6.0000000000000001E-3</v>
      </c>
      <c r="BB576">
        <f t="shared" si="195"/>
        <v>0.24</v>
      </c>
    </row>
    <row r="577" spans="7:54" x14ac:dyDescent="0.2">
      <c r="G577" t="s">
        <v>176</v>
      </c>
      <c r="H577" t="s">
        <v>160</v>
      </c>
      <c r="J577">
        <v>91.25</v>
      </c>
      <c r="K577">
        <v>100</v>
      </c>
      <c r="M577">
        <v>215</v>
      </c>
      <c r="O577">
        <v>0.38</v>
      </c>
      <c r="P577">
        <v>550</v>
      </c>
      <c r="Q577">
        <f t="shared" si="185"/>
        <v>0.39090909090909093</v>
      </c>
      <c r="S577">
        <v>0</v>
      </c>
      <c r="T577">
        <v>0</v>
      </c>
      <c r="U577">
        <v>0</v>
      </c>
      <c r="V577">
        <v>0</v>
      </c>
      <c r="W577">
        <f>S577*B563+T577*B564</f>
        <v>0</v>
      </c>
      <c r="X577">
        <f t="shared" si="180"/>
        <v>1</v>
      </c>
      <c r="Y577">
        <f t="shared" si="181"/>
        <v>4.6682571782249997</v>
      </c>
      <c r="Z577">
        <f t="shared" si="186"/>
        <v>1.1207401702973749</v>
      </c>
      <c r="AC577">
        <v>7.1999999999999995E-2</v>
      </c>
      <c r="AE577">
        <v>0.53</v>
      </c>
      <c r="AF577">
        <f t="shared" si="182"/>
        <v>2.1903462680231698</v>
      </c>
      <c r="AG577">
        <f t="shared" si="187"/>
        <v>0.19</v>
      </c>
      <c r="AH577">
        <f t="shared" si="188"/>
        <v>0.6784</v>
      </c>
      <c r="AI577">
        <f>AI561</f>
        <v>0</v>
      </c>
      <c r="AK577">
        <f>AK561</f>
        <v>0.78</v>
      </c>
      <c r="AL577">
        <f>AL561</f>
        <v>100</v>
      </c>
      <c r="AM577">
        <f>AM561</f>
        <v>4.7000000000000002E-3</v>
      </c>
      <c r="AN577">
        <f t="shared" si="189"/>
        <v>0</v>
      </c>
      <c r="AO577">
        <f t="shared" si="190"/>
        <v>1.3269363010466381E-3</v>
      </c>
      <c r="AP577">
        <f t="shared" si="191"/>
        <v>1.3269363010466381E-3</v>
      </c>
      <c r="AQ577">
        <f t="shared" si="192"/>
        <v>12.108293747050572</v>
      </c>
      <c r="AS577">
        <f t="shared" si="193"/>
        <v>0</v>
      </c>
      <c r="AT577">
        <f t="shared" si="183"/>
        <v>8.2517655617558635E-3</v>
      </c>
      <c r="AU577">
        <f t="shared" si="194"/>
        <v>4.4538364723976147E-2</v>
      </c>
      <c r="AV577">
        <f t="shared" si="184"/>
        <v>406.4125781062823</v>
      </c>
      <c r="AY577">
        <f>AY561</f>
        <v>6.0000000000000001E-3</v>
      </c>
      <c r="BB577">
        <f t="shared" si="195"/>
        <v>0.24</v>
      </c>
    </row>
    <row r="578" spans="7:54" x14ac:dyDescent="0.2">
      <c r="G578">
        <v>3</v>
      </c>
      <c r="H578" t="s">
        <v>162</v>
      </c>
      <c r="J578">
        <v>91.25</v>
      </c>
      <c r="K578">
        <v>216</v>
      </c>
      <c r="M578">
        <v>118</v>
      </c>
      <c r="O578">
        <v>0.8</v>
      </c>
      <c r="P578">
        <v>550</v>
      </c>
      <c r="Q578">
        <f t="shared" si="185"/>
        <v>0.21454545454545454</v>
      </c>
      <c r="S578">
        <v>0</v>
      </c>
      <c r="T578">
        <v>0</v>
      </c>
      <c r="U578">
        <f>60/K577</f>
        <v>0.6</v>
      </c>
      <c r="V578">
        <v>0</v>
      </c>
      <c r="W578">
        <f>S578*B563+T578*B564</f>
        <v>0</v>
      </c>
      <c r="X578">
        <f t="shared" si="180"/>
        <v>1</v>
      </c>
      <c r="Y578">
        <f t="shared" si="181"/>
        <v>3.7501004151097597</v>
      </c>
      <c r="Z578">
        <f t="shared" si="186"/>
        <v>1.3215749283936868</v>
      </c>
      <c r="AC578">
        <v>9.9000000000000005E-2</v>
      </c>
      <c r="AE578">
        <v>0.56999999999999995</v>
      </c>
      <c r="AF578">
        <f t="shared" si="182"/>
        <v>1.6215434194934604</v>
      </c>
      <c r="AG578">
        <f t="shared" si="187"/>
        <v>0.19</v>
      </c>
      <c r="AH578">
        <f t="shared" si="188"/>
        <v>0.6784</v>
      </c>
      <c r="AI578">
        <f>AI561</f>
        <v>0</v>
      </c>
      <c r="AK578">
        <f>AK561</f>
        <v>0.78</v>
      </c>
      <c r="AL578">
        <f>AL561</f>
        <v>100</v>
      </c>
      <c r="AM578">
        <f>AM561</f>
        <v>4.7000000000000002E-3</v>
      </c>
      <c r="AN578">
        <f t="shared" si="189"/>
        <v>0</v>
      </c>
      <c r="AO578">
        <f t="shared" si="190"/>
        <v>9.8234916481543667E-4</v>
      </c>
      <c r="AP578">
        <f t="shared" si="191"/>
        <v>9.8234916481543667E-4</v>
      </c>
      <c r="AQ578">
        <f t="shared" si="192"/>
        <v>19.362102038512255</v>
      </c>
      <c r="AS578">
        <f t="shared" si="193"/>
        <v>2.4</v>
      </c>
      <c r="AT578">
        <f t="shared" si="183"/>
        <v>2.136803163396353E-2</v>
      </c>
      <c r="AU578">
        <f t="shared" si="194"/>
        <v>4.9441055177419452E-2</v>
      </c>
      <c r="AV578">
        <f t="shared" si="184"/>
        <v>974.48319754693739</v>
      </c>
      <c r="AY578">
        <f>AY561</f>
        <v>6.0000000000000001E-3</v>
      </c>
      <c r="BB578">
        <f t="shared" si="195"/>
        <v>0.24</v>
      </c>
    </row>
    <row r="579" spans="7:54" x14ac:dyDescent="0.2">
      <c r="H579" t="s">
        <v>163</v>
      </c>
      <c r="J579">
        <v>91.25</v>
      </c>
      <c r="K579">
        <v>209</v>
      </c>
      <c r="M579">
        <v>191</v>
      </c>
      <c r="O579">
        <v>0.49</v>
      </c>
      <c r="P579">
        <v>550</v>
      </c>
      <c r="Q579">
        <f t="shared" si="185"/>
        <v>0.34727272727272729</v>
      </c>
      <c r="S579">
        <v>0</v>
      </c>
      <c r="T579">
        <v>0</v>
      </c>
      <c r="U579">
        <f>70/K578</f>
        <v>0.32407407407407407</v>
      </c>
      <c r="V579">
        <f>60/K578</f>
        <v>0.27777777777777779</v>
      </c>
      <c r="W579">
        <f>S579*B563+T579*B564</f>
        <v>0</v>
      </c>
      <c r="X579">
        <f t="shared" si="180"/>
        <v>1</v>
      </c>
      <c r="Y579">
        <f t="shared" si="181"/>
        <v>4.4590209556323606</v>
      </c>
      <c r="Z579">
        <f t="shared" si="186"/>
        <v>1.1639368688835638</v>
      </c>
      <c r="AC579">
        <v>7.8E-2</v>
      </c>
      <c r="AE579">
        <v>0.55000000000000004</v>
      </c>
      <c r="AF579">
        <f t="shared" si="182"/>
        <v>2.0101266467990682</v>
      </c>
      <c r="AG579">
        <f t="shared" si="187"/>
        <v>0.19</v>
      </c>
      <c r="AH579">
        <f t="shared" si="188"/>
        <v>0.6784</v>
      </c>
      <c r="AI579">
        <f>AI561</f>
        <v>0</v>
      </c>
      <c r="AK579">
        <f>AK561</f>
        <v>0.78</v>
      </c>
      <c r="AL579">
        <f>AL561</f>
        <v>100</v>
      </c>
      <c r="AM579">
        <f>AM561</f>
        <v>4.7000000000000002E-3</v>
      </c>
      <c r="AN579">
        <f t="shared" si="189"/>
        <v>0</v>
      </c>
      <c r="AO579">
        <f t="shared" si="190"/>
        <v>1.2177572360493197E-3</v>
      </c>
      <c r="AP579">
        <f t="shared" si="191"/>
        <v>1.2177572360493197E-3</v>
      </c>
      <c r="AQ579">
        <f t="shared" si="192"/>
        <v>23.224152688005589</v>
      </c>
      <c r="AS579">
        <f t="shared" si="193"/>
        <v>2.1296296296296298</v>
      </c>
      <c r="AT579">
        <f t="shared" si="183"/>
        <v>1.131328937532422E-2</v>
      </c>
      <c r="AU579">
        <f t="shared" si="194"/>
        <v>5.4112571789916512E-2</v>
      </c>
      <c r="AV579">
        <f t="shared" si="184"/>
        <v>1031.9943847484453</v>
      </c>
      <c r="AY579">
        <f>AY561</f>
        <v>6.0000000000000001E-3</v>
      </c>
      <c r="BB579">
        <f t="shared" si="195"/>
        <v>0.24</v>
      </c>
    </row>
    <row r="580" spans="7:54" x14ac:dyDescent="0.2">
      <c r="H580" t="s">
        <v>164</v>
      </c>
      <c r="J580">
        <v>91.25</v>
      </c>
      <c r="K580">
        <v>202</v>
      </c>
      <c r="M580">
        <v>207</v>
      </c>
      <c r="O580">
        <v>0.13</v>
      </c>
      <c r="P580">
        <v>550</v>
      </c>
      <c r="Q580">
        <f t="shared" si="185"/>
        <v>0.37636363636363634</v>
      </c>
      <c r="S580">
        <v>0</v>
      </c>
      <c r="T580">
        <v>0</v>
      </c>
      <c r="U580">
        <v>0</v>
      </c>
      <c r="V580">
        <f>70/M580</f>
        <v>0.33816425120772947</v>
      </c>
      <c r="W580">
        <f>S580*B563+T580*B564</f>
        <v>0</v>
      </c>
      <c r="X580">
        <f t="shared" si="180"/>
        <v>1</v>
      </c>
      <c r="Y580">
        <f t="shared" si="181"/>
        <v>4.2202413448707592</v>
      </c>
      <c r="Z580">
        <f t="shared" si="186"/>
        <v>1.041091689808807</v>
      </c>
      <c r="AC580">
        <v>5.8999999999999997E-2</v>
      </c>
      <c r="AE580">
        <v>0.51</v>
      </c>
      <c r="AF580">
        <f t="shared" si="182"/>
        <v>2.0577896797589821</v>
      </c>
      <c r="AG580">
        <f t="shared" si="187"/>
        <v>0.19</v>
      </c>
      <c r="AH580">
        <f t="shared" si="188"/>
        <v>0.6784</v>
      </c>
      <c r="AI580">
        <f>AI561</f>
        <v>0</v>
      </c>
      <c r="AK580">
        <f>AK561</f>
        <v>0.78</v>
      </c>
      <c r="AL580">
        <f>AL561</f>
        <v>100</v>
      </c>
      <c r="AM580">
        <f>AM561</f>
        <v>4.7000000000000002E-3</v>
      </c>
      <c r="AN580">
        <f t="shared" si="189"/>
        <v>0</v>
      </c>
      <c r="AO580">
        <f t="shared" si="190"/>
        <v>1.246632035242405E-3</v>
      </c>
      <c r="AP580">
        <f t="shared" si="191"/>
        <v>1.246632035242405E-3</v>
      </c>
      <c r="AQ580">
        <f t="shared" si="192"/>
        <v>22.978544989605631</v>
      </c>
      <c r="AS580">
        <f t="shared" si="193"/>
        <v>1.0144927536231885</v>
      </c>
      <c r="AT580">
        <f t="shared" si="183"/>
        <v>2.890731873994387E-3</v>
      </c>
      <c r="AU580">
        <f>MAX((Y580*AC580/6.25)+(0.032*AS580/6.38)-AT580-((1.1*(10^-4)*(M580^0.75))/6.25), 0)</f>
        <v>4.1076226683717194E-2</v>
      </c>
      <c r="AV580">
        <f t="shared" si="184"/>
        <v>757.1375483476171</v>
      </c>
      <c r="AY580">
        <f>AY561</f>
        <v>6.0000000000000001E-3</v>
      </c>
      <c r="BB580">
        <f t="shared" si="195"/>
        <v>0.24</v>
      </c>
    </row>
    <row r="581" spans="7:54" x14ac:dyDescent="0.2">
      <c r="G581" t="s">
        <v>182</v>
      </c>
      <c r="H581" t="s">
        <v>160</v>
      </c>
      <c r="J581">
        <v>91.25</v>
      </c>
      <c r="K581">
        <v>378</v>
      </c>
      <c r="M581">
        <v>519</v>
      </c>
      <c r="O581">
        <v>0.05</v>
      </c>
      <c r="P581">
        <v>550</v>
      </c>
      <c r="Q581">
        <f t="shared" si="185"/>
        <v>0.94363636363636361</v>
      </c>
      <c r="S581">
        <v>0</v>
      </c>
      <c r="T581">
        <v>0</v>
      </c>
      <c r="U581">
        <v>0</v>
      </c>
      <c r="V581">
        <v>0</v>
      </c>
      <c r="W581">
        <f>S581*B563+T581*B564</f>
        <v>0</v>
      </c>
      <c r="X581">
        <f t="shared" si="180"/>
        <v>1</v>
      </c>
      <c r="Y581">
        <f t="shared" si="181"/>
        <v>8.1605714875779611</v>
      </c>
      <c r="Z581">
        <f t="shared" si="186"/>
        <v>1.0111186876277782</v>
      </c>
      <c r="AC581">
        <v>7.1999999999999995E-2</v>
      </c>
      <c r="AE581">
        <v>0.53</v>
      </c>
      <c r="AF581">
        <f t="shared" si="182"/>
        <v>3.8289401419715796</v>
      </c>
      <c r="AG581">
        <f t="shared" si="187"/>
        <v>0.19</v>
      </c>
      <c r="AH581">
        <f t="shared" si="188"/>
        <v>0.6784</v>
      </c>
      <c r="AI581">
        <f>AI561</f>
        <v>0</v>
      </c>
      <c r="AK581">
        <f>AK561</f>
        <v>0.78</v>
      </c>
      <c r="AL581">
        <f>AL561</f>
        <v>100</v>
      </c>
      <c r="AM581">
        <f>AM561</f>
        <v>4.7000000000000002E-3</v>
      </c>
      <c r="AN581">
        <f t="shared" si="189"/>
        <v>0</v>
      </c>
      <c r="AO581">
        <f t="shared" si="190"/>
        <v>2.3196148221359732E-3</v>
      </c>
      <c r="AP581">
        <f t="shared" si="191"/>
        <v>2.3196148221359732E-3</v>
      </c>
      <c r="AQ581">
        <f t="shared" si="192"/>
        <v>80.009314252525058</v>
      </c>
      <c r="AS581">
        <f t="shared" si="193"/>
        <v>0</v>
      </c>
      <c r="AT581">
        <f t="shared" si="183"/>
        <v>5.700952083564642E-4</v>
      </c>
      <c r="AU581">
        <f t="shared" si="194"/>
        <v>9.1525925185920523E-2</v>
      </c>
      <c r="AV581">
        <f t="shared" si="184"/>
        <v>3156.9579744753637</v>
      </c>
      <c r="AY581">
        <f>AY561</f>
        <v>6.0000000000000001E-3</v>
      </c>
      <c r="BB581">
        <f t="shared" si="195"/>
        <v>0.24</v>
      </c>
    </row>
    <row r="582" spans="7:54" x14ac:dyDescent="0.2">
      <c r="G582" t="s">
        <v>196</v>
      </c>
      <c r="H582" t="s">
        <v>162</v>
      </c>
      <c r="J582">
        <v>91.25</v>
      </c>
      <c r="K582">
        <v>485</v>
      </c>
      <c r="M582">
        <v>483</v>
      </c>
      <c r="O582">
        <v>0.49</v>
      </c>
      <c r="P582">
        <v>550</v>
      </c>
      <c r="Q582">
        <f t="shared" si="185"/>
        <v>0.87818181818181817</v>
      </c>
      <c r="S582">
        <v>0.8</v>
      </c>
      <c r="T582">
        <v>0</v>
      </c>
      <c r="U582">
        <v>0</v>
      </c>
      <c r="V582">
        <v>0</v>
      </c>
      <c r="W582">
        <f>S582*B563+T582*B564</f>
        <v>3.2</v>
      </c>
      <c r="X582">
        <f t="shared" si="180"/>
        <v>1.24</v>
      </c>
      <c r="Y582">
        <f t="shared" si="181"/>
        <v>10.61346279890579</v>
      </c>
      <c r="Z582">
        <f t="shared" si="186"/>
        <v>1.1144951293840175</v>
      </c>
      <c r="AC582">
        <v>9.9000000000000005E-2</v>
      </c>
      <c r="AE582">
        <v>0.56999999999999995</v>
      </c>
      <c r="AF582">
        <f t="shared" si="182"/>
        <v>4.5892613142468637</v>
      </c>
      <c r="AG582">
        <f t="shared" si="187"/>
        <v>0.19</v>
      </c>
      <c r="AH582">
        <f t="shared" si="188"/>
        <v>0.6784</v>
      </c>
      <c r="AI582">
        <f>AI561</f>
        <v>0</v>
      </c>
      <c r="AK582">
        <f>AK561</f>
        <v>0.78</v>
      </c>
      <c r="AL582">
        <f>AL561</f>
        <v>100</v>
      </c>
      <c r="AM582">
        <f>AM561</f>
        <v>4.7000000000000002E-3</v>
      </c>
      <c r="AN582">
        <f t="shared" si="189"/>
        <v>0</v>
      </c>
      <c r="AO582">
        <f t="shared" si="190"/>
        <v>2.7802259038974698E-3</v>
      </c>
      <c r="AP582">
        <f t="shared" si="191"/>
        <v>2.7802259038974698E-3</v>
      </c>
      <c r="AQ582">
        <f t="shared" si="192"/>
        <v>123.0423726593624</v>
      </c>
      <c r="AS582">
        <f t="shared" si="193"/>
        <v>0</v>
      </c>
      <c r="AT582">
        <f t="shared" si="183"/>
        <v>2.1813099511497989E-2</v>
      </c>
      <c r="AU582">
        <f t="shared" si="194"/>
        <v>0.14449083721786904</v>
      </c>
      <c r="AV582">
        <f t="shared" si="184"/>
        <v>6394.6226146233175</v>
      </c>
      <c r="AY582">
        <f>AY561</f>
        <v>6.0000000000000001E-3</v>
      </c>
      <c r="BB582">
        <f t="shared" si="195"/>
        <v>0.24</v>
      </c>
    </row>
    <row r="583" spans="7:54" x14ac:dyDescent="0.2">
      <c r="H583" t="s">
        <v>163</v>
      </c>
      <c r="J583">
        <v>91.25</v>
      </c>
      <c r="K583">
        <v>478</v>
      </c>
      <c r="M583">
        <v>506</v>
      </c>
      <c r="O583">
        <v>0.17</v>
      </c>
      <c r="P583">
        <v>550</v>
      </c>
      <c r="Q583">
        <f t="shared" si="185"/>
        <v>0.92</v>
      </c>
      <c r="S583">
        <v>0.1</v>
      </c>
      <c r="T583">
        <v>0.81</v>
      </c>
      <c r="U583">
        <v>0</v>
      </c>
      <c r="V583">
        <v>0</v>
      </c>
      <c r="W583">
        <f>S583*B563+T583*B564</f>
        <v>2.83</v>
      </c>
      <c r="X583">
        <f t="shared" si="180"/>
        <v>1.1110000000000002</v>
      </c>
      <c r="Y583">
        <f t="shared" si="181"/>
        <v>9.1518106666204808</v>
      </c>
      <c r="Z583">
        <f t="shared" si="186"/>
        <v>1.0383867729642355</v>
      </c>
      <c r="AC583">
        <v>7.8E-2</v>
      </c>
      <c r="AE583">
        <v>0.55000000000000004</v>
      </c>
      <c r="AF583">
        <f t="shared" si="182"/>
        <v>4.125636248512512</v>
      </c>
      <c r="AG583">
        <f t="shared" si="187"/>
        <v>0.19</v>
      </c>
      <c r="AH583">
        <f t="shared" si="188"/>
        <v>0.6784</v>
      </c>
      <c r="AI583">
        <f>AI561</f>
        <v>0</v>
      </c>
      <c r="AK583">
        <f>AK561</f>
        <v>0.78</v>
      </c>
      <c r="AL583">
        <f>AL561</f>
        <v>100</v>
      </c>
      <c r="AM583">
        <f>AM561</f>
        <v>4.7000000000000002E-3</v>
      </c>
      <c r="AN583">
        <f t="shared" si="189"/>
        <v>0</v>
      </c>
      <c r="AO583">
        <f t="shared" si="190"/>
        <v>2.4993566464748635E-3</v>
      </c>
      <c r="AP583">
        <f t="shared" si="191"/>
        <v>2.4993566464748635E-3</v>
      </c>
      <c r="AQ583">
        <f t="shared" si="192"/>
        <v>109.01568852761736</v>
      </c>
      <c r="AS583">
        <f t="shared" si="193"/>
        <v>0</v>
      </c>
      <c r="AT583">
        <f t="shared" si="183"/>
        <v>1.6152382750595554E-2</v>
      </c>
      <c r="AU583">
        <f t="shared" si="194"/>
        <v>9.6184517182726609E-2</v>
      </c>
      <c r="AV583">
        <f t="shared" si="184"/>
        <v>4195.3281782175782</v>
      </c>
      <c r="AY583">
        <f>AY561</f>
        <v>6.0000000000000001E-3</v>
      </c>
      <c r="BB583">
        <f t="shared" si="195"/>
        <v>0.24</v>
      </c>
    </row>
    <row r="584" spans="7:54" x14ac:dyDescent="0.2">
      <c r="H584" t="s">
        <v>164</v>
      </c>
      <c r="J584">
        <v>91.25</v>
      </c>
      <c r="K584">
        <v>291</v>
      </c>
      <c r="M584">
        <v>514</v>
      </c>
      <c r="O584">
        <v>7.0000000000000007E-2</v>
      </c>
      <c r="P584">
        <v>550</v>
      </c>
      <c r="Q584">
        <f t="shared" si="185"/>
        <v>0.93454545454545457</v>
      </c>
      <c r="S584">
        <v>0</v>
      </c>
      <c r="T584">
        <v>0.05</v>
      </c>
      <c r="U584">
        <v>0</v>
      </c>
      <c r="V584">
        <v>0</v>
      </c>
      <c r="W584">
        <f>S584*B563+T584*B564</f>
        <v>0.15000000000000002</v>
      </c>
      <c r="X584">
        <f t="shared" si="180"/>
        <v>1.0049999999999999</v>
      </c>
      <c r="Y584">
        <f t="shared" si="181"/>
        <v>8.1843240028249618</v>
      </c>
      <c r="Z584">
        <f t="shared" si="186"/>
        <v>1.0156345934758819</v>
      </c>
      <c r="AC584">
        <v>5.8999999999999997E-2</v>
      </c>
      <c r="AE584">
        <v>0.51</v>
      </c>
      <c r="AF584">
        <f t="shared" si="182"/>
        <v>3.9906763837774513</v>
      </c>
      <c r="AG584">
        <f t="shared" si="187"/>
        <v>0.19</v>
      </c>
      <c r="AH584">
        <f t="shared" si="188"/>
        <v>0.6784</v>
      </c>
      <c r="AI584">
        <f>AI561</f>
        <v>0</v>
      </c>
      <c r="AK584">
        <f>AK561</f>
        <v>0.78</v>
      </c>
      <c r="AL584">
        <f>AL561</f>
        <v>100</v>
      </c>
      <c r="AM584">
        <f>AM561</f>
        <v>4.7000000000000002E-3</v>
      </c>
      <c r="AN584">
        <f t="shared" si="189"/>
        <v>0</v>
      </c>
      <c r="AO584">
        <f t="shared" si="190"/>
        <v>2.4175964488678784E-3</v>
      </c>
      <c r="AP584">
        <f t="shared" si="191"/>
        <v>2.4175964488678784E-3</v>
      </c>
      <c r="AQ584">
        <f t="shared" si="192"/>
        <v>64.19625170412543</v>
      </c>
      <c r="AS584">
        <f t="shared" si="193"/>
        <v>0</v>
      </c>
      <c r="AT584">
        <f t="shared" si="183"/>
        <v>1.5535004138732067E-3</v>
      </c>
      <c r="AU584">
        <f t="shared" si="194"/>
        <v>7.3806599517689253E-2</v>
      </c>
      <c r="AV584">
        <f t="shared" si="184"/>
        <v>1959.8419919428409</v>
      </c>
      <c r="AY584">
        <f>AY561</f>
        <v>6.0000000000000001E-3</v>
      </c>
      <c r="BB584">
        <f t="shared" si="195"/>
        <v>0.24</v>
      </c>
    </row>
    <row r="585" spans="7:54" x14ac:dyDescent="0.2">
      <c r="G585" t="s">
        <v>187</v>
      </c>
      <c r="H585" t="s">
        <v>160</v>
      </c>
      <c r="J585">
        <v>91.25</v>
      </c>
      <c r="K585">
        <v>77</v>
      </c>
      <c r="M585">
        <v>455</v>
      </c>
      <c r="O585">
        <v>0.55000000000000004</v>
      </c>
      <c r="P585">
        <v>660</v>
      </c>
      <c r="Q585">
        <f t="shared" si="185"/>
        <v>0.68939393939393945</v>
      </c>
      <c r="S585">
        <v>0</v>
      </c>
      <c r="T585">
        <v>0</v>
      </c>
      <c r="U585">
        <v>0</v>
      </c>
      <c r="V585">
        <v>0</v>
      </c>
      <c r="W585">
        <f>S585*B563+T585*B564</f>
        <v>0</v>
      </c>
      <c r="X585">
        <f t="shared" si="180"/>
        <v>1</v>
      </c>
      <c r="Y585">
        <f t="shared" si="181"/>
        <v>8.3271779192250008</v>
      </c>
      <c r="Z585">
        <f>Y585 / ((1.185 + 0.00454 * M585 - 0.0000026 * M585 ^ 2) ^ 2 * X585)</f>
        <v>1.1318246926968494</v>
      </c>
      <c r="AC585">
        <v>7.1999999999999995E-2</v>
      </c>
      <c r="AE585">
        <v>0.53</v>
      </c>
      <c r="AF585">
        <f t="shared" si="182"/>
        <v>3.9071118797003699</v>
      </c>
      <c r="AG585">
        <f t="shared" si="187"/>
        <v>0.19</v>
      </c>
      <c r="AH585">
        <f t="shared" si="188"/>
        <v>0.6784</v>
      </c>
      <c r="AI585">
        <f>AI561</f>
        <v>0</v>
      </c>
      <c r="AK585">
        <f>AK561</f>
        <v>0.78</v>
      </c>
      <c r="AL585">
        <f>AL561</f>
        <v>100</v>
      </c>
      <c r="AM585">
        <f>AM561</f>
        <v>4.7000000000000002E-3</v>
      </c>
      <c r="AN585">
        <f t="shared" si="189"/>
        <v>0</v>
      </c>
      <c r="AO585">
        <f t="shared" si="190"/>
        <v>2.3669721363755369E-3</v>
      </c>
      <c r="AP585">
        <f t="shared" si="191"/>
        <v>2.3669721363755369E-3</v>
      </c>
      <c r="AQ585">
        <f t="shared" si="192"/>
        <v>16.630937973208614</v>
      </c>
      <c r="AS585">
        <f t="shared" si="193"/>
        <v>0</v>
      </c>
      <c r="AT585">
        <f t="shared" si="183"/>
        <v>7.6109530821114203E-3</v>
      </c>
      <c r="AU585">
        <f t="shared" si="194"/>
        <v>8.6584247851126409E-2</v>
      </c>
      <c r="AV585">
        <f t="shared" si="184"/>
        <v>608.36257146397691</v>
      </c>
      <c r="AY585">
        <f>AY561</f>
        <v>6.0000000000000001E-3</v>
      </c>
      <c r="BB585">
        <f t="shared" si="195"/>
        <v>0.24</v>
      </c>
    </row>
    <row r="586" spans="7:54" x14ac:dyDescent="0.2">
      <c r="G586" t="s">
        <v>197</v>
      </c>
      <c r="H586" t="s">
        <v>162</v>
      </c>
      <c r="J586">
        <v>91.25</v>
      </c>
      <c r="K586">
        <v>169</v>
      </c>
      <c r="M586">
        <v>304</v>
      </c>
      <c r="O586">
        <v>0.51</v>
      </c>
      <c r="P586">
        <v>660</v>
      </c>
      <c r="Q586">
        <f t="shared" si="185"/>
        <v>0.46060606060606063</v>
      </c>
      <c r="S586">
        <v>0</v>
      </c>
      <c r="T586">
        <v>0</v>
      </c>
      <c r="U586">
        <v>0</v>
      </c>
      <c r="V586">
        <v>0</v>
      </c>
      <c r="W586">
        <f>S586*B563+T586*B564</f>
        <v>0</v>
      </c>
      <c r="X586">
        <f t="shared" si="180"/>
        <v>1</v>
      </c>
      <c r="Y586">
        <f t="shared" si="181"/>
        <v>6.1778514272065586</v>
      </c>
      <c r="Z586">
        <f t="shared" si="186"/>
        <v>1.1429756400882067</v>
      </c>
      <c r="AC586">
        <v>9.9000000000000005E-2</v>
      </c>
      <c r="AE586">
        <v>0.56999999999999995</v>
      </c>
      <c r="AF586">
        <f t="shared" si="182"/>
        <v>2.6713029571241167</v>
      </c>
      <c r="AG586">
        <f t="shared" si="187"/>
        <v>0.19</v>
      </c>
      <c r="AH586">
        <f t="shared" si="188"/>
        <v>0.6784</v>
      </c>
      <c r="AI586">
        <f>AI561</f>
        <v>0</v>
      </c>
      <c r="AK586">
        <f>AK561</f>
        <v>0.78</v>
      </c>
      <c r="AL586">
        <f>AL561</f>
        <v>100</v>
      </c>
      <c r="AM586">
        <f>AM561</f>
        <v>4.7000000000000002E-3</v>
      </c>
      <c r="AN586">
        <f t="shared" si="189"/>
        <v>0</v>
      </c>
      <c r="AO586">
        <f t="shared" si="190"/>
        <v>1.6183052500189099E-3</v>
      </c>
      <c r="AP586">
        <f t="shared" si="191"/>
        <v>1.6183052500189099E-3</v>
      </c>
      <c r="AQ586">
        <f t="shared" si="192"/>
        <v>24.956289836854115</v>
      </c>
      <c r="AS586">
        <f t="shared" si="193"/>
        <v>0</v>
      </c>
      <c r="AT586">
        <f t="shared" si="183"/>
        <v>9.9262246584390958E-3</v>
      </c>
      <c r="AU586">
        <f t="shared" si="194"/>
        <v>8.6649591705726156E-2</v>
      </c>
      <c r="AV586">
        <f t="shared" si="184"/>
        <v>1336.2450160919295</v>
      </c>
      <c r="AY586">
        <f>AY561</f>
        <v>6.0000000000000001E-3</v>
      </c>
      <c r="BB586">
        <f t="shared" si="195"/>
        <v>0.24</v>
      </c>
    </row>
    <row r="587" spans="7:54" x14ac:dyDescent="0.2">
      <c r="H587" t="s">
        <v>163</v>
      </c>
      <c r="J587">
        <v>91.25</v>
      </c>
      <c r="K587">
        <v>162</v>
      </c>
      <c r="M587">
        <v>326</v>
      </c>
      <c r="O587">
        <v>0.64</v>
      </c>
      <c r="P587">
        <v>660</v>
      </c>
      <c r="Q587">
        <f t="shared" si="185"/>
        <v>0.49393939393939396</v>
      </c>
      <c r="S587">
        <v>0</v>
      </c>
      <c r="T587">
        <v>0</v>
      </c>
      <c r="U587">
        <v>0</v>
      </c>
      <c r="V587">
        <v>0</v>
      </c>
      <c r="W587">
        <f>S587*B563+T587*B564</f>
        <v>0</v>
      </c>
      <c r="X587">
        <f t="shared" si="180"/>
        <v>1</v>
      </c>
      <c r="Y587">
        <f t="shared" si="181"/>
        <v>6.7097701359417616</v>
      </c>
      <c r="Z587">
        <f t="shared" si="186"/>
        <v>1.1759159416902873</v>
      </c>
      <c r="AC587">
        <v>7.8E-2</v>
      </c>
      <c r="AE587">
        <v>0.55000000000000004</v>
      </c>
      <c r="AF587">
        <f t="shared" si="182"/>
        <v>3.0247643772825459</v>
      </c>
      <c r="AG587">
        <f t="shared" si="187"/>
        <v>0.19</v>
      </c>
      <c r="AH587">
        <f t="shared" si="188"/>
        <v>0.6784</v>
      </c>
      <c r="AI587">
        <f>AI561</f>
        <v>0</v>
      </c>
      <c r="AK587">
        <f>AK561</f>
        <v>0.78</v>
      </c>
      <c r="AL587">
        <f>AL561</f>
        <v>100</v>
      </c>
      <c r="AM587">
        <f>AM561</f>
        <v>4.7000000000000002E-3</v>
      </c>
      <c r="AN587">
        <f t="shared" si="189"/>
        <v>0</v>
      </c>
      <c r="AO587">
        <f t="shared" si="190"/>
        <v>1.832436137118792E-3</v>
      </c>
      <c r="AP587">
        <f t="shared" si="191"/>
        <v>1.832436137118792E-3</v>
      </c>
      <c r="AQ587">
        <f t="shared" si="192"/>
        <v>27.087987196958544</v>
      </c>
      <c r="AS587">
        <f t="shared" si="193"/>
        <v>0</v>
      </c>
      <c r="AT587">
        <f t="shared" si="183"/>
        <v>1.1792026119480725E-2</v>
      </c>
      <c r="AU587">
        <f t="shared" si="194"/>
        <v>7.0595618856754541E-2</v>
      </c>
      <c r="AV587">
        <f t="shared" si="184"/>
        <v>1043.5797357499741</v>
      </c>
      <c r="AY587">
        <f>AY561</f>
        <v>6.0000000000000001E-3</v>
      </c>
      <c r="BB587">
        <f t="shared" si="195"/>
        <v>0.24</v>
      </c>
    </row>
    <row r="588" spans="7:54" x14ac:dyDescent="0.2">
      <c r="H588" t="s">
        <v>164</v>
      </c>
      <c r="J588">
        <v>91.25</v>
      </c>
      <c r="K588">
        <v>143</v>
      </c>
      <c r="M588">
        <v>421</v>
      </c>
      <c r="O588">
        <v>0.71</v>
      </c>
      <c r="P588">
        <v>660</v>
      </c>
      <c r="Q588">
        <f t="shared" si="185"/>
        <v>0.63787878787878793</v>
      </c>
      <c r="S588">
        <v>0</v>
      </c>
      <c r="T588">
        <v>0</v>
      </c>
      <c r="U588">
        <v>0</v>
      </c>
      <c r="V588">
        <v>0</v>
      </c>
      <c r="W588">
        <f>S588*B563+T588*B564</f>
        <v>0</v>
      </c>
      <c r="X588">
        <f t="shared" si="180"/>
        <v>1</v>
      </c>
      <c r="Y588">
        <f t="shared" si="181"/>
        <v>8.1748153478995587</v>
      </c>
      <c r="Z588">
        <f t="shared" si="186"/>
        <v>1.1769214936444259</v>
      </c>
      <c r="AC588">
        <v>5.8999999999999997E-2</v>
      </c>
      <c r="AE588">
        <v>0.51</v>
      </c>
      <c r="AF588">
        <f t="shared" si="182"/>
        <v>3.9860399636358248</v>
      </c>
      <c r="AG588">
        <f t="shared" si="187"/>
        <v>0.19</v>
      </c>
      <c r="AH588">
        <f t="shared" si="188"/>
        <v>0.6784</v>
      </c>
      <c r="AI588">
        <f>AI561</f>
        <v>0</v>
      </c>
      <c r="AK588">
        <f>AK561</f>
        <v>0.78</v>
      </c>
      <c r="AL588">
        <f>AL561</f>
        <v>100</v>
      </c>
      <c r="AM588">
        <f>AM561</f>
        <v>4.7000000000000002E-3</v>
      </c>
      <c r="AN588">
        <f t="shared" si="189"/>
        <v>0</v>
      </c>
      <c r="AO588">
        <f t="shared" si="190"/>
        <v>2.4147876536181755E-3</v>
      </c>
      <c r="AP588">
        <f t="shared" si="191"/>
        <v>2.4147876536181755E-3</v>
      </c>
      <c r="AQ588">
        <f t="shared" si="192"/>
        <v>31.509960395150166</v>
      </c>
      <c r="AS588">
        <f t="shared" si="193"/>
        <v>0</v>
      </c>
      <c r="AT588">
        <f t="shared" si="183"/>
        <v>1.0489622866782738E-2</v>
      </c>
      <c r="AU588">
        <f t="shared" si="194"/>
        <v>6.5044856481668051E-2</v>
      </c>
      <c r="AV588">
        <f t="shared" si="184"/>
        <v>848.75407101516589</v>
      </c>
      <c r="AY588">
        <f>AY561</f>
        <v>6.0000000000000001E-3</v>
      </c>
      <c r="BB588">
        <f t="shared" si="195"/>
        <v>0.24</v>
      </c>
    </row>
    <row r="589" spans="7:54" x14ac:dyDescent="0.2">
      <c r="G589" t="s">
        <v>188</v>
      </c>
      <c r="H589" t="s">
        <v>160</v>
      </c>
      <c r="J589">
        <v>91.25</v>
      </c>
      <c r="K589">
        <v>94</v>
      </c>
      <c r="M589">
        <v>551</v>
      </c>
      <c r="O589">
        <v>0.19</v>
      </c>
      <c r="P589">
        <v>660</v>
      </c>
      <c r="Q589">
        <f t="shared" si="185"/>
        <v>0.83484848484848484</v>
      </c>
      <c r="S589">
        <v>0</v>
      </c>
      <c r="T589">
        <v>0</v>
      </c>
      <c r="U589">
        <v>0</v>
      </c>
      <c r="V589">
        <v>0</v>
      </c>
      <c r="W589">
        <f>S589*B563+T589*B564</f>
        <v>0</v>
      </c>
      <c r="X589">
        <f t="shared" si="180"/>
        <v>1</v>
      </c>
      <c r="Y589">
        <f t="shared" si="181"/>
        <v>8.7440110443507599</v>
      </c>
      <c r="Z589">
        <f t="shared" si="186"/>
        <v>1.0417428299548797</v>
      </c>
      <c r="AC589">
        <v>7.1999999999999995E-2</v>
      </c>
      <c r="AE589">
        <v>0.53</v>
      </c>
      <c r="AF589">
        <f t="shared" si="182"/>
        <v>4.1026899820093767</v>
      </c>
      <c r="AG589">
        <f t="shared" si="187"/>
        <v>0.19</v>
      </c>
      <c r="AH589">
        <f t="shared" si="188"/>
        <v>0.6784</v>
      </c>
      <c r="AI589">
        <f>AI561</f>
        <v>0</v>
      </c>
      <c r="AK589">
        <f>AK561</f>
        <v>0.78</v>
      </c>
      <c r="AL589">
        <f>AL561</f>
        <v>100</v>
      </c>
      <c r="AM589">
        <f>AM561</f>
        <v>4.7000000000000002E-3</v>
      </c>
      <c r="AN589">
        <f t="shared" si="189"/>
        <v>0</v>
      </c>
      <c r="AO589">
        <f t="shared" si="190"/>
        <v>2.4854555412290795E-3</v>
      </c>
      <c r="AP589">
        <f t="shared" si="191"/>
        <v>2.4854555412290795E-3</v>
      </c>
      <c r="AQ589">
        <f t="shared" si="192"/>
        <v>21.318994904892428</v>
      </c>
      <c r="AS589">
        <f t="shared" si="193"/>
        <v>0</v>
      </c>
      <c r="AT589">
        <f t="shared" si="183"/>
        <v>2.296825568516782E-3</v>
      </c>
      <c r="AU589">
        <f t="shared" si="194"/>
        <v>9.6432585927416423E-2</v>
      </c>
      <c r="AV589">
        <f t="shared" si="184"/>
        <v>827.15050579241438</v>
      </c>
      <c r="AY589">
        <f>AY561</f>
        <v>6.0000000000000001E-3</v>
      </c>
      <c r="BB589">
        <f t="shared" si="195"/>
        <v>0.24</v>
      </c>
    </row>
    <row r="590" spans="7:54" x14ac:dyDescent="0.2">
      <c r="G590" t="s">
        <v>198</v>
      </c>
      <c r="H590" t="s">
        <v>162</v>
      </c>
      <c r="J590">
        <v>91.25</v>
      </c>
      <c r="K590">
        <v>162</v>
      </c>
      <c r="M590">
        <v>521</v>
      </c>
      <c r="O590">
        <v>0.36</v>
      </c>
      <c r="P590">
        <v>660</v>
      </c>
      <c r="Q590">
        <f t="shared" si="185"/>
        <v>0.78939393939393943</v>
      </c>
      <c r="S590">
        <v>0</v>
      </c>
      <c r="T590">
        <v>0</v>
      </c>
      <c r="U590">
        <v>0</v>
      </c>
      <c r="V590">
        <v>0</v>
      </c>
      <c r="W590">
        <f>S590*B563+T590*B564</f>
        <v>0</v>
      </c>
      <c r="X590">
        <f t="shared" si="180"/>
        <v>1</v>
      </c>
      <c r="Y590">
        <f t="shared" si="181"/>
        <v>8.7497249544435594</v>
      </c>
      <c r="Z590">
        <f t="shared" si="186"/>
        <v>1.0813194259418706</v>
      </c>
      <c r="AC590">
        <v>9.9000000000000005E-2</v>
      </c>
      <c r="AE590">
        <v>0.56999999999999995</v>
      </c>
      <c r="AF590">
        <f t="shared" si="182"/>
        <v>3.7833810703013957</v>
      </c>
      <c r="AG590">
        <f t="shared" si="187"/>
        <v>0.19</v>
      </c>
      <c r="AH590">
        <f t="shared" si="188"/>
        <v>0.6784</v>
      </c>
      <c r="AI590">
        <f>AI561</f>
        <v>0</v>
      </c>
      <c r="AK590">
        <f>AK561</f>
        <v>0.78</v>
      </c>
      <c r="AL590">
        <f>AL561</f>
        <v>100</v>
      </c>
      <c r="AM590">
        <f>AM561</f>
        <v>4.7000000000000002E-3</v>
      </c>
      <c r="AN590">
        <f t="shared" si="189"/>
        <v>0</v>
      </c>
      <c r="AO590">
        <f t="shared" si="190"/>
        <v>2.2920146262565728E-3</v>
      </c>
      <c r="AP590">
        <f t="shared" si="191"/>
        <v>2.2920146262565728E-3</v>
      </c>
      <c r="AQ590">
        <f t="shared" si="192"/>
        <v>33.881706212637788</v>
      </c>
      <c r="AS590">
        <f t="shared" si="193"/>
        <v>0</v>
      </c>
      <c r="AT590">
        <f t="shared" si="183"/>
        <v>4.5037744910443409E-3</v>
      </c>
      <c r="AU590">
        <f>MAX((Y590*AC590/6.25)+(0.032*AS590/6.38)-AT590-((1.1*(10^-4)*(M590^0.75))/6.25), 0)</f>
        <v>0.1321725771974131</v>
      </c>
      <c r="AV590">
        <f t="shared" si="184"/>
        <v>1953.8411224207591</v>
      </c>
      <c r="AY590">
        <f>AY561</f>
        <v>6.0000000000000001E-3</v>
      </c>
      <c r="BB590">
        <f t="shared" si="195"/>
        <v>0.24</v>
      </c>
    </row>
    <row r="591" spans="7:54" x14ac:dyDescent="0.2">
      <c r="H591" t="s">
        <v>163</v>
      </c>
      <c r="J591">
        <v>91.25</v>
      </c>
      <c r="K591">
        <v>146</v>
      </c>
      <c r="M591">
        <v>520</v>
      </c>
      <c r="O591">
        <v>-0.05</v>
      </c>
      <c r="P591">
        <v>660</v>
      </c>
      <c r="Q591">
        <f t="shared" si="185"/>
        <v>0.78787878787878785</v>
      </c>
      <c r="S591">
        <v>0</v>
      </c>
      <c r="T591">
        <v>0</v>
      </c>
      <c r="U591">
        <v>0</v>
      </c>
      <c r="V591">
        <v>0</v>
      </c>
      <c r="W591">
        <f>S591*B563+T591*B564</f>
        <v>0</v>
      </c>
      <c r="X591">
        <f t="shared" si="180"/>
        <v>1</v>
      </c>
      <c r="Y591">
        <f t="shared" si="181"/>
        <v>7.9919855400999973</v>
      </c>
      <c r="Z591">
        <f t="shared" si="186"/>
        <v>0.98894991527516096</v>
      </c>
      <c r="AC591">
        <v>7.8E-2</v>
      </c>
      <c r="AE591">
        <v>0.55000000000000004</v>
      </c>
      <c r="AF591">
        <f t="shared" si="182"/>
        <v>3.6027870814770786</v>
      </c>
      <c r="AG591">
        <f t="shared" si="187"/>
        <v>0.19</v>
      </c>
      <c r="AH591">
        <f t="shared" si="188"/>
        <v>0.6784</v>
      </c>
      <c r="AI591">
        <f>AI561</f>
        <v>0</v>
      </c>
      <c r="AK591">
        <f>AK561</f>
        <v>0.78</v>
      </c>
      <c r="AL591">
        <f>AL561</f>
        <v>100</v>
      </c>
      <c r="AM591">
        <f>AM561</f>
        <v>4.7000000000000002E-3</v>
      </c>
      <c r="AN591">
        <f t="shared" si="189"/>
        <v>0</v>
      </c>
      <c r="AO591">
        <f t="shared" si="190"/>
        <v>2.1826087651741267E-3</v>
      </c>
      <c r="AP591">
        <f t="shared" si="191"/>
        <v>2.1826087651741267E-3</v>
      </c>
      <c r="AQ591">
        <f t="shared" si="192"/>
        <v>29.077805274032304</v>
      </c>
      <c r="AS591">
        <f t="shared" si="193"/>
        <v>0</v>
      </c>
      <c r="AT591">
        <f t="shared" si="183"/>
        <v>-6.2680316201784163E-4</v>
      </c>
      <c r="AU591">
        <f t="shared" si="194"/>
        <v>9.8450254671713686E-2</v>
      </c>
      <c r="AV591">
        <f t="shared" si="184"/>
        <v>1311.6035178639056</v>
      </c>
      <c r="AY591">
        <f>AY561</f>
        <v>6.0000000000000001E-3</v>
      </c>
      <c r="BB591">
        <f t="shared" si="195"/>
        <v>0.24</v>
      </c>
    </row>
    <row r="592" spans="7:54" x14ac:dyDescent="0.2">
      <c r="H592" t="s">
        <v>164</v>
      </c>
      <c r="J592">
        <v>91.25</v>
      </c>
      <c r="K592">
        <v>76</v>
      </c>
      <c r="M592">
        <v>512</v>
      </c>
      <c r="O592">
        <v>0.17</v>
      </c>
      <c r="P592">
        <v>660</v>
      </c>
      <c r="Q592">
        <f t="shared" si="185"/>
        <v>0.77575757575757576</v>
      </c>
      <c r="S592">
        <v>0</v>
      </c>
      <c r="T592">
        <v>0</v>
      </c>
      <c r="U592">
        <v>0</v>
      </c>
      <c r="V592">
        <v>0</v>
      </c>
      <c r="W592">
        <f>S592*B563+T592*B564</f>
        <v>0</v>
      </c>
      <c r="X592">
        <f t="shared" si="180"/>
        <v>1</v>
      </c>
      <c r="Y592">
        <f t="shared" si="181"/>
        <v>8.3027863747713582</v>
      </c>
      <c r="Z592">
        <f t="shared" si="186"/>
        <v>1.0382311338688011</v>
      </c>
      <c r="AC592">
        <v>5.8999999999999997E-2</v>
      </c>
      <c r="AE592">
        <v>0.51</v>
      </c>
      <c r="AF592">
        <f t="shared" si="182"/>
        <v>4.0484386363385143</v>
      </c>
      <c r="AG592">
        <f t="shared" si="187"/>
        <v>0.19</v>
      </c>
      <c r="AH592">
        <f t="shared" si="188"/>
        <v>0.6784</v>
      </c>
      <c r="AI592">
        <f>AI561</f>
        <v>0</v>
      </c>
      <c r="AK592">
        <f>AK561</f>
        <v>0.78</v>
      </c>
      <c r="AL592">
        <f>AL561</f>
        <v>100</v>
      </c>
      <c r="AM592">
        <f>AM561</f>
        <v>4.7000000000000002E-3</v>
      </c>
      <c r="AN592">
        <f t="shared" si="189"/>
        <v>0</v>
      </c>
      <c r="AO592">
        <f t="shared" si="190"/>
        <v>2.4525894684065989E-3</v>
      </c>
      <c r="AP592">
        <f t="shared" si="191"/>
        <v>2.4525894684065989E-3</v>
      </c>
      <c r="AQ592">
        <f t="shared" si="192"/>
        <v>17.008707963399765</v>
      </c>
      <c r="AS592">
        <f t="shared" si="193"/>
        <v>0</v>
      </c>
      <c r="AT592">
        <f t="shared" si="183"/>
        <v>2.1526835071897584E-3</v>
      </c>
      <c r="AU592">
        <f t="shared" si="194"/>
        <v>7.4331248426368277E-2</v>
      </c>
      <c r="AV592">
        <f t="shared" si="184"/>
        <v>515.48720783686406</v>
      </c>
      <c r="AY592">
        <f>AY561</f>
        <v>6.0000000000000001E-3</v>
      </c>
      <c r="BB592">
        <f t="shared" si="195"/>
        <v>0.24</v>
      </c>
    </row>
    <row r="593" spans="7:54" x14ac:dyDescent="0.2">
      <c r="G593" t="s">
        <v>186</v>
      </c>
      <c r="H593" t="s">
        <v>160</v>
      </c>
      <c r="J593">
        <v>91.25</v>
      </c>
      <c r="K593">
        <v>63</v>
      </c>
      <c r="M593">
        <v>234</v>
      </c>
      <c r="O593">
        <v>0.52</v>
      </c>
      <c r="P593">
        <v>660</v>
      </c>
      <c r="Q593">
        <f t="shared" si="185"/>
        <v>0.35454545454545455</v>
      </c>
      <c r="S593">
        <v>0</v>
      </c>
      <c r="T593">
        <v>0</v>
      </c>
      <c r="U593">
        <f>27/K593</f>
        <v>0.42857142857142855</v>
      </c>
      <c r="V593">
        <v>0</v>
      </c>
      <c r="W593">
        <f>S593*B563+T593*B564</f>
        <v>0</v>
      </c>
      <c r="X593">
        <f t="shared" si="180"/>
        <v>1</v>
      </c>
      <c r="Y593">
        <f t="shared" si="181"/>
        <v>5.1474280294713601</v>
      </c>
      <c r="Z593">
        <f t="shared" si="186"/>
        <v>1.1616850316396852</v>
      </c>
      <c r="AC593">
        <v>7.1999999999999995E-2</v>
      </c>
      <c r="AE593">
        <v>0.53</v>
      </c>
      <c r="AF593">
        <f t="shared" si="182"/>
        <v>2.4151732314279624</v>
      </c>
      <c r="AG593">
        <f t="shared" si="187"/>
        <v>0.19</v>
      </c>
      <c r="AH593">
        <f t="shared" si="188"/>
        <v>0.6784</v>
      </c>
      <c r="AI593">
        <f>AI561</f>
        <v>0</v>
      </c>
      <c r="AK593">
        <f>AK561</f>
        <v>0.78</v>
      </c>
      <c r="AL593">
        <f>AL561</f>
        <v>100</v>
      </c>
      <c r="AM593">
        <f>AM561</f>
        <v>4.7000000000000002E-3</v>
      </c>
      <c r="AN593">
        <f t="shared" si="189"/>
        <v>0</v>
      </c>
      <c r="AO593">
        <f t="shared" si="190"/>
        <v>1.4631389935392516E-3</v>
      </c>
      <c r="AP593">
        <f t="shared" si="191"/>
        <v>1.4631389935392516E-3</v>
      </c>
      <c r="AQ593">
        <f t="shared" si="192"/>
        <v>8.4112202891087726</v>
      </c>
      <c r="AS593">
        <f t="shared" si="193"/>
        <v>1.7142857142857142</v>
      </c>
      <c r="AT593">
        <f t="shared" si="183"/>
        <v>1.188685719664242E-2</v>
      </c>
      <c r="AU593">
        <f t="shared" si="194"/>
        <v>5.4956821194868673E-2</v>
      </c>
      <c r="AV593">
        <f t="shared" si="184"/>
        <v>315.93302584400129</v>
      </c>
      <c r="AY593">
        <f>AY561</f>
        <v>6.0000000000000001E-3</v>
      </c>
      <c r="BB593">
        <f t="shared" si="195"/>
        <v>0.24</v>
      </c>
    </row>
    <row r="594" spans="7:54" x14ac:dyDescent="0.2">
      <c r="G594">
        <v>6</v>
      </c>
      <c r="H594" t="s">
        <v>162</v>
      </c>
      <c r="J594">
        <v>91.25</v>
      </c>
      <c r="K594">
        <v>140</v>
      </c>
      <c r="M594">
        <v>111</v>
      </c>
      <c r="O594">
        <v>0.84</v>
      </c>
      <c r="P594">
        <v>660</v>
      </c>
      <c r="Q594">
        <f t="shared" si="185"/>
        <v>0.16818181818181818</v>
      </c>
      <c r="S594">
        <v>0</v>
      </c>
      <c r="T594">
        <v>0</v>
      </c>
      <c r="U594">
        <f>51/K594</f>
        <v>0.36428571428571427</v>
      </c>
      <c r="V594">
        <f>27/K594</f>
        <v>0.19285714285714287</v>
      </c>
      <c r="W594">
        <f>S594*B563+T594*B564</f>
        <v>0</v>
      </c>
      <c r="X594">
        <f t="shared" si="180"/>
        <v>1</v>
      </c>
      <c r="Y594">
        <f t="shared" si="181"/>
        <v>3.69218300222916</v>
      </c>
      <c r="Z594">
        <f t="shared" si="186"/>
        <v>1.3448931819484451</v>
      </c>
      <c r="AC594">
        <v>9.9000000000000005E-2</v>
      </c>
      <c r="AE594">
        <v>0.56999999999999995</v>
      </c>
      <c r="AF594">
        <f t="shared" si="182"/>
        <v>1.5964999301638889</v>
      </c>
      <c r="AG594">
        <f t="shared" si="187"/>
        <v>0.19</v>
      </c>
      <c r="AH594">
        <f t="shared" si="188"/>
        <v>0.6784</v>
      </c>
      <c r="AI594">
        <f>AI561</f>
        <v>0</v>
      </c>
      <c r="AK594">
        <f>AK561</f>
        <v>0.78</v>
      </c>
      <c r="AL594">
        <f>AL561</f>
        <v>100</v>
      </c>
      <c r="AM594">
        <f>AM561</f>
        <v>4.7000000000000002E-3</v>
      </c>
      <c r="AN594">
        <f t="shared" si="189"/>
        <v>0</v>
      </c>
      <c r="AO594">
        <f t="shared" si="190"/>
        <v>9.6717753849250184E-4</v>
      </c>
      <c r="AP594">
        <f t="shared" si="191"/>
        <v>9.6717753849250184E-4</v>
      </c>
      <c r="AQ594">
        <f t="shared" si="192"/>
        <v>12.35569305424171</v>
      </c>
      <c r="AS594">
        <f t="shared" si="193"/>
        <v>2.0357142857142856</v>
      </c>
      <c r="AT594">
        <f t="shared" si="183"/>
        <v>2.328289054880741E-2</v>
      </c>
      <c r="AU594">
        <f t="shared" si="194"/>
        <v>4.4809894326265545E-2</v>
      </c>
      <c r="AV594">
        <f t="shared" si="184"/>
        <v>572.44640001804225</v>
      </c>
      <c r="AY594">
        <f>AY561</f>
        <v>6.0000000000000001E-3</v>
      </c>
      <c r="BB594">
        <f t="shared" si="195"/>
        <v>0.24</v>
      </c>
    </row>
    <row r="595" spans="7:54" x14ac:dyDescent="0.2">
      <c r="H595" t="s">
        <v>163</v>
      </c>
      <c r="J595">
        <v>91.25</v>
      </c>
      <c r="K595">
        <v>127</v>
      </c>
      <c r="M595">
        <v>188</v>
      </c>
      <c r="O595">
        <v>0.54</v>
      </c>
      <c r="P595">
        <v>660</v>
      </c>
      <c r="Q595">
        <f t="shared" si="185"/>
        <v>0.28484848484848485</v>
      </c>
      <c r="S595">
        <v>0</v>
      </c>
      <c r="T595">
        <v>0</v>
      </c>
      <c r="U595">
        <v>0</v>
      </c>
      <c r="V595">
        <f>51/K595</f>
        <v>0.40157480314960631</v>
      </c>
      <c r="W595">
        <f>S595*B563+T595*B564</f>
        <v>0</v>
      </c>
      <c r="X595">
        <f t="shared" si="180"/>
        <v>1</v>
      </c>
      <c r="Y595">
        <f t="shared" si="181"/>
        <v>4.4805272656953603</v>
      </c>
      <c r="Z595">
        <f t="shared" si="186"/>
        <v>1.1823995712703181</v>
      </c>
      <c r="AC595">
        <v>7.8E-2</v>
      </c>
      <c r="AE595">
        <v>0.55000000000000004</v>
      </c>
      <c r="AF595">
        <f t="shared" si="182"/>
        <v>2.0198216913754679</v>
      </c>
      <c r="AG595">
        <f t="shared" si="187"/>
        <v>0.19</v>
      </c>
      <c r="AH595">
        <f t="shared" si="188"/>
        <v>0.6784</v>
      </c>
      <c r="AI595">
        <f>AI561</f>
        <v>0</v>
      </c>
      <c r="AK595">
        <f>AK561</f>
        <v>0.78</v>
      </c>
      <c r="AL595">
        <f>AL561</f>
        <v>100</v>
      </c>
      <c r="AM595">
        <f>AM561</f>
        <v>4.7000000000000002E-3</v>
      </c>
      <c r="AN595">
        <f t="shared" si="189"/>
        <v>0</v>
      </c>
      <c r="AO595">
        <f t="shared" si="190"/>
        <v>1.223630602638202E-3</v>
      </c>
      <c r="AP595">
        <f t="shared" si="191"/>
        <v>1.223630602638202E-3</v>
      </c>
      <c r="AQ595">
        <f t="shared" si="192"/>
        <v>14.180349146323465</v>
      </c>
      <c r="AS595">
        <f t="shared" si="193"/>
        <v>1.204724409448819</v>
      </c>
      <c r="AT595">
        <f t="shared" si="183"/>
        <v>1.348283080819326E-2</v>
      </c>
      <c r="AU595">
        <f t="shared" si="194"/>
        <v>4.7583079250154724E-2</v>
      </c>
      <c r="AV595">
        <f t="shared" si="184"/>
        <v>551.42840966023061</v>
      </c>
      <c r="AY595">
        <f>AY561</f>
        <v>6.0000000000000001E-3</v>
      </c>
      <c r="BB595">
        <f t="shared" si="195"/>
        <v>0.24</v>
      </c>
    </row>
    <row r="596" spans="7:54" x14ac:dyDescent="0.2">
      <c r="H596" t="s">
        <v>164</v>
      </c>
      <c r="J596">
        <v>91.25</v>
      </c>
      <c r="K596">
        <v>138</v>
      </c>
      <c r="M596">
        <v>209</v>
      </c>
      <c r="O596">
        <v>0.25</v>
      </c>
      <c r="P596">
        <v>660</v>
      </c>
      <c r="Q596">
        <f t="shared" si="185"/>
        <v>0.31666666666666665</v>
      </c>
      <c r="S596">
        <v>0</v>
      </c>
      <c r="T596">
        <v>0</v>
      </c>
      <c r="U596">
        <v>0</v>
      </c>
      <c r="V596">
        <v>0</v>
      </c>
      <c r="W596">
        <f>S596*B563+T596*B564</f>
        <v>0</v>
      </c>
      <c r="X596">
        <f t="shared" si="180"/>
        <v>1</v>
      </c>
      <c r="Y596">
        <f t="shared" si="181"/>
        <v>4.4059664027523588</v>
      </c>
      <c r="Z596">
        <f t="shared" si="186"/>
        <v>1.0794785344447841</v>
      </c>
      <c r="AC596">
        <v>5.8999999999999997E-2</v>
      </c>
      <c r="AE596">
        <v>0.51</v>
      </c>
      <c r="AF596">
        <f t="shared" si="182"/>
        <v>2.1483492179820503</v>
      </c>
      <c r="AG596">
        <f t="shared" si="187"/>
        <v>0.19</v>
      </c>
      <c r="AH596">
        <f t="shared" si="188"/>
        <v>0.6784</v>
      </c>
      <c r="AI596">
        <f>AI561</f>
        <v>0</v>
      </c>
      <c r="AK596">
        <f>AK561</f>
        <v>0.78</v>
      </c>
      <c r="AL596">
        <f>AL561</f>
        <v>100</v>
      </c>
      <c r="AM596">
        <f>AM561</f>
        <v>4.7000000000000002E-3</v>
      </c>
      <c r="AN596">
        <f t="shared" si="189"/>
        <v>0</v>
      </c>
      <c r="AO596">
        <f t="shared" si="190"/>
        <v>1.3014940177647676E-3</v>
      </c>
      <c r="AP596">
        <f t="shared" si="191"/>
        <v>1.3014940177647676E-3</v>
      </c>
      <c r="AQ596">
        <f t="shared" si="192"/>
        <v>16.389063418702836</v>
      </c>
      <c r="AS596">
        <f>U596*$B$563+V596*$B$564</f>
        <v>0</v>
      </c>
      <c r="AT596">
        <f t="shared" si="183"/>
        <v>6.0251978989093735E-3</v>
      </c>
      <c r="AU596">
        <f t="shared" si="194"/>
        <v>3.4599688635261236E-2</v>
      </c>
      <c r="AV596">
        <f t="shared" si="184"/>
        <v>435.6965791395271</v>
      </c>
      <c r="AY596">
        <f>AY561</f>
        <v>6.0000000000000001E-3</v>
      </c>
      <c r="BB596">
        <f t="shared" si="195"/>
        <v>0.24</v>
      </c>
    </row>
    <row r="597" spans="7:54" x14ac:dyDescent="0.2">
      <c r="G597" t="s">
        <v>189</v>
      </c>
      <c r="H597" t="s">
        <v>160</v>
      </c>
      <c r="J597">
        <v>91.25</v>
      </c>
      <c r="K597">
        <v>20</v>
      </c>
      <c r="M597">
        <v>660</v>
      </c>
      <c r="O597">
        <v>0.6</v>
      </c>
      <c r="P597">
        <v>660</v>
      </c>
      <c r="Q597">
        <f t="shared" si="185"/>
        <v>1</v>
      </c>
      <c r="S597">
        <v>0</v>
      </c>
      <c r="T597">
        <v>0</v>
      </c>
      <c r="U597">
        <v>0</v>
      </c>
      <c r="V597">
        <v>0</v>
      </c>
      <c r="W597">
        <f>S597*B563+T597*B564</f>
        <v>0</v>
      </c>
      <c r="X597">
        <f t="shared" si="180"/>
        <v>1</v>
      </c>
      <c r="Y597">
        <f t="shared" si="181"/>
        <v>10.483607865600002</v>
      </c>
      <c r="Z597">
        <f t="shared" si="186"/>
        <v>1.1278244379169187</v>
      </c>
      <c r="AC597">
        <v>7.1999999999999995E-2</v>
      </c>
      <c r="AE597">
        <v>0.53</v>
      </c>
      <c r="AF597">
        <f t="shared" si="182"/>
        <v>4.9189088105395209</v>
      </c>
      <c r="AG597">
        <f t="shared" si="187"/>
        <v>0.19</v>
      </c>
      <c r="AH597">
        <f t="shared" si="188"/>
        <v>0.6784</v>
      </c>
      <c r="AI597">
        <f>AI561</f>
        <v>0</v>
      </c>
      <c r="AK597">
        <f>AK561</f>
        <v>0.78</v>
      </c>
      <c r="AL597">
        <f>AL561</f>
        <v>100</v>
      </c>
      <c r="AM597">
        <f>AM561</f>
        <v>4.7000000000000002E-3</v>
      </c>
      <c r="AN597">
        <f t="shared" si="189"/>
        <v>0</v>
      </c>
      <c r="AO597">
        <f t="shared" si="190"/>
        <v>2.9799300492035193E-3</v>
      </c>
      <c r="AP597">
        <f t="shared" si="191"/>
        <v>2.9799300492035193E-3</v>
      </c>
      <c r="AQ597">
        <f t="shared" si="192"/>
        <v>5.4383723397964223</v>
      </c>
      <c r="AS597">
        <f t="shared" si="193"/>
        <v>0</v>
      </c>
      <c r="AT597">
        <f t="shared" si="183"/>
        <v>6.7042967536007836E-3</v>
      </c>
      <c r="AU597">
        <f t="shared" si="194"/>
        <v>0.11177509802486353</v>
      </c>
      <c r="AV597">
        <f t="shared" si="184"/>
        <v>203.98955389537596</v>
      </c>
      <c r="AY597">
        <f>AY561</f>
        <v>6.0000000000000001E-3</v>
      </c>
      <c r="BB597">
        <f t="shared" si="195"/>
        <v>0.24</v>
      </c>
    </row>
    <row r="598" spans="7:54" x14ac:dyDescent="0.2">
      <c r="G598" t="s">
        <v>199</v>
      </c>
      <c r="H598" t="s">
        <v>162</v>
      </c>
      <c r="J598">
        <v>91.25</v>
      </c>
      <c r="K598">
        <v>79</v>
      </c>
      <c r="M598">
        <v>547</v>
      </c>
      <c r="O598">
        <v>0.17</v>
      </c>
      <c r="P598">
        <v>660</v>
      </c>
      <c r="Q598">
        <f t="shared" si="185"/>
        <v>0.82878787878787874</v>
      </c>
      <c r="S598">
        <v>0</v>
      </c>
      <c r="T598">
        <v>0</v>
      </c>
      <c r="U598">
        <v>0</v>
      </c>
      <c r="V598">
        <v>0</v>
      </c>
      <c r="W598">
        <f>S598*B563+T598*B564</f>
        <v>0</v>
      </c>
      <c r="X598">
        <f t="shared" si="180"/>
        <v>1</v>
      </c>
      <c r="Y598">
        <f t="shared" si="181"/>
        <v>8.6670571009795605</v>
      </c>
      <c r="Z598">
        <f t="shared" si="186"/>
        <v>1.037396461185411</v>
      </c>
      <c r="AC598">
        <v>9.9000000000000005E-2</v>
      </c>
      <c r="AE598">
        <v>0.56999999999999995</v>
      </c>
      <c r="AF598">
        <f t="shared" si="182"/>
        <v>3.7476354904635625</v>
      </c>
      <c r="AG598">
        <f t="shared" si="187"/>
        <v>0.19</v>
      </c>
      <c r="AH598">
        <f t="shared" si="188"/>
        <v>0.6784</v>
      </c>
      <c r="AI598">
        <f>AI561</f>
        <v>0</v>
      </c>
      <c r="AK598">
        <f>AK561</f>
        <v>0.78</v>
      </c>
      <c r="AL598">
        <f>AL561</f>
        <v>100</v>
      </c>
      <c r="AM598">
        <f>AM561</f>
        <v>4.7000000000000002E-3</v>
      </c>
      <c r="AN598">
        <f t="shared" si="189"/>
        <v>0</v>
      </c>
      <c r="AO598">
        <f t="shared" si="190"/>
        <v>2.2703595536403198E-3</v>
      </c>
      <c r="AP598">
        <f t="shared" si="191"/>
        <v>2.2703595536403198E-3</v>
      </c>
      <c r="AQ598">
        <f t="shared" si="192"/>
        <v>16.366454432304657</v>
      </c>
      <c r="AS598">
        <f t="shared" si="193"/>
        <v>0</v>
      </c>
      <c r="AT598">
        <f t="shared" si="183"/>
        <v>2.0638322906957806E-3</v>
      </c>
      <c r="AU598">
        <f t="shared" si="194"/>
        <v>0.13323166435355144</v>
      </c>
      <c r="AV598">
        <f t="shared" si="184"/>
        <v>960.43376040866394</v>
      </c>
      <c r="AY598">
        <f>AY561</f>
        <v>6.0000000000000001E-3</v>
      </c>
      <c r="BB598">
        <f t="shared" si="195"/>
        <v>0.24</v>
      </c>
    </row>
    <row r="599" spans="7:54" x14ac:dyDescent="0.2">
      <c r="H599" t="s">
        <v>163</v>
      </c>
      <c r="J599">
        <v>91.25</v>
      </c>
      <c r="K599">
        <v>18</v>
      </c>
      <c r="M599">
        <v>582</v>
      </c>
      <c r="O599">
        <v>0.32</v>
      </c>
      <c r="P599">
        <v>660</v>
      </c>
      <c r="Q599">
        <f t="shared" si="185"/>
        <v>0.88181818181818183</v>
      </c>
      <c r="S599">
        <v>0</v>
      </c>
      <c r="T599">
        <v>0</v>
      </c>
      <c r="U599">
        <v>0</v>
      </c>
      <c r="V599">
        <v>0</v>
      </c>
      <c r="W599">
        <f>S599*B563+T599*B564</f>
        <v>0</v>
      </c>
      <c r="X599">
        <f t="shared" si="180"/>
        <v>1</v>
      </c>
      <c r="Y599">
        <f t="shared" si="181"/>
        <v>9.2866321324857601</v>
      </c>
      <c r="Z599">
        <f t="shared" si="186"/>
        <v>1.0695881452625182</v>
      </c>
      <c r="AC599">
        <v>7.8E-2</v>
      </c>
      <c r="AE599">
        <v>0.55000000000000004</v>
      </c>
      <c r="AF599">
        <f t="shared" si="182"/>
        <v>4.1864137653245805</v>
      </c>
      <c r="AG599">
        <f t="shared" si="187"/>
        <v>0.19</v>
      </c>
      <c r="AH599">
        <f t="shared" si="188"/>
        <v>0.6784</v>
      </c>
      <c r="AI599">
        <f>AI561</f>
        <v>0</v>
      </c>
      <c r="AK599">
        <f>AK561</f>
        <v>0.78</v>
      </c>
      <c r="AL599">
        <f>AL561</f>
        <v>100</v>
      </c>
      <c r="AM599">
        <f>AM561</f>
        <v>4.7000000000000002E-3</v>
      </c>
      <c r="AN599">
        <f t="shared" si="189"/>
        <v>0</v>
      </c>
      <c r="AO599">
        <f t="shared" si="190"/>
        <v>2.5361763468678029E-3</v>
      </c>
      <c r="AP599">
        <f t="shared" si="191"/>
        <v>2.5361763468678029E-3</v>
      </c>
      <c r="AQ599">
        <f t="shared" si="192"/>
        <v>4.1656696497303667</v>
      </c>
      <c r="AS599">
        <f t="shared" si="193"/>
        <v>0</v>
      </c>
      <c r="AT599">
        <f t="shared" si="183"/>
        <v>3.7568371765984527E-3</v>
      </c>
      <c r="AU599">
        <f t="shared" si="194"/>
        <v>0.11005485722928829</v>
      </c>
      <c r="AV599">
        <f t="shared" si="184"/>
        <v>180.76510299910601</v>
      </c>
      <c r="AY599">
        <f>AY561</f>
        <v>6.0000000000000001E-3</v>
      </c>
      <c r="BB599">
        <f t="shared" si="195"/>
        <v>0.24</v>
      </c>
    </row>
    <row r="600" spans="7:54" x14ac:dyDescent="0.2">
      <c r="H600" t="s">
        <v>164</v>
      </c>
      <c r="J600">
        <v>91.25</v>
      </c>
      <c r="K600">
        <v>8</v>
      </c>
      <c r="M600">
        <v>605</v>
      </c>
      <c r="O600">
        <v>0.43</v>
      </c>
      <c r="P600">
        <v>660</v>
      </c>
      <c r="Q600">
        <f t="shared" si="185"/>
        <v>0.91666666666666663</v>
      </c>
      <c r="S600">
        <v>0</v>
      </c>
      <c r="T600">
        <v>0</v>
      </c>
      <c r="U600">
        <v>0</v>
      </c>
      <c r="V600">
        <v>0</v>
      </c>
      <c r="W600">
        <f>S600*B563+T600*B564</f>
        <v>0</v>
      </c>
      <c r="X600">
        <f t="shared" si="180"/>
        <v>1</v>
      </c>
      <c r="Y600">
        <f t="shared" si="181"/>
        <v>9.7062467852249998</v>
      </c>
      <c r="Z600">
        <f t="shared" si="186"/>
        <v>1.0929709011031195</v>
      </c>
      <c r="AC600">
        <v>5.8999999999999997E-2</v>
      </c>
      <c r="AE600">
        <v>0.51</v>
      </c>
      <c r="AF600">
        <f t="shared" si="182"/>
        <v>4.7327659324757096</v>
      </c>
      <c r="AG600">
        <f t="shared" si="187"/>
        <v>0.19</v>
      </c>
      <c r="AH600">
        <f t="shared" si="188"/>
        <v>0.6784</v>
      </c>
      <c r="AI600">
        <f>AI561</f>
        <v>0</v>
      </c>
      <c r="AK600">
        <f>AK561</f>
        <v>0.78</v>
      </c>
      <c r="AL600">
        <f>AL561</f>
        <v>100</v>
      </c>
      <c r="AM600">
        <f>AM561</f>
        <v>4.7000000000000002E-3</v>
      </c>
      <c r="AN600">
        <f t="shared" si="189"/>
        <v>0</v>
      </c>
      <c r="AO600">
        <f t="shared" si="190"/>
        <v>2.867162608872229E-3</v>
      </c>
      <c r="AP600">
        <f t="shared" si="191"/>
        <v>2.867162608872229E-3</v>
      </c>
      <c r="AQ600">
        <f t="shared" si="192"/>
        <v>2.0930287044767271</v>
      </c>
      <c r="AS600">
        <f t="shared" si="193"/>
        <v>0</v>
      </c>
      <c r="AT600">
        <f t="shared" si="183"/>
        <v>4.959103106364068E-3</v>
      </c>
      <c r="AU600">
        <f t="shared" si="194"/>
        <v>8.4520880613926722E-2</v>
      </c>
      <c r="AV600">
        <f t="shared" si="184"/>
        <v>61.700242848166504</v>
      </c>
      <c r="AY600">
        <f>AY561</f>
        <v>6.0000000000000001E-3</v>
      </c>
      <c r="BB600">
        <f t="shared" si="195"/>
        <v>0.24</v>
      </c>
    </row>
    <row r="611" spans="1:64" x14ac:dyDescent="0.2">
      <c r="A611" t="s">
        <v>208</v>
      </c>
      <c r="B611" t="s">
        <v>217</v>
      </c>
      <c r="C611" t="s">
        <v>208</v>
      </c>
      <c r="D611" t="s">
        <v>208</v>
      </c>
      <c r="E611" t="s">
        <v>170</v>
      </c>
      <c r="F611" t="s">
        <v>190</v>
      </c>
      <c r="G611" t="s">
        <v>159</v>
      </c>
      <c r="H611" t="s">
        <v>160</v>
      </c>
      <c r="J611">
        <v>91.25</v>
      </c>
      <c r="K611">
        <v>20</v>
      </c>
      <c r="M611" cm="1">
        <f t="array" ref="M611:M650">_xlfn.DROP(_xlfn.XLOOKUP($D611,TableW[[#Headers],[ACT]:[QLD - Moderate/Low]],TableW[[#All],[ACT]:[QLD - Moderate/Low]]),1)</f>
        <v>230</v>
      </c>
      <c r="O611" cm="1">
        <f t="array" ref="O611:O650">_xlfn.DROP(_xlfn.XLOOKUP($D611,TableLWG[[#Headers],[ACT]:[QLD - Low]],TableLWG[[#All],[ACT]:[QLD - Low]]),1)</f>
        <v>-0.12</v>
      </c>
      <c r="P611" cm="1">
        <f t="array" ref="P611:P650">_xlfn.DROP(_xlfn.XLOOKUP($E611,TableSRW[[#Headers],[ACT]:[WA]],TableSRW[[#All],[ACT]:[WA]]),1)</f>
        <v>770</v>
      </c>
      <c r="Q611">
        <f>M611 / P611</f>
        <v>0.29870129870129869</v>
      </c>
      <c r="S611">
        <v>0</v>
      </c>
      <c r="T611">
        <v>0</v>
      </c>
      <c r="U611">
        <f>20/K611</f>
        <v>1</v>
      </c>
      <c r="V611">
        <v>0</v>
      </c>
      <c r="W611">
        <f>S611*B613+T611*B614</f>
        <v>0</v>
      </c>
      <c r="X611">
        <f t="shared" ref="X611:X650" si="196">(S611 * $BX$3 +T611* $BX$4) + (1 -S611 -T611 )</f>
        <v>1</v>
      </c>
      <c r="Y611">
        <f t="shared" ref="Y611:Y650" si="197">(1.185 + 0.00454 * M611- 0.0000026 * M611 ^2 + 0.315 * O611)^2 * X611</f>
        <v>4.2183408996000011</v>
      </c>
      <c r="Z611">
        <f>Y611 / ((1.185 + 0.00454 * M611 - 0.0000026 * M611 ^ 2) ^ 2 * X611)</f>
        <v>0.9641830474045614</v>
      </c>
      <c r="AC611" cm="1">
        <f t="array" ref="AC611:AC650">_xlfn.DROP(_xlfn.XLOOKUP($E611,TableCP[[#Headers],[ACT]:[WA - Kimberley]],TableCP[[#All],[ACT]:[WA - Kimberley]]),1)</f>
        <v>7.1999999999999995E-2</v>
      </c>
      <c r="AE611" cm="1">
        <f t="array" ref="AE611:AE650">_xlfn.DROP(_xlfn.XLOOKUP($E611,TableDMD[[#Headers],[ACT]:[WA - Kimberley]],TableDMD[[#All],[ACT]:[WA - Kimberley]]),1)</f>
        <v>0.53</v>
      </c>
      <c r="AF611">
        <f t="shared" ref="AF611:AF650" si="198">(Y611 * (1 - AE611) + (0.04 * Y611)) * ( 1 - $CJ$3 )</f>
        <v>1.9792455500923205</v>
      </c>
      <c r="AG611">
        <f>$CJ$4</f>
        <v>0.19</v>
      </c>
      <c r="AH611">
        <f>$CJ$5</f>
        <v>0.6784</v>
      </c>
      <c r="AI611">
        <f>IF(F611="yes",0,VLOOKUP(C611,$BQ$211:$BS$225,3,FALSE))</f>
        <v>0.10199999999999999</v>
      </c>
      <c r="AK611">
        <f>VLOOKUP(C611,$BQ$211:$BU$225,4,FALSE)</f>
        <v>0.78</v>
      </c>
      <c r="AL611">
        <f>IF(F611="yes",100,VLOOKUP(C611,$BQ$211:$BS$225,2,FALSE))</f>
        <v>99.897999999999996</v>
      </c>
      <c r="AM611">
        <f>VLOOKUP(C611,$BQ$211:$BU$225,5,FALSE)</f>
        <v>4.7000000000000002E-3</v>
      </c>
      <c r="AN611">
        <f>AF611 * AG611 * AI611/100 * AK611 * AH611</f>
        <v>2.0297095346829113E-4</v>
      </c>
      <c r="AO611">
        <f>AF611 * AG611 * AL611/100 * AM611 * AH611</f>
        <v>1.1978260916918567E-3</v>
      </c>
      <c r="AP611">
        <f>AN611+AO611</f>
        <v>1.4007970451601478E-3</v>
      </c>
      <c r="AQ611">
        <f>K611*AP611*J611</f>
        <v>2.5564546074172698</v>
      </c>
      <c r="AR611">
        <f>SUM(AQ611:AQ650)*10^-3</f>
        <v>0.50857888906905724</v>
      </c>
      <c r="AS611">
        <f>U611*$B$613+V611*$B$614</f>
        <v>4</v>
      </c>
      <c r="AT611">
        <f t="shared" ref="AT611:AT650" si="199" xml:space="preserve"> (0.032*W611/6.38) + (((0.212 - 0.008*(Z611-2) - (0.14 - 0.008*(Z611 - 2))/(1+EXP(-6*(Q611-0.4))))*O611*0.92)/6.25)</f>
        <v>-2.967661363433819E-3</v>
      </c>
      <c r="AU611">
        <f>MAX((Y611*AC611/6.25)+(0.032*AS611/6.38)-AT611-((1.1*(10^-4)*(M611^0.75))/6.25), 0)</f>
        <v>7.0586182625032037E-2</v>
      </c>
      <c r="AV611">
        <f t="shared" ref="AV611:AV650" si="200">K611*AU611*J611</f>
        <v>128.81978329068346</v>
      </c>
      <c r="AW611">
        <f>SUM(AV611:AV650)</f>
        <v>18392.304256087817</v>
      </c>
      <c r="AX611" t="s">
        <v>255</v>
      </c>
      <c r="AY611">
        <f>VLOOKUP(AX611, $CK$18:$CM$27, 2, FALSE)</f>
        <v>6.0000000000000001E-3</v>
      </c>
      <c r="AZ611">
        <f>$CJ$6</f>
        <v>0.21</v>
      </c>
      <c r="BA611">
        <f>AW611*AZ611</f>
        <v>3862.3838937784412</v>
      </c>
      <c r="BB611">
        <f>$CJ$7</f>
        <v>0.24</v>
      </c>
      <c r="BC611" t="s">
        <v>161</v>
      </c>
      <c r="BD611">
        <f>IF(BC611="yes",1,0)</f>
        <v>1</v>
      </c>
      <c r="BE611">
        <f>AW611 * BD611 * BB611</f>
        <v>4414.1530214610757</v>
      </c>
      <c r="BF611">
        <f>$CJ$8</f>
        <v>1.57</v>
      </c>
      <c r="BG611" t="s">
        <v>185</v>
      </c>
      <c r="BH611">
        <f>VLOOKUP(BG611, $BQ$274:$BR$286, 2, FALSE)</f>
        <v>8.0000000000000002E-3</v>
      </c>
      <c r="BI611">
        <f>$CJ$9</f>
        <v>1.0999999999999999E-2</v>
      </c>
      <c r="BJ611" s="7">
        <f>(AW611 * AY611 * BF611) * 10^-3</f>
        <v>0.17325550609234724</v>
      </c>
      <c r="BK611" s="7">
        <f>BA611 * BH611 * BF611 * 10^-3</f>
        <v>4.8511541705857225E-2</v>
      </c>
      <c r="BL611" s="7">
        <f>BE611 * BI611 * BF611 * 10^-3</f>
        <v>7.623242268063278E-2</v>
      </c>
    </row>
    <row r="612" spans="1:64" x14ac:dyDescent="0.2">
      <c r="G612">
        <v>1</v>
      </c>
      <c r="H612" t="s">
        <v>162</v>
      </c>
      <c r="J612">
        <v>91.25</v>
      </c>
      <c r="K612">
        <v>50</v>
      </c>
      <c r="M612">
        <v>113</v>
      </c>
      <c r="O612">
        <v>0.65</v>
      </c>
      <c r="P612">
        <v>770</v>
      </c>
      <c r="Q612">
        <f t="shared" ref="Q612:Q650" si="201">M612 / P612</f>
        <v>0.14675324675324675</v>
      </c>
      <c r="S612">
        <v>0</v>
      </c>
      <c r="T612">
        <v>0</v>
      </c>
      <c r="U612">
        <f>30/K612</f>
        <v>0.6</v>
      </c>
      <c r="V612">
        <f>20/K612</f>
        <v>0.4</v>
      </c>
      <c r="W612">
        <f>S612*B613+T612*B614</f>
        <v>0</v>
      </c>
      <c r="X612">
        <f t="shared" si="196"/>
        <v>1</v>
      </c>
      <c r="Y612">
        <f t="shared" si="197"/>
        <v>3.4952942283843602</v>
      </c>
      <c r="Z612">
        <f t="shared" ref="Z612:Z650" si="202">Y612 / ((1.185 + 0.00454 * M612 - 0.0000026 * M612 ^ 2) ^ 2 * X612)</f>
        <v>1.2610980603306599</v>
      </c>
      <c r="AC612">
        <v>9.9000000000000005E-2</v>
      </c>
      <c r="AE612">
        <v>0.56999999999999995</v>
      </c>
      <c r="AF612">
        <f t="shared" si="198"/>
        <v>1.5113652243533975</v>
      </c>
      <c r="AG612">
        <f t="shared" ref="AG612:AG650" si="203">$CJ$4</f>
        <v>0.19</v>
      </c>
      <c r="AH612">
        <f t="shared" ref="AH612:AH650" si="204">$CJ$5</f>
        <v>0.6784</v>
      </c>
      <c r="AI612">
        <f>AI611</f>
        <v>0.10199999999999999</v>
      </c>
      <c r="AK612">
        <f>AK611</f>
        <v>0.78</v>
      </c>
      <c r="AL612">
        <f>AL611</f>
        <v>99.897999999999996</v>
      </c>
      <c r="AM612">
        <f>AM611</f>
        <v>4.7000000000000002E-3</v>
      </c>
      <c r="AN612">
        <f t="shared" ref="AN612:AN650" si="205">AF612 * AG612 * AI612/100 * AK612 * AH612</f>
        <v>1.5498998626598808E-4</v>
      </c>
      <c r="AO612">
        <f t="shared" ref="AO612:AO650" si="206">AF612 * AG612 * AL612/100 * AM612 * AH612</f>
        <v>9.1466806618399306E-4</v>
      </c>
      <c r="AP612">
        <f t="shared" ref="AP612:AP650" si="207">AN612+AO612</f>
        <v>1.0696580524499812E-3</v>
      </c>
      <c r="AQ612">
        <f t="shared" ref="AQ612:AQ650" si="208">K612*AP612*J612</f>
        <v>4.8803148643030401</v>
      </c>
      <c r="AS612">
        <f t="shared" ref="AS612:AS650" si="209">U612*$B$613+V612*$B$614</f>
        <v>3.6</v>
      </c>
      <c r="AT612">
        <f t="shared" si="199"/>
        <v>1.8343253270311E-2</v>
      </c>
      <c r="AU612">
        <f t="shared" ref="AU612:AU650" si="210">MAX((Y612*AC612/6.25)+(0.032*AS612/6.38)-AT612-((1.1*(10^-4)*(M612^0.75))/6.25), 0)</f>
        <v>5.4468645346037618E-2</v>
      </c>
      <c r="AV612">
        <f t="shared" si="200"/>
        <v>248.51319439129662</v>
      </c>
      <c r="AY612">
        <f>AY611</f>
        <v>6.0000000000000001E-3</v>
      </c>
      <c r="BB612">
        <f t="shared" ref="BB612:BB650" si="211">$CJ$7</f>
        <v>0.24</v>
      </c>
    </row>
    <row r="613" spans="1:64" x14ac:dyDescent="0.2">
      <c r="A613" t="s">
        <v>222</v>
      </c>
      <c r="B613">
        <f>IF(B611="Hereford or Shorthorn",$BT$3,$BT$4)</f>
        <v>4</v>
      </c>
      <c r="H613" t="s">
        <v>163</v>
      </c>
      <c r="J613">
        <v>91.25</v>
      </c>
      <c r="K613">
        <v>48</v>
      </c>
      <c r="M613">
        <v>172</v>
      </c>
      <c r="O613">
        <v>0.7</v>
      </c>
      <c r="P613">
        <v>770</v>
      </c>
      <c r="Q613">
        <f t="shared" si="201"/>
        <v>0.22337662337662337</v>
      </c>
      <c r="S613">
        <v>0</v>
      </c>
      <c r="T613">
        <v>0</v>
      </c>
      <c r="U613">
        <v>0</v>
      </c>
      <c r="V613">
        <f>30/K613</f>
        <v>0.625</v>
      </c>
      <c r="W613">
        <f>S613*B613+T613*B614</f>
        <v>0</v>
      </c>
      <c r="X613">
        <f t="shared" si="196"/>
        <v>1</v>
      </c>
      <c r="Y613">
        <f t="shared" si="197"/>
        <v>4.4498282418745596</v>
      </c>
      <c r="Z613">
        <f t="shared" si="202"/>
        <v>1.2470876811616491</v>
      </c>
      <c r="AC613">
        <v>7.8E-2</v>
      </c>
      <c r="AE613">
        <v>0.55000000000000004</v>
      </c>
      <c r="AF613">
        <f t="shared" si="198"/>
        <v>2.0059825714370509</v>
      </c>
      <c r="AG613">
        <f t="shared" si="203"/>
        <v>0.19</v>
      </c>
      <c r="AH613">
        <f t="shared" si="204"/>
        <v>0.6784</v>
      </c>
      <c r="AI613">
        <f>AI611</f>
        <v>0.10199999999999999</v>
      </c>
      <c r="AK613">
        <f>AK611</f>
        <v>0.78</v>
      </c>
      <c r="AL613">
        <f>AL611</f>
        <v>99.897999999999996</v>
      </c>
      <c r="AM613">
        <f>AM611</f>
        <v>4.7000000000000002E-3</v>
      </c>
      <c r="AN613">
        <f t="shared" si="205"/>
        <v>2.0571282585243712E-4</v>
      </c>
      <c r="AO613">
        <f t="shared" si="206"/>
        <v>1.2140071571384084E-3</v>
      </c>
      <c r="AP613">
        <f t="shared" si="207"/>
        <v>1.4197199829908455E-3</v>
      </c>
      <c r="AQ613">
        <f t="shared" si="208"/>
        <v>6.2183735254999029</v>
      </c>
      <c r="AS613">
        <f t="shared" si="209"/>
        <v>1.875</v>
      </c>
      <c r="AT613">
        <f t="shared" si="199"/>
        <v>1.8592833804535094E-2</v>
      </c>
      <c r="AU613">
        <f t="shared" si="210"/>
        <v>4.5509502365308131E-2</v>
      </c>
      <c r="AV613">
        <f t="shared" si="200"/>
        <v>199.33162036004961</v>
      </c>
      <c r="AY613">
        <f>AY611</f>
        <v>6.0000000000000001E-3</v>
      </c>
      <c r="BB613">
        <f t="shared" si="211"/>
        <v>0.24</v>
      </c>
    </row>
    <row r="614" spans="1:64" x14ac:dyDescent="0.2">
      <c r="A614" t="s">
        <v>223</v>
      </c>
      <c r="B614">
        <f>IF(B611="Hereford or Shorthorn",$BU$3,$BU$4)</f>
        <v>3</v>
      </c>
      <c r="H614" t="s">
        <v>164</v>
      </c>
      <c r="J614">
        <v>91.25</v>
      </c>
      <c r="K614">
        <v>25</v>
      </c>
      <c r="M614">
        <v>241</v>
      </c>
      <c r="O614">
        <v>0.32</v>
      </c>
      <c r="P614">
        <v>770</v>
      </c>
      <c r="Q614">
        <f t="shared" si="201"/>
        <v>0.31298701298701298</v>
      </c>
      <c r="S614">
        <v>0</v>
      </c>
      <c r="T614">
        <v>0</v>
      </c>
      <c r="U614">
        <v>0</v>
      </c>
      <c r="V614">
        <v>0</v>
      </c>
      <c r="W614">
        <f>S614*B613+T614*B614</f>
        <v>0</v>
      </c>
      <c r="X614">
        <f t="shared" si="196"/>
        <v>1</v>
      </c>
      <c r="Y614">
        <f t="shared" si="197"/>
        <v>4.9681262701843592</v>
      </c>
      <c r="Z614">
        <f t="shared" si="202"/>
        <v>1.0969745761306946</v>
      </c>
      <c r="AC614">
        <v>5.8999999999999997E-2</v>
      </c>
      <c r="AE614">
        <v>0.51</v>
      </c>
      <c r="AF614">
        <f t="shared" si="198"/>
        <v>2.4224583693418937</v>
      </c>
      <c r="AG614">
        <f t="shared" si="203"/>
        <v>0.19</v>
      </c>
      <c r="AH614">
        <f t="shared" si="204"/>
        <v>0.6784</v>
      </c>
      <c r="AI614">
        <f>AI611</f>
        <v>0.10199999999999999</v>
      </c>
      <c r="AK614">
        <f>AK611</f>
        <v>0.78</v>
      </c>
      <c r="AL614">
        <f>AL611</f>
        <v>99.897999999999996</v>
      </c>
      <c r="AM614">
        <f>AM611</f>
        <v>4.7000000000000002E-3</v>
      </c>
      <c r="AN614">
        <f t="shared" si="205"/>
        <v>2.4842227632626551E-4</v>
      </c>
      <c r="AO614">
        <f t="shared" si="206"/>
        <v>1.4660555082211411E-3</v>
      </c>
      <c r="AP614">
        <f t="shared" si="207"/>
        <v>1.7144777845474067E-3</v>
      </c>
      <c r="AQ614">
        <f t="shared" si="208"/>
        <v>3.9111524459987712</v>
      </c>
      <c r="AS614">
        <f t="shared" si="209"/>
        <v>0</v>
      </c>
      <c r="AT614">
        <f t="shared" si="199"/>
        <v>7.7440316490343108E-3</v>
      </c>
      <c r="AU614">
        <f t="shared" si="210"/>
        <v>3.8078552044946611E-2</v>
      </c>
      <c r="AV614">
        <f t="shared" si="200"/>
        <v>86.86669685253446</v>
      </c>
      <c r="AY614">
        <f>AY611</f>
        <v>6.0000000000000001E-3</v>
      </c>
      <c r="BB614">
        <f t="shared" si="211"/>
        <v>0.24</v>
      </c>
    </row>
    <row r="615" spans="1:64" x14ac:dyDescent="0.2">
      <c r="G615" t="s">
        <v>165</v>
      </c>
      <c r="H615" t="s">
        <v>160</v>
      </c>
      <c r="J615">
        <v>91.25</v>
      </c>
      <c r="K615">
        <v>20</v>
      </c>
      <c r="M615">
        <v>674</v>
      </c>
      <c r="O615">
        <v>-0.19</v>
      </c>
      <c r="P615">
        <v>770</v>
      </c>
      <c r="Q615">
        <f t="shared" si="201"/>
        <v>0.87532467532467528</v>
      </c>
      <c r="S615">
        <v>0</v>
      </c>
      <c r="T615">
        <v>0</v>
      </c>
      <c r="U615">
        <v>0</v>
      </c>
      <c r="V615">
        <v>0</v>
      </c>
      <c r="W615">
        <f>S615*B613+T615*B614</f>
        <v>0</v>
      </c>
      <c r="X615">
        <f t="shared" si="196"/>
        <v>1</v>
      </c>
      <c r="Y615">
        <f t="shared" si="197"/>
        <v>9.0239703392577582</v>
      </c>
      <c r="Z615">
        <f t="shared" si="202"/>
        <v>0.96131299949724636</v>
      </c>
      <c r="AC615">
        <v>7.1999999999999995E-2</v>
      </c>
      <c r="AE615">
        <v>0.53</v>
      </c>
      <c r="AF615">
        <f t="shared" si="198"/>
        <v>4.2340468831797393</v>
      </c>
      <c r="AG615">
        <f t="shared" si="203"/>
        <v>0.19</v>
      </c>
      <c r="AH615">
        <f t="shared" si="204"/>
        <v>0.6784</v>
      </c>
      <c r="AI615">
        <f>AI611</f>
        <v>0.10199999999999999</v>
      </c>
      <c r="AK615">
        <f>AK611</f>
        <v>0.78</v>
      </c>
      <c r="AL615">
        <f>AL611</f>
        <v>99.897999999999996</v>
      </c>
      <c r="AM615">
        <f>AM611</f>
        <v>4.7000000000000002E-3</v>
      </c>
      <c r="AN615">
        <f t="shared" si="205"/>
        <v>4.3420005813242941E-4</v>
      </c>
      <c r="AO615">
        <f t="shared" si="206"/>
        <v>2.5624166894717593E-3</v>
      </c>
      <c r="AP615">
        <f t="shared" si="207"/>
        <v>2.9966167476041887E-3</v>
      </c>
      <c r="AQ615">
        <f t="shared" si="208"/>
        <v>5.4688255643776449</v>
      </c>
      <c r="AS615">
        <f t="shared" si="209"/>
        <v>0</v>
      </c>
      <c r="AT615">
        <f t="shared" si="199"/>
        <v>-2.2400924063421244E-3</v>
      </c>
      <c r="AU615">
        <f t="shared" si="210"/>
        <v>0.10386809876824674</v>
      </c>
      <c r="AV615">
        <f t="shared" si="200"/>
        <v>189.55928025205031</v>
      </c>
      <c r="AY615">
        <f>AY611</f>
        <v>6.0000000000000001E-3</v>
      </c>
      <c r="BB615">
        <f t="shared" si="211"/>
        <v>0.24</v>
      </c>
    </row>
    <row r="616" spans="1:64" x14ac:dyDescent="0.2">
      <c r="A616" t="s">
        <v>167</v>
      </c>
      <c r="G616">
        <v>2</v>
      </c>
      <c r="H616" t="s">
        <v>162</v>
      </c>
      <c r="J616">
        <v>91.25</v>
      </c>
      <c r="K616">
        <v>45</v>
      </c>
      <c r="M616">
        <v>669</v>
      </c>
      <c r="O616">
        <v>0.19</v>
      </c>
      <c r="P616">
        <v>770</v>
      </c>
      <c r="Q616">
        <f t="shared" si="201"/>
        <v>0.86883116883116884</v>
      </c>
      <c r="S616">
        <v>0</v>
      </c>
      <c r="T616">
        <v>0</v>
      </c>
      <c r="U616">
        <v>0</v>
      </c>
      <c r="V616">
        <v>0</v>
      </c>
      <c r="W616">
        <f>S616*B613+T616*B614</f>
        <v>0</v>
      </c>
      <c r="X616">
        <f t="shared" si="196"/>
        <v>1</v>
      </c>
      <c r="Y616">
        <f t="shared" si="197"/>
        <v>9.7247391341619629</v>
      </c>
      <c r="Z616">
        <f t="shared" si="202"/>
        <v>1.0395184318113273</v>
      </c>
      <c r="AC616">
        <v>9.9000000000000005E-2</v>
      </c>
      <c r="AE616">
        <v>0.56999999999999995</v>
      </c>
      <c r="AF616">
        <f t="shared" si="198"/>
        <v>4.2049772016116327</v>
      </c>
      <c r="AG616">
        <f t="shared" si="203"/>
        <v>0.19</v>
      </c>
      <c r="AH616">
        <f t="shared" si="204"/>
        <v>0.6784</v>
      </c>
      <c r="AI616">
        <f>AI611</f>
        <v>0.10199999999999999</v>
      </c>
      <c r="AK616">
        <f>AK611</f>
        <v>0.78</v>
      </c>
      <c r="AL616">
        <f>AL611</f>
        <v>99.897999999999996</v>
      </c>
      <c r="AM616">
        <f>AM611</f>
        <v>4.7000000000000002E-3</v>
      </c>
      <c r="AN616">
        <f t="shared" si="205"/>
        <v>4.3121897224107907E-4</v>
      </c>
      <c r="AO616">
        <f t="shared" si="206"/>
        <v>2.5448239137508145E-3</v>
      </c>
      <c r="AP616">
        <f t="shared" si="207"/>
        <v>2.9760428859918935E-3</v>
      </c>
      <c r="AQ616">
        <f t="shared" si="208"/>
        <v>12.220376100604215</v>
      </c>
      <c r="AS616">
        <f t="shared" si="209"/>
        <v>0</v>
      </c>
      <c r="AT616">
        <f t="shared" si="199"/>
        <v>2.2475869422288754E-3</v>
      </c>
      <c r="AU616">
        <f t="shared" si="210"/>
        <v>0.14947711430176405</v>
      </c>
      <c r="AV616">
        <f t="shared" si="200"/>
        <v>613.79040060161867</v>
      </c>
      <c r="AY616">
        <f>AY611</f>
        <v>6.0000000000000001E-3</v>
      </c>
      <c r="BB616">
        <f t="shared" si="211"/>
        <v>0.24</v>
      </c>
    </row>
    <row r="617" spans="1:64" x14ac:dyDescent="0.2">
      <c r="A617" t="s">
        <v>160</v>
      </c>
      <c r="B617">
        <f>IF(B611="Hereford or Shorthorn", 1.3, 0)</f>
        <v>0</v>
      </c>
      <c r="H617" t="s">
        <v>163</v>
      </c>
      <c r="J617">
        <v>91.25</v>
      </c>
      <c r="K617">
        <v>30</v>
      </c>
      <c r="M617">
        <v>685</v>
      </c>
      <c r="O617">
        <v>0.13</v>
      </c>
      <c r="P617">
        <v>770</v>
      </c>
      <c r="Q617">
        <f t="shared" si="201"/>
        <v>0.88961038961038963</v>
      </c>
      <c r="S617">
        <v>0</v>
      </c>
      <c r="T617">
        <v>0</v>
      </c>
      <c r="U617">
        <v>0</v>
      </c>
      <c r="V617">
        <v>0</v>
      </c>
      <c r="W617">
        <f>S617*B613+T617*B614</f>
        <v>0</v>
      </c>
      <c r="X617">
        <f t="shared" si="196"/>
        <v>1</v>
      </c>
      <c r="Y617">
        <f t="shared" si="197"/>
        <v>9.7086146982249986</v>
      </c>
      <c r="Z617">
        <f t="shared" si="202"/>
        <v>1.0268122368328996</v>
      </c>
      <c r="AC617">
        <v>7.8E-2</v>
      </c>
      <c r="AE617">
        <v>0.55000000000000004</v>
      </c>
      <c r="AF617">
        <f t="shared" si="198"/>
        <v>4.3766435059598292</v>
      </c>
      <c r="AG617">
        <f t="shared" si="203"/>
        <v>0.19</v>
      </c>
      <c r="AH617">
        <f t="shared" si="204"/>
        <v>0.6784</v>
      </c>
      <c r="AI617">
        <f>AI611</f>
        <v>0.10199999999999999</v>
      </c>
      <c r="AK617">
        <f>AK611</f>
        <v>0.78</v>
      </c>
      <c r="AL617">
        <f>AL611</f>
        <v>99.897999999999996</v>
      </c>
      <c r="AM617">
        <f>AM611</f>
        <v>4.7000000000000002E-3</v>
      </c>
      <c r="AN617">
        <f t="shared" si="205"/>
        <v>4.48823292973444E-4</v>
      </c>
      <c r="AO617">
        <f t="shared" si="206"/>
        <v>2.6487152062703275E-3</v>
      </c>
      <c r="AP617">
        <f t="shared" si="207"/>
        <v>3.0975384992437717E-3</v>
      </c>
      <c r="AQ617">
        <f t="shared" si="208"/>
        <v>8.4795116416798262</v>
      </c>
      <c r="AS617">
        <f t="shared" si="209"/>
        <v>0</v>
      </c>
      <c r="AT617">
        <f t="shared" si="199"/>
        <v>1.5201062631674466E-3</v>
      </c>
      <c r="AU617">
        <f t="shared" si="210"/>
        <v>0.11728683380446552</v>
      </c>
      <c r="AV617">
        <f t="shared" si="200"/>
        <v>321.07270753972438</v>
      </c>
      <c r="AY617">
        <f>AY611</f>
        <v>6.0000000000000001E-3</v>
      </c>
      <c r="BB617">
        <f t="shared" si="211"/>
        <v>0.24</v>
      </c>
    </row>
    <row r="618" spans="1:64" x14ac:dyDescent="0.2">
      <c r="A618" t="s">
        <v>162</v>
      </c>
      <c r="B618">
        <f>IF(B611="Hereford or Shorthorn", 1.1, 1.3)</f>
        <v>1.3</v>
      </c>
      <c r="H618" t="s">
        <v>164</v>
      </c>
      <c r="J618">
        <v>91.25</v>
      </c>
      <c r="K618">
        <v>5</v>
      </c>
      <c r="M618">
        <v>692</v>
      </c>
      <c r="O618">
        <v>-0.06</v>
      </c>
      <c r="P618">
        <v>770</v>
      </c>
      <c r="Q618">
        <f t="shared" si="201"/>
        <v>0.89870129870129867</v>
      </c>
      <c r="S618">
        <v>0</v>
      </c>
      <c r="T618">
        <v>0</v>
      </c>
      <c r="U618">
        <v>0</v>
      </c>
      <c r="V618">
        <v>0</v>
      </c>
      <c r="W618">
        <f>S618*B613+T618*B614</f>
        <v>0</v>
      </c>
      <c r="X618">
        <f t="shared" si="196"/>
        <v>1</v>
      </c>
      <c r="Y618">
        <f t="shared" si="197"/>
        <v>9.380337104568957</v>
      </c>
      <c r="Z618">
        <f t="shared" si="202"/>
        <v>0.98777139365049604</v>
      </c>
      <c r="AC618">
        <v>5.8999999999999997E-2</v>
      </c>
      <c r="AE618">
        <v>0.51</v>
      </c>
      <c r="AF618">
        <f t="shared" si="198"/>
        <v>4.5738523721878233</v>
      </c>
      <c r="AG618">
        <f t="shared" si="203"/>
        <v>0.19</v>
      </c>
      <c r="AH618">
        <f t="shared" si="204"/>
        <v>0.6784</v>
      </c>
      <c r="AI618">
        <f>AI611</f>
        <v>0.10199999999999999</v>
      </c>
      <c r="AK618">
        <f>AK611</f>
        <v>0.78</v>
      </c>
      <c r="AL618">
        <f>AL611</f>
        <v>99.897999999999996</v>
      </c>
      <c r="AM618">
        <f>AM611</f>
        <v>4.7000000000000002E-3</v>
      </c>
      <c r="AN618">
        <f t="shared" si="205"/>
        <v>4.69046994680809E-4</v>
      </c>
      <c r="AO618">
        <f t="shared" si="206"/>
        <v>2.7680646854038493E-3</v>
      </c>
      <c r="AP618">
        <f t="shared" si="207"/>
        <v>3.2371116800846583E-3</v>
      </c>
      <c r="AQ618">
        <f t="shared" si="208"/>
        <v>1.4769322040386252</v>
      </c>
      <c r="AS618">
        <f t="shared" si="209"/>
        <v>0</v>
      </c>
      <c r="AT618">
        <f t="shared" si="199"/>
        <v>-6.9839912038661034E-4</v>
      </c>
      <c r="AU618">
        <f t="shared" si="210"/>
        <v>8.6874171681259271E-2</v>
      </c>
      <c r="AV618">
        <f t="shared" si="200"/>
        <v>39.636340829574543</v>
      </c>
      <c r="AY618">
        <f>AY611</f>
        <v>6.0000000000000001E-3</v>
      </c>
      <c r="BB618">
        <f t="shared" si="211"/>
        <v>0.24</v>
      </c>
    </row>
    <row r="619" spans="1:64" x14ac:dyDescent="0.2">
      <c r="A619" t="s">
        <v>163</v>
      </c>
      <c r="B619">
        <f>IF(B611="Hereford or Shorthorn", 0, 1.1)</f>
        <v>1.1000000000000001</v>
      </c>
      <c r="G619" t="s">
        <v>177</v>
      </c>
      <c r="H619" t="s">
        <v>160</v>
      </c>
      <c r="J619">
        <v>91.25</v>
      </c>
      <c r="K619">
        <v>100</v>
      </c>
      <c r="M619">
        <v>344</v>
      </c>
      <c r="O619">
        <v>0.09</v>
      </c>
      <c r="P619">
        <v>550</v>
      </c>
      <c r="Q619">
        <f t="shared" si="201"/>
        <v>0.62545454545454549</v>
      </c>
      <c r="S619">
        <v>0</v>
      </c>
      <c r="T619">
        <v>0</v>
      </c>
      <c r="U619">
        <v>0</v>
      </c>
      <c r="V619">
        <v>0</v>
      </c>
      <c r="W619">
        <f>S619*B613+T619*B614</f>
        <v>0</v>
      </c>
      <c r="X619">
        <f t="shared" si="196"/>
        <v>1</v>
      </c>
      <c r="Y619">
        <f t="shared" si="197"/>
        <v>6.0882423880449599</v>
      </c>
      <c r="Z619">
        <f t="shared" si="202"/>
        <v>1.0233815078659527</v>
      </c>
      <c r="AC619">
        <v>7.1999999999999995E-2</v>
      </c>
      <c r="AE619">
        <v>0.53</v>
      </c>
      <c r="AF619">
        <f t="shared" si="198"/>
        <v>2.8566033284706953</v>
      </c>
      <c r="AG619">
        <f t="shared" si="203"/>
        <v>0.19</v>
      </c>
      <c r="AH619">
        <f t="shared" si="204"/>
        <v>0.6784</v>
      </c>
      <c r="AI619">
        <f>AI611</f>
        <v>0.10199999999999999</v>
      </c>
      <c r="AK619">
        <f>AK611</f>
        <v>0.78</v>
      </c>
      <c r="AL619">
        <f>AL611</f>
        <v>99.897999999999996</v>
      </c>
      <c r="AM619">
        <f>AM611</f>
        <v>4.7000000000000002E-3</v>
      </c>
      <c r="AN619">
        <f t="shared" si="205"/>
        <v>2.9294369323369011E-4</v>
      </c>
      <c r="AO619">
        <f t="shared" si="206"/>
        <v>1.7287971168086747E-3</v>
      </c>
      <c r="AP619">
        <f t="shared" si="207"/>
        <v>2.021740810042365E-3</v>
      </c>
      <c r="AQ619">
        <f t="shared" si="208"/>
        <v>18.448384891636582</v>
      </c>
      <c r="AS619">
        <f t="shared" si="209"/>
        <v>0</v>
      </c>
      <c r="AT619">
        <f t="shared" si="199"/>
        <v>1.3561242761472175E-3</v>
      </c>
      <c r="AU619">
        <f t="shared" si="210"/>
        <v>6.7374602265113326E-2</v>
      </c>
      <c r="AV619">
        <f t="shared" si="200"/>
        <v>614.79324566915909</v>
      </c>
      <c r="AY619">
        <f>AY611</f>
        <v>6.0000000000000001E-3</v>
      </c>
      <c r="BB619">
        <f t="shared" si="211"/>
        <v>0.24</v>
      </c>
    </row>
    <row r="620" spans="1:64" x14ac:dyDescent="0.2">
      <c r="A620" t="s">
        <v>164</v>
      </c>
      <c r="B620">
        <v>0</v>
      </c>
      <c r="G620">
        <v>4</v>
      </c>
      <c r="H620" t="s">
        <v>162</v>
      </c>
      <c r="J620">
        <v>91.25</v>
      </c>
      <c r="K620">
        <v>140</v>
      </c>
      <c r="M620">
        <v>283</v>
      </c>
      <c r="O620">
        <v>0.51</v>
      </c>
      <c r="P620">
        <v>550</v>
      </c>
      <c r="Q620">
        <f t="shared" si="201"/>
        <v>0.51454545454545453</v>
      </c>
      <c r="S620">
        <v>0</v>
      </c>
      <c r="T620">
        <v>0</v>
      </c>
      <c r="U620">
        <v>0</v>
      </c>
      <c r="V620">
        <v>0</v>
      </c>
      <c r="W620">
        <f>S620*B613+T620*B614</f>
        <v>0</v>
      </c>
      <c r="X620">
        <f t="shared" si="196"/>
        <v>1</v>
      </c>
      <c r="Y620">
        <f t="shared" si="197"/>
        <v>5.8672398353299604</v>
      </c>
      <c r="Z620">
        <f t="shared" si="202"/>
        <v>1.1471141278759924</v>
      </c>
      <c r="AC620">
        <v>9.9000000000000005E-2</v>
      </c>
      <c r="AE620">
        <v>0.56999999999999995</v>
      </c>
      <c r="AF620">
        <f t="shared" si="198"/>
        <v>2.5369945047966755</v>
      </c>
      <c r="AG620">
        <f t="shared" si="203"/>
        <v>0.19</v>
      </c>
      <c r="AH620">
        <f t="shared" si="204"/>
        <v>0.6784</v>
      </c>
      <c r="AI620">
        <f>AI611</f>
        <v>0.10199999999999999</v>
      </c>
      <c r="AK620">
        <f>AK611</f>
        <v>0.78</v>
      </c>
      <c r="AL620">
        <f>AL611</f>
        <v>99.897999999999996</v>
      </c>
      <c r="AM620">
        <f>AM611</f>
        <v>4.7000000000000002E-3</v>
      </c>
      <c r="AN620">
        <f t="shared" si="205"/>
        <v>2.6016791779998066E-4</v>
      </c>
      <c r="AO620">
        <f t="shared" si="206"/>
        <v>1.5353720068652286E-3</v>
      </c>
      <c r="AP620">
        <f t="shared" si="207"/>
        <v>1.7955399246652093E-3</v>
      </c>
      <c r="AQ620">
        <f t="shared" si="208"/>
        <v>22.938022537598052</v>
      </c>
      <c r="AS620">
        <f t="shared" si="209"/>
        <v>0</v>
      </c>
      <c r="AT620">
        <f t="shared" si="199"/>
        <v>9.0936878781866393E-3</v>
      </c>
      <c r="AU620">
        <f t="shared" si="210"/>
        <v>8.2629017017973108E-2</v>
      </c>
      <c r="AV620">
        <f t="shared" si="200"/>
        <v>1055.5856924046063</v>
      </c>
      <c r="AY620">
        <f>AY611</f>
        <v>6.0000000000000001E-3</v>
      </c>
      <c r="BB620">
        <f t="shared" si="211"/>
        <v>0.24</v>
      </c>
    </row>
    <row r="621" spans="1:64" x14ac:dyDescent="0.2">
      <c r="H621" t="s">
        <v>163</v>
      </c>
      <c r="J621">
        <v>91.25</v>
      </c>
      <c r="K621">
        <v>130</v>
      </c>
      <c r="M621">
        <v>309</v>
      </c>
      <c r="O621">
        <v>0.34</v>
      </c>
      <c r="P621">
        <v>550</v>
      </c>
      <c r="Q621">
        <f t="shared" si="201"/>
        <v>0.56181818181818177</v>
      </c>
      <c r="S621">
        <v>0</v>
      </c>
      <c r="T621">
        <v>0</v>
      </c>
      <c r="U621">
        <v>0</v>
      </c>
      <c r="V621">
        <v>0</v>
      </c>
      <c r="W621">
        <f>S621*B613+T621*B614</f>
        <v>0</v>
      </c>
      <c r="X621">
        <f t="shared" si="196"/>
        <v>1</v>
      </c>
      <c r="Y621">
        <f t="shared" si="197"/>
        <v>5.9863868880483606</v>
      </c>
      <c r="Z621">
        <f t="shared" si="202"/>
        <v>1.0936492659798909</v>
      </c>
      <c r="AC621">
        <v>7.8E-2</v>
      </c>
      <c r="AE621">
        <v>0.55000000000000004</v>
      </c>
      <c r="AF621">
        <f t="shared" si="198"/>
        <v>2.6986632091322007</v>
      </c>
      <c r="AG621">
        <f t="shared" si="203"/>
        <v>0.19</v>
      </c>
      <c r="AH621">
        <f t="shared" si="204"/>
        <v>0.6784</v>
      </c>
      <c r="AI621">
        <f>AI611</f>
        <v>0.10199999999999999</v>
      </c>
      <c r="AK621">
        <f>AK611</f>
        <v>0.78</v>
      </c>
      <c r="AL621">
        <f>AL611</f>
        <v>99.897999999999996</v>
      </c>
      <c r="AM621">
        <f>AM611</f>
        <v>4.7000000000000002E-3</v>
      </c>
      <c r="AN621">
        <f t="shared" si="205"/>
        <v>2.7674698807422435E-4</v>
      </c>
      <c r="AO621">
        <f t="shared" si="206"/>
        <v>1.6332128191151672E-3</v>
      </c>
      <c r="AP621">
        <f t="shared" si="207"/>
        <v>1.9099598071893914E-3</v>
      </c>
      <c r="AQ621">
        <f t="shared" si="208"/>
        <v>22.656898212784156</v>
      </c>
      <c r="AS621">
        <f t="shared" si="209"/>
        <v>0</v>
      </c>
      <c r="AT621">
        <f t="shared" si="199"/>
        <v>5.6278825316515091E-3</v>
      </c>
      <c r="AU621">
        <f t="shared" si="210"/>
        <v>6.7785101734260556E-2</v>
      </c>
      <c r="AV621">
        <f t="shared" si="200"/>
        <v>804.10076932266588</v>
      </c>
      <c r="AY621">
        <f>AY611</f>
        <v>6.0000000000000001E-3</v>
      </c>
      <c r="BB621">
        <f t="shared" si="211"/>
        <v>0.24</v>
      </c>
    </row>
    <row r="622" spans="1:64" x14ac:dyDescent="0.2">
      <c r="H622" t="s">
        <v>164</v>
      </c>
      <c r="J622">
        <v>91.25</v>
      </c>
      <c r="K622">
        <v>105</v>
      </c>
      <c r="M622">
        <v>344</v>
      </c>
      <c r="O622">
        <v>0.19</v>
      </c>
      <c r="P622">
        <v>550</v>
      </c>
      <c r="Q622">
        <f t="shared" si="201"/>
        <v>0.62545454545454549</v>
      </c>
      <c r="S622">
        <v>0</v>
      </c>
      <c r="T622">
        <v>0</v>
      </c>
      <c r="U622">
        <v>0</v>
      </c>
      <c r="V622">
        <v>0</v>
      </c>
      <c r="W622">
        <f>S622*B613+T622*B614</f>
        <v>0</v>
      </c>
      <c r="X622">
        <f t="shared" si="196"/>
        <v>1</v>
      </c>
      <c r="Y622">
        <f t="shared" si="197"/>
        <v>6.2446831312449591</v>
      </c>
      <c r="Z622">
        <f t="shared" si="202"/>
        <v>1.0496778596639791</v>
      </c>
      <c r="AC622">
        <v>5.8999999999999997E-2</v>
      </c>
      <c r="AE622">
        <v>0.51</v>
      </c>
      <c r="AF622">
        <f t="shared" si="198"/>
        <v>3.0449074947950421</v>
      </c>
      <c r="AG622">
        <f t="shared" si="203"/>
        <v>0.19</v>
      </c>
      <c r="AH622">
        <f t="shared" si="204"/>
        <v>0.6784</v>
      </c>
      <c r="AI622">
        <f>AI611</f>
        <v>0.10199999999999999</v>
      </c>
      <c r="AK622">
        <f>AK611</f>
        <v>0.78</v>
      </c>
      <c r="AL622">
        <f>AL611</f>
        <v>99.897999999999996</v>
      </c>
      <c r="AM622">
        <f>AM611</f>
        <v>4.7000000000000002E-3</v>
      </c>
      <c r="AN622">
        <f t="shared" si="205"/>
        <v>3.1225422101490531E-4</v>
      </c>
      <c r="AO622">
        <f t="shared" si="206"/>
        <v>1.8427575314662011E-3</v>
      </c>
      <c r="AP622">
        <f t="shared" si="207"/>
        <v>2.1550117524811066E-3</v>
      </c>
      <c r="AQ622">
        <f t="shared" si="208"/>
        <v>20.647706353459604</v>
      </c>
      <c r="AS622">
        <f t="shared" si="209"/>
        <v>0</v>
      </c>
      <c r="AT622">
        <f t="shared" si="199"/>
        <v>2.8617203792887457E-3</v>
      </c>
      <c r="AU622">
        <f t="shared" si="210"/>
        <v>5.4682262610646272E-2</v>
      </c>
      <c r="AV622">
        <f t="shared" si="200"/>
        <v>523.92442863825465</v>
      </c>
      <c r="AY622">
        <f>AY611</f>
        <v>6.0000000000000001E-3</v>
      </c>
      <c r="BB622">
        <f t="shared" si="211"/>
        <v>0.24</v>
      </c>
    </row>
    <row r="623" spans="1:64" x14ac:dyDescent="0.2">
      <c r="G623" t="s">
        <v>179</v>
      </c>
      <c r="H623" t="s">
        <v>160</v>
      </c>
      <c r="J623">
        <v>91.25</v>
      </c>
      <c r="K623">
        <v>130</v>
      </c>
      <c r="M623">
        <v>357</v>
      </c>
      <c r="O623">
        <v>0.41</v>
      </c>
      <c r="P623">
        <v>550</v>
      </c>
      <c r="Q623">
        <f t="shared" si="201"/>
        <v>0.64909090909090905</v>
      </c>
      <c r="S623">
        <v>0</v>
      </c>
      <c r="T623">
        <v>0</v>
      </c>
      <c r="U623">
        <v>0</v>
      </c>
      <c r="V623">
        <v>0</v>
      </c>
      <c r="W623">
        <f>S623*B613+T623*B614</f>
        <v>0</v>
      </c>
      <c r="X623">
        <f t="shared" si="196"/>
        <v>1</v>
      </c>
      <c r="Y623">
        <f t="shared" si="197"/>
        <v>6.7785382121187601</v>
      </c>
      <c r="Z623">
        <f t="shared" si="202"/>
        <v>1.1071126463121368</v>
      </c>
      <c r="AC623">
        <v>7.1999999999999995E-2</v>
      </c>
      <c r="AE623">
        <v>0.53</v>
      </c>
      <c r="AF623">
        <f t="shared" si="198"/>
        <v>3.1804901291261221</v>
      </c>
      <c r="AG623">
        <f t="shared" si="203"/>
        <v>0.19</v>
      </c>
      <c r="AH623">
        <f t="shared" si="204"/>
        <v>0.6784</v>
      </c>
      <c r="AI623">
        <f>AI611</f>
        <v>0.10199999999999999</v>
      </c>
      <c r="AK623">
        <f>AK611</f>
        <v>0.78</v>
      </c>
      <c r="AL623">
        <f>AL611</f>
        <v>99.897999999999996</v>
      </c>
      <c r="AM623">
        <f>AM611</f>
        <v>4.7000000000000002E-3</v>
      </c>
      <c r="AN623">
        <f t="shared" si="205"/>
        <v>3.261581737420636E-4</v>
      </c>
      <c r="AO623">
        <f t="shared" si="206"/>
        <v>1.9248112296415024E-3</v>
      </c>
      <c r="AP623">
        <f t="shared" si="207"/>
        <v>2.2509694033835659E-3</v>
      </c>
      <c r="AQ623">
        <f t="shared" si="208"/>
        <v>26.702124547637553</v>
      </c>
      <c r="AS623">
        <f t="shared" si="209"/>
        <v>0</v>
      </c>
      <c r="AT623">
        <f t="shared" si="199"/>
        <v>5.9725889671609685E-3</v>
      </c>
      <c r="AU623">
        <f t="shared" si="210"/>
        <v>7.0670685435636024E-2</v>
      </c>
      <c r="AV623">
        <f t="shared" si="200"/>
        <v>838.33100598023236</v>
      </c>
      <c r="AY623">
        <f>AY611</f>
        <v>6.0000000000000001E-3</v>
      </c>
      <c r="BB623">
        <f t="shared" si="211"/>
        <v>0.24</v>
      </c>
    </row>
    <row r="624" spans="1:64" x14ac:dyDescent="0.2">
      <c r="G624" t="s">
        <v>195</v>
      </c>
      <c r="H624" t="s">
        <v>162</v>
      </c>
      <c r="J624">
        <v>91.25</v>
      </c>
      <c r="K624">
        <v>162</v>
      </c>
      <c r="M624">
        <v>361</v>
      </c>
      <c r="O624">
        <v>0.18</v>
      </c>
      <c r="P624">
        <v>550</v>
      </c>
      <c r="Q624">
        <f t="shared" si="201"/>
        <v>0.65636363636363637</v>
      </c>
      <c r="S624">
        <v>0.77</v>
      </c>
      <c r="T624">
        <v>0</v>
      </c>
      <c r="U624">
        <v>0</v>
      </c>
      <c r="V624">
        <v>0</v>
      </c>
      <c r="W624">
        <f>S624*B613+T624*B614</f>
        <v>3.08</v>
      </c>
      <c r="X624">
        <f t="shared" si="196"/>
        <v>1.2310000000000001</v>
      </c>
      <c r="Y624">
        <f t="shared" si="197"/>
        <v>7.9532136451985389</v>
      </c>
      <c r="Z624">
        <f t="shared" si="202"/>
        <v>1.0461524341944566</v>
      </c>
      <c r="AC624">
        <v>9.9000000000000005E-2</v>
      </c>
      <c r="AE624">
        <v>0.56999999999999995</v>
      </c>
      <c r="AF624">
        <f t="shared" si="198"/>
        <v>3.4389695801838487</v>
      </c>
      <c r="AG624">
        <f t="shared" si="203"/>
        <v>0.19</v>
      </c>
      <c r="AH624">
        <f t="shared" si="204"/>
        <v>0.6784</v>
      </c>
      <c r="AI624">
        <f>AI611</f>
        <v>0.10199999999999999</v>
      </c>
      <c r="AK624">
        <f>AK611</f>
        <v>0.78</v>
      </c>
      <c r="AL624">
        <f>AL611</f>
        <v>99.897999999999996</v>
      </c>
      <c r="AM624">
        <f>AM611</f>
        <v>4.7000000000000002E-3</v>
      </c>
      <c r="AN624">
        <f t="shared" si="205"/>
        <v>3.5266515294466941E-4</v>
      </c>
      <c r="AO624">
        <f t="shared" si="206"/>
        <v>2.0812412545207762E-3</v>
      </c>
      <c r="AP624">
        <f t="shared" si="207"/>
        <v>2.4339064074654455E-3</v>
      </c>
      <c r="AQ624">
        <f t="shared" si="208"/>
        <v>35.979221468357949</v>
      </c>
      <c r="AS624">
        <f t="shared" si="209"/>
        <v>0</v>
      </c>
      <c r="AT624">
        <f t="shared" si="199"/>
        <v>1.8047562174940839E-2</v>
      </c>
      <c r="AU624">
        <f t="shared" si="210"/>
        <v>0.10647372615828402</v>
      </c>
      <c r="AV624">
        <f t="shared" si="200"/>
        <v>1573.9478569348335</v>
      </c>
      <c r="AY624">
        <f>AY611</f>
        <v>6.0000000000000001E-3</v>
      </c>
      <c r="BB624">
        <f t="shared" si="211"/>
        <v>0.24</v>
      </c>
    </row>
    <row r="625" spans="7:54" x14ac:dyDescent="0.2">
      <c r="H625" t="s">
        <v>163</v>
      </c>
      <c r="J625">
        <v>91.25</v>
      </c>
      <c r="K625">
        <v>158</v>
      </c>
      <c r="M625">
        <v>376</v>
      </c>
      <c r="O625">
        <v>0.02</v>
      </c>
      <c r="P625">
        <v>550</v>
      </c>
      <c r="Q625">
        <f t="shared" si="201"/>
        <v>0.6836363636363636</v>
      </c>
      <c r="S625">
        <v>0.15</v>
      </c>
      <c r="T625">
        <v>0.76</v>
      </c>
      <c r="U625">
        <v>0</v>
      </c>
      <c r="V625">
        <v>0</v>
      </c>
      <c r="W625">
        <f>S625*B613+T625*B614</f>
        <v>2.8800000000000003</v>
      </c>
      <c r="X625">
        <f t="shared" si="196"/>
        <v>1.121</v>
      </c>
      <c r="Y625">
        <f t="shared" si="197"/>
        <v>7.1797340826094622</v>
      </c>
      <c r="Z625">
        <f t="shared" si="202"/>
        <v>1.0049973896063178</v>
      </c>
      <c r="AC625">
        <v>7.8E-2</v>
      </c>
      <c r="AE625">
        <v>0.55000000000000004</v>
      </c>
      <c r="AF625">
        <f t="shared" si="198"/>
        <v>3.236624124440346</v>
      </c>
      <c r="AG625">
        <f t="shared" si="203"/>
        <v>0.19</v>
      </c>
      <c r="AH625">
        <f t="shared" si="204"/>
        <v>0.6784</v>
      </c>
      <c r="AI625">
        <f>AI611</f>
        <v>0.10199999999999999</v>
      </c>
      <c r="AK625">
        <f>AK611</f>
        <v>0.78</v>
      </c>
      <c r="AL625">
        <f>AL611</f>
        <v>99.897999999999996</v>
      </c>
      <c r="AM625">
        <f>AM611</f>
        <v>4.7000000000000002E-3</v>
      </c>
      <c r="AN625">
        <f t="shared" si="205"/>
        <v>3.319146957412573E-4</v>
      </c>
      <c r="AO625">
        <f t="shared" si="206"/>
        <v>1.9587831459684838E-3</v>
      </c>
      <c r="AP625">
        <f t="shared" si="207"/>
        <v>2.2906978417097409E-3</v>
      </c>
      <c r="AQ625">
        <f t="shared" si="208"/>
        <v>33.026136132850191</v>
      </c>
      <c r="AS625">
        <f t="shared" si="209"/>
        <v>0</v>
      </c>
      <c r="AT625">
        <f t="shared" si="199"/>
        <v>1.4724289881651621E-2</v>
      </c>
      <c r="AU625">
        <f t="shared" si="210"/>
        <v>7.3375983285213636E-2</v>
      </c>
      <c r="AV625">
        <f t="shared" si="200"/>
        <v>1057.8982390145677</v>
      </c>
      <c r="AY625">
        <f>AY611</f>
        <v>6.0000000000000001E-3</v>
      </c>
      <c r="BB625">
        <f t="shared" si="211"/>
        <v>0.24</v>
      </c>
    </row>
    <row r="626" spans="7:54" x14ac:dyDescent="0.2">
      <c r="H626" t="s">
        <v>164</v>
      </c>
      <c r="J626">
        <v>91.25</v>
      </c>
      <c r="K626">
        <v>130</v>
      </c>
      <c r="M626">
        <v>364</v>
      </c>
      <c r="O626">
        <v>-0.1</v>
      </c>
      <c r="P626">
        <v>550</v>
      </c>
      <c r="Q626">
        <f t="shared" si="201"/>
        <v>0.66181818181818186</v>
      </c>
      <c r="S626">
        <v>0</v>
      </c>
      <c r="T626">
        <v>0.12</v>
      </c>
      <c r="U626">
        <v>0</v>
      </c>
      <c r="V626">
        <v>0</v>
      </c>
      <c r="W626">
        <f>S626*B613+T626*B614</f>
        <v>0.36</v>
      </c>
      <c r="X626">
        <f t="shared" si="196"/>
        <v>1.012</v>
      </c>
      <c r="Y626">
        <f t="shared" si="197"/>
        <v>6.132040780166033</v>
      </c>
      <c r="Z626">
        <f t="shared" si="202"/>
        <v>0.97488959926731045</v>
      </c>
      <c r="AC626">
        <v>5.8999999999999997E-2</v>
      </c>
      <c r="AE626">
        <v>0.51</v>
      </c>
      <c r="AF626">
        <f t="shared" si="198"/>
        <v>2.9899830844089581</v>
      </c>
      <c r="AG626">
        <f t="shared" si="203"/>
        <v>0.19</v>
      </c>
      <c r="AH626">
        <f t="shared" si="204"/>
        <v>0.6784</v>
      </c>
      <c r="AI626">
        <f>AI611</f>
        <v>0.10199999999999999</v>
      </c>
      <c r="AK626">
        <f>AK611</f>
        <v>0.78</v>
      </c>
      <c r="AL626">
        <f>AL611</f>
        <v>99.897999999999996</v>
      </c>
      <c r="AM626">
        <f>AM611</f>
        <v>4.7000000000000002E-3</v>
      </c>
      <c r="AN626">
        <f t="shared" si="205"/>
        <v>3.0662174153593056E-4</v>
      </c>
      <c r="AO626">
        <f t="shared" si="206"/>
        <v>1.8095176478003399E-3</v>
      </c>
      <c r="AP626">
        <f t="shared" si="207"/>
        <v>2.1161393893362706E-3</v>
      </c>
      <c r="AQ626">
        <f t="shared" si="208"/>
        <v>25.102703506001511</v>
      </c>
      <c r="AS626">
        <f t="shared" si="209"/>
        <v>0</v>
      </c>
      <c r="AT626">
        <f t="shared" si="199"/>
        <v>3.7039228305657144E-4</v>
      </c>
      <c r="AU626">
        <f t="shared" si="210"/>
        <v>5.6049381416588828E-2</v>
      </c>
      <c r="AV626">
        <f t="shared" si="200"/>
        <v>664.88578705428495</v>
      </c>
      <c r="AY626">
        <f>AY611</f>
        <v>6.0000000000000001E-3</v>
      </c>
      <c r="BB626">
        <f t="shared" si="211"/>
        <v>0.24</v>
      </c>
    </row>
    <row r="627" spans="7:54" x14ac:dyDescent="0.2">
      <c r="G627" t="s">
        <v>176</v>
      </c>
      <c r="H627" t="s">
        <v>160</v>
      </c>
      <c r="J627">
        <v>91.25</v>
      </c>
      <c r="K627">
        <v>30</v>
      </c>
      <c r="M627">
        <v>217</v>
      </c>
      <c r="O627">
        <v>0.41</v>
      </c>
      <c r="P627">
        <v>550</v>
      </c>
      <c r="Q627">
        <f t="shared" si="201"/>
        <v>0.39454545454545453</v>
      </c>
      <c r="S627">
        <v>0</v>
      </c>
      <c r="T627">
        <v>0</v>
      </c>
      <c r="U627">
        <f>25/K627</f>
        <v>0.83333333333333337</v>
      </c>
      <c r="V627">
        <f>5/K627</f>
        <v>0.16666666666666666</v>
      </c>
      <c r="W627">
        <f>S627*B613+T627*B614</f>
        <v>0</v>
      </c>
      <c r="X627">
        <f t="shared" si="196"/>
        <v>1</v>
      </c>
      <c r="Y627">
        <f t="shared" si="197"/>
        <v>4.7388875146819611</v>
      </c>
      <c r="Z627">
        <f t="shared" si="202"/>
        <v>1.1301162631150545</v>
      </c>
      <c r="AC627">
        <v>7.1999999999999995E-2</v>
      </c>
      <c r="AE627">
        <v>0.53</v>
      </c>
      <c r="AF627">
        <f t="shared" si="198"/>
        <v>2.2234860218887764</v>
      </c>
      <c r="AG627">
        <f t="shared" si="203"/>
        <v>0.19</v>
      </c>
      <c r="AH627">
        <f t="shared" si="204"/>
        <v>0.6784</v>
      </c>
      <c r="AI627">
        <f>AI611</f>
        <v>0.10199999999999999</v>
      </c>
      <c r="AK627">
        <f>AK611</f>
        <v>0.78</v>
      </c>
      <c r="AL627">
        <f>AL611</f>
        <v>99.897999999999996</v>
      </c>
      <c r="AM627">
        <f>AM611</f>
        <v>4.7000000000000002E-3</v>
      </c>
      <c r="AN627">
        <f t="shared" si="205"/>
        <v>2.2801773022308012E-4</v>
      </c>
      <c r="AO627">
        <f t="shared" si="206"/>
        <v>1.3456387821138601E-3</v>
      </c>
      <c r="AP627">
        <f t="shared" si="207"/>
        <v>1.5736565123369403E-3</v>
      </c>
      <c r="AQ627">
        <f t="shared" si="208"/>
        <v>4.3078847025223741</v>
      </c>
      <c r="AS627">
        <f t="shared" si="209"/>
        <v>3.8333333333333335</v>
      </c>
      <c r="AT627">
        <f t="shared" si="199"/>
        <v>8.852541202336521E-3</v>
      </c>
      <c r="AU627">
        <f t="shared" si="210"/>
        <v>6.3971114440772886E-2</v>
      </c>
      <c r="AV627">
        <f t="shared" si="200"/>
        <v>175.12092578161577</v>
      </c>
      <c r="AY627">
        <f>AY611</f>
        <v>6.0000000000000001E-3</v>
      </c>
      <c r="BB627">
        <f t="shared" si="211"/>
        <v>0.24</v>
      </c>
    </row>
    <row r="628" spans="7:54" x14ac:dyDescent="0.2">
      <c r="G628">
        <v>3</v>
      </c>
      <c r="H628" t="s">
        <v>162</v>
      </c>
      <c r="J628">
        <v>91.25</v>
      </c>
      <c r="K628">
        <v>68</v>
      </c>
      <c r="M628">
        <v>113</v>
      </c>
      <c r="O628">
        <v>0.65</v>
      </c>
      <c r="P628">
        <v>550</v>
      </c>
      <c r="Q628">
        <f t="shared" si="201"/>
        <v>0.20545454545454545</v>
      </c>
      <c r="S628">
        <v>0</v>
      </c>
      <c r="T628">
        <v>0</v>
      </c>
      <c r="U628">
        <f>40/K628</f>
        <v>0.58823529411764708</v>
      </c>
      <c r="V628">
        <f>25/K628</f>
        <v>0.36764705882352944</v>
      </c>
      <c r="W628">
        <f>S628*B613+T628*B614</f>
        <v>0</v>
      </c>
      <c r="X628">
        <f t="shared" si="196"/>
        <v>1</v>
      </c>
      <c r="Y628">
        <f t="shared" si="197"/>
        <v>3.4952942283843602</v>
      </c>
      <c r="Z628">
        <f t="shared" si="202"/>
        <v>1.2610980603306599</v>
      </c>
      <c r="AC628">
        <v>9.9000000000000005E-2</v>
      </c>
      <c r="AE628">
        <v>0.56999999999999995</v>
      </c>
      <c r="AF628">
        <f t="shared" si="198"/>
        <v>1.5113652243533975</v>
      </c>
      <c r="AG628">
        <f t="shared" si="203"/>
        <v>0.19</v>
      </c>
      <c r="AH628">
        <f t="shared" si="204"/>
        <v>0.6784</v>
      </c>
      <c r="AI628">
        <f>AI611</f>
        <v>0.10199999999999999</v>
      </c>
      <c r="AK628">
        <f>AK611</f>
        <v>0.78</v>
      </c>
      <c r="AL628">
        <f>AL611</f>
        <v>99.897999999999996</v>
      </c>
      <c r="AM628">
        <f>AM611</f>
        <v>4.7000000000000002E-3</v>
      </c>
      <c r="AN628">
        <f t="shared" si="205"/>
        <v>1.5498998626598808E-4</v>
      </c>
      <c r="AO628">
        <f t="shared" si="206"/>
        <v>9.1466806618399306E-4</v>
      </c>
      <c r="AP628">
        <f t="shared" si="207"/>
        <v>1.0696580524499812E-3</v>
      </c>
      <c r="AQ628">
        <f t="shared" si="208"/>
        <v>6.6372282154521338</v>
      </c>
      <c r="AS628">
        <f t="shared" si="209"/>
        <v>3.4558823529411766</v>
      </c>
      <c r="AT628">
        <f t="shared" si="199"/>
        <v>1.7536176415361638E-2</v>
      </c>
      <c r="AU628">
        <f t="shared" si="210"/>
        <v>5.4552875068403554E-2</v>
      </c>
      <c r="AV628">
        <f t="shared" si="200"/>
        <v>338.50058979944407</v>
      </c>
      <c r="AY628">
        <f>AY611</f>
        <v>6.0000000000000001E-3</v>
      </c>
      <c r="BB628">
        <f t="shared" si="211"/>
        <v>0.24</v>
      </c>
    </row>
    <row r="629" spans="7:54" x14ac:dyDescent="0.2">
      <c r="H629" t="s">
        <v>163</v>
      </c>
      <c r="J629">
        <v>91.25</v>
      </c>
      <c r="K629">
        <v>65</v>
      </c>
      <c r="M629">
        <v>172</v>
      </c>
      <c r="O629">
        <v>0.52</v>
      </c>
      <c r="P629">
        <v>550</v>
      </c>
      <c r="Q629">
        <f t="shared" si="201"/>
        <v>0.31272727272727274</v>
      </c>
      <c r="S629">
        <v>0</v>
      </c>
      <c r="T629">
        <v>0</v>
      </c>
      <c r="U629">
        <v>0</v>
      </c>
      <c r="V629">
        <f>40/K629</f>
        <v>0.61538461538461542</v>
      </c>
      <c r="W629">
        <f>S629*B613+T629*B614</f>
        <v>0</v>
      </c>
      <c r="X629">
        <f t="shared" si="196"/>
        <v>1</v>
      </c>
      <c r="Y629">
        <f t="shared" si="197"/>
        <v>4.2138301864345591</v>
      </c>
      <c r="Z629">
        <f t="shared" si="202"/>
        <v>1.1809479895331592</v>
      </c>
      <c r="AC629">
        <v>7.8E-2</v>
      </c>
      <c r="AE629">
        <v>0.55000000000000004</v>
      </c>
      <c r="AF629">
        <f t="shared" si="198"/>
        <v>1.8995946480446995</v>
      </c>
      <c r="AG629">
        <f t="shared" si="203"/>
        <v>0.19</v>
      </c>
      <c r="AH629">
        <f t="shared" si="204"/>
        <v>0.6784</v>
      </c>
      <c r="AI629">
        <f>AI611</f>
        <v>0.10199999999999999</v>
      </c>
      <c r="AK629">
        <f>AK611</f>
        <v>0.78</v>
      </c>
      <c r="AL629">
        <f>AL611</f>
        <v>99.897999999999996</v>
      </c>
      <c r="AM629">
        <f>AM611</f>
        <v>4.7000000000000002E-3</v>
      </c>
      <c r="AN629">
        <f t="shared" si="205"/>
        <v>1.9480278073577643E-4</v>
      </c>
      <c r="AO629">
        <f t="shared" si="206"/>
        <v>1.1496219016180265E-3</v>
      </c>
      <c r="AP629">
        <f t="shared" si="207"/>
        <v>1.3444246823538029E-3</v>
      </c>
      <c r="AQ629">
        <f t="shared" si="208"/>
        <v>7.9741188972109942</v>
      </c>
      <c r="AS629">
        <f t="shared" si="209"/>
        <v>1.8461538461538463</v>
      </c>
      <c r="AT629">
        <f t="shared" si="199"/>
        <v>1.2555862638270729E-2</v>
      </c>
      <c r="AU629">
        <f t="shared" si="210"/>
        <v>4.845653489637769E-2</v>
      </c>
      <c r="AV629">
        <f t="shared" si="200"/>
        <v>287.40782260414016</v>
      </c>
      <c r="AY629">
        <f>AY611</f>
        <v>6.0000000000000001E-3</v>
      </c>
      <c r="BB629">
        <f t="shared" si="211"/>
        <v>0.24</v>
      </c>
    </row>
    <row r="630" spans="7:54" x14ac:dyDescent="0.2">
      <c r="H630" t="s">
        <v>164</v>
      </c>
      <c r="J630">
        <v>91.25</v>
      </c>
      <c r="K630">
        <v>62</v>
      </c>
      <c r="M630">
        <v>208</v>
      </c>
      <c r="O630">
        <v>0.25</v>
      </c>
      <c r="P630">
        <v>550</v>
      </c>
      <c r="Q630">
        <f t="shared" si="201"/>
        <v>0.37818181818181817</v>
      </c>
      <c r="S630">
        <v>0</v>
      </c>
      <c r="T630">
        <v>0</v>
      </c>
      <c r="U630">
        <f>5/K630</f>
        <v>8.0645161290322578E-2</v>
      </c>
      <c r="V630">
        <v>0</v>
      </c>
      <c r="W630">
        <f>S630*B613+T630*B614</f>
        <v>0</v>
      </c>
      <c r="X630">
        <f t="shared" si="196"/>
        <v>1</v>
      </c>
      <c r="Y630">
        <f t="shared" si="197"/>
        <v>4.3914706245889592</v>
      </c>
      <c r="Z630">
        <f t="shared" si="202"/>
        <v>1.0796173270953422</v>
      </c>
      <c r="AC630">
        <v>5.8999999999999997E-2</v>
      </c>
      <c r="AE630">
        <v>0.51</v>
      </c>
      <c r="AF630">
        <f t="shared" si="198"/>
        <v>2.1412810765495762</v>
      </c>
      <c r="AG630">
        <f t="shared" si="203"/>
        <v>0.19</v>
      </c>
      <c r="AH630">
        <f t="shared" si="204"/>
        <v>0.6784</v>
      </c>
      <c r="AI630">
        <f>AI611</f>
        <v>0.10199999999999999</v>
      </c>
      <c r="AK630">
        <f>AK611</f>
        <v>0.78</v>
      </c>
      <c r="AL630">
        <f>AL611</f>
        <v>99.897999999999996</v>
      </c>
      <c r="AM630">
        <f>AM611</f>
        <v>4.7000000000000002E-3</v>
      </c>
      <c r="AN630">
        <f t="shared" si="205"/>
        <v>2.1958764122551841E-4</v>
      </c>
      <c r="AO630">
        <f t="shared" si="206"/>
        <v>1.2958889022220985E-3</v>
      </c>
      <c r="AP630">
        <f t="shared" si="207"/>
        <v>1.515476543447617E-3</v>
      </c>
      <c r="AQ630">
        <f t="shared" si="208"/>
        <v>8.5738085445548933</v>
      </c>
      <c r="AS630">
        <f t="shared" si="209"/>
        <v>0.32258064516129031</v>
      </c>
      <c r="AT630">
        <f t="shared" si="199"/>
        <v>5.538306018324661E-3</v>
      </c>
      <c r="AU630">
        <f>MAX((Y630*AC630/6.25)+(0.032*AS630/6.38)-AT630-((1.1*(10^-4)*(M630^0.75))/6.25), 0)</f>
        <v>3.6571173460649621E-2</v>
      </c>
      <c r="AV630">
        <f t="shared" si="200"/>
        <v>206.90141385362526</v>
      </c>
      <c r="AY630">
        <f>AY611</f>
        <v>6.0000000000000001E-3</v>
      </c>
      <c r="BB630">
        <f t="shared" si="211"/>
        <v>0.24</v>
      </c>
    </row>
    <row r="631" spans="7:54" x14ac:dyDescent="0.2">
      <c r="G631" t="s">
        <v>182</v>
      </c>
      <c r="H631" t="s">
        <v>160</v>
      </c>
      <c r="J631">
        <v>91.25</v>
      </c>
      <c r="K631">
        <v>120</v>
      </c>
      <c r="M631">
        <v>467</v>
      </c>
      <c r="O631">
        <v>-0.19</v>
      </c>
      <c r="P631">
        <v>550</v>
      </c>
      <c r="Q631">
        <f t="shared" si="201"/>
        <v>0.84909090909090912</v>
      </c>
      <c r="S631">
        <v>0</v>
      </c>
      <c r="T631">
        <v>0</v>
      </c>
      <c r="U631">
        <v>0</v>
      </c>
      <c r="V631">
        <v>0</v>
      </c>
      <c r="W631">
        <f>S631*B613+T631*B614</f>
        <v>0</v>
      </c>
      <c r="X631">
        <f t="shared" si="196"/>
        <v>1</v>
      </c>
      <c r="Y631">
        <f t="shared" si="197"/>
        <v>7.1732833907619584</v>
      </c>
      <c r="Z631">
        <f t="shared" si="202"/>
        <v>0.95676209516828237</v>
      </c>
      <c r="AC631">
        <v>7.1999999999999995E-2</v>
      </c>
      <c r="AE631">
        <v>0.53</v>
      </c>
      <c r="AF631">
        <f t="shared" si="198"/>
        <v>3.365704566945511</v>
      </c>
      <c r="AG631">
        <f t="shared" si="203"/>
        <v>0.19</v>
      </c>
      <c r="AH631">
        <f t="shared" si="204"/>
        <v>0.6784</v>
      </c>
      <c r="AI631">
        <f>AI611</f>
        <v>0.10199999999999999</v>
      </c>
      <c r="AK631">
        <f>AK611</f>
        <v>0.78</v>
      </c>
      <c r="AL631">
        <f>AL611</f>
        <v>99.897999999999996</v>
      </c>
      <c r="AM631">
        <f>AM611</f>
        <v>4.7000000000000002E-3</v>
      </c>
      <c r="AN631">
        <f t="shared" si="205"/>
        <v>3.4515185092301838E-4</v>
      </c>
      <c r="AO631">
        <f t="shared" si="206"/>
        <v>2.036901761393743E-3</v>
      </c>
      <c r="AP631">
        <f t="shared" si="207"/>
        <v>2.3820536123167614E-3</v>
      </c>
      <c r="AQ631">
        <f t="shared" si="208"/>
        <v>26.083487054868538</v>
      </c>
      <c r="AS631">
        <f t="shared" si="209"/>
        <v>0</v>
      </c>
      <c r="AT631">
        <f t="shared" si="199"/>
        <v>-2.2763071297214306E-3</v>
      </c>
      <c r="AU631">
        <f t="shared" si="210"/>
        <v>8.3144458237259605E-2</v>
      </c>
      <c r="AV631">
        <f t="shared" si="200"/>
        <v>910.43181769799264</v>
      </c>
      <c r="AY631">
        <f>AY611</f>
        <v>6.0000000000000001E-3</v>
      </c>
      <c r="BB631">
        <f t="shared" si="211"/>
        <v>0.24</v>
      </c>
    </row>
    <row r="632" spans="7:54" x14ac:dyDescent="0.2">
      <c r="G632" t="s">
        <v>196</v>
      </c>
      <c r="H632" t="s">
        <v>162</v>
      </c>
      <c r="J632">
        <v>91.25</v>
      </c>
      <c r="K632">
        <v>155</v>
      </c>
      <c r="M632">
        <v>477</v>
      </c>
      <c r="O632">
        <v>0.63</v>
      </c>
      <c r="P632">
        <v>550</v>
      </c>
      <c r="Q632">
        <f t="shared" si="201"/>
        <v>0.86727272727272731</v>
      </c>
      <c r="S632">
        <v>0.7</v>
      </c>
      <c r="T632">
        <v>0</v>
      </c>
      <c r="U632">
        <v>0</v>
      </c>
      <c r="V632">
        <v>0</v>
      </c>
      <c r="W632">
        <f>S632*B613+T632*B614</f>
        <v>2.8</v>
      </c>
      <c r="X632">
        <f t="shared" si="196"/>
        <v>1.21</v>
      </c>
      <c r="Y632">
        <f t="shared" si="197"/>
        <v>10.583310630384004</v>
      </c>
      <c r="Z632">
        <f t="shared" si="202"/>
        <v>1.1490298836075337</v>
      </c>
      <c r="AC632">
        <v>9.9000000000000005E-2</v>
      </c>
      <c r="AE632">
        <v>0.56999999999999995</v>
      </c>
      <c r="AF632">
        <f t="shared" si="198"/>
        <v>4.5762235165780432</v>
      </c>
      <c r="AG632">
        <f t="shared" si="203"/>
        <v>0.19</v>
      </c>
      <c r="AH632">
        <f t="shared" si="204"/>
        <v>0.6784</v>
      </c>
      <c r="AI632">
        <f>AI611</f>
        <v>0.10199999999999999</v>
      </c>
      <c r="AK632">
        <f>AK611</f>
        <v>0.78</v>
      </c>
      <c r="AL632">
        <f>AL611</f>
        <v>99.897999999999996</v>
      </c>
      <c r="AM632">
        <f>AM611</f>
        <v>4.7000000000000002E-3</v>
      </c>
      <c r="AN632">
        <f t="shared" si="205"/>
        <v>4.6929015472614626E-4</v>
      </c>
      <c r="AO632">
        <f t="shared" si="206"/>
        <v>2.7694996860371168E-3</v>
      </c>
      <c r="AP632">
        <f t="shared" si="207"/>
        <v>3.238789840763263E-3</v>
      </c>
      <c r="AQ632">
        <f t="shared" si="208"/>
        <v>45.808633810295404</v>
      </c>
      <c r="AS632">
        <f t="shared" si="209"/>
        <v>0</v>
      </c>
      <c r="AT632">
        <f t="shared" si="199"/>
        <v>2.149864042309086E-2</v>
      </c>
      <c r="AU632">
        <f t="shared" si="210"/>
        <v>0.14434460655676984</v>
      </c>
      <c r="AV632">
        <f t="shared" si="200"/>
        <v>2041.5740289873133</v>
      </c>
      <c r="AY632">
        <f>AY611</f>
        <v>6.0000000000000001E-3</v>
      </c>
      <c r="BB632">
        <f t="shared" si="211"/>
        <v>0.24</v>
      </c>
    </row>
    <row r="633" spans="7:54" x14ac:dyDescent="0.2">
      <c r="H633" t="s">
        <v>163</v>
      </c>
      <c r="J633">
        <v>91.25</v>
      </c>
      <c r="K633">
        <v>152</v>
      </c>
      <c r="M633">
        <v>471</v>
      </c>
      <c r="O633">
        <v>0.04</v>
      </c>
      <c r="P633">
        <v>550</v>
      </c>
      <c r="Q633">
        <f t="shared" si="201"/>
        <v>0.85636363636363633</v>
      </c>
      <c r="S633">
        <v>0.1</v>
      </c>
      <c r="T633">
        <v>0.81</v>
      </c>
      <c r="U633">
        <v>0</v>
      </c>
      <c r="V633">
        <v>0</v>
      </c>
      <c r="W633">
        <f>S633*B613+T633*B614</f>
        <v>2.83</v>
      </c>
      <c r="X633">
        <f t="shared" si="196"/>
        <v>1.1110000000000002</v>
      </c>
      <c r="Y633">
        <f t="shared" si="197"/>
        <v>8.4579624355367642</v>
      </c>
      <c r="Z633">
        <f t="shared" si="202"/>
        <v>1.0091961814230741</v>
      </c>
      <c r="AC633">
        <v>7.8E-2</v>
      </c>
      <c r="AE633">
        <v>0.55000000000000004</v>
      </c>
      <c r="AF633">
        <f t="shared" si="198"/>
        <v>3.8128494659399732</v>
      </c>
      <c r="AG633">
        <f t="shared" si="203"/>
        <v>0.19</v>
      </c>
      <c r="AH633">
        <f t="shared" si="204"/>
        <v>0.6784</v>
      </c>
      <c r="AI633">
        <f>AI611</f>
        <v>0.10199999999999999</v>
      </c>
      <c r="AK633">
        <f>AK611</f>
        <v>0.78</v>
      </c>
      <c r="AL633">
        <f>AL611</f>
        <v>99.897999999999996</v>
      </c>
      <c r="AM633">
        <f>AM611</f>
        <v>4.7000000000000002E-3</v>
      </c>
      <c r="AN633">
        <f t="shared" si="205"/>
        <v>3.910064072124871E-4</v>
      </c>
      <c r="AO633">
        <f t="shared" si="206"/>
        <v>2.307510846131866E-3</v>
      </c>
      <c r="AP633">
        <f t="shared" si="207"/>
        <v>2.698517253344353E-3</v>
      </c>
      <c r="AQ633">
        <f t="shared" si="208"/>
        <v>37.428434303886178</v>
      </c>
      <c r="AS633">
        <f t="shared" si="209"/>
        <v>0</v>
      </c>
      <c r="AT633">
        <f t="shared" si="199"/>
        <v>1.4671212658792105E-2</v>
      </c>
      <c r="AU633">
        <f t="shared" si="210"/>
        <v>8.9104739025931162E-2</v>
      </c>
      <c r="AV633">
        <f t="shared" si="200"/>
        <v>1235.8827302896652</v>
      </c>
      <c r="AY633">
        <f>AY611</f>
        <v>6.0000000000000001E-3</v>
      </c>
      <c r="BB633">
        <f t="shared" si="211"/>
        <v>0.24</v>
      </c>
    </row>
    <row r="634" spans="7:54" x14ac:dyDescent="0.2">
      <c r="H634" t="s">
        <v>164</v>
      </c>
      <c r="J634">
        <v>91.25</v>
      </c>
      <c r="K634">
        <v>89</v>
      </c>
      <c r="M634">
        <v>484</v>
      </c>
      <c r="O634">
        <v>-0.02</v>
      </c>
      <c r="P634">
        <v>550</v>
      </c>
      <c r="Q634">
        <f t="shared" si="201"/>
        <v>0.88</v>
      </c>
      <c r="S634">
        <v>0</v>
      </c>
      <c r="T634">
        <v>0.05</v>
      </c>
      <c r="U634">
        <v>0</v>
      </c>
      <c r="V634">
        <v>0</v>
      </c>
      <c r="W634">
        <f>S634*B613+T634*B614</f>
        <v>0.15000000000000002</v>
      </c>
      <c r="X634">
        <f t="shared" si="196"/>
        <v>1.0049999999999999</v>
      </c>
      <c r="Y634">
        <f t="shared" si="197"/>
        <v>7.6945392996795139</v>
      </c>
      <c r="Z634">
        <f t="shared" si="202"/>
        <v>0.99546182745653988</v>
      </c>
      <c r="AC634">
        <v>5.8999999999999997E-2</v>
      </c>
      <c r="AE634">
        <v>0.51</v>
      </c>
      <c r="AF634">
        <f t="shared" si="198"/>
        <v>3.7518573625237308</v>
      </c>
      <c r="AG634">
        <f t="shared" si="203"/>
        <v>0.19</v>
      </c>
      <c r="AH634">
        <f t="shared" si="204"/>
        <v>0.6784</v>
      </c>
      <c r="AI634">
        <f>AI611</f>
        <v>0.10199999999999999</v>
      </c>
      <c r="AK634">
        <f>AK611</f>
        <v>0.78</v>
      </c>
      <c r="AL634">
        <f>AL611</f>
        <v>99.897999999999996</v>
      </c>
      <c r="AM634">
        <f>AM611</f>
        <v>4.7000000000000002E-3</v>
      </c>
      <c r="AN634">
        <f t="shared" si="205"/>
        <v>3.8475168789084771E-4</v>
      </c>
      <c r="AO634">
        <f t="shared" si="206"/>
        <v>2.2705988354640963E-3</v>
      </c>
      <c r="AP634">
        <f t="shared" si="207"/>
        <v>2.6553505233549439E-3</v>
      </c>
      <c r="AQ634">
        <f t="shared" si="208"/>
        <v>21.564765437796336</v>
      </c>
      <c r="AS634">
        <f t="shared" si="209"/>
        <v>0</v>
      </c>
      <c r="AT634">
        <f t="shared" si="199"/>
        <v>5.1721882828138625E-4</v>
      </c>
      <c r="AU634">
        <f t="shared" si="210"/>
        <v>7.0303103178489576E-2</v>
      </c>
      <c r="AV634">
        <f t="shared" si="200"/>
        <v>570.94907668830842</v>
      </c>
      <c r="AY634">
        <f>AY611</f>
        <v>6.0000000000000001E-3</v>
      </c>
      <c r="BB634">
        <f t="shared" si="211"/>
        <v>0.24</v>
      </c>
    </row>
    <row r="635" spans="7:54" x14ac:dyDescent="0.2">
      <c r="G635" t="s">
        <v>187</v>
      </c>
      <c r="H635" t="s">
        <v>160</v>
      </c>
      <c r="J635">
        <v>91.25</v>
      </c>
      <c r="K635">
        <v>25</v>
      </c>
      <c r="M635">
        <v>370</v>
      </c>
      <c r="O635">
        <v>1.07</v>
      </c>
      <c r="P635">
        <v>660</v>
      </c>
      <c r="Q635">
        <f t="shared" si="201"/>
        <v>0.56060606060606055</v>
      </c>
      <c r="S635">
        <v>0</v>
      </c>
      <c r="T635">
        <v>0</v>
      </c>
      <c r="U635">
        <v>0</v>
      </c>
      <c r="V635">
        <v>0</v>
      </c>
      <c r="W635">
        <f>S635*B613+T635*B614</f>
        <v>0</v>
      </c>
      <c r="X635">
        <f t="shared" si="196"/>
        <v>1</v>
      </c>
      <c r="Y635">
        <f t="shared" si="197"/>
        <v>8.0992037280999991</v>
      </c>
      <c r="Z635">
        <f>Y635 / ((1.185 + 0.00454 * M635 - 0.0000026 * M635 ^ 2) ^ 2 * X635)</f>
        <v>1.2867360500508023</v>
      </c>
      <c r="AC635">
        <v>7.1999999999999995E-2</v>
      </c>
      <c r="AE635">
        <v>0.53</v>
      </c>
      <c r="AF635">
        <f t="shared" si="198"/>
        <v>3.8001463892245195</v>
      </c>
      <c r="AG635">
        <f t="shared" si="203"/>
        <v>0.19</v>
      </c>
      <c r="AH635">
        <f t="shared" si="204"/>
        <v>0.6784</v>
      </c>
      <c r="AI635">
        <f>AI611</f>
        <v>0.10199999999999999</v>
      </c>
      <c r="AK635">
        <f>AK611</f>
        <v>0.78</v>
      </c>
      <c r="AL635">
        <f>AL611</f>
        <v>99.897999999999996</v>
      </c>
      <c r="AM635">
        <f>AM611</f>
        <v>4.7000000000000002E-3</v>
      </c>
      <c r="AN635">
        <f t="shared" si="205"/>
        <v>3.8970371104485074E-4</v>
      </c>
      <c r="AO635">
        <f t="shared" si="206"/>
        <v>2.2998230295626569E-3</v>
      </c>
      <c r="AP635">
        <f t="shared" si="207"/>
        <v>2.6895267406075079E-3</v>
      </c>
      <c r="AQ635">
        <f t="shared" si="208"/>
        <v>6.1354828770108778</v>
      </c>
      <c r="AS635">
        <f t="shared" si="209"/>
        <v>0</v>
      </c>
      <c r="AT635">
        <f t="shared" si="199"/>
        <v>1.7677752570881517E-2</v>
      </c>
      <c r="AU635">
        <f t="shared" si="210"/>
        <v>7.4140288045478689E-2</v>
      </c>
      <c r="AV635">
        <f t="shared" si="200"/>
        <v>169.13253210374828</v>
      </c>
      <c r="AY635">
        <f>AY611</f>
        <v>6.0000000000000001E-3</v>
      </c>
      <c r="BB635">
        <f t="shared" si="211"/>
        <v>0.24</v>
      </c>
    </row>
    <row r="636" spans="7:54" x14ac:dyDescent="0.2">
      <c r="G636" t="s">
        <v>197</v>
      </c>
      <c r="H636" t="s">
        <v>162</v>
      </c>
      <c r="J636">
        <v>91.25</v>
      </c>
      <c r="K636">
        <v>55</v>
      </c>
      <c r="M636">
        <v>273</v>
      </c>
      <c r="O636">
        <v>0.48</v>
      </c>
      <c r="P636">
        <v>660</v>
      </c>
      <c r="Q636">
        <f t="shared" si="201"/>
        <v>0.41363636363636364</v>
      </c>
      <c r="S636">
        <v>0</v>
      </c>
      <c r="T636">
        <v>0</v>
      </c>
      <c r="U636">
        <v>0</v>
      </c>
      <c r="V636">
        <v>0</v>
      </c>
      <c r="W636">
        <f>S636*B613+T636*B614</f>
        <v>0</v>
      </c>
      <c r="X636">
        <f t="shared" si="196"/>
        <v>1</v>
      </c>
      <c r="Y636">
        <f t="shared" si="197"/>
        <v>5.6731836985491597</v>
      </c>
      <c r="Z636">
        <f t="shared" si="202"/>
        <v>1.1401607429145064</v>
      </c>
      <c r="AC636">
        <v>9.9000000000000005E-2</v>
      </c>
      <c r="AE636">
        <v>0.56999999999999995</v>
      </c>
      <c r="AF636">
        <f t="shared" si="198"/>
        <v>2.4530846312526569</v>
      </c>
      <c r="AG636">
        <f t="shared" si="203"/>
        <v>0.19</v>
      </c>
      <c r="AH636">
        <f t="shared" si="204"/>
        <v>0.6784</v>
      </c>
      <c r="AI636">
        <f>AI611</f>
        <v>0.10199999999999999</v>
      </c>
      <c r="AK636">
        <f>AK611</f>
        <v>0.78</v>
      </c>
      <c r="AL636">
        <f>AL611</f>
        <v>99.897999999999996</v>
      </c>
      <c r="AM636">
        <f>AM611</f>
        <v>4.7000000000000002E-3</v>
      </c>
      <c r="AN636">
        <f t="shared" si="205"/>
        <v>2.5156298899878222E-4</v>
      </c>
      <c r="AO636">
        <f t="shared" si="206"/>
        <v>1.4845903158936856E-3</v>
      </c>
      <c r="AP636">
        <f t="shared" si="207"/>
        <v>1.7361533048924679E-3</v>
      </c>
      <c r="AQ636">
        <f t="shared" si="208"/>
        <v>8.7133193989290731</v>
      </c>
      <c r="AS636">
        <f t="shared" si="209"/>
        <v>0</v>
      </c>
      <c r="AT636">
        <f t="shared" si="199"/>
        <v>1.0064007089947938E-2</v>
      </c>
      <c r="AU636">
        <f t="shared" si="210"/>
        <v>7.8617175945494541E-2</v>
      </c>
      <c r="AV636">
        <f t="shared" si="200"/>
        <v>394.55995177645076</v>
      </c>
      <c r="AY636">
        <f>AY611</f>
        <v>6.0000000000000001E-3</v>
      </c>
      <c r="BB636">
        <f t="shared" si="211"/>
        <v>0.24</v>
      </c>
    </row>
    <row r="637" spans="7:54" x14ac:dyDescent="0.2">
      <c r="H637" t="s">
        <v>163</v>
      </c>
      <c r="J637">
        <v>91.25</v>
      </c>
      <c r="K637">
        <v>52</v>
      </c>
      <c r="M637">
        <v>329</v>
      </c>
      <c r="O637">
        <v>0.42</v>
      </c>
      <c r="P637">
        <v>660</v>
      </c>
      <c r="Q637">
        <f t="shared" si="201"/>
        <v>0.49848484848484848</v>
      </c>
      <c r="S637">
        <v>0</v>
      </c>
      <c r="T637">
        <v>0</v>
      </c>
      <c r="U637">
        <v>0</v>
      </c>
      <c r="V637">
        <v>0</v>
      </c>
      <c r="W637">
        <f>S637*B613+T637*B614</f>
        <v>0</v>
      </c>
      <c r="X637">
        <f t="shared" si="196"/>
        <v>1</v>
      </c>
      <c r="Y637">
        <f t="shared" si="197"/>
        <v>6.3985392217155583</v>
      </c>
      <c r="Z637">
        <f t="shared" si="202"/>
        <v>1.1134230209921938</v>
      </c>
      <c r="AC637">
        <v>7.8E-2</v>
      </c>
      <c r="AE637">
        <v>0.55000000000000004</v>
      </c>
      <c r="AF637">
        <f t="shared" si="198"/>
        <v>2.8844614811493736</v>
      </c>
      <c r="AG637">
        <f t="shared" si="203"/>
        <v>0.19</v>
      </c>
      <c r="AH637">
        <f t="shared" si="204"/>
        <v>0.6784</v>
      </c>
      <c r="AI637">
        <f>AI611</f>
        <v>0.10199999999999999</v>
      </c>
      <c r="AK637">
        <f>AK611</f>
        <v>0.78</v>
      </c>
      <c r="AL637">
        <f>AL611</f>
        <v>99.897999999999996</v>
      </c>
      <c r="AM637">
        <f>AM611</f>
        <v>4.7000000000000002E-3</v>
      </c>
      <c r="AN637">
        <f t="shared" si="205"/>
        <v>2.9580053725225715E-4</v>
      </c>
      <c r="AO637">
        <f t="shared" si="206"/>
        <v>1.7456566833962057E-3</v>
      </c>
      <c r="AP637">
        <f t="shared" si="207"/>
        <v>2.041457220648463E-3</v>
      </c>
      <c r="AQ637">
        <f t="shared" si="208"/>
        <v>9.6867145119769571</v>
      </c>
      <c r="AS637">
        <f t="shared" si="209"/>
        <v>0</v>
      </c>
      <c r="AT637">
        <f t="shared" si="199"/>
        <v>7.6926166355434089E-3</v>
      </c>
      <c r="AU637">
        <f t="shared" si="210"/>
        <v>7.0801557749694058E-2</v>
      </c>
      <c r="AV637">
        <f t="shared" si="200"/>
        <v>335.95339152229832</v>
      </c>
      <c r="AY637">
        <f>AY611</f>
        <v>6.0000000000000001E-3</v>
      </c>
      <c r="BB637">
        <f t="shared" si="211"/>
        <v>0.24</v>
      </c>
    </row>
    <row r="638" spans="7:54" x14ac:dyDescent="0.2">
      <c r="H638" t="s">
        <v>164</v>
      </c>
      <c r="J638">
        <v>91.25</v>
      </c>
      <c r="K638">
        <v>45</v>
      </c>
      <c r="M638">
        <v>350</v>
      </c>
      <c r="O638">
        <v>0.23</v>
      </c>
      <c r="P638">
        <v>660</v>
      </c>
      <c r="Q638">
        <f t="shared" si="201"/>
        <v>0.53030303030303028</v>
      </c>
      <c r="S638">
        <v>0</v>
      </c>
      <c r="T638">
        <v>0</v>
      </c>
      <c r="U638">
        <v>0</v>
      </c>
      <c r="V638">
        <v>0</v>
      </c>
      <c r="W638">
        <f>S638*B613+T638*B614</f>
        <v>0</v>
      </c>
      <c r="X638">
        <f t="shared" si="196"/>
        <v>1</v>
      </c>
      <c r="Y638">
        <f t="shared" si="197"/>
        <v>6.3905312024999983</v>
      </c>
      <c r="Z638">
        <f t="shared" si="202"/>
        <v>1.059880941230382</v>
      </c>
      <c r="AC638">
        <v>5.8999999999999997E-2</v>
      </c>
      <c r="AE638">
        <v>0.51</v>
      </c>
      <c r="AF638">
        <f t="shared" si="198"/>
        <v>3.1160230143389991</v>
      </c>
      <c r="AG638">
        <f t="shared" si="203"/>
        <v>0.19</v>
      </c>
      <c r="AH638">
        <f t="shared" si="204"/>
        <v>0.6784</v>
      </c>
      <c r="AI638">
        <f>AI611</f>
        <v>0.10199999999999999</v>
      </c>
      <c r="AK638">
        <f>AK611</f>
        <v>0.78</v>
      </c>
      <c r="AL638">
        <f>AL611</f>
        <v>99.897999999999996</v>
      </c>
      <c r="AM638">
        <f>AM611</f>
        <v>4.7000000000000002E-3</v>
      </c>
      <c r="AN638">
        <f t="shared" si="205"/>
        <v>3.1954709319418424E-4</v>
      </c>
      <c r="AO638">
        <f t="shared" si="206"/>
        <v>1.8857961654699508E-3</v>
      </c>
      <c r="AP638">
        <f t="shared" si="207"/>
        <v>2.205343258664135E-3</v>
      </c>
      <c r="AQ638">
        <f t="shared" si="208"/>
        <v>9.0556907558896036</v>
      </c>
      <c r="AS638">
        <f t="shared" si="209"/>
        <v>0</v>
      </c>
      <c r="AT638">
        <f t="shared" si="199"/>
        <v>4.0055365715494723E-3</v>
      </c>
      <c r="AU638">
        <f t="shared" si="210"/>
        <v>5.4896901854628366E-2</v>
      </c>
      <c r="AV638">
        <f t="shared" si="200"/>
        <v>225.42040324056774</v>
      </c>
      <c r="AY638">
        <f>AY611</f>
        <v>6.0000000000000001E-3</v>
      </c>
      <c r="BB638">
        <f t="shared" si="211"/>
        <v>0.24</v>
      </c>
    </row>
    <row r="639" spans="7:54" x14ac:dyDescent="0.2">
      <c r="G639" t="s">
        <v>188</v>
      </c>
      <c r="H639" t="s">
        <v>160</v>
      </c>
      <c r="J639">
        <v>91.25</v>
      </c>
      <c r="K639">
        <v>28</v>
      </c>
      <c r="M639">
        <v>550</v>
      </c>
      <c r="O639">
        <v>-0.08</v>
      </c>
      <c r="P639">
        <v>660</v>
      </c>
      <c r="Q639">
        <f t="shared" si="201"/>
        <v>0.83333333333333337</v>
      </c>
      <c r="S639">
        <v>0</v>
      </c>
      <c r="T639">
        <v>0</v>
      </c>
      <c r="U639">
        <v>0</v>
      </c>
      <c r="V639">
        <v>0</v>
      </c>
      <c r="W639">
        <f>S639*B613+T639*B614</f>
        <v>0</v>
      </c>
      <c r="X639">
        <f t="shared" si="196"/>
        <v>1</v>
      </c>
      <c r="Y639">
        <f t="shared" si="197"/>
        <v>8.2386220900000016</v>
      </c>
      <c r="Z639">
        <f t="shared" si="202"/>
        <v>0.98266942484334829</v>
      </c>
      <c r="AC639">
        <v>7.1999999999999995E-2</v>
      </c>
      <c r="AE639">
        <v>0.53</v>
      </c>
      <c r="AF639">
        <f t="shared" si="198"/>
        <v>3.865561484628</v>
      </c>
      <c r="AG639">
        <f t="shared" si="203"/>
        <v>0.19</v>
      </c>
      <c r="AH639">
        <f t="shared" si="204"/>
        <v>0.6784</v>
      </c>
      <c r="AI639">
        <f>AI611</f>
        <v>0.10199999999999999</v>
      </c>
      <c r="AK639">
        <f>AK611</f>
        <v>0.78</v>
      </c>
      <c r="AL639">
        <f>AL611</f>
        <v>99.897999999999996</v>
      </c>
      <c r="AM639">
        <f>AM611</f>
        <v>4.7000000000000002E-3</v>
      </c>
      <c r="AN639">
        <f t="shared" si="205"/>
        <v>3.9641200668034899E-4</v>
      </c>
      <c r="AO639">
        <f t="shared" si="206"/>
        <v>2.3394118052257611E-3</v>
      </c>
      <c r="AP639">
        <f t="shared" si="207"/>
        <v>2.7358238119061101E-3</v>
      </c>
      <c r="AQ639">
        <f t="shared" si="208"/>
        <v>6.990029839420111</v>
      </c>
      <c r="AS639">
        <f t="shared" si="209"/>
        <v>0</v>
      </c>
      <c r="AT639">
        <f t="shared" si="199"/>
        <v>-9.6848263845340527E-4</v>
      </c>
      <c r="AU639">
        <f t="shared" si="210"/>
        <v>9.3878538493915462E-2</v>
      </c>
      <c r="AV639">
        <f t="shared" si="200"/>
        <v>239.85966585195399</v>
      </c>
      <c r="AY639">
        <f>AY611</f>
        <v>6.0000000000000001E-3</v>
      </c>
      <c r="BB639">
        <f t="shared" si="211"/>
        <v>0.24</v>
      </c>
    </row>
    <row r="640" spans="7:54" x14ac:dyDescent="0.2">
      <c r="G640" t="s">
        <v>198</v>
      </c>
      <c r="H640" t="s">
        <v>162</v>
      </c>
      <c r="J640">
        <v>91.25</v>
      </c>
      <c r="K640">
        <v>50</v>
      </c>
      <c r="M640">
        <v>545</v>
      </c>
      <c r="O640">
        <v>1.1200000000000001</v>
      </c>
      <c r="P640">
        <v>660</v>
      </c>
      <c r="Q640">
        <f t="shared" si="201"/>
        <v>0.8257575757575758</v>
      </c>
      <c r="S640">
        <v>0</v>
      </c>
      <c r="T640">
        <v>0</v>
      </c>
      <c r="U640">
        <v>0</v>
      </c>
      <c r="V640">
        <v>0</v>
      </c>
      <c r="W640">
        <f>S640*B613+T640*B614</f>
        <v>0</v>
      </c>
      <c r="X640">
        <f t="shared" si="196"/>
        <v>1</v>
      </c>
      <c r="Y640">
        <f t="shared" si="197"/>
        <v>10.496530827225001</v>
      </c>
      <c r="Z640">
        <f t="shared" si="202"/>
        <v>1.259336200730879</v>
      </c>
      <c r="AC640">
        <v>9.9000000000000005E-2</v>
      </c>
      <c r="AE640">
        <v>0.56999999999999995</v>
      </c>
      <c r="AF640">
        <f t="shared" si="198"/>
        <v>4.5386999296920907</v>
      </c>
      <c r="AG640">
        <f t="shared" si="203"/>
        <v>0.19</v>
      </c>
      <c r="AH640">
        <f t="shared" si="204"/>
        <v>0.6784</v>
      </c>
      <c r="AI640">
        <f>AI611</f>
        <v>0.10199999999999999</v>
      </c>
      <c r="AK640">
        <f>AK611</f>
        <v>0.78</v>
      </c>
      <c r="AL640">
        <f>AL611</f>
        <v>99.897999999999996</v>
      </c>
      <c r="AM640">
        <f>AM611</f>
        <v>4.7000000000000002E-3</v>
      </c>
      <c r="AN640">
        <f t="shared" si="205"/>
        <v>4.6544212373906798E-4</v>
      </c>
      <c r="AO640">
        <f t="shared" si="206"/>
        <v>2.7467906636908178E-3</v>
      </c>
      <c r="AP640">
        <f t="shared" si="207"/>
        <v>3.2122327874298858E-3</v>
      </c>
      <c r="AQ640">
        <f t="shared" si="208"/>
        <v>14.655812092648853</v>
      </c>
      <c r="AS640">
        <f t="shared" si="209"/>
        <v>0</v>
      </c>
      <c r="AT640">
        <f t="shared" si="199"/>
        <v>1.3605299878395339E-2</v>
      </c>
      <c r="AU640">
        <f>MAX((Y640*AC640/6.25)+(0.032*AS640/6.38)-AT640-((1.1*(10^-4)*(M640^0.75))/6.25), 0)</f>
        <v>0.15067452201292056</v>
      </c>
      <c r="AV640">
        <f t="shared" si="200"/>
        <v>687.45250668395011</v>
      </c>
      <c r="AY640">
        <f>AY611</f>
        <v>6.0000000000000001E-3</v>
      </c>
      <c r="BB640">
        <f t="shared" si="211"/>
        <v>0.24</v>
      </c>
    </row>
    <row r="641" spans="7:54" x14ac:dyDescent="0.2">
      <c r="H641" t="s">
        <v>163</v>
      </c>
      <c r="J641">
        <v>91.25</v>
      </c>
      <c r="K641">
        <v>44</v>
      </c>
      <c r="M641">
        <v>573</v>
      </c>
      <c r="O641">
        <v>0.12</v>
      </c>
      <c r="P641">
        <v>660</v>
      </c>
      <c r="Q641">
        <f t="shared" si="201"/>
        <v>0.86818181818181817</v>
      </c>
      <c r="S641">
        <v>0</v>
      </c>
      <c r="T641">
        <v>0</v>
      </c>
      <c r="U641">
        <v>0</v>
      </c>
      <c r="V641">
        <v>0</v>
      </c>
      <c r="W641">
        <f>S641*B613+T641*B614</f>
        <v>0</v>
      </c>
      <c r="X641">
        <f t="shared" si="196"/>
        <v>1</v>
      </c>
      <c r="Y641">
        <f t="shared" si="197"/>
        <v>8.8242540427731591</v>
      </c>
      <c r="Z641">
        <f t="shared" si="202"/>
        <v>1.0259438480015404</v>
      </c>
      <c r="AC641">
        <v>7.8E-2</v>
      </c>
      <c r="AE641">
        <v>0.55000000000000004</v>
      </c>
      <c r="AF641">
        <f t="shared" si="198"/>
        <v>3.9779737224821399</v>
      </c>
      <c r="AG641">
        <f t="shared" si="203"/>
        <v>0.19</v>
      </c>
      <c r="AH641">
        <f t="shared" si="204"/>
        <v>0.6784</v>
      </c>
      <c r="AI641">
        <f>AI611</f>
        <v>0.10199999999999999</v>
      </c>
      <c r="AK641">
        <f>AK611</f>
        <v>0.78</v>
      </c>
      <c r="AL641">
        <f>AL611</f>
        <v>99.897999999999996</v>
      </c>
      <c r="AM641">
        <f>AM611</f>
        <v>4.7000000000000002E-3</v>
      </c>
      <c r="AN641">
        <f t="shared" si="205"/>
        <v>4.0793984318234085E-4</v>
      </c>
      <c r="AO641">
        <f t="shared" si="206"/>
        <v>2.407442935330299E-3</v>
      </c>
      <c r="AP641">
        <f t="shared" si="207"/>
        <v>2.8153827785126397E-3</v>
      </c>
      <c r="AQ641">
        <f t="shared" si="208"/>
        <v>11.303761855728247</v>
      </c>
      <c r="AS641">
        <f t="shared" si="209"/>
        <v>0</v>
      </c>
      <c r="AT641">
        <f t="shared" si="199"/>
        <v>1.4201815018679803E-3</v>
      </c>
      <c r="AU641">
        <f t="shared" si="210"/>
        <v>0.10664526860741871</v>
      </c>
      <c r="AV641">
        <f t="shared" si="200"/>
        <v>428.18075345878611</v>
      </c>
      <c r="AY641">
        <f>AY611</f>
        <v>6.0000000000000001E-3</v>
      </c>
      <c r="BB641">
        <f t="shared" si="211"/>
        <v>0.24</v>
      </c>
    </row>
    <row r="642" spans="7:54" x14ac:dyDescent="0.2">
      <c r="H642" t="s">
        <v>164</v>
      </c>
      <c r="J642">
        <v>91.25</v>
      </c>
      <c r="K642">
        <v>20</v>
      </c>
      <c r="M642">
        <v>567</v>
      </c>
      <c r="O642">
        <v>-0.13</v>
      </c>
      <c r="P642">
        <v>660</v>
      </c>
      <c r="Q642">
        <f t="shared" si="201"/>
        <v>0.85909090909090913</v>
      </c>
      <c r="S642">
        <v>0</v>
      </c>
      <c r="T642">
        <v>0</v>
      </c>
      <c r="U642">
        <v>0</v>
      </c>
      <c r="V642">
        <v>0</v>
      </c>
      <c r="W642">
        <f>S642*B613+T642*B614</f>
        <v>0</v>
      </c>
      <c r="X642">
        <f t="shared" si="196"/>
        <v>1</v>
      </c>
      <c r="Y642">
        <f t="shared" si="197"/>
        <v>8.3079910989939574</v>
      </c>
      <c r="Z642">
        <f t="shared" si="202"/>
        <v>0.97218002632572265</v>
      </c>
      <c r="AC642">
        <v>5.8999999999999997E-2</v>
      </c>
      <c r="AE642">
        <v>0.51</v>
      </c>
      <c r="AF642">
        <f t="shared" si="198"/>
        <v>4.0509764598694531</v>
      </c>
      <c r="AG642">
        <f t="shared" si="203"/>
        <v>0.19</v>
      </c>
      <c r="AH642">
        <f t="shared" si="204"/>
        <v>0.6784</v>
      </c>
      <c r="AI642">
        <f>AI611</f>
        <v>0.10199999999999999</v>
      </c>
      <c r="AK642">
        <f>AK611</f>
        <v>0.78</v>
      </c>
      <c r="AL642">
        <f>AL611</f>
        <v>99.897999999999996</v>
      </c>
      <c r="AM642">
        <f>AM611</f>
        <v>4.7000000000000002E-3</v>
      </c>
      <c r="AN642">
        <f t="shared" si="205"/>
        <v>4.1542624890527263E-4</v>
      </c>
      <c r="AO642">
        <f t="shared" si="206"/>
        <v>2.4516237008767338E-3</v>
      </c>
      <c r="AP642">
        <f t="shared" si="207"/>
        <v>2.8670499497820065E-3</v>
      </c>
      <c r="AQ642">
        <f t="shared" si="208"/>
        <v>5.2323661583521615</v>
      </c>
      <c r="AS642">
        <f t="shared" si="209"/>
        <v>0</v>
      </c>
      <c r="AT642">
        <f t="shared" si="199"/>
        <v>-1.5474943125240712E-3</v>
      </c>
      <c r="AU642">
        <f t="shared" si="210"/>
        <v>7.7929898975049941E-2</v>
      </c>
      <c r="AV642">
        <f t="shared" si="200"/>
        <v>142.22206562946613</v>
      </c>
      <c r="AY642">
        <f>AY611</f>
        <v>6.0000000000000001E-3</v>
      </c>
      <c r="BB642">
        <f t="shared" si="211"/>
        <v>0.24</v>
      </c>
    </row>
    <row r="643" spans="7:54" x14ac:dyDescent="0.2">
      <c r="G643" t="s">
        <v>186</v>
      </c>
      <c r="H643" t="s">
        <v>160</v>
      </c>
      <c r="J643">
        <v>91.25</v>
      </c>
      <c r="K643">
        <v>15</v>
      </c>
      <c r="M643">
        <v>242</v>
      </c>
      <c r="O643">
        <v>7.0000000000000007E-2</v>
      </c>
      <c r="P643">
        <v>660</v>
      </c>
      <c r="Q643">
        <f t="shared" si="201"/>
        <v>0.36666666666666664</v>
      </c>
      <c r="S643">
        <v>0</v>
      </c>
      <c r="T643">
        <v>0</v>
      </c>
      <c r="U643">
        <f>10/K643</f>
        <v>0.66666666666666663</v>
      </c>
      <c r="V643">
        <f>5/K643</f>
        <v>0.33333333333333331</v>
      </c>
      <c r="W643">
        <f>S643*B613+T643*B614</f>
        <v>0</v>
      </c>
      <c r="X643">
        <f t="shared" si="196"/>
        <v>1</v>
      </c>
      <c r="Y643">
        <f t="shared" si="197"/>
        <v>4.637405476524961</v>
      </c>
      <c r="Z643">
        <f t="shared" si="202"/>
        <v>1.0207975179921844</v>
      </c>
      <c r="AC643">
        <v>7.1999999999999995E-2</v>
      </c>
      <c r="AE643">
        <v>0.53</v>
      </c>
      <c r="AF643">
        <f t="shared" si="198"/>
        <v>2.1758706495855118</v>
      </c>
      <c r="AG643">
        <f t="shared" si="203"/>
        <v>0.19</v>
      </c>
      <c r="AH643">
        <f t="shared" si="204"/>
        <v>0.6784</v>
      </c>
      <c r="AI643">
        <f>AI611</f>
        <v>0.10199999999999999</v>
      </c>
      <c r="AK643">
        <f>AK611</f>
        <v>0.78</v>
      </c>
      <c r="AL643">
        <f>AL611</f>
        <v>99.897999999999996</v>
      </c>
      <c r="AM643">
        <f>AM611</f>
        <v>4.7000000000000002E-3</v>
      </c>
      <c r="AN643">
        <f t="shared" si="205"/>
        <v>2.2313479009688383E-4</v>
      </c>
      <c r="AO643">
        <f t="shared" si="206"/>
        <v>1.3168222791247229E-3</v>
      </c>
      <c r="AP643">
        <f t="shared" si="207"/>
        <v>1.5399570692216067E-3</v>
      </c>
      <c r="AQ643">
        <f t="shared" si="208"/>
        <v>2.1078162384970742</v>
      </c>
      <c r="AS643">
        <f t="shared" si="209"/>
        <v>3.6666666666666665</v>
      </c>
      <c r="AT643">
        <f t="shared" si="199"/>
        <v>1.579437822269682E-3</v>
      </c>
      <c r="AU643">
        <f t="shared" si="210"/>
        <v>6.9154401111299404E-2</v>
      </c>
      <c r="AV643">
        <f t="shared" si="200"/>
        <v>94.65508652109105</v>
      </c>
      <c r="AY643">
        <f>AY611</f>
        <v>6.0000000000000001E-3</v>
      </c>
      <c r="BB643">
        <f t="shared" si="211"/>
        <v>0.24</v>
      </c>
    </row>
    <row r="644" spans="7:54" x14ac:dyDescent="0.2">
      <c r="G644">
        <v>6</v>
      </c>
      <c r="H644" t="s">
        <v>162</v>
      </c>
      <c r="J644">
        <v>91.25</v>
      </c>
      <c r="K644">
        <v>40</v>
      </c>
      <c r="M644">
        <v>120</v>
      </c>
      <c r="O644">
        <v>1.3</v>
      </c>
      <c r="P644">
        <v>660</v>
      </c>
      <c r="Q644">
        <f t="shared" si="201"/>
        <v>0.18181818181818182</v>
      </c>
      <c r="S644">
        <v>0</v>
      </c>
      <c r="T644">
        <v>0</v>
      </c>
      <c r="U644">
        <f>25/K644</f>
        <v>0.625</v>
      </c>
      <c r="V644">
        <f>10/K644</f>
        <v>0.25</v>
      </c>
      <c r="W644">
        <f>S644*B613+T644*B614</f>
        <v>0</v>
      </c>
      <c r="X644">
        <f t="shared" si="196"/>
        <v>1</v>
      </c>
      <c r="Y644">
        <f t="shared" si="197"/>
        <v>4.4178154596000008</v>
      </c>
      <c r="Z644">
        <f t="shared" si="202"/>
        <v>1.5424889683661562</v>
      </c>
      <c r="AC644">
        <v>9.9000000000000005E-2</v>
      </c>
      <c r="AE644">
        <v>0.56999999999999995</v>
      </c>
      <c r="AF644">
        <f t="shared" si="198"/>
        <v>1.9102634047310407</v>
      </c>
      <c r="AG644">
        <f t="shared" si="203"/>
        <v>0.19</v>
      </c>
      <c r="AH644">
        <f t="shared" si="204"/>
        <v>0.6784</v>
      </c>
      <c r="AI644">
        <f>AI611</f>
        <v>0.10199999999999999</v>
      </c>
      <c r="AK644">
        <f>AK611</f>
        <v>0.78</v>
      </c>
      <c r="AL644">
        <f>AL611</f>
        <v>99.897999999999996</v>
      </c>
      <c r="AM644">
        <f>AM611</f>
        <v>4.7000000000000002E-3</v>
      </c>
      <c r="AN644">
        <f t="shared" si="205"/>
        <v>1.9589685808097843E-4</v>
      </c>
      <c r="AO644">
        <f t="shared" si="206"/>
        <v>1.1560785613913506E-3</v>
      </c>
      <c r="AP644">
        <f t="shared" si="207"/>
        <v>1.3519754194723289E-3</v>
      </c>
      <c r="AQ644">
        <f t="shared" si="208"/>
        <v>4.9347102810740004</v>
      </c>
      <c r="AS644">
        <f t="shared" si="209"/>
        <v>3.25</v>
      </c>
      <c r="AT644">
        <f t="shared" si="199"/>
        <v>3.542309922758443E-2</v>
      </c>
      <c r="AU644">
        <f t="shared" si="210"/>
        <v>5.0217923607429313E-2</v>
      </c>
      <c r="AV644">
        <f t="shared" si="200"/>
        <v>183.29542116711701</v>
      </c>
      <c r="AY644">
        <f>AY611</f>
        <v>6.0000000000000001E-3</v>
      </c>
      <c r="BB644">
        <f t="shared" si="211"/>
        <v>0.24</v>
      </c>
    </row>
    <row r="645" spans="7:54" x14ac:dyDescent="0.2">
      <c r="H645" t="s">
        <v>163</v>
      </c>
      <c r="J645">
        <v>91.25</v>
      </c>
      <c r="K645">
        <v>35</v>
      </c>
      <c r="M645">
        <v>238</v>
      </c>
      <c r="O645">
        <v>0.77</v>
      </c>
      <c r="P645">
        <v>660</v>
      </c>
      <c r="Q645">
        <f t="shared" si="201"/>
        <v>0.3606060606060606</v>
      </c>
      <c r="S645">
        <v>0</v>
      </c>
      <c r="T645">
        <v>0</v>
      </c>
      <c r="U645">
        <v>0</v>
      </c>
      <c r="V645">
        <f>25/K645</f>
        <v>0.7142857142857143</v>
      </c>
      <c r="W645">
        <f>S645*B613+T645*B614</f>
        <v>0</v>
      </c>
      <c r="X645">
        <f t="shared" si="196"/>
        <v>1</v>
      </c>
      <c r="Y645">
        <f t="shared" si="197"/>
        <v>5.5733558649793595</v>
      </c>
      <c r="Z645">
        <f t="shared" si="202"/>
        <v>1.2421216976343399</v>
      </c>
      <c r="AC645">
        <v>7.8E-2</v>
      </c>
      <c r="AE645">
        <v>0.55000000000000004</v>
      </c>
      <c r="AF645">
        <f t="shared" si="198"/>
        <v>2.5124688239326951</v>
      </c>
      <c r="AG645">
        <f t="shared" si="203"/>
        <v>0.19</v>
      </c>
      <c r="AH645">
        <f t="shared" si="204"/>
        <v>0.6784</v>
      </c>
      <c r="AI645">
        <f>AI611</f>
        <v>0.10199999999999999</v>
      </c>
      <c r="AK645">
        <f>AK611</f>
        <v>0.78</v>
      </c>
      <c r="AL645">
        <f>AL611</f>
        <v>99.897999999999996</v>
      </c>
      <c r="AM645">
        <f>AM611</f>
        <v>4.7000000000000002E-3</v>
      </c>
      <c r="AN645">
        <f t="shared" si="205"/>
        <v>2.5765281762497253E-4</v>
      </c>
      <c r="AO645">
        <f t="shared" si="206"/>
        <v>1.5205292298010016E-3</v>
      </c>
      <c r="AP645">
        <f t="shared" si="207"/>
        <v>1.7781820474259743E-3</v>
      </c>
      <c r="AQ645">
        <f t="shared" si="208"/>
        <v>5.679068913966705</v>
      </c>
      <c r="AS645">
        <f t="shared" si="209"/>
        <v>2.1428571428571428</v>
      </c>
      <c r="AT645">
        <f t="shared" si="199"/>
        <v>1.7412194372628479E-2</v>
      </c>
      <c r="AU645">
        <f t="shared" si="210"/>
        <v>6.18246976385248E-2</v>
      </c>
      <c r="AV645">
        <f t="shared" si="200"/>
        <v>197.45262808303858</v>
      </c>
      <c r="AY645">
        <f>AY611</f>
        <v>6.0000000000000001E-3</v>
      </c>
      <c r="BB645">
        <f t="shared" si="211"/>
        <v>0.24</v>
      </c>
    </row>
    <row r="646" spans="7:54" x14ac:dyDescent="0.2">
      <c r="H646" t="s">
        <v>164</v>
      </c>
      <c r="J646">
        <v>91.25</v>
      </c>
      <c r="K646">
        <v>38</v>
      </c>
      <c r="M646">
        <v>260</v>
      </c>
      <c r="O646">
        <v>0.02</v>
      </c>
      <c r="P646">
        <v>660</v>
      </c>
      <c r="Q646">
        <f t="shared" si="201"/>
        <v>0.39393939393939392</v>
      </c>
      <c r="S646">
        <v>0</v>
      </c>
      <c r="T646">
        <v>0</v>
      </c>
      <c r="U646">
        <v>0</v>
      </c>
      <c r="V646">
        <v>0</v>
      </c>
      <c r="W646">
        <f>S646*B613+T646*B614</f>
        <v>0</v>
      </c>
      <c r="X646">
        <f t="shared" si="196"/>
        <v>1</v>
      </c>
      <c r="Y646">
        <f t="shared" si="197"/>
        <v>4.8221524836000009</v>
      </c>
      <c r="Z646">
        <f t="shared" si="202"/>
        <v>1.0057626487766627</v>
      </c>
      <c r="AC646">
        <v>5.8999999999999997E-2</v>
      </c>
      <c r="AE646">
        <v>0.51</v>
      </c>
      <c r="AF646">
        <f t="shared" si="198"/>
        <v>2.3512815510033609</v>
      </c>
      <c r="AG646">
        <f t="shared" si="203"/>
        <v>0.19</v>
      </c>
      <c r="AH646">
        <f t="shared" si="204"/>
        <v>0.6784</v>
      </c>
      <c r="AI646">
        <f>AI611</f>
        <v>0.10199999999999999</v>
      </c>
      <c r="AK646">
        <f>AK611</f>
        <v>0.78</v>
      </c>
      <c r="AL646">
        <f>AL611</f>
        <v>99.897999999999996</v>
      </c>
      <c r="AM646">
        <f>AM611</f>
        <v>4.7000000000000002E-3</v>
      </c>
      <c r="AN646">
        <f t="shared" si="205"/>
        <v>2.4112311797659156E-4</v>
      </c>
      <c r="AO646">
        <f t="shared" si="206"/>
        <v>1.4229797765992968E-3</v>
      </c>
      <c r="AP646">
        <f t="shared" si="207"/>
        <v>1.6641028945758884E-3</v>
      </c>
      <c r="AQ646">
        <f t="shared" si="208"/>
        <v>5.7702767869418929</v>
      </c>
      <c r="AS646">
        <f t="shared" si="209"/>
        <v>0</v>
      </c>
      <c r="AT646">
        <f t="shared" si="199"/>
        <v>4.3371548711215068E-4</v>
      </c>
      <c r="AU646">
        <f t="shared" si="210"/>
        <v>4.3947829572935575E-2</v>
      </c>
      <c r="AV646">
        <f t="shared" si="200"/>
        <v>152.38909904415411</v>
      </c>
      <c r="AY646">
        <f>AY611</f>
        <v>6.0000000000000001E-3</v>
      </c>
      <c r="BB646">
        <f t="shared" si="211"/>
        <v>0.24</v>
      </c>
    </row>
    <row r="647" spans="7:54" x14ac:dyDescent="0.2">
      <c r="G647" t="s">
        <v>189</v>
      </c>
      <c r="H647" t="s">
        <v>160</v>
      </c>
      <c r="J647">
        <v>91.25</v>
      </c>
      <c r="K647">
        <v>6</v>
      </c>
      <c r="M647">
        <v>620</v>
      </c>
      <c r="O647">
        <v>0</v>
      </c>
      <c r="P647">
        <v>660</v>
      </c>
      <c r="Q647">
        <f t="shared" si="201"/>
        <v>0.93939393939393945</v>
      </c>
      <c r="S647">
        <v>0</v>
      </c>
      <c r="T647">
        <v>0</v>
      </c>
      <c r="U647">
        <v>0</v>
      </c>
      <c r="V647">
        <v>0</v>
      </c>
      <c r="W647">
        <f>S647*B613+T647*B614</f>
        <v>0</v>
      </c>
      <c r="X647">
        <f t="shared" si="196"/>
        <v>1</v>
      </c>
      <c r="Y647">
        <f t="shared" si="197"/>
        <v>9.0021601296</v>
      </c>
      <c r="Z647">
        <f t="shared" si="202"/>
        <v>1</v>
      </c>
      <c r="AC647">
        <v>7.1999999999999995E-2</v>
      </c>
      <c r="AE647">
        <v>0.53</v>
      </c>
      <c r="AF647">
        <f t="shared" si="198"/>
        <v>4.2238135328083199</v>
      </c>
      <c r="AG647">
        <f t="shared" si="203"/>
        <v>0.19</v>
      </c>
      <c r="AH647">
        <f t="shared" si="204"/>
        <v>0.6784</v>
      </c>
      <c r="AI647">
        <f>AI611</f>
        <v>0.10199999999999999</v>
      </c>
      <c r="AK647">
        <f>AK611</f>
        <v>0.78</v>
      </c>
      <c r="AL647">
        <f>AL611</f>
        <v>99.897999999999996</v>
      </c>
      <c r="AM647">
        <f>AM611</f>
        <v>4.7000000000000002E-3</v>
      </c>
      <c r="AN647">
        <f t="shared" si="205"/>
        <v>4.331506315557396E-4</v>
      </c>
      <c r="AO647">
        <f t="shared" si="206"/>
        <v>2.5562235346710633E-3</v>
      </c>
      <c r="AP647">
        <f t="shared" si="207"/>
        <v>2.9893741662268031E-3</v>
      </c>
      <c r="AQ647">
        <f t="shared" si="208"/>
        <v>1.6366823560091748</v>
      </c>
      <c r="AS647">
        <f>U647*$B$613+V647*$B$614</f>
        <v>0</v>
      </c>
      <c r="AT647">
        <f t="shared" si="199"/>
        <v>0</v>
      </c>
      <c r="AU647">
        <f t="shared" si="210"/>
        <v>0.10151809793719102</v>
      </c>
      <c r="AV647">
        <f t="shared" si="200"/>
        <v>55.581158620612086</v>
      </c>
      <c r="AY647">
        <f>AY611</f>
        <v>6.0000000000000001E-3</v>
      </c>
      <c r="BB647">
        <f t="shared" si="211"/>
        <v>0.24</v>
      </c>
    </row>
    <row r="648" spans="7:54" x14ac:dyDescent="0.2">
      <c r="G648" t="s">
        <v>199</v>
      </c>
      <c r="H648" t="s">
        <v>162</v>
      </c>
      <c r="J648">
        <v>91.25</v>
      </c>
      <c r="K648">
        <v>25</v>
      </c>
      <c r="M648">
        <v>553</v>
      </c>
      <c r="O648">
        <v>0.38</v>
      </c>
      <c r="P648">
        <v>660</v>
      </c>
      <c r="Q648">
        <f t="shared" si="201"/>
        <v>0.83787878787878789</v>
      </c>
      <c r="S648">
        <v>0</v>
      </c>
      <c r="T648">
        <v>0</v>
      </c>
      <c r="U648">
        <v>0</v>
      </c>
      <c r="V648">
        <v>0</v>
      </c>
      <c r="W648">
        <f>S648*B613+T648*B614</f>
        <v>0</v>
      </c>
      <c r="X648">
        <f t="shared" si="196"/>
        <v>1</v>
      </c>
      <c r="Y648">
        <f t="shared" si="197"/>
        <v>9.1217083109155599</v>
      </c>
      <c r="Z648">
        <f t="shared" si="202"/>
        <v>1.0842401111293933</v>
      </c>
      <c r="AC648">
        <v>9.9000000000000005E-2</v>
      </c>
      <c r="AE648">
        <v>0.56999999999999995</v>
      </c>
      <c r="AF648">
        <f t="shared" si="198"/>
        <v>3.9442266736398888</v>
      </c>
      <c r="AG648">
        <f t="shared" si="203"/>
        <v>0.19</v>
      </c>
      <c r="AH648">
        <f t="shared" si="204"/>
        <v>0.6784</v>
      </c>
      <c r="AI648">
        <f>AI611</f>
        <v>0.10199999999999999</v>
      </c>
      <c r="AK648">
        <f>AK611</f>
        <v>0.78</v>
      </c>
      <c r="AL648">
        <f>AL611</f>
        <v>99.897999999999996</v>
      </c>
      <c r="AM648">
        <f>AM611</f>
        <v>4.7000000000000002E-3</v>
      </c>
      <c r="AN648">
        <f t="shared" si="205"/>
        <v>4.0447909487855745E-4</v>
      </c>
      <c r="AO648">
        <f t="shared" si="206"/>
        <v>2.3870194484016754E-3</v>
      </c>
      <c r="AP648">
        <f t="shared" si="207"/>
        <v>2.7914985432802328E-3</v>
      </c>
      <c r="AQ648">
        <f t="shared" si="208"/>
        <v>6.3681060518580308</v>
      </c>
      <c r="AS648">
        <f t="shared" si="209"/>
        <v>0</v>
      </c>
      <c r="AT648">
        <f t="shared" si="199"/>
        <v>4.5828544228502018E-3</v>
      </c>
      <c r="AU648">
        <f t="shared" si="210"/>
        <v>0.13789796296544765</v>
      </c>
      <c r="AV648">
        <f t="shared" si="200"/>
        <v>314.57972801492747</v>
      </c>
      <c r="AY648">
        <f>AY611</f>
        <v>6.0000000000000001E-3</v>
      </c>
      <c r="BB648">
        <f t="shared" si="211"/>
        <v>0.24</v>
      </c>
    </row>
    <row r="649" spans="7:54" x14ac:dyDescent="0.2">
      <c r="H649" t="s">
        <v>163</v>
      </c>
      <c r="J649">
        <v>91.25</v>
      </c>
      <c r="K649">
        <v>4</v>
      </c>
      <c r="M649">
        <v>620</v>
      </c>
      <c r="O649">
        <v>0.74</v>
      </c>
      <c r="P649">
        <v>660</v>
      </c>
      <c r="Q649">
        <f t="shared" si="201"/>
        <v>0.93939393939393945</v>
      </c>
      <c r="S649">
        <v>0</v>
      </c>
      <c r="T649">
        <v>0</v>
      </c>
      <c r="U649">
        <v>0</v>
      </c>
      <c r="V649">
        <v>0</v>
      </c>
      <c r="W649">
        <f>S649*B613+T649*B614</f>
        <v>0</v>
      </c>
      <c r="X649">
        <f t="shared" si="196"/>
        <v>1</v>
      </c>
      <c r="Y649">
        <f t="shared" si="197"/>
        <v>10.4552635716</v>
      </c>
      <c r="Z649">
        <f t="shared" si="202"/>
        <v>1.1614171955486607</v>
      </c>
      <c r="AC649">
        <v>7.8E-2</v>
      </c>
      <c r="AE649">
        <v>0.55000000000000004</v>
      </c>
      <c r="AF649">
        <f t="shared" si="198"/>
        <v>4.7132328180772793</v>
      </c>
      <c r="AG649">
        <f t="shared" si="203"/>
        <v>0.19</v>
      </c>
      <c r="AH649">
        <f t="shared" si="204"/>
        <v>0.6784</v>
      </c>
      <c r="AI649">
        <f>AI611</f>
        <v>0.10199999999999999</v>
      </c>
      <c r="AK649">
        <f>AK611</f>
        <v>0.78</v>
      </c>
      <c r="AL649">
        <f>AL611</f>
        <v>99.897999999999996</v>
      </c>
      <c r="AM649">
        <f>AM611</f>
        <v>4.7000000000000002E-3</v>
      </c>
      <c r="AN649">
        <f t="shared" si="205"/>
        <v>4.833404116829081E-4</v>
      </c>
      <c r="AO649">
        <f t="shared" si="206"/>
        <v>2.8524167935847916E-3</v>
      </c>
      <c r="AP649">
        <f t="shared" si="207"/>
        <v>3.3357572052676995E-3</v>
      </c>
      <c r="AQ649">
        <f t="shared" si="208"/>
        <v>1.2175513799227102</v>
      </c>
      <c r="AS649">
        <f t="shared" si="209"/>
        <v>0</v>
      </c>
      <c r="AT649">
        <f t="shared" si="199"/>
        <v>8.4472052714343396E-3</v>
      </c>
      <c r="AU649">
        <f t="shared" si="210"/>
        <v>0.1198476973463327</v>
      </c>
      <c r="AV649">
        <f t="shared" si="200"/>
        <v>43.744409531411435</v>
      </c>
      <c r="AY649">
        <f>AY611</f>
        <v>6.0000000000000001E-3</v>
      </c>
      <c r="BB649">
        <f t="shared" si="211"/>
        <v>0.24</v>
      </c>
    </row>
    <row r="650" spans="7:54" x14ac:dyDescent="0.2">
      <c r="H650" t="s">
        <v>164</v>
      </c>
      <c r="J650">
        <v>91.25</v>
      </c>
      <c r="K650">
        <v>0</v>
      </c>
      <c r="M650">
        <v>620</v>
      </c>
      <c r="O650">
        <v>0</v>
      </c>
      <c r="P650">
        <v>660</v>
      </c>
      <c r="Q650">
        <f t="shared" si="201"/>
        <v>0.93939393939393945</v>
      </c>
      <c r="S650">
        <v>0</v>
      </c>
      <c r="T650">
        <v>0</v>
      </c>
      <c r="U650">
        <v>0</v>
      </c>
      <c r="V650">
        <v>0</v>
      </c>
      <c r="W650">
        <f>S650*B613+T650*B614</f>
        <v>0</v>
      </c>
      <c r="X650">
        <f t="shared" si="196"/>
        <v>1</v>
      </c>
      <c r="Y650">
        <f t="shared" si="197"/>
        <v>9.0021601296</v>
      </c>
      <c r="Z650">
        <f t="shared" si="202"/>
        <v>1</v>
      </c>
      <c r="AC650">
        <v>5.8999999999999997E-2</v>
      </c>
      <c r="AE650">
        <v>0.51</v>
      </c>
      <c r="AF650">
        <f t="shared" si="198"/>
        <v>4.3894532791929608</v>
      </c>
      <c r="AG650">
        <f t="shared" si="203"/>
        <v>0.19</v>
      </c>
      <c r="AH650">
        <f t="shared" si="204"/>
        <v>0.6784</v>
      </c>
      <c r="AI650">
        <f>AI611</f>
        <v>0.10199999999999999</v>
      </c>
      <c r="AK650">
        <f>AK611</f>
        <v>0.78</v>
      </c>
      <c r="AL650">
        <f>AL611</f>
        <v>99.897999999999996</v>
      </c>
      <c r="AM650">
        <f>AM611</f>
        <v>4.7000000000000002E-3</v>
      </c>
      <c r="AN650">
        <f t="shared" si="205"/>
        <v>4.5013693083243534E-4</v>
      </c>
      <c r="AO650">
        <f t="shared" si="206"/>
        <v>2.6564675948542423E-3</v>
      </c>
      <c r="AP650">
        <f t="shared" si="207"/>
        <v>3.1066045256866776E-3</v>
      </c>
      <c r="AQ650">
        <f t="shared" si="208"/>
        <v>0</v>
      </c>
      <c r="AS650">
        <f t="shared" si="209"/>
        <v>0</v>
      </c>
      <c r="AT650">
        <f t="shared" si="199"/>
        <v>0</v>
      </c>
      <c r="AU650">
        <f t="shared" si="210"/>
        <v>8.2793604867623036E-2</v>
      </c>
      <c r="AV650">
        <f t="shared" si="200"/>
        <v>0</v>
      </c>
      <c r="AY650">
        <f>AY611</f>
        <v>6.0000000000000001E-3</v>
      </c>
      <c r="BB650">
        <f t="shared" si="211"/>
        <v>0.24</v>
      </c>
    </row>
    <row r="661" spans="1:64" x14ac:dyDescent="0.2">
      <c r="A661" t="s">
        <v>209</v>
      </c>
      <c r="B661" t="s">
        <v>283</v>
      </c>
      <c r="C661" t="s">
        <v>209</v>
      </c>
      <c r="D661" t="s">
        <v>209</v>
      </c>
      <c r="E661" t="s">
        <v>170</v>
      </c>
      <c r="F661" t="s">
        <v>161</v>
      </c>
      <c r="G661" t="s">
        <v>159</v>
      </c>
      <c r="H661" t="s">
        <v>160</v>
      </c>
      <c r="J661">
        <v>91.25</v>
      </c>
      <c r="K661">
        <v>41</v>
      </c>
      <c r="M661" cm="1">
        <f t="array" ref="M661:M700">_xlfn.DROP(_xlfn.XLOOKUP($D661,TableW[[#Headers],[ACT]:[QLD - Moderate/Low]],TableW[[#All],[ACT]:[QLD - Moderate/Low]]),1)</f>
        <v>236</v>
      </c>
      <c r="O661" cm="1">
        <f t="array" ref="O661:O700">_xlfn.DROP(_xlfn.XLOOKUP($D661,TableLWG[[#Headers],[ACT]:[QLD - Low]],TableLWG[[#All],[ACT]:[QLD - Low]]),1)</f>
        <v>0.62</v>
      </c>
      <c r="P661" cm="1">
        <f t="array" ref="P661:P700">_xlfn.DROP(_xlfn.XLOOKUP($E661,TableSRW[[#Headers],[ACT]:[WA]],TableSRW[[#All],[ACT]:[WA]]),1)</f>
        <v>770</v>
      </c>
      <c r="Q661">
        <f>M661 / P661</f>
        <v>0.30649350649350648</v>
      </c>
      <c r="S661">
        <v>0</v>
      </c>
      <c r="T661">
        <v>0</v>
      </c>
      <c r="U661">
        <f>20/K661</f>
        <v>0.48780487804878048</v>
      </c>
      <c r="V661">
        <v>0</v>
      </c>
      <c r="W661">
        <f>S661*B663+T661*B664</f>
        <v>0</v>
      </c>
      <c r="X661">
        <f t="shared" ref="X661:X700" si="212">(S661 * $BX$3 +T661* $BX$4) + (1 -S661 -T661 )</f>
        <v>1</v>
      </c>
      <c r="Y661">
        <f t="shared" ref="Y661:Y700" si="213">(1.185 + 0.00454 * M661- 0.0000026 * M661 ^2 + 0.315 * O661)^2 * X661</f>
        <v>5.3219278704441608</v>
      </c>
      <c r="Z661">
        <f>Y661 / ((1.185 + 0.00454 * M661 - 0.0000026 * M661 ^ 2) ^ 2 * X661)</f>
        <v>1.1935295412992346</v>
      </c>
      <c r="AC661" cm="1">
        <f t="array" ref="AC661:AC700">_xlfn.DROP(_xlfn.XLOOKUP($E661,TableCP[[#Headers],[ACT]:[WA - Kimberley]],TableCP[[#All],[ACT]:[WA - Kimberley]]),1)</f>
        <v>7.1999999999999995E-2</v>
      </c>
      <c r="AE661" cm="1">
        <f t="array" ref="AE661:AE700">_xlfn.DROP(_xlfn.XLOOKUP($E661,TableDMD[[#Headers],[ACT]:[WA - Kimberley]],TableDMD[[#All],[ACT]:[WA - Kimberley]]),1)</f>
        <v>0.53</v>
      </c>
      <c r="AF661">
        <f t="shared" ref="AF661:AF700" si="214">(Y661 * (1 - AE661) + (0.04 * Y661)) * ( 1 - $CJ$3 )</f>
        <v>2.4970485568124006</v>
      </c>
      <c r="AG661">
        <f t="shared" ref="AG661:AG700" si="215">$CJ$4</f>
        <v>0.19</v>
      </c>
      <c r="AH661">
        <f t="shared" ref="AH661:AH700" si="216">$CJ$5</f>
        <v>0.6784</v>
      </c>
      <c r="AI661">
        <f>IF(F661="yes",0,VLOOKUP(C661,$BQ$211:$BS$225,3,FALSE))</f>
        <v>0</v>
      </c>
      <c r="AK661">
        <f>VLOOKUP(C661,$BQ$211:$BU$225,4,FALSE)</f>
        <v>0.78</v>
      </c>
      <c r="AL661">
        <f>IF(F661="yes",100,VLOOKUP(C661,$BQ$211:$BS$225,2,FALSE))</f>
        <v>100</v>
      </c>
      <c r="AM661">
        <f>VLOOKUP(C661,$BQ$211:$BU$225,5,FALSE)</f>
        <v>4.7000000000000002E-3</v>
      </c>
      <c r="AN661">
        <f>AF661 * AG661 * AI661/100 * AK661 * AH661</f>
        <v>0</v>
      </c>
      <c r="AO661">
        <f>AF661 * AG661 * AL661/100 * AM661 * AH661</f>
        <v>1.5127399826607888E-3</v>
      </c>
      <c r="AP661">
        <f>AN661+AO661</f>
        <v>1.5127399826607888E-3</v>
      </c>
      <c r="AQ661">
        <f>K661*AP661*J661</f>
        <v>5.6595384601296761</v>
      </c>
      <c r="AR661">
        <f>SUM(AQ661:AQ700)*10^-3</f>
        <v>0.88812595819358209</v>
      </c>
      <c r="AS661">
        <f>U661*$B$663+V661*$B$664</f>
        <v>2.9268292682926829</v>
      </c>
      <c r="AT661">
        <f t="shared" ref="AT661:AT700" si="217" xml:space="preserve"> (0.032*W661/6.38) + (((0.212 - 0.008*(Z661-2) - (0.14 - 0.008*(Z661 - 2))/(1+EXP(-6*(Q661-0.4))))*O661*0.92)/6.25)</f>
        <v>1.5080901278710573E-2</v>
      </c>
      <c r="AU661">
        <f>MAX((Y661*AC661/6.25)+(0.032*AS661/6.38)-AT661-((1.1*(10^-4)*(M661^0.75))/6.25), 0)</f>
        <v>5.9847995680838498E-2</v>
      </c>
      <c r="AV661">
        <f t="shared" ref="AV661:AV700" si="218">K661*AU661*J661</f>
        <v>223.90631384093703</v>
      </c>
      <c r="AW661">
        <f>SUM(AV661:AV700)</f>
        <v>36189.295976238289</v>
      </c>
      <c r="AX661" t="s">
        <v>155</v>
      </c>
      <c r="AY661">
        <f>VLOOKUP(AX661, $CK$18:$CM$27, 2, FALSE)</f>
        <v>6.0000000000000001E-3</v>
      </c>
      <c r="AZ661">
        <f>$CJ$6</f>
        <v>0.21</v>
      </c>
      <c r="BA661">
        <f>AW661*AZ661</f>
        <v>7599.75215501004</v>
      </c>
      <c r="BB661">
        <f>$CJ$7</f>
        <v>0.24</v>
      </c>
      <c r="BC661" t="s">
        <v>161</v>
      </c>
      <c r="BD661">
        <f>IF(BC661="yes",1,0)</f>
        <v>1</v>
      </c>
      <c r="BE661">
        <f>AW661 * BD661 * BB661</f>
        <v>8685.4310342971894</v>
      </c>
      <c r="BF661">
        <f>$CJ$8</f>
        <v>1.57</v>
      </c>
      <c r="BG661" t="s">
        <v>183</v>
      </c>
      <c r="BH661">
        <f>VLOOKUP(BG661, $BQ$274:$BR$286, 2, FALSE)</f>
        <v>1.8E-3</v>
      </c>
      <c r="BI661">
        <f>$CJ$9</f>
        <v>1.0999999999999999E-2</v>
      </c>
      <c r="BJ661" s="7">
        <f>(AW661 * AY661 * BF661) * 10^-3</f>
        <v>0.34090316809616467</v>
      </c>
      <c r="BK661" s="7">
        <f>BA661 * BH661 * BF661 * 10^-3</f>
        <v>2.1476899590058374E-2</v>
      </c>
      <c r="BL661" s="7">
        <f>BE661 * BI661 * BF661 * 10^-3</f>
        <v>0.14999739396231246</v>
      </c>
    </row>
    <row r="662" spans="1:64" x14ac:dyDescent="0.2">
      <c r="G662">
        <v>1</v>
      </c>
      <c r="H662" t="s">
        <v>162</v>
      </c>
      <c r="J662">
        <v>91.25</v>
      </c>
      <c r="K662">
        <v>102</v>
      </c>
      <c r="M662">
        <v>120</v>
      </c>
      <c r="O662">
        <v>0.05</v>
      </c>
      <c r="P662">
        <v>770</v>
      </c>
      <c r="Q662">
        <f t="shared" ref="Q662:Q700" si="219">M662 / P662</f>
        <v>0.15584415584415584</v>
      </c>
      <c r="S662">
        <v>0</v>
      </c>
      <c r="T662">
        <v>0</v>
      </c>
      <c r="U662">
        <f>30/K662</f>
        <v>0.29411764705882354</v>
      </c>
      <c r="V662">
        <f>20/K662</f>
        <v>0.19607843137254902</v>
      </c>
      <c r="W662">
        <f>S662*B663+T662*B664</f>
        <v>0</v>
      </c>
      <c r="X662">
        <f t="shared" si="212"/>
        <v>1</v>
      </c>
      <c r="Y662">
        <f t="shared" si="213"/>
        <v>2.9176397721000003</v>
      </c>
      <c r="Z662">
        <f t="shared" ref="Z662:Z700" si="220">Y662 / ((1.185 + 0.00454 * M662 - 0.0000026 * M662 ^ 2) ^ 2 * X662)</f>
        <v>1.0186996725612609</v>
      </c>
      <c r="AC662">
        <v>9.9000000000000005E-2</v>
      </c>
      <c r="AE662">
        <v>0.56999999999999995</v>
      </c>
      <c r="AF662">
        <f t="shared" si="214"/>
        <v>1.2615874374560403</v>
      </c>
      <c r="AG662">
        <f t="shared" si="215"/>
        <v>0.19</v>
      </c>
      <c r="AH662">
        <f t="shared" si="216"/>
        <v>0.6784</v>
      </c>
      <c r="AI662">
        <f>AI661</f>
        <v>0</v>
      </c>
      <c r="AK662">
        <f>AK661</f>
        <v>0.78</v>
      </c>
      <c r="AL662">
        <f>AL661</f>
        <v>100</v>
      </c>
      <c r="AM662">
        <f>AM661</f>
        <v>4.7000000000000002E-3</v>
      </c>
      <c r="AN662">
        <f t="shared" ref="AN662:AN700" si="221">AF662 * AG662 * AI662/100 * AK662 * AH662</f>
        <v>0</v>
      </c>
      <c r="AO662">
        <f t="shared" ref="AO662:AO700" si="222">AF662 * AG662 * AL662/100 * AM662 * AH662</f>
        <v>7.6428379939016879E-4</v>
      </c>
      <c r="AP662">
        <f t="shared" ref="AP662:AP700" si="223">AN662+AO662</f>
        <v>7.6428379939016879E-4</v>
      </c>
      <c r="AQ662">
        <f t="shared" ref="AQ662:AQ700" si="224">K662*AP662*J662</f>
        <v>7.1135714628239963</v>
      </c>
      <c r="AS662">
        <f t="shared" ref="AS662:AS700" si="225">U662*$B$663+V662*$B$664</f>
        <v>2.5490196078431371</v>
      </c>
      <c r="AT662">
        <f t="shared" si="217"/>
        <v>1.4138328854650193E-3</v>
      </c>
      <c r="AU662">
        <f t="shared" ref="AU662:AU700" si="226">MAX((Y662*AC662/6.25)+(0.032*AS662/6.38)-AT662-((1.1*(10^-4)*(M662^0.75))/6.25), 0)</f>
        <v>5.6948517945282315E-2</v>
      </c>
      <c r="AV662">
        <f t="shared" si="218"/>
        <v>530.04833077571516</v>
      </c>
      <c r="AY662">
        <f>AY661</f>
        <v>6.0000000000000001E-3</v>
      </c>
      <c r="BB662">
        <f t="shared" ref="BB662:BB700" si="227">$CJ$7</f>
        <v>0.24</v>
      </c>
    </row>
    <row r="663" spans="1:64" x14ac:dyDescent="0.2">
      <c r="A663" t="s">
        <v>222</v>
      </c>
      <c r="B663">
        <f>IF(B661="Hereford or Shorthorn",$BT$3,$BT$4)</f>
        <v>6</v>
      </c>
      <c r="H663" t="s">
        <v>163</v>
      </c>
      <c r="J663">
        <v>91.25</v>
      </c>
      <c r="K663">
        <v>99</v>
      </c>
      <c r="M663">
        <v>125</v>
      </c>
      <c r="O663">
        <v>0.33</v>
      </c>
      <c r="P663">
        <v>770</v>
      </c>
      <c r="Q663">
        <f t="shared" si="219"/>
        <v>0.16233766233766234</v>
      </c>
      <c r="S663">
        <v>0</v>
      </c>
      <c r="T663">
        <v>0</v>
      </c>
      <c r="U663">
        <v>0</v>
      </c>
      <c r="V663">
        <f>30/K663</f>
        <v>0.30303030303030304</v>
      </c>
      <c r="W663">
        <f>S663*B663+T663*B664</f>
        <v>0</v>
      </c>
      <c r="X663">
        <f t="shared" si="212"/>
        <v>1</v>
      </c>
      <c r="Y663">
        <f t="shared" si="213"/>
        <v>3.2972204306249999</v>
      </c>
      <c r="Z663">
        <f t="shared" si="220"/>
        <v>1.1251330526926984</v>
      </c>
      <c r="AC663">
        <v>7.8E-2</v>
      </c>
      <c r="AE663">
        <v>0.55000000000000004</v>
      </c>
      <c r="AF663">
        <f t="shared" si="214"/>
        <v>1.4863869701257499</v>
      </c>
      <c r="AG663">
        <f t="shared" si="215"/>
        <v>0.19</v>
      </c>
      <c r="AH663">
        <f t="shared" si="216"/>
        <v>0.6784</v>
      </c>
      <c r="AI663">
        <f>AI661</f>
        <v>0</v>
      </c>
      <c r="AK663">
        <f>AK661</f>
        <v>0.78</v>
      </c>
      <c r="AL663">
        <f>AL661</f>
        <v>100</v>
      </c>
      <c r="AM663">
        <f>AM661</f>
        <v>4.7000000000000002E-3</v>
      </c>
      <c r="AN663">
        <f t="shared" si="221"/>
        <v>0</v>
      </c>
      <c r="AO663">
        <f t="shared" si="222"/>
        <v>9.0046987403624473E-4</v>
      </c>
      <c r="AP663">
        <f t="shared" si="223"/>
        <v>9.0046987403624473E-4</v>
      </c>
      <c r="AQ663">
        <f t="shared" si="224"/>
        <v>8.1346197245749252</v>
      </c>
      <c r="AS663">
        <f t="shared" si="225"/>
        <v>1.2121212121212122</v>
      </c>
      <c r="AT663">
        <f t="shared" si="217"/>
        <v>9.2547631120300164E-3</v>
      </c>
      <c r="AU663">
        <f t="shared" si="226"/>
        <v>3.7316199224118968E-2</v>
      </c>
      <c r="AV663">
        <f t="shared" si="218"/>
        <v>337.10521474088472</v>
      </c>
      <c r="AY663">
        <f>AY661</f>
        <v>6.0000000000000001E-3</v>
      </c>
      <c r="BB663">
        <f t="shared" si="227"/>
        <v>0.24</v>
      </c>
    </row>
    <row r="664" spans="1:64" x14ac:dyDescent="0.2">
      <c r="A664" t="s">
        <v>223</v>
      </c>
      <c r="B664">
        <f>IF(B661="Hereford or Shorthorn",$BU$3,$BU$4)</f>
        <v>4</v>
      </c>
      <c r="H664" t="s">
        <v>164</v>
      </c>
      <c r="J664">
        <v>91.25</v>
      </c>
      <c r="K664">
        <v>54</v>
      </c>
      <c r="M664">
        <v>180</v>
      </c>
      <c r="O664">
        <v>0.61</v>
      </c>
      <c r="P664">
        <v>770</v>
      </c>
      <c r="Q664">
        <f t="shared" si="219"/>
        <v>0.23376623376623376</v>
      </c>
      <c r="S664">
        <v>0</v>
      </c>
      <c r="T664">
        <v>0</v>
      </c>
      <c r="U664">
        <v>0</v>
      </c>
      <c r="V664">
        <v>0</v>
      </c>
      <c r="W664">
        <f>S664*B663+T664*B664</f>
        <v>0</v>
      </c>
      <c r="X664">
        <f t="shared" si="212"/>
        <v>1</v>
      </c>
      <c r="Y664">
        <f t="shared" si="213"/>
        <v>4.4525642121000004</v>
      </c>
      <c r="Z664">
        <f t="shared" si="220"/>
        <v>1.2104060905014555</v>
      </c>
      <c r="AC664">
        <v>5.8999999999999997E-2</v>
      </c>
      <c r="AE664">
        <v>0.51</v>
      </c>
      <c r="AF664">
        <f t="shared" si="214"/>
        <v>2.1710703098199602</v>
      </c>
      <c r="AG664">
        <f t="shared" si="215"/>
        <v>0.19</v>
      </c>
      <c r="AH664">
        <f t="shared" si="216"/>
        <v>0.6784</v>
      </c>
      <c r="AI664">
        <f>AI661</f>
        <v>0</v>
      </c>
      <c r="AK664">
        <f>AK661</f>
        <v>0.78</v>
      </c>
      <c r="AL664">
        <f>AL661</f>
        <v>100</v>
      </c>
      <c r="AM664">
        <f>AM661</f>
        <v>4.7000000000000002E-3</v>
      </c>
      <c r="AN664">
        <f t="shared" si="221"/>
        <v>0</v>
      </c>
      <c r="AO664">
        <f t="shared" si="222"/>
        <v>1.3152587096764018E-3</v>
      </c>
      <c r="AP664">
        <f t="shared" si="223"/>
        <v>1.3152587096764018E-3</v>
      </c>
      <c r="AQ664">
        <f t="shared" si="224"/>
        <v>6.4809372919304691</v>
      </c>
      <c r="AS664">
        <f t="shared" si="225"/>
        <v>0</v>
      </c>
      <c r="AT664">
        <f t="shared" si="217"/>
        <v>1.60630121260938E-2</v>
      </c>
      <c r="AU664">
        <f t="shared" si="226"/>
        <v>2.5104291746823968E-2</v>
      </c>
      <c r="AV664">
        <f t="shared" si="218"/>
        <v>123.70139758247511</v>
      </c>
      <c r="AY664">
        <f>AY661</f>
        <v>6.0000000000000001E-3</v>
      </c>
      <c r="BB664">
        <f t="shared" si="227"/>
        <v>0.24</v>
      </c>
    </row>
    <row r="665" spans="1:64" x14ac:dyDescent="0.2">
      <c r="G665" t="s">
        <v>165</v>
      </c>
      <c r="H665" t="s">
        <v>160</v>
      </c>
      <c r="J665">
        <v>91.25</v>
      </c>
      <c r="K665">
        <v>45</v>
      </c>
      <c r="M665">
        <v>674</v>
      </c>
      <c r="O665">
        <v>-0.19</v>
      </c>
      <c r="P665">
        <v>770</v>
      </c>
      <c r="Q665">
        <f t="shared" si="219"/>
        <v>0.87532467532467528</v>
      </c>
      <c r="S665">
        <v>0</v>
      </c>
      <c r="T665">
        <v>0</v>
      </c>
      <c r="U665">
        <v>0</v>
      </c>
      <c r="V665">
        <v>0</v>
      </c>
      <c r="W665">
        <f>S665*B663+T665*B664</f>
        <v>0</v>
      </c>
      <c r="X665">
        <f t="shared" si="212"/>
        <v>1</v>
      </c>
      <c r="Y665">
        <f t="shared" si="213"/>
        <v>9.0239703392577582</v>
      </c>
      <c r="Z665">
        <f t="shared" si="220"/>
        <v>0.96131299949724636</v>
      </c>
      <c r="AC665">
        <v>7.1999999999999995E-2</v>
      </c>
      <c r="AE665">
        <v>0.53</v>
      </c>
      <c r="AF665">
        <f t="shared" si="214"/>
        <v>4.2340468831797393</v>
      </c>
      <c r="AG665">
        <f t="shared" si="215"/>
        <v>0.19</v>
      </c>
      <c r="AH665">
        <f t="shared" si="216"/>
        <v>0.6784</v>
      </c>
      <c r="AI665">
        <f>AI661</f>
        <v>0</v>
      </c>
      <c r="AK665">
        <f>AK661</f>
        <v>0.78</v>
      </c>
      <c r="AL665">
        <f>AL661</f>
        <v>100</v>
      </c>
      <c r="AM665">
        <f>AM661</f>
        <v>4.7000000000000002E-3</v>
      </c>
      <c r="AN665">
        <f t="shared" si="221"/>
        <v>0</v>
      </c>
      <c r="AO665">
        <f t="shared" si="222"/>
        <v>2.5650330231553778E-3</v>
      </c>
      <c r="AP665">
        <f t="shared" si="223"/>
        <v>2.5650330231553778E-3</v>
      </c>
      <c r="AQ665">
        <f t="shared" si="224"/>
        <v>10.53266685133177</v>
      </c>
      <c r="AS665">
        <f t="shared" si="225"/>
        <v>0</v>
      </c>
      <c r="AT665">
        <f t="shared" si="217"/>
        <v>-2.2400924063421244E-3</v>
      </c>
      <c r="AU665">
        <f t="shared" si="226"/>
        <v>0.10386809876824674</v>
      </c>
      <c r="AV665">
        <f t="shared" si="218"/>
        <v>426.50838056711314</v>
      </c>
      <c r="AY665">
        <f>AY661</f>
        <v>6.0000000000000001E-3</v>
      </c>
      <c r="BB665">
        <f t="shared" si="227"/>
        <v>0.24</v>
      </c>
    </row>
    <row r="666" spans="1:64" x14ac:dyDescent="0.2">
      <c r="A666" t="s">
        <v>167</v>
      </c>
      <c r="G666">
        <v>2</v>
      </c>
      <c r="H666" t="s">
        <v>162</v>
      </c>
      <c r="J666">
        <v>91.25</v>
      </c>
      <c r="K666">
        <v>96</v>
      </c>
      <c r="M666">
        <v>669</v>
      </c>
      <c r="O666">
        <v>0.19</v>
      </c>
      <c r="P666">
        <v>770</v>
      </c>
      <c r="Q666">
        <f t="shared" si="219"/>
        <v>0.86883116883116884</v>
      </c>
      <c r="S666">
        <v>0</v>
      </c>
      <c r="T666">
        <v>0</v>
      </c>
      <c r="U666">
        <v>0</v>
      </c>
      <c r="V666">
        <v>0</v>
      </c>
      <c r="W666">
        <f>S666*B663+T666*B664</f>
        <v>0</v>
      </c>
      <c r="X666">
        <f t="shared" si="212"/>
        <v>1</v>
      </c>
      <c r="Y666">
        <f t="shared" si="213"/>
        <v>9.7247391341619629</v>
      </c>
      <c r="Z666">
        <f t="shared" si="220"/>
        <v>1.0395184318113273</v>
      </c>
      <c r="AC666">
        <v>9.9000000000000005E-2</v>
      </c>
      <c r="AE666">
        <v>0.56999999999999995</v>
      </c>
      <c r="AF666">
        <f t="shared" si="214"/>
        <v>4.2049772016116327</v>
      </c>
      <c r="AG666">
        <f t="shared" si="215"/>
        <v>0.19</v>
      </c>
      <c r="AH666">
        <f t="shared" si="216"/>
        <v>0.6784</v>
      </c>
      <c r="AI666">
        <f>AI661</f>
        <v>0</v>
      </c>
      <c r="AK666">
        <f>AK661</f>
        <v>0.78</v>
      </c>
      <c r="AL666">
        <f>AL661</f>
        <v>100</v>
      </c>
      <c r="AM666">
        <f>AM661</f>
        <v>4.7000000000000002E-3</v>
      </c>
      <c r="AN666">
        <f t="shared" si="221"/>
        <v>0</v>
      </c>
      <c r="AO666">
        <f t="shared" si="222"/>
        <v>2.5474222844809849E-3</v>
      </c>
      <c r="AP666">
        <f t="shared" si="223"/>
        <v>2.5474222844809849E-3</v>
      </c>
      <c r="AQ666">
        <f t="shared" si="224"/>
        <v>22.315419212053428</v>
      </c>
      <c r="AS666">
        <f t="shared" si="225"/>
        <v>0</v>
      </c>
      <c r="AT666">
        <f t="shared" si="217"/>
        <v>2.2475869422288754E-3</v>
      </c>
      <c r="AU666">
        <f t="shared" si="226"/>
        <v>0.14947711430176405</v>
      </c>
      <c r="AV666">
        <f t="shared" si="218"/>
        <v>1309.4195212834532</v>
      </c>
      <c r="AY666">
        <f>AY661</f>
        <v>6.0000000000000001E-3</v>
      </c>
      <c r="BB666">
        <f t="shared" si="227"/>
        <v>0.24</v>
      </c>
    </row>
    <row r="667" spans="1:64" x14ac:dyDescent="0.2">
      <c r="A667" t="s">
        <v>160</v>
      </c>
      <c r="B667">
        <f>IF(B661="Hereford or Shorthorn", 1.3, 0)</f>
        <v>1.3</v>
      </c>
      <c r="H667" t="s">
        <v>163</v>
      </c>
      <c r="J667">
        <v>91.25</v>
      </c>
      <c r="K667">
        <v>67</v>
      </c>
      <c r="M667">
        <v>685</v>
      </c>
      <c r="O667">
        <v>0.13</v>
      </c>
      <c r="P667">
        <v>770</v>
      </c>
      <c r="Q667">
        <f t="shared" si="219"/>
        <v>0.88961038961038963</v>
      </c>
      <c r="S667">
        <v>0</v>
      </c>
      <c r="T667">
        <v>0</v>
      </c>
      <c r="U667">
        <v>0</v>
      </c>
      <c r="V667">
        <v>0</v>
      </c>
      <c r="W667">
        <f>S667*B663+T667*B664</f>
        <v>0</v>
      </c>
      <c r="X667">
        <f t="shared" si="212"/>
        <v>1</v>
      </c>
      <c r="Y667">
        <f t="shared" si="213"/>
        <v>9.7086146982249986</v>
      </c>
      <c r="Z667">
        <f t="shared" si="220"/>
        <v>1.0268122368328996</v>
      </c>
      <c r="AC667">
        <v>7.8E-2</v>
      </c>
      <c r="AE667">
        <v>0.55000000000000004</v>
      </c>
      <c r="AF667">
        <f t="shared" si="214"/>
        <v>4.3766435059598292</v>
      </c>
      <c r="AG667">
        <f t="shared" si="215"/>
        <v>0.19</v>
      </c>
      <c r="AH667">
        <f t="shared" si="216"/>
        <v>0.6784</v>
      </c>
      <c r="AI667">
        <f>AI661</f>
        <v>0</v>
      </c>
      <c r="AK667">
        <f>AK661</f>
        <v>0.78</v>
      </c>
      <c r="AL667">
        <f>AL661</f>
        <v>100</v>
      </c>
      <c r="AM667">
        <f>AM661</f>
        <v>4.7000000000000002E-3</v>
      </c>
      <c r="AN667">
        <f t="shared" si="221"/>
        <v>0</v>
      </c>
      <c r="AO667">
        <f t="shared" si="222"/>
        <v>2.6514196543177314E-3</v>
      </c>
      <c r="AP667">
        <f t="shared" si="223"/>
        <v>2.6514196543177314E-3</v>
      </c>
      <c r="AQ667">
        <f t="shared" si="224"/>
        <v>16.210116911585029</v>
      </c>
      <c r="AS667">
        <f t="shared" si="225"/>
        <v>0</v>
      </c>
      <c r="AT667">
        <f t="shared" si="217"/>
        <v>1.5201062631674466E-3</v>
      </c>
      <c r="AU667">
        <f t="shared" si="226"/>
        <v>0.11728683380446552</v>
      </c>
      <c r="AV667">
        <f t="shared" si="218"/>
        <v>717.06238017205101</v>
      </c>
      <c r="AY667">
        <f>AY661</f>
        <v>6.0000000000000001E-3</v>
      </c>
      <c r="BB667">
        <f t="shared" si="227"/>
        <v>0.24</v>
      </c>
    </row>
    <row r="668" spans="1:64" x14ac:dyDescent="0.2">
      <c r="A668" t="s">
        <v>162</v>
      </c>
      <c r="B668">
        <f>IF(B661="Hereford or Shorthorn", 1.1, 1.3)</f>
        <v>1.1000000000000001</v>
      </c>
      <c r="H668" t="s">
        <v>164</v>
      </c>
      <c r="J668">
        <v>91.25</v>
      </c>
      <c r="K668">
        <v>18</v>
      </c>
      <c r="M668">
        <v>692</v>
      </c>
      <c r="O668">
        <v>-0.06</v>
      </c>
      <c r="P668">
        <v>770</v>
      </c>
      <c r="Q668">
        <f t="shared" si="219"/>
        <v>0.89870129870129867</v>
      </c>
      <c r="S668">
        <v>0</v>
      </c>
      <c r="T668">
        <v>0</v>
      </c>
      <c r="U668">
        <v>0</v>
      </c>
      <c r="V668">
        <v>0</v>
      </c>
      <c r="W668">
        <f>S668*B663+T668*B664</f>
        <v>0</v>
      </c>
      <c r="X668">
        <f t="shared" si="212"/>
        <v>1</v>
      </c>
      <c r="Y668">
        <f t="shared" si="213"/>
        <v>9.380337104568957</v>
      </c>
      <c r="Z668">
        <f t="shared" si="220"/>
        <v>0.98777139365049604</v>
      </c>
      <c r="AC668">
        <v>5.8999999999999997E-2</v>
      </c>
      <c r="AE668">
        <v>0.51</v>
      </c>
      <c r="AF668">
        <f t="shared" si="214"/>
        <v>4.5738523721878233</v>
      </c>
      <c r="AG668">
        <f t="shared" si="215"/>
        <v>0.19</v>
      </c>
      <c r="AH668">
        <f t="shared" si="216"/>
        <v>0.6784</v>
      </c>
      <c r="AI668">
        <f>AI661</f>
        <v>0</v>
      </c>
      <c r="AK668">
        <f>AK661</f>
        <v>0.78</v>
      </c>
      <c r="AL668">
        <f>AL661</f>
        <v>100</v>
      </c>
      <c r="AM668">
        <f>AM661</f>
        <v>4.7000000000000002E-3</v>
      </c>
      <c r="AN668">
        <f t="shared" si="221"/>
        <v>0</v>
      </c>
      <c r="AO668">
        <f t="shared" si="222"/>
        <v>2.7708909942179521E-3</v>
      </c>
      <c r="AP668">
        <f t="shared" si="223"/>
        <v>2.7708909942179521E-3</v>
      </c>
      <c r="AQ668">
        <f t="shared" si="224"/>
        <v>4.5511884580029864</v>
      </c>
      <c r="AS668">
        <f t="shared" si="225"/>
        <v>0</v>
      </c>
      <c r="AT668">
        <f t="shared" si="217"/>
        <v>-6.9839912038661034E-4</v>
      </c>
      <c r="AU668">
        <f t="shared" si="226"/>
        <v>8.6874171681259271E-2</v>
      </c>
      <c r="AV668">
        <f t="shared" si="218"/>
        <v>142.69082698646835</v>
      </c>
      <c r="AY668">
        <f>AY661</f>
        <v>6.0000000000000001E-3</v>
      </c>
      <c r="BB668">
        <f t="shared" si="227"/>
        <v>0.24</v>
      </c>
    </row>
    <row r="669" spans="1:64" x14ac:dyDescent="0.2">
      <c r="A669" t="s">
        <v>163</v>
      </c>
      <c r="B669">
        <f>IF(B661="Hereford or Shorthorn", 0, 1.1)</f>
        <v>0</v>
      </c>
      <c r="G669" t="s">
        <v>177</v>
      </c>
      <c r="H669" t="s">
        <v>160</v>
      </c>
      <c r="J669">
        <v>91.25</v>
      </c>
      <c r="K669">
        <v>209</v>
      </c>
      <c r="M669">
        <v>310</v>
      </c>
      <c r="O669">
        <v>0.41</v>
      </c>
      <c r="P669">
        <v>550</v>
      </c>
      <c r="Q669">
        <f t="shared" si="219"/>
        <v>0.5636363636363636</v>
      </c>
      <c r="S669">
        <v>0</v>
      </c>
      <c r="T669">
        <v>0</v>
      </c>
      <c r="U669">
        <v>0</v>
      </c>
      <c r="V669">
        <v>0</v>
      </c>
      <c r="W669">
        <f>S669*B663+T669*B664</f>
        <v>0</v>
      </c>
      <c r="X669">
        <f t="shared" si="212"/>
        <v>1</v>
      </c>
      <c r="Y669">
        <f t="shared" si="213"/>
        <v>6.1092514561000009</v>
      </c>
      <c r="Z669">
        <f t="shared" si="220"/>
        <v>1.1133045145881333</v>
      </c>
      <c r="AC669">
        <v>7.1999999999999995E-2</v>
      </c>
      <c r="AE669">
        <v>0.53</v>
      </c>
      <c r="AF669">
        <f t="shared" si="214"/>
        <v>2.8664607832021201</v>
      </c>
      <c r="AG669">
        <f t="shared" si="215"/>
        <v>0.19</v>
      </c>
      <c r="AH669">
        <f t="shared" si="216"/>
        <v>0.6784</v>
      </c>
      <c r="AI669">
        <f>AI661</f>
        <v>0</v>
      </c>
      <c r="AK669">
        <f>AK661</f>
        <v>0.78</v>
      </c>
      <c r="AL669">
        <f>AL661</f>
        <v>100</v>
      </c>
      <c r="AM669">
        <f>AM661</f>
        <v>4.7000000000000002E-3</v>
      </c>
      <c r="AN669">
        <f t="shared" si="221"/>
        <v>0</v>
      </c>
      <c r="AO669">
        <f t="shared" si="222"/>
        <v>1.7365340468246163E-3</v>
      </c>
      <c r="AP669">
        <f t="shared" si="223"/>
        <v>1.7365340468246163E-3</v>
      </c>
      <c r="AQ669">
        <f t="shared" si="224"/>
        <v>33.117874940503967</v>
      </c>
      <c r="AS669">
        <f t="shared" si="225"/>
        <v>0</v>
      </c>
      <c r="AT669">
        <f t="shared" si="217"/>
        <v>6.7647096538053959E-3</v>
      </c>
      <c r="AU669">
        <f t="shared" si="226"/>
        <v>6.2313595935970502E-2</v>
      </c>
      <c r="AV669">
        <f t="shared" si="218"/>
        <v>1188.3981664938774</v>
      </c>
      <c r="AY669">
        <f>AY661</f>
        <v>6.0000000000000001E-3</v>
      </c>
      <c r="BB669">
        <f t="shared" si="227"/>
        <v>0.24</v>
      </c>
    </row>
    <row r="670" spans="1:64" x14ac:dyDescent="0.2">
      <c r="A670" t="s">
        <v>164</v>
      </c>
      <c r="B670">
        <v>0</v>
      </c>
      <c r="G670">
        <v>4</v>
      </c>
      <c r="H670" t="s">
        <v>162</v>
      </c>
      <c r="J670">
        <v>91.25</v>
      </c>
      <c r="K670">
        <v>290</v>
      </c>
      <c r="M670">
        <v>250</v>
      </c>
      <c r="O670">
        <v>0.54</v>
      </c>
      <c r="P670">
        <v>550</v>
      </c>
      <c r="Q670">
        <f t="shared" si="219"/>
        <v>0.45454545454545453</v>
      </c>
      <c r="S670">
        <v>0</v>
      </c>
      <c r="T670">
        <v>0</v>
      </c>
      <c r="U670">
        <v>0</v>
      </c>
      <c r="V670">
        <v>0</v>
      </c>
      <c r="W670">
        <f>S670*B663+T670*B664</f>
        <v>0</v>
      </c>
      <c r="X670">
        <f t="shared" si="212"/>
        <v>1</v>
      </c>
      <c r="Y670">
        <f t="shared" si="213"/>
        <v>5.4177217600000018</v>
      </c>
      <c r="Z670">
        <f t="shared" si="220"/>
        <v>1.1638984458268271</v>
      </c>
      <c r="AC670">
        <v>9.9000000000000005E-2</v>
      </c>
      <c r="AE670">
        <v>0.56999999999999995</v>
      </c>
      <c r="AF670">
        <f t="shared" si="214"/>
        <v>2.3426228890240011</v>
      </c>
      <c r="AG670">
        <f t="shared" si="215"/>
        <v>0.19</v>
      </c>
      <c r="AH670">
        <f t="shared" si="216"/>
        <v>0.6784</v>
      </c>
      <c r="AI670">
        <f>AI661</f>
        <v>0</v>
      </c>
      <c r="AK670">
        <f>AK661</f>
        <v>0.78</v>
      </c>
      <c r="AL670">
        <f>AL661</f>
        <v>100</v>
      </c>
      <c r="AM670">
        <f>AM661</f>
        <v>4.7000000000000002E-3</v>
      </c>
      <c r="AN670">
        <f t="shared" si="221"/>
        <v>0</v>
      </c>
      <c r="AO670">
        <f t="shared" si="222"/>
        <v>1.4191871835470969E-3</v>
      </c>
      <c r="AP670">
        <f t="shared" si="223"/>
        <v>1.4191871835470969E-3</v>
      </c>
      <c r="AQ670">
        <f t="shared" si="224"/>
        <v>37.555240844615057</v>
      </c>
      <c r="AS670">
        <f t="shared" si="225"/>
        <v>0</v>
      </c>
      <c r="AT670">
        <f t="shared" si="217"/>
        <v>1.0607560951943137E-2</v>
      </c>
      <c r="AU670">
        <f t="shared" si="226"/>
        <v>7.4102610308335898E-2</v>
      </c>
      <c r="AV670">
        <f t="shared" si="218"/>
        <v>1960.9403252843388</v>
      </c>
      <c r="AY670">
        <f>AY661</f>
        <v>6.0000000000000001E-3</v>
      </c>
      <c r="BB670">
        <f t="shared" si="227"/>
        <v>0.24</v>
      </c>
    </row>
    <row r="671" spans="1:64" x14ac:dyDescent="0.2">
      <c r="H671" t="s">
        <v>163</v>
      </c>
      <c r="J671">
        <v>91.25</v>
      </c>
      <c r="K671">
        <v>271</v>
      </c>
      <c r="M671">
        <v>277</v>
      </c>
      <c r="O671">
        <v>0.36</v>
      </c>
      <c r="P671">
        <v>550</v>
      </c>
      <c r="Q671">
        <f t="shared" si="219"/>
        <v>0.50363636363636366</v>
      </c>
      <c r="S671">
        <v>0</v>
      </c>
      <c r="T671">
        <v>0</v>
      </c>
      <c r="U671">
        <v>0</v>
      </c>
      <c r="V671">
        <v>0</v>
      </c>
      <c r="W671">
        <f>S671*B663+T671*B664</f>
        <v>0</v>
      </c>
      <c r="X671">
        <f t="shared" si="212"/>
        <v>1</v>
      </c>
      <c r="Y671">
        <f t="shared" si="213"/>
        <v>5.5530196700371599</v>
      </c>
      <c r="Z671">
        <f t="shared" si="220"/>
        <v>1.1036666117626122</v>
      </c>
      <c r="AC671">
        <v>7.8E-2</v>
      </c>
      <c r="AE671">
        <v>0.55000000000000004</v>
      </c>
      <c r="AF671">
        <f t="shared" si="214"/>
        <v>2.5033012672527519</v>
      </c>
      <c r="AG671">
        <f t="shared" si="215"/>
        <v>0.19</v>
      </c>
      <c r="AH671">
        <f t="shared" si="216"/>
        <v>0.6784</v>
      </c>
      <c r="AI671">
        <f>AI661</f>
        <v>0</v>
      </c>
      <c r="AK671">
        <f>AK661</f>
        <v>0.78</v>
      </c>
      <c r="AL671">
        <f>AL661</f>
        <v>100</v>
      </c>
      <c r="AM671">
        <f>AM661</f>
        <v>4.7000000000000002E-3</v>
      </c>
      <c r="AN671">
        <f t="shared" si="221"/>
        <v>0</v>
      </c>
      <c r="AO671">
        <f t="shared" si="222"/>
        <v>1.5165279446759106E-3</v>
      </c>
      <c r="AP671">
        <f t="shared" si="223"/>
        <v>1.5165279446759106E-3</v>
      </c>
      <c r="AQ671">
        <f t="shared" si="224"/>
        <v>37.501840411904418</v>
      </c>
      <c r="AS671">
        <f t="shared" si="225"/>
        <v>0</v>
      </c>
      <c r="AT671">
        <f t="shared" si="217"/>
        <v>6.5400992819051717E-3</v>
      </c>
      <c r="AU671">
        <f t="shared" si="226"/>
        <v>6.156657357214565E-2</v>
      </c>
      <c r="AV671">
        <f t="shared" si="218"/>
        <v>1522.4644062221969</v>
      </c>
      <c r="AY671">
        <f>AY661</f>
        <v>6.0000000000000001E-3</v>
      </c>
      <c r="BB671">
        <f t="shared" si="227"/>
        <v>0.24</v>
      </c>
    </row>
    <row r="672" spans="1:64" x14ac:dyDescent="0.2">
      <c r="H672" t="s">
        <v>164</v>
      </c>
      <c r="J672">
        <v>91.25</v>
      </c>
      <c r="K672">
        <v>222</v>
      </c>
      <c r="M672">
        <v>316</v>
      </c>
      <c r="O672">
        <v>0.18</v>
      </c>
      <c r="P672">
        <v>550</v>
      </c>
      <c r="Q672">
        <f t="shared" si="219"/>
        <v>0.57454545454545458</v>
      </c>
      <c r="S672">
        <v>0</v>
      </c>
      <c r="T672">
        <v>0</v>
      </c>
      <c r="U672">
        <v>0</v>
      </c>
      <c r="V672">
        <v>0</v>
      </c>
      <c r="W672">
        <f>S672*B663+T672*B664</f>
        <v>0</v>
      </c>
      <c r="X672">
        <f t="shared" si="212"/>
        <v>1</v>
      </c>
      <c r="Y672">
        <f t="shared" si="213"/>
        <v>5.8405084911673599</v>
      </c>
      <c r="Z672">
        <f t="shared" si="220"/>
        <v>1.0486277682091654</v>
      </c>
      <c r="AC672">
        <v>5.8999999999999997E-2</v>
      </c>
      <c r="AE672">
        <v>0.51</v>
      </c>
      <c r="AF672">
        <f t="shared" si="214"/>
        <v>2.8478319402932049</v>
      </c>
      <c r="AG672">
        <f t="shared" si="215"/>
        <v>0.19</v>
      </c>
      <c r="AH672">
        <f t="shared" si="216"/>
        <v>0.6784</v>
      </c>
      <c r="AI672">
        <f>AI661</f>
        <v>0</v>
      </c>
      <c r="AK672">
        <f>AK661</f>
        <v>0.78</v>
      </c>
      <c r="AL672">
        <f>AL661</f>
        <v>100</v>
      </c>
      <c r="AM672">
        <f>AM661</f>
        <v>4.7000000000000002E-3</v>
      </c>
      <c r="AN672">
        <f t="shared" si="221"/>
        <v>0</v>
      </c>
      <c r="AO672">
        <f t="shared" si="222"/>
        <v>1.7252484851473548E-3</v>
      </c>
      <c r="AP672">
        <f t="shared" si="223"/>
        <v>1.7252484851473548E-3</v>
      </c>
      <c r="AQ672">
        <f t="shared" si="224"/>
        <v>34.949221187872539</v>
      </c>
      <c r="AS672">
        <f t="shared" si="225"/>
        <v>0</v>
      </c>
      <c r="AT672">
        <f t="shared" si="217"/>
        <v>2.9236170452873818E-3</v>
      </c>
      <c r="AU672">
        <f t="shared" si="226"/>
        <v>5.0891682323329072E-2</v>
      </c>
      <c r="AV672">
        <f t="shared" si="218"/>
        <v>1030.9382546648387</v>
      </c>
      <c r="AY672">
        <f>AY661</f>
        <v>6.0000000000000001E-3</v>
      </c>
      <c r="BB672">
        <f t="shared" si="227"/>
        <v>0.24</v>
      </c>
    </row>
    <row r="673" spans="7:54" x14ac:dyDescent="0.2">
      <c r="G673" t="s">
        <v>179</v>
      </c>
      <c r="H673" t="s">
        <v>160</v>
      </c>
      <c r="J673">
        <v>91.25</v>
      </c>
      <c r="K673">
        <v>261</v>
      </c>
      <c r="M673">
        <v>428</v>
      </c>
      <c r="O673">
        <v>0.06</v>
      </c>
      <c r="P673">
        <v>550</v>
      </c>
      <c r="Q673">
        <f t="shared" si="219"/>
        <v>0.7781818181818182</v>
      </c>
      <c r="S673">
        <v>0.8</v>
      </c>
      <c r="T673">
        <v>0.05</v>
      </c>
      <c r="U673">
        <v>0</v>
      </c>
      <c r="V673">
        <v>0</v>
      </c>
      <c r="W673">
        <f>S673*B663+T673*B664</f>
        <v>5.0000000000000009</v>
      </c>
      <c r="X673">
        <f t="shared" si="212"/>
        <v>1.2449999999999999</v>
      </c>
      <c r="Y673">
        <f t="shared" si="213"/>
        <v>8.8804115639933467</v>
      </c>
      <c r="Z673">
        <f t="shared" si="220"/>
        <v>1.0143050409254164</v>
      </c>
      <c r="AC673">
        <v>7.1999999999999995E-2</v>
      </c>
      <c r="AE673">
        <v>0.53</v>
      </c>
      <c r="AF673">
        <f t="shared" si="214"/>
        <v>4.1666891058256788</v>
      </c>
      <c r="AG673">
        <f t="shared" si="215"/>
        <v>0.19</v>
      </c>
      <c r="AH673">
        <f t="shared" si="216"/>
        <v>0.6784</v>
      </c>
      <c r="AI673">
        <f>AI661</f>
        <v>0</v>
      </c>
      <c r="AK673">
        <f>AK661</f>
        <v>0.78</v>
      </c>
      <c r="AL673">
        <f>AL661</f>
        <v>100</v>
      </c>
      <c r="AM673">
        <f>AM661</f>
        <v>4.7000000000000002E-3</v>
      </c>
      <c r="AN673">
        <f t="shared" si="221"/>
        <v>0</v>
      </c>
      <c r="AO673">
        <f t="shared" si="222"/>
        <v>2.5242269272271814E-3</v>
      </c>
      <c r="AP673">
        <f t="shared" si="223"/>
        <v>2.5242269272271814E-3</v>
      </c>
      <c r="AQ673">
        <f t="shared" si="224"/>
        <v>60.117619555574358</v>
      </c>
      <c r="AS673">
        <f t="shared" si="225"/>
        <v>0</v>
      </c>
      <c r="AT673">
        <f t="shared" si="217"/>
        <v>2.5836677951395902E-2</v>
      </c>
      <c r="AU673">
        <f t="shared" si="226"/>
        <v>7.4809529184351284E-2</v>
      </c>
      <c r="AV673">
        <f t="shared" si="218"/>
        <v>1781.6824494368063</v>
      </c>
      <c r="AY673">
        <f>AY661</f>
        <v>6.0000000000000001E-3</v>
      </c>
      <c r="BB673">
        <f t="shared" si="227"/>
        <v>0.24</v>
      </c>
    </row>
    <row r="674" spans="7:54" x14ac:dyDescent="0.2">
      <c r="G674" t="s">
        <v>195</v>
      </c>
      <c r="H674" t="s">
        <v>162</v>
      </c>
      <c r="J674">
        <v>91.25</v>
      </c>
      <c r="K674">
        <v>326</v>
      </c>
      <c r="M674">
        <v>390</v>
      </c>
      <c r="O674">
        <v>0.53</v>
      </c>
      <c r="P674">
        <v>550</v>
      </c>
      <c r="Q674">
        <f t="shared" si="219"/>
        <v>0.70909090909090911</v>
      </c>
      <c r="S674">
        <v>0</v>
      </c>
      <c r="T674">
        <v>0.75</v>
      </c>
      <c r="U674">
        <v>0</v>
      </c>
      <c r="V674">
        <v>0</v>
      </c>
      <c r="W674">
        <f>S674*B663+T674*B664</f>
        <v>3</v>
      </c>
      <c r="X674">
        <f t="shared" si="212"/>
        <v>1.0750000000000002</v>
      </c>
      <c r="Y674">
        <f t="shared" si="213"/>
        <v>7.9947963582075019</v>
      </c>
      <c r="Z674">
        <f t="shared" si="220"/>
        <v>1.134675065730782</v>
      </c>
      <c r="AC674">
        <v>9.9000000000000005E-2</v>
      </c>
      <c r="AE674">
        <v>0.56999999999999995</v>
      </c>
      <c r="AF674">
        <f t="shared" si="214"/>
        <v>3.4569499452889243</v>
      </c>
      <c r="AG674">
        <f t="shared" si="215"/>
        <v>0.19</v>
      </c>
      <c r="AH674">
        <f t="shared" si="216"/>
        <v>0.6784</v>
      </c>
      <c r="AI674">
        <f>AI661</f>
        <v>0</v>
      </c>
      <c r="AK674">
        <f>AK661</f>
        <v>0.78</v>
      </c>
      <c r="AL674">
        <f>AL661</f>
        <v>100</v>
      </c>
      <c r="AM674">
        <f>AM661</f>
        <v>4.7000000000000002E-3</v>
      </c>
      <c r="AN674">
        <f t="shared" si="221"/>
        <v>0</v>
      </c>
      <c r="AO674">
        <f t="shared" si="222"/>
        <v>2.0942589946954171E-3</v>
      </c>
      <c r="AP674">
        <f t="shared" si="223"/>
        <v>2.0942589946954171E-3</v>
      </c>
      <c r="AQ674">
        <f t="shared" si="224"/>
        <v>62.298969444701925</v>
      </c>
      <c r="AS674">
        <f t="shared" si="225"/>
        <v>0</v>
      </c>
      <c r="AT674">
        <f t="shared" si="217"/>
        <v>2.2215484502683354E-2</v>
      </c>
      <c r="AU674">
        <f t="shared" si="226"/>
        <v>0.10287750726481611</v>
      </c>
      <c r="AV674">
        <f t="shared" si="218"/>
        <v>3060.348647360117</v>
      </c>
      <c r="AY674">
        <f>AY661</f>
        <v>6.0000000000000001E-3</v>
      </c>
      <c r="BB674">
        <f t="shared" si="227"/>
        <v>0.24</v>
      </c>
    </row>
    <row r="675" spans="7:54" x14ac:dyDescent="0.2">
      <c r="H675" t="s">
        <v>163</v>
      </c>
      <c r="J675">
        <v>91.25</v>
      </c>
      <c r="K675">
        <v>319</v>
      </c>
      <c r="M675">
        <v>407</v>
      </c>
      <c r="O675">
        <v>0.26</v>
      </c>
      <c r="P675">
        <v>550</v>
      </c>
      <c r="Q675">
        <f t="shared" si="219"/>
        <v>0.74</v>
      </c>
      <c r="S675">
        <v>0</v>
      </c>
      <c r="T675">
        <v>0</v>
      </c>
      <c r="U675">
        <v>0</v>
      </c>
      <c r="V675">
        <v>0</v>
      </c>
      <c r="W675">
        <f>S675*B663+T675*B664</f>
        <v>0</v>
      </c>
      <c r="X675">
        <f t="shared" si="212"/>
        <v>1</v>
      </c>
      <c r="Y675">
        <f t="shared" si="213"/>
        <v>7.2038162768547593</v>
      </c>
      <c r="Z675">
        <f t="shared" si="220"/>
        <v>1.0639399901784721</v>
      </c>
      <c r="AC675">
        <v>7.8E-2</v>
      </c>
      <c r="AE675">
        <v>0.55000000000000004</v>
      </c>
      <c r="AF675">
        <f t="shared" si="214"/>
        <v>3.2474803776061254</v>
      </c>
      <c r="AG675">
        <f t="shared" si="215"/>
        <v>0.19</v>
      </c>
      <c r="AH675">
        <f t="shared" si="216"/>
        <v>0.6784</v>
      </c>
      <c r="AI675">
        <f>AI661</f>
        <v>0</v>
      </c>
      <c r="AK675">
        <f>AK661</f>
        <v>0.78</v>
      </c>
      <c r="AL675">
        <f>AL661</f>
        <v>100</v>
      </c>
      <c r="AM675">
        <f>AM661</f>
        <v>4.7000000000000002E-3</v>
      </c>
      <c r="AN675">
        <f t="shared" si="221"/>
        <v>0</v>
      </c>
      <c r="AO675">
        <f t="shared" si="222"/>
        <v>1.9673599845340204E-3</v>
      </c>
      <c r="AP675">
        <f t="shared" si="223"/>
        <v>1.9673599845340204E-3</v>
      </c>
      <c r="AQ675">
        <f t="shared" si="224"/>
        <v>57.267389949804667</v>
      </c>
      <c r="AS675">
        <f t="shared" si="225"/>
        <v>0</v>
      </c>
      <c r="AT675">
        <f t="shared" si="217"/>
        <v>3.4050987785836716E-3</v>
      </c>
      <c r="AU675">
        <f t="shared" si="226"/>
        <v>8.4903720102465427E-2</v>
      </c>
      <c r="AV675">
        <f t="shared" si="218"/>
        <v>2471.4411625326406</v>
      </c>
      <c r="AY675">
        <f>AY661</f>
        <v>6.0000000000000001E-3</v>
      </c>
      <c r="BB675">
        <f t="shared" si="227"/>
        <v>0.24</v>
      </c>
    </row>
    <row r="676" spans="7:54" x14ac:dyDescent="0.2">
      <c r="H676" t="s">
        <v>164</v>
      </c>
      <c r="J676">
        <v>91.25</v>
      </c>
      <c r="K676">
        <v>264</v>
      </c>
      <c r="M676">
        <v>438</v>
      </c>
      <c r="O676">
        <v>0.12</v>
      </c>
      <c r="P676">
        <v>550</v>
      </c>
      <c r="Q676">
        <f t="shared" si="219"/>
        <v>0.79636363636363638</v>
      </c>
      <c r="S676">
        <v>0.1</v>
      </c>
      <c r="T676">
        <v>0</v>
      </c>
      <c r="U676">
        <v>0</v>
      </c>
      <c r="V676">
        <v>0</v>
      </c>
      <c r="W676">
        <f>S676*B663+T676*B664</f>
        <v>0.60000000000000009</v>
      </c>
      <c r="X676">
        <f t="shared" si="212"/>
        <v>1.03</v>
      </c>
      <c r="Y676">
        <f t="shared" si="213"/>
        <v>7.5785289845750201</v>
      </c>
      <c r="Z676">
        <f t="shared" si="220"/>
        <v>1.0284643032512903</v>
      </c>
      <c r="AC676">
        <v>5.8999999999999997E-2</v>
      </c>
      <c r="AE676">
        <v>0.51</v>
      </c>
      <c r="AF676">
        <f t="shared" si="214"/>
        <v>3.6952907328787803</v>
      </c>
      <c r="AG676">
        <f t="shared" si="215"/>
        <v>0.19</v>
      </c>
      <c r="AH676">
        <f t="shared" si="216"/>
        <v>0.6784</v>
      </c>
      <c r="AI676">
        <f>AI661</f>
        <v>0</v>
      </c>
      <c r="AK676">
        <f>AK661</f>
        <v>0.78</v>
      </c>
      <c r="AL676">
        <f>AL661</f>
        <v>100</v>
      </c>
      <c r="AM676">
        <f>AM661</f>
        <v>4.7000000000000002E-3</v>
      </c>
      <c r="AN676">
        <f t="shared" si="221"/>
        <v>0</v>
      </c>
      <c r="AO676">
        <f t="shared" si="222"/>
        <v>2.2386485132341728E-3</v>
      </c>
      <c r="AP676">
        <f t="shared" si="223"/>
        <v>2.2386485132341728E-3</v>
      </c>
      <c r="AQ676">
        <f t="shared" si="224"/>
        <v>53.929042683811225</v>
      </c>
      <c r="AS676">
        <f t="shared" si="225"/>
        <v>0</v>
      </c>
      <c r="AT676">
        <f t="shared" si="217"/>
        <v>4.5026963639413957E-3</v>
      </c>
      <c r="AU676">
        <f t="shared" si="226"/>
        <v>6.5353546071106064E-2</v>
      </c>
      <c r="AV676">
        <f t="shared" si="218"/>
        <v>1574.3669248529452</v>
      </c>
      <c r="AY676">
        <f>AY661</f>
        <v>6.0000000000000001E-3</v>
      </c>
      <c r="BB676">
        <f t="shared" si="227"/>
        <v>0.24</v>
      </c>
    </row>
    <row r="677" spans="7:54" x14ac:dyDescent="0.2">
      <c r="G677" t="s">
        <v>176</v>
      </c>
      <c r="H677" t="s">
        <v>160</v>
      </c>
      <c r="J677">
        <v>91.25</v>
      </c>
      <c r="K677">
        <v>65</v>
      </c>
      <c r="M677">
        <v>178</v>
      </c>
      <c r="O677">
        <v>0.37</v>
      </c>
      <c r="P677">
        <v>550</v>
      </c>
      <c r="Q677">
        <f t="shared" si="219"/>
        <v>0.32363636363636361</v>
      </c>
      <c r="S677">
        <v>0</v>
      </c>
      <c r="T677">
        <v>0</v>
      </c>
      <c r="U677">
        <f>25/K677</f>
        <v>0.38461538461538464</v>
      </c>
      <c r="V677">
        <f>5/K677</f>
        <v>7.6923076923076927E-2</v>
      </c>
      <c r="W677">
        <f>S677*B663+T677*B664</f>
        <v>0</v>
      </c>
      <c r="X677">
        <f t="shared" si="212"/>
        <v>1</v>
      </c>
      <c r="Y677">
        <f t="shared" si="213"/>
        <v>4.1099112314305595</v>
      </c>
      <c r="Z677">
        <f t="shared" si="220"/>
        <v>1.1257151833197943</v>
      </c>
      <c r="AC677">
        <v>7.1999999999999995E-2</v>
      </c>
      <c r="AE677">
        <v>0.53</v>
      </c>
      <c r="AF677">
        <f t="shared" si="214"/>
        <v>1.9283703497872184</v>
      </c>
      <c r="AG677">
        <f t="shared" si="215"/>
        <v>0.19</v>
      </c>
      <c r="AH677">
        <f t="shared" si="216"/>
        <v>0.6784</v>
      </c>
      <c r="AI677">
        <f>AI661</f>
        <v>0</v>
      </c>
      <c r="AK677">
        <f>AK661</f>
        <v>0.78</v>
      </c>
      <c r="AL677">
        <f>AL661</f>
        <v>100</v>
      </c>
      <c r="AM677">
        <f>AM661</f>
        <v>4.7000000000000002E-3</v>
      </c>
      <c r="AN677">
        <f t="shared" si="221"/>
        <v>0</v>
      </c>
      <c r="AO677">
        <f t="shared" si="222"/>
        <v>1.1682283556490145E-3</v>
      </c>
      <c r="AP677">
        <f t="shared" si="223"/>
        <v>1.1682283556490145E-3</v>
      </c>
      <c r="AQ677">
        <f t="shared" si="224"/>
        <v>6.9290544344432172</v>
      </c>
      <c r="AS677">
        <f t="shared" si="225"/>
        <v>2.6153846153846159</v>
      </c>
      <c r="AT677">
        <f t="shared" si="217"/>
        <v>8.8256821392321948E-3</v>
      </c>
      <c r="AU677">
        <f t="shared" si="226"/>
        <v>5.0780727099891156E-2</v>
      </c>
      <c r="AV677">
        <f t="shared" si="218"/>
        <v>301.1931876112294</v>
      </c>
      <c r="AY677">
        <f>AY661</f>
        <v>6.0000000000000001E-3</v>
      </c>
      <c r="BB677">
        <f t="shared" si="227"/>
        <v>0.24</v>
      </c>
    </row>
    <row r="678" spans="7:54" x14ac:dyDescent="0.2">
      <c r="G678">
        <v>3</v>
      </c>
      <c r="H678" t="s">
        <v>162</v>
      </c>
      <c r="J678">
        <v>91.25</v>
      </c>
      <c r="K678">
        <v>142</v>
      </c>
      <c r="M678">
        <v>112</v>
      </c>
      <c r="O678">
        <v>0.31</v>
      </c>
      <c r="P678">
        <v>550</v>
      </c>
      <c r="Q678">
        <f t="shared" si="219"/>
        <v>0.20363636363636364</v>
      </c>
      <c r="S678">
        <v>0</v>
      </c>
      <c r="T678">
        <v>0</v>
      </c>
      <c r="U678">
        <f>40/K678</f>
        <v>0.28169014084507044</v>
      </c>
      <c r="V678">
        <f>25/K678</f>
        <v>0.176056338028169</v>
      </c>
      <c r="W678">
        <f>S678*B663+T678*B664</f>
        <v>0</v>
      </c>
      <c r="X678">
        <f t="shared" si="212"/>
        <v>1</v>
      </c>
      <c r="Y678">
        <f t="shared" si="213"/>
        <v>3.0923771154433606</v>
      </c>
      <c r="Z678">
        <f t="shared" si="220"/>
        <v>1.1210460960161972</v>
      </c>
      <c r="AC678">
        <v>9.9000000000000005E-2</v>
      </c>
      <c r="AE678">
        <v>0.56999999999999995</v>
      </c>
      <c r="AF678">
        <f t="shared" si="214"/>
        <v>1.3371438647177094</v>
      </c>
      <c r="AG678">
        <f t="shared" si="215"/>
        <v>0.19</v>
      </c>
      <c r="AH678">
        <f t="shared" si="216"/>
        <v>0.6784</v>
      </c>
      <c r="AI678">
        <f>AI661</f>
        <v>0</v>
      </c>
      <c r="AK678">
        <f>AK661</f>
        <v>0.78</v>
      </c>
      <c r="AL678">
        <f>AL661</f>
        <v>100</v>
      </c>
      <c r="AM678">
        <f>AM661</f>
        <v>4.7000000000000002E-3</v>
      </c>
      <c r="AN678">
        <f t="shared" si="221"/>
        <v>0</v>
      </c>
      <c r="AO678">
        <f t="shared" si="222"/>
        <v>8.1005672925727325E-4</v>
      </c>
      <c r="AP678">
        <f t="shared" si="223"/>
        <v>8.1005672925727325E-4</v>
      </c>
      <c r="AQ678">
        <f t="shared" si="224"/>
        <v>10.496310069351118</v>
      </c>
      <c r="AS678">
        <f t="shared" si="225"/>
        <v>2.3943661971830985</v>
      </c>
      <c r="AT678">
        <f t="shared" si="217"/>
        <v>8.4156101199148285E-3</v>
      </c>
      <c r="AU678">
        <f t="shared" si="226"/>
        <v>5.1971068421814273E-2</v>
      </c>
      <c r="AV678">
        <f t="shared" si="218"/>
        <v>673.41511907565848</v>
      </c>
      <c r="AY678">
        <f>AY661</f>
        <v>6.0000000000000001E-3</v>
      </c>
      <c r="BB678">
        <f t="shared" si="227"/>
        <v>0.24</v>
      </c>
    </row>
    <row r="679" spans="7:54" x14ac:dyDescent="0.2">
      <c r="H679" t="s">
        <v>163</v>
      </c>
      <c r="J679">
        <v>91.25</v>
      </c>
      <c r="K679">
        <v>137</v>
      </c>
      <c r="M679">
        <v>140</v>
      </c>
      <c r="O679">
        <v>0.39</v>
      </c>
      <c r="P679">
        <v>550</v>
      </c>
      <c r="Q679">
        <f t="shared" si="219"/>
        <v>0.25454545454545452</v>
      </c>
      <c r="S679">
        <v>0</v>
      </c>
      <c r="T679">
        <v>0</v>
      </c>
      <c r="U679">
        <v>0</v>
      </c>
      <c r="V679">
        <f>40/K679</f>
        <v>0.29197080291970801</v>
      </c>
      <c r="W679">
        <f>S679*B663+T679*B664</f>
        <v>0</v>
      </c>
      <c r="X679">
        <f t="shared" si="212"/>
        <v>1</v>
      </c>
      <c r="Y679">
        <f t="shared" si="213"/>
        <v>3.5815184000999993</v>
      </c>
      <c r="Z679">
        <f t="shared" si="220"/>
        <v>1.1436610595728705</v>
      </c>
      <c r="AC679">
        <v>7.8E-2</v>
      </c>
      <c r="AE679">
        <v>0.55000000000000004</v>
      </c>
      <c r="AF679">
        <f t="shared" si="214"/>
        <v>1.6145484947650797</v>
      </c>
      <c r="AG679">
        <f t="shared" si="215"/>
        <v>0.19</v>
      </c>
      <c r="AH679">
        <f t="shared" si="216"/>
        <v>0.6784</v>
      </c>
      <c r="AI679">
        <f>AI661</f>
        <v>0</v>
      </c>
      <c r="AK679">
        <f>AK661</f>
        <v>0.78</v>
      </c>
      <c r="AL679">
        <f>AL661</f>
        <v>100</v>
      </c>
      <c r="AM679">
        <f>AM661</f>
        <v>4.7000000000000002E-3</v>
      </c>
      <c r="AN679">
        <f t="shared" si="221"/>
        <v>0</v>
      </c>
      <c r="AO679">
        <f t="shared" si="222"/>
        <v>9.7811156107182663E-4</v>
      </c>
      <c r="AP679">
        <f t="shared" si="223"/>
        <v>9.7811156107182663E-4</v>
      </c>
      <c r="AQ679">
        <f t="shared" si="224"/>
        <v>12.227617152849172</v>
      </c>
      <c r="AS679">
        <f t="shared" si="225"/>
        <v>1.167883211678832</v>
      </c>
      <c r="AT679">
        <f t="shared" si="217"/>
        <v>1.0079449599416148E-2</v>
      </c>
      <c r="AU679">
        <f t="shared" si="226"/>
        <v>3.9759298803774559E-2</v>
      </c>
      <c r="AV679">
        <f t="shared" si="218"/>
        <v>497.04093417068668</v>
      </c>
      <c r="AY679">
        <f>AY661</f>
        <v>6.0000000000000001E-3</v>
      </c>
      <c r="BB679">
        <f t="shared" si="227"/>
        <v>0.24</v>
      </c>
    </row>
    <row r="680" spans="7:54" x14ac:dyDescent="0.2">
      <c r="H680" t="s">
        <v>164</v>
      </c>
      <c r="J680">
        <v>91.25</v>
      </c>
      <c r="K680">
        <v>132</v>
      </c>
      <c r="M680">
        <v>183</v>
      </c>
      <c r="O680">
        <v>0.21</v>
      </c>
      <c r="P680">
        <v>550</v>
      </c>
      <c r="Q680">
        <f t="shared" si="219"/>
        <v>0.3327272727272727</v>
      </c>
      <c r="S680">
        <v>0</v>
      </c>
      <c r="T680">
        <v>0</v>
      </c>
      <c r="U680">
        <f>5/K680</f>
        <v>3.787878787878788E-2</v>
      </c>
      <c r="V680">
        <v>0</v>
      </c>
      <c r="W680">
        <f>S680*B663+T680*B664</f>
        <v>0</v>
      </c>
      <c r="X680">
        <f t="shared" si="212"/>
        <v>1</v>
      </c>
      <c r="Y680">
        <f t="shared" si="213"/>
        <v>3.9796204242819608</v>
      </c>
      <c r="Z680">
        <f t="shared" si="220"/>
        <v>1.0697699723949159</v>
      </c>
      <c r="AC680">
        <v>5.8999999999999997E-2</v>
      </c>
      <c r="AE680">
        <v>0.51</v>
      </c>
      <c r="AF680">
        <f t="shared" si="214"/>
        <v>1.9404629188798841</v>
      </c>
      <c r="AG680">
        <f t="shared" si="215"/>
        <v>0.19</v>
      </c>
      <c r="AH680">
        <f t="shared" si="216"/>
        <v>0.6784</v>
      </c>
      <c r="AI680">
        <f>AI661</f>
        <v>0</v>
      </c>
      <c r="AK680">
        <f>AK661</f>
        <v>0.78</v>
      </c>
      <c r="AL680">
        <f>AL661</f>
        <v>100</v>
      </c>
      <c r="AM680">
        <f>AM661</f>
        <v>4.7000000000000002E-3</v>
      </c>
      <c r="AN680">
        <f t="shared" si="221"/>
        <v>0</v>
      </c>
      <c r="AO680">
        <f t="shared" si="222"/>
        <v>1.1755541694421254E-3</v>
      </c>
      <c r="AP680">
        <f t="shared" si="223"/>
        <v>1.1755541694421254E-3</v>
      </c>
      <c r="AQ680">
        <f t="shared" si="224"/>
        <v>14.159549970930399</v>
      </c>
      <c r="AS680">
        <f t="shared" si="225"/>
        <v>0.22727272727272729</v>
      </c>
      <c r="AT680">
        <f t="shared" si="217"/>
        <v>4.9582965554055601E-3</v>
      </c>
      <c r="AU680">
        <f>MAX((Y680*AC680/6.25)+(0.032*AS680/6.38)-AT680-((1.1*(10^-4)*(M680^0.75))/6.25), 0)</f>
        <v>3.287355495524439E-2</v>
      </c>
      <c r="AV680">
        <f t="shared" si="218"/>
        <v>395.96196943591866</v>
      </c>
      <c r="AY680">
        <f>AY661</f>
        <v>6.0000000000000001E-3</v>
      </c>
      <c r="BB680">
        <f t="shared" si="227"/>
        <v>0.24</v>
      </c>
    </row>
    <row r="681" spans="7:54" x14ac:dyDescent="0.2">
      <c r="G681" t="s">
        <v>182</v>
      </c>
      <c r="H681" t="s">
        <v>160</v>
      </c>
      <c r="J681">
        <v>91.25</v>
      </c>
      <c r="K681">
        <v>249</v>
      </c>
      <c r="M681">
        <v>466</v>
      </c>
      <c r="O681">
        <v>-0.02</v>
      </c>
      <c r="P681">
        <v>550</v>
      </c>
      <c r="Q681">
        <f t="shared" si="219"/>
        <v>0.84727272727272729</v>
      </c>
      <c r="S681">
        <v>0.7</v>
      </c>
      <c r="T681">
        <v>0.03</v>
      </c>
      <c r="U681">
        <v>0</v>
      </c>
      <c r="V681">
        <v>0</v>
      </c>
      <c r="W681">
        <f>S681*B663+T681*B664</f>
        <v>4.3199999999999994</v>
      </c>
      <c r="X681">
        <f t="shared" si="212"/>
        <v>1.2130000000000001</v>
      </c>
      <c r="Y681">
        <f t="shared" si="213"/>
        <v>9.0386087220810953</v>
      </c>
      <c r="Z681">
        <f t="shared" si="220"/>
        <v>0.99540009672267171</v>
      </c>
      <c r="AC681">
        <v>7.1999999999999995E-2</v>
      </c>
      <c r="AE681">
        <v>0.53</v>
      </c>
      <c r="AF681">
        <f t="shared" si="214"/>
        <v>4.2409152124004494</v>
      </c>
      <c r="AG681">
        <f t="shared" si="215"/>
        <v>0.19</v>
      </c>
      <c r="AH681">
        <f t="shared" si="216"/>
        <v>0.6784</v>
      </c>
      <c r="AI681">
        <f>AI661</f>
        <v>0</v>
      </c>
      <c r="AK681">
        <f>AK661</f>
        <v>0.78</v>
      </c>
      <c r="AL681">
        <f>AL661</f>
        <v>100</v>
      </c>
      <c r="AM681">
        <f>AM661</f>
        <v>4.7000000000000002E-3</v>
      </c>
      <c r="AN681">
        <f t="shared" si="221"/>
        <v>0</v>
      </c>
      <c r="AO681">
        <f t="shared" si="222"/>
        <v>2.5691939339225712E-3</v>
      </c>
      <c r="AP681">
        <f t="shared" si="223"/>
        <v>2.5691939339225712E-3</v>
      </c>
      <c r="AQ681">
        <f t="shared" si="224"/>
        <v>58.37529767113822</v>
      </c>
      <c r="AS681">
        <f t="shared" si="225"/>
        <v>0</v>
      </c>
      <c r="AT681">
        <f t="shared" si="217"/>
        <v>2.142787468818667E-2</v>
      </c>
      <c r="AU681">
        <f t="shared" si="226"/>
        <v>8.0931664515425064E-2</v>
      </c>
      <c r="AV681">
        <f t="shared" si="218"/>
        <v>1838.8685823711019</v>
      </c>
      <c r="AY681">
        <f>AY661</f>
        <v>6.0000000000000001E-3</v>
      </c>
      <c r="BB681">
        <f t="shared" si="227"/>
        <v>0.24</v>
      </c>
    </row>
    <row r="682" spans="7:54" x14ac:dyDescent="0.2">
      <c r="G682" t="s">
        <v>196</v>
      </c>
      <c r="H682" t="s">
        <v>162</v>
      </c>
      <c r="J682">
        <v>91.25</v>
      </c>
      <c r="K682">
        <v>320</v>
      </c>
      <c r="M682">
        <v>448</v>
      </c>
      <c r="O682">
        <v>0.15</v>
      </c>
      <c r="P682">
        <v>550</v>
      </c>
      <c r="Q682">
        <f t="shared" si="219"/>
        <v>0.81454545454545457</v>
      </c>
      <c r="S682">
        <v>0.05</v>
      </c>
      <c r="T682">
        <v>0.72</v>
      </c>
      <c r="U682">
        <v>0</v>
      </c>
      <c r="V682">
        <v>0</v>
      </c>
      <c r="W682">
        <f>S682*B663+T682*B664</f>
        <v>3.1799999999999997</v>
      </c>
      <c r="X682">
        <f t="shared" si="212"/>
        <v>1.087</v>
      </c>
      <c r="Y682">
        <f t="shared" si="213"/>
        <v>8.1866316262193095</v>
      </c>
      <c r="Z682">
        <f t="shared" si="220"/>
        <v>1.0353446794173256</v>
      </c>
      <c r="AC682">
        <v>9.9000000000000005E-2</v>
      </c>
      <c r="AE682">
        <v>0.56999999999999995</v>
      </c>
      <c r="AF682">
        <f t="shared" si="214"/>
        <v>3.5398995151772299</v>
      </c>
      <c r="AG682">
        <f t="shared" si="215"/>
        <v>0.19</v>
      </c>
      <c r="AH682">
        <f t="shared" si="216"/>
        <v>0.6784</v>
      </c>
      <c r="AI682">
        <f>AI661</f>
        <v>0</v>
      </c>
      <c r="AK682">
        <f>AK661</f>
        <v>0.78</v>
      </c>
      <c r="AL682">
        <f>AL661</f>
        <v>100</v>
      </c>
      <c r="AM682">
        <f>AM661</f>
        <v>4.7000000000000002E-3</v>
      </c>
      <c r="AN682">
        <f t="shared" si="221"/>
        <v>0</v>
      </c>
      <c r="AO682">
        <f t="shared" si="222"/>
        <v>2.1445107731689356E-3</v>
      </c>
      <c r="AP682">
        <f t="shared" si="223"/>
        <v>2.1445107731689356E-3</v>
      </c>
      <c r="AQ682">
        <f t="shared" si="224"/>
        <v>62.619714576532921</v>
      </c>
      <c r="AS682">
        <f t="shared" si="225"/>
        <v>0</v>
      </c>
      <c r="AT682">
        <f t="shared" si="217"/>
        <v>1.7789947897297306E-2</v>
      </c>
      <c r="AU682">
        <f t="shared" si="226"/>
        <v>0.11017245349646064</v>
      </c>
      <c r="AV682">
        <f t="shared" si="218"/>
        <v>3217.0356420966505</v>
      </c>
      <c r="AY682">
        <f>AY661</f>
        <v>6.0000000000000001E-3</v>
      </c>
      <c r="BB682">
        <f t="shared" si="227"/>
        <v>0.24</v>
      </c>
    </row>
    <row r="683" spans="7:54" x14ac:dyDescent="0.2">
      <c r="H683" t="s">
        <v>163</v>
      </c>
      <c r="J683">
        <v>91.25</v>
      </c>
      <c r="K683">
        <v>315</v>
      </c>
      <c r="M683">
        <v>455</v>
      </c>
      <c r="O683">
        <v>0.11</v>
      </c>
      <c r="P683">
        <v>550</v>
      </c>
      <c r="Q683">
        <f t="shared" si="219"/>
        <v>0.82727272727272727</v>
      </c>
      <c r="S683">
        <v>0</v>
      </c>
      <c r="T683">
        <v>0.02</v>
      </c>
      <c r="U683">
        <v>0</v>
      </c>
      <c r="V683">
        <v>0</v>
      </c>
      <c r="W683">
        <f>S683*B663+T683*B664</f>
        <v>0.08</v>
      </c>
      <c r="X683">
        <f t="shared" si="212"/>
        <v>1.002</v>
      </c>
      <c r="Y683">
        <f t="shared" si="213"/>
        <v>7.5615689492194509</v>
      </c>
      <c r="Z683">
        <f t="shared" si="220"/>
        <v>1.0257121871725616</v>
      </c>
      <c r="AC683">
        <v>7.8E-2</v>
      </c>
      <c r="AE683">
        <v>0.55000000000000004</v>
      </c>
      <c r="AF683">
        <f t="shared" si="214"/>
        <v>3.4087552823081282</v>
      </c>
      <c r="AG683">
        <f t="shared" si="215"/>
        <v>0.19</v>
      </c>
      <c r="AH683">
        <f t="shared" si="216"/>
        <v>0.6784</v>
      </c>
      <c r="AI683">
        <f>AI661</f>
        <v>0</v>
      </c>
      <c r="AK683">
        <f>AK661</f>
        <v>0.78</v>
      </c>
      <c r="AL683">
        <f>AL661</f>
        <v>100</v>
      </c>
      <c r="AM683">
        <f>AM661</f>
        <v>4.7000000000000002E-3</v>
      </c>
      <c r="AN683">
        <f t="shared" si="221"/>
        <v>0</v>
      </c>
      <c r="AO683">
        <f t="shared" si="222"/>
        <v>2.065062128081426E-3</v>
      </c>
      <c r="AP683">
        <f t="shared" si="223"/>
        <v>2.065062128081426E-3</v>
      </c>
      <c r="AQ683">
        <f t="shared" si="224"/>
        <v>59.357629544040485</v>
      </c>
      <c r="AS683">
        <f t="shared" si="225"/>
        <v>0</v>
      </c>
      <c r="AT683">
        <f t="shared" si="217"/>
        <v>1.7382211083919858E-3</v>
      </c>
      <c r="AU683">
        <f t="shared" si="226"/>
        <v>9.0896270681632571E-2</v>
      </c>
      <c r="AV683">
        <f t="shared" si="218"/>
        <v>2612.6996804051764</v>
      </c>
      <c r="AY683">
        <f>AY661</f>
        <v>6.0000000000000001E-3</v>
      </c>
      <c r="BB683">
        <f t="shared" si="227"/>
        <v>0.24</v>
      </c>
    </row>
    <row r="684" spans="7:54" x14ac:dyDescent="0.2">
      <c r="H684" t="s">
        <v>164</v>
      </c>
      <c r="J684">
        <v>91.25</v>
      </c>
      <c r="K684">
        <v>190</v>
      </c>
      <c r="M684">
        <v>468</v>
      </c>
      <c r="O684">
        <v>0.06</v>
      </c>
      <c r="P684">
        <v>550</v>
      </c>
      <c r="Q684">
        <f t="shared" si="219"/>
        <v>0.85090909090909095</v>
      </c>
      <c r="S684">
        <v>0.02</v>
      </c>
      <c r="T684">
        <v>0</v>
      </c>
      <c r="U684">
        <v>0</v>
      </c>
      <c r="V684">
        <v>0</v>
      </c>
      <c r="W684">
        <f>S684*B663+T684*B664</f>
        <v>0.12</v>
      </c>
      <c r="X684">
        <f t="shared" si="212"/>
        <v>1.006</v>
      </c>
      <c r="Y684">
        <f t="shared" si="213"/>
        <v>7.6586283656075871</v>
      </c>
      <c r="Z684">
        <f t="shared" si="220"/>
        <v>1.0138418944108532</v>
      </c>
      <c r="AC684">
        <v>5.8999999999999997E-2</v>
      </c>
      <c r="AE684">
        <v>0.51</v>
      </c>
      <c r="AF684">
        <f t="shared" si="214"/>
        <v>3.7343471910702597</v>
      </c>
      <c r="AG684">
        <f t="shared" si="215"/>
        <v>0.19</v>
      </c>
      <c r="AH684">
        <f t="shared" si="216"/>
        <v>0.6784</v>
      </c>
      <c r="AI684">
        <f>AI661</f>
        <v>0</v>
      </c>
      <c r="AK684">
        <f>AK661</f>
        <v>0.78</v>
      </c>
      <c r="AL684">
        <f>AL661</f>
        <v>100</v>
      </c>
      <c r="AM684">
        <f>AM661</f>
        <v>4.7000000000000002E-3</v>
      </c>
      <c r="AN684">
        <f t="shared" si="221"/>
        <v>0</v>
      </c>
      <c r="AO684">
        <f t="shared" si="222"/>
        <v>2.2623093530389029E-3</v>
      </c>
      <c r="AP684">
        <f t="shared" si="223"/>
        <v>2.2623093530389029E-3</v>
      </c>
      <c r="AQ684">
        <f t="shared" si="224"/>
        <v>39.222788408311978</v>
      </c>
      <c r="AS684">
        <f t="shared" si="225"/>
        <v>0</v>
      </c>
      <c r="AT684">
        <f t="shared" si="217"/>
        <v>1.3196186301924423E-3</v>
      </c>
      <c r="AU684">
        <f t="shared" si="226"/>
        <v>6.9206920827912966E-2</v>
      </c>
      <c r="AV684">
        <f t="shared" si="218"/>
        <v>1199.8749898539411</v>
      </c>
      <c r="AY684">
        <f>AY661</f>
        <v>6.0000000000000001E-3</v>
      </c>
      <c r="BB684">
        <f t="shared" si="227"/>
        <v>0.24</v>
      </c>
    </row>
    <row r="685" spans="7:54" x14ac:dyDescent="0.2">
      <c r="G685" t="s">
        <v>187</v>
      </c>
      <c r="H685" t="s">
        <v>160</v>
      </c>
      <c r="J685">
        <v>91.25</v>
      </c>
      <c r="K685">
        <v>51</v>
      </c>
      <c r="M685">
        <v>370</v>
      </c>
      <c r="O685">
        <v>0.44</v>
      </c>
      <c r="P685">
        <v>660</v>
      </c>
      <c r="Q685">
        <f t="shared" si="219"/>
        <v>0.56060606060606055</v>
      </c>
      <c r="S685">
        <v>0</v>
      </c>
      <c r="T685">
        <v>0</v>
      </c>
      <c r="U685">
        <v>0</v>
      </c>
      <c r="V685">
        <v>0</v>
      </c>
      <c r="W685">
        <f>S685*B663+T685*B664</f>
        <v>0</v>
      </c>
      <c r="X685">
        <f t="shared" si="212"/>
        <v>1</v>
      </c>
      <c r="Y685">
        <f t="shared" si="213"/>
        <v>7.0090444515999986</v>
      </c>
      <c r="Z685">
        <f>Y685 / ((1.185 + 0.00454 * M685 - 0.0000026 * M685 ^ 2) ^ 2 * X685)</f>
        <v>1.1135403522437386</v>
      </c>
      <c r="AC685">
        <v>7.1999999999999995E-2</v>
      </c>
      <c r="AE685">
        <v>0.53</v>
      </c>
      <c r="AF685">
        <f t="shared" si="214"/>
        <v>3.2886436566907196</v>
      </c>
      <c r="AG685">
        <f t="shared" si="215"/>
        <v>0.19</v>
      </c>
      <c r="AH685">
        <f t="shared" si="216"/>
        <v>0.6784</v>
      </c>
      <c r="AI685">
        <f>AI661</f>
        <v>0</v>
      </c>
      <c r="AK685">
        <f>AK661</f>
        <v>0.78</v>
      </c>
      <c r="AL685">
        <f>AL661</f>
        <v>100</v>
      </c>
      <c r="AM685">
        <f>AM661</f>
        <v>4.7000000000000002E-3</v>
      </c>
      <c r="AN685">
        <f t="shared" si="221"/>
        <v>0</v>
      </c>
      <c r="AO685">
        <f t="shared" si="222"/>
        <v>1.9922971600321929E-3</v>
      </c>
      <c r="AP685">
        <f t="shared" si="223"/>
        <v>1.9922971600321929E-3</v>
      </c>
      <c r="AQ685">
        <f t="shared" si="224"/>
        <v>9.2716529084998189</v>
      </c>
      <c r="AS685">
        <f t="shared" si="225"/>
        <v>0</v>
      </c>
      <c r="AT685">
        <f t="shared" si="217"/>
        <v>7.294138049523731E-3</v>
      </c>
      <c r="AU685">
        <f t="shared" si="226"/>
        <v>7.1965267701556479E-2</v>
      </c>
      <c r="AV685">
        <f t="shared" si="218"/>
        <v>334.90836456611851</v>
      </c>
      <c r="AY685">
        <f>AY661</f>
        <v>6.0000000000000001E-3</v>
      </c>
      <c r="BB685">
        <f t="shared" si="227"/>
        <v>0.24</v>
      </c>
    </row>
    <row r="686" spans="7:54" x14ac:dyDescent="0.2">
      <c r="G686" t="s">
        <v>197</v>
      </c>
      <c r="H686" t="s">
        <v>162</v>
      </c>
      <c r="J686">
        <v>91.25</v>
      </c>
      <c r="K686">
        <v>112</v>
      </c>
      <c r="M686">
        <v>273</v>
      </c>
      <c r="O686">
        <v>0.56999999999999995</v>
      </c>
      <c r="P686">
        <v>660</v>
      </c>
      <c r="Q686">
        <f t="shared" si="219"/>
        <v>0.41363636363636364</v>
      </c>
      <c r="S686">
        <v>0</v>
      </c>
      <c r="T686">
        <v>0</v>
      </c>
      <c r="U686">
        <v>0</v>
      </c>
      <c r="V686">
        <v>0</v>
      </c>
      <c r="W686">
        <f>S686*B663+T686*B664</f>
        <v>0</v>
      </c>
      <c r="X686">
        <f t="shared" si="212"/>
        <v>1</v>
      </c>
      <c r="Y686">
        <f t="shared" si="213"/>
        <v>5.8090380098691607</v>
      </c>
      <c r="Z686">
        <f t="shared" si="220"/>
        <v>1.1674638871018459</v>
      </c>
      <c r="AC686">
        <v>9.9000000000000005E-2</v>
      </c>
      <c r="AE686">
        <v>0.56999999999999995</v>
      </c>
      <c r="AF686">
        <f t="shared" si="214"/>
        <v>2.5118280354674258</v>
      </c>
      <c r="AG686">
        <f t="shared" si="215"/>
        <v>0.19</v>
      </c>
      <c r="AH686">
        <f t="shared" si="216"/>
        <v>0.6784</v>
      </c>
      <c r="AI686">
        <f>AI661</f>
        <v>0</v>
      </c>
      <c r="AK686">
        <f>AK661</f>
        <v>0.78</v>
      </c>
      <c r="AL686">
        <f>AL661</f>
        <v>100</v>
      </c>
      <c r="AM686">
        <f>AM661</f>
        <v>4.7000000000000002E-3</v>
      </c>
      <c r="AN686">
        <f t="shared" si="221"/>
        <v>0</v>
      </c>
      <c r="AO686">
        <f t="shared" si="222"/>
        <v>1.5216935563601638E-3</v>
      </c>
      <c r="AP686">
        <f t="shared" si="223"/>
        <v>1.5216935563601638E-3</v>
      </c>
      <c r="AQ686">
        <f t="shared" si="224"/>
        <v>15.551708146000875</v>
      </c>
      <c r="AS686">
        <f t="shared" si="225"/>
        <v>0</v>
      </c>
      <c r="AT686">
        <f t="shared" si="217"/>
        <v>1.1942219703514265E-2</v>
      </c>
      <c r="AU686">
        <f t="shared" si="226"/>
        <v>7.8890895623237034E-2</v>
      </c>
      <c r="AV686">
        <f t="shared" si="218"/>
        <v>806.26495326948248</v>
      </c>
      <c r="AY686">
        <f>AY661</f>
        <v>6.0000000000000001E-3</v>
      </c>
      <c r="BB686">
        <f t="shared" si="227"/>
        <v>0.24</v>
      </c>
    </row>
    <row r="687" spans="7:54" x14ac:dyDescent="0.2">
      <c r="H687" t="s">
        <v>163</v>
      </c>
      <c r="J687">
        <v>91.25</v>
      </c>
      <c r="K687">
        <v>107</v>
      </c>
      <c r="M687">
        <v>296</v>
      </c>
      <c r="O687">
        <v>0.44</v>
      </c>
      <c r="P687">
        <v>660</v>
      </c>
      <c r="Q687">
        <f t="shared" si="219"/>
        <v>0.44848484848484849</v>
      </c>
      <c r="S687">
        <v>0</v>
      </c>
      <c r="T687">
        <v>0</v>
      </c>
      <c r="U687">
        <v>0</v>
      </c>
      <c r="V687">
        <v>0</v>
      </c>
      <c r="W687">
        <f>S687*B663+T687*B664</f>
        <v>0</v>
      </c>
      <c r="X687">
        <f t="shared" si="212"/>
        <v>1</v>
      </c>
      <c r="Y687">
        <f t="shared" si="213"/>
        <v>5.9518355227545587</v>
      </c>
      <c r="Z687">
        <f t="shared" si="220"/>
        <v>1.1240954463890354</v>
      </c>
      <c r="AC687">
        <v>7.8E-2</v>
      </c>
      <c r="AE687">
        <v>0.55000000000000004</v>
      </c>
      <c r="AF687">
        <f t="shared" si="214"/>
        <v>2.6830874536577549</v>
      </c>
      <c r="AG687">
        <f t="shared" si="215"/>
        <v>0.19</v>
      </c>
      <c r="AH687">
        <f t="shared" si="216"/>
        <v>0.6784</v>
      </c>
      <c r="AI687">
        <f>AI661</f>
        <v>0</v>
      </c>
      <c r="AK687">
        <f>AK661</f>
        <v>0.78</v>
      </c>
      <c r="AL687">
        <f>AL661</f>
        <v>100</v>
      </c>
      <c r="AM687">
        <f>AM661</f>
        <v>4.7000000000000002E-3</v>
      </c>
      <c r="AN687">
        <f t="shared" si="221"/>
        <v>0</v>
      </c>
      <c r="AO687">
        <f t="shared" si="222"/>
        <v>1.625444430005349E-3</v>
      </c>
      <c r="AP687">
        <f t="shared" si="223"/>
        <v>1.625444430005349E-3</v>
      </c>
      <c r="AQ687">
        <f t="shared" si="224"/>
        <v>15.870433053464728</v>
      </c>
      <c r="AS687">
        <f t="shared" si="225"/>
        <v>0</v>
      </c>
      <c r="AT687">
        <f t="shared" si="217"/>
        <v>8.7363579657601942E-3</v>
      </c>
      <c r="AU687">
        <f t="shared" si="226"/>
        <v>6.4286573038920145E-2</v>
      </c>
      <c r="AV687">
        <f t="shared" si="218"/>
        <v>627.6780275087566</v>
      </c>
      <c r="AY687">
        <f>AY661</f>
        <v>6.0000000000000001E-3</v>
      </c>
      <c r="BB687">
        <f t="shared" si="227"/>
        <v>0.24</v>
      </c>
    </row>
    <row r="688" spans="7:54" x14ac:dyDescent="0.2">
      <c r="H688" t="s">
        <v>164</v>
      </c>
      <c r="J688">
        <v>91.25</v>
      </c>
      <c r="K688">
        <v>94</v>
      </c>
      <c r="M688">
        <v>354</v>
      </c>
      <c r="O688">
        <v>0.41</v>
      </c>
      <c r="P688">
        <v>660</v>
      </c>
      <c r="Q688">
        <f t="shared" si="219"/>
        <v>0.53636363636363638</v>
      </c>
      <c r="S688">
        <v>0</v>
      </c>
      <c r="T688">
        <v>0</v>
      </c>
      <c r="U688">
        <v>0</v>
      </c>
      <c r="V688">
        <v>0</v>
      </c>
      <c r="W688">
        <f>S688*B663+T688*B664</f>
        <v>0</v>
      </c>
      <c r="X688">
        <f t="shared" si="212"/>
        <v>1</v>
      </c>
      <c r="Y688">
        <f t="shared" si="213"/>
        <v>6.7365600345345609</v>
      </c>
      <c r="Z688">
        <f t="shared" si="220"/>
        <v>1.1074722550980096</v>
      </c>
      <c r="AC688">
        <v>5.8999999999999997E-2</v>
      </c>
      <c r="AE688">
        <v>0.51</v>
      </c>
      <c r="AF688">
        <f t="shared" si="214"/>
        <v>3.2847466728390518</v>
      </c>
      <c r="AG688">
        <f t="shared" si="215"/>
        <v>0.19</v>
      </c>
      <c r="AH688">
        <f t="shared" si="216"/>
        <v>0.6784</v>
      </c>
      <c r="AI688">
        <f>AI661</f>
        <v>0</v>
      </c>
      <c r="AK688">
        <f>AK661</f>
        <v>0.78</v>
      </c>
      <c r="AL688">
        <f>AL661</f>
        <v>100</v>
      </c>
      <c r="AM688">
        <f>AM661</f>
        <v>4.7000000000000002E-3</v>
      </c>
      <c r="AN688">
        <f t="shared" si="221"/>
        <v>0</v>
      </c>
      <c r="AO688">
        <f t="shared" si="222"/>
        <v>1.9899363235686331E-3</v>
      </c>
      <c r="AP688">
        <f t="shared" si="223"/>
        <v>1.9899363235686331E-3</v>
      </c>
      <c r="AQ688">
        <f t="shared" si="224"/>
        <v>17.068678815409953</v>
      </c>
      <c r="AS688">
        <f>U688*$B$663+V688*$B$664</f>
        <v>0</v>
      </c>
      <c r="AT688">
        <f t="shared" si="217"/>
        <v>7.0640170152516954E-3</v>
      </c>
      <c r="AU688">
        <f t="shared" si="226"/>
        <v>5.5092743717779134E-2</v>
      </c>
      <c r="AV688">
        <f t="shared" si="218"/>
        <v>472.55800923925051</v>
      </c>
      <c r="AY688">
        <f>AY661</f>
        <v>6.0000000000000001E-3</v>
      </c>
      <c r="BB688">
        <f t="shared" si="227"/>
        <v>0.24</v>
      </c>
    </row>
    <row r="689" spans="7:54" x14ac:dyDescent="0.2">
      <c r="G689" t="s">
        <v>188</v>
      </c>
      <c r="H689" t="s">
        <v>160</v>
      </c>
      <c r="J689">
        <v>91.25</v>
      </c>
      <c r="K689">
        <v>61</v>
      </c>
      <c r="M689">
        <v>519</v>
      </c>
      <c r="O689">
        <v>0.3</v>
      </c>
      <c r="P689">
        <v>660</v>
      </c>
      <c r="Q689">
        <f t="shared" si="219"/>
        <v>0.78636363636363638</v>
      </c>
      <c r="S689">
        <v>0</v>
      </c>
      <c r="T689">
        <v>0</v>
      </c>
      <c r="U689">
        <v>0</v>
      </c>
      <c r="V689">
        <v>0</v>
      </c>
      <c r="W689">
        <f>S689*B663+T689*B664</f>
        <v>0</v>
      </c>
      <c r="X689">
        <f t="shared" si="212"/>
        <v>1</v>
      </c>
      <c r="Y689">
        <f t="shared" si="213"/>
        <v>8.6166987955779604</v>
      </c>
      <c r="Z689">
        <f t="shared" si="220"/>
        <v>1.0676341958563611</v>
      </c>
      <c r="AC689">
        <v>7.1999999999999995E-2</v>
      </c>
      <c r="AE689">
        <v>0.53</v>
      </c>
      <c r="AF689">
        <f t="shared" si="214"/>
        <v>4.0429550748851781</v>
      </c>
      <c r="AG689">
        <f t="shared" si="215"/>
        <v>0.19</v>
      </c>
      <c r="AH689">
        <f t="shared" si="216"/>
        <v>0.6784</v>
      </c>
      <c r="AI689">
        <f>AI661</f>
        <v>0</v>
      </c>
      <c r="AK689">
        <f>AK661</f>
        <v>0.78</v>
      </c>
      <c r="AL689">
        <f>AL661</f>
        <v>100</v>
      </c>
      <c r="AM689">
        <f>AM661</f>
        <v>4.7000000000000002E-3</v>
      </c>
      <c r="AN689">
        <f t="shared" si="221"/>
        <v>0</v>
      </c>
      <c r="AO689">
        <f t="shared" si="222"/>
        <v>2.44926746546228E-3</v>
      </c>
      <c r="AP689">
        <f t="shared" si="223"/>
        <v>2.44926746546228E-3</v>
      </c>
      <c r="AQ689">
        <f t="shared" si="224"/>
        <v>13.633235029629418</v>
      </c>
      <c r="AS689">
        <f t="shared" si="225"/>
        <v>0</v>
      </c>
      <c r="AT689">
        <f t="shared" si="217"/>
        <v>3.763160348149744E-3</v>
      </c>
      <c r="AU689">
        <f t="shared" si="226"/>
        <v>9.3587446634287239E-2</v>
      </c>
      <c r="AV689">
        <f t="shared" si="218"/>
        <v>520.93112482810136</v>
      </c>
      <c r="AY689">
        <f>AY661</f>
        <v>6.0000000000000001E-3</v>
      </c>
      <c r="BB689">
        <f t="shared" si="227"/>
        <v>0.24</v>
      </c>
    </row>
    <row r="690" spans="7:54" x14ac:dyDescent="0.2">
      <c r="G690" t="s">
        <v>198</v>
      </c>
      <c r="H690" t="s">
        <v>162</v>
      </c>
      <c r="J690">
        <v>91.25</v>
      </c>
      <c r="K690">
        <v>106</v>
      </c>
      <c r="M690">
        <v>433</v>
      </c>
      <c r="O690">
        <v>0.42</v>
      </c>
      <c r="P690">
        <v>660</v>
      </c>
      <c r="Q690">
        <f t="shared" si="219"/>
        <v>0.65606060606060601</v>
      </c>
      <c r="S690">
        <v>0</v>
      </c>
      <c r="T690">
        <v>0</v>
      </c>
      <c r="U690">
        <v>0</v>
      </c>
      <c r="V690">
        <v>0</v>
      </c>
      <c r="W690">
        <f>S690*B663+T690*B664</f>
        <v>0</v>
      </c>
      <c r="X690">
        <f t="shared" si="212"/>
        <v>1</v>
      </c>
      <c r="Y690">
        <f t="shared" si="213"/>
        <v>7.8156510946819591</v>
      </c>
      <c r="Z690">
        <f t="shared" si="220"/>
        <v>1.1018161539253921</v>
      </c>
      <c r="AC690">
        <v>9.9000000000000005E-2</v>
      </c>
      <c r="AE690">
        <v>0.56999999999999995</v>
      </c>
      <c r="AF690">
        <f t="shared" si="214"/>
        <v>3.3794875333404799</v>
      </c>
      <c r="AG690">
        <f t="shared" si="215"/>
        <v>0.19</v>
      </c>
      <c r="AH690">
        <f t="shared" si="216"/>
        <v>0.6784</v>
      </c>
      <c r="AI690">
        <f>AI661</f>
        <v>0</v>
      </c>
      <c r="AK690">
        <f>AK661</f>
        <v>0.78</v>
      </c>
      <c r="AL690">
        <f>AL661</f>
        <v>100</v>
      </c>
      <c r="AM690">
        <f>AM661</f>
        <v>4.7000000000000002E-3</v>
      </c>
      <c r="AN690">
        <f t="shared" si="221"/>
        <v>0</v>
      </c>
      <c r="AO690">
        <f t="shared" si="222"/>
        <v>2.0473313979580358E-3</v>
      </c>
      <c r="AP690">
        <f t="shared" si="223"/>
        <v>2.0473313979580358E-3</v>
      </c>
      <c r="AQ690">
        <f t="shared" si="224"/>
        <v>19.8028129467491</v>
      </c>
      <c r="AS690">
        <f t="shared" si="225"/>
        <v>0</v>
      </c>
      <c r="AT690">
        <f t="shared" si="217"/>
        <v>6.0625433126924319E-3</v>
      </c>
      <c r="AU690">
        <f>MAX((Y690*AC690/6.25)+(0.032*AS690/6.38)-AT690-((1.1*(10^-4)*(M690^0.75))/6.25), 0)</f>
        <v>0.11606674651199951</v>
      </c>
      <c r="AV690">
        <f t="shared" si="218"/>
        <v>1122.6556056373151</v>
      </c>
      <c r="AY690">
        <f>AY661</f>
        <v>6.0000000000000001E-3</v>
      </c>
      <c r="BB690">
        <f t="shared" si="227"/>
        <v>0.24</v>
      </c>
    </row>
    <row r="691" spans="7:54" x14ac:dyDescent="0.2">
      <c r="H691" t="s">
        <v>163</v>
      </c>
      <c r="J691">
        <v>91.25</v>
      </c>
      <c r="K691">
        <v>95</v>
      </c>
      <c r="M691">
        <v>445</v>
      </c>
      <c r="O691">
        <v>0.37</v>
      </c>
      <c r="P691">
        <v>660</v>
      </c>
      <c r="Q691">
        <f t="shared" si="219"/>
        <v>0.6742424242424242</v>
      </c>
      <c r="S691">
        <v>0</v>
      </c>
      <c r="T691">
        <v>0</v>
      </c>
      <c r="U691">
        <v>0</v>
      </c>
      <c r="V691">
        <v>0</v>
      </c>
      <c r="W691">
        <f>S691*B663+T691*B664</f>
        <v>0</v>
      </c>
      <c r="X691">
        <f t="shared" si="212"/>
        <v>1</v>
      </c>
      <c r="Y691">
        <f t="shared" si="213"/>
        <v>7.8791647902250004</v>
      </c>
      <c r="Z691">
        <f t="shared" si="220"/>
        <v>1.0885168983503795</v>
      </c>
      <c r="AC691">
        <v>7.8E-2</v>
      </c>
      <c r="AE691">
        <v>0.55000000000000004</v>
      </c>
      <c r="AF691">
        <f t="shared" si="214"/>
        <v>3.5519274874334301</v>
      </c>
      <c r="AG691">
        <f t="shared" si="215"/>
        <v>0.19</v>
      </c>
      <c r="AH691">
        <f t="shared" si="216"/>
        <v>0.6784</v>
      </c>
      <c r="AI691">
        <f>AI661</f>
        <v>0</v>
      </c>
      <c r="AK691">
        <f>AK661</f>
        <v>0.78</v>
      </c>
      <c r="AL691">
        <f>AL661</f>
        <v>100</v>
      </c>
      <c r="AM691">
        <f>AM661</f>
        <v>4.7000000000000002E-3</v>
      </c>
      <c r="AN691">
        <f t="shared" si="221"/>
        <v>0</v>
      </c>
      <c r="AO691">
        <f t="shared" si="222"/>
        <v>2.1517974534750314E-3</v>
      </c>
      <c r="AP691">
        <f t="shared" si="223"/>
        <v>2.1517974534750314E-3</v>
      </c>
      <c r="AQ691">
        <f t="shared" si="224"/>
        <v>18.65339417481168</v>
      </c>
      <c r="AS691">
        <f t="shared" si="225"/>
        <v>0</v>
      </c>
      <c r="AT691">
        <f t="shared" si="217"/>
        <v>5.2187765922749483E-3</v>
      </c>
      <c r="AU691">
        <f t="shared" si="226"/>
        <v>9.1407971122536943E-2</v>
      </c>
      <c r="AV691">
        <f t="shared" si="218"/>
        <v>792.39284966849209</v>
      </c>
      <c r="AY691">
        <f>AY661</f>
        <v>6.0000000000000001E-3</v>
      </c>
      <c r="BB691">
        <f t="shared" si="227"/>
        <v>0.24</v>
      </c>
    </row>
    <row r="692" spans="7:54" x14ac:dyDescent="0.2">
      <c r="H692" t="s">
        <v>164</v>
      </c>
      <c r="J692">
        <v>91.25</v>
      </c>
      <c r="K692">
        <v>48</v>
      </c>
      <c r="M692">
        <v>500</v>
      </c>
      <c r="O692">
        <v>0.41</v>
      </c>
      <c r="P692">
        <v>660</v>
      </c>
      <c r="Q692">
        <f t="shared" si="219"/>
        <v>0.75757575757575757</v>
      </c>
      <c r="S692">
        <v>0</v>
      </c>
      <c r="T692">
        <v>0</v>
      </c>
      <c r="U692">
        <v>0</v>
      </c>
      <c r="V692">
        <v>0</v>
      </c>
      <c r="W692">
        <f>S692*B663+T692*B664</f>
        <v>0</v>
      </c>
      <c r="X692">
        <f t="shared" si="212"/>
        <v>1</v>
      </c>
      <c r="Y692">
        <f t="shared" si="213"/>
        <v>8.6092362225000016</v>
      </c>
      <c r="Z692">
        <f t="shared" si="220"/>
        <v>1.0942054991563956</v>
      </c>
      <c r="AC692">
        <v>5.8999999999999997E-2</v>
      </c>
      <c r="AE692">
        <v>0.51</v>
      </c>
      <c r="AF692">
        <f t="shared" si="214"/>
        <v>4.1978635820910011</v>
      </c>
      <c r="AG692">
        <f t="shared" si="215"/>
        <v>0.19</v>
      </c>
      <c r="AH692">
        <f t="shared" si="216"/>
        <v>0.6784</v>
      </c>
      <c r="AI692">
        <f>AI661</f>
        <v>0</v>
      </c>
      <c r="AK692">
        <f>AK661</f>
        <v>0.78</v>
      </c>
      <c r="AL692">
        <f>AL661</f>
        <v>100</v>
      </c>
      <c r="AM692">
        <f>AM661</f>
        <v>4.7000000000000002E-3</v>
      </c>
      <c r="AN692">
        <f t="shared" si="221"/>
        <v>0</v>
      </c>
      <c r="AO692">
        <f t="shared" si="222"/>
        <v>2.5431127741028484E-3</v>
      </c>
      <c r="AP692">
        <f t="shared" si="223"/>
        <v>2.5431127741028484E-3</v>
      </c>
      <c r="AQ692">
        <f t="shared" si="224"/>
        <v>11.138833950570476</v>
      </c>
      <c r="AS692">
        <f t="shared" si="225"/>
        <v>0</v>
      </c>
      <c r="AT692">
        <f t="shared" si="217"/>
        <v>5.2762765395463927E-3</v>
      </c>
      <c r="AU692">
        <f t="shared" si="226"/>
        <v>7.4133939977198235E-2</v>
      </c>
      <c r="AV692">
        <f t="shared" si="218"/>
        <v>324.70665710012827</v>
      </c>
      <c r="AY692">
        <f>AY661</f>
        <v>6.0000000000000001E-3</v>
      </c>
      <c r="BB692">
        <f t="shared" si="227"/>
        <v>0.24</v>
      </c>
    </row>
    <row r="693" spans="7:54" x14ac:dyDescent="0.2">
      <c r="G693" t="s">
        <v>186</v>
      </c>
      <c r="H693" t="s">
        <v>160</v>
      </c>
      <c r="J693">
        <v>91.25</v>
      </c>
      <c r="K693">
        <v>39</v>
      </c>
      <c r="M693">
        <v>193</v>
      </c>
      <c r="O693">
        <v>0.47</v>
      </c>
      <c r="P693">
        <v>660</v>
      </c>
      <c r="Q693">
        <f t="shared" si="219"/>
        <v>0.29242424242424242</v>
      </c>
      <c r="S693">
        <v>0</v>
      </c>
      <c r="T693">
        <v>0</v>
      </c>
      <c r="U693">
        <f>10/K693</f>
        <v>0.25641025641025639</v>
      </c>
      <c r="V693">
        <f>5/K693</f>
        <v>0.12820512820512819</v>
      </c>
      <c r="W693">
        <f>S693*B663+T693*B664</f>
        <v>0</v>
      </c>
      <c r="X693">
        <f t="shared" si="212"/>
        <v>1</v>
      </c>
      <c r="Y693">
        <f t="shared" si="213"/>
        <v>4.4623292409907593</v>
      </c>
      <c r="Z693">
        <f t="shared" si="220"/>
        <v>1.1564154221732876</v>
      </c>
      <c r="AC693">
        <v>7.1999999999999995E-2</v>
      </c>
      <c r="AE693">
        <v>0.53</v>
      </c>
      <c r="AF693">
        <f t="shared" si="214"/>
        <v>2.0937248798728643</v>
      </c>
      <c r="AG693">
        <f t="shared" si="215"/>
        <v>0.19</v>
      </c>
      <c r="AH693">
        <f t="shared" si="216"/>
        <v>0.6784</v>
      </c>
      <c r="AI693">
        <f>AI661</f>
        <v>0</v>
      </c>
      <c r="AK693">
        <f>AK661</f>
        <v>0.78</v>
      </c>
      <c r="AL693">
        <f>AL661</f>
        <v>100</v>
      </c>
      <c r="AM693">
        <f>AM661</f>
        <v>4.7000000000000002E-3</v>
      </c>
      <c r="AN693">
        <f t="shared" si="221"/>
        <v>0</v>
      </c>
      <c r="AO693">
        <f t="shared" si="222"/>
        <v>1.2684019819456361E-3</v>
      </c>
      <c r="AP693">
        <f t="shared" si="223"/>
        <v>1.2684019819456361E-3</v>
      </c>
      <c r="AQ693">
        <f t="shared" si="224"/>
        <v>4.5139255532490328</v>
      </c>
      <c r="AS693">
        <f t="shared" si="225"/>
        <v>2.0512820512820511</v>
      </c>
      <c r="AT693">
        <f t="shared" si="217"/>
        <v>1.1641245276815527E-2</v>
      </c>
      <c r="AU693">
        <f t="shared" si="226"/>
        <v>4.9142009136569305E-2</v>
      </c>
      <c r="AV693">
        <f t="shared" si="218"/>
        <v>174.884125014766</v>
      </c>
      <c r="AY693">
        <f>AY661</f>
        <v>6.0000000000000001E-3</v>
      </c>
      <c r="BB693">
        <f t="shared" si="227"/>
        <v>0.24</v>
      </c>
    </row>
    <row r="694" spans="7:54" x14ac:dyDescent="0.2">
      <c r="G694">
        <v>6</v>
      </c>
      <c r="H694" t="s">
        <v>162</v>
      </c>
      <c r="J694">
        <v>91.25</v>
      </c>
      <c r="K694">
        <v>90</v>
      </c>
      <c r="M694">
        <v>115</v>
      </c>
      <c r="O694">
        <v>0.28000000000000003</v>
      </c>
      <c r="P694">
        <v>660</v>
      </c>
      <c r="Q694">
        <f t="shared" si="219"/>
        <v>0.17424242424242425</v>
      </c>
      <c r="S694">
        <v>0</v>
      </c>
      <c r="T694">
        <v>0</v>
      </c>
      <c r="U694">
        <f>25/K694</f>
        <v>0.27777777777777779</v>
      </c>
      <c r="V694">
        <f>10/K694</f>
        <v>0.1111111111111111</v>
      </c>
      <c r="W694">
        <f>S694*B663+T694*B664</f>
        <v>0</v>
      </c>
      <c r="X694">
        <f t="shared" si="212"/>
        <v>1</v>
      </c>
      <c r="Y694">
        <f t="shared" si="213"/>
        <v>3.1008216372250006</v>
      </c>
      <c r="Z694">
        <f t="shared" si="220"/>
        <v>1.108237605766933</v>
      </c>
      <c r="AC694">
        <v>9.9000000000000005E-2</v>
      </c>
      <c r="AE694">
        <v>0.56999999999999995</v>
      </c>
      <c r="AF694">
        <f t="shared" si="214"/>
        <v>1.3407952759360904</v>
      </c>
      <c r="AG694">
        <f t="shared" si="215"/>
        <v>0.19</v>
      </c>
      <c r="AH694">
        <f t="shared" si="216"/>
        <v>0.6784</v>
      </c>
      <c r="AI694">
        <f>AI661</f>
        <v>0</v>
      </c>
      <c r="AK694">
        <f>AK661</f>
        <v>0.78</v>
      </c>
      <c r="AL694">
        <f>AL661</f>
        <v>100</v>
      </c>
      <c r="AM694">
        <f>AM661</f>
        <v>4.7000000000000002E-3</v>
      </c>
      <c r="AN694">
        <f t="shared" si="221"/>
        <v>0</v>
      </c>
      <c r="AO694">
        <f t="shared" si="222"/>
        <v>8.1226879506917423E-4</v>
      </c>
      <c r="AP694">
        <f t="shared" si="223"/>
        <v>8.1226879506917423E-4</v>
      </c>
      <c r="AQ694">
        <f t="shared" si="224"/>
        <v>6.6707574795055926</v>
      </c>
      <c r="AS694">
        <f t="shared" si="225"/>
        <v>2.1111111111111112</v>
      </c>
      <c r="AT694">
        <f t="shared" si="217"/>
        <v>7.787876151832184E-3</v>
      </c>
      <c r="AU694">
        <f t="shared" si="226"/>
        <v>5.1299715953256858E-2</v>
      </c>
      <c r="AV694">
        <f t="shared" si="218"/>
        <v>421.29891726612192</v>
      </c>
      <c r="AY694">
        <f>AY661</f>
        <v>6.0000000000000001E-3</v>
      </c>
      <c r="BB694">
        <f t="shared" si="227"/>
        <v>0.24</v>
      </c>
    </row>
    <row r="695" spans="7:54" x14ac:dyDescent="0.2">
      <c r="H695" t="s">
        <v>163</v>
      </c>
      <c r="J695">
        <v>91.25</v>
      </c>
      <c r="K695">
        <v>81</v>
      </c>
      <c r="M695">
        <v>141</v>
      </c>
      <c r="O695">
        <v>0.4</v>
      </c>
      <c r="P695">
        <v>660</v>
      </c>
      <c r="Q695">
        <f t="shared" si="219"/>
        <v>0.21363636363636362</v>
      </c>
      <c r="S695">
        <v>0</v>
      </c>
      <c r="T695">
        <v>0</v>
      </c>
      <c r="U695">
        <v>0</v>
      </c>
      <c r="V695">
        <f>25/K695</f>
        <v>0.30864197530864196</v>
      </c>
      <c r="W695">
        <f>S695*B663+T695*B664</f>
        <v>0</v>
      </c>
      <c r="X695">
        <f t="shared" si="212"/>
        <v>1</v>
      </c>
      <c r="Y695">
        <f t="shared" si="213"/>
        <v>3.60790802316036</v>
      </c>
      <c r="Z695">
        <f t="shared" si="220"/>
        <v>1.147143778479083</v>
      </c>
      <c r="AC695">
        <v>7.8E-2</v>
      </c>
      <c r="AE695">
        <v>0.55000000000000004</v>
      </c>
      <c r="AF695">
        <f t="shared" si="214"/>
        <v>1.6264449368406901</v>
      </c>
      <c r="AG695">
        <f t="shared" si="215"/>
        <v>0.19</v>
      </c>
      <c r="AH695">
        <f t="shared" si="216"/>
        <v>0.6784</v>
      </c>
      <c r="AI695">
        <f>AI661</f>
        <v>0</v>
      </c>
      <c r="AK695">
        <f>AK661</f>
        <v>0.78</v>
      </c>
      <c r="AL695">
        <f>AL661</f>
        <v>100</v>
      </c>
      <c r="AM695">
        <f>AM661</f>
        <v>4.7000000000000002E-3</v>
      </c>
      <c r="AN695">
        <f t="shared" si="221"/>
        <v>0</v>
      </c>
      <c r="AO695">
        <f t="shared" si="222"/>
        <v>9.853185589213827E-4</v>
      </c>
      <c r="AP695">
        <f t="shared" si="223"/>
        <v>9.853185589213827E-4</v>
      </c>
      <c r="AQ695">
        <f t="shared" si="224"/>
        <v>7.2827357986276704</v>
      </c>
      <c r="AS695">
        <f t="shared" si="225"/>
        <v>1.2345679012345678</v>
      </c>
      <c r="AT695">
        <f t="shared" si="217"/>
        <v>1.0754622334288831E-2</v>
      </c>
      <c r="AU695">
        <f t="shared" si="226"/>
        <v>3.9744103200311465E-2</v>
      </c>
      <c r="AV695">
        <f t="shared" si="218"/>
        <v>293.75860277930212</v>
      </c>
      <c r="AY695">
        <f>AY661</f>
        <v>6.0000000000000001E-3</v>
      </c>
      <c r="BB695">
        <f t="shared" si="227"/>
        <v>0.24</v>
      </c>
    </row>
    <row r="696" spans="7:54" x14ac:dyDescent="0.2">
      <c r="H696" t="s">
        <v>164</v>
      </c>
      <c r="J696">
        <v>91.25</v>
      </c>
      <c r="K696">
        <v>88</v>
      </c>
      <c r="M696">
        <v>189</v>
      </c>
      <c r="O696">
        <v>0.28999999999999998</v>
      </c>
      <c r="P696">
        <v>660</v>
      </c>
      <c r="Q696">
        <f t="shared" si="219"/>
        <v>0.28636363636363638</v>
      </c>
      <c r="S696">
        <v>0</v>
      </c>
      <c r="T696">
        <v>0</v>
      </c>
      <c r="U696">
        <v>0</v>
      </c>
      <c r="V696">
        <v>0</v>
      </c>
      <c r="W696">
        <f>S696*B663+T696*B664</f>
        <v>0</v>
      </c>
      <c r="X696">
        <f t="shared" si="212"/>
        <v>1</v>
      </c>
      <c r="Y696">
        <f t="shared" si="213"/>
        <v>4.1678667894531598</v>
      </c>
      <c r="Z696">
        <f t="shared" si="220"/>
        <v>1.0958775454480929</v>
      </c>
      <c r="AC696">
        <v>5.8999999999999997E-2</v>
      </c>
      <c r="AE696">
        <v>0.51</v>
      </c>
      <c r="AF696">
        <f t="shared" si="214"/>
        <v>2.0322518465373607</v>
      </c>
      <c r="AG696">
        <f t="shared" si="215"/>
        <v>0.19</v>
      </c>
      <c r="AH696">
        <f t="shared" si="216"/>
        <v>0.6784</v>
      </c>
      <c r="AI696">
        <f>AI661</f>
        <v>0</v>
      </c>
      <c r="AK696">
        <f>AK661</f>
        <v>0.78</v>
      </c>
      <c r="AL696">
        <f>AL661</f>
        <v>100</v>
      </c>
      <c r="AM696">
        <f>AM661</f>
        <v>4.7000000000000002E-3</v>
      </c>
      <c r="AN696">
        <f t="shared" si="221"/>
        <v>0</v>
      </c>
      <c r="AO696">
        <f t="shared" si="222"/>
        <v>1.2311609298530145E-3</v>
      </c>
      <c r="AP696">
        <f t="shared" si="223"/>
        <v>1.2311609298530145E-3</v>
      </c>
      <c r="AQ696">
        <f t="shared" si="224"/>
        <v>9.8862222667197059</v>
      </c>
      <c r="AS696">
        <f t="shared" si="225"/>
        <v>0</v>
      </c>
      <c r="AT696">
        <f t="shared" si="217"/>
        <v>7.2477374867096316E-3</v>
      </c>
      <c r="AU696">
        <f t="shared" si="226"/>
        <v>3.1199787483939131E-2</v>
      </c>
      <c r="AV696">
        <f t="shared" si="218"/>
        <v>250.53429349603121</v>
      </c>
      <c r="AY696">
        <f>AY661</f>
        <v>6.0000000000000001E-3</v>
      </c>
      <c r="BB696">
        <f t="shared" si="227"/>
        <v>0.24</v>
      </c>
    </row>
    <row r="697" spans="7:54" x14ac:dyDescent="0.2">
      <c r="G697" t="s">
        <v>189</v>
      </c>
      <c r="H697" t="s">
        <v>160</v>
      </c>
      <c r="J697">
        <v>91.25</v>
      </c>
      <c r="K697">
        <v>13</v>
      </c>
      <c r="M697">
        <v>565</v>
      </c>
      <c r="O697">
        <v>0.13</v>
      </c>
      <c r="P697">
        <v>660</v>
      </c>
      <c r="Q697">
        <f t="shared" si="219"/>
        <v>0.85606060606060608</v>
      </c>
      <c r="S697">
        <v>0</v>
      </c>
      <c r="T697">
        <v>0</v>
      </c>
      <c r="U697">
        <v>0</v>
      </c>
      <c r="V697">
        <v>0</v>
      </c>
      <c r="W697">
        <f>S697*B663+T697*B664</f>
        <v>0</v>
      </c>
      <c r="X697">
        <f t="shared" si="212"/>
        <v>1</v>
      </c>
      <c r="Y697">
        <f t="shared" si="213"/>
        <v>8.7679059342249985</v>
      </c>
      <c r="Z697">
        <f t="shared" si="220"/>
        <v>1.0282434969382082</v>
      </c>
      <c r="AC697">
        <v>7.1999999999999995E-2</v>
      </c>
      <c r="AE697">
        <v>0.53</v>
      </c>
      <c r="AF697">
        <f t="shared" si="214"/>
        <v>4.1139014643383698</v>
      </c>
      <c r="AG697">
        <f t="shared" si="215"/>
        <v>0.19</v>
      </c>
      <c r="AH697">
        <f t="shared" si="216"/>
        <v>0.6784</v>
      </c>
      <c r="AI697">
        <f>AI661</f>
        <v>0</v>
      </c>
      <c r="AK697">
        <f>AK661</f>
        <v>0.78</v>
      </c>
      <c r="AL697">
        <f>AL661</f>
        <v>100</v>
      </c>
      <c r="AM697">
        <f>AM661</f>
        <v>4.7000000000000002E-3</v>
      </c>
      <c r="AN697">
        <f t="shared" si="221"/>
        <v>0</v>
      </c>
      <c r="AO697">
        <f t="shared" si="222"/>
        <v>2.4922475827925858E-3</v>
      </c>
      <c r="AP697">
        <f t="shared" si="223"/>
        <v>2.4922475827925858E-3</v>
      </c>
      <c r="AQ697">
        <f t="shared" si="224"/>
        <v>2.956428695087705</v>
      </c>
      <c r="AS697">
        <f t="shared" si="225"/>
        <v>0</v>
      </c>
      <c r="AT697">
        <f t="shared" si="217"/>
        <v>1.5498961727056189E-3</v>
      </c>
      <c r="AU697">
        <f t="shared" si="226"/>
        <v>9.7416761402269528E-2</v>
      </c>
      <c r="AV697">
        <f t="shared" si="218"/>
        <v>115.56063321344222</v>
      </c>
      <c r="AY697">
        <f>AY661</f>
        <v>6.0000000000000001E-3</v>
      </c>
      <c r="BB697">
        <f t="shared" si="227"/>
        <v>0.24</v>
      </c>
    </row>
    <row r="698" spans="7:54" x14ac:dyDescent="0.2">
      <c r="G698" t="s">
        <v>199</v>
      </c>
      <c r="H698" t="s">
        <v>162</v>
      </c>
      <c r="J698">
        <v>91.25</v>
      </c>
      <c r="K698">
        <v>52</v>
      </c>
      <c r="M698">
        <v>556</v>
      </c>
      <c r="O698">
        <v>0.4</v>
      </c>
      <c r="P698">
        <v>660</v>
      </c>
      <c r="Q698">
        <f t="shared" si="219"/>
        <v>0.84242424242424241</v>
      </c>
      <c r="S698">
        <v>0</v>
      </c>
      <c r="T698">
        <v>0</v>
      </c>
      <c r="U698">
        <v>0</v>
      </c>
      <c r="V698">
        <v>0</v>
      </c>
      <c r="W698">
        <f>S698*B663+T698*B664</f>
        <v>0</v>
      </c>
      <c r="X698">
        <f t="shared" si="212"/>
        <v>1</v>
      </c>
      <c r="Y698">
        <f t="shared" si="213"/>
        <v>9.1899097933849596</v>
      </c>
      <c r="Z698">
        <f t="shared" si="220"/>
        <v>1.0886130960204443</v>
      </c>
      <c r="AC698">
        <v>9.9000000000000005E-2</v>
      </c>
      <c r="AE698">
        <v>0.56999999999999995</v>
      </c>
      <c r="AF698">
        <f t="shared" si="214"/>
        <v>3.9737169946596569</v>
      </c>
      <c r="AG698">
        <f t="shared" si="215"/>
        <v>0.19</v>
      </c>
      <c r="AH698">
        <f t="shared" si="216"/>
        <v>0.6784</v>
      </c>
      <c r="AI698">
        <f>AI661</f>
        <v>0</v>
      </c>
      <c r="AK698">
        <f>AK661</f>
        <v>0.78</v>
      </c>
      <c r="AL698">
        <f>AL661</f>
        <v>100</v>
      </c>
      <c r="AM698">
        <f>AM661</f>
        <v>4.7000000000000002E-3</v>
      </c>
      <c r="AN698">
        <f t="shared" si="221"/>
        <v>0</v>
      </c>
      <c r="AO698">
        <f t="shared" si="222"/>
        <v>2.4073222609951607E-3</v>
      </c>
      <c r="AP698">
        <f t="shared" si="223"/>
        <v>2.4073222609951607E-3</v>
      </c>
      <c r="AQ698">
        <f t="shared" si="224"/>
        <v>11.422744128422037</v>
      </c>
      <c r="AS698">
        <f t="shared" si="225"/>
        <v>0</v>
      </c>
      <c r="AT698">
        <f t="shared" si="217"/>
        <v>4.8092247937329309E-3</v>
      </c>
      <c r="AU698">
        <f t="shared" si="226"/>
        <v>0.13874374351685062</v>
      </c>
      <c r="AV698">
        <f t="shared" si="218"/>
        <v>658.33906298745626</v>
      </c>
      <c r="AY698">
        <f>AY661</f>
        <v>6.0000000000000001E-3</v>
      </c>
      <c r="BB698">
        <f t="shared" si="227"/>
        <v>0.24</v>
      </c>
    </row>
    <row r="699" spans="7:54" x14ac:dyDescent="0.2">
      <c r="H699" t="s">
        <v>163</v>
      </c>
      <c r="J699">
        <v>91.25</v>
      </c>
      <c r="K699">
        <v>11</v>
      </c>
      <c r="M699">
        <v>593</v>
      </c>
      <c r="O699">
        <v>-0.01</v>
      </c>
      <c r="P699">
        <v>660</v>
      </c>
      <c r="Q699">
        <f t="shared" si="219"/>
        <v>0.89848484848484844</v>
      </c>
      <c r="S699">
        <v>0</v>
      </c>
      <c r="T699">
        <v>0</v>
      </c>
      <c r="U699">
        <v>0</v>
      </c>
      <c r="V699">
        <v>0</v>
      </c>
      <c r="W699">
        <f>S699*B663+T699*B664</f>
        <v>0</v>
      </c>
      <c r="X699">
        <f t="shared" si="212"/>
        <v>1</v>
      </c>
      <c r="Y699">
        <f t="shared" si="213"/>
        <v>8.7603130392627584</v>
      </c>
      <c r="Z699">
        <f t="shared" si="220"/>
        <v>0.99787485846896007</v>
      </c>
      <c r="AC699">
        <v>7.8E-2</v>
      </c>
      <c r="AE699">
        <v>0.55000000000000004</v>
      </c>
      <c r="AF699">
        <f t="shared" si="214"/>
        <v>3.9491491180996512</v>
      </c>
      <c r="AG699">
        <f t="shared" si="215"/>
        <v>0.19</v>
      </c>
      <c r="AH699">
        <f t="shared" si="216"/>
        <v>0.6784</v>
      </c>
      <c r="AI699">
        <f>AI661</f>
        <v>0</v>
      </c>
      <c r="AK699">
        <f>AK661</f>
        <v>0.78</v>
      </c>
      <c r="AL699">
        <f>AL661</f>
        <v>100</v>
      </c>
      <c r="AM699">
        <f>AM661</f>
        <v>4.7000000000000002E-3</v>
      </c>
      <c r="AN699">
        <f t="shared" si="221"/>
        <v>0</v>
      </c>
      <c r="AO699">
        <f t="shared" si="222"/>
        <v>2.3924387662148921E-3</v>
      </c>
      <c r="AP699">
        <f t="shared" si="223"/>
        <v>2.3924387662148921E-3</v>
      </c>
      <c r="AQ699">
        <f t="shared" si="224"/>
        <v>2.4014104115881976</v>
      </c>
      <c r="AS699">
        <f t="shared" si="225"/>
        <v>0</v>
      </c>
      <c r="AT699">
        <f t="shared" si="217"/>
        <v>-1.164070500150221E-4</v>
      </c>
      <c r="AU699">
        <f t="shared" si="226"/>
        <v>0.10733014633001134</v>
      </c>
      <c r="AV699">
        <f t="shared" si="218"/>
        <v>107.73263437874888</v>
      </c>
      <c r="AY699">
        <f>AY661</f>
        <v>6.0000000000000001E-3</v>
      </c>
      <c r="BB699">
        <f t="shared" si="227"/>
        <v>0.24</v>
      </c>
    </row>
    <row r="700" spans="7:54" x14ac:dyDescent="0.2">
      <c r="H700" t="s">
        <v>164</v>
      </c>
      <c r="J700">
        <v>91.25</v>
      </c>
      <c r="K700">
        <v>4</v>
      </c>
      <c r="M700">
        <v>553</v>
      </c>
      <c r="O700">
        <v>-0.15</v>
      </c>
      <c r="P700">
        <v>660</v>
      </c>
      <c r="Q700">
        <f t="shared" si="219"/>
        <v>0.83787878787878789</v>
      </c>
      <c r="S700">
        <v>0</v>
      </c>
      <c r="T700">
        <v>0</v>
      </c>
      <c r="U700">
        <v>0</v>
      </c>
      <c r="V700">
        <v>0</v>
      </c>
      <c r="W700">
        <f>S700*B663+T700*B664</f>
        <v>0</v>
      </c>
      <c r="X700">
        <f t="shared" si="212"/>
        <v>1</v>
      </c>
      <c r="Y700">
        <f t="shared" si="213"/>
        <v>8.1411302906755605</v>
      </c>
      <c r="Z700">
        <f t="shared" si="220"/>
        <v>0.96768496757543954</v>
      </c>
      <c r="AC700">
        <v>5.8999999999999997E-2</v>
      </c>
      <c r="AE700">
        <v>0.51</v>
      </c>
      <c r="AF700">
        <f t="shared" si="214"/>
        <v>3.9696151297334032</v>
      </c>
      <c r="AG700">
        <f t="shared" si="215"/>
        <v>0.19</v>
      </c>
      <c r="AH700">
        <f t="shared" si="216"/>
        <v>0.6784</v>
      </c>
      <c r="AI700">
        <f>AI661</f>
        <v>0</v>
      </c>
      <c r="AK700">
        <f>AK661</f>
        <v>0.78</v>
      </c>
      <c r="AL700">
        <f>AL661</f>
        <v>100</v>
      </c>
      <c r="AM700">
        <f>AM661</f>
        <v>4.7000000000000002E-3</v>
      </c>
      <c r="AN700">
        <f t="shared" si="221"/>
        <v>0</v>
      </c>
      <c r="AO700">
        <f t="shared" si="222"/>
        <v>2.404837305281949E-3</v>
      </c>
      <c r="AP700">
        <f t="shared" si="223"/>
        <v>2.404837305281949E-3</v>
      </c>
      <c r="AQ700">
        <f t="shared" si="224"/>
        <v>0.8777656164279114</v>
      </c>
      <c r="AS700">
        <f t="shared" si="225"/>
        <v>0</v>
      </c>
      <c r="AT700">
        <f t="shared" si="217"/>
        <v>-1.8104092100498783E-3</v>
      </c>
      <c r="AU700">
        <f t="shared" si="226"/>
        <v>7.6655636897422552E-2</v>
      </c>
      <c r="AV700">
        <f t="shared" si="218"/>
        <v>27.979307467559231</v>
      </c>
      <c r="AY700">
        <f>AY661</f>
        <v>6.0000000000000001E-3</v>
      </c>
      <c r="BB700">
        <f t="shared" si="227"/>
        <v>0.24</v>
      </c>
    </row>
    <row r="711" spans="1:64" x14ac:dyDescent="0.2">
      <c r="A711" t="s">
        <v>210</v>
      </c>
      <c r="B711" t="s">
        <v>283</v>
      </c>
      <c r="C711" t="s">
        <v>210</v>
      </c>
      <c r="D711" t="s">
        <v>210</v>
      </c>
      <c r="E711" t="s">
        <v>170</v>
      </c>
      <c r="F711" t="s">
        <v>190</v>
      </c>
      <c r="G711" t="s">
        <v>159</v>
      </c>
      <c r="H711" t="s">
        <v>160</v>
      </c>
      <c r="J711">
        <v>91.25</v>
      </c>
      <c r="K711">
        <v>62</v>
      </c>
      <c r="M711" cm="1">
        <f t="array" ref="M711:M750">_xlfn.DROP(_xlfn.XLOOKUP($C711,TableW[[#Headers],[ACT]:[QLD - Low]],TableW[[#All],[ACT]:[QLD - Low]]),1)</f>
        <v>190</v>
      </c>
      <c r="O711" cm="1">
        <f t="array" ref="O711:O750">_xlfn.DROP(_xlfn.XLOOKUP($D711,TableLWG[[#Headers],[ACT]:[QLD - Low]],TableLWG[[#All],[ACT]:[QLD - Low]]),1)</f>
        <v>-0.2</v>
      </c>
      <c r="P711" cm="1">
        <f t="array" ref="P711:P750">_xlfn.DROP(_xlfn.XLOOKUP($E711,TableSRW[[#Headers],[ACT]:[WA]],TableSRW[[#All],[ACT]:[WA]]),1)</f>
        <v>770</v>
      </c>
      <c r="Q711">
        <f>M711 / P711</f>
        <v>0.24675324675324675</v>
      </c>
      <c r="S711">
        <v>0</v>
      </c>
      <c r="T711">
        <v>0</v>
      </c>
      <c r="U711">
        <f>20/K711</f>
        <v>0.32258064516129031</v>
      </c>
      <c r="V711">
        <v>0</v>
      </c>
      <c r="W711">
        <f>S711*B713+T711*B714</f>
        <v>0</v>
      </c>
      <c r="X711">
        <f t="shared" ref="X711:X750" si="228">(S711 * $BX$3 +T711* $BX$4) + (1 -S711 -T711 )</f>
        <v>1</v>
      </c>
      <c r="Y711">
        <f t="shared" ref="Y711:Y750" si="229">(1.185 + 0.00454 * M711- 0.0000026 * M711 ^2 + 0.315 * O711)^2 * X711</f>
        <v>3.5748977476000001</v>
      </c>
      <c r="Z711">
        <f>Y711 / ((1.185 + 0.00454 * M711 - 0.0000026 * M711 ^ 2) ^ 2 * X711)</f>
        <v>0.9365481017560966</v>
      </c>
      <c r="AC711" cm="1">
        <f t="array" ref="AC711:AC750">_xlfn.DROP(_xlfn.XLOOKUP($E711,TableCP[[#Headers],[ACT]:[WA - Kimberley]],TableCP[[#All],[ACT]:[WA - Kimberley]]),1)</f>
        <v>7.1999999999999995E-2</v>
      </c>
      <c r="AE711" cm="1">
        <f t="array" ref="AE711:AE750">_xlfn.DROP(_xlfn.XLOOKUP($E711,TableDMD[[#Headers],[ACT]:[WA - Kimberley]],TableDMD[[#All],[ACT]:[WA - Kimberley]]),1)</f>
        <v>0.53</v>
      </c>
      <c r="AF711">
        <f t="shared" ref="AF711:AF750" si="230">(Y711 * (1 - AE711) + (0.04 * Y711)) * ( 1 - $CJ$3 )</f>
        <v>1.67734202317392</v>
      </c>
      <c r="AG711">
        <f>$CJ$4</f>
        <v>0.19</v>
      </c>
      <c r="AH711">
        <f>$CJ$5</f>
        <v>0.6784</v>
      </c>
      <c r="AI711">
        <f>IF(F711="yes",0,VLOOKUP(C711,$BQ$211:$BS$225,3,FALSE))</f>
        <v>2.3E-2</v>
      </c>
      <c r="AK711">
        <f>VLOOKUP(C711,$BQ$211:$BU$225,4,FALSE)</f>
        <v>0.78</v>
      </c>
      <c r="AL711">
        <f>IF(F711="yes",100,VLOOKUP(C711,$BQ$211:$BS$225,2,FALSE))</f>
        <v>99.977000000000004</v>
      </c>
      <c r="AM711">
        <f>VLOOKUP(C711,$BQ$211:$BU$225,5,FALSE)</f>
        <v>4.7000000000000002E-3</v>
      </c>
      <c r="AN711">
        <f>AF711 * AG711 * AI711/100 * AK711 * AH711</f>
        <v>3.8786760328973187E-5</v>
      </c>
      <c r="AO711">
        <f>AF711 * AG711 * AL711/100 * AM711 * AH711</f>
        <v>1.0159188687751304E-3</v>
      </c>
      <c r="AP711">
        <f>AN711+AO711</f>
        <v>1.0547056291041036E-3</v>
      </c>
      <c r="AQ711">
        <f>K711*AP711*J711</f>
        <v>5.966997096656466</v>
      </c>
      <c r="AR711">
        <f>SUM(AQ711:AQ750)*10^-3</f>
        <v>1.2525503029097671</v>
      </c>
      <c r="AS711">
        <f>U711*$B$713+V711*$B$714</f>
        <v>1.935483870967742</v>
      </c>
      <c r="AT711">
        <f t="shared" ref="AT711:AT750" si="231" xml:space="preserve"> (0.032*W711/6.38) + (((0.212 - 0.008*(Z711-2) - (0.14 - 0.008*(Z711 - 2))/(1+EXP(-6*(Q711-0.4))))*O711*0.92)/6.25)</f>
        <v>-5.2454271606554139E-3</v>
      </c>
      <c r="AU711">
        <f>MAX((Y711*AC711/6.25)+(0.032*AS711/6.38)-AT711-((1.1*(10^-4)*(M711^0.75))/6.25), 0)</f>
        <v>5.5235310063683561E-2</v>
      </c>
      <c r="AV711">
        <f t="shared" ref="AV711:AV750" si="232">K711*AU711*J711</f>
        <v>312.49376668528976</v>
      </c>
      <c r="AW711">
        <f>SUM(AV711:AV750)</f>
        <v>48806.74640612895</v>
      </c>
      <c r="AX711" t="s">
        <v>253</v>
      </c>
      <c r="AY711">
        <f>VLOOKUP(AX711, $CK$18:$CM$27, 2, FALSE)</f>
        <v>6.0000000000000001E-3</v>
      </c>
      <c r="AZ711">
        <f>$CJ$6</f>
        <v>0.21</v>
      </c>
      <c r="BA711">
        <f>AW711*AZ711</f>
        <v>10249.416745287079</v>
      </c>
      <c r="BB711">
        <f>$CJ$7</f>
        <v>0.24</v>
      </c>
      <c r="BC711" t="s">
        <v>190</v>
      </c>
      <c r="BD711">
        <f>IF(BC711="yes",1,0)</f>
        <v>0</v>
      </c>
      <c r="BE711">
        <f>AW711 * BD711 * BB711</f>
        <v>0</v>
      </c>
      <c r="BF711">
        <f>$CJ$8</f>
        <v>1.57</v>
      </c>
      <c r="BG711" t="s">
        <v>180</v>
      </c>
      <c r="BH711">
        <f>VLOOKUP(BG711, $BQ$274:$BR$286, 2, FALSE)</f>
        <v>5.8999999999999999E-3</v>
      </c>
      <c r="BI711">
        <f>$CJ$9</f>
        <v>1.0999999999999999E-2</v>
      </c>
      <c r="BJ711" s="7">
        <f>(AW711 * AY711 * BF711) * 10^-3</f>
        <v>0.45975955114573475</v>
      </c>
      <c r="BK711" s="7">
        <f>BA711 * BH711 * BF711 * 10^-3</f>
        <v>9.4940347311594217E-2</v>
      </c>
      <c r="BL711" s="7">
        <f>BE711 * BI711 * BF711 * 10^-3</f>
        <v>0</v>
      </c>
    </row>
    <row r="712" spans="1:64" x14ac:dyDescent="0.2">
      <c r="G712">
        <v>1</v>
      </c>
      <c r="H712" t="s">
        <v>162</v>
      </c>
      <c r="J712">
        <v>91.25</v>
      </c>
      <c r="K712">
        <v>154</v>
      </c>
      <c r="M712">
        <v>119</v>
      </c>
      <c r="O712">
        <v>0.62</v>
      </c>
      <c r="P712">
        <v>770</v>
      </c>
      <c r="Q712">
        <f t="shared" ref="Q712:Q750" si="233">M712 / P712</f>
        <v>0.15454545454545454</v>
      </c>
      <c r="S712">
        <v>0</v>
      </c>
      <c r="T712">
        <v>0</v>
      </c>
      <c r="U712">
        <f>30/K712</f>
        <v>0.19480519480519481</v>
      </c>
      <c r="V712">
        <f>20/K712</f>
        <v>0.12987012987012986</v>
      </c>
      <c r="W712">
        <f>S712*B713+T712*B714</f>
        <v>0</v>
      </c>
      <c r="X712">
        <f t="shared" si="228"/>
        <v>1</v>
      </c>
      <c r="Y712">
        <f t="shared" si="229"/>
        <v>3.5484816620739603</v>
      </c>
      <c r="Z712">
        <f t="shared" ref="Z712:Z775" si="234">Y712 / ((1.185 + 0.00454 * M712 - 0.0000026 * M712 ^ 2) ^ 2 * X712)</f>
        <v>1.2447168837048916</v>
      </c>
      <c r="AC712">
        <v>9.9000000000000005E-2</v>
      </c>
      <c r="AE712">
        <v>0.56999999999999995</v>
      </c>
      <c r="AF712">
        <f t="shared" si="230"/>
        <v>1.5343634706807807</v>
      </c>
      <c r="AG712">
        <f t="shared" ref="AG712:AG750" si="235">$CJ$4</f>
        <v>0.19</v>
      </c>
      <c r="AH712">
        <f t="shared" ref="AH712:AH750" si="236">$CJ$5</f>
        <v>0.6784</v>
      </c>
      <c r="AI712">
        <f>AI711</f>
        <v>2.3E-2</v>
      </c>
      <c r="AK712">
        <f>AK711</f>
        <v>0.78</v>
      </c>
      <c r="AL712">
        <f>AL711</f>
        <v>99.977000000000004</v>
      </c>
      <c r="AM712">
        <f>AM711</f>
        <v>4.7000000000000002E-3</v>
      </c>
      <c r="AN712">
        <f t="shared" ref="AN712:AN750" si="237">AF712 * AG712 * AI712/100 * AK712 * AH712</f>
        <v>3.548053251668646E-5</v>
      </c>
      <c r="AO712">
        <f t="shared" ref="AO712:AO750" si="238">AF712 * AG712 * AL712/100 * AM712 * AH712</f>
        <v>9.2932078245694459E-4</v>
      </c>
      <c r="AP712">
        <f t="shared" ref="AP712:AP750" si="239">AN712+AO712</f>
        <v>9.648013149736311E-4</v>
      </c>
      <c r="AQ712">
        <f t="shared" ref="AQ712:AQ750" si="240">K712*AP712*J712</f>
        <v>13.557870478666951</v>
      </c>
      <c r="AS712">
        <f t="shared" ref="AS712:AS750" si="241">U712*$B$713+V712*$B$714</f>
        <v>1.6883116883116884</v>
      </c>
      <c r="AT712">
        <f t="shared" si="231"/>
        <v>1.741328342623415E-2</v>
      </c>
      <c r="AU712">
        <f t="shared" ref="AU712:AU750" si="242">MAX((Y712*AC712/6.25)+(0.032*AS712/6.38)-AT712-((1.1*(10^-4)*(M712^0.75))/6.25), 0)</f>
        <v>4.6628565008710231E-2</v>
      </c>
      <c r="AV712">
        <f t="shared" si="232"/>
        <v>655.24790978490046</v>
      </c>
      <c r="AY712">
        <f>AY711</f>
        <v>6.0000000000000001E-3</v>
      </c>
      <c r="BB712">
        <f t="shared" ref="BB712:BB750" si="243">$CJ$7</f>
        <v>0.24</v>
      </c>
    </row>
    <row r="713" spans="1:64" x14ac:dyDescent="0.2">
      <c r="A713" t="s">
        <v>222</v>
      </c>
      <c r="B713">
        <f>IF(B711="Hereford or Shorthorn",$BT$3,$BT$4)</f>
        <v>6</v>
      </c>
      <c r="H713" t="s">
        <v>163</v>
      </c>
      <c r="J713">
        <v>91.25</v>
      </c>
      <c r="K713">
        <v>150</v>
      </c>
      <c r="M713">
        <v>175</v>
      </c>
      <c r="O713">
        <v>0.4</v>
      </c>
      <c r="P713">
        <v>770</v>
      </c>
      <c r="Q713">
        <f t="shared" si="233"/>
        <v>0.22727272727272727</v>
      </c>
      <c r="S713">
        <v>0</v>
      </c>
      <c r="T713">
        <v>0</v>
      </c>
      <c r="U713">
        <v>0</v>
      </c>
      <c r="V713">
        <f>30/K713</f>
        <v>0.2</v>
      </c>
      <c r="W713">
        <f>S713*B713+T713*B714</f>
        <v>0</v>
      </c>
      <c r="X713">
        <f t="shared" si="228"/>
        <v>1</v>
      </c>
      <c r="Y713">
        <f t="shared" si="229"/>
        <v>4.1041695156250002</v>
      </c>
      <c r="Z713">
        <f t="shared" si="234"/>
        <v>1.1370386679296502</v>
      </c>
      <c r="AC713">
        <v>7.8E-2</v>
      </c>
      <c r="AE713">
        <v>0.55000000000000004</v>
      </c>
      <c r="AF713">
        <f t="shared" si="230"/>
        <v>1.85015961764375</v>
      </c>
      <c r="AG713">
        <f t="shared" si="235"/>
        <v>0.19</v>
      </c>
      <c r="AH713">
        <f t="shared" si="236"/>
        <v>0.6784</v>
      </c>
      <c r="AI713">
        <f>AI711</f>
        <v>2.3E-2</v>
      </c>
      <c r="AK713">
        <f>AK711</f>
        <v>0.78</v>
      </c>
      <c r="AL713">
        <f>AL711</f>
        <v>99.977000000000004</v>
      </c>
      <c r="AM713">
        <f>AM711</f>
        <v>4.7000000000000002E-3</v>
      </c>
      <c r="AN713">
        <f t="shared" si="237"/>
        <v>4.2782984429200095E-5</v>
      </c>
      <c r="AO713">
        <f t="shared" si="238"/>
        <v>1.1205896232501253E-3</v>
      </c>
      <c r="AP713">
        <f t="shared" si="239"/>
        <v>1.1633726076793255E-3</v>
      </c>
      <c r="AQ713">
        <f t="shared" si="240"/>
        <v>15.923662567610767</v>
      </c>
      <c r="AS713">
        <f t="shared" si="241"/>
        <v>0.8</v>
      </c>
      <c r="AT713">
        <f t="shared" si="231"/>
        <v>1.0624108769442071E-2</v>
      </c>
      <c r="AU713">
        <f t="shared" si="242"/>
        <v>4.37616457798264E-2</v>
      </c>
      <c r="AV713">
        <f t="shared" si="232"/>
        <v>598.98752661137382</v>
      </c>
      <c r="AY713">
        <f>AY711</f>
        <v>6.0000000000000001E-3</v>
      </c>
      <c r="BB713">
        <f t="shared" si="243"/>
        <v>0.24</v>
      </c>
    </row>
    <row r="714" spans="1:64" x14ac:dyDescent="0.2">
      <c r="A714" t="s">
        <v>223</v>
      </c>
      <c r="B714">
        <f>IF(B711="Hereford or Shorthorn",$BU$3,$BU$4)</f>
        <v>4</v>
      </c>
      <c r="H714" t="s">
        <v>164</v>
      </c>
      <c r="J714">
        <v>91.25</v>
      </c>
      <c r="K714">
        <v>83</v>
      </c>
      <c r="M714">
        <v>192</v>
      </c>
      <c r="O714">
        <v>0.08</v>
      </c>
      <c r="P714">
        <v>770</v>
      </c>
      <c r="Q714">
        <f t="shared" si="233"/>
        <v>0.24935064935064935</v>
      </c>
      <c r="S714">
        <v>0</v>
      </c>
      <c r="T714">
        <v>0</v>
      </c>
      <c r="U714">
        <v>0</v>
      </c>
      <c r="V714">
        <v>0</v>
      </c>
      <c r="W714">
        <f>S714*B713+T714*B714</f>
        <v>0</v>
      </c>
      <c r="X714">
        <f t="shared" si="228"/>
        <v>1</v>
      </c>
      <c r="Y714">
        <f t="shared" si="229"/>
        <v>3.9443294603289596</v>
      </c>
      <c r="Z714">
        <f t="shared" si="234"/>
        <v>1.0258685195211863</v>
      </c>
      <c r="AC714">
        <v>5.8999999999999997E-2</v>
      </c>
      <c r="AE714">
        <v>0.51</v>
      </c>
      <c r="AF714">
        <f t="shared" si="230"/>
        <v>1.9232550448564005</v>
      </c>
      <c r="AG714">
        <f t="shared" si="235"/>
        <v>0.19</v>
      </c>
      <c r="AH714">
        <f t="shared" si="236"/>
        <v>0.6784</v>
      </c>
      <c r="AI714">
        <f>AI711</f>
        <v>2.3E-2</v>
      </c>
      <c r="AK714">
        <f>AK711</f>
        <v>0.78</v>
      </c>
      <c r="AL714">
        <f>AL711</f>
        <v>99.977000000000004</v>
      </c>
      <c r="AM714">
        <f>AM711</f>
        <v>4.7000000000000002E-3</v>
      </c>
      <c r="AN714">
        <f t="shared" si="237"/>
        <v>4.4473238877768822E-5</v>
      </c>
      <c r="AO714">
        <f t="shared" si="238"/>
        <v>1.164861466857785E-3</v>
      </c>
      <c r="AP714">
        <f t="shared" si="239"/>
        <v>1.2093347057355538E-3</v>
      </c>
      <c r="AQ714">
        <f t="shared" si="240"/>
        <v>9.1591987275646503</v>
      </c>
      <c r="AS714">
        <f t="shared" si="241"/>
        <v>0</v>
      </c>
      <c r="AT714">
        <f t="shared" si="231"/>
        <v>2.086608634462053E-3</v>
      </c>
      <c r="AU714">
        <f t="shared" si="242"/>
        <v>3.4240064792638789E-2</v>
      </c>
      <c r="AV714">
        <f t="shared" si="232"/>
        <v>259.32569072324804</v>
      </c>
      <c r="AY714">
        <f>AY711</f>
        <v>6.0000000000000001E-3</v>
      </c>
      <c r="BB714">
        <f t="shared" si="243"/>
        <v>0.24</v>
      </c>
    </row>
    <row r="715" spans="1:64" x14ac:dyDescent="0.2">
      <c r="G715" t="s">
        <v>165</v>
      </c>
      <c r="H715" t="s">
        <v>160</v>
      </c>
      <c r="J715">
        <v>91.25</v>
      </c>
      <c r="K715">
        <v>70</v>
      </c>
      <c r="M715">
        <v>617</v>
      </c>
      <c r="O715">
        <v>0.02</v>
      </c>
      <c r="P715">
        <v>770</v>
      </c>
      <c r="Q715">
        <f t="shared" si="233"/>
        <v>0.80129870129870129</v>
      </c>
      <c r="S715">
        <v>0</v>
      </c>
      <c r="T715">
        <v>0</v>
      </c>
      <c r="U715">
        <v>0</v>
      </c>
      <c r="V715">
        <v>0</v>
      </c>
      <c r="W715">
        <f>S715*B713+T715*B714</f>
        <v>0</v>
      </c>
      <c r="X715">
        <f t="shared" si="228"/>
        <v>1</v>
      </c>
      <c r="Y715">
        <f t="shared" si="229"/>
        <v>9.0161388285699591</v>
      </c>
      <c r="Z715">
        <f t="shared" si="234"/>
        <v>1.0042094826904191</v>
      </c>
      <c r="AC715">
        <v>7.1999999999999995E-2</v>
      </c>
      <c r="AE715">
        <v>0.53</v>
      </c>
      <c r="AF715">
        <f t="shared" si="230"/>
        <v>4.230372338365024</v>
      </c>
      <c r="AG715">
        <f t="shared" si="235"/>
        <v>0.19</v>
      </c>
      <c r="AH715">
        <f t="shared" si="236"/>
        <v>0.6784</v>
      </c>
      <c r="AI715">
        <f>AI711</f>
        <v>2.3E-2</v>
      </c>
      <c r="AK715">
        <f>AK711</f>
        <v>0.78</v>
      </c>
      <c r="AL715">
        <f>AL711</f>
        <v>99.977000000000004</v>
      </c>
      <c r="AM715">
        <f>AM711</f>
        <v>4.7000000000000002E-3</v>
      </c>
      <c r="AN715">
        <f t="shared" si="237"/>
        <v>9.7822886282906141E-5</v>
      </c>
      <c r="AO715">
        <f t="shared" si="238"/>
        <v>2.5622174971548883E-3</v>
      </c>
      <c r="AP715">
        <f t="shared" si="239"/>
        <v>2.6600403834377943E-3</v>
      </c>
      <c r="AQ715">
        <f t="shared" si="240"/>
        <v>16.99100794920891</v>
      </c>
      <c r="AS715">
        <f t="shared" si="241"/>
        <v>0</v>
      </c>
      <c r="AT715">
        <f t="shared" si="231"/>
        <v>2.4794109644441789E-4</v>
      </c>
      <c r="AU715">
        <f t="shared" si="242"/>
        <v>0.10143913218221401</v>
      </c>
      <c r="AV715">
        <f t="shared" si="232"/>
        <v>647.94245681389191</v>
      </c>
      <c r="AY715">
        <f>AY711</f>
        <v>6.0000000000000001E-3</v>
      </c>
      <c r="BB715">
        <f t="shared" si="243"/>
        <v>0.24</v>
      </c>
    </row>
    <row r="716" spans="1:64" x14ac:dyDescent="0.2">
      <c r="A716" t="s">
        <v>167</v>
      </c>
      <c r="G716">
        <v>2</v>
      </c>
      <c r="H716" t="s">
        <v>162</v>
      </c>
      <c r="J716">
        <v>91.25</v>
      </c>
      <c r="K716">
        <v>147</v>
      </c>
      <c r="M716">
        <v>591</v>
      </c>
      <c r="O716">
        <v>0.21</v>
      </c>
      <c r="P716">
        <v>770</v>
      </c>
      <c r="Q716">
        <f t="shared" si="233"/>
        <v>0.76753246753246751</v>
      </c>
      <c r="S716">
        <v>0</v>
      </c>
      <c r="T716">
        <v>0</v>
      </c>
      <c r="U716">
        <v>0</v>
      </c>
      <c r="V716">
        <v>0</v>
      </c>
      <c r="W716">
        <f>S716*B713+T716*B714</f>
        <v>0</v>
      </c>
      <c r="X716">
        <f t="shared" si="228"/>
        <v>1</v>
      </c>
      <c r="Y716">
        <f t="shared" si="229"/>
        <v>9.1576407142083571</v>
      </c>
      <c r="Z716">
        <f t="shared" si="234"/>
        <v>1.0451952327305167</v>
      </c>
      <c r="AC716">
        <v>9.9000000000000005E-2</v>
      </c>
      <c r="AE716">
        <v>0.56999999999999995</v>
      </c>
      <c r="AF716">
        <f t="shared" si="230"/>
        <v>3.9597638448236943</v>
      </c>
      <c r="AG716">
        <f t="shared" si="235"/>
        <v>0.19</v>
      </c>
      <c r="AH716">
        <f t="shared" si="236"/>
        <v>0.6784</v>
      </c>
      <c r="AI716">
        <f>AI711</f>
        <v>2.3E-2</v>
      </c>
      <c r="AK716">
        <f>AK711</f>
        <v>0.78</v>
      </c>
      <c r="AL716">
        <f>AL711</f>
        <v>99.977000000000004</v>
      </c>
      <c r="AM716">
        <f>AM711</f>
        <v>4.7000000000000002E-3</v>
      </c>
      <c r="AN716">
        <f t="shared" si="237"/>
        <v>9.1565351065305632E-5</v>
      </c>
      <c r="AO716">
        <f t="shared" si="238"/>
        <v>2.3983175466133501E-3</v>
      </c>
      <c r="AP716">
        <f t="shared" si="239"/>
        <v>2.4898828976786559E-3</v>
      </c>
      <c r="AQ716">
        <f t="shared" si="240"/>
        <v>33.398666718737068</v>
      </c>
      <c r="AS716">
        <f t="shared" si="241"/>
        <v>0</v>
      </c>
      <c r="AT716">
        <f t="shared" si="231"/>
        <v>2.6787806540001457E-3</v>
      </c>
      <c r="AU716">
        <f t="shared" si="242"/>
        <v>0.14026863290099059</v>
      </c>
      <c r="AV716">
        <f t="shared" si="232"/>
        <v>1881.5283745756626</v>
      </c>
      <c r="AY716">
        <f>AY711</f>
        <v>6.0000000000000001E-3</v>
      </c>
      <c r="BB716">
        <f t="shared" si="243"/>
        <v>0.24</v>
      </c>
    </row>
    <row r="717" spans="1:64" x14ac:dyDescent="0.2">
      <c r="A717" t="s">
        <v>160</v>
      </c>
      <c r="B717">
        <f>IF(B711="Hereford or Shorthorn", 1.3, 0)</f>
        <v>1.3</v>
      </c>
      <c r="H717" t="s">
        <v>163</v>
      </c>
      <c r="J717">
        <v>91.25</v>
      </c>
      <c r="K717">
        <v>104</v>
      </c>
      <c r="M717">
        <v>610</v>
      </c>
      <c r="O717">
        <v>0.13</v>
      </c>
      <c r="P717">
        <v>770</v>
      </c>
      <c r="Q717">
        <f t="shared" si="233"/>
        <v>0.79220779220779225</v>
      </c>
      <c r="S717">
        <v>0</v>
      </c>
      <c r="T717">
        <v>0</v>
      </c>
      <c r="U717">
        <v>0</v>
      </c>
      <c r="V717">
        <v>0</v>
      </c>
      <c r="W717">
        <f>S717*B713+T717*B714</f>
        <v>0</v>
      </c>
      <c r="X717">
        <f t="shared" si="228"/>
        <v>1</v>
      </c>
      <c r="Y717">
        <f t="shared" si="229"/>
        <v>9.1681178520999982</v>
      </c>
      <c r="Z717">
        <f t="shared" si="234"/>
        <v>1.0276073210414158</v>
      </c>
      <c r="AC717">
        <v>7.8E-2</v>
      </c>
      <c r="AE717">
        <v>0.55000000000000004</v>
      </c>
      <c r="AF717">
        <f t="shared" si="230"/>
        <v>4.1329875277266783</v>
      </c>
      <c r="AG717">
        <f t="shared" si="235"/>
        <v>0.19</v>
      </c>
      <c r="AH717">
        <f t="shared" si="236"/>
        <v>0.6784</v>
      </c>
      <c r="AI717">
        <f>AI711</f>
        <v>2.3E-2</v>
      </c>
      <c r="AK717">
        <f>AK711</f>
        <v>0.78</v>
      </c>
      <c r="AL717">
        <f>AL711</f>
        <v>99.977000000000004</v>
      </c>
      <c r="AM717">
        <f>AM711</f>
        <v>4.7000000000000002E-3</v>
      </c>
      <c r="AN717">
        <f t="shared" si="237"/>
        <v>9.5570965531070103E-5</v>
      </c>
      <c r="AO717">
        <f t="shared" si="238"/>
        <v>2.503234257426368E-3</v>
      </c>
      <c r="AP717">
        <f t="shared" si="239"/>
        <v>2.5988052229574381E-3</v>
      </c>
      <c r="AQ717">
        <f t="shared" si="240"/>
        <v>24.662661565866088</v>
      </c>
      <c r="AS717">
        <f t="shared" si="241"/>
        <v>0</v>
      </c>
      <c r="AT717">
        <f t="shared" si="231"/>
        <v>1.6232766249323967E-3</v>
      </c>
      <c r="AU717">
        <f t="shared" si="242"/>
        <v>0.11063455417356811</v>
      </c>
      <c r="AV717">
        <f t="shared" si="232"/>
        <v>1049.9219191071613</v>
      </c>
      <c r="AY717">
        <f>AY711</f>
        <v>6.0000000000000001E-3</v>
      </c>
      <c r="BB717">
        <f t="shared" si="243"/>
        <v>0.24</v>
      </c>
    </row>
    <row r="718" spans="1:64" x14ac:dyDescent="0.2">
      <c r="A718" t="s">
        <v>162</v>
      </c>
      <c r="B718">
        <f>IF(B711="Hereford or Shorthorn", 1.1, 1.3)</f>
        <v>1.1000000000000001</v>
      </c>
      <c r="H718" t="s">
        <v>164</v>
      </c>
      <c r="J718">
        <v>91.25</v>
      </c>
      <c r="K718">
        <v>31</v>
      </c>
      <c r="M718">
        <v>615</v>
      </c>
      <c r="O718">
        <v>0.04</v>
      </c>
      <c r="P718">
        <v>770</v>
      </c>
      <c r="Q718">
        <f t="shared" si="233"/>
        <v>0.79870129870129869</v>
      </c>
      <c r="S718">
        <v>0</v>
      </c>
      <c r="T718">
        <v>0</v>
      </c>
      <c r="U718">
        <v>0</v>
      </c>
      <c r="V718">
        <v>0</v>
      </c>
      <c r="W718">
        <f>S718*B713+T718*B714</f>
        <v>0</v>
      </c>
      <c r="X718">
        <f t="shared" si="228"/>
        <v>1</v>
      </c>
      <c r="Y718">
        <f t="shared" si="229"/>
        <v>9.0379298792249987</v>
      </c>
      <c r="Z718">
        <f t="shared" si="234"/>
        <v>1.0084353490897278</v>
      </c>
      <c r="AC718">
        <v>5.8999999999999997E-2</v>
      </c>
      <c r="AE718">
        <v>0.51</v>
      </c>
      <c r="AF718">
        <f t="shared" si="230"/>
        <v>4.4068946091101093</v>
      </c>
      <c r="AG718">
        <f t="shared" si="235"/>
        <v>0.19</v>
      </c>
      <c r="AH718">
        <f t="shared" si="236"/>
        <v>0.6784</v>
      </c>
      <c r="AI718">
        <f>AI711</f>
        <v>2.3E-2</v>
      </c>
      <c r="AK718">
        <f>AK711</f>
        <v>0.78</v>
      </c>
      <c r="AL718">
        <f>AL711</f>
        <v>99.977000000000004</v>
      </c>
      <c r="AM718">
        <f>AM711</f>
        <v>4.7000000000000002E-3</v>
      </c>
      <c r="AN718">
        <f t="shared" si="237"/>
        <v>1.0190477710393267E-4</v>
      </c>
      <c r="AO718">
        <f t="shared" si="238"/>
        <v>2.6691320698129005E-3</v>
      </c>
      <c r="AP718">
        <f t="shared" si="239"/>
        <v>2.7710368469168333E-3</v>
      </c>
      <c r="AQ718">
        <f t="shared" si="240"/>
        <v>7.8385704807159922</v>
      </c>
      <c r="AS718">
        <f t="shared" si="241"/>
        <v>0</v>
      </c>
      <c r="AT718">
        <f t="shared" si="231"/>
        <v>4.969008795284943E-4</v>
      </c>
      <c r="AU718">
        <f t="shared" si="242"/>
        <v>8.2647610335556801E-2</v>
      </c>
      <c r="AV718">
        <f t="shared" si="232"/>
        <v>233.7894277367063</v>
      </c>
      <c r="AY718">
        <f>AY711</f>
        <v>6.0000000000000001E-3</v>
      </c>
      <c r="BB718">
        <f t="shared" si="243"/>
        <v>0.24</v>
      </c>
    </row>
    <row r="719" spans="1:64" x14ac:dyDescent="0.2">
      <c r="A719" t="s">
        <v>163</v>
      </c>
      <c r="B719">
        <f>IF(B711="Hereford or Shorthorn", 0, 1.1)</f>
        <v>0</v>
      </c>
      <c r="G719" t="s">
        <v>177</v>
      </c>
      <c r="H719" t="s">
        <v>160</v>
      </c>
      <c r="J719">
        <v>91.25</v>
      </c>
      <c r="K719">
        <v>318</v>
      </c>
      <c r="M719">
        <v>265</v>
      </c>
      <c r="O719">
        <v>0.3</v>
      </c>
      <c r="P719">
        <v>550</v>
      </c>
      <c r="Q719">
        <f t="shared" si="233"/>
        <v>0.48181818181818181</v>
      </c>
      <c r="S719">
        <v>0</v>
      </c>
      <c r="T719">
        <v>0</v>
      </c>
      <c r="U719">
        <v>0</v>
      </c>
      <c r="V719">
        <v>0</v>
      </c>
      <c r="W719">
        <f>S719*B713+T719*B714</f>
        <v>0</v>
      </c>
      <c r="X719">
        <f t="shared" si="228"/>
        <v>1</v>
      </c>
      <c r="Y719">
        <f t="shared" si="229"/>
        <v>5.2900690002249986</v>
      </c>
      <c r="Z719">
        <f t="shared" si="234"/>
        <v>1.0875301479711132</v>
      </c>
      <c r="AC719">
        <v>7.1999999999999995E-2</v>
      </c>
      <c r="AE719">
        <v>0.53</v>
      </c>
      <c r="AF719">
        <f t="shared" si="230"/>
        <v>2.4821003749055692</v>
      </c>
      <c r="AG719">
        <f t="shared" si="235"/>
        <v>0.19</v>
      </c>
      <c r="AH719">
        <f t="shared" si="236"/>
        <v>0.6784</v>
      </c>
      <c r="AI719">
        <f>AI711</f>
        <v>2.3E-2</v>
      </c>
      <c r="AK719">
        <f>AK711</f>
        <v>0.78</v>
      </c>
      <c r="AL719">
        <f>AL711</f>
        <v>99.977000000000004</v>
      </c>
      <c r="AM719">
        <f>AM711</f>
        <v>4.7000000000000002E-3</v>
      </c>
      <c r="AN719">
        <f t="shared" si="237"/>
        <v>5.7395946100334789E-5</v>
      </c>
      <c r="AO719">
        <f t="shared" si="238"/>
        <v>1.5033383592744653E-3</v>
      </c>
      <c r="AP719">
        <f t="shared" si="239"/>
        <v>1.5607343053748001E-3</v>
      </c>
      <c r="AQ719">
        <f t="shared" si="240"/>
        <v>45.288607706213263</v>
      </c>
      <c r="AS719">
        <f t="shared" si="241"/>
        <v>0</v>
      </c>
      <c r="AT719">
        <f t="shared" si="231"/>
        <v>5.6492425787226033E-3</v>
      </c>
      <c r="AU719">
        <f t="shared" si="242"/>
        <v>5.413638094653405E-2</v>
      </c>
      <c r="AV719">
        <f t="shared" si="232"/>
        <v>1570.9024341160518</v>
      </c>
      <c r="AY719">
        <f>AY711</f>
        <v>6.0000000000000001E-3</v>
      </c>
      <c r="BB719">
        <f t="shared" si="243"/>
        <v>0.24</v>
      </c>
    </row>
    <row r="720" spans="1:64" x14ac:dyDescent="0.2">
      <c r="A720" t="s">
        <v>164</v>
      </c>
      <c r="B720">
        <v>0</v>
      </c>
      <c r="G720">
        <v>4</v>
      </c>
      <c r="H720" t="s">
        <v>162</v>
      </c>
      <c r="J720">
        <v>91.25</v>
      </c>
      <c r="K720">
        <v>440</v>
      </c>
      <c r="M720">
        <v>205</v>
      </c>
      <c r="O720">
        <v>0.32</v>
      </c>
      <c r="P720">
        <v>550</v>
      </c>
      <c r="Q720">
        <f t="shared" si="233"/>
        <v>0.37272727272727274</v>
      </c>
      <c r="S720">
        <v>0</v>
      </c>
      <c r="T720">
        <v>0</v>
      </c>
      <c r="U720">
        <v>0</v>
      </c>
      <c r="V720">
        <v>0</v>
      </c>
      <c r="W720">
        <f>S720*B713+T720*B714</f>
        <v>0</v>
      </c>
      <c r="X720">
        <f t="shared" si="228"/>
        <v>1</v>
      </c>
      <c r="Y720">
        <f t="shared" si="229"/>
        <v>4.4404393452249993</v>
      </c>
      <c r="Z720">
        <f t="shared" si="234"/>
        <v>1.1030006087885993</v>
      </c>
      <c r="AC720">
        <v>9.9000000000000005E-2</v>
      </c>
      <c r="AE720">
        <v>0.56999999999999995</v>
      </c>
      <c r="AF720">
        <f t="shared" si="230"/>
        <v>1.9200459728752897</v>
      </c>
      <c r="AG720">
        <f t="shared" si="235"/>
        <v>0.19</v>
      </c>
      <c r="AH720">
        <f t="shared" si="236"/>
        <v>0.6784</v>
      </c>
      <c r="AI720">
        <f>AI711</f>
        <v>2.3E-2</v>
      </c>
      <c r="AK720">
        <f>AK711</f>
        <v>0.78</v>
      </c>
      <c r="AL720">
        <f>AL711</f>
        <v>99.977000000000004</v>
      </c>
      <c r="AM720">
        <f>AM711</f>
        <v>4.7000000000000002E-3</v>
      </c>
      <c r="AN720">
        <f t="shared" si="237"/>
        <v>4.4399032482120156E-5</v>
      </c>
      <c r="AO720">
        <f t="shared" si="238"/>
        <v>1.1629178222511238E-3</v>
      </c>
      <c r="AP720">
        <f t="shared" si="239"/>
        <v>1.207316854733244E-3</v>
      </c>
      <c r="AQ720">
        <f t="shared" si="240"/>
        <v>48.473771717539748</v>
      </c>
      <c r="AS720">
        <f t="shared" si="241"/>
        <v>0</v>
      </c>
      <c r="AT720">
        <f t="shared" si="231"/>
        <v>7.1407513553016395E-3</v>
      </c>
      <c r="AU720">
        <f t="shared" si="242"/>
        <v>6.2242291700270874E-2</v>
      </c>
      <c r="AV720">
        <f t="shared" si="232"/>
        <v>2499.0280117658758</v>
      </c>
      <c r="AY720">
        <f>AY711</f>
        <v>6.0000000000000001E-3</v>
      </c>
      <c r="BB720">
        <f t="shared" si="243"/>
        <v>0.24</v>
      </c>
    </row>
    <row r="721" spans="7:54" x14ac:dyDescent="0.2">
      <c r="H721" t="s">
        <v>163</v>
      </c>
      <c r="J721">
        <v>91.25</v>
      </c>
      <c r="K721">
        <v>412</v>
      </c>
      <c r="M721">
        <v>232</v>
      </c>
      <c r="O721">
        <v>0.27</v>
      </c>
      <c r="P721">
        <v>550</v>
      </c>
      <c r="Q721">
        <f t="shared" si="233"/>
        <v>0.42181818181818181</v>
      </c>
      <c r="S721">
        <v>0</v>
      </c>
      <c r="T721">
        <v>0</v>
      </c>
      <c r="U721">
        <v>0</v>
      </c>
      <c r="V721">
        <v>0</v>
      </c>
      <c r="W721">
        <f>S721*B713+T721*B714</f>
        <v>0</v>
      </c>
      <c r="X721">
        <f t="shared" si="228"/>
        <v>1</v>
      </c>
      <c r="Y721">
        <f t="shared" si="229"/>
        <v>4.7671814118337608</v>
      </c>
      <c r="Z721">
        <f t="shared" si="234"/>
        <v>1.0827070219357735</v>
      </c>
      <c r="AC721">
        <v>7.8E-2</v>
      </c>
      <c r="AE721">
        <v>0.55000000000000004</v>
      </c>
      <c r="AF721">
        <f t="shared" si="230"/>
        <v>2.1490453804546594</v>
      </c>
      <c r="AG721">
        <f t="shared" si="235"/>
        <v>0.19</v>
      </c>
      <c r="AH721">
        <f t="shared" si="236"/>
        <v>0.6784</v>
      </c>
      <c r="AI721">
        <f>AI711</f>
        <v>2.3E-2</v>
      </c>
      <c r="AK721">
        <f>AK711</f>
        <v>0.78</v>
      </c>
      <c r="AL721">
        <f>AL711</f>
        <v>99.977000000000004</v>
      </c>
      <c r="AM721">
        <f>AM711</f>
        <v>4.7000000000000002E-3</v>
      </c>
      <c r="AN721">
        <f t="shared" si="237"/>
        <v>4.9694401592619635E-5</v>
      </c>
      <c r="AO721">
        <f t="shared" si="238"/>
        <v>1.3016163201627125E-3</v>
      </c>
      <c r="AP721">
        <f t="shared" si="239"/>
        <v>1.3513107217553322E-3</v>
      </c>
      <c r="AQ721">
        <f t="shared" si="240"/>
        <v>50.802526584391714</v>
      </c>
      <c r="AS721">
        <f t="shared" si="241"/>
        <v>0</v>
      </c>
      <c r="AT721">
        <f t="shared" si="231"/>
        <v>5.5981039291055409E-3</v>
      </c>
      <c r="AU721">
        <f t="shared" si="242"/>
        <v>5.2850086507170047E-2</v>
      </c>
      <c r="AV721">
        <f t="shared" si="232"/>
        <v>1986.8990022370581</v>
      </c>
      <c r="AY721">
        <f>AY711</f>
        <v>6.0000000000000001E-3</v>
      </c>
      <c r="BB721">
        <f t="shared" si="243"/>
        <v>0.24</v>
      </c>
    </row>
    <row r="722" spans="7:54" x14ac:dyDescent="0.2">
      <c r="H722" t="s">
        <v>164</v>
      </c>
      <c r="J722">
        <v>91.25</v>
      </c>
      <c r="K722">
        <v>339</v>
      </c>
      <c r="M722">
        <v>255</v>
      </c>
      <c r="O722">
        <v>0.18</v>
      </c>
      <c r="P722">
        <v>550</v>
      </c>
      <c r="Q722">
        <f t="shared" si="233"/>
        <v>0.46363636363636362</v>
      </c>
      <c r="S722">
        <v>0</v>
      </c>
      <c r="T722">
        <v>0</v>
      </c>
      <c r="U722">
        <v>0</v>
      </c>
      <c r="V722">
        <v>0</v>
      </c>
      <c r="W722">
        <f>S722*B713+T722*B714</f>
        <v>0</v>
      </c>
      <c r="X722">
        <f t="shared" si="228"/>
        <v>1</v>
      </c>
      <c r="Y722">
        <f t="shared" si="229"/>
        <v>4.9743942122250004</v>
      </c>
      <c r="Z722">
        <f t="shared" si="234"/>
        <v>1.0528511173996706</v>
      </c>
      <c r="AC722">
        <v>5.8999999999999997E-2</v>
      </c>
      <c r="AE722">
        <v>0.51</v>
      </c>
      <c r="AF722">
        <f t="shared" si="230"/>
        <v>2.4255146178809102</v>
      </c>
      <c r="AG722">
        <f t="shared" si="235"/>
        <v>0.19</v>
      </c>
      <c r="AH722">
        <f t="shared" si="236"/>
        <v>0.6784</v>
      </c>
      <c r="AI722">
        <f>AI711</f>
        <v>2.3E-2</v>
      </c>
      <c r="AK722">
        <f>AK711</f>
        <v>0.78</v>
      </c>
      <c r="AL722">
        <f>AL711</f>
        <v>99.977000000000004</v>
      </c>
      <c r="AM722">
        <f>AM711</f>
        <v>4.7000000000000002E-3</v>
      </c>
      <c r="AN722">
        <f t="shared" si="237"/>
        <v>5.6087460314236178E-5</v>
      </c>
      <c r="AO722">
        <f t="shared" si="238"/>
        <v>1.4690659583740824E-3</v>
      </c>
      <c r="AP722">
        <f t="shared" si="239"/>
        <v>1.5251534186883186E-3</v>
      </c>
      <c r="AQ722">
        <f t="shared" si="240"/>
        <v>47.178714565349779</v>
      </c>
      <c r="AS722">
        <f t="shared" si="241"/>
        <v>0</v>
      </c>
      <c r="AT722">
        <f t="shared" si="231"/>
        <v>3.4940371036323902E-3</v>
      </c>
      <c r="AU722">
        <f t="shared" si="242"/>
        <v>4.2341145873728114E-2</v>
      </c>
      <c r="AV722">
        <f t="shared" si="232"/>
        <v>1309.770421171437</v>
      </c>
      <c r="AY722">
        <f>AY711</f>
        <v>6.0000000000000001E-3</v>
      </c>
      <c r="BB722">
        <f t="shared" si="243"/>
        <v>0.24</v>
      </c>
    </row>
    <row r="723" spans="7:54" x14ac:dyDescent="0.2">
      <c r="G723" t="s">
        <v>179</v>
      </c>
      <c r="H723" t="s">
        <v>160</v>
      </c>
      <c r="J723">
        <v>91.25</v>
      </c>
      <c r="K723">
        <v>392</v>
      </c>
      <c r="M723">
        <v>371</v>
      </c>
      <c r="O723">
        <v>0.23</v>
      </c>
      <c r="P723">
        <v>550</v>
      </c>
      <c r="Q723">
        <f t="shared" si="233"/>
        <v>0.67454545454545456</v>
      </c>
      <c r="S723">
        <v>0.8</v>
      </c>
      <c r="T723">
        <v>0.05</v>
      </c>
      <c r="U723">
        <v>0</v>
      </c>
      <c r="V723">
        <v>0</v>
      </c>
      <c r="W723">
        <f>S723*B713+T723*B714</f>
        <v>5.0000000000000009</v>
      </c>
      <c r="X723">
        <f t="shared" si="228"/>
        <v>1.2449999999999999</v>
      </c>
      <c r="Y723">
        <f t="shared" si="229"/>
        <v>8.3124418706491117</v>
      </c>
      <c r="Z723">
        <f t="shared" si="234"/>
        <v>1.0585274003680065</v>
      </c>
      <c r="AC723">
        <v>7.1999999999999995E-2</v>
      </c>
      <c r="AE723">
        <v>0.53</v>
      </c>
      <c r="AF723">
        <f t="shared" si="230"/>
        <v>3.9001977257085629</v>
      </c>
      <c r="AG723">
        <f t="shared" si="235"/>
        <v>0.19</v>
      </c>
      <c r="AH723">
        <f t="shared" si="236"/>
        <v>0.6784</v>
      </c>
      <c r="AI723">
        <f>AI711</f>
        <v>2.3E-2</v>
      </c>
      <c r="AK723">
        <f>AK711</f>
        <v>0.78</v>
      </c>
      <c r="AL723">
        <f>AL711</f>
        <v>99.977000000000004</v>
      </c>
      <c r="AM723">
        <f>AM711</f>
        <v>4.7000000000000002E-3</v>
      </c>
      <c r="AN723">
        <f t="shared" si="237"/>
        <v>9.0187947557895818E-5</v>
      </c>
      <c r="AO723">
        <f t="shared" si="238"/>
        <v>2.3622400242519523E-3</v>
      </c>
      <c r="AP723">
        <f t="shared" si="239"/>
        <v>2.452427971809848E-3</v>
      </c>
      <c r="AQ723">
        <f t="shared" si="240"/>
        <v>87.723348551638267</v>
      </c>
      <c r="AS723">
        <f t="shared" si="241"/>
        <v>0</v>
      </c>
      <c r="AT723">
        <f t="shared" si="231"/>
        <v>2.8322557474588228E-2</v>
      </c>
      <c r="AU723">
        <f t="shared" si="242"/>
        <v>6.5948977857562679E-2</v>
      </c>
      <c r="AV723">
        <f t="shared" si="232"/>
        <v>2358.994937965017</v>
      </c>
      <c r="AY723">
        <f>AY711</f>
        <v>6.0000000000000001E-3</v>
      </c>
      <c r="BB723">
        <f t="shared" si="243"/>
        <v>0.24</v>
      </c>
    </row>
    <row r="724" spans="7:54" x14ac:dyDescent="0.2">
      <c r="G724" t="s">
        <v>195</v>
      </c>
      <c r="H724" t="s">
        <v>162</v>
      </c>
      <c r="J724">
        <v>91.25</v>
      </c>
      <c r="K724">
        <v>490</v>
      </c>
      <c r="M724">
        <v>310</v>
      </c>
      <c r="O724">
        <v>0.47</v>
      </c>
      <c r="P724">
        <v>550</v>
      </c>
      <c r="Q724">
        <f t="shared" si="233"/>
        <v>0.5636363636363636</v>
      </c>
      <c r="S724">
        <v>0</v>
      </c>
      <c r="T724">
        <v>0.75</v>
      </c>
      <c r="U724">
        <v>0</v>
      </c>
      <c r="V724">
        <v>0</v>
      </c>
      <c r="W724">
        <f>S724*B713+T724*B714</f>
        <v>3</v>
      </c>
      <c r="X724">
        <f t="shared" si="228"/>
        <v>1.0750000000000002</v>
      </c>
      <c r="Y724">
        <f t="shared" si="229"/>
        <v>6.6682664392075015</v>
      </c>
      <c r="Z724">
        <f t="shared" si="234"/>
        <v>1.1303955761828293</v>
      </c>
      <c r="AC724">
        <v>9.9000000000000005E-2</v>
      </c>
      <c r="AE724">
        <v>0.56999999999999995</v>
      </c>
      <c r="AF724">
        <f t="shared" si="230"/>
        <v>2.8833584083133244</v>
      </c>
      <c r="AG724">
        <f t="shared" si="235"/>
        <v>0.19</v>
      </c>
      <c r="AH724">
        <f t="shared" si="236"/>
        <v>0.6784</v>
      </c>
      <c r="AI724">
        <f>AI711</f>
        <v>2.3E-2</v>
      </c>
      <c r="AK724">
        <f>AK711</f>
        <v>0.78</v>
      </c>
      <c r="AL724">
        <f>AL711</f>
        <v>99.977000000000004</v>
      </c>
      <c r="AM724">
        <f>AM711</f>
        <v>4.7000000000000002E-3</v>
      </c>
      <c r="AN724">
        <f t="shared" si="237"/>
        <v>6.667461375239299E-5</v>
      </c>
      <c r="AO724">
        <f t="shared" si="238"/>
        <v>1.7463690600823902E-3</v>
      </c>
      <c r="AP724">
        <f t="shared" si="239"/>
        <v>1.8130436738347832E-3</v>
      </c>
      <c r="AQ724">
        <f t="shared" si="240"/>
        <v>81.065715266337733</v>
      </c>
      <c r="AS724">
        <f t="shared" si="241"/>
        <v>0</v>
      </c>
      <c r="AT724">
        <f t="shared" si="231"/>
        <v>2.2799111119831236E-2</v>
      </c>
      <c r="AU724">
        <f t="shared" si="242"/>
        <v>8.152595809271948E-2</v>
      </c>
      <c r="AV724">
        <f t="shared" si="232"/>
        <v>3645.2294012207199</v>
      </c>
      <c r="AY724">
        <f>AY711</f>
        <v>6.0000000000000001E-3</v>
      </c>
      <c r="BB724">
        <f t="shared" si="243"/>
        <v>0.24</v>
      </c>
    </row>
    <row r="725" spans="7:54" x14ac:dyDescent="0.2">
      <c r="H725" t="s">
        <v>163</v>
      </c>
      <c r="J725">
        <v>91.25</v>
      </c>
      <c r="K725">
        <v>480</v>
      </c>
      <c r="M725">
        <v>351</v>
      </c>
      <c r="O725">
        <v>0.3</v>
      </c>
      <c r="P725">
        <v>550</v>
      </c>
      <c r="Q725">
        <f t="shared" si="233"/>
        <v>0.63818181818181818</v>
      </c>
      <c r="S725">
        <v>0</v>
      </c>
      <c r="T725">
        <v>0</v>
      </c>
      <c r="U725">
        <v>0</v>
      </c>
      <c r="V725">
        <v>0</v>
      </c>
      <c r="W725">
        <f>S725*B713+T725*B714</f>
        <v>0</v>
      </c>
      <c r="X725">
        <f t="shared" si="228"/>
        <v>1</v>
      </c>
      <c r="Y725">
        <f t="shared" si="229"/>
        <v>6.5163661242627606</v>
      </c>
      <c r="Z725">
        <f t="shared" si="234"/>
        <v>1.0783628068814854</v>
      </c>
      <c r="AC725">
        <v>7.8E-2</v>
      </c>
      <c r="AE725">
        <v>0.55000000000000004</v>
      </c>
      <c r="AF725">
        <f t="shared" si="230"/>
        <v>2.9375778488176523</v>
      </c>
      <c r="AG725">
        <f t="shared" si="235"/>
        <v>0.19</v>
      </c>
      <c r="AH725">
        <f t="shared" si="236"/>
        <v>0.6784</v>
      </c>
      <c r="AI725">
        <f>AI711</f>
        <v>2.3E-2</v>
      </c>
      <c r="AK725">
        <f>AK711</f>
        <v>0.78</v>
      </c>
      <c r="AL725">
        <f>AL711</f>
        <v>99.977000000000004</v>
      </c>
      <c r="AM725">
        <f>AM711</f>
        <v>4.7000000000000002E-3</v>
      </c>
      <c r="AN725">
        <f t="shared" si="237"/>
        <v>6.7928380971575309E-5</v>
      </c>
      <c r="AO725">
        <f t="shared" si="238"/>
        <v>1.7792082496464528E-3</v>
      </c>
      <c r="AP725">
        <f t="shared" si="239"/>
        <v>1.8471366306180282E-3</v>
      </c>
      <c r="AQ725">
        <f t="shared" si="240"/>
        <v>80.904584421069629</v>
      </c>
      <c r="AS725">
        <f t="shared" si="241"/>
        <v>0</v>
      </c>
      <c r="AT725">
        <f t="shared" si="231"/>
        <v>4.4371275568114675E-3</v>
      </c>
      <c r="AU725">
        <f t="shared" si="242"/>
        <v>7.5459894831217844E-2</v>
      </c>
      <c r="AV725">
        <f t="shared" si="232"/>
        <v>3305.1433936073413</v>
      </c>
      <c r="AY725">
        <f>AY711</f>
        <v>6.0000000000000001E-3</v>
      </c>
      <c r="BB725">
        <f t="shared" si="243"/>
        <v>0.24</v>
      </c>
    </row>
    <row r="726" spans="7:54" x14ac:dyDescent="0.2">
      <c r="H726" t="s">
        <v>164</v>
      </c>
      <c r="J726">
        <v>91.25</v>
      </c>
      <c r="K726">
        <v>398</v>
      </c>
      <c r="M726">
        <v>364</v>
      </c>
      <c r="O726">
        <v>0.11</v>
      </c>
      <c r="P726">
        <v>550</v>
      </c>
      <c r="Q726">
        <f t="shared" si="233"/>
        <v>0.66181818181818186</v>
      </c>
      <c r="S726">
        <v>0.1</v>
      </c>
      <c r="T726">
        <v>0</v>
      </c>
      <c r="U726">
        <v>0</v>
      </c>
      <c r="V726">
        <v>0</v>
      </c>
      <c r="W726">
        <f>S726*B713+T726*B714</f>
        <v>0.60000000000000009</v>
      </c>
      <c r="X726">
        <f t="shared" si="228"/>
        <v>1.03</v>
      </c>
      <c r="Y726">
        <f t="shared" si="229"/>
        <v>6.5810515331934436</v>
      </c>
      <c r="Z726">
        <f t="shared" si="234"/>
        <v>1.0279902179551144</v>
      </c>
      <c r="AC726">
        <v>5.8999999999999997E-2</v>
      </c>
      <c r="AE726">
        <v>0.51</v>
      </c>
      <c r="AF726">
        <f t="shared" si="230"/>
        <v>3.2089207275851233</v>
      </c>
      <c r="AG726">
        <f t="shared" si="235"/>
        <v>0.19</v>
      </c>
      <c r="AH726">
        <f t="shared" si="236"/>
        <v>0.6784</v>
      </c>
      <c r="AI726">
        <f>AI711</f>
        <v>2.3E-2</v>
      </c>
      <c r="AK726">
        <f>AK711</f>
        <v>0.78</v>
      </c>
      <c r="AL726">
        <f>AL711</f>
        <v>99.977000000000004</v>
      </c>
      <c r="AM726">
        <f>AM711</f>
        <v>4.7000000000000002E-3</v>
      </c>
      <c r="AN726">
        <f t="shared" si="237"/>
        <v>7.4202898070844476E-5</v>
      </c>
      <c r="AO726">
        <f t="shared" si="238"/>
        <v>1.9435529966563797E-3</v>
      </c>
      <c r="AP726">
        <f t="shared" si="239"/>
        <v>2.0177558947272242E-3</v>
      </c>
      <c r="AQ726">
        <f t="shared" si="240"/>
        <v>73.279849706755968</v>
      </c>
      <c r="AS726">
        <f t="shared" si="241"/>
        <v>0</v>
      </c>
      <c r="AT726">
        <f t="shared" si="231"/>
        <v>4.5869960846539517E-3</v>
      </c>
      <c r="AU726">
        <f t="shared" si="242"/>
        <v>5.6071439123570189E-2</v>
      </c>
      <c r="AV726">
        <f t="shared" si="232"/>
        <v>2036.3744903702602</v>
      </c>
      <c r="AY726">
        <f>AY711</f>
        <v>6.0000000000000001E-3</v>
      </c>
      <c r="BB726">
        <f t="shared" si="243"/>
        <v>0.24</v>
      </c>
    </row>
    <row r="727" spans="7:54" x14ac:dyDescent="0.2">
      <c r="G727" t="s">
        <v>176</v>
      </c>
      <c r="H727" t="s">
        <v>160</v>
      </c>
      <c r="J727">
        <v>91.25</v>
      </c>
      <c r="K727">
        <v>100</v>
      </c>
      <c r="M727">
        <v>174</v>
      </c>
      <c r="O727">
        <v>0.24</v>
      </c>
      <c r="P727">
        <v>550</v>
      </c>
      <c r="Q727">
        <f t="shared" si="233"/>
        <v>0.31636363636363635</v>
      </c>
      <c r="S727">
        <v>0</v>
      </c>
      <c r="T727">
        <v>0</v>
      </c>
      <c r="U727">
        <f>25/K727</f>
        <v>0.25</v>
      </c>
      <c r="V727">
        <f>5/K727</f>
        <v>0.05</v>
      </c>
      <c r="W727">
        <f>S727*B713+T727*B714</f>
        <v>0</v>
      </c>
      <c r="X727">
        <f t="shared" si="228"/>
        <v>1</v>
      </c>
      <c r="Y727">
        <f t="shared" si="229"/>
        <v>3.8881624504377594</v>
      </c>
      <c r="Z727">
        <f t="shared" si="234"/>
        <v>1.0813261242549006</v>
      </c>
      <c r="AC727">
        <v>7.1999999999999995E-2</v>
      </c>
      <c r="AE727">
        <v>0.53</v>
      </c>
      <c r="AF727">
        <f t="shared" si="230"/>
        <v>1.8243258217453968</v>
      </c>
      <c r="AG727">
        <f t="shared" si="235"/>
        <v>0.19</v>
      </c>
      <c r="AH727">
        <f t="shared" si="236"/>
        <v>0.6784</v>
      </c>
      <c r="AI727">
        <f>AI711</f>
        <v>2.3E-2</v>
      </c>
      <c r="AK727">
        <f>AK711</f>
        <v>0.78</v>
      </c>
      <c r="AL727">
        <f>AL711</f>
        <v>99.977000000000004</v>
      </c>
      <c r="AM727">
        <f>AM711</f>
        <v>4.7000000000000002E-3</v>
      </c>
      <c r="AN727">
        <f t="shared" si="237"/>
        <v>4.2185605220873231E-5</v>
      </c>
      <c r="AO727">
        <f t="shared" si="238"/>
        <v>1.1049428199490547E-3</v>
      </c>
      <c r="AP727">
        <f t="shared" si="239"/>
        <v>1.1471284251699278E-3</v>
      </c>
      <c r="AQ727">
        <f t="shared" si="240"/>
        <v>10.467546879675591</v>
      </c>
      <c r="AS727">
        <f t="shared" si="241"/>
        <v>1.7</v>
      </c>
      <c r="AT727">
        <f t="shared" si="231"/>
        <v>5.786088684271596E-3</v>
      </c>
      <c r="AU727">
        <f t="shared" si="242"/>
        <v>4.6689000149999389E-2</v>
      </c>
      <c r="AV727">
        <f t="shared" si="232"/>
        <v>426.03712636874445</v>
      </c>
      <c r="AY727">
        <f>AY711</f>
        <v>6.0000000000000001E-3</v>
      </c>
      <c r="BB727">
        <f t="shared" si="243"/>
        <v>0.24</v>
      </c>
    </row>
    <row r="728" spans="7:54" x14ac:dyDescent="0.2">
      <c r="G728">
        <v>3</v>
      </c>
      <c r="H728" t="s">
        <v>162</v>
      </c>
      <c r="J728">
        <v>91.25</v>
      </c>
      <c r="K728">
        <v>216</v>
      </c>
      <c r="M728">
        <v>140</v>
      </c>
      <c r="O728">
        <v>0.25</v>
      </c>
      <c r="P728">
        <v>550</v>
      </c>
      <c r="Q728">
        <f t="shared" si="233"/>
        <v>0.25454545454545452</v>
      </c>
      <c r="S728">
        <v>0</v>
      </c>
      <c r="T728">
        <v>0</v>
      </c>
      <c r="U728">
        <f>40/K728</f>
        <v>0.18518518518518517</v>
      </c>
      <c r="V728">
        <f>25/K728</f>
        <v>0.11574074074074074</v>
      </c>
      <c r="W728">
        <f>S728*B713+T728*B714</f>
        <v>0</v>
      </c>
      <c r="X728">
        <f t="shared" si="228"/>
        <v>1</v>
      </c>
      <c r="Y728">
        <f t="shared" si="229"/>
        <v>3.4165455920999999</v>
      </c>
      <c r="Z728">
        <f t="shared" si="234"/>
        <v>1.0909814540757374</v>
      </c>
      <c r="AC728">
        <v>9.9000000000000005E-2</v>
      </c>
      <c r="AE728">
        <v>0.56999999999999995</v>
      </c>
      <c r="AF728">
        <f t="shared" si="230"/>
        <v>1.4773143140240401</v>
      </c>
      <c r="AG728">
        <f t="shared" si="235"/>
        <v>0.19</v>
      </c>
      <c r="AH728">
        <f t="shared" si="236"/>
        <v>0.6784</v>
      </c>
      <c r="AI728">
        <f>AI711</f>
        <v>2.3E-2</v>
      </c>
      <c r="AK728">
        <f>AK711</f>
        <v>0.78</v>
      </c>
      <c r="AL728">
        <f>AL711</f>
        <v>99.977000000000004</v>
      </c>
      <c r="AM728">
        <f>AM711</f>
        <v>4.7000000000000002E-3</v>
      </c>
      <c r="AN728">
        <f t="shared" si="237"/>
        <v>3.4161331104187423E-5</v>
      </c>
      <c r="AO728">
        <f t="shared" si="238"/>
        <v>8.9476771343788882E-4</v>
      </c>
      <c r="AP728">
        <f t="shared" si="239"/>
        <v>9.289290445420763E-4</v>
      </c>
      <c r="AQ728">
        <f t="shared" si="240"/>
        <v>18.309191467924325</v>
      </c>
      <c r="AS728">
        <f t="shared" si="241"/>
        <v>1.5740740740740742</v>
      </c>
      <c r="AT728">
        <f t="shared" si="231"/>
        <v>6.4721242503883013E-3</v>
      </c>
      <c r="AU728">
        <f t="shared" si="242"/>
        <v>5.4824677638331862E-2</v>
      </c>
      <c r="AV728">
        <f t="shared" si="232"/>
        <v>1080.5943962515209</v>
      </c>
      <c r="AY728">
        <f>AY711</f>
        <v>6.0000000000000001E-3</v>
      </c>
      <c r="BB728">
        <f t="shared" si="243"/>
        <v>0.24</v>
      </c>
    </row>
    <row r="729" spans="7:54" x14ac:dyDescent="0.2">
      <c r="H729" t="s">
        <v>163</v>
      </c>
      <c r="J729">
        <v>91.25</v>
      </c>
      <c r="K729">
        <v>209</v>
      </c>
      <c r="M729">
        <v>163</v>
      </c>
      <c r="O729">
        <v>0.12</v>
      </c>
      <c r="P729">
        <v>550</v>
      </c>
      <c r="Q729">
        <f t="shared" si="233"/>
        <v>0.29636363636363638</v>
      </c>
      <c r="S729">
        <v>0</v>
      </c>
      <c r="T729">
        <v>0</v>
      </c>
      <c r="U729">
        <v>0</v>
      </c>
      <c r="V729">
        <f>40/K729</f>
        <v>0.19138755980861244</v>
      </c>
      <c r="W729">
        <f>S729*B713+T729*B714</f>
        <v>0</v>
      </c>
      <c r="X729">
        <f t="shared" si="228"/>
        <v>1</v>
      </c>
      <c r="Y729">
        <f t="shared" si="229"/>
        <v>3.5862534600883604</v>
      </c>
      <c r="Z729">
        <f t="shared" si="234"/>
        <v>1.0411488782438461</v>
      </c>
      <c r="AC729">
        <v>7.8E-2</v>
      </c>
      <c r="AE729">
        <v>0.55000000000000004</v>
      </c>
      <c r="AF729">
        <f t="shared" si="230"/>
        <v>1.616683059807833</v>
      </c>
      <c r="AG729">
        <f t="shared" si="235"/>
        <v>0.19</v>
      </c>
      <c r="AH729">
        <f t="shared" si="236"/>
        <v>0.6784</v>
      </c>
      <c r="AI729">
        <f>AI711</f>
        <v>2.3E-2</v>
      </c>
      <c r="AK729">
        <f>AK711</f>
        <v>0.78</v>
      </c>
      <c r="AL729">
        <f>AL711</f>
        <v>99.977000000000004</v>
      </c>
      <c r="AM729">
        <f>AM711</f>
        <v>4.7000000000000002E-3</v>
      </c>
      <c r="AN729">
        <f t="shared" si="237"/>
        <v>3.738408595405209E-5</v>
      </c>
      <c r="AO729">
        <f t="shared" si="238"/>
        <v>9.791794413998244E-4</v>
      </c>
      <c r="AP729">
        <f t="shared" si="239"/>
        <v>1.0165635273538766E-3</v>
      </c>
      <c r="AQ729">
        <f t="shared" si="240"/>
        <v>19.387137171047616</v>
      </c>
      <c r="AS729">
        <f t="shared" si="241"/>
        <v>0.76555023923444976</v>
      </c>
      <c r="AT729">
        <f t="shared" si="231"/>
        <v>2.9689535816527289E-3</v>
      </c>
      <c r="AU729">
        <f t="shared" si="242"/>
        <v>4.4824354966766511E-2</v>
      </c>
      <c r="AV729">
        <f t="shared" si="232"/>
        <v>854.85647965994588</v>
      </c>
      <c r="AY729">
        <f>AY711</f>
        <v>6.0000000000000001E-3</v>
      </c>
      <c r="BB729">
        <f t="shared" si="243"/>
        <v>0.24</v>
      </c>
    </row>
    <row r="730" spans="7:54" x14ac:dyDescent="0.2">
      <c r="H730" t="s">
        <v>164</v>
      </c>
      <c r="J730">
        <v>91.25</v>
      </c>
      <c r="K730">
        <v>202</v>
      </c>
      <c r="M730">
        <v>162</v>
      </c>
      <c r="O730">
        <v>0.06</v>
      </c>
      <c r="P730">
        <v>550</v>
      </c>
      <c r="Q730">
        <f t="shared" si="233"/>
        <v>0.29454545454545455</v>
      </c>
      <c r="S730">
        <v>0</v>
      </c>
      <c r="T730">
        <v>0</v>
      </c>
      <c r="U730">
        <f>5/K730</f>
        <v>2.4752475247524754E-2</v>
      </c>
      <c r="V730">
        <v>0</v>
      </c>
      <c r="W730">
        <f>S730*B713+T730*B714</f>
        <v>0</v>
      </c>
      <c r="X730">
        <f t="shared" si="228"/>
        <v>1</v>
      </c>
      <c r="Y730">
        <f t="shared" si="229"/>
        <v>3.5011858563993599</v>
      </c>
      <c r="Z730">
        <f t="shared" si="234"/>
        <v>1.0205117789967768</v>
      </c>
      <c r="AC730">
        <v>5.8999999999999997E-2</v>
      </c>
      <c r="AE730">
        <v>0.51</v>
      </c>
      <c r="AF730">
        <f t="shared" si="230"/>
        <v>1.7071782235803279</v>
      </c>
      <c r="AG730">
        <f t="shared" si="235"/>
        <v>0.19</v>
      </c>
      <c r="AH730">
        <f t="shared" si="236"/>
        <v>0.6784</v>
      </c>
      <c r="AI730">
        <f>AI711</f>
        <v>2.3E-2</v>
      </c>
      <c r="AK730">
        <f>AK711</f>
        <v>0.78</v>
      </c>
      <c r="AL730">
        <f>AL711</f>
        <v>99.977000000000004</v>
      </c>
      <c r="AM730">
        <f>AM711</f>
        <v>4.7000000000000002E-3</v>
      </c>
      <c r="AN730">
        <f t="shared" si="237"/>
        <v>3.9476690908605826E-5</v>
      </c>
      <c r="AO730">
        <f t="shared" si="238"/>
        <v>1.0339898158727712E-3</v>
      </c>
      <c r="AP730">
        <f t="shared" si="239"/>
        <v>1.073466506781377E-3</v>
      </c>
      <c r="AQ730">
        <f t="shared" si="240"/>
        <v>19.786671386247733</v>
      </c>
      <c r="AS730">
        <f t="shared" si="241"/>
        <v>0.14851485148514854</v>
      </c>
      <c r="AT730">
        <f t="shared" si="231"/>
        <v>1.4886579271254966E-3</v>
      </c>
      <c r="AU730">
        <f>MAX((Y730*AC730/6.25)+(0.032*AS730/6.38)-AT730-((1.1*(10^-4)*(M730^0.75))/6.25), 0)</f>
        <v>3.1508250680641864E-2</v>
      </c>
      <c r="AV730">
        <f t="shared" si="232"/>
        <v>580.7758306709311</v>
      </c>
      <c r="AY730">
        <f>AY711</f>
        <v>6.0000000000000001E-3</v>
      </c>
      <c r="BB730">
        <f t="shared" si="243"/>
        <v>0.24</v>
      </c>
    </row>
    <row r="731" spans="7:54" x14ac:dyDescent="0.2">
      <c r="G731" t="s">
        <v>182</v>
      </c>
      <c r="H731" t="s">
        <v>160</v>
      </c>
      <c r="J731">
        <v>91.25</v>
      </c>
      <c r="K731">
        <v>378</v>
      </c>
      <c r="M731">
        <v>415</v>
      </c>
      <c r="O731">
        <v>-0.05</v>
      </c>
      <c r="P731">
        <v>550</v>
      </c>
      <c r="Q731">
        <f t="shared" si="233"/>
        <v>0.75454545454545452</v>
      </c>
      <c r="S731">
        <v>0.7</v>
      </c>
      <c r="T731">
        <v>0.03</v>
      </c>
      <c r="U731">
        <v>0</v>
      </c>
      <c r="V731">
        <v>0</v>
      </c>
      <c r="W731">
        <f>S731*B713+T731*B714</f>
        <v>4.3199999999999994</v>
      </c>
      <c r="X731">
        <f t="shared" si="228"/>
        <v>1.2130000000000001</v>
      </c>
      <c r="Y731">
        <f t="shared" si="229"/>
        <v>8.2350193596699217</v>
      </c>
      <c r="Z731">
        <f t="shared" si="234"/>
        <v>0.98801923189181418</v>
      </c>
      <c r="AC731">
        <v>7.1999999999999995E-2</v>
      </c>
      <c r="AE731">
        <v>0.53</v>
      </c>
      <c r="AF731">
        <f t="shared" si="230"/>
        <v>3.8638710835571271</v>
      </c>
      <c r="AG731">
        <f t="shared" si="235"/>
        <v>0.19</v>
      </c>
      <c r="AH731">
        <f t="shared" si="236"/>
        <v>0.6784</v>
      </c>
      <c r="AI731">
        <f>AI711</f>
        <v>2.3E-2</v>
      </c>
      <c r="AK731">
        <f>AK711</f>
        <v>0.78</v>
      </c>
      <c r="AL731">
        <f>AL711</f>
        <v>99.977000000000004</v>
      </c>
      <c r="AM731">
        <f>AM711</f>
        <v>4.7000000000000002E-3</v>
      </c>
      <c r="AN731">
        <f t="shared" si="237"/>
        <v>8.9347932377200603E-5</v>
      </c>
      <c r="AO731">
        <f t="shared" si="238"/>
        <v>2.3402379992081557E-3</v>
      </c>
      <c r="AP731">
        <f t="shared" si="239"/>
        <v>2.4295859315853563E-3</v>
      </c>
      <c r="AQ731">
        <f t="shared" si="240"/>
        <v>83.8024927452079</v>
      </c>
      <c r="AS731">
        <f t="shared" si="241"/>
        <v>0</v>
      </c>
      <c r="AT731">
        <f t="shared" si="231"/>
        <v>2.1021736295158213E-2</v>
      </c>
      <c r="AU731">
        <f t="shared" si="242"/>
        <v>7.2227425085226032E-2</v>
      </c>
      <c r="AV731">
        <f t="shared" si="232"/>
        <v>2491.3044597521589</v>
      </c>
      <c r="AY731">
        <f>AY711</f>
        <v>6.0000000000000001E-3</v>
      </c>
      <c r="BB731">
        <f t="shared" si="243"/>
        <v>0.24</v>
      </c>
    </row>
    <row r="732" spans="7:54" x14ac:dyDescent="0.2">
      <c r="G732" t="s">
        <v>196</v>
      </c>
      <c r="H732" t="s">
        <v>162</v>
      </c>
      <c r="J732">
        <v>91.25</v>
      </c>
      <c r="K732">
        <v>485</v>
      </c>
      <c r="M732">
        <v>405</v>
      </c>
      <c r="O732">
        <v>0.31</v>
      </c>
      <c r="P732">
        <v>550</v>
      </c>
      <c r="Q732">
        <f t="shared" si="233"/>
        <v>0.73636363636363633</v>
      </c>
      <c r="S732">
        <v>0.05</v>
      </c>
      <c r="T732">
        <v>0.72</v>
      </c>
      <c r="U732">
        <v>0</v>
      </c>
      <c r="V732">
        <v>0</v>
      </c>
      <c r="W732">
        <f>S732*B713+T732*B714</f>
        <v>3.1799999999999997</v>
      </c>
      <c r="X732">
        <f t="shared" si="228"/>
        <v>1.087</v>
      </c>
      <c r="Y732">
        <f t="shared" si="229"/>
        <v>7.8942344124255737</v>
      </c>
      <c r="Z732">
        <f t="shared" si="234"/>
        <v>1.0766089372199388</v>
      </c>
      <c r="AC732">
        <v>9.9000000000000005E-2</v>
      </c>
      <c r="AE732">
        <v>0.56999999999999995</v>
      </c>
      <c r="AF732">
        <f t="shared" si="230"/>
        <v>3.4134669599328182</v>
      </c>
      <c r="AG732">
        <f t="shared" si="235"/>
        <v>0.19</v>
      </c>
      <c r="AH732">
        <f t="shared" si="236"/>
        <v>0.6784</v>
      </c>
      <c r="AI732">
        <f>AI711</f>
        <v>2.3E-2</v>
      </c>
      <c r="AK732">
        <f>AK711</f>
        <v>0.78</v>
      </c>
      <c r="AL732">
        <f>AL711</f>
        <v>99.977000000000004</v>
      </c>
      <c r="AM732">
        <f>AM711</f>
        <v>4.7000000000000002E-3</v>
      </c>
      <c r="AN732">
        <f t="shared" si="237"/>
        <v>7.8932813365789592E-5</v>
      </c>
      <c r="AO732">
        <f t="shared" si="238"/>
        <v>2.0674408943587661E-3</v>
      </c>
      <c r="AP732">
        <f t="shared" si="239"/>
        <v>2.1463737077245556E-3</v>
      </c>
      <c r="AQ732">
        <f t="shared" si="240"/>
        <v>94.990451402484865</v>
      </c>
      <c r="AS732">
        <f t="shared" si="241"/>
        <v>0</v>
      </c>
      <c r="AT732">
        <f t="shared" si="231"/>
        <v>2.0024304480614517E-2</v>
      </c>
      <c r="AU732">
        <f t="shared" si="242"/>
        <v>0.10343144164758258</v>
      </c>
      <c r="AV732">
        <f t="shared" si="232"/>
        <v>4577.4877394158266</v>
      </c>
      <c r="AY732">
        <f>AY711</f>
        <v>6.0000000000000001E-3</v>
      </c>
      <c r="BB732">
        <f t="shared" si="243"/>
        <v>0.24</v>
      </c>
    </row>
    <row r="733" spans="7:54" x14ac:dyDescent="0.2">
      <c r="H733" t="s">
        <v>163</v>
      </c>
      <c r="J733">
        <v>91.25</v>
      </c>
      <c r="K733">
        <v>478</v>
      </c>
      <c r="M733">
        <v>427</v>
      </c>
      <c r="O733">
        <v>0.08</v>
      </c>
      <c r="P733">
        <v>550</v>
      </c>
      <c r="Q733">
        <f t="shared" si="233"/>
        <v>0.77636363636363637</v>
      </c>
      <c r="S733">
        <v>0</v>
      </c>
      <c r="T733">
        <v>0.02</v>
      </c>
      <c r="U733">
        <v>0</v>
      </c>
      <c r="V733">
        <v>0</v>
      </c>
      <c r="W733">
        <f>S733*B713+T733*B714</f>
        <v>0.08</v>
      </c>
      <c r="X733">
        <f t="shared" si="228"/>
        <v>1.002</v>
      </c>
      <c r="Y733">
        <f t="shared" si="229"/>
        <v>7.1684599892168492</v>
      </c>
      <c r="Z733">
        <f t="shared" si="234"/>
        <v>1.0191127422382371</v>
      </c>
      <c r="AC733">
        <v>7.8E-2</v>
      </c>
      <c r="AE733">
        <v>0.55000000000000004</v>
      </c>
      <c r="AF733">
        <f t="shared" si="230"/>
        <v>3.2315417631389551</v>
      </c>
      <c r="AG733">
        <f t="shared" si="235"/>
        <v>0.19</v>
      </c>
      <c r="AH733">
        <f t="shared" si="236"/>
        <v>0.6784</v>
      </c>
      <c r="AI733">
        <f>AI711</f>
        <v>2.3E-2</v>
      </c>
      <c r="AK733">
        <f>AK711</f>
        <v>0.78</v>
      </c>
      <c r="AL733">
        <f>AL711</f>
        <v>99.977000000000004</v>
      </c>
      <c r="AM733">
        <f>AM711</f>
        <v>4.7000000000000002E-3</v>
      </c>
      <c r="AN733">
        <f t="shared" si="237"/>
        <v>7.472598559401966E-5</v>
      </c>
      <c r="AO733">
        <f t="shared" si="238"/>
        <v>1.95725392141285E-3</v>
      </c>
      <c r="AP733">
        <f t="shared" si="239"/>
        <v>2.0319799070068695E-3</v>
      </c>
      <c r="AQ733">
        <f t="shared" si="240"/>
        <v>88.629883593872137</v>
      </c>
      <c r="AS733">
        <f t="shared" si="241"/>
        <v>0</v>
      </c>
      <c r="AT733">
        <f t="shared" si="231"/>
        <v>1.4139091817861008E-3</v>
      </c>
      <c r="AU733">
        <f t="shared" si="242"/>
        <v>8.6395240354702058E-2</v>
      </c>
      <c r="AV733">
        <f t="shared" si="232"/>
        <v>3768.3443961712169</v>
      </c>
      <c r="AY733">
        <f>AY711</f>
        <v>6.0000000000000001E-3</v>
      </c>
      <c r="BB733">
        <f t="shared" si="243"/>
        <v>0.24</v>
      </c>
    </row>
    <row r="734" spans="7:54" x14ac:dyDescent="0.2">
      <c r="H734" t="s">
        <v>164</v>
      </c>
      <c r="J734">
        <v>91.25</v>
      </c>
      <c r="K734">
        <v>291</v>
      </c>
      <c r="M734">
        <v>420</v>
      </c>
      <c r="O734">
        <v>-7.0000000000000007E-2</v>
      </c>
      <c r="P734">
        <v>550</v>
      </c>
      <c r="Q734">
        <f t="shared" si="233"/>
        <v>0.76363636363636367</v>
      </c>
      <c r="S734">
        <v>0.02</v>
      </c>
      <c r="T734">
        <v>0</v>
      </c>
      <c r="U734">
        <v>0</v>
      </c>
      <c r="V734">
        <v>0</v>
      </c>
      <c r="W734">
        <f>S734*B713+T734*B714</f>
        <v>0.12</v>
      </c>
      <c r="X734">
        <f t="shared" si="228"/>
        <v>1.006</v>
      </c>
      <c r="Y734">
        <f t="shared" si="229"/>
        <v>6.8588028046926004</v>
      </c>
      <c r="Z734">
        <f t="shared" si="234"/>
        <v>0.98332218551651784</v>
      </c>
      <c r="AC734">
        <v>5.8999999999999997E-2</v>
      </c>
      <c r="AE734">
        <v>0.51</v>
      </c>
      <c r="AF734">
        <f t="shared" si="230"/>
        <v>3.344352247568112</v>
      </c>
      <c r="AG734">
        <f t="shared" si="235"/>
        <v>0.19</v>
      </c>
      <c r="AH734">
        <f t="shared" si="236"/>
        <v>0.6784</v>
      </c>
      <c r="AI734">
        <f>AI711</f>
        <v>2.3E-2</v>
      </c>
      <c r="AK734">
        <f>AK711</f>
        <v>0.78</v>
      </c>
      <c r="AL734">
        <f>AL711</f>
        <v>99.977000000000004</v>
      </c>
      <c r="AM734">
        <f>AM711</f>
        <v>4.7000000000000002E-3</v>
      </c>
      <c r="AN734">
        <f t="shared" si="237"/>
        <v>7.7334608738075547E-5</v>
      </c>
      <c r="AO734">
        <f t="shared" si="238"/>
        <v>2.0255800577308209E-3</v>
      </c>
      <c r="AP734">
        <f t="shared" si="239"/>
        <v>2.1029146664688966E-3</v>
      </c>
      <c r="AQ734">
        <f t="shared" si="240"/>
        <v>55.84027032474846</v>
      </c>
      <c r="AS734">
        <f t="shared" si="241"/>
        <v>0</v>
      </c>
      <c r="AT734">
        <f t="shared" si="231"/>
        <v>-2.9477330482532483E-4</v>
      </c>
      <c r="AU734">
        <f t="shared" si="242"/>
        <v>6.3409009204486527E-2</v>
      </c>
      <c r="AV734">
        <f t="shared" si="232"/>
        <v>1683.7469781636341</v>
      </c>
      <c r="AY734">
        <f>AY711</f>
        <v>6.0000000000000001E-3</v>
      </c>
      <c r="BB734">
        <f t="shared" si="243"/>
        <v>0.24</v>
      </c>
    </row>
    <row r="735" spans="7:54" x14ac:dyDescent="0.2">
      <c r="G735" t="s">
        <v>187</v>
      </c>
      <c r="H735" t="s">
        <v>160</v>
      </c>
      <c r="J735">
        <v>91.25</v>
      </c>
      <c r="K735">
        <v>77</v>
      </c>
      <c r="M735">
        <v>272</v>
      </c>
      <c r="O735">
        <v>0.3</v>
      </c>
      <c r="P735">
        <v>660</v>
      </c>
      <c r="Q735">
        <f t="shared" si="233"/>
        <v>0.41212121212121211</v>
      </c>
      <c r="S735">
        <v>0</v>
      </c>
      <c r="T735">
        <v>0</v>
      </c>
      <c r="U735">
        <v>0</v>
      </c>
      <c r="V735">
        <v>0</v>
      </c>
      <c r="W735">
        <f>S735*B713+T735*B714</f>
        <v>0</v>
      </c>
      <c r="X735">
        <f t="shared" si="228"/>
        <v>1</v>
      </c>
      <c r="Y735">
        <f t="shared" si="229"/>
        <v>5.3917843108665613</v>
      </c>
      <c r="Z735">
        <f>Y735 / ((1.185 + 0.00454 * M735 - 0.0000026 * M735 ^ 2) ^ 2 * X735)</f>
        <v>1.0866474435235263</v>
      </c>
      <c r="AC735">
        <v>7.1999999999999995E-2</v>
      </c>
      <c r="AE735">
        <v>0.53</v>
      </c>
      <c r="AF735">
        <f t="shared" si="230"/>
        <v>2.5298251986585907</v>
      </c>
      <c r="AG735">
        <f t="shared" si="235"/>
        <v>0.19</v>
      </c>
      <c r="AH735">
        <f t="shared" si="236"/>
        <v>0.6784</v>
      </c>
      <c r="AI735">
        <f>AI711</f>
        <v>2.3E-2</v>
      </c>
      <c r="AK735">
        <f>AK711</f>
        <v>0.78</v>
      </c>
      <c r="AL735">
        <f>AL711</f>
        <v>99.977000000000004</v>
      </c>
      <c r="AM735">
        <f>AM711</f>
        <v>4.7000000000000002E-3</v>
      </c>
      <c r="AN735">
        <f t="shared" si="237"/>
        <v>5.8499532175849812E-5</v>
      </c>
      <c r="AO735">
        <f t="shared" si="238"/>
        <v>1.5322439422085399E-3</v>
      </c>
      <c r="AP735">
        <f t="shared" si="239"/>
        <v>1.5907434743843898E-3</v>
      </c>
      <c r="AQ735">
        <f t="shared" si="240"/>
        <v>11.176961336893319</v>
      </c>
      <c r="AS735">
        <f t="shared" si="241"/>
        <v>0</v>
      </c>
      <c r="AT735">
        <f t="shared" si="231"/>
        <v>6.3138327145073969E-3</v>
      </c>
      <c r="AU735">
        <f t="shared" si="242"/>
        <v>5.4620724667449529E-2</v>
      </c>
      <c r="AV735">
        <f t="shared" si="232"/>
        <v>383.77886669466727</v>
      </c>
      <c r="AY735">
        <f>AY711</f>
        <v>6.0000000000000001E-3</v>
      </c>
      <c r="BB735">
        <f t="shared" si="243"/>
        <v>0.24</v>
      </c>
    </row>
    <row r="736" spans="7:54" x14ac:dyDescent="0.2">
      <c r="G736" t="s">
        <v>197</v>
      </c>
      <c r="H736" t="s">
        <v>162</v>
      </c>
      <c r="J736">
        <v>91.25</v>
      </c>
      <c r="K736">
        <v>169</v>
      </c>
      <c r="M736">
        <v>218</v>
      </c>
      <c r="O736">
        <v>0.4</v>
      </c>
      <c r="P736">
        <v>660</v>
      </c>
      <c r="Q736">
        <f t="shared" si="233"/>
        <v>0.33030303030303032</v>
      </c>
      <c r="S736">
        <v>0</v>
      </c>
      <c r="T736">
        <v>0</v>
      </c>
      <c r="U736">
        <v>0</v>
      </c>
      <c r="V736">
        <v>0</v>
      </c>
      <c r="W736">
        <f>S736*B713+T736*B714</f>
        <v>0</v>
      </c>
      <c r="X736">
        <f t="shared" si="228"/>
        <v>1</v>
      </c>
      <c r="Y736">
        <f t="shared" si="229"/>
        <v>4.7400152152377588</v>
      </c>
      <c r="Z736">
        <f t="shared" si="234"/>
        <v>1.1266309422479228</v>
      </c>
      <c r="AC736">
        <v>9.9000000000000005E-2</v>
      </c>
      <c r="AE736">
        <v>0.56999999999999995</v>
      </c>
      <c r="AF736">
        <f t="shared" si="230"/>
        <v>2.0495825790688071</v>
      </c>
      <c r="AG736">
        <f t="shared" si="235"/>
        <v>0.19</v>
      </c>
      <c r="AH736">
        <f t="shared" si="236"/>
        <v>0.6784</v>
      </c>
      <c r="AI736">
        <f>AI711</f>
        <v>2.3E-2</v>
      </c>
      <c r="AK736">
        <f>AK711</f>
        <v>0.78</v>
      </c>
      <c r="AL736">
        <f>AL711</f>
        <v>99.977000000000004</v>
      </c>
      <c r="AM736">
        <f>AM711</f>
        <v>4.7000000000000002E-3</v>
      </c>
      <c r="AN736">
        <f t="shared" si="237"/>
        <v>4.7394429502430543E-5</v>
      </c>
      <c r="AO736">
        <f t="shared" si="238"/>
        <v>1.2413744999059725E-3</v>
      </c>
      <c r="AP736">
        <f t="shared" si="239"/>
        <v>1.2887689294084029E-3</v>
      </c>
      <c r="AQ736">
        <f t="shared" si="240"/>
        <v>19.874427852639332</v>
      </c>
      <c r="AS736">
        <f t="shared" si="241"/>
        <v>0</v>
      </c>
      <c r="AT736">
        <f t="shared" si="231"/>
        <v>9.4584950586076508E-3</v>
      </c>
      <c r="AU736">
        <f t="shared" si="242"/>
        <v>6.4624829928419267E-2</v>
      </c>
      <c r="AV736">
        <f t="shared" si="232"/>
        <v>996.59565853363563</v>
      </c>
      <c r="AY736">
        <f>AY711</f>
        <v>6.0000000000000001E-3</v>
      </c>
      <c r="BB736">
        <f t="shared" si="243"/>
        <v>0.24</v>
      </c>
    </row>
    <row r="737" spans="7:54" x14ac:dyDescent="0.2">
      <c r="H737" t="s">
        <v>163</v>
      </c>
      <c r="J737">
        <v>91.25</v>
      </c>
      <c r="K737">
        <v>162</v>
      </c>
      <c r="M737">
        <v>242</v>
      </c>
      <c r="O737">
        <v>0.24</v>
      </c>
      <c r="P737">
        <v>660</v>
      </c>
      <c r="Q737">
        <f t="shared" si="233"/>
        <v>0.36666666666666664</v>
      </c>
      <c r="S737">
        <v>0</v>
      </c>
      <c r="T737">
        <v>0</v>
      </c>
      <c r="U737">
        <v>0</v>
      </c>
      <c r="V737">
        <v>0</v>
      </c>
      <c r="W737">
        <f>S737*B713+T737*B714</f>
        <v>0</v>
      </c>
      <c r="X737">
        <f t="shared" si="228"/>
        <v>1</v>
      </c>
      <c r="Y737">
        <f t="shared" si="229"/>
        <v>4.8709090305849614</v>
      </c>
      <c r="Z737">
        <f t="shared" si="234"/>
        <v>1.0721969157014002</v>
      </c>
      <c r="AC737">
        <v>7.8E-2</v>
      </c>
      <c r="AE737">
        <v>0.55000000000000004</v>
      </c>
      <c r="AF737">
        <f t="shared" si="230"/>
        <v>2.1958057909877002</v>
      </c>
      <c r="AG737">
        <f t="shared" si="235"/>
        <v>0.19</v>
      </c>
      <c r="AH737">
        <f t="shared" si="236"/>
        <v>0.6784</v>
      </c>
      <c r="AI737">
        <f>AI711</f>
        <v>2.3E-2</v>
      </c>
      <c r="AK737">
        <f>AK711</f>
        <v>0.78</v>
      </c>
      <c r="AL737">
        <f>AL711</f>
        <v>99.977000000000004</v>
      </c>
      <c r="AM737">
        <f>AM711</f>
        <v>4.7000000000000002E-3</v>
      </c>
      <c r="AN737">
        <f t="shared" si="237"/>
        <v>5.0775686632386021E-5</v>
      </c>
      <c r="AO737">
        <f t="shared" si="238"/>
        <v>1.3299377851447311E-3</v>
      </c>
      <c r="AP737">
        <f t="shared" si="239"/>
        <v>1.3807134717771171E-3</v>
      </c>
      <c r="AQ737">
        <f t="shared" si="240"/>
        <v>20.410396896545233</v>
      </c>
      <c r="AS737">
        <f t="shared" si="241"/>
        <v>0</v>
      </c>
      <c r="AT737">
        <f t="shared" si="231"/>
        <v>5.4072281152527171E-3</v>
      </c>
      <c r="AU737">
        <f t="shared" si="242"/>
        <v>5.4301839832748E-2</v>
      </c>
      <c r="AV737">
        <f t="shared" si="232"/>
        <v>802.71694732759727</v>
      </c>
      <c r="AY737">
        <f>AY711</f>
        <v>6.0000000000000001E-3</v>
      </c>
      <c r="BB737">
        <f t="shared" si="243"/>
        <v>0.24</v>
      </c>
    </row>
    <row r="738" spans="7:54" x14ac:dyDescent="0.2">
      <c r="H738" t="s">
        <v>164</v>
      </c>
      <c r="J738">
        <v>91.25</v>
      </c>
      <c r="K738">
        <v>143</v>
      </c>
      <c r="M738">
        <v>261</v>
      </c>
      <c r="O738">
        <v>0.16</v>
      </c>
      <c r="P738">
        <v>660</v>
      </c>
      <c r="Q738">
        <f t="shared" si="233"/>
        <v>0.39545454545454545</v>
      </c>
      <c r="S738">
        <v>0</v>
      </c>
      <c r="T738">
        <v>0</v>
      </c>
      <c r="U738">
        <v>0</v>
      </c>
      <c r="V738">
        <v>0</v>
      </c>
      <c r="W738">
        <f>S738*B713+T738*B714</f>
        <v>0</v>
      </c>
      <c r="X738">
        <f t="shared" si="228"/>
        <v>1</v>
      </c>
      <c r="Y738">
        <f t="shared" si="229"/>
        <v>5.03206019520516</v>
      </c>
      <c r="Z738">
        <f t="shared" si="234"/>
        <v>1.0464963584978249</v>
      </c>
      <c r="AC738">
        <v>5.8999999999999997E-2</v>
      </c>
      <c r="AE738">
        <v>0.51</v>
      </c>
      <c r="AF738">
        <f t="shared" si="230"/>
        <v>2.4536325511820363</v>
      </c>
      <c r="AG738">
        <f t="shared" si="235"/>
        <v>0.19</v>
      </c>
      <c r="AH738">
        <f t="shared" si="236"/>
        <v>0.6784</v>
      </c>
      <c r="AI738">
        <f>AI711</f>
        <v>2.3E-2</v>
      </c>
      <c r="AK738">
        <f>AK711</f>
        <v>0.78</v>
      </c>
      <c r="AL738">
        <f>AL711</f>
        <v>99.977000000000004</v>
      </c>
      <c r="AM738">
        <f>AM711</f>
        <v>4.7000000000000002E-3</v>
      </c>
      <c r="AN738">
        <f t="shared" si="237"/>
        <v>5.6737657784298455E-5</v>
      </c>
      <c r="AO738">
        <f t="shared" si="238"/>
        <v>1.4860961994322072E-3</v>
      </c>
      <c r="AP738">
        <f t="shared" si="239"/>
        <v>1.5428338572165056E-3</v>
      </c>
      <c r="AQ738">
        <f t="shared" si="240"/>
        <v>20.132053294353877</v>
      </c>
      <c r="AS738">
        <f t="shared" si="241"/>
        <v>0</v>
      </c>
      <c r="AT738">
        <f t="shared" si="231"/>
        <v>3.4579165790969875E-3</v>
      </c>
      <c r="AU738">
        <f t="shared" si="242"/>
        <v>4.2901871622573806E-2</v>
      </c>
      <c r="AV738">
        <f t="shared" si="232"/>
        <v>559.81579733505998</v>
      </c>
      <c r="AY738">
        <f>AY711</f>
        <v>6.0000000000000001E-3</v>
      </c>
      <c r="BB738">
        <f t="shared" si="243"/>
        <v>0.24</v>
      </c>
    </row>
    <row r="739" spans="7:54" x14ac:dyDescent="0.2">
      <c r="G739" t="s">
        <v>188</v>
      </c>
      <c r="H739" t="s">
        <v>160</v>
      </c>
      <c r="J739">
        <v>91.25</v>
      </c>
      <c r="K739">
        <v>94</v>
      </c>
      <c r="M739">
        <v>392</v>
      </c>
      <c r="O739">
        <v>0.56999999999999995</v>
      </c>
      <c r="P739">
        <v>660</v>
      </c>
      <c r="Q739">
        <f t="shared" si="233"/>
        <v>0.59393939393939399</v>
      </c>
      <c r="S739">
        <v>0</v>
      </c>
      <c r="T739">
        <v>0</v>
      </c>
      <c r="U739">
        <v>0</v>
      </c>
      <c r="V739">
        <v>0</v>
      </c>
      <c r="W739">
        <f>S739*B713+T739*B714</f>
        <v>0</v>
      </c>
      <c r="X739">
        <f t="shared" si="228"/>
        <v>1</v>
      </c>
      <c r="Y739">
        <f t="shared" si="229"/>
        <v>7.5333978518529587</v>
      </c>
      <c r="Z739">
        <f t="shared" si="234"/>
        <v>1.1448910300751842</v>
      </c>
      <c r="AC739">
        <v>7.1999999999999995E-2</v>
      </c>
      <c r="AE739">
        <v>0.53</v>
      </c>
      <c r="AF739">
        <f t="shared" si="230"/>
        <v>3.5346702720894081</v>
      </c>
      <c r="AG739">
        <f t="shared" si="235"/>
        <v>0.19</v>
      </c>
      <c r="AH739">
        <f t="shared" si="236"/>
        <v>0.6784</v>
      </c>
      <c r="AI739">
        <f>AI711</f>
        <v>2.3E-2</v>
      </c>
      <c r="AK739">
        <f>AK711</f>
        <v>0.78</v>
      </c>
      <c r="AL739">
        <f>AL711</f>
        <v>99.977000000000004</v>
      </c>
      <c r="AM739">
        <f>AM711</f>
        <v>4.7000000000000002E-3</v>
      </c>
      <c r="AN739">
        <f t="shared" si="237"/>
        <v>8.1735511774787807E-5</v>
      </c>
      <c r="AO739">
        <f t="shared" si="238"/>
        <v>2.1408503302858088E-3</v>
      </c>
      <c r="AP739">
        <f t="shared" si="239"/>
        <v>2.2225858420605966E-3</v>
      </c>
      <c r="AQ739">
        <f t="shared" si="240"/>
        <v>19.064230060274767</v>
      </c>
      <c r="AS739">
        <f t="shared" si="241"/>
        <v>0</v>
      </c>
      <c r="AT739">
        <f t="shared" si="231"/>
        <v>8.9734639888829626E-3</v>
      </c>
      <c r="AU739">
        <f t="shared" si="242"/>
        <v>7.6260759815882484E-2</v>
      </c>
      <c r="AV739">
        <f t="shared" si="232"/>
        <v>654.12666732073194</v>
      </c>
      <c r="AY739">
        <f>AY711</f>
        <v>6.0000000000000001E-3</v>
      </c>
      <c r="BB739">
        <f t="shared" si="243"/>
        <v>0.24</v>
      </c>
    </row>
    <row r="740" spans="7:54" x14ac:dyDescent="0.2">
      <c r="G740" t="s">
        <v>198</v>
      </c>
      <c r="H740" t="s">
        <v>162</v>
      </c>
      <c r="J740">
        <v>91.25</v>
      </c>
      <c r="K740">
        <v>162</v>
      </c>
      <c r="M740">
        <v>315</v>
      </c>
      <c r="O740">
        <v>0.26</v>
      </c>
      <c r="P740">
        <v>660</v>
      </c>
      <c r="Q740">
        <f t="shared" si="233"/>
        <v>0.47727272727272729</v>
      </c>
      <c r="S740">
        <v>0</v>
      </c>
      <c r="T740">
        <v>0</v>
      </c>
      <c r="U740">
        <v>0</v>
      </c>
      <c r="V740">
        <v>0</v>
      </c>
      <c r="W740">
        <f>S740*B713+T740*B714</f>
        <v>0</v>
      </c>
      <c r="X740">
        <f t="shared" si="228"/>
        <v>1</v>
      </c>
      <c r="Y740">
        <f t="shared" si="229"/>
        <v>5.9487941702249998</v>
      </c>
      <c r="Z740">
        <f t="shared" si="234"/>
        <v>1.0706990055038093</v>
      </c>
      <c r="AC740">
        <v>9.9000000000000005E-2</v>
      </c>
      <c r="AE740">
        <v>0.56999999999999995</v>
      </c>
      <c r="AF740">
        <f t="shared" si="230"/>
        <v>2.5722585992052904</v>
      </c>
      <c r="AG740">
        <f t="shared" si="235"/>
        <v>0.19</v>
      </c>
      <c r="AH740">
        <f t="shared" si="236"/>
        <v>0.6784</v>
      </c>
      <c r="AI740">
        <f>AI711</f>
        <v>2.3E-2</v>
      </c>
      <c r="AK740">
        <f>AK711</f>
        <v>0.78</v>
      </c>
      <c r="AL740">
        <f>AL711</f>
        <v>99.977000000000004</v>
      </c>
      <c r="AM740">
        <f>AM711</f>
        <v>4.7000000000000002E-3</v>
      </c>
      <c r="AN740">
        <f t="shared" si="237"/>
        <v>5.9480759685927825E-5</v>
      </c>
      <c r="AO740">
        <f t="shared" si="238"/>
        <v>1.5579446589890763E-3</v>
      </c>
      <c r="AP740">
        <f t="shared" si="239"/>
        <v>1.6174254186750042E-3</v>
      </c>
      <c r="AQ740">
        <f t="shared" si="240"/>
        <v>23.909591251563253</v>
      </c>
      <c r="AS740">
        <f>U740*$B$713+V740*$B$714</f>
        <v>0</v>
      </c>
      <c r="AT740">
        <f t="shared" si="231"/>
        <v>4.9343283757697746E-3</v>
      </c>
      <c r="AU740">
        <f>MAX((Y740*AC740/6.25)+(0.032*AS740/6.38)-AT740-((1.1*(10^-4)*(M740^0.75))/6.25), 0)</f>
        <v>8.7978602509853746E-2</v>
      </c>
      <c r="AV740">
        <f t="shared" si="232"/>
        <v>1300.543691601913</v>
      </c>
      <c r="AY740">
        <f>AY711</f>
        <v>6.0000000000000001E-3</v>
      </c>
      <c r="BB740">
        <f t="shared" si="243"/>
        <v>0.24</v>
      </c>
    </row>
    <row r="741" spans="7:54" x14ac:dyDescent="0.2">
      <c r="H741" t="s">
        <v>163</v>
      </c>
      <c r="J741">
        <v>91.25</v>
      </c>
      <c r="K741">
        <v>146</v>
      </c>
      <c r="M741">
        <v>320</v>
      </c>
      <c r="O741">
        <v>0.15</v>
      </c>
      <c r="P741">
        <v>660</v>
      </c>
      <c r="Q741">
        <f t="shared" si="233"/>
        <v>0.48484848484848486</v>
      </c>
      <c r="S741">
        <v>0</v>
      </c>
      <c r="T741">
        <v>0</v>
      </c>
      <c r="U741">
        <v>0</v>
      </c>
      <c r="V741">
        <v>0</v>
      </c>
      <c r="W741">
        <f>S741*B713+T741*B714</f>
        <v>0</v>
      </c>
      <c r="X741">
        <f t="shared" si="228"/>
        <v>1</v>
      </c>
      <c r="Y741">
        <f t="shared" si="229"/>
        <v>5.8506418160999987</v>
      </c>
      <c r="Z741">
        <f t="shared" si="234"/>
        <v>1.0402441388135486</v>
      </c>
      <c r="AC741">
        <v>7.8E-2</v>
      </c>
      <c r="AE741">
        <v>0.55000000000000004</v>
      </c>
      <c r="AF741">
        <f t="shared" si="230"/>
        <v>2.6374693306978796</v>
      </c>
      <c r="AG741">
        <f t="shared" si="235"/>
        <v>0.19</v>
      </c>
      <c r="AH741">
        <f t="shared" si="236"/>
        <v>0.6784</v>
      </c>
      <c r="AI741">
        <f>AI711</f>
        <v>2.3E-2</v>
      </c>
      <c r="AK741">
        <f>AK711</f>
        <v>0.78</v>
      </c>
      <c r="AL741">
        <f>AL711</f>
        <v>99.977000000000004</v>
      </c>
      <c r="AM741">
        <f>AM711</f>
        <v>4.7000000000000002E-3</v>
      </c>
      <c r="AN741">
        <f t="shared" si="237"/>
        <v>6.098868888482432E-5</v>
      </c>
      <c r="AO741">
        <f t="shared" si="238"/>
        <v>1.597440964247435E-3</v>
      </c>
      <c r="AP741">
        <f t="shared" si="239"/>
        <v>1.6584296531322593E-3</v>
      </c>
      <c r="AQ741">
        <f t="shared" si="240"/>
        <v>22.094429053854526</v>
      </c>
      <c r="AS741">
        <f t="shared" si="241"/>
        <v>0</v>
      </c>
      <c r="AT741">
        <f t="shared" si="231"/>
        <v>2.813860243193445E-3</v>
      </c>
      <c r="AU741">
        <f t="shared" si="242"/>
        <v>6.8870545436258077E-2</v>
      </c>
      <c r="AV741">
        <f t="shared" si="232"/>
        <v>917.52784157454823</v>
      </c>
      <c r="AY741">
        <f>AY711</f>
        <v>6.0000000000000001E-3</v>
      </c>
      <c r="BB741">
        <f t="shared" si="243"/>
        <v>0.24</v>
      </c>
    </row>
    <row r="742" spans="7:54" x14ac:dyDescent="0.2">
      <c r="H742" t="s">
        <v>164</v>
      </c>
      <c r="J742">
        <v>91.25</v>
      </c>
      <c r="K742">
        <v>76</v>
      </c>
      <c r="M742">
        <v>342</v>
      </c>
      <c r="O742">
        <v>0.4</v>
      </c>
      <c r="P742">
        <v>660</v>
      </c>
      <c r="Q742">
        <f t="shared" si="233"/>
        <v>0.51818181818181819</v>
      </c>
      <c r="S742">
        <v>0</v>
      </c>
      <c r="T742">
        <v>0</v>
      </c>
      <c r="U742">
        <v>0</v>
      </c>
      <c r="V742">
        <v>0</v>
      </c>
      <c r="W742">
        <f>S742*B713+T742*B714</f>
        <v>0</v>
      </c>
      <c r="X742">
        <f t="shared" si="228"/>
        <v>1</v>
      </c>
      <c r="Y742">
        <f t="shared" si="229"/>
        <v>6.551417013816959</v>
      </c>
      <c r="Z742">
        <f t="shared" si="234"/>
        <v>1.1062321433012758</v>
      </c>
      <c r="AC742">
        <v>5.8999999999999997E-2</v>
      </c>
      <c r="AE742">
        <v>0.51</v>
      </c>
      <c r="AF742">
        <f t="shared" si="230"/>
        <v>3.1944709359371495</v>
      </c>
      <c r="AG742">
        <f t="shared" si="235"/>
        <v>0.19</v>
      </c>
      <c r="AH742">
        <f t="shared" si="236"/>
        <v>0.6784</v>
      </c>
      <c r="AI742">
        <f>AI711</f>
        <v>2.3E-2</v>
      </c>
      <c r="AK742">
        <f>AK711</f>
        <v>0.78</v>
      </c>
      <c r="AL742">
        <f>AL711</f>
        <v>99.977000000000004</v>
      </c>
      <c r="AM742">
        <f>AM711</f>
        <v>4.7000000000000002E-3</v>
      </c>
      <c r="AN742">
        <f t="shared" si="237"/>
        <v>7.3868761921084742E-5</v>
      </c>
      <c r="AO742">
        <f t="shared" si="238"/>
        <v>1.934801164422863E-3</v>
      </c>
      <c r="AP742">
        <f t="shared" si="239"/>
        <v>2.0086699263439475E-3</v>
      </c>
      <c r="AQ742">
        <f t="shared" si="240"/>
        <v>13.930125939195277</v>
      </c>
      <c r="AS742">
        <f t="shared" si="241"/>
        <v>0</v>
      </c>
      <c r="AT742">
        <f t="shared" si="231"/>
        <v>7.0968111049522185E-3</v>
      </c>
      <c r="AU742">
        <f t="shared" si="242"/>
        <v>5.3348874256496655E-2</v>
      </c>
      <c r="AV742">
        <f t="shared" si="232"/>
        <v>369.97444296880434</v>
      </c>
      <c r="AY742">
        <f>AY711</f>
        <v>6.0000000000000001E-3</v>
      </c>
      <c r="BB742">
        <f t="shared" si="243"/>
        <v>0.24</v>
      </c>
    </row>
    <row r="743" spans="7:54" x14ac:dyDescent="0.2">
      <c r="G743" t="s">
        <v>186</v>
      </c>
      <c r="H743" t="s">
        <v>160</v>
      </c>
      <c r="J743">
        <v>91.25</v>
      </c>
      <c r="K743">
        <v>63</v>
      </c>
      <c r="M743">
        <v>170</v>
      </c>
      <c r="O743">
        <v>0.34</v>
      </c>
      <c r="P743">
        <v>660</v>
      </c>
      <c r="Q743">
        <f t="shared" si="233"/>
        <v>0.25757575757575757</v>
      </c>
      <c r="S743">
        <v>0</v>
      </c>
      <c r="T743">
        <v>0</v>
      </c>
      <c r="U743">
        <f>10/K743</f>
        <v>0.15873015873015872</v>
      </c>
      <c r="V743">
        <f>5/K743</f>
        <v>7.9365079365079361E-2</v>
      </c>
      <c r="W743">
        <f>S743*B713+T743*B714</f>
        <v>0</v>
      </c>
      <c r="X743">
        <f t="shared" si="228"/>
        <v>1</v>
      </c>
      <c r="Y743">
        <f t="shared" si="229"/>
        <v>3.9551663375999992</v>
      </c>
      <c r="Z743">
        <f t="shared" si="234"/>
        <v>1.1170752948808254</v>
      </c>
      <c r="AC743">
        <v>7.1999999999999995E-2</v>
      </c>
      <c r="AE743">
        <v>0.53</v>
      </c>
      <c r="AF743">
        <f t="shared" si="230"/>
        <v>1.8557640456019198</v>
      </c>
      <c r="AG743">
        <f t="shared" si="235"/>
        <v>0.19</v>
      </c>
      <c r="AH743">
        <f t="shared" si="236"/>
        <v>0.6784</v>
      </c>
      <c r="AI743">
        <f>AI711</f>
        <v>2.3E-2</v>
      </c>
      <c r="AK743">
        <f>AK711</f>
        <v>0.78</v>
      </c>
      <c r="AL743">
        <f>AL711</f>
        <v>99.977000000000004</v>
      </c>
      <c r="AM743">
        <f>AM711</f>
        <v>4.7000000000000002E-3</v>
      </c>
      <c r="AN743">
        <f t="shared" si="237"/>
        <v>4.2912580898489757E-5</v>
      </c>
      <c r="AO743">
        <f t="shared" si="238"/>
        <v>1.1239840675749757E-3</v>
      </c>
      <c r="AP743">
        <f t="shared" si="239"/>
        <v>1.1668966484734654E-3</v>
      </c>
      <c r="AQ743">
        <f t="shared" si="240"/>
        <v>6.7081971079118334</v>
      </c>
      <c r="AS743">
        <f t="shared" si="241"/>
        <v>1.2698412698412698</v>
      </c>
      <c r="AT743">
        <f t="shared" si="231"/>
        <v>8.7668022143142371E-3</v>
      </c>
      <c r="AU743">
        <f t="shared" si="242"/>
        <v>4.2337215360304131E-2</v>
      </c>
      <c r="AV743">
        <f t="shared" si="232"/>
        <v>243.38606680254838</v>
      </c>
      <c r="AY743">
        <f>AY711</f>
        <v>6.0000000000000001E-3</v>
      </c>
      <c r="BB743">
        <f t="shared" si="243"/>
        <v>0.24</v>
      </c>
    </row>
    <row r="744" spans="7:54" x14ac:dyDescent="0.2">
      <c r="G744">
        <v>6</v>
      </c>
      <c r="H744" t="s">
        <v>162</v>
      </c>
      <c r="J744">
        <v>91.25</v>
      </c>
      <c r="K744">
        <v>140</v>
      </c>
      <c r="M744">
        <v>133</v>
      </c>
      <c r="O744">
        <v>0.14000000000000001</v>
      </c>
      <c r="P744">
        <v>660</v>
      </c>
      <c r="Q744">
        <f t="shared" si="233"/>
        <v>0.20151515151515151</v>
      </c>
      <c r="S744">
        <v>0</v>
      </c>
      <c r="T744">
        <v>0</v>
      </c>
      <c r="U744">
        <f>25/K744</f>
        <v>0.17857142857142858</v>
      </c>
      <c r="V744">
        <f>10/K744</f>
        <v>7.1428571428571425E-2</v>
      </c>
      <c r="W744">
        <f>S744*B713+T744*B714</f>
        <v>0</v>
      </c>
      <c r="X744">
        <f t="shared" si="228"/>
        <v>1</v>
      </c>
      <c r="Y744">
        <f t="shared" si="229"/>
        <v>3.1931138214979606</v>
      </c>
      <c r="Z744">
        <f t="shared" si="234"/>
        <v>1.0512476630606109</v>
      </c>
      <c r="AC744">
        <v>9.9000000000000005E-2</v>
      </c>
      <c r="AE744">
        <v>0.56999999999999995</v>
      </c>
      <c r="AF744">
        <f t="shared" si="230"/>
        <v>1.3807024164157184</v>
      </c>
      <c r="AG744">
        <f t="shared" si="235"/>
        <v>0.19</v>
      </c>
      <c r="AH744">
        <f t="shared" si="236"/>
        <v>0.6784</v>
      </c>
      <c r="AI744">
        <f>AI711</f>
        <v>2.3E-2</v>
      </c>
      <c r="AK744">
        <f>AK711</f>
        <v>0.78</v>
      </c>
      <c r="AL744">
        <f>AL711</f>
        <v>99.977000000000004</v>
      </c>
      <c r="AM744">
        <f>AM711</f>
        <v>4.7000000000000002E-3</v>
      </c>
      <c r="AN744">
        <f t="shared" si="237"/>
        <v>3.1927283148737896E-5</v>
      </c>
      <c r="AO744">
        <f t="shared" si="238"/>
        <v>8.3625260538452788E-4</v>
      </c>
      <c r="AP744">
        <f t="shared" si="239"/>
        <v>8.681798885332658E-4</v>
      </c>
      <c r="AQ744">
        <f t="shared" si="240"/>
        <v>11.09099807601247</v>
      </c>
      <c r="AS744">
        <f t="shared" si="241"/>
        <v>1.3571428571428572</v>
      </c>
      <c r="AT744">
        <f t="shared" si="231"/>
        <v>3.8163402673443737E-3</v>
      </c>
      <c r="AU744">
        <f t="shared" si="242"/>
        <v>5.2880279702098611E-2</v>
      </c>
      <c r="AV744">
        <f t="shared" si="232"/>
        <v>675.54557319430978</v>
      </c>
      <c r="AY744">
        <f>AY711</f>
        <v>6.0000000000000001E-3</v>
      </c>
      <c r="BB744">
        <f t="shared" si="243"/>
        <v>0.24</v>
      </c>
    </row>
    <row r="745" spans="7:54" x14ac:dyDescent="0.2">
      <c r="H745" t="s">
        <v>163</v>
      </c>
      <c r="J745">
        <v>91.25</v>
      </c>
      <c r="K745">
        <v>127</v>
      </c>
      <c r="M745">
        <v>146</v>
      </c>
      <c r="O745">
        <v>0.13</v>
      </c>
      <c r="P745">
        <v>660</v>
      </c>
      <c r="Q745">
        <f t="shared" si="233"/>
        <v>0.22121212121212122</v>
      </c>
      <c r="S745">
        <v>0</v>
      </c>
      <c r="T745">
        <v>0</v>
      </c>
      <c r="U745">
        <v>0</v>
      </c>
      <c r="V745">
        <f>25/K745</f>
        <v>0.19685039370078741</v>
      </c>
      <c r="W745">
        <f>S745*B713+T745*B714</f>
        <v>0</v>
      </c>
      <c r="X745">
        <f t="shared" si="228"/>
        <v>1</v>
      </c>
      <c r="Y745">
        <f t="shared" si="229"/>
        <v>3.3612396901185604</v>
      </c>
      <c r="Z745">
        <f t="shared" si="234"/>
        <v>1.0462144067754739</v>
      </c>
      <c r="AC745">
        <v>7.8E-2</v>
      </c>
      <c r="AE745">
        <v>0.55000000000000004</v>
      </c>
      <c r="AF745">
        <f t="shared" si="230"/>
        <v>1.515246852305447</v>
      </c>
      <c r="AG745">
        <f t="shared" si="235"/>
        <v>0.19</v>
      </c>
      <c r="AH745">
        <f t="shared" si="236"/>
        <v>0.6784</v>
      </c>
      <c r="AI745">
        <f>AI711</f>
        <v>2.3E-2</v>
      </c>
      <c r="AK745">
        <f>AK711</f>
        <v>0.78</v>
      </c>
      <c r="AL745">
        <f>AL711</f>
        <v>99.977000000000004</v>
      </c>
      <c r="AM745">
        <f>AM711</f>
        <v>4.7000000000000002E-3</v>
      </c>
      <c r="AN745">
        <f t="shared" si="237"/>
        <v>3.5038480934492466E-5</v>
      </c>
      <c r="AO745">
        <f t="shared" si="238"/>
        <v>9.1774238458319053E-4</v>
      </c>
      <c r="AP745">
        <f t="shared" si="239"/>
        <v>9.5278086551768299E-4</v>
      </c>
      <c r="AQ745">
        <f t="shared" si="240"/>
        <v>11.041539255268049</v>
      </c>
      <c r="AS745">
        <f t="shared" si="241"/>
        <v>0.78740157480314965</v>
      </c>
      <c r="AT745">
        <f t="shared" si="231"/>
        <v>3.4827820882076836E-3</v>
      </c>
      <c r="AU745">
        <f t="shared" si="242"/>
        <v>4.1675612706259253E-2</v>
      </c>
      <c r="AV745">
        <f t="shared" si="232"/>
        <v>482.96825674966186</v>
      </c>
      <c r="AY745">
        <f>AY711</f>
        <v>6.0000000000000001E-3</v>
      </c>
      <c r="BB745">
        <f t="shared" si="243"/>
        <v>0.24</v>
      </c>
    </row>
    <row r="746" spans="7:54" x14ac:dyDescent="0.2">
      <c r="H746" t="s">
        <v>164</v>
      </c>
      <c r="J746">
        <v>91.25</v>
      </c>
      <c r="K746">
        <v>138</v>
      </c>
      <c r="M746">
        <v>157</v>
      </c>
      <c r="O746">
        <v>0.13</v>
      </c>
      <c r="P746">
        <v>660</v>
      </c>
      <c r="Q746">
        <f t="shared" si="233"/>
        <v>0.23787878787878788</v>
      </c>
      <c r="S746">
        <v>0</v>
      </c>
      <c r="T746">
        <v>0</v>
      </c>
      <c r="U746">
        <v>0</v>
      </c>
      <c r="V746">
        <v>0</v>
      </c>
      <c r="W746">
        <f>S746*B713+T746*B714</f>
        <v>0</v>
      </c>
      <c r="X746">
        <f t="shared" si="228"/>
        <v>1</v>
      </c>
      <c r="Y746">
        <f t="shared" si="229"/>
        <v>3.5142848777347604</v>
      </c>
      <c r="Z746">
        <f t="shared" si="234"/>
        <v>1.0451626924181112</v>
      </c>
      <c r="AC746">
        <v>5.8999999999999997E-2</v>
      </c>
      <c r="AE746">
        <v>0.51</v>
      </c>
      <c r="AF746">
        <f t="shared" si="230"/>
        <v>1.713565306383469</v>
      </c>
      <c r="AG746">
        <f t="shared" si="235"/>
        <v>0.19</v>
      </c>
      <c r="AH746">
        <f t="shared" si="236"/>
        <v>0.6784</v>
      </c>
      <c r="AI746">
        <f>AI711</f>
        <v>2.3E-2</v>
      </c>
      <c r="AK746">
        <f>AK711</f>
        <v>0.78</v>
      </c>
      <c r="AL746">
        <f>AL711</f>
        <v>99.977000000000004</v>
      </c>
      <c r="AM746">
        <f>AM711</f>
        <v>4.7000000000000002E-3</v>
      </c>
      <c r="AN746">
        <f t="shared" si="237"/>
        <v>3.9624385443449699E-5</v>
      </c>
      <c r="AO746">
        <f t="shared" si="238"/>
        <v>1.0378582922159934E-3</v>
      </c>
      <c r="AP746">
        <f t="shared" si="239"/>
        <v>1.0774826776594431E-3</v>
      </c>
      <c r="AQ746">
        <f t="shared" si="240"/>
        <v>13.568200618426539</v>
      </c>
      <c r="AS746">
        <f t="shared" si="241"/>
        <v>0</v>
      </c>
      <c r="AT746">
        <f t="shared" si="231"/>
        <v>3.4279447062551842E-3</v>
      </c>
      <c r="AU746">
        <f t="shared" si="242"/>
        <v>2.8966288614136835E-2</v>
      </c>
      <c r="AV746">
        <f t="shared" si="232"/>
        <v>364.75798937351806</v>
      </c>
      <c r="AY746">
        <f>AY711</f>
        <v>6.0000000000000001E-3</v>
      </c>
      <c r="BB746">
        <f t="shared" si="243"/>
        <v>0.24</v>
      </c>
    </row>
    <row r="747" spans="7:54" x14ac:dyDescent="0.2">
      <c r="G747" t="s">
        <v>189</v>
      </c>
      <c r="H747" t="s">
        <v>160</v>
      </c>
      <c r="J747">
        <v>91.25</v>
      </c>
      <c r="K747">
        <v>20</v>
      </c>
      <c r="M747">
        <v>531</v>
      </c>
      <c r="O747">
        <v>0.52</v>
      </c>
      <c r="P747">
        <v>660</v>
      </c>
      <c r="Q747">
        <f t="shared" si="233"/>
        <v>0.80454545454545456</v>
      </c>
      <c r="S747">
        <v>0</v>
      </c>
      <c r="T747">
        <v>0</v>
      </c>
      <c r="U747">
        <v>0</v>
      </c>
      <c r="V747">
        <v>0</v>
      </c>
      <c r="W747">
        <f>S747*B713+T747*B714</f>
        <v>0</v>
      </c>
      <c r="X747">
        <f t="shared" si="228"/>
        <v>1</v>
      </c>
      <c r="Y747">
        <f t="shared" si="229"/>
        <v>9.1593475476339599</v>
      </c>
      <c r="Z747">
        <f t="shared" si="234"/>
        <v>1.1177138765942829</v>
      </c>
      <c r="AC747">
        <v>7.1999999999999995E-2</v>
      </c>
      <c r="AE747">
        <v>0.53</v>
      </c>
      <c r="AF747">
        <f t="shared" si="230"/>
        <v>4.297565869349854</v>
      </c>
      <c r="AG747">
        <f t="shared" si="235"/>
        <v>0.19</v>
      </c>
      <c r="AH747">
        <f t="shared" si="236"/>
        <v>0.6784</v>
      </c>
      <c r="AI747">
        <f>AI711</f>
        <v>2.3E-2</v>
      </c>
      <c r="AK747">
        <f>AK711</f>
        <v>0.78</v>
      </c>
      <c r="AL747">
        <f>AL711</f>
        <v>99.977000000000004</v>
      </c>
      <c r="AM747">
        <f>AM711</f>
        <v>4.7000000000000002E-3</v>
      </c>
      <c r="AN747">
        <f t="shared" si="237"/>
        <v>9.9376665623051935E-5</v>
      </c>
      <c r="AO747">
        <f t="shared" si="238"/>
        <v>2.6029147282765086E-3</v>
      </c>
      <c r="AP747">
        <f t="shared" si="239"/>
        <v>2.7022913938995604E-3</v>
      </c>
      <c r="AQ747">
        <f t="shared" si="240"/>
        <v>4.9316817938666979</v>
      </c>
      <c r="AS747">
        <f t="shared" si="241"/>
        <v>0</v>
      </c>
      <c r="AT747">
        <f t="shared" si="231"/>
        <v>6.4242503670129715E-3</v>
      </c>
      <c r="AU747">
        <f t="shared" si="242"/>
        <v>9.7144578597975789E-2</v>
      </c>
      <c r="AV747">
        <f t="shared" si="232"/>
        <v>177.2888559413058</v>
      </c>
      <c r="AY747">
        <f>AY711</f>
        <v>6.0000000000000001E-3</v>
      </c>
      <c r="BB747">
        <f t="shared" si="243"/>
        <v>0.24</v>
      </c>
    </row>
    <row r="748" spans="7:54" x14ac:dyDescent="0.2">
      <c r="G748" t="s">
        <v>199</v>
      </c>
      <c r="H748" t="s">
        <v>162</v>
      </c>
      <c r="J748">
        <v>91.25</v>
      </c>
      <c r="K748">
        <v>79</v>
      </c>
      <c r="M748">
        <v>445</v>
      </c>
      <c r="O748">
        <v>0.43</v>
      </c>
      <c r="P748">
        <v>660</v>
      </c>
      <c r="Q748">
        <f t="shared" si="233"/>
        <v>0.6742424242424242</v>
      </c>
      <c r="S748">
        <v>0</v>
      </c>
      <c r="T748">
        <v>0</v>
      </c>
      <c r="U748">
        <v>0</v>
      </c>
      <c r="V748">
        <v>0</v>
      </c>
      <c r="W748">
        <f>S748*B713+T748*B714</f>
        <v>0</v>
      </c>
      <c r="X748">
        <f t="shared" si="228"/>
        <v>1</v>
      </c>
      <c r="Y748">
        <f t="shared" si="229"/>
        <v>7.9856260332249995</v>
      </c>
      <c r="Z748">
        <f t="shared" si="234"/>
        <v>1.1032246580064098</v>
      </c>
      <c r="AC748">
        <v>9.9000000000000005E-2</v>
      </c>
      <c r="AE748">
        <v>0.56999999999999995</v>
      </c>
      <c r="AF748">
        <f t="shared" si="230"/>
        <v>3.4529846967664901</v>
      </c>
      <c r="AG748">
        <f t="shared" si="235"/>
        <v>0.19</v>
      </c>
      <c r="AH748">
        <f t="shared" si="236"/>
        <v>0.6784</v>
      </c>
      <c r="AI748">
        <f>AI711</f>
        <v>2.3E-2</v>
      </c>
      <c r="AK748">
        <f>AK711</f>
        <v>0.78</v>
      </c>
      <c r="AL748">
        <f>AL711</f>
        <v>99.977000000000004</v>
      </c>
      <c r="AM748">
        <f>AM711</f>
        <v>4.7000000000000002E-3</v>
      </c>
      <c r="AN748">
        <f t="shared" si="237"/>
        <v>7.9846619236109784E-5</v>
      </c>
      <c r="AO748">
        <f t="shared" si="238"/>
        <v>2.0913756756651158E-3</v>
      </c>
      <c r="AP748">
        <f t="shared" si="239"/>
        <v>2.1712222949012254E-3</v>
      </c>
      <c r="AQ748">
        <f t="shared" si="240"/>
        <v>15.651798718369209</v>
      </c>
      <c r="AS748">
        <f t="shared" si="241"/>
        <v>0</v>
      </c>
      <c r="AT748">
        <f t="shared" si="231"/>
        <v>6.0638602408538897E-3</v>
      </c>
      <c r="AU748">
        <f t="shared" si="242"/>
        <v>0.11872322725823398</v>
      </c>
      <c r="AV748">
        <f t="shared" si="232"/>
        <v>855.84606449779426</v>
      </c>
      <c r="AY748">
        <f>AY711</f>
        <v>6.0000000000000001E-3</v>
      </c>
      <c r="BB748">
        <f t="shared" si="243"/>
        <v>0.24</v>
      </c>
    </row>
    <row r="749" spans="7:54" x14ac:dyDescent="0.2">
      <c r="H749" t="s">
        <v>163</v>
      </c>
      <c r="J749">
        <v>91.25</v>
      </c>
      <c r="K749">
        <v>18</v>
      </c>
      <c r="M749">
        <v>471</v>
      </c>
      <c r="O749">
        <v>0.21</v>
      </c>
      <c r="P749">
        <v>660</v>
      </c>
      <c r="Q749">
        <f t="shared" si="233"/>
        <v>0.71363636363636362</v>
      </c>
      <c r="S749">
        <v>0</v>
      </c>
      <c r="T749">
        <v>0</v>
      </c>
      <c r="U749">
        <v>0</v>
      </c>
      <c r="V749">
        <v>0</v>
      </c>
      <c r="W749">
        <f>S749*B713+T749*B714</f>
        <v>0</v>
      </c>
      <c r="X749">
        <f t="shared" si="228"/>
        <v>1</v>
      </c>
      <c r="Y749">
        <f t="shared" si="229"/>
        <v>7.9113004163715583</v>
      </c>
      <c r="Z749">
        <f t="shared" si="234"/>
        <v>1.0487495364044543</v>
      </c>
      <c r="AC749">
        <v>7.8E-2</v>
      </c>
      <c r="AE749">
        <v>0.55000000000000004</v>
      </c>
      <c r="AF749">
        <f t="shared" si="230"/>
        <v>3.5664142277002981</v>
      </c>
      <c r="AG749">
        <f t="shared" si="235"/>
        <v>0.19</v>
      </c>
      <c r="AH749">
        <f t="shared" si="236"/>
        <v>0.6784</v>
      </c>
      <c r="AI749">
        <f>AI711</f>
        <v>2.3E-2</v>
      </c>
      <c r="AK749">
        <f>AK711</f>
        <v>0.78</v>
      </c>
      <c r="AL749">
        <f>AL711</f>
        <v>99.977000000000004</v>
      </c>
      <c r="AM749">
        <f>AM711</f>
        <v>4.7000000000000002E-3</v>
      </c>
      <c r="AN749">
        <f t="shared" si="237"/>
        <v>8.2469557175882187E-5</v>
      </c>
      <c r="AO749">
        <f t="shared" si="238"/>
        <v>2.1600767510331059E-3</v>
      </c>
      <c r="AP749">
        <f t="shared" si="239"/>
        <v>2.2425463082089881E-3</v>
      </c>
      <c r="AQ749">
        <f t="shared" si="240"/>
        <v>3.6833823112332627</v>
      </c>
      <c r="AS749">
        <f t="shared" si="241"/>
        <v>0</v>
      </c>
      <c r="AT749">
        <f t="shared" si="231"/>
        <v>2.8287916123595036E-3</v>
      </c>
      <c r="AU749">
        <f t="shared" si="242"/>
        <v>9.4124818073181987E-2</v>
      </c>
      <c r="AV749">
        <f t="shared" si="232"/>
        <v>154.60001368520142</v>
      </c>
      <c r="AY749">
        <f>AY711</f>
        <v>6.0000000000000001E-3</v>
      </c>
      <c r="BB749">
        <f t="shared" si="243"/>
        <v>0.24</v>
      </c>
    </row>
    <row r="750" spans="7:54" x14ac:dyDescent="0.2">
      <c r="H750" t="s">
        <v>164</v>
      </c>
      <c r="J750">
        <v>91.25</v>
      </c>
      <c r="K750">
        <v>8</v>
      </c>
      <c r="M750">
        <v>484</v>
      </c>
      <c r="O750">
        <v>0.33</v>
      </c>
      <c r="P750">
        <v>660</v>
      </c>
      <c r="Q750">
        <f t="shared" si="233"/>
        <v>0.73333333333333328</v>
      </c>
      <c r="S750">
        <v>0</v>
      </c>
      <c r="T750">
        <v>0</v>
      </c>
      <c r="U750">
        <v>0</v>
      </c>
      <c r="V750">
        <v>0</v>
      </c>
      <c r="W750">
        <f>S750*B713+T750*B714</f>
        <v>0</v>
      </c>
      <c r="X750">
        <f t="shared" si="228"/>
        <v>1</v>
      </c>
      <c r="Y750">
        <f t="shared" si="229"/>
        <v>8.278535337331359</v>
      </c>
      <c r="Z750">
        <f t="shared" si="234"/>
        <v>1.0763699323085132</v>
      </c>
      <c r="AC750">
        <v>5.8999999999999997E-2</v>
      </c>
      <c r="AE750">
        <v>0.51</v>
      </c>
      <c r="AF750">
        <f t="shared" si="230"/>
        <v>4.0366138304827706</v>
      </c>
      <c r="AG750">
        <f t="shared" si="235"/>
        <v>0.19</v>
      </c>
      <c r="AH750">
        <f t="shared" si="236"/>
        <v>0.6784</v>
      </c>
      <c r="AI750">
        <f>AI711</f>
        <v>2.3E-2</v>
      </c>
      <c r="AK750">
        <f>AK711</f>
        <v>0.78</v>
      </c>
      <c r="AL750">
        <f>AL711</f>
        <v>99.977000000000004</v>
      </c>
      <c r="AM750">
        <f>AM711</f>
        <v>4.7000000000000002E-3</v>
      </c>
      <c r="AN750">
        <f t="shared" si="237"/>
        <v>9.3342425707126968E-5</v>
      </c>
      <c r="AO750">
        <f t="shared" si="238"/>
        <v>2.4448634206315906E-3</v>
      </c>
      <c r="AP750">
        <f t="shared" si="239"/>
        <v>2.5382058463387174E-3</v>
      </c>
      <c r="AQ750">
        <f t="shared" si="240"/>
        <v>1.8528902678272636</v>
      </c>
      <c r="AS750">
        <f t="shared" si="241"/>
        <v>0</v>
      </c>
      <c r="AT750">
        <f t="shared" si="231"/>
        <v>4.3509136683967673E-3</v>
      </c>
      <c r="AU750">
        <f t="shared" si="242"/>
        <v>7.1982330933807626E-2</v>
      </c>
      <c r="AV750">
        <f t="shared" si="232"/>
        <v>52.54710158167957</v>
      </c>
      <c r="AY750">
        <f>AY711</f>
        <v>6.0000000000000001E-3</v>
      </c>
      <c r="BB750">
        <f t="shared" si="243"/>
        <v>0.24</v>
      </c>
    </row>
    <row r="761" spans="62:64" x14ac:dyDescent="0.2">
      <c r="BJ761" s="7"/>
      <c r="BK761" s="7"/>
      <c r="BL761" s="7"/>
    </row>
    <row r="771" spans="1:64" x14ac:dyDescent="0.2">
      <c r="A771" t="s">
        <v>274</v>
      </c>
      <c r="B771" t="s">
        <v>283</v>
      </c>
      <c r="C771" t="s">
        <v>202</v>
      </c>
      <c r="D771" t="s">
        <v>202</v>
      </c>
      <c r="E771" t="s">
        <v>178</v>
      </c>
      <c r="F771" t="s">
        <v>190</v>
      </c>
      <c r="G771" t="s">
        <v>159</v>
      </c>
      <c r="H771" t="s">
        <v>262</v>
      </c>
      <c r="J771">
        <v>31</v>
      </c>
      <c r="K771">
        <v>100</v>
      </c>
      <c r="M771">
        <f>$BY$21</f>
        <v>150</v>
      </c>
      <c r="O771">
        <f>$BY$77</f>
        <v>0.11</v>
      </c>
      <c r="P771">
        <f>$BZ$114</f>
        <v>770</v>
      </c>
      <c r="Q771">
        <f t="shared" ref="Q771:Q834" si="244">M771 / P771</f>
        <v>0.19480519480519481</v>
      </c>
      <c r="S771">
        <v>0</v>
      </c>
      <c r="T771">
        <v>0</v>
      </c>
      <c r="U771">
        <f>20/K771</f>
        <v>0.2</v>
      </c>
      <c r="V771">
        <f>60/K771</f>
        <v>0.6</v>
      </c>
      <c r="W771">
        <f t="shared" ref="W771:W802" si="245">S771*B$773+T771*B$774</f>
        <v>0</v>
      </c>
      <c r="X771">
        <f t="shared" ref="X771:X802" si="246">(S771 * $BX$3 +T771* $BX$4) + (1 -S771 -T771 )</f>
        <v>1</v>
      </c>
      <c r="Y771">
        <f t="shared" ref="Y771" si="247">(1.185 + 0.00454 * M771- 0.0000026 * M771 ^2 + 0.315 * O771)^2 * X771</f>
        <v>3.3935166225000009</v>
      </c>
      <c r="Z771">
        <f t="shared" si="234"/>
        <v>1.0387077426352853</v>
      </c>
      <c r="AC771">
        <f>$CA$231</f>
        <v>0.12</v>
      </c>
      <c r="AE771">
        <f>$CA$162</f>
        <v>0.65</v>
      </c>
      <c r="AF771">
        <f t="shared" ref="AF771:AF802" si="248">(Y771 * (1 - AE771) + (0.04 * Y771)) * ( 1 - $CJ$3 )</f>
        <v>1.2175937641530001</v>
      </c>
      <c r="AG771">
        <f>$CJ$4</f>
        <v>0.19</v>
      </c>
      <c r="AH771">
        <f>$CJ$5</f>
        <v>0.6784</v>
      </c>
      <c r="AI771">
        <f>IF(F771="yes",0,VLOOKUP(C771,$BQ$211:$BS$225,3,FALSE))</f>
        <v>1E-3</v>
      </c>
      <c r="AJ771">
        <v>21</v>
      </c>
      <c r="AK771">
        <f>VLOOKUP(AJ771,CK35:CL53, 2,FALSE)</f>
        <v>0.78</v>
      </c>
      <c r="AL771">
        <f>IF(F771="yes",100,VLOOKUP(C771,$BQ$211:$BS$225,2,FALSE))</f>
        <v>99.998999999999995</v>
      </c>
      <c r="AM771">
        <f>VLOOKUP(C771,$BQ$211:$BU$225,5,FALSE)</f>
        <v>4.7000000000000002E-3</v>
      </c>
      <c r="AN771">
        <f t="shared" ref="AN771:AN834" si="249">AF771 * AG771 * AI771/100 * AK771 * AH771</f>
        <v>1.2241551334292679E-6</v>
      </c>
      <c r="AO771">
        <f t="shared" ref="AO771" si="250">AF771 * AG771 * AL771/100 * AM771 * AH771</f>
        <v>7.3762456305465215E-4</v>
      </c>
      <c r="AP771">
        <f t="shared" ref="AP771" si="251">AN771+AO771</f>
        <v>7.3884871818808145E-4</v>
      </c>
      <c r="AQ771">
        <f t="shared" ref="AQ771" si="252">K771*AP771*J771</f>
        <v>2.2904310263830525</v>
      </c>
      <c r="AR771">
        <f>SUM(AQ771:AQ890)*10^-3</f>
        <v>0.5392675868857828</v>
      </c>
      <c r="AS771">
        <f>U771*$B$773+V771*$B$774</f>
        <v>3.6</v>
      </c>
      <c r="AT771">
        <f t="shared" ref="AT771:AT802" si="253" xml:space="preserve"> (0.032*W771/6.38) + (((0.212 - 0.008*(Z771-2) - (0.14 - 0.008*(Z771 - 2))/(1+EXP(-6*(Q771-0.4))))*O771*0.92)/6.25)</f>
        <v>3.0168243096290307E-3</v>
      </c>
      <c r="AU771">
        <f>MAX((Y771*AC771/6.25)+(0.032*AS771/6.38)-AT771-((1.1*(10^-4)*(M771^0.75))/6.25), 0)</f>
        <v>7.9440756901218906E-2</v>
      </c>
      <c r="AV771">
        <f t="shared" ref="AV771:AV802" si="254">K771*AU771*J771</f>
        <v>246.26634639377863</v>
      </c>
      <c r="AW771">
        <f>SUM(AV771:AV890)</f>
        <v>23878.386222904483</v>
      </c>
      <c r="AX771" t="s">
        <v>258</v>
      </c>
      <c r="AY771">
        <f>VLOOKUP(AX$771, $CK$18:$CM$27, 2, FALSE)</f>
        <v>2E-3</v>
      </c>
      <c r="AZ771">
        <f>$CJ$6</f>
        <v>0.21</v>
      </c>
      <c r="BA771">
        <f>AW771*AZ771</f>
        <v>5014.4611068099412</v>
      </c>
      <c r="BB771">
        <f>$CJ$7</f>
        <v>0.24</v>
      </c>
      <c r="BC771" t="s">
        <v>161</v>
      </c>
      <c r="BD771">
        <f>IF(BC771="yes",1,0)</f>
        <v>1</v>
      </c>
      <c r="BE771">
        <f>AW771 * BD771 * BB771</f>
        <v>5730.812693497076</v>
      </c>
      <c r="BF771">
        <f>$CJ$8</f>
        <v>1.57</v>
      </c>
      <c r="BG771" t="s">
        <v>183</v>
      </c>
      <c r="BH771">
        <f>VLOOKUP(BG771, $BQ$274:$BR$286, 2, FALSE)</f>
        <v>1.8E-3</v>
      </c>
      <c r="BI771">
        <f>$CJ$9</f>
        <v>1.0999999999999999E-2</v>
      </c>
      <c r="BJ771" s="7">
        <f>(AW771 * AY771 * BF771) * 10^-3</f>
        <v>7.4978132739920073E-2</v>
      </c>
      <c r="BK771" s="7">
        <f>BA771 * BH771 * BF771 * 10^-3</f>
        <v>1.4170867087844893E-2</v>
      </c>
      <c r="BL771" s="7">
        <f>BE771 * BI771 * BF771 * 10^-3</f>
        <v>9.8971135216694497E-2</v>
      </c>
    </row>
    <row r="772" spans="1:64" x14ac:dyDescent="0.2">
      <c r="G772">
        <v>1</v>
      </c>
      <c r="H772" t="s">
        <v>263</v>
      </c>
      <c r="J772">
        <v>28</v>
      </c>
      <c r="K772">
        <v>90</v>
      </c>
      <c r="M772">
        <f>$BY$21</f>
        <v>150</v>
      </c>
      <c r="O772">
        <f>$BY$77</f>
        <v>0.11</v>
      </c>
      <c r="P772">
        <f>$BZ$114</f>
        <v>770</v>
      </c>
      <c r="Q772">
        <f t="shared" si="244"/>
        <v>0.19480519480519481</v>
      </c>
      <c r="S772">
        <v>0</v>
      </c>
      <c r="T772">
        <v>0</v>
      </c>
      <c r="U772">
        <v>0</v>
      </c>
      <c r="V772">
        <f>60/K772</f>
        <v>0.66666666666666663</v>
      </c>
      <c r="W772">
        <f t="shared" si="245"/>
        <v>0</v>
      </c>
      <c r="X772">
        <f t="shared" si="246"/>
        <v>1</v>
      </c>
      <c r="Y772">
        <f t="shared" ref="Y772:Y835" si="255">(1.185 + 0.00454 * M772- 0.0000026 * M772 ^2 + 0.315 * O772)^2 * X772</f>
        <v>3.3935166225000009</v>
      </c>
      <c r="Z772">
        <f t="shared" si="234"/>
        <v>1.0387077426352853</v>
      </c>
      <c r="AC772">
        <f>$CA$231</f>
        <v>0.12</v>
      </c>
      <c r="AD772" s="1">
        <v>0.5</v>
      </c>
      <c r="AE772" s="1">
        <v>0.5</v>
      </c>
      <c r="AF772">
        <f t="shared" si="248"/>
        <v>1.6858990580580007</v>
      </c>
      <c r="AG772">
        <f t="shared" ref="AG772:AG835" si="256">$CJ$4</f>
        <v>0.19</v>
      </c>
      <c r="AH772">
        <f t="shared" ref="AH772:AH835" si="257">$CJ$5</f>
        <v>0.6784</v>
      </c>
      <c r="AI772">
        <f>AI771</f>
        <v>1E-3</v>
      </c>
      <c r="AK772">
        <f>AK771</f>
        <v>0.78</v>
      </c>
      <c r="AL772">
        <f>AL771</f>
        <v>99.998999999999995</v>
      </c>
      <c r="AM772">
        <f>AM771</f>
        <v>4.7000000000000002E-3</v>
      </c>
      <c r="AN772">
        <f t="shared" si="249"/>
        <v>1.6949840309020634E-6</v>
      </c>
      <c r="AO772">
        <f t="shared" ref="AO772:AO835" si="258">AF772 * AG772 * AL772/100 * AM772 * AH772</f>
        <v>1.0213263180756727E-3</v>
      </c>
      <c r="AP772">
        <f t="shared" ref="AP772:AP835" si="259">AN772+AO772</f>
        <v>1.0230213021065748E-3</v>
      </c>
      <c r="AQ772">
        <f t="shared" ref="AQ772:AQ835" si="260">K772*AP772*J772</f>
        <v>2.5780136813085686</v>
      </c>
      <c r="AS772">
        <f t="shared" ref="AS772:AS837" si="261">U772*$B$773+V772*$B$774</f>
        <v>2.6666666666666665</v>
      </c>
      <c r="AT772">
        <f t="shared" si="253"/>
        <v>3.0168243096290307E-3</v>
      </c>
      <c r="AU772">
        <f t="shared" ref="AU772:AU837" si="262">MAX((Y772*AC772/6.25)+(0.032*AS772/6.38)-AT772-((1.1*(10^-4)*(M772^0.75))/6.25), 0)</f>
        <v>7.4759461185440426E-2</v>
      </c>
      <c r="AV772">
        <f t="shared" si="254"/>
        <v>188.39384218730987</v>
      </c>
      <c r="AY772">
        <f t="shared" ref="AY772:AY835" si="263">VLOOKUP(AX$771, $CK$18:$CM$27, 2, FALSE)</f>
        <v>2E-3</v>
      </c>
      <c r="BB772">
        <f t="shared" ref="BB772:BB835" si="264">$CJ$7</f>
        <v>0.24</v>
      </c>
    </row>
    <row r="773" spans="1:64" x14ac:dyDescent="0.2">
      <c r="A773" t="s">
        <v>222</v>
      </c>
      <c r="B773">
        <f>IF(B771="Hereford or Shorthorn",$BT$3,$BT$4)</f>
        <v>6</v>
      </c>
      <c r="H773" t="s">
        <v>264</v>
      </c>
      <c r="I773" s="1">
        <v>25</v>
      </c>
      <c r="J773" s="1">
        <v>25</v>
      </c>
      <c r="K773">
        <v>80</v>
      </c>
      <c r="M773">
        <f>$BY$22</f>
        <v>230</v>
      </c>
      <c r="O773">
        <f>$BY$78</f>
        <v>-0.22</v>
      </c>
      <c r="P773">
        <f>$BZ$115</f>
        <v>770</v>
      </c>
      <c r="Q773">
        <f t="shared" si="244"/>
        <v>0.29870129870129869</v>
      </c>
      <c r="S773">
        <v>0</v>
      </c>
      <c r="T773">
        <v>0</v>
      </c>
      <c r="U773">
        <v>0</v>
      </c>
      <c r="V773">
        <f>40/K773</f>
        <v>0.5</v>
      </c>
      <c r="W773">
        <f t="shared" si="245"/>
        <v>0</v>
      </c>
      <c r="X773">
        <f t="shared" si="246"/>
        <v>1</v>
      </c>
      <c r="Y773">
        <f t="shared" si="255"/>
        <v>4.0899399695999996</v>
      </c>
      <c r="Z773">
        <f t="shared" si="234"/>
        <v>0.93483454216907402</v>
      </c>
      <c r="AC773">
        <f>$CA$232</f>
        <v>0.09</v>
      </c>
      <c r="AE773">
        <f>$CA$163</f>
        <v>0.55000000000000004</v>
      </c>
      <c r="AF773">
        <f t="shared" si="248"/>
        <v>1.8437449382956796</v>
      </c>
      <c r="AG773">
        <f t="shared" si="256"/>
        <v>0.19</v>
      </c>
      <c r="AH773">
        <f t="shared" si="257"/>
        <v>0.6784</v>
      </c>
      <c r="AI773">
        <f>AI771</f>
        <v>1E-3</v>
      </c>
      <c r="AK773">
        <f>AK771</f>
        <v>0.78</v>
      </c>
      <c r="AL773">
        <f>AL771</f>
        <v>99.998999999999995</v>
      </c>
      <c r="AM773">
        <f>AM771</f>
        <v>4.7000000000000002E-3</v>
      </c>
      <c r="AN773">
        <f t="shared" si="249"/>
        <v>1.8536805110191676E-6</v>
      </c>
      <c r="AO773">
        <f t="shared" si="258"/>
        <v>1.1169501639494959E-3</v>
      </c>
      <c r="AP773">
        <f t="shared" si="259"/>
        <v>1.118803844460515E-3</v>
      </c>
      <c r="AQ773">
        <f t="shared" si="260"/>
        <v>2.2376076889210301</v>
      </c>
      <c r="AS773">
        <f t="shared" si="261"/>
        <v>2</v>
      </c>
      <c r="AT773">
        <f t="shared" si="253"/>
        <v>-5.4456352066222799E-3</v>
      </c>
      <c r="AU773">
        <f t="shared" si="262"/>
        <v>7.333265690468603E-2</v>
      </c>
      <c r="AV773">
        <f t="shared" si="254"/>
        <v>146.66531380937207</v>
      </c>
      <c r="AY773">
        <f t="shared" si="263"/>
        <v>2E-3</v>
      </c>
      <c r="BB773">
        <f t="shared" si="264"/>
        <v>0.24</v>
      </c>
    </row>
    <row r="774" spans="1:64" x14ac:dyDescent="0.2">
      <c r="A774" t="s">
        <v>223</v>
      </c>
      <c r="B774">
        <f>IF(B771="Hereford or Shorthorn",$BU$3,$BU$4)</f>
        <v>4</v>
      </c>
      <c r="H774" t="s">
        <v>265</v>
      </c>
      <c r="J774">
        <v>30</v>
      </c>
      <c r="K774">
        <v>80</v>
      </c>
      <c r="M774">
        <f t="shared" ref="M774:M775" si="265">$BY$22</f>
        <v>230</v>
      </c>
      <c r="O774">
        <f t="shared" ref="O774:O775" si="266">$BY$78</f>
        <v>-0.22</v>
      </c>
      <c r="P774">
        <f t="shared" ref="P774:P775" si="267">$BZ$115</f>
        <v>770</v>
      </c>
      <c r="Q774">
        <f t="shared" si="244"/>
        <v>0.29870129870129869</v>
      </c>
      <c r="S774">
        <v>0</v>
      </c>
      <c r="T774">
        <v>0</v>
      </c>
      <c r="U774">
        <v>0</v>
      </c>
      <c r="V774">
        <f>20/K774</f>
        <v>0.25</v>
      </c>
      <c r="W774">
        <f t="shared" si="245"/>
        <v>0</v>
      </c>
      <c r="X774">
        <f t="shared" si="246"/>
        <v>1</v>
      </c>
      <c r="Y774">
        <f t="shared" si="255"/>
        <v>4.0899399695999996</v>
      </c>
      <c r="Z774">
        <f t="shared" si="234"/>
        <v>0.93483454216907402</v>
      </c>
      <c r="AC774">
        <f t="shared" ref="AC774:AC775" si="268">$CA$232</f>
        <v>0.09</v>
      </c>
      <c r="AE774">
        <f t="shared" ref="AE774:AE775" si="269">$CA$163</f>
        <v>0.55000000000000004</v>
      </c>
      <c r="AF774">
        <f t="shared" si="248"/>
        <v>1.8437449382956796</v>
      </c>
      <c r="AG774">
        <f t="shared" si="256"/>
        <v>0.19</v>
      </c>
      <c r="AH774">
        <f t="shared" si="257"/>
        <v>0.6784</v>
      </c>
      <c r="AI774">
        <f>AI771</f>
        <v>1E-3</v>
      </c>
      <c r="AK774">
        <f>AK771</f>
        <v>0.78</v>
      </c>
      <c r="AL774">
        <f>AL771</f>
        <v>99.998999999999995</v>
      </c>
      <c r="AM774">
        <f>AM771</f>
        <v>4.7000000000000002E-3</v>
      </c>
      <c r="AN774">
        <f t="shared" si="249"/>
        <v>1.8536805110191676E-6</v>
      </c>
      <c r="AO774">
        <f t="shared" si="258"/>
        <v>1.1169501639494959E-3</v>
      </c>
      <c r="AP774">
        <f t="shared" si="259"/>
        <v>1.118803844460515E-3</v>
      </c>
      <c r="AQ774">
        <f t="shared" si="260"/>
        <v>2.6851292267052362</v>
      </c>
      <c r="AS774">
        <f t="shared" si="261"/>
        <v>1</v>
      </c>
      <c r="AT774">
        <f t="shared" si="253"/>
        <v>-5.4456352066222799E-3</v>
      </c>
      <c r="AU774">
        <f t="shared" si="262"/>
        <v>6.8316982923494807E-2</v>
      </c>
      <c r="AV774">
        <f t="shared" si="254"/>
        <v>163.96075901638753</v>
      </c>
      <c r="AY774">
        <f t="shared" si="263"/>
        <v>2E-3</v>
      </c>
      <c r="BB774">
        <f t="shared" si="264"/>
        <v>0.24</v>
      </c>
    </row>
    <row r="775" spans="1:64" x14ac:dyDescent="0.2">
      <c r="H775" t="s">
        <v>266</v>
      </c>
      <c r="J775">
        <v>31</v>
      </c>
      <c r="K775">
        <v>75</v>
      </c>
      <c r="M775">
        <f t="shared" si="265"/>
        <v>230</v>
      </c>
      <c r="O775">
        <f t="shared" si="266"/>
        <v>-0.22</v>
      </c>
      <c r="P775">
        <f t="shared" si="267"/>
        <v>770</v>
      </c>
      <c r="Q775">
        <f t="shared" si="244"/>
        <v>0.29870129870129869</v>
      </c>
      <c r="S775">
        <v>0</v>
      </c>
      <c r="T775">
        <v>0</v>
      </c>
      <c r="U775">
        <v>0</v>
      </c>
      <c r="V775">
        <v>0</v>
      </c>
      <c r="W775">
        <f t="shared" si="245"/>
        <v>0</v>
      </c>
      <c r="X775">
        <f t="shared" si="246"/>
        <v>1</v>
      </c>
      <c r="Y775">
        <f t="shared" si="255"/>
        <v>4.0899399695999996</v>
      </c>
      <c r="Z775">
        <f t="shared" si="234"/>
        <v>0.93483454216907402</v>
      </c>
      <c r="AC775">
        <f t="shared" si="268"/>
        <v>0.09</v>
      </c>
      <c r="AE775">
        <f t="shared" si="269"/>
        <v>0.55000000000000004</v>
      </c>
      <c r="AF775">
        <f t="shared" si="248"/>
        <v>1.8437449382956796</v>
      </c>
      <c r="AG775">
        <f t="shared" si="256"/>
        <v>0.19</v>
      </c>
      <c r="AH775">
        <f t="shared" si="257"/>
        <v>0.6784</v>
      </c>
      <c r="AI775">
        <f>AI771</f>
        <v>1E-3</v>
      </c>
      <c r="AK775">
        <f>AK771</f>
        <v>0.78</v>
      </c>
      <c r="AL775">
        <f>AL771</f>
        <v>99.998999999999995</v>
      </c>
      <c r="AM775">
        <f>AM771</f>
        <v>4.7000000000000002E-3</v>
      </c>
      <c r="AN775">
        <f t="shared" si="249"/>
        <v>1.8536805110191676E-6</v>
      </c>
      <c r="AO775">
        <f t="shared" si="258"/>
        <v>1.1169501639494959E-3</v>
      </c>
      <c r="AP775">
        <f t="shared" si="259"/>
        <v>1.118803844460515E-3</v>
      </c>
      <c r="AQ775">
        <f t="shared" si="260"/>
        <v>2.601218938370697</v>
      </c>
      <c r="AS775">
        <f t="shared" si="261"/>
        <v>0</v>
      </c>
      <c r="AT775">
        <f t="shared" si="253"/>
        <v>-5.4456352066222799E-3</v>
      </c>
      <c r="AU775">
        <f t="shared" si="262"/>
        <v>6.3301308942303583E-2</v>
      </c>
      <c r="AV775">
        <f t="shared" si="254"/>
        <v>147.17554329085581</v>
      </c>
      <c r="AY775">
        <f t="shared" si="263"/>
        <v>2E-3</v>
      </c>
      <c r="BB775">
        <f t="shared" si="264"/>
        <v>0.24</v>
      </c>
    </row>
    <row r="776" spans="1:64" x14ac:dyDescent="0.2">
      <c r="A776" t="s">
        <v>167</v>
      </c>
      <c r="H776" t="s">
        <v>267</v>
      </c>
      <c r="J776">
        <v>30</v>
      </c>
      <c r="K776">
        <v>70</v>
      </c>
      <c r="L776" s="1">
        <v>240</v>
      </c>
      <c r="M776">
        <v>240</v>
      </c>
      <c r="O776">
        <f>$BY$79</f>
        <v>0.55000000000000004</v>
      </c>
      <c r="P776">
        <f>$BZ$116</f>
        <v>770</v>
      </c>
      <c r="Q776">
        <f t="shared" si="244"/>
        <v>0.31168831168831168</v>
      </c>
      <c r="S776">
        <v>0</v>
      </c>
      <c r="T776">
        <v>0</v>
      </c>
      <c r="U776">
        <v>0</v>
      </c>
      <c r="V776">
        <v>0</v>
      </c>
      <c r="W776">
        <f t="shared" si="245"/>
        <v>0</v>
      </c>
      <c r="X776">
        <f t="shared" si="246"/>
        <v>1</v>
      </c>
      <c r="Y776">
        <f t="shared" si="255"/>
        <v>5.2812176480999984</v>
      </c>
      <c r="Z776">
        <f t="shared" ref="Z776:Z780" si="270">Y776 / ((1.185 + 0.00454 * M776 - 0.0000026 * M776 ^ 2) ^ 2 * X776)</f>
        <v>1.1697191478866718</v>
      </c>
      <c r="AC776">
        <f>$CA$233</f>
        <v>0.06</v>
      </c>
      <c r="AE776">
        <f>$CA$164</f>
        <v>0.45</v>
      </c>
      <c r="AF776">
        <f t="shared" si="248"/>
        <v>2.8666449393886797</v>
      </c>
      <c r="AG776">
        <f t="shared" si="256"/>
        <v>0.19</v>
      </c>
      <c r="AH776">
        <f t="shared" si="257"/>
        <v>0.6784</v>
      </c>
      <c r="AI776">
        <f>AI771</f>
        <v>1E-3</v>
      </c>
      <c r="AK776">
        <f>AK771</f>
        <v>0.78</v>
      </c>
      <c r="AL776">
        <f>AL771</f>
        <v>99.998999999999995</v>
      </c>
      <c r="AM776">
        <f>AM771</f>
        <v>4.7000000000000002E-3</v>
      </c>
      <c r="AN776">
        <f t="shared" si="249"/>
        <v>2.8820927156380579E-6</v>
      </c>
      <c r="AO776">
        <f t="shared" si="258"/>
        <v>1.7366282442488766E-3</v>
      </c>
      <c r="AP776">
        <f t="shared" si="259"/>
        <v>1.7395103369645146E-3</v>
      </c>
      <c r="AQ776">
        <f t="shared" si="260"/>
        <v>3.6529717076254804</v>
      </c>
      <c r="AS776">
        <f t="shared" si="261"/>
        <v>0</v>
      </c>
      <c r="AT776">
        <f t="shared" si="253"/>
        <v>1.330208227953932E-2</v>
      </c>
      <c r="AU776">
        <f t="shared" si="262"/>
        <v>3.6324430778118109E-2</v>
      </c>
      <c r="AV776">
        <f t="shared" si="254"/>
        <v>76.281304634048027</v>
      </c>
      <c r="AY776">
        <f t="shared" si="263"/>
        <v>2E-3</v>
      </c>
      <c r="BB776">
        <f t="shared" si="264"/>
        <v>0.24</v>
      </c>
    </row>
    <row r="777" spans="1:64" x14ac:dyDescent="0.2">
      <c r="A777" t="s">
        <v>160</v>
      </c>
      <c r="B777">
        <f>IF(B771="Hereford or Shorthorn", 1.3, 0)</f>
        <v>1.3</v>
      </c>
      <c r="H777" t="s">
        <v>268</v>
      </c>
      <c r="J777">
        <v>31</v>
      </c>
      <c r="K777">
        <v>60</v>
      </c>
      <c r="M777">
        <f t="shared" ref="M777:M778" si="271">$BY$23</f>
        <v>250</v>
      </c>
      <c r="O777">
        <f t="shared" ref="O777" si="272">$BY$79</f>
        <v>0.55000000000000004</v>
      </c>
      <c r="P777">
        <f t="shared" ref="P777:P778" si="273">$BZ$116</f>
        <v>770</v>
      </c>
      <c r="Q777">
        <f t="shared" si="244"/>
        <v>0.32467532467532467</v>
      </c>
      <c r="S777">
        <v>0</v>
      </c>
      <c r="T777">
        <v>0</v>
      </c>
      <c r="U777">
        <v>0</v>
      </c>
      <c r="V777">
        <v>0</v>
      </c>
      <c r="W777">
        <f t="shared" si="245"/>
        <v>0</v>
      </c>
      <c r="X777">
        <f t="shared" si="246"/>
        <v>1</v>
      </c>
      <c r="Y777">
        <f t="shared" si="255"/>
        <v>5.4323955625000009</v>
      </c>
      <c r="Z777">
        <f t="shared" si="270"/>
        <v>1.1670508439529572</v>
      </c>
      <c r="AC777">
        <f t="shared" ref="AC777:AC778" si="274">$CA$233</f>
        <v>0.06</v>
      </c>
      <c r="AE777">
        <f t="shared" ref="AE777:AE778" si="275">$CA$164</f>
        <v>0.45</v>
      </c>
      <c r="AF777">
        <f t="shared" si="248"/>
        <v>2.9487043113250011</v>
      </c>
      <c r="AG777">
        <f t="shared" si="256"/>
        <v>0.19</v>
      </c>
      <c r="AH777">
        <f t="shared" si="257"/>
        <v>0.6784</v>
      </c>
      <c r="AI777">
        <f>AI771</f>
        <v>1E-3</v>
      </c>
      <c r="AK777">
        <f>AK771</f>
        <v>0.78</v>
      </c>
      <c r="AL777">
        <f>AL771</f>
        <v>99.998999999999995</v>
      </c>
      <c r="AM777">
        <f>AM771</f>
        <v>4.7000000000000002E-3</v>
      </c>
      <c r="AN777">
        <f t="shared" si="249"/>
        <v>2.96459428911787E-6</v>
      </c>
      <c r="AO777">
        <f t="shared" si="258"/>
        <v>1.7863402337079993E-3</v>
      </c>
      <c r="AP777">
        <f t="shared" si="259"/>
        <v>1.7893048279971173E-3</v>
      </c>
      <c r="AQ777">
        <f t="shared" si="260"/>
        <v>3.3281069800746383</v>
      </c>
      <c r="AS777">
        <f t="shared" si="261"/>
        <v>0</v>
      </c>
      <c r="AT777">
        <f t="shared" si="253"/>
        <v>1.3085278143151122E-2</v>
      </c>
      <c r="AU777">
        <f t="shared" si="262"/>
        <v>3.7959177838727896E-2</v>
      </c>
      <c r="AV777">
        <f t="shared" si="254"/>
        <v>70.604070780033879</v>
      </c>
      <c r="AY777">
        <f t="shared" si="263"/>
        <v>2E-3</v>
      </c>
      <c r="BB777">
        <f t="shared" si="264"/>
        <v>0.24</v>
      </c>
    </row>
    <row r="778" spans="1:64" x14ac:dyDescent="0.2">
      <c r="A778" t="s">
        <v>162</v>
      </c>
      <c r="B778">
        <f>IF(B771="Hereford or Shorthorn", 1.1, 1.3)</f>
        <v>1.1000000000000001</v>
      </c>
      <c r="H778" t="s">
        <v>269</v>
      </c>
      <c r="J778">
        <v>31</v>
      </c>
      <c r="K778">
        <v>50</v>
      </c>
      <c r="M778">
        <f t="shared" si="271"/>
        <v>250</v>
      </c>
      <c r="N778" s="1">
        <v>0.53</v>
      </c>
      <c r="O778" s="1">
        <v>0.53</v>
      </c>
      <c r="P778">
        <f t="shared" si="273"/>
        <v>770</v>
      </c>
      <c r="Q778">
        <f t="shared" si="244"/>
        <v>0.32467532467532467</v>
      </c>
      <c r="S778">
        <v>0</v>
      </c>
      <c r="T778">
        <v>0</v>
      </c>
      <c r="U778">
        <v>0</v>
      </c>
      <c r="V778">
        <v>0</v>
      </c>
      <c r="W778">
        <f t="shared" si="245"/>
        <v>0</v>
      </c>
      <c r="X778">
        <f t="shared" si="246"/>
        <v>1</v>
      </c>
      <c r="Y778">
        <f t="shared" si="255"/>
        <v>5.4030678025000007</v>
      </c>
      <c r="Z778">
        <f t="shared" si="270"/>
        <v>1.1607503110360393</v>
      </c>
      <c r="AC778">
        <f t="shared" si="274"/>
        <v>0.06</v>
      </c>
      <c r="AE778">
        <f t="shared" si="275"/>
        <v>0.45</v>
      </c>
      <c r="AF778">
        <f t="shared" si="248"/>
        <v>2.932785203197001</v>
      </c>
      <c r="AG778">
        <f t="shared" si="256"/>
        <v>0.19</v>
      </c>
      <c r="AH778">
        <f t="shared" si="257"/>
        <v>0.6784</v>
      </c>
      <c r="AI778">
        <f>AI771</f>
        <v>1E-3</v>
      </c>
      <c r="AK778">
        <f>AK771</f>
        <v>0.78</v>
      </c>
      <c r="AL778">
        <f>AL771</f>
        <v>99.998999999999995</v>
      </c>
      <c r="AM778">
        <f>AM771</f>
        <v>4.7000000000000002E-3</v>
      </c>
      <c r="AN778">
        <f t="shared" si="249"/>
        <v>2.948589396099989E-6</v>
      </c>
      <c r="AO778">
        <f t="shared" si="258"/>
        <v>1.7766963561497864E-3</v>
      </c>
      <c r="AP778">
        <f t="shared" si="259"/>
        <v>1.7796449455458865E-3</v>
      </c>
      <c r="AQ778">
        <f t="shared" si="260"/>
        <v>2.7584496655961241</v>
      </c>
      <c r="AS778">
        <f t="shared" si="261"/>
        <v>0</v>
      </c>
      <c r="AT778">
        <f t="shared" si="253"/>
        <v>1.2611852908452088E-2</v>
      </c>
      <c r="AU778">
        <f t="shared" si="262"/>
        <v>3.8151056577426942E-2</v>
      </c>
      <c r="AV778">
        <f t="shared" si="254"/>
        <v>59.134137695011759</v>
      </c>
      <c r="AY778">
        <f t="shared" si="263"/>
        <v>2E-3</v>
      </c>
      <c r="BB778">
        <f t="shared" si="264"/>
        <v>0.24</v>
      </c>
    </row>
    <row r="779" spans="1:64" x14ac:dyDescent="0.2">
      <c r="A779" t="s">
        <v>163</v>
      </c>
      <c r="B779">
        <f>IF(B771="Hereford or Shorthorn", 0, 1.1)</f>
        <v>0</v>
      </c>
      <c r="H779" t="s">
        <v>270</v>
      </c>
      <c r="J779">
        <v>30</v>
      </c>
      <c r="K779">
        <v>45</v>
      </c>
      <c r="M779">
        <f>$BY$20</f>
        <v>80</v>
      </c>
      <c r="O779">
        <f>$BY$66</f>
        <v>0.7</v>
      </c>
      <c r="P779">
        <f>$BZ$113</f>
        <v>770</v>
      </c>
      <c r="Q779">
        <f t="shared" si="244"/>
        <v>0.1038961038961039</v>
      </c>
      <c r="S779">
        <v>0</v>
      </c>
      <c r="T779">
        <v>0</v>
      </c>
      <c r="U779">
        <f>5/K779</f>
        <v>0.1111111111111111</v>
      </c>
      <c r="V779">
        <v>0</v>
      </c>
      <c r="W779">
        <f t="shared" si="245"/>
        <v>0</v>
      </c>
      <c r="X779">
        <f t="shared" si="246"/>
        <v>1</v>
      </c>
      <c r="Y779">
        <f t="shared" si="255"/>
        <v>3.0697142436</v>
      </c>
      <c r="Z779">
        <f t="shared" si="270"/>
        <v>1.3086693130801998</v>
      </c>
      <c r="AC779">
        <f>$CA$230</f>
        <v>0.04</v>
      </c>
      <c r="AE779">
        <f>$CA$161</f>
        <v>0.4</v>
      </c>
      <c r="AF779">
        <f t="shared" si="248"/>
        <v>1.8074477466316801</v>
      </c>
      <c r="AG779">
        <f t="shared" si="256"/>
        <v>0.19</v>
      </c>
      <c r="AH779">
        <f t="shared" si="257"/>
        <v>0.6784</v>
      </c>
      <c r="AI779">
        <f>AI771</f>
        <v>1E-3</v>
      </c>
      <c r="AK779">
        <f>AK771</f>
        <v>0.78</v>
      </c>
      <c r="AL779">
        <f>AL771</f>
        <v>99.998999999999995</v>
      </c>
      <c r="AM779">
        <f>AM771</f>
        <v>4.7000000000000002E-3</v>
      </c>
      <c r="AN779">
        <f t="shared" si="249"/>
        <v>1.8171877210487291E-6</v>
      </c>
      <c r="AO779">
        <f t="shared" si="258"/>
        <v>1.0949611386033508E-3</v>
      </c>
      <c r="AP779">
        <f t="shared" si="259"/>
        <v>1.0967783263243994E-3</v>
      </c>
      <c r="AQ779">
        <f t="shared" si="260"/>
        <v>1.4806507405379392</v>
      </c>
      <c r="AS779">
        <f t="shared" si="261"/>
        <v>0.66666666666666663</v>
      </c>
      <c r="AT779">
        <f t="shared" si="253"/>
        <v>2.0244203485346782E-2</v>
      </c>
      <c r="AU779">
        <f t="shared" si="262"/>
        <v>2.2749571531172985E-3</v>
      </c>
      <c r="AV779">
        <f t="shared" si="254"/>
        <v>3.0711921567083529</v>
      </c>
      <c r="AY779">
        <f t="shared" si="263"/>
        <v>2E-3</v>
      </c>
      <c r="BB779">
        <f t="shared" si="264"/>
        <v>0.24</v>
      </c>
    </row>
    <row r="780" spans="1:64" x14ac:dyDescent="0.2">
      <c r="A780" t="s">
        <v>164</v>
      </c>
      <c r="B780">
        <v>0</v>
      </c>
      <c r="H780" t="s">
        <v>271</v>
      </c>
      <c r="J780">
        <v>31</v>
      </c>
      <c r="K780">
        <v>70</v>
      </c>
      <c r="M780">
        <f t="shared" ref="M780:M781" si="276">$BY$20</f>
        <v>80</v>
      </c>
      <c r="O780">
        <f t="shared" ref="O780:O781" si="277">$BY$66</f>
        <v>0.7</v>
      </c>
      <c r="P780">
        <f t="shared" ref="P780:P781" si="278">$BZ$113</f>
        <v>770</v>
      </c>
      <c r="Q780">
        <f t="shared" si="244"/>
        <v>0.1038961038961039</v>
      </c>
      <c r="S780">
        <v>0</v>
      </c>
      <c r="T780">
        <v>0</v>
      </c>
      <c r="U780">
        <f>30/K780</f>
        <v>0.42857142857142855</v>
      </c>
      <c r="V780">
        <v>0</v>
      </c>
      <c r="W780">
        <f t="shared" si="245"/>
        <v>0</v>
      </c>
      <c r="X780">
        <f t="shared" si="246"/>
        <v>1</v>
      </c>
      <c r="Y780">
        <f t="shared" si="255"/>
        <v>3.0697142436</v>
      </c>
      <c r="Z780">
        <f t="shared" si="270"/>
        <v>1.3086693130801998</v>
      </c>
      <c r="AC780">
        <f t="shared" ref="AC780:AC781" si="279">$CA$230</f>
        <v>0.04</v>
      </c>
      <c r="AE780">
        <f t="shared" ref="AE780:AE781" si="280">$CA$161</f>
        <v>0.4</v>
      </c>
      <c r="AF780">
        <f t="shared" si="248"/>
        <v>1.8074477466316801</v>
      </c>
      <c r="AG780">
        <f t="shared" si="256"/>
        <v>0.19</v>
      </c>
      <c r="AH780">
        <f t="shared" si="257"/>
        <v>0.6784</v>
      </c>
      <c r="AI780">
        <f>AI771</f>
        <v>1E-3</v>
      </c>
      <c r="AK780">
        <f>AK771</f>
        <v>0.78</v>
      </c>
      <c r="AL780">
        <f>AL771</f>
        <v>99.998999999999995</v>
      </c>
      <c r="AM780">
        <f>AM771</f>
        <v>4.7000000000000002E-3</v>
      </c>
      <c r="AN780">
        <f t="shared" si="249"/>
        <v>1.8171877210487291E-6</v>
      </c>
      <c r="AO780">
        <f t="shared" si="258"/>
        <v>1.0949611386033508E-3</v>
      </c>
      <c r="AP780">
        <f t="shared" si="259"/>
        <v>1.0967783263243994E-3</v>
      </c>
      <c r="AQ780">
        <f t="shared" si="260"/>
        <v>2.3800089681239469</v>
      </c>
      <c r="AS780">
        <f t="shared" si="261"/>
        <v>2.5714285714285712</v>
      </c>
      <c r="AT780">
        <f t="shared" si="253"/>
        <v>2.0244203485346782E-2</v>
      </c>
      <c r="AU780">
        <f t="shared" si="262"/>
        <v>1.1828621879195814E-2</v>
      </c>
      <c r="AV780">
        <f t="shared" si="254"/>
        <v>25.668109477854916</v>
      </c>
      <c r="AY780">
        <f t="shared" si="263"/>
        <v>2E-3</v>
      </c>
      <c r="BB780">
        <f t="shared" si="264"/>
        <v>0.24</v>
      </c>
    </row>
    <row r="781" spans="1:64" x14ac:dyDescent="0.2">
      <c r="H781" t="s">
        <v>272</v>
      </c>
      <c r="J781">
        <v>30</v>
      </c>
      <c r="K781">
        <v>90</v>
      </c>
      <c r="M781">
        <f t="shared" si="276"/>
        <v>80</v>
      </c>
      <c r="O781">
        <f t="shared" si="277"/>
        <v>0.7</v>
      </c>
      <c r="P781">
        <f t="shared" si="278"/>
        <v>770</v>
      </c>
      <c r="Q781">
        <f t="shared" si="244"/>
        <v>0.1038961038961039</v>
      </c>
      <c r="S781">
        <v>0</v>
      </c>
      <c r="T781">
        <v>0</v>
      </c>
      <c r="U781">
        <f>50/K781</f>
        <v>0.55555555555555558</v>
      </c>
      <c r="V781">
        <v>0</v>
      </c>
      <c r="W781">
        <f t="shared" si="245"/>
        <v>0</v>
      </c>
      <c r="X781">
        <f t="shared" si="246"/>
        <v>1</v>
      </c>
      <c r="Y781">
        <f t="shared" si="255"/>
        <v>3.0697142436</v>
      </c>
      <c r="Z781">
        <f>Y781 / ((1.185 + 0.00454 * M781 - 0.0000026 * M781 ^ 2) ^ 2 * X781)</f>
        <v>1.3086693130801998</v>
      </c>
      <c r="AC781">
        <f t="shared" si="279"/>
        <v>0.04</v>
      </c>
      <c r="AE781">
        <f t="shared" si="280"/>
        <v>0.4</v>
      </c>
      <c r="AF781">
        <f t="shared" si="248"/>
        <v>1.8074477466316801</v>
      </c>
      <c r="AG781">
        <f t="shared" si="256"/>
        <v>0.19</v>
      </c>
      <c r="AH781">
        <f t="shared" si="257"/>
        <v>0.6784</v>
      </c>
      <c r="AI781">
        <f>AI771</f>
        <v>1E-3</v>
      </c>
      <c r="AK781">
        <f>AK771</f>
        <v>0.78</v>
      </c>
      <c r="AL781">
        <f>AL771</f>
        <v>99.998999999999995</v>
      </c>
      <c r="AM781">
        <f>AM771</f>
        <v>4.7000000000000002E-3</v>
      </c>
      <c r="AN781">
        <f t="shared" si="249"/>
        <v>1.8171877210487291E-6</v>
      </c>
      <c r="AO781">
        <f t="shared" si="258"/>
        <v>1.0949611386033508E-3</v>
      </c>
      <c r="AP781">
        <f t="shared" si="259"/>
        <v>1.0967783263243994E-3</v>
      </c>
      <c r="AQ781">
        <f t="shared" si="260"/>
        <v>2.9613014810758784</v>
      </c>
      <c r="AS781">
        <f t="shared" si="261"/>
        <v>3.3333333333333335</v>
      </c>
      <c r="AT781">
        <f t="shared" si="253"/>
        <v>2.0244203485346782E-2</v>
      </c>
      <c r="AU781">
        <f t="shared" si="262"/>
        <v>1.5650087769627227E-2</v>
      </c>
      <c r="AV781">
        <f t="shared" si="254"/>
        <v>42.255236977993512</v>
      </c>
      <c r="AY781">
        <f t="shared" si="263"/>
        <v>2E-3</v>
      </c>
      <c r="BB781">
        <f t="shared" si="264"/>
        <v>0.24</v>
      </c>
    </row>
    <row r="782" spans="1:64" x14ac:dyDescent="0.2">
      <c r="H782" t="s">
        <v>273</v>
      </c>
      <c r="J782">
        <v>31</v>
      </c>
      <c r="K782">
        <v>95</v>
      </c>
      <c r="M782">
        <f>$BY$21</f>
        <v>150</v>
      </c>
      <c r="O782">
        <f>$BY$77</f>
        <v>0.11</v>
      </c>
      <c r="P782">
        <f>$BZ$114</f>
        <v>770</v>
      </c>
      <c r="Q782">
        <f t="shared" si="244"/>
        <v>0.19480519480519481</v>
      </c>
      <c r="S782">
        <v>0</v>
      </c>
      <c r="T782">
        <v>0</v>
      </c>
      <c r="U782">
        <f>55/K782</f>
        <v>0.57894736842105265</v>
      </c>
      <c r="V782">
        <f>5/K782</f>
        <v>5.2631578947368418E-2</v>
      </c>
      <c r="W782">
        <f t="shared" si="245"/>
        <v>0</v>
      </c>
      <c r="X782">
        <f t="shared" si="246"/>
        <v>1</v>
      </c>
      <c r="Y782">
        <f t="shared" si="255"/>
        <v>3.3935166225000009</v>
      </c>
      <c r="Z782">
        <f>Y782 / ((1.185 + 0.00454 * M782 - 0.0000026 * M782 ^ 2) ^ 2 * X782)</f>
        <v>1.0387077426352853</v>
      </c>
      <c r="AC782">
        <f>$CA$231</f>
        <v>0.12</v>
      </c>
      <c r="AE782">
        <f>$CA$162</f>
        <v>0.65</v>
      </c>
      <c r="AF782">
        <f t="shared" si="248"/>
        <v>1.2175937641530001</v>
      </c>
      <c r="AG782">
        <f t="shared" si="256"/>
        <v>0.19</v>
      </c>
      <c r="AH782">
        <f t="shared" si="257"/>
        <v>0.6784</v>
      </c>
      <c r="AI782">
        <f>AI771</f>
        <v>1E-3</v>
      </c>
      <c r="AK782">
        <f>AK771</f>
        <v>0.78</v>
      </c>
      <c r="AL782">
        <f>AL771</f>
        <v>99.998999999999995</v>
      </c>
      <c r="AM782">
        <f>AM771</f>
        <v>4.7000000000000002E-3</v>
      </c>
      <c r="AN782">
        <f t="shared" si="249"/>
        <v>1.2241551334292679E-6</v>
      </c>
      <c r="AO782">
        <f t="shared" si="258"/>
        <v>7.3762456305465215E-4</v>
      </c>
      <c r="AP782">
        <f t="shared" si="259"/>
        <v>7.3884871818808145E-4</v>
      </c>
      <c r="AQ782">
        <f t="shared" si="260"/>
        <v>2.1759094750639001</v>
      </c>
      <c r="AS782">
        <f t="shared" si="261"/>
        <v>3.6842105263157894</v>
      </c>
      <c r="AT782">
        <f t="shared" si="253"/>
        <v>3.0168243096290307E-3</v>
      </c>
      <c r="AU782">
        <f t="shared" si="262"/>
        <v>7.9863129447003425E-2</v>
      </c>
      <c r="AV782">
        <f t="shared" si="254"/>
        <v>235.19691622142508</v>
      </c>
      <c r="AY782">
        <f t="shared" si="263"/>
        <v>2E-3</v>
      </c>
      <c r="BB782">
        <f t="shared" si="264"/>
        <v>0.24</v>
      </c>
    </row>
    <row r="783" spans="1:64" x14ac:dyDescent="0.2">
      <c r="G783" t="s">
        <v>165</v>
      </c>
      <c r="H783" t="s">
        <v>262</v>
      </c>
      <c r="J783">
        <v>31</v>
      </c>
      <c r="K783">
        <v>80</v>
      </c>
      <c r="M783">
        <f>$BY$25</f>
        <v>500</v>
      </c>
      <c r="O783">
        <f>$BY$71</f>
        <v>0.55000000000000004</v>
      </c>
      <c r="P783">
        <f>$BZ$118</f>
        <v>770</v>
      </c>
      <c r="Q783">
        <f t="shared" si="244"/>
        <v>0.64935064935064934</v>
      </c>
      <c r="S783">
        <v>0</v>
      </c>
      <c r="T783">
        <v>0</v>
      </c>
      <c r="U783">
        <v>0</v>
      </c>
      <c r="V783">
        <v>0</v>
      </c>
      <c r="W783">
        <f t="shared" si="245"/>
        <v>0</v>
      </c>
      <c r="X783">
        <f t="shared" si="246"/>
        <v>1</v>
      </c>
      <c r="Y783">
        <f t="shared" si="255"/>
        <v>8.8699730624999997</v>
      </c>
      <c r="Z783">
        <f t="shared" ref="Z783:Z805" si="281">Y783 / ((1.185 + 0.00454 * M783 - 0.0000026 * M783 ^ 2) ^ 2 * X783)</f>
        <v>1.1273442906574394</v>
      </c>
      <c r="AB783" s="1">
        <v>0.1</v>
      </c>
      <c r="AC783" s="1">
        <v>0.1</v>
      </c>
      <c r="AE783">
        <f>$CA$166</f>
        <v>0.65</v>
      </c>
      <c r="AF783">
        <f t="shared" si="248"/>
        <v>3.182546334825</v>
      </c>
      <c r="AG783">
        <f t="shared" si="256"/>
        <v>0.19</v>
      </c>
      <c r="AH783">
        <f t="shared" si="257"/>
        <v>0.6784</v>
      </c>
      <c r="AI783">
        <f>AI771</f>
        <v>1E-3</v>
      </c>
      <c r="AK783">
        <f>AK771</f>
        <v>0.78</v>
      </c>
      <c r="AL783">
        <f>AL771</f>
        <v>99.998999999999995</v>
      </c>
      <c r="AM783">
        <f>AM771</f>
        <v>4.7000000000000002E-3</v>
      </c>
      <c r="AN783">
        <f t="shared" si="249"/>
        <v>3.1996964405141052E-6</v>
      </c>
      <c r="AO783">
        <f t="shared" si="258"/>
        <v>1.9280029339337936E-3</v>
      </c>
      <c r="AP783">
        <f t="shared" si="259"/>
        <v>1.9312026303743078E-3</v>
      </c>
      <c r="AQ783">
        <f t="shared" si="260"/>
        <v>4.7893825233282836</v>
      </c>
      <c r="AS783">
        <f t="shared" si="261"/>
        <v>0</v>
      </c>
      <c r="AT783">
        <f t="shared" si="253"/>
        <v>8.00683436190857E-3</v>
      </c>
      <c r="AU783">
        <f t="shared" si="262"/>
        <v>0.13205176121443604</v>
      </c>
      <c r="AV783">
        <f t="shared" si="254"/>
        <v>327.48836781180142</v>
      </c>
      <c r="AY783">
        <f t="shared" si="263"/>
        <v>2E-3</v>
      </c>
      <c r="BB783">
        <f t="shared" si="264"/>
        <v>0.24</v>
      </c>
    </row>
    <row r="784" spans="1:64" x14ac:dyDescent="0.2">
      <c r="G784">
        <v>2</v>
      </c>
      <c r="H784" t="s">
        <v>263</v>
      </c>
      <c r="J784">
        <v>28</v>
      </c>
      <c r="K784">
        <v>75</v>
      </c>
      <c r="M784">
        <f>$BY$25</f>
        <v>500</v>
      </c>
      <c r="O784">
        <f>$BY$71</f>
        <v>0.55000000000000004</v>
      </c>
      <c r="P784">
        <f>$BZ$118</f>
        <v>770</v>
      </c>
      <c r="Q784">
        <f t="shared" si="244"/>
        <v>0.64935064935064934</v>
      </c>
      <c r="S784">
        <v>0</v>
      </c>
      <c r="T784">
        <v>0</v>
      </c>
      <c r="U784">
        <v>0</v>
      </c>
      <c r="V784">
        <v>0</v>
      </c>
      <c r="W784">
        <f t="shared" si="245"/>
        <v>0</v>
      </c>
      <c r="X784">
        <f t="shared" si="246"/>
        <v>1</v>
      </c>
      <c r="Y784">
        <f t="shared" si="255"/>
        <v>8.8699730624999997</v>
      </c>
      <c r="Z784">
        <f t="shared" si="281"/>
        <v>1.1273442906574394</v>
      </c>
      <c r="AC784">
        <f>$CA$235</f>
        <v>0.12</v>
      </c>
      <c r="AE784">
        <f>$CA$166</f>
        <v>0.65</v>
      </c>
      <c r="AF784">
        <f t="shared" si="248"/>
        <v>3.182546334825</v>
      </c>
      <c r="AG784">
        <f t="shared" si="256"/>
        <v>0.19</v>
      </c>
      <c r="AH784">
        <f t="shared" si="257"/>
        <v>0.6784</v>
      </c>
      <c r="AI784">
        <f>AI771</f>
        <v>1E-3</v>
      </c>
      <c r="AK784">
        <f>AK771</f>
        <v>0.78</v>
      </c>
      <c r="AL784">
        <f>AL771</f>
        <v>99.998999999999995</v>
      </c>
      <c r="AM784">
        <f>AM771</f>
        <v>4.7000000000000002E-3</v>
      </c>
      <c r="AN784">
        <f t="shared" si="249"/>
        <v>3.1996964405141052E-6</v>
      </c>
      <c r="AO784">
        <f t="shared" si="258"/>
        <v>1.9280029339337936E-3</v>
      </c>
      <c r="AP784">
        <f t="shared" si="259"/>
        <v>1.9312026303743078E-3</v>
      </c>
      <c r="AQ784">
        <f t="shared" si="260"/>
        <v>4.0555255237860468</v>
      </c>
      <c r="AS784">
        <f t="shared" si="261"/>
        <v>0</v>
      </c>
      <c r="AT784">
        <f t="shared" si="253"/>
        <v>8.00683436190857E-3</v>
      </c>
      <c r="AU784">
        <f t="shared" si="262"/>
        <v>0.16043567501443601</v>
      </c>
      <c r="AV784">
        <f t="shared" si="254"/>
        <v>336.91491753031562</v>
      </c>
      <c r="AY784">
        <f t="shared" si="263"/>
        <v>2E-3</v>
      </c>
      <c r="BB784">
        <f t="shared" si="264"/>
        <v>0.24</v>
      </c>
    </row>
    <row r="785" spans="7:54" x14ac:dyDescent="0.2">
      <c r="H785" t="s">
        <v>264</v>
      </c>
      <c r="J785">
        <v>31</v>
      </c>
      <c r="K785">
        <v>70</v>
      </c>
      <c r="M785">
        <f>$BY$26</f>
        <v>550</v>
      </c>
      <c r="O785">
        <f>$BY$72</f>
        <v>0.55000000000000004</v>
      </c>
      <c r="P785">
        <f>$BZ$119</f>
        <v>770</v>
      </c>
      <c r="Q785">
        <f t="shared" si="244"/>
        <v>0.7142857142857143</v>
      </c>
      <c r="S785">
        <v>0</v>
      </c>
      <c r="T785">
        <v>0</v>
      </c>
      <c r="U785">
        <v>0</v>
      </c>
      <c r="V785">
        <v>0</v>
      </c>
      <c r="W785">
        <f t="shared" si="245"/>
        <v>0</v>
      </c>
      <c r="X785">
        <f t="shared" si="246"/>
        <v>1</v>
      </c>
      <c r="Y785">
        <f t="shared" si="255"/>
        <v>9.4172265624999998</v>
      </c>
      <c r="Z785">
        <f t="shared" si="281"/>
        <v>1.1232485855885854</v>
      </c>
      <c r="AC785">
        <f>$CA$236</f>
        <v>0.09</v>
      </c>
      <c r="AE785">
        <f>$CA$167</f>
        <v>0.55000000000000004</v>
      </c>
      <c r="AF785">
        <f t="shared" si="248"/>
        <v>4.2452857343749999</v>
      </c>
      <c r="AG785">
        <f t="shared" si="256"/>
        <v>0.19</v>
      </c>
      <c r="AH785">
        <f t="shared" si="257"/>
        <v>0.6784</v>
      </c>
      <c r="AI785">
        <f>AI771</f>
        <v>1E-3</v>
      </c>
      <c r="AK785">
        <f>AK771</f>
        <v>0.78</v>
      </c>
      <c r="AL785">
        <f>AL771</f>
        <v>99.998999999999995</v>
      </c>
      <c r="AM785">
        <f>AM771</f>
        <v>4.7000000000000002E-3</v>
      </c>
      <c r="AN785">
        <f t="shared" si="249"/>
        <v>4.2681627301404001E-6</v>
      </c>
      <c r="AO785">
        <f t="shared" si="258"/>
        <v>2.5718159266681488E-3</v>
      </c>
      <c r="AP785">
        <f t="shared" si="259"/>
        <v>2.5760840893982893E-3</v>
      </c>
      <c r="AQ785">
        <f t="shared" si="260"/>
        <v>5.5901024739942882</v>
      </c>
      <c r="AS785">
        <f t="shared" si="261"/>
        <v>0</v>
      </c>
      <c r="AT785">
        <f t="shared" si="253"/>
        <v>7.3970503442349553E-3</v>
      </c>
      <c r="AU785">
        <f t="shared" si="262"/>
        <v>0.12621214153442706</v>
      </c>
      <c r="AV785">
        <f t="shared" si="254"/>
        <v>273.88034712970671</v>
      </c>
      <c r="AY785">
        <f t="shared" si="263"/>
        <v>2E-3</v>
      </c>
      <c r="BB785">
        <f t="shared" si="264"/>
        <v>0.24</v>
      </c>
    </row>
    <row r="786" spans="7:54" x14ac:dyDescent="0.2">
      <c r="H786" t="s">
        <v>265</v>
      </c>
      <c r="J786">
        <v>30</v>
      </c>
      <c r="K786">
        <v>70</v>
      </c>
      <c r="M786">
        <f t="shared" ref="M786:M787" si="282">$BY$26</f>
        <v>550</v>
      </c>
      <c r="O786">
        <f t="shared" ref="O786:O787" si="283">$BY$72</f>
        <v>0.55000000000000004</v>
      </c>
      <c r="P786">
        <f t="shared" ref="P786:P787" si="284">$BZ$119</f>
        <v>770</v>
      </c>
      <c r="Q786">
        <f t="shared" si="244"/>
        <v>0.7142857142857143</v>
      </c>
      <c r="S786">
        <v>0</v>
      </c>
      <c r="T786">
        <v>0</v>
      </c>
      <c r="U786">
        <v>0</v>
      </c>
      <c r="V786">
        <v>0</v>
      </c>
      <c r="W786">
        <f t="shared" si="245"/>
        <v>0</v>
      </c>
      <c r="X786">
        <f t="shared" si="246"/>
        <v>1</v>
      </c>
      <c r="Y786">
        <f t="shared" si="255"/>
        <v>9.4172265624999998</v>
      </c>
      <c r="Z786">
        <f t="shared" si="281"/>
        <v>1.1232485855885854</v>
      </c>
      <c r="AC786">
        <f t="shared" ref="AC786:AC787" si="285">$CA$236</f>
        <v>0.09</v>
      </c>
      <c r="AE786">
        <f t="shared" ref="AE786:AE787" si="286">$CA$167</f>
        <v>0.55000000000000004</v>
      </c>
      <c r="AF786">
        <f t="shared" si="248"/>
        <v>4.2452857343749999</v>
      </c>
      <c r="AG786">
        <f t="shared" si="256"/>
        <v>0.19</v>
      </c>
      <c r="AH786">
        <f t="shared" si="257"/>
        <v>0.6784</v>
      </c>
      <c r="AI786">
        <f>AI771</f>
        <v>1E-3</v>
      </c>
      <c r="AK786">
        <f>AK771</f>
        <v>0.78</v>
      </c>
      <c r="AL786">
        <f>AL771</f>
        <v>99.998999999999995</v>
      </c>
      <c r="AM786">
        <f>AM771</f>
        <v>4.7000000000000002E-3</v>
      </c>
      <c r="AN786">
        <f t="shared" si="249"/>
        <v>4.2681627301404001E-6</v>
      </c>
      <c r="AO786">
        <f t="shared" si="258"/>
        <v>2.5718159266681488E-3</v>
      </c>
      <c r="AP786">
        <f t="shared" si="259"/>
        <v>2.5760840893982893E-3</v>
      </c>
      <c r="AQ786">
        <f t="shared" si="260"/>
        <v>5.4097765877364079</v>
      </c>
      <c r="AS786">
        <f t="shared" si="261"/>
        <v>0</v>
      </c>
      <c r="AT786">
        <f t="shared" si="253"/>
        <v>7.3970503442349553E-3</v>
      </c>
      <c r="AU786">
        <f t="shared" si="262"/>
        <v>0.12621214153442706</v>
      </c>
      <c r="AV786">
        <f t="shared" si="254"/>
        <v>265.04549722229677</v>
      </c>
      <c r="AY786">
        <f t="shared" si="263"/>
        <v>2E-3</v>
      </c>
      <c r="BB786">
        <f t="shared" si="264"/>
        <v>0.24</v>
      </c>
    </row>
    <row r="787" spans="7:54" x14ac:dyDescent="0.2">
      <c r="H787" t="s">
        <v>266</v>
      </c>
      <c r="I787" s="1">
        <v>30</v>
      </c>
      <c r="J787" s="1">
        <v>30</v>
      </c>
      <c r="K787">
        <v>65</v>
      </c>
      <c r="M787">
        <f t="shared" si="282"/>
        <v>550</v>
      </c>
      <c r="O787">
        <f t="shared" si="283"/>
        <v>0.55000000000000004</v>
      </c>
      <c r="P787">
        <f t="shared" si="284"/>
        <v>770</v>
      </c>
      <c r="Q787">
        <f t="shared" si="244"/>
        <v>0.7142857142857143</v>
      </c>
      <c r="S787">
        <v>0</v>
      </c>
      <c r="T787">
        <v>0</v>
      </c>
      <c r="U787">
        <v>0</v>
      </c>
      <c r="V787">
        <v>0</v>
      </c>
      <c r="W787">
        <f t="shared" si="245"/>
        <v>0</v>
      </c>
      <c r="X787">
        <f t="shared" si="246"/>
        <v>1</v>
      </c>
      <c r="Y787">
        <f t="shared" si="255"/>
        <v>9.4172265624999998</v>
      </c>
      <c r="Z787">
        <f t="shared" si="281"/>
        <v>1.1232485855885854</v>
      </c>
      <c r="AC787">
        <f t="shared" si="285"/>
        <v>0.09</v>
      </c>
      <c r="AE787">
        <f t="shared" si="286"/>
        <v>0.55000000000000004</v>
      </c>
      <c r="AF787">
        <f t="shared" si="248"/>
        <v>4.2452857343749999</v>
      </c>
      <c r="AG787">
        <f t="shared" si="256"/>
        <v>0.19</v>
      </c>
      <c r="AH787">
        <f t="shared" si="257"/>
        <v>0.6784</v>
      </c>
      <c r="AI787">
        <f>AI771</f>
        <v>1E-3</v>
      </c>
      <c r="AK787">
        <f>AK771</f>
        <v>0.78</v>
      </c>
      <c r="AL787">
        <f>AL771</f>
        <v>99.998999999999995</v>
      </c>
      <c r="AM787">
        <f>AM771</f>
        <v>4.7000000000000002E-3</v>
      </c>
      <c r="AN787">
        <f t="shared" si="249"/>
        <v>4.2681627301404001E-6</v>
      </c>
      <c r="AO787">
        <f t="shared" si="258"/>
        <v>2.5718159266681488E-3</v>
      </c>
      <c r="AP787">
        <f t="shared" si="259"/>
        <v>2.5760840893982893E-3</v>
      </c>
      <c r="AQ787">
        <f t="shared" si="260"/>
        <v>5.0233639743266645</v>
      </c>
      <c r="AS787">
        <f t="shared" si="261"/>
        <v>0</v>
      </c>
      <c r="AT787">
        <f t="shared" si="253"/>
        <v>7.3970503442349553E-3</v>
      </c>
      <c r="AU787">
        <f t="shared" si="262"/>
        <v>0.12621214153442706</v>
      </c>
      <c r="AV787">
        <f t="shared" si="254"/>
        <v>246.11367599213278</v>
      </c>
      <c r="AY787">
        <f t="shared" si="263"/>
        <v>2E-3</v>
      </c>
      <c r="BB787">
        <f t="shared" si="264"/>
        <v>0.24</v>
      </c>
    </row>
    <row r="788" spans="7:54" x14ac:dyDescent="0.2">
      <c r="H788" t="s">
        <v>267</v>
      </c>
      <c r="J788">
        <v>30</v>
      </c>
      <c r="K788">
        <v>65</v>
      </c>
      <c r="M788">
        <f>$BY$27</f>
        <v>500</v>
      </c>
      <c r="O788">
        <f>$BY$73</f>
        <v>-0.55000000000000004</v>
      </c>
      <c r="P788">
        <f>$BZ$120</f>
        <v>770</v>
      </c>
      <c r="Q788">
        <f t="shared" si="244"/>
        <v>0.64935064935064934</v>
      </c>
      <c r="S788">
        <v>0</v>
      </c>
      <c r="T788">
        <v>0</v>
      </c>
      <c r="U788">
        <v>0</v>
      </c>
      <c r="V788">
        <v>0</v>
      </c>
      <c r="W788">
        <f t="shared" si="245"/>
        <v>0</v>
      </c>
      <c r="X788">
        <f t="shared" si="246"/>
        <v>1</v>
      </c>
      <c r="Y788">
        <f t="shared" si="255"/>
        <v>6.9261080625000018</v>
      </c>
      <c r="Z788">
        <f t="shared" si="281"/>
        <v>0.8802854671280278</v>
      </c>
      <c r="AC788">
        <f>$CA$237</f>
        <v>0.06</v>
      </c>
      <c r="AE788">
        <f>$CA$168</f>
        <v>0.45</v>
      </c>
      <c r="AF788">
        <f t="shared" si="248"/>
        <v>3.7594914563250015</v>
      </c>
      <c r="AG788">
        <f t="shared" si="256"/>
        <v>0.19</v>
      </c>
      <c r="AH788">
        <f t="shared" si="257"/>
        <v>0.6784</v>
      </c>
      <c r="AI788">
        <f>AI771</f>
        <v>1E-3</v>
      </c>
      <c r="AK788">
        <f>AK771</f>
        <v>0.78</v>
      </c>
      <c r="AL788">
        <f>AL771</f>
        <v>99.998999999999995</v>
      </c>
      <c r="AM788">
        <f>AM771</f>
        <v>4.7000000000000002E-3</v>
      </c>
      <c r="AN788">
        <f t="shared" si="249"/>
        <v>3.7797506038848456E-6</v>
      </c>
      <c r="AO788">
        <f t="shared" si="258"/>
        <v>2.2775192551256914E-3</v>
      </c>
      <c r="AP788">
        <f t="shared" si="259"/>
        <v>2.2812990057295762E-3</v>
      </c>
      <c r="AQ788">
        <f t="shared" si="260"/>
        <v>4.4485330611726734</v>
      </c>
      <c r="AS788">
        <f t="shared" si="261"/>
        <v>0</v>
      </c>
      <c r="AT788">
        <f t="shared" si="253"/>
        <v>-8.0361182910665442E-3</v>
      </c>
      <c r="AU788">
        <f t="shared" si="262"/>
        <v>7.2665782267411161E-2</v>
      </c>
      <c r="AV788">
        <f t="shared" si="254"/>
        <v>141.69827542145177</v>
      </c>
      <c r="AY788">
        <f t="shared" si="263"/>
        <v>2E-3</v>
      </c>
      <c r="BB788">
        <f t="shared" si="264"/>
        <v>0.24</v>
      </c>
    </row>
    <row r="789" spans="7:54" x14ac:dyDescent="0.2">
      <c r="H789" t="s">
        <v>268</v>
      </c>
      <c r="J789">
        <v>31</v>
      </c>
      <c r="K789">
        <v>40</v>
      </c>
      <c r="M789">
        <f t="shared" ref="M789:M790" si="287">$BY$27</f>
        <v>500</v>
      </c>
      <c r="O789">
        <f t="shared" ref="O789:O790" si="288">$BY$73</f>
        <v>-0.55000000000000004</v>
      </c>
      <c r="P789">
        <f t="shared" ref="P789:P790" si="289">$BZ$120</f>
        <v>770</v>
      </c>
      <c r="Q789">
        <f t="shared" si="244"/>
        <v>0.64935064935064934</v>
      </c>
      <c r="S789">
        <v>0</v>
      </c>
      <c r="T789">
        <v>0</v>
      </c>
      <c r="U789">
        <v>0</v>
      </c>
      <c r="V789">
        <v>0</v>
      </c>
      <c r="W789">
        <f t="shared" si="245"/>
        <v>0</v>
      </c>
      <c r="X789">
        <f t="shared" si="246"/>
        <v>1</v>
      </c>
      <c r="Y789">
        <f t="shared" si="255"/>
        <v>6.9261080625000018</v>
      </c>
      <c r="Z789">
        <f t="shared" si="281"/>
        <v>0.8802854671280278</v>
      </c>
      <c r="AC789">
        <f t="shared" ref="AC789:AC790" si="290">$CA$237</f>
        <v>0.06</v>
      </c>
      <c r="AE789">
        <f t="shared" ref="AE789:AE790" si="291">$CA$168</f>
        <v>0.45</v>
      </c>
      <c r="AF789">
        <f t="shared" si="248"/>
        <v>3.7594914563250015</v>
      </c>
      <c r="AG789">
        <f t="shared" si="256"/>
        <v>0.19</v>
      </c>
      <c r="AH789">
        <f t="shared" si="257"/>
        <v>0.6784</v>
      </c>
      <c r="AI789">
        <f>AI771</f>
        <v>1E-3</v>
      </c>
      <c r="AK789">
        <f>AK771</f>
        <v>0.78</v>
      </c>
      <c r="AL789">
        <f>AL771</f>
        <v>99.998999999999995</v>
      </c>
      <c r="AM789">
        <f>AM771</f>
        <v>4.7000000000000002E-3</v>
      </c>
      <c r="AN789">
        <f t="shared" si="249"/>
        <v>3.7797506038848456E-6</v>
      </c>
      <c r="AO789">
        <f t="shared" si="258"/>
        <v>2.2775192551256914E-3</v>
      </c>
      <c r="AP789">
        <f t="shared" si="259"/>
        <v>2.2812990057295762E-3</v>
      </c>
      <c r="AQ789">
        <f t="shared" si="260"/>
        <v>2.8288107671046747</v>
      </c>
      <c r="AS789">
        <f t="shared" si="261"/>
        <v>0</v>
      </c>
      <c r="AT789">
        <f t="shared" si="253"/>
        <v>-8.0361182910665442E-3</v>
      </c>
      <c r="AU789">
        <f t="shared" si="262"/>
        <v>7.2665782267411161E-2</v>
      </c>
      <c r="AV789">
        <f t="shared" si="254"/>
        <v>90.105570011589833</v>
      </c>
      <c r="AY789">
        <f t="shared" si="263"/>
        <v>2E-3</v>
      </c>
      <c r="BB789">
        <f t="shared" si="264"/>
        <v>0.24</v>
      </c>
    </row>
    <row r="790" spans="7:54" x14ac:dyDescent="0.2">
      <c r="H790" t="s">
        <v>269</v>
      </c>
      <c r="J790">
        <v>31</v>
      </c>
      <c r="K790">
        <v>30</v>
      </c>
      <c r="M790">
        <f t="shared" si="287"/>
        <v>500</v>
      </c>
      <c r="O790">
        <f t="shared" si="288"/>
        <v>-0.55000000000000004</v>
      </c>
      <c r="P790">
        <f t="shared" si="289"/>
        <v>770</v>
      </c>
      <c r="Q790">
        <f t="shared" si="244"/>
        <v>0.64935064935064934</v>
      </c>
      <c r="S790">
        <v>0</v>
      </c>
      <c r="T790">
        <v>0</v>
      </c>
      <c r="U790">
        <v>0</v>
      </c>
      <c r="V790">
        <v>0</v>
      </c>
      <c r="W790">
        <f t="shared" si="245"/>
        <v>0</v>
      </c>
      <c r="X790">
        <f t="shared" si="246"/>
        <v>1</v>
      </c>
      <c r="Y790">
        <f t="shared" si="255"/>
        <v>6.9261080625000018</v>
      </c>
      <c r="Z790">
        <f t="shared" si="281"/>
        <v>0.8802854671280278</v>
      </c>
      <c r="AC790">
        <f t="shared" si="290"/>
        <v>0.06</v>
      </c>
      <c r="AE790">
        <f t="shared" si="291"/>
        <v>0.45</v>
      </c>
      <c r="AF790">
        <f t="shared" si="248"/>
        <v>3.7594914563250015</v>
      </c>
      <c r="AG790">
        <f t="shared" si="256"/>
        <v>0.19</v>
      </c>
      <c r="AH790">
        <f t="shared" si="257"/>
        <v>0.6784</v>
      </c>
      <c r="AI790">
        <f>AI771</f>
        <v>1E-3</v>
      </c>
      <c r="AK790">
        <f>AK771</f>
        <v>0.78</v>
      </c>
      <c r="AL790">
        <f>AL771</f>
        <v>99.998999999999995</v>
      </c>
      <c r="AM790">
        <f>AM771</f>
        <v>4.7000000000000002E-3</v>
      </c>
      <c r="AN790">
        <f t="shared" si="249"/>
        <v>3.7797506038848456E-6</v>
      </c>
      <c r="AO790">
        <f t="shared" si="258"/>
        <v>2.2775192551256914E-3</v>
      </c>
      <c r="AP790">
        <f t="shared" si="259"/>
        <v>2.2812990057295762E-3</v>
      </c>
      <c r="AQ790">
        <f t="shared" si="260"/>
        <v>2.1216080753285058</v>
      </c>
      <c r="AS790">
        <f t="shared" si="261"/>
        <v>0</v>
      </c>
      <c r="AT790">
        <f t="shared" si="253"/>
        <v>-8.0361182910665442E-3</v>
      </c>
      <c r="AU790">
        <f>MAX((Y790*AC790/6.25)+(0.032*AS790/6.38)-AT790-((1.1*(10^-4)*(M790^0.75))/6.25), 0)</f>
        <v>7.2665782267411161E-2</v>
      </c>
      <c r="AV790">
        <f t="shared" si="254"/>
        <v>67.579177508692382</v>
      </c>
      <c r="AY790">
        <f t="shared" si="263"/>
        <v>2E-3</v>
      </c>
      <c r="BB790">
        <f t="shared" si="264"/>
        <v>0.24</v>
      </c>
    </row>
    <row r="791" spans="7:54" x14ac:dyDescent="0.2">
      <c r="H791" t="s">
        <v>270</v>
      </c>
      <c r="J791">
        <v>30</v>
      </c>
      <c r="K791">
        <v>20</v>
      </c>
      <c r="L791" s="1">
        <v>440</v>
      </c>
      <c r="M791">
        <v>440</v>
      </c>
      <c r="O791">
        <f>$BY$70</f>
        <v>-0.55000000000000004</v>
      </c>
      <c r="P791">
        <f>$BZ$117</f>
        <v>770</v>
      </c>
      <c r="Q791">
        <f t="shared" si="244"/>
        <v>0.5714285714285714</v>
      </c>
      <c r="S791">
        <v>0</v>
      </c>
      <c r="T791">
        <v>0</v>
      </c>
      <c r="U791">
        <v>0</v>
      </c>
      <c r="V791">
        <v>0</v>
      </c>
      <c r="W791">
        <f t="shared" si="245"/>
        <v>0</v>
      </c>
      <c r="X791">
        <f t="shared" si="246"/>
        <v>1</v>
      </c>
      <c r="Y791">
        <f t="shared" si="255"/>
        <v>6.2799858801000008</v>
      </c>
      <c r="Z791">
        <f t="shared" si="281"/>
        <v>0.87485369497610288</v>
      </c>
      <c r="AC791">
        <f>$CA$234</f>
        <v>0.04</v>
      </c>
      <c r="AE791">
        <f>$CA$165</f>
        <v>0.4</v>
      </c>
      <c r="AF791">
        <f t="shared" si="248"/>
        <v>3.6976556862028804</v>
      </c>
      <c r="AG791">
        <f t="shared" si="256"/>
        <v>0.19</v>
      </c>
      <c r="AH791">
        <f t="shared" si="257"/>
        <v>0.6784</v>
      </c>
      <c r="AI791">
        <f>AI771</f>
        <v>1E-3</v>
      </c>
      <c r="AK791">
        <f>AK771</f>
        <v>0.78</v>
      </c>
      <c r="AL791">
        <f>AL771</f>
        <v>99.998999999999995</v>
      </c>
      <c r="AM791">
        <f>AM771</f>
        <v>4.7000000000000002E-3</v>
      </c>
      <c r="AN791">
        <f t="shared" si="249"/>
        <v>3.7175816131646915E-6</v>
      </c>
      <c r="AO791">
        <f t="shared" si="258"/>
        <v>2.2400588276331062E-3</v>
      </c>
      <c r="AP791">
        <f t="shared" si="259"/>
        <v>2.2437764092462708E-3</v>
      </c>
      <c r="AQ791">
        <f t="shared" si="260"/>
        <v>1.3462658455477625</v>
      </c>
      <c r="AS791">
        <f t="shared" si="261"/>
        <v>0</v>
      </c>
      <c r="AT791">
        <f t="shared" si="253"/>
        <v>-9.0060811181727433E-3</v>
      </c>
      <c r="AU791">
        <f t="shared" si="262"/>
        <v>4.7507152067342066E-2</v>
      </c>
      <c r="AV791">
        <f t="shared" si="254"/>
        <v>28.504291240405241</v>
      </c>
      <c r="AY791">
        <f t="shared" si="263"/>
        <v>2E-3</v>
      </c>
      <c r="BB791">
        <f t="shared" si="264"/>
        <v>0.24</v>
      </c>
    </row>
    <row r="792" spans="7:54" x14ac:dyDescent="0.2">
      <c r="H792" t="s">
        <v>271</v>
      </c>
      <c r="J792">
        <v>31</v>
      </c>
      <c r="K792">
        <v>40</v>
      </c>
      <c r="M792">
        <f t="shared" ref="M792:M793" si="292">$BY$24</f>
        <v>450</v>
      </c>
      <c r="O792">
        <f t="shared" ref="O792:O793" si="293">$BY$70</f>
        <v>-0.55000000000000004</v>
      </c>
      <c r="P792">
        <f t="shared" ref="P792:P793" si="294">$BZ$117</f>
        <v>770</v>
      </c>
      <c r="Q792">
        <f t="shared" si="244"/>
        <v>0.58441558441558439</v>
      </c>
      <c r="S792">
        <v>0</v>
      </c>
      <c r="T792">
        <v>0</v>
      </c>
      <c r="U792">
        <v>0</v>
      </c>
      <c r="V792">
        <v>0</v>
      </c>
      <c r="W792">
        <f t="shared" si="245"/>
        <v>0</v>
      </c>
      <c r="X792">
        <f t="shared" si="246"/>
        <v>1</v>
      </c>
      <c r="Y792">
        <f t="shared" si="255"/>
        <v>6.3920480624999998</v>
      </c>
      <c r="Z792">
        <f t="shared" si="281"/>
        <v>0.87585071345088394</v>
      </c>
      <c r="AC792">
        <f t="shared" ref="AC792:AC793" si="295">$CA$234</f>
        <v>0.04</v>
      </c>
      <c r="AE792">
        <f t="shared" ref="AE792:AE793" si="296">$CA$165</f>
        <v>0.4</v>
      </c>
      <c r="AF792">
        <f t="shared" si="248"/>
        <v>3.7636378991999999</v>
      </c>
      <c r="AG792">
        <f t="shared" si="256"/>
        <v>0.19</v>
      </c>
      <c r="AH792">
        <f t="shared" si="257"/>
        <v>0.6784</v>
      </c>
      <c r="AI792">
        <f>AI771</f>
        <v>1E-3</v>
      </c>
      <c r="AK792">
        <f>AK771</f>
        <v>0.78</v>
      </c>
      <c r="AL792">
        <f>AL771</f>
        <v>99.998999999999995</v>
      </c>
      <c r="AM792">
        <f>AM771</f>
        <v>4.7000000000000002E-3</v>
      </c>
      <c r="AN792">
        <f t="shared" si="249"/>
        <v>3.78391939111121E-6</v>
      </c>
      <c r="AO792">
        <f t="shared" si="258"/>
        <v>2.2800311915399107E-3</v>
      </c>
      <c r="AP792">
        <f t="shared" si="259"/>
        <v>2.283815110931022E-3</v>
      </c>
      <c r="AQ792">
        <f t="shared" si="260"/>
        <v>2.8319307375544676</v>
      </c>
      <c r="AS792">
        <f t="shared" si="261"/>
        <v>0</v>
      </c>
      <c r="AT792">
        <f t="shared" si="253"/>
        <v>-8.8269523142673872E-3</v>
      </c>
      <c r="AU792">
        <f t="shared" si="262"/>
        <v>4.8016481229445247E-2</v>
      </c>
      <c r="AV792">
        <f t="shared" si="254"/>
        <v>59.540436724512105</v>
      </c>
      <c r="AY792">
        <f t="shared" si="263"/>
        <v>2E-3</v>
      </c>
      <c r="BB792">
        <f t="shared" si="264"/>
        <v>0.24</v>
      </c>
    </row>
    <row r="793" spans="7:54" x14ac:dyDescent="0.2">
      <c r="H793" t="s">
        <v>272</v>
      </c>
      <c r="J793">
        <v>30</v>
      </c>
      <c r="K793">
        <v>60</v>
      </c>
      <c r="M793">
        <f t="shared" si="292"/>
        <v>450</v>
      </c>
      <c r="O793">
        <f t="shared" si="293"/>
        <v>-0.55000000000000004</v>
      </c>
      <c r="P793">
        <f t="shared" si="294"/>
        <v>770</v>
      </c>
      <c r="Q793">
        <f t="shared" si="244"/>
        <v>0.58441558441558439</v>
      </c>
      <c r="S793">
        <v>0</v>
      </c>
      <c r="T793">
        <v>0</v>
      </c>
      <c r="U793">
        <v>0</v>
      </c>
      <c r="V793">
        <v>0</v>
      </c>
      <c r="W793">
        <f t="shared" si="245"/>
        <v>0</v>
      </c>
      <c r="X793">
        <f t="shared" si="246"/>
        <v>1</v>
      </c>
      <c r="Y793">
        <f t="shared" si="255"/>
        <v>6.3920480624999998</v>
      </c>
      <c r="Z793">
        <f t="shared" si="281"/>
        <v>0.87585071345088394</v>
      </c>
      <c r="AC793">
        <f t="shared" si="295"/>
        <v>0.04</v>
      </c>
      <c r="AE793">
        <f t="shared" si="296"/>
        <v>0.4</v>
      </c>
      <c r="AF793">
        <f t="shared" si="248"/>
        <v>3.7636378991999999</v>
      </c>
      <c r="AG793">
        <f t="shared" si="256"/>
        <v>0.19</v>
      </c>
      <c r="AH793">
        <f t="shared" si="257"/>
        <v>0.6784</v>
      </c>
      <c r="AI793">
        <f>AI771</f>
        <v>1E-3</v>
      </c>
      <c r="AK793">
        <f>AK771</f>
        <v>0.78</v>
      </c>
      <c r="AL793">
        <f>AL771</f>
        <v>99.998999999999995</v>
      </c>
      <c r="AM793">
        <f>AM771</f>
        <v>4.7000000000000002E-3</v>
      </c>
      <c r="AN793">
        <f t="shared" si="249"/>
        <v>3.78391939111121E-6</v>
      </c>
      <c r="AO793">
        <f t="shared" si="258"/>
        <v>2.2800311915399107E-3</v>
      </c>
      <c r="AP793">
        <f t="shared" si="259"/>
        <v>2.283815110931022E-3</v>
      </c>
      <c r="AQ793">
        <f t="shared" si="260"/>
        <v>4.1108671996758392</v>
      </c>
      <c r="AS793">
        <f t="shared" si="261"/>
        <v>0</v>
      </c>
      <c r="AT793">
        <f t="shared" si="253"/>
        <v>-8.8269523142673872E-3</v>
      </c>
      <c r="AU793">
        <f t="shared" si="262"/>
        <v>4.8016481229445247E-2</v>
      </c>
      <c r="AV793">
        <f t="shared" si="254"/>
        <v>86.42966621300144</v>
      </c>
      <c r="AY793">
        <f t="shared" si="263"/>
        <v>2E-3</v>
      </c>
      <c r="BB793">
        <f t="shared" si="264"/>
        <v>0.24</v>
      </c>
    </row>
    <row r="794" spans="7:54" x14ac:dyDescent="0.2">
      <c r="H794" t="s">
        <v>273</v>
      </c>
      <c r="J794">
        <v>31</v>
      </c>
      <c r="K794">
        <v>75</v>
      </c>
      <c r="M794">
        <f>$BY$25</f>
        <v>500</v>
      </c>
      <c r="O794">
        <f>$BY$71</f>
        <v>0.55000000000000004</v>
      </c>
      <c r="P794">
        <f>$BZ$118</f>
        <v>770</v>
      </c>
      <c r="Q794">
        <f t="shared" si="244"/>
        <v>0.64935064935064934</v>
      </c>
      <c r="S794">
        <v>0</v>
      </c>
      <c r="T794">
        <v>0</v>
      </c>
      <c r="U794">
        <v>0</v>
      </c>
      <c r="V794">
        <v>0</v>
      </c>
      <c r="W794">
        <f t="shared" si="245"/>
        <v>0</v>
      </c>
      <c r="X794">
        <f t="shared" si="246"/>
        <v>1</v>
      </c>
      <c r="Y794">
        <f t="shared" si="255"/>
        <v>8.8699730624999997</v>
      </c>
      <c r="Z794">
        <f t="shared" si="281"/>
        <v>1.1273442906574394</v>
      </c>
      <c r="AC794">
        <f>$CA$235</f>
        <v>0.12</v>
      </c>
      <c r="AE794">
        <f>$CA$166</f>
        <v>0.65</v>
      </c>
      <c r="AF794">
        <f t="shared" si="248"/>
        <v>3.182546334825</v>
      </c>
      <c r="AG794">
        <f t="shared" si="256"/>
        <v>0.19</v>
      </c>
      <c r="AH794">
        <f t="shared" si="257"/>
        <v>0.6784</v>
      </c>
      <c r="AI794">
        <f>AI771</f>
        <v>1E-3</v>
      </c>
      <c r="AK794">
        <f>AK771</f>
        <v>0.78</v>
      </c>
      <c r="AL794">
        <f>AL771</f>
        <v>99.998999999999995</v>
      </c>
      <c r="AM794">
        <f>AM771</f>
        <v>4.7000000000000002E-3</v>
      </c>
      <c r="AN794">
        <f t="shared" si="249"/>
        <v>3.1996964405141052E-6</v>
      </c>
      <c r="AO794">
        <f t="shared" si="258"/>
        <v>1.9280029339337936E-3</v>
      </c>
      <c r="AP794">
        <f t="shared" si="259"/>
        <v>1.9312026303743078E-3</v>
      </c>
      <c r="AQ794">
        <f t="shared" si="260"/>
        <v>4.4900461156202658</v>
      </c>
      <c r="AS794">
        <f t="shared" si="261"/>
        <v>0</v>
      </c>
      <c r="AT794">
        <f t="shared" si="253"/>
        <v>8.00683436190857E-3</v>
      </c>
      <c r="AU794">
        <f t="shared" si="262"/>
        <v>0.16043567501443601</v>
      </c>
      <c r="AV794">
        <f t="shared" si="254"/>
        <v>373.01294440856367</v>
      </c>
      <c r="AY794">
        <f t="shared" si="263"/>
        <v>2E-3</v>
      </c>
      <c r="BB794">
        <f t="shared" si="264"/>
        <v>0.24</v>
      </c>
    </row>
    <row r="795" spans="7:54" x14ac:dyDescent="0.2">
      <c r="G795" t="s">
        <v>177</v>
      </c>
      <c r="H795" t="s">
        <v>262</v>
      </c>
      <c r="J795">
        <v>31</v>
      </c>
      <c r="K795">
        <v>180</v>
      </c>
      <c r="M795">
        <f>$BY$29</f>
        <v>310</v>
      </c>
      <c r="O795">
        <f>$BY$75</f>
        <v>0.66</v>
      </c>
      <c r="P795">
        <f>$BZ$122</f>
        <v>550</v>
      </c>
      <c r="Q795">
        <f t="shared" si="244"/>
        <v>0.5636363636363636</v>
      </c>
      <c r="S795">
        <v>0</v>
      </c>
      <c r="T795">
        <v>0</v>
      </c>
      <c r="U795">
        <v>0</v>
      </c>
      <c r="V795">
        <v>0</v>
      </c>
      <c r="W795">
        <f t="shared" si="245"/>
        <v>0</v>
      </c>
      <c r="X795">
        <f t="shared" si="246"/>
        <v>1</v>
      </c>
      <c r="Y795">
        <f t="shared" si="255"/>
        <v>6.5047441936000006</v>
      </c>
      <c r="Z795">
        <f t="shared" si="281"/>
        <v>1.1853761674427448</v>
      </c>
      <c r="AC795">
        <f>$CA$239</f>
        <v>0.12</v>
      </c>
      <c r="AE795">
        <f>$CA$170</f>
        <v>0.65</v>
      </c>
      <c r="AF795">
        <f t="shared" si="248"/>
        <v>2.33390221666368</v>
      </c>
      <c r="AG795">
        <f t="shared" si="256"/>
        <v>0.19</v>
      </c>
      <c r="AH795">
        <f t="shared" si="257"/>
        <v>0.6784</v>
      </c>
      <c r="AI795">
        <f>AI771</f>
        <v>1E-3</v>
      </c>
      <c r="AK795">
        <f>AK771</f>
        <v>0.78</v>
      </c>
      <c r="AL795">
        <f>AL771</f>
        <v>99.998999999999995</v>
      </c>
      <c r="AM795">
        <f>AM771</f>
        <v>4.7000000000000002E-3</v>
      </c>
      <c r="AN795">
        <f t="shared" si="249"/>
        <v>2.3464791489288373E-6</v>
      </c>
      <c r="AO795">
        <f t="shared" si="258"/>
        <v>1.4138899635186585E-3</v>
      </c>
      <c r="AP795">
        <f t="shared" si="259"/>
        <v>1.4162364426675875E-3</v>
      </c>
      <c r="AQ795">
        <f t="shared" si="260"/>
        <v>7.9025993500851381</v>
      </c>
      <c r="AS795">
        <f t="shared" si="261"/>
        <v>0</v>
      </c>
      <c r="AT795">
        <f t="shared" si="253"/>
        <v>1.087426671431581E-2</v>
      </c>
      <c r="AU795">
        <f t="shared" si="262"/>
        <v>0.11271655061830807</v>
      </c>
      <c r="AV795">
        <f t="shared" si="254"/>
        <v>628.95835245015905</v>
      </c>
      <c r="AY795">
        <f t="shared" si="263"/>
        <v>2E-3</v>
      </c>
      <c r="BB795">
        <f t="shared" si="264"/>
        <v>0.24</v>
      </c>
    </row>
    <row r="796" spans="7:54" x14ac:dyDescent="0.2">
      <c r="G796">
        <v>4</v>
      </c>
      <c r="H796" t="s">
        <v>263</v>
      </c>
      <c r="J796">
        <v>28</v>
      </c>
      <c r="K796">
        <v>180</v>
      </c>
      <c r="M796">
        <f>$BY$29</f>
        <v>310</v>
      </c>
      <c r="O796">
        <f>$BY$75</f>
        <v>0.66</v>
      </c>
      <c r="P796">
        <f>$BZ$122</f>
        <v>550</v>
      </c>
      <c r="Q796">
        <f t="shared" si="244"/>
        <v>0.5636363636363636</v>
      </c>
      <c r="S796">
        <v>0</v>
      </c>
      <c r="T796">
        <v>0</v>
      </c>
      <c r="U796">
        <v>0</v>
      </c>
      <c r="V796">
        <v>0</v>
      </c>
      <c r="W796">
        <f t="shared" si="245"/>
        <v>0</v>
      </c>
      <c r="X796">
        <f t="shared" si="246"/>
        <v>1</v>
      </c>
      <c r="Y796">
        <f t="shared" si="255"/>
        <v>6.5047441936000006</v>
      </c>
      <c r="Z796">
        <f t="shared" si="281"/>
        <v>1.1853761674427448</v>
      </c>
      <c r="AC796">
        <f>$CA$239</f>
        <v>0.12</v>
      </c>
      <c r="AE796">
        <f>$CA$170</f>
        <v>0.65</v>
      </c>
      <c r="AF796">
        <f t="shared" si="248"/>
        <v>2.33390221666368</v>
      </c>
      <c r="AG796">
        <f t="shared" si="256"/>
        <v>0.19</v>
      </c>
      <c r="AH796">
        <f t="shared" si="257"/>
        <v>0.6784</v>
      </c>
      <c r="AI796">
        <f>AI771</f>
        <v>1E-3</v>
      </c>
      <c r="AK796">
        <f>AK771</f>
        <v>0.78</v>
      </c>
      <c r="AL796">
        <f>AL771</f>
        <v>99.998999999999995</v>
      </c>
      <c r="AM796">
        <f>AM771</f>
        <v>4.7000000000000002E-3</v>
      </c>
      <c r="AN796">
        <f t="shared" si="249"/>
        <v>2.3464791489288373E-6</v>
      </c>
      <c r="AO796">
        <f t="shared" si="258"/>
        <v>1.4138899635186585E-3</v>
      </c>
      <c r="AP796">
        <f t="shared" si="259"/>
        <v>1.4162364426675875E-3</v>
      </c>
      <c r="AQ796">
        <f t="shared" si="260"/>
        <v>7.1378316710446406</v>
      </c>
      <c r="AS796">
        <f t="shared" si="261"/>
        <v>0</v>
      </c>
      <c r="AT796">
        <f t="shared" si="253"/>
        <v>1.087426671431581E-2</v>
      </c>
      <c r="AU796">
        <f t="shared" si="262"/>
        <v>0.11271655061830807</v>
      </c>
      <c r="AV796">
        <f t="shared" si="254"/>
        <v>568.09141511627274</v>
      </c>
      <c r="AY796">
        <f t="shared" si="263"/>
        <v>2E-3</v>
      </c>
      <c r="BB796">
        <f t="shared" si="264"/>
        <v>0.24</v>
      </c>
    </row>
    <row r="797" spans="7:54" x14ac:dyDescent="0.2">
      <c r="H797" t="s">
        <v>264</v>
      </c>
      <c r="J797">
        <v>31</v>
      </c>
      <c r="K797">
        <v>170</v>
      </c>
      <c r="M797">
        <f>$BY$30</f>
        <v>330</v>
      </c>
      <c r="O797">
        <f>$BY$76</f>
        <v>0.22</v>
      </c>
      <c r="P797">
        <f>$BZ$123</f>
        <v>550</v>
      </c>
      <c r="Q797">
        <f t="shared" si="244"/>
        <v>0.6</v>
      </c>
      <c r="S797">
        <v>0</v>
      </c>
      <c r="T797">
        <v>0</v>
      </c>
      <c r="U797">
        <v>0</v>
      </c>
      <c r="V797">
        <v>0</v>
      </c>
      <c r="W797">
        <f t="shared" si="245"/>
        <v>0</v>
      </c>
      <c r="X797">
        <f t="shared" si="246"/>
        <v>1</v>
      </c>
      <c r="Y797">
        <f t="shared" si="255"/>
        <v>6.0977388096000018</v>
      </c>
      <c r="Z797">
        <f t="shared" si="281"/>
        <v>1.0585822802243749</v>
      </c>
      <c r="AC797">
        <f>$CA$240</f>
        <v>0.09</v>
      </c>
      <c r="AE797">
        <f>$CA$171</f>
        <v>0.55000000000000004</v>
      </c>
      <c r="AF797">
        <f t="shared" si="248"/>
        <v>2.7488606553676811</v>
      </c>
      <c r="AG797">
        <f t="shared" si="256"/>
        <v>0.19</v>
      </c>
      <c r="AH797">
        <f t="shared" si="257"/>
        <v>0.6784</v>
      </c>
      <c r="AI797">
        <f>AI771</f>
        <v>1E-3</v>
      </c>
      <c r="AK797">
        <f>AK771</f>
        <v>0.78</v>
      </c>
      <c r="AL797">
        <f>AL771</f>
        <v>99.998999999999995</v>
      </c>
      <c r="AM797">
        <f>AM771</f>
        <v>4.7000000000000002E-3</v>
      </c>
      <c r="AN797">
        <f t="shared" si="249"/>
        <v>2.7636737156673268E-6</v>
      </c>
      <c r="AO797">
        <f t="shared" si="258"/>
        <v>1.6652739193553587E-3</v>
      </c>
      <c r="AP797">
        <f t="shared" si="259"/>
        <v>1.6680375930710259E-3</v>
      </c>
      <c r="AQ797">
        <f t="shared" si="260"/>
        <v>8.7905581154843073</v>
      </c>
      <c r="AS797">
        <f t="shared" si="261"/>
        <v>0</v>
      </c>
      <c r="AT797">
        <f t="shared" si="253"/>
        <v>3.4375567188944271E-3</v>
      </c>
      <c r="AU797">
        <f t="shared" si="262"/>
        <v>8.3007188832729326E-2</v>
      </c>
      <c r="AV797">
        <f t="shared" si="254"/>
        <v>437.44788514848352</v>
      </c>
      <c r="AY797">
        <f t="shared" si="263"/>
        <v>2E-3</v>
      </c>
      <c r="BB797">
        <f t="shared" si="264"/>
        <v>0.24</v>
      </c>
    </row>
    <row r="798" spans="7:54" x14ac:dyDescent="0.2">
      <c r="H798" t="s">
        <v>265</v>
      </c>
      <c r="J798">
        <v>30</v>
      </c>
      <c r="K798">
        <v>170</v>
      </c>
      <c r="M798">
        <f t="shared" ref="M798:M799" si="297">$BY$30</f>
        <v>330</v>
      </c>
      <c r="O798">
        <f t="shared" ref="O798:O799" si="298">$BY$76</f>
        <v>0.22</v>
      </c>
      <c r="P798">
        <f t="shared" ref="P798:P799" si="299">$BZ$123</f>
        <v>550</v>
      </c>
      <c r="Q798">
        <f t="shared" si="244"/>
        <v>0.6</v>
      </c>
      <c r="S798">
        <v>0</v>
      </c>
      <c r="T798">
        <v>0</v>
      </c>
      <c r="U798">
        <v>0</v>
      </c>
      <c r="V798">
        <v>0</v>
      </c>
      <c r="W798">
        <f t="shared" si="245"/>
        <v>0</v>
      </c>
      <c r="X798">
        <f t="shared" si="246"/>
        <v>1</v>
      </c>
      <c r="Y798">
        <f t="shared" si="255"/>
        <v>6.0977388096000018</v>
      </c>
      <c r="Z798">
        <f t="shared" si="281"/>
        <v>1.0585822802243749</v>
      </c>
      <c r="AC798">
        <f t="shared" ref="AC798:AC799" si="300">$CA$240</f>
        <v>0.09</v>
      </c>
      <c r="AE798">
        <f t="shared" ref="AE798:AE799" si="301">$CA$171</f>
        <v>0.55000000000000004</v>
      </c>
      <c r="AF798">
        <f t="shared" si="248"/>
        <v>2.7488606553676811</v>
      </c>
      <c r="AG798">
        <f t="shared" si="256"/>
        <v>0.19</v>
      </c>
      <c r="AH798">
        <f t="shared" si="257"/>
        <v>0.6784</v>
      </c>
      <c r="AI798">
        <f>AI771</f>
        <v>1E-3</v>
      </c>
      <c r="AK798">
        <f>AK771</f>
        <v>0.78</v>
      </c>
      <c r="AL798">
        <f>AL771</f>
        <v>99.998999999999995</v>
      </c>
      <c r="AM798">
        <f>AM771</f>
        <v>4.7000000000000002E-3</v>
      </c>
      <c r="AN798">
        <f t="shared" si="249"/>
        <v>2.7636737156673268E-6</v>
      </c>
      <c r="AO798">
        <f t="shared" si="258"/>
        <v>1.6652739193553587E-3</v>
      </c>
      <c r="AP798">
        <f t="shared" si="259"/>
        <v>1.6680375930710259E-3</v>
      </c>
      <c r="AQ798">
        <f t="shared" si="260"/>
        <v>8.5069917246622317</v>
      </c>
      <c r="AS798">
        <f t="shared" si="261"/>
        <v>0</v>
      </c>
      <c r="AT798">
        <f t="shared" si="253"/>
        <v>3.4375567188944271E-3</v>
      </c>
      <c r="AU798">
        <f t="shared" si="262"/>
        <v>8.3007188832729326E-2</v>
      </c>
      <c r="AV798">
        <f t="shared" si="254"/>
        <v>423.33666304691957</v>
      </c>
      <c r="AY798">
        <f t="shared" si="263"/>
        <v>2E-3</v>
      </c>
      <c r="BB798">
        <f t="shared" si="264"/>
        <v>0.24</v>
      </c>
    </row>
    <row r="799" spans="7:54" x14ac:dyDescent="0.2">
      <c r="H799" t="s">
        <v>266</v>
      </c>
      <c r="J799">
        <v>31</v>
      </c>
      <c r="K799">
        <v>168</v>
      </c>
      <c r="M799">
        <f t="shared" si="297"/>
        <v>330</v>
      </c>
      <c r="O799">
        <f t="shared" si="298"/>
        <v>0.22</v>
      </c>
      <c r="P799">
        <f t="shared" si="299"/>
        <v>550</v>
      </c>
      <c r="Q799">
        <f t="shared" si="244"/>
        <v>0.6</v>
      </c>
      <c r="S799">
        <v>0</v>
      </c>
      <c r="T799">
        <v>0</v>
      </c>
      <c r="U799">
        <v>0</v>
      </c>
      <c r="V799">
        <v>0</v>
      </c>
      <c r="W799">
        <f t="shared" si="245"/>
        <v>0</v>
      </c>
      <c r="X799">
        <f t="shared" si="246"/>
        <v>1</v>
      </c>
      <c r="Y799">
        <f t="shared" si="255"/>
        <v>6.0977388096000018</v>
      </c>
      <c r="Z799">
        <f t="shared" si="281"/>
        <v>1.0585822802243749</v>
      </c>
      <c r="AC799">
        <f t="shared" si="300"/>
        <v>0.09</v>
      </c>
      <c r="AE799">
        <f t="shared" si="301"/>
        <v>0.55000000000000004</v>
      </c>
      <c r="AF799">
        <f t="shared" si="248"/>
        <v>2.7488606553676811</v>
      </c>
      <c r="AG799">
        <f t="shared" si="256"/>
        <v>0.19</v>
      </c>
      <c r="AH799">
        <f t="shared" si="257"/>
        <v>0.6784</v>
      </c>
      <c r="AI799">
        <f>AI771</f>
        <v>1E-3</v>
      </c>
      <c r="AK799">
        <f>AK771</f>
        <v>0.78</v>
      </c>
      <c r="AL799">
        <f>AL771</f>
        <v>99.998999999999995</v>
      </c>
      <c r="AM799">
        <f>AM771</f>
        <v>4.7000000000000002E-3</v>
      </c>
      <c r="AN799">
        <f t="shared" si="249"/>
        <v>2.7636737156673268E-6</v>
      </c>
      <c r="AO799">
        <f t="shared" si="258"/>
        <v>1.6652739193553587E-3</v>
      </c>
      <c r="AP799">
        <f t="shared" si="259"/>
        <v>1.6680375930710259E-3</v>
      </c>
      <c r="AQ799">
        <f t="shared" si="260"/>
        <v>8.6871397847139029</v>
      </c>
      <c r="AS799">
        <f t="shared" si="261"/>
        <v>0</v>
      </c>
      <c r="AT799">
        <f t="shared" si="253"/>
        <v>3.4375567188944271E-3</v>
      </c>
      <c r="AU799">
        <f t="shared" si="262"/>
        <v>8.3007188832729326E-2</v>
      </c>
      <c r="AV799">
        <f t="shared" si="254"/>
        <v>432.30143944085432</v>
      </c>
      <c r="AY799">
        <f t="shared" si="263"/>
        <v>2E-3</v>
      </c>
      <c r="BB799">
        <f t="shared" si="264"/>
        <v>0.24</v>
      </c>
    </row>
    <row r="800" spans="7:54" x14ac:dyDescent="0.2">
      <c r="H800" t="s">
        <v>267</v>
      </c>
      <c r="J800">
        <v>30</v>
      </c>
      <c r="K800">
        <v>165</v>
      </c>
      <c r="M800">
        <f>$BY$31</f>
        <v>340</v>
      </c>
      <c r="O800">
        <f>$BY$77</f>
        <v>0.11</v>
      </c>
      <c r="P800">
        <f>$BZ$124</f>
        <v>550</v>
      </c>
      <c r="Q800">
        <f t="shared" si="244"/>
        <v>0.61818181818181817</v>
      </c>
      <c r="S800">
        <v>0</v>
      </c>
      <c r="T800">
        <v>0</v>
      </c>
      <c r="U800">
        <v>0</v>
      </c>
      <c r="V800">
        <v>0</v>
      </c>
      <c r="W800">
        <f t="shared" si="245"/>
        <v>0</v>
      </c>
      <c r="X800">
        <f t="shared" si="246"/>
        <v>1</v>
      </c>
      <c r="Y800">
        <f t="shared" si="255"/>
        <v>6.0648420361000017</v>
      </c>
      <c r="Z800">
        <f t="shared" si="281"/>
        <v>1.0287451945498933</v>
      </c>
      <c r="AC800">
        <f>$CA$241</f>
        <v>0.06</v>
      </c>
      <c r="AE800">
        <f>$CA$172</f>
        <v>0.45</v>
      </c>
      <c r="AF800">
        <f t="shared" si="248"/>
        <v>3.2919962571950814</v>
      </c>
      <c r="AG800">
        <f t="shared" si="256"/>
        <v>0.19</v>
      </c>
      <c r="AH800">
        <f t="shared" si="257"/>
        <v>0.6784</v>
      </c>
      <c r="AI800">
        <f>AI771</f>
        <v>1E-3</v>
      </c>
      <c r="AK800">
        <f>AK771</f>
        <v>0.78</v>
      </c>
      <c r="AL800">
        <f>AL771</f>
        <v>99.998999999999995</v>
      </c>
      <c r="AM800">
        <f>AM771</f>
        <v>4.7000000000000002E-3</v>
      </c>
      <c r="AN800">
        <f t="shared" si="249"/>
        <v>3.3097361666258548E-6</v>
      </c>
      <c r="AO800">
        <f t="shared" si="258"/>
        <v>1.9943082596848311E-3</v>
      </c>
      <c r="AP800">
        <f t="shared" si="259"/>
        <v>1.997617995851457E-3</v>
      </c>
      <c r="AQ800">
        <f t="shared" si="260"/>
        <v>9.8882090794647119</v>
      </c>
      <c r="AS800">
        <f t="shared" si="261"/>
        <v>0</v>
      </c>
      <c r="AT800">
        <f t="shared" si="253"/>
        <v>1.6746037509255468E-3</v>
      </c>
      <c r="AU800">
        <f t="shared" si="262"/>
        <v>5.5154332041898735E-2</v>
      </c>
      <c r="AV800">
        <f t="shared" si="254"/>
        <v>273.01394360739874</v>
      </c>
      <c r="AY800">
        <f t="shared" si="263"/>
        <v>2E-3</v>
      </c>
      <c r="BB800">
        <f t="shared" si="264"/>
        <v>0.24</v>
      </c>
    </row>
    <row r="801" spans="7:64" x14ac:dyDescent="0.2">
      <c r="H801" t="s">
        <v>268</v>
      </c>
      <c r="J801">
        <v>31</v>
      </c>
      <c r="K801">
        <v>130</v>
      </c>
      <c r="M801">
        <f t="shared" ref="M801:M802" si="302">$BY$31</f>
        <v>340</v>
      </c>
      <c r="N801" s="1">
        <v>0.2</v>
      </c>
      <c r="O801" s="1">
        <v>0.2</v>
      </c>
      <c r="P801">
        <f t="shared" ref="P801:P802" si="303">$BZ$124</f>
        <v>550</v>
      </c>
      <c r="Q801">
        <f t="shared" si="244"/>
        <v>0.61818181818181817</v>
      </c>
      <c r="S801">
        <v>0</v>
      </c>
      <c r="T801">
        <v>0</v>
      </c>
      <c r="U801">
        <v>0</v>
      </c>
      <c r="V801">
        <v>0</v>
      </c>
      <c r="W801">
        <f t="shared" si="245"/>
        <v>0</v>
      </c>
      <c r="X801">
        <f t="shared" si="246"/>
        <v>1</v>
      </c>
      <c r="Y801">
        <f t="shared" si="255"/>
        <v>6.2052802816000021</v>
      </c>
      <c r="Z801">
        <f t="shared" si="281"/>
        <v>1.0525669477512427</v>
      </c>
      <c r="AC801">
        <f t="shared" ref="AC801:AC802" si="304">$CA$241</f>
        <v>0.06</v>
      </c>
      <c r="AE801">
        <f t="shared" ref="AE801:AE802" si="305">$CA$172</f>
        <v>0.45</v>
      </c>
      <c r="AF801">
        <f t="shared" si="248"/>
        <v>3.3682261368524813</v>
      </c>
      <c r="AG801">
        <f t="shared" si="256"/>
        <v>0.19</v>
      </c>
      <c r="AH801">
        <f t="shared" si="257"/>
        <v>0.6784</v>
      </c>
      <c r="AI801">
        <f>AI771</f>
        <v>1E-3</v>
      </c>
      <c r="AK801">
        <f>AK771</f>
        <v>0.78</v>
      </c>
      <c r="AL801">
        <f>AL771</f>
        <v>99.998999999999995</v>
      </c>
      <c r="AM801">
        <f>AM771</f>
        <v>4.7000000000000002E-3</v>
      </c>
      <c r="AN801">
        <f t="shared" si="249"/>
        <v>3.3863768338587521E-6</v>
      </c>
      <c r="AO801">
        <f t="shared" si="258"/>
        <v>2.0404887127467878E-3</v>
      </c>
      <c r="AP801">
        <f t="shared" si="259"/>
        <v>2.0438750895806464E-3</v>
      </c>
      <c r="AQ801">
        <f t="shared" si="260"/>
        <v>8.2368166110100045</v>
      </c>
      <c r="AS801">
        <f t="shared" si="261"/>
        <v>0</v>
      </c>
      <c r="AT801">
        <f t="shared" si="253"/>
        <v>3.0435410815851409E-3</v>
      </c>
      <c r="AU801">
        <f t="shared" si="262"/>
        <v>5.5133601868039145E-2</v>
      </c>
      <c r="AV801">
        <f t="shared" si="254"/>
        <v>222.18841552819774</v>
      </c>
      <c r="AY801">
        <f t="shared" si="263"/>
        <v>2E-3</v>
      </c>
      <c r="BB801">
        <f t="shared" si="264"/>
        <v>0.24</v>
      </c>
    </row>
    <row r="802" spans="7:64" x14ac:dyDescent="0.2">
      <c r="H802" t="s">
        <v>269</v>
      </c>
      <c r="J802">
        <v>31</v>
      </c>
      <c r="K802">
        <v>120</v>
      </c>
      <c r="M802">
        <f t="shared" si="302"/>
        <v>340</v>
      </c>
      <c r="O802">
        <f t="shared" ref="O802" si="306">$BY$77</f>
        <v>0.11</v>
      </c>
      <c r="P802">
        <f t="shared" si="303"/>
        <v>550</v>
      </c>
      <c r="Q802">
        <f t="shared" si="244"/>
        <v>0.61818181818181817</v>
      </c>
      <c r="S802">
        <v>0</v>
      </c>
      <c r="T802">
        <v>0</v>
      </c>
      <c r="U802">
        <v>0</v>
      </c>
      <c r="V802">
        <v>0</v>
      </c>
      <c r="W802">
        <f t="shared" si="245"/>
        <v>0</v>
      </c>
      <c r="X802">
        <f t="shared" si="246"/>
        <v>1</v>
      </c>
      <c r="Y802">
        <f t="shared" si="255"/>
        <v>6.0648420361000017</v>
      </c>
      <c r="Z802">
        <f t="shared" si="281"/>
        <v>1.0287451945498933</v>
      </c>
      <c r="AC802">
        <f t="shared" si="304"/>
        <v>0.06</v>
      </c>
      <c r="AE802">
        <f t="shared" si="305"/>
        <v>0.45</v>
      </c>
      <c r="AF802">
        <f t="shared" si="248"/>
        <v>3.2919962571950814</v>
      </c>
      <c r="AG802">
        <f t="shared" si="256"/>
        <v>0.19</v>
      </c>
      <c r="AH802">
        <f t="shared" si="257"/>
        <v>0.6784</v>
      </c>
      <c r="AI802">
        <f>AI771</f>
        <v>1E-3</v>
      </c>
      <c r="AK802">
        <f>AK771</f>
        <v>0.78</v>
      </c>
      <c r="AL802">
        <f>AL771</f>
        <v>99.998999999999995</v>
      </c>
      <c r="AM802">
        <f>AM771</f>
        <v>4.7000000000000002E-3</v>
      </c>
      <c r="AN802">
        <f t="shared" si="249"/>
        <v>3.3097361666258548E-6</v>
      </c>
      <c r="AO802">
        <f t="shared" si="258"/>
        <v>1.9943082596848311E-3</v>
      </c>
      <c r="AP802">
        <f t="shared" si="259"/>
        <v>1.997617995851457E-3</v>
      </c>
      <c r="AQ802">
        <f t="shared" si="260"/>
        <v>7.4311389445674196</v>
      </c>
      <c r="AS802">
        <f t="shared" si="261"/>
        <v>0</v>
      </c>
      <c r="AT802">
        <f t="shared" si="253"/>
        <v>1.6746037509255468E-3</v>
      </c>
      <c r="AU802">
        <f t="shared" si="262"/>
        <v>5.5154332041898735E-2</v>
      </c>
      <c r="AV802">
        <f t="shared" si="254"/>
        <v>205.17411519586329</v>
      </c>
      <c r="AY802">
        <f t="shared" si="263"/>
        <v>2E-3</v>
      </c>
      <c r="BB802">
        <f t="shared" si="264"/>
        <v>0.24</v>
      </c>
    </row>
    <row r="803" spans="7:64" x14ac:dyDescent="0.2">
      <c r="H803" t="s">
        <v>270</v>
      </c>
      <c r="J803">
        <v>30</v>
      </c>
      <c r="K803">
        <v>90</v>
      </c>
      <c r="M803">
        <f>$BY$28</f>
        <v>260</v>
      </c>
      <c r="O803">
        <f>$BY$74</f>
        <v>0.22</v>
      </c>
      <c r="P803">
        <f>$BZ$121</f>
        <v>550</v>
      </c>
      <c r="Q803">
        <f t="shared" si="244"/>
        <v>0.47272727272727272</v>
      </c>
      <c r="S803">
        <v>0</v>
      </c>
      <c r="T803">
        <v>0</v>
      </c>
      <c r="U803">
        <v>0</v>
      </c>
      <c r="V803">
        <v>0</v>
      </c>
      <c r="W803">
        <f t="shared" ref="W803:W834" si="307">S803*B$773+T803*B$774</f>
        <v>0</v>
      </c>
      <c r="X803">
        <f t="shared" ref="X803:X834" si="308">(S803 * $BX$3 +T803* $BX$4) + (1 -S803 -T803 )</f>
        <v>1</v>
      </c>
      <c r="Y803">
        <f t="shared" si="255"/>
        <v>5.1028099236000015</v>
      </c>
      <c r="Z803">
        <f t="shared" si="281"/>
        <v>1.0642997380149821</v>
      </c>
      <c r="AC803">
        <f>$CA$238</f>
        <v>0.04</v>
      </c>
      <c r="AE803">
        <f>$CA$169</f>
        <v>0.4</v>
      </c>
      <c r="AF803">
        <f t="shared" ref="AF803:AF834" si="309">(Y803 * (1 - AE803) + (0.04 * Y803)) * ( 1 - $CJ$3 )</f>
        <v>3.0045344830156813</v>
      </c>
      <c r="AG803">
        <f t="shared" si="256"/>
        <v>0.19</v>
      </c>
      <c r="AH803">
        <f t="shared" si="257"/>
        <v>0.6784</v>
      </c>
      <c r="AI803">
        <f>AI771</f>
        <v>1E-3</v>
      </c>
      <c r="AK803">
        <f>AK771</f>
        <v>0.78</v>
      </c>
      <c r="AL803">
        <f>AL771</f>
        <v>99.998999999999995</v>
      </c>
      <c r="AM803">
        <f>AM771</f>
        <v>4.7000000000000002E-3</v>
      </c>
      <c r="AN803">
        <f t="shared" si="249"/>
        <v>3.0207253184377567E-6</v>
      </c>
      <c r="AO803">
        <f t="shared" si="258"/>
        <v>1.8201624387907036E-3</v>
      </c>
      <c r="AP803">
        <f t="shared" si="259"/>
        <v>1.8231831641091413E-3</v>
      </c>
      <c r="AQ803">
        <f t="shared" si="260"/>
        <v>4.9225945430946814</v>
      </c>
      <c r="AS803">
        <f t="shared" si="261"/>
        <v>0</v>
      </c>
      <c r="AT803">
        <f t="shared" ref="AT803:AT834" si="310" xml:space="preserve"> (0.032*W803/6.38) + (((0.212 - 0.008*(Z803-2) - (0.14 - 0.008*(Z803 - 2))/(1+EXP(-6*(Q803-0.4))))*O803*0.92)/6.25)</f>
        <v>4.2068109787787977E-3</v>
      </c>
      <c r="AU803">
        <f t="shared" si="262"/>
        <v>2.7311598147124926E-2</v>
      </c>
      <c r="AV803">
        <f t="shared" ref="AV803:AV834" si="311">K803*AU803*J803</f>
        <v>73.741314997237311</v>
      </c>
      <c r="AY803">
        <f t="shared" si="263"/>
        <v>2E-3</v>
      </c>
      <c r="BB803">
        <f t="shared" si="264"/>
        <v>0.24</v>
      </c>
    </row>
    <row r="804" spans="7:64" x14ac:dyDescent="0.2">
      <c r="H804" t="s">
        <v>271</v>
      </c>
      <c r="J804">
        <v>31</v>
      </c>
      <c r="K804">
        <v>120</v>
      </c>
      <c r="M804">
        <f t="shared" ref="M804:M805" si="312">$BY$28</f>
        <v>260</v>
      </c>
      <c r="O804">
        <f t="shared" ref="O804:O805" si="313">$BY$74</f>
        <v>0.22</v>
      </c>
      <c r="P804">
        <f t="shared" ref="P804:P805" si="314">$BZ$121</f>
        <v>550</v>
      </c>
      <c r="Q804">
        <f t="shared" si="244"/>
        <v>0.47272727272727272</v>
      </c>
      <c r="S804">
        <v>0</v>
      </c>
      <c r="T804">
        <v>0</v>
      </c>
      <c r="U804">
        <v>0</v>
      </c>
      <c r="V804">
        <v>0</v>
      </c>
      <c r="W804">
        <f t="shared" si="307"/>
        <v>0</v>
      </c>
      <c r="X804">
        <f t="shared" si="308"/>
        <v>1</v>
      </c>
      <c r="Y804">
        <f t="shared" si="255"/>
        <v>5.1028099236000015</v>
      </c>
      <c r="Z804">
        <f t="shared" si="281"/>
        <v>1.0642997380149821</v>
      </c>
      <c r="AC804">
        <f t="shared" ref="AC804:AC805" si="315">$CA$238</f>
        <v>0.04</v>
      </c>
      <c r="AE804">
        <f t="shared" ref="AE804:AE805" si="316">$CA$169</f>
        <v>0.4</v>
      </c>
      <c r="AF804">
        <f t="shared" si="309"/>
        <v>3.0045344830156813</v>
      </c>
      <c r="AG804">
        <f t="shared" si="256"/>
        <v>0.19</v>
      </c>
      <c r="AH804">
        <f t="shared" si="257"/>
        <v>0.6784</v>
      </c>
      <c r="AI804">
        <f>AI771</f>
        <v>1E-3</v>
      </c>
      <c r="AK804">
        <f>AK771</f>
        <v>0.78</v>
      </c>
      <c r="AL804">
        <f>AL771</f>
        <v>99.998999999999995</v>
      </c>
      <c r="AM804">
        <f>AM771</f>
        <v>4.7000000000000002E-3</v>
      </c>
      <c r="AN804">
        <f t="shared" si="249"/>
        <v>3.0207253184377567E-6</v>
      </c>
      <c r="AO804">
        <f t="shared" si="258"/>
        <v>1.8201624387907036E-3</v>
      </c>
      <c r="AP804">
        <f t="shared" si="259"/>
        <v>1.8231831641091413E-3</v>
      </c>
      <c r="AQ804">
        <f t="shared" si="260"/>
        <v>6.7822413704860054</v>
      </c>
      <c r="AS804">
        <f>U804*$B$773+V804*$B$774</f>
        <v>0</v>
      </c>
      <c r="AT804">
        <f t="shared" si="310"/>
        <v>4.2068109787787977E-3</v>
      </c>
      <c r="AU804">
        <f t="shared" si="262"/>
        <v>2.7311598147124926E-2</v>
      </c>
      <c r="AV804">
        <f t="shared" si="311"/>
        <v>101.59914510730472</v>
      </c>
      <c r="AY804">
        <f t="shared" si="263"/>
        <v>2E-3</v>
      </c>
      <c r="BB804">
        <f t="shared" si="264"/>
        <v>0.24</v>
      </c>
    </row>
    <row r="805" spans="7:64" x14ac:dyDescent="0.2">
      <c r="H805" t="s">
        <v>272</v>
      </c>
      <c r="J805">
        <v>30</v>
      </c>
      <c r="K805">
        <v>150</v>
      </c>
      <c r="M805">
        <f t="shared" si="312"/>
        <v>260</v>
      </c>
      <c r="O805">
        <f t="shared" si="313"/>
        <v>0.22</v>
      </c>
      <c r="P805">
        <f t="shared" si="314"/>
        <v>550</v>
      </c>
      <c r="Q805">
        <f t="shared" si="244"/>
        <v>0.47272727272727272</v>
      </c>
      <c r="S805">
        <v>0</v>
      </c>
      <c r="T805">
        <v>0</v>
      </c>
      <c r="U805">
        <v>0</v>
      </c>
      <c r="V805">
        <v>0</v>
      </c>
      <c r="W805">
        <f t="shared" si="307"/>
        <v>0</v>
      </c>
      <c r="X805">
        <f t="shared" si="308"/>
        <v>1</v>
      </c>
      <c r="Y805">
        <f t="shared" si="255"/>
        <v>5.1028099236000015</v>
      </c>
      <c r="Z805">
        <f t="shared" si="281"/>
        <v>1.0642997380149821</v>
      </c>
      <c r="AC805">
        <f t="shared" si="315"/>
        <v>0.04</v>
      </c>
      <c r="AE805">
        <f t="shared" si="316"/>
        <v>0.4</v>
      </c>
      <c r="AF805">
        <f t="shared" si="309"/>
        <v>3.0045344830156813</v>
      </c>
      <c r="AG805">
        <f t="shared" si="256"/>
        <v>0.19</v>
      </c>
      <c r="AH805">
        <f t="shared" si="257"/>
        <v>0.6784</v>
      </c>
      <c r="AI805">
        <f>AI771</f>
        <v>1E-3</v>
      </c>
      <c r="AK805">
        <f>AK771</f>
        <v>0.78</v>
      </c>
      <c r="AL805">
        <f>AL771</f>
        <v>99.998999999999995</v>
      </c>
      <c r="AM805">
        <f>AM771</f>
        <v>4.7000000000000002E-3</v>
      </c>
      <c r="AN805">
        <f t="shared" si="249"/>
        <v>3.0207253184377567E-6</v>
      </c>
      <c r="AO805">
        <f t="shared" si="258"/>
        <v>1.8201624387907036E-3</v>
      </c>
      <c r="AP805">
        <f t="shared" si="259"/>
        <v>1.8231831641091413E-3</v>
      </c>
      <c r="AQ805">
        <f t="shared" si="260"/>
        <v>8.2043242384911359</v>
      </c>
      <c r="AS805">
        <f t="shared" si="261"/>
        <v>0</v>
      </c>
      <c r="AT805">
        <f t="shared" si="310"/>
        <v>4.2068109787787977E-3</v>
      </c>
      <c r="AU805">
        <f>MAX((Y805*AC805/6.25)+(0.032*AS805/6.38)-AT805-((1.1*(10^-4)*(M805^0.75))/6.25), 0)</f>
        <v>2.7311598147124926E-2</v>
      </c>
      <c r="AV805">
        <f t="shared" si="311"/>
        <v>122.90219166206218</v>
      </c>
      <c r="AY805">
        <f t="shared" si="263"/>
        <v>2E-3</v>
      </c>
      <c r="BB805">
        <f t="shared" si="264"/>
        <v>0.24</v>
      </c>
    </row>
    <row r="806" spans="7:64" x14ac:dyDescent="0.2">
      <c r="H806" t="s">
        <v>273</v>
      </c>
      <c r="J806">
        <v>31</v>
      </c>
      <c r="K806">
        <v>170</v>
      </c>
      <c r="M806">
        <f>$BY$29</f>
        <v>310</v>
      </c>
      <c r="O806">
        <f>$BY$75</f>
        <v>0.66</v>
      </c>
      <c r="P806">
        <f>$BZ$122</f>
        <v>550</v>
      </c>
      <c r="Q806">
        <f t="shared" si="244"/>
        <v>0.5636363636363636</v>
      </c>
      <c r="S806">
        <v>0</v>
      </c>
      <c r="T806">
        <v>0</v>
      </c>
      <c r="U806">
        <v>0</v>
      </c>
      <c r="V806">
        <v>0</v>
      </c>
      <c r="W806">
        <f t="shared" si="307"/>
        <v>0</v>
      </c>
      <c r="X806">
        <f t="shared" si="308"/>
        <v>1</v>
      </c>
      <c r="Y806">
        <f t="shared" si="255"/>
        <v>6.5047441936000006</v>
      </c>
      <c r="Z806">
        <f>Y806 / ((1.185 + 0.00454 * M806 - 0.0000026 * M806 ^ 2) ^ 2 * X806)</f>
        <v>1.1853761674427448</v>
      </c>
      <c r="AC806">
        <f>$CA$239</f>
        <v>0.12</v>
      </c>
      <c r="AE806">
        <f>$CA$170</f>
        <v>0.65</v>
      </c>
      <c r="AF806">
        <f t="shared" si="309"/>
        <v>2.33390221666368</v>
      </c>
      <c r="AG806">
        <f t="shared" si="256"/>
        <v>0.19</v>
      </c>
      <c r="AH806">
        <f t="shared" si="257"/>
        <v>0.6784</v>
      </c>
      <c r="AI806">
        <f>AI771</f>
        <v>1E-3</v>
      </c>
      <c r="AK806">
        <f>AK771</f>
        <v>0.78</v>
      </c>
      <c r="AL806">
        <f>AL771</f>
        <v>99.998999999999995</v>
      </c>
      <c r="AM806">
        <f>AM771</f>
        <v>4.7000000000000002E-3</v>
      </c>
      <c r="AN806">
        <f t="shared" si="249"/>
        <v>2.3464791489288373E-6</v>
      </c>
      <c r="AO806">
        <f t="shared" si="258"/>
        <v>1.4138899635186585E-3</v>
      </c>
      <c r="AP806">
        <f t="shared" si="259"/>
        <v>1.4162364426675875E-3</v>
      </c>
      <c r="AQ806">
        <f t="shared" si="260"/>
        <v>7.4635660528581864</v>
      </c>
      <c r="AS806">
        <f t="shared" si="261"/>
        <v>0</v>
      </c>
      <c r="AT806">
        <f t="shared" si="310"/>
        <v>1.087426671431581E-2</v>
      </c>
      <c r="AU806">
        <f t="shared" si="262"/>
        <v>0.11271655061830807</v>
      </c>
      <c r="AV806">
        <f t="shared" si="311"/>
        <v>594.01622175848354</v>
      </c>
      <c r="AY806">
        <f t="shared" si="263"/>
        <v>2E-3</v>
      </c>
      <c r="BB806">
        <f t="shared" si="264"/>
        <v>0.24</v>
      </c>
    </row>
    <row r="807" spans="7:64" x14ac:dyDescent="0.2">
      <c r="G807" t="s">
        <v>179</v>
      </c>
      <c r="H807" t="s">
        <v>262</v>
      </c>
      <c r="J807">
        <v>31</v>
      </c>
      <c r="K807">
        <v>250</v>
      </c>
      <c r="M807">
        <f>$BY$33</f>
        <v>360</v>
      </c>
      <c r="O807">
        <f>$BY$79</f>
        <v>0.55000000000000004</v>
      </c>
      <c r="P807">
        <f>$BZ$126</f>
        <v>550</v>
      </c>
      <c r="Q807">
        <f t="shared" si="244"/>
        <v>0.65454545454545454</v>
      </c>
      <c r="S807">
        <v>0.05</v>
      </c>
      <c r="T807">
        <v>0.5</v>
      </c>
      <c r="U807">
        <v>0</v>
      </c>
      <c r="V807">
        <v>0</v>
      </c>
      <c r="W807">
        <f t="shared" si="307"/>
        <v>2.2999999999999998</v>
      </c>
      <c r="X807">
        <f t="shared" si="308"/>
        <v>1.0649999999999999</v>
      </c>
      <c r="Y807">
        <f t="shared" si="255"/>
        <v>7.5111141855464991</v>
      </c>
      <c r="Z807">
        <f t="shared" ref="Z807:Z822" si="317">Y807 / ((1.185 + 0.00454 * M807 - 0.0000026 * M807 ^ 2) ^ 2 * X807)</f>
        <v>1.1444510857303709</v>
      </c>
      <c r="AC807">
        <f>$CA$243</f>
        <v>0.12</v>
      </c>
      <c r="AE807">
        <f>$CA$174</f>
        <v>0.65</v>
      </c>
      <c r="AF807">
        <f t="shared" si="309"/>
        <v>2.6949877697740838</v>
      </c>
      <c r="AG807">
        <f t="shared" si="256"/>
        <v>0.19</v>
      </c>
      <c r="AH807">
        <f t="shared" si="257"/>
        <v>0.6784</v>
      </c>
      <c r="AI807">
        <f>AI771</f>
        <v>1E-3</v>
      </c>
      <c r="AK807">
        <f>AK771</f>
        <v>0.78</v>
      </c>
      <c r="AL807">
        <f>AL771</f>
        <v>99.998999999999995</v>
      </c>
      <c r="AM807">
        <f>AM771</f>
        <v>4.7000000000000002E-3</v>
      </c>
      <c r="AN807">
        <f t="shared" si="249"/>
        <v>2.7095105198678426E-6</v>
      </c>
      <c r="AO807">
        <f t="shared" si="258"/>
        <v>1.6326374482544136E-3</v>
      </c>
      <c r="AP807">
        <f t="shared" si="259"/>
        <v>1.6353469587742813E-3</v>
      </c>
      <c r="AQ807">
        <f t="shared" si="260"/>
        <v>12.673938930500681</v>
      </c>
      <c r="AS807">
        <f t="shared" si="261"/>
        <v>0</v>
      </c>
      <c r="AT807">
        <f t="shared" si="310"/>
        <v>1.948600006595614E-2</v>
      </c>
      <c r="AU807">
        <f t="shared" si="262"/>
        <v>0.12327280582729197</v>
      </c>
      <c r="AV807">
        <f t="shared" si="311"/>
        <v>955.36424516151283</v>
      </c>
      <c r="AY807">
        <f t="shared" si="263"/>
        <v>2E-3</v>
      </c>
      <c r="BB807">
        <f t="shared" si="264"/>
        <v>0.24</v>
      </c>
    </row>
    <row r="808" spans="7:64" x14ac:dyDescent="0.2">
      <c r="G808" t="s">
        <v>195</v>
      </c>
      <c r="H808" t="s">
        <v>263</v>
      </c>
      <c r="J808">
        <v>28</v>
      </c>
      <c r="K808">
        <v>260</v>
      </c>
      <c r="M808">
        <f>$BY$33</f>
        <v>360</v>
      </c>
      <c r="O808">
        <f>$BY$79</f>
        <v>0.55000000000000004</v>
      </c>
      <c r="P808">
        <f>$BZ$126</f>
        <v>550</v>
      </c>
      <c r="Q808">
        <f t="shared" si="244"/>
        <v>0.65454545454545454</v>
      </c>
      <c r="S808">
        <v>0</v>
      </c>
      <c r="T808">
        <v>0.35</v>
      </c>
      <c r="U808">
        <v>0</v>
      </c>
      <c r="V808">
        <v>0</v>
      </c>
      <c r="W808">
        <f t="shared" si="307"/>
        <v>1.4</v>
      </c>
      <c r="X808">
        <f t="shared" si="308"/>
        <v>1.0350000000000001</v>
      </c>
      <c r="Y808">
        <f t="shared" si="255"/>
        <v>7.2995335042634997</v>
      </c>
      <c r="Z808">
        <f t="shared" si="317"/>
        <v>1.1444510857303707</v>
      </c>
      <c r="AC808">
        <f>$CA$243</f>
        <v>0.12</v>
      </c>
      <c r="AE808">
        <f>$CA$174</f>
        <v>0.65</v>
      </c>
      <c r="AF808">
        <f t="shared" si="309"/>
        <v>2.6190726213297437</v>
      </c>
      <c r="AG808">
        <f t="shared" si="256"/>
        <v>0.19</v>
      </c>
      <c r="AH808">
        <f t="shared" si="257"/>
        <v>0.6784</v>
      </c>
      <c r="AI808">
        <f>AI771</f>
        <v>1E-3</v>
      </c>
      <c r="AK808">
        <f>AK771</f>
        <v>0.78</v>
      </c>
      <c r="AL808">
        <f>AL771</f>
        <v>99.998999999999995</v>
      </c>
      <c r="AM808">
        <f>AM771</f>
        <v>4.7000000000000002E-3</v>
      </c>
      <c r="AN808">
        <f t="shared" si="249"/>
        <v>2.6331862798715659E-6</v>
      </c>
      <c r="AO808">
        <f t="shared" si="258"/>
        <v>1.5866476609796417E-3</v>
      </c>
      <c r="AP808">
        <f t="shared" si="259"/>
        <v>1.5892808472595134E-3</v>
      </c>
      <c r="AQ808">
        <f t="shared" si="260"/>
        <v>11.569964568049258</v>
      </c>
      <c r="AS808">
        <f t="shared" si="261"/>
        <v>0</v>
      </c>
      <c r="AT808">
        <f t="shared" si="310"/>
        <v>1.497189348288404E-2</v>
      </c>
      <c r="AU808">
        <f t="shared" si="262"/>
        <v>0.12372456332973045</v>
      </c>
      <c r="AV808">
        <f t="shared" si="311"/>
        <v>900.71482104043764</v>
      </c>
      <c r="AY808">
        <f t="shared" si="263"/>
        <v>2E-3</v>
      </c>
      <c r="BB808">
        <f t="shared" si="264"/>
        <v>0.24</v>
      </c>
    </row>
    <row r="809" spans="7:64" x14ac:dyDescent="0.2">
      <c r="H809" t="s">
        <v>264</v>
      </c>
      <c r="J809">
        <v>31</v>
      </c>
      <c r="K809">
        <v>240</v>
      </c>
      <c r="L809" s="1">
        <v>390</v>
      </c>
      <c r="M809">
        <v>390</v>
      </c>
      <c r="O809">
        <f>$BY$80</f>
        <v>0.22</v>
      </c>
      <c r="P809">
        <f>$BZ$127</f>
        <v>550</v>
      </c>
      <c r="Q809">
        <f t="shared" si="244"/>
        <v>0.70909090909090911</v>
      </c>
      <c r="S809">
        <v>0</v>
      </c>
      <c r="T809">
        <v>0.04</v>
      </c>
      <c r="U809">
        <v>0</v>
      </c>
      <c r="V809">
        <v>0</v>
      </c>
      <c r="W809">
        <f t="shared" si="307"/>
        <v>0.16</v>
      </c>
      <c r="X809">
        <f t="shared" si="308"/>
        <v>1.004</v>
      </c>
      <c r="Y809">
        <f t="shared" si="255"/>
        <v>6.9416105324544004</v>
      </c>
      <c r="Z809">
        <f t="shared" si="317"/>
        <v>1.0548703860217041</v>
      </c>
      <c r="AC809">
        <f>$CA$244</f>
        <v>0.09</v>
      </c>
      <c r="AE809">
        <f>$CA$175</f>
        <v>0.55000000000000004</v>
      </c>
      <c r="AF809">
        <f t="shared" si="309"/>
        <v>3.1292780280304435</v>
      </c>
      <c r="AG809">
        <f t="shared" si="256"/>
        <v>0.19</v>
      </c>
      <c r="AH809">
        <f t="shared" si="257"/>
        <v>0.6784</v>
      </c>
      <c r="AI809">
        <f>AI771</f>
        <v>1E-3</v>
      </c>
      <c r="AK809">
        <f>AK771</f>
        <v>0.78</v>
      </c>
      <c r="AL809">
        <f>AL771</f>
        <v>99.998999999999995</v>
      </c>
      <c r="AM809">
        <f>AM771</f>
        <v>4.7000000000000002E-3</v>
      </c>
      <c r="AN809">
        <f t="shared" si="249"/>
        <v>3.1461410814678947E-6</v>
      </c>
      <c r="AO809">
        <f t="shared" si="258"/>
        <v>1.8957327197779838E-3</v>
      </c>
      <c r="AP809">
        <f t="shared" si="259"/>
        <v>1.8988788608594518E-3</v>
      </c>
      <c r="AQ809">
        <f t="shared" si="260"/>
        <v>14.127658724794321</v>
      </c>
      <c r="AS809">
        <f t="shared" si="261"/>
        <v>0</v>
      </c>
      <c r="AT809">
        <f t="shared" si="310"/>
        <v>3.7808942468440404E-3</v>
      </c>
      <c r="AU809">
        <f t="shared" si="262"/>
        <v>9.4633714873991914E-2</v>
      </c>
      <c r="AV809">
        <f t="shared" si="311"/>
        <v>704.07483866249981</v>
      </c>
      <c r="AY809">
        <f t="shared" si="263"/>
        <v>2E-3</v>
      </c>
      <c r="BB809">
        <f t="shared" si="264"/>
        <v>0.24</v>
      </c>
    </row>
    <row r="810" spans="7:64" x14ac:dyDescent="0.2">
      <c r="H810" t="s">
        <v>265</v>
      </c>
      <c r="J810">
        <v>30</v>
      </c>
      <c r="K810">
        <v>220</v>
      </c>
      <c r="M810">
        <f t="shared" ref="M810:M811" si="318">$BY$34</f>
        <v>380</v>
      </c>
      <c r="O810">
        <f t="shared" ref="O810:O811" si="319">$BY$80</f>
        <v>0.22</v>
      </c>
      <c r="P810">
        <f t="shared" ref="P810:P811" si="320">$BZ$127</f>
        <v>550</v>
      </c>
      <c r="Q810">
        <f t="shared" si="244"/>
        <v>0.69090909090909092</v>
      </c>
      <c r="S810">
        <v>0</v>
      </c>
      <c r="T810">
        <v>0</v>
      </c>
      <c r="U810">
        <v>0</v>
      </c>
      <c r="V810">
        <v>0</v>
      </c>
      <c r="W810">
        <f t="shared" si="307"/>
        <v>0</v>
      </c>
      <c r="X810">
        <f t="shared" si="308"/>
        <v>1</v>
      </c>
      <c r="Y810">
        <f t="shared" si="255"/>
        <v>6.7811284835999981</v>
      </c>
      <c r="Z810">
        <f t="shared" si="317"/>
        <v>1.0554272012925048</v>
      </c>
      <c r="AC810">
        <f t="shared" ref="AC810:AC811" si="321">$CA$244</f>
        <v>0.09</v>
      </c>
      <c r="AE810">
        <f t="shared" ref="AE810:AE811" si="322">$CA$175</f>
        <v>0.55000000000000004</v>
      </c>
      <c r="AF810">
        <f t="shared" si="309"/>
        <v>3.0569327204068788</v>
      </c>
      <c r="AG810">
        <f t="shared" si="256"/>
        <v>0.19</v>
      </c>
      <c r="AH810">
        <f t="shared" si="257"/>
        <v>0.6784</v>
      </c>
      <c r="AI810">
        <f t="shared" ref="AI810:AI841" si="323">AI$771</f>
        <v>1E-3</v>
      </c>
      <c r="AK810">
        <f t="shared" ref="AK810:AM829" si="324">AK$771</f>
        <v>0.78</v>
      </c>
      <c r="AL810">
        <f t="shared" si="324"/>
        <v>99.998999999999995</v>
      </c>
      <c r="AM810">
        <f t="shared" si="324"/>
        <v>4.7000000000000002E-3</v>
      </c>
      <c r="AN810">
        <f t="shared" si="249"/>
        <v>3.0734059194506085E-6</v>
      </c>
      <c r="AO810">
        <f t="shared" si="258"/>
        <v>1.8519055604281592E-3</v>
      </c>
      <c r="AP810">
        <f t="shared" si="259"/>
        <v>1.8549789663476098E-3</v>
      </c>
      <c r="AQ810">
        <f t="shared" si="260"/>
        <v>12.242861177894225</v>
      </c>
      <c r="AS810">
        <f t="shared" si="261"/>
        <v>0</v>
      </c>
      <c r="AT810">
        <f t="shared" si="310"/>
        <v>3.0418313976484424E-3</v>
      </c>
      <c r="AU810">
        <f t="shared" si="262"/>
        <v>9.3091635965804456E-2</v>
      </c>
      <c r="AV810">
        <f t="shared" si="311"/>
        <v>614.4047973743094</v>
      </c>
      <c r="AY810">
        <f t="shared" si="263"/>
        <v>2E-3</v>
      </c>
      <c r="BB810">
        <f t="shared" si="264"/>
        <v>0.24</v>
      </c>
    </row>
    <row r="811" spans="7:64" x14ac:dyDescent="0.2">
      <c r="H811" t="s">
        <v>266</v>
      </c>
      <c r="J811">
        <v>31</v>
      </c>
      <c r="K811">
        <v>200</v>
      </c>
      <c r="M811">
        <f t="shared" si="318"/>
        <v>380</v>
      </c>
      <c r="O811">
        <f t="shared" si="319"/>
        <v>0.22</v>
      </c>
      <c r="P811">
        <f t="shared" si="320"/>
        <v>550</v>
      </c>
      <c r="Q811">
        <f t="shared" si="244"/>
        <v>0.69090909090909092</v>
      </c>
      <c r="S811">
        <v>0</v>
      </c>
      <c r="T811">
        <v>0</v>
      </c>
      <c r="U811">
        <v>0</v>
      </c>
      <c r="V811">
        <v>0</v>
      </c>
      <c r="W811">
        <f t="shared" si="307"/>
        <v>0</v>
      </c>
      <c r="X811">
        <f t="shared" si="308"/>
        <v>1</v>
      </c>
      <c r="Y811">
        <f t="shared" si="255"/>
        <v>6.7811284835999981</v>
      </c>
      <c r="Z811">
        <f t="shared" si="317"/>
        <v>1.0554272012925048</v>
      </c>
      <c r="AC811">
        <f t="shared" si="321"/>
        <v>0.09</v>
      </c>
      <c r="AE811">
        <f t="shared" si="322"/>
        <v>0.55000000000000004</v>
      </c>
      <c r="AF811">
        <f t="shared" si="309"/>
        <v>3.0569327204068788</v>
      </c>
      <c r="AG811">
        <f t="shared" si="256"/>
        <v>0.19</v>
      </c>
      <c r="AH811">
        <f t="shared" si="257"/>
        <v>0.6784</v>
      </c>
      <c r="AI811">
        <f t="shared" si="323"/>
        <v>1E-3</v>
      </c>
      <c r="AK811">
        <f t="shared" si="324"/>
        <v>0.78</v>
      </c>
      <c r="AL811">
        <f t="shared" si="324"/>
        <v>99.998999999999995</v>
      </c>
      <c r="AM811">
        <f t="shared" si="324"/>
        <v>4.7000000000000002E-3</v>
      </c>
      <c r="AN811">
        <f t="shared" si="249"/>
        <v>3.0734059194506085E-6</v>
      </c>
      <c r="AO811">
        <f t="shared" si="258"/>
        <v>1.8519055604281592E-3</v>
      </c>
      <c r="AP811">
        <f t="shared" si="259"/>
        <v>1.8549789663476098E-3</v>
      </c>
      <c r="AQ811">
        <f t="shared" si="260"/>
        <v>11.50086959135518</v>
      </c>
      <c r="AS811">
        <f t="shared" si="261"/>
        <v>0</v>
      </c>
      <c r="AT811">
        <f t="shared" si="310"/>
        <v>3.0418313976484424E-3</v>
      </c>
      <c r="AU811">
        <f t="shared" si="262"/>
        <v>9.3091635965804456E-2</v>
      </c>
      <c r="AV811">
        <f t="shared" si="311"/>
        <v>577.16814298798761</v>
      </c>
      <c r="AY811">
        <f t="shared" si="263"/>
        <v>2E-3</v>
      </c>
      <c r="BB811">
        <f t="shared" si="264"/>
        <v>0.24</v>
      </c>
      <c r="BJ811" s="7"/>
      <c r="BK811" s="7"/>
      <c r="BL811" s="7"/>
    </row>
    <row r="812" spans="7:64" x14ac:dyDescent="0.2">
      <c r="H812" t="s">
        <v>267</v>
      </c>
      <c r="J812">
        <v>30</v>
      </c>
      <c r="K812">
        <v>195</v>
      </c>
      <c r="M812">
        <f>$BY$35</f>
        <v>360</v>
      </c>
      <c r="O812">
        <f>$BY$81</f>
        <v>-0.22</v>
      </c>
      <c r="P812">
        <f>$BZ$128</f>
        <v>550</v>
      </c>
      <c r="Q812">
        <f t="shared" si="244"/>
        <v>0.65454545454545454</v>
      </c>
      <c r="S812">
        <v>0</v>
      </c>
      <c r="T812">
        <v>0</v>
      </c>
      <c r="U812">
        <v>0</v>
      </c>
      <c r="V812">
        <v>0</v>
      </c>
      <c r="W812">
        <f t="shared" si="307"/>
        <v>0</v>
      </c>
      <c r="X812">
        <f t="shared" si="308"/>
        <v>1</v>
      </c>
      <c r="Y812">
        <f t="shared" si="255"/>
        <v>5.8232446595999994</v>
      </c>
      <c r="Z812">
        <f t="shared" si="317"/>
        <v>0.94494714253785794</v>
      </c>
      <c r="AC812">
        <f>$CA$245</f>
        <v>0.06</v>
      </c>
      <c r="AE812">
        <f>$CA$176</f>
        <v>0.45</v>
      </c>
      <c r="AF812">
        <f t="shared" si="309"/>
        <v>3.16085720123088</v>
      </c>
      <c r="AG812">
        <f t="shared" si="256"/>
        <v>0.19</v>
      </c>
      <c r="AH812">
        <f t="shared" si="257"/>
        <v>0.6784</v>
      </c>
      <c r="AI812">
        <f t="shared" si="323"/>
        <v>1E-3</v>
      </c>
      <c r="AK812">
        <f t="shared" si="324"/>
        <v>0.78</v>
      </c>
      <c r="AL812">
        <f t="shared" si="324"/>
        <v>99.998999999999995</v>
      </c>
      <c r="AM812">
        <f t="shared" si="324"/>
        <v>4.7000000000000002E-3</v>
      </c>
      <c r="AN812">
        <f t="shared" si="249"/>
        <v>3.1778904285168732E-6</v>
      </c>
      <c r="AO812">
        <f t="shared" si="258"/>
        <v>1.9148635452793795E-3</v>
      </c>
      <c r="AP812">
        <f t="shared" si="259"/>
        <v>1.9180414357078963E-3</v>
      </c>
      <c r="AQ812">
        <f t="shared" si="260"/>
        <v>11.220542398891192</v>
      </c>
      <c r="AS812">
        <f t="shared" si="261"/>
        <v>0</v>
      </c>
      <c r="AT812">
        <f t="shared" si="310"/>
        <v>-3.1892003674283188E-3</v>
      </c>
      <c r="AU812">
        <f t="shared" si="262"/>
        <v>5.7637762630343627E-2</v>
      </c>
      <c r="AV812">
        <f t="shared" si="311"/>
        <v>337.18091138751021</v>
      </c>
      <c r="AY812">
        <f t="shared" si="263"/>
        <v>2E-3</v>
      </c>
      <c r="BB812">
        <f t="shared" si="264"/>
        <v>0.24</v>
      </c>
    </row>
    <row r="813" spans="7:64" x14ac:dyDescent="0.2">
      <c r="H813" t="s">
        <v>268</v>
      </c>
      <c r="J813">
        <v>31</v>
      </c>
      <c r="K813">
        <v>180</v>
      </c>
      <c r="M813">
        <f t="shared" ref="M813:M814" si="325">$BY$35</f>
        <v>360</v>
      </c>
      <c r="O813">
        <f t="shared" ref="O813:O814" si="326">$BY$81</f>
        <v>-0.22</v>
      </c>
      <c r="P813">
        <f t="shared" ref="P813:P814" si="327">$BZ$128</f>
        <v>550</v>
      </c>
      <c r="Q813">
        <f t="shared" si="244"/>
        <v>0.65454545454545454</v>
      </c>
      <c r="S813">
        <v>0</v>
      </c>
      <c r="T813">
        <v>0</v>
      </c>
      <c r="U813">
        <v>0</v>
      </c>
      <c r="V813">
        <v>0</v>
      </c>
      <c r="W813">
        <f t="shared" si="307"/>
        <v>0</v>
      </c>
      <c r="X813">
        <f t="shared" si="308"/>
        <v>1</v>
      </c>
      <c r="Y813">
        <f t="shared" si="255"/>
        <v>5.8232446595999994</v>
      </c>
      <c r="Z813">
        <f t="shared" si="317"/>
        <v>0.94494714253785794</v>
      </c>
      <c r="AC813">
        <f t="shared" ref="AC813:AC814" si="328">$CA$245</f>
        <v>0.06</v>
      </c>
      <c r="AE813">
        <f t="shared" ref="AE813:AE814" si="329">$CA$176</f>
        <v>0.45</v>
      </c>
      <c r="AF813">
        <f t="shared" si="309"/>
        <v>3.16085720123088</v>
      </c>
      <c r="AG813">
        <f t="shared" si="256"/>
        <v>0.19</v>
      </c>
      <c r="AH813">
        <f t="shared" si="257"/>
        <v>0.6784</v>
      </c>
      <c r="AI813">
        <f t="shared" si="323"/>
        <v>1E-3</v>
      </c>
      <c r="AK813">
        <f t="shared" si="324"/>
        <v>0.78</v>
      </c>
      <c r="AL813">
        <f t="shared" si="324"/>
        <v>99.998999999999995</v>
      </c>
      <c r="AM813">
        <f t="shared" si="324"/>
        <v>4.7000000000000002E-3</v>
      </c>
      <c r="AN813">
        <f t="shared" si="249"/>
        <v>3.1778904285168732E-6</v>
      </c>
      <c r="AO813">
        <f t="shared" si="258"/>
        <v>1.9148635452793795E-3</v>
      </c>
      <c r="AP813">
        <f t="shared" si="259"/>
        <v>1.9180414357078963E-3</v>
      </c>
      <c r="AQ813">
        <f t="shared" si="260"/>
        <v>10.702671211250061</v>
      </c>
      <c r="AS813">
        <f t="shared" si="261"/>
        <v>0</v>
      </c>
      <c r="AT813">
        <f t="shared" si="310"/>
        <v>-3.1892003674283188E-3</v>
      </c>
      <c r="AU813">
        <f t="shared" si="262"/>
        <v>5.7637762630343627E-2</v>
      </c>
      <c r="AV813">
        <f t="shared" si="311"/>
        <v>321.61871547731744</v>
      </c>
      <c r="AY813">
        <f t="shared" si="263"/>
        <v>2E-3</v>
      </c>
      <c r="BB813">
        <f t="shared" si="264"/>
        <v>0.24</v>
      </c>
    </row>
    <row r="814" spans="7:64" x14ac:dyDescent="0.2">
      <c r="H814" t="s">
        <v>269</v>
      </c>
      <c r="I814" s="1">
        <v>28</v>
      </c>
      <c r="J814" s="1">
        <v>28</v>
      </c>
      <c r="K814">
        <v>160</v>
      </c>
      <c r="M814">
        <f t="shared" si="325"/>
        <v>360</v>
      </c>
      <c r="O814">
        <f t="shared" si="326"/>
        <v>-0.22</v>
      </c>
      <c r="P814">
        <f t="shared" si="327"/>
        <v>550</v>
      </c>
      <c r="Q814">
        <f t="shared" si="244"/>
        <v>0.65454545454545454</v>
      </c>
      <c r="S814">
        <v>0</v>
      </c>
      <c r="T814">
        <v>0</v>
      </c>
      <c r="U814">
        <v>0</v>
      </c>
      <c r="V814">
        <v>0</v>
      </c>
      <c r="W814">
        <f t="shared" si="307"/>
        <v>0</v>
      </c>
      <c r="X814">
        <f t="shared" si="308"/>
        <v>1</v>
      </c>
      <c r="Y814">
        <f t="shared" si="255"/>
        <v>5.8232446595999994</v>
      </c>
      <c r="Z814">
        <f t="shared" si="317"/>
        <v>0.94494714253785794</v>
      </c>
      <c r="AC814">
        <f t="shared" si="328"/>
        <v>0.06</v>
      </c>
      <c r="AE814">
        <f t="shared" si="329"/>
        <v>0.45</v>
      </c>
      <c r="AF814">
        <f t="shared" si="309"/>
        <v>3.16085720123088</v>
      </c>
      <c r="AG814">
        <f t="shared" si="256"/>
        <v>0.19</v>
      </c>
      <c r="AH814">
        <f t="shared" si="257"/>
        <v>0.6784</v>
      </c>
      <c r="AI814">
        <f t="shared" si="323"/>
        <v>1E-3</v>
      </c>
      <c r="AK814">
        <f t="shared" si="324"/>
        <v>0.78</v>
      </c>
      <c r="AL814">
        <f t="shared" si="324"/>
        <v>99.998999999999995</v>
      </c>
      <c r="AM814">
        <f t="shared" si="324"/>
        <v>4.7000000000000002E-3</v>
      </c>
      <c r="AN814">
        <f t="shared" si="249"/>
        <v>3.1778904285168732E-6</v>
      </c>
      <c r="AO814">
        <f t="shared" si="258"/>
        <v>1.9148635452793795E-3</v>
      </c>
      <c r="AP814">
        <f t="shared" si="259"/>
        <v>1.9180414357078963E-3</v>
      </c>
      <c r="AQ814">
        <f t="shared" si="260"/>
        <v>8.5928256319713761</v>
      </c>
      <c r="AS814">
        <f t="shared" si="261"/>
        <v>0</v>
      </c>
      <c r="AT814">
        <f t="shared" si="310"/>
        <v>-3.1892003674283188E-3</v>
      </c>
      <c r="AU814">
        <f t="shared" si="262"/>
        <v>5.7637762630343627E-2</v>
      </c>
      <c r="AV814">
        <f t="shared" si="311"/>
        <v>258.21717658393942</v>
      </c>
      <c r="AY814">
        <f t="shared" si="263"/>
        <v>2E-3</v>
      </c>
      <c r="BB814">
        <f t="shared" si="264"/>
        <v>0.24</v>
      </c>
    </row>
    <row r="815" spans="7:64" x14ac:dyDescent="0.2">
      <c r="H815" t="s">
        <v>270</v>
      </c>
      <c r="J815">
        <v>30</v>
      </c>
      <c r="K815">
        <v>140</v>
      </c>
      <c r="M815">
        <f>$BY$32</f>
        <v>340</v>
      </c>
      <c r="O815">
        <f>$BY$78</f>
        <v>-0.22</v>
      </c>
      <c r="P815">
        <f>$BZ$125</f>
        <v>550</v>
      </c>
      <c r="Q815">
        <f t="shared" si="244"/>
        <v>0.61818181818181817</v>
      </c>
      <c r="S815">
        <v>0.2</v>
      </c>
      <c r="T815">
        <v>0</v>
      </c>
      <c r="U815">
        <v>0</v>
      </c>
      <c r="V815">
        <v>0</v>
      </c>
      <c r="W815">
        <f t="shared" si="307"/>
        <v>1.2000000000000002</v>
      </c>
      <c r="X815">
        <f t="shared" si="308"/>
        <v>1.06</v>
      </c>
      <c r="Y815">
        <f t="shared" si="255"/>
        <v>5.8974736508560008</v>
      </c>
      <c r="Z815">
        <f t="shared" si="317"/>
        <v>0.94373154013100757</v>
      </c>
      <c r="AC815">
        <f>$CA$242</f>
        <v>0.04</v>
      </c>
      <c r="AE815">
        <f>$CA$173</f>
        <v>0.4</v>
      </c>
      <c r="AF815">
        <f t="shared" si="309"/>
        <v>3.4724324856240134</v>
      </c>
      <c r="AG815">
        <f t="shared" si="256"/>
        <v>0.19</v>
      </c>
      <c r="AH815">
        <f t="shared" si="257"/>
        <v>0.6784</v>
      </c>
      <c r="AI815">
        <f t="shared" si="323"/>
        <v>1E-3</v>
      </c>
      <c r="AK815">
        <f t="shared" si="324"/>
        <v>0.78</v>
      </c>
      <c r="AL815">
        <f t="shared" si="324"/>
        <v>99.998999999999995</v>
      </c>
      <c r="AM815">
        <f t="shared" si="324"/>
        <v>4.7000000000000002E-3</v>
      </c>
      <c r="AN815">
        <f t="shared" si="249"/>
        <v>3.4911447298025445E-6</v>
      </c>
      <c r="AO815">
        <f t="shared" si="258"/>
        <v>2.103617454649956E-3</v>
      </c>
      <c r="AP815">
        <f t="shared" si="259"/>
        <v>2.1071085993797584E-3</v>
      </c>
      <c r="AQ815">
        <f t="shared" si="260"/>
        <v>8.8498561173949852</v>
      </c>
      <c r="AS815">
        <f t="shared" si="261"/>
        <v>0</v>
      </c>
      <c r="AT815">
        <f t="shared" si="310"/>
        <v>2.6649179742676533E-3</v>
      </c>
      <c r="AU815">
        <f t="shared" si="262"/>
        <v>3.3685365637475012E-2</v>
      </c>
      <c r="AV815">
        <f t="shared" si="311"/>
        <v>141.47853567739506</v>
      </c>
      <c r="AY815">
        <f t="shared" si="263"/>
        <v>2E-3</v>
      </c>
      <c r="BB815">
        <f t="shared" si="264"/>
        <v>0.24</v>
      </c>
    </row>
    <row r="816" spans="7:64" x14ac:dyDescent="0.2">
      <c r="H816" t="s">
        <v>271</v>
      </c>
      <c r="J816">
        <v>31</v>
      </c>
      <c r="K816">
        <v>160</v>
      </c>
      <c r="M816">
        <f t="shared" ref="M816:M817" si="330">$BY$32</f>
        <v>340</v>
      </c>
      <c r="O816">
        <f t="shared" ref="O816:O817" si="331">$BY$78</f>
        <v>-0.22</v>
      </c>
      <c r="P816">
        <f t="shared" ref="P816:P817" si="332">$BZ$125</f>
        <v>550</v>
      </c>
      <c r="Q816">
        <f t="shared" si="244"/>
        <v>0.61818181818181817</v>
      </c>
      <c r="S816">
        <v>0.2</v>
      </c>
      <c r="T816">
        <v>0.2</v>
      </c>
      <c r="U816">
        <v>0</v>
      </c>
      <c r="V816">
        <v>0</v>
      </c>
      <c r="W816">
        <f t="shared" si="307"/>
        <v>2</v>
      </c>
      <c r="X816">
        <f t="shared" si="308"/>
        <v>1.08</v>
      </c>
      <c r="Y816">
        <f t="shared" si="255"/>
        <v>6.0087467386080009</v>
      </c>
      <c r="Z816">
        <f t="shared" si="317"/>
        <v>0.94373154013100757</v>
      </c>
      <c r="AC816">
        <f t="shared" ref="AC816:AC817" si="333">$CA$242</f>
        <v>0.04</v>
      </c>
      <c r="AE816">
        <f t="shared" ref="AE816:AE817" si="334">$CA$173</f>
        <v>0.4</v>
      </c>
      <c r="AF816">
        <f t="shared" si="309"/>
        <v>3.5379500796923908</v>
      </c>
      <c r="AG816">
        <f t="shared" si="256"/>
        <v>0.19</v>
      </c>
      <c r="AH816">
        <f t="shared" si="257"/>
        <v>0.6784</v>
      </c>
      <c r="AI816">
        <f t="shared" si="323"/>
        <v>1E-3</v>
      </c>
      <c r="AK816">
        <f t="shared" si="324"/>
        <v>0.78</v>
      </c>
      <c r="AL816">
        <f t="shared" si="324"/>
        <v>99.998999999999995</v>
      </c>
      <c r="AM816">
        <f t="shared" si="324"/>
        <v>4.7000000000000002E-3</v>
      </c>
      <c r="AN816">
        <f t="shared" si="249"/>
        <v>3.5570153850818376E-6</v>
      </c>
      <c r="AO816">
        <f t="shared" si="258"/>
        <v>2.1433083500207099E-3</v>
      </c>
      <c r="AP816">
        <f t="shared" si="259"/>
        <v>2.146865365405792E-3</v>
      </c>
      <c r="AQ816">
        <f t="shared" si="260"/>
        <v>10.648452212412728</v>
      </c>
      <c r="AS816">
        <f t="shared" si="261"/>
        <v>0</v>
      </c>
      <c r="AT816">
        <f t="shared" si="310"/>
        <v>6.677457159220631E-3</v>
      </c>
      <c r="AU816">
        <f t="shared" si="262"/>
        <v>3.0384974214134844E-2</v>
      </c>
      <c r="AV816">
        <f t="shared" si="311"/>
        <v>150.7094721021088</v>
      </c>
      <c r="AY816">
        <f t="shared" si="263"/>
        <v>2E-3</v>
      </c>
      <c r="BB816">
        <f t="shared" si="264"/>
        <v>0.24</v>
      </c>
    </row>
    <row r="817" spans="7:54" x14ac:dyDescent="0.2">
      <c r="H817" t="s">
        <v>272</v>
      </c>
      <c r="J817">
        <v>30</v>
      </c>
      <c r="K817">
        <v>180</v>
      </c>
      <c r="M817">
        <f t="shared" si="330"/>
        <v>340</v>
      </c>
      <c r="O817">
        <f t="shared" si="331"/>
        <v>-0.22</v>
      </c>
      <c r="P817">
        <f t="shared" si="332"/>
        <v>550</v>
      </c>
      <c r="Q817">
        <f t="shared" si="244"/>
        <v>0.61818181818181817</v>
      </c>
      <c r="S817">
        <v>0.3</v>
      </c>
      <c r="T817">
        <v>0.38</v>
      </c>
      <c r="U817">
        <v>0</v>
      </c>
      <c r="V817">
        <v>0</v>
      </c>
      <c r="W817">
        <f t="shared" si="307"/>
        <v>3.32</v>
      </c>
      <c r="X817">
        <f t="shared" si="308"/>
        <v>1.1280000000000001</v>
      </c>
      <c r="Y817">
        <f t="shared" si="255"/>
        <v>6.2758021492128018</v>
      </c>
      <c r="Z817">
        <f t="shared" si="317"/>
        <v>0.94373154013100768</v>
      </c>
      <c r="AC817">
        <f t="shared" si="333"/>
        <v>0.04</v>
      </c>
      <c r="AE817">
        <f t="shared" si="334"/>
        <v>0.4</v>
      </c>
      <c r="AF817">
        <f t="shared" si="309"/>
        <v>3.6951923054564979</v>
      </c>
      <c r="AG817">
        <f t="shared" si="256"/>
        <v>0.19</v>
      </c>
      <c r="AH817">
        <f t="shared" si="257"/>
        <v>0.6784</v>
      </c>
      <c r="AI817">
        <f t="shared" si="323"/>
        <v>1E-3</v>
      </c>
      <c r="AK817">
        <f t="shared" si="324"/>
        <v>0.78</v>
      </c>
      <c r="AL817">
        <f t="shared" si="324"/>
        <v>99.998999999999995</v>
      </c>
      <c r="AM817">
        <f t="shared" si="324"/>
        <v>4.7000000000000002E-3</v>
      </c>
      <c r="AN817">
        <f t="shared" si="249"/>
        <v>3.7151049577521423E-6</v>
      </c>
      <c r="AO817">
        <f t="shared" si="258"/>
        <v>2.2385664989105197E-3</v>
      </c>
      <c r="AP817">
        <f t="shared" si="259"/>
        <v>2.2422816038682718E-3</v>
      </c>
      <c r="AQ817">
        <f t="shared" si="260"/>
        <v>12.108320660888667</v>
      </c>
      <c r="AS817">
        <f t="shared" si="261"/>
        <v>0</v>
      </c>
      <c r="AT817">
        <f t="shared" si="310"/>
        <v>1.3298146814393045E-2</v>
      </c>
      <c r="AU817">
        <f t="shared" si="262"/>
        <v>2.5473439186833154E-2</v>
      </c>
      <c r="AV817">
        <f t="shared" si="311"/>
        <v>137.55657160889902</v>
      </c>
      <c r="AY817">
        <f t="shared" si="263"/>
        <v>2E-3</v>
      </c>
      <c r="BB817">
        <f t="shared" si="264"/>
        <v>0.24</v>
      </c>
    </row>
    <row r="818" spans="7:54" x14ac:dyDescent="0.2">
      <c r="H818" t="s">
        <v>273</v>
      </c>
      <c r="J818">
        <v>31</v>
      </c>
      <c r="K818">
        <v>200</v>
      </c>
      <c r="M818">
        <f>$BY$33</f>
        <v>360</v>
      </c>
      <c r="O818">
        <f>$BY$79</f>
        <v>0.55000000000000004</v>
      </c>
      <c r="P818">
        <f>$BZ$126</f>
        <v>550</v>
      </c>
      <c r="Q818">
        <f t="shared" si="244"/>
        <v>0.65454545454545454</v>
      </c>
      <c r="S818">
        <v>0.05</v>
      </c>
      <c r="T818">
        <v>0.68</v>
      </c>
      <c r="U818">
        <v>0</v>
      </c>
      <c r="V818">
        <v>0</v>
      </c>
      <c r="W818">
        <f t="shared" si="307"/>
        <v>3.0200000000000005</v>
      </c>
      <c r="X818">
        <f t="shared" si="308"/>
        <v>1.0830000000000002</v>
      </c>
      <c r="Y818">
        <f t="shared" si="255"/>
        <v>7.6380625943163007</v>
      </c>
      <c r="Z818">
        <f t="shared" si="317"/>
        <v>1.1444510857303709</v>
      </c>
      <c r="AC818">
        <f>$CA$243</f>
        <v>0.12</v>
      </c>
      <c r="AE818">
        <f>$CA$174</f>
        <v>0.65</v>
      </c>
      <c r="AF818">
        <f t="shared" si="309"/>
        <v>2.7405368588406884</v>
      </c>
      <c r="AG818">
        <f t="shared" si="256"/>
        <v>0.19</v>
      </c>
      <c r="AH818">
        <f t="shared" si="257"/>
        <v>0.6784</v>
      </c>
      <c r="AI818">
        <f t="shared" si="323"/>
        <v>1E-3</v>
      </c>
      <c r="AK818">
        <f t="shared" si="324"/>
        <v>0.78</v>
      </c>
      <c r="AL818">
        <f t="shared" si="324"/>
        <v>99.998999999999995</v>
      </c>
      <c r="AM818">
        <f t="shared" si="324"/>
        <v>4.7000000000000002E-3</v>
      </c>
      <c r="AN818">
        <f t="shared" si="249"/>
        <v>2.7553050638656096E-6</v>
      </c>
      <c r="AO818">
        <f t="shared" si="258"/>
        <v>1.6602313206192771E-3</v>
      </c>
      <c r="AP818">
        <f t="shared" si="259"/>
        <v>1.6629866256831426E-3</v>
      </c>
      <c r="AQ818">
        <f t="shared" si="260"/>
        <v>10.310517079235485</v>
      </c>
      <c r="AS818">
        <f t="shared" si="261"/>
        <v>0</v>
      </c>
      <c r="AT818">
        <f t="shared" si="310"/>
        <v>2.3097285332413824E-2</v>
      </c>
      <c r="AU818">
        <f t="shared" si="262"/>
        <v>0.12209893000921447</v>
      </c>
      <c r="AV818">
        <f t="shared" si="311"/>
        <v>757.0133660571297</v>
      </c>
      <c r="AY818">
        <f t="shared" si="263"/>
        <v>2E-3</v>
      </c>
      <c r="BB818">
        <f t="shared" si="264"/>
        <v>0.24</v>
      </c>
    </row>
    <row r="819" spans="7:54" x14ac:dyDescent="0.2">
      <c r="G819" t="s">
        <v>176</v>
      </c>
      <c r="H819" t="s">
        <v>262</v>
      </c>
      <c r="J819">
        <v>31</v>
      </c>
      <c r="K819">
        <v>190</v>
      </c>
      <c r="M819">
        <f>$BY$37</f>
        <v>140</v>
      </c>
      <c r="O819">
        <f>$BY$83</f>
        <v>0.77</v>
      </c>
      <c r="P819">
        <f>$BZ$130</f>
        <v>550</v>
      </c>
      <c r="Q819">
        <f t="shared" si="244"/>
        <v>0.25454545454545452</v>
      </c>
      <c r="S819">
        <v>0</v>
      </c>
      <c r="T819">
        <v>0</v>
      </c>
      <c r="U819">
        <f>20/K819</f>
        <v>0.10526315789473684</v>
      </c>
      <c r="V819">
        <f>60/K819</f>
        <v>0.31578947368421051</v>
      </c>
      <c r="W819">
        <f t="shared" si="307"/>
        <v>0</v>
      </c>
      <c r="X819">
        <f t="shared" si="308"/>
        <v>1</v>
      </c>
      <c r="Y819">
        <f t="shared" si="255"/>
        <v>4.0489085960999995</v>
      </c>
      <c r="Z819">
        <f t="shared" si="317"/>
        <v>1.2929094807945531</v>
      </c>
      <c r="AC819">
        <f>$CA$247</f>
        <v>0.12</v>
      </c>
      <c r="AE819">
        <f>$CA$178</f>
        <v>0.65</v>
      </c>
      <c r="AF819">
        <f t="shared" si="309"/>
        <v>1.4527484042806798</v>
      </c>
      <c r="AG819">
        <f t="shared" si="256"/>
        <v>0.19</v>
      </c>
      <c r="AH819">
        <f t="shared" si="257"/>
        <v>0.6784</v>
      </c>
      <c r="AI819">
        <f t="shared" si="323"/>
        <v>1E-3</v>
      </c>
      <c r="AK819">
        <f t="shared" si="324"/>
        <v>0.78</v>
      </c>
      <c r="AL819">
        <f t="shared" si="324"/>
        <v>99.998999999999995</v>
      </c>
      <c r="AM819">
        <f t="shared" si="324"/>
        <v>4.7000000000000002E-3</v>
      </c>
      <c r="AN819">
        <f t="shared" si="249"/>
        <v>1.4605769748816676E-6</v>
      </c>
      <c r="AO819">
        <f t="shared" si="258"/>
        <v>8.8008245318282289E-4</v>
      </c>
      <c r="AP819">
        <f t="shared" si="259"/>
        <v>8.8154303015770461E-4</v>
      </c>
      <c r="AQ819">
        <f t="shared" si="260"/>
        <v>5.1922884476288802</v>
      </c>
      <c r="AS819">
        <f t="shared" si="261"/>
        <v>1.8947368421052631</v>
      </c>
      <c r="AT819">
        <f t="shared" si="310"/>
        <v>1.9805000862516527E-2</v>
      </c>
      <c r="AU819">
        <f t="shared" si="262"/>
        <v>6.672110379481043E-2</v>
      </c>
      <c r="AV819">
        <f t="shared" si="311"/>
        <v>392.98730135143342</v>
      </c>
      <c r="AY819">
        <f t="shared" si="263"/>
        <v>2E-3</v>
      </c>
      <c r="BB819">
        <f t="shared" si="264"/>
        <v>0.24</v>
      </c>
    </row>
    <row r="820" spans="7:54" x14ac:dyDescent="0.2">
      <c r="G820">
        <v>3</v>
      </c>
      <c r="H820" t="s">
        <v>263</v>
      </c>
      <c r="J820">
        <v>28</v>
      </c>
      <c r="K820">
        <v>195</v>
      </c>
      <c r="M820">
        <f>$BY$37</f>
        <v>140</v>
      </c>
      <c r="O820">
        <f>$BY$83</f>
        <v>0.77</v>
      </c>
      <c r="P820">
        <f>$BZ$130</f>
        <v>550</v>
      </c>
      <c r="Q820">
        <f t="shared" si="244"/>
        <v>0.25454545454545452</v>
      </c>
      <c r="S820">
        <v>0</v>
      </c>
      <c r="T820">
        <v>0</v>
      </c>
      <c r="U820">
        <v>0</v>
      </c>
      <c r="V820">
        <f>60/K820</f>
        <v>0.30769230769230771</v>
      </c>
      <c r="W820">
        <f t="shared" si="307"/>
        <v>0</v>
      </c>
      <c r="X820">
        <f t="shared" si="308"/>
        <v>1</v>
      </c>
      <c r="Y820">
        <f t="shared" si="255"/>
        <v>4.0489085960999995</v>
      </c>
      <c r="Z820">
        <f t="shared" si="317"/>
        <v>1.2929094807945531</v>
      </c>
      <c r="AC820">
        <f>$CA$247</f>
        <v>0.12</v>
      </c>
      <c r="AE820">
        <f>$CA$178</f>
        <v>0.65</v>
      </c>
      <c r="AF820">
        <f t="shared" si="309"/>
        <v>1.4527484042806798</v>
      </c>
      <c r="AG820">
        <f t="shared" si="256"/>
        <v>0.19</v>
      </c>
      <c r="AH820">
        <f t="shared" si="257"/>
        <v>0.6784</v>
      </c>
      <c r="AI820">
        <f t="shared" si="323"/>
        <v>1E-3</v>
      </c>
      <c r="AK820">
        <f t="shared" si="324"/>
        <v>0.78</v>
      </c>
      <c r="AL820">
        <f t="shared" si="324"/>
        <v>99.998999999999995</v>
      </c>
      <c r="AM820">
        <f t="shared" si="324"/>
        <v>4.7000000000000002E-3</v>
      </c>
      <c r="AN820">
        <f t="shared" si="249"/>
        <v>1.4605769748816676E-6</v>
      </c>
      <c r="AO820">
        <f t="shared" si="258"/>
        <v>8.8008245318282289E-4</v>
      </c>
      <c r="AP820">
        <f t="shared" si="259"/>
        <v>8.8154303015770461E-4</v>
      </c>
      <c r="AQ820">
        <f t="shared" si="260"/>
        <v>4.8132249446610667</v>
      </c>
      <c r="AS820">
        <f t="shared" si="261"/>
        <v>1.2307692307692308</v>
      </c>
      <c r="AT820">
        <f t="shared" si="310"/>
        <v>1.9805000862516527E-2</v>
      </c>
      <c r="AU820">
        <f t="shared" si="262"/>
        <v>6.3390858722278606E-2</v>
      </c>
      <c r="AV820">
        <f t="shared" si="311"/>
        <v>346.11408862364124</v>
      </c>
      <c r="AY820">
        <f t="shared" si="263"/>
        <v>2E-3</v>
      </c>
      <c r="BB820">
        <f t="shared" si="264"/>
        <v>0.24</v>
      </c>
    </row>
    <row r="821" spans="7:54" x14ac:dyDescent="0.2">
      <c r="H821" t="s">
        <v>264</v>
      </c>
      <c r="J821">
        <v>31</v>
      </c>
      <c r="K821">
        <v>190</v>
      </c>
      <c r="M821">
        <f>$BY$38</f>
        <v>220</v>
      </c>
      <c r="O821">
        <f>$BY$84</f>
        <v>0.88</v>
      </c>
      <c r="P821">
        <f>$BZ$131</f>
        <v>550</v>
      </c>
      <c r="Q821">
        <f t="shared" si="244"/>
        <v>0.4</v>
      </c>
      <c r="S821">
        <v>0</v>
      </c>
      <c r="T821">
        <v>0</v>
      </c>
      <c r="U821">
        <v>0</v>
      </c>
      <c r="V821">
        <f>40/K821</f>
        <v>0.21052631578947367</v>
      </c>
      <c r="W821">
        <f t="shared" si="307"/>
        <v>0</v>
      </c>
      <c r="X821">
        <f t="shared" si="308"/>
        <v>1</v>
      </c>
      <c r="Y821">
        <f t="shared" si="255"/>
        <v>5.4529722255999982</v>
      </c>
      <c r="Z821">
        <f t="shared" si="317"/>
        <v>1.2875361370332146</v>
      </c>
      <c r="AC821">
        <f>$CA$248</f>
        <v>0.09</v>
      </c>
      <c r="AE821">
        <f>$CA$179</f>
        <v>0.55000000000000004</v>
      </c>
      <c r="AF821">
        <f t="shared" si="309"/>
        <v>2.4581998793004791</v>
      </c>
      <c r="AG821">
        <f t="shared" si="256"/>
        <v>0.19</v>
      </c>
      <c r="AH821">
        <f t="shared" si="257"/>
        <v>0.6784</v>
      </c>
      <c r="AI821">
        <f t="shared" si="323"/>
        <v>1E-3</v>
      </c>
      <c r="AK821">
        <f t="shared" si="324"/>
        <v>0.78</v>
      </c>
      <c r="AL821">
        <f t="shared" si="324"/>
        <v>99.998999999999995</v>
      </c>
      <c r="AM821">
        <f t="shared" si="324"/>
        <v>4.7000000000000002E-3</v>
      </c>
      <c r="AN821">
        <f t="shared" si="249"/>
        <v>2.4714466268100533E-6</v>
      </c>
      <c r="AO821">
        <f t="shared" si="258"/>
        <v>1.489190126668691E-3</v>
      </c>
      <c r="AP821">
        <f t="shared" si="259"/>
        <v>1.4916615732955009E-3</v>
      </c>
      <c r="AQ821">
        <f t="shared" si="260"/>
        <v>8.7858866667104998</v>
      </c>
      <c r="AS821">
        <f t="shared" si="261"/>
        <v>0.84210526315789469</v>
      </c>
      <c r="AT821">
        <f t="shared" si="310"/>
        <v>1.876327087581306E-2</v>
      </c>
      <c r="AU821">
        <f t="shared" si="262"/>
        <v>6.2977875934319583E-2</v>
      </c>
      <c r="AV821">
        <f t="shared" si="311"/>
        <v>370.93968925314232</v>
      </c>
      <c r="AY821">
        <f t="shared" si="263"/>
        <v>2E-3</v>
      </c>
      <c r="BB821">
        <f t="shared" si="264"/>
        <v>0.24</v>
      </c>
    </row>
    <row r="822" spans="7:54" x14ac:dyDescent="0.2">
      <c r="H822" t="s">
        <v>265</v>
      </c>
      <c r="J822">
        <v>30</v>
      </c>
      <c r="K822">
        <v>185</v>
      </c>
      <c r="M822">
        <f t="shared" ref="M822:M823" si="335">$BY$38</f>
        <v>220</v>
      </c>
      <c r="O822">
        <f t="shared" ref="O822:O823" si="336">$BY$84</f>
        <v>0.88</v>
      </c>
      <c r="P822">
        <f t="shared" ref="P822:P823" si="337">$BZ$131</f>
        <v>550</v>
      </c>
      <c r="Q822">
        <f t="shared" si="244"/>
        <v>0.4</v>
      </c>
      <c r="S822">
        <v>0</v>
      </c>
      <c r="T822">
        <v>0</v>
      </c>
      <c r="U822">
        <v>0</v>
      </c>
      <c r="V822">
        <f>20/K822</f>
        <v>0.10810810810810811</v>
      </c>
      <c r="W822">
        <f t="shared" si="307"/>
        <v>0</v>
      </c>
      <c r="X822">
        <f t="shared" si="308"/>
        <v>1</v>
      </c>
      <c r="Y822">
        <f t="shared" si="255"/>
        <v>5.4529722255999982</v>
      </c>
      <c r="Z822">
        <f t="shared" si="317"/>
        <v>1.2875361370332146</v>
      </c>
      <c r="AC822">
        <f t="shared" ref="AC822:AC823" si="338">$CA$248</f>
        <v>0.09</v>
      </c>
      <c r="AE822">
        <f t="shared" ref="AE822:AE823" si="339">$CA$179</f>
        <v>0.55000000000000004</v>
      </c>
      <c r="AF822">
        <f t="shared" si="309"/>
        <v>2.4581998793004791</v>
      </c>
      <c r="AG822">
        <f t="shared" si="256"/>
        <v>0.19</v>
      </c>
      <c r="AH822">
        <f t="shared" si="257"/>
        <v>0.6784</v>
      </c>
      <c r="AI822">
        <f t="shared" si="323"/>
        <v>1E-3</v>
      </c>
      <c r="AK822">
        <f t="shared" si="324"/>
        <v>0.78</v>
      </c>
      <c r="AL822">
        <f t="shared" si="324"/>
        <v>99.998999999999995</v>
      </c>
      <c r="AM822">
        <f t="shared" si="324"/>
        <v>4.7000000000000002E-3</v>
      </c>
      <c r="AN822">
        <f t="shared" si="249"/>
        <v>2.4714466268100533E-6</v>
      </c>
      <c r="AO822">
        <f t="shared" si="258"/>
        <v>1.489190126668691E-3</v>
      </c>
      <c r="AP822">
        <f t="shared" si="259"/>
        <v>1.4916615732955009E-3</v>
      </c>
      <c r="AQ822">
        <f t="shared" si="260"/>
        <v>8.2787217317900303</v>
      </c>
      <c r="AS822">
        <f t="shared" si="261"/>
        <v>0.43243243243243246</v>
      </c>
      <c r="AT822">
        <f t="shared" si="310"/>
        <v>1.876327087581306E-2</v>
      </c>
      <c r="AU822">
        <f>MAX((Y822*AC822/6.25)+(0.032*AS822/6.38)-AT822-((1.1*(10^-4)*(M822^0.75))/6.25), 0)</f>
        <v>6.0923090576448909E-2</v>
      </c>
      <c r="AV822">
        <f t="shared" si="311"/>
        <v>338.12315269929144</v>
      </c>
      <c r="AY822">
        <f t="shared" si="263"/>
        <v>2E-3</v>
      </c>
      <c r="BB822">
        <f t="shared" si="264"/>
        <v>0.24</v>
      </c>
    </row>
    <row r="823" spans="7:54" x14ac:dyDescent="0.2">
      <c r="H823" t="s">
        <v>266</v>
      </c>
      <c r="J823">
        <v>31</v>
      </c>
      <c r="K823">
        <v>180</v>
      </c>
      <c r="M823">
        <f t="shared" si="335"/>
        <v>220</v>
      </c>
      <c r="O823">
        <f t="shared" si="336"/>
        <v>0.88</v>
      </c>
      <c r="P823">
        <f t="shared" si="337"/>
        <v>550</v>
      </c>
      <c r="Q823">
        <f t="shared" si="244"/>
        <v>0.4</v>
      </c>
      <c r="S823">
        <v>0</v>
      </c>
      <c r="T823">
        <v>0</v>
      </c>
      <c r="U823">
        <v>0</v>
      </c>
      <c r="V823">
        <v>0</v>
      </c>
      <c r="W823">
        <f t="shared" si="307"/>
        <v>0</v>
      </c>
      <c r="X823">
        <f t="shared" si="308"/>
        <v>1</v>
      </c>
      <c r="Y823">
        <f t="shared" si="255"/>
        <v>5.4529722255999982</v>
      </c>
      <c r="Z823">
        <f>Y823 / ((1.185 + 0.00454 * M823 - 0.0000026 * M823 ^ 2) ^ 2 * X823)</f>
        <v>1.2875361370332146</v>
      </c>
      <c r="AC823">
        <f t="shared" si="338"/>
        <v>0.09</v>
      </c>
      <c r="AE823">
        <f t="shared" si="339"/>
        <v>0.55000000000000004</v>
      </c>
      <c r="AF823">
        <f t="shared" si="309"/>
        <v>2.4581998793004791</v>
      </c>
      <c r="AG823">
        <f t="shared" si="256"/>
        <v>0.19</v>
      </c>
      <c r="AH823">
        <f t="shared" si="257"/>
        <v>0.6784</v>
      </c>
      <c r="AI823">
        <f t="shared" si="323"/>
        <v>1E-3</v>
      </c>
      <c r="AK823">
        <f t="shared" si="324"/>
        <v>0.78</v>
      </c>
      <c r="AL823">
        <f t="shared" si="324"/>
        <v>99.998999999999995</v>
      </c>
      <c r="AM823">
        <f t="shared" si="324"/>
        <v>4.7000000000000002E-3</v>
      </c>
      <c r="AN823">
        <f t="shared" si="249"/>
        <v>2.4714466268100533E-6</v>
      </c>
      <c r="AO823">
        <f t="shared" si="258"/>
        <v>1.489190126668691E-3</v>
      </c>
      <c r="AP823">
        <f t="shared" si="259"/>
        <v>1.4916615732955009E-3</v>
      </c>
      <c r="AQ823">
        <f t="shared" si="260"/>
        <v>8.3234715789888956</v>
      </c>
      <c r="AS823">
        <f t="shared" si="261"/>
        <v>0</v>
      </c>
      <c r="AT823">
        <f t="shared" si="310"/>
        <v>1.876327087581306E-2</v>
      </c>
      <c r="AU823">
        <f t="shared" si="262"/>
        <v>5.875415047647433E-2</v>
      </c>
      <c r="AV823">
        <f t="shared" si="311"/>
        <v>327.84815965872673</v>
      </c>
      <c r="AY823">
        <f t="shared" si="263"/>
        <v>2E-3</v>
      </c>
      <c r="BB823">
        <f t="shared" si="264"/>
        <v>0.24</v>
      </c>
    </row>
    <row r="824" spans="7:54" x14ac:dyDescent="0.2">
      <c r="H824" t="s">
        <v>267</v>
      </c>
      <c r="J824">
        <v>30</v>
      </c>
      <c r="K824">
        <v>179</v>
      </c>
      <c r="M824">
        <f>$BY$39</f>
        <v>240</v>
      </c>
      <c r="O824">
        <f>$BY$85</f>
        <v>0.22</v>
      </c>
      <c r="P824">
        <f>$BZ$132</f>
        <v>550</v>
      </c>
      <c r="Q824">
        <f t="shared" si="244"/>
        <v>0.43636363636363634</v>
      </c>
      <c r="S824">
        <v>0</v>
      </c>
      <c r="T824">
        <v>0</v>
      </c>
      <c r="U824">
        <v>0</v>
      </c>
      <c r="V824">
        <v>0</v>
      </c>
      <c r="W824">
        <f t="shared" si="307"/>
        <v>0</v>
      </c>
      <c r="X824">
        <f t="shared" si="308"/>
        <v>1</v>
      </c>
      <c r="Y824">
        <f t="shared" si="255"/>
        <v>4.8142503396</v>
      </c>
      <c r="Z824">
        <f t="shared" ref="Z824:Z830" si="340">Y824 / ((1.185 + 0.00454 * M824 - 0.0000026 * M824 ^ 2) ^ 2 * X824)</f>
        <v>1.0662921280996607</v>
      </c>
      <c r="AC824">
        <f>$CA$249</f>
        <v>0.06</v>
      </c>
      <c r="AE824">
        <f>$CA$180</f>
        <v>0.45</v>
      </c>
      <c r="AF824">
        <f t="shared" si="309"/>
        <v>2.6131750843348804</v>
      </c>
      <c r="AG824">
        <f t="shared" si="256"/>
        <v>0.19</v>
      </c>
      <c r="AH824">
        <f t="shared" si="257"/>
        <v>0.6784</v>
      </c>
      <c r="AI824">
        <f t="shared" si="323"/>
        <v>1E-3</v>
      </c>
      <c r="AK824">
        <f t="shared" si="324"/>
        <v>0.78</v>
      </c>
      <c r="AL824">
        <f t="shared" si="324"/>
        <v>99.998999999999995</v>
      </c>
      <c r="AM824">
        <f t="shared" si="324"/>
        <v>4.7000000000000002E-3</v>
      </c>
      <c r="AN824">
        <f t="shared" si="249"/>
        <v>2.6272569622293445E-6</v>
      </c>
      <c r="AO824">
        <f t="shared" si="258"/>
        <v>1.5830749027436787E-3</v>
      </c>
      <c r="AP824">
        <f t="shared" si="259"/>
        <v>1.585702159705908E-3</v>
      </c>
      <c r="AQ824">
        <f t="shared" si="260"/>
        <v>8.5152205976207274</v>
      </c>
      <c r="AS824">
        <f t="shared" si="261"/>
        <v>0</v>
      </c>
      <c r="AT824">
        <f t="shared" si="310"/>
        <v>4.4600148251045324E-3</v>
      </c>
      <c r="AU824">
        <f t="shared" si="262"/>
        <v>4.0683612070952918E-2</v>
      </c>
      <c r="AV824">
        <f t="shared" si="311"/>
        <v>218.4709968210172</v>
      </c>
      <c r="AY824">
        <f t="shared" si="263"/>
        <v>2E-3</v>
      </c>
      <c r="BB824">
        <f t="shared" si="264"/>
        <v>0.24</v>
      </c>
    </row>
    <row r="825" spans="7:54" x14ac:dyDescent="0.2">
      <c r="H825" t="s">
        <v>268</v>
      </c>
      <c r="J825">
        <v>31</v>
      </c>
      <c r="K825">
        <v>170</v>
      </c>
      <c r="M825">
        <f t="shared" ref="M825:M826" si="341">$BY$39</f>
        <v>240</v>
      </c>
      <c r="O825">
        <f t="shared" ref="O825:O826" si="342">$BY$85</f>
        <v>0.22</v>
      </c>
      <c r="P825">
        <f t="shared" ref="P825:P826" si="343">$BZ$132</f>
        <v>550</v>
      </c>
      <c r="Q825">
        <f t="shared" si="244"/>
        <v>0.43636363636363634</v>
      </c>
      <c r="S825">
        <v>0</v>
      </c>
      <c r="T825">
        <v>0</v>
      </c>
      <c r="U825">
        <v>0</v>
      </c>
      <c r="V825">
        <v>0</v>
      </c>
      <c r="W825">
        <f t="shared" si="307"/>
        <v>0</v>
      </c>
      <c r="X825">
        <f t="shared" si="308"/>
        <v>1</v>
      </c>
      <c r="Y825">
        <f t="shared" si="255"/>
        <v>4.8142503396</v>
      </c>
      <c r="Z825">
        <f t="shared" si="340"/>
        <v>1.0662921280996607</v>
      </c>
      <c r="AC825">
        <f t="shared" ref="AC825:AC826" si="344">$CA$249</f>
        <v>0.06</v>
      </c>
      <c r="AE825">
        <f t="shared" ref="AE825:AE826" si="345">$CA$180</f>
        <v>0.45</v>
      </c>
      <c r="AF825">
        <f t="shared" si="309"/>
        <v>2.6131750843348804</v>
      </c>
      <c r="AG825">
        <f t="shared" si="256"/>
        <v>0.19</v>
      </c>
      <c r="AH825">
        <f t="shared" si="257"/>
        <v>0.6784</v>
      </c>
      <c r="AI825">
        <f t="shared" si="323"/>
        <v>1E-3</v>
      </c>
      <c r="AK825">
        <f t="shared" si="324"/>
        <v>0.78</v>
      </c>
      <c r="AL825">
        <f t="shared" si="324"/>
        <v>99.998999999999995</v>
      </c>
      <c r="AM825">
        <f t="shared" si="324"/>
        <v>4.7000000000000002E-3</v>
      </c>
      <c r="AN825">
        <f t="shared" si="249"/>
        <v>2.6272569622293445E-6</v>
      </c>
      <c r="AO825">
        <f t="shared" si="258"/>
        <v>1.5830749027436787E-3</v>
      </c>
      <c r="AP825">
        <f t="shared" si="259"/>
        <v>1.585702159705908E-3</v>
      </c>
      <c r="AQ825">
        <f t="shared" si="260"/>
        <v>8.3566503816501339</v>
      </c>
      <c r="AS825">
        <f t="shared" si="261"/>
        <v>0</v>
      </c>
      <c r="AT825">
        <f t="shared" si="310"/>
        <v>4.4600148251045324E-3</v>
      </c>
      <c r="AU825">
        <f t="shared" si="262"/>
        <v>4.0683612070952918E-2</v>
      </c>
      <c r="AV825">
        <f t="shared" si="311"/>
        <v>214.40263561392186</v>
      </c>
      <c r="AY825">
        <f t="shared" si="263"/>
        <v>2E-3</v>
      </c>
      <c r="BB825">
        <f t="shared" si="264"/>
        <v>0.24</v>
      </c>
    </row>
    <row r="826" spans="7:54" x14ac:dyDescent="0.2">
      <c r="H826" t="s">
        <v>269</v>
      </c>
      <c r="J826">
        <v>31</v>
      </c>
      <c r="K826">
        <v>160</v>
      </c>
      <c r="M826">
        <f t="shared" si="341"/>
        <v>240</v>
      </c>
      <c r="O826">
        <f t="shared" si="342"/>
        <v>0.22</v>
      </c>
      <c r="P826">
        <f t="shared" si="343"/>
        <v>550</v>
      </c>
      <c r="Q826">
        <f t="shared" si="244"/>
        <v>0.43636363636363634</v>
      </c>
      <c r="S826">
        <v>0</v>
      </c>
      <c r="T826">
        <v>0</v>
      </c>
      <c r="U826">
        <v>0</v>
      </c>
      <c r="V826">
        <v>0</v>
      </c>
      <c r="W826">
        <f t="shared" si="307"/>
        <v>0</v>
      </c>
      <c r="X826">
        <f t="shared" si="308"/>
        <v>1</v>
      </c>
      <c r="Y826">
        <f t="shared" si="255"/>
        <v>4.8142503396</v>
      </c>
      <c r="Z826">
        <f t="shared" si="340"/>
        <v>1.0662921280996607</v>
      </c>
      <c r="AC826">
        <f t="shared" si="344"/>
        <v>0.06</v>
      </c>
      <c r="AE826">
        <f t="shared" si="345"/>
        <v>0.45</v>
      </c>
      <c r="AF826">
        <f t="shared" si="309"/>
        <v>2.6131750843348804</v>
      </c>
      <c r="AG826">
        <f t="shared" si="256"/>
        <v>0.19</v>
      </c>
      <c r="AH826">
        <f t="shared" si="257"/>
        <v>0.6784</v>
      </c>
      <c r="AI826">
        <f t="shared" si="323"/>
        <v>1E-3</v>
      </c>
      <c r="AK826">
        <f t="shared" si="324"/>
        <v>0.78</v>
      </c>
      <c r="AL826">
        <f t="shared" si="324"/>
        <v>99.998999999999995</v>
      </c>
      <c r="AM826">
        <f t="shared" si="324"/>
        <v>4.7000000000000002E-3</v>
      </c>
      <c r="AN826">
        <f t="shared" si="249"/>
        <v>2.6272569622293445E-6</v>
      </c>
      <c r="AO826">
        <f t="shared" si="258"/>
        <v>1.5830749027436787E-3</v>
      </c>
      <c r="AP826">
        <f t="shared" si="259"/>
        <v>1.585702159705908E-3</v>
      </c>
      <c r="AQ826">
        <f t="shared" si="260"/>
        <v>7.8650827121413043</v>
      </c>
      <c r="AS826">
        <f t="shared" si="261"/>
        <v>0</v>
      </c>
      <c r="AT826">
        <f t="shared" si="310"/>
        <v>4.4600148251045324E-3</v>
      </c>
      <c r="AU826">
        <f t="shared" si="262"/>
        <v>4.0683612070952918E-2</v>
      </c>
      <c r="AV826">
        <f t="shared" si="311"/>
        <v>201.79071587192647</v>
      </c>
      <c r="AY826">
        <f t="shared" si="263"/>
        <v>2E-3</v>
      </c>
      <c r="BB826">
        <f t="shared" si="264"/>
        <v>0.24</v>
      </c>
    </row>
    <row r="827" spans="7:54" x14ac:dyDescent="0.2">
      <c r="H827" t="s">
        <v>270</v>
      </c>
      <c r="J827">
        <v>30</v>
      </c>
      <c r="K827">
        <v>90</v>
      </c>
      <c r="L827" s="1">
        <v>60</v>
      </c>
      <c r="M827">
        <v>60</v>
      </c>
      <c r="O827">
        <f>$BY$82</f>
        <v>0.7</v>
      </c>
      <c r="P827">
        <f>$BZ$129</f>
        <v>550</v>
      </c>
      <c r="Q827">
        <f t="shared" si="244"/>
        <v>0.10909090909090909</v>
      </c>
      <c r="S827">
        <v>0</v>
      </c>
      <c r="T827">
        <v>0</v>
      </c>
      <c r="U827">
        <f>5/K827</f>
        <v>5.5555555555555552E-2</v>
      </c>
      <c r="V827">
        <v>0</v>
      </c>
      <c r="W827">
        <f t="shared" si="307"/>
        <v>0</v>
      </c>
      <c r="X827">
        <f t="shared" si="308"/>
        <v>1</v>
      </c>
      <c r="Y827">
        <f t="shared" si="255"/>
        <v>2.7840257315999999</v>
      </c>
      <c r="Z827">
        <f t="shared" si="340"/>
        <v>1.3277372124996778</v>
      </c>
      <c r="AC827">
        <f>$CA$246</f>
        <v>0.04</v>
      </c>
      <c r="AE827">
        <f>$CA$177</f>
        <v>0.4</v>
      </c>
      <c r="AF827">
        <f t="shared" si="309"/>
        <v>1.6392343507660798</v>
      </c>
      <c r="AG827">
        <f t="shared" si="256"/>
        <v>0.19</v>
      </c>
      <c r="AH827">
        <f t="shared" si="257"/>
        <v>0.6784</v>
      </c>
      <c r="AI827">
        <f t="shared" si="323"/>
        <v>1E-3</v>
      </c>
      <c r="AK827">
        <f t="shared" si="324"/>
        <v>0.78</v>
      </c>
      <c r="AL827">
        <f t="shared" si="324"/>
        <v>99.998999999999995</v>
      </c>
      <c r="AM827">
        <f t="shared" si="324"/>
        <v>4.7000000000000002E-3</v>
      </c>
      <c r="AN827">
        <f t="shared" si="249"/>
        <v>1.6480678568354883E-6</v>
      </c>
      <c r="AO827">
        <f t="shared" si="258"/>
        <v>9.9305659845352868E-4</v>
      </c>
      <c r="AP827">
        <f t="shared" si="259"/>
        <v>9.9470466631036421E-4</v>
      </c>
      <c r="AQ827">
        <f t="shared" si="260"/>
        <v>2.6857025990379837</v>
      </c>
      <c r="AS827">
        <f t="shared" si="261"/>
        <v>0.33333333333333331</v>
      </c>
      <c r="AT827">
        <f t="shared" si="310"/>
        <v>2.0172326353854565E-2</v>
      </c>
      <c r="AU827">
        <f t="shared" si="262"/>
        <v>0</v>
      </c>
      <c r="AV827">
        <f t="shared" si="311"/>
        <v>0</v>
      </c>
      <c r="AY827">
        <f t="shared" si="263"/>
        <v>2E-3</v>
      </c>
      <c r="BB827">
        <f t="shared" si="264"/>
        <v>0.24</v>
      </c>
    </row>
    <row r="828" spans="7:54" x14ac:dyDescent="0.2">
      <c r="H828" t="s">
        <v>271</v>
      </c>
      <c r="J828">
        <v>31</v>
      </c>
      <c r="K828">
        <v>110</v>
      </c>
      <c r="M828">
        <f t="shared" ref="M828:M829" si="346">$BY$36</f>
        <v>70</v>
      </c>
      <c r="O828">
        <f t="shared" ref="O828:O829" si="347">$BY$82</f>
        <v>0.7</v>
      </c>
      <c r="P828">
        <f t="shared" ref="P828:P829" si="348">$BZ$129</f>
        <v>550</v>
      </c>
      <c r="Q828">
        <f t="shared" si="244"/>
        <v>0.12727272727272726</v>
      </c>
      <c r="S828">
        <v>0</v>
      </c>
      <c r="T828">
        <v>0</v>
      </c>
      <c r="U828">
        <f>30/K828</f>
        <v>0.27272727272727271</v>
      </c>
      <c r="V828">
        <v>0</v>
      </c>
      <c r="W828">
        <f t="shared" si="307"/>
        <v>0</v>
      </c>
      <c r="X828">
        <f t="shared" si="308"/>
        <v>1</v>
      </c>
      <c r="Y828">
        <f t="shared" si="255"/>
        <v>2.9260155136000003</v>
      </c>
      <c r="Z828">
        <f t="shared" si="340"/>
        <v>1.3178594998320508</v>
      </c>
      <c r="AC828">
        <f t="shared" ref="AC828:AC829" si="349">$CA$246</f>
        <v>0.04</v>
      </c>
      <c r="AE828">
        <f t="shared" ref="AE828:AE829" si="350">$CA$177</f>
        <v>0.4</v>
      </c>
      <c r="AF828">
        <f t="shared" si="309"/>
        <v>1.7228379344076803</v>
      </c>
      <c r="AG828">
        <f t="shared" si="256"/>
        <v>0.19</v>
      </c>
      <c r="AH828">
        <f t="shared" si="257"/>
        <v>0.6784</v>
      </c>
      <c r="AI828">
        <f t="shared" si="323"/>
        <v>1E-3</v>
      </c>
      <c r="AK828">
        <f t="shared" si="324"/>
        <v>0.78</v>
      </c>
      <c r="AL828">
        <f t="shared" si="324"/>
        <v>99.998999999999995</v>
      </c>
      <c r="AM828">
        <f t="shared" si="324"/>
        <v>4.7000000000000002E-3</v>
      </c>
      <c r="AN828">
        <f t="shared" si="249"/>
        <v>1.7321219634686166E-6</v>
      </c>
      <c r="AO828">
        <f t="shared" si="258"/>
        <v>1.0437040793038737E-3</v>
      </c>
      <c r="AP828">
        <f t="shared" si="259"/>
        <v>1.0454362012673423E-3</v>
      </c>
      <c r="AQ828">
        <f t="shared" si="260"/>
        <v>3.564937446321637</v>
      </c>
      <c r="AS828">
        <f t="shared" si="261"/>
        <v>1.6363636363636362</v>
      </c>
      <c r="AT828">
        <f t="shared" si="310"/>
        <v>1.9964346483033385E-2</v>
      </c>
      <c r="AU828">
        <f t="shared" si="262"/>
        <v>6.5436913120042878E-3</v>
      </c>
      <c r="AV828">
        <f t="shared" si="311"/>
        <v>22.313987373934623</v>
      </c>
      <c r="AY828">
        <f t="shared" si="263"/>
        <v>2E-3</v>
      </c>
      <c r="BB828">
        <f t="shared" si="264"/>
        <v>0.24</v>
      </c>
    </row>
    <row r="829" spans="7:54" x14ac:dyDescent="0.2">
      <c r="H829" t="s">
        <v>272</v>
      </c>
      <c r="J829">
        <v>30</v>
      </c>
      <c r="K829">
        <v>140</v>
      </c>
      <c r="M829">
        <f t="shared" si="346"/>
        <v>70</v>
      </c>
      <c r="O829">
        <f t="shared" si="347"/>
        <v>0.7</v>
      </c>
      <c r="P829">
        <f t="shared" si="348"/>
        <v>550</v>
      </c>
      <c r="Q829">
        <f t="shared" si="244"/>
        <v>0.12727272727272726</v>
      </c>
      <c r="S829">
        <v>0</v>
      </c>
      <c r="T829">
        <v>0</v>
      </c>
      <c r="U829">
        <f>50/K829</f>
        <v>0.35714285714285715</v>
      </c>
      <c r="V829">
        <v>0</v>
      </c>
      <c r="W829">
        <f t="shared" si="307"/>
        <v>0</v>
      </c>
      <c r="X829">
        <f t="shared" si="308"/>
        <v>1</v>
      </c>
      <c r="Y829">
        <f t="shared" si="255"/>
        <v>2.9260155136000003</v>
      </c>
      <c r="Z829">
        <f t="shared" si="340"/>
        <v>1.3178594998320508</v>
      </c>
      <c r="AC829">
        <f t="shared" si="349"/>
        <v>0.04</v>
      </c>
      <c r="AE829">
        <f t="shared" si="350"/>
        <v>0.4</v>
      </c>
      <c r="AF829">
        <f t="shared" si="309"/>
        <v>1.7228379344076803</v>
      </c>
      <c r="AG829">
        <f t="shared" si="256"/>
        <v>0.19</v>
      </c>
      <c r="AH829">
        <f t="shared" si="257"/>
        <v>0.6784</v>
      </c>
      <c r="AI829">
        <f t="shared" si="323"/>
        <v>1E-3</v>
      </c>
      <c r="AK829">
        <f t="shared" si="324"/>
        <v>0.78</v>
      </c>
      <c r="AL829">
        <f t="shared" si="324"/>
        <v>99.998999999999995</v>
      </c>
      <c r="AM829">
        <f t="shared" si="324"/>
        <v>4.7000000000000002E-3</v>
      </c>
      <c r="AN829">
        <f t="shared" si="249"/>
        <v>1.7321219634686166E-6</v>
      </c>
      <c r="AO829">
        <f t="shared" si="258"/>
        <v>1.0437040793038737E-3</v>
      </c>
      <c r="AP829">
        <f t="shared" si="259"/>
        <v>1.0454362012673423E-3</v>
      </c>
      <c r="AQ829">
        <f t="shared" si="260"/>
        <v>4.3908320453228376</v>
      </c>
      <c r="AS829">
        <f t="shared" si="261"/>
        <v>2.1428571428571428</v>
      </c>
      <c r="AT829">
        <f t="shared" si="310"/>
        <v>1.9964346483033385E-2</v>
      </c>
      <c r="AU829">
        <f t="shared" si="262"/>
        <v>9.0840976141660784E-3</v>
      </c>
      <c r="AV829">
        <f t="shared" si="311"/>
        <v>38.153209979497532</v>
      </c>
      <c r="AY829">
        <f t="shared" si="263"/>
        <v>2E-3</v>
      </c>
      <c r="BB829">
        <f t="shared" si="264"/>
        <v>0.24</v>
      </c>
    </row>
    <row r="830" spans="7:54" x14ac:dyDescent="0.2">
      <c r="H830" t="s">
        <v>273</v>
      </c>
      <c r="J830">
        <v>31</v>
      </c>
      <c r="K830">
        <v>180</v>
      </c>
      <c r="M830">
        <f>$BY$37</f>
        <v>140</v>
      </c>
      <c r="O830">
        <f>$BY$83</f>
        <v>0.77</v>
      </c>
      <c r="P830">
        <f>$BZ$130</f>
        <v>550</v>
      </c>
      <c r="Q830">
        <f t="shared" si="244"/>
        <v>0.25454545454545452</v>
      </c>
      <c r="S830">
        <v>0</v>
      </c>
      <c r="T830">
        <v>0</v>
      </c>
      <c r="U830">
        <f>55/K830</f>
        <v>0.30555555555555558</v>
      </c>
      <c r="V830">
        <f>5/K830</f>
        <v>2.7777777777777776E-2</v>
      </c>
      <c r="W830">
        <f t="shared" si="307"/>
        <v>0</v>
      </c>
      <c r="X830">
        <f t="shared" si="308"/>
        <v>1</v>
      </c>
      <c r="Y830">
        <f t="shared" si="255"/>
        <v>4.0489085960999995</v>
      </c>
      <c r="Z830">
        <f t="shared" si="340"/>
        <v>1.2929094807945531</v>
      </c>
      <c r="AC830">
        <f>$CA$247</f>
        <v>0.12</v>
      </c>
      <c r="AE830">
        <f>$CA$178</f>
        <v>0.65</v>
      </c>
      <c r="AF830">
        <f t="shared" si="309"/>
        <v>1.4527484042806798</v>
      </c>
      <c r="AG830">
        <f t="shared" si="256"/>
        <v>0.19</v>
      </c>
      <c r="AH830">
        <f t="shared" si="257"/>
        <v>0.6784</v>
      </c>
      <c r="AI830">
        <f t="shared" si="323"/>
        <v>1E-3</v>
      </c>
      <c r="AK830">
        <f t="shared" ref="AK830:AM849" si="351">AK$771</f>
        <v>0.78</v>
      </c>
      <c r="AL830">
        <f t="shared" si="351"/>
        <v>99.998999999999995</v>
      </c>
      <c r="AM830">
        <f t="shared" si="351"/>
        <v>4.7000000000000002E-3</v>
      </c>
      <c r="AN830">
        <f t="shared" si="249"/>
        <v>1.4605769748816676E-6</v>
      </c>
      <c r="AO830">
        <f t="shared" si="258"/>
        <v>8.8008245318282289E-4</v>
      </c>
      <c r="AP830">
        <f t="shared" si="259"/>
        <v>8.8154303015770461E-4</v>
      </c>
      <c r="AQ830">
        <f t="shared" si="260"/>
        <v>4.9190101082799922</v>
      </c>
      <c r="AS830">
        <f t="shared" si="261"/>
        <v>1.9444444444444446</v>
      </c>
      <c r="AT830">
        <f t="shared" si="310"/>
        <v>1.9805000862516527E-2</v>
      </c>
      <c r="AU830">
        <f t="shared" si="262"/>
        <v>6.6970420922530458E-2</v>
      </c>
      <c r="AV830">
        <f t="shared" si="311"/>
        <v>373.69494874771993</v>
      </c>
      <c r="AY830">
        <f t="shared" si="263"/>
        <v>2E-3</v>
      </c>
      <c r="BB830">
        <f t="shared" si="264"/>
        <v>0.24</v>
      </c>
    </row>
    <row r="831" spans="7:54" x14ac:dyDescent="0.2">
      <c r="G831" t="s">
        <v>182</v>
      </c>
      <c r="H831" t="s">
        <v>262</v>
      </c>
      <c r="J831">
        <v>31</v>
      </c>
      <c r="K831">
        <v>90</v>
      </c>
      <c r="M831">
        <f>$BY$41</f>
        <v>360</v>
      </c>
      <c r="O831">
        <f>$BY$87</f>
        <v>0.55000000000000004</v>
      </c>
      <c r="P831">
        <f>$BZ$134</f>
        <v>550</v>
      </c>
      <c r="Q831">
        <f t="shared" si="244"/>
        <v>0.65454545454545454</v>
      </c>
      <c r="S831">
        <v>0</v>
      </c>
      <c r="T831">
        <v>0.15</v>
      </c>
      <c r="U831">
        <v>0</v>
      </c>
      <c r="V831">
        <v>0</v>
      </c>
      <c r="W831">
        <f t="shared" si="307"/>
        <v>0.6</v>
      </c>
      <c r="X831">
        <f t="shared" si="308"/>
        <v>1.0149999999999999</v>
      </c>
      <c r="Y831">
        <f t="shared" si="255"/>
        <v>7.1584797167414989</v>
      </c>
      <c r="Z831">
        <f t="shared" ref="Z831:Z835" si="352">Y831 / ((1.185 + 0.00454 * M831 - 0.0000026 * M831 ^ 2) ^ 2 * X831)</f>
        <v>1.1444510857303709</v>
      </c>
      <c r="AC831">
        <f>$CA$251</f>
        <v>0.12</v>
      </c>
      <c r="AE831">
        <f>$CA$182</f>
        <v>0.65</v>
      </c>
      <c r="AF831">
        <f t="shared" si="309"/>
        <v>2.5684625223668496</v>
      </c>
      <c r="AG831">
        <f t="shared" si="256"/>
        <v>0.19</v>
      </c>
      <c r="AH831">
        <f t="shared" si="257"/>
        <v>0.6784</v>
      </c>
      <c r="AI831">
        <f t="shared" si="323"/>
        <v>1E-3</v>
      </c>
      <c r="AK831">
        <f t="shared" si="351"/>
        <v>0.78</v>
      </c>
      <c r="AL831">
        <f t="shared" si="351"/>
        <v>99.998999999999995</v>
      </c>
      <c r="AM831">
        <f t="shared" si="351"/>
        <v>4.7000000000000002E-3</v>
      </c>
      <c r="AN831">
        <f t="shared" si="249"/>
        <v>2.5823034532073799E-6</v>
      </c>
      <c r="AO831">
        <f t="shared" si="258"/>
        <v>1.5559878027964597E-3</v>
      </c>
      <c r="AP831">
        <f t="shared" si="259"/>
        <v>1.5585701062496671E-3</v>
      </c>
      <c r="AQ831">
        <f t="shared" si="260"/>
        <v>4.3484105964365707</v>
      </c>
      <c r="AS831">
        <f t="shared" si="261"/>
        <v>0</v>
      </c>
      <c r="AT831">
        <f t="shared" si="310"/>
        <v>1.0959354297931063E-2</v>
      </c>
      <c r="AU831">
        <f t="shared" si="262"/>
        <v>0.12502886979426103</v>
      </c>
      <c r="AV831">
        <f t="shared" si="311"/>
        <v>348.83054672598831</v>
      </c>
      <c r="AY831">
        <f t="shared" si="263"/>
        <v>2E-3</v>
      </c>
      <c r="BB831">
        <f t="shared" si="264"/>
        <v>0.24</v>
      </c>
    </row>
    <row r="832" spans="7:54" x14ac:dyDescent="0.2">
      <c r="G832" t="s">
        <v>196</v>
      </c>
      <c r="H832" t="s">
        <v>263</v>
      </c>
      <c r="J832">
        <v>28</v>
      </c>
      <c r="K832">
        <v>92</v>
      </c>
      <c r="M832">
        <f>$BY$41</f>
        <v>360</v>
      </c>
      <c r="O832">
        <f>$BY$87</f>
        <v>0.55000000000000004</v>
      </c>
      <c r="P832">
        <f>$BZ$134</f>
        <v>550</v>
      </c>
      <c r="Q832">
        <f t="shared" si="244"/>
        <v>0.65454545454545454</v>
      </c>
      <c r="S832">
        <v>0</v>
      </c>
      <c r="T832">
        <v>0</v>
      </c>
      <c r="U832">
        <v>0</v>
      </c>
      <c r="V832">
        <v>0</v>
      </c>
      <c r="W832">
        <f t="shared" si="307"/>
        <v>0</v>
      </c>
      <c r="X832">
        <f t="shared" si="308"/>
        <v>1</v>
      </c>
      <c r="Y832">
        <f t="shared" si="255"/>
        <v>7.0526893760999991</v>
      </c>
      <c r="Z832">
        <f t="shared" si="352"/>
        <v>1.1444510857303707</v>
      </c>
      <c r="AC832">
        <f>$CA$251</f>
        <v>0.12</v>
      </c>
      <c r="AE832">
        <f>$CA$182</f>
        <v>0.65</v>
      </c>
      <c r="AF832">
        <f t="shared" si="309"/>
        <v>2.5305049481446797</v>
      </c>
      <c r="AG832">
        <f t="shared" si="256"/>
        <v>0.19</v>
      </c>
      <c r="AH832">
        <f t="shared" si="257"/>
        <v>0.6784</v>
      </c>
      <c r="AI832">
        <f t="shared" si="323"/>
        <v>1E-3</v>
      </c>
      <c r="AK832">
        <f t="shared" si="351"/>
        <v>0.78</v>
      </c>
      <c r="AL832">
        <f t="shared" si="351"/>
        <v>99.998999999999995</v>
      </c>
      <c r="AM832">
        <f t="shared" si="351"/>
        <v>4.7000000000000002E-3</v>
      </c>
      <c r="AN832">
        <f t="shared" si="249"/>
        <v>2.5441413332092419E-6</v>
      </c>
      <c r="AO832">
        <f t="shared" si="258"/>
        <v>1.5329929091590737E-3</v>
      </c>
      <c r="AP832">
        <f t="shared" si="259"/>
        <v>1.5355370504922829E-3</v>
      </c>
      <c r="AQ832">
        <f t="shared" si="260"/>
        <v>3.9555434420681208</v>
      </c>
      <c r="AS832">
        <f t="shared" si="261"/>
        <v>0</v>
      </c>
      <c r="AT832">
        <f t="shared" si="310"/>
        <v>7.9499499092163285E-3</v>
      </c>
      <c r="AU832">
        <f t="shared" si="262"/>
        <v>0.12600709964265899</v>
      </c>
      <c r="AV832">
        <f t="shared" si="311"/>
        <v>324.59428867948958</v>
      </c>
      <c r="AY832">
        <f t="shared" si="263"/>
        <v>2E-3</v>
      </c>
      <c r="BB832">
        <f t="shared" si="264"/>
        <v>0.24</v>
      </c>
    </row>
    <row r="833" spans="7:54" x14ac:dyDescent="0.2">
      <c r="H833" t="s">
        <v>264</v>
      </c>
      <c r="J833">
        <v>31</v>
      </c>
      <c r="K833">
        <v>92</v>
      </c>
      <c r="M833">
        <f>$BY$42</f>
        <v>380</v>
      </c>
      <c r="O833">
        <f>$BY$88</f>
        <v>0.22</v>
      </c>
      <c r="P833">
        <f>$BZ$135</f>
        <v>550</v>
      </c>
      <c r="Q833">
        <f t="shared" si="244"/>
        <v>0.69090909090909092</v>
      </c>
      <c r="S833">
        <v>0</v>
      </c>
      <c r="T833">
        <v>0</v>
      </c>
      <c r="U833">
        <v>0</v>
      </c>
      <c r="V833">
        <v>0</v>
      </c>
      <c r="W833">
        <f t="shared" si="307"/>
        <v>0</v>
      </c>
      <c r="X833">
        <f t="shared" si="308"/>
        <v>1</v>
      </c>
      <c r="Y833">
        <f t="shared" si="255"/>
        <v>6.7811284835999981</v>
      </c>
      <c r="Z833">
        <f t="shared" si="352"/>
        <v>1.0554272012925048</v>
      </c>
      <c r="AC833">
        <f>$CA$252</f>
        <v>0.09</v>
      </c>
      <c r="AE833">
        <f>$CA$183</f>
        <v>0.55000000000000004</v>
      </c>
      <c r="AF833">
        <f t="shared" si="309"/>
        <v>3.0569327204068788</v>
      </c>
      <c r="AG833">
        <f t="shared" si="256"/>
        <v>0.19</v>
      </c>
      <c r="AH833">
        <f t="shared" si="257"/>
        <v>0.6784</v>
      </c>
      <c r="AI833">
        <f t="shared" si="323"/>
        <v>1E-3</v>
      </c>
      <c r="AK833">
        <f t="shared" si="351"/>
        <v>0.78</v>
      </c>
      <c r="AL833">
        <f t="shared" si="351"/>
        <v>99.998999999999995</v>
      </c>
      <c r="AM833">
        <f t="shared" si="351"/>
        <v>4.7000000000000002E-3</v>
      </c>
      <c r="AN833">
        <f t="shared" si="249"/>
        <v>3.0734059194506085E-6</v>
      </c>
      <c r="AO833">
        <f t="shared" si="258"/>
        <v>1.8519055604281592E-3</v>
      </c>
      <c r="AP833">
        <f t="shared" si="259"/>
        <v>1.8549789663476098E-3</v>
      </c>
      <c r="AQ833">
        <f t="shared" si="260"/>
        <v>5.2904000120233832</v>
      </c>
      <c r="AS833">
        <f t="shared" si="261"/>
        <v>0</v>
      </c>
      <c r="AT833">
        <f t="shared" si="310"/>
        <v>3.0418313976484424E-3</v>
      </c>
      <c r="AU833">
        <f t="shared" si="262"/>
        <v>9.3091635965804456E-2</v>
      </c>
      <c r="AV833">
        <f t="shared" si="311"/>
        <v>265.4973457744743</v>
      </c>
      <c r="AY833">
        <f t="shared" si="263"/>
        <v>2E-3</v>
      </c>
      <c r="BB833">
        <f t="shared" si="264"/>
        <v>0.24</v>
      </c>
    </row>
    <row r="834" spans="7:54" x14ac:dyDescent="0.2">
      <c r="H834" t="s">
        <v>265</v>
      </c>
      <c r="J834">
        <v>30</v>
      </c>
      <c r="K834">
        <v>90</v>
      </c>
      <c r="M834">
        <f t="shared" ref="M834:M835" si="353">$BY$42</f>
        <v>380</v>
      </c>
      <c r="O834">
        <f t="shared" ref="O834:O835" si="354">$BY$88</f>
        <v>0.22</v>
      </c>
      <c r="P834">
        <f t="shared" ref="P834:P835" si="355">$BZ$135</f>
        <v>550</v>
      </c>
      <c r="Q834">
        <f t="shared" si="244"/>
        <v>0.69090909090909092</v>
      </c>
      <c r="S834">
        <v>0</v>
      </c>
      <c r="T834">
        <v>0</v>
      </c>
      <c r="U834">
        <v>0</v>
      </c>
      <c r="V834">
        <v>0</v>
      </c>
      <c r="W834">
        <f t="shared" si="307"/>
        <v>0</v>
      </c>
      <c r="X834">
        <f t="shared" si="308"/>
        <v>1</v>
      </c>
      <c r="Y834">
        <f t="shared" si="255"/>
        <v>6.7811284835999981</v>
      </c>
      <c r="Z834">
        <f t="shared" si="352"/>
        <v>1.0554272012925048</v>
      </c>
      <c r="AC834">
        <f t="shared" ref="AC834:AC835" si="356">$CA$252</f>
        <v>0.09</v>
      </c>
      <c r="AE834">
        <f t="shared" ref="AE834:AE835" si="357">$CA$183</f>
        <v>0.55000000000000004</v>
      </c>
      <c r="AF834">
        <f t="shared" si="309"/>
        <v>3.0569327204068788</v>
      </c>
      <c r="AG834">
        <f t="shared" si="256"/>
        <v>0.19</v>
      </c>
      <c r="AH834">
        <f t="shared" si="257"/>
        <v>0.6784</v>
      </c>
      <c r="AI834">
        <f t="shared" si="323"/>
        <v>1E-3</v>
      </c>
      <c r="AK834">
        <f t="shared" si="351"/>
        <v>0.78</v>
      </c>
      <c r="AL834">
        <f t="shared" si="351"/>
        <v>99.998999999999995</v>
      </c>
      <c r="AM834">
        <f t="shared" si="351"/>
        <v>4.7000000000000002E-3</v>
      </c>
      <c r="AN834">
        <f t="shared" si="249"/>
        <v>3.0734059194506085E-6</v>
      </c>
      <c r="AO834">
        <f t="shared" si="258"/>
        <v>1.8519055604281592E-3</v>
      </c>
      <c r="AP834">
        <f t="shared" si="259"/>
        <v>1.8549789663476098E-3</v>
      </c>
      <c r="AQ834">
        <f t="shared" si="260"/>
        <v>5.0084432091385462</v>
      </c>
      <c r="AS834">
        <f t="shared" si="261"/>
        <v>0</v>
      </c>
      <c r="AT834">
        <f t="shared" si="310"/>
        <v>3.0418313976484424E-3</v>
      </c>
      <c r="AU834">
        <f t="shared" si="262"/>
        <v>9.3091635965804456E-2</v>
      </c>
      <c r="AV834">
        <f t="shared" si="311"/>
        <v>251.34741710767204</v>
      </c>
      <c r="AY834">
        <f t="shared" si="263"/>
        <v>2E-3</v>
      </c>
      <c r="BB834">
        <f t="shared" si="264"/>
        <v>0.24</v>
      </c>
    </row>
    <row r="835" spans="7:54" x14ac:dyDescent="0.2">
      <c r="H835" t="s">
        <v>266</v>
      </c>
      <c r="J835">
        <v>31</v>
      </c>
      <c r="K835">
        <v>88</v>
      </c>
      <c r="M835">
        <f t="shared" si="353"/>
        <v>380</v>
      </c>
      <c r="O835">
        <f t="shared" si="354"/>
        <v>0.22</v>
      </c>
      <c r="P835">
        <f t="shared" si="355"/>
        <v>550</v>
      </c>
      <c r="Q835">
        <f t="shared" ref="Q835:Q890" si="358">M835 / P835</f>
        <v>0.69090909090909092</v>
      </c>
      <c r="S835">
        <v>0</v>
      </c>
      <c r="T835">
        <v>0</v>
      </c>
      <c r="U835">
        <v>0</v>
      </c>
      <c r="V835">
        <v>0</v>
      </c>
      <c r="W835">
        <f t="shared" ref="W835:W866" si="359">S835*B$773+T835*B$774</f>
        <v>0</v>
      </c>
      <c r="X835">
        <f t="shared" ref="X835:X866" si="360">(S835 * $BX$3 +T835* $BX$4) + (1 -S835 -T835 )</f>
        <v>1</v>
      </c>
      <c r="Y835">
        <f t="shared" si="255"/>
        <v>6.7811284835999981</v>
      </c>
      <c r="Z835">
        <f t="shared" si="352"/>
        <v>1.0554272012925048</v>
      </c>
      <c r="AC835">
        <f t="shared" si="356"/>
        <v>0.09</v>
      </c>
      <c r="AE835">
        <f t="shared" si="357"/>
        <v>0.55000000000000004</v>
      </c>
      <c r="AF835">
        <f t="shared" ref="AF835:AF866" si="361">(Y835 * (1 - AE835) + (0.04 * Y835)) * ( 1 - $CJ$3 )</f>
        <v>3.0569327204068788</v>
      </c>
      <c r="AG835">
        <f t="shared" si="256"/>
        <v>0.19</v>
      </c>
      <c r="AH835">
        <f t="shared" si="257"/>
        <v>0.6784</v>
      </c>
      <c r="AI835">
        <f t="shared" si="323"/>
        <v>1E-3</v>
      </c>
      <c r="AK835">
        <f t="shared" si="351"/>
        <v>0.78</v>
      </c>
      <c r="AL835">
        <f t="shared" si="351"/>
        <v>99.998999999999995</v>
      </c>
      <c r="AM835">
        <f t="shared" si="351"/>
        <v>4.7000000000000002E-3</v>
      </c>
      <c r="AN835">
        <f t="shared" ref="AN835:AN890" si="362">AF835 * AG835 * AI835/100 * AK835 * AH835</f>
        <v>3.0734059194506085E-6</v>
      </c>
      <c r="AO835">
        <f t="shared" si="258"/>
        <v>1.8519055604281592E-3</v>
      </c>
      <c r="AP835">
        <f t="shared" si="259"/>
        <v>1.8549789663476098E-3</v>
      </c>
      <c r="AQ835">
        <f t="shared" si="260"/>
        <v>5.0603826201962798</v>
      </c>
      <c r="AS835">
        <f t="shared" si="261"/>
        <v>0</v>
      </c>
      <c r="AT835">
        <f t="shared" ref="AT835:AT866" si="363" xml:space="preserve"> (0.032*W835/6.38) + (((0.212 - 0.008*(Z835-2) - (0.14 - 0.008*(Z835 - 2))/(1+EXP(-6*(Q835-0.4))))*O835*0.92)/6.25)</f>
        <v>3.0418313976484424E-3</v>
      </c>
      <c r="AU835">
        <f t="shared" si="262"/>
        <v>9.3091635965804456E-2</v>
      </c>
      <c r="AV835">
        <f t="shared" ref="AV835:AV866" si="364">K835*AU835*J835</f>
        <v>253.95398291471457</v>
      </c>
      <c r="AY835">
        <f t="shared" si="263"/>
        <v>2E-3</v>
      </c>
      <c r="BB835">
        <f t="shared" si="264"/>
        <v>0.24</v>
      </c>
    </row>
    <row r="836" spans="7:54" x14ac:dyDescent="0.2">
      <c r="H836" t="s">
        <v>267</v>
      </c>
      <c r="J836">
        <v>30</v>
      </c>
      <c r="K836">
        <v>80</v>
      </c>
      <c r="M836">
        <f>$BY$43</f>
        <v>360</v>
      </c>
      <c r="O836">
        <f>$BY$89</f>
        <v>-0.22</v>
      </c>
      <c r="P836">
        <f>$BZ$136</f>
        <v>550</v>
      </c>
      <c r="Q836">
        <f t="shared" si="358"/>
        <v>0.65454545454545454</v>
      </c>
      <c r="S836">
        <v>0</v>
      </c>
      <c r="T836">
        <v>0</v>
      </c>
      <c r="U836">
        <v>0</v>
      </c>
      <c r="V836">
        <v>0</v>
      </c>
      <c r="W836">
        <f t="shared" si="359"/>
        <v>0</v>
      </c>
      <c r="X836">
        <f t="shared" si="360"/>
        <v>1</v>
      </c>
      <c r="Y836">
        <f t="shared" ref="Y836:Y890" si="365">(1.185 + 0.00454 * M836- 0.0000026 * M836 ^2 + 0.315 * O836)^2 * X836</f>
        <v>5.8232446595999994</v>
      </c>
      <c r="Z836">
        <f t="shared" ref="Z836:Z840" si="366">Y836 / ((1.185 + 0.00454 * M836 - 0.0000026 * M836 ^ 2) ^ 2 * X836)</f>
        <v>0.94494714253785794</v>
      </c>
      <c r="AC836">
        <f>$CA$253</f>
        <v>0.06</v>
      </c>
      <c r="AE836">
        <f>$CA$184</f>
        <v>0.45</v>
      </c>
      <c r="AF836">
        <f t="shared" si="361"/>
        <v>3.16085720123088</v>
      </c>
      <c r="AG836">
        <f t="shared" ref="AG836:AG890" si="367">$CJ$4</f>
        <v>0.19</v>
      </c>
      <c r="AH836">
        <f t="shared" ref="AH836:AH890" si="368">$CJ$5</f>
        <v>0.6784</v>
      </c>
      <c r="AI836">
        <f t="shared" si="323"/>
        <v>1E-3</v>
      </c>
      <c r="AK836">
        <f t="shared" si="351"/>
        <v>0.78</v>
      </c>
      <c r="AL836">
        <f t="shared" si="351"/>
        <v>99.998999999999995</v>
      </c>
      <c r="AM836">
        <f t="shared" si="351"/>
        <v>4.7000000000000002E-3</v>
      </c>
      <c r="AN836">
        <f t="shared" si="362"/>
        <v>3.1778904285168732E-6</v>
      </c>
      <c r="AO836">
        <f t="shared" ref="AO836:AO890" si="369">AF836 * AG836 * AL836/100 * AM836 * AH836</f>
        <v>1.9148635452793795E-3</v>
      </c>
      <c r="AP836">
        <f t="shared" ref="AP836:AP890" si="370">AN836+AO836</f>
        <v>1.9180414357078963E-3</v>
      </c>
      <c r="AQ836">
        <f t="shared" ref="AQ836:AQ890" si="371">K836*AP836*J836</f>
        <v>4.6032994456989513</v>
      </c>
      <c r="AS836">
        <f>U836*$B$773+V836*$B$774</f>
        <v>0</v>
      </c>
      <c r="AT836">
        <f t="shared" si="363"/>
        <v>-3.1892003674283188E-3</v>
      </c>
      <c r="AU836">
        <f>MAX((Y836*AC836/6.25)+(0.032*AS836/6.38)-AT836-((1.1*(10^-4)*(M836^0.75))/6.25), 0)</f>
        <v>5.7637762630343627E-2</v>
      </c>
      <c r="AV836">
        <f t="shared" si="364"/>
        <v>138.3306303128247</v>
      </c>
      <c r="AY836">
        <f t="shared" ref="AY836:AY890" si="372">VLOOKUP(AX$771, $CK$18:$CM$27, 2, FALSE)</f>
        <v>2E-3</v>
      </c>
      <c r="BB836">
        <f t="shared" ref="BB836:BB890" si="373">$CJ$7</f>
        <v>0.24</v>
      </c>
    </row>
    <row r="837" spans="7:54" x14ac:dyDescent="0.2">
      <c r="H837" t="s">
        <v>268</v>
      </c>
      <c r="J837">
        <v>31</v>
      </c>
      <c r="K837">
        <v>75</v>
      </c>
      <c r="M837">
        <f>$BY$43</f>
        <v>360</v>
      </c>
      <c r="O837">
        <f>$BY$89</f>
        <v>-0.22</v>
      </c>
      <c r="P837">
        <f>$BZ$136</f>
        <v>550</v>
      </c>
      <c r="Q837">
        <f t="shared" si="358"/>
        <v>0.65454545454545454</v>
      </c>
      <c r="S837">
        <v>0</v>
      </c>
      <c r="T837">
        <v>0</v>
      </c>
      <c r="U837">
        <v>0</v>
      </c>
      <c r="V837">
        <v>0</v>
      </c>
      <c r="W837">
        <f t="shared" si="359"/>
        <v>0</v>
      </c>
      <c r="X837">
        <f t="shared" si="360"/>
        <v>1</v>
      </c>
      <c r="Y837">
        <f t="shared" si="365"/>
        <v>5.8232446595999994</v>
      </c>
      <c r="Z837">
        <f t="shared" si="366"/>
        <v>0.94494714253785794</v>
      </c>
      <c r="AC837">
        <f>$CA$253</f>
        <v>0.06</v>
      </c>
      <c r="AE837">
        <f>$CA$184</f>
        <v>0.45</v>
      </c>
      <c r="AF837">
        <f t="shared" si="361"/>
        <v>3.16085720123088</v>
      </c>
      <c r="AG837">
        <f t="shared" si="367"/>
        <v>0.19</v>
      </c>
      <c r="AH837">
        <f t="shared" si="368"/>
        <v>0.6784</v>
      </c>
      <c r="AI837">
        <f t="shared" si="323"/>
        <v>1E-3</v>
      </c>
      <c r="AK837">
        <f t="shared" si="351"/>
        <v>0.78</v>
      </c>
      <c r="AL837">
        <f t="shared" si="351"/>
        <v>99.998999999999995</v>
      </c>
      <c r="AM837">
        <f t="shared" si="351"/>
        <v>4.7000000000000002E-3</v>
      </c>
      <c r="AN837">
        <f t="shared" si="362"/>
        <v>3.1778904285168732E-6</v>
      </c>
      <c r="AO837">
        <f t="shared" si="369"/>
        <v>1.9148635452793795E-3</v>
      </c>
      <c r="AP837">
        <f t="shared" si="370"/>
        <v>1.9180414357078963E-3</v>
      </c>
      <c r="AQ837">
        <f t="shared" si="371"/>
        <v>4.4594463380208591</v>
      </c>
      <c r="AS837">
        <f t="shared" si="261"/>
        <v>0</v>
      </c>
      <c r="AT837">
        <f t="shared" si="363"/>
        <v>-3.1892003674283188E-3</v>
      </c>
      <c r="AU837">
        <f t="shared" si="262"/>
        <v>5.7637762630343627E-2</v>
      </c>
      <c r="AV837">
        <f t="shared" si="364"/>
        <v>134.00779811554892</v>
      </c>
      <c r="AY837">
        <f t="shared" si="372"/>
        <v>2E-3</v>
      </c>
      <c r="BB837">
        <f t="shared" si="373"/>
        <v>0.24</v>
      </c>
    </row>
    <row r="838" spans="7:54" x14ac:dyDescent="0.2">
      <c r="H838" t="s">
        <v>269</v>
      </c>
      <c r="J838">
        <v>31</v>
      </c>
      <c r="K838">
        <v>30</v>
      </c>
      <c r="M838">
        <f>$BY$43</f>
        <v>360</v>
      </c>
      <c r="O838">
        <f>$BY$89</f>
        <v>-0.22</v>
      </c>
      <c r="P838">
        <f>$BZ$136</f>
        <v>550</v>
      </c>
      <c r="Q838">
        <f t="shared" si="358"/>
        <v>0.65454545454545454</v>
      </c>
      <c r="S838">
        <v>0.05</v>
      </c>
      <c r="T838">
        <v>0</v>
      </c>
      <c r="U838">
        <v>0</v>
      </c>
      <c r="V838">
        <v>0</v>
      </c>
      <c r="W838">
        <f t="shared" si="359"/>
        <v>0.30000000000000004</v>
      </c>
      <c r="X838">
        <f t="shared" si="360"/>
        <v>1.0149999999999999</v>
      </c>
      <c r="Y838">
        <f t="shared" si="365"/>
        <v>5.9105933294939987</v>
      </c>
      <c r="Z838">
        <f t="shared" si="366"/>
        <v>0.94494714253785794</v>
      </c>
      <c r="AC838">
        <f>$CA$253</f>
        <v>0.06</v>
      </c>
      <c r="AE838">
        <f>$CA$184</f>
        <v>0.45</v>
      </c>
      <c r="AF838">
        <f t="shared" si="361"/>
        <v>3.2082700592493425</v>
      </c>
      <c r="AG838">
        <f t="shared" si="367"/>
        <v>0.19</v>
      </c>
      <c r="AH838">
        <f t="shared" si="368"/>
        <v>0.6784</v>
      </c>
      <c r="AI838">
        <f t="shared" si="323"/>
        <v>1E-3</v>
      </c>
      <c r="AK838">
        <f t="shared" si="351"/>
        <v>0.78</v>
      </c>
      <c r="AL838">
        <f t="shared" si="351"/>
        <v>99.998999999999995</v>
      </c>
      <c r="AM838">
        <f t="shared" si="351"/>
        <v>4.7000000000000002E-3</v>
      </c>
      <c r="AN838">
        <f t="shared" si="362"/>
        <v>3.2255587849446256E-6</v>
      </c>
      <c r="AO838">
        <f t="shared" si="369"/>
        <v>1.94358649845857E-3</v>
      </c>
      <c r="AP838">
        <f t="shared" si="370"/>
        <v>1.9468120572435146E-3</v>
      </c>
      <c r="AQ838">
        <f t="shared" si="371"/>
        <v>1.8105352132364687</v>
      </c>
      <c r="AS838">
        <f t="shared" ref="AS838:AS880" si="374">U838*$B$773+V838*$B$774</f>
        <v>0</v>
      </c>
      <c r="AT838">
        <f t="shared" si="363"/>
        <v>-1.6844981730709519E-3</v>
      </c>
      <c r="AU838">
        <f t="shared" ref="AU838:AU851" si="375">MAX((Y838*AC838/6.25)+(0.032*AS838/6.38)-AT838-((1.1*(10^-4)*(M838^0.75))/6.25), 0)</f>
        <v>5.6971607666968654E-2</v>
      </c>
      <c r="AV838">
        <f t="shared" si="364"/>
        <v>52.983595130280847</v>
      </c>
      <c r="AY838">
        <f t="shared" si="372"/>
        <v>2E-3</v>
      </c>
      <c r="BB838">
        <f t="shared" si="373"/>
        <v>0.24</v>
      </c>
    </row>
    <row r="839" spans="7:54" x14ac:dyDescent="0.2">
      <c r="H839" t="s">
        <v>270</v>
      </c>
      <c r="J839">
        <v>30</v>
      </c>
      <c r="K839">
        <v>40</v>
      </c>
      <c r="M839">
        <f>$BY$40</f>
        <v>340</v>
      </c>
      <c r="O839">
        <f>$BY$86</f>
        <v>-0.22</v>
      </c>
      <c r="P839">
        <f>$BZ$133</f>
        <v>550</v>
      </c>
      <c r="Q839">
        <f t="shared" si="358"/>
        <v>0.61818181818181817</v>
      </c>
      <c r="S839">
        <v>0.4</v>
      </c>
      <c r="T839">
        <v>0.05</v>
      </c>
      <c r="U839">
        <v>0</v>
      </c>
      <c r="V839">
        <v>0</v>
      </c>
      <c r="W839">
        <f t="shared" si="359"/>
        <v>2.6000000000000005</v>
      </c>
      <c r="X839">
        <f t="shared" si="360"/>
        <v>1.125</v>
      </c>
      <c r="Y839">
        <f t="shared" si="365"/>
        <v>6.2591111860500011</v>
      </c>
      <c r="Z839">
        <f t="shared" si="366"/>
        <v>0.94373154013100768</v>
      </c>
      <c r="AC839">
        <f>$CA$250</f>
        <v>0.04</v>
      </c>
      <c r="AE839">
        <f>$CA$181</f>
        <v>0.4</v>
      </c>
      <c r="AF839">
        <f t="shared" si="361"/>
        <v>3.6853646663462407</v>
      </c>
      <c r="AG839">
        <f t="shared" si="367"/>
        <v>0.19</v>
      </c>
      <c r="AH839">
        <f t="shared" si="368"/>
        <v>0.6784</v>
      </c>
      <c r="AI839">
        <f t="shared" si="323"/>
        <v>1E-3</v>
      </c>
      <c r="AK839">
        <f t="shared" si="351"/>
        <v>0.78</v>
      </c>
      <c r="AL839">
        <f t="shared" si="351"/>
        <v>99.998999999999995</v>
      </c>
      <c r="AM839">
        <f t="shared" si="351"/>
        <v>4.7000000000000002E-3</v>
      </c>
      <c r="AN839">
        <f t="shared" si="362"/>
        <v>3.7052243594602473E-6</v>
      </c>
      <c r="AO839">
        <f t="shared" si="369"/>
        <v>2.232612864604906E-3</v>
      </c>
      <c r="AP839">
        <f t="shared" si="370"/>
        <v>2.2363180889643664E-3</v>
      </c>
      <c r="AQ839">
        <f t="shared" si="371"/>
        <v>2.6835817067572396</v>
      </c>
      <c r="AS839">
        <f t="shared" si="374"/>
        <v>0</v>
      </c>
      <c r="AT839">
        <f t="shared" si="363"/>
        <v>9.6868615479353687E-3</v>
      </c>
      <c r="AU839">
        <f t="shared" si="375"/>
        <v>2.8977902289048903E-2</v>
      </c>
      <c r="AV839">
        <f t="shared" si="364"/>
        <v>34.773482746858683</v>
      </c>
      <c r="AY839">
        <f t="shared" si="372"/>
        <v>2E-3</v>
      </c>
      <c r="BB839">
        <f t="shared" si="373"/>
        <v>0.24</v>
      </c>
    </row>
    <row r="840" spans="7:54" x14ac:dyDescent="0.2">
      <c r="H840" t="s">
        <v>271</v>
      </c>
      <c r="I840" s="1">
        <v>28</v>
      </c>
      <c r="J840" s="1">
        <v>28</v>
      </c>
      <c r="K840">
        <v>55</v>
      </c>
      <c r="M840">
        <f>$BY$40</f>
        <v>340</v>
      </c>
      <c r="O840">
        <f>$BY$86</f>
        <v>-0.22</v>
      </c>
      <c r="P840">
        <f>$BZ$133</f>
        <v>550</v>
      </c>
      <c r="Q840">
        <f t="shared" si="358"/>
        <v>0.61818181818181817</v>
      </c>
      <c r="S840">
        <v>0.3</v>
      </c>
      <c r="T840">
        <v>0.45</v>
      </c>
      <c r="U840">
        <v>0</v>
      </c>
      <c r="V840">
        <v>0</v>
      </c>
      <c r="W840">
        <f t="shared" si="359"/>
        <v>3.5999999999999996</v>
      </c>
      <c r="X840">
        <f t="shared" si="360"/>
        <v>1.135</v>
      </c>
      <c r="Y840">
        <f t="shared" si="365"/>
        <v>6.3147477299260011</v>
      </c>
      <c r="Z840">
        <f t="shared" si="366"/>
        <v>0.94373154013100768</v>
      </c>
      <c r="AC840">
        <f>$CA$250</f>
        <v>0.04</v>
      </c>
      <c r="AE840">
        <f>$CA$181</f>
        <v>0.4</v>
      </c>
      <c r="AF840">
        <f t="shared" si="361"/>
        <v>3.7181234633804299</v>
      </c>
      <c r="AG840">
        <f t="shared" si="367"/>
        <v>0.19</v>
      </c>
      <c r="AH840">
        <f t="shared" si="368"/>
        <v>0.6784</v>
      </c>
      <c r="AI840">
        <f t="shared" si="323"/>
        <v>1E-3</v>
      </c>
      <c r="AK840">
        <f t="shared" si="351"/>
        <v>0.78</v>
      </c>
      <c r="AL840">
        <f t="shared" si="351"/>
        <v>99.998999999999995</v>
      </c>
      <c r="AM840">
        <f t="shared" si="351"/>
        <v>4.7000000000000002E-3</v>
      </c>
      <c r="AN840">
        <f t="shared" si="362"/>
        <v>3.7381596870998944E-6</v>
      </c>
      <c r="AO840">
        <f t="shared" si="369"/>
        <v>2.2524583122902836E-3</v>
      </c>
      <c r="AP840">
        <f t="shared" si="370"/>
        <v>2.2561964719773836E-3</v>
      </c>
      <c r="AQ840">
        <f t="shared" si="371"/>
        <v>3.4745425668451708</v>
      </c>
      <c r="AS840">
        <f t="shared" si="374"/>
        <v>0</v>
      </c>
      <c r="AT840">
        <f t="shared" si="363"/>
        <v>1.4702535529126587E-2</v>
      </c>
      <c r="AU840">
        <f t="shared" si="375"/>
        <v>2.4318302188664084E-2</v>
      </c>
      <c r="AV840">
        <f t="shared" si="364"/>
        <v>37.450185370542691</v>
      </c>
      <c r="AY840">
        <f t="shared" si="372"/>
        <v>2E-3</v>
      </c>
      <c r="BB840">
        <f t="shared" si="373"/>
        <v>0.24</v>
      </c>
    </row>
    <row r="841" spans="7:54" x14ac:dyDescent="0.2">
      <c r="H841" t="s">
        <v>272</v>
      </c>
      <c r="J841">
        <v>30</v>
      </c>
      <c r="K841">
        <v>60</v>
      </c>
      <c r="M841">
        <f>$BY$40</f>
        <v>340</v>
      </c>
      <c r="N841" s="1">
        <v>-0.1</v>
      </c>
      <c r="O841">
        <v>-0.1</v>
      </c>
      <c r="P841">
        <f>$BZ$133</f>
        <v>550</v>
      </c>
      <c r="Q841">
        <f t="shared" si="358"/>
        <v>0.61818181818181817</v>
      </c>
      <c r="S841">
        <v>0.2</v>
      </c>
      <c r="T841">
        <v>0.75</v>
      </c>
      <c r="U841">
        <v>0</v>
      </c>
      <c r="V841">
        <v>0</v>
      </c>
      <c r="W841">
        <f t="shared" si="359"/>
        <v>4.2</v>
      </c>
      <c r="X841">
        <f t="shared" si="360"/>
        <v>1.135</v>
      </c>
      <c r="Y841">
        <f t="shared" si="365"/>
        <v>6.5187635077660024</v>
      </c>
      <c r="Z841">
        <f>Y841 / ((1.185 + 0.00454 * M841 - 0.0000026 * M841 ^ 2) ^ 2 * X841)</f>
        <v>0.9742214555585913</v>
      </c>
      <c r="AC841">
        <f>$CA$250</f>
        <v>0.04</v>
      </c>
      <c r="AE841">
        <f>$CA$181</f>
        <v>0.4</v>
      </c>
      <c r="AF841">
        <f t="shared" si="361"/>
        <v>3.8382479533726226</v>
      </c>
      <c r="AG841">
        <f t="shared" si="367"/>
        <v>0.19</v>
      </c>
      <c r="AH841">
        <f t="shared" si="368"/>
        <v>0.6784</v>
      </c>
      <c r="AI841">
        <f t="shared" si="323"/>
        <v>1E-3</v>
      </c>
      <c r="AK841">
        <f t="shared" si="351"/>
        <v>0.78</v>
      </c>
      <c r="AL841">
        <f t="shared" si="351"/>
        <v>99.998999999999995</v>
      </c>
      <c r="AM841">
        <f t="shared" si="351"/>
        <v>4.7000000000000002E-3</v>
      </c>
      <c r="AN841">
        <f t="shared" si="362"/>
        <v>3.8589315039437574E-6</v>
      </c>
      <c r="AO841">
        <f t="shared" si="369"/>
        <v>2.3252303459942278E-3</v>
      </c>
      <c r="AP841">
        <f t="shared" si="370"/>
        <v>2.3290892774981715E-3</v>
      </c>
      <c r="AQ841">
        <f t="shared" si="371"/>
        <v>4.1923606994967084</v>
      </c>
      <c r="AS841">
        <f t="shared" si="374"/>
        <v>0</v>
      </c>
      <c r="AT841">
        <f t="shared" si="363"/>
        <v>1.9542098380133849E-2</v>
      </c>
      <c r="AU841">
        <f t="shared" si="375"/>
        <v>2.0784440315832833E-2</v>
      </c>
      <c r="AV841">
        <f t="shared" si="364"/>
        <v>37.411992568499102</v>
      </c>
      <c r="AY841">
        <f t="shared" si="372"/>
        <v>2E-3</v>
      </c>
      <c r="BB841">
        <f t="shared" si="373"/>
        <v>0.24</v>
      </c>
    </row>
    <row r="842" spans="7:54" x14ac:dyDescent="0.2">
      <c r="H842" t="s">
        <v>273</v>
      </c>
      <c r="J842">
        <v>31</v>
      </c>
      <c r="K842">
        <v>80</v>
      </c>
      <c r="M842">
        <f>$BY$41</f>
        <v>360</v>
      </c>
      <c r="O842">
        <f>$BY$87</f>
        <v>0.55000000000000004</v>
      </c>
      <c r="P842">
        <f>$BZ$134</f>
        <v>550</v>
      </c>
      <c r="Q842">
        <f t="shared" si="358"/>
        <v>0.65454545454545454</v>
      </c>
      <c r="S842">
        <v>0.05</v>
      </c>
      <c r="T842">
        <v>0.91</v>
      </c>
      <c r="U842">
        <v>0</v>
      </c>
      <c r="V842">
        <v>0</v>
      </c>
      <c r="W842">
        <f t="shared" si="359"/>
        <v>3.9400000000000004</v>
      </c>
      <c r="X842">
        <f t="shared" si="360"/>
        <v>1.1059999999999999</v>
      </c>
      <c r="Y842">
        <f t="shared" si="365"/>
        <v>7.8002744499665981</v>
      </c>
      <c r="Z842">
        <f>Y842 / ((1.185 + 0.00454 * M842 - 0.0000026 * M842 ^ 2) ^ 2 * X842)</f>
        <v>1.1444510857303707</v>
      </c>
      <c r="AC842">
        <f>$CA$251</f>
        <v>0.12</v>
      </c>
      <c r="AE842">
        <f>$CA$182</f>
        <v>0.65</v>
      </c>
      <c r="AF842">
        <f t="shared" si="361"/>
        <v>2.7987384726480151</v>
      </c>
      <c r="AG842">
        <f t="shared" si="367"/>
        <v>0.19</v>
      </c>
      <c r="AH842">
        <f t="shared" si="368"/>
        <v>0.6784</v>
      </c>
      <c r="AI842">
        <f t="shared" ref="AI842:AI873" si="376">AI$771</f>
        <v>1E-3</v>
      </c>
      <c r="AK842">
        <f t="shared" si="351"/>
        <v>0.78</v>
      </c>
      <c r="AL842">
        <f t="shared" si="351"/>
        <v>99.998999999999995</v>
      </c>
      <c r="AM842">
        <f t="shared" si="351"/>
        <v>4.7000000000000002E-3</v>
      </c>
      <c r="AN842">
        <f t="shared" si="362"/>
        <v>2.8138203145294213E-6</v>
      </c>
      <c r="AO842">
        <f t="shared" si="369"/>
        <v>1.6954901575299351E-3</v>
      </c>
      <c r="AP842">
        <f t="shared" si="370"/>
        <v>1.6983039778444644E-3</v>
      </c>
      <c r="AQ842">
        <f t="shared" si="371"/>
        <v>4.2117938650542719</v>
      </c>
      <c r="AS842">
        <f t="shared" si="374"/>
        <v>0</v>
      </c>
      <c r="AT842">
        <f t="shared" si="363"/>
        <v>2.771170539510975E-2</v>
      </c>
      <c r="AU842">
        <f t="shared" si="375"/>
        <v>0.12059897757500423</v>
      </c>
      <c r="AV842">
        <f t="shared" si="364"/>
        <v>299.08546438601053</v>
      </c>
      <c r="AY842">
        <f t="shared" si="372"/>
        <v>2E-3</v>
      </c>
      <c r="BB842">
        <f t="shared" si="373"/>
        <v>0.24</v>
      </c>
    </row>
    <row r="843" spans="7:54" x14ac:dyDescent="0.2">
      <c r="G843" t="s">
        <v>187</v>
      </c>
      <c r="H843" t="s">
        <v>262</v>
      </c>
      <c r="J843">
        <v>31</v>
      </c>
      <c r="K843">
        <v>70</v>
      </c>
      <c r="M843">
        <f>$BY$45</f>
        <v>400</v>
      </c>
      <c r="O843">
        <f>$BY$91</f>
        <v>0.33</v>
      </c>
      <c r="P843">
        <f>$BZ$138</f>
        <v>660</v>
      </c>
      <c r="Q843">
        <f t="shared" si="358"/>
        <v>0.60606060606060608</v>
      </c>
      <c r="S843">
        <v>0</v>
      </c>
      <c r="T843">
        <v>0</v>
      </c>
      <c r="U843">
        <v>0</v>
      </c>
      <c r="V843">
        <v>0</v>
      </c>
      <c r="W843">
        <f t="shared" si="359"/>
        <v>0</v>
      </c>
      <c r="X843">
        <f t="shared" si="360"/>
        <v>1</v>
      </c>
      <c r="Y843">
        <f t="shared" si="365"/>
        <v>7.230452102500001</v>
      </c>
      <c r="Z843">
        <f t="shared" ref="Z843:Z865" si="377">Y843 / ((1.185 + 0.00454 * M843 - 0.0000026 * M843 ^ 2) ^ 2 * X843)</f>
        <v>1.0820425984608422</v>
      </c>
      <c r="AC843">
        <f>$CA$255</f>
        <v>0.12</v>
      </c>
      <c r="AE843">
        <f>$CA$186</f>
        <v>0.65</v>
      </c>
      <c r="AF843">
        <f t="shared" si="361"/>
        <v>2.594286214377</v>
      </c>
      <c r="AG843">
        <f t="shared" si="367"/>
        <v>0.19</v>
      </c>
      <c r="AH843">
        <f t="shared" si="368"/>
        <v>0.6784</v>
      </c>
      <c r="AI843">
        <f t="shared" si="376"/>
        <v>1E-3</v>
      </c>
      <c r="AK843">
        <f t="shared" si="351"/>
        <v>0.78</v>
      </c>
      <c r="AL843">
        <f t="shared" si="351"/>
        <v>99.998999999999995</v>
      </c>
      <c r="AM843">
        <f t="shared" si="351"/>
        <v>4.7000000000000002E-3</v>
      </c>
      <c r="AN843">
        <f t="shared" si="362"/>
        <v>2.608266303929035E-6</v>
      </c>
      <c r="AO843">
        <f t="shared" si="369"/>
        <v>1.5716319281987407E-3</v>
      </c>
      <c r="AP843">
        <f t="shared" si="370"/>
        <v>1.5742401945026698E-3</v>
      </c>
      <c r="AQ843">
        <f t="shared" si="371"/>
        <v>3.4161012220707936</v>
      </c>
      <c r="AS843">
        <f t="shared" si="374"/>
        <v>0</v>
      </c>
      <c r="AT843">
        <f t="shared" si="363"/>
        <v>5.1083772790481274E-3</v>
      </c>
      <c r="AU843">
        <f t="shared" si="375"/>
        <v>0.13214211123279204</v>
      </c>
      <c r="AV843">
        <f t="shared" si="364"/>
        <v>286.74838137515877</v>
      </c>
      <c r="AY843">
        <f t="shared" si="372"/>
        <v>2E-3</v>
      </c>
      <c r="BB843">
        <f t="shared" si="373"/>
        <v>0.24</v>
      </c>
    </row>
    <row r="844" spans="7:54" x14ac:dyDescent="0.2">
      <c r="G844" t="s">
        <v>197</v>
      </c>
      <c r="H844" t="s">
        <v>263</v>
      </c>
      <c r="J844">
        <v>28</v>
      </c>
      <c r="K844">
        <v>70</v>
      </c>
      <c r="M844">
        <f>$BY$45</f>
        <v>400</v>
      </c>
      <c r="O844">
        <f>$BY$91</f>
        <v>0.33</v>
      </c>
      <c r="P844">
        <f>$BZ$138</f>
        <v>660</v>
      </c>
      <c r="Q844">
        <f t="shared" si="358"/>
        <v>0.60606060606060608</v>
      </c>
      <c r="S844">
        <v>0</v>
      </c>
      <c r="T844">
        <v>0</v>
      </c>
      <c r="U844">
        <v>0</v>
      </c>
      <c r="V844">
        <v>0</v>
      </c>
      <c r="W844">
        <f t="shared" si="359"/>
        <v>0</v>
      </c>
      <c r="X844">
        <f t="shared" si="360"/>
        <v>1</v>
      </c>
      <c r="Y844">
        <f t="shared" si="365"/>
        <v>7.230452102500001</v>
      </c>
      <c r="Z844">
        <f t="shared" si="377"/>
        <v>1.0820425984608422</v>
      </c>
      <c r="AC844">
        <f>$CA$255</f>
        <v>0.12</v>
      </c>
      <c r="AE844">
        <f>$CA$186</f>
        <v>0.65</v>
      </c>
      <c r="AF844">
        <f t="shared" si="361"/>
        <v>2.594286214377</v>
      </c>
      <c r="AG844">
        <f t="shared" si="367"/>
        <v>0.19</v>
      </c>
      <c r="AH844">
        <f t="shared" si="368"/>
        <v>0.6784</v>
      </c>
      <c r="AI844">
        <f t="shared" si="376"/>
        <v>1E-3</v>
      </c>
      <c r="AK844">
        <f t="shared" si="351"/>
        <v>0.78</v>
      </c>
      <c r="AL844">
        <f t="shared" si="351"/>
        <v>99.998999999999995</v>
      </c>
      <c r="AM844">
        <f t="shared" si="351"/>
        <v>4.7000000000000002E-3</v>
      </c>
      <c r="AN844">
        <f t="shared" si="362"/>
        <v>2.608266303929035E-6</v>
      </c>
      <c r="AO844">
        <f t="shared" si="369"/>
        <v>1.5716319281987407E-3</v>
      </c>
      <c r="AP844">
        <f t="shared" si="370"/>
        <v>1.5742401945026698E-3</v>
      </c>
      <c r="AQ844">
        <f t="shared" si="371"/>
        <v>3.0855107812252331</v>
      </c>
      <c r="AS844">
        <f t="shared" si="374"/>
        <v>0</v>
      </c>
      <c r="AT844">
        <f t="shared" si="363"/>
        <v>5.1083772790481274E-3</v>
      </c>
      <c r="AU844">
        <f t="shared" si="375"/>
        <v>0.13214211123279204</v>
      </c>
      <c r="AV844">
        <f t="shared" si="364"/>
        <v>258.99853801627239</v>
      </c>
      <c r="AY844">
        <f t="shared" si="372"/>
        <v>2E-3</v>
      </c>
      <c r="BB844">
        <f t="shared" si="373"/>
        <v>0.24</v>
      </c>
    </row>
    <row r="845" spans="7:54" x14ac:dyDescent="0.2">
      <c r="H845" t="s">
        <v>264</v>
      </c>
      <c r="J845">
        <v>31</v>
      </c>
      <c r="K845">
        <v>60</v>
      </c>
      <c r="M845">
        <f>$BY$46</f>
        <v>420</v>
      </c>
      <c r="O845">
        <f>$BY$92</f>
        <v>0.22</v>
      </c>
      <c r="P845">
        <f>$BZ$139</f>
        <v>660</v>
      </c>
      <c r="Q845">
        <f t="shared" si="358"/>
        <v>0.63636363636363635</v>
      </c>
      <c r="S845">
        <v>0</v>
      </c>
      <c r="T845">
        <v>0</v>
      </c>
      <c r="U845">
        <v>0</v>
      </c>
      <c r="V845">
        <v>0</v>
      </c>
      <c r="W845">
        <f t="shared" si="359"/>
        <v>0</v>
      </c>
      <c r="X845">
        <f t="shared" si="360"/>
        <v>1</v>
      </c>
      <c r="Y845">
        <f t="shared" si="365"/>
        <v>7.3032900516000012</v>
      </c>
      <c r="Z845">
        <f t="shared" si="377"/>
        <v>1.0533290230865808</v>
      </c>
      <c r="AC845">
        <f>$CA$256</f>
        <v>0.09</v>
      </c>
      <c r="AE845">
        <f>$CA$187</f>
        <v>0.55000000000000004</v>
      </c>
      <c r="AF845">
        <f t="shared" si="361"/>
        <v>3.2923231552612804</v>
      </c>
      <c r="AG845">
        <f t="shared" si="367"/>
        <v>0.19</v>
      </c>
      <c r="AH845">
        <f t="shared" si="368"/>
        <v>0.6784</v>
      </c>
      <c r="AI845">
        <f t="shared" si="376"/>
        <v>1E-3</v>
      </c>
      <c r="AK845">
        <f t="shared" si="351"/>
        <v>0.78</v>
      </c>
      <c r="AL845">
        <f t="shared" si="351"/>
        <v>99.998999999999995</v>
      </c>
      <c r="AM845">
        <f t="shared" si="351"/>
        <v>4.7000000000000002E-3</v>
      </c>
      <c r="AN845">
        <f t="shared" si="362"/>
        <v>3.3100648262803526E-6</v>
      </c>
      <c r="AO845">
        <f t="shared" si="369"/>
        <v>1.9945062962142077E-3</v>
      </c>
      <c r="AP845">
        <f t="shared" si="370"/>
        <v>1.9978163610404882E-3</v>
      </c>
      <c r="AQ845">
        <f t="shared" si="371"/>
        <v>3.7159384315353079</v>
      </c>
      <c r="AS845">
        <f t="shared" si="374"/>
        <v>0</v>
      </c>
      <c r="AT845">
        <f t="shared" si="363"/>
        <v>3.263301747682234E-3</v>
      </c>
      <c r="AU845">
        <f t="shared" si="375"/>
        <v>0.10027121241872085</v>
      </c>
      <c r="AV845">
        <f t="shared" si="364"/>
        <v>186.50445509882078</v>
      </c>
      <c r="AY845">
        <f t="shared" si="372"/>
        <v>2E-3</v>
      </c>
      <c r="BB845">
        <f t="shared" si="373"/>
        <v>0.24</v>
      </c>
    </row>
    <row r="846" spans="7:54" x14ac:dyDescent="0.2">
      <c r="H846" t="s">
        <v>265</v>
      </c>
      <c r="J846">
        <v>30</v>
      </c>
      <c r="K846">
        <v>50</v>
      </c>
      <c r="M846">
        <f>$BY$46</f>
        <v>420</v>
      </c>
      <c r="O846">
        <f>$BY$92</f>
        <v>0.22</v>
      </c>
      <c r="P846">
        <f>$BZ$139</f>
        <v>660</v>
      </c>
      <c r="Q846">
        <f t="shared" si="358"/>
        <v>0.63636363636363635</v>
      </c>
      <c r="S846">
        <v>0</v>
      </c>
      <c r="T846">
        <v>0</v>
      </c>
      <c r="U846">
        <v>0</v>
      </c>
      <c r="V846">
        <v>0</v>
      </c>
      <c r="W846">
        <f t="shared" si="359"/>
        <v>0</v>
      </c>
      <c r="X846">
        <f t="shared" si="360"/>
        <v>1</v>
      </c>
      <c r="Y846">
        <f t="shared" si="365"/>
        <v>7.3032900516000012</v>
      </c>
      <c r="Z846">
        <f t="shared" si="377"/>
        <v>1.0533290230865808</v>
      </c>
      <c r="AC846">
        <f>$CA$256</f>
        <v>0.09</v>
      </c>
      <c r="AE846">
        <f>$CA$187</f>
        <v>0.55000000000000004</v>
      </c>
      <c r="AF846">
        <f t="shared" si="361"/>
        <v>3.2923231552612804</v>
      </c>
      <c r="AG846">
        <f t="shared" si="367"/>
        <v>0.19</v>
      </c>
      <c r="AH846">
        <f t="shared" si="368"/>
        <v>0.6784</v>
      </c>
      <c r="AI846">
        <f t="shared" si="376"/>
        <v>1E-3</v>
      </c>
      <c r="AK846">
        <f t="shared" si="351"/>
        <v>0.78</v>
      </c>
      <c r="AL846">
        <f t="shared" si="351"/>
        <v>99.998999999999995</v>
      </c>
      <c r="AM846">
        <f t="shared" si="351"/>
        <v>4.7000000000000002E-3</v>
      </c>
      <c r="AN846">
        <f t="shared" si="362"/>
        <v>3.3100648262803526E-6</v>
      </c>
      <c r="AO846">
        <f t="shared" si="369"/>
        <v>1.9945062962142077E-3</v>
      </c>
      <c r="AP846">
        <f t="shared" si="370"/>
        <v>1.9978163610404882E-3</v>
      </c>
      <c r="AQ846">
        <f t="shared" si="371"/>
        <v>2.9967245415607322</v>
      </c>
      <c r="AS846">
        <f t="shared" si="374"/>
        <v>0</v>
      </c>
      <c r="AT846">
        <f t="shared" si="363"/>
        <v>3.263301747682234E-3</v>
      </c>
      <c r="AU846">
        <f t="shared" si="375"/>
        <v>0.10027121241872085</v>
      </c>
      <c r="AV846">
        <f t="shared" si="364"/>
        <v>150.40681862808125</v>
      </c>
      <c r="AY846">
        <f t="shared" si="372"/>
        <v>2E-3</v>
      </c>
      <c r="BB846">
        <f t="shared" si="373"/>
        <v>0.24</v>
      </c>
    </row>
    <row r="847" spans="7:54" x14ac:dyDescent="0.2">
      <c r="H847" t="s">
        <v>266</v>
      </c>
      <c r="J847">
        <v>31</v>
      </c>
      <c r="K847">
        <v>40</v>
      </c>
      <c r="M847">
        <f>$BY$46</f>
        <v>420</v>
      </c>
      <c r="O847">
        <f>$BY$92</f>
        <v>0.22</v>
      </c>
      <c r="P847">
        <f>$BZ$139</f>
        <v>660</v>
      </c>
      <c r="Q847">
        <f t="shared" si="358"/>
        <v>0.63636363636363635</v>
      </c>
      <c r="S847">
        <v>0</v>
      </c>
      <c r="T847">
        <v>0</v>
      </c>
      <c r="U847">
        <v>0</v>
      </c>
      <c r="V847">
        <v>0</v>
      </c>
      <c r="W847">
        <f t="shared" si="359"/>
        <v>0</v>
      </c>
      <c r="X847">
        <f t="shared" si="360"/>
        <v>1</v>
      </c>
      <c r="Y847">
        <f t="shared" si="365"/>
        <v>7.3032900516000012</v>
      </c>
      <c r="Z847">
        <f t="shared" si="377"/>
        <v>1.0533290230865808</v>
      </c>
      <c r="AC847">
        <f>$CA$256</f>
        <v>0.09</v>
      </c>
      <c r="AE847">
        <f>$CA$187</f>
        <v>0.55000000000000004</v>
      </c>
      <c r="AF847">
        <f t="shared" si="361"/>
        <v>3.2923231552612804</v>
      </c>
      <c r="AG847">
        <f t="shared" si="367"/>
        <v>0.19</v>
      </c>
      <c r="AH847">
        <f t="shared" si="368"/>
        <v>0.6784</v>
      </c>
      <c r="AI847">
        <f t="shared" si="376"/>
        <v>1E-3</v>
      </c>
      <c r="AK847">
        <f t="shared" si="351"/>
        <v>0.78</v>
      </c>
      <c r="AL847">
        <f t="shared" si="351"/>
        <v>99.998999999999995</v>
      </c>
      <c r="AM847">
        <f t="shared" si="351"/>
        <v>4.7000000000000002E-3</v>
      </c>
      <c r="AN847">
        <f t="shared" si="362"/>
        <v>3.3100648262803526E-6</v>
      </c>
      <c r="AO847">
        <f t="shared" si="369"/>
        <v>1.9945062962142077E-3</v>
      </c>
      <c r="AP847">
        <f t="shared" si="370"/>
        <v>1.9978163610404882E-3</v>
      </c>
      <c r="AQ847">
        <f t="shared" si="371"/>
        <v>2.4772922876902057</v>
      </c>
      <c r="AS847">
        <f t="shared" si="374"/>
        <v>0</v>
      </c>
      <c r="AT847">
        <f t="shared" si="363"/>
        <v>3.263301747682234E-3</v>
      </c>
      <c r="AU847">
        <f t="shared" si="375"/>
        <v>0.10027121241872085</v>
      </c>
      <c r="AV847">
        <f t="shared" si="364"/>
        <v>124.33630339921386</v>
      </c>
      <c r="AY847">
        <f t="shared" si="372"/>
        <v>2E-3</v>
      </c>
      <c r="BB847">
        <f t="shared" si="373"/>
        <v>0.24</v>
      </c>
    </row>
    <row r="848" spans="7:54" x14ac:dyDescent="0.2">
      <c r="H848" t="s">
        <v>267</v>
      </c>
      <c r="J848">
        <v>30</v>
      </c>
      <c r="K848">
        <v>40</v>
      </c>
      <c r="M848">
        <f>$BY$47</f>
        <v>390</v>
      </c>
      <c r="O848">
        <f>$BY$93</f>
        <v>-0.33</v>
      </c>
      <c r="P848">
        <f>$BZ$140</f>
        <v>660</v>
      </c>
      <c r="Q848">
        <f t="shared" si="358"/>
        <v>0.59090909090909094</v>
      </c>
      <c r="S848">
        <v>0</v>
      </c>
      <c r="T848">
        <v>0</v>
      </c>
      <c r="U848">
        <v>0</v>
      </c>
      <c r="V848">
        <v>0</v>
      </c>
      <c r="W848">
        <f t="shared" si="359"/>
        <v>0</v>
      </c>
      <c r="X848">
        <f t="shared" si="360"/>
        <v>1</v>
      </c>
      <c r="Y848">
        <f t="shared" si="365"/>
        <v>6.0328693160999993</v>
      </c>
      <c r="Z848">
        <f t="shared" si="377"/>
        <v>0.92044212724953012</v>
      </c>
      <c r="AC848">
        <f>$CA$257</f>
        <v>0.06</v>
      </c>
      <c r="AE848">
        <f>$CA$188</f>
        <v>0.45</v>
      </c>
      <c r="AF848">
        <f t="shared" si="361"/>
        <v>3.27464146477908</v>
      </c>
      <c r="AG848">
        <f t="shared" si="367"/>
        <v>0.19</v>
      </c>
      <c r="AH848">
        <f t="shared" si="368"/>
        <v>0.6784</v>
      </c>
      <c r="AI848">
        <f t="shared" si="376"/>
        <v>1E-3</v>
      </c>
      <c r="AK848">
        <f t="shared" si="351"/>
        <v>0.78</v>
      </c>
      <c r="AL848">
        <f t="shared" si="351"/>
        <v>99.998999999999995</v>
      </c>
      <c r="AM848">
        <f t="shared" si="351"/>
        <v>4.7000000000000002E-3</v>
      </c>
      <c r="AN848">
        <f t="shared" si="362"/>
        <v>3.2922878527044822E-6</v>
      </c>
      <c r="AO848">
        <f t="shared" si="369"/>
        <v>1.9837946372028188E-3</v>
      </c>
      <c r="AP848">
        <f t="shared" si="370"/>
        <v>1.9870869250555234E-3</v>
      </c>
      <c r="AQ848">
        <f t="shared" si="371"/>
        <v>2.3845043100666281</v>
      </c>
      <c r="AS848">
        <f t="shared" si="374"/>
        <v>0</v>
      </c>
      <c r="AT848">
        <f t="shared" si="363"/>
        <v>-5.2398443993221903E-3</v>
      </c>
      <c r="AU848">
        <f t="shared" si="375"/>
        <v>6.1610807287374773E-2</v>
      </c>
      <c r="AV848">
        <f t="shared" si="364"/>
        <v>73.932968744849717</v>
      </c>
      <c r="AY848">
        <f t="shared" si="372"/>
        <v>2E-3</v>
      </c>
      <c r="BB848">
        <f t="shared" si="373"/>
        <v>0.24</v>
      </c>
    </row>
    <row r="849" spans="7:54" x14ac:dyDescent="0.2">
      <c r="H849" t="s">
        <v>268</v>
      </c>
      <c r="J849">
        <v>31</v>
      </c>
      <c r="K849">
        <v>20</v>
      </c>
      <c r="M849">
        <f>$BY$47</f>
        <v>390</v>
      </c>
      <c r="O849">
        <f>$BY$93</f>
        <v>-0.33</v>
      </c>
      <c r="P849">
        <f>$BZ$140</f>
        <v>660</v>
      </c>
      <c r="Q849">
        <f t="shared" si="358"/>
        <v>0.59090909090909094</v>
      </c>
      <c r="S849">
        <v>0</v>
      </c>
      <c r="T849">
        <v>0</v>
      </c>
      <c r="U849">
        <v>0</v>
      </c>
      <c r="V849">
        <v>0</v>
      </c>
      <c r="W849">
        <f t="shared" si="359"/>
        <v>0</v>
      </c>
      <c r="X849">
        <f t="shared" si="360"/>
        <v>1</v>
      </c>
      <c r="Y849">
        <f t="shared" si="365"/>
        <v>6.0328693160999993</v>
      </c>
      <c r="Z849">
        <f t="shared" si="377"/>
        <v>0.92044212724953012</v>
      </c>
      <c r="AC849">
        <f>$CA$257</f>
        <v>0.06</v>
      </c>
      <c r="AE849">
        <f>$CA$188</f>
        <v>0.45</v>
      </c>
      <c r="AF849">
        <f t="shared" si="361"/>
        <v>3.27464146477908</v>
      </c>
      <c r="AG849">
        <f t="shared" si="367"/>
        <v>0.19</v>
      </c>
      <c r="AH849">
        <f t="shared" si="368"/>
        <v>0.6784</v>
      </c>
      <c r="AI849">
        <f t="shared" si="376"/>
        <v>1E-3</v>
      </c>
      <c r="AK849">
        <f t="shared" si="351"/>
        <v>0.78</v>
      </c>
      <c r="AL849">
        <f t="shared" si="351"/>
        <v>99.998999999999995</v>
      </c>
      <c r="AM849">
        <f t="shared" si="351"/>
        <v>4.7000000000000002E-3</v>
      </c>
      <c r="AN849">
        <f t="shared" si="362"/>
        <v>3.2922878527044822E-6</v>
      </c>
      <c r="AO849">
        <f t="shared" si="369"/>
        <v>1.9837946372028188E-3</v>
      </c>
      <c r="AP849">
        <f t="shared" si="370"/>
        <v>1.9870869250555234E-3</v>
      </c>
      <c r="AQ849">
        <f t="shared" si="371"/>
        <v>1.2319938935344246</v>
      </c>
      <c r="AS849">
        <f t="shared" si="374"/>
        <v>0</v>
      </c>
      <c r="AT849">
        <f t="shared" si="363"/>
        <v>-5.2398443993221903E-3</v>
      </c>
      <c r="AU849">
        <f t="shared" si="375"/>
        <v>6.1610807287374773E-2</v>
      </c>
      <c r="AV849">
        <f t="shared" si="364"/>
        <v>38.198700518172359</v>
      </c>
      <c r="AY849">
        <f t="shared" si="372"/>
        <v>2E-3</v>
      </c>
      <c r="BB849">
        <f t="shared" si="373"/>
        <v>0.24</v>
      </c>
    </row>
    <row r="850" spans="7:54" x14ac:dyDescent="0.2">
      <c r="H850" t="s">
        <v>269</v>
      </c>
      <c r="J850">
        <v>31</v>
      </c>
      <c r="K850">
        <v>20</v>
      </c>
      <c r="M850">
        <f>$BY$47</f>
        <v>390</v>
      </c>
      <c r="O850">
        <f>$BY$93</f>
        <v>-0.33</v>
      </c>
      <c r="P850">
        <f>$BZ$140</f>
        <v>660</v>
      </c>
      <c r="Q850">
        <f t="shared" si="358"/>
        <v>0.59090909090909094</v>
      </c>
      <c r="S850">
        <v>0</v>
      </c>
      <c r="T850">
        <v>0</v>
      </c>
      <c r="U850">
        <v>0</v>
      </c>
      <c r="V850">
        <v>0</v>
      </c>
      <c r="W850">
        <f t="shared" si="359"/>
        <v>0</v>
      </c>
      <c r="X850">
        <f t="shared" si="360"/>
        <v>1</v>
      </c>
      <c r="Y850">
        <f t="shared" si="365"/>
        <v>6.0328693160999993</v>
      </c>
      <c r="Z850">
        <f t="shared" si="377"/>
        <v>0.92044212724953012</v>
      </c>
      <c r="AC850">
        <f>$CA$257</f>
        <v>0.06</v>
      </c>
      <c r="AE850">
        <f>$CA$188</f>
        <v>0.45</v>
      </c>
      <c r="AF850">
        <f t="shared" si="361"/>
        <v>3.27464146477908</v>
      </c>
      <c r="AG850">
        <f t="shared" si="367"/>
        <v>0.19</v>
      </c>
      <c r="AH850">
        <f t="shared" si="368"/>
        <v>0.6784</v>
      </c>
      <c r="AI850">
        <f t="shared" si="376"/>
        <v>1E-3</v>
      </c>
      <c r="AK850">
        <f t="shared" ref="AK850:AM869" si="378">AK$771</f>
        <v>0.78</v>
      </c>
      <c r="AL850">
        <f t="shared" si="378"/>
        <v>99.998999999999995</v>
      </c>
      <c r="AM850">
        <f t="shared" si="378"/>
        <v>4.7000000000000002E-3</v>
      </c>
      <c r="AN850">
        <f t="shared" si="362"/>
        <v>3.2922878527044822E-6</v>
      </c>
      <c r="AO850">
        <f t="shared" si="369"/>
        <v>1.9837946372028188E-3</v>
      </c>
      <c r="AP850">
        <f t="shared" si="370"/>
        <v>1.9870869250555234E-3</v>
      </c>
      <c r="AQ850">
        <f t="shared" si="371"/>
        <v>1.2319938935344246</v>
      </c>
      <c r="AS850">
        <f t="shared" si="374"/>
        <v>0</v>
      </c>
      <c r="AT850">
        <f t="shared" si="363"/>
        <v>-5.2398443993221903E-3</v>
      </c>
      <c r="AU850">
        <f t="shared" si="375"/>
        <v>6.1610807287374773E-2</v>
      </c>
      <c r="AV850">
        <f t="shared" si="364"/>
        <v>38.198700518172359</v>
      </c>
      <c r="AY850">
        <f t="shared" si="372"/>
        <v>2E-3</v>
      </c>
      <c r="BB850">
        <f t="shared" si="373"/>
        <v>0.24</v>
      </c>
    </row>
    <row r="851" spans="7:54" x14ac:dyDescent="0.2">
      <c r="H851" t="s">
        <v>270</v>
      </c>
      <c r="J851">
        <v>30</v>
      </c>
      <c r="K851">
        <v>20</v>
      </c>
      <c r="M851">
        <f>$BY$44</f>
        <v>370</v>
      </c>
      <c r="O851">
        <f>$BY$90</f>
        <v>-0.22</v>
      </c>
      <c r="P851">
        <f>$BZ$137</f>
        <v>660</v>
      </c>
      <c r="Q851">
        <f t="shared" si="358"/>
        <v>0.56060606060606055</v>
      </c>
      <c r="S851">
        <v>0</v>
      </c>
      <c r="T851">
        <v>0</v>
      </c>
      <c r="U851">
        <v>0</v>
      </c>
      <c r="V851">
        <v>0</v>
      </c>
      <c r="W851">
        <f t="shared" si="359"/>
        <v>0</v>
      </c>
      <c r="X851">
        <f t="shared" si="360"/>
        <v>1</v>
      </c>
      <c r="Y851">
        <f t="shared" si="365"/>
        <v>5.9514529935999985</v>
      </c>
      <c r="Z851">
        <f t="shared" si="377"/>
        <v>0.94551876630523668</v>
      </c>
      <c r="AC851">
        <f>$CA$254</f>
        <v>0.04</v>
      </c>
      <c r="AE851">
        <f>$CA$185</f>
        <v>0.4</v>
      </c>
      <c r="AF851">
        <f t="shared" si="361"/>
        <v>3.5042155226316791</v>
      </c>
      <c r="AG851">
        <f t="shared" si="367"/>
        <v>0.19</v>
      </c>
      <c r="AH851">
        <f t="shared" si="368"/>
        <v>0.6784</v>
      </c>
      <c r="AI851">
        <f t="shared" si="376"/>
        <v>1E-3</v>
      </c>
      <c r="AK851">
        <f t="shared" si="378"/>
        <v>0.78</v>
      </c>
      <c r="AL851">
        <f t="shared" si="378"/>
        <v>99.998999999999995</v>
      </c>
      <c r="AM851">
        <f t="shared" si="378"/>
        <v>4.7000000000000002E-3</v>
      </c>
      <c r="AN851">
        <f t="shared" si="362"/>
        <v>3.5230990392400375E-6</v>
      </c>
      <c r="AO851">
        <f t="shared" si="369"/>
        <v>2.1228717818940167E-3</v>
      </c>
      <c r="AP851">
        <f t="shared" si="370"/>
        <v>2.1263948809332567E-3</v>
      </c>
      <c r="AQ851">
        <f t="shared" si="371"/>
        <v>1.275836928559954</v>
      </c>
      <c r="AS851">
        <f t="shared" si="374"/>
        <v>0</v>
      </c>
      <c r="AT851">
        <f t="shared" si="363"/>
        <v>-3.6590897797626415E-3</v>
      </c>
      <c r="AU851">
        <f t="shared" si="375"/>
        <v>4.026360260745087E-2</v>
      </c>
      <c r="AV851">
        <f t="shared" si="364"/>
        <v>24.158161564470522</v>
      </c>
      <c r="AY851">
        <f t="shared" si="372"/>
        <v>2E-3</v>
      </c>
      <c r="BB851">
        <f t="shared" si="373"/>
        <v>0.24</v>
      </c>
    </row>
    <row r="852" spans="7:54" x14ac:dyDescent="0.2">
      <c r="H852" t="s">
        <v>271</v>
      </c>
      <c r="J852">
        <v>31</v>
      </c>
      <c r="K852">
        <v>30</v>
      </c>
      <c r="M852">
        <f>$BY$44</f>
        <v>370</v>
      </c>
      <c r="O852">
        <f>$BY$90</f>
        <v>-0.22</v>
      </c>
      <c r="P852">
        <f>$BZ$137</f>
        <v>660</v>
      </c>
      <c r="Q852">
        <f t="shared" si="358"/>
        <v>0.56060606060606055</v>
      </c>
      <c r="S852">
        <v>0</v>
      </c>
      <c r="T852">
        <v>0</v>
      </c>
      <c r="U852">
        <v>0</v>
      </c>
      <c r="V852">
        <v>0</v>
      </c>
      <c r="W852">
        <f t="shared" si="359"/>
        <v>0</v>
      </c>
      <c r="X852">
        <f t="shared" si="360"/>
        <v>1</v>
      </c>
      <c r="Y852">
        <f t="shared" si="365"/>
        <v>5.9514529935999985</v>
      </c>
      <c r="Z852">
        <f t="shared" si="377"/>
        <v>0.94551876630523668</v>
      </c>
      <c r="AC852">
        <f>$CA$254</f>
        <v>0.04</v>
      </c>
      <c r="AE852">
        <f>$CA$185</f>
        <v>0.4</v>
      </c>
      <c r="AF852">
        <f t="shared" si="361"/>
        <v>3.5042155226316791</v>
      </c>
      <c r="AG852">
        <f t="shared" si="367"/>
        <v>0.19</v>
      </c>
      <c r="AH852">
        <f t="shared" si="368"/>
        <v>0.6784</v>
      </c>
      <c r="AI852">
        <f t="shared" si="376"/>
        <v>1E-3</v>
      </c>
      <c r="AK852">
        <f t="shared" si="378"/>
        <v>0.78</v>
      </c>
      <c r="AL852">
        <f t="shared" si="378"/>
        <v>99.998999999999995</v>
      </c>
      <c r="AM852">
        <f t="shared" si="378"/>
        <v>4.7000000000000002E-3</v>
      </c>
      <c r="AN852">
        <f t="shared" si="362"/>
        <v>3.5230990392400375E-6</v>
      </c>
      <c r="AO852">
        <f t="shared" si="369"/>
        <v>2.1228717818940167E-3</v>
      </c>
      <c r="AP852">
        <f t="shared" si="370"/>
        <v>2.1263948809332567E-3</v>
      </c>
      <c r="AQ852">
        <f t="shared" si="371"/>
        <v>1.977547239267929</v>
      </c>
      <c r="AS852">
        <f t="shared" si="374"/>
        <v>0</v>
      </c>
      <c r="AT852">
        <f t="shared" si="363"/>
        <v>-3.6590897797626415E-3</v>
      </c>
      <c r="AU852">
        <f>MAX((Y852*AC852/6.25)+(0.032*AS852/6.38)-AT852-((1.1*(10^-4)*(M852^0.75))/6.25), 0)</f>
        <v>4.026360260745087E-2</v>
      </c>
      <c r="AV852">
        <f t="shared" si="364"/>
        <v>37.445150424929309</v>
      </c>
      <c r="AY852">
        <f t="shared" si="372"/>
        <v>2E-3</v>
      </c>
      <c r="BB852">
        <f t="shared" si="373"/>
        <v>0.24</v>
      </c>
    </row>
    <row r="853" spans="7:54" x14ac:dyDescent="0.2">
      <c r="H853" t="s">
        <v>272</v>
      </c>
      <c r="J853">
        <v>30</v>
      </c>
      <c r="K853">
        <v>50</v>
      </c>
      <c r="M853">
        <f>$BY$44</f>
        <v>370</v>
      </c>
      <c r="O853">
        <f>$BY$90</f>
        <v>-0.22</v>
      </c>
      <c r="P853">
        <f>$BZ$137</f>
        <v>660</v>
      </c>
      <c r="Q853">
        <f t="shared" si="358"/>
        <v>0.56060606060606055</v>
      </c>
      <c r="S853">
        <v>0</v>
      </c>
      <c r="T853">
        <v>0</v>
      </c>
      <c r="U853">
        <v>0</v>
      </c>
      <c r="V853">
        <v>0</v>
      </c>
      <c r="W853">
        <f t="shared" si="359"/>
        <v>0</v>
      </c>
      <c r="X853">
        <f t="shared" si="360"/>
        <v>1</v>
      </c>
      <c r="Y853">
        <f t="shared" si="365"/>
        <v>5.9514529935999985</v>
      </c>
      <c r="Z853">
        <f t="shared" si="377"/>
        <v>0.94551876630523668</v>
      </c>
      <c r="AC853">
        <f>$CA$254</f>
        <v>0.04</v>
      </c>
      <c r="AE853">
        <f>$CA$185</f>
        <v>0.4</v>
      </c>
      <c r="AF853">
        <f t="shared" si="361"/>
        <v>3.5042155226316791</v>
      </c>
      <c r="AG853">
        <f t="shared" si="367"/>
        <v>0.19</v>
      </c>
      <c r="AH853">
        <f t="shared" si="368"/>
        <v>0.6784</v>
      </c>
      <c r="AI853">
        <f t="shared" si="376"/>
        <v>1E-3</v>
      </c>
      <c r="AK853">
        <f t="shared" si="378"/>
        <v>0.78</v>
      </c>
      <c r="AL853">
        <f t="shared" si="378"/>
        <v>99.998999999999995</v>
      </c>
      <c r="AM853">
        <f t="shared" si="378"/>
        <v>4.7000000000000002E-3</v>
      </c>
      <c r="AN853">
        <f t="shared" si="362"/>
        <v>3.5230990392400375E-6</v>
      </c>
      <c r="AO853">
        <f t="shared" si="369"/>
        <v>2.1228717818940167E-3</v>
      </c>
      <c r="AP853">
        <f t="shared" si="370"/>
        <v>2.1263948809332567E-3</v>
      </c>
      <c r="AQ853">
        <f t="shared" si="371"/>
        <v>3.1895923213998851</v>
      </c>
      <c r="AS853">
        <f t="shared" si="374"/>
        <v>0</v>
      </c>
      <c r="AT853">
        <f t="shared" si="363"/>
        <v>-3.6590897797626415E-3</v>
      </c>
      <c r="AU853">
        <f t="shared" ref="AU853:AU866" si="379">MAX((Y853*AC853/6.25)+(0.032*AS853/6.38)-AT853-((1.1*(10^-4)*(M853^0.75))/6.25), 0)</f>
        <v>4.026360260745087E-2</v>
      </c>
      <c r="AV853">
        <f t="shared" si="364"/>
        <v>60.395403911176309</v>
      </c>
      <c r="AY853">
        <f t="shared" si="372"/>
        <v>2E-3</v>
      </c>
      <c r="BB853">
        <f t="shared" si="373"/>
        <v>0.24</v>
      </c>
    </row>
    <row r="854" spans="7:54" x14ac:dyDescent="0.2">
      <c r="H854" t="s">
        <v>273</v>
      </c>
      <c r="J854">
        <v>31</v>
      </c>
      <c r="K854">
        <v>60</v>
      </c>
      <c r="M854">
        <f>$BY$45</f>
        <v>400</v>
      </c>
      <c r="O854">
        <f>$BY$91</f>
        <v>0.33</v>
      </c>
      <c r="P854">
        <f>$BZ$138</f>
        <v>660</v>
      </c>
      <c r="Q854">
        <f t="shared" si="358"/>
        <v>0.60606060606060608</v>
      </c>
      <c r="S854">
        <v>0</v>
      </c>
      <c r="T854">
        <v>0</v>
      </c>
      <c r="U854">
        <v>0</v>
      </c>
      <c r="V854">
        <v>0</v>
      </c>
      <c r="W854">
        <f t="shared" si="359"/>
        <v>0</v>
      </c>
      <c r="X854">
        <f t="shared" si="360"/>
        <v>1</v>
      </c>
      <c r="Y854">
        <f t="shared" si="365"/>
        <v>7.230452102500001</v>
      </c>
      <c r="Z854">
        <f t="shared" si="377"/>
        <v>1.0820425984608422</v>
      </c>
      <c r="AC854">
        <f>$CA$255</f>
        <v>0.12</v>
      </c>
      <c r="AE854">
        <f>$CA$186</f>
        <v>0.65</v>
      </c>
      <c r="AF854">
        <f t="shared" si="361"/>
        <v>2.594286214377</v>
      </c>
      <c r="AG854">
        <f t="shared" si="367"/>
        <v>0.19</v>
      </c>
      <c r="AH854">
        <f t="shared" si="368"/>
        <v>0.6784</v>
      </c>
      <c r="AI854">
        <f t="shared" si="376"/>
        <v>1E-3</v>
      </c>
      <c r="AK854">
        <f t="shared" si="378"/>
        <v>0.78</v>
      </c>
      <c r="AL854">
        <f t="shared" si="378"/>
        <v>99.998999999999995</v>
      </c>
      <c r="AM854">
        <f t="shared" si="378"/>
        <v>4.7000000000000002E-3</v>
      </c>
      <c r="AN854">
        <f t="shared" si="362"/>
        <v>2.608266303929035E-6</v>
      </c>
      <c r="AO854">
        <f t="shared" si="369"/>
        <v>1.5716319281987407E-3</v>
      </c>
      <c r="AP854">
        <f t="shared" si="370"/>
        <v>1.5742401945026698E-3</v>
      </c>
      <c r="AQ854">
        <f t="shared" si="371"/>
        <v>2.9280867617749662</v>
      </c>
      <c r="AS854">
        <f t="shared" si="374"/>
        <v>0</v>
      </c>
      <c r="AT854">
        <f t="shared" si="363"/>
        <v>5.1083772790481274E-3</v>
      </c>
      <c r="AU854">
        <f t="shared" si="379"/>
        <v>0.13214211123279204</v>
      </c>
      <c r="AV854">
        <f t="shared" si="364"/>
        <v>245.78432689299319</v>
      </c>
      <c r="AY854">
        <f t="shared" si="372"/>
        <v>2E-3</v>
      </c>
      <c r="BB854">
        <f t="shared" si="373"/>
        <v>0.24</v>
      </c>
    </row>
    <row r="855" spans="7:54" x14ac:dyDescent="0.2">
      <c r="G855" t="s">
        <v>188</v>
      </c>
      <c r="H855" t="s">
        <v>262</v>
      </c>
      <c r="J855">
        <v>31</v>
      </c>
      <c r="K855">
        <v>100</v>
      </c>
      <c r="M855">
        <f>$BY$49</f>
        <v>400</v>
      </c>
      <c r="O855">
        <f>$BY$95</f>
        <v>0.33</v>
      </c>
      <c r="P855">
        <f>$BZ$142</f>
        <v>660</v>
      </c>
      <c r="Q855">
        <f t="shared" si="358"/>
        <v>0.60606060606060608</v>
      </c>
      <c r="S855">
        <v>0</v>
      </c>
      <c r="T855">
        <v>0</v>
      </c>
      <c r="U855">
        <v>0</v>
      </c>
      <c r="V855">
        <v>0</v>
      </c>
      <c r="W855">
        <f t="shared" si="359"/>
        <v>0</v>
      </c>
      <c r="X855">
        <f t="shared" si="360"/>
        <v>1</v>
      </c>
      <c r="Y855">
        <f t="shared" si="365"/>
        <v>7.230452102500001</v>
      </c>
      <c r="Z855">
        <f t="shared" si="377"/>
        <v>1.0820425984608422</v>
      </c>
      <c r="AC855">
        <f>$CA$259</f>
        <v>0.12</v>
      </c>
      <c r="AE855">
        <f>$CA$190</f>
        <v>0.65</v>
      </c>
      <c r="AF855">
        <f t="shared" si="361"/>
        <v>2.594286214377</v>
      </c>
      <c r="AG855">
        <f t="shared" si="367"/>
        <v>0.19</v>
      </c>
      <c r="AH855">
        <f t="shared" si="368"/>
        <v>0.6784</v>
      </c>
      <c r="AI855">
        <f t="shared" si="376"/>
        <v>1E-3</v>
      </c>
      <c r="AK855">
        <f t="shared" si="378"/>
        <v>0.78</v>
      </c>
      <c r="AL855">
        <f t="shared" si="378"/>
        <v>99.998999999999995</v>
      </c>
      <c r="AM855">
        <f t="shared" si="378"/>
        <v>4.7000000000000002E-3</v>
      </c>
      <c r="AN855">
        <f t="shared" si="362"/>
        <v>2.608266303929035E-6</v>
      </c>
      <c r="AO855">
        <f t="shared" si="369"/>
        <v>1.5716319281987407E-3</v>
      </c>
      <c r="AP855">
        <f t="shared" si="370"/>
        <v>1.5742401945026698E-3</v>
      </c>
      <c r="AQ855">
        <f t="shared" si="371"/>
        <v>4.8801446029582767</v>
      </c>
      <c r="AS855">
        <f t="shared" si="374"/>
        <v>0</v>
      </c>
      <c r="AT855">
        <f t="shared" si="363"/>
        <v>5.1083772790481274E-3</v>
      </c>
      <c r="AU855">
        <f t="shared" si="379"/>
        <v>0.13214211123279204</v>
      </c>
      <c r="AV855">
        <f t="shared" si="364"/>
        <v>409.64054482165534</v>
      </c>
      <c r="AY855">
        <f t="shared" si="372"/>
        <v>2E-3</v>
      </c>
      <c r="BB855">
        <f t="shared" si="373"/>
        <v>0.24</v>
      </c>
    </row>
    <row r="856" spans="7:54" x14ac:dyDescent="0.2">
      <c r="G856" t="s">
        <v>198</v>
      </c>
      <c r="H856" t="s">
        <v>263</v>
      </c>
      <c r="J856">
        <v>28</v>
      </c>
      <c r="K856">
        <v>100</v>
      </c>
      <c r="M856">
        <f>$BY$49</f>
        <v>400</v>
      </c>
      <c r="O856">
        <f>$BY$95</f>
        <v>0.33</v>
      </c>
      <c r="P856">
        <f>$BZ$142</f>
        <v>660</v>
      </c>
      <c r="Q856">
        <f t="shared" si="358"/>
        <v>0.60606060606060608</v>
      </c>
      <c r="S856">
        <v>0</v>
      </c>
      <c r="T856">
        <v>0</v>
      </c>
      <c r="U856">
        <v>0</v>
      </c>
      <c r="V856">
        <v>0</v>
      </c>
      <c r="W856">
        <f t="shared" si="359"/>
        <v>0</v>
      </c>
      <c r="X856">
        <f t="shared" si="360"/>
        <v>1</v>
      </c>
      <c r="Y856">
        <f t="shared" si="365"/>
        <v>7.230452102500001</v>
      </c>
      <c r="Z856">
        <f t="shared" si="377"/>
        <v>1.0820425984608422</v>
      </c>
      <c r="AC856">
        <f>$CA$259</f>
        <v>0.12</v>
      </c>
      <c r="AE856">
        <f>$CA$190</f>
        <v>0.65</v>
      </c>
      <c r="AF856">
        <f t="shared" si="361"/>
        <v>2.594286214377</v>
      </c>
      <c r="AG856">
        <f t="shared" si="367"/>
        <v>0.19</v>
      </c>
      <c r="AH856">
        <f t="shared" si="368"/>
        <v>0.6784</v>
      </c>
      <c r="AI856">
        <f t="shared" si="376"/>
        <v>1E-3</v>
      </c>
      <c r="AK856">
        <f t="shared" si="378"/>
        <v>0.78</v>
      </c>
      <c r="AL856">
        <f t="shared" si="378"/>
        <v>99.998999999999995</v>
      </c>
      <c r="AM856">
        <f t="shared" si="378"/>
        <v>4.7000000000000002E-3</v>
      </c>
      <c r="AN856">
        <f t="shared" si="362"/>
        <v>2.608266303929035E-6</v>
      </c>
      <c r="AO856">
        <f t="shared" si="369"/>
        <v>1.5716319281987407E-3</v>
      </c>
      <c r="AP856">
        <f t="shared" si="370"/>
        <v>1.5742401945026698E-3</v>
      </c>
      <c r="AQ856">
        <f t="shared" si="371"/>
        <v>4.4078725446074758</v>
      </c>
      <c r="AS856">
        <f t="shared" si="374"/>
        <v>0</v>
      </c>
      <c r="AT856">
        <f t="shared" si="363"/>
        <v>5.1083772790481274E-3</v>
      </c>
      <c r="AU856">
        <f t="shared" si="379"/>
        <v>0.13214211123279204</v>
      </c>
      <c r="AV856">
        <f t="shared" si="364"/>
        <v>369.99791145181774</v>
      </c>
      <c r="AY856">
        <f t="shared" si="372"/>
        <v>2E-3</v>
      </c>
      <c r="BB856">
        <f t="shared" si="373"/>
        <v>0.24</v>
      </c>
    </row>
    <row r="857" spans="7:54" x14ac:dyDescent="0.2">
      <c r="H857" t="s">
        <v>264</v>
      </c>
      <c r="J857">
        <v>31</v>
      </c>
      <c r="K857">
        <v>70</v>
      </c>
      <c r="M857">
        <f>$BY$50</f>
        <v>420</v>
      </c>
      <c r="O857">
        <f>$BY$96</f>
        <v>0.22</v>
      </c>
      <c r="P857">
        <f>$BZ$143</f>
        <v>660</v>
      </c>
      <c r="Q857">
        <f t="shared" si="358"/>
        <v>0.63636363636363635</v>
      </c>
      <c r="S857">
        <v>0</v>
      </c>
      <c r="T857">
        <v>0</v>
      </c>
      <c r="U857">
        <v>0</v>
      </c>
      <c r="V857">
        <v>0</v>
      </c>
      <c r="W857">
        <f t="shared" si="359"/>
        <v>0</v>
      </c>
      <c r="X857">
        <f t="shared" si="360"/>
        <v>1</v>
      </c>
      <c r="Y857">
        <f t="shared" si="365"/>
        <v>7.3032900516000012</v>
      </c>
      <c r="Z857">
        <f t="shared" si="377"/>
        <v>1.0533290230865808</v>
      </c>
      <c r="AC857">
        <f>$CA$260</f>
        <v>0.09</v>
      </c>
      <c r="AE857">
        <f>$CA$191</f>
        <v>0.55000000000000004</v>
      </c>
      <c r="AF857">
        <f t="shared" si="361"/>
        <v>3.2923231552612804</v>
      </c>
      <c r="AG857">
        <f t="shared" si="367"/>
        <v>0.19</v>
      </c>
      <c r="AH857">
        <f t="shared" si="368"/>
        <v>0.6784</v>
      </c>
      <c r="AI857">
        <f t="shared" si="376"/>
        <v>1E-3</v>
      </c>
      <c r="AK857">
        <f t="shared" si="378"/>
        <v>0.78</v>
      </c>
      <c r="AL857">
        <f t="shared" si="378"/>
        <v>99.998999999999995</v>
      </c>
      <c r="AM857">
        <f t="shared" si="378"/>
        <v>4.7000000000000002E-3</v>
      </c>
      <c r="AN857">
        <f t="shared" si="362"/>
        <v>3.3100648262803526E-6</v>
      </c>
      <c r="AO857">
        <f t="shared" si="369"/>
        <v>1.9945062962142077E-3</v>
      </c>
      <c r="AP857">
        <f t="shared" si="370"/>
        <v>1.9978163610404882E-3</v>
      </c>
      <c r="AQ857">
        <f t="shared" si="371"/>
        <v>4.3352615034578594</v>
      </c>
      <c r="AS857">
        <f t="shared" si="374"/>
        <v>0</v>
      </c>
      <c r="AT857">
        <f t="shared" si="363"/>
        <v>3.263301747682234E-3</v>
      </c>
      <c r="AU857">
        <f t="shared" si="379"/>
        <v>0.10027121241872085</v>
      </c>
      <c r="AV857">
        <f t="shared" si="364"/>
        <v>217.58853094862425</v>
      </c>
      <c r="AY857">
        <f t="shared" si="372"/>
        <v>2E-3</v>
      </c>
      <c r="BB857">
        <f t="shared" si="373"/>
        <v>0.24</v>
      </c>
    </row>
    <row r="858" spans="7:54" x14ac:dyDescent="0.2">
      <c r="H858" t="s">
        <v>265</v>
      </c>
      <c r="J858">
        <v>30</v>
      </c>
      <c r="K858">
        <v>70</v>
      </c>
      <c r="M858">
        <f>$BY$50</f>
        <v>420</v>
      </c>
      <c r="O858">
        <f>$BY$96</f>
        <v>0.22</v>
      </c>
      <c r="P858">
        <f>$BZ$143</f>
        <v>660</v>
      </c>
      <c r="Q858">
        <f t="shared" si="358"/>
        <v>0.63636363636363635</v>
      </c>
      <c r="S858">
        <v>0</v>
      </c>
      <c r="T858">
        <v>0</v>
      </c>
      <c r="U858">
        <v>0</v>
      </c>
      <c r="V858">
        <v>0</v>
      </c>
      <c r="W858">
        <f t="shared" si="359"/>
        <v>0</v>
      </c>
      <c r="X858">
        <f t="shared" si="360"/>
        <v>1</v>
      </c>
      <c r="Y858">
        <f t="shared" si="365"/>
        <v>7.3032900516000012</v>
      </c>
      <c r="Z858">
        <f t="shared" si="377"/>
        <v>1.0533290230865808</v>
      </c>
      <c r="AC858">
        <f>$CA$260</f>
        <v>0.09</v>
      </c>
      <c r="AE858">
        <f>$CA$191</f>
        <v>0.55000000000000004</v>
      </c>
      <c r="AF858">
        <f t="shared" si="361"/>
        <v>3.2923231552612804</v>
      </c>
      <c r="AG858">
        <f t="shared" si="367"/>
        <v>0.19</v>
      </c>
      <c r="AH858">
        <f t="shared" si="368"/>
        <v>0.6784</v>
      </c>
      <c r="AI858">
        <f t="shared" si="376"/>
        <v>1E-3</v>
      </c>
      <c r="AK858">
        <f t="shared" si="378"/>
        <v>0.78</v>
      </c>
      <c r="AL858">
        <f t="shared" si="378"/>
        <v>99.998999999999995</v>
      </c>
      <c r="AM858">
        <f t="shared" si="378"/>
        <v>4.7000000000000002E-3</v>
      </c>
      <c r="AN858">
        <f t="shared" si="362"/>
        <v>3.3100648262803526E-6</v>
      </c>
      <c r="AO858">
        <f t="shared" si="369"/>
        <v>1.9945062962142077E-3</v>
      </c>
      <c r="AP858">
        <f t="shared" si="370"/>
        <v>1.9978163610404882E-3</v>
      </c>
      <c r="AQ858">
        <f t="shared" si="371"/>
        <v>4.1954143581850252</v>
      </c>
      <c r="AS858">
        <f t="shared" si="374"/>
        <v>0</v>
      </c>
      <c r="AT858">
        <f t="shared" si="363"/>
        <v>3.263301747682234E-3</v>
      </c>
      <c r="AU858">
        <f t="shared" si="379"/>
        <v>0.10027121241872085</v>
      </c>
      <c r="AV858">
        <f t="shared" si="364"/>
        <v>210.5695460793138</v>
      </c>
      <c r="AY858">
        <f t="shared" si="372"/>
        <v>2E-3</v>
      </c>
      <c r="BB858">
        <f t="shared" si="373"/>
        <v>0.24</v>
      </c>
    </row>
    <row r="859" spans="7:54" x14ac:dyDescent="0.2">
      <c r="H859" t="s">
        <v>266</v>
      </c>
      <c r="J859">
        <v>31</v>
      </c>
      <c r="K859">
        <v>68</v>
      </c>
      <c r="M859">
        <f>$BY$50</f>
        <v>420</v>
      </c>
      <c r="O859">
        <f>$BY$96</f>
        <v>0.22</v>
      </c>
      <c r="P859">
        <f>$BZ$143</f>
        <v>660</v>
      </c>
      <c r="Q859">
        <f t="shared" si="358"/>
        <v>0.63636363636363635</v>
      </c>
      <c r="S859">
        <v>0</v>
      </c>
      <c r="T859">
        <v>0</v>
      </c>
      <c r="U859">
        <v>0</v>
      </c>
      <c r="V859">
        <v>0</v>
      </c>
      <c r="W859">
        <f t="shared" si="359"/>
        <v>0</v>
      </c>
      <c r="X859">
        <f t="shared" si="360"/>
        <v>1</v>
      </c>
      <c r="Y859">
        <f t="shared" si="365"/>
        <v>7.3032900516000012</v>
      </c>
      <c r="Z859">
        <f t="shared" si="377"/>
        <v>1.0533290230865808</v>
      </c>
      <c r="AC859">
        <f>$CA$260</f>
        <v>0.09</v>
      </c>
      <c r="AE859">
        <f>$CA$191</f>
        <v>0.55000000000000004</v>
      </c>
      <c r="AF859">
        <f t="shared" si="361"/>
        <v>3.2923231552612804</v>
      </c>
      <c r="AG859">
        <f t="shared" si="367"/>
        <v>0.19</v>
      </c>
      <c r="AH859">
        <f t="shared" si="368"/>
        <v>0.6784</v>
      </c>
      <c r="AI859">
        <f t="shared" si="376"/>
        <v>1E-3</v>
      </c>
      <c r="AK859">
        <f t="shared" si="378"/>
        <v>0.78</v>
      </c>
      <c r="AL859">
        <f t="shared" si="378"/>
        <v>99.998999999999995</v>
      </c>
      <c r="AM859">
        <f t="shared" si="378"/>
        <v>4.7000000000000002E-3</v>
      </c>
      <c r="AN859">
        <f t="shared" si="362"/>
        <v>3.3100648262803526E-6</v>
      </c>
      <c r="AO859">
        <f t="shared" si="369"/>
        <v>1.9945062962142077E-3</v>
      </c>
      <c r="AP859">
        <f t="shared" si="370"/>
        <v>1.9978163610404882E-3</v>
      </c>
      <c r="AQ859">
        <f t="shared" si="371"/>
        <v>4.2113968890733489</v>
      </c>
      <c r="AS859">
        <f t="shared" si="374"/>
        <v>0</v>
      </c>
      <c r="AT859">
        <f t="shared" si="363"/>
        <v>3.263301747682234E-3</v>
      </c>
      <c r="AU859">
        <f t="shared" si="379"/>
        <v>0.10027121241872085</v>
      </c>
      <c r="AV859">
        <f t="shared" si="364"/>
        <v>211.37171577866354</v>
      </c>
      <c r="AY859">
        <f t="shared" si="372"/>
        <v>2E-3</v>
      </c>
      <c r="BB859">
        <f t="shared" si="373"/>
        <v>0.24</v>
      </c>
    </row>
    <row r="860" spans="7:54" x14ac:dyDescent="0.2">
      <c r="H860" t="s">
        <v>267</v>
      </c>
      <c r="J860">
        <v>30</v>
      </c>
      <c r="K860">
        <v>40</v>
      </c>
      <c r="M860">
        <f>$BY$51</f>
        <v>390</v>
      </c>
      <c r="O860">
        <f>$BY$97</f>
        <v>-0.33</v>
      </c>
      <c r="P860">
        <f>$BZ$144</f>
        <v>660</v>
      </c>
      <c r="Q860">
        <f t="shared" si="358"/>
        <v>0.59090909090909094</v>
      </c>
      <c r="S860">
        <v>0</v>
      </c>
      <c r="T860">
        <v>0</v>
      </c>
      <c r="U860">
        <v>0</v>
      </c>
      <c r="V860">
        <v>0</v>
      </c>
      <c r="W860">
        <f t="shared" si="359"/>
        <v>0</v>
      </c>
      <c r="X860">
        <f t="shared" si="360"/>
        <v>1</v>
      </c>
      <c r="Y860">
        <f t="shared" si="365"/>
        <v>6.0328693160999993</v>
      </c>
      <c r="Z860">
        <f t="shared" si="377"/>
        <v>0.92044212724953012</v>
      </c>
      <c r="AC860">
        <f>$CA$261</f>
        <v>0.06</v>
      </c>
      <c r="AE860">
        <f>$CA$192</f>
        <v>0.45</v>
      </c>
      <c r="AF860">
        <f t="shared" si="361"/>
        <v>3.27464146477908</v>
      </c>
      <c r="AG860">
        <f t="shared" si="367"/>
        <v>0.19</v>
      </c>
      <c r="AH860">
        <f t="shared" si="368"/>
        <v>0.6784</v>
      </c>
      <c r="AI860">
        <f t="shared" si="376"/>
        <v>1E-3</v>
      </c>
      <c r="AK860">
        <f t="shared" si="378"/>
        <v>0.78</v>
      </c>
      <c r="AL860">
        <f t="shared" si="378"/>
        <v>99.998999999999995</v>
      </c>
      <c r="AM860">
        <f t="shared" si="378"/>
        <v>4.7000000000000002E-3</v>
      </c>
      <c r="AN860">
        <f t="shared" si="362"/>
        <v>3.2922878527044822E-6</v>
      </c>
      <c r="AO860">
        <f t="shared" si="369"/>
        <v>1.9837946372028188E-3</v>
      </c>
      <c r="AP860">
        <f t="shared" si="370"/>
        <v>1.9870869250555234E-3</v>
      </c>
      <c r="AQ860">
        <f t="shared" si="371"/>
        <v>2.3845043100666281</v>
      </c>
      <c r="AS860">
        <f t="shared" si="374"/>
        <v>0</v>
      </c>
      <c r="AT860">
        <f t="shared" si="363"/>
        <v>-5.2398443993221903E-3</v>
      </c>
      <c r="AU860">
        <f t="shared" si="379"/>
        <v>6.1610807287374773E-2</v>
      </c>
      <c r="AV860">
        <f t="shared" si="364"/>
        <v>73.932968744849717</v>
      </c>
      <c r="AY860">
        <f t="shared" si="372"/>
        <v>2E-3</v>
      </c>
      <c r="BB860">
        <f t="shared" si="373"/>
        <v>0.24</v>
      </c>
    </row>
    <row r="861" spans="7:54" x14ac:dyDescent="0.2">
      <c r="H861" t="s">
        <v>268</v>
      </c>
      <c r="J861">
        <v>31</v>
      </c>
      <c r="K861">
        <v>40</v>
      </c>
      <c r="L861" s="1">
        <v>380</v>
      </c>
      <c r="M861">
        <v>380</v>
      </c>
      <c r="O861">
        <f>$BY$97</f>
        <v>-0.33</v>
      </c>
      <c r="P861">
        <f>$BZ$144</f>
        <v>660</v>
      </c>
      <c r="Q861">
        <f t="shared" si="358"/>
        <v>0.5757575757575758</v>
      </c>
      <c r="S861">
        <v>0</v>
      </c>
      <c r="T861">
        <v>0</v>
      </c>
      <c r="U861">
        <v>0</v>
      </c>
      <c r="V861">
        <v>0</v>
      </c>
      <c r="W861">
        <f t="shared" si="359"/>
        <v>0</v>
      </c>
      <c r="X861">
        <f t="shared" si="360"/>
        <v>1</v>
      </c>
      <c r="Y861">
        <f t="shared" si="365"/>
        <v>5.9088372560999964</v>
      </c>
      <c r="Z861">
        <f t="shared" si="377"/>
        <v>0.91966220418636291</v>
      </c>
      <c r="AC861">
        <f>$CA$261</f>
        <v>0.06</v>
      </c>
      <c r="AE861">
        <f>$CA$192</f>
        <v>0.45</v>
      </c>
      <c r="AF861">
        <f t="shared" si="361"/>
        <v>3.2073168626110786</v>
      </c>
      <c r="AG861">
        <f t="shared" si="367"/>
        <v>0.19</v>
      </c>
      <c r="AH861">
        <f t="shared" si="368"/>
        <v>0.6784</v>
      </c>
      <c r="AI861">
        <f t="shared" si="376"/>
        <v>1E-3</v>
      </c>
      <c r="AK861">
        <f t="shared" si="378"/>
        <v>0.78</v>
      </c>
      <c r="AL861">
        <f t="shared" si="378"/>
        <v>99.998999999999995</v>
      </c>
      <c r="AM861">
        <f t="shared" si="378"/>
        <v>4.7000000000000002E-3</v>
      </c>
      <c r="AN861">
        <f t="shared" si="362"/>
        <v>3.2246004517203173E-6</v>
      </c>
      <c r="AO861">
        <f t="shared" si="369"/>
        <v>1.9430090470338797E-3</v>
      </c>
      <c r="AP861">
        <f t="shared" si="370"/>
        <v>1.9462336474856E-3</v>
      </c>
      <c r="AQ861">
        <f t="shared" si="371"/>
        <v>2.413329722882144</v>
      </c>
      <c r="AS861">
        <f t="shared" si="374"/>
        <v>0</v>
      </c>
      <c r="AT861">
        <f t="shared" si="363"/>
        <v>-5.3629030226769146E-3</v>
      </c>
      <c r="AU861">
        <f t="shared" si="379"/>
        <v>6.0572957880849806E-2</v>
      </c>
      <c r="AV861">
        <f t="shared" si="364"/>
        <v>75.11046777225377</v>
      </c>
      <c r="AY861">
        <f t="shared" si="372"/>
        <v>2E-3</v>
      </c>
      <c r="BB861">
        <f t="shared" si="373"/>
        <v>0.24</v>
      </c>
    </row>
    <row r="862" spans="7:54" x14ac:dyDescent="0.2">
      <c r="H862" t="s">
        <v>269</v>
      </c>
      <c r="J862">
        <v>31</v>
      </c>
      <c r="K862">
        <v>40</v>
      </c>
      <c r="M862">
        <f>$BY$51</f>
        <v>390</v>
      </c>
      <c r="O862">
        <f>$BY$97</f>
        <v>-0.33</v>
      </c>
      <c r="P862">
        <f>$BZ$144</f>
        <v>660</v>
      </c>
      <c r="Q862">
        <f t="shared" si="358"/>
        <v>0.59090909090909094</v>
      </c>
      <c r="S862">
        <v>0</v>
      </c>
      <c r="T862">
        <v>0</v>
      </c>
      <c r="U862">
        <v>0</v>
      </c>
      <c r="V862">
        <v>0</v>
      </c>
      <c r="W862">
        <f t="shared" si="359"/>
        <v>0</v>
      </c>
      <c r="X862">
        <f t="shared" si="360"/>
        <v>1</v>
      </c>
      <c r="Y862">
        <f t="shared" si="365"/>
        <v>6.0328693160999993</v>
      </c>
      <c r="Z862">
        <f t="shared" si="377"/>
        <v>0.92044212724953012</v>
      </c>
      <c r="AC862">
        <f>$CA$261</f>
        <v>0.06</v>
      </c>
      <c r="AE862">
        <f>$CA$192</f>
        <v>0.45</v>
      </c>
      <c r="AF862">
        <f t="shared" si="361"/>
        <v>3.27464146477908</v>
      </c>
      <c r="AG862">
        <f t="shared" si="367"/>
        <v>0.19</v>
      </c>
      <c r="AH862">
        <f t="shared" si="368"/>
        <v>0.6784</v>
      </c>
      <c r="AI862">
        <f t="shared" si="376"/>
        <v>1E-3</v>
      </c>
      <c r="AK862">
        <f t="shared" si="378"/>
        <v>0.78</v>
      </c>
      <c r="AL862">
        <f t="shared" si="378"/>
        <v>99.998999999999995</v>
      </c>
      <c r="AM862">
        <f t="shared" si="378"/>
        <v>4.7000000000000002E-3</v>
      </c>
      <c r="AN862">
        <f t="shared" si="362"/>
        <v>3.2922878527044822E-6</v>
      </c>
      <c r="AO862">
        <f t="shared" si="369"/>
        <v>1.9837946372028188E-3</v>
      </c>
      <c r="AP862">
        <f t="shared" si="370"/>
        <v>1.9870869250555234E-3</v>
      </c>
      <c r="AQ862">
        <f t="shared" si="371"/>
        <v>2.4639877870688491</v>
      </c>
      <c r="AS862">
        <f t="shared" si="374"/>
        <v>0</v>
      </c>
      <c r="AT862">
        <f t="shared" si="363"/>
        <v>-5.2398443993221903E-3</v>
      </c>
      <c r="AU862">
        <f t="shared" si="379"/>
        <v>6.1610807287374773E-2</v>
      </c>
      <c r="AV862">
        <f t="shared" si="364"/>
        <v>76.397401036344718</v>
      </c>
      <c r="AY862">
        <f t="shared" si="372"/>
        <v>2E-3</v>
      </c>
      <c r="BB862">
        <f t="shared" si="373"/>
        <v>0.24</v>
      </c>
    </row>
    <row r="863" spans="7:54" x14ac:dyDescent="0.2">
      <c r="H863" t="s">
        <v>270</v>
      </c>
      <c r="J863">
        <v>30</v>
      </c>
      <c r="K863">
        <v>25</v>
      </c>
      <c r="M863">
        <f>$BY$48</f>
        <v>370</v>
      </c>
      <c r="O863">
        <f>$BY$94</f>
        <v>-0.22</v>
      </c>
      <c r="P863">
        <f>$BZ$141</f>
        <v>660</v>
      </c>
      <c r="Q863">
        <f t="shared" si="358"/>
        <v>0.56060606060606055</v>
      </c>
      <c r="S863">
        <v>0</v>
      </c>
      <c r="T863">
        <v>0</v>
      </c>
      <c r="U863">
        <v>0</v>
      </c>
      <c r="V863">
        <v>0</v>
      </c>
      <c r="W863">
        <f t="shared" si="359"/>
        <v>0</v>
      </c>
      <c r="X863">
        <f t="shared" si="360"/>
        <v>1</v>
      </c>
      <c r="Y863">
        <f t="shared" si="365"/>
        <v>5.9514529935999985</v>
      </c>
      <c r="Z863">
        <f t="shared" si="377"/>
        <v>0.94551876630523668</v>
      </c>
      <c r="AC863">
        <f>$CA$258</f>
        <v>0.04</v>
      </c>
      <c r="AE863">
        <f>$CA$189</f>
        <v>0.4</v>
      </c>
      <c r="AF863">
        <f t="shared" si="361"/>
        <v>3.5042155226316791</v>
      </c>
      <c r="AG863">
        <f t="shared" si="367"/>
        <v>0.19</v>
      </c>
      <c r="AH863">
        <f t="shared" si="368"/>
        <v>0.6784</v>
      </c>
      <c r="AI863">
        <f t="shared" si="376"/>
        <v>1E-3</v>
      </c>
      <c r="AK863">
        <f t="shared" si="378"/>
        <v>0.78</v>
      </c>
      <c r="AL863">
        <f t="shared" si="378"/>
        <v>99.998999999999995</v>
      </c>
      <c r="AM863">
        <f t="shared" si="378"/>
        <v>4.7000000000000002E-3</v>
      </c>
      <c r="AN863">
        <f t="shared" si="362"/>
        <v>3.5230990392400375E-6</v>
      </c>
      <c r="AO863">
        <f t="shared" si="369"/>
        <v>2.1228717818940167E-3</v>
      </c>
      <c r="AP863">
        <f t="shared" si="370"/>
        <v>2.1263948809332567E-3</v>
      </c>
      <c r="AQ863">
        <f t="shared" si="371"/>
        <v>1.5947961606999426</v>
      </c>
      <c r="AS863">
        <f t="shared" si="374"/>
        <v>0</v>
      </c>
      <c r="AT863">
        <f t="shared" si="363"/>
        <v>-3.6590897797626415E-3</v>
      </c>
      <c r="AU863">
        <f t="shared" si="379"/>
        <v>4.026360260745087E-2</v>
      </c>
      <c r="AV863">
        <f t="shared" si="364"/>
        <v>30.197701955588155</v>
      </c>
      <c r="AY863">
        <f t="shared" si="372"/>
        <v>2E-3</v>
      </c>
      <c r="BB863">
        <f t="shared" si="373"/>
        <v>0.24</v>
      </c>
    </row>
    <row r="864" spans="7:54" x14ac:dyDescent="0.2">
      <c r="H864" t="s">
        <v>271</v>
      </c>
      <c r="J864">
        <v>31</v>
      </c>
      <c r="K864">
        <v>60</v>
      </c>
      <c r="M864">
        <f>$BY$48</f>
        <v>370</v>
      </c>
      <c r="O864">
        <f>$BY$94</f>
        <v>-0.22</v>
      </c>
      <c r="P864">
        <f>$BZ$141</f>
        <v>660</v>
      </c>
      <c r="Q864">
        <f t="shared" si="358"/>
        <v>0.56060606060606055</v>
      </c>
      <c r="S864">
        <v>0</v>
      </c>
      <c r="T864">
        <v>0</v>
      </c>
      <c r="U864">
        <v>0</v>
      </c>
      <c r="V864">
        <v>0</v>
      </c>
      <c r="W864">
        <f t="shared" si="359"/>
        <v>0</v>
      </c>
      <c r="X864">
        <f t="shared" si="360"/>
        <v>1</v>
      </c>
      <c r="Y864">
        <f t="shared" si="365"/>
        <v>5.9514529935999985</v>
      </c>
      <c r="Z864">
        <f t="shared" si="377"/>
        <v>0.94551876630523668</v>
      </c>
      <c r="AC864">
        <f>$CA$258</f>
        <v>0.04</v>
      </c>
      <c r="AE864">
        <f>$CA$189</f>
        <v>0.4</v>
      </c>
      <c r="AF864">
        <f t="shared" si="361"/>
        <v>3.5042155226316791</v>
      </c>
      <c r="AG864">
        <f t="shared" si="367"/>
        <v>0.19</v>
      </c>
      <c r="AH864">
        <f t="shared" si="368"/>
        <v>0.6784</v>
      </c>
      <c r="AI864">
        <f t="shared" si="376"/>
        <v>1E-3</v>
      </c>
      <c r="AK864">
        <f t="shared" si="378"/>
        <v>0.78</v>
      </c>
      <c r="AL864">
        <f t="shared" si="378"/>
        <v>99.998999999999995</v>
      </c>
      <c r="AM864">
        <f t="shared" si="378"/>
        <v>4.7000000000000002E-3</v>
      </c>
      <c r="AN864">
        <f t="shared" si="362"/>
        <v>3.5230990392400375E-6</v>
      </c>
      <c r="AO864">
        <f t="shared" si="369"/>
        <v>2.1228717818940167E-3</v>
      </c>
      <c r="AP864">
        <f t="shared" si="370"/>
        <v>2.1263948809332567E-3</v>
      </c>
      <c r="AQ864">
        <f t="shared" si="371"/>
        <v>3.9550944785358579</v>
      </c>
      <c r="AS864">
        <f t="shared" si="374"/>
        <v>0</v>
      </c>
      <c r="AT864">
        <f t="shared" si="363"/>
        <v>-3.6590897797626415E-3</v>
      </c>
      <c r="AU864">
        <f t="shared" si="379"/>
        <v>4.026360260745087E-2</v>
      </c>
      <c r="AV864">
        <f t="shared" si="364"/>
        <v>74.890300849858619</v>
      </c>
      <c r="AY864">
        <f t="shared" si="372"/>
        <v>2E-3</v>
      </c>
      <c r="BB864">
        <f t="shared" si="373"/>
        <v>0.24</v>
      </c>
    </row>
    <row r="865" spans="7:54" x14ac:dyDescent="0.2">
      <c r="H865" t="s">
        <v>272</v>
      </c>
      <c r="J865">
        <v>30</v>
      </c>
      <c r="K865">
        <v>90</v>
      </c>
      <c r="M865">
        <f>$BY$48</f>
        <v>370</v>
      </c>
      <c r="O865">
        <f>$BY$94</f>
        <v>-0.22</v>
      </c>
      <c r="P865">
        <f>$BZ$141</f>
        <v>660</v>
      </c>
      <c r="Q865">
        <f t="shared" si="358"/>
        <v>0.56060606060606055</v>
      </c>
      <c r="S865">
        <v>0</v>
      </c>
      <c r="T865">
        <v>0</v>
      </c>
      <c r="U865">
        <v>0</v>
      </c>
      <c r="V865">
        <v>0</v>
      </c>
      <c r="W865">
        <f t="shared" si="359"/>
        <v>0</v>
      </c>
      <c r="X865">
        <f t="shared" si="360"/>
        <v>1</v>
      </c>
      <c r="Y865">
        <f t="shared" si="365"/>
        <v>5.9514529935999985</v>
      </c>
      <c r="Z865">
        <f t="shared" si="377"/>
        <v>0.94551876630523668</v>
      </c>
      <c r="AC865">
        <f>$CA$258</f>
        <v>0.04</v>
      </c>
      <c r="AE865">
        <f>$CA$189</f>
        <v>0.4</v>
      </c>
      <c r="AF865">
        <f t="shared" si="361"/>
        <v>3.5042155226316791</v>
      </c>
      <c r="AG865">
        <f t="shared" si="367"/>
        <v>0.19</v>
      </c>
      <c r="AH865">
        <f t="shared" si="368"/>
        <v>0.6784</v>
      </c>
      <c r="AI865">
        <f t="shared" si="376"/>
        <v>1E-3</v>
      </c>
      <c r="AK865">
        <f t="shared" si="378"/>
        <v>0.78</v>
      </c>
      <c r="AL865">
        <f t="shared" si="378"/>
        <v>99.998999999999995</v>
      </c>
      <c r="AM865">
        <f t="shared" si="378"/>
        <v>4.7000000000000002E-3</v>
      </c>
      <c r="AN865">
        <f t="shared" si="362"/>
        <v>3.5230990392400375E-6</v>
      </c>
      <c r="AO865">
        <f t="shared" si="369"/>
        <v>2.1228717818940167E-3</v>
      </c>
      <c r="AP865">
        <f t="shared" si="370"/>
        <v>2.1263948809332567E-3</v>
      </c>
      <c r="AQ865">
        <f t="shared" si="371"/>
        <v>5.7412661785197923</v>
      </c>
      <c r="AS865">
        <f t="shared" si="374"/>
        <v>0</v>
      </c>
      <c r="AT865">
        <f t="shared" si="363"/>
        <v>-3.6590897797626415E-3</v>
      </c>
      <c r="AU865">
        <f t="shared" si="379"/>
        <v>4.026360260745087E-2</v>
      </c>
      <c r="AV865">
        <f t="shared" si="364"/>
        <v>108.71172704011735</v>
      </c>
      <c r="AY865">
        <f t="shared" si="372"/>
        <v>2E-3</v>
      </c>
      <c r="BB865">
        <f t="shared" si="373"/>
        <v>0.24</v>
      </c>
    </row>
    <row r="866" spans="7:54" x14ac:dyDescent="0.2">
      <c r="H866" t="s">
        <v>273</v>
      </c>
      <c r="J866">
        <v>31</v>
      </c>
      <c r="K866">
        <v>95</v>
      </c>
      <c r="M866">
        <f>$BY$49</f>
        <v>400</v>
      </c>
      <c r="O866">
        <f>$BY$95</f>
        <v>0.33</v>
      </c>
      <c r="P866">
        <f>$BZ$142</f>
        <v>660</v>
      </c>
      <c r="Q866">
        <f t="shared" si="358"/>
        <v>0.60606060606060608</v>
      </c>
      <c r="S866">
        <v>0</v>
      </c>
      <c r="T866">
        <v>0</v>
      </c>
      <c r="U866">
        <v>0</v>
      </c>
      <c r="V866">
        <v>0</v>
      </c>
      <c r="W866">
        <f t="shared" si="359"/>
        <v>0</v>
      </c>
      <c r="X866">
        <f t="shared" si="360"/>
        <v>1</v>
      </c>
      <c r="Y866">
        <f t="shared" si="365"/>
        <v>7.230452102500001</v>
      </c>
      <c r="Z866">
        <f>Y866 / ((1.185 + 0.00454 * M866 - 0.0000026 * M866 ^ 2) ^ 2 * X866)</f>
        <v>1.0820425984608422</v>
      </c>
      <c r="AC866">
        <f>$CA$259</f>
        <v>0.12</v>
      </c>
      <c r="AE866">
        <f>$CA$190</f>
        <v>0.65</v>
      </c>
      <c r="AF866">
        <f t="shared" si="361"/>
        <v>2.594286214377</v>
      </c>
      <c r="AG866">
        <f t="shared" si="367"/>
        <v>0.19</v>
      </c>
      <c r="AH866">
        <f t="shared" si="368"/>
        <v>0.6784</v>
      </c>
      <c r="AI866">
        <f t="shared" si="376"/>
        <v>1E-3</v>
      </c>
      <c r="AK866">
        <f t="shared" si="378"/>
        <v>0.78</v>
      </c>
      <c r="AL866">
        <f t="shared" si="378"/>
        <v>99.998999999999995</v>
      </c>
      <c r="AM866">
        <f t="shared" si="378"/>
        <v>4.7000000000000002E-3</v>
      </c>
      <c r="AN866">
        <f t="shared" si="362"/>
        <v>2.608266303929035E-6</v>
      </c>
      <c r="AO866">
        <f t="shared" si="369"/>
        <v>1.5716319281987407E-3</v>
      </c>
      <c r="AP866">
        <f t="shared" si="370"/>
        <v>1.5742401945026698E-3</v>
      </c>
      <c r="AQ866">
        <f t="shared" si="371"/>
        <v>4.6361373728103619</v>
      </c>
      <c r="AS866">
        <f t="shared" si="374"/>
        <v>0</v>
      </c>
      <c r="AT866">
        <f t="shared" si="363"/>
        <v>5.1083772790481274E-3</v>
      </c>
      <c r="AU866">
        <f t="shared" si="379"/>
        <v>0.13214211123279204</v>
      </c>
      <c r="AV866">
        <f t="shared" si="364"/>
        <v>389.15851758057255</v>
      </c>
      <c r="AY866">
        <f t="shared" si="372"/>
        <v>2E-3</v>
      </c>
      <c r="BB866">
        <f t="shared" si="373"/>
        <v>0.24</v>
      </c>
    </row>
    <row r="867" spans="7:54" x14ac:dyDescent="0.2">
      <c r="G867" t="s">
        <v>186</v>
      </c>
      <c r="H867" t="s">
        <v>262</v>
      </c>
      <c r="J867">
        <v>31</v>
      </c>
      <c r="K867">
        <v>38</v>
      </c>
      <c r="M867">
        <f>$BY$53</f>
        <v>150</v>
      </c>
      <c r="O867">
        <f>$BY$99</f>
        <v>0.77</v>
      </c>
      <c r="P867">
        <f>$BZ$146</f>
        <v>660</v>
      </c>
      <c r="Q867">
        <f t="shared" si="358"/>
        <v>0.22727272727272727</v>
      </c>
      <c r="S867">
        <v>0</v>
      </c>
      <c r="T867">
        <v>0</v>
      </c>
      <c r="U867">
        <f>20/K867</f>
        <v>0.52631578947368418</v>
      </c>
      <c r="V867">
        <f>18/K867</f>
        <v>0.47368421052631576</v>
      </c>
      <c r="W867">
        <f t="shared" ref="W867:W890" si="380">S867*B$773+T867*B$774</f>
        <v>0</v>
      </c>
      <c r="X867">
        <f t="shared" ref="X867:X890" si="381">(S867 * $BX$3 +T867* $BX$4) + (1 -S867 -T867 )</f>
        <v>1</v>
      </c>
      <c r="Y867">
        <f t="shared" si="365"/>
        <v>4.202705002500001</v>
      </c>
      <c r="Z867">
        <f t="shared" ref="Z867:Z882" si="382">Y867 / ((1.185 + 0.00454 * M867 - 0.0000026 * M867 ^ 2) ^ 2 * X867)</f>
        <v>1.2863889326974398</v>
      </c>
      <c r="AC867">
        <f>$CA$263</f>
        <v>0.12</v>
      </c>
      <c r="AE867">
        <f>$CA$194</f>
        <v>0.65</v>
      </c>
      <c r="AF867">
        <f t="shared" ref="AF867:AF890" si="383">(Y867 * (1 - AE867) + (0.04 * Y867)) * ( 1 - $CJ$3 )</f>
        <v>1.5079305548970003</v>
      </c>
      <c r="AG867">
        <f t="shared" si="367"/>
        <v>0.19</v>
      </c>
      <c r="AH867">
        <f t="shared" si="368"/>
        <v>0.6784</v>
      </c>
      <c r="AI867">
        <f t="shared" si="376"/>
        <v>1E-3</v>
      </c>
      <c r="AK867">
        <f t="shared" si="378"/>
        <v>0.78</v>
      </c>
      <c r="AL867">
        <f t="shared" si="378"/>
        <v>99.998999999999995</v>
      </c>
      <c r="AM867">
        <f t="shared" si="378"/>
        <v>4.7000000000000002E-3</v>
      </c>
      <c r="AN867">
        <f t="shared" si="362"/>
        <v>1.5160564910712291E-6</v>
      </c>
      <c r="AO867">
        <f t="shared" si="369"/>
        <v>9.1351208376662797E-4</v>
      </c>
      <c r="AP867">
        <f t="shared" si="370"/>
        <v>9.1502814025769925E-4</v>
      </c>
      <c r="AQ867">
        <f t="shared" si="371"/>
        <v>1.0779031492235696</v>
      </c>
      <c r="AS867">
        <f t="shared" si="374"/>
        <v>5.0526315789473681</v>
      </c>
      <c r="AT867">
        <f t="shared" ref="AT867:AT890" si="384" xml:space="preserve"> (0.032*W867/6.38) + (((0.212 - 0.008*(Z867-2) - (0.14 - 0.008*(Z867 - 2))/(1+EXP(-6*(Q867-0.4))))*O867*0.92)/6.25)</f>
        <v>2.0351446716589922E-2</v>
      </c>
      <c r="AU867">
        <f>MAX((Y867*AC867/6.25)+(0.032*AS867/6.38)-AT867-((1.1*(10^-4)*(M867^0.75))/6.25), 0)</f>
        <v>8.4928477805041064E-2</v>
      </c>
      <c r="AV867">
        <f t="shared" ref="AV867:AV890" si="385">K867*AU867*J867</f>
        <v>100.04574685433838</v>
      </c>
      <c r="AY867">
        <f t="shared" si="372"/>
        <v>2E-3</v>
      </c>
      <c r="BB867">
        <f t="shared" si="373"/>
        <v>0.24</v>
      </c>
    </row>
    <row r="868" spans="7:54" x14ac:dyDescent="0.2">
      <c r="G868">
        <v>6</v>
      </c>
      <c r="H868" t="s">
        <v>263</v>
      </c>
      <c r="J868">
        <v>28</v>
      </c>
      <c r="K868">
        <v>38</v>
      </c>
      <c r="M868">
        <f>$BY$53</f>
        <v>150</v>
      </c>
      <c r="O868">
        <f>$BY$99</f>
        <v>0.77</v>
      </c>
      <c r="P868">
        <f>$BZ$146</f>
        <v>660</v>
      </c>
      <c r="Q868">
        <f t="shared" si="358"/>
        <v>0.22727272727272727</v>
      </c>
      <c r="S868">
        <v>0</v>
      </c>
      <c r="T868">
        <v>0</v>
      </c>
      <c r="U868">
        <v>0</v>
      </c>
      <c r="V868">
        <f>30/K868</f>
        <v>0.78947368421052633</v>
      </c>
      <c r="W868">
        <f t="shared" si="380"/>
        <v>0</v>
      </c>
      <c r="X868">
        <f t="shared" si="381"/>
        <v>1</v>
      </c>
      <c r="Y868">
        <f t="shared" si="365"/>
        <v>4.202705002500001</v>
      </c>
      <c r="Z868">
        <f t="shared" si="382"/>
        <v>1.2863889326974398</v>
      </c>
      <c r="AC868">
        <f>$CA$263</f>
        <v>0.12</v>
      </c>
      <c r="AE868">
        <f>$CA$194</f>
        <v>0.65</v>
      </c>
      <c r="AF868">
        <f t="shared" si="383"/>
        <v>1.5079305548970003</v>
      </c>
      <c r="AG868">
        <f t="shared" si="367"/>
        <v>0.19</v>
      </c>
      <c r="AH868">
        <f t="shared" si="368"/>
        <v>0.6784</v>
      </c>
      <c r="AI868">
        <f t="shared" si="376"/>
        <v>1E-3</v>
      </c>
      <c r="AK868">
        <f t="shared" si="378"/>
        <v>0.78</v>
      </c>
      <c r="AL868">
        <f t="shared" si="378"/>
        <v>99.998999999999995</v>
      </c>
      <c r="AM868">
        <f t="shared" si="378"/>
        <v>4.7000000000000002E-3</v>
      </c>
      <c r="AN868">
        <f t="shared" si="362"/>
        <v>1.5160564910712291E-6</v>
      </c>
      <c r="AO868">
        <f t="shared" si="369"/>
        <v>9.1351208376662797E-4</v>
      </c>
      <c r="AP868">
        <f t="shared" si="370"/>
        <v>9.1502814025769925E-4</v>
      </c>
      <c r="AQ868">
        <f t="shared" si="371"/>
        <v>0.97358994123419196</v>
      </c>
      <c r="AS868">
        <f t="shared" si="374"/>
        <v>3.1578947368421053</v>
      </c>
      <c r="AT868">
        <f t="shared" si="384"/>
        <v>2.0351446716589922E-2</v>
      </c>
      <c r="AU868">
        <f t="shared" ref="AU868:AU882" si="386">MAX((Y868*AC868/6.25)+(0.032*AS868/6.38)-AT868-((1.1*(10^-4)*(M868^0.75))/6.25), 0)</f>
        <v>7.5425095524889268E-2</v>
      </c>
      <c r="AV868">
        <f t="shared" si="385"/>
        <v>80.25230163848218</v>
      </c>
      <c r="AY868">
        <f t="shared" si="372"/>
        <v>2E-3</v>
      </c>
      <c r="BB868">
        <f t="shared" si="373"/>
        <v>0.24</v>
      </c>
    </row>
    <row r="869" spans="7:54" x14ac:dyDescent="0.2">
      <c r="H869" t="s">
        <v>264</v>
      </c>
      <c r="J869">
        <v>31</v>
      </c>
      <c r="K869">
        <v>35</v>
      </c>
      <c r="M869">
        <f>$BY$54</f>
        <v>230</v>
      </c>
      <c r="O869">
        <f>$BY$100</f>
        <v>0.88</v>
      </c>
      <c r="P869">
        <f>$BZ$147</f>
        <v>660</v>
      </c>
      <c r="Q869">
        <f t="shared" si="358"/>
        <v>0.34848484848484851</v>
      </c>
      <c r="S869">
        <v>0</v>
      </c>
      <c r="T869">
        <v>0</v>
      </c>
      <c r="U869">
        <v>0</v>
      </c>
      <c r="V869">
        <f>20/K869</f>
        <v>0.5714285714285714</v>
      </c>
      <c r="W869">
        <f t="shared" si="380"/>
        <v>0</v>
      </c>
      <c r="X869">
        <f t="shared" si="381"/>
        <v>1</v>
      </c>
      <c r="Y869">
        <f t="shared" si="365"/>
        <v>5.611497699600001</v>
      </c>
      <c r="Z869">
        <f t="shared" si="382"/>
        <v>1.2826158627950293</v>
      </c>
      <c r="AC869">
        <f>$CA$264</f>
        <v>0.09</v>
      </c>
      <c r="AE869">
        <f>$CA$195</f>
        <v>0.55000000000000004</v>
      </c>
      <c r="AF869">
        <f t="shared" si="383"/>
        <v>2.5296631629796802</v>
      </c>
      <c r="AG869">
        <f t="shared" si="367"/>
        <v>0.19</v>
      </c>
      <c r="AH869">
        <f t="shared" si="368"/>
        <v>0.6784</v>
      </c>
      <c r="AI869">
        <f t="shared" si="376"/>
        <v>1E-3</v>
      </c>
      <c r="AK869">
        <f t="shared" si="378"/>
        <v>0.78</v>
      </c>
      <c r="AL869">
        <f t="shared" si="378"/>
        <v>99.998999999999995</v>
      </c>
      <c r="AM869">
        <f t="shared" si="378"/>
        <v>4.7000000000000002E-3</v>
      </c>
      <c r="AN869">
        <f t="shared" si="362"/>
        <v>2.543295011832345E-6</v>
      </c>
      <c r="AO869">
        <f t="shared" si="369"/>
        <v>1.5324829513777519E-3</v>
      </c>
      <c r="AP869">
        <f t="shared" si="370"/>
        <v>1.5350262463895842E-3</v>
      </c>
      <c r="AQ869">
        <f t="shared" si="371"/>
        <v>1.6655034773326989</v>
      </c>
      <c r="AS869">
        <f>U869*$B$773+V869*$B$774</f>
        <v>2.2857142857142856</v>
      </c>
      <c r="AT869">
        <f t="shared" si="384"/>
        <v>2.0213105950765278E-2</v>
      </c>
      <c r="AU869">
        <f t="shared" si="386"/>
        <v>7.101739676821027E-2</v>
      </c>
      <c r="AV869">
        <f t="shared" si="385"/>
        <v>77.053875493508144</v>
      </c>
      <c r="AY869">
        <f t="shared" si="372"/>
        <v>2E-3</v>
      </c>
      <c r="BB869">
        <f t="shared" si="373"/>
        <v>0.24</v>
      </c>
    </row>
    <row r="870" spans="7:54" x14ac:dyDescent="0.2">
      <c r="H870" t="s">
        <v>265</v>
      </c>
      <c r="J870">
        <v>30</v>
      </c>
      <c r="K870">
        <v>34</v>
      </c>
      <c r="M870">
        <f>$BY$54</f>
        <v>230</v>
      </c>
      <c r="O870">
        <f>$BY$100</f>
        <v>0.88</v>
      </c>
      <c r="P870">
        <f>$BZ$147</f>
        <v>660</v>
      </c>
      <c r="Q870">
        <f t="shared" si="358"/>
        <v>0.34848484848484851</v>
      </c>
      <c r="S870">
        <v>0</v>
      </c>
      <c r="T870">
        <v>0</v>
      </c>
      <c r="U870">
        <v>0</v>
      </c>
      <c r="V870">
        <f>10/K870</f>
        <v>0.29411764705882354</v>
      </c>
      <c r="W870">
        <f t="shared" si="380"/>
        <v>0</v>
      </c>
      <c r="X870">
        <f t="shared" si="381"/>
        <v>1</v>
      </c>
      <c r="Y870">
        <f t="shared" si="365"/>
        <v>5.611497699600001</v>
      </c>
      <c r="Z870">
        <f t="shared" si="382"/>
        <v>1.2826158627950293</v>
      </c>
      <c r="AC870">
        <f>$CA$264</f>
        <v>0.09</v>
      </c>
      <c r="AE870">
        <f>$CA$195</f>
        <v>0.55000000000000004</v>
      </c>
      <c r="AF870">
        <f t="shared" si="383"/>
        <v>2.5296631629796802</v>
      </c>
      <c r="AG870">
        <f t="shared" si="367"/>
        <v>0.19</v>
      </c>
      <c r="AH870">
        <f t="shared" si="368"/>
        <v>0.6784</v>
      </c>
      <c r="AI870">
        <f t="shared" si="376"/>
        <v>1E-3</v>
      </c>
      <c r="AK870">
        <f t="shared" ref="AK870:AM890" si="387">AK$771</f>
        <v>0.78</v>
      </c>
      <c r="AL870">
        <f t="shared" si="387"/>
        <v>99.998999999999995</v>
      </c>
      <c r="AM870">
        <f t="shared" si="387"/>
        <v>4.7000000000000002E-3</v>
      </c>
      <c r="AN870">
        <f t="shared" si="362"/>
        <v>2.543295011832345E-6</v>
      </c>
      <c r="AO870">
        <f t="shared" si="369"/>
        <v>1.5324829513777519E-3</v>
      </c>
      <c r="AP870">
        <f t="shared" si="370"/>
        <v>1.5350262463895842E-3</v>
      </c>
      <c r="AQ870">
        <f t="shared" si="371"/>
        <v>1.5657267713173759</v>
      </c>
      <c r="AS870">
        <f t="shared" si="374"/>
        <v>1.1764705882352942</v>
      </c>
      <c r="AT870">
        <f t="shared" si="384"/>
        <v>2.0213105950765278E-2</v>
      </c>
      <c r="AU870">
        <f t="shared" si="386"/>
        <v>6.5453792015964546E-2</v>
      </c>
      <c r="AV870">
        <f t="shared" si="385"/>
        <v>66.762867856283833</v>
      </c>
      <c r="AY870">
        <f t="shared" si="372"/>
        <v>2E-3</v>
      </c>
      <c r="BB870">
        <f t="shared" si="373"/>
        <v>0.24</v>
      </c>
    </row>
    <row r="871" spans="7:54" x14ac:dyDescent="0.2">
      <c r="H871" t="s">
        <v>266</v>
      </c>
      <c r="J871">
        <v>31</v>
      </c>
      <c r="K871">
        <v>33</v>
      </c>
      <c r="M871">
        <f>$BY$54</f>
        <v>230</v>
      </c>
      <c r="O871">
        <f>$BY$100</f>
        <v>0.88</v>
      </c>
      <c r="P871">
        <f>$BZ$147</f>
        <v>660</v>
      </c>
      <c r="Q871">
        <f t="shared" si="358"/>
        <v>0.34848484848484851</v>
      </c>
      <c r="S871">
        <v>0</v>
      </c>
      <c r="T871">
        <v>0</v>
      </c>
      <c r="U871">
        <v>0</v>
      </c>
      <c r="V871">
        <v>0</v>
      </c>
      <c r="W871">
        <f t="shared" si="380"/>
        <v>0</v>
      </c>
      <c r="X871">
        <f t="shared" si="381"/>
        <v>1</v>
      </c>
      <c r="Y871">
        <f t="shared" si="365"/>
        <v>5.611497699600001</v>
      </c>
      <c r="Z871">
        <f t="shared" si="382"/>
        <v>1.2826158627950293</v>
      </c>
      <c r="AC871">
        <f>$CA$264</f>
        <v>0.09</v>
      </c>
      <c r="AE871">
        <f>$CA$195</f>
        <v>0.55000000000000004</v>
      </c>
      <c r="AF871">
        <f t="shared" si="383"/>
        <v>2.5296631629796802</v>
      </c>
      <c r="AG871">
        <f t="shared" si="367"/>
        <v>0.19</v>
      </c>
      <c r="AH871">
        <f t="shared" si="368"/>
        <v>0.6784</v>
      </c>
      <c r="AI871">
        <f t="shared" si="376"/>
        <v>1E-3</v>
      </c>
      <c r="AK871">
        <f t="shared" si="387"/>
        <v>0.78</v>
      </c>
      <c r="AL871">
        <f t="shared" si="387"/>
        <v>99.998999999999995</v>
      </c>
      <c r="AM871">
        <f t="shared" si="387"/>
        <v>4.7000000000000002E-3</v>
      </c>
      <c r="AN871">
        <f t="shared" si="362"/>
        <v>2.543295011832345E-6</v>
      </c>
      <c r="AO871">
        <f t="shared" si="369"/>
        <v>1.5324829513777519E-3</v>
      </c>
      <c r="AP871">
        <f t="shared" si="370"/>
        <v>1.5350262463895842E-3</v>
      </c>
      <c r="AQ871">
        <f t="shared" si="371"/>
        <v>1.5703318500565446</v>
      </c>
      <c r="AS871">
        <f t="shared" si="374"/>
        <v>0</v>
      </c>
      <c r="AT871">
        <f t="shared" si="384"/>
        <v>2.0213105950765278E-2</v>
      </c>
      <c r="AU871">
        <f t="shared" si="386"/>
        <v>5.9552999096916054E-2</v>
      </c>
      <c r="AV871">
        <f t="shared" si="385"/>
        <v>60.922718076145124</v>
      </c>
      <c r="AY871">
        <f t="shared" si="372"/>
        <v>2E-3</v>
      </c>
      <c r="BB871">
        <f t="shared" si="373"/>
        <v>0.24</v>
      </c>
    </row>
    <row r="872" spans="7:54" x14ac:dyDescent="0.2">
      <c r="H872" t="s">
        <v>267</v>
      </c>
      <c r="J872">
        <v>30</v>
      </c>
      <c r="K872">
        <v>20</v>
      </c>
      <c r="M872">
        <f>$BY$55</f>
        <v>250</v>
      </c>
      <c r="O872">
        <f>$BY$101</f>
        <v>0.22</v>
      </c>
      <c r="P872">
        <f>$BZ$148</f>
        <v>660</v>
      </c>
      <c r="Q872">
        <f t="shared" si="358"/>
        <v>0.37878787878787878</v>
      </c>
      <c r="S872">
        <v>0</v>
      </c>
      <c r="T872">
        <v>0</v>
      </c>
      <c r="U872">
        <v>0</v>
      </c>
      <c r="V872">
        <v>0</v>
      </c>
      <c r="W872">
        <f t="shared" si="380"/>
        <v>0</v>
      </c>
      <c r="X872">
        <f t="shared" si="381"/>
        <v>1</v>
      </c>
      <c r="Y872">
        <f t="shared" si="365"/>
        <v>4.9586382400000018</v>
      </c>
      <c r="Z872">
        <f t="shared" si="382"/>
        <v>1.0652727468517085</v>
      </c>
      <c r="AC872">
        <f>$CA$265</f>
        <v>0.06</v>
      </c>
      <c r="AE872">
        <f>$CA$196</f>
        <v>0.45</v>
      </c>
      <c r="AF872">
        <f t="shared" si="383"/>
        <v>2.6915488366720011</v>
      </c>
      <c r="AG872">
        <f t="shared" si="367"/>
        <v>0.19</v>
      </c>
      <c r="AH872">
        <f t="shared" si="368"/>
        <v>0.6784</v>
      </c>
      <c r="AI872">
        <f t="shared" si="376"/>
        <v>1E-3</v>
      </c>
      <c r="AK872">
        <f t="shared" si="387"/>
        <v>0.78</v>
      </c>
      <c r="AL872">
        <f t="shared" si="387"/>
        <v>99.998999999999995</v>
      </c>
      <c r="AM872">
        <f t="shared" si="387"/>
        <v>4.7000000000000002E-3</v>
      </c>
      <c r="AN872">
        <f t="shared" si="362"/>
        <v>2.7060530550430592E-6</v>
      </c>
      <c r="AO872">
        <f t="shared" si="369"/>
        <v>1.6305541248985631E-3</v>
      </c>
      <c r="AP872">
        <f t="shared" si="370"/>
        <v>1.6332601779536062E-3</v>
      </c>
      <c r="AQ872">
        <f t="shared" si="371"/>
        <v>0.97995610677216383</v>
      </c>
      <c r="AS872">
        <f t="shared" si="374"/>
        <v>0</v>
      </c>
      <c r="AT872">
        <f t="shared" si="384"/>
        <v>4.8713651782717375E-3</v>
      </c>
      <c r="AU872">
        <f t="shared" si="386"/>
        <v>4.1625020507607295E-2</v>
      </c>
      <c r="AV872">
        <f t="shared" si="385"/>
        <v>24.975012304564377</v>
      </c>
      <c r="AY872">
        <f t="shared" si="372"/>
        <v>2E-3</v>
      </c>
      <c r="BB872">
        <f t="shared" si="373"/>
        <v>0.24</v>
      </c>
    </row>
    <row r="873" spans="7:54" x14ac:dyDescent="0.2">
      <c r="H873" t="s">
        <v>268</v>
      </c>
      <c r="J873">
        <v>31</v>
      </c>
      <c r="K873">
        <v>18</v>
      </c>
      <c r="M873">
        <f>$BY$55</f>
        <v>250</v>
      </c>
      <c r="O873">
        <f>$BY$101</f>
        <v>0.22</v>
      </c>
      <c r="P873">
        <f>$BZ$148</f>
        <v>660</v>
      </c>
      <c r="Q873">
        <f t="shared" si="358"/>
        <v>0.37878787878787878</v>
      </c>
      <c r="S873">
        <v>0</v>
      </c>
      <c r="T873">
        <v>0</v>
      </c>
      <c r="U873">
        <v>0</v>
      </c>
      <c r="V873">
        <v>0</v>
      </c>
      <c r="W873">
        <f t="shared" si="380"/>
        <v>0</v>
      </c>
      <c r="X873">
        <f t="shared" si="381"/>
        <v>1</v>
      </c>
      <c r="Y873">
        <f t="shared" si="365"/>
        <v>4.9586382400000018</v>
      </c>
      <c r="Z873">
        <f t="shared" si="382"/>
        <v>1.0652727468517085</v>
      </c>
      <c r="AC873">
        <f>$CA$265</f>
        <v>0.06</v>
      </c>
      <c r="AE873">
        <f>$CA$196</f>
        <v>0.45</v>
      </c>
      <c r="AF873">
        <f t="shared" si="383"/>
        <v>2.6915488366720011</v>
      </c>
      <c r="AG873">
        <f t="shared" si="367"/>
        <v>0.19</v>
      </c>
      <c r="AH873">
        <f t="shared" si="368"/>
        <v>0.6784</v>
      </c>
      <c r="AI873">
        <f t="shared" si="376"/>
        <v>1E-3</v>
      </c>
      <c r="AK873">
        <f t="shared" si="387"/>
        <v>0.78</v>
      </c>
      <c r="AL873">
        <f t="shared" si="387"/>
        <v>99.998999999999995</v>
      </c>
      <c r="AM873">
        <f t="shared" si="387"/>
        <v>4.7000000000000002E-3</v>
      </c>
      <c r="AN873">
        <f t="shared" si="362"/>
        <v>2.7060530550430592E-6</v>
      </c>
      <c r="AO873">
        <f t="shared" si="369"/>
        <v>1.6305541248985631E-3</v>
      </c>
      <c r="AP873">
        <f t="shared" si="370"/>
        <v>1.6332601779536062E-3</v>
      </c>
      <c r="AQ873">
        <f t="shared" si="371"/>
        <v>0.91135917929811217</v>
      </c>
      <c r="AS873">
        <f t="shared" si="374"/>
        <v>0</v>
      </c>
      <c r="AT873">
        <f t="shared" si="384"/>
        <v>4.8713651782717375E-3</v>
      </c>
      <c r="AU873">
        <f t="shared" si="386"/>
        <v>4.1625020507607295E-2</v>
      </c>
      <c r="AV873">
        <f t="shared" si="385"/>
        <v>23.226761443244872</v>
      </c>
      <c r="AY873">
        <f t="shared" si="372"/>
        <v>2E-3</v>
      </c>
      <c r="BB873">
        <f t="shared" si="373"/>
        <v>0.24</v>
      </c>
    </row>
    <row r="874" spans="7:54" x14ac:dyDescent="0.2">
      <c r="H874" t="s">
        <v>269</v>
      </c>
      <c r="J874">
        <v>31</v>
      </c>
      <c r="K874">
        <v>18</v>
      </c>
      <c r="M874">
        <f>$BY$55</f>
        <v>250</v>
      </c>
      <c r="O874">
        <f>$BY$101</f>
        <v>0.22</v>
      </c>
      <c r="P874">
        <f>$BZ$148</f>
        <v>660</v>
      </c>
      <c r="Q874">
        <f t="shared" si="358"/>
        <v>0.37878787878787878</v>
      </c>
      <c r="S874">
        <v>0</v>
      </c>
      <c r="T874">
        <v>0</v>
      </c>
      <c r="U874">
        <v>0</v>
      </c>
      <c r="V874">
        <v>0</v>
      </c>
      <c r="W874">
        <f t="shared" si="380"/>
        <v>0</v>
      </c>
      <c r="X874">
        <f t="shared" si="381"/>
        <v>1</v>
      </c>
      <c r="Y874">
        <f t="shared" si="365"/>
        <v>4.9586382400000018</v>
      </c>
      <c r="Z874">
        <f t="shared" si="382"/>
        <v>1.0652727468517085</v>
      </c>
      <c r="AC874">
        <f>$CA$265</f>
        <v>0.06</v>
      </c>
      <c r="AE874">
        <f>$CA$196</f>
        <v>0.45</v>
      </c>
      <c r="AF874">
        <f t="shared" si="383"/>
        <v>2.6915488366720011</v>
      </c>
      <c r="AG874">
        <f t="shared" si="367"/>
        <v>0.19</v>
      </c>
      <c r="AH874">
        <f t="shared" si="368"/>
        <v>0.6784</v>
      </c>
      <c r="AI874">
        <f t="shared" ref="AI874:AI890" si="388">AI$771</f>
        <v>1E-3</v>
      </c>
      <c r="AK874">
        <f t="shared" si="387"/>
        <v>0.78</v>
      </c>
      <c r="AL874">
        <f t="shared" si="387"/>
        <v>99.998999999999995</v>
      </c>
      <c r="AM874">
        <f t="shared" si="387"/>
        <v>4.7000000000000002E-3</v>
      </c>
      <c r="AN874">
        <f t="shared" si="362"/>
        <v>2.7060530550430592E-6</v>
      </c>
      <c r="AO874">
        <f t="shared" si="369"/>
        <v>1.6305541248985631E-3</v>
      </c>
      <c r="AP874">
        <f t="shared" si="370"/>
        <v>1.6332601779536062E-3</v>
      </c>
      <c r="AQ874">
        <f t="shared" si="371"/>
        <v>0.91135917929811217</v>
      </c>
      <c r="AS874">
        <f t="shared" si="374"/>
        <v>0</v>
      </c>
      <c r="AT874">
        <f t="shared" si="384"/>
        <v>4.8713651782717375E-3</v>
      </c>
      <c r="AU874">
        <f t="shared" si="386"/>
        <v>4.1625020507607295E-2</v>
      </c>
      <c r="AV874">
        <f t="shared" si="385"/>
        <v>23.226761443244872</v>
      </c>
      <c r="AY874">
        <f t="shared" si="372"/>
        <v>2E-3</v>
      </c>
      <c r="BB874">
        <f t="shared" si="373"/>
        <v>0.24</v>
      </c>
    </row>
    <row r="875" spans="7:54" x14ac:dyDescent="0.2">
      <c r="H875" t="s">
        <v>270</v>
      </c>
      <c r="J875">
        <v>30</v>
      </c>
      <c r="K875">
        <v>20</v>
      </c>
      <c r="M875">
        <f>$BY$52</f>
        <v>80</v>
      </c>
      <c r="O875">
        <f>$BY$98</f>
        <v>0.7</v>
      </c>
      <c r="P875">
        <f>$BZ$145</f>
        <v>660</v>
      </c>
      <c r="Q875">
        <f t="shared" si="358"/>
        <v>0.12121212121212122</v>
      </c>
      <c r="S875">
        <v>0</v>
      </c>
      <c r="T875">
        <v>0</v>
      </c>
      <c r="U875">
        <f>5/K875</f>
        <v>0.25</v>
      </c>
      <c r="V875">
        <v>0</v>
      </c>
      <c r="W875">
        <f t="shared" si="380"/>
        <v>0</v>
      </c>
      <c r="X875">
        <f t="shared" si="381"/>
        <v>1</v>
      </c>
      <c r="Y875">
        <f t="shared" si="365"/>
        <v>3.0697142436</v>
      </c>
      <c r="Z875">
        <f t="shared" si="382"/>
        <v>1.3086693130801998</v>
      </c>
      <c r="AC875">
        <f>$CA$262</f>
        <v>0.04</v>
      </c>
      <c r="AE875">
        <f>$CA$193</f>
        <v>0.4</v>
      </c>
      <c r="AF875">
        <f t="shared" si="383"/>
        <v>1.8074477466316801</v>
      </c>
      <c r="AG875">
        <f t="shared" si="367"/>
        <v>0.19</v>
      </c>
      <c r="AH875">
        <f t="shared" si="368"/>
        <v>0.6784</v>
      </c>
      <c r="AI875">
        <f t="shared" si="388"/>
        <v>1E-3</v>
      </c>
      <c r="AK875">
        <f t="shared" si="387"/>
        <v>0.78</v>
      </c>
      <c r="AL875">
        <f t="shared" si="387"/>
        <v>99.998999999999995</v>
      </c>
      <c r="AM875">
        <f t="shared" si="387"/>
        <v>4.7000000000000002E-3</v>
      </c>
      <c r="AN875">
        <f t="shared" si="362"/>
        <v>1.8171877210487291E-6</v>
      </c>
      <c r="AO875">
        <f t="shared" si="369"/>
        <v>1.0949611386033508E-3</v>
      </c>
      <c r="AP875">
        <f t="shared" si="370"/>
        <v>1.0967783263243994E-3</v>
      </c>
      <c r="AQ875">
        <f t="shared" si="371"/>
        <v>0.65806699579463968</v>
      </c>
      <c r="AS875">
        <f t="shared" si="374"/>
        <v>1.5</v>
      </c>
      <c r="AT875">
        <f t="shared" si="384"/>
        <v>2.0044158990204494E-2</v>
      </c>
      <c r="AU875">
        <f t="shared" si="386"/>
        <v>6.654729965918941E-3</v>
      </c>
      <c r="AV875">
        <f t="shared" si="385"/>
        <v>3.9928379795513651</v>
      </c>
      <c r="AY875">
        <f t="shared" si="372"/>
        <v>2E-3</v>
      </c>
      <c r="BB875">
        <f t="shared" si="373"/>
        <v>0.24</v>
      </c>
    </row>
    <row r="876" spans="7:54" x14ac:dyDescent="0.2">
      <c r="H876" t="s">
        <v>271</v>
      </c>
      <c r="J876">
        <v>31</v>
      </c>
      <c r="K876">
        <v>38</v>
      </c>
      <c r="M876">
        <f>$BY$52</f>
        <v>80</v>
      </c>
      <c r="O876">
        <f>$BY$98</f>
        <v>0.7</v>
      </c>
      <c r="P876">
        <f>$BZ$145</f>
        <v>660</v>
      </c>
      <c r="Q876">
        <f t="shared" si="358"/>
        <v>0.12121212121212122</v>
      </c>
      <c r="S876">
        <v>0</v>
      </c>
      <c r="T876">
        <v>0</v>
      </c>
      <c r="U876">
        <f>23/K876</f>
        <v>0.60526315789473684</v>
      </c>
      <c r="V876">
        <v>0</v>
      </c>
      <c r="W876">
        <f t="shared" si="380"/>
        <v>0</v>
      </c>
      <c r="X876">
        <f t="shared" si="381"/>
        <v>1</v>
      </c>
      <c r="Y876">
        <f t="shared" si="365"/>
        <v>3.0697142436</v>
      </c>
      <c r="Z876">
        <f t="shared" si="382"/>
        <v>1.3086693130801998</v>
      </c>
      <c r="AC876">
        <f>$CA$262</f>
        <v>0.04</v>
      </c>
      <c r="AE876">
        <f>$CA$193</f>
        <v>0.4</v>
      </c>
      <c r="AF876">
        <f t="shared" si="383"/>
        <v>1.8074477466316801</v>
      </c>
      <c r="AG876">
        <f t="shared" si="367"/>
        <v>0.19</v>
      </c>
      <c r="AH876">
        <f t="shared" si="368"/>
        <v>0.6784</v>
      </c>
      <c r="AI876">
        <f t="shared" si="388"/>
        <v>1E-3</v>
      </c>
      <c r="AK876">
        <f t="shared" si="387"/>
        <v>0.78</v>
      </c>
      <c r="AL876">
        <f t="shared" si="387"/>
        <v>99.998999999999995</v>
      </c>
      <c r="AM876">
        <f t="shared" si="387"/>
        <v>4.7000000000000002E-3</v>
      </c>
      <c r="AN876">
        <f t="shared" si="362"/>
        <v>1.8171877210487291E-6</v>
      </c>
      <c r="AO876">
        <f t="shared" si="369"/>
        <v>1.0949611386033508E-3</v>
      </c>
      <c r="AP876">
        <f t="shared" si="370"/>
        <v>1.0967783263243994E-3</v>
      </c>
      <c r="AQ876">
        <f t="shared" si="371"/>
        <v>1.2920048684101426</v>
      </c>
      <c r="AS876">
        <f t="shared" si="374"/>
        <v>3.6315789473684212</v>
      </c>
      <c r="AT876">
        <f t="shared" si="384"/>
        <v>2.0044158990204494E-2</v>
      </c>
      <c r="AU876">
        <f t="shared" si="386"/>
        <v>1.7346035031089703E-2</v>
      </c>
      <c r="AV876">
        <f t="shared" si="385"/>
        <v>20.433629266623669</v>
      </c>
      <c r="AY876">
        <f t="shared" si="372"/>
        <v>2E-3</v>
      </c>
      <c r="BB876">
        <f t="shared" si="373"/>
        <v>0.24</v>
      </c>
    </row>
    <row r="877" spans="7:54" x14ac:dyDescent="0.2">
      <c r="H877" t="s">
        <v>272</v>
      </c>
      <c r="J877">
        <v>30</v>
      </c>
      <c r="K877">
        <v>40</v>
      </c>
      <c r="M877">
        <f>$BY$52</f>
        <v>80</v>
      </c>
      <c r="O877">
        <f>$BY$98</f>
        <v>0.7</v>
      </c>
      <c r="P877">
        <f>$BZ$145</f>
        <v>660</v>
      </c>
      <c r="Q877">
        <f t="shared" si="358"/>
        <v>0.12121212121212122</v>
      </c>
      <c r="S877">
        <v>0</v>
      </c>
      <c r="T877">
        <v>0</v>
      </c>
      <c r="U877">
        <f>25/K877</f>
        <v>0.625</v>
      </c>
      <c r="V877">
        <v>0</v>
      </c>
      <c r="W877">
        <f t="shared" si="380"/>
        <v>0</v>
      </c>
      <c r="X877">
        <f t="shared" si="381"/>
        <v>1</v>
      </c>
      <c r="Y877">
        <f t="shared" si="365"/>
        <v>3.0697142436</v>
      </c>
      <c r="Z877">
        <f t="shared" si="382"/>
        <v>1.3086693130801998</v>
      </c>
      <c r="AC877">
        <f>$CA$262</f>
        <v>0.04</v>
      </c>
      <c r="AE877">
        <f>$CA$193</f>
        <v>0.4</v>
      </c>
      <c r="AF877">
        <f t="shared" si="383"/>
        <v>1.8074477466316801</v>
      </c>
      <c r="AG877">
        <f t="shared" si="367"/>
        <v>0.19</v>
      </c>
      <c r="AH877">
        <f t="shared" si="368"/>
        <v>0.6784</v>
      </c>
      <c r="AI877">
        <f t="shared" si="388"/>
        <v>1E-3</v>
      </c>
      <c r="AK877">
        <f t="shared" si="387"/>
        <v>0.78</v>
      </c>
      <c r="AL877">
        <f t="shared" si="387"/>
        <v>99.998999999999995</v>
      </c>
      <c r="AM877">
        <f t="shared" si="387"/>
        <v>4.7000000000000002E-3</v>
      </c>
      <c r="AN877">
        <f t="shared" si="362"/>
        <v>1.8171877210487291E-6</v>
      </c>
      <c r="AO877">
        <f t="shared" si="369"/>
        <v>1.0949611386033508E-3</v>
      </c>
      <c r="AP877">
        <f t="shared" si="370"/>
        <v>1.0967783263243994E-3</v>
      </c>
      <c r="AQ877">
        <f t="shared" si="371"/>
        <v>1.3161339915892794</v>
      </c>
      <c r="AS877">
        <f t="shared" si="374"/>
        <v>3.75</v>
      </c>
      <c r="AT877">
        <f t="shared" si="384"/>
        <v>2.0044158990204494E-2</v>
      </c>
      <c r="AU877">
        <f t="shared" si="386"/>
        <v>1.793999642359919E-2</v>
      </c>
      <c r="AV877">
        <f t="shared" si="385"/>
        <v>21.527995708319029</v>
      </c>
      <c r="AY877">
        <f t="shared" si="372"/>
        <v>2E-3</v>
      </c>
      <c r="BB877">
        <f t="shared" si="373"/>
        <v>0.24</v>
      </c>
    </row>
    <row r="878" spans="7:54" x14ac:dyDescent="0.2">
      <c r="H878" t="s">
        <v>273</v>
      </c>
      <c r="J878">
        <v>31</v>
      </c>
      <c r="K878">
        <v>40</v>
      </c>
      <c r="M878">
        <f>$BY$53</f>
        <v>150</v>
      </c>
      <c r="O878">
        <f>$BY$99</f>
        <v>0.77</v>
      </c>
      <c r="P878">
        <f>$BZ$146</f>
        <v>660</v>
      </c>
      <c r="Q878">
        <f t="shared" si="358"/>
        <v>0.22727272727272727</v>
      </c>
      <c r="S878">
        <v>0</v>
      </c>
      <c r="T878">
        <v>0</v>
      </c>
      <c r="U878">
        <f>20/K878</f>
        <v>0.5</v>
      </c>
      <c r="V878">
        <f>5/K878</f>
        <v>0.125</v>
      </c>
      <c r="W878">
        <f t="shared" si="380"/>
        <v>0</v>
      </c>
      <c r="X878">
        <f t="shared" si="381"/>
        <v>1</v>
      </c>
      <c r="Y878">
        <f t="shared" si="365"/>
        <v>4.202705002500001</v>
      </c>
      <c r="Z878">
        <f t="shared" si="382"/>
        <v>1.2863889326974398</v>
      </c>
      <c r="AC878">
        <f>$CA$263</f>
        <v>0.12</v>
      </c>
      <c r="AE878">
        <f>$CA$194</f>
        <v>0.65</v>
      </c>
      <c r="AF878">
        <f t="shared" si="383"/>
        <v>1.5079305548970003</v>
      </c>
      <c r="AG878">
        <f t="shared" si="367"/>
        <v>0.19</v>
      </c>
      <c r="AH878">
        <f t="shared" si="368"/>
        <v>0.6784</v>
      </c>
      <c r="AI878">
        <f t="shared" si="388"/>
        <v>1E-3</v>
      </c>
      <c r="AK878">
        <f t="shared" si="387"/>
        <v>0.78</v>
      </c>
      <c r="AL878">
        <f t="shared" si="387"/>
        <v>99.998999999999995</v>
      </c>
      <c r="AM878">
        <f t="shared" si="387"/>
        <v>4.7000000000000002E-3</v>
      </c>
      <c r="AN878">
        <f t="shared" si="362"/>
        <v>1.5160564910712291E-6</v>
      </c>
      <c r="AO878">
        <f t="shared" si="369"/>
        <v>9.1351208376662797E-4</v>
      </c>
      <c r="AP878">
        <f t="shared" si="370"/>
        <v>9.1502814025769925E-4</v>
      </c>
      <c r="AQ878">
        <f t="shared" si="371"/>
        <v>1.134634893919547</v>
      </c>
      <c r="AS878">
        <f t="shared" si="374"/>
        <v>3.5</v>
      </c>
      <c r="AT878">
        <f t="shared" si="384"/>
        <v>2.0351446716589922E-2</v>
      </c>
      <c r="AU878">
        <f t="shared" si="386"/>
        <v>7.7140983992138895E-2</v>
      </c>
      <c r="AV878">
        <f t="shared" si="385"/>
        <v>95.65482015025222</v>
      </c>
      <c r="AY878">
        <f t="shared" si="372"/>
        <v>2E-3</v>
      </c>
      <c r="BB878">
        <f t="shared" si="373"/>
        <v>0.24</v>
      </c>
    </row>
    <row r="879" spans="7:54" x14ac:dyDescent="0.2">
      <c r="G879" t="s">
        <v>189</v>
      </c>
      <c r="H879" t="s">
        <v>262</v>
      </c>
      <c r="J879">
        <v>31</v>
      </c>
      <c r="K879">
        <v>40</v>
      </c>
      <c r="M879">
        <f>$BY$57</f>
        <v>400</v>
      </c>
      <c r="O879">
        <f>$BY$103</f>
        <v>0.33</v>
      </c>
      <c r="P879">
        <f>$BZ$150</f>
        <v>660</v>
      </c>
      <c r="Q879">
        <f t="shared" si="358"/>
        <v>0.60606060606060608</v>
      </c>
      <c r="S879">
        <v>0</v>
      </c>
      <c r="T879">
        <v>0</v>
      </c>
      <c r="U879">
        <v>0</v>
      </c>
      <c r="V879">
        <v>0</v>
      </c>
      <c r="W879">
        <f t="shared" si="380"/>
        <v>0</v>
      </c>
      <c r="X879">
        <f t="shared" si="381"/>
        <v>1</v>
      </c>
      <c r="Y879">
        <f t="shared" si="365"/>
        <v>7.230452102500001</v>
      </c>
      <c r="Z879">
        <f t="shared" si="382"/>
        <v>1.0820425984608422</v>
      </c>
      <c r="AC879">
        <f>$CA$267</f>
        <v>0.12</v>
      </c>
      <c r="AE879">
        <f>$CA$198</f>
        <v>0.65</v>
      </c>
      <c r="AF879">
        <f t="shared" si="383"/>
        <v>2.594286214377</v>
      </c>
      <c r="AG879">
        <f t="shared" si="367"/>
        <v>0.19</v>
      </c>
      <c r="AH879">
        <f t="shared" si="368"/>
        <v>0.6784</v>
      </c>
      <c r="AI879">
        <f t="shared" si="388"/>
        <v>1E-3</v>
      </c>
      <c r="AK879">
        <f t="shared" si="387"/>
        <v>0.78</v>
      </c>
      <c r="AL879">
        <f t="shared" si="387"/>
        <v>99.998999999999995</v>
      </c>
      <c r="AM879">
        <f t="shared" si="387"/>
        <v>4.7000000000000002E-3</v>
      </c>
      <c r="AN879">
        <f t="shared" si="362"/>
        <v>2.608266303929035E-6</v>
      </c>
      <c r="AO879">
        <f t="shared" si="369"/>
        <v>1.5716319281987407E-3</v>
      </c>
      <c r="AP879">
        <f t="shared" si="370"/>
        <v>1.5742401945026698E-3</v>
      </c>
      <c r="AQ879">
        <f t="shared" si="371"/>
        <v>1.9520578411833107</v>
      </c>
      <c r="AS879">
        <f t="shared" si="374"/>
        <v>0</v>
      </c>
      <c r="AT879">
        <f t="shared" si="384"/>
        <v>5.1083772790481274E-3</v>
      </c>
      <c r="AU879">
        <f t="shared" si="386"/>
        <v>0.13214211123279204</v>
      </c>
      <c r="AV879">
        <f t="shared" si="385"/>
        <v>163.85621792866215</v>
      </c>
      <c r="AY879">
        <f t="shared" si="372"/>
        <v>2E-3</v>
      </c>
      <c r="BB879">
        <f t="shared" si="373"/>
        <v>0.24</v>
      </c>
    </row>
    <row r="880" spans="7:54" x14ac:dyDescent="0.2">
      <c r="G880" t="s">
        <v>199</v>
      </c>
      <c r="H880" t="s">
        <v>263</v>
      </c>
      <c r="J880">
        <v>28</v>
      </c>
      <c r="K880">
        <v>38</v>
      </c>
      <c r="M880">
        <f>$BY$57</f>
        <v>400</v>
      </c>
      <c r="O880">
        <f>$BY$103</f>
        <v>0.33</v>
      </c>
      <c r="P880">
        <f>$BZ$150</f>
        <v>660</v>
      </c>
      <c r="Q880">
        <f t="shared" si="358"/>
        <v>0.60606060606060608</v>
      </c>
      <c r="S880">
        <v>0</v>
      </c>
      <c r="T880">
        <v>0</v>
      </c>
      <c r="U880">
        <v>0</v>
      </c>
      <c r="V880">
        <v>0</v>
      </c>
      <c r="W880">
        <f t="shared" si="380"/>
        <v>0</v>
      </c>
      <c r="X880">
        <f t="shared" si="381"/>
        <v>1</v>
      </c>
      <c r="Y880">
        <f t="shared" si="365"/>
        <v>7.230452102500001</v>
      </c>
      <c r="Z880">
        <f t="shared" si="382"/>
        <v>1.0820425984608422</v>
      </c>
      <c r="AC880">
        <f>$CA$267</f>
        <v>0.12</v>
      </c>
      <c r="AE880">
        <f>$CA$198</f>
        <v>0.65</v>
      </c>
      <c r="AF880">
        <f t="shared" si="383"/>
        <v>2.594286214377</v>
      </c>
      <c r="AG880">
        <f t="shared" si="367"/>
        <v>0.19</v>
      </c>
      <c r="AH880">
        <f t="shared" si="368"/>
        <v>0.6784</v>
      </c>
      <c r="AI880">
        <f t="shared" si="388"/>
        <v>1E-3</v>
      </c>
      <c r="AK880">
        <f t="shared" si="387"/>
        <v>0.78</v>
      </c>
      <c r="AL880">
        <f t="shared" si="387"/>
        <v>99.998999999999995</v>
      </c>
      <c r="AM880">
        <f t="shared" si="387"/>
        <v>4.7000000000000002E-3</v>
      </c>
      <c r="AN880">
        <f t="shared" si="362"/>
        <v>2.608266303929035E-6</v>
      </c>
      <c r="AO880">
        <f t="shared" si="369"/>
        <v>1.5716319281987407E-3</v>
      </c>
      <c r="AP880">
        <f t="shared" si="370"/>
        <v>1.5742401945026698E-3</v>
      </c>
      <c r="AQ880">
        <f t="shared" si="371"/>
        <v>1.6749915669508406</v>
      </c>
      <c r="AS880">
        <f t="shared" si="374"/>
        <v>0</v>
      </c>
      <c r="AT880">
        <f t="shared" si="384"/>
        <v>5.1083772790481274E-3</v>
      </c>
      <c r="AU880">
        <f t="shared" si="386"/>
        <v>0.13214211123279204</v>
      </c>
      <c r="AV880">
        <f t="shared" si="385"/>
        <v>140.59920635169073</v>
      </c>
      <c r="AY880">
        <f t="shared" si="372"/>
        <v>2E-3</v>
      </c>
      <c r="BB880">
        <f t="shared" si="373"/>
        <v>0.24</v>
      </c>
    </row>
    <row r="881" spans="8:54" x14ac:dyDescent="0.2">
      <c r="H881" t="s">
        <v>264</v>
      </c>
      <c r="J881">
        <v>31</v>
      </c>
      <c r="K881">
        <v>25</v>
      </c>
      <c r="M881">
        <f>$BY$58</f>
        <v>420</v>
      </c>
      <c r="O881">
        <f>$BY$104</f>
        <v>0.22</v>
      </c>
      <c r="P881">
        <f>$BZ$151</f>
        <v>660</v>
      </c>
      <c r="Q881">
        <f t="shared" si="358"/>
        <v>0.63636363636363635</v>
      </c>
      <c r="S881">
        <v>0</v>
      </c>
      <c r="T881">
        <v>0</v>
      </c>
      <c r="U881">
        <v>0</v>
      </c>
      <c r="V881">
        <v>0</v>
      </c>
      <c r="W881">
        <f t="shared" si="380"/>
        <v>0</v>
      </c>
      <c r="X881">
        <f t="shared" si="381"/>
        <v>1</v>
      </c>
      <c r="Y881">
        <f t="shared" si="365"/>
        <v>7.3032900516000012</v>
      </c>
      <c r="Z881">
        <f t="shared" si="382"/>
        <v>1.0533290230865808</v>
      </c>
      <c r="AC881">
        <f>$CA$268</f>
        <v>0.09</v>
      </c>
      <c r="AE881">
        <f>$CA$199</f>
        <v>0.55000000000000004</v>
      </c>
      <c r="AF881">
        <f t="shared" si="383"/>
        <v>3.2923231552612804</v>
      </c>
      <c r="AG881">
        <f t="shared" si="367"/>
        <v>0.19</v>
      </c>
      <c r="AH881">
        <f t="shared" si="368"/>
        <v>0.6784</v>
      </c>
      <c r="AI881">
        <f t="shared" si="388"/>
        <v>1E-3</v>
      </c>
      <c r="AK881">
        <f t="shared" si="387"/>
        <v>0.78</v>
      </c>
      <c r="AL881">
        <f t="shared" si="387"/>
        <v>99.998999999999995</v>
      </c>
      <c r="AM881">
        <f t="shared" si="387"/>
        <v>4.7000000000000002E-3</v>
      </c>
      <c r="AN881">
        <f t="shared" si="362"/>
        <v>3.3100648262803526E-6</v>
      </c>
      <c r="AO881">
        <f t="shared" si="369"/>
        <v>1.9945062962142077E-3</v>
      </c>
      <c r="AP881">
        <f t="shared" si="370"/>
        <v>1.9978163610404882E-3</v>
      </c>
      <c r="AQ881">
        <f t="shared" si="371"/>
        <v>1.5483076798063782</v>
      </c>
      <c r="AS881">
        <f>U881*$B$773+V881*$B$774</f>
        <v>0</v>
      </c>
      <c r="AT881">
        <f t="shared" si="384"/>
        <v>3.263301747682234E-3</v>
      </c>
      <c r="AU881">
        <f t="shared" si="386"/>
        <v>0.10027121241872085</v>
      </c>
      <c r="AV881">
        <f t="shared" si="385"/>
        <v>77.710189624508658</v>
      </c>
      <c r="AY881">
        <f t="shared" si="372"/>
        <v>2E-3</v>
      </c>
      <c r="BB881">
        <f t="shared" si="373"/>
        <v>0.24</v>
      </c>
    </row>
    <row r="882" spans="8:54" x14ac:dyDescent="0.2">
      <c r="H882" t="s">
        <v>265</v>
      </c>
      <c r="J882">
        <v>30</v>
      </c>
      <c r="K882">
        <v>20</v>
      </c>
      <c r="M882">
        <f>$BY$58</f>
        <v>420</v>
      </c>
      <c r="O882">
        <f>$BY$104</f>
        <v>0.22</v>
      </c>
      <c r="P882">
        <f>$BZ$151</f>
        <v>660</v>
      </c>
      <c r="Q882">
        <f t="shared" si="358"/>
        <v>0.63636363636363635</v>
      </c>
      <c r="S882">
        <v>0</v>
      </c>
      <c r="T882">
        <v>0</v>
      </c>
      <c r="U882">
        <v>0</v>
      </c>
      <c r="V882">
        <v>0</v>
      </c>
      <c r="W882">
        <f t="shared" si="380"/>
        <v>0</v>
      </c>
      <c r="X882">
        <f t="shared" si="381"/>
        <v>1</v>
      </c>
      <c r="Y882">
        <f t="shared" si="365"/>
        <v>7.3032900516000012</v>
      </c>
      <c r="Z882">
        <f t="shared" si="382"/>
        <v>1.0533290230865808</v>
      </c>
      <c r="AC882">
        <f>$CA$268</f>
        <v>0.09</v>
      </c>
      <c r="AE882">
        <f>$CA$199</f>
        <v>0.55000000000000004</v>
      </c>
      <c r="AF882">
        <f t="shared" si="383"/>
        <v>3.2923231552612804</v>
      </c>
      <c r="AG882">
        <f t="shared" si="367"/>
        <v>0.19</v>
      </c>
      <c r="AH882">
        <f t="shared" si="368"/>
        <v>0.6784</v>
      </c>
      <c r="AI882">
        <f t="shared" si="388"/>
        <v>1E-3</v>
      </c>
      <c r="AK882">
        <f t="shared" si="387"/>
        <v>0.78</v>
      </c>
      <c r="AL882">
        <f t="shared" si="387"/>
        <v>99.998999999999995</v>
      </c>
      <c r="AM882">
        <f t="shared" si="387"/>
        <v>4.7000000000000002E-3</v>
      </c>
      <c r="AN882">
        <f t="shared" si="362"/>
        <v>3.3100648262803526E-6</v>
      </c>
      <c r="AO882">
        <f t="shared" si="369"/>
        <v>1.9945062962142077E-3</v>
      </c>
      <c r="AP882">
        <f t="shared" si="370"/>
        <v>1.9978163610404882E-3</v>
      </c>
      <c r="AQ882">
        <f t="shared" si="371"/>
        <v>1.198689816624293</v>
      </c>
      <c r="AS882">
        <f t="shared" ref="AS882:AS890" si="389">U882*$B$773+V882*$B$774</f>
        <v>0</v>
      </c>
      <c r="AT882">
        <f t="shared" si="384"/>
        <v>3.263301747682234E-3</v>
      </c>
      <c r="AU882">
        <f t="shared" si="386"/>
        <v>0.10027121241872085</v>
      </c>
      <c r="AV882">
        <f t="shared" si="385"/>
        <v>60.162727451232513</v>
      </c>
      <c r="AY882">
        <f t="shared" si="372"/>
        <v>2E-3</v>
      </c>
      <c r="BB882">
        <f t="shared" si="373"/>
        <v>0.24</v>
      </c>
    </row>
    <row r="883" spans="8:54" x14ac:dyDescent="0.2">
      <c r="H883" t="s">
        <v>266</v>
      </c>
      <c r="J883">
        <v>31</v>
      </c>
      <c r="K883">
        <v>20</v>
      </c>
      <c r="M883">
        <f>$BY$58</f>
        <v>420</v>
      </c>
      <c r="O883">
        <f>$BY$104</f>
        <v>0.22</v>
      </c>
      <c r="P883">
        <f>$BZ$151</f>
        <v>660</v>
      </c>
      <c r="Q883">
        <f t="shared" si="358"/>
        <v>0.63636363636363635</v>
      </c>
      <c r="S883">
        <v>0</v>
      </c>
      <c r="T883">
        <v>0</v>
      </c>
      <c r="U883">
        <v>0</v>
      </c>
      <c r="V883">
        <v>0</v>
      </c>
      <c r="W883">
        <f t="shared" si="380"/>
        <v>0</v>
      </c>
      <c r="X883">
        <f t="shared" si="381"/>
        <v>1</v>
      </c>
      <c r="Y883">
        <f t="shared" si="365"/>
        <v>7.3032900516000012</v>
      </c>
      <c r="Z883">
        <f>Y883 / ((1.185 + 0.00454 * M883 - 0.0000026 * M883 ^ 2) ^ 2 * X883)</f>
        <v>1.0533290230865808</v>
      </c>
      <c r="AC883">
        <f>$CA$268</f>
        <v>0.09</v>
      </c>
      <c r="AE883">
        <f>$CA$199</f>
        <v>0.55000000000000004</v>
      </c>
      <c r="AF883">
        <f t="shared" si="383"/>
        <v>3.2923231552612804</v>
      </c>
      <c r="AG883">
        <f t="shared" si="367"/>
        <v>0.19</v>
      </c>
      <c r="AH883">
        <f t="shared" si="368"/>
        <v>0.6784</v>
      </c>
      <c r="AI883">
        <f t="shared" si="388"/>
        <v>1E-3</v>
      </c>
      <c r="AK883">
        <f t="shared" si="387"/>
        <v>0.78</v>
      </c>
      <c r="AL883">
        <f t="shared" si="387"/>
        <v>99.998999999999995</v>
      </c>
      <c r="AM883">
        <f t="shared" si="387"/>
        <v>4.7000000000000002E-3</v>
      </c>
      <c r="AN883">
        <f t="shared" si="362"/>
        <v>3.3100648262803526E-6</v>
      </c>
      <c r="AO883">
        <f t="shared" si="369"/>
        <v>1.9945062962142077E-3</v>
      </c>
      <c r="AP883">
        <f t="shared" si="370"/>
        <v>1.9978163610404882E-3</v>
      </c>
      <c r="AQ883">
        <f t="shared" si="371"/>
        <v>1.2386461438451029</v>
      </c>
      <c r="AS883">
        <f t="shared" si="389"/>
        <v>0</v>
      </c>
      <c r="AT883">
        <f t="shared" si="384"/>
        <v>3.263301747682234E-3</v>
      </c>
      <c r="AU883">
        <f>MAX((Y883*AC883/6.25)+(0.032*AS883/6.38)-AT883-((1.1*(10^-4)*(M883^0.75))/6.25), 0)</f>
        <v>0.10027121241872085</v>
      </c>
      <c r="AV883">
        <f t="shared" si="385"/>
        <v>62.168151699606931</v>
      </c>
      <c r="AY883">
        <f t="shared" si="372"/>
        <v>2E-3</v>
      </c>
      <c r="BB883">
        <f t="shared" si="373"/>
        <v>0.24</v>
      </c>
    </row>
    <row r="884" spans="8:54" x14ac:dyDescent="0.2">
      <c r="H884" t="s">
        <v>267</v>
      </c>
      <c r="J884">
        <v>30</v>
      </c>
      <c r="K884">
        <v>0</v>
      </c>
      <c r="M884">
        <f>$BY$59</f>
        <v>390</v>
      </c>
      <c r="N884" s="1">
        <v>-0.4</v>
      </c>
      <c r="O884" s="1">
        <v>-0.4</v>
      </c>
      <c r="P884">
        <f>$BZ$152</f>
        <v>660</v>
      </c>
      <c r="Q884">
        <f t="shared" si="358"/>
        <v>0.59090909090909094</v>
      </c>
      <c r="S884">
        <v>0</v>
      </c>
      <c r="T884">
        <v>0</v>
      </c>
      <c r="U884">
        <v>0</v>
      </c>
      <c r="V884">
        <v>0</v>
      </c>
      <c r="W884">
        <f t="shared" si="380"/>
        <v>0</v>
      </c>
      <c r="X884">
        <f t="shared" si="381"/>
        <v>1</v>
      </c>
      <c r="Y884">
        <f t="shared" si="365"/>
        <v>5.9250375396000008</v>
      </c>
      <c r="Z884">
        <f t="shared" ref="Z884:Z890" si="390">Y884 / ((1.185 + 0.00454 * M884 - 0.0000026 * M884 ^ 2) ^ 2 * X884)</f>
        <v>0.90399010342035868</v>
      </c>
      <c r="AC884">
        <f>$CA$269</f>
        <v>0.06</v>
      </c>
      <c r="AE884">
        <f>$CA$200</f>
        <v>0.45</v>
      </c>
      <c r="AF884">
        <f t="shared" si="383"/>
        <v>3.2161103764948806</v>
      </c>
      <c r="AG884">
        <f t="shared" si="367"/>
        <v>0.19</v>
      </c>
      <c r="AH884">
        <f t="shared" si="368"/>
        <v>0.6784</v>
      </c>
      <c r="AI884">
        <f t="shared" si="388"/>
        <v>1E-3</v>
      </c>
      <c r="AK884">
        <f t="shared" si="387"/>
        <v>0.78</v>
      </c>
      <c r="AL884">
        <f t="shared" si="387"/>
        <v>99.998999999999995</v>
      </c>
      <c r="AM884">
        <f t="shared" si="387"/>
        <v>4.7000000000000002E-3</v>
      </c>
      <c r="AN884">
        <f t="shared" si="362"/>
        <v>3.2334413520917361E-6</v>
      </c>
      <c r="AO884">
        <f t="shared" si="369"/>
        <v>1.94833620295995E-3</v>
      </c>
      <c r="AP884">
        <f t="shared" si="370"/>
        <v>1.9515696443120417E-3</v>
      </c>
      <c r="AQ884">
        <f t="shared" si="371"/>
        <v>0</v>
      </c>
      <c r="AS884">
        <f t="shared" si="389"/>
        <v>0</v>
      </c>
      <c r="AT884">
        <f t="shared" si="384"/>
        <v>-6.3531966711535505E-3</v>
      </c>
      <c r="AU884">
        <f t="shared" ref="AU884:AU890" si="391">MAX((Y884*AC884/6.25)+(0.032*AS884/6.38)-AT884-((1.1*(10^-4)*(M884^0.75))/6.25), 0)</f>
        <v>6.1688974504806156E-2</v>
      </c>
      <c r="AV884">
        <f t="shared" si="385"/>
        <v>0</v>
      </c>
      <c r="AY884">
        <f t="shared" si="372"/>
        <v>2E-3</v>
      </c>
      <c r="BB884">
        <f t="shared" si="373"/>
        <v>0.24</v>
      </c>
    </row>
    <row r="885" spans="8:54" x14ac:dyDescent="0.2">
      <c r="H885" t="s">
        <v>268</v>
      </c>
      <c r="J885">
        <v>31</v>
      </c>
      <c r="K885">
        <v>0</v>
      </c>
      <c r="M885">
        <f>$BY$59</f>
        <v>390</v>
      </c>
      <c r="O885">
        <f>$BY$105</f>
        <v>-0.33</v>
      </c>
      <c r="P885">
        <f>$BZ$152</f>
        <v>660</v>
      </c>
      <c r="Q885">
        <f t="shared" si="358"/>
        <v>0.59090909090909094</v>
      </c>
      <c r="S885">
        <v>0</v>
      </c>
      <c r="T885">
        <v>0</v>
      </c>
      <c r="U885">
        <v>0</v>
      </c>
      <c r="V885">
        <v>0</v>
      </c>
      <c r="W885">
        <f t="shared" si="380"/>
        <v>0</v>
      </c>
      <c r="X885">
        <f t="shared" si="381"/>
        <v>1</v>
      </c>
      <c r="Y885">
        <f t="shared" si="365"/>
        <v>6.0328693160999993</v>
      </c>
      <c r="Z885">
        <f t="shared" si="390"/>
        <v>0.92044212724953012</v>
      </c>
      <c r="AC885">
        <f>$CA$269</f>
        <v>0.06</v>
      </c>
      <c r="AE885">
        <f>$CA$200</f>
        <v>0.45</v>
      </c>
      <c r="AF885">
        <f t="shared" si="383"/>
        <v>3.27464146477908</v>
      </c>
      <c r="AG885">
        <f t="shared" si="367"/>
        <v>0.19</v>
      </c>
      <c r="AH885">
        <f t="shared" si="368"/>
        <v>0.6784</v>
      </c>
      <c r="AI885">
        <f t="shared" si="388"/>
        <v>1E-3</v>
      </c>
      <c r="AK885">
        <f t="shared" si="387"/>
        <v>0.78</v>
      </c>
      <c r="AL885">
        <f t="shared" si="387"/>
        <v>99.998999999999995</v>
      </c>
      <c r="AM885">
        <f t="shared" si="387"/>
        <v>4.7000000000000002E-3</v>
      </c>
      <c r="AN885">
        <f t="shared" si="362"/>
        <v>3.2922878527044822E-6</v>
      </c>
      <c r="AO885">
        <f t="shared" si="369"/>
        <v>1.9837946372028188E-3</v>
      </c>
      <c r="AP885">
        <f t="shared" si="370"/>
        <v>1.9870869250555234E-3</v>
      </c>
      <c r="AQ885">
        <f t="shared" si="371"/>
        <v>0</v>
      </c>
      <c r="AS885">
        <f t="shared" si="389"/>
        <v>0</v>
      </c>
      <c r="AT885">
        <f t="shared" si="384"/>
        <v>-5.2398443993221903E-3</v>
      </c>
      <c r="AU885">
        <f t="shared" si="391"/>
        <v>6.1610807287374773E-2</v>
      </c>
      <c r="AV885">
        <f t="shared" si="385"/>
        <v>0</v>
      </c>
      <c r="AY885">
        <f t="shared" si="372"/>
        <v>2E-3</v>
      </c>
      <c r="BB885">
        <f t="shared" si="373"/>
        <v>0.24</v>
      </c>
    </row>
    <row r="886" spans="8:54" x14ac:dyDescent="0.2">
      <c r="H886" t="s">
        <v>269</v>
      </c>
      <c r="J886">
        <v>31</v>
      </c>
      <c r="K886">
        <v>25</v>
      </c>
      <c r="M886">
        <f>$BY$59</f>
        <v>390</v>
      </c>
      <c r="O886">
        <f>$BY$105</f>
        <v>-0.33</v>
      </c>
      <c r="P886">
        <f>$BZ$152</f>
        <v>660</v>
      </c>
      <c r="Q886">
        <f t="shared" si="358"/>
        <v>0.59090909090909094</v>
      </c>
      <c r="S886">
        <v>0</v>
      </c>
      <c r="T886">
        <v>0</v>
      </c>
      <c r="U886">
        <v>0</v>
      </c>
      <c r="V886">
        <v>0</v>
      </c>
      <c r="W886">
        <f t="shared" si="380"/>
        <v>0</v>
      </c>
      <c r="X886">
        <f t="shared" si="381"/>
        <v>1</v>
      </c>
      <c r="Y886">
        <f t="shared" si="365"/>
        <v>6.0328693160999993</v>
      </c>
      <c r="Z886">
        <f t="shared" si="390"/>
        <v>0.92044212724953012</v>
      </c>
      <c r="AC886">
        <f>$CA$269</f>
        <v>0.06</v>
      </c>
      <c r="AE886">
        <f>$CA$200</f>
        <v>0.45</v>
      </c>
      <c r="AF886">
        <f t="shared" si="383"/>
        <v>3.27464146477908</v>
      </c>
      <c r="AG886">
        <f t="shared" si="367"/>
        <v>0.19</v>
      </c>
      <c r="AH886">
        <f t="shared" si="368"/>
        <v>0.6784</v>
      </c>
      <c r="AI886">
        <f t="shared" si="388"/>
        <v>1E-3</v>
      </c>
      <c r="AK886">
        <f t="shared" si="387"/>
        <v>0.78</v>
      </c>
      <c r="AL886">
        <f t="shared" si="387"/>
        <v>99.998999999999995</v>
      </c>
      <c r="AM886">
        <f t="shared" si="387"/>
        <v>4.7000000000000002E-3</v>
      </c>
      <c r="AN886">
        <f t="shared" si="362"/>
        <v>3.2922878527044822E-6</v>
      </c>
      <c r="AO886">
        <f t="shared" si="369"/>
        <v>1.9837946372028188E-3</v>
      </c>
      <c r="AP886">
        <f t="shared" si="370"/>
        <v>1.9870869250555234E-3</v>
      </c>
      <c r="AQ886">
        <f t="shared" si="371"/>
        <v>1.5399923669180307</v>
      </c>
      <c r="AS886">
        <f t="shared" si="389"/>
        <v>0</v>
      </c>
      <c r="AT886">
        <f t="shared" si="384"/>
        <v>-5.2398443993221903E-3</v>
      </c>
      <c r="AU886">
        <f t="shared" si="391"/>
        <v>6.1610807287374773E-2</v>
      </c>
      <c r="AV886">
        <f t="shared" si="385"/>
        <v>47.748375647715449</v>
      </c>
      <c r="AY886">
        <f t="shared" si="372"/>
        <v>2E-3</v>
      </c>
      <c r="BB886">
        <f t="shared" si="373"/>
        <v>0.24</v>
      </c>
    </row>
    <row r="887" spans="8:54" x14ac:dyDescent="0.2">
      <c r="H887" t="s">
        <v>270</v>
      </c>
      <c r="J887">
        <v>30</v>
      </c>
      <c r="K887">
        <v>30</v>
      </c>
      <c r="M887">
        <f>$BY$56</f>
        <v>370</v>
      </c>
      <c r="O887">
        <f>$BY102</f>
        <v>-0.22</v>
      </c>
      <c r="P887">
        <f>$BZ$149</f>
        <v>660</v>
      </c>
      <c r="Q887">
        <f t="shared" si="358"/>
        <v>0.56060606060606055</v>
      </c>
      <c r="S887">
        <v>0</v>
      </c>
      <c r="T887">
        <v>0</v>
      </c>
      <c r="U887">
        <v>0</v>
      </c>
      <c r="V887">
        <v>0</v>
      </c>
      <c r="W887">
        <f t="shared" si="380"/>
        <v>0</v>
      </c>
      <c r="X887">
        <f t="shared" si="381"/>
        <v>1</v>
      </c>
      <c r="Y887">
        <f t="shared" si="365"/>
        <v>5.9514529935999985</v>
      </c>
      <c r="Z887">
        <f t="shared" si="390"/>
        <v>0.94551876630523668</v>
      </c>
      <c r="AC887">
        <f>$CA$266</f>
        <v>0.04</v>
      </c>
      <c r="AE887">
        <f>$CA$197</f>
        <v>0.4</v>
      </c>
      <c r="AF887">
        <f t="shared" si="383"/>
        <v>3.5042155226316791</v>
      </c>
      <c r="AG887">
        <f t="shared" si="367"/>
        <v>0.19</v>
      </c>
      <c r="AH887">
        <f t="shared" si="368"/>
        <v>0.6784</v>
      </c>
      <c r="AI887">
        <f t="shared" si="388"/>
        <v>1E-3</v>
      </c>
      <c r="AK887">
        <f t="shared" si="387"/>
        <v>0.78</v>
      </c>
      <c r="AL887">
        <f t="shared" si="387"/>
        <v>99.998999999999995</v>
      </c>
      <c r="AM887">
        <f t="shared" si="387"/>
        <v>4.7000000000000002E-3</v>
      </c>
      <c r="AN887">
        <f t="shared" si="362"/>
        <v>3.5230990392400375E-6</v>
      </c>
      <c r="AO887">
        <f t="shared" si="369"/>
        <v>2.1228717818940167E-3</v>
      </c>
      <c r="AP887">
        <f t="shared" si="370"/>
        <v>2.1263948809332567E-3</v>
      </c>
      <c r="AQ887">
        <f t="shared" si="371"/>
        <v>1.9137553928399311</v>
      </c>
      <c r="AS887">
        <f t="shared" si="389"/>
        <v>0</v>
      </c>
      <c r="AT887">
        <f t="shared" si="384"/>
        <v>-3.6590897797626415E-3</v>
      </c>
      <c r="AU887">
        <f t="shared" si="391"/>
        <v>4.026360260745087E-2</v>
      </c>
      <c r="AV887">
        <f t="shared" si="385"/>
        <v>36.237242346705784</v>
      </c>
      <c r="AY887">
        <f t="shared" si="372"/>
        <v>2E-3</v>
      </c>
      <c r="BB887">
        <f t="shared" si="373"/>
        <v>0.24</v>
      </c>
    </row>
    <row r="888" spans="8:54" x14ac:dyDescent="0.2">
      <c r="H888" t="s">
        <v>271</v>
      </c>
      <c r="J888">
        <v>31</v>
      </c>
      <c r="K888">
        <v>35</v>
      </c>
      <c r="M888">
        <f>$BY$56</f>
        <v>370</v>
      </c>
      <c r="O888">
        <f>$BY103</f>
        <v>0.33</v>
      </c>
      <c r="P888">
        <f>$BZ$149</f>
        <v>660</v>
      </c>
      <c r="Q888">
        <f t="shared" si="358"/>
        <v>0.56060606060606055</v>
      </c>
      <c r="S888">
        <v>0</v>
      </c>
      <c r="T888">
        <v>0</v>
      </c>
      <c r="U888">
        <v>0</v>
      </c>
      <c r="V888">
        <v>0</v>
      </c>
      <c r="W888">
        <f t="shared" si="380"/>
        <v>0</v>
      </c>
      <c r="X888">
        <f t="shared" si="381"/>
        <v>1</v>
      </c>
      <c r="Y888">
        <f t="shared" si="365"/>
        <v>6.8267760961000006</v>
      </c>
      <c r="Z888">
        <f t="shared" si="390"/>
        <v>1.0845830285760276</v>
      </c>
      <c r="AC888">
        <f>$CA$266</f>
        <v>0.04</v>
      </c>
      <c r="AE888">
        <f>$CA$197</f>
        <v>0.4</v>
      </c>
      <c r="AF888">
        <f t="shared" si="383"/>
        <v>4.0196057653836812</v>
      </c>
      <c r="AG888">
        <f t="shared" si="367"/>
        <v>0.19</v>
      </c>
      <c r="AH888">
        <f t="shared" si="368"/>
        <v>0.6784</v>
      </c>
      <c r="AI888">
        <f t="shared" si="388"/>
        <v>1E-3</v>
      </c>
      <c r="AK888">
        <f t="shared" si="387"/>
        <v>0.78</v>
      </c>
      <c r="AL888">
        <f t="shared" si="387"/>
        <v>99.998999999999995</v>
      </c>
      <c r="AM888">
        <f t="shared" si="387"/>
        <v>4.7000000000000002E-3</v>
      </c>
      <c r="AN888">
        <f t="shared" si="362"/>
        <v>4.0412666169321807E-6</v>
      </c>
      <c r="AO888">
        <f t="shared" si="369"/>
        <v>2.435097841032084E-3</v>
      </c>
      <c r="AP888">
        <f t="shared" si="370"/>
        <v>2.4391391076490163E-3</v>
      </c>
      <c r="AQ888">
        <f t="shared" si="371"/>
        <v>2.6464659317991828</v>
      </c>
      <c r="AS888">
        <f t="shared" si="389"/>
        <v>0</v>
      </c>
      <c r="AT888">
        <f t="shared" si="384"/>
        <v>5.4737110744096044E-3</v>
      </c>
      <c r="AU888">
        <f t="shared" si="391"/>
        <v>3.6732869609278643E-2</v>
      </c>
      <c r="AV888">
        <f t="shared" si="385"/>
        <v>39.855163526067329</v>
      </c>
      <c r="AY888">
        <f t="shared" si="372"/>
        <v>2E-3</v>
      </c>
      <c r="BB888">
        <f t="shared" si="373"/>
        <v>0.24</v>
      </c>
    </row>
    <row r="889" spans="8:54" x14ac:dyDescent="0.2">
      <c r="H889" t="s">
        <v>272</v>
      </c>
      <c r="J889">
        <v>30</v>
      </c>
      <c r="K889">
        <v>40</v>
      </c>
      <c r="M889">
        <f>$BY$56</f>
        <v>370</v>
      </c>
      <c r="O889">
        <f>$BY104</f>
        <v>0.22</v>
      </c>
      <c r="P889">
        <f>$BZ$149</f>
        <v>660</v>
      </c>
      <c r="Q889">
        <f t="shared" si="358"/>
        <v>0.56060606060606055</v>
      </c>
      <c r="S889">
        <v>0</v>
      </c>
      <c r="T889">
        <v>0</v>
      </c>
      <c r="U889">
        <v>0</v>
      </c>
      <c r="V889">
        <v>0</v>
      </c>
      <c r="W889">
        <f t="shared" si="380"/>
        <v>0</v>
      </c>
      <c r="X889">
        <f t="shared" si="381"/>
        <v>1</v>
      </c>
      <c r="Y889">
        <f t="shared" si="365"/>
        <v>6.6469089855999997</v>
      </c>
      <c r="Z889">
        <f t="shared" si="390"/>
        <v>1.056007195312834</v>
      </c>
      <c r="AC889">
        <f>$CA$266</f>
        <v>0.04</v>
      </c>
      <c r="AE889">
        <f>$CA$197</f>
        <v>0.4</v>
      </c>
      <c r="AF889">
        <f t="shared" si="383"/>
        <v>3.9137000107212803</v>
      </c>
      <c r="AG889">
        <f t="shared" si="367"/>
        <v>0.19</v>
      </c>
      <c r="AH889">
        <f t="shared" si="368"/>
        <v>0.6784</v>
      </c>
      <c r="AI889">
        <f t="shared" si="388"/>
        <v>1E-3</v>
      </c>
      <c r="AK889">
        <f t="shared" si="387"/>
        <v>0.78</v>
      </c>
      <c r="AL889">
        <f t="shared" si="387"/>
        <v>99.998999999999995</v>
      </c>
      <c r="AM889">
        <f t="shared" si="387"/>
        <v>4.7000000000000002E-3</v>
      </c>
      <c r="AN889">
        <f t="shared" si="362"/>
        <v>3.9347901573390552E-6</v>
      </c>
      <c r="AO889">
        <f t="shared" si="369"/>
        <v>2.3709395903020723E-3</v>
      </c>
      <c r="AP889">
        <f t="shared" si="370"/>
        <v>2.3748743804594113E-3</v>
      </c>
      <c r="AQ889">
        <f t="shared" si="371"/>
        <v>2.8498492565512934</v>
      </c>
      <c r="AS889">
        <f t="shared" si="389"/>
        <v>0</v>
      </c>
      <c r="AT889">
        <f t="shared" si="384"/>
        <v>3.6511851148465098E-3</v>
      </c>
      <c r="AU889">
        <f t="shared" si="391"/>
        <v>3.7404246061641735E-2</v>
      </c>
      <c r="AV889">
        <f t="shared" si="385"/>
        <v>44.88509527397008</v>
      </c>
      <c r="AY889">
        <f t="shared" si="372"/>
        <v>2E-3</v>
      </c>
      <c r="BB889">
        <f t="shared" si="373"/>
        <v>0.24</v>
      </c>
    </row>
    <row r="890" spans="8:54" x14ac:dyDescent="0.2">
      <c r="H890" t="s">
        <v>273</v>
      </c>
      <c r="J890">
        <v>31</v>
      </c>
      <c r="K890">
        <v>42</v>
      </c>
      <c r="M890">
        <f>$BY$57</f>
        <v>400</v>
      </c>
      <c r="O890">
        <f>$BY$103</f>
        <v>0.33</v>
      </c>
      <c r="P890">
        <f>$BZ$150</f>
        <v>660</v>
      </c>
      <c r="Q890">
        <f t="shared" si="358"/>
        <v>0.60606060606060608</v>
      </c>
      <c r="S890">
        <v>0</v>
      </c>
      <c r="T890">
        <v>0</v>
      </c>
      <c r="U890">
        <v>0</v>
      </c>
      <c r="V890">
        <v>0</v>
      </c>
      <c r="W890">
        <f t="shared" si="380"/>
        <v>0</v>
      </c>
      <c r="X890">
        <f t="shared" si="381"/>
        <v>1</v>
      </c>
      <c r="Y890">
        <f t="shared" si="365"/>
        <v>7.230452102500001</v>
      </c>
      <c r="Z890">
        <f t="shared" si="390"/>
        <v>1.0820425984608422</v>
      </c>
      <c r="AC890">
        <f>$CA$267</f>
        <v>0.12</v>
      </c>
      <c r="AE890">
        <f>$CA$198</f>
        <v>0.65</v>
      </c>
      <c r="AF890">
        <f t="shared" si="383"/>
        <v>2.594286214377</v>
      </c>
      <c r="AG890">
        <f t="shared" si="367"/>
        <v>0.19</v>
      </c>
      <c r="AH890">
        <f t="shared" si="368"/>
        <v>0.6784</v>
      </c>
      <c r="AI890">
        <f t="shared" si="388"/>
        <v>1E-3</v>
      </c>
      <c r="AK890">
        <f t="shared" si="387"/>
        <v>0.78</v>
      </c>
      <c r="AL890">
        <f t="shared" si="387"/>
        <v>99.998999999999995</v>
      </c>
      <c r="AM890">
        <f t="shared" si="387"/>
        <v>4.7000000000000002E-3</v>
      </c>
      <c r="AN890">
        <f t="shared" si="362"/>
        <v>2.608266303929035E-6</v>
      </c>
      <c r="AO890">
        <f t="shared" si="369"/>
        <v>1.5716319281987407E-3</v>
      </c>
      <c r="AP890">
        <f t="shared" si="370"/>
        <v>1.5742401945026698E-3</v>
      </c>
      <c r="AQ890">
        <f t="shared" si="371"/>
        <v>2.0496607332424759</v>
      </c>
      <c r="AS890">
        <f t="shared" si="389"/>
        <v>0</v>
      </c>
      <c r="AT890">
        <f t="shared" si="384"/>
        <v>5.1083772790481274E-3</v>
      </c>
      <c r="AU890">
        <f t="shared" si="391"/>
        <v>0.13214211123279204</v>
      </c>
      <c r="AV890">
        <f t="shared" si="385"/>
        <v>172.04902882509523</v>
      </c>
      <c r="AY890">
        <f t="shared" si="372"/>
        <v>2E-3</v>
      </c>
      <c r="BB890">
        <f t="shared" si="373"/>
        <v>0.24</v>
      </c>
    </row>
    <row r="901" spans="1:64" x14ac:dyDescent="0.2">
      <c r="A901" t="s">
        <v>288</v>
      </c>
      <c r="B901" t="s">
        <v>283</v>
      </c>
      <c r="C901" t="s">
        <v>202</v>
      </c>
      <c r="D901" t="s">
        <v>202</v>
      </c>
      <c r="E901" t="s">
        <v>178</v>
      </c>
      <c r="F901" t="s">
        <v>190</v>
      </c>
      <c r="G901" t="s">
        <v>159</v>
      </c>
      <c r="H901" t="s">
        <v>262</v>
      </c>
      <c r="J901">
        <v>31</v>
      </c>
      <c r="K901">
        <v>100</v>
      </c>
      <c r="M901">
        <f>$BY$21</f>
        <v>150</v>
      </c>
      <c r="O901">
        <f>$BY$67</f>
        <v>0.77</v>
      </c>
      <c r="P901">
        <f>$BY$114</f>
        <v>770</v>
      </c>
      <c r="Q901">
        <f t="shared" ref="Q901:Q912" si="392">M901 / P901</f>
        <v>0.19480519480519481</v>
      </c>
      <c r="S901">
        <v>0</v>
      </c>
      <c r="T901">
        <v>0</v>
      </c>
      <c r="U901">
        <f>20/K901</f>
        <v>0.2</v>
      </c>
      <c r="V901">
        <f>60/K901</f>
        <v>0.6</v>
      </c>
      <c r="W901">
        <f t="shared" ref="W901:W912" si="393">S901*B$773+T901*B$774</f>
        <v>0</v>
      </c>
      <c r="X901">
        <f t="shared" ref="X901:X912" si="394">(S901 * $BX$3 +T901* $BX$4) + (1 -S901 -T901 )</f>
        <v>1</v>
      </c>
      <c r="Y901">
        <f t="shared" ref="Y901:Y912" si="395">(1.185 + 0.00454 * M901- 0.0000026 * M901 ^2 + 0.315 * O901)^2 * X901</f>
        <v>4.202705002500001</v>
      </c>
      <c r="Z901">
        <f t="shared" ref="Z901:Z910" si="396">Y901 / ((1.185 + 0.00454 * M901 - 0.0000026 * M901 ^ 2) ^ 2 * X901)</f>
        <v>1.2863889326974398</v>
      </c>
      <c r="AC901">
        <f>$CA$231</f>
        <v>0.12</v>
      </c>
      <c r="AE901">
        <f>$CA$162</f>
        <v>0.65</v>
      </c>
      <c r="AF901">
        <f t="shared" ref="AF901:AF912" si="397">(Y901 * (1 - AE901) + (0.04 * Y901)) * ( 1 - $CJ$3 )</f>
        <v>1.5079305548970003</v>
      </c>
      <c r="AG901">
        <f>$CJ$4</f>
        <v>0.19</v>
      </c>
      <c r="AH901">
        <f>$CJ$5</f>
        <v>0.6784</v>
      </c>
      <c r="AI901">
        <f>IF(F901="yes",0,VLOOKUP(C901,$BQ$211:$BS$225,3,FALSE))</f>
        <v>1E-3</v>
      </c>
      <c r="AJ901">
        <v>21</v>
      </c>
      <c r="AK901">
        <f>VLOOKUP(AJ901,CK35:CL53, 2,FALSE)</f>
        <v>0.78</v>
      </c>
      <c r="AL901">
        <f>IF(F901="yes",100,VLOOKUP(C901,$BQ$211:$BS$225,2,FALSE))</f>
        <v>99.998999999999995</v>
      </c>
      <c r="AM901">
        <f>VLOOKUP(C901,$BQ$211:$BU$225,5,FALSE)</f>
        <v>4.7000000000000002E-3</v>
      </c>
      <c r="AN901">
        <f t="shared" ref="AN901:AN912" si="398">AF901 * AG901 * AI901/100 * AK901 * AH901</f>
        <v>1.5160564910712291E-6</v>
      </c>
      <c r="AO901">
        <f t="shared" ref="AO901:AO912" si="399">AF901 * AG901 * AL901/100 * AM901 * AH901</f>
        <v>9.1351208376662797E-4</v>
      </c>
      <c r="AP901">
        <f t="shared" ref="AP901:AP912" si="400">AN901+AO901</f>
        <v>9.1502814025769925E-4</v>
      </c>
      <c r="AQ901">
        <f t="shared" ref="AQ901:AQ912" si="401">K901*AP901*J901</f>
        <v>2.8365872347988677</v>
      </c>
      <c r="AR901">
        <f>SUM(AQ901:AQ912)*10^-3</f>
        <v>3.4800657429429477E-2</v>
      </c>
      <c r="AS901">
        <f>U901*$B$773+V901*$B$774</f>
        <v>3.6</v>
      </c>
      <c r="AT901">
        <f t="shared" ref="AT901:AT912" si="402" xml:space="preserve"> (0.032*W901/6.38) + (((0.212 - 0.008*(Z901-2) - (0.14 - 0.008*(Z901 - 2))/(1+EXP(-6*(Q901-0.4))))*O901*0.92)/6.25)</f>
        <v>2.0943935872830468E-2</v>
      </c>
      <c r="AU901">
        <f t="shared" ref="AU901:AU912" si="403">MAX((Y901*AC901/6.25)+(0.032*AS901/6.38)-AT901-((1.1*(10^-4)*(M901^0.75))/6.25), 0)</f>
        <v>7.7050062234017475E-2</v>
      </c>
      <c r="AV901">
        <f t="shared" ref="AV901:AV912" si="404">K901*AU901*J901</f>
        <v>238.85519292545419</v>
      </c>
      <c r="AW901">
        <f>SUM(AV901:AV1020)</f>
        <v>1410.523015783991</v>
      </c>
      <c r="AX901" t="s">
        <v>258</v>
      </c>
      <c r="AY901">
        <f>VLOOKUP(AX$771, $CK$18:$CM$27, 2, FALSE)</f>
        <v>2E-3</v>
      </c>
      <c r="AZ901">
        <f>$CJ$6</f>
        <v>0.21</v>
      </c>
      <c r="BA901">
        <f>AW901*AZ901</f>
        <v>296.2098333146381</v>
      </c>
      <c r="BB901">
        <f>$CJ$7</f>
        <v>0.24</v>
      </c>
      <c r="BC901" t="s">
        <v>161</v>
      </c>
      <c r="BD901">
        <f>IF(BC901="yes",1,0)</f>
        <v>1</v>
      </c>
      <c r="BE901">
        <f>AW901 * BD901 * BB901</f>
        <v>338.52552378815784</v>
      </c>
      <c r="BF901">
        <f>$CJ$8</f>
        <v>1.57</v>
      </c>
      <c r="BG901" t="s">
        <v>183</v>
      </c>
      <c r="BH901">
        <f>VLOOKUP(BG901, $BQ$274:$BR$286, 2, FALSE)</f>
        <v>1.8E-3</v>
      </c>
      <c r="BI901">
        <f>$CJ$9</f>
        <v>1.0999999999999999E-2</v>
      </c>
      <c r="BJ901" s="7">
        <f>(AW901 * AY901 * BF901) * 10^-3</f>
        <v>4.4290422695617317E-3</v>
      </c>
      <c r="BK901" s="7">
        <f>BA901 * BH901 * BF901 * 10^-3</f>
        <v>8.3708898894716737E-4</v>
      </c>
      <c r="BL901" s="7">
        <f>BE901 * BI901 * BF901 * 10^-3</f>
        <v>5.8463357958214862E-3</v>
      </c>
    </row>
    <row r="902" spans="1:64" x14ac:dyDescent="0.2">
      <c r="G902">
        <v>1</v>
      </c>
      <c r="H902" t="s">
        <v>263</v>
      </c>
      <c r="J902">
        <v>29</v>
      </c>
      <c r="K902">
        <v>90</v>
      </c>
      <c r="M902">
        <f>$BY$21</f>
        <v>150</v>
      </c>
      <c r="O902">
        <f>$BY$67</f>
        <v>0.77</v>
      </c>
      <c r="P902">
        <f>$BY$114</f>
        <v>770</v>
      </c>
      <c r="Q902">
        <f t="shared" si="392"/>
        <v>0.19480519480519481</v>
      </c>
      <c r="S902">
        <v>0</v>
      </c>
      <c r="T902">
        <v>0</v>
      </c>
      <c r="U902">
        <v>0</v>
      </c>
      <c r="V902">
        <f>60/K902</f>
        <v>0.66666666666666663</v>
      </c>
      <c r="W902">
        <f t="shared" si="393"/>
        <v>0</v>
      </c>
      <c r="X902">
        <f t="shared" si="394"/>
        <v>1</v>
      </c>
      <c r="Y902">
        <f t="shared" si="395"/>
        <v>4.202705002500001</v>
      </c>
      <c r="Z902">
        <f t="shared" si="396"/>
        <v>1.2863889326974398</v>
      </c>
      <c r="AC902">
        <f>$CA$231</f>
        <v>0.12</v>
      </c>
      <c r="AD902" s="1"/>
      <c r="AE902">
        <f>$CA$162</f>
        <v>0.65</v>
      </c>
      <c r="AF902">
        <f t="shared" si="397"/>
        <v>1.5079305548970003</v>
      </c>
      <c r="AG902">
        <f t="shared" ref="AG902:AG912" si="405">$CJ$4</f>
        <v>0.19</v>
      </c>
      <c r="AH902">
        <f t="shared" ref="AH902:AH912" si="406">$CJ$5</f>
        <v>0.6784</v>
      </c>
      <c r="AI902">
        <f>AI901</f>
        <v>1E-3</v>
      </c>
      <c r="AK902">
        <f>AK901</f>
        <v>0.78</v>
      </c>
      <c r="AL902">
        <f>AL901</f>
        <v>99.998999999999995</v>
      </c>
      <c r="AM902">
        <f>AM901</f>
        <v>4.7000000000000002E-3</v>
      </c>
      <c r="AN902">
        <f t="shared" si="398"/>
        <v>1.5160564910712291E-6</v>
      </c>
      <c r="AO902">
        <f t="shared" si="399"/>
        <v>9.1351208376662797E-4</v>
      </c>
      <c r="AP902">
        <f t="shared" si="400"/>
        <v>9.1502814025769925E-4</v>
      </c>
      <c r="AQ902">
        <f t="shared" si="401"/>
        <v>2.3882234460725953</v>
      </c>
      <c r="AS902">
        <f t="shared" ref="AS902:AS912" si="407">U902*$B$773+V902*$B$774</f>
        <v>2.6666666666666665</v>
      </c>
      <c r="AT902">
        <f t="shared" si="402"/>
        <v>2.0943935872830468E-2</v>
      </c>
      <c r="AU902">
        <f t="shared" si="403"/>
        <v>7.2368766518238994E-2</v>
      </c>
      <c r="AV902">
        <f t="shared" si="404"/>
        <v>188.88248061260379</v>
      </c>
      <c r="AY902">
        <f t="shared" ref="AY902:AY912" si="408">VLOOKUP(AX$771, $CK$18:$CM$27, 2, FALSE)</f>
        <v>2E-3</v>
      </c>
      <c r="BB902">
        <f t="shared" ref="BB902:BB912" si="409">$CJ$7</f>
        <v>0.24</v>
      </c>
    </row>
    <row r="903" spans="1:64" x14ac:dyDescent="0.2">
      <c r="A903" t="s">
        <v>222</v>
      </c>
      <c r="B903" t="str">
        <f>IF(B901="Hereford or Shorthorn",$BS$3,$BS$4)</f>
        <v>Hereford or Shorthorn breeds</v>
      </c>
      <c r="H903" t="s">
        <v>264</v>
      </c>
      <c r="J903">
        <v>31</v>
      </c>
      <c r="K903">
        <v>80</v>
      </c>
      <c r="M903">
        <f>$BY$22</f>
        <v>230</v>
      </c>
      <c r="O903">
        <f>$BY$68</f>
        <v>0.88</v>
      </c>
      <c r="P903">
        <f>$BY$115</f>
        <v>770</v>
      </c>
      <c r="Q903">
        <f t="shared" si="392"/>
        <v>0.29870129870129869</v>
      </c>
      <c r="S903">
        <v>0</v>
      </c>
      <c r="T903">
        <v>0</v>
      </c>
      <c r="U903">
        <v>0</v>
      </c>
      <c r="V903">
        <f>40/K903</f>
        <v>0.5</v>
      </c>
      <c r="W903">
        <f t="shared" si="393"/>
        <v>0</v>
      </c>
      <c r="X903">
        <f t="shared" si="394"/>
        <v>1</v>
      </c>
      <c r="Y903">
        <f t="shared" si="395"/>
        <v>5.611497699600001</v>
      </c>
      <c r="Z903">
        <f t="shared" si="396"/>
        <v>1.2826158627950293</v>
      </c>
      <c r="AC903">
        <f>$CA$232</f>
        <v>0.09</v>
      </c>
      <c r="AE903">
        <f>$CA$163</f>
        <v>0.55000000000000004</v>
      </c>
      <c r="AF903">
        <f t="shared" si="397"/>
        <v>2.5296631629796802</v>
      </c>
      <c r="AG903">
        <f t="shared" si="405"/>
        <v>0.19</v>
      </c>
      <c r="AH903">
        <f t="shared" si="406"/>
        <v>0.6784</v>
      </c>
      <c r="AI903">
        <f>AI901</f>
        <v>1E-3</v>
      </c>
      <c r="AK903">
        <f>AK901</f>
        <v>0.78</v>
      </c>
      <c r="AL903">
        <f>AL901</f>
        <v>99.998999999999995</v>
      </c>
      <c r="AM903">
        <f>AM901</f>
        <v>4.7000000000000002E-3</v>
      </c>
      <c r="AN903">
        <f t="shared" si="398"/>
        <v>2.543295011832345E-6</v>
      </c>
      <c r="AO903">
        <f t="shared" si="399"/>
        <v>1.5324829513777519E-3</v>
      </c>
      <c r="AP903">
        <f t="shared" si="400"/>
        <v>1.5350262463895842E-3</v>
      </c>
      <c r="AQ903">
        <f t="shared" si="401"/>
        <v>3.806865091046169</v>
      </c>
      <c r="AS903">
        <f t="shared" si="407"/>
        <v>2</v>
      </c>
      <c r="AT903">
        <f t="shared" si="402"/>
        <v>2.1549203486061676E-2</v>
      </c>
      <c r="AU903">
        <f t="shared" si="403"/>
        <v>6.8248249524002103E-2</v>
      </c>
      <c r="AV903">
        <f t="shared" si="404"/>
        <v>169.25565881952522</v>
      </c>
      <c r="AY903">
        <f t="shared" si="408"/>
        <v>2E-3</v>
      </c>
      <c r="BB903">
        <f t="shared" si="409"/>
        <v>0.24</v>
      </c>
    </row>
    <row r="904" spans="1:64" x14ac:dyDescent="0.2">
      <c r="A904" t="s">
        <v>223</v>
      </c>
      <c r="B904">
        <f>IF(B901="Hereford or Shorthorn",$BT$3,$BT$4)</f>
        <v>6</v>
      </c>
      <c r="H904" t="s">
        <v>265</v>
      </c>
      <c r="J904">
        <v>30</v>
      </c>
      <c r="K904">
        <v>80</v>
      </c>
      <c r="M904">
        <f t="shared" ref="M904:M905" si="410">$BY$22</f>
        <v>230</v>
      </c>
      <c r="O904">
        <f t="shared" ref="O904:O905" si="411">$BY$68</f>
        <v>0.88</v>
      </c>
      <c r="P904">
        <f t="shared" ref="P904:P905" si="412">$BY$115</f>
        <v>770</v>
      </c>
      <c r="Q904">
        <f t="shared" si="392"/>
        <v>0.29870129870129869</v>
      </c>
      <c r="S904">
        <v>0</v>
      </c>
      <c r="T904">
        <v>0</v>
      </c>
      <c r="U904">
        <v>0</v>
      </c>
      <c r="V904">
        <f>20/K904</f>
        <v>0.25</v>
      </c>
      <c r="W904">
        <f t="shared" si="393"/>
        <v>0</v>
      </c>
      <c r="X904">
        <f t="shared" si="394"/>
        <v>1</v>
      </c>
      <c r="Y904">
        <f t="shared" si="395"/>
        <v>5.611497699600001</v>
      </c>
      <c r="Z904">
        <f t="shared" si="396"/>
        <v>1.2826158627950293</v>
      </c>
      <c r="AC904">
        <f t="shared" ref="AC904:AC905" si="413">$CA$232</f>
        <v>0.09</v>
      </c>
      <c r="AE904">
        <f t="shared" ref="AE904:AE905" si="414">$CA$163</f>
        <v>0.55000000000000004</v>
      </c>
      <c r="AF904">
        <f t="shared" si="397"/>
        <v>2.5296631629796802</v>
      </c>
      <c r="AG904">
        <f t="shared" si="405"/>
        <v>0.19</v>
      </c>
      <c r="AH904">
        <f t="shared" si="406"/>
        <v>0.6784</v>
      </c>
      <c r="AI904">
        <f>AI901</f>
        <v>1E-3</v>
      </c>
      <c r="AK904">
        <f>AK901</f>
        <v>0.78</v>
      </c>
      <c r="AL904">
        <f>AL901</f>
        <v>99.998999999999995</v>
      </c>
      <c r="AM904">
        <f>AM901</f>
        <v>4.7000000000000002E-3</v>
      </c>
      <c r="AN904">
        <f t="shared" si="398"/>
        <v>2.543295011832345E-6</v>
      </c>
      <c r="AO904">
        <f t="shared" si="399"/>
        <v>1.5324829513777519E-3</v>
      </c>
      <c r="AP904">
        <f t="shared" si="400"/>
        <v>1.5350262463895842E-3</v>
      </c>
      <c r="AQ904">
        <f t="shared" si="401"/>
        <v>3.684062991335002</v>
      </c>
      <c r="AS904">
        <f t="shared" si="407"/>
        <v>1</v>
      </c>
      <c r="AT904">
        <f t="shared" si="402"/>
        <v>2.1549203486061676E-2</v>
      </c>
      <c r="AU904">
        <f t="shared" si="403"/>
        <v>6.3232575542810879E-2</v>
      </c>
      <c r="AV904">
        <f t="shared" si="404"/>
        <v>151.7581813027461</v>
      </c>
      <c r="AY904">
        <f t="shared" si="408"/>
        <v>2E-3</v>
      </c>
      <c r="BB904">
        <f t="shared" si="409"/>
        <v>0.24</v>
      </c>
    </row>
    <row r="905" spans="1:64" x14ac:dyDescent="0.2">
      <c r="H905" t="s">
        <v>266</v>
      </c>
      <c r="J905">
        <v>31</v>
      </c>
      <c r="K905">
        <v>75</v>
      </c>
      <c r="M905">
        <f t="shared" si="410"/>
        <v>230</v>
      </c>
      <c r="O905">
        <f t="shared" si="411"/>
        <v>0.88</v>
      </c>
      <c r="P905">
        <f t="shared" si="412"/>
        <v>770</v>
      </c>
      <c r="Q905">
        <f t="shared" si="392"/>
        <v>0.29870129870129869</v>
      </c>
      <c r="S905">
        <v>0</v>
      </c>
      <c r="T905">
        <v>0</v>
      </c>
      <c r="U905">
        <v>0</v>
      </c>
      <c r="V905">
        <v>0</v>
      </c>
      <c r="W905">
        <f t="shared" si="393"/>
        <v>0</v>
      </c>
      <c r="X905">
        <f t="shared" si="394"/>
        <v>1</v>
      </c>
      <c r="Y905">
        <f t="shared" si="395"/>
        <v>5.611497699600001</v>
      </c>
      <c r="Z905">
        <f t="shared" si="396"/>
        <v>1.2826158627950293</v>
      </c>
      <c r="AC905">
        <f t="shared" si="413"/>
        <v>0.09</v>
      </c>
      <c r="AE905">
        <f t="shared" si="414"/>
        <v>0.55000000000000004</v>
      </c>
      <c r="AF905">
        <f t="shared" si="397"/>
        <v>2.5296631629796802</v>
      </c>
      <c r="AG905">
        <f t="shared" si="405"/>
        <v>0.19</v>
      </c>
      <c r="AH905">
        <f t="shared" si="406"/>
        <v>0.6784</v>
      </c>
      <c r="AI905">
        <f>AI901</f>
        <v>1E-3</v>
      </c>
      <c r="AK905">
        <f>AK901</f>
        <v>0.78</v>
      </c>
      <c r="AL905">
        <f>AL901</f>
        <v>99.998999999999995</v>
      </c>
      <c r="AM905">
        <f>AM901</f>
        <v>4.7000000000000002E-3</v>
      </c>
      <c r="AN905">
        <f t="shared" si="398"/>
        <v>2.543295011832345E-6</v>
      </c>
      <c r="AO905">
        <f t="shared" si="399"/>
        <v>1.5324829513777519E-3</v>
      </c>
      <c r="AP905">
        <f t="shared" si="400"/>
        <v>1.5350262463895842E-3</v>
      </c>
      <c r="AQ905">
        <f t="shared" si="401"/>
        <v>3.5689360228557834</v>
      </c>
      <c r="AS905">
        <f t="shared" si="407"/>
        <v>0</v>
      </c>
      <c r="AT905">
        <f t="shared" si="402"/>
        <v>2.1549203486061676E-2</v>
      </c>
      <c r="AU905">
        <f t="shared" si="403"/>
        <v>5.8216901561619655E-2</v>
      </c>
      <c r="AV905">
        <f t="shared" si="404"/>
        <v>135.3542961307657</v>
      </c>
      <c r="AY905">
        <f t="shared" si="408"/>
        <v>2E-3</v>
      </c>
      <c r="BB905">
        <f t="shared" si="409"/>
        <v>0.24</v>
      </c>
    </row>
    <row r="906" spans="1:64" x14ac:dyDescent="0.2">
      <c r="A906" t="s">
        <v>167</v>
      </c>
      <c r="H906" t="s">
        <v>267</v>
      </c>
      <c r="J906">
        <v>30</v>
      </c>
      <c r="K906">
        <v>70</v>
      </c>
      <c r="L906" s="1"/>
      <c r="M906">
        <f t="shared" ref="M906:M908" si="415">$BY$23</f>
        <v>250</v>
      </c>
      <c r="O906">
        <f>$BY$69</f>
        <v>0.22</v>
      </c>
      <c r="P906">
        <f>$BY$116</f>
        <v>770</v>
      </c>
      <c r="Q906">
        <f t="shared" si="392"/>
        <v>0.32467532467532467</v>
      </c>
      <c r="S906">
        <v>0</v>
      </c>
      <c r="T906">
        <v>0</v>
      </c>
      <c r="U906">
        <v>0</v>
      </c>
      <c r="V906">
        <v>0</v>
      </c>
      <c r="W906">
        <f t="shared" si="393"/>
        <v>0</v>
      </c>
      <c r="X906">
        <f t="shared" si="394"/>
        <v>1</v>
      </c>
      <c r="Y906">
        <f t="shared" si="395"/>
        <v>4.9586382400000018</v>
      </c>
      <c r="Z906">
        <f t="shared" si="396"/>
        <v>1.0652727468517085</v>
      </c>
      <c r="AC906">
        <f>$CA$233</f>
        <v>0.06</v>
      </c>
      <c r="AE906">
        <f>$CA$164</f>
        <v>0.45</v>
      </c>
      <c r="AF906">
        <f t="shared" si="397"/>
        <v>2.6915488366720011</v>
      </c>
      <c r="AG906">
        <f t="shared" si="405"/>
        <v>0.19</v>
      </c>
      <c r="AH906">
        <f t="shared" si="406"/>
        <v>0.6784</v>
      </c>
      <c r="AI906">
        <f>AI901</f>
        <v>1E-3</v>
      </c>
      <c r="AK906">
        <f>AK901</f>
        <v>0.78</v>
      </c>
      <c r="AL906">
        <f>AL901</f>
        <v>99.998999999999995</v>
      </c>
      <c r="AM906">
        <f>AM901</f>
        <v>4.7000000000000002E-3</v>
      </c>
      <c r="AN906">
        <f t="shared" si="398"/>
        <v>2.7060530550430592E-6</v>
      </c>
      <c r="AO906">
        <f t="shared" si="399"/>
        <v>1.6305541248985631E-3</v>
      </c>
      <c r="AP906">
        <f t="shared" si="400"/>
        <v>1.6332601779536062E-3</v>
      </c>
      <c r="AQ906">
        <f t="shared" si="401"/>
        <v>3.4298463737025728</v>
      </c>
      <c r="AS906">
        <f t="shared" si="407"/>
        <v>0</v>
      </c>
      <c r="AT906">
        <f t="shared" si="402"/>
        <v>5.2502247142234169E-3</v>
      </c>
      <c r="AU906">
        <f t="shared" si="403"/>
        <v>4.1246160971655621E-2</v>
      </c>
      <c r="AV906">
        <f t="shared" si="404"/>
        <v>86.616938040476796</v>
      </c>
      <c r="AY906">
        <f t="shared" si="408"/>
        <v>2E-3</v>
      </c>
      <c r="BB906">
        <f t="shared" si="409"/>
        <v>0.24</v>
      </c>
    </row>
    <row r="907" spans="1:64" x14ac:dyDescent="0.2">
      <c r="A907" t="s">
        <v>160</v>
      </c>
      <c r="B907">
        <f>IF(B901="Hereford or Shorthorn", 1.3, 0)</f>
        <v>1.3</v>
      </c>
      <c r="H907" t="s">
        <v>268</v>
      </c>
      <c r="J907">
        <v>31</v>
      </c>
      <c r="K907">
        <v>60</v>
      </c>
      <c r="M907">
        <f t="shared" si="415"/>
        <v>250</v>
      </c>
      <c r="O907">
        <f>$BY$69</f>
        <v>0.22</v>
      </c>
      <c r="P907">
        <f t="shared" ref="P907:P908" si="416">$BY$116</f>
        <v>770</v>
      </c>
      <c r="Q907">
        <f t="shared" si="392"/>
        <v>0.32467532467532467</v>
      </c>
      <c r="S907">
        <v>0</v>
      </c>
      <c r="T907">
        <v>0</v>
      </c>
      <c r="U907">
        <v>0</v>
      </c>
      <c r="V907">
        <v>0</v>
      </c>
      <c r="W907">
        <f t="shared" si="393"/>
        <v>0</v>
      </c>
      <c r="X907">
        <f t="shared" si="394"/>
        <v>1</v>
      </c>
      <c r="Y907">
        <f t="shared" si="395"/>
        <v>4.9586382400000018</v>
      </c>
      <c r="Z907">
        <f t="shared" si="396"/>
        <v>1.0652727468517085</v>
      </c>
      <c r="AC907">
        <f t="shared" ref="AC907:AC908" si="417">$CA$233</f>
        <v>0.06</v>
      </c>
      <c r="AE907">
        <f t="shared" ref="AE907:AE908" si="418">$CA$164</f>
        <v>0.45</v>
      </c>
      <c r="AF907">
        <f t="shared" si="397"/>
        <v>2.6915488366720011</v>
      </c>
      <c r="AG907">
        <f t="shared" si="405"/>
        <v>0.19</v>
      </c>
      <c r="AH907">
        <f t="shared" si="406"/>
        <v>0.6784</v>
      </c>
      <c r="AI907">
        <f>AI901</f>
        <v>1E-3</v>
      </c>
      <c r="AK907">
        <f>AK901</f>
        <v>0.78</v>
      </c>
      <c r="AL907">
        <f>AL901</f>
        <v>99.998999999999995</v>
      </c>
      <c r="AM907">
        <f>AM901</f>
        <v>4.7000000000000002E-3</v>
      </c>
      <c r="AN907">
        <f t="shared" si="398"/>
        <v>2.7060530550430592E-6</v>
      </c>
      <c r="AO907">
        <f t="shared" si="399"/>
        <v>1.6305541248985631E-3</v>
      </c>
      <c r="AP907">
        <f t="shared" si="400"/>
        <v>1.6332601779536062E-3</v>
      </c>
      <c r="AQ907">
        <f t="shared" si="401"/>
        <v>3.0378639309937072</v>
      </c>
      <c r="AS907">
        <f t="shared" si="407"/>
        <v>0</v>
      </c>
      <c r="AT907">
        <f t="shared" si="402"/>
        <v>5.2502247142234169E-3</v>
      </c>
      <c r="AU907">
        <f t="shared" si="403"/>
        <v>4.1246160971655621E-2</v>
      </c>
      <c r="AV907">
        <f t="shared" si="404"/>
        <v>76.717859407279448</v>
      </c>
      <c r="AY907">
        <f t="shared" si="408"/>
        <v>2E-3</v>
      </c>
      <c r="BB907">
        <f t="shared" si="409"/>
        <v>0.24</v>
      </c>
    </row>
    <row r="908" spans="1:64" x14ac:dyDescent="0.2">
      <c r="A908" t="s">
        <v>162</v>
      </c>
      <c r="B908">
        <f>IF(B901="Hereford or Shorthorn", 1.1, 1.3)</f>
        <v>1.1000000000000001</v>
      </c>
      <c r="H908" t="s">
        <v>269</v>
      </c>
      <c r="J908">
        <v>31</v>
      </c>
      <c r="K908">
        <v>50</v>
      </c>
      <c r="M908">
        <f t="shared" si="415"/>
        <v>250</v>
      </c>
      <c r="N908" s="1"/>
      <c r="O908">
        <f>$BY$69</f>
        <v>0.22</v>
      </c>
      <c r="P908">
        <f t="shared" si="416"/>
        <v>770</v>
      </c>
      <c r="Q908">
        <f t="shared" si="392"/>
        <v>0.32467532467532467</v>
      </c>
      <c r="S908">
        <v>0</v>
      </c>
      <c r="T908">
        <v>0</v>
      </c>
      <c r="U908">
        <v>0</v>
      </c>
      <c r="V908">
        <v>0</v>
      </c>
      <c r="W908">
        <f t="shared" si="393"/>
        <v>0</v>
      </c>
      <c r="X908">
        <f t="shared" si="394"/>
        <v>1</v>
      </c>
      <c r="Y908">
        <f t="shared" si="395"/>
        <v>4.9586382400000018</v>
      </c>
      <c r="Z908">
        <f t="shared" si="396"/>
        <v>1.0652727468517085</v>
      </c>
      <c r="AC908">
        <f t="shared" si="417"/>
        <v>0.06</v>
      </c>
      <c r="AE908">
        <f t="shared" si="418"/>
        <v>0.45</v>
      </c>
      <c r="AF908">
        <f t="shared" si="397"/>
        <v>2.6915488366720011</v>
      </c>
      <c r="AG908">
        <f t="shared" si="405"/>
        <v>0.19</v>
      </c>
      <c r="AH908">
        <f t="shared" si="406"/>
        <v>0.6784</v>
      </c>
      <c r="AI908">
        <f>AI901</f>
        <v>1E-3</v>
      </c>
      <c r="AK908">
        <f>AK901</f>
        <v>0.78</v>
      </c>
      <c r="AL908">
        <f>AL901</f>
        <v>99.998999999999995</v>
      </c>
      <c r="AM908">
        <f>AM901</f>
        <v>4.7000000000000002E-3</v>
      </c>
      <c r="AN908">
        <f t="shared" si="398"/>
        <v>2.7060530550430592E-6</v>
      </c>
      <c r="AO908">
        <f t="shared" si="399"/>
        <v>1.6305541248985631E-3</v>
      </c>
      <c r="AP908">
        <f t="shared" si="400"/>
        <v>1.6332601779536062E-3</v>
      </c>
      <c r="AQ908">
        <f t="shared" si="401"/>
        <v>2.5315532758280899</v>
      </c>
      <c r="AS908">
        <f t="shared" si="407"/>
        <v>0</v>
      </c>
      <c r="AT908">
        <f t="shared" si="402"/>
        <v>5.2502247142234169E-3</v>
      </c>
      <c r="AU908">
        <f t="shared" si="403"/>
        <v>4.1246160971655621E-2</v>
      </c>
      <c r="AV908">
        <f t="shared" si="404"/>
        <v>63.931549506066219</v>
      </c>
      <c r="AY908">
        <f t="shared" si="408"/>
        <v>2E-3</v>
      </c>
      <c r="BB908">
        <f t="shared" si="409"/>
        <v>0.24</v>
      </c>
    </row>
    <row r="909" spans="1:64" x14ac:dyDescent="0.2">
      <c r="A909" t="s">
        <v>163</v>
      </c>
      <c r="B909">
        <f>IF(B901="Hereford or Shorthorn", 0, 1.1)</f>
        <v>0</v>
      </c>
      <c r="H909" t="s">
        <v>270</v>
      </c>
      <c r="J909">
        <v>30</v>
      </c>
      <c r="K909">
        <v>45</v>
      </c>
      <c r="M909">
        <f>$BY$20</f>
        <v>80</v>
      </c>
      <c r="O909">
        <f>$BY$66</f>
        <v>0.7</v>
      </c>
      <c r="P909">
        <f>$BY$113</f>
        <v>770</v>
      </c>
      <c r="Q909">
        <f t="shared" si="392"/>
        <v>0.1038961038961039</v>
      </c>
      <c r="S909">
        <v>0</v>
      </c>
      <c r="T909">
        <v>0</v>
      </c>
      <c r="U909">
        <f>5/K909</f>
        <v>0.1111111111111111</v>
      </c>
      <c r="V909">
        <v>0</v>
      </c>
      <c r="W909">
        <f t="shared" si="393"/>
        <v>0</v>
      </c>
      <c r="X909">
        <f t="shared" si="394"/>
        <v>1</v>
      </c>
      <c r="Y909">
        <f t="shared" si="395"/>
        <v>3.0697142436</v>
      </c>
      <c r="Z909">
        <f t="shared" si="396"/>
        <v>1.3086693130801998</v>
      </c>
      <c r="AC909">
        <f>$CA$230</f>
        <v>0.04</v>
      </c>
      <c r="AE909">
        <f>$CA$161</f>
        <v>0.4</v>
      </c>
      <c r="AF909">
        <f t="shared" si="397"/>
        <v>1.8074477466316801</v>
      </c>
      <c r="AG909">
        <f t="shared" si="405"/>
        <v>0.19</v>
      </c>
      <c r="AH909">
        <f t="shared" si="406"/>
        <v>0.6784</v>
      </c>
      <c r="AI909">
        <f>AI901</f>
        <v>1E-3</v>
      </c>
      <c r="AK909">
        <f>AK901</f>
        <v>0.78</v>
      </c>
      <c r="AL909">
        <f>AL901</f>
        <v>99.998999999999995</v>
      </c>
      <c r="AM909">
        <f>AM901</f>
        <v>4.7000000000000002E-3</v>
      </c>
      <c r="AN909">
        <f t="shared" si="398"/>
        <v>1.8171877210487291E-6</v>
      </c>
      <c r="AO909">
        <f t="shared" si="399"/>
        <v>1.0949611386033508E-3</v>
      </c>
      <c r="AP909">
        <f t="shared" si="400"/>
        <v>1.0967783263243994E-3</v>
      </c>
      <c r="AQ909">
        <f t="shared" si="401"/>
        <v>1.4806507405379392</v>
      </c>
      <c r="AS909">
        <f t="shared" si="407"/>
        <v>0.66666666666666663</v>
      </c>
      <c r="AT909">
        <f t="shared" si="402"/>
        <v>2.0244203485346782E-2</v>
      </c>
      <c r="AU909">
        <f t="shared" si="403"/>
        <v>2.2749571531172985E-3</v>
      </c>
      <c r="AV909">
        <f t="shared" si="404"/>
        <v>3.0711921567083529</v>
      </c>
      <c r="AY909">
        <f t="shared" si="408"/>
        <v>2E-3</v>
      </c>
      <c r="BB909">
        <f t="shared" si="409"/>
        <v>0.24</v>
      </c>
    </row>
    <row r="910" spans="1:64" x14ac:dyDescent="0.2">
      <c r="A910" t="s">
        <v>164</v>
      </c>
      <c r="B910">
        <v>0</v>
      </c>
      <c r="H910" t="s">
        <v>271</v>
      </c>
      <c r="J910">
        <v>31</v>
      </c>
      <c r="K910">
        <v>70</v>
      </c>
      <c r="M910">
        <f t="shared" ref="M910:M911" si="419">$BY$20</f>
        <v>80</v>
      </c>
      <c r="O910">
        <f t="shared" ref="O910:O911" si="420">$BY$66</f>
        <v>0.7</v>
      </c>
      <c r="P910">
        <f t="shared" ref="P910:P911" si="421">$BY$113</f>
        <v>770</v>
      </c>
      <c r="Q910">
        <f t="shared" si="392"/>
        <v>0.1038961038961039</v>
      </c>
      <c r="S910">
        <v>0</v>
      </c>
      <c r="T910">
        <v>0</v>
      </c>
      <c r="U910">
        <f>30/K910</f>
        <v>0.42857142857142855</v>
      </c>
      <c r="V910">
        <v>0</v>
      </c>
      <c r="W910">
        <f t="shared" si="393"/>
        <v>0</v>
      </c>
      <c r="X910">
        <f t="shared" si="394"/>
        <v>1</v>
      </c>
      <c r="Y910">
        <f t="shared" si="395"/>
        <v>3.0697142436</v>
      </c>
      <c r="Z910">
        <f t="shared" si="396"/>
        <v>1.3086693130801998</v>
      </c>
      <c r="AC910">
        <f t="shared" ref="AC910:AC911" si="422">$CA$230</f>
        <v>0.04</v>
      </c>
      <c r="AE910">
        <f t="shared" ref="AE910:AE911" si="423">$CA$161</f>
        <v>0.4</v>
      </c>
      <c r="AF910">
        <f t="shared" si="397"/>
        <v>1.8074477466316801</v>
      </c>
      <c r="AG910">
        <f t="shared" si="405"/>
        <v>0.19</v>
      </c>
      <c r="AH910">
        <f t="shared" si="406"/>
        <v>0.6784</v>
      </c>
      <c r="AI910">
        <f>AI901</f>
        <v>1E-3</v>
      </c>
      <c r="AK910">
        <f>AK901</f>
        <v>0.78</v>
      </c>
      <c r="AL910">
        <f>AL901</f>
        <v>99.998999999999995</v>
      </c>
      <c r="AM910">
        <f>AM901</f>
        <v>4.7000000000000002E-3</v>
      </c>
      <c r="AN910">
        <f t="shared" si="398"/>
        <v>1.8171877210487291E-6</v>
      </c>
      <c r="AO910">
        <f t="shared" si="399"/>
        <v>1.0949611386033508E-3</v>
      </c>
      <c r="AP910">
        <f t="shared" si="400"/>
        <v>1.0967783263243994E-3</v>
      </c>
      <c r="AQ910">
        <f t="shared" si="401"/>
        <v>2.3800089681239469</v>
      </c>
      <c r="AS910">
        <f t="shared" si="407"/>
        <v>2.5714285714285712</v>
      </c>
      <c r="AT910">
        <f t="shared" si="402"/>
        <v>2.0244203485346782E-2</v>
      </c>
      <c r="AU910">
        <f t="shared" si="403"/>
        <v>1.1828621879195814E-2</v>
      </c>
      <c r="AV910">
        <f t="shared" si="404"/>
        <v>25.668109477854916</v>
      </c>
      <c r="AY910">
        <f t="shared" si="408"/>
        <v>2E-3</v>
      </c>
      <c r="BB910">
        <f t="shared" si="409"/>
        <v>0.24</v>
      </c>
    </row>
    <row r="911" spans="1:64" x14ac:dyDescent="0.2">
      <c r="H911" t="s">
        <v>272</v>
      </c>
      <c r="J911">
        <v>30</v>
      </c>
      <c r="K911">
        <v>90</v>
      </c>
      <c r="M911">
        <f t="shared" si="419"/>
        <v>80</v>
      </c>
      <c r="O911">
        <f t="shared" si="420"/>
        <v>0.7</v>
      </c>
      <c r="P911">
        <f t="shared" si="421"/>
        <v>770</v>
      </c>
      <c r="Q911">
        <f t="shared" si="392"/>
        <v>0.1038961038961039</v>
      </c>
      <c r="S911">
        <v>0</v>
      </c>
      <c r="T911">
        <v>0</v>
      </c>
      <c r="U911">
        <f>50/K911</f>
        <v>0.55555555555555558</v>
      </c>
      <c r="V911">
        <v>0</v>
      </c>
      <c r="W911">
        <f t="shared" si="393"/>
        <v>0</v>
      </c>
      <c r="X911">
        <f t="shared" si="394"/>
        <v>1</v>
      </c>
      <c r="Y911">
        <f t="shared" si="395"/>
        <v>3.0697142436</v>
      </c>
      <c r="Z911">
        <f>Y911 / ((1.185 + 0.00454 * M911 - 0.0000026 * M911 ^ 2) ^ 2 * X911)</f>
        <v>1.3086693130801998</v>
      </c>
      <c r="AC911">
        <f t="shared" si="422"/>
        <v>0.04</v>
      </c>
      <c r="AE911">
        <f t="shared" si="423"/>
        <v>0.4</v>
      </c>
      <c r="AF911">
        <f t="shared" si="397"/>
        <v>1.8074477466316801</v>
      </c>
      <c r="AG911">
        <f t="shared" si="405"/>
        <v>0.19</v>
      </c>
      <c r="AH911">
        <f t="shared" si="406"/>
        <v>0.6784</v>
      </c>
      <c r="AI911">
        <f>AI901</f>
        <v>1E-3</v>
      </c>
      <c r="AK911">
        <f>AK901</f>
        <v>0.78</v>
      </c>
      <c r="AL911">
        <f>AL901</f>
        <v>99.998999999999995</v>
      </c>
      <c r="AM911">
        <f>AM901</f>
        <v>4.7000000000000002E-3</v>
      </c>
      <c r="AN911">
        <f t="shared" si="398"/>
        <v>1.8171877210487291E-6</v>
      </c>
      <c r="AO911">
        <f t="shared" si="399"/>
        <v>1.0949611386033508E-3</v>
      </c>
      <c r="AP911">
        <f t="shared" si="400"/>
        <v>1.0967783263243994E-3</v>
      </c>
      <c r="AQ911">
        <f t="shared" si="401"/>
        <v>2.9613014810758784</v>
      </c>
      <c r="AS911">
        <f t="shared" si="407"/>
        <v>3.3333333333333335</v>
      </c>
      <c r="AT911">
        <f t="shared" si="402"/>
        <v>2.0244203485346782E-2</v>
      </c>
      <c r="AU911">
        <f t="shared" si="403"/>
        <v>1.5650087769627227E-2</v>
      </c>
      <c r="AV911">
        <f t="shared" si="404"/>
        <v>42.255236977993512</v>
      </c>
      <c r="AY911">
        <f t="shared" si="408"/>
        <v>2E-3</v>
      </c>
      <c r="BB911">
        <f t="shared" si="409"/>
        <v>0.24</v>
      </c>
    </row>
    <row r="912" spans="1:64" x14ac:dyDescent="0.2">
      <c r="H912" t="s">
        <v>273</v>
      </c>
      <c r="J912">
        <v>31</v>
      </c>
      <c r="K912">
        <v>95</v>
      </c>
      <c r="M912">
        <f>$BY$21</f>
        <v>150</v>
      </c>
      <c r="O912">
        <f>$BY$67</f>
        <v>0.77</v>
      </c>
      <c r="P912">
        <f>$BY$114</f>
        <v>770</v>
      </c>
      <c r="Q912">
        <f t="shared" si="392"/>
        <v>0.19480519480519481</v>
      </c>
      <c r="S912">
        <v>0</v>
      </c>
      <c r="T912">
        <v>0</v>
      </c>
      <c r="U912">
        <f>55/K912</f>
        <v>0.57894736842105265</v>
      </c>
      <c r="V912">
        <f>5/K912</f>
        <v>5.2631578947368418E-2</v>
      </c>
      <c r="W912">
        <f t="shared" si="393"/>
        <v>0</v>
      </c>
      <c r="X912">
        <f t="shared" si="394"/>
        <v>1</v>
      </c>
      <c r="Y912">
        <f t="shared" si="395"/>
        <v>4.202705002500001</v>
      </c>
      <c r="Z912">
        <f>Y912 / ((1.185 + 0.00454 * M912 - 0.0000026 * M912 ^ 2) ^ 2 * X912)</f>
        <v>1.2863889326974398</v>
      </c>
      <c r="AC912">
        <f>$CA$231</f>
        <v>0.12</v>
      </c>
      <c r="AE912">
        <f>$CA$162</f>
        <v>0.65</v>
      </c>
      <c r="AF912">
        <f t="shared" si="397"/>
        <v>1.5079305548970003</v>
      </c>
      <c r="AG912">
        <f t="shared" si="405"/>
        <v>0.19</v>
      </c>
      <c r="AH912">
        <f t="shared" si="406"/>
        <v>0.6784</v>
      </c>
      <c r="AI912">
        <f>AI901</f>
        <v>1E-3</v>
      </c>
      <c r="AK912">
        <f>AK901</f>
        <v>0.78</v>
      </c>
      <c r="AL912">
        <f>AL901</f>
        <v>99.998999999999995</v>
      </c>
      <c r="AM912">
        <f>AM901</f>
        <v>4.7000000000000002E-3</v>
      </c>
      <c r="AN912">
        <f t="shared" si="398"/>
        <v>1.5160564910712291E-6</v>
      </c>
      <c r="AO912">
        <f t="shared" si="399"/>
        <v>9.1351208376662797E-4</v>
      </c>
      <c r="AP912">
        <f t="shared" si="400"/>
        <v>9.1502814025769925E-4</v>
      </c>
      <c r="AQ912">
        <f t="shared" si="401"/>
        <v>2.6947578730589243</v>
      </c>
      <c r="AS912">
        <f t="shared" si="407"/>
        <v>3.6842105263157894</v>
      </c>
      <c r="AT912">
        <f t="shared" si="402"/>
        <v>2.0943935872830468E-2</v>
      </c>
      <c r="AU912">
        <f t="shared" si="403"/>
        <v>7.7472434779801994E-2</v>
      </c>
      <c r="AV912">
        <f t="shared" si="404"/>
        <v>228.15632042651686</v>
      </c>
      <c r="AY912">
        <f t="shared" si="408"/>
        <v>2E-3</v>
      </c>
      <c r="BB912">
        <f t="shared" si="409"/>
        <v>0.24</v>
      </c>
    </row>
    <row r="916" spans="9:64" x14ac:dyDescent="0.2">
      <c r="BJ916" s="7"/>
      <c r="BK916" s="7"/>
      <c r="BL916" s="7"/>
    </row>
    <row r="917" spans="9:64" x14ac:dyDescent="0.2">
      <c r="AD917" s="1"/>
    </row>
    <row r="918" spans="9:64" x14ac:dyDescent="0.2">
      <c r="I918" s="1"/>
      <c r="J918" s="1"/>
    </row>
    <row r="921" spans="9:64" x14ac:dyDescent="0.2">
      <c r="L921" s="1"/>
    </row>
    <row r="923" spans="9:64" x14ac:dyDescent="0.2">
      <c r="N923" s="1"/>
      <c r="O923" s="1"/>
    </row>
  </sheetData>
  <autoFilter ref="U11:V890" xr:uid="{00000000-0001-0000-0000-000000000000}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D296D0-94B6-BE4D-8E1B-A63D492AA5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2026-10-22T06:06:41Z</dcterms:modified>
</cp:coreProperties>
</file>