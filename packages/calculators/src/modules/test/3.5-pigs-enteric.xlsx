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codeName="ThisWorkbook" defaultThemeVersion="202300"/>
  <xr:revisionPtr revIDLastSave="0" documentId="13_ncr:1_{1518E45E-C77C-9E49-9CD2-4FA3DFFC9431}" xr6:coauthVersionLast="47" xr6:coauthVersionMax="47" xr10:uidLastSave="{00000000-0000-0000-0000-000000000000}"/>
  <bookViews>
    <workbookView xWindow="0" yWindow="600" windowWidth="28800" windowHeight="15940" xr2:uid="{00000000-000D-0000-FFFF-FFFF00000000}"/>
  </bookViews>
  <sheets>
    <sheet name="3.5.1.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1" l="1"/>
  <c r="G34" i="1"/>
  <c r="I34" i="1" s="1"/>
  <c r="E33" i="1"/>
  <c r="G33" i="1"/>
  <c r="I33" i="1" s="1"/>
  <c r="E32" i="1"/>
  <c r="G32" i="1"/>
  <c r="I32" i="1" s="1"/>
  <c r="E31" i="1"/>
  <c r="G31" i="1"/>
  <c r="I31" i="1" s="1"/>
  <c r="E19" i="1"/>
  <c r="D19" i="1"/>
  <c r="G19" i="1" s="1"/>
  <c r="I19" i="1" s="1"/>
  <c r="E18" i="1"/>
  <c r="D18" i="1"/>
  <c r="G18" i="1" s="1"/>
  <c r="I18" i="1" s="1"/>
  <c r="E17" i="1"/>
  <c r="D17" i="1"/>
  <c r="G17" i="1" s="1"/>
  <c r="I17" i="1" s="1"/>
  <c r="E16" i="1"/>
  <c r="D16" i="1"/>
  <c r="G16" i="1" s="1"/>
  <c r="I16" i="1" s="1"/>
  <c r="D14" i="1"/>
  <c r="G14" i="1" s="1"/>
  <c r="I14" i="1" s="1"/>
  <c r="E14" i="1"/>
  <c r="I12" i="1"/>
  <c r="I13" i="1"/>
  <c r="E12" i="1"/>
  <c r="E13" i="1"/>
  <c r="E11" i="1"/>
  <c r="D13" i="1"/>
  <c r="G13" i="1" s="1"/>
  <c r="D12" i="1"/>
  <c r="G12" i="1" s="1"/>
  <c r="D11" i="1"/>
  <c r="G11" i="1" s="1"/>
  <c r="I11" i="1" s="1"/>
  <c r="J11" i="1" l="1"/>
  <c r="J31" i="1"/>
  <c r="J16" i="1"/>
</calcChain>
</file>

<file path=xl/sharedStrings.xml><?xml version="1.0" encoding="utf-8"?>
<sst xmlns="http://schemas.openxmlformats.org/spreadsheetml/2006/main" count="69" uniqueCount="46">
  <si>
    <t>(Ij * 18.6 * 0.007) / F</t>
  </si>
  <si>
    <t>SUM  (Nj * Mj * Dj) * 10^-3</t>
  </si>
  <si>
    <t>397</t>
  </si>
  <si>
    <t>399</t>
  </si>
  <si>
    <t>388</t>
  </si>
  <si>
    <t>374</t>
  </si>
  <si>
    <t>389</t>
  </si>
  <si>
    <t>367</t>
  </si>
  <si>
    <t>constant</t>
  </si>
  <si>
    <t>input</t>
  </si>
  <si>
    <t>expression</t>
  </si>
  <si>
    <t/>
  </si>
  <si>
    <t>kg / head / day</t>
  </si>
  <si>
    <t>MJ / kg CH4</t>
  </si>
  <si>
    <t>head</t>
  </si>
  <si>
    <t>kg CH4 / head / day</t>
  </si>
  <si>
    <t>days</t>
  </si>
  <si>
    <t>t CH4</t>
  </si>
  <si>
    <t>Average feed intake per head per class</t>
  </si>
  <si>
    <t>Megajoules per kilogram of methane</t>
  </si>
  <si>
    <t>Number of each class</t>
  </si>
  <si>
    <t>Daily methane production</t>
  </si>
  <si>
    <t>Average number of days on farm</t>
  </si>
  <si>
    <t>Annual methane production</t>
  </si>
  <si>
    <t>Ij</t>
  </si>
  <si>
    <t>F</t>
  </si>
  <si>
    <t>Nj</t>
  </si>
  <si>
    <t>Mj</t>
  </si>
  <si>
    <t>Dj</t>
  </si>
  <si>
    <t>Eenteric</t>
  </si>
  <si>
    <t>Scenario</t>
  </si>
  <si>
    <t>Custom Ij</t>
  </si>
  <si>
    <t>Baseline</t>
  </si>
  <si>
    <t>Class</t>
  </si>
  <si>
    <t>Boars</t>
  </si>
  <si>
    <t>Sows</t>
  </si>
  <si>
    <t>Gilts</t>
  </si>
  <si>
    <t>Slaughter pigs</t>
  </si>
  <si>
    <t>Feed intake</t>
  </si>
  <si>
    <t>VS</t>
  </si>
  <si>
    <t>Volatile solids</t>
  </si>
  <si>
    <t>NW</t>
  </si>
  <si>
    <t>Nitrogen waste</t>
  </si>
  <si>
    <t>MJ/kg CH4</t>
  </si>
  <si>
    <t>Mostly zeros</t>
  </si>
  <si>
    <t>Method 2 - Custom Ij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</si>
</sst>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34"/>
  <sheetViews>
    <sheetView tabSelected="1" topLeftCell="C1" workbookViewId="0">
      <selection activeCell="Q12" sqref="Q12"/>
    </sheetView>
  </sheetViews>
  <sheetFormatPr baseColWidth="10" defaultRowHeight="16" x14ac:dyDescent="0.2"/>
  <cols>
    <col min="4" max="4" width="22.1640625" customWidth="1"/>
    <col min="6" max="6" width="12.6640625" customWidth="1"/>
    <col min="16" max="16" width="12.5" customWidth="1"/>
  </cols>
  <sheetData>
    <row r="2" spans="1:19" x14ac:dyDescent="0.2">
      <c r="G2" t="s">
        <v>0</v>
      </c>
      <c r="I2" t="s">
        <v>1</v>
      </c>
    </row>
    <row r="3" spans="1:19" x14ac:dyDescent="0.2"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P3" t="s">
        <v>25</v>
      </c>
      <c r="Q3">
        <v>55.22</v>
      </c>
      <c r="R3" t="s">
        <v>43</v>
      </c>
    </row>
    <row r="4" spans="1:19" x14ac:dyDescent="0.2">
      <c r="D4" t="s">
        <v>8</v>
      </c>
      <c r="E4" t="s">
        <v>8</v>
      </c>
      <c r="F4" t="s">
        <v>9</v>
      </c>
      <c r="G4" t="s">
        <v>10</v>
      </c>
      <c r="H4" t="s">
        <v>9</v>
      </c>
      <c r="I4" t="s">
        <v>10</v>
      </c>
    </row>
    <row r="5" spans="1:19" x14ac:dyDescent="0.2">
      <c r="D5" t="s">
        <v>9</v>
      </c>
      <c r="E5" t="s">
        <v>11</v>
      </c>
      <c r="F5" t="s">
        <v>11</v>
      </c>
      <c r="G5" t="s">
        <v>11</v>
      </c>
      <c r="H5" t="s">
        <v>11</v>
      </c>
      <c r="J5" t="s">
        <v>11</v>
      </c>
    </row>
    <row r="8" spans="1:19" x14ac:dyDescent="0.2">
      <c r="D8" t="s">
        <v>12</v>
      </c>
      <c r="E8" t="s">
        <v>13</v>
      </c>
      <c r="F8" t="s">
        <v>14</v>
      </c>
      <c r="G8" t="s">
        <v>15</v>
      </c>
      <c r="H8" t="s">
        <v>16</v>
      </c>
      <c r="J8" t="s">
        <v>17</v>
      </c>
      <c r="Q8" t="s">
        <v>38</v>
      </c>
      <c r="R8" t="s">
        <v>40</v>
      </c>
      <c r="S8" t="s">
        <v>42</v>
      </c>
    </row>
    <row r="9" spans="1:19" x14ac:dyDescent="0.2">
      <c r="D9" t="s">
        <v>18</v>
      </c>
      <c r="E9" t="s">
        <v>19</v>
      </c>
      <c r="F9" t="s">
        <v>20</v>
      </c>
      <c r="G9" t="s">
        <v>21</v>
      </c>
      <c r="H9" t="s">
        <v>22</v>
      </c>
      <c r="J9" t="s">
        <v>23</v>
      </c>
      <c r="Q9" t="s">
        <v>24</v>
      </c>
      <c r="R9" t="s">
        <v>39</v>
      </c>
      <c r="S9" t="s">
        <v>41</v>
      </c>
    </row>
    <row r="10" spans="1:19" x14ac:dyDescent="0.2">
      <c r="A10" t="s">
        <v>30</v>
      </c>
      <c r="B10" t="s">
        <v>33</v>
      </c>
      <c r="C10" t="s">
        <v>31</v>
      </c>
      <c r="D10" t="s">
        <v>24</v>
      </c>
      <c r="E10" t="s">
        <v>25</v>
      </c>
      <c r="F10" s="2" t="s">
        <v>26</v>
      </c>
      <c r="G10" t="s">
        <v>27</v>
      </c>
      <c r="H10" s="2" t="s">
        <v>28</v>
      </c>
      <c r="I10" t="s">
        <v>29</v>
      </c>
      <c r="J10" s="1" t="s">
        <v>29</v>
      </c>
      <c r="P10" t="s">
        <v>34</v>
      </c>
      <c r="Q10">
        <v>2.2999999999999998</v>
      </c>
      <c r="R10">
        <v>0.4</v>
      </c>
      <c r="S10">
        <v>4.5999999999999999E-2</v>
      </c>
    </row>
    <row r="11" spans="1:19" x14ac:dyDescent="0.2">
      <c r="A11" t="s">
        <v>32</v>
      </c>
      <c r="B11" t="s">
        <v>34</v>
      </c>
      <c r="D11">
        <f>$Q$10</f>
        <v>2.2999999999999998</v>
      </c>
      <c r="E11">
        <f>$Q$3</f>
        <v>55.22</v>
      </c>
      <c r="F11">
        <v>800</v>
      </c>
      <c r="G11">
        <f>(D11 * 18.6 * 0.007) / E11</f>
        <v>5.4230351321984793E-3</v>
      </c>
      <c r="H11">
        <v>365</v>
      </c>
      <c r="I11">
        <f>F11*G11*H11</f>
        <v>1583.526258601956</v>
      </c>
      <c r="J11">
        <f>SUM(I11:I15)*10^-3</f>
        <v>6.1633737413980443</v>
      </c>
      <c r="P11" t="s">
        <v>35</v>
      </c>
      <c r="Q11">
        <v>2.62</v>
      </c>
      <c r="R11">
        <v>0.46</v>
      </c>
      <c r="S11">
        <v>4.9000000000000002E-2</v>
      </c>
    </row>
    <row r="12" spans="1:19" x14ac:dyDescent="0.2">
      <c r="B12" t="s">
        <v>35</v>
      </c>
      <c r="D12">
        <f>$Q$11</f>
        <v>2.62</v>
      </c>
      <c r="E12">
        <f t="shared" ref="E12:E14" si="0">$Q$3</f>
        <v>55.22</v>
      </c>
      <c r="F12">
        <v>1200</v>
      </c>
      <c r="G12">
        <f t="shared" ref="G12:G13" si="1">(D12 * 18.6 * 0.007) / E12</f>
        <v>6.1775443679826158E-3</v>
      </c>
      <c r="H12">
        <v>365</v>
      </c>
      <c r="I12">
        <f t="shared" ref="I12:I13" si="2">F12*G12*H12</f>
        <v>2705.7644331763854</v>
      </c>
      <c r="P12" t="s">
        <v>36</v>
      </c>
      <c r="Q12">
        <v>2.5</v>
      </c>
      <c r="R12">
        <v>0.55000000000000004</v>
      </c>
      <c r="S12">
        <v>4.5999999999999999E-2</v>
      </c>
    </row>
    <row r="13" spans="1:19" x14ac:dyDescent="0.2">
      <c r="B13" t="s">
        <v>36</v>
      </c>
      <c r="D13">
        <f>$Q$12</f>
        <v>2.5</v>
      </c>
      <c r="E13">
        <f t="shared" si="0"/>
        <v>55.22</v>
      </c>
      <c r="F13">
        <v>500</v>
      </c>
      <c r="G13">
        <f t="shared" si="1"/>
        <v>5.8946034045635641E-3</v>
      </c>
      <c r="H13">
        <v>365</v>
      </c>
      <c r="I13">
        <f t="shared" si="2"/>
        <v>1075.7651213328504</v>
      </c>
      <c r="P13" t="s">
        <v>37</v>
      </c>
      <c r="Q13">
        <v>1.71</v>
      </c>
      <c r="R13">
        <v>0.39</v>
      </c>
      <c r="S13">
        <v>11.4</v>
      </c>
    </row>
    <row r="14" spans="1:19" x14ac:dyDescent="0.2">
      <c r="B14" t="s">
        <v>37</v>
      </c>
      <c r="D14">
        <f>$Q$13</f>
        <v>1.71</v>
      </c>
      <c r="E14">
        <f t="shared" si="0"/>
        <v>55.22</v>
      </c>
      <c r="F14">
        <v>900</v>
      </c>
      <c r="G14">
        <f t="shared" ref="G14" si="3">(D14 * 18.6 * 0.007) / E14</f>
        <v>4.031908728721478E-3</v>
      </c>
      <c r="H14">
        <v>220</v>
      </c>
      <c r="I14">
        <f t="shared" ref="I14" si="4">F14*G14*H14</f>
        <v>798.31792828685263</v>
      </c>
    </row>
    <row r="16" spans="1:19" x14ac:dyDescent="0.2">
      <c r="A16" t="s">
        <v>44</v>
      </c>
      <c r="B16" t="s">
        <v>34</v>
      </c>
      <c r="D16">
        <f>$Q$10</f>
        <v>2.2999999999999998</v>
      </c>
      <c r="E16">
        <f>$Q$3</f>
        <v>55.22</v>
      </c>
      <c r="F16">
        <v>0</v>
      </c>
      <c r="G16">
        <f>(D16 * 18.6 * 0.007) / E16</f>
        <v>5.4230351321984793E-3</v>
      </c>
      <c r="H16">
        <v>0</v>
      </c>
      <c r="I16">
        <f>F16*G16*H16</f>
        <v>0</v>
      </c>
      <c r="J16">
        <f>SUM(I16:I20)*10^-3</f>
        <v>0.88701992031872523</v>
      </c>
      <c r="P16" s="3"/>
      <c r="Q16" s="3"/>
    </row>
    <row r="17" spans="1:17" x14ac:dyDescent="0.2">
      <c r="B17" t="s">
        <v>35</v>
      </c>
      <c r="D17">
        <f>$Q$11</f>
        <v>2.62</v>
      </c>
      <c r="E17">
        <f t="shared" ref="E17:E19" si="5">$Q$3</f>
        <v>55.22</v>
      </c>
      <c r="F17">
        <v>0</v>
      </c>
      <c r="G17">
        <f t="shared" ref="G17:G19" si="6">(D17 * 18.6 * 0.007) / E17</f>
        <v>6.1775443679826158E-3</v>
      </c>
      <c r="H17">
        <v>0</v>
      </c>
      <c r="I17">
        <f t="shared" ref="I17:I19" si="7">F17*G17*H17</f>
        <v>0</v>
      </c>
      <c r="P17" s="3"/>
      <c r="Q17" s="3"/>
    </row>
    <row r="18" spans="1:17" x14ac:dyDescent="0.2">
      <c r="B18" t="s">
        <v>36</v>
      </c>
      <c r="D18">
        <f>$Q$12</f>
        <v>2.5</v>
      </c>
      <c r="E18">
        <f t="shared" si="5"/>
        <v>55.22</v>
      </c>
      <c r="F18">
        <v>0</v>
      </c>
      <c r="G18">
        <f t="shared" si="6"/>
        <v>5.8946034045635641E-3</v>
      </c>
      <c r="H18">
        <v>0</v>
      </c>
      <c r="I18">
        <f t="shared" si="7"/>
        <v>0</v>
      </c>
      <c r="P18" s="3"/>
      <c r="Q18" s="3"/>
    </row>
    <row r="19" spans="1:17" x14ac:dyDescent="0.2">
      <c r="B19" t="s">
        <v>37</v>
      </c>
      <c r="D19">
        <f>$Q$13</f>
        <v>1.71</v>
      </c>
      <c r="E19">
        <f t="shared" si="5"/>
        <v>55.22</v>
      </c>
      <c r="F19">
        <v>1000</v>
      </c>
      <c r="G19">
        <f t="shared" si="6"/>
        <v>4.031908728721478E-3</v>
      </c>
      <c r="H19">
        <v>220</v>
      </c>
      <c r="I19">
        <f t="shared" si="7"/>
        <v>887.01992031872521</v>
      </c>
      <c r="P19" s="3"/>
      <c r="Q19" s="3"/>
    </row>
    <row r="20" spans="1:17" x14ac:dyDescent="0.2">
      <c r="P20" s="3"/>
      <c r="Q20" s="3"/>
    </row>
    <row r="21" spans="1:17" x14ac:dyDescent="0.2">
      <c r="P21" s="3"/>
      <c r="Q21" s="3"/>
    </row>
    <row r="31" spans="1:17" x14ac:dyDescent="0.2">
      <c r="A31" t="s">
        <v>45</v>
      </c>
      <c r="B31" t="s">
        <v>34</v>
      </c>
      <c r="C31" s="2">
        <v>2.5</v>
      </c>
      <c r="D31" s="2">
        <v>2.5</v>
      </c>
      <c r="E31">
        <f>$Q$3</f>
        <v>55.22</v>
      </c>
      <c r="F31">
        <v>500</v>
      </c>
      <c r="G31">
        <f>(D31 * 18.6 * 0.007) / E31</f>
        <v>5.8946034045635641E-3</v>
      </c>
      <c r="H31">
        <v>365</v>
      </c>
      <c r="I31">
        <f>F31*G31*H31</f>
        <v>1075.7651213328504</v>
      </c>
      <c r="J31">
        <f>SUM(I31:I35)*10^-3</f>
        <v>4.1480229844259329</v>
      </c>
    </row>
    <row r="32" spans="1:17" x14ac:dyDescent="0.2">
      <c r="B32" t="s">
        <v>35</v>
      </c>
      <c r="C32" s="2">
        <v>2.1</v>
      </c>
      <c r="D32" s="2">
        <v>2.1</v>
      </c>
      <c r="E32">
        <f t="shared" ref="E32:E34" si="8">$Q$3</f>
        <v>55.22</v>
      </c>
      <c r="F32">
        <v>1100</v>
      </c>
      <c r="G32">
        <f t="shared" ref="G32:G34" si="9">(D32 * 18.6 * 0.007) / E32</f>
        <v>4.9514668598333936E-3</v>
      </c>
      <c r="H32">
        <v>365</v>
      </c>
      <c r="I32">
        <f t="shared" ref="I32:I34" si="10">F32*G32*H32</f>
        <v>1988.0139442231077</v>
      </c>
    </row>
    <row r="33" spans="2:9" x14ac:dyDescent="0.2">
      <c r="B33" t="s">
        <v>36</v>
      </c>
      <c r="C33" s="2">
        <v>2.6</v>
      </c>
      <c r="D33" s="2">
        <v>2.6</v>
      </c>
      <c r="E33">
        <f t="shared" si="8"/>
        <v>55.22</v>
      </c>
      <c r="F33">
        <v>144</v>
      </c>
      <c r="G33">
        <f t="shared" si="9"/>
        <v>6.1303875407461078E-3</v>
      </c>
      <c r="H33">
        <v>365</v>
      </c>
      <c r="I33">
        <f t="shared" si="10"/>
        <v>322.21316914161542</v>
      </c>
    </row>
    <row r="34" spans="2:9" x14ac:dyDescent="0.2">
      <c r="B34" t="s">
        <v>37</v>
      </c>
      <c r="C34" s="2">
        <v>1.8</v>
      </c>
      <c r="D34" s="2">
        <v>1.8</v>
      </c>
      <c r="E34">
        <f t="shared" si="8"/>
        <v>55.22</v>
      </c>
      <c r="F34">
        <v>855</v>
      </c>
      <c r="G34">
        <f t="shared" si="9"/>
        <v>4.2441144512857668E-3</v>
      </c>
      <c r="H34">
        <v>210</v>
      </c>
      <c r="I34">
        <f t="shared" si="10"/>
        <v>762.03074972835941</v>
      </c>
    </row>
  </sheetData>
  <pageMargins left="0.7" right="0.7" top="0.75" bottom="0.75" header="0.3" footer="0.3"/>
  <ignoredErrors>
    <ignoredError sqref="J1 J25:J30 A2:A9 J5:J10 A25:A30 A1 A12:A15 J14:J15 J13 J12 D15:H15 D2:H10 D25:H30 D1:H1 A20 J20 D20:H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3.5.1.1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Eddie Sholl</dc:creator>
  <cp:lastModifiedBy>Mack Cheesman</cp:lastModifiedBy>
  <dcterms:created xsi:type="dcterms:W3CDTF">2026-02-18T00:55:42Z</dcterms:created>
  <dcterms:modified xsi:type="dcterms:W3CDTF">2026-10-16T04:42:56Z</dcterms:modified>
</cp:coreProperties>
</file>