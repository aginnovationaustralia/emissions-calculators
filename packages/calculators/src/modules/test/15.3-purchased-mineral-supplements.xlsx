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 defaultThemeVersion="202300"/>
  <xr:revisionPtr revIDLastSave="0" documentId="13_ncr:1_{C4FF7F9D-2903-4F41-9D80-608BB127D22D}" xr6:coauthVersionLast="47" xr6:coauthVersionMax="47" xr10:uidLastSave="{00000000-0000-0000-0000-000000000000}"/>
  <bookViews>
    <workbookView xWindow="0" yWindow="600" windowWidth="28800" windowHeight="15920" xr2:uid="{00000000-000D-0000-FFFF-FFFF00000000}"/>
  </bookViews>
  <sheets>
    <sheet name="15.3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9" i="1"/>
  <c r="D12" i="1"/>
  <c r="D13" i="1"/>
  <c r="C12" i="1"/>
  <c r="C13" i="1"/>
  <c r="C11" i="1"/>
  <c r="D11" i="1"/>
  <c r="D17" i="1"/>
</calcChain>
</file>

<file path=xl/sharedStrings.xml><?xml version="1.0" encoding="utf-8"?>
<sst xmlns="http://schemas.openxmlformats.org/spreadsheetml/2006/main" count="26" uniqueCount="18">
  <si>
    <t>SUM Qm * EFm</t>
  </si>
  <si>
    <t/>
  </si>
  <si>
    <t>285</t>
  </si>
  <si>
    <t>286</t>
  </si>
  <si>
    <t>284</t>
  </si>
  <si>
    <t>input</t>
  </si>
  <si>
    <t>constant</t>
  </si>
  <si>
    <t>expression</t>
  </si>
  <si>
    <t>m</t>
  </si>
  <si>
    <t>Qm</t>
  </si>
  <si>
    <t>EFm</t>
  </si>
  <si>
    <t>E</t>
  </si>
  <si>
    <t>Purchased mineral supplement types (m)</t>
  </si>
  <si>
    <t>Lick block, mineral</t>
  </si>
  <si>
    <t>Lick block, dry season mix</t>
  </si>
  <si>
    <t>Lick block, weaner</t>
  </si>
  <si>
    <t>Method 1</t>
  </si>
  <si>
    <t>Method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</si>
</sst>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19"/>
  <sheetViews>
    <sheetView tabSelected="1" workbookViewId="0">
      <selection activeCell="J7" sqref="J7"/>
    </sheetView>
  </sheetViews>
  <sheetFormatPr baseColWidth="10" defaultRowHeight="16" x14ac:dyDescent="0.2"/>
  <sheetData>
    <row r="4" spans="1:7" x14ac:dyDescent="0.2">
      <c r="A4" t="s">
        <v>16</v>
      </c>
    </row>
    <row r="5" spans="1:7" x14ac:dyDescent="0.2">
      <c r="D5" t="s">
        <v>0</v>
      </c>
    </row>
    <row r="6" spans="1:7" x14ac:dyDescent="0.2">
      <c r="A6" t="s">
        <v>1</v>
      </c>
      <c r="B6" t="s">
        <v>2</v>
      </c>
      <c r="C6" t="s">
        <v>3</v>
      </c>
      <c r="D6" t="s">
        <v>4</v>
      </c>
    </row>
    <row r="7" spans="1:7" x14ac:dyDescent="0.2">
      <c r="A7" t="s">
        <v>5</v>
      </c>
      <c r="B7" t="s">
        <v>5</v>
      </c>
      <c r="C7" t="s">
        <v>6</v>
      </c>
      <c r="D7" t="s">
        <v>7</v>
      </c>
      <c r="F7" t="s">
        <v>12</v>
      </c>
      <c r="G7" t="s">
        <v>10</v>
      </c>
    </row>
    <row r="8" spans="1:7" x14ac:dyDescent="0.2">
      <c r="F8" t="s">
        <v>14</v>
      </c>
      <c r="G8">
        <v>0.88100000000000001</v>
      </c>
    </row>
    <row r="9" spans="1:7" x14ac:dyDescent="0.2">
      <c r="F9" t="s">
        <v>15</v>
      </c>
      <c r="G9">
        <v>0.23100000000000001</v>
      </c>
    </row>
    <row r="10" spans="1:7" x14ac:dyDescent="0.2">
      <c r="A10" s="1" t="s">
        <v>8</v>
      </c>
      <c r="B10" s="1" t="s">
        <v>9</v>
      </c>
      <c r="C10" s="1" t="s">
        <v>10</v>
      </c>
      <c r="D10" s="2" t="s">
        <v>11</v>
      </c>
      <c r="F10" t="s">
        <v>13</v>
      </c>
      <c r="G10">
        <v>0.67700000000000005</v>
      </c>
    </row>
    <row r="11" spans="1:7" x14ac:dyDescent="0.2">
      <c r="A11" t="s">
        <v>14</v>
      </c>
      <c r="B11">
        <v>50</v>
      </c>
      <c r="C11">
        <f xml:space="preserve"> _xlfn.XLOOKUP(A11, $F$8:$F$10,$G$8:$G$10)</f>
        <v>0.88100000000000001</v>
      </c>
      <c r="D11">
        <f>B11 * C11</f>
        <v>44.05</v>
      </c>
    </row>
    <row r="12" spans="1:7" x14ac:dyDescent="0.2">
      <c r="A12" t="s">
        <v>15</v>
      </c>
      <c r="B12">
        <v>60</v>
      </c>
      <c r="C12">
        <f t="shared" ref="C12:C13" si="0" xml:space="preserve"> _xlfn.XLOOKUP(A12, $F$8:$F$10,$G$8:$G$10)</f>
        <v>0.23100000000000001</v>
      </c>
      <c r="D12">
        <f t="shared" ref="D12:D13" si="1">B12 * C12</f>
        <v>13.860000000000001</v>
      </c>
    </row>
    <row r="13" spans="1:7" x14ac:dyDescent="0.2">
      <c r="A13" t="s">
        <v>13</v>
      </c>
      <c r="B13">
        <v>70</v>
      </c>
      <c r="C13">
        <f t="shared" si="0"/>
        <v>0.67700000000000005</v>
      </c>
      <c r="D13">
        <f t="shared" si="1"/>
        <v>47.39</v>
      </c>
    </row>
    <row r="15" spans="1:7" x14ac:dyDescent="0.2">
      <c r="A15" t="s">
        <v>17</v>
      </c>
    </row>
    <row r="16" spans="1:7" x14ac:dyDescent="0.2">
      <c r="B16" s="1" t="s">
        <v>9</v>
      </c>
      <c r="C16" s="1" t="s">
        <v>10</v>
      </c>
      <c r="D16" s="2" t="s">
        <v>11</v>
      </c>
    </row>
    <row r="17" spans="2:4" x14ac:dyDescent="0.2">
      <c r="B17">
        <v>80</v>
      </c>
      <c r="C17">
        <v>0.5</v>
      </c>
      <c r="D17">
        <f>B17 * C17</f>
        <v>40</v>
      </c>
    </row>
    <row r="18" spans="2:4" x14ac:dyDescent="0.2">
      <c r="B18">
        <v>90</v>
      </c>
      <c r="C18">
        <v>2.3450000000000002</v>
      </c>
      <c r="D18">
        <f t="shared" ref="D18:D19" si="2">B18 * C18</f>
        <v>211.05</v>
      </c>
    </row>
    <row r="19" spans="2:4" x14ac:dyDescent="0.2">
      <c r="B19">
        <v>100</v>
      </c>
      <c r="C19">
        <v>1E-3</v>
      </c>
      <c r="D19">
        <f t="shared" si="2"/>
        <v>0.1</v>
      </c>
    </row>
  </sheetData>
  <pageMargins left="0.7" right="0.7" top="0.75" bottom="0.75" header="0.3" footer="0.3"/>
  <ignoredErrors>
    <ignoredError sqref="A5:D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15.3.1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 Cheesman</dc:creator>
  <cp:lastModifiedBy>Mack Cheesman</cp:lastModifiedBy>
  <dcterms:created xsi:type="dcterms:W3CDTF">2026-04-14T04:35:02Z</dcterms:created>
  <dcterms:modified xsi:type="dcterms:W3CDTF">2026-04-14T04:56:37Z</dcterms:modified>
</cp:coreProperties>
</file>