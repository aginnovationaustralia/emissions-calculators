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kcheesman/Desktop/Work/EAP/Code/emissions-calculators-internal/packages/calculators/src/modules/test/4.1-feedlot-manure/"/>
    </mc:Choice>
  </mc:AlternateContent>
  <xr:revisionPtr revIDLastSave="0" documentId="13_ncr:1_{5AE8545E-BAFB-8244-AEBA-A129830E79A1}" xr6:coauthVersionLast="47" xr6:coauthVersionMax="47" xr10:uidLastSave="{00000000-0000-0000-0000-000000000000}"/>
  <bookViews>
    <workbookView xWindow="28800" yWindow="-3600" windowWidth="38400" windowHeight="21600" activeTab="7" xr2:uid="{41363ED7-B38E-4D41-B794-96D6D87F84EC}"/>
  </bookViews>
  <sheets>
    <sheet name="Input Scenarios" sheetId="1" r:id="rId1"/>
    <sheet name="Constants" sheetId="2" r:id="rId2"/>
    <sheet name="4.1.1.1" sheetId="3" r:id="rId3"/>
    <sheet name="4.1.1.2" sheetId="4" r:id="rId4"/>
    <sheet name="4.1.1.3" sheetId="5" r:id="rId5"/>
    <sheet name="4.1.1.4" sheetId="6" r:id="rId6"/>
    <sheet name="4.1.1.5" sheetId="7" r:id="rId7"/>
    <sheet name="4.1.1.6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L12" i="8" l="1"/>
  <c r="AK12" i="8"/>
  <c r="AD12" i="8"/>
  <c r="AC12" i="8"/>
  <c r="AB12" i="8"/>
  <c r="AA12" i="8"/>
  <c r="Z12" i="8"/>
  <c r="T12" i="8" s="1"/>
  <c r="U12" i="8"/>
  <c r="AE12" i="8" s="1"/>
  <c r="S12" i="8"/>
  <c r="R12" i="8"/>
  <c r="Y12" i="8" s="1"/>
  <c r="AI12" i="8" s="1"/>
  <c r="AL11" i="8"/>
  <c r="AK11" i="8"/>
  <c r="AE11" i="8"/>
  <c r="AD11" i="8"/>
  <c r="AC11" i="8"/>
  <c r="AB11" i="8"/>
  <c r="AA11" i="8"/>
  <c r="Z11" i="8"/>
  <c r="T11" i="8" s="1"/>
  <c r="Y11" i="8"/>
  <c r="AI11" i="8" s="1"/>
  <c r="U11" i="8"/>
  <c r="S11" i="8"/>
  <c r="R11" i="8"/>
  <c r="AL10" i="8"/>
  <c r="AK10" i="8"/>
  <c r="AD10" i="8"/>
  <c r="AI10" i="8" s="1"/>
  <c r="AC10" i="8"/>
  <c r="AB10" i="8"/>
  <c r="AA10" i="8"/>
  <c r="Z10" i="8"/>
  <c r="Y10" i="8"/>
  <c r="U10" i="8"/>
  <c r="AE10" i="8" s="1"/>
  <c r="T10" i="8"/>
  <c r="V10" i="8" s="1"/>
  <c r="AF10" i="8" s="1"/>
  <c r="S10" i="8"/>
  <c r="R10" i="8"/>
  <c r="AL9" i="8"/>
  <c r="AK9" i="8"/>
  <c r="AD9" i="8"/>
  <c r="AC9" i="8"/>
  <c r="AB9" i="8"/>
  <c r="AA9" i="8"/>
  <c r="Z9" i="8"/>
  <c r="T9" i="8" s="1"/>
  <c r="U9" i="8"/>
  <c r="AE9" i="8" s="1"/>
  <c r="S9" i="8"/>
  <c r="R9" i="8"/>
  <c r="Y9" i="8" s="1"/>
  <c r="AI9" i="8" s="1"/>
  <c r="AL8" i="8"/>
  <c r="AK8" i="8"/>
  <c r="AD8" i="8"/>
  <c r="AC8" i="8"/>
  <c r="AB8" i="8"/>
  <c r="AA8" i="8"/>
  <c r="Z8" i="8"/>
  <c r="AE8" i="8" s="1"/>
  <c r="Y8" i="8"/>
  <c r="AI8" i="8" s="1"/>
  <c r="U8" i="8"/>
  <c r="S8" i="8"/>
  <c r="R8" i="8"/>
  <c r="AM9" i="7"/>
  <c r="AM10" i="7"/>
  <c r="AM11" i="7"/>
  <c r="AM12" i="7"/>
  <c r="AM8" i="7"/>
  <c r="AJ9" i="7"/>
  <c r="AJ10" i="7"/>
  <c r="AJ11" i="7"/>
  <c r="AJ12" i="7"/>
  <c r="AJ8" i="7"/>
  <c r="AL9" i="7"/>
  <c r="AL10" i="7"/>
  <c r="AL11" i="7"/>
  <c r="AL12" i="7"/>
  <c r="AL8" i="7"/>
  <c r="AK10" i="7"/>
  <c r="Z9" i="7"/>
  <c r="AA9" i="7"/>
  <c r="AB9" i="7"/>
  <c r="AC9" i="7"/>
  <c r="AD9" i="7"/>
  <c r="Z10" i="7"/>
  <c r="AA10" i="7"/>
  <c r="AB10" i="7"/>
  <c r="AC10" i="7"/>
  <c r="AD10" i="7"/>
  <c r="Z11" i="7"/>
  <c r="AA11" i="7"/>
  <c r="AB11" i="7"/>
  <c r="AC11" i="7"/>
  <c r="AD11" i="7"/>
  <c r="Z12" i="7"/>
  <c r="AA12" i="7"/>
  <c r="AB12" i="7"/>
  <c r="AC12" i="7"/>
  <c r="AD12" i="7"/>
  <c r="AD8" i="7"/>
  <c r="AC8" i="7"/>
  <c r="AB8" i="7"/>
  <c r="AA8" i="7"/>
  <c r="N12" i="8"/>
  <c r="K12" i="8"/>
  <c r="J12" i="8"/>
  <c r="I12" i="8"/>
  <c r="H12" i="8"/>
  <c r="G12" i="8"/>
  <c r="F12" i="8"/>
  <c r="E12" i="8"/>
  <c r="M12" i="8" s="1"/>
  <c r="O12" i="8" s="1"/>
  <c r="P12" i="8" s="1"/>
  <c r="Q12" i="8" s="1"/>
  <c r="D12" i="8"/>
  <c r="C12" i="8"/>
  <c r="B12" i="8"/>
  <c r="A12" i="8"/>
  <c r="N11" i="8"/>
  <c r="L11" i="8"/>
  <c r="K11" i="8"/>
  <c r="I11" i="8"/>
  <c r="H11" i="8"/>
  <c r="G11" i="8"/>
  <c r="F11" i="8"/>
  <c r="E11" i="8"/>
  <c r="J11" i="8" s="1"/>
  <c r="D11" i="8"/>
  <c r="C11" i="8"/>
  <c r="B11" i="8"/>
  <c r="A11" i="8"/>
  <c r="N10" i="8"/>
  <c r="M10" i="8"/>
  <c r="L10" i="8"/>
  <c r="K10" i="8"/>
  <c r="J10" i="8"/>
  <c r="O10" i="8" s="1"/>
  <c r="P10" i="8" s="1"/>
  <c r="Q10" i="8" s="1"/>
  <c r="I10" i="8"/>
  <c r="H10" i="8"/>
  <c r="G10" i="8"/>
  <c r="F10" i="8"/>
  <c r="E10" i="8"/>
  <c r="D10" i="8"/>
  <c r="C10" i="8"/>
  <c r="B10" i="8"/>
  <c r="A10" i="8"/>
  <c r="N9" i="8"/>
  <c r="I9" i="8"/>
  <c r="H9" i="8"/>
  <c r="G9" i="8"/>
  <c r="F9" i="8"/>
  <c r="E9" i="8"/>
  <c r="L9" i="8" s="1"/>
  <c r="D9" i="8"/>
  <c r="C9" i="8"/>
  <c r="B9" i="8"/>
  <c r="A9" i="8"/>
  <c r="N8" i="8"/>
  <c r="M8" i="8"/>
  <c r="J8" i="8"/>
  <c r="O8" i="8" s="1"/>
  <c r="I8" i="8"/>
  <c r="H8" i="8"/>
  <c r="G8" i="8"/>
  <c r="F8" i="8"/>
  <c r="E8" i="8"/>
  <c r="L8" i="8" s="1"/>
  <c r="D8" i="8"/>
  <c r="C8" i="8"/>
  <c r="B8" i="8"/>
  <c r="A8" i="8"/>
  <c r="S12" i="7"/>
  <c r="R12" i="7"/>
  <c r="N12" i="7"/>
  <c r="I12" i="7"/>
  <c r="H12" i="7"/>
  <c r="G12" i="7"/>
  <c r="F12" i="7"/>
  <c r="E12" i="7"/>
  <c r="M12" i="7" s="1"/>
  <c r="D12" i="7"/>
  <c r="C12" i="7"/>
  <c r="AK12" i="7" s="1"/>
  <c r="B12" i="7"/>
  <c r="A12" i="7"/>
  <c r="S11" i="7"/>
  <c r="R11" i="7"/>
  <c r="N11" i="7"/>
  <c r="L11" i="7"/>
  <c r="I11" i="7"/>
  <c r="H11" i="7"/>
  <c r="G11" i="7"/>
  <c r="F11" i="7"/>
  <c r="E11" i="7"/>
  <c r="K11" i="7" s="1"/>
  <c r="D11" i="7"/>
  <c r="C11" i="7"/>
  <c r="AK11" i="7" s="1"/>
  <c r="B11" i="7"/>
  <c r="A11" i="7"/>
  <c r="S10" i="7"/>
  <c r="R10" i="7"/>
  <c r="N10" i="7"/>
  <c r="J10" i="7"/>
  <c r="O10" i="7" s="1"/>
  <c r="I10" i="7"/>
  <c r="H10" i="7"/>
  <c r="G10" i="7"/>
  <c r="F10" i="7"/>
  <c r="E10" i="7"/>
  <c r="M10" i="7" s="1"/>
  <c r="D10" i="7"/>
  <c r="C10" i="7"/>
  <c r="B10" i="7"/>
  <c r="A10" i="7"/>
  <c r="S9" i="7"/>
  <c r="R9" i="7"/>
  <c r="N9" i="7"/>
  <c r="I9" i="7"/>
  <c r="H9" i="7"/>
  <c r="G9" i="7"/>
  <c r="F9" i="7"/>
  <c r="E9" i="7"/>
  <c r="M9" i="7" s="1"/>
  <c r="D9" i="7"/>
  <c r="C9" i="7"/>
  <c r="AK9" i="7" s="1"/>
  <c r="B9" i="7"/>
  <c r="A9" i="7"/>
  <c r="S8" i="7"/>
  <c r="Z8" i="7"/>
  <c r="R8" i="7"/>
  <c r="N8" i="7"/>
  <c r="I8" i="7"/>
  <c r="H8" i="7"/>
  <c r="G8" i="7"/>
  <c r="F8" i="7"/>
  <c r="E8" i="7"/>
  <c r="J8" i="7" s="1"/>
  <c r="D8" i="7"/>
  <c r="C8" i="7"/>
  <c r="AK8" i="7" s="1"/>
  <c r="B8" i="7"/>
  <c r="A8" i="7"/>
  <c r="AE12" i="6"/>
  <c r="AD12" i="6"/>
  <c r="AC12" i="6"/>
  <c r="AB12" i="6"/>
  <c r="AA12" i="6"/>
  <c r="Z12" i="6"/>
  <c r="S12" i="6"/>
  <c r="R12" i="6"/>
  <c r="N12" i="6"/>
  <c r="O12" i="6" s="1"/>
  <c r="P12" i="6" s="1"/>
  <c r="Q12" i="6" s="1"/>
  <c r="AE11" i="6"/>
  <c r="AD11" i="6"/>
  <c r="AC11" i="6"/>
  <c r="AB11" i="6"/>
  <c r="AA11" i="6"/>
  <c r="Z11" i="6"/>
  <c r="S11" i="6"/>
  <c r="R11" i="6"/>
  <c r="N11" i="6"/>
  <c r="O11" i="6" s="1"/>
  <c r="P11" i="6" s="1"/>
  <c r="Q11" i="6" s="1"/>
  <c r="AE10" i="6"/>
  <c r="AD10" i="6"/>
  <c r="AC10" i="6"/>
  <c r="AB10" i="6"/>
  <c r="AA10" i="6"/>
  <c r="Z10" i="6"/>
  <c r="S10" i="6"/>
  <c r="R10" i="6"/>
  <c r="N10" i="6"/>
  <c r="O10" i="6" s="1"/>
  <c r="P10" i="6" s="1"/>
  <c r="Q10" i="6" s="1"/>
  <c r="AE9" i="6"/>
  <c r="AD9" i="6"/>
  <c r="AC9" i="6"/>
  <c r="AB9" i="6"/>
  <c r="AA9" i="6"/>
  <c r="Z9" i="6"/>
  <c r="S9" i="6"/>
  <c r="R9" i="6"/>
  <c r="N9" i="6"/>
  <c r="O9" i="6" s="1"/>
  <c r="P9" i="6" s="1"/>
  <c r="Q9" i="6" s="1"/>
  <c r="AE8" i="6"/>
  <c r="AD8" i="6"/>
  <c r="AC8" i="6"/>
  <c r="AB8" i="6"/>
  <c r="AA8" i="6"/>
  <c r="Z8" i="6"/>
  <c r="S8" i="6"/>
  <c r="R8" i="6"/>
  <c r="N8" i="6"/>
  <c r="O8" i="6" s="1"/>
  <c r="P8" i="6" s="1"/>
  <c r="Q8" i="6" s="1"/>
  <c r="AK9" i="5"/>
  <c r="AK10" i="5"/>
  <c r="AK11" i="5"/>
  <c r="AK12" i="5"/>
  <c r="AK8" i="5"/>
  <c r="AF9" i="5"/>
  <c r="AG9" i="5"/>
  <c r="AH9" i="5"/>
  <c r="AI9" i="5"/>
  <c r="AJ9" i="5"/>
  <c r="AF10" i="5"/>
  <c r="AG10" i="5"/>
  <c r="AH10" i="5"/>
  <c r="AI10" i="5"/>
  <c r="AJ10" i="5"/>
  <c r="AF11" i="5"/>
  <c r="AG11" i="5"/>
  <c r="AH11" i="5"/>
  <c r="AI11" i="5"/>
  <c r="AJ11" i="5"/>
  <c r="AF12" i="5"/>
  <c r="AG12" i="5"/>
  <c r="AH12" i="5"/>
  <c r="AI12" i="5"/>
  <c r="AJ12" i="5"/>
  <c r="AG8" i="5"/>
  <c r="AH8" i="5"/>
  <c r="AI8" i="5"/>
  <c r="AJ8" i="5"/>
  <c r="AF8" i="5"/>
  <c r="AE9" i="5"/>
  <c r="AE10" i="5"/>
  <c r="AE11" i="5"/>
  <c r="AE12" i="5"/>
  <c r="AE8" i="5"/>
  <c r="AD12" i="5"/>
  <c r="AC12" i="5"/>
  <c r="AB12" i="5"/>
  <c r="AA12" i="5"/>
  <c r="Z12" i="5"/>
  <c r="S12" i="5"/>
  <c r="R12" i="5"/>
  <c r="O12" i="5"/>
  <c r="P12" i="5" s="1"/>
  <c r="Q12" i="5" s="1"/>
  <c r="N12" i="5"/>
  <c r="AD11" i="5"/>
  <c r="AC11" i="5"/>
  <c r="AB11" i="5"/>
  <c r="AA11" i="5"/>
  <c r="Z11" i="5"/>
  <c r="S11" i="5"/>
  <c r="R11" i="5"/>
  <c r="P11" i="5"/>
  <c r="Q11" i="5" s="1"/>
  <c r="O11" i="5"/>
  <c r="N11" i="5"/>
  <c r="AD10" i="5"/>
  <c r="AC10" i="5"/>
  <c r="AB10" i="5"/>
  <c r="AA10" i="5"/>
  <c r="Z10" i="5"/>
  <c r="S10" i="5"/>
  <c r="R10" i="5"/>
  <c r="N10" i="5"/>
  <c r="O10" i="5" s="1"/>
  <c r="P10" i="5" s="1"/>
  <c r="Q10" i="5" s="1"/>
  <c r="AD9" i="5"/>
  <c r="AC9" i="5"/>
  <c r="AB9" i="5"/>
  <c r="AA9" i="5"/>
  <c r="Z9" i="5"/>
  <c r="S9" i="5"/>
  <c r="R9" i="5"/>
  <c r="N9" i="5"/>
  <c r="O9" i="5" s="1"/>
  <c r="P9" i="5" s="1"/>
  <c r="Q9" i="5" s="1"/>
  <c r="AD8" i="5"/>
  <c r="AC8" i="5"/>
  <c r="AB8" i="5"/>
  <c r="AA8" i="5"/>
  <c r="Z8" i="5"/>
  <c r="S8" i="5"/>
  <c r="R8" i="5"/>
  <c r="N8" i="5"/>
  <c r="O8" i="5" s="1"/>
  <c r="P8" i="5" s="1"/>
  <c r="Q8" i="5" s="1"/>
  <c r="B33" i="2"/>
  <c r="I8" i="6"/>
  <c r="I9" i="6"/>
  <c r="I10" i="6"/>
  <c r="I11" i="6"/>
  <c r="I12" i="6"/>
  <c r="I8" i="5"/>
  <c r="I9" i="5"/>
  <c r="I10" i="5"/>
  <c r="I11" i="5"/>
  <c r="I12" i="5"/>
  <c r="I8" i="4"/>
  <c r="I9" i="4"/>
  <c r="I10" i="4"/>
  <c r="I11" i="4"/>
  <c r="I12" i="4"/>
  <c r="H9" i="3"/>
  <c r="I9" i="3"/>
  <c r="H10" i="3"/>
  <c r="I10" i="3"/>
  <c r="H11" i="3"/>
  <c r="I11" i="3"/>
  <c r="H12" i="3"/>
  <c r="I12" i="3"/>
  <c r="I8" i="3"/>
  <c r="H12" i="6"/>
  <c r="G12" i="6"/>
  <c r="F12" i="6"/>
  <c r="E12" i="6"/>
  <c r="J12" i="6" s="1"/>
  <c r="D12" i="6"/>
  <c r="C12" i="6"/>
  <c r="B12" i="6"/>
  <c r="A12" i="6"/>
  <c r="H11" i="6"/>
  <c r="G11" i="6"/>
  <c r="F11" i="6"/>
  <c r="E11" i="6"/>
  <c r="K11" i="6" s="1"/>
  <c r="D11" i="6"/>
  <c r="C11" i="6"/>
  <c r="B11" i="6"/>
  <c r="A11" i="6"/>
  <c r="H10" i="6"/>
  <c r="G10" i="6"/>
  <c r="F10" i="6"/>
  <c r="E10" i="6"/>
  <c r="K10" i="6" s="1"/>
  <c r="D10" i="6"/>
  <c r="C10" i="6"/>
  <c r="B10" i="6"/>
  <c r="A10" i="6"/>
  <c r="H9" i="6"/>
  <c r="G9" i="6"/>
  <c r="F9" i="6"/>
  <c r="E9" i="6"/>
  <c r="K9" i="6" s="1"/>
  <c r="D9" i="6"/>
  <c r="C9" i="6"/>
  <c r="B9" i="6"/>
  <c r="A9" i="6"/>
  <c r="H8" i="6"/>
  <c r="G8" i="6"/>
  <c r="F8" i="6"/>
  <c r="E8" i="6"/>
  <c r="L8" i="6" s="1"/>
  <c r="D8" i="6"/>
  <c r="C8" i="6"/>
  <c r="B8" i="6"/>
  <c r="A8" i="6"/>
  <c r="L12" i="5"/>
  <c r="H12" i="5"/>
  <c r="G12" i="5"/>
  <c r="F12" i="5"/>
  <c r="E12" i="5"/>
  <c r="M12" i="5" s="1"/>
  <c r="D12" i="5"/>
  <c r="C12" i="5"/>
  <c r="B12" i="5"/>
  <c r="A12" i="5"/>
  <c r="H11" i="5"/>
  <c r="G11" i="5"/>
  <c r="F11" i="5"/>
  <c r="E11" i="5"/>
  <c r="K11" i="5" s="1"/>
  <c r="D11" i="5"/>
  <c r="C11" i="5"/>
  <c r="B11" i="5"/>
  <c r="A11" i="5"/>
  <c r="L10" i="5"/>
  <c r="H10" i="5"/>
  <c r="G10" i="5"/>
  <c r="F10" i="5"/>
  <c r="E10" i="5"/>
  <c r="K10" i="5" s="1"/>
  <c r="D10" i="5"/>
  <c r="C10" i="5"/>
  <c r="B10" i="5"/>
  <c r="A10" i="5"/>
  <c r="L9" i="5"/>
  <c r="H9" i="5"/>
  <c r="G9" i="5"/>
  <c r="F9" i="5"/>
  <c r="E9" i="5"/>
  <c r="J9" i="5" s="1"/>
  <c r="D9" i="5"/>
  <c r="C9" i="5"/>
  <c r="B9" i="5"/>
  <c r="A9" i="5"/>
  <c r="H8" i="5"/>
  <c r="G8" i="5"/>
  <c r="F8" i="5"/>
  <c r="E8" i="5"/>
  <c r="K8" i="5" s="1"/>
  <c r="D8" i="5"/>
  <c r="C8" i="5"/>
  <c r="B8" i="5"/>
  <c r="A8" i="5"/>
  <c r="AB8" i="4"/>
  <c r="V11" i="4"/>
  <c r="W8" i="4"/>
  <c r="U8" i="4"/>
  <c r="A9" i="4"/>
  <c r="B9" i="4"/>
  <c r="V9" i="4" s="1"/>
  <c r="C9" i="4"/>
  <c r="D9" i="4"/>
  <c r="E9" i="4"/>
  <c r="J9" i="4" s="1"/>
  <c r="F9" i="4"/>
  <c r="G9" i="4"/>
  <c r="H9" i="4"/>
  <c r="M9" i="4"/>
  <c r="A10" i="4"/>
  <c r="R10" i="4" s="1"/>
  <c r="B10" i="4"/>
  <c r="U10" i="4" s="1"/>
  <c r="C10" i="4"/>
  <c r="D10" i="4"/>
  <c r="E10" i="4"/>
  <c r="K10" i="4" s="1"/>
  <c r="F10" i="4"/>
  <c r="G10" i="4"/>
  <c r="H10" i="4"/>
  <c r="J10" i="4"/>
  <c r="A11" i="4"/>
  <c r="B11" i="4"/>
  <c r="AB11" i="4" s="1"/>
  <c r="C11" i="4"/>
  <c r="D11" i="4"/>
  <c r="E11" i="4"/>
  <c r="J11" i="4" s="1"/>
  <c r="F11" i="4"/>
  <c r="G11" i="4"/>
  <c r="H11" i="4"/>
  <c r="A12" i="4"/>
  <c r="B12" i="4"/>
  <c r="U12" i="4" s="1"/>
  <c r="C12" i="4"/>
  <c r="D12" i="4"/>
  <c r="E12" i="4"/>
  <c r="L12" i="4" s="1"/>
  <c r="F12" i="4"/>
  <c r="G12" i="4"/>
  <c r="H12" i="4"/>
  <c r="J12" i="4"/>
  <c r="K12" i="4"/>
  <c r="D8" i="4"/>
  <c r="E8" i="4"/>
  <c r="M8" i="4" s="1"/>
  <c r="F8" i="4"/>
  <c r="G8" i="4"/>
  <c r="H8" i="4"/>
  <c r="C8" i="4"/>
  <c r="B8" i="4"/>
  <c r="V8" i="4" s="1"/>
  <c r="A8" i="4"/>
  <c r="AA12" i="4"/>
  <c r="T12" i="4"/>
  <c r="Q12" i="4"/>
  <c r="P12" i="4"/>
  <c r="N12" i="4"/>
  <c r="AA11" i="4"/>
  <c r="T11" i="4"/>
  <c r="Q11" i="4"/>
  <c r="P11" i="4"/>
  <c r="N11" i="4"/>
  <c r="AA10" i="4"/>
  <c r="T10" i="4"/>
  <c r="Q10" i="4"/>
  <c r="P10" i="4"/>
  <c r="N10" i="4"/>
  <c r="AA9" i="4"/>
  <c r="T9" i="4"/>
  <c r="Q9" i="4"/>
  <c r="P9" i="4"/>
  <c r="N9" i="4"/>
  <c r="AA8" i="4"/>
  <c r="T8" i="4"/>
  <c r="Q8" i="4"/>
  <c r="P8" i="4"/>
  <c r="N8" i="4"/>
  <c r="O8" i="4" s="1"/>
  <c r="S8" i="4" s="1"/>
  <c r="AA9" i="3"/>
  <c r="AA10" i="3"/>
  <c r="AA11" i="3"/>
  <c r="AA12" i="3"/>
  <c r="AA8" i="3"/>
  <c r="U11" i="3"/>
  <c r="V11" i="3"/>
  <c r="W11" i="3"/>
  <c r="W8" i="3"/>
  <c r="U8" i="3"/>
  <c r="B9" i="3"/>
  <c r="B10" i="3"/>
  <c r="B11" i="3"/>
  <c r="B12" i="3"/>
  <c r="B8" i="3"/>
  <c r="T9" i="3"/>
  <c r="T10" i="3"/>
  <c r="T11" i="3"/>
  <c r="T12" i="3"/>
  <c r="T8" i="3"/>
  <c r="A9" i="3"/>
  <c r="V9" i="3" s="1"/>
  <c r="C9" i="3"/>
  <c r="D9" i="3"/>
  <c r="E9" i="3"/>
  <c r="K9" i="3" s="1"/>
  <c r="F9" i="3"/>
  <c r="G9" i="3"/>
  <c r="N9" i="3"/>
  <c r="P9" i="3"/>
  <c r="Q9" i="3"/>
  <c r="A10" i="3"/>
  <c r="U10" i="3" s="1"/>
  <c r="C10" i="3"/>
  <c r="D10" i="3"/>
  <c r="E10" i="3"/>
  <c r="J10" i="3" s="1"/>
  <c r="F10" i="3"/>
  <c r="G10" i="3"/>
  <c r="N10" i="3"/>
  <c r="P10" i="3"/>
  <c r="Q10" i="3"/>
  <c r="R10" i="3"/>
  <c r="A11" i="3"/>
  <c r="AB11" i="3" s="1"/>
  <c r="C11" i="3"/>
  <c r="D11" i="3"/>
  <c r="E11" i="3"/>
  <c r="J11" i="3" s="1"/>
  <c r="F11" i="3"/>
  <c r="G11" i="3"/>
  <c r="N11" i="3"/>
  <c r="P11" i="3"/>
  <c r="Q11" i="3"/>
  <c r="R11" i="3"/>
  <c r="A12" i="3"/>
  <c r="R12" i="3" s="1"/>
  <c r="C12" i="3"/>
  <c r="D12" i="3"/>
  <c r="E12" i="3"/>
  <c r="J12" i="3" s="1"/>
  <c r="F12" i="3"/>
  <c r="G12" i="3"/>
  <c r="N12" i="3"/>
  <c r="P12" i="3"/>
  <c r="Q12" i="3"/>
  <c r="R8" i="3"/>
  <c r="Q8" i="3"/>
  <c r="P8" i="3"/>
  <c r="N8" i="3"/>
  <c r="C8" i="3"/>
  <c r="D8" i="3"/>
  <c r="E8" i="3"/>
  <c r="M8" i="3" s="1"/>
  <c r="F8" i="3"/>
  <c r="G8" i="3"/>
  <c r="H8" i="3"/>
  <c r="A8" i="3"/>
  <c r="AB8" i="3" s="1"/>
  <c r="W12" i="8" l="1"/>
  <c r="AG12" i="8" s="1"/>
  <c r="V12" i="8"/>
  <c r="AF12" i="8" s="1"/>
  <c r="AJ12" i="8" s="1"/>
  <c r="AM12" i="8" s="1"/>
  <c r="X12" i="8"/>
  <c r="AH12" i="8" s="1"/>
  <c r="AJ11" i="8"/>
  <c r="AM11" i="8" s="1"/>
  <c r="AJ9" i="8"/>
  <c r="AM9" i="8" s="1"/>
  <c r="W11" i="8"/>
  <c r="AG11" i="8" s="1"/>
  <c r="X11" i="8"/>
  <c r="AH11" i="8" s="1"/>
  <c r="V11" i="8"/>
  <c r="AF11" i="8" s="1"/>
  <c r="X9" i="8"/>
  <c r="AH9" i="8" s="1"/>
  <c r="W9" i="8"/>
  <c r="AG9" i="8" s="1"/>
  <c r="V9" i="8"/>
  <c r="AF9" i="8" s="1"/>
  <c r="W10" i="8"/>
  <c r="AG10" i="8" s="1"/>
  <c r="AJ10" i="8" s="1"/>
  <c r="AM10" i="8" s="1"/>
  <c r="T8" i="8"/>
  <c r="X10" i="8"/>
  <c r="AH10" i="8" s="1"/>
  <c r="L8" i="7"/>
  <c r="J9" i="7"/>
  <c r="L10" i="7"/>
  <c r="K8" i="7"/>
  <c r="K9" i="7"/>
  <c r="O9" i="7"/>
  <c r="P9" i="7" s="1"/>
  <c r="Q9" i="7" s="1"/>
  <c r="T9" i="7" s="1"/>
  <c r="J12" i="7"/>
  <c r="O12" i="7" s="1"/>
  <c r="K12" i="7"/>
  <c r="L12" i="7"/>
  <c r="P8" i="8"/>
  <c r="Q8" i="8" s="1"/>
  <c r="M11" i="7"/>
  <c r="K8" i="8"/>
  <c r="M8" i="7"/>
  <c r="O8" i="7" s="1"/>
  <c r="K10" i="7"/>
  <c r="P10" i="7" s="1"/>
  <c r="Q10" i="7" s="1"/>
  <c r="M11" i="8"/>
  <c r="O11" i="8" s="1"/>
  <c r="P11" i="8" s="1"/>
  <c r="Q11" i="8" s="1"/>
  <c r="M9" i="8"/>
  <c r="L9" i="7"/>
  <c r="J11" i="7"/>
  <c r="O11" i="7" s="1"/>
  <c r="P11" i="7" s="1"/>
  <c r="Q11" i="7" s="1"/>
  <c r="K9" i="8"/>
  <c r="L12" i="8"/>
  <c r="J9" i="8"/>
  <c r="O9" i="8" s="1"/>
  <c r="P9" i="8" s="1"/>
  <c r="Q9" i="8" s="1"/>
  <c r="U10" i="6"/>
  <c r="AF10" i="6" s="1"/>
  <c r="Y10" i="6"/>
  <c r="AJ10" i="6" s="1"/>
  <c r="T10" i="6"/>
  <c r="U8" i="6"/>
  <c r="AF8" i="6" s="1"/>
  <c r="T8" i="6"/>
  <c r="Y8" i="6"/>
  <c r="AJ8" i="6" s="1"/>
  <c r="U9" i="6"/>
  <c r="AF9" i="6" s="1"/>
  <c r="Y9" i="6"/>
  <c r="AJ9" i="6" s="1"/>
  <c r="T9" i="6"/>
  <c r="U11" i="6"/>
  <c r="AF11" i="6" s="1"/>
  <c r="T11" i="6"/>
  <c r="Y11" i="6"/>
  <c r="AJ11" i="6" s="1"/>
  <c r="U12" i="6"/>
  <c r="AF12" i="6" s="1"/>
  <c r="T12" i="6"/>
  <c r="Y12" i="6"/>
  <c r="AJ12" i="6" s="1"/>
  <c r="Y12" i="5"/>
  <c r="U12" i="5"/>
  <c r="T12" i="5"/>
  <c r="T8" i="5"/>
  <c r="Y8" i="5"/>
  <c r="U8" i="5"/>
  <c r="U10" i="5"/>
  <c r="Y10" i="5"/>
  <c r="T10" i="5"/>
  <c r="Y9" i="5"/>
  <c r="U9" i="5"/>
  <c r="T9" i="5"/>
  <c r="T11" i="5"/>
  <c r="U11" i="5"/>
  <c r="Y11" i="5"/>
  <c r="M8" i="5"/>
  <c r="K9" i="5"/>
  <c r="J8" i="6"/>
  <c r="K8" i="6"/>
  <c r="M8" i="6"/>
  <c r="M10" i="5"/>
  <c r="L8" i="5"/>
  <c r="M9" i="5"/>
  <c r="K12" i="6"/>
  <c r="L12" i="6"/>
  <c r="L11" i="6"/>
  <c r="M11" i="6"/>
  <c r="M12" i="6"/>
  <c r="J12" i="5"/>
  <c r="K12" i="5"/>
  <c r="W10" i="4"/>
  <c r="M12" i="4"/>
  <c r="U11" i="4"/>
  <c r="V10" i="4"/>
  <c r="AB10" i="4"/>
  <c r="W11" i="4"/>
  <c r="L8" i="3"/>
  <c r="AB10" i="3"/>
  <c r="K8" i="3"/>
  <c r="J9" i="3"/>
  <c r="W10" i="3"/>
  <c r="AB9" i="3"/>
  <c r="U9" i="3"/>
  <c r="V8" i="3"/>
  <c r="U9" i="4"/>
  <c r="AB12" i="4"/>
  <c r="AC12" i="4" s="1"/>
  <c r="V10" i="3"/>
  <c r="J8" i="4"/>
  <c r="M11" i="4"/>
  <c r="L9" i="6"/>
  <c r="W12" i="3"/>
  <c r="K8" i="4"/>
  <c r="M10" i="4"/>
  <c r="W12" i="4"/>
  <c r="AB9" i="4"/>
  <c r="M9" i="6"/>
  <c r="O12" i="4"/>
  <c r="Z12" i="4" s="1"/>
  <c r="J8" i="3"/>
  <c r="O8" i="3" s="1"/>
  <c r="V12" i="3"/>
  <c r="L8" i="4"/>
  <c r="L10" i="4"/>
  <c r="V12" i="4"/>
  <c r="W9" i="4"/>
  <c r="J8" i="5"/>
  <c r="J11" i="6"/>
  <c r="W9" i="3"/>
  <c r="AB12" i="3"/>
  <c r="R9" i="3"/>
  <c r="U12" i="3"/>
  <c r="J10" i="5"/>
  <c r="L11" i="5"/>
  <c r="J9" i="6"/>
  <c r="L10" i="6"/>
  <c r="M11" i="5"/>
  <c r="M10" i="6"/>
  <c r="J11" i="5"/>
  <c r="J10" i="6"/>
  <c r="L11" i="4"/>
  <c r="O11" i="4" s="1"/>
  <c r="L9" i="4"/>
  <c r="O9" i="4" s="1"/>
  <c r="K11" i="4"/>
  <c r="K9" i="4"/>
  <c r="R9" i="4"/>
  <c r="R8" i="4"/>
  <c r="R12" i="4"/>
  <c r="S12" i="4" s="1"/>
  <c r="R11" i="4"/>
  <c r="X12" i="4"/>
  <c r="Y12" i="4"/>
  <c r="M10" i="3"/>
  <c r="M12" i="3"/>
  <c r="L12" i="3"/>
  <c r="O12" i="3" s="1"/>
  <c r="M11" i="3"/>
  <c r="K12" i="3"/>
  <c r="L11" i="3"/>
  <c r="O11" i="3" s="1"/>
  <c r="K11" i="3"/>
  <c r="L10" i="3"/>
  <c r="O10" i="3" s="1"/>
  <c r="M9" i="3"/>
  <c r="L9" i="3"/>
  <c r="O9" i="3" s="1"/>
  <c r="K10" i="3"/>
  <c r="W8" i="8" l="1"/>
  <c r="AG8" i="8" s="1"/>
  <c r="V8" i="8"/>
  <c r="AF8" i="8" s="1"/>
  <c r="X8" i="8"/>
  <c r="AH8" i="8" s="1"/>
  <c r="P8" i="7"/>
  <c r="Q8" i="7" s="1"/>
  <c r="P12" i="7"/>
  <c r="Q12" i="7" s="1"/>
  <c r="U9" i="7"/>
  <c r="AE9" i="7" s="1"/>
  <c r="T12" i="7"/>
  <c r="V12" i="7" s="1"/>
  <c r="AF12" i="7" s="1"/>
  <c r="Y12" i="7"/>
  <c r="AI12" i="7" s="1"/>
  <c r="U12" i="7"/>
  <c r="AE12" i="7" s="1"/>
  <c r="Y9" i="7"/>
  <c r="AI9" i="7" s="1"/>
  <c r="Y8" i="7"/>
  <c r="AI8" i="7" s="1"/>
  <c r="U8" i="7"/>
  <c r="AE8" i="7" s="1"/>
  <c r="T8" i="7"/>
  <c r="Y11" i="7"/>
  <c r="AI11" i="7" s="1"/>
  <c r="T11" i="7"/>
  <c r="U11" i="7"/>
  <c r="AE11" i="7" s="1"/>
  <c r="U10" i="7"/>
  <c r="AE10" i="7" s="1"/>
  <c r="T10" i="7"/>
  <c r="Y10" i="7"/>
  <c r="AI10" i="7" s="1"/>
  <c r="X9" i="7"/>
  <c r="AH9" i="7" s="1"/>
  <c r="W9" i="7"/>
  <c r="AG9" i="7" s="1"/>
  <c r="V9" i="7"/>
  <c r="AF9" i="7" s="1"/>
  <c r="X12" i="6"/>
  <c r="AI12" i="6" s="1"/>
  <c r="V12" i="6"/>
  <c r="AG12" i="6" s="1"/>
  <c r="AK12" i="6" s="1"/>
  <c r="W12" i="6"/>
  <c r="AH12" i="6" s="1"/>
  <c r="X8" i="6"/>
  <c r="AI8" i="6" s="1"/>
  <c r="W8" i="6"/>
  <c r="AH8" i="6" s="1"/>
  <c r="V8" i="6"/>
  <c r="AG8" i="6" s="1"/>
  <c r="AK8" i="6" s="1"/>
  <c r="X11" i="6"/>
  <c r="AI11" i="6" s="1"/>
  <c r="W11" i="6"/>
  <c r="AH11" i="6" s="1"/>
  <c r="V11" i="6"/>
  <c r="AG11" i="6" s="1"/>
  <c r="X10" i="6"/>
  <c r="AI10" i="6" s="1"/>
  <c r="V10" i="6"/>
  <c r="AG10" i="6" s="1"/>
  <c r="AK10" i="6" s="1"/>
  <c r="W10" i="6"/>
  <c r="AH10" i="6" s="1"/>
  <c r="AK11" i="6"/>
  <c r="X9" i="6"/>
  <c r="AI9" i="6" s="1"/>
  <c r="W9" i="6"/>
  <c r="AH9" i="6" s="1"/>
  <c r="V9" i="6"/>
  <c r="AG9" i="6" s="1"/>
  <c r="AK9" i="6" s="1"/>
  <c r="X9" i="5"/>
  <c r="W9" i="5"/>
  <c r="V9" i="5"/>
  <c r="W11" i="5"/>
  <c r="X11" i="5"/>
  <c r="V11" i="5"/>
  <c r="V12" i="5"/>
  <c r="W12" i="5"/>
  <c r="X12" i="5"/>
  <c r="X8" i="5"/>
  <c r="W8" i="5"/>
  <c r="V8" i="5"/>
  <c r="X10" i="5"/>
  <c r="W10" i="5"/>
  <c r="V10" i="5"/>
  <c r="S10" i="3"/>
  <c r="Z10" i="3"/>
  <c r="AC10" i="3"/>
  <c r="X10" i="3"/>
  <c r="Y10" i="3"/>
  <c r="Z11" i="3"/>
  <c r="S11" i="3"/>
  <c r="AC11" i="3"/>
  <c r="X11" i="3"/>
  <c r="Y11" i="3"/>
  <c r="Z8" i="3"/>
  <c r="Y8" i="3"/>
  <c r="AC8" i="3"/>
  <c r="S8" i="3"/>
  <c r="X8" i="3"/>
  <c r="X9" i="3"/>
  <c r="S9" i="3"/>
  <c r="AC9" i="3"/>
  <c r="Y9" i="3"/>
  <c r="Z9" i="3"/>
  <c r="X12" i="3"/>
  <c r="AC12" i="3"/>
  <c r="Y12" i="3"/>
  <c r="Z12" i="3"/>
  <c r="S12" i="3"/>
  <c r="X9" i="4"/>
  <c r="Z9" i="4"/>
  <c r="AC9" i="4"/>
  <c r="Y9" i="4"/>
  <c r="Y11" i="4"/>
  <c r="X11" i="4"/>
  <c r="S11" i="4"/>
  <c r="AC11" i="4"/>
  <c r="S9" i="4"/>
  <c r="Z11" i="4"/>
  <c r="AD12" i="4"/>
  <c r="AE12" i="4" s="1"/>
  <c r="O10" i="4"/>
  <c r="AJ8" i="8" l="1"/>
  <c r="AM8" i="8" s="1"/>
  <c r="X12" i="7"/>
  <c r="AH12" i="7" s="1"/>
  <c r="W12" i="7"/>
  <c r="AG12" i="7" s="1"/>
  <c r="X11" i="7"/>
  <c r="AH11" i="7" s="1"/>
  <c r="W11" i="7"/>
  <c r="AG11" i="7" s="1"/>
  <c r="V11" i="7"/>
  <c r="AF11" i="7" s="1"/>
  <c r="V8" i="7"/>
  <c r="AF8" i="7" s="1"/>
  <c r="X8" i="7"/>
  <c r="AH8" i="7" s="1"/>
  <c r="W8" i="7"/>
  <c r="AG8" i="7" s="1"/>
  <c r="X10" i="7"/>
  <c r="AH10" i="7" s="1"/>
  <c r="W10" i="7"/>
  <c r="AG10" i="7" s="1"/>
  <c r="V10" i="7"/>
  <c r="AF10" i="7" s="1"/>
  <c r="AD12" i="3"/>
  <c r="AE12" i="3" s="1"/>
  <c r="AD9" i="3"/>
  <c r="AE9" i="3" s="1"/>
  <c r="Z8" i="4"/>
  <c r="X8" i="4"/>
  <c r="Y8" i="4"/>
  <c r="AC8" i="4"/>
  <c r="AD8" i="3"/>
  <c r="AE8" i="3" s="1"/>
  <c r="AD11" i="3"/>
  <c r="AE11" i="3" s="1"/>
  <c r="AD10" i="3"/>
  <c r="AE10" i="3" s="1"/>
  <c r="AD11" i="4"/>
  <c r="AE11" i="4" s="1"/>
  <c r="AD9" i="4"/>
  <c r="AE9" i="4" s="1"/>
  <c r="S10" i="4"/>
  <c r="Z10" i="4"/>
  <c r="Y10" i="4"/>
  <c r="X10" i="4"/>
  <c r="AC10" i="4"/>
  <c r="AD8" i="4" l="1"/>
  <c r="AE8" i="4" s="1"/>
  <c r="AD10" i="4"/>
  <c r="AE10" i="4" s="1"/>
</calcChain>
</file>

<file path=xl/sharedStrings.xml><?xml version="1.0" encoding="utf-8"?>
<sst xmlns="http://schemas.openxmlformats.org/spreadsheetml/2006/main" count="426" uniqueCount="111">
  <si>
    <t>Method 1 Inputs</t>
  </si>
  <si>
    <t>input</t>
  </si>
  <si>
    <t>State</t>
  </si>
  <si>
    <t>MAT</t>
  </si>
  <si>
    <t>Production system</t>
  </si>
  <si>
    <t>Climate Zone</t>
  </si>
  <si>
    <t>i</t>
  </si>
  <si>
    <t>solid storage</t>
  </si>
  <si>
    <t>Nj</t>
  </si>
  <si>
    <t>Dj</t>
  </si>
  <si>
    <t>NSW</t>
  </si>
  <si>
    <t>Non-irrigated pasture</t>
  </si>
  <si>
    <t>wet</t>
  </si>
  <si>
    <t>composting</t>
  </si>
  <si>
    <t>directApplication</t>
  </si>
  <si>
    <t>Allocations to MMS in treatment stage 2</t>
  </si>
  <si>
    <t>MMSjm=4T=2</t>
  </si>
  <si>
    <t>MMSjm=7T=2</t>
  </si>
  <si>
    <t>MMSjm=13T=2</t>
  </si>
  <si>
    <t>DMDj</t>
  </si>
  <si>
    <t>Ij</t>
  </si>
  <si>
    <t>CPj</t>
  </si>
  <si>
    <t>NRj</t>
  </si>
  <si>
    <t>Number of cattle</t>
  </si>
  <si>
    <t>Avg. length of star</t>
  </si>
  <si>
    <t>Dry matter digestibility</t>
  </si>
  <si>
    <t>Dry matter intake</t>
  </si>
  <si>
    <t>Crude protein</t>
  </si>
  <si>
    <t>Nitrogen Retention Rate</t>
  </si>
  <si>
    <t>Domestic</t>
  </si>
  <si>
    <t>Mid-fed</t>
  </si>
  <si>
    <t>Long-fed</t>
  </si>
  <si>
    <t>Feedlot Type</t>
  </si>
  <si>
    <t>MCFim by state</t>
  </si>
  <si>
    <t>MMS</t>
  </si>
  <si>
    <t>m</t>
  </si>
  <si>
    <t>EFm</t>
  </si>
  <si>
    <t>FracGASMm</t>
  </si>
  <si>
    <t>QLD</t>
  </si>
  <si>
    <t>VIC</t>
  </si>
  <si>
    <t>SA</t>
  </si>
  <si>
    <t>WA</t>
  </si>
  <si>
    <t>anaerobicLagoon</t>
  </si>
  <si>
    <t>solidStorage</t>
  </si>
  <si>
    <t>MCFim BY MAT</t>
  </si>
  <si>
    <t>EFN2O</t>
  </si>
  <si>
    <t>10 or below</t>
  </si>
  <si>
    <t>Irrigated pasture</t>
  </si>
  <si>
    <t>Irrigated crop</t>
  </si>
  <si>
    <t>Non-irrigated crop (low rainfall)</t>
  </si>
  <si>
    <t>Non-irrigated crop (high rainfall)</t>
  </si>
  <si>
    <t>EFPRP</t>
  </si>
  <si>
    <t>dry</t>
  </si>
  <si>
    <t>Fixed Constants</t>
  </si>
  <si>
    <t>28 or above</t>
  </si>
  <si>
    <t>drylot</t>
  </si>
  <si>
    <t>A</t>
  </si>
  <si>
    <t>VSL</t>
  </si>
  <si>
    <t>MMSm=1T=3</t>
  </si>
  <si>
    <t>VSj</t>
  </si>
  <si>
    <t>Bo</t>
  </si>
  <si>
    <t>𝜌</t>
  </si>
  <si>
    <t>Mjm=5T=1</t>
  </si>
  <si>
    <t>MCFim=5</t>
  </si>
  <si>
    <t>MCFim=4</t>
  </si>
  <si>
    <t>MCFim=7</t>
  </si>
  <si>
    <t>MCFim=13</t>
  </si>
  <si>
    <t>Mjm=7T=2</t>
  </si>
  <si>
    <t>Mjm=4T=2</t>
  </si>
  <si>
    <t>Mjm=13T=2</t>
  </si>
  <si>
    <t>MCFim=1</t>
  </si>
  <si>
    <t>Mjm=1T=3</t>
  </si>
  <si>
    <t>Mjm</t>
  </si>
  <si>
    <t>ECH4</t>
  </si>
  <si>
    <t>Method 2 inputs</t>
  </si>
  <si>
    <t>PF</t>
  </si>
  <si>
    <t>Crude protein to nitrogen</t>
  </si>
  <si>
    <t>NIj</t>
  </si>
  <si>
    <t>NEj</t>
  </si>
  <si>
    <t>AEj</t>
  </si>
  <si>
    <t>FracGASMm=5</t>
  </si>
  <si>
    <t>EFm=5</t>
  </si>
  <si>
    <t>NTjmT=2</t>
  </si>
  <si>
    <t>(Also MNjm=5T=1)</t>
  </si>
  <si>
    <t>MNjm=5T=1</t>
  </si>
  <si>
    <t>MNjm=4T=2</t>
  </si>
  <si>
    <t>MNjm=7T=2</t>
  </si>
  <si>
    <t>MNjm=13T=2</t>
  </si>
  <si>
    <t>MNjm=1T=3</t>
  </si>
  <si>
    <t>EFm=7</t>
  </si>
  <si>
    <t>EFm=4</t>
  </si>
  <si>
    <t>EFm=13</t>
  </si>
  <si>
    <t>EFm=1</t>
  </si>
  <si>
    <t>CN2O</t>
  </si>
  <si>
    <t>EN2O,dir</t>
  </si>
  <si>
    <t>EN2O,dir (m=1)</t>
  </si>
  <si>
    <t>EN2O,dir (m=13)</t>
  </si>
  <si>
    <t>EN2O,dir (m=7)</t>
  </si>
  <si>
    <t>EN2O,dir (m=4)</t>
  </si>
  <si>
    <t>EN2O,dir (m=5)</t>
  </si>
  <si>
    <t>FracGASMm=7</t>
  </si>
  <si>
    <t>FracGASMm=4</t>
  </si>
  <si>
    <t>FracGASMm=13</t>
  </si>
  <si>
    <t>FracGASMm=1</t>
  </si>
  <si>
    <t>MMSATMOS (m=5)</t>
  </si>
  <si>
    <t>MMSATMOS (m=1)</t>
  </si>
  <si>
    <t>MMSATMOS (m=4)</t>
  </si>
  <si>
    <t>MMSATMOS (m=7)</t>
  </si>
  <si>
    <t>MMSATMOS (m=13)</t>
  </si>
  <si>
    <t>MMSATMOS</t>
  </si>
  <si>
    <t>EN2O,ad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</si>
</sst>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0" fontId="1" fillId="3" borderId="1" xfId="0" applyFont="1" applyFill="1" applyBorder="1"/>
    <xf numFmtId="0" fontId="0" fillId="4" borderId="0" xfId="0" applyFill="1"/>
    <xf numFmtId="0" fontId="2" fillId="5" borderId="0" xfId="0" applyFont="1" applyFill="1"/>
    <xf numFmtId="0" fontId="0" fillId="4" borderId="0" xfId="0" applyFill="1" applyAlignment="1">
      <alignment horizontal="right"/>
    </xf>
    <xf numFmtId="0" fontId="0" fillId="5" borderId="0" xfId="0" applyFill="1"/>
    <xf numFmtId="0" fontId="3" fillId="0" borderId="0" xfId="0" applyFont="1"/>
    <xf numFmtId="0" fontId="2" fillId="0" borderId="0" xfId="0" applyFont="1"/>
    <xf numFmtId="0" fontId="3" fillId="6" borderId="0" xfId="0" applyFont="1" applyFill="1"/>
    <xf numFmtId="0" fontId="3" fillId="2" borderId="0" xfId="0" applyFont="1" applyFill="1"/>
    <xf numFmtId="0" fontId="3" fillId="7" borderId="0" xfId="0" applyFont="1" applyFill="1"/>
    <xf numFmtId="0" fontId="2" fillId="8" borderId="0" xfId="0" applyFont="1" applyFill="1"/>
    <xf numFmtId="0" fontId="0" fillId="8" borderId="0" xfId="0" applyFill="1"/>
    <xf numFmtId="0" fontId="0" fillId="2" borderId="0" xfId="0" applyFill="1" applyBorder="1"/>
    <xf numFmtId="0" fontId="0" fillId="7" borderId="0" xfId="0" applyFill="1" applyBorder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6FFF4-01F7-8A4C-9F81-3F38E3DB30C9}">
  <dimension ref="A1:M25"/>
  <sheetViews>
    <sheetView workbookViewId="0">
      <selection activeCell="I21" sqref="I21"/>
    </sheetView>
  </sheetViews>
  <sheetFormatPr baseColWidth="10" defaultRowHeight="16" x14ac:dyDescent="0.2"/>
  <sheetData>
    <row r="1" spans="1:13" x14ac:dyDescent="0.2">
      <c r="A1" t="s">
        <v>0</v>
      </c>
    </row>
    <row r="3" spans="1:13" x14ac:dyDescent="0.2">
      <c r="A3" t="s">
        <v>1</v>
      </c>
      <c r="C3" t="s">
        <v>1</v>
      </c>
    </row>
    <row r="5" spans="1:13" x14ac:dyDescent="0.2">
      <c r="A5" t="s">
        <v>2</v>
      </c>
      <c r="B5" t="s">
        <v>3</v>
      </c>
      <c r="C5" t="s">
        <v>4</v>
      </c>
      <c r="D5" t="s">
        <v>23</v>
      </c>
      <c r="E5" t="s">
        <v>24</v>
      </c>
      <c r="F5" t="s">
        <v>15</v>
      </c>
      <c r="J5" t="s">
        <v>26</v>
      </c>
      <c r="K5" t="s">
        <v>28</v>
      </c>
      <c r="L5" t="s">
        <v>25</v>
      </c>
      <c r="M5" t="s">
        <v>27</v>
      </c>
    </row>
    <row r="6" spans="1:13" x14ac:dyDescent="0.2">
      <c r="F6" t="s">
        <v>7</v>
      </c>
      <c r="G6" t="s">
        <v>13</v>
      </c>
      <c r="H6" t="s">
        <v>14</v>
      </c>
    </row>
    <row r="7" spans="1:13" x14ac:dyDescent="0.2">
      <c r="A7" s="1" t="s">
        <v>6</v>
      </c>
      <c r="B7" s="1" t="s">
        <v>6</v>
      </c>
      <c r="C7" s="1"/>
      <c r="D7" s="1" t="s">
        <v>8</v>
      </c>
      <c r="E7" s="1" t="s">
        <v>9</v>
      </c>
      <c r="F7" s="1" t="s">
        <v>16</v>
      </c>
      <c r="G7" s="1" t="s">
        <v>17</v>
      </c>
      <c r="H7" s="2" t="s">
        <v>18</v>
      </c>
      <c r="I7" s="2" t="s">
        <v>75</v>
      </c>
      <c r="J7" s="1" t="s">
        <v>20</v>
      </c>
      <c r="K7" s="1" t="s">
        <v>22</v>
      </c>
      <c r="L7" s="1" t="s">
        <v>19</v>
      </c>
      <c r="M7" s="2" t="s">
        <v>21</v>
      </c>
    </row>
    <row r="8" spans="1:13" x14ac:dyDescent="0.2">
      <c r="A8" t="s">
        <v>10</v>
      </c>
      <c r="C8" t="s">
        <v>11</v>
      </c>
      <c r="D8">
        <v>200</v>
      </c>
      <c r="E8">
        <v>79</v>
      </c>
      <c r="F8">
        <v>0.4</v>
      </c>
      <c r="G8">
        <v>0.4</v>
      </c>
      <c r="H8">
        <v>0.2</v>
      </c>
      <c r="I8">
        <v>0.5</v>
      </c>
    </row>
    <row r="9" spans="1:13" x14ac:dyDescent="0.2">
      <c r="A9" t="s">
        <v>38</v>
      </c>
      <c r="C9" t="s">
        <v>47</v>
      </c>
      <c r="D9">
        <v>200</v>
      </c>
      <c r="E9">
        <v>80</v>
      </c>
      <c r="F9">
        <v>0.4</v>
      </c>
      <c r="G9">
        <v>0.4</v>
      </c>
      <c r="H9">
        <v>0.2</v>
      </c>
      <c r="I9">
        <v>0.5</v>
      </c>
    </row>
    <row r="10" spans="1:13" x14ac:dyDescent="0.2">
      <c r="A10" t="s">
        <v>40</v>
      </c>
      <c r="C10" t="s">
        <v>48</v>
      </c>
      <c r="D10">
        <v>200</v>
      </c>
      <c r="E10">
        <v>81</v>
      </c>
      <c r="F10">
        <v>0.4</v>
      </c>
      <c r="G10">
        <v>0.4</v>
      </c>
      <c r="H10">
        <v>0.2</v>
      </c>
      <c r="I10">
        <v>0.5</v>
      </c>
    </row>
    <row r="11" spans="1:13" x14ac:dyDescent="0.2">
      <c r="A11" t="s">
        <v>39</v>
      </c>
      <c r="C11" t="s">
        <v>49</v>
      </c>
      <c r="D11">
        <v>200</v>
      </c>
      <c r="E11">
        <v>200</v>
      </c>
      <c r="F11">
        <v>0.4</v>
      </c>
      <c r="G11">
        <v>0.4</v>
      </c>
      <c r="H11">
        <v>0.2</v>
      </c>
      <c r="I11">
        <v>0.5</v>
      </c>
    </row>
    <row r="12" spans="1:13" x14ac:dyDescent="0.2">
      <c r="A12" t="s">
        <v>41</v>
      </c>
      <c r="C12" t="s">
        <v>50</v>
      </c>
      <c r="D12">
        <v>200</v>
      </c>
      <c r="E12">
        <v>201</v>
      </c>
      <c r="F12">
        <v>0.4</v>
      </c>
      <c r="G12">
        <v>0.4</v>
      </c>
      <c r="H12">
        <v>0.2</v>
      </c>
      <c r="I12">
        <v>0.5</v>
      </c>
    </row>
    <row r="14" spans="1:13" x14ac:dyDescent="0.2">
      <c r="A14" t="s">
        <v>74</v>
      </c>
    </row>
    <row r="16" spans="1:13" x14ac:dyDescent="0.2">
      <c r="A16" t="s">
        <v>1</v>
      </c>
      <c r="C16" t="s">
        <v>1</v>
      </c>
    </row>
    <row r="18" spans="1:13" x14ac:dyDescent="0.2">
      <c r="A18" t="s">
        <v>2</v>
      </c>
      <c r="B18" t="s">
        <v>3</v>
      </c>
      <c r="C18" t="s">
        <v>4</v>
      </c>
      <c r="D18" t="s">
        <v>23</v>
      </c>
      <c r="E18" t="s">
        <v>24</v>
      </c>
      <c r="F18" t="s">
        <v>15</v>
      </c>
      <c r="J18" t="s">
        <v>26</v>
      </c>
      <c r="K18" t="s">
        <v>28</v>
      </c>
      <c r="L18" t="s">
        <v>25</v>
      </c>
      <c r="M18" t="s">
        <v>27</v>
      </c>
    </row>
    <row r="19" spans="1:13" x14ac:dyDescent="0.2">
      <c r="F19" t="s">
        <v>7</v>
      </c>
      <c r="G19" t="s">
        <v>13</v>
      </c>
      <c r="H19" t="s">
        <v>14</v>
      </c>
    </row>
    <row r="20" spans="1:13" x14ac:dyDescent="0.2">
      <c r="A20" s="1" t="s">
        <v>6</v>
      </c>
      <c r="B20" s="1" t="s">
        <v>6</v>
      </c>
      <c r="C20" s="1"/>
      <c r="D20" s="1" t="s">
        <v>8</v>
      </c>
      <c r="E20" s="1" t="s">
        <v>9</v>
      </c>
      <c r="F20" s="1" t="s">
        <v>16</v>
      </c>
      <c r="G20" s="1" t="s">
        <v>17</v>
      </c>
      <c r="H20" s="2" t="s">
        <v>18</v>
      </c>
      <c r="I20" s="2" t="s">
        <v>75</v>
      </c>
      <c r="J20" s="1" t="s">
        <v>20</v>
      </c>
      <c r="K20" s="1" t="s">
        <v>22</v>
      </c>
      <c r="L20" s="1" t="s">
        <v>19</v>
      </c>
      <c r="M20" s="2" t="s">
        <v>21</v>
      </c>
    </row>
    <row r="21" spans="1:13" x14ac:dyDescent="0.2">
      <c r="A21" t="s">
        <v>10</v>
      </c>
      <c r="B21">
        <v>14</v>
      </c>
      <c r="C21" t="s">
        <v>11</v>
      </c>
      <c r="D21">
        <v>200</v>
      </c>
      <c r="E21">
        <v>79</v>
      </c>
      <c r="F21">
        <v>0.4</v>
      </c>
      <c r="G21">
        <v>0.4</v>
      </c>
      <c r="H21">
        <v>0.2</v>
      </c>
      <c r="I21">
        <v>0.5</v>
      </c>
    </row>
    <row r="22" spans="1:13" x14ac:dyDescent="0.2">
      <c r="A22" t="s">
        <v>38</v>
      </c>
      <c r="B22">
        <v>27</v>
      </c>
      <c r="C22" t="s">
        <v>47</v>
      </c>
      <c r="D22">
        <v>200</v>
      </c>
      <c r="E22">
        <v>80</v>
      </c>
      <c r="F22">
        <v>0.4</v>
      </c>
      <c r="G22">
        <v>0.4</v>
      </c>
      <c r="H22">
        <v>0.2</v>
      </c>
      <c r="I22">
        <v>0.5</v>
      </c>
    </row>
    <row r="23" spans="1:13" x14ac:dyDescent="0.2">
      <c r="A23" t="s">
        <v>40</v>
      </c>
      <c r="B23">
        <v>22</v>
      </c>
      <c r="C23" t="s">
        <v>48</v>
      </c>
      <c r="D23">
        <v>200</v>
      </c>
      <c r="E23">
        <v>81</v>
      </c>
      <c r="F23">
        <v>0.4</v>
      </c>
      <c r="G23">
        <v>0.4</v>
      </c>
      <c r="H23">
        <v>0.2</v>
      </c>
      <c r="I23">
        <v>0.5</v>
      </c>
    </row>
    <row r="24" spans="1:13" x14ac:dyDescent="0.2">
      <c r="A24" t="s">
        <v>39</v>
      </c>
      <c r="B24">
        <v>16</v>
      </c>
      <c r="C24" t="s">
        <v>49</v>
      </c>
      <c r="D24">
        <v>200</v>
      </c>
      <c r="E24">
        <v>200</v>
      </c>
      <c r="F24">
        <v>0.4</v>
      </c>
      <c r="G24">
        <v>0.4</v>
      </c>
      <c r="H24">
        <v>0.2</v>
      </c>
      <c r="I24">
        <v>0.5</v>
      </c>
    </row>
    <row r="25" spans="1:13" x14ac:dyDescent="0.2">
      <c r="A25" t="s">
        <v>41</v>
      </c>
      <c r="B25" t="s">
        <v>54</v>
      </c>
      <c r="C25" t="s">
        <v>50</v>
      </c>
      <c r="D25">
        <v>200</v>
      </c>
      <c r="E25">
        <v>201</v>
      </c>
      <c r="F25">
        <v>0.4</v>
      </c>
      <c r="G25">
        <v>0.4</v>
      </c>
      <c r="H25">
        <v>0.2</v>
      </c>
      <c r="I25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BF08A-7A78-3D40-B6E2-01CC81317394}">
  <dimension ref="A1:L34"/>
  <sheetViews>
    <sheetView workbookViewId="0">
      <selection activeCell="B34" sqref="B34"/>
    </sheetView>
  </sheetViews>
  <sheetFormatPr baseColWidth="10" defaultRowHeight="16" x14ac:dyDescent="0.2"/>
  <sheetData>
    <row r="1" spans="1:12" x14ac:dyDescent="0.2">
      <c r="A1" t="s">
        <v>32</v>
      </c>
      <c r="B1" t="s">
        <v>20</v>
      </c>
      <c r="C1" t="s">
        <v>22</v>
      </c>
      <c r="D1" t="s">
        <v>19</v>
      </c>
      <c r="E1" t="s">
        <v>21</v>
      </c>
    </row>
    <row r="2" spans="1:12" x14ac:dyDescent="0.2">
      <c r="A2" t="s">
        <v>29</v>
      </c>
      <c r="B2">
        <v>10.4</v>
      </c>
      <c r="C2">
        <v>0.20399999999999999</v>
      </c>
      <c r="D2">
        <v>0.81</v>
      </c>
      <c r="E2">
        <v>0.14000000000000001</v>
      </c>
    </row>
    <row r="3" spans="1:12" x14ac:dyDescent="0.2">
      <c r="A3" t="s">
        <v>30</v>
      </c>
      <c r="B3">
        <v>10.8</v>
      </c>
      <c r="C3">
        <v>0.127</v>
      </c>
      <c r="D3">
        <v>0.81</v>
      </c>
      <c r="E3">
        <v>0.12</v>
      </c>
    </row>
    <row r="4" spans="1:12" x14ac:dyDescent="0.2">
      <c r="A4" t="s">
        <v>31</v>
      </c>
      <c r="B4">
        <v>8.1999999999999993</v>
      </c>
      <c r="C4">
        <v>7.0000000000000007E-2</v>
      </c>
      <c r="D4">
        <v>0.81</v>
      </c>
      <c r="E4">
        <v>0.12</v>
      </c>
    </row>
    <row r="6" spans="1:12" x14ac:dyDescent="0.2">
      <c r="E6" t="s">
        <v>33</v>
      </c>
    </row>
    <row r="7" spans="1:12" x14ac:dyDescent="0.2">
      <c r="A7" s="3" t="s">
        <v>34</v>
      </c>
      <c r="B7" s="3" t="s">
        <v>35</v>
      </c>
      <c r="C7" s="3" t="s">
        <v>36</v>
      </c>
      <c r="D7" s="3" t="s">
        <v>37</v>
      </c>
      <c r="E7" s="4" t="s">
        <v>10</v>
      </c>
      <c r="F7" s="4" t="s">
        <v>38</v>
      </c>
      <c r="G7" s="4" t="s">
        <v>39</v>
      </c>
      <c r="H7" s="4" t="s">
        <v>40</v>
      </c>
      <c r="I7" s="4" t="s">
        <v>41</v>
      </c>
    </row>
    <row r="8" spans="1:12" x14ac:dyDescent="0.2">
      <c r="A8" s="3" t="s">
        <v>55</v>
      </c>
      <c r="B8" s="5">
        <v>5</v>
      </c>
      <c r="C8" s="3">
        <v>5.4000000000000003E-3</v>
      </c>
      <c r="D8" s="3">
        <v>0.6</v>
      </c>
      <c r="E8" s="6">
        <v>0.01</v>
      </c>
      <c r="F8" s="6">
        <v>0.03</v>
      </c>
      <c r="G8" s="6">
        <v>0.01</v>
      </c>
      <c r="H8" s="6">
        <v>0.01</v>
      </c>
      <c r="I8" s="6">
        <v>0.01</v>
      </c>
    </row>
    <row r="9" spans="1:12" x14ac:dyDescent="0.2">
      <c r="A9" s="3" t="s">
        <v>43</v>
      </c>
      <c r="B9" s="5">
        <v>4</v>
      </c>
      <c r="C9" s="3">
        <v>5.0000000000000001E-3</v>
      </c>
      <c r="D9" s="3">
        <v>0.25</v>
      </c>
      <c r="E9" s="6">
        <v>0.02</v>
      </c>
      <c r="F9" s="6">
        <v>0.02</v>
      </c>
      <c r="G9" s="6">
        <v>0.02</v>
      </c>
      <c r="H9" s="6">
        <v>0.02</v>
      </c>
      <c r="I9" s="6">
        <v>0.02</v>
      </c>
    </row>
    <row r="10" spans="1:12" x14ac:dyDescent="0.2">
      <c r="A10" s="3" t="s">
        <v>13</v>
      </c>
      <c r="B10" s="5">
        <v>7</v>
      </c>
      <c r="C10" s="3">
        <v>0.01</v>
      </c>
      <c r="D10" s="3">
        <v>0.4</v>
      </c>
      <c r="E10" s="6">
        <v>0.01</v>
      </c>
      <c r="F10" s="6">
        <v>0.01</v>
      </c>
      <c r="G10" s="6">
        <v>0.01</v>
      </c>
      <c r="H10" s="6">
        <v>0.01</v>
      </c>
      <c r="I10" s="6">
        <v>0.01</v>
      </c>
    </row>
    <row r="11" spans="1:12" x14ac:dyDescent="0.2">
      <c r="A11" s="3" t="s">
        <v>14</v>
      </c>
      <c r="B11" s="5">
        <v>13</v>
      </c>
      <c r="C11" s="3">
        <v>0</v>
      </c>
      <c r="D11" s="3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</row>
    <row r="12" spans="1:12" x14ac:dyDescent="0.2">
      <c r="A12" s="3" t="s">
        <v>42</v>
      </c>
      <c r="B12" s="5">
        <v>1</v>
      </c>
      <c r="C12" s="3">
        <v>0</v>
      </c>
      <c r="D12" s="3">
        <v>0.35</v>
      </c>
      <c r="E12" s="6">
        <v>0.75</v>
      </c>
      <c r="F12" s="6">
        <v>0.77</v>
      </c>
      <c r="G12" s="6">
        <v>0.75</v>
      </c>
      <c r="H12" s="6">
        <v>0.75</v>
      </c>
      <c r="I12" s="6">
        <v>0.77</v>
      </c>
    </row>
    <row r="14" spans="1:12" x14ac:dyDescent="0.2">
      <c r="E14" s="7" t="s">
        <v>44</v>
      </c>
      <c r="F14" s="7"/>
      <c r="G14" s="7"/>
      <c r="H14" s="7"/>
      <c r="I14" s="7"/>
      <c r="J14" s="7"/>
      <c r="K14" s="7"/>
      <c r="L14" s="7"/>
    </row>
    <row r="15" spans="1:12" x14ac:dyDescent="0.2">
      <c r="A15" s="8" t="s">
        <v>4</v>
      </c>
      <c r="B15" s="8" t="s">
        <v>45</v>
      </c>
      <c r="E15" s="8" t="s">
        <v>3</v>
      </c>
      <c r="F15" s="12" t="s">
        <v>55</v>
      </c>
      <c r="G15" s="8" t="s">
        <v>43</v>
      </c>
      <c r="H15" s="8" t="s">
        <v>13</v>
      </c>
      <c r="I15" s="8" t="s">
        <v>14</v>
      </c>
      <c r="J15" s="8" t="s">
        <v>42</v>
      </c>
      <c r="K15" s="8"/>
      <c r="L15" s="8"/>
    </row>
    <row r="16" spans="1:12" x14ac:dyDescent="0.2">
      <c r="A16" t="s">
        <v>11</v>
      </c>
      <c r="B16">
        <v>1.8E-3</v>
      </c>
      <c r="E16" s="9" t="s">
        <v>46</v>
      </c>
      <c r="F16" s="13"/>
      <c r="G16" s="7">
        <v>0.02</v>
      </c>
      <c r="H16" s="7">
        <v>5.0000000000000001E-3</v>
      </c>
      <c r="I16">
        <v>0</v>
      </c>
      <c r="J16" s="7">
        <v>0.66</v>
      </c>
      <c r="K16" s="7"/>
      <c r="L16" s="7"/>
    </row>
    <row r="17" spans="1:12" x14ac:dyDescent="0.2">
      <c r="A17" t="s">
        <v>47</v>
      </c>
      <c r="B17">
        <v>5.8999999999999999E-3</v>
      </c>
      <c r="E17" s="9">
        <v>11</v>
      </c>
      <c r="F17" s="13"/>
      <c r="G17" s="7">
        <v>0.02</v>
      </c>
      <c r="H17" s="7">
        <v>5.0000000000000001E-3</v>
      </c>
      <c r="I17">
        <v>0</v>
      </c>
      <c r="J17" s="7">
        <v>0.68</v>
      </c>
      <c r="K17" s="7"/>
      <c r="L17" s="7"/>
    </row>
    <row r="18" spans="1:12" x14ac:dyDescent="0.2">
      <c r="A18" t="s">
        <v>48</v>
      </c>
      <c r="B18">
        <v>7.0000000000000001E-3</v>
      </c>
      <c r="E18" s="9">
        <v>12</v>
      </c>
      <c r="F18" s="13"/>
      <c r="G18" s="7">
        <v>0.02</v>
      </c>
      <c r="H18" s="7">
        <v>5.0000000000000001E-3</v>
      </c>
      <c r="I18">
        <v>0</v>
      </c>
      <c r="J18" s="7">
        <v>0.7</v>
      </c>
      <c r="K18" s="7"/>
      <c r="L18" s="7"/>
    </row>
    <row r="19" spans="1:12" x14ac:dyDescent="0.2">
      <c r="A19" t="s">
        <v>49</v>
      </c>
      <c r="B19">
        <v>2.8999999999999998E-3</v>
      </c>
      <c r="E19" s="9">
        <v>13</v>
      </c>
      <c r="F19" s="13"/>
      <c r="G19" s="7">
        <v>0.02</v>
      </c>
      <c r="H19" s="7">
        <v>5.0000000000000001E-3</v>
      </c>
      <c r="I19">
        <v>0</v>
      </c>
      <c r="J19" s="7">
        <v>0.71</v>
      </c>
      <c r="K19" s="7"/>
      <c r="L19" s="7"/>
    </row>
    <row r="20" spans="1:12" x14ac:dyDescent="0.2">
      <c r="A20" t="s">
        <v>50</v>
      </c>
      <c r="B20">
        <v>8.0000000000000002E-3</v>
      </c>
      <c r="E20" s="9">
        <v>14</v>
      </c>
      <c r="F20" s="13"/>
      <c r="G20" s="7">
        <v>0.02</v>
      </c>
      <c r="H20" s="7">
        <v>5.0000000000000001E-3</v>
      </c>
      <c r="I20">
        <v>0</v>
      </c>
      <c r="J20" s="7">
        <v>0.73</v>
      </c>
      <c r="K20" s="7"/>
      <c r="L20" s="7"/>
    </row>
    <row r="21" spans="1:12" x14ac:dyDescent="0.2">
      <c r="E21" s="10">
        <v>15</v>
      </c>
      <c r="F21" s="13"/>
      <c r="G21" s="7">
        <v>0.02</v>
      </c>
      <c r="H21" s="7">
        <v>0.01</v>
      </c>
      <c r="I21">
        <v>0</v>
      </c>
      <c r="J21" s="7">
        <v>0.74</v>
      </c>
      <c r="K21" s="7"/>
      <c r="L21" s="7"/>
    </row>
    <row r="22" spans="1:12" x14ac:dyDescent="0.2">
      <c r="A22" s="8" t="s">
        <v>5</v>
      </c>
      <c r="B22" s="8" t="s">
        <v>51</v>
      </c>
      <c r="E22" s="10">
        <v>16</v>
      </c>
      <c r="F22" s="13"/>
      <c r="G22" s="7">
        <v>0.02</v>
      </c>
      <c r="H22" s="7">
        <v>0.01</v>
      </c>
      <c r="I22">
        <v>0</v>
      </c>
      <c r="J22" s="7">
        <v>0.75</v>
      </c>
      <c r="K22" s="7"/>
      <c r="L22" s="7"/>
    </row>
    <row r="23" spans="1:12" x14ac:dyDescent="0.2">
      <c r="A23" t="s">
        <v>12</v>
      </c>
      <c r="B23">
        <v>6.0000000000000001E-3</v>
      </c>
      <c r="E23" s="10">
        <v>17</v>
      </c>
      <c r="F23" s="13"/>
      <c r="G23" s="7">
        <v>0.02</v>
      </c>
      <c r="H23" s="7">
        <v>0.01</v>
      </c>
      <c r="I23">
        <v>0</v>
      </c>
      <c r="J23" s="7">
        <v>0.76</v>
      </c>
      <c r="K23" s="7"/>
      <c r="L23" s="7"/>
    </row>
    <row r="24" spans="1:12" x14ac:dyDescent="0.2">
      <c r="A24" t="s">
        <v>52</v>
      </c>
      <c r="B24">
        <v>2E-3</v>
      </c>
      <c r="E24" s="10">
        <v>18</v>
      </c>
      <c r="F24" s="13"/>
      <c r="G24" s="7">
        <v>0.02</v>
      </c>
      <c r="H24" s="7">
        <v>0.01</v>
      </c>
      <c r="I24">
        <v>0</v>
      </c>
      <c r="J24" s="7">
        <v>0.77</v>
      </c>
      <c r="K24" s="7"/>
      <c r="L24" s="7"/>
    </row>
    <row r="25" spans="1:12" x14ac:dyDescent="0.2">
      <c r="E25" s="10">
        <v>19</v>
      </c>
      <c r="F25" s="13"/>
      <c r="G25" s="7">
        <v>0.02</v>
      </c>
      <c r="H25" s="7">
        <v>0.01</v>
      </c>
      <c r="I25">
        <v>0</v>
      </c>
      <c r="J25" s="7">
        <v>0.78</v>
      </c>
      <c r="K25" s="7"/>
      <c r="L25" s="7"/>
    </row>
    <row r="26" spans="1:12" x14ac:dyDescent="0.2">
      <c r="A26" s="8" t="s">
        <v>53</v>
      </c>
      <c r="E26" s="10">
        <v>20</v>
      </c>
      <c r="F26" s="13"/>
      <c r="G26" s="7">
        <v>0.02</v>
      </c>
      <c r="H26" s="7">
        <v>0.01</v>
      </c>
      <c r="I26">
        <v>0</v>
      </c>
      <c r="J26" s="7">
        <v>0.78</v>
      </c>
      <c r="K26" s="7"/>
      <c r="L26" s="7"/>
    </row>
    <row r="27" spans="1:12" x14ac:dyDescent="0.2">
      <c r="A27" t="s">
        <v>56</v>
      </c>
      <c r="B27">
        <v>0.16</v>
      </c>
      <c r="E27" s="10">
        <v>21</v>
      </c>
      <c r="F27" s="13"/>
      <c r="G27" s="7">
        <v>0.02</v>
      </c>
      <c r="H27" s="7">
        <v>0.01</v>
      </c>
      <c r="I27">
        <v>0</v>
      </c>
      <c r="J27" s="7">
        <v>0.78</v>
      </c>
      <c r="K27" s="7"/>
      <c r="L27" s="7"/>
    </row>
    <row r="28" spans="1:12" x14ac:dyDescent="0.2">
      <c r="A28" t="s">
        <v>57</v>
      </c>
      <c r="B28">
        <v>0.5</v>
      </c>
      <c r="E28" s="10">
        <v>22</v>
      </c>
      <c r="F28" s="13"/>
      <c r="G28" s="7">
        <v>0.02</v>
      </c>
      <c r="H28" s="7">
        <v>0.01</v>
      </c>
      <c r="I28">
        <v>0</v>
      </c>
      <c r="J28" s="7">
        <v>0.78</v>
      </c>
      <c r="K28" s="7"/>
      <c r="L28" s="7"/>
    </row>
    <row r="29" spans="1:12" x14ac:dyDescent="0.2">
      <c r="A29" t="s">
        <v>58</v>
      </c>
      <c r="B29">
        <v>0.02</v>
      </c>
      <c r="E29" s="10">
        <v>23</v>
      </c>
      <c r="F29" s="13"/>
      <c r="G29" s="7">
        <v>0.02</v>
      </c>
      <c r="H29" s="7">
        <v>0.01</v>
      </c>
      <c r="I29">
        <v>0</v>
      </c>
      <c r="J29" s="7">
        <v>0.79</v>
      </c>
      <c r="K29" s="7"/>
      <c r="L29" s="7"/>
    </row>
    <row r="30" spans="1:12" x14ac:dyDescent="0.2">
      <c r="A30" t="s">
        <v>60</v>
      </c>
      <c r="B30">
        <v>0.19</v>
      </c>
      <c r="E30" s="10">
        <v>24</v>
      </c>
      <c r="F30" s="13"/>
      <c r="G30" s="7">
        <v>0.02</v>
      </c>
      <c r="H30" s="7">
        <v>0.01</v>
      </c>
      <c r="I30">
        <v>0</v>
      </c>
      <c r="J30" s="7">
        <v>0.79</v>
      </c>
      <c r="K30" s="7"/>
      <c r="L30" s="7"/>
    </row>
    <row r="31" spans="1:12" x14ac:dyDescent="0.2">
      <c r="A31" t="s">
        <v>61</v>
      </c>
      <c r="B31">
        <v>0.6784</v>
      </c>
      <c r="E31" s="10">
        <v>25</v>
      </c>
      <c r="F31" s="13"/>
      <c r="G31" s="7">
        <v>0.02</v>
      </c>
      <c r="H31" s="7">
        <v>0.01</v>
      </c>
      <c r="I31">
        <v>0</v>
      </c>
      <c r="J31" s="7">
        <v>0.79</v>
      </c>
      <c r="K31" s="7"/>
      <c r="L31" s="7"/>
    </row>
    <row r="32" spans="1:12" x14ac:dyDescent="0.2">
      <c r="A32" t="s">
        <v>76</v>
      </c>
      <c r="B32">
        <v>6.25</v>
      </c>
      <c r="E32" s="11">
        <v>26</v>
      </c>
      <c r="F32" s="13"/>
      <c r="G32" s="7">
        <v>0.02</v>
      </c>
      <c r="H32" s="7">
        <v>1.4999999999999999E-2</v>
      </c>
      <c r="I32">
        <v>0</v>
      </c>
      <c r="J32" s="7">
        <v>0.79</v>
      </c>
      <c r="K32" s="7"/>
      <c r="L32" s="7"/>
    </row>
    <row r="33" spans="1:12" x14ac:dyDescent="0.2">
      <c r="A33" t="s">
        <v>93</v>
      </c>
      <c r="B33">
        <f>44/28</f>
        <v>1.5714285714285714</v>
      </c>
      <c r="E33" s="11">
        <v>27</v>
      </c>
      <c r="F33" s="13"/>
      <c r="G33" s="7">
        <v>0.02</v>
      </c>
      <c r="H33" s="7">
        <v>1.4999999999999999E-2</v>
      </c>
      <c r="I33">
        <v>0</v>
      </c>
      <c r="J33" s="7">
        <v>0.8</v>
      </c>
      <c r="K33" s="7"/>
      <c r="L33" s="7"/>
    </row>
    <row r="34" spans="1:12" x14ac:dyDescent="0.2">
      <c r="E34" s="11" t="s">
        <v>54</v>
      </c>
      <c r="F34" s="13"/>
      <c r="G34" s="7">
        <v>0.02</v>
      </c>
      <c r="H34" s="7">
        <v>1.4999999999999999E-2</v>
      </c>
      <c r="I34">
        <v>0</v>
      </c>
      <c r="J34" s="7">
        <v>0.8</v>
      </c>
      <c r="K34" s="7"/>
      <c r="L34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6294E-8871-3E48-B4D2-364ABB66DD34}">
  <dimension ref="A3:AE12"/>
  <sheetViews>
    <sheetView topLeftCell="C1" workbookViewId="0">
      <selection activeCell="AA8" sqref="AA8"/>
    </sheetView>
  </sheetViews>
  <sheetFormatPr baseColWidth="10" defaultRowHeight="16" x14ac:dyDescent="0.2"/>
  <sheetData>
    <row r="3" spans="1:31" x14ac:dyDescent="0.2">
      <c r="A3" t="s">
        <v>1</v>
      </c>
      <c r="C3" t="s">
        <v>1</v>
      </c>
    </row>
    <row r="5" spans="1:31" x14ac:dyDescent="0.2">
      <c r="A5" t="s">
        <v>2</v>
      </c>
      <c r="B5" t="s">
        <v>3</v>
      </c>
      <c r="C5" t="s">
        <v>4</v>
      </c>
      <c r="D5" t="s">
        <v>23</v>
      </c>
      <c r="E5" t="s">
        <v>24</v>
      </c>
      <c r="F5" t="s">
        <v>15</v>
      </c>
      <c r="J5" t="s">
        <v>26</v>
      </c>
      <c r="K5" t="s">
        <v>28</v>
      </c>
      <c r="L5" t="s">
        <v>25</v>
      </c>
      <c r="M5" t="s">
        <v>27</v>
      </c>
    </row>
    <row r="6" spans="1:31" x14ac:dyDescent="0.2">
      <c r="F6" t="s">
        <v>7</v>
      </c>
      <c r="G6" t="s">
        <v>13</v>
      </c>
      <c r="H6" t="s">
        <v>14</v>
      </c>
    </row>
    <row r="7" spans="1:31" x14ac:dyDescent="0.2">
      <c r="A7" s="1" t="s">
        <v>6</v>
      </c>
      <c r="B7" s="1" t="s">
        <v>6</v>
      </c>
      <c r="C7" s="1"/>
      <c r="D7" s="1" t="s">
        <v>8</v>
      </c>
      <c r="E7" s="1" t="s">
        <v>9</v>
      </c>
      <c r="F7" s="1" t="s">
        <v>16</v>
      </c>
      <c r="G7" s="1" t="s">
        <v>17</v>
      </c>
      <c r="H7" s="2" t="s">
        <v>18</v>
      </c>
      <c r="I7" s="2" t="s">
        <v>75</v>
      </c>
      <c r="J7" s="1" t="s">
        <v>20</v>
      </c>
      <c r="K7" s="1" t="s">
        <v>22</v>
      </c>
      <c r="L7" s="1" t="s">
        <v>19</v>
      </c>
      <c r="M7" s="2" t="s">
        <v>21</v>
      </c>
      <c r="N7" s="1" t="s">
        <v>56</v>
      </c>
      <c r="O7" s="1" t="s">
        <v>59</v>
      </c>
      <c r="P7" s="1" t="s">
        <v>60</v>
      </c>
      <c r="Q7" s="1" t="s">
        <v>61</v>
      </c>
      <c r="R7" s="1" t="s">
        <v>63</v>
      </c>
      <c r="S7" s="1" t="s">
        <v>62</v>
      </c>
      <c r="T7" s="1" t="s">
        <v>57</v>
      </c>
      <c r="U7" s="1" t="s">
        <v>64</v>
      </c>
      <c r="V7" s="1" t="s">
        <v>65</v>
      </c>
      <c r="W7" s="1" t="s">
        <v>66</v>
      </c>
      <c r="X7" s="1" t="s">
        <v>68</v>
      </c>
      <c r="Y7" s="1" t="s">
        <v>67</v>
      </c>
      <c r="Z7" s="1" t="s">
        <v>69</v>
      </c>
      <c r="AA7" s="1" t="s">
        <v>58</v>
      </c>
      <c r="AB7" s="1" t="s">
        <v>70</v>
      </c>
      <c r="AC7" s="1" t="s">
        <v>71</v>
      </c>
      <c r="AD7" s="1" t="s">
        <v>72</v>
      </c>
      <c r="AE7" s="16" t="s">
        <v>73</v>
      </c>
    </row>
    <row r="8" spans="1:31" x14ac:dyDescent="0.2">
      <c r="A8" t="str">
        <f>'Input Scenarios'!A8</f>
        <v>NSW</v>
      </c>
      <c r="B8" t="str">
        <f>IF('Input Scenarios'!B8&lt;&gt;"", 'Input Scenarios'!B8, "")</f>
        <v/>
      </c>
      <c r="C8" t="str">
        <f>'Input Scenarios'!C8</f>
        <v>Non-irrigated pasture</v>
      </c>
      <c r="D8">
        <f>'Input Scenarios'!D8</f>
        <v>200</v>
      </c>
      <c r="E8">
        <f>'Input Scenarios'!E8</f>
        <v>79</v>
      </c>
      <c r="F8">
        <f>'Input Scenarios'!F8</f>
        <v>0.4</v>
      </c>
      <c r="G8">
        <f>'Input Scenarios'!G8</f>
        <v>0.4</v>
      </c>
      <c r="H8">
        <f>'Input Scenarios'!H8</f>
        <v>0.2</v>
      </c>
      <c r="I8">
        <f>'Input Scenarios'!I8</f>
        <v>0.5</v>
      </c>
      <c r="J8">
        <f>IF('Input Scenarios'!J8&lt;&gt;"", 'Input Scenarios'!J8, IF($E8&lt;=80, Constants!B$2, IF($E8&lt;=200, Constants!B$3, Constants!B$4)))</f>
        <v>10.4</v>
      </c>
      <c r="K8">
        <f>IF('Input Scenarios'!K8&lt;&gt;"", 'Input Scenarios'!K8, IF($E8&lt;=80, Constants!C$2, IF($E8&lt;=200, Constants!C$3, Constants!C$4)))</f>
        <v>0.20399999999999999</v>
      </c>
      <c r="L8">
        <f>IF('Input Scenarios'!L8&lt;&gt;"", 'Input Scenarios'!L8, IF($E8&lt;=80, Constants!D$2, IF($E8&lt;=200, Constants!D$3, Constants!D$4)))</f>
        <v>0.81</v>
      </c>
      <c r="M8">
        <f>IF('Input Scenarios'!M8&lt;&gt;"", 'Input Scenarios'!M8, IF($E8&lt;=80, Constants!E$2, IF($E8&lt;=200, Constants!E$3, Constants!E$4)))</f>
        <v>0.14000000000000001</v>
      </c>
      <c r="N8">
        <f>Constants!$B$27</f>
        <v>0.16</v>
      </c>
      <c r="O8">
        <f>J8*(1-L8)*(1-N8)</f>
        <v>1.6598399999999995</v>
      </c>
      <c r="P8">
        <f>Constants!$B$30</f>
        <v>0.19</v>
      </c>
      <c r="Q8">
        <f>Constants!$B$31</f>
        <v>0.6784</v>
      </c>
      <c r="R8">
        <f>_xlfn.XLOOKUP(A8, Constants!$E$7:$I$7, Constants!$E$8:$I$8)</f>
        <v>0.01</v>
      </c>
      <c r="S8">
        <f>O8*P8*Q8*R8</f>
        <v>2.1394673663999992E-3</v>
      </c>
      <c r="T8">
        <f>Constants!$B$28</f>
        <v>0.5</v>
      </c>
      <c r="U8">
        <f>_xlfn.XLOOKUP($A8, Constants!$E$7:$I$7, Constants!$E$9:$I$9)</f>
        <v>0.02</v>
      </c>
      <c r="V8">
        <f>_xlfn.XLOOKUP($A8, Constants!$E$7:$I$7, Constants!$E$10:$I$10)</f>
        <v>0.01</v>
      </c>
      <c r="W8">
        <f>_xlfn.XLOOKUP($A8, Constants!$E$7:$I$7, Constants!$E$11:$I$11)</f>
        <v>0</v>
      </c>
      <c r="X8">
        <f>(1-$T8)*$O8*$P8*$Q8*F8*U8</f>
        <v>8.5578694655999985E-4</v>
      </c>
      <c r="Y8">
        <f>(1-$T8)*$O8*$P8*$Q8*G8*V8</f>
        <v>4.2789347327999993E-4</v>
      </c>
      <c r="Z8">
        <f>(1-$T8)*$O8*$P8*$Q8*H8*W8</f>
        <v>0</v>
      </c>
      <c r="AA8">
        <f>Constants!$B$29</f>
        <v>0.02</v>
      </c>
      <c r="AB8">
        <f>_xlfn.XLOOKUP($A8, Constants!$E$7:$I$7, Constants!$E$12:$I$12)</f>
        <v>0.75</v>
      </c>
      <c r="AC8">
        <f>O8*AA8*AB8*P8*Q8</f>
        <v>3.2092010495999991E-3</v>
      </c>
      <c r="AD8">
        <f>S8+SUM(X8:Z8)+AC8</f>
        <v>6.6323488358399976E-3</v>
      </c>
      <c r="AE8">
        <f>D8*E8*AD8/1000</f>
        <v>0.10479111160627197</v>
      </c>
    </row>
    <row r="9" spans="1:31" x14ac:dyDescent="0.2">
      <c r="A9" t="str">
        <f>'Input Scenarios'!A9</f>
        <v>QLD</v>
      </c>
      <c r="B9" t="str">
        <f>IF('Input Scenarios'!B9&lt;&gt;"", 'Input Scenarios'!B9, "")</f>
        <v/>
      </c>
      <c r="C9" t="str">
        <f>'Input Scenarios'!C9</f>
        <v>Irrigated pasture</v>
      </c>
      <c r="D9">
        <f>'Input Scenarios'!D9</f>
        <v>200</v>
      </c>
      <c r="E9">
        <f>'Input Scenarios'!E9</f>
        <v>80</v>
      </c>
      <c r="F9">
        <f>'Input Scenarios'!F9</f>
        <v>0.4</v>
      </c>
      <c r="G9">
        <f>'Input Scenarios'!G9</f>
        <v>0.4</v>
      </c>
      <c r="H9">
        <f>'Input Scenarios'!H9</f>
        <v>0.2</v>
      </c>
      <c r="I9">
        <f>'Input Scenarios'!I9</f>
        <v>0.5</v>
      </c>
      <c r="J9">
        <f>IF('Input Scenarios'!J9&lt;&gt;"", 'Input Scenarios'!J9, IF($E9&lt;=80, Constants!B$2, IF($E9&lt;=200, Constants!B$3, Constants!B$4)))</f>
        <v>10.4</v>
      </c>
      <c r="K9">
        <f>IF('Input Scenarios'!K9&lt;&gt;"", 'Input Scenarios'!K9, IF($E9&lt;=80, Constants!C$2, IF($E9&lt;=200, Constants!C$3, Constants!C$4)))</f>
        <v>0.20399999999999999</v>
      </c>
      <c r="L9">
        <f>IF('Input Scenarios'!L9&lt;&gt;"", 'Input Scenarios'!L9, IF($E9&lt;=80, Constants!D$2, IF($E9&lt;=200, Constants!D$3, Constants!D$4)))</f>
        <v>0.81</v>
      </c>
      <c r="M9">
        <f>IF('Input Scenarios'!M9&lt;&gt;"", 'Input Scenarios'!M9, IF($E9&lt;=80, Constants!E$2, IF($E9&lt;=200, Constants!E$3, Constants!E$4)))</f>
        <v>0.14000000000000001</v>
      </c>
      <c r="N9">
        <f>Constants!$B$27</f>
        <v>0.16</v>
      </c>
      <c r="O9">
        <f t="shared" ref="O9:O12" si="0">J9*(1-L9)*(1-N9)</f>
        <v>1.6598399999999995</v>
      </c>
      <c r="P9">
        <f>Constants!$B$30</f>
        <v>0.19</v>
      </c>
      <c r="Q9">
        <f>Constants!$B$31</f>
        <v>0.6784</v>
      </c>
      <c r="R9">
        <f>_xlfn.XLOOKUP(A9, Constants!$E$7:$I$7, Constants!$E$8:$I$8)</f>
        <v>0.03</v>
      </c>
      <c r="S9">
        <f t="shared" ref="S9:S12" si="1">O9*P9*Q9*R9</f>
        <v>6.4184020991999982E-3</v>
      </c>
      <c r="T9">
        <f>Constants!$B$28</f>
        <v>0.5</v>
      </c>
      <c r="U9">
        <f>_xlfn.XLOOKUP($A9, Constants!$E$7:$I$7, Constants!$E$9:$I$9)</f>
        <v>0.02</v>
      </c>
      <c r="V9">
        <f>_xlfn.XLOOKUP($A9, Constants!$E$7:$I$7, Constants!$E$10:$I$10)</f>
        <v>0.01</v>
      </c>
      <c r="W9">
        <f>_xlfn.XLOOKUP($A9, Constants!$E$7:$I$7, Constants!$E$11:$I$11)</f>
        <v>0</v>
      </c>
      <c r="X9">
        <f t="shared" ref="X9:X12" si="2">(1-$T9)*$O9*$P9*$Q9*F9*U9</f>
        <v>8.5578694655999985E-4</v>
      </c>
      <c r="Y9">
        <f t="shared" ref="Y9:Y12" si="3">(1-$T9)*$O9*$P9*$Q9*G9*V9</f>
        <v>4.2789347327999993E-4</v>
      </c>
      <c r="Z9">
        <f t="shared" ref="Z9:Z12" si="4">(1-$T9)*$O9*$P9*$Q9*H9*W9</f>
        <v>0</v>
      </c>
      <c r="AA9">
        <f>Constants!$B$29</f>
        <v>0.02</v>
      </c>
      <c r="AB9">
        <f>_xlfn.XLOOKUP($A9, Constants!$E$7:$I$7, Constants!$E$12:$I$12)</f>
        <v>0.77</v>
      </c>
      <c r="AC9">
        <f t="shared" ref="AC9:AC12" si="5">O9*AA9*AB9*P9*Q9</f>
        <v>3.2947797442559996E-3</v>
      </c>
      <c r="AD9">
        <f t="shared" ref="AD9:AD12" si="6">S9+SUM(X9:Z9)+AC9</f>
        <v>1.0996862263295997E-2</v>
      </c>
      <c r="AE9">
        <f t="shared" ref="AE9:AE12" si="7">D9*E9*AD9/1000</f>
        <v>0.17594979621273596</v>
      </c>
    </row>
    <row r="10" spans="1:31" x14ac:dyDescent="0.2">
      <c r="A10" t="str">
        <f>'Input Scenarios'!A10</f>
        <v>SA</v>
      </c>
      <c r="B10" t="str">
        <f>IF('Input Scenarios'!B10&lt;&gt;"", 'Input Scenarios'!B10, "")</f>
        <v/>
      </c>
      <c r="C10" t="str">
        <f>'Input Scenarios'!C10</f>
        <v>Irrigated crop</v>
      </c>
      <c r="D10">
        <f>'Input Scenarios'!D10</f>
        <v>200</v>
      </c>
      <c r="E10">
        <f>'Input Scenarios'!E10</f>
        <v>81</v>
      </c>
      <c r="F10">
        <f>'Input Scenarios'!F10</f>
        <v>0.4</v>
      </c>
      <c r="G10">
        <f>'Input Scenarios'!G10</f>
        <v>0.4</v>
      </c>
      <c r="H10">
        <f>'Input Scenarios'!H10</f>
        <v>0.2</v>
      </c>
      <c r="I10">
        <f>'Input Scenarios'!I10</f>
        <v>0.5</v>
      </c>
      <c r="J10">
        <f>IF('Input Scenarios'!J10&lt;&gt;"", 'Input Scenarios'!J10, IF($E10&lt;=80, Constants!B$2, IF($E10&lt;=200, Constants!B$3, Constants!B$4)))</f>
        <v>10.8</v>
      </c>
      <c r="K10">
        <f>IF('Input Scenarios'!K10&lt;&gt;"", 'Input Scenarios'!K10, IF($E10&lt;=80, Constants!C$2, IF($E10&lt;=200, Constants!C$3, Constants!C$4)))</f>
        <v>0.127</v>
      </c>
      <c r="L10">
        <f>IF('Input Scenarios'!L10&lt;&gt;"", 'Input Scenarios'!L10, IF($E10&lt;=80, Constants!D$2, IF($E10&lt;=200, Constants!D$3, Constants!D$4)))</f>
        <v>0.81</v>
      </c>
      <c r="M10">
        <f>IF('Input Scenarios'!M10&lt;&gt;"", 'Input Scenarios'!M10, IF($E10&lt;=80, Constants!E$2, IF($E10&lt;=200, Constants!E$3, Constants!E$4)))</f>
        <v>0.12</v>
      </c>
      <c r="N10">
        <f>Constants!$B$27</f>
        <v>0.16</v>
      </c>
      <c r="O10">
        <f t="shared" si="0"/>
        <v>1.7236799999999997</v>
      </c>
      <c r="P10">
        <f>Constants!$B$30</f>
        <v>0.19</v>
      </c>
      <c r="Q10">
        <f>Constants!$B$31</f>
        <v>0.6784</v>
      </c>
      <c r="R10">
        <f>_xlfn.XLOOKUP(A10, Constants!$E$7:$I$7, Constants!$E$8:$I$8)</f>
        <v>0.01</v>
      </c>
      <c r="S10">
        <f t="shared" si="1"/>
        <v>2.2217545727999995E-3</v>
      </c>
      <c r="T10">
        <f>Constants!$B$28</f>
        <v>0.5</v>
      </c>
      <c r="U10">
        <f>_xlfn.XLOOKUP($A10, Constants!$E$7:$I$7, Constants!$E$9:$I$9)</f>
        <v>0.02</v>
      </c>
      <c r="V10">
        <f>_xlfn.XLOOKUP($A10, Constants!$E$7:$I$7, Constants!$E$10:$I$10)</f>
        <v>0.01</v>
      </c>
      <c r="W10">
        <f>_xlfn.XLOOKUP($A10, Constants!$E$7:$I$7, Constants!$E$11:$I$11)</f>
        <v>0</v>
      </c>
      <c r="X10">
        <f t="shared" si="2"/>
        <v>8.8870182911999997E-4</v>
      </c>
      <c r="Y10">
        <f t="shared" si="3"/>
        <v>4.4435091455999998E-4</v>
      </c>
      <c r="Z10">
        <f t="shared" si="4"/>
        <v>0</v>
      </c>
      <c r="AA10">
        <f>Constants!$B$29</f>
        <v>0.02</v>
      </c>
      <c r="AB10">
        <f>_xlfn.XLOOKUP($A10, Constants!$E$7:$I$7, Constants!$E$12:$I$12)</f>
        <v>0.75</v>
      </c>
      <c r="AC10">
        <f t="shared" si="5"/>
        <v>3.3326318591999993E-3</v>
      </c>
      <c r="AD10">
        <f t="shared" si="6"/>
        <v>6.8874391756799987E-3</v>
      </c>
      <c r="AE10">
        <f t="shared" si="7"/>
        <v>0.11157651464601598</v>
      </c>
    </row>
    <row r="11" spans="1:31" x14ac:dyDescent="0.2">
      <c r="A11" t="str">
        <f>'Input Scenarios'!A11</f>
        <v>VIC</v>
      </c>
      <c r="B11" t="str">
        <f>IF('Input Scenarios'!B11&lt;&gt;"", 'Input Scenarios'!B11, "")</f>
        <v/>
      </c>
      <c r="C11" t="str">
        <f>'Input Scenarios'!C11</f>
        <v>Non-irrigated crop (low rainfall)</v>
      </c>
      <c r="D11">
        <f>'Input Scenarios'!D11</f>
        <v>200</v>
      </c>
      <c r="E11">
        <f>'Input Scenarios'!E11</f>
        <v>200</v>
      </c>
      <c r="F11">
        <f>'Input Scenarios'!F11</f>
        <v>0.4</v>
      </c>
      <c r="G11">
        <f>'Input Scenarios'!G11</f>
        <v>0.4</v>
      </c>
      <c r="H11">
        <f>'Input Scenarios'!H11</f>
        <v>0.2</v>
      </c>
      <c r="I11">
        <f>'Input Scenarios'!I11</f>
        <v>0.5</v>
      </c>
      <c r="J11">
        <f>IF('Input Scenarios'!J11&lt;&gt;"", 'Input Scenarios'!J11, IF($E11&lt;=80, Constants!B$2, IF($E11&lt;=200, Constants!B$3, Constants!B$4)))</f>
        <v>10.8</v>
      </c>
      <c r="K11">
        <f>IF('Input Scenarios'!K11&lt;&gt;"", 'Input Scenarios'!K11, IF($E11&lt;=80, Constants!C$2, IF($E11&lt;=200, Constants!C$3, Constants!C$4)))</f>
        <v>0.127</v>
      </c>
      <c r="L11">
        <f>IF('Input Scenarios'!L11&lt;&gt;"", 'Input Scenarios'!L11, IF($E11&lt;=80, Constants!D$2, IF($E11&lt;=200, Constants!D$3, Constants!D$4)))</f>
        <v>0.81</v>
      </c>
      <c r="M11">
        <f>IF('Input Scenarios'!M11&lt;&gt;"", 'Input Scenarios'!M11, IF($E11&lt;=80, Constants!E$2, IF($E11&lt;=200, Constants!E$3, Constants!E$4)))</f>
        <v>0.12</v>
      </c>
      <c r="N11">
        <f>Constants!$B$27</f>
        <v>0.16</v>
      </c>
      <c r="O11">
        <f t="shared" si="0"/>
        <v>1.7236799999999997</v>
      </c>
      <c r="P11">
        <f>Constants!$B$30</f>
        <v>0.19</v>
      </c>
      <c r="Q11">
        <f>Constants!$B$31</f>
        <v>0.6784</v>
      </c>
      <c r="R11">
        <f>_xlfn.XLOOKUP(A11, Constants!$E$7:$I$7, Constants!$E$8:$I$8)</f>
        <v>0.01</v>
      </c>
      <c r="S11">
        <f t="shared" si="1"/>
        <v>2.2217545727999995E-3</v>
      </c>
      <c r="T11">
        <f>Constants!$B$28</f>
        <v>0.5</v>
      </c>
      <c r="U11">
        <f>_xlfn.XLOOKUP($A11, Constants!$E$7:$I$7, Constants!$E$9:$I$9)</f>
        <v>0.02</v>
      </c>
      <c r="V11">
        <f>_xlfn.XLOOKUP($A11, Constants!$E$7:$I$7, Constants!$E$10:$I$10)</f>
        <v>0.01</v>
      </c>
      <c r="W11">
        <f>_xlfn.XLOOKUP($A11, Constants!$E$7:$I$7, Constants!$E$11:$I$11)</f>
        <v>0</v>
      </c>
      <c r="X11">
        <f t="shared" si="2"/>
        <v>8.8870182911999997E-4</v>
      </c>
      <c r="Y11">
        <f t="shared" si="3"/>
        <v>4.4435091455999998E-4</v>
      </c>
      <c r="Z11">
        <f t="shared" si="4"/>
        <v>0</v>
      </c>
      <c r="AA11">
        <f>Constants!$B$29</f>
        <v>0.02</v>
      </c>
      <c r="AB11">
        <f>_xlfn.XLOOKUP($A11, Constants!$E$7:$I$7, Constants!$E$12:$I$12)</f>
        <v>0.75</v>
      </c>
      <c r="AC11">
        <f t="shared" si="5"/>
        <v>3.3326318591999993E-3</v>
      </c>
      <c r="AD11">
        <f t="shared" si="6"/>
        <v>6.8874391756799987E-3</v>
      </c>
      <c r="AE11">
        <f t="shared" si="7"/>
        <v>0.27549756702719996</v>
      </c>
    </row>
    <row r="12" spans="1:31" x14ac:dyDescent="0.2">
      <c r="A12" t="str">
        <f>'Input Scenarios'!A12</f>
        <v>WA</v>
      </c>
      <c r="B12" t="str">
        <f>IF('Input Scenarios'!B12&lt;&gt;"", 'Input Scenarios'!B12, "")</f>
        <v/>
      </c>
      <c r="C12" t="str">
        <f>'Input Scenarios'!C12</f>
        <v>Non-irrigated crop (high rainfall)</v>
      </c>
      <c r="D12">
        <f>'Input Scenarios'!D12</f>
        <v>200</v>
      </c>
      <c r="E12">
        <f>'Input Scenarios'!E12</f>
        <v>201</v>
      </c>
      <c r="F12">
        <f>'Input Scenarios'!F12</f>
        <v>0.4</v>
      </c>
      <c r="G12">
        <f>'Input Scenarios'!G12</f>
        <v>0.4</v>
      </c>
      <c r="H12">
        <f>'Input Scenarios'!H12</f>
        <v>0.2</v>
      </c>
      <c r="I12">
        <f>'Input Scenarios'!I12</f>
        <v>0.5</v>
      </c>
      <c r="J12">
        <f>IF('Input Scenarios'!J12&lt;&gt;"", 'Input Scenarios'!J12, IF($E12&lt;=80, Constants!B$2, IF($E12&lt;=200, Constants!B$3, Constants!B$4)))</f>
        <v>8.1999999999999993</v>
      </c>
      <c r="K12">
        <f>IF('Input Scenarios'!K12&lt;&gt;"", 'Input Scenarios'!K12, IF($E12&lt;=80, Constants!C$2, IF($E12&lt;=200, Constants!C$3, Constants!C$4)))</f>
        <v>7.0000000000000007E-2</v>
      </c>
      <c r="L12">
        <f>IF('Input Scenarios'!L12&lt;&gt;"", 'Input Scenarios'!L12, IF($E12&lt;=80, Constants!D$2, IF($E12&lt;=200, Constants!D$3, Constants!D$4)))</f>
        <v>0.81</v>
      </c>
      <c r="M12">
        <f>IF('Input Scenarios'!M12&lt;&gt;"", 'Input Scenarios'!M12, IF($E12&lt;=80, Constants!E$2, IF($E12&lt;=200, Constants!E$3, Constants!E$4)))</f>
        <v>0.12</v>
      </c>
      <c r="N12">
        <f>Constants!$B$27</f>
        <v>0.16</v>
      </c>
      <c r="O12">
        <f t="shared" si="0"/>
        <v>1.3087199999999994</v>
      </c>
      <c r="P12">
        <f>Constants!$B$30</f>
        <v>0.19</v>
      </c>
      <c r="Q12">
        <f>Constants!$B$31</f>
        <v>0.6784</v>
      </c>
      <c r="R12">
        <f>_xlfn.XLOOKUP(A12, Constants!$E$7:$I$7, Constants!$E$8:$I$8)</f>
        <v>0.01</v>
      </c>
      <c r="S12">
        <f t="shared" si="1"/>
        <v>1.6868877311999994E-3</v>
      </c>
      <c r="T12">
        <f>Constants!$B$28</f>
        <v>0.5</v>
      </c>
      <c r="U12">
        <f>_xlfn.XLOOKUP($A12, Constants!$E$7:$I$7, Constants!$E$9:$I$9)</f>
        <v>0.02</v>
      </c>
      <c r="V12">
        <f>_xlfn.XLOOKUP($A12, Constants!$E$7:$I$7, Constants!$E$10:$I$10)</f>
        <v>0.01</v>
      </c>
      <c r="W12">
        <f>_xlfn.XLOOKUP($A12, Constants!$E$7:$I$7, Constants!$E$11:$I$11)</f>
        <v>0</v>
      </c>
      <c r="X12">
        <f t="shared" si="2"/>
        <v>6.7475509247999987E-4</v>
      </c>
      <c r="Y12">
        <f t="shared" si="3"/>
        <v>3.3737754623999993E-4</v>
      </c>
      <c r="Z12">
        <f t="shared" si="4"/>
        <v>0</v>
      </c>
      <c r="AA12">
        <f>Constants!$B$29</f>
        <v>0.02</v>
      </c>
      <c r="AB12">
        <f>_xlfn.XLOOKUP($A12, Constants!$E$7:$I$7, Constants!$E$12:$I$12)</f>
        <v>0.77</v>
      </c>
      <c r="AC12">
        <f t="shared" si="5"/>
        <v>2.5978071060479991E-3</v>
      </c>
      <c r="AD12">
        <f t="shared" si="6"/>
        <v>5.2968274759679981E-3</v>
      </c>
      <c r="AE12">
        <f t="shared" si="7"/>
        <v>0.21293246453391354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A9C8C-1DC1-6743-930F-E6C89838875A}">
  <dimension ref="A3:AE12"/>
  <sheetViews>
    <sheetView topLeftCell="D1" workbookViewId="0">
      <selection activeCell="Q20" sqref="Q20"/>
    </sheetView>
  </sheetViews>
  <sheetFormatPr baseColWidth="10" defaultRowHeight="16" x14ac:dyDescent="0.2"/>
  <sheetData>
    <row r="3" spans="1:31" x14ac:dyDescent="0.2">
      <c r="A3" t="s">
        <v>1</v>
      </c>
      <c r="C3" t="s">
        <v>1</v>
      </c>
    </row>
    <row r="5" spans="1:31" x14ac:dyDescent="0.2">
      <c r="A5" t="s">
        <v>2</v>
      </c>
      <c r="B5" t="s">
        <v>3</v>
      </c>
      <c r="C5" t="s">
        <v>4</v>
      </c>
      <c r="D5" t="s">
        <v>23</v>
      </c>
      <c r="E5" t="s">
        <v>24</v>
      </c>
      <c r="F5" t="s">
        <v>15</v>
      </c>
      <c r="J5" t="s">
        <v>26</v>
      </c>
      <c r="K5" t="s">
        <v>28</v>
      </c>
      <c r="L5" t="s">
        <v>25</v>
      </c>
      <c r="M5" t="s">
        <v>27</v>
      </c>
    </row>
    <row r="6" spans="1:31" x14ac:dyDescent="0.2">
      <c r="F6" t="s">
        <v>7</v>
      </c>
      <c r="G6" t="s">
        <v>13</v>
      </c>
      <c r="H6" t="s">
        <v>14</v>
      </c>
    </row>
    <row r="7" spans="1:31" x14ac:dyDescent="0.2">
      <c r="A7" s="1" t="s">
        <v>6</v>
      </c>
      <c r="B7" s="1" t="s">
        <v>6</v>
      </c>
      <c r="C7" s="1"/>
      <c r="D7" s="1" t="s">
        <v>8</v>
      </c>
      <c r="E7" s="1" t="s">
        <v>9</v>
      </c>
      <c r="F7" s="1" t="s">
        <v>16</v>
      </c>
      <c r="G7" s="1" t="s">
        <v>17</v>
      </c>
      <c r="H7" s="2" t="s">
        <v>18</v>
      </c>
      <c r="I7" s="2" t="s">
        <v>75</v>
      </c>
      <c r="J7" s="1" t="s">
        <v>20</v>
      </c>
      <c r="K7" s="1" t="s">
        <v>22</v>
      </c>
      <c r="L7" s="1" t="s">
        <v>19</v>
      </c>
      <c r="M7" s="2" t="s">
        <v>21</v>
      </c>
      <c r="N7" s="1" t="s">
        <v>56</v>
      </c>
      <c r="O7" s="1" t="s">
        <v>59</v>
      </c>
      <c r="P7" s="1" t="s">
        <v>60</v>
      </c>
      <c r="Q7" s="1" t="s">
        <v>61</v>
      </c>
      <c r="R7" s="1" t="s">
        <v>63</v>
      </c>
      <c r="S7" s="1" t="s">
        <v>62</v>
      </c>
      <c r="T7" s="1" t="s">
        <v>57</v>
      </c>
      <c r="U7" s="1" t="s">
        <v>64</v>
      </c>
      <c r="V7" s="1" t="s">
        <v>65</v>
      </c>
      <c r="W7" s="1" t="s">
        <v>66</v>
      </c>
      <c r="X7" s="1" t="s">
        <v>68</v>
      </c>
      <c r="Y7" s="1" t="s">
        <v>67</v>
      </c>
      <c r="Z7" s="1" t="s">
        <v>69</v>
      </c>
      <c r="AA7" s="1" t="s">
        <v>58</v>
      </c>
      <c r="AB7" s="1" t="s">
        <v>70</v>
      </c>
      <c r="AC7" s="1" t="s">
        <v>71</v>
      </c>
      <c r="AD7" s="1" t="s">
        <v>72</v>
      </c>
      <c r="AE7" s="16" t="s">
        <v>73</v>
      </c>
    </row>
    <row r="8" spans="1:31" x14ac:dyDescent="0.2">
      <c r="A8" t="str">
        <f>'Input Scenarios'!A21</f>
        <v>NSW</v>
      </c>
      <c r="B8">
        <f>IF('Input Scenarios'!B21&lt;&gt;"", 'Input Scenarios'!B21, "")</f>
        <v>14</v>
      </c>
      <c r="C8" t="str">
        <f>'Input Scenarios'!C21</f>
        <v>Non-irrigated pasture</v>
      </c>
      <c r="D8">
        <f>'Input Scenarios'!D21</f>
        <v>200</v>
      </c>
      <c r="E8">
        <f>'Input Scenarios'!E21</f>
        <v>79</v>
      </c>
      <c r="F8">
        <f>'Input Scenarios'!F21</f>
        <v>0.4</v>
      </c>
      <c r="G8">
        <f>'Input Scenarios'!G21</f>
        <v>0.4</v>
      </c>
      <c r="H8">
        <f>'Input Scenarios'!H21</f>
        <v>0.2</v>
      </c>
      <c r="I8">
        <f>'Input Scenarios'!I21</f>
        <v>0.5</v>
      </c>
      <c r="J8">
        <f>IF('Input Scenarios'!J21&lt;&gt;"", 'Input Scenarios'!J21, IF($E8&lt;=80, Constants!B$2, IF($E8&lt;=200, Constants!B$3, Constants!B$4)))</f>
        <v>10.4</v>
      </c>
      <c r="K8">
        <f>IF('Input Scenarios'!K21&lt;&gt;"", 'Input Scenarios'!K21, IF($E8&lt;=80, Constants!C$2, IF($E8&lt;=200, Constants!C$3, Constants!C$4)))</f>
        <v>0.20399999999999999</v>
      </c>
      <c r="L8">
        <f>IF('Input Scenarios'!L21&lt;&gt;"", 'Input Scenarios'!L21, IF($E8&lt;=80, Constants!D$2, IF($E8&lt;=200, Constants!D$3, Constants!D$4)))</f>
        <v>0.81</v>
      </c>
      <c r="M8">
        <f>IF('Input Scenarios'!M21&lt;&gt;"", 'Input Scenarios'!M21, IF($E8&lt;=80, Constants!E$2, IF($E8&lt;=200, Constants!E$3, Constants!E$4)))</f>
        <v>0.14000000000000001</v>
      </c>
      <c r="N8">
        <f>Constants!$B$27</f>
        <v>0.16</v>
      </c>
      <c r="O8">
        <f>J8*(1-L8)*(1-N8)</f>
        <v>1.6598399999999995</v>
      </c>
      <c r="P8">
        <f>Constants!$B$30</f>
        <v>0.19</v>
      </c>
      <c r="Q8">
        <f>Constants!$B$31</f>
        <v>0.6784</v>
      </c>
      <c r="R8">
        <f>_xlfn.XLOOKUP(A8, Constants!$E$7:$I$7, Constants!$E$8:$I$8)</f>
        <v>0.01</v>
      </c>
      <c r="S8">
        <f>O8*P8*Q8*R8</f>
        <v>2.1394673663999992E-3</v>
      </c>
      <c r="T8">
        <f>Constants!$B$28</f>
        <v>0.5</v>
      </c>
      <c r="U8">
        <f>_xlfn.XLOOKUP($B8, Constants!$E$16:$E$34,Constants!G$16:G$34)</f>
        <v>0.02</v>
      </c>
      <c r="V8">
        <f>_xlfn.XLOOKUP($B8, Constants!$E$16:$E$34,Constants!H$16:H$34)</f>
        <v>5.0000000000000001E-3</v>
      </c>
      <c r="W8">
        <f>_xlfn.XLOOKUP($B8, Constants!$E$16:$E$34,Constants!I$16:I$34)</f>
        <v>0</v>
      </c>
      <c r="X8">
        <f>(1-$T8)*$O8*$P8*$Q8*F8*U8</f>
        <v>8.5578694655999985E-4</v>
      </c>
      <c r="Y8">
        <f>(1-$T8)*$O8*$P8*$Q8*G8*V8</f>
        <v>2.1394673663999996E-4</v>
      </c>
      <c r="Z8">
        <f>(1-$T8)*$O8*$P8*$Q8*H8*W8</f>
        <v>0</v>
      </c>
      <c r="AA8">
        <f>Constants!$B$29</f>
        <v>0.02</v>
      </c>
      <c r="AB8">
        <f>_xlfn.XLOOKUP($B8, Constants!$E$16:$E$34,Constants!J$16:J$34)</f>
        <v>0.73</v>
      </c>
      <c r="AC8">
        <f>O8*AA8*AB8*P8*Q8</f>
        <v>3.123622354943999E-3</v>
      </c>
      <c r="AD8">
        <f>S8+SUM(X8:Z8)+AC8</f>
        <v>6.3328234045439986E-3</v>
      </c>
      <c r="AE8">
        <f>D8*E8*AD8/1000</f>
        <v>0.10005860979179518</v>
      </c>
    </row>
    <row r="9" spans="1:31" x14ac:dyDescent="0.2">
      <c r="A9" t="str">
        <f>'Input Scenarios'!A22</f>
        <v>QLD</v>
      </c>
      <c r="B9">
        <f>IF('Input Scenarios'!B22&lt;&gt;"", 'Input Scenarios'!B22, "")</f>
        <v>27</v>
      </c>
      <c r="C9" t="str">
        <f>'Input Scenarios'!C22</f>
        <v>Irrigated pasture</v>
      </c>
      <c r="D9">
        <f>'Input Scenarios'!D22</f>
        <v>200</v>
      </c>
      <c r="E9">
        <f>'Input Scenarios'!E22</f>
        <v>80</v>
      </c>
      <c r="F9">
        <f>'Input Scenarios'!F22</f>
        <v>0.4</v>
      </c>
      <c r="G9">
        <f>'Input Scenarios'!G22</f>
        <v>0.4</v>
      </c>
      <c r="H9">
        <f>'Input Scenarios'!H22</f>
        <v>0.2</v>
      </c>
      <c r="I9">
        <f>'Input Scenarios'!I22</f>
        <v>0.5</v>
      </c>
      <c r="J9">
        <f>IF('Input Scenarios'!J22&lt;&gt;"", 'Input Scenarios'!J22, IF($E9&lt;=80, Constants!B$2, IF($E9&lt;=200, Constants!B$3, Constants!B$4)))</f>
        <v>10.4</v>
      </c>
      <c r="K9">
        <f>IF('Input Scenarios'!K22&lt;&gt;"", 'Input Scenarios'!K22, IF($E9&lt;=80, Constants!C$2, IF($E9&lt;=200, Constants!C$3, Constants!C$4)))</f>
        <v>0.20399999999999999</v>
      </c>
      <c r="L9">
        <f>IF('Input Scenarios'!L22&lt;&gt;"", 'Input Scenarios'!L22, IF($E9&lt;=80, Constants!D$2, IF($E9&lt;=200, Constants!D$3, Constants!D$4)))</f>
        <v>0.81</v>
      </c>
      <c r="M9">
        <f>IF('Input Scenarios'!M22&lt;&gt;"", 'Input Scenarios'!M22, IF($E9&lt;=80, Constants!E$2, IF($E9&lt;=200, Constants!E$3, Constants!E$4)))</f>
        <v>0.14000000000000001</v>
      </c>
      <c r="N9">
        <f>Constants!$B$27</f>
        <v>0.16</v>
      </c>
      <c r="O9">
        <f t="shared" ref="O9:O12" si="0">J9*(1-L9)*(1-N9)</f>
        <v>1.6598399999999995</v>
      </c>
      <c r="P9">
        <f>Constants!$B$30</f>
        <v>0.19</v>
      </c>
      <c r="Q9">
        <f>Constants!$B$31</f>
        <v>0.6784</v>
      </c>
      <c r="R9">
        <f>_xlfn.XLOOKUP(A9, Constants!$E$7:$I$7, Constants!$E$8:$I$8)</f>
        <v>0.03</v>
      </c>
      <c r="S9">
        <f t="shared" ref="S9:S12" si="1">O9*P9*Q9*R9</f>
        <v>6.4184020991999982E-3</v>
      </c>
      <c r="T9">
        <f>Constants!$B$28</f>
        <v>0.5</v>
      </c>
      <c r="U9">
        <f>_xlfn.XLOOKUP($B9, Constants!$E$16:$E$34,Constants!G$16:G$34)</f>
        <v>0.02</v>
      </c>
      <c r="V9">
        <f>_xlfn.XLOOKUP($B9, Constants!$E$16:$E$34,Constants!H$16:H$34)</f>
        <v>1.4999999999999999E-2</v>
      </c>
      <c r="W9">
        <f>_xlfn.XLOOKUP($B9, Constants!$E$16:$E$34,Constants!I$16:I$34)</f>
        <v>0</v>
      </c>
      <c r="X9">
        <f t="shared" ref="X9:X12" si="2">(1-$T9)*$O9*$P9*$Q9*F9*U9</f>
        <v>8.5578694655999985E-4</v>
      </c>
      <c r="Y9">
        <f>(1-$T9)*$O9*$P9*$Q9*G9*V9</f>
        <v>6.4184020991999986E-4</v>
      </c>
      <c r="Z9">
        <f>(1-$T9)*$O9*$P9*$Q9*H9*W9</f>
        <v>0</v>
      </c>
      <c r="AA9">
        <f>Constants!$B$29</f>
        <v>0.02</v>
      </c>
      <c r="AB9">
        <f>_xlfn.XLOOKUP($B9, Constants!$E$16:$E$34,Constants!J$16:J$34)</f>
        <v>0.8</v>
      </c>
      <c r="AC9">
        <f t="shared" ref="AC9:AC12" si="3">O9*AA9*AB9*P9*Q9</f>
        <v>3.4231477862399994E-3</v>
      </c>
      <c r="AD9">
        <f t="shared" ref="AD9:AD12" si="4">S9+SUM(X9:Z9)+AC9</f>
        <v>1.1339177041919998E-2</v>
      </c>
      <c r="AE9">
        <f t="shared" ref="AE9:AE12" si="5">D9*E9*AD9/1000</f>
        <v>0.18142683267071996</v>
      </c>
    </row>
    <row r="10" spans="1:31" x14ac:dyDescent="0.2">
      <c r="A10" t="str">
        <f>'Input Scenarios'!A23</f>
        <v>SA</v>
      </c>
      <c r="B10">
        <f>IF('Input Scenarios'!B23&lt;&gt;"", 'Input Scenarios'!B23, "")</f>
        <v>22</v>
      </c>
      <c r="C10" t="str">
        <f>'Input Scenarios'!C23</f>
        <v>Irrigated crop</v>
      </c>
      <c r="D10">
        <f>'Input Scenarios'!D23</f>
        <v>200</v>
      </c>
      <c r="E10">
        <f>'Input Scenarios'!E23</f>
        <v>81</v>
      </c>
      <c r="F10">
        <f>'Input Scenarios'!F23</f>
        <v>0.4</v>
      </c>
      <c r="G10">
        <f>'Input Scenarios'!G23</f>
        <v>0.4</v>
      </c>
      <c r="H10">
        <f>'Input Scenarios'!H23</f>
        <v>0.2</v>
      </c>
      <c r="I10">
        <f>'Input Scenarios'!I23</f>
        <v>0.5</v>
      </c>
      <c r="J10">
        <f>IF('Input Scenarios'!J23&lt;&gt;"", 'Input Scenarios'!J23, IF($E10&lt;=80, Constants!B$2, IF($E10&lt;=200, Constants!B$3, Constants!B$4)))</f>
        <v>10.8</v>
      </c>
      <c r="K10">
        <f>IF('Input Scenarios'!K23&lt;&gt;"", 'Input Scenarios'!K23, IF($E10&lt;=80, Constants!C$2, IF($E10&lt;=200, Constants!C$3, Constants!C$4)))</f>
        <v>0.127</v>
      </c>
      <c r="L10">
        <f>IF('Input Scenarios'!L23&lt;&gt;"", 'Input Scenarios'!L23, IF($E10&lt;=80, Constants!D$2, IF($E10&lt;=200, Constants!D$3, Constants!D$4)))</f>
        <v>0.81</v>
      </c>
      <c r="M10">
        <f>IF('Input Scenarios'!M23&lt;&gt;"", 'Input Scenarios'!M23, IF($E10&lt;=80, Constants!E$2, IF($E10&lt;=200, Constants!E$3, Constants!E$4)))</f>
        <v>0.12</v>
      </c>
      <c r="N10">
        <f>Constants!$B$27</f>
        <v>0.16</v>
      </c>
      <c r="O10">
        <f t="shared" si="0"/>
        <v>1.7236799999999997</v>
      </c>
      <c r="P10">
        <f>Constants!$B$30</f>
        <v>0.19</v>
      </c>
      <c r="Q10">
        <f>Constants!$B$31</f>
        <v>0.6784</v>
      </c>
      <c r="R10">
        <f>_xlfn.XLOOKUP(A10, Constants!$E$7:$I$7, Constants!$E$8:$I$8)</f>
        <v>0.01</v>
      </c>
      <c r="S10">
        <f t="shared" si="1"/>
        <v>2.2217545727999995E-3</v>
      </c>
      <c r="T10">
        <f>Constants!$B$28</f>
        <v>0.5</v>
      </c>
      <c r="U10">
        <f>_xlfn.XLOOKUP($B10, Constants!$E$16:$E$34,Constants!G$16:G$34)</f>
        <v>0.02</v>
      </c>
      <c r="V10">
        <f>_xlfn.XLOOKUP($B10, Constants!$E$16:$E$34,Constants!H$16:H$34)</f>
        <v>0.01</v>
      </c>
      <c r="W10">
        <f>_xlfn.XLOOKUP($B10, Constants!$E$16:$E$34,Constants!I$16:I$34)</f>
        <v>0</v>
      </c>
      <c r="X10">
        <f t="shared" si="2"/>
        <v>8.8870182911999997E-4</v>
      </c>
      <c r="Y10">
        <f>(1-$T10)*$O10*$P10*$Q10*G10*V10</f>
        <v>4.4435091455999998E-4</v>
      </c>
      <c r="Z10">
        <f>(1-$T10)*$O10*$P10*$Q10*H10*W10</f>
        <v>0</v>
      </c>
      <c r="AA10">
        <f>Constants!$B$29</f>
        <v>0.02</v>
      </c>
      <c r="AB10">
        <f>_xlfn.XLOOKUP($B10, Constants!$E$16:$E$34,Constants!J$16:J$34)</f>
        <v>0.78</v>
      </c>
      <c r="AC10">
        <f t="shared" si="3"/>
        <v>3.4659371335679996E-3</v>
      </c>
      <c r="AD10">
        <f t="shared" si="4"/>
        <v>7.0207444500479995E-3</v>
      </c>
      <c r="AE10">
        <f t="shared" si="5"/>
        <v>0.11373606009077759</v>
      </c>
    </row>
    <row r="11" spans="1:31" x14ac:dyDescent="0.2">
      <c r="A11" t="str">
        <f>'Input Scenarios'!A24</f>
        <v>VIC</v>
      </c>
      <c r="B11">
        <f>IF('Input Scenarios'!B24&lt;&gt;"", 'Input Scenarios'!B24, "")</f>
        <v>16</v>
      </c>
      <c r="C11" t="str">
        <f>'Input Scenarios'!C24</f>
        <v>Non-irrigated crop (low rainfall)</v>
      </c>
      <c r="D11">
        <f>'Input Scenarios'!D24</f>
        <v>200</v>
      </c>
      <c r="E11">
        <f>'Input Scenarios'!E24</f>
        <v>200</v>
      </c>
      <c r="F11">
        <f>'Input Scenarios'!F24</f>
        <v>0.4</v>
      </c>
      <c r="G11">
        <f>'Input Scenarios'!G24</f>
        <v>0.4</v>
      </c>
      <c r="H11">
        <f>'Input Scenarios'!H24</f>
        <v>0.2</v>
      </c>
      <c r="I11">
        <f>'Input Scenarios'!I24</f>
        <v>0.5</v>
      </c>
      <c r="J11">
        <f>IF('Input Scenarios'!J24&lt;&gt;"", 'Input Scenarios'!J24, IF($E11&lt;=80, Constants!B$2, IF($E11&lt;=200, Constants!B$3, Constants!B$4)))</f>
        <v>10.8</v>
      </c>
      <c r="K11">
        <f>IF('Input Scenarios'!K24&lt;&gt;"", 'Input Scenarios'!K24, IF($E11&lt;=80, Constants!C$2, IF($E11&lt;=200, Constants!C$3, Constants!C$4)))</f>
        <v>0.127</v>
      </c>
      <c r="L11">
        <f>IF('Input Scenarios'!L24&lt;&gt;"", 'Input Scenarios'!L24, IF($E11&lt;=80, Constants!D$2, IF($E11&lt;=200, Constants!D$3, Constants!D$4)))</f>
        <v>0.81</v>
      </c>
      <c r="M11">
        <f>IF('Input Scenarios'!M24&lt;&gt;"", 'Input Scenarios'!M24, IF($E11&lt;=80, Constants!E$2, IF($E11&lt;=200, Constants!E$3, Constants!E$4)))</f>
        <v>0.12</v>
      </c>
      <c r="N11">
        <f>Constants!$B$27</f>
        <v>0.16</v>
      </c>
      <c r="O11">
        <f t="shared" si="0"/>
        <v>1.7236799999999997</v>
      </c>
      <c r="P11">
        <f>Constants!$B$30</f>
        <v>0.19</v>
      </c>
      <c r="Q11">
        <f>Constants!$B$31</f>
        <v>0.6784</v>
      </c>
      <c r="R11">
        <f>_xlfn.XLOOKUP(A11, Constants!$E$7:$I$7, Constants!$E$8:$I$8)</f>
        <v>0.01</v>
      </c>
      <c r="S11">
        <f t="shared" si="1"/>
        <v>2.2217545727999995E-3</v>
      </c>
      <c r="T11">
        <f>Constants!$B$28</f>
        <v>0.5</v>
      </c>
      <c r="U11">
        <f>_xlfn.XLOOKUP($B11, Constants!$E$16:$E$34,Constants!G$16:G$34)</f>
        <v>0.02</v>
      </c>
      <c r="V11">
        <f>_xlfn.XLOOKUP($B11, Constants!$E$16:$E$34,Constants!H$16:H$34)</f>
        <v>0.01</v>
      </c>
      <c r="W11">
        <f>_xlfn.XLOOKUP($B11, Constants!$E$16:$E$34,Constants!I$16:I$34)</f>
        <v>0</v>
      </c>
      <c r="X11">
        <f t="shared" si="2"/>
        <v>8.8870182911999997E-4</v>
      </c>
      <c r="Y11">
        <f>(1-$T11)*$O11*$P11*$Q11*G11*V11</f>
        <v>4.4435091455999998E-4</v>
      </c>
      <c r="Z11">
        <f>(1-$T11)*$O11*$P11*$Q11*H11*W11</f>
        <v>0</v>
      </c>
      <c r="AA11">
        <f>Constants!$B$29</f>
        <v>0.02</v>
      </c>
      <c r="AB11">
        <f>_xlfn.XLOOKUP($B11, Constants!$E$16:$E$34,Constants!J$16:J$34)</f>
        <v>0.75</v>
      </c>
      <c r="AC11">
        <f t="shared" si="3"/>
        <v>3.3326318591999993E-3</v>
      </c>
      <c r="AD11">
        <f t="shared" si="4"/>
        <v>6.8874391756799987E-3</v>
      </c>
      <c r="AE11">
        <f t="shared" si="5"/>
        <v>0.27549756702719996</v>
      </c>
    </row>
    <row r="12" spans="1:31" x14ac:dyDescent="0.2">
      <c r="A12" t="str">
        <f>'Input Scenarios'!A25</f>
        <v>WA</v>
      </c>
      <c r="B12" t="str">
        <f>IF('Input Scenarios'!B25&lt;&gt;"", 'Input Scenarios'!B25, "")</f>
        <v>28 or above</v>
      </c>
      <c r="C12" t="str">
        <f>'Input Scenarios'!C25</f>
        <v>Non-irrigated crop (high rainfall)</v>
      </c>
      <c r="D12">
        <f>'Input Scenarios'!D25</f>
        <v>200</v>
      </c>
      <c r="E12">
        <f>'Input Scenarios'!E25</f>
        <v>201</v>
      </c>
      <c r="F12">
        <f>'Input Scenarios'!F25</f>
        <v>0.4</v>
      </c>
      <c r="G12">
        <f>'Input Scenarios'!G25</f>
        <v>0.4</v>
      </c>
      <c r="H12">
        <f>'Input Scenarios'!H25</f>
        <v>0.2</v>
      </c>
      <c r="I12">
        <f>'Input Scenarios'!I25</f>
        <v>0.5</v>
      </c>
      <c r="J12">
        <f>IF('Input Scenarios'!J25&lt;&gt;"", 'Input Scenarios'!J25, IF($E12&lt;=80, Constants!B$2, IF($E12&lt;=200, Constants!B$3, Constants!B$4)))</f>
        <v>8.1999999999999993</v>
      </c>
      <c r="K12">
        <f>IF('Input Scenarios'!K25&lt;&gt;"", 'Input Scenarios'!K25, IF($E12&lt;=80, Constants!C$2, IF($E12&lt;=200, Constants!C$3, Constants!C$4)))</f>
        <v>7.0000000000000007E-2</v>
      </c>
      <c r="L12">
        <f>IF('Input Scenarios'!L25&lt;&gt;"", 'Input Scenarios'!L25, IF($E12&lt;=80, Constants!D$2, IF($E12&lt;=200, Constants!D$3, Constants!D$4)))</f>
        <v>0.81</v>
      </c>
      <c r="M12">
        <f>IF('Input Scenarios'!M25&lt;&gt;"", 'Input Scenarios'!M25, IF($E12&lt;=80, Constants!E$2, IF($E12&lt;=200, Constants!E$3, Constants!E$4)))</f>
        <v>0.12</v>
      </c>
      <c r="N12">
        <f>Constants!$B$27</f>
        <v>0.16</v>
      </c>
      <c r="O12">
        <f t="shared" si="0"/>
        <v>1.3087199999999994</v>
      </c>
      <c r="P12">
        <f>Constants!$B$30</f>
        <v>0.19</v>
      </c>
      <c r="Q12">
        <f>Constants!$B$31</f>
        <v>0.6784</v>
      </c>
      <c r="R12">
        <f>_xlfn.XLOOKUP(A12, Constants!$E$7:$I$7, Constants!$E$8:$I$8)</f>
        <v>0.01</v>
      </c>
      <c r="S12">
        <f t="shared" si="1"/>
        <v>1.6868877311999994E-3</v>
      </c>
      <c r="T12">
        <f>Constants!$B$28</f>
        <v>0.5</v>
      </c>
      <c r="U12">
        <f>_xlfn.XLOOKUP($B12, Constants!$E$16:$E$34,Constants!G$16:G$34)</f>
        <v>0.02</v>
      </c>
      <c r="V12">
        <f>_xlfn.XLOOKUP($B12, Constants!$E$16:$E$34,Constants!H$16:H$34)</f>
        <v>1.4999999999999999E-2</v>
      </c>
      <c r="W12">
        <f>_xlfn.XLOOKUP($B12, Constants!$E$16:$E$34,Constants!I$16:I$34)</f>
        <v>0</v>
      </c>
      <c r="X12">
        <f t="shared" si="2"/>
        <v>6.7475509247999987E-4</v>
      </c>
      <c r="Y12">
        <f>(1-$T12)*$O12*$P12*$Q12*G12*V12</f>
        <v>5.0606631935999982E-4</v>
      </c>
      <c r="Z12">
        <f>(1-$T12)*$O12*$P12*$Q12*H12*W12</f>
        <v>0</v>
      </c>
      <c r="AA12">
        <f>Constants!$B$29</f>
        <v>0.02</v>
      </c>
      <c r="AB12">
        <f>_xlfn.XLOOKUP($B12, Constants!$E$16:$E$34,Constants!J$16:J$34)</f>
        <v>0.8</v>
      </c>
      <c r="AC12">
        <f t="shared" si="3"/>
        <v>2.6990203699199995E-3</v>
      </c>
      <c r="AD12">
        <f t="shared" si="4"/>
        <v>5.5667295129599986E-3</v>
      </c>
      <c r="AE12">
        <f t="shared" si="5"/>
        <v>0.22378252642099192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12DE4-7015-7A41-978F-9DF06C543E20}">
  <dimension ref="A3:AK12"/>
  <sheetViews>
    <sheetView workbookViewId="0">
      <selection activeCell="N5" sqref="N5:AK12"/>
    </sheetView>
  </sheetViews>
  <sheetFormatPr baseColWidth="10" defaultRowHeight="16" x14ac:dyDescent="0.2"/>
  <sheetData>
    <row r="3" spans="1:37" x14ac:dyDescent="0.2">
      <c r="A3" t="s">
        <v>1</v>
      </c>
      <c r="C3" t="s">
        <v>1</v>
      </c>
    </row>
    <row r="5" spans="1:37" x14ac:dyDescent="0.2">
      <c r="A5" t="s">
        <v>2</v>
      </c>
      <c r="B5" t="s">
        <v>3</v>
      </c>
      <c r="C5" t="s">
        <v>4</v>
      </c>
      <c r="D5" t="s">
        <v>23</v>
      </c>
      <c r="E5" t="s">
        <v>24</v>
      </c>
      <c r="F5" t="s">
        <v>15</v>
      </c>
      <c r="J5" t="s">
        <v>26</v>
      </c>
      <c r="K5" t="s">
        <v>28</v>
      </c>
      <c r="L5" t="s">
        <v>25</v>
      </c>
      <c r="M5" t="s">
        <v>27</v>
      </c>
    </row>
    <row r="6" spans="1:37" x14ac:dyDescent="0.2">
      <c r="F6" t="s">
        <v>7</v>
      </c>
      <c r="G6" t="s">
        <v>13</v>
      </c>
      <c r="H6" t="s">
        <v>14</v>
      </c>
      <c r="Q6" t="s">
        <v>83</v>
      </c>
    </row>
    <row r="7" spans="1:37" x14ac:dyDescent="0.2">
      <c r="A7" s="1" t="s">
        <v>6</v>
      </c>
      <c r="B7" s="1" t="s">
        <v>6</v>
      </c>
      <c r="C7" s="1"/>
      <c r="D7" s="1" t="s">
        <v>8</v>
      </c>
      <c r="E7" s="1" t="s">
        <v>9</v>
      </c>
      <c r="F7" s="1" t="s">
        <v>16</v>
      </c>
      <c r="G7" s="1" t="s">
        <v>17</v>
      </c>
      <c r="H7" s="2" t="s">
        <v>18</v>
      </c>
      <c r="I7" s="2" t="s">
        <v>75</v>
      </c>
      <c r="J7" s="1" t="s">
        <v>20</v>
      </c>
      <c r="K7" s="1" t="s">
        <v>22</v>
      </c>
      <c r="L7" s="1" t="s">
        <v>19</v>
      </c>
      <c r="M7" s="2" t="s">
        <v>21</v>
      </c>
      <c r="N7" s="1"/>
      <c r="O7" s="1" t="s">
        <v>77</v>
      </c>
      <c r="P7" s="1" t="s">
        <v>78</v>
      </c>
      <c r="Q7" s="1" t="s">
        <v>79</v>
      </c>
      <c r="R7" s="1" t="s">
        <v>58</v>
      </c>
      <c r="S7" s="14" t="s">
        <v>80</v>
      </c>
      <c r="T7" s="14" t="s">
        <v>82</v>
      </c>
      <c r="U7" s="14" t="s">
        <v>84</v>
      </c>
      <c r="V7" s="14" t="s">
        <v>85</v>
      </c>
      <c r="W7" s="14" t="s">
        <v>86</v>
      </c>
      <c r="X7" s="14" t="s">
        <v>87</v>
      </c>
      <c r="Y7" s="14" t="s">
        <v>88</v>
      </c>
      <c r="Z7" s="14" t="s">
        <v>81</v>
      </c>
      <c r="AA7" s="14" t="s">
        <v>90</v>
      </c>
      <c r="AB7" s="14" t="s">
        <v>89</v>
      </c>
      <c r="AC7" s="14" t="s">
        <v>91</v>
      </c>
      <c r="AD7" s="14" t="s">
        <v>92</v>
      </c>
      <c r="AE7" s="14" t="s">
        <v>93</v>
      </c>
      <c r="AF7" s="15" t="s">
        <v>99</v>
      </c>
      <c r="AG7" s="15" t="s">
        <v>98</v>
      </c>
      <c r="AH7" s="15" t="s">
        <v>97</v>
      </c>
      <c r="AI7" s="15" t="s">
        <v>96</v>
      </c>
      <c r="AJ7" s="15" t="s">
        <v>95</v>
      </c>
      <c r="AK7" s="15" t="s">
        <v>94</v>
      </c>
    </row>
    <row r="8" spans="1:37" x14ac:dyDescent="0.2">
      <c r="A8" t="str">
        <f>'Input Scenarios'!A8</f>
        <v>NSW</v>
      </c>
      <c r="B8" t="str">
        <f>IF('Input Scenarios'!B8&lt;&gt;"", 'Input Scenarios'!B8, "")</f>
        <v/>
      </c>
      <c r="C8" t="str">
        <f>'Input Scenarios'!C8</f>
        <v>Non-irrigated pasture</v>
      </c>
      <c r="D8">
        <f>'Input Scenarios'!D8</f>
        <v>200</v>
      </c>
      <c r="E8">
        <f>'Input Scenarios'!E8</f>
        <v>79</v>
      </c>
      <c r="F8">
        <f>'Input Scenarios'!F8</f>
        <v>0.4</v>
      </c>
      <c r="G8">
        <f>'Input Scenarios'!G8</f>
        <v>0.4</v>
      </c>
      <c r="H8">
        <f>'Input Scenarios'!H8</f>
        <v>0.2</v>
      </c>
      <c r="I8">
        <f>'Input Scenarios'!I8</f>
        <v>0.5</v>
      </c>
      <c r="J8">
        <f>IF('Input Scenarios'!J8&lt;&gt;"", 'Input Scenarios'!J8, IF($E8&lt;=80, Constants!B$2, IF($E8&lt;=200, Constants!B$3, Constants!B$4)))</f>
        <v>10.4</v>
      </c>
      <c r="K8">
        <f>IF('Input Scenarios'!K8&lt;&gt;"", 'Input Scenarios'!K8, IF($E8&lt;=80, Constants!C$2, IF($E8&lt;=200, Constants!C$3, Constants!C$4)))</f>
        <v>0.20399999999999999</v>
      </c>
      <c r="L8">
        <f>IF('Input Scenarios'!L8&lt;&gt;"", 'Input Scenarios'!L8, IF($E8&lt;=80, Constants!D$2, IF($E8&lt;=200, Constants!D$3, Constants!D$4)))</f>
        <v>0.81</v>
      </c>
      <c r="M8">
        <f>IF('Input Scenarios'!M8&lt;&gt;"", 'Input Scenarios'!M8, IF($E8&lt;=80, Constants!E$2, IF($E8&lt;=200, Constants!E$3, Constants!E$4)))</f>
        <v>0.14000000000000001</v>
      </c>
      <c r="N8">
        <f>Constants!$B$32</f>
        <v>6.25</v>
      </c>
      <c r="O8">
        <f>J8*M8/N8</f>
        <v>0.23296000000000003</v>
      </c>
      <c r="P8">
        <f>O8*(1-K8)</f>
        <v>0.18543616000000004</v>
      </c>
      <c r="Q8">
        <f>D8*E8*P8</f>
        <v>2929.8913280000006</v>
      </c>
      <c r="R8">
        <f>Constants!$B$29</f>
        <v>0.02</v>
      </c>
      <c r="S8">
        <f>Constants!$D$8</f>
        <v>0.6</v>
      </c>
      <c r="T8">
        <f>(Q8*(1-S8-Z8))-(Q8*R8)</f>
        <v>1097.5372914688003</v>
      </c>
      <c r="U8">
        <f>Q8</f>
        <v>2929.8913280000006</v>
      </c>
      <c r="V8">
        <f>$T8*F8</f>
        <v>439.01491658752013</v>
      </c>
      <c r="W8">
        <f>$T8*G8</f>
        <v>439.01491658752013</v>
      </c>
      <c r="X8">
        <f>$T8*H8</f>
        <v>219.50745829376007</v>
      </c>
      <c r="Y8">
        <f>Q8*R8</f>
        <v>58.597826560000016</v>
      </c>
      <c r="Z8">
        <f>Constants!$C$8</f>
        <v>5.4000000000000003E-3</v>
      </c>
      <c r="AA8">
        <f>Constants!$C$9</f>
        <v>5.0000000000000001E-3</v>
      </c>
      <c r="AB8">
        <f>Constants!$C$10</f>
        <v>0.01</v>
      </c>
      <c r="AC8">
        <f>Constants!$C$11</f>
        <v>0</v>
      </c>
      <c r="AD8">
        <f>Constants!$C$12</f>
        <v>0</v>
      </c>
      <c r="AE8">
        <f>Constants!$B$33</f>
        <v>1.5714285714285714</v>
      </c>
      <c r="AF8">
        <f>U8*Z8*$AE8</f>
        <v>24.862220697600009</v>
      </c>
      <c r="AG8">
        <f t="shared" ref="AG8:AJ8" si="0">V8*AA8*$AE8</f>
        <v>3.4494029160448014</v>
      </c>
      <c r="AH8">
        <f t="shared" si="0"/>
        <v>6.8988058320896029</v>
      </c>
      <c r="AI8">
        <f t="shared" si="0"/>
        <v>0</v>
      </c>
      <c r="AJ8">
        <f t="shared" si="0"/>
        <v>0</v>
      </c>
      <c r="AK8">
        <f>SUM(AF8:AJ8)/1000</f>
        <v>3.5210429445734409E-2</v>
      </c>
    </row>
    <row r="9" spans="1:37" x14ac:dyDescent="0.2">
      <c r="A9" t="str">
        <f>'Input Scenarios'!A9</f>
        <v>QLD</v>
      </c>
      <c r="B9" t="str">
        <f>IF('Input Scenarios'!B9&lt;&gt;"", 'Input Scenarios'!B9, "")</f>
        <v/>
      </c>
      <c r="C9" t="str">
        <f>'Input Scenarios'!C9</f>
        <v>Irrigated pasture</v>
      </c>
      <c r="D9">
        <f>'Input Scenarios'!D9</f>
        <v>200</v>
      </c>
      <c r="E9">
        <f>'Input Scenarios'!E9</f>
        <v>80</v>
      </c>
      <c r="F9">
        <f>'Input Scenarios'!F9</f>
        <v>0.4</v>
      </c>
      <c r="G9">
        <f>'Input Scenarios'!G9</f>
        <v>0.4</v>
      </c>
      <c r="H9">
        <f>'Input Scenarios'!H9</f>
        <v>0.2</v>
      </c>
      <c r="I9">
        <f>'Input Scenarios'!I9</f>
        <v>0.5</v>
      </c>
      <c r="J9">
        <f>IF('Input Scenarios'!J9&lt;&gt;"", 'Input Scenarios'!J9, IF($E9&lt;=80, Constants!B$2, IF($E9&lt;=200, Constants!B$3, Constants!B$4)))</f>
        <v>10.4</v>
      </c>
      <c r="K9">
        <f>IF('Input Scenarios'!K9&lt;&gt;"", 'Input Scenarios'!K9, IF($E9&lt;=80, Constants!C$2, IF($E9&lt;=200, Constants!C$3, Constants!C$4)))</f>
        <v>0.20399999999999999</v>
      </c>
      <c r="L9">
        <f>IF('Input Scenarios'!L9&lt;&gt;"", 'Input Scenarios'!L9, IF($E9&lt;=80, Constants!D$2, IF($E9&lt;=200, Constants!D$3, Constants!D$4)))</f>
        <v>0.81</v>
      </c>
      <c r="M9">
        <f>IF('Input Scenarios'!M9&lt;&gt;"", 'Input Scenarios'!M9, IF($E9&lt;=80, Constants!E$2, IF($E9&lt;=200, Constants!E$3, Constants!E$4)))</f>
        <v>0.14000000000000001</v>
      </c>
      <c r="N9">
        <f>Constants!$B$32</f>
        <v>6.25</v>
      </c>
      <c r="O9">
        <f t="shared" ref="O9:O12" si="1">J9*M9/N9</f>
        <v>0.23296000000000003</v>
      </c>
      <c r="P9">
        <f t="shared" ref="P9:P12" si="2">O9*(1-K9)</f>
        <v>0.18543616000000004</v>
      </c>
      <c r="Q9">
        <f t="shared" ref="Q9:Q12" si="3">D9*E9*P9</f>
        <v>2966.9785600000009</v>
      </c>
      <c r="R9">
        <f>Constants!$B$29</f>
        <v>0.02</v>
      </c>
      <c r="S9">
        <f>Constants!$D$8</f>
        <v>0.6</v>
      </c>
      <c r="T9">
        <f>(Q9*(1-S9-Z9))-(Q9*R9)</f>
        <v>1111.4301685760001</v>
      </c>
      <c r="U9">
        <f>Q9</f>
        <v>2966.9785600000009</v>
      </c>
      <c r="V9">
        <f>$T9*F9</f>
        <v>444.57206743040007</v>
      </c>
      <c r="W9">
        <f>$T9*G9</f>
        <v>444.57206743040007</v>
      </c>
      <c r="X9">
        <f>$T9*H9</f>
        <v>222.28603371520003</v>
      </c>
      <c r="Y9">
        <f t="shared" ref="Y9:Y12" si="4">Q9*R9</f>
        <v>59.339571200000023</v>
      </c>
      <c r="Z9">
        <f>Constants!$C$8</f>
        <v>5.4000000000000003E-3</v>
      </c>
      <c r="AA9">
        <f>Constants!$C$9</f>
        <v>5.0000000000000001E-3</v>
      </c>
      <c r="AB9">
        <f>Constants!$C$10</f>
        <v>0.01</v>
      </c>
      <c r="AC9">
        <f>Constants!$C$11</f>
        <v>0</v>
      </c>
      <c r="AD9">
        <f>Constants!$C$12</f>
        <v>0</v>
      </c>
      <c r="AE9">
        <f>Constants!$B$33</f>
        <v>1.5714285714285714</v>
      </c>
      <c r="AF9">
        <f t="shared" ref="AF9:AF12" si="5">U9*Z9*$AE9</f>
        <v>25.176932352000009</v>
      </c>
      <c r="AG9">
        <f t="shared" ref="AG9:AG12" si="6">V9*AA9*$AE9</f>
        <v>3.4930662440960005</v>
      </c>
      <c r="AH9">
        <f t="shared" ref="AH9:AH12" si="7">W9*AB9*$AE9</f>
        <v>6.9861324881920011</v>
      </c>
      <c r="AI9">
        <f t="shared" ref="AI9:AI12" si="8">X9*AC9*$AE9</f>
        <v>0</v>
      </c>
      <c r="AJ9">
        <f t="shared" ref="AJ9:AJ12" si="9">Y9*AD9*$AE9</f>
        <v>0</v>
      </c>
      <c r="AK9">
        <f t="shared" ref="AK9:AK12" si="10">SUM(AF9:AJ9)/1000</f>
        <v>3.5656131084288008E-2</v>
      </c>
    </row>
    <row r="10" spans="1:37" x14ac:dyDescent="0.2">
      <c r="A10" t="str">
        <f>'Input Scenarios'!A10</f>
        <v>SA</v>
      </c>
      <c r="B10" t="str">
        <f>IF('Input Scenarios'!B10&lt;&gt;"", 'Input Scenarios'!B10, "")</f>
        <v/>
      </c>
      <c r="C10" t="str">
        <f>'Input Scenarios'!C10</f>
        <v>Irrigated crop</v>
      </c>
      <c r="D10">
        <f>'Input Scenarios'!D10</f>
        <v>200</v>
      </c>
      <c r="E10">
        <f>'Input Scenarios'!E10</f>
        <v>81</v>
      </c>
      <c r="F10">
        <f>'Input Scenarios'!F10</f>
        <v>0.4</v>
      </c>
      <c r="G10">
        <f>'Input Scenarios'!G10</f>
        <v>0.4</v>
      </c>
      <c r="H10">
        <f>'Input Scenarios'!H10</f>
        <v>0.2</v>
      </c>
      <c r="I10">
        <f>'Input Scenarios'!I10</f>
        <v>0.5</v>
      </c>
      <c r="J10">
        <f>IF('Input Scenarios'!J10&lt;&gt;"", 'Input Scenarios'!J10, IF($E10&lt;=80, Constants!B$2, IF($E10&lt;=200, Constants!B$3, Constants!B$4)))</f>
        <v>10.8</v>
      </c>
      <c r="K10">
        <f>IF('Input Scenarios'!K10&lt;&gt;"", 'Input Scenarios'!K10, IF($E10&lt;=80, Constants!C$2, IF($E10&lt;=200, Constants!C$3, Constants!C$4)))</f>
        <v>0.127</v>
      </c>
      <c r="L10">
        <f>IF('Input Scenarios'!L10&lt;&gt;"", 'Input Scenarios'!L10, IF($E10&lt;=80, Constants!D$2, IF($E10&lt;=200, Constants!D$3, Constants!D$4)))</f>
        <v>0.81</v>
      </c>
      <c r="M10">
        <f>IF('Input Scenarios'!M10&lt;&gt;"", 'Input Scenarios'!M10, IF($E10&lt;=80, Constants!E$2, IF($E10&lt;=200, Constants!E$3, Constants!E$4)))</f>
        <v>0.12</v>
      </c>
      <c r="N10">
        <f>Constants!$B$32</f>
        <v>6.25</v>
      </c>
      <c r="O10">
        <f t="shared" si="1"/>
        <v>0.20736000000000002</v>
      </c>
      <c r="P10">
        <f t="shared" si="2"/>
        <v>0.18102528000000001</v>
      </c>
      <c r="Q10">
        <f t="shared" si="3"/>
        <v>2932.6095360000004</v>
      </c>
      <c r="R10">
        <f>Constants!$B$29</f>
        <v>0.02</v>
      </c>
      <c r="S10">
        <f>Constants!$D$8</f>
        <v>0.6</v>
      </c>
      <c r="T10">
        <f>(Q10*(1-S10-Z10))-(Q10*R10)</f>
        <v>1098.5555321856002</v>
      </c>
      <c r="U10">
        <f>Q10</f>
        <v>2932.6095360000004</v>
      </c>
      <c r="V10">
        <f>$T10*F10</f>
        <v>439.42221287424013</v>
      </c>
      <c r="W10">
        <f>$T10*G10</f>
        <v>439.42221287424013</v>
      </c>
      <c r="X10">
        <f>$T10*H10</f>
        <v>219.71110643712007</v>
      </c>
      <c r="Y10">
        <f t="shared" si="4"/>
        <v>58.652190720000007</v>
      </c>
      <c r="Z10">
        <f>Constants!$C$8</f>
        <v>5.4000000000000003E-3</v>
      </c>
      <c r="AA10">
        <f>Constants!$C$9</f>
        <v>5.0000000000000001E-3</v>
      </c>
      <c r="AB10">
        <f>Constants!$C$10</f>
        <v>0.01</v>
      </c>
      <c r="AC10">
        <f>Constants!$C$11</f>
        <v>0</v>
      </c>
      <c r="AD10">
        <f>Constants!$C$12</f>
        <v>0</v>
      </c>
      <c r="AE10">
        <f>Constants!$B$33</f>
        <v>1.5714285714285714</v>
      </c>
      <c r="AF10">
        <f t="shared" si="5"/>
        <v>24.885286634057149</v>
      </c>
      <c r="AG10">
        <f t="shared" si="6"/>
        <v>3.452603101154744</v>
      </c>
      <c r="AH10">
        <f t="shared" si="7"/>
        <v>6.905206202309488</v>
      </c>
      <c r="AI10">
        <f t="shared" si="8"/>
        <v>0</v>
      </c>
      <c r="AJ10">
        <f t="shared" si="9"/>
        <v>0</v>
      </c>
      <c r="AK10">
        <f t="shared" si="10"/>
        <v>3.5243095937521382E-2</v>
      </c>
    </row>
    <row r="11" spans="1:37" x14ac:dyDescent="0.2">
      <c r="A11" t="str">
        <f>'Input Scenarios'!A11</f>
        <v>VIC</v>
      </c>
      <c r="B11" t="str">
        <f>IF('Input Scenarios'!B11&lt;&gt;"", 'Input Scenarios'!B11, "")</f>
        <v/>
      </c>
      <c r="C11" t="str">
        <f>'Input Scenarios'!C11</f>
        <v>Non-irrigated crop (low rainfall)</v>
      </c>
      <c r="D11">
        <f>'Input Scenarios'!D11</f>
        <v>200</v>
      </c>
      <c r="E11">
        <f>'Input Scenarios'!E11</f>
        <v>200</v>
      </c>
      <c r="F11">
        <f>'Input Scenarios'!F11</f>
        <v>0.4</v>
      </c>
      <c r="G11">
        <f>'Input Scenarios'!G11</f>
        <v>0.4</v>
      </c>
      <c r="H11">
        <f>'Input Scenarios'!H11</f>
        <v>0.2</v>
      </c>
      <c r="I11">
        <f>'Input Scenarios'!I11</f>
        <v>0.5</v>
      </c>
      <c r="J11">
        <f>IF('Input Scenarios'!J11&lt;&gt;"", 'Input Scenarios'!J11, IF($E11&lt;=80, Constants!B$2, IF($E11&lt;=200, Constants!B$3, Constants!B$4)))</f>
        <v>10.8</v>
      </c>
      <c r="K11">
        <f>IF('Input Scenarios'!K11&lt;&gt;"", 'Input Scenarios'!K11, IF($E11&lt;=80, Constants!C$2, IF($E11&lt;=200, Constants!C$3, Constants!C$4)))</f>
        <v>0.127</v>
      </c>
      <c r="L11">
        <f>IF('Input Scenarios'!L11&lt;&gt;"", 'Input Scenarios'!L11, IF($E11&lt;=80, Constants!D$2, IF($E11&lt;=200, Constants!D$3, Constants!D$4)))</f>
        <v>0.81</v>
      </c>
      <c r="M11">
        <f>IF('Input Scenarios'!M11&lt;&gt;"", 'Input Scenarios'!M11, IF($E11&lt;=80, Constants!E$2, IF($E11&lt;=200, Constants!E$3, Constants!E$4)))</f>
        <v>0.12</v>
      </c>
      <c r="N11">
        <f>Constants!$B$32</f>
        <v>6.25</v>
      </c>
      <c r="O11">
        <f t="shared" si="1"/>
        <v>0.20736000000000002</v>
      </c>
      <c r="P11">
        <f t="shared" si="2"/>
        <v>0.18102528000000001</v>
      </c>
      <c r="Q11">
        <f t="shared" si="3"/>
        <v>7241.0112000000008</v>
      </c>
      <c r="R11">
        <f>Constants!$B$29</f>
        <v>0.02</v>
      </c>
      <c r="S11">
        <f>Constants!$D$8</f>
        <v>0.6</v>
      </c>
      <c r="T11">
        <f>(Q11*(1-S11-Z11))-(Q11*R11)</f>
        <v>2712.4827955200003</v>
      </c>
      <c r="U11">
        <f>Q11</f>
        <v>7241.0112000000008</v>
      </c>
      <c r="V11">
        <f>$T11*F11</f>
        <v>1084.9931182080002</v>
      </c>
      <c r="W11">
        <f>$T11*G11</f>
        <v>1084.9931182080002</v>
      </c>
      <c r="X11">
        <f>$T11*H11</f>
        <v>542.49655910400008</v>
      </c>
      <c r="Y11">
        <f t="shared" si="4"/>
        <v>144.82022400000002</v>
      </c>
      <c r="Z11">
        <f>Constants!$C$8</f>
        <v>5.4000000000000003E-3</v>
      </c>
      <c r="AA11">
        <f>Constants!$C$9</f>
        <v>5.0000000000000001E-3</v>
      </c>
      <c r="AB11">
        <f>Constants!$C$10</f>
        <v>0.01</v>
      </c>
      <c r="AC11">
        <f>Constants!$C$11</f>
        <v>0</v>
      </c>
      <c r="AD11">
        <f>Constants!$C$12</f>
        <v>0</v>
      </c>
      <c r="AE11">
        <f>Constants!$B$33</f>
        <v>1.5714285714285714</v>
      </c>
      <c r="AF11">
        <f t="shared" si="5"/>
        <v>61.44515218285715</v>
      </c>
      <c r="AG11">
        <f t="shared" si="6"/>
        <v>8.5249459287771447</v>
      </c>
      <c r="AH11">
        <f t="shared" si="7"/>
        <v>17.049891857554289</v>
      </c>
      <c r="AI11">
        <f t="shared" si="8"/>
        <v>0</v>
      </c>
      <c r="AJ11">
        <f t="shared" si="9"/>
        <v>0</v>
      </c>
      <c r="AK11">
        <f t="shared" si="10"/>
        <v>8.7019989969188583E-2</v>
      </c>
    </row>
    <row r="12" spans="1:37" x14ac:dyDescent="0.2">
      <c r="A12" t="str">
        <f>'Input Scenarios'!A12</f>
        <v>WA</v>
      </c>
      <c r="B12" t="str">
        <f>IF('Input Scenarios'!B12&lt;&gt;"", 'Input Scenarios'!B12, "")</f>
        <v/>
      </c>
      <c r="C12" t="str">
        <f>'Input Scenarios'!C12</f>
        <v>Non-irrigated crop (high rainfall)</v>
      </c>
      <c r="D12">
        <f>'Input Scenarios'!D12</f>
        <v>200</v>
      </c>
      <c r="E12">
        <f>'Input Scenarios'!E12</f>
        <v>201</v>
      </c>
      <c r="F12">
        <f>'Input Scenarios'!F12</f>
        <v>0.4</v>
      </c>
      <c r="G12">
        <f>'Input Scenarios'!G12</f>
        <v>0.4</v>
      </c>
      <c r="H12">
        <f>'Input Scenarios'!H12</f>
        <v>0.2</v>
      </c>
      <c r="I12">
        <f>'Input Scenarios'!I12</f>
        <v>0.5</v>
      </c>
      <c r="J12">
        <f>IF('Input Scenarios'!J12&lt;&gt;"", 'Input Scenarios'!J12, IF($E12&lt;=80, Constants!B$2, IF($E12&lt;=200, Constants!B$3, Constants!B$4)))</f>
        <v>8.1999999999999993</v>
      </c>
      <c r="K12">
        <f>IF('Input Scenarios'!K12&lt;&gt;"", 'Input Scenarios'!K12, IF($E12&lt;=80, Constants!C$2, IF($E12&lt;=200, Constants!C$3, Constants!C$4)))</f>
        <v>7.0000000000000007E-2</v>
      </c>
      <c r="L12">
        <f>IF('Input Scenarios'!L12&lt;&gt;"", 'Input Scenarios'!L12, IF($E12&lt;=80, Constants!D$2, IF($E12&lt;=200, Constants!D$3, Constants!D$4)))</f>
        <v>0.81</v>
      </c>
      <c r="M12">
        <f>IF('Input Scenarios'!M12&lt;&gt;"", 'Input Scenarios'!M12, IF($E12&lt;=80, Constants!E$2, IF($E12&lt;=200, Constants!E$3, Constants!E$4)))</f>
        <v>0.12</v>
      </c>
      <c r="N12">
        <f>Constants!$B$32</f>
        <v>6.25</v>
      </c>
      <c r="O12">
        <f t="shared" si="1"/>
        <v>0.15743999999999997</v>
      </c>
      <c r="P12">
        <f t="shared" si="2"/>
        <v>0.14641919999999997</v>
      </c>
      <c r="Q12">
        <f t="shared" si="3"/>
        <v>5886.0518399999992</v>
      </c>
      <c r="R12">
        <f>Constants!$B$29</f>
        <v>0.02</v>
      </c>
      <c r="S12">
        <f>Constants!$D$8</f>
        <v>0.6</v>
      </c>
      <c r="T12">
        <f>(Q12*(1-S12-Z12))-(Q12*R12)</f>
        <v>2204.9150192639995</v>
      </c>
      <c r="U12">
        <f>Q12</f>
        <v>5886.0518399999992</v>
      </c>
      <c r="V12">
        <f>$T12*F12</f>
        <v>881.96600770559985</v>
      </c>
      <c r="W12">
        <f>$T12*G12</f>
        <v>881.96600770559985</v>
      </c>
      <c r="X12">
        <f>$T12*H12</f>
        <v>440.98300385279992</v>
      </c>
      <c r="Y12">
        <f t="shared" si="4"/>
        <v>117.72103679999998</v>
      </c>
      <c r="Z12">
        <f>Constants!$C$8</f>
        <v>5.4000000000000003E-3</v>
      </c>
      <c r="AA12">
        <f>Constants!$C$9</f>
        <v>5.0000000000000001E-3</v>
      </c>
      <c r="AB12">
        <f>Constants!$C$10</f>
        <v>0.01</v>
      </c>
      <c r="AC12">
        <f>Constants!$C$11</f>
        <v>0</v>
      </c>
      <c r="AD12">
        <f>Constants!$C$12</f>
        <v>0</v>
      </c>
      <c r="AE12">
        <f>Constants!$B$33</f>
        <v>1.5714285714285714</v>
      </c>
      <c r="AF12">
        <f t="shared" si="5"/>
        <v>49.947354185142849</v>
      </c>
      <c r="AG12">
        <f t="shared" si="6"/>
        <v>6.929732917686855</v>
      </c>
      <c r="AH12">
        <f t="shared" si="7"/>
        <v>13.85946583537371</v>
      </c>
      <c r="AI12">
        <f t="shared" si="8"/>
        <v>0</v>
      </c>
      <c r="AJ12">
        <f t="shared" si="9"/>
        <v>0</v>
      </c>
      <c r="AK12">
        <f t="shared" si="10"/>
        <v>7.0736552938203412E-2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E54D8-2DE2-E94F-A9AF-C28F95F25956}">
  <dimension ref="A3:AK12"/>
  <sheetViews>
    <sheetView topLeftCell="R1" workbookViewId="0">
      <selection activeCell="N5" sqref="N5:AK12"/>
    </sheetView>
  </sheetViews>
  <sheetFormatPr baseColWidth="10" defaultRowHeight="16" x14ac:dyDescent="0.2"/>
  <sheetData>
    <row r="3" spans="1:37" x14ac:dyDescent="0.2">
      <c r="A3" t="s">
        <v>1</v>
      </c>
      <c r="C3" t="s">
        <v>1</v>
      </c>
    </row>
    <row r="5" spans="1:37" x14ac:dyDescent="0.2">
      <c r="A5" t="s">
        <v>2</v>
      </c>
      <c r="B5" t="s">
        <v>3</v>
      </c>
      <c r="C5" t="s">
        <v>4</v>
      </c>
      <c r="D5" t="s">
        <v>23</v>
      </c>
      <c r="E5" t="s">
        <v>24</v>
      </c>
      <c r="F5" t="s">
        <v>15</v>
      </c>
      <c r="J5" t="s">
        <v>26</v>
      </c>
      <c r="K5" t="s">
        <v>28</v>
      </c>
      <c r="L5" t="s">
        <v>25</v>
      </c>
      <c r="M5" t="s">
        <v>27</v>
      </c>
    </row>
    <row r="6" spans="1:37" x14ac:dyDescent="0.2">
      <c r="F6" t="s">
        <v>7</v>
      </c>
      <c r="G6" t="s">
        <v>13</v>
      </c>
      <c r="H6" t="s">
        <v>14</v>
      </c>
      <c r="Q6" t="s">
        <v>83</v>
      </c>
    </row>
    <row r="7" spans="1:37" x14ac:dyDescent="0.2">
      <c r="A7" s="1" t="s">
        <v>6</v>
      </c>
      <c r="B7" s="1" t="s">
        <v>6</v>
      </c>
      <c r="C7" s="1"/>
      <c r="D7" s="1" t="s">
        <v>8</v>
      </c>
      <c r="E7" s="1" t="s">
        <v>9</v>
      </c>
      <c r="F7" s="1" t="s">
        <v>16</v>
      </c>
      <c r="G7" s="1" t="s">
        <v>17</v>
      </c>
      <c r="H7" s="2" t="s">
        <v>18</v>
      </c>
      <c r="I7" s="2" t="s">
        <v>75</v>
      </c>
      <c r="J7" s="1" t="s">
        <v>20</v>
      </c>
      <c r="K7" s="1" t="s">
        <v>22</v>
      </c>
      <c r="L7" s="1" t="s">
        <v>19</v>
      </c>
      <c r="M7" s="2" t="s">
        <v>21</v>
      </c>
      <c r="N7" s="1"/>
      <c r="O7" s="1" t="s">
        <v>77</v>
      </c>
      <c r="P7" s="1" t="s">
        <v>78</v>
      </c>
      <c r="Q7" s="1" t="s">
        <v>79</v>
      </c>
      <c r="R7" s="1" t="s">
        <v>58</v>
      </c>
      <c r="S7" s="14" t="s">
        <v>80</v>
      </c>
      <c r="T7" s="14" t="s">
        <v>82</v>
      </c>
      <c r="U7" s="14" t="s">
        <v>84</v>
      </c>
      <c r="V7" s="14" t="s">
        <v>85</v>
      </c>
      <c r="W7" s="14" t="s">
        <v>86</v>
      </c>
      <c r="X7" s="14" t="s">
        <v>87</v>
      </c>
      <c r="Y7" s="14" t="s">
        <v>88</v>
      </c>
      <c r="Z7" s="14" t="s">
        <v>81</v>
      </c>
      <c r="AA7" s="14" t="s">
        <v>90</v>
      </c>
      <c r="AB7" s="14" t="s">
        <v>89</v>
      </c>
      <c r="AC7" s="14" t="s">
        <v>91</v>
      </c>
      <c r="AD7" s="14" t="s">
        <v>92</v>
      </c>
      <c r="AE7" s="14" t="s">
        <v>93</v>
      </c>
      <c r="AF7" s="15" t="s">
        <v>99</v>
      </c>
      <c r="AG7" s="15" t="s">
        <v>98</v>
      </c>
      <c r="AH7" s="15" t="s">
        <v>97</v>
      </c>
      <c r="AI7" s="15" t="s">
        <v>96</v>
      </c>
      <c r="AJ7" s="15" t="s">
        <v>95</v>
      </c>
      <c r="AK7" s="15" t="s">
        <v>94</v>
      </c>
    </row>
    <row r="8" spans="1:37" x14ac:dyDescent="0.2">
      <c r="A8" t="str">
        <f>'Input Scenarios'!A21</f>
        <v>NSW</v>
      </c>
      <c r="B8">
        <f>IF('Input Scenarios'!B21&lt;&gt;"", 'Input Scenarios'!B21, "")</f>
        <v>14</v>
      </c>
      <c r="C8" t="str">
        <f>'Input Scenarios'!C21</f>
        <v>Non-irrigated pasture</v>
      </c>
      <c r="D8">
        <f>'Input Scenarios'!D21</f>
        <v>200</v>
      </c>
      <c r="E8">
        <f>'Input Scenarios'!E21</f>
        <v>79</v>
      </c>
      <c r="F8">
        <f>'Input Scenarios'!F21</f>
        <v>0.4</v>
      </c>
      <c r="G8">
        <f>'Input Scenarios'!G21</f>
        <v>0.4</v>
      </c>
      <c r="H8">
        <f>'Input Scenarios'!H21</f>
        <v>0.2</v>
      </c>
      <c r="I8">
        <f>'Input Scenarios'!I21</f>
        <v>0.5</v>
      </c>
      <c r="J8">
        <f>IF('Input Scenarios'!J21&lt;&gt;"", 'Input Scenarios'!J21, IF($E8&lt;=80, Constants!B$2, IF($E8&lt;=200, Constants!B$3, Constants!B$4)))</f>
        <v>10.4</v>
      </c>
      <c r="K8">
        <f>IF('Input Scenarios'!K21&lt;&gt;"", 'Input Scenarios'!K21, IF($E8&lt;=80, Constants!C$2, IF($E8&lt;=200, Constants!C$3, Constants!C$4)))</f>
        <v>0.20399999999999999</v>
      </c>
      <c r="L8">
        <f>IF('Input Scenarios'!L21&lt;&gt;"", 'Input Scenarios'!L21, IF($E8&lt;=80, Constants!D$2, IF($E8&lt;=200, Constants!D$3, Constants!D$4)))</f>
        <v>0.81</v>
      </c>
      <c r="M8">
        <f>IF('Input Scenarios'!M21&lt;&gt;"", 'Input Scenarios'!M21, IF($E8&lt;=80, Constants!E$2, IF($E8&lt;=200, Constants!E$3, Constants!E$4)))</f>
        <v>0.14000000000000001</v>
      </c>
      <c r="N8">
        <f>Constants!$B$32</f>
        <v>6.25</v>
      </c>
      <c r="O8">
        <f>J8*M8/N8</f>
        <v>0.23296000000000003</v>
      </c>
      <c r="P8">
        <f>O8*(1-K8)</f>
        <v>0.18543616000000004</v>
      </c>
      <c r="Q8">
        <f>D8*E8*P8</f>
        <v>2929.8913280000006</v>
      </c>
      <c r="R8">
        <f>Constants!$B$29</f>
        <v>0.02</v>
      </c>
      <c r="S8">
        <f>Constants!$D$8</f>
        <v>0.6</v>
      </c>
      <c r="T8">
        <f>(Q8*(1-S8-Z8))-(Q8*R8)</f>
        <v>1097.5372914688003</v>
      </c>
      <c r="U8">
        <f>Q8</f>
        <v>2929.8913280000006</v>
      </c>
      <c r="V8">
        <f>$T8*F8</f>
        <v>439.01491658752013</v>
      </c>
      <c r="W8">
        <f>$T8*G8</f>
        <v>439.01491658752013</v>
      </c>
      <c r="X8">
        <f>$T8*H8</f>
        <v>219.50745829376007</v>
      </c>
      <c r="Y8">
        <f>Q8*R8</f>
        <v>58.597826560000016</v>
      </c>
      <c r="Z8">
        <f>Constants!$C$8</f>
        <v>5.4000000000000003E-3</v>
      </c>
      <c r="AA8">
        <f>Constants!$C$9</f>
        <v>5.0000000000000001E-3</v>
      </c>
      <c r="AB8">
        <f>Constants!$C$10</f>
        <v>0.01</v>
      </c>
      <c r="AC8">
        <f>Constants!$C$11</f>
        <v>0</v>
      </c>
      <c r="AD8">
        <f>Constants!$C$12</f>
        <v>0</v>
      </c>
      <c r="AE8">
        <f>Constants!$B$33</f>
        <v>1.5714285714285714</v>
      </c>
      <c r="AF8">
        <f>U8*Z8*$AE8</f>
        <v>24.862220697600009</v>
      </c>
      <c r="AG8">
        <f t="shared" ref="AG8:AJ12" si="0">V8*AA8*$AE8</f>
        <v>3.4494029160448014</v>
      </c>
      <c r="AH8">
        <f t="shared" si="0"/>
        <v>6.8988058320896029</v>
      </c>
      <c r="AI8">
        <f t="shared" si="0"/>
        <v>0</v>
      </c>
      <c r="AJ8">
        <f t="shared" si="0"/>
        <v>0</v>
      </c>
      <c r="AK8">
        <f>SUM(AF8:AJ8)/1000</f>
        <v>3.5210429445734409E-2</v>
      </c>
    </row>
    <row r="9" spans="1:37" x14ac:dyDescent="0.2">
      <c r="A9" t="str">
        <f>'Input Scenarios'!A22</f>
        <v>QLD</v>
      </c>
      <c r="B9">
        <f>IF('Input Scenarios'!B22&lt;&gt;"", 'Input Scenarios'!B22, "")</f>
        <v>27</v>
      </c>
      <c r="C9" t="str">
        <f>'Input Scenarios'!C22</f>
        <v>Irrigated pasture</v>
      </c>
      <c r="D9">
        <f>'Input Scenarios'!D22</f>
        <v>200</v>
      </c>
      <c r="E9">
        <f>'Input Scenarios'!E22</f>
        <v>80</v>
      </c>
      <c r="F9">
        <f>'Input Scenarios'!F22</f>
        <v>0.4</v>
      </c>
      <c r="G9">
        <f>'Input Scenarios'!G22</f>
        <v>0.4</v>
      </c>
      <c r="H9">
        <f>'Input Scenarios'!H22</f>
        <v>0.2</v>
      </c>
      <c r="I9">
        <f>'Input Scenarios'!I22</f>
        <v>0.5</v>
      </c>
      <c r="J9">
        <f>IF('Input Scenarios'!J22&lt;&gt;"", 'Input Scenarios'!J22, IF($E9&lt;=80, Constants!B$2, IF($E9&lt;=200, Constants!B$3, Constants!B$4)))</f>
        <v>10.4</v>
      </c>
      <c r="K9">
        <f>IF('Input Scenarios'!K22&lt;&gt;"", 'Input Scenarios'!K22, IF($E9&lt;=80, Constants!C$2, IF($E9&lt;=200, Constants!C$3, Constants!C$4)))</f>
        <v>0.20399999999999999</v>
      </c>
      <c r="L9">
        <f>IF('Input Scenarios'!L22&lt;&gt;"", 'Input Scenarios'!L22, IF($E9&lt;=80, Constants!D$2, IF($E9&lt;=200, Constants!D$3, Constants!D$4)))</f>
        <v>0.81</v>
      </c>
      <c r="M9">
        <f>IF('Input Scenarios'!M22&lt;&gt;"", 'Input Scenarios'!M22, IF($E9&lt;=80, Constants!E$2, IF($E9&lt;=200, Constants!E$3, Constants!E$4)))</f>
        <v>0.14000000000000001</v>
      </c>
      <c r="N9">
        <f>Constants!$B$32</f>
        <v>6.25</v>
      </c>
      <c r="O9">
        <f t="shared" ref="O9:O12" si="1">J9*M9/N9</f>
        <v>0.23296000000000003</v>
      </c>
      <c r="P9">
        <f t="shared" ref="P9:P12" si="2">O9*(1-K9)</f>
        <v>0.18543616000000004</v>
      </c>
      <c r="Q9">
        <f t="shared" ref="Q9:Q12" si="3">D9*E9*P9</f>
        <v>2966.9785600000009</v>
      </c>
      <c r="R9">
        <f>Constants!$B$29</f>
        <v>0.02</v>
      </c>
      <c r="S9">
        <f>Constants!$D$8</f>
        <v>0.6</v>
      </c>
      <c r="T9">
        <f>(Q9*(1-S9-Z9))-(Q9*R9)</f>
        <v>1111.4301685760001</v>
      </c>
      <c r="U9">
        <f>Q9</f>
        <v>2966.9785600000009</v>
      </c>
      <c r="V9">
        <f>$T9*F9</f>
        <v>444.57206743040007</v>
      </c>
      <c r="W9">
        <f>$T9*G9</f>
        <v>444.57206743040007</v>
      </c>
      <c r="X9">
        <f>$T9*H9</f>
        <v>222.28603371520003</v>
      </c>
      <c r="Y9">
        <f t="shared" ref="Y9:Y12" si="4">Q9*R9</f>
        <v>59.339571200000023</v>
      </c>
      <c r="Z9">
        <f>Constants!$C$8</f>
        <v>5.4000000000000003E-3</v>
      </c>
      <c r="AA9">
        <f>Constants!$C$9</f>
        <v>5.0000000000000001E-3</v>
      </c>
      <c r="AB9">
        <f>Constants!$C$10</f>
        <v>0.01</v>
      </c>
      <c r="AC9">
        <f>Constants!$C$11</f>
        <v>0</v>
      </c>
      <c r="AD9">
        <f>Constants!$C$12</f>
        <v>0</v>
      </c>
      <c r="AE9">
        <f>Constants!$B$33</f>
        <v>1.5714285714285714</v>
      </c>
      <c r="AF9">
        <f t="shared" ref="AF9:AF12" si="5">U9*Z9*$AE9</f>
        <v>25.176932352000009</v>
      </c>
      <c r="AG9">
        <f t="shared" si="0"/>
        <v>3.4930662440960005</v>
      </c>
      <c r="AH9">
        <f t="shared" si="0"/>
        <v>6.9861324881920011</v>
      </c>
      <c r="AI9">
        <f t="shared" si="0"/>
        <v>0</v>
      </c>
      <c r="AJ9">
        <f t="shared" si="0"/>
        <v>0</v>
      </c>
      <c r="AK9">
        <f t="shared" ref="AK9:AK12" si="6">SUM(AF9:AJ9)/1000</f>
        <v>3.5656131084288008E-2</v>
      </c>
    </row>
    <row r="10" spans="1:37" x14ac:dyDescent="0.2">
      <c r="A10" t="str">
        <f>'Input Scenarios'!A23</f>
        <v>SA</v>
      </c>
      <c r="B10">
        <f>IF('Input Scenarios'!B23&lt;&gt;"", 'Input Scenarios'!B23, "")</f>
        <v>22</v>
      </c>
      <c r="C10" t="str">
        <f>'Input Scenarios'!C23</f>
        <v>Irrigated crop</v>
      </c>
      <c r="D10">
        <f>'Input Scenarios'!D23</f>
        <v>200</v>
      </c>
      <c r="E10">
        <f>'Input Scenarios'!E23</f>
        <v>81</v>
      </c>
      <c r="F10">
        <f>'Input Scenarios'!F23</f>
        <v>0.4</v>
      </c>
      <c r="G10">
        <f>'Input Scenarios'!G23</f>
        <v>0.4</v>
      </c>
      <c r="H10">
        <f>'Input Scenarios'!H23</f>
        <v>0.2</v>
      </c>
      <c r="I10">
        <f>'Input Scenarios'!I23</f>
        <v>0.5</v>
      </c>
      <c r="J10">
        <f>IF('Input Scenarios'!J23&lt;&gt;"", 'Input Scenarios'!J23, IF($E10&lt;=80, Constants!B$2, IF($E10&lt;=200, Constants!B$3, Constants!B$4)))</f>
        <v>10.8</v>
      </c>
      <c r="K10">
        <f>IF('Input Scenarios'!K23&lt;&gt;"", 'Input Scenarios'!K23, IF($E10&lt;=80, Constants!C$2, IF($E10&lt;=200, Constants!C$3, Constants!C$4)))</f>
        <v>0.127</v>
      </c>
      <c r="L10">
        <f>IF('Input Scenarios'!L23&lt;&gt;"", 'Input Scenarios'!L23, IF($E10&lt;=80, Constants!D$2, IF($E10&lt;=200, Constants!D$3, Constants!D$4)))</f>
        <v>0.81</v>
      </c>
      <c r="M10">
        <f>IF('Input Scenarios'!M23&lt;&gt;"", 'Input Scenarios'!M23, IF($E10&lt;=80, Constants!E$2, IF($E10&lt;=200, Constants!E$3, Constants!E$4)))</f>
        <v>0.12</v>
      </c>
      <c r="N10">
        <f>Constants!$B$32</f>
        <v>6.25</v>
      </c>
      <c r="O10">
        <f t="shared" si="1"/>
        <v>0.20736000000000002</v>
      </c>
      <c r="P10">
        <f t="shared" si="2"/>
        <v>0.18102528000000001</v>
      </c>
      <c r="Q10">
        <f t="shared" si="3"/>
        <v>2932.6095360000004</v>
      </c>
      <c r="R10">
        <f>Constants!$B$29</f>
        <v>0.02</v>
      </c>
      <c r="S10">
        <f>Constants!$D$8</f>
        <v>0.6</v>
      </c>
      <c r="T10">
        <f>(Q10*(1-S10-Z10))-(Q10*R10)</f>
        <v>1098.5555321856002</v>
      </c>
      <c r="U10">
        <f>Q10</f>
        <v>2932.6095360000004</v>
      </c>
      <c r="V10">
        <f>$T10*F10</f>
        <v>439.42221287424013</v>
      </c>
      <c r="W10">
        <f>$T10*G10</f>
        <v>439.42221287424013</v>
      </c>
      <c r="X10">
        <f>$T10*H10</f>
        <v>219.71110643712007</v>
      </c>
      <c r="Y10">
        <f t="shared" si="4"/>
        <v>58.652190720000007</v>
      </c>
      <c r="Z10">
        <f>Constants!$C$8</f>
        <v>5.4000000000000003E-3</v>
      </c>
      <c r="AA10">
        <f>Constants!$C$9</f>
        <v>5.0000000000000001E-3</v>
      </c>
      <c r="AB10">
        <f>Constants!$C$10</f>
        <v>0.01</v>
      </c>
      <c r="AC10">
        <f>Constants!$C$11</f>
        <v>0</v>
      </c>
      <c r="AD10">
        <f>Constants!$C$12</f>
        <v>0</v>
      </c>
      <c r="AE10">
        <f>Constants!$B$33</f>
        <v>1.5714285714285714</v>
      </c>
      <c r="AF10">
        <f t="shared" si="5"/>
        <v>24.885286634057149</v>
      </c>
      <c r="AG10">
        <f t="shared" si="0"/>
        <v>3.452603101154744</v>
      </c>
      <c r="AH10">
        <f t="shared" si="0"/>
        <v>6.905206202309488</v>
      </c>
      <c r="AI10">
        <f t="shared" si="0"/>
        <v>0</v>
      </c>
      <c r="AJ10">
        <f t="shared" si="0"/>
        <v>0</v>
      </c>
      <c r="AK10">
        <f t="shared" si="6"/>
        <v>3.5243095937521382E-2</v>
      </c>
    </row>
    <row r="11" spans="1:37" x14ac:dyDescent="0.2">
      <c r="A11" t="str">
        <f>'Input Scenarios'!A24</f>
        <v>VIC</v>
      </c>
      <c r="B11">
        <f>IF('Input Scenarios'!B24&lt;&gt;"", 'Input Scenarios'!B24, "")</f>
        <v>16</v>
      </c>
      <c r="C11" t="str">
        <f>'Input Scenarios'!C24</f>
        <v>Non-irrigated crop (low rainfall)</v>
      </c>
      <c r="D11">
        <f>'Input Scenarios'!D24</f>
        <v>200</v>
      </c>
      <c r="E11">
        <f>'Input Scenarios'!E24</f>
        <v>200</v>
      </c>
      <c r="F11">
        <f>'Input Scenarios'!F24</f>
        <v>0.4</v>
      </c>
      <c r="G11">
        <f>'Input Scenarios'!G24</f>
        <v>0.4</v>
      </c>
      <c r="H11">
        <f>'Input Scenarios'!H24</f>
        <v>0.2</v>
      </c>
      <c r="I11">
        <f>'Input Scenarios'!I24</f>
        <v>0.5</v>
      </c>
      <c r="J11">
        <f>IF('Input Scenarios'!J24&lt;&gt;"", 'Input Scenarios'!J24, IF($E11&lt;=80, Constants!B$2, IF($E11&lt;=200, Constants!B$3, Constants!B$4)))</f>
        <v>10.8</v>
      </c>
      <c r="K11">
        <f>IF('Input Scenarios'!K24&lt;&gt;"", 'Input Scenarios'!K24, IF($E11&lt;=80, Constants!C$2, IF($E11&lt;=200, Constants!C$3, Constants!C$4)))</f>
        <v>0.127</v>
      </c>
      <c r="L11">
        <f>IF('Input Scenarios'!L24&lt;&gt;"", 'Input Scenarios'!L24, IF($E11&lt;=80, Constants!D$2, IF($E11&lt;=200, Constants!D$3, Constants!D$4)))</f>
        <v>0.81</v>
      </c>
      <c r="M11">
        <f>IF('Input Scenarios'!M24&lt;&gt;"", 'Input Scenarios'!M24, IF($E11&lt;=80, Constants!E$2, IF($E11&lt;=200, Constants!E$3, Constants!E$4)))</f>
        <v>0.12</v>
      </c>
      <c r="N11">
        <f>Constants!$B$32</f>
        <v>6.25</v>
      </c>
      <c r="O11">
        <f t="shared" si="1"/>
        <v>0.20736000000000002</v>
      </c>
      <c r="P11">
        <f t="shared" si="2"/>
        <v>0.18102528000000001</v>
      </c>
      <c r="Q11">
        <f t="shared" si="3"/>
        <v>7241.0112000000008</v>
      </c>
      <c r="R11">
        <f>Constants!$B$29</f>
        <v>0.02</v>
      </c>
      <c r="S11">
        <f>Constants!$D$8</f>
        <v>0.6</v>
      </c>
      <c r="T11">
        <f>(Q11*(1-S11-Z11))-(Q11*R11)</f>
        <v>2712.4827955200003</v>
      </c>
      <c r="U11">
        <f>Q11</f>
        <v>7241.0112000000008</v>
      </c>
      <c r="V11">
        <f>$T11*F11</f>
        <v>1084.9931182080002</v>
      </c>
      <c r="W11">
        <f>$T11*G11</f>
        <v>1084.9931182080002</v>
      </c>
      <c r="X11">
        <f>$T11*H11</f>
        <v>542.49655910400008</v>
      </c>
      <c r="Y11">
        <f t="shared" si="4"/>
        <v>144.82022400000002</v>
      </c>
      <c r="Z11">
        <f>Constants!$C$8</f>
        <v>5.4000000000000003E-3</v>
      </c>
      <c r="AA11">
        <f>Constants!$C$9</f>
        <v>5.0000000000000001E-3</v>
      </c>
      <c r="AB11">
        <f>Constants!$C$10</f>
        <v>0.01</v>
      </c>
      <c r="AC11">
        <f>Constants!$C$11</f>
        <v>0</v>
      </c>
      <c r="AD11">
        <f>Constants!$C$12</f>
        <v>0</v>
      </c>
      <c r="AE11">
        <f>Constants!$B$33</f>
        <v>1.5714285714285714</v>
      </c>
      <c r="AF11">
        <f t="shared" si="5"/>
        <v>61.44515218285715</v>
      </c>
      <c r="AG11">
        <f t="shared" si="0"/>
        <v>8.5249459287771447</v>
      </c>
      <c r="AH11">
        <f t="shared" si="0"/>
        <v>17.049891857554289</v>
      </c>
      <c r="AI11">
        <f t="shared" si="0"/>
        <v>0</v>
      </c>
      <c r="AJ11">
        <f t="shared" si="0"/>
        <v>0</v>
      </c>
      <c r="AK11">
        <f t="shared" si="6"/>
        <v>8.7019989969188583E-2</v>
      </c>
    </row>
    <row r="12" spans="1:37" x14ac:dyDescent="0.2">
      <c r="A12" t="str">
        <f>'Input Scenarios'!A25</f>
        <v>WA</v>
      </c>
      <c r="B12" t="str">
        <f>IF('Input Scenarios'!B25&lt;&gt;"", 'Input Scenarios'!B25, "")</f>
        <v>28 or above</v>
      </c>
      <c r="C12" t="str">
        <f>'Input Scenarios'!C25</f>
        <v>Non-irrigated crop (high rainfall)</v>
      </c>
      <c r="D12">
        <f>'Input Scenarios'!D25</f>
        <v>200</v>
      </c>
      <c r="E12">
        <f>'Input Scenarios'!E25</f>
        <v>201</v>
      </c>
      <c r="F12">
        <f>'Input Scenarios'!F25</f>
        <v>0.4</v>
      </c>
      <c r="G12">
        <f>'Input Scenarios'!G25</f>
        <v>0.4</v>
      </c>
      <c r="H12">
        <f>'Input Scenarios'!H25</f>
        <v>0.2</v>
      </c>
      <c r="I12">
        <f>'Input Scenarios'!I25</f>
        <v>0.5</v>
      </c>
      <c r="J12">
        <f>IF('Input Scenarios'!J25&lt;&gt;"", 'Input Scenarios'!J25, IF($E12&lt;=80, Constants!B$2, IF($E12&lt;=200, Constants!B$3, Constants!B$4)))</f>
        <v>8.1999999999999993</v>
      </c>
      <c r="K12">
        <f>IF('Input Scenarios'!K25&lt;&gt;"", 'Input Scenarios'!K25, IF($E12&lt;=80, Constants!C$2, IF($E12&lt;=200, Constants!C$3, Constants!C$4)))</f>
        <v>7.0000000000000007E-2</v>
      </c>
      <c r="L12">
        <f>IF('Input Scenarios'!L25&lt;&gt;"", 'Input Scenarios'!L25, IF($E12&lt;=80, Constants!D$2, IF($E12&lt;=200, Constants!D$3, Constants!D$4)))</f>
        <v>0.81</v>
      </c>
      <c r="M12">
        <f>IF('Input Scenarios'!M25&lt;&gt;"", 'Input Scenarios'!M25, IF($E12&lt;=80, Constants!E$2, IF($E12&lt;=200, Constants!E$3, Constants!E$4)))</f>
        <v>0.12</v>
      </c>
      <c r="N12">
        <f>Constants!$B$32</f>
        <v>6.25</v>
      </c>
      <c r="O12">
        <f t="shared" si="1"/>
        <v>0.15743999999999997</v>
      </c>
      <c r="P12">
        <f t="shared" si="2"/>
        <v>0.14641919999999997</v>
      </c>
      <c r="Q12">
        <f t="shared" si="3"/>
        <v>5886.0518399999992</v>
      </c>
      <c r="R12">
        <f>Constants!$B$29</f>
        <v>0.02</v>
      </c>
      <c r="S12">
        <f>Constants!$D$8</f>
        <v>0.6</v>
      </c>
      <c r="T12">
        <f>(Q12*(1-S12-Z12))-(Q12*R12)</f>
        <v>2204.9150192639995</v>
      </c>
      <c r="U12">
        <f>Q12</f>
        <v>5886.0518399999992</v>
      </c>
      <c r="V12">
        <f>$T12*F12</f>
        <v>881.96600770559985</v>
      </c>
      <c r="W12">
        <f>$T12*G12</f>
        <v>881.96600770559985</v>
      </c>
      <c r="X12">
        <f>$T12*H12</f>
        <v>440.98300385279992</v>
      </c>
      <c r="Y12">
        <f t="shared" si="4"/>
        <v>117.72103679999998</v>
      </c>
      <c r="Z12">
        <f>Constants!$C$8</f>
        <v>5.4000000000000003E-3</v>
      </c>
      <c r="AA12">
        <f>Constants!$C$9</f>
        <v>5.0000000000000001E-3</v>
      </c>
      <c r="AB12">
        <f>Constants!$C$10</f>
        <v>0.01</v>
      </c>
      <c r="AC12">
        <f>Constants!$C$11</f>
        <v>0</v>
      </c>
      <c r="AD12">
        <f>Constants!$C$12</f>
        <v>0</v>
      </c>
      <c r="AE12">
        <f>Constants!$B$33</f>
        <v>1.5714285714285714</v>
      </c>
      <c r="AF12">
        <f t="shared" si="5"/>
        <v>49.947354185142849</v>
      </c>
      <c r="AG12">
        <f t="shared" si="0"/>
        <v>6.929732917686855</v>
      </c>
      <c r="AH12">
        <f t="shared" si="0"/>
        <v>13.85946583537371</v>
      </c>
      <c r="AI12">
        <f t="shared" si="0"/>
        <v>0</v>
      </c>
      <c r="AJ12">
        <f t="shared" si="0"/>
        <v>0</v>
      </c>
      <c r="AK12">
        <f t="shared" si="6"/>
        <v>7.0736552938203412E-2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F60AA-D92E-3D4F-8D4F-72D5B08391FB}">
  <dimension ref="A3:AM12"/>
  <sheetViews>
    <sheetView topLeftCell="K1" workbookViewId="0">
      <selection activeCell="R7" sqref="R7:AM12"/>
    </sheetView>
  </sheetViews>
  <sheetFormatPr baseColWidth="10" defaultRowHeight="16" x14ac:dyDescent="0.2"/>
  <sheetData>
    <row r="3" spans="1:39" x14ac:dyDescent="0.2">
      <c r="A3" t="s">
        <v>1</v>
      </c>
      <c r="C3" t="s">
        <v>1</v>
      </c>
    </row>
    <row r="5" spans="1:39" x14ac:dyDescent="0.2">
      <c r="A5" t="s">
        <v>2</v>
      </c>
      <c r="B5" t="s">
        <v>3</v>
      </c>
      <c r="C5" t="s">
        <v>4</v>
      </c>
      <c r="D5" t="s">
        <v>23</v>
      </c>
      <c r="E5" t="s">
        <v>24</v>
      </c>
      <c r="F5" t="s">
        <v>15</v>
      </c>
      <c r="J5" t="s">
        <v>26</v>
      </c>
      <c r="K5" t="s">
        <v>28</v>
      </c>
      <c r="L5" t="s">
        <v>25</v>
      </c>
      <c r="M5" t="s">
        <v>27</v>
      </c>
    </row>
    <row r="6" spans="1:39" x14ac:dyDescent="0.2">
      <c r="F6" t="s">
        <v>7</v>
      </c>
      <c r="G6" t="s">
        <v>13</v>
      </c>
      <c r="H6" t="s">
        <v>14</v>
      </c>
      <c r="Q6" t="s">
        <v>83</v>
      </c>
    </row>
    <row r="7" spans="1:39" x14ac:dyDescent="0.2">
      <c r="A7" s="1" t="s">
        <v>6</v>
      </c>
      <c r="B7" s="1" t="s">
        <v>6</v>
      </c>
      <c r="C7" s="1"/>
      <c r="D7" s="1" t="s">
        <v>8</v>
      </c>
      <c r="E7" s="1" t="s">
        <v>9</v>
      </c>
      <c r="F7" s="1" t="s">
        <v>16</v>
      </c>
      <c r="G7" s="1" t="s">
        <v>17</v>
      </c>
      <c r="H7" s="2" t="s">
        <v>18</v>
      </c>
      <c r="I7" s="2" t="s">
        <v>75</v>
      </c>
      <c r="J7" s="1" t="s">
        <v>20</v>
      </c>
      <c r="K7" s="1" t="s">
        <v>22</v>
      </c>
      <c r="L7" s="1" t="s">
        <v>19</v>
      </c>
      <c r="M7" s="2" t="s">
        <v>21</v>
      </c>
      <c r="N7" s="1"/>
      <c r="O7" s="1" t="s">
        <v>77</v>
      </c>
      <c r="P7" s="1" t="s">
        <v>78</v>
      </c>
      <c r="Q7" s="1" t="s">
        <v>79</v>
      </c>
      <c r="R7" s="1" t="s">
        <v>58</v>
      </c>
      <c r="S7" s="1" t="s">
        <v>81</v>
      </c>
      <c r="T7" s="1" t="s">
        <v>82</v>
      </c>
      <c r="U7" s="1" t="s">
        <v>84</v>
      </c>
      <c r="V7" s="1" t="s">
        <v>85</v>
      </c>
      <c r="W7" s="1" t="s">
        <v>86</v>
      </c>
      <c r="X7" s="1" t="s">
        <v>87</v>
      </c>
      <c r="Y7" s="1" t="s">
        <v>88</v>
      </c>
      <c r="Z7" s="1" t="s">
        <v>80</v>
      </c>
      <c r="AA7" s="1" t="s">
        <v>101</v>
      </c>
      <c r="AB7" s="1" t="s">
        <v>100</v>
      </c>
      <c r="AC7" s="1" t="s">
        <v>102</v>
      </c>
      <c r="AD7" s="1" t="s">
        <v>103</v>
      </c>
      <c r="AE7" s="1" t="s">
        <v>104</v>
      </c>
      <c r="AF7" s="1" t="s">
        <v>106</v>
      </c>
      <c r="AG7" s="1" t="s">
        <v>107</v>
      </c>
      <c r="AH7" s="1" t="s">
        <v>108</v>
      </c>
      <c r="AI7" s="1" t="s">
        <v>105</v>
      </c>
      <c r="AJ7" s="1" t="s">
        <v>109</v>
      </c>
      <c r="AK7" s="1" t="s">
        <v>45</v>
      </c>
      <c r="AL7" s="1" t="s">
        <v>93</v>
      </c>
      <c r="AM7" s="16" t="s">
        <v>110</v>
      </c>
    </row>
    <row r="8" spans="1:39" x14ac:dyDescent="0.2">
      <c r="A8" t="str">
        <f>'Input Scenarios'!A8</f>
        <v>NSW</v>
      </c>
      <c r="B8" t="str">
        <f>IF('Input Scenarios'!B8&lt;&gt;"", 'Input Scenarios'!B8, "")</f>
        <v/>
      </c>
      <c r="C8" t="str">
        <f>'Input Scenarios'!C8</f>
        <v>Non-irrigated pasture</v>
      </c>
      <c r="D8">
        <f>'Input Scenarios'!D8</f>
        <v>200</v>
      </c>
      <c r="E8">
        <f>'Input Scenarios'!E8</f>
        <v>79</v>
      </c>
      <c r="F8">
        <f>'Input Scenarios'!F8</f>
        <v>0.4</v>
      </c>
      <c r="G8">
        <f>'Input Scenarios'!G8</f>
        <v>0.4</v>
      </c>
      <c r="H8">
        <f>'Input Scenarios'!H8</f>
        <v>0.2</v>
      </c>
      <c r="I8">
        <f>'Input Scenarios'!I8</f>
        <v>0.5</v>
      </c>
      <c r="J8">
        <f>IF('Input Scenarios'!J8&lt;&gt;"", 'Input Scenarios'!J8, IF($E8&lt;=80, Constants!B$2, IF($E8&lt;=200, Constants!B$3, Constants!B$4)))</f>
        <v>10.4</v>
      </c>
      <c r="K8">
        <f>IF('Input Scenarios'!K8&lt;&gt;"", 'Input Scenarios'!K8, IF($E8&lt;=80, Constants!C$2, IF($E8&lt;=200, Constants!C$3, Constants!C$4)))</f>
        <v>0.20399999999999999</v>
      </c>
      <c r="L8">
        <f>IF('Input Scenarios'!L8&lt;&gt;"", 'Input Scenarios'!L8, IF($E8&lt;=80, Constants!D$2, IF($E8&lt;=200, Constants!D$3, Constants!D$4)))</f>
        <v>0.81</v>
      </c>
      <c r="M8">
        <f>IF('Input Scenarios'!M8&lt;&gt;"", 'Input Scenarios'!M8, IF($E8&lt;=80, Constants!E$2, IF($E8&lt;=200, Constants!E$3, Constants!E$4)))</f>
        <v>0.14000000000000001</v>
      </c>
      <c r="N8">
        <f>Constants!$B$32</f>
        <v>6.25</v>
      </c>
      <c r="O8">
        <f>J8*M8/N8</f>
        <v>0.23296000000000003</v>
      </c>
      <c r="P8">
        <f>O8*(1-K8)</f>
        <v>0.18543616000000004</v>
      </c>
      <c r="Q8">
        <f>D8*E8*P8</f>
        <v>2929.8913280000006</v>
      </c>
      <c r="R8">
        <f>Constants!$B$29</f>
        <v>0.02</v>
      </c>
      <c r="S8">
        <f>Constants!$C$8</f>
        <v>5.4000000000000003E-3</v>
      </c>
      <c r="T8">
        <f>(Q8*(1-Z8-S8))-(Q8*R8)</f>
        <v>1097.5372914688003</v>
      </c>
      <c r="U8">
        <f>Q8</f>
        <v>2929.8913280000006</v>
      </c>
      <c r="V8">
        <f>$T8*F8</f>
        <v>439.01491658752013</v>
      </c>
      <c r="W8">
        <f>$T8*G8</f>
        <v>439.01491658752013</v>
      </c>
      <c r="X8">
        <f>$T8*H8</f>
        <v>219.50745829376007</v>
      </c>
      <c r="Y8">
        <f>Q8*R8</f>
        <v>58.597826560000016</v>
      </c>
      <c r="Z8">
        <f>Constants!$D$8</f>
        <v>0.6</v>
      </c>
      <c r="AA8">
        <f>Constants!$D$9</f>
        <v>0.25</v>
      </c>
      <c r="AB8">
        <f>Constants!$D$10</f>
        <v>0.4</v>
      </c>
      <c r="AC8">
        <f>Constants!$D$11</f>
        <v>0</v>
      </c>
      <c r="AD8">
        <f>Constants!$D$12</f>
        <v>0.35</v>
      </c>
      <c r="AE8">
        <f>U8*Z8</f>
        <v>1757.9347968000004</v>
      </c>
      <c r="AF8">
        <f t="shared" ref="AF8:AI8" si="0">V8*AA8</f>
        <v>109.75372914688003</v>
      </c>
      <c r="AG8">
        <f t="shared" si="0"/>
        <v>175.60596663500806</v>
      </c>
      <c r="AH8">
        <f t="shared" si="0"/>
        <v>0</v>
      </c>
      <c r="AI8">
        <f t="shared" si="0"/>
        <v>20.509239296000004</v>
      </c>
      <c r="AJ8">
        <f>SUM(AE8:AI8)</f>
        <v>2063.8037318778884</v>
      </c>
      <c r="AK8">
        <f>_xlfn.XLOOKUP(C8,Constants!$A$16:$A$20,Constants!$B$16:$B$20)</f>
        <v>1.8E-3</v>
      </c>
      <c r="AL8">
        <f>Constants!$B$33</f>
        <v>1.5714285714285714</v>
      </c>
      <c r="AM8">
        <f>AJ8*AK8*AL8/1000</f>
        <v>5.8376162701688841E-3</v>
      </c>
    </row>
    <row r="9" spans="1:39" x14ac:dyDescent="0.2">
      <c r="A9" t="str">
        <f>'Input Scenarios'!A9</f>
        <v>QLD</v>
      </c>
      <c r="B9" t="str">
        <f>IF('Input Scenarios'!B9&lt;&gt;"", 'Input Scenarios'!B9, "")</f>
        <v/>
      </c>
      <c r="C9" t="str">
        <f>'Input Scenarios'!C9</f>
        <v>Irrigated pasture</v>
      </c>
      <c r="D9">
        <f>'Input Scenarios'!D9</f>
        <v>200</v>
      </c>
      <c r="E9">
        <f>'Input Scenarios'!E9</f>
        <v>80</v>
      </c>
      <c r="F9">
        <f>'Input Scenarios'!F9</f>
        <v>0.4</v>
      </c>
      <c r="G9">
        <f>'Input Scenarios'!G9</f>
        <v>0.4</v>
      </c>
      <c r="H9">
        <f>'Input Scenarios'!H9</f>
        <v>0.2</v>
      </c>
      <c r="I9">
        <f>'Input Scenarios'!I9</f>
        <v>0.5</v>
      </c>
      <c r="J9">
        <f>IF('Input Scenarios'!J9&lt;&gt;"", 'Input Scenarios'!J9, IF($E9&lt;=80, Constants!B$2, IF($E9&lt;=200, Constants!B$3, Constants!B$4)))</f>
        <v>10.4</v>
      </c>
      <c r="K9">
        <f>IF('Input Scenarios'!K9&lt;&gt;"", 'Input Scenarios'!K9, IF($E9&lt;=80, Constants!C$2, IF($E9&lt;=200, Constants!C$3, Constants!C$4)))</f>
        <v>0.20399999999999999</v>
      </c>
      <c r="L9">
        <f>IF('Input Scenarios'!L9&lt;&gt;"", 'Input Scenarios'!L9, IF($E9&lt;=80, Constants!D$2, IF($E9&lt;=200, Constants!D$3, Constants!D$4)))</f>
        <v>0.81</v>
      </c>
      <c r="M9">
        <f>IF('Input Scenarios'!M9&lt;&gt;"", 'Input Scenarios'!M9, IF($E9&lt;=80, Constants!E$2, IF($E9&lt;=200, Constants!E$3, Constants!E$4)))</f>
        <v>0.14000000000000001</v>
      </c>
      <c r="N9">
        <f>Constants!$B$32</f>
        <v>6.25</v>
      </c>
      <c r="O9">
        <f t="shared" ref="O9:O12" si="1">J9*M9/N9</f>
        <v>0.23296000000000003</v>
      </c>
      <c r="P9">
        <f t="shared" ref="P9:P12" si="2">O9*(1-K9)</f>
        <v>0.18543616000000004</v>
      </c>
      <c r="Q9">
        <f t="shared" ref="Q9:Q12" si="3">D9*E9*P9</f>
        <v>2966.9785600000009</v>
      </c>
      <c r="R9">
        <f>Constants!$B$29</f>
        <v>0.02</v>
      </c>
      <c r="S9">
        <f>Constants!$C$8</f>
        <v>5.4000000000000003E-3</v>
      </c>
      <c r="T9">
        <f>(Q9*(1-Z9-S9))-(Q9*R9)</f>
        <v>1111.4301685760001</v>
      </c>
      <c r="U9">
        <f>Q9</f>
        <v>2966.9785600000009</v>
      </c>
      <c r="V9">
        <f>$T9*F9</f>
        <v>444.57206743040007</v>
      </c>
      <c r="W9">
        <f>$T9*G9</f>
        <v>444.57206743040007</v>
      </c>
      <c r="X9">
        <f>$T9*H9</f>
        <v>222.28603371520003</v>
      </c>
      <c r="Y9">
        <f t="shared" ref="Y9:Y12" si="4">Q9*R9</f>
        <v>59.339571200000023</v>
      </c>
      <c r="Z9">
        <f>Constants!$D$8</f>
        <v>0.6</v>
      </c>
      <c r="AA9">
        <f>Constants!$D$9</f>
        <v>0.25</v>
      </c>
      <c r="AB9">
        <f>Constants!$D$10</f>
        <v>0.4</v>
      </c>
      <c r="AC9">
        <f>Constants!$D$11</f>
        <v>0</v>
      </c>
      <c r="AD9">
        <f>Constants!$D$12</f>
        <v>0.35</v>
      </c>
      <c r="AE9">
        <f t="shared" ref="AE9:AE12" si="5">U9*Z9</f>
        <v>1780.1871360000005</v>
      </c>
      <c r="AF9">
        <f t="shared" ref="AF9:AF12" si="6">V9*AA9</f>
        <v>111.14301685760002</v>
      </c>
      <c r="AG9">
        <f t="shared" ref="AG9:AG12" si="7">W9*AB9</f>
        <v>177.82882697216004</v>
      </c>
      <c r="AH9">
        <f t="shared" ref="AH9:AH12" si="8">X9*AC9</f>
        <v>0</v>
      </c>
      <c r="AI9">
        <f t="shared" ref="AI9:AI12" si="9">Y9*AD9</f>
        <v>20.768849920000008</v>
      </c>
      <c r="AJ9">
        <f t="shared" ref="AJ9:AJ12" si="10">SUM(AE9:AI9)</f>
        <v>2089.9278297497603</v>
      </c>
      <c r="AK9">
        <f>_xlfn.XLOOKUP(C9,Constants!$A$16:$A$20,Constants!$B$16:$B$20)</f>
        <v>5.8999999999999999E-3</v>
      </c>
      <c r="AL9">
        <f>Constants!$B$33</f>
        <v>1.5714285714285714</v>
      </c>
      <c r="AM9">
        <f t="shared" ref="AM9:AM12" si="11">AJ9*AK9*AL9/1000</f>
        <v>1.9376616592965631E-2</v>
      </c>
    </row>
    <row r="10" spans="1:39" x14ac:dyDescent="0.2">
      <c r="A10" t="str">
        <f>'Input Scenarios'!A10</f>
        <v>SA</v>
      </c>
      <c r="B10" t="str">
        <f>IF('Input Scenarios'!B10&lt;&gt;"", 'Input Scenarios'!B10, "")</f>
        <v/>
      </c>
      <c r="C10" t="str">
        <f>'Input Scenarios'!C10</f>
        <v>Irrigated crop</v>
      </c>
      <c r="D10">
        <f>'Input Scenarios'!D10</f>
        <v>200</v>
      </c>
      <c r="E10">
        <f>'Input Scenarios'!E10</f>
        <v>81</v>
      </c>
      <c r="F10">
        <f>'Input Scenarios'!F10</f>
        <v>0.4</v>
      </c>
      <c r="G10">
        <f>'Input Scenarios'!G10</f>
        <v>0.4</v>
      </c>
      <c r="H10">
        <f>'Input Scenarios'!H10</f>
        <v>0.2</v>
      </c>
      <c r="I10">
        <f>'Input Scenarios'!I10</f>
        <v>0.5</v>
      </c>
      <c r="J10">
        <f>IF('Input Scenarios'!J10&lt;&gt;"", 'Input Scenarios'!J10, IF($E10&lt;=80, Constants!B$2, IF($E10&lt;=200, Constants!B$3, Constants!B$4)))</f>
        <v>10.8</v>
      </c>
      <c r="K10">
        <f>IF('Input Scenarios'!K10&lt;&gt;"", 'Input Scenarios'!K10, IF($E10&lt;=80, Constants!C$2, IF($E10&lt;=200, Constants!C$3, Constants!C$4)))</f>
        <v>0.127</v>
      </c>
      <c r="L10">
        <f>IF('Input Scenarios'!L10&lt;&gt;"", 'Input Scenarios'!L10, IF($E10&lt;=80, Constants!D$2, IF($E10&lt;=200, Constants!D$3, Constants!D$4)))</f>
        <v>0.81</v>
      </c>
      <c r="M10">
        <f>IF('Input Scenarios'!M10&lt;&gt;"", 'Input Scenarios'!M10, IF($E10&lt;=80, Constants!E$2, IF($E10&lt;=200, Constants!E$3, Constants!E$4)))</f>
        <v>0.12</v>
      </c>
      <c r="N10">
        <f>Constants!$B$32</f>
        <v>6.25</v>
      </c>
      <c r="O10">
        <f t="shared" si="1"/>
        <v>0.20736000000000002</v>
      </c>
      <c r="P10">
        <f t="shared" si="2"/>
        <v>0.18102528000000001</v>
      </c>
      <c r="Q10">
        <f t="shared" si="3"/>
        <v>2932.6095360000004</v>
      </c>
      <c r="R10">
        <f>Constants!$B$29</f>
        <v>0.02</v>
      </c>
      <c r="S10">
        <f>Constants!$C$8</f>
        <v>5.4000000000000003E-3</v>
      </c>
      <c r="T10">
        <f>(Q10*(1-Z10-S10))-(Q10*R10)</f>
        <v>1098.5555321856002</v>
      </c>
      <c r="U10">
        <f>Q10</f>
        <v>2932.6095360000004</v>
      </c>
      <c r="V10">
        <f>$T10*F10</f>
        <v>439.42221287424013</v>
      </c>
      <c r="W10">
        <f>$T10*G10</f>
        <v>439.42221287424013</v>
      </c>
      <c r="X10">
        <f>$T10*H10</f>
        <v>219.71110643712007</v>
      </c>
      <c r="Y10">
        <f t="shared" si="4"/>
        <v>58.652190720000007</v>
      </c>
      <c r="Z10">
        <f>Constants!$D$8</f>
        <v>0.6</v>
      </c>
      <c r="AA10">
        <f>Constants!$D$9</f>
        <v>0.25</v>
      </c>
      <c r="AB10">
        <f>Constants!$D$10</f>
        <v>0.4</v>
      </c>
      <c r="AC10">
        <f>Constants!$D$11</f>
        <v>0</v>
      </c>
      <c r="AD10">
        <f>Constants!$D$12</f>
        <v>0.35</v>
      </c>
      <c r="AE10">
        <f t="shared" si="5"/>
        <v>1759.5657216000002</v>
      </c>
      <c r="AF10">
        <f t="shared" si="6"/>
        <v>109.85555321856003</v>
      </c>
      <c r="AG10">
        <f t="shared" si="7"/>
        <v>175.76888514969608</v>
      </c>
      <c r="AH10">
        <f t="shared" si="8"/>
        <v>0</v>
      </c>
      <c r="AI10">
        <f t="shared" si="9"/>
        <v>20.528266752</v>
      </c>
      <c r="AJ10">
        <f t="shared" si="10"/>
        <v>2065.7184267202565</v>
      </c>
      <c r="AK10">
        <f>_xlfn.XLOOKUP(C10,Constants!$A$16:$A$20,Constants!$B$16:$B$20)</f>
        <v>7.0000000000000001E-3</v>
      </c>
      <c r="AL10">
        <f>Constants!$B$33</f>
        <v>1.5714285714285714</v>
      </c>
      <c r="AM10">
        <f t="shared" si="11"/>
        <v>2.2722902693922818E-2</v>
      </c>
    </row>
    <row r="11" spans="1:39" x14ac:dyDescent="0.2">
      <c r="A11" t="str">
        <f>'Input Scenarios'!A11</f>
        <v>VIC</v>
      </c>
      <c r="B11" t="str">
        <f>IF('Input Scenarios'!B11&lt;&gt;"", 'Input Scenarios'!B11, "")</f>
        <v/>
      </c>
      <c r="C11" t="str">
        <f>'Input Scenarios'!C11</f>
        <v>Non-irrigated crop (low rainfall)</v>
      </c>
      <c r="D11">
        <f>'Input Scenarios'!D11</f>
        <v>200</v>
      </c>
      <c r="E11">
        <f>'Input Scenarios'!E11</f>
        <v>200</v>
      </c>
      <c r="F11">
        <f>'Input Scenarios'!F11</f>
        <v>0.4</v>
      </c>
      <c r="G11">
        <f>'Input Scenarios'!G11</f>
        <v>0.4</v>
      </c>
      <c r="H11">
        <f>'Input Scenarios'!H11</f>
        <v>0.2</v>
      </c>
      <c r="I11">
        <f>'Input Scenarios'!I11</f>
        <v>0.5</v>
      </c>
      <c r="J11">
        <f>IF('Input Scenarios'!J11&lt;&gt;"", 'Input Scenarios'!J11, IF($E11&lt;=80, Constants!B$2, IF($E11&lt;=200, Constants!B$3, Constants!B$4)))</f>
        <v>10.8</v>
      </c>
      <c r="K11">
        <f>IF('Input Scenarios'!K11&lt;&gt;"", 'Input Scenarios'!K11, IF($E11&lt;=80, Constants!C$2, IF($E11&lt;=200, Constants!C$3, Constants!C$4)))</f>
        <v>0.127</v>
      </c>
      <c r="L11">
        <f>IF('Input Scenarios'!L11&lt;&gt;"", 'Input Scenarios'!L11, IF($E11&lt;=80, Constants!D$2, IF($E11&lt;=200, Constants!D$3, Constants!D$4)))</f>
        <v>0.81</v>
      </c>
      <c r="M11">
        <f>IF('Input Scenarios'!M11&lt;&gt;"", 'Input Scenarios'!M11, IF($E11&lt;=80, Constants!E$2, IF($E11&lt;=200, Constants!E$3, Constants!E$4)))</f>
        <v>0.12</v>
      </c>
      <c r="N11">
        <f>Constants!$B$32</f>
        <v>6.25</v>
      </c>
      <c r="O11">
        <f t="shared" si="1"/>
        <v>0.20736000000000002</v>
      </c>
      <c r="P11">
        <f t="shared" si="2"/>
        <v>0.18102528000000001</v>
      </c>
      <c r="Q11">
        <f t="shared" si="3"/>
        <v>7241.0112000000008</v>
      </c>
      <c r="R11">
        <f>Constants!$B$29</f>
        <v>0.02</v>
      </c>
      <c r="S11">
        <f>Constants!$C$8</f>
        <v>5.4000000000000003E-3</v>
      </c>
      <c r="T11">
        <f>(Q11*(1-Z11-S11))-(Q11*R11)</f>
        <v>2712.4827955200003</v>
      </c>
      <c r="U11">
        <f>Q11</f>
        <v>7241.0112000000008</v>
      </c>
      <c r="V11">
        <f>$T11*F11</f>
        <v>1084.9931182080002</v>
      </c>
      <c r="W11">
        <f>$T11*G11</f>
        <v>1084.9931182080002</v>
      </c>
      <c r="X11">
        <f>$T11*H11</f>
        <v>542.49655910400008</v>
      </c>
      <c r="Y11">
        <f t="shared" si="4"/>
        <v>144.82022400000002</v>
      </c>
      <c r="Z11">
        <f>Constants!$D$8</f>
        <v>0.6</v>
      </c>
      <c r="AA11">
        <f>Constants!$D$9</f>
        <v>0.25</v>
      </c>
      <c r="AB11">
        <f>Constants!$D$10</f>
        <v>0.4</v>
      </c>
      <c r="AC11">
        <f>Constants!$D$11</f>
        <v>0</v>
      </c>
      <c r="AD11">
        <f>Constants!$D$12</f>
        <v>0.35</v>
      </c>
      <c r="AE11">
        <f t="shared" si="5"/>
        <v>4344.6067200000007</v>
      </c>
      <c r="AF11">
        <f t="shared" si="6"/>
        <v>271.24827955200004</v>
      </c>
      <c r="AG11">
        <f t="shared" si="7"/>
        <v>433.99724728320007</v>
      </c>
      <c r="AH11">
        <f t="shared" si="8"/>
        <v>0</v>
      </c>
      <c r="AI11">
        <f t="shared" si="9"/>
        <v>50.687078400000004</v>
      </c>
      <c r="AJ11">
        <f t="shared" si="10"/>
        <v>5100.5393252352005</v>
      </c>
      <c r="AK11">
        <f>_xlfn.XLOOKUP(C11,Constants!$A$16:$A$20,Constants!$B$16:$B$20)</f>
        <v>2.8999999999999998E-3</v>
      </c>
      <c r="AL11">
        <f>Constants!$B$33</f>
        <v>1.5714285714285714</v>
      </c>
      <c r="AM11">
        <f t="shared" si="11"/>
        <v>2.324388635357184E-2</v>
      </c>
    </row>
    <row r="12" spans="1:39" x14ac:dyDescent="0.2">
      <c r="A12" t="str">
        <f>'Input Scenarios'!A12</f>
        <v>WA</v>
      </c>
      <c r="B12" t="str">
        <f>IF('Input Scenarios'!B12&lt;&gt;"", 'Input Scenarios'!B12, "")</f>
        <v/>
      </c>
      <c r="C12" t="str">
        <f>'Input Scenarios'!C12</f>
        <v>Non-irrigated crop (high rainfall)</v>
      </c>
      <c r="D12">
        <f>'Input Scenarios'!D12</f>
        <v>200</v>
      </c>
      <c r="E12">
        <f>'Input Scenarios'!E12</f>
        <v>201</v>
      </c>
      <c r="F12">
        <f>'Input Scenarios'!F12</f>
        <v>0.4</v>
      </c>
      <c r="G12">
        <f>'Input Scenarios'!G12</f>
        <v>0.4</v>
      </c>
      <c r="H12">
        <f>'Input Scenarios'!H12</f>
        <v>0.2</v>
      </c>
      <c r="I12">
        <f>'Input Scenarios'!I12</f>
        <v>0.5</v>
      </c>
      <c r="J12">
        <f>IF('Input Scenarios'!J12&lt;&gt;"", 'Input Scenarios'!J12, IF($E12&lt;=80, Constants!B$2, IF($E12&lt;=200, Constants!B$3, Constants!B$4)))</f>
        <v>8.1999999999999993</v>
      </c>
      <c r="K12">
        <f>IF('Input Scenarios'!K12&lt;&gt;"", 'Input Scenarios'!K12, IF($E12&lt;=80, Constants!C$2, IF($E12&lt;=200, Constants!C$3, Constants!C$4)))</f>
        <v>7.0000000000000007E-2</v>
      </c>
      <c r="L12">
        <f>IF('Input Scenarios'!L12&lt;&gt;"", 'Input Scenarios'!L12, IF($E12&lt;=80, Constants!D$2, IF($E12&lt;=200, Constants!D$3, Constants!D$4)))</f>
        <v>0.81</v>
      </c>
      <c r="M12">
        <f>IF('Input Scenarios'!M12&lt;&gt;"", 'Input Scenarios'!M12, IF($E12&lt;=80, Constants!E$2, IF($E12&lt;=200, Constants!E$3, Constants!E$4)))</f>
        <v>0.12</v>
      </c>
      <c r="N12">
        <f>Constants!$B$32</f>
        <v>6.25</v>
      </c>
      <c r="O12">
        <f t="shared" si="1"/>
        <v>0.15743999999999997</v>
      </c>
      <c r="P12">
        <f t="shared" si="2"/>
        <v>0.14641919999999997</v>
      </c>
      <c r="Q12">
        <f t="shared" si="3"/>
        <v>5886.0518399999992</v>
      </c>
      <c r="R12">
        <f>Constants!$B$29</f>
        <v>0.02</v>
      </c>
      <c r="S12">
        <f>Constants!$C$8</f>
        <v>5.4000000000000003E-3</v>
      </c>
      <c r="T12">
        <f>(Q12*(1-Z12-S12))-(Q12*R12)</f>
        <v>2204.9150192639995</v>
      </c>
      <c r="U12">
        <f>Q12</f>
        <v>5886.0518399999992</v>
      </c>
      <c r="V12">
        <f>$T12*F12</f>
        <v>881.96600770559985</v>
      </c>
      <c r="W12">
        <f>$T12*G12</f>
        <v>881.96600770559985</v>
      </c>
      <c r="X12">
        <f>$T12*H12</f>
        <v>440.98300385279992</v>
      </c>
      <c r="Y12">
        <f t="shared" si="4"/>
        <v>117.72103679999998</v>
      </c>
      <c r="Z12">
        <f>Constants!$D$8</f>
        <v>0.6</v>
      </c>
      <c r="AA12">
        <f>Constants!$D$9</f>
        <v>0.25</v>
      </c>
      <c r="AB12">
        <f>Constants!$D$10</f>
        <v>0.4</v>
      </c>
      <c r="AC12">
        <f>Constants!$D$11</f>
        <v>0</v>
      </c>
      <c r="AD12">
        <f>Constants!$D$12</f>
        <v>0.35</v>
      </c>
      <c r="AE12">
        <f t="shared" si="5"/>
        <v>3531.6311039999996</v>
      </c>
      <c r="AF12">
        <f t="shared" si="6"/>
        <v>220.49150192639996</v>
      </c>
      <c r="AG12">
        <f t="shared" si="7"/>
        <v>352.78640308223999</v>
      </c>
      <c r="AH12">
        <f t="shared" si="8"/>
        <v>0</v>
      </c>
      <c r="AI12">
        <f t="shared" si="9"/>
        <v>41.202362879999988</v>
      </c>
      <c r="AJ12">
        <f t="shared" si="10"/>
        <v>4146.111371888639</v>
      </c>
      <c r="AK12">
        <f>_xlfn.XLOOKUP(C12,Constants!$A$16:$A$20,Constants!$B$16:$B$20)</f>
        <v>8.0000000000000002E-3</v>
      </c>
      <c r="AL12">
        <f>Constants!$B$33</f>
        <v>1.5714285714285714</v>
      </c>
      <c r="AM12">
        <f t="shared" si="11"/>
        <v>5.2122542960885754E-2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BC2CF-1E9A-9141-A863-950C1ED12C1E}">
  <dimension ref="A3:AM12"/>
  <sheetViews>
    <sheetView tabSelected="1" topLeftCell="P1" workbookViewId="0">
      <selection activeCell="R7" sqref="R7:AM12"/>
    </sheetView>
  </sheetViews>
  <sheetFormatPr baseColWidth="10" defaultRowHeight="16" x14ac:dyDescent="0.2"/>
  <sheetData>
    <row r="3" spans="1:39" x14ac:dyDescent="0.2">
      <c r="A3" t="s">
        <v>1</v>
      </c>
      <c r="C3" t="s">
        <v>1</v>
      </c>
    </row>
    <row r="5" spans="1:39" x14ac:dyDescent="0.2">
      <c r="A5" t="s">
        <v>2</v>
      </c>
      <c r="B5" t="s">
        <v>3</v>
      </c>
      <c r="C5" t="s">
        <v>4</v>
      </c>
      <c r="D5" t="s">
        <v>23</v>
      </c>
      <c r="E5" t="s">
        <v>24</v>
      </c>
      <c r="F5" t="s">
        <v>15</v>
      </c>
      <c r="J5" t="s">
        <v>26</v>
      </c>
      <c r="K5" t="s">
        <v>28</v>
      </c>
      <c r="L5" t="s">
        <v>25</v>
      </c>
      <c r="M5" t="s">
        <v>27</v>
      </c>
    </row>
    <row r="6" spans="1:39" x14ac:dyDescent="0.2">
      <c r="F6" t="s">
        <v>7</v>
      </c>
      <c r="G6" t="s">
        <v>13</v>
      </c>
      <c r="H6" t="s">
        <v>14</v>
      </c>
      <c r="Q6" t="s">
        <v>83</v>
      </c>
    </row>
    <row r="7" spans="1:39" x14ac:dyDescent="0.2">
      <c r="A7" s="1" t="s">
        <v>6</v>
      </c>
      <c r="B7" s="1" t="s">
        <v>6</v>
      </c>
      <c r="C7" s="1"/>
      <c r="D7" s="1" t="s">
        <v>8</v>
      </c>
      <c r="E7" s="1" t="s">
        <v>9</v>
      </c>
      <c r="F7" s="1" t="s">
        <v>16</v>
      </c>
      <c r="G7" s="1" t="s">
        <v>17</v>
      </c>
      <c r="H7" s="2" t="s">
        <v>18</v>
      </c>
      <c r="I7" s="2" t="s">
        <v>75</v>
      </c>
      <c r="J7" s="1" t="s">
        <v>20</v>
      </c>
      <c r="K7" s="1" t="s">
        <v>22</v>
      </c>
      <c r="L7" s="1" t="s">
        <v>19</v>
      </c>
      <c r="M7" s="2" t="s">
        <v>21</v>
      </c>
      <c r="N7" s="1"/>
      <c r="O7" s="1" t="s">
        <v>77</v>
      </c>
      <c r="P7" s="1" t="s">
        <v>78</v>
      </c>
      <c r="Q7" s="1" t="s">
        <v>79</v>
      </c>
      <c r="R7" s="1" t="s">
        <v>58</v>
      </c>
      <c r="S7" s="1" t="s">
        <v>81</v>
      </c>
      <c r="T7" s="1" t="s">
        <v>82</v>
      </c>
      <c r="U7" s="1" t="s">
        <v>84</v>
      </c>
      <c r="V7" s="1" t="s">
        <v>85</v>
      </c>
      <c r="W7" s="1" t="s">
        <v>86</v>
      </c>
      <c r="X7" s="1" t="s">
        <v>87</v>
      </c>
      <c r="Y7" s="1" t="s">
        <v>88</v>
      </c>
      <c r="Z7" s="1" t="s">
        <v>80</v>
      </c>
      <c r="AA7" s="1" t="s">
        <v>101</v>
      </c>
      <c r="AB7" s="1" t="s">
        <v>100</v>
      </c>
      <c r="AC7" s="1" t="s">
        <v>102</v>
      </c>
      <c r="AD7" s="1" t="s">
        <v>103</v>
      </c>
      <c r="AE7" s="1" t="s">
        <v>104</v>
      </c>
      <c r="AF7" s="1" t="s">
        <v>106</v>
      </c>
      <c r="AG7" s="1" t="s">
        <v>107</v>
      </c>
      <c r="AH7" s="1" t="s">
        <v>108</v>
      </c>
      <c r="AI7" s="1" t="s">
        <v>105</v>
      </c>
      <c r="AJ7" s="1" t="s">
        <v>109</v>
      </c>
      <c r="AK7" s="1" t="s">
        <v>45</v>
      </c>
      <c r="AL7" s="1" t="s">
        <v>93</v>
      </c>
      <c r="AM7" s="16" t="s">
        <v>110</v>
      </c>
    </row>
    <row r="8" spans="1:39" x14ac:dyDescent="0.2">
      <c r="A8" t="str">
        <f>'Input Scenarios'!A21</f>
        <v>NSW</v>
      </c>
      <c r="B8">
        <f>IF('Input Scenarios'!B21&lt;&gt;"", 'Input Scenarios'!B21, "")</f>
        <v>14</v>
      </c>
      <c r="C8" t="str">
        <f>'Input Scenarios'!C21</f>
        <v>Non-irrigated pasture</v>
      </c>
      <c r="D8">
        <f>'Input Scenarios'!D21</f>
        <v>200</v>
      </c>
      <c r="E8">
        <f>'Input Scenarios'!E21</f>
        <v>79</v>
      </c>
      <c r="F8">
        <f>'Input Scenarios'!F21</f>
        <v>0.4</v>
      </c>
      <c r="G8">
        <f>'Input Scenarios'!G21</f>
        <v>0.4</v>
      </c>
      <c r="H8">
        <f>'Input Scenarios'!H21</f>
        <v>0.2</v>
      </c>
      <c r="I8">
        <f>'Input Scenarios'!I21</f>
        <v>0.5</v>
      </c>
      <c r="J8">
        <f>IF('Input Scenarios'!J21&lt;&gt;"", 'Input Scenarios'!J21, IF($E8&lt;=80, Constants!B$2, IF($E8&lt;=200, Constants!B$3, Constants!B$4)))</f>
        <v>10.4</v>
      </c>
      <c r="K8">
        <f>IF('Input Scenarios'!K21&lt;&gt;"", 'Input Scenarios'!K21, IF($E8&lt;=80, Constants!C$2, IF($E8&lt;=200, Constants!C$3, Constants!C$4)))</f>
        <v>0.20399999999999999</v>
      </c>
      <c r="L8">
        <f>IF('Input Scenarios'!L21&lt;&gt;"", 'Input Scenarios'!L21, IF($E8&lt;=80, Constants!D$2, IF($E8&lt;=200, Constants!D$3, Constants!D$4)))</f>
        <v>0.81</v>
      </c>
      <c r="M8">
        <f>IF('Input Scenarios'!M21&lt;&gt;"", 'Input Scenarios'!M21, IF($E8&lt;=80, Constants!E$2, IF($E8&lt;=200, Constants!E$3, Constants!E$4)))</f>
        <v>0.14000000000000001</v>
      </c>
      <c r="N8">
        <f>Constants!$B$32</f>
        <v>6.25</v>
      </c>
      <c r="O8">
        <f>J8*M8/N8</f>
        <v>0.23296000000000003</v>
      </c>
      <c r="P8">
        <f>O8*(1-K8)</f>
        <v>0.18543616000000004</v>
      </c>
      <c r="Q8">
        <f>D8*E8*P8</f>
        <v>2929.8913280000006</v>
      </c>
      <c r="R8">
        <f>Constants!$B$29</f>
        <v>0.02</v>
      </c>
      <c r="S8">
        <f>Constants!$C$8</f>
        <v>5.4000000000000003E-3</v>
      </c>
      <c r="T8">
        <f>(Q8*(1-Z8-S8))-(Q8*R8)</f>
        <v>1097.5372914688003</v>
      </c>
      <c r="U8">
        <f>Q8</f>
        <v>2929.8913280000006</v>
      </c>
      <c r="V8">
        <f>$T8*F8</f>
        <v>439.01491658752013</v>
      </c>
      <c r="W8">
        <f>$T8*G8</f>
        <v>439.01491658752013</v>
      </c>
      <c r="X8">
        <f>$T8*H8</f>
        <v>219.50745829376007</v>
      </c>
      <c r="Y8">
        <f>Q8*R8</f>
        <v>58.597826560000016</v>
      </c>
      <c r="Z8">
        <f>Constants!$D$8</f>
        <v>0.6</v>
      </c>
      <c r="AA8">
        <f>Constants!$D$9</f>
        <v>0.25</v>
      </c>
      <c r="AB8">
        <f>Constants!$D$10</f>
        <v>0.4</v>
      </c>
      <c r="AC8">
        <f>Constants!$D$11</f>
        <v>0</v>
      </c>
      <c r="AD8">
        <f>Constants!$D$12</f>
        <v>0.35</v>
      </c>
      <c r="AE8">
        <f>U8*Z8</f>
        <v>1757.9347968000004</v>
      </c>
      <c r="AF8">
        <f t="shared" ref="AF8:AI12" si="0">V8*AA8</f>
        <v>109.75372914688003</v>
      </c>
      <c r="AG8">
        <f t="shared" si="0"/>
        <v>175.60596663500806</v>
      </c>
      <c r="AH8">
        <f t="shared" si="0"/>
        <v>0</v>
      </c>
      <c r="AI8">
        <f t="shared" si="0"/>
        <v>20.509239296000004</v>
      </c>
      <c r="AJ8">
        <f>SUM(AE8:AI8)</f>
        <v>2063.8037318778884</v>
      </c>
      <c r="AK8">
        <f>_xlfn.XLOOKUP(C8,Constants!$A$16:$A$20,Constants!$B$16:$B$20)</f>
        <v>1.8E-3</v>
      </c>
      <c r="AL8">
        <f>Constants!$B$33</f>
        <v>1.5714285714285714</v>
      </c>
      <c r="AM8">
        <f>AJ8*AK8*AL8/1000</f>
        <v>5.8376162701688841E-3</v>
      </c>
    </row>
    <row r="9" spans="1:39" x14ac:dyDescent="0.2">
      <c r="A9" t="str">
        <f>'Input Scenarios'!A22</f>
        <v>QLD</v>
      </c>
      <c r="B9">
        <f>IF('Input Scenarios'!B22&lt;&gt;"", 'Input Scenarios'!B22, "")</f>
        <v>27</v>
      </c>
      <c r="C9" t="str">
        <f>'Input Scenarios'!C22</f>
        <v>Irrigated pasture</v>
      </c>
      <c r="D9">
        <f>'Input Scenarios'!D22</f>
        <v>200</v>
      </c>
      <c r="E9">
        <f>'Input Scenarios'!E22</f>
        <v>80</v>
      </c>
      <c r="F9">
        <f>'Input Scenarios'!F22</f>
        <v>0.4</v>
      </c>
      <c r="G9">
        <f>'Input Scenarios'!G22</f>
        <v>0.4</v>
      </c>
      <c r="H9">
        <f>'Input Scenarios'!H22</f>
        <v>0.2</v>
      </c>
      <c r="I9">
        <f>'Input Scenarios'!I22</f>
        <v>0.5</v>
      </c>
      <c r="J9">
        <f>IF('Input Scenarios'!J22&lt;&gt;"", 'Input Scenarios'!J22, IF($E9&lt;=80, Constants!B$2, IF($E9&lt;=200, Constants!B$3, Constants!B$4)))</f>
        <v>10.4</v>
      </c>
      <c r="K9">
        <f>IF('Input Scenarios'!K22&lt;&gt;"", 'Input Scenarios'!K22, IF($E9&lt;=80, Constants!C$2, IF($E9&lt;=200, Constants!C$3, Constants!C$4)))</f>
        <v>0.20399999999999999</v>
      </c>
      <c r="L9">
        <f>IF('Input Scenarios'!L22&lt;&gt;"", 'Input Scenarios'!L22, IF($E9&lt;=80, Constants!D$2, IF($E9&lt;=200, Constants!D$3, Constants!D$4)))</f>
        <v>0.81</v>
      </c>
      <c r="M9">
        <f>IF('Input Scenarios'!M22&lt;&gt;"", 'Input Scenarios'!M22, IF($E9&lt;=80, Constants!E$2, IF($E9&lt;=200, Constants!E$3, Constants!E$4)))</f>
        <v>0.14000000000000001</v>
      </c>
      <c r="N9">
        <f>Constants!$B$32</f>
        <v>6.25</v>
      </c>
      <c r="O9">
        <f t="shared" ref="O9:O12" si="1">J9*M9/N9</f>
        <v>0.23296000000000003</v>
      </c>
      <c r="P9">
        <f t="shared" ref="P9:P12" si="2">O9*(1-K9)</f>
        <v>0.18543616000000004</v>
      </c>
      <c r="Q9">
        <f t="shared" ref="Q9:Q12" si="3">D9*E9*P9</f>
        <v>2966.9785600000009</v>
      </c>
      <c r="R9">
        <f>Constants!$B$29</f>
        <v>0.02</v>
      </c>
      <c r="S9">
        <f>Constants!$C$8</f>
        <v>5.4000000000000003E-3</v>
      </c>
      <c r="T9">
        <f>(Q9*(1-Z9-S9))-(Q9*R9)</f>
        <v>1111.4301685760001</v>
      </c>
      <c r="U9">
        <f>Q9</f>
        <v>2966.9785600000009</v>
      </c>
      <c r="V9">
        <f>$T9*F9</f>
        <v>444.57206743040007</v>
      </c>
      <c r="W9">
        <f>$T9*G9</f>
        <v>444.57206743040007</v>
      </c>
      <c r="X9">
        <f>$T9*H9</f>
        <v>222.28603371520003</v>
      </c>
      <c r="Y9">
        <f t="shared" ref="Y9:Y12" si="4">Q9*R9</f>
        <v>59.339571200000023</v>
      </c>
      <c r="Z9">
        <f>Constants!$D$8</f>
        <v>0.6</v>
      </c>
      <c r="AA9">
        <f>Constants!$D$9</f>
        <v>0.25</v>
      </c>
      <c r="AB9">
        <f>Constants!$D$10</f>
        <v>0.4</v>
      </c>
      <c r="AC9">
        <f>Constants!$D$11</f>
        <v>0</v>
      </c>
      <c r="AD9">
        <f>Constants!$D$12</f>
        <v>0.35</v>
      </c>
      <c r="AE9">
        <f t="shared" ref="AE9:AE12" si="5">U9*Z9</f>
        <v>1780.1871360000005</v>
      </c>
      <c r="AF9">
        <f t="shared" si="0"/>
        <v>111.14301685760002</v>
      </c>
      <c r="AG9">
        <f t="shared" si="0"/>
        <v>177.82882697216004</v>
      </c>
      <c r="AH9">
        <f t="shared" si="0"/>
        <v>0</v>
      </c>
      <c r="AI9">
        <f t="shared" si="0"/>
        <v>20.768849920000008</v>
      </c>
      <c r="AJ9">
        <f t="shared" ref="AJ9:AJ12" si="6">SUM(AE9:AI9)</f>
        <v>2089.9278297497603</v>
      </c>
      <c r="AK9">
        <f>_xlfn.XLOOKUP(C9,Constants!$A$16:$A$20,Constants!$B$16:$B$20)</f>
        <v>5.8999999999999999E-3</v>
      </c>
      <c r="AL9">
        <f>Constants!$B$33</f>
        <v>1.5714285714285714</v>
      </c>
      <c r="AM9">
        <f t="shared" ref="AM9:AM12" si="7">AJ9*AK9*AL9/1000</f>
        <v>1.9376616592965631E-2</v>
      </c>
    </row>
    <row r="10" spans="1:39" x14ac:dyDescent="0.2">
      <c r="A10" t="str">
        <f>'Input Scenarios'!A23</f>
        <v>SA</v>
      </c>
      <c r="B10">
        <f>IF('Input Scenarios'!B23&lt;&gt;"", 'Input Scenarios'!B23, "")</f>
        <v>22</v>
      </c>
      <c r="C10" t="str">
        <f>'Input Scenarios'!C23</f>
        <v>Irrigated crop</v>
      </c>
      <c r="D10">
        <f>'Input Scenarios'!D23</f>
        <v>200</v>
      </c>
      <c r="E10">
        <f>'Input Scenarios'!E23</f>
        <v>81</v>
      </c>
      <c r="F10">
        <f>'Input Scenarios'!F23</f>
        <v>0.4</v>
      </c>
      <c r="G10">
        <f>'Input Scenarios'!G23</f>
        <v>0.4</v>
      </c>
      <c r="H10">
        <f>'Input Scenarios'!H23</f>
        <v>0.2</v>
      </c>
      <c r="I10">
        <f>'Input Scenarios'!I23</f>
        <v>0.5</v>
      </c>
      <c r="J10">
        <f>IF('Input Scenarios'!J23&lt;&gt;"", 'Input Scenarios'!J23, IF($E10&lt;=80, Constants!B$2, IF($E10&lt;=200, Constants!B$3, Constants!B$4)))</f>
        <v>10.8</v>
      </c>
      <c r="K10">
        <f>IF('Input Scenarios'!K23&lt;&gt;"", 'Input Scenarios'!K23, IF($E10&lt;=80, Constants!C$2, IF($E10&lt;=200, Constants!C$3, Constants!C$4)))</f>
        <v>0.127</v>
      </c>
      <c r="L10">
        <f>IF('Input Scenarios'!L23&lt;&gt;"", 'Input Scenarios'!L23, IF($E10&lt;=80, Constants!D$2, IF($E10&lt;=200, Constants!D$3, Constants!D$4)))</f>
        <v>0.81</v>
      </c>
      <c r="M10">
        <f>IF('Input Scenarios'!M23&lt;&gt;"", 'Input Scenarios'!M23, IF($E10&lt;=80, Constants!E$2, IF($E10&lt;=200, Constants!E$3, Constants!E$4)))</f>
        <v>0.12</v>
      </c>
      <c r="N10">
        <f>Constants!$B$32</f>
        <v>6.25</v>
      </c>
      <c r="O10">
        <f t="shared" si="1"/>
        <v>0.20736000000000002</v>
      </c>
      <c r="P10">
        <f t="shared" si="2"/>
        <v>0.18102528000000001</v>
      </c>
      <c r="Q10">
        <f t="shared" si="3"/>
        <v>2932.6095360000004</v>
      </c>
      <c r="R10">
        <f>Constants!$B$29</f>
        <v>0.02</v>
      </c>
      <c r="S10">
        <f>Constants!$C$8</f>
        <v>5.4000000000000003E-3</v>
      </c>
      <c r="T10">
        <f>(Q10*(1-Z10-S10))-(Q10*R10)</f>
        <v>1098.5555321856002</v>
      </c>
      <c r="U10">
        <f>Q10</f>
        <v>2932.6095360000004</v>
      </c>
      <c r="V10">
        <f>$T10*F10</f>
        <v>439.42221287424013</v>
      </c>
      <c r="W10">
        <f>$T10*G10</f>
        <v>439.42221287424013</v>
      </c>
      <c r="X10">
        <f>$T10*H10</f>
        <v>219.71110643712007</v>
      </c>
      <c r="Y10">
        <f t="shared" si="4"/>
        <v>58.652190720000007</v>
      </c>
      <c r="Z10">
        <f>Constants!$D$8</f>
        <v>0.6</v>
      </c>
      <c r="AA10">
        <f>Constants!$D$9</f>
        <v>0.25</v>
      </c>
      <c r="AB10">
        <f>Constants!$D$10</f>
        <v>0.4</v>
      </c>
      <c r="AC10">
        <f>Constants!$D$11</f>
        <v>0</v>
      </c>
      <c r="AD10">
        <f>Constants!$D$12</f>
        <v>0.35</v>
      </c>
      <c r="AE10">
        <f t="shared" si="5"/>
        <v>1759.5657216000002</v>
      </c>
      <c r="AF10">
        <f t="shared" si="0"/>
        <v>109.85555321856003</v>
      </c>
      <c r="AG10">
        <f t="shared" si="0"/>
        <v>175.76888514969608</v>
      </c>
      <c r="AH10">
        <f t="shared" si="0"/>
        <v>0</v>
      </c>
      <c r="AI10">
        <f t="shared" si="0"/>
        <v>20.528266752</v>
      </c>
      <c r="AJ10">
        <f t="shared" si="6"/>
        <v>2065.7184267202565</v>
      </c>
      <c r="AK10">
        <f>_xlfn.XLOOKUP(C10,Constants!$A$16:$A$20,Constants!$B$16:$B$20)</f>
        <v>7.0000000000000001E-3</v>
      </c>
      <c r="AL10">
        <f>Constants!$B$33</f>
        <v>1.5714285714285714</v>
      </c>
      <c r="AM10">
        <f t="shared" si="7"/>
        <v>2.2722902693922818E-2</v>
      </c>
    </row>
    <row r="11" spans="1:39" x14ac:dyDescent="0.2">
      <c r="A11" t="str">
        <f>'Input Scenarios'!A24</f>
        <v>VIC</v>
      </c>
      <c r="B11">
        <f>IF('Input Scenarios'!B24&lt;&gt;"", 'Input Scenarios'!B24, "")</f>
        <v>16</v>
      </c>
      <c r="C11" t="str">
        <f>'Input Scenarios'!C24</f>
        <v>Non-irrigated crop (low rainfall)</v>
      </c>
      <c r="D11">
        <f>'Input Scenarios'!D24</f>
        <v>200</v>
      </c>
      <c r="E11">
        <f>'Input Scenarios'!E24</f>
        <v>200</v>
      </c>
      <c r="F11">
        <f>'Input Scenarios'!F24</f>
        <v>0.4</v>
      </c>
      <c r="G11">
        <f>'Input Scenarios'!G24</f>
        <v>0.4</v>
      </c>
      <c r="H11">
        <f>'Input Scenarios'!H24</f>
        <v>0.2</v>
      </c>
      <c r="I11">
        <f>'Input Scenarios'!I24</f>
        <v>0.5</v>
      </c>
      <c r="J11">
        <f>IF('Input Scenarios'!J24&lt;&gt;"", 'Input Scenarios'!J24, IF($E11&lt;=80, Constants!B$2, IF($E11&lt;=200, Constants!B$3, Constants!B$4)))</f>
        <v>10.8</v>
      </c>
      <c r="K11">
        <f>IF('Input Scenarios'!K24&lt;&gt;"", 'Input Scenarios'!K24, IF($E11&lt;=80, Constants!C$2, IF($E11&lt;=200, Constants!C$3, Constants!C$4)))</f>
        <v>0.127</v>
      </c>
      <c r="L11">
        <f>IF('Input Scenarios'!L24&lt;&gt;"", 'Input Scenarios'!L24, IF($E11&lt;=80, Constants!D$2, IF($E11&lt;=200, Constants!D$3, Constants!D$4)))</f>
        <v>0.81</v>
      </c>
      <c r="M11">
        <f>IF('Input Scenarios'!M24&lt;&gt;"", 'Input Scenarios'!M24, IF($E11&lt;=80, Constants!E$2, IF($E11&lt;=200, Constants!E$3, Constants!E$4)))</f>
        <v>0.12</v>
      </c>
      <c r="N11">
        <f>Constants!$B$32</f>
        <v>6.25</v>
      </c>
      <c r="O11">
        <f t="shared" si="1"/>
        <v>0.20736000000000002</v>
      </c>
      <c r="P11">
        <f t="shared" si="2"/>
        <v>0.18102528000000001</v>
      </c>
      <c r="Q11">
        <f t="shared" si="3"/>
        <v>7241.0112000000008</v>
      </c>
      <c r="R11">
        <f>Constants!$B$29</f>
        <v>0.02</v>
      </c>
      <c r="S11">
        <f>Constants!$C$8</f>
        <v>5.4000000000000003E-3</v>
      </c>
      <c r="T11">
        <f>(Q11*(1-Z11-S11))-(Q11*R11)</f>
        <v>2712.4827955200003</v>
      </c>
      <c r="U11">
        <f>Q11</f>
        <v>7241.0112000000008</v>
      </c>
      <c r="V11">
        <f>$T11*F11</f>
        <v>1084.9931182080002</v>
      </c>
      <c r="W11">
        <f>$T11*G11</f>
        <v>1084.9931182080002</v>
      </c>
      <c r="X11">
        <f>$T11*H11</f>
        <v>542.49655910400008</v>
      </c>
      <c r="Y11">
        <f t="shared" si="4"/>
        <v>144.82022400000002</v>
      </c>
      <c r="Z11">
        <f>Constants!$D$8</f>
        <v>0.6</v>
      </c>
      <c r="AA11">
        <f>Constants!$D$9</f>
        <v>0.25</v>
      </c>
      <c r="AB11">
        <f>Constants!$D$10</f>
        <v>0.4</v>
      </c>
      <c r="AC11">
        <f>Constants!$D$11</f>
        <v>0</v>
      </c>
      <c r="AD11">
        <f>Constants!$D$12</f>
        <v>0.35</v>
      </c>
      <c r="AE11">
        <f t="shared" si="5"/>
        <v>4344.6067200000007</v>
      </c>
      <c r="AF11">
        <f t="shared" si="0"/>
        <v>271.24827955200004</v>
      </c>
      <c r="AG11">
        <f t="shared" si="0"/>
        <v>433.99724728320007</v>
      </c>
      <c r="AH11">
        <f t="shared" si="0"/>
        <v>0</v>
      </c>
      <c r="AI11">
        <f t="shared" si="0"/>
        <v>50.687078400000004</v>
      </c>
      <c r="AJ11">
        <f t="shared" si="6"/>
        <v>5100.5393252352005</v>
      </c>
      <c r="AK11">
        <f>_xlfn.XLOOKUP(C11,Constants!$A$16:$A$20,Constants!$B$16:$B$20)</f>
        <v>2.8999999999999998E-3</v>
      </c>
      <c r="AL11">
        <f>Constants!$B$33</f>
        <v>1.5714285714285714</v>
      </c>
      <c r="AM11">
        <f t="shared" si="7"/>
        <v>2.324388635357184E-2</v>
      </c>
    </row>
    <row r="12" spans="1:39" x14ac:dyDescent="0.2">
      <c r="A12" t="str">
        <f>'Input Scenarios'!A25</f>
        <v>WA</v>
      </c>
      <c r="B12" t="str">
        <f>IF('Input Scenarios'!B25&lt;&gt;"", 'Input Scenarios'!B25, "")</f>
        <v>28 or above</v>
      </c>
      <c r="C12" t="str">
        <f>'Input Scenarios'!C25</f>
        <v>Non-irrigated crop (high rainfall)</v>
      </c>
      <c r="D12">
        <f>'Input Scenarios'!D25</f>
        <v>200</v>
      </c>
      <c r="E12">
        <f>'Input Scenarios'!E25</f>
        <v>201</v>
      </c>
      <c r="F12">
        <f>'Input Scenarios'!F25</f>
        <v>0.4</v>
      </c>
      <c r="G12">
        <f>'Input Scenarios'!G25</f>
        <v>0.4</v>
      </c>
      <c r="H12">
        <f>'Input Scenarios'!H25</f>
        <v>0.2</v>
      </c>
      <c r="I12">
        <f>'Input Scenarios'!I25</f>
        <v>0.5</v>
      </c>
      <c r="J12">
        <f>IF('Input Scenarios'!J25&lt;&gt;"", 'Input Scenarios'!J25, IF($E12&lt;=80, Constants!B$2, IF($E12&lt;=200, Constants!B$3, Constants!B$4)))</f>
        <v>8.1999999999999993</v>
      </c>
      <c r="K12">
        <f>IF('Input Scenarios'!K25&lt;&gt;"", 'Input Scenarios'!K25, IF($E12&lt;=80, Constants!C$2, IF($E12&lt;=200, Constants!C$3, Constants!C$4)))</f>
        <v>7.0000000000000007E-2</v>
      </c>
      <c r="L12">
        <f>IF('Input Scenarios'!L25&lt;&gt;"", 'Input Scenarios'!L25, IF($E12&lt;=80, Constants!D$2, IF($E12&lt;=200, Constants!D$3, Constants!D$4)))</f>
        <v>0.81</v>
      </c>
      <c r="M12">
        <f>IF('Input Scenarios'!M25&lt;&gt;"", 'Input Scenarios'!M25, IF($E12&lt;=80, Constants!E$2, IF($E12&lt;=200, Constants!E$3, Constants!E$4)))</f>
        <v>0.12</v>
      </c>
      <c r="N12">
        <f>Constants!$B$32</f>
        <v>6.25</v>
      </c>
      <c r="O12">
        <f t="shared" si="1"/>
        <v>0.15743999999999997</v>
      </c>
      <c r="P12">
        <f t="shared" si="2"/>
        <v>0.14641919999999997</v>
      </c>
      <c r="Q12">
        <f t="shared" si="3"/>
        <v>5886.0518399999992</v>
      </c>
      <c r="R12">
        <f>Constants!$B$29</f>
        <v>0.02</v>
      </c>
      <c r="S12">
        <f>Constants!$C$8</f>
        <v>5.4000000000000003E-3</v>
      </c>
      <c r="T12">
        <f>(Q12*(1-Z12-S12))-(Q12*R12)</f>
        <v>2204.9150192639995</v>
      </c>
      <c r="U12">
        <f>Q12</f>
        <v>5886.0518399999992</v>
      </c>
      <c r="V12">
        <f>$T12*F12</f>
        <v>881.96600770559985</v>
      </c>
      <c r="W12">
        <f>$T12*G12</f>
        <v>881.96600770559985</v>
      </c>
      <c r="X12">
        <f>$T12*H12</f>
        <v>440.98300385279992</v>
      </c>
      <c r="Y12">
        <f t="shared" si="4"/>
        <v>117.72103679999998</v>
      </c>
      <c r="Z12">
        <f>Constants!$D$8</f>
        <v>0.6</v>
      </c>
      <c r="AA12">
        <f>Constants!$D$9</f>
        <v>0.25</v>
      </c>
      <c r="AB12">
        <f>Constants!$D$10</f>
        <v>0.4</v>
      </c>
      <c r="AC12">
        <f>Constants!$D$11</f>
        <v>0</v>
      </c>
      <c r="AD12">
        <f>Constants!$D$12</f>
        <v>0.35</v>
      </c>
      <c r="AE12">
        <f t="shared" si="5"/>
        <v>3531.6311039999996</v>
      </c>
      <c r="AF12">
        <f t="shared" si="0"/>
        <v>220.49150192639996</v>
      </c>
      <c r="AG12">
        <f t="shared" si="0"/>
        <v>352.78640308223999</v>
      </c>
      <c r="AH12">
        <f t="shared" si="0"/>
        <v>0</v>
      </c>
      <c r="AI12">
        <f t="shared" si="0"/>
        <v>41.202362879999988</v>
      </c>
      <c r="AJ12">
        <f t="shared" si="6"/>
        <v>4146.111371888639</v>
      </c>
      <c r="AK12">
        <f>_xlfn.XLOOKUP(C12,Constants!$A$16:$A$20,Constants!$B$16:$B$20)</f>
        <v>8.0000000000000002E-3</v>
      </c>
      <c r="AL12">
        <f>Constants!$B$33</f>
        <v>1.5714285714285714</v>
      </c>
      <c r="AM12">
        <f t="shared" si="7"/>
        <v>5.2122542960885754E-2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 Scenarios</vt:lpstr>
      <vt:lpstr>Constants</vt:lpstr>
      <vt:lpstr>4.1.1.1</vt:lpstr>
      <vt:lpstr>4.1.1.2</vt:lpstr>
      <vt:lpstr>4.1.1.3</vt:lpstr>
      <vt:lpstr>4.1.1.4</vt:lpstr>
      <vt:lpstr>4.1.1.5</vt:lpstr>
      <vt:lpstr>4.1.1.6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 Cheesman</dc:creator>
  <cp:lastModifiedBy>Mack Cheesman</cp:lastModifiedBy>
  <dcterms:created xsi:type="dcterms:W3CDTF">2026-07-09T05:04:11Z</dcterms:created>
  <dcterms:modified xsi:type="dcterms:W3CDTF">2026-07-13T03:33:31Z</dcterms:modified>
</cp:coreProperties>
</file>