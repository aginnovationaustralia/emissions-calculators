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xr:revisionPtr revIDLastSave="0" documentId="13_ncr:1_{6E9F641F-2712-1A46-A46B-F504BF7A9857}" xr6:coauthVersionLast="47" xr6:coauthVersionMax="47" xr10:uidLastSave="{00000000-0000-0000-0000-000000000000}"/>
  <bookViews>
    <workbookView xWindow="51220" yWindow="9080" windowWidth="28800" windowHeight="23520" xr2:uid="{5678E890-3691-CF46-80E7-00FB1F103661}"/>
  </bookViews>
  <sheets>
    <sheet name="3.6.1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11" i="1"/>
  <c r="D27" i="1"/>
  <c r="D28" i="1"/>
  <c r="D29" i="1"/>
  <c r="D30" i="1"/>
  <c r="D26" i="1"/>
  <c r="D23" i="1"/>
  <c r="D24" i="1"/>
  <c r="D25" i="1"/>
  <c r="D22" i="1"/>
  <c r="D16" i="1"/>
  <c r="D17" i="1"/>
  <c r="D18" i="1"/>
  <c r="D19" i="1"/>
  <c r="D20" i="1"/>
  <c r="D21" i="1"/>
  <c r="D15" i="1"/>
  <c r="D12" i="1"/>
  <c r="D13" i="1"/>
  <c r="D14" i="1"/>
  <c r="D11" i="1"/>
</calcChain>
</file>

<file path=xl/sharedStrings.xml><?xml version="1.0" encoding="utf-8"?>
<sst xmlns="http://schemas.openxmlformats.org/spreadsheetml/2006/main" count="47" uniqueCount="41">
  <si>
    <t>Livestock type</t>
  </si>
  <si>
    <t>Class</t>
  </si>
  <si>
    <t>Head</t>
  </si>
  <si>
    <t>Mj</t>
  </si>
  <si>
    <t>Emissions factor</t>
  </si>
  <si>
    <t>Nj</t>
  </si>
  <si>
    <r>
      <t>𝐸</t>
    </r>
    <r>
      <rPr>
        <sz val="8"/>
        <color rgb="FF000000"/>
        <rFont val="Helvetica"/>
        <family val="2"/>
      </rPr>
      <t xml:space="preserve">𝑒𝑛𝑡𝑒𝑟𝑖𝑐 </t>
    </r>
    <r>
      <rPr>
        <sz val="11"/>
        <color rgb="FF000000"/>
        <rFont val="Helvetica"/>
        <family val="2"/>
      </rPr>
      <t xml:space="preserve">= ∑ (𝑁 </t>
    </r>
    <r>
      <rPr>
        <sz val="8"/>
        <color rgb="FF000000"/>
        <rFont val="Helvetica"/>
        <family val="2"/>
      </rPr>
      <t>𝑗</t>
    </r>
    <r>
      <rPr>
        <sz val="11"/>
        <color rgb="FF000000"/>
        <rFont val="Helvetica"/>
        <family val="2"/>
      </rPr>
      <t xml:space="preserve"> × 𝑀 </t>
    </r>
    <r>
      <rPr>
        <sz val="8"/>
        <color rgb="FF000000"/>
        <rFont val="Helvetica"/>
        <family val="2"/>
      </rPr>
      <t>𝑗</t>
    </r>
    <r>
      <rPr>
        <sz val="11"/>
        <color rgb="FF000000"/>
        <rFont val="Helvetica"/>
        <family val="2"/>
      </rPr>
      <t xml:space="preserve"> ) × 10</t>
    </r>
    <r>
      <rPr>
        <sz val="8"/>
        <color rgb="FF000000"/>
        <rFont val="Helvetica"/>
        <family val="2"/>
      </rPr>
      <t>−3</t>
    </r>
  </si>
  <si>
    <t>Eenteric</t>
  </si>
  <si>
    <t>3.6 415</t>
  </si>
  <si>
    <t>Buffalo </t>
  </si>
  <si>
    <t>Goats </t>
  </si>
  <si>
    <t>Deer </t>
  </si>
  <si>
    <t>Camels </t>
  </si>
  <si>
    <t>Alpacas </t>
  </si>
  <si>
    <t>Horses </t>
  </si>
  <si>
    <t>Mules/asses </t>
  </si>
  <si>
    <t>Emus/ostriches </t>
  </si>
  <si>
    <t>Appendix A.1.5.1</t>
  </si>
  <si>
    <t>Buffalo</t>
  </si>
  <si>
    <t>Bulls</t>
  </si>
  <si>
    <t>Cows</t>
  </si>
  <si>
    <t>Steers</t>
  </si>
  <si>
    <t>Calves</t>
  </si>
  <si>
    <t>Bucks/Billy</t>
  </si>
  <si>
    <t>Wethers</t>
  </si>
  <si>
    <t>Maiden breeding</t>
  </si>
  <si>
    <t>does/nannies</t>
  </si>
  <si>
    <t>Breeding does/nannies</t>
  </si>
  <si>
    <t>Other</t>
  </si>
  <si>
    <t>Kids</t>
  </si>
  <si>
    <t>Bucks</t>
  </si>
  <si>
    <t>Breeding Does</t>
  </si>
  <si>
    <t>Other Does</t>
  </si>
  <si>
    <t>Fawn</t>
  </si>
  <si>
    <t>Camels</t>
  </si>
  <si>
    <t>Alpacas</t>
  </si>
  <si>
    <t>Horses</t>
  </si>
  <si>
    <t>Mules/asses</t>
  </si>
  <si>
    <t>Emus/Ostriches</t>
  </si>
  <si>
    <t>Deer</t>
  </si>
  <si>
    <t>Goats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</si>
</sst>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  <font>
      <sz val="12"/>
      <color theme="1"/>
      <name val="Helvetica"/>
      <family val="2"/>
    </font>
    <font>
      <sz val="12"/>
      <name val="Aptos Narrow"/>
      <scheme val="minor"/>
    </font>
    <font>
      <b/>
      <sz val="12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2" borderId="0" xfId="0" applyFill="1"/>
    <xf numFmtId="0" fontId="6" fillId="0" borderId="0" xfId="0" applyFont="1"/>
    <xf numFmtId="0" fontId="3" fillId="0" borderId="0" xfId="0" applyFont="1"/>
    <xf numFmtId="0" fontId="0" fillId="0" borderId="0" xfId="0" applyFill="1"/>
    <xf numFmtId="0" fontId="4" fillId="0" borderId="0" xfId="0" applyFont="1" applyFill="1" applyAlignment="1">
      <alignment wrapText="1"/>
    </xf>
    <xf numFmtId="0" fontId="3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655F-5BFE-554E-A3D3-9DFA9517010F}">
  <dimension ref="A1:L30"/>
  <sheetViews>
    <sheetView tabSelected="1" workbookViewId="0">
      <selection activeCell="F28" sqref="F28"/>
    </sheetView>
  </sheetViews>
  <sheetFormatPr baseColWidth="10" defaultRowHeight="16"/>
  <cols>
    <col min="1" max="1" width="17.33203125" style="3" customWidth="1"/>
    <col min="2" max="3" width="26.6640625" customWidth="1"/>
    <col min="6" max="6" width="16.5" customWidth="1"/>
    <col min="8" max="9" width="16" customWidth="1"/>
    <col min="11" max="11" width="36" customWidth="1"/>
  </cols>
  <sheetData>
    <row r="1" spans="1:12">
      <c r="I1" s="1"/>
    </row>
    <row r="2" spans="1:12">
      <c r="C2">
        <v>423</v>
      </c>
      <c r="D2">
        <v>427</v>
      </c>
      <c r="E2" t="s">
        <v>8</v>
      </c>
      <c r="I2" s="1"/>
    </row>
    <row r="3" spans="1:12">
      <c r="A3" s="10"/>
      <c r="B3" s="9"/>
      <c r="C3" s="9"/>
      <c r="E3" s="1" t="s">
        <v>6</v>
      </c>
      <c r="I3" s="9"/>
      <c r="K3" s="7"/>
    </row>
    <row r="6" spans="1:12">
      <c r="A6" s="2"/>
      <c r="B6" s="2"/>
    </row>
    <row r="7" spans="1:12">
      <c r="K7" s="2"/>
      <c r="L7" s="2"/>
    </row>
    <row r="8" spans="1:12">
      <c r="K8" s="2"/>
      <c r="L8" s="2"/>
    </row>
    <row r="9" spans="1:12">
      <c r="A9" s="4"/>
      <c r="C9" t="s">
        <v>2</v>
      </c>
      <c r="D9" t="s">
        <v>4</v>
      </c>
      <c r="K9" s="2"/>
      <c r="L9" s="2"/>
    </row>
    <row r="10" spans="1:12" ht="17">
      <c r="A10" s="5" t="s">
        <v>0</v>
      </c>
      <c r="B10" s="11" t="s">
        <v>1</v>
      </c>
      <c r="C10" s="6" t="s">
        <v>5</v>
      </c>
      <c r="D10" t="s">
        <v>3</v>
      </c>
      <c r="E10" s="12" t="s">
        <v>7</v>
      </c>
      <c r="H10" t="s">
        <v>3</v>
      </c>
      <c r="I10" t="s">
        <v>17</v>
      </c>
      <c r="K10" s="2"/>
      <c r="L10" s="2"/>
    </row>
    <row r="11" spans="1:12" ht="17">
      <c r="A11" s="3" t="s">
        <v>18</v>
      </c>
      <c r="B11" s="2" t="s">
        <v>19</v>
      </c>
      <c r="C11">
        <v>5</v>
      </c>
      <c r="D11">
        <f>$I$11</f>
        <v>68</v>
      </c>
      <c r="E11">
        <f>C11*D11*10^-3</f>
        <v>0.34</v>
      </c>
      <c r="H11" s="2" t="s">
        <v>9</v>
      </c>
      <c r="I11" s="2">
        <v>68</v>
      </c>
      <c r="K11" s="2"/>
      <c r="L11" s="2"/>
    </row>
    <row r="12" spans="1:12">
      <c r="B12" s="2" t="s">
        <v>20</v>
      </c>
      <c r="C12">
        <v>6</v>
      </c>
      <c r="D12">
        <f t="shared" ref="D12:D14" si="0">$I$11</f>
        <v>68</v>
      </c>
      <c r="E12">
        <f t="shared" ref="E12:E30" si="1">C12*D12*10^-3</f>
        <v>0.40800000000000003</v>
      </c>
      <c r="H12" s="2" t="s">
        <v>10</v>
      </c>
      <c r="I12" s="2">
        <v>5</v>
      </c>
      <c r="K12" s="2"/>
      <c r="L12" s="2"/>
    </row>
    <row r="13" spans="1:12">
      <c r="B13" s="2" t="s">
        <v>21</v>
      </c>
      <c r="C13">
        <v>7</v>
      </c>
      <c r="D13">
        <f t="shared" si="0"/>
        <v>68</v>
      </c>
      <c r="E13">
        <f t="shared" si="1"/>
        <v>0.47600000000000003</v>
      </c>
      <c r="H13" s="2" t="s">
        <v>11</v>
      </c>
      <c r="I13" s="2">
        <v>20</v>
      </c>
      <c r="K13" s="2"/>
      <c r="L13" s="2"/>
    </row>
    <row r="14" spans="1:12">
      <c r="B14" s="2" t="s">
        <v>22</v>
      </c>
      <c r="C14">
        <v>8</v>
      </c>
      <c r="D14">
        <f t="shared" si="0"/>
        <v>68</v>
      </c>
      <c r="E14">
        <f t="shared" si="1"/>
        <v>0.54400000000000004</v>
      </c>
      <c r="H14" s="2" t="s">
        <v>12</v>
      </c>
      <c r="I14" s="2">
        <v>46</v>
      </c>
      <c r="K14" s="2"/>
      <c r="L14" s="2"/>
    </row>
    <row r="15" spans="1:12" ht="17">
      <c r="A15" s="3" t="s">
        <v>40</v>
      </c>
      <c r="B15" s="2" t="s">
        <v>23</v>
      </c>
      <c r="C15">
        <v>9</v>
      </c>
      <c r="D15">
        <f>$I$12</f>
        <v>5</v>
      </c>
      <c r="E15">
        <f t="shared" si="1"/>
        <v>4.4999999999999998E-2</v>
      </c>
      <c r="H15" s="2" t="s">
        <v>13</v>
      </c>
      <c r="I15" s="2">
        <v>8</v>
      </c>
      <c r="K15" s="2"/>
      <c r="L15" s="2"/>
    </row>
    <row r="16" spans="1:12">
      <c r="B16" s="2" t="s">
        <v>24</v>
      </c>
      <c r="C16">
        <v>10</v>
      </c>
      <c r="D16">
        <f t="shared" ref="D16:D21" si="2">$I$12</f>
        <v>5</v>
      </c>
      <c r="E16">
        <f t="shared" si="1"/>
        <v>0.05</v>
      </c>
      <c r="H16" s="2" t="s">
        <v>14</v>
      </c>
      <c r="I16" s="2">
        <v>18</v>
      </c>
      <c r="K16" s="2"/>
      <c r="L16" s="2"/>
    </row>
    <row r="17" spans="1:12">
      <c r="B17" s="2" t="s">
        <v>25</v>
      </c>
      <c r="C17">
        <v>11</v>
      </c>
      <c r="D17">
        <f t="shared" si="2"/>
        <v>5</v>
      </c>
      <c r="E17">
        <f t="shared" si="1"/>
        <v>5.5E-2</v>
      </c>
      <c r="H17" s="2" t="s">
        <v>15</v>
      </c>
      <c r="I17" s="2">
        <v>10</v>
      </c>
      <c r="K17" s="2"/>
      <c r="L17" s="2"/>
    </row>
    <row r="18" spans="1:12">
      <c r="B18" s="2" t="s">
        <v>26</v>
      </c>
      <c r="C18">
        <v>12</v>
      </c>
      <c r="D18">
        <f t="shared" si="2"/>
        <v>5</v>
      </c>
      <c r="E18">
        <f t="shared" si="1"/>
        <v>0.06</v>
      </c>
      <c r="H18" s="2" t="s">
        <v>16</v>
      </c>
      <c r="I18" s="2">
        <v>5</v>
      </c>
      <c r="K18" s="2"/>
      <c r="L18" s="8"/>
    </row>
    <row r="19" spans="1:12">
      <c r="B19" s="2" t="s">
        <v>27</v>
      </c>
      <c r="C19">
        <v>13</v>
      </c>
      <c r="D19">
        <f t="shared" si="2"/>
        <v>5</v>
      </c>
      <c r="E19">
        <f t="shared" si="1"/>
        <v>6.5000000000000002E-2</v>
      </c>
      <c r="K19" s="2"/>
      <c r="L19" s="8"/>
    </row>
    <row r="20" spans="1:12">
      <c r="B20" s="2" t="s">
        <v>28</v>
      </c>
      <c r="C20">
        <v>14</v>
      </c>
      <c r="D20">
        <f t="shared" si="2"/>
        <v>5</v>
      </c>
      <c r="E20">
        <f t="shared" si="1"/>
        <v>7.0000000000000007E-2</v>
      </c>
      <c r="K20" s="2"/>
      <c r="L20" s="2"/>
    </row>
    <row r="21" spans="1:12">
      <c r="B21" s="2" t="s">
        <v>29</v>
      </c>
      <c r="C21">
        <v>15</v>
      </c>
      <c r="D21">
        <f t="shared" si="2"/>
        <v>5</v>
      </c>
      <c r="E21">
        <f t="shared" si="1"/>
        <v>7.4999999999999997E-2</v>
      </c>
      <c r="K21" s="2"/>
      <c r="L21" s="2"/>
    </row>
    <row r="22" spans="1:12" ht="17">
      <c r="A22" s="3" t="s">
        <v>39</v>
      </c>
      <c r="B22" s="2" t="s">
        <v>30</v>
      </c>
      <c r="C22">
        <v>16</v>
      </c>
      <c r="D22">
        <f>$I$13</f>
        <v>20</v>
      </c>
      <c r="E22">
        <f t="shared" si="1"/>
        <v>0.32</v>
      </c>
    </row>
    <row r="23" spans="1:12">
      <c r="B23" s="2" t="s">
        <v>31</v>
      </c>
      <c r="C23">
        <v>17</v>
      </c>
      <c r="D23">
        <f t="shared" ref="D23:D25" si="3">$I$13</f>
        <v>20</v>
      </c>
      <c r="E23">
        <f t="shared" si="1"/>
        <v>0.34</v>
      </c>
      <c r="K23" s="2"/>
    </row>
    <row r="24" spans="1:12">
      <c r="B24" s="2" t="s">
        <v>32</v>
      </c>
      <c r="C24">
        <v>18</v>
      </c>
      <c r="D24">
        <f t="shared" si="3"/>
        <v>20</v>
      </c>
      <c r="E24">
        <f t="shared" si="1"/>
        <v>0.36</v>
      </c>
      <c r="K24" s="2"/>
      <c r="L24" s="2"/>
    </row>
    <row r="25" spans="1:12">
      <c r="B25" s="2" t="s">
        <v>33</v>
      </c>
      <c r="C25">
        <v>19</v>
      </c>
      <c r="D25">
        <f t="shared" si="3"/>
        <v>20</v>
      </c>
      <c r="E25">
        <f t="shared" si="1"/>
        <v>0.38</v>
      </c>
      <c r="K25" s="2"/>
      <c r="L25" s="2"/>
    </row>
    <row r="26" spans="1:12">
      <c r="A26" s="2" t="s">
        <v>12</v>
      </c>
      <c r="B26" s="2" t="s">
        <v>34</v>
      </c>
      <c r="C26">
        <v>20</v>
      </c>
      <c r="D26">
        <f>$I14</f>
        <v>46</v>
      </c>
      <c r="E26">
        <f t="shared" si="1"/>
        <v>0.92</v>
      </c>
      <c r="K26" s="2"/>
      <c r="L26" s="2"/>
    </row>
    <row r="27" spans="1:12">
      <c r="A27" s="2" t="s">
        <v>13</v>
      </c>
      <c r="B27" s="2" t="s">
        <v>35</v>
      </c>
      <c r="C27">
        <v>21</v>
      </c>
      <c r="D27">
        <f t="shared" ref="D27:D30" si="4">$I15</f>
        <v>8</v>
      </c>
      <c r="E27">
        <f t="shared" si="1"/>
        <v>0.16800000000000001</v>
      </c>
      <c r="K27" s="2"/>
      <c r="L27" s="2"/>
    </row>
    <row r="28" spans="1:12">
      <c r="A28" s="2" t="s">
        <v>14</v>
      </c>
      <c r="B28" s="2" t="s">
        <v>36</v>
      </c>
      <c r="C28">
        <v>22</v>
      </c>
      <c r="D28">
        <f t="shared" si="4"/>
        <v>18</v>
      </c>
      <c r="E28">
        <f t="shared" si="1"/>
        <v>0.39600000000000002</v>
      </c>
      <c r="K28" s="2"/>
      <c r="L28" s="2"/>
    </row>
    <row r="29" spans="1:12">
      <c r="A29" s="2" t="s">
        <v>15</v>
      </c>
      <c r="B29" s="2" t="s">
        <v>37</v>
      </c>
      <c r="C29">
        <v>23</v>
      </c>
      <c r="D29">
        <f t="shared" si="4"/>
        <v>10</v>
      </c>
      <c r="E29">
        <f t="shared" si="1"/>
        <v>0.23</v>
      </c>
      <c r="K29" s="2"/>
      <c r="L29" s="2"/>
    </row>
    <row r="30" spans="1:12">
      <c r="A30" s="2" t="s">
        <v>16</v>
      </c>
      <c r="B30" s="2" t="s">
        <v>38</v>
      </c>
      <c r="C30">
        <v>24</v>
      </c>
      <c r="D30">
        <f t="shared" si="4"/>
        <v>5</v>
      </c>
      <c r="E30">
        <f t="shared" si="1"/>
        <v>0.12</v>
      </c>
      <c r="K30" s="2"/>
      <c r="L30" s="2"/>
    </row>
  </sheetData>
  <mergeCells count="1">
    <mergeCell ref="L18:L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3.6.1.1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2026-02-18T00:55:42Z</dcterms:created>
  <dcterms:modified xsi:type="dcterms:W3CDTF">2026-04-27T02:13:30Z</dcterms:modified>
</cp:coreProperties>
</file>