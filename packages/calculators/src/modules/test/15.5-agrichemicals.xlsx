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xr:revisionPtr revIDLastSave="0" documentId="13_ncr:1_{F553918A-B745-F641-9302-D75E5D0E3934}" xr6:coauthVersionLast="47" xr6:coauthVersionMax="47" xr10:uidLastSave="{00000000-0000-0000-0000-000000000000}"/>
  <bookViews>
    <workbookView xWindow="51200" yWindow="16500" windowWidth="28800" windowHeight="23520" xr2:uid="{5678E890-3691-CF46-80E7-00FB1F103661}"/>
  </bookViews>
  <sheets>
    <sheet name="15.5.1.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13" i="3"/>
  <c r="E14" i="3"/>
  <c r="E15" i="3"/>
  <c r="E11" i="3"/>
  <c r="E10" i="3"/>
  <c r="C6" i="3"/>
  <c r="E6" i="3" s="1"/>
  <c r="C7" i="3"/>
  <c r="E7" i="3" s="1"/>
  <c r="C8" i="3"/>
  <c r="E8" i="3" s="1"/>
  <c r="C9" i="3"/>
  <c r="E9" i="3" s="1"/>
  <c r="C10" i="3"/>
  <c r="C11" i="3"/>
  <c r="C12" i="3"/>
  <c r="C13" i="3"/>
  <c r="C14" i="3"/>
  <c r="C15" i="3"/>
  <c r="C5" i="3"/>
  <c r="E5" i="3" s="1"/>
</calcChain>
</file>

<file path=xl/sharedStrings.xml><?xml version="1.0" encoding="utf-8"?>
<sst xmlns="http://schemas.openxmlformats.org/spreadsheetml/2006/main" count="26" uniqueCount="16">
  <si>
    <t>Method 1</t>
  </si>
  <si>
    <t>Agrichemical type h </t>
  </si>
  <si>
    <t>EFh</t>
  </si>
  <si>
    <t>A.3.1.5</t>
  </si>
  <si>
    <t>E</t>
  </si>
  <si>
    <r>
      <t>𝐸 = ∑ 𝑄</t>
    </r>
    <r>
      <rPr>
        <sz val="8"/>
        <color rgb="FF000000"/>
        <rFont val="Helvetica"/>
        <family val="2"/>
      </rPr>
      <t xml:space="preserve">ℎ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 xml:space="preserve">ℎ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</si>
  <si>
    <r>
      <t>Q</t>
    </r>
    <r>
      <rPr>
        <sz val="7"/>
        <color rgb="FF000000"/>
        <rFont val="Arial"/>
        <family val="2"/>
      </rPr>
      <t xml:space="preserve">h </t>
    </r>
    <r>
      <rPr>
        <sz val="11"/>
        <color rgb="FF000000"/>
        <rFont val="Arial"/>
        <family val="2"/>
      </rPr>
      <t>= quantity of agrichemical type h purchased (kg)</t>
    </r>
  </si>
  <si>
    <t>Q</t>
  </si>
  <si>
    <t>Type</t>
  </si>
  <si>
    <t>EF</t>
  </si>
  <si>
    <t>EF custom</t>
  </si>
  <si>
    <t>Herbicide (paraquat, diquat, glyphosate)</t>
  </si>
  <si>
    <t>Other herbicide</t>
  </si>
  <si>
    <t>Insecticide</t>
  </si>
  <si>
    <t>Fungicide</t>
  </si>
  <si>
    <t>Plant growth regulator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</si>
</sst>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sz val="10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2"/>
      <name val="Menlo"/>
      <family val="2"/>
    </font>
    <font>
      <sz val="11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2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4" fontId="0" fillId="0" borderId="0" xfId="0" applyNumberFormat="1"/>
    <xf numFmtId="0" fontId="0" fillId="2" borderId="0" xfId="0" applyFill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wrapText="1"/>
    </xf>
    <xf numFmtId="0" fontId="0" fillId="0" borderId="0" xfId="0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F442-5EF4-1A4A-85C1-C6F2CC54DF49}">
  <dimension ref="A1:R84"/>
  <sheetViews>
    <sheetView tabSelected="1" workbookViewId="0">
      <selection activeCell="H25" sqref="H25"/>
    </sheetView>
  </sheetViews>
  <sheetFormatPr baseColWidth="10" defaultRowHeight="16"/>
  <cols>
    <col min="1" max="1" width="17.5" customWidth="1"/>
    <col min="2" max="2" width="38.1640625" customWidth="1"/>
    <col min="3" max="3" width="7.6640625" bestFit="1" customWidth="1"/>
    <col min="5" max="5" width="15.33203125" customWidth="1"/>
    <col min="6" max="6" width="24.83203125" customWidth="1"/>
    <col min="7" max="7" width="10.1640625" customWidth="1"/>
    <col min="8" max="8" width="37.5" customWidth="1"/>
    <col min="9" max="9" width="30.83203125" bestFit="1" customWidth="1"/>
    <col min="10" max="10" width="17.83203125" customWidth="1"/>
    <col min="11" max="11" width="14.83203125" customWidth="1"/>
    <col min="12" max="12" width="18.33203125" customWidth="1"/>
    <col min="13" max="13" width="17.6640625" bestFit="1" customWidth="1"/>
    <col min="14" max="14" width="17" bestFit="1" customWidth="1"/>
    <col min="15" max="15" width="16.5" customWidth="1"/>
  </cols>
  <sheetData>
    <row r="1" spans="1:10" ht="17">
      <c r="A1" s="3" t="s">
        <v>0</v>
      </c>
      <c r="E1" s="1" t="s">
        <v>5</v>
      </c>
    </row>
    <row r="2" spans="1:10" ht="50" customHeight="1">
      <c r="F2" s="18"/>
    </row>
    <row r="3" spans="1:10">
      <c r="A3" s="20" t="s">
        <v>6</v>
      </c>
      <c r="C3" s="7"/>
      <c r="D3" s="7"/>
      <c r="E3" s="1"/>
      <c r="G3" s="1"/>
      <c r="I3" s="1"/>
    </row>
    <row r="4" spans="1:10" ht="17">
      <c r="A4" s="13" t="s">
        <v>7</v>
      </c>
      <c r="B4" s="4" t="s">
        <v>8</v>
      </c>
      <c r="C4" s="4" t="s">
        <v>9</v>
      </c>
      <c r="D4" s="4" t="s">
        <v>10</v>
      </c>
      <c r="E4" s="5" t="s">
        <v>4</v>
      </c>
      <c r="F4" s="19"/>
      <c r="J4" s="6"/>
    </row>
    <row r="5" spans="1:10">
      <c r="A5">
        <v>1000</v>
      </c>
      <c r="B5" s="2" t="s">
        <v>11</v>
      </c>
      <c r="C5">
        <f>IF(ISBLANK(A5), "", VLOOKUP(B5, $H$20:$I$24, 2, FALSE))</f>
        <v>33</v>
      </c>
      <c r="D5" s="12"/>
      <c r="E5" s="12">
        <f>IF(ISBLANK(A5), "", A5*C5/1000)</f>
        <v>33</v>
      </c>
      <c r="F5" s="12"/>
      <c r="G5" s="12"/>
    </row>
    <row r="6" spans="1:10">
      <c r="A6">
        <v>2000</v>
      </c>
      <c r="B6" s="2" t="s">
        <v>12</v>
      </c>
      <c r="C6">
        <f>IF(ISBLANK(A6), "", VLOOKUP(B6, $H$20:$I$24, 2, FALSE))</f>
        <v>18.600000000000001</v>
      </c>
      <c r="D6" s="12"/>
      <c r="E6" s="12">
        <f t="shared" ref="E6:E15" si="0">IF(ISBLANK(A6), "", A6*C6/1000)</f>
        <v>37.200000000000003</v>
      </c>
      <c r="F6" s="12"/>
      <c r="G6" s="12"/>
    </row>
    <row r="7" spans="1:10">
      <c r="A7">
        <v>3000</v>
      </c>
      <c r="B7" s="2" t="s">
        <v>13</v>
      </c>
      <c r="C7">
        <f>IF(ISBLANK(A7), "", VLOOKUP(B7, $H$20:$I$24, 2, FALSE))</f>
        <v>18.899999999999999</v>
      </c>
      <c r="D7" s="12"/>
      <c r="E7" s="12">
        <f t="shared" si="0"/>
        <v>56.699999999999996</v>
      </c>
      <c r="F7" s="12"/>
      <c r="G7" s="12"/>
    </row>
    <row r="8" spans="1:10">
      <c r="A8">
        <v>4000</v>
      </c>
      <c r="B8" s="2" t="s">
        <v>14</v>
      </c>
      <c r="C8">
        <f>IF(ISBLANK(A8), "", VLOOKUP(B8, $H$20:$I$24, 2, FALSE))</f>
        <v>12.6</v>
      </c>
      <c r="D8" s="12"/>
      <c r="E8" s="12">
        <f t="shared" si="0"/>
        <v>50.4</v>
      </c>
      <c r="F8" s="12"/>
      <c r="G8" s="12"/>
    </row>
    <row r="9" spans="1:10">
      <c r="A9">
        <v>5000</v>
      </c>
      <c r="B9" s="2" t="s">
        <v>15</v>
      </c>
      <c r="C9">
        <f>IF(ISBLANK(A9), "", VLOOKUP(B9, $H$20:$I$24, 2, FALSE))</f>
        <v>10.5</v>
      </c>
      <c r="D9" s="12"/>
      <c r="E9" s="12">
        <f t="shared" si="0"/>
        <v>52.5</v>
      </c>
      <c r="F9" s="12"/>
    </row>
    <row r="10" spans="1:10">
      <c r="B10" s="17"/>
      <c r="C10" t="str">
        <f>IF(ISBLANK(A10), "", VLOOKUP(B10, $H$20:$I$24, 2, FALSE))</f>
        <v/>
      </c>
      <c r="D10" s="12"/>
      <c r="E10" s="12" t="str">
        <f t="shared" si="0"/>
        <v/>
      </c>
      <c r="F10" s="12"/>
    </row>
    <row r="11" spans="1:10">
      <c r="A11">
        <v>7000</v>
      </c>
      <c r="B11" s="2" t="s">
        <v>11</v>
      </c>
      <c r="C11">
        <f>IF(ISBLANK(A11), "", VLOOKUP(B11, $H$20:$I$24, 2, FALSE))</f>
        <v>33</v>
      </c>
      <c r="D11" s="12">
        <v>20</v>
      </c>
      <c r="E11" s="12">
        <f>IF(ISBLANK(A11), "", A11*D11/1000)</f>
        <v>140</v>
      </c>
      <c r="F11" s="12"/>
    </row>
    <row r="12" spans="1:10">
      <c r="A12">
        <v>8000</v>
      </c>
      <c r="B12" s="2" t="s">
        <v>12</v>
      </c>
      <c r="C12">
        <f>IF(ISBLANK(A12), "", VLOOKUP(B12, $H$20:$I$24, 2, FALSE))</f>
        <v>18.600000000000001</v>
      </c>
      <c r="D12" s="12">
        <v>12</v>
      </c>
      <c r="E12" s="12">
        <f t="shared" ref="E12:E15" si="1">IF(ISBLANK(A12), "", A12*D12/1000)</f>
        <v>96</v>
      </c>
      <c r="F12" s="12"/>
    </row>
    <row r="13" spans="1:10">
      <c r="A13">
        <v>9000</v>
      </c>
      <c r="B13" s="2" t="s">
        <v>13</v>
      </c>
      <c r="C13">
        <f>IF(ISBLANK(A13), "", VLOOKUP(B13, $H$20:$I$24, 2, FALSE))</f>
        <v>18.899999999999999</v>
      </c>
      <c r="D13" s="12">
        <v>5</v>
      </c>
      <c r="E13" s="12">
        <f t="shared" si="1"/>
        <v>45</v>
      </c>
      <c r="F13" s="12"/>
      <c r="G13" s="12"/>
    </row>
    <row r="14" spans="1:10">
      <c r="A14">
        <v>6000</v>
      </c>
      <c r="B14" s="2" t="s">
        <v>14</v>
      </c>
      <c r="C14">
        <f>IF(ISBLANK(A14), "", VLOOKUP(B14, $H$20:$I$24, 2, FALSE))</f>
        <v>12.6</v>
      </c>
      <c r="D14" s="12">
        <v>6</v>
      </c>
      <c r="E14" s="12">
        <f t="shared" si="1"/>
        <v>36</v>
      </c>
      <c r="F14" s="12"/>
      <c r="G14" s="12"/>
    </row>
    <row r="15" spans="1:10">
      <c r="A15">
        <v>5000</v>
      </c>
      <c r="B15" s="2" t="s">
        <v>15</v>
      </c>
      <c r="C15">
        <f>IF(ISBLANK(A15), "", VLOOKUP(B15, $H$20:$I$24, 2, FALSE))</f>
        <v>10.5</v>
      </c>
      <c r="D15" s="12">
        <v>0.5</v>
      </c>
      <c r="E15" s="12">
        <f t="shared" si="1"/>
        <v>2.5</v>
      </c>
      <c r="F15" s="12"/>
      <c r="G15" s="12"/>
    </row>
    <row r="16" spans="1:10">
      <c r="B16" s="17"/>
      <c r="D16" s="12"/>
      <c r="E16" s="12"/>
      <c r="F16" s="12"/>
      <c r="G16" s="12"/>
    </row>
    <row r="17" spans="2:15">
      <c r="B17" s="17"/>
      <c r="D17" s="12"/>
      <c r="E17" s="12"/>
      <c r="F17" s="12"/>
      <c r="G17" s="12"/>
    </row>
    <row r="18" spans="2:15">
      <c r="B18" s="17"/>
      <c r="D18" s="12"/>
      <c r="E18" s="12"/>
      <c r="F18" s="12"/>
      <c r="G18" s="12"/>
      <c r="H18" t="s">
        <v>3</v>
      </c>
    </row>
    <row r="19" spans="2:15">
      <c r="B19" s="17"/>
      <c r="D19" s="12"/>
      <c r="E19" s="12"/>
      <c r="F19" s="12"/>
      <c r="G19" s="12"/>
      <c r="H19" s="2" t="s">
        <v>1</v>
      </c>
      <c r="I19" s="2" t="s">
        <v>2</v>
      </c>
      <c r="J19" s="7"/>
      <c r="K19" s="7"/>
      <c r="L19" s="7"/>
      <c r="O19" s="7"/>
    </row>
    <row r="20" spans="2:15">
      <c r="B20" s="17"/>
      <c r="D20" s="12"/>
      <c r="E20" s="12"/>
      <c r="F20" s="12"/>
      <c r="G20" s="12"/>
      <c r="H20" s="2" t="s">
        <v>11</v>
      </c>
      <c r="I20" s="2">
        <v>33</v>
      </c>
    </row>
    <row r="21" spans="2:15">
      <c r="B21" s="17"/>
      <c r="D21" s="12"/>
      <c r="E21" s="12"/>
      <c r="F21" s="12"/>
      <c r="G21" s="12"/>
      <c r="H21" s="2" t="s">
        <v>12</v>
      </c>
      <c r="I21" s="2">
        <v>18.600000000000001</v>
      </c>
    </row>
    <row r="22" spans="2:15">
      <c r="B22" s="17"/>
      <c r="D22" s="12"/>
      <c r="E22" s="12"/>
      <c r="F22" s="12"/>
      <c r="H22" s="2" t="s">
        <v>13</v>
      </c>
      <c r="I22" s="2">
        <v>18.899999999999999</v>
      </c>
    </row>
    <row r="23" spans="2:15">
      <c r="B23" s="16"/>
      <c r="C23" s="12"/>
      <c r="D23" s="12"/>
      <c r="E23" s="12"/>
      <c r="F23" s="12"/>
      <c r="H23" s="2" t="s">
        <v>14</v>
      </c>
      <c r="I23" s="2">
        <v>12.6</v>
      </c>
    </row>
    <row r="24" spans="2:15">
      <c r="H24" s="2" t="s">
        <v>15</v>
      </c>
      <c r="I24" s="2">
        <v>10.5</v>
      </c>
    </row>
    <row r="25" spans="2:15">
      <c r="G25" s="12"/>
      <c r="H25" s="17"/>
    </row>
    <row r="26" spans="2:15">
      <c r="G26" s="12"/>
      <c r="H26" s="17"/>
    </row>
    <row r="27" spans="2:15">
      <c r="G27" s="12"/>
      <c r="H27" s="17"/>
    </row>
    <row r="28" spans="2:15">
      <c r="G28" s="12"/>
      <c r="H28" s="17"/>
    </row>
    <row r="29" spans="2:15">
      <c r="G29" s="12"/>
      <c r="H29" s="17"/>
    </row>
    <row r="30" spans="2:15">
      <c r="G30" s="12"/>
    </row>
    <row r="31" spans="2:15">
      <c r="G31" s="12"/>
    </row>
    <row r="32" spans="2:15">
      <c r="C32" s="12"/>
      <c r="D32" s="12"/>
      <c r="E32" s="12"/>
      <c r="F32" s="12"/>
      <c r="G32" s="12"/>
      <c r="J32" s="2"/>
      <c r="K32" s="2"/>
    </row>
    <row r="33" spans="2:18">
      <c r="C33" s="12"/>
      <c r="D33" s="12"/>
      <c r="E33" s="12"/>
      <c r="F33" s="12"/>
      <c r="G33" s="12"/>
      <c r="J33" s="2"/>
      <c r="K33" s="2"/>
    </row>
    <row r="34" spans="2:18">
      <c r="C34" s="12"/>
      <c r="D34" s="12"/>
      <c r="E34" s="12"/>
      <c r="F34" s="12"/>
      <c r="G34" s="12"/>
    </row>
    <row r="35" spans="2:18">
      <c r="C35" s="12"/>
      <c r="D35" s="12"/>
      <c r="E35" s="12"/>
      <c r="F35" s="12"/>
      <c r="G35" s="12"/>
      <c r="J35" s="2"/>
      <c r="K35" s="2"/>
      <c r="L35" s="8"/>
    </row>
    <row r="36" spans="2:18">
      <c r="C36" s="12"/>
      <c r="D36" s="12"/>
      <c r="E36" s="12"/>
      <c r="F36" s="12"/>
      <c r="G36" s="12"/>
      <c r="H36" s="7"/>
      <c r="I36" s="7"/>
      <c r="J36" s="14"/>
      <c r="L36" s="14"/>
      <c r="M36" s="15"/>
      <c r="N36" s="7"/>
      <c r="O36" s="7"/>
      <c r="P36" s="7"/>
    </row>
    <row r="37" spans="2:18">
      <c r="B37" s="16"/>
      <c r="C37" s="12"/>
      <c r="D37" s="12"/>
      <c r="E37" s="12"/>
      <c r="F37" s="12"/>
      <c r="G37" s="12"/>
      <c r="J37" s="2"/>
      <c r="L37" s="2"/>
      <c r="M37" s="8"/>
    </row>
    <row r="38" spans="2:18">
      <c r="B38" s="16"/>
      <c r="C38" s="12"/>
      <c r="D38" s="12"/>
      <c r="E38" s="12"/>
      <c r="F38" s="12"/>
      <c r="G38" s="12"/>
    </row>
    <row r="39" spans="2:18">
      <c r="B39" s="16"/>
      <c r="C39" s="12"/>
      <c r="D39" s="12"/>
      <c r="E39" s="12"/>
      <c r="F39" s="12"/>
      <c r="G39" s="12"/>
      <c r="J39" s="2"/>
      <c r="L39" s="2"/>
    </row>
    <row r="40" spans="2:18">
      <c r="C40" s="12"/>
      <c r="D40" s="12"/>
      <c r="E40" s="12"/>
      <c r="F40" s="12"/>
      <c r="G40" s="12"/>
      <c r="J40" s="2"/>
      <c r="L40" s="2"/>
    </row>
    <row r="41" spans="2:18">
      <c r="C41" s="12"/>
      <c r="D41" s="12"/>
      <c r="E41" s="12"/>
      <c r="F41" s="12"/>
      <c r="G41" s="12"/>
      <c r="J41" s="2"/>
      <c r="L41" s="2"/>
      <c r="O41" s="7"/>
    </row>
    <row r="42" spans="2:18">
      <c r="C42" s="12"/>
      <c r="D42" s="12"/>
      <c r="E42" s="12"/>
      <c r="F42" s="12"/>
      <c r="G42" s="12"/>
      <c r="J42" s="2"/>
      <c r="L42" s="2"/>
      <c r="O42" s="7"/>
    </row>
    <row r="43" spans="2:18">
      <c r="C43" s="12"/>
      <c r="D43" s="12"/>
      <c r="E43" s="12"/>
      <c r="F43" s="12"/>
      <c r="G43" s="12"/>
      <c r="J43" s="2"/>
      <c r="L43" s="11"/>
      <c r="M43" s="10"/>
      <c r="N43" s="10"/>
      <c r="O43" s="10"/>
      <c r="P43" s="10"/>
      <c r="Q43" s="10"/>
      <c r="R43" s="10"/>
    </row>
    <row r="44" spans="2:18">
      <c r="J44" s="2"/>
      <c r="L44" s="11"/>
      <c r="M44" s="10"/>
      <c r="N44" s="10"/>
      <c r="O44" s="10"/>
      <c r="P44" s="10"/>
      <c r="Q44" s="10"/>
      <c r="R44" s="10"/>
    </row>
    <row r="45" spans="2:18">
      <c r="J45" s="2"/>
      <c r="L45" s="2"/>
      <c r="M45" s="8"/>
      <c r="Q45" s="10"/>
      <c r="R45" s="10"/>
    </row>
    <row r="46" spans="2:18">
      <c r="Q46" s="10"/>
      <c r="R46" s="10"/>
    </row>
    <row r="47" spans="2:18">
      <c r="J47" s="2"/>
      <c r="L47" s="2"/>
      <c r="Q47" s="10"/>
      <c r="R47" s="10"/>
    </row>
    <row r="48" spans="2:18">
      <c r="J48" s="2"/>
      <c r="L48" s="2"/>
      <c r="O48" s="7"/>
      <c r="Q48" s="10"/>
      <c r="R48" s="10"/>
    </row>
    <row r="49" spans="10:18">
      <c r="J49" s="2"/>
      <c r="L49" s="11"/>
      <c r="M49" s="10"/>
      <c r="N49" s="10"/>
      <c r="O49" s="10"/>
      <c r="P49" s="10"/>
      <c r="Q49" s="10"/>
      <c r="R49" s="10"/>
    </row>
    <row r="50" spans="10:18">
      <c r="J50" s="2"/>
      <c r="L50" s="11"/>
      <c r="M50" s="10"/>
      <c r="N50" s="10"/>
      <c r="O50" s="10"/>
      <c r="P50" s="10"/>
      <c r="Q50" s="10"/>
      <c r="R50" s="10"/>
    </row>
    <row r="51" spans="10:18">
      <c r="J51" s="2"/>
      <c r="L51" s="11"/>
      <c r="M51" s="10"/>
      <c r="N51" s="10"/>
      <c r="O51" s="10"/>
      <c r="P51" s="10"/>
      <c r="Q51" s="10"/>
      <c r="R51" s="10"/>
    </row>
    <row r="52" spans="10:18">
      <c r="J52" s="2"/>
      <c r="L52" s="11"/>
      <c r="M52" s="10"/>
      <c r="N52" s="10"/>
      <c r="O52" s="10"/>
      <c r="P52" s="10"/>
      <c r="Q52" s="10"/>
      <c r="R52" s="10"/>
    </row>
    <row r="53" spans="10:18">
      <c r="J53" s="2"/>
      <c r="L53" s="11"/>
      <c r="M53" s="10"/>
      <c r="N53" s="10"/>
      <c r="O53" s="10"/>
      <c r="P53" s="10"/>
      <c r="Q53" s="10"/>
      <c r="R53" s="10"/>
    </row>
    <row r="54" spans="10:18">
      <c r="J54" s="2"/>
      <c r="L54" s="11"/>
      <c r="M54" s="10"/>
      <c r="N54" s="10"/>
      <c r="O54" s="10"/>
      <c r="P54" s="10"/>
      <c r="Q54" s="10"/>
      <c r="R54" s="10"/>
    </row>
    <row r="55" spans="10:18">
      <c r="J55" s="2"/>
      <c r="L55" s="11"/>
      <c r="M55" s="10"/>
      <c r="N55" s="10"/>
      <c r="O55" s="10"/>
      <c r="P55" s="10"/>
      <c r="Q55" s="10"/>
      <c r="R55" s="10"/>
    </row>
    <row r="56" spans="10:18">
      <c r="J56" s="2"/>
      <c r="L56" s="11"/>
      <c r="M56" s="10"/>
      <c r="N56" s="10"/>
      <c r="O56" s="10"/>
      <c r="P56" s="10"/>
      <c r="Q56" s="10"/>
      <c r="R56" s="10"/>
    </row>
    <row r="57" spans="10:18">
      <c r="J57" s="2"/>
      <c r="L57" s="11"/>
      <c r="M57" s="10"/>
      <c r="N57" s="10"/>
      <c r="O57" s="10"/>
      <c r="P57" s="10"/>
      <c r="Q57" s="10"/>
      <c r="R57" s="10"/>
    </row>
    <row r="58" spans="10:18">
      <c r="J58" s="2"/>
      <c r="L58" s="11"/>
      <c r="M58" s="10"/>
      <c r="N58" s="10"/>
      <c r="O58" s="10"/>
      <c r="P58" s="10"/>
      <c r="Q58" s="10"/>
      <c r="R58" s="10"/>
    </row>
    <row r="59" spans="10:18">
      <c r="J59" s="2"/>
      <c r="L59" s="11"/>
      <c r="M59" s="10"/>
      <c r="N59" s="10"/>
      <c r="O59" s="10"/>
      <c r="P59" s="10"/>
      <c r="Q59" s="10"/>
      <c r="R59" s="10"/>
    </row>
    <row r="60" spans="10:18">
      <c r="J60" s="2"/>
      <c r="L60" s="11"/>
      <c r="M60" s="10"/>
      <c r="N60" s="10"/>
      <c r="O60" s="10"/>
      <c r="P60" s="10"/>
      <c r="Q60" s="10"/>
      <c r="R60" s="10"/>
    </row>
    <row r="61" spans="10:18">
      <c r="J61" s="2"/>
      <c r="L61" s="11"/>
      <c r="M61" s="10"/>
      <c r="N61" s="10"/>
      <c r="O61" s="10"/>
      <c r="P61" s="10"/>
      <c r="Q61" s="10"/>
      <c r="R61" s="10"/>
    </row>
    <row r="62" spans="10:18">
      <c r="J62" s="2"/>
      <c r="L62" s="11"/>
      <c r="M62" s="10"/>
      <c r="N62" s="10"/>
      <c r="O62" s="10"/>
      <c r="P62" s="10"/>
      <c r="Q62" s="10"/>
      <c r="R62" s="10"/>
    </row>
    <row r="63" spans="10:18">
      <c r="J63" s="2"/>
      <c r="L63" s="11"/>
      <c r="M63" s="10"/>
      <c r="N63" s="10"/>
      <c r="O63" s="10"/>
      <c r="P63" s="10"/>
      <c r="Q63" s="10"/>
      <c r="R63" s="10"/>
    </row>
    <row r="64" spans="10:18">
      <c r="J64" s="2"/>
      <c r="L64" s="9"/>
      <c r="M64" s="9"/>
      <c r="N64" s="9"/>
      <c r="P64" s="9"/>
      <c r="Q64" s="9"/>
      <c r="R64" s="9"/>
    </row>
    <row r="65" spans="10:18">
      <c r="L65" s="2"/>
      <c r="M65" s="11"/>
      <c r="N65" s="10"/>
      <c r="Q65" s="9"/>
      <c r="R65" s="9"/>
    </row>
    <row r="66" spans="10:18">
      <c r="L66" s="2"/>
      <c r="M66" s="2"/>
    </row>
    <row r="67" spans="10:18">
      <c r="J67" s="2"/>
      <c r="L67" s="2"/>
      <c r="M67" s="2"/>
    </row>
    <row r="69" spans="10:18">
      <c r="J69" s="2"/>
      <c r="K69" s="2"/>
    </row>
    <row r="70" spans="10:18">
      <c r="J70" s="2"/>
      <c r="K70" s="2"/>
    </row>
    <row r="71" spans="10:18">
      <c r="K71" s="2"/>
    </row>
    <row r="72" spans="10:18">
      <c r="J72" s="2"/>
      <c r="K72" s="2"/>
    </row>
    <row r="73" spans="10:18">
      <c r="J73" s="2"/>
      <c r="K73" s="2"/>
    </row>
    <row r="74" spans="10:18">
      <c r="J74" s="2"/>
      <c r="K74" s="2"/>
    </row>
    <row r="75" spans="10:18">
      <c r="J75" s="2"/>
      <c r="K75" s="2"/>
    </row>
    <row r="76" spans="10:18">
      <c r="J76" s="2"/>
      <c r="K76" s="2"/>
    </row>
    <row r="77" spans="10:18">
      <c r="J77" s="2"/>
      <c r="K77" s="2"/>
    </row>
    <row r="78" spans="10:18">
      <c r="J78" s="2"/>
      <c r="K78" s="2"/>
    </row>
    <row r="79" spans="10:18">
      <c r="J79" s="2"/>
      <c r="K79" s="2"/>
    </row>
    <row r="80" spans="10:18">
      <c r="J80" s="2"/>
      <c r="K80" s="2"/>
    </row>
    <row r="81" spans="10:11">
      <c r="J81" s="2"/>
      <c r="K81" s="2"/>
    </row>
    <row r="82" spans="10:11">
      <c r="J82" s="2"/>
      <c r="K82" s="2"/>
    </row>
    <row r="83" spans="10:11">
      <c r="J83" s="2"/>
      <c r="K83" s="2"/>
    </row>
    <row r="84" spans="10:11">
      <c r="J84" s="2"/>
      <c r="K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15.5.1.1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2026-03-03T06:11:46Z</dcterms:modified>
</cp:coreProperties>
</file>