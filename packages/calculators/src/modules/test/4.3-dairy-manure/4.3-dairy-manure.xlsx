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444CD364-E367-7045-9003-3EDC8587833E}" xr6:coauthVersionLast="47" xr6:coauthVersionMax="47" xr10:uidLastSave="{00000000-0000-0000-0000-000000000000}"/>
  <bookViews>
    <workbookView xWindow="0" yWindow="660" windowWidth="28800" windowHeight="18000" activeTab="3" xr2:uid="{9D7E5AC2-437F-944D-8ABA-ECC0F30555EE}"/>
  </bookViews>
  <sheets>
    <sheet name="Constants" sheetId="1" r:id="rId1"/>
    <sheet name="Input Scenarios" sheetId="2" r:id="rId2"/>
    <sheet name="4.3.1.1" sheetId="3" r:id="rId3"/>
    <sheet name="4.3.1.2" sheetId="8" r:id="rId4"/>
    <sheet name="4.3.1.3" sheetId="5" r:id="rId5"/>
    <sheet name="4.3.1.4" sheetId="9" r:id="rId6"/>
    <sheet name="4.3.1.5" sheetId="6" r:id="rId7"/>
    <sheet name="4.3.1.6" sheetId="10" r:id="rId8"/>
    <sheet name="4.3.1.7" sheetId="7" r:id="rId9"/>
    <sheet name="4.3.1.8" sheetId="11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50" i="1" l="1"/>
  <c r="AZ63" i="5"/>
  <c r="AZ62" i="5"/>
  <c r="AZ61" i="5"/>
  <c r="AZ60" i="5"/>
  <c r="AZ59" i="5"/>
  <c r="AZ58" i="5"/>
  <c r="AZ57" i="5"/>
  <c r="AZ56" i="5"/>
  <c r="AZ55" i="5"/>
  <c r="AZ54" i="5"/>
  <c r="AZ53" i="5"/>
  <c r="AZ52" i="5"/>
  <c r="AZ51" i="5"/>
  <c r="AZ50" i="5"/>
  <c r="AZ49" i="5"/>
  <c r="AZ48" i="5"/>
  <c r="AZ47" i="5"/>
  <c r="AZ46" i="5"/>
  <c r="AZ45" i="5"/>
  <c r="AZ44" i="5"/>
  <c r="AZ43" i="5"/>
  <c r="AZ42" i="5"/>
  <c r="AZ41" i="5"/>
  <c r="AZ40" i="5"/>
  <c r="AZ3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9" i="5"/>
  <c r="AZ8" i="5"/>
  <c r="AZ63" i="9"/>
  <c r="AZ62" i="9"/>
  <c r="AZ61" i="9"/>
  <c r="AZ60" i="9"/>
  <c r="AZ59" i="9"/>
  <c r="AZ58" i="9"/>
  <c r="AZ57" i="9"/>
  <c r="AZ56" i="9"/>
  <c r="AZ55" i="9"/>
  <c r="AZ54" i="9"/>
  <c r="AZ53" i="9"/>
  <c r="AZ52" i="9"/>
  <c r="AZ51" i="9"/>
  <c r="AZ50" i="9"/>
  <c r="AZ49" i="9"/>
  <c r="AZ48" i="9"/>
  <c r="AZ47" i="9"/>
  <c r="AZ46" i="9"/>
  <c r="AZ45" i="9"/>
  <c r="AZ44" i="9"/>
  <c r="AZ43" i="9"/>
  <c r="AZ42" i="9"/>
  <c r="AZ41" i="9"/>
  <c r="AZ40" i="9"/>
  <c r="AZ39" i="9"/>
  <c r="AZ38" i="9"/>
  <c r="AZ37" i="9"/>
  <c r="AZ36" i="9"/>
  <c r="AZ35" i="9"/>
  <c r="AZ34" i="9"/>
  <c r="AZ33" i="9"/>
  <c r="AZ32" i="9"/>
  <c r="AZ31" i="9"/>
  <c r="AZ30" i="9"/>
  <c r="AZ29" i="9"/>
  <c r="AZ28" i="9"/>
  <c r="AZ27" i="9"/>
  <c r="AZ26" i="9"/>
  <c r="AZ25" i="9"/>
  <c r="AZ24" i="9"/>
  <c r="AZ23" i="9"/>
  <c r="AZ22" i="9"/>
  <c r="AZ21" i="9"/>
  <c r="AZ20" i="9"/>
  <c r="AZ19" i="9"/>
  <c r="AZ18" i="9"/>
  <c r="AZ17" i="9"/>
  <c r="AZ16" i="9"/>
  <c r="AZ15" i="9"/>
  <c r="AZ14" i="9"/>
  <c r="AZ13" i="9"/>
  <c r="AZ12" i="9"/>
  <c r="AZ11" i="9"/>
  <c r="AZ10" i="9"/>
  <c r="AZ9" i="9"/>
  <c r="AZ8" i="9"/>
  <c r="AZ63" i="6"/>
  <c r="AZ62" i="6"/>
  <c r="AZ61" i="6"/>
  <c r="AZ60" i="6"/>
  <c r="AZ59" i="6"/>
  <c r="AZ58" i="6"/>
  <c r="AZ57" i="6"/>
  <c r="AZ56" i="6"/>
  <c r="AZ55" i="6"/>
  <c r="AZ54" i="6"/>
  <c r="AZ53" i="6"/>
  <c r="AZ52" i="6"/>
  <c r="AZ51" i="6"/>
  <c r="AZ50" i="6"/>
  <c r="AZ49" i="6"/>
  <c r="AZ48" i="6"/>
  <c r="AZ47" i="6"/>
  <c r="AZ46" i="6"/>
  <c r="AZ45" i="6"/>
  <c r="AZ44" i="6"/>
  <c r="AZ43" i="6"/>
  <c r="AZ42" i="6"/>
  <c r="AZ41" i="6"/>
  <c r="AZ40" i="6"/>
  <c r="AZ39" i="6"/>
  <c r="AZ38" i="6"/>
  <c r="AZ37" i="6"/>
  <c r="AZ36" i="6"/>
  <c r="AZ35" i="6"/>
  <c r="AZ34" i="6"/>
  <c r="AZ33" i="6"/>
  <c r="AZ32" i="6"/>
  <c r="AZ31" i="6"/>
  <c r="AZ30" i="6"/>
  <c r="AZ29" i="6"/>
  <c r="AZ28" i="6"/>
  <c r="AZ27" i="6"/>
  <c r="AZ26" i="6"/>
  <c r="AZ25" i="6"/>
  <c r="AZ24" i="6"/>
  <c r="AZ23" i="6"/>
  <c r="AZ22" i="6"/>
  <c r="AZ21" i="6"/>
  <c r="AZ20" i="6"/>
  <c r="AZ19" i="6"/>
  <c r="AZ18" i="6"/>
  <c r="AZ17" i="6"/>
  <c r="AZ16" i="6"/>
  <c r="AZ15" i="6"/>
  <c r="AZ14" i="6"/>
  <c r="AZ13" i="6"/>
  <c r="AZ12" i="6"/>
  <c r="AZ11" i="6"/>
  <c r="AZ10" i="6"/>
  <c r="AZ9" i="6"/>
  <c r="AZ8" i="6"/>
  <c r="AZ63" i="10"/>
  <c r="AZ62" i="10"/>
  <c r="AZ61" i="10"/>
  <c r="AZ60" i="10"/>
  <c r="AZ59" i="10"/>
  <c r="AZ58" i="10"/>
  <c r="AZ57" i="10"/>
  <c r="AZ56" i="10"/>
  <c r="AZ55" i="10"/>
  <c r="AZ54" i="10"/>
  <c r="AZ53" i="10"/>
  <c r="AZ52" i="10"/>
  <c r="AZ51" i="10"/>
  <c r="AZ50" i="10"/>
  <c r="AZ49" i="10"/>
  <c r="AZ48" i="10"/>
  <c r="AZ47" i="10"/>
  <c r="AZ46" i="10"/>
  <c r="AZ45" i="10"/>
  <c r="AZ44" i="10"/>
  <c r="AZ43" i="10"/>
  <c r="AZ42" i="10"/>
  <c r="AZ41" i="10"/>
  <c r="AZ40" i="10"/>
  <c r="AZ39" i="10"/>
  <c r="AZ38" i="10"/>
  <c r="AZ37" i="10"/>
  <c r="AZ36" i="10"/>
  <c r="AZ35" i="10"/>
  <c r="AZ34" i="10"/>
  <c r="AZ33" i="10"/>
  <c r="AZ32" i="10"/>
  <c r="AZ31" i="10"/>
  <c r="AZ30" i="10"/>
  <c r="AZ29" i="10"/>
  <c r="AZ28" i="10"/>
  <c r="AZ27" i="10"/>
  <c r="AZ26" i="10"/>
  <c r="AZ25" i="10"/>
  <c r="AZ24" i="10"/>
  <c r="AZ23" i="10"/>
  <c r="AZ22" i="10"/>
  <c r="AZ21" i="10"/>
  <c r="AZ20" i="10"/>
  <c r="AZ19" i="10"/>
  <c r="AZ18" i="10"/>
  <c r="AZ17" i="10"/>
  <c r="AZ16" i="10"/>
  <c r="AZ15" i="10"/>
  <c r="AZ14" i="10"/>
  <c r="AZ13" i="10"/>
  <c r="AZ12" i="10"/>
  <c r="AZ11" i="10"/>
  <c r="AZ10" i="10"/>
  <c r="AZ9" i="10"/>
  <c r="AZ8" i="10"/>
  <c r="AZ63" i="11"/>
  <c r="AZ62" i="11"/>
  <c r="AZ61" i="11"/>
  <c r="AZ60" i="11"/>
  <c r="AZ59" i="11"/>
  <c r="AZ58" i="11"/>
  <c r="AZ57" i="11"/>
  <c r="AZ56" i="11"/>
  <c r="AZ55" i="11"/>
  <c r="AZ54" i="11"/>
  <c r="AZ53" i="11"/>
  <c r="AZ52" i="11"/>
  <c r="AZ51" i="11"/>
  <c r="AZ50" i="11"/>
  <c r="AZ49" i="11"/>
  <c r="AZ48" i="11"/>
  <c r="AZ47" i="11"/>
  <c r="AZ46" i="11"/>
  <c r="AZ45" i="11"/>
  <c r="AZ44" i="11"/>
  <c r="AZ43" i="11"/>
  <c r="AZ42" i="11"/>
  <c r="AZ41" i="11"/>
  <c r="AZ40" i="11"/>
  <c r="AZ39" i="11"/>
  <c r="AZ38" i="11"/>
  <c r="AZ37" i="11"/>
  <c r="AZ36" i="11"/>
  <c r="AZ35" i="11"/>
  <c r="AZ34" i="11"/>
  <c r="AZ33" i="11"/>
  <c r="AZ32" i="11"/>
  <c r="AZ31" i="11"/>
  <c r="AZ30" i="11"/>
  <c r="AZ29" i="11"/>
  <c r="AZ28" i="11"/>
  <c r="AZ27" i="11"/>
  <c r="AZ26" i="11"/>
  <c r="AZ25" i="11"/>
  <c r="AZ24" i="11"/>
  <c r="AZ23" i="11"/>
  <c r="AZ22" i="11"/>
  <c r="AZ21" i="11"/>
  <c r="AZ20" i="11"/>
  <c r="AZ19" i="11"/>
  <c r="AZ18" i="11"/>
  <c r="AZ17" i="11"/>
  <c r="AZ16" i="11"/>
  <c r="AZ15" i="11"/>
  <c r="AZ14" i="11"/>
  <c r="AZ13" i="11"/>
  <c r="AZ12" i="11"/>
  <c r="AZ11" i="11"/>
  <c r="AZ10" i="11"/>
  <c r="AZ9" i="11"/>
  <c r="AZ8" i="11"/>
  <c r="AZ57" i="7"/>
  <c r="AZ58" i="7"/>
  <c r="AZ59" i="7"/>
  <c r="AZ60" i="7"/>
  <c r="AZ61" i="7"/>
  <c r="AZ62" i="7"/>
  <c r="AZ63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51" i="7"/>
  <c r="AZ52" i="7"/>
  <c r="AZ53" i="7"/>
  <c r="AZ54" i="7"/>
  <c r="AZ55" i="7"/>
  <c r="AZ56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9" i="7"/>
  <c r="AZ10" i="7"/>
  <c r="AZ11" i="7"/>
  <c r="AZ12" i="7"/>
  <c r="AZ13" i="7"/>
  <c r="AZ14" i="7"/>
  <c r="AZ8" i="7"/>
  <c r="AJ63" i="8"/>
  <c r="AI63" i="8"/>
  <c r="AH63" i="8"/>
  <c r="AG63" i="8"/>
  <c r="AF63" i="8"/>
  <c r="AJ62" i="8"/>
  <c r="AI62" i="8"/>
  <c r="AH62" i="8"/>
  <c r="AG62" i="8"/>
  <c r="AF62" i="8"/>
  <c r="AJ61" i="8"/>
  <c r="AI61" i="8"/>
  <c r="AH61" i="8"/>
  <c r="AG61" i="8"/>
  <c r="AF61" i="8"/>
  <c r="AJ60" i="8"/>
  <c r="AI60" i="8"/>
  <c r="AH60" i="8"/>
  <c r="AG60" i="8"/>
  <c r="AF60" i="8"/>
  <c r="AJ59" i="8"/>
  <c r="AI59" i="8"/>
  <c r="AH59" i="8"/>
  <c r="AG59" i="8"/>
  <c r="AF59" i="8"/>
  <c r="AJ58" i="8"/>
  <c r="AI58" i="8"/>
  <c r="AH58" i="8"/>
  <c r="AG58" i="8"/>
  <c r="AF58" i="8"/>
  <c r="AJ57" i="8"/>
  <c r="AI57" i="8"/>
  <c r="AH57" i="8"/>
  <c r="AG57" i="8"/>
  <c r="AF57" i="8"/>
  <c r="AJ56" i="8"/>
  <c r="AI56" i="8"/>
  <c r="AH56" i="8"/>
  <c r="AG56" i="8"/>
  <c r="AF56" i="8"/>
  <c r="AJ55" i="8"/>
  <c r="AI55" i="8"/>
  <c r="AH55" i="8"/>
  <c r="AG55" i="8"/>
  <c r="AF55" i="8"/>
  <c r="AJ54" i="8"/>
  <c r="AI54" i="8"/>
  <c r="AH54" i="8"/>
  <c r="AG54" i="8"/>
  <c r="AF54" i="8"/>
  <c r="AJ53" i="8"/>
  <c r="AI53" i="8"/>
  <c r="AH53" i="8"/>
  <c r="AG53" i="8"/>
  <c r="AF53" i="8"/>
  <c r="AJ52" i="8"/>
  <c r="AI52" i="8"/>
  <c r="AH52" i="8"/>
  <c r="AG52" i="8"/>
  <c r="AF52" i="8"/>
  <c r="AJ51" i="8"/>
  <c r="AI51" i="8"/>
  <c r="AH51" i="8"/>
  <c r="AG51" i="8"/>
  <c r="AF51" i="8"/>
  <c r="AJ50" i="8"/>
  <c r="AI50" i="8"/>
  <c r="AH50" i="8"/>
  <c r="AG50" i="8"/>
  <c r="AF50" i="8"/>
  <c r="AJ49" i="8"/>
  <c r="AI49" i="8"/>
  <c r="AH49" i="8"/>
  <c r="AG49" i="8"/>
  <c r="AF49" i="8"/>
  <c r="AJ48" i="8"/>
  <c r="AI48" i="8"/>
  <c r="AH48" i="8"/>
  <c r="AG48" i="8"/>
  <c r="AF48" i="8"/>
  <c r="AJ47" i="8"/>
  <c r="AI47" i="8"/>
  <c r="AH47" i="8"/>
  <c r="AG47" i="8"/>
  <c r="AF47" i="8"/>
  <c r="AJ46" i="8"/>
  <c r="AI46" i="8"/>
  <c r="AH46" i="8"/>
  <c r="AG46" i="8"/>
  <c r="AF46" i="8"/>
  <c r="AJ45" i="8"/>
  <c r="AI45" i="8"/>
  <c r="AH45" i="8"/>
  <c r="AG45" i="8"/>
  <c r="AF45" i="8"/>
  <c r="AJ44" i="8"/>
  <c r="AI44" i="8"/>
  <c r="AH44" i="8"/>
  <c r="AG44" i="8"/>
  <c r="AF44" i="8"/>
  <c r="AJ43" i="8"/>
  <c r="AI43" i="8"/>
  <c r="AH43" i="8"/>
  <c r="AG43" i="8"/>
  <c r="AF43" i="8"/>
  <c r="AJ42" i="8"/>
  <c r="AI42" i="8"/>
  <c r="AH42" i="8"/>
  <c r="AG42" i="8"/>
  <c r="AF42" i="8"/>
  <c r="AJ41" i="8"/>
  <c r="AI41" i="8"/>
  <c r="AH41" i="8"/>
  <c r="AG41" i="8"/>
  <c r="AF41" i="8"/>
  <c r="AJ40" i="8"/>
  <c r="AI40" i="8"/>
  <c r="AH40" i="8"/>
  <c r="AG40" i="8"/>
  <c r="AF40" i="8"/>
  <c r="AJ39" i="8"/>
  <c r="AI39" i="8"/>
  <c r="AH39" i="8"/>
  <c r="AG39" i="8"/>
  <c r="AF39" i="8"/>
  <c r="AJ38" i="8"/>
  <c r="AI38" i="8"/>
  <c r="AH38" i="8"/>
  <c r="AG38" i="8"/>
  <c r="AF38" i="8"/>
  <c r="AJ37" i="8"/>
  <c r="AI37" i="8"/>
  <c r="AH37" i="8"/>
  <c r="AG37" i="8"/>
  <c r="AF37" i="8"/>
  <c r="AJ36" i="8"/>
  <c r="AI36" i="8"/>
  <c r="AH36" i="8"/>
  <c r="AG36" i="8"/>
  <c r="AF36" i="8"/>
  <c r="AJ35" i="8"/>
  <c r="AI35" i="8"/>
  <c r="AH35" i="8"/>
  <c r="AG35" i="8"/>
  <c r="AF35" i="8"/>
  <c r="AJ34" i="8"/>
  <c r="AI34" i="8"/>
  <c r="AH34" i="8"/>
  <c r="AG34" i="8"/>
  <c r="AF34" i="8"/>
  <c r="AJ33" i="8"/>
  <c r="AI33" i="8"/>
  <c r="AH33" i="8"/>
  <c r="AG33" i="8"/>
  <c r="AF33" i="8"/>
  <c r="AJ32" i="8"/>
  <c r="AI32" i="8"/>
  <c r="AH32" i="8"/>
  <c r="AG32" i="8"/>
  <c r="AF32" i="8"/>
  <c r="AJ31" i="8"/>
  <c r="AI31" i="8"/>
  <c r="AH31" i="8"/>
  <c r="AG31" i="8"/>
  <c r="AF31" i="8"/>
  <c r="AJ30" i="8"/>
  <c r="AI30" i="8"/>
  <c r="AH30" i="8"/>
  <c r="AG30" i="8"/>
  <c r="AF30" i="8"/>
  <c r="AJ29" i="8"/>
  <c r="AI29" i="8"/>
  <c r="AH29" i="8"/>
  <c r="AG29" i="8"/>
  <c r="AF29" i="8"/>
  <c r="AJ28" i="8"/>
  <c r="AI28" i="8"/>
  <c r="AH28" i="8"/>
  <c r="AG28" i="8"/>
  <c r="AF28" i="8"/>
  <c r="AJ27" i="8"/>
  <c r="AI27" i="8"/>
  <c r="AH27" i="8"/>
  <c r="AG27" i="8"/>
  <c r="AF27" i="8"/>
  <c r="AJ26" i="8"/>
  <c r="AI26" i="8"/>
  <c r="AH26" i="8"/>
  <c r="AG26" i="8"/>
  <c r="AF26" i="8"/>
  <c r="AJ25" i="8"/>
  <c r="AI25" i="8"/>
  <c r="AH25" i="8"/>
  <c r="AG25" i="8"/>
  <c r="AF25" i="8"/>
  <c r="AJ24" i="8"/>
  <c r="AI24" i="8"/>
  <c r="AH24" i="8"/>
  <c r="AG24" i="8"/>
  <c r="AF24" i="8"/>
  <c r="AJ23" i="8"/>
  <c r="AI23" i="8"/>
  <c r="AH23" i="8"/>
  <c r="AG23" i="8"/>
  <c r="AF23" i="8"/>
  <c r="AJ22" i="8"/>
  <c r="AI22" i="8"/>
  <c r="AH22" i="8"/>
  <c r="AG22" i="8"/>
  <c r="AF22" i="8"/>
  <c r="AJ21" i="8"/>
  <c r="AI21" i="8"/>
  <c r="AH21" i="8"/>
  <c r="AG21" i="8"/>
  <c r="AF21" i="8"/>
  <c r="AJ20" i="8"/>
  <c r="AI20" i="8"/>
  <c r="AH20" i="8"/>
  <c r="AG20" i="8"/>
  <c r="AF20" i="8"/>
  <c r="AJ19" i="8"/>
  <c r="AI19" i="8"/>
  <c r="AH19" i="8"/>
  <c r="AG19" i="8"/>
  <c r="AF19" i="8"/>
  <c r="AJ18" i="8"/>
  <c r="AI18" i="8"/>
  <c r="AH18" i="8"/>
  <c r="AG18" i="8"/>
  <c r="AF18" i="8"/>
  <c r="AJ17" i="8"/>
  <c r="AI17" i="8"/>
  <c r="AH17" i="8"/>
  <c r="AG17" i="8"/>
  <c r="AF17" i="8"/>
  <c r="AJ16" i="8"/>
  <c r="AI16" i="8"/>
  <c r="AH16" i="8"/>
  <c r="AG16" i="8"/>
  <c r="AF16" i="8"/>
  <c r="AJ15" i="8"/>
  <c r="AI15" i="8"/>
  <c r="AH15" i="8"/>
  <c r="AG15" i="8"/>
  <c r="AF15" i="8"/>
  <c r="AJ14" i="8"/>
  <c r="AI14" i="8"/>
  <c r="AH14" i="8"/>
  <c r="AG14" i="8"/>
  <c r="AF14" i="8"/>
  <c r="AJ13" i="8"/>
  <c r="AI13" i="8"/>
  <c r="AH13" i="8"/>
  <c r="AG13" i="8"/>
  <c r="AF13" i="8"/>
  <c r="AJ12" i="8"/>
  <c r="AI12" i="8"/>
  <c r="AH12" i="8"/>
  <c r="AG12" i="8"/>
  <c r="AF12" i="8"/>
  <c r="AJ11" i="8"/>
  <c r="AI11" i="8"/>
  <c r="AH11" i="8"/>
  <c r="AG11" i="8"/>
  <c r="AF11" i="8"/>
  <c r="AJ10" i="8"/>
  <c r="AI10" i="8"/>
  <c r="AH10" i="8"/>
  <c r="AG10" i="8"/>
  <c r="AF10" i="8"/>
  <c r="AJ9" i="8"/>
  <c r="AI9" i="8"/>
  <c r="AH9" i="8"/>
  <c r="AG9" i="8"/>
  <c r="AF9" i="8"/>
  <c r="AJ8" i="8"/>
  <c r="AI8" i="8"/>
  <c r="AH8" i="8"/>
  <c r="AG8" i="8"/>
  <c r="AF8" i="8"/>
  <c r="AF57" i="3"/>
  <c r="AG57" i="3"/>
  <c r="AH57" i="3"/>
  <c r="AI57" i="3"/>
  <c r="AJ57" i="3"/>
  <c r="AF58" i="3"/>
  <c r="AG58" i="3"/>
  <c r="AH58" i="3"/>
  <c r="AI58" i="3"/>
  <c r="AJ58" i="3"/>
  <c r="AF59" i="3"/>
  <c r="AG59" i="3"/>
  <c r="AH59" i="3"/>
  <c r="AI59" i="3"/>
  <c r="AJ59" i="3"/>
  <c r="AF60" i="3"/>
  <c r="AG60" i="3"/>
  <c r="AH60" i="3"/>
  <c r="AI60" i="3"/>
  <c r="AJ60" i="3"/>
  <c r="AF61" i="3"/>
  <c r="AG61" i="3"/>
  <c r="AH61" i="3"/>
  <c r="AI61" i="3"/>
  <c r="AJ61" i="3"/>
  <c r="AF62" i="3"/>
  <c r="AG62" i="3"/>
  <c r="AH62" i="3"/>
  <c r="AI62" i="3"/>
  <c r="AJ62" i="3"/>
  <c r="AF63" i="3"/>
  <c r="AG63" i="3"/>
  <c r="AH63" i="3"/>
  <c r="AI63" i="3"/>
  <c r="AJ63" i="3"/>
  <c r="AF36" i="3"/>
  <c r="AG36" i="3"/>
  <c r="AH36" i="3"/>
  <c r="AI36" i="3"/>
  <c r="AJ36" i="3"/>
  <c r="AF37" i="3"/>
  <c r="AG37" i="3"/>
  <c r="AH37" i="3"/>
  <c r="AI37" i="3"/>
  <c r="AJ37" i="3"/>
  <c r="AF38" i="3"/>
  <c r="AG38" i="3"/>
  <c r="AH38" i="3"/>
  <c r="AI38" i="3"/>
  <c r="AJ38" i="3"/>
  <c r="AF39" i="3"/>
  <c r="AG39" i="3"/>
  <c r="AH39" i="3"/>
  <c r="AI39" i="3"/>
  <c r="AJ39" i="3"/>
  <c r="AF40" i="3"/>
  <c r="AG40" i="3"/>
  <c r="AH40" i="3"/>
  <c r="AI40" i="3"/>
  <c r="AJ40" i="3"/>
  <c r="AF41" i="3"/>
  <c r="AG41" i="3"/>
  <c r="AH41" i="3"/>
  <c r="AI41" i="3"/>
  <c r="AJ41" i="3"/>
  <c r="AF42" i="3"/>
  <c r="AG42" i="3"/>
  <c r="AH42" i="3"/>
  <c r="AI42" i="3"/>
  <c r="AJ42" i="3"/>
  <c r="AF43" i="3"/>
  <c r="AG43" i="3"/>
  <c r="AH43" i="3"/>
  <c r="AI43" i="3"/>
  <c r="AJ43" i="3"/>
  <c r="AF44" i="3"/>
  <c r="AG44" i="3"/>
  <c r="AH44" i="3"/>
  <c r="AI44" i="3"/>
  <c r="AJ44" i="3"/>
  <c r="AF45" i="3"/>
  <c r="AG45" i="3"/>
  <c r="AH45" i="3"/>
  <c r="AI45" i="3"/>
  <c r="AJ45" i="3"/>
  <c r="AF46" i="3"/>
  <c r="AG46" i="3"/>
  <c r="AH46" i="3"/>
  <c r="AI46" i="3"/>
  <c r="AJ46" i="3"/>
  <c r="AF47" i="3"/>
  <c r="AG47" i="3"/>
  <c r="AH47" i="3"/>
  <c r="AI47" i="3"/>
  <c r="AJ47" i="3"/>
  <c r="AF48" i="3"/>
  <c r="AG48" i="3"/>
  <c r="AH48" i="3"/>
  <c r="AI48" i="3"/>
  <c r="AJ48" i="3"/>
  <c r="AF49" i="3"/>
  <c r="AG49" i="3"/>
  <c r="AH49" i="3"/>
  <c r="AI49" i="3"/>
  <c r="AJ49" i="3"/>
  <c r="AF50" i="3"/>
  <c r="AG50" i="3"/>
  <c r="AH50" i="3"/>
  <c r="AI50" i="3"/>
  <c r="AJ50" i="3"/>
  <c r="AF51" i="3"/>
  <c r="AG51" i="3"/>
  <c r="AH51" i="3"/>
  <c r="AI51" i="3"/>
  <c r="AJ51" i="3"/>
  <c r="AF52" i="3"/>
  <c r="AG52" i="3"/>
  <c r="AH52" i="3"/>
  <c r="AI52" i="3"/>
  <c r="AJ52" i="3"/>
  <c r="AF53" i="3"/>
  <c r="AG53" i="3"/>
  <c r="AH53" i="3"/>
  <c r="AI53" i="3"/>
  <c r="AJ53" i="3"/>
  <c r="AF54" i="3"/>
  <c r="AG54" i="3"/>
  <c r="AH54" i="3"/>
  <c r="AI54" i="3"/>
  <c r="AJ54" i="3"/>
  <c r="AF55" i="3"/>
  <c r="AG55" i="3"/>
  <c r="AH55" i="3"/>
  <c r="AI55" i="3"/>
  <c r="AJ55" i="3"/>
  <c r="AF56" i="3"/>
  <c r="AG56" i="3"/>
  <c r="AH56" i="3"/>
  <c r="AI56" i="3"/>
  <c r="AJ56" i="3"/>
  <c r="AF15" i="3"/>
  <c r="AG15" i="3"/>
  <c r="AH15" i="3"/>
  <c r="AI15" i="3"/>
  <c r="AJ15" i="3"/>
  <c r="AF16" i="3"/>
  <c r="AG16" i="3"/>
  <c r="AH16" i="3"/>
  <c r="AI16" i="3"/>
  <c r="AJ16" i="3"/>
  <c r="AF17" i="3"/>
  <c r="AG17" i="3"/>
  <c r="AH17" i="3"/>
  <c r="AI17" i="3"/>
  <c r="AJ17" i="3"/>
  <c r="AF18" i="3"/>
  <c r="AG18" i="3"/>
  <c r="AH18" i="3"/>
  <c r="AI18" i="3"/>
  <c r="AJ18" i="3"/>
  <c r="AF19" i="3"/>
  <c r="AG19" i="3"/>
  <c r="AH19" i="3"/>
  <c r="AI19" i="3"/>
  <c r="AJ19" i="3"/>
  <c r="AF20" i="3"/>
  <c r="AG20" i="3"/>
  <c r="AH20" i="3"/>
  <c r="AI20" i="3"/>
  <c r="AJ20" i="3"/>
  <c r="AF21" i="3"/>
  <c r="AG21" i="3"/>
  <c r="AH21" i="3"/>
  <c r="AI21" i="3"/>
  <c r="AJ21" i="3"/>
  <c r="AF22" i="3"/>
  <c r="AG22" i="3"/>
  <c r="AH22" i="3"/>
  <c r="AI22" i="3"/>
  <c r="AJ22" i="3"/>
  <c r="AF23" i="3"/>
  <c r="AG23" i="3"/>
  <c r="AH23" i="3"/>
  <c r="AI23" i="3"/>
  <c r="AJ23" i="3"/>
  <c r="AF24" i="3"/>
  <c r="AG24" i="3"/>
  <c r="AH24" i="3"/>
  <c r="AI24" i="3"/>
  <c r="AJ24" i="3"/>
  <c r="AF25" i="3"/>
  <c r="AG25" i="3"/>
  <c r="AH25" i="3"/>
  <c r="AI25" i="3"/>
  <c r="AJ25" i="3"/>
  <c r="AF26" i="3"/>
  <c r="AG26" i="3"/>
  <c r="AH26" i="3"/>
  <c r="AI26" i="3"/>
  <c r="AJ26" i="3"/>
  <c r="AF27" i="3"/>
  <c r="AG27" i="3"/>
  <c r="AH27" i="3"/>
  <c r="AI27" i="3"/>
  <c r="AJ27" i="3"/>
  <c r="AF28" i="3"/>
  <c r="AG28" i="3"/>
  <c r="AH28" i="3"/>
  <c r="AI28" i="3"/>
  <c r="AJ28" i="3"/>
  <c r="AF29" i="3"/>
  <c r="AG29" i="3"/>
  <c r="AH29" i="3"/>
  <c r="AI29" i="3"/>
  <c r="AJ29" i="3"/>
  <c r="AF30" i="3"/>
  <c r="AG30" i="3"/>
  <c r="AH30" i="3"/>
  <c r="AI30" i="3"/>
  <c r="AJ30" i="3"/>
  <c r="AF31" i="3"/>
  <c r="AG31" i="3"/>
  <c r="AH31" i="3"/>
  <c r="AI31" i="3"/>
  <c r="AJ31" i="3"/>
  <c r="AF32" i="3"/>
  <c r="AG32" i="3"/>
  <c r="AH32" i="3"/>
  <c r="AI32" i="3"/>
  <c r="AJ32" i="3"/>
  <c r="AF33" i="3"/>
  <c r="AG33" i="3"/>
  <c r="AH33" i="3"/>
  <c r="AI33" i="3"/>
  <c r="AJ33" i="3"/>
  <c r="AF34" i="3"/>
  <c r="AG34" i="3"/>
  <c r="AH34" i="3"/>
  <c r="AI34" i="3"/>
  <c r="AJ34" i="3"/>
  <c r="AF35" i="3"/>
  <c r="AG35" i="3"/>
  <c r="AH35" i="3"/>
  <c r="AI35" i="3"/>
  <c r="AJ35" i="3"/>
  <c r="AF9" i="3"/>
  <c r="AG9" i="3"/>
  <c r="AH9" i="3"/>
  <c r="AI9" i="3"/>
  <c r="AJ9" i="3"/>
  <c r="AF10" i="3"/>
  <c r="AG10" i="3"/>
  <c r="AH10" i="3"/>
  <c r="AI10" i="3"/>
  <c r="AJ10" i="3"/>
  <c r="AF11" i="3"/>
  <c r="AG11" i="3"/>
  <c r="AH11" i="3"/>
  <c r="AI11" i="3"/>
  <c r="AJ11" i="3"/>
  <c r="AF12" i="3"/>
  <c r="AG12" i="3"/>
  <c r="AH12" i="3"/>
  <c r="AI12" i="3"/>
  <c r="AJ12" i="3"/>
  <c r="AF13" i="3"/>
  <c r="AG13" i="3"/>
  <c r="AH13" i="3"/>
  <c r="AI13" i="3"/>
  <c r="AJ13" i="3"/>
  <c r="AF14" i="3"/>
  <c r="AG14" i="3"/>
  <c r="AH14" i="3"/>
  <c r="AI14" i="3"/>
  <c r="AJ14" i="3"/>
  <c r="AJ8" i="3"/>
  <c r="AG8" i="3"/>
  <c r="AH8" i="3"/>
  <c r="AI8" i="3"/>
  <c r="AF8" i="3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AK63" i="8"/>
  <c r="AK62" i="8"/>
  <c r="AK61" i="8"/>
  <c r="AK60" i="8"/>
  <c r="AK59" i="8"/>
  <c r="AK58" i="8"/>
  <c r="AK57" i="8"/>
  <c r="AK56" i="8"/>
  <c r="AK55" i="8"/>
  <c r="AK54" i="8"/>
  <c r="AK53" i="8"/>
  <c r="AK52" i="8"/>
  <c r="AK51" i="8"/>
  <c r="AK50" i="8"/>
  <c r="AK49" i="8"/>
  <c r="AK48" i="8"/>
  <c r="AK47" i="8"/>
  <c r="AK46" i="8"/>
  <c r="AK45" i="8"/>
  <c r="AK44" i="8"/>
  <c r="AK43" i="8"/>
  <c r="AK42" i="8"/>
  <c r="AK41" i="8"/>
  <c r="AK40" i="8"/>
  <c r="AK39" i="8"/>
  <c r="AK38" i="8"/>
  <c r="AK37" i="8"/>
  <c r="AK36" i="8"/>
  <c r="AK35" i="8"/>
  <c r="AK34" i="8"/>
  <c r="AK33" i="8"/>
  <c r="AK32" i="8"/>
  <c r="AK31" i="8"/>
  <c r="AK30" i="8"/>
  <c r="AK29" i="8"/>
  <c r="AK28" i="8"/>
  <c r="AK27" i="8"/>
  <c r="AK26" i="8"/>
  <c r="AK25" i="8"/>
  <c r="AK24" i="8"/>
  <c r="AK23" i="8"/>
  <c r="AK22" i="8"/>
  <c r="AK21" i="8"/>
  <c r="AK20" i="8"/>
  <c r="AK19" i="8"/>
  <c r="AK18" i="8"/>
  <c r="AK17" i="8"/>
  <c r="AK16" i="8"/>
  <c r="AK15" i="8"/>
  <c r="AK14" i="8"/>
  <c r="AK13" i="8"/>
  <c r="AK12" i="8"/>
  <c r="AK11" i="8"/>
  <c r="AK10" i="8"/>
  <c r="AK9" i="8"/>
  <c r="AK8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14" i="3"/>
  <c r="AK9" i="3"/>
  <c r="AK10" i="3"/>
  <c r="AK11" i="3"/>
  <c r="AK12" i="3"/>
  <c r="AK13" i="3"/>
  <c r="AK8" i="3"/>
  <c r="T22" i="7"/>
  <c r="T15" i="11"/>
  <c r="AE63" i="11" l="1"/>
  <c r="AD63" i="11"/>
  <c r="AC63" i="11"/>
  <c r="AB63" i="11"/>
  <c r="AA63" i="11"/>
  <c r="Z63" i="11"/>
  <c r="Y63" i="11"/>
  <c r="X63" i="11"/>
  <c r="W63" i="11"/>
  <c r="V63" i="11" s="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E63" i="11"/>
  <c r="D63" i="11"/>
  <c r="C63" i="11"/>
  <c r="B63" i="11"/>
  <c r="A63" i="11"/>
  <c r="AE62" i="11"/>
  <c r="AD62" i="11"/>
  <c r="AP62" i="11" s="1"/>
  <c r="AB62" i="11"/>
  <c r="AA62" i="11"/>
  <c r="Z62" i="11"/>
  <c r="Y62" i="11"/>
  <c r="X62" i="11"/>
  <c r="W62" i="11"/>
  <c r="U62" i="11" s="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E62" i="11"/>
  <c r="D62" i="11"/>
  <c r="C62" i="11"/>
  <c r="B62" i="11"/>
  <c r="A62" i="11"/>
  <c r="AE61" i="11"/>
  <c r="AD61" i="11"/>
  <c r="AC61" i="11"/>
  <c r="AB61" i="11"/>
  <c r="AA61" i="11"/>
  <c r="Z61" i="11"/>
  <c r="Y61" i="11"/>
  <c r="BA61" i="11" s="1"/>
  <c r="X61" i="11"/>
  <c r="W61" i="11"/>
  <c r="V61" i="11" s="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E61" i="11"/>
  <c r="D61" i="11"/>
  <c r="C61" i="11"/>
  <c r="B61" i="11"/>
  <c r="A61" i="11"/>
  <c r="AE60" i="11"/>
  <c r="AD60" i="11"/>
  <c r="AP60" i="11" s="1"/>
  <c r="AC60" i="11"/>
  <c r="AB60" i="11"/>
  <c r="AA60" i="11"/>
  <c r="Z60" i="11"/>
  <c r="Y60" i="11"/>
  <c r="X60" i="11"/>
  <c r="W60" i="11"/>
  <c r="U60" i="11" s="1"/>
  <c r="V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E60" i="11"/>
  <c r="BH60" i="11" s="1"/>
  <c r="D60" i="11"/>
  <c r="C60" i="11"/>
  <c r="B60" i="11"/>
  <c r="A60" i="11"/>
  <c r="AE59" i="11"/>
  <c r="AD59" i="11"/>
  <c r="AP59" i="11" s="1"/>
  <c r="AB59" i="11"/>
  <c r="AA59" i="11"/>
  <c r="Z59" i="11"/>
  <c r="Y59" i="11"/>
  <c r="X59" i="11"/>
  <c r="W59" i="11"/>
  <c r="V59" i="11" s="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E59" i="11"/>
  <c r="D59" i="11"/>
  <c r="C59" i="11"/>
  <c r="B59" i="11"/>
  <c r="A59" i="11"/>
  <c r="AE58" i="11"/>
  <c r="AD58" i="11"/>
  <c r="AC58" i="11"/>
  <c r="AB58" i="11"/>
  <c r="AA58" i="11"/>
  <c r="Z58" i="11"/>
  <c r="Y58" i="11"/>
  <c r="X58" i="11"/>
  <c r="W58" i="11"/>
  <c r="U58" i="11" s="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E58" i="11"/>
  <c r="BH58" i="11" s="1"/>
  <c r="D58" i="11"/>
  <c r="C58" i="11"/>
  <c r="B58" i="11"/>
  <c r="A58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E57" i="11"/>
  <c r="D57" i="11"/>
  <c r="C57" i="11"/>
  <c r="B57" i="11"/>
  <c r="A57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E56" i="11"/>
  <c r="BH56" i="11" s="1"/>
  <c r="D56" i="11"/>
  <c r="C56" i="11"/>
  <c r="B56" i="11"/>
  <c r="A56" i="11"/>
  <c r="AE55" i="11"/>
  <c r="AD55" i="11"/>
  <c r="AB55" i="11"/>
  <c r="AA55" i="11"/>
  <c r="Z55" i="11"/>
  <c r="Y55" i="11"/>
  <c r="X55" i="11"/>
  <c r="W55" i="11"/>
  <c r="V55" i="11" s="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E55" i="11"/>
  <c r="BH55" i="11" s="1"/>
  <c r="D55" i="11"/>
  <c r="C55" i="11"/>
  <c r="B55" i="11"/>
  <c r="A55" i="11"/>
  <c r="AE54" i="11"/>
  <c r="AD54" i="11"/>
  <c r="AP54" i="11" s="1"/>
  <c r="AC54" i="11"/>
  <c r="AB54" i="11"/>
  <c r="AA54" i="11"/>
  <c r="Z54" i="11"/>
  <c r="Y54" i="11"/>
  <c r="X54" i="11"/>
  <c r="W54" i="11"/>
  <c r="U54" i="11" s="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E54" i="11"/>
  <c r="D54" i="11"/>
  <c r="C54" i="11"/>
  <c r="B54" i="11"/>
  <c r="A54" i="11"/>
  <c r="AE53" i="11"/>
  <c r="AD53" i="11"/>
  <c r="AC53" i="11"/>
  <c r="AB53" i="11"/>
  <c r="AA53" i="11"/>
  <c r="Z53" i="11"/>
  <c r="Y53" i="11"/>
  <c r="BA53" i="11" s="1"/>
  <c r="X53" i="11"/>
  <c r="W53" i="11"/>
  <c r="V53" i="11" s="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E53" i="11"/>
  <c r="D53" i="11"/>
  <c r="C53" i="11"/>
  <c r="B53" i="11"/>
  <c r="A53" i="11"/>
  <c r="AE52" i="11"/>
  <c r="AD52" i="11"/>
  <c r="AP52" i="11" s="1"/>
  <c r="AB52" i="11"/>
  <c r="AA52" i="11"/>
  <c r="Z52" i="11"/>
  <c r="Y52" i="11"/>
  <c r="X52" i="11"/>
  <c r="W52" i="11"/>
  <c r="U52" i="11" s="1"/>
  <c r="V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E52" i="11"/>
  <c r="BH52" i="11" s="1"/>
  <c r="D52" i="11"/>
  <c r="C52" i="11"/>
  <c r="B52" i="11"/>
  <c r="A52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E51" i="11"/>
  <c r="BH51" i="11" s="1"/>
  <c r="D51" i="11"/>
  <c r="C51" i="11"/>
  <c r="B51" i="11"/>
  <c r="A51" i="11"/>
  <c r="AE50" i="11"/>
  <c r="AD50" i="11"/>
  <c r="AP50" i="11" s="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E50" i="11"/>
  <c r="D50" i="11"/>
  <c r="C50" i="11"/>
  <c r="B50" i="11"/>
  <c r="A50" i="11"/>
  <c r="AE49" i="11"/>
  <c r="AD49" i="11"/>
  <c r="AC49" i="11"/>
  <c r="AB49" i="11"/>
  <c r="AA49" i="11"/>
  <c r="Z49" i="11"/>
  <c r="Y49" i="11"/>
  <c r="AU49" i="11" s="1"/>
  <c r="X49" i="11"/>
  <c r="W49" i="11"/>
  <c r="V49" i="11" s="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E49" i="11"/>
  <c r="BH49" i="11" s="1"/>
  <c r="D49" i="11"/>
  <c r="C49" i="11"/>
  <c r="B49" i="11"/>
  <c r="A49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BH48" i="11" s="1"/>
  <c r="D48" i="11"/>
  <c r="C48" i="11"/>
  <c r="B48" i="11"/>
  <c r="A48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E47" i="11"/>
  <c r="D47" i="11"/>
  <c r="C47" i="11"/>
  <c r="B47" i="11"/>
  <c r="A47" i="11"/>
  <c r="AE46" i="11"/>
  <c r="AD46" i="11"/>
  <c r="AC46" i="11"/>
  <c r="AB46" i="11"/>
  <c r="AA46" i="11"/>
  <c r="Z46" i="11"/>
  <c r="Y46" i="11"/>
  <c r="AU46" i="11" s="1"/>
  <c r="X46" i="11"/>
  <c r="W46" i="11"/>
  <c r="U46" i="11" s="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E46" i="11"/>
  <c r="BH46" i="11" s="1"/>
  <c r="D46" i="11"/>
  <c r="C46" i="11"/>
  <c r="B46" i="11"/>
  <c r="A46" i="11"/>
  <c r="AE45" i="11"/>
  <c r="AD45" i="11"/>
  <c r="AP45" i="11" s="1"/>
  <c r="AC45" i="11"/>
  <c r="AB45" i="11"/>
  <c r="AA45" i="11"/>
  <c r="Z45" i="11"/>
  <c r="Y45" i="11"/>
  <c r="X45" i="11"/>
  <c r="W45" i="11"/>
  <c r="V45" i="11" s="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E45" i="11"/>
  <c r="D45" i="11"/>
  <c r="C45" i="11"/>
  <c r="B45" i="11"/>
  <c r="A45" i="11"/>
  <c r="AE44" i="11"/>
  <c r="AD44" i="11"/>
  <c r="AC44" i="11"/>
  <c r="AB44" i="11"/>
  <c r="AA44" i="11"/>
  <c r="Z44" i="11"/>
  <c r="Y44" i="11"/>
  <c r="X44" i="11"/>
  <c r="W44" i="11"/>
  <c r="V44" i="11" s="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E44" i="11"/>
  <c r="D44" i="11"/>
  <c r="C44" i="11"/>
  <c r="B44" i="11"/>
  <c r="A44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E43" i="11"/>
  <c r="BH43" i="11" s="1"/>
  <c r="D43" i="11"/>
  <c r="C43" i="11"/>
  <c r="B43" i="11"/>
  <c r="A43" i="11"/>
  <c r="AE42" i="11"/>
  <c r="AD42" i="11"/>
  <c r="AP42" i="11" s="1"/>
  <c r="AC42" i="11"/>
  <c r="AB42" i="11"/>
  <c r="AA42" i="11"/>
  <c r="Z42" i="11"/>
  <c r="Y42" i="11"/>
  <c r="X42" i="11"/>
  <c r="W42" i="11"/>
  <c r="U42" i="11" s="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E42" i="11"/>
  <c r="BH42" i="11" s="1"/>
  <c r="D42" i="11"/>
  <c r="C42" i="11"/>
  <c r="B42" i="11"/>
  <c r="A42" i="11"/>
  <c r="AE41" i="11"/>
  <c r="AD41" i="11"/>
  <c r="AB41" i="11"/>
  <c r="AA41" i="11"/>
  <c r="Z41" i="11"/>
  <c r="Y41" i="11"/>
  <c r="BA41" i="11" s="1"/>
  <c r="X41" i="11"/>
  <c r="W41" i="11"/>
  <c r="V41" i="11" s="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E41" i="11"/>
  <c r="BH41" i="11" s="1"/>
  <c r="D41" i="11"/>
  <c r="C41" i="11"/>
  <c r="B41" i="11"/>
  <c r="A41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E40" i="11"/>
  <c r="BH40" i="11" s="1"/>
  <c r="D40" i="11"/>
  <c r="C40" i="11"/>
  <c r="B40" i="11"/>
  <c r="A40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E39" i="11"/>
  <c r="BH39" i="11" s="1"/>
  <c r="D39" i="11"/>
  <c r="C39" i="11"/>
  <c r="B39" i="11"/>
  <c r="A39" i="11"/>
  <c r="AE38" i="11"/>
  <c r="AD38" i="11"/>
  <c r="AB38" i="11"/>
  <c r="AA38" i="11"/>
  <c r="Z38" i="11"/>
  <c r="Y38" i="11"/>
  <c r="X38" i="11"/>
  <c r="W38" i="11"/>
  <c r="U38" i="11" s="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E38" i="11"/>
  <c r="BH38" i="11" s="1"/>
  <c r="D38" i="11"/>
  <c r="C38" i="11"/>
  <c r="B38" i="11"/>
  <c r="A38" i="11"/>
  <c r="AE37" i="11"/>
  <c r="AD37" i="11"/>
  <c r="AP37" i="11" s="1"/>
  <c r="AC37" i="11"/>
  <c r="AB37" i="11"/>
  <c r="AV37" i="11" s="1"/>
  <c r="AA37" i="11"/>
  <c r="Z37" i="11"/>
  <c r="Y37" i="11"/>
  <c r="X37" i="11"/>
  <c r="W37" i="11"/>
  <c r="V37" i="11" s="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E37" i="11"/>
  <c r="BH37" i="11" s="1"/>
  <c r="D37" i="11"/>
  <c r="C37" i="11"/>
  <c r="B37" i="11"/>
  <c r="A37" i="11"/>
  <c r="AE36" i="11"/>
  <c r="AD36" i="11"/>
  <c r="AC36" i="11"/>
  <c r="AB36" i="11"/>
  <c r="AA36" i="11"/>
  <c r="Z36" i="11"/>
  <c r="Y36" i="11"/>
  <c r="X36" i="11"/>
  <c r="W36" i="11"/>
  <c r="V36" i="11" s="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E36" i="11"/>
  <c r="D36" i="11"/>
  <c r="C36" i="11"/>
  <c r="B36" i="11"/>
  <c r="A36" i="11"/>
  <c r="AE35" i="11"/>
  <c r="AD35" i="11"/>
  <c r="AP35" i="11" s="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E35" i="11"/>
  <c r="BH35" i="11" s="1"/>
  <c r="D35" i="11"/>
  <c r="C35" i="11"/>
  <c r="B35" i="11"/>
  <c r="A35" i="11"/>
  <c r="AE34" i="11"/>
  <c r="AD34" i="11"/>
  <c r="AB34" i="11"/>
  <c r="AA34" i="11"/>
  <c r="Z34" i="11"/>
  <c r="Y34" i="11"/>
  <c r="X34" i="11"/>
  <c r="W34" i="11"/>
  <c r="U34" i="11" s="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E34" i="11"/>
  <c r="D34" i="11"/>
  <c r="C34" i="11"/>
  <c r="B34" i="11"/>
  <c r="A34" i="11"/>
  <c r="AE33" i="11"/>
  <c r="AD33" i="11"/>
  <c r="AC33" i="11"/>
  <c r="AB33" i="11"/>
  <c r="AA33" i="11"/>
  <c r="Z33" i="11"/>
  <c r="Y33" i="11"/>
  <c r="X33" i="11"/>
  <c r="W33" i="11"/>
  <c r="V33" i="11" s="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E33" i="11"/>
  <c r="BH33" i="11" s="1"/>
  <c r="D33" i="11"/>
  <c r="C33" i="11"/>
  <c r="B33" i="11"/>
  <c r="A33" i="11"/>
  <c r="AE32" i="11"/>
  <c r="AD32" i="11"/>
  <c r="AP32" i="11" s="1"/>
  <c r="AC32" i="11"/>
  <c r="AB32" i="11"/>
  <c r="AA32" i="11"/>
  <c r="Z32" i="11"/>
  <c r="Y32" i="11"/>
  <c r="BA32" i="11" s="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E32" i="11"/>
  <c r="D32" i="11"/>
  <c r="C32" i="11"/>
  <c r="B32" i="11"/>
  <c r="A32" i="11"/>
  <c r="AE31" i="11"/>
  <c r="AD31" i="11"/>
  <c r="AB31" i="11"/>
  <c r="AA31" i="11"/>
  <c r="Z31" i="11"/>
  <c r="Y31" i="11"/>
  <c r="X31" i="11"/>
  <c r="W31" i="11"/>
  <c r="V31" i="11" s="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E31" i="11"/>
  <c r="D31" i="11"/>
  <c r="C31" i="11"/>
  <c r="B31" i="11"/>
  <c r="A31" i="11"/>
  <c r="AE30" i="11"/>
  <c r="AD30" i="11"/>
  <c r="AC30" i="11"/>
  <c r="AB30" i="11"/>
  <c r="AA30" i="11"/>
  <c r="Z30" i="11"/>
  <c r="Y30" i="11"/>
  <c r="X30" i="11"/>
  <c r="W30" i="11"/>
  <c r="U30" i="11" s="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E30" i="11"/>
  <c r="BH30" i="11" s="1"/>
  <c r="D30" i="11"/>
  <c r="C30" i="11"/>
  <c r="B30" i="11"/>
  <c r="A30" i="11"/>
  <c r="AE29" i="11"/>
  <c r="AD29" i="11"/>
  <c r="AP29" i="11" s="1"/>
  <c r="AC29" i="11"/>
  <c r="AB29" i="11"/>
  <c r="AA29" i="11"/>
  <c r="Z29" i="11"/>
  <c r="Y29" i="11"/>
  <c r="X29" i="11"/>
  <c r="W29" i="11"/>
  <c r="V29" i="11" s="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E29" i="11"/>
  <c r="D29" i="11"/>
  <c r="C29" i="11"/>
  <c r="B29" i="11"/>
  <c r="A29" i="11"/>
  <c r="AE28" i="11"/>
  <c r="AD28" i="11"/>
  <c r="AP28" i="11" s="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E28" i="11"/>
  <c r="D28" i="11"/>
  <c r="C28" i="11"/>
  <c r="B28" i="11"/>
  <c r="A28" i="11"/>
  <c r="AE27" i="11"/>
  <c r="AD27" i="11"/>
  <c r="AP27" i="11" s="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E27" i="11"/>
  <c r="D27" i="11"/>
  <c r="C27" i="11"/>
  <c r="B27" i="11"/>
  <c r="A27" i="11"/>
  <c r="AE26" i="11"/>
  <c r="AD26" i="11"/>
  <c r="AC26" i="11"/>
  <c r="AB26" i="11"/>
  <c r="AA26" i="11"/>
  <c r="Z26" i="11"/>
  <c r="Y26" i="11"/>
  <c r="X26" i="11"/>
  <c r="W26" i="11"/>
  <c r="U26" i="11" s="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E26" i="11"/>
  <c r="BH26" i="11" s="1"/>
  <c r="D26" i="11"/>
  <c r="C26" i="11"/>
  <c r="B26" i="11"/>
  <c r="A26" i="11"/>
  <c r="AE25" i="11"/>
  <c r="AD25" i="11"/>
  <c r="AC25" i="11"/>
  <c r="AB25" i="11"/>
  <c r="AA25" i="11"/>
  <c r="Z25" i="11"/>
  <c r="Y25" i="11"/>
  <c r="X25" i="11"/>
  <c r="W25" i="11"/>
  <c r="V25" i="11" s="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E25" i="11"/>
  <c r="BH25" i="11" s="1"/>
  <c r="D25" i="11"/>
  <c r="C25" i="11"/>
  <c r="B25" i="11"/>
  <c r="A25" i="11"/>
  <c r="AE24" i="11"/>
  <c r="AD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E24" i="11"/>
  <c r="D24" i="11"/>
  <c r="C24" i="11"/>
  <c r="B24" i="11"/>
  <c r="A24" i="11"/>
  <c r="AE23" i="11"/>
  <c r="AD23" i="11"/>
  <c r="AC23" i="11"/>
  <c r="AB23" i="11"/>
  <c r="AA23" i="11"/>
  <c r="Z23" i="11"/>
  <c r="Y23" i="11"/>
  <c r="X23" i="11"/>
  <c r="W23" i="11"/>
  <c r="V23" i="11" s="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E23" i="11"/>
  <c r="D23" i="11"/>
  <c r="C23" i="11"/>
  <c r="B23" i="11"/>
  <c r="A23" i="11"/>
  <c r="AE22" i="11"/>
  <c r="AD22" i="11"/>
  <c r="AP22" i="11" s="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E22" i="11"/>
  <c r="BH22" i="11" s="1"/>
  <c r="D22" i="11"/>
  <c r="C22" i="11"/>
  <c r="B22" i="11"/>
  <c r="A22" i="11"/>
  <c r="AE21" i="11"/>
  <c r="AD21" i="11"/>
  <c r="AP21" i="11" s="1"/>
  <c r="AC21" i="11"/>
  <c r="AB21" i="11"/>
  <c r="AV21" i="11" s="1"/>
  <c r="AA21" i="11"/>
  <c r="Z21" i="11"/>
  <c r="Y21" i="11"/>
  <c r="X21" i="11"/>
  <c r="W21" i="11"/>
  <c r="V21" i="11" s="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E21" i="11"/>
  <c r="BH21" i="11" s="1"/>
  <c r="D21" i="11"/>
  <c r="C21" i="11"/>
  <c r="B21" i="11"/>
  <c r="A21" i="11"/>
  <c r="AE20" i="11"/>
  <c r="AD20" i="11"/>
  <c r="AP20" i="11" s="1"/>
  <c r="AB20" i="11"/>
  <c r="AA20" i="11"/>
  <c r="Z20" i="11"/>
  <c r="Y20" i="11"/>
  <c r="X20" i="11"/>
  <c r="W20" i="11"/>
  <c r="V20" i="11" s="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E20" i="11"/>
  <c r="D20" i="11"/>
  <c r="C20" i="11"/>
  <c r="B20" i="11"/>
  <c r="A20" i="11"/>
  <c r="AE19" i="11"/>
  <c r="AD19" i="11"/>
  <c r="AP19" i="11" s="1"/>
  <c r="AC19" i="11"/>
  <c r="AB19" i="11"/>
  <c r="AV19" i="11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E19" i="11"/>
  <c r="BH19" i="11" s="1"/>
  <c r="D19" i="11"/>
  <c r="C19" i="11"/>
  <c r="B19" i="11"/>
  <c r="A19" i="11"/>
  <c r="AE18" i="11"/>
  <c r="AD18" i="11"/>
  <c r="AP18" i="11" s="1"/>
  <c r="AC18" i="11"/>
  <c r="AB18" i="11"/>
  <c r="AA18" i="11"/>
  <c r="Z18" i="11"/>
  <c r="Y18" i="11"/>
  <c r="X18" i="11"/>
  <c r="W18" i="11"/>
  <c r="U18" i="11" s="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E18" i="11"/>
  <c r="D18" i="11"/>
  <c r="C18" i="11"/>
  <c r="B18" i="11"/>
  <c r="A18" i="11"/>
  <c r="AE17" i="11"/>
  <c r="AD17" i="11"/>
  <c r="AP17" i="11" s="1"/>
  <c r="AB17" i="11"/>
  <c r="AA17" i="11"/>
  <c r="Z17" i="11"/>
  <c r="Y17" i="11"/>
  <c r="X17" i="11"/>
  <c r="W17" i="11"/>
  <c r="V17" i="11" s="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E17" i="11"/>
  <c r="BH17" i="11" s="1"/>
  <c r="D17" i="11"/>
  <c r="C17" i="11"/>
  <c r="B17" i="11"/>
  <c r="A17" i="11"/>
  <c r="AE16" i="11"/>
  <c r="AD16" i="11"/>
  <c r="AP16" i="11" s="1"/>
  <c r="AC16" i="11"/>
  <c r="AB16" i="11"/>
  <c r="AV16" i="11" s="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E16" i="11"/>
  <c r="D16" i="11"/>
  <c r="C16" i="11"/>
  <c r="B16" i="11"/>
  <c r="A16" i="11"/>
  <c r="AE15" i="11"/>
  <c r="AD15" i="11"/>
  <c r="AC15" i="11"/>
  <c r="AB15" i="11"/>
  <c r="AA15" i="11"/>
  <c r="Z15" i="11"/>
  <c r="Y15" i="11"/>
  <c r="BA15" i="11" s="1"/>
  <c r="X15" i="11"/>
  <c r="W15" i="11"/>
  <c r="V15" i="11"/>
  <c r="U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E15" i="11"/>
  <c r="D15" i="11"/>
  <c r="C15" i="11"/>
  <c r="B15" i="11"/>
  <c r="A15" i="11"/>
  <c r="AE14" i="11"/>
  <c r="AD14" i="11"/>
  <c r="AP14" i="11" s="1"/>
  <c r="AC14" i="11"/>
  <c r="AB14" i="11"/>
  <c r="AA14" i="11"/>
  <c r="Z14" i="11"/>
  <c r="Y14" i="11"/>
  <c r="X14" i="11"/>
  <c r="W14" i="11"/>
  <c r="U14" i="11" s="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E14" i="11"/>
  <c r="D14" i="11"/>
  <c r="C14" i="11"/>
  <c r="B14" i="11"/>
  <c r="A14" i="11"/>
  <c r="AE13" i="11"/>
  <c r="AD13" i="11"/>
  <c r="AC13" i="11"/>
  <c r="AB13" i="11"/>
  <c r="AA13" i="11"/>
  <c r="Z13" i="11"/>
  <c r="Y13" i="11"/>
  <c r="X13" i="11"/>
  <c r="W13" i="11"/>
  <c r="V13" i="11" s="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E13" i="11"/>
  <c r="D13" i="11"/>
  <c r="C13" i="11"/>
  <c r="B13" i="11"/>
  <c r="A13" i="11"/>
  <c r="AE12" i="11"/>
  <c r="AD12" i="11"/>
  <c r="AC12" i="11"/>
  <c r="AB12" i="11"/>
  <c r="AA12" i="11"/>
  <c r="Z12" i="11"/>
  <c r="Y12" i="11"/>
  <c r="X12" i="11"/>
  <c r="W12" i="11"/>
  <c r="U12" i="11" s="1"/>
  <c r="V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E12" i="11"/>
  <c r="BH12" i="11" s="1"/>
  <c r="D12" i="11"/>
  <c r="C12" i="11"/>
  <c r="B12" i="11"/>
  <c r="A12" i="11"/>
  <c r="AE11" i="11"/>
  <c r="AD11" i="11"/>
  <c r="AP11" i="11" s="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E11" i="11"/>
  <c r="D11" i="11"/>
  <c r="C11" i="11"/>
  <c r="B11" i="11"/>
  <c r="A11" i="11"/>
  <c r="AE10" i="11"/>
  <c r="AD10" i="11"/>
  <c r="AP10" i="11" s="1"/>
  <c r="AB10" i="11"/>
  <c r="AA10" i="11"/>
  <c r="Z10" i="11"/>
  <c r="Y10" i="11"/>
  <c r="BA10" i="11" s="1"/>
  <c r="X10" i="11"/>
  <c r="W10" i="11"/>
  <c r="U10" i="11" s="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E10" i="11"/>
  <c r="BH10" i="11" s="1"/>
  <c r="D10" i="11"/>
  <c r="C10" i="11"/>
  <c r="B10" i="11"/>
  <c r="A10" i="11"/>
  <c r="AE9" i="11"/>
  <c r="AD9" i="11"/>
  <c r="AP9" i="11" s="1"/>
  <c r="AC9" i="11"/>
  <c r="AB9" i="11"/>
  <c r="AA9" i="11"/>
  <c r="Z9" i="11"/>
  <c r="Y9" i="11"/>
  <c r="X9" i="11"/>
  <c r="W9" i="11"/>
  <c r="V9" i="11" s="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E9" i="11"/>
  <c r="BH9" i="11" s="1"/>
  <c r="D9" i="11"/>
  <c r="C9" i="11"/>
  <c r="B9" i="11"/>
  <c r="A9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E8" i="11"/>
  <c r="D8" i="11"/>
  <c r="C8" i="11"/>
  <c r="B8" i="11"/>
  <c r="A8" i="11"/>
  <c r="BN63" i="11"/>
  <c r="BM63" i="11"/>
  <c r="BJ63" i="11"/>
  <c r="BI63" i="11"/>
  <c r="AW63" i="11"/>
  <c r="AO63" i="11"/>
  <c r="AN63" i="11"/>
  <c r="AM63" i="11"/>
  <c r="AL63" i="11"/>
  <c r="AP63" i="11"/>
  <c r="BH63" i="11"/>
  <c r="BN62" i="11"/>
  <c r="BM62" i="11"/>
  <c r="BJ62" i="11"/>
  <c r="BI62" i="11"/>
  <c r="BH62" i="11"/>
  <c r="AW62" i="11"/>
  <c r="AO62" i="11"/>
  <c r="AN62" i="11"/>
  <c r="AM62" i="11"/>
  <c r="AL62" i="11"/>
  <c r="AU62" i="11"/>
  <c r="BN61" i="11"/>
  <c r="BM61" i="11"/>
  <c r="BJ61" i="11"/>
  <c r="BI61" i="11"/>
  <c r="AW61" i="11"/>
  <c r="AO61" i="11"/>
  <c r="AN61" i="11"/>
  <c r="AM61" i="11"/>
  <c r="AL61" i="11"/>
  <c r="AP61" i="11"/>
  <c r="BH61" i="11"/>
  <c r="BN60" i="11"/>
  <c r="BM60" i="11"/>
  <c r="BJ60" i="11"/>
  <c r="BI60" i="11"/>
  <c r="AW60" i="11"/>
  <c r="AU60" i="11"/>
  <c r="AO60" i="11"/>
  <c r="AN60" i="11"/>
  <c r="AM60" i="11"/>
  <c r="AL60" i="11"/>
  <c r="BN59" i="11"/>
  <c r="BM59" i="11"/>
  <c r="BJ59" i="11"/>
  <c r="BI59" i="11"/>
  <c r="AW59" i="11"/>
  <c r="AO59" i="11"/>
  <c r="AN59" i="11"/>
  <c r="AM59" i="11"/>
  <c r="AL59" i="11"/>
  <c r="BA59" i="11"/>
  <c r="BH59" i="11"/>
  <c r="BN58" i="11"/>
  <c r="BM58" i="11"/>
  <c r="BJ58" i="11"/>
  <c r="BI58" i="11"/>
  <c r="AW58" i="11"/>
  <c r="AP58" i="11"/>
  <c r="AO58" i="11"/>
  <c r="AN58" i="11"/>
  <c r="AM58" i="11"/>
  <c r="AL58" i="11"/>
  <c r="BN57" i="11"/>
  <c r="BM57" i="11"/>
  <c r="BJ57" i="11"/>
  <c r="BI57" i="11"/>
  <c r="BH57" i="11"/>
  <c r="BA57" i="11"/>
  <c r="AW57" i="11"/>
  <c r="AU57" i="11"/>
  <c r="AR57" i="11"/>
  <c r="AO57" i="11"/>
  <c r="AN57" i="11"/>
  <c r="AM57" i="11"/>
  <c r="AL57" i="11"/>
  <c r="AP57" i="11"/>
  <c r="BN56" i="11"/>
  <c r="BM56" i="11"/>
  <c r="BJ56" i="11"/>
  <c r="BI56" i="11"/>
  <c r="AW56" i="11"/>
  <c r="AP56" i="11"/>
  <c r="AO56" i="11"/>
  <c r="AN56" i="11"/>
  <c r="AM56" i="11"/>
  <c r="AL56" i="11"/>
  <c r="BN55" i="11"/>
  <c r="BM55" i="11"/>
  <c r="BJ55" i="11"/>
  <c r="BI55" i="11"/>
  <c r="BA55" i="11"/>
  <c r="AW55" i="11"/>
  <c r="AO55" i="11"/>
  <c r="AN55" i="11"/>
  <c r="AM55" i="11"/>
  <c r="AL55" i="11"/>
  <c r="AP55" i="11"/>
  <c r="BN54" i="11"/>
  <c r="BM54" i="11"/>
  <c r="BJ54" i="11"/>
  <c r="BI54" i="11"/>
  <c r="AW54" i="11"/>
  <c r="AO54" i="11"/>
  <c r="AN54" i="11"/>
  <c r="AM54" i="11"/>
  <c r="AL54" i="11"/>
  <c r="BH54" i="11"/>
  <c r="BN53" i="11"/>
  <c r="BM53" i="11"/>
  <c r="BJ53" i="11"/>
  <c r="BI53" i="11"/>
  <c r="BH53" i="11"/>
  <c r="AW53" i="11"/>
  <c r="AP53" i="11"/>
  <c r="AO53" i="11"/>
  <c r="AN53" i="11"/>
  <c r="AM53" i="11"/>
  <c r="AL53" i="11"/>
  <c r="BN52" i="11"/>
  <c r="BM52" i="11"/>
  <c r="BJ52" i="11"/>
  <c r="BI52" i="11"/>
  <c r="BA52" i="11"/>
  <c r="AW52" i="11"/>
  <c r="AO52" i="11"/>
  <c r="AN52" i="11"/>
  <c r="AM52" i="11"/>
  <c r="AL52" i="11"/>
  <c r="BN51" i="11"/>
  <c r="BM51" i="11"/>
  <c r="BJ51" i="11"/>
  <c r="BI51" i="11"/>
  <c r="BA51" i="11"/>
  <c r="AW51" i="11"/>
  <c r="AU51" i="11"/>
  <c r="AR51" i="11"/>
  <c r="AP51" i="11"/>
  <c r="AO51" i="11"/>
  <c r="AN51" i="11"/>
  <c r="AM51" i="11"/>
  <c r="AL51" i="11"/>
  <c r="BN50" i="11"/>
  <c r="BM50" i="11"/>
  <c r="BJ50" i="11"/>
  <c r="BI50" i="11"/>
  <c r="AW50" i="11"/>
  <c r="AO50" i="11"/>
  <c r="AN50" i="11"/>
  <c r="AM50" i="11"/>
  <c r="AL50" i="11"/>
  <c r="BH50" i="11"/>
  <c r="BN49" i="11"/>
  <c r="BM49" i="11"/>
  <c r="BJ49" i="11"/>
  <c r="BI49" i="11"/>
  <c r="AW49" i="11"/>
  <c r="AO49" i="11"/>
  <c r="AN49" i="11"/>
  <c r="AM49" i="11"/>
  <c r="AL49" i="11"/>
  <c r="AP49" i="11"/>
  <c r="BN48" i="11"/>
  <c r="BM48" i="11"/>
  <c r="BJ48" i="11"/>
  <c r="BI48" i="11"/>
  <c r="AW48" i="11"/>
  <c r="AR48" i="11"/>
  <c r="AP48" i="11"/>
  <c r="AO48" i="11"/>
  <c r="AN48" i="11"/>
  <c r="AM48" i="11"/>
  <c r="AL48" i="11"/>
  <c r="BA48" i="11"/>
  <c r="BN47" i="11"/>
  <c r="BM47" i="11"/>
  <c r="BJ47" i="11"/>
  <c r="BI47" i="11"/>
  <c r="AW47" i="11"/>
  <c r="AO47" i="11"/>
  <c r="AN47" i="11"/>
  <c r="AM47" i="11"/>
  <c r="AL47" i="11"/>
  <c r="AP47" i="11"/>
  <c r="BH47" i="11"/>
  <c r="BN46" i="11"/>
  <c r="BM46" i="11"/>
  <c r="BJ46" i="11"/>
  <c r="BI46" i="11"/>
  <c r="AW46" i="11"/>
  <c r="AP46" i="11"/>
  <c r="AO46" i="11"/>
  <c r="AN46" i="11"/>
  <c r="AM46" i="11"/>
  <c r="AL46" i="11"/>
  <c r="BN45" i="11"/>
  <c r="BM45" i="11"/>
  <c r="BJ45" i="11"/>
  <c r="BI45" i="11"/>
  <c r="AW45" i="11"/>
  <c r="AU45" i="11"/>
  <c r="AR45" i="11"/>
  <c r="AO45" i="11"/>
  <c r="AN45" i="11"/>
  <c r="AM45" i="11"/>
  <c r="AL45" i="11"/>
  <c r="BA45" i="11"/>
  <c r="BH45" i="11"/>
  <c r="BN44" i="11"/>
  <c r="BM44" i="11"/>
  <c r="BJ44" i="11"/>
  <c r="BI44" i="11"/>
  <c r="BH44" i="11"/>
  <c r="AW44" i="11"/>
  <c r="AR44" i="11"/>
  <c r="AP44" i="11"/>
  <c r="AO44" i="11"/>
  <c r="AN44" i="11"/>
  <c r="AM44" i="11"/>
  <c r="AL44" i="11"/>
  <c r="BN43" i="11"/>
  <c r="BM43" i="11"/>
  <c r="BJ43" i="11"/>
  <c r="BI43" i="11"/>
  <c r="AW43" i="11"/>
  <c r="AO43" i="11"/>
  <c r="AN43" i="11"/>
  <c r="AM43" i="11"/>
  <c r="AL43" i="11"/>
  <c r="AP43" i="11"/>
  <c r="BN42" i="11"/>
  <c r="BM42" i="11"/>
  <c r="BJ42" i="11"/>
  <c r="BI42" i="11"/>
  <c r="AW42" i="11"/>
  <c r="AO42" i="11"/>
  <c r="AN42" i="11"/>
  <c r="AM42" i="11"/>
  <c r="AL42" i="11"/>
  <c r="BN41" i="11"/>
  <c r="BM41" i="11"/>
  <c r="BJ41" i="11"/>
  <c r="BI41" i="11"/>
  <c r="AW41" i="11"/>
  <c r="AP41" i="11"/>
  <c r="AO41" i="11"/>
  <c r="AN41" i="11"/>
  <c r="AM41" i="11"/>
  <c r="AL41" i="11"/>
  <c r="BN40" i="11"/>
  <c r="BM40" i="11"/>
  <c r="BJ40" i="11"/>
  <c r="BI40" i="11"/>
  <c r="AW40" i="11"/>
  <c r="AR40" i="11"/>
  <c r="AO40" i="11"/>
  <c r="AN40" i="11"/>
  <c r="AM40" i="11"/>
  <c r="AL40" i="11"/>
  <c r="AP40" i="11"/>
  <c r="BN39" i="11"/>
  <c r="BM39" i="11"/>
  <c r="BJ39" i="11"/>
  <c r="BI39" i="11"/>
  <c r="AW39" i="11"/>
  <c r="AP39" i="11"/>
  <c r="AO39" i="11"/>
  <c r="AN39" i="11"/>
  <c r="AM39" i="11"/>
  <c r="AL39" i="11"/>
  <c r="BN38" i="11"/>
  <c r="BM38" i="11"/>
  <c r="BJ38" i="11"/>
  <c r="BI38" i="11"/>
  <c r="AW38" i="11"/>
  <c r="AO38" i="11"/>
  <c r="AN38" i="11"/>
  <c r="AM38" i="11"/>
  <c r="AL38" i="11"/>
  <c r="AP38" i="11"/>
  <c r="BN37" i="11"/>
  <c r="BM37" i="11"/>
  <c r="BJ37" i="11"/>
  <c r="BI37" i="11"/>
  <c r="AW37" i="11"/>
  <c r="AU37" i="11"/>
  <c r="AR37" i="11"/>
  <c r="AO37" i="11"/>
  <c r="AN37" i="11"/>
  <c r="AM37" i="11"/>
  <c r="AL37" i="11"/>
  <c r="BA37" i="11"/>
  <c r="BN36" i="11"/>
  <c r="BM36" i="11"/>
  <c r="BJ36" i="11"/>
  <c r="BI36" i="11"/>
  <c r="BA36" i="11"/>
  <c r="AW36" i="11"/>
  <c r="AU36" i="11"/>
  <c r="AO36" i="11"/>
  <c r="AN36" i="11"/>
  <c r="AM36" i="11"/>
  <c r="AL36" i="11"/>
  <c r="AP36" i="11"/>
  <c r="BH36" i="11"/>
  <c r="BN35" i="11"/>
  <c r="BM35" i="11"/>
  <c r="BJ35" i="11"/>
  <c r="BI35" i="11"/>
  <c r="AW35" i="11"/>
  <c r="AR35" i="11"/>
  <c r="AO35" i="11"/>
  <c r="AN35" i="11"/>
  <c r="AM35" i="11"/>
  <c r="AL35" i="11"/>
  <c r="AU35" i="11"/>
  <c r="AV35" i="11" s="1"/>
  <c r="BN34" i="11"/>
  <c r="BM34" i="11"/>
  <c r="BJ34" i="11"/>
  <c r="BI34" i="11"/>
  <c r="BA34" i="11"/>
  <c r="AW34" i="11"/>
  <c r="AO34" i="11"/>
  <c r="AN34" i="11"/>
  <c r="AM34" i="11"/>
  <c r="AL34" i="11"/>
  <c r="AP34" i="11"/>
  <c r="BH34" i="11"/>
  <c r="BN33" i="11"/>
  <c r="BM33" i="11"/>
  <c r="BJ33" i="11"/>
  <c r="BI33" i="11"/>
  <c r="AW33" i="11"/>
  <c r="AR33" i="11"/>
  <c r="AP33" i="11"/>
  <c r="AO33" i="11"/>
  <c r="AN33" i="11"/>
  <c r="AM33" i="11"/>
  <c r="AL33" i="11"/>
  <c r="BN32" i="11"/>
  <c r="BM32" i="11"/>
  <c r="BJ32" i="11"/>
  <c r="BI32" i="11"/>
  <c r="AW32" i="11"/>
  <c r="AR32" i="11"/>
  <c r="AO32" i="11"/>
  <c r="AN32" i="11"/>
  <c r="AM32" i="11"/>
  <c r="AL32" i="11"/>
  <c r="BH32" i="11"/>
  <c r="BN31" i="11"/>
  <c r="BM31" i="11"/>
  <c r="BJ31" i="11"/>
  <c r="BI31" i="11"/>
  <c r="BH31" i="11"/>
  <c r="AW31" i="11"/>
  <c r="AP31" i="11"/>
  <c r="AO31" i="11"/>
  <c r="AN31" i="11"/>
  <c r="AM31" i="11"/>
  <c r="AL31" i="11"/>
  <c r="BN30" i="11"/>
  <c r="BM30" i="11"/>
  <c r="BJ30" i="11"/>
  <c r="BI30" i="11"/>
  <c r="AW30" i="11"/>
  <c r="AO30" i="11"/>
  <c r="AN30" i="11"/>
  <c r="AM30" i="11"/>
  <c r="AL30" i="11"/>
  <c r="AP30" i="11"/>
  <c r="BN29" i="11"/>
  <c r="BM29" i="11"/>
  <c r="BJ29" i="11"/>
  <c r="BI29" i="11"/>
  <c r="BH29" i="11"/>
  <c r="AW29" i="11"/>
  <c r="AO29" i="11"/>
  <c r="AN29" i="11"/>
  <c r="AM29" i="11"/>
  <c r="AL29" i="11"/>
  <c r="BN28" i="11"/>
  <c r="BM28" i="11"/>
  <c r="BJ28" i="11"/>
  <c r="BI28" i="11"/>
  <c r="BH28" i="11"/>
  <c r="AW28" i="11"/>
  <c r="AU28" i="11"/>
  <c r="AO28" i="11"/>
  <c r="AN28" i="11"/>
  <c r="AM28" i="11"/>
  <c r="AL28" i="11"/>
  <c r="BN27" i="11"/>
  <c r="BM27" i="11"/>
  <c r="BJ27" i="11"/>
  <c r="BI27" i="11"/>
  <c r="AW27" i="11"/>
  <c r="AO27" i="11"/>
  <c r="AN27" i="11"/>
  <c r="AM27" i="11"/>
  <c r="AL27" i="11"/>
  <c r="BH27" i="11"/>
  <c r="BN26" i="11"/>
  <c r="BM26" i="11"/>
  <c r="BJ26" i="11"/>
  <c r="BI26" i="11"/>
  <c r="AW26" i="11"/>
  <c r="AP26" i="11"/>
  <c r="AO26" i="11"/>
  <c r="AN26" i="11"/>
  <c r="AM26" i="11"/>
  <c r="AL26" i="11"/>
  <c r="BN25" i="11"/>
  <c r="BM25" i="11"/>
  <c r="BJ25" i="11"/>
  <c r="BI25" i="11"/>
  <c r="BA25" i="11"/>
  <c r="AW25" i="11"/>
  <c r="AR25" i="11"/>
  <c r="AO25" i="11"/>
  <c r="AN25" i="11"/>
  <c r="AM25" i="11"/>
  <c r="AL25" i="11"/>
  <c r="AP25" i="11"/>
  <c r="AU25" i="11"/>
  <c r="BN24" i="11"/>
  <c r="BM24" i="11"/>
  <c r="BJ24" i="11"/>
  <c r="BI24" i="11"/>
  <c r="BH24" i="11"/>
  <c r="AW24" i="11"/>
  <c r="AO24" i="11"/>
  <c r="AN24" i="11"/>
  <c r="AM24" i="11"/>
  <c r="AL24" i="11"/>
  <c r="AP24" i="11"/>
  <c r="BN23" i="11"/>
  <c r="BM23" i="11"/>
  <c r="BJ23" i="11"/>
  <c r="BI23" i="11"/>
  <c r="AW23" i="11"/>
  <c r="AP23" i="11"/>
  <c r="AO23" i="11"/>
  <c r="AN23" i="11"/>
  <c r="AM23" i="11"/>
  <c r="AL23" i="11"/>
  <c r="BH23" i="11"/>
  <c r="BN22" i="11"/>
  <c r="BM22" i="11"/>
  <c r="BJ22" i="11"/>
  <c r="BI22" i="11"/>
  <c r="BA22" i="11"/>
  <c r="AW22" i="11"/>
  <c r="AO22" i="11"/>
  <c r="AN22" i="11"/>
  <c r="AM22" i="11"/>
  <c r="AL22" i="11"/>
  <c r="BN21" i="11"/>
  <c r="BM21" i="11"/>
  <c r="BJ21" i="11"/>
  <c r="BI21" i="11"/>
  <c r="BA21" i="11"/>
  <c r="AW21" i="11"/>
  <c r="AU21" i="11"/>
  <c r="AO21" i="11"/>
  <c r="AN21" i="11"/>
  <c r="AM21" i="11"/>
  <c r="AL21" i="11"/>
  <c r="AR21" i="11"/>
  <c r="BN20" i="11"/>
  <c r="BM20" i="11"/>
  <c r="BJ20" i="11"/>
  <c r="BI20" i="11"/>
  <c r="BA20" i="11"/>
  <c r="AW20" i="11"/>
  <c r="AO20" i="11"/>
  <c r="AN20" i="11"/>
  <c r="AM20" i="11"/>
  <c r="AL20" i="11"/>
  <c r="BH20" i="11"/>
  <c r="BN19" i="11"/>
  <c r="BM19" i="11"/>
  <c r="BJ19" i="11"/>
  <c r="BI19" i="11"/>
  <c r="AW19" i="11"/>
  <c r="AU19" i="11"/>
  <c r="AO19" i="11"/>
  <c r="AN19" i="11"/>
  <c r="AM19" i="11"/>
  <c r="AL19" i="11"/>
  <c r="BN18" i="11"/>
  <c r="BM18" i="11"/>
  <c r="BJ18" i="11"/>
  <c r="BI18" i="11"/>
  <c r="AW18" i="11"/>
  <c r="AO18" i="11"/>
  <c r="AN18" i="11"/>
  <c r="AM18" i="11"/>
  <c r="AL18" i="11"/>
  <c r="BH18" i="11"/>
  <c r="BN17" i="11"/>
  <c r="BM17" i="11"/>
  <c r="BJ17" i="11"/>
  <c r="BI17" i="11"/>
  <c r="AW17" i="11"/>
  <c r="AO17" i="11"/>
  <c r="AN17" i="11"/>
  <c r="AM17" i="11"/>
  <c r="AL17" i="11"/>
  <c r="BN16" i="11"/>
  <c r="BM16" i="11"/>
  <c r="BJ16" i="11"/>
  <c r="BI16" i="11"/>
  <c r="BH16" i="11"/>
  <c r="AW16" i="11"/>
  <c r="AO16" i="11"/>
  <c r="AN16" i="11"/>
  <c r="AM16" i="11"/>
  <c r="AL16" i="11"/>
  <c r="AU16" i="11"/>
  <c r="BN15" i="11"/>
  <c r="BM15" i="11"/>
  <c r="BJ15" i="11"/>
  <c r="BI15" i="11"/>
  <c r="AW15" i="11"/>
  <c r="AP15" i="11"/>
  <c r="AO15" i="11"/>
  <c r="AN15" i="11"/>
  <c r="AM15" i="11"/>
  <c r="AL15" i="11"/>
  <c r="BH15" i="11"/>
  <c r="BN14" i="11"/>
  <c r="BM14" i="11"/>
  <c r="BJ14" i="11"/>
  <c r="BI14" i="11"/>
  <c r="AW14" i="11"/>
  <c r="AU14" i="11"/>
  <c r="AV14" i="11" s="1"/>
  <c r="AR14" i="11"/>
  <c r="AO14" i="11"/>
  <c r="AN14" i="11"/>
  <c r="AM14" i="11"/>
  <c r="AL14" i="11"/>
  <c r="BH14" i="11"/>
  <c r="BN13" i="11"/>
  <c r="BM13" i="11"/>
  <c r="BJ13" i="11"/>
  <c r="BI13" i="11"/>
  <c r="BA13" i="11"/>
  <c r="AW13" i="11"/>
  <c r="AP13" i="11"/>
  <c r="AO13" i="11"/>
  <c r="AN13" i="11"/>
  <c r="AM13" i="11"/>
  <c r="AL13" i="11"/>
  <c r="BH13" i="11"/>
  <c r="BN12" i="11"/>
  <c r="BM12" i="11"/>
  <c r="BJ12" i="11"/>
  <c r="BI12" i="11"/>
  <c r="BA12" i="11"/>
  <c r="AW12" i="11"/>
  <c r="AO12" i="11"/>
  <c r="AN12" i="11"/>
  <c r="AM12" i="11"/>
  <c r="AL12" i="11"/>
  <c r="AP12" i="11"/>
  <c r="BN11" i="11"/>
  <c r="BM11" i="11"/>
  <c r="BJ11" i="11"/>
  <c r="BI11" i="11"/>
  <c r="AW11" i="11"/>
  <c r="AR11" i="11"/>
  <c r="AO11" i="11"/>
  <c r="AN11" i="11"/>
  <c r="AM11" i="11"/>
  <c r="AL11" i="11"/>
  <c r="AU11" i="11"/>
  <c r="BH11" i="11"/>
  <c r="BN10" i="11"/>
  <c r="BM10" i="11"/>
  <c r="BJ10" i="11"/>
  <c r="BI10" i="11"/>
  <c r="AW10" i="11"/>
  <c r="AO10" i="11"/>
  <c r="AN10" i="11"/>
  <c r="AM10" i="11"/>
  <c r="AL10" i="11"/>
  <c r="BN9" i="11"/>
  <c r="BM9" i="11"/>
  <c r="BJ9" i="11"/>
  <c r="BI9" i="11"/>
  <c r="AW9" i="11"/>
  <c r="AU9" i="11"/>
  <c r="AO9" i="11"/>
  <c r="AN9" i="11"/>
  <c r="AM9" i="11"/>
  <c r="AL9" i="11"/>
  <c r="BN8" i="11"/>
  <c r="BM8" i="11"/>
  <c r="BJ8" i="11"/>
  <c r="BI8" i="11"/>
  <c r="AW8" i="11"/>
  <c r="AO8" i="11"/>
  <c r="AN8" i="11"/>
  <c r="AM8" i="11"/>
  <c r="AL8" i="11"/>
  <c r="AP8" i="11"/>
  <c r="BH8" i="11"/>
  <c r="AE63" i="10"/>
  <c r="AD63" i="10"/>
  <c r="AC63" i="10"/>
  <c r="AB63" i="10"/>
  <c r="AA63" i="10"/>
  <c r="Z63" i="10"/>
  <c r="Y63" i="10"/>
  <c r="X63" i="10"/>
  <c r="W63" i="10"/>
  <c r="V63" i="10" s="1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E63" i="10"/>
  <c r="D63" i="10"/>
  <c r="C63" i="10"/>
  <c r="BO63" i="10" s="1"/>
  <c r="B63" i="10"/>
  <c r="A63" i="10"/>
  <c r="AE62" i="10"/>
  <c r="AD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E62" i="10"/>
  <c r="D62" i="10"/>
  <c r="C62" i="10"/>
  <c r="BO62" i="10" s="1"/>
  <c r="B62" i="10"/>
  <c r="A62" i="10"/>
  <c r="AE61" i="10"/>
  <c r="AD61" i="10"/>
  <c r="AC61" i="10"/>
  <c r="AB61" i="10"/>
  <c r="AA61" i="10"/>
  <c r="Z61" i="10"/>
  <c r="Y61" i="10"/>
  <c r="X61" i="10"/>
  <c r="W61" i="10"/>
  <c r="V61" i="10" s="1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E61" i="10"/>
  <c r="D61" i="10"/>
  <c r="C61" i="10"/>
  <c r="B61" i="10"/>
  <c r="A61" i="10"/>
  <c r="AE60" i="10"/>
  <c r="AD60" i="10"/>
  <c r="AP60" i="10" s="1"/>
  <c r="AC60" i="10"/>
  <c r="AB60" i="10"/>
  <c r="AA60" i="10"/>
  <c r="Z60" i="10"/>
  <c r="Y60" i="10"/>
  <c r="X60" i="10"/>
  <c r="W60" i="10"/>
  <c r="V60" i="10" s="1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E60" i="10"/>
  <c r="D60" i="10"/>
  <c r="C60" i="10"/>
  <c r="BO60" i="10" s="1"/>
  <c r="B60" i="10"/>
  <c r="A60" i="10"/>
  <c r="AE59" i="10"/>
  <c r="AD59" i="10"/>
  <c r="AB59" i="10"/>
  <c r="AA59" i="10"/>
  <c r="Z59" i="10"/>
  <c r="Y59" i="10"/>
  <c r="AU59" i="10" s="1"/>
  <c r="X59" i="10"/>
  <c r="W59" i="10"/>
  <c r="V59" i="10" s="1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E59" i="10"/>
  <c r="D59" i="10"/>
  <c r="C59" i="10"/>
  <c r="B59" i="10"/>
  <c r="A59" i="10"/>
  <c r="AE58" i="10"/>
  <c r="AD58" i="10"/>
  <c r="AP58" i="10" s="1"/>
  <c r="AC58" i="10"/>
  <c r="AB58" i="10"/>
  <c r="AA58" i="10"/>
  <c r="Z58" i="10"/>
  <c r="Y58" i="10"/>
  <c r="X58" i="10"/>
  <c r="W58" i="10"/>
  <c r="V58" i="10" s="1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E58" i="10"/>
  <c r="D58" i="10"/>
  <c r="C58" i="10"/>
  <c r="B58" i="10"/>
  <c r="A58" i="10"/>
  <c r="AE57" i="10"/>
  <c r="AD57" i="10"/>
  <c r="AP57" i="10" s="1"/>
  <c r="AC57" i="10"/>
  <c r="AB57" i="10"/>
  <c r="AA57" i="10"/>
  <c r="Z57" i="10"/>
  <c r="Y57" i="10"/>
  <c r="X57" i="10"/>
  <c r="W57" i="10"/>
  <c r="V57" i="10" s="1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E57" i="10"/>
  <c r="D57" i="10"/>
  <c r="C57" i="10"/>
  <c r="B57" i="10"/>
  <c r="A57" i="10"/>
  <c r="AE56" i="10"/>
  <c r="AD56" i="10"/>
  <c r="AC56" i="10"/>
  <c r="AB56" i="10"/>
  <c r="AA56" i="10"/>
  <c r="Z56" i="10"/>
  <c r="Y56" i="10"/>
  <c r="X56" i="10"/>
  <c r="W56" i="10"/>
  <c r="V56" i="10" s="1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E56" i="10"/>
  <c r="D56" i="10"/>
  <c r="C56" i="10"/>
  <c r="BO56" i="10" s="1"/>
  <c r="B56" i="10"/>
  <c r="A56" i="10"/>
  <c r="AE55" i="10"/>
  <c r="AD55" i="10"/>
  <c r="AB55" i="10"/>
  <c r="AA55" i="10"/>
  <c r="Z55" i="10"/>
  <c r="Y55" i="10"/>
  <c r="AC55" i="10" s="1"/>
  <c r="X55" i="10"/>
  <c r="W55" i="10"/>
  <c r="V55" i="10" s="1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E55" i="10"/>
  <c r="D55" i="10"/>
  <c r="C55" i="10"/>
  <c r="B55" i="10"/>
  <c r="A55" i="10"/>
  <c r="AE54" i="10"/>
  <c r="AD54" i="10"/>
  <c r="AC54" i="10"/>
  <c r="AB54" i="10"/>
  <c r="AA54" i="10"/>
  <c r="Z54" i="10"/>
  <c r="Y54" i="10"/>
  <c r="X54" i="10"/>
  <c r="W54" i="10"/>
  <c r="V54" i="10" s="1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E54" i="10"/>
  <c r="D54" i="10"/>
  <c r="C54" i="10"/>
  <c r="BO54" i="10" s="1"/>
  <c r="B54" i="10"/>
  <c r="A54" i="10"/>
  <c r="AE53" i="10"/>
  <c r="AD53" i="10"/>
  <c r="AC53" i="10"/>
  <c r="AB53" i="10"/>
  <c r="AA53" i="10"/>
  <c r="Z53" i="10"/>
  <c r="Y53" i="10"/>
  <c r="X53" i="10"/>
  <c r="W53" i="10"/>
  <c r="U53" i="10" s="1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E53" i="10"/>
  <c r="D53" i="10"/>
  <c r="C53" i="10"/>
  <c r="BO53" i="10" s="1"/>
  <c r="B53" i="10"/>
  <c r="A53" i="10"/>
  <c r="AE52" i="10"/>
  <c r="AD52" i="10"/>
  <c r="AP52" i="10" s="1"/>
  <c r="AB52" i="10"/>
  <c r="AA52" i="10"/>
  <c r="Z52" i="10"/>
  <c r="Y52" i="10"/>
  <c r="X52" i="10"/>
  <c r="W52" i="10"/>
  <c r="V52" i="10" s="1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E52" i="10"/>
  <c r="D52" i="10"/>
  <c r="C52" i="10"/>
  <c r="BO52" i="10" s="1"/>
  <c r="B52" i="10"/>
  <c r="A52" i="10"/>
  <c r="AE51" i="10"/>
  <c r="AD51" i="10"/>
  <c r="AC51" i="10"/>
  <c r="AB51" i="10"/>
  <c r="AA51" i="10"/>
  <c r="Z51" i="10"/>
  <c r="Y51" i="10"/>
  <c r="X51" i="10"/>
  <c r="W51" i="10"/>
  <c r="V51" i="10" s="1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E51" i="10"/>
  <c r="D51" i="10"/>
  <c r="C51" i="10"/>
  <c r="B51" i="10"/>
  <c r="A51" i="10"/>
  <c r="AE50" i="10"/>
  <c r="AD50" i="10"/>
  <c r="AP50" i="10" s="1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E50" i="10"/>
  <c r="D50" i="10"/>
  <c r="C50" i="10"/>
  <c r="B50" i="10"/>
  <c r="A50" i="10"/>
  <c r="AE49" i="10"/>
  <c r="AD49" i="10"/>
  <c r="AP49" i="10" s="1"/>
  <c r="AC49" i="10"/>
  <c r="AB49" i="10"/>
  <c r="AA49" i="10"/>
  <c r="Z49" i="10"/>
  <c r="Y49" i="10"/>
  <c r="X49" i="10"/>
  <c r="W49" i="10"/>
  <c r="U49" i="10" s="1"/>
  <c r="V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E49" i="10"/>
  <c r="D49" i="10"/>
  <c r="C49" i="10"/>
  <c r="BO49" i="10" s="1"/>
  <c r="B49" i="10"/>
  <c r="A49" i="10"/>
  <c r="AE48" i="10"/>
  <c r="AD48" i="10"/>
  <c r="AB48" i="10"/>
  <c r="AA48" i="10"/>
  <c r="Z48" i="10"/>
  <c r="Y48" i="10"/>
  <c r="X48" i="10"/>
  <c r="W48" i="10"/>
  <c r="V48" i="10" s="1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E48" i="10"/>
  <c r="D48" i="10"/>
  <c r="C48" i="10"/>
  <c r="B48" i="10"/>
  <c r="A48" i="10"/>
  <c r="AE47" i="10"/>
  <c r="AD47" i="10"/>
  <c r="AC47" i="10"/>
  <c r="AB47" i="10"/>
  <c r="AA47" i="10"/>
  <c r="Z47" i="10"/>
  <c r="Y47" i="10"/>
  <c r="X47" i="10"/>
  <c r="W47" i="10"/>
  <c r="V47" i="10" s="1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E47" i="10"/>
  <c r="D47" i="10"/>
  <c r="C47" i="10"/>
  <c r="BO47" i="10" s="1"/>
  <c r="B47" i="10"/>
  <c r="A47" i="10"/>
  <c r="AE46" i="10"/>
  <c r="AD46" i="10"/>
  <c r="AC46" i="10"/>
  <c r="AB46" i="10"/>
  <c r="AA46" i="10"/>
  <c r="Z46" i="10"/>
  <c r="Y46" i="10"/>
  <c r="X46" i="10"/>
  <c r="W46" i="10"/>
  <c r="V46" i="10" s="1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E46" i="10"/>
  <c r="D46" i="10"/>
  <c r="C46" i="10"/>
  <c r="B46" i="10"/>
  <c r="A46" i="10"/>
  <c r="AE45" i="10"/>
  <c r="AD45" i="10"/>
  <c r="AP45" i="10" s="1"/>
  <c r="AB45" i="10"/>
  <c r="AA45" i="10"/>
  <c r="Z45" i="10"/>
  <c r="Y45" i="10"/>
  <c r="X45" i="10"/>
  <c r="W45" i="10"/>
  <c r="U45" i="10" s="1"/>
  <c r="V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E45" i="10"/>
  <c r="D45" i="10"/>
  <c r="C45" i="10"/>
  <c r="BO45" i="10" s="1"/>
  <c r="B45" i="10"/>
  <c r="A45" i="10"/>
  <c r="AE44" i="10"/>
  <c r="AD44" i="10"/>
  <c r="AC44" i="10"/>
  <c r="AB44" i="10"/>
  <c r="AA44" i="10"/>
  <c r="Z44" i="10"/>
  <c r="Y44" i="10"/>
  <c r="X44" i="10"/>
  <c r="W44" i="10"/>
  <c r="V44" i="10" s="1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E44" i="10"/>
  <c r="D44" i="10"/>
  <c r="C44" i="10"/>
  <c r="BO44" i="10" s="1"/>
  <c r="B44" i="10"/>
  <c r="A44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E43" i="10"/>
  <c r="D43" i="10"/>
  <c r="C43" i="10"/>
  <c r="B43" i="10"/>
  <c r="A43" i="10"/>
  <c r="AE42" i="10"/>
  <c r="AD42" i="10"/>
  <c r="AP42" i="10" s="1"/>
  <c r="AC42" i="10"/>
  <c r="AB42" i="10"/>
  <c r="AA42" i="10"/>
  <c r="Z42" i="10"/>
  <c r="Y42" i="10"/>
  <c r="X42" i="10"/>
  <c r="W42" i="10"/>
  <c r="V42" i="10" s="1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E42" i="10"/>
  <c r="D42" i="10"/>
  <c r="C42" i="10"/>
  <c r="B42" i="10"/>
  <c r="A42" i="10"/>
  <c r="AE41" i="10"/>
  <c r="AD41" i="10"/>
  <c r="AB41" i="10"/>
  <c r="AA41" i="10"/>
  <c r="Z41" i="10"/>
  <c r="Y41" i="10"/>
  <c r="X41" i="10"/>
  <c r="W41" i="10"/>
  <c r="U41" i="10" s="1"/>
  <c r="V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E41" i="10"/>
  <c r="D41" i="10"/>
  <c r="C41" i="10"/>
  <c r="B41" i="10"/>
  <c r="A41" i="10"/>
  <c r="AE40" i="10"/>
  <c r="AD40" i="10"/>
  <c r="AC40" i="10"/>
  <c r="AB40" i="10"/>
  <c r="AA40" i="10"/>
  <c r="Z40" i="10"/>
  <c r="Y40" i="10"/>
  <c r="X40" i="10"/>
  <c r="W40" i="10"/>
  <c r="V40" i="10" s="1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E40" i="10"/>
  <c r="D40" i="10"/>
  <c r="C40" i="10"/>
  <c r="BO40" i="10" s="1"/>
  <c r="B40" i="10"/>
  <c r="A40" i="10"/>
  <c r="AE39" i="10"/>
  <c r="AD39" i="10"/>
  <c r="AC39" i="10"/>
  <c r="AB39" i="10"/>
  <c r="AA39" i="10"/>
  <c r="Z39" i="10"/>
  <c r="Y39" i="10"/>
  <c r="BA39" i="10" s="1"/>
  <c r="X39" i="10"/>
  <c r="W39" i="10"/>
  <c r="V39" i="10" s="1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E39" i="10"/>
  <c r="D39" i="10"/>
  <c r="C39" i="10"/>
  <c r="B39" i="10"/>
  <c r="A39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E38" i="10"/>
  <c r="D38" i="10"/>
  <c r="C38" i="10"/>
  <c r="BO38" i="10" s="1"/>
  <c r="B38" i="10"/>
  <c r="A38" i="10"/>
  <c r="AE37" i="10"/>
  <c r="AD37" i="10"/>
  <c r="AP37" i="10" s="1"/>
  <c r="AC37" i="10"/>
  <c r="AB37" i="10"/>
  <c r="AA37" i="10"/>
  <c r="Z37" i="10"/>
  <c r="Y37" i="10"/>
  <c r="BA37" i="10" s="1"/>
  <c r="X37" i="10"/>
  <c r="W37" i="10"/>
  <c r="U37" i="10" s="1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E37" i="10"/>
  <c r="D37" i="10"/>
  <c r="C37" i="10"/>
  <c r="B37" i="10"/>
  <c r="A37" i="10"/>
  <c r="AE36" i="10"/>
  <c r="AD36" i="10"/>
  <c r="AP36" i="10" s="1"/>
  <c r="AC36" i="10"/>
  <c r="AB36" i="10"/>
  <c r="AA36" i="10"/>
  <c r="Z36" i="10"/>
  <c r="Y36" i="10"/>
  <c r="X36" i="10"/>
  <c r="W36" i="10"/>
  <c r="V36" i="10" s="1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E36" i="10"/>
  <c r="D36" i="10"/>
  <c r="C36" i="10"/>
  <c r="B36" i="10"/>
  <c r="A36" i="10"/>
  <c r="AE35" i="10"/>
  <c r="AD35" i="10"/>
  <c r="AC35" i="10"/>
  <c r="AB35" i="10"/>
  <c r="AV35" i="10" s="1"/>
  <c r="AA35" i="10"/>
  <c r="Z35" i="10"/>
  <c r="Y35" i="10"/>
  <c r="X35" i="10"/>
  <c r="W35" i="10"/>
  <c r="V35" i="10" s="1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E35" i="10"/>
  <c r="D35" i="10"/>
  <c r="C35" i="10"/>
  <c r="BO35" i="10" s="1"/>
  <c r="B35" i="10"/>
  <c r="A35" i="10"/>
  <c r="AE34" i="10"/>
  <c r="AD34" i="10"/>
  <c r="AP34" i="10" s="1"/>
  <c r="AB34" i="10"/>
  <c r="AA34" i="10"/>
  <c r="Z34" i="10"/>
  <c r="Y34" i="10"/>
  <c r="X34" i="10"/>
  <c r="W34" i="10"/>
  <c r="U34" i="10" s="1"/>
  <c r="V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E34" i="10"/>
  <c r="D34" i="10"/>
  <c r="C34" i="10"/>
  <c r="B34" i="10"/>
  <c r="A34" i="10"/>
  <c r="AE33" i="10"/>
  <c r="AD33" i="10"/>
  <c r="AC33" i="10"/>
  <c r="AB33" i="10"/>
  <c r="AA33" i="10"/>
  <c r="Z33" i="10"/>
  <c r="Y33" i="10"/>
  <c r="X33" i="10"/>
  <c r="W33" i="10"/>
  <c r="U33" i="10" s="1"/>
  <c r="V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E33" i="10"/>
  <c r="D33" i="10"/>
  <c r="C33" i="10"/>
  <c r="BO33" i="10" s="1"/>
  <c r="B33" i="10"/>
  <c r="A33" i="10"/>
  <c r="AE32" i="10"/>
  <c r="AD32" i="10"/>
  <c r="AC32" i="10"/>
  <c r="AB32" i="10"/>
  <c r="AA32" i="10"/>
  <c r="Z32" i="10"/>
  <c r="Y32" i="10"/>
  <c r="X32" i="10"/>
  <c r="W32" i="10"/>
  <c r="V32" i="10" s="1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E32" i="10"/>
  <c r="D32" i="10"/>
  <c r="C32" i="10"/>
  <c r="BO32" i="10" s="1"/>
  <c r="B32" i="10"/>
  <c r="A32" i="10"/>
  <c r="AE31" i="10"/>
  <c r="AD31" i="10"/>
  <c r="AC31" i="10"/>
  <c r="AB31" i="10"/>
  <c r="AA31" i="10"/>
  <c r="Z31" i="10"/>
  <c r="Y31" i="10"/>
  <c r="X31" i="10"/>
  <c r="W31" i="10"/>
  <c r="V31" i="10" s="1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E31" i="10"/>
  <c r="D31" i="10"/>
  <c r="C31" i="10"/>
  <c r="B31" i="10"/>
  <c r="A31" i="10"/>
  <c r="AE30" i="10"/>
  <c r="AD30" i="10"/>
  <c r="AC30" i="10"/>
  <c r="AB30" i="10"/>
  <c r="AA30" i="10"/>
  <c r="Z30" i="10"/>
  <c r="Y30" i="10"/>
  <c r="X30" i="10"/>
  <c r="W30" i="10"/>
  <c r="V30" i="10" s="1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E30" i="10"/>
  <c r="D30" i="10"/>
  <c r="C30" i="10"/>
  <c r="B30" i="10"/>
  <c r="A30" i="10"/>
  <c r="AE29" i="10"/>
  <c r="AD29" i="10"/>
  <c r="AC29" i="10"/>
  <c r="AB29" i="10"/>
  <c r="AA29" i="10"/>
  <c r="Z29" i="10"/>
  <c r="Y29" i="10"/>
  <c r="X29" i="10"/>
  <c r="W29" i="10"/>
  <c r="U29" i="10" s="1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E29" i="10"/>
  <c r="D29" i="10"/>
  <c r="C29" i="10"/>
  <c r="B29" i="10"/>
  <c r="A29" i="10"/>
  <c r="AE28" i="10"/>
  <c r="AD28" i="10"/>
  <c r="AP28" i="10" s="1"/>
  <c r="AC28" i="10"/>
  <c r="AB28" i="10"/>
  <c r="AA28" i="10"/>
  <c r="Z28" i="10"/>
  <c r="Y28" i="10"/>
  <c r="X28" i="10"/>
  <c r="W28" i="10"/>
  <c r="V28" i="10" s="1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E28" i="10"/>
  <c r="D28" i="10"/>
  <c r="C28" i="10"/>
  <c r="BO28" i="10" s="1"/>
  <c r="B28" i="10"/>
  <c r="A28" i="10"/>
  <c r="AE27" i="10"/>
  <c r="AD27" i="10"/>
  <c r="AB27" i="10"/>
  <c r="AA27" i="10"/>
  <c r="Z27" i="10"/>
  <c r="Y27" i="10"/>
  <c r="AC27" i="10" s="1"/>
  <c r="X27" i="10"/>
  <c r="W27" i="10"/>
  <c r="V27" i="10" s="1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E27" i="10"/>
  <c r="D27" i="10"/>
  <c r="C27" i="10"/>
  <c r="B27" i="10"/>
  <c r="A27" i="10"/>
  <c r="AE26" i="10"/>
  <c r="AD26" i="10"/>
  <c r="AP26" i="10" s="1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E26" i="10"/>
  <c r="D26" i="10"/>
  <c r="C26" i="10"/>
  <c r="BO26" i="10" s="1"/>
  <c r="B26" i="10"/>
  <c r="A26" i="10"/>
  <c r="AE25" i="10"/>
  <c r="AD25" i="10"/>
  <c r="AP25" i="10" s="1"/>
  <c r="AC25" i="10"/>
  <c r="AB25" i="10"/>
  <c r="AA25" i="10"/>
  <c r="Z25" i="10"/>
  <c r="Y25" i="10"/>
  <c r="X25" i="10"/>
  <c r="W25" i="10"/>
  <c r="U25" i="10" s="1"/>
  <c r="V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E25" i="10"/>
  <c r="D25" i="10"/>
  <c r="C25" i="10"/>
  <c r="B25" i="10"/>
  <c r="A25" i="10"/>
  <c r="AE24" i="10"/>
  <c r="AD24" i="10"/>
  <c r="AB24" i="10"/>
  <c r="AA24" i="10"/>
  <c r="Z24" i="10"/>
  <c r="Y24" i="10"/>
  <c r="AU24" i="10" s="1"/>
  <c r="X24" i="10"/>
  <c r="W24" i="10"/>
  <c r="V24" i="10" s="1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E24" i="10"/>
  <c r="D24" i="10"/>
  <c r="C24" i="10"/>
  <c r="BO24" i="10" s="1"/>
  <c r="B24" i="10"/>
  <c r="A24" i="10"/>
  <c r="AE23" i="10"/>
  <c r="AD23" i="10"/>
  <c r="AC23" i="10"/>
  <c r="AB23" i="10"/>
  <c r="AA23" i="10"/>
  <c r="Z23" i="10"/>
  <c r="Y23" i="10"/>
  <c r="X23" i="10"/>
  <c r="W23" i="10"/>
  <c r="V23" i="10" s="1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E23" i="10"/>
  <c r="D23" i="10"/>
  <c r="C23" i="10"/>
  <c r="BO23" i="10" s="1"/>
  <c r="B23" i="10"/>
  <c r="A23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E22" i="10"/>
  <c r="D22" i="10"/>
  <c r="C22" i="10"/>
  <c r="B22" i="10"/>
  <c r="A22" i="10"/>
  <c r="AE21" i="10"/>
  <c r="AD21" i="10"/>
  <c r="AC21" i="10"/>
  <c r="AB21" i="10"/>
  <c r="AA21" i="10"/>
  <c r="Z21" i="10"/>
  <c r="Y21" i="10"/>
  <c r="X21" i="10"/>
  <c r="W21" i="10"/>
  <c r="U21" i="10" s="1"/>
  <c r="V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E21" i="10"/>
  <c r="D21" i="10"/>
  <c r="C21" i="10"/>
  <c r="BO21" i="10" s="1"/>
  <c r="B21" i="10"/>
  <c r="A21" i="10"/>
  <c r="AE20" i="10"/>
  <c r="AD20" i="10"/>
  <c r="AB20" i="10"/>
  <c r="AA20" i="10"/>
  <c r="Z20" i="10"/>
  <c r="Y20" i="10"/>
  <c r="X20" i="10"/>
  <c r="W20" i="10"/>
  <c r="V20" i="10" s="1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E20" i="10"/>
  <c r="D20" i="10"/>
  <c r="C20" i="10"/>
  <c r="B20" i="10"/>
  <c r="A20" i="10"/>
  <c r="AE19" i="10"/>
  <c r="AD19" i="10"/>
  <c r="AP19" i="10" s="1"/>
  <c r="AC19" i="10"/>
  <c r="AB19" i="10"/>
  <c r="AA19" i="10"/>
  <c r="Z19" i="10"/>
  <c r="Y19" i="10"/>
  <c r="X19" i="10"/>
  <c r="W19" i="10"/>
  <c r="V19" i="10" s="1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E19" i="10"/>
  <c r="D19" i="10"/>
  <c r="C19" i="10"/>
  <c r="BO19" i="10" s="1"/>
  <c r="B19" i="10"/>
  <c r="A19" i="10"/>
  <c r="AE18" i="10"/>
  <c r="AD18" i="10"/>
  <c r="AC18" i="10"/>
  <c r="AB18" i="10"/>
  <c r="AA18" i="10"/>
  <c r="Z18" i="10"/>
  <c r="Y18" i="10"/>
  <c r="AR18" i="10" s="1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E18" i="10"/>
  <c r="D18" i="10"/>
  <c r="C18" i="10"/>
  <c r="BO18" i="10" s="1"/>
  <c r="B18" i="10"/>
  <c r="A18" i="10"/>
  <c r="AE17" i="10"/>
  <c r="AD17" i="10"/>
  <c r="AP17" i="10" s="1"/>
  <c r="AB17" i="10"/>
  <c r="AA17" i="10"/>
  <c r="Z17" i="10"/>
  <c r="Y17" i="10"/>
  <c r="X17" i="10"/>
  <c r="W17" i="10"/>
  <c r="V17" i="10" s="1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E17" i="10"/>
  <c r="D17" i="10"/>
  <c r="C17" i="10"/>
  <c r="BO17" i="10" s="1"/>
  <c r="B17" i="10"/>
  <c r="A17" i="10"/>
  <c r="AE16" i="10"/>
  <c r="AD16" i="10"/>
  <c r="AC16" i="10"/>
  <c r="AB16" i="10"/>
  <c r="AA16" i="10"/>
  <c r="Z16" i="10"/>
  <c r="Y16" i="10"/>
  <c r="X16" i="10"/>
  <c r="W16" i="10"/>
  <c r="V16" i="10" s="1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E16" i="10"/>
  <c r="D16" i="10"/>
  <c r="C16" i="10"/>
  <c r="B16" i="10"/>
  <c r="A16" i="10"/>
  <c r="AE15" i="10"/>
  <c r="AD15" i="10"/>
  <c r="AP15" i="10" s="1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E15" i="10"/>
  <c r="D15" i="10"/>
  <c r="C15" i="10"/>
  <c r="B15" i="10"/>
  <c r="A15" i="10"/>
  <c r="AE14" i="10"/>
  <c r="AD14" i="10"/>
  <c r="AP14" i="10" s="1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E14" i="10"/>
  <c r="D14" i="10"/>
  <c r="C14" i="10"/>
  <c r="BO14" i="10" s="1"/>
  <c r="B14" i="10"/>
  <c r="A14" i="10"/>
  <c r="AE13" i="10"/>
  <c r="AD13" i="10"/>
  <c r="AB13" i="10"/>
  <c r="AA13" i="10"/>
  <c r="Z13" i="10"/>
  <c r="Y13" i="10"/>
  <c r="X13" i="10"/>
  <c r="W13" i="10"/>
  <c r="V13" i="10" s="1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E13" i="10"/>
  <c r="D13" i="10"/>
  <c r="C13" i="10"/>
  <c r="B13" i="10"/>
  <c r="A13" i="10"/>
  <c r="AE12" i="10"/>
  <c r="AD12" i="10"/>
  <c r="AP12" i="10" s="1"/>
  <c r="AC12" i="10"/>
  <c r="AB12" i="10"/>
  <c r="AA12" i="10"/>
  <c r="Z12" i="10"/>
  <c r="Y12" i="10"/>
  <c r="X12" i="10"/>
  <c r="W12" i="10"/>
  <c r="V12" i="10" s="1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E12" i="10"/>
  <c r="D12" i="10"/>
  <c r="C12" i="10"/>
  <c r="BO12" i="10" s="1"/>
  <c r="B12" i="10"/>
  <c r="A12" i="10"/>
  <c r="AE11" i="10"/>
  <c r="AD11" i="10"/>
  <c r="AC11" i="10"/>
  <c r="AB11" i="10"/>
  <c r="AA11" i="10"/>
  <c r="Z11" i="10"/>
  <c r="Y11" i="10"/>
  <c r="X11" i="10"/>
  <c r="W11" i="10"/>
  <c r="V11" i="10" s="1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E11" i="10"/>
  <c r="D11" i="10"/>
  <c r="C11" i="10"/>
  <c r="B11" i="10"/>
  <c r="A11" i="10"/>
  <c r="AE10" i="10"/>
  <c r="AD10" i="10"/>
  <c r="AC10" i="10"/>
  <c r="AB10" i="10"/>
  <c r="AA10" i="10"/>
  <c r="Z10" i="10"/>
  <c r="Y10" i="10"/>
  <c r="X10" i="10"/>
  <c r="W10" i="10"/>
  <c r="V10" i="10" s="1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E10" i="10"/>
  <c r="D10" i="10"/>
  <c r="C10" i="10"/>
  <c r="B10" i="10"/>
  <c r="A10" i="10"/>
  <c r="AE9" i="10"/>
  <c r="AD9" i="10"/>
  <c r="AP9" i="10" s="1"/>
  <c r="AC9" i="10"/>
  <c r="AB9" i="10"/>
  <c r="AA9" i="10"/>
  <c r="Z9" i="10"/>
  <c r="Y9" i="10"/>
  <c r="X9" i="10"/>
  <c r="W9" i="10"/>
  <c r="U9" i="10" s="1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E9" i="10"/>
  <c r="D9" i="10"/>
  <c r="C9" i="10"/>
  <c r="B9" i="10"/>
  <c r="A9" i="10"/>
  <c r="AE8" i="10"/>
  <c r="AD8" i="10"/>
  <c r="AP8" i="10" s="1"/>
  <c r="AC8" i="10"/>
  <c r="AB8" i="10"/>
  <c r="AA8" i="10"/>
  <c r="Z8" i="10"/>
  <c r="Y8" i="10"/>
  <c r="AR8" i="10" s="1"/>
  <c r="X8" i="10"/>
  <c r="W8" i="10"/>
  <c r="V8" i="10" s="1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E8" i="10"/>
  <c r="D8" i="10"/>
  <c r="C8" i="10"/>
  <c r="BO8" i="10" s="1"/>
  <c r="B8" i="10"/>
  <c r="A8" i="10"/>
  <c r="BN63" i="10"/>
  <c r="BM63" i="10"/>
  <c r="BL63" i="10"/>
  <c r="BK63" i="10"/>
  <c r="BJ63" i="10"/>
  <c r="BI63" i="10"/>
  <c r="BH63" i="10"/>
  <c r="AW63" i="10"/>
  <c r="AO63" i="10"/>
  <c r="AN63" i="10"/>
  <c r="AM63" i="10"/>
  <c r="AL63" i="10"/>
  <c r="AP63" i="10"/>
  <c r="BN62" i="10"/>
  <c r="BM62" i="10"/>
  <c r="BL62" i="10"/>
  <c r="BK62" i="10"/>
  <c r="BJ62" i="10"/>
  <c r="BI62" i="10"/>
  <c r="BH62" i="10"/>
  <c r="AW62" i="10"/>
  <c r="AP62" i="10"/>
  <c r="AO62" i="10"/>
  <c r="AN62" i="10"/>
  <c r="AM62" i="10"/>
  <c r="AL62" i="10"/>
  <c r="BN61" i="10"/>
  <c r="BM61" i="10"/>
  <c r="BL61" i="10"/>
  <c r="BK61" i="10"/>
  <c r="BJ61" i="10"/>
  <c r="BI61" i="10"/>
  <c r="BH61" i="10"/>
  <c r="AW61" i="10"/>
  <c r="AO61" i="10"/>
  <c r="AN61" i="10"/>
  <c r="AM61" i="10"/>
  <c r="AL61" i="10"/>
  <c r="AP61" i="10"/>
  <c r="BO61" i="10"/>
  <c r="BN60" i="10"/>
  <c r="BM60" i="10"/>
  <c r="BL60" i="10"/>
  <c r="BK60" i="10"/>
  <c r="BJ60" i="10"/>
  <c r="BI60" i="10"/>
  <c r="BH60" i="10"/>
  <c r="AW60" i="10"/>
  <c r="AR60" i="10"/>
  <c r="AO60" i="10"/>
  <c r="AN60" i="10"/>
  <c r="AM60" i="10"/>
  <c r="AL60" i="10"/>
  <c r="BA60" i="10"/>
  <c r="BN59" i="10"/>
  <c r="BM59" i="10"/>
  <c r="BL59" i="10"/>
  <c r="BK59" i="10"/>
  <c r="BJ59" i="10"/>
  <c r="BI59" i="10"/>
  <c r="BH59" i="10"/>
  <c r="AW59" i="10"/>
  <c r="AO59" i="10"/>
  <c r="AN59" i="10"/>
  <c r="AM59" i="10"/>
  <c r="AL59" i="10"/>
  <c r="AP59" i="10"/>
  <c r="BO59" i="10"/>
  <c r="BN58" i="10"/>
  <c r="BM58" i="10"/>
  <c r="BL58" i="10"/>
  <c r="BK58" i="10"/>
  <c r="BJ58" i="10"/>
  <c r="BI58" i="10"/>
  <c r="BH58" i="10"/>
  <c r="AW58" i="10"/>
  <c r="AR58" i="10"/>
  <c r="AO58" i="10"/>
  <c r="AN58" i="10"/>
  <c r="AM58" i="10"/>
  <c r="AL58" i="10"/>
  <c r="BO58" i="10"/>
  <c r="BO57" i="10"/>
  <c r="BN57" i="10"/>
  <c r="BM57" i="10"/>
  <c r="BL57" i="10"/>
  <c r="BK57" i="10"/>
  <c r="BJ57" i="10"/>
  <c r="BI57" i="10"/>
  <c r="BH57" i="10"/>
  <c r="AW57" i="10"/>
  <c r="AO57" i="10"/>
  <c r="AN57" i="10"/>
  <c r="AM57" i="10"/>
  <c r="AL57" i="10"/>
  <c r="BN56" i="10"/>
  <c r="BM56" i="10"/>
  <c r="BL56" i="10"/>
  <c r="BK56" i="10"/>
  <c r="BJ56" i="10"/>
  <c r="BI56" i="10"/>
  <c r="BH56" i="10"/>
  <c r="AW56" i="10"/>
  <c r="AP56" i="10"/>
  <c r="AO56" i="10"/>
  <c r="AN56" i="10"/>
  <c r="AM56" i="10"/>
  <c r="AL56" i="10"/>
  <c r="BO55" i="10"/>
  <c r="BN55" i="10"/>
  <c r="BM55" i="10"/>
  <c r="BL55" i="10"/>
  <c r="BK55" i="10"/>
  <c r="BJ55" i="10"/>
  <c r="BI55" i="10"/>
  <c r="BH55" i="10"/>
  <c r="AW55" i="10"/>
  <c r="AP55" i="10"/>
  <c r="AO55" i="10"/>
  <c r="AN55" i="10"/>
  <c r="AM55" i="10"/>
  <c r="AL55" i="10"/>
  <c r="BN54" i="10"/>
  <c r="BM54" i="10"/>
  <c r="BL54" i="10"/>
  <c r="BK54" i="10"/>
  <c r="BJ54" i="10"/>
  <c r="BI54" i="10"/>
  <c r="BH54" i="10"/>
  <c r="AW54" i="10"/>
  <c r="AO54" i="10"/>
  <c r="AN54" i="10"/>
  <c r="AM54" i="10"/>
  <c r="AL54" i="10"/>
  <c r="AP54" i="10"/>
  <c r="BN53" i="10"/>
  <c r="BM53" i="10"/>
  <c r="BL53" i="10"/>
  <c r="BK53" i="10"/>
  <c r="BJ53" i="10"/>
  <c r="BI53" i="10"/>
  <c r="BH53" i="10"/>
  <c r="AW53" i="10"/>
  <c r="AO53" i="10"/>
  <c r="AN53" i="10"/>
  <c r="AM53" i="10"/>
  <c r="AL53" i="10"/>
  <c r="AP53" i="10"/>
  <c r="BN52" i="10"/>
  <c r="BM52" i="10"/>
  <c r="BL52" i="10"/>
  <c r="BK52" i="10"/>
  <c r="BJ52" i="10"/>
  <c r="BI52" i="10"/>
  <c r="BH52" i="10"/>
  <c r="AW52" i="10"/>
  <c r="AO52" i="10"/>
  <c r="AN52" i="10"/>
  <c r="AM52" i="10"/>
  <c r="AL52" i="10"/>
  <c r="AU52" i="10"/>
  <c r="BO51" i="10"/>
  <c r="BN51" i="10"/>
  <c r="BM51" i="10"/>
  <c r="BL51" i="10"/>
  <c r="BK51" i="10"/>
  <c r="BJ51" i="10"/>
  <c r="BI51" i="10"/>
  <c r="BH51" i="10"/>
  <c r="BA51" i="10"/>
  <c r="AW51" i="10"/>
  <c r="AP51" i="10"/>
  <c r="AO51" i="10"/>
  <c r="AN51" i="10"/>
  <c r="AM51" i="10"/>
  <c r="AL51" i="10"/>
  <c r="BO50" i="10"/>
  <c r="BN50" i="10"/>
  <c r="BM50" i="10"/>
  <c r="BL50" i="10"/>
  <c r="BK50" i="10"/>
  <c r="BJ50" i="10"/>
  <c r="BI50" i="10"/>
  <c r="BH50" i="10"/>
  <c r="AW50" i="10"/>
  <c r="AO50" i="10"/>
  <c r="AN50" i="10"/>
  <c r="AM50" i="10"/>
  <c r="AL50" i="10"/>
  <c r="BN49" i="10"/>
  <c r="BM49" i="10"/>
  <c r="BL49" i="10"/>
  <c r="BK49" i="10"/>
  <c r="BJ49" i="10"/>
  <c r="BI49" i="10"/>
  <c r="BH49" i="10"/>
  <c r="AW49" i="10"/>
  <c r="AU49" i="10"/>
  <c r="AO49" i="10"/>
  <c r="AN49" i="10"/>
  <c r="AM49" i="10"/>
  <c r="AL49" i="10"/>
  <c r="BO48" i="10"/>
  <c r="BN48" i="10"/>
  <c r="BM48" i="10"/>
  <c r="BL48" i="10"/>
  <c r="BK48" i="10"/>
  <c r="BJ48" i="10"/>
  <c r="BI48" i="10"/>
  <c r="BH48" i="10"/>
  <c r="AW48" i="10"/>
  <c r="AU48" i="10"/>
  <c r="AO48" i="10"/>
  <c r="AN48" i="10"/>
  <c r="AM48" i="10"/>
  <c r="AL48" i="10"/>
  <c r="AP48" i="10"/>
  <c r="BN47" i="10"/>
  <c r="BM47" i="10"/>
  <c r="BL47" i="10"/>
  <c r="BK47" i="10"/>
  <c r="BJ47" i="10"/>
  <c r="BI47" i="10"/>
  <c r="BH47" i="10"/>
  <c r="BA47" i="10"/>
  <c r="AW47" i="10"/>
  <c r="AU47" i="10"/>
  <c r="AR47" i="10"/>
  <c r="AP47" i="10"/>
  <c r="AO47" i="10"/>
  <c r="AN47" i="10"/>
  <c r="AM47" i="10"/>
  <c r="AL47" i="10"/>
  <c r="BO46" i="10"/>
  <c r="BN46" i="10"/>
  <c r="BM46" i="10"/>
  <c r="BL46" i="10"/>
  <c r="BK46" i="10"/>
  <c r="BJ46" i="10"/>
  <c r="BI46" i="10"/>
  <c r="BH46" i="10"/>
  <c r="AW46" i="10"/>
  <c r="AP46" i="10"/>
  <c r="AO46" i="10"/>
  <c r="AN46" i="10"/>
  <c r="AM46" i="10"/>
  <c r="AL46" i="10"/>
  <c r="BN45" i="10"/>
  <c r="BM45" i="10"/>
  <c r="BL45" i="10"/>
  <c r="BK45" i="10"/>
  <c r="BJ45" i="10"/>
  <c r="BI45" i="10"/>
  <c r="BH45" i="10"/>
  <c r="BA45" i="10"/>
  <c r="AW45" i="10"/>
  <c r="AR45" i="10"/>
  <c r="AO45" i="10"/>
  <c r="AN45" i="10"/>
  <c r="AM45" i="10"/>
  <c r="AL45" i="10"/>
  <c r="BN44" i="10"/>
  <c r="BM44" i="10"/>
  <c r="BL44" i="10"/>
  <c r="BK44" i="10"/>
  <c r="BJ44" i="10"/>
  <c r="BI44" i="10"/>
  <c r="BH44" i="10"/>
  <c r="AW44" i="10"/>
  <c r="AP44" i="10"/>
  <c r="AO44" i="10"/>
  <c r="AN44" i="10"/>
  <c r="AM44" i="10"/>
  <c r="AL44" i="10"/>
  <c r="BN43" i="10"/>
  <c r="BM43" i="10"/>
  <c r="BL43" i="10"/>
  <c r="BK43" i="10"/>
  <c r="BJ43" i="10"/>
  <c r="BI43" i="10"/>
  <c r="BH43" i="10"/>
  <c r="BA43" i="10"/>
  <c r="AW43" i="10"/>
  <c r="AU43" i="10"/>
  <c r="AR43" i="10"/>
  <c r="AO43" i="10"/>
  <c r="AN43" i="10"/>
  <c r="AM43" i="10"/>
  <c r="AL43" i="10"/>
  <c r="AP43" i="10"/>
  <c r="BO43" i="10"/>
  <c r="BN42" i="10"/>
  <c r="BM42" i="10"/>
  <c r="BL42" i="10"/>
  <c r="BK42" i="10"/>
  <c r="BJ42" i="10"/>
  <c r="BI42" i="10"/>
  <c r="BH42" i="10"/>
  <c r="AW42" i="10"/>
  <c r="AU42" i="10"/>
  <c r="AO42" i="10"/>
  <c r="AN42" i="10"/>
  <c r="AM42" i="10"/>
  <c r="AL42" i="10"/>
  <c r="BO42" i="10"/>
  <c r="BN41" i="10"/>
  <c r="BM41" i="10"/>
  <c r="BL41" i="10"/>
  <c r="BK41" i="10"/>
  <c r="BJ41" i="10"/>
  <c r="BI41" i="10"/>
  <c r="BH41" i="10"/>
  <c r="BA41" i="10"/>
  <c r="AW41" i="10"/>
  <c r="AO41" i="10"/>
  <c r="AN41" i="10"/>
  <c r="AM41" i="10"/>
  <c r="AL41" i="10"/>
  <c r="AP41" i="10"/>
  <c r="BO41" i="10"/>
  <c r="BN40" i="10"/>
  <c r="BM40" i="10"/>
  <c r="BL40" i="10"/>
  <c r="BK40" i="10"/>
  <c r="BJ40" i="10"/>
  <c r="BI40" i="10"/>
  <c r="BH40" i="10"/>
  <c r="AW40" i="10"/>
  <c r="AU40" i="10"/>
  <c r="AP40" i="10"/>
  <c r="AO40" i="10"/>
  <c r="AN40" i="10"/>
  <c r="AM40" i="10"/>
  <c r="AL40" i="10"/>
  <c r="BN39" i="10"/>
  <c r="BM39" i="10"/>
  <c r="BL39" i="10"/>
  <c r="BK39" i="10"/>
  <c r="BJ39" i="10"/>
  <c r="BI39" i="10"/>
  <c r="BH39" i="10"/>
  <c r="AW39" i="10"/>
  <c r="AR39" i="10"/>
  <c r="AO39" i="10"/>
  <c r="AN39" i="10"/>
  <c r="AM39" i="10"/>
  <c r="AL39" i="10"/>
  <c r="AP39" i="10"/>
  <c r="BO39" i="10"/>
  <c r="BN38" i="10"/>
  <c r="BM38" i="10"/>
  <c r="BL38" i="10"/>
  <c r="BK38" i="10"/>
  <c r="BJ38" i="10"/>
  <c r="BI38" i="10"/>
  <c r="BH38" i="10"/>
  <c r="AW38" i="10"/>
  <c r="AP38" i="10"/>
  <c r="AO38" i="10"/>
  <c r="AN38" i="10"/>
  <c r="AM38" i="10"/>
  <c r="AL38" i="10"/>
  <c r="BO37" i="10"/>
  <c r="BN37" i="10"/>
  <c r="BM37" i="10"/>
  <c r="BL37" i="10"/>
  <c r="BK37" i="10"/>
  <c r="BJ37" i="10"/>
  <c r="BI37" i="10"/>
  <c r="BH37" i="10"/>
  <c r="AW37" i="10"/>
  <c r="AO37" i="10"/>
  <c r="AN37" i="10"/>
  <c r="AM37" i="10"/>
  <c r="AL37" i="10"/>
  <c r="BN36" i="10"/>
  <c r="BM36" i="10"/>
  <c r="BL36" i="10"/>
  <c r="BK36" i="10"/>
  <c r="BJ36" i="10"/>
  <c r="BI36" i="10"/>
  <c r="BH36" i="10"/>
  <c r="AW36" i="10"/>
  <c r="AO36" i="10"/>
  <c r="AN36" i="10"/>
  <c r="AM36" i="10"/>
  <c r="AL36" i="10"/>
  <c r="BO36" i="10"/>
  <c r="BN35" i="10"/>
  <c r="BM35" i="10"/>
  <c r="BL35" i="10"/>
  <c r="BK35" i="10"/>
  <c r="BJ35" i="10"/>
  <c r="BI35" i="10"/>
  <c r="BH35" i="10"/>
  <c r="BA35" i="10"/>
  <c r="AW35" i="10"/>
  <c r="AU35" i="10"/>
  <c r="AO35" i="10"/>
  <c r="AN35" i="10"/>
  <c r="AM35" i="10"/>
  <c r="AL35" i="10"/>
  <c r="AP35" i="10"/>
  <c r="BN34" i="10"/>
  <c r="BM34" i="10"/>
  <c r="BL34" i="10"/>
  <c r="BK34" i="10"/>
  <c r="BJ34" i="10"/>
  <c r="BI34" i="10"/>
  <c r="BH34" i="10"/>
  <c r="AW34" i="10"/>
  <c r="AO34" i="10"/>
  <c r="AN34" i="10"/>
  <c r="AM34" i="10"/>
  <c r="AL34" i="10"/>
  <c r="BO34" i="10"/>
  <c r="BN33" i="10"/>
  <c r="BM33" i="10"/>
  <c r="BL33" i="10"/>
  <c r="BK33" i="10"/>
  <c r="BJ33" i="10"/>
  <c r="BI33" i="10"/>
  <c r="BH33" i="10"/>
  <c r="BA33" i="10"/>
  <c r="AW33" i="10"/>
  <c r="AU33" i="10"/>
  <c r="AO33" i="10"/>
  <c r="AN33" i="10"/>
  <c r="AM33" i="10"/>
  <c r="AL33" i="10"/>
  <c r="AP33" i="10"/>
  <c r="BN32" i="10"/>
  <c r="BM32" i="10"/>
  <c r="BL32" i="10"/>
  <c r="BK32" i="10"/>
  <c r="BJ32" i="10"/>
  <c r="BI32" i="10"/>
  <c r="BH32" i="10"/>
  <c r="AW32" i="10"/>
  <c r="AP32" i="10"/>
  <c r="AO32" i="10"/>
  <c r="AN32" i="10"/>
  <c r="AM32" i="10"/>
  <c r="AL32" i="10"/>
  <c r="BO31" i="10"/>
  <c r="BN31" i="10"/>
  <c r="BM31" i="10"/>
  <c r="BL31" i="10"/>
  <c r="BK31" i="10"/>
  <c r="BJ31" i="10"/>
  <c r="BI31" i="10"/>
  <c r="BH31" i="10"/>
  <c r="BA31" i="10"/>
  <c r="AW31" i="10"/>
  <c r="AO31" i="10"/>
  <c r="AN31" i="10"/>
  <c r="AM31" i="10"/>
  <c r="AL31" i="10"/>
  <c r="AP31" i="10"/>
  <c r="BN30" i="10"/>
  <c r="BM30" i="10"/>
  <c r="BL30" i="10"/>
  <c r="BK30" i="10"/>
  <c r="BJ30" i="10"/>
  <c r="BI30" i="10"/>
  <c r="BH30" i="10"/>
  <c r="AW30" i="10"/>
  <c r="AP30" i="10"/>
  <c r="AO30" i="10"/>
  <c r="AN30" i="10"/>
  <c r="AM30" i="10"/>
  <c r="AL30" i="10"/>
  <c r="BO30" i="10"/>
  <c r="BO29" i="10"/>
  <c r="BN29" i="10"/>
  <c r="BM29" i="10"/>
  <c r="BL29" i="10"/>
  <c r="BK29" i="10"/>
  <c r="BJ29" i="10"/>
  <c r="BI29" i="10"/>
  <c r="BH29" i="10"/>
  <c r="AW29" i="10"/>
  <c r="AO29" i="10"/>
  <c r="AN29" i="10"/>
  <c r="AM29" i="10"/>
  <c r="AL29" i="10"/>
  <c r="AP29" i="10"/>
  <c r="BN28" i="10"/>
  <c r="BM28" i="10"/>
  <c r="BL28" i="10"/>
  <c r="BK28" i="10"/>
  <c r="BJ28" i="10"/>
  <c r="BI28" i="10"/>
  <c r="BH28" i="10"/>
  <c r="AW28" i="10"/>
  <c r="AO28" i="10"/>
  <c r="AN28" i="10"/>
  <c r="AM28" i="10"/>
  <c r="AL28" i="10"/>
  <c r="BO27" i="10"/>
  <c r="BN27" i="10"/>
  <c r="BM27" i="10"/>
  <c r="BL27" i="10"/>
  <c r="BK27" i="10"/>
  <c r="BJ27" i="10"/>
  <c r="BI27" i="10"/>
  <c r="BH27" i="10"/>
  <c r="AW27" i="10"/>
  <c r="AO27" i="10"/>
  <c r="AN27" i="10"/>
  <c r="AM27" i="10"/>
  <c r="AL27" i="10"/>
  <c r="AP27" i="10"/>
  <c r="BN26" i="10"/>
  <c r="BM26" i="10"/>
  <c r="BL26" i="10"/>
  <c r="BK26" i="10"/>
  <c r="BJ26" i="10"/>
  <c r="BI26" i="10"/>
  <c r="BH26" i="10"/>
  <c r="AW26" i="10"/>
  <c r="AR26" i="10"/>
  <c r="AO26" i="10"/>
  <c r="AN26" i="10"/>
  <c r="AM26" i="10"/>
  <c r="AL26" i="10"/>
  <c r="BA26" i="10"/>
  <c r="BO25" i="10"/>
  <c r="BN25" i="10"/>
  <c r="BM25" i="10"/>
  <c r="BL25" i="10"/>
  <c r="BK25" i="10"/>
  <c r="BJ25" i="10"/>
  <c r="BI25" i="10"/>
  <c r="BH25" i="10"/>
  <c r="AW25" i="10"/>
  <c r="AO25" i="10"/>
  <c r="AN25" i="10"/>
  <c r="AM25" i="10"/>
  <c r="AL25" i="10"/>
  <c r="BN24" i="10"/>
  <c r="BM24" i="10"/>
  <c r="BL24" i="10"/>
  <c r="BK24" i="10"/>
  <c r="BJ24" i="10"/>
  <c r="BI24" i="10"/>
  <c r="BH24" i="10"/>
  <c r="AW24" i="10"/>
  <c r="AP24" i="10"/>
  <c r="AO24" i="10"/>
  <c r="AN24" i="10"/>
  <c r="AM24" i="10"/>
  <c r="AL24" i="10"/>
  <c r="BN23" i="10"/>
  <c r="BM23" i="10"/>
  <c r="BL23" i="10"/>
  <c r="BK23" i="10"/>
  <c r="BJ23" i="10"/>
  <c r="BI23" i="10"/>
  <c r="BH23" i="10"/>
  <c r="AW23" i="10"/>
  <c r="AO23" i="10"/>
  <c r="AN23" i="10"/>
  <c r="AM23" i="10"/>
  <c r="AL23" i="10"/>
  <c r="AP23" i="10"/>
  <c r="BN22" i="10"/>
  <c r="BM22" i="10"/>
  <c r="BL22" i="10"/>
  <c r="BK22" i="10"/>
  <c r="BJ22" i="10"/>
  <c r="BI22" i="10"/>
  <c r="BH22" i="10"/>
  <c r="AW22" i="10"/>
  <c r="AP22" i="10"/>
  <c r="AO22" i="10"/>
  <c r="AN22" i="10"/>
  <c r="AM22" i="10"/>
  <c r="AL22" i="10"/>
  <c r="BO22" i="10"/>
  <c r="BN21" i="10"/>
  <c r="BM21" i="10"/>
  <c r="BL21" i="10"/>
  <c r="BK21" i="10"/>
  <c r="BJ21" i="10"/>
  <c r="BI21" i="10"/>
  <c r="BH21" i="10"/>
  <c r="AW21" i="10"/>
  <c r="AR21" i="10"/>
  <c r="AP21" i="10"/>
  <c r="AO21" i="10"/>
  <c r="AN21" i="10"/>
  <c r="AM21" i="10"/>
  <c r="AL21" i="10"/>
  <c r="BO20" i="10"/>
  <c r="BN20" i="10"/>
  <c r="BM20" i="10"/>
  <c r="BL20" i="10"/>
  <c r="BK20" i="10"/>
  <c r="BJ20" i="10"/>
  <c r="BI20" i="10"/>
  <c r="BH20" i="10"/>
  <c r="AW20" i="10"/>
  <c r="AO20" i="10"/>
  <c r="AN20" i="10"/>
  <c r="AM20" i="10"/>
  <c r="AL20" i="10"/>
  <c r="AP20" i="10"/>
  <c r="BN19" i="10"/>
  <c r="BM19" i="10"/>
  <c r="BL19" i="10"/>
  <c r="BK19" i="10"/>
  <c r="BJ19" i="10"/>
  <c r="BI19" i="10"/>
  <c r="BH19" i="10"/>
  <c r="BA19" i="10"/>
  <c r="AW19" i="10"/>
  <c r="AU19" i="10"/>
  <c r="AO19" i="10"/>
  <c r="AN19" i="10"/>
  <c r="AM19" i="10"/>
  <c r="AL19" i="10"/>
  <c r="BN18" i="10"/>
  <c r="BM18" i="10"/>
  <c r="BL18" i="10"/>
  <c r="BK18" i="10"/>
  <c r="BJ18" i="10"/>
  <c r="BI18" i="10"/>
  <c r="BH18" i="10"/>
  <c r="AW18" i="10"/>
  <c r="AO18" i="10"/>
  <c r="AN18" i="10"/>
  <c r="AM18" i="10"/>
  <c r="AL18" i="10"/>
  <c r="AP18" i="10"/>
  <c r="BN17" i="10"/>
  <c r="BM17" i="10"/>
  <c r="BL17" i="10"/>
  <c r="BK17" i="10"/>
  <c r="BJ17" i="10"/>
  <c r="BI17" i="10"/>
  <c r="BH17" i="10"/>
  <c r="AW17" i="10"/>
  <c r="AO17" i="10"/>
  <c r="AN17" i="10"/>
  <c r="AM17" i="10"/>
  <c r="AL17" i="10"/>
  <c r="BN16" i="10"/>
  <c r="BM16" i="10"/>
  <c r="BL16" i="10"/>
  <c r="BK16" i="10"/>
  <c r="BJ16" i="10"/>
  <c r="BI16" i="10"/>
  <c r="BH16" i="10"/>
  <c r="AW16" i="10"/>
  <c r="AP16" i="10"/>
  <c r="AO16" i="10"/>
  <c r="AN16" i="10"/>
  <c r="AM16" i="10"/>
  <c r="AL16" i="10"/>
  <c r="BO16" i="10"/>
  <c r="BN15" i="10"/>
  <c r="BM15" i="10"/>
  <c r="BL15" i="10"/>
  <c r="BK15" i="10"/>
  <c r="BJ15" i="10"/>
  <c r="BI15" i="10"/>
  <c r="BH15" i="10"/>
  <c r="AW15" i="10"/>
  <c r="AO15" i="10"/>
  <c r="AN15" i="10"/>
  <c r="AM15" i="10"/>
  <c r="AL15" i="10"/>
  <c r="BO15" i="10"/>
  <c r="BN14" i="10"/>
  <c r="BM14" i="10"/>
  <c r="BL14" i="10"/>
  <c r="BK14" i="10"/>
  <c r="BJ14" i="10"/>
  <c r="BI14" i="10"/>
  <c r="BH14" i="10"/>
  <c r="AW14" i="10"/>
  <c r="AU14" i="10"/>
  <c r="AO14" i="10"/>
  <c r="AN14" i="10"/>
  <c r="AM14" i="10"/>
  <c r="AL14" i="10"/>
  <c r="BN13" i="10"/>
  <c r="BM13" i="10"/>
  <c r="BL13" i="10"/>
  <c r="BK13" i="10"/>
  <c r="BJ13" i="10"/>
  <c r="BI13" i="10"/>
  <c r="BH13" i="10"/>
  <c r="AW13" i="10"/>
  <c r="AO13" i="10"/>
  <c r="AN13" i="10"/>
  <c r="AM13" i="10"/>
  <c r="AL13" i="10"/>
  <c r="AP13" i="10"/>
  <c r="BO13" i="10"/>
  <c r="BN12" i="10"/>
  <c r="BM12" i="10"/>
  <c r="BL12" i="10"/>
  <c r="BK12" i="10"/>
  <c r="BJ12" i="10"/>
  <c r="BI12" i="10"/>
  <c r="BH12" i="10"/>
  <c r="AW12" i="10"/>
  <c r="AO12" i="10"/>
  <c r="AN12" i="10"/>
  <c r="AM12" i="10"/>
  <c r="AL12" i="10"/>
  <c r="BN11" i="10"/>
  <c r="BM11" i="10"/>
  <c r="BL11" i="10"/>
  <c r="BK11" i="10"/>
  <c r="BJ11" i="10"/>
  <c r="BI11" i="10"/>
  <c r="BH11" i="10"/>
  <c r="AW11" i="10"/>
  <c r="AP11" i="10"/>
  <c r="AO11" i="10"/>
  <c r="AN11" i="10"/>
  <c r="AM11" i="10"/>
  <c r="AL11" i="10"/>
  <c r="BO11" i="10"/>
  <c r="BO10" i="10"/>
  <c r="BN10" i="10"/>
  <c r="BM10" i="10"/>
  <c r="BL10" i="10"/>
  <c r="BK10" i="10"/>
  <c r="BJ10" i="10"/>
  <c r="BI10" i="10"/>
  <c r="BH10" i="10"/>
  <c r="BA10" i="10"/>
  <c r="BB10" i="10"/>
  <c r="AW10" i="10"/>
  <c r="AU10" i="10"/>
  <c r="AO10" i="10"/>
  <c r="AN10" i="10"/>
  <c r="AM10" i="10"/>
  <c r="AL10" i="10"/>
  <c r="AP10" i="10"/>
  <c r="AV10" i="10"/>
  <c r="BN9" i="10"/>
  <c r="BM9" i="10"/>
  <c r="BL9" i="10"/>
  <c r="BK9" i="10"/>
  <c r="BJ9" i="10"/>
  <c r="BI9" i="10"/>
  <c r="BH9" i="10"/>
  <c r="AW9" i="10"/>
  <c r="AO9" i="10"/>
  <c r="AN9" i="10"/>
  <c r="AM9" i="10"/>
  <c r="AL9" i="10"/>
  <c r="BO9" i="10"/>
  <c r="BN8" i="10"/>
  <c r="BM8" i="10"/>
  <c r="BL8" i="10"/>
  <c r="BK8" i="10"/>
  <c r="BJ8" i="10"/>
  <c r="BI8" i="10"/>
  <c r="BH8" i="10"/>
  <c r="AW8" i="10"/>
  <c r="AO8" i="10"/>
  <c r="AN8" i="10"/>
  <c r="AM8" i="10"/>
  <c r="AL8" i="10"/>
  <c r="AE63" i="9"/>
  <c r="AD63" i="9"/>
  <c r="AC63" i="9"/>
  <c r="AB63" i="9"/>
  <c r="AV63" i="9" s="1"/>
  <c r="AA63" i="9"/>
  <c r="Z63" i="9"/>
  <c r="Y63" i="9"/>
  <c r="X63" i="9"/>
  <c r="V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E63" i="9"/>
  <c r="D63" i="9"/>
  <c r="C63" i="9"/>
  <c r="B63" i="9"/>
  <c r="A63" i="9"/>
  <c r="AE62" i="9"/>
  <c r="AD62" i="9"/>
  <c r="AP62" i="9" s="1"/>
  <c r="AB62" i="9"/>
  <c r="AA62" i="9"/>
  <c r="Z62" i="9"/>
  <c r="Y62" i="9"/>
  <c r="BA62" i="9" s="1"/>
  <c r="X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E62" i="9"/>
  <c r="D62" i="9"/>
  <c r="BN62" i="9" s="1"/>
  <c r="C62" i="9"/>
  <c r="B62" i="9"/>
  <c r="A62" i="9"/>
  <c r="AE61" i="9"/>
  <c r="AD61" i="9"/>
  <c r="AC61" i="9"/>
  <c r="AB61" i="9"/>
  <c r="AA61" i="9"/>
  <c r="Z61" i="9"/>
  <c r="Y61" i="9"/>
  <c r="X61" i="9"/>
  <c r="V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E61" i="9"/>
  <c r="D61" i="9"/>
  <c r="C61" i="9"/>
  <c r="B61" i="9"/>
  <c r="A61" i="9"/>
  <c r="AE60" i="9"/>
  <c r="AD60" i="9"/>
  <c r="AC60" i="9"/>
  <c r="AB60" i="9"/>
  <c r="AA60" i="9"/>
  <c r="Z60" i="9"/>
  <c r="Y60" i="9"/>
  <c r="X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E60" i="9"/>
  <c r="D60" i="9"/>
  <c r="C60" i="9"/>
  <c r="B60" i="9"/>
  <c r="A60" i="9"/>
  <c r="AE59" i="9"/>
  <c r="AD59" i="9"/>
  <c r="AP59" i="9" s="1"/>
  <c r="AB59" i="9"/>
  <c r="AA59" i="9"/>
  <c r="Z59" i="9"/>
  <c r="Y59" i="9"/>
  <c r="X59" i="9"/>
  <c r="V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E59" i="9"/>
  <c r="D59" i="9"/>
  <c r="C59" i="9"/>
  <c r="B59" i="9"/>
  <c r="A59" i="9"/>
  <c r="AE58" i="9"/>
  <c r="AD58" i="9"/>
  <c r="AC58" i="9"/>
  <c r="AB58" i="9"/>
  <c r="AA58" i="9"/>
  <c r="Z58" i="9"/>
  <c r="Y58" i="9"/>
  <c r="X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E58" i="9"/>
  <c r="D58" i="9"/>
  <c r="BN58" i="9" s="1"/>
  <c r="C58" i="9"/>
  <c r="B58" i="9"/>
  <c r="A58" i="9"/>
  <c r="AE57" i="9"/>
  <c r="AD57" i="9"/>
  <c r="AC57" i="9"/>
  <c r="AB57" i="9"/>
  <c r="AA57" i="9"/>
  <c r="Z57" i="9"/>
  <c r="Y57" i="9"/>
  <c r="X57" i="9"/>
  <c r="U57" i="9"/>
  <c r="V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E57" i="9"/>
  <c r="D57" i="9"/>
  <c r="BN57" i="9" s="1"/>
  <c r="C57" i="9"/>
  <c r="B57" i="9"/>
  <c r="A57" i="9"/>
  <c r="AE56" i="9"/>
  <c r="AD56" i="9"/>
  <c r="AC56" i="9"/>
  <c r="AB56" i="9"/>
  <c r="AA56" i="9"/>
  <c r="Z56" i="9"/>
  <c r="Y56" i="9"/>
  <c r="X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E56" i="9"/>
  <c r="D56" i="9"/>
  <c r="C56" i="9"/>
  <c r="B56" i="9"/>
  <c r="A56" i="9"/>
  <c r="AE55" i="9"/>
  <c r="AD55" i="9"/>
  <c r="AP55" i="9" s="1"/>
  <c r="AB55" i="9"/>
  <c r="AA55" i="9"/>
  <c r="Z55" i="9"/>
  <c r="Y55" i="9"/>
  <c r="AU55" i="9" s="1"/>
  <c r="X55" i="9"/>
  <c r="V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E55" i="9"/>
  <c r="D55" i="9"/>
  <c r="BN55" i="9" s="1"/>
  <c r="C55" i="9"/>
  <c r="B55" i="9"/>
  <c r="A55" i="9"/>
  <c r="AE54" i="9"/>
  <c r="AD54" i="9"/>
  <c r="AC54" i="9"/>
  <c r="AB54" i="9"/>
  <c r="AV54" i="9" s="1"/>
  <c r="AA54" i="9"/>
  <c r="Z54" i="9"/>
  <c r="Y54" i="9"/>
  <c r="X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E54" i="9"/>
  <c r="D54" i="9"/>
  <c r="BN54" i="9" s="1"/>
  <c r="C54" i="9"/>
  <c r="B54" i="9"/>
  <c r="A54" i="9"/>
  <c r="AE53" i="9"/>
  <c r="AD53" i="9"/>
  <c r="AC53" i="9"/>
  <c r="AB53" i="9"/>
  <c r="AA53" i="9"/>
  <c r="Z53" i="9"/>
  <c r="Y53" i="9"/>
  <c r="AU53" i="9" s="1"/>
  <c r="AV53" i="9" s="1"/>
  <c r="X53" i="9"/>
  <c r="U53" i="9"/>
  <c r="V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E53" i="9"/>
  <c r="D53" i="9"/>
  <c r="C53" i="9"/>
  <c r="B53" i="9"/>
  <c r="A53" i="9"/>
  <c r="AE52" i="9"/>
  <c r="AD52" i="9"/>
  <c r="AB52" i="9"/>
  <c r="AA52" i="9"/>
  <c r="Z52" i="9"/>
  <c r="Y52" i="9"/>
  <c r="X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E52" i="9"/>
  <c r="D52" i="9"/>
  <c r="BN52" i="9" s="1"/>
  <c r="C52" i="9"/>
  <c r="B52" i="9"/>
  <c r="A52" i="9"/>
  <c r="AE51" i="9"/>
  <c r="AD51" i="9"/>
  <c r="AC51" i="9"/>
  <c r="AB51" i="9"/>
  <c r="AA51" i="9"/>
  <c r="Z51" i="9"/>
  <c r="Y51" i="9"/>
  <c r="X51" i="9"/>
  <c r="V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E51" i="9"/>
  <c r="D51" i="9"/>
  <c r="C51" i="9"/>
  <c r="B51" i="9"/>
  <c r="A51" i="9"/>
  <c r="AE50" i="9"/>
  <c r="AD50" i="9"/>
  <c r="AC50" i="9"/>
  <c r="AB50" i="9"/>
  <c r="AA50" i="9"/>
  <c r="Z50" i="9"/>
  <c r="Y50" i="9"/>
  <c r="X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E50" i="9"/>
  <c r="D50" i="9"/>
  <c r="BN50" i="9" s="1"/>
  <c r="C50" i="9"/>
  <c r="B50" i="9"/>
  <c r="A50" i="9"/>
  <c r="AE49" i="9"/>
  <c r="AD49" i="9"/>
  <c r="AC49" i="9"/>
  <c r="AB49" i="9"/>
  <c r="AA49" i="9"/>
  <c r="Z49" i="9"/>
  <c r="Y49" i="9"/>
  <c r="X49" i="9"/>
  <c r="U49" i="9"/>
  <c r="V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E49" i="9"/>
  <c r="D49" i="9"/>
  <c r="BN49" i="9" s="1"/>
  <c r="C49" i="9"/>
  <c r="B49" i="9"/>
  <c r="A49" i="9"/>
  <c r="AE48" i="9"/>
  <c r="AD48" i="9"/>
  <c r="AP48" i="9" s="1"/>
  <c r="AB48" i="9"/>
  <c r="AA48" i="9"/>
  <c r="Z48" i="9"/>
  <c r="Y48" i="9"/>
  <c r="X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E48" i="9"/>
  <c r="D48" i="9"/>
  <c r="BN48" i="9" s="1"/>
  <c r="C48" i="9"/>
  <c r="B48" i="9"/>
  <c r="A48" i="9"/>
  <c r="AE47" i="9"/>
  <c r="AD47" i="9"/>
  <c r="AC47" i="9"/>
  <c r="AB47" i="9"/>
  <c r="AA47" i="9"/>
  <c r="Z47" i="9"/>
  <c r="Y47" i="9"/>
  <c r="X47" i="9"/>
  <c r="V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E47" i="9"/>
  <c r="D47" i="9"/>
  <c r="C47" i="9"/>
  <c r="B47" i="9"/>
  <c r="A47" i="9"/>
  <c r="AE46" i="9"/>
  <c r="AD46" i="9"/>
  <c r="AP46" i="9" s="1"/>
  <c r="AC46" i="9"/>
  <c r="AB46" i="9"/>
  <c r="AA46" i="9"/>
  <c r="Z46" i="9"/>
  <c r="Y46" i="9"/>
  <c r="X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E46" i="9"/>
  <c r="D46" i="9"/>
  <c r="BN46" i="9" s="1"/>
  <c r="C46" i="9"/>
  <c r="B46" i="9"/>
  <c r="A46" i="9"/>
  <c r="AE45" i="9"/>
  <c r="AD45" i="9"/>
  <c r="AB45" i="9"/>
  <c r="AA45" i="9"/>
  <c r="Z45" i="9"/>
  <c r="Y45" i="9"/>
  <c r="X45" i="9"/>
  <c r="U45" i="9"/>
  <c r="V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E45" i="9"/>
  <c r="D45" i="9"/>
  <c r="C45" i="9"/>
  <c r="B45" i="9"/>
  <c r="A45" i="9"/>
  <c r="AE44" i="9"/>
  <c r="AD44" i="9"/>
  <c r="AC44" i="9"/>
  <c r="AB44" i="9"/>
  <c r="AA44" i="9"/>
  <c r="Z44" i="9"/>
  <c r="Y44" i="9"/>
  <c r="X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E44" i="9"/>
  <c r="D44" i="9"/>
  <c r="C44" i="9"/>
  <c r="B44" i="9"/>
  <c r="A44" i="9"/>
  <c r="AE43" i="9"/>
  <c r="AD43" i="9"/>
  <c r="AC43" i="9"/>
  <c r="AB43" i="9"/>
  <c r="AA43" i="9"/>
  <c r="Z43" i="9"/>
  <c r="Y43" i="9"/>
  <c r="X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E43" i="9"/>
  <c r="D43" i="9"/>
  <c r="BN43" i="9" s="1"/>
  <c r="C43" i="9"/>
  <c r="B43" i="9"/>
  <c r="A43" i="9"/>
  <c r="AE42" i="9"/>
  <c r="AD42" i="9"/>
  <c r="AC42" i="9"/>
  <c r="AB42" i="9"/>
  <c r="AA42" i="9"/>
  <c r="Z42" i="9"/>
  <c r="Y42" i="9"/>
  <c r="X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E42" i="9"/>
  <c r="D42" i="9"/>
  <c r="C42" i="9"/>
  <c r="B42" i="9"/>
  <c r="A42" i="9"/>
  <c r="AE41" i="9"/>
  <c r="AD41" i="9"/>
  <c r="AP41" i="9" s="1"/>
  <c r="AB41" i="9"/>
  <c r="AA41" i="9"/>
  <c r="Z41" i="9"/>
  <c r="Y41" i="9"/>
  <c r="X41" i="9"/>
  <c r="U41" i="9"/>
  <c r="V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E41" i="9"/>
  <c r="D41" i="9"/>
  <c r="C41" i="9"/>
  <c r="B41" i="9"/>
  <c r="A41" i="9"/>
  <c r="AE40" i="9"/>
  <c r="AD40" i="9"/>
  <c r="AC40" i="9"/>
  <c r="AB40" i="9"/>
  <c r="AA40" i="9"/>
  <c r="Z40" i="9"/>
  <c r="Y40" i="9"/>
  <c r="X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E40" i="9"/>
  <c r="D40" i="9"/>
  <c r="C40" i="9"/>
  <c r="B40" i="9"/>
  <c r="A40" i="9"/>
  <c r="AE39" i="9"/>
  <c r="AD39" i="9"/>
  <c r="AC39" i="9"/>
  <c r="AB39" i="9"/>
  <c r="AA39" i="9"/>
  <c r="Z39" i="9"/>
  <c r="Y39" i="9"/>
  <c r="BA39" i="9" s="1"/>
  <c r="X39" i="9"/>
  <c r="V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E39" i="9"/>
  <c r="D39" i="9"/>
  <c r="BN39" i="9" s="1"/>
  <c r="C39" i="9"/>
  <c r="B39" i="9"/>
  <c r="A39" i="9"/>
  <c r="AE38" i="9"/>
  <c r="AD38" i="9"/>
  <c r="AP38" i="9" s="1"/>
  <c r="AC38" i="9"/>
  <c r="AB38" i="9"/>
  <c r="AA38" i="9"/>
  <c r="Z38" i="9"/>
  <c r="Y38" i="9"/>
  <c r="X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E38" i="9"/>
  <c r="D38" i="9"/>
  <c r="BN38" i="9" s="1"/>
  <c r="C38" i="9"/>
  <c r="B38" i="9"/>
  <c r="A38" i="9"/>
  <c r="AE37" i="9"/>
  <c r="AD37" i="9"/>
  <c r="AC37" i="9"/>
  <c r="AB37" i="9"/>
  <c r="AA37" i="9"/>
  <c r="Z37" i="9"/>
  <c r="Y37" i="9"/>
  <c r="X37" i="9"/>
  <c r="U37" i="9"/>
  <c r="V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E37" i="9"/>
  <c r="D37" i="9"/>
  <c r="C37" i="9"/>
  <c r="B37" i="9"/>
  <c r="A37" i="9"/>
  <c r="AE36" i="9"/>
  <c r="AD36" i="9"/>
  <c r="AC36" i="9"/>
  <c r="AB36" i="9"/>
  <c r="AA36" i="9"/>
  <c r="Z36" i="9"/>
  <c r="Y36" i="9"/>
  <c r="X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E36" i="9"/>
  <c r="D36" i="9"/>
  <c r="C36" i="9"/>
  <c r="B36" i="9"/>
  <c r="A36" i="9"/>
  <c r="AE35" i="9"/>
  <c r="AD35" i="9"/>
  <c r="AC35" i="9"/>
  <c r="AB35" i="9"/>
  <c r="AA35" i="9"/>
  <c r="Z35" i="9"/>
  <c r="Y35" i="9"/>
  <c r="X35" i="9"/>
  <c r="V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E35" i="9"/>
  <c r="D35" i="9"/>
  <c r="C35" i="9"/>
  <c r="B35" i="9"/>
  <c r="A35" i="9"/>
  <c r="AE34" i="9"/>
  <c r="AD34" i="9"/>
  <c r="AP34" i="9" s="1"/>
  <c r="AB34" i="9"/>
  <c r="AA34" i="9"/>
  <c r="Z34" i="9"/>
  <c r="Y34" i="9"/>
  <c r="X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E34" i="9"/>
  <c r="D34" i="9"/>
  <c r="BN34" i="9" s="1"/>
  <c r="C34" i="9"/>
  <c r="B34" i="9"/>
  <c r="A34" i="9"/>
  <c r="AE33" i="9"/>
  <c r="AD33" i="9"/>
  <c r="AP33" i="9" s="1"/>
  <c r="AC33" i="9"/>
  <c r="AB33" i="9"/>
  <c r="AV33" i="9" s="1"/>
  <c r="AA33" i="9"/>
  <c r="Z33" i="9"/>
  <c r="Y33" i="9"/>
  <c r="X33" i="9"/>
  <c r="U33" i="9"/>
  <c r="V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E33" i="9"/>
  <c r="D33" i="9"/>
  <c r="C33" i="9"/>
  <c r="B33" i="9"/>
  <c r="A33" i="9"/>
  <c r="AE32" i="9"/>
  <c r="AD32" i="9"/>
  <c r="AC32" i="9"/>
  <c r="AB32" i="9"/>
  <c r="AA32" i="9"/>
  <c r="Z32" i="9"/>
  <c r="Y32" i="9"/>
  <c r="X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E32" i="9"/>
  <c r="D32" i="9"/>
  <c r="C32" i="9"/>
  <c r="B32" i="9"/>
  <c r="A32" i="9"/>
  <c r="AE31" i="9"/>
  <c r="AD31" i="9"/>
  <c r="AP31" i="9" s="1"/>
  <c r="AB31" i="9"/>
  <c r="AA31" i="9"/>
  <c r="Z31" i="9"/>
  <c r="Y31" i="9"/>
  <c r="AU31" i="9" s="1"/>
  <c r="X31" i="9"/>
  <c r="V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E31" i="9"/>
  <c r="D31" i="9"/>
  <c r="BN31" i="9" s="1"/>
  <c r="C31" i="9"/>
  <c r="B31" i="9"/>
  <c r="A31" i="9"/>
  <c r="AE30" i="9"/>
  <c r="AD30" i="9"/>
  <c r="AC30" i="9"/>
  <c r="AB30" i="9"/>
  <c r="AA30" i="9"/>
  <c r="Z30" i="9"/>
  <c r="Y30" i="9"/>
  <c r="X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E30" i="9"/>
  <c r="D30" i="9"/>
  <c r="BN30" i="9" s="1"/>
  <c r="C30" i="9"/>
  <c r="B30" i="9"/>
  <c r="A30" i="9"/>
  <c r="AE29" i="9"/>
  <c r="AD29" i="9"/>
  <c r="AP29" i="9" s="1"/>
  <c r="AC29" i="9"/>
  <c r="AB29" i="9"/>
  <c r="AA29" i="9"/>
  <c r="Z29" i="9"/>
  <c r="Y29" i="9"/>
  <c r="X29" i="9"/>
  <c r="U29" i="9"/>
  <c r="V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E29" i="9"/>
  <c r="D29" i="9"/>
  <c r="BN29" i="9" s="1"/>
  <c r="C29" i="9"/>
  <c r="B29" i="9"/>
  <c r="A29" i="9"/>
  <c r="AE28" i="9"/>
  <c r="AD28" i="9"/>
  <c r="AC28" i="9"/>
  <c r="AB28" i="9"/>
  <c r="AA28" i="9"/>
  <c r="Z28" i="9"/>
  <c r="Y28" i="9"/>
  <c r="X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E28" i="9"/>
  <c r="D28" i="9"/>
  <c r="C28" i="9"/>
  <c r="B28" i="9"/>
  <c r="A28" i="9"/>
  <c r="AE27" i="9"/>
  <c r="AD27" i="9"/>
  <c r="AB27" i="9"/>
  <c r="AA27" i="9"/>
  <c r="Z27" i="9"/>
  <c r="Y27" i="9"/>
  <c r="AU27" i="9" s="1"/>
  <c r="X27" i="9"/>
  <c r="V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E27" i="9"/>
  <c r="D27" i="9"/>
  <c r="BN27" i="9" s="1"/>
  <c r="C27" i="9"/>
  <c r="B27" i="9"/>
  <c r="A27" i="9"/>
  <c r="AE26" i="9"/>
  <c r="AD26" i="9"/>
  <c r="AC26" i="9"/>
  <c r="AB26" i="9"/>
  <c r="AA26" i="9"/>
  <c r="Z26" i="9"/>
  <c r="Y26" i="9"/>
  <c r="X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E26" i="9"/>
  <c r="D26" i="9"/>
  <c r="BN26" i="9" s="1"/>
  <c r="C26" i="9"/>
  <c r="B26" i="9"/>
  <c r="A26" i="9"/>
  <c r="AE25" i="9"/>
  <c r="AD25" i="9"/>
  <c r="AP25" i="9" s="1"/>
  <c r="AC25" i="9"/>
  <c r="AB25" i="9"/>
  <c r="AA25" i="9"/>
  <c r="Z25" i="9"/>
  <c r="Y25" i="9"/>
  <c r="X25" i="9"/>
  <c r="U25" i="9"/>
  <c r="V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E25" i="9"/>
  <c r="D25" i="9"/>
  <c r="C25" i="9"/>
  <c r="B25" i="9"/>
  <c r="A25" i="9"/>
  <c r="AE24" i="9"/>
  <c r="AD24" i="9"/>
  <c r="AP24" i="9" s="1"/>
  <c r="AB24" i="9"/>
  <c r="AA24" i="9"/>
  <c r="Z24" i="9"/>
  <c r="Y24" i="9"/>
  <c r="X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E24" i="9"/>
  <c r="D24" i="9"/>
  <c r="BN24" i="9" s="1"/>
  <c r="C24" i="9"/>
  <c r="B24" i="9"/>
  <c r="A24" i="9"/>
  <c r="AE23" i="9"/>
  <c r="AD23" i="9"/>
  <c r="AC23" i="9"/>
  <c r="AB23" i="9"/>
  <c r="AA23" i="9"/>
  <c r="Z23" i="9"/>
  <c r="Y23" i="9"/>
  <c r="X23" i="9"/>
  <c r="V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E23" i="9"/>
  <c r="D23" i="9"/>
  <c r="C23" i="9"/>
  <c r="B23" i="9"/>
  <c r="A23" i="9"/>
  <c r="AE22" i="9"/>
  <c r="AD22" i="9"/>
  <c r="AP22" i="9" s="1"/>
  <c r="AC22" i="9"/>
  <c r="AB22" i="9"/>
  <c r="AA22" i="9"/>
  <c r="Z22" i="9"/>
  <c r="Y22" i="9"/>
  <c r="X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E22" i="9"/>
  <c r="D22" i="9"/>
  <c r="BN22" i="9" s="1"/>
  <c r="C22" i="9"/>
  <c r="B22" i="9"/>
  <c r="A22" i="9"/>
  <c r="AE21" i="9"/>
  <c r="AD21" i="9"/>
  <c r="AC21" i="9"/>
  <c r="AB21" i="9"/>
  <c r="AA21" i="9"/>
  <c r="Z21" i="9"/>
  <c r="Y21" i="9"/>
  <c r="X21" i="9"/>
  <c r="U21" i="9"/>
  <c r="V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E21" i="9"/>
  <c r="D21" i="9"/>
  <c r="BN21" i="9" s="1"/>
  <c r="C21" i="9"/>
  <c r="B21" i="9"/>
  <c r="A21" i="9"/>
  <c r="AE20" i="9"/>
  <c r="AD20" i="9"/>
  <c r="AP20" i="9" s="1"/>
  <c r="AB20" i="9"/>
  <c r="AA20" i="9"/>
  <c r="Z20" i="9"/>
  <c r="Y20" i="9"/>
  <c r="X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E20" i="9"/>
  <c r="D20" i="9"/>
  <c r="BN20" i="9" s="1"/>
  <c r="C20" i="9"/>
  <c r="B20" i="9"/>
  <c r="A20" i="9"/>
  <c r="AE19" i="9"/>
  <c r="AD19" i="9"/>
  <c r="AC19" i="9"/>
  <c r="AB19" i="9"/>
  <c r="AA19" i="9"/>
  <c r="Z19" i="9"/>
  <c r="Y19" i="9"/>
  <c r="X19" i="9"/>
  <c r="V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E19" i="9"/>
  <c r="D19" i="9"/>
  <c r="C19" i="9"/>
  <c r="B19" i="9"/>
  <c r="A19" i="9"/>
  <c r="AE18" i="9"/>
  <c r="AD18" i="9"/>
  <c r="AP18" i="9" s="1"/>
  <c r="AC18" i="9"/>
  <c r="AB18" i="9"/>
  <c r="AA18" i="9"/>
  <c r="Z18" i="9"/>
  <c r="Y18" i="9"/>
  <c r="X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E18" i="9"/>
  <c r="D18" i="9"/>
  <c r="BN18" i="9" s="1"/>
  <c r="C18" i="9"/>
  <c r="B18" i="9"/>
  <c r="A18" i="9"/>
  <c r="AE17" i="9"/>
  <c r="AD17" i="9"/>
  <c r="AC17" i="9"/>
  <c r="AB17" i="9"/>
  <c r="AA17" i="9"/>
  <c r="Z17" i="9"/>
  <c r="Y17" i="9"/>
  <c r="AU17" i="9" s="1"/>
  <c r="X17" i="9"/>
  <c r="U17" i="9"/>
  <c r="V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E17" i="9"/>
  <c r="D17" i="9"/>
  <c r="C17" i="9"/>
  <c r="B17" i="9"/>
  <c r="A17" i="9"/>
  <c r="AE16" i="9"/>
  <c r="AD16" i="9"/>
  <c r="AP16" i="9" s="1"/>
  <c r="AC16" i="9"/>
  <c r="AB16" i="9"/>
  <c r="AA16" i="9"/>
  <c r="Z16" i="9"/>
  <c r="Y16" i="9"/>
  <c r="X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E16" i="9"/>
  <c r="D16" i="9"/>
  <c r="C16" i="9"/>
  <c r="B16" i="9"/>
  <c r="A16" i="9"/>
  <c r="AE15" i="9"/>
  <c r="AD15" i="9"/>
  <c r="AC15" i="9"/>
  <c r="AB15" i="9"/>
  <c r="AA15" i="9"/>
  <c r="Z15" i="9"/>
  <c r="Y15" i="9"/>
  <c r="X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E15" i="9"/>
  <c r="D15" i="9"/>
  <c r="BN15" i="9" s="1"/>
  <c r="C15" i="9"/>
  <c r="B15" i="9"/>
  <c r="A15" i="9"/>
  <c r="AE14" i="9"/>
  <c r="AD14" i="9"/>
  <c r="AC14" i="9"/>
  <c r="AB14" i="9"/>
  <c r="AA14" i="9"/>
  <c r="Z14" i="9"/>
  <c r="Y14" i="9"/>
  <c r="X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E14" i="9"/>
  <c r="D14" i="9"/>
  <c r="BN14" i="9" s="1"/>
  <c r="C14" i="9"/>
  <c r="B14" i="9"/>
  <c r="A14" i="9"/>
  <c r="AE13" i="9"/>
  <c r="AD13" i="9"/>
  <c r="AB13" i="9"/>
  <c r="AA13" i="9"/>
  <c r="Z13" i="9"/>
  <c r="Y13" i="9"/>
  <c r="X13" i="9"/>
  <c r="U13" i="9"/>
  <c r="V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E13" i="9"/>
  <c r="D13" i="9"/>
  <c r="C13" i="9"/>
  <c r="B13" i="9"/>
  <c r="A13" i="9"/>
  <c r="AE12" i="9"/>
  <c r="AD12" i="9"/>
  <c r="AC12" i="9"/>
  <c r="AB12" i="9"/>
  <c r="AA12" i="9"/>
  <c r="Z12" i="9"/>
  <c r="Y12" i="9"/>
  <c r="X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E12" i="9"/>
  <c r="D12" i="9"/>
  <c r="BN12" i="9" s="1"/>
  <c r="C12" i="9"/>
  <c r="B12" i="9"/>
  <c r="A12" i="9"/>
  <c r="AE11" i="9"/>
  <c r="AD11" i="9"/>
  <c r="AP11" i="9" s="1"/>
  <c r="AC11" i="9"/>
  <c r="AB11" i="9"/>
  <c r="AA11" i="9"/>
  <c r="Z11" i="9"/>
  <c r="Y11" i="9"/>
  <c r="X11" i="9"/>
  <c r="V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E11" i="9"/>
  <c r="D11" i="9"/>
  <c r="BN11" i="9" s="1"/>
  <c r="C11" i="9"/>
  <c r="B11" i="9"/>
  <c r="A11" i="9"/>
  <c r="AE10" i="9"/>
  <c r="AD10" i="9"/>
  <c r="AP10" i="9" s="1"/>
  <c r="AC10" i="9"/>
  <c r="AB10" i="9"/>
  <c r="AA10" i="9"/>
  <c r="Z10" i="9"/>
  <c r="Y10" i="9"/>
  <c r="X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E10" i="9"/>
  <c r="D10" i="9"/>
  <c r="BN10" i="9" s="1"/>
  <c r="C10" i="9"/>
  <c r="B10" i="9"/>
  <c r="A10" i="9"/>
  <c r="AE9" i="9"/>
  <c r="AD9" i="9"/>
  <c r="AP9" i="9" s="1"/>
  <c r="AC9" i="9"/>
  <c r="AB9" i="9"/>
  <c r="AA9" i="9"/>
  <c r="Z9" i="9"/>
  <c r="Y9" i="9"/>
  <c r="X9" i="9"/>
  <c r="U9" i="9"/>
  <c r="V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E9" i="9"/>
  <c r="D9" i="9"/>
  <c r="C9" i="9"/>
  <c r="B9" i="9"/>
  <c r="A9" i="9"/>
  <c r="AE8" i="9"/>
  <c r="AD8" i="9"/>
  <c r="AP8" i="9" s="1"/>
  <c r="AC8" i="9"/>
  <c r="AB8" i="9"/>
  <c r="AA8" i="9"/>
  <c r="Z8" i="9"/>
  <c r="Y8" i="9"/>
  <c r="X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E8" i="9"/>
  <c r="D8" i="9"/>
  <c r="BN8" i="9" s="1"/>
  <c r="C8" i="9"/>
  <c r="B8" i="9"/>
  <c r="A8" i="9"/>
  <c r="BM63" i="9"/>
  <c r="BL63" i="9"/>
  <c r="BK63" i="9"/>
  <c r="BJ63" i="9"/>
  <c r="BI63" i="9"/>
  <c r="BH63" i="9"/>
  <c r="BA63" i="9"/>
  <c r="AW63" i="9"/>
  <c r="AR63" i="9"/>
  <c r="AO63" i="9"/>
  <c r="AN63" i="9"/>
  <c r="AM63" i="9"/>
  <c r="AL63" i="9"/>
  <c r="AP63" i="9"/>
  <c r="AU63" i="9"/>
  <c r="BN63" i="9"/>
  <c r="BM62" i="9"/>
  <c r="BL62" i="9"/>
  <c r="BK62" i="9"/>
  <c r="BJ62" i="9"/>
  <c r="BI62" i="9"/>
  <c r="BH62" i="9"/>
  <c r="AW62" i="9"/>
  <c r="AU62" i="9"/>
  <c r="AV62" i="9" s="1"/>
  <c r="AR62" i="9"/>
  <c r="AO62" i="9"/>
  <c r="AN62" i="9"/>
  <c r="AM62" i="9"/>
  <c r="AL62" i="9"/>
  <c r="BM61" i="9"/>
  <c r="BL61" i="9"/>
  <c r="BK61" i="9"/>
  <c r="BJ61" i="9"/>
  <c r="BI61" i="9"/>
  <c r="BH61" i="9"/>
  <c r="BA61" i="9"/>
  <c r="AW61" i="9"/>
  <c r="AU61" i="9"/>
  <c r="AR61" i="9"/>
  <c r="AO61" i="9"/>
  <c r="AN61" i="9"/>
  <c r="AM61" i="9"/>
  <c r="AL61" i="9"/>
  <c r="AP61" i="9"/>
  <c r="BN61" i="9"/>
  <c r="BM60" i="9"/>
  <c r="BL60" i="9"/>
  <c r="BK60" i="9"/>
  <c r="BJ60" i="9"/>
  <c r="BI60" i="9"/>
  <c r="BH60" i="9"/>
  <c r="AW60" i="9"/>
  <c r="AO60" i="9"/>
  <c r="AN60" i="9"/>
  <c r="AM60" i="9"/>
  <c r="AL60" i="9"/>
  <c r="AP60" i="9"/>
  <c r="BN60" i="9"/>
  <c r="BN59" i="9"/>
  <c r="BM59" i="9"/>
  <c r="BL59" i="9"/>
  <c r="BK59" i="9"/>
  <c r="BJ59" i="9"/>
  <c r="BI59" i="9"/>
  <c r="BH59" i="9"/>
  <c r="BA59" i="9"/>
  <c r="AW59" i="9"/>
  <c r="AU59" i="9"/>
  <c r="AO59" i="9"/>
  <c r="AN59" i="9"/>
  <c r="AM59" i="9"/>
  <c r="AL59" i="9"/>
  <c r="BM58" i="9"/>
  <c r="BL58" i="9"/>
  <c r="BK58" i="9"/>
  <c r="BJ58" i="9"/>
  <c r="BI58" i="9"/>
  <c r="BH58" i="9"/>
  <c r="AW58" i="9"/>
  <c r="AP58" i="9"/>
  <c r="AO58" i="9"/>
  <c r="AN58" i="9"/>
  <c r="AM58" i="9"/>
  <c r="AL58" i="9"/>
  <c r="BM57" i="9"/>
  <c r="BL57" i="9"/>
  <c r="BK57" i="9"/>
  <c r="BJ57" i="9"/>
  <c r="BI57" i="9"/>
  <c r="BH57" i="9"/>
  <c r="AW57" i="9"/>
  <c r="AP57" i="9"/>
  <c r="AO57" i="9"/>
  <c r="AN57" i="9"/>
  <c r="AM57" i="9"/>
  <c r="AL57" i="9"/>
  <c r="BM56" i="9"/>
  <c r="BL56" i="9"/>
  <c r="BK56" i="9"/>
  <c r="BJ56" i="9"/>
  <c r="BI56" i="9"/>
  <c r="BH56" i="9"/>
  <c r="AW56" i="9"/>
  <c r="AO56" i="9"/>
  <c r="AN56" i="9"/>
  <c r="AM56" i="9"/>
  <c r="AL56" i="9"/>
  <c r="AP56" i="9"/>
  <c r="BN56" i="9"/>
  <c r="BM55" i="9"/>
  <c r="BL55" i="9"/>
  <c r="BK55" i="9"/>
  <c r="BJ55" i="9"/>
  <c r="BI55" i="9"/>
  <c r="BH55" i="9"/>
  <c r="AW55" i="9"/>
  <c r="AR55" i="9"/>
  <c r="AO55" i="9"/>
  <c r="AN55" i="9"/>
  <c r="AM55" i="9"/>
  <c r="AL55" i="9"/>
  <c r="BM54" i="9"/>
  <c r="BL54" i="9"/>
  <c r="BK54" i="9"/>
  <c r="BJ54" i="9"/>
  <c r="BI54" i="9"/>
  <c r="BH54" i="9"/>
  <c r="BA54" i="9"/>
  <c r="AW54" i="9"/>
  <c r="AU54" i="9"/>
  <c r="AR54" i="9"/>
  <c r="AO54" i="9"/>
  <c r="AN54" i="9"/>
  <c r="AM54" i="9"/>
  <c r="AL54" i="9"/>
  <c r="AP54" i="9"/>
  <c r="BM53" i="9"/>
  <c r="BL53" i="9"/>
  <c r="BK53" i="9"/>
  <c r="BJ53" i="9"/>
  <c r="BI53" i="9"/>
  <c r="BH53" i="9"/>
  <c r="AW53" i="9"/>
  <c r="AO53" i="9"/>
  <c r="AN53" i="9"/>
  <c r="AM53" i="9"/>
  <c r="AL53" i="9"/>
  <c r="AP53" i="9"/>
  <c r="BN53" i="9"/>
  <c r="BM52" i="9"/>
  <c r="BL52" i="9"/>
  <c r="BK52" i="9"/>
  <c r="BJ52" i="9"/>
  <c r="BI52" i="9"/>
  <c r="BH52" i="9"/>
  <c r="AW52" i="9"/>
  <c r="AO52" i="9"/>
  <c r="AN52" i="9"/>
  <c r="AM52" i="9"/>
  <c r="AL52" i="9"/>
  <c r="AP52" i="9"/>
  <c r="BN51" i="9"/>
  <c r="BM51" i="9"/>
  <c r="BL51" i="9"/>
  <c r="BK51" i="9"/>
  <c r="BJ51" i="9"/>
  <c r="BI51" i="9"/>
  <c r="BH51" i="9"/>
  <c r="AW51" i="9"/>
  <c r="AU51" i="9"/>
  <c r="AV51" i="9" s="1"/>
  <c r="AP51" i="9"/>
  <c r="AO51" i="9"/>
  <c r="AN51" i="9"/>
  <c r="AM51" i="9"/>
  <c r="AL51" i="9"/>
  <c r="BM50" i="9"/>
  <c r="BL50" i="9"/>
  <c r="BK50" i="9"/>
  <c r="BJ50" i="9"/>
  <c r="BI50" i="9"/>
  <c r="BH50" i="9"/>
  <c r="BA50" i="9"/>
  <c r="AW50" i="9"/>
  <c r="AR50" i="9"/>
  <c r="AP50" i="9"/>
  <c r="AO50" i="9"/>
  <c r="AN50" i="9"/>
  <c r="AM50" i="9"/>
  <c r="AL50" i="9"/>
  <c r="BM49" i="9"/>
  <c r="BL49" i="9"/>
  <c r="BK49" i="9"/>
  <c r="BJ49" i="9"/>
  <c r="BI49" i="9"/>
  <c r="BH49" i="9"/>
  <c r="AW49" i="9"/>
  <c r="AO49" i="9"/>
  <c r="AN49" i="9"/>
  <c r="AM49" i="9"/>
  <c r="AL49" i="9"/>
  <c r="AP49" i="9"/>
  <c r="BM48" i="9"/>
  <c r="BL48" i="9"/>
  <c r="BK48" i="9"/>
  <c r="BJ48" i="9"/>
  <c r="BI48" i="9"/>
  <c r="BH48" i="9"/>
  <c r="AW48" i="9"/>
  <c r="AO48" i="9"/>
  <c r="AN48" i="9"/>
  <c r="AM48" i="9"/>
  <c r="AL48" i="9"/>
  <c r="BM47" i="9"/>
  <c r="BL47" i="9"/>
  <c r="BK47" i="9"/>
  <c r="BJ47" i="9"/>
  <c r="BI47" i="9"/>
  <c r="BH47" i="9"/>
  <c r="AW47" i="9"/>
  <c r="AU47" i="9"/>
  <c r="AO47" i="9"/>
  <c r="AN47" i="9"/>
  <c r="AM47" i="9"/>
  <c r="AL47" i="9"/>
  <c r="AP47" i="9"/>
  <c r="BN47" i="9"/>
  <c r="BM46" i="9"/>
  <c r="BL46" i="9"/>
  <c r="BK46" i="9"/>
  <c r="BJ46" i="9"/>
  <c r="BI46" i="9"/>
  <c r="BH46" i="9"/>
  <c r="BA46" i="9"/>
  <c r="AW46" i="9"/>
  <c r="AO46" i="9"/>
  <c r="AN46" i="9"/>
  <c r="AM46" i="9"/>
  <c r="AL46" i="9"/>
  <c r="BM45" i="9"/>
  <c r="BL45" i="9"/>
  <c r="BK45" i="9"/>
  <c r="BJ45" i="9"/>
  <c r="BI45" i="9"/>
  <c r="BH45" i="9"/>
  <c r="BA45" i="9"/>
  <c r="AW45" i="9"/>
  <c r="AU45" i="9"/>
  <c r="AR45" i="9"/>
  <c r="AO45" i="9"/>
  <c r="AN45" i="9"/>
  <c r="AM45" i="9"/>
  <c r="AL45" i="9"/>
  <c r="AP45" i="9"/>
  <c r="AV45" i="9"/>
  <c r="BN45" i="9"/>
  <c r="BM44" i="9"/>
  <c r="BL44" i="9"/>
  <c r="BK44" i="9"/>
  <c r="BJ44" i="9"/>
  <c r="BI44" i="9"/>
  <c r="BH44" i="9"/>
  <c r="AW44" i="9"/>
  <c r="AO44" i="9"/>
  <c r="AN44" i="9"/>
  <c r="AM44" i="9"/>
  <c r="AL44" i="9"/>
  <c r="AP44" i="9"/>
  <c r="BN44" i="9"/>
  <c r="BM43" i="9"/>
  <c r="BL43" i="9"/>
  <c r="BK43" i="9"/>
  <c r="BJ43" i="9"/>
  <c r="BI43" i="9"/>
  <c r="BH43" i="9"/>
  <c r="AW43" i="9"/>
  <c r="AR43" i="9"/>
  <c r="AP43" i="9"/>
  <c r="AO43" i="9"/>
  <c r="AN43" i="9"/>
  <c r="AM43" i="9"/>
  <c r="AL43" i="9"/>
  <c r="BN42" i="9"/>
  <c r="BM42" i="9"/>
  <c r="BL42" i="9"/>
  <c r="BK42" i="9"/>
  <c r="BJ42" i="9"/>
  <c r="BI42" i="9"/>
  <c r="BH42" i="9"/>
  <c r="AW42" i="9"/>
  <c r="AP42" i="9"/>
  <c r="AO42" i="9"/>
  <c r="AN42" i="9"/>
  <c r="AM42" i="9"/>
  <c r="AL42" i="9"/>
  <c r="BM41" i="9"/>
  <c r="BL41" i="9"/>
  <c r="BK41" i="9"/>
  <c r="BJ41" i="9"/>
  <c r="BI41" i="9"/>
  <c r="BH41" i="9"/>
  <c r="AW41" i="9"/>
  <c r="AO41" i="9"/>
  <c r="AN41" i="9"/>
  <c r="AM41" i="9"/>
  <c r="AL41" i="9"/>
  <c r="BN41" i="9"/>
  <c r="BN40" i="9"/>
  <c r="BM40" i="9"/>
  <c r="BL40" i="9"/>
  <c r="BK40" i="9"/>
  <c r="BJ40" i="9"/>
  <c r="BI40" i="9"/>
  <c r="BH40" i="9"/>
  <c r="AW40" i="9"/>
  <c r="AO40" i="9"/>
  <c r="AN40" i="9"/>
  <c r="AM40" i="9"/>
  <c r="AL40" i="9"/>
  <c r="AP40" i="9"/>
  <c r="BM39" i="9"/>
  <c r="BL39" i="9"/>
  <c r="BK39" i="9"/>
  <c r="BJ39" i="9"/>
  <c r="BI39" i="9"/>
  <c r="BH39" i="9"/>
  <c r="AW39" i="9"/>
  <c r="AR39" i="9"/>
  <c r="AP39" i="9"/>
  <c r="AO39" i="9"/>
  <c r="AN39" i="9"/>
  <c r="AM39" i="9"/>
  <c r="AL39" i="9"/>
  <c r="BM38" i="9"/>
  <c r="BL38" i="9"/>
  <c r="BK38" i="9"/>
  <c r="BJ38" i="9"/>
  <c r="BI38" i="9"/>
  <c r="BH38" i="9"/>
  <c r="AW38" i="9"/>
  <c r="AO38" i="9"/>
  <c r="AN38" i="9"/>
  <c r="AM38" i="9"/>
  <c r="AL38" i="9"/>
  <c r="BM37" i="9"/>
  <c r="BL37" i="9"/>
  <c r="BK37" i="9"/>
  <c r="BJ37" i="9"/>
  <c r="BI37" i="9"/>
  <c r="BH37" i="9"/>
  <c r="AW37" i="9"/>
  <c r="AO37" i="9"/>
  <c r="AN37" i="9"/>
  <c r="AM37" i="9"/>
  <c r="AL37" i="9"/>
  <c r="AP37" i="9"/>
  <c r="BN37" i="9"/>
  <c r="BN36" i="9"/>
  <c r="BM36" i="9"/>
  <c r="BL36" i="9"/>
  <c r="BK36" i="9"/>
  <c r="BJ36" i="9"/>
  <c r="BI36" i="9"/>
  <c r="BH36" i="9"/>
  <c r="AW36" i="9"/>
  <c r="AP36" i="9"/>
  <c r="AO36" i="9"/>
  <c r="AN36" i="9"/>
  <c r="AM36" i="9"/>
  <c r="AL36" i="9"/>
  <c r="BM35" i="9"/>
  <c r="BL35" i="9"/>
  <c r="BK35" i="9"/>
  <c r="BJ35" i="9"/>
  <c r="BI35" i="9"/>
  <c r="BH35" i="9"/>
  <c r="AW35" i="9"/>
  <c r="AP35" i="9"/>
  <c r="AO35" i="9"/>
  <c r="AN35" i="9"/>
  <c r="AM35" i="9"/>
  <c r="AL35" i="9"/>
  <c r="BN35" i="9"/>
  <c r="BM34" i="9"/>
  <c r="BL34" i="9"/>
  <c r="BK34" i="9"/>
  <c r="BJ34" i="9"/>
  <c r="BI34" i="9"/>
  <c r="BH34" i="9"/>
  <c r="AW34" i="9"/>
  <c r="AR34" i="9"/>
  <c r="AO34" i="9"/>
  <c r="AN34" i="9"/>
  <c r="AM34" i="9"/>
  <c r="AL34" i="9"/>
  <c r="BN33" i="9"/>
  <c r="BM33" i="9"/>
  <c r="BL33" i="9"/>
  <c r="BK33" i="9"/>
  <c r="BJ33" i="9"/>
  <c r="BI33" i="9"/>
  <c r="BH33" i="9"/>
  <c r="BA33" i="9"/>
  <c r="AW33" i="9"/>
  <c r="AU33" i="9"/>
  <c r="AR33" i="9"/>
  <c r="AO33" i="9"/>
  <c r="AN33" i="9"/>
  <c r="AM33" i="9"/>
  <c r="AL33" i="9"/>
  <c r="BM32" i="9"/>
  <c r="BL32" i="9"/>
  <c r="BK32" i="9"/>
  <c r="BJ32" i="9"/>
  <c r="BI32" i="9"/>
  <c r="BH32" i="9"/>
  <c r="AW32" i="9"/>
  <c r="AO32" i="9"/>
  <c r="AN32" i="9"/>
  <c r="AM32" i="9"/>
  <c r="AL32" i="9"/>
  <c r="AP32" i="9"/>
  <c r="BN32" i="9"/>
  <c r="BM31" i="9"/>
  <c r="BL31" i="9"/>
  <c r="BK31" i="9"/>
  <c r="BJ31" i="9"/>
  <c r="BI31" i="9"/>
  <c r="BH31" i="9"/>
  <c r="AW31" i="9"/>
  <c r="AR31" i="9"/>
  <c r="AO31" i="9"/>
  <c r="AN31" i="9"/>
  <c r="AM31" i="9"/>
  <c r="AL31" i="9"/>
  <c r="BM30" i="9"/>
  <c r="BL30" i="9"/>
  <c r="BK30" i="9"/>
  <c r="BJ30" i="9"/>
  <c r="BI30" i="9"/>
  <c r="BH30" i="9"/>
  <c r="AW30" i="9"/>
  <c r="AO30" i="9"/>
  <c r="AN30" i="9"/>
  <c r="AM30" i="9"/>
  <c r="AL30" i="9"/>
  <c r="AP30" i="9"/>
  <c r="BM29" i="9"/>
  <c r="BL29" i="9"/>
  <c r="BK29" i="9"/>
  <c r="BJ29" i="9"/>
  <c r="BI29" i="9"/>
  <c r="BH29" i="9"/>
  <c r="AW29" i="9"/>
  <c r="AU29" i="9"/>
  <c r="AO29" i="9"/>
  <c r="AN29" i="9"/>
  <c r="AM29" i="9"/>
  <c r="AL29" i="9"/>
  <c r="BN28" i="9"/>
  <c r="BM28" i="9"/>
  <c r="BL28" i="9"/>
  <c r="BK28" i="9"/>
  <c r="BJ28" i="9"/>
  <c r="BI28" i="9"/>
  <c r="BH28" i="9"/>
  <c r="AW28" i="9"/>
  <c r="AP28" i="9"/>
  <c r="AO28" i="9"/>
  <c r="AN28" i="9"/>
  <c r="AM28" i="9"/>
  <c r="AL28" i="9"/>
  <c r="BM27" i="9"/>
  <c r="BL27" i="9"/>
  <c r="BK27" i="9"/>
  <c r="BJ27" i="9"/>
  <c r="BI27" i="9"/>
  <c r="BH27" i="9"/>
  <c r="AW27" i="9"/>
  <c r="AP27" i="9"/>
  <c r="AO27" i="9"/>
  <c r="AN27" i="9"/>
  <c r="AM27" i="9"/>
  <c r="AL27" i="9"/>
  <c r="BM26" i="9"/>
  <c r="BL26" i="9"/>
  <c r="BK26" i="9"/>
  <c r="BJ26" i="9"/>
  <c r="BI26" i="9"/>
  <c r="BH26" i="9"/>
  <c r="BA26" i="9"/>
  <c r="AW26" i="9"/>
  <c r="AU26" i="9"/>
  <c r="AR26" i="9"/>
  <c r="AP26" i="9"/>
  <c r="AO26" i="9"/>
  <c r="AN26" i="9"/>
  <c r="AM26" i="9"/>
  <c r="AL26" i="9"/>
  <c r="BM25" i="9"/>
  <c r="BL25" i="9"/>
  <c r="BK25" i="9"/>
  <c r="BJ25" i="9"/>
  <c r="BI25" i="9"/>
  <c r="BH25" i="9"/>
  <c r="AW25" i="9"/>
  <c r="AO25" i="9"/>
  <c r="AN25" i="9"/>
  <c r="AM25" i="9"/>
  <c r="AL25" i="9"/>
  <c r="BN25" i="9"/>
  <c r="BM24" i="9"/>
  <c r="BL24" i="9"/>
  <c r="BK24" i="9"/>
  <c r="BJ24" i="9"/>
  <c r="BI24" i="9"/>
  <c r="BH24" i="9"/>
  <c r="AW24" i="9"/>
  <c r="AO24" i="9"/>
  <c r="AN24" i="9"/>
  <c r="AM24" i="9"/>
  <c r="AL24" i="9"/>
  <c r="BN23" i="9"/>
  <c r="BM23" i="9"/>
  <c r="BL23" i="9"/>
  <c r="BK23" i="9"/>
  <c r="BJ23" i="9"/>
  <c r="BI23" i="9"/>
  <c r="BH23" i="9"/>
  <c r="AW23" i="9"/>
  <c r="AP23" i="9"/>
  <c r="AO23" i="9"/>
  <c r="AN23" i="9"/>
  <c r="AM23" i="9"/>
  <c r="AL23" i="9"/>
  <c r="BM22" i="9"/>
  <c r="BL22" i="9"/>
  <c r="BK22" i="9"/>
  <c r="BJ22" i="9"/>
  <c r="BI22" i="9"/>
  <c r="BH22" i="9"/>
  <c r="AW22" i="9"/>
  <c r="AO22" i="9"/>
  <c r="AN22" i="9"/>
  <c r="AM22" i="9"/>
  <c r="AL22" i="9"/>
  <c r="BM21" i="9"/>
  <c r="BL21" i="9"/>
  <c r="BK21" i="9"/>
  <c r="BJ21" i="9"/>
  <c r="BI21" i="9"/>
  <c r="BH21" i="9"/>
  <c r="BA21" i="9"/>
  <c r="AW21" i="9"/>
  <c r="AO21" i="9"/>
  <c r="AN21" i="9"/>
  <c r="AM21" i="9"/>
  <c r="AL21" i="9"/>
  <c r="AP21" i="9"/>
  <c r="AU21" i="9"/>
  <c r="AV21" i="9" s="1"/>
  <c r="BM20" i="9"/>
  <c r="BL20" i="9"/>
  <c r="BK20" i="9"/>
  <c r="BJ20" i="9"/>
  <c r="BI20" i="9"/>
  <c r="BH20" i="9"/>
  <c r="AW20" i="9"/>
  <c r="AO20" i="9"/>
  <c r="AN20" i="9"/>
  <c r="AM20" i="9"/>
  <c r="AL20" i="9"/>
  <c r="BN19" i="9"/>
  <c r="BM19" i="9"/>
  <c r="BL19" i="9"/>
  <c r="BK19" i="9"/>
  <c r="BJ19" i="9"/>
  <c r="BI19" i="9"/>
  <c r="BH19" i="9"/>
  <c r="AW19" i="9"/>
  <c r="AO19" i="9"/>
  <c r="AN19" i="9"/>
  <c r="AM19" i="9"/>
  <c r="AL19" i="9"/>
  <c r="AP19" i="9"/>
  <c r="BM18" i="9"/>
  <c r="BL18" i="9"/>
  <c r="BK18" i="9"/>
  <c r="BJ18" i="9"/>
  <c r="BI18" i="9"/>
  <c r="BH18" i="9"/>
  <c r="AW18" i="9"/>
  <c r="AO18" i="9"/>
  <c r="AN18" i="9"/>
  <c r="AM18" i="9"/>
  <c r="AL18" i="9"/>
  <c r="BN17" i="9"/>
  <c r="BM17" i="9"/>
  <c r="BL17" i="9"/>
  <c r="BK17" i="9"/>
  <c r="BJ17" i="9"/>
  <c r="BI17" i="9"/>
  <c r="BH17" i="9"/>
  <c r="AW17" i="9"/>
  <c r="AP17" i="9"/>
  <c r="AO17" i="9"/>
  <c r="AN17" i="9"/>
  <c r="AM17" i="9"/>
  <c r="AL17" i="9"/>
  <c r="BM16" i="9"/>
  <c r="BL16" i="9"/>
  <c r="BK16" i="9"/>
  <c r="BJ16" i="9"/>
  <c r="BI16" i="9"/>
  <c r="BH16" i="9"/>
  <c r="AW16" i="9"/>
  <c r="AO16" i="9"/>
  <c r="AN16" i="9"/>
  <c r="AM16" i="9"/>
  <c r="AL16" i="9"/>
  <c r="BN16" i="9"/>
  <c r="BM15" i="9"/>
  <c r="BL15" i="9"/>
  <c r="BK15" i="9"/>
  <c r="BJ15" i="9"/>
  <c r="BI15" i="9"/>
  <c r="BH15" i="9"/>
  <c r="BA15" i="9"/>
  <c r="AW15" i="9"/>
  <c r="AR15" i="9"/>
  <c r="AO15" i="9"/>
  <c r="AN15" i="9"/>
  <c r="AM15" i="9"/>
  <c r="AL15" i="9"/>
  <c r="AP15" i="9"/>
  <c r="AU15" i="9"/>
  <c r="BM14" i="9"/>
  <c r="BL14" i="9"/>
  <c r="BK14" i="9"/>
  <c r="BJ14" i="9"/>
  <c r="BI14" i="9"/>
  <c r="BH14" i="9"/>
  <c r="AW14" i="9"/>
  <c r="AR14" i="9"/>
  <c r="AO14" i="9"/>
  <c r="AN14" i="9"/>
  <c r="AM14" i="9"/>
  <c r="AL14" i="9"/>
  <c r="AP14" i="9"/>
  <c r="BM13" i="9"/>
  <c r="BL13" i="9"/>
  <c r="BK13" i="9"/>
  <c r="BJ13" i="9"/>
  <c r="BI13" i="9"/>
  <c r="BH13" i="9"/>
  <c r="AW13" i="9"/>
  <c r="AU13" i="9"/>
  <c r="AV13" i="9" s="1"/>
  <c r="AO13" i="9"/>
  <c r="AN13" i="9"/>
  <c r="AM13" i="9"/>
  <c r="AL13" i="9"/>
  <c r="AP13" i="9"/>
  <c r="BN13" i="9"/>
  <c r="BM12" i="9"/>
  <c r="BL12" i="9"/>
  <c r="BK12" i="9"/>
  <c r="BJ12" i="9"/>
  <c r="BI12" i="9"/>
  <c r="BH12" i="9"/>
  <c r="AW12" i="9"/>
  <c r="AP12" i="9"/>
  <c r="AO12" i="9"/>
  <c r="AN12" i="9"/>
  <c r="AM12" i="9"/>
  <c r="AL12" i="9"/>
  <c r="BM11" i="9"/>
  <c r="BL11" i="9"/>
  <c r="BK11" i="9"/>
  <c r="BJ11" i="9"/>
  <c r="BI11" i="9"/>
  <c r="BH11" i="9"/>
  <c r="AW11" i="9"/>
  <c r="AO11" i="9"/>
  <c r="AN11" i="9"/>
  <c r="AM11" i="9"/>
  <c r="AL11" i="9"/>
  <c r="BM10" i="9"/>
  <c r="BL10" i="9"/>
  <c r="BK10" i="9"/>
  <c r="BJ10" i="9"/>
  <c r="BI10" i="9"/>
  <c r="BH10" i="9"/>
  <c r="AW10" i="9"/>
  <c r="AU10" i="9"/>
  <c r="AO10" i="9"/>
  <c r="AN10" i="9"/>
  <c r="AM10" i="9"/>
  <c r="AL10" i="9"/>
  <c r="BN9" i="9"/>
  <c r="BM9" i="9"/>
  <c r="BL9" i="9"/>
  <c r="BK9" i="9"/>
  <c r="BJ9" i="9"/>
  <c r="BI9" i="9"/>
  <c r="BH9" i="9"/>
  <c r="AW9" i="9"/>
  <c r="AO9" i="9"/>
  <c r="AN9" i="9"/>
  <c r="AM9" i="9"/>
  <c r="AL9" i="9"/>
  <c r="BA9" i="9"/>
  <c r="BM8" i="9"/>
  <c r="BL8" i="9"/>
  <c r="BK8" i="9"/>
  <c r="BJ8" i="9"/>
  <c r="BI8" i="9"/>
  <c r="BH8" i="9"/>
  <c r="AW8" i="9"/>
  <c r="AR8" i="9"/>
  <c r="AO8" i="9"/>
  <c r="AN8" i="9"/>
  <c r="AM8" i="9"/>
  <c r="AL8" i="9"/>
  <c r="Z36" i="8"/>
  <c r="AA36" i="8"/>
  <c r="AB36" i="8"/>
  <c r="AC36" i="8"/>
  <c r="AD36" i="8"/>
  <c r="AE36" i="8"/>
  <c r="Z37" i="8"/>
  <c r="AA37" i="8"/>
  <c r="AB37" i="8"/>
  <c r="AC37" i="8"/>
  <c r="AD37" i="8"/>
  <c r="AE37" i="8"/>
  <c r="Z38" i="8"/>
  <c r="AA38" i="8"/>
  <c r="AB38" i="8"/>
  <c r="AC38" i="8"/>
  <c r="AD38" i="8"/>
  <c r="AE38" i="8"/>
  <c r="Z39" i="8"/>
  <c r="AA39" i="8"/>
  <c r="AB39" i="8"/>
  <c r="AC39" i="8"/>
  <c r="AD39" i="8"/>
  <c r="AE39" i="8"/>
  <c r="Z40" i="8"/>
  <c r="AA40" i="8"/>
  <c r="AB40" i="8"/>
  <c r="AC40" i="8"/>
  <c r="AD40" i="8"/>
  <c r="AE40" i="8"/>
  <c r="Z41" i="8"/>
  <c r="AA41" i="8"/>
  <c r="AB41" i="8"/>
  <c r="AC41" i="8"/>
  <c r="AD41" i="8"/>
  <c r="AE41" i="8"/>
  <c r="Z42" i="8"/>
  <c r="AA42" i="8"/>
  <c r="AB42" i="8"/>
  <c r="AC42" i="8"/>
  <c r="AD42" i="8"/>
  <c r="AE42" i="8"/>
  <c r="Z43" i="8"/>
  <c r="AA43" i="8"/>
  <c r="AB43" i="8"/>
  <c r="AC43" i="8"/>
  <c r="AD43" i="8"/>
  <c r="AE43" i="8"/>
  <c r="Z44" i="8"/>
  <c r="AA44" i="8"/>
  <c r="AB44" i="8"/>
  <c r="AC44" i="8"/>
  <c r="AD44" i="8"/>
  <c r="AE44" i="8"/>
  <c r="Z45" i="8"/>
  <c r="AA45" i="8"/>
  <c r="AB45" i="8"/>
  <c r="AC45" i="8"/>
  <c r="AD45" i="8"/>
  <c r="AE45" i="8"/>
  <c r="Z46" i="8"/>
  <c r="AA46" i="8"/>
  <c r="AB46" i="8"/>
  <c r="AC46" i="8"/>
  <c r="AD46" i="8"/>
  <c r="AE46" i="8"/>
  <c r="Z47" i="8"/>
  <c r="AA47" i="8"/>
  <c r="AB47" i="8"/>
  <c r="AC47" i="8"/>
  <c r="AD47" i="8"/>
  <c r="AE47" i="8"/>
  <c r="Z48" i="8"/>
  <c r="AA48" i="8"/>
  <c r="AB48" i="8"/>
  <c r="AC48" i="8"/>
  <c r="AD48" i="8"/>
  <c r="AE48" i="8"/>
  <c r="Z49" i="8"/>
  <c r="AA49" i="8"/>
  <c r="AB49" i="8"/>
  <c r="AC49" i="8"/>
  <c r="AD49" i="8"/>
  <c r="AE49" i="8"/>
  <c r="Z50" i="8"/>
  <c r="AA50" i="8"/>
  <c r="AB50" i="8"/>
  <c r="AC50" i="8"/>
  <c r="AD50" i="8"/>
  <c r="AE50" i="8"/>
  <c r="Z51" i="8"/>
  <c r="AA51" i="8"/>
  <c r="AB51" i="8"/>
  <c r="AC51" i="8"/>
  <c r="AD51" i="8"/>
  <c r="AE51" i="8"/>
  <c r="Z52" i="8"/>
  <c r="AA52" i="8"/>
  <c r="AB52" i="8"/>
  <c r="AC52" i="8"/>
  <c r="AD52" i="8"/>
  <c r="AE52" i="8"/>
  <c r="Z53" i="8"/>
  <c r="AA53" i="8"/>
  <c r="AB53" i="8"/>
  <c r="AC53" i="8"/>
  <c r="AD53" i="8"/>
  <c r="AE53" i="8"/>
  <c r="Z54" i="8"/>
  <c r="AA54" i="8"/>
  <c r="AB54" i="8"/>
  <c r="AC54" i="8"/>
  <c r="AD54" i="8"/>
  <c r="AE54" i="8"/>
  <c r="Z55" i="8"/>
  <c r="AA55" i="8"/>
  <c r="AB55" i="8"/>
  <c r="AC55" i="8"/>
  <c r="AD55" i="8"/>
  <c r="AP55" i="8" s="1"/>
  <c r="AE55" i="8"/>
  <c r="Z56" i="8"/>
  <c r="AA56" i="8"/>
  <c r="AB56" i="8"/>
  <c r="AC56" i="8"/>
  <c r="AD56" i="8"/>
  <c r="AE56" i="8"/>
  <c r="Z57" i="8"/>
  <c r="AA57" i="8"/>
  <c r="AB57" i="8"/>
  <c r="AC57" i="8"/>
  <c r="AD57" i="8"/>
  <c r="AE57" i="8"/>
  <c r="Z58" i="8"/>
  <c r="AA58" i="8"/>
  <c r="AB58" i="8"/>
  <c r="AC58" i="8"/>
  <c r="AD58" i="8"/>
  <c r="AE58" i="8"/>
  <c r="Z59" i="8"/>
  <c r="AA59" i="8"/>
  <c r="AB59" i="8"/>
  <c r="AC59" i="8"/>
  <c r="AD59" i="8"/>
  <c r="AE59" i="8"/>
  <c r="Z60" i="8"/>
  <c r="AA60" i="8"/>
  <c r="AB60" i="8"/>
  <c r="AC60" i="8"/>
  <c r="AD60" i="8"/>
  <c r="AP60" i="8" s="1"/>
  <c r="AE60" i="8"/>
  <c r="Z61" i="8"/>
  <c r="AA61" i="8"/>
  <c r="AB61" i="8"/>
  <c r="AC61" i="8"/>
  <c r="AD61" i="8"/>
  <c r="AE61" i="8"/>
  <c r="Z62" i="8"/>
  <c r="AA62" i="8"/>
  <c r="AB62" i="8"/>
  <c r="AC62" i="8"/>
  <c r="AD62" i="8"/>
  <c r="AE62" i="8"/>
  <c r="Z63" i="8"/>
  <c r="AA63" i="8"/>
  <c r="AB63" i="8"/>
  <c r="AC63" i="8"/>
  <c r="AD63" i="8"/>
  <c r="AP63" i="8" s="1"/>
  <c r="AE63" i="8"/>
  <c r="Z15" i="8"/>
  <c r="AA15" i="8"/>
  <c r="AB15" i="8"/>
  <c r="AC15" i="8"/>
  <c r="AD15" i="8"/>
  <c r="AE15" i="8"/>
  <c r="Z16" i="8"/>
  <c r="AA16" i="8"/>
  <c r="AB16" i="8"/>
  <c r="AC16" i="8"/>
  <c r="AD16" i="8"/>
  <c r="AE16" i="8"/>
  <c r="Z17" i="8"/>
  <c r="AA17" i="8"/>
  <c r="AB17" i="8"/>
  <c r="AC17" i="8"/>
  <c r="AD17" i="8"/>
  <c r="AE17" i="8"/>
  <c r="Z18" i="8"/>
  <c r="AA18" i="8"/>
  <c r="AB18" i="8"/>
  <c r="AC18" i="8"/>
  <c r="AD18" i="8"/>
  <c r="AE18" i="8"/>
  <c r="Z19" i="8"/>
  <c r="AA19" i="8"/>
  <c r="AB19" i="8"/>
  <c r="AC19" i="8"/>
  <c r="AD19" i="8"/>
  <c r="AE19" i="8"/>
  <c r="Z20" i="8"/>
  <c r="AA20" i="8"/>
  <c r="AB20" i="8"/>
  <c r="AC20" i="8"/>
  <c r="AD20" i="8"/>
  <c r="AE20" i="8"/>
  <c r="Z21" i="8"/>
  <c r="AA21" i="8"/>
  <c r="AB21" i="8"/>
  <c r="AC21" i="8"/>
  <c r="AD21" i="8"/>
  <c r="AE21" i="8"/>
  <c r="Z22" i="8"/>
  <c r="AA22" i="8"/>
  <c r="AB22" i="8"/>
  <c r="AC22" i="8"/>
  <c r="AD22" i="8"/>
  <c r="AE22" i="8"/>
  <c r="Z23" i="8"/>
  <c r="AA23" i="8"/>
  <c r="AB23" i="8"/>
  <c r="AC23" i="8"/>
  <c r="AD23" i="8"/>
  <c r="AE23" i="8"/>
  <c r="Z24" i="8"/>
  <c r="AA24" i="8"/>
  <c r="AB24" i="8"/>
  <c r="AC24" i="8"/>
  <c r="AD24" i="8"/>
  <c r="AE24" i="8"/>
  <c r="Z25" i="8"/>
  <c r="AA25" i="8"/>
  <c r="AB25" i="8"/>
  <c r="AC25" i="8"/>
  <c r="AD25" i="8"/>
  <c r="AE25" i="8"/>
  <c r="Z26" i="8"/>
  <c r="AA26" i="8"/>
  <c r="AB26" i="8"/>
  <c r="AC26" i="8"/>
  <c r="AD26" i="8"/>
  <c r="AE26" i="8"/>
  <c r="Z27" i="8"/>
  <c r="AA27" i="8"/>
  <c r="AB27" i="8"/>
  <c r="AC27" i="8"/>
  <c r="AD27" i="8"/>
  <c r="AE27" i="8"/>
  <c r="Z28" i="8"/>
  <c r="AA28" i="8"/>
  <c r="AB28" i="8"/>
  <c r="AC28" i="8"/>
  <c r="AD28" i="8"/>
  <c r="AE28" i="8"/>
  <c r="Z29" i="8"/>
  <c r="AA29" i="8"/>
  <c r="AB29" i="8"/>
  <c r="AC29" i="8"/>
  <c r="AD29" i="8"/>
  <c r="AE29" i="8"/>
  <c r="Z30" i="8"/>
  <c r="AA30" i="8"/>
  <c r="AB30" i="8"/>
  <c r="AC30" i="8"/>
  <c r="AD30" i="8"/>
  <c r="AE30" i="8"/>
  <c r="Z31" i="8"/>
  <c r="AA31" i="8"/>
  <c r="AB31" i="8"/>
  <c r="AC31" i="8"/>
  <c r="AD31" i="8"/>
  <c r="AE31" i="8"/>
  <c r="Z32" i="8"/>
  <c r="AA32" i="8"/>
  <c r="AB32" i="8"/>
  <c r="AC32" i="8"/>
  <c r="AD32" i="8"/>
  <c r="AE32" i="8"/>
  <c r="Z33" i="8"/>
  <c r="AA33" i="8"/>
  <c r="AB33" i="8"/>
  <c r="AC33" i="8"/>
  <c r="AD33" i="8"/>
  <c r="AE33" i="8"/>
  <c r="Z34" i="8"/>
  <c r="AA34" i="8"/>
  <c r="AB34" i="8"/>
  <c r="AC34" i="8"/>
  <c r="AD34" i="8"/>
  <c r="AE34" i="8"/>
  <c r="Z35" i="8"/>
  <c r="AA35" i="8"/>
  <c r="AB35" i="8"/>
  <c r="AC35" i="8"/>
  <c r="AD35" i="8"/>
  <c r="AE35" i="8"/>
  <c r="Z12" i="8"/>
  <c r="AA12" i="8"/>
  <c r="AB12" i="8"/>
  <c r="AC12" i="8"/>
  <c r="AD12" i="8"/>
  <c r="AE12" i="8"/>
  <c r="Z13" i="8"/>
  <c r="AA13" i="8"/>
  <c r="AB13" i="8"/>
  <c r="AC13" i="8"/>
  <c r="AD13" i="8"/>
  <c r="AE13" i="8"/>
  <c r="Z14" i="8"/>
  <c r="AA14" i="8"/>
  <c r="AB14" i="8"/>
  <c r="AC14" i="8"/>
  <c r="AD14" i="8"/>
  <c r="AP14" i="8" s="1"/>
  <c r="AE14" i="8"/>
  <c r="Z9" i="8"/>
  <c r="AA9" i="8"/>
  <c r="AB9" i="8"/>
  <c r="AC9" i="8"/>
  <c r="AD9" i="8"/>
  <c r="AP9" i="8" s="1"/>
  <c r="AE9" i="8"/>
  <c r="Z10" i="8"/>
  <c r="AA10" i="8"/>
  <c r="AB10" i="8"/>
  <c r="AC10" i="8"/>
  <c r="AD10" i="8"/>
  <c r="AE10" i="8"/>
  <c r="Z11" i="8"/>
  <c r="AA11" i="8"/>
  <c r="AB11" i="8"/>
  <c r="AC11" i="8"/>
  <c r="AD11" i="8"/>
  <c r="AE11" i="8"/>
  <c r="AP13" i="8"/>
  <c r="AE8" i="8"/>
  <c r="AD8" i="8"/>
  <c r="AP8" i="8" s="1"/>
  <c r="AC8" i="8"/>
  <c r="X36" i="8"/>
  <c r="Y36" i="8"/>
  <c r="X37" i="8"/>
  <c r="Y37" i="8"/>
  <c r="X38" i="8"/>
  <c r="Y38" i="8"/>
  <c r="X39" i="8"/>
  <c r="Y39" i="8"/>
  <c r="X40" i="8"/>
  <c r="Y40" i="8"/>
  <c r="X41" i="8"/>
  <c r="Y41" i="8"/>
  <c r="X42" i="8"/>
  <c r="Y42" i="8"/>
  <c r="X43" i="8"/>
  <c r="Y43" i="8"/>
  <c r="X44" i="8"/>
  <c r="Y44" i="8"/>
  <c r="X45" i="8"/>
  <c r="Y45" i="8"/>
  <c r="X46" i="8"/>
  <c r="Y46" i="8"/>
  <c r="X47" i="8"/>
  <c r="Y47" i="8"/>
  <c r="X48" i="8"/>
  <c r="Y48" i="8"/>
  <c r="X49" i="8"/>
  <c r="Y49" i="8"/>
  <c r="X50" i="8"/>
  <c r="Y50" i="8"/>
  <c r="X51" i="8"/>
  <c r="Y51" i="8"/>
  <c r="X52" i="8"/>
  <c r="Y52" i="8"/>
  <c r="X53" i="8"/>
  <c r="Y53" i="8"/>
  <c r="X54" i="8"/>
  <c r="Y54" i="8"/>
  <c r="X55" i="8"/>
  <c r="Y55" i="8"/>
  <c r="X56" i="8"/>
  <c r="Y56" i="8"/>
  <c r="X57" i="8"/>
  <c r="Y57" i="8"/>
  <c r="X58" i="8"/>
  <c r="Y58" i="8"/>
  <c r="X59" i="8"/>
  <c r="Y59" i="8"/>
  <c r="X60" i="8"/>
  <c r="Y60" i="8"/>
  <c r="X61" i="8"/>
  <c r="Y61" i="8"/>
  <c r="X62" i="8"/>
  <c r="Y62" i="8"/>
  <c r="AQ62" i="8" s="1"/>
  <c r="X63" i="8"/>
  <c r="Y63" i="8"/>
  <c r="X15" i="8"/>
  <c r="Y15" i="8"/>
  <c r="X16" i="8"/>
  <c r="Y16" i="8"/>
  <c r="X17" i="8"/>
  <c r="Y17" i="8"/>
  <c r="X18" i="8"/>
  <c r="Y18" i="8"/>
  <c r="X19" i="8"/>
  <c r="Y19" i="8"/>
  <c r="X20" i="8"/>
  <c r="Y20" i="8"/>
  <c r="X21" i="8"/>
  <c r="Y21" i="8"/>
  <c r="X22" i="8"/>
  <c r="Y22" i="8"/>
  <c r="X23" i="8"/>
  <c r="Y23" i="8"/>
  <c r="X24" i="8"/>
  <c r="Y24" i="8"/>
  <c r="BM24" i="8" s="1"/>
  <c r="X25" i="8"/>
  <c r="Y25" i="8"/>
  <c r="X26" i="8"/>
  <c r="Y26" i="8"/>
  <c r="X27" i="8"/>
  <c r="Y27" i="8"/>
  <c r="X28" i="8"/>
  <c r="Y28" i="8"/>
  <c r="X29" i="8"/>
  <c r="Y29" i="8"/>
  <c r="X30" i="8"/>
  <c r="Y30" i="8"/>
  <c r="X31" i="8"/>
  <c r="Y31" i="8"/>
  <c r="X32" i="8"/>
  <c r="Y32" i="8"/>
  <c r="X33" i="8"/>
  <c r="Y33" i="8"/>
  <c r="AR33" i="8" s="1"/>
  <c r="X34" i="8"/>
  <c r="Y34" i="8"/>
  <c r="X35" i="8"/>
  <c r="Y35" i="8"/>
  <c r="X9" i="8"/>
  <c r="Y9" i="8"/>
  <c r="X10" i="8"/>
  <c r="Y10" i="8"/>
  <c r="X11" i="8"/>
  <c r="Y11" i="8"/>
  <c r="X12" i="8"/>
  <c r="Y12" i="8"/>
  <c r="X13" i="8"/>
  <c r="Y13" i="8"/>
  <c r="X14" i="8"/>
  <c r="Y14" i="8"/>
  <c r="BI13" i="8"/>
  <c r="BL10" i="8"/>
  <c r="BL13" i="8"/>
  <c r="Y8" i="8"/>
  <c r="Z8" i="8"/>
  <c r="AA8" i="8"/>
  <c r="AB8" i="8"/>
  <c r="X8" i="8"/>
  <c r="W36" i="8"/>
  <c r="U36" i="8" s="1"/>
  <c r="W37" i="8"/>
  <c r="U37" i="8" s="1"/>
  <c r="W38" i="8"/>
  <c r="U38" i="8" s="1"/>
  <c r="U39" i="8"/>
  <c r="V39" i="8"/>
  <c r="W39" i="8"/>
  <c r="W40" i="8"/>
  <c r="U40" i="8" s="1"/>
  <c r="V41" i="8"/>
  <c r="W41" i="8"/>
  <c r="U41" i="8" s="1"/>
  <c r="W42" i="8"/>
  <c r="U42" i="8" s="1"/>
  <c r="U43" i="8"/>
  <c r="V43" i="8"/>
  <c r="W43" i="8"/>
  <c r="W44" i="8"/>
  <c r="U44" i="8" s="1"/>
  <c r="W45" i="8"/>
  <c r="U45" i="8" s="1"/>
  <c r="W46" i="8"/>
  <c r="U46" i="8" s="1"/>
  <c r="U47" i="8"/>
  <c r="V47" i="8"/>
  <c r="W47" i="8"/>
  <c r="W48" i="8"/>
  <c r="U48" i="8" s="1"/>
  <c r="V49" i="8"/>
  <c r="W49" i="8"/>
  <c r="U49" i="8" s="1"/>
  <c r="W50" i="8"/>
  <c r="U50" i="8" s="1"/>
  <c r="U51" i="8"/>
  <c r="V51" i="8"/>
  <c r="W51" i="8"/>
  <c r="W52" i="8"/>
  <c r="U52" i="8" s="1"/>
  <c r="W53" i="8"/>
  <c r="U53" i="8" s="1"/>
  <c r="W54" i="8"/>
  <c r="U54" i="8" s="1"/>
  <c r="U55" i="8"/>
  <c r="V55" i="8"/>
  <c r="W55" i="8"/>
  <c r="W56" i="8"/>
  <c r="U56" i="8" s="1"/>
  <c r="V57" i="8"/>
  <c r="W57" i="8"/>
  <c r="U57" i="8" s="1"/>
  <c r="W58" i="8"/>
  <c r="U58" i="8" s="1"/>
  <c r="U59" i="8"/>
  <c r="V59" i="8"/>
  <c r="W59" i="8"/>
  <c r="W60" i="8"/>
  <c r="U60" i="8" s="1"/>
  <c r="W61" i="8"/>
  <c r="U61" i="8" s="1"/>
  <c r="W62" i="8"/>
  <c r="U62" i="8" s="1"/>
  <c r="U63" i="8"/>
  <c r="V63" i="8"/>
  <c r="W63" i="8"/>
  <c r="W15" i="8"/>
  <c r="U15" i="8" s="1"/>
  <c r="W16" i="8"/>
  <c r="U16" i="8" s="1"/>
  <c r="W17" i="8"/>
  <c r="U17" i="8" s="1"/>
  <c r="W18" i="8"/>
  <c r="U18" i="8" s="1"/>
  <c r="W19" i="8"/>
  <c r="U19" i="8" s="1"/>
  <c r="W20" i="8"/>
  <c r="U20" i="8" s="1"/>
  <c r="W21" i="8"/>
  <c r="U21" i="8" s="1"/>
  <c r="W22" i="8"/>
  <c r="U22" i="8" s="1"/>
  <c r="W23" i="8"/>
  <c r="U23" i="8" s="1"/>
  <c r="W24" i="8"/>
  <c r="U24" i="8" s="1"/>
  <c r="W25" i="8"/>
  <c r="U25" i="8" s="1"/>
  <c r="W26" i="8"/>
  <c r="U26" i="8" s="1"/>
  <c r="W27" i="8"/>
  <c r="U27" i="8" s="1"/>
  <c r="W28" i="8"/>
  <c r="U28" i="8" s="1"/>
  <c r="W29" i="8"/>
  <c r="U29" i="8" s="1"/>
  <c r="W30" i="8"/>
  <c r="U30" i="8" s="1"/>
  <c r="W31" i="8"/>
  <c r="U31" i="8" s="1"/>
  <c r="W32" i="8"/>
  <c r="U32" i="8" s="1"/>
  <c r="W33" i="8"/>
  <c r="U33" i="8" s="1"/>
  <c r="W34" i="8"/>
  <c r="U34" i="8" s="1"/>
  <c r="W35" i="8"/>
  <c r="U35" i="8" s="1"/>
  <c r="W9" i="8"/>
  <c r="U9" i="8" s="1"/>
  <c r="U10" i="8"/>
  <c r="V10" i="8"/>
  <c r="W10" i="8"/>
  <c r="W11" i="8"/>
  <c r="U11" i="8" s="1"/>
  <c r="V12" i="8"/>
  <c r="W12" i="8"/>
  <c r="U12" i="8" s="1"/>
  <c r="W13" i="8"/>
  <c r="U13" i="8" s="1"/>
  <c r="U14" i="8"/>
  <c r="V14" i="8"/>
  <c r="W14" i="8"/>
  <c r="W8" i="8"/>
  <c r="V8" i="8" s="1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9" i="8"/>
  <c r="S10" i="8"/>
  <c r="S11" i="8"/>
  <c r="S12" i="8"/>
  <c r="S13" i="8"/>
  <c r="S14" i="8"/>
  <c r="S8" i="8"/>
  <c r="R8" i="8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36" i="3"/>
  <c r="S37" i="3"/>
  <c r="S38" i="3"/>
  <c r="S39" i="3"/>
  <c r="S40" i="3"/>
  <c r="S41" i="3"/>
  <c r="S42" i="3"/>
  <c r="BA57" i="8"/>
  <c r="BB57" i="8"/>
  <c r="BC57" i="8"/>
  <c r="BD57" i="8"/>
  <c r="BA58" i="8"/>
  <c r="BB58" i="8"/>
  <c r="BC58" i="8"/>
  <c r="BD58" i="8"/>
  <c r="BA59" i="8"/>
  <c r="BB59" i="8"/>
  <c r="BC59" i="8"/>
  <c r="BD59" i="8"/>
  <c r="BA60" i="8"/>
  <c r="BB60" i="8"/>
  <c r="BC60" i="8"/>
  <c r="BD60" i="8"/>
  <c r="BA61" i="8"/>
  <c r="BB61" i="8"/>
  <c r="BC61" i="8"/>
  <c r="BD61" i="8"/>
  <c r="BA62" i="8"/>
  <c r="BB62" i="8"/>
  <c r="BC62" i="8"/>
  <c r="BD62" i="8"/>
  <c r="BA63" i="8"/>
  <c r="BB63" i="8"/>
  <c r="BC63" i="8"/>
  <c r="BD63" i="8"/>
  <c r="BA36" i="8"/>
  <c r="BB36" i="8"/>
  <c r="BC36" i="8"/>
  <c r="BD36" i="8"/>
  <c r="BA37" i="8"/>
  <c r="BB37" i="8"/>
  <c r="BC37" i="8"/>
  <c r="BD37" i="8"/>
  <c r="BA38" i="8"/>
  <c r="BB38" i="8"/>
  <c r="BC38" i="8"/>
  <c r="BD38" i="8"/>
  <c r="BA39" i="8"/>
  <c r="BB39" i="8"/>
  <c r="BC39" i="8"/>
  <c r="BD39" i="8"/>
  <c r="BA40" i="8"/>
  <c r="BB40" i="8"/>
  <c r="BC40" i="8"/>
  <c r="BD40" i="8"/>
  <c r="BA41" i="8"/>
  <c r="BB41" i="8"/>
  <c r="BC41" i="8"/>
  <c r="BD41" i="8"/>
  <c r="BA42" i="8"/>
  <c r="BB42" i="8"/>
  <c r="BC42" i="8"/>
  <c r="BD42" i="8"/>
  <c r="BA43" i="8"/>
  <c r="BB43" i="8"/>
  <c r="BC43" i="8"/>
  <c r="BD43" i="8"/>
  <c r="BA44" i="8"/>
  <c r="BB44" i="8"/>
  <c r="BC44" i="8"/>
  <c r="BD44" i="8"/>
  <c r="BA45" i="8"/>
  <c r="BB45" i="8"/>
  <c r="BC45" i="8"/>
  <c r="BD45" i="8"/>
  <c r="BA46" i="8"/>
  <c r="BB46" i="8"/>
  <c r="BC46" i="8"/>
  <c r="BD46" i="8"/>
  <c r="BA47" i="8"/>
  <c r="BB47" i="8"/>
  <c r="BC47" i="8"/>
  <c r="BD47" i="8"/>
  <c r="BA48" i="8"/>
  <c r="BB48" i="8"/>
  <c r="BC48" i="8"/>
  <c r="BD48" i="8"/>
  <c r="BA49" i="8"/>
  <c r="BB49" i="8"/>
  <c r="BC49" i="8"/>
  <c r="BD49" i="8"/>
  <c r="BA50" i="8"/>
  <c r="BB50" i="8"/>
  <c r="BC50" i="8"/>
  <c r="BD50" i="8"/>
  <c r="BA51" i="8"/>
  <c r="BB51" i="8"/>
  <c r="BC51" i="8"/>
  <c r="BD51" i="8"/>
  <c r="BA52" i="8"/>
  <c r="BB52" i="8"/>
  <c r="BC52" i="8"/>
  <c r="BD52" i="8"/>
  <c r="BA53" i="8"/>
  <c r="BB53" i="8"/>
  <c r="BC53" i="8"/>
  <c r="BD53" i="8"/>
  <c r="BA54" i="8"/>
  <c r="BB54" i="8"/>
  <c r="BC54" i="8"/>
  <c r="BD54" i="8"/>
  <c r="BA55" i="8"/>
  <c r="BB55" i="8"/>
  <c r="BC55" i="8"/>
  <c r="BD55" i="8"/>
  <c r="BA56" i="8"/>
  <c r="BB56" i="8"/>
  <c r="BC56" i="8"/>
  <c r="BD56" i="8"/>
  <c r="BA15" i="8"/>
  <c r="BB15" i="8"/>
  <c r="BC15" i="8"/>
  <c r="BD15" i="8"/>
  <c r="BA16" i="8"/>
  <c r="BB16" i="8"/>
  <c r="BC16" i="8"/>
  <c r="BD16" i="8"/>
  <c r="BA17" i="8"/>
  <c r="BB17" i="8"/>
  <c r="BC17" i="8"/>
  <c r="BD17" i="8"/>
  <c r="BA18" i="8"/>
  <c r="BB18" i="8"/>
  <c r="BC18" i="8"/>
  <c r="BD18" i="8"/>
  <c r="BA19" i="8"/>
  <c r="BB19" i="8"/>
  <c r="BC19" i="8"/>
  <c r="BD19" i="8"/>
  <c r="BA20" i="8"/>
  <c r="BB20" i="8"/>
  <c r="BC20" i="8"/>
  <c r="BD20" i="8"/>
  <c r="BA21" i="8"/>
  <c r="BB21" i="8"/>
  <c r="BC21" i="8"/>
  <c r="BD21" i="8"/>
  <c r="BA22" i="8"/>
  <c r="BB22" i="8"/>
  <c r="BC22" i="8"/>
  <c r="BD22" i="8"/>
  <c r="BA23" i="8"/>
  <c r="BB23" i="8"/>
  <c r="BC23" i="8"/>
  <c r="BD23" i="8"/>
  <c r="BA24" i="8"/>
  <c r="BB24" i="8"/>
  <c r="BC24" i="8"/>
  <c r="BD24" i="8"/>
  <c r="BA25" i="8"/>
  <c r="BB25" i="8"/>
  <c r="BC25" i="8"/>
  <c r="BD25" i="8"/>
  <c r="BA26" i="8"/>
  <c r="BB26" i="8"/>
  <c r="BC26" i="8"/>
  <c r="BD26" i="8"/>
  <c r="BA27" i="8"/>
  <c r="BB27" i="8"/>
  <c r="BC27" i="8"/>
  <c r="BD27" i="8"/>
  <c r="BA28" i="8"/>
  <c r="BB28" i="8"/>
  <c r="BC28" i="8"/>
  <c r="BD28" i="8"/>
  <c r="BA29" i="8"/>
  <c r="BB29" i="8"/>
  <c r="BC29" i="8"/>
  <c r="BD29" i="8"/>
  <c r="BA30" i="8"/>
  <c r="BB30" i="8"/>
  <c r="BC30" i="8"/>
  <c r="BD30" i="8"/>
  <c r="BA31" i="8"/>
  <c r="BB31" i="8"/>
  <c r="BC31" i="8"/>
  <c r="BD31" i="8"/>
  <c r="BA32" i="8"/>
  <c r="BB32" i="8"/>
  <c r="BC32" i="8"/>
  <c r="BD32" i="8"/>
  <c r="BA33" i="8"/>
  <c r="BB33" i="8"/>
  <c r="BC33" i="8"/>
  <c r="BD33" i="8"/>
  <c r="BA34" i="8"/>
  <c r="BB34" i="8"/>
  <c r="BC34" i="8"/>
  <c r="BD34" i="8"/>
  <c r="BA35" i="8"/>
  <c r="BB35" i="8"/>
  <c r="BC35" i="8"/>
  <c r="BD35" i="8"/>
  <c r="BA9" i="8"/>
  <c r="BB9" i="8"/>
  <c r="BC9" i="8"/>
  <c r="BD9" i="8"/>
  <c r="BA10" i="8"/>
  <c r="BB10" i="8"/>
  <c r="BC10" i="8"/>
  <c r="BD10" i="8"/>
  <c r="BA11" i="8"/>
  <c r="BB11" i="8"/>
  <c r="BC11" i="8"/>
  <c r="BD11" i="8"/>
  <c r="BA12" i="8"/>
  <c r="BB12" i="8"/>
  <c r="BC12" i="8"/>
  <c r="BD12" i="8"/>
  <c r="BA13" i="8"/>
  <c r="BB13" i="8"/>
  <c r="BC13" i="8"/>
  <c r="BD13" i="8"/>
  <c r="BA14" i="8"/>
  <c r="BB14" i="8"/>
  <c r="BC14" i="8"/>
  <c r="BD14" i="8"/>
  <c r="BB8" i="8"/>
  <c r="BC8" i="8"/>
  <c r="BD8" i="8"/>
  <c r="G9" i="8"/>
  <c r="H9" i="8"/>
  <c r="I9" i="8"/>
  <c r="G10" i="8"/>
  <c r="H10" i="8"/>
  <c r="I10" i="8"/>
  <c r="G11" i="8"/>
  <c r="AZ11" i="8" s="1"/>
  <c r="H11" i="8"/>
  <c r="I11" i="8"/>
  <c r="G12" i="8"/>
  <c r="H12" i="8"/>
  <c r="I12" i="8"/>
  <c r="G13" i="8"/>
  <c r="H13" i="8"/>
  <c r="I13" i="8"/>
  <c r="G14" i="8"/>
  <c r="H14" i="8"/>
  <c r="I14" i="8"/>
  <c r="G15" i="8"/>
  <c r="H15" i="8"/>
  <c r="I15" i="8"/>
  <c r="G16" i="8"/>
  <c r="AZ16" i="8" s="1"/>
  <c r="H16" i="8"/>
  <c r="I16" i="8"/>
  <c r="G17" i="8"/>
  <c r="H17" i="8"/>
  <c r="I17" i="8"/>
  <c r="G18" i="8"/>
  <c r="H18" i="8"/>
  <c r="I18" i="8"/>
  <c r="G19" i="8"/>
  <c r="H19" i="8"/>
  <c r="I19" i="8"/>
  <c r="G20" i="8"/>
  <c r="H20" i="8"/>
  <c r="I20" i="8"/>
  <c r="G21" i="8"/>
  <c r="H21" i="8"/>
  <c r="I21" i="8"/>
  <c r="G22" i="8"/>
  <c r="H22" i="8"/>
  <c r="I22" i="8"/>
  <c r="G23" i="8"/>
  <c r="H23" i="8"/>
  <c r="I23" i="8"/>
  <c r="G24" i="8"/>
  <c r="H24" i="8"/>
  <c r="I24" i="8"/>
  <c r="G25" i="8"/>
  <c r="H25" i="8"/>
  <c r="I25" i="8"/>
  <c r="G26" i="8"/>
  <c r="H26" i="8"/>
  <c r="I26" i="8"/>
  <c r="G27" i="8"/>
  <c r="H27" i="8"/>
  <c r="I27" i="8"/>
  <c r="G28" i="8"/>
  <c r="H28" i="8"/>
  <c r="I28" i="8"/>
  <c r="G29" i="8"/>
  <c r="H29" i="8"/>
  <c r="I29" i="8"/>
  <c r="G30" i="8"/>
  <c r="H30" i="8"/>
  <c r="I30" i="8"/>
  <c r="G31" i="8"/>
  <c r="H31" i="8"/>
  <c r="I31" i="8"/>
  <c r="G32" i="8"/>
  <c r="H32" i="8"/>
  <c r="I32" i="8"/>
  <c r="G33" i="8"/>
  <c r="H33" i="8"/>
  <c r="I33" i="8"/>
  <c r="G34" i="8"/>
  <c r="AZ34" i="8" s="1"/>
  <c r="H34" i="8"/>
  <c r="I34" i="8"/>
  <c r="AX19" i="8"/>
  <c r="AZ20" i="8"/>
  <c r="A51" i="8"/>
  <c r="B51" i="8"/>
  <c r="C51" i="8"/>
  <c r="D51" i="8"/>
  <c r="E51" i="8"/>
  <c r="G51" i="8"/>
  <c r="H51" i="8"/>
  <c r="I51" i="8"/>
  <c r="J51" i="8"/>
  <c r="K51" i="8"/>
  <c r="L51" i="8"/>
  <c r="M51" i="8"/>
  <c r="N51" i="8"/>
  <c r="O51" i="8"/>
  <c r="P51" i="8"/>
  <c r="Q51" i="8"/>
  <c r="A52" i="8"/>
  <c r="B52" i="8"/>
  <c r="C52" i="8"/>
  <c r="D52" i="8"/>
  <c r="E52" i="8"/>
  <c r="G52" i="8"/>
  <c r="H52" i="8"/>
  <c r="I52" i="8"/>
  <c r="J52" i="8"/>
  <c r="K52" i="8"/>
  <c r="L52" i="8"/>
  <c r="M52" i="8"/>
  <c r="N52" i="8"/>
  <c r="O52" i="8"/>
  <c r="P52" i="8"/>
  <c r="Q52" i="8"/>
  <c r="A53" i="8"/>
  <c r="B53" i="8"/>
  <c r="C53" i="8"/>
  <c r="D53" i="8"/>
  <c r="E53" i="8"/>
  <c r="G53" i="8"/>
  <c r="H53" i="8"/>
  <c r="I53" i="8"/>
  <c r="J53" i="8"/>
  <c r="K53" i="8"/>
  <c r="L53" i="8"/>
  <c r="M53" i="8"/>
  <c r="N53" i="8"/>
  <c r="O53" i="8"/>
  <c r="P53" i="8"/>
  <c r="Q53" i="8"/>
  <c r="A54" i="8"/>
  <c r="B54" i="8"/>
  <c r="C54" i="8"/>
  <c r="D54" i="8"/>
  <c r="E54" i="8"/>
  <c r="G54" i="8"/>
  <c r="H54" i="8"/>
  <c r="I54" i="8"/>
  <c r="J54" i="8"/>
  <c r="K54" i="8"/>
  <c r="L54" i="8"/>
  <c r="M54" i="8"/>
  <c r="N54" i="8"/>
  <c r="O54" i="8"/>
  <c r="P54" i="8"/>
  <c r="Q54" i="8"/>
  <c r="A55" i="8"/>
  <c r="B55" i="8"/>
  <c r="C55" i="8"/>
  <c r="D55" i="8"/>
  <c r="E55" i="8"/>
  <c r="G55" i="8"/>
  <c r="H55" i="8"/>
  <c r="I55" i="8"/>
  <c r="J55" i="8"/>
  <c r="K55" i="8"/>
  <c r="L55" i="8"/>
  <c r="M55" i="8"/>
  <c r="N55" i="8"/>
  <c r="O55" i="8"/>
  <c r="P55" i="8"/>
  <c r="Q55" i="8"/>
  <c r="A56" i="8"/>
  <c r="BE56" i="8" s="1"/>
  <c r="B56" i="8"/>
  <c r="C56" i="8"/>
  <c r="D56" i="8"/>
  <c r="E56" i="8"/>
  <c r="G56" i="8"/>
  <c r="H56" i="8"/>
  <c r="I56" i="8"/>
  <c r="J56" i="8"/>
  <c r="K56" i="8"/>
  <c r="L56" i="8"/>
  <c r="M56" i="8"/>
  <c r="N56" i="8"/>
  <c r="O56" i="8"/>
  <c r="P56" i="8"/>
  <c r="Q56" i="8"/>
  <c r="A57" i="8"/>
  <c r="B57" i="8"/>
  <c r="C57" i="8"/>
  <c r="D57" i="8"/>
  <c r="E57" i="8"/>
  <c r="G57" i="8"/>
  <c r="H57" i="8"/>
  <c r="I57" i="8"/>
  <c r="J57" i="8"/>
  <c r="K57" i="8"/>
  <c r="L57" i="8"/>
  <c r="M57" i="8"/>
  <c r="N57" i="8"/>
  <c r="O57" i="8"/>
  <c r="P57" i="8"/>
  <c r="Q57" i="8"/>
  <c r="A58" i="8"/>
  <c r="B58" i="8"/>
  <c r="C58" i="8"/>
  <c r="D58" i="8"/>
  <c r="E58" i="8"/>
  <c r="G58" i="8"/>
  <c r="AZ58" i="8" s="1"/>
  <c r="H58" i="8"/>
  <c r="I58" i="8"/>
  <c r="J58" i="8"/>
  <c r="K58" i="8"/>
  <c r="L58" i="8"/>
  <c r="M58" i="8"/>
  <c r="N58" i="8"/>
  <c r="O58" i="8"/>
  <c r="P58" i="8"/>
  <c r="Q58" i="8"/>
  <c r="A59" i="8"/>
  <c r="B59" i="8"/>
  <c r="C59" i="8"/>
  <c r="D59" i="8"/>
  <c r="E59" i="8"/>
  <c r="G59" i="8"/>
  <c r="H59" i="8"/>
  <c r="I59" i="8"/>
  <c r="J59" i="8"/>
  <c r="K59" i="8"/>
  <c r="L59" i="8"/>
  <c r="M59" i="8"/>
  <c r="N59" i="8"/>
  <c r="O59" i="8"/>
  <c r="P59" i="8"/>
  <c r="Q59" i="8"/>
  <c r="A60" i="8"/>
  <c r="BE60" i="8" s="1"/>
  <c r="B60" i="8"/>
  <c r="C60" i="8"/>
  <c r="D60" i="8"/>
  <c r="E60" i="8"/>
  <c r="G60" i="8"/>
  <c r="AZ60" i="8" s="1"/>
  <c r="H60" i="8"/>
  <c r="I60" i="8"/>
  <c r="J60" i="8"/>
  <c r="K60" i="8"/>
  <c r="L60" i="8"/>
  <c r="AX60" i="8" s="1"/>
  <c r="M60" i="8"/>
  <c r="N60" i="8"/>
  <c r="O60" i="8"/>
  <c r="P60" i="8"/>
  <c r="Q60" i="8"/>
  <c r="A61" i="8"/>
  <c r="B61" i="8"/>
  <c r="C61" i="8"/>
  <c r="D61" i="8"/>
  <c r="E61" i="8"/>
  <c r="G61" i="8"/>
  <c r="H61" i="8"/>
  <c r="I61" i="8"/>
  <c r="J61" i="8"/>
  <c r="K61" i="8"/>
  <c r="L61" i="8"/>
  <c r="AX61" i="8" s="1"/>
  <c r="M61" i="8"/>
  <c r="N61" i="8"/>
  <c r="O61" i="8"/>
  <c r="P61" i="8"/>
  <c r="Q61" i="8"/>
  <c r="A62" i="8"/>
  <c r="BE62" i="8" s="1"/>
  <c r="B62" i="8"/>
  <c r="C62" i="8"/>
  <c r="D62" i="8"/>
  <c r="E62" i="8"/>
  <c r="G62" i="8"/>
  <c r="AZ62" i="8" s="1"/>
  <c r="H62" i="8"/>
  <c r="I62" i="8"/>
  <c r="J62" i="8"/>
  <c r="AV62" i="8" s="1"/>
  <c r="K62" i="8"/>
  <c r="AW62" i="8" s="1"/>
  <c r="L62" i="8"/>
  <c r="M62" i="8"/>
  <c r="N62" i="8"/>
  <c r="O62" i="8"/>
  <c r="P62" i="8"/>
  <c r="Q62" i="8"/>
  <c r="A63" i="8"/>
  <c r="B63" i="8"/>
  <c r="C63" i="8"/>
  <c r="D63" i="8"/>
  <c r="E63" i="8"/>
  <c r="G63" i="8"/>
  <c r="H63" i="8"/>
  <c r="I63" i="8"/>
  <c r="J63" i="8"/>
  <c r="K63" i="8"/>
  <c r="L63" i="8"/>
  <c r="M63" i="8"/>
  <c r="N63" i="8"/>
  <c r="O63" i="8"/>
  <c r="P63" i="8"/>
  <c r="Q63" i="8"/>
  <c r="A31" i="8"/>
  <c r="B31" i="8"/>
  <c r="C31" i="8"/>
  <c r="D31" i="8"/>
  <c r="E31" i="8"/>
  <c r="AZ31" i="8"/>
  <c r="J31" i="8"/>
  <c r="K31" i="8"/>
  <c r="L31" i="8"/>
  <c r="M31" i="8"/>
  <c r="N31" i="8"/>
  <c r="O31" i="8"/>
  <c r="P31" i="8"/>
  <c r="Q31" i="8"/>
  <c r="A32" i="8"/>
  <c r="B32" i="8"/>
  <c r="C32" i="8"/>
  <c r="D32" i="8"/>
  <c r="E32" i="8"/>
  <c r="J32" i="8"/>
  <c r="K32" i="8"/>
  <c r="L32" i="8"/>
  <c r="M32" i="8"/>
  <c r="N32" i="8"/>
  <c r="O32" i="8"/>
  <c r="P32" i="8"/>
  <c r="Q32" i="8"/>
  <c r="A33" i="8"/>
  <c r="B33" i="8"/>
  <c r="C33" i="8"/>
  <c r="D33" i="8"/>
  <c r="E33" i="8"/>
  <c r="AZ33" i="8"/>
  <c r="AW33" i="8"/>
  <c r="J33" i="8"/>
  <c r="K33" i="8"/>
  <c r="L33" i="8"/>
  <c r="M33" i="8"/>
  <c r="N33" i="8"/>
  <c r="O33" i="8"/>
  <c r="P33" i="8"/>
  <c r="Q33" i="8"/>
  <c r="A34" i="8"/>
  <c r="B34" i="8"/>
  <c r="C34" i="8"/>
  <c r="D34" i="8"/>
  <c r="E34" i="8"/>
  <c r="J34" i="8"/>
  <c r="K34" i="8"/>
  <c r="L34" i="8"/>
  <c r="M34" i="8"/>
  <c r="N34" i="8"/>
  <c r="O34" i="8"/>
  <c r="P34" i="8"/>
  <c r="Q34" i="8"/>
  <c r="A35" i="8"/>
  <c r="B35" i="8"/>
  <c r="C35" i="8"/>
  <c r="D35" i="8"/>
  <c r="E35" i="8"/>
  <c r="G35" i="8"/>
  <c r="AZ35" i="8" s="1"/>
  <c r="H35" i="8"/>
  <c r="I35" i="8"/>
  <c r="J35" i="8"/>
  <c r="K35" i="8"/>
  <c r="L35" i="8"/>
  <c r="M35" i="8"/>
  <c r="N35" i="8"/>
  <c r="O35" i="8"/>
  <c r="P35" i="8"/>
  <c r="Q35" i="8"/>
  <c r="A36" i="8"/>
  <c r="BE36" i="8" s="1"/>
  <c r="B36" i="8"/>
  <c r="C36" i="8"/>
  <c r="D36" i="8"/>
  <c r="E36" i="8"/>
  <c r="G36" i="8"/>
  <c r="H36" i="8"/>
  <c r="I36" i="8"/>
  <c r="J36" i="8"/>
  <c r="K36" i="8"/>
  <c r="L36" i="8"/>
  <c r="M36" i="8"/>
  <c r="N36" i="8"/>
  <c r="O36" i="8"/>
  <c r="P36" i="8"/>
  <c r="Q36" i="8"/>
  <c r="A37" i="8"/>
  <c r="B37" i="8"/>
  <c r="C37" i="8"/>
  <c r="D37" i="8"/>
  <c r="E37" i="8"/>
  <c r="G37" i="8"/>
  <c r="H37" i="8"/>
  <c r="I37" i="8"/>
  <c r="J37" i="8"/>
  <c r="K37" i="8"/>
  <c r="L37" i="8"/>
  <c r="M37" i="8"/>
  <c r="N37" i="8"/>
  <c r="O37" i="8"/>
  <c r="P37" i="8"/>
  <c r="Q37" i="8"/>
  <c r="A38" i="8"/>
  <c r="B38" i="8"/>
  <c r="C38" i="8"/>
  <c r="D38" i="8"/>
  <c r="E38" i="8"/>
  <c r="G38" i="8"/>
  <c r="H38" i="8"/>
  <c r="I38" i="8"/>
  <c r="J38" i="8"/>
  <c r="K38" i="8"/>
  <c r="L38" i="8"/>
  <c r="M38" i="8"/>
  <c r="N38" i="8"/>
  <c r="O38" i="8"/>
  <c r="P38" i="8"/>
  <c r="Q38" i="8"/>
  <c r="A39" i="8"/>
  <c r="B39" i="8"/>
  <c r="C39" i="8"/>
  <c r="D39" i="8"/>
  <c r="E39" i="8"/>
  <c r="G39" i="8"/>
  <c r="H39" i="8"/>
  <c r="I39" i="8"/>
  <c r="J39" i="8"/>
  <c r="K39" i="8"/>
  <c r="L39" i="8"/>
  <c r="M39" i="8"/>
  <c r="N39" i="8"/>
  <c r="O39" i="8"/>
  <c r="P39" i="8"/>
  <c r="Q39" i="8"/>
  <c r="A40" i="8"/>
  <c r="BE40" i="8" s="1"/>
  <c r="B40" i="8"/>
  <c r="C40" i="8"/>
  <c r="D40" i="8"/>
  <c r="E40" i="8"/>
  <c r="G40" i="8"/>
  <c r="AZ40" i="8" s="1"/>
  <c r="H40" i="8"/>
  <c r="I40" i="8"/>
  <c r="J40" i="8"/>
  <c r="K40" i="8"/>
  <c r="L40" i="8"/>
  <c r="M40" i="8"/>
  <c r="N40" i="8"/>
  <c r="O40" i="8"/>
  <c r="P40" i="8"/>
  <c r="Q40" i="8"/>
  <c r="A41" i="8"/>
  <c r="B41" i="8"/>
  <c r="C41" i="8"/>
  <c r="D41" i="8"/>
  <c r="E41" i="8"/>
  <c r="G41" i="8"/>
  <c r="H41" i="8"/>
  <c r="I41" i="8"/>
  <c r="J41" i="8"/>
  <c r="K41" i="8"/>
  <c r="L41" i="8"/>
  <c r="M41" i="8"/>
  <c r="N41" i="8"/>
  <c r="O41" i="8"/>
  <c r="P41" i="8"/>
  <c r="Q41" i="8"/>
  <c r="A42" i="8"/>
  <c r="BE42" i="8" s="1"/>
  <c r="B42" i="8"/>
  <c r="C42" i="8"/>
  <c r="D42" i="8"/>
  <c r="E42" i="8"/>
  <c r="G42" i="8"/>
  <c r="H42" i="8"/>
  <c r="I42" i="8"/>
  <c r="J42" i="8"/>
  <c r="K42" i="8"/>
  <c r="L42" i="8"/>
  <c r="M42" i="8"/>
  <c r="N42" i="8"/>
  <c r="O42" i="8"/>
  <c r="P42" i="8"/>
  <c r="Q42" i="8"/>
  <c r="A43" i="8"/>
  <c r="BE43" i="8" s="1"/>
  <c r="B43" i="8"/>
  <c r="C43" i="8"/>
  <c r="D43" i="8"/>
  <c r="E43" i="8"/>
  <c r="G43" i="8"/>
  <c r="AZ43" i="8" s="1"/>
  <c r="H43" i="8"/>
  <c r="I43" i="8"/>
  <c r="J43" i="8"/>
  <c r="K43" i="8"/>
  <c r="L43" i="8"/>
  <c r="M43" i="8"/>
  <c r="N43" i="8"/>
  <c r="O43" i="8"/>
  <c r="P43" i="8"/>
  <c r="Q43" i="8"/>
  <c r="A44" i="8"/>
  <c r="B44" i="8"/>
  <c r="C44" i="8"/>
  <c r="D44" i="8"/>
  <c r="E44" i="8"/>
  <c r="G44" i="8"/>
  <c r="H44" i="8"/>
  <c r="I44" i="8"/>
  <c r="J44" i="8"/>
  <c r="K44" i="8"/>
  <c r="L44" i="8"/>
  <c r="M44" i="8"/>
  <c r="N44" i="8"/>
  <c r="O44" i="8"/>
  <c r="P44" i="8"/>
  <c r="Q44" i="8"/>
  <c r="A45" i="8"/>
  <c r="BE45" i="8" s="1"/>
  <c r="B45" i="8"/>
  <c r="C45" i="8"/>
  <c r="D45" i="8"/>
  <c r="E45" i="8"/>
  <c r="G45" i="8"/>
  <c r="H45" i="8"/>
  <c r="I45" i="8"/>
  <c r="J45" i="8"/>
  <c r="K45" i="8"/>
  <c r="L45" i="8"/>
  <c r="M45" i="8"/>
  <c r="N45" i="8"/>
  <c r="O45" i="8"/>
  <c r="P45" i="8"/>
  <c r="Q45" i="8"/>
  <c r="A46" i="8"/>
  <c r="B46" i="8"/>
  <c r="C46" i="8"/>
  <c r="D46" i="8"/>
  <c r="E46" i="8"/>
  <c r="G46" i="8"/>
  <c r="AZ46" i="8" s="1"/>
  <c r="H46" i="8"/>
  <c r="I46" i="8"/>
  <c r="J46" i="8"/>
  <c r="K46" i="8"/>
  <c r="L46" i="8"/>
  <c r="M46" i="8"/>
  <c r="N46" i="8"/>
  <c r="O46" i="8"/>
  <c r="P46" i="8"/>
  <c r="Q46" i="8"/>
  <c r="A47" i="8"/>
  <c r="B47" i="8"/>
  <c r="C47" i="8"/>
  <c r="D47" i="8"/>
  <c r="E47" i="8"/>
  <c r="G47" i="8"/>
  <c r="H47" i="8"/>
  <c r="I47" i="8"/>
  <c r="J47" i="8"/>
  <c r="K47" i="8"/>
  <c r="L47" i="8"/>
  <c r="M47" i="8"/>
  <c r="N47" i="8"/>
  <c r="O47" i="8"/>
  <c r="P47" i="8"/>
  <c r="Q47" i="8"/>
  <c r="A48" i="8"/>
  <c r="B48" i="8"/>
  <c r="C48" i="8"/>
  <c r="D48" i="8"/>
  <c r="E48" i="8"/>
  <c r="G48" i="8"/>
  <c r="AZ48" i="8" s="1"/>
  <c r="H48" i="8"/>
  <c r="I48" i="8"/>
  <c r="J48" i="8"/>
  <c r="K48" i="8"/>
  <c r="L48" i="8"/>
  <c r="M48" i="8"/>
  <c r="N48" i="8"/>
  <c r="O48" i="8"/>
  <c r="P48" i="8"/>
  <c r="Q48" i="8"/>
  <c r="A49" i="8"/>
  <c r="B49" i="8"/>
  <c r="C49" i="8"/>
  <c r="D49" i="8"/>
  <c r="E49" i="8"/>
  <c r="G49" i="8"/>
  <c r="H49" i="8"/>
  <c r="I49" i="8"/>
  <c r="J49" i="8"/>
  <c r="K49" i="8"/>
  <c r="L49" i="8"/>
  <c r="M49" i="8"/>
  <c r="N49" i="8"/>
  <c r="O49" i="8"/>
  <c r="P49" i="8"/>
  <c r="Q49" i="8"/>
  <c r="A50" i="8"/>
  <c r="BE50" i="8" s="1"/>
  <c r="B50" i="8"/>
  <c r="C50" i="8"/>
  <c r="D50" i="8"/>
  <c r="E50" i="8"/>
  <c r="G50" i="8"/>
  <c r="H50" i="8"/>
  <c r="I50" i="8"/>
  <c r="J50" i="8"/>
  <c r="K50" i="8"/>
  <c r="L50" i="8"/>
  <c r="AX50" i="8" s="1"/>
  <c r="M50" i="8"/>
  <c r="N50" i="8"/>
  <c r="AV50" i="8" s="1"/>
  <c r="O50" i="8"/>
  <c r="P50" i="8"/>
  <c r="Q50" i="8"/>
  <c r="A9" i="8"/>
  <c r="B9" i="8"/>
  <c r="C9" i="8"/>
  <c r="D9" i="8"/>
  <c r="E9" i="8"/>
  <c r="J9" i="8"/>
  <c r="K9" i="8"/>
  <c r="L9" i="8"/>
  <c r="M9" i="8"/>
  <c r="N9" i="8"/>
  <c r="O9" i="8"/>
  <c r="P9" i="8"/>
  <c r="Q9" i="8"/>
  <c r="A10" i="8"/>
  <c r="B10" i="8"/>
  <c r="C10" i="8"/>
  <c r="D10" i="8"/>
  <c r="E10" i="8"/>
  <c r="J10" i="8"/>
  <c r="K10" i="8"/>
  <c r="L10" i="8"/>
  <c r="M10" i="8"/>
  <c r="N10" i="8"/>
  <c r="O10" i="8"/>
  <c r="P10" i="8"/>
  <c r="Q10" i="8"/>
  <c r="A11" i="8"/>
  <c r="B11" i="8"/>
  <c r="C11" i="8"/>
  <c r="D11" i="8"/>
  <c r="E11" i="8"/>
  <c r="J11" i="8"/>
  <c r="K11" i="8"/>
  <c r="L11" i="8"/>
  <c r="M11" i="8"/>
  <c r="N11" i="8"/>
  <c r="O11" i="8"/>
  <c r="P11" i="8"/>
  <c r="Q11" i="8"/>
  <c r="A12" i="8"/>
  <c r="B12" i="8"/>
  <c r="C12" i="8"/>
  <c r="D12" i="8"/>
  <c r="E12" i="8"/>
  <c r="J12" i="8"/>
  <c r="K12" i="8"/>
  <c r="L12" i="8"/>
  <c r="M12" i="8"/>
  <c r="N12" i="8"/>
  <c r="O12" i="8"/>
  <c r="P12" i="8"/>
  <c r="Q12" i="8"/>
  <c r="A13" i="8"/>
  <c r="B13" i="8"/>
  <c r="C13" i="8"/>
  <c r="D13" i="8"/>
  <c r="E13" i="8"/>
  <c r="J13" i="8"/>
  <c r="K13" i="8"/>
  <c r="L13" i="8"/>
  <c r="M13" i="8"/>
  <c r="N13" i="8"/>
  <c r="O13" i="8"/>
  <c r="P13" i="8"/>
  <c r="Q13" i="8"/>
  <c r="A14" i="8"/>
  <c r="B14" i="8"/>
  <c r="C14" i="8"/>
  <c r="D14" i="8"/>
  <c r="E14" i="8"/>
  <c r="J14" i="8"/>
  <c r="K14" i="8"/>
  <c r="L14" i="8"/>
  <c r="M14" i="8"/>
  <c r="N14" i="8"/>
  <c r="O14" i="8"/>
  <c r="P14" i="8"/>
  <c r="Q14" i="8"/>
  <c r="A15" i="8"/>
  <c r="B15" i="8"/>
  <c r="C15" i="8"/>
  <c r="D15" i="8"/>
  <c r="E15" i="8"/>
  <c r="AZ15" i="8"/>
  <c r="J15" i="8"/>
  <c r="K15" i="8"/>
  <c r="L15" i="8"/>
  <c r="M15" i="8"/>
  <c r="N15" i="8"/>
  <c r="O15" i="8"/>
  <c r="P15" i="8"/>
  <c r="Q15" i="8"/>
  <c r="A16" i="8"/>
  <c r="B16" i="8"/>
  <c r="C16" i="8"/>
  <c r="D16" i="8"/>
  <c r="E16" i="8"/>
  <c r="J16" i="8"/>
  <c r="K16" i="8"/>
  <c r="L16" i="8"/>
  <c r="M16" i="8"/>
  <c r="N16" i="8"/>
  <c r="O16" i="8"/>
  <c r="P16" i="8"/>
  <c r="Q16" i="8"/>
  <c r="A17" i="8"/>
  <c r="B17" i="8"/>
  <c r="C17" i="8"/>
  <c r="D17" i="8"/>
  <c r="E17" i="8"/>
  <c r="J17" i="8"/>
  <c r="K17" i="8"/>
  <c r="L17" i="8"/>
  <c r="M17" i="8"/>
  <c r="N17" i="8"/>
  <c r="O17" i="8"/>
  <c r="P17" i="8"/>
  <c r="Q17" i="8"/>
  <c r="A18" i="8"/>
  <c r="B18" i="8"/>
  <c r="C18" i="8"/>
  <c r="D18" i="8"/>
  <c r="E18" i="8"/>
  <c r="J18" i="8"/>
  <c r="K18" i="8"/>
  <c r="L18" i="8"/>
  <c r="M18" i="8"/>
  <c r="N18" i="8"/>
  <c r="O18" i="8"/>
  <c r="P18" i="8"/>
  <c r="Q18" i="8"/>
  <c r="A19" i="8"/>
  <c r="B19" i="8"/>
  <c r="C19" i="8"/>
  <c r="D19" i="8"/>
  <c r="E19" i="8"/>
  <c r="J19" i="8"/>
  <c r="K19" i="8"/>
  <c r="L19" i="8"/>
  <c r="M19" i="8"/>
  <c r="N19" i="8"/>
  <c r="O19" i="8"/>
  <c r="P19" i="8"/>
  <c r="Q19" i="8"/>
  <c r="A20" i="8"/>
  <c r="B20" i="8"/>
  <c r="C20" i="8"/>
  <c r="D20" i="8"/>
  <c r="E20" i="8"/>
  <c r="J20" i="8"/>
  <c r="K20" i="8"/>
  <c r="L20" i="8"/>
  <c r="M20" i="8"/>
  <c r="N20" i="8"/>
  <c r="O20" i="8"/>
  <c r="P20" i="8"/>
  <c r="Q20" i="8"/>
  <c r="A21" i="8"/>
  <c r="B21" i="8"/>
  <c r="C21" i="8"/>
  <c r="D21" i="8"/>
  <c r="E21" i="8"/>
  <c r="J21" i="8"/>
  <c r="K21" i="8"/>
  <c r="L21" i="8"/>
  <c r="M21" i="8"/>
  <c r="N21" i="8"/>
  <c r="O21" i="8"/>
  <c r="P21" i="8"/>
  <c r="Q21" i="8"/>
  <c r="A22" i="8"/>
  <c r="B22" i="8"/>
  <c r="C22" i="8"/>
  <c r="D22" i="8"/>
  <c r="E22" i="8"/>
  <c r="J22" i="8"/>
  <c r="K22" i="8"/>
  <c r="L22" i="8"/>
  <c r="M22" i="8"/>
  <c r="N22" i="8"/>
  <c r="O22" i="8"/>
  <c r="P22" i="8"/>
  <c r="Q22" i="8"/>
  <c r="A23" i="8"/>
  <c r="BE23" i="8" s="1"/>
  <c r="B23" i="8"/>
  <c r="C23" i="8"/>
  <c r="D23" i="8"/>
  <c r="E23" i="8"/>
  <c r="AZ23" i="8"/>
  <c r="J23" i="8"/>
  <c r="K23" i="8"/>
  <c r="L23" i="8"/>
  <c r="M23" i="8"/>
  <c r="N23" i="8"/>
  <c r="O23" i="8"/>
  <c r="P23" i="8"/>
  <c r="Q23" i="8"/>
  <c r="A24" i="8"/>
  <c r="B24" i="8"/>
  <c r="C24" i="8"/>
  <c r="D24" i="8"/>
  <c r="E24" i="8"/>
  <c r="J24" i="8"/>
  <c r="K24" i="8"/>
  <c r="L24" i="8"/>
  <c r="M24" i="8"/>
  <c r="N24" i="8"/>
  <c r="O24" i="8"/>
  <c r="P24" i="8"/>
  <c r="Q24" i="8"/>
  <c r="A25" i="8"/>
  <c r="B25" i="8"/>
  <c r="C25" i="8"/>
  <c r="D25" i="8"/>
  <c r="E25" i="8"/>
  <c r="AZ25" i="8"/>
  <c r="J25" i="8"/>
  <c r="K25" i="8"/>
  <c r="L25" i="8"/>
  <c r="M25" i="8"/>
  <c r="N25" i="8"/>
  <c r="O25" i="8"/>
  <c r="P25" i="8"/>
  <c r="Q25" i="8"/>
  <c r="A26" i="8"/>
  <c r="B26" i="8"/>
  <c r="C26" i="8"/>
  <c r="D26" i="8"/>
  <c r="E26" i="8"/>
  <c r="J26" i="8"/>
  <c r="K26" i="8"/>
  <c r="L26" i="8"/>
  <c r="M26" i="8"/>
  <c r="N26" i="8"/>
  <c r="O26" i="8"/>
  <c r="P26" i="8"/>
  <c r="Q26" i="8"/>
  <c r="A27" i="8"/>
  <c r="B27" i="8"/>
  <c r="C27" i="8"/>
  <c r="D27" i="8"/>
  <c r="E27" i="8"/>
  <c r="J27" i="8"/>
  <c r="K27" i="8"/>
  <c r="L27" i="8"/>
  <c r="M27" i="8"/>
  <c r="N27" i="8"/>
  <c r="O27" i="8"/>
  <c r="P27" i="8"/>
  <c r="Q27" i="8"/>
  <c r="A28" i="8"/>
  <c r="B28" i="8"/>
  <c r="C28" i="8"/>
  <c r="D28" i="8"/>
  <c r="E28" i="8"/>
  <c r="J28" i="8"/>
  <c r="K28" i="8"/>
  <c r="L28" i="8"/>
  <c r="M28" i="8"/>
  <c r="N28" i="8"/>
  <c r="O28" i="8"/>
  <c r="P28" i="8"/>
  <c r="Q28" i="8"/>
  <c r="A29" i="8"/>
  <c r="B29" i="8"/>
  <c r="C29" i="8"/>
  <c r="D29" i="8"/>
  <c r="E29" i="8"/>
  <c r="J29" i="8"/>
  <c r="K29" i="8"/>
  <c r="L29" i="8"/>
  <c r="M29" i="8"/>
  <c r="N29" i="8"/>
  <c r="O29" i="8"/>
  <c r="P29" i="8"/>
  <c r="Q29" i="8"/>
  <c r="A30" i="8"/>
  <c r="B30" i="8"/>
  <c r="C30" i="8"/>
  <c r="D30" i="8"/>
  <c r="E30" i="8"/>
  <c r="J30" i="8"/>
  <c r="K30" i="8"/>
  <c r="L30" i="8"/>
  <c r="M30" i="8"/>
  <c r="N30" i="8"/>
  <c r="O30" i="8"/>
  <c r="P30" i="8"/>
  <c r="Q30" i="8"/>
  <c r="J8" i="8"/>
  <c r="K8" i="8"/>
  <c r="L8" i="8"/>
  <c r="M8" i="8"/>
  <c r="N8" i="8"/>
  <c r="O8" i="8"/>
  <c r="P8" i="8"/>
  <c r="Q8" i="8"/>
  <c r="BE29" i="8"/>
  <c r="B8" i="8"/>
  <c r="C8" i="8"/>
  <c r="D8" i="8"/>
  <c r="E8" i="8"/>
  <c r="G8" i="8"/>
  <c r="H8" i="8"/>
  <c r="I8" i="8"/>
  <c r="AX8" i="8" s="1"/>
  <c r="A8" i="8"/>
  <c r="BA8" i="8"/>
  <c r="BG63" i="8"/>
  <c r="BF63" i="8"/>
  <c r="AT63" i="8"/>
  <c r="AO63" i="8"/>
  <c r="AN63" i="8"/>
  <c r="AM63" i="8"/>
  <c r="AL63" i="8"/>
  <c r="BM63" i="8"/>
  <c r="R63" i="8"/>
  <c r="BG62" i="8"/>
  <c r="BF62" i="8"/>
  <c r="AT62" i="8"/>
  <c r="AO62" i="8"/>
  <c r="AN62" i="8"/>
  <c r="AM62" i="8"/>
  <c r="AL62" i="8"/>
  <c r="AP62" i="8"/>
  <c r="R62" i="8"/>
  <c r="BG61" i="8"/>
  <c r="BF61" i="8"/>
  <c r="BE61" i="8"/>
  <c r="AT61" i="8"/>
  <c r="AO61" i="8"/>
  <c r="AN61" i="8"/>
  <c r="AM61" i="8"/>
  <c r="AL61" i="8"/>
  <c r="AP61" i="8"/>
  <c r="R61" i="8"/>
  <c r="AZ61" i="8"/>
  <c r="BG60" i="8"/>
  <c r="BF60" i="8"/>
  <c r="AT60" i="8"/>
  <c r="AO60" i="8"/>
  <c r="AN60" i="8"/>
  <c r="AM60" i="8"/>
  <c r="AL60" i="8"/>
  <c r="R60" i="8"/>
  <c r="BH59" i="8"/>
  <c r="BG59" i="8"/>
  <c r="BF59" i="8"/>
  <c r="AT59" i="8"/>
  <c r="AO59" i="8"/>
  <c r="AN59" i="8"/>
  <c r="AM59" i="8"/>
  <c r="AL59" i="8"/>
  <c r="AP59" i="8"/>
  <c r="BM59" i="8"/>
  <c r="R59" i="8"/>
  <c r="BE59" i="8"/>
  <c r="BG58" i="8"/>
  <c r="BF58" i="8"/>
  <c r="BE58" i="8"/>
  <c r="AT58" i="8"/>
  <c r="AO58" i="8"/>
  <c r="AN58" i="8"/>
  <c r="AM58" i="8"/>
  <c r="AL58" i="8"/>
  <c r="AQ58" i="8"/>
  <c r="AP58" i="8"/>
  <c r="R58" i="8"/>
  <c r="BG57" i="8"/>
  <c r="BF57" i="8"/>
  <c r="AT57" i="8"/>
  <c r="AR57" i="8"/>
  <c r="AO57" i="8"/>
  <c r="AN57" i="8"/>
  <c r="AM57" i="8"/>
  <c r="AL57" i="8"/>
  <c r="AZ57" i="8"/>
  <c r="AP57" i="8"/>
  <c r="R57" i="8"/>
  <c r="BG56" i="8"/>
  <c r="BF56" i="8"/>
  <c r="AT56" i="8"/>
  <c r="AR56" i="8"/>
  <c r="AP56" i="8"/>
  <c r="AO56" i="8"/>
  <c r="AN56" i="8"/>
  <c r="AM56" i="8"/>
  <c r="AL56" i="8"/>
  <c r="BM56" i="8"/>
  <c r="R56" i="8"/>
  <c r="BM55" i="8"/>
  <c r="BL55" i="8"/>
  <c r="BG55" i="8"/>
  <c r="BF55" i="8"/>
  <c r="BE55" i="8"/>
  <c r="AT55" i="8"/>
  <c r="AO55" i="8"/>
  <c r="AN55" i="8"/>
  <c r="AM55" i="8"/>
  <c r="AL55" i="8"/>
  <c r="AR55" i="8"/>
  <c r="R55" i="8"/>
  <c r="AZ55" i="8"/>
  <c r="BG54" i="8"/>
  <c r="BF54" i="8"/>
  <c r="BE54" i="8"/>
  <c r="AT54" i="8"/>
  <c r="AO54" i="8"/>
  <c r="AN54" i="8"/>
  <c r="AM54" i="8"/>
  <c r="AL54" i="8"/>
  <c r="AP54" i="8"/>
  <c r="BM54" i="8"/>
  <c r="R54" i="8"/>
  <c r="BG53" i="8"/>
  <c r="BF53" i="8"/>
  <c r="AT53" i="8"/>
  <c r="AP53" i="8"/>
  <c r="AO53" i="8"/>
  <c r="AN53" i="8"/>
  <c r="AM53" i="8"/>
  <c r="AL53" i="8"/>
  <c r="AZ53" i="8"/>
  <c r="R53" i="8"/>
  <c r="BK52" i="8"/>
  <c r="BJ52" i="8"/>
  <c r="BI52" i="8"/>
  <c r="BH52" i="8"/>
  <c r="BG52" i="8"/>
  <c r="BF52" i="8"/>
  <c r="AT52" i="8"/>
  <c r="AR52" i="8"/>
  <c r="AP52" i="8"/>
  <c r="AO52" i="8"/>
  <c r="AN52" i="8"/>
  <c r="AM52" i="8"/>
  <c r="AL52" i="8"/>
  <c r="BM52" i="8"/>
  <c r="R52" i="8"/>
  <c r="BG51" i="8"/>
  <c r="BF51" i="8"/>
  <c r="BE51" i="8"/>
  <c r="AT51" i="8"/>
  <c r="AO51" i="8"/>
  <c r="AN51" i="8"/>
  <c r="AM51" i="8"/>
  <c r="AL51" i="8"/>
  <c r="AP51" i="8"/>
  <c r="R51" i="8"/>
  <c r="AZ51" i="8"/>
  <c r="BG50" i="8"/>
  <c r="BF50" i="8"/>
  <c r="AT50" i="8"/>
  <c r="AP50" i="8"/>
  <c r="AO50" i="8"/>
  <c r="AN50" i="8"/>
  <c r="AM50" i="8"/>
  <c r="AL50" i="8"/>
  <c r="R50" i="8"/>
  <c r="AZ50" i="8"/>
  <c r="BG49" i="8"/>
  <c r="BF49" i="8"/>
  <c r="AT49" i="8"/>
  <c r="AO49" i="8"/>
  <c r="AN49" i="8"/>
  <c r="AM49" i="8"/>
  <c r="AL49" i="8"/>
  <c r="AP49" i="8"/>
  <c r="R49" i="8"/>
  <c r="BG48" i="8"/>
  <c r="BF48" i="8"/>
  <c r="AT48" i="8"/>
  <c r="AR48" i="8"/>
  <c r="AO48" i="8"/>
  <c r="AN48" i="8"/>
  <c r="AM48" i="8"/>
  <c r="AL48" i="8"/>
  <c r="AP48" i="8"/>
  <c r="BM48" i="8"/>
  <c r="R48" i="8"/>
  <c r="BG47" i="8"/>
  <c r="BF47" i="8"/>
  <c r="BE47" i="8"/>
  <c r="AT47" i="8"/>
  <c r="AO47" i="8"/>
  <c r="AN47" i="8"/>
  <c r="AM47" i="8"/>
  <c r="AL47" i="8"/>
  <c r="AP47" i="8"/>
  <c r="R47" i="8"/>
  <c r="BG46" i="8"/>
  <c r="BF46" i="8"/>
  <c r="AT46" i="8"/>
  <c r="AO46" i="8"/>
  <c r="AN46" i="8"/>
  <c r="AM46" i="8"/>
  <c r="AL46" i="8"/>
  <c r="AP46" i="8"/>
  <c r="R46" i="8"/>
  <c r="BJ45" i="8"/>
  <c r="BH45" i="8"/>
  <c r="BG45" i="8"/>
  <c r="BF45" i="8"/>
  <c r="AT45" i="8"/>
  <c r="AO45" i="8"/>
  <c r="AN45" i="8"/>
  <c r="AM45" i="8"/>
  <c r="AL45" i="8"/>
  <c r="AP45" i="8"/>
  <c r="BL45" i="8"/>
  <c r="R45" i="8"/>
  <c r="BG44" i="8"/>
  <c r="BF44" i="8"/>
  <c r="AT44" i="8"/>
  <c r="AP44" i="8"/>
  <c r="AO44" i="8"/>
  <c r="AN44" i="8"/>
  <c r="AM44" i="8"/>
  <c r="AL44" i="8"/>
  <c r="AR44" i="8"/>
  <c r="R44" i="8"/>
  <c r="BG43" i="8"/>
  <c r="BF43" i="8"/>
  <c r="AT43" i="8"/>
  <c r="AO43" i="8"/>
  <c r="AN43" i="8"/>
  <c r="AM43" i="8"/>
  <c r="AL43" i="8"/>
  <c r="AP43" i="8"/>
  <c r="BM43" i="8"/>
  <c r="R43" i="8"/>
  <c r="BG42" i="8"/>
  <c r="BF42" i="8"/>
  <c r="AT42" i="8"/>
  <c r="AO42" i="8"/>
  <c r="AN42" i="8"/>
  <c r="AM42" i="8"/>
  <c r="AL42" i="8"/>
  <c r="AP42" i="8"/>
  <c r="R42" i="8"/>
  <c r="BG41" i="8"/>
  <c r="BF41" i="8"/>
  <c r="AT41" i="8"/>
  <c r="AO41" i="8"/>
  <c r="AN41" i="8"/>
  <c r="AM41" i="8"/>
  <c r="AL41" i="8"/>
  <c r="AP41" i="8"/>
  <c r="BJ41" i="8"/>
  <c r="R41" i="8"/>
  <c r="AZ41" i="8"/>
  <c r="BG40" i="8"/>
  <c r="BF40" i="8"/>
  <c r="AT40" i="8"/>
  <c r="AP40" i="8"/>
  <c r="AO40" i="8"/>
  <c r="AN40" i="8"/>
  <c r="AM40" i="8"/>
  <c r="AL40" i="8"/>
  <c r="BM40" i="8"/>
  <c r="R40" i="8"/>
  <c r="BG39" i="8"/>
  <c r="BF39" i="8"/>
  <c r="BE39" i="8"/>
  <c r="AT39" i="8"/>
  <c r="AO39" i="8"/>
  <c r="AN39" i="8"/>
  <c r="AM39" i="8"/>
  <c r="AL39" i="8"/>
  <c r="AP39" i="8"/>
  <c r="R39" i="8"/>
  <c r="BK38" i="8"/>
  <c r="BJ38" i="8"/>
  <c r="BI38" i="8"/>
  <c r="BG38" i="8"/>
  <c r="BF38" i="8"/>
  <c r="AT38" i="8"/>
  <c r="AO38" i="8"/>
  <c r="AN38" i="8"/>
  <c r="AM38" i="8"/>
  <c r="AL38" i="8"/>
  <c r="AZ38" i="8"/>
  <c r="AP38" i="8"/>
  <c r="AR38" i="8"/>
  <c r="R38" i="8"/>
  <c r="BM37" i="8"/>
  <c r="BG37" i="8"/>
  <c r="BF37" i="8"/>
  <c r="AT37" i="8"/>
  <c r="AR37" i="8"/>
  <c r="AO37" i="8"/>
  <c r="AN37" i="8"/>
  <c r="AM37" i="8"/>
  <c r="AL37" i="8"/>
  <c r="AP37" i="8"/>
  <c r="R37" i="8"/>
  <c r="BG36" i="8"/>
  <c r="BF36" i="8"/>
  <c r="AT36" i="8"/>
  <c r="AO36" i="8"/>
  <c r="AN36" i="8"/>
  <c r="AM36" i="8"/>
  <c r="AL36" i="8"/>
  <c r="AP36" i="8"/>
  <c r="R36" i="8"/>
  <c r="BG35" i="8"/>
  <c r="BF35" i="8"/>
  <c r="AT35" i="8"/>
  <c r="AP35" i="8"/>
  <c r="AO35" i="8"/>
  <c r="AN35" i="8"/>
  <c r="AM35" i="8"/>
  <c r="AL35" i="8"/>
  <c r="R35" i="8"/>
  <c r="BG34" i="8"/>
  <c r="BF34" i="8"/>
  <c r="AT34" i="8"/>
  <c r="AO34" i="8"/>
  <c r="AN34" i="8"/>
  <c r="AM34" i="8"/>
  <c r="AL34" i="8"/>
  <c r="AP34" i="8"/>
  <c r="BH34" i="8"/>
  <c r="R34" i="8"/>
  <c r="BG33" i="8"/>
  <c r="BF33" i="8"/>
  <c r="BE33" i="8"/>
  <c r="AT33" i="8"/>
  <c r="AO33" i="8"/>
  <c r="AN33" i="8"/>
  <c r="AM33" i="8"/>
  <c r="AL33" i="8"/>
  <c r="AP33" i="8"/>
  <c r="R33" i="8"/>
  <c r="BG32" i="8"/>
  <c r="BF32" i="8"/>
  <c r="AT32" i="8"/>
  <c r="AO32" i="8"/>
  <c r="AN32" i="8"/>
  <c r="AM32" i="8"/>
  <c r="AL32" i="8"/>
  <c r="AQ32" i="8"/>
  <c r="AP32" i="8"/>
  <c r="R32" i="8"/>
  <c r="BG31" i="8"/>
  <c r="BF31" i="8"/>
  <c r="AT31" i="8"/>
  <c r="AO31" i="8"/>
  <c r="AN31" i="8"/>
  <c r="AM31" i="8"/>
  <c r="AL31" i="8"/>
  <c r="AP31" i="8"/>
  <c r="R31" i="8"/>
  <c r="BG30" i="8"/>
  <c r="BF30" i="8"/>
  <c r="BE30" i="8"/>
  <c r="AT30" i="8"/>
  <c r="AO30" i="8"/>
  <c r="AN30" i="8"/>
  <c r="AM30" i="8"/>
  <c r="AL30" i="8"/>
  <c r="AP30" i="8"/>
  <c r="R30" i="8"/>
  <c r="BG29" i="8"/>
  <c r="BF29" i="8"/>
  <c r="AT29" i="8"/>
  <c r="AO29" i="8"/>
  <c r="AN29" i="8"/>
  <c r="AM29" i="8"/>
  <c r="AL29" i="8"/>
  <c r="AP29" i="8"/>
  <c r="R29" i="8"/>
  <c r="BG28" i="8"/>
  <c r="BF28" i="8"/>
  <c r="AT28" i="8"/>
  <c r="AO28" i="8"/>
  <c r="AN28" i="8"/>
  <c r="AM28" i="8"/>
  <c r="AL28" i="8"/>
  <c r="AP28" i="8"/>
  <c r="AR28" i="8"/>
  <c r="R28" i="8"/>
  <c r="BL27" i="8"/>
  <c r="BG27" i="8"/>
  <c r="BF27" i="8"/>
  <c r="AT27" i="8"/>
  <c r="AO27" i="8"/>
  <c r="AN27" i="8"/>
  <c r="AM27" i="8"/>
  <c r="AL27" i="8"/>
  <c r="AZ27" i="8"/>
  <c r="AP27" i="8"/>
  <c r="R27" i="8"/>
  <c r="BG26" i="8"/>
  <c r="BF26" i="8"/>
  <c r="AT26" i="8"/>
  <c r="AO26" i="8"/>
  <c r="AN26" i="8"/>
  <c r="AM26" i="8"/>
  <c r="AL26" i="8"/>
  <c r="AP26" i="8"/>
  <c r="R26" i="8"/>
  <c r="BE26" i="8"/>
  <c r="BG25" i="8"/>
  <c r="BF25" i="8"/>
  <c r="AT25" i="8"/>
  <c r="AO25" i="8"/>
  <c r="AN25" i="8"/>
  <c r="AM25" i="8"/>
  <c r="AL25" i="8"/>
  <c r="AP25" i="8"/>
  <c r="R25" i="8"/>
  <c r="BE25" i="8"/>
  <c r="BG24" i="8"/>
  <c r="BF24" i="8"/>
  <c r="AT24" i="8"/>
  <c r="AO24" i="8"/>
  <c r="AN24" i="8"/>
  <c r="AM24" i="8"/>
  <c r="AL24" i="8"/>
  <c r="AP24" i="8"/>
  <c r="BJ24" i="8"/>
  <c r="R24" i="8"/>
  <c r="BG23" i="8"/>
  <c r="BF23" i="8"/>
  <c r="AT23" i="8"/>
  <c r="AP23" i="8"/>
  <c r="AO23" i="8"/>
  <c r="AN23" i="8"/>
  <c r="AM23" i="8"/>
  <c r="AL23" i="8"/>
  <c r="R23" i="8"/>
  <c r="BG22" i="8"/>
  <c r="BF22" i="8"/>
  <c r="AT22" i="8"/>
  <c r="AR22" i="8"/>
  <c r="AO22" i="8"/>
  <c r="AN22" i="8"/>
  <c r="AM22" i="8"/>
  <c r="AL22" i="8"/>
  <c r="AP22" i="8"/>
  <c r="BM22" i="8"/>
  <c r="R22" i="8"/>
  <c r="BG21" i="8"/>
  <c r="BF21" i="8"/>
  <c r="AT21" i="8"/>
  <c r="AO21" i="8"/>
  <c r="AN21" i="8"/>
  <c r="AM21" i="8"/>
  <c r="AL21" i="8"/>
  <c r="AP21" i="8"/>
  <c r="R21" i="8"/>
  <c r="AZ21" i="8"/>
  <c r="BG20" i="8"/>
  <c r="BF20" i="8"/>
  <c r="AT20" i="8"/>
  <c r="AP20" i="8"/>
  <c r="AO20" i="8"/>
  <c r="AN20" i="8"/>
  <c r="AM20" i="8"/>
  <c r="AL20" i="8"/>
  <c r="BK20" i="8"/>
  <c r="R20" i="8"/>
  <c r="BG19" i="8"/>
  <c r="BF19" i="8"/>
  <c r="AT19" i="8"/>
  <c r="AR19" i="8"/>
  <c r="AO19" i="8"/>
  <c r="AN19" i="8"/>
  <c r="AM19" i="8"/>
  <c r="AL19" i="8"/>
  <c r="AP19" i="8"/>
  <c r="R19" i="8"/>
  <c r="BG18" i="8"/>
  <c r="BF18" i="8"/>
  <c r="AT18" i="8"/>
  <c r="AR18" i="8"/>
  <c r="AO18" i="8"/>
  <c r="AN18" i="8"/>
  <c r="AM18" i="8"/>
  <c r="AL18" i="8"/>
  <c r="AP18" i="8"/>
  <c r="BM18" i="8"/>
  <c r="R18" i="8"/>
  <c r="BE18" i="8"/>
  <c r="BL17" i="8"/>
  <c r="BI17" i="8"/>
  <c r="BG17" i="8"/>
  <c r="BF17" i="8"/>
  <c r="AT17" i="8"/>
  <c r="AO17" i="8"/>
  <c r="AN17" i="8"/>
  <c r="AM17" i="8"/>
  <c r="AL17" i="8"/>
  <c r="AP17" i="8"/>
  <c r="BJ17" i="8"/>
  <c r="R17" i="8"/>
  <c r="BG16" i="8"/>
  <c r="BF16" i="8"/>
  <c r="BE16" i="8"/>
  <c r="AT16" i="8"/>
  <c r="AO16" i="8"/>
  <c r="AN16" i="8"/>
  <c r="AM16" i="8"/>
  <c r="AL16" i="8"/>
  <c r="AP16" i="8"/>
  <c r="R16" i="8"/>
  <c r="BG15" i="8"/>
  <c r="BF15" i="8"/>
  <c r="AT15" i="8"/>
  <c r="AO15" i="8"/>
  <c r="AN15" i="8"/>
  <c r="AM15" i="8"/>
  <c r="AL15" i="8"/>
  <c r="AP15" i="8"/>
  <c r="R15" i="8"/>
  <c r="BM14" i="8"/>
  <c r="BG14" i="8"/>
  <c r="BF14" i="8"/>
  <c r="BE14" i="8"/>
  <c r="AT14" i="8"/>
  <c r="AO14" i="8"/>
  <c r="AN14" i="8"/>
  <c r="AM14" i="8"/>
  <c r="AL14" i="8"/>
  <c r="R14" i="8"/>
  <c r="BG13" i="8"/>
  <c r="BF13" i="8"/>
  <c r="AT13" i="8"/>
  <c r="AO13" i="8"/>
  <c r="AN13" i="8"/>
  <c r="AM13" i="8"/>
  <c r="AL13" i="8"/>
  <c r="R13" i="8"/>
  <c r="BG12" i="8"/>
  <c r="BF12" i="8"/>
  <c r="AT12" i="8"/>
  <c r="AR12" i="8"/>
  <c r="AO12" i="8"/>
  <c r="AN12" i="8"/>
  <c r="AM12" i="8"/>
  <c r="AL12" i="8"/>
  <c r="AZ12" i="8"/>
  <c r="AP12" i="8"/>
  <c r="R12" i="8"/>
  <c r="BG11" i="8"/>
  <c r="BF11" i="8"/>
  <c r="AT11" i="8"/>
  <c r="AP11" i="8"/>
  <c r="AO11" i="8"/>
  <c r="AN11" i="8"/>
  <c r="AM11" i="8"/>
  <c r="AL11" i="8"/>
  <c r="R11" i="8"/>
  <c r="BM10" i="8"/>
  <c r="BG10" i="8"/>
  <c r="BF10" i="8"/>
  <c r="BE10" i="8"/>
  <c r="AT10" i="8"/>
  <c r="AO10" i="8"/>
  <c r="AN10" i="8"/>
  <c r="AM10" i="8"/>
  <c r="AL10" i="8"/>
  <c r="AP10" i="8"/>
  <c r="R10" i="8"/>
  <c r="BG9" i="8"/>
  <c r="BF9" i="8"/>
  <c r="AT9" i="8"/>
  <c r="AO9" i="8"/>
  <c r="AN9" i="8"/>
  <c r="AM9" i="8"/>
  <c r="AL9" i="8"/>
  <c r="R9" i="8"/>
  <c r="AX9" i="8"/>
  <c r="BG8" i="8"/>
  <c r="BF8" i="8"/>
  <c r="AT8" i="8"/>
  <c r="AO8" i="8"/>
  <c r="AN8" i="8"/>
  <c r="AM8" i="8"/>
  <c r="AL8" i="8"/>
  <c r="A36" i="7"/>
  <c r="B36" i="7"/>
  <c r="C36" i="7"/>
  <c r="D36" i="7"/>
  <c r="E36" i="7"/>
  <c r="BH36" i="7" s="1"/>
  <c r="F36" i="7"/>
  <c r="I36" i="7" s="1"/>
  <c r="J36" i="7"/>
  <c r="K36" i="7"/>
  <c r="L36" i="7"/>
  <c r="M36" i="7"/>
  <c r="N36" i="7"/>
  <c r="O36" i="7"/>
  <c r="P36" i="7"/>
  <c r="Q36" i="7"/>
  <c r="R36" i="7"/>
  <c r="S36" i="7" s="1"/>
  <c r="T36" i="7"/>
  <c r="W36" i="7"/>
  <c r="U36" i="7" s="1"/>
  <c r="X36" i="7"/>
  <c r="Y36" i="7"/>
  <c r="Z36" i="7"/>
  <c r="AD36" i="7"/>
  <c r="AP36" i="7" s="1"/>
  <c r="AE36" i="7"/>
  <c r="AL36" i="7"/>
  <c r="AM36" i="7"/>
  <c r="AN36" i="7"/>
  <c r="AO36" i="7"/>
  <c r="AW36" i="7"/>
  <c r="BI36" i="7"/>
  <c r="BJ36" i="7"/>
  <c r="BM36" i="7"/>
  <c r="BN36" i="7"/>
  <c r="A37" i="7"/>
  <c r="B37" i="7"/>
  <c r="C37" i="7"/>
  <c r="D37" i="7"/>
  <c r="E37" i="7"/>
  <c r="BH37" i="7" s="1"/>
  <c r="F37" i="7"/>
  <c r="J37" i="7"/>
  <c r="K37" i="7"/>
  <c r="L37" i="7"/>
  <c r="M37" i="7"/>
  <c r="N37" i="7"/>
  <c r="O37" i="7"/>
  <c r="P37" i="7"/>
  <c r="Q37" i="7"/>
  <c r="R37" i="7"/>
  <c r="S37" i="7" s="1"/>
  <c r="T37" i="7"/>
  <c r="W37" i="7"/>
  <c r="X37" i="7"/>
  <c r="Y37" i="7"/>
  <c r="Z37" i="7"/>
  <c r="AD37" i="7"/>
  <c r="AP37" i="7" s="1"/>
  <c r="AE37" i="7"/>
  <c r="AL37" i="7"/>
  <c r="AM37" i="7"/>
  <c r="AN37" i="7"/>
  <c r="AO37" i="7"/>
  <c r="AW37" i="7"/>
  <c r="BI37" i="7"/>
  <c r="BJ37" i="7"/>
  <c r="BM37" i="7"/>
  <c r="BN37" i="7"/>
  <c r="A38" i="7"/>
  <c r="B38" i="7"/>
  <c r="C38" i="7"/>
  <c r="D38" i="7"/>
  <c r="E38" i="7"/>
  <c r="BH38" i="7" s="1"/>
  <c r="F38" i="7"/>
  <c r="J38" i="7"/>
  <c r="K38" i="7"/>
  <c r="L38" i="7"/>
  <c r="M38" i="7"/>
  <c r="N38" i="7"/>
  <c r="O38" i="7"/>
  <c r="P38" i="7"/>
  <c r="Q38" i="7"/>
  <c r="R38" i="7"/>
  <c r="S38" i="7" s="1"/>
  <c r="T38" i="7"/>
  <c r="W38" i="7"/>
  <c r="U38" i="7" s="1"/>
  <c r="X38" i="7"/>
  <c r="Y38" i="7"/>
  <c r="Z38" i="7"/>
  <c r="AD38" i="7"/>
  <c r="AP38" i="7" s="1"/>
  <c r="AE38" i="7"/>
  <c r="AL38" i="7"/>
  <c r="AM38" i="7"/>
  <c r="AN38" i="7"/>
  <c r="AO38" i="7"/>
  <c r="AU38" i="7"/>
  <c r="AW38" i="7"/>
  <c r="BI38" i="7"/>
  <c r="BJ38" i="7"/>
  <c r="BM38" i="7"/>
  <c r="BN38" i="7"/>
  <c r="A39" i="7"/>
  <c r="B39" i="7"/>
  <c r="C39" i="7"/>
  <c r="D39" i="7"/>
  <c r="E39" i="7"/>
  <c r="BH39" i="7" s="1"/>
  <c r="F39" i="7"/>
  <c r="I39" i="7" s="1"/>
  <c r="J39" i="7"/>
  <c r="K39" i="7"/>
  <c r="L39" i="7"/>
  <c r="M39" i="7"/>
  <c r="N39" i="7"/>
  <c r="O39" i="7"/>
  <c r="P39" i="7"/>
  <c r="Q39" i="7"/>
  <c r="R39" i="7"/>
  <c r="S39" i="7" s="1"/>
  <c r="T39" i="7"/>
  <c r="W39" i="7"/>
  <c r="X39" i="7"/>
  <c r="Y39" i="7"/>
  <c r="Z39" i="7"/>
  <c r="AD39" i="7"/>
  <c r="AP39" i="7" s="1"/>
  <c r="AE39" i="7"/>
  <c r="AL39" i="7"/>
  <c r="AM39" i="7"/>
  <c r="AN39" i="7"/>
  <c r="AO39" i="7"/>
  <c r="AW39" i="7"/>
  <c r="BI39" i="7"/>
  <c r="BJ39" i="7"/>
  <c r="BM39" i="7"/>
  <c r="BN39" i="7"/>
  <c r="A40" i="7"/>
  <c r="B40" i="7"/>
  <c r="C40" i="7"/>
  <c r="D40" i="7"/>
  <c r="E40" i="7"/>
  <c r="BH40" i="7" s="1"/>
  <c r="F40" i="7"/>
  <c r="J40" i="7"/>
  <c r="K40" i="7"/>
  <c r="L40" i="7"/>
  <c r="M40" i="7"/>
  <c r="N40" i="7"/>
  <c r="O40" i="7"/>
  <c r="P40" i="7"/>
  <c r="Q40" i="7"/>
  <c r="R40" i="7"/>
  <c r="S40" i="7" s="1"/>
  <c r="T40" i="7"/>
  <c r="W40" i="7"/>
  <c r="U40" i="7" s="1"/>
  <c r="X40" i="7"/>
  <c r="Y40" i="7"/>
  <c r="Z40" i="7"/>
  <c r="AD40" i="7"/>
  <c r="AP40" i="7" s="1"/>
  <c r="AE40" i="7"/>
  <c r="AL40" i="7"/>
  <c r="AM40" i="7"/>
  <c r="AN40" i="7"/>
  <c r="AO40" i="7"/>
  <c r="AR40" i="7"/>
  <c r="AW40" i="7"/>
  <c r="BI40" i="7"/>
  <c r="BJ40" i="7"/>
  <c r="BM40" i="7"/>
  <c r="BN40" i="7"/>
  <c r="A41" i="7"/>
  <c r="B41" i="7"/>
  <c r="C41" i="7"/>
  <c r="D41" i="7"/>
  <c r="E41" i="7"/>
  <c r="BH41" i="7" s="1"/>
  <c r="F41" i="7"/>
  <c r="I41" i="7" s="1"/>
  <c r="J41" i="7"/>
  <c r="K41" i="7"/>
  <c r="L41" i="7"/>
  <c r="M41" i="7"/>
  <c r="N41" i="7"/>
  <c r="O41" i="7"/>
  <c r="P41" i="7"/>
  <c r="Q41" i="7"/>
  <c r="R41" i="7"/>
  <c r="S41" i="7" s="1"/>
  <c r="T41" i="7"/>
  <c r="W41" i="7"/>
  <c r="X41" i="7"/>
  <c r="Y41" i="7"/>
  <c r="Z41" i="7"/>
  <c r="AD41" i="7"/>
  <c r="AP41" i="7" s="1"/>
  <c r="AE41" i="7"/>
  <c r="AL41" i="7"/>
  <c r="AM41" i="7"/>
  <c r="AN41" i="7"/>
  <c r="AO41" i="7"/>
  <c r="AW41" i="7"/>
  <c r="BI41" i="7"/>
  <c r="BJ41" i="7"/>
  <c r="BM41" i="7"/>
  <c r="BN41" i="7"/>
  <c r="A42" i="7"/>
  <c r="B42" i="7"/>
  <c r="C42" i="7"/>
  <c r="D42" i="7"/>
  <c r="E42" i="7"/>
  <c r="BH42" i="7" s="1"/>
  <c r="F42" i="7"/>
  <c r="J42" i="7"/>
  <c r="K42" i="7"/>
  <c r="L42" i="7"/>
  <c r="M42" i="7"/>
  <c r="N42" i="7"/>
  <c r="O42" i="7"/>
  <c r="P42" i="7"/>
  <c r="Q42" i="7"/>
  <c r="R42" i="7"/>
  <c r="S42" i="7" s="1"/>
  <c r="T42" i="7"/>
  <c r="W42" i="7"/>
  <c r="U42" i="7" s="1"/>
  <c r="X42" i="7"/>
  <c r="Y42" i="7"/>
  <c r="Z42" i="7"/>
  <c r="AD42" i="7"/>
  <c r="AP42" i="7" s="1"/>
  <c r="AE42" i="7"/>
  <c r="AL42" i="7"/>
  <c r="AM42" i="7"/>
  <c r="AN42" i="7"/>
  <c r="AO42" i="7"/>
  <c r="AW42" i="7"/>
  <c r="BI42" i="7"/>
  <c r="BJ42" i="7"/>
  <c r="BM42" i="7"/>
  <c r="BN42" i="7"/>
  <c r="A43" i="7"/>
  <c r="B43" i="7"/>
  <c r="C43" i="7"/>
  <c r="D43" i="7"/>
  <c r="E43" i="7"/>
  <c r="BH43" i="7" s="1"/>
  <c r="F43" i="7"/>
  <c r="J43" i="7"/>
  <c r="K43" i="7"/>
  <c r="L43" i="7"/>
  <c r="M43" i="7"/>
  <c r="N43" i="7"/>
  <c r="O43" i="7"/>
  <c r="P43" i="7"/>
  <c r="Q43" i="7"/>
  <c r="R43" i="7"/>
  <c r="S43" i="7" s="1"/>
  <c r="T43" i="7"/>
  <c r="W43" i="7"/>
  <c r="X43" i="7"/>
  <c r="Y43" i="7"/>
  <c r="Z43" i="7"/>
  <c r="AD43" i="7"/>
  <c r="AP43" i="7" s="1"/>
  <c r="AE43" i="7"/>
  <c r="AL43" i="7"/>
  <c r="AM43" i="7"/>
  <c r="AN43" i="7"/>
  <c r="AO43" i="7"/>
  <c r="AW43" i="7"/>
  <c r="BI43" i="7"/>
  <c r="BJ43" i="7"/>
  <c r="BM43" i="7"/>
  <c r="BN43" i="7"/>
  <c r="A44" i="7"/>
  <c r="B44" i="7"/>
  <c r="C44" i="7"/>
  <c r="D44" i="7"/>
  <c r="E44" i="7"/>
  <c r="BH44" i="7" s="1"/>
  <c r="F44" i="7"/>
  <c r="G44" i="7" s="1"/>
  <c r="J44" i="7"/>
  <c r="K44" i="7"/>
  <c r="L44" i="7"/>
  <c r="M44" i="7"/>
  <c r="N44" i="7"/>
  <c r="O44" i="7"/>
  <c r="P44" i="7"/>
  <c r="Q44" i="7"/>
  <c r="R44" i="7"/>
  <c r="S44" i="7"/>
  <c r="T44" i="7"/>
  <c r="W44" i="7"/>
  <c r="U44" i="7" s="1"/>
  <c r="X44" i="7"/>
  <c r="Y44" i="7"/>
  <c r="Z44" i="7"/>
  <c r="AD44" i="7"/>
  <c r="AP44" i="7" s="1"/>
  <c r="AE44" i="7"/>
  <c r="AL44" i="7"/>
  <c r="AM44" i="7"/>
  <c r="AN44" i="7"/>
  <c r="AO44" i="7"/>
  <c r="AW44" i="7"/>
  <c r="BI44" i="7"/>
  <c r="BJ44" i="7"/>
  <c r="BM44" i="7"/>
  <c r="BN44" i="7"/>
  <c r="A45" i="7"/>
  <c r="B45" i="7"/>
  <c r="C45" i="7"/>
  <c r="D45" i="7"/>
  <c r="E45" i="7"/>
  <c r="BH45" i="7" s="1"/>
  <c r="F45" i="7"/>
  <c r="G45" i="7" s="1"/>
  <c r="J45" i="7"/>
  <c r="K45" i="7"/>
  <c r="L45" i="7"/>
  <c r="M45" i="7"/>
  <c r="N45" i="7"/>
  <c r="O45" i="7"/>
  <c r="P45" i="7"/>
  <c r="Q45" i="7"/>
  <c r="R45" i="7"/>
  <c r="S45" i="7" s="1"/>
  <c r="T45" i="7"/>
  <c r="W45" i="7"/>
  <c r="X45" i="7"/>
  <c r="Y45" i="7"/>
  <c r="Z45" i="7"/>
  <c r="AD45" i="7"/>
  <c r="AP45" i="7" s="1"/>
  <c r="AE45" i="7"/>
  <c r="AL45" i="7"/>
  <c r="AM45" i="7"/>
  <c r="AN45" i="7"/>
  <c r="AO45" i="7"/>
  <c r="AW45" i="7"/>
  <c r="BI45" i="7"/>
  <c r="BJ45" i="7"/>
  <c r="BM45" i="7"/>
  <c r="BN45" i="7"/>
  <c r="A46" i="7"/>
  <c r="B46" i="7"/>
  <c r="C46" i="7"/>
  <c r="D46" i="7"/>
  <c r="E46" i="7"/>
  <c r="BH46" i="7" s="1"/>
  <c r="F46" i="7"/>
  <c r="J46" i="7"/>
  <c r="K46" i="7"/>
  <c r="L46" i="7"/>
  <c r="M46" i="7"/>
  <c r="N46" i="7"/>
  <c r="O46" i="7"/>
  <c r="P46" i="7"/>
  <c r="Q46" i="7"/>
  <c r="R46" i="7"/>
  <c r="S46" i="7" s="1"/>
  <c r="T46" i="7"/>
  <c r="W46" i="7"/>
  <c r="U46" i="7" s="1"/>
  <c r="X46" i="7"/>
  <c r="AB46" i="7" s="1"/>
  <c r="Y46" i="7"/>
  <c r="Z46" i="7"/>
  <c r="AC46" i="7"/>
  <c r="AD46" i="7"/>
  <c r="AP46" i="7" s="1"/>
  <c r="AE46" i="7"/>
  <c r="AL46" i="7"/>
  <c r="AM46" i="7"/>
  <c r="AN46" i="7"/>
  <c r="AO46" i="7"/>
  <c r="AW46" i="7"/>
  <c r="BA46" i="7"/>
  <c r="BI46" i="7"/>
  <c r="BJ46" i="7"/>
  <c r="BM46" i="7"/>
  <c r="BN46" i="7"/>
  <c r="A47" i="7"/>
  <c r="B47" i="7"/>
  <c r="C47" i="7"/>
  <c r="D47" i="7"/>
  <c r="E47" i="7"/>
  <c r="BH47" i="7" s="1"/>
  <c r="F47" i="7"/>
  <c r="I47" i="7" s="1"/>
  <c r="J47" i="7"/>
  <c r="K47" i="7"/>
  <c r="L47" i="7"/>
  <c r="M47" i="7"/>
  <c r="N47" i="7"/>
  <c r="O47" i="7"/>
  <c r="P47" i="7"/>
  <c r="Q47" i="7"/>
  <c r="R47" i="7"/>
  <c r="S47" i="7" s="1"/>
  <c r="T47" i="7"/>
  <c r="W47" i="7"/>
  <c r="U47" i="7" s="1"/>
  <c r="X47" i="7"/>
  <c r="Y47" i="7"/>
  <c r="Z47" i="7"/>
  <c r="AD47" i="7"/>
  <c r="AP47" i="7" s="1"/>
  <c r="AE47" i="7"/>
  <c r="AL47" i="7"/>
  <c r="AM47" i="7"/>
  <c r="AN47" i="7"/>
  <c r="AO47" i="7"/>
  <c r="AU47" i="7"/>
  <c r="AW47" i="7"/>
  <c r="BI47" i="7"/>
  <c r="BJ47" i="7"/>
  <c r="BM47" i="7"/>
  <c r="BN47" i="7"/>
  <c r="A48" i="7"/>
  <c r="B48" i="7"/>
  <c r="C48" i="7"/>
  <c r="D48" i="7"/>
  <c r="E48" i="7"/>
  <c r="BH48" i="7" s="1"/>
  <c r="F48" i="7"/>
  <c r="J48" i="7"/>
  <c r="K48" i="7"/>
  <c r="L48" i="7"/>
  <c r="M48" i="7"/>
  <c r="N48" i="7"/>
  <c r="O48" i="7"/>
  <c r="P48" i="7"/>
  <c r="Q48" i="7"/>
  <c r="R48" i="7"/>
  <c r="S48" i="7" s="1"/>
  <c r="T48" i="7"/>
  <c r="W48" i="7"/>
  <c r="U48" i="7" s="1"/>
  <c r="X48" i="7"/>
  <c r="AB48" i="7" s="1"/>
  <c r="Y48" i="7"/>
  <c r="Z48" i="7"/>
  <c r="AC48" i="7"/>
  <c r="AD48" i="7"/>
  <c r="AP48" i="7" s="1"/>
  <c r="AE48" i="7"/>
  <c r="AL48" i="7"/>
  <c r="AM48" i="7"/>
  <c r="AN48" i="7"/>
  <c r="AO48" i="7"/>
  <c r="AR48" i="7"/>
  <c r="AW48" i="7"/>
  <c r="BA48" i="7"/>
  <c r="BI48" i="7"/>
  <c r="BJ48" i="7"/>
  <c r="BM48" i="7"/>
  <c r="BN48" i="7"/>
  <c r="A49" i="7"/>
  <c r="B49" i="7"/>
  <c r="C49" i="7"/>
  <c r="D49" i="7"/>
  <c r="E49" i="7"/>
  <c r="BH49" i="7" s="1"/>
  <c r="F49" i="7"/>
  <c r="J49" i="7"/>
  <c r="K49" i="7"/>
  <c r="L49" i="7"/>
  <c r="M49" i="7"/>
  <c r="N49" i="7"/>
  <c r="O49" i="7"/>
  <c r="P49" i="7"/>
  <c r="Q49" i="7"/>
  <c r="R49" i="7"/>
  <c r="S49" i="7" s="1"/>
  <c r="T49" i="7"/>
  <c r="W49" i="7"/>
  <c r="U49" i="7" s="1"/>
  <c r="X49" i="7"/>
  <c r="Y49" i="7"/>
  <c r="Z49" i="7"/>
  <c r="AD49" i="7"/>
  <c r="AP49" i="7" s="1"/>
  <c r="AE49" i="7"/>
  <c r="AL49" i="7"/>
  <c r="AM49" i="7"/>
  <c r="AN49" i="7"/>
  <c r="AO49" i="7"/>
  <c r="AW49" i="7"/>
  <c r="BI49" i="7"/>
  <c r="BJ49" i="7"/>
  <c r="BM49" i="7"/>
  <c r="BN49" i="7"/>
  <c r="A50" i="7"/>
  <c r="B50" i="7"/>
  <c r="C50" i="7"/>
  <c r="D50" i="7"/>
  <c r="E50" i="7"/>
  <c r="BH50" i="7" s="1"/>
  <c r="F50" i="7"/>
  <c r="J50" i="7"/>
  <c r="K50" i="7"/>
  <c r="L50" i="7"/>
  <c r="M50" i="7"/>
  <c r="N50" i="7"/>
  <c r="O50" i="7"/>
  <c r="P50" i="7"/>
  <c r="Q50" i="7"/>
  <c r="R50" i="7"/>
  <c r="S50" i="7" s="1"/>
  <c r="T50" i="7"/>
  <c r="W50" i="7"/>
  <c r="X50" i="7"/>
  <c r="Y50" i="7"/>
  <c r="Z50" i="7"/>
  <c r="AD50" i="7"/>
  <c r="AP50" i="7" s="1"/>
  <c r="AE50" i="7"/>
  <c r="AL50" i="7"/>
  <c r="AM50" i="7"/>
  <c r="AN50" i="7"/>
  <c r="AO50" i="7"/>
  <c r="AW50" i="7"/>
  <c r="BI50" i="7"/>
  <c r="BJ50" i="7"/>
  <c r="BM50" i="7"/>
  <c r="BN50" i="7"/>
  <c r="A51" i="7"/>
  <c r="B51" i="7"/>
  <c r="C51" i="7"/>
  <c r="D51" i="7"/>
  <c r="E51" i="7"/>
  <c r="BH51" i="7" s="1"/>
  <c r="F51" i="7"/>
  <c r="H51" i="7" s="1"/>
  <c r="J51" i="7"/>
  <c r="K51" i="7"/>
  <c r="L51" i="7"/>
  <c r="M51" i="7"/>
  <c r="N51" i="7"/>
  <c r="O51" i="7"/>
  <c r="P51" i="7"/>
  <c r="Q51" i="7"/>
  <c r="R51" i="7"/>
  <c r="S51" i="7" s="1"/>
  <c r="T51" i="7"/>
  <c r="W51" i="7"/>
  <c r="U51" i="7" s="1"/>
  <c r="X51" i="7"/>
  <c r="Y51" i="7"/>
  <c r="Z51" i="7"/>
  <c r="AD51" i="7"/>
  <c r="AP51" i="7" s="1"/>
  <c r="AE51" i="7"/>
  <c r="AL51" i="7"/>
  <c r="AM51" i="7"/>
  <c r="AN51" i="7"/>
  <c r="AO51" i="7"/>
  <c r="AW51" i="7"/>
  <c r="BI51" i="7"/>
  <c r="BJ51" i="7"/>
  <c r="BM51" i="7"/>
  <c r="BN51" i="7"/>
  <c r="A52" i="7"/>
  <c r="B52" i="7"/>
  <c r="C52" i="7"/>
  <c r="D52" i="7"/>
  <c r="E52" i="7"/>
  <c r="BH52" i="7" s="1"/>
  <c r="F52" i="7"/>
  <c r="G52" i="7" s="1"/>
  <c r="J52" i="7"/>
  <c r="K52" i="7"/>
  <c r="L52" i="7"/>
  <c r="M52" i="7"/>
  <c r="N52" i="7"/>
  <c r="O52" i="7"/>
  <c r="P52" i="7"/>
  <c r="Q52" i="7"/>
  <c r="R52" i="7"/>
  <c r="S52" i="7" s="1"/>
  <c r="T52" i="7"/>
  <c r="W52" i="7"/>
  <c r="U52" i="7" s="1"/>
  <c r="X52" i="7"/>
  <c r="Y52" i="7"/>
  <c r="Z52" i="7"/>
  <c r="AA52" i="7"/>
  <c r="AC52" i="7"/>
  <c r="AD52" i="7"/>
  <c r="AP52" i="7" s="1"/>
  <c r="AE52" i="7"/>
  <c r="AL52" i="7"/>
  <c r="AM52" i="7"/>
  <c r="AN52" i="7"/>
  <c r="AO52" i="7"/>
  <c r="AR52" i="7"/>
  <c r="AW52" i="7"/>
  <c r="BI52" i="7"/>
  <c r="BJ52" i="7"/>
  <c r="BM52" i="7"/>
  <c r="BN52" i="7"/>
  <c r="A53" i="7"/>
  <c r="B53" i="7"/>
  <c r="C53" i="7"/>
  <c r="D53" i="7"/>
  <c r="E53" i="7"/>
  <c r="BH53" i="7" s="1"/>
  <c r="F53" i="7"/>
  <c r="G53" i="7" s="1"/>
  <c r="J53" i="7"/>
  <c r="K53" i="7"/>
  <c r="L53" i="7"/>
  <c r="M53" i="7"/>
  <c r="N53" i="7"/>
  <c r="O53" i="7"/>
  <c r="P53" i="7"/>
  <c r="Q53" i="7"/>
  <c r="R53" i="7"/>
  <c r="S53" i="7" s="1"/>
  <c r="T53" i="7"/>
  <c r="W53" i="7"/>
  <c r="U53" i="7" s="1"/>
  <c r="X53" i="7"/>
  <c r="Y53" i="7"/>
  <c r="Z53" i="7"/>
  <c r="AD53" i="7"/>
  <c r="AP53" i="7" s="1"/>
  <c r="AE53" i="7"/>
  <c r="AL53" i="7"/>
  <c r="AM53" i="7"/>
  <c r="AN53" i="7"/>
  <c r="AO53" i="7"/>
  <c r="AW53" i="7"/>
  <c r="BI53" i="7"/>
  <c r="BJ53" i="7"/>
  <c r="BM53" i="7"/>
  <c r="BN53" i="7"/>
  <c r="A54" i="7"/>
  <c r="B54" i="7"/>
  <c r="C54" i="7"/>
  <c r="D54" i="7"/>
  <c r="E54" i="7"/>
  <c r="BH54" i="7" s="1"/>
  <c r="F54" i="7"/>
  <c r="G54" i="7" s="1"/>
  <c r="J54" i="7"/>
  <c r="K54" i="7"/>
  <c r="L54" i="7"/>
  <c r="M54" i="7"/>
  <c r="N54" i="7"/>
  <c r="O54" i="7"/>
  <c r="P54" i="7"/>
  <c r="Q54" i="7"/>
  <c r="R54" i="7"/>
  <c r="S54" i="7" s="1"/>
  <c r="T54" i="7"/>
  <c r="W54" i="7"/>
  <c r="X54" i="7"/>
  <c r="Y54" i="7"/>
  <c r="Z54" i="7"/>
  <c r="AD54" i="7"/>
  <c r="AP54" i="7" s="1"/>
  <c r="AE54" i="7"/>
  <c r="AL54" i="7"/>
  <c r="AM54" i="7"/>
  <c r="AN54" i="7"/>
  <c r="AO54" i="7"/>
  <c r="AW54" i="7"/>
  <c r="BI54" i="7"/>
  <c r="BJ54" i="7"/>
  <c r="BM54" i="7"/>
  <c r="BN54" i="7"/>
  <c r="A55" i="7"/>
  <c r="B55" i="7"/>
  <c r="C55" i="7"/>
  <c r="D55" i="7"/>
  <c r="E55" i="7"/>
  <c r="F55" i="7"/>
  <c r="G55" i="7" s="1"/>
  <c r="J55" i="7"/>
  <c r="K55" i="7"/>
  <c r="L55" i="7"/>
  <c r="M55" i="7"/>
  <c r="N55" i="7"/>
  <c r="O55" i="7"/>
  <c r="P55" i="7"/>
  <c r="Q55" i="7"/>
  <c r="R55" i="7"/>
  <c r="S55" i="7" s="1"/>
  <c r="T55" i="7"/>
  <c r="W55" i="7"/>
  <c r="V55" i="7" s="1"/>
  <c r="X55" i="7"/>
  <c r="Y55" i="7"/>
  <c r="Z55" i="7"/>
  <c r="AD55" i="7"/>
  <c r="AP55" i="7" s="1"/>
  <c r="AE55" i="7"/>
  <c r="AL55" i="7"/>
  <c r="AM55" i="7"/>
  <c r="AN55" i="7"/>
  <c r="AO55" i="7"/>
  <c r="AW55" i="7"/>
  <c r="BH55" i="7"/>
  <c r="BI55" i="7"/>
  <c r="BJ55" i="7"/>
  <c r="BM55" i="7"/>
  <c r="BN55" i="7"/>
  <c r="A56" i="7"/>
  <c r="B56" i="7"/>
  <c r="C56" i="7"/>
  <c r="D56" i="7"/>
  <c r="E56" i="7"/>
  <c r="BH56" i="7" s="1"/>
  <c r="F56" i="7"/>
  <c r="H56" i="7" s="1"/>
  <c r="J56" i="7"/>
  <c r="K56" i="7"/>
  <c r="L56" i="7"/>
  <c r="M56" i="7"/>
  <c r="N56" i="7"/>
  <c r="O56" i="7"/>
  <c r="P56" i="7"/>
  <c r="Q56" i="7"/>
  <c r="R56" i="7"/>
  <c r="S56" i="7" s="1"/>
  <c r="T56" i="7"/>
  <c r="W56" i="7"/>
  <c r="X56" i="7"/>
  <c r="Y56" i="7"/>
  <c r="Z56" i="7"/>
  <c r="AD56" i="7"/>
  <c r="AP56" i="7" s="1"/>
  <c r="AE56" i="7"/>
  <c r="AL56" i="7"/>
  <c r="AM56" i="7"/>
  <c r="AN56" i="7"/>
  <c r="AO56" i="7"/>
  <c r="AW56" i="7"/>
  <c r="BI56" i="7"/>
  <c r="BJ56" i="7"/>
  <c r="BM56" i="7"/>
  <c r="BN56" i="7"/>
  <c r="A57" i="7"/>
  <c r="B57" i="7"/>
  <c r="C57" i="7"/>
  <c r="D57" i="7"/>
  <c r="E57" i="7"/>
  <c r="BH57" i="7" s="1"/>
  <c r="F57" i="7"/>
  <c r="J57" i="7"/>
  <c r="K57" i="7"/>
  <c r="L57" i="7"/>
  <c r="M57" i="7"/>
  <c r="N57" i="7"/>
  <c r="O57" i="7"/>
  <c r="P57" i="7"/>
  <c r="Q57" i="7"/>
  <c r="R57" i="7"/>
  <c r="S57" i="7" s="1"/>
  <c r="T57" i="7"/>
  <c r="W57" i="7"/>
  <c r="X57" i="7"/>
  <c r="Y57" i="7"/>
  <c r="Z57" i="7"/>
  <c r="AD57" i="7"/>
  <c r="AP57" i="7" s="1"/>
  <c r="AE57" i="7"/>
  <c r="AL57" i="7"/>
  <c r="AM57" i="7"/>
  <c r="AN57" i="7"/>
  <c r="AO57" i="7"/>
  <c r="AU57" i="7"/>
  <c r="AW57" i="7"/>
  <c r="BI57" i="7"/>
  <c r="BJ57" i="7"/>
  <c r="BM57" i="7"/>
  <c r="BN57" i="7"/>
  <c r="A58" i="7"/>
  <c r="B58" i="7"/>
  <c r="C58" i="7"/>
  <c r="D58" i="7"/>
  <c r="E58" i="7"/>
  <c r="BH58" i="7" s="1"/>
  <c r="F58" i="7"/>
  <c r="I58" i="7" s="1"/>
  <c r="J58" i="7"/>
  <c r="K58" i="7"/>
  <c r="L58" i="7"/>
  <c r="M58" i="7"/>
  <c r="N58" i="7"/>
  <c r="O58" i="7"/>
  <c r="P58" i="7"/>
  <c r="Q58" i="7"/>
  <c r="R58" i="7"/>
  <c r="S58" i="7" s="1"/>
  <c r="T58" i="7"/>
  <c r="W58" i="7"/>
  <c r="U58" i="7" s="1"/>
  <c r="X58" i="7"/>
  <c r="Y58" i="7"/>
  <c r="Z58" i="7"/>
  <c r="AD58" i="7"/>
  <c r="AP58" i="7" s="1"/>
  <c r="AE58" i="7"/>
  <c r="AL58" i="7"/>
  <c r="AM58" i="7"/>
  <c r="AN58" i="7"/>
  <c r="AO58" i="7"/>
  <c r="AU58" i="7"/>
  <c r="AW58" i="7"/>
  <c r="BI58" i="7"/>
  <c r="BJ58" i="7"/>
  <c r="BM58" i="7"/>
  <c r="BN58" i="7"/>
  <c r="A59" i="7"/>
  <c r="B59" i="7"/>
  <c r="C59" i="7"/>
  <c r="D59" i="7"/>
  <c r="E59" i="7"/>
  <c r="BH59" i="7" s="1"/>
  <c r="F59" i="7"/>
  <c r="J59" i="7"/>
  <c r="K59" i="7"/>
  <c r="L59" i="7"/>
  <c r="M59" i="7"/>
  <c r="N59" i="7"/>
  <c r="O59" i="7"/>
  <c r="P59" i="7"/>
  <c r="Q59" i="7"/>
  <c r="R59" i="7"/>
  <c r="S59" i="7" s="1"/>
  <c r="T59" i="7"/>
  <c r="W59" i="7"/>
  <c r="V59" i="7" s="1"/>
  <c r="X59" i="7"/>
  <c r="Y59" i="7"/>
  <c r="Z59" i="7"/>
  <c r="AD59" i="7"/>
  <c r="AP59" i="7" s="1"/>
  <c r="AE59" i="7"/>
  <c r="AL59" i="7"/>
  <c r="AM59" i="7"/>
  <c r="AN59" i="7"/>
  <c r="AO59" i="7"/>
  <c r="AW59" i="7"/>
  <c r="BI59" i="7"/>
  <c r="BJ59" i="7"/>
  <c r="BM59" i="7"/>
  <c r="BN59" i="7"/>
  <c r="A60" i="7"/>
  <c r="B60" i="7"/>
  <c r="C60" i="7"/>
  <c r="D60" i="7"/>
  <c r="E60" i="7"/>
  <c r="BH60" i="7" s="1"/>
  <c r="F60" i="7"/>
  <c r="H60" i="7" s="1"/>
  <c r="J60" i="7"/>
  <c r="K60" i="7"/>
  <c r="L60" i="7"/>
  <c r="M60" i="7"/>
  <c r="N60" i="7"/>
  <c r="O60" i="7"/>
  <c r="P60" i="7"/>
  <c r="Q60" i="7"/>
  <c r="R60" i="7"/>
  <c r="S60" i="7" s="1"/>
  <c r="T60" i="7"/>
  <c r="W60" i="7"/>
  <c r="U60" i="7" s="1"/>
  <c r="X60" i="7"/>
  <c r="Y60" i="7"/>
  <c r="Z60" i="7"/>
  <c r="AD60" i="7"/>
  <c r="AP60" i="7" s="1"/>
  <c r="AE60" i="7"/>
  <c r="AL60" i="7"/>
  <c r="AM60" i="7"/>
  <c r="AN60" i="7"/>
  <c r="AO60" i="7"/>
  <c r="AW60" i="7"/>
  <c r="BI60" i="7"/>
  <c r="BJ60" i="7"/>
  <c r="BM60" i="7"/>
  <c r="BN60" i="7"/>
  <c r="A61" i="7"/>
  <c r="B61" i="7"/>
  <c r="C61" i="7"/>
  <c r="D61" i="7"/>
  <c r="E61" i="7"/>
  <c r="BH61" i="7" s="1"/>
  <c r="F61" i="7"/>
  <c r="J61" i="7"/>
  <c r="K61" i="7"/>
  <c r="L61" i="7"/>
  <c r="M61" i="7"/>
  <c r="N61" i="7"/>
  <c r="O61" i="7"/>
  <c r="P61" i="7"/>
  <c r="Q61" i="7"/>
  <c r="R61" i="7"/>
  <c r="S61" i="7" s="1"/>
  <c r="T61" i="7"/>
  <c r="W61" i="7"/>
  <c r="U61" i="7" s="1"/>
  <c r="X61" i="7"/>
  <c r="Y61" i="7"/>
  <c r="Z61" i="7"/>
  <c r="AD61" i="7"/>
  <c r="AP61" i="7" s="1"/>
  <c r="AE61" i="7"/>
  <c r="AL61" i="7"/>
  <c r="AM61" i="7"/>
  <c r="AN61" i="7"/>
  <c r="AO61" i="7"/>
  <c r="AW61" i="7"/>
  <c r="BI61" i="7"/>
  <c r="BJ61" i="7"/>
  <c r="BM61" i="7"/>
  <c r="BN61" i="7"/>
  <c r="A62" i="7"/>
  <c r="B62" i="7"/>
  <c r="C62" i="7"/>
  <c r="D62" i="7"/>
  <c r="E62" i="7"/>
  <c r="BH62" i="7" s="1"/>
  <c r="F62" i="7"/>
  <c r="G62" i="7" s="1"/>
  <c r="J62" i="7"/>
  <c r="K62" i="7"/>
  <c r="L62" i="7"/>
  <c r="M62" i="7"/>
  <c r="N62" i="7"/>
  <c r="O62" i="7"/>
  <c r="P62" i="7"/>
  <c r="Q62" i="7"/>
  <c r="R62" i="7"/>
  <c r="S62" i="7" s="1"/>
  <c r="T62" i="7"/>
  <c r="W62" i="7"/>
  <c r="U62" i="7" s="1"/>
  <c r="X62" i="7"/>
  <c r="AB62" i="7" s="1"/>
  <c r="Y62" i="7"/>
  <c r="Z62" i="7"/>
  <c r="AD62" i="7"/>
  <c r="AP62" i="7" s="1"/>
  <c r="AE62" i="7"/>
  <c r="AL62" i="7"/>
  <c r="AM62" i="7"/>
  <c r="AN62" i="7"/>
  <c r="AO62" i="7"/>
  <c r="AU62" i="7"/>
  <c r="AW62" i="7"/>
  <c r="BI62" i="7"/>
  <c r="BJ62" i="7"/>
  <c r="BM62" i="7"/>
  <c r="BN62" i="7"/>
  <c r="A63" i="7"/>
  <c r="B63" i="7"/>
  <c r="C63" i="7"/>
  <c r="D63" i="7"/>
  <c r="E63" i="7"/>
  <c r="BH63" i="7" s="1"/>
  <c r="F63" i="7"/>
  <c r="G63" i="7"/>
  <c r="J63" i="7"/>
  <c r="K63" i="7"/>
  <c r="L63" i="7"/>
  <c r="M63" i="7"/>
  <c r="N63" i="7"/>
  <c r="O63" i="7"/>
  <c r="P63" i="7"/>
  <c r="Q63" i="7"/>
  <c r="R63" i="7"/>
  <c r="S63" i="7" s="1"/>
  <c r="T63" i="7"/>
  <c r="W63" i="7"/>
  <c r="U63" i="7" s="1"/>
  <c r="X63" i="7"/>
  <c r="Y63" i="7"/>
  <c r="Z63" i="7"/>
  <c r="AD63" i="7"/>
  <c r="AP63" i="7" s="1"/>
  <c r="AE63" i="7"/>
  <c r="AL63" i="7"/>
  <c r="AM63" i="7"/>
  <c r="AN63" i="7"/>
  <c r="AO63" i="7"/>
  <c r="AU63" i="7"/>
  <c r="AW63" i="7"/>
  <c r="BI63" i="7"/>
  <c r="BJ63" i="7"/>
  <c r="BM63" i="7"/>
  <c r="BN63" i="7"/>
  <c r="A55" i="6"/>
  <c r="B55" i="6"/>
  <c r="C55" i="6"/>
  <c r="BO55" i="6" s="1"/>
  <c r="D55" i="6"/>
  <c r="E55" i="6"/>
  <c r="F55" i="6"/>
  <c r="I55" i="6" s="1"/>
  <c r="J55" i="6"/>
  <c r="K55" i="6"/>
  <c r="L55" i="6"/>
  <c r="M55" i="6"/>
  <c r="N55" i="6"/>
  <c r="O55" i="6"/>
  <c r="P55" i="6"/>
  <c r="Q55" i="6"/>
  <c r="R55" i="6"/>
  <c r="S55" i="6" s="1"/>
  <c r="T55" i="6"/>
  <c r="W55" i="6"/>
  <c r="U55" i="6" s="1"/>
  <c r="X55" i="6"/>
  <c r="AB55" i="6" s="1"/>
  <c r="Y55" i="6"/>
  <c r="AU55" i="6" s="1"/>
  <c r="Z55" i="6"/>
  <c r="AD55" i="6"/>
  <c r="AP55" i="6" s="1"/>
  <c r="AE55" i="6"/>
  <c r="AL55" i="6"/>
  <c r="AM55" i="6"/>
  <c r="AN55" i="6"/>
  <c r="AO55" i="6"/>
  <c r="AW55" i="6"/>
  <c r="BA55" i="6"/>
  <c r="BH55" i="6"/>
  <c r="BI55" i="6"/>
  <c r="BJ55" i="6"/>
  <c r="BK55" i="6"/>
  <c r="BL55" i="6"/>
  <c r="BM55" i="6"/>
  <c r="BN55" i="6"/>
  <c r="A56" i="6"/>
  <c r="B56" i="6"/>
  <c r="C56" i="6"/>
  <c r="BO56" i="6" s="1"/>
  <c r="D56" i="6"/>
  <c r="E56" i="6"/>
  <c r="F56" i="6"/>
  <c r="G56" i="6" s="1"/>
  <c r="J56" i="6"/>
  <c r="K56" i="6"/>
  <c r="L56" i="6"/>
  <c r="M56" i="6"/>
  <c r="N56" i="6"/>
  <c r="O56" i="6"/>
  <c r="P56" i="6"/>
  <c r="Q56" i="6"/>
  <c r="R56" i="6"/>
  <c r="S56" i="6" s="1"/>
  <c r="T56" i="6"/>
  <c r="W56" i="6"/>
  <c r="U56" i="6" s="1"/>
  <c r="X56" i="6"/>
  <c r="Y56" i="6"/>
  <c r="Z56" i="6"/>
  <c r="AD56" i="6"/>
  <c r="AP56" i="6" s="1"/>
  <c r="AE56" i="6"/>
  <c r="AL56" i="6"/>
  <c r="AM56" i="6"/>
  <c r="AN56" i="6"/>
  <c r="AO56" i="6"/>
  <c r="AW56" i="6"/>
  <c r="BH56" i="6"/>
  <c r="BI56" i="6"/>
  <c r="BJ56" i="6"/>
  <c r="BK56" i="6"/>
  <c r="BL56" i="6"/>
  <c r="BM56" i="6"/>
  <c r="BN56" i="6"/>
  <c r="A57" i="6"/>
  <c r="B57" i="6"/>
  <c r="C57" i="6"/>
  <c r="BO57" i="6" s="1"/>
  <c r="D57" i="6"/>
  <c r="E57" i="6"/>
  <c r="F57" i="6"/>
  <c r="J57" i="6"/>
  <c r="K57" i="6"/>
  <c r="L57" i="6"/>
  <c r="M57" i="6"/>
  <c r="N57" i="6"/>
  <c r="O57" i="6"/>
  <c r="P57" i="6"/>
  <c r="Q57" i="6"/>
  <c r="R57" i="6"/>
  <c r="S57" i="6" s="1"/>
  <c r="T57" i="6"/>
  <c r="W57" i="6"/>
  <c r="U57" i="6" s="1"/>
  <c r="X57" i="6"/>
  <c r="Y57" i="6"/>
  <c r="Z57" i="6"/>
  <c r="AD57" i="6"/>
  <c r="AP57" i="6" s="1"/>
  <c r="AE57" i="6"/>
  <c r="AL57" i="6"/>
  <c r="AM57" i="6"/>
  <c r="AN57" i="6"/>
  <c r="AO57" i="6"/>
  <c r="AW57" i="6"/>
  <c r="BH57" i="6"/>
  <c r="BI57" i="6"/>
  <c r="BJ57" i="6"/>
  <c r="BK57" i="6"/>
  <c r="BL57" i="6"/>
  <c r="BM57" i="6"/>
  <c r="BN57" i="6"/>
  <c r="A58" i="6"/>
  <c r="B58" i="6"/>
  <c r="C58" i="6"/>
  <c r="D58" i="6"/>
  <c r="E58" i="6"/>
  <c r="F58" i="6"/>
  <c r="I58" i="6" s="1"/>
  <c r="J58" i="6"/>
  <c r="K58" i="6"/>
  <c r="L58" i="6"/>
  <c r="M58" i="6"/>
  <c r="N58" i="6"/>
  <c r="O58" i="6"/>
  <c r="P58" i="6"/>
  <c r="Q58" i="6"/>
  <c r="R58" i="6"/>
  <c r="S58" i="6" s="1"/>
  <c r="T58" i="6"/>
  <c r="W58" i="6"/>
  <c r="U58" i="6" s="1"/>
  <c r="X58" i="6"/>
  <c r="Y58" i="6"/>
  <c r="Z58" i="6"/>
  <c r="AD58" i="6"/>
  <c r="AP58" i="6" s="1"/>
  <c r="AE58" i="6"/>
  <c r="AL58" i="6"/>
  <c r="AM58" i="6"/>
  <c r="AN58" i="6"/>
  <c r="AO58" i="6"/>
  <c r="AU58" i="6"/>
  <c r="AW58" i="6"/>
  <c r="BH58" i="6"/>
  <c r="BI58" i="6"/>
  <c r="BJ58" i="6"/>
  <c r="BK58" i="6"/>
  <c r="BL58" i="6"/>
  <c r="BM58" i="6"/>
  <c r="BN58" i="6"/>
  <c r="BO58" i="6"/>
  <c r="A59" i="6"/>
  <c r="B59" i="6"/>
  <c r="C59" i="6"/>
  <c r="BO59" i="6" s="1"/>
  <c r="D59" i="6"/>
  <c r="E59" i="6"/>
  <c r="F59" i="6"/>
  <c r="J59" i="6"/>
  <c r="K59" i="6"/>
  <c r="L59" i="6"/>
  <c r="M59" i="6"/>
  <c r="N59" i="6"/>
  <c r="O59" i="6"/>
  <c r="P59" i="6"/>
  <c r="Q59" i="6"/>
  <c r="R59" i="6"/>
  <c r="S59" i="6"/>
  <c r="T59" i="6"/>
  <c r="W59" i="6"/>
  <c r="U59" i="6" s="1"/>
  <c r="X59" i="6"/>
  <c r="Y59" i="6"/>
  <c r="Z59" i="6"/>
  <c r="AD59" i="6"/>
  <c r="AP59" i="6" s="1"/>
  <c r="AE59" i="6"/>
  <c r="AL59" i="6"/>
  <c r="AM59" i="6"/>
  <c r="AN59" i="6"/>
  <c r="AO59" i="6"/>
  <c r="AW59" i="6"/>
  <c r="BH59" i="6"/>
  <c r="BI59" i="6"/>
  <c r="BJ59" i="6"/>
  <c r="BK59" i="6"/>
  <c r="BL59" i="6"/>
  <c r="BM59" i="6"/>
  <c r="BN59" i="6"/>
  <c r="A60" i="6"/>
  <c r="B60" i="6"/>
  <c r="C60" i="6"/>
  <c r="BO60" i="6" s="1"/>
  <c r="D60" i="6"/>
  <c r="E60" i="6"/>
  <c r="F60" i="6"/>
  <c r="G60" i="6" s="1"/>
  <c r="J60" i="6"/>
  <c r="K60" i="6"/>
  <c r="L60" i="6"/>
  <c r="M60" i="6"/>
  <c r="N60" i="6"/>
  <c r="O60" i="6"/>
  <c r="P60" i="6"/>
  <c r="Q60" i="6"/>
  <c r="R60" i="6"/>
  <c r="S60" i="6" s="1"/>
  <c r="T60" i="6"/>
  <c r="W60" i="6"/>
  <c r="U60" i="6" s="1"/>
  <c r="X60" i="6"/>
  <c r="Y60" i="6"/>
  <c r="Z60" i="6"/>
  <c r="AD60" i="6"/>
  <c r="AP60" i="6" s="1"/>
  <c r="AE60" i="6"/>
  <c r="AL60" i="6"/>
  <c r="AM60" i="6"/>
  <c r="AN60" i="6"/>
  <c r="AO60" i="6"/>
  <c r="AW60" i="6"/>
  <c r="BH60" i="6"/>
  <c r="BI60" i="6"/>
  <c r="BJ60" i="6"/>
  <c r="BK60" i="6"/>
  <c r="BL60" i="6"/>
  <c r="BM60" i="6"/>
  <c r="BN60" i="6"/>
  <c r="A61" i="6"/>
  <c r="B61" i="6"/>
  <c r="C61" i="6"/>
  <c r="BO61" i="6" s="1"/>
  <c r="D61" i="6"/>
  <c r="E61" i="6"/>
  <c r="F61" i="6"/>
  <c r="I61" i="6" s="1"/>
  <c r="J61" i="6"/>
  <c r="K61" i="6"/>
  <c r="L61" i="6"/>
  <c r="M61" i="6"/>
  <c r="N61" i="6"/>
  <c r="O61" i="6"/>
  <c r="P61" i="6"/>
  <c r="Q61" i="6"/>
  <c r="R61" i="6"/>
  <c r="S61" i="6"/>
  <c r="T61" i="6"/>
  <c r="W61" i="6"/>
  <c r="X61" i="6"/>
  <c r="Y61" i="6"/>
  <c r="Z61" i="6"/>
  <c r="AD61" i="6"/>
  <c r="AP61" i="6" s="1"/>
  <c r="AE61" i="6"/>
  <c r="AL61" i="6"/>
  <c r="AM61" i="6"/>
  <c r="AN61" i="6"/>
  <c r="AO61" i="6"/>
  <c r="AW61" i="6"/>
  <c r="BH61" i="6"/>
  <c r="BI61" i="6"/>
  <c r="BJ61" i="6"/>
  <c r="BK61" i="6"/>
  <c r="BL61" i="6"/>
  <c r="BM61" i="6"/>
  <c r="BN61" i="6"/>
  <c r="A62" i="6"/>
  <c r="B62" i="6"/>
  <c r="C62" i="6"/>
  <c r="BO62" i="6" s="1"/>
  <c r="D62" i="6"/>
  <c r="E62" i="6"/>
  <c r="F62" i="6"/>
  <c r="G62" i="6" s="1"/>
  <c r="J62" i="6"/>
  <c r="K62" i="6"/>
  <c r="L62" i="6"/>
  <c r="M62" i="6"/>
  <c r="N62" i="6"/>
  <c r="O62" i="6"/>
  <c r="P62" i="6"/>
  <c r="Q62" i="6"/>
  <c r="R62" i="6"/>
  <c r="S62" i="6" s="1"/>
  <c r="T62" i="6"/>
  <c r="W62" i="6"/>
  <c r="U62" i="6" s="1"/>
  <c r="X62" i="6"/>
  <c r="Y62" i="6"/>
  <c r="Z62" i="6"/>
  <c r="AD62" i="6"/>
  <c r="AP62" i="6" s="1"/>
  <c r="AE62" i="6"/>
  <c r="AL62" i="6"/>
  <c r="AM62" i="6"/>
  <c r="AN62" i="6"/>
  <c r="AO62" i="6"/>
  <c r="AR62" i="6"/>
  <c r="AW62" i="6"/>
  <c r="BH62" i="6"/>
  <c r="BI62" i="6"/>
  <c r="BJ62" i="6"/>
  <c r="BK62" i="6"/>
  <c r="BL62" i="6"/>
  <c r="BM62" i="6"/>
  <c r="BN62" i="6"/>
  <c r="A63" i="6"/>
  <c r="B63" i="6"/>
  <c r="C63" i="6"/>
  <c r="BO63" i="6" s="1"/>
  <c r="D63" i="6"/>
  <c r="E63" i="6"/>
  <c r="F63" i="6"/>
  <c r="I63" i="6" s="1"/>
  <c r="J63" i="6"/>
  <c r="K63" i="6"/>
  <c r="L63" i="6"/>
  <c r="M63" i="6"/>
  <c r="N63" i="6"/>
  <c r="O63" i="6"/>
  <c r="P63" i="6"/>
  <c r="Q63" i="6"/>
  <c r="R63" i="6"/>
  <c r="S63" i="6" s="1"/>
  <c r="T63" i="6"/>
  <c r="W63" i="6"/>
  <c r="X63" i="6"/>
  <c r="Y63" i="6"/>
  <c r="Z63" i="6"/>
  <c r="AD63" i="6"/>
  <c r="AP63" i="6" s="1"/>
  <c r="AE63" i="6"/>
  <c r="AL63" i="6"/>
  <c r="AM63" i="6"/>
  <c r="AN63" i="6"/>
  <c r="AO63" i="6"/>
  <c r="AW63" i="6"/>
  <c r="BH63" i="6"/>
  <c r="BI63" i="6"/>
  <c r="BJ63" i="6"/>
  <c r="BK63" i="6"/>
  <c r="BL63" i="6"/>
  <c r="BM63" i="6"/>
  <c r="BN63" i="6"/>
  <c r="A36" i="6"/>
  <c r="B36" i="6"/>
  <c r="C36" i="6"/>
  <c r="BO36" i="6" s="1"/>
  <c r="D36" i="6"/>
  <c r="E36" i="6"/>
  <c r="F36" i="6"/>
  <c r="I36" i="6" s="1"/>
  <c r="J36" i="6"/>
  <c r="K36" i="6"/>
  <c r="L36" i="6"/>
  <c r="M36" i="6"/>
  <c r="N36" i="6"/>
  <c r="O36" i="6"/>
  <c r="P36" i="6"/>
  <c r="Q36" i="6"/>
  <c r="R36" i="6"/>
  <c r="S36" i="6" s="1"/>
  <c r="T36" i="6"/>
  <c r="W36" i="6"/>
  <c r="U36" i="6" s="1"/>
  <c r="X36" i="6"/>
  <c r="Y36" i="6"/>
  <c r="Z36" i="6"/>
  <c r="AD36" i="6"/>
  <c r="AP36" i="6" s="1"/>
  <c r="AE36" i="6"/>
  <c r="AL36" i="6"/>
  <c r="AM36" i="6"/>
  <c r="AN36" i="6"/>
  <c r="AO36" i="6"/>
  <c r="AW36" i="6"/>
  <c r="BH36" i="6"/>
  <c r="BI36" i="6"/>
  <c r="BJ36" i="6"/>
  <c r="BK36" i="6"/>
  <c r="BL36" i="6"/>
  <c r="BM36" i="6"/>
  <c r="BN36" i="6"/>
  <c r="A37" i="6"/>
  <c r="B37" i="6"/>
  <c r="C37" i="6"/>
  <c r="BO37" i="6" s="1"/>
  <c r="D37" i="6"/>
  <c r="E37" i="6"/>
  <c r="F37" i="6"/>
  <c r="I37" i="6" s="1"/>
  <c r="J37" i="6"/>
  <c r="K37" i="6"/>
  <c r="L37" i="6"/>
  <c r="M37" i="6"/>
  <c r="N37" i="6"/>
  <c r="O37" i="6"/>
  <c r="P37" i="6"/>
  <c r="Q37" i="6"/>
  <c r="R37" i="6"/>
  <c r="S37" i="6" s="1"/>
  <c r="T37" i="6"/>
  <c r="W37" i="6"/>
  <c r="U37" i="6" s="1"/>
  <c r="X37" i="6"/>
  <c r="Y37" i="6"/>
  <c r="AR37" i="6" s="1"/>
  <c r="Z37" i="6"/>
  <c r="AD37" i="6"/>
  <c r="AP37" i="6" s="1"/>
  <c r="AE37" i="6"/>
  <c r="AL37" i="6"/>
  <c r="AM37" i="6"/>
  <c r="AN37" i="6"/>
  <c r="AO37" i="6"/>
  <c r="AW37" i="6"/>
  <c r="BH37" i="6"/>
  <c r="BI37" i="6"/>
  <c r="BJ37" i="6"/>
  <c r="BK37" i="6"/>
  <c r="BL37" i="6"/>
  <c r="BM37" i="6"/>
  <c r="BN37" i="6"/>
  <c r="A38" i="6"/>
  <c r="B38" i="6"/>
  <c r="C38" i="6"/>
  <c r="BO38" i="6" s="1"/>
  <c r="D38" i="6"/>
  <c r="E38" i="6"/>
  <c r="F38" i="6"/>
  <c r="I38" i="6" s="1"/>
  <c r="J38" i="6"/>
  <c r="K38" i="6"/>
  <c r="L38" i="6"/>
  <c r="M38" i="6"/>
  <c r="N38" i="6"/>
  <c r="O38" i="6"/>
  <c r="P38" i="6"/>
  <c r="Q38" i="6"/>
  <c r="R38" i="6"/>
  <c r="S38" i="6" s="1"/>
  <c r="T38" i="6"/>
  <c r="W38" i="6"/>
  <c r="U38" i="6" s="1"/>
  <c r="X38" i="6"/>
  <c r="Y38" i="6"/>
  <c r="Z38" i="6"/>
  <c r="AD38" i="6"/>
  <c r="AP38" i="6" s="1"/>
  <c r="AE38" i="6"/>
  <c r="AL38" i="6"/>
  <c r="AM38" i="6"/>
  <c r="AN38" i="6"/>
  <c r="AO38" i="6"/>
  <c r="AW38" i="6"/>
  <c r="BH38" i="6"/>
  <c r="BI38" i="6"/>
  <c r="BJ38" i="6"/>
  <c r="BK38" i="6"/>
  <c r="BL38" i="6"/>
  <c r="BM38" i="6"/>
  <c r="BN38" i="6"/>
  <c r="A39" i="6"/>
  <c r="B39" i="6"/>
  <c r="C39" i="6"/>
  <c r="D39" i="6"/>
  <c r="E39" i="6"/>
  <c r="F39" i="6"/>
  <c r="G39" i="6" s="1"/>
  <c r="J39" i="6"/>
  <c r="K39" i="6"/>
  <c r="L39" i="6"/>
  <c r="M39" i="6"/>
  <c r="N39" i="6"/>
  <c r="O39" i="6"/>
  <c r="P39" i="6"/>
  <c r="Q39" i="6"/>
  <c r="R39" i="6"/>
  <c r="S39" i="6" s="1"/>
  <c r="T39" i="6"/>
  <c r="W39" i="6"/>
  <c r="X39" i="6"/>
  <c r="Y39" i="6"/>
  <c r="Z39" i="6"/>
  <c r="AD39" i="6"/>
  <c r="AP39" i="6" s="1"/>
  <c r="AE39" i="6"/>
  <c r="AL39" i="6"/>
  <c r="AM39" i="6"/>
  <c r="AN39" i="6"/>
  <c r="AO39" i="6"/>
  <c r="AW39" i="6"/>
  <c r="BH39" i="6"/>
  <c r="BI39" i="6"/>
  <c r="BJ39" i="6"/>
  <c r="BK39" i="6"/>
  <c r="BL39" i="6"/>
  <c r="BM39" i="6"/>
  <c r="BN39" i="6"/>
  <c r="BO39" i="6"/>
  <c r="A40" i="6"/>
  <c r="B40" i="6"/>
  <c r="C40" i="6"/>
  <c r="BO40" i="6" s="1"/>
  <c r="D40" i="6"/>
  <c r="E40" i="6"/>
  <c r="F40" i="6"/>
  <c r="I40" i="6" s="1"/>
  <c r="J40" i="6"/>
  <c r="K40" i="6"/>
  <c r="L40" i="6"/>
  <c r="M40" i="6"/>
  <c r="N40" i="6"/>
  <c r="O40" i="6"/>
  <c r="P40" i="6"/>
  <c r="Q40" i="6"/>
  <c r="R40" i="6"/>
  <c r="S40" i="6"/>
  <c r="T40" i="6"/>
  <c r="W40" i="6"/>
  <c r="U40" i="6" s="1"/>
  <c r="X40" i="6"/>
  <c r="Y40" i="6"/>
  <c r="Z40" i="6"/>
  <c r="AD40" i="6"/>
  <c r="AP40" i="6" s="1"/>
  <c r="AE40" i="6"/>
  <c r="AL40" i="6"/>
  <c r="AM40" i="6"/>
  <c r="AN40" i="6"/>
  <c r="AO40" i="6"/>
  <c r="AW40" i="6"/>
  <c r="BH40" i="6"/>
  <c r="BI40" i="6"/>
  <c r="BJ40" i="6"/>
  <c r="BK40" i="6"/>
  <c r="BL40" i="6"/>
  <c r="BM40" i="6"/>
  <c r="BN40" i="6"/>
  <c r="A41" i="6"/>
  <c r="B41" i="6"/>
  <c r="C41" i="6"/>
  <c r="BO41" i="6" s="1"/>
  <c r="D41" i="6"/>
  <c r="E41" i="6"/>
  <c r="F41" i="6"/>
  <c r="I41" i="6" s="1"/>
  <c r="J41" i="6"/>
  <c r="K41" i="6"/>
  <c r="L41" i="6"/>
  <c r="M41" i="6"/>
  <c r="N41" i="6"/>
  <c r="O41" i="6"/>
  <c r="P41" i="6"/>
  <c r="Q41" i="6"/>
  <c r="R41" i="6"/>
  <c r="S41" i="6" s="1"/>
  <c r="T41" i="6"/>
  <c r="W41" i="6"/>
  <c r="X41" i="6"/>
  <c r="Y41" i="6"/>
  <c r="Z41" i="6"/>
  <c r="AD41" i="6"/>
  <c r="AP41" i="6" s="1"/>
  <c r="AE41" i="6"/>
  <c r="AL41" i="6"/>
  <c r="AM41" i="6"/>
  <c r="AN41" i="6"/>
  <c r="AO41" i="6"/>
  <c r="AW41" i="6"/>
  <c r="BH41" i="6"/>
  <c r="BI41" i="6"/>
  <c r="BJ41" i="6"/>
  <c r="BK41" i="6"/>
  <c r="BL41" i="6"/>
  <c r="BM41" i="6"/>
  <c r="BN41" i="6"/>
  <c r="A42" i="6"/>
  <c r="B42" i="6"/>
  <c r="C42" i="6"/>
  <c r="BO42" i="6" s="1"/>
  <c r="D42" i="6"/>
  <c r="E42" i="6"/>
  <c r="F42" i="6"/>
  <c r="I42" i="6" s="1"/>
  <c r="J42" i="6"/>
  <c r="K42" i="6"/>
  <c r="L42" i="6"/>
  <c r="M42" i="6"/>
  <c r="N42" i="6"/>
  <c r="O42" i="6"/>
  <c r="P42" i="6"/>
  <c r="Q42" i="6"/>
  <c r="R42" i="6"/>
  <c r="S42" i="6" s="1"/>
  <c r="T42" i="6"/>
  <c r="W42" i="6"/>
  <c r="U42" i="6" s="1"/>
  <c r="X42" i="6"/>
  <c r="Y42" i="6"/>
  <c r="Z42" i="6"/>
  <c r="AD42" i="6"/>
  <c r="AP42" i="6" s="1"/>
  <c r="AE42" i="6"/>
  <c r="AL42" i="6"/>
  <c r="AM42" i="6"/>
  <c r="AN42" i="6"/>
  <c r="AO42" i="6"/>
  <c r="AW42" i="6"/>
  <c r="BH42" i="6"/>
  <c r="BI42" i="6"/>
  <c r="BJ42" i="6"/>
  <c r="BK42" i="6"/>
  <c r="BL42" i="6"/>
  <c r="BM42" i="6"/>
  <c r="BN42" i="6"/>
  <c r="A43" i="6"/>
  <c r="B43" i="6"/>
  <c r="C43" i="6"/>
  <c r="BO43" i="6" s="1"/>
  <c r="D43" i="6"/>
  <c r="E43" i="6"/>
  <c r="F43" i="6"/>
  <c r="G43" i="6" s="1"/>
  <c r="J43" i="6"/>
  <c r="K43" i="6"/>
  <c r="L43" i="6"/>
  <c r="M43" i="6"/>
  <c r="N43" i="6"/>
  <c r="O43" i="6"/>
  <c r="P43" i="6"/>
  <c r="Q43" i="6"/>
  <c r="R43" i="6"/>
  <c r="S43" i="6" s="1"/>
  <c r="T43" i="6"/>
  <c r="W43" i="6"/>
  <c r="X43" i="6"/>
  <c r="Y43" i="6"/>
  <c r="Z43" i="6"/>
  <c r="AD43" i="6"/>
  <c r="AP43" i="6" s="1"/>
  <c r="AE43" i="6"/>
  <c r="AL43" i="6"/>
  <c r="AM43" i="6"/>
  <c r="AN43" i="6"/>
  <c r="AO43" i="6"/>
  <c r="AW43" i="6"/>
  <c r="BH43" i="6"/>
  <c r="BI43" i="6"/>
  <c r="BJ43" i="6"/>
  <c r="BK43" i="6"/>
  <c r="BL43" i="6"/>
  <c r="BM43" i="6"/>
  <c r="BN43" i="6"/>
  <c r="A44" i="6"/>
  <c r="B44" i="6"/>
  <c r="C44" i="6"/>
  <c r="BO44" i="6" s="1"/>
  <c r="D44" i="6"/>
  <c r="E44" i="6"/>
  <c r="F44" i="6"/>
  <c r="I44" i="6" s="1"/>
  <c r="H44" i="6"/>
  <c r="J44" i="6"/>
  <c r="K44" i="6"/>
  <c r="L44" i="6"/>
  <c r="M44" i="6"/>
  <c r="N44" i="6"/>
  <c r="O44" i="6"/>
  <c r="P44" i="6"/>
  <c r="Q44" i="6"/>
  <c r="R44" i="6"/>
  <c r="S44" i="6"/>
  <c r="T44" i="6"/>
  <c r="W44" i="6"/>
  <c r="U44" i="6" s="1"/>
  <c r="X44" i="6"/>
  <c r="Y44" i="6"/>
  <c r="Z44" i="6"/>
  <c r="AD44" i="6"/>
  <c r="AP44" i="6" s="1"/>
  <c r="AE44" i="6"/>
  <c r="AL44" i="6"/>
  <c r="AM44" i="6"/>
  <c r="AN44" i="6"/>
  <c r="AO44" i="6"/>
  <c r="AW44" i="6"/>
  <c r="BH44" i="6"/>
  <c r="BI44" i="6"/>
  <c r="BJ44" i="6"/>
  <c r="BK44" i="6"/>
  <c r="BL44" i="6"/>
  <c r="BM44" i="6"/>
  <c r="BN44" i="6"/>
  <c r="A45" i="6"/>
  <c r="B45" i="6"/>
  <c r="C45" i="6"/>
  <c r="BO45" i="6" s="1"/>
  <c r="D45" i="6"/>
  <c r="E45" i="6"/>
  <c r="F45" i="6"/>
  <c r="G45" i="6" s="1"/>
  <c r="J45" i="6"/>
  <c r="K45" i="6"/>
  <c r="L45" i="6"/>
  <c r="M45" i="6"/>
  <c r="N45" i="6"/>
  <c r="O45" i="6"/>
  <c r="P45" i="6"/>
  <c r="Q45" i="6"/>
  <c r="R45" i="6"/>
  <c r="S45" i="6" s="1"/>
  <c r="T45" i="6"/>
  <c r="W45" i="6"/>
  <c r="X45" i="6"/>
  <c r="Y45" i="6"/>
  <c r="Z45" i="6"/>
  <c r="AD45" i="6"/>
  <c r="AP45" i="6" s="1"/>
  <c r="AE45" i="6"/>
  <c r="AL45" i="6"/>
  <c r="AM45" i="6"/>
  <c r="AN45" i="6"/>
  <c r="AO45" i="6"/>
  <c r="AR45" i="6"/>
  <c r="AW45" i="6"/>
  <c r="BH45" i="6"/>
  <c r="BI45" i="6"/>
  <c r="BJ45" i="6"/>
  <c r="BK45" i="6"/>
  <c r="BL45" i="6"/>
  <c r="BM45" i="6"/>
  <c r="BN45" i="6"/>
  <c r="A46" i="6"/>
  <c r="B46" i="6"/>
  <c r="C46" i="6"/>
  <c r="BO46" i="6" s="1"/>
  <c r="D46" i="6"/>
  <c r="E46" i="6"/>
  <c r="F46" i="6"/>
  <c r="I46" i="6" s="1"/>
  <c r="J46" i="6"/>
  <c r="K46" i="6"/>
  <c r="L46" i="6"/>
  <c r="M46" i="6"/>
  <c r="N46" i="6"/>
  <c r="O46" i="6"/>
  <c r="P46" i="6"/>
  <c r="Q46" i="6"/>
  <c r="R46" i="6"/>
  <c r="S46" i="6" s="1"/>
  <c r="T46" i="6"/>
  <c r="W46" i="6"/>
  <c r="U46" i="6" s="1"/>
  <c r="X46" i="6"/>
  <c r="Y46" i="6"/>
  <c r="Z46" i="6"/>
  <c r="AD46" i="6"/>
  <c r="AP46" i="6" s="1"/>
  <c r="AE46" i="6"/>
  <c r="AL46" i="6"/>
  <c r="AM46" i="6"/>
  <c r="AN46" i="6"/>
  <c r="AO46" i="6"/>
  <c r="AW46" i="6"/>
  <c r="BA46" i="6"/>
  <c r="BH46" i="6"/>
  <c r="BI46" i="6"/>
  <c r="BJ46" i="6"/>
  <c r="BK46" i="6"/>
  <c r="BL46" i="6"/>
  <c r="BM46" i="6"/>
  <c r="BN46" i="6"/>
  <c r="A47" i="6"/>
  <c r="B47" i="6"/>
  <c r="C47" i="6"/>
  <c r="BO47" i="6" s="1"/>
  <c r="D47" i="6"/>
  <c r="E47" i="6"/>
  <c r="F47" i="6"/>
  <c r="G47" i="6" s="1"/>
  <c r="J47" i="6"/>
  <c r="K47" i="6"/>
  <c r="L47" i="6"/>
  <c r="M47" i="6"/>
  <c r="N47" i="6"/>
  <c r="O47" i="6"/>
  <c r="P47" i="6"/>
  <c r="Q47" i="6"/>
  <c r="R47" i="6"/>
  <c r="S47" i="6" s="1"/>
  <c r="T47" i="6"/>
  <c r="W47" i="6"/>
  <c r="X47" i="6"/>
  <c r="Y47" i="6"/>
  <c r="Z47" i="6"/>
  <c r="AD47" i="6"/>
  <c r="AP47" i="6" s="1"/>
  <c r="AE47" i="6"/>
  <c r="AL47" i="6"/>
  <c r="AM47" i="6"/>
  <c r="AN47" i="6"/>
  <c r="AO47" i="6"/>
  <c r="AW47" i="6"/>
  <c r="BH47" i="6"/>
  <c r="BI47" i="6"/>
  <c r="BJ47" i="6"/>
  <c r="BK47" i="6"/>
  <c r="BL47" i="6"/>
  <c r="BM47" i="6"/>
  <c r="BN47" i="6"/>
  <c r="A48" i="6"/>
  <c r="B48" i="6"/>
  <c r="C48" i="6"/>
  <c r="BO48" i="6" s="1"/>
  <c r="D48" i="6"/>
  <c r="E48" i="6"/>
  <c r="F48" i="6"/>
  <c r="I48" i="6" s="1"/>
  <c r="J48" i="6"/>
  <c r="K48" i="6"/>
  <c r="L48" i="6"/>
  <c r="M48" i="6"/>
  <c r="N48" i="6"/>
  <c r="O48" i="6"/>
  <c r="P48" i="6"/>
  <c r="Q48" i="6"/>
  <c r="R48" i="6"/>
  <c r="S48" i="6" s="1"/>
  <c r="T48" i="6"/>
  <c r="W48" i="6"/>
  <c r="U48" i="6" s="1"/>
  <c r="X48" i="6"/>
  <c r="Y48" i="6"/>
  <c r="Z48" i="6"/>
  <c r="AD48" i="6"/>
  <c r="AP48" i="6" s="1"/>
  <c r="AE48" i="6"/>
  <c r="AL48" i="6"/>
  <c r="AM48" i="6"/>
  <c r="AN48" i="6"/>
  <c r="AO48" i="6"/>
  <c r="AW48" i="6"/>
  <c r="BH48" i="6"/>
  <c r="BI48" i="6"/>
  <c r="BJ48" i="6"/>
  <c r="BK48" i="6"/>
  <c r="BL48" i="6"/>
  <c r="BM48" i="6"/>
  <c r="BN48" i="6"/>
  <c r="A49" i="6"/>
  <c r="B49" i="6"/>
  <c r="C49" i="6"/>
  <c r="BO49" i="6" s="1"/>
  <c r="D49" i="6"/>
  <c r="E49" i="6"/>
  <c r="F49" i="6"/>
  <c r="G49" i="6" s="1"/>
  <c r="J49" i="6"/>
  <c r="K49" i="6"/>
  <c r="L49" i="6"/>
  <c r="M49" i="6"/>
  <c r="N49" i="6"/>
  <c r="O49" i="6"/>
  <c r="P49" i="6"/>
  <c r="Q49" i="6"/>
  <c r="R49" i="6"/>
  <c r="S49" i="6" s="1"/>
  <c r="T49" i="6"/>
  <c r="W49" i="6"/>
  <c r="X49" i="6"/>
  <c r="Y49" i="6"/>
  <c r="AA49" i="6" s="1"/>
  <c r="Z49" i="6"/>
  <c r="AD49" i="6"/>
  <c r="AE49" i="6"/>
  <c r="AL49" i="6"/>
  <c r="AM49" i="6"/>
  <c r="AN49" i="6"/>
  <c r="AO49" i="6"/>
  <c r="AP49" i="6"/>
  <c r="AW49" i="6"/>
  <c r="BH49" i="6"/>
  <c r="BI49" i="6"/>
  <c r="BJ49" i="6"/>
  <c r="BK49" i="6"/>
  <c r="BL49" i="6"/>
  <c r="BM49" i="6"/>
  <c r="BN49" i="6"/>
  <c r="A50" i="6"/>
  <c r="B50" i="6"/>
  <c r="C50" i="6"/>
  <c r="D50" i="6"/>
  <c r="E50" i="6"/>
  <c r="F50" i="6"/>
  <c r="I50" i="6" s="1"/>
  <c r="J50" i="6"/>
  <c r="K50" i="6"/>
  <c r="L50" i="6"/>
  <c r="M50" i="6"/>
  <c r="N50" i="6"/>
  <c r="O50" i="6"/>
  <c r="P50" i="6"/>
  <c r="Q50" i="6"/>
  <c r="R50" i="6"/>
  <c r="S50" i="6" s="1"/>
  <c r="T50" i="6"/>
  <c r="W50" i="6"/>
  <c r="X50" i="6"/>
  <c r="Y50" i="6"/>
  <c r="Z50" i="6"/>
  <c r="AD50" i="6"/>
  <c r="AP50" i="6" s="1"/>
  <c r="AE50" i="6"/>
  <c r="AL50" i="6"/>
  <c r="AM50" i="6"/>
  <c r="AN50" i="6"/>
  <c r="AO50" i="6"/>
  <c r="AW50" i="6"/>
  <c r="BH50" i="6"/>
  <c r="BI50" i="6"/>
  <c r="BJ50" i="6"/>
  <c r="BK50" i="6"/>
  <c r="BL50" i="6"/>
  <c r="BM50" i="6"/>
  <c r="BN50" i="6"/>
  <c r="BO50" i="6"/>
  <c r="A51" i="6"/>
  <c r="B51" i="6"/>
  <c r="C51" i="6"/>
  <c r="BO51" i="6" s="1"/>
  <c r="D51" i="6"/>
  <c r="E51" i="6"/>
  <c r="F51" i="6"/>
  <c r="G51" i="6" s="1"/>
  <c r="I51" i="6"/>
  <c r="J51" i="6"/>
  <c r="K51" i="6"/>
  <c r="L51" i="6"/>
  <c r="M51" i="6"/>
  <c r="N51" i="6"/>
  <c r="O51" i="6"/>
  <c r="P51" i="6"/>
  <c r="Q51" i="6"/>
  <c r="R51" i="6"/>
  <c r="S51" i="6" s="1"/>
  <c r="T51" i="6"/>
  <c r="W51" i="6"/>
  <c r="X51" i="6"/>
  <c r="Y51" i="6"/>
  <c r="Z51" i="6"/>
  <c r="AD51" i="6"/>
  <c r="AP51" i="6" s="1"/>
  <c r="AE51" i="6"/>
  <c r="AL51" i="6"/>
  <c r="AM51" i="6"/>
  <c r="AN51" i="6"/>
  <c r="AO51" i="6"/>
  <c r="AW51" i="6"/>
  <c r="BH51" i="6"/>
  <c r="BI51" i="6"/>
  <c r="BJ51" i="6"/>
  <c r="BK51" i="6"/>
  <c r="BL51" i="6"/>
  <c r="BM51" i="6"/>
  <c r="BN51" i="6"/>
  <c r="A52" i="6"/>
  <c r="B52" i="6"/>
  <c r="C52" i="6"/>
  <c r="BO52" i="6" s="1"/>
  <c r="D52" i="6"/>
  <c r="E52" i="6"/>
  <c r="F52" i="6"/>
  <c r="G52" i="6" s="1"/>
  <c r="J52" i="6"/>
  <c r="K52" i="6"/>
  <c r="L52" i="6"/>
  <c r="M52" i="6"/>
  <c r="N52" i="6"/>
  <c r="O52" i="6"/>
  <c r="P52" i="6"/>
  <c r="Q52" i="6"/>
  <c r="R52" i="6"/>
  <c r="S52" i="6" s="1"/>
  <c r="T52" i="6"/>
  <c r="W52" i="6"/>
  <c r="V52" i="6" s="1"/>
  <c r="X52" i="6"/>
  <c r="Y52" i="6"/>
  <c r="Z52" i="6"/>
  <c r="AA52" i="6"/>
  <c r="AC52" i="6"/>
  <c r="AD52" i="6"/>
  <c r="AP52" i="6" s="1"/>
  <c r="AE52" i="6"/>
  <c r="AL52" i="6"/>
  <c r="AM52" i="6"/>
  <c r="AN52" i="6"/>
  <c r="AO52" i="6"/>
  <c r="AR52" i="6"/>
  <c r="AU52" i="6"/>
  <c r="AW52" i="6"/>
  <c r="BH52" i="6"/>
  <c r="BI52" i="6"/>
  <c r="BJ52" i="6"/>
  <c r="BK52" i="6"/>
  <c r="BL52" i="6"/>
  <c r="BM52" i="6"/>
  <c r="BN52" i="6"/>
  <c r="A53" i="6"/>
  <c r="B53" i="6"/>
  <c r="C53" i="6"/>
  <c r="BO53" i="6" s="1"/>
  <c r="D53" i="6"/>
  <c r="E53" i="6"/>
  <c r="F53" i="6"/>
  <c r="I53" i="6" s="1"/>
  <c r="J53" i="6"/>
  <c r="K53" i="6"/>
  <c r="L53" i="6"/>
  <c r="M53" i="6"/>
  <c r="N53" i="6"/>
  <c r="O53" i="6"/>
  <c r="P53" i="6"/>
  <c r="Q53" i="6"/>
  <c r="R53" i="6"/>
  <c r="S53" i="6"/>
  <c r="T53" i="6"/>
  <c r="W53" i="6"/>
  <c r="X53" i="6"/>
  <c r="Y53" i="6"/>
  <c r="Z53" i="6"/>
  <c r="AD53" i="6"/>
  <c r="AP53" i="6" s="1"/>
  <c r="AE53" i="6"/>
  <c r="AL53" i="6"/>
  <c r="AM53" i="6"/>
  <c r="AN53" i="6"/>
  <c r="AO53" i="6"/>
  <c r="AW53" i="6"/>
  <c r="BH53" i="6"/>
  <c r="BI53" i="6"/>
  <c r="BJ53" i="6"/>
  <c r="BK53" i="6"/>
  <c r="BL53" i="6"/>
  <c r="BM53" i="6"/>
  <c r="BN53" i="6"/>
  <c r="A54" i="6"/>
  <c r="B54" i="6"/>
  <c r="C54" i="6"/>
  <c r="BO54" i="6" s="1"/>
  <c r="D54" i="6"/>
  <c r="E54" i="6"/>
  <c r="F54" i="6"/>
  <c r="G54" i="6" s="1"/>
  <c r="J54" i="6"/>
  <c r="K54" i="6"/>
  <c r="L54" i="6"/>
  <c r="M54" i="6"/>
  <c r="N54" i="6"/>
  <c r="O54" i="6"/>
  <c r="P54" i="6"/>
  <c r="Q54" i="6"/>
  <c r="R54" i="6"/>
  <c r="S54" i="6" s="1"/>
  <c r="T54" i="6"/>
  <c r="W54" i="6"/>
  <c r="U54" i="6" s="1"/>
  <c r="X54" i="6"/>
  <c r="Y54" i="6"/>
  <c r="Z54" i="6"/>
  <c r="AD54" i="6"/>
  <c r="AP54" i="6" s="1"/>
  <c r="AE54" i="6"/>
  <c r="AL54" i="6"/>
  <c r="AM54" i="6"/>
  <c r="AN54" i="6"/>
  <c r="AO54" i="6"/>
  <c r="AW54" i="6"/>
  <c r="BH54" i="6"/>
  <c r="BI54" i="6"/>
  <c r="BJ54" i="6"/>
  <c r="BK54" i="6"/>
  <c r="BL54" i="6"/>
  <c r="BM54" i="6"/>
  <c r="BN54" i="6"/>
  <c r="A53" i="5"/>
  <c r="B53" i="5"/>
  <c r="C53" i="5"/>
  <c r="D53" i="5"/>
  <c r="BN53" i="5" s="1"/>
  <c r="E53" i="5"/>
  <c r="F53" i="5"/>
  <c r="J53" i="5"/>
  <c r="K53" i="5"/>
  <c r="L53" i="5"/>
  <c r="M53" i="5"/>
  <c r="N53" i="5"/>
  <c r="O53" i="5"/>
  <c r="P53" i="5"/>
  <c r="Q53" i="5"/>
  <c r="R53" i="5"/>
  <c r="S53" i="5" s="1"/>
  <c r="T53" i="5"/>
  <c r="W53" i="5"/>
  <c r="U53" i="5" s="1"/>
  <c r="X53" i="5"/>
  <c r="Y53" i="5"/>
  <c r="Z53" i="5"/>
  <c r="AD53" i="5"/>
  <c r="AP53" i="5" s="1"/>
  <c r="AE53" i="5"/>
  <c r="AL53" i="5"/>
  <c r="AM53" i="5"/>
  <c r="AN53" i="5"/>
  <c r="AO53" i="5"/>
  <c r="AW53" i="5"/>
  <c r="BH53" i="5"/>
  <c r="BI53" i="5"/>
  <c r="BJ53" i="5"/>
  <c r="BK53" i="5"/>
  <c r="BL53" i="5"/>
  <c r="BM53" i="5"/>
  <c r="A54" i="5"/>
  <c r="B54" i="5"/>
  <c r="C54" i="5"/>
  <c r="D54" i="5"/>
  <c r="BN54" i="5" s="1"/>
  <c r="E54" i="5"/>
  <c r="F54" i="5"/>
  <c r="H54" i="5" s="1"/>
  <c r="J54" i="5"/>
  <c r="K54" i="5"/>
  <c r="L54" i="5"/>
  <c r="M54" i="5"/>
  <c r="N54" i="5"/>
  <c r="O54" i="5"/>
  <c r="P54" i="5"/>
  <c r="Q54" i="5"/>
  <c r="R54" i="5"/>
  <c r="S54" i="5" s="1"/>
  <c r="T54" i="5"/>
  <c r="W54" i="5"/>
  <c r="X54" i="5"/>
  <c r="Y54" i="5"/>
  <c r="Z54" i="5"/>
  <c r="AD54" i="5"/>
  <c r="AP54" i="5" s="1"/>
  <c r="AE54" i="5"/>
  <c r="AL54" i="5"/>
  <c r="AM54" i="5"/>
  <c r="AN54" i="5"/>
  <c r="AO54" i="5"/>
  <c r="AW54" i="5"/>
  <c r="BH54" i="5"/>
  <c r="BI54" i="5"/>
  <c r="BJ54" i="5"/>
  <c r="BK54" i="5"/>
  <c r="BL54" i="5"/>
  <c r="BM54" i="5"/>
  <c r="A55" i="5"/>
  <c r="B55" i="5"/>
  <c r="C55" i="5"/>
  <c r="D55" i="5"/>
  <c r="BN55" i="5" s="1"/>
  <c r="E55" i="5"/>
  <c r="F55" i="5"/>
  <c r="G55" i="5" s="1"/>
  <c r="J55" i="5"/>
  <c r="K55" i="5"/>
  <c r="L55" i="5"/>
  <c r="M55" i="5"/>
  <c r="N55" i="5"/>
  <c r="O55" i="5"/>
  <c r="P55" i="5"/>
  <c r="Q55" i="5"/>
  <c r="R55" i="5"/>
  <c r="S55" i="5" s="1"/>
  <c r="T55" i="5"/>
  <c r="W55" i="5"/>
  <c r="U55" i="5" s="1"/>
  <c r="X55" i="5"/>
  <c r="Y55" i="5"/>
  <c r="Z55" i="5"/>
  <c r="AD55" i="5"/>
  <c r="AP55" i="5" s="1"/>
  <c r="AE55" i="5"/>
  <c r="AL55" i="5"/>
  <c r="AM55" i="5"/>
  <c r="AN55" i="5"/>
  <c r="AO55" i="5"/>
  <c r="AR55" i="5"/>
  <c r="AW55" i="5"/>
  <c r="BH55" i="5"/>
  <c r="BI55" i="5"/>
  <c r="BJ55" i="5"/>
  <c r="BK55" i="5"/>
  <c r="BL55" i="5"/>
  <c r="BM55" i="5"/>
  <c r="A56" i="5"/>
  <c r="B56" i="5"/>
  <c r="C56" i="5"/>
  <c r="D56" i="5"/>
  <c r="BN56" i="5" s="1"/>
  <c r="E56" i="5"/>
  <c r="F56" i="5"/>
  <c r="G56" i="5" s="1"/>
  <c r="J56" i="5"/>
  <c r="K56" i="5"/>
  <c r="L56" i="5"/>
  <c r="M56" i="5"/>
  <c r="N56" i="5"/>
  <c r="O56" i="5"/>
  <c r="P56" i="5"/>
  <c r="Q56" i="5"/>
  <c r="R56" i="5"/>
  <c r="S56" i="5" s="1"/>
  <c r="T56" i="5"/>
  <c r="W56" i="5"/>
  <c r="U56" i="5" s="1"/>
  <c r="X56" i="5"/>
  <c r="Y56" i="5"/>
  <c r="Z56" i="5"/>
  <c r="AD56" i="5"/>
  <c r="AP56" i="5" s="1"/>
  <c r="AE56" i="5"/>
  <c r="AL56" i="5"/>
  <c r="AM56" i="5"/>
  <c r="AN56" i="5"/>
  <c r="AO56" i="5"/>
  <c r="AW56" i="5"/>
  <c r="BH56" i="5"/>
  <c r="BI56" i="5"/>
  <c r="BJ56" i="5"/>
  <c r="BK56" i="5"/>
  <c r="BL56" i="5"/>
  <c r="BM56" i="5"/>
  <c r="A57" i="5"/>
  <c r="B57" i="5"/>
  <c r="C57" i="5"/>
  <c r="D57" i="5"/>
  <c r="BN57" i="5" s="1"/>
  <c r="E57" i="5"/>
  <c r="F57" i="5"/>
  <c r="H57" i="5" s="1"/>
  <c r="J57" i="5"/>
  <c r="K57" i="5"/>
  <c r="L57" i="5"/>
  <c r="M57" i="5"/>
  <c r="N57" i="5"/>
  <c r="O57" i="5"/>
  <c r="P57" i="5"/>
  <c r="Q57" i="5"/>
  <c r="R57" i="5"/>
  <c r="S57" i="5" s="1"/>
  <c r="T57" i="5"/>
  <c r="W57" i="5"/>
  <c r="V57" i="5" s="1"/>
  <c r="X57" i="5"/>
  <c r="Y57" i="5"/>
  <c r="Z57" i="5"/>
  <c r="AD57" i="5"/>
  <c r="AP57" i="5" s="1"/>
  <c r="AE57" i="5"/>
  <c r="AL57" i="5"/>
  <c r="AM57" i="5"/>
  <c r="AN57" i="5"/>
  <c r="AO57" i="5"/>
  <c r="AW57" i="5"/>
  <c r="BH57" i="5"/>
  <c r="BI57" i="5"/>
  <c r="BJ57" i="5"/>
  <c r="BK57" i="5"/>
  <c r="BL57" i="5"/>
  <c r="BM57" i="5"/>
  <c r="A58" i="5"/>
  <c r="B58" i="5"/>
  <c r="C58" i="5"/>
  <c r="D58" i="5"/>
  <c r="BN58" i="5" s="1"/>
  <c r="E58" i="5"/>
  <c r="F58" i="5"/>
  <c r="I58" i="5" s="1"/>
  <c r="J58" i="5"/>
  <c r="K58" i="5"/>
  <c r="L58" i="5"/>
  <c r="M58" i="5"/>
  <c r="N58" i="5"/>
  <c r="O58" i="5"/>
  <c r="P58" i="5"/>
  <c r="Q58" i="5"/>
  <c r="R58" i="5"/>
  <c r="S58" i="5" s="1"/>
  <c r="T58" i="5"/>
  <c r="W58" i="5"/>
  <c r="U58" i="5" s="1"/>
  <c r="X58" i="5"/>
  <c r="Y58" i="5"/>
  <c r="Z58" i="5"/>
  <c r="AD58" i="5"/>
  <c r="AP58" i="5" s="1"/>
  <c r="AE58" i="5"/>
  <c r="AL58" i="5"/>
  <c r="AM58" i="5"/>
  <c r="AN58" i="5"/>
  <c r="AO58" i="5"/>
  <c r="AU58" i="5"/>
  <c r="AW58" i="5"/>
  <c r="BH58" i="5"/>
  <c r="BI58" i="5"/>
  <c r="BJ58" i="5"/>
  <c r="BK58" i="5"/>
  <c r="BL58" i="5"/>
  <c r="BM58" i="5"/>
  <c r="A59" i="5"/>
  <c r="B59" i="5"/>
  <c r="C59" i="5"/>
  <c r="D59" i="5"/>
  <c r="BN59" i="5" s="1"/>
  <c r="E59" i="5"/>
  <c r="F59" i="5"/>
  <c r="G59" i="5" s="1"/>
  <c r="J59" i="5"/>
  <c r="K59" i="5"/>
  <c r="L59" i="5"/>
  <c r="M59" i="5"/>
  <c r="N59" i="5"/>
  <c r="O59" i="5"/>
  <c r="P59" i="5"/>
  <c r="Q59" i="5"/>
  <c r="R59" i="5"/>
  <c r="S59" i="5" s="1"/>
  <c r="T59" i="5"/>
  <c r="W59" i="5"/>
  <c r="U59" i="5" s="1"/>
  <c r="X59" i="5"/>
  <c r="Y59" i="5"/>
  <c r="Z59" i="5"/>
  <c r="AD59" i="5"/>
  <c r="AP59" i="5" s="1"/>
  <c r="AE59" i="5"/>
  <c r="AL59" i="5"/>
  <c r="AM59" i="5"/>
  <c r="AN59" i="5"/>
  <c r="AO59" i="5"/>
  <c r="AW59" i="5"/>
  <c r="BH59" i="5"/>
  <c r="BI59" i="5"/>
  <c r="BJ59" i="5"/>
  <c r="BK59" i="5"/>
  <c r="BL59" i="5"/>
  <c r="BM59" i="5"/>
  <c r="A60" i="5"/>
  <c r="B60" i="5"/>
  <c r="C60" i="5"/>
  <c r="D60" i="5"/>
  <c r="BN60" i="5" s="1"/>
  <c r="E60" i="5"/>
  <c r="F60" i="5"/>
  <c r="G60" i="5" s="1"/>
  <c r="J60" i="5"/>
  <c r="K60" i="5"/>
  <c r="L60" i="5"/>
  <c r="M60" i="5"/>
  <c r="N60" i="5"/>
  <c r="O60" i="5"/>
  <c r="P60" i="5"/>
  <c r="Q60" i="5"/>
  <c r="R60" i="5"/>
  <c r="S60" i="5" s="1"/>
  <c r="T60" i="5"/>
  <c r="W60" i="5"/>
  <c r="U60" i="5" s="1"/>
  <c r="X60" i="5"/>
  <c r="Y60" i="5"/>
  <c r="Z60" i="5"/>
  <c r="AC60" i="5"/>
  <c r="AD60" i="5"/>
  <c r="AP60" i="5" s="1"/>
  <c r="AE60" i="5"/>
  <c r="AL60" i="5"/>
  <c r="AM60" i="5"/>
  <c r="AN60" i="5"/>
  <c r="AO60" i="5"/>
  <c r="AU60" i="5"/>
  <c r="AW60" i="5"/>
  <c r="BH60" i="5"/>
  <c r="BI60" i="5"/>
  <c r="BJ60" i="5"/>
  <c r="BK60" i="5"/>
  <c r="BL60" i="5"/>
  <c r="BM60" i="5"/>
  <c r="A61" i="5"/>
  <c r="B61" i="5"/>
  <c r="C61" i="5"/>
  <c r="D61" i="5"/>
  <c r="BN61" i="5" s="1"/>
  <c r="E61" i="5"/>
  <c r="F61" i="5"/>
  <c r="I61" i="5" s="1"/>
  <c r="J61" i="5"/>
  <c r="K61" i="5"/>
  <c r="L61" i="5"/>
  <c r="M61" i="5"/>
  <c r="N61" i="5"/>
  <c r="O61" i="5"/>
  <c r="P61" i="5"/>
  <c r="Q61" i="5"/>
  <c r="R61" i="5"/>
  <c r="S61" i="5" s="1"/>
  <c r="T61" i="5"/>
  <c r="W61" i="5"/>
  <c r="U61" i="5" s="1"/>
  <c r="X61" i="5"/>
  <c r="Y61" i="5"/>
  <c r="Z61" i="5"/>
  <c r="AD61" i="5"/>
  <c r="AP61" i="5" s="1"/>
  <c r="AE61" i="5"/>
  <c r="AL61" i="5"/>
  <c r="AM61" i="5"/>
  <c r="AN61" i="5"/>
  <c r="AO61" i="5"/>
  <c r="AU61" i="5"/>
  <c r="AW61" i="5"/>
  <c r="BH61" i="5"/>
  <c r="BI61" i="5"/>
  <c r="BJ61" i="5"/>
  <c r="BK61" i="5"/>
  <c r="BL61" i="5"/>
  <c r="BM61" i="5"/>
  <c r="A62" i="5"/>
  <c r="B62" i="5"/>
  <c r="C62" i="5"/>
  <c r="D62" i="5"/>
  <c r="BN62" i="5" s="1"/>
  <c r="E62" i="5"/>
  <c r="F62" i="5"/>
  <c r="H62" i="5" s="1"/>
  <c r="J62" i="5"/>
  <c r="K62" i="5"/>
  <c r="L62" i="5"/>
  <c r="M62" i="5"/>
  <c r="N62" i="5"/>
  <c r="O62" i="5"/>
  <c r="P62" i="5"/>
  <c r="Q62" i="5"/>
  <c r="R62" i="5"/>
  <c r="S62" i="5" s="1"/>
  <c r="T62" i="5"/>
  <c r="W62" i="5"/>
  <c r="V62" i="5" s="1"/>
  <c r="X62" i="5"/>
  <c r="Y62" i="5"/>
  <c r="Z62" i="5"/>
  <c r="AD62" i="5"/>
  <c r="AP62" i="5" s="1"/>
  <c r="AE62" i="5"/>
  <c r="AL62" i="5"/>
  <c r="AM62" i="5"/>
  <c r="AN62" i="5"/>
  <c r="AO62" i="5"/>
  <c r="AW62" i="5"/>
  <c r="BH62" i="5"/>
  <c r="BI62" i="5"/>
  <c r="BJ62" i="5"/>
  <c r="BK62" i="5"/>
  <c r="BL62" i="5"/>
  <c r="BM62" i="5"/>
  <c r="A63" i="5"/>
  <c r="B63" i="5"/>
  <c r="C63" i="5"/>
  <c r="D63" i="5"/>
  <c r="BN63" i="5" s="1"/>
  <c r="E63" i="5"/>
  <c r="F63" i="5"/>
  <c r="G63" i="5" s="1"/>
  <c r="J63" i="5"/>
  <c r="K63" i="5"/>
  <c r="L63" i="5"/>
  <c r="M63" i="5"/>
  <c r="N63" i="5"/>
  <c r="O63" i="5"/>
  <c r="P63" i="5"/>
  <c r="Q63" i="5"/>
  <c r="R63" i="5"/>
  <c r="S63" i="5" s="1"/>
  <c r="T63" i="5"/>
  <c r="W63" i="5"/>
  <c r="U63" i="5" s="1"/>
  <c r="X63" i="5"/>
  <c r="Y63" i="5"/>
  <c r="Z63" i="5"/>
  <c r="AD63" i="5"/>
  <c r="AP63" i="5" s="1"/>
  <c r="AE63" i="5"/>
  <c r="AL63" i="5"/>
  <c r="AM63" i="5"/>
  <c r="AN63" i="5"/>
  <c r="AO63" i="5"/>
  <c r="AW63" i="5"/>
  <c r="BH63" i="5"/>
  <c r="BI63" i="5"/>
  <c r="BJ63" i="5"/>
  <c r="BK63" i="5"/>
  <c r="BL63" i="5"/>
  <c r="BM63" i="5"/>
  <c r="A36" i="5"/>
  <c r="B36" i="5"/>
  <c r="C36" i="5"/>
  <c r="D36" i="5"/>
  <c r="BN36" i="5" s="1"/>
  <c r="E36" i="5"/>
  <c r="F36" i="5"/>
  <c r="J36" i="5"/>
  <c r="K36" i="5"/>
  <c r="L36" i="5"/>
  <c r="M36" i="5"/>
  <c r="N36" i="5"/>
  <c r="O36" i="5"/>
  <c r="P36" i="5"/>
  <c r="Q36" i="5"/>
  <c r="R36" i="5"/>
  <c r="S36" i="5" s="1"/>
  <c r="T36" i="5"/>
  <c r="W36" i="5"/>
  <c r="X36" i="5"/>
  <c r="Y36" i="5"/>
  <c r="Z36" i="5"/>
  <c r="AD36" i="5"/>
  <c r="AP36" i="5" s="1"/>
  <c r="AE36" i="5"/>
  <c r="AL36" i="5"/>
  <c r="AM36" i="5"/>
  <c r="AN36" i="5"/>
  <c r="AO36" i="5"/>
  <c r="AU36" i="5"/>
  <c r="AW36" i="5"/>
  <c r="BH36" i="5"/>
  <c r="BI36" i="5"/>
  <c r="BJ36" i="5"/>
  <c r="BK36" i="5"/>
  <c r="BL36" i="5"/>
  <c r="BM36" i="5"/>
  <c r="A37" i="5"/>
  <c r="B37" i="5"/>
  <c r="C37" i="5"/>
  <c r="D37" i="5"/>
  <c r="BN37" i="5" s="1"/>
  <c r="E37" i="5"/>
  <c r="F37" i="5"/>
  <c r="G37" i="5" s="1"/>
  <c r="J37" i="5"/>
  <c r="K37" i="5"/>
  <c r="L37" i="5"/>
  <c r="M37" i="5"/>
  <c r="N37" i="5"/>
  <c r="O37" i="5"/>
  <c r="P37" i="5"/>
  <c r="Q37" i="5"/>
  <c r="R37" i="5"/>
  <c r="S37" i="5" s="1"/>
  <c r="T37" i="5"/>
  <c r="W37" i="5"/>
  <c r="U37" i="5" s="1"/>
  <c r="X37" i="5"/>
  <c r="Y37" i="5"/>
  <c r="Z37" i="5"/>
  <c r="AD37" i="5"/>
  <c r="AP37" i="5" s="1"/>
  <c r="AE37" i="5"/>
  <c r="AL37" i="5"/>
  <c r="AM37" i="5"/>
  <c r="AN37" i="5"/>
  <c r="AO37" i="5"/>
  <c r="AW37" i="5"/>
  <c r="BH37" i="5"/>
  <c r="BI37" i="5"/>
  <c r="BJ37" i="5"/>
  <c r="BK37" i="5"/>
  <c r="BL37" i="5"/>
  <c r="BM37" i="5"/>
  <c r="A38" i="5"/>
  <c r="B38" i="5"/>
  <c r="C38" i="5"/>
  <c r="D38" i="5"/>
  <c r="BN38" i="5" s="1"/>
  <c r="E38" i="5"/>
  <c r="F38" i="5"/>
  <c r="J38" i="5"/>
  <c r="K38" i="5"/>
  <c r="L38" i="5"/>
  <c r="M38" i="5"/>
  <c r="N38" i="5"/>
  <c r="O38" i="5"/>
  <c r="P38" i="5"/>
  <c r="Q38" i="5"/>
  <c r="R38" i="5"/>
  <c r="S38" i="5" s="1"/>
  <c r="T38" i="5"/>
  <c r="W38" i="5"/>
  <c r="X38" i="5"/>
  <c r="Y38" i="5"/>
  <c r="AA38" i="5" s="1"/>
  <c r="Z38" i="5"/>
  <c r="AD38" i="5"/>
  <c r="AP38" i="5" s="1"/>
  <c r="AE38" i="5"/>
  <c r="AL38" i="5"/>
  <c r="AM38" i="5"/>
  <c r="AN38" i="5"/>
  <c r="AO38" i="5"/>
  <c r="AW38" i="5"/>
  <c r="BH38" i="5"/>
  <c r="BI38" i="5"/>
  <c r="BJ38" i="5"/>
  <c r="BK38" i="5"/>
  <c r="BL38" i="5"/>
  <c r="BM38" i="5"/>
  <c r="A39" i="5"/>
  <c r="B39" i="5"/>
  <c r="C39" i="5"/>
  <c r="D39" i="5"/>
  <c r="BN39" i="5" s="1"/>
  <c r="E39" i="5"/>
  <c r="F39" i="5"/>
  <c r="G39" i="5" s="1"/>
  <c r="J39" i="5"/>
  <c r="K39" i="5"/>
  <c r="L39" i="5"/>
  <c r="M39" i="5"/>
  <c r="N39" i="5"/>
  <c r="O39" i="5"/>
  <c r="P39" i="5"/>
  <c r="Q39" i="5"/>
  <c r="R39" i="5"/>
  <c r="S39" i="5" s="1"/>
  <c r="T39" i="5"/>
  <c r="W39" i="5"/>
  <c r="V39" i="5" s="1"/>
  <c r="X39" i="5"/>
  <c r="Y39" i="5"/>
  <c r="Z39" i="5"/>
  <c r="AD39" i="5"/>
  <c r="AP39" i="5" s="1"/>
  <c r="AE39" i="5"/>
  <c r="AL39" i="5"/>
  <c r="AM39" i="5"/>
  <c r="AN39" i="5"/>
  <c r="AO39" i="5"/>
  <c r="AW39" i="5"/>
  <c r="BH39" i="5"/>
  <c r="BI39" i="5"/>
  <c r="BJ39" i="5"/>
  <c r="BK39" i="5"/>
  <c r="BL39" i="5"/>
  <c r="BM39" i="5"/>
  <c r="A40" i="5"/>
  <c r="B40" i="5"/>
  <c r="C40" i="5"/>
  <c r="D40" i="5"/>
  <c r="BN40" i="5" s="1"/>
  <c r="E40" i="5"/>
  <c r="F40" i="5"/>
  <c r="H40" i="5" s="1"/>
  <c r="J40" i="5"/>
  <c r="K40" i="5"/>
  <c r="L40" i="5"/>
  <c r="M40" i="5"/>
  <c r="N40" i="5"/>
  <c r="O40" i="5"/>
  <c r="P40" i="5"/>
  <c r="Q40" i="5"/>
  <c r="R40" i="5"/>
  <c r="S40" i="5" s="1"/>
  <c r="T40" i="5"/>
  <c r="W40" i="5"/>
  <c r="U40" i="5" s="1"/>
  <c r="X40" i="5"/>
  <c r="Y40" i="5"/>
  <c r="Z40" i="5"/>
  <c r="AD40" i="5"/>
  <c r="AP40" i="5" s="1"/>
  <c r="AE40" i="5"/>
  <c r="AL40" i="5"/>
  <c r="AM40" i="5"/>
  <c r="AN40" i="5"/>
  <c r="AO40" i="5"/>
  <c r="AW40" i="5"/>
  <c r="BH40" i="5"/>
  <c r="BI40" i="5"/>
  <c r="BJ40" i="5"/>
  <c r="BK40" i="5"/>
  <c r="BL40" i="5"/>
  <c r="BM40" i="5"/>
  <c r="A41" i="5"/>
  <c r="B41" i="5"/>
  <c r="C41" i="5"/>
  <c r="D41" i="5"/>
  <c r="BN41" i="5" s="1"/>
  <c r="E41" i="5"/>
  <c r="F41" i="5"/>
  <c r="I41" i="5" s="1"/>
  <c r="J41" i="5"/>
  <c r="K41" i="5"/>
  <c r="L41" i="5"/>
  <c r="M41" i="5"/>
  <c r="N41" i="5"/>
  <c r="O41" i="5"/>
  <c r="P41" i="5"/>
  <c r="Q41" i="5"/>
  <c r="R41" i="5"/>
  <c r="S41" i="5" s="1"/>
  <c r="T41" i="5"/>
  <c r="W41" i="5"/>
  <c r="X41" i="5"/>
  <c r="Y41" i="5"/>
  <c r="Z41" i="5"/>
  <c r="AD41" i="5"/>
  <c r="AP41" i="5" s="1"/>
  <c r="AE41" i="5"/>
  <c r="AL41" i="5"/>
  <c r="AM41" i="5"/>
  <c r="AN41" i="5"/>
  <c r="AO41" i="5"/>
  <c r="AW41" i="5"/>
  <c r="BH41" i="5"/>
  <c r="BI41" i="5"/>
  <c r="BJ41" i="5"/>
  <c r="BK41" i="5"/>
  <c r="BL41" i="5"/>
  <c r="BM41" i="5"/>
  <c r="A42" i="5"/>
  <c r="B42" i="5"/>
  <c r="C42" i="5"/>
  <c r="D42" i="5"/>
  <c r="BN42" i="5" s="1"/>
  <c r="E42" i="5"/>
  <c r="F42" i="5"/>
  <c r="G42" i="5" s="1"/>
  <c r="J42" i="5"/>
  <c r="K42" i="5"/>
  <c r="L42" i="5"/>
  <c r="M42" i="5"/>
  <c r="N42" i="5"/>
  <c r="O42" i="5"/>
  <c r="P42" i="5"/>
  <c r="Q42" i="5"/>
  <c r="R42" i="5"/>
  <c r="S42" i="5" s="1"/>
  <c r="T42" i="5"/>
  <c r="W42" i="5"/>
  <c r="X42" i="5"/>
  <c r="Y42" i="5"/>
  <c r="Z42" i="5"/>
  <c r="AD42" i="5"/>
  <c r="AP42" i="5" s="1"/>
  <c r="AE42" i="5"/>
  <c r="AL42" i="5"/>
  <c r="AM42" i="5"/>
  <c r="AN42" i="5"/>
  <c r="AO42" i="5"/>
  <c r="AW42" i="5"/>
  <c r="BH42" i="5"/>
  <c r="BI42" i="5"/>
  <c r="BJ42" i="5"/>
  <c r="BK42" i="5"/>
  <c r="BL42" i="5"/>
  <c r="BM42" i="5"/>
  <c r="A43" i="5"/>
  <c r="B43" i="5"/>
  <c r="C43" i="5"/>
  <c r="D43" i="5"/>
  <c r="BN43" i="5" s="1"/>
  <c r="E43" i="5"/>
  <c r="F43" i="5"/>
  <c r="I43" i="5" s="1"/>
  <c r="J43" i="5"/>
  <c r="K43" i="5"/>
  <c r="L43" i="5"/>
  <c r="M43" i="5"/>
  <c r="N43" i="5"/>
  <c r="O43" i="5"/>
  <c r="P43" i="5"/>
  <c r="Q43" i="5"/>
  <c r="R43" i="5"/>
  <c r="S43" i="5" s="1"/>
  <c r="T43" i="5"/>
  <c r="W43" i="5"/>
  <c r="V43" i="5" s="1"/>
  <c r="X43" i="5"/>
  <c r="Y43" i="5"/>
  <c r="Z43" i="5"/>
  <c r="AD43" i="5"/>
  <c r="AP43" i="5" s="1"/>
  <c r="AE43" i="5"/>
  <c r="AL43" i="5"/>
  <c r="AM43" i="5"/>
  <c r="AN43" i="5"/>
  <c r="AO43" i="5"/>
  <c r="AW43" i="5"/>
  <c r="BH43" i="5"/>
  <c r="BI43" i="5"/>
  <c r="BJ43" i="5"/>
  <c r="BK43" i="5"/>
  <c r="BL43" i="5"/>
  <c r="BM43" i="5"/>
  <c r="A44" i="5"/>
  <c r="B44" i="5"/>
  <c r="C44" i="5"/>
  <c r="D44" i="5"/>
  <c r="BN44" i="5" s="1"/>
  <c r="E44" i="5"/>
  <c r="F44" i="5"/>
  <c r="I44" i="5" s="1"/>
  <c r="J44" i="5"/>
  <c r="K44" i="5"/>
  <c r="L44" i="5"/>
  <c r="M44" i="5"/>
  <c r="N44" i="5"/>
  <c r="O44" i="5"/>
  <c r="P44" i="5"/>
  <c r="Q44" i="5"/>
  <c r="R44" i="5"/>
  <c r="S44" i="5" s="1"/>
  <c r="T44" i="5"/>
  <c r="W44" i="5"/>
  <c r="U44" i="5" s="1"/>
  <c r="X44" i="5"/>
  <c r="Y44" i="5"/>
  <c r="Z44" i="5"/>
  <c r="AD44" i="5"/>
  <c r="AP44" i="5" s="1"/>
  <c r="AE44" i="5"/>
  <c r="AL44" i="5"/>
  <c r="AM44" i="5"/>
  <c r="AN44" i="5"/>
  <c r="AO44" i="5"/>
  <c r="AW44" i="5"/>
  <c r="BH44" i="5"/>
  <c r="BI44" i="5"/>
  <c r="BJ44" i="5"/>
  <c r="BK44" i="5"/>
  <c r="BL44" i="5"/>
  <c r="BM44" i="5"/>
  <c r="A45" i="5"/>
  <c r="B45" i="5"/>
  <c r="C45" i="5"/>
  <c r="D45" i="5"/>
  <c r="BN45" i="5" s="1"/>
  <c r="E45" i="5"/>
  <c r="F45" i="5"/>
  <c r="G45" i="5" s="1"/>
  <c r="J45" i="5"/>
  <c r="K45" i="5"/>
  <c r="L45" i="5"/>
  <c r="M45" i="5"/>
  <c r="N45" i="5"/>
  <c r="O45" i="5"/>
  <c r="P45" i="5"/>
  <c r="Q45" i="5"/>
  <c r="R45" i="5"/>
  <c r="S45" i="5" s="1"/>
  <c r="T45" i="5"/>
  <c r="W45" i="5"/>
  <c r="U45" i="5" s="1"/>
  <c r="X45" i="5"/>
  <c r="Y45" i="5"/>
  <c r="Z45" i="5"/>
  <c r="AD45" i="5"/>
  <c r="AP45" i="5" s="1"/>
  <c r="AE45" i="5"/>
  <c r="AL45" i="5"/>
  <c r="AM45" i="5"/>
  <c r="AN45" i="5"/>
  <c r="AO45" i="5"/>
  <c r="AU45" i="5"/>
  <c r="AW45" i="5"/>
  <c r="BH45" i="5"/>
  <c r="BI45" i="5"/>
  <c r="BJ45" i="5"/>
  <c r="BK45" i="5"/>
  <c r="BL45" i="5"/>
  <c r="BM45" i="5"/>
  <c r="A46" i="5"/>
  <c r="B46" i="5"/>
  <c r="C46" i="5"/>
  <c r="D46" i="5"/>
  <c r="BN46" i="5" s="1"/>
  <c r="E46" i="5"/>
  <c r="F46" i="5"/>
  <c r="J46" i="5"/>
  <c r="K46" i="5"/>
  <c r="L46" i="5"/>
  <c r="M46" i="5"/>
  <c r="N46" i="5"/>
  <c r="O46" i="5"/>
  <c r="P46" i="5"/>
  <c r="Q46" i="5"/>
  <c r="R46" i="5"/>
  <c r="S46" i="5" s="1"/>
  <c r="T46" i="5"/>
  <c r="W46" i="5"/>
  <c r="U46" i="5" s="1"/>
  <c r="X46" i="5"/>
  <c r="Y46" i="5"/>
  <c r="Z46" i="5"/>
  <c r="AD46" i="5"/>
  <c r="AP46" i="5" s="1"/>
  <c r="AE46" i="5"/>
  <c r="AL46" i="5"/>
  <c r="AM46" i="5"/>
  <c r="AN46" i="5"/>
  <c r="AO46" i="5"/>
  <c r="AW46" i="5"/>
  <c r="BH46" i="5"/>
  <c r="BI46" i="5"/>
  <c r="BJ46" i="5"/>
  <c r="BK46" i="5"/>
  <c r="BL46" i="5"/>
  <c r="BM46" i="5"/>
  <c r="A47" i="5"/>
  <c r="B47" i="5"/>
  <c r="C47" i="5"/>
  <c r="D47" i="5"/>
  <c r="BN47" i="5" s="1"/>
  <c r="E47" i="5"/>
  <c r="F47" i="5"/>
  <c r="J47" i="5"/>
  <c r="K47" i="5"/>
  <c r="L47" i="5"/>
  <c r="M47" i="5"/>
  <c r="N47" i="5"/>
  <c r="O47" i="5"/>
  <c r="P47" i="5"/>
  <c r="Q47" i="5"/>
  <c r="R47" i="5"/>
  <c r="S47" i="5" s="1"/>
  <c r="T47" i="5"/>
  <c r="W47" i="5"/>
  <c r="U47" i="5" s="1"/>
  <c r="X47" i="5"/>
  <c r="Y47" i="5"/>
  <c r="Z47" i="5"/>
  <c r="AD47" i="5"/>
  <c r="AP47" i="5" s="1"/>
  <c r="AE47" i="5"/>
  <c r="AL47" i="5"/>
  <c r="AM47" i="5"/>
  <c r="AN47" i="5"/>
  <c r="AO47" i="5"/>
  <c r="AW47" i="5"/>
  <c r="BH47" i="5"/>
  <c r="BI47" i="5"/>
  <c r="BJ47" i="5"/>
  <c r="BK47" i="5"/>
  <c r="BL47" i="5"/>
  <c r="BM47" i="5"/>
  <c r="A48" i="5"/>
  <c r="B48" i="5"/>
  <c r="C48" i="5"/>
  <c r="D48" i="5"/>
  <c r="BN48" i="5" s="1"/>
  <c r="E48" i="5"/>
  <c r="F48" i="5"/>
  <c r="J48" i="5"/>
  <c r="K48" i="5"/>
  <c r="L48" i="5"/>
  <c r="M48" i="5"/>
  <c r="N48" i="5"/>
  <c r="O48" i="5"/>
  <c r="P48" i="5"/>
  <c r="Q48" i="5"/>
  <c r="R48" i="5"/>
  <c r="S48" i="5" s="1"/>
  <c r="T48" i="5"/>
  <c r="W48" i="5"/>
  <c r="U48" i="5" s="1"/>
  <c r="X48" i="5"/>
  <c r="Y48" i="5"/>
  <c r="Z48" i="5"/>
  <c r="AD48" i="5"/>
  <c r="AP48" i="5" s="1"/>
  <c r="AE48" i="5"/>
  <c r="AL48" i="5"/>
  <c r="AM48" i="5"/>
  <c r="AN48" i="5"/>
  <c r="AO48" i="5"/>
  <c r="AW48" i="5"/>
  <c r="BH48" i="5"/>
  <c r="BI48" i="5"/>
  <c r="BJ48" i="5"/>
  <c r="BK48" i="5"/>
  <c r="BL48" i="5"/>
  <c r="BM48" i="5"/>
  <c r="A49" i="5"/>
  <c r="B49" i="5"/>
  <c r="C49" i="5"/>
  <c r="D49" i="5"/>
  <c r="BN49" i="5" s="1"/>
  <c r="E49" i="5"/>
  <c r="F49" i="5"/>
  <c r="J49" i="5"/>
  <c r="K49" i="5"/>
  <c r="L49" i="5"/>
  <c r="M49" i="5"/>
  <c r="N49" i="5"/>
  <c r="O49" i="5"/>
  <c r="P49" i="5"/>
  <c r="Q49" i="5"/>
  <c r="R49" i="5"/>
  <c r="S49" i="5" s="1"/>
  <c r="T49" i="5"/>
  <c r="W49" i="5"/>
  <c r="X49" i="5"/>
  <c r="Y49" i="5"/>
  <c r="Z49" i="5"/>
  <c r="AD49" i="5"/>
  <c r="AP49" i="5" s="1"/>
  <c r="AE49" i="5"/>
  <c r="AL49" i="5"/>
  <c r="AM49" i="5"/>
  <c r="AN49" i="5"/>
  <c r="AO49" i="5"/>
  <c r="AW49" i="5"/>
  <c r="BH49" i="5"/>
  <c r="BI49" i="5"/>
  <c r="BJ49" i="5"/>
  <c r="BK49" i="5"/>
  <c r="BL49" i="5"/>
  <c r="BM49" i="5"/>
  <c r="A50" i="5"/>
  <c r="B50" i="5"/>
  <c r="C50" i="5"/>
  <c r="D50" i="5"/>
  <c r="BN50" i="5" s="1"/>
  <c r="E50" i="5"/>
  <c r="F50" i="5"/>
  <c r="G50" i="5" s="1"/>
  <c r="J50" i="5"/>
  <c r="K50" i="5"/>
  <c r="L50" i="5"/>
  <c r="M50" i="5"/>
  <c r="N50" i="5"/>
  <c r="O50" i="5"/>
  <c r="P50" i="5"/>
  <c r="Q50" i="5"/>
  <c r="R50" i="5"/>
  <c r="S50" i="5" s="1"/>
  <c r="T50" i="5"/>
  <c r="W50" i="5"/>
  <c r="U50" i="5" s="1"/>
  <c r="X50" i="5"/>
  <c r="Y50" i="5"/>
  <c r="Z50" i="5"/>
  <c r="AD50" i="5"/>
  <c r="AP50" i="5" s="1"/>
  <c r="AE50" i="5"/>
  <c r="AL50" i="5"/>
  <c r="AM50" i="5"/>
  <c r="AN50" i="5"/>
  <c r="AO50" i="5"/>
  <c r="AW50" i="5"/>
  <c r="BH50" i="5"/>
  <c r="BI50" i="5"/>
  <c r="BJ50" i="5"/>
  <c r="BK50" i="5"/>
  <c r="BL50" i="5"/>
  <c r="BM50" i="5"/>
  <c r="A51" i="5"/>
  <c r="B51" i="5"/>
  <c r="C51" i="5"/>
  <c r="D51" i="5"/>
  <c r="BN51" i="5" s="1"/>
  <c r="E51" i="5"/>
  <c r="F51" i="5"/>
  <c r="H51" i="5" s="1"/>
  <c r="J51" i="5"/>
  <c r="K51" i="5"/>
  <c r="L51" i="5"/>
  <c r="M51" i="5"/>
  <c r="N51" i="5"/>
  <c r="O51" i="5"/>
  <c r="P51" i="5"/>
  <c r="Q51" i="5"/>
  <c r="R51" i="5"/>
  <c r="S51" i="5" s="1"/>
  <c r="T51" i="5"/>
  <c r="W51" i="5"/>
  <c r="V51" i="5" s="1"/>
  <c r="X51" i="5"/>
  <c r="Y51" i="5"/>
  <c r="Z51" i="5"/>
  <c r="AD51" i="5"/>
  <c r="AP51" i="5" s="1"/>
  <c r="AE51" i="5"/>
  <c r="AL51" i="5"/>
  <c r="AM51" i="5"/>
  <c r="AN51" i="5"/>
  <c r="AO51" i="5"/>
  <c r="AW51" i="5"/>
  <c r="BH51" i="5"/>
  <c r="BI51" i="5"/>
  <c r="BJ51" i="5"/>
  <c r="BK51" i="5"/>
  <c r="BL51" i="5"/>
  <c r="BM51" i="5"/>
  <c r="A52" i="5"/>
  <c r="B52" i="5"/>
  <c r="C52" i="5"/>
  <c r="D52" i="5"/>
  <c r="BN52" i="5" s="1"/>
  <c r="E52" i="5"/>
  <c r="F52" i="5"/>
  <c r="I52" i="5" s="1"/>
  <c r="J52" i="5"/>
  <c r="K52" i="5"/>
  <c r="L52" i="5"/>
  <c r="M52" i="5"/>
  <c r="N52" i="5"/>
  <c r="O52" i="5"/>
  <c r="P52" i="5"/>
  <c r="Q52" i="5"/>
  <c r="R52" i="5"/>
  <c r="S52" i="5" s="1"/>
  <c r="T52" i="5"/>
  <c r="W52" i="5"/>
  <c r="U52" i="5" s="1"/>
  <c r="X52" i="5"/>
  <c r="Y52" i="5"/>
  <c r="Z52" i="5"/>
  <c r="AD52" i="5"/>
  <c r="AP52" i="5" s="1"/>
  <c r="AE52" i="5"/>
  <c r="AL52" i="5"/>
  <c r="AM52" i="5"/>
  <c r="AN52" i="5"/>
  <c r="AO52" i="5"/>
  <c r="AW52" i="5"/>
  <c r="BH52" i="5"/>
  <c r="BI52" i="5"/>
  <c r="BJ52" i="5"/>
  <c r="BK52" i="5"/>
  <c r="BL52" i="5"/>
  <c r="BM52" i="5"/>
  <c r="A60" i="3"/>
  <c r="BA60" i="3" s="1"/>
  <c r="B60" i="3"/>
  <c r="C60" i="3"/>
  <c r="D60" i="3"/>
  <c r="E60" i="3"/>
  <c r="F60" i="3"/>
  <c r="I60" i="3" s="1"/>
  <c r="J60" i="3"/>
  <c r="K60" i="3"/>
  <c r="L60" i="3"/>
  <c r="M60" i="3"/>
  <c r="N60" i="3"/>
  <c r="O60" i="3"/>
  <c r="P60" i="3"/>
  <c r="Q60" i="3"/>
  <c r="R60" i="3"/>
  <c r="S60" i="3" s="1"/>
  <c r="T60" i="3"/>
  <c r="W60" i="3"/>
  <c r="V60" i="3" s="1"/>
  <c r="X60" i="3"/>
  <c r="Y60" i="3"/>
  <c r="AA60" i="3" s="1"/>
  <c r="Z60" i="3"/>
  <c r="AD60" i="3"/>
  <c r="AP60" i="3" s="1"/>
  <c r="AE60" i="3"/>
  <c r="AL60" i="3"/>
  <c r="AM60" i="3"/>
  <c r="AN60" i="3"/>
  <c r="AO60" i="3"/>
  <c r="AT60" i="3"/>
  <c r="BD60" i="3"/>
  <c r="BF60" i="3"/>
  <c r="BG60" i="3"/>
  <c r="A61" i="3"/>
  <c r="BC61" i="3" s="1"/>
  <c r="B61" i="3"/>
  <c r="C61" i="3"/>
  <c r="D61" i="3"/>
  <c r="E61" i="3"/>
  <c r="F61" i="3"/>
  <c r="G61" i="3" s="1"/>
  <c r="AZ61" i="3" s="1"/>
  <c r="J61" i="3"/>
  <c r="K61" i="3"/>
  <c r="L61" i="3"/>
  <c r="M61" i="3"/>
  <c r="N61" i="3"/>
  <c r="O61" i="3"/>
  <c r="P61" i="3"/>
  <c r="Q61" i="3"/>
  <c r="R61" i="3"/>
  <c r="S61" i="3" s="1"/>
  <c r="T61" i="3"/>
  <c r="W61" i="3"/>
  <c r="U61" i="3" s="1"/>
  <c r="X61" i="3"/>
  <c r="Y61" i="3"/>
  <c r="AA61" i="3" s="1"/>
  <c r="Z61" i="3"/>
  <c r="AD61" i="3"/>
  <c r="AP61" i="3" s="1"/>
  <c r="AE61" i="3"/>
  <c r="AL61" i="3"/>
  <c r="AM61" i="3"/>
  <c r="AN61" i="3"/>
  <c r="AO61" i="3"/>
  <c r="AT61" i="3"/>
  <c r="BF61" i="3"/>
  <c r="BG61" i="3"/>
  <c r="A62" i="3"/>
  <c r="B62" i="3"/>
  <c r="C62" i="3"/>
  <c r="D62" i="3"/>
  <c r="E62" i="3"/>
  <c r="F62" i="3"/>
  <c r="H62" i="3" s="1"/>
  <c r="G62" i="3"/>
  <c r="AZ62" i="3" s="1"/>
  <c r="I62" i="3"/>
  <c r="J62" i="3"/>
  <c r="K62" i="3"/>
  <c r="L62" i="3"/>
  <c r="M62" i="3"/>
  <c r="N62" i="3"/>
  <c r="O62" i="3"/>
  <c r="P62" i="3"/>
  <c r="Q62" i="3"/>
  <c r="R62" i="3"/>
  <c r="S62" i="3" s="1"/>
  <c r="T62" i="3"/>
  <c r="W62" i="3"/>
  <c r="U62" i="3" s="1"/>
  <c r="X62" i="3"/>
  <c r="Y62" i="3"/>
  <c r="AC62" i="3" s="1"/>
  <c r="Z62" i="3"/>
  <c r="AD62" i="3"/>
  <c r="AP62" i="3" s="1"/>
  <c r="AE62" i="3"/>
  <c r="AL62" i="3"/>
  <c r="AM62" i="3"/>
  <c r="AN62" i="3"/>
  <c r="AO62" i="3"/>
  <c r="AT62" i="3"/>
  <c r="BF62" i="3"/>
  <c r="BG62" i="3"/>
  <c r="BM62" i="3"/>
  <c r="A63" i="3"/>
  <c r="BD63" i="3" s="1"/>
  <c r="B63" i="3"/>
  <c r="C63" i="3"/>
  <c r="D63" i="3"/>
  <c r="E63" i="3"/>
  <c r="F63" i="3"/>
  <c r="G63" i="3" s="1"/>
  <c r="AZ63" i="3" s="1"/>
  <c r="J63" i="3"/>
  <c r="K63" i="3"/>
  <c r="L63" i="3"/>
  <c r="M63" i="3"/>
  <c r="N63" i="3"/>
  <c r="O63" i="3"/>
  <c r="P63" i="3"/>
  <c r="Q63" i="3"/>
  <c r="R63" i="3"/>
  <c r="S63" i="3" s="1"/>
  <c r="T63" i="3"/>
  <c r="W63" i="3"/>
  <c r="U63" i="3" s="1"/>
  <c r="X63" i="3"/>
  <c r="Y63" i="3"/>
  <c r="AA63" i="3" s="1"/>
  <c r="Z63" i="3"/>
  <c r="AD63" i="3"/>
  <c r="AP63" i="3" s="1"/>
  <c r="AE63" i="3"/>
  <c r="AL63" i="3"/>
  <c r="AM63" i="3"/>
  <c r="AN63" i="3"/>
  <c r="AO63" i="3"/>
  <c r="AT63" i="3"/>
  <c r="BF63" i="3"/>
  <c r="BG63" i="3"/>
  <c r="A57" i="3"/>
  <c r="BA57" i="3" s="1"/>
  <c r="B57" i="3"/>
  <c r="C57" i="3"/>
  <c r="D57" i="3"/>
  <c r="E57" i="3"/>
  <c r="F57" i="3"/>
  <c r="I57" i="3" s="1"/>
  <c r="J57" i="3"/>
  <c r="K57" i="3"/>
  <c r="L57" i="3"/>
  <c r="M57" i="3"/>
  <c r="N57" i="3"/>
  <c r="O57" i="3"/>
  <c r="P57" i="3"/>
  <c r="Q57" i="3"/>
  <c r="R57" i="3"/>
  <c r="S57" i="3" s="1"/>
  <c r="T57" i="3"/>
  <c r="W57" i="3"/>
  <c r="U57" i="3" s="1"/>
  <c r="X57" i="3"/>
  <c r="Y57" i="3"/>
  <c r="Z57" i="3"/>
  <c r="AD57" i="3"/>
  <c r="AP57" i="3" s="1"/>
  <c r="AE57" i="3"/>
  <c r="AL57" i="3"/>
  <c r="AM57" i="3"/>
  <c r="AN57" i="3"/>
  <c r="AO57" i="3"/>
  <c r="AT57" i="3"/>
  <c r="BF57" i="3"/>
  <c r="BG57" i="3"/>
  <c r="A58" i="3"/>
  <c r="B58" i="3"/>
  <c r="C58" i="3"/>
  <c r="D58" i="3"/>
  <c r="E58" i="3"/>
  <c r="F58" i="3"/>
  <c r="G58" i="3" s="1"/>
  <c r="AZ58" i="3" s="1"/>
  <c r="J58" i="3"/>
  <c r="K58" i="3"/>
  <c r="L58" i="3"/>
  <c r="M58" i="3"/>
  <c r="N58" i="3"/>
  <c r="O58" i="3"/>
  <c r="P58" i="3"/>
  <c r="Q58" i="3"/>
  <c r="R58" i="3"/>
  <c r="S58" i="3" s="1"/>
  <c r="T58" i="3"/>
  <c r="W58" i="3"/>
  <c r="V58" i="3" s="1"/>
  <c r="X58" i="3"/>
  <c r="Y58" i="3"/>
  <c r="Z58" i="3"/>
  <c r="AD58" i="3"/>
  <c r="AP58" i="3" s="1"/>
  <c r="AE58" i="3"/>
  <c r="AL58" i="3"/>
  <c r="AM58" i="3"/>
  <c r="AN58" i="3"/>
  <c r="AO58" i="3"/>
  <c r="AT58" i="3"/>
  <c r="BE58" i="3"/>
  <c r="BF58" i="3"/>
  <c r="BG58" i="3"/>
  <c r="BM58" i="3"/>
  <c r="A59" i="3"/>
  <c r="B59" i="3"/>
  <c r="C59" i="3"/>
  <c r="D59" i="3"/>
  <c r="E59" i="3"/>
  <c r="F59" i="3"/>
  <c r="G59" i="3" s="1"/>
  <c r="AZ59" i="3" s="1"/>
  <c r="H59" i="3"/>
  <c r="I59" i="3"/>
  <c r="J59" i="3"/>
  <c r="K59" i="3"/>
  <c r="L59" i="3"/>
  <c r="M59" i="3"/>
  <c r="N59" i="3"/>
  <c r="O59" i="3"/>
  <c r="P59" i="3"/>
  <c r="Q59" i="3"/>
  <c r="R59" i="3"/>
  <c r="S59" i="3" s="1"/>
  <c r="T59" i="3"/>
  <c r="W59" i="3"/>
  <c r="V59" i="3" s="1"/>
  <c r="X59" i="3"/>
  <c r="Y59" i="3"/>
  <c r="AA59" i="3" s="1"/>
  <c r="Z59" i="3"/>
  <c r="AD59" i="3"/>
  <c r="AP59" i="3" s="1"/>
  <c r="AE59" i="3"/>
  <c r="AL59" i="3"/>
  <c r="AM59" i="3"/>
  <c r="AN59" i="3"/>
  <c r="AO59" i="3"/>
  <c r="AT59" i="3"/>
  <c r="BF59" i="3"/>
  <c r="BG59" i="3"/>
  <c r="A36" i="3"/>
  <c r="BB36" i="3" s="1"/>
  <c r="B36" i="3"/>
  <c r="C36" i="3"/>
  <c r="D36" i="3"/>
  <c r="E36" i="3"/>
  <c r="F36" i="3"/>
  <c r="I36" i="3" s="1"/>
  <c r="J36" i="3"/>
  <c r="K36" i="3"/>
  <c r="L36" i="3"/>
  <c r="M36" i="3"/>
  <c r="N36" i="3"/>
  <c r="O36" i="3"/>
  <c r="P36" i="3"/>
  <c r="Q36" i="3"/>
  <c r="R36" i="3"/>
  <c r="T36" i="3"/>
  <c r="W36" i="3"/>
  <c r="U36" i="3" s="1"/>
  <c r="X36" i="3"/>
  <c r="Y36" i="3"/>
  <c r="AA36" i="3" s="1"/>
  <c r="Z36" i="3"/>
  <c r="AD36" i="3"/>
  <c r="AP36" i="3" s="1"/>
  <c r="AE36" i="3"/>
  <c r="AL36" i="3"/>
  <c r="AM36" i="3"/>
  <c r="AN36" i="3"/>
  <c r="AO36" i="3"/>
  <c r="AR36" i="3"/>
  <c r="AT36" i="3"/>
  <c r="BF36" i="3"/>
  <c r="BG36" i="3"/>
  <c r="BM36" i="3"/>
  <c r="A37" i="3"/>
  <c r="BE37" i="3" s="1"/>
  <c r="B37" i="3"/>
  <c r="C37" i="3"/>
  <c r="D37" i="3"/>
  <c r="E37" i="3"/>
  <c r="F37" i="3"/>
  <c r="G37" i="3" s="1"/>
  <c r="AZ37" i="3" s="1"/>
  <c r="J37" i="3"/>
  <c r="K37" i="3"/>
  <c r="L37" i="3"/>
  <c r="M37" i="3"/>
  <c r="N37" i="3"/>
  <c r="O37" i="3"/>
  <c r="P37" i="3"/>
  <c r="Q37" i="3"/>
  <c r="R37" i="3"/>
  <c r="T37" i="3"/>
  <c r="W37" i="3"/>
  <c r="X37" i="3"/>
  <c r="Y37" i="3"/>
  <c r="Z37" i="3"/>
  <c r="AD37" i="3"/>
  <c r="AP37" i="3" s="1"/>
  <c r="AE37" i="3"/>
  <c r="AL37" i="3"/>
  <c r="AM37" i="3"/>
  <c r="AN37" i="3"/>
  <c r="AO37" i="3"/>
  <c r="AT37" i="3"/>
  <c r="BF37" i="3"/>
  <c r="BG37" i="3"/>
  <c r="A38" i="3"/>
  <c r="B38" i="3"/>
  <c r="C38" i="3"/>
  <c r="D38" i="3"/>
  <c r="E38" i="3"/>
  <c r="F38" i="3"/>
  <c r="I38" i="3" s="1"/>
  <c r="J38" i="3"/>
  <c r="K38" i="3"/>
  <c r="L38" i="3"/>
  <c r="M38" i="3"/>
  <c r="N38" i="3"/>
  <c r="O38" i="3"/>
  <c r="P38" i="3"/>
  <c r="Q38" i="3"/>
  <c r="R38" i="3"/>
  <c r="T38" i="3"/>
  <c r="W38" i="3"/>
  <c r="X38" i="3"/>
  <c r="Y38" i="3"/>
  <c r="BJ38" i="3" s="1"/>
  <c r="Z38" i="3"/>
  <c r="AD38" i="3"/>
  <c r="AP38" i="3" s="1"/>
  <c r="AE38" i="3"/>
  <c r="AL38" i="3"/>
  <c r="AM38" i="3"/>
  <c r="AN38" i="3"/>
  <c r="AO38" i="3"/>
  <c r="AT38" i="3"/>
  <c r="BF38" i="3"/>
  <c r="BG38" i="3"/>
  <c r="A39" i="3"/>
  <c r="B39" i="3"/>
  <c r="C39" i="3"/>
  <c r="D39" i="3"/>
  <c r="E39" i="3"/>
  <c r="F39" i="3"/>
  <c r="G39" i="3" s="1"/>
  <c r="AZ39" i="3" s="1"/>
  <c r="J39" i="3"/>
  <c r="K39" i="3"/>
  <c r="L39" i="3"/>
  <c r="M39" i="3"/>
  <c r="N39" i="3"/>
  <c r="O39" i="3"/>
  <c r="P39" i="3"/>
  <c r="Q39" i="3"/>
  <c r="R39" i="3"/>
  <c r="T39" i="3"/>
  <c r="W39" i="3"/>
  <c r="V39" i="3" s="1"/>
  <c r="X39" i="3"/>
  <c r="Y39" i="3"/>
  <c r="AA39" i="3" s="1"/>
  <c r="Z39" i="3"/>
  <c r="AD39" i="3"/>
  <c r="AP39" i="3" s="1"/>
  <c r="AE39" i="3"/>
  <c r="AL39" i="3"/>
  <c r="AM39" i="3"/>
  <c r="AN39" i="3"/>
  <c r="AO39" i="3"/>
  <c r="AT39" i="3"/>
  <c r="BA39" i="3"/>
  <c r="BF39" i="3"/>
  <c r="BG39" i="3"/>
  <c r="A40" i="3"/>
  <c r="BB40" i="3" s="1"/>
  <c r="B40" i="3"/>
  <c r="C40" i="3"/>
  <c r="D40" i="3"/>
  <c r="E40" i="3"/>
  <c r="F40" i="3"/>
  <c r="H40" i="3" s="1"/>
  <c r="J40" i="3"/>
  <c r="K40" i="3"/>
  <c r="L40" i="3"/>
  <c r="M40" i="3"/>
  <c r="N40" i="3"/>
  <c r="O40" i="3"/>
  <c r="P40" i="3"/>
  <c r="Q40" i="3"/>
  <c r="R40" i="3"/>
  <c r="T40" i="3"/>
  <c r="W40" i="3"/>
  <c r="V40" i="3" s="1"/>
  <c r="X40" i="3"/>
  <c r="Y40" i="3"/>
  <c r="AC40" i="3" s="1"/>
  <c r="Z40" i="3"/>
  <c r="AD40" i="3"/>
  <c r="AP40" i="3" s="1"/>
  <c r="AE40" i="3"/>
  <c r="AL40" i="3"/>
  <c r="AM40" i="3"/>
  <c r="AN40" i="3"/>
  <c r="AO40" i="3"/>
  <c r="AT40" i="3"/>
  <c r="BF40" i="3"/>
  <c r="BG40" i="3"/>
  <c r="A41" i="3"/>
  <c r="BB41" i="3" s="1"/>
  <c r="B41" i="3"/>
  <c r="C41" i="3"/>
  <c r="D41" i="3"/>
  <c r="E41" i="3"/>
  <c r="F41" i="3"/>
  <c r="J41" i="3"/>
  <c r="K41" i="3"/>
  <c r="L41" i="3"/>
  <c r="M41" i="3"/>
  <c r="N41" i="3"/>
  <c r="O41" i="3"/>
  <c r="P41" i="3"/>
  <c r="Q41" i="3"/>
  <c r="R41" i="3"/>
  <c r="T41" i="3"/>
  <c r="W41" i="3"/>
  <c r="U41" i="3" s="1"/>
  <c r="X41" i="3"/>
  <c r="Y41" i="3"/>
  <c r="Z41" i="3"/>
  <c r="AD41" i="3"/>
  <c r="AP41" i="3" s="1"/>
  <c r="AE41" i="3"/>
  <c r="AL41" i="3"/>
  <c r="AM41" i="3"/>
  <c r="AN41" i="3"/>
  <c r="AO41" i="3"/>
  <c r="AT41" i="3"/>
  <c r="BF41" i="3"/>
  <c r="BG41" i="3"/>
  <c r="A42" i="3"/>
  <c r="BB42" i="3" s="1"/>
  <c r="B42" i="3"/>
  <c r="C42" i="3"/>
  <c r="D42" i="3"/>
  <c r="E42" i="3"/>
  <c r="F42" i="3"/>
  <c r="I42" i="3" s="1"/>
  <c r="G42" i="3"/>
  <c r="AZ42" i="3" s="1"/>
  <c r="H42" i="3"/>
  <c r="J42" i="3"/>
  <c r="K42" i="3"/>
  <c r="L42" i="3"/>
  <c r="M42" i="3"/>
  <c r="N42" i="3"/>
  <c r="O42" i="3"/>
  <c r="P42" i="3"/>
  <c r="Q42" i="3"/>
  <c r="R42" i="3"/>
  <c r="T42" i="3"/>
  <c r="W42" i="3"/>
  <c r="V42" i="3" s="1"/>
  <c r="X42" i="3"/>
  <c r="Y42" i="3"/>
  <c r="AA42" i="3" s="1"/>
  <c r="Z42" i="3"/>
  <c r="AD42" i="3"/>
  <c r="AP42" i="3" s="1"/>
  <c r="AE42" i="3"/>
  <c r="AL42" i="3"/>
  <c r="AM42" i="3"/>
  <c r="AN42" i="3"/>
  <c r="AO42" i="3"/>
  <c r="AT42" i="3"/>
  <c r="BF42" i="3"/>
  <c r="BG42" i="3"/>
  <c r="A43" i="3"/>
  <c r="BB43" i="3" s="1"/>
  <c r="B43" i="3"/>
  <c r="C43" i="3"/>
  <c r="D43" i="3"/>
  <c r="E43" i="3"/>
  <c r="F43" i="3"/>
  <c r="G43" i="3" s="1"/>
  <c r="AZ43" i="3" s="1"/>
  <c r="J43" i="3"/>
  <c r="K43" i="3"/>
  <c r="L43" i="3"/>
  <c r="M43" i="3"/>
  <c r="N43" i="3"/>
  <c r="O43" i="3"/>
  <c r="P43" i="3"/>
  <c r="Q43" i="3"/>
  <c r="R43" i="3"/>
  <c r="S43" i="3" s="1"/>
  <c r="T43" i="3"/>
  <c r="W43" i="3"/>
  <c r="U43" i="3" s="1"/>
  <c r="X43" i="3"/>
  <c r="Y43" i="3"/>
  <c r="Z43" i="3"/>
  <c r="AD43" i="3"/>
  <c r="AP43" i="3" s="1"/>
  <c r="AE43" i="3"/>
  <c r="AL43" i="3"/>
  <c r="AM43" i="3"/>
  <c r="AN43" i="3"/>
  <c r="AO43" i="3"/>
  <c r="AT43" i="3"/>
  <c r="BF43" i="3"/>
  <c r="BG43" i="3"/>
  <c r="A44" i="3"/>
  <c r="B44" i="3"/>
  <c r="C44" i="3"/>
  <c r="D44" i="3"/>
  <c r="E44" i="3"/>
  <c r="F44" i="3"/>
  <c r="I44" i="3" s="1"/>
  <c r="J44" i="3"/>
  <c r="K44" i="3"/>
  <c r="L44" i="3"/>
  <c r="M44" i="3"/>
  <c r="N44" i="3"/>
  <c r="O44" i="3"/>
  <c r="P44" i="3"/>
  <c r="Q44" i="3"/>
  <c r="R44" i="3"/>
  <c r="S44" i="3" s="1"/>
  <c r="T44" i="3"/>
  <c r="W44" i="3"/>
  <c r="V44" i="3" s="1"/>
  <c r="X44" i="3"/>
  <c r="Y44" i="3"/>
  <c r="BM44" i="3" s="1"/>
  <c r="Z44" i="3"/>
  <c r="AC44" i="3"/>
  <c r="AD44" i="3"/>
  <c r="AP44" i="3" s="1"/>
  <c r="AE44" i="3"/>
  <c r="AL44" i="3"/>
  <c r="AM44" i="3"/>
  <c r="AN44" i="3"/>
  <c r="AO44" i="3"/>
  <c r="AT44" i="3"/>
  <c r="BC44" i="3"/>
  <c r="BF44" i="3"/>
  <c r="BG44" i="3"/>
  <c r="A45" i="3"/>
  <c r="BD45" i="3" s="1"/>
  <c r="B45" i="3"/>
  <c r="C45" i="3"/>
  <c r="D45" i="3"/>
  <c r="E45" i="3"/>
  <c r="F45" i="3"/>
  <c r="H45" i="3" s="1"/>
  <c r="J45" i="3"/>
  <c r="K45" i="3"/>
  <c r="L45" i="3"/>
  <c r="M45" i="3"/>
  <c r="N45" i="3"/>
  <c r="O45" i="3"/>
  <c r="P45" i="3"/>
  <c r="Q45" i="3"/>
  <c r="R45" i="3"/>
  <c r="S45" i="3" s="1"/>
  <c r="T45" i="3"/>
  <c r="W45" i="3"/>
  <c r="U45" i="3" s="1"/>
  <c r="X45" i="3"/>
  <c r="Y45" i="3"/>
  <c r="BL45" i="3" s="1"/>
  <c r="Z45" i="3"/>
  <c r="AD45" i="3"/>
  <c r="AP45" i="3" s="1"/>
  <c r="AE45" i="3"/>
  <c r="AL45" i="3"/>
  <c r="AM45" i="3"/>
  <c r="AN45" i="3"/>
  <c r="AO45" i="3"/>
  <c r="AT45" i="3"/>
  <c r="BF45" i="3"/>
  <c r="BG45" i="3"/>
  <c r="BH45" i="3"/>
  <c r="A46" i="3"/>
  <c r="BB46" i="3" s="1"/>
  <c r="B46" i="3"/>
  <c r="C46" i="3"/>
  <c r="D46" i="3"/>
  <c r="E46" i="3"/>
  <c r="F46" i="3"/>
  <c r="H46" i="3" s="1"/>
  <c r="G46" i="3"/>
  <c r="AZ46" i="3" s="1"/>
  <c r="I46" i="3"/>
  <c r="J46" i="3"/>
  <c r="K46" i="3"/>
  <c r="L46" i="3"/>
  <c r="M46" i="3"/>
  <c r="N46" i="3"/>
  <c r="O46" i="3"/>
  <c r="P46" i="3"/>
  <c r="Q46" i="3"/>
  <c r="R46" i="3"/>
  <c r="S46" i="3" s="1"/>
  <c r="T46" i="3"/>
  <c r="W46" i="3"/>
  <c r="V46" i="3" s="1"/>
  <c r="X46" i="3"/>
  <c r="Y46" i="3"/>
  <c r="Z46" i="3"/>
  <c r="AC46" i="3"/>
  <c r="AD46" i="3"/>
  <c r="AP46" i="3" s="1"/>
  <c r="AE46" i="3"/>
  <c r="AL46" i="3"/>
  <c r="AM46" i="3"/>
  <c r="AN46" i="3"/>
  <c r="AO46" i="3"/>
  <c r="AR46" i="3"/>
  <c r="AT46" i="3"/>
  <c r="BF46" i="3"/>
  <c r="BG46" i="3"/>
  <c r="A47" i="3"/>
  <c r="BA47" i="3" s="1"/>
  <c r="B47" i="3"/>
  <c r="C47" i="3"/>
  <c r="D47" i="3"/>
  <c r="E47" i="3"/>
  <c r="F47" i="3"/>
  <c r="G47" i="3" s="1"/>
  <c r="AZ47" i="3" s="1"/>
  <c r="I47" i="3"/>
  <c r="J47" i="3"/>
  <c r="K47" i="3"/>
  <c r="L47" i="3"/>
  <c r="M47" i="3"/>
  <c r="N47" i="3"/>
  <c r="O47" i="3"/>
  <c r="P47" i="3"/>
  <c r="Q47" i="3"/>
  <c r="R47" i="3"/>
  <c r="S47" i="3" s="1"/>
  <c r="T47" i="3"/>
  <c r="W47" i="3"/>
  <c r="X47" i="3"/>
  <c r="Y47" i="3"/>
  <c r="AA47" i="3" s="1"/>
  <c r="Z47" i="3"/>
  <c r="AD47" i="3"/>
  <c r="AP47" i="3" s="1"/>
  <c r="AE47" i="3"/>
  <c r="AL47" i="3"/>
  <c r="AM47" i="3"/>
  <c r="AN47" i="3"/>
  <c r="AO47" i="3"/>
  <c r="AT47" i="3"/>
  <c r="BF47" i="3"/>
  <c r="BG47" i="3"/>
  <c r="A48" i="3"/>
  <c r="BA48" i="3" s="1"/>
  <c r="B48" i="3"/>
  <c r="C48" i="3"/>
  <c r="D48" i="3"/>
  <c r="E48" i="3"/>
  <c r="F48" i="3"/>
  <c r="J48" i="3"/>
  <c r="K48" i="3"/>
  <c r="L48" i="3"/>
  <c r="M48" i="3"/>
  <c r="N48" i="3"/>
  <c r="O48" i="3"/>
  <c r="P48" i="3"/>
  <c r="Q48" i="3"/>
  <c r="R48" i="3"/>
  <c r="S48" i="3" s="1"/>
  <c r="T48" i="3"/>
  <c r="W48" i="3"/>
  <c r="V48" i="3" s="1"/>
  <c r="X48" i="3"/>
  <c r="Y48" i="3"/>
  <c r="Z48" i="3"/>
  <c r="AD48" i="3"/>
  <c r="AP48" i="3" s="1"/>
  <c r="AE48" i="3"/>
  <c r="AL48" i="3"/>
  <c r="AM48" i="3"/>
  <c r="AN48" i="3"/>
  <c r="AO48" i="3"/>
  <c r="AT48" i="3"/>
  <c r="BF48" i="3"/>
  <c r="BG48" i="3"/>
  <c r="A49" i="3"/>
  <c r="BD49" i="3" s="1"/>
  <c r="B49" i="3"/>
  <c r="C49" i="3"/>
  <c r="D49" i="3"/>
  <c r="E49" i="3"/>
  <c r="F49" i="3"/>
  <c r="G49" i="3"/>
  <c r="AZ49" i="3" s="1"/>
  <c r="J49" i="3"/>
  <c r="K49" i="3"/>
  <c r="L49" i="3"/>
  <c r="M49" i="3"/>
  <c r="N49" i="3"/>
  <c r="O49" i="3"/>
  <c r="P49" i="3"/>
  <c r="Q49" i="3"/>
  <c r="R49" i="3"/>
  <c r="S49" i="3" s="1"/>
  <c r="T49" i="3"/>
  <c r="W49" i="3"/>
  <c r="U49" i="3" s="1"/>
  <c r="X49" i="3"/>
  <c r="Y49" i="3"/>
  <c r="AA49" i="3" s="1"/>
  <c r="Z49" i="3"/>
  <c r="AD49" i="3"/>
  <c r="AP49" i="3" s="1"/>
  <c r="AE49" i="3"/>
  <c r="AL49" i="3"/>
  <c r="AM49" i="3"/>
  <c r="AN49" i="3"/>
  <c r="AO49" i="3"/>
  <c r="AT49" i="3"/>
  <c r="BF49" i="3"/>
  <c r="BG49" i="3"/>
  <c r="A50" i="3"/>
  <c r="B50" i="3"/>
  <c r="C50" i="3"/>
  <c r="D50" i="3"/>
  <c r="E50" i="3"/>
  <c r="F50" i="3"/>
  <c r="I50" i="3" s="1"/>
  <c r="G50" i="3"/>
  <c r="AZ50" i="3" s="1"/>
  <c r="J50" i="3"/>
  <c r="K50" i="3"/>
  <c r="L50" i="3"/>
  <c r="M50" i="3"/>
  <c r="N50" i="3"/>
  <c r="O50" i="3"/>
  <c r="P50" i="3"/>
  <c r="Q50" i="3"/>
  <c r="R50" i="3"/>
  <c r="S50" i="3" s="1"/>
  <c r="T50" i="3"/>
  <c r="W50" i="3"/>
  <c r="X50" i="3"/>
  <c r="Y50" i="3"/>
  <c r="AA50" i="3" s="1"/>
  <c r="Z50" i="3"/>
  <c r="AD50" i="3"/>
  <c r="AP50" i="3" s="1"/>
  <c r="AE50" i="3"/>
  <c r="AL50" i="3"/>
  <c r="AM50" i="3"/>
  <c r="AN50" i="3"/>
  <c r="AO50" i="3"/>
  <c r="AT50" i="3"/>
  <c r="BF50" i="3"/>
  <c r="BG50" i="3"/>
  <c r="A51" i="3"/>
  <c r="BA51" i="3" s="1"/>
  <c r="B51" i="3"/>
  <c r="C51" i="3"/>
  <c r="D51" i="3"/>
  <c r="E51" i="3"/>
  <c r="F51" i="3"/>
  <c r="H51" i="3" s="1"/>
  <c r="J51" i="3"/>
  <c r="K51" i="3"/>
  <c r="L51" i="3"/>
  <c r="M51" i="3"/>
  <c r="N51" i="3"/>
  <c r="O51" i="3"/>
  <c r="P51" i="3"/>
  <c r="Q51" i="3"/>
  <c r="R51" i="3"/>
  <c r="S51" i="3" s="1"/>
  <c r="T51" i="3"/>
  <c r="W51" i="3"/>
  <c r="U51" i="3" s="1"/>
  <c r="X51" i="3"/>
  <c r="Y51" i="3"/>
  <c r="AA51" i="3" s="1"/>
  <c r="Z51" i="3"/>
  <c r="AD51" i="3"/>
  <c r="AP51" i="3" s="1"/>
  <c r="AE51" i="3"/>
  <c r="AL51" i="3"/>
  <c r="AM51" i="3"/>
  <c r="AN51" i="3"/>
  <c r="AO51" i="3"/>
  <c r="AT51" i="3"/>
  <c r="BF51" i="3"/>
  <c r="BG51" i="3"/>
  <c r="A52" i="3"/>
  <c r="BB52" i="3" s="1"/>
  <c r="B52" i="3"/>
  <c r="C52" i="3"/>
  <c r="D52" i="3"/>
  <c r="E52" i="3"/>
  <c r="F52" i="3"/>
  <c r="I52" i="3" s="1"/>
  <c r="G52" i="3"/>
  <c r="AZ52" i="3" s="1"/>
  <c r="H52" i="3"/>
  <c r="J52" i="3"/>
  <c r="K52" i="3"/>
  <c r="L52" i="3"/>
  <c r="M52" i="3"/>
  <c r="N52" i="3"/>
  <c r="O52" i="3"/>
  <c r="P52" i="3"/>
  <c r="Q52" i="3"/>
  <c r="R52" i="3"/>
  <c r="S52" i="3" s="1"/>
  <c r="T52" i="3"/>
  <c r="W52" i="3"/>
  <c r="V52" i="3" s="1"/>
  <c r="X52" i="3"/>
  <c r="Y52" i="3"/>
  <c r="AA52" i="3" s="1"/>
  <c r="Z52" i="3"/>
  <c r="AD52" i="3"/>
  <c r="AP52" i="3" s="1"/>
  <c r="AE52" i="3"/>
  <c r="AL52" i="3"/>
  <c r="AM52" i="3"/>
  <c r="AN52" i="3"/>
  <c r="AO52" i="3"/>
  <c r="AT52" i="3"/>
  <c r="BF52" i="3"/>
  <c r="BG52" i="3"/>
  <c r="A53" i="3"/>
  <c r="BD53" i="3" s="1"/>
  <c r="B53" i="3"/>
  <c r="C53" i="3"/>
  <c r="D53" i="3"/>
  <c r="E53" i="3"/>
  <c r="F53" i="3"/>
  <c r="H53" i="3" s="1"/>
  <c r="J53" i="3"/>
  <c r="K53" i="3"/>
  <c r="L53" i="3"/>
  <c r="M53" i="3"/>
  <c r="N53" i="3"/>
  <c r="O53" i="3"/>
  <c r="P53" i="3"/>
  <c r="Q53" i="3"/>
  <c r="R53" i="3"/>
  <c r="S53" i="3" s="1"/>
  <c r="T53" i="3"/>
  <c r="W53" i="3"/>
  <c r="V53" i="3" s="1"/>
  <c r="X53" i="3"/>
  <c r="Y53" i="3"/>
  <c r="AA53" i="3" s="1"/>
  <c r="Z53" i="3"/>
  <c r="AD53" i="3"/>
  <c r="AP53" i="3" s="1"/>
  <c r="AE53" i="3"/>
  <c r="AL53" i="3"/>
  <c r="AM53" i="3"/>
  <c r="AN53" i="3"/>
  <c r="AO53" i="3"/>
  <c r="AT53" i="3"/>
  <c r="BF53" i="3"/>
  <c r="BG53" i="3"/>
  <c r="A54" i="3"/>
  <c r="BB54" i="3" s="1"/>
  <c r="B54" i="3"/>
  <c r="C54" i="3"/>
  <c r="D54" i="3"/>
  <c r="E54" i="3"/>
  <c r="F54" i="3"/>
  <c r="I54" i="3" s="1"/>
  <c r="J54" i="3"/>
  <c r="K54" i="3"/>
  <c r="L54" i="3"/>
  <c r="M54" i="3"/>
  <c r="N54" i="3"/>
  <c r="O54" i="3"/>
  <c r="P54" i="3"/>
  <c r="Q54" i="3"/>
  <c r="R54" i="3"/>
  <c r="S54" i="3" s="1"/>
  <c r="T54" i="3"/>
  <c r="W54" i="3"/>
  <c r="V54" i="3" s="1"/>
  <c r="X54" i="3"/>
  <c r="Y54" i="3"/>
  <c r="AB54" i="3" s="1"/>
  <c r="Z54" i="3"/>
  <c r="AD54" i="3"/>
  <c r="AE54" i="3"/>
  <c r="AL54" i="3"/>
  <c r="AM54" i="3"/>
  <c r="AN54" i="3"/>
  <c r="AO54" i="3"/>
  <c r="AP54" i="3"/>
  <c r="AT54" i="3"/>
  <c r="BD54" i="3"/>
  <c r="BF54" i="3"/>
  <c r="BG54" i="3"/>
  <c r="A55" i="3"/>
  <c r="BC55" i="3" s="1"/>
  <c r="B55" i="3"/>
  <c r="C55" i="3"/>
  <c r="D55" i="3"/>
  <c r="E55" i="3"/>
  <c r="F55" i="3"/>
  <c r="I55" i="3" s="1"/>
  <c r="J55" i="3"/>
  <c r="K55" i="3"/>
  <c r="L55" i="3"/>
  <c r="M55" i="3"/>
  <c r="N55" i="3"/>
  <c r="O55" i="3"/>
  <c r="P55" i="3"/>
  <c r="Q55" i="3"/>
  <c r="R55" i="3"/>
  <c r="S55" i="3" s="1"/>
  <c r="T55" i="3"/>
  <c r="W55" i="3"/>
  <c r="U55" i="3" s="1"/>
  <c r="X55" i="3"/>
  <c r="Y55" i="3"/>
  <c r="BM55" i="3" s="1"/>
  <c r="Z55" i="3"/>
  <c r="AD55" i="3"/>
  <c r="AP55" i="3" s="1"/>
  <c r="AE55" i="3"/>
  <c r="AL55" i="3"/>
  <c r="AM55" i="3"/>
  <c r="AN55" i="3"/>
  <c r="AO55" i="3"/>
  <c r="AT55" i="3"/>
  <c r="BD55" i="3"/>
  <c r="BF55" i="3"/>
  <c r="BG55" i="3"/>
  <c r="A56" i="3"/>
  <c r="BC56" i="3" s="1"/>
  <c r="B56" i="3"/>
  <c r="C56" i="3"/>
  <c r="D56" i="3"/>
  <c r="E56" i="3"/>
  <c r="F56" i="3"/>
  <c r="I56" i="3" s="1"/>
  <c r="J56" i="3"/>
  <c r="K56" i="3"/>
  <c r="L56" i="3"/>
  <c r="M56" i="3"/>
  <c r="N56" i="3"/>
  <c r="O56" i="3"/>
  <c r="P56" i="3"/>
  <c r="Q56" i="3"/>
  <c r="R56" i="3"/>
  <c r="S56" i="3" s="1"/>
  <c r="T56" i="3"/>
  <c r="W56" i="3"/>
  <c r="U56" i="3" s="1"/>
  <c r="X56" i="3"/>
  <c r="Y56" i="3"/>
  <c r="AR56" i="3" s="1"/>
  <c r="Z56" i="3"/>
  <c r="AD56" i="3"/>
  <c r="AP56" i="3" s="1"/>
  <c r="AE56" i="3"/>
  <c r="AL56" i="3"/>
  <c r="AM56" i="3"/>
  <c r="AN56" i="3"/>
  <c r="AO56" i="3"/>
  <c r="AT56" i="3"/>
  <c r="BF56" i="3"/>
  <c r="BG56" i="3"/>
  <c r="A33" i="7"/>
  <c r="B33" i="7"/>
  <c r="C33" i="7"/>
  <c r="D33" i="7"/>
  <c r="E33" i="7"/>
  <c r="BH33" i="7" s="1"/>
  <c r="F33" i="7"/>
  <c r="I33" i="7" s="1"/>
  <c r="J33" i="7"/>
  <c r="K33" i="7"/>
  <c r="L33" i="7"/>
  <c r="M33" i="7"/>
  <c r="N33" i="7"/>
  <c r="O33" i="7"/>
  <c r="P33" i="7"/>
  <c r="Q33" i="7"/>
  <c r="R33" i="7"/>
  <c r="S33" i="7" s="1"/>
  <c r="T33" i="7"/>
  <c r="W33" i="7"/>
  <c r="U33" i="7" s="1"/>
  <c r="X33" i="7"/>
  <c r="Y33" i="7"/>
  <c r="Z33" i="7"/>
  <c r="AD33" i="7"/>
  <c r="AP33" i="7" s="1"/>
  <c r="AE33" i="7"/>
  <c r="AL33" i="7"/>
  <c r="AM33" i="7"/>
  <c r="AN33" i="7"/>
  <c r="AO33" i="7"/>
  <c r="AW33" i="7"/>
  <c r="BI33" i="7"/>
  <c r="BJ33" i="7"/>
  <c r="BM33" i="7"/>
  <c r="BN33" i="7"/>
  <c r="A34" i="7"/>
  <c r="B34" i="7"/>
  <c r="C34" i="7"/>
  <c r="D34" i="7"/>
  <c r="E34" i="7"/>
  <c r="BH34" i="7" s="1"/>
  <c r="F34" i="7"/>
  <c r="I34" i="7" s="1"/>
  <c r="G34" i="7"/>
  <c r="H34" i="7"/>
  <c r="J34" i="7"/>
  <c r="K34" i="7"/>
  <c r="L34" i="7"/>
  <c r="M34" i="7"/>
  <c r="N34" i="7"/>
  <c r="O34" i="7"/>
  <c r="P34" i="7"/>
  <c r="Q34" i="7"/>
  <c r="R34" i="7"/>
  <c r="S34" i="7" s="1"/>
  <c r="T34" i="7"/>
  <c r="W34" i="7"/>
  <c r="U34" i="7" s="1"/>
  <c r="X34" i="7"/>
  <c r="Y34" i="7"/>
  <c r="Z34" i="7"/>
  <c r="AD34" i="7"/>
  <c r="AP34" i="7" s="1"/>
  <c r="AE34" i="7"/>
  <c r="AL34" i="7"/>
  <c r="AM34" i="7"/>
  <c r="AN34" i="7"/>
  <c r="AO34" i="7"/>
  <c r="AW34" i="7"/>
  <c r="BI34" i="7"/>
  <c r="BJ34" i="7"/>
  <c r="BM34" i="7"/>
  <c r="BN34" i="7"/>
  <c r="A35" i="7"/>
  <c r="B35" i="7"/>
  <c r="C35" i="7"/>
  <c r="D35" i="7"/>
  <c r="E35" i="7"/>
  <c r="BH35" i="7" s="1"/>
  <c r="F35" i="7"/>
  <c r="I35" i="7" s="1"/>
  <c r="J35" i="7"/>
  <c r="K35" i="7"/>
  <c r="L35" i="7"/>
  <c r="M35" i="7"/>
  <c r="N35" i="7"/>
  <c r="O35" i="7"/>
  <c r="P35" i="7"/>
  <c r="Q35" i="7"/>
  <c r="R35" i="7"/>
  <c r="S35" i="7" s="1"/>
  <c r="T35" i="7"/>
  <c r="W35" i="7"/>
  <c r="U35" i="7" s="1"/>
  <c r="X35" i="7"/>
  <c r="Y35" i="7"/>
  <c r="Z35" i="7"/>
  <c r="AD35" i="7"/>
  <c r="AP35" i="7" s="1"/>
  <c r="AE35" i="7"/>
  <c r="AL35" i="7"/>
  <c r="AM35" i="7"/>
  <c r="AN35" i="7"/>
  <c r="AO35" i="7"/>
  <c r="AR35" i="7"/>
  <c r="AW35" i="7"/>
  <c r="BI35" i="7"/>
  <c r="BJ35" i="7"/>
  <c r="BM35" i="7"/>
  <c r="BN35" i="7"/>
  <c r="A23" i="7"/>
  <c r="B23" i="7"/>
  <c r="C23" i="7"/>
  <c r="D23" i="7"/>
  <c r="E23" i="7"/>
  <c r="BH23" i="7" s="1"/>
  <c r="F23" i="7"/>
  <c r="I23" i="7" s="1"/>
  <c r="J23" i="7"/>
  <c r="K23" i="7"/>
  <c r="L23" i="7"/>
  <c r="M23" i="7"/>
  <c r="N23" i="7"/>
  <c r="O23" i="7"/>
  <c r="P23" i="7"/>
  <c r="Q23" i="7"/>
  <c r="R23" i="7"/>
  <c r="S23" i="7" s="1"/>
  <c r="T23" i="7"/>
  <c r="W23" i="7"/>
  <c r="U23" i="7" s="1"/>
  <c r="X23" i="7"/>
  <c r="Y23" i="7"/>
  <c r="Z23" i="7"/>
  <c r="AD23" i="7"/>
  <c r="AP23" i="7" s="1"/>
  <c r="AE23" i="7"/>
  <c r="AL23" i="7"/>
  <c r="AM23" i="7"/>
  <c r="AN23" i="7"/>
  <c r="AO23" i="7"/>
  <c r="AU23" i="7"/>
  <c r="AW23" i="7"/>
  <c r="BI23" i="7"/>
  <c r="BJ23" i="7"/>
  <c r="BM23" i="7"/>
  <c r="BN23" i="7"/>
  <c r="A24" i="7"/>
  <c r="B24" i="7"/>
  <c r="C24" i="7"/>
  <c r="D24" i="7"/>
  <c r="E24" i="7"/>
  <c r="BH24" i="7" s="1"/>
  <c r="F24" i="7"/>
  <c r="I24" i="7" s="1"/>
  <c r="J24" i="7"/>
  <c r="K24" i="7"/>
  <c r="L24" i="7"/>
  <c r="M24" i="7"/>
  <c r="N24" i="7"/>
  <c r="O24" i="7"/>
  <c r="P24" i="7"/>
  <c r="Q24" i="7"/>
  <c r="R24" i="7"/>
  <c r="S24" i="7" s="1"/>
  <c r="T24" i="7"/>
  <c r="W24" i="7"/>
  <c r="U24" i="7" s="1"/>
  <c r="X24" i="7"/>
  <c r="Y24" i="7"/>
  <c r="Z24" i="7"/>
  <c r="AD24" i="7"/>
  <c r="AP24" i="7" s="1"/>
  <c r="AE24" i="7"/>
  <c r="AL24" i="7"/>
  <c r="AM24" i="7"/>
  <c r="AN24" i="7"/>
  <c r="AO24" i="7"/>
  <c r="AW24" i="7"/>
  <c r="BI24" i="7"/>
  <c r="BJ24" i="7"/>
  <c r="BM24" i="7"/>
  <c r="BN24" i="7"/>
  <c r="A25" i="7"/>
  <c r="B25" i="7"/>
  <c r="C25" i="7"/>
  <c r="D25" i="7"/>
  <c r="E25" i="7"/>
  <c r="BH25" i="7" s="1"/>
  <c r="F25" i="7"/>
  <c r="I25" i="7" s="1"/>
  <c r="J25" i="7"/>
  <c r="K25" i="7"/>
  <c r="L25" i="7"/>
  <c r="M25" i="7"/>
  <c r="N25" i="7"/>
  <c r="O25" i="7"/>
  <c r="P25" i="7"/>
  <c r="Q25" i="7"/>
  <c r="R25" i="7"/>
  <c r="S25" i="7" s="1"/>
  <c r="T25" i="7"/>
  <c r="W25" i="7"/>
  <c r="U25" i="7" s="1"/>
  <c r="X25" i="7"/>
  <c r="Y25" i="7"/>
  <c r="Z25" i="7"/>
  <c r="AD25" i="7"/>
  <c r="AP25" i="7" s="1"/>
  <c r="AE25" i="7"/>
  <c r="AL25" i="7"/>
  <c r="AM25" i="7"/>
  <c r="AN25" i="7"/>
  <c r="AO25" i="7"/>
  <c r="AW25" i="7"/>
  <c r="BI25" i="7"/>
  <c r="BJ25" i="7"/>
  <c r="BM25" i="7"/>
  <c r="BN25" i="7"/>
  <c r="A26" i="7"/>
  <c r="B26" i="7"/>
  <c r="C26" i="7"/>
  <c r="D26" i="7"/>
  <c r="E26" i="7"/>
  <c r="BH26" i="7" s="1"/>
  <c r="F26" i="7"/>
  <c r="G26" i="7" s="1"/>
  <c r="J26" i="7"/>
  <c r="K26" i="7"/>
  <c r="L26" i="7"/>
  <c r="M26" i="7"/>
  <c r="N26" i="7"/>
  <c r="O26" i="7"/>
  <c r="P26" i="7"/>
  <c r="Q26" i="7"/>
  <c r="R26" i="7"/>
  <c r="S26" i="7" s="1"/>
  <c r="T26" i="7"/>
  <c r="W26" i="7"/>
  <c r="U26" i="7" s="1"/>
  <c r="X26" i="7"/>
  <c r="Y26" i="7"/>
  <c r="Z26" i="7"/>
  <c r="AD26" i="7"/>
  <c r="AP26" i="7" s="1"/>
  <c r="AE26" i="7"/>
  <c r="AL26" i="7"/>
  <c r="AM26" i="7"/>
  <c r="AN26" i="7"/>
  <c r="AO26" i="7"/>
  <c r="AW26" i="7"/>
  <c r="BI26" i="7"/>
  <c r="BJ26" i="7"/>
  <c r="BM26" i="7"/>
  <c r="BN26" i="7"/>
  <c r="A27" i="7"/>
  <c r="B27" i="7"/>
  <c r="C27" i="7"/>
  <c r="D27" i="7"/>
  <c r="E27" i="7"/>
  <c r="BH27" i="7" s="1"/>
  <c r="F27" i="7"/>
  <c r="I27" i="7" s="1"/>
  <c r="G27" i="7"/>
  <c r="J27" i="7"/>
  <c r="K27" i="7"/>
  <c r="L27" i="7"/>
  <c r="M27" i="7"/>
  <c r="N27" i="7"/>
  <c r="O27" i="7"/>
  <c r="P27" i="7"/>
  <c r="Q27" i="7"/>
  <c r="R27" i="7"/>
  <c r="S27" i="7" s="1"/>
  <c r="T27" i="7"/>
  <c r="W27" i="7"/>
  <c r="V27" i="7" s="1"/>
  <c r="X27" i="7"/>
  <c r="Y27" i="7"/>
  <c r="Z27" i="7"/>
  <c r="AD27" i="7"/>
  <c r="AP27" i="7" s="1"/>
  <c r="AE27" i="7"/>
  <c r="AL27" i="7"/>
  <c r="AM27" i="7"/>
  <c r="AN27" i="7"/>
  <c r="AO27" i="7"/>
  <c r="AW27" i="7"/>
  <c r="BI27" i="7"/>
  <c r="BJ27" i="7"/>
  <c r="BM27" i="7"/>
  <c r="BN27" i="7"/>
  <c r="A28" i="7"/>
  <c r="B28" i="7"/>
  <c r="C28" i="7"/>
  <c r="D28" i="7"/>
  <c r="E28" i="7"/>
  <c r="BH28" i="7" s="1"/>
  <c r="F28" i="7"/>
  <c r="I28" i="7" s="1"/>
  <c r="J28" i="7"/>
  <c r="K28" i="7"/>
  <c r="L28" i="7"/>
  <c r="M28" i="7"/>
  <c r="N28" i="7"/>
  <c r="O28" i="7"/>
  <c r="P28" i="7"/>
  <c r="Q28" i="7"/>
  <c r="R28" i="7"/>
  <c r="S28" i="7" s="1"/>
  <c r="T28" i="7"/>
  <c r="W28" i="7"/>
  <c r="U28" i="7" s="1"/>
  <c r="X28" i="7"/>
  <c r="Y28" i="7"/>
  <c r="Z28" i="7"/>
  <c r="AD28" i="7"/>
  <c r="AP28" i="7" s="1"/>
  <c r="AE28" i="7"/>
  <c r="AL28" i="7"/>
  <c r="AM28" i="7"/>
  <c r="AN28" i="7"/>
  <c r="AO28" i="7"/>
  <c r="AW28" i="7"/>
  <c r="BI28" i="7"/>
  <c r="BJ28" i="7"/>
  <c r="BM28" i="7"/>
  <c r="BN28" i="7"/>
  <c r="A29" i="7"/>
  <c r="B29" i="7"/>
  <c r="C29" i="7"/>
  <c r="D29" i="7"/>
  <c r="E29" i="7"/>
  <c r="BH29" i="7" s="1"/>
  <c r="F29" i="7"/>
  <c r="I29" i="7" s="1"/>
  <c r="J29" i="7"/>
  <c r="K29" i="7"/>
  <c r="L29" i="7"/>
  <c r="M29" i="7"/>
  <c r="N29" i="7"/>
  <c r="O29" i="7"/>
  <c r="P29" i="7"/>
  <c r="Q29" i="7"/>
  <c r="R29" i="7"/>
  <c r="S29" i="7" s="1"/>
  <c r="T29" i="7"/>
  <c r="W29" i="7"/>
  <c r="V29" i="7" s="1"/>
  <c r="X29" i="7"/>
  <c r="Y29" i="7"/>
  <c r="Z29" i="7"/>
  <c r="AD29" i="7"/>
  <c r="AP29" i="7" s="1"/>
  <c r="AE29" i="7"/>
  <c r="AL29" i="7"/>
  <c r="AM29" i="7"/>
  <c r="AN29" i="7"/>
  <c r="AO29" i="7"/>
  <c r="AW29" i="7"/>
  <c r="BA29" i="7"/>
  <c r="BI29" i="7"/>
  <c r="BJ29" i="7"/>
  <c r="BM29" i="7"/>
  <c r="BN29" i="7"/>
  <c r="A30" i="7"/>
  <c r="B30" i="7"/>
  <c r="C30" i="7"/>
  <c r="D30" i="7"/>
  <c r="E30" i="7"/>
  <c r="BH30" i="7" s="1"/>
  <c r="F30" i="7"/>
  <c r="J30" i="7"/>
  <c r="K30" i="7"/>
  <c r="L30" i="7"/>
  <c r="M30" i="7"/>
  <c r="N30" i="7"/>
  <c r="O30" i="7"/>
  <c r="P30" i="7"/>
  <c r="Q30" i="7"/>
  <c r="R30" i="7"/>
  <c r="S30" i="7" s="1"/>
  <c r="T30" i="7"/>
  <c r="W30" i="7"/>
  <c r="U30" i="7" s="1"/>
  <c r="X30" i="7"/>
  <c r="Y30" i="7"/>
  <c r="Z30" i="7"/>
  <c r="AD30" i="7"/>
  <c r="AP30" i="7" s="1"/>
  <c r="AE30" i="7"/>
  <c r="AL30" i="7"/>
  <c r="AM30" i="7"/>
  <c r="AN30" i="7"/>
  <c r="AO30" i="7"/>
  <c r="AW30" i="7"/>
  <c r="BI30" i="7"/>
  <c r="BJ30" i="7"/>
  <c r="BM30" i="7"/>
  <c r="BN30" i="7"/>
  <c r="A31" i="7"/>
  <c r="B31" i="7"/>
  <c r="C31" i="7"/>
  <c r="D31" i="7"/>
  <c r="E31" i="7"/>
  <c r="BH31" i="7" s="1"/>
  <c r="F31" i="7"/>
  <c r="I31" i="7" s="1"/>
  <c r="J31" i="7"/>
  <c r="K31" i="7"/>
  <c r="L31" i="7"/>
  <c r="M31" i="7"/>
  <c r="N31" i="7"/>
  <c r="O31" i="7"/>
  <c r="P31" i="7"/>
  <c r="Q31" i="7"/>
  <c r="R31" i="7"/>
  <c r="S31" i="7" s="1"/>
  <c r="T31" i="7"/>
  <c r="W31" i="7"/>
  <c r="V31" i="7" s="1"/>
  <c r="X31" i="7"/>
  <c r="Y31" i="7"/>
  <c r="Z31" i="7"/>
  <c r="AD31" i="7"/>
  <c r="AP31" i="7" s="1"/>
  <c r="AE31" i="7"/>
  <c r="AL31" i="7"/>
  <c r="AM31" i="7"/>
  <c r="AN31" i="7"/>
  <c r="AO31" i="7"/>
  <c r="AW31" i="7"/>
  <c r="BI31" i="7"/>
  <c r="BJ31" i="7"/>
  <c r="BM31" i="7"/>
  <c r="BN31" i="7"/>
  <c r="A32" i="7"/>
  <c r="B32" i="7"/>
  <c r="C32" i="7"/>
  <c r="D32" i="7"/>
  <c r="E32" i="7"/>
  <c r="F32" i="7"/>
  <c r="J32" i="7"/>
  <c r="K32" i="7"/>
  <c r="L32" i="7"/>
  <c r="M32" i="7"/>
  <c r="N32" i="7"/>
  <c r="O32" i="7"/>
  <c r="P32" i="7"/>
  <c r="Q32" i="7"/>
  <c r="R32" i="7"/>
  <c r="S32" i="7" s="1"/>
  <c r="T32" i="7"/>
  <c r="W32" i="7"/>
  <c r="U32" i="7" s="1"/>
  <c r="X32" i="7"/>
  <c r="Y32" i="7"/>
  <c r="Z32" i="7"/>
  <c r="AD32" i="7"/>
  <c r="AP32" i="7" s="1"/>
  <c r="AE32" i="7"/>
  <c r="AL32" i="7"/>
  <c r="AM32" i="7"/>
  <c r="AN32" i="7"/>
  <c r="AO32" i="7"/>
  <c r="AW32" i="7"/>
  <c r="BH32" i="7"/>
  <c r="BI32" i="7"/>
  <c r="BJ32" i="7"/>
  <c r="BM32" i="7"/>
  <c r="BN32" i="7"/>
  <c r="A15" i="7"/>
  <c r="B15" i="7"/>
  <c r="C15" i="7"/>
  <c r="D15" i="7"/>
  <c r="E15" i="7"/>
  <c r="F15" i="7"/>
  <c r="I15" i="7" s="1"/>
  <c r="J15" i="7"/>
  <c r="K15" i="7"/>
  <c r="L15" i="7"/>
  <c r="M15" i="7"/>
  <c r="N15" i="7"/>
  <c r="O15" i="7"/>
  <c r="P15" i="7"/>
  <c r="Q15" i="7"/>
  <c r="R15" i="7"/>
  <c r="S15" i="7" s="1"/>
  <c r="T15" i="7"/>
  <c r="W15" i="7"/>
  <c r="V15" i="7" s="1"/>
  <c r="X15" i="7"/>
  <c r="Y15" i="7"/>
  <c r="Z15" i="7"/>
  <c r="AA15" i="7"/>
  <c r="AD15" i="7"/>
  <c r="AP15" i="7" s="1"/>
  <c r="AE15" i="7"/>
  <c r="AL15" i="7"/>
  <c r="AM15" i="7"/>
  <c r="AN15" i="7"/>
  <c r="AO15" i="7"/>
  <c r="AW15" i="7"/>
  <c r="BA15" i="7"/>
  <c r="BH15" i="7"/>
  <c r="BI15" i="7"/>
  <c r="BJ15" i="7"/>
  <c r="BM15" i="7"/>
  <c r="BN15" i="7"/>
  <c r="A16" i="7"/>
  <c r="B16" i="7"/>
  <c r="C16" i="7"/>
  <c r="D16" i="7"/>
  <c r="E16" i="7"/>
  <c r="BH16" i="7" s="1"/>
  <c r="F16" i="7"/>
  <c r="J16" i="7"/>
  <c r="K16" i="7"/>
  <c r="L16" i="7"/>
  <c r="M16" i="7"/>
  <c r="N16" i="7"/>
  <c r="O16" i="7"/>
  <c r="P16" i="7"/>
  <c r="Q16" i="7"/>
  <c r="R16" i="7"/>
  <c r="S16" i="7" s="1"/>
  <c r="T16" i="7"/>
  <c r="W16" i="7"/>
  <c r="U16" i="7" s="1"/>
  <c r="X16" i="7"/>
  <c r="Y16" i="7"/>
  <c r="Z16" i="7"/>
  <c r="AD16" i="7"/>
  <c r="AP16" i="7" s="1"/>
  <c r="AE16" i="7"/>
  <c r="AL16" i="7"/>
  <c r="AM16" i="7"/>
  <c r="AN16" i="7"/>
  <c r="AO16" i="7"/>
  <c r="AW16" i="7"/>
  <c r="BI16" i="7"/>
  <c r="BJ16" i="7"/>
  <c r="BM16" i="7"/>
  <c r="BN16" i="7"/>
  <c r="A17" i="7"/>
  <c r="B17" i="7"/>
  <c r="C17" i="7"/>
  <c r="D17" i="7"/>
  <c r="E17" i="7"/>
  <c r="BH17" i="7" s="1"/>
  <c r="F17" i="7"/>
  <c r="I17" i="7" s="1"/>
  <c r="J17" i="7"/>
  <c r="K17" i="7"/>
  <c r="L17" i="7"/>
  <c r="M17" i="7"/>
  <c r="N17" i="7"/>
  <c r="O17" i="7"/>
  <c r="P17" i="7"/>
  <c r="Q17" i="7"/>
  <c r="R17" i="7"/>
  <c r="S17" i="7" s="1"/>
  <c r="T17" i="7"/>
  <c r="W17" i="7"/>
  <c r="V17" i="7" s="1"/>
  <c r="X17" i="7"/>
  <c r="Y17" i="7"/>
  <c r="Z17" i="7"/>
  <c r="AD17" i="7"/>
  <c r="AP17" i="7" s="1"/>
  <c r="AE17" i="7"/>
  <c r="AL17" i="7"/>
  <c r="AM17" i="7"/>
  <c r="AN17" i="7"/>
  <c r="AO17" i="7"/>
  <c r="AW17" i="7"/>
  <c r="BI17" i="7"/>
  <c r="BJ17" i="7"/>
  <c r="BM17" i="7"/>
  <c r="BN17" i="7"/>
  <c r="A18" i="7"/>
  <c r="B18" i="7"/>
  <c r="C18" i="7"/>
  <c r="D18" i="7"/>
  <c r="E18" i="7"/>
  <c r="F18" i="7"/>
  <c r="G18" i="7" s="1"/>
  <c r="J18" i="7"/>
  <c r="K18" i="7"/>
  <c r="L18" i="7"/>
  <c r="M18" i="7"/>
  <c r="N18" i="7"/>
  <c r="O18" i="7"/>
  <c r="P18" i="7"/>
  <c r="Q18" i="7"/>
  <c r="R18" i="7"/>
  <c r="S18" i="7" s="1"/>
  <c r="T18" i="7"/>
  <c r="W18" i="7"/>
  <c r="U18" i="7" s="1"/>
  <c r="X18" i="7"/>
  <c r="Y18" i="7"/>
  <c r="Z18" i="7"/>
  <c r="AD18" i="7"/>
  <c r="AP18" i="7" s="1"/>
  <c r="AE18" i="7"/>
  <c r="AL18" i="7"/>
  <c r="AM18" i="7"/>
  <c r="AN18" i="7"/>
  <c r="AO18" i="7"/>
  <c r="AW18" i="7"/>
  <c r="BH18" i="7"/>
  <c r="BI18" i="7"/>
  <c r="BJ18" i="7"/>
  <c r="BM18" i="7"/>
  <c r="BN18" i="7"/>
  <c r="A19" i="7"/>
  <c r="B19" i="7"/>
  <c r="C19" i="7"/>
  <c r="D19" i="7"/>
  <c r="E19" i="7"/>
  <c r="BH19" i="7" s="1"/>
  <c r="F19" i="7"/>
  <c r="I19" i="7" s="1"/>
  <c r="J19" i="7"/>
  <c r="K19" i="7"/>
  <c r="L19" i="7"/>
  <c r="M19" i="7"/>
  <c r="N19" i="7"/>
  <c r="O19" i="7"/>
  <c r="P19" i="7"/>
  <c r="Q19" i="7"/>
  <c r="R19" i="7"/>
  <c r="S19" i="7" s="1"/>
  <c r="T19" i="7"/>
  <c r="W19" i="7"/>
  <c r="U19" i="7" s="1"/>
  <c r="X19" i="7"/>
  <c r="Y19" i="7"/>
  <c r="Z19" i="7"/>
  <c r="AD19" i="7"/>
  <c r="AP19" i="7" s="1"/>
  <c r="AE19" i="7"/>
  <c r="AL19" i="7"/>
  <c r="AM19" i="7"/>
  <c r="AN19" i="7"/>
  <c r="AO19" i="7"/>
  <c r="AW19" i="7"/>
  <c r="BI19" i="7"/>
  <c r="BJ19" i="7"/>
  <c r="BM19" i="7"/>
  <c r="BN19" i="7"/>
  <c r="A20" i="7"/>
  <c r="B20" i="7"/>
  <c r="C20" i="7"/>
  <c r="D20" i="7"/>
  <c r="E20" i="7"/>
  <c r="BH20" i="7" s="1"/>
  <c r="F20" i="7"/>
  <c r="G20" i="7" s="1"/>
  <c r="J20" i="7"/>
  <c r="K20" i="7"/>
  <c r="L20" i="7"/>
  <c r="M20" i="7"/>
  <c r="N20" i="7"/>
  <c r="O20" i="7"/>
  <c r="P20" i="7"/>
  <c r="Q20" i="7"/>
  <c r="R20" i="7"/>
  <c r="S20" i="7" s="1"/>
  <c r="T20" i="7"/>
  <c r="W20" i="7"/>
  <c r="U20" i="7" s="1"/>
  <c r="X20" i="7"/>
  <c r="Y20" i="7"/>
  <c r="Z20" i="7"/>
  <c r="AD20" i="7"/>
  <c r="AP20" i="7" s="1"/>
  <c r="AE20" i="7"/>
  <c r="AL20" i="7"/>
  <c r="AM20" i="7"/>
  <c r="AN20" i="7"/>
  <c r="AO20" i="7"/>
  <c r="AW20" i="7"/>
  <c r="BI20" i="7"/>
  <c r="BJ20" i="7"/>
  <c r="BM20" i="7"/>
  <c r="BN20" i="7"/>
  <c r="A21" i="7"/>
  <c r="B21" i="7"/>
  <c r="C21" i="7"/>
  <c r="D21" i="7"/>
  <c r="E21" i="7"/>
  <c r="BH21" i="7" s="1"/>
  <c r="F21" i="7"/>
  <c r="I21" i="7" s="1"/>
  <c r="J21" i="7"/>
  <c r="K21" i="7"/>
  <c r="L21" i="7"/>
  <c r="M21" i="7"/>
  <c r="N21" i="7"/>
  <c r="O21" i="7"/>
  <c r="P21" i="7"/>
  <c r="Q21" i="7"/>
  <c r="R21" i="7"/>
  <c r="S21" i="7" s="1"/>
  <c r="T21" i="7"/>
  <c r="W21" i="7"/>
  <c r="U21" i="7" s="1"/>
  <c r="X21" i="7"/>
  <c r="Y21" i="7"/>
  <c r="Z21" i="7"/>
  <c r="AD21" i="7"/>
  <c r="AP21" i="7" s="1"/>
  <c r="AE21" i="7"/>
  <c r="AL21" i="7"/>
  <c r="AM21" i="7"/>
  <c r="AN21" i="7"/>
  <c r="AO21" i="7"/>
  <c r="AW21" i="7"/>
  <c r="BI21" i="7"/>
  <c r="BJ21" i="7"/>
  <c r="BM21" i="7"/>
  <c r="BN21" i="7"/>
  <c r="A22" i="7"/>
  <c r="B22" i="7"/>
  <c r="C22" i="7"/>
  <c r="D22" i="7"/>
  <c r="E22" i="7"/>
  <c r="BH22" i="7" s="1"/>
  <c r="F22" i="7"/>
  <c r="G22" i="7" s="1"/>
  <c r="J22" i="7"/>
  <c r="K22" i="7"/>
  <c r="L22" i="7"/>
  <c r="M22" i="7"/>
  <c r="N22" i="7"/>
  <c r="O22" i="7"/>
  <c r="P22" i="7"/>
  <c r="Q22" i="7"/>
  <c r="R22" i="7"/>
  <c r="S22" i="7" s="1"/>
  <c r="W22" i="7"/>
  <c r="U22" i="7" s="1"/>
  <c r="X22" i="7"/>
  <c r="Y22" i="7"/>
  <c r="Z22" i="7"/>
  <c r="AD22" i="7"/>
  <c r="AP22" i="7" s="1"/>
  <c r="AE22" i="7"/>
  <c r="AL22" i="7"/>
  <c r="AM22" i="7"/>
  <c r="AN22" i="7"/>
  <c r="AO22" i="7"/>
  <c r="AW22" i="7"/>
  <c r="BI22" i="7"/>
  <c r="BJ22" i="7"/>
  <c r="BM22" i="7"/>
  <c r="BN22" i="7"/>
  <c r="A31" i="6"/>
  <c r="B31" i="6"/>
  <c r="C31" i="6"/>
  <c r="BO31" i="6" s="1"/>
  <c r="D31" i="6"/>
  <c r="E31" i="6"/>
  <c r="F31" i="6"/>
  <c r="I31" i="6" s="1"/>
  <c r="J31" i="6"/>
  <c r="K31" i="6"/>
  <c r="L31" i="6"/>
  <c r="M31" i="6"/>
  <c r="N31" i="6"/>
  <c r="O31" i="6"/>
  <c r="P31" i="6"/>
  <c r="Q31" i="6"/>
  <c r="R31" i="6"/>
  <c r="S31" i="6"/>
  <c r="T31" i="6"/>
  <c r="W31" i="6"/>
  <c r="X31" i="6"/>
  <c r="Y31" i="6"/>
  <c r="Z31" i="6"/>
  <c r="AD31" i="6"/>
  <c r="AP31" i="6" s="1"/>
  <c r="AE31" i="6"/>
  <c r="AL31" i="6"/>
  <c r="AM31" i="6"/>
  <c r="AN31" i="6"/>
  <c r="AO31" i="6"/>
  <c r="AU31" i="6"/>
  <c r="AW31" i="6"/>
  <c r="BH31" i="6"/>
  <c r="BI31" i="6"/>
  <c r="BJ31" i="6"/>
  <c r="BK31" i="6"/>
  <c r="BL31" i="6"/>
  <c r="BM31" i="6"/>
  <c r="BN31" i="6"/>
  <c r="A32" i="6"/>
  <c r="B32" i="6"/>
  <c r="C32" i="6"/>
  <c r="BO32" i="6" s="1"/>
  <c r="D32" i="6"/>
  <c r="E32" i="6"/>
  <c r="F32" i="6"/>
  <c r="H32" i="6" s="1"/>
  <c r="G32" i="6"/>
  <c r="J32" i="6"/>
  <c r="K32" i="6"/>
  <c r="L32" i="6"/>
  <c r="M32" i="6"/>
  <c r="N32" i="6"/>
  <c r="O32" i="6"/>
  <c r="P32" i="6"/>
  <c r="Q32" i="6"/>
  <c r="R32" i="6"/>
  <c r="S32" i="6" s="1"/>
  <c r="T32" i="6"/>
  <c r="W32" i="6"/>
  <c r="U32" i="6" s="1"/>
  <c r="X32" i="6"/>
  <c r="Y32" i="6"/>
  <c r="Z32" i="6"/>
  <c r="AD32" i="6"/>
  <c r="AP32" i="6" s="1"/>
  <c r="AE32" i="6"/>
  <c r="AL32" i="6"/>
  <c r="AM32" i="6"/>
  <c r="AN32" i="6"/>
  <c r="AO32" i="6"/>
  <c r="AW32" i="6"/>
  <c r="BH32" i="6"/>
  <c r="BI32" i="6"/>
  <c r="BJ32" i="6"/>
  <c r="BK32" i="6"/>
  <c r="BL32" i="6"/>
  <c r="BM32" i="6"/>
  <c r="BN32" i="6"/>
  <c r="A33" i="6"/>
  <c r="B33" i="6"/>
  <c r="C33" i="6"/>
  <c r="BO33" i="6" s="1"/>
  <c r="D33" i="6"/>
  <c r="E33" i="6"/>
  <c r="F33" i="6"/>
  <c r="I33" i="6" s="1"/>
  <c r="J33" i="6"/>
  <c r="K33" i="6"/>
  <c r="L33" i="6"/>
  <c r="M33" i="6"/>
  <c r="N33" i="6"/>
  <c r="O33" i="6"/>
  <c r="P33" i="6"/>
  <c r="Q33" i="6"/>
  <c r="R33" i="6"/>
  <c r="S33" i="6" s="1"/>
  <c r="T33" i="6"/>
  <c r="W33" i="6"/>
  <c r="V33" i="6" s="1"/>
  <c r="X33" i="6"/>
  <c r="Y33" i="6"/>
  <c r="Z33" i="6"/>
  <c r="AD33" i="6"/>
  <c r="AP33" i="6" s="1"/>
  <c r="AE33" i="6"/>
  <c r="AL33" i="6"/>
  <c r="AM33" i="6"/>
  <c r="AN33" i="6"/>
  <c r="AO33" i="6"/>
  <c r="AW33" i="6"/>
  <c r="BH33" i="6"/>
  <c r="BI33" i="6"/>
  <c r="BJ33" i="6"/>
  <c r="BK33" i="6"/>
  <c r="BL33" i="6"/>
  <c r="BM33" i="6"/>
  <c r="BN33" i="6"/>
  <c r="A34" i="6"/>
  <c r="B34" i="6"/>
  <c r="C34" i="6"/>
  <c r="BO34" i="6" s="1"/>
  <c r="D34" i="6"/>
  <c r="E34" i="6"/>
  <c r="F34" i="6"/>
  <c r="G34" i="6" s="1"/>
  <c r="H34" i="6"/>
  <c r="J34" i="6"/>
  <c r="K34" i="6"/>
  <c r="L34" i="6"/>
  <c r="M34" i="6"/>
  <c r="N34" i="6"/>
  <c r="O34" i="6"/>
  <c r="P34" i="6"/>
  <c r="Q34" i="6"/>
  <c r="R34" i="6"/>
  <c r="S34" i="6" s="1"/>
  <c r="T34" i="6"/>
  <c r="W34" i="6"/>
  <c r="U34" i="6" s="1"/>
  <c r="X34" i="6"/>
  <c r="Y34" i="6"/>
  <c r="Z34" i="6"/>
  <c r="AD34" i="6"/>
  <c r="AP34" i="6" s="1"/>
  <c r="AE34" i="6"/>
  <c r="AL34" i="6"/>
  <c r="AM34" i="6"/>
  <c r="AN34" i="6"/>
  <c r="AO34" i="6"/>
  <c r="AW34" i="6"/>
  <c r="BH34" i="6"/>
  <c r="BI34" i="6"/>
  <c r="BJ34" i="6"/>
  <c r="BK34" i="6"/>
  <c r="BL34" i="6"/>
  <c r="BM34" i="6"/>
  <c r="BN34" i="6"/>
  <c r="A35" i="6"/>
  <c r="B35" i="6"/>
  <c r="C35" i="6"/>
  <c r="BO35" i="6" s="1"/>
  <c r="D35" i="6"/>
  <c r="E35" i="6"/>
  <c r="F35" i="6"/>
  <c r="I35" i="6" s="1"/>
  <c r="J35" i="6"/>
  <c r="K35" i="6"/>
  <c r="L35" i="6"/>
  <c r="M35" i="6"/>
  <c r="N35" i="6"/>
  <c r="O35" i="6"/>
  <c r="P35" i="6"/>
  <c r="Q35" i="6"/>
  <c r="R35" i="6"/>
  <c r="S35" i="6" s="1"/>
  <c r="T35" i="6"/>
  <c r="W35" i="6"/>
  <c r="X35" i="6"/>
  <c r="Y35" i="6"/>
  <c r="Z35" i="6"/>
  <c r="AD35" i="6"/>
  <c r="AP35" i="6" s="1"/>
  <c r="AE35" i="6"/>
  <c r="AL35" i="6"/>
  <c r="AM35" i="6"/>
  <c r="AN35" i="6"/>
  <c r="AO35" i="6"/>
  <c r="AW35" i="6"/>
  <c r="BH35" i="6"/>
  <c r="BI35" i="6"/>
  <c r="BJ35" i="6"/>
  <c r="BK35" i="6"/>
  <c r="BL35" i="6"/>
  <c r="BM35" i="6"/>
  <c r="BN35" i="6"/>
  <c r="A15" i="6"/>
  <c r="B15" i="6"/>
  <c r="C15" i="6"/>
  <c r="BO15" i="6" s="1"/>
  <c r="D15" i="6"/>
  <c r="E15" i="6"/>
  <c r="F15" i="6"/>
  <c r="I15" i="6" s="1"/>
  <c r="J15" i="6"/>
  <c r="K15" i="6"/>
  <c r="L15" i="6"/>
  <c r="M15" i="6"/>
  <c r="N15" i="6"/>
  <c r="O15" i="6"/>
  <c r="P15" i="6"/>
  <c r="Q15" i="6"/>
  <c r="R15" i="6"/>
  <c r="S15" i="6" s="1"/>
  <c r="T15" i="6"/>
  <c r="W15" i="6"/>
  <c r="U15" i="6" s="1"/>
  <c r="X15" i="6"/>
  <c r="Y15" i="6"/>
  <c r="Z15" i="6"/>
  <c r="AD15" i="6"/>
  <c r="AP15" i="6" s="1"/>
  <c r="AE15" i="6"/>
  <c r="AL15" i="6"/>
  <c r="AM15" i="6"/>
  <c r="AN15" i="6"/>
  <c r="AO15" i="6"/>
  <c r="AW15" i="6"/>
  <c r="BH15" i="6"/>
  <c r="BI15" i="6"/>
  <c r="BJ15" i="6"/>
  <c r="BK15" i="6"/>
  <c r="BL15" i="6"/>
  <c r="BM15" i="6"/>
  <c r="BN15" i="6"/>
  <c r="A16" i="6"/>
  <c r="B16" i="6"/>
  <c r="C16" i="6"/>
  <c r="BO16" i="6" s="1"/>
  <c r="D16" i="6"/>
  <c r="E16" i="6"/>
  <c r="F16" i="6"/>
  <c r="H16" i="6" s="1"/>
  <c r="J16" i="6"/>
  <c r="K16" i="6"/>
  <c r="L16" i="6"/>
  <c r="M16" i="6"/>
  <c r="N16" i="6"/>
  <c r="O16" i="6"/>
  <c r="P16" i="6"/>
  <c r="Q16" i="6"/>
  <c r="R16" i="6"/>
  <c r="S16" i="6" s="1"/>
  <c r="T16" i="6"/>
  <c r="W16" i="6"/>
  <c r="U16" i="6" s="1"/>
  <c r="X16" i="6"/>
  <c r="Y16" i="6"/>
  <c r="Z16" i="6"/>
  <c r="AD16" i="6"/>
  <c r="AP16" i="6" s="1"/>
  <c r="AE16" i="6"/>
  <c r="AL16" i="6"/>
  <c r="AM16" i="6"/>
  <c r="AN16" i="6"/>
  <c r="AO16" i="6"/>
  <c r="AW16" i="6"/>
  <c r="BH16" i="6"/>
  <c r="BI16" i="6"/>
  <c r="BJ16" i="6"/>
  <c r="BK16" i="6"/>
  <c r="BL16" i="6"/>
  <c r="BM16" i="6"/>
  <c r="BN16" i="6"/>
  <c r="A17" i="6"/>
  <c r="B17" i="6"/>
  <c r="C17" i="6"/>
  <c r="BO17" i="6" s="1"/>
  <c r="D17" i="6"/>
  <c r="E17" i="6"/>
  <c r="F17" i="6"/>
  <c r="I17" i="6" s="1"/>
  <c r="H17" i="6"/>
  <c r="J17" i="6"/>
  <c r="K17" i="6"/>
  <c r="L17" i="6"/>
  <c r="M17" i="6"/>
  <c r="N17" i="6"/>
  <c r="O17" i="6"/>
  <c r="P17" i="6"/>
  <c r="Q17" i="6"/>
  <c r="R17" i="6"/>
  <c r="S17" i="6" s="1"/>
  <c r="T17" i="6"/>
  <c r="W17" i="6"/>
  <c r="U17" i="6" s="1"/>
  <c r="X17" i="6"/>
  <c r="Y17" i="6"/>
  <c r="Z17" i="6"/>
  <c r="AD17" i="6"/>
  <c r="AP17" i="6" s="1"/>
  <c r="AE17" i="6"/>
  <c r="AL17" i="6"/>
  <c r="AM17" i="6"/>
  <c r="AN17" i="6"/>
  <c r="AO17" i="6"/>
  <c r="AW17" i="6"/>
  <c r="BH17" i="6"/>
  <c r="BI17" i="6"/>
  <c r="BJ17" i="6"/>
  <c r="BK17" i="6"/>
  <c r="BL17" i="6"/>
  <c r="BM17" i="6"/>
  <c r="BN17" i="6"/>
  <c r="A18" i="6"/>
  <c r="B18" i="6"/>
  <c r="C18" i="6"/>
  <c r="BO18" i="6" s="1"/>
  <c r="D18" i="6"/>
  <c r="E18" i="6"/>
  <c r="F18" i="6"/>
  <c r="H18" i="6" s="1"/>
  <c r="J18" i="6"/>
  <c r="K18" i="6"/>
  <c r="L18" i="6"/>
  <c r="M18" i="6"/>
  <c r="N18" i="6"/>
  <c r="O18" i="6"/>
  <c r="P18" i="6"/>
  <c r="Q18" i="6"/>
  <c r="R18" i="6"/>
  <c r="S18" i="6" s="1"/>
  <c r="T18" i="6"/>
  <c r="W18" i="6"/>
  <c r="U18" i="6" s="1"/>
  <c r="X18" i="6"/>
  <c r="Y18" i="6"/>
  <c r="Z18" i="6"/>
  <c r="AD18" i="6"/>
  <c r="AP18" i="6" s="1"/>
  <c r="AE18" i="6"/>
  <c r="AL18" i="6"/>
  <c r="AM18" i="6"/>
  <c r="AN18" i="6"/>
  <c r="AO18" i="6"/>
  <c r="AW18" i="6"/>
  <c r="BH18" i="6"/>
  <c r="BI18" i="6"/>
  <c r="BJ18" i="6"/>
  <c r="BK18" i="6"/>
  <c r="BL18" i="6"/>
  <c r="BM18" i="6"/>
  <c r="BN18" i="6"/>
  <c r="A19" i="6"/>
  <c r="B19" i="6"/>
  <c r="C19" i="6"/>
  <c r="BO19" i="6" s="1"/>
  <c r="D19" i="6"/>
  <c r="E19" i="6"/>
  <c r="F19" i="6"/>
  <c r="I19" i="6" s="1"/>
  <c r="J19" i="6"/>
  <c r="K19" i="6"/>
  <c r="L19" i="6"/>
  <c r="M19" i="6"/>
  <c r="N19" i="6"/>
  <c r="O19" i="6"/>
  <c r="P19" i="6"/>
  <c r="Q19" i="6"/>
  <c r="R19" i="6"/>
  <c r="S19" i="6"/>
  <c r="T19" i="6"/>
  <c r="W19" i="6"/>
  <c r="U19" i="6" s="1"/>
  <c r="X19" i="6"/>
  <c r="Y19" i="6"/>
  <c r="Z19" i="6"/>
  <c r="AD19" i="6"/>
  <c r="AP19" i="6" s="1"/>
  <c r="AE19" i="6"/>
  <c r="AL19" i="6"/>
  <c r="AM19" i="6"/>
  <c r="AN19" i="6"/>
  <c r="AO19" i="6"/>
  <c r="AW19" i="6"/>
  <c r="BH19" i="6"/>
  <c r="BI19" i="6"/>
  <c r="BJ19" i="6"/>
  <c r="BK19" i="6"/>
  <c r="BL19" i="6"/>
  <c r="BM19" i="6"/>
  <c r="BN19" i="6"/>
  <c r="A20" i="6"/>
  <c r="B20" i="6"/>
  <c r="C20" i="6"/>
  <c r="BO20" i="6" s="1"/>
  <c r="D20" i="6"/>
  <c r="E20" i="6"/>
  <c r="F20" i="6"/>
  <c r="H20" i="6" s="1"/>
  <c r="J20" i="6"/>
  <c r="K20" i="6"/>
  <c r="L20" i="6"/>
  <c r="M20" i="6"/>
  <c r="N20" i="6"/>
  <c r="O20" i="6"/>
  <c r="P20" i="6"/>
  <c r="Q20" i="6"/>
  <c r="R20" i="6"/>
  <c r="S20" i="6" s="1"/>
  <c r="T20" i="6"/>
  <c r="W20" i="6"/>
  <c r="U20" i="6" s="1"/>
  <c r="X20" i="6"/>
  <c r="Y20" i="6"/>
  <c r="Z20" i="6"/>
  <c r="AD20" i="6"/>
  <c r="AP20" i="6" s="1"/>
  <c r="AE20" i="6"/>
  <c r="AL20" i="6"/>
  <c r="AM20" i="6"/>
  <c r="AN20" i="6"/>
  <c r="AO20" i="6"/>
  <c r="AW20" i="6"/>
  <c r="BH20" i="6"/>
  <c r="BI20" i="6"/>
  <c r="BJ20" i="6"/>
  <c r="BK20" i="6"/>
  <c r="BL20" i="6"/>
  <c r="BM20" i="6"/>
  <c r="BN20" i="6"/>
  <c r="A21" i="6"/>
  <c r="B21" i="6"/>
  <c r="C21" i="6"/>
  <c r="BO21" i="6" s="1"/>
  <c r="D21" i="6"/>
  <c r="E21" i="6"/>
  <c r="F21" i="6"/>
  <c r="J21" i="6"/>
  <c r="K21" i="6"/>
  <c r="L21" i="6"/>
  <c r="M21" i="6"/>
  <c r="N21" i="6"/>
  <c r="O21" i="6"/>
  <c r="P21" i="6"/>
  <c r="Q21" i="6"/>
  <c r="R21" i="6"/>
  <c r="S21" i="6" s="1"/>
  <c r="T21" i="6"/>
  <c r="W21" i="6"/>
  <c r="X21" i="6"/>
  <c r="Y21" i="6"/>
  <c r="Z21" i="6"/>
  <c r="AD21" i="6"/>
  <c r="AP21" i="6" s="1"/>
  <c r="AE21" i="6"/>
  <c r="AL21" i="6"/>
  <c r="AM21" i="6"/>
  <c r="AN21" i="6"/>
  <c r="AO21" i="6"/>
  <c r="AW21" i="6"/>
  <c r="BH21" i="6"/>
  <c r="BI21" i="6"/>
  <c r="BJ21" i="6"/>
  <c r="BK21" i="6"/>
  <c r="BL21" i="6"/>
  <c r="BM21" i="6"/>
  <c r="BN21" i="6"/>
  <c r="A22" i="6"/>
  <c r="B22" i="6"/>
  <c r="C22" i="6"/>
  <c r="BO22" i="6" s="1"/>
  <c r="D22" i="6"/>
  <c r="E22" i="6"/>
  <c r="F22" i="6"/>
  <c r="H22" i="6" s="1"/>
  <c r="J22" i="6"/>
  <c r="K22" i="6"/>
  <c r="L22" i="6"/>
  <c r="M22" i="6"/>
  <c r="N22" i="6"/>
  <c r="O22" i="6"/>
  <c r="P22" i="6"/>
  <c r="Q22" i="6"/>
  <c r="R22" i="6"/>
  <c r="S22" i="6" s="1"/>
  <c r="T22" i="6"/>
  <c r="W22" i="6"/>
  <c r="U22" i="6" s="1"/>
  <c r="X22" i="6"/>
  <c r="Y22" i="6"/>
  <c r="Z22" i="6"/>
  <c r="AD22" i="6"/>
  <c r="AP22" i="6" s="1"/>
  <c r="AE22" i="6"/>
  <c r="AL22" i="6"/>
  <c r="AM22" i="6"/>
  <c r="AN22" i="6"/>
  <c r="AO22" i="6"/>
  <c r="AW22" i="6"/>
  <c r="BH22" i="6"/>
  <c r="BI22" i="6"/>
  <c r="BJ22" i="6"/>
  <c r="BK22" i="6"/>
  <c r="BL22" i="6"/>
  <c r="BM22" i="6"/>
  <c r="BN22" i="6"/>
  <c r="A23" i="6"/>
  <c r="B23" i="6"/>
  <c r="C23" i="6"/>
  <c r="BO23" i="6" s="1"/>
  <c r="D23" i="6"/>
  <c r="E23" i="6"/>
  <c r="F23" i="6"/>
  <c r="I23" i="6" s="1"/>
  <c r="J23" i="6"/>
  <c r="K23" i="6"/>
  <c r="L23" i="6"/>
  <c r="M23" i="6"/>
  <c r="N23" i="6"/>
  <c r="O23" i="6"/>
  <c r="P23" i="6"/>
  <c r="Q23" i="6"/>
  <c r="R23" i="6"/>
  <c r="S23" i="6" s="1"/>
  <c r="T23" i="6"/>
  <c r="W23" i="6"/>
  <c r="V23" i="6" s="1"/>
  <c r="X23" i="6"/>
  <c r="Y23" i="6"/>
  <c r="Z23" i="6"/>
  <c r="AD23" i="6"/>
  <c r="AP23" i="6" s="1"/>
  <c r="AE23" i="6"/>
  <c r="AL23" i="6"/>
  <c r="AM23" i="6"/>
  <c r="AN23" i="6"/>
  <c r="AO23" i="6"/>
  <c r="AW23" i="6"/>
  <c r="BH23" i="6"/>
  <c r="BI23" i="6"/>
  <c r="BJ23" i="6"/>
  <c r="BK23" i="6"/>
  <c r="BL23" i="6"/>
  <c r="BM23" i="6"/>
  <c r="BN23" i="6"/>
  <c r="A24" i="6"/>
  <c r="B24" i="6"/>
  <c r="C24" i="6"/>
  <c r="BO24" i="6" s="1"/>
  <c r="D24" i="6"/>
  <c r="E24" i="6"/>
  <c r="F24" i="6"/>
  <c r="G24" i="6" s="1"/>
  <c r="J24" i="6"/>
  <c r="K24" i="6"/>
  <c r="L24" i="6"/>
  <c r="M24" i="6"/>
  <c r="N24" i="6"/>
  <c r="O24" i="6"/>
  <c r="P24" i="6"/>
  <c r="Q24" i="6"/>
  <c r="R24" i="6"/>
  <c r="S24" i="6" s="1"/>
  <c r="T24" i="6"/>
  <c r="W24" i="6"/>
  <c r="U24" i="6" s="1"/>
  <c r="X24" i="6"/>
  <c r="Y24" i="6"/>
  <c r="Z24" i="6"/>
  <c r="AD24" i="6"/>
  <c r="AP24" i="6" s="1"/>
  <c r="AE24" i="6"/>
  <c r="AL24" i="6"/>
  <c r="AM24" i="6"/>
  <c r="AN24" i="6"/>
  <c r="AO24" i="6"/>
  <c r="AW24" i="6"/>
  <c r="BH24" i="6"/>
  <c r="BI24" i="6"/>
  <c r="BJ24" i="6"/>
  <c r="BK24" i="6"/>
  <c r="BL24" i="6"/>
  <c r="BM24" i="6"/>
  <c r="BN24" i="6"/>
  <c r="A25" i="6"/>
  <c r="B25" i="6"/>
  <c r="C25" i="6"/>
  <c r="BO25" i="6" s="1"/>
  <c r="D25" i="6"/>
  <c r="E25" i="6"/>
  <c r="F25" i="6"/>
  <c r="J25" i="6"/>
  <c r="K25" i="6"/>
  <c r="L25" i="6"/>
  <c r="M25" i="6"/>
  <c r="N25" i="6"/>
  <c r="O25" i="6"/>
  <c r="P25" i="6"/>
  <c r="Q25" i="6"/>
  <c r="R25" i="6"/>
  <c r="S25" i="6" s="1"/>
  <c r="T25" i="6"/>
  <c r="W25" i="6"/>
  <c r="X25" i="6"/>
  <c r="Y25" i="6"/>
  <c r="Z25" i="6"/>
  <c r="AD25" i="6"/>
  <c r="AP25" i="6" s="1"/>
  <c r="AE25" i="6"/>
  <c r="AL25" i="6"/>
  <c r="AM25" i="6"/>
  <c r="AN25" i="6"/>
  <c r="AO25" i="6"/>
  <c r="AW25" i="6"/>
  <c r="BH25" i="6"/>
  <c r="BI25" i="6"/>
  <c r="BJ25" i="6"/>
  <c r="BK25" i="6"/>
  <c r="BL25" i="6"/>
  <c r="BM25" i="6"/>
  <c r="BN25" i="6"/>
  <c r="A26" i="6"/>
  <c r="B26" i="6"/>
  <c r="C26" i="6"/>
  <c r="BO26" i="6" s="1"/>
  <c r="D26" i="6"/>
  <c r="E26" i="6"/>
  <c r="F26" i="6"/>
  <c r="G26" i="6" s="1"/>
  <c r="J26" i="6"/>
  <c r="K26" i="6"/>
  <c r="L26" i="6"/>
  <c r="M26" i="6"/>
  <c r="N26" i="6"/>
  <c r="O26" i="6"/>
  <c r="P26" i="6"/>
  <c r="Q26" i="6"/>
  <c r="R26" i="6"/>
  <c r="S26" i="6" s="1"/>
  <c r="T26" i="6"/>
  <c r="W26" i="6"/>
  <c r="U26" i="6" s="1"/>
  <c r="X26" i="6"/>
  <c r="Y26" i="6"/>
  <c r="Z26" i="6"/>
  <c r="AD26" i="6"/>
  <c r="AP26" i="6" s="1"/>
  <c r="AE26" i="6"/>
  <c r="AL26" i="6"/>
  <c r="AM26" i="6"/>
  <c r="AN26" i="6"/>
  <c r="AO26" i="6"/>
  <c r="AR26" i="6"/>
  <c r="AW26" i="6"/>
  <c r="BH26" i="6"/>
  <c r="BI26" i="6"/>
  <c r="BJ26" i="6"/>
  <c r="BK26" i="6"/>
  <c r="BL26" i="6"/>
  <c r="BM26" i="6"/>
  <c r="BN26" i="6"/>
  <c r="A27" i="6"/>
  <c r="B27" i="6"/>
  <c r="C27" i="6"/>
  <c r="BO27" i="6" s="1"/>
  <c r="D27" i="6"/>
  <c r="E27" i="6"/>
  <c r="F27" i="6"/>
  <c r="H27" i="6" s="1"/>
  <c r="J27" i="6"/>
  <c r="K27" i="6"/>
  <c r="L27" i="6"/>
  <c r="M27" i="6"/>
  <c r="N27" i="6"/>
  <c r="O27" i="6"/>
  <c r="P27" i="6"/>
  <c r="Q27" i="6"/>
  <c r="R27" i="6"/>
  <c r="S27" i="6" s="1"/>
  <c r="T27" i="6"/>
  <c r="W27" i="6"/>
  <c r="U27" i="6" s="1"/>
  <c r="X27" i="6"/>
  <c r="Y27" i="6"/>
  <c r="Z27" i="6"/>
  <c r="AD27" i="6"/>
  <c r="AP27" i="6" s="1"/>
  <c r="AE27" i="6"/>
  <c r="AL27" i="6"/>
  <c r="AM27" i="6"/>
  <c r="AN27" i="6"/>
  <c r="AO27" i="6"/>
  <c r="AW27" i="6"/>
  <c r="BH27" i="6"/>
  <c r="BI27" i="6"/>
  <c r="BJ27" i="6"/>
  <c r="BK27" i="6"/>
  <c r="BL27" i="6"/>
  <c r="BM27" i="6"/>
  <c r="BN27" i="6"/>
  <c r="A28" i="6"/>
  <c r="B28" i="6"/>
  <c r="C28" i="6"/>
  <c r="BO28" i="6" s="1"/>
  <c r="D28" i="6"/>
  <c r="E28" i="6"/>
  <c r="F28" i="6"/>
  <c r="G28" i="6" s="1"/>
  <c r="I28" i="6"/>
  <c r="J28" i="6"/>
  <c r="K28" i="6"/>
  <c r="L28" i="6"/>
  <c r="M28" i="6"/>
  <c r="N28" i="6"/>
  <c r="O28" i="6"/>
  <c r="P28" i="6"/>
  <c r="Q28" i="6"/>
  <c r="R28" i="6"/>
  <c r="S28" i="6" s="1"/>
  <c r="T28" i="6"/>
  <c r="W28" i="6"/>
  <c r="U28" i="6" s="1"/>
  <c r="X28" i="6"/>
  <c r="Y28" i="6"/>
  <c r="Z28" i="6"/>
  <c r="AD28" i="6"/>
  <c r="AP28" i="6" s="1"/>
  <c r="AE28" i="6"/>
  <c r="AL28" i="6"/>
  <c r="AM28" i="6"/>
  <c r="AN28" i="6"/>
  <c r="AO28" i="6"/>
  <c r="AW28" i="6"/>
  <c r="BH28" i="6"/>
  <c r="BI28" i="6"/>
  <c r="BJ28" i="6"/>
  <c r="BK28" i="6"/>
  <c r="BL28" i="6"/>
  <c r="BM28" i="6"/>
  <c r="BN28" i="6"/>
  <c r="A29" i="6"/>
  <c r="B29" i="6"/>
  <c r="C29" i="6"/>
  <c r="BO29" i="6" s="1"/>
  <c r="D29" i="6"/>
  <c r="E29" i="6"/>
  <c r="F29" i="6"/>
  <c r="H29" i="6" s="1"/>
  <c r="J29" i="6"/>
  <c r="K29" i="6"/>
  <c r="L29" i="6"/>
  <c r="M29" i="6"/>
  <c r="N29" i="6"/>
  <c r="O29" i="6"/>
  <c r="P29" i="6"/>
  <c r="Q29" i="6"/>
  <c r="R29" i="6"/>
  <c r="S29" i="6" s="1"/>
  <c r="T29" i="6"/>
  <c r="W29" i="6"/>
  <c r="X29" i="6"/>
  <c r="Y29" i="6"/>
  <c r="Z29" i="6"/>
  <c r="AD29" i="6"/>
  <c r="AP29" i="6" s="1"/>
  <c r="AE29" i="6"/>
  <c r="AL29" i="6"/>
  <c r="AM29" i="6"/>
  <c r="AN29" i="6"/>
  <c r="AO29" i="6"/>
  <c r="AW29" i="6"/>
  <c r="BH29" i="6"/>
  <c r="BI29" i="6"/>
  <c r="BJ29" i="6"/>
  <c r="BK29" i="6"/>
  <c r="BL29" i="6"/>
  <c r="BM29" i="6"/>
  <c r="BN29" i="6"/>
  <c r="A30" i="6"/>
  <c r="B30" i="6"/>
  <c r="C30" i="6"/>
  <c r="BO30" i="6" s="1"/>
  <c r="D30" i="6"/>
  <c r="E30" i="6"/>
  <c r="F30" i="6"/>
  <c r="I30" i="6" s="1"/>
  <c r="G30" i="6"/>
  <c r="J30" i="6"/>
  <c r="K30" i="6"/>
  <c r="L30" i="6"/>
  <c r="M30" i="6"/>
  <c r="N30" i="6"/>
  <c r="O30" i="6"/>
  <c r="P30" i="6"/>
  <c r="Q30" i="6"/>
  <c r="R30" i="6"/>
  <c r="S30" i="6" s="1"/>
  <c r="T30" i="6"/>
  <c r="W30" i="6"/>
  <c r="U30" i="6" s="1"/>
  <c r="X30" i="6"/>
  <c r="Y30" i="6"/>
  <c r="Z30" i="6"/>
  <c r="AD30" i="6"/>
  <c r="AP30" i="6" s="1"/>
  <c r="AE30" i="6"/>
  <c r="AL30" i="6"/>
  <c r="AM30" i="6"/>
  <c r="AN30" i="6"/>
  <c r="AO30" i="6"/>
  <c r="AR30" i="6"/>
  <c r="AW30" i="6"/>
  <c r="BH30" i="6"/>
  <c r="BI30" i="6"/>
  <c r="BJ30" i="6"/>
  <c r="BK30" i="6"/>
  <c r="BL30" i="6"/>
  <c r="BM30" i="6"/>
  <c r="BN30" i="6"/>
  <c r="T15" i="3"/>
  <c r="W15" i="3"/>
  <c r="V15" i="3" s="1"/>
  <c r="W16" i="3"/>
  <c r="U16" i="3" s="1"/>
  <c r="W17" i="3"/>
  <c r="V17" i="3" s="1"/>
  <c r="W18" i="3"/>
  <c r="V18" i="3" s="1"/>
  <c r="W19" i="3"/>
  <c r="W20" i="3"/>
  <c r="V20" i="3" s="1"/>
  <c r="W21" i="3"/>
  <c r="A27" i="5"/>
  <c r="B27" i="5"/>
  <c r="C27" i="5"/>
  <c r="D27" i="5"/>
  <c r="BN27" i="5" s="1"/>
  <c r="E27" i="5"/>
  <c r="F27" i="5"/>
  <c r="I27" i="5" s="1"/>
  <c r="J27" i="5"/>
  <c r="K27" i="5"/>
  <c r="L27" i="5"/>
  <c r="M27" i="5"/>
  <c r="N27" i="5"/>
  <c r="O27" i="5"/>
  <c r="P27" i="5"/>
  <c r="Q27" i="5"/>
  <c r="R27" i="5"/>
  <c r="S27" i="5" s="1"/>
  <c r="T27" i="5"/>
  <c r="W27" i="5"/>
  <c r="U27" i="5" s="1"/>
  <c r="X27" i="5"/>
  <c r="Y27" i="5"/>
  <c r="Z27" i="5"/>
  <c r="AD27" i="5"/>
  <c r="AP27" i="5" s="1"/>
  <c r="AE27" i="5"/>
  <c r="AL27" i="5"/>
  <c r="AM27" i="5"/>
  <c r="AN27" i="5"/>
  <c r="AO27" i="5"/>
  <c r="AW27" i="5"/>
  <c r="BH27" i="5"/>
  <c r="BI27" i="5"/>
  <c r="BJ27" i="5"/>
  <c r="BK27" i="5"/>
  <c r="BL27" i="5"/>
  <c r="BM27" i="5"/>
  <c r="A28" i="5"/>
  <c r="B28" i="5"/>
  <c r="C28" i="5"/>
  <c r="D28" i="5"/>
  <c r="BN28" i="5" s="1"/>
  <c r="E28" i="5"/>
  <c r="F28" i="5"/>
  <c r="J28" i="5"/>
  <c r="K28" i="5"/>
  <c r="L28" i="5"/>
  <c r="M28" i="5"/>
  <c r="N28" i="5"/>
  <c r="O28" i="5"/>
  <c r="P28" i="5"/>
  <c r="Q28" i="5"/>
  <c r="R28" i="5"/>
  <c r="S28" i="5" s="1"/>
  <c r="T28" i="5"/>
  <c r="W28" i="5"/>
  <c r="U28" i="5" s="1"/>
  <c r="X28" i="5"/>
  <c r="Y28" i="5"/>
  <c r="Z28" i="5"/>
  <c r="AD28" i="5"/>
  <c r="AP28" i="5" s="1"/>
  <c r="AE28" i="5"/>
  <c r="AL28" i="5"/>
  <c r="AM28" i="5"/>
  <c r="AN28" i="5"/>
  <c r="AO28" i="5"/>
  <c r="AW28" i="5"/>
  <c r="BH28" i="5"/>
  <c r="BI28" i="5"/>
  <c r="BJ28" i="5"/>
  <c r="BK28" i="5"/>
  <c r="BL28" i="5"/>
  <c r="BM28" i="5"/>
  <c r="A29" i="5"/>
  <c r="B29" i="5"/>
  <c r="C29" i="5"/>
  <c r="D29" i="5"/>
  <c r="BN29" i="5" s="1"/>
  <c r="E29" i="5"/>
  <c r="F29" i="5"/>
  <c r="G29" i="5" s="1"/>
  <c r="J29" i="5"/>
  <c r="K29" i="5"/>
  <c r="L29" i="5"/>
  <c r="M29" i="5"/>
  <c r="N29" i="5"/>
  <c r="O29" i="5"/>
  <c r="P29" i="5"/>
  <c r="Q29" i="5"/>
  <c r="R29" i="5"/>
  <c r="S29" i="5" s="1"/>
  <c r="T29" i="5"/>
  <c r="W29" i="5"/>
  <c r="U29" i="5" s="1"/>
  <c r="X29" i="5"/>
  <c r="Y29" i="5"/>
  <c r="AC29" i="5" s="1"/>
  <c r="Z29" i="5"/>
  <c r="AD29" i="5"/>
  <c r="AP29" i="5" s="1"/>
  <c r="AE29" i="5"/>
  <c r="AL29" i="5"/>
  <c r="AM29" i="5"/>
  <c r="AN29" i="5"/>
  <c r="AO29" i="5"/>
  <c r="AW29" i="5"/>
  <c r="BH29" i="5"/>
  <c r="BI29" i="5"/>
  <c r="BJ29" i="5"/>
  <c r="BK29" i="5"/>
  <c r="BL29" i="5"/>
  <c r="BM29" i="5"/>
  <c r="A30" i="5"/>
  <c r="B30" i="5"/>
  <c r="C30" i="5"/>
  <c r="D30" i="5"/>
  <c r="BN30" i="5" s="1"/>
  <c r="E30" i="5"/>
  <c r="F30" i="5"/>
  <c r="G30" i="5" s="1"/>
  <c r="J30" i="5"/>
  <c r="K30" i="5"/>
  <c r="L30" i="5"/>
  <c r="M30" i="5"/>
  <c r="N30" i="5"/>
  <c r="O30" i="5"/>
  <c r="P30" i="5"/>
  <c r="Q30" i="5"/>
  <c r="R30" i="5"/>
  <c r="S30" i="5" s="1"/>
  <c r="T30" i="5"/>
  <c r="W30" i="5"/>
  <c r="V30" i="5" s="1"/>
  <c r="X30" i="5"/>
  <c r="Y30" i="5"/>
  <c r="Z30" i="5"/>
  <c r="AD30" i="5"/>
  <c r="AP30" i="5" s="1"/>
  <c r="AE30" i="5"/>
  <c r="AL30" i="5"/>
  <c r="AM30" i="5"/>
  <c r="AN30" i="5"/>
  <c r="AO30" i="5"/>
  <c r="AW30" i="5"/>
  <c r="BH30" i="5"/>
  <c r="BI30" i="5"/>
  <c r="BJ30" i="5"/>
  <c r="BK30" i="5"/>
  <c r="BL30" i="5"/>
  <c r="BM30" i="5"/>
  <c r="A31" i="5"/>
  <c r="B31" i="5"/>
  <c r="C31" i="5"/>
  <c r="D31" i="5"/>
  <c r="BN31" i="5" s="1"/>
  <c r="E31" i="5"/>
  <c r="F31" i="5"/>
  <c r="G31" i="5" s="1"/>
  <c r="J31" i="5"/>
  <c r="K31" i="5"/>
  <c r="L31" i="5"/>
  <c r="M31" i="5"/>
  <c r="N31" i="5"/>
  <c r="O31" i="5"/>
  <c r="P31" i="5"/>
  <c r="Q31" i="5"/>
  <c r="R31" i="5"/>
  <c r="S31" i="5" s="1"/>
  <c r="T31" i="5"/>
  <c r="W31" i="5"/>
  <c r="V31" i="5" s="1"/>
  <c r="X31" i="5"/>
  <c r="Y31" i="5"/>
  <c r="Z31" i="5"/>
  <c r="AD31" i="5"/>
  <c r="AP31" i="5" s="1"/>
  <c r="AE31" i="5"/>
  <c r="AL31" i="5"/>
  <c r="AM31" i="5"/>
  <c r="AN31" i="5"/>
  <c r="AO31" i="5"/>
  <c r="AW31" i="5"/>
  <c r="BH31" i="5"/>
  <c r="BI31" i="5"/>
  <c r="BJ31" i="5"/>
  <c r="BK31" i="5"/>
  <c r="BL31" i="5"/>
  <c r="BM31" i="5"/>
  <c r="A32" i="5"/>
  <c r="B32" i="5"/>
  <c r="C32" i="5"/>
  <c r="D32" i="5"/>
  <c r="BN32" i="5" s="1"/>
  <c r="E32" i="5"/>
  <c r="F32" i="5"/>
  <c r="I32" i="5" s="1"/>
  <c r="J32" i="5"/>
  <c r="K32" i="5"/>
  <c r="L32" i="5"/>
  <c r="M32" i="5"/>
  <c r="N32" i="5"/>
  <c r="O32" i="5"/>
  <c r="P32" i="5"/>
  <c r="Q32" i="5"/>
  <c r="R32" i="5"/>
  <c r="S32" i="5" s="1"/>
  <c r="T32" i="5"/>
  <c r="W32" i="5"/>
  <c r="X32" i="5"/>
  <c r="Y32" i="5"/>
  <c r="Z32" i="5"/>
  <c r="AD32" i="5"/>
  <c r="AP32" i="5" s="1"/>
  <c r="AE32" i="5"/>
  <c r="AL32" i="5"/>
  <c r="AM32" i="5"/>
  <c r="AN32" i="5"/>
  <c r="AO32" i="5"/>
  <c r="AW32" i="5"/>
  <c r="BH32" i="5"/>
  <c r="BI32" i="5"/>
  <c r="BJ32" i="5"/>
  <c r="BK32" i="5"/>
  <c r="BL32" i="5"/>
  <c r="BM32" i="5"/>
  <c r="A33" i="5"/>
  <c r="B33" i="5"/>
  <c r="C33" i="5"/>
  <c r="D33" i="5"/>
  <c r="BN33" i="5" s="1"/>
  <c r="E33" i="5"/>
  <c r="F33" i="5"/>
  <c r="H33" i="5" s="1"/>
  <c r="J33" i="5"/>
  <c r="K33" i="5"/>
  <c r="L33" i="5"/>
  <c r="M33" i="5"/>
  <c r="N33" i="5"/>
  <c r="O33" i="5"/>
  <c r="P33" i="5"/>
  <c r="Q33" i="5"/>
  <c r="R33" i="5"/>
  <c r="S33" i="5" s="1"/>
  <c r="T33" i="5"/>
  <c r="W33" i="5"/>
  <c r="V33" i="5" s="1"/>
  <c r="X33" i="5"/>
  <c r="Y33" i="5"/>
  <c r="Z33" i="5"/>
  <c r="AD33" i="5"/>
  <c r="AP33" i="5" s="1"/>
  <c r="AE33" i="5"/>
  <c r="AL33" i="5"/>
  <c r="AM33" i="5"/>
  <c r="AN33" i="5"/>
  <c r="AO33" i="5"/>
  <c r="AW33" i="5"/>
  <c r="BH33" i="5"/>
  <c r="BI33" i="5"/>
  <c r="BJ33" i="5"/>
  <c r="BK33" i="5"/>
  <c r="BL33" i="5"/>
  <c r="BM33" i="5"/>
  <c r="A34" i="5"/>
  <c r="B34" i="5"/>
  <c r="C34" i="5"/>
  <c r="D34" i="5"/>
  <c r="BN34" i="5" s="1"/>
  <c r="E34" i="5"/>
  <c r="F34" i="5"/>
  <c r="G34" i="5" s="1"/>
  <c r="J34" i="5"/>
  <c r="K34" i="5"/>
  <c r="L34" i="5"/>
  <c r="M34" i="5"/>
  <c r="N34" i="5"/>
  <c r="O34" i="5"/>
  <c r="P34" i="5"/>
  <c r="Q34" i="5"/>
  <c r="R34" i="5"/>
  <c r="S34" i="5" s="1"/>
  <c r="T34" i="5"/>
  <c r="W34" i="5"/>
  <c r="X34" i="5"/>
  <c r="Y34" i="5"/>
  <c r="Z34" i="5"/>
  <c r="AD34" i="5"/>
  <c r="AP34" i="5" s="1"/>
  <c r="AE34" i="5"/>
  <c r="AL34" i="5"/>
  <c r="AM34" i="5"/>
  <c r="AN34" i="5"/>
  <c r="AO34" i="5"/>
  <c r="AW34" i="5"/>
  <c r="BH34" i="5"/>
  <c r="BI34" i="5"/>
  <c r="BJ34" i="5"/>
  <c r="BK34" i="5"/>
  <c r="BL34" i="5"/>
  <c r="BM34" i="5"/>
  <c r="A35" i="5"/>
  <c r="B35" i="5"/>
  <c r="C35" i="5"/>
  <c r="D35" i="5"/>
  <c r="BN35" i="5" s="1"/>
  <c r="E35" i="5"/>
  <c r="F35" i="5"/>
  <c r="I35" i="5" s="1"/>
  <c r="J35" i="5"/>
  <c r="K35" i="5"/>
  <c r="L35" i="5"/>
  <c r="M35" i="5"/>
  <c r="N35" i="5"/>
  <c r="O35" i="5"/>
  <c r="P35" i="5"/>
  <c r="Q35" i="5"/>
  <c r="R35" i="5"/>
  <c r="S35" i="5" s="1"/>
  <c r="T35" i="5"/>
  <c r="W35" i="5"/>
  <c r="U35" i="5" s="1"/>
  <c r="X35" i="5"/>
  <c r="Y35" i="5"/>
  <c r="Z35" i="5"/>
  <c r="AD35" i="5"/>
  <c r="AP35" i="5" s="1"/>
  <c r="AE35" i="5"/>
  <c r="AL35" i="5"/>
  <c r="AM35" i="5"/>
  <c r="AN35" i="5"/>
  <c r="AO35" i="5"/>
  <c r="AW35" i="5"/>
  <c r="BH35" i="5"/>
  <c r="BI35" i="5"/>
  <c r="BJ35" i="5"/>
  <c r="BK35" i="5"/>
  <c r="BL35" i="5"/>
  <c r="BM35" i="5"/>
  <c r="A15" i="5"/>
  <c r="B15" i="5"/>
  <c r="C15" i="5"/>
  <c r="D15" i="5"/>
  <c r="BN15" i="5" s="1"/>
  <c r="E15" i="5"/>
  <c r="F15" i="5"/>
  <c r="G15" i="5" s="1"/>
  <c r="J15" i="5"/>
  <c r="K15" i="5"/>
  <c r="L15" i="5"/>
  <c r="M15" i="5"/>
  <c r="N15" i="5"/>
  <c r="O15" i="5"/>
  <c r="P15" i="5"/>
  <c r="Q15" i="5"/>
  <c r="R15" i="5"/>
  <c r="S15" i="5" s="1"/>
  <c r="T15" i="5"/>
  <c r="W15" i="5"/>
  <c r="V15" i="5" s="1"/>
  <c r="X15" i="5"/>
  <c r="Y15" i="5"/>
  <c r="Z15" i="5"/>
  <c r="AD15" i="5"/>
  <c r="AP15" i="5" s="1"/>
  <c r="AE15" i="5"/>
  <c r="AL15" i="5"/>
  <c r="AM15" i="5"/>
  <c r="AN15" i="5"/>
  <c r="AO15" i="5"/>
  <c r="AR15" i="5"/>
  <c r="AW15" i="5"/>
  <c r="BH15" i="5"/>
  <c r="BI15" i="5"/>
  <c r="BJ15" i="5"/>
  <c r="BK15" i="5"/>
  <c r="BL15" i="5"/>
  <c r="BM15" i="5"/>
  <c r="A16" i="5"/>
  <c r="B16" i="5"/>
  <c r="C16" i="5"/>
  <c r="D16" i="5"/>
  <c r="BN16" i="5" s="1"/>
  <c r="E16" i="5"/>
  <c r="F16" i="5"/>
  <c r="J16" i="5"/>
  <c r="K16" i="5"/>
  <c r="L16" i="5"/>
  <c r="M16" i="5"/>
  <c r="N16" i="5"/>
  <c r="O16" i="5"/>
  <c r="P16" i="5"/>
  <c r="Q16" i="5"/>
  <c r="R16" i="5"/>
  <c r="S16" i="5" s="1"/>
  <c r="T16" i="5"/>
  <c r="W16" i="5"/>
  <c r="U16" i="5" s="1"/>
  <c r="X16" i="5"/>
  <c r="Y16" i="5"/>
  <c r="Z16" i="5"/>
  <c r="AD16" i="5"/>
  <c r="AP16" i="5" s="1"/>
  <c r="AE16" i="5"/>
  <c r="AL16" i="5"/>
  <c r="AM16" i="5"/>
  <c r="AN16" i="5"/>
  <c r="AO16" i="5"/>
  <c r="AW16" i="5"/>
  <c r="BH16" i="5"/>
  <c r="BI16" i="5"/>
  <c r="BJ16" i="5"/>
  <c r="BK16" i="5"/>
  <c r="BL16" i="5"/>
  <c r="BM16" i="5"/>
  <c r="A17" i="5"/>
  <c r="B17" i="5"/>
  <c r="C17" i="5"/>
  <c r="D17" i="5"/>
  <c r="BN17" i="5" s="1"/>
  <c r="E17" i="5"/>
  <c r="F17" i="5"/>
  <c r="G17" i="5" s="1"/>
  <c r="J17" i="5"/>
  <c r="K17" i="5"/>
  <c r="L17" i="5"/>
  <c r="M17" i="5"/>
  <c r="N17" i="5"/>
  <c r="O17" i="5"/>
  <c r="P17" i="5"/>
  <c r="Q17" i="5"/>
  <c r="R17" i="5"/>
  <c r="S17" i="5" s="1"/>
  <c r="T17" i="5"/>
  <c r="W17" i="5"/>
  <c r="V17" i="5" s="1"/>
  <c r="X17" i="5"/>
  <c r="Y17" i="5"/>
  <c r="Z17" i="5"/>
  <c r="AD17" i="5"/>
  <c r="AP17" i="5" s="1"/>
  <c r="AE17" i="5"/>
  <c r="AL17" i="5"/>
  <c r="AM17" i="5"/>
  <c r="AN17" i="5"/>
  <c r="AO17" i="5"/>
  <c r="AW17" i="5"/>
  <c r="BH17" i="5"/>
  <c r="BI17" i="5"/>
  <c r="BJ17" i="5"/>
  <c r="BK17" i="5"/>
  <c r="BL17" i="5"/>
  <c r="BM17" i="5"/>
  <c r="A18" i="5"/>
  <c r="B18" i="5"/>
  <c r="C18" i="5"/>
  <c r="D18" i="5"/>
  <c r="BN18" i="5" s="1"/>
  <c r="E18" i="5"/>
  <c r="F18" i="5"/>
  <c r="J18" i="5"/>
  <c r="K18" i="5"/>
  <c r="L18" i="5"/>
  <c r="M18" i="5"/>
  <c r="N18" i="5"/>
  <c r="O18" i="5"/>
  <c r="P18" i="5"/>
  <c r="Q18" i="5"/>
  <c r="R18" i="5"/>
  <c r="S18" i="5" s="1"/>
  <c r="T18" i="5"/>
  <c r="W18" i="5"/>
  <c r="X18" i="5"/>
  <c r="Y18" i="5"/>
  <c r="Z18" i="5"/>
  <c r="AD18" i="5"/>
  <c r="AP18" i="5" s="1"/>
  <c r="AE18" i="5"/>
  <c r="AL18" i="5"/>
  <c r="AM18" i="5"/>
  <c r="AN18" i="5"/>
  <c r="AO18" i="5"/>
  <c r="AR18" i="5"/>
  <c r="AW18" i="5"/>
  <c r="BH18" i="5"/>
  <c r="BI18" i="5"/>
  <c r="BJ18" i="5"/>
  <c r="BK18" i="5"/>
  <c r="BL18" i="5"/>
  <c r="BM18" i="5"/>
  <c r="A19" i="5"/>
  <c r="B19" i="5"/>
  <c r="C19" i="5"/>
  <c r="D19" i="5"/>
  <c r="BN19" i="5" s="1"/>
  <c r="E19" i="5"/>
  <c r="F19" i="5"/>
  <c r="G19" i="5" s="1"/>
  <c r="J19" i="5"/>
  <c r="K19" i="5"/>
  <c r="L19" i="5"/>
  <c r="M19" i="5"/>
  <c r="N19" i="5"/>
  <c r="O19" i="5"/>
  <c r="P19" i="5"/>
  <c r="Q19" i="5"/>
  <c r="R19" i="5"/>
  <c r="S19" i="5" s="1"/>
  <c r="T19" i="5"/>
  <c r="W19" i="5"/>
  <c r="U19" i="5" s="1"/>
  <c r="X19" i="5"/>
  <c r="Y19" i="5"/>
  <c r="Z19" i="5"/>
  <c r="AD19" i="5"/>
  <c r="AP19" i="5" s="1"/>
  <c r="AE19" i="5"/>
  <c r="AL19" i="5"/>
  <c r="AM19" i="5"/>
  <c r="AN19" i="5"/>
  <c r="AO19" i="5"/>
  <c r="AW19" i="5"/>
  <c r="BH19" i="5"/>
  <c r="BI19" i="5"/>
  <c r="BJ19" i="5"/>
  <c r="BK19" i="5"/>
  <c r="BL19" i="5"/>
  <c r="BM19" i="5"/>
  <c r="A20" i="5"/>
  <c r="B20" i="5"/>
  <c r="C20" i="5"/>
  <c r="D20" i="5"/>
  <c r="BN20" i="5" s="1"/>
  <c r="E20" i="5"/>
  <c r="F20" i="5"/>
  <c r="H20" i="5" s="1"/>
  <c r="J20" i="5"/>
  <c r="K20" i="5"/>
  <c r="L20" i="5"/>
  <c r="M20" i="5"/>
  <c r="N20" i="5"/>
  <c r="O20" i="5"/>
  <c r="P20" i="5"/>
  <c r="Q20" i="5"/>
  <c r="R20" i="5"/>
  <c r="S20" i="5" s="1"/>
  <c r="T20" i="5"/>
  <c r="W20" i="5"/>
  <c r="U20" i="5" s="1"/>
  <c r="X20" i="5"/>
  <c r="Y20" i="5"/>
  <c r="Z20" i="5"/>
  <c r="AD20" i="5"/>
  <c r="AP20" i="5" s="1"/>
  <c r="AE20" i="5"/>
  <c r="AL20" i="5"/>
  <c r="AM20" i="5"/>
  <c r="AN20" i="5"/>
  <c r="AO20" i="5"/>
  <c r="AW20" i="5"/>
  <c r="BH20" i="5"/>
  <c r="BI20" i="5"/>
  <c r="BJ20" i="5"/>
  <c r="BK20" i="5"/>
  <c r="BL20" i="5"/>
  <c r="BM20" i="5"/>
  <c r="A21" i="5"/>
  <c r="B21" i="5"/>
  <c r="C21" i="5"/>
  <c r="D21" i="5"/>
  <c r="BN21" i="5" s="1"/>
  <c r="E21" i="5"/>
  <c r="F21" i="5"/>
  <c r="H21" i="5" s="1"/>
  <c r="I21" i="5"/>
  <c r="J21" i="5"/>
  <c r="K21" i="5"/>
  <c r="L21" i="5"/>
  <c r="M21" i="5"/>
  <c r="N21" i="5"/>
  <c r="O21" i="5"/>
  <c r="P21" i="5"/>
  <c r="Q21" i="5"/>
  <c r="R21" i="5"/>
  <c r="S21" i="5" s="1"/>
  <c r="T21" i="5"/>
  <c r="W21" i="5"/>
  <c r="V21" i="5" s="1"/>
  <c r="X21" i="5"/>
  <c r="Y21" i="5"/>
  <c r="Z21" i="5"/>
  <c r="AD21" i="5"/>
  <c r="AP21" i="5" s="1"/>
  <c r="AE21" i="5"/>
  <c r="AL21" i="5"/>
  <c r="AM21" i="5"/>
  <c r="AN21" i="5"/>
  <c r="AO21" i="5"/>
  <c r="AW21" i="5"/>
  <c r="BH21" i="5"/>
  <c r="BI21" i="5"/>
  <c r="BJ21" i="5"/>
  <c r="BK21" i="5"/>
  <c r="BL21" i="5"/>
  <c r="BM21" i="5"/>
  <c r="A22" i="5"/>
  <c r="B22" i="5"/>
  <c r="C22" i="5"/>
  <c r="D22" i="5"/>
  <c r="BN22" i="5" s="1"/>
  <c r="E22" i="5"/>
  <c r="F22" i="5"/>
  <c r="I22" i="5" s="1"/>
  <c r="J22" i="5"/>
  <c r="K22" i="5"/>
  <c r="L22" i="5"/>
  <c r="M22" i="5"/>
  <c r="N22" i="5"/>
  <c r="O22" i="5"/>
  <c r="P22" i="5"/>
  <c r="Q22" i="5"/>
  <c r="R22" i="5"/>
  <c r="S22" i="5" s="1"/>
  <c r="T22" i="5"/>
  <c r="W22" i="5"/>
  <c r="X22" i="5"/>
  <c r="Y22" i="5"/>
  <c r="Z22" i="5"/>
  <c r="AD22" i="5"/>
  <c r="AP22" i="5" s="1"/>
  <c r="AE22" i="5"/>
  <c r="AL22" i="5"/>
  <c r="AM22" i="5"/>
  <c r="AN22" i="5"/>
  <c r="AO22" i="5"/>
  <c r="AW22" i="5"/>
  <c r="BH22" i="5"/>
  <c r="BI22" i="5"/>
  <c r="BJ22" i="5"/>
  <c r="BK22" i="5"/>
  <c r="BL22" i="5"/>
  <c r="BM22" i="5"/>
  <c r="A23" i="5"/>
  <c r="B23" i="5"/>
  <c r="C23" i="5"/>
  <c r="D23" i="5"/>
  <c r="BN23" i="5" s="1"/>
  <c r="E23" i="5"/>
  <c r="F23" i="5"/>
  <c r="G23" i="5" s="1"/>
  <c r="J23" i="5"/>
  <c r="K23" i="5"/>
  <c r="L23" i="5"/>
  <c r="M23" i="5"/>
  <c r="N23" i="5"/>
  <c r="O23" i="5"/>
  <c r="P23" i="5"/>
  <c r="Q23" i="5"/>
  <c r="R23" i="5"/>
  <c r="S23" i="5" s="1"/>
  <c r="T23" i="5"/>
  <c r="W23" i="5"/>
  <c r="V23" i="5" s="1"/>
  <c r="X23" i="5"/>
  <c r="Y23" i="5"/>
  <c r="AR23" i="5" s="1"/>
  <c r="Z23" i="5"/>
  <c r="AD23" i="5"/>
  <c r="AP23" i="5" s="1"/>
  <c r="AE23" i="5"/>
  <c r="AL23" i="5"/>
  <c r="AM23" i="5"/>
  <c r="AN23" i="5"/>
  <c r="AO23" i="5"/>
  <c r="AW23" i="5"/>
  <c r="BH23" i="5"/>
  <c r="BI23" i="5"/>
  <c r="BJ23" i="5"/>
  <c r="BK23" i="5"/>
  <c r="BL23" i="5"/>
  <c r="BM23" i="5"/>
  <c r="A24" i="5"/>
  <c r="B24" i="5"/>
  <c r="C24" i="5"/>
  <c r="D24" i="5"/>
  <c r="BN24" i="5" s="1"/>
  <c r="E24" i="5"/>
  <c r="F24" i="5"/>
  <c r="J24" i="5"/>
  <c r="K24" i="5"/>
  <c r="L24" i="5"/>
  <c r="M24" i="5"/>
  <c r="N24" i="5"/>
  <c r="O24" i="5"/>
  <c r="P24" i="5"/>
  <c r="Q24" i="5"/>
  <c r="R24" i="5"/>
  <c r="S24" i="5" s="1"/>
  <c r="T24" i="5"/>
  <c r="W24" i="5"/>
  <c r="U24" i="5" s="1"/>
  <c r="X24" i="5"/>
  <c r="Y24" i="5"/>
  <c r="Z24" i="5"/>
  <c r="AD24" i="5"/>
  <c r="AP24" i="5" s="1"/>
  <c r="AE24" i="5"/>
  <c r="AL24" i="5"/>
  <c r="AM24" i="5"/>
  <c r="AN24" i="5"/>
  <c r="AO24" i="5"/>
  <c r="AW24" i="5"/>
  <c r="BH24" i="5"/>
  <c r="BI24" i="5"/>
  <c r="BJ24" i="5"/>
  <c r="BK24" i="5"/>
  <c r="BL24" i="5"/>
  <c r="BM24" i="5"/>
  <c r="A25" i="5"/>
  <c r="B25" i="5"/>
  <c r="C25" i="5"/>
  <c r="D25" i="5"/>
  <c r="BN25" i="5" s="1"/>
  <c r="E25" i="5"/>
  <c r="F25" i="5"/>
  <c r="G25" i="5" s="1"/>
  <c r="J25" i="5"/>
  <c r="K25" i="5"/>
  <c r="L25" i="5"/>
  <c r="M25" i="5"/>
  <c r="N25" i="5"/>
  <c r="O25" i="5"/>
  <c r="P25" i="5"/>
  <c r="Q25" i="5"/>
  <c r="R25" i="5"/>
  <c r="S25" i="5" s="1"/>
  <c r="T25" i="5"/>
  <c r="W25" i="5"/>
  <c r="V25" i="5" s="1"/>
  <c r="X25" i="5"/>
  <c r="Y25" i="5"/>
  <c r="Z25" i="5"/>
  <c r="AD25" i="5"/>
  <c r="AP25" i="5" s="1"/>
  <c r="AE25" i="5"/>
  <c r="AL25" i="5"/>
  <c r="AM25" i="5"/>
  <c r="AN25" i="5"/>
  <c r="AO25" i="5"/>
  <c r="AW25" i="5"/>
  <c r="BH25" i="5"/>
  <c r="BI25" i="5"/>
  <c r="BJ25" i="5"/>
  <c r="BK25" i="5"/>
  <c r="BL25" i="5"/>
  <c r="BM25" i="5"/>
  <c r="A26" i="5"/>
  <c r="B26" i="5"/>
  <c r="C26" i="5"/>
  <c r="D26" i="5"/>
  <c r="BN26" i="5" s="1"/>
  <c r="E26" i="5"/>
  <c r="F26" i="5"/>
  <c r="G26" i="5" s="1"/>
  <c r="J26" i="5"/>
  <c r="K26" i="5"/>
  <c r="L26" i="5"/>
  <c r="M26" i="5"/>
  <c r="N26" i="5"/>
  <c r="O26" i="5"/>
  <c r="P26" i="5"/>
  <c r="Q26" i="5"/>
  <c r="R26" i="5"/>
  <c r="S26" i="5" s="1"/>
  <c r="T26" i="5"/>
  <c r="W26" i="5"/>
  <c r="X26" i="5"/>
  <c r="Y26" i="5"/>
  <c r="Z26" i="5"/>
  <c r="AD26" i="5"/>
  <c r="AP26" i="5" s="1"/>
  <c r="AE26" i="5"/>
  <c r="AL26" i="5"/>
  <c r="AM26" i="5"/>
  <c r="AN26" i="5"/>
  <c r="AO26" i="5"/>
  <c r="AW26" i="5"/>
  <c r="BH26" i="5"/>
  <c r="BI26" i="5"/>
  <c r="BJ26" i="5"/>
  <c r="BK26" i="5"/>
  <c r="BL26" i="5"/>
  <c r="BM26" i="5"/>
  <c r="A22" i="3"/>
  <c r="BD22" i="3" s="1"/>
  <c r="B22" i="3"/>
  <c r="C22" i="3"/>
  <c r="D22" i="3"/>
  <c r="E22" i="3"/>
  <c r="F22" i="3"/>
  <c r="J22" i="3"/>
  <c r="K22" i="3"/>
  <c r="L22" i="3"/>
  <c r="M22" i="3"/>
  <c r="N22" i="3"/>
  <c r="O22" i="3"/>
  <c r="P22" i="3"/>
  <c r="Q22" i="3"/>
  <c r="R22" i="3"/>
  <c r="S22" i="3" s="1"/>
  <c r="T22" i="3"/>
  <c r="W22" i="3"/>
  <c r="V22" i="3" s="1"/>
  <c r="X22" i="3"/>
  <c r="Y22" i="3"/>
  <c r="Z22" i="3"/>
  <c r="AD22" i="3"/>
  <c r="AP22" i="3" s="1"/>
  <c r="AE22" i="3"/>
  <c r="AL22" i="3"/>
  <c r="AM22" i="3"/>
  <c r="AN22" i="3"/>
  <c r="AO22" i="3"/>
  <c r="AR22" i="3"/>
  <c r="AT22" i="3"/>
  <c r="BF22" i="3"/>
  <c r="BG22" i="3"/>
  <c r="A23" i="3"/>
  <c r="BC23" i="3" s="1"/>
  <c r="B23" i="3"/>
  <c r="C23" i="3"/>
  <c r="D23" i="3"/>
  <c r="E23" i="3"/>
  <c r="F23" i="3"/>
  <c r="H23" i="3" s="1"/>
  <c r="J23" i="3"/>
  <c r="K23" i="3"/>
  <c r="L23" i="3"/>
  <c r="M23" i="3"/>
  <c r="N23" i="3"/>
  <c r="O23" i="3"/>
  <c r="P23" i="3"/>
  <c r="Q23" i="3"/>
  <c r="R23" i="3"/>
  <c r="S23" i="3" s="1"/>
  <c r="T23" i="3"/>
  <c r="W23" i="3"/>
  <c r="X23" i="3"/>
  <c r="Y23" i="3"/>
  <c r="AC23" i="3" s="1"/>
  <c r="Z23" i="3"/>
  <c r="AD23" i="3"/>
  <c r="AP23" i="3" s="1"/>
  <c r="AE23" i="3"/>
  <c r="AL23" i="3"/>
  <c r="AM23" i="3"/>
  <c r="AN23" i="3"/>
  <c r="AO23" i="3"/>
  <c r="AT23" i="3"/>
  <c r="BF23" i="3"/>
  <c r="BG23" i="3"/>
  <c r="A24" i="3"/>
  <c r="BA24" i="3" s="1"/>
  <c r="B24" i="3"/>
  <c r="C24" i="3"/>
  <c r="D24" i="3"/>
  <c r="E24" i="3"/>
  <c r="F24" i="3"/>
  <c r="I24" i="3" s="1"/>
  <c r="J24" i="3"/>
  <c r="K24" i="3"/>
  <c r="L24" i="3"/>
  <c r="M24" i="3"/>
  <c r="N24" i="3"/>
  <c r="O24" i="3"/>
  <c r="P24" i="3"/>
  <c r="Q24" i="3"/>
  <c r="R24" i="3"/>
  <c r="S24" i="3" s="1"/>
  <c r="T24" i="3"/>
  <c r="W24" i="3"/>
  <c r="V24" i="3" s="1"/>
  <c r="X24" i="3"/>
  <c r="Y24" i="3"/>
  <c r="AC24" i="3" s="1"/>
  <c r="Z24" i="3"/>
  <c r="AA24" i="3"/>
  <c r="AD24" i="3"/>
  <c r="AP24" i="3" s="1"/>
  <c r="AE24" i="3"/>
  <c r="AL24" i="3"/>
  <c r="AM24" i="3"/>
  <c r="AN24" i="3"/>
  <c r="AO24" i="3"/>
  <c r="AT24" i="3"/>
  <c r="BF24" i="3"/>
  <c r="BG24" i="3"/>
  <c r="A25" i="3"/>
  <c r="BD25" i="3" s="1"/>
  <c r="B25" i="3"/>
  <c r="C25" i="3"/>
  <c r="D25" i="3"/>
  <c r="E25" i="3"/>
  <c r="F25" i="3"/>
  <c r="G25" i="3" s="1"/>
  <c r="AZ25" i="3" s="1"/>
  <c r="I25" i="3"/>
  <c r="J25" i="3"/>
  <c r="K25" i="3"/>
  <c r="L25" i="3"/>
  <c r="M25" i="3"/>
  <c r="N25" i="3"/>
  <c r="O25" i="3"/>
  <c r="P25" i="3"/>
  <c r="Q25" i="3"/>
  <c r="R25" i="3"/>
  <c r="S25" i="3" s="1"/>
  <c r="T25" i="3"/>
  <c r="W25" i="3"/>
  <c r="V25" i="3" s="1"/>
  <c r="X25" i="3"/>
  <c r="Y25" i="3"/>
  <c r="AA25" i="3" s="1"/>
  <c r="Z25" i="3"/>
  <c r="AD25" i="3"/>
  <c r="AP25" i="3" s="1"/>
  <c r="AE25" i="3"/>
  <c r="AL25" i="3"/>
  <c r="AM25" i="3"/>
  <c r="AN25" i="3"/>
  <c r="AO25" i="3"/>
  <c r="AT25" i="3"/>
  <c r="BF25" i="3"/>
  <c r="BG25" i="3"/>
  <c r="A26" i="3"/>
  <c r="BA26" i="3" s="1"/>
  <c r="B26" i="3"/>
  <c r="C26" i="3"/>
  <c r="D26" i="3"/>
  <c r="E26" i="3"/>
  <c r="F26" i="3"/>
  <c r="I26" i="3" s="1"/>
  <c r="J26" i="3"/>
  <c r="K26" i="3"/>
  <c r="L26" i="3"/>
  <c r="M26" i="3"/>
  <c r="N26" i="3"/>
  <c r="O26" i="3"/>
  <c r="P26" i="3"/>
  <c r="Q26" i="3"/>
  <c r="R26" i="3"/>
  <c r="S26" i="3"/>
  <c r="T26" i="3"/>
  <c r="W26" i="3"/>
  <c r="U26" i="3" s="1"/>
  <c r="X26" i="3"/>
  <c r="Y26" i="3"/>
  <c r="AB26" i="3" s="1"/>
  <c r="Z26" i="3"/>
  <c r="AD26" i="3"/>
  <c r="AP26" i="3" s="1"/>
  <c r="AE26" i="3"/>
  <c r="AL26" i="3"/>
  <c r="AM26" i="3"/>
  <c r="AN26" i="3"/>
  <c r="AO26" i="3"/>
  <c r="AT26" i="3"/>
  <c r="BF26" i="3"/>
  <c r="BG26" i="3"/>
  <c r="A27" i="3"/>
  <c r="BC27" i="3" s="1"/>
  <c r="B27" i="3"/>
  <c r="C27" i="3"/>
  <c r="D27" i="3"/>
  <c r="E27" i="3"/>
  <c r="F27" i="3"/>
  <c r="H27" i="3" s="1"/>
  <c r="J27" i="3"/>
  <c r="K27" i="3"/>
  <c r="L27" i="3"/>
  <c r="M27" i="3"/>
  <c r="N27" i="3"/>
  <c r="O27" i="3"/>
  <c r="P27" i="3"/>
  <c r="Q27" i="3"/>
  <c r="R27" i="3"/>
  <c r="S27" i="3" s="1"/>
  <c r="T27" i="3"/>
  <c r="W27" i="3"/>
  <c r="V27" i="3" s="1"/>
  <c r="X27" i="3"/>
  <c r="Y27" i="3"/>
  <c r="BL27" i="3" s="1"/>
  <c r="Z27" i="3"/>
  <c r="AC27" i="3"/>
  <c r="AD27" i="3"/>
  <c r="AE27" i="3"/>
  <c r="AL27" i="3"/>
  <c r="AM27" i="3"/>
  <c r="AN27" i="3"/>
  <c r="AO27" i="3"/>
  <c r="AP27" i="3"/>
  <c r="AT27" i="3"/>
  <c r="BF27" i="3"/>
  <c r="BG27" i="3"/>
  <c r="A28" i="3"/>
  <c r="BA28" i="3" s="1"/>
  <c r="B28" i="3"/>
  <c r="C28" i="3"/>
  <c r="D28" i="3"/>
  <c r="E28" i="3"/>
  <c r="F28" i="3"/>
  <c r="H28" i="3" s="1"/>
  <c r="G28" i="3"/>
  <c r="AZ28" i="3" s="1"/>
  <c r="J28" i="3"/>
  <c r="K28" i="3"/>
  <c r="L28" i="3"/>
  <c r="M28" i="3"/>
  <c r="N28" i="3"/>
  <c r="O28" i="3"/>
  <c r="P28" i="3"/>
  <c r="Q28" i="3"/>
  <c r="R28" i="3"/>
  <c r="S28" i="3" s="1"/>
  <c r="T28" i="3"/>
  <c r="W28" i="3"/>
  <c r="V28" i="3" s="1"/>
  <c r="X28" i="3"/>
  <c r="Y28" i="3"/>
  <c r="AC28" i="3" s="1"/>
  <c r="Z28" i="3"/>
  <c r="AD28" i="3"/>
  <c r="AP28" i="3" s="1"/>
  <c r="AE28" i="3"/>
  <c r="AL28" i="3"/>
  <c r="AM28" i="3"/>
  <c r="AN28" i="3"/>
  <c r="AO28" i="3"/>
  <c r="AT28" i="3"/>
  <c r="BF28" i="3"/>
  <c r="BG28" i="3"/>
  <c r="A29" i="3"/>
  <c r="BB29" i="3" s="1"/>
  <c r="B29" i="3"/>
  <c r="C29" i="3"/>
  <c r="D29" i="3"/>
  <c r="E29" i="3"/>
  <c r="F29" i="3"/>
  <c r="G29" i="3" s="1"/>
  <c r="AZ29" i="3" s="1"/>
  <c r="J29" i="3"/>
  <c r="K29" i="3"/>
  <c r="L29" i="3"/>
  <c r="M29" i="3"/>
  <c r="N29" i="3"/>
  <c r="O29" i="3"/>
  <c r="P29" i="3"/>
  <c r="Q29" i="3"/>
  <c r="R29" i="3"/>
  <c r="S29" i="3" s="1"/>
  <c r="T29" i="3"/>
  <c r="W29" i="3"/>
  <c r="U29" i="3" s="1"/>
  <c r="X29" i="3"/>
  <c r="Y29" i="3"/>
  <c r="AA29" i="3" s="1"/>
  <c r="Z29" i="3"/>
  <c r="AD29" i="3"/>
  <c r="AP29" i="3" s="1"/>
  <c r="AE29" i="3"/>
  <c r="AL29" i="3"/>
  <c r="AM29" i="3"/>
  <c r="AN29" i="3"/>
  <c r="AO29" i="3"/>
  <c r="AT29" i="3"/>
  <c r="BF29" i="3"/>
  <c r="BG29" i="3"/>
  <c r="A30" i="3"/>
  <c r="BD30" i="3" s="1"/>
  <c r="B30" i="3"/>
  <c r="C30" i="3"/>
  <c r="D30" i="3"/>
  <c r="E30" i="3"/>
  <c r="F30" i="3"/>
  <c r="I30" i="3" s="1"/>
  <c r="J30" i="3"/>
  <c r="K30" i="3"/>
  <c r="L30" i="3"/>
  <c r="M30" i="3"/>
  <c r="N30" i="3"/>
  <c r="O30" i="3"/>
  <c r="P30" i="3"/>
  <c r="Q30" i="3"/>
  <c r="R30" i="3"/>
  <c r="S30" i="3" s="1"/>
  <c r="T30" i="3"/>
  <c r="W30" i="3"/>
  <c r="U30" i="3" s="1"/>
  <c r="X30" i="3"/>
  <c r="Y30" i="3"/>
  <c r="Z30" i="3"/>
  <c r="AD30" i="3"/>
  <c r="AP30" i="3" s="1"/>
  <c r="AE30" i="3"/>
  <c r="AL30" i="3"/>
  <c r="AM30" i="3"/>
  <c r="AN30" i="3"/>
  <c r="AO30" i="3"/>
  <c r="AT30" i="3"/>
  <c r="BF30" i="3"/>
  <c r="BG30" i="3"/>
  <c r="A31" i="3"/>
  <c r="BD31" i="3" s="1"/>
  <c r="B31" i="3"/>
  <c r="C31" i="3"/>
  <c r="D31" i="3"/>
  <c r="E31" i="3"/>
  <c r="F31" i="3"/>
  <c r="H31" i="3" s="1"/>
  <c r="J31" i="3"/>
  <c r="K31" i="3"/>
  <c r="L31" i="3"/>
  <c r="M31" i="3"/>
  <c r="N31" i="3"/>
  <c r="O31" i="3"/>
  <c r="P31" i="3"/>
  <c r="Q31" i="3"/>
  <c r="R31" i="3"/>
  <c r="S31" i="3" s="1"/>
  <c r="T31" i="3"/>
  <c r="W31" i="3"/>
  <c r="X31" i="3"/>
  <c r="Y31" i="3"/>
  <c r="Z31" i="3"/>
  <c r="AD31" i="3"/>
  <c r="AP31" i="3" s="1"/>
  <c r="AE31" i="3"/>
  <c r="AL31" i="3"/>
  <c r="AM31" i="3"/>
  <c r="AN31" i="3"/>
  <c r="AO31" i="3"/>
  <c r="AT31" i="3"/>
  <c r="BF31" i="3"/>
  <c r="BG31" i="3"/>
  <c r="A32" i="3"/>
  <c r="BA32" i="3" s="1"/>
  <c r="B32" i="3"/>
  <c r="C32" i="3"/>
  <c r="D32" i="3"/>
  <c r="E32" i="3"/>
  <c r="F32" i="3"/>
  <c r="I32" i="3" s="1"/>
  <c r="J32" i="3"/>
  <c r="K32" i="3"/>
  <c r="L32" i="3"/>
  <c r="M32" i="3"/>
  <c r="N32" i="3"/>
  <c r="O32" i="3"/>
  <c r="P32" i="3"/>
  <c r="Q32" i="3"/>
  <c r="R32" i="3"/>
  <c r="S32" i="3" s="1"/>
  <c r="T32" i="3"/>
  <c r="W32" i="3"/>
  <c r="V32" i="3" s="1"/>
  <c r="X32" i="3"/>
  <c r="Y32" i="3"/>
  <c r="AC32" i="3" s="1"/>
  <c r="Z32" i="3"/>
  <c r="AD32" i="3"/>
  <c r="AP32" i="3" s="1"/>
  <c r="AE32" i="3"/>
  <c r="AL32" i="3"/>
  <c r="AM32" i="3"/>
  <c r="AN32" i="3"/>
  <c r="AO32" i="3"/>
  <c r="AT32" i="3"/>
  <c r="BF32" i="3"/>
  <c r="BG32" i="3"/>
  <c r="A33" i="3"/>
  <c r="BB33" i="3" s="1"/>
  <c r="B33" i="3"/>
  <c r="C33" i="3"/>
  <c r="D33" i="3"/>
  <c r="E33" i="3"/>
  <c r="F33" i="3"/>
  <c r="G33" i="3" s="1"/>
  <c r="AZ33" i="3" s="1"/>
  <c r="H33" i="3"/>
  <c r="J33" i="3"/>
  <c r="K33" i="3"/>
  <c r="L33" i="3"/>
  <c r="M33" i="3"/>
  <c r="N33" i="3"/>
  <c r="O33" i="3"/>
  <c r="P33" i="3"/>
  <c r="Q33" i="3"/>
  <c r="R33" i="3"/>
  <c r="S33" i="3" s="1"/>
  <c r="T33" i="3"/>
  <c r="W33" i="3"/>
  <c r="V33" i="3" s="1"/>
  <c r="X33" i="3"/>
  <c r="Y33" i="3"/>
  <c r="AA33" i="3" s="1"/>
  <c r="Z33" i="3"/>
  <c r="AD33" i="3"/>
  <c r="AP33" i="3" s="1"/>
  <c r="AE33" i="3"/>
  <c r="AL33" i="3"/>
  <c r="AM33" i="3"/>
  <c r="AN33" i="3"/>
  <c r="AO33" i="3"/>
  <c r="AT33" i="3"/>
  <c r="BF33" i="3"/>
  <c r="BG33" i="3"/>
  <c r="A34" i="3"/>
  <c r="BD34" i="3" s="1"/>
  <c r="B34" i="3"/>
  <c r="C34" i="3"/>
  <c r="D34" i="3"/>
  <c r="E34" i="3"/>
  <c r="F34" i="3"/>
  <c r="I34" i="3" s="1"/>
  <c r="J34" i="3"/>
  <c r="K34" i="3"/>
  <c r="L34" i="3"/>
  <c r="M34" i="3"/>
  <c r="N34" i="3"/>
  <c r="O34" i="3"/>
  <c r="P34" i="3"/>
  <c r="Q34" i="3"/>
  <c r="R34" i="3"/>
  <c r="S34" i="3" s="1"/>
  <c r="T34" i="3"/>
  <c r="W34" i="3"/>
  <c r="U34" i="3" s="1"/>
  <c r="X34" i="3"/>
  <c r="Y34" i="3"/>
  <c r="AA34" i="3" s="1"/>
  <c r="Z34" i="3"/>
  <c r="AD34" i="3"/>
  <c r="AP34" i="3" s="1"/>
  <c r="AE34" i="3"/>
  <c r="AL34" i="3"/>
  <c r="AM34" i="3"/>
  <c r="AN34" i="3"/>
  <c r="AO34" i="3"/>
  <c r="AT34" i="3"/>
  <c r="BF34" i="3"/>
  <c r="BG34" i="3"/>
  <c r="A35" i="3"/>
  <c r="B35" i="3"/>
  <c r="C35" i="3"/>
  <c r="D35" i="3"/>
  <c r="E35" i="3"/>
  <c r="F35" i="3"/>
  <c r="H35" i="3" s="1"/>
  <c r="J35" i="3"/>
  <c r="K35" i="3"/>
  <c r="L35" i="3"/>
  <c r="M35" i="3"/>
  <c r="N35" i="3"/>
  <c r="O35" i="3"/>
  <c r="P35" i="3"/>
  <c r="Q35" i="3"/>
  <c r="R35" i="3"/>
  <c r="S35" i="3" s="1"/>
  <c r="T35" i="3"/>
  <c r="W35" i="3"/>
  <c r="V35" i="3" s="1"/>
  <c r="X35" i="3"/>
  <c r="Y35" i="3"/>
  <c r="Z35" i="3"/>
  <c r="AD35" i="3"/>
  <c r="AP35" i="3" s="1"/>
  <c r="AE35" i="3"/>
  <c r="AL35" i="3"/>
  <c r="AM35" i="3"/>
  <c r="AN35" i="3"/>
  <c r="AO35" i="3"/>
  <c r="AT35" i="3"/>
  <c r="BF35" i="3"/>
  <c r="BG35" i="3"/>
  <c r="A15" i="3"/>
  <c r="BA15" i="3" s="1"/>
  <c r="B15" i="3"/>
  <c r="C15" i="3"/>
  <c r="D15" i="3"/>
  <c r="E15" i="3"/>
  <c r="F15" i="3"/>
  <c r="H15" i="3" s="1"/>
  <c r="G15" i="3"/>
  <c r="AZ15" i="3" s="1"/>
  <c r="J15" i="3"/>
  <c r="K15" i="3"/>
  <c r="L15" i="3"/>
  <c r="M15" i="3"/>
  <c r="N15" i="3"/>
  <c r="O15" i="3"/>
  <c r="P15" i="3"/>
  <c r="Q15" i="3"/>
  <c r="R15" i="3"/>
  <c r="X15" i="3"/>
  <c r="Y15" i="3"/>
  <c r="AA15" i="3" s="1"/>
  <c r="Z15" i="3"/>
  <c r="AD15" i="3"/>
  <c r="AP15" i="3" s="1"/>
  <c r="AE15" i="3"/>
  <c r="AL15" i="3"/>
  <c r="AM15" i="3"/>
  <c r="AN15" i="3"/>
  <c r="AO15" i="3"/>
  <c r="AT15" i="3"/>
  <c r="BD15" i="3"/>
  <c r="BE15" i="3"/>
  <c r="BF15" i="3"/>
  <c r="BG15" i="3"/>
  <c r="A16" i="3"/>
  <c r="BD16" i="3" s="1"/>
  <c r="B16" i="3"/>
  <c r="C16" i="3"/>
  <c r="D16" i="3"/>
  <c r="E16" i="3"/>
  <c r="F16" i="3"/>
  <c r="H16" i="3" s="1"/>
  <c r="J16" i="3"/>
  <c r="K16" i="3"/>
  <c r="L16" i="3"/>
  <c r="M16" i="3"/>
  <c r="N16" i="3"/>
  <c r="O16" i="3"/>
  <c r="P16" i="3"/>
  <c r="Q16" i="3"/>
  <c r="R16" i="3"/>
  <c r="T16" i="3"/>
  <c r="X16" i="3"/>
  <c r="Y16" i="3"/>
  <c r="AR16" i="3" s="1"/>
  <c r="Z16" i="3"/>
  <c r="AD16" i="3"/>
  <c r="AP16" i="3" s="1"/>
  <c r="AE16" i="3"/>
  <c r="AL16" i="3"/>
  <c r="AM16" i="3"/>
  <c r="AN16" i="3"/>
  <c r="AO16" i="3"/>
  <c r="AT16" i="3"/>
  <c r="BF16" i="3"/>
  <c r="BG16" i="3"/>
  <c r="A17" i="3"/>
  <c r="BB17" i="3" s="1"/>
  <c r="B17" i="3"/>
  <c r="C17" i="3"/>
  <c r="D17" i="3"/>
  <c r="E17" i="3"/>
  <c r="F17" i="3"/>
  <c r="J17" i="3"/>
  <c r="K17" i="3"/>
  <c r="L17" i="3"/>
  <c r="M17" i="3"/>
  <c r="N17" i="3"/>
  <c r="O17" i="3"/>
  <c r="P17" i="3"/>
  <c r="Q17" i="3"/>
  <c r="R17" i="3"/>
  <c r="T17" i="3"/>
  <c r="X17" i="3"/>
  <c r="Y17" i="3"/>
  <c r="BJ17" i="3" s="1"/>
  <c r="Z17" i="3"/>
  <c r="AD17" i="3"/>
  <c r="AP17" i="3" s="1"/>
  <c r="AE17" i="3"/>
  <c r="AL17" i="3"/>
  <c r="AM17" i="3"/>
  <c r="AN17" i="3"/>
  <c r="AO17" i="3"/>
  <c r="AT17" i="3"/>
  <c r="BF17" i="3"/>
  <c r="BG17" i="3"/>
  <c r="A18" i="3"/>
  <c r="BA18" i="3" s="1"/>
  <c r="B18" i="3"/>
  <c r="C18" i="3"/>
  <c r="D18" i="3"/>
  <c r="E18" i="3"/>
  <c r="F18" i="3"/>
  <c r="G18" i="3" s="1"/>
  <c r="AZ18" i="3" s="1"/>
  <c r="J18" i="3"/>
  <c r="K18" i="3"/>
  <c r="L18" i="3"/>
  <c r="M18" i="3"/>
  <c r="N18" i="3"/>
  <c r="O18" i="3"/>
  <c r="P18" i="3"/>
  <c r="Q18" i="3"/>
  <c r="R18" i="3"/>
  <c r="T18" i="3"/>
  <c r="X18" i="3"/>
  <c r="Y18" i="3"/>
  <c r="AA18" i="3" s="1"/>
  <c r="Z18" i="3"/>
  <c r="AD18" i="3"/>
  <c r="AP18" i="3" s="1"/>
  <c r="AE18" i="3"/>
  <c r="AL18" i="3"/>
  <c r="AM18" i="3"/>
  <c r="AN18" i="3"/>
  <c r="AO18" i="3"/>
  <c r="AT18" i="3"/>
  <c r="BF18" i="3"/>
  <c r="BG18" i="3"/>
  <c r="A19" i="3"/>
  <c r="BA19" i="3" s="1"/>
  <c r="B19" i="3"/>
  <c r="C19" i="3"/>
  <c r="D19" i="3"/>
  <c r="E19" i="3"/>
  <c r="F19" i="3"/>
  <c r="I19" i="3" s="1"/>
  <c r="G19" i="3"/>
  <c r="AZ19" i="3" s="1"/>
  <c r="J19" i="3"/>
  <c r="K19" i="3"/>
  <c r="L19" i="3"/>
  <c r="M19" i="3"/>
  <c r="N19" i="3"/>
  <c r="O19" i="3"/>
  <c r="P19" i="3"/>
  <c r="Q19" i="3"/>
  <c r="R19" i="3"/>
  <c r="T19" i="3"/>
  <c r="X19" i="3"/>
  <c r="Y19" i="3"/>
  <c r="Z19" i="3"/>
  <c r="AD19" i="3"/>
  <c r="AP19" i="3" s="1"/>
  <c r="AE19" i="3"/>
  <c r="AL19" i="3"/>
  <c r="AM19" i="3"/>
  <c r="AN19" i="3"/>
  <c r="AO19" i="3"/>
  <c r="AT19" i="3"/>
  <c r="BF19" i="3"/>
  <c r="BG19" i="3"/>
  <c r="A20" i="3"/>
  <c r="BD20" i="3" s="1"/>
  <c r="B20" i="3"/>
  <c r="C20" i="3"/>
  <c r="D20" i="3"/>
  <c r="E20" i="3"/>
  <c r="F20" i="3"/>
  <c r="G20" i="3" s="1"/>
  <c r="AZ20" i="3" s="1"/>
  <c r="J20" i="3"/>
  <c r="K20" i="3"/>
  <c r="L20" i="3"/>
  <c r="M20" i="3"/>
  <c r="N20" i="3"/>
  <c r="O20" i="3"/>
  <c r="P20" i="3"/>
  <c r="Q20" i="3"/>
  <c r="R20" i="3"/>
  <c r="T20" i="3"/>
  <c r="X20" i="3"/>
  <c r="Y20" i="3"/>
  <c r="BL20" i="3" s="1"/>
  <c r="Z20" i="3"/>
  <c r="AC20" i="3"/>
  <c r="AD20" i="3"/>
  <c r="AP20" i="3" s="1"/>
  <c r="AE20" i="3"/>
  <c r="AL20" i="3"/>
  <c r="AM20" i="3"/>
  <c r="AN20" i="3"/>
  <c r="AO20" i="3"/>
  <c r="AT20" i="3"/>
  <c r="BA20" i="3"/>
  <c r="BF20" i="3"/>
  <c r="BG20" i="3"/>
  <c r="A21" i="3"/>
  <c r="BB21" i="3" s="1"/>
  <c r="B21" i="3"/>
  <c r="C21" i="3"/>
  <c r="D21" i="3"/>
  <c r="E21" i="3"/>
  <c r="F21" i="3"/>
  <c r="G21" i="3" s="1"/>
  <c r="AZ21" i="3" s="1"/>
  <c r="J21" i="3"/>
  <c r="K21" i="3"/>
  <c r="L21" i="3"/>
  <c r="M21" i="3"/>
  <c r="N21" i="3"/>
  <c r="O21" i="3"/>
  <c r="P21" i="3"/>
  <c r="Q21" i="3"/>
  <c r="R21" i="3"/>
  <c r="T21" i="3"/>
  <c r="X21" i="3"/>
  <c r="Y21" i="3"/>
  <c r="AC21" i="3" s="1"/>
  <c r="Z21" i="3"/>
  <c r="AD21" i="3"/>
  <c r="AP21" i="3" s="1"/>
  <c r="AE21" i="3"/>
  <c r="AL21" i="3"/>
  <c r="AM21" i="3"/>
  <c r="AN21" i="3"/>
  <c r="AO21" i="3"/>
  <c r="AT21" i="3"/>
  <c r="BF21" i="3"/>
  <c r="BG21" i="3"/>
  <c r="BN14" i="7"/>
  <c r="BN13" i="7"/>
  <c r="BN12" i="7"/>
  <c r="BN11" i="7"/>
  <c r="BN10" i="7"/>
  <c r="BN9" i="7"/>
  <c r="BN8" i="7"/>
  <c r="BM9" i="7"/>
  <c r="BM10" i="7"/>
  <c r="BM11" i="7"/>
  <c r="BM12" i="7"/>
  <c r="BM13" i="7"/>
  <c r="BM14" i="7"/>
  <c r="BM8" i="7"/>
  <c r="BI9" i="7"/>
  <c r="BJ9" i="7"/>
  <c r="BI10" i="7"/>
  <c r="BJ10" i="7"/>
  <c r="BI11" i="7"/>
  <c r="BJ11" i="7"/>
  <c r="BI12" i="7"/>
  <c r="BJ12" i="7"/>
  <c r="BI13" i="7"/>
  <c r="BJ13" i="7"/>
  <c r="BI14" i="7"/>
  <c r="BJ14" i="7"/>
  <c r="BI8" i="7"/>
  <c r="BJ8" i="7"/>
  <c r="BM9" i="6"/>
  <c r="BM10" i="6"/>
  <c r="BM11" i="6"/>
  <c r="BM12" i="6"/>
  <c r="BM13" i="6"/>
  <c r="BM14" i="6"/>
  <c r="BM8" i="6"/>
  <c r="BH9" i="6"/>
  <c r="BI9" i="6"/>
  <c r="BJ9" i="6"/>
  <c r="BK9" i="6"/>
  <c r="BL9" i="6"/>
  <c r="BH10" i="6"/>
  <c r="BI10" i="6"/>
  <c r="BJ10" i="6"/>
  <c r="BK10" i="6"/>
  <c r="BL10" i="6"/>
  <c r="BH11" i="6"/>
  <c r="BI11" i="6"/>
  <c r="BJ11" i="6"/>
  <c r="BK11" i="6"/>
  <c r="BL11" i="6"/>
  <c r="BH12" i="6"/>
  <c r="BI12" i="6"/>
  <c r="BJ12" i="6"/>
  <c r="BK12" i="6"/>
  <c r="BL12" i="6"/>
  <c r="BH13" i="6"/>
  <c r="BI13" i="6"/>
  <c r="BJ13" i="6"/>
  <c r="BK13" i="6"/>
  <c r="BL13" i="6"/>
  <c r="BH14" i="6"/>
  <c r="BI14" i="6"/>
  <c r="BJ14" i="6"/>
  <c r="BK14" i="6"/>
  <c r="BL14" i="6"/>
  <c r="BL8" i="6"/>
  <c r="BK8" i="6"/>
  <c r="BJ8" i="6"/>
  <c r="BI8" i="6"/>
  <c r="BH8" i="6"/>
  <c r="BN14" i="6"/>
  <c r="BN13" i="6"/>
  <c r="BN12" i="6"/>
  <c r="BN11" i="6"/>
  <c r="BN10" i="6"/>
  <c r="BN9" i="6"/>
  <c r="BN8" i="6"/>
  <c r="BH9" i="5"/>
  <c r="BI9" i="5"/>
  <c r="BJ9" i="5"/>
  <c r="BK9" i="5"/>
  <c r="BL9" i="5"/>
  <c r="BH10" i="5"/>
  <c r="BI10" i="5"/>
  <c r="BJ10" i="5"/>
  <c r="BK10" i="5"/>
  <c r="BL10" i="5"/>
  <c r="BH11" i="5"/>
  <c r="BI11" i="5"/>
  <c r="BJ11" i="5"/>
  <c r="BK11" i="5"/>
  <c r="BL11" i="5"/>
  <c r="BH12" i="5"/>
  <c r="BI12" i="5"/>
  <c r="BJ12" i="5"/>
  <c r="BK12" i="5"/>
  <c r="BL12" i="5"/>
  <c r="BH13" i="5"/>
  <c r="BI13" i="5"/>
  <c r="BJ13" i="5"/>
  <c r="BK13" i="5"/>
  <c r="BL13" i="5"/>
  <c r="BH14" i="5"/>
  <c r="BI14" i="5"/>
  <c r="BJ14" i="5"/>
  <c r="BK14" i="5"/>
  <c r="BL14" i="5"/>
  <c r="BL8" i="5"/>
  <c r="BK8" i="5"/>
  <c r="BJ8" i="5"/>
  <c r="BI8" i="5"/>
  <c r="BH8" i="5"/>
  <c r="BM8" i="5"/>
  <c r="BM9" i="5"/>
  <c r="BM10" i="5"/>
  <c r="BM11" i="5"/>
  <c r="BM12" i="5"/>
  <c r="BM13" i="5"/>
  <c r="BM14" i="5"/>
  <c r="AW14" i="7"/>
  <c r="AO14" i="7"/>
  <c r="AN14" i="7"/>
  <c r="AM14" i="7"/>
  <c r="AL14" i="7"/>
  <c r="AE14" i="7"/>
  <c r="AD14" i="7"/>
  <c r="AP14" i="7" s="1"/>
  <c r="Z14" i="7"/>
  <c r="Y14" i="7"/>
  <c r="X14" i="7"/>
  <c r="W14" i="7"/>
  <c r="V14" i="7" s="1"/>
  <c r="T14" i="7"/>
  <c r="R14" i="7"/>
  <c r="S14" i="7" s="1"/>
  <c r="Q14" i="7"/>
  <c r="P14" i="7"/>
  <c r="O14" i="7"/>
  <c r="N14" i="7"/>
  <c r="M14" i="7"/>
  <c r="L14" i="7"/>
  <c r="K14" i="7"/>
  <c r="J14" i="7"/>
  <c r="F14" i="7"/>
  <c r="G14" i="7" s="1"/>
  <c r="E14" i="7"/>
  <c r="BH14" i="7" s="1"/>
  <c r="D14" i="7"/>
  <c r="C14" i="7"/>
  <c r="B14" i="7"/>
  <c r="A14" i="7"/>
  <c r="AW13" i="7"/>
  <c r="AO13" i="7"/>
  <c r="AN13" i="7"/>
  <c r="AM13" i="7"/>
  <c r="AL13" i="7"/>
  <c r="AE13" i="7"/>
  <c r="AD13" i="7"/>
  <c r="AP13" i="7" s="1"/>
  <c r="Z13" i="7"/>
  <c r="Y13" i="7"/>
  <c r="X13" i="7"/>
  <c r="W13" i="7"/>
  <c r="U13" i="7" s="1"/>
  <c r="T13" i="7"/>
  <c r="R13" i="7"/>
  <c r="S13" i="7" s="1"/>
  <c r="Q13" i="7"/>
  <c r="P13" i="7"/>
  <c r="O13" i="7"/>
  <c r="N13" i="7"/>
  <c r="M13" i="7"/>
  <c r="L13" i="7"/>
  <c r="K13" i="7"/>
  <c r="J13" i="7"/>
  <c r="F13" i="7"/>
  <c r="H13" i="7" s="1"/>
  <c r="E13" i="7"/>
  <c r="BH13" i="7" s="1"/>
  <c r="D13" i="7"/>
  <c r="C13" i="7"/>
  <c r="B13" i="7"/>
  <c r="A13" i="7"/>
  <c r="AW12" i="7"/>
  <c r="AO12" i="7"/>
  <c r="AN12" i="7"/>
  <c r="AM12" i="7"/>
  <c r="AL12" i="7"/>
  <c r="AE12" i="7"/>
  <c r="AD12" i="7"/>
  <c r="AP12" i="7" s="1"/>
  <c r="Z12" i="7"/>
  <c r="Y12" i="7"/>
  <c r="X12" i="7"/>
  <c r="AB12" i="7" s="1"/>
  <c r="W12" i="7"/>
  <c r="U12" i="7" s="1"/>
  <c r="T12" i="7"/>
  <c r="R12" i="7"/>
  <c r="S12" i="7" s="1"/>
  <c r="Q12" i="7"/>
  <c r="P12" i="7"/>
  <c r="O12" i="7"/>
  <c r="N12" i="7"/>
  <c r="M12" i="7"/>
  <c r="L12" i="7"/>
  <c r="K12" i="7"/>
  <c r="J12" i="7"/>
  <c r="F12" i="7"/>
  <c r="G12" i="7" s="1"/>
  <c r="E12" i="7"/>
  <c r="BH12" i="7" s="1"/>
  <c r="D12" i="7"/>
  <c r="C12" i="7"/>
  <c r="B12" i="7"/>
  <c r="A12" i="7"/>
  <c r="AW11" i="7"/>
  <c r="AO11" i="7"/>
  <c r="AN11" i="7"/>
  <c r="AM11" i="7"/>
  <c r="AL11" i="7"/>
  <c r="AE11" i="7"/>
  <c r="AD11" i="7"/>
  <c r="AP11" i="7" s="1"/>
  <c r="Z11" i="7"/>
  <c r="Y11" i="7"/>
  <c r="X11" i="7"/>
  <c r="W11" i="7"/>
  <c r="T11" i="7"/>
  <c r="R11" i="7"/>
  <c r="S11" i="7" s="1"/>
  <c r="Q11" i="7"/>
  <c r="P11" i="7"/>
  <c r="O11" i="7"/>
  <c r="N11" i="7"/>
  <c r="M11" i="7"/>
  <c r="L11" i="7"/>
  <c r="K11" i="7"/>
  <c r="J11" i="7"/>
  <c r="F11" i="7"/>
  <c r="E11" i="7"/>
  <c r="BH11" i="7" s="1"/>
  <c r="D11" i="7"/>
  <c r="C11" i="7"/>
  <c r="B11" i="7"/>
  <c r="A11" i="7"/>
  <c r="AW10" i="7"/>
  <c r="AO10" i="7"/>
  <c r="AN10" i="7"/>
  <c r="AM10" i="7"/>
  <c r="AL10" i="7"/>
  <c r="AE10" i="7"/>
  <c r="AD10" i="7"/>
  <c r="AP10" i="7" s="1"/>
  <c r="Z10" i="7"/>
  <c r="Y10" i="7"/>
  <c r="X10" i="7"/>
  <c r="W10" i="7"/>
  <c r="V10" i="7" s="1"/>
  <c r="T10" i="7"/>
  <c r="R10" i="7"/>
  <c r="S10" i="7" s="1"/>
  <c r="Q10" i="7"/>
  <c r="P10" i="7"/>
  <c r="O10" i="7"/>
  <c r="N10" i="7"/>
  <c r="M10" i="7"/>
  <c r="L10" i="7"/>
  <c r="K10" i="7"/>
  <c r="J10" i="7"/>
  <c r="F10" i="7"/>
  <c r="I10" i="7" s="1"/>
  <c r="E10" i="7"/>
  <c r="BH10" i="7" s="1"/>
  <c r="D10" i="7"/>
  <c r="C10" i="7"/>
  <c r="B10" i="7"/>
  <c r="A10" i="7"/>
  <c r="AW9" i="7"/>
  <c r="AO9" i="7"/>
  <c r="AN9" i="7"/>
  <c r="AM9" i="7"/>
  <c r="AL9" i="7"/>
  <c r="AE9" i="7"/>
  <c r="AD9" i="7"/>
  <c r="AP9" i="7" s="1"/>
  <c r="Z9" i="7"/>
  <c r="Y9" i="7"/>
  <c r="X9" i="7"/>
  <c r="W9" i="7"/>
  <c r="U9" i="7" s="1"/>
  <c r="T9" i="7"/>
  <c r="R9" i="7"/>
  <c r="S9" i="7" s="1"/>
  <c r="Q9" i="7"/>
  <c r="P9" i="7"/>
  <c r="O9" i="7"/>
  <c r="N9" i="7"/>
  <c r="M9" i="7"/>
  <c r="L9" i="7"/>
  <c r="K9" i="7"/>
  <c r="J9" i="7"/>
  <c r="F9" i="7"/>
  <c r="H9" i="7" s="1"/>
  <c r="E9" i="7"/>
  <c r="BH9" i="7" s="1"/>
  <c r="D9" i="7"/>
  <c r="C9" i="7"/>
  <c r="B9" i="7"/>
  <c r="A9" i="7"/>
  <c r="AW8" i="7"/>
  <c r="AO8" i="7"/>
  <c r="AN8" i="7"/>
  <c r="AM8" i="7"/>
  <c r="AL8" i="7"/>
  <c r="AE8" i="7"/>
  <c r="AD8" i="7"/>
  <c r="AP8" i="7" s="1"/>
  <c r="Z8" i="7"/>
  <c r="Y8" i="7"/>
  <c r="X8" i="7"/>
  <c r="W8" i="7"/>
  <c r="U8" i="7" s="1"/>
  <c r="T8" i="7"/>
  <c r="R8" i="7"/>
  <c r="S8" i="7" s="1"/>
  <c r="Q8" i="7"/>
  <c r="P8" i="7"/>
  <c r="O8" i="7"/>
  <c r="N8" i="7"/>
  <c r="M8" i="7"/>
  <c r="L8" i="7"/>
  <c r="K8" i="7"/>
  <c r="J8" i="7"/>
  <c r="F8" i="7"/>
  <c r="I8" i="7" s="1"/>
  <c r="E8" i="7"/>
  <c r="BH8" i="7" s="1"/>
  <c r="D8" i="7"/>
  <c r="C8" i="7"/>
  <c r="B8" i="7"/>
  <c r="A8" i="7"/>
  <c r="AW14" i="6"/>
  <c r="AO14" i="6"/>
  <c r="AN14" i="6"/>
  <c r="AM14" i="6"/>
  <c r="AL14" i="6"/>
  <c r="AE14" i="6"/>
  <c r="AD14" i="6"/>
  <c r="AP14" i="6" s="1"/>
  <c r="Z14" i="6"/>
  <c r="Y14" i="6"/>
  <c r="X14" i="6"/>
  <c r="W14" i="6"/>
  <c r="T14" i="6"/>
  <c r="R14" i="6"/>
  <c r="S14" i="6" s="1"/>
  <c r="Q14" i="6"/>
  <c r="P14" i="6"/>
  <c r="O14" i="6"/>
  <c r="N14" i="6"/>
  <c r="M14" i="6"/>
  <c r="L14" i="6"/>
  <c r="K14" i="6"/>
  <c r="J14" i="6"/>
  <c r="F14" i="6"/>
  <c r="H14" i="6" s="1"/>
  <c r="E14" i="6"/>
  <c r="D14" i="6"/>
  <c r="C14" i="6"/>
  <c r="BO14" i="6" s="1"/>
  <c r="B14" i="6"/>
  <c r="A14" i="6"/>
  <c r="AW13" i="6"/>
  <c r="AO13" i="6"/>
  <c r="AN13" i="6"/>
  <c r="AM13" i="6"/>
  <c r="AL13" i="6"/>
  <c r="AE13" i="6"/>
  <c r="AD13" i="6"/>
  <c r="AP13" i="6" s="1"/>
  <c r="Z13" i="6"/>
  <c r="Y13" i="6"/>
  <c r="X13" i="6"/>
  <c r="AB13" i="6" s="1"/>
  <c r="W13" i="6"/>
  <c r="V13" i="6" s="1"/>
  <c r="T13" i="6"/>
  <c r="R13" i="6"/>
  <c r="S13" i="6" s="1"/>
  <c r="Q13" i="6"/>
  <c r="P13" i="6"/>
  <c r="O13" i="6"/>
  <c r="N13" i="6"/>
  <c r="M13" i="6"/>
  <c r="L13" i="6"/>
  <c r="K13" i="6"/>
  <c r="J13" i="6"/>
  <c r="F13" i="6"/>
  <c r="H13" i="6" s="1"/>
  <c r="E13" i="6"/>
  <c r="D13" i="6"/>
  <c r="C13" i="6"/>
  <c r="BO13" i="6" s="1"/>
  <c r="B13" i="6"/>
  <c r="A13" i="6"/>
  <c r="AW12" i="6"/>
  <c r="AO12" i="6"/>
  <c r="AN12" i="6"/>
  <c r="AM12" i="6"/>
  <c r="AL12" i="6"/>
  <c r="AE12" i="6"/>
  <c r="AD12" i="6"/>
  <c r="AP12" i="6" s="1"/>
  <c r="Z12" i="6"/>
  <c r="Y12" i="6"/>
  <c r="X12" i="6"/>
  <c r="W12" i="6"/>
  <c r="U12" i="6" s="1"/>
  <c r="T12" i="6"/>
  <c r="R12" i="6"/>
  <c r="S12" i="6" s="1"/>
  <c r="Q12" i="6"/>
  <c r="P12" i="6"/>
  <c r="O12" i="6"/>
  <c r="N12" i="6"/>
  <c r="M12" i="6"/>
  <c r="L12" i="6"/>
  <c r="K12" i="6"/>
  <c r="J12" i="6"/>
  <c r="F12" i="6"/>
  <c r="I12" i="6" s="1"/>
  <c r="E12" i="6"/>
  <c r="D12" i="6"/>
  <c r="C12" i="6"/>
  <c r="BO12" i="6" s="1"/>
  <c r="B12" i="6"/>
  <c r="A12" i="6"/>
  <c r="AW11" i="6"/>
  <c r="AO11" i="6"/>
  <c r="AN11" i="6"/>
  <c r="AM11" i="6"/>
  <c r="AL11" i="6"/>
  <c r="AE11" i="6"/>
  <c r="AD11" i="6"/>
  <c r="AP11" i="6" s="1"/>
  <c r="Z11" i="6"/>
  <c r="Y11" i="6"/>
  <c r="X11" i="6"/>
  <c r="AB11" i="6" s="1"/>
  <c r="W11" i="6"/>
  <c r="V11" i="6" s="1"/>
  <c r="T11" i="6"/>
  <c r="R11" i="6"/>
  <c r="S11" i="6" s="1"/>
  <c r="Q11" i="6"/>
  <c r="P11" i="6"/>
  <c r="O11" i="6"/>
  <c r="N11" i="6"/>
  <c r="M11" i="6"/>
  <c r="L11" i="6"/>
  <c r="K11" i="6"/>
  <c r="J11" i="6"/>
  <c r="F11" i="6"/>
  <c r="H11" i="6" s="1"/>
  <c r="E11" i="6"/>
  <c r="D11" i="6"/>
  <c r="C11" i="6"/>
  <c r="BO11" i="6" s="1"/>
  <c r="B11" i="6"/>
  <c r="A11" i="6"/>
  <c r="AW10" i="6"/>
  <c r="AO10" i="6"/>
  <c r="AN10" i="6"/>
  <c r="AM10" i="6"/>
  <c r="AL10" i="6"/>
  <c r="AE10" i="6"/>
  <c r="AD10" i="6"/>
  <c r="AP10" i="6" s="1"/>
  <c r="Z10" i="6"/>
  <c r="Y10" i="6"/>
  <c r="X10" i="6"/>
  <c r="W10" i="6"/>
  <c r="T10" i="6"/>
  <c r="R10" i="6"/>
  <c r="S10" i="6" s="1"/>
  <c r="Q10" i="6"/>
  <c r="P10" i="6"/>
  <c r="O10" i="6"/>
  <c r="N10" i="6"/>
  <c r="M10" i="6"/>
  <c r="L10" i="6"/>
  <c r="K10" i="6"/>
  <c r="J10" i="6"/>
  <c r="F10" i="6"/>
  <c r="I10" i="6" s="1"/>
  <c r="E10" i="6"/>
  <c r="D10" i="6"/>
  <c r="C10" i="6"/>
  <c r="BO10" i="6" s="1"/>
  <c r="B10" i="6"/>
  <c r="A10" i="6"/>
  <c r="AW9" i="6"/>
  <c r="AO9" i="6"/>
  <c r="AN9" i="6"/>
  <c r="AM9" i="6"/>
  <c r="AL9" i="6"/>
  <c r="AE9" i="6"/>
  <c r="AD9" i="6"/>
  <c r="AP9" i="6" s="1"/>
  <c r="Z9" i="6"/>
  <c r="Y9" i="6"/>
  <c r="X9" i="6"/>
  <c r="W9" i="6"/>
  <c r="V9" i="6" s="1"/>
  <c r="T9" i="6"/>
  <c r="R9" i="6"/>
  <c r="S9" i="6" s="1"/>
  <c r="Q9" i="6"/>
  <c r="P9" i="6"/>
  <c r="O9" i="6"/>
  <c r="N9" i="6"/>
  <c r="M9" i="6"/>
  <c r="L9" i="6"/>
  <c r="K9" i="6"/>
  <c r="J9" i="6"/>
  <c r="F9" i="6"/>
  <c r="H9" i="6" s="1"/>
  <c r="E9" i="6"/>
  <c r="D9" i="6"/>
  <c r="C9" i="6"/>
  <c r="BO9" i="6" s="1"/>
  <c r="B9" i="6"/>
  <c r="A9" i="6"/>
  <c r="AW8" i="6"/>
  <c r="AO8" i="6"/>
  <c r="AN8" i="6"/>
  <c r="AM8" i="6"/>
  <c r="AL8" i="6"/>
  <c r="AE8" i="6"/>
  <c r="AD8" i="6"/>
  <c r="AP8" i="6" s="1"/>
  <c r="Z8" i="6"/>
  <c r="Y8" i="6"/>
  <c r="X8" i="6"/>
  <c r="W8" i="6"/>
  <c r="U8" i="6" s="1"/>
  <c r="T8" i="6"/>
  <c r="R8" i="6"/>
  <c r="S8" i="6" s="1"/>
  <c r="Q8" i="6"/>
  <c r="P8" i="6"/>
  <c r="O8" i="6"/>
  <c r="N8" i="6"/>
  <c r="M8" i="6"/>
  <c r="L8" i="6"/>
  <c r="K8" i="6"/>
  <c r="J8" i="6"/>
  <c r="F8" i="6"/>
  <c r="I8" i="6" s="1"/>
  <c r="E8" i="6"/>
  <c r="D8" i="6"/>
  <c r="C8" i="6"/>
  <c r="BO8" i="6" s="1"/>
  <c r="B8" i="6"/>
  <c r="A8" i="6"/>
  <c r="AE8" i="5"/>
  <c r="AC27" i="7" l="1"/>
  <c r="AI27" i="7"/>
  <c r="AJ27" i="7"/>
  <c r="AK27" i="7"/>
  <c r="AF27" i="7"/>
  <c r="AH27" i="7"/>
  <c r="AG27" i="7"/>
  <c r="AU54" i="7"/>
  <c r="AJ54" i="7"/>
  <c r="AI54" i="7"/>
  <c r="AK54" i="7"/>
  <c r="AH54" i="7"/>
  <c r="AF54" i="7"/>
  <c r="AG54" i="7"/>
  <c r="BA49" i="7"/>
  <c r="AF49" i="7"/>
  <c r="AK49" i="7"/>
  <c r="AJ49" i="7"/>
  <c r="AI49" i="7"/>
  <c r="AH49" i="7"/>
  <c r="AG49" i="7"/>
  <c r="AC32" i="7"/>
  <c r="AJ32" i="7"/>
  <c r="AI32" i="7"/>
  <c r="AH32" i="7"/>
  <c r="AG32" i="7"/>
  <c r="AF32" i="7"/>
  <c r="AK32" i="7"/>
  <c r="BA35" i="7"/>
  <c r="AI35" i="7"/>
  <c r="AJ35" i="7"/>
  <c r="AK35" i="7"/>
  <c r="AQ35" i="7" s="1"/>
  <c r="AS35" i="7" s="1"/>
  <c r="AY35" i="7" s="1"/>
  <c r="AH35" i="7"/>
  <c r="AG35" i="7"/>
  <c r="AF35" i="7"/>
  <c r="AA33" i="7"/>
  <c r="AF33" i="7"/>
  <c r="AJ33" i="7"/>
  <c r="AI33" i="7"/>
  <c r="AK33" i="7"/>
  <c r="AQ33" i="7" s="1"/>
  <c r="AS33" i="7" s="1"/>
  <c r="AY33" i="7" s="1"/>
  <c r="AH33" i="7"/>
  <c r="AG33" i="7"/>
  <c r="AI59" i="7"/>
  <c r="AJ59" i="7"/>
  <c r="AK59" i="7"/>
  <c r="AH59" i="7"/>
  <c r="AG59" i="7"/>
  <c r="AF59" i="7"/>
  <c r="BA58" i="7"/>
  <c r="AI58" i="7"/>
  <c r="AH58" i="7"/>
  <c r="AF58" i="7"/>
  <c r="AG58" i="7"/>
  <c r="AK58" i="7"/>
  <c r="AQ58" i="7" s="1"/>
  <c r="AJ58" i="7"/>
  <c r="AK57" i="7"/>
  <c r="AQ57" i="7" s="1"/>
  <c r="AJ56" i="7"/>
  <c r="AH56" i="7"/>
  <c r="AI56" i="7"/>
  <c r="AG56" i="7"/>
  <c r="AK56" i="7"/>
  <c r="AF56" i="7"/>
  <c r="AU50" i="7"/>
  <c r="AA51" i="7"/>
  <c r="AI51" i="7"/>
  <c r="AJ51" i="7"/>
  <c r="AK51" i="7"/>
  <c r="AH51" i="7"/>
  <c r="AG51" i="7"/>
  <c r="AF51" i="7"/>
  <c r="AH63" i="7"/>
  <c r="AG63" i="7"/>
  <c r="AF63" i="7"/>
  <c r="AI63" i="7"/>
  <c r="AJ63" i="7"/>
  <c r="AK63" i="7"/>
  <c r="AQ63" i="7" s="1"/>
  <c r="BA61" i="7"/>
  <c r="AJ61" i="7"/>
  <c r="AK61" i="7"/>
  <c r="AI61" i="7"/>
  <c r="AG61" i="7"/>
  <c r="AH61" i="7"/>
  <c r="AF61" i="7"/>
  <c r="AU52" i="7"/>
  <c r="AG52" i="7"/>
  <c r="AF52" i="7"/>
  <c r="AK52" i="7"/>
  <c r="AJ52" i="7"/>
  <c r="AI52" i="7"/>
  <c r="AH52" i="7"/>
  <c r="AF41" i="7"/>
  <c r="AJ41" i="7"/>
  <c r="AI41" i="7"/>
  <c r="AG41" i="7"/>
  <c r="AH41" i="7"/>
  <c r="AK41" i="7"/>
  <c r="AU40" i="7"/>
  <c r="AJ40" i="7"/>
  <c r="AH40" i="7"/>
  <c r="AI40" i="7"/>
  <c r="AK40" i="7"/>
  <c r="AG40" i="7"/>
  <c r="AF40" i="7"/>
  <c r="AC38" i="7"/>
  <c r="AJ38" i="7"/>
  <c r="AI38" i="7"/>
  <c r="AH38" i="7"/>
  <c r="AF38" i="7"/>
  <c r="AG38" i="7"/>
  <c r="AK38" i="7"/>
  <c r="AR12" i="7"/>
  <c r="AG12" i="7"/>
  <c r="AF12" i="7"/>
  <c r="AK12" i="7"/>
  <c r="AJ12" i="7"/>
  <c r="AI12" i="7"/>
  <c r="AH12" i="7"/>
  <c r="U15" i="7"/>
  <c r="AU10" i="7"/>
  <c r="AI10" i="7"/>
  <c r="AH10" i="7"/>
  <c r="AG10" i="7"/>
  <c r="AJ10" i="7"/>
  <c r="AK10" i="7"/>
  <c r="AQ10" i="7" s="1"/>
  <c r="AF10" i="7"/>
  <c r="AC16" i="7"/>
  <c r="AJ16" i="7"/>
  <c r="AH16" i="7"/>
  <c r="AI16" i="7"/>
  <c r="AF16" i="7"/>
  <c r="AG16" i="7"/>
  <c r="AK16" i="7"/>
  <c r="AQ16" i="7" s="1"/>
  <c r="BA62" i="7"/>
  <c r="AJ62" i="7"/>
  <c r="AK62" i="7"/>
  <c r="AI62" i="7"/>
  <c r="AH62" i="7"/>
  <c r="AF62" i="7"/>
  <c r="AG62" i="7"/>
  <c r="AB52" i="7"/>
  <c r="AV52" i="7" s="1"/>
  <c r="AU48" i="7"/>
  <c r="AJ48" i="7"/>
  <c r="AH48" i="7"/>
  <c r="AI48" i="7"/>
  <c r="AG48" i="7"/>
  <c r="AF48" i="7"/>
  <c r="AK48" i="7"/>
  <c r="AQ48" i="7" s="1"/>
  <c r="AT48" i="7" s="1"/>
  <c r="AX48" i="7" s="1"/>
  <c r="AU42" i="7"/>
  <c r="AI42" i="7"/>
  <c r="AH42" i="7"/>
  <c r="AF42" i="7"/>
  <c r="AG42" i="7"/>
  <c r="AK42" i="7"/>
  <c r="AJ42" i="7"/>
  <c r="AU14" i="7"/>
  <c r="AJ14" i="7"/>
  <c r="AG14" i="7"/>
  <c r="AK14" i="7"/>
  <c r="AF14" i="7"/>
  <c r="AH14" i="7"/>
  <c r="AI14" i="7"/>
  <c r="AC22" i="7"/>
  <c r="AJ22" i="7"/>
  <c r="AC26" i="7"/>
  <c r="AI26" i="7"/>
  <c r="AH26" i="7"/>
  <c r="AF26" i="7"/>
  <c r="AG26" i="7"/>
  <c r="AK26" i="7"/>
  <c r="AJ26" i="7"/>
  <c r="AF25" i="7"/>
  <c r="AK25" i="7"/>
  <c r="AI25" i="7"/>
  <c r="AH25" i="7"/>
  <c r="AJ25" i="7"/>
  <c r="AG25" i="7"/>
  <c r="AU55" i="7"/>
  <c r="AH55" i="7"/>
  <c r="AG55" i="7"/>
  <c r="AF55" i="7"/>
  <c r="AJ55" i="7"/>
  <c r="AI55" i="7"/>
  <c r="AK55" i="7"/>
  <c r="AQ55" i="7" s="1"/>
  <c r="AT55" i="7" s="1"/>
  <c r="AX55" i="7" s="1"/>
  <c r="AJ13" i="7"/>
  <c r="AK13" i="7"/>
  <c r="AI13" i="7"/>
  <c r="AG13" i="7"/>
  <c r="AH13" i="7"/>
  <c r="AF13" i="7"/>
  <c r="AV48" i="7"/>
  <c r="BA47" i="7"/>
  <c r="AH47" i="7"/>
  <c r="AG47" i="7"/>
  <c r="AF47" i="7"/>
  <c r="AI47" i="7"/>
  <c r="AJ47" i="7"/>
  <c r="AK47" i="7"/>
  <c r="AU44" i="7"/>
  <c r="AG44" i="7"/>
  <c r="AF44" i="7"/>
  <c r="AK44" i="7"/>
  <c r="AJ44" i="7"/>
  <c r="AH44" i="7"/>
  <c r="AI44" i="7"/>
  <c r="AU43" i="7"/>
  <c r="AJ43" i="7"/>
  <c r="AI19" i="7"/>
  <c r="AJ19" i="7"/>
  <c r="AK19" i="7"/>
  <c r="AQ19" i="7" s="1"/>
  <c r="AG19" i="7"/>
  <c r="AH19" i="7"/>
  <c r="AF19" i="7"/>
  <c r="AC18" i="7"/>
  <c r="AI18" i="7"/>
  <c r="AH18" i="7"/>
  <c r="AF18" i="7"/>
  <c r="AG18" i="7"/>
  <c r="AK18" i="7"/>
  <c r="AQ18" i="7" s="1"/>
  <c r="AJ18" i="7"/>
  <c r="AK15" i="7"/>
  <c r="AJ15" i="7"/>
  <c r="AC28" i="7"/>
  <c r="AG28" i="7"/>
  <c r="AF28" i="7"/>
  <c r="AK28" i="7"/>
  <c r="AJ28" i="7"/>
  <c r="AI28" i="7"/>
  <c r="AH28" i="7"/>
  <c r="AA27" i="7"/>
  <c r="BA52" i="7"/>
  <c r="BB52" i="7" s="1"/>
  <c r="BA45" i="7"/>
  <c r="AJ45" i="7"/>
  <c r="AK45" i="7"/>
  <c r="AI45" i="7"/>
  <c r="AG45" i="7"/>
  <c r="AH45" i="7"/>
  <c r="AF45" i="7"/>
  <c r="AH31" i="7"/>
  <c r="AG31" i="7"/>
  <c r="AF31" i="7"/>
  <c r="AJ31" i="7"/>
  <c r="AI31" i="7"/>
  <c r="AK31" i="7"/>
  <c r="AC34" i="7"/>
  <c r="AI34" i="7"/>
  <c r="AH34" i="7"/>
  <c r="AF34" i="7"/>
  <c r="AG34" i="7"/>
  <c r="AJ34" i="7"/>
  <c r="AK34" i="7"/>
  <c r="AU9" i="7"/>
  <c r="AF9" i="7"/>
  <c r="AJ9" i="7"/>
  <c r="AK9" i="7"/>
  <c r="AQ9" i="7" s="1"/>
  <c r="AI9" i="7"/>
  <c r="AH9" i="7"/>
  <c r="AG9" i="7"/>
  <c r="AA36" i="7"/>
  <c r="AK36" i="7"/>
  <c r="AJ36" i="7"/>
  <c r="BA60" i="7"/>
  <c r="AG60" i="7"/>
  <c r="AF60" i="7"/>
  <c r="AK60" i="7"/>
  <c r="AH60" i="7"/>
  <c r="AJ60" i="7"/>
  <c r="AI60" i="7"/>
  <c r="AU39" i="7"/>
  <c r="AH39" i="7"/>
  <c r="AG39" i="7"/>
  <c r="AF39" i="7"/>
  <c r="AK39" i="7"/>
  <c r="AI39" i="7"/>
  <c r="AJ39" i="7"/>
  <c r="AU37" i="7"/>
  <c r="AJ37" i="7"/>
  <c r="AK37" i="7"/>
  <c r="AI37" i="7"/>
  <c r="AG37" i="7"/>
  <c r="AH37" i="7"/>
  <c r="AF37" i="7"/>
  <c r="AB36" i="7"/>
  <c r="AS36" i="7" s="1"/>
  <c r="AY36" i="7" s="1"/>
  <c r="AA17" i="7"/>
  <c r="AF17" i="7"/>
  <c r="AH17" i="7"/>
  <c r="AG17" i="7"/>
  <c r="AK17" i="7"/>
  <c r="AJ17" i="7"/>
  <c r="AI17" i="7"/>
  <c r="AC8" i="7"/>
  <c r="AK8" i="7"/>
  <c r="AU11" i="7"/>
  <c r="AI11" i="7"/>
  <c r="AJ11" i="7"/>
  <c r="AK11" i="7"/>
  <c r="AF11" i="7"/>
  <c r="AH11" i="7"/>
  <c r="AG11" i="7"/>
  <c r="AJ21" i="7"/>
  <c r="AK21" i="7"/>
  <c r="AQ21" i="7" s="1"/>
  <c r="AI21" i="7"/>
  <c r="AG21" i="7"/>
  <c r="AH21" i="7"/>
  <c r="AF21" i="7"/>
  <c r="AC20" i="7"/>
  <c r="AG20" i="7"/>
  <c r="AF20" i="7"/>
  <c r="AK20" i="7"/>
  <c r="AQ20" i="7" s="1"/>
  <c r="AI20" i="7"/>
  <c r="AH20" i="7"/>
  <c r="AJ20" i="7"/>
  <c r="AC30" i="7"/>
  <c r="AJ30" i="7"/>
  <c r="AF30" i="7"/>
  <c r="AH30" i="7"/>
  <c r="AG30" i="7"/>
  <c r="AI30" i="7"/>
  <c r="AK30" i="7"/>
  <c r="AK29" i="7"/>
  <c r="AI29" i="7"/>
  <c r="AH29" i="7"/>
  <c r="AG29" i="7"/>
  <c r="AF29" i="7"/>
  <c r="AU27" i="7"/>
  <c r="AC24" i="7"/>
  <c r="AJ24" i="7"/>
  <c r="AH24" i="7"/>
  <c r="AI24" i="7"/>
  <c r="AK24" i="7"/>
  <c r="AQ24" i="7" s="1"/>
  <c r="AG24" i="7"/>
  <c r="AF24" i="7"/>
  <c r="AH23" i="7"/>
  <c r="AG23" i="7"/>
  <c r="AF23" i="7"/>
  <c r="AJ23" i="7"/>
  <c r="AI23" i="7"/>
  <c r="AK23" i="7"/>
  <c r="AQ23" i="7" s="1"/>
  <c r="AU35" i="7"/>
  <c r="AC35" i="7"/>
  <c r="AA56" i="7"/>
  <c r="AA53" i="7"/>
  <c r="AJ53" i="7"/>
  <c r="AK53" i="7"/>
  <c r="AI53" i="7"/>
  <c r="AG53" i="7"/>
  <c r="AH53" i="7"/>
  <c r="AF53" i="7"/>
  <c r="V48" i="7"/>
  <c r="AU46" i="7"/>
  <c r="AJ46" i="7"/>
  <c r="AI46" i="7"/>
  <c r="AH46" i="7"/>
  <c r="AG46" i="7"/>
  <c r="AK46" i="7"/>
  <c r="AQ46" i="7" s="1"/>
  <c r="AF46" i="7"/>
  <c r="G39" i="7"/>
  <c r="AJ30" i="6"/>
  <c r="AI30" i="6"/>
  <c r="AH30" i="6"/>
  <c r="AK30" i="6"/>
  <c r="AG30" i="6"/>
  <c r="AF30" i="6"/>
  <c r="AU25" i="6"/>
  <c r="AJ25" i="6"/>
  <c r="AI25" i="6"/>
  <c r="AH25" i="6"/>
  <c r="AG25" i="6"/>
  <c r="AF25" i="6"/>
  <c r="AK25" i="6"/>
  <c r="AA21" i="6"/>
  <c r="AI21" i="6"/>
  <c r="AG21" i="6"/>
  <c r="AH21" i="6"/>
  <c r="AF21" i="6"/>
  <c r="AK21" i="6"/>
  <c r="AJ21" i="6"/>
  <c r="AC32" i="6"/>
  <c r="AJ32" i="6"/>
  <c r="AH32" i="6"/>
  <c r="AI32" i="6"/>
  <c r="AK32" i="6"/>
  <c r="AG32" i="6"/>
  <c r="AF32" i="6"/>
  <c r="AA54" i="6"/>
  <c r="AJ54" i="6"/>
  <c r="AH54" i="6"/>
  <c r="AG54" i="6"/>
  <c r="AK54" i="6"/>
  <c r="AQ54" i="6" s="1"/>
  <c r="AF54" i="6"/>
  <c r="AI54" i="6"/>
  <c r="AB48" i="6"/>
  <c r="AB45" i="6"/>
  <c r="AC35" i="6"/>
  <c r="AI35" i="6"/>
  <c r="AJ35" i="6"/>
  <c r="AK35" i="6"/>
  <c r="AQ35" i="6" s="1"/>
  <c r="AS35" i="6" s="1"/>
  <c r="AY35" i="6" s="1"/>
  <c r="AH35" i="6"/>
  <c r="AG35" i="6"/>
  <c r="AF35" i="6"/>
  <c r="AR41" i="6"/>
  <c r="AI41" i="6"/>
  <c r="AH41" i="6"/>
  <c r="AG41" i="6"/>
  <c r="AF41" i="6"/>
  <c r="AJ41" i="6"/>
  <c r="AK41" i="6"/>
  <c r="AG63" i="6"/>
  <c r="AF63" i="6"/>
  <c r="AK63" i="6"/>
  <c r="AJ63" i="6"/>
  <c r="AH63" i="6"/>
  <c r="AI63" i="6"/>
  <c r="AC60" i="6"/>
  <c r="AF60" i="6"/>
  <c r="AK60" i="6"/>
  <c r="AJ60" i="6"/>
  <c r="AH60" i="6"/>
  <c r="AI60" i="6"/>
  <c r="AG60" i="6"/>
  <c r="AR14" i="6"/>
  <c r="AJ14" i="6"/>
  <c r="AI14" i="6"/>
  <c r="AH14" i="6"/>
  <c r="AG14" i="6"/>
  <c r="AK14" i="6"/>
  <c r="AF14" i="6"/>
  <c r="AA43" i="6"/>
  <c r="AI43" i="6"/>
  <c r="AJ43" i="6"/>
  <c r="AI59" i="6"/>
  <c r="AJ59" i="6"/>
  <c r="AK59" i="6"/>
  <c r="AQ59" i="6" s="1"/>
  <c r="AH59" i="6"/>
  <c r="AG59" i="6"/>
  <c r="AF59" i="6"/>
  <c r="AJ9" i="6"/>
  <c r="AI9" i="6"/>
  <c r="AH9" i="6"/>
  <c r="AG9" i="6"/>
  <c r="AF9" i="6"/>
  <c r="AK9" i="6"/>
  <c r="AF28" i="6"/>
  <c r="AK28" i="6"/>
  <c r="AJ28" i="6"/>
  <c r="AI28" i="6"/>
  <c r="AH28" i="6"/>
  <c r="AG28" i="6"/>
  <c r="AB33" i="6"/>
  <c r="AJ33" i="6"/>
  <c r="AK33" i="6"/>
  <c r="AI33" i="6"/>
  <c r="AH33" i="6"/>
  <c r="AG33" i="6"/>
  <c r="AF33" i="6"/>
  <c r="AI61" i="6"/>
  <c r="AG61" i="6"/>
  <c r="AH61" i="6"/>
  <c r="AJ61" i="6"/>
  <c r="AF61" i="6"/>
  <c r="AK61" i="6"/>
  <c r="AJ56" i="6"/>
  <c r="AH56" i="6"/>
  <c r="AI56" i="6"/>
  <c r="AG56" i="6"/>
  <c r="AF56" i="6"/>
  <c r="AK56" i="6"/>
  <c r="AQ56" i="6" s="1"/>
  <c r="AS56" i="6" s="1"/>
  <c r="AY56" i="6" s="1"/>
  <c r="AR12" i="6"/>
  <c r="AF12" i="6"/>
  <c r="AK12" i="6"/>
  <c r="AJ12" i="6"/>
  <c r="AI12" i="6"/>
  <c r="AG12" i="6"/>
  <c r="AH12" i="6"/>
  <c r="AH18" i="6"/>
  <c r="AF18" i="6"/>
  <c r="AG18" i="6"/>
  <c r="AJ18" i="6"/>
  <c r="AI18" i="6"/>
  <c r="AK18" i="6"/>
  <c r="AA15" i="6"/>
  <c r="AF15" i="6"/>
  <c r="AK15" i="6"/>
  <c r="AK50" i="6"/>
  <c r="BA48" i="6"/>
  <c r="AJ48" i="6"/>
  <c r="AH48" i="6"/>
  <c r="AI48" i="6"/>
  <c r="AG48" i="6"/>
  <c r="AK48" i="6"/>
  <c r="AF48" i="6"/>
  <c r="AI45" i="6"/>
  <c r="AG45" i="6"/>
  <c r="AH45" i="6"/>
  <c r="AK45" i="6"/>
  <c r="AJ45" i="6"/>
  <c r="AF45" i="6"/>
  <c r="AH42" i="6"/>
  <c r="AF42" i="6"/>
  <c r="AG42" i="6"/>
  <c r="AK42" i="6"/>
  <c r="AJ42" i="6"/>
  <c r="AI42" i="6"/>
  <c r="AU39" i="6"/>
  <c r="AG39" i="6"/>
  <c r="AF39" i="6"/>
  <c r="AH39" i="6"/>
  <c r="AK39" i="6"/>
  <c r="AJ39" i="6"/>
  <c r="AI39" i="6"/>
  <c r="AA36" i="6"/>
  <c r="AK36" i="6"/>
  <c r="AQ36" i="6" s="1"/>
  <c r="AT36" i="6" s="1"/>
  <c r="AR10" i="6"/>
  <c r="AH10" i="6"/>
  <c r="AF10" i="6"/>
  <c r="AG10" i="6"/>
  <c r="AJ10" i="6"/>
  <c r="AK10" i="6"/>
  <c r="AI10" i="6"/>
  <c r="AF52" i="6"/>
  <c r="AK52" i="6"/>
  <c r="AQ52" i="6" s="1"/>
  <c r="AT52" i="6" s="1"/>
  <c r="AX52" i="6" s="1"/>
  <c r="AG52" i="6"/>
  <c r="AJ52" i="6"/>
  <c r="AI52" i="6"/>
  <c r="AH52" i="6"/>
  <c r="AR47" i="6"/>
  <c r="AG47" i="6"/>
  <c r="AF47" i="6"/>
  <c r="AJ47" i="6"/>
  <c r="AI47" i="6"/>
  <c r="AK47" i="6"/>
  <c r="AQ47" i="6" s="1"/>
  <c r="AH47" i="6"/>
  <c r="AA44" i="6"/>
  <c r="AF44" i="6"/>
  <c r="AK44" i="6"/>
  <c r="AH44" i="6"/>
  <c r="AG44" i="6"/>
  <c r="AJ44" i="6"/>
  <c r="AI44" i="6"/>
  <c r="AI13" i="6"/>
  <c r="AG13" i="6"/>
  <c r="AH13" i="6"/>
  <c r="AJ13" i="6"/>
  <c r="AK13" i="6"/>
  <c r="AQ13" i="6" s="1"/>
  <c r="AF13" i="6"/>
  <c r="AI27" i="6"/>
  <c r="AJ27" i="6"/>
  <c r="AK27" i="6"/>
  <c r="AQ27" i="6" s="1"/>
  <c r="AS27" i="6" s="1"/>
  <c r="AY27" i="6" s="1"/>
  <c r="AG27" i="6"/>
  <c r="AF27" i="6"/>
  <c r="AH27" i="6"/>
  <c r="AR24" i="6"/>
  <c r="AJ24" i="6"/>
  <c r="AH24" i="6"/>
  <c r="AI24" i="6"/>
  <c r="AK24" i="6"/>
  <c r="AQ24" i="6" s="1"/>
  <c r="AF24" i="6"/>
  <c r="AG24" i="6"/>
  <c r="AF20" i="6"/>
  <c r="AK20" i="6"/>
  <c r="AJ20" i="6"/>
  <c r="AI20" i="6"/>
  <c r="AH20" i="6"/>
  <c r="AG20" i="6"/>
  <c r="AJ17" i="6"/>
  <c r="AI17" i="6"/>
  <c r="AG17" i="6"/>
  <c r="AF17" i="6"/>
  <c r="AK17" i="6"/>
  <c r="AH17" i="6"/>
  <c r="BA53" i="6"/>
  <c r="AI53" i="6"/>
  <c r="AG53" i="6"/>
  <c r="AH53" i="6"/>
  <c r="AK53" i="6"/>
  <c r="AJ53" i="6"/>
  <c r="AF53" i="6"/>
  <c r="AU49" i="6"/>
  <c r="AB47" i="6"/>
  <c r="AJ38" i="6"/>
  <c r="AI38" i="6"/>
  <c r="AH38" i="6"/>
  <c r="AG38" i="6"/>
  <c r="AK38" i="6"/>
  <c r="AQ38" i="6" s="1"/>
  <c r="AF38" i="6"/>
  <c r="AH58" i="6"/>
  <c r="AF58" i="6"/>
  <c r="AG58" i="6"/>
  <c r="AJ58" i="6"/>
  <c r="AK58" i="6"/>
  <c r="AI58" i="6"/>
  <c r="AA55" i="6"/>
  <c r="AR28" i="6"/>
  <c r="AR8" i="6"/>
  <c r="AH8" i="6"/>
  <c r="AK8" i="6"/>
  <c r="AQ8" i="6" s="1"/>
  <c r="BA29" i="6"/>
  <c r="AH29" i="6"/>
  <c r="AK29" i="6"/>
  <c r="AC34" i="6"/>
  <c r="AH34" i="6"/>
  <c r="AF34" i="6"/>
  <c r="AG34" i="6"/>
  <c r="AK34" i="6"/>
  <c r="AQ34" i="6" s="1"/>
  <c r="AJ34" i="6"/>
  <c r="AI34" i="6"/>
  <c r="AR51" i="6"/>
  <c r="AI51" i="6"/>
  <c r="AJ51" i="6"/>
  <c r="AK51" i="6"/>
  <c r="AH51" i="6"/>
  <c r="AG51" i="6"/>
  <c r="AF51" i="6"/>
  <c r="AJ40" i="6"/>
  <c r="AH40" i="6"/>
  <c r="AI40" i="6"/>
  <c r="AK40" i="6"/>
  <c r="AG40" i="6"/>
  <c r="AF40" i="6"/>
  <c r="AA59" i="6"/>
  <c r="AH26" i="6"/>
  <c r="AF26" i="6"/>
  <c r="AG26" i="6"/>
  <c r="AI26" i="6"/>
  <c r="AJ26" i="6"/>
  <c r="AK26" i="6"/>
  <c r="AJ16" i="6"/>
  <c r="AH16" i="6"/>
  <c r="AI16" i="6"/>
  <c r="AF16" i="6"/>
  <c r="AK16" i="6"/>
  <c r="AG16" i="6"/>
  <c r="AI37" i="6"/>
  <c r="AG37" i="6"/>
  <c r="AH37" i="6"/>
  <c r="AJ37" i="6"/>
  <c r="AF37" i="6"/>
  <c r="AK37" i="6"/>
  <c r="BA11" i="6"/>
  <c r="AI11" i="6"/>
  <c r="AJ11" i="6"/>
  <c r="AK11" i="6"/>
  <c r="AF11" i="6"/>
  <c r="AH11" i="6"/>
  <c r="AG11" i="6"/>
  <c r="BA23" i="6"/>
  <c r="AG23" i="6"/>
  <c r="AF23" i="6"/>
  <c r="AJ23" i="6"/>
  <c r="AK23" i="6"/>
  <c r="AI23" i="6"/>
  <c r="AH23" i="6"/>
  <c r="AI19" i="6"/>
  <c r="AJ19" i="6"/>
  <c r="AK19" i="6"/>
  <c r="AH19" i="6"/>
  <c r="AG19" i="6"/>
  <c r="AF19" i="6"/>
  <c r="AA31" i="6"/>
  <c r="AG31" i="6"/>
  <c r="AF31" i="6"/>
  <c r="AI31" i="6"/>
  <c r="AH31" i="6"/>
  <c r="AK31" i="6"/>
  <c r="AJ31" i="6"/>
  <c r="AR49" i="6"/>
  <c r="AH49" i="6"/>
  <c r="AG49" i="6"/>
  <c r="AF49" i="6"/>
  <c r="AK49" i="6"/>
  <c r="AJ49" i="6"/>
  <c r="AI49" i="6"/>
  <c r="AA46" i="6"/>
  <c r="AJ46" i="6"/>
  <c r="AI46" i="6"/>
  <c r="AH46" i="6"/>
  <c r="AG46" i="6"/>
  <c r="AF46" i="6"/>
  <c r="AK46" i="6"/>
  <c r="H39" i="6"/>
  <c r="AC62" i="6"/>
  <c r="AJ62" i="6"/>
  <c r="AG62" i="6"/>
  <c r="AF62" i="6"/>
  <c r="AK62" i="6"/>
  <c r="AI62" i="6"/>
  <c r="AH62" i="6"/>
  <c r="AR59" i="6"/>
  <c r="AA57" i="6"/>
  <c r="AJ57" i="6"/>
  <c r="AK57" i="6"/>
  <c r="AC55" i="6"/>
  <c r="AG55" i="6"/>
  <c r="AF55" i="6"/>
  <c r="AK55" i="6"/>
  <c r="AJ55" i="6"/>
  <c r="AI55" i="6"/>
  <c r="AH55" i="6"/>
  <c r="AJ21" i="9"/>
  <c r="AK21" i="9"/>
  <c r="AI21" i="9"/>
  <c r="AH21" i="9"/>
  <c r="AG21" i="9"/>
  <c r="AF21" i="9"/>
  <c r="AI42" i="9"/>
  <c r="AH42" i="9"/>
  <c r="AG42" i="9"/>
  <c r="AF42" i="9"/>
  <c r="AK42" i="9"/>
  <c r="AJ42" i="9"/>
  <c r="AF49" i="9"/>
  <c r="AH49" i="9"/>
  <c r="AK49" i="9"/>
  <c r="AJ49" i="9"/>
  <c r="AI49" i="9"/>
  <c r="AG49" i="9"/>
  <c r="BA56" i="9"/>
  <c r="AJ56" i="9"/>
  <c r="AI56" i="9"/>
  <c r="AH56" i="9"/>
  <c r="AK56" i="9"/>
  <c r="AG56" i="9"/>
  <c r="AF56" i="9"/>
  <c r="AU8" i="9"/>
  <c r="AV8" i="9" s="1"/>
  <c r="AJ8" i="9"/>
  <c r="AI8" i="9"/>
  <c r="AH8" i="9"/>
  <c r="AK8" i="9"/>
  <c r="AG8" i="9"/>
  <c r="AF8" i="9"/>
  <c r="AJ13" i="9"/>
  <c r="AK13" i="9"/>
  <c r="AI13" i="9"/>
  <c r="AH13" i="9"/>
  <c r="AG13" i="9"/>
  <c r="AF13" i="9"/>
  <c r="AF25" i="9"/>
  <c r="AJ25" i="9"/>
  <c r="AI25" i="9"/>
  <c r="AK25" i="9"/>
  <c r="AH25" i="9"/>
  <c r="AG25" i="9"/>
  <c r="AU25" i="9"/>
  <c r="AV25" i="9" s="1"/>
  <c r="AR27" i="9"/>
  <c r="AI10" i="9"/>
  <c r="AH10" i="9"/>
  <c r="AG10" i="9"/>
  <c r="AF10" i="9"/>
  <c r="AK10" i="9"/>
  <c r="AJ10" i="9"/>
  <c r="AH15" i="9"/>
  <c r="AG15" i="9"/>
  <c r="AF15" i="9"/>
  <c r="AK15" i="9"/>
  <c r="AJ15" i="9"/>
  <c r="AI15" i="9"/>
  <c r="BA20" i="9"/>
  <c r="AG20" i="9"/>
  <c r="AF20" i="9"/>
  <c r="AJ20" i="9"/>
  <c r="AK20" i="9"/>
  <c r="AI20" i="9"/>
  <c r="AH20" i="9"/>
  <c r="AJ29" i="9"/>
  <c r="AK29" i="9"/>
  <c r="AI29" i="9"/>
  <c r="AH29" i="9"/>
  <c r="AG29" i="9"/>
  <c r="AF29" i="9"/>
  <c r="AG36" i="9"/>
  <c r="AF36" i="9"/>
  <c r="AK36" i="9"/>
  <c r="AI36" i="9"/>
  <c r="AJ36" i="9"/>
  <c r="AH36" i="9"/>
  <c r="AC41" i="9"/>
  <c r="AF41" i="9"/>
  <c r="AJ41" i="9"/>
  <c r="AI41" i="9"/>
  <c r="AH41" i="9"/>
  <c r="AG41" i="9"/>
  <c r="AK41" i="9"/>
  <c r="AU48" i="9"/>
  <c r="AV48" i="9" s="1"/>
  <c r="AJ48" i="9"/>
  <c r="AI48" i="9"/>
  <c r="AH48" i="9"/>
  <c r="AG48" i="9"/>
  <c r="AK48" i="9"/>
  <c r="AQ48" i="9" s="1"/>
  <c r="AF48" i="9"/>
  <c r="AJ11" i="9"/>
  <c r="AK11" i="9"/>
  <c r="AI11" i="9"/>
  <c r="AF11" i="9"/>
  <c r="AH11" i="9"/>
  <c r="AG11" i="9"/>
  <c r="AR11" i="9"/>
  <c r="BA11" i="9"/>
  <c r="BA49" i="9"/>
  <c r="AG12" i="9"/>
  <c r="AF12" i="9"/>
  <c r="AJ12" i="9"/>
  <c r="AI12" i="9"/>
  <c r="AH12" i="9"/>
  <c r="AK12" i="9"/>
  <c r="AJ22" i="9"/>
  <c r="AI22" i="9"/>
  <c r="AH22" i="9"/>
  <c r="AG22" i="9"/>
  <c r="AF22" i="9"/>
  <c r="AK22" i="9"/>
  <c r="AC31" i="9"/>
  <c r="AH31" i="9"/>
  <c r="AG31" i="9"/>
  <c r="AF31" i="9"/>
  <c r="AJ31" i="9"/>
  <c r="AI31" i="9"/>
  <c r="AK31" i="9"/>
  <c r="AJ43" i="9"/>
  <c r="AK43" i="9"/>
  <c r="AI43" i="9"/>
  <c r="AF43" i="9"/>
  <c r="AH43" i="9"/>
  <c r="AG43" i="9"/>
  <c r="AI50" i="9"/>
  <c r="AH50" i="9"/>
  <c r="AG50" i="9"/>
  <c r="AF50" i="9"/>
  <c r="AK50" i="9"/>
  <c r="AJ50" i="9"/>
  <c r="AF57" i="9"/>
  <c r="AJ57" i="9"/>
  <c r="AI57" i="9"/>
  <c r="AK57" i="9"/>
  <c r="AH57" i="9"/>
  <c r="AG57" i="9"/>
  <c r="AJ16" i="9"/>
  <c r="AI16" i="9"/>
  <c r="AH16" i="9"/>
  <c r="AG16" i="9"/>
  <c r="AK16" i="9"/>
  <c r="AF16" i="9"/>
  <c r="AH23" i="9"/>
  <c r="AG23" i="9"/>
  <c r="AF23" i="9"/>
  <c r="AJ23" i="9"/>
  <c r="AK23" i="9"/>
  <c r="AI23" i="9"/>
  <c r="AJ30" i="9"/>
  <c r="AG30" i="9"/>
  <c r="AK30" i="9"/>
  <c r="AI30" i="9"/>
  <c r="AH30" i="9"/>
  <c r="AF30" i="9"/>
  <c r="BA32" i="9"/>
  <c r="AJ32" i="9"/>
  <c r="AI32" i="9"/>
  <c r="AH32" i="9"/>
  <c r="AG32" i="9"/>
  <c r="AF32" i="9"/>
  <c r="AK32" i="9"/>
  <c r="AJ37" i="9"/>
  <c r="AK37" i="9"/>
  <c r="AI37" i="9"/>
  <c r="AH37" i="9"/>
  <c r="AG37" i="9"/>
  <c r="AF37" i="9"/>
  <c r="AJ51" i="9"/>
  <c r="AK51" i="9"/>
  <c r="AI51" i="9"/>
  <c r="AH51" i="9"/>
  <c r="AG51" i="9"/>
  <c r="AF51" i="9"/>
  <c r="BA23" i="9"/>
  <c r="AR49" i="9"/>
  <c r="AH39" i="9"/>
  <c r="AG39" i="9"/>
  <c r="AF39" i="9"/>
  <c r="AK39" i="9"/>
  <c r="AQ39" i="9" s="1"/>
  <c r="AT39" i="9" s="1"/>
  <c r="AX39" i="9" s="1"/>
  <c r="AJ39" i="9"/>
  <c r="AI39" i="9"/>
  <c r="AG44" i="9"/>
  <c r="AF44" i="9"/>
  <c r="AJ44" i="9"/>
  <c r="AI44" i="9"/>
  <c r="AH44" i="9"/>
  <c r="AK44" i="9"/>
  <c r="AQ44" i="9" s="1"/>
  <c r="AJ53" i="9"/>
  <c r="AK53" i="9"/>
  <c r="AI53" i="9"/>
  <c r="AH53" i="9"/>
  <c r="AG53" i="9"/>
  <c r="AF53" i="9"/>
  <c r="AI58" i="9"/>
  <c r="AH58" i="9"/>
  <c r="AG58" i="9"/>
  <c r="AF58" i="9"/>
  <c r="AK58" i="9"/>
  <c r="AJ58" i="9"/>
  <c r="AG60" i="9"/>
  <c r="AF60" i="9"/>
  <c r="AK60" i="9"/>
  <c r="AJ60" i="9"/>
  <c r="AI60" i="9"/>
  <c r="AH60" i="9"/>
  <c r="AU11" i="9"/>
  <c r="BA13" i="9"/>
  <c r="AR23" i="9"/>
  <c r="AR25" i="9"/>
  <c r="AU39" i="9"/>
  <c r="AV39" i="9" s="1"/>
  <c r="AU49" i="9"/>
  <c r="AU18" i="9"/>
  <c r="AI18" i="9"/>
  <c r="AH18" i="9"/>
  <c r="AG18" i="9"/>
  <c r="AF18" i="9"/>
  <c r="AJ18" i="9"/>
  <c r="AK18" i="9"/>
  <c r="AQ18" i="9" s="1"/>
  <c r="AC27" i="9"/>
  <c r="AJ27" i="9"/>
  <c r="AK27" i="9"/>
  <c r="AQ27" i="9" s="1"/>
  <c r="AI27" i="9"/>
  <c r="AH27" i="9"/>
  <c r="AG27" i="9"/>
  <c r="AF27" i="9"/>
  <c r="AI34" i="9"/>
  <c r="AH34" i="9"/>
  <c r="AG34" i="9"/>
  <c r="AF34" i="9"/>
  <c r="AK34" i="9"/>
  <c r="AJ34" i="9"/>
  <c r="AJ46" i="9"/>
  <c r="AK46" i="9"/>
  <c r="AQ46" i="9" s="1"/>
  <c r="AT46" i="9" s="1"/>
  <c r="AX46" i="9" s="1"/>
  <c r="AI46" i="9"/>
  <c r="AH46" i="9"/>
  <c r="AG46" i="9"/>
  <c r="AF46" i="9"/>
  <c r="AH55" i="9"/>
  <c r="AG55" i="9"/>
  <c r="AF55" i="9"/>
  <c r="AJ55" i="9"/>
  <c r="AK55" i="9"/>
  <c r="AQ55" i="9" s="1"/>
  <c r="AS55" i="9" s="1"/>
  <c r="AY55" i="9" s="1"/>
  <c r="AI55" i="9"/>
  <c r="AJ62" i="9"/>
  <c r="AG62" i="9"/>
  <c r="AK62" i="9"/>
  <c r="AI62" i="9"/>
  <c r="AH62" i="9"/>
  <c r="AF62" i="9"/>
  <c r="AR21" i="9"/>
  <c r="BA25" i="9"/>
  <c r="BA30" i="9"/>
  <c r="AR46" i="9"/>
  <c r="BA53" i="9"/>
  <c r="AC13" i="9"/>
  <c r="AF17" i="9"/>
  <c r="AH17" i="9"/>
  <c r="AK17" i="9"/>
  <c r="AJ17" i="9"/>
  <c r="AI17" i="9"/>
  <c r="AG17" i="9"/>
  <c r="AR24" i="9"/>
  <c r="AJ24" i="9"/>
  <c r="AI24" i="9"/>
  <c r="AH24" i="9"/>
  <c r="AK24" i="9"/>
  <c r="AG24" i="9"/>
  <c r="AF24" i="9"/>
  <c r="AV27" i="9"/>
  <c r="AF33" i="9"/>
  <c r="AI33" i="9"/>
  <c r="AK33" i="9"/>
  <c r="AQ33" i="9" s="1"/>
  <c r="AS33" i="9" s="1"/>
  <c r="AY33" i="9" s="1"/>
  <c r="AJ33" i="9"/>
  <c r="AH33" i="9"/>
  <c r="AG33" i="9"/>
  <c r="AJ38" i="9"/>
  <c r="AI38" i="9"/>
  <c r="AK38" i="9"/>
  <c r="AQ38" i="9" s="1"/>
  <c r="AH38" i="9"/>
  <c r="AG38" i="9"/>
  <c r="AF38" i="9"/>
  <c r="AC52" i="9"/>
  <c r="AG52" i="9"/>
  <c r="AF52" i="9"/>
  <c r="AJ52" i="9"/>
  <c r="AK52" i="9"/>
  <c r="AI52" i="9"/>
  <c r="AH52" i="9"/>
  <c r="AC59" i="9"/>
  <c r="AJ59" i="9"/>
  <c r="AK59" i="9"/>
  <c r="AI59" i="9"/>
  <c r="AH59" i="9"/>
  <c r="AG59" i="9"/>
  <c r="AF59" i="9"/>
  <c r="AJ61" i="9"/>
  <c r="AK61" i="9"/>
  <c r="AQ61" i="9" s="1"/>
  <c r="AS61" i="9" s="1"/>
  <c r="AY61" i="9" s="1"/>
  <c r="AI61" i="9"/>
  <c r="AH61" i="9"/>
  <c r="AG61" i="9"/>
  <c r="AF61" i="9"/>
  <c r="AR13" i="9"/>
  <c r="BA27" i="9"/>
  <c r="BA31" i="9"/>
  <c r="BB31" i="9" s="1"/>
  <c r="BG31" i="9" s="1"/>
  <c r="AU46" i="9"/>
  <c r="AR51" i="9"/>
  <c r="BA55" i="9"/>
  <c r="AF9" i="9"/>
  <c r="AJ9" i="9"/>
  <c r="AI9" i="9"/>
  <c r="AH9" i="9"/>
  <c r="AK9" i="9"/>
  <c r="AG9" i="9"/>
  <c r="AQ14" i="9"/>
  <c r="AJ14" i="9"/>
  <c r="AK14" i="9"/>
  <c r="AI14" i="9"/>
  <c r="AH14" i="9"/>
  <c r="AG14" i="9"/>
  <c r="AF14" i="9"/>
  <c r="AV15" i="9"/>
  <c r="AJ19" i="9"/>
  <c r="AK19" i="9"/>
  <c r="AI19" i="9"/>
  <c r="AH19" i="9"/>
  <c r="AG19" i="9"/>
  <c r="AF19" i="9"/>
  <c r="AI26" i="9"/>
  <c r="AH26" i="9"/>
  <c r="AG26" i="9"/>
  <c r="AF26" i="9"/>
  <c r="AK26" i="9"/>
  <c r="AJ26" i="9"/>
  <c r="AG28" i="9"/>
  <c r="AF28" i="9"/>
  <c r="AJ28" i="9"/>
  <c r="AI28" i="9"/>
  <c r="AH28" i="9"/>
  <c r="AK28" i="9"/>
  <c r="AC34" i="9"/>
  <c r="AJ35" i="9"/>
  <c r="AK35" i="9"/>
  <c r="AQ35" i="9" s="1"/>
  <c r="AI35" i="9"/>
  <c r="AH35" i="9"/>
  <c r="AG35" i="9"/>
  <c r="AF35" i="9"/>
  <c r="BA40" i="9"/>
  <c r="AJ40" i="9"/>
  <c r="AI40" i="9"/>
  <c r="AH40" i="9"/>
  <c r="AG40" i="9"/>
  <c r="AF40" i="9"/>
  <c r="AK40" i="9"/>
  <c r="AQ40" i="9" s="1"/>
  <c r="AC45" i="9"/>
  <c r="AJ45" i="9"/>
  <c r="AK45" i="9"/>
  <c r="AI45" i="9"/>
  <c r="AH45" i="9"/>
  <c r="AG45" i="9"/>
  <c r="AF45" i="9"/>
  <c r="AH47" i="9"/>
  <c r="AG47" i="9"/>
  <c r="AF47" i="9"/>
  <c r="AK47" i="9"/>
  <c r="AJ47" i="9"/>
  <c r="AI47" i="9"/>
  <c r="AJ54" i="9"/>
  <c r="AI54" i="9"/>
  <c r="AH54" i="9"/>
  <c r="AG54" i="9"/>
  <c r="AF54" i="9"/>
  <c r="AK54" i="9"/>
  <c r="AC55" i="9"/>
  <c r="AC62" i="9"/>
  <c r="AH63" i="9"/>
  <c r="AG63" i="9"/>
  <c r="AF63" i="9"/>
  <c r="AJ63" i="9"/>
  <c r="AI63" i="9"/>
  <c r="AK63" i="9"/>
  <c r="AV14" i="10"/>
  <c r="AU39" i="10"/>
  <c r="AH15" i="10"/>
  <c r="AG15" i="10"/>
  <c r="AF15" i="10"/>
  <c r="AK15" i="10"/>
  <c r="AI15" i="10"/>
  <c r="AJ15" i="10"/>
  <c r="AC17" i="10"/>
  <c r="AF17" i="10"/>
  <c r="AJ17" i="10"/>
  <c r="AK17" i="10"/>
  <c r="AI17" i="10"/>
  <c r="AH17" i="10"/>
  <c r="AG17" i="10"/>
  <c r="AH31" i="10"/>
  <c r="AG31" i="10"/>
  <c r="AF31" i="10"/>
  <c r="AI31" i="10"/>
  <c r="AJ31" i="10"/>
  <c r="AK31" i="10"/>
  <c r="AQ31" i="10" s="1"/>
  <c r="AI50" i="10"/>
  <c r="AH50" i="10"/>
  <c r="AG50" i="10"/>
  <c r="AF50" i="10"/>
  <c r="AK50" i="10"/>
  <c r="AJ50" i="10"/>
  <c r="BA52" i="10"/>
  <c r="AG52" i="10"/>
  <c r="AF52" i="10"/>
  <c r="AK52" i="10"/>
  <c r="AQ52" i="10" s="1"/>
  <c r="AT52" i="10" s="1"/>
  <c r="AX52" i="10" s="1"/>
  <c r="AJ52" i="10"/>
  <c r="AI52" i="10"/>
  <c r="AH52" i="10"/>
  <c r="AC62" i="10"/>
  <c r="AS62" i="10" s="1"/>
  <c r="AY62" i="10" s="1"/>
  <c r="AH63" i="10"/>
  <c r="AG63" i="10"/>
  <c r="AF63" i="10"/>
  <c r="AI63" i="10"/>
  <c r="AJ63" i="10"/>
  <c r="AK63" i="10"/>
  <c r="BA27" i="10"/>
  <c r="V9" i="10"/>
  <c r="AR10" i="10"/>
  <c r="AI10" i="10"/>
  <c r="AH10" i="10"/>
  <c r="AG10" i="10"/>
  <c r="AJ10" i="10"/>
  <c r="AF10" i="10"/>
  <c r="AK10" i="10"/>
  <c r="BA12" i="10"/>
  <c r="AG12" i="10"/>
  <c r="AF12" i="10"/>
  <c r="AK12" i="10"/>
  <c r="AQ12" i="10" s="1"/>
  <c r="AT12" i="10" s="1"/>
  <c r="AX12" i="10" s="1"/>
  <c r="AI12" i="10"/>
  <c r="AH12" i="10"/>
  <c r="AJ12" i="10"/>
  <c r="AJ19" i="10"/>
  <c r="AK19" i="10"/>
  <c r="AI19" i="10"/>
  <c r="AH19" i="10"/>
  <c r="AG19" i="10"/>
  <c r="AF19" i="10"/>
  <c r="AJ21" i="10"/>
  <c r="AK21" i="10"/>
  <c r="AI21" i="10"/>
  <c r="AH21" i="10"/>
  <c r="AG21" i="10"/>
  <c r="AF21" i="10"/>
  <c r="AU26" i="10"/>
  <c r="AI26" i="10"/>
  <c r="AH26" i="10"/>
  <c r="AG26" i="10"/>
  <c r="AF26" i="10"/>
  <c r="AK26" i="10"/>
  <c r="AQ26" i="10" s="1"/>
  <c r="AS26" i="10" s="1"/>
  <c r="AY26" i="10" s="1"/>
  <c r="AJ26" i="10"/>
  <c r="AG28" i="10"/>
  <c r="AF28" i="10"/>
  <c r="AK28" i="10"/>
  <c r="AQ28" i="10" s="1"/>
  <c r="AT28" i="10" s="1"/>
  <c r="AX28" i="10" s="1"/>
  <c r="AH28" i="10"/>
  <c r="AJ28" i="10"/>
  <c r="AI28" i="10"/>
  <c r="AF33" i="10"/>
  <c r="AJ33" i="10"/>
  <c r="AK33" i="10"/>
  <c r="AQ33" i="10" s="1"/>
  <c r="AI33" i="10"/>
  <c r="AH33" i="10"/>
  <c r="AG33" i="10"/>
  <c r="V37" i="10"/>
  <c r="AJ43" i="10"/>
  <c r="AK43" i="10"/>
  <c r="AI43" i="10"/>
  <c r="AH43" i="10"/>
  <c r="AG43" i="10"/>
  <c r="AF43" i="10"/>
  <c r="V53" i="10"/>
  <c r="AJ54" i="10"/>
  <c r="AI54" i="10"/>
  <c r="AK54" i="10"/>
  <c r="AF54" i="10"/>
  <c r="AH54" i="10"/>
  <c r="AG54" i="10"/>
  <c r="AJ56" i="10"/>
  <c r="AI56" i="10"/>
  <c r="AH56" i="10"/>
  <c r="AG56" i="10"/>
  <c r="AF56" i="10"/>
  <c r="AK56" i="10"/>
  <c r="AU9" i="10"/>
  <c r="AV9" i="10" s="1"/>
  <c r="AF9" i="10"/>
  <c r="AJ9" i="10"/>
  <c r="AK9" i="10"/>
  <c r="AI9" i="10"/>
  <c r="AH9" i="10"/>
  <c r="AG9" i="10"/>
  <c r="AR16" i="10"/>
  <c r="AJ16" i="10"/>
  <c r="AI16" i="10"/>
  <c r="AH16" i="10"/>
  <c r="AG16" i="10"/>
  <c r="AF16" i="10"/>
  <c r="AK16" i="10"/>
  <c r="AJ30" i="10"/>
  <c r="AI30" i="10"/>
  <c r="AH30" i="10"/>
  <c r="AK30" i="10"/>
  <c r="AF30" i="10"/>
  <c r="AG30" i="10"/>
  <c r="AU32" i="10"/>
  <c r="AJ32" i="10"/>
  <c r="AI32" i="10"/>
  <c r="AH32" i="10"/>
  <c r="AG32" i="10"/>
  <c r="AF32" i="10"/>
  <c r="AK32" i="10"/>
  <c r="AR37" i="10"/>
  <c r="AJ37" i="10"/>
  <c r="AK37" i="10"/>
  <c r="AI37" i="10"/>
  <c r="AH37" i="10"/>
  <c r="AG37" i="10"/>
  <c r="AF37" i="10"/>
  <c r="AJ51" i="10"/>
  <c r="AK51" i="10"/>
  <c r="AI51" i="10"/>
  <c r="AH51" i="10"/>
  <c r="AG51" i="10"/>
  <c r="AF51" i="10"/>
  <c r="BA53" i="10"/>
  <c r="AJ53" i="10"/>
  <c r="AK53" i="10"/>
  <c r="AI53" i="10"/>
  <c r="AH53" i="10"/>
  <c r="AG53" i="10"/>
  <c r="AF53" i="10"/>
  <c r="BA62" i="10"/>
  <c r="AJ62" i="10"/>
  <c r="AK62" i="10"/>
  <c r="AQ62" i="10" s="1"/>
  <c r="AI62" i="10"/>
  <c r="AH62" i="10"/>
  <c r="AG62" i="10"/>
  <c r="AF62" i="10"/>
  <c r="AQ47" i="10"/>
  <c r="AT47" i="10" s="1"/>
  <c r="AX47" i="10" s="1"/>
  <c r="AJ11" i="10"/>
  <c r="AK11" i="10"/>
  <c r="AQ11" i="10" s="1"/>
  <c r="AT11" i="10" s="1"/>
  <c r="AX11" i="10" s="1"/>
  <c r="AF11" i="10"/>
  <c r="AI11" i="10"/>
  <c r="AH11" i="10"/>
  <c r="AG11" i="10"/>
  <c r="AR13" i="10"/>
  <c r="AJ13" i="10"/>
  <c r="AK13" i="10"/>
  <c r="AI13" i="10"/>
  <c r="AH13" i="10"/>
  <c r="AG13" i="10"/>
  <c r="AF13" i="10"/>
  <c r="AU18" i="10"/>
  <c r="AV18" i="10" s="1"/>
  <c r="AI18" i="10"/>
  <c r="AH18" i="10"/>
  <c r="AG18" i="10"/>
  <c r="AF18" i="10"/>
  <c r="AJ18" i="10"/>
  <c r="AK18" i="10"/>
  <c r="AC20" i="10"/>
  <c r="AG20" i="10"/>
  <c r="AF20" i="10"/>
  <c r="AK20" i="10"/>
  <c r="AQ20" i="10" s="1"/>
  <c r="AI20" i="10"/>
  <c r="AH20" i="10"/>
  <c r="AJ20" i="10"/>
  <c r="AJ27" i="10"/>
  <c r="AK27" i="10"/>
  <c r="AI27" i="10"/>
  <c r="AH27" i="10"/>
  <c r="AG27" i="10"/>
  <c r="AF27" i="10"/>
  <c r="AV40" i="10"/>
  <c r="BA44" i="10"/>
  <c r="AG44" i="10"/>
  <c r="AF44" i="10"/>
  <c r="AK44" i="10"/>
  <c r="AQ44" i="10" s="1"/>
  <c r="AS44" i="10" s="1"/>
  <c r="AY44" i="10" s="1"/>
  <c r="AH44" i="10"/>
  <c r="AJ44" i="10"/>
  <c r="AI44" i="10"/>
  <c r="AH55" i="10"/>
  <c r="AG55" i="10"/>
  <c r="AF55" i="10"/>
  <c r="AI55" i="10"/>
  <c r="AK55" i="10"/>
  <c r="AQ55" i="10" s="1"/>
  <c r="AJ55" i="10"/>
  <c r="AR57" i="10"/>
  <c r="AF57" i="10"/>
  <c r="AJ57" i="10"/>
  <c r="AG57" i="10"/>
  <c r="AI57" i="10"/>
  <c r="AH57" i="10"/>
  <c r="AK57" i="10"/>
  <c r="AR62" i="10"/>
  <c r="BA29" i="10"/>
  <c r="AJ29" i="10"/>
  <c r="AK29" i="10"/>
  <c r="AI29" i="10"/>
  <c r="AH29" i="10"/>
  <c r="AG29" i="10"/>
  <c r="AF29" i="10"/>
  <c r="AH39" i="10"/>
  <c r="AG39" i="10"/>
  <c r="AF39" i="10"/>
  <c r="AK39" i="10"/>
  <c r="AQ39" i="10" s="1"/>
  <c r="AS39" i="10" s="1"/>
  <c r="AY39" i="10" s="1"/>
  <c r="AJ39" i="10"/>
  <c r="AI39" i="10"/>
  <c r="BA46" i="10"/>
  <c r="AJ46" i="10"/>
  <c r="AI46" i="10"/>
  <c r="AG46" i="10"/>
  <c r="AF46" i="10"/>
  <c r="AK46" i="10"/>
  <c r="AQ46" i="10" s="1"/>
  <c r="AH46" i="10"/>
  <c r="AJ48" i="10"/>
  <c r="AI48" i="10"/>
  <c r="AH48" i="10"/>
  <c r="AG48" i="10"/>
  <c r="AK48" i="10"/>
  <c r="AF48" i="10"/>
  <c r="AJ59" i="10"/>
  <c r="AK59" i="10"/>
  <c r="AI59" i="10"/>
  <c r="AH59" i="10"/>
  <c r="AG59" i="10"/>
  <c r="AF59" i="10"/>
  <c r="AJ61" i="10"/>
  <c r="AK61" i="10"/>
  <c r="AI61" i="10"/>
  <c r="AH61" i="10"/>
  <c r="AG61" i="10"/>
  <c r="AF61" i="10"/>
  <c r="AU37" i="10"/>
  <c r="AU44" i="10"/>
  <c r="AV44" i="10" s="1"/>
  <c r="AR51" i="10"/>
  <c r="AU53" i="10"/>
  <c r="AV53" i="10" s="1"/>
  <c r="AU57" i="10"/>
  <c r="AV57" i="10" s="1"/>
  <c r="BA63" i="10"/>
  <c r="BA14" i="10"/>
  <c r="AJ14" i="10"/>
  <c r="AK14" i="10"/>
  <c r="AQ14" i="10" s="1"/>
  <c r="AS14" i="10" s="1"/>
  <c r="AY14" i="10" s="1"/>
  <c r="AI14" i="10"/>
  <c r="AG14" i="10"/>
  <c r="AF14" i="10"/>
  <c r="AH14" i="10"/>
  <c r="AV24" i="10"/>
  <c r="AU38" i="10"/>
  <c r="AV38" i="10" s="1"/>
  <c r="AJ38" i="10"/>
  <c r="AI38" i="10"/>
  <c r="AF38" i="10"/>
  <c r="AH38" i="10"/>
  <c r="AG38" i="10"/>
  <c r="AK38" i="10"/>
  <c r="AQ38" i="10" s="1"/>
  <c r="AJ40" i="10"/>
  <c r="AI40" i="10"/>
  <c r="AH40" i="10"/>
  <c r="AK40" i="10"/>
  <c r="AQ40" i="10" s="1"/>
  <c r="AG40" i="10"/>
  <c r="AF40" i="10"/>
  <c r="BB45" i="10"/>
  <c r="AJ45" i="10"/>
  <c r="BG45" i="10" s="1"/>
  <c r="AK45" i="10"/>
  <c r="AI45" i="10"/>
  <c r="AH45" i="10"/>
  <c r="AG45" i="10"/>
  <c r="AF45" i="10"/>
  <c r="AH47" i="10"/>
  <c r="AG47" i="10"/>
  <c r="AF47" i="10"/>
  <c r="AI47" i="10"/>
  <c r="AK47" i="10"/>
  <c r="AJ47" i="10"/>
  <c r="AR49" i="10"/>
  <c r="AF49" i="10"/>
  <c r="AK49" i="10"/>
  <c r="AJ49" i="10"/>
  <c r="AG49" i="10"/>
  <c r="AI49" i="10"/>
  <c r="AH49" i="10"/>
  <c r="AU58" i="10"/>
  <c r="AI58" i="10"/>
  <c r="AH58" i="10"/>
  <c r="AG58" i="10"/>
  <c r="AF58" i="10"/>
  <c r="AK58" i="10"/>
  <c r="AQ58" i="10" s="1"/>
  <c r="AT58" i="10" s="1"/>
  <c r="AX58" i="10" s="1"/>
  <c r="AJ58" i="10"/>
  <c r="AC59" i="10"/>
  <c r="AU60" i="10"/>
  <c r="AG60" i="10"/>
  <c r="AF60" i="10"/>
  <c r="AK60" i="10"/>
  <c r="AQ60" i="10" s="1"/>
  <c r="AT60" i="10" s="1"/>
  <c r="AX60" i="10" s="1"/>
  <c r="AH60" i="10"/>
  <c r="AJ60" i="10"/>
  <c r="AI60" i="10"/>
  <c r="AR11" i="10"/>
  <c r="BA11" i="10"/>
  <c r="AR27" i="10"/>
  <c r="AU62" i="10"/>
  <c r="AV62" i="10" s="1"/>
  <c r="AJ8" i="10"/>
  <c r="AI8" i="10"/>
  <c r="AG8" i="10"/>
  <c r="AK8" i="10"/>
  <c r="AF8" i="10"/>
  <c r="AH8" i="10"/>
  <c r="AJ22" i="10"/>
  <c r="AI22" i="10"/>
  <c r="AF22" i="10"/>
  <c r="AK22" i="10"/>
  <c r="AH22" i="10"/>
  <c r="AG22" i="10"/>
  <c r="AR24" i="10"/>
  <c r="AJ24" i="10"/>
  <c r="AI24" i="10"/>
  <c r="AH24" i="10"/>
  <c r="AK24" i="10"/>
  <c r="AQ24" i="10" s="1"/>
  <c r="AT24" i="10" s="1"/>
  <c r="AX24" i="10" s="1"/>
  <c r="AG24" i="10"/>
  <c r="AF24" i="10"/>
  <c r="AI34" i="10"/>
  <c r="AH34" i="10"/>
  <c r="AG34" i="10"/>
  <c r="AF34" i="10"/>
  <c r="AJ34" i="10"/>
  <c r="AK34" i="10"/>
  <c r="AQ34" i="10" s="1"/>
  <c r="AU36" i="10"/>
  <c r="AG36" i="10"/>
  <c r="AF36" i="10"/>
  <c r="AK36" i="10"/>
  <c r="AJ36" i="10"/>
  <c r="AI36" i="10"/>
  <c r="AH36" i="10"/>
  <c r="BB41" i="10"/>
  <c r="BC41" i="10" s="1"/>
  <c r="BP41" i="10" s="1"/>
  <c r="AF41" i="10"/>
  <c r="AJ41" i="10"/>
  <c r="AG41" i="10"/>
  <c r="AI41" i="10"/>
  <c r="AH41" i="10"/>
  <c r="AK41" i="10"/>
  <c r="AQ41" i="10" s="1"/>
  <c r="AT41" i="10" s="1"/>
  <c r="AU31" i="10"/>
  <c r="AV31" i="10" s="1"/>
  <c r="AR50" i="10"/>
  <c r="AR52" i="10"/>
  <c r="BA59" i="10"/>
  <c r="AU63" i="10"/>
  <c r="AH23" i="10"/>
  <c r="AG23" i="10"/>
  <c r="AF23" i="10"/>
  <c r="AK23" i="10"/>
  <c r="AI23" i="10"/>
  <c r="AJ23" i="10"/>
  <c r="AF25" i="10"/>
  <c r="AJ25" i="10"/>
  <c r="AK25" i="10"/>
  <c r="AG25" i="10"/>
  <c r="AI25" i="10"/>
  <c r="AH25" i="10"/>
  <c r="V29" i="10"/>
  <c r="AC34" i="10"/>
  <c r="AJ35" i="10"/>
  <c r="AK35" i="10"/>
  <c r="AI35" i="10"/>
  <c r="AH35" i="10"/>
  <c r="AG35" i="10"/>
  <c r="AF35" i="10"/>
  <c r="AI42" i="10"/>
  <c r="AH42" i="10"/>
  <c r="AG42" i="10"/>
  <c r="AF42" i="10"/>
  <c r="AK42" i="10"/>
  <c r="AJ42" i="10"/>
  <c r="U46" i="10"/>
  <c r="AH8" i="11"/>
  <c r="AJ8" i="11"/>
  <c r="AI8" i="11"/>
  <c r="AG8" i="11"/>
  <c r="AF8" i="11"/>
  <c r="AK8" i="11"/>
  <c r="AQ8" i="11" s="1"/>
  <c r="AJ24" i="11"/>
  <c r="AH24" i="11"/>
  <c r="AK24" i="11"/>
  <c r="AI24" i="11"/>
  <c r="AG24" i="11"/>
  <c r="AF24" i="11"/>
  <c r="AF33" i="11"/>
  <c r="AJ33" i="11"/>
  <c r="AI33" i="11"/>
  <c r="AH33" i="11"/>
  <c r="AG33" i="11"/>
  <c r="AK33" i="11"/>
  <c r="AR43" i="11"/>
  <c r="AI43" i="11"/>
  <c r="AJ43" i="11"/>
  <c r="AH43" i="11"/>
  <c r="AG43" i="11"/>
  <c r="AF43" i="11"/>
  <c r="AK43" i="11"/>
  <c r="AG52" i="11"/>
  <c r="AF52" i="11"/>
  <c r="AJ52" i="11"/>
  <c r="AI52" i="11"/>
  <c r="AH52" i="11"/>
  <c r="AK52" i="11"/>
  <c r="AQ52" i="11" s="1"/>
  <c r="AG60" i="11"/>
  <c r="AF60" i="11"/>
  <c r="AK60" i="11"/>
  <c r="AQ60" i="11" s="1"/>
  <c r="AJ60" i="11"/>
  <c r="AI60" i="11"/>
  <c r="AH60" i="11"/>
  <c r="AF17" i="11"/>
  <c r="AK17" i="11"/>
  <c r="AQ17" i="11" s="1"/>
  <c r="AJ17" i="11"/>
  <c r="AI17" i="11"/>
  <c r="AH17" i="11"/>
  <c r="AG17" i="11"/>
  <c r="AG20" i="11"/>
  <c r="AF20" i="11"/>
  <c r="AJ20" i="11"/>
  <c r="AI20" i="11"/>
  <c r="AH20" i="11"/>
  <c r="AK20" i="11"/>
  <c r="AH23" i="11"/>
  <c r="AG23" i="11"/>
  <c r="AJ23" i="11"/>
  <c r="AI23" i="11"/>
  <c r="AF23" i="11"/>
  <c r="AK23" i="11"/>
  <c r="AQ23" i="11" s="1"/>
  <c r="AC31" i="11"/>
  <c r="AH31" i="11"/>
  <c r="AG31" i="11"/>
  <c r="AI31" i="11"/>
  <c r="AF31" i="11"/>
  <c r="AK31" i="11"/>
  <c r="AJ31" i="11"/>
  <c r="AG36" i="11"/>
  <c r="AF36" i="11"/>
  <c r="AI36" i="11"/>
  <c r="AH36" i="11"/>
  <c r="AK36" i="11"/>
  <c r="AJ36" i="11"/>
  <c r="AC38" i="11"/>
  <c r="AJ38" i="11"/>
  <c r="AI38" i="11"/>
  <c r="AK38" i="11"/>
  <c r="AH38" i="11"/>
  <c r="AG38" i="11"/>
  <c r="AF38" i="11"/>
  <c r="AC55" i="11"/>
  <c r="AH55" i="11"/>
  <c r="AG55" i="11"/>
  <c r="AJ55" i="11"/>
  <c r="BG55" i="11" s="1"/>
  <c r="BL55" i="11" s="1"/>
  <c r="AK55" i="11"/>
  <c r="AI55" i="11"/>
  <c r="AF55" i="11"/>
  <c r="AR49" i="11"/>
  <c r="AR53" i="11"/>
  <c r="AG12" i="11"/>
  <c r="AJ12" i="11"/>
  <c r="AI12" i="11"/>
  <c r="AK12" i="11"/>
  <c r="AH12" i="11"/>
  <c r="AF12" i="11"/>
  <c r="BA14" i="11"/>
  <c r="AJ14" i="11"/>
  <c r="AK14" i="11"/>
  <c r="AQ14" i="11" s="1"/>
  <c r="AS14" i="11" s="1"/>
  <c r="AY14" i="11" s="1"/>
  <c r="AI14" i="11"/>
  <c r="AH14" i="11"/>
  <c r="AG14" i="11"/>
  <c r="AF14" i="11"/>
  <c r="BB10" i="11"/>
  <c r="BE10" i="11" s="1"/>
  <c r="AR41" i="11"/>
  <c r="BB48" i="11"/>
  <c r="BG48" i="11" s="1"/>
  <c r="BL48" i="11" s="1"/>
  <c r="BA49" i="11"/>
  <c r="AU53" i="11"/>
  <c r="AV53" i="11" s="1"/>
  <c r="AR55" i="11"/>
  <c r="AF9" i="11"/>
  <c r="AH9" i="11"/>
  <c r="AG9" i="11"/>
  <c r="AJ9" i="11"/>
  <c r="AI9" i="11"/>
  <c r="AK9" i="11"/>
  <c r="AQ9" i="11" s="1"/>
  <c r="BA19" i="11"/>
  <c r="AI19" i="11"/>
  <c r="AJ19" i="11"/>
  <c r="AK19" i="11"/>
  <c r="AH19" i="11"/>
  <c r="AG19" i="11"/>
  <c r="AF19" i="11"/>
  <c r="AJ22" i="11"/>
  <c r="AI22" i="11"/>
  <c r="AH22" i="11"/>
  <c r="AF22" i="11"/>
  <c r="AG22" i="11"/>
  <c r="AK22" i="11"/>
  <c r="AC24" i="11"/>
  <c r="AG28" i="11"/>
  <c r="AF28" i="11"/>
  <c r="AJ28" i="11"/>
  <c r="AK28" i="11"/>
  <c r="AI28" i="11"/>
  <c r="AH28" i="11"/>
  <c r="AU30" i="11"/>
  <c r="AV30" i="11" s="1"/>
  <c r="AJ30" i="11"/>
  <c r="AI30" i="11"/>
  <c r="AH30" i="11"/>
  <c r="AG30" i="11"/>
  <c r="AK30" i="11"/>
  <c r="AF30" i="11"/>
  <c r="BA35" i="11"/>
  <c r="AI35" i="11"/>
  <c r="AJ35" i="11"/>
  <c r="AH35" i="11"/>
  <c r="AK35" i="11"/>
  <c r="AQ35" i="11" s="1"/>
  <c r="AS35" i="11" s="1"/>
  <c r="AY35" i="11" s="1"/>
  <c r="AG35" i="11"/>
  <c r="AF35" i="11"/>
  <c r="AR12" i="11"/>
  <c r="BA17" i="11"/>
  <c r="AU41" i="11"/>
  <c r="AV41" i="11" s="1"/>
  <c r="AU43" i="11"/>
  <c r="AU55" i="11"/>
  <c r="BA11" i="11"/>
  <c r="AI11" i="11"/>
  <c r="AH11" i="11"/>
  <c r="AG11" i="11"/>
  <c r="AF11" i="11"/>
  <c r="AK11" i="11"/>
  <c r="AJ11" i="11"/>
  <c r="AF25" i="11"/>
  <c r="AJ25" i="11"/>
  <c r="AI25" i="11"/>
  <c r="AK25" i="11"/>
  <c r="AH25" i="11"/>
  <c r="AG25" i="11"/>
  <c r="AJ40" i="11"/>
  <c r="AH40" i="11"/>
  <c r="AI40" i="11"/>
  <c r="AG40" i="11"/>
  <c r="AF40" i="11"/>
  <c r="AK40" i="11"/>
  <c r="AC41" i="11"/>
  <c r="AR42" i="11"/>
  <c r="AI42" i="11"/>
  <c r="AH42" i="11"/>
  <c r="AF42" i="11"/>
  <c r="AK42" i="11"/>
  <c r="AQ42" i="11" s="1"/>
  <c r="AS42" i="11" s="1"/>
  <c r="AY42" i="11" s="1"/>
  <c r="AG42" i="11"/>
  <c r="AJ42" i="11"/>
  <c r="U44" i="11"/>
  <c r="AJ45" i="11"/>
  <c r="AK45" i="11"/>
  <c r="AI45" i="11"/>
  <c r="AG45" i="11"/>
  <c r="AH45" i="11"/>
  <c r="AF45" i="11"/>
  <c r="AJ48" i="11"/>
  <c r="AH48" i="11"/>
  <c r="AK48" i="11"/>
  <c r="AI48" i="11"/>
  <c r="AG48" i="11"/>
  <c r="AF48" i="11"/>
  <c r="AI51" i="11"/>
  <c r="AJ51" i="11"/>
  <c r="AH51" i="11"/>
  <c r="AG51" i="11"/>
  <c r="AF51" i="11"/>
  <c r="AK51" i="11"/>
  <c r="U53" i="11"/>
  <c r="AJ54" i="11"/>
  <c r="AH54" i="11"/>
  <c r="AG54" i="11"/>
  <c r="AF54" i="11"/>
  <c r="AI54" i="11"/>
  <c r="AK54" i="11"/>
  <c r="AF57" i="11"/>
  <c r="AG57" i="11"/>
  <c r="AK57" i="11"/>
  <c r="AQ57" i="11" s="1"/>
  <c r="AT57" i="11" s="1"/>
  <c r="AX57" i="11" s="1"/>
  <c r="AJ57" i="11"/>
  <c r="AI57" i="11"/>
  <c r="AH57" i="11"/>
  <c r="U61" i="11"/>
  <c r="AC62" i="11"/>
  <c r="AJ62" i="11"/>
  <c r="AG62" i="11"/>
  <c r="AF62" i="11"/>
  <c r="AI62" i="11"/>
  <c r="AH62" i="11"/>
  <c r="AK62" i="11"/>
  <c r="AQ62" i="11" s="1"/>
  <c r="BB41" i="11"/>
  <c r="BD41" i="11" s="1"/>
  <c r="AC10" i="11"/>
  <c r="AI10" i="11"/>
  <c r="AF10" i="11"/>
  <c r="AK10" i="11"/>
  <c r="AQ10" i="11" s="1"/>
  <c r="AT10" i="11" s="1"/>
  <c r="AX10" i="11" s="1"/>
  <c r="AH10" i="11"/>
  <c r="AJ10" i="11"/>
  <c r="AG10" i="11"/>
  <c r="AJ29" i="11"/>
  <c r="AK29" i="11"/>
  <c r="AI29" i="11"/>
  <c r="AG29" i="11"/>
  <c r="AF29" i="11"/>
  <c r="AH29" i="11"/>
  <c r="AH63" i="11"/>
  <c r="AG63" i="11"/>
  <c r="AJ63" i="11"/>
  <c r="AI63" i="11"/>
  <c r="AK63" i="11"/>
  <c r="AF63" i="11"/>
  <c r="AU12" i="11"/>
  <c r="AR19" i="11"/>
  <c r="BA29" i="11"/>
  <c r="AR63" i="11"/>
  <c r="AJ16" i="11"/>
  <c r="AH16" i="11"/>
  <c r="AF16" i="11"/>
  <c r="AK16" i="11"/>
  <c r="AQ16" i="11" s="1"/>
  <c r="AS16" i="11" s="1"/>
  <c r="AY16" i="11" s="1"/>
  <c r="AI16" i="11"/>
  <c r="AG16" i="11"/>
  <c r="AC17" i="11"/>
  <c r="BA18" i="11"/>
  <c r="AI18" i="11"/>
  <c r="AH18" i="11"/>
  <c r="AF18" i="11"/>
  <c r="AK18" i="11"/>
  <c r="AQ18" i="11" s="1"/>
  <c r="AT18" i="11" s="1"/>
  <c r="AX18" i="11" s="1"/>
  <c r="AJ18" i="11"/>
  <c r="AG18" i="11"/>
  <c r="U20" i="11"/>
  <c r="AC20" i="11"/>
  <c r="AJ21" i="11"/>
  <c r="AK21" i="11"/>
  <c r="AI21" i="11"/>
  <c r="AG21" i="11"/>
  <c r="AF21" i="11"/>
  <c r="AH21" i="11"/>
  <c r="U23" i="11"/>
  <c r="U31" i="11"/>
  <c r="U36" i="11"/>
  <c r="AJ37" i="11"/>
  <c r="AK37" i="11"/>
  <c r="AI37" i="11"/>
  <c r="AG37" i="11"/>
  <c r="AH37" i="11"/>
  <c r="AF37" i="11"/>
  <c r="AC59" i="11"/>
  <c r="AI59" i="11"/>
  <c r="AH59" i="11"/>
  <c r="AG59" i="11"/>
  <c r="AK59" i="11"/>
  <c r="AQ59" i="11" s="1"/>
  <c r="AS59" i="11" s="1"/>
  <c r="AY59" i="11" s="1"/>
  <c r="AF59" i="11"/>
  <c r="AJ59" i="11"/>
  <c r="AH15" i="11"/>
  <c r="AG15" i="11"/>
  <c r="AJ15" i="11"/>
  <c r="AI15" i="11"/>
  <c r="AK15" i="11"/>
  <c r="AF15" i="11"/>
  <c r="AQ43" i="11"/>
  <c r="AT43" i="11" s="1"/>
  <c r="AX43" i="11" s="1"/>
  <c r="BA24" i="11"/>
  <c r="BB24" i="11" s="1"/>
  <c r="AI26" i="11"/>
  <c r="AH26" i="11"/>
  <c r="AF26" i="11"/>
  <c r="AK26" i="11"/>
  <c r="AG26" i="11"/>
  <c r="AJ26" i="11"/>
  <c r="AF41" i="11"/>
  <c r="AI41" i="11"/>
  <c r="AH41" i="11"/>
  <c r="AG41" i="11"/>
  <c r="AJ41" i="11"/>
  <c r="AK41" i="11"/>
  <c r="AG44" i="11"/>
  <c r="AF44" i="11"/>
  <c r="AH44" i="11"/>
  <c r="AK44" i="11"/>
  <c r="AQ44" i="11" s="1"/>
  <c r="AT44" i="11" s="1"/>
  <c r="AX44" i="11" s="1"/>
  <c r="AJ44" i="11"/>
  <c r="AI44" i="11"/>
  <c r="BA46" i="11"/>
  <c r="AJ46" i="11"/>
  <c r="AI46" i="11"/>
  <c r="AH46" i="11"/>
  <c r="AG46" i="11"/>
  <c r="AF46" i="11"/>
  <c r="AK46" i="11"/>
  <c r="AQ46" i="11" s="1"/>
  <c r="AF49" i="11"/>
  <c r="AH49" i="11"/>
  <c r="AK49" i="11"/>
  <c r="AQ49" i="11" s="1"/>
  <c r="AG49" i="11"/>
  <c r="AI49" i="11"/>
  <c r="AJ49" i="11"/>
  <c r="AJ53" i="11"/>
  <c r="AK53" i="11"/>
  <c r="AQ53" i="11" s="1"/>
  <c r="AT53" i="11" s="1"/>
  <c r="AX53" i="11" s="1"/>
  <c r="AI53" i="11"/>
  <c r="AG53" i="11"/>
  <c r="AH53" i="11"/>
  <c r="AF53" i="11"/>
  <c r="AI58" i="11"/>
  <c r="AH58" i="11"/>
  <c r="AF58" i="11"/>
  <c r="AK58" i="11"/>
  <c r="AQ58" i="11" s="1"/>
  <c r="AJ58" i="11"/>
  <c r="AG58" i="11"/>
  <c r="AJ61" i="11"/>
  <c r="AK61" i="11"/>
  <c r="AI61" i="11"/>
  <c r="AG61" i="11"/>
  <c r="AH61" i="11"/>
  <c r="AF61" i="11"/>
  <c r="AU8" i="11"/>
  <c r="AV25" i="11"/>
  <c r="AR36" i="11"/>
  <c r="AV45" i="11"/>
  <c r="BB55" i="11"/>
  <c r="AJ13" i="11"/>
  <c r="AK13" i="11"/>
  <c r="AQ13" i="11" s="1"/>
  <c r="AG13" i="11"/>
  <c r="AI13" i="11"/>
  <c r="AH13" i="11"/>
  <c r="AF13" i="11"/>
  <c r="AI27" i="11"/>
  <c r="AK27" i="11"/>
  <c r="AQ27" i="11" s="1"/>
  <c r="AJ27" i="11"/>
  <c r="AH27" i="11"/>
  <c r="AG27" i="11"/>
  <c r="AF27" i="11"/>
  <c r="AJ32" i="11"/>
  <c r="AH32" i="11"/>
  <c r="AI32" i="11"/>
  <c r="AG32" i="11"/>
  <c r="AK32" i="11"/>
  <c r="AQ32" i="11" s="1"/>
  <c r="AS32" i="11" s="1"/>
  <c r="AY32" i="11" s="1"/>
  <c r="AF32" i="11"/>
  <c r="AC34" i="11"/>
  <c r="AI34" i="11"/>
  <c r="AH34" i="11"/>
  <c r="AF34" i="11"/>
  <c r="AK34" i="11"/>
  <c r="AJ34" i="11"/>
  <c r="AG34" i="11"/>
  <c r="AR39" i="11"/>
  <c r="AH39" i="11"/>
  <c r="AG39" i="11"/>
  <c r="AF39" i="11"/>
  <c r="AK39" i="11"/>
  <c r="AJ39" i="11"/>
  <c r="AI39" i="11"/>
  <c r="AH47" i="11"/>
  <c r="AG47" i="11"/>
  <c r="AK47" i="11"/>
  <c r="AJ47" i="11"/>
  <c r="AI47" i="11"/>
  <c r="AF47" i="11"/>
  <c r="AI50" i="11"/>
  <c r="AH50" i="11"/>
  <c r="AF50" i="11"/>
  <c r="AK50" i="11"/>
  <c r="AQ50" i="11" s="1"/>
  <c r="AJ50" i="11"/>
  <c r="AG50" i="11"/>
  <c r="AC52" i="11"/>
  <c r="U55" i="11"/>
  <c r="AJ56" i="11"/>
  <c r="AH56" i="11"/>
  <c r="AI56" i="11"/>
  <c r="AG56" i="11"/>
  <c r="AF56" i="11"/>
  <c r="AK56" i="11"/>
  <c r="I50" i="5"/>
  <c r="I39" i="5"/>
  <c r="H41" i="5"/>
  <c r="AB47" i="5"/>
  <c r="G61" i="5"/>
  <c r="BA26" i="5"/>
  <c r="AG26" i="5"/>
  <c r="AF26" i="5"/>
  <c r="AK26" i="5"/>
  <c r="AQ26" i="5" s="1"/>
  <c r="AJ26" i="5"/>
  <c r="AI26" i="5"/>
  <c r="AH26" i="5"/>
  <c r="AF47" i="5"/>
  <c r="AH47" i="5"/>
  <c r="AG47" i="5"/>
  <c r="AJ47" i="5"/>
  <c r="AK47" i="5"/>
  <c r="AQ47" i="5" s="1"/>
  <c r="AI47" i="5"/>
  <c r="AR41" i="5"/>
  <c r="AJ41" i="5"/>
  <c r="AK41" i="5"/>
  <c r="AQ41" i="5" s="1"/>
  <c r="AH41" i="5"/>
  <c r="AF41" i="5"/>
  <c r="AI41" i="5"/>
  <c r="AG41" i="5"/>
  <c r="AA37" i="5"/>
  <c r="AH37" i="5"/>
  <c r="AG37" i="5"/>
  <c r="AF37" i="5"/>
  <c r="AJ37" i="5"/>
  <c r="AI37" i="5"/>
  <c r="AK37" i="5"/>
  <c r="AA53" i="5"/>
  <c r="AH53" i="5"/>
  <c r="AG53" i="5"/>
  <c r="AF53" i="5"/>
  <c r="AK53" i="5"/>
  <c r="AQ53" i="5" s="1"/>
  <c r="AJ53" i="5"/>
  <c r="AI53" i="5"/>
  <c r="U17" i="5"/>
  <c r="AI40" i="5"/>
  <c r="AH40" i="5"/>
  <c r="AG40" i="5"/>
  <c r="AK40" i="5"/>
  <c r="AQ40" i="5" s="1"/>
  <c r="AJ40" i="5"/>
  <c r="AF40" i="5"/>
  <c r="AJ17" i="5"/>
  <c r="AK17" i="5"/>
  <c r="AI17" i="5"/>
  <c r="AF17" i="5"/>
  <c r="AG17" i="5"/>
  <c r="AH17" i="5"/>
  <c r="AI56" i="5"/>
  <c r="AH56" i="5"/>
  <c r="AG56" i="5"/>
  <c r="AF56" i="5"/>
  <c r="AJ56" i="5"/>
  <c r="AK56" i="5"/>
  <c r="BA16" i="5"/>
  <c r="AI16" i="5"/>
  <c r="AH16" i="5"/>
  <c r="AG16" i="5"/>
  <c r="AJ16" i="5"/>
  <c r="AK16" i="5"/>
  <c r="AF16" i="5"/>
  <c r="AJ49" i="5"/>
  <c r="AK49" i="5"/>
  <c r="AI49" i="5"/>
  <c r="AG49" i="5"/>
  <c r="AH49" i="5"/>
  <c r="AF49" i="5"/>
  <c r="AI24" i="5"/>
  <c r="AH24" i="5"/>
  <c r="AG24" i="5"/>
  <c r="AF24" i="5"/>
  <c r="AK24" i="5"/>
  <c r="AQ24" i="5" s="1"/>
  <c r="AJ24" i="5"/>
  <c r="AU16" i="5"/>
  <c r="BA15" i="5"/>
  <c r="AJ15" i="5"/>
  <c r="AC51" i="5"/>
  <c r="AJ51" i="5"/>
  <c r="AK51" i="5"/>
  <c r="AQ51" i="5" s="1"/>
  <c r="AI51" i="5"/>
  <c r="AH51" i="5"/>
  <c r="AF51" i="5"/>
  <c r="AG51" i="5"/>
  <c r="AI48" i="5"/>
  <c r="AH48" i="5"/>
  <c r="AG48" i="5"/>
  <c r="AJ48" i="5"/>
  <c r="AK48" i="5"/>
  <c r="AF48" i="5"/>
  <c r="BA45" i="5"/>
  <c r="AH45" i="5"/>
  <c r="AG45" i="5"/>
  <c r="AF45" i="5"/>
  <c r="AK45" i="5"/>
  <c r="AJ45" i="5"/>
  <c r="AI45" i="5"/>
  <c r="BA63" i="5"/>
  <c r="AF63" i="5"/>
  <c r="AH63" i="5"/>
  <c r="AG63" i="5"/>
  <c r="AK63" i="5"/>
  <c r="AJ63" i="5"/>
  <c r="AI63" i="5"/>
  <c r="AA59" i="5"/>
  <c r="AJ59" i="5"/>
  <c r="AK59" i="5"/>
  <c r="AI59" i="5"/>
  <c r="AH59" i="5"/>
  <c r="AG59" i="5"/>
  <c r="AF59" i="5"/>
  <c r="AA54" i="5"/>
  <c r="AJ54" i="5"/>
  <c r="AI54" i="5"/>
  <c r="AK54" i="5"/>
  <c r="AG54" i="5"/>
  <c r="AH54" i="5"/>
  <c r="AF54" i="5"/>
  <c r="AJ25" i="5"/>
  <c r="AK25" i="5"/>
  <c r="AQ25" i="5" s="1"/>
  <c r="AH25" i="5"/>
  <c r="AI25" i="5"/>
  <c r="AG25" i="5"/>
  <c r="AF25" i="5"/>
  <c r="AR20" i="5"/>
  <c r="AJ20" i="5"/>
  <c r="AI20" i="5"/>
  <c r="AH20" i="5"/>
  <c r="AG20" i="5"/>
  <c r="AK20" i="5"/>
  <c r="AQ20" i="5" s="1"/>
  <c r="AF20" i="5"/>
  <c r="AC22" i="5"/>
  <c r="BA29" i="5"/>
  <c r="AK29" i="5"/>
  <c r="AJ29" i="5"/>
  <c r="AC47" i="5"/>
  <c r="AI32" i="5"/>
  <c r="AH32" i="5"/>
  <c r="AG32" i="5"/>
  <c r="AK32" i="5"/>
  <c r="AJ32" i="5"/>
  <c r="AF32" i="5"/>
  <c r="AR31" i="5"/>
  <c r="AF31" i="5"/>
  <c r="AJ31" i="5"/>
  <c r="AI31" i="5"/>
  <c r="AH31" i="5"/>
  <c r="AG31" i="5"/>
  <c r="AK31" i="5"/>
  <c r="AC46" i="5"/>
  <c r="AJ46" i="5"/>
  <c r="AI46" i="5"/>
  <c r="AH46" i="5"/>
  <c r="AF46" i="5"/>
  <c r="AG46" i="5"/>
  <c r="AK46" i="5"/>
  <c r="AC19" i="5"/>
  <c r="AJ19" i="5"/>
  <c r="AK19" i="5"/>
  <c r="AQ19" i="5" s="1"/>
  <c r="AI19" i="5"/>
  <c r="AH19" i="5"/>
  <c r="AF19" i="5"/>
  <c r="AG19" i="5"/>
  <c r="AU52" i="5"/>
  <c r="AH52" i="5"/>
  <c r="AG52" i="5"/>
  <c r="AF52" i="5"/>
  <c r="AK52" i="5"/>
  <c r="AQ52" i="5" s="1"/>
  <c r="AJ52" i="5"/>
  <c r="AI52" i="5"/>
  <c r="AR39" i="5"/>
  <c r="AF39" i="5"/>
  <c r="AI39" i="5"/>
  <c r="AH39" i="5"/>
  <c r="AG39" i="5"/>
  <c r="AK39" i="5"/>
  <c r="AQ39" i="5" s="1"/>
  <c r="AJ39" i="5"/>
  <c r="AK36" i="5"/>
  <c r="AQ36" i="5" s="1"/>
  <c r="AA60" i="5"/>
  <c r="AJ60" i="5"/>
  <c r="AG60" i="5"/>
  <c r="AF60" i="5"/>
  <c r="AK60" i="5"/>
  <c r="AQ60" i="5" s="1"/>
  <c r="AI60" i="5"/>
  <c r="AH60" i="5"/>
  <c r="BA55" i="5"/>
  <c r="AF55" i="5"/>
  <c r="AG55" i="5"/>
  <c r="AK55" i="5"/>
  <c r="AH55" i="5"/>
  <c r="AJ55" i="5"/>
  <c r="AI55" i="5"/>
  <c r="BA23" i="5"/>
  <c r="AF23" i="5"/>
  <c r="AJ23" i="5"/>
  <c r="AI23" i="5"/>
  <c r="AG23" i="5"/>
  <c r="AH23" i="5"/>
  <c r="AK23" i="5"/>
  <c r="AQ23" i="5" s="1"/>
  <c r="BA35" i="5"/>
  <c r="AJ35" i="5"/>
  <c r="AK35" i="5"/>
  <c r="AQ35" i="5" s="1"/>
  <c r="AI35" i="5"/>
  <c r="AH35" i="5"/>
  <c r="AG35" i="5"/>
  <c r="AF35" i="5"/>
  <c r="BA50" i="5"/>
  <c r="AJ50" i="5"/>
  <c r="AU44" i="5"/>
  <c r="AV44" i="5" s="1"/>
  <c r="AI44" i="5"/>
  <c r="AK44" i="5"/>
  <c r="AG44" i="5"/>
  <c r="AH44" i="5"/>
  <c r="AF44" i="5"/>
  <c r="AJ44" i="5"/>
  <c r="AU62" i="5"/>
  <c r="AJ62" i="5"/>
  <c r="AI62" i="5"/>
  <c r="AH62" i="5"/>
  <c r="AK62" i="5"/>
  <c r="AG62" i="5"/>
  <c r="AF62" i="5"/>
  <c r="AB54" i="5"/>
  <c r="BA18" i="5"/>
  <c r="AG18" i="5"/>
  <c r="AF18" i="5"/>
  <c r="AK18" i="5"/>
  <c r="AI18" i="5"/>
  <c r="AJ18" i="5"/>
  <c r="AH18" i="5"/>
  <c r="AA17" i="5"/>
  <c r="AC34" i="5"/>
  <c r="AG34" i="5"/>
  <c r="AF34" i="5"/>
  <c r="AK34" i="5"/>
  <c r="AI34" i="5"/>
  <c r="AH34" i="5"/>
  <c r="AJ34" i="5"/>
  <c r="AA28" i="5"/>
  <c r="AI28" i="5"/>
  <c r="AK28" i="5"/>
  <c r="AQ28" i="5" s="1"/>
  <c r="AG28" i="5"/>
  <c r="AJ28" i="5"/>
  <c r="AH28" i="5"/>
  <c r="AF28" i="5"/>
  <c r="AR47" i="5"/>
  <c r="AR58" i="5"/>
  <c r="AG58" i="5"/>
  <c r="AF58" i="5"/>
  <c r="AK58" i="5"/>
  <c r="AQ58" i="5" s="1"/>
  <c r="AJ58" i="5"/>
  <c r="AH58" i="5"/>
  <c r="AI58" i="5"/>
  <c r="AU53" i="5"/>
  <c r="AC53" i="5"/>
  <c r="AA30" i="5"/>
  <c r="AJ30" i="5"/>
  <c r="AI30" i="5"/>
  <c r="AK30" i="5"/>
  <c r="AH30" i="5"/>
  <c r="AG30" i="5"/>
  <c r="AF30" i="5"/>
  <c r="AH21" i="5"/>
  <c r="AG21" i="5"/>
  <c r="AF21" i="5"/>
  <c r="AJ21" i="5"/>
  <c r="AI21" i="5"/>
  <c r="AK21" i="5"/>
  <c r="AA33" i="5"/>
  <c r="AJ33" i="5"/>
  <c r="AK33" i="5"/>
  <c r="AQ33" i="5" s="1"/>
  <c r="AI33" i="5"/>
  <c r="AG33" i="5"/>
  <c r="AH33" i="5"/>
  <c r="AF33" i="5"/>
  <c r="AA27" i="5"/>
  <c r="AJ27" i="5"/>
  <c r="AK27" i="5"/>
  <c r="AQ27" i="5" s="1"/>
  <c r="AI27" i="5"/>
  <c r="AH27" i="5"/>
  <c r="AG27" i="5"/>
  <c r="AF27" i="5"/>
  <c r="AA49" i="5"/>
  <c r="BA42" i="5"/>
  <c r="AG42" i="5"/>
  <c r="AF42" i="5"/>
  <c r="AK42" i="5"/>
  <c r="AQ42" i="5" s="1"/>
  <c r="AH42" i="5"/>
  <c r="AJ42" i="5"/>
  <c r="AI42" i="5"/>
  <c r="AC38" i="5"/>
  <c r="AJ38" i="5"/>
  <c r="AI38" i="5"/>
  <c r="AG38" i="5"/>
  <c r="AH38" i="5"/>
  <c r="AK38" i="5"/>
  <c r="AQ38" i="5" s="1"/>
  <c r="AF38" i="5"/>
  <c r="AA61" i="5"/>
  <c r="AH61" i="5"/>
  <c r="AG61" i="5"/>
  <c r="AF61" i="5"/>
  <c r="AJ61" i="5"/>
  <c r="AI61" i="5"/>
  <c r="AK61" i="5"/>
  <c r="AQ61" i="5" s="1"/>
  <c r="AC57" i="5"/>
  <c r="AK57" i="5"/>
  <c r="AQ57" i="5" s="1"/>
  <c r="AR53" i="5"/>
  <c r="BB55" i="9"/>
  <c r="BG55" i="9" s="1"/>
  <c r="AQ15" i="9"/>
  <c r="AQ35" i="10"/>
  <c r="BB13" i="9"/>
  <c r="AQ37" i="10"/>
  <c r="AS37" i="10" s="1"/>
  <c r="AY37" i="10" s="1"/>
  <c r="AQ50" i="9"/>
  <c r="AR34" i="11"/>
  <c r="AQ37" i="11"/>
  <c r="AT37" i="11" s="1"/>
  <c r="AX37" i="11" s="1"/>
  <c r="AU39" i="11"/>
  <c r="V10" i="11"/>
  <c r="V14" i="11"/>
  <c r="V18" i="11"/>
  <c r="V26" i="11"/>
  <c r="V30" i="11"/>
  <c r="V34" i="11"/>
  <c r="V38" i="11"/>
  <c r="V42" i="11"/>
  <c r="V46" i="11"/>
  <c r="V54" i="11"/>
  <c r="V58" i="11"/>
  <c r="V62" i="11"/>
  <c r="U9" i="11"/>
  <c r="U13" i="11"/>
  <c r="U17" i="11"/>
  <c r="U21" i="11"/>
  <c r="U29" i="11"/>
  <c r="U33" i="11"/>
  <c r="U37" i="11"/>
  <c r="U41" i="11"/>
  <c r="U45" i="11"/>
  <c r="U49" i="11"/>
  <c r="AQ19" i="11"/>
  <c r="BA43" i="11"/>
  <c r="AC27" i="11"/>
  <c r="U63" i="11"/>
  <c r="AR10" i="11"/>
  <c r="AU38" i="11"/>
  <c r="AQ48" i="11"/>
  <c r="AT48" i="11" s="1"/>
  <c r="AX48" i="11" s="1"/>
  <c r="AU10" i="11"/>
  <c r="AV10" i="11" s="1"/>
  <c r="AQ36" i="11"/>
  <c r="AT36" i="11" s="1"/>
  <c r="AX36" i="11" s="1"/>
  <c r="BA39" i="11"/>
  <c r="AQ12" i="11"/>
  <c r="AS12" i="11"/>
  <c r="AY12" i="11" s="1"/>
  <c r="AV9" i="11"/>
  <c r="AR8" i="11"/>
  <c r="AU20" i="11"/>
  <c r="AV20" i="11" s="1"/>
  <c r="BB20" i="11"/>
  <c r="AQ20" i="11"/>
  <c r="AR20" i="11"/>
  <c r="AR26" i="11"/>
  <c r="AQ26" i="11"/>
  <c r="AU26" i="11"/>
  <c r="AU31" i="11"/>
  <c r="BA31" i="11"/>
  <c r="AR31" i="11"/>
  <c r="AS62" i="11"/>
  <c r="AY62" i="11" s="1"/>
  <c r="AU23" i="11"/>
  <c r="BA23" i="11"/>
  <c r="AR23" i="11"/>
  <c r="AV26" i="11"/>
  <c r="AU29" i="11"/>
  <c r="AQ29" i="11"/>
  <c r="AR29" i="11"/>
  <c r="AV50" i="11"/>
  <c r="AR9" i="11"/>
  <c r="BA9" i="11"/>
  <c r="AR15" i="11"/>
  <c r="AU15" i="11"/>
  <c r="AV15" i="11" s="1"/>
  <c r="AS43" i="11"/>
  <c r="AY43" i="11" s="1"/>
  <c r="AV43" i="11"/>
  <c r="AV55" i="11"/>
  <c r="AV57" i="11"/>
  <c r="BA8" i="11"/>
  <c r="AR16" i="11"/>
  <c r="BA16" i="11"/>
  <c r="AS37" i="11"/>
  <c r="AY37" i="11" s="1"/>
  <c r="AV44" i="11"/>
  <c r="AR22" i="11"/>
  <c r="BA26" i="11"/>
  <c r="AU27" i="11"/>
  <c r="BA27" i="11"/>
  <c r="BB27" i="11" s="1"/>
  <c r="AR27" i="11"/>
  <c r="AV36" i="11"/>
  <c r="AU18" i="11"/>
  <c r="AV18" i="11" s="1"/>
  <c r="AQ22" i="11"/>
  <c r="AU22" i="11"/>
  <c r="AV22" i="11" s="1"/>
  <c r="AQ33" i="11"/>
  <c r="AS33" i="11" s="1"/>
  <c r="AY33" i="11" s="1"/>
  <c r="AV12" i="11"/>
  <c r="AT12" i="11"/>
  <c r="AX12" i="11" s="1"/>
  <c r="AR17" i="11"/>
  <c r="BB17" i="11"/>
  <c r="AU17" i="11"/>
  <c r="AV17" i="11" s="1"/>
  <c r="AR18" i="11"/>
  <c r="AQ25" i="11"/>
  <c r="AS25" i="11" s="1"/>
  <c r="AY25" i="11" s="1"/>
  <c r="AV31" i="11"/>
  <c r="AQ11" i="11"/>
  <c r="BB13" i="11"/>
  <c r="AR13" i="11"/>
  <c r="AU13" i="11"/>
  <c r="AQ15" i="11"/>
  <c r="AQ21" i="11"/>
  <c r="AT21" i="11" s="1"/>
  <c r="AX21" i="11" s="1"/>
  <c r="AQ31" i="11"/>
  <c r="AS31" i="11" s="1"/>
  <c r="AY31" i="11" s="1"/>
  <c r="AV49" i="11"/>
  <c r="AT49" i="11"/>
  <c r="AR30" i="11"/>
  <c r="AS30" i="11" s="1"/>
  <c r="AY30" i="11" s="1"/>
  <c r="AQ30" i="11"/>
  <c r="AT30" i="11" s="1"/>
  <c r="AX30" i="11" s="1"/>
  <c r="AQ39" i="11"/>
  <c r="BA50" i="11"/>
  <c r="AU50" i="11"/>
  <c r="AR50" i="11"/>
  <c r="AR24" i="11"/>
  <c r="AQ24" i="11"/>
  <c r="AU24" i="11"/>
  <c r="AV24" i="11" s="1"/>
  <c r="AR28" i="11"/>
  <c r="BA28" i="11"/>
  <c r="AQ28" i="11"/>
  <c r="AV28" i="11"/>
  <c r="BA30" i="11"/>
  <c r="AU32" i="11"/>
  <c r="AV32" i="11" s="1"/>
  <c r="BB34" i="11"/>
  <c r="AU34" i="11"/>
  <c r="AV34" i="11" s="1"/>
  <c r="AQ34" i="11"/>
  <c r="AT34" i="11" s="1"/>
  <c r="AX34" i="11" s="1"/>
  <c r="AQ38" i="11"/>
  <c r="BA38" i="11"/>
  <c r="AR38" i="11"/>
  <c r="BA42" i="11"/>
  <c r="AU42" i="11"/>
  <c r="AV42" i="11" s="1"/>
  <c r="AS49" i="11"/>
  <c r="AY49" i="11" s="1"/>
  <c r="AU54" i="11"/>
  <c r="AQ54" i="11"/>
  <c r="AR54" i="11"/>
  <c r="BA54" i="11"/>
  <c r="AU33" i="11"/>
  <c r="AV33" i="11" s="1"/>
  <c r="BA33" i="11"/>
  <c r="AV39" i="11"/>
  <c r="AQ51" i="11"/>
  <c r="AT51" i="11" s="1"/>
  <c r="AQ41" i="11"/>
  <c r="AU52" i="11"/>
  <c r="BB52" i="11"/>
  <c r="AR52" i="11"/>
  <c r="BC48" i="11"/>
  <c r="AV51" i="11"/>
  <c r="BA40" i="11"/>
  <c r="AQ40" i="11"/>
  <c r="AT40" i="11" s="1"/>
  <c r="AU40" i="11"/>
  <c r="AV40" i="11" s="1"/>
  <c r="BA44" i="11"/>
  <c r="AU44" i="11"/>
  <c r="AR47" i="11"/>
  <c r="AU47" i="11"/>
  <c r="AQ47" i="11"/>
  <c r="BA47" i="11"/>
  <c r="BA58" i="11"/>
  <c r="AR58" i="11"/>
  <c r="AU58" i="11"/>
  <c r="AQ55" i="11"/>
  <c r="AT55" i="11" s="1"/>
  <c r="BB59" i="11"/>
  <c r="AR59" i="11"/>
  <c r="AR46" i="11"/>
  <c r="AU56" i="11"/>
  <c r="AV56" i="11" s="1"/>
  <c r="AQ56" i="11"/>
  <c r="AS56" i="11" s="1"/>
  <c r="AY56" i="11" s="1"/>
  <c r="BA56" i="11"/>
  <c r="AQ45" i="11"/>
  <c r="AT45" i="11" s="1"/>
  <c r="AX45" i="11" s="1"/>
  <c r="AU48" i="11"/>
  <c r="AV48" i="11" s="1"/>
  <c r="AR56" i="11"/>
  <c r="AU59" i="11"/>
  <c r="AV59" i="11" s="1"/>
  <c r="BA60" i="11"/>
  <c r="AR60" i="11"/>
  <c r="AS60" i="11" s="1"/>
  <c r="AY60" i="11" s="1"/>
  <c r="AR61" i="11"/>
  <c r="AV62" i="11"/>
  <c r="AV60" i="11"/>
  <c r="AQ61" i="11"/>
  <c r="AU61" i="11"/>
  <c r="AV61" i="11" s="1"/>
  <c r="AQ63" i="11"/>
  <c r="AS63" i="11" s="1"/>
  <c r="AY63" i="11" s="1"/>
  <c r="BA63" i="11"/>
  <c r="AU63" i="11"/>
  <c r="AV63" i="11" s="1"/>
  <c r="AR62" i="11"/>
  <c r="AT62" i="11" s="1"/>
  <c r="AX62" i="11" s="1"/>
  <c r="BA62" i="11"/>
  <c r="BB62" i="11" s="1"/>
  <c r="AR12" i="10"/>
  <c r="AQ16" i="10"/>
  <c r="AT16" i="10" s="1"/>
  <c r="AX16" i="10" s="1"/>
  <c r="AU17" i="10"/>
  <c r="AV17" i="10" s="1"/>
  <c r="AQ18" i="10"/>
  <c r="AT18" i="10" s="1"/>
  <c r="BA18" i="10"/>
  <c r="AR41" i="10"/>
  <c r="AU45" i="10"/>
  <c r="AV45" i="10" s="1"/>
  <c r="AU8" i="10"/>
  <c r="AV8" i="10" s="1"/>
  <c r="AQ10" i="10"/>
  <c r="AT10" i="10" s="1"/>
  <c r="AX10" i="10" s="1"/>
  <c r="AU12" i="10"/>
  <c r="AV12" i="10" s="1"/>
  <c r="BA16" i="10"/>
  <c r="AU41" i="10"/>
  <c r="AV41" i="10" s="1"/>
  <c r="AR44" i="10"/>
  <c r="AQ45" i="10"/>
  <c r="BA58" i="10"/>
  <c r="U13" i="10"/>
  <c r="AC13" i="10"/>
  <c r="U17" i="10"/>
  <c r="AC41" i="10"/>
  <c r="AC45" i="10"/>
  <c r="U57" i="10"/>
  <c r="U61" i="10"/>
  <c r="U8" i="10"/>
  <c r="U12" i="10"/>
  <c r="U16" i="10"/>
  <c r="U20" i="10"/>
  <c r="U24" i="10"/>
  <c r="AC24" i="10"/>
  <c r="U28" i="10"/>
  <c r="U32" i="10"/>
  <c r="U36" i="10"/>
  <c r="U40" i="10"/>
  <c r="U44" i="10"/>
  <c r="U48" i="10"/>
  <c r="AC48" i="10"/>
  <c r="U52" i="10"/>
  <c r="AC52" i="10"/>
  <c r="U56" i="10"/>
  <c r="U60" i="10"/>
  <c r="AR9" i="10"/>
  <c r="AU13" i="10"/>
  <c r="BA24" i="10"/>
  <c r="BA48" i="10"/>
  <c r="U11" i="10"/>
  <c r="U19" i="10"/>
  <c r="U23" i="10"/>
  <c r="U27" i="10"/>
  <c r="U31" i="10"/>
  <c r="U35" i="10"/>
  <c r="U39" i="10"/>
  <c r="U47" i="10"/>
  <c r="U51" i="10"/>
  <c r="U55" i="10"/>
  <c r="U59" i="10"/>
  <c r="U63" i="10"/>
  <c r="AU16" i="10"/>
  <c r="AQ8" i="10"/>
  <c r="AT8" i="10" s="1"/>
  <c r="AV19" i="10"/>
  <c r="AR15" i="10"/>
  <c r="AQ15" i="10"/>
  <c r="AU15" i="10"/>
  <c r="BA17" i="10"/>
  <c r="BA30" i="10"/>
  <c r="AR30" i="10"/>
  <c r="BA8" i="10"/>
  <c r="AQ17" i="10"/>
  <c r="AS17" i="10" s="1"/>
  <c r="AY17" i="10" s="1"/>
  <c r="BA23" i="10"/>
  <c r="AU23" i="10"/>
  <c r="AV23" i="10" s="1"/>
  <c r="AQ23" i="10"/>
  <c r="BA25" i="10"/>
  <c r="AU25" i="10"/>
  <c r="AV25" i="10" s="1"/>
  <c r="AQ25" i="10"/>
  <c r="AR25" i="10"/>
  <c r="BA28" i="10"/>
  <c r="AU28" i="10"/>
  <c r="AV28" i="10" s="1"/>
  <c r="AR28" i="10"/>
  <c r="AV52" i="10"/>
  <c r="AV16" i="10"/>
  <c r="AQ19" i="10"/>
  <c r="BG10" i="10"/>
  <c r="BA34" i="10"/>
  <c r="BB34" i="10" s="1"/>
  <c r="AR34" i="10"/>
  <c r="AU34" i="10"/>
  <c r="AQ9" i="10"/>
  <c r="AT9" i="10" s="1"/>
  <c r="AU11" i="10"/>
  <c r="AV11" i="10" s="1"/>
  <c r="AR23" i="10"/>
  <c r="AV26" i="10"/>
  <c r="BA9" i="10"/>
  <c r="BA13" i="10"/>
  <c r="AR14" i="10"/>
  <c r="AT14" i="10" s="1"/>
  <c r="AX14" i="10" s="1"/>
  <c r="BA15" i="10"/>
  <c r="AU30" i="10"/>
  <c r="AQ13" i="10"/>
  <c r="AR17" i="10"/>
  <c r="AU20" i="10"/>
  <c r="AV20" i="10" s="1"/>
  <c r="AR20" i="10"/>
  <c r="BA20" i="10"/>
  <c r="AU21" i="10"/>
  <c r="AV21" i="10" s="1"/>
  <c r="BA21" i="10"/>
  <c r="AQ21" i="10"/>
  <c r="AS21" i="10" s="1"/>
  <c r="AY21" i="10" s="1"/>
  <c r="AU22" i="10"/>
  <c r="AV22" i="10" s="1"/>
  <c r="BA22" i="10"/>
  <c r="AQ22" i="10"/>
  <c r="AR22" i="10"/>
  <c r="AQ30" i="10"/>
  <c r="AV42" i="10"/>
  <c r="AQ27" i="10"/>
  <c r="AT27" i="10" s="1"/>
  <c r="AU27" i="10"/>
  <c r="AV27" i="10" s="1"/>
  <c r="AQ29" i="10"/>
  <c r="AS29" i="10" s="1"/>
  <c r="AY29" i="10" s="1"/>
  <c r="AU29" i="10"/>
  <c r="AV29" i="10" s="1"/>
  <c r="AV43" i="10"/>
  <c r="AU46" i="10"/>
  <c r="AV46" i="10" s="1"/>
  <c r="AR46" i="10"/>
  <c r="AR29" i="10"/>
  <c r="AV33" i="10"/>
  <c r="AV47" i="10"/>
  <c r="AV49" i="10"/>
  <c r="AR19" i="10"/>
  <c r="BB27" i="10"/>
  <c r="AQ32" i="10"/>
  <c r="AQ43" i="10"/>
  <c r="AR31" i="10"/>
  <c r="BB31" i="10"/>
  <c r="AR35" i="10"/>
  <c r="AS35" i="10" s="1"/>
  <c r="AY35" i="10" s="1"/>
  <c r="AV37" i="10"/>
  <c r="AT37" i="10"/>
  <c r="AX37" i="10" s="1"/>
  <c r="AQ49" i="10"/>
  <c r="AS49" i="10" s="1"/>
  <c r="AY49" i="10" s="1"/>
  <c r="AQ53" i="10"/>
  <c r="AT31" i="10"/>
  <c r="AX31" i="10" s="1"/>
  <c r="BF41" i="10"/>
  <c r="BS41" i="10" s="1"/>
  <c r="BD41" i="10"/>
  <c r="BQ41" i="10" s="1"/>
  <c r="BA42" i="10"/>
  <c r="AR42" i="10"/>
  <c r="AQ42" i="10"/>
  <c r="AV48" i="10"/>
  <c r="AU55" i="10"/>
  <c r="BA55" i="10"/>
  <c r="AR55" i="10"/>
  <c r="BA32" i="10"/>
  <c r="AR32" i="10"/>
  <c r="BA36" i="10"/>
  <c r="AQ36" i="10"/>
  <c r="AR36" i="10"/>
  <c r="AR33" i="10"/>
  <c r="AR38" i="10"/>
  <c r="AT38" i="10" s="1"/>
  <c r="AX38" i="10" s="1"/>
  <c r="BA38" i="10"/>
  <c r="AV39" i="10"/>
  <c r="BA40" i="10"/>
  <c r="AR40" i="10"/>
  <c r="AQ48" i="10"/>
  <c r="AQ57" i="10"/>
  <c r="AS57" i="10" s="1"/>
  <c r="AY57" i="10" s="1"/>
  <c r="AT62" i="10"/>
  <c r="BB48" i="10"/>
  <c r="AU50" i="10"/>
  <c r="BA50" i="10"/>
  <c r="AU51" i="10"/>
  <c r="AV51" i="10" s="1"/>
  <c r="AQ51" i="10"/>
  <c r="BA57" i="10"/>
  <c r="AV63" i="10"/>
  <c r="AR48" i="10"/>
  <c r="AU54" i="10"/>
  <c r="AR54" i="10"/>
  <c r="BA54" i="10"/>
  <c r="AQ54" i="10"/>
  <c r="AU56" i="10"/>
  <c r="AV56" i="10" s="1"/>
  <c r="BA56" i="10"/>
  <c r="AQ56" i="10"/>
  <c r="AR56" i="10"/>
  <c r="AV58" i="10"/>
  <c r="AR61" i="10"/>
  <c r="AQ61" i="10"/>
  <c r="BA61" i="10"/>
  <c r="AU61" i="10"/>
  <c r="BB52" i="10"/>
  <c r="AV60" i="10"/>
  <c r="AR63" i="10"/>
  <c r="AQ63" i="10"/>
  <c r="AS63" i="10" s="1"/>
  <c r="AY63" i="10" s="1"/>
  <c r="AQ50" i="10"/>
  <c r="AV59" i="10"/>
  <c r="BA49" i="10"/>
  <c r="AR53" i="10"/>
  <c r="AR59" i="10"/>
  <c r="BB59" i="10"/>
  <c r="AQ59" i="10"/>
  <c r="BB62" i="10"/>
  <c r="AQ8" i="9"/>
  <c r="AT8" i="9" s="1"/>
  <c r="AX8" i="9" s="1"/>
  <c r="AQ13" i="9"/>
  <c r="BA14" i="9"/>
  <c r="AR32" i="9"/>
  <c r="BB45" i="9"/>
  <c r="BG45" i="9" s="1"/>
  <c r="U61" i="9"/>
  <c r="AQ34" i="9"/>
  <c r="AS34" i="9" s="1"/>
  <c r="AY34" i="9" s="1"/>
  <c r="AU40" i="9"/>
  <c r="AV40" i="9" s="1"/>
  <c r="AU44" i="9"/>
  <c r="AV44" i="9" s="1"/>
  <c r="BA48" i="9"/>
  <c r="AR56" i="9"/>
  <c r="AQ32" i="9"/>
  <c r="AU32" i="9"/>
  <c r="AV32" i="9" s="1"/>
  <c r="AU56" i="9"/>
  <c r="AV56" i="9" s="1"/>
  <c r="AC20" i="9"/>
  <c r="AC24" i="9"/>
  <c r="AC48" i="9"/>
  <c r="AT48" i="9" s="1"/>
  <c r="AX48" i="9" s="1"/>
  <c r="AT14" i="9"/>
  <c r="AR48" i="9"/>
  <c r="AU14" i="9"/>
  <c r="AV14" i="9" s="1"/>
  <c r="AQ56" i="9"/>
  <c r="AQ62" i="9"/>
  <c r="U11" i="9"/>
  <c r="U19" i="9"/>
  <c r="U23" i="9"/>
  <c r="U27" i="9"/>
  <c r="U31" i="9"/>
  <c r="U35" i="9"/>
  <c r="U39" i="9"/>
  <c r="U47" i="9"/>
  <c r="U51" i="9"/>
  <c r="U55" i="9"/>
  <c r="U59" i="9"/>
  <c r="U63" i="9"/>
  <c r="AQ26" i="9"/>
  <c r="AS26" i="9" s="1"/>
  <c r="AY26" i="9" s="1"/>
  <c r="AQ49" i="9"/>
  <c r="AT49" i="9" s="1"/>
  <c r="AV10" i="9"/>
  <c r="AV11" i="9"/>
  <c r="AU9" i="9"/>
  <c r="AV9" i="9" s="1"/>
  <c r="BA10" i="9"/>
  <c r="BB10" i="9" s="1"/>
  <c r="AQ11" i="9"/>
  <c r="AS11" i="9" s="1"/>
  <c r="AY11" i="9" s="1"/>
  <c r="BA22" i="9"/>
  <c r="AU22" i="9"/>
  <c r="AR22" i="9"/>
  <c r="AQ25" i="9"/>
  <c r="AS25" i="9" s="1"/>
  <c r="AY25" i="9" s="1"/>
  <c r="AT27" i="9"/>
  <c r="AX27" i="9" s="1"/>
  <c r="AS15" i="9"/>
  <c r="AY15" i="9" s="1"/>
  <c r="BA17" i="9"/>
  <c r="AQ17" i="9"/>
  <c r="AR17" i="9"/>
  <c r="BB20" i="9"/>
  <c r="AU35" i="9"/>
  <c r="BA35" i="9"/>
  <c r="AR35" i="9"/>
  <c r="AU42" i="9"/>
  <c r="BA42" i="9"/>
  <c r="AQ42" i="9"/>
  <c r="AR42" i="9"/>
  <c r="AT15" i="9"/>
  <c r="AX15" i="9" s="1"/>
  <c r="AU38" i="9"/>
  <c r="BA38" i="9"/>
  <c r="BB38" i="9"/>
  <c r="AR38" i="9"/>
  <c r="AR12" i="9"/>
  <c r="AS14" i="9"/>
  <c r="AY14" i="9" s="1"/>
  <c r="AQ19" i="9"/>
  <c r="AR19" i="9"/>
  <c r="BA19" i="9"/>
  <c r="AU20" i="9"/>
  <c r="AR20" i="9"/>
  <c r="AS8" i="9"/>
  <c r="AY8" i="9" s="1"/>
  <c r="BA12" i="9"/>
  <c r="AQ20" i="9"/>
  <c r="AQ21" i="9"/>
  <c r="AU24" i="9"/>
  <c r="AV24" i="9" s="1"/>
  <c r="AQ24" i="9"/>
  <c r="BA8" i="9"/>
  <c r="AR9" i="9"/>
  <c r="AQ12" i="9"/>
  <c r="AT12" i="9" s="1"/>
  <c r="AU16" i="9"/>
  <c r="AV16" i="9" s="1"/>
  <c r="BA16" i="9"/>
  <c r="AQ16" i="9"/>
  <c r="AQ23" i="9"/>
  <c r="AV31" i="9"/>
  <c r="AV46" i="9"/>
  <c r="AQ9" i="9"/>
  <c r="AT9" i="9" s="1"/>
  <c r="AX9" i="9" s="1"/>
  <c r="AR10" i="9"/>
  <c r="AU12" i="9"/>
  <c r="AV12" i="9" s="1"/>
  <c r="AR16" i="9"/>
  <c r="AU19" i="9"/>
  <c r="AU23" i="9"/>
  <c r="BB24" i="9"/>
  <c r="AV26" i="9"/>
  <c r="AQ31" i="9"/>
  <c r="AS31" i="9" s="1"/>
  <c r="AY31" i="9" s="1"/>
  <c r="AQ10" i="9"/>
  <c r="AR18" i="9"/>
  <c r="BA18" i="9"/>
  <c r="BA24" i="9"/>
  <c r="AS27" i="9"/>
  <c r="AY27" i="9" s="1"/>
  <c r="AU28" i="9"/>
  <c r="BA28" i="9"/>
  <c r="AR28" i="9"/>
  <c r="AQ28" i="9"/>
  <c r="AV29" i="9"/>
  <c r="AR30" i="9"/>
  <c r="AU36" i="9"/>
  <c r="AQ36" i="9"/>
  <c r="BA36" i="9"/>
  <c r="AR36" i="9"/>
  <c r="AQ37" i="9"/>
  <c r="AU37" i="9"/>
  <c r="AV37" i="9" s="1"/>
  <c r="BB59" i="9"/>
  <c r="AQ59" i="9"/>
  <c r="AR59" i="9"/>
  <c r="AV61" i="9"/>
  <c r="AT61" i="9"/>
  <c r="AT55" i="9"/>
  <c r="AX55" i="9" s="1"/>
  <c r="BA29" i="9"/>
  <c r="AQ29" i="9"/>
  <c r="AS29" i="9" s="1"/>
  <c r="AY29" i="9" s="1"/>
  <c r="AR29" i="9"/>
  <c r="AR37" i="9"/>
  <c r="BA37" i="9"/>
  <c r="AU41" i="9"/>
  <c r="AV41" i="9" s="1"/>
  <c r="BA41" i="9"/>
  <c r="BB41" i="9" s="1"/>
  <c r="AR41" i="9"/>
  <c r="AQ43" i="9"/>
  <c r="AU30" i="9"/>
  <c r="AU34" i="9"/>
  <c r="AV34" i="9" s="1"/>
  <c r="BA34" i="9"/>
  <c r="BB34" i="9"/>
  <c r="AQ41" i="9"/>
  <c r="AT41" i="9" s="1"/>
  <c r="AR44" i="9"/>
  <c r="BA44" i="9"/>
  <c r="BB62" i="9"/>
  <c r="AQ22" i="9"/>
  <c r="AQ30" i="9"/>
  <c r="AV49" i="9"/>
  <c r="BA43" i="9"/>
  <c r="AQ45" i="9"/>
  <c r="AT45" i="9" s="1"/>
  <c r="AX45" i="9" s="1"/>
  <c r="AU50" i="9"/>
  <c r="AQ60" i="9"/>
  <c r="AU43" i="9"/>
  <c r="AV43" i="9" s="1"/>
  <c r="AV47" i="9"/>
  <c r="AR60" i="9"/>
  <c r="BA60" i="9"/>
  <c r="AU60" i="9"/>
  <c r="AV60" i="9" s="1"/>
  <c r="AR40" i="9"/>
  <c r="BA47" i="9"/>
  <c r="AQ47" i="9"/>
  <c r="AS47" i="9" s="1"/>
  <c r="AY47" i="9" s="1"/>
  <c r="AR47" i="9"/>
  <c r="AU57" i="9"/>
  <c r="BA57" i="9"/>
  <c r="AQ57" i="9"/>
  <c r="AR57" i="9"/>
  <c r="BA58" i="9"/>
  <c r="AQ58" i="9"/>
  <c r="AR58" i="9"/>
  <c r="AU58" i="9"/>
  <c r="BA51" i="9"/>
  <c r="AQ51" i="9"/>
  <c r="AS51" i="9" s="1"/>
  <c r="AY51" i="9" s="1"/>
  <c r="AQ52" i="9"/>
  <c r="AS52" i="9" s="1"/>
  <c r="AY52" i="9" s="1"/>
  <c r="AR52" i="9"/>
  <c r="AU52" i="9"/>
  <c r="AV52" i="9" s="1"/>
  <c r="AQ53" i="9"/>
  <c r="AV55" i="9"/>
  <c r="BA52" i="9"/>
  <c r="AR53" i="9"/>
  <c r="AQ54" i="9"/>
  <c r="AT54" i="9" s="1"/>
  <c r="AX54" i="9" s="1"/>
  <c r="AQ63" i="9"/>
  <c r="AS63" i="9" s="1"/>
  <c r="AY63" i="9" s="1"/>
  <c r="V61" i="8"/>
  <c r="V53" i="8"/>
  <c r="V45" i="8"/>
  <c r="V37" i="8"/>
  <c r="V37" i="5"/>
  <c r="AQ37" i="8"/>
  <c r="AS37" i="8" s="1"/>
  <c r="AU37" i="8" s="1"/>
  <c r="AQ21" i="8"/>
  <c r="BH31" i="8"/>
  <c r="BJ10" i="8"/>
  <c r="BM26" i="8"/>
  <c r="AQ13" i="8"/>
  <c r="BK13" i="8"/>
  <c r="BK24" i="8"/>
  <c r="AQ10" i="8"/>
  <c r="BL24" i="8"/>
  <c r="V62" i="8"/>
  <c r="V60" i="8"/>
  <c r="V58" i="8"/>
  <c r="V56" i="8"/>
  <c r="V54" i="8"/>
  <c r="V52" i="8"/>
  <c r="V50" i="8"/>
  <c r="V48" i="8"/>
  <c r="V46" i="8"/>
  <c r="V44" i="8"/>
  <c r="V42" i="8"/>
  <c r="V40" i="8"/>
  <c r="V38" i="8"/>
  <c r="V36" i="8"/>
  <c r="V34" i="8"/>
  <c r="V32" i="8"/>
  <c r="V30" i="8"/>
  <c r="V28" i="8"/>
  <c r="V26" i="8"/>
  <c r="V24" i="8"/>
  <c r="V22" i="8"/>
  <c r="AQ22" i="8" s="1"/>
  <c r="AS22" i="8" s="1"/>
  <c r="AU22" i="8" s="1"/>
  <c r="V20" i="8"/>
  <c r="V18" i="8"/>
  <c r="V16" i="8"/>
  <c r="V35" i="8"/>
  <c r="V33" i="8"/>
  <c r="V31" i="8"/>
  <c r="V29" i="8"/>
  <c r="V27" i="8"/>
  <c r="V25" i="8"/>
  <c r="V23" i="8"/>
  <c r="V21" i="8"/>
  <c r="V19" i="8"/>
  <c r="V17" i="8"/>
  <c r="V15" i="8"/>
  <c r="AQ15" i="8" s="1"/>
  <c r="V13" i="8"/>
  <c r="V11" i="8"/>
  <c r="V9" i="8"/>
  <c r="U8" i="8"/>
  <c r="AW51" i="8"/>
  <c r="AX34" i="8"/>
  <c r="AV60" i="8"/>
  <c r="AY50" i="8"/>
  <c r="AB29" i="7"/>
  <c r="H29" i="3"/>
  <c r="BB26" i="3"/>
  <c r="BA21" i="6"/>
  <c r="BA15" i="6"/>
  <c r="H28" i="7"/>
  <c r="H39" i="3"/>
  <c r="BC63" i="3"/>
  <c r="AC52" i="5"/>
  <c r="G52" i="5"/>
  <c r="AR63" i="5"/>
  <c r="AA63" i="5"/>
  <c r="H45" i="6"/>
  <c r="G60" i="7"/>
  <c r="BL20" i="8"/>
  <c r="BE37" i="8"/>
  <c r="AR42" i="8"/>
  <c r="BM42" i="8"/>
  <c r="BE48" i="8"/>
  <c r="BK48" i="8"/>
  <c r="AQ59" i="8"/>
  <c r="AQ63" i="8"/>
  <c r="AX20" i="8"/>
  <c r="AR52" i="5"/>
  <c r="AB52" i="5"/>
  <c r="AV52" i="5" s="1"/>
  <c r="AQ9" i="8"/>
  <c r="BL48" i="8"/>
  <c r="BM51" i="8"/>
  <c r="BI62" i="8"/>
  <c r="AB24" i="7"/>
  <c r="H56" i="3"/>
  <c r="AW56" i="3" s="1"/>
  <c r="AB50" i="3"/>
  <c r="V44" i="6"/>
  <c r="I43" i="6"/>
  <c r="V59" i="6"/>
  <c r="AC57" i="6"/>
  <c r="V52" i="7"/>
  <c r="AB39" i="7"/>
  <c r="BA36" i="7"/>
  <c r="AR26" i="8"/>
  <c r="AQ29" i="8"/>
  <c r="BM29" i="8"/>
  <c r="AQ39" i="8"/>
  <c r="AY60" i="8"/>
  <c r="H43" i="6"/>
  <c r="AH43" i="6" s="1"/>
  <c r="AU57" i="6"/>
  <c r="H41" i="7"/>
  <c r="AQ12" i="8"/>
  <c r="AS12" i="8" s="1"/>
  <c r="AU12" i="8" s="1"/>
  <c r="AQ26" i="8"/>
  <c r="BM33" i="8"/>
  <c r="AQ42" i="8"/>
  <c r="AS42" i="8" s="1"/>
  <c r="AU42" i="8" s="1"/>
  <c r="AW38" i="8"/>
  <c r="BA36" i="3"/>
  <c r="V54" i="6"/>
  <c r="BJ20" i="3"/>
  <c r="BC16" i="3"/>
  <c r="BK27" i="3"/>
  <c r="U17" i="7"/>
  <c r="BD48" i="3"/>
  <c r="AB44" i="3"/>
  <c r="AW39" i="3"/>
  <c r="V63" i="5"/>
  <c r="AU36" i="7"/>
  <c r="AC36" i="7"/>
  <c r="BM12" i="8"/>
  <c r="BM13" i="8"/>
  <c r="BE22" i="8"/>
  <c r="AR25" i="8"/>
  <c r="BM39" i="8"/>
  <c r="AQ47" i="8"/>
  <c r="BH48" i="8"/>
  <c r="AR59" i="8"/>
  <c r="BI59" i="8"/>
  <c r="AY23" i="8"/>
  <c r="AW50" i="8"/>
  <c r="AW34" i="8"/>
  <c r="BA12" i="7"/>
  <c r="AR9" i="6"/>
  <c r="BH20" i="3"/>
  <c r="BB16" i="3"/>
  <c r="BH27" i="3"/>
  <c r="AC36" i="3"/>
  <c r="BA52" i="5"/>
  <c r="AB55" i="5"/>
  <c r="AV55" i="5" s="1"/>
  <c r="BA54" i="5"/>
  <c r="AB53" i="6"/>
  <c r="AA48" i="7"/>
  <c r="AR36" i="7"/>
  <c r="AQ18" i="8"/>
  <c r="AS18" i="8" s="1"/>
  <c r="AU18" i="8" s="1"/>
  <c r="BI48" i="8"/>
  <c r="BJ59" i="8"/>
  <c r="AX40" i="8"/>
  <c r="AW60" i="8"/>
  <c r="AB23" i="3"/>
  <c r="V27" i="5"/>
  <c r="AQ12" i="7"/>
  <c r="AS12" i="7" s="1"/>
  <c r="AY12" i="7" s="1"/>
  <c r="BA16" i="3"/>
  <c r="BA31" i="3"/>
  <c r="I29" i="3"/>
  <c r="I39" i="3"/>
  <c r="AV62" i="3"/>
  <c r="AC63" i="5"/>
  <c r="AB39" i="6"/>
  <c r="H36" i="6"/>
  <c r="AH36" i="6" s="1"/>
  <c r="H62" i="6"/>
  <c r="BK10" i="8"/>
  <c r="AQ36" i="8"/>
  <c r="BM36" i="8"/>
  <c r="AQ38" i="8"/>
  <c r="AS38" i="8" s="1"/>
  <c r="AU38" i="8" s="1"/>
  <c r="BM47" i="8"/>
  <c r="AQ48" i="8"/>
  <c r="AS48" i="8" s="1"/>
  <c r="AU48" i="8" s="1"/>
  <c r="BJ48" i="8"/>
  <c r="AQ51" i="8"/>
  <c r="BK59" i="8"/>
  <c r="AW40" i="8"/>
  <c r="AW35" i="8"/>
  <c r="AW15" i="8"/>
  <c r="AV16" i="8"/>
  <c r="AW16" i="8"/>
  <c r="AV8" i="8"/>
  <c r="BE52" i="8"/>
  <c r="BE63" i="8"/>
  <c r="AV35" i="8"/>
  <c r="BE21" i="8"/>
  <c r="BE13" i="8"/>
  <c r="AX15" i="8"/>
  <c r="AX16" i="8"/>
  <c r="AW23" i="8"/>
  <c r="AX23" i="8"/>
  <c r="AZ10" i="8"/>
  <c r="AZ28" i="8"/>
  <c r="BE15" i="8"/>
  <c r="BM8" i="8"/>
  <c r="AQ8" i="8"/>
  <c r="AR8" i="8"/>
  <c r="BE17" i="8"/>
  <c r="BJ20" i="8"/>
  <c r="BI20" i="8"/>
  <c r="AQ20" i="8"/>
  <c r="BH20" i="8"/>
  <c r="AR20" i="8"/>
  <c r="AW27" i="8"/>
  <c r="AV27" i="8"/>
  <c r="BK27" i="8"/>
  <c r="BJ27" i="8"/>
  <c r="BI27" i="8"/>
  <c r="AQ27" i="8"/>
  <c r="BH27" i="8"/>
  <c r="AR27" i="8"/>
  <c r="BM27" i="8"/>
  <c r="BJ31" i="8"/>
  <c r="BM31" i="8"/>
  <c r="BL31" i="8"/>
  <c r="BK31" i="8"/>
  <c r="AQ31" i="8"/>
  <c r="AX32" i="8"/>
  <c r="AV19" i="8"/>
  <c r="AW19" i="8"/>
  <c r="AQ19" i="8"/>
  <c r="BM19" i="8"/>
  <c r="AX24" i="8"/>
  <c r="AW24" i="8"/>
  <c r="BE27" i="8"/>
  <c r="AV31" i="8"/>
  <c r="AX31" i="8"/>
  <c r="AW31" i="8"/>
  <c r="AR32" i="8"/>
  <c r="BM32" i="8"/>
  <c r="AQ16" i="8"/>
  <c r="AR16" i="8"/>
  <c r="BM16" i="8"/>
  <c r="AX17" i="8"/>
  <c r="AW17" i="8"/>
  <c r="AV17" i="8"/>
  <c r="BE8" i="8"/>
  <c r="AW9" i="8"/>
  <c r="AV9" i="8"/>
  <c r="AV11" i="8"/>
  <c r="BM11" i="8"/>
  <c r="AQ11" i="8"/>
  <c r="AR11" i="8"/>
  <c r="AZ14" i="8"/>
  <c r="BM15" i="8"/>
  <c r="AR15" i="8"/>
  <c r="AZ22" i="8"/>
  <c r="BE31" i="8"/>
  <c r="BI31" i="8"/>
  <c r="BE34" i="8"/>
  <c r="AY8" i="8"/>
  <c r="AR9" i="8"/>
  <c r="BM9" i="8"/>
  <c r="AX12" i="8"/>
  <c r="AV24" i="8"/>
  <c r="BE32" i="8"/>
  <c r="BE9" i="8"/>
  <c r="BE12" i="8"/>
  <c r="AW8" i="8"/>
  <c r="AW12" i="8"/>
  <c r="BM20" i="8"/>
  <c r="AV23" i="8"/>
  <c r="BE24" i="8"/>
  <c r="AX27" i="8"/>
  <c r="AQ28" i="8"/>
  <c r="BM28" i="8"/>
  <c r="AR31" i="8"/>
  <c r="AQ25" i="8"/>
  <c r="AR34" i="8"/>
  <c r="AZ37" i="8"/>
  <c r="AX41" i="8"/>
  <c r="AW41" i="8"/>
  <c r="BM30" i="8"/>
  <c r="AQ30" i="8"/>
  <c r="AR30" i="8"/>
  <c r="BL34" i="8"/>
  <c r="BJ34" i="8"/>
  <c r="AQ34" i="8"/>
  <c r="BI34" i="8"/>
  <c r="BH10" i="8"/>
  <c r="AZ13" i="8"/>
  <c r="AR14" i="8"/>
  <c r="BE20" i="8"/>
  <c r="BE28" i="8"/>
  <c r="AZ30" i="8"/>
  <c r="AV34" i="8"/>
  <c r="BK34" i="8"/>
  <c r="AV41" i="8"/>
  <c r="BE53" i="8"/>
  <c r="AX53" i="8"/>
  <c r="AW53" i="8"/>
  <c r="AQ23" i="8"/>
  <c r="AR23" i="8"/>
  <c r="BE41" i="8"/>
  <c r="AZ8" i="8"/>
  <c r="AZ9" i="8"/>
  <c r="AR10" i="8"/>
  <c r="BI10" i="8"/>
  <c r="AV12" i="8"/>
  <c r="AZ17" i="8"/>
  <c r="AQ17" i="8"/>
  <c r="AZ18" i="8"/>
  <c r="AV20" i="8"/>
  <c r="BM23" i="8"/>
  <c r="AZ24" i="8"/>
  <c r="BI24" i="8"/>
  <c r="AQ24" i="8"/>
  <c r="BH24" i="8"/>
  <c r="AR24" i="8"/>
  <c r="AV30" i="8"/>
  <c r="AQ33" i="8"/>
  <c r="BM34" i="8"/>
  <c r="BE38" i="8"/>
  <c r="AZ39" i="8"/>
  <c r="AQ40" i="8"/>
  <c r="AR40" i="8"/>
  <c r="AZ52" i="8"/>
  <c r="BE11" i="8"/>
  <c r="BH13" i="8"/>
  <c r="AR13" i="8"/>
  <c r="BJ13" i="8"/>
  <c r="AQ14" i="8"/>
  <c r="AV15" i="8"/>
  <c r="BH17" i="8"/>
  <c r="AR17" i="8"/>
  <c r="BM17" i="8"/>
  <c r="BK17" i="8"/>
  <c r="BE19" i="8"/>
  <c r="AW20" i="8"/>
  <c r="AW32" i="8"/>
  <c r="AV32" i="8"/>
  <c r="BM21" i="8"/>
  <c r="AR35" i="8"/>
  <c r="AX35" i="8"/>
  <c r="AQ44" i="8"/>
  <c r="BM44" i="8"/>
  <c r="AX46" i="8"/>
  <c r="AW46" i="8"/>
  <c r="AV46" i="8"/>
  <c r="BM25" i="8"/>
  <c r="AZ26" i="8"/>
  <c r="AZ29" i="8"/>
  <c r="BM35" i="8"/>
  <c r="AZ36" i="8"/>
  <c r="BI41" i="8"/>
  <c r="AZ44" i="8"/>
  <c r="AQ61" i="8"/>
  <c r="AR61" i="8"/>
  <c r="BM61" i="8"/>
  <c r="AZ19" i="8"/>
  <c r="AR29" i="8"/>
  <c r="AZ32" i="8"/>
  <c r="AQ35" i="8"/>
  <c r="AS35" i="8" s="1"/>
  <c r="AU35" i="8" s="1"/>
  <c r="AX38" i="8"/>
  <c r="AV38" i="8"/>
  <c r="AZ47" i="8"/>
  <c r="AR21" i="8"/>
  <c r="AX33" i="8"/>
  <c r="AV33" i="8"/>
  <c r="BE35" i="8"/>
  <c r="AR36" i="8"/>
  <c r="BM38" i="8"/>
  <c r="BL38" i="8"/>
  <c r="BH38" i="8"/>
  <c r="AV40" i="8"/>
  <c r="BH41" i="8"/>
  <c r="AR41" i="8"/>
  <c r="BM41" i="8"/>
  <c r="BL41" i="8"/>
  <c r="AQ41" i="8"/>
  <c r="BK41" i="8"/>
  <c r="BE44" i="8"/>
  <c r="AQ45" i="8"/>
  <c r="BE46" i="8"/>
  <c r="AR58" i="8"/>
  <c r="AS58" i="8" s="1"/>
  <c r="AU58" i="8" s="1"/>
  <c r="BM58" i="8"/>
  <c r="AZ49" i="8"/>
  <c r="AQ49" i="8"/>
  <c r="AR49" i="8"/>
  <c r="BM49" i="8"/>
  <c r="AQ52" i="8"/>
  <c r="AS52" i="8" s="1"/>
  <c r="AU52" i="8" s="1"/>
  <c r="AZ54" i="8"/>
  <c r="AX58" i="8"/>
  <c r="AV58" i="8"/>
  <c r="AZ59" i="8"/>
  <c r="BM60" i="8"/>
  <c r="AR60" i="8"/>
  <c r="AZ42" i="8"/>
  <c r="AZ45" i="8"/>
  <c r="AQ60" i="8"/>
  <c r="AR43" i="8"/>
  <c r="BK45" i="8"/>
  <c r="BI45" i="8"/>
  <c r="AR45" i="8"/>
  <c r="BM45" i="8"/>
  <c r="AX51" i="8"/>
  <c r="AV51" i="8"/>
  <c r="AQ53" i="8"/>
  <c r="BM53" i="8"/>
  <c r="AR53" i="8"/>
  <c r="AW61" i="8"/>
  <c r="AR39" i="8"/>
  <c r="AQ43" i="8"/>
  <c r="AQ46" i="8"/>
  <c r="BM46" i="8"/>
  <c r="AR46" i="8"/>
  <c r="AV53" i="8"/>
  <c r="AW58" i="8"/>
  <c r="AY61" i="8"/>
  <c r="AW57" i="8"/>
  <c r="BI55" i="8"/>
  <c r="AQ55" i="8"/>
  <c r="AS55" i="8" s="1"/>
  <c r="AU55" i="8" s="1"/>
  <c r="BH55" i="8"/>
  <c r="AV61" i="8"/>
  <c r="AY62" i="8"/>
  <c r="AX62" i="8"/>
  <c r="BH62" i="8"/>
  <c r="AR62" i="8"/>
  <c r="BJ62" i="8"/>
  <c r="BK62" i="8"/>
  <c r="AR50" i="8"/>
  <c r="BM50" i="8"/>
  <c r="AQ54" i="8"/>
  <c r="AR54" i="8"/>
  <c r="BJ55" i="8"/>
  <c r="AV57" i="8"/>
  <c r="BL62" i="8"/>
  <c r="AZ63" i="8"/>
  <c r="AR47" i="8"/>
  <c r="BE49" i="8"/>
  <c r="AR51" i="8"/>
  <c r="BK55" i="8"/>
  <c r="AZ56" i="8"/>
  <c r="AQ56" i="8"/>
  <c r="AS56" i="8" s="1"/>
  <c r="AU56" i="8" s="1"/>
  <c r="AX57" i="8"/>
  <c r="AS62" i="8"/>
  <c r="AU62" i="8" s="1"/>
  <c r="BM62" i="8"/>
  <c r="BE57" i="8"/>
  <c r="BM57" i="8"/>
  <c r="AR63" i="8"/>
  <c r="AQ57" i="8"/>
  <c r="BL59" i="8"/>
  <c r="BL52" i="8"/>
  <c r="BN52" i="8" s="1"/>
  <c r="AR26" i="5"/>
  <c r="AR34" i="3"/>
  <c r="BM56" i="3"/>
  <c r="BH52" i="3"/>
  <c r="AB21" i="3"/>
  <c r="I33" i="3"/>
  <c r="BM32" i="3"/>
  <c r="AR23" i="3"/>
  <c r="U17" i="3"/>
  <c r="AB28" i="6"/>
  <c r="AV28" i="6" s="1"/>
  <c r="AR25" i="6"/>
  <c r="AC25" i="6"/>
  <c r="AB24" i="6"/>
  <c r="H15" i="7"/>
  <c r="AH15" i="7" s="1"/>
  <c r="U27" i="7"/>
  <c r="AB26" i="7"/>
  <c r="BE55" i="3"/>
  <c r="G54" i="3"/>
  <c r="AZ54" i="3" s="1"/>
  <c r="BC51" i="3"/>
  <c r="AR50" i="3"/>
  <c r="H50" i="3"/>
  <c r="BE48" i="3"/>
  <c r="U39" i="3"/>
  <c r="AX39" i="3"/>
  <c r="AB36" i="3"/>
  <c r="AB41" i="5"/>
  <c r="AV41" i="5" s="1"/>
  <c r="G40" i="5"/>
  <c r="AA55" i="5"/>
  <c r="U52" i="6"/>
  <c r="I45" i="6"/>
  <c r="AR40" i="6"/>
  <c r="AA40" i="6"/>
  <c r="AR39" i="6"/>
  <c r="AA39" i="6"/>
  <c r="I39" i="6"/>
  <c r="G38" i="6"/>
  <c r="AB61" i="7"/>
  <c r="AU53" i="7"/>
  <c r="AC44" i="7"/>
  <c r="AB42" i="7"/>
  <c r="H39" i="7"/>
  <c r="H32" i="3"/>
  <c r="H22" i="5"/>
  <c r="AI22" i="5" s="1"/>
  <c r="AA25" i="6"/>
  <c r="AC44" i="5"/>
  <c r="AB44" i="7"/>
  <c r="AV44" i="7" s="1"/>
  <c r="AA29" i="6"/>
  <c r="AQ31" i="6"/>
  <c r="AU33" i="7"/>
  <c r="AC33" i="7"/>
  <c r="AA32" i="3"/>
  <c r="G32" i="3"/>
  <c r="AZ32" i="3" s="1"/>
  <c r="AB30" i="3"/>
  <c r="BM27" i="3"/>
  <c r="AA27" i="3"/>
  <c r="G22" i="5"/>
  <c r="AJ22" i="5" s="1"/>
  <c r="I20" i="5"/>
  <c r="AA16" i="5"/>
  <c r="V19" i="5"/>
  <c r="H30" i="6"/>
  <c r="BA17" i="6"/>
  <c r="I34" i="6"/>
  <c r="AB28" i="7"/>
  <c r="AR33" i="7"/>
  <c r="AB56" i="3"/>
  <c r="BA55" i="3"/>
  <c r="AC55" i="3"/>
  <c r="BC48" i="3"/>
  <c r="AQ46" i="3"/>
  <c r="AA46" i="3"/>
  <c r="H38" i="3"/>
  <c r="U58" i="3"/>
  <c r="V63" i="3"/>
  <c r="V61" i="3"/>
  <c r="U60" i="3"/>
  <c r="V52" i="5"/>
  <c r="AR44" i="5"/>
  <c r="AA44" i="5"/>
  <c r="BA37" i="5"/>
  <c r="AB37" i="5"/>
  <c r="AU63" i="5"/>
  <c r="BA62" i="5"/>
  <c r="AR61" i="5"/>
  <c r="AC61" i="5"/>
  <c r="AA57" i="5"/>
  <c r="AA51" i="6"/>
  <c r="H51" i="6"/>
  <c r="AQ46" i="6"/>
  <c r="V42" i="6"/>
  <c r="BA36" i="6"/>
  <c r="AB36" i="6"/>
  <c r="AV36" i="6" s="1"/>
  <c r="AB62" i="6"/>
  <c r="AB60" i="6"/>
  <c r="V57" i="6"/>
  <c r="AR63" i="7"/>
  <c r="AB63" i="7"/>
  <c r="AC50" i="7"/>
  <c r="V49" i="7"/>
  <c r="AA44" i="7"/>
  <c r="G38" i="3"/>
  <c r="AZ38" i="3" s="1"/>
  <c r="AQ37" i="5"/>
  <c r="AU51" i="6"/>
  <c r="G24" i="3"/>
  <c r="AZ24" i="3" s="1"/>
  <c r="H28" i="6"/>
  <c r="BA25" i="6"/>
  <c r="AQ25" i="6"/>
  <c r="U23" i="6"/>
  <c r="BA31" i="7"/>
  <c r="G29" i="7"/>
  <c r="AJ29" i="7" s="1"/>
  <c r="BM52" i="3"/>
  <c r="BM46" i="3"/>
  <c r="BC57" i="3"/>
  <c r="BB63" i="3"/>
  <c r="AC63" i="3"/>
  <c r="AA52" i="5"/>
  <c r="H52" i="5"/>
  <c r="H50" i="5"/>
  <c r="AA47" i="5"/>
  <c r="AB44" i="5"/>
  <c r="H39" i="5"/>
  <c r="AU37" i="5"/>
  <c r="AV37" i="5" s="1"/>
  <c r="AB61" i="5"/>
  <c r="AV61" i="5" s="1"/>
  <c r="H58" i="5"/>
  <c r="AB57" i="5"/>
  <c r="AU55" i="5"/>
  <c r="V55" i="5"/>
  <c r="AU36" i="6"/>
  <c r="AU59" i="6"/>
  <c r="AC59" i="6"/>
  <c r="AR57" i="6"/>
  <c r="AR55" i="6"/>
  <c r="AQ61" i="7"/>
  <c r="BA53" i="7"/>
  <c r="AQ53" i="7"/>
  <c r="AB50" i="7"/>
  <c r="AC49" i="7"/>
  <c r="AA46" i="7"/>
  <c r="AQ44" i="7"/>
  <c r="BA42" i="7"/>
  <c r="G41" i="7"/>
  <c r="AQ36" i="7"/>
  <c r="BA23" i="3"/>
  <c r="AR37" i="5"/>
  <c r="AC37" i="5"/>
  <c r="BA61" i="5"/>
  <c r="BA60" i="5"/>
  <c r="AR36" i="6"/>
  <c r="AC36" i="6"/>
  <c r="AU49" i="7"/>
  <c r="BA44" i="7"/>
  <c r="BB27" i="3"/>
  <c r="AQ26" i="3"/>
  <c r="AS26" i="3" s="1"/>
  <c r="AU26" i="3" s="1"/>
  <c r="U18" i="3"/>
  <c r="AB34" i="7"/>
  <c r="BA44" i="5"/>
  <c r="AB63" i="5"/>
  <c r="U62" i="5"/>
  <c r="U57" i="5"/>
  <c r="AC55" i="5"/>
  <c r="AB46" i="6"/>
  <c r="AU40" i="6"/>
  <c r="AC40" i="6"/>
  <c r="H38" i="6"/>
  <c r="AQ57" i="6"/>
  <c r="V44" i="7"/>
  <c r="AB38" i="7"/>
  <c r="AV38" i="7" s="1"/>
  <c r="AA19" i="3"/>
  <c r="BM19" i="3"/>
  <c r="AA30" i="3"/>
  <c r="BM30" i="3"/>
  <c r="V24" i="5"/>
  <c r="I20" i="7"/>
  <c r="H54" i="3"/>
  <c r="I53" i="3"/>
  <c r="U44" i="3"/>
  <c r="BM51" i="3"/>
  <c r="BI48" i="3"/>
  <c r="BJ48" i="3"/>
  <c r="BK48" i="3"/>
  <c r="BH48" i="3"/>
  <c r="H41" i="3"/>
  <c r="G41" i="3"/>
  <c r="AZ41" i="3" s="1"/>
  <c r="BM59" i="3"/>
  <c r="AC48" i="5"/>
  <c r="AA48" i="5"/>
  <c r="AC24" i="5"/>
  <c r="AR24" i="5"/>
  <c r="AA24" i="5"/>
  <c r="AB26" i="6"/>
  <c r="AB48" i="3"/>
  <c r="BL41" i="3"/>
  <c r="BH41" i="3"/>
  <c r="AR40" i="3"/>
  <c r="BM40" i="3"/>
  <c r="AQ37" i="3"/>
  <c r="AC37" i="3"/>
  <c r="AA37" i="3"/>
  <c r="AR37" i="3"/>
  <c r="BB58" i="3"/>
  <c r="BC58" i="3"/>
  <c r="BD58" i="3"/>
  <c r="BA58" i="3"/>
  <c r="G49" i="5"/>
  <c r="H49" i="5"/>
  <c r="I49" i="5"/>
  <c r="AB30" i="5"/>
  <c r="AU29" i="6"/>
  <c r="AC29" i="6"/>
  <c r="AR29" i="6"/>
  <c r="AB35" i="6"/>
  <c r="AA55" i="3"/>
  <c r="BJ55" i="3"/>
  <c r="BL48" i="3"/>
  <c r="BL31" i="3"/>
  <c r="AQ31" i="3"/>
  <c r="BJ31" i="3"/>
  <c r="AR13" i="7"/>
  <c r="AB35" i="3"/>
  <c r="AB24" i="5"/>
  <c r="H11" i="7"/>
  <c r="I11" i="7"/>
  <c r="H17" i="3"/>
  <c r="I17" i="3"/>
  <c r="BD35" i="3"/>
  <c r="BE35" i="3"/>
  <c r="BM31" i="3"/>
  <c r="AU17" i="5"/>
  <c r="BA17" i="5"/>
  <c r="AC17" i="5"/>
  <c r="U21" i="3"/>
  <c r="V21" i="3"/>
  <c r="AB29" i="6"/>
  <c r="AV29" i="6" s="1"/>
  <c r="AU21" i="6"/>
  <c r="AC21" i="6"/>
  <c r="AR21" i="6"/>
  <c r="V35" i="6"/>
  <c r="U35" i="6"/>
  <c r="BA23" i="7"/>
  <c r="BE56" i="3"/>
  <c r="BK55" i="3"/>
  <c r="U48" i="3"/>
  <c r="U37" i="3"/>
  <c r="V37" i="3"/>
  <c r="AX59" i="3"/>
  <c r="AU13" i="6"/>
  <c r="BE19" i="3"/>
  <c r="BH17" i="3"/>
  <c r="BE32" i="3"/>
  <c r="BK31" i="3"/>
  <c r="AB17" i="5"/>
  <c r="BD56" i="3"/>
  <c r="U42" i="3"/>
  <c r="V41" i="3"/>
  <c r="AC35" i="3"/>
  <c r="AQ51" i="3"/>
  <c r="AC51" i="3"/>
  <c r="AC59" i="3"/>
  <c r="BL59" i="3"/>
  <c r="G48" i="5"/>
  <c r="H48" i="5"/>
  <c r="I48" i="5"/>
  <c r="BM25" i="3"/>
  <c r="G18" i="5"/>
  <c r="I18" i="5"/>
  <c r="H18" i="5"/>
  <c r="AA35" i="5"/>
  <c r="AC35" i="5"/>
  <c r="AU35" i="5"/>
  <c r="AR35" i="5"/>
  <c r="U32" i="5"/>
  <c r="V32" i="5"/>
  <c r="AR30" i="3"/>
  <c r="AB35" i="5"/>
  <c r="I26" i="6"/>
  <c r="H26" i="6"/>
  <c r="V43" i="3"/>
  <c r="BM37" i="3"/>
  <c r="AQ36" i="3"/>
  <c r="AB57" i="3"/>
  <c r="BB20" i="3"/>
  <c r="BB31" i="3"/>
  <c r="AQ27" i="3"/>
  <c r="BM24" i="3"/>
  <c r="AB25" i="7"/>
  <c r="U40" i="3"/>
  <c r="BD57" i="3"/>
  <c r="G60" i="3"/>
  <c r="AZ60" i="3" s="1"/>
  <c r="H43" i="5"/>
  <c r="AI43" i="5" s="1"/>
  <c r="U39" i="5"/>
  <c r="AC53" i="6"/>
  <c r="AA48" i="6"/>
  <c r="BB48" i="6" s="1"/>
  <c r="I62" i="6"/>
  <c r="AA61" i="6"/>
  <c r="H61" i="6"/>
  <c r="AU60" i="6"/>
  <c r="H60" i="6"/>
  <c r="H62" i="7"/>
  <c r="AA61" i="7"/>
  <c r="G56" i="7"/>
  <c r="U55" i="7"/>
  <c r="AA54" i="7"/>
  <c r="AA42" i="7"/>
  <c r="AC40" i="7"/>
  <c r="G43" i="5"/>
  <c r="AJ43" i="5" s="1"/>
  <c r="BA59" i="5"/>
  <c r="I59" i="5"/>
  <c r="AQ55" i="5"/>
  <c r="AA41" i="6"/>
  <c r="H37" i="6"/>
  <c r="AR60" i="6"/>
  <c r="I60" i="7"/>
  <c r="AR55" i="7"/>
  <c r="AC55" i="7"/>
  <c r="AA38" i="7"/>
  <c r="I56" i="5"/>
  <c r="H50" i="6"/>
  <c r="AI50" i="6" s="1"/>
  <c r="I49" i="6"/>
  <c r="AU41" i="6"/>
  <c r="G37" i="6"/>
  <c r="H63" i="6"/>
  <c r="AU62" i="6"/>
  <c r="AA55" i="7"/>
  <c r="BA51" i="7"/>
  <c r="V46" i="7"/>
  <c r="H60" i="5"/>
  <c r="G50" i="6"/>
  <c r="AJ50" i="6" s="1"/>
  <c r="H49" i="6"/>
  <c r="AQ42" i="7"/>
  <c r="AB41" i="6"/>
  <c r="V62" i="7"/>
  <c r="AB58" i="7"/>
  <c r="AB40" i="3"/>
  <c r="BE61" i="3"/>
  <c r="AB48" i="5"/>
  <c r="AU41" i="5"/>
  <c r="AQ53" i="6"/>
  <c r="V48" i="6"/>
  <c r="AU46" i="6"/>
  <c r="AV46" i="6" s="1"/>
  <c r="AU61" i="7"/>
  <c r="BA55" i="7"/>
  <c r="AB55" i="7"/>
  <c r="AV55" i="7" s="1"/>
  <c r="AB51" i="7"/>
  <c r="AR42" i="7"/>
  <c r="V42" i="7"/>
  <c r="V40" i="7"/>
  <c r="BA22" i="5"/>
  <c r="H32" i="5"/>
  <c r="V26" i="3"/>
  <c r="AB27" i="7"/>
  <c r="AA35" i="7"/>
  <c r="V51" i="3"/>
  <c r="BB48" i="3"/>
  <c r="U59" i="3"/>
  <c r="BM63" i="3"/>
  <c r="AB63" i="3"/>
  <c r="AB62" i="3"/>
  <c r="AC60" i="3"/>
  <c r="V46" i="5"/>
  <c r="V59" i="5"/>
  <c r="AB53" i="5"/>
  <c r="BA52" i="6"/>
  <c r="BB52" i="6" s="1"/>
  <c r="BG52" i="6" s="1"/>
  <c r="AB52" i="6"/>
  <c r="AB51" i="6"/>
  <c r="AV51" i="6" s="1"/>
  <c r="AU48" i="6"/>
  <c r="AV48" i="6" s="1"/>
  <c r="AR46" i="6"/>
  <c r="AS46" i="6" s="1"/>
  <c r="AY46" i="6" s="1"/>
  <c r="AC46" i="6"/>
  <c r="AB40" i="6"/>
  <c r="BA59" i="6"/>
  <c r="AB59" i="6"/>
  <c r="AB57" i="6"/>
  <c r="AR61" i="7"/>
  <c r="I56" i="7"/>
  <c r="AQ52" i="7"/>
  <c r="I52" i="7"/>
  <c r="AB49" i="7"/>
  <c r="AC42" i="7"/>
  <c r="AT42" i="7" s="1"/>
  <c r="AX42" i="7" s="1"/>
  <c r="BA38" i="7"/>
  <c r="V38" i="7"/>
  <c r="BE20" i="3"/>
  <c r="AB32" i="3"/>
  <c r="AB27" i="3"/>
  <c r="AB33" i="5"/>
  <c r="G32" i="5"/>
  <c r="AB25" i="6"/>
  <c r="AV25" i="6" s="1"/>
  <c r="H19" i="6"/>
  <c r="AB34" i="6"/>
  <c r="U33" i="6"/>
  <c r="V55" i="3"/>
  <c r="BE57" i="3"/>
  <c r="AR60" i="3"/>
  <c r="H60" i="3"/>
  <c r="AV60" i="3" s="1"/>
  <c r="AA41" i="5"/>
  <c r="G41" i="5"/>
  <c r="AB62" i="5"/>
  <c r="AV62" i="5" s="1"/>
  <c r="AB60" i="5"/>
  <c r="AV60" i="5" s="1"/>
  <c r="BA53" i="5"/>
  <c r="I54" i="6"/>
  <c r="AR48" i="6"/>
  <c r="AC48" i="6"/>
  <c r="BA40" i="6"/>
  <c r="V38" i="6"/>
  <c r="I60" i="6"/>
  <c r="BA57" i="6"/>
  <c r="I62" i="7"/>
  <c r="AC61" i="7"/>
  <c r="H54" i="7"/>
  <c r="AB53" i="7"/>
  <c r="H52" i="7"/>
  <c r="V51" i="7"/>
  <c r="BB38" i="7"/>
  <c r="G27" i="3"/>
  <c r="AZ27" i="3" s="1"/>
  <c r="U24" i="3"/>
  <c r="V16" i="3"/>
  <c r="U23" i="5"/>
  <c r="U31" i="5"/>
  <c r="H23" i="6"/>
  <c r="G22" i="6"/>
  <c r="AJ22" i="6" s="1"/>
  <c r="G20" i="6"/>
  <c r="AU31" i="7"/>
  <c r="BA25" i="7"/>
  <c r="AW54" i="3"/>
  <c r="V50" i="3"/>
  <c r="U50" i="3"/>
  <c r="BB47" i="3"/>
  <c r="AV46" i="3"/>
  <c r="AW42" i="3"/>
  <c r="AX38" i="3"/>
  <c r="BA59" i="3"/>
  <c r="BD59" i="3"/>
  <c r="BE59" i="3"/>
  <c r="BA62" i="3"/>
  <c r="BD62" i="3"/>
  <c r="BE62" i="3"/>
  <c r="G51" i="5"/>
  <c r="AR10" i="7"/>
  <c r="BA28" i="5"/>
  <c r="AB28" i="5"/>
  <c r="BA27" i="5"/>
  <c r="AB27" i="5"/>
  <c r="AV27" i="5" s="1"/>
  <c r="V29" i="3"/>
  <c r="U15" i="5"/>
  <c r="AK15" i="5" s="1"/>
  <c r="AQ15" i="5" s="1"/>
  <c r="AB15" i="6"/>
  <c r="AR31" i="7"/>
  <c r="AC31" i="7"/>
  <c r="AC54" i="3"/>
  <c r="BA40" i="3"/>
  <c r="BE40" i="3"/>
  <c r="BC36" i="3"/>
  <c r="BD36" i="3"/>
  <c r="BE36" i="3"/>
  <c r="BM61" i="3"/>
  <c r="AU46" i="5"/>
  <c r="AR46" i="5"/>
  <c r="AQ46" i="5"/>
  <c r="AA45" i="5"/>
  <c r="AC45" i="5"/>
  <c r="AR45" i="5"/>
  <c r="AQ45" i="5"/>
  <c r="U38" i="5"/>
  <c r="V38" i="5"/>
  <c r="BC35" i="3"/>
  <c r="I31" i="3"/>
  <c r="BE22" i="3"/>
  <c r="AA31" i="7"/>
  <c r="AQ48" i="3"/>
  <c r="H47" i="3"/>
  <c r="AX46" i="3"/>
  <c r="BD41" i="3"/>
  <c r="BA41" i="3"/>
  <c r="AA58" i="3"/>
  <c r="AC58" i="3"/>
  <c r="AR58" i="3"/>
  <c r="V47" i="5"/>
  <c r="AB45" i="5"/>
  <c r="AV45" i="5" s="1"/>
  <c r="AQ35" i="3"/>
  <c r="BI34" i="3"/>
  <c r="I26" i="5"/>
  <c r="AR25" i="5"/>
  <c r="AA25" i="5"/>
  <c r="AA19" i="5"/>
  <c r="AA18" i="5"/>
  <c r="AB34" i="5"/>
  <c r="V27" i="6"/>
  <c r="G11" i="7"/>
  <c r="BI20" i="3"/>
  <c r="AR20" i="3"/>
  <c r="AA20" i="3"/>
  <c r="BA35" i="3"/>
  <c r="I35" i="3"/>
  <c r="BH34" i="3"/>
  <c r="BI31" i="3"/>
  <c r="AA31" i="3"/>
  <c r="G31" i="3"/>
  <c r="AZ31" i="3" s="1"/>
  <c r="AR26" i="3"/>
  <c r="BE24" i="3"/>
  <c r="H24" i="3"/>
  <c r="BM23" i="3"/>
  <c r="AA23" i="3"/>
  <c r="BC22" i="3"/>
  <c r="AA26" i="5"/>
  <c r="H26" i="5"/>
  <c r="H35" i="5"/>
  <c r="V16" i="5"/>
  <c r="U33" i="5"/>
  <c r="AB30" i="6"/>
  <c r="V15" i="6"/>
  <c r="AR31" i="6"/>
  <c r="AC31" i="6"/>
  <c r="I18" i="7"/>
  <c r="H24" i="7"/>
  <c r="BB51" i="3"/>
  <c r="BD51" i="3"/>
  <c r="BE51" i="3"/>
  <c r="BB50" i="3"/>
  <c r="BA50" i="3"/>
  <c r="BC50" i="3"/>
  <c r="BE50" i="3"/>
  <c r="H49" i="3"/>
  <c r="I49" i="3"/>
  <c r="BE41" i="3"/>
  <c r="AB38" i="3"/>
  <c r="AB58" i="3"/>
  <c r="BB57" i="3"/>
  <c r="BE63" i="3"/>
  <c r="BM60" i="3"/>
  <c r="AQ60" i="3"/>
  <c r="BA46" i="5"/>
  <c r="U42" i="5"/>
  <c r="V42" i="5"/>
  <c r="AC25" i="7"/>
  <c r="AA25" i="7"/>
  <c r="AA54" i="3"/>
  <c r="AR54" i="3"/>
  <c r="BM54" i="3"/>
  <c r="AX50" i="3"/>
  <c r="AC47" i="3"/>
  <c r="BM47" i="3"/>
  <c r="BA44" i="3"/>
  <c r="BD44" i="3"/>
  <c r="BE44" i="3"/>
  <c r="V38" i="3"/>
  <c r="U38" i="3"/>
  <c r="BD37" i="3"/>
  <c r="BA37" i="3"/>
  <c r="BB37" i="3"/>
  <c r="BC37" i="3"/>
  <c r="AA57" i="3"/>
  <c r="AR57" i="3"/>
  <c r="AC57" i="3"/>
  <c r="BM57" i="3"/>
  <c r="BE60" i="3"/>
  <c r="I36" i="5"/>
  <c r="H36" i="5"/>
  <c r="AF36" i="5" s="1"/>
  <c r="G36" i="5"/>
  <c r="AJ36" i="5" s="1"/>
  <c r="U11" i="6"/>
  <c r="AB19" i="3"/>
  <c r="AB16" i="3"/>
  <c r="BE30" i="3"/>
  <c r="AB19" i="5"/>
  <c r="AB18" i="5"/>
  <c r="AR28" i="5"/>
  <c r="AC28" i="5"/>
  <c r="AU27" i="5"/>
  <c r="V12" i="6"/>
  <c r="AB31" i="7"/>
  <c r="AX56" i="3"/>
  <c r="AV56" i="3"/>
  <c r="BC54" i="3"/>
  <c r="AW53" i="3"/>
  <c r="AX53" i="3"/>
  <c r="H48" i="3"/>
  <c r="G48" i="3"/>
  <c r="AZ48" i="3" s="1"/>
  <c r="BE47" i="3"/>
  <c r="AB47" i="3"/>
  <c r="BA10" i="7"/>
  <c r="AR17" i="3"/>
  <c r="BM28" i="3"/>
  <c r="AU28" i="5"/>
  <c r="BM17" i="3"/>
  <c r="AB25" i="3"/>
  <c r="AR13" i="6"/>
  <c r="BK17" i="3"/>
  <c r="AC17" i="3"/>
  <c r="G17" i="3"/>
  <c r="AZ17" i="3" s="1"/>
  <c r="BM15" i="3"/>
  <c r="I15" i="3"/>
  <c r="BC34" i="3"/>
  <c r="BE33" i="3"/>
  <c r="BE31" i="3"/>
  <c r="AB31" i="3"/>
  <c r="BB30" i="3"/>
  <c r="BJ27" i="3"/>
  <c r="AR27" i="3"/>
  <c r="AB22" i="3"/>
  <c r="AB26" i="5"/>
  <c r="G21" i="5"/>
  <c r="I34" i="5"/>
  <c r="AU29" i="5"/>
  <c r="AR27" i="5"/>
  <c r="AC27" i="5"/>
  <c r="V20" i="5"/>
  <c r="U30" i="5"/>
  <c r="V12" i="7"/>
  <c r="I24" i="6"/>
  <c r="I22" i="6"/>
  <c r="AI22" i="6" s="1"/>
  <c r="AC15" i="6"/>
  <c r="AR35" i="6"/>
  <c r="BA31" i="6"/>
  <c r="AB31" i="6"/>
  <c r="I22" i="7"/>
  <c r="AH22" i="7" s="1"/>
  <c r="AB30" i="7"/>
  <c r="G28" i="7"/>
  <c r="AA34" i="7"/>
  <c r="G56" i="3"/>
  <c r="AZ56" i="3" s="1"/>
  <c r="BA54" i="3"/>
  <c r="AQ54" i="3"/>
  <c r="AS54" i="3" s="1"/>
  <c r="AU54" i="3" s="1"/>
  <c r="BM50" i="3"/>
  <c r="AC50" i="3"/>
  <c r="V49" i="3"/>
  <c r="BM48" i="3"/>
  <c r="AA48" i="3"/>
  <c r="AC48" i="3"/>
  <c r="AR48" i="3"/>
  <c r="BD47" i="3"/>
  <c r="AQ47" i="3"/>
  <c r="V47" i="3"/>
  <c r="U47" i="3"/>
  <c r="I43" i="3"/>
  <c r="BD40" i="3"/>
  <c r="AQ40" i="3"/>
  <c r="AS40" i="3" s="1"/>
  <c r="AU40" i="3" s="1"/>
  <c r="BE39" i="3"/>
  <c r="BB39" i="3"/>
  <c r="AQ58" i="3"/>
  <c r="BA63" i="3"/>
  <c r="BL62" i="3"/>
  <c r="BC60" i="3"/>
  <c r="I51" i="5"/>
  <c r="V50" i="5"/>
  <c r="AK50" i="5" s="1"/>
  <c r="AB46" i="5"/>
  <c r="AC40" i="5"/>
  <c r="AA40" i="5"/>
  <c r="AR40" i="5"/>
  <c r="AB17" i="3"/>
  <c r="AB10" i="7"/>
  <c r="BI17" i="3"/>
  <c r="BE16" i="3"/>
  <c r="AC34" i="3"/>
  <c r="BC31" i="3"/>
  <c r="AC30" i="3"/>
  <c r="BI27" i="3"/>
  <c r="H34" i="5"/>
  <c r="U28" i="3"/>
  <c r="U21" i="5"/>
  <c r="H24" i="6"/>
  <c r="AB21" i="6"/>
  <c r="AU15" i="6"/>
  <c r="AA35" i="6"/>
  <c r="G35" i="6"/>
  <c r="AC29" i="7"/>
  <c r="AA29" i="7"/>
  <c r="AU29" i="7"/>
  <c r="AV27" i="7"/>
  <c r="AQ25" i="7"/>
  <c r="AB53" i="3"/>
  <c r="AR53" i="3"/>
  <c r="BE52" i="3"/>
  <c r="BC47" i="3"/>
  <c r="AW46" i="3"/>
  <c r="AR44" i="3"/>
  <c r="AQ44" i="3"/>
  <c r="AS44" i="3" s="1"/>
  <c r="AU44" i="3" s="1"/>
  <c r="BA43" i="3"/>
  <c r="BC40" i="3"/>
  <c r="BB38" i="3"/>
  <c r="BE38" i="3"/>
  <c r="AW59" i="3"/>
  <c r="BB60" i="3"/>
  <c r="G47" i="5"/>
  <c r="H47" i="5"/>
  <c r="I47" i="5"/>
  <c r="AA46" i="5"/>
  <c r="U54" i="5"/>
  <c r="V54" i="5"/>
  <c r="AC42" i="6"/>
  <c r="AU42" i="6"/>
  <c r="AV42" i="6" s="1"/>
  <c r="AU63" i="6"/>
  <c r="BA63" i="6"/>
  <c r="AC56" i="6"/>
  <c r="AR56" i="6"/>
  <c r="AA59" i="7"/>
  <c r="BA59" i="7"/>
  <c r="AB40" i="5"/>
  <c r="AA36" i="5"/>
  <c r="AR36" i="5"/>
  <c r="G58" i="5"/>
  <c r="AR50" i="6"/>
  <c r="AU50" i="6"/>
  <c r="AB42" i="6"/>
  <c r="G41" i="6"/>
  <c r="H41" i="6"/>
  <c r="AB56" i="6"/>
  <c r="AB59" i="7"/>
  <c r="AA57" i="7"/>
  <c r="AR57" i="7"/>
  <c r="G51" i="7"/>
  <c r="I51" i="7"/>
  <c r="U50" i="7"/>
  <c r="AK50" i="7" s="1"/>
  <c r="V50" i="7"/>
  <c r="AB36" i="5"/>
  <c r="AV36" i="5" s="1"/>
  <c r="AQ62" i="5"/>
  <c r="AU44" i="6"/>
  <c r="BA44" i="6"/>
  <c r="BA42" i="6"/>
  <c r="AQ42" i="6"/>
  <c r="AQ63" i="6"/>
  <c r="U63" i="6"/>
  <c r="V63" i="6"/>
  <c r="AU61" i="6"/>
  <c r="BA61" i="6"/>
  <c r="AB57" i="7"/>
  <c r="AV57" i="7" s="1"/>
  <c r="G49" i="7"/>
  <c r="I49" i="7"/>
  <c r="U45" i="7"/>
  <c r="V45" i="7"/>
  <c r="H37" i="7"/>
  <c r="I37" i="7"/>
  <c r="G37" i="7"/>
  <c r="BA56" i="5"/>
  <c r="AR56" i="5"/>
  <c r="U50" i="6"/>
  <c r="V50" i="6"/>
  <c r="BA38" i="6"/>
  <c r="AQ59" i="7"/>
  <c r="U59" i="7"/>
  <c r="G58" i="7"/>
  <c r="H58" i="7"/>
  <c r="V53" i="7"/>
  <c r="AB56" i="5"/>
  <c r="BA50" i="6"/>
  <c r="AQ44" i="6"/>
  <c r="AR43" i="6"/>
  <c r="AU43" i="6"/>
  <c r="AQ40" i="6"/>
  <c r="U61" i="6"/>
  <c r="V61" i="6"/>
  <c r="G58" i="6"/>
  <c r="H58" i="6"/>
  <c r="AV63" i="7"/>
  <c r="AU59" i="7"/>
  <c r="BA53" i="3"/>
  <c r="AV52" i="3"/>
  <c r="AA40" i="3"/>
  <c r="AV39" i="3"/>
  <c r="AB37" i="3"/>
  <c r="AB60" i="3"/>
  <c r="AQ44" i="5"/>
  <c r="BA36" i="5"/>
  <c r="AR62" i="5"/>
  <c r="AC62" i="5"/>
  <c r="G57" i="5"/>
  <c r="AJ57" i="5" s="1"/>
  <c r="I57" i="5"/>
  <c r="AH57" i="5" s="1"/>
  <c r="I53" i="5"/>
  <c r="G53" i="5"/>
  <c r="I52" i="6"/>
  <c r="H52" i="6"/>
  <c r="H47" i="6"/>
  <c r="I47" i="6"/>
  <c r="AB43" i="6"/>
  <c r="AR42" i="6"/>
  <c r="AR63" i="6"/>
  <c r="AC63" i="6"/>
  <c r="AR59" i="7"/>
  <c r="BA57" i="7"/>
  <c r="AV49" i="7"/>
  <c r="AB35" i="7"/>
  <c r="AB33" i="7"/>
  <c r="AV33" i="7" s="1"/>
  <c r="BB55" i="3"/>
  <c r="U54" i="3"/>
  <c r="AB52" i="3"/>
  <c r="AB51" i="3"/>
  <c r="AW50" i="3"/>
  <c r="AW47" i="3"/>
  <c r="AB46" i="3"/>
  <c r="AB39" i="3"/>
  <c r="AB59" i="3"/>
  <c r="G57" i="3"/>
  <c r="AZ57" i="3" s="1"/>
  <c r="BB61" i="3"/>
  <c r="AR48" i="5"/>
  <c r="I40" i="5"/>
  <c r="AU38" i="5"/>
  <c r="AR38" i="5"/>
  <c r="AQ63" i="5"/>
  <c r="V60" i="5"/>
  <c r="V56" i="5"/>
  <c r="AC54" i="5"/>
  <c r="AR54" i="5"/>
  <c r="AU54" i="5"/>
  <c r="AV54" i="5" s="1"/>
  <c r="AQ54" i="5"/>
  <c r="G53" i="6"/>
  <c r="H53" i="6"/>
  <c r="AC50" i="6"/>
  <c r="AA42" i="6"/>
  <c r="H42" i="6"/>
  <c r="AU38" i="6"/>
  <c r="AC38" i="6"/>
  <c r="AA63" i="6"/>
  <c r="I59" i="6"/>
  <c r="H59" i="6"/>
  <c r="AC58" i="6"/>
  <c r="AR58" i="6"/>
  <c r="H56" i="6"/>
  <c r="I56" i="6"/>
  <c r="V55" i="6"/>
  <c r="AA63" i="7"/>
  <c r="BA63" i="7"/>
  <c r="AC63" i="7"/>
  <c r="V61" i="7"/>
  <c r="AC59" i="7"/>
  <c r="AV42" i="7"/>
  <c r="AX54" i="3"/>
  <c r="AY50" i="3"/>
  <c r="AV47" i="3"/>
  <c r="BA38" i="5"/>
  <c r="BB38" i="5" s="1"/>
  <c r="AB38" i="5"/>
  <c r="AC36" i="5"/>
  <c r="AA62" i="5"/>
  <c r="AA50" i="6"/>
  <c r="AR44" i="6"/>
  <c r="AC44" i="6"/>
  <c r="G42" i="6"/>
  <c r="AR38" i="6"/>
  <c r="AA38" i="6"/>
  <c r="AR61" i="6"/>
  <c r="AC61" i="6"/>
  <c r="AB58" i="6"/>
  <c r="AV58" i="6" s="1"/>
  <c r="I57" i="6"/>
  <c r="AF57" i="6" s="1"/>
  <c r="H57" i="6"/>
  <c r="AI57" i="6" s="1"/>
  <c r="AU56" i="6"/>
  <c r="AV56" i="6" s="1"/>
  <c r="AQ55" i="6"/>
  <c r="AT55" i="6" s="1"/>
  <c r="AX55" i="6" s="1"/>
  <c r="V58" i="7"/>
  <c r="AC57" i="7"/>
  <c r="I54" i="7"/>
  <c r="H43" i="7"/>
  <c r="AH43" i="7" s="1"/>
  <c r="I43" i="7"/>
  <c r="G43" i="7"/>
  <c r="AB40" i="7"/>
  <c r="AV40" i="7" s="1"/>
  <c r="AB37" i="7"/>
  <c r="AV37" i="7" s="1"/>
  <c r="AA40" i="7"/>
  <c r="AQ38" i="7"/>
  <c r="AB50" i="6"/>
  <c r="AV50" i="6" s="1"/>
  <c r="AB63" i="6"/>
  <c r="AV63" i="6" s="1"/>
  <c r="AB61" i="6"/>
  <c r="BB55" i="6"/>
  <c r="AV62" i="7"/>
  <c r="AR53" i="7"/>
  <c r="AC53" i="7"/>
  <c r="AB47" i="7"/>
  <c r="AV47" i="7" s="1"/>
  <c r="BA40" i="7"/>
  <c r="I45" i="7"/>
  <c r="AB59" i="5"/>
  <c r="AB58" i="5"/>
  <c r="AV58" i="5" s="1"/>
  <c r="H48" i="6"/>
  <c r="AB44" i="6"/>
  <c r="G44" i="6"/>
  <c r="AB38" i="6"/>
  <c r="G36" i="6"/>
  <c r="AJ36" i="6" s="1"/>
  <c r="H55" i="6"/>
  <c r="AB54" i="7"/>
  <c r="I53" i="7"/>
  <c r="V47" i="7"/>
  <c r="AR46" i="7"/>
  <c r="H45" i="7"/>
  <c r="AR44" i="7"/>
  <c r="AQ40" i="7"/>
  <c r="AR38" i="7"/>
  <c r="AQ48" i="6"/>
  <c r="AT48" i="6" s="1"/>
  <c r="AQ61" i="6"/>
  <c r="AV58" i="7"/>
  <c r="G61" i="7"/>
  <c r="H61" i="7"/>
  <c r="I61" i="7"/>
  <c r="H57" i="7"/>
  <c r="AI57" i="7" s="1"/>
  <c r="I57" i="7"/>
  <c r="AA60" i="7"/>
  <c r="AR60" i="7"/>
  <c r="AC60" i="7"/>
  <c r="AQ60" i="7"/>
  <c r="V57" i="7"/>
  <c r="H63" i="7"/>
  <c r="I63" i="7"/>
  <c r="AB60" i="7"/>
  <c r="U57" i="7"/>
  <c r="AR54" i="7"/>
  <c r="AC54" i="7"/>
  <c r="AQ54" i="7"/>
  <c r="BA54" i="7"/>
  <c r="G59" i="7"/>
  <c r="H59" i="7"/>
  <c r="I59" i="7"/>
  <c r="V63" i="7"/>
  <c r="AU60" i="7"/>
  <c r="V60" i="7"/>
  <c r="AR56" i="7"/>
  <c r="AC56" i="7"/>
  <c r="AQ56" i="7"/>
  <c r="BA56" i="7"/>
  <c r="U54" i="7"/>
  <c r="V54" i="7"/>
  <c r="AA62" i="7"/>
  <c r="AR62" i="7"/>
  <c r="AC62" i="7"/>
  <c r="AQ62" i="7"/>
  <c r="AA58" i="7"/>
  <c r="AR58" i="7"/>
  <c r="AC58" i="7"/>
  <c r="AU56" i="7"/>
  <c r="AB56" i="7"/>
  <c r="H55" i="7"/>
  <c r="I55" i="7"/>
  <c r="AV50" i="7"/>
  <c r="G57" i="7"/>
  <c r="AJ57" i="7" s="1"/>
  <c r="U56" i="7"/>
  <c r="V56" i="7"/>
  <c r="AU51" i="7"/>
  <c r="AV51" i="7" s="1"/>
  <c r="AQ51" i="7"/>
  <c r="G50" i="7"/>
  <c r="AJ50" i="7" s="1"/>
  <c r="H50" i="7"/>
  <c r="AI50" i="7" s="1"/>
  <c r="H47" i="7"/>
  <c r="H40" i="7"/>
  <c r="I40" i="7"/>
  <c r="G40" i="7"/>
  <c r="AR39" i="7"/>
  <c r="AC39" i="7"/>
  <c r="AQ39" i="7"/>
  <c r="BA39" i="7"/>
  <c r="AA39" i="7"/>
  <c r="U37" i="7"/>
  <c r="V37" i="7"/>
  <c r="AA47" i="7"/>
  <c r="AR47" i="7"/>
  <c r="AC47" i="7"/>
  <c r="AQ47" i="7"/>
  <c r="G47" i="7"/>
  <c r="G46" i="7"/>
  <c r="H46" i="7"/>
  <c r="I46" i="7"/>
  <c r="H42" i="7"/>
  <c r="I42" i="7"/>
  <c r="G42" i="7"/>
  <c r="AR41" i="7"/>
  <c r="AC41" i="7"/>
  <c r="AQ41" i="7"/>
  <c r="BA41" i="7"/>
  <c r="AA41" i="7"/>
  <c r="U39" i="7"/>
  <c r="V39" i="7"/>
  <c r="AR51" i="7"/>
  <c r="AB41" i="7"/>
  <c r="AV39" i="7"/>
  <c r="AA45" i="7"/>
  <c r="AR45" i="7"/>
  <c r="AC45" i="7"/>
  <c r="AQ45" i="7"/>
  <c r="AR43" i="7"/>
  <c r="AC43" i="7"/>
  <c r="BA43" i="7"/>
  <c r="AA43" i="7"/>
  <c r="U41" i="7"/>
  <c r="V41" i="7"/>
  <c r="H53" i="7"/>
  <c r="BA50" i="7"/>
  <c r="AR50" i="7"/>
  <c r="AA50" i="7"/>
  <c r="H49" i="7"/>
  <c r="AB45" i="7"/>
  <c r="AB43" i="7"/>
  <c r="V36" i="7"/>
  <c r="AC51" i="7"/>
  <c r="AQ49" i="7"/>
  <c r="AA49" i="7"/>
  <c r="AR49" i="7"/>
  <c r="BB48" i="7"/>
  <c r="U43" i="7"/>
  <c r="V43" i="7"/>
  <c r="AU41" i="7"/>
  <c r="H38" i="7"/>
  <c r="I38" i="7"/>
  <c r="G38" i="7"/>
  <c r="AR37" i="7"/>
  <c r="AC37" i="7"/>
  <c r="AQ37" i="7"/>
  <c r="BA37" i="7"/>
  <c r="AA37" i="7"/>
  <c r="I50" i="7"/>
  <c r="G48" i="7"/>
  <c r="H48" i="7"/>
  <c r="I48" i="7"/>
  <c r="AV46" i="7"/>
  <c r="AU45" i="7"/>
  <c r="AV36" i="7"/>
  <c r="H36" i="7"/>
  <c r="AH36" i="7" s="1"/>
  <c r="G36" i="7"/>
  <c r="I44" i="7"/>
  <c r="H44" i="7"/>
  <c r="AV59" i="6"/>
  <c r="AV57" i="6"/>
  <c r="AV55" i="6"/>
  <c r="G63" i="6"/>
  <c r="AA62" i="6"/>
  <c r="G61" i="6"/>
  <c r="AA60" i="6"/>
  <c r="G59" i="6"/>
  <c r="AA58" i="6"/>
  <c r="G57" i="6"/>
  <c r="AA56" i="6"/>
  <c r="G55" i="6"/>
  <c r="AV62" i="6"/>
  <c r="AV60" i="6"/>
  <c r="BA62" i="6"/>
  <c r="V62" i="6"/>
  <c r="BA60" i="6"/>
  <c r="V60" i="6"/>
  <c r="BA58" i="6"/>
  <c r="V58" i="6"/>
  <c r="BA56" i="6"/>
  <c r="V56" i="6"/>
  <c r="AQ62" i="6"/>
  <c r="AS62" i="6" s="1"/>
  <c r="AY62" i="6" s="1"/>
  <c r="AQ60" i="6"/>
  <c r="AS60" i="6" s="1"/>
  <c r="AY60" i="6" s="1"/>
  <c r="AQ58" i="6"/>
  <c r="AV52" i="6"/>
  <c r="H54" i="6"/>
  <c r="U51" i="6"/>
  <c r="V51" i="6"/>
  <c r="G48" i="6"/>
  <c r="AU47" i="6"/>
  <c r="AV47" i="6" s="1"/>
  <c r="AA47" i="6"/>
  <c r="V46" i="6"/>
  <c r="AC45" i="6"/>
  <c r="AQ45" i="6"/>
  <c r="BA45" i="6"/>
  <c r="U43" i="6"/>
  <c r="AK43" i="6" s="1"/>
  <c r="V43" i="6"/>
  <c r="V40" i="6"/>
  <c r="AU54" i="6"/>
  <c r="AB49" i="6"/>
  <c r="AV39" i="6"/>
  <c r="BA54" i="6"/>
  <c r="U53" i="6"/>
  <c r="V53" i="6"/>
  <c r="AC47" i="6"/>
  <c r="BA47" i="6"/>
  <c r="U45" i="6"/>
  <c r="V45" i="6"/>
  <c r="V36" i="6"/>
  <c r="AC54" i="6"/>
  <c r="AU53" i="6"/>
  <c r="AV53" i="6" s="1"/>
  <c r="AC37" i="6"/>
  <c r="AQ37" i="6"/>
  <c r="BA37" i="6"/>
  <c r="AU37" i="6"/>
  <c r="AR54" i="6"/>
  <c r="AB54" i="6"/>
  <c r="AC49" i="6"/>
  <c r="AQ49" i="6"/>
  <c r="BA49" i="6"/>
  <c r="U47" i="6"/>
  <c r="V47" i="6"/>
  <c r="AC41" i="6"/>
  <c r="AQ41" i="6"/>
  <c r="BA41" i="6"/>
  <c r="AC39" i="6"/>
  <c r="AQ39" i="6"/>
  <c r="BA39" i="6"/>
  <c r="AB37" i="6"/>
  <c r="AR53" i="6"/>
  <c r="H46" i="6"/>
  <c r="H40" i="6"/>
  <c r="AA37" i="6"/>
  <c r="AA53" i="6"/>
  <c r="AC51" i="6"/>
  <c r="AQ51" i="6"/>
  <c r="BA51" i="6"/>
  <c r="U49" i="6"/>
  <c r="V49" i="6"/>
  <c r="G46" i="6"/>
  <c r="AU45" i="6"/>
  <c r="AV45" i="6" s="1"/>
  <c r="AA45" i="6"/>
  <c r="AC43" i="6"/>
  <c r="BA43" i="6"/>
  <c r="U41" i="6"/>
  <c r="V41" i="6"/>
  <c r="G40" i="6"/>
  <c r="U39" i="6"/>
  <c r="V39" i="6"/>
  <c r="V37" i="6"/>
  <c r="AS58" i="3"/>
  <c r="AU58" i="3" s="1"/>
  <c r="BL58" i="3" s="1"/>
  <c r="AS36" i="3"/>
  <c r="AU36" i="3" s="1"/>
  <c r="G62" i="5"/>
  <c r="H61" i="5"/>
  <c r="I60" i="5"/>
  <c r="AA58" i="5"/>
  <c r="AR57" i="5"/>
  <c r="AQ56" i="5"/>
  <c r="AC56" i="5"/>
  <c r="G54" i="5"/>
  <c r="AV53" i="5"/>
  <c r="H53" i="5"/>
  <c r="V61" i="5"/>
  <c r="H59" i="5"/>
  <c r="AA56" i="5"/>
  <c r="V53" i="5"/>
  <c r="AU59" i="5"/>
  <c r="I63" i="5"/>
  <c r="AR60" i="5"/>
  <c r="AQ59" i="5"/>
  <c r="AC59" i="5"/>
  <c r="BA58" i="5"/>
  <c r="V58" i="5"/>
  <c r="AU57" i="5"/>
  <c r="AV57" i="5" s="1"/>
  <c r="H56" i="5"/>
  <c r="I55" i="5"/>
  <c r="H63" i="5"/>
  <c r="I62" i="5"/>
  <c r="AR59" i="5"/>
  <c r="AC58" i="5"/>
  <c r="BA57" i="5"/>
  <c r="AU56" i="5"/>
  <c r="H55" i="5"/>
  <c r="I54" i="5"/>
  <c r="AA42" i="5"/>
  <c r="AR42" i="5"/>
  <c r="AC42" i="5"/>
  <c r="AU42" i="5"/>
  <c r="V45" i="5"/>
  <c r="AB42" i="5"/>
  <c r="H37" i="5"/>
  <c r="I37" i="5"/>
  <c r="AA51" i="5"/>
  <c r="AR51" i="5"/>
  <c r="BA51" i="5"/>
  <c r="AR49" i="5"/>
  <c r="AC49" i="5"/>
  <c r="AQ49" i="5"/>
  <c r="BA49" i="5"/>
  <c r="V44" i="5"/>
  <c r="AC43" i="5"/>
  <c r="AB51" i="5"/>
  <c r="AB49" i="5"/>
  <c r="BA39" i="5"/>
  <c r="AU39" i="5"/>
  <c r="AA39" i="5"/>
  <c r="AU49" i="5"/>
  <c r="U49" i="5"/>
  <c r="V49" i="5"/>
  <c r="AA43" i="5"/>
  <c r="AR43" i="5"/>
  <c r="BA43" i="5"/>
  <c r="G38" i="5"/>
  <c r="H38" i="5"/>
  <c r="I38" i="5"/>
  <c r="U36" i="5"/>
  <c r="V36" i="5"/>
  <c r="AU51" i="5"/>
  <c r="U51" i="5"/>
  <c r="AB43" i="5"/>
  <c r="AC39" i="5"/>
  <c r="AA50" i="5"/>
  <c r="AR50" i="5"/>
  <c r="AC50" i="5"/>
  <c r="AU50" i="5"/>
  <c r="BA47" i="5"/>
  <c r="AU47" i="5"/>
  <c r="G46" i="5"/>
  <c r="H46" i="5"/>
  <c r="I46" i="5"/>
  <c r="H44" i="5"/>
  <c r="I42" i="5"/>
  <c r="U41" i="5"/>
  <c r="V41" i="5"/>
  <c r="AB39" i="5"/>
  <c r="AB50" i="5"/>
  <c r="H45" i="5"/>
  <c r="I45" i="5"/>
  <c r="G44" i="5"/>
  <c r="AU43" i="5"/>
  <c r="U43" i="5"/>
  <c r="AK43" i="5" s="1"/>
  <c r="H42" i="5"/>
  <c r="AU48" i="5"/>
  <c r="BA41" i="5"/>
  <c r="AU40" i="5"/>
  <c r="BA48" i="5"/>
  <c r="V48" i="5"/>
  <c r="AC41" i="5"/>
  <c r="BA40" i="5"/>
  <c r="V40" i="5"/>
  <c r="AQ48" i="5"/>
  <c r="AW60" i="3"/>
  <c r="AQ63" i="3"/>
  <c r="BH62" i="3"/>
  <c r="AR62" i="3"/>
  <c r="I63" i="3"/>
  <c r="AY62" i="3"/>
  <c r="AA62" i="3"/>
  <c r="BA61" i="3"/>
  <c r="AQ61" i="3"/>
  <c r="AC61" i="3"/>
  <c r="H63" i="3"/>
  <c r="AX62" i="3"/>
  <c r="AR61" i="3"/>
  <c r="AB61" i="3"/>
  <c r="AW62" i="3"/>
  <c r="BK62" i="3"/>
  <c r="BC62" i="3"/>
  <c r="I61" i="3"/>
  <c r="AR63" i="3"/>
  <c r="BJ62" i="3"/>
  <c r="BB62" i="3"/>
  <c r="V62" i="3"/>
  <c r="BD61" i="3"/>
  <c r="H61" i="3"/>
  <c r="BI62" i="3"/>
  <c r="AQ62" i="3"/>
  <c r="AV59" i="3"/>
  <c r="AY59" i="3"/>
  <c r="BH59" i="3"/>
  <c r="AR59" i="3"/>
  <c r="H57" i="3"/>
  <c r="V57" i="3"/>
  <c r="AQ57" i="3"/>
  <c r="AS57" i="3" s="1"/>
  <c r="AU57" i="3" s="1"/>
  <c r="BK59" i="3"/>
  <c r="BC59" i="3"/>
  <c r="I58" i="3"/>
  <c r="BJ59" i="3"/>
  <c r="BB59" i="3"/>
  <c r="H58" i="3"/>
  <c r="BI59" i="3"/>
  <c r="AQ59" i="3"/>
  <c r="AV50" i="3"/>
  <c r="AV42" i="3"/>
  <c r="AV38" i="3"/>
  <c r="AW52" i="3"/>
  <c r="AY56" i="3"/>
  <c r="AA56" i="3"/>
  <c r="BI55" i="3"/>
  <c r="AB55" i="3"/>
  <c r="H55" i="3"/>
  <c r="BE54" i="3"/>
  <c r="AV54" i="3"/>
  <c r="BM53" i="3"/>
  <c r="BC53" i="3"/>
  <c r="AC53" i="3"/>
  <c r="U53" i="3"/>
  <c r="BI52" i="3"/>
  <c r="BA52" i="3"/>
  <c r="AR52" i="3"/>
  <c r="G51" i="3"/>
  <c r="AZ51" i="3" s="1"/>
  <c r="BD50" i="3"/>
  <c r="BB49" i="3"/>
  <c r="AQ49" i="3"/>
  <c r="AB49" i="3"/>
  <c r="I48" i="3"/>
  <c r="BC46" i="3"/>
  <c r="U46" i="3"/>
  <c r="BJ45" i="3"/>
  <c r="BA45" i="3"/>
  <c r="AR45" i="3"/>
  <c r="AA45" i="3"/>
  <c r="H44" i="3"/>
  <c r="BE43" i="3"/>
  <c r="BA42" i="3"/>
  <c r="AQ42" i="3"/>
  <c r="AC42" i="3"/>
  <c r="BI41" i="3"/>
  <c r="G40" i="3"/>
  <c r="AZ40" i="3" s="1"/>
  <c r="BM39" i="3"/>
  <c r="BD39" i="3"/>
  <c r="AC39" i="3"/>
  <c r="BI38" i="3"/>
  <c r="AR38" i="3"/>
  <c r="G55" i="3"/>
  <c r="AZ55" i="3" s="1"/>
  <c r="BB53" i="3"/>
  <c r="AQ53" i="3"/>
  <c r="BA49" i="3"/>
  <c r="AR49" i="3"/>
  <c r="BA46" i="3"/>
  <c r="BI45" i="3"/>
  <c r="G44" i="3"/>
  <c r="AZ44" i="3" s="1"/>
  <c r="BM43" i="3"/>
  <c r="BD43" i="3"/>
  <c r="AC43" i="3"/>
  <c r="AR42" i="3"/>
  <c r="AB42" i="3"/>
  <c r="I41" i="3"/>
  <c r="AW41" i="3" s="1"/>
  <c r="BC39" i="3"/>
  <c r="AQ39" i="3"/>
  <c r="BH38" i="3"/>
  <c r="AY38" i="3"/>
  <c r="AA38" i="3"/>
  <c r="AX52" i="3"/>
  <c r="I45" i="3"/>
  <c r="BC43" i="3"/>
  <c r="AQ43" i="3"/>
  <c r="AA43" i="3"/>
  <c r="AY42" i="3"/>
  <c r="G45" i="3"/>
  <c r="AZ45" i="3" s="1"/>
  <c r="AX42" i="3"/>
  <c r="AR39" i="3"/>
  <c r="AW38" i="3"/>
  <c r="AR43" i="3"/>
  <c r="BB56" i="3"/>
  <c r="V56" i="3"/>
  <c r="BL55" i="3"/>
  <c r="AQ55" i="3"/>
  <c r="G53" i="3"/>
  <c r="AZ53" i="3" s="1"/>
  <c r="BL52" i="3"/>
  <c r="BD52" i="3"/>
  <c r="AC52" i="3"/>
  <c r="U52" i="3"/>
  <c r="AV49" i="3"/>
  <c r="AR47" i="3"/>
  <c r="BE45" i="3"/>
  <c r="V45" i="3"/>
  <c r="BB44" i="3"/>
  <c r="AA44" i="3"/>
  <c r="AB43" i="3"/>
  <c r="H43" i="3"/>
  <c r="BE42" i="3"/>
  <c r="BM41" i="3"/>
  <c r="BC41" i="3"/>
  <c r="AC41" i="3"/>
  <c r="BM38" i="3"/>
  <c r="BD38" i="3"/>
  <c r="V36" i="3"/>
  <c r="BA56" i="3"/>
  <c r="AQ56" i="3"/>
  <c r="AC56" i="3"/>
  <c r="AV53" i="3"/>
  <c r="BK52" i="3"/>
  <c r="BC52" i="3"/>
  <c r="AQ52" i="3"/>
  <c r="AR51" i="3"/>
  <c r="I51" i="3"/>
  <c r="AW51" i="3" s="1"/>
  <c r="BE49" i="3"/>
  <c r="BE46" i="3"/>
  <c r="BM45" i="3"/>
  <c r="BC45" i="3"/>
  <c r="AC45" i="3"/>
  <c r="BM42" i="3"/>
  <c r="BD42" i="3"/>
  <c r="BK41" i="3"/>
  <c r="AQ41" i="3"/>
  <c r="AB41" i="3"/>
  <c r="I40" i="3"/>
  <c r="AX40" i="3" s="1"/>
  <c r="BL38" i="3"/>
  <c r="BC38" i="3"/>
  <c r="AR55" i="3"/>
  <c r="BH55" i="3"/>
  <c r="BE53" i="3"/>
  <c r="BJ52" i="3"/>
  <c r="BM49" i="3"/>
  <c r="BC49" i="3"/>
  <c r="AC49" i="3"/>
  <c r="BD46" i="3"/>
  <c r="BK45" i="3"/>
  <c r="BB45" i="3"/>
  <c r="AQ45" i="3"/>
  <c r="AB45" i="3"/>
  <c r="BC42" i="3"/>
  <c r="BJ41" i="3"/>
  <c r="AR41" i="3"/>
  <c r="AA41" i="3"/>
  <c r="BK38" i="3"/>
  <c r="BA38" i="3"/>
  <c r="AQ38" i="3"/>
  <c r="AC38" i="3"/>
  <c r="H37" i="3"/>
  <c r="I37" i="3"/>
  <c r="H36" i="3"/>
  <c r="G36" i="3"/>
  <c r="AZ36" i="3" s="1"/>
  <c r="AX32" i="3"/>
  <c r="AU8" i="7"/>
  <c r="AV29" i="3"/>
  <c r="AR11" i="7"/>
  <c r="I21" i="3"/>
  <c r="BC17" i="3"/>
  <c r="I22" i="3"/>
  <c r="G22" i="3"/>
  <c r="AZ22" i="3" s="1"/>
  <c r="V22" i="5"/>
  <c r="U22" i="5"/>
  <c r="U33" i="3"/>
  <c r="V35" i="5"/>
  <c r="V8" i="7"/>
  <c r="U25" i="6"/>
  <c r="V25" i="6"/>
  <c r="U20" i="3"/>
  <c r="U13" i="6"/>
  <c r="AC23" i="6"/>
  <c r="AR23" i="6"/>
  <c r="AU23" i="6"/>
  <c r="AQ23" i="6"/>
  <c r="AQ8" i="7"/>
  <c r="BC19" i="3"/>
  <c r="I18" i="3"/>
  <c r="AR31" i="3"/>
  <c r="V11" i="7"/>
  <c r="U11" i="7"/>
  <c r="BE21" i="3"/>
  <c r="AA21" i="3"/>
  <c r="H21" i="3"/>
  <c r="BM20" i="3"/>
  <c r="BC20" i="3"/>
  <c r="AB20" i="3"/>
  <c r="BB19" i="3"/>
  <c r="H18" i="3"/>
  <c r="AX18" i="3" s="1"/>
  <c r="BA17" i="3"/>
  <c r="G16" i="3"/>
  <c r="AZ16" i="3" s="1"/>
  <c r="AB15" i="3"/>
  <c r="AA35" i="3"/>
  <c r="G35" i="3"/>
  <c r="AZ35" i="3" s="1"/>
  <c r="BK34" i="3"/>
  <c r="BB34" i="3"/>
  <c r="AQ34" i="3"/>
  <c r="BM33" i="3"/>
  <c r="BA30" i="3"/>
  <c r="BM29" i="3"/>
  <c r="I28" i="3"/>
  <c r="AV28" i="3" s="1"/>
  <c r="BE27" i="3"/>
  <c r="V23" i="3"/>
  <c r="U23" i="3"/>
  <c r="AA23" i="5"/>
  <c r="H19" i="5"/>
  <c r="I19" i="5"/>
  <c r="H31" i="5"/>
  <c r="I31" i="5"/>
  <c r="U32" i="3"/>
  <c r="V8" i="6"/>
  <c r="V9" i="7"/>
  <c r="U29" i="6"/>
  <c r="V29" i="6"/>
  <c r="AA27" i="6"/>
  <c r="AC27" i="6"/>
  <c r="AR27" i="6"/>
  <c r="AU27" i="6"/>
  <c r="BA19" i="6"/>
  <c r="AA19" i="6"/>
  <c r="AC19" i="6"/>
  <c r="AR19" i="6"/>
  <c r="AU19" i="6"/>
  <c r="V17" i="6"/>
  <c r="BA33" i="6"/>
  <c r="AQ17" i="7"/>
  <c r="G30" i="7"/>
  <c r="H30" i="7"/>
  <c r="I30" i="7"/>
  <c r="AQ21" i="3"/>
  <c r="G16" i="7"/>
  <c r="H16" i="7"/>
  <c r="I16" i="7"/>
  <c r="BA8" i="7"/>
  <c r="AC16" i="3"/>
  <c r="BM34" i="3"/>
  <c r="AQ30" i="3"/>
  <c r="AS30" i="3" s="1"/>
  <c r="AU30" i="3" s="1"/>
  <c r="AA26" i="3"/>
  <c r="AC26" i="3"/>
  <c r="BA22" i="3"/>
  <c r="V10" i="6"/>
  <c r="U10" i="6"/>
  <c r="AB8" i="7"/>
  <c r="AC10" i="7"/>
  <c r="AC12" i="7"/>
  <c r="AU12" i="7"/>
  <c r="AQ14" i="7"/>
  <c r="BA14" i="7"/>
  <c r="AR11" i="6"/>
  <c r="AR8" i="7"/>
  <c r="BA21" i="3"/>
  <c r="BK20" i="3"/>
  <c r="AQ20" i="3"/>
  <c r="BE18" i="3"/>
  <c r="AQ17" i="3"/>
  <c r="AA16" i="3"/>
  <c r="BJ34" i="3"/>
  <c r="BA34" i="3"/>
  <c r="AC31" i="3"/>
  <c r="AA28" i="3"/>
  <c r="BE26" i="3"/>
  <c r="BD23" i="3"/>
  <c r="BE23" i="3"/>
  <c r="AA22" i="3"/>
  <c r="AC22" i="3"/>
  <c r="BM22" i="3"/>
  <c r="AU25" i="5"/>
  <c r="AC25" i="5"/>
  <c r="BA25" i="5"/>
  <c r="AU24" i="5"/>
  <c r="AV24" i="5" s="1"/>
  <c r="BA24" i="5"/>
  <c r="AB23" i="5"/>
  <c r="AB20" i="5"/>
  <c r="AQ16" i="5"/>
  <c r="AB16" i="5"/>
  <c r="AV16" i="5" s="1"/>
  <c r="AC16" i="5"/>
  <c r="AR16" i="5"/>
  <c r="AR32" i="5"/>
  <c r="AA32" i="5"/>
  <c r="BA30" i="5"/>
  <c r="AQ30" i="5"/>
  <c r="AB29" i="5"/>
  <c r="AV29" i="5" s="1"/>
  <c r="U15" i="3"/>
  <c r="V30" i="3"/>
  <c r="U9" i="6"/>
  <c r="U10" i="7"/>
  <c r="I21" i="6"/>
  <c r="H21" i="6"/>
  <c r="G16" i="6"/>
  <c r="I16" i="6"/>
  <c r="AB32" i="6"/>
  <c r="I25" i="6"/>
  <c r="H25" i="6"/>
  <c r="V14" i="6"/>
  <c r="U14" i="6"/>
  <c r="AB14" i="7"/>
  <c r="AV14" i="7" s="1"/>
  <c r="AR9" i="7"/>
  <c r="BE29" i="3"/>
  <c r="G23" i="3"/>
  <c r="AZ23" i="3" s="1"/>
  <c r="G33" i="5"/>
  <c r="I33" i="5"/>
  <c r="AB31" i="5"/>
  <c r="U27" i="3"/>
  <c r="U25" i="5"/>
  <c r="V13" i="7"/>
  <c r="AA23" i="6"/>
  <c r="V19" i="6"/>
  <c r="AA33" i="6"/>
  <c r="AC33" i="6"/>
  <c r="AR33" i="6"/>
  <c r="AU33" i="6"/>
  <c r="AV33" i="6" s="1"/>
  <c r="AQ33" i="6"/>
  <c r="BA21" i="7"/>
  <c r="AA21" i="7"/>
  <c r="AC21" i="7"/>
  <c r="AR21" i="7"/>
  <c r="AU21" i="7"/>
  <c r="BA19" i="7"/>
  <c r="AA19" i="7"/>
  <c r="AC19" i="7"/>
  <c r="AR19" i="7"/>
  <c r="AU19" i="7"/>
  <c r="AR15" i="7"/>
  <c r="AC15" i="7"/>
  <c r="AU15" i="7"/>
  <c r="BD26" i="3"/>
  <c r="BC26" i="3"/>
  <c r="AR21" i="3"/>
  <c r="AB18" i="3"/>
  <c r="BC15" i="3"/>
  <c r="BM35" i="3"/>
  <c r="AR35" i="3"/>
  <c r="BD33" i="3"/>
  <c r="BD29" i="3"/>
  <c r="AB28" i="3"/>
  <c r="BB25" i="3"/>
  <c r="BC25" i="3"/>
  <c r="V26" i="5"/>
  <c r="U26" i="5"/>
  <c r="V18" i="5"/>
  <c r="U18" i="5"/>
  <c r="I15" i="5"/>
  <c r="H15" i="5"/>
  <c r="AF15" i="5" s="1"/>
  <c r="U25" i="3"/>
  <c r="U14" i="7"/>
  <c r="BA27" i="6"/>
  <c r="AQ19" i="6"/>
  <c r="G18" i="6"/>
  <c r="I18" i="6"/>
  <c r="AB15" i="7"/>
  <c r="AV15" i="7" s="1"/>
  <c r="V34" i="5"/>
  <c r="U34" i="5"/>
  <c r="AC31" i="5"/>
  <c r="AA31" i="5"/>
  <c r="BM21" i="3"/>
  <c r="BD27" i="3"/>
  <c r="BA27" i="3"/>
  <c r="AA22" i="5"/>
  <c r="AU22" i="5"/>
  <c r="AA15" i="5"/>
  <c r="AU15" i="5"/>
  <c r="AR14" i="7"/>
  <c r="BB15" i="3"/>
  <c r="AA17" i="6"/>
  <c r="AC17" i="6"/>
  <c r="AR17" i="6"/>
  <c r="AU17" i="6"/>
  <c r="BA17" i="7"/>
  <c r="AC17" i="7"/>
  <c r="AR17" i="7"/>
  <c r="AU17" i="7"/>
  <c r="AC14" i="7"/>
  <c r="BD19" i="3"/>
  <c r="H19" i="3"/>
  <c r="AW19" i="3" s="1"/>
  <c r="BM18" i="3"/>
  <c r="BE17" i="3"/>
  <c r="AA17" i="3"/>
  <c r="AX17" i="3"/>
  <c r="BM16" i="3"/>
  <c r="BE34" i="3"/>
  <c r="AB34" i="3"/>
  <c r="AB33" i="3"/>
  <c r="BH31" i="3"/>
  <c r="V31" i="3"/>
  <c r="U31" i="3"/>
  <c r="BC30" i="3"/>
  <c r="AB29" i="3"/>
  <c r="BE28" i="3"/>
  <c r="BM26" i="3"/>
  <c r="BE25" i="3"/>
  <c r="H25" i="3"/>
  <c r="BB23" i="3"/>
  <c r="BB22" i="3"/>
  <c r="AU23" i="5"/>
  <c r="AC23" i="5"/>
  <c r="AB22" i="5"/>
  <c r="G20" i="5"/>
  <c r="AQ17" i="5"/>
  <c r="AB15" i="5"/>
  <c r="AR30" i="5"/>
  <c r="AC30" i="5"/>
  <c r="I30" i="5"/>
  <c r="AR29" i="5"/>
  <c r="AA29" i="5"/>
  <c r="H28" i="5"/>
  <c r="G28" i="5"/>
  <c r="V19" i="3"/>
  <c r="U19" i="3"/>
  <c r="U35" i="3"/>
  <c r="V34" i="3"/>
  <c r="V28" i="5"/>
  <c r="AB27" i="6"/>
  <c r="AB23" i="6"/>
  <c r="U21" i="6"/>
  <c r="V21" i="6"/>
  <c r="I20" i="6"/>
  <c r="I32" i="6"/>
  <c r="V31" i="6"/>
  <c r="U31" i="6"/>
  <c r="V21" i="7"/>
  <c r="V19" i="7"/>
  <c r="AB17" i="7"/>
  <c r="G32" i="7"/>
  <c r="H32" i="7"/>
  <c r="I32" i="7"/>
  <c r="G31" i="7"/>
  <c r="AB32" i="5"/>
  <c r="AQ29" i="5"/>
  <c r="V29" i="5"/>
  <c r="AR15" i="6"/>
  <c r="BA35" i="6"/>
  <c r="H22" i="7"/>
  <c r="AG22" i="7" s="1"/>
  <c r="H20" i="7"/>
  <c r="H18" i="7"/>
  <c r="BA27" i="7"/>
  <c r="G25" i="7"/>
  <c r="G24" i="7"/>
  <c r="AR23" i="7"/>
  <c r="AC23" i="7"/>
  <c r="G33" i="7"/>
  <c r="AB24" i="3"/>
  <c r="AB25" i="5"/>
  <c r="H15" i="6"/>
  <c r="AI15" i="6" s="1"/>
  <c r="AQ31" i="7"/>
  <c r="AV29" i="7"/>
  <c r="AB23" i="7"/>
  <c r="AV23" i="7" s="1"/>
  <c r="AQ27" i="7"/>
  <c r="AA23" i="7"/>
  <c r="G23" i="7"/>
  <c r="AU35" i="6"/>
  <c r="AB22" i="7"/>
  <c r="AB20" i="7"/>
  <c r="AB18" i="7"/>
  <c r="AQ15" i="7"/>
  <c r="U31" i="7"/>
  <c r="U29" i="7"/>
  <c r="G35" i="7"/>
  <c r="I26" i="7"/>
  <c r="AQ23" i="3"/>
  <c r="AS23" i="3" s="1"/>
  <c r="AU23" i="3" s="1"/>
  <c r="BL23" i="3" s="1"/>
  <c r="AR17" i="5"/>
  <c r="U22" i="3"/>
  <c r="AB19" i="6"/>
  <c r="AB17" i="6"/>
  <c r="AV17" i="6" s="1"/>
  <c r="AB21" i="7"/>
  <c r="AB19" i="7"/>
  <c r="AV19" i="7" s="1"/>
  <c r="AB16" i="7"/>
  <c r="AB32" i="7"/>
  <c r="AR29" i="7"/>
  <c r="AR27" i="7"/>
  <c r="H26" i="7"/>
  <c r="AU25" i="7"/>
  <c r="AV25" i="7" s="1"/>
  <c r="BA33" i="7"/>
  <c r="AR25" i="7"/>
  <c r="AA24" i="7"/>
  <c r="AW18" i="3"/>
  <c r="AW15" i="3"/>
  <c r="AV15" i="3"/>
  <c r="AV32" i="3"/>
  <c r="AW32" i="3"/>
  <c r="AX28" i="3"/>
  <c r="AW28" i="3"/>
  <c r="AX24" i="3"/>
  <c r="AW24" i="3"/>
  <c r="AV24" i="3"/>
  <c r="AY29" i="3"/>
  <c r="AW17" i="3"/>
  <c r="AV17" i="3"/>
  <c r="AX15" i="3"/>
  <c r="H35" i="7"/>
  <c r="AR34" i="7"/>
  <c r="H33" i="7"/>
  <c r="V35" i="7"/>
  <c r="V33" i="7"/>
  <c r="AU34" i="7"/>
  <c r="AV34" i="7" s="1"/>
  <c r="BA34" i="7"/>
  <c r="V34" i="7"/>
  <c r="AQ34" i="7"/>
  <c r="AQ29" i="7"/>
  <c r="AR32" i="7"/>
  <c r="H31" i="7"/>
  <c r="AR30" i="7"/>
  <c r="H29" i="7"/>
  <c r="AR28" i="7"/>
  <c r="H27" i="7"/>
  <c r="AR26" i="7"/>
  <c r="H25" i="7"/>
  <c r="AR24" i="7"/>
  <c r="H23" i="7"/>
  <c r="AA32" i="7"/>
  <c r="AA30" i="7"/>
  <c r="AA28" i="7"/>
  <c r="AA26" i="7"/>
  <c r="V25" i="7"/>
  <c r="V23" i="7"/>
  <c r="AU32" i="7"/>
  <c r="AU30" i="7"/>
  <c r="AV30" i="7" s="1"/>
  <c r="AU28" i="7"/>
  <c r="AV28" i="7" s="1"/>
  <c r="AU26" i="7"/>
  <c r="AV26" i="7" s="1"/>
  <c r="AU24" i="7"/>
  <c r="AV24" i="7" s="1"/>
  <c r="BA32" i="7"/>
  <c r="V32" i="7"/>
  <c r="BA30" i="7"/>
  <c r="V30" i="7"/>
  <c r="BA28" i="7"/>
  <c r="V28" i="7"/>
  <c r="BA26" i="7"/>
  <c r="V26" i="7"/>
  <c r="BA24" i="7"/>
  <c r="V24" i="7"/>
  <c r="AQ32" i="7"/>
  <c r="AQ30" i="7"/>
  <c r="AQ28" i="7"/>
  <c r="AQ26" i="7"/>
  <c r="H21" i="7"/>
  <c r="AR20" i="7"/>
  <c r="H19" i="7"/>
  <c r="AR18" i="7"/>
  <c r="H17" i="7"/>
  <c r="AR16" i="7"/>
  <c r="AR22" i="7"/>
  <c r="AA22" i="7"/>
  <c r="G21" i="7"/>
  <c r="AA20" i="7"/>
  <c r="G19" i="7"/>
  <c r="AA18" i="7"/>
  <c r="G17" i="7"/>
  <c r="AA16" i="7"/>
  <c r="G15" i="7"/>
  <c r="AU22" i="7"/>
  <c r="AU20" i="7"/>
  <c r="AU18" i="7"/>
  <c r="AU16" i="7"/>
  <c r="BA22" i="7"/>
  <c r="V22" i="7"/>
  <c r="AK22" i="7" s="1"/>
  <c r="AQ22" i="7" s="1"/>
  <c r="BA20" i="7"/>
  <c r="V20" i="7"/>
  <c r="BA18" i="7"/>
  <c r="V18" i="7"/>
  <c r="BA16" i="7"/>
  <c r="V16" i="7"/>
  <c r="H35" i="6"/>
  <c r="AR34" i="6"/>
  <c r="H33" i="6"/>
  <c r="AR32" i="6"/>
  <c r="AV31" i="6"/>
  <c r="H31" i="6"/>
  <c r="AA34" i="6"/>
  <c r="G33" i="6"/>
  <c r="AA32" i="6"/>
  <c r="G31" i="6"/>
  <c r="AU34" i="6"/>
  <c r="AV34" i="6" s="1"/>
  <c r="AU32" i="6"/>
  <c r="BA34" i="6"/>
  <c r="V34" i="6"/>
  <c r="BA32" i="6"/>
  <c r="V32" i="6"/>
  <c r="AQ32" i="6"/>
  <c r="AC20" i="6"/>
  <c r="AQ20" i="6"/>
  <c r="BA20" i="6"/>
  <c r="AU20" i="6"/>
  <c r="AA20" i="6"/>
  <c r="AQ29" i="6"/>
  <c r="AC22" i="6"/>
  <c r="BA22" i="6"/>
  <c r="AU22" i="6"/>
  <c r="AA22" i="6"/>
  <c r="AC16" i="6"/>
  <c r="AQ16" i="6"/>
  <c r="BA16" i="6"/>
  <c r="AU16" i="6"/>
  <c r="AA16" i="6"/>
  <c r="AB16" i="6"/>
  <c r="AR16" i="6"/>
  <c r="I29" i="6"/>
  <c r="AF29" i="6" s="1"/>
  <c r="G29" i="6"/>
  <c r="AJ29" i="6" s="1"/>
  <c r="AC28" i="6"/>
  <c r="AQ28" i="6"/>
  <c r="BA28" i="6"/>
  <c r="AU28" i="6"/>
  <c r="AA28" i="6"/>
  <c r="AC24" i="6"/>
  <c r="BA24" i="6"/>
  <c r="AU24" i="6"/>
  <c r="AV24" i="6" s="1"/>
  <c r="AA24" i="6"/>
  <c r="AR20" i="6"/>
  <c r="AR22" i="6"/>
  <c r="AC18" i="6"/>
  <c r="AQ18" i="6"/>
  <c r="BA18" i="6"/>
  <c r="AU18" i="6"/>
  <c r="AA18" i="6"/>
  <c r="AB18" i="6"/>
  <c r="AR18" i="6"/>
  <c r="AQ21" i="6"/>
  <c r="AB20" i="6"/>
  <c r="AC30" i="6"/>
  <c r="AQ30" i="6"/>
  <c r="BA30" i="6"/>
  <c r="AU30" i="6"/>
  <c r="AV30" i="6" s="1"/>
  <c r="AA30" i="6"/>
  <c r="I27" i="6"/>
  <c r="G27" i="6"/>
  <c r="AC26" i="6"/>
  <c r="AQ26" i="6"/>
  <c r="BA26" i="6"/>
  <c r="AU26" i="6"/>
  <c r="AV26" i="6" s="1"/>
  <c r="AA26" i="6"/>
  <c r="AB22" i="6"/>
  <c r="AQ17" i="6"/>
  <c r="G25" i="6"/>
  <c r="G23" i="6"/>
  <c r="G21" i="6"/>
  <c r="G19" i="6"/>
  <c r="G17" i="6"/>
  <c r="G15" i="6"/>
  <c r="AJ15" i="6" s="1"/>
  <c r="V30" i="6"/>
  <c r="V28" i="6"/>
  <c r="V26" i="6"/>
  <c r="V24" i="6"/>
  <c r="V22" i="6"/>
  <c r="V20" i="6"/>
  <c r="V18" i="6"/>
  <c r="V16" i="6"/>
  <c r="AQ9" i="6"/>
  <c r="AS27" i="3"/>
  <c r="AU27" i="3" s="1"/>
  <c r="AS21" i="3"/>
  <c r="AU21" i="3" s="1"/>
  <c r="BL21" i="3" s="1"/>
  <c r="H27" i="5"/>
  <c r="G35" i="5"/>
  <c r="G27" i="5"/>
  <c r="AU34" i="5"/>
  <c r="BA34" i="5"/>
  <c r="AU33" i="5"/>
  <c r="AQ34" i="5"/>
  <c r="AU32" i="5"/>
  <c r="AV32" i="5" s="1"/>
  <c r="AR34" i="5"/>
  <c r="AC33" i="5"/>
  <c r="BA32" i="5"/>
  <c r="AU31" i="5"/>
  <c r="H30" i="5"/>
  <c r="I29" i="5"/>
  <c r="BA33" i="5"/>
  <c r="AA34" i="5"/>
  <c r="AR33" i="5"/>
  <c r="AQ32" i="5"/>
  <c r="AC32" i="5"/>
  <c r="BA31" i="5"/>
  <c r="AU30" i="5"/>
  <c r="H29" i="5"/>
  <c r="I28" i="5"/>
  <c r="AQ31" i="5"/>
  <c r="AA21" i="5"/>
  <c r="AR21" i="5"/>
  <c r="AC21" i="5"/>
  <c r="AQ21" i="5"/>
  <c r="BA21" i="5"/>
  <c r="AU21" i="5"/>
  <c r="AB21" i="5"/>
  <c r="H24" i="5"/>
  <c r="I24" i="5"/>
  <c r="G24" i="5"/>
  <c r="I23" i="5"/>
  <c r="H23" i="5"/>
  <c r="H16" i="5"/>
  <c r="I16" i="5"/>
  <c r="G16" i="5"/>
  <c r="AC26" i="5"/>
  <c r="AA20" i="5"/>
  <c r="AR19" i="5"/>
  <c r="AQ18" i="5"/>
  <c r="AC18" i="5"/>
  <c r="AC15" i="5"/>
  <c r="AU20" i="5"/>
  <c r="BA20" i="5"/>
  <c r="AU19" i="5"/>
  <c r="I17" i="5"/>
  <c r="AR22" i="5"/>
  <c r="AU26" i="5"/>
  <c r="H25" i="5"/>
  <c r="AC20" i="5"/>
  <c r="BA19" i="5"/>
  <c r="AU18" i="5"/>
  <c r="H17" i="5"/>
  <c r="I25" i="5"/>
  <c r="AX31" i="3"/>
  <c r="AV31" i="3"/>
  <c r="AW31" i="3"/>
  <c r="AV35" i="3"/>
  <c r="AW35" i="3"/>
  <c r="AX35" i="3"/>
  <c r="AS35" i="3"/>
  <c r="AU35" i="3" s="1"/>
  <c r="BC33" i="3"/>
  <c r="BB35" i="3"/>
  <c r="BL34" i="3"/>
  <c r="H34" i="3"/>
  <c r="AX33" i="3"/>
  <c r="AR32" i="3"/>
  <c r="H30" i="3"/>
  <c r="AX29" i="3"/>
  <c r="AR28" i="3"/>
  <c r="H26" i="3"/>
  <c r="AX25" i="3"/>
  <c r="BH24" i="3"/>
  <c r="AR24" i="3"/>
  <c r="H22" i="3"/>
  <c r="G34" i="3"/>
  <c r="AZ34" i="3" s="1"/>
  <c r="AW33" i="3"/>
  <c r="G30" i="3"/>
  <c r="AZ30" i="3" s="1"/>
  <c r="AW29" i="3"/>
  <c r="G26" i="3"/>
  <c r="AZ26" i="3" s="1"/>
  <c r="AW25" i="3"/>
  <c r="BL24" i="3"/>
  <c r="AV33" i="3"/>
  <c r="BA33" i="3"/>
  <c r="AQ33" i="3"/>
  <c r="AC33" i="3"/>
  <c r="BC32" i="3"/>
  <c r="BA29" i="3"/>
  <c r="AQ29" i="3"/>
  <c r="AC29" i="3"/>
  <c r="BC28" i="3"/>
  <c r="I27" i="3"/>
  <c r="AV27" i="3" s="1"/>
  <c r="BA25" i="3"/>
  <c r="AQ25" i="3"/>
  <c r="AC25" i="3"/>
  <c r="BK24" i="3"/>
  <c r="BC24" i="3"/>
  <c r="I23" i="3"/>
  <c r="AW23" i="3" s="1"/>
  <c r="BD24" i="3"/>
  <c r="AR33" i="3"/>
  <c r="BB32" i="3"/>
  <c r="AR29" i="3"/>
  <c r="BB28" i="3"/>
  <c r="AR25" i="3"/>
  <c r="BJ24" i="3"/>
  <c r="BB24" i="3"/>
  <c r="BC29" i="3"/>
  <c r="BD32" i="3"/>
  <c r="BD28" i="3"/>
  <c r="AQ32" i="3"/>
  <c r="AQ28" i="3"/>
  <c r="BI24" i="3"/>
  <c r="AQ24" i="3"/>
  <c r="AQ16" i="3"/>
  <c r="AQ19" i="3"/>
  <c r="AC19" i="3"/>
  <c r="BC18" i="3"/>
  <c r="AQ15" i="3"/>
  <c r="AC15" i="3"/>
  <c r="BD21" i="3"/>
  <c r="AR19" i="3"/>
  <c r="BB18" i="3"/>
  <c r="BL17" i="3"/>
  <c r="BD17" i="3"/>
  <c r="AR15" i="3"/>
  <c r="BD18" i="3"/>
  <c r="I20" i="3"/>
  <c r="AC18" i="3"/>
  <c r="I16" i="3"/>
  <c r="BC21" i="3"/>
  <c r="AQ18" i="3"/>
  <c r="H20" i="3"/>
  <c r="AR18" i="3"/>
  <c r="AV19" i="3"/>
  <c r="G9" i="7"/>
  <c r="I9" i="7"/>
  <c r="G13" i="7"/>
  <c r="I13" i="7"/>
  <c r="AB8" i="6"/>
  <c r="AV13" i="6"/>
  <c r="AB12" i="6"/>
  <c r="AB14" i="6"/>
  <c r="AB10" i="6"/>
  <c r="AA13" i="6"/>
  <c r="G10" i="6"/>
  <c r="AB9" i="6"/>
  <c r="H10" i="6"/>
  <c r="I11" i="6"/>
  <c r="AA11" i="6"/>
  <c r="AC13" i="6"/>
  <c r="G8" i="6"/>
  <c r="AJ8" i="6" s="1"/>
  <c r="G12" i="6"/>
  <c r="G14" i="6"/>
  <c r="AU10" i="6"/>
  <c r="I13" i="6"/>
  <c r="I14" i="6"/>
  <c r="AU14" i="6"/>
  <c r="H8" i="6"/>
  <c r="AI8" i="6" s="1"/>
  <c r="H12" i="6"/>
  <c r="AC10" i="6"/>
  <c r="AC8" i="6"/>
  <c r="AU8" i="6"/>
  <c r="I9" i="6"/>
  <c r="AU12" i="6"/>
  <c r="AQ10" i="6"/>
  <c r="AA9" i="6"/>
  <c r="AV12" i="7"/>
  <c r="AV10" i="7"/>
  <c r="G8" i="7"/>
  <c r="AJ8" i="7" s="1"/>
  <c r="AA13" i="7"/>
  <c r="BB13" i="7" s="1"/>
  <c r="H8" i="7"/>
  <c r="AI8" i="7" s="1"/>
  <c r="AB9" i="7"/>
  <c r="H10" i="7"/>
  <c r="AB11" i="7"/>
  <c r="H12" i="7"/>
  <c r="AB13" i="7"/>
  <c r="H14" i="7"/>
  <c r="AA9" i="7"/>
  <c r="G10" i="7"/>
  <c r="AA11" i="7"/>
  <c r="AC11" i="7"/>
  <c r="AQ11" i="7"/>
  <c r="I12" i="7"/>
  <c r="AC13" i="7"/>
  <c r="I14" i="7"/>
  <c r="BA9" i="7"/>
  <c r="BA11" i="7"/>
  <c r="BA13" i="7"/>
  <c r="AC9" i="7"/>
  <c r="AQ13" i="7"/>
  <c r="AA8" i="7"/>
  <c r="AA10" i="7"/>
  <c r="AA12" i="7"/>
  <c r="AU13" i="7"/>
  <c r="AA14" i="7"/>
  <c r="AC12" i="6"/>
  <c r="AQ12" i="6"/>
  <c r="AC14" i="6"/>
  <c r="AQ14" i="6"/>
  <c r="BA8" i="6"/>
  <c r="BA10" i="6"/>
  <c r="BA12" i="6"/>
  <c r="BA14" i="6"/>
  <c r="BA13" i="6"/>
  <c r="AQ11" i="6"/>
  <c r="BA9" i="6"/>
  <c r="AA8" i="6"/>
  <c r="G9" i="6"/>
  <c r="AU9" i="6"/>
  <c r="AA10" i="6"/>
  <c r="G11" i="6"/>
  <c r="AU11" i="6"/>
  <c r="AV11" i="6" s="1"/>
  <c r="AA12" i="6"/>
  <c r="G13" i="6"/>
  <c r="AA14" i="6"/>
  <c r="AC9" i="6"/>
  <c r="AC11" i="6"/>
  <c r="AW9" i="5"/>
  <c r="AW10" i="5"/>
  <c r="AW11" i="5"/>
  <c r="AW12" i="5"/>
  <c r="AW13" i="5"/>
  <c r="AW14" i="5"/>
  <c r="AW8" i="5"/>
  <c r="AO14" i="5"/>
  <c r="AN14" i="5"/>
  <c r="AM14" i="5"/>
  <c r="AL14" i="5"/>
  <c r="AE14" i="5"/>
  <c r="AD14" i="5"/>
  <c r="AP14" i="5" s="1"/>
  <c r="Z14" i="5"/>
  <c r="Y14" i="5"/>
  <c r="X14" i="5"/>
  <c r="W14" i="5"/>
  <c r="T14" i="5"/>
  <c r="R14" i="5"/>
  <c r="S14" i="5" s="1"/>
  <c r="Q14" i="5"/>
  <c r="P14" i="5"/>
  <c r="O14" i="5"/>
  <c r="N14" i="5"/>
  <c r="M14" i="5"/>
  <c r="L14" i="5"/>
  <c r="K14" i="5"/>
  <c r="J14" i="5"/>
  <c r="F14" i="5"/>
  <c r="I14" i="5" s="1"/>
  <c r="E14" i="5"/>
  <c r="D14" i="5"/>
  <c r="BN14" i="5" s="1"/>
  <c r="C14" i="5"/>
  <c r="B14" i="5"/>
  <c r="A14" i="5"/>
  <c r="AO13" i="5"/>
  <c r="AN13" i="5"/>
  <c r="AM13" i="5"/>
  <c r="AL13" i="5"/>
  <c r="AE13" i="5"/>
  <c r="AD13" i="5"/>
  <c r="AP13" i="5" s="1"/>
  <c r="Z13" i="5"/>
  <c r="Y13" i="5"/>
  <c r="X13" i="5"/>
  <c r="W13" i="5"/>
  <c r="T13" i="5"/>
  <c r="R13" i="5"/>
  <c r="S13" i="5" s="1"/>
  <c r="Q13" i="5"/>
  <c r="P13" i="5"/>
  <c r="O13" i="5"/>
  <c r="N13" i="5"/>
  <c r="M13" i="5"/>
  <c r="L13" i="5"/>
  <c r="K13" i="5"/>
  <c r="J13" i="5"/>
  <c r="F13" i="5"/>
  <c r="I13" i="5" s="1"/>
  <c r="E13" i="5"/>
  <c r="D13" i="5"/>
  <c r="BN13" i="5" s="1"/>
  <c r="C13" i="5"/>
  <c r="B13" i="5"/>
  <c r="A13" i="5"/>
  <c r="AO12" i="5"/>
  <c r="AN12" i="5"/>
  <c r="AM12" i="5"/>
  <c r="AL12" i="5"/>
  <c r="AE12" i="5"/>
  <c r="AD12" i="5"/>
  <c r="AP12" i="5" s="1"/>
  <c r="Z12" i="5"/>
  <c r="Y12" i="5"/>
  <c r="X12" i="5"/>
  <c r="W12" i="5"/>
  <c r="T12" i="5"/>
  <c r="R12" i="5"/>
  <c r="S12" i="5" s="1"/>
  <c r="Q12" i="5"/>
  <c r="P12" i="5"/>
  <c r="O12" i="5"/>
  <c r="N12" i="5"/>
  <c r="M12" i="5"/>
  <c r="L12" i="5"/>
  <c r="K12" i="5"/>
  <c r="J12" i="5"/>
  <c r="F12" i="5"/>
  <c r="G12" i="5" s="1"/>
  <c r="E12" i="5"/>
  <c r="D12" i="5"/>
  <c r="BN12" i="5" s="1"/>
  <c r="C12" i="5"/>
  <c r="B12" i="5"/>
  <c r="A12" i="5"/>
  <c r="AO11" i="5"/>
  <c r="AN11" i="5"/>
  <c r="AM11" i="5"/>
  <c r="AL11" i="5"/>
  <c r="AE11" i="5"/>
  <c r="AD11" i="5"/>
  <c r="AP11" i="5" s="1"/>
  <c r="Z11" i="5"/>
  <c r="Y11" i="5"/>
  <c r="X11" i="5"/>
  <c r="AB11" i="5" s="1"/>
  <c r="W11" i="5"/>
  <c r="T11" i="5"/>
  <c r="R11" i="5"/>
  <c r="S11" i="5" s="1"/>
  <c r="Q11" i="5"/>
  <c r="P11" i="5"/>
  <c r="O11" i="5"/>
  <c r="N11" i="5"/>
  <c r="M11" i="5"/>
  <c r="L11" i="5"/>
  <c r="K11" i="5"/>
  <c r="J11" i="5"/>
  <c r="F11" i="5"/>
  <c r="G11" i="5" s="1"/>
  <c r="E11" i="5"/>
  <c r="D11" i="5"/>
  <c r="BN11" i="5" s="1"/>
  <c r="C11" i="5"/>
  <c r="B11" i="5"/>
  <c r="A11" i="5"/>
  <c r="AO10" i="5"/>
  <c r="AN10" i="5"/>
  <c r="AM10" i="5"/>
  <c r="AL10" i="5"/>
  <c r="AE10" i="5"/>
  <c r="AD10" i="5"/>
  <c r="AP10" i="5" s="1"/>
  <c r="Z10" i="5"/>
  <c r="Y10" i="5"/>
  <c r="X10" i="5"/>
  <c r="W10" i="5"/>
  <c r="T10" i="5"/>
  <c r="R10" i="5"/>
  <c r="S10" i="5" s="1"/>
  <c r="Q10" i="5"/>
  <c r="P10" i="5"/>
  <c r="O10" i="5"/>
  <c r="N10" i="5"/>
  <c r="M10" i="5"/>
  <c r="L10" i="5"/>
  <c r="K10" i="5"/>
  <c r="J10" i="5"/>
  <c r="F10" i="5"/>
  <c r="H10" i="5" s="1"/>
  <c r="E10" i="5"/>
  <c r="D10" i="5"/>
  <c r="BN10" i="5" s="1"/>
  <c r="C10" i="5"/>
  <c r="B10" i="5"/>
  <c r="A10" i="5"/>
  <c r="AO9" i="5"/>
  <c r="AN9" i="5"/>
  <c r="AM9" i="5"/>
  <c r="AL9" i="5"/>
  <c r="AE9" i="5"/>
  <c r="AD9" i="5"/>
  <c r="AP9" i="5" s="1"/>
  <c r="Z9" i="5"/>
  <c r="Y9" i="5"/>
  <c r="X9" i="5"/>
  <c r="W9" i="5"/>
  <c r="T9" i="5"/>
  <c r="R9" i="5"/>
  <c r="S9" i="5" s="1"/>
  <c r="Q9" i="5"/>
  <c r="P9" i="5"/>
  <c r="O9" i="5"/>
  <c r="N9" i="5"/>
  <c r="M9" i="5"/>
  <c r="L9" i="5"/>
  <c r="K9" i="5"/>
  <c r="J9" i="5"/>
  <c r="F9" i="5"/>
  <c r="I9" i="5" s="1"/>
  <c r="E9" i="5"/>
  <c r="D9" i="5"/>
  <c r="BN9" i="5" s="1"/>
  <c r="C9" i="5"/>
  <c r="B9" i="5"/>
  <c r="A9" i="5"/>
  <c r="AO8" i="5"/>
  <c r="AN8" i="5"/>
  <c r="AM8" i="5"/>
  <c r="AL8" i="5"/>
  <c r="AD8" i="5"/>
  <c r="AP8" i="5" s="1"/>
  <c r="Z8" i="5"/>
  <c r="Y8" i="5"/>
  <c r="X8" i="5"/>
  <c r="W8" i="5"/>
  <c r="T8" i="5"/>
  <c r="R8" i="5"/>
  <c r="S8" i="5" s="1"/>
  <c r="Q8" i="5"/>
  <c r="P8" i="5"/>
  <c r="O8" i="5"/>
  <c r="N8" i="5"/>
  <c r="M8" i="5"/>
  <c r="L8" i="5"/>
  <c r="K8" i="5"/>
  <c r="J8" i="5"/>
  <c r="F8" i="5"/>
  <c r="I8" i="5" s="1"/>
  <c r="E8" i="5"/>
  <c r="D8" i="5"/>
  <c r="BN8" i="5" s="1"/>
  <c r="C8" i="5"/>
  <c r="B8" i="5"/>
  <c r="A8" i="5"/>
  <c r="BF9" i="3"/>
  <c r="BG9" i="3"/>
  <c r="BF10" i="3"/>
  <c r="BG10" i="3"/>
  <c r="BF11" i="3"/>
  <c r="BG11" i="3"/>
  <c r="BF12" i="3"/>
  <c r="BG12" i="3"/>
  <c r="BF13" i="3"/>
  <c r="BG13" i="3"/>
  <c r="BF14" i="3"/>
  <c r="BG14" i="3"/>
  <c r="BG8" i="3"/>
  <c r="BF8" i="3"/>
  <c r="AT9" i="3"/>
  <c r="AT10" i="3"/>
  <c r="AT11" i="3"/>
  <c r="AT12" i="3"/>
  <c r="AT13" i="3"/>
  <c r="AT14" i="3"/>
  <c r="AT8" i="3"/>
  <c r="AM9" i="3"/>
  <c r="AN9" i="3"/>
  <c r="AO9" i="3"/>
  <c r="AM10" i="3"/>
  <c r="AN10" i="3"/>
  <c r="AO10" i="3"/>
  <c r="AM11" i="3"/>
  <c r="AN11" i="3"/>
  <c r="AO11" i="3"/>
  <c r="AM12" i="3"/>
  <c r="AN12" i="3"/>
  <c r="AO12" i="3"/>
  <c r="AM13" i="3"/>
  <c r="AN13" i="3"/>
  <c r="AO13" i="3"/>
  <c r="AM14" i="3"/>
  <c r="AN14" i="3"/>
  <c r="AO14" i="3"/>
  <c r="AO8" i="3"/>
  <c r="AN8" i="3"/>
  <c r="AM8" i="3"/>
  <c r="AL9" i="3"/>
  <c r="AL10" i="3"/>
  <c r="AL11" i="3"/>
  <c r="AL12" i="3"/>
  <c r="AL13" i="3"/>
  <c r="AL14" i="3"/>
  <c r="AL8" i="3"/>
  <c r="T9" i="3"/>
  <c r="W9" i="3"/>
  <c r="T10" i="3"/>
  <c r="W10" i="3"/>
  <c r="T11" i="3"/>
  <c r="W11" i="3"/>
  <c r="T12" i="3"/>
  <c r="W12" i="3"/>
  <c r="T13" i="3"/>
  <c r="W13" i="3"/>
  <c r="T14" i="3"/>
  <c r="W14" i="3"/>
  <c r="W8" i="3"/>
  <c r="T8" i="3"/>
  <c r="AE9" i="3"/>
  <c r="AE10" i="3"/>
  <c r="AE11" i="3"/>
  <c r="AE12" i="3"/>
  <c r="AE13" i="3"/>
  <c r="AE14" i="3"/>
  <c r="AE8" i="3"/>
  <c r="AD9" i="3"/>
  <c r="AP9" i="3" s="1"/>
  <c r="AD10" i="3"/>
  <c r="AP10" i="3" s="1"/>
  <c r="AD11" i="3"/>
  <c r="AP11" i="3" s="1"/>
  <c r="AD12" i="3"/>
  <c r="AP12" i="3" s="1"/>
  <c r="AD13" i="3"/>
  <c r="AP13" i="3" s="1"/>
  <c r="AD14" i="3"/>
  <c r="AP14" i="3" s="1"/>
  <c r="AD8" i="3"/>
  <c r="AP8" i="3" s="1"/>
  <c r="R11" i="3"/>
  <c r="X9" i="3"/>
  <c r="X10" i="3"/>
  <c r="X11" i="3"/>
  <c r="X12" i="3"/>
  <c r="X13" i="3"/>
  <c r="X14" i="3"/>
  <c r="X8" i="3"/>
  <c r="A9" i="3"/>
  <c r="BD9" i="3" s="1"/>
  <c r="B9" i="3"/>
  <c r="C9" i="3"/>
  <c r="D9" i="3"/>
  <c r="E9" i="3"/>
  <c r="F9" i="3"/>
  <c r="G9" i="3" s="1"/>
  <c r="AZ9" i="3" s="1"/>
  <c r="J9" i="3"/>
  <c r="K9" i="3"/>
  <c r="L9" i="3"/>
  <c r="M9" i="3"/>
  <c r="N9" i="3"/>
  <c r="O9" i="3"/>
  <c r="P9" i="3"/>
  <c r="Q9" i="3"/>
  <c r="R9" i="3"/>
  <c r="Y9" i="3"/>
  <c r="BM9" i="3" s="1"/>
  <c r="Z9" i="3"/>
  <c r="A10" i="3"/>
  <c r="BA10" i="3" s="1"/>
  <c r="B10" i="3"/>
  <c r="C10" i="3"/>
  <c r="D10" i="3"/>
  <c r="E10" i="3"/>
  <c r="F10" i="3"/>
  <c r="I10" i="3" s="1"/>
  <c r="J10" i="3"/>
  <c r="K10" i="3"/>
  <c r="L10" i="3"/>
  <c r="M10" i="3"/>
  <c r="N10" i="3"/>
  <c r="O10" i="3"/>
  <c r="P10" i="3"/>
  <c r="Q10" i="3"/>
  <c r="R10" i="3"/>
  <c r="Y10" i="3"/>
  <c r="AC10" i="3" s="1"/>
  <c r="Z10" i="3"/>
  <c r="A11" i="3"/>
  <c r="BB11" i="3" s="1"/>
  <c r="B11" i="3"/>
  <c r="C11" i="3"/>
  <c r="D11" i="3"/>
  <c r="E11" i="3"/>
  <c r="F11" i="3"/>
  <c r="I11" i="3" s="1"/>
  <c r="J11" i="3"/>
  <c r="K11" i="3"/>
  <c r="L11" i="3"/>
  <c r="M11" i="3"/>
  <c r="N11" i="3"/>
  <c r="O11" i="3"/>
  <c r="P11" i="3"/>
  <c r="Q11" i="3"/>
  <c r="Y11" i="3"/>
  <c r="AC11" i="3" s="1"/>
  <c r="Z11" i="3"/>
  <c r="A12" i="3"/>
  <c r="BE12" i="3" s="1"/>
  <c r="B12" i="3"/>
  <c r="C12" i="3"/>
  <c r="D12" i="3"/>
  <c r="E12" i="3"/>
  <c r="F12" i="3"/>
  <c r="G12" i="3" s="1"/>
  <c r="AZ12" i="3" s="1"/>
  <c r="J12" i="3"/>
  <c r="K12" i="3"/>
  <c r="L12" i="3"/>
  <c r="M12" i="3"/>
  <c r="N12" i="3"/>
  <c r="O12" i="3"/>
  <c r="P12" i="3"/>
  <c r="Q12" i="3"/>
  <c r="R12" i="3"/>
  <c r="Y12" i="3"/>
  <c r="Z12" i="3"/>
  <c r="A13" i="3"/>
  <c r="BA13" i="3" s="1"/>
  <c r="B13" i="3"/>
  <c r="C13" i="3"/>
  <c r="D13" i="3"/>
  <c r="E13" i="3"/>
  <c r="F13" i="3"/>
  <c r="G13" i="3" s="1"/>
  <c r="AZ13" i="3" s="1"/>
  <c r="J13" i="3"/>
  <c r="K13" i="3"/>
  <c r="L13" i="3"/>
  <c r="M13" i="3"/>
  <c r="N13" i="3"/>
  <c r="O13" i="3"/>
  <c r="P13" i="3"/>
  <c r="Q13" i="3"/>
  <c r="R13" i="3"/>
  <c r="Y13" i="3"/>
  <c r="BI13" i="3" s="1"/>
  <c r="Z13" i="3"/>
  <c r="A14" i="3"/>
  <c r="BC14" i="3" s="1"/>
  <c r="B14" i="3"/>
  <c r="C14" i="3"/>
  <c r="D14" i="3"/>
  <c r="E14" i="3"/>
  <c r="F14" i="3"/>
  <c r="H14" i="3" s="1"/>
  <c r="J14" i="3"/>
  <c r="K14" i="3"/>
  <c r="L14" i="3"/>
  <c r="M14" i="3"/>
  <c r="N14" i="3"/>
  <c r="O14" i="3"/>
  <c r="P14" i="3"/>
  <c r="Q14" i="3"/>
  <c r="R14" i="3"/>
  <c r="Y14" i="3"/>
  <c r="Z14" i="3"/>
  <c r="Y8" i="3"/>
  <c r="AC8" i="3" s="1"/>
  <c r="Z8" i="3"/>
  <c r="M8" i="3"/>
  <c r="N8" i="3"/>
  <c r="O8" i="3"/>
  <c r="P8" i="3"/>
  <c r="Q8" i="3"/>
  <c r="R8" i="3"/>
  <c r="B8" i="3"/>
  <c r="C8" i="3"/>
  <c r="D8" i="3"/>
  <c r="E8" i="3"/>
  <c r="F8" i="3"/>
  <c r="H8" i="3" s="1"/>
  <c r="J8" i="3"/>
  <c r="K8" i="3"/>
  <c r="L8" i="3"/>
  <c r="A8" i="3"/>
  <c r="BE8" i="3" s="1"/>
  <c r="BG41" i="10" l="1"/>
  <c r="BE41" i="10"/>
  <c r="BR41" i="10" s="1"/>
  <c r="BG41" i="11"/>
  <c r="BL41" i="11" s="1"/>
  <c r="BF10" i="11"/>
  <c r="BK10" i="11" s="1"/>
  <c r="BC10" i="11"/>
  <c r="BD10" i="11"/>
  <c r="BE41" i="11"/>
  <c r="BG10" i="11"/>
  <c r="BL10" i="11" s="1"/>
  <c r="BC41" i="11"/>
  <c r="BF41" i="11"/>
  <c r="BK41" i="11" s="1"/>
  <c r="BO41" i="11" s="1"/>
  <c r="AI22" i="7"/>
  <c r="AG50" i="7"/>
  <c r="AF57" i="7"/>
  <c r="AS42" i="7"/>
  <c r="AY42" i="7" s="1"/>
  <c r="AT61" i="7"/>
  <c r="AX61" i="7" s="1"/>
  <c r="AI15" i="7"/>
  <c r="AI43" i="7"/>
  <c r="AF50" i="7"/>
  <c r="AH8" i="7"/>
  <c r="AF36" i="7"/>
  <c r="AH50" i="7"/>
  <c r="BB27" i="7"/>
  <c r="BG27" i="7" s="1"/>
  <c r="BL27" i="7" s="1"/>
  <c r="AT36" i="7"/>
  <c r="AX36" i="7" s="1"/>
  <c r="AG8" i="7"/>
  <c r="AF15" i="7"/>
  <c r="AF43" i="7"/>
  <c r="AH57" i="7"/>
  <c r="AF8" i="7"/>
  <c r="AG36" i="7"/>
  <c r="AT63" i="7"/>
  <c r="AX63" i="7" s="1"/>
  <c r="AG15" i="7"/>
  <c r="AG43" i="7"/>
  <c r="AF22" i="7"/>
  <c r="AG57" i="7"/>
  <c r="BB10" i="7"/>
  <c r="AS31" i="7"/>
  <c r="AY31" i="7" s="1"/>
  <c r="AS25" i="7"/>
  <c r="AY25" i="7" s="1"/>
  <c r="AV54" i="7"/>
  <c r="AV35" i="7"/>
  <c r="AV31" i="7"/>
  <c r="AV61" i="7"/>
  <c r="AI36" i="7"/>
  <c r="AS52" i="7"/>
  <c r="AY52" i="7" s="1"/>
  <c r="AV8" i="7"/>
  <c r="BB59" i="7"/>
  <c r="BB31" i="7"/>
  <c r="BD31" i="7" s="1"/>
  <c r="AV53" i="7"/>
  <c r="AT53" i="7"/>
  <c r="AX53" i="7" s="1"/>
  <c r="AK43" i="7"/>
  <c r="AQ43" i="7" s="1"/>
  <c r="AS59" i="6"/>
  <c r="AY59" i="6" s="1"/>
  <c r="AX36" i="6"/>
  <c r="AT40" i="6"/>
  <c r="AG29" i="6"/>
  <c r="AG50" i="6"/>
  <c r="AG15" i="6"/>
  <c r="AV61" i="6"/>
  <c r="BB31" i="6"/>
  <c r="AG57" i="6"/>
  <c r="AI29" i="6"/>
  <c r="AF36" i="6"/>
  <c r="AF50" i="6"/>
  <c r="AI36" i="6"/>
  <c r="AS31" i="6"/>
  <c r="AY31" i="6" s="1"/>
  <c r="AH50" i="6"/>
  <c r="AH22" i="6"/>
  <c r="AF43" i="6"/>
  <c r="AF22" i="6"/>
  <c r="AG43" i="6"/>
  <c r="AT59" i="6"/>
  <c r="AX59" i="6" s="1"/>
  <c r="AQ15" i="6"/>
  <c r="AH57" i="6"/>
  <c r="AF8" i="6"/>
  <c r="AH15" i="6"/>
  <c r="AG22" i="6"/>
  <c r="AV35" i="6"/>
  <c r="AT46" i="6"/>
  <c r="AX46" i="6" s="1"/>
  <c r="BB46" i="6" s="1"/>
  <c r="AV21" i="6"/>
  <c r="AG8" i="6"/>
  <c r="AG36" i="6"/>
  <c r="AX48" i="6"/>
  <c r="AS29" i="6"/>
  <c r="AY29" i="6" s="1"/>
  <c r="AS19" i="6"/>
  <c r="AY19" i="6" s="1"/>
  <c r="AV15" i="6"/>
  <c r="BB59" i="6"/>
  <c r="BE59" i="6" s="1"/>
  <c r="BR59" i="6" s="1"/>
  <c r="AK22" i="6"/>
  <c r="AQ22" i="6" s="1"/>
  <c r="BS31" i="9"/>
  <c r="BT31" i="9"/>
  <c r="AX41" i="9"/>
  <c r="AS37" i="9"/>
  <c r="AY37" i="9" s="1"/>
  <c r="AT31" i="9"/>
  <c r="AX31" i="9" s="1"/>
  <c r="BB27" i="9"/>
  <c r="BB61" i="9"/>
  <c r="BG61" i="9" s="1"/>
  <c r="AX61" i="9"/>
  <c r="AX12" i="9"/>
  <c r="AX14" i="9"/>
  <c r="BB17" i="9"/>
  <c r="BC17" i="9" s="1"/>
  <c r="BO17" i="9" s="1"/>
  <c r="AT62" i="9"/>
  <c r="AX62" i="9" s="1"/>
  <c r="AT13" i="9"/>
  <c r="AX13" i="9" s="1"/>
  <c r="AS44" i="9"/>
  <c r="AY44" i="9" s="1"/>
  <c r="AT16" i="9"/>
  <c r="AX16" i="9" s="1"/>
  <c r="AX49" i="9"/>
  <c r="AX41" i="10"/>
  <c r="AX62" i="10"/>
  <c r="AT51" i="10"/>
  <c r="AX51" i="10" s="1"/>
  <c r="AS22" i="10"/>
  <c r="AY22" i="10" s="1"/>
  <c r="AT26" i="10"/>
  <c r="AX26" i="10" s="1"/>
  <c r="BB26" i="10" s="1"/>
  <c r="BE26" i="10" s="1"/>
  <c r="BR26" i="10" s="1"/>
  <c r="AX18" i="10"/>
  <c r="AT42" i="10"/>
  <c r="AX42" i="10" s="1"/>
  <c r="AT25" i="10"/>
  <c r="AX25" i="10" s="1"/>
  <c r="AT46" i="10"/>
  <c r="AX46" i="10" s="1"/>
  <c r="BB13" i="10"/>
  <c r="BF13" i="10" s="1"/>
  <c r="BS13" i="10" s="1"/>
  <c r="AT59" i="10"/>
  <c r="AX59" i="10" s="1"/>
  <c r="AT33" i="10"/>
  <c r="AX33" i="10" s="1"/>
  <c r="AS47" i="10"/>
  <c r="AY47" i="10" s="1"/>
  <c r="BB47" i="10" s="1"/>
  <c r="AX9" i="10"/>
  <c r="AS23" i="10"/>
  <c r="AY23" i="10" s="1"/>
  <c r="AX27" i="10"/>
  <c r="AS19" i="10"/>
  <c r="AY19" i="10" s="1"/>
  <c r="AX8" i="10"/>
  <c r="AS31" i="10"/>
  <c r="AY31" i="10" s="1"/>
  <c r="AS28" i="10"/>
  <c r="AY28" i="10" s="1"/>
  <c r="BB24" i="10"/>
  <c r="BF24" i="10" s="1"/>
  <c r="BS24" i="10" s="1"/>
  <c r="AX55" i="11"/>
  <c r="AX40" i="11"/>
  <c r="AS22" i="11"/>
  <c r="AY22" i="11" s="1"/>
  <c r="AS36" i="11"/>
  <c r="AY36" i="11" s="1"/>
  <c r="BF48" i="11"/>
  <c r="BK48" i="11" s="1"/>
  <c r="AS41" i="11"/>
  <c r="AY41" i="11" s="1"/>
  <c r="AX49" i="11"/>
  <c r="BD48" i="11"/>
  <c r="AS39" i="11"/>
  <c r="AY39" i="11" s="1"/>
  <c r="AT20" i="11"/>
  <c r="AX20" i="11" s="1"/>
  <c r="BE48" i="11"/>
  <c r="AX51" i="11"/>
  <c r="BB38" i="11"/>
  <c r="BF38" i="11" s="1"/>
  <c r="BK38" i="11" s="1"/>
  <c r="BC31" i="9"/>
  <c r="BO31" i="9" s="1"/>
  <c r="AV47" i="5"/>
  <c r="BB45" i="5"/>
  <c r="BG45" i="5" s="1"/>
  <c r="AS27" i="5"/>
  <c r="AY27" i="5" s="1"/>
  <c r="AV35" i="5"/>
  <c r="AG50" i="5"/>
  <c r="AG15" i="5"/>
  <c r="AS47" i="5"/>
  <c r="AY47" i="5" s="1"/>
  <c r="AV15" i="5"/>
  <c r="AV25" i="5"/>
  <c r="AT63" i="5"/>
  <c r="AH43" i="5"/>
  <c r="AH36" i="5"/>
  <c r="AF29" i="5"/>
  <c r="AV30" i="5"/>
  <c r="AV33" i="5"/>
  <c r="BB55" i="5"/>
  <c r="BG55" i="5" s="1"/>
  <c r="BT55" i="5" s="1"/>
  <c r="AS53" i="5"/>
  <c r="AY53" i="5" s="1"/>
  <c r="AS28" i="5"/>
  <c r="AY28" i="5" s="1"/>
  <c r="AV34" i="5"/>
  <c r="AV18" i="5"/>
  <c r="AV19" i="5"/>
  <c r="AS44" i="5"/>
  <c r="AY44" i="5" s="1"/>
  <c r="AT46" i="5"/>
  <c r="BB27" i="5"/>
  <c r="BD27" i="5" s="1"/>
  <c r="BP27" i="5" s="1"/>
  <c r="AG29" i="5"/>
  <c r="BB59" i="5"/>
  <c r="BE59" i="5" s="1"/>
  <c r="BQ59" i="5" s="1"/>
  <c r="AK22" i="5"/>
  <c r="AQ22" i="5" s="1"/>
  <c r="AS61" i="5"/>
  <c r="AY61" i="5" s="1"/>
  <c r="AS38" i="5"/>
  <c r="AY38" i="5" s="1"/>
  <c r="BB17" i="5"/>
  <c r="BC17" i="5" s="1"/>
  <c r="BO17" i="5" s="1"/>
  <c r="AH50" i="5"/>
  <c r="AH29" i="5"/>
  <c r="AI15" i="5"/>
  <c r="AC10" i="5"/>
  <c r="AG10" i="5"/>
  <c r="AF10" i="5"/>
  <c r="AK10" i="5"/>
  <c r="AQ10" i="5" s="1"/>
  <c r="AJ10" i="5"/>
  <c r="AH10" i="5"/>
  <c r="AI10" i="5"/>
  <c r="AJ14" i="5"/>
  <c r="AI14" i="5"/>
  <c r="AF14" i="5"/>
  <c r="AK14" i="5"/>
  <c r="AG14" i="5"/>
  <c r="AH14" i="5"/>
  <c r="AS25" i="5"/>
  <c r="AY25" i="5" s="1"/>
  <c r="BB24" i="5"/>
  <c r="BF24" i="5" s="1"/>
  <c r="BR24" i="5" s="1"/>
  <c r="AV56" i="5"/>
  <c r="AI50" i="5"/>
  <c r="AH15" i="5"/>
  <c r="AT55" i="5"/>
  <c r="AX55" i="5" s="1"/>
  <c r="AF22" i="5"/>
  <c r="AS35" i="5"/>
  <c r="AY35" i="5" s="1"/>
  <c r="AT52" i="5"/>
  <c r="AX52" i="5" s="1"/>
  <c r="AS55" i="5"/>
  <c r="AY55" i="5" s="1"/>
  <c r="AT54" i="5"/>
  <c r="AX54" i="5" s="1"/>
  <c r="BB52" i="5"/>
  <c r="BG52" i="5" s="1"/>
  <c r="BS52" i="5" s="1"/>
  <c r="AG57" i="5"/>
  <c r="AF43" i="5"/>
  <c r="AF50" i="5"/>
  <c r="AG36" i="5"/>
  <c r="AH22" i="5"/>
  <c r="AC9" i="5"/>
  <c r="AJ9" i="5"/>
  <c r="AK9" i="5"/>
  <c r="AQ9" i="5" s="1"/>
  <c r="AF9" i="5"/>
  <c r="AI9" i="5"/>
  <c r="AH9" i="5"/>
  <c r="AG9" i="5"/>
  <c r="AV48" i="5"/>
  <c r="AT27" i="5"/>
  <c r="AX27" i="5" s="1"/>
  <c r="AI57" i="5"/>
  <c r="AS26" i="5"/>
  <c r="AY26" i="5" s="1"/>
  <c r="AQ43" i="5"/>
  <c r="AI12" i="5"/>
  <c r="AJ12" i="5"/>
  <c r="AK12" i="5"/>
  <c r="AQ12" i="5" s="1"/>
  <c r="AH12" i="5"/>
  <c r="AG12" i="5"/>
  <c r="AF12" i="5"/>
  <c r="AF57" i="5"/>
  <c r="AG43" i="5"/>
  <c r="AI36" i="5"/>
  <c r="AI29" i="5"/>
  <c r="AC13" i="5"/>
  <c r="AH13" i="5"/>
  <c r="AG13" i="5"/>
  <c r="AF13" i="5"/>
  <c r="AJ13" i="5"/>
  <c r="AI13" i="5"/>
  <c r="AK13" i="5"/>
  <c r="AQ13" i="5" s="1"/>
  <c r="AC11" i="5"/>
  <c r="AJ11" i="5"/>
  <c r="AK11" i="5"/>
  <c r="AQ11" i="5" s="1"/>
  <c r="AI11" i="5"/>
  <c r="AH11" i="5"/>
  <c r="AG11" i="5"/>
  <c r="AF11" i="5"/>
  <c r="AG22" i="5"/>
  <c r="AK8" i="5"/>
  <c r="AQ8" i="5" s="1"/>
  <c r="AQ50" i="5"/>
  <c r="AT50" i="5" s="1"/>
  <c r="AX50" i="5" s="1"/>
  <c r="AT45" i="5"/>
  <c r="AX45" i="5" s="1"/>
  <c r="BO48" i="11"/>
  <c r="BI54" i="3"/>
  <c r="AT26" i="11"/>
  <c r="AX26" i="11" s="1"/>
  <c r="AT35" i="7"/>
  <c r="AX35" i="7" s="1"/>
  <c r="AT52" i="7"/>
  <c r="AX52" i="7" s="1"/>
  <c r="AS38" i="10"/>
  <c r="AY38" i="10" s="1"/>
  <c r="AS16" i="10"/>
  <c r="AY16" i="10" s="1"/>
  <c r="BB16" i="10" s="1"/>
  <c r="BD31" i="9"/>
  <c r="BP31" i="9" s="1"/>
  <c r="BG13" i="9"/>
  <c r="BT13" i="9" s="1"/>
  <c r="BE31" i="9"/>
  <c r="BQ31" i="9" s="1"/>
  <c r="BF31" i="9"/>
  <c r="BR31" i="9" s="1"/>
  <c r="AT37" i="9"/>
  <c r="AX37" i="9" s="1"/>
  <c r="BB52" i="9"/>
  <c r="BG52" i="9" s="1"/>
  <c r="AT29" i="9"/>
  <c r="AS13" i="9"/>
  <c r="AY13" i="9" s="1"/>
  <c r="AS10" i="9"/>
  <c r="AY10" i="9" s="1"/>
  <c r="AT33" i="9"/>
  <c r="AX33" i="9" s="1"/>
  <c r="AT57" i="6"/>
  <c r="AX57" i="6" s="1"/>
  <c r="AS57" i="6"/>
  <c r="AY57" i="6" s="1"/>
  <c r="AS52" i="10"/>
  <c r="AY52" i="10" s="1"/>
  <c r="AS46" i="3"/>
  <c r="AU46" i="3" s="1"/>
  <c r="BJ46" i="3" s="1"/>
  <c r="AQ43" i="6"/>
  <c r="AT43" i="6" s="1"/>
  <c r="AT23" i="10"/>
  <c r="AX23" i="10" s="1"/>
  <c r="BB23" i="10" s="1"/>
  <c r="AS12" i="10"/>
  <c r="AY12" i="10" s="1"/>
  <c r="AT26" i="9"/>
  <c r="AX26" i="9" s="1"/>
  <c r="AS10" i="8"/>
  <c r="AU10" i="8" s="1"/>
  <c r="AT35" i="11"/>
  <c r="AT25" i="9"/>
  <c r="BB14" i="9"/>
  <c r="AS41" i="10"/>
  <c r="AY41" i="10" s="1"/>
  <c r="AS59" i="3"/>
  <c r="AU59" i="3" s="1"/>
  <c r="AT38" i="6"/>
  <c r="AX38" i="6" s="1"/>
  <c r="AS39" i="9"/>
  <c r="AY39" i="9" s="1"/>
  <c r="BB39" i="9" s="1"/>
  <c r="BD39" i="9" s="1"/>
  <c r="BP39" i="9" s="1"/>
  <c r="AT34" i="9"/>
  <c r="AX34" i="9" s="1"/>
  <c r="AT48" i="10"/>
  <c r="AX48" i="10" s="1"/>
  <c r="AS60" i="10"/>
  <c r="AY60" i="10" s="1"/>
  <c r="AS18" i="10"/>
  <c r="AY18" i="10" s="1"/>
  <c r="AS45" i="10"/>
  <c r="AY45" i="10" s="1"/>
  <c r="AT45" i="10"/>
  <c r="AX45" i="10" s="1"/>
  <c r="AQ22" i="3"/>
  <c r="AS22" i="3" s="1"/>
  <c r="AU22" i="3" s="1"/>
  <c r="BL22" i="3" s="1"/>
  <c r="AT56" i="10"/>
  <c r="AX56" i="10" s="1"/>
  <c r="AS61" i="7"/>
  <c r="AY61" i="7" s="1"/>
  <c r="BB61" i="7" s="1"/>
  <c r="BG61" i="7" s="1"/>
  <c r="BL61" i="7" s="1"/>
  <c r="AS32" i="9"/>
  <c r="AY32" i="9" s="1"/>
  <c r="AS18" i="11"/>
  <c r="AY18" i="11" s="1"/>
  <c r="BB12" i="11"/>
  <c r="BG12" i="11" s="1"/>
  <c r="BL12" i="11" s="1"/>
  <c r="AT60" i="9"/>
  <c r="AX60" i="9" s="1"/>
  <c r="AT24" i="9"/>
  <c r="AX24" i="9" s="1"/>
  <c r="BB30" i="11"/>
  <c r="AT24" i="11"/>
  <c r="AX24" i="11" s="1"/>
  <c r="AS10" i="11"/>
  <c r="AY10" i="11" s="1"/>
  <c r="AS10" i="7"/>
  <c r="AY10" i="7" s="1"/>
  <c r="AS62" i="9"/>
  <c r="AY62" i="9" s="1"/>
  <c r="AS8" i="10"/>
  <c r="AY8" i="10" s="1"/>
  <c r="AS9" i="11"/>
  <c r="AY9" i="11" s="1"/>
  <c r="AT53" i="6"/>
  <c r="AX53" i="6" s="1"/>
  <c r="AT49" i="7"/>
  <c r="AX49" i="7" s="1"/>
  <c r="AS37" i="3"/>
  <c r="AU37" i="3" s="1"/>
  <c r="BE24" i="10"/>
  <c r="BR24" i="10" s="1"/>
  <c r="AT39" i="10"/>
  <c r="AS45" i="11"/>
  <c r="AY45" i="11" s="1"/>
  <c r="AT17" i="11"/>
  <c r="AX17" i="11" s="1"/>
  <c r="AT16" i="11"/>
  <c r="AX16" i="11" s="1"/>
  <c r="AS11" i="6"/>
  <c r="AT63" i="9"/>
  <c r="AX63" i="9" s="1"/>
  <c r="AT53" i="9"/>
  <c r="AX53" i="9" s="1"/>
  <c r="AT59" i="11"/>
  <c r="AX59" i="11" s="1"/>
  <c r="BN27" i="3"/>
  <c r="BN20" i="3"/>
  <c r="AS50" i="11"/>
  <c r="AY50" i="11" s="1"/>
  <c r="AT19" i="11"/>
  <c r="AX19" i="11" s="1"/>
  <c r="AS19" i="11"/>
  <c r="AY19" i="11" s="1"/>
  <c r="AT60" i="11"/>
  <c r="AX60" i="11" s="1"/>
  <c r="AT56" i="11"/>
  <c r="AT25" i="11"/>
  <c r="AT9" i="11"/>
  <c r="BB37" i="11"/>
  <c r="BE37" i="11" s="1"/>
  <c r="BB43" i="11"/>
  <c r="AT61" i="11"/>
  <c r="AX61" i="11" s="1"/>
  <c r="AT50" i="11"/>
  <c r="AX50" i="11" s="1"/>
  <c r="BB36" i="11"/>
  <c r="BG36" i="11" s="1"/>
  <c r="BL36" i="11" s="1"/>
  <c r="AT33" i="11"/>
  <c r="AX33" i="11" s="1"/>
  <c r="BB33" i="11" s="1"/>
  <c r="AS28" i="11"/>
  <c r="AY28" i="11" s="1"/>
  <c r="AS26" i="11"/>
  <c r="AY26" i="11" s="1"/>
  <c r="AS17" i="11"/>
  <c r="AY17" i="11" s="1"/>
  <c r="AS57" i="11"/>
  <c r="AY57" i="11" s="1"/>
  <c r="BB57" i="11" s="1"/>
  <c r="BG57" i="11" s="1"/>
  <c r="BL57" i="11" s="1"/>
  <c r="BB31" i="11"/>
  <c r="BC31" i="11" s="1"/>
  <c r="BB26" i="11"/>
  <c r="AT14" i="11"/>
  <c r="AT31" i="11"/>
  <c r="AX31" i="11" s="1"/>
  <c r="BE38" i="11"/>
  <c r="BG17" i="11"/>
  <c r="BL17" i="11" s="1"/>
  <c r="BF17" i="11"/>
  <c r="BK17" i="11" s="1"/>
  <c r="BE17" i="11"/>
  <c r="BD17" i="11"/>
  <c r="BC17" i="11"/>
  <c r="BB16" i="11"/>
  <c r="AT15" i="11"/>
  <c r="AX15" i="11" s="1"/>
  <c r="BG27" i="11"/>
  <c r="BL27" i="11" s="1"/>
  <c r="BG20" i="11"/>
  <c r="BL20" i="11" s="1"/>
  <c r="AS15" i="11"/>
  <c r="AY15" i="11" s="1"/>
  <c r="BG37" i="11"/>
  <c r="BL37" i="11" s="1"/>
  <c r="BE59" i="11"/>
  <c r="BC59" i="11"/>
  <c r="BF59" i="11"/>
  <c r="BK59" i="11" s="1"/>
  <c r="BD59" i="11"/>
  <c r="BG59" i="11"/>
  <c r="BL59" i="11" s="1"/>
  <c r="AS20" i="11"/>
  <c r="AY20" i="11" s="1"/>
  <c r="AS24" i="11"/>
  <c r="AY24" i="11" s="1"/>
  <c r="AT42" i="11"/>
  <c r="BC27" i="11"/>
  <c r="BF27" i="11"/>
  <c r="BK27" i="11" s="1"/>
  <c r="BE27" i="11"/>
  <c r="BD27" i="11"/>
  <c r="AV23" i="11"/>
  <c r="AT23" i="11"/>
  <c r="AS23" i="11"/>
  <c r="AY23" i="11" s="1"/>
  <c r="AT32" i="11"/>
  <c r="BC62" i="11"/>
  <c r="BG62" i="11"/>
  <c r="BL62" i="11" s="1"/>
  <c r="BE62" i="11"/>
  <c r="BD62" i="11"/>
  <c r="BF62" i="11"/>
  <c r="BK62" i="11" s="1"/>
  <c r="AS53" i="11"/>
  <c r="AY53" i="11" s="1"/>
  <c r="AS55" i="11"/>
  <c r="AY55" i="11" s="1"/>
  <c r="BB60" i="11"/>
  <c r="BB45" i="11"/>
  <c r="AS38" i="11"/>
  <c r="AY38" i="11" s="1"/>
  <c r="AT38" i="11"/>
  <c r="AV38" i="11"/>
  <c r="BF34" i="11"/>
  <c r="BK34" i="11" s="1"/>
  <c r="BG34" i="11"/>
  <c r="BL34" i="11" s="1"/>
  <c r="BE34" i="11"/>
  <c r="BD34" i="11"/>
  <c r="BC34" i="11"/>
  <c r="AS40" i="11"/>
  <c r="AY40" i="11" s="1"/>
  <c r="BB40" i="11" s="1"/>
  <c r="AV27" i="11"/>
  <c r="AT27" i="11"/>
  <c r="AX27" i="11" s="1"/>
  <c r="AS27" i="11"/>
  <c r="AY27" i="11" s="1"/>
  <c r="AS44" i="11"/>
  <c r="AY44" i="11" s="1"/>
  <c r="AS54" i="11"/>
  <c r="AY54" i="11" s="1"/>
  <c r="AV54" i="11"/>
  <c r="AT54" i="11"/>
  <c r="AX54" i="11" s="1"/>
  <c r="AV8" i="11"/>
  <c r="AT8" i="11"/>
  <c r="AX8" i="11" s="1"/>
  <c r="AS8" i="11"/>
  <c r="AY8" i="11" s="1"/>
  <c r="BF24" i="11"/>
  <c r="BK24" i="11" s="1"/>
  <c r="BE24" i="11"/>
  <c r="BC24" i="11"/>
  <c r="BD24" i="11"/>
  <c r="AT28" i="11"/>
  <c r="BO10" i="11"/>
  <c r="AT22" i="11"/>
  <c r="AS47" i="11"/>
  <c r="AY47" i="11" s="1"/>
  <c r="AV47" i="11"/>
  <c r="AT47" i="11"/>
  <c r="AS52" i="11"/>
  <c r="AY52" i="11" s="1"/>
  <c r="AT52" i="11"/>
  <c r="AV52" i="11"/>
  <c r="BC20" i="11"/>
  <c r="BD20" i="11"/>
  <c r="BE20" i="11"/>
  <c r="BF20" i="11"/>
  <c r="BK20" i="11" s="1"/>
  <c r="BG13" i="11"/>
  <c r="BL13" i="11" s="1"/>
  <c r="BD13" i="11"/>
  <c r="BC13" i="11"/>
  <c r="BE13" i="11"/>
  <c r="BF13" i="11"/>
  <c r="BK13" i="11" s="1"/>
  <c r="AS61" i="11"/>
  <c r="AY61" i="11" s="1"/>
  <c r="BB61" i="11" s="1"/>
  <c r="AS11" i="11"/>
  <c r="AY11" i="11" s="1"/>
  <c r="AV11" i="11"/>
  <c r="AT11" i="11"/>
  <c r="BF52" i="11"/>
  <c r="BK52" i="11" s="1"/>
  <c r="BD52" i="11"/>
  <c r="BE52" i="11"/>
  <c r="BB49" i="11"/>
  <c r="AS48" i="11"/>
  <c r="AY48" i="11" s="1"/>
  <c r="AT63" i="11"/>
  <c r="AS51" i="11"/>
  <c r="AY51" i="11" s="1"/>
  <c r="AT41" i="11"/>
  <c r="AX41" i="11" s="1"/>
  <c r="AS34" i="11"/>
  <c r="AY34" i="11" s="1"/>
  <c r="AS21" i="11"/>
  <c r="AY21" i="11" s="1"/>
  <c r="BB21" i="11" s="1"/>
  <c r="BC52" i="11"/>
  <c r="BG52" i="11"/>
  <c r="BL52" i="11" s="1"/>
  <c r="AT58" i="11"/>
  <c r="AV58" i="11"/>
  <c r="AS58" i="11"/>
  <c r="AY58" i="11" s="1"/>
  <c r="AV29" i="11"/>
  <c r="AT29" i="11"/>
  <c r="AX29" i="11" s="1"/>
  <c r="AS29" i="11"/>
  <c r="AY29" i="11" s="1"/>
  <c r="AT39" i="11"/>
  <c r="AS13" i="11"/>
  <c r="AY13" i="11" s="1"/>
  <c r="AT13" i="11"/>
  <c r="AV13" i="11"/>
  <c r="AV46" i="11"/>
  <c r="AT46" i="11"/>
  <c r="AS46" i="11"/>
  <c r="AY46" i="11" s="1"/>
  <c r="BF55" i="11"/>
  <c r="BK55" i="11" s="1"/>
  <c r="BO55" i="11" s="1"/>
  <c r="BD55" i="11"/>
  <c r="BC55" i="11"/>
  <c r="BE55" i="11"/>
  <c r="BG24" i="11"/>
  <c r="BL24" i="11" s="1"/>
  <c r="BE12" i="11"/>
  <c r="AS58" i="10"/>
  <c r="AY58" i="10" s="1"/>
  <c r="BB58" i="10" s="1"/>
  <c r="BB20" i="10"/>
  <c r="BE20" i="10" s="1"/>
  <c r="BR20" i="10" s="1"/>
  <c r="AS10" i="10"/>
  <c r="AY10" i="10" s="1"/>
  <c r="BB14" i="10"/>
  <c r="AT49" i="10"/>
  <c r="AT21" i="10"/>
  <c r="BB17" i="10"/>
  <c r="BF17" i="10" s="1"/>
  <c r="BS17" i="10" s="1"/>
  <c r="AT29" i="10"/>
  <c r="AX29" i="10" s="1"/>
  <c r="BB29" i="10" s="1"/>
  <c r="AT53" i="10"/>
  <c r="AX53" i="10" s="1"/>
  <c r="AS40" i="10"/>
  <c r="AY40" i="10" s="1"/>
  <c r="BB38" i="10"/>
  <c r="BG38" i="10" s="1"/>
  <c r="AT35" i="10"/>
  <c r="AS46" i="10"/>
  <c r="AY46" i="10" s="1"/>
  <c r="AT17" i="10"/>
  <c r="AX17" i="10" s="1"/>
  <c r="BG31" i="10"/>
  <c r="BG59" i="10"/>
  <c r="BF59" i="10"/>
  <c r="BS59" i="10" s="1"/>
  <c r="BD59" i="10"/>
  <c r="BQ59" i="10" s="1"/>
  <c r="BC59" i="10"/>
  <c r="BP59" i="10" s="1"/>
  <c r="BG13" i="10"/>
  <c r="BE17" i="10"/>
  <c r="BR17" i="10" s="1"/>
  <c r="AS43" i="10"/>
  <c r="AY43" i="10" s="1"/>
  <c r="AT43" i="10"/>
  <c r="AX43" i="10" s="1"/>
  <c r="BV41" i="10"/>
  <c r="BU10" i="10"/>
  <c r="BW10" i="10" s="1"/>
  <c r="BT10" i="10"/>
  <c r="BT45" i="10"/>
  <c r="BU45" i="10"/>
  <c r="BW45" i="10" s="1"/>
  <c r="AS48" i="10"/>
  <c r="AY48" i="10" s="1"/>
  <c r="AT32" i="10"/>
  <c r="AS32" i="10"/>
  <c r="AY32" i="10" s="1"/>
  <c r="AV32" i="10"/>
  <c r="AT20" i="10"/>
  <c r="AX20" i="10" s="1"/>
  <c r="AS20" i="10"/>
  <c r="AY20" i="10" s="1"/>
  <c r="AT13" i="10"/>
  <c r="AX13" i="10" s="1"/>
  <c r="AS13" i="10"/>
  <c r="AY13" i="10" s="1"/>
  <c r="AV13" i="10"/>
  <c r="AT22" i="10"/>
  <c r="BE31" i="10"/>
  <c r="BR31" i="10" s="1"/>
  <c r="BC31" i="10"/>
  <c r="BP31" i="10" s="1"/>
  <c r="BF31" i="10"/>
  <c r="BS31" i="10" s="1"/>
  <c r="BD31" i="10"/>
  <c r="BQ31" i="10" s="1"/>
  <c r="BD45" i="10"/>
  <c r="BQ45" i="10" s="1"/>
  <c r="BE45" i="10"/>
  <c r="BR45" i="10" s="1"/>
  <c r="BF45" i="10"/>
  <c r="BS45" i="10" s="1"/>
  <c r="BC45" i="10"/>
  <c r="BP45" i="10" s="1"/>
  <c r="AT44" i="10"/>
  <c r="BE27" i="10"/>
  <c r="BR27" i="10" s="1"/>
  <c r="BC27" i="10"/>
  <c r="BP27" i="10" s="1"/>
  <c r="BG27" i="10"/>
  <c r="BF27" i="10"/>
  <c r="BS27" i="10" s="1"/>
  <c r="BD27" i="10"/>
  <c r="BQ27" i="10" s="1"/>
  <c r="BU41" i="10"/>
  <c r="BW41" i="10" s="1"/>
  <c r="BT41" i="10"/>
  <c r="AS33" i="10"/>
  <c r="AY33" i="10" s="1"/>
  <c r="BB33" i="10" s="1"/>
  <c r="BD13" i="10"/>
  <c r="BQ13" i="10" s="1"/>
  <c r="BB28" i="10"/>
  <c r="BF10" i="10"/>
  <c r="BS10" i="10" s="1"/>
  <c r="BE10" i="10"/>
  <c r="BR10" i="10" s="1"/>
  <c r="BD10" i="10"/>
  <c r="BQ10" i="10" s="1"/>
  <c r="BC10" i="10"/>
  <c r="BP10" i="10" s="1"/>
  <c r="AT19" i="10"/>
  <c r="BC62" i="10"/>
  <c r="BP62" i="10" s="1"/>
  <c r="BD62" i="10"/>
  <c r="BQ62" i="10" s="1"/>
  <c r="BE62" i="10"/>
  <c r="BR62" i="10" s="1"/>
  <c r="BF62" i="10"/>
  <c r="BS62" i="10" s="1"/>
  <c r="BG62" i="10"/>
  <c r="BE52" i="10"/>
  <c r="BR52" i="10" s="1"/>
  <c r="BG52" i="10"/>
  <c r="BC52" i="10"/>
  <c r="BP52" i="10" s="1"/>
  <c r="AV50" i="10"/>
  <c r="AT50" i="10"/>
  <c r="AX50" i="10" s="1"/>
  <c r="AS50" i="10"/>
  <c r="AY50" i="10" s="1"/>
  <c r="AS24" i="10"/>
  <c r="AY24" i="10" s="1"/>
  <c r="AT63" i="10"/>
  <c r="AT57" i="10"/>
  <c r="AT36" i="10"/>
  <c r="AX36" i="10" s="1"/>
  <c r="AS36" i="10"/>
  <c r="AY36" i="10" s="1"/>
  <c r="AV36" i="10"/>
  <c r="BB37" i="10"/>
  <c r="AT15" i="10"/>
  <c r="AS15" i="10"/>
  <c r="AY15" i="10" s="1"/>
  <c r="AV15" i="10"/>
  <c r="BC48" i="10"/>
  <c r="BP48" i="10" s="1"/>
  <c r="BD48" i="10"/>
  <c r="BQ48" i="10" s="1"/>
  <c r="BG48" i="10"/>
  <c r="AS27" i="10"/>
  <c r="AY27" i="10" s="1"/>
  <c r="BF52" i="10"/>
  <c r="BS52" i="10" s="1"/>
  <c r="BG34" i="10"/>
  <c r="BF34" i="10"/>
  <c r="BS34" i="10" s="1"/>
  <c r="BE34" i="10"/>
  <c r="BR34" i="10" s="1"/>
  <c r="BC34" i="10"/>
  <c r="BP34" i="10" s="1"/>
  <c r="BD34" i="10"/>
  <c r="BQ34" i="10" s="1"/>
  <c r="AZ3" i="10"/>
  <c r="BB8" i="10"/>
  <c r="BD52" i="10"/>
  <c r="BQ52" i="10" s="1"/>
  <c r="AS54" i="10"/>
  <c r="AY54" i="10" s="1"/>
  <c r="AT54" i="10"/>
  <c r="AV54" i="10"/>
  <c r="AT40" i="10"/>
  <c r="BE59" i="10"/>
  <c r="BR59" i="10" s="1"/>
  <c r="AT34" i="10"/>
  <c r="AV34" i="10"/>
  <c r="AS34" i="10"/>
  <c r="AY34" i="10" s="1"/>
  <c r="AT30" i="10"/>
  <c r="AV30" i="10"/>
  <c r="AS30" i="10"/>
  <c r="AY30" i="10" s="1"/>
  <c r="AS25" i="10"/>
  <c r="AY25" i="10" s="1"/>
  <c r="BB25" i="10" s="1"/>
  <c r="AS9" i="10"/>
  <c r="AY9" i="10" s="1"/>
  <c r="BB9" i="10" s="1"/>
  <c r="AS11" i="10"/>
  <c r="AY11" i="10" s="1"/>
  <c r="BB11" i="10" s="1"/>
  <c r="AS59" i="10"/>
  <c r="AY59" i="10" s="1"/>
  <c r="AS61" i="10"/>
  <c r="AY61" i="10" s="1"/>
  <c r="AV61" i="10"/>
  <c r="AT61" i="10"/>
  <c r="AX61" i="10" s="1"/>
  <c r="AT55" i="10"/>
  <c r="AS55" i="10"/>
  <c r="AY55" i="10" s="1"/>
  <c r="AV55" i="10"/>
  <c r="AS56" i="10"/>
  <c r="AY56" i="10" s="1"/>
  <c r="BB55" i="10"/>
  <c r="AS42" i="10"/>
  <c r="AY42" i="10" s="1"/>
  <c r="BB42" i="10" s="1"/>
  <c r="BF48" i="10"/>
  <c r="BS48" i="10" s="1"/>
  <c r="BE48" i="10"/>
  <c r="BR48" i="10" s="1"/>
  <c r="BB12" i="10"/>
  <c r="AS51" i="10"/>
  <c r="AY51" i="10" s="1"/>
  <c r="BB51" i="10" s="1"/>
  <c r="AS53" i="10"/>
  <c r="AY53" i="10" s="1"/>
  <c r="AS56" i="9"/>
  <c r="AY56" i="9" s="1"/>
  <c r="AT56" i="9"/>
  <c r="BB37" i="9"/>
  <c r="BE37" i="9" s="1"/>
  <c r="BQ37" i="9" s="1"/>
  <c r="BB63" i="9"/>
  <c r="BG63" i="9" s="1"/>
  <c r="AT51" i="9"/>
  <c r="AS49" i="9"/>
  <c r="AY49" i="9" s="1"/>
  <c r="BB49" i="9" s="1"/>
  <c r="AT11" i="9"/>
  <c r="AS48" i="9"/>
  <c r="AY48" i="9" s="1"/>
  <c r="AT32" i="9"/>
  <c r="AX32" i="9" s="1"/>
  <c r="AS46" i="9"/>
  <c r="AY46" i="9" s="1"/>
  <c r="BB46" i="9" s="1"/>
  <c r="BG46" i="9" s="1"/>
  <c r="AS54" i="9"/>
  <c r="AY54" i="9" s="1"/>
  <c r="BB54" i="9" s="1"/>
  <c r="BB48" i="9"/>
  <c r="BG48" i="9" s="1"/>
  <c r="AT40" i="9"/>
  <c r="AX40" i="9" s="1"/>
  <c r="AT47" i="9"/>
  <c r="BG59" i="9"/>
  <c r="BF59" i="9"/>
  <c r="BR59" i="9" s="1"/>
  <c r="BD59" i="9"/>
  <c r="BP59" i="9" s="1"/>
  <c r="BC59" i="9"/>
  <c r="BO59" i="9" s="1"/>
  <c r="BE59" i="9"/>
  <c r="BQ59" i="9" s="1"/>
  <c r="BC41" i="9"/>
  <c r="BO41" i="9" s="1"/>
  <c r="BG41" i="9"/>
  <c r="BF41" i="9"/>
  <c r="BR41" i="9" s="1"/>
  <c r="BE41" i="9"/>
  <c r="BQ41" i="9" s="1"/>
  <c r="BD41" i="9"/>
  <c r="BP41" i="9" s="1"/>
  <c r="BG24" i="9"/>
  <c r="BT45" i="9"/>
  <c r="BS45" i="9"/>
  <c r="BC34" i="9"/>
  <c r="BO34" i="9" s="1"/>
  <c r="BD34" i="9"/>
  <c r="BP34" i="9" s="1"/>
  <c r="BE34" i="9"/>
  <c r="BQ34" i="9" s="1"/>
  <c r="BF34" i="9"/>
  <c r="BR34" i="9" s="1"/>
  <c r="BG34" i="9"/>
  <c r="AT43" i="9"/>
  <c r="AX43" i="9" s="1"/>
  <c r="AS43" i="9"/>
  <c r="AY43" i="9" s="1"/>
  <c r="BC20" i="9"/>
  <c r="BO20" i="9" s="1"/>
  <c r="BE20" i="9"/>
  <c r="BQ20" i="9" s="1"/>
  <c r="BD20" i="9"/>
  <c r="BP20" i="9" s="1"/>
  <c r="BF20" i="9"/>
  <c r="BR20" i="9" s="1"/>
  <c r="BG20" i="9"/>
  <c r="BD17" i="9"/>
  <c r="BP17" i="9" s="1"/>
  <c r="AT52" i="9"/>
  <c r="AX52" i="9" s="1"/>
  <c r="AV23" i="9"/>
  <c r="AT23" i="9"/>
  <c r="AX23" i="9" s="1"/>
  <c r="AS23" i="9"/>
  <c r="AY23" i="9" s="1"/>
  <c r="BG10" i="9"/>
  <c r="BE10" i="9"/>
  <c r="BQ10" i="9" s="1"/>
  <c r="BF10" i="9"/>
  <c r="BR10" i="9" s="1"/>
  <c r="BD10" i="9"/>
  <c r="BP10" i="9" s="1"/>
  <c r="BC10" i="9"/>
  <c r="BO10" i="9" s="1"/>
  <c r="AT17" i="9"/>
  <c r="AS17" i="9"/>
  <c r="AY17" i="9" s="1"/>
  <c r="AV17" i="9"/>
  <c r="AS24" i="9"/>
  <c r="AY24" i="9" s="1"/>
  <c r="AV30" i="9"/>
  <c r="AT30" i="9"/>
  <c r="AS30" i="9"/>
  <c r="AY30" i="9" s="1"/>
  <c r="AT22" i="9"/>
  <c r="AS22" i="9"/>
  <c r="AY22" i="9" s="1"/>
  <c r="AV22" i="9"/>
  <c r="AS41" i="9"/>
  <c r="AY41" i="9" s="1"/>
  <c r="AT28" i="9"/>
  <c r="AX28" i="9" s="1"/>
  <c r="AS28" i="9"/>
  <c r="AY28" i="9" s="1"/>
  <c r="AV28" i="9"/>
  <c r="AT42" i="9"/>
  <c r="AV42" i="9"/>
  <c r="AS42" i="9"/>
  <c r="AY42" i="9" s="1"/>
  <c r="AS12" i="9"/>
  <c r="AY12" i="9" s="1"/>
  <c r="AV50" i="9"/>
  <c r="AS50" i="9"/>
  <c r="AY50" i="9" s="1"/>
  <c r="AT50" i="9"/>
  <c r="AX50" i="9" s="1"/>
  <c r="AS60" i="9"/>
  <c r="AY60" i="9" s="1"/>
  <c r="BF45" i="9"/>
  <c r="BR45" i="9" s="1"/>
  <c r="BE45" i="9"/>
  <c r="BQ45" i="9" s="1"/>
  <c r="BD45" i="9"/>
  <c r="BP45" i="9" s="1"/>
  <c r="BC45" i="9"/>
  <c r="BO45" i="9" s="1"/>
  <c r="AV20" i="9"/>
  <c r="AT20" i="9"/>
  <c r="AX20" i="9" s="1"/>
  <c r="AS20" i="9"/>
  <c r="AY20" i="9" s="1"/>
  <c r="AZ3" i="9"/>
  <c r="BB8" i="9"/>
  <c r="AS16" i="9"/>
  <c r="AY16" i="9" s="1"/>
  <c r="BB15" i="9"/>
  <c r="BE55" i="9"/>
  <c r="BQ55" i="9" s="1"/>
  <c r="BD55" i="9"/>
  <c r="BP55" i="9" s="1"/>
  <c r="BC55" i="9"/>
  <c r="BO55" i="9" s="1"/>
  <c r="BF55" i="9"/>
  <c r="BR55" i="9" s="1"/>
  <c r="AS59" i="9"/>
  <c r="AY59" i="9" s="1"/>
  <c r="AT59" i="9"/>
  <c r="AX59" i="9" s="1"/>
  <c r="AV59" i="9"/>
  <c r="AS36" i="9"/>
  <c r="AY36" i="9" s="1"/>
  <c r="AT36" i="9"/>
  <c r="AV36" i="9"/>
  <c r="AT44" i="9"/>
  <c r="BB33" i="9"/>
  <c r="AS18" i="9"/>
  <c r="AY18" i="9" s="1"/>
  <c r="AT18" i="9"/>
  <c r="AX18" i="9" s="1"/>
  <c r="AV18" i="9"/>
  <c r="AS19" i="9"/>
  <c r="AY19" i="9" s="1"/>
  <c r="AT19" i="9"/>
  <c r="AV19" i="9"/>
  <c r="AT35" i="9"/>
  <c r="AX35" i="9" s="1"/>
  <c r="AS35" i="9"/>
  <c r="AY35" i="9" s="1"/>
  <c r="AV35" i="9"/>
  <c r="AS9" i="9"/>
  <c r="AY9" i="9" s="1"/>
  <c r="AT10" i="9"/>
  <c r="AX10" i="9" s="1"/>
  <c r="BC61" i="9"/>
  <c r="BO61" i="9" s="1"/>
  <c r="AT38" i="9"/>
  <c r="AX38" i="9" s="1"/>
  <c r="AS38" i="9"/>
  <c r="AY38" i="9" s="1"/>
  <c r="AV38" i="9"/>
  <c r="BF24" i="9"/>
  <c r="BR24" i="9" s="1"/>
  <c r="BE24" i="9"/>
  <c r="BQ24" i="9" s="1"/>
  <c r="BD24" i="9"/>
  <c r="BP24" i="9" s="1"/>
  <c r="BC24" i="9"/>
  <c r="BO24" i="9" s="1"/>
  <c r="BE13" i="9"/>
  <c r="BQ13" i="9" s="1"/>
  <c r="BF13" i="9"/>
  <c r="BR13" i="9" s="1"/>
  <c r="BD13" i="9"/>
  <c r="BP13" i="9" s="1"/>
  <c r="BC13" i="9"/>
  <c r="BO13" i="9" s="1"/>
  <c r="AT21" i="9"/>
  <c r="AX21" i="9" s="1"/>
  <c r="AS21" i="9"/>
  <c r="AY21" i="9" s="1"/>
  <c r="AS40" i="9"/>
  <c r="AY40" i="9" s="1"/>
  <c r="BB40" i="9" s="1"/>
  <c r="BB26" i="9"/>
  <c r="AS53" i="9"/>
  <c r="AY53" i="9" s="1"/>
  <c r="AT58" i="9"/>
  <c r="AX58" i="9" s="1"/>
  <c r="AS58" i="9"/>
  <c r="AY58" i="9" s="1"/>
  <c r="AV58" i="9"/>
  <c r="BT55" i="9"/>
  <c r="BS55" i="9"/>
  <c r="BG62" i="9"/>
  <c r="BE38" i="9"/>
  <c r="BQ38" i="9" s="1"/>
  <c r="BG38" i="9"/>
  <c r="BF38" i="9"/>
  <c r="BR38" i="9" s="1"/>
  <c r="BC38" i="9"/>
  <c r="BO38" i="9" s="1"/>
  <c r="BD38" i="9"/>
  <c r="BP38" i="9" s="1"/>
  <c r="BE62" i="9"/>
  <c r="BQ62" i="9" s="1"/>
  <c r="BD62" i="9"/>
  <c r="BP62" i="9" s="1"/>
  <c r="BC62" i="9"/>
  <c r="BO62" i="9" s="1"/>
  <c r="BF62" i="9"/>
  <c r="BR62" i="9" s="1"/>
  <c r="AV57" i="9"/>
  <c r="AT57" i="9"/>
  <c r="AX57" i="9" s="1"/>
  <c r="AS57" i="9"/>
  <c r="AY57" i="9" s="1"/>
  <c r="AS45" i="9"/>
  <c r="AY45" i="9" s="1"/>
  <c r="AT53" i="5"/>
  <c r="AX53" i="5" s="1"/>
  <c r="BJ54" i="3"/>
  <c r="AS55" i="6"/>
  <c r="AY55" i="6" s="1"/>
  <c r="BD52" i="5"/>
  <c r="BP52" i="5" s="1"/>
  <c r="BL54" i="3"/>
  <c r="AS51" i="3"/>
  <c r="AU51" i="3" s="1"/>
  <c r="BF52" i="5"/>
  <c r="BR52" i="5" s="1"/>
  <c r="AT46" i="7"/>
  <c r="AX46" i="7" s="1"/>
  <c r="AT39" i="6"/>
  <c r="AX39" i="6" s="1"/>
  <c r="AS42" i="6"/>
  <c r="AY42" i="6" s="1"/>
  <c r="AT38" i="5"/>
  <c r="AX38" i="5" s="1"/>
  <c r="AS23" i="6"/>
  <c r="AY23" i="6" s="1"/>
  <c r="AS17" i="3"/>
  <c r="AU17" i="3" s="1"/>
  <c r="AV16" i="7"/>
  <c r="AS21" i="6"/>
  <c r="AY21" i="6" s="1"/>
  <c r="AS47" i="8"/>
  <c r="AU47" i="8" s="1"/>
  <c r="BL47" i="8" s="1"/>
  <c r="AS36" i="8"/>
  <c r="AU36" i="8" s="1"/>
  <c r="BL36" i="8" s="1"/>
  <c r="AS21" i="8"/>
  <c r="AU21" i="8" s="1"/>
  <c r="BL21" i="8" s="1"/>
  <c r="BL37" i="8"/>
  <c r="AS59" i="8"/>
  <c r="AU59" i="8" s="1"/>
  <c r="AS54" i="8"/>
  <c r="AU54" i="8" s="1"/>
  <c r="AS11" i="8"/>
  <c r="AU11" i="8" s="1"/>
  <c r="BH11" i="8" s="1"/>
  <c r="BL18" i="8"/>
  <c r="AS25" i="8"/>
  <c r="AU25" i="8" s="1"/>
  <c r="BL25" i="8" s="1"/>
  <c r="AS60" i="8"/>
  <c r="AU60" i="8" s="1"/>
  <c r="BL60" i="8" s="1"/>
  <c r="AS46" i="8"/>
  <c r="AU46" i="8" s="1"/>
  <c r="BL46" i="8" s="1"/>
  <c r="AS26" i="8"/>
  <c r="AU26" i="8" s="1"/>
  <c r="BL26" i="8" s="1"/>
  <c r="AS8" i="8"/>
  <c r="AU8" i="8" s="1"/>
  <c r="BL8" i="8" s="1"/>
  <c r="BN45" i="8"/>
  <c r="BJ12" i="8"/>
  <c r="AY58" i="8"/>
  <c r="BN48" i="8"/>
  <c r="AY35" i="8"/>
  <c r="BK35" i="8" s="1"/>
  <c r="BN34" i="3"/>
  <c r="AT25" i="5"/>
  <c r="AS48" i="6"/>
  <c r="AY48" i="6" s="1"/>
  <c r="AS49" i="8"/>
  <c r="AU49" i="8" s="1"/>
  <c r="BL49" i="8" s="1"/>
  <c r="AS40" i="8"/>
  <c r="AU40" i="8" s="1"/>
  <c r="BH40" i="8" s="1"/>
  <c r="AS24" i="8"/>
  <c r="AU24" i="8" s="1"/>
  <c r="AS20" i="8"/>
  <c r="AU20" i="8" s="1"/>
  <c r="AV31" i="5"/>
  <c r="AV21" i="3"/>
  <c r="AV63" i="5"/>
  <c r="AS39" i="8"/>
  <c r="AU39" i="8" s="1"/>
  <c r="BL39" i="8" s="1"/>
  <c r="AS45" i="8"/>
  <c r="AU45" i="8" s="1"/>
  <c r="AS61" i="8"/>
  <c r="AU61" i="8" s="1"/>
  <c r="BK61" i="8" s="1"/>
  <c r="AY40" i="8"/>
  <c r="AS28" i="8"/>
  <c r="AU28" i="8" s="1"/>
  <c r="BL28" i="8" s="1"/>
  <c r="AY31" i="3"/>
  <c r="AS23" i="7"/>
  <c r="AY23" i="7" s="1"/>
  <c r="AS57" i="5"/>
  <c r="AY57" i="5" s="1"/>
  <c r="AS41" i="6"/>
  <c r="AY41" i="6" s="1"/>
  <c r="BB42" i="7"/>
  <c r="BE42" i="7" s="1"/>
  <c r="AS53" i="7"/>
  <c r="AY53" i="7" s="1"/>
  <c r="BB53" i="7" s="1"/>
  <c r="BN55" i="8"/>
  <c r="AS29" i="8"/>
  <c r="AU29" i="8" s="1"/>
  <c r="BL29" i="8" s="1"/>
  <c r="AS55" i="7"/>
  <c r="AY55" i="7" s="1"/>
  <c r="AT42" i="6"/>
  <c r="AX42" i="6" s="1"/>
  <c r="BN48" i="3"/>
  <c r="AS57" i="8"/>
  <c r="AU57" i="8" s="1"/>
  <c r="BL57" i="8" s="1"/>
  <c r="BN41" i="8"/>
  <c r="BN38" i="8"/>
  <c r="AS44" i="8"/>
  <c r="AU44" i="8" s="1"/>
  <c r="BL44" i="8" s="1"/>
  <c r="AS16" i="8"/>
  <c r="AU16" i="8" s="1"/>
  <c r="BJ16" i="8" s="1"/>
  <c r="AT44" i="7"/>
  <c r="AX44" i="7" s="1"/>
  <c r="AS51" i="8"/>
  <c r="AU51" i="8" s="1"/>
  <c r="BL51" i="8" s="1"/>
  <c r="AC9" i="3"/>
  <c r="AS14" i="7"/>
  <c r="AY14" i="7" s="1"/>
  <c r="AV17" i="7"/>
  <c r="AT10" i="7"/>
  <c r="AX10" i="7" s="1"/>
  <c r="AY39" i="3"/>
  <c r="AS45" i="6"/>
  <c r="AY45" i="6" s="1"/>
  <c r="AS45" i="5"/>
  <c r="AY45" i="5" s="1"/>
  <c r="AQ50" i="3"/>
  <c r="AS50" i="3" s="1"/>
  <c r="AU50" i="3" s="1"/>
  <c r="AV40" i="6"/>
  <c r="AQ50" i="8"/>
  <c r="AS50" i="8" s="1"/>
  <c r="AU50" i="8" s="1"/>
  <c r="BK50" i="8" s="1"/>
  <c r="AS19" i="8"/>
  <c r="AU19" i="8" s="1"/>
  <c r="BJ19" i="8" s="1"/>
  <c r="BN27" i="8"/>
  <c r="AS63" i="8"/>
  <c r="AU63" i="8" s="1"/>
  <c r="BL63" i="8" s="1"/>
  <c r="BN62" i="8"/>
  <c r="AS27" i="8"/>
  <c r="AU27" i="8" s="1"/>
  <c r="AV26" i="5"/>
  <c r="AV32" i="7"/>
  <c r="BN31" i="3"/>
  <c r="BN59" i="8"/>
  <c r="AS43" i="8"/>
  <c r="AU43" i="8" s="1"/>
  <c r="BL43" i="8" s="1"/>
  <c r="BN24" i="8"/>
  <c r="AS14" i="8"/>
  <c r="AU14" i="8" s="1"/>
  <c r="BL14" i="8" s="1"/>
  <c r="BN34" i="8"/>
  <c r="AY16" i="8"/>
  <c r="AY53" i="8"/>
  <c r="AY41" i="8"/>
  <c r="AY38" i="8"/>
  <c r="AY46" i="8"/>
  <c r="AY27" i="8"/>
  <c r="BN17" i="8"/>
  <c r="BN13" i="8"/>
  <c r="AY19" i="8"/>
  <c r="BN10" i="8"/>
  <c r="BN20" i="8"/>
  <c r="BN31" i="8"/>
  <c r="BJ58" i="8"/>
  <c r="BL58" i="8"/>
  <c r="BK58" i="8"/>
  <c r="BH58" i="8"/>
  <c r="BI58" i="8"/>
  <c r="BH56" i="8"/>
  <c r="BL56" i="8"/>
  <c r="BI35" i="8"/>
  <c r="BJ35" i="8"/>
  <c r="BH35" i="8"/>
  <c r="BL35" i="8"/>
  <c r="AX55" i="8"/>
  <c r="AW55" i="8"/>
  <c r="AV55" i="8"/>
  <c r="AW52" i="8"/>
  <c r="AV52" i="8"/>
  <c r="AY52" i="8"/>
  <c r="AX52" i="8"/>
  <c r="AV39" i="8"/>
  <c r="AX39" i="8"/>
  <c r="AW39" i="8"/>
  <c r="AS17" i="8"/>
  <c r="AU17" i="8" s="1"/>
  <c r="AV43" i="8"/>
  <c r="AX43" i="8"/>
  <c r="AW43" i="8"/>
  <c r="AY11" i="8"/>
  <c r="AX63" i="8"/>
  <c r="AW63" i="8"/>
  <c r="AV63" i="8"/>
  <c r="AX42" i="8"/>
  <c r="BJ42" i="8" s="1"/>
  <c r="AW42" i="8"/>
  <c r="BI42" i="8" s="1"/>
  <c r="AV42" i="8"/>
  <c r="BH42" i="8" s="1"/>
  <c r="AS41" i="8"/>
  <c r="AU41" i="8" s="1"/>
  <c r="AX36" i="8"/>
  <c r="AW36" i="8"/>
  <c r="AV36" i="8"/>
  <c r="BH36" i="8" s="1"/>
  <c r="AS33" i="8"/>
  <c r="AU33" i="8" s="1"/>
  <c r="AY20" i="8"/>
  <c r="AS30" i="8"/>
  <c r="AU30" i="8" s="1"/>
  <c r="BL22" i="8"/>
  <c r="BL12" i="8"/>
  <c r="BH12" i="8"/>
  <c r="BI12" i="8"/>
  <c r="AX10" i="8"/>
  <c r="AV10" i="8"/>
  <c r="AW10" i="8"/>
  <c r="AY34" i="8"/>
  <c r="AY51" i="8"/>
  <c r="AX29" i="8"/>
  <c r="AW29" i="8"/>
  <c r="AV29" i="8"/>
  <c r="AX25" i="8"/>
  <c r="AW25" i="8"/>
  <c r="AV25" i="8"/>
  <c r="AX22" i="8"/>
  <c r="BJ22" i="8" s="1"/>
  <c r="AW22" i="8"/>
  <c r="BI22" i="8" s="1"/>
  <c r="AV22" i="8"/>
  <c r="BH22" i="8" s="1"/>
  <c r="AW28" i="8"/>
  <c r="AV28" i="8"/>
  <c r="AX28" i="8"/>
  <c r="AY33" i="8"/>
  <c r="AY57" i="8"/>
  <c r="BL42" i="8"/>
  <c r="BL54" i="8"/>
  <c r="AX45" i="8"/>
  <c r="AW45" i="8"/>
  <c r="AV45" i="8"/>
  <c r="AX59" i="8"/>
  <c r="AW59" i="8"/>
  <c r="AV59" i="8"/>
  <c r="AY59" i="8"/>
  <c r="AS32" i="8"/>
  <c r="AU32" i="8" s="1"/>
  <c r="AS9" i="8"/>
  <c r="AU9" i="8" s="1"/>
  <c r="AX18" i="8"/>
  <c r="BJ18" i="8" s="1"/>
  <c r="AW18" i="8"/>
  <c r="BI18" i="8" s="1"/>
  <c r="AV18" i="8"/>
  <c r="BH18" i="8" s="1"/>
  <c r="AS13" i="8"/>
  <c r="AU13" i="8" s="1"/>
  <c r="AW37" i="8"/>
  <c r="BI37" i="8" s="1"/>
  <c r="AV37" i="8"/>
  <c r="BH37" i="8" s="1"/>
  <c r="AX37" i="8"/>
  <c r="BJ37" i="8" s="1"/>
  <c r="AX21" i="8"/>
  <c r="AW21" i="8"/>
  <c r="AV21" i="8"/>
  <c r="AS15" i="8"/>
  <c r="AU15" i="8" s="1"/>
  <c r="AX14" i="8"/>
  <c r="AW14" i="8"/>
  <c r="AV14" i="8"/>
  <c r="AY17" i="8"/>
  <c r="AY24" i="8"/>
  <c r="AY9" i="8"/>
  <c r="AY31" i="8"/>
  <c r="AY15" i="8"/>
  <c r="AX54" i="8"/>
  <c r="AV54" i="8"/>
  <c r="AW54" i="8"/>
  <c r="AX48" i="8"/>
  <c r="AW48" i="8"/>
  <c r="AV48" i="8"/>
  <c r="AS53" i="8"/>
  <c r="AU53" i="8" s="1"/>
  <c r="AX44" i="8"/>
  <c r="AV44" i="8"/>
  <c r="AW44" i="8"/>
  <c r="AW26" i="8"/>
  <c r="AV26" i="8"/>
  <c r="AX26" i="8"/>
  <c r="AW30" i="8"/>
  <c r="AX30" i="8"/>
  <c r="AX13" i="8"/>
  <c r="AW13" i="8"/>
  <c r="AV13" i="8"/>
  <c r="AS23" i="8"/>
  <c r="AU23" i="8" s="1"/>
  <c r="AY12" i="8"/>
  <c r="BK12" i="8" s="1"/>
  <c r="AW56" i="8"/>
  <c r="BI56" i="8" s="1"/>
  <c r="AV56" i="8"/>
  <c r="AX56" i="8"/>
  <c r="BJ56" i="8" s="1"/>
  <c r="AX47" i="8"/>
  <c r="AW47" i="8"/>
  <c r="AV47" i="8"/>
  <c r="AV49" i="8"/>
  <c r="AX49" i="8"/>
  <c r="AW49" i="8"/>
  <c r="AY32" i="8"/>
  <c r="AS34" i="8"/>
  <c r="AU34" i="8" s="1"/>
  <c r="AY30" i="8"/>
  <c r="AW11" i="8"/>
  <c r="AX11" i="8"/>
  <c r="AS31" i="8"/>
  <c r="AU31" i="8" s="1"/>
  <c r="AT25" i="6"/>
  <c r="AX25" i="6" s="1"/>
  <c r="AS25" i="6"/>
  <c r="AY25" i="6" s="1"/>
  <c r="AS37" i="5"/>
  <c r="AY37" i="5" s="1"/>
  <c r="AT37" i="5"/>
  <c r="AS63" i="6"/>
  <c r="AY63" i="6" s="1"/>
  <c r="BB63" i="6" s="1"/>
  <c r="AS16" i="3"/>
  <c r="AU16" i="3" s="1"/>
  <c r="AS29" i="5"/>
  <c r="AY29" i="5" s="1"/>
  <c r="AV19" i="6"/>
  <c r="BB17" i="7"/>
  <c r="BD17" i="7" s="1"/>
  <c r="AS53" i="3"/>
  <c r="AU53" i="3" s="1"/>
  <c r="BH53" i="3" s="1"/>
  <c r="AX60" i="3"/>
  <c r="AS60" i="3"/>
  <c r="AU60" i="3" s="1"/>
  <c r="BI60" i="3" s="1"/>
  <c r="AS40" i="6"/>
  <c r="AY40" i="6" s="1"/>
  <c r="AV46" i="5"/>
  <c r="AS48" i="3"/>
  <c r="AU48" i="3" s="1"/>
  <c r="AS8" i="7"/>
  <c r="AY8" i="7" s="1"/>
  <c r="AT19" i="6"/>
  <c r="AS34" i="3"/>
  <c r="AU34" i="3" s="1"/>
  <c r="AY60" i="3"/>
  <c r="AT39" i="7"/>
  <c r="AX39" i="7" s="1"/>
  <c r="AT38" i="7"/>
  <c r="AX38" i="7" s="1"/>
  <c r="AT30" i="5"/>
  <c r="AX30" i="5" s="1"/>
  <c r="AT12" i="7"/>
  <c r="AX12" i="7" s="1"/>
  <c r="AQ50" i="6"/>
  <c r="AT50" i="6" s="1"/>
  <c r="AX50" i="6" s="1"/>
  <c r="AV40" i="5"/>
  <c r="AS20" i="7"/>
  <c r="AY20" i="7" s="1"/>
  <c r="AV51" i="3"/>
  <c r="AS61" i="3"/>
  <c r="AU61" i="3" s="1"/>
  <c r="BL61" i="3" s="1"/>
  <c r="AT47" i="5"/>
  <c r="AT58" i="6"/>
  <c r="AX58" i="6" s="1"/>
  <c r="AY46" i="3"/>
  <c r="BK46" i="3" s="1"/>
  <c r="AV17" i="5"/>
  <c r="AV45" i="3"/>
  <c r="AX51" i="3"/>
  <c r="AT36" i="5"/>
  <c r="BB62" i="6"/>
  <c r="BD62" i="6" s="1"/>
  <c r="BQ62" i="6" s="1"/>
  <c r="AT62" i="7"/>
  <c r="AX62" i="7" s="1"/>
  <c r="AT40" i="7"/>
  <c r="AX40" i="7" s="1"/>
  <c r="BK13" i="3"/>
  <c r="AC13" i="3"/>
  <c r="BH13" i="3"/>
  <c r="AS31" i="3"/>
  <c r="AU31" i="3" s="1"/>
  <c r="BB45" i="7"/>
  <c r="BC45" i="7" s="1"/>
  <c r="AT63" i="6"/>
  <c r="AX63" i="6" s="1"/>
  <c r="AS57" i="7"/>
  <c r="AY57" i="7" s="1"/>
  <c r="AQ50" i="7"/>
  <c r="AS50" i="7" s="1"/>
  <c r="AY50" i="7" s="1"/>
  <c r="AS15" i="6"/>
  <c r="AY15" i="6" s="1"/>
  <c r="AV8" i="6"/>
  <c r="BG31" i="6"/>
  <c r="BU31" i="6" s="1"/>
  <c r="BW31" i="6" s="1"/>
  <c r="AS17" i="7"/>
  <c r="AY17" i="7" s="1"/>
  <c r="AT17" i="5"/>
  <c r="AX17" i="5" s="1"/>
  <c r="BH54" i="3"/>
  <c r="AX48" i="3"/>
  <c r="AS60" i="5"/>
  <c r="AY60" i="5" s="1"/>
  <c r="AS63" i="5"/>
  <c r="AY63" i="5" s="1"/>
  <c r="AS52" i="6"/>
  <c r="AY52" i="6" s="1"/>
  <c r="AS44" i="7"/>
  <c r="AY44" i="7" s="1"/>
  <c r="AS22" i="7"/>
  <c r="AY22" i="7" s="1"/>
  <c r="AS32" i="3"/>
  <c r="AU32" i="3" s="1"/>
  <c r="BL32" i="3" s="1"/>
  <c r="AV20" i="5"/>
  <c r="AS30" i="5"/>
  <c r="AY30" i="5" s="1"/>
  <c r="AW21" i="3"/>
  <c r="AY54" i="3"/>
  <c r="BB41" i="5"/>
  <c r="BF41" i="5" s="1"/>
  <c r="BR41" i="5" s="1"/>
  <c r="AT56" i="5"/>
  <c r="AX56" i="5" s="1"/>
  <c r="AS46" i="7"/>
  <c r="AY46" i="7" s="1"/>
  <c r="AV38" i="6"/>
  <c r="AS61" i="6"/>
  <c r="AY61" i="6" s="1"/>
  <c r="BC59" i="6"/>
  <c r="BP59" i="6" s="1"/>
  <c r="AS54" i="5"/>
  <c r="AY54" i="5" s="1"/>
  <c r="BB54" i="5" s="1"/>
  <c r="BC54" i="5" s="1"/>
  <c r="BO54" i="5" s="1"/>
  <c r="BB62" i="5"/>
  <c r="BC62" i="5" s="1"/>
  <c r="BO62" i="5" s="1"/>
  <c r="AS59" i="7"/>
  <c r="AY59" i="7" s="1"/>
  <c r="BF52" i="6"/>
  <c r="BS52" i="6" s="1"/>
  <c r="BJ10" i="3"/>
  <c r="AQ12" i="3"/>
  <c r="BL13" i="3"/>
  <c r="BL35" i="3"/>
  <c r="AT17" i="7"/>
  <c r="AX17" i="7" s="1"/>
  <c r="AS17" i="5"/>
  <c r="AY17" i="5" s="1"/>
  <c r="AT23" i="6"/>
  <c r="AS48" i="5"/>
  <c r="AY48" i="5" s="1"/>
  <c r="AT45" i="6"/>
  <c r="AX45" i="6" s="1"/>
  <c r="BG55" i="6"/>
  <c r="BT55" i="6" s="1"/>
  <c r="AT44" i="6"/>
  <c r="AX44" i="6" s="1"/>
  <c r="AV27" i="6"/>
  <c r="BD52" i="6"/>
  <c r="BQ52" i="6" s="1"/>
  <c r="BG48" i="6"/>
  <c r="BT48" i="6" s="1"/>
  <c r="BF48" i="6"/>
  <c r="BS48" i="6" s="1"/>
  <c r="AX41" i="3"/>
  <c r="AS63" i="3"/>
  <c r="AU63" i="3" s="1"/>
  <c r="AS52" i="5"/>
  <c r="AY52" i="5" s="1"/>
  <c r="BL40" i="3"/>
  <c r="AS47" i="6"/>
  <c r="AY47" i="6" s="1"/>
  <c r="AS39" i="6"/>
  <c r="AY39" i="6" s="1"/>
  <c r="AS48" i="7"/>
  <c r="AY48" i="7" s="1"/>
  <c r="AS8" i="6"/>
  <c r="AY8" i="6" s="1"/>
  <c r="AZ3" i="6" s="1"/>
  <c r="AT34" i="6"/>
  <c r="AX34" i="6" s="1"/>
  <c r="AV43" i="6"/>
  <c r="AT31" i="6"/>
  <c r="AX31" i="6" s="1"/>
  <c r="AV41" i="6"/>
  <c r="AT14" i="7"/>
  <c r="AX14" i="7" s="1"/>
  <c r="AS56" i="3"/>
  <c r="AU56" i="3" s="1"/>
  <c r="BI56" i="3" s="1"/>
  <c r="AT20" i="5"/>
  <c r="BB31" i="5"/>
  <c r="BC31" i="5" s="1"/>
  <c r="BO31" i="5" s="1"/>
  <c r="AS28" i="6"/>
  <c r="AY28" i="6" s="1"/>
  <c r="AT15" i="6"/>
  <c r="BB55" i="7"/>
  <c r="BG55" i="7" s="1"/>
  <c r="BL55" i="7" s="1"/>
  <c r="AT62" i="5"/>
  <c r="AX62" i="5" s="1"/>
  <c r="AS62" i="5"/>
  <c r="AY62" i="5" s="1"/>
  <c r="AS38" i="7"/>
  <c r="AY38" i="7" s="1"/>
  <c r="AS27" i="7"/>
  <c r="AY27" i="7" s="1"/>
  <c r="AT33" i="6"/>
  <c r="AX33" i="6" s="1"/>
  <c r="AS39" i="3"/>
  <c r="AU39" i="3" s="1"/>
  <c r="BI39" i="3" s="1"/>
  <c r="AY45" i="3"/>
  <c r="BD48" i="6"/>
  <c r="BQ48" i="6" s="1"/>
  <c r="AS44" i="6"/>
  <c r="AY44" i="6" s="1"/>
  <c r="BF55" i="6"/>
  <c r="BS55" i="6" s="1"/>
  <c r="BC55" i="6"/>
  <c r="BP55" i="6" s="1"/>
  <c r="AT61" i="6"/>
  <c r="AS54" i="7"/>
  <c r="AY54" i="7" s="1"/>
  <c r="AS38" i="6"/>
  <c r="AY38" i="6" s="1"/>
  <c r="AV32" i="6"/>
  <c r="BB27" i="6"/>
  <c r="BG27" i="6" s="1"/>
  <c r="BT27" i="6" s="1"/>
  <c r="AV41" i="3"/>
  <c r="AX45" i="3"/>
  <c r="BB48" i="5"/>
  <c r="BC48" i="5" s="1"/>
  <c r="BO48" i="5" s="1"/>
  <c r="AV44" i="6"/>
  <c r="AS28" i="7"/>
  <c r="AY28" i="7" s="1"/>
  <c r="BM8" i="3"/>
  <c r="AT11" i="6"/>
  <c r="AX11" i="6" s="1"/>
  <c r="AS20" i="3"/>
  <c r="AU20" i="3" s="1"/>
  <c r="AS19" i="5"/>
  <c r="AY19" i="5" s="1"/>
  <c r="AS32" i="7"/>
  <c r="AY32" i="7" s="1"/>
  <c r="AX21" i="3"/>
  <c r="AT13" i="6"/>
  <c r="AX13" i="6" s="1"/>
  <c r="AS10" i="6"/>
  <c r="AX19" i="3"/>
  <c r="AT23" i="5"/>
  <c r="AV20" i="7"/>
  <c r="AT23" i="7"/>
  <c r="AX23" i="7" s="1"/>
  <c r="AS33" i="6"/>
  <c r="AY33" i="6" s="1"/>
  <c r="AT15" i="7"/>
  <c r="AX15" i="7" s="1"/>
  <c r="AS59" i="5"/>
  <c r="AY59" i="5" s="1"/>
  <c r="AT60" i="5"/>
  <c r="AS43" i="6"/>
  <c r="AY43" i="6" s="1"/>
  <c r="AS51" i="6"/>
  <c r="AY51" i="6" s="1"/>
  <c r="BE55" i="6"/>
  <c r="BR55" i="6" s="1"/>
  <c r="BB57" i="6"/>
  <c r="AT47" i="7"/>
  <c r="AX47" i="7" s="1"/>
  <c r="AS47" i="7"/>
  <c r="AY47" i="7" s="1"/>
  <c r="AS58" i="7"/>
  <c r="AY58" i="7" s="1"/>
  <c r="BB62" i="7"/>
  <c r="BD62" i="7" s="1"/>
  <c r="AS63" i="7"/>
  <c r="AY63" i="7" s="1"/>
  <c r="AV38" i="5"/>
  <c r="AV28" i="5"/>
  <c r="AY32" i="3"/>
  <c r="AT21" i="6"/>
  <c r="AT30" i="6"/>
  <c r="AX30" i="6" s="1"/>
  <c r="BB20" i="6"/>
  <c r="BD20" i="6" s="1"/>
  <c r="BQ20" i="6" s="1"/>
  <c r="AS32" i="6"/>
  <c r="AY32" i="6" s="1"/>
  <c r="AV22" i="7"/>
  <c r="AT31" i="7"/>
  <c r="AX31" i="7" s="1"/>
  <c r="AT33" i="7"/>
  <c r="AY28" i="3"/>
  <c r="BL36" i="3"/>
  <c r="AW45" i="3"/>
  <c r="BB45" i="6"/>
  <c r="BE45" i="6" s="1"/>
  <c r="BR45" i="6" s="1"/>
  <c r="BE52" i="6"/>
  <c r="BR52" i="6" s="1"/>
  <c r="AS37" i="7"/>
  <c r="AY37" i="7" s="1"/>
  <c r="AT59" i="7"/>
  <c r="AW49" i="3"/>
  <c r="AX49" i="3"/>
  <c r="AY49" i="3"/>
  <c r="AX47" i="3"/>
  <c r="AY47" i="3"/>
  <c r="AS52" i="3"/>
  <c r="AU52" i="3" s="1"/>
  <c r="AS41" i="5"/>
  <c r="AY41" i="5" s="1"/>
  <c r="AT56" i="6"/>
  <c r="BD59" i="6"/>
  <c r="BQ59" i="6" s="1"/>
  <c r="AS39" i="7"/>
  <c r="AY39" i="7" s="1"/>
  <c r="AV59" i="7"/>
  <c r="BD55" i="6"/>
  <c r="BQ55" i="6" s="1"/>
  <c r="AS40" i="7"/>
  <c r="AY40" i="7" s="1"/>
  <c r="AS15" i="7"/>
  <c r="AY15" i="7" s="1"/>
  <c r="BB17" i="6"/>
  <c r="BD17" i="6" s="1"/>
  <c r="BQ17" i="6" s="1"/>
  <c r="BJ40" i="3"/>
  <c r="AS36" i="5"/>
  <c r="AY36" i="5" s="1"/>
  <c r="BB41" i="6"/>
  <c r="BD41" i="6" s="1"/>
  <c r="BQ41" i="6" s="1"/>
  <c r="BC48" i="6"/>
  <c r="BP48" i="6" s="1"/>
  <c r="AT9" i="6"/>
  <c r="AS13" i="6"/>
  <c r="AY13" i="6" s="1"/>
  <c r="AV18" i="3"/>
  <c r="BN17" i="3"/>
  <c r="AT17" i="6"/>
  <c r="AX17" i="6" s="1"/>
  <c r="AS24" i="6"/>
  <c r="AY24" i="6" s="1"/>
  <c r="AV23" i="6"/>
  <c r="AT19" i="7"/>
  <c r="AX19" i="7" s="1"/>
  <c r="AT29" i="5"/>
  <c r="AS38" i="3"/>
  <c r="AU38" i="3" s="1"/>
  <c r="AS41" i="3"/>
  <c r="AU41" i="3" s="1"/>
  <c r="BN45" i="3"/>
  <c r="AY52" i="3"/>
  <c r="AS62" i="3"/>
  <c r="AU62" i="3" s="1"/>
  <c r="AS40" i="5"/>
  <c r="AY40" i="5" s="1"/>
  <c r="AS58" i="5"/>
  <c r="AY58" i="5" s="1"/>
  <c r="AV59" i="5"/>
  <c r="AT61" i="5"/>
  <c r="AS56" i="5"/>
  <c r="AY56" i="5" s="1"/>
  <c r="BE48" i="6"/>
  <c r="BR48" i="6" s="1"/>
  <c r="AT57" i="7"/>
  <c r="AX57" i="7" s="1"/>
  <c r="BB38" i="6"/>
  <c r="BE38" i="6" s="1"/>
  <c r="BR38" i="6" s="1"/>
  <c r="BC52" i="6"/>
  <c r="BP52" i="6" s="1"/>
  <c r="BG38" i="7"/>
  <c r="BL38" i="7" s="1"/>
  <c r="AS60" i="7"/>
  <c r="AY60" i="7" s="1"/>
  <c r="AT60" i="7"/>
  <c r="AV60" i="7"/>
  <c r="BB41" i="7"/>
  <c r="AS62" i="7"/>
  <c r="AY62" i="7" s="1"/>
  <c r="AT58" i="7"/>
  <c r="AX58" i="7" s="1"/>
  <c r="AS49" i="7"/>
  <c r="AY49" i="7" s="1"/>
  <c r="BC38" i="7"/>
  <c r="BD38" i="7"/>
  <c r="BE38" i="7"/>
  <c r="BF38" i="7"/>
  <c r="BK38" i="7" s="1"/>
  <c r="AS56" i="7"/>
  <c r="AY56" i="7" s="1"/>
  <c r="AT56" i="7"/>
  <c r="AV56" i="7"/>
  <c r="BC59" i="7"/>
  <c r="BD59" i="7"/>
  <c r="BE59" i="7"/>
  <c r="BF59" i="7"/>
  <c r="BK59" i="7" s="1"/>
  <c r="AV43" i="7"/>
  <c r="BE52" i="7"/>
  <c r="BF52" i="7"/>
  <c r="BK52" i="7" s="1"/>
  <c r="BG52" i="7"/>
  <c r="BL52" i="7" s="1"/>
  <c r="BD52" i="7"/>
  <c r="BC52" i="7"/>
  <c r="BB36" i="7"/>
  <c r="AT37" i="7"/>
  <c r="AX37" i="7" s="1"/>
  <c r="AS51" i="7"/>
  <c r="AY51" i="7" s="1"/>
  <c r="AT51" i="7"/>
  <c r="AX51" i="7" s="1"/>
  <c r="AS45" i="7"/>
  <c r="AY45" i="7" s="1"/>
  <c r="AV45" i="7"/>
  <c r="AT45" i="7"/>
  <c r="AX45" i="7" s="1"/>
  <c r="AT54" i="7"/>
  <c r="BC48" i="7"/>
  <c r="BD48" i="7"/>
  <c r="BF48" i="7"/>
  <c r="BK48" i="7" s="1"/>
  <c r="BE48" i="7"/>
  <c r="BG48" i="7"/>
  <c r="BL48" i="7" s="1"/>
  <c r="AS41" i="7"/>
  <c r="AY41" i="7" s="1"/>
  <c r="AT41" i="7"/>
  <c r="AV41" i="7"/>
  <c r="BG59" i="7"/>
  <c r="BL59" i="7" s="1"/>
  <c r="AT60" i="6"/>
  <c r="AS58" i="6"/>
  <c r="AY58" i="6" s="1"/>
  <c r="AT62" i="6"/>
  <c r="AX62" i="6" s="1"/>
  <c r="AS54" i="6"/>
  <c r="AY54" i="6" s="1"/>
  <c r="AT54" i="6"/>
  <c r="AV54" i="6"/>
  <c r="AT51" i="6"/>
  <c r="AX51" i="6" s="1"/>
  <c r="AS36" i="6"/>
  <c r="AY36" i="6" s="1"/>
  <c r="BB36" i="6" s="1"/>
  <c r="BT52" i="6"/>
  <c r="BU52" i="6"/>
  <c r="BW52" i="6" s="1"/>
  <c r="AS53" i="6"/>
  <c r="AY53" i="6" s="1"/>
  <c r="AT41" i="6"/>
  <c r="AT47" i="6"/>
  <c r="AX47" i="6" s="1"/>
  <c r="AS49" i="6"/>
  <c r="AY49" i="6" s="1"/>
  <c r="AT49" i="6"/>
  <c r="AX49" i="6" s="1"/>
  <c r="AV49" i="6"/>
  <c r="AS37" i="6"/>
  <c r="AY37" i="6" s="1"/>
  <c r="AT37" i="6"/>
  <c r="AX37" i="6" s="1"/>
  <c r="AV37" i="6"/>
  <c r="BN59" i="3"/>
  <c r="BN55" i="3"/>
  <c r="BN52" i="3"/>
  <c r="BK54" i="3"/>
  <c r="BN38" i="3"/>
  <c r="BG59" i="5"/>
  <c r="AT59" i="5"/>
  <c r="BF55" i="5"/>
  <c r="BR55" i="5" s="1"/>
  <c r="AT57" i="5"/>
  <c r="AX57" i="5" s="1"/>
  <c r="BF59" i="5"/>
  <c r="BR59" i="5" s="1"/>
  <c r="BC59" i="5"/>
  <c r="BO59" i="5" s="1"/>
  <c r="BD59" i="5"/>
  <c r="BP59" i="5" s="1"/>
  <c r="AT58" i="5"/>
  <c r="AX58" i="5" s="1"/>
  <c r="AT39" i="5"/>
  <c r="AV39" i="5"/>
  <c r="AS39" i="5"/>
  <c r="AY39" i="5" s="1"/>
  <c r="AT43" i="5"/>
  <c r="AV43" i="5"/>
  <c r="AS43" i="5"/>
  <c r="AY43" i="5" s="1"/>
  <c r="BG38" i="5"/>
  <c r="AS49" i="5"/>
  <c r="AY49" i="5" s="1"/>
  <c r="AT49" i="5"/>
  <c r="AV49" i="5"/>
  <c r="BD45" i="5"/>
  <c r="BP45" i="5" s="1"/>
  <c r="BE45" i="5"/>
  <c r="BQ45" i="5" s="1"/>
  <c r="BF45" i="5"/>
  <c r="BR45" i="5" s="1"/>
  <c r="AS46" i="5"/>
  <c r="AY46" i="5" s="1"/>
  <c r="AT44" i="5"/>
  <c r="BS45" i="5"/>
  <c r="BT45" i="5"/>
  <c r="AT51" i="5"/>
  <c r="AS51" i="5"/>
  <c r="AY51" i="5" s="1"/>
  <c r="AV51" i="5"/>
  <c r="AT48" i="5"/>
  <c r="AV50" i="5"/>
  <c r="AT41" i="5"/>
  <c r="AX41" i="5" s="1"/>
  <c r="AT40" i="5"/>
  <c r="AX40" i="5" s="1"/>
  <c r="BC38" i="5"/>
  <c r="BO38" i="5" s="1"/>
  <c r="BD38" i="5"/>
  <c r="BP38" i="5" s="1"/>
  <c r="BF38" i="5"/>
  <c r="BR38" i="5" s="1"/>
  <c r="BE38" i="5"/>
  <c r="BQ38" i="5" s="1"/>
  <c r="AS42" i="5"/>
  <c r="AY42" i="5" s="1"/>
  <c r="AT42" i="5"/>
  <c r="AX42" i="5" s="1"/>
  <c r="AV42" i="5"/>
  <c r="BL63" i="3"/>
  <c r="BN62" i="3"/>
  <c r="AV61" i="3"/>
  <c r="BH61" i="3" s="1"/>
  <c r="AW61" i="3"/>
  <c r="AX61" i="3"/>
  <c r="AV63" i="3"/>
  <c r="AW63" i="3"/>
  <c r="BI63" i="3" s="1"/>
  <c r="AX63" i="3"/>
  <c r="BJ63" i="3" s="1"/>
  <c r="AV58" i="3"/>
  <c r="BH58" i="3" s="1"/>
  <c r="AW58" i="3"/>
  <c r="BI58" i="3" s="1"/>
  <c r="AX58" i="3"/>
  <c r="BJ58" i="3" s="1"/>
  <c r="AW57" i="3"/>
  <c r="BI57" i="3" s="1"/>
  <c r="AX57" i="3"/>
  <c r="BJ57" i="3" s="1"/>
  <c r="AV57" i="3"/>
  <c r="BH57" i="3" s="1"/>
  <c r="BL57" i="3"/>
  <c r="BL56" i="3"/>
  <c r="BJ56" i="3"/>
  <c r="BH56" i="3"/>
  <c r="BK56" i="3"/>
  <c r="BJ39" i="3"/>
  <c r="BH39" i="3"/>
  <c r="BI53" i="3"/>
  <c r="BJ53" i="3"/>
  <c r="BI51" i="3"/>
  <c r="BJ51" i="3"/>
  <c r="BL51" i="3"/>
  <c r="BH51" i="3"/>
  <c r="BH46" i="3"/>
  <c r="BI46" i="3"/>
  <c r="BL46" i="3"/>
  <c r="AS45" i="3"/>
  <c r="AU45" i="3" s="1"/>
  <c r="AS43" i="3"/>
  <c r="AU43" i="3" s="1"/>
  <c r="AS47" i="3"/>
  <c r="AU47" i="3" s="1"/>
  <c r="AW40" i="3"/>
  <c r="BI40" i="3" s="1"/>
  <c r="AW48" i="3"/>
  <c r="BL44" i="3"/>
  <c r="AY51" i="3"/>
  <c r="BK51" i="3" s="1"/>
  <c r="AW36" i="3"/>
  <c r="BI36" i="3" s="1"/>
  <c r="AX36" i="3"/>
  <c r="BJ36" i="3" s="1"/>
  <c r="AV36" i="3"/>
  <c r="BH36" i="3" s="1"/>
  <c r="AV37" i="3"/>
  <c r="BH37" i="3" s="1"/>
  <c r="AW37" i="3"/>
  <c r="BI37" i="3" s="1"/>
  <c r="AX37" i="3"/>
  <c r="BL37" i="3"/>
  <c r="AX44" i="3"/>
  <c r="BJ44" i="3" s="1"/>
  <c r="AW44" i="3"/>
  <c r="BI44" i="3" s="1"/>
  <c r="AV44" i="3"/>
  <c r="BH44" i="3" s="1"/>
  <c r="AS49" i="3"/>
  <c r="AU49" i="3" s="1"/>
  <c r="AX55" i="3"/>
  <c r="AV55" i="3"/>
  <c r="AW55" i="3"/>
  <c r="AV40" i="3"/>
  <c r="BH40" i="3" s="1"/>
  <c r="AV48" i="3"/>
  <c r="BN41" i="3"/>
  <c r="AV43" i="3"/>
  <c r="AW43" i="3"/>
  <c r="AX43" i="3"/>
  <c r="AS42" i="3"/>
  <c r="AU42" i="3" s="1"/>
  <c r="AY41" i="3"/>
  <c r="AS55" i="3"/>
  <c r="AU55" i="3" s="1"/>
  <c r="AY53" i="3"/>
  <c r="BK53" i="3" s="1"/>
  <c r="BM12" i="3"/>
  <c r="V9" i="5"/>
  <c r="U9" i="5"/>
  <c r="AU12" i="5"/>
  <c r="AC12" i="5"/>
  <c r="V13" i="5"/>
  <c r="U13" i="5"/>
  <c r="AV18" i="7"/>
  <c r="AS34" i="6"/>
  <c r="AY34" i="6" s="1"/>
  <c r="AS21" i="7"/>
  <c r="AY21" i="7" s="1"/>
  <c r="AR10" i="3"/>
  <c r="AQ10" i="3"/>
  <c r="BI10" i="3"/>
  <c r="V13" i="3"/>
  <c r="U13" i="3"/>
  <c r="BM11" i="3"/>
  <c r="AC12" i="3"/>
  <c r="AR14" i="3"/>
  <c r="AQ14" i="3"/>
  <c r="BM10" i="3"/>
  <c r="U14" i="5"/>
  <c r="V14" i="5"/>
  <c r="AT35" i="5"/>
  <c r="AS17" i="6"/>
  <c r="AY17" i="6" s="1"/>
  <c r="BB34" i="6"/>
  <c r="BE34" i="6" s="1"/>
  <c r="BR34" i="6" s="1"/>
  <c r="AS18" i="7"/>
  <c r="AY18" i="7" s="1"/>
  <c r="AS30" i="7"/>
  <c r="AY30" i="7" s="1"/>
  <c r="AT25" i="7"/>
  <c r="V9" i="3"/>
  <c r="U9" i="3"/>
  <c r="AU8" i="5"/>
  <c r="AC8" i="5"/>
  <c r="BL10" i="3"/>
  <c r="U10" i="5"/>
  <c r="V10" i="5"/>
  <c r="AR13" i="3"/>
  <c r="AQ13" i="3"/>
  <c r="V12" i="3"/>
  <c r="U12" i="3"/>
  <c r="BK10" i="3"/>
  <c r="AX16" i="3"/>
  <c r="AT26" i="5"/>
  <c r="AT31" i="5"/>
  <c r="AX31" i="5" s="1"/>
  <c r="AT29" i="6"/>
  <c r="AS29" i="7"/>
  <c r="AY29" i="7" s="1"/>
  <c r="AV22" i="5"/>
  <c r="AV23" i="5"/>
  <c r="AS24" i="7"/>
  <c r="AY24" i="7" s="1"/>
  <c r="AW16" i="3"/>
  <c r="AA11" i="3"/>
  <c r="AQ11" i="3"/>
  <c r="V11" i="3"/>
  <c r="U11" i="3"/>
  <c r="AS30" i="6"/>
  <c r="AY30" i="6" s="1"/>
  <c r="V11" i="5"/>
  <c r="U11" i="5"/>
  <c r="AU14" i="5"/>
  <c r="AC14" i="5"/>
  <c r="AV16" i="3"/>
  <c r="AS26" i="6"/>
  <c r="AY26" i="6" s="1"/>
  <c r="AS26" i="7"/>
  <c r="AY26" i="7" s="1"/>
  <c r="AS34" i="7"/>
  <c r="AY34" i="7" s="1"/>
  <c r="AT35" i="6"/>
  <c r="AR9" i="3"/>
  <c r="AQ9" i="3"/>
  <c r="U8" i="3"/>
  <c r="V8" i="3"/>
  <c r="BB8" i="3"/>
  <c r="BM14" i="3"/>
  <c r="BH10" i="3"/>
  <c r="U12" i="5"/>
  <c r="V12" i="5"/>
  <c r="U14" i="3"/>
  <c r="V14" i="3"/>
  <c r="U10" i="3"/>
  <c r="V10" i="3"/>
  <c r="BA14" i="3"/>
  <c r="BM13" i="3"/>
  <c r="BJ13" i="3"/>
  <c r="U8" i="5"/>
  <c r="V8" i="5"/>
  <c r="AC14" i="3"/>
  <c r="BB13" i="6"/>
  <c r="BF13" i="6" s="1"/>
  <c r="BS13" i="6" s="1"/>
  <c r="AS18" i="5"/>
  <c r="AY18" i="5" s="1"/>
  <c r="AT22" i="5"/>
  <c r="AT21" i="7"/>
  <c r="AS16" i="7"/>
  <c r="AY16" i="7" s="1"/>
  <c r="AV21" i="7"/>
  <c r="BB34" i="7"/>
  <c r="BC34" i="7" s="1"/>
  <c r="AY17" i="3"/>
  <c r="AY21" i="3"/>
  <c r="BK21" i="3" s="1"/>
  <c r="AY15" i="3"/>
  <c r="AY24" i="3"/>
  <c r="AV14" i="6"/>
  <c r="BB24" i="7"/>
  <c r="BC24" i="7" s="1"/>
  <c r="AS9" i="6"/>
  <c r="AY9" i="6" s="1"/>
  <c r="AT8" i="6"/>
  <c r="BB24" i="6"/>
  <c r="BE24" i="6" s="1"/>
  <c r="BR24" i="6" s="1"/>
  <c r="BB25" i="6"/>
  <c r="AT11" i="7"/>
  <c r="AX11" i="7" s="1"/>
  <c r="AT10" i="6"/>
  <c r="BB20" i="7"/>
  <c r="BF20" i="7" s="1"/>
  <c r="BK20" i="7" s="1"/>
  <c r="AV12" i="6"/>
  <c r="BJ21" i="3"/>
  <c r="BB35" i="7"/>
  <c r="AT34" i="7"/>
  <c r="AX34" i="7" s="1"/>
  <c r="AT32" i="7"/>
  <c r="AX32" i="7" s="1"/>
  <c r="AT24" i="7"/>
  <c r="AX24" i="7" s="1"/>
  <c r="AT26" i="7"/>
  <c r="AX26" i="7" s="1"/>
  <c r="AT27" i="7"/>
  <c r="AX27" i="7" s="1"/>
  <c r="BE27" i="7"/>
  <c r="AT29" i="7"/>
  <c r="AX29" i="7" s="1"/>
  <c r="AT28" i="7"/>
  <c r="AX28" i="7" s="1"/>
  <c r="AT30" i="7"/>
  <c r="AX30" i="7" s="1"/>
  <c r="AS19" i="7"/>
  <c r="AY19" i="7" s="1"/>
  <c r="AT20" i="7"/>
  <c r="AX20" i="7" s="1"/>
  <c r="AT18" i="7"/>
  <c r="AX18" i="7" s="1"/>
  <c r="AT16" i="7"/>
  <c r="AT22" i="7"/>
  <c r="AX22" i="7" s="1"/>
  <c r="BD31" i="6"/>
  <c r="BQ31" i="6" s="1"/>
  <c r="BE31" i="6"/>
  <c r="BR31" i="6" s="1"/>
  <c r="BF31" i="6"/>
  <c r="BS31" i="6" s="1"/>
  <c r="BC31" i="6"/>
  <c r="BP31" i="6" s="1"/>
  <c r="AT32" i="6"/>
  <c r="AX32" i="6" s="1"/>
  <c r="AT27" i="6"/>
  <c r="AX27" i="6" s="1"/>
  <c r="AS16" i="6"/>
  <c r="AY16" i="6" s="1"/>
  <c r="AT16" i="6"/>
  <c r="AV16" i="6"/>
  <c r="AS20" i="6"/>
  <c r="AY20" i="6" s="1"/>
  <c r="AT20" i="6"/>
  <c r="AV20" i="6"/>
  <c r="AT24" i="6"/>
  <c r="AX24" i="6" s="1"/>
  <c r="AT28" i="6"/>
  <c r="AV22" i="6"/>
  <c r="AS18" i="6"/>
  <c r="AY18" i="6" s="1"/>
  <c r="AT18" i="6"/>
  <c r="AV18" i="6"/>
  <c r="AT26" i="6"/>
  <c r="AX26" i="6" s="1"/>
  <c r="AT13" i="7"/>
  <c r="AS13" i="7"/>
  <c r="AY13" i="7" s="1"/>
  <c r="AS9" i="7"/>
  <c r="AY9" i="7" s="1"/>
  <c r="AT9" i="7"/>
  <c r="AS11" i="7"/>
  <c r="AY11" i="7" s="1"/>
  <c r="AT8" i="7"/>
  <c r="AX8" i="7" s="1"/>
  <c r="AS12" i="6"/>
  <c r="AY12" i="6" s="1"/>
  <c r="AT12" i="6"/>
  <c r="AX12" i="6" s="1"/>
  <c r="AT14" i="6"/>
  <c r="AS14" i="6"/>
  <c r="AY14" i="6" s="1"/>
  <c r="AS34" i="5"/>
  <c r="AY34" i="5" s="1"/>
  <c r="BI21" i="3"/>
  <c r="BH21" i="3"/>
  <c r="AS28" i="3"/>
  <c r="AU28" i="3" s="1"/>
  <c r="BH28" i="3" s="1"/>
  <c r="AS24" i="3"/>
  <c r="AU24" i="3" s="1"/>
  <c r="AS22" i="5"/>
  <c r="AY22" i="5" s="1"/>
  <c r="AS23" i="5"/>
  <c r="AY23" i="5" s="1"/>
  <c r="BL26" i="3"/>
  <c r="AS25" i="3"/>
  <c r="AU25" i="3" s="1"/>
  <c r="AS33" i="3"/>
  <c r="AU33" i="3" s="1"/>
  <c r="BJ33" i="3" s="1"/>
  <c r="AS33" i="5"/>
  <c r="AY33" i="5" s="1"/>
  <c r="AS32" i="5"/>
  <c r="AY32" i="5" s="1"/>
  <c r="BJ35" i="3"/>
  <c r="AS29" i="3"/>
  <c r="AU29" i="3" s="1"/>
  <c r="BK29" i="3" s="1"/>
  <c r="AS20" i="5"/>
  <c r="AY20" i="5" s="1"/>
  <c r="AS18" i="3"/>
  <c r="AU18" i="3" s="1"/>
  <c r="BB20" i="5"/>
  <c r="BF20" i="5" s="1"/>
  <c r="BR20" i="5" s="1"/>
  <c r="AT19" i="5"/>
  <c r="AT18" i="5"/>
  <c r="AX18" i="5" s="1"/>
  <c r="AT15" i="5"/>
  <c r="AX15" i="5" s="1"/>
  <c r="AS19" i="3"/>
  <c r="AU19" i="3" s="1"/>
  <c r="BL19" i="3" s="1"/>
  <c r="AS15" i="3"/>
  <c r="AU15" i="3" s="1"/>
  <c r="BL15" i="3" s="1"/>
  <c r="AS31" i="5"/>
  <c r="AY31" i="5" s="1"/>
  <c r="AT28" i="5"/>
  <c r="AX28" i="5" s="1"/>
  <c r="AT34" i="5"/>
  <c r="AX34" i="5" s="1"/>
  <c r="BB34" i="5"/>
  <c r="AT32" i="5"/>
  <c r="AX32" i="5" s="1"/>
  <c r="AT33" i="5"/>
  <c r="AS21" i="5"/>
  <c r="AY21" i="5" s="1"/>
  <c r="AT21" i="5"/>
  <c r="AX21" i="5" s="1"/>
  <c r="AV21" i="5"/>
  <c r="AS16" i="5"/>
  <c r="AY16" i="5" s="1"/>
  <c r="AT16" i="5"/>
  <c r="AX16" i="5" s="1"/>
  <c r="BE17" i="5"/>
  <c r="BQ17" i="5" s="1"/>
  <c r="AS24" i="5"/>
  <c r="AY24" i="5" s="1"/>
  <c r="AT24" i="5"/>
  <c r="AX24" i="5" s="1"/>
  <c r="AS15" i="5"/>
  <c r="AY15" i="5" s="1"/>
  <c r="BL30" i="3"/>
  <c r="BK32" i="3"/>
  <c r="BI32" i="3"/>
  <c r="BH32" i="3"/>
  <c r="BJ32" i="3"/>
  <c r="BN24" i="3"/>
  <c r="AX27" i="3"/>
  <c r="AV23" i="3"/>
  <c r="AW26" i="3"/>
  <c r="BI26" i="3" s="1"/>
  <c r="AX26" i="3"/>
  <c r="BJ26" i="3" s="1"/>
  <c r="AV26" i="3"/>
  <c r="BH26" i="3" s="1"/>
  <c r="BI35" i="3"/>
  <c r="BH35" i="3"/>
  <c r="AW34" i="3"/>
  <c r="AX34" i="3"/>
  <c r="AV34" i="3"/>
  <c r="BI23" i="3"/>
  <c r="BH23" i="3"/>
  <c r="AY27" i="3"/>
  <c r="AY35" i="3"/>
  <c r="BK35" i="3" s="1"/>
  <c r="AW22" i="3"/>
  <c r="AX22" i="3"/>
  <c r="AV22" i="3"/>
  <c r="AW27" i="3"/>
  <c r="AY33" i="3"/>
  <c r="AX23" i="3"/>
  <c r="BJ23" i="3" s="1"/>
  <c r="AW30" i="3"/>
  <c r="BI30" i="3" s="1"/>
  <c r="AX30" i="3"/>
  <c r="BJ30" i="3" s="1"/>
  <c r="AV30" i="3"/>
  <c r="BH30" i="3" s="1"/>
  <c r="BI16" i="3"/>
  <c r="BJ16" i="3"/>
  <c r="BL16" i="3"/>
  <c r="AY19" i="3"/>
  <c r="AV20" i="3"/>
  <c r="AW20" i="3"/>
  <c r="AX20" i="3"/>
  <c r="BF13" i="7"/>
  <c r="BK13" i="7" s="1"/>
  <c r="AV10" i="6"/>
  <c r="AV9" i="6"/>
  <c r="AY11" i="6"/>
  <c r="AY10" i="6"/>
  <c r="AB13" i="5"/>
  <c r="BA13" i="5"/>
  <c r="AU9" i="5"/>
  <c r="BA9" i="5"/>
  <c r="BA12" i="5"/>
  <c r="AR14" i="5"/>
  <c r="BA14" i="5"/>
  <c r="BA8" i="5"/>
  <c r="BA10" i="5"/>
  <c r="AU11" i="5"/>
  <c r="BA11" i="5"/>
  <c r="BB10" i="6"/>
  <c r="BG10" i="6" s="1"/>
  <c r="BT10" i="6" s="1"/>
  <c r="AZ3" i="7"/>
  <c r="BC13" i="7"/>
  <c r="BG13" i="7"/>
  <c r="BL13" i="7" s="1"/>
  <c r="BE13" i="7"/>
  <c r="BD13" i="7"/>
  <c r="AV11" i="7"/>
  <c r="BF10" i="7"/>
  <c r="BE10" i="7"/>
  <c r="BD10" i="7"/>
  <c r="BC10" i="7"/>
  <c r="BB12" i="7"/>
  <c r="AV9" i="7"/>
  <c r="AV13" i="7"/>
  <c r="BG10" i="7"/>
  <c r="BL10" i="7" s="1"/>
  <c r="BG13" i="6"/>
  <c r="BT13" i="6" s="1"/>
  <c r="AU13" i="5"/>
  <c r="AU10" i="5"/>
  <c r="AB10" i="5"/>
  <c r="AA10" i="5"/>
  <c r="AQ14" i="5"/>
  <c r="AB14" i="5"/>
  <c r="AV14" i="5" s="1"/>
  <c r="G8" i="5"/>
  <c r="AJ8" i="5" s="1"/>
  <c r="AB8" i="5"/>
  <c r="G10" i="5"/>
  <c r="AR10" i="5"/>
  <c r="H11" i="5"/>
  <c r="H12" i="5"/>
  <c r="AB12" i="5"/>
  <c r="I10" i="5"/>
  <c r="I11" i="5"/>
  <c r="I12" i="5"/>
  <c r="AA14" i="5"/>
  <c r="G14" i="5"/>
  <c r="H8" i="5"/>
  <c r="AH8" i="5" s="1"/>
  <c r="G9" i="5"/>
  <c r="AA11" i="5"/>
  <c r="G13" i="5"/>
  <c r="AA8" i="5"/>
  <c r="H9" i="5"/>
  <c r="AR11" i="5"/>
  <c r="H13" i="5"/>
  <c r="AR8" i="5"/>
  <c r="AA12" i="5"/>
  <c r="AR12" i="5"/>
  <c r="H14" i="5"/>
  <c r="AA9" i="5"/>
  <c r="AA13" i="5"/>
  <c r="AB9" i="5"/>
  <c r="AR9" i="5"/>
  <c r="AR13" i="5"/>
  <c r="BA8" i="3"/>
  <c r="BB14" i="3"/>
  <c r="BD12" i="3"/>
  <c r="BA11" i="3"/>
  <c r="BC9" i="3"/>
  <c r="BC12" i="3"/>
  <c r="BE10" i="3"/>
  <c r="BB9" i="3"/>
  <c r="BC8" i="3"/>
  <c r="BE13" i="3"/>
  <c r="BB12" i="3"/>
  <c r="BD10" i="3"/>
  <c r="BA9" i="3"/>
  <c r="BD8" i="3"/>
  <c r="BD13" i="3"/>
  <c r="BA12" i="3"/>
  <c r="BC10" i="3"/>
  <c r="BC13" i="3"/>
  <c r="BE11" i="3"/>
  <c r="BB10" i="3"/>
  <c r="BE14" i="3"/>
  <c r="BB13" i="3"/>
  <c r="BD11" i="3"/>
  <c r="BD14" i="3"/>
  <c r="BC11" i="3"/>
  <c r="BE9" i="3"/>
  <c r="AB11" i="3"/>
  <c r="AB10" i="3"/>
  <c r="AB9" i="3"/>
  <c r="I8" i="3"/>
  <c r="AW8" i="3" s="1"/>
  <c r="AR12" i="3"/>
  <c r="G14" i="3"/>
  <c r="AZ14" i="3" s="1"/>
  <c r="I13" i="3"/>
  <c r="AB14" i="3"/>
  <c r="AA14" i="3"/>
  <c r="H13" i="3"/>
  <c r="AB13" i="3"/>
  <c r="AA13" i="3"/>
  <c r="AB12" i="3"/>
  <c r="I12" i="3"/>
  <c r="AA12" i="3"/>
  <c r="AB8" i="3"/>
  <c r="AQ8" i="3"/>
  <c r="H11" i="3"/>
  <c r="G8" i="3"/>
  <c r="AZ8" i="3" s="1"/>
  <c r="G11" i="3"/>
  <c r="AZ11" i="3" s="1"/>
  <c r="H10" i="3"/>
  <c r="G10" i="3"/>
  <c r="AZ10" i="3" s="1"/>
  <c r="AA10" i="3"/>
  <c r="AR11" i="3"/>
  <c r="H12" i="3"/>
  <c r="I9" i="3"/>
  <c r="AA9" i="3"/>
  <c r="I14" i="3"/>
  <c r="AW14" i="3" s="1"/>
  <c r="H9" i="3"/>
  <c r="AR8" i="3"/>
  <c r="AA8" i="3"/>
  <c r="BD24" i="5" l="1"/>
  <c r="BP24" i="5" s="1"/>
  <c r="BC24" i="5"/>
  <c r="BO24" i="5" s="1"/>
  <c r="BD17" i="5"/>
  <c r="BP17" i="5" s="1"/>
  <c r="BC27" i="5"/>
  <c r="BO27" i="5" s="1"/>
  <c r="BG27" i="5"/>
  <c r="BT27" i="5" s="1"/>
  <c r="BC45" i="5"/>
  <c r="BO45" i="5" s="1"/>
  <c r="BG17" i="9"/>
  <c r="BF17" i="9"/>
  <c r="BR17" i="9" s="1"/>
  <c r="BE17" i="9"/>
  <c r="BQ17" i="9" s="1"/>
  <c r="BF59" i="6"/>
  <c r="BS59" i="6" s="1"/>
  <c r="BG59" i="6"/>
  <c r="BU59" i="6" s="1"/>
  <c r="BW59" i="6" s="1"/>
  <c r="BC13" i="10"/>
  <c r="BP13" i="10" s="1"/>
  <c r="BC20" i="10"/>
  <c r="BP20" i="10" s="1"/>
  <c r="BE13" i="10"/>
  <c r="BR13" i="10" s="1"/>
  <c r="BG20" i="10"/>
  <c r="BD37" i="11"/>
  <c r="BD38" i="11"/>
  <c r="BG38" i="11"/>
  <c r="BL38" i="11" s="1"/>
  <c r="BO38" i="11" s="1"/>
  <c r="BC38" i="11"/>
  <c r="BC57" i="11"/>
  <c r="BE57" i="11"/>
  <c r="BG42" i="7"/>
  <c r="BL42" i="7" s="1"/>
  <c r="BD42" i="7"/>
  <c r="AS43" i="7"/>
  <c r="AY43" i="7" s="1"/>
  <c r="AT43" i="7"/>
  <c r="AX43" i="7" s="1"/>
  <c r="BG53" i="7"/>
  <c r="BL53" i="7" s="1"/>
  <c r="BE53" i="7"/>
  <c r="BD27" i="7"/>
  <c r="AX56" i="7"/>
  <c r="BB56" i="7" s="1"/>
  <c r="AX33" i="7"/>
  <c r="BB33" i="7" s="1"/>
  <c r="BC31" i="7"/>
  <c r="AX41" i="7"/>
  <c r="BE17" i="7"/>
  <c r="BF31" i="7"/>
  <c r="BK31" i="7" s="1"/>
  <c r="BG31" i="7"/>
  <c r="BL31" i="7" s="1"/>
  <c r="BO31" i="7" s="1"/>
  <c r="BC27" i="7"/>
  <c r="BE31" i="7"/>
  <c r="AX21" i="7"/>
  <c r="BB21" i="7" s="1"/>
  <c r="BG21" i="7" s="1"/>
  <c r="BL21" i="7" s="1"/>
  <c r="AX60" i="7"/>
  <c r="AX25" i="7"/>
  <c r="BB25" i="7" s="1"/>
  <c r="BC17" i="7"/>
  <c r="AX9" i="7"/>
  <c r="BF17" i="7"/>
  <c r="BK17" i="7" s="1"/>
  <c r="AX54" i="7"/>
  <c r="BB54" i="7" s="1"/>
  <c r="AX59" i="7"/>
  <c r="BB23" i="7"/>
  <c r="BG17" i="7"/>
  <c r="BL17" i="7" s="1"/>
  <c r="BO17" i="7" s="1"/>
  <c r="AX13" i="7"/>
  <c r="AX16" i="7"/>
  <c r="BF27" i="7"/>
  <c r="BK27" i="7" s="1"/>
  <c r="BO27" i="7" s="1"/>
  <c r="BB49" i="7"/>
  <c r="BG49" i="7" s="1"/>
  <c r="BL49" i="7" s="1"/>
  <c r="AT22" i="6"/>
  <c r="AX22" i="6" s="1"/>
  <c r="AS22" i="6"/>
  <c r="AY22" i="6" s="1"/>
  <c r="AX21" i="6"/>
  <c r="BB21" i="6" s="1"/>
  <c r="AX23" i="6"/>
  <c r="AX18" i="6"/>
  <c r="AX10" i="6"/>
  <c r="AX41" i="6"/>
  <c r="AX54" i="6"/>
  <c r="AX20" i="6"/>
  <c r="AX29" i="6"/>
  <c r="BB29" i="6" s="1"/>
  <c r="AX56" i="6"/>
  <c r="BB56" i="6" s="1"/>
  <c r="AX40" i="6"/>
  <c r="AX16" i="6"/>
  <c r="AX8" i="6"/>
  <c r="BB15" i="6"/>
  <c r="AX15" i="6"/>
  <c r="BE27" i="6"/>
  <c r="BR27" i="6" s="1"/>
  <c r="BC27" i="6"/>
  <c r="BP27" i="6" s="1"/>
  <c r="AX60" i="6"/>
  <c r="BB60" i="6" s="1"/>
  <c r="AX9" i="6"/>
  <c r="BB9" i="6" s="1"/>
  <c r="BC9" i="6" s="1"/>
  <c r="BP9" i="6" s="1"/>
  <c r="AX43" i="6"/>
  <c r="AX14" i="6"/>
  <c r="BF27" i="6"/>
  <c r="BS27" i="6" s="1"/>
  <c r="BB28" i="6"/>
  <c r="BD28" i="6" s="1"/>
  <c r="BQ28" i="6" s="1"/>
  <c r="AX28" i="6"/>
  <c r="AX35" i="6"/>
  <c r="BB35" i="6" s="1"/>
  <c r="BD27" i="6"/>
  <c r="BQ27" i="6" s="1"/>
  <c r="BV27" i="6" s="1"/>
  <c r="BT59" i="6"/>
  <c r="AX61" i="6"/>
  <c r="AX19" i="6"/>
  <c r="BD53" i="7"/>
  <c r="BC45" i="6"/>
  <c r="BP45" i="6" s="1"/>
  <c r="BG45" i="6"/>
  <c r="AX30" i="9"/>
  <c r="BF27" i="9"/>
  <c r="BR27" i="9" s="1"/>
  <c r="BC27" i="9"/>
  <c r="BO27" i="9" s="1"/>
  <c r="BD27" i="9"/>
  <c r="BP27" i="9" s="1"/>
  <c r="BG27" i="9"/>
  <c r="BE27" i="9"/>
  <c r="BQ27" i="9" s="1"/>
  <c r="BD61" i="9"/>
  <c r="BP61" i="9" s="1"/>
  <c r="BB29" i="9"/>
  <c r="BD29" i="9" s="1"/>
  <c r="BP29" i="9" s="1"/>
  <c r="AX29" i="9"/>
  <c r="BB56" i="9"/>
  <c r="BD56" i="9" s="1"/>
  <c r="BP56" i="9" s="1"/>
  <c r="AX56" i="9"/>
  <c r="AX44" i="9"/>
  <c r="BB44" i="9" s="1"/>
  <c r="BE61" i="9"/>
  <c r="BQ61" i="9" s="1"/>
  <c r="AX36" i="9"/>
  <c r="BB36" i="9" s="1"/>
  <c r="BF61" i="9"/>
  <c r="BR61" i="9" s="1"/>
  <c r="AX17" i="9"/>
  <c r="BB11" i="9"/>
  <c r="BE11" i="9" s="1"/>
  <c r="BQ11" i="9" s="1"/>
  <c r="AX11" i="9"/>
  <c r="AX25" i="9"/>
  <c r="BB25" i="9" s="1"/>
  <c r="AX19" i="9"/>
  <c r="BB19" i="9" s="1"/>
  <c r="BB16" i="9"/>
  <c r="BC16" i="9" s="1"/>
  <c r="BO16" i="9" s="1"/>
  <c r="AX22" i="9"/>
  <c r="AX47" i="9"/>
  <c r="BB47" i="9" s="1"/>
  <c r="AX42" i="9"/>
  <c r="AX51" i="9"/>
  <c r="BB51" i="9" s="1"/>
  <c r="BE47" i="10"/>
  <c r="BR47" i="10" s="1"/>
  <c r="BD47" i="10"/>
  <c r="BQ47" i="10" s="1"/>
  <c r="BF47" i="10"/>
  <c r="BS47" i="10" s="1"/>
  <c r="BD24" i="10"/>
  <c r="BQ24" i="10" s="1"/>
  <c r="AX34" i="10"/>
  <c r="BB39" i="10"/>
  <c r="BF39" i="10" s="1"/>
  <c r="BS39" i="10" s="1"/>
  <c r="AX39" i="10"/>
  <c r="BB21" i="10"/>
  <c r="BF21" i="10" s="1"/>
  <c r="BS21" i="10" s="1"/>
  <c r="AX21" i="10"/>
  <c r="AX49" i="10"/>
  <c r="BB49" i="10" s="1"/>
  <c r="AX55" i="10"/>
  <c r="AX54" i="10"/>
  <c r="BB54" i="10" s="1"/>
  <c r="BB63" i="10"/>
  <c r="BF63" i="10" s="1"/>
  <c r="BS63" i="10" s="1"/>
  <c r="AX63" i="10"/>
  <c r="BB22" i="10"/>
  <c r="BE22" i="10" s="1"/>
  <c r="BR22" i="10" s="1"/>
  <c r="AX22" i="10"/>
  <c r="AX32" i="10"/>
  <c r="AX57" i="10"/>
  <c r="BB57" i="10" s="1"/>
  <c r="AX44" i="10"/>
  <c r="BB44" i="10" s="1"/>
  <c r="AX35" i="10"/>
  <c r="BB35" i="10" s="1"/>
  <c r="AX30" i="10"/>
  <c r="AX19" i="10"/>
  <c r="BB19" i="10" s="1"/>
  <c r="AX40" i="10"/>
  <c r="BB40" i="10" s="1"/>
  <c r="BC24" i="10"/>
  <c r="BP24" i="10" s="1"/>
  <c r="BV24" i="10" s="1"/>
  <c r="BB18" i="10"/>
  <c r="BG18" i="10" s="1"/>
  <c r="BT18" i="10" s="1"/>
  <c r="AX15" i="10"/>
  <c r="BB15" i="10" s="1"/>
  <c r="BG24" i="10"/>
  <c r="BU24" i="10" s="1"/>
  <c r="BW24" i="10" s="1"/>
  <c r="AX63" i="11"/>
  <c r="BB63" i="11" s="1"/>
  <c r="AX56" i="11"/>
  <c r="BB56" i="11" s="1"/>
  <c r="AX13" i="11"/>
  <c r="AX58" i="11"/>
  <c r="AX22" i="11"/>
  <c r="BB22" i="11" s="1"/>
  <c r="AX38" i="11"/>
  <c r="AX14" i="11"/>
  <c r="BB14" i="11" s="1"/>
  <c r="AX39" i="11"/>
  <c r="BB39" i="11" s="1"/>
  <c r="AX28" i="11"/>
  <c r="BB28" i="11" s="1"/>
  <c r="BB35" i="11"/>
  <c r="BD35" i="11" s="1"/>
  <c r="AX35" i="11"/>
  <c r="AX52" i="11"/>
  <c r="AX32" i="11"/>
  <c r="BB32" i="11" s="1"/>
  <c r="BB42" i="11"/>
  <c r="BC42" i="11" s="1"/>
  <c r="AX42" i="11"/>
  <c r="AX46" i="11"/>
  <c r="BB46" i="11" s="1"/>
  <c r="AX11" i="11"/>
  <c r="BB11" i="11" s="1"/>
  <c r="AX47" i="11"/>
  <c r="AX23" i="11"/>
  <c r="BC37" i="11"/>
  <c r="AX9" i="11"/>
  <c r="BB9" i="11" s="1"/>
  <c r="AX25" i="11"/>
  <c r="BB25" i="11" s="1"/>
  <c r="BF37" i="11"/>
  <c r="BK37" i="11" s="1"/>
  <c r="BO37" i="11" s="1"/>
  <c r="BO13" i="11"/>
  <c r="BF12" i="11"/>
  <c r="BK12" i="11" s="1"/>
  <c r="BO12" i="11" s="1"/>
  <c r="BD12" i="11"/>
  <c r="BC17" i="10"/>
  <c r="BP17" i="10" s="1"/>
  <c r="BV17" i="10" s="1"/>
  <c r="BD17" i="10"/>
  <c r="BQ17" i="10" s="1"/>
  <c r="BG17" i="10"/>
  <c r="BT17" i="10" s="1"/>
  <c r="BG39" i="9"/>
  <c r="BT39" i="9" s="1"/>
  <c r="BF39" i="9"/>
  <c r="BR39" i="9" s="1"/>
  <c r="BC39" i="9"/>
  <c r="BO39" i="9" s="1"/>
  <c r="BE39" i="9"/>
  <c r="BQ39" i="9" s="1"/>
  <c r="BG17" i="5"/>
  <c r="BF17" i="5"/>
  <c r="BR17" i="5" s="1"/>
  <c r="AX19" i="5"/>
  <c r="AX48" i="5"/>
  <c r="AX29" i="5"/>
  <c r="BB29" i="5" s="1"/>
  <c r="AX51" i="5"/>
  <c r="BB36" i="5"/>
  <c r="BF36" i="5" s="1"/>
  <c r="BR36" i="5" s="1"/>
  <c r="AX36" i="5"/>
  <c r="AX37" i="5"/>
  <c r="BB37" i="5" s="1"/>
  <c r="AX25" i="5"/>
  <c r="BB25" i="5" s="1"/>
  <c r="BB35" i="5"/>
  <c r="BC35" i="5" s="1"/>
  <c r="BO35" i="5" s="1"/>
  <c r="AX35" i="5"/>
  <c r="BB60" i="5"/>
  <c r="BF60" i="5" s="1"/>
  <c r="BR60" i="5" s="1"/>
  <c r="AX60" i="5"/>
  <c r="AX47" i="5"/>
  <c r="BB47" i="5" s="1"/>
  <c r="AX33" i="5"/>
  <c r="AX49" i="5"/>
  <c r="BB49" i="5" s="1"/>
  <c r="AX39" i="5"/>
  <c r="BB39" i="5" s="1"/>
  <c r="AX59" i="5"/>
  <c r="AX46" i="5"/>
  <c r="BD31" i="5"/>
  <c r="BP31" i="5" s="1"/>
  <c r="AX22" i="5"/>
  <c r="AX26" i="5"/>
  <c r="BB26" i="5" s="1"/>
  <c r="AX44" i="5"/>
  <c r="BB44" i="5" s="1"/>
  <c r="AX63" i="5"/>
  <c r="AX43" i="5"/>
  <c r="AX20" i="5"/>
  <c r="AX61" i="5"/>
  <c r="BB61" i="5" s="1"/>
  <c r="AX23" i="5"/>
  <c r="BT52" i="5"/>
  <c r="BE52" i="5"/>
  <c r="BQ52" i="5" s="1"/>
  <c r="BF27" i="5"/>
  <c r="BR27" i="5" s="1"/>
  <c r="BE24" i="5"/>
  <c r="BQ24" i="5" s="1"/>
  <c r="BB40" i="5"/>
  <c r="BF40" i="5" s="1"/>
  <c r="BR40" i="5" s="1"/>
  <c r="BS55" i="5"/>
  <c r="BB53" i="5"/>
  <c r="BG53" i="5" s="1"/>
  <c r="BS53" i="5" s="1"/>
  <c r="AS50" i="5"/>
  <c r="AY50" i="5" s="1"/>
  <c r="BE55" i="5"/>
  <c r="BQ55" i="5" s="1"/>
  <c r="BE27" i="5"/>
  <c r="BQ27" i="5" s="1"/>
  <c r="BC41" i="5"/>
  <c r="BO41" i="5" s="1"/>
  <c r="BD55" i="5"/>
  <c r="BP55" i="5" s="1"/>
  <c r="AI8" i="5"/>
  <c r="BG41" i="5"/>
  <c r="BT41" i="5" s="1"/>
  <c r="BC55" i="5"/>
  <c r="BO55" i="5" s="1"/>
  <c r="BG24" i="5"/>
  <c r="BS24" i="5" s="1"/>
  <c r="BC52" i="5"/>
  <c r="BO52" i="5" s="1"/>
  <c r="BB28" i="5"/>
  <c r="BG28" i="5" s="1"/>
  <c r="AF8" i="5"/>
  <c r="BG31" i="5"/>
  <c r="BS31" i="5" s="1"/>
  <c r="BF31" i="5"/>
  <c r="BR31" i="5" s="1"/>
  <c r="AG8" i="5"/>
  <c r="BE31" i="5"/>
  <c r="BQ31" i="5" s="1"/>
  <c r="BO52" i="11"/>
  <c r="BS13" i="9"/>
  <c r="BO27" i="11"/>
  <c r="BB28" i="7"/>
  <c r="BE28" i="7" s="1"/>
  <c r="BE45" i="7"/>
  <c r="BC42" i="7"/>
  <c r="BF55" i="7"/>
  <c r="BK55" i="7" s="1"/>
  <c r="BO55" i="7" s="1"/>
  <c r="BE55" i="7"/>
  <c r="BG45" i="7"/>
  <c r="BL45" i="7" s="1"/>
  <c r="BD55" i="7"/>
  <c r="BF42" i="7"/>
  <c r="BK42" i="7" s="1"/>
  <c r="BO42" i="7" s="1"/>
  <c r="BB57" i="7"/>
  <c r="BG57" i="7" s="1"/>
  <c r="BL57" i="7" s="1"/>
  <c r="BE18" i="10"/>
  <c r="BR18" i="10" s="1"/>
  <c r="BB60" i="10"/>
  <c r="BD60" i="10" s="1"/>
  <c r="BQ60" i="10" s="1"/>
  <c r="BC47" i="10"/>
  <c r="BP47" i="10" s="1"/>
  <c r="BC38" i="10"/>
  <c r="BP38" i="10" s="1"/>
  <c r="BG47" i="10"/>
  <c r="BT47" i="10" s="1"/>
  <c r="BC26" i="10"/>
  <c r="BP26" i="10" s="1"/>
  <c r="BT24" i="10"/>
  <c r="BG62" i="6"/>
  <c r="BT62" i="6" s="1"/>
  <c r="BB42" i="6"/>
  <c r="BD42" i="6" s="1"/>
  <c r="BQ42" i="6" s="1"/>
  <c r="BB58" i="6"/>
  <c r="BE58" i="6" s="1"/>
  <c r="BR58" i="6" s="1"/>
  <c r="BF62" i="6"/>
  <c r="BS62" i="6" s="1"/>
  <c r="BF20" i="6"/>
  <c r="BS20" i="6" s="1"/>
  <c r="BC20" i="6"/>
  <c r="BP20" i="6" s="1"/>
  <c r="BE62" i="6"/>
  <c r="BR62" i="6" s="1"/>
  <c r="BG20" i="6"/>
  <c r="BU20" i="6" s="1"/>
  <c r="BW20" i="6" s="1"/>
  <c r="BC62" i="6"/>
  <c r="BP62" i="6" s="1"/>
  <c r="BC52" i="9"/>
  <c r="BO52" i="9" s="1"/>
  <c r="BB53" i="9"/>
  <c r="BE53" i="9" s="1"/>
  <c r="BQ53" i="9" s="1"/>
  <c r="BF52" i="9"/>
  <c r="BR52" i="9" s="1"/>
  <c r="BE52" i="9"/>
  <c r="BQ52" i="9" s="1"/>
  <c r="BD52" i="9"/>
  <c r="BP52" i="9" s="1"/>
  <c r="BB32" i="9"/>
  <c r="BF32" i="9" s="1"/>
  <c r="BR32" i="9" s="1"/>
  <c r="BB60" i="9"/>
  <c r="BD60" i="9" s="1"/>
  <c r="BP60" i="9" s="1"/>
  <c r="BD63" i="9"/>
  <c r="BP63" i="9" s="1"/>
  <c r="BF37" i="9"/>
  <c r="BR37" i="9" s="1"/>
  <c r="BC63" i="9"/>
  <c r="BO63" i="9" s="1"/>
  <c r="BB19" i="5"/>
  <c r="BC19" i="5" s="1"/>
  <c r="BO19" i="5" s="1"/>
  <c r="BD62" i="5"/>
  <c r="BP62" i="5" s="1"/>
  <c r="BD48" i="5"/>
  <c r="BP48" i="5" s="1"/>
  <c r="BE62" i="5"/>
  <c r="BQ62" i="5" s="1"/>
  <c r="BB57" i="5"/>
  <c r="BE57" i="5" s="1"/>
  <c r="BQ57" i="5" s="1"/>
  <c r="BG62" i="5"/>
  <c r="BT62" i="5" s="1"/>
  <c r="BI26" i="8"/>
  <c r="BK46" i="8"/>
  <c r="BH47" i="8"/>
  <c r="BK60" i="8"/>
  <c r="BJ37" i="3"/>
  <c r="BL53" i="3"/>
  <c r="BI61" i="3"/>
  <c r="BN54" i="3"/>
  <c r="BJ61" i="3"/>
  <c r="BB46" i="7"/>
  <c r="BF46" i="7" s="1"/>
  <c r="BK46" i="7" s="1"/>
  <c r="BF45" i="6"/>
  <c r="BS45" i="6" s="1"/>
  <c r="BB47" i="7"/>
  <c r="BF47" i="7" s="1"/>
  <c r="BK47" i="7" s="1"/>
  <c r="BD45" i="6"/>
  <c r="BQ45" i="6" s="1"/>
  <c r="BG31" i="11"/>
  <c r="BL31" i="11" s="1"/>
  <c r="BJ60" i="3"/>
  <c r="BB46" i="10"/>
  <c r="BC46" i="10" s="1"/>
  <c r="BP46" i="10" s="1"/>
  <c r="BD57" i="11"/>
  <c r="BB51" i="11"/>
  <c r="BF51" i="11" s="1"/>
  <c r="BK51" i="11" s="1"/>
  <c r="BB19" i="11"/>
  <c r="BG19" i="11" s="1"/>
  <c r="BL19" i="11" s="1"/>
  <c r="BJ43" i="8"/>
  <c r="BI61" i="8"/>
  <c r="BF57" i="11"/>
  <c r="BK57" i="11" s="1"/>
  <c r="BO57" i="11" s="1"/>
  <c r="BB23" i="5"/>
  <c r="BL39" i="3"/>
  <c r="BG48" i="5"/>
  <c r="BS48" i="5" s="1"/>
  <c r="BU55" i="6"/>
  <c r="BW55" i="6" s="1"/>
  <c r="BH60" i="8"/>
  <c r="BB56" i="10"/>
  <c r="BE56" i="10" s="1"/>
  <c r="BR56" i="10" s="1"/>
  <c r="BE46" i="10"/>
  <c r="BR46" i="10" s="1"/>
  <c r="BB32" i="7"/>
  <c r="BD32" i="7" s="1"/>
  <c r="BJ36" i="8"/>
  <c r="BD48" i="9"/>
  <c r="BP48" i="9" s="1"/>
  <c r="BG37" i="9"/>
  <c r="BT37" i="9" s="1"/>
  <c r="BF18" i="10"/>
  <c r="BS18" i="10" s="1"/>
  <c r="BD38" i="10"/>
  <c r="BQ38" i="10" s="1"/>
  <c r="BC12" i="11"/>
  <c r="BB44" i="11"/>
  <c r="BC44" i="11" s="1"/>
  <c r="BF62" i="5"/>
  <c r="BR62" i="5" s="1"/>
  <c r="BC55" i="7"/>
  <c r="BL40" i="8"/>
  <c r="BF48" i="9"/>
  <c r="BR48" i="9" s="1"/>
  <c r="BD46" i="9"/>
  <c r="BP46" i="9" s="1"/>
  <c r="BF29" i="9"/>
  <c r="BR29" i="9" s="1"/>
  <c r="BO20" i="11"/>
  <c r="BO24" i="11"/>
  <c r="BJ22" i="3"/>
  <c r="BB32" i="6"/>
  <c r="BE32" i="6" s="1"/>
  <c r="BR32" i="6" s="1"/>
  <c r="BB51" i="6"/>
  <c r="BD51" i="6" s="1"/>
  <c r="BQ51" i="6" s="1"/>
  <c r="BB19" i="6"/>
  <c r="BG19" i="6" s="1"/>
  <c r="BB23" i="9"/>
  <c r="BE23" i="9" s="1"/>
  <c r="BQ23" i="9" s="1"/>
  <c r="BB36" i="10"/>
  <c r="BG36" i="10" s="1"/>
  <c r="BI22" i="3"/>
  <c r="BE41" i="5"/>
  <c r="BQ41" i="5" s="1"/>
  <c r="BF48" i="5"/>
  <c r="BR48" i="5" s="1"/>
  <c r="BB61" i="6"/>
  <c r="BD61" i="6" s="1"/>
  <c r="BQ61" i="6" s="1"/>
  <c r="BB33" i="6"/>
  <c r="BG33" i="6" s="1"/>
  <c r="BT33" i="6" s="1"/>
  <c r="BD41" i="5"/>
  <c r="BP41" i="5" s="1"/>
  <c r="BE48" i="5"/>
  <c r="BQ48" i="5" s="1"/>
  <c r="BU48" i="6"/>
  <c r="BW48" i="6" s="1"/>
  <c r="BF62" i="7"/>
  <c r="BK62" i="7" s="1"/>
  <c r="BB30" i="5"/>
  <c r="BF30" i="5" s="1"/>
  <c r="BR30" i="5" s="1"/>
  <c r="BB63" i="7"/>
  <c r="BG63" i="7" s="1"/>
  <c r="BL63" i="7" s="1"/>
  <c r="BB14" i="7"/>
  <c r="BD14" i="7" s="1"/>
  <c r="BI47" i="8"/>
  <c r="BJ25" i="8"/>
  <c r="BI8" i="8"/>
  <c r="BB21" i="9"/>
  <c r="BD21" i="9" s="1"/>
  <c r="BP21" i="9" s="1"/>
  <c r="BB18" i="11"/>
  <c r="BE18" i="11" s="1"/>
  <c r="BB50" i="11"/>
  <c r="BC50" i="11" s="1"/>
  <c r="BJ47" i="8"/>
  <c r="BH16" i="8"/>
  <c r="BB53" i="10"/>
  <c r="BD53" i="10" s="1"/>
  <c r="BQ53" i="10" s="1"/>
  <c r="BF31" i="11"/>
  <c r="BK31" i="11" s="1"/>
  <c r="BF46" i="9"/>
  <c r="BR46" i="9" s="1"/>
  <c r="BH22" i="3"/>
  <c r="BI49" i="8"/>
  <c r="BI40" i="8"/>
  <c r="BB57" i="9"/>
  <c r="BG57" i="9" s="1"/>
  <c r="BC48" i="9"/>
  <c r="BO48" i="9" s="1"/>
  <c r="BC46" i="9"/>
  <c r="BO46" i="9" s="1"/>
  <c r="BE29" i="9"/>
  <c r="BQ29" i="9" s="1"/>
  <c r="BI43" i="8"/>
  <c r="BF36" i="11"/>
  <c r="BK36" i="11" s="1"/>
  <c r="BO36" i="11" s="1"/>
  <c r="BO17" i="11"/>
  <c r="BD31" i="11"/>
  <c r="BD36" i="11"/>
  <c r="BB53" i="11"/>
  <c r="BD53" i="11" s="1"/>
  <c r="BE31" i="11"/>
  <c r="BE36" i="11"/>
  <c r="BB29" i="11"/>
  <c r="BB8" i="11"/>
  <c r="BC36" i="11"/>
  <c r="BB47" i="11"/>
  <c r="BG60" i="11"/>
  <c r="BL60" i="11" s="1"/>
  <c r="BE60" i="11"/>
  <c r="BF60" i="11"/>
  <c r="BK60" i="11" s="1"/>
  <c r="BC60" i="11"/>
  <c r="BD60" i="11"/>
  <c r="BE61" i="11"/>
  <c r="BC61" i="11"/>
  <c r="BG61" i="11"/>
  <c r="BL61" i="11" s="1"/>
  <c r="BF61" i="11"/>
  <c r="BK61" i="11" s="1"/>
  <c r="BD61" i="11"/>
  <c r="BC16" i="11"/>
  <c r="BG16" i="11"/>
  <c r="BL16" i="11" s="1"/>
  <c r="BF16" i="11"/>
  <c r="BK16" i="11" s="1"/>
  <c r="BE16" i="11"/>
  <c r="BD16" i="11"/>
  <c r="BG21" i="11"/>
  <c r="BL21" i="11" s="1"/>
  <c r="BF21" i="11"/>
  <c r="BK21" i="11" s="1"/>
  <c r="BD21" i="11"/>
  <c r="BE21" i="11"/>
  <c r="BC21" i="11"/>
  <c r="BF30" i="11"/>
  <c r="BK30" i="11" s="1"/>
  <c r="BE30" i="11"/>
  <c r="BG30" i="11"/>
  <c r="BL30" i="11" s="1"/>
  <c r="BD30" i="11"/>
  <c r="BC30" i="11"/>
  <c r="BB54" i="11"/>
  <c r="BB23" i="11"/>
  <c r="BG49" i="11"/>
  <c r="BL49" i="11" s="1"/>
  <c r="BE49" i="11"/>
  <c r="BD49" i="11"/>
  <c r="BF49" i="11"/>
  <c r="BK49" i="11" s="1"/>
  <c r="BC49" i="11"/>
  <c r="AZ3" i="11"/>
  <c r="BE43" i="11"/>
  <c r="BD43" i="11"/>
  <c r="BF43" i="11"/>
  <c r="BK43" i="11" s="1"/>
  <c r="BC43" i="11"/>
  <c r="BG43" i="11"/>
  <c r="BL43" i="11" s="1"/>
  <c r="BB58" i="11"/>
  <c r="BE33" i="11"/>
  <c r="BD33" i="11"/>
  <c r="BG33" i="11"/>
  <c r="BL33" i="11" s="1"/>
  <c r="BC33" i="11"/>
  <c r="BF33" i="11"/>
  <c r="BK33" i="11" s="1"/>
  <c r="BO34" i="11"/>
  <c r="BO59" i="11"/>
  <c r="BB15" i="11"/>
  <c r="BE45" i="11"/>
  <c r="BF45" i="11"/>
  <c r="BK45" i="11" s="1"/>
  <c r="BG45" i="11"/>
  <c r="BL45" i="11" s="1"/>
  <c r="BD45" i="11"/>
  <c r="BC45" i="11"/>
  <c r="BG26" i="11"/>
  <c r="BL26" i="11" s="1"/>
  <c r="BF26" i="11"/>
  <c r="BK26" i="11" s="1"/>
  <c r="BE26" i="11"/>
  <c r="BD26" i="11"/>
  <c r="BC26" i="11"/>
  <c r="BE40" i="11"/>
  <c r="BF40" i="11"/>
  <c r="BK40" i="11" s="1"/>
  <c r="BD40" i="11"/>
  <c r="BC40" i="11"/>
  <c r="BG40" i="11"/>
  <c r="BL40" i="11" s="1"/>
  <c r="BO62" i="11"/>
  <c r="BD58" i="10"/>
  <c r="BQ58" i="10" s="1"/>
  <c r="BG58" i="10"/>
  <c r="BU58" i="10" s="1"/>
  <c r="BW58" i="10" s="1"/>
  <c r="BC58" i="10"/>
  <c r="BP58" i="10" s="1"/>
  <c r="BF58" i="10"/>
  <c r="BS58" i="10" s="1"/>
  <c r="BE58" i="10"/>
  <c r="BR58" i="10" s="1"/>
  <c r="BV31" i="10"/>
  <c r="BB30" i="10"/>
  <c r="BD26" i="10"/>
  <c r="BQ26" i="10" s="1"/>
  <c r="BE38" i="10"/>
  <c r="BR38" i="10" s="1"/>
  <c r="BD20" i="10"/>
  <c r="BQ20" i="10" s="1"/>
  <c r="BF38" i="10"/>
  <c r="BS38" i="10" s="1"/>
  <c r="BG26" i="10"/>
  <c r="BT26" i="10" s="1"/>
  <c r="BF26" i="10"/>
  <c r="BS26" i="10" s="1"/>
  <c r="BF20" i="10"/>
  <c r="BS20" i="10" s="1"/>
  <c r="BB61" i="10"/>
  <c r="BV13" i="10"/>
  <c r="BE28" i="10"/>
  <c r="BR28" i="10" s="1"/>
  <c r="BF28" i="10"/>
  <c r="BS28" i="10" s="1"/>
  <c r="BD28" i="10"/>
  <c r="BQ28" i="10" s="1"/>
  <c r="BC28" i="10"/>
  <c r="BP28" i="10" s="1"/>
  <c r="BG28" i="10"/>
  <c r="BC12" i="10"/>
  <c r="BP12" i="10" s="1"/>
  <c r="BG12" i="10"/>
  <c r="BF12" i="10"/>
  <c r="BS12" i="10" s="1"/>
  <c r="BE12" i="10"/>
  <c r="BR12" i="10" s="1"/>
  <c r="BD12" i="10"/>
  <c r="BQ12" i="10" s="1"/>
  <c r="BG42" i="10"/>
  <c r="BF42" i="10"/>
  <c r="BS42" i="10" s="1"/>
  <c r="BE42" i="10"/>
  <c r="BR42" i="10" s="1"/>
  <c r="BD42" i="10"/>
  <c r="BQ42" i="10" s="1"/>
  <c r="BC42" i="10"/>
  <c r="BP42" i="10" s="1"/>
  <c r="BF51" i="10"/>
  <c r="BS51" i="10" s="1"/>
  <c r="BE51" i="10"/>
  <c r="BR51" i="10" s="1"/>
  <c r="BD51" i="10"/>
  <c r="BQ51" i="10" s="1"/>
  <c r="BC51" i="10"/>
  <c r="BP51" i="10" s="1"/>
  <c r="BG51" i="10"/>
  <c r="BE29" i="10"/>
  <c r="BR29" i="10" s="1"/>
  <c r="BC29" i="10"/>
  <c r="BP29" i="10" s="1"/>
  <c r="BD29" i="10"/>
  <c r="BQ29" i="10" s="1"/>
  <c r="BF29" i="10"/>
  <c r="BS29" i="10" s="1"/>
  <c r="BG29" i="10"/>
  <c r="BE25" i="10"/>
  <c r="BR25" i="10" s="1"/>
  <c r="BC25" i="10"/>
  <c r="BP25" i="10" s="1"/>
  <c r="BD25" i="10"/>
  <c r="BQ25" i="10" s="1"/>
  <c r="BG25" i="10"/>
  <c r="BF25" i="10"/>
  <c r="BS25" i="10" s="1"/>
  <c r="BE23" i="10"/>
  <c r="BR23" i="10" s="1"/>
  <c r="BD23" i="10"/>
  <c r="BQ23" i="10" s="1"/>
  <c r="BC23" i="10"/>
  <c r="BP23" i="10" s="1"/>
  <c r="BF23" i="10"/>
  <c r="BS23" i="10" s="1"/>
  <c r="BG23" i="10"/>
  <c r="BD37" i="10"/>
  <c r="BQ37" i="10" s="1"/>
  <c r="BC37" i="10"/>
  <c r="BP37" i="10" s="1"/>
  <c r="BF37" i="10"/>
  <c r="BS37" i="10" s="1"/>
  <c r="BG37" i="10"/>
  <c r="BE37" i="10"/>
  <c r="BR37" i="10" s="1"/>
  <c r="BV45" i="10"/>
  <c r="BG11" i="10"/>
  <c r="BE11" i="10"/>
  <c r="BR11" i="10" s="1"/>
  <c r="BD11" i="10"/>
  <c r="BQ11" i="10" s="1"/>
  <c r="BC11" i="10"/>
  <c r="BP11" i="10" s="1"/>
  <c r="BF11" i="10"/>
  <c r="BS11" i="10" s="1"/>
  <c r="BB50" i="10"/>
  <c r="BV10" i="10"/>
  <c r="BC22" i="10"/>
  <c r="BP22" i="10" s="1"/>
  <c r="BC36" i="10"/>
  <c r="BP36" i="10" s="1"/>
  <c r="BT62" i="10"/>
  <c r="BU62" i="10"/>
  <c r="BW62" i="10" s="1"/>
  <c r="BE33" i="10"/>
  <c r="BR33" i="10" s="1"/>
  <c r="BC33" i="10"/>
  <c r="BP33" i="10" s="1"/>
  <c r="BF33" i="10"/>
  <c r="BS33" i="10" s="1"/>
  <c r="BD33" i="10"/>
  <c r="BQ33" i="10" s="1"/>
  <c r="BG33" i="10"/>
  <c r="BU47" i="10"/>
  <c r="BW47" i="10" s="1"/>
  <c r="BU59" i="10"/>
  <c r="BW59" i="10" s="1"/>
  <c r="BT59" i="10"/>
  <c r="BG9" i="10"/>
  <c r="BF9" i="10"/>
  <c r="BS9" i="10" s="1"/>
  <c r="BE9" i="10"/>
  <c r="BR9" i="10" s="1"/>
  <c r="BD9" i="10"/>
  <c r="BQ9" i="10" s="1"/>
  <c r="BC9" i="10"/>
  <c r="BP9" i="10" s="1"/>
  <c r="BC16" i="10"/>
  <c r="BP16" i="10" s="1"/>
  <c r="BD16" i="10"/>
  <c r="BQ16" i="10" s="1"/>
  <c r="BG16" i="10"/>
  <c r="BF16" i="10"/>
  <c r="BS16" i="10" s="1"/>
  <c r="BE16" i="10"/>
  <c r="BR16" i="10" s="1"/>
  <c r="BV48" i="10"/>
  <c r="BG8" i="10"/>
  <c r="BF8" i="10"/>
  <c r="BS8" i="10" s="1"/>
  <c r="BE8" i="10"/>
  <c r="BR8" i="10" s="1"/>
  <c r="BD8" i="10"/>
  <c r="BQ8" i="10" s="1"/>
  <c r="BC8" i="10"/>
  <c r="BP8" i="10" s="1"/>
  <c r="BV34" i="10"/>
  <c r="BU13" i="10"/>
  <c r="BW13" i="10" s="1"/>
  <c r="BT13" i="10"/>
  <c r="BV52" i="10"/>
  <c r="BV27" i="10"/>
  <c r="BB43" i="10"/>
  <c r="BB32" i="10"/>
  <c r="BU52" i="10"/>
  <c r="BW52" i="10" s="1"/>
  <c r="BT52" i="10"/>
  <c r="BV62" i="10"/>
  <c r="BU17" i="10"/>
  <c r="BW17" i="10" s="1"/>
  <c r="BU31" i="10"/>
  <c r="BW31" i="10" s="1"/>
  <c r="BT31" i="10"/>
  <c r="BU20" i="10"/>
  <c r="BW20" i="10" s="1"/>
  <c r="BT20" i="10"/>
  <c r="BC14" i="10"/>
  <c r="BP14" i="10" s="1"/>
  <c r="BD14" i="10"/>
  <c r="BQ14" i="10" s="1"/>
  <c r="BG14" i="10"/>
  <c r="BF14" i="10"/>
  <c r="BS14" i="10" s="1"/>
  <c r="BE14" i="10"/>
  <c r="BR14" i="10" s="1"/>
  <c r="BC21" i="10"/>
  <c r="BP21" i="10" s="1"/>
  <c r="BD21" i="10"/>
  <c r="BQ21" i="10" s="1"/>
  <c r="BG21" i="10"/>
  <c r="BU27" i="10"/>
  <c r="BW27" i="10" s="1"/>
  <c r="BT27" i="10"/>
  <c r="BF55" i="10"/>
  <c r="BS55" i="10" s="1"/>
  <c r="BC55" i="10"/>
  <c r="BP55" i="10" s="1"/>
  <c r="BD55" i="10"/>
  <c r="BQ55" i="10" s="1"/>
  <c r="BG55" i="10"/>
  <c r="BE55" i="10"/>
  <c r="BR55" i="10" s="1"/>
  <c r="BT34" i="10"/>
  <c r="BU34" i="10"/>
  <c r="BW34" i="10" s="1"/>
  <c r="BU48" i="10"/>
  <c r="BW48" i="10" s="1"/>
  <c r="BT48" i="10"/>
  <c r="BV59" i="10"/>
  <c r="BU38" i="10"/>
  <c r="BW38" i="10" s="1"/>
  <c r="BT38" i="10"/>
  <c r="BT48" i="9"/>
  <c r="BS48" i="9"/>
  <c r="BB58" i="9"/>
  <c r="BG29" i="9"/>
  <c r="BT29" i="9" s="1"/>
  <c r="BE48" i="9"/>
  <c r="BQ48" i="9" s="1"/>
  <c r="BB22" i="9"/>
  <c r="BD37" i="9"/>
  <c r="BP37" i="9" s="1"/>
  <c r="BE63" i="9"/>
  <c r="BQ63" i="9" s="1"/>
  <c r="BC29" i="9"/>
  <c r="BO29" i="9" s="1"/>
  <c r="BC37" i="9"/>
  <c r="BO37" i="9" s="1"/>
  <c r="BB12" i="9"/>
  <c r="BG12" i="9" s="1"/>
  <c r="BE46" i="9"/>
  <c r="BQ46" i="9" s="1"/>
  <c r="BF63" i="9"/>
  <c r="BR63" i="9" s="1"/>
  <c r="BT62" i="9"/>
  <c r="BS62" i="9"/>
  <c r="BD33" i="9"/>
  <c r="BP33" i="9" s="1"/>
  <c r="BC33" i="9"/>
  <c r="BO33" i="9" s="1"/>
  <c r="BG33" i="9"/>
  <c r="BF33" i="9"/>
  <c r="BR33" i="9" s="1"/>
  <c r="BE33" i="9"/>
  <c r="BQ33" i="9" s="1"/>
  <c r="BT52" i="9"/>
  <c r="BS52" i="9"/>
  <c r="BB43" i="9"/>
  <c r="BS41" i="9"/>
  <c r="BT41" i="9"/>
  <c r="BT24" i="9"/>
  <c r="BS24" i="9"/>
  <c r="BT10" i="9"/>
  <c r="BS10" i="9"/>
  <c r="BT17" i="9"/>
  <c r="BS17" i="9"/>
  <c r="BS34" i="9"/>
  <c r="BT34" i="9"/>
  <c r="BE14" i="9"/>
  <c r="BQ14" i="9" s="1"/>
  <c r="BD14" i="9"/>
  <c r="BP14" i="9" s="1"/>
  <c r="BC14" i="9"/>
  <c r="BO14" i="9" s="1"/>
  <c r="BG14" i="9"/>
  <c r="BF14" i="9"/>
  <c r="BR14" i="9" s="1"/>
  <c r="BF54" i="9"/>
  <c r="BR54" i="9" s="1"/>
  <c r="BE54" i="9"/>
  <c r="BQ54" i="9" s="1"/>
  <c r="BD54" i="9"/>
  <c r="BP54" i="9" s="1"/>
  <c r="BC54" i="9"/>
  <c r="BO54" i="9" s="1"/>
  <c r="BG54" i="9"/>
  <c r="BT59" i="9"/>
  <c r="BS59" i="9"/>
  <c r="BS20" i="9"/>
  <c r="BT20" i="9"/>
  <c r="BG16" i="9"/>
  <c r="BD26" i="9"/>
  <c r="BP26" i="9" s="1"/>
  <c r="BG26" i="9"/>
  <c r="BF26" i="9"/>
  <c r="BR26" i="9" s="1"/>
  <c r="BE26" i="9"/>
  <c r="BQ26" i="9" s="1"/>
  <c r="BC26" i="9"/>
  <c r="BO26" i="9" s="1"/>
  <c r="BD49" i="9"/>
  <c r="BP49" i="9" s="1"/>
  <c r="BC49" i="9"/>
  <c r="BO49" i="9" s="1"/>
  <c r="BG49" i="9"/>
  <c r="BF49" i="9"/>
  <c r="BR49" i="9" s="1"/>
  <c r="BE49" i="9"/>
  <c r="BQ49" i="9" s="1"/>
  <c r="BG11" i="9"/>
  <c r="BF11" i="9"/>
  <c r="BR11" i="9" s="1"/>
  <c r="BB9" i="9"/>
  <c r="BB50" i="9"/>
  <c r="BB28" i="9"/>
  <c r="BT63" i="9"/>
  <c r="BS63" i="9"/>
  <c r="BC8" i="9"/>
  <c r="BO8" i="9" s="1"/>
  <c r="BG8" i="9"/>
  <c r="BF8" i="9"/>
  <c r="BR8" i="9" s="1"/>
  <c r="BE8" i="9"/>
  <c r="BQ8" i="9" s="1"/>
  <c r="BD8" i="9"/>
  <c r="BP8" i="9" s="1"/>
  <c r="BT61" i="9"/>
  <c r="BS61" i="9"/>
  <c r="BB18" i="9"/>
  <c r="BG56" i="9"/>
  <c r="BB42" i="9"/>
  <c r="BB30" i="9"/>
  <c r="BC40" i="9"/>
  <c r="BO40" i="9" s="1"/>
  <c r="BG40" i="9"/>
  <c r="BE40" i="9"/>
  <c r="BQ40" i="9" s="1"/>
  <c r="BF40" i="9"/>
  <c r="BR40" i="9" s="1"/>
  <c r="BD40" i="9"/>
  <c r="BP40" i="9" s="1"/>
  <c r="BB35" i="9"/>
  <c r="BS38" i="9"/>
  <c r="BT38" i="9"/>
  <c r="BD15" i="9"/>
  <c r="BP15" i="9" s="1"/>
  <c r="BC15" i="9"/>
  <c r="BO15" i="9" s="1"/>
  <c r="BG15" i="9"/>
  <c r="BF15" i="9"/>
  <c r="BR15" i="9" s="1"/>
  <c r="BE15" i="9"/>
  <c r="BQ15" i="9" s="1"/>
  <c r="BT46" i="9"/>
  <c r="BS46" i="9"/>
  <c r="BI54" i="8"/>
  <c r="BI60" i="8"/>
  <c r="BK50" i="3"/>
  <c r="BI50" i="3"/>
  <c r="AT50" i="7"/>
  <c r="AX50" i="7" s="1"/>
  <c r="BB43" i="6"/>
  <c r="BE43" i="6" s="1"/>
  <c r="BR43" i="6" s="1"/>
  <c r="BH63" i="3"/>
  <c r="BN63" i="3" s="1"/>
  <c r="BB56" i="5"/>
  <c r="BC56" i="5" s="1"/>
  <c r="BO56" i="5" s="1"/>
  <c r="BB47" i="6"/>
  <c r="BG47" i="6" s="1"/>
  <c r="BF41" i="6"/>
  <c r="BS41" i="6" s="1"/>
  <c r="BB40" i="6"/>
  <c r="BG40" i="6" s="1"/>
  <c r="BK39" i="3"/>
  <c r="BN39" i="3" s="1"/>
  <c r="BB40" i="7"/>
  <c r="BG40" i="7" s="1"/>
  <c r="BL40" i="7" s="1"/>
  <c r="BG41" i="6"/>
  <c r="BT41" i="6" s="1"/>
  <c r="BC41" i="6"/>
  <c r="BP41" i="6" s="1"/>
  <c r="BB23" i="6"/>
  <c r="BC23" i="6" s="1"/>
  <c r="BP23" i="6" s="1"/>
  <c r="BF34" i="6"/>
  <c r="BS34" i="6" s="1"/>
  <c r="BT31" i="6"/>
  <c r="BI21" i="8"/>
  <c r="BH19" i="8"/>
  <c r="BJ21" i="8"/>
  <c r="BI19" i="8"/>
  <c r="BH21" i="8"/>
  <c r="BE20" i="6"/>
  <c r="BR20" i="6" s="1"/>
  <c r="BB22" i="7"/>
  <c r="BC22" i="7" s="1"/>
  <c r="BH16" i="3"/>
  <c r="BB18" i="7"/>
  <c r="BC18" i="7" s="1"/>
  <c r="BB19" i="7"/>
  <c r="BE19" i="7" s="1"/>
  <c r="BB16" i="7"/>
  <c r="BC16" i="7" s="1"/>
  <c r="BB8" i="7"/>
  <c r="BG8" i="7" s="1"/>
  <c r="BL8" i="7" s="1"/>
  <c r="BC13" i="6"/>
  <c r="BP13" i="6" s="1"/>
  <c r="BL16" i="8"/>
  <c r="BL11" i="8"/>
  <c r="BH8" i="8"/>
  <c r="BJ8" i="8"/>
  <c r="BH54" i="8"/>
  <c r="BI29" i="8"/>
  <c r="BJ54" i="8"/>
  <c r="BK8" i="8"/>
  <c r="BL19" i="8"/>
  <c r="BH51" i="8"/>
  <c r="BJ49" i="8"/>
  <c r="BH44" i="8"/>
  <c r="BJ11" i="8"/>
  <c r="BI11" i="8"/>
  <c r="BH26" i="8"/>
  <c r="BI36" i="8"/>
  <c r="BJ44" i="8"/>
  <c r="BJ51" i="8"/>
  <c r="BH39" i="8"/>
  <c r="BI16" i="8"/>
  <c r="BH25" i="8"/>
  <c r="BI25" i="8"/>
  <c r="BK11" i="8"/>
  <c r="BI51" i="8"/>
  <c r="BI46" i="8"/>
  <c r="BL50" i="8"/>
  <c r="BJ60" i="8"/>
  <c r="BN60" i="8" s="1"/>
  <c r="BH46" i="8"/>
  <c r="BJ61" i="8"/>
  <c r="BJ50" i="8"/>
  <c r="BH43" i="8"/>
  <c r="BJ46" i="8"/>
  <c r="BL61" i="8"/>
  <c r="BI50" i="8"/>
  <c r="BK51" i="8"/>
  <c r="BH61" i="8"/>
  <c r="BH50" i="8"/>
  <c r="BH28" i="8"/>
  <c r="BJ29" i="8"/>
  <c r="BJ28" i="8"/>
  <c r="BI28" i="8"/>
  <c r="BH14" i="8"/>
  <c r="BJ26" i="8"/>
  <c r="BK19" i="8"/>
  <c r="BJ40" i="8"/>
  <c r="BI63" i="8"/>
  <c r="BH57" i="8"/>
  <c r="BH49" i="8"/>
  <c r="BJ63" i="8"/>
  <c r="BK40" i="8"/>
  <c r="BI44" i="8"/>
  <c r="BI39" i="8"/>
  <c r="BK16" i="8"/>
  <c r="BN10" i="3"/>
  <c r="AY63" i="8"/>
  <c r="AY45" i="8"/>
  <c r="AY21" i="8"/>
  <c r="BK21" i="8" s="1"/>
  <c r="AY13" i="8"/>
  <c r="BJ14" i="8"/>
  <c r="BK57" i="8"/>
  <c r="BJ57" i="8"/>
  <c r="BJ50" i="3"/>
  <c r="BK63" i="8"/>
  <c r="BI57" i="8"/>
  <c r="BB15" i="7"/>
  <c r="BE15" i="7" s="1"/>
  <c r="BF45" i="7"/>
  <c r="BK45" i="7" s="1"/>
  <c r="BL50" i="3"/>
  <c r="BB63" i="5"/>
  <c r="BC63" i="5" s="1"/>
  <c r="BO63" i="5" s="1"/>
  <c r="BH63" i="8"/>
  <c r="BB12" i="6"/>
  <c r="BE62" i="7"/>
  <c r="BH50" i="3"/>
  <c r="BC62" i="7"/>
  <c r="BB46" i="5"/>
  <c r="BD46" i="5" s="1"/>
  <c r="BP46" i="5" s="1"/>
  <c r="AY18" i="3"/>
  <c r="BK18" i="3" s="1"/>
  <c r="AY63" i="3"/>
  <c r="BK63" i="3" s="1"/>
  <c r="BO48" i="7"/>
  <c r="BD45" i="7"/>
  <c r="BG62" i="7"/>
  <c r="BL62" i="7" s="1"/>
  <c r="BV55" i="6"/>
  <c r="BB39" i="7"/>
  <c r="BG39" i="7" s="1"/>
  <c r="BL39" i="7" s="1"/>
  <c r="AY54" i="8"/>
  <c r="BK54" i="8" s="1"/>
  <c r="BN54" i="8" s="1"/>
  <c r="BV59" i="6"/>
  <c r="AY26" i="8"/>
  <c r="BK26" i="8" s="1"/>
  <c r="BI14" i="8"/>
  <c r="AY37" i="8"/>
  <c r="BK37" i="8" s="1"/>
  <c r="BN37" i="8" s="1"/>
  <c r="AY22" i="8"/>
  <c r="BK22" i="8" s="1"/>
  <c r="BN22" i="8" s="1"/>
  <c r="BH29" i="8"/>
  <c r="BJ39" i="8"/>
  <c r="AY42" i="8"/>
  <c r="BK42" i="8" s="1"/>
  <c r="BN42" i="8" s="1"/>
  <c r="AY43" i="8"/>
  <c r="BK43" i="8" s="1"/>
  <c r="BN35" i="8"/>
  <c r="AY25" i="8"/>
  <c r="BK25" i="8" s="1"/>
  <c r="BJ23" i="8"/>
  <c r="BI23" i="8"/>
  <c r="BH23" i="8"/>
  <c r="BL23" i="8"/>
  <c r="BK23" i="8"/>
  <c r="BH53" i="8"/>
  <c r="BK53" i="8"/>
  <c r="BJ53" i="8"/>
  <c r="BI53" i="8"/>
  <c r="BL53" i="8"/>
  <c r="AY18" i="8"/>
  <c r="BK18" i="8" s="1"/>
  <c r="BN18" i="8" s="1"/>
  <c r="BN12" i="8"/>
  <c r="AY39" i="8"/>
  <c r="BK39" i="8" s="1"/>
  <c r="BN58" i="8"/>
  <c r="BJ33" i="8"/>
  <c r="BK33" i="8"/>
  <c r="BI33" i="8"/>
  <c r="BL33" i="8"/>
  <c r="BH33" i="8"/>
  <c r="AY48" i="8"/>
  <c r="AY47" i="8"/>
  <c r="BK47" i="8" s="1"/>
  <c r="BL9" i="8"/>
  <c r="BJ9" i="8"/>
  <c r="BK9" i="8"/>
  <c r="BH9" i="8"/>
  <c r="BI9" i="8"/>
  <c r="BL30" i="8"/>
  <c r="BI30" i="8"/>
  <c r="BK30" i="8"/>
  <c r="BH30" i="8"/>
  <c r="BJ30" i="8"/>
  <c r="AY14" i="8"/>
  <c r="BK14" i="8" s="1"/>
  <c r="AY10" i="8"/>
  <c r="BJ15" i="8"/>
  <c r="BI15" i="8"/>
  <c r="BL15" i="8"/>
  <c r="BK15" i="8"/>
  <c r="BH15" i="8"/>
  <c r="BK32" i="8"/>
  <c r="BJ32" i="8"/>
  <c r="BI32" i="8"/>
  <c r="BL32" i="8"/>
  <c r="BH32" i="8"/>
  <c r="AY55" i="8"/>
  <c r="AY49" i="8"/>
  <c r="BK49" i="8" s="1"/>
  <c r="AY56" i="8"/>
  <c r="BK56" i="8" s="1"/>
  <c r="BN56" i="8" s="1"/>
  <c r="AY44" i="8"/>
  <c r="BK44" i="8" s="1"/>
  <c r="AY28" i="8"/>
  <c r="BK28" i="8" s="1"/>
  <c r="AY29" i="8"/>
  <c r="BK29" i="8" s="1"/>
  <c r="AY36" i="8"/>
  <c r="BK36" i="8" s="1"/>
  <c r="BC57" i="6"/>
  <c r="BP57" i="6" s="1"/>
  <c r="BG57" i="6"/>
  <c r="BT57" i="6" s="1"/>
  <c r="BD57" i="6"/>
  <c r="BQ57" i="6" s="1"/>
  <c r="BF57" i="6"/>
  <c r="BS57" i="6" s="1"/>
  <c r="BE57" i="6"/>
  <c r="BR57" i="6" s="1"/>
  <c r="BF53" i="7"/>
  <c r="BK53" i="7" s="1"/>
  <c r="BO53" i="7" s="1"/>
  <c r="BD61" i="7"/>
  <c r="BB44" i="7"/>
  <c r="BG44" i="7" s="1"/>
  <c r="BL44" i="7" s="1"/>
  <c r="BL60" i="3"/>
  <c r="BH60" i="3"/>
  <c r="BU27" i="6"/>
  <c r="BW27" i="6" s="1"/>
  <c r="BB30" i="6"/>
  <c r="BF30" i="6" s="1"/>
  <c r="BS30" i="6" s="1"/>
  <c r="BE24" i="7"/>
  <c r="BC61" i="7"/>
  <c r="BN13" i="3"/>
  <c r="AY58" i="3"/>
  <c r="BK58" i="3" s="1"/>
  <c r="BN58" i="3" s="1"/>
  <c r="AY61" i="3"/>
  <c r="BK61" i="3" s="1"/>
  <c r="BC53" i="7"/>
  <c r="BB58" i="7"/>
  <c r="BG58" i="7" s="1"/>
  <c r="BL58" i="7" s="1"/>
  <c r="BV52" i="6"/>
  <c r="AS50" i="6"/>
  <c r="AY50" i="6" s="1"/>
  <c r="BB50" i="6" s="1"/>
  <c r="BF50" i="6" s="1"/>
  <c r="BS50" i="6" s="1"/>
  <c r="BB26" i="7"/>
  <c r="BE26" i="7" s="1"/>
  <c r="BF61" i="7"/>
  <c r="BK61" i="7" s="1"/>
  <c r="BO61" i="7" s="1"/>
  <c r="BK60" i="3"/>
  <c r="BB50" i="7"/>
  <c r="BD50" i="7" s="1"/>
  <c r="BE61" i="7"/>
  <c r="BE54" i="5"/>
  <c r="BQ54" i="5" s="1"/>
  <c r="AS10" i="3"/>
  <c r="AU10" i="3" s="1"/>
  <c r="BD24" i="6"/>
  <c r="BQ24" i="6" s="1"/>
  <c r="BF34" i="7"/>
  <c r="BK34" i="7" s="1"/>
  <c r="AY43" i="3"/>
  <c r="BD54" i="5"/>
  <c r="BP54" i="5" s="1"/>
  <c r="BO59" i="7"/>
  <c r="BO38" i="7"/>
  <c r="BF24" i="6"/>
  <c r="BS24" i="6" s="1"/>
  <c r="AY16" i="3"/>
  <c r="BK16" i="3" s="1"/>
  <c r="BC17" i="6"/>
  <c r="BP17" i="6" s="1"/>
  <c r="BB26" i="6"/>
  <c r="BF26" i="6" s="1"/>
  <c r="BS26" i="6" s="1"/>
  <c r="BD34" i="6"/>
  <c r="BQ34" i="6" s="1"/>
  <c r="BG54" i="5"/>
  <c r="BS54" i="5" s="1"/>
  <c r="BB44" i="6"/>
  <c r="BD44" i="6" s="1"/>
  <c r="BQ44" i="6" s="1"/>
  <c r="BC34" i="6"/>
  <c r="BP34" i="6" s="1"/>
  <c r="BB39" i="6"/>
  <c r="BG23" i="6"/>
  <c r="BT23" i="6" s="1"/>
  <c r="BD23" i="6"/>
  <c r="BQ23" i="6" s="1"/>
  <c r="BE23" i="6"/>
  <c r="BR23" i="6" s="1"/>
  <c r="BF23" i="6"/>
  <c r="BS23" i="6" s="1"/>
  <c r="BG20" i="5"/>
  <c r="BT20" i="5" s="1"/>
  <c r="BD38" i="6"/>
  <c r="BQ38" i="6" s="1"/>
  <c r="BF17" i="6"/>
  <c r="BS17" i="6" s="1"/>
  <c r="BG17" i="6"/>
  <c r="AS12" i="3"/>
  <c r="AU12" i="3" s="1"/>
  <c r="BL12" i="3" s="1"/>
  <c r="BG38" i="6"/>
  <c r="BF38" i="6"/>
  <c r="BS38" i="6" s="1"/>
  <c r="BC38" i="6"/>
  <c r="BP38" i="6" s="1"/>
  <c r="BB60" i="7"/>
  <c r="BE41" i="6"/>
  <c r="BR41" i="6" s="1"/>
  <c r="AS13" i="3"/>
  <c r="AU13" i="3" s="1"/>
  <c r="AS11" i="3"/>
  <c r="AU11" i="3" s="1"/>
  <c r="BB58" i="5"/>
  <c r="BD58" i="5" s="1"/>
  <c r="BP58" i="5" s="1"/>
  <c r="BB37" i="7"/>
  <c r="BG37" i="7" s="1"/>
  <c r="BL37" i="7" s="1"/>
  <c r="BV48" i="6"/>
  <c r="AS14" i="3"/>
  <c r="AU14" i="3" s="1"/>
  <c r="BI14" i="3" s="1"/>
  <c r="BE13" i="6"/>
  <c r="BR13" i="6" s="1"/>
  <c r="AY23" i="3"/>
  <c r="BK23" i="3" s="1"/>
  <c r="BN23" i="3" s="1"/>
  <c r="BD20" i="5"/>
  <c r="BP20" i="5" s="1"/>
  <c r="BG34" i="6"/>
  <c r="BT34" i="6" s="1"/>
  <c r="BE20" i="7"/>
  <c r="BB29" i="7"/>
  <c r="BE29" i="7" s="1"/>
  <c r="BG34" i="7"/>
  <c r="BL34" i="7" s="1"/>
  <c r="AY44" i="3"/>
  <c r="BK44" i="3" s="1"/>
  <c r="BN44" i="3" s="1"/>
  <c r="BE17" i="6"/>
  <c r="BR17" i="6" s="1"/>
  <c r="BG41" i="7"/>
  <c r="BL41" i="7" s="1"/>
  <c r="BF41" i="7"/>
  <c r="BK41" i="7" s="1"/>
  <c r="BE41" i="7"/>
  <c r="BC41" i="7"/>
  <c r="BD41" i="7"/>
  <c r="BO52" i="7"/>
  <c r="BC49" i="7"/>
  <c r="BD49" i="7"/>
  <c r="BE49" i="7"/>
  <c r="BB43" i="7"/>
  <c r="BD36" i="7"/>
  <c r="BE36" i="7"/>
  <c r="BF36" i="7"/>
  <c r="BK36" i="7" s="1"/>
  <c r="BC36" i="7"/>
  <c r="BG36" i="7"/>
  <c r="BL36" i="7" s="1"/>
  <c r="BB51" i="7"/>
  <c r="BC58" i="6"/>
  <c r="BP58" i="6" s="1"/>
  <c r="BD63" i="6"/>
  <c r="BQ63" i="6" s="1"/>
  <c r="BE63" i="6"/>
  <c r="BR63" i="6" s="1"/>
  <c r="BF63" i="6"/>
  <c r="BS63" i="6" s="1"/>
  <c r="BG63" i="6"/>
  <c r="BC63" i="6"/>
  <c r="BP63" i="6" s="1"/>
  <c r="BF42" i="6"/>
  <c r="BS42" i="6" s="1"/>
  <c r="BD36" i="6"/>
  <c r="BQ36" i="6" s="1"/>
  <c r="BE36" i="6"/>
  <c r="BR36" i="6" s="1"/>
  <c r="BF36" i="6"/>
  <c r="BS36" i="6" s="1"/>
  <c r="BG36" i="6"/>
  <c r="BC36" i="6"/>
  <c r="BP36" i="6" s="1"/>
  <c r="BD46" i="6"/>
  <c r="BQ46" i="6" s="1"/>
  <c r="BE46" i="6"/>
  <c r="BR46" i="6" s="1"/>
  <c r="BG46" i="6"/>
  <c r="BC46" i="6"/>
  <c r="BP46" i="6" s="1"/>
  <c r="BF46" i="6"/>
  <c r="BS46" i="6" s="1"/>
  <c r="BB54" i="6"/>
  <c r="BB37" i="6"/>
  <c r="BU45" i="6"/>
  <c r="BW45" i="6" s="1"/>
  <c r="BT45" i="6"/>
  <c r="BB53" i="6"/>
  <c r="BB49" i="6"/>
  <c r="BC60" i="5"/>
  <c r="BO60" i="5" s="1"/>
  <c r="BG60" i="5"/>
  <c r="BT60" i="5" s="1"/>
  <c r="BN56" i="3"/>
  <c r="BN51" i="3"/>
  <c r="BB51" i="5"/>
  <c r="BF54" i="5"/>
  <c r="BR54" i="5" s="1"/>
  <c r="BN46" i="3"/>
  <c r="BS59" i="5"/>
  <c r="BT59" i="5"/>
  <c r="BB42" i="5"/>
  <c r="BS38" i="5"/>
  <c r="BT38" i="5"/>
  <c r="BC36" i="5"/>
  <c r="BO36" i="5" s="1"/>
  <c r="BB43" i="5"/>
  <c r="AY57" i="3"/>
  <c r="BK57" i="3" s="1"/>
  <c r="BN57" i="3" s="1"/>
  <c r="BI47" i="3"/>
  <c r="BJ47" i="3"/>
  <c r="BK47" i="3"/>
  <c r="BL47" i="3"/>
  <c r="BH47" i="3"/>
  <c r="AY55" i="3"/>
  <c r="BJ43" i="3"/>
  <c r="BH43" i="3"/>
  <c r="BI43" i="3"/>
  <c r="BK43" i="3"/>
  <c r="BL43" i="3"/>
  <c r="AY36" i="3"/>
  <c r="BK36" i="3" s="1"/>
  <c r="BN36" i="3" s="1"/>
  <c r="AY37" i="3"/>
  <c r="BK37" i="3" s="1"/>
  <c r="BN37" i="3" s="1"/>
  <c r="BN53" i="3"/>
  <c r="BL42" i="3"/>
  <c r="BI42" i="3"/>
  <c r="BJ42" i="3"/>
  <c r="BK42" i="3"/>
  <c r="BH42" i="3"/>
  <c r="BH49" i="3"/>
  <c r="BI49" i="3"/>
  <c r="BL49" i="3"/>
  <c r="BK49" i="3"/>
  <c r="BJ49" i="3"/>
  <c r="AY40" i="3"/>
  <c r="BK40" i="3" s="1"/>
  <c r="BN40" i="3" s="1"/>
  <c r="AY48" i="3"/>
  <c r="BC20" i="7"/>
  <c r="BB18" i="5"/>
  <c r="BE18" i="5" s="1"/>
  <c r="BQ18" i="5" s="1"/>
  <c r="AY25" i="3"/>
  <c r="BK25" i="3" s="1"/>
  <c r="AV25" i="3"/>
  <c r="BB22" i="5"/>
  <c r="BB11" i="7"/>
  <c r="BE34" i="7"/>
  <c r="AS9" i="3"/>
  <c r="AU9" i="3" s="1"/>
  <c r="BD13" i="6"/>
  <c r="BQ13" i="6" s="1"/>
  <c r="BL25" i="3"/>
  <c r="BC24" i="6"/>
  <c r="BP24" i="6" s="1"/>
  <c r="BG24" i="7"/>
  <c r="BL24" i="7" s="1"/>
  <c r="BD34" i="7"/>
  <c r="AS8" i="3"/>
  <c r="AU8" i="3" s="1"/>
  <c r="BG20" i="7"/>
  <c r="BL20" i="7" s="1"/>
  <c r="BO20" i="7" s="1"/>
  <c r="BB30" i="7"/>
  <c r="BF30" i="7" s="1"/>
  <c r="BK30" i="7" s="1"/>
  <c r="BF24" i="7"/>
  <c r="BK24" i="7" s="1"/>
  <c r="BN21" i="3"/>
  <c r="AY26" i="3"/>
  <c r="BK26" i="3" s="1"/>
  <c r="BN26" i="3" s="1"/>
  <c r="BI33" i="3"/>
  <c r="BK33" i="3"/>
  <c r="BI29" i="3"/>
  <c r="BB32" i="5"/>
  <c r="BC32" i="5" s="1"/>
  <c r="BO32" i="5" s="1"/>
  <c r="BG24" i="6"/>
  <c r="BT24" i="6" s="1"/>
  <c r="BD24" i="7"/>
  <c r="BK28" i="3"/>
  <c r="BI28" i="3"/>
  <c r="BJ28" i="3"/>
  <c r="AV13" i="5"/>
  <c r="BL28" i="3"/>
  <c r="BJ29" i="3"/>
  <c r="BV31" i="6"/>
  <c r="BD20" i="7"/>
  <c r="BB33" i="5"/>
  <c r="BF33" i="5" s="1"/>
  <c r="BR33" i="5" s="1"/>
  <c r="BL33" i="3"/>
  <c r="BD35" i="7"/>
  <c r="BE35" i="7"/>
  <c r="BF35" i="7"/>
  <c r="BK35" i="7" s="1"/>
  <c r="BG35" i="7"/>
  <c r="BL35" i="7" s="1"/>
  <c r="BC35" i="7"/>
  <c r="BD23" i="7"/>
  <c r="BE23" i="7"/>
  <c r="BF23" i="7"/>
  <c r="BK23" i="7" s="1"/>
  <c r="BG23" i="7"/>
  <c r="BL23" i="7" s="1"/>
  <c r="BC23" i="7"/>
  <c r="BF28" i="6"/>
  <c r="BS28" i="6" s="1"/>
  <c r="BC28" i="6"/>
  <c r="BP28" i="6" s="1"/>
  <c r="BT20" i="6"/>
  <c r="BB18" i="6"/>
  <c r="BD15" i="6"/>
  <c r="BQ15" i="6" s="1"/>
  <c r="BE15" i="6"/>
  <c r="BR15" i="6" s="1"/>
  <c r="BF15" i="6"/>
  <c r="BS15" i="6" s="1"/>
  <c r="BG15" i="6"/>
  <c r="BC15" i="6"/>
  <c r="BP15" i="6" s="1"/>
  <c r="BB22" i="6"/>
  <c r="BD25" i="6"/>
  <c r="BQ25" i="6" s="1"/>
  <c r="BE25" i="6"/>
  <c r="BR25" i="6" s="1"/>
  <c r="BF25" i="6"/>
  <c r="BS25" i="6" s="1"/>
  <c r="BC25" i="6"/>
  <c r="BP25" i="6" s="1"/>
  <c r="BG25" i="6"/>
  <c r="BB16" i="6"/>
  <c r="BB11" i="6"/>
  <c r="BC11" i="6" s="1"/>
  <c r="BP11" i="6" s="1"/>
  <c r="AS8" i="5"/>
  <c r="AY8" i="5" s="1"/>
  <c r="AT8" i="5"/>
  <c r="AX8" i="5" s="1"/>
  <c r="AT12" i="5"/>
  <c r="AS12" i="5"/>
  <c r="AY12" i="5" s="1"/>
  <c r="AS14" i="5"/>
  <c r="AY14" i="5" s="1"/>
  <c r="AT14" i="5"/>
  <c r="AX14" i="5" s="1"/>
  <c r="AT9" i="5"/>
  <c r="AS9" i="5"/>
  <c r="AY9" i="5" s="1"/>
  <c r="AS13" i="5"/>
  <c r="AY13" i="5" s="1"/>
  <c r="AT13" i="5"/>
  <c r="AS10" i="5"/>
  <c r="AY10" i="5" s="1"/>
  <c r="AT10" i="5"/>
  <c r="AX10" i="5" s="1"/>
  <c r="AT11" i="5"/>
  <c r="AS11" i="5"/>
  <c r="AY11" i="5" s="1"/>
  <c r="BJ18" i="3"/>
  <c r="BH18" i="3"/>
  <c r="BL18" i="3"/>
  <c r="BH29" i="3"/>
  <c r="BH33" i="3"/>
  <c r="BH25" i="3"/>
  <c r="BI25" i="3"/>
  <c r="BI18" i="3"/>
  <c r="BJ25" i="3"/>
  <c r="BL29" i="3"/>
  <c r="BC20" i="5"/>
  <c r="BO20" i="5" s="1"/>
  <c r="BK19" i="3"/>
  <c r="BE20" i="5"/>
  <c r="BQ20" i="5" s="1"/>
  <c r="BB15" i="5"/>
  <c r="BD15" i="5" s="1"/>
  <c r="BP15" i="5" s="1"/>
  <c r="BK15" i="3"/>
  <c r="BI19" i="3"/>
  <c r="BH19" i="3"/>
  <c r="BJ19" i="3"/>
  <c r="BH15" i="3"/>
  <c r="BJ15" i="3"/>
  <c r="BI15" i="3"/>
  <c r="BE35" i="5"/>
  <c r="BQ35" i="5" s="1"/>
  <c r="BE28" i="5"/>
  <c r="BQ28" i="5" s="1"/>
  <c r="BE34" i="5"/>
  <c r="BQ34" i="5" s="1"/>
  <c r="BF34" i="5"/>
  <c r="BR34" i="5" s="1"/>
  <c r="BG34" i="5"/>
  <c r="BC34" i="5"/>
  <c r="BO34" i="5" s="1"/>
  <c r="BD34" i="5"/>
  <c r="BP34" i="5" s="1"/>
  <c r="BS17" i="5"/>
  <c r="BT17" i="5"/>
  <c r="BB16" i="5"/>
  <c r="BB21" i="5"/>
  <c r="BT24" i="5"/>
  <c r="BN35" i="3"/>
  <c r="AY34" i="3"/>
  <c r="BN32" i="3"/>
  <c r="AY22" i="3"/>
  <c r="BK22" i="3" s="1"/>
  <c r="BN22" i="3" s="1"/>
  <c r="AY30" i="3"/>
  <c r="BK30" i="3" s="1"/>
  <c r="BN30" i="3" s="1"/>
  <c r="AY20" i="3"/>
  <c r="BK10" i="7"/>
  <c r="BO10" i="7" s="1"/>
  <c r="BO13" i="7"/>
  <c r="BU10" i="6"/>
  <c r="BW10" i="6" s="1"/>
  <c r="BU13" i="6"/>
  <c r="BW13" i="6" s="1"/>
  <c r="BC10" i="6"/>
  <c r="BP10" i="6" s="1"/>
  <c r="BD10" i="6"/>
  <c r="BQ10" i="6" s="1"/>
  <c r="BF10" i="6"/>
  <c r="BS10" i="6" s="1"/>
  <c r="BB8" i="6"/>
  <c r="BD8" i="6" s="1"/>
  <c r="BQ8" i="6" s="1"/>
  <c r="BE10" i="6"/>
  <c r="BR10" i="6" s="1"/>
  <c r="BB14" i="6"/>
  <c r="BG14" i="6" s="1"/>
  <c r="BT14" i="6" s="1"/>
  <c r="BB10" i="5"/>
  <c r="BG10" i="5" s="1"/>
  <c r="BB13" i="5"/>
  <c r="BG12" i="7"/>
  <c r="BL12" i="7" s="1"/>
  <c r="BF12" i="7"/>
  <c r="BE12" i="7"/>
  <c r="BD12" i="7"/>
  <c r="BC12" i="7"/>
  <c r="BB9" i="7"/>
  <c r="BE14" i="7"/>
  <c r="AV8" i="5"/>
  <c r="AV12" i="5"/>
  <c r="AV11" i="5"/>
  <c r="AV9" i="5"/>
  <c r="AV10" i="5"/>
  <c r="AW10" i="3"/>
  <c r="AX10" i="3"/>
  <c r="AV10" i="3"/>
  <c r="AV13" i="3"/>
  <c r="AW13" i="3"/>
  <c r="AX13" i="3"/>
  <c r="AX8" i="3"/>
  <c r="AW12" i="3"/>
  <c r="AX12" i="3"/>
  <c r="AV12" i="3"/>
  <c r="BH12" i="3" s="1"/>
  <c r="AX14" i="3"/>
  <c r="BJ14" i="3" s="1"/>
  <c r="AV14" i="3"/>
  <c r="AV9" i="3"/>
  <c r="AW9" i="3"/>
  <c r="AX9" i="3"/>
  <c r="AV11" i="3"/>
  <c r="AW11" i="3"/>
  <c r="AX11" i="3"/>
  <c r="AV8" i="3"/>
  <c r="BC57" i="5" l="1"/>
  <c r="BO57" i="5" s="1"/>
  <c r="BE36" i="5"/>
  <c r="BQ36" i="5" s="1"/>
  <c r="BD36" i="5"/>
  <c r="BP36" i="5" s="1"/>
  <c r="BG36" i="5"/>
  <c r="BT36" i="5" s="1"/>
  <c r="BS27" i="5"/>
  <c r="BE60" i="5"/>
  <c r="BQ60" i="5" s="1"/>
  <c r="BS39" i="9"/>
  <c r="BD53" i="9"/>
  <c r="BP53" i="9" s="1"/>
  <c r="BF53" i="9"/>
  <c r="BR53" i="9" s="1"/>
  <c r="BE56" i="9"/>
  <c r="BQ56" i="9" s="1"/>
  <c r="BC11" i="9"/>
  <c r="BO11" i="9" s="1"/>
  <c r="BF56" i="9"/>
  <c r="BR56" i="9" s="1"/>
  <c r="BC56" i="9"/>
  <c r="BO56" i="9" s="1"/>
  <c r="BD11" i="9"/>
  <c r="BP11" i="9" s="1"/>
  <c r="BV20" i="10"/>
  <c r="BC39" i="10"/>
  <c r="BP39" i="10" s="1"/>
  <c r="BD18" i="10"/>
  <c r="BQ18" i="10" s="1"/>
  <c r="BC18" i="10"/>
  <c r="BP18" i="10" s="1"/>
  <c r="BV18" i="10" s="1"/>
  <c r="BV47" i="10"/>
  <c r="BG42" i="11"/>
  <c r="BL42" i="11" s="1"/>
  <c r="BE35" i="11"/>
  <c r="BG50" i="11"/>
  <c r="BL50" i="11" s="1"/>
  <c r="BF50" i="11"/>
  <c r="BK50" i="11" s="1"/>
  <c r="BF42" i="11"/>
  <c r="BK42" i="11" s="1"/>
  <c r="BE50" i="11"/>
  <c r="BE42" i="11"/>
  <c r="BC46" i="7"/>
  <c r="BG28" i="7"/>
  <c r="BL28" i="7" s="1"/>
  <c r="BG33" i="7"/>
  <c r="BL33" i="7" s="1"/>
  <c r="BF33" i="7"/>
  <c r="BK33" i="7" s="1"/>
  <c r="BD33" i="7"/>
  <c r="BC33" i="7"/>
  <c r="BE33" i="7"/>
  <c r="BD54" i="7"/>
  <c r="BC54" i="7"/>
  <c r="BE54" i="7"/>
  <c r="BG54" i="7"/>
  <c r="BL54" i="7" s="1"/>
  <c r="BF54" i="7"/>
  <c r="BK54" i="7" s="1"/>
  <c r="BF25" i="7"/>
  <c r="BK25" i="7" s="1"/>
  <c r="BC25" i="7"/>
  <c r="BD25" i="7"/>
  <c r="BE25" i="7"/>
  <c r="BG25" i="7"/>
  <c r="BL25" i="7" s="1"/>
  <c r="BD57" i="7"/>
  <c r="BD28" i="7"/>
  <c r="BF49" i="7"/>
  <c r="BK49" i="7" s="1"/>
  <c r="BF14" i="7"/>
  <c r="BK14" i="7" s="1"/>
  <c r="BF28" i="7"/>
  <c r="BK28" i="7" s="1"/>
  <c r="BG14" i="7"/>
  <c r="BL14" i="7" s="1"/>
  <c r="BF57" i="7"/>
  <c r="BK57" i="7" s="1"/>
  <c r="BO57" i="7" s="1"/>
  <c r="BC28" i="7"/>
  <c r="BC14" i="7"/>
  <c r="BF58" i="7"/>
  <c r="BK58" i="7" s="1"/>
  <c r="BD58" i="7"/>
  <c r="BE32" i="7"/>
  <c r="BF40" i="7"/>
  <c r="BK40" i="7" s="1"/>
  <c r="BO40" i="7" s="1"/>
  <c r="BG26" i="7"/>
  <c r="BL26" i="7" s="1"/>
  <c r="BC39" i="7"/>
  <c r="BC57" i="7"/>
  <c r="BE57" i="7"/>
  <c r="BE60" i="6"/>
  <c r="BR60" i="6" s="1"/>
  <c r="BV60" i="6" s="1"/>
  <c r="BF60" i="6"/>
  <c r="BS60" i="6" s="1"/>
  <c r="BG60" i="6"/>
  <c r="BC60" i="6"/>
  <c r="BP60" i="6" s="1"/>
  <c r="BD60" i="6"/>
  <c r="BQ60" i="6" s="1"/>
  <c r="BE56" i="6"/>
  <c r="BR56" i="6" s="1"/>
  <c r="BC56" i="6"/>
  <c r="BP56" i="6" s="1"/>
  <c r="BD56" i="6"/>
  <c r="BQ56" i="6" s="1"/>
  <c r="BF56" i="6"/>
  <c r="BS56" i="6" s="1"/>
  <c r="BG56" i="6"/>
  <c r="BT56" i="6" s="1"/>
  <c r="BG21" i="6"/>
  <c r="BC21" i="6"/>
  <c r="BP21" i="6" s="1"/>
  <c r="BF21" i="6"/>
  <c r="BS21" i="6" s="1"/>
  <c r="BD21" i="6"/>
  <c r="BQ21" i="6" s="1"/>
  <c r="BE21" i="6"/>
  <c r="BR21" i="6" s="1"/>
  <c r="BG35" i="6"/>
  <c r="BC35" i="6"/>
  <c r="BP35" i="6" s="1"/>
  <c r="BD35" i="6"/>
  <c r="BQ35" i="6" s="1"/>
  <c r="BE35" i="6"/>
  <c r="BR35" i="6" s="1"/>
  <c r="BF35" i="6"/>
  <c r="BS35" i="6" s="1"/>
  <c r="BG29" i="6"/>
  <c r="BT29" i="6" s="1"/>
  <c r="BD29" i="6"/>
  <c r="BQ29" i="6" s="1"/>
  <c r="BC29" i="6"/>
  <c r="BP29" i="6" s="1"/>
  <c r="BE29" i="6"/>
  <c r="BR29" i="6" s="1"/>
  <c r="BF29" i="6"/>
  <c r="BS29" i="6" s="1"/>
  <c r="BD32" i="6"/>
  <c r="BQ32" i="6" s="1"/>
  <c r="BG51" i="6"/>
  <c r="BC32" i="6"/>
  <c r="BP32" i="6" s="1"/>
  <c r="BG28" i="6"/>
  <c r="BU28" i="6" s="1"/>
  <c r="BW28" i="6" s="1"/>
  <c r="BC42" i="6"/>
  <c r="BP42" i="6" s="1"/>
  <c r="BF47" i="6"/>
  <c r="BS47" i="6" s="1"/>
  <c r="BE28" i="6"/>
  <c r="BR28" i="6" s="1"/>
  <c r="BV28" i="6" s="1"/>
  <c r="BG42" i="6"/>
  <c r="BT42" i="6" s="1"/>
  <c r="BO45" i="7"/>
  <c r="BC19" i="7"/>
  <c r="BC40" i="7"/>
  <c r="BD26" i="7"/>
  <c r="BF32" i="7"/>
  <c r="BK32" i="7" s="1"/>
  <c r="BE42" i="6"/>
  <c r="BR42" i="6" s="1"/>
  <c r="BV42" i="6" s="1"/>
  <c r="BU33" i="6"/>
  <c r="BW33" i="6" s="1"/>
  <c r="BE33" i="6"/>
  <c r="BR33" i="6" s="1"/>
  <c r="BD33" i="6"/>
  <c r="BQ33" i="6" s="1"/>
  <c r="BF33" i="6"/>
  <c r="BS33" i="6" s="1"/>
  <c r="BD58" i="6"/>
  <c r="BQ58" i="6" s="1"/>
  <c r="BF19" i="6"/>
  <c r="BS19" i="6" s="1"/>
  <c r="BC51" i="6"/>
  <c r="BP51" i="6" s="1"/>
  <c r="BE19" i="6"/>
  <c r="BR19" i="6" s="1"/>
  <c r="BD19" i="6"/>
  <c r="BQ19" i="6" s="1"/>
  <c r="BV20" i="6"/>
  <c r="BC26" i="6"/>
  <c r="BP26" i="6" s="1"/>
  <c r="BC61" i="6"/>
  <c r="BP61" i="6" s="1"/>
  <c r="BU23" i="6"/>
  <c r="BW23" i="6" s="1"/>
  <c r="BG43" i="6"/>
  <c r="BV45" i="6"/>
  <c r="BG61" i="6"/>
  <c r="BT61" i="6" s="1"/>
  <c r="BC43" i="6"/>
  <c r="BP43" i="6" s="1"/>
  <c r="BD50" i="6"/>
  <c r="BQ50" i="6" s="1"/>
  <c r="BV62" i="6"/>
  <c r="BD43" i="6"/>
  <c r="BQ43" i="6" s="1"/>
  <c r="BG26" i="6"/>
  <c r="BT26" i="6" s="1"/>
  <c r="BE26" i="6"/>
  <c r="BR26" i="6" s="1"/>
  <c r="BF58" i="6"/>
  <c r="BS58" i="6" s="1"/>
  <c r="BV58" i="6" s="1"/>
  <c r="BF43" i="6"/>
  <c r="BS43" i="6" s="1"/>
  <c r="BG30" i="6"/>
  <c r="BT30" i="6" s="1"/>
  <c r="BG58" i="6"/>
  <c r="BT58" i="6" s="1"/>
  <c r="BD26" i="6"/>
  <c r="BQ26" i="6" s="1"/>
  <c r="BF47" i="9"/>
  <c r="BR47" i="9" s="1"/>
  <c r="BE47" i="9"/>
  <c r="BQ47" i="9" s="1"/>
  <c r="BC47" i="9"/>
  <c r="BO47" i="9" s="1"/>
  <c r="BG47" i="9"/>
  <c r="BT47" i="9" s="1"/>
  <c r="BD47" i="9"/>
  <c r="BP47" i="9" s="1"/>
  <c r="BF44" i="9"/>
  <c r="BR44" i="9" s="1"/>
  <c r="BE44" i="9"/>
  <c r="BQ44" i="9" s="1"/>
  <c r="BC44" i="9"/>
  <c r="BO44" i="9" s="1"/>
  <c r="BD44" i="9"/>
  <c r="BP44" i="9" s="1"/>
  <c r="BG44" i="9"/>
  <c r="BG25" i="9"/>
  <c r="BF25" i="9"/>
  <c r="BR25" i="9" s="1"/>
  <c r="BE25" i="9"/>
  <c r="BQ25" i="9" s="1"/>
  <c r="BC25" i="9"/>
  <c r="BO25" i="9" s="1"/>
  <c r="BD25" i="9"/>
  <c r="BP25" i="9" s="1"/>
  <c r="BE51" i="9"/>
  <c r="BQ51" i="9" s="1"/>
  <c r="BG51" i="9"/>
  <c r="BT51" i="9" s="1"/>
  <c r="BC51" i="9"/>
  <c r="BO51" i="9" s="1"/>
  <c r="BD51" i="9"/>
  <c r="BP51" i="9" s="1"/>
  <c r="BF51" i="9"/>
  <c r="BR51" i="9" s="1"/>
  <c r="BF23" i="9"/>
  <c r="BR23" i="9" s="1"/>
  <c r="BD16" i="9"/>
  <c r="BP16" i="9" s="1"/>
  <c r="BS27" i="9"/>
  <c r="BT27" i="9"/>
  <c r="BF16" i="9"/>
  <c r="BR16" i="9" s="1"/>
  <c r="BE60" i="9"/>
  <c r="BQ60" i="9" s="1"/>
  <c r="BE16" i="9"/>
  <c r="BQ16" i="9" s="1"/>
  <c r="BF60" i="9"/>
  <c r="BR60" i="9" s="1"/>
  <c r="BD19" i="10"/>
  <c r="BQ19" i="10" s="1"/>
  <c r="BC19" i="10"/>
  <c r="BP19" i="10" s="1"/>
  <c r="BF19" i="10"/>
  <c r="BS19" i="10" s="1"/>
  <c r="BG19" i="10"/>
  <c r="BT19" i="10" s="1"/>
  <c r="BE19" i="10"/>
  <c r="BR19" i="10" s="1"/>
  <c r="BC40" i="10"/>
  <c r="BP40" i="10" s="1"/>
  <c r="BF40" i="10"/>
  <c r="BS40" i="10" s="1"/>
  <c r="BG40" i="10"/>
  <c r="BT40" i="10" s="1"/>
  <c r="BE40" i="10"/>
  <c r="BR40" i="10" s="1"/>
  <c r="BD40" i="10"/>
  <c r="BQ40" i="10" s="1"/>
  <c r="BE54" i="10"/>
  <c r="BR54" i="10" s="1"/>
  <c r="BG54" i="10"/>
  <c r="BT54" i="10" s="1"/>
  <c r="BD44" i="10"/>
  <c r="BQ44" i="10" s="1"/>
  <c r="BF44" i="10"/>
  <c r="BS44" i="10" s="1"/>
  <c r="BC44" i="10"/>
  <c r="BP44" i="10" s="1"/>
  <c r="BE44" i="10"/>
  <c r="BR44" i="10" s="1"/>
  <c r="BG44" i="10"/>
  <c r="BT44" i="10" s="1"/>
  <c r="BG35" i="10"/>
  <c r="BU35" i="10" s="1"/>
  <c r="BW35" i="10" s="1"/>
  <c r="BF35" i="10"/>
  <c r="BS35" i="10" s="1"/>
  <c r="BC35" i="10"/>
  <c r="BP35" i="10" s="1"/>
  <c r="BD35" i="10"/>
  <c r="BQ35" i="10" s="1"/>
  <c r="BE35" i="10"/>
  <c r="BR35" i="10" s="1"/>
  <c r="BE57" i="10"/>
  <c r="BR57" i="10" s="1"/>
  <c r="BD57" i="10"/>
  <c r="BQ57" i="10" s="1"/>
  <c r="BF57" i="10"/>
  <c r="BS57" i="10" s="1"/>
  <c r="BG57" i="10"/>
  <c r="BC57" i="10"/>
  <c r="BP57" i="10" s="1"/>
  <c r="BE49" i="10"/>
  <c r="BR49" i="10" s="1"/>
  <c r="BG49" i="10"/>
  <c r="BT49" i="10" s="1"/>
  <c r="BF49" i="10"/>
  <c r="BS49" i="10" s="1"/>
  <c r="BC49" i="10"/>
  <c r="BP49" i="10" s="1"/>
  <c r="BD49" i="10"/>
  <c r="BQ49" i="10" s="1"/>
  <c r="BG39" i="10"/>
  <c r="BT39" i="10" s="1"/>
  <c r="BG63" i="10"/>
  <c r="BE21" i="10"/>
  <c r="BR21" i="10" s="1"/>
  <c r="BV21" i="10" s="1"/>
  <c r="BD22" i="10"/>
  <c r="BQ22" i="10" s="1"/>
  <c r="BV22" i="10" s="1"/>
  <c r="BE39" i="10"/>
  <c r="BR39" i="10" s="1"/>
  <c r="BD39" i="10"/>
  <c r="BQ39" i="10" s="1"/>
  <c r="BV39" i="10" s="1"/>
  <c r="BC63" i="10"/>
  <c r="BP63" i="10" s="1"/>
  <c r="BF22" i="10"/>
  <c r="BS22" i="10" s="1"/>
  <c r="BG56" i="10"/>
  <c r="BT56" i="10" s="1"/>
  <c r="BD63" i="10"/>
  <c r="BQ63" i="10" s="1"/>
  <c r="BG22" i="10"/>
  <c r="BU22" i="10" s="1"/>
  <c r="BW22" i="10" s="1"/>
  <c r="BE63" i="10"/>
  <c r="BR63" i="10" s="1"/>
  <c r="BV63" i="10" s="1"/>
  <c r="BF56" i="10"/>
  <c r="BS56" i="10" s="1"/>
  <c r="BF46" i="11"/>
  <c r="BK46" i="11" s="1"/>
  <c r="BC46" i="11"/>
  <c r="BE46" i="11"/>
  <c r="BE39" i="11"/>
  <c r="BF39" i="11"/>
  <c r="BK39" i="11" s="1"/>
  <c r="BD39" i="11"/>
  <c r="BC39" i="11"/>
  <c r="BG39" i="11"/>
  <c r="BL39" i="11" s="1"/>
  <c r="BF14" i="11"/>
  <c r="BK14" i="11" s="1"/>
  <c r="BE14" i="11"/>
  <c r="BD14" i="11"/>
  <c r="BC14" i="11"/>
  <c r="BG14" i="11"/>
  <c r="BL14" i="11" s="1"/>
  <c r="BG25" i="11"/>
  <c r="BL25" i="11" s="1"/>
  <c r="BC25" i="11"/>
  <c r="BF25" i="11"/>
  <c r="BK25" i="11" s="1"/>
  <c r="BO25" i="11" s="1"/>
  <c r="BD25" i="11"/>
  <c r="BE25" i="11"/>
  <c r="BG9" i="11"/>
  <c r="BL9" i="11" s="1"/>
  <c r="BE9" i="11"/>
  <c r="BC9" i="11"/>
  <c r="BD9" i="11"/>
  <c r="BF9" i="11"/>
  <c r="BK9" i="11" s="1"/>
  <c r="BF32" i="11"/>
  <c r="BK32" i="11" s="1"/>
  <c r="BC32" i="11"/>
  <c r="BE32" i="11"/>
  <c r="BG32" i="11"/>
  <c r="BL32" i="11" s="1"/>
  <c r="BD32" i="11"/>
  <c r="BC22" i="11"/>
  <c r="BG22" i="11"/>
  <c r="BL22" i="11" s="1"/>
  <c r="BE22" i="11"/>
  <c r="BF22" i="11"/>
  <c r="BK22" i="11" s="1"/>
  <c r="BO22" i="11" s="1"/>
  <c r="BD22" i="11"/>
  <c r="BF56" i="11"/>
  <c r="BK56" i="11" s="1"/>
  <c r="BD56" i="11"/>
  <c r="BG56" i="11"/>
  <c r="BL56" i="11" s="1"/>
  <c r="BE56" i="11"/>
  <c r="BC56" i="11"/>
  <c r="BG28" i="11"/>
  <c r="BL28" i="11" s="1"/>
  <c r="BF28" i="11"/>
  <c r="BK28" i="11" s="1"/>
  <c r="BO28" i="11" s="1"/>
  <c r="BE28" i="11"/>
  <c r="BC28" i="11"/>
  <c r="BD28" i="11"/>
  <c r="BE63" i="11"/>
  <c r="BD63" i="11"/>
  <c r="BC63" i="11"/>
  <c r="BG63" i="11"/>
  <c r="BL63" i="11" s="1"/>
  <c r="BF63" i="11"/>
  <c r="BK63" i="11" s="1"/>
  <c r="BO63" i="11" s="1"/>
  <c r="BG35" i="11"/>
  <c r="BL35" i="11" s="1"/>
  <c r="BE44" i="11"/>
  <c r="BD42" i="11"/>
  <c r="BC35" i="11"/>
  <c r="BD44" i="11"/>
  <c r="BF35" i="11"/>
  <c r="BK35" i="11" s="1"/>
  <c r="BE51" i="11"/>
  <c r="BD46" i="11"/>
  <c r="BC60" i="10"/>
  <c r="BP60" i="10" s="1"/>
  <c r="BE53" i="10"/>
  <c r="BR53" i="10" s="1"/>
  <c r="BG60" i="10"/>
  <c r="BT60" i="10" s="1"/>
  <c r="BC56" i="10"/>
  <c r="BP56" i="10" s="1"/>
  <c r="BE60" i="10"/>
  <c r="BR60" i="10" s="1"/>
  <c r="BF60" i="10"/>
  <c r="BS60" i="10" s="1"/>
  <c r="BG53" i="10"/>
  <c r="BU53" i="10" s="1"/>
  <c r="BW53" i="10" s="1"/>
  <c r="BD56" i="10"/>
  <c r="BQ56" i="10" s="1"/>
  <c r="BE32" i="9"/>
  <c r="BQ32" i="9" s="1"/>
  <c r="BG32" i="9"/>
  <c r="BT32" i="9" s="1"/>
  <c r="BG53" i="9"/>
  <c r="BT53" i="9" s="1"/>
  <c r="BC32" i="9"/>
  <c r="BO32" i="9" s="1"/>
  <c r="BC53" i="9"/>
  <c r="BO53" i="9" s="1"/>
  <c r="BD32" i="9"/>
  <c r="BP32" i="9" s="1"/>
  <c r="BC57" i="9"/>
  <c r="BO57" i="9" s="1"/>
  <c r="BC44" i="5"/>
  <c r="BO44" i="5" s="1"/>
  <c r="BD44" i="5"/>
  <c r="BP44" i="5" s="1"/>
  <c r="BF44" i="5"/>
  <c r="BR44" i="5" s="1"/>
  <c r="BG44" i="5"/>
  <c r="BE44" i="5"/>
  <c r="BQ44" i="5" s="1"/>
  <c r="BE26" i="5"/>
  <c r="BQ26" i="5" s="1"/>
  <c r="BF26" i="5"/>
  <c r="BR26" i="5" s="1"/>
  <c r="BC26" i="5"/>
  <c r="BO26" i="5" s="1"/>
  <c r="BG26" i="5"/>
  <c r="BT26" i="5" s="1"/>
  <c r="BD26" i="5"/>
  <c r="BP26" i="5" s="1"/>
  <c r="BE61" i="5"/>
  <c r="BQ61" i="5" s="1"/>
  <c r="BF61" i="5"/>
  <c r="BR61" i="5" s="1"/>
  <c r="BG61" i="5"/>
  <c r="BS61" i="5" s="1"/>
  <c r="BC61" i="5"/>
  <c r="BO61" i="5" s="1"/>
  <c r="BD61" i="5"/>
  <c r="BP61" i="5" s="1"/>
  <c r="BC47" i="5"/>
  <c r="BO47" i="5" s="1"/>
  <c r="BE47" i="5"/>
  <c r="BQ47" i="5" s="1"/>
  <c r="BD47" i="5"/>
  <c r="BP47" i="5" s="1"/>
  <c r="BG47" i="5"/>
  <c r="BF47" i="5"/>
  <c r="BR47" i="5" s="1"/>
  <c r="BG25" i="5"/>
  <c r="BF25" i="5"/>
  <c r="BR25" i="5" s="1"/>
  <c r="BE25" i="5"/>
  <c r="BQ25" i="5" s="1"/>
  <c r="BD25" i="5"/>
  <c r="BP25" i="5" s="1"/>
  <c r="BC25" i="5"/>
  <c r="BO25" i="5" s="1"/>
  <c r="BG29" i="5"/>
  <c r="BF29" i="5"/>
  <c r="BR29" i="5" s="1"/>
  <c r="BC29" i="5"/>
  <c r="BO29" i="5" s="1"/>
  <c r="BD29" i="5"/>
  <c r="BP29" i="5" s="1"/>
  <c r="BE29" i="5"/>
  <c r="BQ29" i="5" s="1"/>
  <c r="BF37" i="5"/>
  <c r="BR37" i="5" s="1"/>
  <c r="BC37" i="5"/>
  <c r="BO37" i="5" s="1"/>
  <c r="BD37" i="5"/>
  <c r="BP37" i="5" s="1"/>
  <c r="BE37" i="5"/>
  <c r="BQ37" i="5" s="1"/>
  <c r="BG37" i="5"/>
  <c r="BG35" i="5"/>
  <c r="BT35" i="5" s="1"/>
  <c r="BD28" i="5"/>
  <c r="BP28" i="5" s="1"/>
  <c r="BF28" i="5"/>
  <c r="BR28" i="5" s="1"/>
  <c r="BF35" i="5"/>
  <c r="BR35" i="5" s="1"/>
  <c r="AX9" i="5"/>
  <c r="BC28" i="5"/>
  <c r="BO28" i="5" s="1"/>
  <c r="BF19" i="5"/>
  <c r="BR19" i="5" s="1"/>
  <c r="AX13" i="5"/>
  <c r="BD60" i="5"/>
  <c r="BP60" i="5" s="1"/>
  <c r="BD35" i="5"/>
  <c r="BP35" i="5" s="1"/>
  <c r="AX12" i="5"/>
  <c r="AX11" i="5"/>
  <c r="BB11" i="5" s="1"/>
  <c r="BD53" i="5"/>
  <c r="BP53" i="5" s="1"/>
  <c r="BG58" i="5"/>
  <c r="BT58" i="5" s="1"/>
  <c r="BD19" i="5"/>
  <c r="BP19" i="5" s="1"/>
  <c r="BG19" i="5"/>
  <c r="BD57" i="5"/>
  <c r="BP57" i="5" s="1"/>
  <c r="BC30" i="5"/>
  <c r="BO30" i="5" s="1"/>
  <c r="BB50" i="5"/>
  <c r="BE50" i="5" s="1"/>
  <c r="BQ50" i="5" s="1"/>
  <c r="BT31" i="5"/>
  <c r="BS41" i="5"/>
  <c r="BG56" i="5"/>
  <c r="BS56" i="5" s="1"/>
  <c r="BT53" i="5"/>
  <c r="BF53" i="5"/>
  <c r="BR53" i="5" s="1"/>
  <c r="BE53" i="5"/>
  <c r="BQ53" i="5" s="1"/>
  <c r="BG33" i="5"/>
  <c r="BT33" i="5" s="1"/>
  <c r="BE63" i="5"/>
  <c r="BQ63" i="5" s="1"/>
  <c r="BC53" i="5"/>
  <c r="BO53" i="5" s="1"/>
  <c r="BE19" i="5"/>
  <c r="BQ19" i="5" s="1"/>
  <c r="BF57" i="5"/>
  <c r="BR57" i="5" s="1"/>
  <c r="BD30" i="5"/>
  <c r="BP30" i="5" s="1"/>
  <c r="BG57" i="5"/>
  <c r="BS57" i="5" s="1"/>
  <c r="BG30" i="5"/>
  <c r="BO31" i="11"/>
  <c r="BU18" i="10"/>
  <c r="BW18" i="10" s="1"/>
  <c r="BU41" i="6"/>
  <c r="BW41" i="6" s="1"/>
  <c r="BU62" i="6"/>
  <c r="BW62" i="6" s="1"/>
  <c r="BV13" i="6"/>
  <c r="BS20" i="5"/>
  <c r="BS62" i="5"/>
  <c r="BN61" i="3"/>
  <c r="BG18" i="11"/>
  <c r="BL18" i="11" s="1"/>
  <c r="BC19" i="11"/>
  <c r="BF44" i="11"/>
  <c r="BK44" i="11" s="1"/>
  <c r="BG44" i="11"/>
  <c r="BL44" i="11" s="1"/>
  <c r="BD19" i="11"/>
  <c r="BG51" i="11"/>
  <c r="BL51" i="11" s="1"/>
  <c r="BO51" i="11" s="1"/>
  <c r="BF19" i="11"/>
  <c r="BK19" i="11" s="1"/>
  <c r="BD51" i="11"/>
  <c r="BE19" i="11"/>
  <c r="BC51" i="11"/>
  <c r="BO26" i="11"/>
  <c r="BD50" i="11"/>
  <c r="BC32" i="7"/>
  <c r="BF8" i="7"/>
  <c r="BK8" i="7" s="1"/>
  <c r="BO8" i="7" s="1"/>
  <c r="BG32" i="7"/>
  <c r="BL32" i="7" s="1"/>
  <c r="BO32" i="7" s="1"/>
  <c r="BD46" i="7"/>
  <c r="BD39" i="7"/>
  <c r="BC50" i="7"/>
  <c r="BE63" i="7"/>
  <c r="BE40" i="7"/>
  <c r="BF63" i="7"/>
  <c r="BK63" i="7" s="1"/>
  <c r="BO63" i="7" s="1"/>
  <c r="BD63" i="7"/>
  <c r="BD47" i="7"/>
  <c r="BO62" i="7"/>
  <c r="BC63" i="7"/>
  <c r="BD16" i="7"/>
  <c r="BE46" i="7"/>
  <c r="BC47" i="7"/>
  <c r="BE47" i="7"/>
  <c r="BD44" i="7"/>
  <c r="BG16" i="7"/>
  <c r="BL16" i="7" s="1"/>
  <c r="BC8" i="7"/>
  <c r="BG46" i="7"/>
  <c r="BL46" i="7" s="1"/>
  <c r="BG47" i="7"/>
  <c r="BL47" i="7" s="1"/>
  <c r="BO47" i="7" s="1"/>
  <c r="BD40" i="7"/>
  <c r="BE8" i="7"/>
  <c r="BE50" i="7"/>
  <c r="BT35" i="10"/>
  <c r="BD46" i="10"/>
  <c r="BQ46" i="10" s="1"/>
  <c r="BV26" i="10"/>
  <c r="BV24" i="6"/>
  <c r="BF40" i="6"/>
  <c r="BS40" i="6" s="1"/>
  <c r="BF61" i="6"/>
  <c r="BS61" i="6" s="1"/>
  <c r="BE30" i="6"/>
  <c r="BR30" i="6" s="1"/>
  <c r="BG32" i="6"/>
  <c r="BT32" i="6" s="1"/>
  <c r="BF51" i="6"/>
  <c r="BS51" i="6" s="1"/>
  <c r="BE47" i="6"/>
  <c r="BR47" i="6" s="1"/>
  <c r="BE61" i="6"/>
  <c r="BR61" i="6" s="1"/>
  <c r="BC33" i="6"/>
  <c r="BP33" i="6" s="1"/>
  <c r="BV41" i="6"/>
  <c r="BD47" i="6"/>
  <c r="BQ47" i="6" s="1"/>
  <c r="BC19" i="6"/>
  <c r="BP19" i="6" s="1"/>
  <c r="BD30" i="6"/>
  <c r="BQ30" i="6" s="1"/>
  <c r="BF32" i="6"/>
  <c r="BS32" i="6" s="1"/>
  <c r="BE51" i="6"/>
  <c r="BR51" i="6" s="1"/>
  <c r="BC47" i="6"/>
  <c r="BP47" i="6" s="1"/>
  <c r="BC30" i="6"/>
  <c r="BP30" i="6" s="1"/>
  <c r="BU57" i="6"/>
  <c r="BW57" i="6" s="1"/>
  <c r="BE21" i="9"/>
  <c r="BQ21" i="9" s="1"/>
  <c r="BF21" i="9"/>
  <c r="BR21" i="9" s="1"/>
  <c r="BG60" i="9"/>
  <c r="BT60" i="9" s="1"/>
  <c r="BC60" i="9"/>
  <c r="BO60" i="9" s="1"/>
  <c r="BC12" i="9"/>
  <c r="BO12" i="9" s="1"/>
  <c r="BG23" i="9"/>
  <c r="BS23" i="9" s="1"/>
  <c r="BC23" i="9"/>
  <c r="BO23" i="9" s="1"/>
  <c r="BD57" i="9"/>
  <c r="BP57" i="9" s="1"/>
  <c r="BD23" i="9"/>
  <c r="BP23" i="9" s="1"/>
  <c r="BS37" i="9"/>
  <c r="BE57" i="9"/>
  <c r="BQ57" i="9" s="1"/>
  <c r="BF57" i="9"/>
  <c r="BR57" i="9" s="1"/>
  <c r="BF23" i="5"/>
  <c r="BR23" i="5" s="1"/>
  <c r="BG23" i="5"/>
  <c r="BT23" i="5" s="1"/>
  <c r="BE46" i="5"/>
  <c r="BQ46" i="5" s="1"/>
  <c r="BF56" i="5"/>
  <c r="BR56" i="5" s="1"/>
  <c r="BT48" i="5"/>
  <c r="BF46" i="5"/>
  <c r="BR46" i="5" s="1"/>
  <c r="BE56" i="5"/>
  <c r="BQ56" i="5" s="1"/>
  <c r="BC46" i="5"/>
  <c r="BO46" i="5" s="1"/>
  <c r="BD56" i="5"/>
  <c r="BP56" i="5" s="1"/>
  <c r="BE30" i="5"/>
  <c r="BQ30" i="5" s="1"/>
  <c r="BG46" i="5"/>
  <c r="BT46" i="5" s="1"/>
  <c r="BN47" i="8"/>
  <c r="BF18" i="11"/>
  <c r="BK18" i="11" s="1"/>
  <c r="BU26" i="10"/>
  <c r="BW26" i="10" s="1"/>
  <c r="BG46" i="11"/>
  <c r="BL46" i="11" s="1"/>
  <c r="BO46" i="11" s="1"/>
  <c r="BO19" i="11"/>
  <c r="BC18" i="11"/>
  <c r="BG46" i="10"/>
  <c r="BF46" i="10"/>
  <c r="BS46" i="10" s="1"/>
  <c r="BV34" i="6"/>
  <c r="BD12" i="9"/>
  <c r="BP12" i="9" s="1"/>
  <c r="BF50" i="7"/>
  <c r="BK50" i="7" s="1"/>
  <c r="BV57" i="6"/>
  <c r="BD18" i="11"/>
  <c r="BG50" i="7"/>
  <c r="BL50" i="7" s="1"/>
  <c r="BU40" i="6"/>
  <c r="BW40" i="6" s="1"/>
  <c r="BT40" i="6"/>
  <c r="BN36" i="8"/>
  <c r="BG21" i="9"/>
  <c r="BT21" i="9" s="1"/>
  <c r="BF12" i="9"/>
  <c r="BR12" i="9" s="1"/>
  <c r="BC53" i="10"/>
  <c r="BP53" i="10" s="1"/>
  <c r="BD36" i="10"/>
  <c r="BQ36" i="10" s="1"/>
  <c r="BF54" i="10"/>
  <c r="BS54" i="10" s="1"/>
  <c r="BO61" i="11"/>
  <c r="BD63" i="5"/>
  <c r="BP63" i="5" s="1"/>
  <c r="BU34" i="6"/>
  <c r="BW34" i="6" s="1"/>
  <c r="BE40" i="5"/>
  <c r="BQ40" i="5" s="1"/>
  <c r="BE58" i="7"/>
  <c r="BF63" i="5"/>
  <c r="BR63" i="5" s="1"/>
  <c r="BN50" i="3"/>
  <c r="BO50" i="3" s="1"/>
  <c r="BS51" i="9"/>
  <c r="BF53" i="10"/>
  <c r="BS53" i="10" s="1"/>
  <c r="BE36" i="10"/>
  <c r="BR36" i="10" s="1"/>
  <c r="BF36" i="10"/>
  <c r="BS36" i="10" s="1"/>
  <c r="BV35" i="10"/>
  <c r="BC58" i="7"/>
  <c r="BC40" i="6"/>
  <c r="BP40" i="6" s="1"/>
  <c r="BE40" i="6"/>
  <c r="BR40" i="6" s="1"/>
  <c r="BC21" i="9"/>
  <c r="BO21" i="9" s="1"/>
  <c r="BE12" i="9"/>
  <c r="BQ12" i="9" s="1"/>
  <c r="BV42" i="10"/>
  <c r="BD40" i="6"/>
  <c r="BQ40" i="6" s="1"/>
  <c r="BT58" i="10"/>
  <c r="BC54" i="10"/>
  <c r="BP54" i="10" s="1"/>
  <c r="BF32" i="5"/>
  <c r="BR32" i="5" s="1"/>
  <c r="BC44" i="7"/>
  <c r="BN8" i="8"/>
  <c r="BS29" i="9"/>
  <c r="BD54" i="10"/>
  <c r="BQ54" i="10" s="1"/>
  <c r="BV38" i="10"/>
  <c r="BF53" i="11"/>
  <c r="BK53" i="11" s="1"/>
  <c r="BJ12" i="3"/>
  <c r="BI12" i="3"/>
  <c r="BF22" i="7"/>
  <c r="BK22" i="7" s="1"/>
  <c r="BG22" i="7"/>
  <c r="BL22" i="7" s="1"/>
  <c r="BE22" i="7"/>
  <c r="BD22" i="7"/>
  <c r="BN50" i="8"/>
  <c r="BO50" i="11"/>
  <c r="BE53" i="11"/>
  <c r="BO43" i="11"/>
  <c r="BO40" i="11"/>
  <c r="BC53" i="11"/>
  <c r="BO16" i="11"/>
  <c r="BG53" i="11"/>
  <c r="BL53" i="11" s="1"/>
  <c r="BO49" i="11"/>
  <c r="BC23" i="11"/>
  <c r="BF23" i="11"/>
  <c r="BK23" i="11" s="1"/>
  <c r="BE23" i="11"/>
  <c r="BG23" i="11"/>
  <c r="BL23" i="11" s="1"/>
  <c r="BD23" i="11"/>
  <c r="BO60" i="11"/>
  <c r="BO33" i="11"/>
  <c r="BE8" i="11"/>
  <c r="BF8" i="11"/>
  <c r="BK8" i="11" s="1"/>
  <c r="BD8" i="11"/>
  <c r="BC8" i="11"/>
  <c r="BG8" i="11"/>
  <c r="BL8" i="11" s="1"/>
  <c r="BO42" i="11"/>
  <c r="BG15" i="11"/>
  <c r="BL15" i="11" s="1"/>
  <c r="BF15" i="11"/>
  <c r="BK15" i="11" s="1"/>
  <c r="BE15" i="11"/>
  <c r="BD15" i="11"/>
  <c r="BC15" i="11"/>
  <c r="BE54" i="11"/>
  <c r="BC54" i="11"/>
  <c r="BF54" i="11"/>
  <c r="BK54" i="11" s="1"/>
  <c r="BG54" i="11"/>
  <c r="BL54" i="11" s="1"/>
  <c r="BD54" i="11"/>
  <c r="BG47" i="11"/>
  <c r="BL47" i="11" s="1"/>
  <c r="BE47" i="11"/>
  <c r="BC47" i="11"/>
  <c r="BD47" i="11"/>
  <c r="BF47" i="11"/>
  <c r="BK47" i="11" s="1"/>
  <c r="BC29" i="11"/>
  <c r="BE29" i="11"/>
  <c r="BD29" i="11"/>
  <c r="BG29" i="11"/>
  <c r="BL29" i="11" s="1"/>
  <c r="BF29" i="11"/>
  <c r="BK29" i="11" s="1"/>
  <c r="BG58" i="11"/>
  <c r="BL58" i="11" s="1"/>
  <c r="BE58" i="11"/>
  <c r="BF58" i="11"/>
  <c r="BK58" i="11" s="1"/>
  <c r="BD58" i="11"/>
  <c r="BC58" i="11"/>
  <c r="BG11" i="11"/>
  <c r="BL11" i="11" s="1"/>
  <c r="BF11" i="11"/>
  <c r="BK11" i="11" s="1"/>
  <c r="BE11" i="11"/>
  <c r="BD11" i="11"/>
  <c r="BC11" i="11"/>
  <c r="BO45" i="11"/>
  <c r="BO30" i="11"/>
  <c r="BO21" i="11"/>
  <c r="BV58" i="10"/>
  <c r="BV11" i="10"/>
  <c r="BV51" i="10"/>
  <c r="BG15" i="10"/>
  <c r="BC15" i="10"/>
  <c r="BP15" i="10" s="1"/>
  <c r="BF15" i="10"/>
  <c r="BS15" i="10" s="1"/>
  <c r="BE15" i="10"/>
  <c r="BR15" i="10" s="1"/>
  <c r="BD15" i="10"/>
  <c r="BQ15" i="10" s="1"/>
  <c r="BU9" i="10"/>
  <c r="BW9" i="10" s="1"/>
  <c r="BT9" i="10"/>
  <c r="BV16" i="10"/>
  <c r="BE43" i="10"/>
  <c r="BR43" i="10" s="1"/>
  <c r="BG43" i="10"/>
  <c r="BF43" i="10"/>
  <c r="BS43" i="10" s="1"/>
  <c r="BD43" i="10"/>
  <c r="BQ43" i="10" s="1"/>
  <c r="BC43" i="10"/>
  <c r="BP43" i="10" s="1"/>
  <c r="BV55" i="10"/>
  <c r="BV8" i="10"/>
  <c r="BT16" i="10"/>
  <c r="BU16" i="10"/>
  <c r="BW16" i="10" s="1"/>
  <c r="BU33" i="10"/>
  <c r="BW33" i="10" s="1"/>
  <c r="BT33" i="10"/>
  <c r="BT37" i="10"/>
  <c r="BU37" i="10"/>
  <c r="BW37" i="10" s="1"/>
  <c r="BU51" i="10"/>
  <c r="BW51" i="10" s="1"/>
  <c r="BT51" i="10"/>
  <c r="BG30" i="10"/>
  <c r="BF30" i="10"/>
  <c r="BS30" i="10" s="1"/>
  <c r="BE30" i="10"/>
  <c r="BR30" i="10" s="1"/>
  <c r="BC30" i="10"/>
  <c r="BP30" i="10" s="1"/>
  <c r="BD30" i="10"/>
  <c r="BQ30" i="10" s="1"/>
  <c r="BU19" i="10"/>
  <c r="BW19" i="10" s="1"/>
  <c r="BU63" i="10"/>
  <c r="BW63" i="10" s="1"/>
  <c r="BT63" i="10"/>
  <c r="BU14" i="10"/>
  <c r="BW14" i="10" s="1"/>
  <c r="BT14" i="10"/>
  <c r="BV37" i="10"/>
  <c r="BU12" i="10"/>
  <c r="BW12" i="10" s="1"/>
  <c r="BT12" i="10"/>
  <c r="BG32" i="10"/>
  <c r="BC32" i="10"/>
  <c r="BP32" i="10" s="1"/>
  <c r="BF32" i="10"/>
  <c r="BS32" i="10" s="1"/>
  <c r="BE32" i="10"/>
  <c r="BR32" i="10" s="1"/>
  <c r="BD32" i="10"/>
  <c r="BQ32" i="10" s="1"/>
  <c r="BV12" i="10"/>
  <c r="BT21" i="10"/>
  <c r="BU21" i="10"/>
  <c r="BW21" i="10" s="1"/>
  <c r="BV14" i="10"/>
  <c r="BV9" i="10"/>
  <c r="BU23" i="10"/>
  <c r="BW23" i="10" s="1"/>
  <c r="BT23" i="10"/>
  <c r="BV25" i="10"/>
  <c r="BU28" i="10"/>
  <c r="BW28" i="10" s="1"/>
  <c r="BT28" i="10"/>
  <c r="BV33" i="10"/>
  <c r="BU11" i="10"/>
  <c r="BW11" i="10" s="1"/>
  <c r="BT11" i="10"/>
  <c r="BU56" i="10"/>
  <c r="BW56" i="10" s="1"/>
  <c r="BT55" i="10"/>
  <c r="BU55" i="10"/>
  <c r="BW55" i="10" s="1"/>
  <c r="BU39" i="10"/>
  <c r="BW39" i="10" s="1"/>
  <c r="BV28" i="10"/>
  <c r="BG61" i="10"/>
  <c r="BF61" i="10"/>
  <c r="BS61" i="10" s="1"/>
  <c r="BE61" i="10"/>
  <c r="BR61" i="10" s="1"/>
  <c r="BD61" i="10"/>
  <c r="BQ61" i="10" s="1"/>
  <c r="BC61" i="10"/>
  <c r="BP61" i="10" s="1"/>
  <c r="BV29" i="10"/>
  <c r="BU36" i="10"/>
  <c r="BW36" i="10" s="1"/>
  <c r="BT36" i="10"/>
  <c r="BU25" i="10"/>
  <c r="BW25" i="10" s="1"/>
  <c r="BT25" i="10"/>
  <c r="BU8" i="10"/>
  <c r="BW8" i="10" s="1"/>
  <c r="BT8" i="10"/>
  <c r="BC50" i="10"/>
  <c r="BP50" i="10" s="1"/>
  <c r="BD50" i="10"/>
  <c r="BQ50" i="10" s="1"/>
  <c r="BE50" i="10"/>
  <c r="BR50" i="10" s="1"/>
  <c r="BF50" i="10"/>
  <c r="BS50" i="10" s="1"/>
  <c r="BG50" i="10"/>
  <c r="BV23" i="10"/>
  <c r="BU29" i="10"/>
  <c r="BW29" i="10" s="1"/>
  <c r="BT29" i="10"/>
  <c r="BU57" i="10"/>
  <c r="BW57" i="10" s="1"/>
  <c r="BT57" i="10"/>
  <c r="BT42" i="10"/>
  <c r="BU42" i="10"/>
  <c r="BW42" i="10" s="1"/>
  <c r="BU40" i="10"/>
  <c r="BW40" i="10" s="1"/>
  <c r="BS32" i="9"/>
  <c r="BG35" i="9"/>
  <c r="BF35" i="9"/>
  <c r="BR35" i="9" s="1"/>
  <c r="BE35" i="9"/>
  <c r="BQ35" i="9" s="1"/>
  <c r="BD35" i="9"/>
  <c r="BP35" i="9" s="1"/>
  <c r="BC35" i="9"/>
  <c r="BO35" i="9" s="1"/>
  <c r="BD19" i="9"/>
  <c r="BP19" i="9" s="1"/>
  <c r="BG19" i="9"/>
  <c r="BF19" i="9"/>
  <c r="BR19" i="9" s="1"/>
  <c r="BE19" i="9"/>
  <c r="BQ19" i="9" s="1"/>
  <c r="BC19" i="9"/>
  <c r="BO19" i="9" s="1"/>
  <c r="BC28" i="9"/>
  <c r="BO28" i="9" s="1"/>
  <c r="BD28" i="9"/>
  <c r="BP28" i="9" s="1"/>
  <c r="BF28" i="9"/>
  <c r="BR28" i="9" s="1"/>
  <c r="BE28" i="9"/>
  <c r="BQ28" i="9" s="1"/>
  <c r="BG28" i="9"/>
  <c r="BG18" i="9"/>
  <c r="BF18" i="9"/>
  <c r="BR18" i="9" s="1"/>
  <c r="BE18" i="9"/>
  <c r="BQ18" i="9" s="1"/>
  <c r="BD18" i="9"/>
  <c r="BP18" i="9" s="1"/>
  <c r="BC18" i="9"/>
  <c r="BO18" i="9" s="1"/>
  <c r="BG43" i="9"/>
  <c r="BF43" i="9"/>
  <c r="BR43" i="9" s="1"/>
  <c r="BE43" i="9"/>
  <c r="BQ43" i="9" s="1"/>
  <c r="BD43" i="9"/>
  <c r="BP43" i="9" s="1"/>
  <c r="BC43" i="9"/>
  <c r="BO43" i="9" s="1"/>
  <c r="BT11" i="9"/>
  <c r="BS11" i="9"/>
  <c r="BE42" i="9"/>
  <c r="BQ42" i="9" s="1"/>
  <c r="BD42" i="9"/>
  <c r="BP42" i="9" s="1"/>
  <c r="BC42" i="9"/>
  <c r="BO42" i="9" s="1"/>
  <c r="BG42" i="9"/>
  <c r="BF42" i="9"/>
  <c r="BR42" i="9" s="1"/>
  <c r="BG9" i="9"/>
  <c r="BF9" i="9"/>
  <c r="BR9" i="9" s="1"/>
  <c r="BE9" i="9"/>
  <c r="BQ9" i="9" s="1"/>
  <c r="BD9" i="9"/>
  <c r="BP9" i="9" s="1"/>
  <c r="BC9" i="9"/>
  <c r="BO9" i="9" s="1"/>
  <c r="BT49" i="9"/>
  <c r="BS49" i="9"/>
  <c r="BS8" i="9"/>
  <c r="BT8" i="9"/>
  <c r="BG30" i="9"/>
  <c r="BF30" i="9"/>
  <c r="BR30" i="9" s="1"/>
  <c r="BE30" i="9"/>
  <c r="BQ30" i="9" s="1"/>
  <c r="BD30" i="9"/>
  <c r="BP30" i="9" s="1"/>
  <c r="BC30" i="9"/>
  <c r="BO30" i="9" s="1"/>
  <c r="BT14" i="9"/>
  <c r="BS14" i="9"/>
  <c r="BC22" i="9"/>
  <c r="BO22" i="9" s="1"/>
  <c r="BD22" i="9"/>
  <c r="BP22" i="9" s="1"/>
  <c r="BG22" i="9"/>
  <c r="BF22" i="9"/>
  <c r="BR22" i="9" s="1"/>
  <c r="BE22" i="9"/>
  <c r="BQ22" i="9" s="1"/>
  <c r="BT33" i="9"/>
  <c r="BS33" i="9"/>
  <c r="BS47" i="9"/>
  <c r="BT15" i="9"/>
  <c r="BS15" i="9"/>
  <c r="BS40" i="9"/>
  <c r="BT40" i="9"/>
  <c r="BT16" i="9"/>
  <c r="BS16" i="9"/>
  <c r="BC36" i="9"/>
  <c r="BO36" i="9" s="1"/>
  <c r="BG36" i="9"/>
  <c r="BF36" i="9"/>
  <c r="BR36" i="9" s="1"/>
  <c r="BE36" i="9"/>
  <c r="BQ36" i="9" s="1"/>
  <c r="BD36" i="9"/>
  <c r="BP36" i="9" s="1"/>
  <c r="BS57" i="9"/>
  <c r="BT57" i="9"/>
  <c r="BC50" i="9"/>
  <c r="BO50" i="9" s="1"/>
  <c r="BG50" i="9"/>
  <c r="BF50" i="9"/>
  <c r="BR50" i="9" s="1"/>
  <c r="BE50" i="9"/>
  <c r="BQ50" i="9" s="1"/>
  <c r="BD50" i="9"/>
  <c r="BP50" i="9" s="1"/>
  <c r="BT44" i="9"/>
  <c r="BS44" i="9"/>
  <c r="BT26" i="9"/>
  <c r="BS26" i="9"/>
  <c r="BT12" i="9"/>
  <c r="BS12" i="9"/>
  <c r="BT56" i="9"/>
  <c r="BS56" i="9"/>
  <c r="BT54" i="9"/>
  <c r="BS54" i="9"/>
  <c r="BG58" i="9"/>
  <c r="BC58" i="9"/>
  <c r="BO58" i="9" s="1"/>
  <c r="BE58" i="9"/>
  <c r="BQ58" i="9" s="1"/>
  <c r="BD58" i="9"/>
  <c r="BP58" i="9" s="1"/>
  <c r="BF58" i="9"/>
  <c r="BR58" i="9" s="1"/>
  <c r="BN25" i="8"/>
  <c r="BN29" i="8"/>
  <c r="BN11" i="8"/>
  <c r="BD8" i="7"/>
  <c r="BC50" i="6"/>
  <c r="BP50" i="6" s="1"/>
  <c r="BG50" i="6"/>
  <c r="BT50" i="6" s="1"/>
  <c r="BE50" i="6"/>
  <c r="BR50" i="6" s="1"/>
  <c r="BS60" i="5"/>
  <c r="BF58" i="5"/>
  <c r="BR58" i="5" s="1"/>
  <c r="BG63" i="5"/>
  <c r="BC40" i="5"/>
  <c r="BO40" i="5" s="1"/>
  <c r="BD40" i="5"/>
  <c r="BP40" i="5" s="1"/>
  <c r="BE39" i="7"/>
  <c r="BF39" i="7"/>
  <c r="BK39" i="7" s="1"/>
  <c r="BO39" i="7" s="1"/>
  <c r="BG40" i="5"/>
  <c r="BT40" i="5" s="1"/>
  <c r="BD33" i="5"/>
  <c r="BP33" i="5" s="1"/>
  <c r="BO34" i="7"/>
  <c r="BD32" i="5"/>
  <c r="BP32" i="5" s="1"/>
  <c r="BC26" i="7"/>
  <c r="BC23" i="5"/>
  <c r="BO23" i="5" s="1"/>
  <c r="BE23" i="5"/>
  <c r="BQ23" i="5" s="1"/>
  <c r="BD23" i="5"/>
  <c r="BP23" i="5" s="1"/>
  <c r="BF26" i="7"/>
  <c r="BK26" i="7" s="1"/>
  <c r="BO26" i="7" s="1"/>
  <c r="BV23" i="6"/>
  <c r="BG19" i="7"/>
  <c r="BL19" i="7" s="1"/>
  <c r="BD19" i="7"/>
  <c r="BN21" i="8"/>
  <c r="BN19" i="8"/>
  <c r="BD11" i="6"/>
  <c r="BQ11" i="6" s="1"/>
  <c r="BG18" i="5"/>
  <c r="BS18" i="5" s="1"/>
  <c r="BD18" i="5"/>
  <c r="BP18" i="5" s="1"/>
  <c r="BE16" i="7"/>
  <c r="BC18" i="5"/>
  <c r="BO18" i="5" s="1"/>
  <c r="BN16" i="3"/>
  <c r="BF12" i="6"/>
  <c r="BS12" i="6" s="1"/>
  <c r="BG12" i="6"/>
  <c r="BT12" i="6" s="1"/>
  <c r="BE18" i="7"/>
  <c r="BH14" i="3"/>
  <c r="BL14" i="3"/>
  <c r="BF16" i="7"/>
  <c r="BK16" i="7" s="1"/>
  <c r="BF19" i="7"/>
  <c r="BK19" i="7" s="1"/>
  <c r="BO19" i="7" s="1"/>
  <c r="BF15" i="7"/>
  <c r="BK15" i="7" s="1"/>
  <c r="BG11" i="6"/>
  <c r="BT11" i="6" s="1"/>
  <c r="BG15" i="7"/>
  <c r="BL15" i="7" s="1"/>
  <c r="BG18" i="7"/>
  <c r="BL18" i="7" s="1"/>
  <c r="BD12" i="6"/>
  <c r="BQ12" i="6" s="1"/>
  <c r="BC15" i="7"/>
  <c r="BD15" i="7"/>
  <c r="BN44" i="8"/>
  <c r="BN46" i="8"/>
  <c r="BN51" i="8"/>
  <c r="BN16" i="8"/>
  <c r="BN40" i="8"/>
  <c r="BN61" i="8"/>
  <c r="BN57" i="8"/>
  <c r="BN63" i="8"/>
  <c r="BN39" i="8"/>
  <c r="BN43" i="8"/>
  <c r="BN28" i="8"/>
  <c r="BN14" i="8"/>
  <c r="BN26" i="8"/>
  <c r="BN49" i="8"/>
  <c r="BC39" i="5"/>
  <c r="BO39" i="5" s="1"/>
  <c r="BF39" i="5"/>
  <c r="BR39" i="5" s="1"/>
  <c r="BD39" i="5"/>
  <c r="BP39" i="5" s="1"/>
  <c r="BG39" i="5"/>
  <c r="BS39" i="5" s="1"/>
  <c r="BC33" i="5"/>
  <c r="BO33" i="5" s="1"/>
  <c r="BV38" i="6"/>
  <c r="BE58" i="5"/>
  <c r="BQ58" i="5" s="1"/>
  <c r="BF18" i="5"/>
  <c r="BR18" i="5" s="1"/>
  <c r="BG32" i="5"/>
  <c r="BS32" i="5" s="1"/>
  <c r="BT54" i="5"/>
  <c r="BC58" i="5"/>
  <c r="BO58" i="5" s="1"/>
  <c r="BF44" i="7"/>
  <c r="BK44" i="7" s="1"/>
  <c r="BO44" i="7" s="1"/>
  <c r="BN60" i="3"/>
  <c r="BO57" i="3" s="1"/>
  <c r="BN33" i="8"/>
  <c r="BN23" i="8"/>
  <c r="BN30" i="8"/>
  <c r="BN32" i="8"/>
  <c r="BN9" i="8"/>
  <c r="BN53" i="8"/>
  <c r="BN15" i="8"/>
  <c r="BO33" i="7"/>
  <c r="BC44" i="6"/>
  <c r="BP44" i="6" s="1"/>
  <c r="BU29" i="6"/>
  <c r="BW29" i="6" s="1"/>
  <c r="BD30" i="7"/>
  <c r="BE12" i="6"/>
  <c r="BR12" i="6" s="1"/>
  <c r="BE39" i="5"/>
  <c r="BQ39" i="5" s="1"/>
  <c r="BF11" i="6"/>
  <c r="BS11" i="6" s="1"/>
  <c r="BE32" i="5"/>
  <c r="BQ32" i="5" s="1"/>
  <c r="BV35" i="6"/>
  <c r="BE44" i="7"/>
  <c r="BD29" i="7"/>
  <c r="BC39" i="6"/>
  <c r="BP39" i="6" s="1"/>
  <c r="BD39" i="6"/>
  <c r="BQ39" i="6" s="1"/>
  <c r="BE39" i="6"/>
  <c r="BR39" i="6" s="1"/>
  <c r="BF39" i="6"/>
  <c r="BS39" i="6" s="1"/>
  <c r="BG39" i="6"/>
  <c r="BV63" i="6"/>
  <c r="BN42" i="3"/>
  <c r="BO36" i="3" s="1"/>
  <c r="BG44" i="6"/>
  <c r="BU44" i="6" s="1"/>
  <c r="BW44" i="6" s="1"/>
  <c r="BO49" i="7"/>
  <c r="BV17" i="6"/>
  <c r="BD18" i="7"/>
  <c r="BG29" i="7"/>
  <c r="BL29" i="7" s="1"/>
  <c r="BE21" i="7"/>
  <c r="BF44" i="6"/>
  <c r="BS44" i="6" s="1"/>
  <c r="BF29" i="7"/>
  <c r="BK29" i="7" s="1"/>
  <c r="BE44" i="6"/>
  <c r="BR44" i="6" s="1"/>
  <c r="BD37" i="7"/>
  <c r="BC29" i="7"/>
  <c r="BU24" i="6"/>
  <c r="BW24" i="6" s="1"/>
  <c r="AY9" i="3"/>
  <c r="BK9" i="3" s="1"/>
  <c r="BE30" i="7"/>
  <c r="BT17" i="6"/>
  <c r="BU17" i="6"/>
  <c r="BW17" i="6" s="1"/>
  <c r="BE37" i="7"/>
  <c r="BE11" i="6"/>
  <c r="BR11" i="6" s="1"/>
  <c r="BC30" i="7"/>
  <c r="BO24" i="7"/>
  <c r="BC37" i="7"/>
  <c r="BO54" i="7"/>
  <c r="BF37" i="7"/>
  <c r="BK37" i="7" s="1"/>
  <c r="BO37" i="7" s="1"/>
  <c r="BF18" i="7"/>
  <c r="BK18" i="7" s="1"/>
  <c r="BO36" i="7"/>
  <c r="BT38" i="6"/>
  <c r="BU38" i="6"/>
  <c r="BW38" i="6" s="1"/>
  <c r="BG30" i="7"/>
  <c r="BL30" i="7" s="1"/>
  <c r="BO30" i="7" s="1"/>
  <c r="BV46" i="6"/>
  <c r="BF60" i="7"/>
  <c r="BK60" i="7" s="1"/>
  <c r="BG60" i="7"/>
  <c r="BL60" i="7" s="1"/>
  <c r="BC60" i="7"/>
  <c r="BD60" i="7"/>
  <c r="BE60" i="7"/>
  <c r="BG56" i="7"/>
  <c r="BL56" i="7" s="1"/>
  <c r="BD56" i="7"/>
  <c r="BE56" i="7"/>
  <c r="BF56" i="7"/>
  <c r="BK56" i="7" s="1"/>
  <c r="BC56" i="7"/>
  <c r="BE51" i="7"/>
  <c r="BF51" i="7"/>
  <c r="BK51" i="7" s="1"/>
  <c r="BD51" i="7"/>
  <c r="BG51" i="7"/>
  <c r="BL51" i="7" s="1"/>
  <c r="BC51" i="7"/>
  <c r="BG43" i="7"/>
  <c r="BL43" i="7" s="1"/>
  <c r="BF43" i="7"/>
  <c r="BK43" i="7" s="1"/>
  <c r="BC43" i="7"/>
  <c r="BD43" i="7"/>
  <c r="BE43" i="7"/>
  <c r="BO46" i="7"/>
  <c r="BO58" i="7"/>
  <c r="BO41" i="7"/>
  <c r="BT63" i="6"/>
  <c r="BU63" i="6"/>
  <c r="BW63" i="6" s="1"/>
  <c r="BT60" i="6"/>
  <c r="BU60" i="6"/>
  <c r="BW60" i="6" s="1"/>
  <c r="BC49" i="6"/>
  <c r="BP49" i="6" s="1"/>
  <c r="BD49" i="6"/>
  <c r="BQ49" i="6" s="1"/>
  <c r="BE49" i="6"/>
  <c r="BR49" i="6" s="1"/>
  <c r="BF49" i="6"/>
  <c r="BS49" i="6" s="1"/>
  <c r="BG49" i="6"/>
  <c r="BC37" i="6"/>
  <c r="BP37" i="6" s="1"/>
  <c r="BG37" i="6"/>
  <c r="BF37" i="6"/>
  <c r="BS37" i="6" s="1"/>
  <c r="BD37" i="6"/>
  <c r="BQ37" i="6" s="1"/>
  <c r="BE37" i="6"/>
  <c r="BR37" i="6" s="1"/>
  <c r="BT47" i="6"/>
  <c r="BU47" i="6"/>
  <c r="BW47" i="6" s="1"/>
  <c r="BE54" i="6"/>
  <c r="BR54" i="6" s="1"/>
  <c r="BF54" i="6"/>
  <c r="BS54" i="6" s="1"/>
  <c r="BG54" i="6"/>
  <c r="BD54" i="6"/>
  <c r="BQ54" i="6" s="1"/>
  <c r="BC54" i="6"/>
  <c r="BP54" i="6" s="1"/>
  <c r="BU42" i="6"/>
  <c r="BW42" i="6" s="1"/>
  <c r="BT46" i="6"/>
  <c r="BU46" i="6"/>
  <c r="BW46" i="6" s="1"/>
  <c r="BV36" i="6"/>
  <c r="BT51" i="6"/>
  <c r="BU51" i="6"/>
  <c r="BW51" i="6" s="1"/>
  <c r="BT36" i="6"/>
  <c r="BU36" i="6"/>
  <c r="BW36" i="6" s="1"/>
  <c r="BG53" i="6"/>
  <c r="BC53" i="6"/>
  <c r="BP53" i="6" s="1"/>
  <c r="BD53" i="6"/>
  <c r="BQ53" i="6" s="1"/>
  <c r="BE53" i="6"/>
  <c r="BR53" i="6" s="1"/>
  <c r="BF53" i="6"/>
  <c r="BS53" i="6" s="1"/>
  <c r="BT43" i="6"/>
  <c r="BU43" i="6"/>
  <c r="BW43" i="6" s="1"/>
  <c r="BS58" i="5"/>
  <c r="BG49" i="5"/>
  <c r="BC49" i="5"/>
  <c r="BO49" i="5" s="1"/>
  <c r="BD49" i="5"/>
  <c r="BP49" i="5" s="1"/>
  <c r="BE49" i="5"/>
  <c r="BQ49" i="5" s="1"/>
  <c r="BF49" i="5"/>
  <c r="BR49" i="5" s="1"/>
  <c r="BE51" i="5"/>
  <c r="BQ51" i="5" s="1"/>
  <c r="BF51" i="5"/>
  <c r="BR51" i="5" s="1"/>
  <c r="BG51" i="5"/>
  <c r="BC51" i="5"/>
  <c r="BO51" i="5" s="1"/>
  <c r="BD51" i="5"/>
  <c r="BP51" i="5" s="1"/>
  <c r="BF42" i="5"/>
  <c r="BR42" i="5" s="1"/>
  <c r="BG42" i="5"/>
  <c r="BC42" i="5"/>
  <c r="BO42" i="5" s="1"/>
  <c r="BD42" i="5"/>
  <c r="BP42" i="5" s="1"/>
  <c r="BE42" i="5"/>
  <c r="BQ42" i="5" s="1"/>
  <c r="BS37" i="5"/>
  <c r="BT37" i="5"/>
  <c r="BS36" i="5"/>
  <c r="BS47" i="5"/>
  <c r="BT47" i="5"/>
  <c r="BE43" i="5"/>
  <c r="BQ43" i="5" s="1"/>
  <c r="BF43" i="5"/>
  <c r="BR43" i="5" s="1"/>
  <c r="BG43" i="5"/>
  <c r="BC43" i="5"/>
  <c r="BO43" i="5" s="1"/>
  <c r="BD43" i="5"/>
  <c r="BP43" i="5" s="1"/>
  <c r="BT44" i="5"/>
  <c r="BS44" i="5"/>
  <c r="BN49" i="3"/>
  <c r="BN47" i="3"/>
  <c r="BN43" i="3"/>
  <c r="BE22" i="5"/>
  <c r="BQ22" i="5" s="1"/>
  <c r="BF22" i="5"/>
  <c r="BR22" i="5" s="1"/>
  <c r="BG22" i="5"/>
  <c r="BT22" i="5" s="1"/>
  <c r="BD22" i="5"/>
  <c r="BP22" i="5" s="1"/>
  <c r="BC22" i="5"/>
  <c r="BO22" i="5" s="1"/>
  <c r="BF21" i="7"/>
  <c r="BK21" i="7" s="1"/>
  <c r="BO21" i="7" s="1"/>
  <c r="BC12" i="6"/>
  <c r="BP12" i="6" s="1"/>
  <c r="BD21" i="7"/>
  <c r="BC21" i="7"/>
  <c r="BN33" i="3"/>
  <c r="BO25" i="7"/>
  <c r="BN28" i="3"/>
  <c r="BE33" i="5"/>
  <c r="BQ33" i="5" s="1"/>
  <c r="BN29" i="3"/>
  <c r="BN25" i="3"/>
  <c r="BB9" i="5"/>
  <c r="BF9" i="5" s="1"/>
  <c r="BV25" i="6"/>
  <c r="BB12" i="5"/>
  <c r="BO35" i="7"/>
  <c r="BH8" i="3"/>
  <c r="BB8" i="5"/>
  <c r="BN18" i="3"/>
  <c r="BO23" i="7"/>
  <c r="BO28" i="7"/>
  <c r="BC22" i="6"/>
  <c r="BP22" i="6" s="1"/>
  <c r="BE22" i="6"/>
  <c r="BR22" i="6" s="1"/>
  <c r="BF22" i="6"/>
  <c r="BS22" i="6" s="1"/>
  <c r="BG22" i="6"/>
  <c r="BD22" i="6"/>
  <c r="BQ22" i="6" s="1"/>
  <c r="BC16" i="6"/>
  <c r="BP16" i="6" s="1"/>
  <c r="BE16" i="6"/>
  <c r="BR16" i="6" s="1"/>
  <c r="BF16" i="6"/>
  <c r="BS16" i="6" s="1"/>
  <c r="BG16" i="6"/>
  <c r="BD16" i="6"/>
  <c r="BQ16" i="6" s="1"/>
  <c r="BC18" i="6"/>
  <c r="BP18" i="6" s="1"/>
  <c r="BE18" i="6"/>
  <c r="BR18" i="6" s="1"/>
  <c r="BF18" i="6"/>
  <c r="BS18" i="6" s="1"/>
  <c r="BG18" i="6"/>
  <c r="BD18" i="6"/>
  <c r="BQ18" i="6" s="1"/>
  <c r="BT19" i="6"/>
  <c r="BU19" i="6"/>
  <c r="BW19" i="6" s="1"/>
  <c r="BT21" i="6"/>
  <c r="BU21" i="6"/>
  <c r="BW21" i="6" s="1"/>
  <c r="BT28" i="6"/>
  <c r="BV15" i="6"/>
  <c r="BT25" i="6"/>
  <c r="BU25" i="6"/>
  <c r="BW25" i="6" s="1"/>
  <c r="BT15" i="6"/>
  <c r="BU15" i="6"/>
  <c r="BW15" i="6" s="1"/>
  <c r="BN19" i="3"/>
  <c r="BC15" i="5"/>
  <c r="BO15" i="5" s="1"/>
  <c r="BG15" i="5"/>
  <c r="BS15" i="5" s="1"/>
  <c r="BF15" i="5"/>
  <c r="BR15" i="5" s="1"/>
  <c r="BE15" i="5"/>
  <c r="BQ15" i="5" s="1"/>
  <c r="BN15" i="3"/>
  <c r="BS28" i="5"/>
  <c r="BT28" i="5"/>
  <c r="BS34" i="5"/>
  <c r="BT34" i="5"/>
  <c r="BF21" i="5"/>
  <c r="BR21" i="5" s="1"/>
  <c r="BG21" i="5"/>
  <c r="BE21" i="5"/>
  <c r="BQ21" i="5" s="1"/>
  <c r="BC21" i="5"/>
  <c r="BO21" i="5" s="1"/>
  <c r="BD21" i="5"/>
  <c r="BP21" i="5" s="1"/>
  <c r="BS19" i="5"/>
  <c r="BT19" i="5"/>
  <c r="BC16" i="5"/>
  <c r="BO16" i="5" s="1"/>
  <c r="BD16" i="5"/>
  <c r="BP16" i="5" s="1"/>
  <c r="BE16" i="5"/>
  <c r="BQ16" i="5" s="1"/>
  <c r="BF16" i="5"/>
  <c r="BR16" i="5" s="1"/>
  <c r="BG16" i="5"/>
  <c r="BK12" i="7"/>
  <c r="BO12" i="7" s="1"/>
  <c r="AY13" i="3"/>
  <c r="BO14" i="7"/>
  <c r="BC14" i="6"/>
  <c r="BP14" i="6" s="1"/>
  <c r="BV10" i="6"/>
  <c r="BU14" i="6"/>
  <c r="BW14" i="6" s="1"/>
  <c r="BF10" i="5"/>
  <c r="BR10" i="5" s="1"/>
  <c r="BS10" i="5"/>
  <c r="BT10" i="5"/>
  <c r="BD10" i="5"/>
  <c r="BP10" i="5" s="1"/>
  <c r="BE10" i="5"/>
  <c r="BQ10" i="5" s="1"/>
  <c r="BC10" i="5"/>
  <c r="BO10" i="5" s="1"/>
  <c r="BC8" i="6"/>
  <c r="BE8" i="6"/>
  <c r="BR8" i="6" s="1"/>
  <c r="BF8" i="6"/>
  <c r="BS8" i="6" s="1"/>
  <c r="BG8" i="6"/>
  <c r="BD14" i="6"/>
  <c r="BQ14" i="6" s="1"/>
  <c r="BE14" i="6"/>
  <c r="BR14" i="6" s="1"/>
  <c r="BF14" i="6"/>
  <c r="BS14" i="6" s="1"/>
  <c r="BD9" i="6"/>
  <c r="BQ9" i="6" s="1"/>
  <c r="BE9" i="6"/>
  <c r="BR9" i="6" s="1"/>
  <c r="BG9" i="6"/>
  <c r="BT9" i="6" s="1"/>
  <c r="BF9" i="6"/>
  <c r="BS9" i="6" s="1"/>
  <c r="BB14" i="5"/>
  <c r="BG14" i="5" s="1"/>
  <c r="BG13" i="5"/>
  <c r="BD13" i="5"/>
  <c r="BP13" i="5" s="1"/>
  <c r="BC13" i="5"/>
  <c r="BO13" i="5" s="1"/>
  <c r="BE13" i="5"/>
  <c r="BQ13" i="5" s="1"/>
  <c r="BF13" i="5"/>
  <c r="BR13" i="5" s="1"/>
  <c r="BC9" i="7"/>
  <c r="BE9" i="7"/>
  <c r="BF9" i="7"/>
  <c r="BK9" i="7" s="1"/>
  <c r="BD9" i="7"/>
  <c r="BG9" i="7"/>
  <c r="BL9" i="7" s="1"/>
  <c r="BC11" i="7"/>
  <c r="BD11" i="7"/>
  <c r="BF11" i="7"/>
  <c r="BE11" i="7"/>
  <c r="BG11" i="7"/>
  <c r="BL11" i="7" s="1"/>
  <c r="BJ11" i="3"/>
  <c r="BL11" i="3"/>
  <c r="BH11" i="3"/>
  <c r="BI11" i="3"/>
  <c r="BL9" i="3"/>
  <c r="BH9" i="3"/>
  <c r="BI9" i="3"/>
  <c r="BJ9" i="3"/>
  <c r="BI8" i="3"/>
  <c r="BJ8" i="3"/>
  <c r="BL8" i="3"/>
  <c r="AY12" i="3"/>
  <c r="BK12" i="3" s="1"/>
  <c r="AY10" i="3"/>
  <c r="AY11" i="3"/>
  <c r="BK11" i="3" s="1"/>
  <c r="AY8" i="3"/>
  <c r="BK8" i="3" s="1"/>
  <c r="AY14" i="3"/>
  <c r="BK14" i="3" s="1"/>
  <c r="BD50" i="5" l="1"/>
  <c r="BP50" i="5" s="1"/>
  <c r="BC50" i="5"/>
  <c r="BO50" i="5" s="1"/>
  <c r="BS26" i="5"/>
  <c r="BU56" i="6"/>
  <c r="BW56" i="6" s="1"/>
  <c r="BV56" i="6"/>
  <c r="BV21" i="6"/>
  <c r="BV29" i="6"/>
  <c r="BV32" i="6"/>
  <c r="BU54" i="10"/>
  <c r="BW54" i="10" s="1"/>
  <c r="BT53" i="10"/>
  <c r="BV57" i="10"/>
  <c r="BU44" i="10"/>
  <c r="BW44" i="10" s="1"/>
  <c r="BT22" i="10"/>
  <c r="BV60" i="10"/>
  <c r="BV49" i="10"/>
  <c r="BV40" i="10"/>
  <c r="BV44" i="10"/>
  <c r="BV19" i="10"/>
  <c r="BO32" i="11"/>
  <c r="BO14" i="11"/>
  <c r="BO39" i="11"/>
  <c r="BO56" i="11"/>
  <c r="BO9" i="11"/>
  <c r="BO35" i="11"/>
  <c r="BU35" i="6"/>
  <c r="BW35" i="6" s="1"/>
  <c r="BT35" i="6"/>
  <c r="BU61" i="6"/>
  <c r="BW61" i="6" s="1"/>
  <c r="BV33" i="6"/>
  <c r="BV43" i="6"/>
  <c r="BV19" i="6"/>
  <c r="BU58" i="6"/>
  <c r="BW58" i="6" s="1"/>
  <c r="BU30" i="6"/>
  <c r="BW30" i="6" s="1"/>
  <c r="BV26" i="6"/>
  <c r="BV61" i="6"/>
  <c r="BU26" i="6"/>
  <c r="BW26" i="6" s="1"/>
  <c r="BV51" i="6"/>
  <c r="BV47" i="6"/>
  <c r="BS53" i="9"/>
  <c r="BT25" i="9"/>
  <c r="BS25" i="9"/>
  <c r="BU60" i="10"/>
  <c r="BW60" i="10" s="1"/>
  <c r="BU49" i="10"/>
  <c r="BW49" i="10" s="1"/>
  <c r="BV56" i="10"/>
  <c r="BO18" i="11"/>
  <c r="BS60" i="9"/>
  <c r="BG50" i="5"/>
  <c r="BT50" i="5" s="1"/>
  <c r="BS25" i="5"/>
  <c r="BT25" i="5"/>
  <c r="BS33" i="5"/>
  <c r="BT61" i="5"/>
  <c r="BS35" i="5"/>
  <c r="BS29" i="5"/>
  <c r="BT29" i="5"/>
  <c r="BF50" i="5"/>
  <c r="BR50" i="5" s="1"/>
  <c r="BS46" i="5"/>
  <c r="BT56" i="5"/>
  <c r="BT30" i="5"/>
  <c r="BS30" i="5"/>
  <c r="BT18" i="5"/>
  <c r="BT57" i="5"/>
  <c r="BS23" i="5"/>
  <c r="BO44" i="11"/>
  <c r="BO16" i="7"/>
  <c r="BO22" i="7"/>
  <c r="BP22" i="7" s="1"/>
  <c r="BO50" i="7"/>
  <c r="BV36" i="10"/>
  <c r="BV46" i="10"/>
  <c r="BV50" i="6"/>
  <c r="BV30" i="6"/>
  <c r="BT23" i="9"/>
  <c r="BO36" i="8"/>
  <c r="BO15" i="7"/>
  <c r="BP15" i="7" s="1"/>
  <c r="BV54" i="10"/>
  <c r="BU32" i="6"/>
  <c r="BW32" i="6" s="1"/>
  <c r="BT44" i="6"/>
  <c r="BU50" i="6"/>
  <c r="BW50" i="6" s="1"/>
  <c r="BS21" i="9"/>
  <c r="BT39" i="5"/>
  <c r="BN12" i="3"/>
  <c r="BO29" i="11"/>
  <c r="BU46" i="10"/>
  <c r="BW46" i="10" s="1"/>
  <c r="BT46" i="10"/>
  <c r="BV53" i="10"/>
  <c r="BO53" i="11"/>
  <c r="BV40" i="6"/>
  <c r="BP36" i="11"/>
  <c r="BS40" i="5"/>
  <c r="BO58" i="11"/>
  <c r="BP57" i="11" s="1"/>
  <c r="BN14" i="3"/>
  <c r="BO43" i="8"/>
  <c r="BV43" i="10"/>
  <c r="BO15" i="11"/>
  <c r="BP15" i="11" s="1"/>
  <c r="BO54" i="11"/>
  <c r="BO47" i="11"/>
  <c r="BP43" i="11" s="1"/>
  <c r="BO8" i="11"/>
  <c r="BO23" i="11"/>
  <c r="BP22" i="11" s="1"/>
  <c r="BO11" i="11"/>
  <c r="BV61" i="10"/>
  <c r="BU32" i="10"/>
  <c r="BW32" i="10" s="1"/>
  <c r="BT32" i="10"/>
  <c r="BU30" i="10"/>
  <c r="BW30" i="10" s="1"/>
  <c r="BT30" i="10"/>
  <c r="BU50" i="10"/>
  <c r="BW50" i="10" s="1"/>
  <c r="BT50" i="10"/>
  <c r="BV50" i="10"/>
  <c r="BV30" i="10"/>
  <c r="BX8" i="10"/>
  <c r="BU61" i="10"/>
  <c r="BW61" i="10" s="1"/>
  <c r="BT61" i="10"/>
  <c r="BV15" i="10"/>
  <c r="BX22" i="10"/>
  <c r="BU43" i="10"/>
  <c r="BW43" i="10" s="1"/>
  <c r="BT43" i="10"/>
  <c r="BV32" i="10"/>
  <c r="BT15" i="10"/>
  <c r="BU15" i="10"/>
  <c r="BW15" i="10" s="1"/>
  <c r="BT22" i="9"/>
  <c r="BS22" i="9"/>
  <c r="BT28" i="9"/>
  <c r="BS28" i="9"/>
  <c r="BS50" i="9"/>
  <c r="BT50" i="9"/>
  <c r="BT18" i="9"/>
  <c r="BS18" i="9"/>
  <c r="BS43" i="9"/>
  <c r="BT43" i="9"/>
  <c r="BT19" i="9"/>
  <c r="BS19" i="9"/>
  <c r="BS42" i="9"/>
  <c r="BT42" i="9"/>
  <c r="BT30" i="9"/>
  <c r="BS30" i="9"/>
  <c r="BT58" i="9"/>
  <c r="BS58" i="9"/>
  <c r="BT36" i="9"/>
  <c r="BS36" i="9"/>
  <c r="BT9" i="9"/>
  <c r="BS9" i="9"/>
  <c r="BS35" i="9"/>
  <c r="BT35" i="9"/>
  <c r="BO57" i="8"/>
  <c r="BO50" i="8"/>
  <c r="BU12" i="6"/>
  <c r="BW12" i="6" s="1"/>
  <c r="BU11" i="6"/>
  <c r="BW11" i="6" s="1"/>
  <c r="BV11" i="6"/>
  <c r="BS63" i="5"/>
  <c r="BT63" i="5"/>
  <c r="BV44" i="6"/>
  <c r="BO18" i="7"/>
  <c r="BT32" i="5"/>
  <c r="BO15" i="8"/>
  <c r="BO22" i="8"/>
  <c r="BO8" i="8"/>
  <c r="BO29" i="7"/>
  <c r="BP29" i="7" s="1"/>
  <c r="BO29" i="8"/>
  <c r="BP36" i="7"/>
  <c r="BO43" i="3"/>
  <c r="BS22" i="5"/>
  <c r="BV12" i="6"/>
  <c r="BO29" i="3"/>
  <c r="BO43" i="7"/>
  <c r="BP43" i="7" s="1"/>
  <c r="BT39" i="6"/>
  <c r="BU39" i="6"/>
  <c r="BW39" i="6" s="1"/>
  <c r="BV39" i="6"/>
  <c r="BV37" i="6"/>
  <c r="BO51" i="7"/>
  <c r="BO60" i="7"/>
  <c r="BP57" i="7" s="1"/>
  <c r="BO56" i="7"/>
  <c r="BV54" i="6"/>
  <c r="BT37" i="6"/>
  <c r="BU37" i="6"/>
  <c r="BW37" i="6" s="1"/>
  <c r="BU54" i="6"/>
  <c r="BW54" i="6" s="1"/>
  <c r="BT54" i="6"/>
  <c r="BT49" i="6"/>
  <c r="BU49" i="6"/>
  <c r="BW49" i="6" s="1"/>
  <c r="BV53" i="6"/>
  <c r="BT53" i="6"/>
  <c r="BU53" i="6"/>
  <c r="BW53" i="6" s="1"/>
  <c r="BV49" i="6"/>
  <c r="BS51" i="5"/>
  <c r="BT51" i="5"/>
  <c r="BS42" i="5"/>
  <c r="BT42" i="5"/>
  <c r="BS50" i="5"/>
  <c r="BS43" i="5"/>
  <c r="BT43" i="5"/>
  <c r="BS49" i="5"/>
  <c r="BT49" i="5"/>
  <c r="BO22" i="3"/>
  <c r="BT15" i="5"/>
  <c r="BO15" i="3"/>
  <c r="BU22" i="6"/>
  <c r="BW22" i="6" s="1"/>
  <c r="BT22" i="6"/>
  <c r="BV16" i="6"/>
  <c r="BU18" i="6"/>
  <c r="BW18" i="6" s="1"/>
  <c r="BT18" i="6"/>
  <c r="BV18" i="6"/>
  <c r="BU16" i="6"/>
  <c r="BW16" i="6" s="1"/>
  <c r="BT16" i="6"/>
  <c r="BV22" i="6"/>
  <c r="BS16" i="5"/>
  <c r="BT16" i="5"/>
  <c r="BS21" i="5"/>
  <c r="BT21" i="5"/>
  <c r="BK11" i="7"/>
  <c r="BO11" i="7" s="1"/>
  <c r="BU8" i="6"/>
  <c r="BW8" i="6" s="1"/>
  <c r="BT8" i="6"/>
  <c r="BP8" i="6"/>
  <c r="BV8" i="6" s="1"/>
  <c r="BC14" i="5"/>
  <c r="BO14" i="5" s="1"/>
  <c r="BO9" i="7"/>
  <c r="BV14" i="6"/>
  <c r="BU9" i="6"/>
  <c r="BW9" i="6" s="1"/>
  <c r="BF14" i="5"/>
  <c r="BR14" i="5" s="1"/>
  <c r="BS14" i="5"/>
  <c r="BT14" i="5"/>
  <c r="BD14" i="5"/>
  <c r="BP14" i="5" s="1"/>
  <c r="BS13" i="5"/>
  <c r="BT13" i="5"/>
  <c r="BE14" i="5"/>
  <c r="BQ14" i="5" s="1"/>
  <c r="BV9" i="6"/>
  <c r="BF8" i="5"/>
  <c r="BR8" i="5" s="1"/>
  <c r="BG8" i="5"/>
  <c r="BD8" i="5"/>
  <c r="BP8" i="5" s="1"/>
  <c r="BE8" i="5"/>
  <c r="BQ8" i="5" s="1"/>
  <c r="BC8" i="5"/>
  <c r="BO8" i="5" s="1"/>
  <c r="BD12" i="5"/>
  <c r="BP12" i="5" s="1"/>
  <c r="BE12" i="5"/>
  <c r="BQ12" i="5" s="1"/>
  <c r="BC12" i="5"/>
  <c r="BO12" i="5" s="1"/>
  <c r="BF12" i="5"/>
  <c r="BR12" i="5" s="1"/>
  <c r="BG12" i="5"/>
  <c r="BE11" i="5"/>
  <c r="BQ11" i="5" s="1"/>
  <c r="BG11" i="5"/>
  <c r="BC11" i="5"/>
  <c r="BO11" i="5" s="1"/>
  <c r="BD11" i="5"/>
  <c r="BP11" i="5" s="1"/>
  <c r="BF11" i="5"/>
  <c r="BR11" i="5" s="1"/>
  <c r="BC9" i="5"/>
  <c r="BO9" i="5" s="1"/>
  <c r="BD9" i="5"/>
  <c r="BP9" i="5" s="1"/>
  <c r="BE9" i="5"/>
  <c r="BQ9" i="5" s="1"/>
  <c r="BR9" i="5"/>
  <c r="BG9" i="5"/>
  <c r="BN9" i="3"/>
  <c r="BN11" i="3"/>
  <c r="BN8" i="3"/>
  <c r="BP29" i="11" l="1"/>
  <c r="BX36" i="10"/>
  <c r="BX57" i="6"/>
  <c r="BX29" i="6"/>
  <c r="BU22" i="5"/>
  <c r="BU29" i="5"/>
  <c r="BP50" i="11"/>
  <c r="BU57" i="5"/>
  <c r="BU29" i="9"/>
  <c r="BU15" i="9"/>
  <c r="BU8" i="9"/>
  <c r="BX15" i="10"/>
  <c r="BU43" i="9"/>
  <c r="BX43" i="10"/>
  <c r="BU22" i="9"/>
  <c r="BP8" i="11"/>
  <c r="BX29" i="10"/>
  <c r="BX50" i="10"/>
  <c r="BX57" i="10"/>
  <c r="BU50" i="9"/>
  <c r="BU57" i="9"/>
  <c r="BU36" i="9"/>
  <c r="BP50" i="7"/>
  <c r="BX50" i="6"/>
  <c r="BU36" i="5"/>
  <c r="BX43" i="6"/>
  <c r="BX36" i="6"/>
  <c r="BU50" i="5"/>
  <c r="BU43" i="5"/>
  <c r="BX22" i="6"/>
  <c r="BX15" i="6"/>
  <c r="BU15" i="5"/>
  <c r="BP8" i="7"/>
  <c r="BX8" i="6"/>
  <c r="BS9" i="5"/>
  <c r="BT9" i="5"/>
  <c r="BS11" i="5"/>
  <c r="BT11" i="5"/>
  <c r="BS12" i="5"/>
  <c r="BT12" i="5"/>
  <c r="BS8" i="5"/>
  <c r="BT8" i="5"/>
  <c r="BO8" i="3"/>
  <c r="BU8" i="5" l="1"/>
</calcChain>
</file>

<file path=xl/sharedStrings.xml><?xml version="1.0" encoding="utf-8"?>
<sst xmlns="http://schemas.openxmlformats.org/spreadsheetml/2006/main" count="1592" uniqueCount="210">
  <si>
    <t>Breed</t>
  </si>
  <si>
    <t>milkingCows</t>
  </si>
  <si>
    <t>heifersGt1</t>
  </si>
  <si>
    <t>bullsGt1</t>
  </si>
  <si>
    <t>Medium Friesian</t>
  </si>
  <si>
    <t>Large Friesian</t>
  </si>
  <si>
    <t>Holstein-Friesian</t>
  </si>
  <si>
    <t>Friesian crossbred</t>
  </si>
  <si>
    <t>Jersey</t>
  </si>
  <si>
    <t>Jersey crossbred</t>
  </si>
  <si>
    <t>Ayrshire</t>
  </si>
  <si>
    <t>Guernsey</t>
  </si>
  <si>
    <t>Brown Swiss</t>
  </si>
  <si>
    <t>Illawarra/Aussie Red</t>
  </si>
  <si>
    <t>Class</t>
  </si>
  <si>
    <t>Reference Weight</t>
  </si>
  <si>
    <t>LWG</t>
  </si>
  <si>
    <t>Pre-weaned calves</t>
  </si>
  <si>
    <t>MMS</t>
  </si>
  <si>
    <t>m</t>
  </si>
  <si>
    <t>anaerobicLagoon</t>
  </si>
  <si>
    <t>sumpDispersal</t>
  </si>
  <si>
    <t>drainToPaddock</t>
  </si>
  <si>
    <t>solidStorage</t>
  </si>
  <si>
    <t>pastureRangeAndPaddock</t>
  </si>
  <si>
    <t>3a</t>
  </si>
  <si>
    <t>3b</t>
  </si>
  <si>
    <t>EFm</t>
  </si>
  <si>
    <t>FracGASMm</t>
  </si>
  <si>
    <t>NSW</t>
  </si>
  <si>
    <t>ACT</t>
  </si>
  <si>
    <t>QLD</t>
  </si>
  <si>
    <t>NT</t>
  </si>
  <si>
    <t>VIC</t>
  </si>
  <si>
    <t>SA</t>
  </si>
  <si>
    <t>WA</t>
  </si>
  <si>
    <t>TAS</t>
  </si>
  <si>
    <t>MCFim by state</t>
  </si>
  <si>
    <t>MCFim BY MAT</t>
  </si>
  <si>
    <t>MAT</t>
  </si>
  <si>
    <t>10 or below</t>
  </si>
  <si>
    <t>28 or above</t>
  </si>
  <si>
    <t>Dairy pasture range and paddock is state based - 0.03 (QLD, NT) or 0.01 (Other States) – source NIR</t>
  </si>
  <si>
    <t>Method 1 Inputs</t>
  </si>
  <si>
    <t>input</t>
  </si>
  <si>
    <t>State</t>
  </si>
  <si>
    <t>Production system</t>
  </si>
  <si>
    <t>Climate Zone</t>
  </si>
  <si>
    <t>Leaching zone</t>
  </si>
  <si>
    <t>i</t>
  </si>
  <si>
    <t>(wet or dry)</t>
  </si>
  <si>
    <t>(true or false)</t>
  </si>
  <si>
    <t>Non-irrigated pasture</t>
  </si>
  <si>
    <t>wet</t>
  </si>
  <si>
    <t>heifersLt1PreWeaned</t>
  </si>
  <si>
    <t>bullsLt1PreWeaned</t>
  </si>
  <si>
    <t>bullsLt1Weaned</t>
  </si>
  <si>
    <t>j</t>
  </si>
  <si>
    <t>Nj</t>
  </si>
  <si>
    <t>Dj</t>
  </si>
  <si>
    <t>Dairy class</t>
  </si>
  <si>
    <t>Feed system</t>
  </si>
  <si>
    <t>Time spent in locations</t>
  </si>
  <si>
    <t>pasture</t>
  </si>
  <si>
    <t>feedpad</t>
  </si>
  <si>
    <t>milk shed</t>
  </si>
  <si>
    <t>Allocations to MMS from feedpad</t>
  </si>
  <si>
    <t>MMSm=1</t>
  </si>
  <si>
    <t>MMSm=3a</t>
  </si>
  <si>
    <t>MMSm=3b</t>
  </si>
  <si>
    <t>MMSm=4</t>
  </si>
  <si>
    <t>true or false</t>
  </si>
  <si>
    <t>SSm</t>
  </si>
  <si>
    <t>anaerobic lagoon</t>
  </si>
  <si>
    <t>Solids separated</t>
  </si>
  <si>
    <t>Solid separation rate</t>
  </si>
  <si>
    <t>sump and dispersal</t>
  </si>
  <si>
    <t>drains to paddock</t>
  </si>
  <si>
    <t>solid storage</t>
  </si>
  <si>
    <t>MPj (L)</t>
  </si>
  <si>
    <t>L/head/day</t>
  </si>
  <si>
    <t>MPj (kg)</t>
  </si>
  <si>
    <t>FC</t>
  </si>
  <si>
    <t>PC</t>
  </si>
  <si>
    <t>Wj</t>
  </si>
  <si>
    <t>LWGj</t>
  </si>
  <si>
    <t>DMDj</t>
  </si>
  <si>
    <t>CPj</t>
  </si>
  <si>
    <t>NRj</t>
  </si>
  <si>
    <t>EFN2O</t>
  </si>
  <si>
    <t>Irrigated pasture</t>
  </si>
  <si>
    <t>Irrigated crop</t>
  </si>
  <si>
    <t>Non-irrigated crop (low rainfall)</t>
  </si>
  <si>
    <t>Non-irrigated crop (high rainfall)</t>
  </si>
  <si>
    <t>EFPRP</t>
  </si>
  <si>
    <t>dry</t>
  </si>
  <si>
    <t>Fixed Constants</t>
  </si>
  <si>
    <t>Ij</t>
  </si>
  <si>
    <t>MRj</t>
  </si>
  <si>
    <t>others</t>
  </si>
  <si>
    <t>Feeding system</t>
  </si>
  <si>
    <t>Pasture</t>
  </si>
  <si>
    <t>Milking Shed</t>
  </si>
  <si>
    <t>Feedpad</t>
  </si>
  <si>
    <t>Grazed only</t>
  </si>
  <si>
    <t>Limited feedpad</t>
  </si>
  <si>
    <t>Limited grazing</t>
  </si>
  <si>
    <t>Zero grazing</t>
  </si>
  <si>
    <t>breed</t>
  </si>
  <si>
    <t>Metabolic rate increase</t>
  </si>
  <si>
    <t>DMD</t>
  </si>
  <si>
    <t>CP</t>
  </si>
  <si>
    <t>MPWmanure</t>
  </si>
  <si>
    <t>A</t>
  </si>
  <si>
    <t>Bo</t>
  </si>
  <si>
    <t>p</t>
  </si>
  <si>
    <t>VSj</t>
  </si>
  <si>
    <t>CN2O</t>
  </si>
  <si>
    <t>NPWj</t>
  </si>
  <si>
    <t>FracGASMsoil</t>
  </si>
  <si>
    <t>EFLeach</t>
  </si>
  <si>
    <t>FracLEACH</t>
  </si>
  <si>
    <t>FracLEACH_MS</t>
  </si>
  <si>
    <t>SS</t>
  </si>
  <si>
    <t>NE</t>
  </si>
  <si>
    <t>GEC</t>
  </si>
  <si>
    <t>Density of milk</t>
  </si>
  <si>
    <t>k</t>
  </si>
  <si>
    <t>heifersLt1Weaned</t>
  </si>
  <si>
    <t>MSj (kg)</t>
  </si>
  <si>
    <t>Milk solids</t>
  </si>
  <si>
    <t>fat content</t>
  </si>
  <si>
    <t>fraction</t>
  </si>
  <si>
    <t>protein content</t>
  </si>
  <si>
    <t>MPj (Normalised)</t>
  </si>
  <si>
    <t>Milk density</t>
  </si>
  <si>
    <t>qmj</t>
  </si>
  <si>
    <t>MIj</t>
  </si>
  <si>
    <t>MMSm=14</t>
  </si>
  <si>
    <t>Allocations to MMS from milk shed</t>
  </si>
  <si>
    <t>MMS allocations (resolved)</t>
  </si>
  <si>
    <t>FVSm=1</t>
  </si>
  <si>
    <t>FVSm=3a</t>
  </si>
  <si>
    <t>FVSm=3b</t>
  </si>
  <si>
    <t>FVSm=4</t>
  </si>
  <si>
    <t>FVSm=14</t>
  </si>
  <si>
    <t>MCFim=1</t>
  </si>
  <si>
    <t>MCFim=4</t>
  </si>
  <si>
    <t>MCFim=3a</t>
  </si>
  <si>
    <t>MCFim=3b</t>
  </si>
  <si>
    <t>MCFim=14</t>
  </si>
  <si>
    <t>Mjm=1</t>
  </si>
  <si>
    <t>Mjm=4</t>
  </si>
  <si>
    <t>Mjm=14</t>
  </si>
  <si>
    <t>Mjm=3a</t>
  </si>
  <si>
    <t>Mjm=3b</t>
  </si>
  <si>
    <t>ECH4</t>
  </si>
  <si>
    <t>ECH4 (j)</t>
  </si>
  <si>
    <t>kg CH4</t>
  </si>
  <si>
    <t>t CH4</t>
  </si>
  <si>
    <t>Lj</t>
  </si>
  <si>
    <t>WRj</t>
  </si>
  <si>
    <t>Zj</t>
  </si>
  <si>
    <t>CPIj</t>
  </si>
  <si>
    <t>Crude Protein</t>
  </si>
  <si>
    <t>Crude protein conversion</t>
  </si>
  <si>
    <t>NEj</t>
  </si>
  <si>
    <t>AEj</t>
  </si>
  <si>
    <t>MNjm=1</t>
  </si>
  <si>
    <t>MNjm=4</t>
  </si>
  <si>
    <t>MNjm=14</t>
  </si>
  <si>
    <t>MNjm=3a</t>
  </si>
  <si>
    <t>MNjm=3b</t>
  </si>
  <si>
    <t>EFm=1</t>
  </si>
  <si>
    <t>EFm=4</t>
  </si>
  <si>
    <t>EFm=14</t>
  </si>
  <si>
    <t>EFm=3a</t>
  </si>
  <si>
    <t>EFm=3b</t>
  </si>
  <si>
    <t>EN2O,dir (m=4)</t>
  </si>
  <si>
    <t>EN2O,dir (m=14)</t>
  </si>
  <si>
    <t>EN2O,dir (m=3b)</t>
  </si>
  <si>
    <t>EN2O,dir (m=3a)</t>
  </si>
  <si>
    <t>EN2O,dir (m=1)</t>
  </si>
  <si>
    <t>EN2O,dir</t>
  </si>
  <si>
    <t>FracGASMm=1</t>
  </si>
  <si>
    <t>FracGASMm=3a</t>
  </si>
  <si>
    <t>FracGASMm=3b</t>
  </si>
  <si>
    <t>FracGASMm=4</t>
  </si>
  <si>
    <t>FracGASMm=14</t>
  </si>
  <si>
    <t>MMSATMOS (m=1)</t>
  </si>
  <si>
    <t>MMSATMOS (m=3a)</t>
  </si>
  <si>
    <t>MMSATMOS (m=3b)</t>
  </si>
  <si>
    <t>MMSATMOS (m=4)</t>
  </si>
  <si>
    <t>MMSATMOS (m=14)</t>
  </si>
  <si>
    <t>EN2O,ad</t>
  </si>
  <si>
    <t>EN2O,ad (j)</t>
  </si>
  <si>
    <t>EN2O, dir (PRP)</t>
  </si>
  <si>
    <t>FracGASMSoil</t>
  </si>
  <si>
    <t>Mvol</t>
  </si>
  <si>
    <t>EN2O,ad (PRP, j)</t>
  </si>
  <si>
    <t>FracWET</t>
  </si>
  <si>
    <t>FracLEACHMMS</t>
  </si>
  <si>
    <t>MNLeachm=4</t>
  </si>
  <si>
    <t>MNLeachm=14</t>
  </si>
  <si>
    <t>EFleach</t>
  </si>
  <si>
    <t>EN2O,leach</t>
  </si>
  <si>
    <t>EN2O,leach (j)</t>
  </si>
  <si>
    <t>Method 1</t>
  </si>
  <si>
    <t>Method 2 inputs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</si>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</sst>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0" xfId="0" applyFont="1"/>
    <xf numFmtId="0" fontId="1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5" borderId="1" xfId="0" applyFill="1" applyBorder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3" fillId="7" borderId="1" xfId="0" applyFont="1" applyFill="1" applyBorder="1"/>
    <xf numFmtId="0" fontId="0" fillId="6" borderId="1" xfId="0" applyFill="1" applyBorder="1"/>
    <xf numFmtId="0" fontId="0" fillId="0" borderId="1" xfId="0" applyBorder="1"/>
    <xf numFmtId="0" fontId="3" fillId="7" borderId="0" xfId="0" applyFont="1" applyFill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/common.xlsx" TargetMode="External"/><Relationship Id="rId1" Type="http://schemas.openxmlformats.org/officeDocument/2006/relationships/externalLinkPath" Target="../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08FC-58BB-2F49-BA71-5B789EBF537C}">
  <dimension ref="A1:P55"/>
  <sheetViews>
    <sheetView zoomScale="93" workbookViewId="0">
      <selection sqref="A1:P58"/>
    </sheetView>
  </sheetViews>
  <sheetFormatPr baseColWidth="10" defaultRowHeight="16" x14ac:dyDescent="0.2"/>
  <sheetData>
    <row r="1" spans="1:16" x14ac:dyDescent="0.2">
      <c r="A1" s="6" t="s">
        <v>0</v>
      </c>
      <c r="B1" s="6" t="s">
        <v>1</v>
      </c>
      <c r="C1" s="6" t="s">
        <v>2</v>
      </c>
      <c r="D1" s="6" t="s">
        <v>128</v>
      </c>
      <c r="E1" s="6" t="s">
        <v>3</v>
      </c>
      <c r="F1" s="6" t="s">
        <v>56</v>
      </c>
      <c r="G1" s="12" t="s">
        <v>54</v>
      </c>
      <c r="H1" s="12" t="s">
        <v>55</v>
      </c>
      <c r="I1" s="6"/>
      <c r="J1" s="6" t="s">
        <v>17</v>
      </c>
      <c r="K1" s="6" t="s">
        <v>112</v>
      </c>
      <c r="L1" s="6" t="s">
        <v>116</v>
      </c>
      <c r="M1" s="6" t="s">
        <v>118</v>
      </c>
      <c r="N1" s="6"/>
      <c r="O1" s="6" t="s">
        <v>109</v>
      </c>
      <c r="P1" s="6" t="s">
        <v>98</v>
      </c>
    </row>
    <row r="2" spans="1:16" x14ac:dyDescent="0.2">
      <c r="A2" t="s">
        <v>4</v>
      </c>
      <c r="B2">
        <v>550</v>
      </c>
      <c r="C2">
        <v>380</v>
      </c>
      <c r="D2">
        <v>155</v>
      </c>
      <c r="E2">
        <v>600</v>
      </c>
      <c r="F2">
        <v>225</v>
      </c>
      <c r="G2" s="13">
        <v>155</v>
      </c>
      <c r="H2" s="13">
        <v>225</v>
      </c>
      <c r="J2" t="s">
        <v>54</v>
      </c>
      <c r="K2">
        <v>1.7600000000000001E-2</v>
      </c>
      <c r="L2">
        <v>0.26850000000000002</v>
      </c>
      <c r="M2">
        <v>1.37E-2</v>
      </c>
      <c r="O2" t="s">
        <v>1</v>
      </c>
      <c r="P2">
        <v>1.1000000000000001</v>
      </c>
    </row>
    <row r="3" spans="1:16" x14ac:dyDescent="0.2">
      <c r="A3" t="s">
        <v>5</v>
      </c>
      <c r="B3">
        <v>600</v>
      </c>
      <c r="C3">
        <v>415</v>
      </c>
      <c r="D3">
        <v>170</v>
      </c>
      <c r="E3">
        <v>600</v>
      </c>
      <c r="F3">
        <v>225</v>
      </c>
      <c r="G3" s="13">
        <v>170</v>
      </c>
      <c r="H3" s="13">
        <v>225</v>
      </c>
      <c r="J3" t="s">
        <v>55</v>
      </c>
      <c r="K3">
        <v>2.0400000000000001E-2</v>
      </c>
      <c r="L3">
        <v>0.30030000000000001</v>
      </c>
      <c r="M3">
        <v>9.1999999999999998E-3</v>
      </c>
      <c r="O3" t="s">
        <v>99</v>
      </c>
      <c r="P3">
        <v>1</v>
      </c>
    </row>
    <row r="4" spans="1:16" x14ac:dyDescent="0.2">
      <c r="A4" t="s">
        <v>6</v>
      </c>
      <c r="B4">
        <v>650</v>
      </c>
      <c r="C4">
        <v>450</v>
      </c>
      <c r="D4">
        <v>185</v>
      </c>
      <c r="E4">
        <v>600</v>
      </c>
      <c r="F4">
        <v>225</v>
      </c>
      <c r="G4" s="13">
        <v>185</v>
      </c>
      <c r="H4" s="13">
        <v>225</v>
      </c>
    </row>
    <row r="5" spans="1:16" x14ac:dyDescent="0.2">
      <c r="A5" t="s">
        <v>7</v>
      </c>
      <c r="B5">
        <v>500</v>
      </c>
      <c r="C5">
        <v>350</v>
      </c>
      <c r="D5">
        <v>145</v>
      </c>
      <c r="E5">
        <v>600</v>
      </c>
      <c r="F5">
        <v>225</v>
      </c>
      <c r="G5" s="13">
        <v>145</v>
      </c>
      <c r="H5" s="13">
        <v>225</v>
      </c>
      <c r="I5" s="6"/>
      <c r="J5" s="6" t="s">
        <v>14</v>
      </c>
      <c r="K5" s="6" t="s">
        <v>59</v>
      </c>
      <c r="M5" s="6" t="s">
        <v>100</v>
      </c>
      <c r="N5" s="6" t="s">
        <v>101</v>
      </c>
      <c r="O5" s="6" t="s">
        <v>102</v>
      </c>
      <c r="P5" s="6" t="s">
        <v>103</v>
      </c>
    </row>
    <row r="6" spans="1:16" x14ac:dyDescent="0.2">
      <c r="A6" t="s">
        <v>8</v>
      </c>
      <c r="B6">
        <v>400</v>
      </c>
      <c r="C6">
        <v>275</v>
      </c>
      <c r="D6">
        <v>115</v>
      </c>
      <c r="E6">
        <v>600</v>
      </c>
      <c r="F6">
        <v>225</v>
      </c>
      <c r="G6" s="13">
        <v>115</v>
      </c>
      <c r="H6" s="13">
        <v>225</v>
      </c>
      <c r="I6" s="5"/>
      <c r="J6" s="5" t="s">
        <v>1</v>
      </c>
      <c r="K6" s="5">
        <v>365</v>
      </c>
      <c r="M6" t="s">
        <v>104</v>
      </c>
      <c r="N6">
        <v>0.89</v>
      </c>
      <c r="O6">
        <v>0.11</v>
      </c>
      <c r="P6">
        <v>0</v>
      </c>
    </row>
    <row r="7" spans="1:16" x14ac:dyDescent="0.2">
      <c r="A7" t="s">
        <v>9</v>
      </c>
      <c r="B7">
        <v>450</v>
      </c>
      <c r="C7">
        <v>315</v>
      </c>
      <c r="D7">
        <v>130</v>
      </c>
      <c r="E7">
        <v>600</v>
      </c>
      <c r="F7">
        <v>225</v>
      </c>
      <c r="G7" s="13">
        <v>130</v>
      </c>
      <c r="H7" s="13">
        <v>225</v>
      </c>
      <c r="I7" s="5"/>
      <c r="J7" s="5" t="s">
        <v>3</v>
      </c>
      <c r="K7" s="5">
        <v>365</v>
      </c>
      <c r="M7" t="s">
        <v>105</v>
      </c>
      <c r="N7">
        <v>0.79</v>
      </c>
      <c r="O7">
        <v>0.11</v>
      </c>
      <c r="P7">
        <v>0.1</v>
      </c>
    </row>
    <row r="8" spans="1:16" x14ac:dyDescent="0.2">
      <c r="A8" t="s">
        <v>10</v>
      </c>
      <c r="B8">
        <v>540</v>
      </c>
      <c r="C8">
        <v>375</v>
      </c>
      <c r="D8">
        <v>150</v>
      </c>
      <c r="E8">
        <v>600</v>
      </c>
      <c r="F8">
        <v>225</v>
      </c>
      <c r="G8" s="13">
        <v>150</v>
      </c>
      <c r="H8" s="13">
        <v>225</v>
      </c>
      <c r="I8" s="5"/>
      <c r="J8" s="5" t="s">
        <v>2</v>
      </c>
      <c r="K8" s="5">
        <v>365</v>
      </c>
      <c r="M8" t="s">
        <v>106</v>
      </c>
      <c r="N8">
        <v>0.53400000000000003</v>
      </c>
      <c r="O8">
        <v>0.11</v>
      </c>
      <c r="P8">
        <v>0.35599999999999998</v>
      </c>
    </row>
    <row r="9" spans="1:16" x14ac:dyDescent="0.2">
      <c r="A9" t="s">
        <v>11</v>
      </c>
      <c r="B9">
        <v>480</v>
      </c>
      <c r="C9">
        <v>335</v>
      </c>
      <c r="D9">
        <v>140</v>
      </c>
      <c r="E9">
        <v>600</v>
      </c>
      <c r="F9">
        <v>225</v>
      </c>
      <c r="G9" s="13">
        <v>140</v>
      </c>
      <c r="H9" s="13">
        <v>225</v>
      </c>
      <c r="I9" s="5"/>
      <c r="J9" s="5" t="s">
        <v>128</v>
      </c>
      <c r="K9" s="5">
        <v>281</v>
      </c>
      <c r="M9" t="s">
        <v>107</v>
      </c>
      <c r="N9">
        <v>0</v>
      </c>
      <c r="O9">
        <v>0.11</v>
      </c>
      <c r="P9">
        <v>0.89</v>
      </c>
    </row>
    <row r="10" spans="1:16" x14ac:dyDescent="0.2">
      <c r="A10" t="s">
        <v>12</v>
      </c>
      <c r="B10">
        <v>600</v>
      </c>
      <c r="C10">
        <v>415</v>
      </c>
      <c r="D10">
        <v>170</v>
      </c>
      <c r="E10">
        <v>600</v>
      </c>
      <c r="F10">
        <v>225</v>
      </c>
      <c r="G10" s="13">
        <v>170</v>
      </c>
      <c r="H10" s="13">
        <v>225</v>
      </c>
      <c r="I10" s="5"/>
      <c r="J10" s="5" t="s">
        <v>56</v>
      </c>
      <c r="K10" s="5">
        <v>281</v>
      </c>
    </row>
    <row r="11" spans="1:16" x14ac:dyDescent="0.2">
      <c r="A11" t="s">
        <v>13</v>
      </c>
      <c r="B11">
        <v>550</v>
      </c>
      <c r="C11">
        <v>375</v>
      </c>
      <c r="D11">
        <v>150</v>
      </c>
      <c r="E11">
        <v>600</v>
      </c>
      <c r="F11">
        <v>225</v>
      </c>
      <c r="G11" s="13">
        <v>150</v>
      </c>
      <c r="H11" s="13">
        <v>225</v>
      </c>
      <c r="I11" s="5"/>
      <c r="J11" s="5" t="s">
        <v>54</v>
      </c>
      <c r="K11" s="5">
        <v>84</v>
      </c>
    </row>
    <row r="12" spans="1:16" x14ac:dyDescent="0.2">
      <c r="H12" s="5"/>
      <c r="I12" s="5"/>
      <c r="J12" s="5" t="s">
        <v>55</v>
      </c>
      <c r="K12" s="5">
        <v>84</v>
      </c>
    </row>
    <row r="13" spans="1:16" x14ac:dyDescent="0.2">
      <c r="A13" s="6" t="s">
        <v>14</v>
      </c>
      <c r="B13" s="6" t="s">
        <v>1</v>
      </c>
      <c r="C13" s="6" t="s">
        <v>2</v>
      </c>
      <c r="D13" s="6" t="s">
        <v>128</v>
      </c>
      <c r="E13" s="6" t="s">
        <v>3</v>
      </c>
      <c r="F13" s="6" t="s">
        <v>56</v>
      </c>
      <c r="G13" s="6"/>
      <c r="H13" s="6"/>
    </row>
    <row r="14" spans="1:16" x14ac:dyDescent="0.2">
      <c r="A14" t="s">
        <v>15</v>
      </c>
      <c r="B14">
        <v>590</v>
      </c>
      <c r="C14">
        <v>590</v>
      </c>
      <c r="D14">
        <v>590</v>
      </c>
      <c r="E14">
        <v>770</v>
      </c>
      <c r="F14">
        <v>770</v>
      </c>
    </row>
    <row r="15" spans="1:16" x14ac:dyDescent="0.2">
      <c r="A15" t="s">
        <v>16</v>
      </c>
      <c r="B15">
        <v>1.6E-2</v>
      </c>
      <c r="C15">
        <v>0.6</v>
      </c>
      <c r="D15">
        <v>0.56999999999999995</v>
      </c>
      <c r="E15">
        <v>0.1</v>
      </c>
      <c r="F15">
        <v>0.8</v>
      </c>
    </row>
    <row r="17" spans="1:13" x14ac:dyDescent="0.2">
      <c r="E17" t="s">
        <v>37</v>
      </c>
    </row>
    <row r="18" spans="1:13" x14ac:dyDescent="0.2">
      <c r="A18" s="3" t="s">
        <v>18</v>
      </c>
      <c r="B18" s="3" t="s">
        <v>19</v>
      </c>
      <c r="C18" s="3" t="s">
        <v>27</v>
      </c>
      <c r="D18" s="3" t="s">
        <v>28</v>
      </c>
      <c r="E18" s="1" t="s">
        <v>29</v>
      </c>
      <c r="F18" s="1" t="s">
        <v>30</v>
      </c>
      <c r="G18" s="1" t="s">
        <v>31</v>
      </c>
      <c r="H18" s="1" t="s">
        <v>32</v>
      </c>
      <c r="I18" s="1" t="s">
        <v>33</v>
      </c>
      <c r="J18" s="1" t="s">
        <v>34</v>
      </c>
      <c r="K18" s="1" t="s">
        <v>35</v>
      </c>
      <c r="L18" s="1" t="s">
        <v>36</v>
      </c>
    </row>
    <row r="19" spans="1:13" x14ac:dyDescent="0.2">
      <c r="A19" s="3" t="s">
        <v>20</v>
      </c>
      <c r="B19" s="4">
        <v>1</v>
      </c>
      <c r="C19" s="3">
        <v>0</v>
      </c>
      <c r="D19" s="3">
        <v>0.35</v>
      </c>
      <c r="E19" s="2">
        <v>0.76</v>
      </c>
      <c r="F19" s="2">
        <v>0.72</v>
      </c>
      <c r="G19" s="2">
        <v>0.78</v>
      </c>
      <c r="H19" s="2">
        <v>0.8</v>
      </c>
      <c r="I19" s="2">
        <v>0.73</v>
      </c>
      <c r="J19" s="2">
        <v>0.74</v>
      </c>
      <c r="K19" s="2">
        <v>0.76</v>
      </c>
      <c r="L19" s="2">
        <v>0.69</v>
      </c>
    </row>
    <row r="20" spans="1:13" x14ac:dyDescent="0.2">
      <c r="A20" s="3" t="s">
        <v>21</v>
      </c>
      <c r="B20" s="4" t="s">
        <v>25</v>
      </c>
      <c r="C20" s="3">
        <v>0</v>
      </c>
      <c r="D20" s="3">
        <v>7.0000000000000007E-2</v>
      </c>
      <c r="E20" s="2">
        <v>5.0000000000000001E-3</v>
      </c>
      <c r="F20" s="2">
        <v>5.0000000000000001E-3</v>
      </c>
      <c r="G20" s="2">
        <v>5.0000000000000001E-3</v>
      </c>
      <c r="H20" s="2">
        <v>0.01</v>
      </c>
      <c r="I20" s="2">
        <v>5.0000000000000001E-3</v>
      </c>
      <c r="J20" s="2">
        <v>5.0000000000000001E-3</v>
      </c>
      <c r="K20" s="2">
        <v>5.0000000000000001E-3</v>
      </c>
      <c r="L20" s="2">
        <v>1E-3</v>
      </c>
    </row>
    <row r="21" spans="1:13" x14ac:dyDescent="0.2">
      <c r="A21" s="3" t="s">
        <v>22</v>
      </c>
      <c r="B21" s="4" t="s">
        <v>26</v>
      </c>
      <c r="C21" s="3">
        <v>0</v>
      </c>
      <c r="D21" s="3">
        <v>0.2</v>
      </c>
      <c r="E21" s="2">
        <v>0.18</v>
      </c>
      <c r="F21" s="2">
        <v>0.15</v>
      </c>
      <c r="G21" s="2">
        <v>0.24</v>
      </c>
      <c r="H21" s="2">
        <v>0.5</v>
      </c>
      <c r="I21" s="2">
        <v>0.17</v>
      </c>
      <c r="J21" s="2">
        <v>0.17</v>
      </c>
      <c r="K21" s="2">
        <v>0.18</v>
      </c>
      <c r="L21" s="2">
        <v>0.13</v>
      </c>
    </row>
    <row r="22" spans="1:13" x14ac:dyDescent="0.2">
      <c r="A22" s="3" t="s">
        <v>23</v>
      </c>
      <c r="B22" s="4">
        <v>4</v>
      </c>
      <c r="C22" s="3">
        <v>5.0000000000000001E-3</v>
      </c>
      <c r="D22" s="3">
        <v>0.3</v>
      </c>
      <c r="E22" s="2">
        <v>0.02</v>
      </c>
      <c r="F22" s="2">
        <v>0.02</v>
      </c>
      <c r="G22" s="2">
        <v>0.02</v>
      </c>
      <c r="H22" s="2">
        <v>0.02</v>
      </c>
      <c r="I22" s="2">
        <v>0.02</v>
      </c>
      <c r="J22" s="2">
        <v>0.02</v>
      </c>
      <c r="K22" s="2">
        <v>0.02</v>
      </c>
      <c r="L22" s="2">
        <v>0.02</v>
      </c>
    </row>
    <row r="23" spans="1:13" x14ac:dyDescent="0.2">
      <c r="A23" s="3" t="s">
        <v>24</v>
      </c>
      <c r="B23" s="4">
        <v>14</v>
      </c>
      <c r="C23" s="3">
        <v>0</v>
      </c>
      <c r="D23" s="3">
        <v>0</v>
      </c>
      <c r="E23" s="2">
        <v>0.01</v>
      </c>
      <c r="F23" s="2">
        <v>0.01</v>
      </c>
      <c r="G23" s="2">
        <v>0.01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</row>
    <row r="25" spans="1:13" x14ac:dyDescent="0.2">
      <c r="E25" s="5" t="s">
        <v>38</v>
      </c>
      <c r="F25" s="5"/>
      <c r="G25" s="5"/>
      <c r="H25" s="5"/>
      <c r="I25" s="5"/>
      <c r="J25" s="5"/>
      <c r="K25" s="5"/>
      <c r="L25" s="5"/>
    </row>
    <row r="26" spans="1:13" x14ac:dyDescent="0.2">
      <c r="A26" s="6" t="s">
        <v>46</v>
      </c>
      <c r="B26" s="6" t="s">
        <v>89</v>
      </c>
      <c r="E26" s="6" t="s">
        <v>39</v>
      </c>
      <c r="F26" s="6" t="s">
        <v>20</v>
      </c>
      <c r="G26" s="6" t="s">
        <v>21</v>
      </c>
      <c r="H26" s="6" t="s">
        <v>22</v>
      </c>
      <c r="I26" s="6" t="s">
        <v>23</v>
      </c>
      <c r="J26" s="6"/>
      <c r="K26" s="6" t="s">
        <v>42</v>
      </c>
      <c r="L26" s="6"/>
      <c r="M26" s="6"/>
    </row>
    <row r="27" spans="1:13" x14ac:dyDescent="0.2">
      <c r="A27" t="s">
        <v>52</v>
      </c>
      <c r="B27">
        <v>1.8E-3</v>
      </c>
      <c r="E27" s="7" t="s">
        <v>40</v>
      </c>
      <c r="F27" s="5">
        <v>0.66</v>
      </c>
      <c r="G27" s="5">
        <v>1E-3</v>
      </c>
      <c r="H27" s="5">
        <v>0.1</v>
      </c>
      <c r="I27" s="5">
        <v>0.02</v>
      </c>
      <c r="J27" s="5"/>
      <c r="K27" s="5"/>
      <c r="L27" s="5"/>
      <c r="M27" s="5"/>
    </row>
    <row r="28" spans="1:13" x14ac:dyDescent="0.2">
      <c r="A28" t="s">
        <v>90</v>
      </c>
      <c r="B28">
        <v>5.8999999999999999E-3</v>
      </c>
      <c r="E28" s="7">
        <v>11</v>
      </c>
      <c r="F28" s="5">
        <v>0.68</v>
      </c>
      <c r="G28" s="5">
        <v>1E-3</v>
      </c>
      <c r="H28" s="5">
        <v>0.11</v>
      </c>
      <c r="I28" s="5">
        <v>0.02</v>
      </c>
      <c r="J28" s="5"/>
      <c r="K28" s="5"/>
      <c r="L28" s="5"/>
      <c r="M28" s="5"/>
    </row>
    <row r="29" spans="1:13" x14ac:dyDescent="0.2">
      <c r="A29" t="s">
        <v>91</v>
      </c>
      <c r="B29">
        <v>7.0000000000000001E-3</v>
      </c>
      <c r="E29" s="7">
        <v>12</v>
      </c>
      <c r="F29" s="5">
        <v>0.7</v>
      </c>
      <c r="G29" s="5">
        <v>1E-3</v>
      </c>
      <c r="H29" s="5">
        <v>0.13</v>
      </c>
      <c r="I29" s="5">
        <v>0.02</v>
      </c>
      <c r="J29" s="5"/>
      <c r="K29" s="5"/>
      <c r="L29" s="5"/>
      <c r="M29" s="5"/>
    </row>
    <row r="30" spans="1:13" x14ac:dyDescent="0.2">
      <c r="A30" t="s">
        <v>92</v>
      </c>
      <c r="B30">
        <v>2.8999999999999998E-3</v>
      </c>
      <c r="E30" s="7">
        <v>13</v>
      </c>
      <c r="F30" s="5">
        <v>0.71</v>
      </c>
      <c r="G30" s="5">
        <v>1E-3</v>
      </c>
      <c r="H30" s="5">
        <v>0.14000000000000001</v>
      </c>
      <c r="I30" s="5">
        <v>0.02</v>
      </c>
      <c r="J30" s="5"/>
      <c r="K30" s="5"/>
      <c r="L30" s="5"/>
      <c r="M30" s="5"/>
    </row>
    <row r="31" spans="1:13" x14ac:dyDescent="0.2">
      <c r="A31" t="s">
        <v>93</v>
      </c>
      <c r="B31">
        <v>8.0000000000000002E-3</v>
      </c>
      <c r="E31" s="7">
        <v>14</v>
      </c>
      <c r="F31" s="5">
        <v>0.73</v>
      </c>
      <c r="G31" s="5">
        <v>1E-3</v>
      </c>
      <c r="H31" s="5">
        <v>0.15</v>
      </c>
      <c r="I31" s="5">
        <v>0.02</v>
      </c>
      <c r="J31" s="5"/>
      <c r="K31" s="5"/>
      <c r="L31" s="5"/>
      <c r="M31" s="5"/>
    </row>
    <row r="32" spans="1:13" x14ac:dyDescent="0.2">
      <c r="E32" s="8">
        <v>15</v>
      </c>
      <c r="F32" s="5">
        <v>0.74</v>
      </c>
      <c r="G32" s="5">
        <v>5.0000000000000001E-3</v>
      </c>
      <c r="H32" s="5">
        <v>0.17</v>
      </c>
      <c r="I32" s="5">
        <v>0.02</v>
      </c>
      <c r="J32" s="5"/>
      <c r="K32" s="5"/>
      <c r="L32" s="5"/>
      <c r="M32" s="5"/>
    </row>
    <row r="33" spans="1:13" x14ac:dyDescent="0.2">
      <c r="A33" s="6" t="s">
        <v>47</v>
      </c>
      <c r="B33" s="6" t="s">
        <v>94</v>
      </c>
      <c r="E33" s="8">
        <v>16</v>
      </c>
      <c r="F33" s="5">
        <v>0.75</v>
      </c>
      <c r="G33" s="5">
        <v>5.0000000000000001E-3</v>
      </c>
      <c r="H33" s="5">
        <v>0.18</v>
      </c>
      <c r="I33" s="5">
        <v>0.02</v>
      </c>
      <c r="J33" s="5"/>
      <c r="K33" s="5"/>
      <c r="L33" s="5"/>
      <c r="M33" s="5"/>
    </row>
    <row r="34" spans="1:13" x14ac:dyDescent="0.2">
      <c r="A34" t="s">
        <v>53</v>
      </c>
      <c r="B34">
        <v>6.0000000000000001E-3</v>
      </c>
      <c r="E34" s="8">
        <v>17</v>
      </c>
      <c r="F34" s="5">
        <v>0.76</v>
      </c>
      <c r="G34" s="5">
        <v>5.0000000000000001E-3</v>
      </c>
      <c r="H34" s="5">
        <v>0.2</v>
      </c>
      <c r="I34" s="5">
        <v>0.02</v>
      </c>
      <c r="J34" s="5"/>
      <c r="K34" s="5"/>
      <c r="L34" s="5"/>
      <c r="M34" s="5"/>
    </row>
    <row r="35" spans="1:13" x14ac:dyDescent="0.2">
      <c r="A35" t="s">
        <v>95</v>
      </c>
      <c r="B35">
        <v>2E-3</v>
      </c>
      <c r="E35" s="8">
        <v>18</v>
      </c>
      <c r="F35" s="5">
        <v>0.77</v>
      </c>
      <c r="G35" s="5">
        <v>5.0000000000000001E-3</v>
      </c>
      <c r="H35" s="5">
        <v>0.22</v>
      </c>
      <c r="I35" s="5">
        <v>0.02</v>
      </c>
      <c r="J35" s="5"/>
      <c r="K35" s="5"/>
      <c r="L35" s="5"/>
      <c r="M35" s="5"/>
    </row>
    <row r="36" spans="1:13" x14ac:dyDescent="0.2">
      <c r="E36" s="8">
        <v>19</v>
      </c>
      <c r="F36" s="5">
        <v>0.78</v>
      </c>
      <c r="G36" s="5">
        <v>5.0000000000000001E-3</v>
      </c>
      <c r="H36" s="5">
        <v>0.24</v>
      </c>
      <c r="I36" s="5">
        <v>0.02</v>
      </c>
      <c r="J36" s="5"/>
      <c r="K36" s="5"/>
      <c r="L36" s="5"/>
      <c r="M36" s="5"/>
    </row>
    <row r="37" spans="1:13" x14ac:dyDescent="0.2">
      <c r="A37" s="6" t="s">
        <v>96</v>
      </c>
      <c r="E37" s="8">
        <v>20</v>
      </c>
      <c r="F37" s="5">
        <v>0.78</v>
      </c>
      <c r="G37" s="5">
        <v>5.0000000000000001E-3</v>
      </c>
      <c r="H37" s="5">
        <v>0.26</v>
      </c>
      <c r="I37" s="5">
        <v>0.02</v>
      </c>
      <c r="J37" s="5"/>
      <c r="K37" s="5"/>
      <c r="L37" s="5"/>
      <c r="M37" s="5"/>
    </row>
    <row r="38" spans="1:13" x14ac:dyDescent="0.2">
      <c r="A38" t="s">
        <v>123</v>
      </c>
      <c r="B38">
        <v>0.2</v>
      </c>
      <c r="E38" s="8">
        <v>21</v>
      </c>
      <c r="F38" s="5">
        <v>0.78</v>
      </c>
      <c r="G38" s="5">
        <v>5.0000000000000001E-3</v>
      </c>
      <c r="H38" s="5">
        <v>0.28999999999999998</v>
      </c>
      <c r="I38" s="5">
        <v>0.02</v>
      </c>
      <c r="J38" s="5"/>
      <c r="K38" s="5"/>
      <c r="L38" s="5"/>
      <c r="M38" s="5"/>
    </row>
    <row r="39" spans="1:13" x14ac:dyDescent="0.2">
      <c r="A39" t="s">
        <v>82</v>
      </c>
      <c r="B39">
        <v>4</v>
      </c>
      <c r="E39" s="8">
        <v>22</v>
      </c>
      <c r="F39" s="5">
        <v>0.78</v>
      </c>
      <c r="G39" s="5">
        <v>5.0000000000000001E-3</v>
      </c>
      <c r="H39" s="5">
        <v>0.31</v>
      </c>
      <c r="I39" s="5">
        <v>0.02</v>
      </c>
      <c r="J39" s="5"/>
      <c r="K39" s="5"/>
      <c r="L39" s="5"/>
      <c r="M39" s="5"/>
    </row>
    <row r="40" spans="1:13" x14ac:dyDescent="0.2">
      <c r="A40" t="s">
        <v>83</v>
      </c>
      <c r="B40">
        <v>3.3</v>
      </c>
      <c r="E40" s="8">
        <v>23</v>
      </c>
      <c r="F40" s="5">
        <v>0.79</v>
      </c>
      <c r="G40" s="5">
        <v>5.0000000000000001E-3</v>
      </c>
      <c r="H40" s="5">
        <v>0.34</v>
      </c>
      <c r="I40" s="5">
        <v>0.02</v>
      </c>
      <c r="J40" s="5"/>
      <c r="K40" s="5"/>
      <c r="L40" s="5"/>
      <c r="M40" s="5"/>
    </row>
    <row r="41" spans="1:13" x14ac:dyDescent="0.2">
      <c r="A41" t="s">
        <v>124</v>
      </c>
      <c r="B41">
        <v>3.0539999999999998</v>
      </c>
      <c r="E41" s="8">
        <v>24</v>
      </c>
      <c r="F41" s="5">
        <v>0.79</v>
      </c>
      <c r="G41" s="5">
        <v>5.0000000000000001E-3</v>
      </c>
      <c r="H41" s="5">
        <v>0.37</v>
      </c>
      <c r="I41" s="5">
        <v>0.02</v>
      </c>
      <c r="J41" s="5"/>
      <c r="K41" s="5"/>
      <c r="L41" s="5"/>
      <c r="M41" s="5"/>
    </row>
    <row r="42" spans="1:13" x14ac:dyDescent="0.2">
      <c r="A42" t="s">
        <v>125</v>
      </c>
      <c r="B42">
        <v>18.399999999999999</v>
      </c>
      <c r="E42" s="8">
        <v>25</v>
      </c>
      <c r="F42" s="5">
        <v>0.79</v>
      </c>
      <c r="G42" s="5">
        <v>5.0000000000000001E-3</v>
      </c>
      <c r="H42" s="5">
        <v>0.41</v>
      </c>
      <c r="I42" s="5">
        <v>0.02</v>
      </c>
      <c r="J42" s="5"/>
      <c r="K42" s="5"/>
      <c r="L42" s="5"/>
      <c r="M42" s="5"/>
    </row>
    <row r="43" spans="1:13" x14ac:dyDescent="0.2">
      <c r="A43" t="s">
        <v>127</v>
      </c>
      <c r="B43">
        <v>0.6</v>
      </c>
      <c r="E43" s="9">
        <v>26</v>
      </c>
      <c r="F43" s="5">
        <v>0.79</v>
      </c>
      <c r="G43" s="5">
        <v>0.01</v>
      </c>
      <c r="H43" s="5">
        <v>0.44</v>
      </c>
      <c r="I43" s="5">
        <v>0.02</v>
      </c>
      <c r="J43" s="5"/>
      <c r="K43" s="5"/>
      <c r="L43" s="5"/>
      <c r="M43" s="5"/>
    </row>
    <row r="44" spans="1:13" x14ac:dyDescent="0.2">
      <c r="A44" t="s">
        <v>126</v>
      </c>
      <c r="B44">
        <v>1.03</v>
      </c>
      <c r="E44" s="9">
        <v>27</v>
      </c>
      <c r="F44" s="5">
        <v>0.8</v>
      </c>
      <c r="G44" s="5">
        <v>0.01</v>
      </c>
      <c r="H44" s="5">
        <v>0.48</v>
      </c>
      <c r="I44" s="5">
        <v>0.02</v>
      </c>
      <c r="J44" s="5"/>
      <c r="K44" s="5"/>
      <c r="L44" s="5"/>
      <c r="M44" s="5"/>
    </row>
    <row r="45" spans="1:13" x14ac:dyDescent="0.2">
      <c r="A45" t="s">
        <v>110</v>
      </c>
      <c r="B45">
        <v>0.75</v>
      </c>
      <c r="E45" s="9" t="s">
        <v>41</v>
      </c>
      <c r="F45" s="5">
        <v>0.8</v>
      </c>
      <c r="G45" s="5">
        <v>0.01</v>
      </c>
      <c r="H45" s="5">
        <v>0.5</v>
      </c>
      <c r="I45" s="5">
        <v>0.02</v>
      </c>
      <c r="J45" s="5"/>
      <c r="K45" s="5"/>
      <c r="L45" s="5"/>
      <c r="M45" s="5"/>
    </row>
    <row r="46" spans="1:13" x14ac:dyDescent="0.2">
      <c r="A46" t="s">
        <v>111</v>
      </c>
      <c r="B46">
        <v>0.2</v>
      </c>
    </row>
    <row r="47" spans="1:13" x14ac:dyDescent="0.2">
      <c r="A47" t="s">
        <v>113</v>
      </c>
      <c r="B47">
        <v>0.08</v>
      </c>
    </row>
    <row r="48" spans="1:13" x14ac:dyDescent="0.2">
      <c r="A48" t="s">
        <v>114</v>
      </c>
      <c r="B48">
        <v>0.24</v>
      </c>
    </row>
    <row r="49" spans="1:2" x14ac:dyDescent="0.2">
      <c r="A49" t="s">
        <v>115</v>
      </c>
      <c r="B49">
        <v>0.6784</v>
      </c>
    </row>
    <row r="50" spans="1:2" x14ac:dyDescent="0.2">
      <c r="A50" t="s">
        <v>117</v>
      </c>
      <c r="B50">
        <f>[1]!common_cn2o</f>
        <v>1.57</v>
      </c>
    </row>
    <row r="51" spans="1:2" x14ac:dyDescent="0.2">
      <c r="A51" t="s">
        <v>119</v>
      </c>
      <c r="B51">
        <v>0.21</v>
      </c>
    </row>
    <row r="52" spans="1:2" x14ac:dyDescent="0.2">
      <c r="A52" t="s">
        <v>120</v>
      </c>
      <c r="B52">
        <v>1.0999999999999999E-2</v>
      </c>
    </row>
    <row r="53" spans="1:2" x14ac:dyDescent="0.2">
      <c r="A53" t="s">
        <v>121</v>
      </c>
      <c r="B53">
        <v>0.24</v>
      </c>
    </row>
    <row r="54" spans="1:2" x14ac:dyDescent="0.2">
      <c r="A54" t="s">
        <v>122</v>
      </c>
      <c r="B54">
        <v>0.02</v>
      </c>
    </row>
    <row r="55" spans="1:2" x14ac:dyDescent="0.2">
      <c r="A55" t="s">
        <v>164</v>
      </c>
      <c r="B55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B8BC-F250-E249-9E5E-FE7617D8875D}">
  <dimension ref="A1:AE128"/>
  <sheetViews>
    <sheetView topLeftCell="J13" workbookViewId="0">
      <selection activeCell="V116" sqref="V116"/>
    </sheetView>
  </sheetViews>
  <sheetFormatPr baseColWidth="10" defaultRowHeight="16" x14ac:dyDescent="0.2"/>
  <sheetData>
    <row r="1" spans="1:31" x14ac:dyDescent="0.2">
      <c r="A1" t="s">
        <v>43</v>
      </c>
    </row>
    <row r="3" spans="1:31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</row>
    <row r="5" spans="1:31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Y5" t="s">
        <v>60</v>
      </c>
    </row>
    <row r="6" spans="1:31" x14ac:dyDescent="0.2">
      <c r="W6" t="s">
        <v>80</v>
      </c>
    </row>
    <row r="7" spans="1:3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81</v>
      </c>
      <c r="U7" s="10" t="s">
        <v>82</v>
      </c>
      <c r="V7" s="10" t="s">
        <v>83</v>
      </c>
      <c r="W7" s="10" t="s">
        <v>79</v>
      </c>
      <c r="X7" s="10" t="s">
        <v>108</v>
      </c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</row>
    <row r="8" spans="1:31" x14ac:dyDescent="0.2">
      <c r="A8" t="s">
        <v>29</v>
      </c>
      <c r="C8" t="s">
        <v>52</v>
      </c>
      <c r="D8" t="s">
        <v>53</v>
      </c>
      <c r="E8" t="b">
        <v>0</v>
      </c>
      <c r="F8" t="s">
        <v>106</v>
      </c>
      <c r="J8">
        <v>0.25</v>
      </c>
      <c r="K8">
        <v>0.25</v>
      </c>
      <c r="L8">
        <v>0.25</v>
      </c>
      <c r="M8">
        <v>0.25</v>
      </c>
      <c r="N8">
        <v>0.25</v>
      </c>
      <c r="O8">
        <v>0.25</v>
      </c>
      <c r="P8">
        <v>0.25</v>
      </c>
      <c r="Q8">
        <v>0.25</v>
      </c>
      <c r="R8" t="b">
        <v>1</v>
      </c>
      <c r="W8">
        <v>15</v>
      </c>
      <c r="X8" t="s">
        <v>4</v>
      </c>
      <c r="Y8" t="s">
        <v>1</v>
      </c>
      <c r="Z8">
        <v>200</v>
      </c>
    </row>
    <row r="9" spans="1:31" x14ac:dyDescent="0.2">
      <c r="A9" t="s">
        <v>29</v>
      </c>
      <c r="C9" t="s">
        <v>52</v>
      </c>
      <c r="D9" t="s">
        <v>53</v>
      </c>
      <c r="E9" t="b">
        <v>0</v>
      </c>
      <c r="F9" t="s">
        <v>106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 t="b">
        <v>1</v>
      </c>
      <c r="X9" t="s">
        <v>4</v>
      </c>
      <c r="Y9" t="s">
        <v>2</v>
      </c>
      <c r="Z9">
        <v>200</v>
      </c>
    </row>
    <row r="10" spans="1:31" x14ac:dyDescent="0.2">
      <c r="A10" t="s">
        <v>29</v>
      </c>
      <c r="C10" t="s">
        <v>52</v>
      </c>
      <c r="D10" t="s">
        <v>53</v>
      </c>
      <c r="E10" t="b">
        <v>0</v>
      </c>
      <c r="F10" t="s">
        <v>106</v>
      </c>
      <c r="J10">
        <v>0.25</v>
      </c>
      <c r="K10">
        <v>0.25</v>
      </c>
      <c r="L10">
        <v>0.25</v>
      </c>
      <c r="M10">
        <v>0.25</v>
      </c>
      <c r="N10">
        <v>0.25</v>
      </c>
      <c r="O10">
        <v>0.25</v>
      </c>
      <c r="P10">
        <v>0.25</v>
      </c>
      <c r="Q10">
        <v>0.25</v>
      </c>
      <c r="R10" t="b">
        <v>1</v>
      </c>
      <c r="X10" t="s">
        <v>4</v>
      </c>
      <c r="Y10" t="s">
        <v>54</v>
      </c>
      <c r="Z10">
        <v>200</v>
      </c>
    </row>
    <row r="11" spans="1:31" x14ac:dyDescent="0.2">
      <c r="A11" t="s">
        <v>29</v>
      </c>
      <c r="C11" t="s">
        <v>52</v>
      </c>
      <c r="D11" t="s">
        <v>53</v>
      </c>
      <c r="E11" t="b">
        <v>0</v>
      </c>
      <c r="F11" t="s">
        <v>106</v>
      </c>
      <c r="J11">
        <v>0.25</v>
      </c>
      <c r="K11">
        <v>0.25</v>
      </c>
      <c r="L11">
        <v>0.25</v>
      </c>
      <c r="M11">
        <v>0.25</v>
      </c>
      <c r="N11">
        <v>0.25</v>
      </c>
      <c r="O11">
        <v>0.25</v>
      </c>
      <c r="P11">
        <v>0.25</v>
      </c>
      <c r="Q11">
        <v>0.25</v>
      </c>
      <c r="R11" t="b">
        <v>1</v>
      </c>
      <c r="X11" t="s">
        <v>4</v>
      </c>
      <c r="Y11" t="s">
        <v>128</v>
      </c>
      <c r="Z11">
        <v>200</v>
      </c>
    </row>
    <row r="12" spans="1:31" x14ac:dyDescent="0.2">
      <c r="A12" t="s">
        <v>29</v>
      </c>
      <c r="C12" t="s">
        <v>52</v>
      </c>
      <c r="D12" t="s">
        <v>53</v>
      </c>
      <c r="E12" t="b">
        <v>0</v>
      </c>
      <c r="F12" t="s">
        <v>106</v>
      </c>
      <c r="J12">
        <v>0.25</v>
      </c>
      <c r="K12">
        <v>0.25</v>
      </c>
      <c r="L12">
        <v>0.25</v>
      </c>
      <c r="M12">
        <v>0.25</v>
      </c>
      <c r="N12">
        <v>0.25</v>
      </c>
      <c r="O12">
        <v>0.25</v>
      </c>
      <c r="P12">
        <v>0.25</v>
      </c>
      <c r="Q12">
        <v>0.25</v>
      </c>
      <c r="R12" t="b">
        <v>1</v>
      </c>
      <c r="X12" t="s">
        <v>4</v>
      </c>
      <c r="Y12" t="s">
        <v>3</v>
      </c>
      <c r="Z12">
        <v>200</v>
      </c>
    </row>
    <row r="13" spans="1:31" x14ac:dyDescent="0.2">
      <c r="A13" t="s">
        <v>29</v>
      </c>
      <c r="C13" t="s">
        <v>52</v>
      </c>
      <c r="D13" t="s">
        <v>53</v>
      </c>
      <c r="E13" t="b">
        <v>0</v>
      </c>
      <c r="F13" t="s">
        <v>106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  <c r="R13" t="b">
        <v>1</v>
      </c>
      <c r="X13" t="s">
        <v>4</v>
      </c>
      <c r="Y13" t="s">
        <v>55</v>
      </c>
      <c r="Z13">
        <v>200</v>
      </c>
    </row>
    <row r="14" spans="1:31" x14ac:dyDescent="0.2">
      <c r="A14" s="16" t="s">
        <v>29</v>
      </c>
      <c r="B14" s="16"/>
      <c r="C14" s="16" t="s">
        <v>52</v>
      </c>
      <c r="D14" s="16" t="s">
        <v>53</v>
      </c>
      <c r="E14" s="16" t="b">
        <v>0</v>
      </c>
      <c r="F14" s="16" t="s">
        <v>106</v>
      </c>
      <c r="G14" s="16"/>
      <c r="H14" s="16"/>
      <c r="I14" s="16"/>
      <c r="J14" s="16">
        <v>0.25</v>
      </c>
      <c r="K14" s="16">
        <v>0.25</v>
      </c>
      <c r="L14" s="16">
        <v>0.25</v>
      </c>
      <c r="M14" s="16">
        <v>0.25</v>
      </c>
      <c r="N14" s="16">
        <v>0.25</v>
      </c>
      <c r="O14" s="16">
        <v>0.25</v>
      </c>
      <c r="P14" s="16">
        <v>0.25</v>
      </c>
      <c r="Q14" s="16">
        <v>0.25</v>
      </c>
      <c r="R14" s="16" t="b">
        <v>1</v>
      </c>
      <c r="S14" s="16"/>
      <c r="T14" s="16"/>
      <c r="U14" s="16"/>
      <c r="V14" s="16"/>
      <c r="W14" s="16"/>
      <c r="X14" s="16" t="s">
        <v>4</v>
      </c>
      <c r="Y14" s="16" t="s">
        <v>56</v>
      </c>
      <c r="Z14" s="16">
        <v>200</v>
      </c>
      <c r="AA14" s="16"/>
      <c r="AB14" s="16"/>
      <c r="AC14" s="16"/>
      <c r="AD14" s="16"/>
      <c r="AE14" s="16"/>
    </row>
    <row r="15" spans="1:31" x14ac:dyDescent="0.2">
      <c r="A15" t="s">
        <v>31</v>
      </c>
      <c r="C15" t="s">
        <v>93</v>
      </c>
      <c r="D15" t="s">
        <v>53</v>
      </c>
      <c r="E15" t="b">
        <v>1</v>
      </c>
      <c r="F15" t="s">
        <v>105</v>
      </c>
      <c r="L15">
        <v>1</v>
      </c>
      <c r="N15">
        <v>1</v>
      </c>
      <c r="R15" t="b">
        <v>1</v>
      </c>
      <c r="T15">
        <v>3</v>
      </c>
      <c r="U15" s="20"/>
      <c r="V15" s="20"/>
      <c r="X15" t="s">
        <v>5</v>
      </c>
      <c r="Y15" t="s">
        <v>1</v>
      </c>
      <c r="Z15">
        <v>200</v>
      </c>
    </row>
    <row r="16" spans="1:31" x14ac:dyDescent="0.2">
      <c r="A16" t="s">
        <v>31</v>
      </c>
      <c r="C16" t="s">
        <v>93</v>
      </c>
      <c r="D16" t="s">
        <v>53</v>
      </c>
      <c r="E16" t="b">
        <v>1</v>
      </c>
      <c r="F16" t="s">
        <v>105</v>
      </c>
      <c r="L16">
        <v>1</v>
      </c>
      <c r="N16">
        <v>1</v>
      </c>
      <c r="R16" t="b">
        <v>1</v>
      </c>
      <c r="X16" t="s">
        <v>5</v>
      </c>
      <c r="Y16" t="s">
        <v>2</v>
      </c>
      <c r="Z16">
        <v>200</v>
      </c>
    </row>
    <row r="17" spans="1:31" x14ac:dyDescent="0.2">
      <c r="A17" t="s">
        <v>31</v>
      </c>
      <c r="C17" t="s">
        <v>93</v>
      </c>
      <c r="D17" t="s">
        <v>53</v>
      </c>
      <c r="E17" t="b">
        <v>1</v>
      </c>
      <c r="F17" t="s">
        <v>105</v>
      </c>
      <c r="L17">
        <v>1</v>
      </c>
      <c r="N17">
        <v>1</v>
      </c>
      <c r="R17" t="b">
        <v>1</v>
      </c>
      <c r="X17" t="s">
        <v>5</v>
      </c>
      <c r="Y17" t="s">
        <v>54</v>
      </c>
      <c r="Z17">
        <v>200</v>
      </c>
    </row>
    <row r="18" spans="1:31" x14ac:dyDescent="0.2">
      <c r="A18" t="s">
        <v>31</v>
      </c>
      <c r="C18" t="s">
        <v>93</v>
      </c>
      <c r="D18" t="s">
        <v>53</v>
      </c>
      <c r="E18" t="b">
        <v>1</v>
      </c>
      <c r="F18" t="s">
        <v>105</v>
      </c>
      <c r="L18">
        <v>1</v>
      </c>
      <c r="N18">
        <v>1</v>
      </c>
      <c r="R18" t="b">
        <v>1</v>
      </c>
      <c r="X18" t="s">
        <v>5</v>
      </c>
      <c r="Y18" t="s">
        <v>128</v>
      </c>
      <c r="Z18">
        <v>200</v>
      </c>
    </row>
    <row r="19" spans="1:31" x14ac:dyDescent="0.2">
      <c r="A19" t="s">
        <v>31</v>
      </c>
      <c r="C19" t="s">
        <v>93</v>
      </c>
      <c r="D19" t="s">
        <v>53</v>
      </c>
      <c r="E19" t="b">
        <v>1</v>
      </c>
      <c r="F19" t="s">
        <v>105</v>
      </c>
      <c r="L19">
        <v>1</v>
      </c>
      <c r="N19">
        <v>1</v>
      </c>
      <c r="R19" t="b">
        <v>1</v>
      </c>
      <c r="X19" t="s">
        <v>5</v>
      </c>
      <c r="Y19" t="s">
        <v>3</v>
      </c>
      <c r="Z19">
        <v>200</v>
      </c>
    </row>
    <row r="20" spans="1:31" x14ac:dyDescent="0.2">
      <c r="A20" t="s">
        <v>31</v>
      </c>
      <c r="C20" t="s">
        <v>93</v>
      </c>
      <c r="D20" t="s">
        <v>53</v>
      </c>
      <c r="E20" t="b">
        <v>1</v>
      </c>
      <c r="F20" t="s">
        <v>105</v>
      </c>
      <c r="L20">
        <v>1</v>
      </c>
      <c r="N20">
        <v>1</v>
      </c>
      <c r="R20" t="b">
        <v>1</v>
      </c>
      <c r="X20" t="s">
        <v>5</v>
      </c>
      <c r="Y20" t="s">
        <v>55</v>
      </c>
      <c r="Z20">
        <v>200</v>
      </c>
    </row>
    <row r="21" spans="1:31" x14ac:dyDescent="0.2">
      <c r="A21" s="16" t="s">
        <v>31</v>
      </c>
      <c r="B21" s="16"/>
      <c r="C21" s="16" t="s">
        <v>93</v>
      </c>
      <c r="D21" s="16" t="s">
        <v>53</v>
      </c>
      <c r="E21" s="16" t="b">
        <v>1</v>
      </c>
      <c r="F21" s="16" t="s">
        <v>105</v>
      </c>
      <c r="G21" s="16"/>
      <c r="H21" s="16"/>
      <c r="I21" s="16"/>
      <c r="J21" s="16"/>
      <c r="K21" s="16"/>
      <c r="L21" s="16">
        <v>1</v>
      </c>
      <c r="M21" s="16"/>
      <c r="N21" s="16">
        <v>1</v>
      </c>
      <c r="O21" s="16"/>
      <c r="P21" s="16"/>
      <c r="Q21" s="16"/>
      <c r="R21" s="16" t="b">
        <v>1</v>
      </c>
      <c r="S21" s="16"/>
      <c r="T21" s="16"/>
      <c r="U21" s="16"/>
      <c r="V21" s="16"/>
      <c r="W21" s="16"/>
      <c r="X21" s="16" t="s">
        <v>5</v>
      </c>
      <c r="Y21" s="16" t="s">
        <v>56</v>
      </c>
      <c r="Z21" s="16">
        <v>200</v>
      </c>
      <c r="AA21" s="16"/>
      <c r="AB21" s="16"/>
      <c r="AC21" s="16"/>
      <c r="AD21" s="16"/>
      <c r="AE21" s="16"/>
    </row>
    <row r="22" spans="1:31" x14ac:dyDescent="0.2">
      <c r="A22" t="s">
        <v>32</v>
      </c>
      <c r="C22" t="s">
        <v>90</v>
      </c>
      <c r="D22" t="s">
        <v>95</v>
      </c>
      <c r="E22" t="b">
        <v>0</v>
      </c>
      <c r="F22" t="s">
        <v>107</v>
      </c>
      <c r="J22">
        <v>0</v>
      </c>
      <c r="K22">
        <v>0.5</v>
      </c>
      <c r="L22">
        <v>0.5</v>
      </c>
      <c r="M22">
        <v>0</v>
      </c>
      <c r="N22">
        <v>0.5</v>
      </c>
      <c r="O22">
        <v>0</v>
      </c>
      <c r="P22">
        <v>0</v>
      </c>
      <c r="Q22">
        <v>0.5</v>
      </c>
      <c r="R22" t="b">
        <v>0</v>
      </c>
      <c r="T22">
        <v>2.8</v>
      </c>
      <c r="X22" t="s">
        <v>6</v>
      </c>
      <c r="Y22" t="s">
        <v>1</v>
      </c>
      <c r="Z22">
        <v>200</v>
      </c>
    </row>
    <row r="23" spans="1:31" x14ac:dyDescent="0.2">
      <c r="A23" t="s">
        <v>32</v>
      </c>
      <c r="C23" t="s">
        <v>90</v>
      </c>
      <c r="D23" t="s">
        <v>95</v>
      </c>
      <c r="E23" t="b">
        <v>0</v>
      </c>
      <c r="F23" t="s">
        <v>107</v>
      </c>
      <c r="J23">
        <v>0</v>
      </c>
      <c r="K23">
        <v>0.5</v>
      </c>
      <c r="L23">
        <v>0.5</v>
      </c>
      <c r="M23">
        <v>0</v>
      </c>
      <c r="N23">
        <v>0.5</v>
      </c>
      <c r="O23">
        <v>0</v>
      </c>
      <c r="P23">
        <v>0</v>
      </c>
      <c r="Q23">
        <v>0.5</v>
      </c>
      <c r="R23" t="b">
        <v>0</v>
      </c>
      <c r="X23" t="s">
        <v>6</v>
      </c>
      <c r="Y23" t="s">
        <v>2</v>
      </c>
      <c r="Z23">
        <v>200</v>
      </c>
    </row>
    <row r="24" spans="1:31" x14ac:dyDescent="0.2">
      <c r="A24" t="s">
        <v>32</v>
      </c>
      <c r="C24" t="s">
        <v>90</v>
      </c>
      <c r="D24" t="s">
        <v>95</v>
      </c>
      <c r="E24" t="b">
        <v>0</v>
      </c>
      <c r="F24" t="s">
        <v>107</v>
      </c>
      <c r="J24">
        <v>0</v>
      </c>
      <c r="K24">
        <v>0.5</v>
      </c>
      <c r="L24">
        <v>0.5</v>
      </c>
      <c r="M24">
        <v>0</v>
      </c>
      <c r="N24">
        <v>0.5</v>
      </c>
      <c r="O24">
        <v>0</v>
      </c>
      <c r="P24">
        <v>0</v>
      </c>
      <c r="Q24">
        <v>0.5</v>
      </c>
      <c r="R24" t="b">
        <v>0</v>
      </c>
      <c r="X24" t="s">
        <v>6</v>
      </c>
      <c r="Y24" t="s">
        <v>54</v>
      </c>
      <c r="Z24">
        <v>200</v>
      </c>
    </row>
    <row r="25" spans="1:31" x14ac:dyDescent="0.2">
      <c r="A25" t="s">
        <v>32</v>
      </c>
      <c r="C25" t="s">
        <v>90</v>
      </c>
      <c r="D25" t="s">
        <v>95</v>
      </c>
      <c r="E25" t="b">
        <v>0</v>
      </c>
      <c r="F25" t="s">
        <v>107</v>
      </c>
      <c r="J25">
        <v>0</v>
      </c>
      <c r="K25">
        <v>0.5</v>
      </c>
      <c r="L25">
        <v>0.5</v>
      </c>
      <c r="M25">
        <v>0</v>
      </c>
      <c r="N25">
        <v>0.5</v>
      </c>
      <c r="O25">
        <v>0</v>
      </c>
      <c r="P25">
        <v>0</v>
      </c>
      <c r="Q25">
        <v>0.5</v>
      </c>
      <c r="R25" t="b">
        <v>0</v>
      </c>
      <c r="X25" t="s">
        <v>6</v>
      </c>
      <c r="Y25" t="s">
        <v>128</v>
      </c>
      <c r="Z25">
        <v>200</v>
      </c>
    </row>
    <row r="26" spans="1:31" x14ac:dyDescent="0.2">
      <c r="A26" t="s">
        <v>32</v>
      </c>
      <c r="C26" t="s">
        <v>90</v>
      </c>
      <c r="D26" t="s">
        <v>95</v>
      </c>
      <c r="E26" t="b">
        <v>0</v>
      </c>
      <c r="F26" t="s">
        <v>107</v>
      </c>
      <c r="J26">
        <v>0</v>
      </c>
      <c r="K26">
        <v>0.5</v>
      </c>
      <c r="L26">
        <v>0.5</v>
      </c>
      <c r="M26">
        <v>0</v>
      </c>
      <c r="N26">
        <v>0.5</v>
      </c>
      <c r="O26">
        <v>0</v>
      </c>
      <c r="P26">
        <v>0</v>
      </c>
      <c r="Q26">
        <v>0.5</v>
      </c>
      <c r="R26" t="b">
        <v>0</v>
      </c>
      <c r="X26" t="s">
        <v>6</v>
      </c>
      <c r="Y26" t="s">
        <v>3</v>
      </c>
      <c r="Z26">
        <v>200</v>
      </c>
    </row>
    <row r="27" spans="1:31" x14ac:dyDescent="0.2">
      <c r="A27" t="s">
        <v>32</v>
      </c>
      <c r="C27" t="s">
        <v>90</v>
      </c>
      <c r="D27" t="s">
        <v>95</v>
      </c>
      <c r="E27" t="b">
        <v>0</v>
      </c>
      <c r="F27" t="s">
        <v>107</v>
      </c>
      <c r="J27">
        <v>0</v>
      </c>
      <c r="K27">
        <v>0.5</v>
      </c>
      <c r="L27">
        <v>0.5</v>
      </c>
      <c r="M27">
        <v>0</v>
      </c>
      <c r="N27">
        <v>0.5</v>
      </c>
      <c r="O27">
        <v>0</v>
      </c>
      <c r="P27">
        <v>0</v>
      </c>
      <c r="Q27">
        <v>0.5</v>
      </c>
      <c r="R27" t="b">
        <v>0</v>
      </c>
      <c r="X27" t="s">
        <v>6</v>
      </c>
      <c r="Y27" t="s">
        <v>55</v>
      </c>
      <c r="Z27">
        <v>200</v>
      </c>
    </row>
    <row r="28" spans="1:31" x14ac:dyDescent="0.2">
      <c r="A28" s="16" t="s">
        <v>32</v>
      </c>
      <c r="B28" s="16"/>
      <c r="C28" s="16" t="s">
        <v>90</v>
      </c>
      <c r="D28" s="16" t="s">
        <v>95</v>
      </c>
      <c r="E28" s="16" t="b">
        <v>0</v>
      </c>
      <c r="F28" s="16" t="s">
        <v>107</v>
      </c>
      <c r="G28" s="16"/>
      <c r="H28" s="16"/>
      <c r="I28" s="16"/>
      <c r="J28" s="16">
        <v>0</v>
      </c>
      <c r="K28" s="16">
        <v>0.5</v>
      </c>
      <c r="L28" s="16">
        <v>0.5</v>
      </c>
      <c r="M28" s="16">
        <v>0</v>
      </c>
      <c r="N28" s="16">
        <v>0.5</v>
      </c>
      <c r="O28" s="16">
        <v>0</v>
      </c>
      <c r="P28" s="16">
        <v>0</v>
      </c>
      <c r="Q28" s="16">
        <v>0.5</v>
      </c>
      <c r="R28" s="16" t="b">
        <v>0</v>
      </c>
      <c r="S28" s="16"/>
      <c r="T28" s="16"/>
      <c r="U28" s="16"/>
      <c r="V28" s="16"/>
      <c r="W28" s="16"/>
      <c r="X28" s="16" t="s">
        <v>6</v>
      </c>
      <c r="Y28" s="16" t="s">
        <v>56</v>
      </c>
      <c r="Z28" s="16">
        <v>200</v>
      </c>
      <c r="AA28" s="16"/>
      <c r="AB28" s="16"/>
      <c r="AC28" s="16"/>
      <c r="AD28" s="16"/>
      <c r="AE28" s="16"/>
    </row>
    <row r="29" spans="1:31" x14ac:dyDescent="0.2">
      <c r="A29" t="s">
        <v>36</v>
      </c>
      <c r="C29" t="s">
        <v>91</v>
      </c>
      <c r="D29" t="s">
        <v>95</v>
      </c>
      <c r="E29" t="b">
        <v>1</v>
      </c>
      <c r="F29" t="s">
        <v>104</v>
      </c>
      <c r="J29">
        <v>0.1</v>
      </c>
      <c r="K29">
        <v>0.2</v>
      </c>
      <c r="L29">
        <v>0.3</v>
      </c>
      <c r="M29">
        <v>0.4</v>
      </c>
      <c r="N29">
        <v>0.4</v>
      </c>
      <c r="O29">
        <v>0.3</v>
      </c>
      <c r="P29">
        <v>0.2</v>
      </c>
      <c r="Q29">
        <v>0.1</v>
      </c>
      <c r="R29" t="b">
        <v>0</v>
      </c>
      <c r="W29">
        <v>20</v>
      </c>
      <c r="X29" t="s">
        <v>7</v>
      </c>
      <c r="Y29" t="s">
        <v>1</v>
      </c>
      <c r="Z29">
        <v>200</v>
      </c>
    </row>
    <row r="30" spans="1:31" x14ac:dyDescent="0.2">
      <c r="A30" t="s">
        <v>36</v>
      </c>
      <c r="C30" t="s">
        <v>91</v>
      </c>
      <c r="D30" t="s">
        <v>95</v>
      </c>
      <c r="E30" t="b">
        <v>1</v>
      </c>
      <c r="F30" t="s">
        <v>104</v>
      </c>
      <c r="J30">
        <v>0.1</v>
      </c>
      <c r="K30">
        <v>0.2</v>
      </c>
      <c r="L30">
        <v>0.3</v>
      </c>
      <c r="M30">
        <v>0.4</v>
      </c>
      <c r="N30">
        <v>0.4</v>
      </c>
      <c r="O30">
        <v>0.3</v>
      </c>
      <c r="P30">
        <v>0.2</v>
      </c>
      <c r="Q30">
        <v>0.1</v>
      </c>
      <c r="R30" t="b">
        <v>0</v>
      </c>
      <c r="X30" t="s">
        <v>7</v>
      </c>
      <c r="Y30" t="s">
        <v>2</v>
      </c>
      <c r="Z30">
        <v>200</v>
      </c>
    </row>
    <row r="31" spans="1:31" x14ac:dyDescent="0.2">
      <c r="A31" t="s">
        <v>36</v>
      </c>
      <c r="C31" t="s">
        <v>91</v>
      </c>
      <c r="D31" t="s">
        <v>95</v>
      </c>
      <c r="E31" t="b">
        <v>1</v>
      </c>
      <c r="F31" t="s">
        <v>104</v>
      </c>
      <c r="J31">
        <v>0.1</v>
      </c>
      <c r="K31">
        <v>0.2</v>
      </c>
      <c r="L31">
        <v>0.3</v>
      </c>
      <c r="M31">
        <v>0.4</v>
      </c>
      <c r="N31">
        <v>0.4</v>
      </c>
      <c r="O31">
        <v>0.3</v>
      </c>
      <c r="P31">
        <v>0.2</v>
      </c>
      <c r="Q31">
        <v>0.1</v>
      </c>
      <c r="R31" t="b">
        <v>0</v>
      </c>
      <c r="X31" t="s">
        <v>7</v>
      </c>
      <c r="Y31" t="s">
        <v>54</v>
      </c>
      <c r="Z31">
        <v>200</v>
      </c>
    </row>
    <row r="32" spans="1:31" x14ac:dyDescent="0.2">
      <c r="A32" t="s">
        <v>36</v>
      </c>
      <c r="C32" t="s">
        <v>91</v>
      </c>
      <c r="D32" t="s">
        <v>95</v>
      </c>
      <c r="E32" t="b">
        <v>1</v>
      </c>
      <c r="F32" t="s">
        <v>104</v>
      </c>
      <c r="J32">
        <v>0.1</v>
      </c>
      <c r="K32">
        <v>0.2</v>
      </c>
      <c r="L32">
        <v>0.3</v>
      </c>
      <c r="M32">
        <v>0.4</v>
      </c>
      <c r="N32">
        <v>0.4</v>
      </c>
      <c r="O32">
        <v>0.3</v>
      </c>
      <c r="P32">
        <v>0.2</v>
      </c>
      <c r="Q32">
        <v>0.1</v>
      </c>
      <c r="R32" t="b">
        <v>0</v>
      </c>
      <c r="X32" t="s">
        <v>7</v>
      </c>
      <c r="Y32" t="s">
        <v>128</v>
      </c>
      <c r="Z32">
        <v>200</v>
      </c>
    </row>
    <row r="33" spans="1:31" x14ac:dyDescent="0.2">
      <c r="A33" t="s">
        <v>36</v>
      </c>
      <c r="C33" t="s">
        <v>91</v>
      </c>
      <c r="D33" t="s">
        <v>95</v>
      </c>
      <c r="E33" t="b">
        <v>1</v>
      </c>
      <c r="F33" t="s">
        <v>104</v>
      </c>
      <c r="J33">
        <v>0.1</v>
      </c>
      <c r="K33">
        <v>0.2</v>
      </c>
      <c r="L33">
        <v>0.3</v>
      </c>
      <c r="M33">
        <v>0.4</v>
      </c>
      <c r="N33">
        <v>0.4</v>
      </c>
      <c r="O33">
        <v>0.3</v>
      </c>
      <c r="P33">
        <v>0.2</v>
      </c>
      <c r="Q33">
        <v>0.1</v>
      </c>
      <c r="R33" t="b">
        <v>0</v>
      </c>
      <c r="X33" t="s">
        <v>7</v>
      </c>
      <c r="Y33" t="s">
        <v>3</v>
      </c>
      <c r="Z33">
        <v>200</v>
      </c>
    </row>
    <row r="34" spans="1:31" x14ac:dyDescent="0.2">
      <c r="A34" t="s">
        <v>36</v>
      </c>
      <c r="C34" t="s">
        <v>91</v>
      </c>
      <c r="D34" t="s">
        <v>95</v>
      </c>
      <c r="E34" t="b">
        <v>1</v>
      </c>
      <c r="F34" t="s">
        <v>104</v>
      </c>
      <c r="J34">
        <v>0.1</v>
      </c>
      <c r="K34">
        <v>0.2</v>
      </c>
      <c r="L34">
        <v>0.3</v>
      </c>
      <c r="M34">
        <v>0.4</v>
      </c>
      <c r="N34">
        <v>0.4</v>
      </c>
      <c r="O34">
        <v>0.3</v>
      </c>
      <c r="P34">
        <v>0.2</v>
      </c>
      <c r="Q34">
        <v>0.1</v>
      </c>
      <c r="R34" t="b">
        <v>0</v>
      </c>
      <c r="X34" t="s">
        <v>7</v>
      </c>
      <c r="Y34" t="s">
        <v>55</v>
      </c>
      <c r="Z34">
        <v>200</v>
      </c>
    </row>
    <row r="35" spans="1:31" x14ac:dyDescent="0.2">
      <c r="A35" s="16" t="s">
        <v>36</v>
      </c>
      <c r="B35" s="16"/>
      <c r="C35" s="16" t="s">
        <v>91</v>
      </c>
      <c r="D35" s="16" t="s">
        <v>95</v>
      </c>
      <c r="E35" s="16" t="b">
        <v>1</v>
      </c>
      <c r="F35" s="16" t="s">
        <v>104</v>
      </c>
      <c r="G35" s="16"/>
      <c r="H35" s="16"/>
      <c r="I35" s="16"/>
      <c r="J35" s="16">
        <v>0.1</v>
      </c>
      <c r="K35" s="16">
        <v>0.2</v>
      </c>
      <c r="L35" s="16">
        <v>0.3</v>
      </c>
      <c r="M35" s="16">
        <v>0.4</v>
      </c>
      <c r="N35" s="16">
        <v>0.4</v>
      </c>
      <c r="O35" s="16">
        <v>0.3</v>
      </c>
      <c r="P35" s="16">
        <v>0.2</v>
      </c>
      <c r="Q35" s="16">
        <v>0.1</v>
      </c>
      <c r="R35" s="16" t="b">
        <v>0</v>
      </c>
      <c r="S35" s="16"/>
      <c r="T35" s="16"/>
      <c r="U35" s="16"/>
      <c r="V35" s="16"/>
      <c r="W35" s="16"/>
      <c r="X35" s="16" t="s">
        <v>7</v>
      </c>
      <c r="Y35" s="16" t="s">
        <v>56</v>
      </c>
      <c r="Z35" s="16">
        <v>200</v>
      </c>
      <c r="AA35" s="16"/>
      <c r="AB35" s="16"/>
      <c r="AC35" s="16"/>
      <c r="AD35" s="16"/>
      <c r="AE35" s="16"/>
    </row>
    <row r="36" spans="1:31" x14ac:dyDescent="0.2">
      <c r="A36" t="s">
        <v>33</v>
      </c>
      <c r="C36" t="s">
        <v>52</v>
      </c>
      <c r="D36" t="s">
        <v>53</v>
      </c>
      <c r="E36" t="b">
        <v>0</v>
      </c>
      <c r="F36" t="s">
        <v>106</v>
      </c>
      <c r="J36">
        <v>0.25</v>
      </c>
      <c r="K36">
        <v>0.25</v>
      </c>
      <c r="L36">
        <v>0.25</v>
      </c>
      <c r="M36">
        <v>0.25</v>
      </c>
      <c r="N36">
        <v>0.25</v>
      </c>
      <c r="O36">
        <v>0.25</v>
      </c>
      <c r="P36">
        <v>0.25</v>
      </c>
      <c r="Q36">
        <v>0.25</v>
      </c>
      <c r="R36" t="b">
        <v>1</v>
      </c>
      <c r="W36">
        <v>30</v>
      </c>
      <c r="X36" t="s">
        <v>8</v>
      </c>
      <c r="Y36" t="s">
        <v>1</v>
      </c>
      <c r="Z36">
        <v>200</v>
      </c>
    </row>
    <row r="37" spans="1:31" x14ac:dyDescent="0.2">
      <c r="A37" t="s">
        <v>33</v>
      </c>
      <c r="C37" t="s">
        <v>52</v>
      </c>
      <c r="D37" t="s">
        <v>53</v>
      </c>
      <c r="E37" t="b">
        <v>0</v>
      </c>
      <c r="F37" t="s">
        <v>106</v>
      </c>
      <c r="J37">
        <v>0.25</v>
      </c>
      <c r="K37">
        <v>0.25</v>
      </c>
      <c r="L37">
        <v>0.25</v>
      </c>
      <c r="M37">
        <v>0.25</v>
      </c>
      <c r="N37">
        <v>0.25</v>
      </c>
      <c r="O37">
        <v>0.25</v>
      </c>
      <c r="P37">
        <v>0.25</v>
      </c>
      <c r="Q37">
        <v>0.25</v>
      </c>
      <c r="R37" t="b">
        <v>1</v>
      </c>
      <c r="X37" t="s">
        <v>8</v>
      </c>
      <c r="Y37" t="s">
        <v>2</v>
      </c>
      <c r="Z37">
        <v>200</v>
      </c>
    </row>
    <row r="38" spans="1:31" x14ac:dyDescent="0.2">
      <c r="A38" t="s">
        <v>33</v>
      </c>
      <c r="C38" t="s">
        <v>52</v>
      </c>
      <c r="D38" t="s">
        <v>53</v>
      </c>
      <c r="E38" t="b">
        <v>0</v>
      </c>
      <c r="F38" t="s">
        <v>106</v>
      </c>
      <c r="J38">
        <v>0.25</v>
      </c>
      <c r="K38">
        <v>0.25</v>
      </c>
      <c r="L38">
        <v>0.25</v>
      </c>
      <c r="M38">
        <v>0.25</v>
      </c>
      <c r="N38">
        <v>0.25</v>
      </c>
      <c r="O38">
        <v>0.25</v>
      </c>
      <c r="P38">
        <v>0.25</v>
      </c>
      <c r="Q38">
        <v>0.25</v>
      </c>
      <c r="R38" t="b">
        <v>1</v>
      </c>
      <c r="X38" t="s">
        <v>8</v>
      </c>
      <c r="Y38" t="s">
        <v>54</v>
      </c>
      <c r="Z38">
        <v>200</v>
      </c>
    </row>
    <row r="39" spans="1:31" x14ac:dyDescent="0.2">
      <c r="A39" t="s">
        <v>33</v>
      </c>
      <c r="C39" t="s">
        <v>52</v>
      </c>
      <c r="D39" t="s">
        <v>53</v>
      </c>
      <c r="E39" t="b">
        <v>0</v>
      </c>
      <c r="F39" t="s">
        <v>106</v>
      </c>
      <c r="J39">
        <v>0.25</v>
      </c>
      <c r="K39">
        <v>0.25</v>
      </c>
      <c r="L39">
        <v>0.25</v>
      </c>
      <c r="M39">
        <v>0.25</v>
      </c>
      <c r="N39">
        <v>0.25</v>
      </c>
      <c r="O39">
        <v>0.25</v>
      </c>
      <c r="P39">
        <v>0.25</v>
      </c>
      <c r="Q39">
        <v>0.25</v>
      </c>
      <c r="R39" t="b">
        <v>1</v>
      </c>
      <c r="X39" t="s">
        <v>8</v>
      </c>
      <c r="Y39" t="s">
        <v>128</v>
      </c>
      <c r="Z39">
        <v>200</v>
      </c>
    </row>
    <row r="40" spans="1:31" x14ac:dyDescent="0.2">
      <c r="A40" t="s">
        <v>33</v>
      </c>
      <c r="C40" t="s">
        <v>52</v>
      </c>
      <c r="D40" t="s">
        <v>53</v>
      </c>
      <c r="E40" t="b">
        <v>0</v>
      </c>
      <c r="F40" t="s">
        <v>106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 t="b">
        <v>1</v>
      </c>
      <c r="X40" t="s">
        <v>8</v>
      </c>
      <c r="Y40" t="s">
        <v>3</v>
      </c>
      <c r="Z40">
        <v>200</v>
      </c>
    </row>
    <row r="41" spans="1:31" x14ac:dyDescent="0.2">
      <c r="A41" t="s">
        <v>33</v>
      </c>
      <c r="C41" t="s">
        <v>52</v>
      </c>
      <c r="D41" t="s">
        <v>53</v>
      </c>
      <c r="E41" t="b">
        <v>0</v>
      </c>
      <c r="F41" t="s">
        <v>106</v>
      </c>
      <c r="J41">
        <v>0.25</v>
      </c>
      <c r="K41">
        <v>0.25</v>
      </c>
      <c r="L41">
        <v>0.25</v>
      </c>
      <c r="M41">
        <v>0.25</v>
      </c>
      <c r="N41">
        <v>0.25</v>
      </c>
      <c r="O41">
        <v>0.25</v>
      </c>
      <c r="P41">
        <v>0.25</v>
      </c>
      <c r="Q41">
        <v>0.25</v>
      </c>
      <c r="R41" t="b">
        <v>1</v>
      </c>
      <c r="X41" t="s">
        <v>8</v>
      </c>
      <c r="Y41" t="s">
        <v>55</v>
      </c>
      <c r="Z41">
        <v>200</v>
      </c>
    </row>
    <row r="42" spans="1:31" x14ac:dyDescent="0.2">
      <c r="A42" s="16" t="s">
        <v>33</v>
      </c>
      <c r="B42" s="16"/>
      <c r="C42" s="16" t="s">
        <v>52</v>
      </c>
      <c r="D42" s="16" t="s">
        <v>53</v>
      </c>
      <c r="E42" s="16" t="b">
        <v>0</v>
      </c>
      <c r="F42" s="16" t="s">
        <v>106</v>
      </c>
      <c r="G42" s="16"/>
      <c r="H42" s="16"/>
      <c r="I42" s="16"/>
      <c r="J42" s="16">
        <v>0.25</v>
      </c>
      <c r="K42" s="16">
        <v>0.25</v>
      </c>
      <c r="L42" s="16">
        <v>0.25</v>
      </c>
      <c r="M42" s="16">
        <v>0.25</v>
      </c>
      <c r="N42" s="16">
        <v>0.25</v>
      </c>
      <c r="O42" s="16">
        <v>0.25</v>
      </c>
      <c r="P42" s="16">
        <v>0.25</v>
      </c>
      <c r="Q42" s="16">
        <v>0.25</v>
      </c>
      <c r="R42" s="16" t="b">
        <v>1</v>
      </c>
      <c r="S42" s="16"/>
      <c r="T42" s="16"/>
      <c r="U42" s="16"/>
      <c r="V42" s="16"/>
      <c r="W42" s="16"/>
      <c r="X42" s="16" t="s">
        <v>8</v>
      </c>
      <c r="Y42" s="16" t="s">
        <v>56</v>
      </c>
      <c r="Z42" s="16">
        <v>200</v>
      </c>
      <c r="AA42" s="16"/>
      <c r="AB42" s="16"/>
      <c r="AC42" s="16"/>
      <c r="AD42" s="16"/>
      <c r="AE42" s="16"/>
    </row>
    <row r="43" spans="1:31" x14ac:dyDescent="0.2">
      <c r="A43" t="s">
        <v>30</v>
      </c>
      <c r="C43" t="s">
        <v>92</v>
      </c>
      <c r="D43" t="s">
        <v>53</v>
      </c>
      <c r="E43" t="b">
        <v>1</v>
      </c>
      <c r="F43" t="s">
        <v>105</v>
      </c>
      <c r="L43">
        <v>1</v>
      </c>
      <c r="N43">
        <v>1</v>
      </c>
      <c r="R43" t="b">
        <v>1</v>
      </c>
      <c r="T43">
        <v>4</v>
      </c>
      <c r="U43" s="20"/>
      <c r="V43" s="20"/>
      <c r="X43" t="s">
        <v>9</v>
      </c>
      <c r="Y43" t="s">
        <v>1</v>
      </c>
      <c r="Z43">
        <v>200</v>
      </c>
    </row>
    <row r="44" spans="1:31" x14ac:dyDescent="0.2">
      <c r="A44" t="s">
        <v>30</v>
      </c>
      <c r="C44" t="s">
        <v>92</v>
      </c>
      <c r="D44" t="s">
        <v>53</v>
      </c>
      <c r="E44" t="b">
        <v>1</v>
      </c>
      <c r="F44" t="s">
        <v>105</v>
      </c>
      <c r="L44">
        <v>1</v>
      </c>
      <c r="N44">
        <v>1</v>
      </c>
      <c r="R44" t="b">
        <v>1</v>
      </c>
      <c r="X44" t="s">
        <v>9</v>
      </c>
      <c r="Y44" t="s">
        <v>2</v>
      </c>
      <c r="Z44">
        <v>200</v>
      </c>
    </row>
    <row r="45" spans="1:31" x14ac:dyDescent="0.2">
      <c r="A45" t="s">
        <v>30</v>
      </c>
      <c r="C45" t="s">
        <v>92</v>
      </c>
      <c r="D45" t="s">
        <v>53</v>
      </c>
      <c r="E45" t="b">
        <v>1</v>
      </c>
      <c r="F45" t="s">
        <v>105</v>
      </c>
      <c r="L45">
        <v>1</v>
      </c>
      <c r="N45">
        <v>1</v>
      </c>
      <c r="R45" t="b">
        <v>1</v>
      </c>
      <c r="X45" t="s">
        <v>9</v>
      </c>
      <c r="Y45" t="s">
        <v>54</v>
      </c>
      <c r="Z45">
        <v>200</v>
      </c>
    </row>
    <row r="46" spans="1:31" x14ac:dyDescent="0.2">
      <c r="A46" t="s">
        <v>30</v>
      </c>
      <c r="C46" t="s">
        <v>92</v>
      </c>
      <c r="D46" t="s">
        <v>53</v>
      </c>
      <c r="E46" t="b">
        <v>1</v>
      </c>
      <c r="F46" t="s">
        <v>105</v>
      </c>
      <c r="L46">
        <v>1</v>
      </c>
      <c r="N46">
        <v>1</v>
      </c>
      <c r="R46" t="b">
        <v>1</v>
      </c>
      <c r="X46" t="s">
        <v>9</v>
      </c>
      <c r="Y46" t="s">
        <v>128</v>
      </c>
      <c r="Z46">
        <v>200</v>
      </c>
    </row>
    <row r="47" spans="1:31" x14ac:dyDescent="0.2">
      <c r="A47" t="s">
        <v>30</v>
      </c>
      <c r="C47" t="s">
        <v>92</v>
      </c>
      <c r="D47" t="s">
        <v>53</v>
      </c>
      <c r="E47" t="b">
        <v>1</v>
      </c>
      <c r="F47" t="s">
        <v>105</v>
      </c>
      <c r="L47">
        <v>1</v>
      </c>
      <c r="N47">
        <v>1</v>
      </c>
      <c r="R47" t="b">
        <v>1</v>
      </c>
      <c r="X47" t="s">
        <v>9</v>
      </c>
      <c r="Y47" t="s">
        <v>3</v>
      </c>
      <c r="Z47">
        <v>200</v>
      </c>
    </row>
    <row r="48" spans="1:31" x14ac:dyDescent="0.2">
      <c r="A48" t="s">
        <v>30</v>
      </c>
      <c r="C48" t="s">
        <v>92</v>
      </c>
      <c r="D48" t="s">
        <v>53</v>
      </c>
      <c r="E48" t="b">
        <v>1</v>
      </c>
      <c r="F48" t="s">
        <v>105</v>
      </c>
      <c r="L48">
        <v>1</v>
      </c>
      <c r="N48">
        <v>1</v>
      </c>
      <c r="R48" t="b">
        <v>1</v>
      </c>
      <c r="X48" t="s">
        <v>9</v>
      </c>
      <c r="Y48" t="s">
        <v>55</v>
      </c>
      <c r="Z48">
        <v>200</v>
      </c>
    </row>
    <row r="49" spans="1:31" x14ac:dyDescent="0.2">
      <c r="A49" s="16" t="s">
        <v>30</v>
      </c>
      <c r="B49" s="16"/>
      <c r="C49" s="16" t="s">
        <v>92</v>
      </c>
      <c r="D49" s="16" t="s">
        <v>53</v>
      </c>
      <c r="E49" s="16" t="b">
        <v>1</v>
      </c>
      <c r="F49" s="16" t="s">
        <v>105</v>
      </c>
      <c r="G49" s="16"/>
      <c r="H49" s="16"/>
      <c r="I49" s="16"/>
      <c r="J49" s="16"/>
      <c r="K49" s="16"/>
      <c r="L49" s="16">
        <v>1</v>
      </c>
      <c r="M49" s="16"/>
      <c r="N49" s="16">
        <v>1</v>
      </c>
      <c r="O49" s="16"/>
      <c r="P49" s="16"/>
      <c r="Q49" s="16"/>
      <c r="R49" s="16" t="b">
        <v>1</v>
      </c>
      <c r="S49" s="16"/>
      <c r="T49" s="16"/>
      <c r="U49" s="16"/>
      <c r="V49" s="16"/>
      <c r="W49" s="16"/>
      <c r="X49" s="16" t="s">
        <v>9</v>
      </c>
      <c r="Y49" s="16" t="s">
        <v>56</v>
      </c>
      <c r="Z49" s="16">
        <v>200</v>
      </c>
      <c r="AA49" s="16"/>
      <c r="AB49" s="16"/>
      <c r="AC49" s="16"/>
      <c r="AD49" s="16"/>
      <c r="AE49" s="16"/>
    </row>
    <row r="50" spans="1:31" x14ac:dyDescent="0.2">
      <c r="A50" t="s">
        <v>35</v>
      </c>
      <c r="C50" t="s">
        <v>90</v>
      </c>
      <c r="D50" t="s">
        <v>95</v>
      </c>
      <c r="E50" t="b">
        <v>0</v>
      </c>
      <c r="F50" t="s">
        <v>104</v>
      </c>
      <c r="J50">
        <v>0</v>
      </c>
      <c r="K50">
        <v>0.5</v>
      </c>
      <c r="L50">
        <v>0.5</v>
      </c>
      <c r="M50">
        <v>0</v>
      </c>
      <c r="N50">
        <v>0.5</v>
      </c>
      <c r="O50">
        <v>0</v>
      </c>
      <c r="P50">
        <v>0</v>
      </c>
      <c r="Q50">
        <v>0.5</v>
      </c>
      <c r="R50" t="b">
        <v>0</v>
      </c>
      <c r="T50">
        <v>2.5</v>
      </c>
      <c r="X50" s="20" t="s">
        <v>10</v>
      </c>
      <c r="Y50" t="s">
        <v>1</v>
      </c>
      <c r="Z50">
        <v>200</v>
      </c>
    </row>
    <row r="51" spans="1:31" x14ac:dyDescent="0.2">
      <c r="A51" t="s">
        <v>35</v>
      </c>
      <c r="C51" t="s">
        <v>90</v>
      </c>
      <c r="D51" t="s">
        <v>95</v>
      </c>
      <c r="E51" t="b">
        <v>0</v>
      </c>
      <c r="F51" t="s">
        <v>104</v>
      </c>
      <c r="J51">
        <v>0</v>
      </c>
      <c r="K51">
        <v>0.5</v>
      </c>
      <c r="L51">
        <v>0.5</v>
      </c>
      <c r="M51">
        <v>0</v>
      </c>
      <c r="N51">
        <v>0.5</v>
      </c>
      <c r="O51">
        <v>0</v>
      </c>
      <c r="P51">
        <v>0</v>
      </c>
      <c r="Q51">
        <v>0.5</v>
      </c>
      <c r="R51" t="b">
        <v>0</v>
      </c>
      <c r="X51" t="s">
        <v>10</v>
      </c>
      <c r="Y51" t="s">
        <v>2</v>
      </c>
      <c r="Z51">
        <v>200</v>
      </c>
    </row>
    <row r="52" spans="1:31" x14ac:dyDescent="0.2">
      <c r="A52" t="s">
        <v>35</v>
      </c>
      <c r="C52" t="s">
        <v>90</v>
      </c>
      <c r="D52" t="s">
        <v>95</v>
      </c>
      <c r="E52" t="b">
        <v>0</v>
      </c>
      <c r="F52" t="s">
        <v>104</v>
      </c>
      <c r="J52">
        <v>0</v>
      </c>
      <c r="K52">
        <v>0.5</v>
      </c>
      <c r="L52">
        <v>0.5</v>
      </c>
      <c r="M52">
        <v>0</v>
      </c>
      <c r="N52">
        <v>0.5</v>
      </c>
      <c r="O52">
        <v>0</v>
      </c>
      <c r="P52">
        <v>0</v>
      </c>
      <c r="Q52">
        <v>0.5</v>
      </c>
      <c r="R52" t="b">
        <v>0</v>
      </c>
      <c r="X52" t="s">
        <v>10</v>
      </c>
      <c r="Y52" t="s">
        <v>54</v>
      </c>
      <c r="Z52">
        <v>200</v>
      </c>
    </row>
    <row r="53" spans="1:31" x14ac:dyDescent="0.2">
      <c r="A53" t="s">
        <v>35</v>
      </c>
      <c r="C53" t="s">
        <v>90</v>
      </c>
      <c r="D53" t="s">
        <v>95</v>
      </c>
      <c r="E53" t="b">
        <v>0</v>
      </c>
      <c r="F53" t="s">
        <v>104</v>
      </c>
      <c r="J53">
        <v>0</v>
      </c>
      <c r="K53">
        <v>0.5</v>
      </c>
      <c r="L53">
        <v>0.5</v>
      </c>
      <c r="M53">
        <v>0</v>
      </c>
      <c r="N53">
        <v>0.5</v>
      </c>
      <c r="O53">
        <v>0</v>
      </c>
      <c r="P53">
        <v>0</v>
      </c>
      <c r="Q53">
        <v>0.5</v>
      </c>
      <c r="R53" t="b">
        <v>0</v>
      </c>
      <c r="X53" t="s">
        <v>10</v>
      </c>
      <c r="Y53" t="s">
        <v>128</v>
      </c>
      <c r="Z53">
        <v>200</v>
      </c>
    </row>
    <row r="54" spans="1:31" x14ac:dyDescent="0.2">
      <c r="A54" t="s">
        <v>35</v>
      </c>
      <c r="C54" t="s">
        <v>90</v>
      </c>
      <c r="D54" t="s">
        <v>95</v>
      </c>
      <c r="E54" t="b">
        <v>0</v>
      </c>
      <c r="F54" t="s">
        <v>104</v>
      </c>
      <c r="J54">
        <v>0</v>
      </c>
      <c r="K54">
        <v>0.5</v>
      </c>
      <c r="L54">
        <v>0.5</v>
      </c>
      <c r="M54">
        <v>0</v>
      </c>
      <c r="N54">
        <v>0.5</v>
      </c>
      <c r="O54">
        <v>0</v>
      </c>
      <c r="P54">
        <v>0</v>
      </c>
      <c r="Q54">
        <v>0.5</v>
      </c>
      <c r="R54" t="b">
        <v>0</v>
      </c>
      <c r="X54" t="s">
        <v>10</v>
      </c>
      <c r="Y54" t="s">
        <v>3</v>
      </c>
      <c r="Z54">
        <v>200</v>
      </c>
    </row>
    <row r="55" spans="1:31" x14ac:dyDescent="0.2">
      <c r="A55" t="s">
        <v>35</v>
      </c>
      <c r="C55" t="s">
        <v>90</v>
      </c>
      <c r="D55" t="s">
        <v>95</v>
      </c>
      <c r="E55" t="b">
        <v>0</v>
      </c>
      <c r="F55" t="s">
        <v>104</v>
      </c>
      <c r="J55">
        <v>0</v>
      </c>
      <c r="K55">
        <v>0.5</v>
      </c>
      <c r="L55">
        <v>0.5</v>
      </c>
      <c r="M55">
        <v>0</v>
      </c>
      <c r="N55">
        <v>0.5</v>
      </c>
      <c r="O55">
        <v>0</v>
      </c>
      <c r="P55">
        <v>0</v>
      </c>
      <c r="Q55">
        <v>0.5</v>
      </c>
      <c r="R55" t="b">
        <v>0</v>
      </c>
      <c r="X55" t="s">
        <v>10</v>
      </c>
      <c r="Y55" t="s">
        <v>55</v>
      </c>
      <c r="Z55">
        <v>200</v>
      </c>
    </row>
    <row r="56" spans="1:31" x14ac:dyDescent="0.2">
      <c r="A56" s="16" t="s">
        <v>35</v>
      </c>
      <c r="B56" s="16"/>
      <c r="C56" s="16" t="s">
        <v>90</v>
      </c>
      <c r="D56" s="16" t="s">
        <v>95</v>
      </c>
      <c r="E56" s="16" t="b">
        <v>0</v>
      </c>
      <c r="F56" s="16" t="s">
        <v>104</v>
      </c>
      <c r="G56" s="16"/>
      <c r="H56" s="16"/>
      <c r="I56" s="16"/>
      <c r="J56" s="16">
        <v>0</v>
      </c>
      <c r="K56" s="16">
        <v>0.5</v>
      </c>
      <c r="L56" s="16">
        <v>0.5</v>
      </c>
      <c r="M56" s="16">
        <v>0</v>
      </c>
      <c r="N56" s="16">
        <v>0.5</v>
      </c>
      <c r="O56" s="16">
        <v>0</v>
      </c>
      <c r="P56" s="16">
        <v>0</v>
      </c>
      <c r="Q56" s="16">
        <v>0.5</v>
      </c>
      <c r="R56" s="16" t="b">
        <v>0</v>
      </c>
      <c r="S56" s="16"/>
      <c r="T56" s="16"/>
      <c r="U56" s="16"/>
      <c r="V56" s="16"/>
      <c r="W56" s="16"/>
      <c r="X56" s="16" t="s">
        <v>10</v>
      </c>
      <c r="Y56" s="16" t="s">
        <v>56</v>
      </c>
      <c r="Z56" s="16">
        <v>200</v>
      </c>
      <c r="AA56" s="16"/>
      <c r="AB56" s="16"/>
      <c r="AC56" s="16"/>
      <c r="AD56" s="16"/>
      <c r="AE56" s="16"/>
    </row>
    <row r="57" spans="1:31" x14ac:dyDescent="0.2">
      <c r="A57" t="s">
        <v>34</v>
      </c>
      <c r="C57" t="s">
        <v>91</v>
      </c>
      <c r="D57" t="s">
        <v>95</v>
      </c>
      <c r="E57" t="b">
        <v>1</v>
      </c>
      <c r="F57" t="s">
        <v>107</v>
      </c>
      <c r="J57">
        <v>0.1</v>
      </c>
      <c r="K57">
        <v>0.2</v>
      </c>
      <c r="L57">
        <v>0.3</v>
      </c>
      <c r="M57">
        <v>0.4</v>
      </c>
      <c r="N57">
        <v>0.4</v>
      </c>
      <c r="O57">
        <v>0.3</v>
      </c>
      <c r="P57">
        <v>0.2</v>
      </c>
      <c r="Q57">
        <v>0.1</v>
      </c>
      <c r="R57" t="b">
        <v>0</v>
      </c>
      <c r="W57">
        <v>0.1</v>
      </c>
      <c r="X57" t="s">
        <v>11</v>
      </c>
      <c r="Y57" t="s">
        <v>1</v>
      </c>
      <c r="Z57">
        <v>200</v>
      </c>
    </row>
    <row r="58" spans="1:31" x14ac:dyDescent="0.2">
      <c r="A58" t="s">
        <v>34</v>
      </c>
      <c r="C58" t="s">
        <v>91</v>
      </c>
      <c r="D58" t="s">
        <v>95</v>
      </c>
      <c r="E58" t="b">
        <v>1</v>
      </c>
      <c r="F58" t="s">
        <v>107</v>
      </c>
      <c r="J58">
        <v>0.1</v>
      </c>
      <c r="K58">
        <v>0.2</v>
      </c>
      <c r="L58">
        <v>0.3</v>
      </c>
      <c r="M58">
        <v>0.4</v>
      </c>
      <c r="N58">
        <v>0.4</v>
      </c>
      <c r="O58">
        <v>0.3</v>
      </c>
      <c r="P58">
        <v>0.2</v>
      </c>
      <c r="Q58">
        <v>0.1</v>
      </c>
      <c r="R58" t="b">
        <v>0</v>
      </c>
      <c r="X58" t="s">
        <v>11</v>
      </c>
      <c r="Y58" t="s">
        <v>2</v>
      </c>
      <c r="Z58">
        <v>200</v>
      </c>
    </row>
    <row r="59" spans="1:31" x14ac:dyDescent="0.2">
      <c r="A59" t="s">
        <v>34</v>
      </c>
      <c r="C59" t="s">
        <v>91</v>
      </c>
      <c r="D59" t="s">
        <v>95</v>
      </c>
      <c r="E59" t="b">
        <v>1</v>
      </c>
      <c r="F59" t="s">
        <v>107</v>
      </c>
      <c r="J59">
        <v>0.1</v>
      </c>
      <c r="K59">
        <v>0.2</v>
      </c>
      <c r="L59">
        <v>0.3</v>
      </c>
      <c r="M59">
        <v>0.4</v>
      </c>
      <c r="N59">
        <v>0.4</v>
      </c>
      <c r="O59">
        <v>0.3</v>
      </c>
      <c r="P59">
        <v>0.2</v>
      </c>
      <c r="Q59">
        <v>0.1</v>
      </c>
      <c r="R59" t="b">
        <v>0</v>
      </c>
      <c r="X59" t="s">
        <v>11</v>
      </c>
      <c r="Y59" t="s">
        <v>54</v>
      </c>
      <c r="Z59">
        <v>200</v>
      </c>
    </row>
    <row r="60" spans="1:31" x14ac:dyDescent="0.2">
      <c r="A60" t="s">
        <v>34</v>
      </c>
      <c r="C60" t="s">
        <v>91</v>
      </c>
      <c r="D60" t="s">
        <v>95</v>
      </c>
      <c r="E60" t="b">
        <v>1</v>
      </c>
      <c r="F60" t="s">
        <v>107</v>
      </c>
      <c r="J60">
        <v>0.1</v>
      </c>
      <c r="K60">
        <v>0.2</v>
      </c>
      <c r="L60">
        <v>0.3</v>
      </c>
      <c r="M60">
        <v>0.4</v>
      </c>
      <c r="N60">
        <v>0.4</v>
      </c>
      <c r="O60">
        <v>0.3</v>
      </c>
      <c r="P60">
        <v>0.2</v>
      </c>
      <c r="Q60">
        <v>0.1</v>
      </c>
      <c r="R60" t="b">
        <v>0</v>
      </c>
      <c r="X60" t="s">
        <v>11</v>
      </c>
      <c r="Y60" t="s">
        <v>128</v>
      </c>
      <c r="Z60">
        <v>200</v>
      </c>
    </row>
    <row r="61" spans="1:31" x14ac:dyDescent="0.2">
      <c r="A61" t="s">
        <v>34</v>
      </c>
      <c r="C61" t="s">
        <v>91</v>
      </c>
      <c r="D61" t="s">
        <v>95</v>
      </c>
      <c r="E61" t="b">
        <v>1</v>
      </c>
      <c r="F61" t="s">
        <v>107</v>
      </c>
      <c r="J61">
        <v>0.1</v>
      </c>
      <c r="K61">
        <v>0.2</v>
      </c>
      <c r="L61">
        <v>0.3</v>
      </c>
      <c r="M61">
        <v>0.4</v>
      </c>
      <c r="N61">
        <v>0.4</v>
      </c>
      <c r="O61">
        <v>0.3</v>
      </c>
      <c r="P61">
        <v>0.2</v>
      </c>
      <c r="Q61">
        <v>0.1</v>
      </c>
      <c r="R61" t="b">
        <v>0</v>
      </c>
      <c r="X61" t="s">
        <v>11</v>
      </c>
      <c r="Y61" t="s">
        <v>3</v>
      </c>
      <c r="Z61">
        <v>200</v>
      </c>
    </row>
    <row r="62" spans="1:31" x14ac:dyDescent="0.2">
      <c r="A62" t="s">
        <v>34</v>
      </c>
      <c r="C62" t="s">
        <v>91</v>
      </c>
      <c r="D62" t="s">
        <v>95</v>
      </c>
      <c r="E62" t="b">
        <v>1</v>
      </c>
      <c r="F62" t="s">
        <v>107</v>
      </c>
      <c r="J62">
        <v>0.1</v>
      </c>
      <c r="K62">
        <v>0.2</v>
      </c>
      <c r="L62">
        <v>0.3</v>
      </c>
      <c r="M62">
        <v>0.4</v>
      </c>
      <c r="N62">
        <v>0.4</v>
      </c>
      <c r="O62">
        <v>0.3</v>
      </c>
      <c r="P62">
        <v>0.2</v>
      </c>
      <c r="Q62">
        <v>0.1</v>
      </c>
      <c r="R62" t="b">
        <v>0</v>
      </c>
      <c r="X62" t="s">
        <v>11</v>
      </c>
      <c r="Y62" t="s">
        <v>55</v>
      </c>
      <c r="Z62">
        <v>200</v>
      </c>
    </row>
    <row r="63" spans="1:31" x14ac:dyDescent="0.2">
      <c r="A63" s="16" t="s">
        <v>34</v>
      </c>
      <c r="B63" s="16"/>
      <c r="C63" s="16" t="s">
        <v>91</v>
      </c>
      <c r="D63" s="16" t="s">
        <v>95</v>
      </c>
      <c r="E63" s="16" t="b">
        <v>1</v>
      </c>
      <c r="F63" s="16" t="s">
        <v>107</v>
      </c>
      <c r="G63" s="16"/>
      <c r="H63" s="16"/>
      <c r="I63" s="16"/>
      <c r="J63" s="16">
        <v>0.1</v>
      </c>
      <c r="K63" s="16">
        <v>0.2</v>
      </c>
      <c r="L63" s="16">
        <v>0.3</v>
      </c>
      <c r="M63" s="16">
        <v>0.4</v>
      </c>
      <c r="N63" s="16">
        <v>0.4</v>
      </c>
      <c r="O63" s="16">
        <v>0.3</v>
      </c>
      <c r="P63" s="16">
        <v>0.2</v>
      </c>
      <c r="Q63" s="16">
        <v>0.1</v>
      </c>
      <c r="R63" s="16" t="b">
        <v>0</v>
      </c>
      <c r="S63" s="16"/>
      <c r="T63" s="16"/>
      <c r="U63" s="16"/>
      <c r="V63" s="16"/>
      <c r="W63" s="16"/>
      <c r="X63" s="16" t="s">
        <v>11</v>
      </c>
      <c r="Y63" s="16" t="s">
        <v>56</v>
      </c>
      <c r="Z63" s="16">
        <v>200</v>
      </c>
      <c r="AA63" s="16"/>
      <c r="AB63" s="16"/>
      <c r="AC63" s="16"/>
      <c r="AD63" s="16"/>
      <c r="AE63" s="16"/>
    </row>
    <row r="66" spans="1:31" x14ac:dyDescent="0.2">
      <c r="A66" t="s">
        <v>208</v>
      </c>
    </row>
    <row r="70" spans="1:31" x14ac:dyDescent="0.2">
      <c r="A70" t="s">
        <v>45</v>
      </c>
      <c r="B70" t="s">
        <v>39</v>
      </c>
      <c r="C70" t="s">
        <v>46</v>
      </c>
      <c r="D70" t="s">
        <v>47</v>
      </c>
      <c r="E70" t="s">
        <v>48</v>
      </c>
      <c r="F70" t="s">
        <v>61</v>
      </c>
      <c r="G70" t="s">
        <v>62</v>
      </c>
      <c r="J70" t="s">
        <v>139</v>
      </c>
      <c r="N70" t="s">
        <v>66</v>
      </c>
      <c r="R70" t="s">
        <v>74</v>
      </c>
      <c r="S70" t="s">
        <v>75</v>
      </c>
      <c r="Y70" t="s">
        <v>60</v>
      </c>
    </row>
    <row r="71" spans="1:31" x14ac:dyDescent="0.2">
      <c r="W71" t="s">
        <v>80</v>
      </c>
    </row>
    <row r="72" spans="1:31" x14ac:dyDescent="0.2">
      <c r="A72" s="10" t="s">
        <v>49</v>
      </c>
      <c r="B72" s="10" t="s">
        <v>49</v>
      </c>
      <c r="C72" s="10"/>
      <c r="D72" s="10" t="s">
        <v>50</v>
      </c>
      <c r="E72" s="10" t="s">
        <v>51</v>
      </c>
      <c r="F72" s="10"/>
      <c r="G72" s="10" t="s">
        <v>63</v>
      </c>
      <c r="H72" s="10" t="s">
        <v>65</v>
      </c>
      <c r="I72" s="10" t="s">
        <v>64</v>
      </c>
      <c r="J72" s="10" t="s">
        <v>73</v>
      </c>
      <c r="K72" s="10" t="s">
        <v>76</v>
      </c>
      <c r="L72" s="10" t="s">
        <v>77</v>
      </c>
      <c r="M72" s="10" t="s">
        <v>78</v>
      </c>
      <c r="N72" s="10" t="s">
        <v>73</v>
      </c>
      <c r="O72" s="10" t="s">
        <v>76</v>
      </c>
      <c r="P72" s="10" t="s">
        <v>77</v>
      </c>
      <c r="Q72" s="10" t="s">
        <v>78</v>
      </c>
      <c r="R72" s="14" t="s">
        <v>71</v>
      </c>
      <c r="S72" s="10" t="s">
        <v>72</v>
      </c>
      <c r="T72" s="10" t="s">
        <v>81</v>
      </c>
      <c r="U72" s="10" t="s">
        <v>82</v>
      </c>
      <c r="V72" s="10" t="s">
        <v>83</v>
      </c>
      <c r="W72" s="10" t="s">
        <v>79</v>
      </c>
      <c r="X72" s="10" t="s">
        <v>108</v>
      </c>
      <c r="Y72" s="10" t="s">
        <v>57</v>
      </c>
      <c r="Z72" s="10" t="s">
        <v>58</v>
      </c>
      <c r="AA72" s="10" t="s">
        <v>59</v>
      </c>
      <c r="AB72" s="10" t="s">
        <v>84</v>
      </c>
      <c r="AC72" s="10" t="s">
        <v>85</v>
      </c>
      <c r="AD72" s="10" t="s">
        <v>86</v>
      </c>
      <c r="AE72" s="10" t="s">
        <v>87</v>
      </c>
    </row>
    <row r="73" spans="1:31" x14ac:dyDescent="0.2">
      <c r="A73" t="s">
        <v>29</v>
      </c>
      <c r="B73">
        <v>15</v>
      </c>
      <c r="C73" t="s">
        <v>52</v>
      </c>
      <c r="D73" t="s">
        <v>53</v>
      </c>
      <c r="E73" t="b">
        <v>0</v>
      </c>
      <c r="G73">
        <v>0.2</v>
      </c>
      <c r="H73">
        <v>0.3</v>
      </c>
      <c r="I73">
        <v>0.5</v>
      </c>
      <c r="J73">
        <v>0.25</v>
      </c>
      <c r="K73">
        <v>0.25</v>
      </c>
      <c r="L73">
        <v>0.25</v>
      </c>
      <c r="M73">
        <v>0.25</v>
      </c>
      <c r="N73">
        <v>0.25</v>
      </c>
      <c r="O73">
        <v>0.25</v>
      </c>
      <c r="P73">
        <v>0.25</v>
      </c>
      <c r="Q73">
        <v>0.25</v>
      </c>
      <c r="R73" t="b">
        <v>1</v>
      </c>
      <c r="S73" s="20">
        <v>0.22</v>
      </c>
      <c r="W73">
        <v>15</v>
      </c>
      <c r="X73" t="s">
        <v>4</v>
      </c>
      <c r="Y73" t="s">
        <v>1</v>
      </c>
      <c r="Z73">
        <v>200</v>
      </c>
      <c r="AA73">
        <v>365</v>
      </c>
      <c r="AB73">
        <v>555</v>
      </c>
      <c r="AC73">
        <v>1.6E-2</v>
      </c>
      <c r="AD73">
        <v>0.7</v>
      </c>
      <c r="AE73" s="20">
        <v>0.18</v>
      </c>
    </row>
    <row r="74" spans="1:31" x14ac:dyDescent="0.2">
      <c r="A74" t="s">
        <v>29</v>
      </c>
      <c r="B74">
        <v>15</v>
      </c>
      <c r="C74" t="s">
        <v>52</v>
      </c>
      <c r="D74" t="s">
        <v>53</v>
      </c>
      <c r="E74" t="b">
        <v>0</v>
      </c>
      <c r="G74">
        <v>0.2</v>
      </c>
      <c r="H74">
        <v>0.3</v>
      </c>
      <c r="I74">
        <v>0.5</v>
      </c>
      <c r="J74">
        <v>0.25</v>
      </c>
      <c r="K74">
        <v>0.25</v>
      </c>
      <c r="L74">
        <v>0.25</v>
      </c>
      <c r="M74">
        <v>0.25</v>
      </c>
      <c r="N74">
        <v>0.25</v>
      </c>
      <c r="O74">
        <v>0.25</v>
      </c>
      <c r="P74">
        <v>0.25</v>
      </c>
      <c r="Q74">
        <v>0.25</v>
      </c>
      <c r="R74" t="b">
        <v>1</v>
      </c>
      <c r="S74">
        <v>0.22</v>
      </c>
      <c r="X74" t="s">
        <v>4</v>
      </c>
      <c r="Y74" t="s">
        <v>2</v>
      </c>
      <c r="Z74">
        <v>200</v>
      </c>
      <c r="AA74">
        <v>365</v>
      </c>
      <c r="AB74">
        <v>375</v>
      </c>
      <c r="AC74">
        <v>0.6</v>
      </c>
      <c r="AD74">
        <v>0.71</v>
      </c>
      <c r="AE74">
        <v>0.19</v>
      </c>
    </row>
    <row r="75" spans="1:31" x14ac:dyDescent="0.2">
      <c r="A75" t="s">
        <v>29</v>
      </c>
      <c r="B75">
        <v>15</v>
      </c>
      <c r="C75" t="s">
        <v>52</v>
      </c>
      <c r="D75" t="s">
        <v>53</v>
      </c>
      <c r="E75" t="b">
        <v>0</v>
      </c>
      <c r="G75">
        <v>0.2</v>
      </c>
      <c r="H75">
        <v>0.3</v>
      </c>
      <c r="I75">
        <v>0.5</v>
      </c>
      <c r="J75">
        <v>0.25</v>
      </c>
      <c r="K75">
        <v>0.25</v>
      </c>
      <c r="L75">
        <v>0.25</v>
      </c>
      <c r="M75">
        <v>0.25</v>
      </c>
      <c r="N75">
        <v>0.25</v>
      </c>
      <c r="O75">
        <v>0.25</v>
      </c>
      <c r="P75">
        <v>0.25</v>
      </c>
      <c r="Q75">
        <v>0.25</v>
      </c>
      <c r="R75" t="b">
        <v>1</v>
      </c>
      <c r="S75">
        <v>0.22</v>
      </c>
      <c r="X75" t="s">
        <v>4</v>
      </c>
      <c r="Y75" t="s">
        <v>54</v>
      </c>
      <c r="Z75">
        <v>200</v>
      </c>
      <c r="AA75">
        <v>365</v>
      </c>
      <c r="AB75">
        <v>80</v>
      </c>
      <c r="AC75" t="s">
        <v>209</v>
      </c>
      <c r="AD75">
        <v>0.72</v>
      </c>
      <c r="AE75">
        <v>0.2</v>
      </c>
    </row>
    <row r="76" spans="1:31" x14ac:dyDescent="0.2">
      <c r="A76" t="s">
        <v>29</v>
      </c>
      <c r="B76">
        <v>15</v>
      </c>
      <c r="C76" t="s">
        <v>52</v>
      </c>
      <c r="D76" t="s">
        <v>53</v>
      </c>
      <c r="E76" t="b">
        <v>0</v>
      </c>
      <c r="G76">
        <v>0.2</v>
      </c>
      <c r="H76">
        <v>0.3</v>
      </c>
      <c r="I76">
        <v>0.5</v>
      </c>
      <c r="J76">
        <v>0.25</v>
      </c>
      <c r="K76">
        <v>0.25</v>
      </c>
      <c r="L76">
        <v>0.25</v>
      </c>
      <c r="M76">
        <v>0.25</v>
      </c>
      <c r="N76">
        <v>0.25</v>
      </c>
      <c r="O76">
        <v>0.25</v>
      </c>
      <c r="P76">
        <v>0.25</v>
      </c>
      <c r="Q76">
        <v>0.25</v>
      </c>
      <c r="R76" t="b">
        <v>1</v>
      </c>
      <c r="S76">
        <v>0.22</v>
      </c>
      <c r="X76" t="s">
        <v>4</v>
      </c>
      <c r="Y76" t="s">
        <v>128</v>
      </c>
      <c r="Z76">
        <v>200</v>
      </c>
      <c r="AA76">
        <v>365</v>
      </c>
      <c r="AB76">
        <v>123</v>
      </c>
      <c r="AC76">
        <v>0.56999999999999995</v>
      </c>
      <c r="AD76">
        <v>0.73</v>
      </c>
      <c r="AE76">
        <v>0.21</v>
      </c>
    </row>
    <row r="77" spans="1:31" x14ac:dyDescent="0.2">
      <c r="A77" t="s">
        <v>29</v>
      </c>
      <c r="B77">
        <v>15</v>
      </c>
      <c r="C77" t="s">
        <v>52</v>
      </c>
      <c r="D77" t="s">
        <v>53</v>
      </c>
      <c r="E77" t="b">
        <v>0</v>
      </c>
      <c r="G77">
        <v>0.2</v>
      </c>
      <c r="H77">
        <v>0.3</v>
      </c>
      <c r="I77">
        <v>0.5</v>
      </c>
      <c r="J77">
        <v>0.25</v>
      </c>
      <c r="K77">
        <v>0.25</v>
      </c>
      <c r="L77">
        <v>0.25</v>
      </c>
      <c r="M77">
        <v>0.25</v>
      </c>
      <c r="N77">
        <v>0.25</v>
      </c>
      <c r="O77">
        <v>0.25</v>
      </c>
      <c r="P77">
        <v>0.25</v>
      </c>
      <c r="Q77">
        <v>0.25</v>
      </c>
      <c r="R77" t="b">
        <v>1</v>
      </c>
      <c r="S77">
        <v>0.22</v>
      </c>
      <c r="X77" t="s">
        <v>4</v>
      </c>
      <c r="Y77" t="s">
        <v>3</v>
      </c>
      <c r="Z77">
        <v>200</v>
      </c>
      <c r="AA77">
        <v>365</v>
      </c>
      <c r="AB77">
        <v>560</v>
      </c>
      <c r="AC77">
        <v>0.1</v>
      </c>
      <c r="AD77">
        <v>0.74</v>
      </c>
      <c r="AE77">
        <v>0.22</v>
      </c>
    </row>
    <row r="78" spans="1:31" x14ac:dyDescent="0.2">
      <c r="A78" t="s">
        <v>29</v>
      </c>
      <c r="B78">
        <v>15</v>
      </c>
      <c r="C78" t="s">
        <v>52</v>
      </c>
      <c r="D78" t="s">
        <v>53</v>
      </c>
      <c r="E78" t="b">
        <v>0</v>
      </c>
      <c r="G78">
        <v>0.2</v>
      </c>
      <c r="H78">
        <v>0.3</v>
      </c>
      <c r="I78">
        <v>0.5</v>
      </c>
      <c r="J78">
        <v>0.25</v>
      </c>
      <c r="K78">
        <v>0.25</v>
      </c>
      <c r="L78">
        <v>0.25</v>
      </c>
      <c r="M78">
        <v>0.25</v>
      </c>
      <c r="N78">
        <v>0.25</v>
      </c>
      <c r="O78">
        <v>0.25</v>
      </c>
      <c r="P78">
        <v>0.25</v>
      </c>
      <c r="Q78">
        <v>0.25</v>
      </c>
      <c r="R78" t="b">
        <v>1</v>
      </c>
      <c r="S78">
        <v>0.22</v>
      </c>
      <c r="X78" t="s">
        <v>4</v>
      </c>
      <c r="Y78" t="s">
        <v>55</v>
      </c>
      <c r="Z78">
        <v>200</v>
      </c>
      <c r="AA78">
        <v>365</v>
      </c>
      <c r="AB78">
        <v>250</v>
      </c>
      <c r="AC78" t="s">
        <v>209</v>
      </c>
      <c r="AD78">
        <v>0.75</v>
      </c>
      <c r="AE78">
        <v>0.23</v>
      </c>
    </row>
    <row r="79" spans="1:31" x14ac:dyDescent="0.2">
      <c r="A79" s="16" t="s">
        <v>29</v>
      </c>
      <c r="B79">
        <v>15</v>
      </c>
      <c r="C79" s="16" t="s">
        <v>52</v>
      </c>
      <c r="D79" s="16" t="s">
        <v>53</v>
      </c>
      <c r="E79" s="16" t="b">
        <v>0</v>
      </c>
      <c r="F79" s="16"/>
      <c r="G79" s="16">
        <v>0.2</v>
      </c>
      <c r="H79" s="16">
        <v>0.3</v>
      </c>
      <c r="I79" s="16">
        <v>0.5</v>
      </c>
      <c r="J79" s="16">
        <v>0.25</v>
      </c>
      <c r="K79" s="16">
        <v>0.25</v>
      </c>
      <c r="L79" s="16">
        <v>0.25</v>
      </c>
      <c r="M79" s="16">
        <v>0.25</v>
      </c>
      <c r="N79" s="16">
        <v>0.25</v>
      </c>
      <c r="O79" s="16">
        <v>0.25</v>
      </c>
      <c r="P79" s="16">
        <v>0.25</v>
      </c>
      <c r="Q79" s="16">
        <v>0.25</v>
      </c>
      <c r="R79" s="16" t="b">
        <v>1</v>
      </c>
      <c r="S79" s="16">
        <v>0.22</v>
      </c>
      <c r="T79" s="16"/>
      <c r="U79" s="16"/>
      <c r="V79" s="16"/>
      <c r="W79" s="16"/>
      <c r="X79" s="16" t="s">
        <v>4</v>
      </c>
      <c r="Y79" s="16" t="s">
        <v>56</v>
      </c>
      <c r="Z79" s="16">
        <v>200</v>
      </c>
      <c r="AA79" s="16">
        <v>365</v>
      </c>
      <c r="AB79" s="16">
        <v>267</v>
      </c>
      <c r="AC79" s="16">
        <v>0.8</v>
      </c>
      <c r="AD79" s="16">
        <v>0.76</v>
      </c>
      <c r="AE79" s="16">
        <v>0.24</v>
      </c>
    </row>
    <row r="80" spans="1:31" x14ac:dyDescent="0.2">
      <c r="A80" t="s">
        <v>31</v>
      </c>
      <c r="B80">
        <v>22</v>
      </c>
      <c r="C80" t="s">
        <v>93</v>
      </c>
      <c r="D80" t="s">
        <v>53</v>
      </c>
      <c r="E80" t="b">
        <v>1</v>
      </c>
      <c r="G80">
        <v>0.5</v>
      </c>
      <c r="H80" s="20">
        <v>0.1</v>
      </c>
      <c r="I80" s="20">
        <v>0.4</v>
      </c>
      <c r="L80">
        <v>1</v>
      </c>
      <c r="N80">
        <v>1</v>
      </c>
      <c r="R80" t="b">
        <v>1</v>
      </c>
      <c r="S80" s="20">
        <v>0.21</v>
      </c>
      <c r="T80">
        <v>3</v>
      </c>
      <c r="U80" s="20">
        <v>3.8</v>
      </c>
      <c r="V80" s="20">
        <v>2.2000000000000002</v>
      </c>
      <c r="X80" t="s">
        <v>5</v>
      </c>
      <c r="Y80" t="s">
        <v>1</v>
      </c>
      <c r="Z80">
        <v>200</v>
      </c>
      <c r="AA80">
        <v>300</v>
      </c>
      <c r="AB80">
        <v>611</v>
      </c>
      <c r="AC80">
        <v>1.6E-2</v>
      </c>
      <c r="AD80">
        <v>0.65</v>
      </c>
      <c r="AE80">
        <v>0.23</v>
      </c>
    </row>
    <row r="81" spans="1:31" x14ac:dyDescent="0.2">
      <c r="A81" t="s">
        <v>31</v>
      </c>
      <c r="B81">
        <v>22</v>
      </c>
      <c r="C81" t="s">
        <v>93</v>
      </c>
      <c r="D81" t="s">
        <v>53</v>
      </c>
      <c r="E81" t="b">
        <v>1</v>
      </c>
      <c r="G81">
        <v>0.5</v>
      </c>
      <c r="H81">
        <v>0.1</v>
      </c>
      <c r="I81">
        <v>0.4</v>
      </c>
      <c r="L81">
        <v>1</v>
      </c>
      <c r="N81">
        <v>1</v>
      </c>
      <c r="R81" t="b">
        <v>1</v>
      </c>
      <c r="S81">
        <v>0.21</v>
      </c>
      <c r="X81" t="s">
        <v>5</v>
      </c>
      <c r="Y81" t="s">
        <v>2</v>
      </c>
      <c r="Z81">
        <v>200</v>
      </c>
      <c r="AA81">
        <v>300</v>
      </c>
      <c r="AB81">
        <v>333</v>
      </c>
      <c r="AC81">
        <v>0.6</v>
      </c>
      <c r="AD81">
        <v>0.7</v>
      </c>
      <c r="AE81">
        <v>0.23</v>
      </c>
    </row>
    <row r="82" spans="1:31" x14ac:dyDescent="0.2">
      <c r="A82" t="s">
        <v>31</v>
      </c>
      <c r="B82">
        <v>22</v>
      </c>
      <c r="C82" t="s">
        <v>93</v>
      </c>
      <c r="D82" t="s">
        <v>53</v>
      </c>
      <c r="E82" t="b">
        <v>1</v>
      </c>
      <c r="G82">
        <v>0.5</v>
      </c>
      <c r="H82">
        <v>0.1</v>
      </c>
      <c r="I82">
        <v>0.4</v>
      </c>
      <c r="L82">
        <v>1</v>
      </c>
      <c r="N82">
        <v>1</v>
      </c>
      <c r="R82" t="b">
        <v>1</v>
      </c>
      <c r="S82">
        <v>0.21</v>
      </c>
      <c r="X82" t="s">
        <v>5</v>
      </c>
      <c r="Y82" t="s">
        <v>54</v>
      </c>
      <c r="Z82">
        <v>200</v>
      </c>
      <c r="AA82">
        <v>300</v>
      </c>
      <c r="AB82">
        <v>55</v>
      </c>
      <c r="AC82" t="s">
        <v>209</v>
      </c>
      <c r="AD82">
        <v>0.65</v>
      </c>
      <c r="AE82">
        <v>0.23</v>
      </c>
    </row>
    <row r="83" spans="1:31" x14ac:dyDescent="0.2">
      <c r="A83" t="s">
        <v>31</v>
      </c>
      <c r="B83">
        <v>22</v>
      </c>
      <c r="C83" t="s">
        <v>93</v>
      </c>
      <c r="D83" t="s">
        <v>53</v>
      </c>
      <c r="E83" t="b">
        <v>1</v>
      </c>
      <c r="G83">
        <v>0.5</v>
      </c>
      <c r="H83">
        <v>0.1</v>
      </c>
      <c r="I83">
        <v>0.4</v>
      </c>
      <c r="L83">
        <v>1</v>
      </c>
      <c r="N83">
        <v>1</v>
      </c>
      <c r="R83" t="b">
        <v>1</v>
      </c>
      <c r="S83">
        <v>0.21</v>
      </c>
      <c r="X83" t="s">
        <v>5</v>
      </c>
      <c r="Y83" t="s">
        <v>128</v>
      </c>
      <c r="Z83">
        <v>200</v>
      </c>
      <c r="AA83">
        <v>300</v>
      </c>
      <c r="AB83">
        <v>180</v>
      </c>
      <c r="AC83">
        <v>0.56999999999999995</v>
      </c>
      <c r="AD83">
        <v>0.7</v>
      </c>
      <c r="AE83">
        <v>0.23</v>
      </c>
    </row>
    <row r="84" spans="1:31" x14ac:dyDescent="0.2">
      <c r="A84" t="s">
        <v>31</v>
      </c>
      <c r="B84">
        <v>22</v>
      </c>
      <c r="C84" t="s">
        <v>93</v>
      </c>
      <c r="D84" t="s">
        <v>53</v>
      </c>
      <c r="E84" t="b">
        <v>1</v>
      </c>
      <c r="G84">
        <v>0.5</v>
      </c>
      <c r="H84">
        <v>0.1</v>
      </c>
      <c r="I84">
        <v>0.4</v>
      </c>
      <c r="L84">
        <v>1</v>
      </c>
      <c r="N84">
        <v>1</v>
      </c>
      <c r="R84" t="b">
        <v>1</v>
      </c>
      <c r="S84">
        <v>0.21</v>
      </c>
      <c r="X84" t="s">
        <v>5</v>
      </c>
      <c r="Y84" t="s">
        <v>3</v>
      </c>
      <c r="Z84">
        <v>200</v>
      </c>
      <c r="AA84">
        <v>300</v>
      </c>
      <c r="AB84">
        <v>650</v>
      </c>
      <c r="AC84">
        <v>0.1</v>
      </c>
      <c r="AD84">
        <v>0.7</v>
      </c>
      <c r="AE84">
        <v>0.23</v>
      </c>
    </row>
    <row r="85" spans="1:31" x14ac:dyDescent="0.2">
      <c r="A85" t="s">
        <v>31</v>
      </c>
      <c r="B85">
        <v>22</v>
      </c>
      <c r="C85" t="s">
        <v>93</v>
      </c>
      <c r="D85" t="s">
        <v>53</v>
      </c>
      <c r="E85" t="b">
        <v>1</v>
      </c>
      <c r="G85">
        <v>0.5</v>
      </c>
      <c r="H85">
        <v>0.1</v>
      </c>
      <c r="I85">
        <v>0.4</v>
      </c>
      <c r="L85">
        <v>1</v>
      </c>
      <c r="N85">
        <v>1</v>
      </c>
      <c r="R85" t="b">
        <v>1</v>
      </c>
      <c r="S85">
        <v>0.21</v>
      </c>
      <c r="X85" t="s">
        <v>5</v>
      </c>
      <c r="Y85" t="s">
        <v>55</v>
      </c>
      <c r="Z85">
        <v>200</v>
      </c>
      <c r="AA85">
        <v>300</v>
      </c>
      <c r="AB85">
        <v>222</v>
      </c>
      <c r="AC85" t="s">
        <v>209</v>
      </c>
      <c r="AD85">
        <v>0.65</v>
      </c>
      <c r="AE85">
        <v>0.23</v>
      </c>
    </row>
    <row r="86" spans="1:31" x14ac:dyDescent="0.2">
      <c r="A86" s="16" t="s">
        <v>31</v>
      </c>
      <c r="B86">
        <v>22</v>
      </c>
      <c r="C86" s="16" t="s">
        <v>93</v>
      </c>
      <c r="D86" s="16" t="s">
        <v>53</v>
      </c>
      <c r="E86" s="16" t="b">
        <v>1</v>
      </c>
      <c r="F86" s="16"/>
      <c r="G86" s="16">
        <v>0.5</v>
      </c>
      <c r="H86" s="16">
        <v>0.1</v>
      </c>
      <c r="I86" s="16">
        <v>0.4</v>
      </c>
      <c r="J86" s="16"/>
      <c r="K86" s="16"/>
      <c r="L86" s="16">
        <v>1</v>
      </c>
      <c r="M86" s="16"/>
      <c r="N86" s="16">
        <v>1</v>
      </c>
      <c r="O86" s="16"/>
      <c r="P86" s="16"/>
      <c r="Q86" s="16"/>
      <c r="R86" s="16" t="b">
        <v>1</v>
      </c>
      <c r="S86" s="16">
        <v>0.21</v>
      </c>
      <c r="T86" s="16"/>
      <c r="U86" s="16"/>
      <c r="V86" s="16"/>
      <c r="W86" s="16"/>
      <c r="X86" s="16" t="s">
        <v>5</v>
      </c>
      <c r="Y86" s="16" t="s">
        <v>56</v>
      </c>
      <c r="Z86" s="16">
        <v>200</v>
      </c>
      <c r="AA86" s="16">
        <v>300</v>
      </c>
      <c r="AB86" s="16">
        <v>201</v>
      </c>
      <c r="AC86" s="16">
        <v>0.8</v>
      </c>
      <c r="AD86" s="16">
        <v>0.7</v>
      </c>
      <c r="AE86" s="16">
        <v>0.23</v>
      </c>
    </row>
    <row r="87" spans="1:31" x14ac:dyDescent="0.2">
      <c r="A87" t="s">
        <v>32</v>
      </c>
      <c r="B87">
        <v>27</v>
      </c>
      <c r="C87" t="s">
        <v>90</v>
      </c>
      <c r="D87" t="s">
        <v>95</v>
      </c>
      <c r="E87" t="b">
        <v>0</v>
      </c>
      <c r="G87" s="20">
        <v>0.73</v>
      </c>
      <c r="H87" s="20">
        <v>0.08</v>
      </c>
      <c r="I87" s="20">
        <v>0.19</v>
      </c>
      <c r="J87">
        <v>0</v>
      </c>
      <c r="K87">
        <v>0.5</v>
      </c>
      <c r="L87">
        <v>0.5</v>
      </c>
      <c r="M87">
        <v>0</v>
      </c>
      <c r="N87">
        <v>0.5</v>
      </c>
      <c r="O87">
        <v>0</v>
      </c>
      <c r="P87">
        <v>0</v>
      </c>
      <c r="Q87">
        <v>0.5</v>
      </c>
      <c r="R87" t="b">
        <v>0</v>
      </c>
      <c r="T87">
        <v>2.8</v>
      </c>
      <c r="U87">
        <v>4</v>
      </c>
      <c r="V87">
        <v>4</v>
      </c>
      <c r="X87" t="s">
        <v>12</v>
      </c>
      <c r="Y87" t="s">
        <v>1</v>
      </c>
      <c r="Z87">
        <v>200</v>
      </c>
      <c r="AA87">
        <v>365</v>
      </c>
      <c r="AB87">
        <v>623</v>
      </c>
      <c r="AC87">
        <v>1.6E-2</v>
      </c>
    </row>
    <row r="88" spans="1:31" x14ac:dyDescent="0.2">
      <c r="A88" t="s">
        <v>32</v>
      </c>
      <c r="B88">
        <v>27</v>
      </c>
      <c r="C88" t="s">
        <v>90</v>
      </c>
      <c r="D88" t="s">
        <v>95</v>
      </c>
      <c r="E88" t="b">
        <v>0</v>
      </c>
      <c r="G88">
        <v>0.73</v>
      </c>
      <c r="H88">
        <v>0.08</v>
      </c>
      <c r="I88">
        <v>0.19</v>
      </c>
      <c r="J88">
        <v>0</v>
      </c>
      <c r="K88">
        <v>0.5</v>
      </c>
      <c r="L88">
        <v>0.5</v>
      </c>
      <c r="M88">
        <v>0</v>
      </c>
      <c r="N88">
        <v>0.5</v>
      </c>
      <c r="O88">
        <v>0</v>
      </c>
      <c r="P88">
        <v>0</v>
      </c>
      <c r="Q88">
        <v>0.5</v>
      </c>
      <c r="R88" t="b">
        <v>0</v>
      </c>
      <c r="X88" t="s">
        <v>12</v>
      </c>
      <c r="Y88" t="s">
        <v>2</v>
      </c>
      <c r="Z88">
        <v>200</v>
      </c>
      <c r="AA88">
        <v>265</v>
      </c>
      <c r="AB88">
        <v>450</v>
      </c>
      <c r="AC88">
        <v>0.6</v>
      </c>
    </row>
    <row r="89" spans="1:31" x14ac:dyDescent="0.2">
      <c r="A89" t="s">
        <v>32</v>
      </c>
      <c r="B89">
        <v>27</v>
      </c>
      <c r="C89" t="s">
        <v>90</v>
      </c>
      <c r="D89" t="s">
        <v>95</v>
      </c>
      <c r="E89" t="b">
        <v>0</v>
      </c>
      <c r="G89">
        <v>0.73</v>
      </c>
      <c r="H89">
        <v>0.08</v>
      </c>
      <c r="I89">
        <v>0.19</v>
      </c>
      <c r="J89">
        <v>0</v>
      </c>
      <c r="K89">
        <v>0.5</v>
      </c>
      <c r="L89">
        <v>0.5</v>
      </c>
      <c r="M89">
        <v>0</v>
      </c>
      <c r="N89">
        <v>0.5</v>
      </c>
      <c r="O89">
        <v>0</v>
      </c>
      <c r="P89">
        <v>0</v>
      </c>
      <c r="Q89">
        <v>0.5</v>
      </c>
      <c r="R89" t="b">
        <v>0</v>
      </c>
      <c r="X89" t="s">
        <v>12</v>
      </c>
      <c r="Y89" t="s">
        <v>54</v>
      </c>
      <c r="Z89">
        <v>200</v>
      </c>
      <c r="AA89">
        <v>100</v>
      </c>
      <c r="AB89">
        <v>88</v>
      </c>
      <c r="AC89" t="s">
        <v>209</v>
      </c>
    </row>
    <row r="90" spans="1:31" x14ac:dyDescent="0.2">
      <c r="A90" t="s">
        <v>32</v>
      </c>
      <c r="B90">
        <v>27</v>
      </c>
      <c r="C90" t="s">
        <v>90</v>
      </c>
      <c r="D90" t="s">
        <v>95</v>
      </c>
      <c r="E90" t="b">
        <v>0</v>
      </c>
      <c r="G90">
        <v>0.73</v>
      </c>
      <c r="H90">
        <v>0.08</v>
      </c>
      <c r="I90">
        <v>0.19</v>
      </c>
      <c r="J90">
        <v>0</v>
      </c>
      <c r="K90">
        <v>0.5</v>
      </c>
      <c r="L90">
        <v>0.5</v>
      </c>
      <c r="M90">
        <v>0</v>
      </c>
      <c r="N90">
        <v>0.5</v>
      </c>
      <c r="O90">
        <v>0</v>
      </c>
      <c r="P90">
        <v>0</v>
      </c>
      <c r="Q90">
        <v>0.5</v>
      </c>
      <c r="R90" t="b">
        <v>0</v>
      </c>
      <c r="X90" t="s">
        <v>12</v>
      </c>
      <c r="Y90" t="s">
        <v>128</v>
      </c>
      <c r="Z90">
        <v>200</v>
      </c>
      <c r="AA90">
        <v>360</v>
      </c>
      <c r="AB90">
        <v>185</v>
      </c>
      <c r="AC90">
        <v>0.56999999999999995</v>
      </c>
    </row>
    <row r="91" spans="1:31" x14ac:dyDescent="0.2">
      <c r="A91" t="s">
        <v>32</v>
      </c>
      <c r="B91">
        <v>27</v>
      </c>
      <c r="C91" t="s">
        <v>90</v>
      </c>
      <c r="D91" t="s">
        <v>95</v>
      </c>
      <c r="E91" t="b">
        <v>0</v>
      </c>
      <c r="G91">
        <v>0.73</v>
      </c>
      <c r="H91">
        <v>0.08</v>
      </c>
      <c r="I91">
        <v>0.19</v>
      </c>
      <c r="J91">
        <v>0</v>
      </c>
      <c r="K91">
        <v>0.5</v>
      </c>
      <c r="L91">
        <v>0.5</v>
      </c>
      <c r="M91">
        <v>0</v>
      </c>
      <c r="N91">
        <v>0.5</v>
      </c>
      <c r="O91">
        <v>0</v>
      </c>
      <c r="P91">
        <v>0</v>
      </c>
      <c r="Q91">
        <v>0.5</v>
      </c>
      <c r="R91" t="b">
        <v>0</v>
      </c>
      <c r="X91" t="s">
        <v>12</v>
      </c>
      <c r="Y91" t="s">
        <v>3</v>
      </c>
      <c r="Z91">
        <v>200</v>
      </c>
      <c r="AA91">
        <v>345</v>
      </c>
      <c r="AB91">
        <v>550</v>
      </c>
      <c r="AC91">
        <v>0.1</v>
      </c>
    </row>
    <row r="92" spans="1:31" x14ac:dyDescent="0.2">
      <c r="A92" t="s">
        <v>32</v>
      </c>
      <c r="B92">
        <v>27</v>
      </c>
      <c r="C92" t="s">
        <v>90</v>
      </c>
      <c r="D92" t="s">
        <v>95</v>
      </c>
      <c r="E92" t="b">
        <v>0</v>
      </c>
      <c r="G92">
        <v>0.73</v>
      </c>
      <c r="H92">
        <v>0.08</v>
      </c>
      <c r="I92">
        <v>0.19</v>
      </c>
      <c r="J92">
        <v>0</v>
      </c>
      <c r="K92">
        <v>0.5</v>
      </c>
      <c r="L92">
        <v>0.5</v>
      </c>
      <c r="M92">
        <v>0</v>
      </c>
      <c r="N92">
        <v>0.5</v>
      </c>
      <c r="O92">
        <v>0</v>
      </c>
      <c r="P92">
        <v>0</v>
      </c>
      <c r="Q92">
        <v>0.5</v>
      </c>
      <c r="R92" t="b">
        <v>0</v>
      </c>
      <c r="X92" t="s">
        <v>12</v>
      </c>
      <c r="Y92" t="s">
        <v>55</v>
      </c>
      <c r="Z92">
        <v>200</v>
      </c>
      <c r="AA92">
        <v>124</v>
      </c>
      <c r="AB92">
        <v>225</v>
      </c>
      <c r="AC92" t="s">
        <v>209</v>
      </c>
    </row>
    <row r="93" spans="1:31" x14ac:dyDescent="0.2">
      <c r="A93" s="16" t="s">
        <v>32</v>
      </c>
      <c r="B93" s="16">
        <v>27</v>
      </c>
      <c r="C93" s="16" t="s">
        <v>90</v>
      </c>
      <c r="D93" s="16" t="s">
        <v>95</v>
      </c>
      <c r="E93" s="16" t="b">
        <v>0</v>
      </c>
      <c r="F93" s="16"/>
      <c r="G93" s="16">
        <v>0.73</v>
      </c>
      <c r="H93" s="16">
        <v>0.08</v>
      </c>
      <c r="I93" s="16">
        <v>0.19</v>
      </c>
      <c r="J93" s="16">
        <v>0</v>
      </c>
      <c r="K93" s="16">
        <v>0.5</v>
      </c>
      <c r="L93" s="16">
        <v>0.5</v>
      </c>
      <c r="M93" s="16">
        <v>0</v>
      </c>
      <c r="N93" s="16">
        <v>0.5</v>
      </c>
      <c r="O93" s="16">
        <v>0</v>
      </c>
      <c r="P93" s="16">
        <v>0</v>
      </c>
      <c r="Q93" s="16">
        <v>0.5</v>
      </c>
      <c r="R93" s="16" t="b">
        <v>0</v>
      </c>
      <c r="S93" s="16"/>
      <c r="T93" s="16"/>
      <c r="U93" s="16"/>
      <c r="V93" s="16"/>
      <c r="W93" s="16"/>
      <c r="X93" s="16" t="s">
        <v>12</v>
      </c>
      <c r="Y93" s="16" t="s">
        <v>56</v>
      </c>
      <c r="Z93" s="16">
        <v>200</v>
      </c>
      <c r="AA93" s="16">
        <v>294</v>
      </c>
      <c r="AB93" s="16">
        <v>225</v>
      </c>
      <c r="AC93" s="16">
        <v>0.8</v>
      </c>
      <c r="AD93" s="16"/>
      <c r="AE93" s="16"/>
    </row>
    <row r="94" spans="1:31" x14ac:dyDescent="0.2">
      <c r="A94" t="s">
        <v>36</v>
      </c>
      <c r="B94" t="s">
        <v>40</v>
      </c>
      <c r="C94" t="s">
        <v>91</v>
      </c>
      <c r="D94" t="s">
        <v>95</v>
      </c>
      <c r="E94" t="b">
        <v>1</v>
      </c>
      <c r="G94">
        <v>0</v>
      </c>
      <c r="H94" s="20">
        <v>0.1</v>
      </c>
      <c r="I94" s="20">
        <v>0.9</v>
      </c>
      <c r="J94">
        <v>0.1</v>
      </c>
      <c r="K94">
        <v>0.2</v>
      </c>
      <c r="L94">
        <v>0.3</v>
      </c>
      <c r="M94">
        <v>0.4</v>
      </c>
      <c r="N94">
        <v>0.4</v>
      </c>
      <c r="O94">
        <v>0.3</v>
      </c>
      <c r="P94">
        <v>0.2</v>
      </c>
      <c r="Q94">
        <v>0.1</v>
      </c>
      <c r="R94" t="b">
        <v>0</v>
      </c>
      <c r="W94">
        <v>20</v>
      </c>
      <c r="X94" t="s">
        <v>13</v>
      </c>
      <c r="Y94" t="s">
        <v>1</v>
      </c>
      <c r="Z94">
        <v>200</v>
      </c>
      <c r="AA94">
        <v>365</v>
      </c>
      <c r="AB94">
        <v>500</v>
      </c>
      <c r="AC94">
        <v>1.6E-2</v>
      </c>
    </row>
    <row r="95" spans="1:31" x14ac:dyDescent="0.2">
      <c r="A95" t="s">
        <v>36</v>
      </c>
      <c r="B95" t="s">
        <v>40</v>
      </c>
      <c r="C95" t="s">
        <v>91</v>
      </c>
      <c r="D95" t="s">
        <v>95</v>
      </c>
      <c r="E95" t="b">
        <v>1</v>
      </c>
      <c r="G95">
        <v>0</v>
      </c>
      <c r="H95">
        <v>0.1</v>
      </c>
      <c r="I95">
        <v>0.9</v>
      </c>
      <c r="J95">
        <v>0.1</v>
      </c>
      <c r="K95">
        <v>0.2</v>
      </c>
      <c r="L95">
        <v>0.3</v>
      </c>
      <c r="M95">
        <v>0.4</v>
      </c>
      <c r="N95">
        <v>0.4</v>
      </c>
      <c r="O95">
        <v>0.3</v>
      </c>
      <c r="P95">
        <v>0.2</v>
      </c>
      <c r="Q95">
        <v>0.1</v>
      </c>
      <c r="R95" t="b">
        <v>0</v>
      </c>
      <c r="X95" t="s">
        <v>13</v>
      </c>
      <c r="Y95" t="s">
        <v>2</v>
      </c>
      <c r="Z95">
        <v>200</v>
      </c>
      <c r="AA95">
        <v>265</v>
      </c>
      <c r="AB95">
        <v>350</v>
      </c>
      <c r="AC95">
        <v>0.6</v>
      </c>
    </row>
    <row r="96" spans="1:31" x14ac:dyDescent="0.2">
      <c r="A96" t="s">
        <v>36</v>
      </c>
      <c r="B96" t="s">
        <v>40</v>
      </c>
      <c r="C96" t="s">
        <v>91</v>
      </c>
      <c r="D96" t="s">
        <v>95</v>
      </c>
      <c r="E96" t="b">
        <v>1</v>
      </c>
      <c r="G96">
        <v>0</v>
      </c>
      <c r="H96">
        <v>0.1</v>
      </c>
      <c r="I96">
        <v>0.9</v>
      </c>
      <c r="J96">
        <v>0.1</v>
      </c>
      <c r="K96">
        <v>0.2</v>
      </c>
      <c r="L96">
        <v>0.3</v>
      </c>
      <c r="M96">
        <v>0.4</v>
      </c>
      <c r="N96">
        <v>0.4</v>
      </c>
      <c r="O96">
        <v>0.3</v>
      </c>
      <c r="P96">
        <v>0.2</v>
      </c>
      <c r="Q96">
        <v>0.1</v>
      </c>
      <c r="R96" t="b">
        <v>0</v>
      </c>
      <c r="X96" t="s">
        <v>13</v>
      </c>
      <c r="Y96" t="s">
        <v>54</v>
      </c>
      <c r="Z96">
        <v>200</v>
      </c>
      <c r="AA96">
        <v>100</v>
      </c>
      <c r="AB96">
        <v>39</v>
      </c>
      <c r="AC96" t="s">
        <v>209</v>
      </c>
    </row>
    <row r="97" spans="1:31" x14ac:dyDescent="0.2">
      <c r="A97" t="s">
        <v>36</v>
      </c>
      <c r="B97" t="s">
        <v>40</v>
      </c>
      <c r="C97" t="s">
        <v>91</v>
      </c>
      <c r="D97" t="s">
        <v>95</v>
      </c>
      <c r="E97" t="b">
        <v>1</v>
      </c>
      <c r="G97">
        <v>0</v>
      </c>
      <c r="H97">
        <v>0.1</v>
      </c>
      <c r="I97">
        <v>0.9</v>
      </c>
      <c r="J97">
        <v>0.1</v>
      </c>
      <c r="K97">
        <v>0.2</v>
      </c>
      <c r="L97">
        <v>0.3</v>
      </c>
      <c r="M97">
        <v>0.4</v>
      </c>
      <c r="N97">
        <v>0.4</v>
      </c>
      <c r="O97">
        <v>0.3</v>
      </c>
      <c r="P97">
        <v>0.2</v>
      </c>
      <c r="Q97">
        <v>0.1</v>
      </c>
      <c r="R97" t="b">
        <v>0</v>
      </c>
      <c r="X97" t="s">
        <v>13</v>
      </c>
      <c r="Y97" t="s">
        <v>128</v>
      </c>
      <c r="Z97">
        <v>200</v>
      </c>
      <c r="AA97">
        <v>360</v>
      </c>
      <c r="AB97">
        <v>145</v>
      </c>
      <c r="AC97">
        <v>0.56999999999999995</v>
      </c>
    </row>
    <row r="98" spans="1:31" x14ac:dyDescent="0.2">
      <c r="A98" t="s">
        <v>36</v>
      </c>
      <c r="B98" t="s">
        <v>40</v>
      </c>
      <c r="C98" t="s">
        <v>91</v>
      </c>
      <c r="D98" t="s">
        <v>95</v>
      </c>
      <c r="E98" t="b">
        <v>1</v>
      </c>
      <c r="G98">
        <v>0</v>
      </c>
      <c r="H98">
        <v>0.1</v>
      </c>
      <c r="I98">
        <v>0.9</v>
      </c>
      <c r="J98">
        <v>0.1</v>
      </c>
      <c r="K98">
        <v>0.2</v>
      </c>
      <c r="L98">
        <v>0.3</v>
      </c>
      <c r="M98">
        <v>0.4</v>
      </c>
      <c r="N98">
        <v>0.4</v>
      </c>
      <c r="O98">
        <v>0.3</v>
      </c>
      <c r="P98">
        <v>0.2</v>
      </c>
      <c r="Q98">
        <v>0.1</v>
      </c>
      <c r="R98" t="b">
        <v>0</v>
      </c>
      <c r="X98" t="s">
        <v>13</v>
      </c>
      <c r="Y98" t="s">
        <v>3</v>
      </c>
      <c r="Z98">
        <v>200</v>
      </c>
      <c r="AA98">
        <v>345</v>
      </c>
      <c r="AB98">
        <v>575</v>
      </c>
      <c r="AC98">
        <v>0.1</v>
      </c>
    </row>
    <row r="99" spans="1:31" x14ac:dyDescent="0.2">
      <c r="A99" t="s">
        <v>36</v>
      </c>
      <c r="B99" t="s">
        <v>40</v>
      </c>
      <c r="C99" t="s">
        <v>91</v>
      </c>
      <c r="D99" t="s">
        <v>95</v>
      </c>
      <c r="E99" t="b">
        <v>1</v>
      </c>
      <c r="G99">
        <v>0</v>
      </c>
      <c r="H99">
        <v>0.1</v>
      </c>
      <c r="I99">
        <v>0.9</v>
      </c>
      <c r="J99">
        <v>0.1</v>
      </c>
      <c r="K99">
        <v>0.2</v>
      </c>
      <c r="L99">
        <v>0.3</v>
      </c>
      <c r="M99">
        <v>0.4</v>
      </c>
      <c r="N99">
        <v>0.4</v>
      </c>
      <c r="O99">
        <v>0.3</v>
      </c>
      <c r="P99">
        <v>0.2</v>
      </c>
      <c r="Q99">
        <v>0.1</v>
      </c>
      <c r="R99" t="b">
        <v>0</v>
      </c>
      <c r="X99" t="s">
        <v>13</v>
      </c>
      <c r="Y99" t="s">
        <v>55</v>
      </c>
      <c r="Z99">
        <v>200</v>
      </c>
      <c r="AA99">
        <v>124</v>
      </c>
      <c r="AB99">
        <v>225</v>
      </c>
      <c r="AC99" t="s">
        <v>209</v>
      </c>
    </row>
    <row r="100" spans="1:31" x14ac:dyDescent="0.2">
      <c r="A100" s="16" t="s">
        <v>36</v>
      </c>
      <c r="B100" t="s">
        <v>40</v>
      </c>
      <c r="C100" s="16" t="s">
        <v>91</v>
      </c>
      <c r="D100" s="16" t="s">
        <v>95</v>
      </c>
      <c r="E100" s="16" t="b">
        <v>1</v>
      </c>
      <c r="F100" s="16"/>
      <c r="G100" s="16">
        <v>0</v>
      </c>
      <c r="H100" s="16">
        <v>0.1</v>
      </c>
      <c r="I100" s="16">
        <v>0.9</v>
      </c>
      <c r="J100" s="16">
        <v>0.1</v>
      </c>
      <c r="K100" s="16">
        <v>0.2</v>
      </c>
      <c r="L100" s="16">
        <v>0.3</v>
      </c>
      <c r="M100" s="16">
        <v>0.4</v>
      </c>
      <c r="N100" s="16">
        <v>0.4</v>
      </c>
      <c r="O100" s="16">
        <v>0.3</v>
      </c>
      <c r="P100" s="16">
        <v>0.2</v>
      </c>
      <c r="Q100" s="16">
        <v>0.1</v>
      </c>
      <c r="R100" s="16" t="b">
        <v>0</v>
      </c>
      <c r="S100" s="16"/>
      <c r="T100" s="16"/>
      <c r="U100" s="16"/>
      <c r="V100" s="16"/>
      <c r="W100" s="16"/>
      <c r="X100" s="16" t="s">
        <v>13</v>
      </c>
      <c r="Y100" s="16" t="s">
        <v>56</v>
      </c>
      <c r="Z100" s="16">
        <v>200</v>
      </c>
      <c r="AA100" s="16">
        <v>294</v>
      </c>
      <c r="AB100" s="16">
        <v>225</v>
      </c>
      <c r="AC100" s="16">
        <v>0.8</v>
      </c>
      <c r="AD100" s="16"/>
      <c r="AE100" s="16"/>
    </row>
    <row r="101" spans="1:31" x14ac:dyDescent="0.2">
      <c r="A101" t="s">
        <v>33</v>
      </c>
      <c r="B101">
        <v>14</v>
      </c>
      <c r="C101" t="s">
        <v>52</v>
      </c>
      <c r="D101" t="s">
        <v>53</v>
      </c>
      <c r="E101" t="b">
        <v>0</v>
      </c>
      <c r="G101">
        <v>0.43</v>
      </c>
      <c r="H101">
        <v>0.14000000000000001</v>
      </c>
      <c r="I101">
        <v>0.43</v>
      </c>
      <c r="J101">
        <v>0.25</v>
      </c>
      <c r="K101">
        <v>0.25</v>
      </c>
      <c r="L101">
        <v>0.25</v>
      </c>
      <c r="M101">
        <v>0.25</v>
      </c>
      <c r="N101">
        <v>0.25</v>
      </c>
      <c r="O101">
        <v>0.25</v>
      </c>
      <c r="P101">
        <v>0.25</v>
      </c>
      <c r="Q101">
        <v>0.25</v>
      </c>
      <c r="R101" t="b">
        <v>1</v>
      </c>
      <c r="S101" s="20">
        <v>0.18</v>
      </c>
      <c r="W101">
        <v>30</v>
      </c>
      <c r="X101" t="s">
        <v>8</v>
      </c>
      <c r="Y101" t="s">
        <v>1</v>
      </c>
      <c r="Z101">
        <v>200</v>
      </c>
      <c r="AA101">
        <v>365</v>
      </c>
      <c r="AB101">
        <v>400</v>
      </c>
      <c r="AC101">
        <v>1.6E-2</v>
      </c>
    </row>
    <row r="102" spans="1:31" x14ac:dyDescent="0.2">
      <c r="A102" t="s">
        <v>33</v>
      </c>
      <c r="B102">
        <v>14</v>
      </c>
      <c r="C102" t="s">
        <v>52</v>
      </c>
      <c r="D102" t="s">
        <v>53</v>
      </c>
      <c r="E102" t="b">
        <v>0</v>
      </c>
      <c r="G102">
        <v>0.43</v>
      </c>
      <c r="H102">
        <v>0.14000000000000001</v>
      </c>
      <c r="I102">
        <v>0.43</v>
      </c>
      <c r="J102">
        <v>0.25</v>
      </c>
      <c r="K102">
        <v>0.25</v>
      </c>
      <c r="L102">
        <v>0.25</v>
      </c>
      <c r="M102">
        <v>0.25</v>
      </c>
      <c r="N102">
        <v>0.25</v>
      </c>
      <c r="O102">
        <v>0.25</v>
      </c>
      <c r="P102">
        <v>0.25</v>
      </c>
      <c r="Q102">
        <v>0.25</v>
      </c>
      <c r="R102" t="b">
        <v>1</v>
      </c>
      <c r="S102">
        <v>0.18</v>
      </c>
      <c r="X102" t="s">
        <v>8</v>
      </c>
      <c r="Y102" t="s">
        <v>2</v>
      </c>
      <c r="Z102">
        <v>200</v>
      </c>
      <c r="AA102">
        <v>265</v>
      </c>
      <c r="AB102">
        <v>275</v>
      </c>
      <c r="AC102">
        <v>0.6</v>
      </c>
    </row>
    <row r="103" spans="1:31" x14ac:dyDescent="0.2">
      <c r="A103" t="s">
        <v>33</v>
      </c>
      <c r="B103">
        <v>14</v>
      </c>
      <c r="C103" t="s">
        <v>52</v>
      </c>
      <c r="D103" t="s">
        <v>53</v>
      </c>
      <c r="E103" t="b">
        <v>0</v>
      </c>
      <c r="G103">
        <v>0.43</v>
      </c>
      <c r="H103">
        <v>0.14000000000000001</v>
      </c>
      <c r="I103">
        <v>0.43</v>
      </c>
      <c r="J103">
        <v>0.25</v>
      </c>
      <c r="K103">
        <v>0.25</v>
      </c>
      <c r="L103">
        <v>0.25</v>
      </c>
      <c r="M103">
        <v>0.25</v>
      </c>
      <c r="N103">
        <v>0.25</v>
      </c>
      <c r="O103">
        <v>0.25</v>
      </c>
      <c r="P103">
        <v>0.25</v>
      </c>
      <c r="Q103">
        <v>0.25</v>
      </c>
      <c r="R103" t="b">
        <v>1</v>
      </c>
      <c r="S103">
        <v>0.18</v>
      </c>
      <c r="X103" t="s">
        <v>8</v>
      </c>
      <c r="Y103" t="s">
        <v>54</v>
      </c>
      <c r="Z103">
        <v>200</v>
      </c>
      <c r="AA103">
        <v>100</v>
      </c>
      <c r="AB103">
        <v>115</v>
      </c>
      <c r="AC103" t="s">
        <v>209</v>
      </c>
    </row>
    <row r="104" spans="1:31" x14ac:dyDescent="0.2">
      <c r="A104" t="s">
        <v>33</v>
      </c>
      <c r="B104">
        <v>14</v>
      </c>
      <c r="C104" t="s">
        <v>52</v>
      </c>
      <c r="D104" t="s">
        <v>53</v>
      </c>
      <c r="E104" t="b">
        <v>0</v>
      </c>
      <c r="G104">
        <v>0.43</v>
      </c>
      <c r="H104">
        <v>0.14000000000000001</v>
      </c>
      <c r="I104">
        <v>0.43</v>
      </c>
      <c r="J104">
        <v>0.25</v>
      </c>
      <c r="K104">
        <v>0.25</v>
      </c>
      <c r="L104">
        <v>0.25</v>
      </c>
      <c r="M104">
        <v>0.25</v>
      </c>
      <c r="N104">
        <v>0.25</v>
      </c>
      <c r="O104">
        <v>0.25</v>
      </c>
      <c r="P104">
        <v>0.25</v>
      </c>
      <c r="Q104">
        <v>0.25</v>
      </c>
      <c r="R104" t="b">
        <v>1</v>
      </c>
      <c r="S104">
        <v>0.18</v>
      </c>
      <c r="X104" t="s">
        <v>8</v>
      </c>
      <c r="Y104" t="s">
        <v>128</v>
      </c>
      <c r="Z104">
        <v>200</v>
      </c>
      <c r="AA104">
        <v>360</v>
      </c>
      <c r="AB104">
        <v>115</v>
      </c>
      <c r="AC104">
        <v>0.56999999999999995</v>
      </c>
    </row>
    <row r="105" spans="1:31" x14ac:dyDescent="0.2">
      <c r="A105" t="s">
        <v>33</v>
      </c>
      <c r="B105">
        <v>14</v>
      </c>
      <c r="C105" t="s">
        <v>52</v>
      </c>
      <c r="D105" t="s">
        <v>53</v>
      </c>
      <c r="E105" t="b">
        <v>0</v>
      </c>
      <c r="G105">
        <v>0.43</v>
      </c>
      <c r="H105">
        <v>0.14000000000000001</v>
      </c>
      <c r="I105">
        <v>0.43</v>
      </c>
      <c r="J105">
        <v>0.25</v>
      </c>
      <c r="K105">
        <v>0.25</v>
      </c>
      <c r="L105">
        <v>0.25</v>
      </c>
      <c r="M105">
        <v>0.25</v>
      </c>
      <c r="N105">
        <v>0.25</v>
      </c>
      <c r="O105">
        <v>0.25</v>
      </c>
      <c r="P105">
        <v>0.25</v>
      </c>
      <c r="Q105">
        <v>0.25</v>
      </c>
      <c r="R105" t="b">
        <v>1</v>
      </c>
      <c r="S105">
        <v>0.18</v>
      </c>
      <c r="X105" t="s">
        <v>8</v>
      </c>
      <c r="Y105" t="s">
        <v>3</v>
      </c>
      <c r="Z105">
        <v>200</v>
      </c>
      <c r="AA105">
        <v>345</v>
      </c>
      <c r="AB105">
        <v>600</v>
      </c>
      <c r="AC105">
        <v>0.1</v>
      </c>
    </row>
    <row r="106" spans="1:31" x14ac:dyDescent="0.2">
      <c r="A106" t="s">
        <v>33</v>
      </c>
      <c r="B106">
        <v>14</v>
      </c>
      <c r="C106" t="s">
        <v>52</v>
      </c>
      <c r="D106" t="s">
        <v>53</v>
      </c>
      <c r="E106" t="b">
        <v>0</v>
      </c>
      <c r="G106">
        <v>0.43</v>
      </c>
      <c r="H106">
        <v>0.14000000000000001</v>
      </c>
      <c r="I106">
        <v>0.43</v>
      </c>
      <c r="J106">
        <v>0.25</v>
      </c>
      <c r="K106">
        <v>0.25</v>
      </c>
      <c r="L106">
        <v>0.25</v>
      </c>
      <c r="M106">
        <v>0.25</v>
      </c>
      <c r="N106">
        <v>0.25</v>
      </c>
      <c r="O106">
        <v>0.25</v>
      </c>
      <c r="P106">
        <v>0.25</v>
      </c>
      <c r="Q106">
        <v>0.25</v>
      </c>
      <c r="R106" t="b">
        <v>1</v>
      </c>
      <c r="S106">
        <v>0.18</v>
      </c>
      <c r="X106" t="s">
        <v>8</v>
      </c>
      <c r="Y106" t="s">
        <v>55</v>
      </c>
      <c r="Z106">
        <v>200</v>
      </c>
      <c r="AA106">
        <v>124</v>
      </c>
      <c r="AB106">
        <v>225</v>
      </c>
      <c r="AC106" t="s">
        <v>209</v>
      </c>
    </row>
    <row r="107" spans="1:31" x14ac:dyDescent="0.2">
      <c r="A107" s="16" t="s">
        <v>33</v>
      </c>
      <c r="B107">
        <v>14</v>
      </c>
      <c r="C107" s="16" t="s">
        <v>52</v>
      </c>
      <c r="D107" s="16" t="s">
        <v>53</v>
      </c>
      <c r="E107" s="16" t="b">
        <v>0</v>
      </c>
      <c r="F107" s="16"/>
      <c r="G107" s="16">
        <v>0.43</v>
      </c>
      <c r="H107" s="16">
        <v>0.14000000000000001</v>
      </c>
      <c r="I107" s="16">
        <v>0.43</v>
      </c>
      <c r="J107" s="16">
        <v>0.25</v>
      </c>
      <c r="K107" s="16">
        <v>0.25</v>
      </c>
      <c r="L107" s="16">
        <v>0.25</v>
      </c>
      <c r="M107" s="16">
        <v>0.25</v>
      </c>
      <c r="N107" s="16">
        <v>0.25</v>
      </c>
      <c r="O107" s="16">
        <v>0.25</v>
      </c>
      <c r="P107" s="16">
        <v>0.25</v>
      </c>
      <c r="Q107" s="16">
        <v>0.25</v>
      </c>
      <c r="R107" s="16" t="b">
        <v>1</v>
      </c>
      <c r="S107" s="16">
        <v>0.18</v>
      </c>
      <c r="T107" s="16"/>
      <c r="U107" s="16"/>
      <c r="V107" s="16"/>
      <c r="W107" s="16"/>
      <c r="X107" s="16" t="s">
        <v>8</v>
      </c>
      <c r="Y107" s="16" t="s">
        <v>56</v>
      </c>
      <c r="Z107" s="16">
        <v>200</v>
      </c>
      <c r="AA107" s="16">
        <v>294</v>
      </c>
      <c r="AB107" s="16">
        <v>225</v>
      </c>
      <c r="AC107" s="16">
        <v>0.8</v>
      </c>
      <c r="AD107" s="16"/>
      <c r="AE107" s="16"/>
    </row>
    <row r="108" spans="1:31" x14ac:dyDescent="0.2">
      <c r="A108" t="s">
        <v>30</v>
      </c>
      <c r="B108">
        <v>12</v>
      </c>
      <c r="C108" t="s">
        <v>92</v>
      </c>
      <c r="D108" t="s">
        <v>53</v>
      </c>
      <c r="E108" t="b">
        <v>1</v>
      </c>
      <c r="G108" s="20">
        <v>0.45</v>
      </c>
      <c r="H108" s="20">
        <v>0.2</v>
      </c>
      <c r="I108" s="20">
        <v>0.35</v>
      </c>
      <c r="L108">
        <v>1</v>
      </c>
      <c r="N108">
        <v>1</v>
      </c>
      <c r="R108" t="b">
        <v>1</v>
      </c>
      <c r="S108" s="20">
        <v>0.25</v>
      </c>
      <c r="T108">
        <v>4</v>
      </c>
      <c r="U108" s="20">
        <v>2.9</v>
      </c>
      <c r="V108" s="20">
        <v>3.3</v>
      </c>
      <c r="X108" t="s">
        <v>12</v>
      </c>
      <c r="Y108" t="s">
        <v>1</v>
      </c>
      <c r="Z108">
        <v>200</v>
      </c>
      <c r="AA108">
        <v>365</v>
      </c>
      <c r="AB108">
        <v>450</v>
      </c>
      <c r="AC108">
        <v>1.6E-2</v>
      </c>
    </row>
    <row r="109" spans="1:31" x14ac:dyDescent="0.2">
      <c r="A109" t="s">
        <v>30</v>
      </c>
      <c r="B109">
        <v>12</v>
      </c>
      <c r="C109" t="s">
        <v>92</v>
      </c>
      <c r="D109" t="s">
        <v>53</v>
      </c>
      <c r="E109" t="b">
        <v>1</v>
      </c>
      <c r="G109">
        <v>0.45</v>
      </c>
      <c r="H109">
        <v>0.2</v>
      </c>
      <c r="I109">
        <v>0.35</v>
      </c>
      <c r="L109">
        <v>1</v>
      </c>
      <c r="N109">
        <v>1</v>
      </c>
      <c r="R109" t="b">
        <v>1</v>
      </c>
      <c r="S109">
        <v>0.25</v>
      </c>
      <c r="X109" t="s">
        <v>12</v>
      </c>
      <c r="Y109" t="s">
        <v>2</v>
      </c>
      <c r="Z109">
        <v>200</v>
      </c>
      <c r="AA109">
        <v>265</v>
      </c>
      <c r="AB109">
        <v>315</v>
      </c>
      <c r="AC109">
        <v>0.6</v>
      </c>
    </row>
    <row r="110" spans="1:31" x14ac:dyDescent="0.2">
      <c r="A110" t="s">
        <v>30</v>
      </c>
      <c r="B110">
        <v>12</v>
      </c>
      <c r="C110" t="s">
        <v>92</v>
      </c>
      <c r="D110" t="s">
        <v>53</v>
      </c>
      <c r="E110" t="b">
        <v>1</v>
      </c>
      <c r="G110">
        <v>0.45</v>
      </c>
      <c r="H110">
        <v>0.2</v>
      </c>
      <c r="I110">
        <v>0.35</v>
      </c>
      <c r="L110">
        <v>1</v>
      </c>
      <c r="N110">
        <v>1</v>
      </c>
      <c r="R110" t="b">
        <v>1</v>
      </c>
      <c r="S110">
        <v>0.25</v>
      </c>
      <c r="X110" t="s">
        <v>12</v>
      </c>
      <c r="Y110" t="s">
        <v>54</v>
      </c>
      <c r="Z110">
        <v>200</v>
      </c>
      <c r="AA110">
        <v>100</v>
      </c>
      <c r="AB110">
        <v>130</v>
      </c>
      <c r="AC110" t="s">
        <v>209</v>
      </c>
    </row>
    <row r="111" spans="1:31" x14ac:dyDescent="0.2">
      <c r="A111" t="s">
        <v>30</v>
      </c>
      <c r="B111">
        <v>12</v>
      </c>
      <c r="C111" t="s">
        <v>92</v>
      </c>
      <c r="D111" t="s">
        <v>53</v>
      </c>
      <c r="E111" t="b">
        <v>1</v>
      </c>
      <c r="G111">
        <v>0.45</v>
      </c>
      <c r="H111">
        <v>0.2</v>
      </c>
      <c r="I111">
        <v>0.35</v>
      </c>
      <c r="L111">
        <v>1</v>
      </c>
      <c r="N111">
        <v>1</v>
      </c>
      <c r="R111" t="b">
        <v>1</v>
      </c>
      <c r="S111">
        <v>0.25</v>
      </c>
      <c r="X111" t="s">
        <v>12</v>
      </c>
      <c r="Y111" t="s">
        <v>128</v>
      </c>
      <c r="Z111">
        <v>200</v>
      </c>
      <c r="AA111">
        <v>360</v>
      </c>
      <c r="AB111">
        <v>130</v>
      </c>
      <c r="AC111">
        <v>0.56999999999999995</v>
      </c>
    </row>
    <row r="112" spans="1:31" x14ac:dyDescent="0.2">
      <c r="A112" t="s">
        <v>30</v>
      </c>
      <c r="B112">
        <v>12</v>
      </c>
      <c r="C112" t="s">
        <v>92</v>
      </c>
      <c r="D112" t="s">
        <v>53</v>
      </c>
      <c r="E112" t="b">
        <v>1</v>
      </c>
      <c r="G112">
        <v>0.45</v>
      </c>
      <c r="H112">
        <v>0.2</v>
      </c>
      <c r="I112">
        <v>0.35</v>
      </c>
      <c r="L112">
        <v>1</v>
      </c>
      <c r="N112">
        <v>1</v>
      </c>
      <c r="R112" t="b">
        <v>1</v>
      </c>
      <c r="S112">
        <v>0.25</v>
      </c>
      <c r="X112" t="s">
        <v>12</v>
      </c>
      <c r="Y112" t="s">
        <v>3</v>
      </c>
      <c r="Z112">
        <v>200</v>
      </c>
      <c r="AA112">
        <v>345</v>
      </c>
      <c r="AB112">
        <v>600</v>
      </c>
      <c r="AC112">
        <v>0.1</v>
      </c>
    </row>
    <row r="113" spans="1:31" x14ac:dyDescent="0.2">
      <c r="A113" t="s">
        <v>30</v>
      </c>
      <c r="B113">
        <v>12</v>
      </c>
      <c r="C113" t="s">
        <v>92</v>
      </c>
      <c r="D113" t="s">
        <v>53</v>
      </c>
      <c r="E113" t="b">
        <v>1</v>
      </c>
      <c r="G113">
        <v>0.45</v>
      </c>
      <c r="H113">
        <v>0.2</v>
      </c>
      <c r="I113">
        <v>0.35</v>
      </c>
      <c r="L113">
        <v>1</v>
      </c>
      <c r="N113">
        <v>1</v>
      </c>
      <c r="R113" t="b">
        <v>1</v>
      </c>
      <c r="S113">
        <v>0.25</v>
      </c>
      <c r="X113" t="s">
        <v>12</v>
      </c>
      <c r="Y113" t="s">
        <v>55</v>
      </c>
      <c r="Z113">
        <v>200</v>
      </c>
      <c r="AA113">
        <v>124</v>
      </c>
      <c r="AB113">
        <v>225</v>
      </c>
      <c r="AC113" t="s">
        <v>209</v>
      </c>
    </row>
    <row r="114" spans="1:31" x14ac:dyDescent="0.2">
      <c r="A114" s="16" t="s">
        <v>30</v>
      </c>
      <c r="B114">
        <v>12</v>
      </c>
      <c r="C114" s="16" t="s">
        <v>92</v>
      </c>
      <c r="D114" s="16" t="s">
        <v>53</v>
      </c>
      <c r="E114" s="16" t="b">
        <v>1</v>
      </c>
      <c r="F114" s="16"/>
      <c r="G114" s="16">
        <v>0.45</v>
      </c>
      <c r="H114" s="16">
        <v>0.2</v>
      </c>
      <c r="I114" s="16">
        <v>0.35</v>
      </c>
      <c r="J114" s="16"/>
      <c r="K114" s="16"/>
      <c r="L114" s="16">
        <v>1</v>
      </c>
      <c r="M114" s="16"/>
      <c r="N114" s="16">
        <v>1</v>
      </c>
      <c r="O114" s="16"/>
      <c r="P114" s="16"/>
      <c r="Q114" s="16"/>
      <c r="R114" s="16" t="b">
        <v>1</v>
      </c>
      <c r="S114" s="16">
        <v>0.25</v>
      </c>
      <c r="T114" s="16"/>
      <c r="U114" s="16"/>
      <c r="V114" s="16"/>
      <c r="W114" s="16"/>
      <c r="X114" s="16" t="s">
        <v>12</v>
      </c>
      <c r="Y114" s="16" t="s">
        <v>56</v>
      </c>
      <c r="Z114" s="16">
        <v>200</v>
      </c>
      <c r="AA114" s="16">
        <v>294</v>
      </c>
      <c r="AB114" s="16">
        <v>225</v>
      </c>
      <c r="AC114" s="16">
        <v>0.8</v>
      </c>
      <c r="AD114" s="16"/>
      <c r="AE114" s="16"/>
    </row>
    <row r="115" spans="1:31" x14ac:dyDescent="0.2">
      <c r="A115" t="s">
        <v>35</v>
      </c>
      <c r="B115">
        <v>24</v>
      </c>
      <c r="C115" t="s">
        <v>90</v>
      </c>
      <c r="D115" t="s">
        <v>95</v>
      </c>
      <c r="E115" t="b">
        <v>0</v>
      </c>
      <c r="G115" s="20">
        <v>0.82</v>
      </c>
      <c r="H115" s="20">
        <v>0.08</v>
      </c>
      <c r="I115" s="20">
        <v>0.1</v>
      </c>
      <c r="J115">
        <v>0</v>
      </c>
      <c r="K115">
        <v>0.5</v>
      </c>
      <c r="L115">
        <v>0.5</v>
      </c>
      <c r="M115">
        <v>0</v>
      </c>
      <c r="N115">
        <v>0.5</v>
      </c>
      <c r="O115">
        <v>0</v>
      </c>
      <c r="P115">
        <v>0</v>
      </c>
      <c r="Q115">
        <v>0.5</v>
      </c>
      <c r="R115" t="b">
        <v>0</v>
      </c>
      <c r="T115">
        <v>2.5</v>
      </c>
      <c r="U115">
        <v>3.3</v>
      </c>
      <c r="V115">
        <v>4.4000000000000004</v>
      </c>
      <c r="X115" t="s">
        <v>13</v>
      </c>
      <c r="Y115" t="s">
        <v>1</v>
      </c>
      <c r="Z115">
        <v>200</v>
      </c>
      <c r="AA115">
        <v>365</v>
      </c>
      <c r="AB115">
        <v>540</v>
      </c>
      <c r="AC115">
        <v>1.6E-2</v>
      </c>
    </row>
    <row r="116" spans="1:31" x14ac:dyDescent="0.2">
      <c r="A116" t="s">
        <v>35</v>
      </c>
      <c r="B116">
        <v>24</v>
      </c>
      <c r="C116" t="s">
        <v>90</v>
      </c>
      <c r="D116" t="s">
        <v>95</v>
      </c>
      <c r="E116" t="b">
        <v>0</v>
      </c>
      <c r="G116">
        <v>0.82</v>
      </c>
      <c r="H116">
        <v>0.08</v>
      </c>
      <c r="I116">
        <v>0.1</v>
      </c>
      <c r="J116">
        <v>0</v>
      </c>
      <c r="K116">
        <v>0.5</v>
      </c>
      <c r="L116">
        <v>0.5</v>
      </c>
      <c r="M116">
        <v>0</v>
      </c>
      <c r="N116">
        <v>0.5</v>
      </c>
      <c r="O116">
        <v>0</v>
      </c>
      <c r="P116">
        <v>0</v>
      </c>
      <c r="Q116">
        <v>0.5</v>
      </c>
      <c r="R116" t="b">
        <v>0</v>
      </c>
      <c r="X116" t="s">
        <v>13</v>
      </c>
      <c r="Y116" t="s">
        <v>2</v>
      </c>
      <c r="Z116">
        <v>200</v>
      </c>
      <c r="AA116">
        <v>265</v>
      </c>
      <c r="AB116">
        <v>375</v>
      </c>
      <c r="AC116">
        <v>0.6</v>
      </c>
    </row>
    <row r="117" spans="1:31" x14ac:dyDescent="0.2">
      <c r="A117" t="s">
        <v>35</v>
      </c>
      <c r="B117">
        <v>24</v>
      </c>
      <c r="C117" t="s">
        <v>90</v>
      </c>
      <c r="D117" t="s">
        <v>95</v>
      </c>
      <c r="E117" t="b">
        <v>0</v>
      </c>
      <c r="G117">
        <v>0.82</v>
      </c>
      <c r="H117">
        <v>0.08</v>
      </c>
      <c r="I117">
        <v>0.1</v>
      </c>
      <c r="J117">
        <v>0</v>
      </c>
      <c r="K117">
        <v>0.5</v>
      </c>
      <c r="L117">
        <v>0.5</v>
      </c>
      <c r="M117">
        <v>0</v>
      </c>
      <c r="N117">
        <v>0.5</v>
      </c>
      <c r="O117">
        <v>0</v>
      </c>
      <c r="P117">
        <v>0</v>
      </c>
      <c r="Q117">
        <v>0.5</v>
      </c>
      <c r="R117" t="b">
        <v>0</v>
      </c>
      <c r="X117" t="s">
        <v>13</v>
      </c>
      <c r="Y117" t="s">
        <v>54</v>
      </c>
      <c r="Z117">
        <v>200</v>
      </c>
      <c r="AA117">
        <v>100</v>
      </c>
      <c r="AB117">
        <v>150</v>
      </c>
      <c r="AC117" t="s">
        <v>209</v>
      </c>
    </row>
    <row r="118" spans="1:31" x14ac:dyDescent="0.2">
      <c r="A118" t="s">
        <v>35</v>
      </c>
      <c r="B118">
        <v>24</v>
      </c>
      <c r="C118" t="s">
        <v>90</v>
      </c>
      <c r="D118" t="s">
        <v>95</v>
      </c>
      <c r="E118" t="b">
        <v>0</v>
      </c>
      <c r="G118">
        <v>0.82</v>
      </c>
      <c r="H118">
        <v>0.08</v>
      </c>
      <c r="I118">
        <v>0.1</v>
      </c>
      <c r="J118">
        <v>0</v>
      </c>
      <c r="K118">
        <v>0.5</v>
      </c>
      <c r="L118">
        <v>0.5</v>
      </c>
      <c r="M118">
        <v>0</v>
      </c>
      <c r="N118">
        <v>0.5</v>
      </c>
      <c r="O118">
        <v>0</v>
      </c>
      <c r="P118">
        <v>0</v>
      </c>
      <c r="Q118">
        <v>0.5</v>
      </c>
      <c r="R118" t="b">
        <v>0</v>
      </c>
      <c r="X118" t="s">
        <v>13</v>
      </c>
      <c r="Y118" t="s">
        <v>128</v>
      </c>
      <c r="Z118">
        <v>200</v>
      </c>
      <c r="AA118">
        <v>360</v>
      </c>
      <c r="AB118">
        <v>150</v>
      </c>
      <c r="AC118">
        <v>0.56999999999999995</v>
      </c>
    </row>
    <row r="119" spans="1:31" x14ac:dyDescent="0.2">
      <c r="A119" t="s">
        <v>35</v>
      </c>
      <c r="B119">
        <v>24</v>
      </c>
      <c r="C119" t="s">
        <v>90</v>
      </c>
      <c r="D119" t="s">
        <v>95</v>
      </c>
      <c r="E119" t="b">
        <v>0</v>
      </c>
      <c r="G119">
        <v>0.82</v>
      </c>
      <c r="H119">
        <v>0.08</v>
      </c>
      <c r="I119">
        <v>0.1</v>
      </c>
      <c r="J119">
        <v>0</v>
      </c>
      <c r="K119">
        <v>0.5</v>
      </c>
      <c r="L119">
        <v>0.5</v>
      </c>
      <c r="M119">
        <v>0</v>
      </c>
      <c r="N119">
        <v>0.5</v>
      </c>
      <c r="O119">
        <v>0</v>
      </c>
      <c r="P119">
        <v>0</v>
      </c>
      <c r="Q119">
        <v>0.5</v>
      </c>
      <c r="R119" t="b">
        <v>0</v>
      </c>
      <c r="X119" t="s">
        <v>13</v>
      </c>
      <c r="Y119" t="s">
        <v>3</v>
      </c>
      <c r="Z119">
        <v>200</v>
      </c>
      <c r="AA119">
        <v>345</v>
      </c>
      <c r="AB119">
        <v>600</v>
      </c>
      <c r="AC119">
        <v>0.1</v>
      </c>
    </row>
    <row r="120" spans="1:31" x14ac:dyDescent="0.2">
      <c r="A120" t="s">
        <v>35</v>
      </c>
      <c r="B120">
        <v>24</v>
      </c>
      <c r="C120" t="s">
        <v>90</v>
      </c>
      <c r="D120" t="s">
        <v>95</v>
      </c>
      <c r="E120" t="b">
        <v>0</v>
      </c>
      <c r="G120">
        <v>0.82</v>
      </c>
      <c r="H120">
        <v>0.08</v>
      </c>
      <c r="I120">
        <v>0.1</v>
      </c>
      <c r="J120">
        <v>0</v>
      </c>
      <c r="K120">
        <v>0.5</v>
      </c>
      <c r="L120">
        <v>0.5</v>
      </c>
      <c r="M120">
        <v>0</v>
      </c>
      <c r="N120">
        <v>0.5</v>
      </c>
      <c r="O120">
        <v>0</v>
      </c>
      <c r="P120">
        <v>0</v>
      </c>
      <c r="Q120">
        <v>0.5</v>
      </c>
      <c r="R120" t="b">
        <v>0</v>
      </c>
      <c r="X120" t="s">
        <v>13</v>
      </c>
      <c r="Y120" t="s">
        <v>55</v>
      </c>
      <c r="Z120">
        <v>200</v>
      </c>
      <c r="AA120">
        <v>124</v>
      </c>
      <c r="AB120">
        <v>225</v>
      </c>
      <c r="AC120" t="s">
        <v>209</v>
      </c>
    </row>
    <row r="121" spans="1:31" x14ac:dyDescent="0.2">
      <c r="A121" s="16" t="s">
        <v>35</v>
      </c>
      <c r="B121">
        <v>24</v>
      </c>
      <c r="C121" s="16" t="s">
        <v>90</v>
      </c>
      <c r="D121" s="16" t="s">
        <v>95</v>
      </c>
      <c r="E121" s="16" t="b">
        <v>0</v>
      </c>
      <c r="F121" s="16"/>
      <c r="G121" s="16">
        <v>0.82</v>
      </c>
      <c r="H121" s="16">
        <v>0.08</v>
      </c>
      <c r="I121" s="16">
        <v>0.1</v>
      </c>
      <c r="J121" s="16">
        <v>0</v>
      </c>
      <c r="K121" s="16">
        <v>0.5</v>
      </c>
      <c r="L121" s="16">
        <v>0.5</v>
      </c>
      <c r="M121" s="16">
        <v>0</v>
      </c>
      <c r="N121" s="16">
        <v>0.5</v>
      </c>
      <c r="O121" s="16">
        <v>0</v>
      </c>
      <c r="P121" s="16">
        <v>0</v>
      </c>
      <c r="Q121" s="16">
        <v>0.5</v>
      </c>
      <c r="R121" s="16" t="b">
        <v>0</v>
      </c>
      <c r="S121" s="16"/>
      <c r="T121" s="16"/>
      <c r="U121" s="16"/>
      <c r="V121" s="16"/>
      <c r="W121" s="16"/>
      <c r="X121" s="16" t="s">
        <v>13</v>
      </c>
      <c r="Y121" s="16" t="s">
        <v>56</v>
      </c>
      <c r="Z121" s="16">
        <v>200</v>
      </c>
      <c r="AA121" s="16">
        <v>294</v>
      </c>
      <c r="AB121" s="16">
        <v>225</v>
      </c>
      <c r="AC121" s="16">
        <v>0.8</v>
      </c>
      <c r="AD121" s="16"/>
      <c r="AE121" s="16"/>
    </row>
    <row r="122" spans="1:31" x14ac:dyDescent="0.2">
      <c r="A122" t="s">
        <v>34</v>
      </c>
      <c r="B122">
        <v>17</v>
      </c>
      <c r="C122" t="s">
        <v>91</v>
      </c>
      <c r="D122" t="s">
        <v>95</v>
      </c>
      <c r="E122" t="b">
        <v>1</v>
      </c>
      <c r="G122">
        <v>0.73</v>
      </c>
      <c r="H122">
        <v>0.16</v>
      </c>
      <c r="I122">
        <v>0.11</v>
      </c>
      <c r="J122">
        <v>0.1</v>
      </c>
      <c r="K122">
        <v>0.2</v>
      </c>
      <c r="L122">
        <v>0.3</v>
      </c>
      <c r="M122">
        <v>0.4</v>
      </c>
      <c r="N122">
        <v>0.4</v>
      </c>
      <c r="O122">
        <v>0.3</v>
      </c>
      <c r="P122">
        <v>0.2</v>
      </c>
      <c r="Q122">
        <v>0.1</v>
      </c>
      <c r="R122" t="b">
        <v>0</v>
      </c>
      <c r="W122">
        <v>0.1</v>
      </c>
      <c r="X122" t="s">
        <v>11</v>
      </c>
      <c r="Y122" t="s">
        <v>1</v>
      </c>
      <c r="Z122">
        <v>200</v>
      </c>
      <c r="AA122">
        <v>365</v>
      </c>
      <c r="AB122">
        <v>480</v>
      </c>
      <c r="AC122">
        <v>1.6E-2</v>
      </c>
    </row>
    <row r="123" spans="1:31" x14ac:dyDescent="0.2">
      <c r="A123" t="s">
        <v>34</v>
      </c>
      <c r="B123">
        <v>17</v>
      </c>
      <c r="C123" t="s">
        <v>91</v>
      </c>
      <c r="D123" t="s">
        <v>95</v>
      </c>
      <c r="E123" t="b">
        <v>1</v>
      </c>
      <c r="G123">
        <v>0.73</v>
      </c>
      <c r="H123">
        <v>0.16</v>
      </c>
      <c r="I123">
        <v>0.11</v>
      </c>
      <c r="J123">
        <v>0.1</v>
      </c>
      <c r="K123">
        <v>0.2</v>
      </c>
      <c r="L123">
        <v>0.3</v>
      </c>
      <c r="M123">
        <v>0.4</v>
      </c>
      <c r="N123">
        <v>0.4</v>
      </c>
      <c r="O123">
        <v>0.3</v>
      </c>
      <c r="P123">
        <v>0.2</v>
      </c>
      <c r="Q123">
        <v>0.1</v>
      </c>
      <c r="R123" t="b">
        <v>0</v>
      </c>
      <c r="X123" t="s">
        <v>11</v>
      </c>
      <c r="Y123" t="s">
        <v>2</v>
      </c>
      <c r="Z123">
        <v>200</v>
      </c>
      <c r="AA123">
        <v>265</v>
      </c>
      <c r="AB123">
        <v>335</v>
      </c>
      <c r="AC123">
        <v>0.6</v>
      </c>
    </row>
    <row r="124" spans="1:31" x14ac:dyDescent="0.2">
      <c r="A124" t="s">
        <v>34</v>
      </c>
      <c r="B124">
        <v>17</v>
      </c>
      <c r="C124" t="s">
        <v>91</v>
      </c>
      <c r="D124" t="s">
        <v>95</v>
      </c>
      <c r="E124" t="b">
        <v>1</v>
      </c>
      <c r="G124">
        <v>0.73</v>
      </c>
      <c r="H124">
        <v>0.16</v>
      </c>
      <c r="I124">
        <v>0.11</v>
      </c>
      <c r="J124">
        <v>0.1</v>
      </c>
      <c r="K124">
        <v>0.2</v>
      </c>
      <c r="L124">
        <v>0.3</v>
      </c>
      <c r="M124">
        <v>0.4</v>
      </c>
      <c r="N124">
        <v>0.4</v>
      </c>
      <c r="O124">
        <v>0.3</v>
      </c>
      <c r="P124">
        <v>0.2</v>
      </c>
      <c r="Q124">
        <v>0.1</v>
      </c>
      <c r="R124" t="b">
        <v>0</v>
      </c>
      <c r="X124" t="s">
        <v>11</v>
      </c>
      <c r="Y124" t="s">
        <v>54</v>
      </c>
      <c r="Z124">
        <v>200</v>
      </c>
      <c r="AA124">
        <v>100</v>
      </c>
      <c r="AB124">
        <v>140</v>
      </c>
      <c r="AC124" t="s">
        <v>209</v>
      </c>
    </row>
    <row r="125" spans="1:31" x14ac:dyDescent="0.2">
      <c r="A125" t="s">
        <v>34</v>
      </c>
      <c r="B125">
        <v>17</v>
      </c>
      <c r="C125" t="s">
        <v>91</v>
      </c>
      <c r="D125" t="s">
        <v>95</v>
      </c>
      <c r="E125" t="b">
        <v>1</v>
      </c>
      <c r="G125">
        <v>0.73</v>
      </c>
      <c r="H125">
        <v>0.16</v>
      </c>
      <c r="I125">
        <v>0.11</v>
      </c>
      <c r="J125">
        <v>0.1</v>
      </c>
      <c r="K125">
        <v>0.2</v>
      </c>
      <c r="L125">
        <v>0.3</v>
      </c>
      <c r="M125">
        <v>0.4</v>
      </c>
      <c r="N125">
        <v>0.4</v>
      </c>
      <c r="O125">
        <v>0.3</v>
      </c>
      <c r="P125">
        <v>0.2</v>
      </c>
      <c r="Q125">
        <v>0.1</v>
      </c>
      <c r="R125" t="b">
        <v>0</v>
      </c>
      <c r="X125" t="s">
        <v>11</v>
      </c>
      <c r="Y125" t="s">
        <v>128</v>
      </c>
      <c r="Z125">
        <v>200</v>
      </c>
      <c r="AA125">
        <v>360</v>
      </c>
      <c r="AB125">
        <v>140</v>
      </c>
      <c r="AC125">
        <v>0.56999999999999995</v>
      </c>
    </row>
    <row r="126" spans="1:31" x14ac:dyDescent="0.2">
      <c r="A126" t="s">
        <v>34</v>
      </c>
      <c r="B126">
        <v>17</v>
      </c>
      <c r="C126" t="s">
        <v>91</v>
      </c>
      <c r="D126" t="s">
        <v>95</v>
      </c>
      <c r="E126" t="b">
        <v>1</v>
      </c>
      <c r="G126">
        <v>0.73</v>
      </c>
      <c r="H126">
        <v>0.16</v>
      </c>
      <c r="I126">
        <v>0.11</v>
      </c>
      <c r="J126">
        <v>0.1</v>
      </c>
      <c r="K126">
        <v>0.2</v>
      </c>
      <c r="L126">
        <v>0.3</v>
      </c>
      <c r="M126">
        <v>0.4</v>
      </c>
      <c r="N126">
        <v>0.4</v>
      </c>
      <c r="O126">
        <v>0.3</v>
      </c>
      <c r="P126">
        <v>0.2</v>
      </c>
      <c r="Q126">
        <v>0.1</v>
      </c>
      <c r="R126" t="b">
        <v>0</v>
      </c>
      <c r="X126" t="s">
        <v>11</v>
      </c>
      <c r="Y126" t="s">
        <v>3</v>
      </c>
      <c r="Z126">
        <v>200</v>
      </c>
      <c r="AA126">
        <v>345</v>
      </c>
      <c r="AB126">
        <v>600</v>
      </c>
      <c r="AC126">
        <v>0.1</v>
      </c>
    </row>
    <row r="127" spans="1:31" x14ac:dyDescent="0.2">
      <c r="A127" t="s">
        <v>34</v>
      </c>
      <c r="B127">
        <v>17</v>
      </c>
      <c r="C127" t="s">
        <v>91</v>
      </c>
      <c r="D127" t="s">
        <v>95</v>
      </c>
      <c r="E127" t="b">
        <v>1</v>
      </c>
      <c r="G127">
        <v>0.73</v>
      </c>
      <c r="H127">
        <v>0.16</v>
      </c>
      <c r="I127">
        <v>0.11</v>
      </c>
      <c r="J127">
        <v>0.1</v>
      </c>
      <c r="K127">
        <v>0.2</v>
      </c>
      <c r="L127">
        <v>0.3</v>
      </c>
      <c r="M127">
        <v>0.4</v>
      </c>
      <c r="N127">
        <v>0.4</v>
      </c>
      <c r="O127">
        <v>0.3</v>
      </c>
      <c r="P127">
        <v>0.2</v>
      </c>
      <c r="Q127">
        <v>0.1</v>
      </c>
      <c r="R127" t="b">
        <v>0</v>
      </c>
      <c r="X127" t="s">
        <v>11</v>
      </c>
      <c r="Y127" t="s">
        <v>55</v>
      </c>
      <c r="Z127">
        <v>200</v>
      </c>
      <c r="AA127">
        <v>124</v>
      </c>
      <c r="AB127">
        <v>225</v>
      </c>
      <c r="AC127" t="s">
        <v>209</v>
      </c>
    </row>
    <row r="128" spans="1:31" x14ac:dyDescent="0.2">
      <c r="A128" s="16" t="s">
        <v>34</v>
      </c>
      <c r="B128">
        <v>17</v>
      </c>
      <c r="C128" s="16" t="s">
        <v>91</v>
      </c>
      <c r="D128" s="16" t="s">
        <v>95</v>
      </c>
      <c r="E128" s="16" t="b">
        <v>1</v>
      </c>
      <c r="F128" s="16"/>
      <c r="G128" s="16">
        <v>0.73</v>
      </c>
      <c r="H128" s="16">
        <v>0.16</v>
      </c>
      <c r="I128" s="16">
        <v>0.11</v>
      </c>
      <c r="J128" s="16">
        <v>0.1</v>
      </c>
      <c r="K128" s="16">
        <v>0.2</v>
      </c>
      <c r="L128" s="16">
        <v>0.3</v>
      </c>
      <c r="M128" s="16">
        <v>0.4</v>
      </c>
      <c r="N128" s="16">
        <v>0.4</v>
      </c>
      <c r="O128" s="16">
        <v>0.3</v>
      </c>
      <c r="P128" s="16">
        <v>0.2</v>
      </c>
      <c r="Q128" s="16">
        <v>0.1</v>
      </c>
      <c r="R128" s="16" t="b">
        <v>0</v>
      </c>
      <c r="S128" s="16"/>
      <c r="T128" s="16"/>
      <c r="U128" s="16"/>
      <c r="V128" s="16"/>
      <c r="W128" s="16"/>
      <c r="X128" s="16" t="s">
        <v>11</v>
      </c>
      <c r="Y128" s="16" t="s">
        <v>56</v>
      </c>
      <c r="Z128" s="16">
        <v>200</v>
      </c>
      <c r="AA128" s="16">
        <v>294</v>
      </c>
      <c r="AB128" s="16">
        <v>225</v>
      </c>
      <c r="AC128" s="16">
        <v>0.8</v>
      </c>
      <c r="AD128" s="16"/>
      <c r="AE128" s="1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B549-5CAF-2348-830E-0C8D8ECB4C0C}">
  <dimension ref="A1:BO63"/>
  <sheetViews>
    <sheetView topLeftCell="AQ1" workbookViewId="0">
      <selection activeCell="AS10" sqref="AS10"/>
    </sheetView>
  </sheetViews>
  <sheetFormatPr baseColWidth="10" defaultRowHeight="16" x14ac:dyDescent="0.2"/>
  <cols>
    <col min="43" max="43" width="22.5" customWidth="1"/>
    <col min="60" max="60" width="12.33203125" customWidth="1"/>
    <col min="65" max="65" width="15.83203125" customWidth="1"/>
  </cols>
  <sheetData>
    <row r="1" spans="1:67" x14ac:dyDescent="0.2">
      <c r="A1" t="s">
        <v>207</v>
      </c>
    </row>
    <row r="3" spans="1:67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</row>
    <row r="4" spans="1:67" x14ac:dyDescent="0.2">
      <c r="AV4" s="18"/>
    </row>
    <row r="5" spans="1:67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</row>
    <row r="6" spans="1:67" x14ac:dyDescent="0.2">
      <c r="U6" t="s">
        <v>132</v>
      </c>
      <c r="V6" t="s">
        <v>132</v>
      </c>
      <c r="W6" t="s">
        <v>80</v>
      </c>
      <c r="AK6" t="s">
        <v>80</v>
      </c>
      <c r="BN6" t="s">
        <v>158</v>
      </c>
      <c r="BO6" t="s">
        <v>159</v>
      </c>
    </row>
    <row r="7" spans="1:67" s="16" customFormat="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129</v>
      </c>
      <c r="U7" s="10" t="s">
        <v>82</v>
      </c>
      <c r="V7" s="10" t="s">
        <v>83</v>
      </c>
      <c r="W7" s="10" t="s">
        <v>79</v>
      </c>
      <c r="X7" s="10"/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  <c r="AF7" s="10" t="s">
        <v>67</v>
      </c>
      <c r="AG7" s="10" t="s">
        <v>68</v>
      </c>
      <c r="AH7" s="10" t="s">
        <v>69</v>
      </c>
      <c r="AI7" s="10" t="s">
        <v>70</v>
      </c>
      <c r="AJ7" s="10" t="s">
        <v>138</v>
      </c>
      <c r="AK7" s="10" t="s">
        <v>134</v>
      </c>
      <c r="AL7" s="10"/>
      <c r="AM7" s="10" t="s">
        <v>124</v>
      </c>
      <c r="AN7" s="10" t="s">
        <v>125</v>
      </c>
      <c r="AO7" s="10" t="s">
        <v>127</v>
      </c>
      <c r="AP7" s="10" t="s">
        <v>136</v>
      </c>
      <c r="AQ7" s="10" t="s">
        <v>137</v>
      </c>
      <c r="AR7" s="10" t="s">
        <v>98</v>
      </c>
      <c r="AS7" s="10" t="s">
        <v>97</v>
      </c>
      <c r="AT7" s="10" t="s">
        <v>113</v>
      </c>
      <c r="AU7" s="10" t="s">
        <v>116</v>
      </c>
      <c r="AV7" s="10" t="s">
        <v>141</v>
      </c>
      <c r="AW7" s="10" t="s">
        <v>142</v>
      </c>
      <c r="AX7" s="10" t="s">
        <v>143</v>
      </c>
      <c r="AY7" s="10" t="s">
        <v>144</v>
      </c>
      <c r="AZ7" s="10" t="s">
        <v>145</v>
      </c>
      <c r="BA7" s="10" t="s">
        <v>146</v>
      </c>
      <c r="BB7" s="10" t="s">
        <v>148</v>
      </c>
      <c r="BC7" s="10" t="s">
        <v>149</v>
      </c>
      <c r="BD7" s="10" t="s">
        <v>147</v>
      </c>
      <c r="BE7" s="10" t="s">
        <v>150</v>
      </c>
      <c r="BF7" s="10" t="s">
        <v>114</v>
      </c>
      <c r="BG7" s="10" t="s">
        <v>115</v>
      </c>
      <c r="BH7" s="10" t="s">
        <v>151</v>
      </c>
      <c r="BI7" s="10" t="s">
        <v>154</v>
      </c>
      <c r="BJ7" s="10" t="s">
        <v>155</v>
      </c>
      <c r="BK7" s="10" t="s">
        <v>152</v>
      </c>
      <c r="BL7" s="10" t="s">
        <v>153</v>
      </c>
      <c r="BM7" s="10" t="s">
        <v>112</v>
      </c>
      <c r="BN7" s="15" t="s">
        <v>157</v>
      </c>
      <c r="BO7" s="15" t="s">
        <v>156</v>
      </c>
    </row>
    <row r="8" spans="1:67" x14ac:dyDescent="0.2">
      <c r="A8" t="str">
        <f>'Input Scenarios'!A8</f>
        <v>NSW</v>
      </c>
      <c r="B8">
        <f>'Input Scenarios'!B8</f>
        <v>0</v>
      </c>
      <c r="C8" t="str">
        <f>'Input Scenarios'!C8</f>
        <v>Non-irrigated pasture</v>
      </c>
      <c r="D8" t="str">
        <f>'Input Scenarios'!D8</f>
        <v>wet</v>
      </c>
      <c r="E8" t="b">
        <f>'Input Scenarios'!E8</f>
        <v>0</v>
      </c>
      <c r="F8" t="str">
        <f>'Input Scenarios'!F8</f>
        <v>Limited grazing</v>
      </c>
      <c r="G8">
        <f>IF('Input Scenarios'!G8&lt;&gt;"", 'Input Scenarios'!G8, _xlfn.XLOOKUP($F8, Constants!$M$6:$M$9,Constants!N$6:N$9))</f>
        <v>0.53400000000000003</v>
      </c>
      <c r="H8">
        <f>IF('Input Scenarios'!H8&lt;&gt;"", 'Input Scenarios'!H8, _xlfn.XLOOKUP($F8, Constants!$M$6:$M$9,Constants!O$6:O$9))</f>
        <v>0.11</v>
      </c>
      <c r="I8">
        <f>IF('Input Scenarios'!I8&lt;&gt;"", 'Input Scenarios'!I8, _xlfn.XLOOKUP($F8, Constants!$M$6:$M$9,Constants!P$6:P$9))</f>
        <v>0.35599999999999998</v>
      </c>
      <c r="J8">
        <f>'Input Scenarios'!J8</f>
        <v>0.25</v>
      </c>
      <c r="K8">
        <f>'Input Scenarios'!K8</f>
        <v>0.25</v>
      </c>
      <c r="L8">
        <f>'Input Scenarios'!L8</f>
        <v>0.25</v>
      </c>
      <c r="M8">
        <f>'Input Scenarios'!M8</f>
        <v>0.25</v>
      </c>
      <c r="N8">
        <f>'Input Scenarios'!N8</f>
        <v>0.25</v>
      </c>
      <c r="O8">
        <f>'Input Scenarios'!O8</f>
        <v>0.25</v>
      </c>
      <c r="P8">
        <f>'Input Scenarios'!P8</f>
        <v>0.25</v>
      </c>
      <c r="Q8">
        <f>'Input Scenarios'!Q8</f>
        <v>0.25</v>
      </c>
      <c r="R8" t="b">
        <f>'Input Scenarios'!R8</f>
        <v>1</v>
      </c>
      <c r="S8">
        <f>IF('Input Scenarios'!S8&lt;&gt;"", 'Input Scenarios'!S8, IF(R8, Constants!$B$38, 0))</f>
        <v>0.2</v>
      </c>
      <c r="T8" t="str">
        <f>IF('Input Scenarios'!T8&lt;&gt;"", 'Input Scenarios'!T8, "")</f>
        <v/>
      </c>
      <c r="U8" t="str">
        <f>IF('Input Scenarios'!U8&lt;&gt;"", 'Input Scenarios'!U8, IF(W8&lt;&gt;"", "", Constants!$B$39))</f>
        <v/>
      </c>
      <c r="V8" t="str">
        <f>IF('Input Scenarios'!V8&lt;&gt;"", 'Input Scenarios'!V8, IF(W8&lt;&gt;"", "", Constants!$B$40))</f>
        <v/>
      </c>
      <c r="W8">
        <f>IF('Input Scenarios'!W8&lt;&gt;"", 'Input Scenarios'!W8, "")</f>
        <v>15</v>
      </c>
      <c r="X8" t="str">
        <f>'Input Scenarios'!X8</f>
        <v>Medium Friesian</v>
      </c>
      <c r="Y8" t="str">
        <f>'Input Scenarios'!Y8</f>
        <v>milkingCows</v>
      </c>
      <c r="Z8">
        <f>'Input Scenarios'!Z8</f>
        <v>200</v>
      </c>
      <c r="AA8">
        <f>IF('Input Scenarios'!AA8&lt;&gt;"", 'Input Scenarios'!AA8, _xlfn.XLOOKUP(Y8,Constants!$J$6:$J$12,Constants!$K$6:$K$12))</f>
        <v>365</v>
      </c>
      <c r="AB8">
        <f>IF('Input Scenarios'!AB8&lt;&gt;"", 'Input Scenarios'!AB8, INDEX(Constants!$B$2:$H$11, MATCH(X8, Constants!$A$2:$A$11, 0), MATCH(Y8,Constants!$B$1:$H$1, 0)))</f>
        <v>550</v>
      </c>
      <c r="AC8">
        <f>IF('Input Scenarios'!AC8&lt;&gt;"", 'Input Scenarios'!AC8, _xlfn.XLOOKUP(Y8, Constants!$B$13:$H$13, Constants!$B$15:$H$15, ""))</f>
        <v>1.6E-2</v>
      </c>
      <c r="AD8">
        <f>IF('Input Scenarios'!AD8&lt;&gt;"", 'Input Scenarios'!AD8, Constants!$B$45)</f>
        <v>0.75</v>
      </c>
      <c r="AE8">
        <f>IF('Input Scenarios'!AE8&lt;&gt;"", 'Input Scenarios'!AE8, Constants!$B$46)</f>
        <v>0.2</v>
      </c>
      <c r="AF8" s="20">
        <f>IF($Y8="milkingCows",($H8*J8)+($I8*N8), 0)</f>
        <v>0.11649999999999999</v>
      </c>
      <c r="AG8" s="20">
        <f t="shared" ref="AG8:AI8" si="0">IF($Y8="milkingCows",($H8*K8)+($I8*O8), 0)</f>
        <v>0.11649999999999999</v>
      </c>
      <c r="AH8" s="20">
        <f t="shared" si="0"/>
        <v>0.11649999999999999</v>
      </c>
      <c r="AI8" s="20">
        <f t="shared" si="0"/>
        <v>0.11649999999999999</v>
      </c>
      <c r="AJ8" s="20">
        <f>IF($Y8="milkingCows",G8, 1)</f>
        <v>0.53400000000000003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0.5948500000000001</v>
      </c>
      <c r="AQ8" s="18">
        <f>(AK8*AL8*AM8)/(AN8*AO8*AP8)</f>
        <v>7.1849041227053947</v>
      </c>
      <c r="AR8">
        <f>IF(Y8="milkingCows", Constants!$P$2, Constants!$P$3)</f>
        <v>1.1000000000000001</v>
      </c>
      <c r="AS8" s="18">
        <f>IFERROR(((((1.185 + (0.00454*AB8) - (0.0000026*(AB8^2)) + (0.315*AC8))^2)*AR8)+AQ8), "")</f>
        <v>16.439349643465398</v>
      </c>
      <c r="AT8">
        <f>Constants!$B$47</f>
        <v>0.08</v>
      </c>
      <c r="AU8">
        <f>IFERROR((AS8*(1-AD8)+(0.04*AS8))*(1-AT8), "")</f>
        <v>4.3860184848765691</v>
      </c>
      <c r="AV8">
        <f>AF8*(1-S8)</f>
        <v>9.3200000000000005E-2</v>
      </c>
      <c r="AW8">
        <f>AG8</f>
        <v>0.11649999999999999</v>
      </c>
      <c r="AX8">
        <f>AH8</f>
        <v>0.11649999999999999</v>
      </c>
      <c r="AY8">
        <f>AI8+(AF8*S8)</f>
        <v>0.13979999999999998</v>
      </c>
      <c r="AZ8">
        <f t="shared" ref="AZ8" si="1">AJ8</f>
        <v>0.53400000000000003</v>
      </c>
      <c r="BA8">
        <f>_xlfn.XLOOKUP($A8, Constants!$E$18:$L$18,Constants!$E$19:$L$19)</f>
        <v>0.76</v>
      </c>
      <c r="BB8">
        <f>_xlfn.XLOOKUP($A8, Constants!$E$18:$L$18,Constants!$E$20:$L$20)</f>
        <v>5.0000000000000001E-3</v>
      </c>
      <c r="BC8">
        <f>_xlfn.XLOOKUP($A8, Constants!$E$18:$L$18,Constants!$E$21:$L$21)</f>
        <v>0.18</v>
      </c>
      <c r="BD8">
        <f>_xlfn.XLOOKUP($A8, Constants!$E$18:$L$18,Constants!$E$22:$L$22)</f>
        <v>0.02</v>
      </c>
      <c r="BE8">
        <f>_xlfn.XLOOKUP($A8, Constants!$E$18:$L$18,Constants!$E$23:$L$23)</f>
        <v>0.01</v>
      </c>
      <c r="BF8">
        <f>Constants!$B$48</f>
        <v>0.24</v>
      </c>
      <c r="BG8">
        <f>Constants!$B$49</f>
        <v>0.6784</v>
      </c>
      <c r="BH8">
        <f>IF(ISNUMBER(FIND("PreWeaned",$Y8)), "", $AU8*AV8*BA8*$BF8*$BG8)</f>
        <v>5.0582121830403656E-2</v>
      </c>
      <c r="BI8">
        <f t="shared" ref="BI8:BL8" si="2">IF(ISNUMBER(FIND("PreWeaned",$Y8)), "", $AU8*AW8*BB8*$BF8*$BG8)</f>
        <v>4.1597139663160896E-4</v>
      </c>
      <c r="BJ8">
        <f t="shared" si="2"/>
        <v>1.4974970278737921E-2</v>
      </c>
      <c r="BK8">
        <f t="shared" si="2"/>
        <v>1.9966627038317227E-3</v>
      </c>
      <c r="BL8">
        <f t="shared" si="2"/>
        <v>3.813368683283763E-3</v>
      </c>
      <c r="BM8" t="str">
        <f>IF(ISNUMBER(FIND("PreWeaned",Y8)),_xlfn.XLOOKUP(Y8,Constants!$J$2:$J$3,Constants!$K$2:$K$3), "")</f>
        <v/>
      </c>
      <c r="BN8">
        <f>Z8*AA8*SUM(BH8:BM8)</f>
        <v>5240.165927180873</v>
      </c>
      <c r="BO8">
        <f>SUM(BN8:BN14)/1000</f>
        <v>6.6304736675874389</v>
      </c>
    </row>
    <row r="9" spans="1:67" x14ac:dyDescent="0.2">
      <c r="A9" t="str">
        <f>'Input Scenarios'!A9</f>
        <v>NSW</v>
      </c>
      <c r="B9">
        <f>'Input Scenarios'!B9</f>
        <v>0</v>
      </c>
      <c r="C9" t="str">
        <f>'Input Scenarios'!C9</f>
        <v>Non-irrigated pasture</v>
      </c>
      <c r="D9" t="str">
        <f>'Input Scenarios'!D9</f>
        <v>wet</v>
      </c>
      <c r="E9" t="b">
        <f>'Input Scenarios'!E9</f>
        <v>0</v>
      </c>
      <c r="F9" t="str">
        <f>'Input Scenarios'!F9</f>
        <v>Limited grazing</v>
      </c>
      <c r="G9">
        <f>IF('Input Scenarios'!G9&lt;&gt;"", 'Input Scenarios'!G9, _xlfn.XLOOKUP($F9, Constants!$M$6:$M$9,Constants!N$6:N$9))</f>
        <v>0.53400000000000003</v>
      </c>
      <c r="H9">
        <f>IF('Input Scenarios'!H9&lt;&gt;"", 'Input Scenarios'!H9, _xlfn.XLOOKUP($F9, Constants!$M$6:$M$9,Constants!O$6:O$9))</f>
        <v>0.11</v>
      </c>
      <c r="I9">
        <f>IF('Input Scenarios'!I9&lt;&gt;"", 'Input Scenarios'!I9, _xlfn.XLOOKUP($F9, Constants!$M$6:$M$9,Constants!P$6:P$9))</f>
        <v>0.35599999999999998</v>
      </c>
      <c r="J9">
        <f>'Input Scenarios'!J9</f>
        <v>0.25</v>
      </c>
      <c r="K9">
        <f>'Input Scenarios'!K9</f>
        <v>0.25</v>
      </c>
      <c r="L9">
        <f>'Input Scenarios'!L9</f>
        <v>0.25</v>
      </c>
      <c r="M9">
        <f>'Input Scenarios'!M9</f>
        <v>0.25</v>
      </c>
      <c r="N9">
        <f>'Input Scenarios'!N9</f>
        <v>0.25</v>
      </c>
      <c r="O9">
        <f>'Input Scenarios'!O9</f>
        <v>0.25</v>
      </c>
      <c r="P9">
        <f>'Input Scenarios'!P9</f>
        <v>0.25</v>
      </c>
      <c r="Q9">
        <f>'Input Scenarios'!Q9</f>
        <v>0.25</v>
      </c>
      <c r="R9" t="b">
        <f>'Input Scenarios'!R9</f>
        <v>1</v>
      </c>
      <c r="S9">
        <f>IF('Input Scenarios'!S9&lt;&gt;"", 'Input Scenarios'!S9, IF(R9, Constants!$B$38, 0))</f>
        <v>0.2</v>
      </c>
      <c r="T9" t="str">
        <f>IF('Input Scenarios'!T9&lt;&gt;"", 'Input Scenarios'!T9, "")</f>
        <v/>
      </c>
      <c r="U9">
        <f>IF('Input Scenarios'!U9&lt;&gt;"", 'Input Scenarios'!U9, IF(W9&lt;&gt;"", "", Constants!$B$39))</f>
        <v>4</v>
      </c>
      <c r="V9">
        <f>IF('Input Scenarios'!V9&lt;&gt;"", 'Input Scenarios'!V9, IF(W9&lt;&gt;"", "", Constants!$B$40))</f>
        <v>3.3</v>
      </c>
      <c r="W9" t="str">
        <f>IF('Input Scenarios'!W9&lt;&gt;"", 'Input Scenarios'!W9, "")</f>
        <v/>
      </c>
      <c r="X9" t="str">
        <f>'Input Scenarios'!X9</f>
        <v>Medium Friesian</v>
      </c>
      <c r="Y9" t="str">
        <f>'Input Scenarios'!Y9</f>
        <v>heifersGt1</v>
      </c>
      <c r="Z9">
        <f>'Input Scenarios'!Z9</f>
        <v>200</v>
      </c>
      <c r="AA9">
        <f>IF('Input Scenarios'!AA9&lt;&gt;"", 'Input Scenarios'!AA9, _xlfn.XLOOKUP(Y9,Constants!$J$6:$J$12,Constants!$K$6:$K$12))</f>
        <v>365</v>
      </c>
      <c r="AB9">
        <f>IF('Input Scenarios'!AB9&lt;&gt;"", 'Input Scenarios'!AB9, INDEX(Constants!$B$2:$H$11, MATCH(X9, Constants!$A$2:$A$11, 0), MATCH(Y9,Constants!$B$1:$H$1, 0)))</f>
        <v>380</v>
      </c>
      <c r="AC9">
        <f>IF('Input Scenarios'!AC9&lt;&gt;"", 'Input Scenarios'!AC9, _xlfn.XLOOKUP(Y9, Constants!$B$13:$H$13, Constants!$B$15:$H$15, ""))</f>
        <v>0.6</v>
      </c>
      <c r="AD9">
        <f>IF('Input Scenarios'!AD9&lt;&gt;"", 'Input Scenarios'!AD9, Constants!$B$45)</f>
        <v>0.75</v>
      </c>
      <c r="AE9">
        <f>IF('Input Scenarios'!AE9&lt;&gt;"", 'Input Scenarios'!AE9, Constants!$B$46)</f>
        <v>0.2</v>
      </c>
      <c r="AF9">
        <f t="shared" ref="AF9:AF15" si="3">IF($Y9="milkingCows",($H9*J9)+($I9*N9), 0)</f>
        <v>0</v>
      </c>
      <c r="AG9">
        <f t="shared" ref="AG9:AG15" si="4">IF($Y9="milkingCows",($H9*K9)+($I9*O9), 0)</f>
        <v>0</v>
      </c>
      <c r="AH9">
        <f t="shared" ref="AH9:AH15" si="5">IF($Y9="milkingCows",($H9*L9)+($I9*P9), 0)</f>
        <v>0</v>
      </c>
      <c r="AI9">
        <f t="shared" ref="AI9:AI15" si="6">IF($Y9="milkingCows",($H9*M9)+($I9*Q9), 0)</f>
        <v>0</v>
      </c>
      <c r="AJ9">
        <f t="shared" ref="AJ9:AJ15" si="7">IF($Y9="milkingCows",G9, 1)</f>
        <v>1</v>
      </c>
      <c r="AK9">
        <f t="shared" ref="AK9:AK13" si="8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14" si="9">0.795*(AD9)-0.0014</f>
        <v>0.5948500000000001</v>
      </c>
      <c r="AQ9">
        <f t="shared" ref="AQ9:AQ14" si="10">(AK9*AL9*AM9)/(AN9*AO9*AP9)</f>
        <v>0</v>
      </c>
      <c r="AR9">
        <f>IF(Y9="milkingCows", Constants!$P$2, Constants!$P$3)</f>
        <v>1</v>
      </c>
      <c r="AS9" s="18">
        <f t="shared" ref="AS9:AS14" si="11">IFERROR(((((1.185 + (0.00454*AB9) - (0.0000026*(AB9^2)) + (0.315*AC9))^2)*AR9)+AQ9), "")</f>
        <v>7.4188685375999972</v>
      </c>
      <c r="AT9">
        <f>Constants!$B$47</f>
        <v>0.08</v>
      </c>
      <c r="AU9">
        <f>IFERROR((AS9*(1-AD9)+(0.04*AS9))*(1-AT9), "")</f>
        <v>1.9793541258316791</v>
      </c>
      <c r="AV9">
        <f t="shared" ref="AV9:AV14" si="12">AF9*(1-S9)</f>
        <v>0</v>
      </c>
      <c r="AW9">
        <f t="shared" ref="AW9:AW14" si="13">AG9</f>
        <v>0</v>
      </c>
      <c r="AX9">
        <f t="shared" ref="AX9:AX14" si="14">AH9</f>
        <v>0</v>
      </c>
      <c r="AY9">
        <f t="shared" ref="AY9:AY14" si="15">AI9+(AF9*S9)</f>
        <v>0</v>
      </c>
      <c r="AZ9">
        <f t="shared" ref="AZ9:AZ14" si="16">AJ9</f>
        <v>1</v>
      </c>
      <c r="BA9">
        <f>_xlfn.XLOOKUP($A9, Constants!$E$18:$L$18,Constants!$E$19:$L$19)</f>
        <v>0.76</v>
      </c>
      <c r="BB9">
        <f>_xlfn.XLOOKUP($A9, Constants!$E$18:$L$18,Constants!$E$20:$L$20)</f>
        <v>5.0000000000000001E-3</v>
      </c>
      <c r="BC9">
        <f>_xlfn.XLOOKUP($A9, Constants!$E$18:$L$18,Constants!$E$21:$L$21)</f>
        <v>0.18</v>
      </c>
      <c r="BD9">
        <f>_xlfn.XLOOKUP($A9, Constants!$E$18:$L$18,Constants!$E$22:$L$22)</f>
        <v>0.02</v>
      </c>
      <c r="BE9">
        <f>_xlfn.XLOOKUP($A9, Constants!$E$18:$L$18,Constants!$E$23:$L$23)</f>
        <v>0.01</v>
      </c>
      <c r="BF9">
        <f>Constants!$B$48</f>
        <v>0.24</v>
      </c>
      <c r="BG9">
        <f>Constants!$B$49</f>
        <v>0.6784</v>
      </c>
      <c r="BH9">
        <f t="shared" ref="BH9:BH14" si="17">IF(ISNUMBER(FIND("PreWeaned",$Y9)), "", $AU9*AV9*BA9*$BF9*$BG9)</f>
        <v>0</v>
      </c>
      <c r="BI9">
        <f t="shared" ref="BI9:BI14" si="18">IF(ISNUMBER(FIND("PreWeaned",$Y9)), "", $AU9*AW9*BB9*$BF9*$BG9)</f>
        <v>0</v>
      </c>
      <c r="BJ9">
        <f t="shared" ref="BJ9:BJ14" si="19">IF(ISNUMBER(FIND("PreWeaned",$Y9)), "", $AU9*AX9*BC9*$BF9*$BG9)</f>
        <v>0</v>
      </c>
      <c r="BK9">
        <f t="shared" ref="BK9:BK14" si="20">IF(ISNUMBER(FIND("PreWeaned",$Y9)), "", $AU9*AY9*BD9*$BF9*$BG9)</f>
        <v>0</v>
      </c>
      <c r="BL9">
        <f t="shared" ref="BL9:BL14" si="21">IF(ISNUMBER(FIND("PreWeaned",$Y9)), "", $AU9*AZ9*BE9*$BF9*$BG9)</f>
        <v>3.2227052135141068E-3</v>
      </c>
      <c r="BM9" t="str">
        <f>IF(ISNUMBER(FIND("PreWeaned",Y9)),_xlfn.XLOOKUP(Y9,Constants!$J$2:$J$3,Constants!$K$2:$K$3), "")</f>
        <v/>
      </c>
      <c r="BN9">
        <f t="shared" ref="BN9:BN14" si="22">Z9*AA9*SUM(BH9:BM9)</f>
        <v>235.25748058652979</v>
      </c>
    </row>
    <row r="10" spans="1:67" x14ac:dyDescent="0.2">
      <c r="A10" t="str">
        <f>'Input Scenarios'!A10</f>
        <v>NSW</v>
      </c>
      <c r="B10">
        <f>'Input Scenarios'!B10</f>
        <v>0</v>
      </c>
      <c r="C10" t="str">
        <f>'Input Scenarios'!C10</f>
        <v>Non-irrigated pasture</v>
      </c>
      <c r="D10" t="str">
        <f>'Input Scenarios'!D10</f>
        <v>wet</v>
      </c>
      <c r="E10" t="b">
        <f>'Input Scenarios'!E10</f>
        <v>0</v>
      </c>
      <c r="F10" t="str">
        <f>'Input Scenarios'!F10</f>
        <v>Limited grazing</v>
      </c>
      <c r="G10">
        <f>IF('Input Scenarios'!G10&lt;&gt;"", 'Input Scenarios'!G10, _xlfn.XLOOKUP($F10, Constants!$M$6:$M$9,Constants!N$6:N$9))</f>
        <v>0.53400000000000003</v>
      </c>
      <c r="H10">
        <f>IF('Input Scenarios'!H10&lt;&gt;"", 'Input Scenarios'!H10, _xlfn.XLOOKUP($F10, Constants!$M$6:$M$9,Constants!O$6:O$9))</f>
        <v>0.11</v>
      </c>
      <c r="I10">
        <f>IF('Input Scenarios'!I10&lt;&gt;"", 'Input Scenarios'!I10, _xlfn.XLOOKUP($F10, Constants!$M$6:$M$9,Constants!P$6:P$9))</f>
        <v>0.35599999999999998</v>
      </c>
      <c r="J10">
        <f>'Input Scenarios'!J10</f>
        <v>0.25</v>
      </c>
      <c r="K10">
        <f>'Input Scenarios'!K10</f>
        <v>0.25</v>
      </c>
      <c r="L10">
        <f>'Input Scenarios'!L10</f>
        <v>0.25</v>
      </c>
      <c r="M10">
        <f>'Input Scenarios'!M10</f>
        <v>0.25</v>
      </c>
      <c r="N10">
        <f>'Input Scenarios'!N10</f>
        <v>0.25</v>
      </c>
      <c r="O10">
        <f>'Input Scenarios'!O10</f>
        <v>0.25</v>
      </c>
      <c r="P10">
        <f>'Input Scenarios'!P10</f>
        <v>0.25</v>
      </c>
      <c r="Q10">
        <f>'Input Scenarios'!Q10</f>
        <v>0.25</v>
      </c>
      <c r="R10" t="b">
        <f>'Input Scenarios'!R10</f>
        <v>1</v>
      </c>
      <c r="S10">
        <f>IF('Input Scenarios'!S10&lt;&gt;"", 'Input Scenarios'!S10, IF(R10, Constants!$B$38, 0))</f>
        <v>0.2</v>
      </c>
      <c r="T10" t="str">
        <f>IF('Input Scenarios'!T10&lt;&gt;"", 'Input Scenarios'!T10, "")</f>
        <v/>
      </c>
      <c r="U10">
        <f>IF('Input Scenarios'!U10&lt;&gt;"", 'Input Scenarios'!U10, IF(W10&lt;&gt;"", "", Constants!$B$39))</f>
        <v>4</v>
      </c>
      <c r="V10">
        <f>IF('Input Scenarios'!V10&lt;&gt;"", 'Input Scenarios'!V10, IF(W10&lt;&gt;"", "", Constants!$B$40))</f>
        <v>3.3</v>
      </c>
      <c r="W10" t="str">
        <f>IF('Input Scenarios'!W10&lt;&gt;"", 'Input Scenarios'!W10, "")</f>
        <v/>
      </c>
      <c r="X10" t="str">
        <f>'Input Scenarios'!X10</f>
        <v>Medium Friesian</v>
      </c>
      <c r="Y10" t="str">
        <f>'Input Scenarios'!Y10</f>
        <v>heifersLt1PreWeaned</v>
      </c>
      <c r="Z10">
        <f>'Input Scenarios'!Z10</f>
        <v>200</v>
      </c>
      <c r="AA10">
        <f>IF('Input Scenarios'!AA10&lt;&gt;"", 'Input Scenarios'!AA10, _xlfn.XLOOKUP(Y10,Constants!$J$6:$J$12,Constants!$K$6:$K$12))</f>
        <v>84</v>
      </c>
      <c r="AB10">
        <f>IF('Input Scenarios'!AB10&lt;&gt;"", 'Input Scenarios'!AB10, INDEX(Constants!$B$2:$H$11, MATCH(X10, Constants!$A$2:$A$11, 0), MATCH(Y10,Constants!$B$1:$H$1, 0)))</f>
        <v>155</v>
      </c>
      <c r="AC10" t="str">
        <f>IF('Input Scenarios'!AC10&lt;&gt;"", 'Input Scenarios'!AC10, _xlfn.XLOOKUP(Y10, Constants!$B$13:$H$13, Constants!$B$15:$H$15, ""))</f>
        <v/>
      </c>
      <c r="AD10">
        <f>IF('Input Scenarios'!AD10&lt;&gt;"", 'Input Scenarios'!AD10, Constants!$B$45)</f>
        <v>0.75</v>
      </c>
      <c r="AE10">
        <f>IF('Input Scenarios'!AE10&lt;&gt;"", 'Input Scenarios'!AE10, Constants!$B$46)</f>
        <v>0.2</v>
      </c>
      <c r="AF10">
        <f t="shared" si="3"/>
        <v>0</v>
      </c>
      <c r="AG10">
        <f t="shared" si="4"/>
        <v>0</v>
      </c>
      <c r="AH10">
        <f t="shared" si="5"/>
        <v>0</v>
      </c>
      <c r="AI10">
        <f t="shared" si="6"/>
        <v>0</v>
      </c>
      <c r="AJ10">
        <f t="shared" si="7"/>
        <v>1</v>
      </c>
      <c r="AK10">
        <f t="shared" si="8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9"/>
        <v>0.5948500000000001</v>
      </c>
      <c r="AQ10">
        <f t="shared" si="10"/>
        <v>0</v>
      </c>
      <c r="AR10">
        <f>IF(Y10="milkingCows", Constants!$P$2, Constants!$P$3)</f>
        <v>1</v>
      </c>
      <c r="AS10" s="18" t="str">
        <f t="shared" si="11"/>
        <v/>
      </c>
      <c r="AT10">
        <f>Constants!$B$47</f>
        <v>0.08</v>
      </c>
      <c r="AU10" t="str">
        <f>IFERROR((AS10*(1-AD10)+(0.04*AS10))*(1-AT10), "")</f>
        <v/>
      </c>
      <c r="AV10">
        <f t="shared" si="12"/>
        <v>0</v>
      </c>
      <c r="AW10">
        <f t="shared" si="13"/>
        <v>0</v>
      </c>
      <c r="AX10">
        <f t="shared" si="14"/>
        <v>0</v>
      </c>
      <c r="AY10">
        <f t="shared" si="15"/>
        <v>0</v>
      </c>
      <c r="AZ10">
        <f t="shared" si="16"/>
        <v>1</v>
      </c>
      <c r="BA10">
        <f>_xlfn.XLOOKUP($A10, Constants!$E$18:$L$18,Constants!$E$19:$L$19)</f>
        <v>0.76</v>
      </c>
      <c r="BB10">
        <f>_xlfn.XLOOKUP($A10, Constants!$E$18:$L$18,Constants!$E$20:$L$20)</f>
        <v>5.0000000000000001E-3</v>
      </c>
      <c r="BC10">
        <f>_xlfn.XLOOKUP($A10, Constants!$E$18:$L$18,Constants!$E$21:$L$21)</f>
        <v>0.18</v>
      </c>
      <c r="BD10">
        <f>_xlfn.XLOOKUP($A10, Constants!$E$18:$L$18,Constants!$E$22:$L$22)</f>
        <v>0.02</v>
      </c>
      <c r="BE10">
        <f>_xlfn.XLOOKUP($A10, Constants!$E$18:$L$18,Constants!$E$23:$L$23)</f>
        <v>0.01</v>
      </c>
      <c r="BF10">
        <f>Constants!$B$48</f>
        <v>0.24</v>
      </c>
      <c r="BG10">
        <f>Constants!$B$49</f>
        <v>0.6784</v>
      </c>
      <c r="BH10" t="str">
        <f t="shared" si="17"/>
        <v/>
      </c>
      <c r="BI10" t="str">
        <f t="shared" si="18"/>
        <v/>
      </c>
      <c r="BJ10" t="str">
        <f t="shared" si="19"/>
        <v/>
      </c>
      <c r="BK10" t="str">
        <f t="shared" si="20"/>
        <v/>
      </c>
      <c r="BL10" t="str">
        <f t="shared" si="21"/>
        <v/>
      </c>
      <c r="BM10">
        <f>IF(ISNUMBER(FIND("PreWeaned",Y10)),_xlfn.XLOOKUP(Y10,Constants!$J$2:$J$3,Constants!$K$2:$K$3), "")</f>
        <v>1.7600000000000001E-2</v>
      </c>
      <c r="BN10">
        <f t="shared" si="22"/>
        <v>295.68</v>
      </c>
    </row>
    <row r="11" spans="1:67" x14ac:dyDescent="0.2">
      <c r="A11" t="str">
        <f>'Input Scenarios'!A11</f>
        <v>NSW</v>
      </c>
      <c r="B11">
        <f>'Input Scenarios'!B11</f>
        <v>0</v>
      </c>
      <c r="C11" t="str">
        <f>'Input Scenarios'!C11</f>
        <v>Non-irrigated pasture</v>
      </c>
      <c r="D11" t="str">
        <f>'Input Scenarios'!D11</f>
        <v>wet</v>
      </c>
      <c r="E11" t="b">
        <f>'Input Scenarios'!E11</f>
        <v>0</v>
      </c>
      <c r="F11" t="str">
        <f>'Input Scenarios'!F11</f>
        <v>Limited grazing</v>
      </c>
      <c r="G11">
        <f>IF('Input Scenarios'!G11&lt;&gt;"", 'Input Scenarios'!G11, _xlfn.XLOOKUP($F11, Constants!$M$6:$M$9,Constants!N$6:N$9))</f>
        <v>0.53400000000000003</v>
      </c>
      <c r="H11">
        <f>IF('Input Scenarios'!H11&lt;&gt;"", 'Input Scenarios'!H11, _xlfn.XLOOKUP($F11, Constants!$M$6:$M$9,Constants!O$6:O$9))</f>
        <v>0.11</v>
      </c>
      <c r="I11">
        <f>IF('Input Scenarios'!I11&lt;&gt;"", 'Input Scenarios'!I11, _xlfn.XLOOKUP($F11, Constants!$M$6:$M$9,Constants!P$6:P$9))</f>
        <v>0.35599999999999998</v>
      </c>
      <c r="J11">
        <f>'Input Scenarios'!J11</f>
        <v>0.25</v>
      </c>
      <c r="K11">
        <f>'Input Scenarios'!K11</f>
        <v>0.25</v>
      </c>
      <c r="L11">
        <f>'Input Scenarios'!L11</f>
        <v>0.25</v>
      </c>
      <c r="M11">
        <f>'Input Scenarios'!M11</f>
        <v>0.25</v>
      </c>
      <c r="N11">
        <f>'Input Scenarios'!N11</f>
        <v>0.25</v>
      </c>
      <c r="O11">
        <f>'Input Scenarios'!O11</f>
        <v>0.25</v>
      </c>
      <c r="P11">
        <f>'Input Scenarios'!P11</f>
        <v>0.25</v>
      </c>
      <c r="Q11">
        <f>'Input Scenarios'!Q11</f>
        <v>0.25</v>
      </c>
      <c r="R11" t="b">
        <f>'Input Scenarios'!R11</f>
        <v>1</v>
      </c>
      <c r="S11">
        <f>IF('Input Scenarios'!S11&lt;&gt;"", 'Input Scenarios'!S11, IF(R11, Constants!$B$38, 0))</f>
        <v>0.2</v>
      </c>
      <c r="T11" t="str">
        <f>IF('Input Scenarios'!T11&lt;&gt;"", 'Input Scenarios'!T11, "")</f>
        <v/>
      </c>
      <c r="U11">
        <f>IF('Input Scenarios'!U11&lt;&gt;"", 'Input Scenarios'!U11, IF(W11&lt;&gt;"", "", Constants!$B$39))</f>
        <v>4</v>
      </c>
      <c r="V11">
        <f>IF('Input Scenarios'!V11&lt;&gt;"", 'Input Scenarios'!V11, IF(W11&lt;&gt;"", "", Constants!$B$40))</f>
        <v>3.3</v>
      </c>
      <c r="W11" t="str">
        <f>IF('Input Scenarios'!W11&lt;&gt;"", 'Input Scenarios'!W11, "")</f>
        <v/>
      </c>
      <c r="X11" t="str">
        <f>'Input Scenarios'!X11</f>
        <v>Medium Friesian</v>
      </c>
      <c r="Y11" t="str">
        <f>'Input Scenarios'!Y11</f>
        <v>heifersLt1Weaned</v>
      </c>
      <c r="Z11">
        <f>'Input Scenarios'!Z11</f>
        <v>200</v>
      </c>
      <c r="AA11">
        <f>IF('Input Scenarios'!AA11&lt;&gt;"", 'Input Scenarios'!AA11, _xlfn.XLOOKUP(Y11,Constants!$J$6:$J$12,Constants!$K$6:$K$12))</f>
        <v>281</v>
      </c>
      <c r="AB11">
        <f>IF('Input Scenarios'!AB11&lt;&gt;"", 'Input Scenarios'!AB11, INDEX(Constants!$B$2:$H$11, MATCH(X11, Constants!$A$2:$A$11, 0), MATCH(Y11,Constants!$B$1:$H$1, 0)))</f>
        <v>155</v>
      </c>
      <c r="AC11">
        <f>IF('Input Scenarios'!AC11&lt;&gt;"", 'Input Scenarios'!AC11, _xlfn.XLOOKUP(Y11, Constants!$B$13:$H$13, Constants!$B$15:$H$15, ""))</f>
        <v>0.56999999999999995</v>
      </c>
      <c r="AD11">
        <f>IF('Input Scenarios'!AD11&lt;&gt;"", 'Input Scenarios'!AD11, Constants!$B$45)</f>
        <v>0.75</v>
      </c>
      <c r="AE11">
        <f>IF('Input Scenarios'!AE11&lt;&gt;"", 'Input Scenarios'!AE11, Constants!$B$46)</f>
        <v>0.2</v>
      </c>
      <c r="AF11">
        <f t="shared" si="3"/>
        <v>0</v>
      </c>
      <c r="AG11">
        <f t="shared" si="4"/>
        <v>0</v>
      </c>
      <c r="AH11">
        <f t="shared" si="5"/>
        <v>0</v>
      </c>
      <c r="AI11">
        <f t="shared" si="6"/>
        <v>0</v>
      </c>
      <c r="AJ11">
        <f t="shared" si="7"/>
        <v>1</v>
      </c>
      <c r="AK11">
        <f t="shared" si="8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9"/>
        <v>0.5948500000000001</v>
      </c>
      <c r="AQ11">
        <f t="shared" si="10"/>
        <v>0</v>
      </c>
      <c r="AR11">
        <f>IF(Y11="milkingCows", Constants!$P$2, Constants!$P$3)</f>
        <v>1</v>
      </c>
      <c r="AS11" s="18">
        <f t="shared" si="11"/>
        <v>4.0231734662249998</v>
      </c>
      <c r="AT11">
        <f>Constants!$B$47</f>
        <v>0.08</v>
      </c>
      <c r="AU11">
        <f t="shared" ref="AU11:AU14" si="23">IFERROR((AS11*(1-AD11)+(0.04*AS11))*(1-AT11), "")</f>
        <v>1.07338268078883</v>
      </c>
      <c r="AV11">
        <f t="shared" si="12"/>
        <v>0</v>
      </c>
      <c r="AW11">
        <f t="shared" si="13"/>
        <v>0</v>
      </c>
      <c r="AX11">
        <f t="shared" si="14"/>
        <v>0</v>
      </c>
      <c r="AY11">
        <f t="shared" si="15"/>
        <v>0</v>
      </c>
      <c r="AZ11">
        <f t="shared" si="16"/>
        <v>1</v>
      </c>
      <c r="BA11">
        <f>_xlfn.XLOOKUP($A11, Constants!$E$18:$L$18,Constants!$E$19:$L$19)</f>
        <v>0.76</v>
      </c>
      <c r="BB11">
        <f>_xlfn.XLOOKUP($A11, Constants!$E$18:$L$18,Constants!$E$20:$L$20)</f>
        <v>5.0000000000000001E-3</v>
      </c>
      <c r="BC11">
        <f>_xlfn.XLOOKUP($A11, Constants!$E$18:$L$18,Constants!$E$21:$L$21)</f>
        <v>0.18</v>
      </c>
      <c r="BD11">
        <f>_xlfn.XLOOKUP($A11, Constants!$E$18:$L$18,Constants!$E$22:$L$22)</f>
        <v>0.02</v>
      </c>
      <c r="BE11">
        <f>_xlfn.XLOOKUP($A11, Constants!$E$18:$L$18,Constants!$E$23:$L$23)</f>
        <v>0.01</v>
      </c>
      <c r="BF11">
        <f>Constants!$B$48</f>
        <v>0.24</v>
      </c>
      <c r="BG11">
        <f>Constants!$B$49</f>
        <v>0.6784</v>
      </c>
      <c r="BH11">
        <f t="shared" si="17"/>
        <v>0</v>
      </c>
      <c r="BI11">
        <f t="shared" si="18"/>
        <v>0</v>
      </c>
      <c r="BJ11">
        <f t="shared" si="19"/>
        <v>0</v>
      </c>
      <c r="BK11">
        <f t="shared" si="20"/>
        <v>0</v>
      </c>
      <c r="BL11">
        <f t="shared" si="21"/>
        <v>1.7476387455531413E-3</v>
      </c>
      <c r="BM11" t="str">
        <f>IF(ISNUMBER(FIND("PreWeaned",Y11)),_xlfn.XLOOKUP(Y11,Constants!$J$2:$J$3,Constants!$K$2:$K$3), "")</f>
        <v/>
      </c>
      <c r="BN11">
        <f t="shared" si="22"/>
        <v>98.217297500086545</v>
      </c>
    </row>
    <row r="12" spans="1:67" x14ac:dyDescent="0.2">
      <c r="A12" t="str">
        <f>'Input Scenarios'!A12</f>
        <v>NSW</v>
      </c>
      <c r="B12">
        <f>'Input Scenarios'!B12</f>
        <v>0</v>
      </c>
      <c r="C12" t="str">
        <f>'Input Scenarios'!C12</f>
        <v>Non-irrigated pasture</v>
      </c>
      <c r="D12" t="str">
        <f>'Input Scenarios'!D12</f>
        <v>wet</v>
      </c>
      <c r="E12" t="b">
        <f>'Input Scenarios'!E12</f>
        <v>0</v>
      </c>
      <c r="F12" t="str">
        <f>'Input Scenarios'!F12</f>
        <v>Limited grazing</v>
      </c>
      <c r="G12">
        <f>IF('Input Scenarios'!G12&lt;&gt;"", 'Input Scenarios'!G12, _xlfn.XLOOKUP($F12, Constants!$M$6:$M$9,Constants!N$6:N$9))</f>
        <v>0.53400000000000003</v>
      </c>
      <c r="H12">
        <f>IF('Input Scenarios'!H12&lt;&gt;"", 'Input Scenarios'!H12, _xlfn.XLOOKUP($F12, Constants!$M$6:$M$9,Constants!O$6:O$9))</f>
        <v>0.11</v>
      </c>
      <c r="I12">
        <f>IF('Input Scenarios'!I12&lt;&gt;"", 'Input Scenarios'!I12, _xlfn.XLOOKUP($F12, Constants!$M$6:$M$9,Constants!P$6:P$9))</f>
        <v>0.35599999999999998</v>
      </c>
      <c r="J12">
        <f>'Input Scenarios'!J12</f>
        <v>0.25</v>
      </c>
      <c r="K12">
        <f>'Input Scenarios'!K12</f>
        <v>0.25</v>
      </c>
      <c r="L12">
        <f>'Input Scenarios'!L12</f>
        <v>0.25</v>
      </c>
      <c r="M12">
        <f>'Input Scenarios'!M12</f>
        <v>0.25</v>
      </c>
      <c r="N12">
        <f>'Input Scenarios'!N12</f>
        <v>0.25</v>
      </c>
      <c r="O12">
        <f>'Input Scenarios'!O12</f>
        <v>0.25</v>
      </c>
      <c r="P12">
        <f>'Input Scenarios'!P12</f>
        <v>0.25</v>
      </c>
      <c r="Q12">
        <f>'Input Scenarios'!Q12</f>
        <v>0.25</v>
      </c>
      <c r="R12" t="b">
        <f>'Input Scenarios'!R12</f>
        <v>1</v>
      </c>
      <c r="S12">
        <f>IF('Input Scenarios'!S12&lt;&gt;"", 'Input Scenarios'!S12, IF(R12, Constants!$B$38, 0))</f>
        <v>0.2</v>
      </c>
      <c r="T12" t="str">
        <f>IF('Input Scenarios'!T12&lt;&gt;"", 'Input Scenarios'!T12, "")</f>
        <v/>
      </c>
      <c r="U12">
        <f>IF('Input Scenarios'!U12&lt;&gt;"", 'Input Scenarios'!U12, IF(W12&lt;&gt;"", "", Constants!$B$39))</f>
        <v>4</v>
      </c>
      <c r="V12">
        <f>IF('Input Scenarios'!V12&lt;&gt;"", 'Input Scenarios'!V12, IF(W12&lt;&gt;"", "", Constants!$B$40))</f>
        <v>3.3</v>
      </c>
      <c r="W12" t="str">
        <f>IF('Input Scenarios'!W12&lt;&gt;"", 'Input Scenarios'!W12, "")</f>
        <v/>
      </c>
      <c r="X12" t="str">
        <f>'Input Scenarios'!X12</f>
        <v>Medium Friesian</v>
      </c>
      <c r="Y12" t="str">
        <f>'Input Scenarios'!Y12</f>
        <v>bullsGt1</v>
      </c>
      <c r="Z12">
        <f>'Input Scenarios'!Z12</f>
        <v>200</v>
      </c>
      <c r="AA12">
        <f>IF('Input Scenarios'!AA12&lt;&gt;"", 'Input Scenarios'!AA12, _xlfn.XLOOKUP(Y12,Constants!$J$6:$J$12,Constants!$K$6:$K$12))</f>
        <v>365</v>
      </c>
      <c r="AB12">
        <f>IF('Input Scenarios'!AB12&lt;&gt;"", 'Input Scenarios'!AB12, INDEX(Constants!$B$2:$H$11, MATCH(X12, Constants!$A$2:$A$11, 0), MATCH(Y12,Constants!$B$1:$H$1, 0)))</f>
        <v>600</v>
      </c>
      <c r="AC12">
        <f>IF('Input Scenarios'!AC12&lt;&gt;"", 'Input Scenarios'!AC12, _xlfn.XLOOKUP(Y12, Constants!$B$13:$H$13, Constants!$B$15:$H$15, ""))</f>
        <v>0.1</v>
      </c>
      <c r="AD12">
        <f>IF('Input Scenarios'!AD12&lt;&gt;"", 'Input Scenarios'!AD12, Constants!$B$45)</f>
        <v>0.75</v>
      </c>
      <c r="AE12">
        <f>IF('Input Scenarios'!AE12&lt;&gt;"", 'Input Scenarios'!AE12, Constants!$B$46)</f>
        <v>0.2</v>
      </c>
      <c r="AF12">
        <f t="shared" si="3"/>
        <v>0</v>
      </c>
      <c r="AG12">
        <f t="shared" si="4"/>
        <v>0</v>
      </c>
      <c r="AH12">
        <f t="shared" si="5"/>
        <v>0</v>
      </c>
      <c r="AI12">
        <f t="shared" si="6"/>
        <v>0</v>
      </c>
      <c r="AJ12">
        <f t="shared" si="7"/>
        <v>1</v>
      </c>
      <c r="AK12">
        <f t="shared" si="8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9"/>
        <v>0.5948500000000001</v>
      </c>
      <c r="AQ12">
        <f t="shared" si="10"/>
        <v>0</v>
      </c>
      <c r="AR12">
        <f>IF(Y12="milkingCows", Constants!$P$2, Constants!$P$3)</f>
        <v>1</v>
      </c>
      <c r="AS12" s="18">
        <f t="shared" si="11"/>
        <v>9.0270202499999979</v>
      </c>
      <c r="AT12">
        <f>Constants!$B$47</f>
        <v>0.08</v>
      </c>
      <c r="AU12">
        <f t="shared" si="23"/>
        <v>2.4084090026999996</v>
      </c>
      <c r="AV12">
        <f t="shared" si="12"/>
        <v>0</v>
      </c>
      <c r="AW12">
        <f t="shared" si="13"/>
        <v>0</v>
      </c>
      <c r="AX12">
        <f t="shared" si="14"/>
        <v>0</v>
      </c>
      <c r="AY12">
        <f t="shared" si="15"/>
        <v>0</v>
      </c>
      <c r="AZ12">
        <f t="shared" si="16"/>
        <v>1</v>
      </c>
      <c r="BA12">
        <f>_xlfn.XLOOKUP($A12, Constants!$E$18:$L$18,Constants!$E$19:$L$19)</f>
        <v>0.76</v>
      </c>
      <c r="BB12">
        <f>_xlfn.XLOOKUP($A12, Constants!$E$18:$L$18,Constants!$E$20:$L$20)</f>
        <v>5.0000000000000001E-3</v>
      </c>
      <c r="BC12">
        <f>_xlfn.XLOOKUP($A12, Constants!$E$18:$L$18,Constants!$E$21:$L$21)</f>
        <v>0.18</v>
      </c>
      <c r="BD12">
        <f>_xlfn.XLOOKUP($A12, Constants!$E$18:$L$18,Constants!$E$22:$L$22)</f>
        <v>0.02</v>
      </c>
      <c r="BE12">
        <f>_xlfn.XLOOKUP($A12, Constants!$E$18:$L$18,Constants!$E$23:$L$23)</f>
        <v>0.01</v>
      </c>
      <c r="BF12">
        <f>Constants!$B$48</f>
        <v>0.24</v>
      </c>
      <c r="BG12">
        <f>Constants!$B$49</f>
        <v>0.6784</v>
      </c>
      <c r="BH12">
        <f t="shared" si="17"/>
        <v>0</v>
      </c>
      <c r="BI12">
        <f t="shared" si="18"/>
        <v>0</v>
      </c>
      <c r="BJ12">
        <f t="shared" si="19"/>
        <v>0</v>
      </c>
      <c r="BK12">
        <f t="shared" si="20"/>
        <v>0</v>
      </c>
      <c r="BL12">
        <f t="shared" si="21"/>
        <v>3.9212752018360315E-3</v>
      </c>
      <c r="BM12" t="str">
        <f>IF(ISNUMBER(FIND("PreWeaned",Y12)),_xlfn.XLOOKUP(Y12,Constants!$J$2:$J$3,Constants!$K$2:$K$3), "")</f>
        <v/>
      </c>
      <c r="BN12">
        <f t="shared" si="22"/>
        <v>286.25308973403031</v>
      </c>
    </row>
    <row r="13" spans="1:67" x14ac:dyDescent="0.2">
      <c r="A13" t="str">
        <f>'Input Scenarios'!A13</f>
        <v>NSW</v>
      </c>
      <c r="B13">
        <f>'Input Scenarios'!B13</f>
        <v>0</v>
      </c>
      <c r="C13" t="str">
        <f>'Input Scenarios'!C13</f>
        <v>Non-irrigated pasture</v>
      </c>
      <c r="D13" t="str">
        <f>'Input Scenarios'!D13</f>
        <v>wet</v>
      </c>
      <c r="E13" t="b">
        <f>'Input Scenarios'!E13</f>
        <v>0</v>
      </c>
      <c r="F13" t="str">
        <f>'Input Scenarios'!F13</f>
        <v>Limited grazing</v>
      </c>
      <c r="G13">
        <f>IF('Input Scenarios'!G13&lt;&gt;"", 'Input Scenarios'!G13, _xlfn.XLOOKUP($F13, Constants!$M$6:$M$9,Constants!N$6:N$9))</f>
        <v>0.53400000000000003</v>
      </c>
      <c r="H13">
        <f>IF('Input Scenarios'!H13&lt;&gt;"", 'Input Scenarios'!H13, _xlfn.XLOOKUP($F13, Constants!$M$6:$M$9,Constants!O$6:O$9))</f>
        <v>0.11</v>
      </c>
      <c r="I13">
        <f>IF('Input Scenarios'!I13&lt;&gt;"", 'Input Scenarios'!I13, _xlfn.XLOOKUP($F13, Constants!$M$6:$M$9,Constants!P$6:P$9))</f>
        <v>0.35599999999999998</v>
      </c>
      <c r="J13">
        <f>'Input Scenarios'!J13</f>
        <v>0.25</v>
      </c>
      <c r="K13">
        <f>'Input Scenarios'!K13</f>
        <v>0.25</v>
      </c>
      <c r="L13">
        <f>'Input Scenarios'!L13</f>
        <v>0.25</v>
      </c>
      <c r="M13">
        <f>'Input Scenarios'!M13</f>
        <v>0.25</v>
      </c>
      <c r="N13">
        <f>'Input Scenarios'!N13</f>
        <v>0.25</v>
      </c>
      <c r="O13">
        <f>'Input Scenarios'!O13</f>
        <v>0.25</v>
      </c>
      <c r="P13">
        <f>'Input Scenarios'!P13</f>
        <v>0.25</v>
      </c>
      <c r="Q13">
        <f>'Input Scenarios'!Q13</f>
        <v>0.25</v>
      </c>
      <c r="R13" t="b">
        <f>'Input Scenarios'!R13</f>
        <v>1</v>
      </c>
      <c r="S13">
        <f>IF('Input Scenarios'!S13&lt;&gt;"", 'Input Scenarios'!S13, IF(R13, Constants!$B$38, 0))</f>
        <v>0.2</v>
      </c>
      <c r="T13" t="str">
        <f>IF('Input Scenarios'!T13&lt;&gt;"", 'Input Scenarios'!T13, "")</f>
        <v/>
      </c>
      <c r="U13">
        <f>IF('Input Scenarios'!U13&lt;&gt;"", 'Input Scenarios'!U13, IF(W13&lt;&gt;"", "", Constants!$B$39))</f>
        <v>4</v>
      </c>
      <c r="V13">
        <f>IF('Input Scenarios'!V13&lt;&gt;"", 'Input Scenarios'!V13, IF(W13&lt;&gt;"", "", Constants!$B$40))</f>
        <v>3.3</v>
      </c>
      <c r="W13" t="str">
        <f>IF('Input Scenarios'!W13&lt;&gt;"", 'Input Scenarios'!W13, "")</f>
        <v/>
      </c>
      <c r="X13" t="str">
        <f>'Input Scenarios'!X13</f>
        <v>Medium Friesian</v>
      </c>
      <c r="Y13" t="str">
        <f>'Input Scenarios'!Y13</f>
        <v>bullsLt1PreWeaned</v>
      </c>
      <c r="Z13">
        <f>'Input Scenarios'!Z13</f>
        <v>200</v>
      </c>
      <c r="AA13">
        <f>IF('Input Scenarios'!AA13&lt;&gt;"", 'Input Scenarios'!AA13, _xlfn.XLOOKUP(Y13,Constants!$J$6:$J$12,Constants!$K$6:$K$12))</f>
        <v>84</v>
      </c>
      <c r="AB13">
        <f>IF('Input Scenarios'!AB13&lt;&gt;"", 'Input Scenarios'!AB13, INDEX(Constants!$B$2:$H$11, MATCH(X13, Constants!$A$2:$A$11, 0), MATCH(Y13,Constants!$B$1:$H$1, 0)))</f>
        <v>225</v>
      </c>
      <c r="AC13" t="str">
        <f>IF('Input Scenarios'!AC13&lt;&gt;"", 'Input Scenarios'!AC13, _xlfn.XLOOKUP(Y13, Constants!$B$13:$H$13, Constants!$B$15:$H$15, ""))</f>
        <v/>
      </c>
      <c r="AD13">
        <f>IF('Input Scenarios'!AD13&lt;&gt;"", 'Input Scenarios'!AD13, Constants!$B$45)</f>
        <v>0.75</v>
      </c>
      <c r="AE13">
        <f>IF('Input Scenarios'!AE13&lt;&gt;"", 'Input Scenarios'!AE13, Constants!$B$46)</f>
        <v>0.2</v>
      </c>
      <c r="AF13">
        <f t="shared" si="3"/>
        <v>0</v>
      </c>
      <c r="AG13">
        <f t="shared" si="4"/>
        <v>0</v>
      </c>
      <c r="AH13">
        <f t="shared" si="5"/>
        <v>0</v>
      </c>
      <c r="AI13">
        <f t="shared" si="6"/>
        <v>0</v>
      </c>
      <c r="AJ13">
        <f t="shared" si="7"/>
        <v>1</v>
      </c>
      <c r="AK13">
        <f t="shared" si="8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9"/>
        <v>0.5948500000000001</v>
      </c>
      <c r="AQ13">
        <f t="shared" si="10"/>
        <v>0</v>
      </c>
      <c r="AR13">
        <f>IF(Y13="milkingCows", Constants!$P$2, Constants!$P$3)</f>
        <v>1</v>
      </c>
      <c r="AS13" s="18" t="str">
        <f t="shared" si="11"/>
        <v/>
      </c>
      <c r="AT13">
        <f>Constants!$B$47</f>
        <v>0.08</v>
      </c>
      <c r="AU13" t="str">
        <f t="shared" si="23"/>
        <v/>
      </c>
      <c r="AV13">
        <f t="shared" si="12"/>
        <v>0</v>
      </c>
      <c r="AW13">
        <f t="shared" si="13"/>
        <v>0</v>
      </c>
      <c r="AX13">
        <f t="shared" si="14"/>
        <v>0</v>
      </c>
      <c r="AY13">
        <f t="shared" si="15"/>
        <v>0</v>
      </c>
      <c r="AZ13">
        <f t="shared" si="16"/>
        <v>1</v>
      </c>
      <c r="BA13">
        <f>_xlfn.XLOOKUP($A13, Constants!$E$18:$L$18,Constants!$E$19:$L$19)</f>
        <v>0.76</v>
      </c>
      <c r="BB13">
        <f>_xlfn.XLOOKUP($A13, Constants!$E$18:$L$18,Constants!$E$20:$L$20)</f>
        <v>5.0000000000000001E-3</v>
      </c>
      <c r="BC13">
        <f>_xlfn.XLOOKUP($A13, Constants!$E$18:$L$18,Constants!$E$21:$L$21)</f>
        <v>0.18</v>
      </c>
      <c r="BD13">
        <f>_xlfn.XLOOKUP($A13, Constants!$E$18:$L$18,Constants!$E$22:$L$22)</f>
        <v>0.02</v>
      </c>
      <c r="BE13">
        <f>_xlfn.XLOOKUP($A13, Constants!$E$18:$L$18,Constants!$E$23:$L$23)</f>
        <v>0.01</v>
      </c>
      <c r="BF13">
        <f>Constants!$B$48</f>
        <v>0.24</v>
      </c>
      <c r="BG13">
        <f>Constants!$B$49</f>
        <v>0.6784</v>
      </c>
      <c r="BH13" t="str">
        <f t="shared" si="17"/>
        <v/>
      </c>
      <c r="BI13" t="str">
        <f t="shared" si="18"/>
        <v/>
      </c>
      <c r="BJ13" t="str">
        <f t="shared" si="19"/>
        <v/>
      </c>
      <c r="BK13" t="str">
        <f t="shared" si="20"/>
        <v/>
      </c>
      <c r="BL13" t="str">
        <f t="shared" si="21"/>
        <v/>
      </c>
      <c r="BM13">
        <f>IF(ISNUMBER(FIND("PreWeaned",Y13)),_xlfn.XLOOKUP(Y13,Constants!$J$2:$J$3,Constants!$K$2:$K$3), "")</f>
        <v>2.0400000000000001E-2</v>
      </c>
      <c r="BN13">
        <f t="shared" si="22"/>
        <v>342.72</v>
      </c>
    </row>
    <row r="14" spans="1:67" s="16" customFormat="1" x14ac:dyDescent="0.2">
      <c r="A14" s="16" t="str">
        <f>'Input Scenarios'!A14</f>
        <v>NSW</v>
      </c>
      <c r="B14" s="16">
        <f>'Input Scenarios'!B14</f>
        <v>0</v>
      </c>
      <c r="C14" s="16" t="str">
        <f>'Input Scenarios'!C14</f>
        <v>Non-irrigated pasture</v>
      </c>
      <c r="D14" s="16" t="str">
        <f>'Input Scenarios'!D14</f>
        <v>wet</v>
      </c>
      <c r="E14" s="16" t="b">
        <f>'Input Scenarios'!E14</f>
        <v>0</v>
      </c>
      <c r="F14" s="16" t="str">
        <f>'Input Scenarios'!F14</f>
        <v>Limited grazing</v>
      </c>
      <c r="G14" s="16">
        <f>IF('Input Scenarios'!G14&lt;&gt;"", 'Input Scenarios'!G14, _xlfn.XLOOKUP($F14, Constants!$M$6:$M$9,Constants!N$6:N$9))</f>
        <v>0.53400000000000003</v>
      </c>
      <c r="H14" s="16">
        <f>IF('Input Scenarios'!H14&lt;&gt;"", 'Input Scenarios'!H14, _xlfn.XLOOKUP($F14, Constants!$M$6:$M$9,Constants!O$6:O$9))</f>
        <v>0.11</v>
      </c>
      <c r="I14" s="16">
        <f>IF('Input Scenarios'!I14&lt;&gt;"", 'Input Scenarios'!I14, _xlfn.XLOOKUP($F14, Constants!$M$6:$M$9,Constants!P$6:P$9))</f>
        <v>0.35599999999999998</v>
      </c>
      <c r="J14" s="16">
        <f>'Input Scenarios'!J14</f>
        <v>0.25</v>
      </c>
      <c r="K14" s="16">
        <f>'Input Scenarios'!K14</f>
        <v>0.25</v>
      </c>
      <c r="L14" s="16">
        <f>'Input Scenarios'!L14</f>
        <v>0.25</v>
      </c>
      <c r="M14" s="16">
        <f>'Input Scenarios'!M14</f>
        <v>0.25</v>
      </c>
      <c r="N14" s="16">
        <f>'Input Scenarios'!N14</f>
        <v>0.25</v>
      </c>
      <c r="O14" s="16">
        <f>'Input Scenarios'!O14</f>
        <v>0.25</v>
      </c>
      <c r="P14" s="16">
        <f>'Input Scenarios'!P14</f>
        <v>0.25</v>
      </c>
      <c r="Q14" s="16">
        <f>'Input Scenarios'!Q14</f>
        <v>0.25</v>
      </c>
      <c r="R14" s="16" t="b">
        <f>'Input Scenarios'!R14</f>
        <v>1</v>
      </c>
      <c r="S14" s="16">
        <f>IF('Input Scenarios'!S14&lt;&gt;"", 'Input Scenarios'!S14, IF(R14, Constants!$B$38, 0))</f>
        <v>0.2</v>
      </c>
      <c r="T14" s="16" t="str">
        <f>IF('Input Scenarios'!T14&lt;&gt;"", 'Input Scenarios'!T14, "")</f>
        <v/>
      </c>
      <c r="U14" s="16">
        <f>IF('Input Scenarios'!U14&lt;&gt;"", 'Input Scenarios'!U14, IF(W14&lt;&gt;"", "", Constants!$B$39))</f>
        <v>4</v>
      </c>
      <c r="V14" s="16">
        <f>IF('Input Scenarios'!V14&lt;&gt;"", 'Input Scenarios'!V14, IF(W14&lt;&gt;"", "", Constants!$B$40))</f>
        <v>3.3</v>
      </c>
      <c r="W14" s="16" t="str">
        <f>IF('Input Scenarios'!W14&lt;&gt;"", 'Input Scenarios'!W14, "")</f>
        <v/>
      </c>
      <c r="X14" s="16" t="str">
        <f>'Input Scenarios'!X14</f>
        <v>Medium Friesian</v>
      </c>
      <c r="Y14" s="16" t="str">
        <f>'Input Scenarios'!Y14</f>
        <v>bullsLt1Weaned</v>
      </c>
      <c r="Z14" s="16">
        <f>'Input Scenarios'!Z14</f>
        <v>200</v>
      </c>
      <c r="AA14" s="16">
        <f>IF('Input Scenarios'!AA14&lt;&gt;"", 'Input Scenarios'!AA14, _xlfn.XLOOKUP(Y14,Constants!$J$6:$J$12,Constants!$K$6:$K$12))</f>
        <v>281</v>
      </c>
      <c r="AB14" s="16">
        <f>IF('Input Scenarios'!AB14&lt;&gt;"", 'Input Scenarios'!AB14, INDEX(Constants!$B$2:$H$11, MATCH(X14, Constants!$A$2:$A$11, 0), MATCH(Y14,Constants!$B$1:$H$1, 0)))</f>
        <v>225</v>
      </c>
      <c r="AC14" s="16">
        <f>IF('Input Scenarios'!AC14&lt;&gt;"", 'Input Scenarios'!AC14, _xlfn.XLOOKUP(Y14, Constants!$B$13:$H$13, Constants!$B$15:$H$15, ""))</f>
        <v>0.8</v>
      </c>
      <c r="AD14" s="16">
        <f>IF('Input Scenarios'!AD14&lt;&gt;"", 'Input Scenarios'!AD14, Constants!$B$45)</f>
        <v>0.75</v>
      </c>
      <c r="AE14" s="16">
        <f>IF('Input Scenarios'!AE14&lt;&gt;"", 'Input Scenarios'!AE14, Constants!$B$46)</f>
        <v>0.2</v>
      </c>
      <c r="AF14" s="16">
        <f t="shared" si="3"/>
        <v>0</v>
      </c>
      <c r="AG14" s="16">
        <f t="shared" si="4"/>
        <v>0</v>
      </c>
      <c r="AH14" s="16">
        <f t="shared" si="5"/>
        <v>0</v>
      </c>
      <c r="AI14" s="16">
        <f t="shared" si="6"/>
        <v>0</v>
      </c>
      <c r="AJ14" s="16">
        <f t="shared" si="7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9"/>
        <v>0.5948500000000001</v>
      </c>
      <c r="AQ14" s="16">
        <f t="shared" si="10"/>
        <v>0</v>
      </c>
      <c r="AR14" s="16">
        <f>IF(Y14="milkingCows", Constants!$P$2, Constants!$P$3)</f>
        <v>1</v>
      </c>
      <c r="AS14" s="19">
        <f t="shared" si="11"/>
        <v>5.4143472656250013</v>
      </c>
      <c r="AT14" s="16">
        <f>Constants!$B$47</f>
        <v>0.08</v>
      </c>
      <c r="AU14" s="16">
        <f t="shared" si="23"/>
        <v>1.4445478504687506</v>
      </c>
      <c r="AV14" s="16">
        <f t="shared" si="12"/>
        <v>0</v>
      </c>
      <c r="AW14" s="16">
        <f t="shared" si="13"/>
        <v>0</v>
      </c>
      <c r="AX14" s="16">
        <f t="shared" si="14"/>
        <v>0</v>
      </c>
      <c r="AY14" s="16">
        <f t="shared" si="15"/>
        <v>0</v>
      </c>
      <c r="AZ14" s="16">
        <f t="shared" si="16"/>
        <v>1</v>
      </c>
      <c r="BA14" s="16">
        <f>_xlfn.XLOOKUP($A14, Constants!$E$18:$L$18,Constants!$E$19:$L$19)</f>
        <v>0.76</v>
      </c>
      <c r="BB14" s="16">
        <f>_xlfn.XLOOKUP($A14, Constants!$E$18:$L$18,Constants!$E$20:$L$20)</f>
        <v>5.0000000000000001E-3</v>
      </c>
      <c r="BC14" s="16">
        <f>_xlfn.XLOOKUP($A14, Constants!$E$18:$L$18,Constants!$E$21:$L$21)</f>
        <v>0.18</v>
      </c>
      <c r="BD14" s="16">
        <f>_xlfn.XLOOKUP($A14, Constants!$E$18:$L$18,Constants!$E$22:$L$22)</f>
        <v>0.02</v>
      </c>
      <c r="BE14" s="16">
        <f>_xlfn.XLOOKUP($A14, Constants!$E$18:$L$18,Constants!$E$23:$L$23)</f>
        <v>0.01</v>
      </c>
      <c r="BF14" s="16">
        <f>Constants!$B$48</f>
        <v>0.24</v>
      </c>
      <c r="BG14" s="16">
        <f>Constants!$B$49</f>
        <v>0.6784</v>
      </c>
      <c r="BH14" s="16">
        <f t="shared" si="17"/>
        <v>0</v>
      </c>
      <c r="BI14" s="16">
        <f t="shared" si="18"/>
        <v>0</v>
      </c>
      <c r="BJ14" s="16">
        <f t="shared" si="19"/>
        <v>0</v>
      </c>
      <c r="BK14" s="16">
        <f t="shared" si="20"/>
        <v>0</v>
      </c>
      <c r="BL14" s="16">
        <f t="shared" si="21"/>
        <v>2.351955028219201E-3</v>
      </c>
      <c r="BM14" s="16" t="str">
        <f>IF(ISNUMBER(FIND("PreWeaned",Y14)),_xlfn.XLOOKUP(Y14,Constants!$J$2:$J$3,Constants!$K$2:$K$3), "")</f>
        <v/>
      </c>
      <c r="BN14" s="16">
        <f t="shared" si="22"/>
        <v>132.1798725859191</v>
      </c>
    </row>
    <row r="15" spans="1:67" x14ac:dyDescent="0.2">
      <c r="A15" t="str">
        <f>'Input Scenarios'!A15</f>
        <v>QLD</v>
      </c>
      <c r="B15">
        <f>'Input Scenarios'!B15</f>
        <v>0</v>
      </c>
      <c r="C15" t="str">
        <f>'Input Scenarios'!C15</f>
        <v>Non-irrigated crop (high rainfall)</v>
      </c>
      <c r="D15" t="str">
        <f>'Input Scenarios'!D15</f>
        <v>wet</v>
      </c>
      <c r="E15" t="b">
        <f>'Input Scenarios'!E15</f>
        <v>1</v>
      </c>
      <c r="F15" t="str">
        <f>'Input Scenarios'!F15</f>
        <v>Limited feedpad</v>
      </c>
      <c r="G15">
        <f>IF('Input Scenarios'!G15&lt;&gt;"", 'Input Scenarios'!G15, _xlfn.XLOOKUP($F15, Constants!$M$6:$M$9,Constants!N$6:N$9))</f>
        <v>0.79</v>
      </c>
      <c r="H15">
        <f>IF('Input Scenarios'!H15&lt;&gt;"", 'Input Scenarios'!H15, _xlfn.XLOOKUP($F15, Constants!$M$6:$M$9,Constants!O$6:O$9))</f>
        <v>0.11</v>
      </c>
      <c r="I15">
        <f>IF('Input Scenarios'!I15&lt;&gt;"", 'Input Scenarios'!I15, _xlfn.XLOOKUP($F15, Constants!$M$6:$M$9,Constants!P$6:P$9))</f>
        <v>0.1</v>
      </c>
      <c r="J15">
        <f>'Input Scenarios'!J15</f>
        <v>0</v>
      </c>
      <c r="K15">
        <f>'Input Scenarios'!K15</f>
        <v>0</v>
      </c>
      <c r="L15">
        <f>'Input Scenarios'!L15</f>
        <v>1</v>
      </c>
      <c r="M15">
        <f>'Input Scenarios'!M15</f>
        <v>0</v>
      </c>
      <c r="N15">
        <f>'Input Scenarios'!N15</f>
        <v>1</v>
      </c>
      <c r="O15">
        <f>'Input Scenarios'!O15</f>
        <v>0</v>
      </c>
      <c r="P15">
        <f>'Input Scenarios'!P15</f>
        <v>0</v>
      </c>
      <c r="Q15">
        <f>'Input Scenarios'!Q15</f>
        <v>0</v>
      </c>
      <c r="R15" t="b">
        <f>'Input Scenarios'!R15</f>
        <v>1</v>
      </c>
      <c r="S15">
        <f>IF('Input Scenarios'!S15&lt;&gt;"", 'Input Scenarios'!S15, IF(R15, Constants!$B$38, 0))</f>
        <v>0.2</v>
      </c>
      <c r="T15">
        <f>IF('Input Scenarios'!T15&lt;&gt;"", 'Input Scenarios'!T15, "")</f>
        <v>3</v>
      </c>
      <c r="U15">
        <f>IF('Input Scenarios'!U15&lt;&gt;"", 'Input Scenarios'!U15, IF(W15&lt;&gt;"", "", Constants!$B$39))</f>
        <v>4</v>
      </c>
      <c r="V15">
        <f>IF('Input Scenarios'!V15&lt;&gt;"", 'Input Scenarios'!V15, IF(W15&lt;&gt;"", "", Constants!$B$40))</f>
        <v>3.3</v>
      </c>
      <c r="W15" t="str">
        <f>IF('Input Scenarios'!W15&lt;&gt;"", 'Input Scenarios'!W15, "")</f>
        <v/>
      </c>
      <c r="X15" t="str">
        <f>'Input Scenarios'!X15</f>
        <v>Large Friesian</v>
      </c>
      <c r="Y15" t="str">
        <f>'Input Scenarios'!Y15</f>
        <v>milkingCows</v>
      </c>
      <c r="Z15">
        <f>'Input Scenarios'!Z15</f>
        <v>200</v>
      </c>
      <c r="AA15">
        <f>IF('Input Scenarios'!AA15&lt;&gt;"", 'Input Scenarios'!AA15, _xlfn.XLOOKUP(Y15,Constants!$J$6:$J$12,Constants!$K$6:$K$12))</f>
        <v>365</v>
      </c>
      <c r="AB15">
        <f>IF('Input Scenarios'!AB15&lt;&gt;"", 'Input Scenarios'!AB15, INDEX(Constants!$B$2:$H$11, MATCH(X15, Constants!$A$2:$A$11, 0), MATCH(Y15,Constants!$B$1:$H$1, 0)))</f>
        <v>600</v>
      </c>
      <c r="AC15">
        <f>IF('Input Scenarios'!AC15&lt;&gt;"", 'Input Scenarios'!AC15, _xlfn.XLOOKUP(Y15, Constants!$B$13:$H$13, Constants!$B$15:$H$15, ""))</f>
        <v>1.6E-2</v>
      </c>
      <c r="AD15">
        <f>IF('Input Scenarios'!AD15&lt;&gt;"", 'Input Scenarios'!AD15, Constants!$B$45)</f>
        <v>0.75</v>
      </c>
      <c r="AE15">
        <f>IF('Input Scenarios'!AE15&lt;&gt;"", 'Input Scenarios'!AE15, Constants!$B$46)</f>
        <v>0.2</v>
      </c>
      <c r="AF15" s="20">
        <f t="shared" si="3"/>
        <v>0.1</v>
      </c>
      <c r="AG15" s="20">
        <f t="shared" si="4"/>
        <v>0</v>
      </c>
      <c r="AH15" s="20">
        <f t="shared" si="5"/>
        <v>0.11</v>
      </c>
      <c r="AI15" s="20">
        <f t="shared" si="6"/>
        <v>0</v>
      </c>
      <c r="AJ15" s="20">
        <f t="shared" si="7"/>
        <v>0.79</v>
      </c>
      <c r="AK15">
        <f t="shared" ref="AK15:AK35" si="24">IF(Y15="milkingCows", IF(W15&lt;&gt;"", W15, T15/((U15+V15)*0.01)), 0)</f>
        <v>41.095890410958908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ref="AP15:AP22" si="25">0.795*(AD15)-0.0014</f>
        <v>0.5948500000000001</v>
      </c>
      <c r="AQ15">
        <f t="shared" ref="AQ15:AQ22" si="26">(AK15*AL15*AM15)/(AN15*AO15*AP15)</f>
        <v>19.684668829329848</v>
      </c>
      <c r="AR15">
        <f>IF(Y15="milkingCows", Constants!$P$2, Constants!$P$3)</f>
        <v>1.1000000000000001</v>
      </c>
      <c r="AS15" s="18">
        <f t="shared" ref="AS15:AS22" si="27">IFERROR(((((1.185 + (0.00454*AB15) - (0.0000026*(AB15^2)) + (0.315*AC15))^2)*AR15)+AQ15), "")</f>
        <v>29.440263295089849</v>
      </c>
      <c r="AT15">
        <f>Constants!$B$47</f>
        <v>0.08</v>
      </c>
      <c r="AU15">
        <f t="shared" ref="AU15:AU22" si="28">IFERROR((AS15*(1-AD15)+(0.04*AS15))*(1-AT15), "")</f>
        <v>7.8546622471299727</v>
      </c>
      <c r="AV15">
        <f t="shared" ref="AV15:AV22" si="29">AF15*(1-S15)</f>
        <v>8.0000000000000016E-2</v>
      </c>
      <c r="AW15">
        <f t="shared" ref="AW15:AW22" si="30">AG15</f>
        <v>0</v>
      </c>
      <c r="AX15">
        <f t="shared" ref="AX15:AX22" si="31">AH15</f>
        <v>0.11</v>
      </c>
      <c r="AY15">
        <f t="shared" ref="AY15:AY22" si="32">AI15+(AF15*S15)</f>
        <v>2.0000000000000004E-2</v>
      </c>
      <c r="AZ15">
        <f t="shared" ref="AZ15:AZ22" si="33">AJ15</f>
        <v>0.79</v>
      </c>
      <c r="BA15">
        <f>_xlfn.XLOOKUP($A15, Constants!$E$18:$L$18,Constants!$E$19:$L$19)</f>
        <v>0.78</v>
      </c>
      <c r="BB15">
        <f>_xlfn.XLOOKUP($A15, Constants!$E$18:$L$18,Constants!$E$20:$L$20)</f>
        <v>5.0000000000000001E-3</v>
      </c>
      <c r="BC15">
        <f>_xlfn.XLOOKUP($A15, Constants!$E$18:$L$18,Constants!$E$21:$L$21)</f>
        <v>0.24</v>
      </c>
      <c r="BD15">
        <f>_xlfn.XLOOKUP($A15, Constants!$E$18:$L$18,Constants!$E$22:$L$22)</f>
        <v>0.02</v>
      </c>
      <c r="BE15">
        <f>_xlfn.XLOOKUP($A15, Constants!$E$18:$L$18,Constants!$E$23:$L$23)</f>
        <v>0.01</v>
      </c>
      <c r="BF15">
        <f>Constants!$B$48</f>
        <v>0.24</v>
      </c>
      <c r="BG15">
        <f>Constants!$B$49</f>
        <v>0.6784</v>
      </c>
      <c r="BH15">
        <f t="shared" ref="BH15:BH22" si="34">IF(ISNUMBER(FIND("PreWeaned",$Y15)), "", $AU15*AV15*BA15*$BF15*$BG15)</f>
        <v>7.9801156557951752E-2</v>
      </c>
      <c r="BI15">
        <f t="shared" ref="BI15:BI22" si="35">IF(ISNUMBER(FIND("PreWeaned",$Y15)), "", $AU15*AW15*BB15*$BF15*$BG15)</f>
        <v>0</v>
      </c>
      <c r="BJ15">
        <f t="shared" ref="BJ15:BJ22" si="36">IF(ISNUMBER(FIND("PreWeaned",$Y15)), "", $AU15*AX15*BC15*$BF15*$BG15)</f>
        <v>3.376202777451804E-2</v>
      </c>
      <c r="BK15">
        <f t="shared" ref="BK15:BK22" si="37">IF(ISNUMBER(FIND("PreWeaned",$Y15)), "", $AU15*AY15*BD15*$BF15*$BG15)</f>
        <v>5.1154587537148566E-4</v>
      </c>
      <c r="BL15">
        <f t="shared" ref="BL15:BL22" si="38">IF(ISNUMBER(FIND("PreWeaned",$Y15)), "", $AU15*AZ15*BE15*$BF15*$BG15)</f>
        <v>1.0103031038586839E-2</v>
      </c>
      <c r="BM15" t="str">
        <f>IF(ISNUMBER(FIND("PreWeaned",Y15)),_xlfn.XLOOKUP(Y15,Constants!$J$2:$J$3,Constants!$K$2:$K$3), "")</f>
        <v/>
      </c>
      <c r="BN15">
        <f t="shared" ref="BN15:BN22" si="39">Z15*AA15*SUM(BH15:BM15)</f>
        <v>9064.9765709892527</v>
      </c>
      <c r="BO15">
        <f>SUM(BN15:BN21)/1000</f>
        <v>10.475976781490006</v>
      </c>
    </row>
    <row r="16" spans="1:67" x14ac:dyDescent="0.2">
      <c r="A16" t="str">
        <f>'Input Scenarios'!A16</f>
        <v>QLD</v>
      </c>
      <c r="B16">
        <f>'Input Scenarios'!B16</f>
        <v>0</v>
      </c>
      <c r="C16" t="str">
        <f>'Input Scenarios'!C16</f>
        <v>Non-irrigated crop (high rainfall)</v>
      </c>
      <c r="D16" t="str">
        <f>'Input Scenarios'!D16</f>
        <v>wet</v>
      </c>
      <c r="E16" t="b">
        <f>'Input Scenarios'!E16</f>
        <v>1</v>
      </c>
      <c r="F16" t="str">
        <f>'Input Scenarios'!F16</f>
        <v>Limited feedpad</v>
      </c>
      <c r="G16">
        <f>IF('Input Scenarios'!G16&lt;&gt;"", 'Input Scenarios'!G16, _xlfn.XLOOKUP($F16, Constants!$M$6:$M$9,Constants!N$6:N$9))</f>
        <v>0.79</v>
      </c>
      <c r="H16">
        <f>IF('Input Scenarios'!H16&lt;&gt;"", 'Input Scenarios'!H16, _xlfn.XLOOKUP($F16, Constants!$M$6:$M$9,Constants!O$6:O$9))</f>
        <v>0.11</v>
      </c>
      <c r="I16">
        <f>IF('Input Scenarios'!I16&lt;&gt;"", 'Input Scenarios'!I16, _xlfn.XLOOKUP($F16, Constants!$M$6:$M$9,Constants!P$6:P$9))</f>
        <v>0.1</v>
      </c>
      <c r="J16">
        <f>'Input Scenarios'!J16</f>
        <v>0</v>
      </c>
      <c r="K16">
        <f>'Input Scenarios'!K16</f>
        <v>0</v>
      </c>
      <c r="L16">
        <f>'Input Scenarios'!L16</f>
        <v>1</v>
      </c>
      <c r="M16">
        <f>'Input Scenarios'!M16</f>
        <v>0</v>
      </c>
      <c r="N16">
        <f>'Input Scenarios'!N16</f>
        <v>1</v>
      </c>
      <c r="O16">
        <f>'Input Scenarios'!O16</f>
        <v>0</v>
      </c>
      <c r="P16">
        <f>'Input Scenarios'!P16</f>
        <v>0</v>
      </c>
      <c r="Q16">
        <f>'Input Scenarios'!Q16</f>
        <v>0</v>
      </c>
      <c r="R16" t="b">
        <f>'Input Scenarios'!R16</f>
        <v>1</v>
      </c>
      <c r="S16">
        <f>IF('Input Scenarios'!S16&lt;&gt;"", 'Input Scenarios'!S16, IF(R16, Constants!$B$38, 0))</f>
        <v>0.2</v>
      </c>
      <c r="T16" t="str">
        <f>IF('Input Scenarios'!T16&lt;&gt;"", 'Input Scenarios'!T16, "")</f>
        <v/>
      </c>
      <c r="U16">
        <f>IF('Input Scenarios'!U16&lt;&gt;"", 'Input Scenarios'!U16, IF(W16&lt;&gt;"", "", Constants!$B$39))</f>
        <v>4</v>
      </c>
      <c r="V16">
        <f>IF('Input Scenarios'!V16&lt;&gt;"", 'Input Scenarios'!V16, IF(W16&lt;&gt;"", "", Constants!$B$40))</f>
        <v>3.3</v>
      </c>
      <c r="W16" t="str">
        <f>IF('Input Scenarios'!W16&lt;&gt;"", 'Input Scenarios'!W16, "")</f>
        <v/>
      </c>
      <c r="X16" t="str">
        <f>'Input Scenarios'!X16</f>
        <v>Large Friesian</v>
      </c>
      <c r="Y16" t="str">
        <f>'Input Scenarios'!Y16</f>
        <v>heifersGt1</v>
      </c>
      <c r="Z16">
        <f>'Input Scenarios'!Z16</f>
        <v>200</v>
      </c>
      <c r="AA16">
        <f>IF('Input Scenarios'!AA16&lt;&gt;"", 'Input Scenarios'!AA16, _xlfn.XLOOKUP(Y16,Constants!$J$6:$J$12,Constants!$K$6:$K$12))</f>
        <v>365</v>
      </c>
      <c r="AB16">
        <f>IF('Input Scenarios'!AB16&lt;&gt;"", 'Input Scenarios'!AB16, INDEX(Constants!$B$2:$H$11, MATCH(X16, Constants!$A$2:$A$11, 0), MATCH(Y16,Constants!$B$1:$H$1, 0)))</f>
        <v>415</v>
      </c>
      <c r="AC16">
        <f>IF('Input Scenarios'!AC16&lt;&gt;"", 'Input Scenarios'!AC16, _xlfn.XLOOKUP(Y16, Constants!$B$13:$H$13, Constants!$B$15:$H$15, ""))</f>
        <v>0.6</v>
      </c>
      <c r="AD16">
        <f>IF('Input Scenarios'!AD16&lt;&gt;"", 'Input Scenarios'!AD16, Constants!$B$45)</f>
        <v>0.75</v>
      </c>
      <c r="AE16">
        <f>IF('Input Scenarios'!AE16&lt;&gt;"", 'Input Scenarios'!AE16, Constants!$B$46)</f>
        <v>0.2</v>
      </c>
      <c r="AF16">
        <f t="shared" ref="AF16:AF35" si="40">IF($Y16="milkingCows",($H16*J16)+($I16*N16), 0)</f>
        <v>0</v>
      </c>
      <c r="AG16">
        <f t="shared" ref="AG16:AG43" si="41">IF($Y16="milkingCows",($H16*K16)+($I16*O16), 0)</f>
        <v>0</v>
      </c>
      <c r="AH16">
        <f t="shared" ref="AH16:AH43" si="42">IF($Y16="milkingCows",($H16*L16)+($I16*P16), 0)</f>
        <v>0</v>
      </c>
      <c r="AI16">
        <f t="shared" ref="AI16:AI43" si="43">IF($Y16="milkingCows",($H16*M16)+($I16*Q16), 0)</f>
        <v>0</v>
      </c>
      <c r="AJ16">
        <f t="shared" ref="AJ16:AJ35" si="44">IF($Y16="milkingCows",G16, 1)</f>
        <v>1</v>
      </c>
      <c r="AK16">
        <f t="shared" si="24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25"/>
        <v>0.5948500000000001</v>
      </c>
      <c r="AQ16">
        <f t="shared" si="26"/>
        <v>0</v>
      </c>
      <c r="AR16">
        <f>IF(Y16="milkingCows", Constants!$P$2, Constants!$P$3)</f>
        <v>1</v>
      </c>
      <c r="AS16" s="18">
        <f t="shared" si="27"/>
        <v>7.8978703992249981</v>
      </c>
      <c r="AT16">
        <f>Constants!$B$47</f>
        <v>0.08</v>
      </c>
      <c r="AU16">
        <f t="shared" si="28"/>
        <v>2.1071518225132295</v>
      </c>
      <c r="AV16">
        <f t="shared" si="29"/>
        <v>0</v>
      </c>
      <c r="AW16">
        <f t="shared" si="30"/>
        <v>0</v>
      </c>
      <c r="AX16">
        <f t="shared" si="31"/>
        <v>0</v>
      </c>
      <c r="AY16">
        <f t="shared" si="32"/>
        <v>0</v>
      </c>
      <c r="AZ16">
        <f t="shared" si="33"/>
        <v>1</v>
      </c>
      <c r="BA16">
        <f>_xlfn.XLOOKUP($A16, Constants!$E$18:$L$18,Constants!$E$19:$L$19)</f>
        <v>0.78</v>
      </c>
      <c r="BB16">
        <f>_xlfn.XLOOKUP($A16, Constants!$E$18:$L$18,Constants!$E$20:$L$20)</f>
        <v>5.0000000000000001E-3</v>
      </c>
      <c r="BC16">
        <f>_xlfn.XLOOKUP($A16, Constants!$E$18:$L$18,Constants!$E$21:$L$21)</f>
        <v>0.24</v>
      </c>
      <c r="BD16">
        <f>_xlfn.XLOOKUP($A16, Constants!$E$18:$L$18,Constants!$E$22:$L$22)</f>
        <v>0.02</v>
      </c>
      <c r="BE16">
        <f>_xlfn.XLOOKUP($A16, Constants!$E$18:$L$18,Constants!$E$23:$L$23)</f>
        <v>0.01</v>
      </c>
      <c r="BF16">
        <f>Constants!$B$48</f>
        <v>0.24</v>
      </c>
      <c r="BG16">
        <f>Constants!$B$49</f>
        <v>0.6784</v>
      </c>
      <c r="BH16">
        <f t="shared" si="34"/>
        <v>0</v>
      </c>
      <c r="BI16">
        <f t="shared" si="35"/>
        <v>0</v>
      </c>
      <c r="BJ16">
        <f t="shared" si="36"/>
        <v>0</v>
      </c>
      <c r="BK16">
        <f t="shared" si="37"/>
        <v>0</v>
      </c>
      <c r="BL16">
        <f t="shared" si="38"/>
        <v>3.4307803113431401E-3</v>
      </c>
      <c r="BM16" t="str">
        <f>IF(ISNUMBER(FIND("PreWeaned",Y16)),_xlfn.XLOOKUP(Y16,Constants!$J$2:$J$3,Constants!$K$2:$K$3), "")</f>
        <v/>
      </c>
      <c r="BN16">
        <f t="shared" si="39"/>
        <v>250.44696272804921</v>
      </c>
    </row>
    <row r="17" spans="1:67" x14ac:dyDescent="0.2">
      <c r="A17" t="str">
        <f>'Input Scenarios'!A17</f>
        <v>QLD</v>
      </c>
      <c r="B17">
        <f>'Input Scenarios'!B17</f>
        <v>0</v>
      </c>
      <c r="C17" t="str">
        <f>'Input Scenarios'!C17</f>
        <v>Non-irrigated crop (high rainfall)</v>
      </c>
      <c r="D17" t="str">
        <f>'Input Scenarios'!D17</f>
        <v>wet</v>
      </c>
      <c r="E17" t="b">
        <f>'Input Scenarios'!E17</f>
        <v>1</v>
      </c>
      <c r="F17" t="str">
        <f>'Input Scenarios'!F17</f>
        <v>Limited feedpad</v>
      </c>
      <c r="G17">
        <f>IF('Input Scenarios'!G17&lt;&gt;"", 'Input Scenarios'!G17, _xlfn.XLOOKUP($F17, Constants!$M$6:$M$9,Constants!N$6:N$9))</f>
        <v>0.79</v>
      </c>
      <c r="H17">
        <f>IF('Input Scenarios'!H17&lt;&gt;"", 'Input Scenarios'!H17, _xlfn.XLOOKUP($F17, Constants!$M$6:$M$9,Constants!O$6:O$9))</f>
        <v>0.11</v>
      </c>
      <c r="I17">
        <f>IF('Input Scenarios'!I17&lt;&gt;"", 'Input Scenarios'!I17, _xlfn.XLOOKUP($F17, Constants!$M$6:$M$9,Constants!P$6:P$9))</f>
        <v>0.1</v>
      </c>
      <c r="J17">
        <f>'Input Scenarios'!J17</f>
        <v>0</v>
      </c>
      <c r="K17">
        <f>'Input Scenarios'!K17</f>
        <v>0</v>
      </c>
      <c r="L17">
        <f>'Input Scenarios'!L17</f>
        <v>1</v>
      </c>
      <c r="M17">
        <f>'Input Scenarios'!M17</f>
        <v>0</v>
      </c>
      <c r="N17">
        <f>'Input Scenarios'!N17</f>
        <v>1</v>
      </c>
      <c r="O17">
        <f>'Input Scenarios'!O17</f>
        <v>0</v>
      </c>
      <c r="P17">
        <f>'Input Scenarios'!P17</f>
        <v>0</v>
      </c>
      <c r="Q17">
        <f>'Input Scenarios'!Q17</f>
        <v>0</v>
      </c>
      <c r="R17" t="b">
        <f>'Input Scenarios'!R17</f>
        <v>1</v>
      </c>
      <c r="S17">
        <f>IF('Input Scenarios'!S17&lt;&gt;"", 'Input Scenarios'!S17, IF(R17, Constants!$B$38, 0))</f>
        <v>0.2</v>
      </c>
      <c r="T17" t="str">
        <f>IF('Input Scenarios'!T17&lt;&gt;"", 'Input Scenarios'!T17, "")</f>
        <v/>
      </c>
      <c r="U17">
        <f>IF('Input Scenarios'!U17&lt;&gt;"", 'Input Scenarios'!U17, IF(W17&lt;&gt;"", "", Constants!$B$39))</f>
        <v>4</v>
      </c>
      <c r="V17">
        <f>IF('Input Scenarios'!V17&lt;&gt;"", 'Input Scenarios'!V17, IF(W17&lt;&gt;"", "", Constants!$B$40))</f>
        <v>3.3</v>
      </c>
      <c r="W17" t="str">
        <f>IF('Input Scenarios'!W17&lt;&gt;"", 'Input Scenarios'!W17, "")</f>
        <v/>
      </c>
      <c r="X17" t="str">
        <f>'Input Scenarios'!X17</f>
        <v>Large Friesian</v>
      </c>
      <c r="Y17" t="str">
        <f>'Input Scenarios'!Y17</f>
        <v>heifersLt1PreWeaned</v>
      </c>
      <c r="Z17">
        <f>'Input Scenarios'!Z17</f>
        <v>200</v>
      </c>
      <c r="AA17">
        <f>IF('Input Scenarios'!AA17&lt;&gt;"", 'Input Scenarios'!AA17, _xlfn.XLOOKUP(Y17,Constants!$J$6:$J$12,Constants!$K$6:$K$12))</f>
        <v>84</v>
      </c>
      <c r="AB17">
        <f>IF('Input Scenarios'!AB17&lt;&gt;"", 'Input Scenarios'!AB17, INDEX(Constants!$B$2:$H$11, MATCH(X17, Constants!$A$2:$A$11, 0), MATCH(Y17,Constants!$B$1:$H$1, 0)))</f>
        <v>170</v>
      </c>
      <c r="AC17" t="str">
        <f>IF('Input Scenarios'!AC17&lt;&gt;"", 'Input Scenarios'!AC17, _xlfn.XLOOKUP(Y17, Constants!$B$13:$H$13, Constants!$B$15:$H$15, ""))</f>
        <v/>
      </c>
      <c r="AD17">
        <f>IF('Input Scenarios'!AD17&lt;&gt;"", 'Input Scenarios'!AD17, Constants!$B$45)</f>
        <v>0.75</v>
      </c>
      <c r="AE17">
        <f>IF('Input Scenarios'!AE17&lt;&gt;"", 'Input Scenarios'!AE17, Constants!$B$46)</f>
        <v>0.2</v>
      </c>
      <c r="AF17">
        <f t="shared" si="40"/>
        <v>0</v>
      </c>
      <c r="AG17">
        <f t="shared" si="41"/>
        <v>0</v>
      </c>
      <c r="AH17">
        <f t="shared" si="42"/>
        <v>0</v>
      </c>
      <c r="AI17">
        <f t="shared" si="43"/>
        <v>0</v>
      </c>
      <c r="AJ17">
        <f t="shared" si="44"/>
        <v>1</v>
      </c>
      <c r="AK17">
        <f t="shared" si="24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25"/>
        <v>0.5948500000000001</v>
      </c>
      <c r="AQ17">
        <f t="shared" si="26"/>
        <v>0</v>
      </c>
      <c r="AR17">
        <f>IF(Y17="milkingCows", Constants!$P$2, Constants!$P$3)</f>
        <v>1</v>
      </c>
      <c r="AS17" s="18" t="str">
        <f t="shared" si="27"/>
        <v/>
      </c>
      <c r="AT17">
        <f>Constants!$B$47</f>
        <v>0.08</v>
      </c>
      <c r="AU17" t="str">
        <f t="shared" si="28"/>
        <v/>
      </c>
      <c r="AV17">
        <f t="shared" si="29"/>
        <v>0</v>
      </c>
      <c r="AW17">
        <f t="shared" si="30"/>
        <v>0</v>
      </c>
      <c r="AX17">
        <f t="shared" si="31"/>
        <v>0</v>
      </c>
      <c r="AY17">
        <f t="shared" si="32"/>
        <v>0</v>
      </c>
      <c r="AZ17">
        <f t="shared" si="33"/>
        <v>1</v>
      </c>
      <c r="BA17">
        <f>_xlfn.XLOOKUP($A17, Constants!$E$18:$L$18,Constants!$E$19:$L$19)</f>
        <v>0.78</v>
      </c>
      <c r="BB17">
        <f>_xlfn.XLOOKUP($A17, Constants!$E$18:$L$18,Constants!$E$20:$L$20)</f>
        <v>5.0000000000000001E-3</v>
      </c>
      <c r="BC17">
        <f>_xlfn.XLOOKUP($A17, Constants!$E$18:$L$18,Constants!$E$21:$L$21)</f>
        <v>0.24</v>
      </c>
      <c r="BD17">
        <f>_xlfn.XLOOKUP($A17, Constants!$E$18:$L$18,Constants!$E$22:$L$22)</f>
        <v>0.02</v>
      </c>
      <c r="BE17">
        <f>_xlfn.XLOOKUP($A17, Constants!$E$18:$L$18,Constants!$E$23:$L$23)</f>
        <v>0.01</v>
      </c>
      <c r="BF17">
        <f>Constants!$B$48</f>
        <v>0.24</v>
      </c>
      <c r="BG17">
        <f>Constants!$B$49</f>
        <v>0.6784</v>
      </c>
      <c r="BH17" t="str">
        <f t="shared" si="34"/>
        <v/>
      </c>
      <c r="BI17" t="str">
        <f t="shared" si="35"/>
        <v/>
      </c>
      <c r="BJ17" t="str">
        <f t="shared" si="36"/>
        <v/>
      </c>
      <c r="BK17" t="str">
        <f t="shared" si="37"/>
        <v/>
      </c>
      <c r="BL17" t="str">
        <f t="shared" si="38"/>
        <v/>
      </c>
      <c r="BM17">
        <f>IF(ISNUMBER(FIND("PreWeaned",Y17)),_xlfn.XLOOKUP(Y17,Constants!$J$2:$J$3,Constants!$K$2:$K$3), "")</f>
        <v>1.7600000000000001E-2</v>
      </c>
      <c r="BN17">
        <f t="shared" si="39"/>
        <v>295.68</v>
      </c>
    </row>
    <row r="18" spans="1:67" x14ac:dyDescent="0.2">
      <c r="A18" t="str">
        <f>'Input Scenarios'!A18</f>
        <v>QLD</v>
      </c>
      <c r="B18">
        <f>'Input Scenarios'!B18</f>
        <v>0</v>
      </c>
      <c r="C18" t="str">
        <f>'Input Scenarios'!C18</f>
        <v>Non-irrigated crop (high rainfall)</v>
      </c>
      <c r="D18" t="str">
        <f>'Input Scenarios'!D18</f>
        <v>wet</v>
      </c>
      <c r="E18" t="b">
        <f>'Input Scenarios'!E18</f>
        <v>1</v>
      </c>
      <c r="F18" t="str">
        <f>'Input Scenarios'!F18</f>
        <v>Limited feedpad</v>
      </c>
      <c r="G18">
        <f>IF('Input Scenarios'!G18&lt;&gt;"", 'Input Scenarios'!G18, _xlfn.XLOOKUP($F18, Constants!$M$6:$M$9,Constants!N$6:N$9))</f>
        <v>0.79</v>
      </c>
      <c r="H18">
        <f>IF('Input Scenarios'!H18&lt;&gt;"", 'Input Scenarios'!H18, _xlfn.XLOOKUP($F18, Constants!$M$6:$M$9,Constants!O$6:O$9))</f>
        <v>0.11</v>
      </c>
      <c r="I18">
        <f>IF('Input Scenarios'!I18&lt;&gt;"", 'Input Scenarios'!I18, _xlfn.XLOOKUP($F18, Constants!$M$6:$M$9,Constants!P$6:P$9))</f>
        <v>0.1</v>
      </c>
      <c r="J18">
        <f>'Input Scenarios'!J18</f>
        <v>0</v>
      </c>
      <c r="K18">
        <f>'Input Scenarios'!K18</f>
        <v>0</v>
      </c>
      <c r="L18">
        <f>'Input Scenarios'!L18</f>
        <v>1</v>
      </c>
      <c r="M18">
        <f>'Input Scenarios'!M18</f>
        <v>0</v>
      </c>
      <c r="N18">
        <f>'Input Scenarios'!N18</f>
        <v>1</v>
      </c>
      <c r="O18">
        <f>'Input Scenarios'!O18</f>
        <v>0</v>
      </c>
      <c r="P18">
        <f>'Input Scenarios'!P18</f>
        <v>0</v>
      </c>
      <c r="Q18">
        <f>'Input Scenarios'!Q18</f>
        <v>0</v>
      </c>
      <c r="R18" t="b">
        <f>'Input Scenarios'!R18</f>
        <v>1</v>
      </c>
      <c r="S18">
        <f>IF('Input Scenarios'!S18&lt;&gt;"", 'Input Scenarios'!S18, IF(R18, Constants!$B$38, 0))</f>
        <v>0.2</v>
      </c>
      <c r="T18" t="str">
        <f>IF('Input Scenarios'!T18&lt;&gt;"", 'Input Scenarios'!T18, "")</f>
        <v/>
      </c>
      <c r="U18">
        <f>IF('Input Scenarios'!U18&lt;&gt;"", 'Input Scenarios'!U18, IF(W18&lt;&gt;"", "", Constants!$B$39))</f>
        <v>4</v>
      </c>
      <c r="V18">
        <f>IF('Input Scenarios'!V18&lt;&gt;"", 'Input Scenarios'!V18, IF(W18&lt;&gt;"", "", Constants!$B$40))</f>
        <v>3.3</v>
      </c>
      <c r="W18" t="str">
        <f>IF('Input Scenarios'!W18&lt;&gt;"", 'Input Scenarios'!W18, "")</f>
        <v/>
      </c>
      <c r="X18" t="str">
        <f>'Input Scenarios'!X18</f>
        <v>Large Friesian</v>
      </c>
      <c r="Y18" t="str">
        <f>'Input Scenarios'!Y18</f>
        <v>heifersLt1Weaned</v>
      </c>
      <c r="Z18">
        <f>'Input Scenarios'!Z18</f>
        <v>200</v>
      </c>
      <c r="AA18">
        <f>IF('Input Scenarios'!AA18&lt;&gt;"", 'Input Scenarios'!AA18, _xlfn.XLOOKUP(Y18,Constants!$J$6:$J$12,Constants!$K$6:$K$12))</f>
        <v>281</v>
      </c>
      <c r="AB18">
        <f>IF('Input Scenarios'!AB18&lt;&gt;"", 'Input Scenarios'!AB18, INDEX(Constants!$B$2:$H$11, MATCH(X18, Constants!$A$2:$A$11, 0), MATCH(Y18,Constants!$B$1:$H$1, 0)))</f>
        <v>170</v>
      </c>
      <c r="AC18">
        <f>IF('Input Scenarios'!AC18&lt;&gt;"", 'Input Scenarios'!AC18, _xlfn.XLOOKUP(Y18, Constants!$B$13:$H$13, Constants!$B$15:$H$15, ""))</f>
        <v>0.56999999999999995</v>
      </c>
      <c r="AD18">
        <f>IF('Input Scenarios'!AD18&lt;&gt;"", 'Input Scenarios'!AD18, Constants!$B$45)</f>
        <v>0.75</v>
      </c>
      <c r="AE18">
        <f>IF('Input Scenarios'!AE18&lt;&gt;"", 'Input Scenarios'!AE18, Constants!$B$46)</f>
        <v>0.2</v>
      </c>
      <c r="AF18">
        <f t="shared" si="40"/>
        <v>0</v>
      </c>
      <c r="AG18">
        <f t="shared" si="41"/>
        <v>0</v>
      </c>
      <c r="AH18">
        <f t="shared" si="42"/>
        <v>0</v>
      </c>
      <c r="AI18">
        <f t="shared" si="43"/>
        <v>0</v>
      </c>
      <c r="AJ18">
        <f t="shared" si="44"/>
        <v>1</v>
      </c>
      <c r="AK18">
        <f t="shared" si="24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25"/>
        <v>0.5948500000000001</v>
      </c>
      <c r="AQ18">
        <f t="shared" si="26"/>
        <v>0</v>
      </c>
      <c r="AR18">
        <f>IF(Y18="milkingCows", Constants!$P$2, Constants!$P$3)</f>
        <v>1</v>
      </c>
      <c r="AS18" s="18">
        <f t="shared" si="27"/>
        <v>4.2485866641000003</v>
      </c>
      <c r="AT18">
        <f>Constants!$B$47</f>
        <v>0.08</v>
      </c>
      <c r="AU18">
        <f t="shared" si="28"/>
        <v>1.1335229219818801</v>
      </c>
      <c r="AV18">
        <f t="shared" si="29"/>
        <v>0</v>
      </c>
      <c r="AW18">
        <f t="shared" si="30"/>
        <v>0</v>
      </c>
      <c r="AX18">
        <f t="shared" si="31"/>
        <v>0</v>
      </c>
      <c r="AY18">
        <f t="shared" si="32"/>
        <v>0</v>
      </c>
      <c r="AZ18">
        <f t="shared" si="33"/>
        <v>1</v>
      </c>
      <c r="BA18">
        <f>_xlfn.XLOOKUP($A18, Constants!$E$18:$L$18,Constants!$E$19:$L$19)</f>
        <v>0.78</v>
      </c>
      <c r="BB18">
        <f>_xlfn.XLOOKUP($A18, Constants!$E$18:$L$18,Constants!$E$20:$L$20)</f>
        <v>5.0000000000000001E-3</v>
      </c>
      <c r="BC18">
        <f>_xlfn.XLOOKUP($A18, Constants!$E$18:$L$18,Constants!$E$21:$L$21)</f>
        <v>0.24</v>
      </c>
      <c r="BD18">
        <f>_xlfn.XLOOKUP($A18, Constants!$E$18:$L$18,Constants!$E$22:$L$22)</f>
        <v>0.02</v>
      </c>
      <c r="BE18">
        <f>_xlfn.XLOOKUP($A18, Constants!$E$18:$L$18,Constants!$E$23:$L$23)</f>
        <v>0.01</v>
      </c>
      <c r="BF18">
        <f>Constants!$B$48</f>
        <v>0.24</v>
      </c>
      <c r="BG18">
        <f>Constants!$B$49</f>
        <v>0.6784</v>
      </c>
      <c r="BH18">
        <f t="shared" si="34"/>
        <v>0</v>
      </c>
      <c r="BI18">
        <f t="shared" si="35"/>
        <v>0</v>
      </c>
      <c r="BJ18">
        <f t="shared" si="36"/>
        <v>0</v>
      </c>
      <c r="BK18">
        <f t="shared" si="37"/>
        <v>0</v>
      </c>
      <c r="BL18">
        <f t="shared" si="38"/>
        <v>1.8455566806540179E-3</v>
      </c>
      <c r="BM18" t="str">
        <f>IF(ISNUMBER(FIND("PreWeaned",Y18)),_xlfn.XLOOKUP(Y18,Constants!$J$2:$J$3,Constants!$K$2:$K$3), "")</f>
        <v/>
      </c>
      <c r="BN18">
        <f t="shared" si="39"/>
        <v>103.7202854527558</v>
      </c>
    </row>
    <row r="19" spans="1:67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crop (high rainfall)</v>
      </c>
      <c r="D19" t="str">
        <f>'Input Scenarios'!D19</f>
        <v>wet</v>
      </c>
      <c r="E19" t="b">
        <f>'Input Scenarios'!E19</f>
        <v>1</v>
      </c>
      <c r="F19" t="str">
        <f>'Input Scenarios'!F19</f>
        <v>Limited feedpad</v>
      </c>
      <c r="G19">
        <f>IF('Input Scenarios'!G19&lt;&gt;"", 'Input Scenarios'!G19, _xlfn.XLOOKUP($F19, Constants!$M$6:$M$9,Constants!N$6:N$9))</f>
        <v>0.79</v>
      </c>
      <c r="H19">
        <f>IF('Input Scenarios'!H19&lt;&gt;"", 'Input Scenarios'!H19, _xlfn.XLOOKUP($F19, Constants!$M$6:$M$9,Constants!O$6:O$9))</f>
        <v>0.11</v>
      </c>
      <c r="I19">
        <f>IF('Input Scenarios'!I19&lt;&gt;"", 'Input Scenarios'!I19, _xlfn.XLOOKUP($F19, Constants!$M$6:$M$9,Constants!P$6:P$9))</f>
        <v>0.1</v>
      </c>
      <c r="J19">
        <f>'Input Scenarios'!J19</f>
        <v>0</v>
      </c>
      <c r="K19">
        <f>'Input Scenarios'!K19</f>
        <v>0</v>
      </c>
      <c r="L19">
        <f>'Input Scenarios'!L19</f>
        <v>1</v>
      </c>
      <c r="M19">
        <f>'Input Scenarios'!M19</f>
        <v>0</v>
      </c>
      <c r="N19">
        <f>'Input Scenarios'!N19</f>
        <v>1</v>
      </c>
      <c r="O19">
        <f>'Input Scenarios'!O19</f>
        <v>0</v>
      </c>
      <c r="P19">
        <f>'Input Scenarios'!P19</f>
        <v>0</v>
      </c>
      <c r="Q19">
        <f>'Input Scenarios'!Q19</f>
        <v>0</v>
      </c>
      <c r="R19" t="b">
        <f>'Input Scenarios'!R19</f>
        <v>1</v>
      </c>
      <c r="S19">
        <f>IF('Input Scenarios'!S19&lt;&gt;"", 'Input Scenarios'!S19, IF(R19, Constants!$B$38, 0))</f>
        <v>0.2</v>
      </c>
      <c r="T19" t="str">
        <f>IF('Input Scenarios'!T19&lt;&gt;"", 'Input Scenarios'!T19, "")</f>
        <v/>
      </c>
      <c r="U19">
        <f>IF('Input Scenarios'!U19&lt;&gt;"", 'Input Scenarios'!U19, IF(W19&lt;&gt;"", "", Constants!$B$39))</f>
        <v>4</v>
      </c>
      <c r="V19">
        <f>IF('Input Scenarios'!V19&lt;&gt;"", 'Input Scenarios'!V19, IF(W19&lt;&gt;"", "", Constants!$B$40))</f>
        <v>3.3</v>
      </c>
      <c r="W19" t="str">
        <f>IF('Input Scenarios'!W19&lt;&gt;"", 'Input Scenarios'!W19, "")</f>
        <v/>
      </c>
      <c r="X19" t="str">
        <f>'Input Scenarios'!X19</f>
        <v>Large Friesian</v>
      </c>
      <c r="Y19" t="str">
        <f>'Input Scenarios'!Y19</f>
        <v>bullsGt1</v>
      </c>
      <c r="Z19">
        <f>'Input Scenarios'!Z19</f>
        <v>200</v>
      </c>
      <c r="AA19">
        <f>IF('Input Scenarios'!AA19&lt;&gt;"", 'Input Scenarios'!AA19, _xlfn.XLOOKUP(Y19,Constants!$J$6:$J$12,Constants!$K$6:$K$12))</f>
        <v>365</v>
      </c>
      <c r="AB19">
        <f>IF('Input Scenarios'!AB19&lt;&gt;"", 'Input Scenarios'!AB19, INDEX(Constants!$B$2:$H$11, MATCH(X19, Constants!$A$2:$A$11, 0), MATCH(Y19,Constants!$B$1:$H$1, 0)))</f>
        <v>600</v>
      </c>
      <c r="AC19">
        <f>IF('Input Scenarios'!AC19&lt;&gt;"", 'Input Scenarios'!AC19, _xlfn.XLOOKUP(Y19, Constants!$B$13:$H$13, Constants!$B$15:$H$15, ""))</f>
        <v>0.1</v>
      </c>
      <c r="AD19">
        <f>IF('Input Scenarios'!AD19&lt;&gt;"", 'Input Scenarios'!AD19, Constants!$B$45)</f>
        <v>0.75</v>
      </c>
      <c r="AE19">
        <f>IF('Input Scenarios'!AE19&lt;&gt;"", 'Input Scenarios'!AE19, Constants!$B$46)</f>
        <v>0.2</v>
      </c>
      <c r="AF19">
        <f t="shared" si="40"/>
        <v>0</v>
      </c>
      <c r="AG19">
        <f t="shared" si="41"/>
        <v>0</v>
      </c>
      <c r="AH19">
        <f t="shared" si="42"/>
        <v>0</v>
      </c>
      <c r="AI19">
        <f t="shared" si="43"/>
        <v>0</v>
      </c>
      <c r="AJ19">
        <f t="shared" si="44"/>
        <v>1</v>
      </c>
      <c r="AK19">
        <f t="shared" si="24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25"/>
        <v>0.5948500000000001</v>
      </c>
      <c r="AQ19">
        <f t="shared" si="26"/>
        <v>0</v>
      </c>
      <c r="AR19">
        <f>IF(Y19="milkingCows", Constants!$P$2, Constants!$P$3)</f>
        <v>1</v>
      </c>
      <c r="AS19" s="18">
        <f t="shared" si="27"/>
        <v>9.0270202499999979</v>
      </c>
      <c r="AT19">
        <f>Constants!$B$47</f>
        <v>0.08</v>
      </c>
      <c r="AU19">
        <f t="shared" si="28"/>
        <v>2.4084090026999996</v>
      </c>
      <c r="AV19">
        <f t="shared" si="29"/>
        <v>0</v>
      </c>
      <c r="AW19">
        <f t="shared" si="30"/>
        <v>0</v>
      </c>
      <c r="AX19">
        <f t="shared" si="31"/>
        <v>0</v>
      </c>
      <c r="AY19">
        <f t="shared" si="32"/>
        <v>0</v>
      </c>
      <c r="AZ19">
        <f t="shared" si="33"/>
        <v>1</v>
      </c>
      <c r="BA19">
        <f>_xlfn.XLOOKUP($A19, Constants!$E$18:$L$18,Constants!$E$19:$L$19)</f>
        <v>0.78</v>
      </c>
      <c r="BB19">
        <f>_xlfn.XLOOKUP($A19, Constants!$E$18:$L$18,Constants!$E$20:$L$20)</f>
        <v>5.0000000000000001E-3</v>
      </c>
      <c r="BC19">
        <f>_xlfn.XLOOKUP($A19, Constants!$E$18:$L$18,Constants!$E$21:$L$21)</f>
        <v>0.24</v>
      </c>
      <c r="BD19">
        <f>_xlfn.XLOOKUP($A19, Constants!$E$18:$L$18,Constants!$E$22:$L$22)</f>
        <v>0.02</v>
      </c>
      <c r="BE19">
        <f>_xlfn.XLOOKUP($A19, Constants!$E$18:$L$18,Constants!$E$23:$L$23)</f>
        <v>0.01</v>
      </c>
      <c r="BF19">
        <f>Constants!$B$48</f>
        <v>0.24</v>
      </c>
      <c r="BG19">
        <f>Constants!$B$49</f>
        <v>0.6784</v>
      </c>
      <c r="BH19">
        <f t="shared" si="34"/>
        <v>0</v>
      </c>
      <c r="BI19">
        <f t="shared" si="35"/>
        <v>0</v>
      </c>
      <c r="BJ19">
        <f t="shared" si="36"/>
        <v>0</v>
      </c>
      <c r="BK19">
        <f t="shared" si="37"/>
        <v>0</v>
      </c>
      <c r="BL19">
        <f t="shared" si="38"/>
        <v>3.9212752018360315E-3</v>
      </c>
      <c r="BM19" t="str">
        <f>IF(ISNUMBER(FIND("PreWeaned",Y19)),_xlfn.XLOOKUP(Y19,Constants!$J$2:$J$3,Constants!$K$2:$K$3), "")</f>
        <v/>
      </c>
      <c r="BN19">
        <f t="shared" si="39"/>
        <v>286.25308973403031</v>
      </c>
    </row>
    <row r="20" spans="1:67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crop (high rainfall)</v>
      </c>
      <c r="D20" t="str">
        <f>'Input Scenarios'!D20</f>
        <v>wet</v>
      </c>
      <c r="E20" t="b">
        <f>'Input Scenarios'!E20</f>
        <v>1</v>
      </c>
      <c r="F20" t="str">
        <f>'Input Scenarios'!F20</f>
        <v>Limited feedpad</v>
      </c>
      <c r="G20">
        <f>IF('Input Scenarios'!G20&lt;&gt;"", 'Input Scenarios'!G20, _xlfn.XLOOKUP($F20, Constants!$M$6:$M$9,Constants!N$6:N$9))</f>
        <v>0.79</v>
      </c>
      <c r="H20">
        <f>IF('Input Scenarios'!H20&lt;&gt;"", 'Input Scenarios'!H20, _xlfn.XLOOKUP($F20, Constants!$M$6:$M$9,Constants!O$6:O$9))</f>
        <v>0.11</v>
      </c>
      <c r="I20">
        <f>IF('Input Scenarios'!I20&lt;&gt;"", 'Input Scenarios'!I20, _xlfn.XLOOKUP($F20, Constants!$M$6:$M$9,Constants!P$6:P$9))</f>
        <v>0.1</v>
      </c>
      <c r="J20">
        <f>'Input Scenarios'!J20</f>
        <v>0</v>
      </c>
      <c r="K20">
        <f>'Input Scenarios'!K20</f>
        <v>0</v>
      </c>
      <c r="L20">
        <f>'Input Scenarios'!L20</f>
        <v>1</v>
      </c>
      <c r="M20">
        <f>'Input Scenarios'!M20</f>
        <v>0</v>
      </c>
      <c r="N20">
        <f>'Input Scenarios'!N20</f>
        <v>1</v>
      </c>
      <c r="O20">
        <f>'Input Scenarios'!O20</f>
        <v>0</v>
      </c>
      <c r="P20">
        <f>'Input Scenarios'!P20</f>
        <v>0</v>
      </c>
      <c r="Q20">
        <f>'Input Scenarios'!Q20</f>
        <v>0</v>
      </c>
      <c r="R20" t="b">
        <f>'Input Scenarios'!R20</f>
        <v>1</v>
      </c>
      <c r="S20">
        <f>IF('Input Scenarios'!S20&lt;&gt;"", 'Input Scenarios'!S20, IF(R20, Constants!$B$38, 0))</f>
        <v>0.2</v>
      </c>
      <c r="T20" t="str">
        <f>IF('Input Scenarios'!T20&lt;&gt;"", 'Input Scenarios'!T20, "")</f>
        <v/>
      </c>
      <c r="U20">
        <f>IF('Input Scenarios'!U20&lt;&gt;"", 'Input Scenarios'!U20, IF(W20&lt;&gt;"", "", Constants!$B$39))</f>
        <v>4</v>
      </c>
      <c r="V20">
        <f>IF('Input Scenarios'!V20&lt;&gt;"", 'Input Scenarios'!V20, IF(W20&lt;&gt;"", "", Constants!$B$40))</f>
        <v>3.3</v>
      </c>
      <c r="W20" t="str">
        <f>IF('Input Scenarios'!W20&lt;&gt;"", 'Input Scenarios'!W20, "")</f>
        <v/>
      </c>
      <c r="X20" t="str">
        <f>'Input Scenarios'!X20</f>
        <v>Large Friesian</v>
      </c>
      <c r="Y20" t="str">
        <f>'Input Scenarios'!Y20</f>
        <v>bullsLt1PreWeaned</v>
      </c>
      <c r="Z20">
        <f>'Input Scenarios'!Z20</f>
        <v>200</v>
      </c>
      <c r="AA20">
        <f>IF('Input Scenarios'!AA20&lt;&gt;"", 'Input Scenarios'!AA20, _xlfn.XLOOKUP(Y20,Constants!$J$6:$J$12,Constants!$K$6:$K$12))</f>
        <v>84</v>
      </c>
      <c r="AB20">
        <f>IF('Input Scenarios'!AB20&lt;&gt;"", 'Input Scenarios'!AB20, INDEX(Constants!$B$2:$H$11, MATCH(X20, Constants!$A$2:$A$11, 0), MATCH(Y20,Constants!$B$1:$H$1, 0)))</f>
        <v>225</v>
      </c>
      <c r="AC20" t="str">
        <f>IF('Input Scenarios'!AC20&lt;&gt;"", 'Input Scenarios'!AC20, _xlfn.XLOOKUP(Y20, Constants!$B$13:$H$13, Constants!$B$15:$H$15, ""))</f>
        <v/>
      </c>
      <c r="AD20">
        <f>IF('Input Scenarios'!AD20&lt;&gt;"", 'Input Scenarios'!AD20, Constants!$B$45)</f>
        <v>0.75</v>
      </c>
      <c r="AE20">
        <f>IF('Input Scenarios'!AE20&lt;&gt;"", 'Input Scenarios'!AE20, Constants!$B$46)</f>
        <v>0.2</v>
      </c>
      <c r="AF20">
        <f t="shared" si="40"/>
        <v>0</v>
      </c>
      <c r="AG20">
        <f t="shared" si="41"/>
        <v>0</v>
      </c>
      <c r="AH20">
        <f t="shared" si="42"/>
        <v>0</v>
      </c>
      <c r="AI20">
        <f t="shared" si="43"/>
        <v>0</v>
      </c>
      <c r="AJ20">
        <f t="shared" si="44"/>
        <v>1</v>
      </c>
      <c r="AK20">
        <f t="shared" si="24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25"/>
        <v>0.5948500000000001</v>
      </c>
      <c r="AQ20">
        <f t="shared" si="26"/>
        <v>0</v>
      </c>
      <c r="AR20">
        <f>IF(Y20="milkingCows", Constants!$P$2, Constants!$P$3)</f>
        <v>1</v>
      </c>
      <c r="AS20" s="18" t="str">
        <f t="shared" si="27"/>
        <v/>
      </c>
      <c r="AT20">
        <f>Constants!$B$47</f>
        <v>0.08</v>
      </c>
      <c r="AU20" t="str">
        <f t="shared" si="28"/>
        <v/>
      </c>
      <c r="AV20">
        <f t="shared" si="29"/>
        <v>0</v>
      </c>
      <c r="AW20">
        <f t="shared" si="30"/>
        <v>0</v>
      </c>
      <c r="AX20">
        <f t="shared" si="31"/>
        <v>0</v>
      </c>
      <c r="AY20">
        <f t="shared" si="32"/>
        <v>0</v>
      </c>
      <c r="AZ20">
        <f t="shared" si="33"/>
        <v>1</v>
      </c>
      <c r="BA20">
        <f>_xlfn.XLOOKUP($A20, Constants!$E$18:$L$18,Constants!$E$19:$L$19)</f>
        <v>0.78</v>
      </c>
      <c r="BB20">
        <f>_xlfn.XLOOKUP($A20, Constants!$E$18:$L$18,Constants!$E$20:$L$20)</f>
        <v>5.0000000000000001E-3</v>
      </c>
      <c r="BC20">
        <f>_xlfn.XLOOKUP($A20, Constants!$E$18:$L$18,Constants!$E$21:$L$21)</f>
        <v>0.24</v>
      </c>
      <c r="BD20">
        <f>_xlfn.XLOOKUP($A20, Constants!$E$18:$L$18,Constants!$E$22:$L$22)</f>
        <v>0.02</v>
      </c>
      <c r="BE20">
        <f>_xlfn.XLOOKUP($A20, Constants!$E$18:$L$18,Constants!$E$23:$L$23)</f>
        <v>0.01</v>
      </c>
      <c r="BF20">
        <f>Constants!$B$48</f>
        <v>0.24</v>
      </c>
      <c r="BG20">
        <f>Constants!$B$49</f>
        <v>0.6784</v>
      </c>
      <c r="BH20" t="str">
        <f t="shared" si="34"/>
        <v/>
      </c>
      <c r="BI20" t="str">
        <f t="shared" si="35"/>
        <v/>
      </c>
      <c r="BJ20" t="str">
        <f t="shared" si="36"/>
        <v/>
      </c>
      <c r="BK20" t="str">
        <f t="shared" si="37"/>
        <v/>
      </c>
      <c r="BL20" t="str">
        <f t="shared" si="38"/>
        <v/>
      </c>
      <c r="BM20">
        <f>IF(ISNUMBER(FIND("PreWeaned",Y20)),_xlfn.XLOOKUP(Y20,Constants!$J$2:$J$3,Constants!$K$2:$K$3), "")</f>
        <v>2.0400000000000001E-2</v>
      </c>
      <c r="BN20">
        <f t="shared" si="39"/>
        <v>342.72</v>
      </c>
    </row>
    <row r="21" spans="1:67" s="16" customFormat="1" x14ac:dyDescent="0.2">
      <c r="A21" s="16" t="str">
        <f>'Input Scenarios'!A21</f>
        <v>QLD</v>
      </c>
      <c r="B21" s="16">
        <f>'Input Scenarios'!B21</f>
        <v>0</v>
      </c>
      <c r="C21" s="16" t="str">
        <f>'Input Scenarios'!C21</f>
        <v>Non-irrigated crop (high rainfall)</v>
      </c>
      <c r="D21" s="16" t="str">
        <f>'Input Scenarios'!D21</f>
        <v>wet</v>
      </c>
      <c r="E21" s="16" t="b">
        <f>'Input Scenarios'!E21</f>
        <v>1</v>
      </c>
      <c r="F21" s="16" t="str">
        <f>'Input Scenarios'!F21</f>
        <v>Limited feedpad</v>
      </c>
      <c r="G21" s="16">
        <f>IF('Input Scenarios'!G21&lt;&gt;"", 'Input Scenarios'!G21, _xlfn.XLOOKUP($F21, Constants!$M$6:$M$9,Constants!N$6:N$9))</f>
        <v>0.79</v>
      </c>
      <c r="H21" s="16">
        <f>IF('Input Scenarios'!H21&lt;&gt;"", 'Input Scenarios'!H21, _xlfn.XLOOKUP($F21, Constants!$M$6:$M$9,Constants!O$6:O$9))</f>
        <v>0.11</v>
      </c>
      <c r="I21" s="16">
        <f>IF('Input Scenarios'!I21&lt;&gt;"", 'Input Scenarios'!I21, _xlfn.XLOOKUP($F21, Constants!$M$6:$M$9,Constants!P$6:P$9))</f>
        <v>0.1</v>
      </c>
      <c r="J21" s="16">
        <f>'Input Scenarios'!J21</f>
        <v>0</v>
      </c>
      <c r="K21" s="16">
        <f>'Input Scenarios'!K21</f>
        <v>0</v>
      </c>
      <c r="L21" s="16">
        <f>'Input Scenarios'!L21</f>
        <v>1</v>
      </c>
      <c r="M21" s="16">
        <f>'Input Scenarios'!M21</f>
        <v>0</v>
      </c>
      <c r="N21" s="16">
        <f>'Input Scenarios'!N21</f>
        <v>1</v>
      </c>
      <c r="O21" s="16">
        <f>'Input Scenarios'!O21</f>
        <v>0</v>
      </c>
      <c r="P21" s="16">
        <f>'Input Scenarios'!P21</f>
        <v>0</v>
      </c>
      <c r="Q21" s="16">
        <f>'Input Scenarios'!Q21</f>
        <v>0</v>
      </c>
      <c r="R21" s="16" t="b">
        <f>'Input Scenarios'!R21</f>
        <v>1</v>
      </c>
      <c r="S21" s="16">
        <f>IF('Input Scenarios'!S21&lt;&gt;"", 'Input Scenarios'!S21, IF(R21, Constants!$B$38, 0))</f>
        <v>0.2</v>
      </c>
      <c r="T21" s="16" t="str">
        <f>IF('Input Scenarios'!T21&lt;&gt;"", 'Input Scenarios'!T21, "")</f>
        <v/>
      </c>
      <c r="U21" s="16">
        <f>IF('Input Scenarios'!U21&lt;&gt;"", 'Input Scenarios'!U21, IF(W21&lt;&gt;"", "", Constants!$B$39))</f>
        <v>4</v>
      </c>
      <c r="V21" s="16">
        <f>IF('Input Scenarios'!V21&lt;&gt;"", 'Input Scenarios'!V21, IF(W21&lt;&gt;"", "", Constants!$B$40))</f>
        <v>3.3</v>
      </c>
      <c r="W21" s="16" t="str">
        <f>IF('Input Scenarios'!W21&lt;&gt;"", 'Input Scenarios'!W21, "")</f>
        <v/>
      </c>
      <c r="X21" s="16" t="str">
        <f>'Input Scenarios'!X21</f>
        <v>Large Friesian</v>
      </c>
      <c r="Y21" s="16" t="str">
        <f>'Input Scenarios'!Y21</f>
        <v>bullsLt1Weaned</v>
      </c>
      <c r="Z21" s="16">
        <f>'Input Scenarios'!Z21</f>
        <v>200</v>
      </c>
      <c r="AA21" s="16">
        <f>IF('Input Scenarios'!AA21&lt;&gt;"", 'Input Scenarios'!AA21, _xlfn.XLOOKUP(Y21,Constants!$J$6:$J$12,Constants!$K$6:$K$12))</f>
        <v>281</v>
      </c>
      <c r="AB21" s="16">
        <f>IF('Input Scenarios'!AB21&lt;&gt;"", 'Input Scenarios'!AB21, INDEX(Constants!$B$2:$H$11, MATCH(X21, Constants!$A$2:$A$11, 0), MATCH(Y21,Constants!$B$1:$H$1, 0)))</f>
        <v>225</v>
      </c>
      <c r="AC21" s="16">
        <f>IF('Input Scenarios'!AC21&lt;&gt;"", 'Input Scenarios'!AC21, _xlfn.XLOOKUP(Y21, Constants!$B$13:$H$13, Constants!$B$15:$H$15, ""))</f>
        <v>0.8</v>
      </c>
      <c r="AD21" s="16">
        <f>IF('Input Scenarios'!AD21&lt;&gt;"", 'Input Scenarios'!AD21, Constants!$B$45)</f>
        <v>0.75</v>
      </c>
      <c r="AE21" s="16">
        <f>IF('Input Scenarios'!AE21&lt;&gt;"", 'Input Scenarios'!AE21, Constants!$B$46)</f>
        <v>0.2</v>
      </c>
      <c r="AF21" s="16">
        <f t="shared" si="40"/>
        <v>0</v>
      </c>
      <c r="AG21" s="16">
        <f t="shared" si="41"/>
        <v>0</v>
      </c>
      <c r="AH21" s="16">
        <f t="shared" si="42"/>
        <v>0</v>
      </c>
      <c r="AI21" s="16">
        <f t="shared" si="43"/>
        <v>0</v>
      </c>
      <c r="AJ21" s="16">
        <f t="shared" si="44"/>
        <v>1</v>
      </c>
      <c r="AK21" s="16">
        <f t="shared" si="24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25"/>
        <v>0.5948500000000001</v>
      </c>
      <c r="AQ21" s="16">
        <f t="shared" si="26"/>
        <v>0</v>
      </c>
      <c r="AR21" s="16">
        <f>IF(Y21="milkingCows", Constants!$P$2, Constants!$P$3)</f>
        <v>1</v>
      </c>
      <c r="AS21" s="19">
        <f t="shared" si="27"/>
        <v>5.4143472656250013</v>
      </c>
      <c r="AT21" s="16">
        <f>Constants!$B$47</f>
        <v>0.08</v>
      </c>
      <c r="AU21" s="16">
        <f t="shared" si="28"/>
        <v>1.4445478504687506</v>
      </c>
      <c r="AV21" s="16">
        <f t="shared" si="29"/>
        <v>0</v>
      </c>
      <c r="AW21" s="16">
        <f t="shared" si="30"/>
        <v>0</v>
      </c>
      <c r="AX21" s="16">
        <f t="shared" si="31"/>
        <v>0</v>
      </c>
      <c r="AY21" s="16">
        <f t="shared" si="32"/>
        <v>0</v>
      </c>
      <c r="AZ21" s="16">
        <f t="shared" si="33"/>
        <v>1</v>
      </c>
      <c r="BA21" s="16">
        <f>_xlfn.XLOOKUP($A21, Constants!$E$18:$L$18,Constants!$E$19:$L$19)</f>
        <v>0.78</v>
      </c>
      <c r="BB21" s="16">
        <f>_xlfn.XLOOKUP($A21, Constants!$E$18:$L$18,Constants!$E$20:$L$20)</f>
        <v>5.0000000000000001E-3</v>
      </c>
      <c r="BC21" s="16">
        <f>_xlfn.XLOOKUP($A21, Constants!$E$18:$L$18,Constants!$E$21:$L$21)</f>
        <v>0.24</v>
      </c>
      <c r="BD21" s="16">
        <f>_xlfn.XLOOKUP($A21, Constants!$E$18:$L$18,Constants!$E$22:$L$22)</f>
        <v>0.02</v>
      </c>
      <c r="BE21" s="16">
        <f>_xlfn.XLOOKUP($A21, Constants!$E$18:$L$18,Constants!$E$23:$L$23)</f>
        <v>0.01</v>
      </c>
      <c r="BF21" s="16">
        <f>Constants!$B$48</f>
        <v>0.24</v>
      </c>
      <c r="BG21" s="16">
        <f>Constants!$B$49</f>
        <v>0.6784</v>
      </c>
      <c r="BH21" s="16">
        <f t="shared" si="34"/>
        <v>0</v>
      </c>
      <c r="BI21" s="16">
        <f t="shared" si="35"/>
        <v>0</v>
      </c>
      <c r="BJ21" s="16">
        <f t="shared" si="36"/>
        <v>0</v>
      </c>
      <c r="BK21" s="16">
        <f t="shared" si="37"/>
        <v>0</v>
      </c>
      <c r="BL21" s="16">
        <f t="shared" si="38"/>
        <v>2.351955028219201E-3</v>
      </c>
      <c r="BM21" s="16" t="str">
        <f>IF(ISNUMBER(FIND("PreWeaned",Y21)),_xlfn.XLOOKUP(Y21,Constants!$J$2:$J$3,Constants!$K$2:$K$3), "")</f>
        <v/>
      </c>
      <c r="BN21" s="16">
        <f t="shared" si="39"/>
        <v>132.1798725859191</v>
      </c>
    </row>
    <row r="22" spans="1:67" x14ac:dyDescent="0.2">
      <c r="A22" t="str">
        <f>'Input Scenarios'!A22</f>
        <v>NT</v>
      </c>
      <c r="B22">
        <f>'Input Scenarios'!B22</f>
        <v>0</v>
      </c>
      <c r="C22" t="str">
        <f>'Input Scenarios'!C22</f>
        <v>Irrigated pasture</v>
      </c>
      <c r="D22" t="str">
        <f>'Input Scenarios'!D22</f>
        <v>dry</v>
      </c>
      <c r="E22" t="b">
        <f>'Input Scenarios'!E22</f>
        <v>0</v>
      </c>
      <c r="F22" t="str">
        <f>'Input Scenarios'!F22</f>
        <v>Zero grazing</v>
      </c>
      <c r="G22">
        <f>IF('Input Scenarios'!G22&lt;&gt;"", 'Input Scenarios'!G22, _xlfn.XLOOKUP($F22, Constants!$M$6:$M$9,Constants!N$6:N$9))</f>
        <v>0</v>
      </c>
      <c r="H22">
        <f>IF('Input Scenarios'!H22&lt;&gt;"", 'Input Scenarios'!H22, _xlfn.XLOOKUP($F22, Constants!$M$6:$M$9,Constants!O$6:O$9))</f>
        <v>0.11</v>
      </c>
      <c r="I22">
        <f>IF('Input Scenarios'!I22&lt;&gt;"", 'Input Scenarios'!I22, _xlfn.XLOOKUP($F22, Constants!$M$6:$M$9,Constants!P$6:P$9))</f>
        <v>0.89</v>
      </c>
      <c r="J22">
        <f>'Input Scenarios'!J22</f>
        <v>0</v>
      </c>
      <c r="K22">
        <f>'Input Scenarios'!K22</f>
        <v>0.5</v>
      </c>
      <c r="L22">
        <f>'Input Scenarios'!L22</f>
        <v>0.5</v>
      </c>
      <c r="M22">
        <f>'Input Scenarios'!M22</f>
        <v>0</v>
      </c>
      <c r="N22">
        <f>'Input Scenarios'!N22</f>
        <v>0.5</v>
      </c>
      <c r="O22">
        <f>'Input Scenarios'!O22</f>
        <v>0</v>
      </c>
      <c r="P22">
        <f>'Input Scenarios'!P22</f>
        <v>0</v>
      </c>
      <c r="Q22">
        <f>'Input Scenarios'!Q22</f>
        <v>0.5</v>
      </c>
      <c r="R22" t="b">
        <f>'Input Scenarios'!R22</f>
        <v>0</v>
      </c>
      <c r="S22">
        <f>IF('Input Scenarios'!S22&lt;&gt;"", 'Input Scenarios'!S22, IF(R22, Constants!$B$38, 0))</f>
        <v>0</v>
      </c>
      <c r="T22">
        <f>IF('Input Scenarios'!T22&lt;&gt;"", 'Input Scenarios'!T22, "")</f>
        <v>2.8</v>
      </c>
      <c r="U22">
        <f>IF('Input Scenarios'!U22&lt;&gt;"", 'Input Scenarios'!U22, IF(W22&lt;&gt;"", "", Constants!$B$39))</f>
        <v>4</v>
      </c>
      <c r="V22">
        <f>IF('Input Scenarios'!V22&lt;&gt;"", 'Input Scenarios'!V22, IF(W22&lt;&gt;"", "", Constants!$B$40))</f>
        <v>3.3</v>
      </c>
      <c r="W22" t="str">
        <f>IF('Input Scenarios'!W22&lt;&gt;"", 'Input Scenarios'!W22, "")</f>
        <v/>
      </c>
      <c r="X22" t="str">
        <f>'Input Scenarios'!X22</f>
        <v>Holstein-Friesian</v>
      </c>
      <c r="Y22" t="str">
        <f>'Input Scenarios'!Y22</f>
        <v>milkingCows</v>
      </c>
      <c r="Z22">
        <f>'Input Scenarios'!Z22</f>
        <v>200</v>
      </c>
      <c r="AA22">
        <f>IF('Input Scenarios'!AA22&lt;&gt;"", 'Input Scenarios'!AA22, _xlfn.XLOOKUP(Y22,Constants!$J$6:$J$12,Constants!$K$6:$K$12))</f>
        <v>365</v>
      </c>
      <c r="AB22">
        <f>IF('Input Scenarios'!AB22&lt;&gt;"", 'Input Scenarios'!AB22, INDEX(Constants!$B$2:$H$11, MATCH(X22, Constants!$A$2:$A$11, 0), MATCH(Y22,Constants!$B$1:$H$1, 0)))</f>
        <v>650</v>
      </c>
      <c r="AC22">
        <f>IF('Input Scenarios'!AC22&lt;&gt;"", 'Input Scenarios'!AC22, _xlfn.XLOOKUP(Y22, Constants!$B$13:$H$13, Constants!$B$15:$H$15, ""))</f>
        <v>1.6E-2</v>
      </c>
      <c r="AD22">
        <f>IF('Input Scenarios'!AD22&lt;&gt;"", 'Input Scenarios'!AD22, Constants!$B$45)</f>
        <v>0.75</v>
      </c>
      <c r="AE22">
        <f>IF('Input Scenarios'!AE22&lt;&gt;"", 'Input Scenarios'!AE22, Constants!$B$46)</f>
        <v>0.2</v>
      </c>
      <c r="AF22" s="20">
        <f t="shared" si="40"/>
        <v>0.44500000000000001</v>
      </c>
      <c r="AG22" s="20">
        <f t="shared" si="41"/>
        <v>5.5E-2</v>
      </c>
      <c r="AH22" s="20">
        <f t="shared" si="42"/>
        <v>5.5E-2</v>
      </c>
      <c r="AI22" s="20">
        <f t="shared" si="43"/>
        <v>0.44500000000000001</v>
      </c>
      <c r="AJ22" s="20">
        <f t="shared" si="44"/>
        <v>0</v>
      </c>
      <c r="AK22">
        <f t="shared" si="24"/>
        <v>38.356164383561641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25"/>
        <v>0.5948500000000001</v>
      </c>
      <c r="AQ22">
        <f t="shared" si="26"/>
        <v>18.372357574041192</v>
      </c>
      <c r="AR22">
        <f>IF(Y22="milkingCows", Constants!$P$2, Constants!$P$3)</f>
        <v>1.1000000000000001</v>
      </c>
      <c r="AS22" s="18">
        <f t="shared" si="27"/>
        <v>28.555112190801196</v>
      </c>
      <c r="AT22">
        <f>Constants!$B$47</f>
        <v>0.08</v>
      </c>
      <c r="AU22">
        <f t="shared" si="28"/>
        <v>7.6185039325057593</v>
      </c>
      <c r="AV22">
        <f t="shared" si="29"/>
        <v>0.44500000000000001</v>
      </c>
      <c r="AW22">
        <f t="shared" si="30"/>
        <v>5.5E-2</v>
      </c>
      <c r="AX22">
        <f t="shared" si="31"/>
        <v>5.5E-2</v>
      </c>
      <c r="AY22">
        <f t="shared" si="32"/>
        <v>0.44500000000000001</v>
      </c>
      <c r="AZ22">
        <f t="shared" si="33"/>
        <v>0</v>
      </c>
      <c r="BA22">
        <f>_xlfn.XLOOKUP($A22, Constants!$E$18:$L$18,Constants!$E$19:$L$19)</f>
        <v>0.8</v>
      </c>
      <c r="BB22">
        <f>_xlfn.XLOOKUP($A22, Constants!$E$18:$L$18,Constants!$E$20:$L$20)</f>
        <v>0.01</v>
      </c>
      <c r="BC22">
        <f>_xlfn.XLOOKUP($A22, Constants!$E$18:$L$18,Constants!$E$21:$L$21)</f>
        <v>0.5</v>
      </c>
      <c r="BD22">
        <f>_xlfn.XLOOKUP($A22, Constants!$E$18:$L$18,Constants!$E$22:$L$22)</f>
        <v>0.02</v>
      </c>
      <c r="BE22">
        <f>_xlfn.XLOOKUP($A22, Constants!$E$18:$L$18,Constants!$E$23:$L$23)</f>
        <v>0.02</v>
      </c>
      <c r="BF22">
        <f>Constants!$B$48</f>
        <v>0.24</v>
      </c>
      <c r="BG22">
        <f>Constants!$B$49</f>
        <v>0.6784</v>
      </c>
      <c r="BH22">
        <f t="shared" si="34"/>
        <v>0.44158750371384931</v>
      </c>
      <c r="BI22">
        <f t="shared" si="35"/>
        <v>6.8222788495117168E-4</v>
      </c>
      <c r="BJ22">
        <f t="shared" si="36"/>
        <v>3.4111394247558588E-2</v>
      </c>
      <c r="BK22">
        <f t="shared" si="37"/>
        <v>1.1039687592846233E-2</v>
      </c>
      <c r="BL22">
        <f t="shared" si="38"/>
        <v>0</v>
      </c>
      <c r="BM22" t="str">
        <f>IF(ISNUMBER(FIND("PreWeaned",Y22)),_xlfn.XLOOKUP(Y22,Constants!$J$2:$J$3,Constants!$K$2:$K$3), "")</f>
        <v/>
      </c>
      <c r="BN22">
        <f t="shared" si="39"/>
        <v>35581.719381061986</v>
      </c>
      <c r="BO22">
        <f>SUM(BN22:BN28)/1000</f>
        <v>37.805375169877898</v>
      </c>
    </row>
    <row r="23" spans="1:67" x14ac:dyDescent="0.2">
      <c r="A23" t="str">
        <f>'Input Scenarios'!A23</f>
        <v>NT</v>
      </c>
      <c r="B23">
        <f>'Input Scenarios'!B23</f>
        <v>0</v>
      </c>
      <c r="C23" t="str">
        <f>'Input Scenarios'!C23</f>
        <v>Irrigated pasture</v>
      </c>
      <c r="D23" t="str">
        <f>'Input Scenarios'!D23</f>
        <v>dry</v>
      </c>
      <c r="E23" t="b">
        <f>'Input Scenarios'!E23</f>
        <v>0</v>
      </c>
      <c r="F23" t="str">
        <f>'Input Scenarios'!F23</f>
        <v>Zero grazing</v>
      </c>
      <c r="G23">
        <f>IF('Input Scenarios'!G23&lt;&gt;"", 'Input Scenarios'!G23, _xlfn.XLOOKUP($F23, Constants!$M$6:$M$9,Constants!N$6:N$9))</f>
        <v>0</v>
      </c>
      <c r="H23">
        <f>IF('Input Scenarios'!H23&lt;&gt;"", 'Input Scenarios'!H23, _xlfn.XLOOKUP($F23, Constants!$M$6:$M$9,Constants!O$6:O$9))</f>
        <v>0.11</v>
      </c>
      <c r="I23">
        <f>IF('Input Scenarios'!I23&lt;&gt;"", 'Input Scenarios'!I23, _xlfn.XLOOKUP($F23, Constants!$M$6:$M$9,Constants!P$6:P$9))</f>
        <v>0.89</v>
      </c>
      <c r="J23">
        <f>'Input Scenarios'!J23</f>
        <v>0</v>
      </c>
      <c r="K23">
        <f>'Input Scenarios'!K23</f>
        <v>0.5</v>
      </c>
      <c r="L23">
        <f>'Input Scenarios'!L23</f>
        <v>0.5</v>
      </c>
      <c r="M23">
        <f>'Input Scenarios'!M23</f>
        <v>0</v>
      </c>
      <c r="N23">
        <f>'Input Scenarios'!N23</f>
        <v>0.5</v>
      </c>
      <c r="O23">
        <f>'Input Scenarios'!O23</f>
        <v>0</v>
      </c>
      <c r="P23">
        <f>'Input Scenarios'!P23</f>
        <v>0</v>
      </c>
      <c r="Q23">
        <f>'Input Scenarios'!Q23</f>
        <v>0.5</v>
      </c>
      <c r="R23" t="b">
        <f>'Input Scenarios'!R23</f>
        <v>0</v>
      </c>
      <c r="S23">
        <f>IF('Input Scenarios'!S23&lt;&gt;"", 'Input Scenarios'!S23, IF(R23, Constants!$B$38, 0))</f>
        <v>0</v>
      </c>
      <c r="T23" t="str">
        <f>IF('Input Scenarios'!T23&lt;&gt;"", 'Input Scenarios'!T23, "")</f>
        <v/>
      </c>
      <c r="U23">
        <f>IF('Input Scenarios'!U23&lt;&gt;"", 'Input Scenarios'!U23, IF(W23&lt;&gt;"", "", Constants!$B$39))</f>
        <v>4</v>
      </c>
      <c r="V23">
        <f>IF('Input Scenarios'!V23&lt;&gt;"", 'Input Scenarios'!V23, IF(W23&lt;&gt;"", "", Constants!$B$40))</f>
        <v>3.3</v>
      </c>
      <c r="W23" t="str">
        <f>IF('Input Scenarios'!W23&lt;&gt;"", 'Input Scenarios'!W23, "")</f>
        <v/>
      </c>
      <c r="X23" t="str">
        <f>'Input Scenarios'!X23</f>
        <v>Holstein-Friesian</v>
      </c>
      <c r="Y23" t="str">
        <f>'Input Scenarios'!Y23</f>
        <v>heifersGt1</v>
      </c>
      <c r="Z23">
        <f>'Input Scenarios'!Z23</f>
        <v>200</v>
      </c>
      <c r="AA23">
        <f>IF('Input Scenarios'!AA23&lt;&gt;"", 'Input Scenarios'!AA23, _xlfn.XLOOKUP(Y23,Constants!$J$6:$J$12,Constants!$K$6:$K$12))</f>
        <v>365</v>
      </c>
      <c r="AB23">
        <f>IF('Input Scenarios'!AB23&lt;&gt;"", 'Input Scenarios'!AB23, INDEX(Constants!$B$2:$H$11, MATCH(X23, Constants!$A$2:$A$11, 0), MATCH(Y23,Constants!$B$1:$H$1, 0)))</f>
        <v>450</v>
      </c>
      <c r="AC23">
        <f>IF('Input Scenarios'!AC23&lt;&gt;"", 'Input Scenarios'!AC23, _xlfn.XLOOKUP(Y23, Constants!$B$13:$H$13, Constants!$B$15:$H$15, ""))</f>
        <v>0.6</v>
      </c>
      <c r="AD23">
        <f>IF('Input Scenarios'!AD23&lt;&gt;"", 'Input Scenarios'!AD23, Constants!$B$45)</f>
        <v>0.75</v>
      </c>
      <c r="AE23">
        <f>IF('Input Scenarios'!AE23&lt;&gt;"", 'Input Scenarios'!AE23, Constants!$B$46)</f>
        <v>0.2</v>
      </c>
      <c r="AF23">
        <f t="shared" si="40"/>
        <v>0</v>
      </c>
      <c r="AG23">
        <f t="shared" si="41"/>
        <v>0</v>
      </c>
      <c r="AH23">
        <f t="shared" si="42"/>
        <v>0</v>
      </c>
      <c r="AI23">
        <f t="shared" si="43"/>
        <v>0</v>
      </c>
      <c r="AJ23">
        <f t="shared" si="44"/>
        <v>1</v>
      </c>
      <c r="AK23">
        <f t="shared" si="24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ref="AP23:AP35" si="45">0.795*(AD23)-0.0014</f>
        <v>0.5948500000000001</v>
      </c>
      <c r="AQ23">
        <f t="shared" ref="AQ23:AQ35" si="46">(AK23*AL23*AM23)/(AN23*AO23*AP23)</f>
        <v>0</v>
      </c>
      <c r="AR23">
        <f>IF(Y23="milkingCows", Constants!$P$2, Constants!$P$3)</f>
        <v>1</v>
      </c>
      <c r="AS23" s="18">
        <f t="shared" ref="AS23:AS35" si="47">IFERROR(((((1.185 + (0.00454*AB23) - (0.0000026*(AB23^2)) + (0.315*AC23))^2)*AR23)+AQ23), "")</f>
        <v>8.3549902499999984</v>
      </c>
      <c r="AT23">
        <f>Constants!$B$47</f>
        <v>0.08</v>
      </c>
      <c r="AU23">
        <f t="shared" ref="AU23:AU35" si="48">IFERROR((AS23*(1-AD23)+(0.04*AS23))*(1-AT23), "")</f>
        <v>2.2291113986999993</v>
      </c>
      <c r="AV23">
        <f t="shared" ref="AV23:AV35" si="49">AF23*(1-S23)</f>
        <v>0</v>
      </c>
      <c r="AW23">
        <f t="shared" ref="AW23:AW35" si="50">AG23</f>
        <v>0</v>
      </c>
      <c r="AX23">
        <f t="shared" ref="AX23:AX35" si="51">AH23</f>
        <v>0</v>
      </c>
      <c r="AY23">
        <f t="shared" ref="AY23:AY35" si="52">AI23+(AF23*S23)</f>
        <v>0</v>
      </c>
      <c r="AZ23">
        <f t="shared" ref="AZ23:AZ35" si="53">AJ23</f>
        <v>1</v>
      </c>
      <c r="BA23">
        <f>_xlfn.XLOOKUP($A23, Constants!$E$18:$L$18,Constants!$E$19:$L$19)</f>
        <v>0.8</v>
      </c>
      <c r="BB23">
        <f>_xlfn.XLOOKUP($A23, Constants!$E$18:$L$18,Constants!$E$20:$L$20)</f>
        <v>0.01</v>
      </c>
      <c r="BC23">
        <f>_xlfn.XLOOKUP($A23, Constants!$E$18:$L$18,Constants!$E$21:$L$21)</f>
        <v>0.5</v>
      </c>
      <c r="BD23">
        <f>_xlfn.XLOOKUP($A23, Constants!$E$18:$L$18,Constants!$E$22:$L$22)</f>
        <v>0.02</v>
      </c>
      <c r="BE23">
        <f>_xlfn.XLOOKUP($A23, Constants!$E$18:$L$18,Constants!$E$23:$L$23)</f>
        <v>0.02</v>
      </c>
      <c r="BF23">
        <f>Constants!$B$48</f>
        <v>0.24</v>
      </c>
      <c r="BG23">
        <f>Constants!$B$49</f>
        <v>0.6784</v>
      </c>
      <c r="BH23">
        <f t="shared" ref="BH23:BH35" si="54">IF(ISNUMBER(FIND("PreWeaned",$Y23)), "", $AU23*AV23*BA23*$BF23*$BG23)</f>
        <v>0</v>
      </c>
      <c r="BI23">
        <f t="shared" ref="BI23:BI35" si="55">IF(ISNUMBER(FIND("PreWeaned",$Y23)), "", $AU23*AW23*BB23*$BF23*$BG23)</f>
        <v>0</v>
      </c>
      <c r="BJ23">
        <f t="shared" ref="BJ23:BJ35" si="56">IF(ISNUMBER(FIND("PreWeaned",$Y23)), "", $AU23*AX23*BC23*$BF23*$BG23)</f>
        <v>0</v>
      </c>
      <c r="BK23">
        <f t="shared" ref="BK23:BK35" si="57">IF(ISNUMBER(FIND("PreWeaned",$Y23)), "", $AU23*AY23*BD23*$BF23*$BG23)</f>
        <v>0</v>
      </c>
      <c r="BL23">
        <f t="shared" ref="BL23:BL35" si="58">IF(ISNUMBER(FIND("PreWeaned",$Y23)), "", $AU23*AZ23*BE23*$BF23*$BG23)</f>
        <v>7.2587000298147816E-3</v>
      </c>
      <c r="BM23" t="str">
        <f>IF(ISNUMBER(FIND("PreWeaned",Y23)),_xlfn.XLOOKUP(Y23,Constants!$J$2:$J$3,Constants!$K$2:$K$3), "")</f>
        <v/>
      </c>
      <c r="BN23">
        <f t="shared" ref="BN23:BN35" si="59">Z23*AA23*SUM(BH23:BM23)</f>
        <v>529.88510217647911</v>
      </c>
    </row>
    <row r="24" spans="1:67" x14ac:dyDescent="0.2">
      <c r="A24" t="str">
        <f>'Input Scenarios'!A24</f>
        <v>NT</v>
      </c>
      <c r="B24">
        <f>'Input Scenarios'!B24</f>
        <v>0</v>
      </c>
      <c r="C24" t="str">
        <f>'Input Scenarios'!C24</f>
        <v>Irrigated pasture</v>
      </c>
      <c r="D24" t="str">
        <f>'Input Scenarios'!D24</f>
        <v>dry</v>
      </c>
      <c r="E24" t="b">
        <f>'Input Scenarios'!E24</f>
        <v>0</v>
      </c>
      <c r="F24" t="str">
        <f>'Input Scenarios'!F24</f>
        <v>Zero grazing</v>
      </c>
      <c r="G24">
        <f>IF('Input Scenarios'!G24&lt;&gt;"", 'Input Scenarios'!G24, _xlfn.XLOOKUP($F24, Constants!$M$6:$M$9,Constants!N$6:N$9))</f>
        <v>0</v>
      </c>
      <c r="H24">
        <f>IF('Input Scenarios'!H24&lt;&gt;"", 'Input Scenarios'!H24, _xlfn.XLOOKUP($F24, Constants!$M$6:$M$9,Constants!O$6:O$9))</f>
        <v>0.11</v>
      </c>
      <c r="I24">
        <f>IF('Input Scenarios'!I24&lt;&gt;"", 'Input Scenarios'!I24, _xlfn.XLOOKUP($F24, Constants!$M$6:$M$9,Constants!P$6:P$9))</f>
        <v>0.89</v>
      </c>
      <c r="J24">
        <f>'Input Scenarios'!J24</f>
        <v>0</v>
      </c>
      <c r="K24">
        <f>'Input Scenarios'!K24</f>
        <v>0.5</v>
      </c>
      <c r="L24">
        <f>'Input Scenarios'!L24</f>
        <v>0.5</v>
      </c>
      <c r="M24">
        <f>'Input Scenarios'!M24</f>
        <v>0</v>
      </c>
      <c r="N24">
        <f>'Input Scenarios'!N24</f>
        <v>0.5</v>
      </c>
      <c r="O24">
        <f>'Input Scenarios'!O24</f>
        <v>0</v>
      </c>
      <c r="P24">
        <f>'Input Scenarios'!P24</f>
        <v>0</v>
      </c>
      <c r="Q24">
        <f>'Input Scenarios'!Q24</f>
        <v>0.5</v>
      </c>
      <c r="R24" t="b">
        <f>'Input Scenarios'!R24</f>
        <v>0</v>
      </c>
      <c r="S24">
        <f>IF('Input Scenarios'!S24&lt;&gt;"", 'Input Scenarios'!S24, IF(R24, Constants!$B$38, 0))</f>
        <v>0</v>
      </c>
      <c r="T24" t="str">
        <f>IF('Input Scenarios'!T24&lt;&gt;"", 'Input Scenarios'!T24, "")</f>
        <v/>
      </c>
      <c r="U24">
        <f>IF('Input Scenarios'!U24&lt;&gt;"", 'Input Scenarios'!U24, IF(W24&lt;&gt;"", "", Constants!$B$39))</f>
        <v>4</v>
      </c>
      <c r="V24">
        <f>IF('Input Scenarios'!V24&lt;&gt;"", 'Input Scenarios'!V24, IF(W24&lt;&gt;"", "", Constants!$B$40))</f>
        <v>3.3</v>
      </c>
      <c r="W24" t="str">
        <f>IF('Input Scenarios'!W24&lt;&gt;"", 'Input Scenarios'!W24, "")</f>
        <v/>
      </c>
      <c r="X24" t="str">
        <f>'Input Scenarios'!X24</f>
        <v>Holstein-Friesian</v>
      </c>
      <c r="Y24" t="str">
        <f>'Input Scenarios'!Y24</f>
        <v>heifersLt1PreWeaned</v>
      </c>
      <c r="Z24">
        <f>'Input Scenarios'!Z24</f>
        <v>200</v>
      </c>
      <c r="AA24">
        <f>IF('Input Scenarios'!AA24&lt;&gt;"", 'Input Scenarios'!AA24, _xlfn.XLOOKUP(Y24,Constants!$J$6:$J$12,Constants!$K$6:$K$12))</f>
        <v>84</v>
      </c>
      <c r="AB24">
        <f>IF('Input Scenarios'!AB24&lt;&gt;"", 'Input Scenarios'!AB24, INDEX(Constants!$B$2:$H$11, MATCH(X24, Constants!$A$2:$A$11, 0), MATCH(Y24,Constants!$B$1:$H$1, 0)))</f>
        <v>185</v>
      </c>
      <c r="AC24" t="str">
        <f>IF('Input Scenarios'!AC24&lt;&gt;"", 'Input Scenarios'!AC24, _xlfn.XLOOKUP(Y24, Constants!$B$13:$H$13, Constants!$B$15:$H$15, ""))</f>
        <v/>
      </c>
      <c r="AD24">
        <f>IF('Input Scenarios'!AD24&lt;&gt;"", 'Input Scenarios'!AD24, Constants!$B$45)</f>
        <v>0.75</v>
      </c>
      <c r="AE24">
        <f>IF('Input Scenarios'!AE24&lt;&gt;"", 'Input Scenarios'!AE24, Constants!$B$46)</f>
        <v>0.2</v>
      </c>
      <c r="AF24">
        <f t="shared" si="40"/>
        <v>0</v>
      </c>
      <c r="AG24">
        <f t="shared" si="41"/>
        <v>0</v>
      </c>
      <c r="AH24">
        <f t="shared" si="42"/>
        <v>0</v>
      </c>
      <c r="AI24">
        <f t="shared" si="43"/>
        <v>0</v>
      </c>
      <c r="AJ24">
        <f t="shared" si="44"/>
        <v>1</v>
      </c>
      <c r="AK24">
        <f t="shared" si="24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45"/>
        <v>0.5948500000000001</v>
      </c>
      <c r="AQ24">
        <f t="shared" si="46"/>
        <v>0</v>
      </c>
      <c r="AR24">
        <f>IF(Y24="milkingCows", Constants!$P$2, Constants!$P$3)</f>
        <v>1</v>
      </c>
      <c r="AS24" s="18" t="str">
        <f t="shared" si="47"/>
        <v/>
      </c>
      <c r="AT24">
        <f>Constants!$B$47</f>
        <v>0.08</v>
      </c>
      <c r="AU24" t="str">
        <f t="shared" si="48"/>
        <v/>
      </c>
      <c r="AV24">
        <f t="shared" si="49"/>
        <v>0</v>
      </c>
      <c r="AW24">
        <f t="shared" si="50"/>
        <v>0</v>
      </c>
      <c r="AX24">
        <f t="shared" si="51"/>
        <v>0</v>
      </c>
      <c r="AY24">
        <f t="shared" si="52"/>
        <v>0</v>
      </c>
      <c r="AZ24">
        <f t="shared" si="53"/>
        <v>1</v>
      </c>
      <c r="BA24">
        <f>_xlfn.XLOOKUP($A24, Constants!$E$18:$L$18,Constants!$E$19:$L$19)</f>
        <v>0.8</v>
      </c>
      <c r="BB24">
        <f>_xlfn.XLOOKUP($A24, Constants!$E$18:$L$18,Constants!$E$20:$L$20)</f>
        <v>0.01</v>
      </c>
      <c r="BC24">
        <f>_xlfn.XLOOKUP($A24, Constants!$E$18:$L$18,Constants!$E$21:$L$21)</f>
        <v>0.5</v>
      </c>
      <c r="BD24">
        <f>_xlfn.XLOOKUP($A24, Constants!$E$18:$L$18,Constants!$E$22:$L$22)</f>
        <v>0.02</v>
      </c>
      <c r="BE24">
        <f>_xlfn.XLOOKUP($A24, Constants!$E$18:$L$18,Constants!$E$23:$L$23)</f>
        <v>0.02</v>
      </c>
      <c r="BF24">
        <f>Constants!$B$48</f>
        <v>0.24</v>
      </c>
      <c r="BG24">
        <f>Constants!$B$49</f>
        <v>0.6784</v>
      </c>
      <c r="BH24" t="str">
        <f t="shared" si="54"/>
        <v/>
      </c>
      <c r="BI24" t="str">
        <f t="shared" si="55"/>
        <v/>
      </c>
      <c r="BJ24" t="str">
        <f t="shared" si="56"/>
        <v/>
      </c>
      <c r="BK24" t="str">
        <f t="shared" si="57"/>
        <v/>
      </c>
      <c r="BL24" t="str">
        <f t="shared" si="58"/>
        <v/>
      </c>
      <c r="BM24">
        <f>IF(ISNUMBER(FIND("PreWeaned",Y24)),_xlfn.XLOOKUP(Y24,Constants!$J$2:$J$3,Constants!$K$2:$K$3), "")</f>
        <v>1.7600000000000001E-2</v>
      </c>
      <c r="BN24">
        <f t="shared" si="59"/>
        <v>295.68</v>
      </c>
    </row>
    <row r="25" spans="1:67" x14ac:dyDescent="0.2">
      <c r="A25" t="str">
        <f>'Input Scenarios'!A25</f>
        <v>NT</v>
      </c>
      <c r="B25">
        <f>'Input Scenarios'!B25</f>
        <v>0</v>
      </c>
      <c r="C25" t="str">
        <f>'Input Scenarios'!C25</f>
        <v>Irrigated pasture</v>
      </c>
      <c r="D25" t="str">
        <f>'Input Scenarios'!D25</f>
        <v>dry</v>
      </c>
      <c r="E25" t="b">
        <f>'Input Scenarios'!E25</f>
        <v>0</v>
      </c>
      <c r="F25" t="str">
        <f>'Input Scenarios'!F25</f>
        <v>Zero grazing</v>
      </c>
      <c r="G25">
        <f>IF('Input Scenarios'!G25&lt;&gt;"", 'Input Scenarios'!G25, _xlfn.XLOOKUP($F25, Constants!$M$6:$M$9,Constants!N$6:N$9))</f>
        <v>0</v>
      </c>
      <c r="H25">
        <f>IF('Input Scenarios'!H25&lt;&gt;"", 'Input Scenarios'!H25, _xlfn.XLOOKUP($F25, Constants!$M$6:$M$9,Constants!O$6:O$9))</f>
        <v>0.11</v>
      </c>
      <c r="I25">
        <f>IF('Input Scenarios'!I25&lt;&gt;"", 'Input Scenarios'!I25, _xlfn.XLOOKUP($F25, Constants!$M$6:$M$9,Constants!P$6:P$9))</f>
        <v>0.89</v>
      </c>
      <c r="J25">
        <f>'Input Scenarios'!J25</f>
        <v>0</v>
      </c>
      <c r="K25">
        <f>'Input Scenarios'!K25</f>
        <v>0.5</v>
      </c>
      <c r="L25">
        <f>'Input Scenarios'!L25</f>
        <v>0.5</v>
      </c>
      <c r="M25">
        <f>'Input Scenarios'!M25</f>
        <v>0</v>
      </c>
      <c r="N25">
        <f>'Input Scenarios'!N25</f>
        <v>0.5</v>
      </c>
      <c r="O25">
        <f>'Input Scenarios'!O25</f>
        <v>0</v>
      </c>
      <c r="P25">
        <f>'Input Scenarios'!P25</f>
        <v>0</v>
      </c>
      <c r="Q25">
        <f>'Input Scenarios'!Q25</f>
        <v>0.5</v>
      </c>
      <c r="R25" t="b">
        <f>'Input Scenarios'!R25</f>
        <v>0</v>
      </c>
      <c r="S25">
        <f>IF('Input Scenarios'!S25&lt;&gt;"", 'Input Scenarios'!S25, IF(R25, Constants!$B$38, 0))</f>
        <v>0</v>
      </c>
      <c r="T25" t="str">
        <f>IF('Input Scenarios'!T25&lt;&gt;"", 'Input Scenarios'!T25, "")</f>
        <v/>
      </c>
      <c r="U25">
        <f>IF('Input Scenarios'!U25&lt;&gt;"", 'Input Scenarios'!U25, IF(W25&lt;&gt;"", "", Constants!$B$39))</f>
        <v>4</v>
      </c>
      <c r="V25">
        <f>IF('Input Scenarios'!V25&lt;&gt;"", 'Input Scenarios'!V25, IF(W25&lt;&gt;"", "", Constants!$B$40))</f>
        <v>3.3</v>
      </c>
      <c r="W25" t="str">
        <f>IF('Input Scenarios'!W25&lt;&gt;"", 'Input Scenarios'!W25, "")</f>
        <v/>
      </c>
      <c r="X25" t="str">
        <f>'Input Scenarios'!X25</f>
        <v>Holstein-Friesian</v>
      </c>
      <c r="Y25" t="str">
        <f>'Input Scenarios'!Y25</f>
        <v>heifersLt1Weaned</v>
      </c>
      <c r="Z25">
        <f>'Input Scenarios'!Z25</f>
        <v>200</v>
      </c>
      <c r="AA25">
        <f>IF('Input Scenarios'!AA25&lt;&gt;"", 'Input Scenarios'!AA25, _xlfn.XLOOKUP(Y25,Constants!$J$6:$J$12,Constants!$K$6:$K$12))</f>
        <v>281</v>
      </c>
      <c r="AB25">
        <f>IF('Input Scenarios'!AB25&lt;&gt;"", 'Input Scenarios'!AB25, INDEX(Constants!$B$2:$H$11, MATCH(X25, Constants!$A$2:$A$11, 0), MATCH(Y25,Constants!$B$1:$H$1, 0)))</f>
        <v>185</v>
      </c>
      <c r="AC25">
        <f>IF('Input Scenarios'!AC25&lt;&gt;"", 'Input Scenarios'!AC25, _xlfn.XLOOKUP(Y25, Constants!$B$13:$H$13, Constants!$B$15:$H$15, ""))</f>
        <v>0.56999999999999995</v>
      </c>
      <c r="AD25">
        <f>IF('Input Scenarios'!AD25&lt;&gt;"", 'Input Scenarios'!AD25, Constants!$B$45)</f>
        <v>0.75</v>
      </c>
      <c r="AE25">
        <f>IF('Input Scenarios'!AE25&lt;&gt;"", 'Input Scenarios'!AE25, Constants!$B$46)</f>
        <v>0.2</v>
      </c>
      <c r="AF25">
        <f t="shared" si="40"/>
        <v>0</v>
      </c>
      <c r="AG25">
        <f t="shared" si="41"/>
        <v>0</v>
      </c>
      <c r="AH25">
        <f t="shared" si="42"/>
        <v>0</v>
      </c>
      <c r="AI25">
        <f t="shared" si="43"/>
        <v>0</v>
      </c>
      <c r="AJ25">
        <f t="shared" si="44"/>
        <v>1</v>
      </c>
      <c r="AK25">
        <f t="shared" si="24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45"/>
        <v>0.5948500000000001</v>
      </c>
      <c r="AQ25">
        <f t="shared" si="46"/>
        <v>0</v>
      </c>
      <c r="AR25">
        <f>IF(Y25="milkingCows", Constants!$P$2, Constants!$P$3)</f>
        <v>1</v>
      </c>
      <c r="AS25" s="18">
        <f t="shared" si="47"/>
        <v>4.4751921662249998</v>
      </c>
      <c r="AT25">
        <f>Constants!$B$47</f>
        <v>0.08</v>
      </c>
      <c r="AU25">
        <f t="shared" si="48"/>
        <v>1.1939812699488301</v>
      </c>
      <c r="AV25">
        <f t="shared" si="49"/>
        <v>0</v>
      </c>
      <c r="AW25">
        <f t="shared" si="50"/>
        <v>0</v>
      </c>
      <c r="AX25">
        <f t="shared" si="51"/>
        <v>0</v>
      </c>
      <c r="AY25">
        <f t="shared" si="52"/>
        <v>0</v>
      </c>
      <c r="AZ25">
        <f t="shared" si="53"/>
        <v>1</v>
      </c>
      <c r="BA25">
        <f>_xlfn.XLOOKUP($A25, Constants!$E$18:$L$18,Constants!$E$19:$L$19)</f>
        <v>0.8</v>
      </c>
      <c r="BB25">
        <f>_xlfn.XLOOKUP($A25, Constants!$E$18:$L$18,Constants!$E$20:$L$20)</f>
        <v>0.01</v>
      </c>
      <c r="BC25">
        <f>_xlfn.XLOOKUP($A25, Constants!$E$18:$L$18,Constants!$E$21:$L$21)</f>
        <v>0.5</v>
      </c>
      <c r="BD25">
        <f>_xlfn.XLOOKUP($A25, Constants!$E$18:$L$18,Constants!$E$22:$L$22)</f>
        <v>0.02</v>
      </c>
      <c r="BE25">
        <f>_xlfn.XLOOKUP($A25, Constants!$E$18:$L$18,Constants!$E$23:$L$23)</f>
        <v>0.02</v>
      </c>
      <c r="BF25">
        <f>Constants!$B$48</f>
        <v>0.24</v>
      </c>
      <c r="BG25">
        <f>Constants!$B$49</f>
        <v>0.6784</v>
      </c>
      <c r="BH25">
        <f t="shared" si="54"/>
        <v>0</v>
      </c>
      <c r="BI25">
        <f t="shared" si="55"/>
        <v>0</v>
      </c>
      <c r="BJ25">
        <f t="shared" si="56"/>
        <v>0</v>
      </c>
      <c r="BK25">
        <f t="shared" si="57"/>
        <v>0</v>
      </c>
      <c r="BL25">
        <f t="shared" si="58"/>
        <v>3.8879850889597745E-3</v>
      </c>
      <c r="BM25" t="str">
        <f>IF(ISNUMBER(FIND("PreWeaned",Y25)),_xlfn.XLOOKUP(Y25,Constants!$J$2:$J$3,Constants!$K$2:$K$3), "")</f>
        <v/>
      </c>
      <c r="BN25">
        <f t="shared" si="59"/>
        <v>218.50476199953934</v>
      </c>
    </row>
    <row r="26" spans="1:67" x14ac:dyDescent="0.2">
      <c r="A26" t="str">
        <f>'Input Scenarios'!A26</f>
        <v>NT</v>
      </c>
      <c r="B26">
        <f>'Input Scenarios'!B26</f>
        <v>0</v>
      </c>
      <c r="C26" t="str">
        <f>'Input Scenarios'!C26</f>
        <v>Irrigated pasture</v>
      </c>
      <c r="D26" t="str">
        <f>'Input Scenarios'!D26</f>
        <v>dry</v>
      </c>
      <c r="E26" t="b">
        <f>'Input Scenarios'!E26</f>
        <v>0</v>
      </c>
      <c r="F26" t="str">
        <f>'Input Scenarios'!F26</f>
        <v>Zero grazing</v>
      </c>
      <c r="G26">
        <f>IF('Input Scenarios'!G26&lt;&gt;"", 'Input Scenarios'!G26, _xlfn.XLOOKUP($F26, Constants!$M$6:$M$9,Constants!N$6:N$9))</f>
        <v>0</v>
      </c>
      <c r="H26">
        <f>IF('Input Scenarios'!H26&lt;&gt;"", 'Input Scenarios'!H26, _xlfn.XLOOKUP($F26, Constants!$M$6:$M$9,Constants!O$6:O$9))</f>
        <v>0.11</v>
      </c>
      <c r="I26">
        <f>IF('Input Scenarios'!I26&lt;&gt;"", 'Input Scenarios'!I26, _xlfn.XLOOKUP($F26, Constants!$M$6:$M$9,Constants!P$6:P$9))</f>
        <v>0.89</v>
      </c>
      <c r="J26">
        <f>'Input Scenarios'!J26</f>
        <v>0</v>
      </c>
      <c r="K26">
        <f>'Input Scenarios'!K26</f>
        <v>0.5</v>
      </c>
      <c r="L26">
        <f>'Input Scenarios'!L26</f>
        <v>0.5</v>
      </c>
      <c r="M26">
        <f>'Input Scenarios'!M26</f>
        <v>0</v>
      </c>
      <c r="N26">
        <f>'Input Scenarios'!N26</f>
        <v>0.5</v>
      </c>
      <c r="O26">
        <f>'Input Scenarios'!O26</f>
        <v>0</v>
      </c>
      <c r="P26">
        <f>'Input Scenarios'!P26</f>
        <v>0</v>
      </c>
      <c r="Q26">
        <f>'Input Scenarios'!Q26</f>
        <v>0.5</v>
      </c>
      <c r="R26" t="b">
        <f>'Input Scenarios'!R26</f>
        <v>0</v>
      </c>
      <c r="S26">
        <f>IF('Input Scenarios'!S26&lt;&gt;"", 'Input Scenarios'!S26, IF(R26, Constants!$B$38, 0))</f>
        <v>0</v>
      </c>
      <c r="T26" t="str">
        <f>IF('Input Scenarios'!T26&lt;&gt;"", 'Input Scenarios'!T26, "")</f>
        <v/>
      </c>
      <c r="U26">
        <f>IF('Input Scenarios'!U26&lt;&gt;"", 'Input Scenarios'!U26, IF(W26&lt;&gt;"", "", Constants!$B$39))</f>
        <v>4</v>
      </c>
      <c r="V26">
        <f>IF('Input Scenarios'!V26&lt;&gt;"", 'Input Scenarios'!V26, IF(W26&lt;&gt;"", "", Constants!$B$40))</f>
        <v>3.3</v>
      </c>
      <c r="W26" t="str">
        <f>IF('Input Scenarios'!W26&lt;&gt;"", 'Input Scenarios'!W26, "")</f>
        <v/>
      </c>
      <c r="X26" t="str">
        <f>'Input Scenarios'!X26</f>
        <v>Holstein-Friesian</v>
      </c>
      <c r="Y26" t="str">
        <f>'Input Scenarios'!Y26</f>
        <v>bullsGt1</v>
      </c>
      <c r="Z26">
        <f>'Input Scenarios'!Z26</f>
        <v>200</v>
      </c>
      <c r="AA26">
        <f>IF('Input Scenarios'!AA26&lt;&gt;"", 'Input Scenarios'!AA26, _xlfn.XLOOKUP(Y26,Constants!$J$6:$J$12,Constants!$K$6:$K$12))</f>
        <v>365</v>
      </c>
      <c r="AB26">
        <f>IF('Input Scenarios'!AB26&lt;&gt;"", 'Input Scenarios'!AB26, INDEX(Constants!$B$2:$H$11, MATCH(X26, Constants!$A$2:$A$11, 0), MATCH(Y26,Constants!$B$1:$H$1, 0)))</f>
        <v>600</v>
      </c>
      <c r="AC26">
        <f>IF('Input Scenarios'!AC26&lt;&gt;"", 'Input Scenarios'!AC26, _xlfn.XLOOKUP(Y26, Constants!$B$13:$H$13, Constants!$B$15:$H$15, ""))</f>
        <v>0.1</v>
      </c>
      <c r="AD26">
        <f>IF('Input Scenarios'!AD26&lt;&gt;"", 'Input Scenarios'!AD26, Constants!$B$45)</f>
        <v>0.75</v>
      </c>
      <c r="AE26">
        <f>IF('Input Scenarios'!AE26&lt;&gt;"", 'Input Scenarios'!AE26, Constants!$B$46)</f>
        <v>0.2</v>
      </c>
      <c r="AF26">
        <f t="shared" si="40"/>
        <v>0</v>
      </c>
      <c r="AG26">
        <f t="shared" si="41"/>
        <v>0</v>
      </c>
      <c r="AH26">
        <f t="shared" si="42"/>
        <v>0</v>
      </c>
      <c r="AI26">
        <f t="shared" si="43"/>
        <v>0</v>
      </c>
      <c r="AJ26">
        <f t="shared" si="44"/>
        <v>1</v>
      </c>
      <c r="AK26">
        <f t="shared" si="24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45"/>
        <v>0.5948500000000001</v>
      </c>
      <c r="AQ26">
        <f t="shared" si="46"/>
        <v>0</v>
      </c>
      <c r="AR26">
        <f>IF(Y26="milkingCows", Constants!$P$2, Constants!$P$3)</f>
        <v>1</v>
      </c>
      <c r="AS26" s="18">
        <f t="shared" si="47"/>
        <v>9.0270202499999979</v>
      </c>
      <c r="AT26">
        <f>Constants!$B$47</f>
        <v>0.08</v>
      </c>
      <c r="AU26">
        <f t="shared" si="48"/>
        <v>2.4084090026999996</v>
      </c>
      <c r="AV26">
        <f t="shared" si="49"/>
        <v>0</v>
      </c>
      <c r="AW26">
        <f t="shared" si="50"/>
        <v>0</v>
      </c>
      <c r="AX26">
        <f t="shared" si="51"/>
        <v>0</v>
      </c>
      <c r="AY26">
        <f t="shared" si="52"/>
        <v>0</v>
      </c>
      <c r="AZ26">
        <f t="shared" si="53"/>
        <v>1</v>
      </c>
      <c r="BA26">
        <f>_xlfn.XLOOKUP($A26, Constants!$E$18:$L$18,Constants!$E$19:$L$19)</f>
        <v>0.8</v>
      </c>
      <c r="BB26">
        <f>_xlfn.XLOOKUP($A26, Constants!$E$18:$L$18,Constants!$E$20:$L$20)</f>
        <v>0.01</v>
      </c>
      <c r="BC26">
        <f>_xlfn.XLOOKUP($A26, Constants!$E$18:$L$18,Constants!$E$21:$L$21)</f>
        <v>0.5</v>
      </c>
      <c r="BD26">
        <f>_xlfn.XLOOKUP($A26, Constants!$E$18:$L$18,Constants!$E$22:$L$22)</f>
        <v>0.02</v>
      </c>
      <c r="BE26">
        <f>_xlfn.XLOOKUP($A26, Constants!$E$18:$L$18,Constants!$E$23:$L$23)</f>
        <v>0.02</v>
      </c>
      <c r="BF26">
        <f>Constants!$B$48</f>
        <v>0.24</v>
      </c>
      <c r="BG26">
        <f>Constants!$B$49</f>
        <v>0.6784</v>
      </c>
      <c r="BH26">
        <f t="shared" si="54"/>
        <v>0</v>
      </c>
      <c r="BI26">
        <f t="shared" si="55"/>
        <v>0</v>
      </c>
      <c r="BJ26">
        <f t="shared" si="56"/>
        <v>0</v>
      </c>
      <c r="BK26">
        <f t="shared" si="57"/>
        <v>0</v>
      </c>
      <c r="BL26">
        <f t="shared" si="58"/>
        <v>7.842550403672063E-3</v>
      </c>
      <c r="BM26" t="str">
        <f>IF(ISNUMBER(FIND("PreWeaned",Y26)),_xlfn.XLOOKUP(Y26,Constants!$J$2:$J$3,Constants!$K$2:$K$3), "")</f>
        <v/>
      </c>
      <c r="BN26">
        <f t="shared" si="59"/>
        <v>572.50617946806062</v>
      </c>
    </row>
    <row r="27" spans="1:67" x14ac:dyDescent="0.2">
      <c r="A27" t="str">
        <f>'Input Scenarios'!A27</f>
        <v>NT</v>
      </c>
      <c r="B27">
        <f>'Input Scenarios'!B27</f>
        <v>0</v>
      </c>
      <c r="C27" t="str">
        <f>'Input Scenarios'!C27</f>
        <v>Irrigated pasture</v>
      </c>
      <c r="D27" t="str">
        <f>'Input Scenarios'!D27</f>
        <v>dry</v>
      </c>
      <c r="E27" t="b">
        <f>'Input Scenarios'!E27</f>
        <v>0</v>
      </c>
      <c r="F27" t="str">
        <f>'Input Scenarios'!F27</f>
        <v>Zero grazing</v>
      </c>
      <c r="G27">
        <f>IF('Input Scenarios'!G27&lt;&gt;"", 'Input Scenarios'!G27, _xlfn.XLOOKUP($F27, Constants!$M$6:$M$9,Constants!N$6:N$9))</f>
        <v>0</v>
      </c>
      <c r="H27">
        <f>IF('Input Scenarios'!H27&lt;&gt;"", 'Input Scenarios'!H27, _xlfn.XLOOKUP($F27, Constants!$M$6:$M$9,Constants!O$6:O$9))</f>
        <v>0.11</v>
      </c>
      <c r="I27">
        <f>IF('Input Scenarios'!I27&lt;&gt;"", 'Input Scenarios'!I27, _xlfn.XLOOKUP($F27, Constants!$M$6:$M$9,Constants!P$6:P$9))</f>
        <v>0.89</v>
      </c>
      <c r="J27">
        <f>'Input Scenarios'!J27</f>
        <v>0</v>
      </c>
      <c r="K27">
        <f>'Input Scenarios'!K27</f>
        <v>0.5</v>
      </c>
      <c r="L27">
        <f>'Input Scenarios'!L27</f>
        <v>0.5</v>
      </c>
      <c r="M27">
        <f>'Input Scenarios'!M27</f>
        <v>0</v>
      </c>
      <c r="N27">
        <f>'Input Scenarios'!N27</f>
        <v>0.5</v>
      </c>
      <c r="O27">
        <f>'Input Scenarios'!O27</f>
        <v>0</v>
      </c>
      <c r="P27">
        <f>'Input Scenarios'!P27</f>
        <v>0</v>
      </c>
      <c r="Q27">
        <f>'Input Scenarios'!Q27</f>
        <v>0.5</v>
      </c>
      <c r="R27" t="b">
        <f>'Input Scenarios'!R27</f>
        <v>0</v>
      </c>
      <c r="S27">
        <f>IF('Input Scenarios'!S27&lt;&gt;"", 'Input Scenarios'!S27, IF(R27, Constants!$B$38, 0))</f>
        <v>0</v>
      </c>
      <c r="T27" t="str">
        <f>IF('Input Scenarios'!T27&lt;&gt;"", 'Input Scenarios'!T27, "")</f>
        <v/>
      </c>
      <c r="U27">
        <f>IF('Input Scenarios'!U27&lt;&gt;"", 'Input Scenarios'!U27, IF(W27&lt;&gt;"", "", Constants!$B$39))</f>
        <v>4</v>
      </c>
      <c r="V27">
        <f>IF('Input Scenarios'!V27&lt;&gt;"", 'Input Scenarios'!V27, IF(W27&lt;&gt;"", "", Constants!$B$40))</f>
        <v>3.3</v>
      </c>
      <c r="W27" t="str">
        <f>IF('Input Scenarios'!W27&lt;&gt;"", 'Input Scenarios'!W27, "")</f>
        <v/>
      </c>
      <c r="X27" t="str">
        <f>'Input Scenarios'!X27</f>
        <v>Holstein-Friesian</v>
      </c>
      <c r="Y27" t="str">
        <f>'Input Scenarios'!Y27</f>
        <v>bullsLt1PreWeaned</v>
      </c>
      <c r="Z27">
        <f>'Input Scenarios'!Z27</f>
        <v>200</v>
      </c>
      <c r="AA27">
        <f>IF('Input Scenarios'!AA27&lt;&gt;"", 'Input Scenarios'!AA27, _xlfn.XLOOKUP(Y27,Constants!$J$6:$J$12,Constants!$K$6:$K$12))</f>
        <v>84</v>
      </c>
      <c r="AB27">
        <f>IF('Input Scenarios'!AB27&lt;&gt;"", 'Input Scenarios'!AB27, INDEX(Constants!$B$2:$H$11, MATCH(X27, Constants!$A$2:$A$11, 0), MATCH(Y27,Constants!$B$1:$H$1, 0)))</f>
        <v>225</v>
      </c>
      <c r="AC27" t="str">
        <f>IF('Input Scenarios'!AC27&lt;&gt;"", 'Input Scenarios'!AC27, _xlfn.XLOOKUP(Y27, Constants!$B$13:$H$13, Constants!$B$15:$H$15, ""))</f>
        <v/>
      </c>
      <c r="AD27">
        <f>IF('Input Scenarios'!AD27&lt;&gt;"", 'Input Scenarios'!AD27, Constants!$B$45)</f>
        <v>0.75</v>
      </c>
      <c r="AE27">
        <f>IF('Input Scenarios'!AE27&lt;&gt;"", 'Input Scenarios'!AE27, Constants!$B$46)</f>
        <v>0.2</v>
      </c>
      <c r="AF27">
        <f t="shared" si="40"/>
        <v>0</v>
      </c>
      <c r="AG27">
        <f t="shared" si="41"/>
        <v>0</v>
      </c>
      <c r="AH27">
        <f t="shared" si="42"/>
        <v>0</v>
      </c>
      <c r="AI27">
        <f t="shared" si="43"/>
        <v>0</v>
      </c>
      <c r="AJ27">
        <f t="shared" si="44"/>
        <v>1</v>
      </c>
      <c r="AK27">
        <f t="shared" si="24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45"/>
        <v>0.5948500000000001</v>
      </c>
      <c r="AQ27">
        <f t="shared" si="46"/>
        <v>0</v>
      </c>
      <c r="AR27">
        <f>IF(Y27="milkingCows", Constants!$P$2, Constants!$P$3)</f>
        <v>1</v>
      </c>
      <c r="AS27" s="18" t="str">
        <f t="shared" si="47"/>
        <v/>
      </c>
      <c r="AT27">
        <f>Constants!$B$47</f>
        <v>0.08</v>
      </c>
      <c r="AU27" t="str">
        <f t="shared" si="48"/>
        <v/>
      </c>
      <c r="AV27">
        <f t="shared" si="49"/>
        <v>0</v>
      </c>
      <c r="AW27">
        <f t="shared" si="50"/>
        <v>0</v>
      </c>
      <c r="AX27">
        <f t="shared" si="51"/>
        <v>0</v>
      </c>
      <c r="AY27">
        <f t="shared" si="52"/>
        <v>0</v>
      </c>
      <c r="AZ27">
        <f t="shared" si="53"/>
        <v>1</v>
      </c>
      <c r="BA27">
        <f>_xlfn.XLOOKUP($A27, Constants!$E$18:$L$18,Constants!$E$19:$L$19)</f>
        <v>0.8</v>
      </c>
      <c r="BB27">
        <f>_xlfn.XLOOKUP($A27, Constants!$E$18:$L$18,Constants!$E$20:$L$20)</f>
        <v>0.01</v>
      </c>
      <c r="BC27">
        <f>_xlfn.XLOOKUP($A27, Constants!$E$18:$L$18,Constants!$E$21:$L$21)</f>
        <v>0.5</v>
      </c>
      <c r="BD27">
        <f>_xlfn.XLOOKUP($A27, Constants!$E$18:$L$18,Constants!$E$22:$L$22)</f>
        <v>0.02</v>
      </c>
      <c r="BE27">
        <f>_xlfn.XLOOKUP($A27, Constants!$E$18:$L$18,Constants!$E$23:$L$23)</f>
        <v>0.02</v>
      </c>
      <c r="BF27">
        <f>Constants!$B$48</f>
        <v>0.24</v>
      </c>
      <c r="BG27">
        <f>Constants!$B$49</f>
        <v>0.6784</v>
      </c>
      <c r="BH27" t="str">
        <f t="shared" si="54"/>
        <v/>
      </c>
      <c r="BI27" t="str">
        <f t="shared" si="55"/>
        <v/>
      </c>
      <c r="BJ27" t="str">
        <f t="shared" si="56"/>
        <v/>
      </c>
      <c r="BK27" t="str">
        <f t="shared" si="57"/>
        <v/>
      </c>
      <c r="BL27" t="str">
        <f t="shared" si="58"/>
        <v/>
      </c>
      <c r="BM27">
        <f>IF(ISNUMBER(FIND("PreWeaned",Y27)),_xlfn.XLOOKUP(Y27,Constants!$J$2:$J$3,Constants!$K$2:$K$3), "")</f>
        <v>2.0400000000000001E-2</v>
      </c>
      <c r="BN27">
        <f t="shared" si="59"/>
        <v>342.72</v>
      </c>
    </row>
    <row r="28" spans="1:67" s="16" customFormat="1" x14ac:dyDescent="0.2">
      <c r="A28" s="16" t="str">
        <f>'Input Scenarios'!A28</f>
        <v>NT</v>
      </c>
      <c r="B28" s="16">
        <f>'Input Scenarios'!B28</f>
        <v>0</v>
      </c>
      <c r="C28" s="16" t="str">
        <f>'Input Scenarios'!C28</f>
        <v>Irrigated pasture</v>
      </c>
      <c r="D28" s="16" t="str">
        <f>'Input Scenarios'!D28</f>
        <v>dry</v>
      </c>
      <c r="E28" s="16" t="b">
        <f>'Input Scenarios'!E28</f>
        <v>0</v>
      </c>
      <c r="F28" s="16" t="str">
        <f>'Input Scenarios'!F28</f>
        <v>Zero grazing</v>
      </c>
      <c r="G28" s="16">
        <f>IF('Input Scenarios'!G28&lt;&gt;"", 'Input Scenarios'!G28, _xlfn.XLOOKUP($F28, Constants!$M$6:$M$9,Constants!N$6:N$9))</f>
        <v>0</v>
      </c>
      <c r="H28" s="16">
        <f>IF('Input Scenarios'!H28&lt;&gt;"", 'Input Scenarios'!H28, _xlfn.XLOOKUP($F28, Constants!$M$6:$M$9,Constants!O$6:O$9))</f>
        <v>0.11</v>
      </c>
      <c r="I28" s="16">
        <f>IF('Input Scenarios'!I28&lt;&gt;"", 'Input Scenarios'!I28, _xlfn.XLOOKUP($F28, Constants!$M$6:$M$9,Constants!P$6:P$9))</f>
        <v>0.89</v>
      </c>
      <c r="J28" s="16">
        <f>'Input Scenarios'!J28</f>
        <v>0</v>
      </c>
      <c r="K28" s="16">
        <f>'Input Scenarios'!K28</f>
        <v>0.5</v>
      </c>
      <c r="L28" s="16">
        <f>'Input Scenarios'!L28</f>
        <v>0.5</v>
      </c>
      <c r="M28" s="16">
        <f>'Input Scenarios'!M28</f>
        <v>0</v>
      </c>
      <c r="N28" s="16">
        <f>'Input Scenarios'!N28</f>
        <v>0.5</v>
      </c>
      <c r="O28" s="16">
        <f>'Input Scenarios'!O28</f>
        <v>0</v>
      </c>
      <c r="P28" s="16">
        <f>'Input Scenarios'!P28</f>
        <v>0</v>
      </c>
      <c r="Q28" s="16">
        <f>'Input Scenarios'!Q28</f>
        <v>0.5</v>
      </c>
      <c r="R28" s="16" t="b">
        <f>'Input Scenarios'!R28</f>
        <v>0</v>
      </c>
      <c r="S28" s="16">
        <f>IF('Input Scenarios'!S28&lt;&gt;"", 'Input Scenarios'!S28, IF(R28, Constants!$B$38, 0))</f>
        <v>0</v>
      </c>
      <c r="T28" s="16" t="str">
        <f>IF('Input Scenarios'!T28&lt;&gt;"", 'Input Scenarios'!T28, "")</f>
        <v/>
      </c>
      <c r="U28" s="16">
        <f>IF('Input Scenarios'!U28&lt;&gt;"", 'Input Scenarios'!U28, IF(W28&lt;&gt;"", "", Constants!$B$39))</f>
        <v>4</v>
      </c>
      <c r="V28" s="16">
        <f>IF('Input Scenarios'!V28&lt;&gt;"", 'Input Scenarios'!V28, IF(W28&lt;&gt;"", "", Constants!$B$40))</f>
        <v>3.3</v>
      </c>
      <c r="W28" s="16" t="str">
        <f>IF('Input Scenarios'!W28&lt;&gt;"", 'Input Scenarios'!W28, "")</f>
        <v/>
      </c>
      <c r="X28" s="16" t="str">
        <f>'Input Scenarios'!X28</f>
        <v>Holstein-Friesian</v>
      </c>
      <c r="Y28" s="16" t="str">
        <f>'Input Scenarios'!Y28</f>
        <v>bullsLt1Weaned</v>
      </c>
      <c r="Z28" s="16">
        <f>'Input Scenarios'!Z28</f>
        <v>200</v>
      </c>
      <c r="AA28" s="16">
        <f>IF('Input Scenarios'!AA28&lt;&gt;"", 'Input Scenarios'!AA28, _xlfn.XLOOKUP(Y28,Constants!$J$6:$J$12,Constants!$K$6:$K$12))</f>
        <v>281</v>
      </c>
      <c r="AB28" s="16">
        <f>IF('Input Scenarios'!AB28&lt;&gt;"", 'Input Scenarios'!AB28, INDEX(Constants!$B$2:$H$11, MATCH(X28, Constants!$A$2:$A$11, 0), MATCH(Y28,Constants!$B$1:$H$1, 0)))</f>
        <v>225</v>
      </c>
      <c r="AC28" s="16">
        <f>IF('Input Scenarios'!AC28&lt;&gt;"", 'Input Scenarios'!AC28, _xlfn.XLOOKUP(Y28, Constants!$B$13:$H$13, Constants!$B$15:$H$15, ""))</f>
        <v>0.8</v>
      </c>
      <c r="AD28" s="16">
        <f>IF('Input Scenarios'!AD28&lt;&gt;"", 'Input Scenarios'!AD28, Constants!$B$45)</f>
        <v>0.75</v>
      </c>
      <c r="AE28" s="16">
        <f>IF('Input Scenarios'!AE28&lt;&gt;"", 'Input Scenarios'!AE28, Constants!$B$46)</f>
        <v>0.2</v>
      </c>
      <c r="AF28" s="16">
        <f t="shared" si="40"/>
        <v>0</v>
      </c>
      <c r="AG28" s="16">
        <f t="shared" si="41"/>
        <v>0</v>
      </c>
      <c r="AH28" s="16">
        <f t="shared" si="42"/>
        <v>0</v>
      </c>
      <c r="AI28" s="16">
        <f t="shared" si="43"/>
        <v>0</v>
      </c>
      <c r="AJ28" s="16">
        <f t="shared" si="44"/>
        <v>1</v>
      </c>
      <c r="AK28" s="16">
        <f t="shared" si="24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45"/>
        <v>0.5948500000000001</v>
      </c>
      <c r="AQ28" s="16">
        <f t="shared" si="46"/>
        <v>0</v>
      </c>
      <c r="AR28" s="16">
        <f>IF(Y28="milkingCows", Constants!$P$2, Constants!$P$3)</f>
        <v>1</v>
      </c>
      <c r="AS28" s="19">
        <f t="shared" si="47"/>
        <v>5.4143472656250013</v>
      </c>
      <c r="AT28" s="16">
        <f>Constants!$B$47</f>
        <v>0.08</v>
      </c>
      <c r="AU28" s="16">
        <f t="shared" si="48"/>
        <v>1.4445478504687506</v>
      </c>
      <c r="AV28" s="16">
        <f t="shared" si="49"/>
        <v>0</v>
      </c>
      <c r="AW28" s="16">
        <f t="shared" si="50"/>
        <v>0</v>
      </c>
      <c r="AX28" s="16">
        <f t="shared" si="51"/>
        <v>0</v>
      </c>
      <c r="AY28" s="16">
        <f t="shared" si="52"/>
        <v>0</v>
      </c>
      <c r="AZ28" s="16">
        <f t="shared" si="53"/>
        <v>1</v>
      </c>
      <c r="BA28" s="16">
        <f>_xlfn.XLOOKUP($A28, Constants!$E$18:$L$18,Constants!$E$19:$L$19)</f>
        <v>0.8</v>
      </c>
      <c r="BB28" s="16">
        <f>_xlfn.XLOOKUP($A28, Constants!$E$18:$L$18,Constants!$E$20:$L$20)</f>
        <v>0.01</v>
      </c>
      <c r="BC28" s="16">
        <f>_xlfn.XLOOKUP($A28, Constants!$E$18:$L$18,Constants!$E$21:$L$21)</f>
        <v>0.5</v>
      </c>
      <c r="BD28" s="16">
        <f>_xlfn.XLOOKUP($A28, Constants!$E$18:$L$18,Constants!$E$22:$L$22)</f>
        <v>0.02</v>
      </c>
      <c r="BE28" s="16">
        <f>_xlfn.XLOOKUP($A28, Constants!$E$18:$L$18,Constants!$E$23:$L$23)</f>
        <v>0.02</v>
      </c>
      <c r="BF28" s="16">
        <f>Constants!$B$48</f>
        <v>0.24</v>
      </c>
      <c r="BG28" s="16">
        <f>Constants!$B$49</f>
        <v>0.6784</v>
      </c>
      <c r="BH28" s="16">
        <f t="shared" si="54"/>
        <v>0</v>
      </c>
      <c r="BI28" s="16">
        <f t="shared" si="55"/>
        <v>0</v>
      </c>
      <c r="BJ28" s="16">
        <f t="shared" si="56"/>
        <v>0</v>
      </c>
      <c r="BK28" s="16">
        <f t="shared" si="57"/>
        <v>0</v>
      </c>
      <c r="BL28" s="16">
        <f t="shared" si="58"/>
        <v>4.7039100564384021E-3</v>
      </c>
      <c r="BM28" s="16" t="str">
        <f>IF(ISNUMBER(FIND("PreWeaned",Y28)),_xlfn.XLOOKUP(Y28,Constants!$J$2:$J$3,Constants!$K$2:$K$3), "")</f>
        <v/>
      </c>
      <c r="BN28" s="16">
        <f t="shared" si="59"/>
        <v>264.3597451718382</v>
      </c>
    </row>
    <row r="29" spans="1:67" x14ac:dyDescent="0.2">
      <c r="A29" t="str">
        <f>'Input Scenarios'!A29</f>
        <v>TAS</v>
      </c>
      <c r="B29">
        <f>'Input Scenarios'!B29</f>
        <v>0</v>
      </c>
      <c r="C29" t="str">
        <f>'Input Scenarios'!C29</f>
        <v>Irrigated crop</v>
      </c>
      <c r="D29" t="str">
        <f>'Input Scenarios'!D29</f>
        <v>dry</v>
      </c>
      <c r="E29" t="b">
        <f>'Input Scenarios'!E29</f>
        <v>1</v>
      </c>
      <c r="F29" t="str">
        <f>'Input Scenarios'!F29</f>
        <v>Grazed only</v>
      </c>
      <c r="G29">
        <f>IF('Input Scenarios'!G29&lt;&gt;"", 'Input Scenarios'!G29, _xlfn.XLOOKUP($F29, Constants!$M$6:$M$9,Constants!N$6:N$9))</f>
        <v>0.89</v>
      </c>
      <c r="H29">
        <f>IF('Input Scenarios'!H29&lt;&gt;"", 'Input Scenarios'!H29, _xlfn.XLOOKUP($F29, Constants!$M$6:$M$9,Constants!O$6:O$9))</f>
        <v>0.11</v>
      </c>
      <c r="I29">
        <f>IF('Input Scenarios'!I29&lt;&gt;"", 'Input Scenarios'!I29, _xlfn.XLOOKUP($F29, Constants!$M$6:$M$9,Constants!P$6:P$9))</f>
        <v>0</v>
      </c>
      <c r="J29">
        <f>'Input Scenarios'!J29</f>
        <v>0.1</v>
      </c>
      <c r="K29">
        <f>'Input Scenarios'!K29</f>
        <v>0.2</v>
      </c>
      <c r="L29">
        <f>'Input Scenarios'!L29</f>
        <v>0.3</v>
      </c>
      <c r="M29">
        <f>'Input Scenarios'!M29</f>
        <v>0.4</v>
      </c>
      <c r="N29">
        <f>'Input Scenarios'!N29</f>
        <v>0.4</v>
      </c>
      <c r="O29">
        <f>'Input Scenarios'!O29</f>
        <v>0.3</v>
      </c>
      <c r="P29">
        <f>'Input Scenarios'!P29</f>
        <v>0.2</v>
      </c>
      <c r="Q29">
        <f>'Input Scenarios'!Q29</f>
        <v>0.1</v>
      </c>
      <c r="R29" t="b">
        <f>'Input Scenarios'!R29</f>
        <v>0</v>
      </c>
      <c r="S29">
        <f>IF('Input Scenarios'!S29&lt;&gt;"", 'Input Scenarios'!S29, IF(R29, Constants!$B$38, 0))</f>
        <v>0</v>
      </c>
      <c r="T29" t="str">
        <f>IF('Input Scenarios'!T29&lt;&gt;"", 'Input Scenarios'!T29, "")</f>
        <v/>
      </c>
      <c r="U29" t="str">
        <f>IF('Input Scenarios'!U29&lt;&gt;"", 'Input Scenarios'!U29, IF(W29&lt;&gt;"", "", Constants!$B$39))</f>
        <v/>
      </c>
      <c r="V29" t="str">
        <f>IF('Input Scenarios'!V29&lt;&gt;"", 'Input Scenarios'!V29, IF(W29&lt;&gt;"", "", Constants!$B$40))</f>
        <v/>
      </c>
      <c r="W29">
        <f>IF('Input Scenarios'!W29&lt;&gt;"", 'Input Scenarios'!W29, "")</f>
        <v>20</v>
      </c>
      <c r="X29" t="str">
        <f>'Input Scenarios'!X29</f>
        <v>Friesian crossbred</v>
      </c>
      <c r="Y29" t="str">
        <f>'Input Scenarios'!Y29</f>
        <v>milkingCows</v>
      </c>
      <c r="Z29">
        <f>'Input Scenarios'!Z29</f>
        <v>200</v>
      </c>
      <c r="AA29">
        <f>IF('Input Scenarios'!AA29&lt;&gt;"", 'Input Scenarios'!AA29, _xlfn.XLOOKUP(Y29,Constants!$J$6:$J$12,Constants!$K$6:$K$12))</f>
        <v>365</v>
      </c>
      <c r="AB29">
        <f>IF('Input Scenarios'!AB29&lt;&gt;"", 'Input Scenarios'!AB29, INDEX(Constants!$B$2:$H$11, MATCH(X29, Constants!$A$2:$A$11, 0), MATCH(Y29,Constants!$B$1:$H$1, 0)))</f>
        <v>500</v>
      </c>
      <c r="AC29">
        <f>IF('Input Scenarios'!AC29&lt;&gt;"", 'Input Scenarios'!AC29, _xlfn.XLOOKUP(Y29, Constants!$B$13:$H$13, Constants!$B$15:$H$15, ""))</f>
        <v>1.6E-2</v>
      </c>
      <c r="AD29">
        <f>IF('Input Scenarios'!AD29&lt;&gt;"", 'Input Scenarios'!AD29, Constants!$B$45)</f>
        <v>0.75</v>
      </c>
      <c r="AE29">
        <f>IF('Input Scenarios'!AE29&lt;&gt;"", 'Input Scenarios'!AE29, Constants!$B$46)</f>
        <v>0.2</v>
      </c>
      <c r="AF29" s="20">
        <f t="shared" si="40"/>
        <v>1.1000000000000001E-2</v>
      </c>
      <c r="AG29" s="20">
        <f t="shared" si="41"/>
        <v>2.2000000000000002E-2</v>
      </c>
      <c r="AH29" s="20">
        <f t="shared" si="42"/>
        <v>3.3000000000000002E-2</v>
      </c>
      <c r="AI29" s="20">
        <f t="shared" si="43"/>
        <v>4.4000000000000004E-2</v>
      </c>
      <c r="AJ29" s="20">
        <f t="shared" si="44"/>
        <v>0.89</v>
      </c>
      <c r="AK29">
        <f t="shared" si="24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45"/>
        <v>0.5948500000000001</v>
      </c>
      <c r="AQ29">
        <f t="shared" si="46"/>
        <v>9.5798721636071917</v>
      </c>
      <c r="AR29">
        <f>IF(Y29="milkingCows", Constants!$P$2, Constants!$P$3)</f>
        <v>1.1000000000000001</v>
      </c>
      <c r="AS29" s="18">
        <f t="shared" si="47"/>
        <v>18.265829445367196</v>
      </c>
      <c r="AT29">
        <f>Constants!$B$47</f>
        <v>0.08</v>
      </c>
      <c r="AU29">
        <f t="shared" si="48"/>
        <v>4.8733232960239681</v>
      </c>
      <c r="AV29">
        <f t="shared" si="49"/>
        <v>1.1000000000000001E-2</v>
      </c>
      <c r="AW29">
        <f t="shared" si="50"/>
        <v>2.2000000000000002E-2</v>
      </c>
      <c r="AX29">
        <f t="shared" si="51"/>
        <v>3.3000000000000002E-2</v>
      </c>
      <c r="AY29">
        <f t="shared" si="52"/>
        <v>4.4000000000000004E-2</v>
      </c>
      <c r="AZ29">
        <f t="shared" si="53"/>
        <v>0.89</v>
      </c>
      <c r="BA29">
        <f>_xlfn.XLOOKUP($A29, Constants!$E$18:$L$18,Constants!$E$19:$L$19)</f>
        <v>0.69</v>
      </c>
      <c r="BB29">
        <f>_xlfn.XLOOKUP($A29, Constants!$E$18:$L$18,Constants!$E$20:$L$20)</f>
        <v>1E-3</v>
      </c>
      <c r="BC29">
        <f>_xlfn.XLOOKUP($A29, Constants!$E$18:$L$18,Constants!$E$21:$L$21)</f>
        <v>0.13</v>
      </c>
      <c r="BD29">
        <f>_xlfn.XLOOKUP($A29, Constants!$E$18:$L$18,Constants!$E$22:$L$22)</f>
        <v>0.02</v>
      </c>
      <c r="BE29">
        <f>_xlfn.XLOOKUP($A29, Constants!$E$18:$L$18,Constants!$E$23:$L$23)</f>
        <v>0.01</v>
      </c>
      <c r="BF29">
        <f>Constants!$B$48</f>
        <v>0.24</v>
      </c>
      <c r="BG29">
        <f>Constants!$B$49</f>
        <v>0.6784</v>
      </c>
      <c r="BH29">
        <f t="shared" si="54"/>
        <v>6.0223234937596768E-3</v>
      </c>
      <c r="BI29">
        <f t="shared" si="55"/>
        <v>1.7456010126839648E-5</v>
      </c>
      <c r="BJ29">
        <f t="shared" si="56"/>
        <v>3.4039219747337311E-3</v>
      </c>
      <c r="BK29">
        <f t="shared" si="57"/>
        <v>6.9824040507358593E-4</v>
      </c>
      <c r="BL29">
        <f t="shared" si="58"/>
        <v>7.061749551312402E-3</v>
      </c>
      <c r="BM29" t="str">
        <f>IF(ISNUMBER(FIND("PreWeaned",Y29)),_xlfn.XLOOKUP(Y29,Constants!$J$2:$J$3,Constants!$K$2:$K$3), "")</f>
        <v/>
      </c>
      <c r="BN29">
        <f t="shared" si="59"/>
        <v>1255.869474755455</v>
      </c>
      <c r="BO29">
        <f>SUM(BN29:BN35)/1000</f>
        <v>2.6290368803595165</v>
      </c>
    </row>
    <row r="30" spans="1:67" x14ac:dyDescent="0.2">
      <c r="A30" t="str">
        <f>'Input Scenarios'!A30</f>
        <v>TAS</v>
      </c>
      <c r="B30">
        <f>'Input Scenarios'!B30</f>
        <v>0</v>
      </c>
      <c r="C30" t="str">
        <f>'Input Scenarios'!C30</f>
        <v>Irrigated crop</v>
      </c>
      <c r="D30" t="str">
        <f>'Input Scenarios'!D30</f>
        <v>dry</v>
      </c>
      <c r="E30" t="b">
        <f>'Input Scenarios'!E30</f>
        <v>1</v>
      </c>
      <c r="F30" t="str">
        <f>'Input Scenarios'!F30</f>
        <v>Grazed only</v>
      </c>
      <c r="G30">
        <f>IF('Input Scenarios'!G30&lt;&gt;"", 'Input Scenarios'!G30, _xlfn.XLOOKUP($F30, Constants!$M$6:$M$9,Constants!N$6:N$9))</f>
        <v>0.89</v>
      </c>
      <c r="H30">
        <f>IF('Input Scenarios'!H30&lt;&gt;"", 'Input Scenarios'!H30, _xlfn.XLOOKUP($F30, Constants!$M$6:$M$9,Constants!O$6:O$9))</f>
        <v>0.11</v>
      </c>
      <c r="I30">
        <f>IF('Input Scenarios'!I30&lt;&gt;"", 'Input Scenarios'!I30, _xlfn.XLOOKUP($F30, Constants!$M$6:$M$9,Constants!P$6:P$9))</f>
        <v>0</v>
      </c>
      <c r="J30">
        <f>'Input Scenarios'!J30</f>
        <v>0.1</v>
      </c>
      <c r="K30">
        <f>'Input Scenarios'!K30</f>
        <v>0.2</v>
      </c>
      <c r="L30">
        <f>'Input Scenarios'!L30</f>
        <v>0.3</v>
      </c>
      <c r="M30">
        <f>'Input Scenarios'!M30</f>
        <v>0.4</v>
      </c>
      <c r="N30">
        <f>'Input Scenarios'!N30</f>
        <v>0.4</v>
      </c>
      <c r="O30">
        <f>'Input Scenarios'!O30</f>
        <v>0.3</v>
      </c>
      <c r="P30">
        <f>'Input Scenarios'!P30</f>
        <v>0.2</v>
      </c>
      <c r="Q30">
        <f>'Input Scenarios'!Q30</f>
        <v>0.1</v>
      </c>
      <c r="R30" t="b">
        <f>'Input Scenarios'!R30</f>
        <v>0</v>
      </c>
      <c r="S30">
        <f>IF('Input Scenarios'!S30&lt;&gt;"", 'Input Scenarios'!S30, IF(R30, Constants!$B$38, 0))</f>
        <v>0</v>
      </c>
      <c r="T30" t="str">
        <f>IF('Input Scenarios'!T30&lt;&gt;"", 'Input Scenarios'!T30, "")</f>
        <v/>
      </c>
      <c r="U30">
        <f>IF('Input Scenarios'!U30&lt;&gt;"", 'Input Scenarios'!U30, IF(W30&lt;&gt;"", "", Constants!$B$39))</f>
        <v>4</v>
      </c>
      <c r="V30">
        <f>IF('Input Scenarios'!V30&lt;&gt;"", 'Input Scenarios'!V30, IF(W30&lt;&gt;"", "", Constants!$B$40))</f>
        <v>3.3</v>
      </c>
      <c r="W30" t="str">
        <f>IF('Input Scenarios'!W30&lt;&gt;"", 'Input Scenarios'!W30, "")</f>
        <v/>
      </c>
      <c r="X30" t="str">
        <f>'Input Scenarios'!X30</f>
        <v>Friesian crossbred</v>
      </c>
      <c r="Y30" t="str">
        <f>'Input Scenarios'!Y30</f>
        <v>heifersGt1</v>
      </c>
      <c r="Z30">
        <f>'Input Scenarios'!Z30</f>
        <v>200</v>
      </c>
      <c r="AA30">
        <f>IF('Input Scenarios'!AA30&lt;&gt;"", 'Input Scenarios'!AA30, _xlfn.XLOOKUP(Y30,Constants!$J$6:$J$12,Constants!$K$6:$K$12))</f>
        <v>365</v>
      </c>
      <c r="AB30">
        <f>IF('Input Scenarios'!AB30&lt;&gt;"", 'Input Scenarios'!AB30, INDEX(Constants!$B$2:$H$11, MATCH(X30, Constants!$A$2:$A$11, 0), MATCH(Y30,Constants!$B$1:$H$1, 0)))</f>
        <v>350</v>
      </c>
      <c r="AC30">
        <f>IF('Input Scenarios'!AC30&lt;&gt;"", 'Input Scenarios'!AC30, _xlfn.XLOOKUP(Y30, Constants!$B$13:$H$13, Constants!$B$15:$H$15, ""))</f>
        <v>0.6</v>
      </c>
      <c r="AD30">
        <f>IF('Input Scenarios'!AD30&lt;&gt;"", 'Input Scenarios'!AD30, Constants!$B$45)</f>
        <v>0.75</v>
      </c>
      <c r="AE30">
        <f>IF('Input Scenarios'!AE30&lt;&gt;"", 'Input Scenarios'!AE30, Constants!$B$46)</f>
        <v>0.2</v>
      </c>
      <c r="AF30">
        <f t="shared" si="40"/>
        <v>0</v>
      </c>
      <c r="AG30">
        <f t="shared" si="41"/>
        <v>0</v>
      </c>
      <c r="AH30">
        <f t="shared" si="42"/>
        <v>0</v>
      </c>
      <c r="AI30">
        <f t="shared" si="43"/>
        <v>0</v>
      </c>
      <c r="AJ30">
        <f t="shared" si="44"/>
        <v>1</v>
      </c>
      <c r="AK30">
        <f t="shared" si="24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45"/>
        <v>0.5948500000000001</v>
      </c>
      <c r="AQ30">
        <f t="shared" si="46"/>
        <v>0</v>
      </c>
      <c r="AR30">
        <f>IF(Y30="milkingCows", Constants!$P$2, Constants!$P$3)</f>
        <v>1</v>
      </c>
      <c r="AS30" s="18">
        <f t="shared" si="47"/>
        <v>6.9933802499999995</v>
      </c>
      <c r="AT30">
        <f>Constants!$B$47</f>
        <v>0.08</v>
      </c>
      <c r="AU30">
        <f t="shared" si="48"/>
        <v>1.8658338507000001</v>
      </c>
      <c r="AV30">
        <f t="shared" si="49"/>
        <v>0</v>
      </c>
      <c r="AW30">
        <f t="shared" si="50"/>
        <v>0</v>
      </c>
      <c r="AX30">
        <f t="shared" si="51"/>
        <v>0</v>
      </c>
      <c r="AY30">
        <f t="shared" si="52"/>
        <v>0</v>
      </c>
      <c r="AZ30">
        <f t="shared" si="53"/>
        <v>1</v>
      </c>
      <c r="BA30">
        <f>_xlfn.XLOOKUP($A30, Constants!$E$18:$L$18,Constants!$E$19:$L$19)</f>
        <v>0.69</v>
      </c>
      <c r="BB30">
        <f>_xlfn.XLOOKUP($A30, Constants!$E$18:$L$18,Constants!$E$20:$L$20)</f>
        <v>1E-3</v>
      </c>
      <c r="BC30">
        <f>_xlfn.XLOOKUP($A30, Constants!$E$18:$L$18,Constants!$E$21:$L$21)</f>
        <v>0.13</v>
      </c>
      <c r="BD30">
        <f>_xlfn.XLOOKUP($A30, Constants!$E$18:$L$18,Constants!$E$22:$L$22)</f>
        <v>0.02</v>
      </c>
      <c r="BE30">
        <f>_xlfn.XLOOKUP($A30, Constants!$E$18:$L$18,Constants!$E$23:$L$23)</f>
        <v>0.01</v>
      </c>
      <c r="BF30">
        <f>Constants!$B$48</f>
        <v>0.24</v>
      </c>
      <c r="BG30">
        <f>Constants!$B$49</f>
        <v>0.6784</v>
      </c>
      <c r="BH30">
        <f t="shared" si="54"/>
        <v>0</v>
      </c>
      <c r="BI30">
        <f t="shared" si="55"/>
        <v>0</v>
      </c>
      <c r="BJ30">
        <f t="shared" si="56"/>
        <v>0</v>
      </c>
      <c r="BK30">
        <f t="shared" si="57"/>
        <v>0</v>
      </c>
      <c r="BL30">
        <f t="shared" si="58"/>
        <v>3.0378760423557124E-3</v>
      </c>
      <c r="BM30" t="str">
        <f>IF(ISNUMBER(FIND("PreWeaned",Y30)),_xlfn.XLOOKUP(Y30,Constants!$J$2:$J$3,Constants!$K$2:$K$3), "")</f>
        <v/>
      </c>
      <c r="BN30">
        <f t="shared" si="59"/>
        <v>221.76495109196699</v>
      </c>
    </row>
    <row r="31" spans="1:67" x14ac:dyDescent="0.2">
      <c r="A31" t="str">
        <f>'Input Scenarios'!A31</f>
        <v>TAS</v>
      </c>
      <c r="B31">
        <f>'Input Scenarios'!B31</f>
        <v>0</v>
      </c>
      <c r="C31" t="str">
        <f>'Input Scenarios'!C31</f>
        <v>Irrigated crop</v>
      </c>
      <c r="D31" t="str">
        <f>'Input Scenarios'!D31</f>
        <v>dry</v>
      </c>
      <c r="E31" t="b">
        <f>'Input Scenarios'!E31</f>
        <v>1</v>
      </c>
      <c r="F31" t="str">
        <f>'Input Scenarios'!F31</f>
        <v>Grazed only</v>
      </c>
      <c r="G31">
        <f>IF('Input Scenarios'!G31&lt;&gt;"", 'Input Scenarios'!G31, _xlfn.XLOOKUP($F31, Constants!$M$6:$M$9,Constants!N$6:N$9))</f>
        <v>0.89</v>
      </c>
      <c r="H31">
        <f>IF('Input Scenarios'!H31&lt;&gt;"", 'Input Scenarios'!H31, _xlfn.XLOOKUP($F31, Constants!$M$6:$M$9,Constants!O$6:O$9))</f>
        <v>0.11</v>
      </c>
      <c r="I31">
        <f>IF('Input Scenarios'!I31&lt;&gt;"", 'Input Scenarios'!I31, _xlfn.XLOOKUP($F31, Constants!$M$6:$M$9,Constants!P$6:P$9))</f>
        <v>0</v>
      </c>
      <c r="J31">
        <f>'Input Scenarios'!J31</f>
        <v>0.1</v>
      </c>
      <c r="K31">
        <f>'Input Scenarios'!K31</f>
        <v>0.2</v>
      </c>
      <c r="L31">
        <f>'Input Scenarios'!L31</f>
        <v>0.3</v>
      </c>
      <c r="M31">
        <f>'Input Scenarios'!M31</f>
        <v>0.4</v>
      </c>
      <c r="N31">
        <f>'Input Scenarios'!N31</f>
        <v>0.4</v>
      </c>
      <c r="O31">
        <f>'Input Scenarios'!O31</f>
        <v>0.3</v>
      </c>
      <c r="P31">
        <f>'Input Scenarios'!P31</f>
        <v>0.2</v>
      </c>
      <c r="Q31">
        <f>'Input Scenarios'!Q31</f>
        <v>0.1</v>
      </c>
      <c r="R31" t="b">
        <f>'Input Scenarios'!R31</f>
        <v>0</v>
      </c>
      <c r="S31">
        <f>IF('Input Scenarios'!S31&lt;&gt;"", 'Input Scenarios'!S31, IF(R31, Constants!$B$38, 0))</f>
        <v>0</v>
      </c>
      <c r="T31" t="str">
        <f>IF('Input Scenarios'!T31&lt;&gt;"", 'Input Scenarios'!T31, "")</f>
        <v/>
      </c>
      <c r="U31">
        <f>IF('Input Scenarios'!U31&lt;&gt;"", 'Input Scenarios'!U31, IF(W31&lt;&gt;"", "", Constants!$B$39))</f>
        <v>4</v>
      </c>
      <c r="V31">
        <f>IF('Input Scenarios'!V31&lt;&gt;"", 'Input Scenarios'!V31, IF(W31&lt;&gt;"", "", Constants!$B$40))</f>
        <v>3.3</v>
      </c>
      <c r="W31" t="str">
        <f>IF('Input Scenarios'!W31&lt;&gt;"", 'Input Scenarios'!W31, "")</f>
        <v/>
      </c>
      <c r="X31" t="str">
        <f>'Input Scenarios'!X31</f>
        <v>Friesian crossbred</v>
      </c>
      <c r="Y31" t="str">
        <f>'Input Scenarios'!Y31</f>
        <v>heifersLt1PreWeaned</v>
      </c>
      <c r="Z31">
        <f>'Input Scenarios'!Z31</f>
        <v>200</v>
      </c>
      <c r="AA31">
        <f>IF('Input Scenarios'!AA31&lt;&gt;"", 'Input Scenarios'!AA31, _xlfn.XLOOKUP(Y31,Constants!$J$6:$J$12,Constants!$K$6:$K$12))</f>
        <v>84</v>
      </c>
      <c r="AB31">
        <f>IF('Input Scenarios'!AB31&lt;&gt;"", 'Input Scenarios'!AB31, INDEX(Constants!$B$2:$H$11, MATCH(X31, Constants!$A$2:$A$11, 0), MATCH(Y31,Constants!$B$1:$H$1, 0)))</f>
        <v>145</v>
      </c>
      <c r="AC31" t="str">
        <f>IF('Input Scenarios'!AC31&lt;&gt;"", 'Input Scenarios'!AC31, _xlfn.XLOOKUP(Y31, Constants!$B$13:$H$13, Constants!$B$15:$H$15, ""))</f>
        <v/>
      </c>
      <c r="AD31">
        <f>IF('Input Scenarios'!AD31&lt;&gt;"", 'Input Scenarios'!AD31, Constants!$B$45)</f>
        <v>0.75</v>
      </c>
      <c r="AE31">
        <f>IF('Input Scenarios'!AE31&lt;&gt;"", 'Input Scenarios'!AE31, Constants!$B$46)</f>
        <v>0.2</v>
      </c>
      <c r="AF31">
        <f t="shared" si="40"/>
        <v>0</v>
      </c>
      <c r="AG31">
        <f t="shared" si="41"/>
        <v>0</v>
      </c>
      <c r="AH31">
        <f t="shared" si="42"/>
        <v>0</v>
      </c>
      <c r="AI31">
        <f t="shared" si="43"/>
        <v>0</v>
      </c>
      <c r="AJ31">
        <f t="shared" si="44"/>
        <v>1</v>
      </c>
      <c r="AK31">
        <f t="shared" si="24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45"/>
        <v>0.5948500000000001</v>
      </c>
      <c r="AQ31">
        <f t="shared" si="46"/>
        <v>0</v>
      </c>
      <c r="AR31">
        <f>IF(Y31="milkingCows", Constants!$P$2, Constants!$P$3)</f>
        <v>1</v>
      </c>
      <c r="AS31" s="18" t="str">
        <f t="shared" si="47"/>
        <v/>
      </c>
      <c r="AT31">
        <f>Constants!$B$47</f>
        <v>0.08</v>
      </c>
      <c r="AU31" t="str">
        <f t="shared" si="48"/>
        <v/>
      </c>
      <c r="AV31">
        <f t="shared" si="49"/>
        <v>0</v>
      </c>
      <c r="AW31">
        <f t="shared" si="50"/>
        <v>0</v>
      </c>
      <c r="AX31">
        <f t="shared" si="51"/>
        <v>0</v>
      </c>
      <c r="AY31">
        <f t="shared" si="52"/>
        <v>0</v>
      </c>
      <c r="AZ31">
        <f t="shared" si="53"/>
        <v>1</v>
      </c>
      <c r="BA31">
        <f>_xlfn.XLOOKUP($A31, Constants!$E$18:$L$18,Constants!$E$19:$L$19)</f>
        <v>0.69</v>
      </c>
      <c r="BB31">
        <f>_xlfn.XLOOKUP($A31, Constants!$E$18:$L$18,Constants!$E$20:$L$20)</f>
        <v>1E-3</v>
      </c>
      <c r="BC31">
        <f>_xlfn.XLOOKUP($A31, Constants!$E$18:$L$18,Constants!$E$21:$L$21)</f>
        <v>0.13</v>
      </c>
      <c r="BD31">
        <f>_xlfn.XLOOKUP($A31, Constants!$E$18:$L$18,Constants!$E$22:$L$22)</f>
        <v>0.02</v>
      </c>
      <c r="BE31">
        <f>_xlfn.XLOOKUP($A31, Constants!$E$18:$L$18,Constants!$E$23:$L$23)</f>
        <v>0.01</v>
      </c>
      <c r="BF31">
        <f>Constants!$B$48</f>
        <v>0.24</v>
      </c>
      <c r="BG31">
        <f>Constants!$B$49</f>
        <v>0.6784</v>
      </c>
      <c r="BH31" t="str">
        <f t="shared" si="54"/>
        <v/>
      </c>
      <c r="BI31" t="str">
        <f t="shared" si="55"/>
        <v/>
      </c>
      <c r="BJ31" t="str">
        <f t="shared" si="56"/>
        <v/>
      </c>
      <c r="BK31" t="str">
        <f t="shared" si="57"/>
        <v/>
      </c>
      <c r="BL31" t="str">
        <f t="shared" si="58"/>
        <v/>
      </c>
      <c r="BM31">
        <f>IF(ISNUMBER(FIND("PreWeaned",Y31)),_xlfn.XLOOKUP(Y31,Constants!$J$2:$J$3,Constants!$K$2:$K$3), "")</f>
        <v>1.7600000000000001E-2</v>
      </c>
      <c r="BN31">
        <f t="shared" si="59"/>
        <v>295.68</v>
      </c>
    </row>
    <row r="32" spans="1:67" x14ac:dyDescent="0.2">
      <c r="A32" t="str">
        <f>'Input Scenarios'!A32</f>
        <v>TAS</v>
      </c>
      <c r="B32">
        <f>'Input Scenarios'!B32</f>
        <v>0</v>
      </c>
      <c r="C32" t="str">
        <f>'Input Scenarios'!C32</f>
        <v>Irrigated crop</v>
      </c>
      <c r="D32" t="str">
        <f>'Input Scenarios'!D32</f>
        <v>dry</v>
      </c>
      <c r="E32" t="b">
        <f>'Input Scenarios'!E32</f>
        <v>1</v>
      </c>
      <c r="F32" t="str">
        <f>'Input Scenarios'!F32</f>
        <v>Grazed only</v>
      </c>
      <c r="G32">
        <f>IF('Input Scenarios'!G32&lt;&gt;"", 'Input Scenarios'!G32, _xlfn.XLOOKUP($F32, Constants!$M$6:$M$9,Constants!N$6:N$9))</f>
        <v>0.89</v>
      </c>
      <c r="H32">
        <f>IF('Input Scenarios'!H32&lt;&gt;"", 'Input Scenarios'!H32, _xlfn.XLOOKUP($F32, Constants!$M$6:$M$9,Constants!O$6:O$9))</f>
        <v>0.11</v>
      </c>
      <c r="I32">
        <f>IF('Input Scenarios'!I32&lt;&gt;"", 'Input Scenarios'!I32, _xlfn.XLOOKUP($F32, Constants!$M$6:$M$9,Constants!P$6:P$9))</f>
        <v>0</v>
      </c>
      <c r="J32">
        <f>'Input Scenarios'!J32</f>
        <v>0.1</v>
      </c>
      <c r="K32">
        <f>'Input Scenarios'!K32</f>
        <v>0.2</v>
      </c>
      <c r="L32">
        <f>'Input Scenarios'!L32</f>
        <v>0.3</v>
      </c>
      <c r="M32">
        <f>'Input Scenarios'!M32</f>
        <v>0.4</v>
      </c>
      <c r="N32">
        <f>'Input Scenarios'!N32</f>
        <v>0.4</v>
      </c>
      <c r="O32">
        <f>'Input Scenarios'!O32</f>
        <v>0.3</v>
      </c>
      <c r="P32">
        <f>'Input Scenarios'!P32</f>
        <v>0.2</v>
      </c>
      <c r="Q32">
        <f>'Input Scenarios'!Q32</f>
        <v>0.1</v>
      </c>
      <c r="R32" t="b">
        <f>'Input Scenarios'!R32</f>
        <v>0</v>
      </c>
      <c r="S32">
        <f>IF('Input Scenarios'!S32&lt;&gt;"", 'Input Scenarios'!S32, IF(R32, Constants!$B$38, 0))</f>
        <v>0</v>
      </c>
      <c r="T32" t="str">
        <f>IF('Input Scenarios'!T32&lt;&gt;"", 'Input Scenarios'!T32, "")</f>
        <v/>
      </c>
      <c r="U32">
        <f>IF('Input Scenarios'!U32&lt;&gt;"", 'Input Scenarios'!U32, IF(W32&lt;&gt;"", "", Constants!$B$39))</f>
        <v>4</v>
      </c>
      <c r="V32">
        <f>IF('Input Scenarios'!V32&lt;&gt;"", 'Input Scenarios'!V32, IF(W32&lt;&gt;"", "", Constants!$B$40))</f>
        <v>3.3</v>
      </c>
      <c r="W32" t="str">
        <f>IF('Input Scenarios'!W32&lt;&gt;"", 'Input Scenarios'!W32, "")</f>
        <v/>
      </c>
      <c r="X32" t="str">
        <f>'Input Scenarios'!X32</f>
        <v>Friesian crossbred</v>
      </c>
      <c r="Y32" t="str">
        <f>'Input Scenarios'!Y32</f>
        <v>heifersLt1Weaned</v>
      </c>
      <c r="Z32">
        <f>'Input Scenarios'!Z32</f>
        <v>200</v>
      </c>
      <c r="AA32">
        <f>IF('Input Scenarios'!AA32&lt;&gt;"", 'Input Scenarios'!AA32, _xlfn.XLOOKUP(Y32,Constants!$J$6:$J$12,Constants!$K$6:$K$12))</f>
        <v>281</v>
      </c>
      <c r="AB32">
        <f>IF('Input Scenarios'!AB32&lt;&gt;"", 'Input Scenarios'!AB32, INDEX(Constants!$B$2:$H$11, MATCH(X32, Constants!$A$2:$A$11, 0), MATCH(Y32,Constants!$B$1:$H$1, 0)))</f>
        <v>145</v>
      </c>
      <c r="AC32">
        <f>IF('Input Scenarios'!AC32&lt;&gt;"", 'Input Scenarios'!AC32, _xlfn.XLOOKUP(Y32, Constants!$B$13:$H$13, Constants!$B$15:$H$15, ""))</f>
        <v>0.56999999999999995</v>
      </c>
      <c r="AD32">
        <f>IF('Input Scenarios'!AD32&lt;&gt;"", 'Input Scenarios'!AD32, Constants!$B$45)</f>
        <v>0.75</v>
      </c>
      <c r="AE32">
        <f>IF('Input Scenarios'!AE32&lt;&gt;"", 'Input Scenarios'!AE32, Constants!$B$46)</f>
        <v>0.2</v>
      </c>
      <c r="AF32">
        <f t="shared" si="40"/>
        <v>0</v>
      </c>
      <c r="AG32">
        <f t="shared" si="41"/>
        <v>0</v>
      </c>
      <c r="AH32">
        <f t="shared" si="42"/>
        <v>0</v>
      </c>
      <c r="AI32">
        <f t="shared" si="43"/>
        <v>0</v>
      </c>
      <c r="AJ32">
        <f t="shared" si="44"/>
        <v>1</v>
      </c>
      <c r="AK32">
        <f t="shared" si="24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45"/>
        <v>0.5948500000000001</v>
      </c>
      <c r="AQ32">
        <f t="shared" si="46"/>
        <v>0</v>
      </c>
      <c r="AR32">
        <f>IF(Y32="milkingCows", Constants!$P$2, Constants!$P$3)</f>
        <v>1</v>
      </c>
      <c r="AS32" s="18">
        <f t="shared" si="47"/>
        <v>3.8737521942250002</v>
      </c>
      <c r="AT32">
        <f>Constants!$B$47</f>
        <v>0.08</v>
      </c>
      <c r="AU32">
        <f t="shared" si="48"/>
        <v>1.0335170854192302</v>
      </c>
      <c r="AV32">
        <f t="shared" si="49"/>
        <v>0</v>
      </c>
      <c r="AW32">
        <f t="shared" si="50"/>
        <v>0</v>
      </c>
      <c r="AX32">
        <f t="shared" si="51"/>
        <v>0</v>
      </c>
      <c r="AY32">
        <f t="shared" si="52"/>
        <v>0</v>
      </c>
      <c r="AZ32">
        <f t="shared" si="53"/>
        <v>1</v>
      </c>
      <c r="BA32">
        <f>_xlfn.XLOOKUP($A32, Constants!$E$18:$L$18,Constants!$E$19:$L$19)</f>
        <v>0.69</v>
      </c>
      <c r="BB32">
        <f>_xlfn.XLOOKUP($A32, Constants!$E$18:$L$18,Constants!$E$20:$L$20)</f>
        <v>1E-3</v>
      </c>
      <c r="BC32">
        <f>_xlfn.XLOOKUP($A32, Constants!$E$18:$L$18,Constants!$E$21:$L$21)</f>
        <v>0.13</v>
      </c>
      <c r="BD32">
        <f>_xlfn.XLOOKUP($A32, Constants!$E$18:$L$18,Constants!$E$22:$L$22)</f>
        <v>0.02</v>
      </c>
      <c r="BE32">
        <f>_xlfn.XLOOKUP($A32, Constants!$E$18:$L$18,Constants!$E$23:$L$23)</f>
        <v>0.01</v>
      </c>
      <c r="BF32">
        <f>Constants!$B$48</f>
        <v>0.24</v>
      </c>
      <c r="BG32">
        <f>Constants!$B$49</f>
        <v>0.6784</v>
      </c>
      <c r="BH32">
        <f t="shared" si="54"/>
        <v>0</v>
      </c>
      <c r="BI32">
        <f t="shared" si="55"/>
        <v>0</v>
      </c>
      <c r="BJ32">
        <f t="shared" si="56"/>
        <v>0</v>
      </c>
      <c r="BK32">
        <f t="shared" si="57"/>
        <v>0</v>
      </c>
      <c r="BL32">
        <f t="shared" si="58"/>
        <v>1.6827311777961736E-3</v>
      </c>
      <c r="BM32" t="str">
        <f>IF(ISNUMBER(FIND("PreWeaned",Y32)),_xlfn.XLOOKUP(Y32,Constants!$J$2:$J$3,Constants!$K$2:$K$3), "")</f>
        <v/>
      </c>
      <c r="BN32">
        <f t="shared" si="59"/>
        <v>94.569492192144963</v>
      </c>
    </row>
    <row r="33" spans="1:67" x14ac:dyDescent="0.2">
      <c r="A33" t="str">
        <f>'Input Scenarios'!A33</f>
        <v>TAS</v>
      </c>
      <c r="B33">
        <f>'Input Scenarios'!B33</f>
        <v>0</v>
      </c>
      <c r="C33" t="str">
        <f>'Input Scenarios'!C33</f>
        <v>Irrigated crop</v>
      </c>
      <c r="D33" t="str">
        <f>'Input Scenarios'!D33</f>
        <v>dry</v>
      </c>
      <c r="E33" t="b">
        <f>'Input Scenarios'!E33</f>
        <v>1</v>
      </c>
      <c r="F33" t="str">
        <f>'Input Scenarios'!F33</f>
        <v>Grazed only</v>
      </c>
      <c r="G33">
        <f>IF('Input Scenarios'!G33&lt;&gt;"", 'Input Scenarios'!G33, _xlfn.XLOOKUP($F33, Constants!$M$6:$M$9,Constants!N$6:N$9))</f>
        <v>0.89</v>
      </c>
      <c r="H33">
        <f>IF('Input Scenarios'!H33&lt;&gt;"", 'Input Scenarios'!H33, _xlfn.XLOOKUP($F33, Constants!$M$6:$M$9,Constants!O$6:O$9))</f>
        <v>0.11</v>
      </c>
      <c r="I33">
        <f>IF('Input Scenarios'!I33&lt;&gt;"", 'Input Scenarios'!I33, _xlfn.XLOOKUP($F33, Constants!$M$6:$M$9,Constants!P$6:P$9))</f>
        <v>0</v>
      </c>
      <c r="J33">
        <f>'Input Scenarios'!J33</f>
        <v>0.1</v>
      </c>
      <c r="K33">
        <f>'Input Scenarios'!K33</f>
        <v>0.2</v>
      </c>
      <c r="L33">
        <f>'Input Scenarios'!L33</f>
        <v>0.3</v>
      </c>
      <c r="M33">
        <f>'Input Scenarios'!M33</f>
        <v>0.4</v>
      </c>
      <c r="N33">
        <f>'Input Scenarios'!N33</f>
        <v>0.4</v>
      </c>
      <c r="O33">
        <f>'Input Scenarios'!O33</f>
        <v>0.3</v>
      </c>
      <c r="P33">
        <f>'Input Scenarios'!P33</f>
        <v>0.2</v>
      </c>
      <c r="Q33">
        <f>'Input Scenarios'!Q33</f>
        <v>0.1</v>
      </c>
      <c r="R33" t="b">
        <f>'Input Scenarios'!R33</f>
        <v>0</v>
      </c>
      <c r="S33">
        <f>IF('Input Scenarios'!S33&lt;&gt;"", 'Input Scenarios'!S33, IF(R33, Constants!$B$38, 0))</f>
        <v>0</v>
      </c>
      <c r="T33" t="str">
        <f>IF('Input Scenarios'!T33&lt;&gt;"", 'Input Scenarios'!T33, "")</f>
        <v/>
      </c>
      <c r="U33">
        <f>IF('Input Scenarios'!U33&lt;&gt;"", 'Input Scenarios'!U33, IF(W33&lt;&gt;"", "", Constants!$B$39))</f>
        <v>4</v>
      </c>
      <c r="V33">
        <f>IF('Input Scenarios'!V33&lt;&gt;"", 'Input Scenarios'!V33, IF(W33&lt;&gt;"", "", Constants!$B$40))</f>
        <v>3.3</v>
      </c>
      <c r="W33" t="str">
        <f>IF('Input Scenarios'!W33&lt;&gt;"", 'Input Scenarios'!W33, "")</f>
        <v/>
      </c>
      <c r="X33" t="str">
        <f>'Input Scenarios'!X33</f>
        <v>Friesian crossbred</v>
      </c>
      <c r="Y33" t="str">
        <f>'Input Scenarios'!Y33</f>
        <v>bullsGt1</v>
      </c>
      <c r="Z33">
        <f>'Input Scenarios'!Z33</f>
        <v>200</v>
      </c>
      <c r="AA33">
        <f>IF('Input Scenarios'!AA33&lt;&gt;"", 'Input Scenarios'!AA33, _xlfn.XLOOKUP(Y33,Constants!$J$6:$J$12,Constants!$K$6:$K$12))</f>
        <v>365</v>
      </c>
      <c r="AB33">
        <f>IF('Input Scenarios'!AB33&lt;&gt;"", 'Input Scenarios'!AB33, INDEX(Constants!$B$2:$H$11, MATCH(X33, Constants!$A$2:$A$11, 0), MATCH(Y33,Constants!$B$1:$H$1, 0)))</f>
        <v>600</v>
      </c>
      <c r="AC33">
        <f>IF('Input Scenarios'!AC33&lt;&gt;"", 'Input Scenarios'!AC33, _xlfn.XLOOKUP(Y33, Constants!$B$13:$H$13, Constants!$B$15:$H$15, ""))</f>
        <v>0.1</v>
      </c>
      <c r="AD33">
        <f>IF('Input Scenarios'!AD33&lt;&gt;"", 'Input Scenarios'!AD33, Constants!$B$45)</f>
        <v>0.75</v>
      </c>
      <c r="AE33">
        <f>IF('Input Scenarios'!AE33&lt;&gt;"", 'Input Scenarios'!AE33, Constants!$B$46)</f>
        <v>0.2</v>
      </c>
      <c r="AF33">
        <f t="shared" si="40"/>
        <v>0</v>
      </c>
      <c r="AG33">
        <f t="shared" si="41"/>
        <v>0</v>
      </c>
      <c r="AH33">
        <f t="shared" si="42"/>
        <v>0</v>
      </c>
      <c r="AI33">
        <f t="shared" si="43"/>
        <v>0</v>
      </c>
      <c r="AJ33">
        <f t="shared" si="44"/>
        <v>1</v>
      </c>
      <c r="AK33">
        <f t="shared" si="24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45"/>
        <v>0.5948500000000001</v>
      </c>
      <c r="AQ33">
        <f t="shared" si="46"/>
        <v>0</v>
      </c>
      <c r="AR33">
        <f>IF(Y33="milkingCows", Constants!$P$2, Constants!$P$3)</f>
        <v>1</v>
      </c>
      <c r="AS33" s="18">
        <f t="shared" si="47"/>
        <v>9.0270202499999979</v>
      </c>
      <c r="AT33">
        <f>Constants!$B$47</f>
        <v>0.08</v>
      </c>
      <c r="AU33">
        <f t="shared" si="48"/>
        <v>2.4084090026999996</v>
      </c>
      <c r="AV33">
        <f t="shared" si="49"/>
        <v>0</v>
      </c>
      <c r="AW33">
        <f t="shared" si="50"/>
        <v>0</v>
      </c>
      <c r="AX33">
        <f t="shared" si="51"/>
        <v>0</v>
      </c>
      <c r="AY33">
        <f t="shared" si="52"/>
        <v>0</v>
      </c>
      <c r="AZ33">
        <f t="shared" si="53"/>
        <v>1</v>
      </c>
      <c r="BA33">
        <f>_xlfn.XLOOKUP($A33, Constants!$E$18:$L$18,Constants!$E$19:$L$19)</f>
        <v>0.69</v>
      </c>
      <c r="BB33">
        <f>_xlfn.XLOOKUP($A33, Constants!$E$18:$L$18,Constants!$E$20:$L$20)</f>
        <v>1E-3</v>
      </c>
      <c r="BC33">
        <f>_xlfn.XLOOKUP($A33, Constants!$E$18:$L$18,Constants!$E$21:$L$21)</f>
        <v>0.13</v>
      </c>
      <c r="BD33">
        <f>_xlfn.XLOOKUP($A33, Constants!$E$18:$L$18,Constants!$E$22:$L$22)</f>
        <v>0.02</v>
      </c>
      <c r="BE33">
        <f>_xlfn.XLOOKUP($A33, Constants!$E$18:$L$18,Constants!$E$23:$L$23)</f>
        <v>0.01</v>
      </c>
      <c r="BF33">
        <f>Constants!$B$48</f>
        <v>0.24</v>
      </c>
      <c r="BG33">
        <f>Constants!$B$49</f>
        <v>0.6784</v>
      </c>
      <c r="BH33">
        <f t="shared" si="54"/>
        <v>0</v>
      </c>
      <c r="BI33">
        <f t="shared" si="55"/>
        <v>0</v>
      </c>
      <c r="BJ33">
        <f t="shared" si="56"/>
        <v>0</v>
      </c>
      <c r="BK33">
        <f t="shared" si="57"/>
        <v>0</v>
      </c>
      <c r="BL33">
        <f t="shared" si="58"/>
        <v>3.9212752018360315E-3</v>
      </c>
      <c r="BM33" t="str">
        <f>IF(ISNUMBER(FIND("PreWeaned",Y33)),_xlfn.XLOOKUP(Y33,Constants!$J$2:$J$3,Constants!$K$2:$K$3), "")</f>
        <v/>
      </c>
      <c r="BN33">
        <f t="shared" si="59"/>
        <v>286.25308973403031</v>
      </c>
    </row>
    <row r="34" spans="1:67" x14ac:dyDescent="0.2">
      <c r="A34" t="str">
        <f>'Input Scenarios'!A34</f>
        <v>TAS</v>
      </c>
      <c r="B34">
        <f>'Input Scenarios'!B34</f>
        <v>0</v>
      </c>
      <c r="C34" t="str">
        <f>'Input Scenarios'!C34</f>
        <v>Irrigated crop</v>
      </c>
      <c r="D34" t="str">
        <f>'Input Scenarios'!D34</f>
        <v>dry</v>
      </c>
      <c r="E34" t="b">
        <f>'Input Scenarios'!E34</f>
        <v>1</v>
      </c>
      <c r="F34" t="str">
        <f>'Input Scenarios'!F34</f>
        <v>Grazed only</v>
      </c>
      <c r="G34">
        <f>IF('Input Scenarios'!G34&lt;&gt;"", 'Input Scenarios'!G34, _xlfn.XLOOKUP($F34, Constants!$M$6:$M$9,Constants!N$6:N$9))</f>
        <v>0.89</v>
      </c>
      <c r="H34">
        <f>IF('Input Scenarios'!H34&lt;&gt;"", 'Input Scenarios'!H34, _xlfn.XLOOKUP($F34, Constants!$M$6:$M$9,Constants!O$6:O$9))</f>
        <v>0.11</v>
      </c>
      <c r="I34">
        <f>IF('Input Scenarios'!I34&lt;&gt;"", 'Input Scenarios'!I34, _xlfn.XLOOKUP($F34, Constants!$M$6:$M$9,Constants!P$6:P$9))</f>
        <v>0</v>
      </c>
      <c r="J34">
        <f>'Input Scenarios'!J34</f>
        <v>0.1</v>
      </c>
      <c r="K34">
        <f>'Input Scenarios'!K34</f>
        <v>0.2</v>
      </c>
      <c r="L34">
        <f>'Input Scenarios'!L34</f>
        <v>0.3</v>
      </c>
      <c r="M34">
        <f>'Input Scenarios'!M34</f>
        <v>0.4</v>
      </c>
      <c r="N34">
        <f>'Input Scenarios'!N34</f>
        <v>0.4</v>
      </c>
      <c r="O34">
        <f>'Input Scenarios'!O34</f>
        <v>0.3</v>
      </c>
      <c r="P34">
        <f>'Input Scenarios'!P34</f>
        <v>0.2</v>
      </c>
      <c r="Q34">
        <f>'Input Scenarios'!Q34</f>
        <v>0.1</v>
      </c>
      <c r="R34" t="b">
        <f>'Input Scenarios'!R34</f>
        <v>0</v>
      </c>
      <c r="S34">
        <f>IF('Input Scenarios'!S34&lt;&gt;"", 'Input Scenarios'!S34, IF(R34, Constants!$B$38, 0))</f>
        <v>0</v>
      </c>
      <c r="T34" t="str">
        <f>IF('Input Scenarios'!T34&lt;&gt;"", 'Input Scenarios'!T34, "")</f>
        <v/>
      </c>
      <c r="U34">
        <f>IF('Input Scenarios'!U34&lt;&gt;"", 'Input Scenarios'!U34, IF(W34&lt;&gt;"", "", Constants!$B$39))</f>
        <v>4</v>
      </c>
      <c r="V34">
        <f>IF('Input Scenarios'!V34&lt;&gt;"", 'Input Scenarios'!V34, IF(W34&lt;&gt;"", "", Constants!$B$40))</f>
        <v>3.3</v>
      </c>
      <c r="W34" t="str">
        <f>IF('Input Scenarios'!W34&lt;&gt;"", 'Input Scenarios'!W34, "")</f>
        <v/>
      </c>
      <c r="X34" t="str">
        <f>'Input Scenarios'!X34</f>
        <v>Friesian crossbred</v>
      </c>
      <c r="Y34" t="str">
        <f>'Input Scenarios'!Y34</f>
        <v>bullsLt1PreWeaned</v>
      </c>
      <c r="Z34">
        <f>'Input Scenarios'!Z34</f>
        <v>200</v>
      </c>
      <c r="AA34">
        <f>IF('Input Scenarios'!AA34&lt;&gt;"", 'Input Scenarios'!AA34, _xlfn.XLOOKUP(Y34,Constants!$J$6:$J$12,Constants!$K$6:$K$12))</f>
        <v>84</v>
      </c>
      <c r="AB34">
        <f>IF('Input Scenarios'!AB34&lt;&gt;"", 'Input Scenarios'!AB34, INDEX(Constants!$B$2:$H$11, MATCH(X34, Constants!$A$2:$A$11, 0), MATCH(Y34,Constants!$B$1:$H$1, 0)))</f>
        <v>225</v>
      </c>
      <c r="AC34" t="str">
        <f>IF('Input Scenarios'!AC34&lt;&gt;"", 'Input Scenarios'!AC34, _xlfn.XLOOKUP(Y34, Constants!$B$13:$H$13, Constants!$B$15:$H$15, ""))</f>
        <v/>
      </c>
      <c r="AD34">
        <f>IF('Input Scenarios'!AD34&lt;&gt;"", 'Input Scenarios'!AD34, Constants!$B$45)</f>
        <v>0.75</v>
      </c>
      <c r="AE34">
        <f>IF('Input Scenarios'!AE34&lt;&gt;"", 'Input Scenarios'!AE34, Constants!$B$46)</f>
        <v>0.2</v>
      </c>
      <c r="AF34">
        <f t="shared" si="40"/>
        <v>0</v>
      </c>
      <c r="AG34">
        <f t="shared" si="41"/>
        <v>0</v>
      </c>
      <c r="AH34">
        <f t="shared" si="42"/>
        <v>0</v>
      </c>
      <c r="AI34">
        <f t="shared" si="43"/>
        <v>0</v>
      </c>
      <c r="AJ34">
        <f t="shared" si="44"/>
        <v>1</v>
      </c>
      <c r="AK34">
        <f t="shared" si="24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45"/>
        <v>0.5948500000000001</v>
      </c>
      <c r="AQ34">
        <f t="shared" si="46"/>
        <v>0</v>
      </c>
      <c r="AR34">
        <f>IF(Y34="milkingCows", Constants!$P$2, Constants!$P$3)</f>
        <v>1</v>
      </c>
      <c r="AS34" s="18" t="str">
        <f t="shared" si="47"/>
        <v/>
      </c>
      <c r="AT34">
        <f>Constants!$B$47</f>
        <v>0.08</v>
      </c>
      <c r="AU34" t="str">
        <f t="shared" si="48"/>
        <v/>
      </c>
      <c r="AV34">
        <f t="shared" si="49"/>
        <v>0</v>
      </c>
      <c r="AW34">
        <f t="shared" si="50"/>
        <v>0</v>
      </c>
      <c r="AX34">
        <f t="shared" si="51"/>
        <v>0</v>
      </c>
      <c r="AY34">
        <f t="shared" si="52"/>
        <v>0</v>
      </c>
      <c r="AZ34">
        <f t="shared" si="53"/>
        <v>1</v>
      </c>
      <c r="BA34">
        <f>_xlfn.XLOOKUP($A34, Constants!$E$18:$L$18,Constants!$E$19:$L$19)</f>
        <v>0.69</v>
      </c>
      <c r="BB34">
        <f>_xlfn.XLOOKUP($A34, Constants!$E$18:$L$18,Constants!$E$20:$L$20)</f>
        <v>1E-3</v>
      </c>
      <c r="BC34">
        <f>_xlfn.XLOOKUP($A34, Constants!$E$18:$L$18,Constants!$E$21:$L$21)</f>
        <v>0.13</v>
      </c>
      <c r="BD34">
        <f>_xlfn.XLOOKUP($A34, Constants!$E$18:$L$18,Constants!$E$22:$L$22)</f>
        <v>0.02</v>
      </c>
      <c r="BE34">
        <f>_xlfn.XLOOKUP($A34, Constants!$E$18:$L$18,Constants!$E$23:$L$23)</f>
        <v>0.01</v>
      </c>
      <c r="BF34">
        <f>Constants!$B$48</f>
        <v>0.24</v>
      </c>
      <c r="BG34">
        <f>Constants!$B$49</f>
        <v>0.6784</v>
      </c>
      <c r="BH34" t="str">
        <f t="shared" si="54"/>
        <v/>
      </c>
      <c r="BI34" t="str">
        <f t="shared" si="55"/>
        <v/>
      </c>
      <c r="BJ34" t="str">
        <f t="shared" si="56"/>
        <v/>
      </c>
      <c r="BK34" t="str">
        <f t="shared" si="57"/>
        <v/>
      </c>
      <c r="BL34" t="str">
        <f t="shared" si="58"/>
        <v/>
      </c>
      <c r="BM34">
        <f>IF(ISNUMBER(FIND("PreWeaned",Y34)),_xlfn.XLOOKUP(Y34,Constants!$J$2:$J$3,Constants!$K$2:$K$3), "")</f>
        <v>2.0400000000000001E-2</v>
      </c>
      <c r="BN34">
        <f t="shared" si="59"/>
        <v>342.72</v>
      </c>
    </row>
    <row r="35" spans="1:67" s="16" customFormat="1" x14ac:dyDescent="0.2">
      <c r="A35" s="16" t="str">
        <f>'Input Scenarios'!A35</f>
        <v>TAS</v>
      </c>
      <c r="B35" s="16">
        <f>'Input Scenarios'!B35</f>
        <v>0</v>
      </c>
      <c r="C35" s="16" t="str">
        <f>'Input Scenarios'!C35</f>
        <v>Irrigated crop</v>
      </c>
      <c r="D35" s="16" t="str">
        <f>'Input Scenarios'!D35</f>
        <v>dry</v>
      </c>
      <c r="E35" s="16" t="b">
        <f>'Input Scenarios'!E35</f>
        <v>1</v>
      </c>
      <c r="F35" s="16" t="str">
        <f>'Input Scenarios'!F35</f>
        <v>Grazed only</v>
      </c>
      <c r="G35" s="16">
        <f>IF('Input Scenarios'!G35&lt;&gt;"", 'Input Scenarios'!G35, _xlfn.XLOOKUP($F35, Constants!$M$6:$M$9,Constants!N$6:N$9))</f>
        <v>0.89</v>
      </c>
      <c r="H35" s="16">
        <f>IF('Input Scenarios'!H35&lt;&gt;"", 'Input Scenarios'!H35, _xlfn.XLOOKUP($F35, Constants!$M$6:$M$9,Constants!O$6:O$9))</f>
        <v>0.11</v>
      </c>
      <c r="I35" s="16">
        <f>IF('Input Scenarios'!I35&lt;&gt;"", 'Input Scenarios'!I35, _xlfn.XLOOKUP($F35, Constants!$M$6:$M$9,Constants!P$6:P$9))</f>
        <v>0</v>
      </c>
      <c r="J35" s="16">
        <f>'Input Scenarios'!J35</f>
        <v>0.1</v>
      </c>
      <c r="K35" s="16">
        <f>'Input Scenarios'!K35</f>
        <v>0.2</v>
      </c>
      <c r="L35" s="16">
        <f>'Input Scenarios'!L35</f>
        <v>0.3</v>
      </c>
      <c r="M35" s="16">
        <f>'Input Scenarios'!M35</f>
        <v>0.4</v>
      </c>
      <c r="N35" s="16">
        <f>'Input Scenarios'!N35</f>
        <v>0.4</v>
      </c>
      <c r="O35" s="16">
        <f>'Input Scenarios'!O35</f>
        <v>0.3</v>
      </c>
      <c r="P35" s="16">
        <f>'Input Scenarios'!P35</f>
        <v>0.2</v>
      </c>
      <c r="Q35" s="16">
        <f>'Input Scenarios'!Q35</f>
        <v>0.1</v>
      </c>
      <c r="R35" s="16" t="b">
        <f>'Input Scenarios'!R35</f>
        <v>0</v>
      </c>
      <c r="S35" s="16">
        <f>IF('Input Scenarios'!S35&lt;&gt;"", 'Input Scenarios'!S35, IF(R35, Constants!$B$38, 0))</f>
        <v>0</v>
      </c>
      <c r="T35" s="16" t="str">
        <f>IF('Input Scenarios'!T35&lt;&gt;"", 'Input Scenarios'!T35, "")</f>
        <v/>
      </c>
      <c r="U35" s="16">
        <f>IF('Input Scenarios'!U35&lt;&gt;"", 'Input Scenarios'!U35, IF(W35&lt;&gt;"", "", Constants!$B$39))</f>
        <v>4</v>
      </c>
      <c r="V35" s="16">
        <f>IF('Input Scenarios'!V35&lt;&gt;"", 'Input Scenarios'!V35, IF(W35&lt;&gt;"", "", Constants!$B$40))</f>
        <v>3.3</v>
      </c>
      <c r="W35" s="16" t="str">
        <f>IF('Input Scenarios'!W35&lt;&gt;"", 'Input Scenarios'!W35, "")</f>
        <v/>
      </c>
      <c r="X35" s="16" t="str">
        <f>'Input Scenarios'!X35</f>
        <v>Friesian crossbred</v>
      </c>
      <c r="Y35" s="16" t="str">
        <f>'Input Scenarios'!Y35</f>
        <v>bullsLt1Weaned</v>
      </c>
      <c r="Z35" s="16">
        <f>'Input Scenarios'!Z35</f>
        <v>200</v>
      </c>
      <c r="AA35" s="16">
        <f>IF('Input Scenarios'!AA35&lt;&gt;"", 'Input Scenarios'!AA35, _xlfn.XLOOKUP(Y35,Constants!$J$6:$J$12,Constants!$K$6:$K$12))</f>
        <v>281</v>
      </c>
      <c r="AB35" s="16">
        <f>IF('Input Scenarios'!AB35&lt;&gt;"", 'Input Scenarios'!AB35, INDEX(Constants!$B$2:$H$11, MATCH(X35, Constants!$A$2:$A$11, 0), MATCH(Y35,Constants!$B$1:$H$1, 0)))</f>
        <v>225</v>
      </c>
      <c r="AC35" s="16">
        <f>IF('Input Scenarios'!AC35&lt;&gt;"", 'Input Scenarios'!AC35, _xlfn.XLOOKUP(Y35, Constants!$B$13:$H$13, Constants!$B$15:$H$15, ""))</f>
        <v>0.8</v>
      </c>
      <c r="AD35" s="16">
        <f>IF('Input Scenarios'!AD35&lt;&gt;"", 'Input Scenarios'!AD35, Constants!$B$45)</f>
        <v>0.75</v>
      </c>
      <c r="AE35" s="16">
        <f>IF('Input Scenarios'!AE35&lt;&gt;"", 'Input Scenarios'!AE35, Constants!$B$46)</f>
        <v>0.2</v>
      </c>
      <c r="AF35" s="16">
        <f t="shared" si="40"/>
        <v>0</v>
      </c>
      <c r="AG35" s="16">
        <f t="shared" si="41"/>
        <v>0</v>
      </c>
      <c r="AH35" s="16">
        <f t="shared" si="42"/>
        <v>0</v>
      </c>
      <c r="AI35" s="16">
        <f t="shared" si="43"/>
        <v>0</v>
      </c>
      <c r="AJ35" s="16">
        <f t="shared" si="44"/>
        <v>1</v>
      </c>
      <c r="AK35" s="16">
        <f t="shared" si="24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45"/>
        <v>0.5948500000000001</v>
      </c>
      <c r="AQ35" s="16">
        <f t="shared" si="46"/>
        <v>0</v>
      </c>
      <c r="AR35" s="16">
        <f>IF(Y35="milkingCows", Constants!$P$2, Constants!$P$3)</f>
        <v>1</v>
      </c>
      <c r="AS35" s="19">
        <f t="shared" si="47"/>
        <v>5.4143472656250013</v>
      </c>
      <c r="AT35" s="16">
        <f>Constants!$B$47</f>
        <v>0.08</v>
      </c>
      <c r="AU35" s="16">
        <f t="shared" si="48"/>
        <v>1.4445478504687506</v>
      </c>
      <c r="AV35" s="16">
        <f t="shared" si="49"/>
        <v>0</v>
      </c>
      <c r="AW35" s="16">
        <f t="shared" si="50"/>
        <v>0</v>
      </c>
      <c r="AX35" s="16">
        <f t="shared" si="51"/>
        <v>0</v>
      </c>
      <c r="AY35" s="16">
        <f t="shared" si="52"/>
        <v>0</v>
      </c>
      <c r="AZ35" s="16">
        <f t="shared" si="53"/>
        <v>1</v>
      </c>
      <c r="BA35" s="16">
        <f>_xlfn.XLOOKUP($A35, Constants!$E$18:$L$18,Constants!$E$19:$L$19)</f>
        <v>0.69</v>
      </c>
      <c r="BB35" s="16">
        <f>_xlfn.XLOOKUP($A35, Constants!$E$18:$L$18,Constants!$E$20:$L$20)</f>
        <v>1E-3</v>
      </c>
      <c r="BC35" s="16">
        <f>_xlfn.XLOOKUP($A35, Constants!$E$18:$L$18,Constants!$E$21:$L$21)</f>
        <v>0.13</v>
      </c>
      <c r="BD35" s="16">
        <f>_xlfn.XLOOKUP($A35, Constants!$E$18:$L$18,Constants!$E$22:$L$22)</f>
        <v>0.02</v>
      </c>
      <c r="BE35" s="16">
        <f>_xlfn.XLOOKUP($A35, Constants!$E$18:$L$18,Constants!$E$23:$L$23)</f>
        <v>0.01</v>
      </c>
      <c r="BF35" s="16">
        <f>Constants!$B$48</f>
        <v>0.24</v>
      </c>
      <c r="BG35" s="16">
        <f>Constants!$B$49</f>
        <v>0.6784</v>
      </c>
      <c r="BH35" s="16">
        <f t="shared" si="54"/>
        <v>0</v>
      </c>
      <c r="BI35" s="16">
        <f t="shared" si="55"/>
        <v>0</v>
      </c>
      <c r="BJ35" s="16">
        <f t="shared" si="56"/>
        <v>0</v>
      </c>
      <c r="BK35" s="16">
        <f t="shared" si="57"/>
        <v>0</v>
      </c>
      <c r="BL35" s="16">
        <f t="shared" si="58"/>
        <v>2.351955028219201E-3</v>
      </c>
      <c r="BM35" s="16" t="str">
        <f>IF(ISNUMBER(FIND("PreWeaned",Y35)),_xlfn.XLOOKUP(Y35,Constants!$J$2:$J$3,Constants!$K$2:$K$3), "")</f>
        <v/>
      </c>
      <c r="BN35" s="16">
        <f t="shared" si="59"/>
        <v>132.1798725859191</v>
      </c>
    </row>
    <row r="36" spans="1:67" x14ac:dyDescent="0.2">
      <c r="A36" t="str">
        <f>'Input Scenarios'!A36</f>
        <v>VIC</v>
      </c>
      <c r="B36">
        <f>'Input Scenarios'!B36</f>
        <v>0</v>
      </c>
      <c r="C36" t="str">
        <f>'Input Scenarios'!C36</f>
        <v>Non-irrigated pasture</v>
      </c>
      <c r="D36" t="str">
        <f>'Input Scenarios'!D36</f>
        <v>wet</v>
      </c>
      <c r="E36" t="b">
        <f>'Input Scenarios'!E36</f>
        <v>0</v>
      </c>
      <c r="F36" t="str">
        <f>'Input Scenarios'!F36</f>
        <v>Limited grazing</v>
      </c>
      <c r="G36">
        <f>IF('Input Scenarios'!G36&lt;&gt;"", 'Input Scenarios'!G36, _xlfn.XLOOKUP($F36, Constants!$M$6:$M$9,Constants!N$6:N$9))</f>
        <v>0.53400000000000003</v>
      </c>
      <c r="H36">
        <f>IF('Input Scenarios'!H36&lt;&gt;"", 'Input Scenarios'!H36, _xlfn.XLOOKUP($F36, Constants!$M$6:$M$9,Constants!O$6:O$9))</f>
        <v>0.11</v>
      </c>
      <c r="I36">
        <f>IF('Input Scenarios'!I36&lt;&gt;"", 'Input Scenarios'!I36, _xlfn.XLOOKUP($F36, Constants!$M$6:$M$9,Constants!P$6:P$9))</f>
        <v>0.35599999999999998</v>
      </c>
      <c r="J36">
        <f>'Input Scenarios'!J36</f>
        <v>0.25</v>
      </c>
      <c r="K36">
        <f>'Input Scenarios'!K36</f>
        <v>0.25</v>
      </c>
      <c r="L36">
        <f>'Input Scenarios'!L36</f>
        <v>0.25</v>
      </c>
      <c r="M36">
        <f>'Input Scenarios'!M36</f>
        <v>0.25</v>
      </c>
      <c r="N36">
        <f>'Input Scenarios'!N36</f>
        <v>0.25</v>
      </c>
      <c r="O36">
        <f>'Input Scenarios'!O36</f>
        <v>0.25</v>
      </c>
      <c r="P36">
        <f>'Input Scenarios'!P36</f>
        <v>0.25</v>
      </c>
      <c r="Q36">
        <f>'Input Scenarios'!Q36</f>
        <v>0.25</v>
      </c>
      <c r="R36" t="b">
        <f>'Input Scenarios'!R36</f>
        <v>1</v>
      </c>
      <c r="S36">
        <f>IF('Input Scenarios'!S36&lt;&gt;"", 'Input Scenarios'!S36, IF(R36, Constants!$B$38, 0))</f>
        <v>0.2</v>
      </c>
      <c r="T36" t="str">
        <f>IF('Input Scenarios'!T36&lt;&gt;"", 'Input Scenarios'!T36, "")</f>
        <v/>
      </c>
      <c r="U36" t="str">
        <f>IF('Input Scenarios'!U36&lt;&gt;"", 'Input Scenarios'!U36, IF(W36&lt;&gt;"", "", Constants!$B$39))</f>
        <v/>
      </c>
      <c r="V36" t="str">
        <f>IF('Input Scenarios'!V36&lt;&gt;"", 'Input Scenarios'!V36, IF(W36&lt;&gt;"", "", Constants!$B$40))</f>
        <v/>
      </c>
      <c r="W36">
        <f>IF('Input Scenarios'!W36&lt;&gt;"", 'Input Scenarios'!W36, "")</f>
        <v>30</v>
      </c>
      <c r="X36" t="str">
        <f>'Input Scenarios'!X36</f>
        <v>Jersey</v>
      </c>
      <c r="Y36" t="str">
        <f>'Input Scenarios'!Y36</f>
        <v>milkingCows</v>
      </c>
      <c r="Z36">
        <f>'Input Scenarios'!Z36</f>
        <v>200</v>
      </c>
      <c r="AA36">
        <f>IF('Input Scenarios'!AA36&lt;&gt;"", 'Input Scenarios'!AA36, _xlfn.XLOOKUP(Y36,Constants!$J$6:$J$12,Constants!$K$6:$K$12))</f>
        <v>365</v>
      </c>
      <c r="AB36">
        <f>IF('Input Scenarios'!AB36&lt;&gt;"", 'Input Scenarios'!AB36, INDEX(Constants!$B$2:$H$11, MATCH(X36, Constants!$A$2:$A$11, 0), MATCH(Y36,Constants!$B$1:$H$1, 0)))</f>
        <v>400</v>
      </c>
      <c r="AC36">
        <f>IF('Input Scenarios'!AC36&lt;&gt;"", 'Input Scenarios'!AC36, _xlfn.XLOOKUP(Y36, Constants!$B$13:$H$13, Constants!$B$15:$H$15, ""))</f>
        <v>1.6E-2</v>
      </c>
      <c r="AD36">
        <f>IF('Input Scenarios'!AD36&lt;&gt;"", 'Input Scenarios'!AD36, Constants!$B$45)</f>
        <v>0.75</v>
      </c>
      <c r="AE36">
        <f>IF('Input Scenarios'!AE36&lt;&gt;"", 'Input Scenarios'!AE36, Constants!$B$46)</f>
        <v>0.2</v>
      </c>
      <c r="AF36" s="20">
        <f>IF($Y36="milkingCows",($H36*J36)+($I36*N36), 0)</f>
        <v>0.11649999999999999</v>
      </c>
      <c r="AG36" s="20">
        <f t="shared" si="41"/>
        <v>0.11649999999999999</v>
      </c>
      <c r="AH36" s="20">
        <f t="shared" si="42"/>
        <v>0.11649999999999999</v>
      </c>
      <c r="AI36" s="20">
        <f t="shared" si="43"/>
        <v>0.11649999999999999</v>
      </c>
      <c r="AJ36" s="20">
        <f>IF($Y36="milkingCows",G36, 1)</f>
        <v>0.53400000000000003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 t="shared" ref="AP36:AP57" si="60">0.795*(AD36)-0.0014</f>
        <v>0.5948500000000001</v>
      </c>
      <c r="AQ36">
        <f t="shared" ref="AQ36:AQ57" si="61">(AK36*AL36*AM36)/(AN36*AO36*AP36)</f>
        <v>14.369808245410789</v>
      </c>
      <c r="AR36">
        <f>IF(Y36="milkingCows", Constants!$P$2, Constants!$P$3)</f>
        <v>1.1000000000000001</v>
      </c>
      <c r="AS36" s="18">
        <f t="shared" ref="AS36:AS57" si="62">IFERROR(((((1.185 + (0.00454*AB36) - (0.0000026*(AB36^2)) + (0.315*AC36))^2)*AR36)+AQ36), "")</f>
        <v>21.748946167170789</v>
      </c>
      <c r="AT36">
        <f>Constants!$B$47</f>
        <v>0.08</v>
      </c>
      <c r="AU36">
        <f t="shared" ref="AU36:AU57" si="63">IFERROR((AS36*(1-AD36)+(0.04*AS36))*(1-AT36), "")</f>
        <v>5.8026188374011669</v>
      </c>
      <c r="AV36">
        <f t="shared" ref="AV36:AV57" si="64">AF36*(1-S36)</f>
        <v>9.3200000000000005E-2</v>
      </c>
      <c r="AW36">
        <f t="shared" ref="AW36:AW57" si="65">AG36</f>
        <v>0.11649999999999999</v>
      </c>
      <c r="AX36">
        <f t="shared" ref="AX36:AX57" si="66">AH36</f>
        <v>0.11649999999999999</v>
      </c>
      <c r="AY36">
        <f t="shared" ref="AY36:AY57" si="67">AI36+(AF36*S36)</f>
        <v>0.13979999999999998</v>
      </c>
      <c r="AZ36">
        <f t="shared" ref="AZ36:AZ57" si="68">AJ36</f>
        <v>0.53400000000000003</v>
      </c>
      <c r="BA36">
        <f>_xlfn.XLOOKUP($A36, Constants!$E$18:$L$18,Constants!$E$19:$L$19)</f>
        <v>0.73</v>
      </c>
      <c r="BB36">
        <f>_xlfn.XLOOKUP($A36, Constants!$E$18:$L$18,Constants!$E$20:$L$20)</f>
        <v>5.0000000000000001E-3</v>
      </c>
      <c r="BC36">
        <f>_xlfn.XLOOKUP($A36, Constants!$E$18:$L$18,Constants!$E$21:$L$21)</f>
        <v>0.17</v>
      </c>
      <c r="BD36">
        <f>_xlfn.XLOOKUP($A36, Constants!$E$18:$L$18,Constants!$E$22:$L$22)</f>
        <v>0.02</v>
      </c>
      <c r="BE36">
        <f>_xlfn.XLOOKUP($A36, Constants!$E$18:$L$18,Constants!$E$23:$L$23)</f>
        <v>0.01</v>
      </c>
      <c r="BF36">
        <f>Constants!$B$48</f>
        <v>0.24</v>
      </c>
      <c r="BG36">
        <f>Constants!$B$49</f>
        <v>0.6784</v>
      </c>
      <c r="BH36">
        <f t="shared" ref="BH36:BH57" si="69">IF(ISNUMBER(FIND("PreWeaned",$Y36)), "", $AU36*AV36*BA36*$BF36*$BG36)</f>
        <v>6.4277636157651669E-2</v>
      </c>
      <c r="BI36">
        <f t="shared" ref="BI36:BI57" si="70">IF(ISNUMBER(FIND("PreWeaned",$Y36)), "", $AU36*AW36*BB36*$BF36*$BG36)</f>
        <v>5.5032222737715466E-4</v>
      </c>
      <c r="BJ36">
        <f t="shared" ref="BJ36:BJ57" si="71">IF(ISNUMBER(FIND("PreWeaned",$Y36)), "", $AU36*AX36*BC36*$BF36*$BG36)</f>
        <v>1.8710955730823257E-2</v>
      </c>
      <c r="BK36">
        <f t="shared" ref="BK36:BK57" si="72">IF(ISNUMBER(FIND("PreWeaned",$Y36)), "", $AU36*AY36*BD36*$BF36*$BG36)</f>
        <v>2.6415466914103416E-3</v>
      </c>
      <c r="BL36">
        <f t="shared" ref="BL36:BL57" si="73">IF(ISNUMBER(FIND("PreWeaned",$Y36)), "", $AU36*AZ36*BE36*$BF36*$BG36)</f>
        <v>5.0450140672858475E-3</v>
      </c>
      <c r="BM36" t="str">
        <f>IF(ISNUMBER(FIND("PreWeaned",Y36)),_xlfn.XLOOKUP(Y36,Constants!$J$2:$J$3,Constants!$K$2:$K$3), "")</f>
        <v/>
      </c>
      <c r="BN36">
        <f t="shared" ref="BN36:BN57" si="74">Z36*AA36*SUM(BH36:BM36)</f>
        <v>6659.4596658420223</v>
      </c>
      <c r="BO36">
        <f>SUM(BN36:BN42)/1000</f>
        <v>7.9866637717779794</v>
      </c>
    </row>
    <row r="37" spans="1:67" x14ac:dyDescent="0.2">
      <c r="A37" t="str">
        <f>'Input Scenarios'!A37</f>
        <v>VIC</v>
      </c>
      <c r="B37">
        <f>'Input Scenarios'!B37</f>
        <v>0</v>
      </c>
      <c r="C37" t="str">
        <f>'Input Scenarios'!C37</f>
        <v>Non-irrigated pasture</v>
      </c>
      <c r="D37" t="str">
        <f>'Input Scenarios'!D37</f>
        <v>wet</v>
      </c>
      <c r="E37" t="b">
        <f>'Input Scenarios'!E37</f>
        <v>0</v>
      </c>
      <c r="F37" t="str">
        <f>'Input Scenarios'!F37</f>
        <v>Limited grazing</v>
      </c>
      <c r="G37">
        <f>IF('Input Scenarios'!G37&lt;&gt;"", 'Input Scenarios'!G37, _xlfn.XLOOKUP($F37, Constants!$M$6:$M$9,Constants!N$6:N$9))</f>
        <v>0.53400000000000003</v>
      </c>
      <c r="H37">
        <f>IF('Input Scenarios'!H37&lt;&gt;"", 'Input Scenarios'!H37, _xlfn.XLOOKUP($F37, Constants!$M$6:$M$9,Constants!O$6:O$9))</f>
        <v>0.11</v>
      </c>
      <c r="I37">
        <f>IF('Input Scenarios'!I37&lt;&gt;"", 'Input Scenarios'!I37, _xlfn.XLOOKUP($F37, Constants!$M$6:$M$9,Constants!P$6:P$9))</f>
        <v>0.35599999999999998</v>
      </c>
      <c r="J37">
        <f>'Input Scenarios'!J37</f>
        <v>0.25</v>
      </c>
      <c r="K37">
        <f>'Input Scenarios'!K37</f>
        <v>0.25</v>
      </c>
      <c r="L37">
        <f>'Input Scenarios'!L37</f>
        <v>0.25</v>
      </c>
      <c r="M37">
        <f>'Input Scenarios'!M37</f>
        <v>0.25</v>
      </c>
      <c r="N37">
        <f>'Input Scenarios'!N37</f>
        <v>0.25</v>
      </c>
      <c r="O37">
        <f>'Input Scenarios'!O37</f>
        <v>0.25</v>
      </c>
      <c r="P37">
        <f>'Input Scenarios'!P37</f>
        <v>0.25</v>
      </c>
      <c r="Q37">
        <f>'Input Scenarios'!Q37</f>
        <v>0.25</v>
      </c>
      <c r="R37" t="b">
        <f>'Input Scenarios'!R37</f>
        <v>1</v>
      </c>
      <c r="S37">
        <f>IF('Input Scenarios'!S37&lt;&gt;"", 'Input Scenarios'!S37, IF(R37, Constants!$B$38, 0))</f>
        <v>0.2</v>
      </c>
      <c r="T37" t="str">
        <f>IF('Input Scenarios'!T37&lt;&gt;"", 'Input Scenarios'!T37, "")</f>
        <v/>
      </c>
      <c r="U37">
        <f>IF('Input Scenarios'!U37&lt;&gt;"", 'Input Scenarios'!U37, IF(W37&lt;&gt;"", "", Constants!$B$39))</f>
        <v>4</v>
      </c>
      <c r="V37">
        <f>IF('Input Scenarios'!V37&lt;&gt;"", 'Input Scenarios'!V37, IF(W37&lt;&gt;"", "", Constants!$B$40))</f>
        <v>3.3</v>
      </c>
      <c r="W37" t="str">
        <f>IF('Input Scenarios'!W37&lt;&gt;"", 'Input Scenarios'!W37, "")</f>
        <v/>
      </c>
      <c r="X37" t="str">
        <f>'Input Scenarios'!X37</f>
        <v>Jersey</v>
      </c>
      <c r="Y37" t="str">
        <f>'Input Scenarios'!Y37</f>
        <v>heifersGt1</v>
      </c>
      <c r="Z37">
        <f>'Input Scenarios'!Z37</f>
        <v>200</v>
      </c>
      <c r="AA37">
        <f>IF('Input Scenarios'!AA37&lt;&gt;"", 'Input Scenarios'!AA37, _xlfn.XLOOKUP(Y37,Constants!$J$6:$J$12,Constants!$K$6:$K$12))</f>
        <v>365</v>
      </c>
      <c r="AB37">
        <f>IF('Input Scenarios'!AB37&lt;&gt;"", 'Input Scenarios'!AB37, INDEX(Constants!$B$2:$H$11, MATCH(X37, Constants!$A$2:$A$11, 0), MATCH(Y37,Constants!$B$1:$H$1, 0)))</f>
        <v>275</v>
      </c>
      <c r="AC37">
        <f>IF('Input Scenarios'!AC37&lt;&gt;"", 'Input Scenarios'!AC37, _xlfn.XLOOKUP(Y37, Constants!$B$13:$H$13, Constants!$B$15:$H$15, ""))</f>
        <v>0.6</v>
      </c>
      <c r="AD37">
        <f>IF('Input Scenarios'!AD37&lt;&gt;"", 'Input Scenarios'!AD37, Constants!$B$45)</f>
        <v>0.75</v>
      </c>
      <c r="AE37">
        <f>IF('Input Scenarios'!AE37&lt;&gt;"", 'Input Scenarios'!AE37, Constants!$B$46)</f>
        <v>0.2</v>
      </c>
      <c r="AF37">
        <f t="shared" ref="AF37:AF56" si="75">IF($Y37="milkingCows",($H37*J37)+($I37*N37), 0)</f>
        <v>0</v>
      </c>
      <c r="AG37">
        <f t="shared" si="41"/>
        <v>0</v>
      </c>
      <c r="AH37">
        <f t="shared" si="42"/>
        <v>0</v>
      </c>
      <c r="AI37">
        <f t="shared" si="43"/>
        <v>0</v>
      </c>
      <c r="AJ37">
        <f t="shared" ref="AJ37:AJ56" si="76">IF($Y37="milkingCows",G37, 1)</f>
        <v>1</v>
      </c>
      <c r="AK37">
        <f t="shared" ref="AK37:AK41" si="77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si="60"/>
        <v>0.5948500000000001</v>
      </c>
      <c r="AQ37">
        <f t="shared" si="61"/>
        <v>0</v>
      </c>
      <c r="AR37">
        <f>IF(Y37="milkingCows", Constants!$P$2, Constants!$P$3)</f>
        <v>1</v>
      </c>
      <c r="AS37" s="18">
        <f t="shared" si="62"/>
        <v>5.8848695156249997</v>
      </c>
      <c r="AT37">
        <f>Constants!$B$47</f>
        <v>0.08</v>
      </c>
      <c r="AU37">
        <f t="shared" si="63"/>
        <v>1.5700831867687501</v>
      </c>
      <c r="AV37">
        <f t="shared" si="64"/>
        <v>0</v>
      </c>
      <c r="AW37">
        <f t="shared" si="65"/>
        <v>0</v>
      </c>
      <c r="AX37">
        <f t="shared" si="66"/>
        <v>0</v>
      </c>
      <c r="AY37">
        <f t="shared" si="67"/>
        <v>0</v>
      </c>
      <c r="AZ37">
        <f t="shared" si="68"/>
        <v>1</v>
      </c>
      <c r="BA37">
        <f>_xlfn.XLOOKUP($A37, Constants!$E$18:$L$18,Constants!$E$19:$L$19)</f>
        <v>0.73</v>
      </c>
      <c r="BB37">
        <f>_xlfn.XLOOKUP($A37, Constants!$E$18:$L$18,Constants!$E$20:$L$20)</f>
        <v>5.0000000000000001E-3</v>
      </c>
      <c r="BC37">
        <f>_xlfn.XLOOKUP($A37, Constants!$E$18:$L$18,Constants!$E$21:$L$21)</f>
        <v>0.17</v>
      </c>
      <c r="BD37">
        <f>_xlfn.XLOOKUP($A37, Constants!$E$18:$L$18,Constants!$E$22:$L$22)</f>
        <v>0.02</v>
      </c>
      <c r="BE37">
        <f>_xlfn.XLOOKUP($A37, Constants!$E$18:$L$18,Constants!$E$23:$L$23)</f>
        <v>0.01</v>
      </c>
      <c r="BF37">
        <f>Constants!$B$48</f>
        <v>0.24</v>
      </c>
      <c r="BG37">
        <f>Constants!$B$49</f>
        <v>0.6784</v>
      </c>
      <c r="BH37">
        <f t="shared" si="69"/>
        <v>0</v>
      </c>
      <c r="BI37">
        <f t="shared" si="70"/>
        <v>0</v>
      </c>
      <c r="BJ37">
        <f t="shared" si="71"/>
        <v>0</v>
      </c>
      <c r="BK37">
        <f t="shared" si="72"/>
        <v>0</v>
      </c>
      <c r="BL37">
        <f t="shared" si="73"/>
        <v>2.5563466413694082E-3</v>
      </c>
      <c r="BM37" t="str">
        <f>IF(ISNUMBER(FIND("PreWeaned",Y37)),_xlfn.XLOOKUP(Y37,Constants!$J$2:$J$3,Constants!$K$2:$K$3), "")</f>
        <v/>
      </c>
      <c r="BN37">
        <f t="shared" si="74"/>
        <v>186.6133048199668</v>
      </c>
    </row>
    <row r="38" spans="1:67" x14ac:dyDescent="0.2">
      <c r="A38" t="str">
        <f>'Input Scenarios'!A38</f>
        <v>VIC</v>
      </c>
      <c r="B38">
        <f>'Input Scenarios'!B38</f>
        <v>0</v>
      </c>
      <c r="C38" t="str">
        <f>'Input Scenarios'!C38</f>
        <v>Non-irrigated pasture</v>
      </c>
      <c r="D38" t="str">
        <f>'Input Scenarios'!D38</f>
        <v>wet</v>
      </c>
      <c r="E38" t="b">
        <f>'Input Scenarios'!E38</f>
        <v>0</v>
      </c>
      <c r="F38" t="str">
        <f>'Input Scenarios'!F38</f>
        <v>Limited grazing</v>
      </c>
      <c r="G38">
        <f>IF('Input Scenarios'!G38&lt;&gt;"", 'Input Scenarios'!G38, _xlfn.XLOOKUP($F38, Constants!$M$6:$M$9,Constants!N$6:N$9))</f>
        <v>0.53400000000000003</v>
      </c>
      <c r="H38">
        <f>IF('Input Scenarios'!H38&lt;&gt;"", 'Input Scenarios'!H38, _xlfn.XLOOKUP($F38, Constants!$M$6:$M$9,Constants!O$6:O$9))</f>
        <v>0.11</v>
      </c>
      <c r="I38">
        <f>IF('Input Scenarios'!I38&lt;&gt;"", 'Input Scenarios'!I38, _xlfn.XLOOKUP($F38, Constants!$M$6:$M$9,Constants!P$6:P$9))</f>
        <v>0.35599999999999998</v>
      </c>
      <c r="J38">
        <f>'Input Scenarios'!J38</f>
        <v>0.25</v>
      </c>
      <c r="K38">
        <f>'Input Scenarios'!K38</f>
        <v>0.25</v>
      </c>
      <c r="L38">
        <f>'Input Scenarios'!L38</f>
        <v>0.25</v>
      </c>
      <c r="M38">
        <f>'Input Scenarios'!M38</f>
        <v>0.25</v>
      </c>
      <c r="N38">
        <f>'Input Scenarios'!N38</f>
        <v>0.25</v>
      </c>
      <c r="O38">
        <f>'Input Scenarios'!O38</f>
        <v>0.25</v>
      </c>
      <c r="P38">
        <f>'Input Scenarios'!P38</f>
        <v>0.25</v>
      </c>
      <c r="Q38">
        <f>'Input Scenarios'!Q38</f>
        <v>0.25</v>
      </c>
      <c r="R38" t="b">
        <f>'Input Scenarios'!R38</f>
        <v>1</v>
      </c>
      <c r="S38">
        <f>IF('Input Scenarios'!S38&lt;&gt;"", 'Input Scenarios'!S38, IF(R38, Constants!$B$38, 0))</f>
        <v>0.2</v>
      </c>
      <c r="T38" t="str">
        <f>IF('Input Scenarios'!T38&lt;&gt;"", 'Input Scenarios'!T38, "")</f>
        <v/>
      </c>
      <c r="U38">
        <f>IF('Input Scenarios'!U38&lt;&gt;"", 'Input Scenarios'!U38, IF(W38&lt;&gt;"", "", Constants!$B$39))</f>
        <v>4</v>
      </c>
      <c r="V38">
        <f>IF('Input Scenarios'!V38&lt;&gt;"", 'Input Scenarios'!V38, IF(W38&lt;&gt;"", "", Constants!$B$40))</f>
        <v>3.3</v>
      </c>
      <c r="W38" t="str">
        <f>IF('Input Scenarios'!W38&lt;&gt;"", 'Input Scenarios'!W38, "")</f>
        <v/>
      </c>
      <c r="X38" t="str">
        <f>'Input Scenarios'!X38</f>
        <v>Jersey</v>
      </c>
      <c r="Y38" t="str">
        <f>'Input Scenarios'!Y38</f>
        <v>heifersLt1PreWeaned</v>
      </c>
      <c r="Z38">
        <f>'Input Scenarios'!Z38</f>
        <v>200</v>
      </c>
      <c r="AA38">
        <f>IF('Input Scenarios'!AA38&lt;&gt;"", 'Input Scenarios'!AA38, _xlfn.XLOOKUP(Y38,Constants!$J$6:$J$12,Constants!$K$6:$K$12))</f>
        <v>84</v>
      </c>
      <c r="AB38">
        <f>IF('Input Scenarios'!AB38&lt;&gt;"", 'Input Scenarios'!AB38, INDEX(Constants!$B$2:$H$11, MATCH(X38, Constants!$A$2:$A$11, 0), MATCH(Y38,Constants!$B$1:$H$1, 0)))</f>
        <v>115</v>
      </c>
      <c r="AC38" t="str">
        <f>IF('Input Scenarios'!AC38&lt;&gt;"", 'Input Scenarios'!AC38, _xlfn.XLOOKUP(Y38, Constants!$B$13:$H$13, Constants!$B$15:$H$15, ""))</f>
        <v/>
      </c>
      <c r="AD38">
        <f>IF('Input Scenarios'!AD38&lt;&gt;"", 'Input Scenarios'!AD38, Constants!$B$45)</f>
        <v>0.75</v>
      </c>
      <c r="AE38">
        <f>IF('Input Scenarios'!AE38&lt;&gt;"", 'Input Scenarios'!AE38, Constants!$B$46)</f>
        <v>0.2</v>
      </c>
      <c r="AF38">
        <f t="shared" si="75"/>
        <v>0</v>
      </c>
      <c r="AG38">
        <f t="shared" si="41"/>
        <v>0</v>
      </c>
      <c r="AH38">
        <f t="shared" si="42"/>
        <v>0</v>
      </c>
      <c r="AI38">
        <f t="shared" si="43"/>
        <v>0</v>
      </c>
      <c r="AJ38">
        <f t="shared" si="76"/>
        <v>1</v>
      </c>
      <c r="AK38">
        <f t="shared" si="77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60"/>
        <v>0.5948500000000001</v>
      </c>
      <c r="AQ38">
        <f t="shared" si="61"/>
        <v>0</v>
      </c>
      <c r="AR38">
        <f>IF(Y38="milkingCows", Constants!$P$2, Constants!$P$3)</f>
        <v>1</v>
      </c>
      <c r="AS38" s="18" t="str">
        <f t="shared" si="62"/>
        <v/>
      </c>
      <c r="AT38">
        <f>Constants!$B$47</f>
        <v>0.08</v>
      </c>
      <c r="AU38" t="str">
        <f t="shared" si="63"/>
        <v/>
      </c>
      <c r="AV38">
        <f t="shared" si="64"/>
        <v>0</v>
      </c>
      <c r="AW38">
        <f t="shared" si="65"/>
        <v>0</v>
      </c>
      <c r="AX38">
        <f t="shared" si="66"/>
        <v>0</v>
      </c>
      <c r="AY38">
        <f t="shared" si="67"/>
        <v>0</v>
      </c>
      <c r="AZ38">
        <f t="shared" si="68"/>
        <v>1</v>
      </c>
      <c r="BA38">
        <f>_xlfn.XLOOKUP($A38, Constants!$E$18:$L$18,Constants!$E$19:$L$19)</f>
        <v>0.73</v>
      </c>
      <c r="BB38">
        <f>_xlfn.XLOOKUP($A38, Constants!$E$18:$L$18,Constants!$E$20:$L$20)</f>
        <v>5.0000000000000001E-3</v>
      </c>
      <c r="BC38">
        <f>_xlfn.XLOOKUP($A38, Constants!$E$18:$L$18,Constants!$E$21:$L$21)</f>
        <v>0.17</v>
      </c>
      <c r="BD38">
        <f>_xlfn.XLOOKUP($A38, Constants!$E$18:$L$18,Constants!$E$22:$L$22)</f>
        <v>0.02</v>
      </c>
      <c r="BE38">
        <f>_xlfn.XLOOKUP($A38, Constants!$E$18:$L$18,Constants!$E$23:$L$23)</f>
        <v>0.01</v>
      </c>
      <c r="BF38">
        <f>Constants!$B$48</f>
        <v>0.24</v>
      </c>
      <c r="BG38">
        <f>Constants!$B$49</f>
        <v>0.6784</v>
      </c>
      <c r="BH38" t="str">
        <f t="shared" si="69"/>
        <v/>
      </c>
      <c r="BI38" t="str">
        <f t="shared" si="70"/>
        <v/>
      </c>
      <c r="BJ38" t="str">
        <f t="shared" si="71"/>
        <v/>
      </c>
      <c r="BK38" t="str">
        <f t="shared" si="72"/>
        <v/>
      </c>
      <c r="BL38" t="str">
        <f t="shared" si="73"/>
        <v/>
      </c>
      <c r="BM38">
        <f>IF(ISNUMBER(FIND("PreWeaned",Y38)),_xlfn.XLOOKUP(Y38,Constants!$J$2:$J$3,Constants!$K$2:$K$3), "")</f>
        <v>1.7600000000000001E-2</v>
      </c>
      <c r="BN38">
        <f t="shared" si="74"/>
        <v>295.68</v>
      </c>
    </row>
    <row r="39" spans="1:67" x14ac:dyDescent="0.2">
      <c r="A39" t="str">
        <f>'Input Scenarios'!A39</f>
        <v>VIC</v>
      </c>
      <c r="B39">
        <f>'Input Scenarios'!B39</f>
        <v>0</v>
      </c>
      <c r="C39" t="str">
        <f>'Input Scenarios'!C39</f>
        <v>Non-irrigated pasture</v>
      </c>
      <c r="D39" t="str">
        <f>'Input Scenarios'!D39</f>
        <v>wet</v>
      </c>
      <c r="E39" t="b">
        <f>'Input Scenarios'!E39</f>
        <v>0</v>
      </c>
      <c r="F39" t="str">
        <f>'Input Scenarios'!F39</f>
        <v>Limited grazing</v>
      </c>
      <c r="G39">
        <f>IF('Input Scenarios'!G39&lt;&gt;"", 'Input Scenarios'!G39, _xlfn.XLOOKUP($F39, Constants!$M$6:$M$9,Constants!N$6:N$9))</f>
        <v>0.53400000000000003</v>
      </c>
      <c r="H39">
        <f>IF('Input Scenarios'!H39&lt;&gt;"", 'Input Scenarios'!H39, _xlfn.XLOOKUP($F39, Constants!$M$6:$M$9,Constants!O$6:O$9))</f>
        <v>0.11</v>
      </c>
      <c r="I39">
        <f>IF('Input Scenarios'!I39&lt;&gt;"", 'Input Scenarios'!I39, _xlfn.XLOOKUP($F39, Constants!$M$6:$M$9,Constants!P$6:P$9))</f>
        <v>0.35599999999999998</v>
      </c>
      <c r="J39">
        <f>'Input Scenarios'!J39</f>
        <v>0.25</v>
      </c>
      <c r="K39">
        <f>'Input Scenarios'!K39</f>
        <v>0.25</v>
      </c>
      <c r="L39">
        <f>'Input Scenarios'!L39</f>
        <v>0.25</v>
      </c>
      <c r="M39">
        <f>'Input Scenarios'!M39</f>
        <v>0.25</v>
      </c>
      <c r="N39">
        <f>'Input Scenarios'!N39</f>
        <v>0.25</v>
      </c>
      <c r="O39">
        <f>'Input Scenarios'!O39</f>
        <v>0.25</v>
      </c>
      <c r="P39">
        <f>'Input Scenarios'!P39</f>
        <v>0.25</v>
      </c>
      <c r="Q39">
        <f>'Input Scenarios'!Q39</f>
        <v>0.25</v>
      </c>
      <c r="R39" t="b">
        <f>'Input Scenarios'!R39</f>
        <v>1</v>
      </c>
      <c r="S39">
        <f>IF('Input Scenarios'!S39&lt;&gt;"", 'Input Scenarios'!S39, IF(R39, Constants!$B$38, 0))</f>
        <v>0.2</v>
      </c>
      <c r="T39" t="str">
        <f>IF('Input Scenarios'!T39&lt;&gt;"", 'Input Scenarios'!T39, "")</f>
        <v/>
      </c>
      <c r="U39">
        <f>IF('Input Scenarios'!U39&lt;&gt;"", 'Input Scenarios'!U39, IF(W39&lt;&gt;"", "", Constants!$B$39))</f>
        <v>4</v>
      </c>
      <c r="V39">
        <f>IF('Input Scenarios'!V39&lt;&gt;"", 'Input Scenarios'!V39, IF(W39&lt;&gt;"", "", Constants!$B$40))</f>
        <v>3.3</v>
      </c>
      <c r="W39" t="str">
        <f>IF('Input Scenarios'!W39&lt;&gt;"", 'Input Scenarios'!W39, "")</f>
        <v/>
      </c>
      <c r="X39" t="str">
        <f>'Input Scenarios'!X39</f>
        <v>Jersey</v>
      </c>
      <c r="Y39" t="str">
        <f>'Input Scenarios'!Y39</f>
        <v>heifersLt1Weaned</v>
      </c>
      <c r="Z39">
        <f>'Input Scenarios'!Z39</f>
        <v>200</v>
      </c>
      <c r="AA39">
        <f>IF('Input Scenarios'!AA39&lt;&gt;"", 'Input Scenarios'!AA39, _xlfn.XLOOKUP(Y39,Constants!$J$6:$J$12,Constants!$K$6:$K$12))</f>
        <v>281</v>
      </c>
      <c r="AB39">
        <f>IF('Input Scenarios'!AB39&lt;&gt;"", 'Input Scenarios'!AB39, INDEX(Constants!$B$2:$H$11, MATCH(X39, Constants!$A$2:$A$11, 0), MATCH(Y39,Constants!$B$1:$H$1, 0)))</f>
        <v>115</v>
      </c>
      <c r="AC39">
        <f>IF('Input Scenarios'!AC39&lt;&gt;"", 'Input Scenarios'!AC39, _xlfn.XLOOKUP(Y39, Constants!$B$13:$H$13, Constants!$B$15:$H$15, ""))</f>
        <v>0.56999999999999995</v>
      </c>
      <c r="AD39">
        <f>IF('Input Scenarios'!AD39&lt;&gt;"", 'Input Scenarios'!AD39, Constants!$B$45)</f>
        <v>0.75</v>
      </c>
      <c r="AE39">
        <f>IF('Input Scenarios'!AE39&lt;&gt;"", 'Input Scenarios'!AE39, Constants!$B$46)</f>
        <v>0.2</v>
      </c>
      <c r="AF39">
        <f t="shared" si="75"/>
        <v>0</v>
      </c>
      <c r="AG39">
        <f t="shared" si="41"/>
        <v>0</v>
      </c>
      <c r="AH39">
        <f t="shared" si="42"/>
        <v>0</v>
      </c>
      <c r="AI39">
        <f t="shared" si="43"/>
        <v>0</v>
      </c>
      <c r="AJ39">
        <f t="shared" si="76"/>
        <v>1</v>
      </c>
      <c r="AK39">
        <f t="shared" si="77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60"/>
        <v>0.5948500000000001</v>
      </c>
      <c r="AQ39">
        <f t="shared" si="61"/>
        <v>0</v>
      </c>
      <c r="AR39">
        <f>IF(Y39="milkingCows", Constants!$P$2, Constants!$P$3)</f>
        <v>1</v>
      </c>
      <c r="AS39" s="18">
        <f t="shared" si="62"/>
        <v>3.4308856302250001</v>
      </c>
      <c r="AT39">
        <f>Constants!$B$47</f>
        <v>0.08</v>
      </c>
      <c r="AU39">
        <f t="shared" si="63"/>
        <v>0.91536028614403009</v>
      </c>
      <c r="AV39">
        <f t="shared" si="64"/>
        <v>0</v>
      </c>
      <c r="AW39">
        <f t="shared" si="65"/>
        <v>0</v>
      </c>
      <c r="AX39">
        <f t="shared" si="66"/>
        <v>0</v>
      </c>
      <c r="AY39">
        <f t="shared" si="67"/>
        <v>0</v>
      </c>
      <c r="AZ39">
        <f t="shared" si="68"/>
        <v>1</v>
      </c>
      <c r="BA39">
        <f>_xlfn.XLOOKUP($A39, Constants!$E$18:$L$18,Constants!$E$19:$L$19)</f>
        <v>0.73</v>
      </c>
      <c r="BB39">
        <f>_xlfn.XLOOKUP($A39, Constants!$E$18:$L$18,Constants!$E$20:$L$20)</f>
        <v>5.0000000000000001E-3</v>
      </c>
      <c r="BC39">
        <f>_xlfn.XLOOKUP($A39, Constants!$E$18:$L$18,Constants!$E$21:$L$21)</f>
        <v>0.17</v>
      </c>
      <c r="BD39">
        <f>_xlfn.XLOOKUP($A39, Constants!$E$18:$L$18,Constants!$E$22:$L$22)</f>
        <v>0.02</v>
      </c>
      <c r="BE39">
        <f>_xlfn.XLOOKUP($A39, Constants!$E$18:$L$18,Constants!$E$23:$L$23)</f>
        <v>0.01</v>
      </c>
      <c r="BF39">
        <f>Constants!$B$48</f>
        <v>0.24</v>
      </c>
      <c r="BG39">
        <f>Constants!$B$49</f>
        <v>0.6784</v>
      </c>
      <c r="BH39">
        <f t="shared" si="69"/>
        <v>0</v>
      </c>
      <c r="BI39">
        <f t="shared" si="70"/>
        <v>0</v>
      </c>
      <c r="BJ39">
        <f t="shared" si="71"/>
        <v>0</v>
      </c>
      <c r="BK39">
        <f t="shared" si="72"/>
        <v>0</v>
      </c>
      <c r="BL39">
        <f t="shared" si="73"/>
        <v>1.490353003488264E-3</v>
      </c>
      <c r="BM39" t="str">
        <f>IF(ISNUMBER(FIND("PreWeaned",Y39)),_xlfn.XLOOKUP(Y39,Constants!$J$2:$J$3,Constants!$K$2:$K$3), "")</f>
        <v/>
      </c>
      <c r="BN39">
        <f t="shared" si="74"/>
        <v>83.757838796040431</v>
      </c>
    </row>
    <row r="40" spans="1:67" x14ac:dyDescent="0.2">
      <c r="A40" t="str">
        <f>'Input Scenarios'!A40</f>
        <v>VIC</v>
      </c>
      <c r="B40">
        <f>'Input Scenarios'!B40</f>
        <v>0</v>
      </c>
      <c r="C40" t="str">
        <f>'Input Scenarios'!C40</f>
        <v>Non-irrigated pasture</v>
      </c>
      <c r="D40" t="str">
        <f>'Input Scenarios'!D40</f>
        <v>wet</v>
      </c>
      <c r="E40" t="b">
        <f>'Input Scenarios'!E40</f>
        <v>0</v>
      </c>
      <c r="F40" t="str">
        <f>'Input Scenarios'!F40</f>
        <v>Limited grazing</v>
      </c>
      <c r="G40">
        <f>IF('Input Scenarios'!G40&lt;&gt;"", 'Input Scenarios'!G40, _xlfn.XLOOKUP($F40, Constants!$M$6:$M$9,Constants!N$6:N$9))</f>
        <v>0.53400000000000003</v>
      </c>
      <c r="H40">
        <f>IF('Input Scenarios'!H40&lt;&gt;"", 'Input Scenarios'!H40, _xlfn.XLOOKUP($F40, Constants!$M$6:$M$9,Constants!O$6:O$9))</f>
        <v>0.11</v>
      </c>
      <c r="I40">
        <f>IF('Input Scenarios'!I40&lt;&gt;"", 'Input Scenarios'!I40, _xlfn.XLOOKUP($F40, Constants!$M$6:$M$9,Constants!P$6:P$9))</f>
        <v>0.35599999999999998</v>
      </c>
      <c r="J40">
        <f>'Input Scenarios'!J40</f>
        <v>0.25</v>
      </c>
      <c r="K40">
        <f>'Input Scenarios'!K40</f>
        <v>0.25</v>
      </c>
      <c r="L40">
        <f>'Input Scenarios'!L40</f>
        <v>0.25</v>
      </c>
      <c r="M40">
        <f>'Input Scenarios'!M40</f>
        <v>0.25</v>
      </c>
      <c r="N40">
        <f>'Input Scenarios'!N40</f>
        <v>0.25</v>
      </c>
      <c r="O40">
        <f>'Input Scenarios'!O40</f>
        <v>0.25</v>
      </c>
      <c r="P40">
        <f>'Input Scenarios'!P40</f>
        <v>0.25</v>
      </c>
      <c r="Q40">
        <f>'Input Scenarios'!Q40</f>
        <v>0.25</v>
      </c>
      <c r="R40" t="b">
        <f>'Input Scenarios'!R40</f>
        <v>1</v>
      </c>
      <c r="S40">
        <f>IF('Input Scenarios'!S40&lt;&gt;"", 'Input Scenarios'!S40, IF(R40, Constants!$B$38, 0))</f>
        <v>0.2</v>
      </c>
      <c r="T40" t="str">
        <f>IF('Input Scenarios'!T40&lt;&gt;"", 'Input Scenarios'!T40, "")</f>
        <v/>
      </c>
      <c r="U40">
        <f>IF('Input Scenarios'!U40&lt;&gt;"", 'Input Scenarios'!U40, IF(W40&lt;&gt;"", "", Constants!$B$39))</f>
        <v>4</v>
      </c>
      <c r="V40">
        <f>IF('Input Scenarios'!V40&lt;&gt;"", 'Input Scenarios'!V40, IF(W40&lt;&gt;"", "", Constants!$B$40))</f>
        <v>3.3</v>
      </c>
      <c r="W40" t="str">
        <f>IF('Input Scenarios'!W40&lt;&gt;"", 'Input Scenarios'!W40, "")</f>
        <v/>
      </c>
      <c r="X40" t="str">
        <f>'Input Scenarios'!X40</f>
        <v>Jersey</v>
      </c>
      <c r="Y40" t="str">
        <f>'Input Scenarios'!Y40</f>
        <v>bullsGt1</v>
      </c>
      <c r="Z40">
        <f>'Input Scenarios'!Z40</f>
        <v>200</v>
      </c>
      <c r="AA40">
        <f>IF('Input Scenarios'!AA40&lt;&gt;"", 'Input Scenarios'!AA40, _xlfn.XLOOKUP(Y40,Constants!$J$6:$J$12,Constants!$K$6:$K$12))</f>
        <v>365</v>
      </c>
      <c r="AB40">
        <f>IF('Input Scenarios'!AB40&lt;&gt;"", 'Input Scenarios'!AB40, INDEX(Constants!$B$2:$H$11, MATCH(X40, Constants!$A$2:$A$11, 0), MATCH(Y40,Constants!$B$1:$H$1, 0)))</f>
        <v>600</v>
      </c>
      <c r="AC40">
        <f>IF('Input Scenarios'!AC40&lt;&gt;"", 'Input Scenarios'!AC40, _xlfn.XLOOKUP(Y40, Constants!$B$13:$H$13, Constants!$B$15:$H$15, ""))</f>
        <v>0.1</v>
      </c>
      <c r="AD40">
        <f>IF('Input Scenarios'!AD40&lt;&gt;"", 'Input Scenarios'!AD40, Constants!$B$45)</f>
        <v>0.75</v>
      </c>
      <c r="AE40">
        <f>IF('Input Scenarios'!AE40&lt;&gt;"", 'Input Scenarios'!AE40, Constants!$B$46)</f>
        <v>0.2</v>
      </c>
      <c r="AF40">
        <f t="shared" si="75"/>
        <v>0</v>
      </c>
      <c r="AG40">
        <f t="shared" si="41"/>
        <v>0</v>
      </c>
      <c r="AH40">
        <f t="shared" si="42"/>
        <v>0</v>
      </c>
      <c r="AI40">
        <f t="shared" si="43"/>
        <v>0</v>
      </c>
      <c r="AJ40">
        <f t="shared" si="76"/>
        <v>1</v>
      </c>
      <c r="AK40">
        <f t="shared" si="77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60"/>
        <v>0.5948500000000001</v>
      </c>
      <c r="AQ40">
        <f t="shared" si="61"/>
        <v>0</v>
      </c>
      <c r="AR40">
        <f>IF(Y40="milkingCows", Constants!$P$2, Constants!$P$3)</f>
        <v>1</v>
      </c>
      <c r="AS40" s="18">
        <f t="shared" si="62"/>
        <v>9.0270202499999979</v>
      </c>
      <c r="AT40">
        <f>Constants!$B$47</f>
        <v>0.08</v>
      </c>
      <c r="AU40">
        <f t="shared" si="63"/>
        <v>2.4084090026999996</v>
      </c>
      <c r="AV40">
        <f t="shared" si="64"/>
        <v>0</v>
      </c>
      <c r="AW40">
        <f t="shared" si="65"/>
        <v>0</v>
      </c>
      <c r="AX40">
        <f t="shared" si="66"/>
        <v>0</v>
      </c>
      <c r="AY40">
        <f t="shared" si="67"/>
        <v>0</v>
      </c>
      <c r="AZ40">
        <f t="shared" si="68"/>
        <v>1</v>
      </c>
      <c r="BA40">
        <f>_xlfn.XLOOKUP($A40, Constants!$E$18:$L$18,Constants!$E$19:$L$19)</f>
        <v>0.73</v>
      </c>
      <c r="BB40">
        <f>_xlfn.XLOOKUP($A40, Constants!$E$18:$L$18,Constants!$E$20:$L$20)</f>
        <v>5.0000000000000001E-3</v>
      </c>
      <c r="BC40">
        <f>_xlfn.XLOOKUP($A40, Constants!$E$18:$L$18,Constants!$E$21:$L$21)</f>
        <v>0.17</v>
      </c>
      <c r="BD40">
        <f>_xlfn.XLOOKUP($A40, Constants!$E$18:$L$18,Constants!$E$22:$L$22)</f>
        <v>0.02</v>
      </c>
      <c r="BE40">
        <f>_xlfn.XLOOKUP($A40, Constants!$E$18:$L$18,Constants!$E$23:$L$23)</f>
        <v>0.01</v>
      </c>
      <c r="BF40">
        <f>Constants!$B$48</f>
        <v>0.24</v>
      </c>
      <c r="BG40">
        <f>Constants!$B$49</f>
        <v>0.6784</v>
      </c>
      <c r="BH40">
        <f t="shared" si="69"/>
        <v>0</v>
      </c>
      <c r="BI40">
        <f t="shared" si="70"/>
        <v>0</v>
      </c>
      <c r="BJ40">
        <f t="shared" si="71"/>
        <v>0</v>
      </c>
      <c r="BK40">
        <f t="shared" si="72"/>
        <v>0</v>
      </c>
      <c r="BL40">
        <f t="shared" si="73"/>
        <v>3.9212752018360315E-3</v>
      </c>
      <c r="BM40" t="str">
        <f>IF(ISNUMBER(FIND("PreWeaned",Y40)),_xlfn.XLOOKUP(Y40,Constants!$J$2:$J$3,Constants!$K$2:$K$3), "")</f>
        <v/>
      </c>
      <c r="BN40">
        <f t="shared" si="74"/>
        <v>286.25308973403031</v>
      </c>
    </row>
    <row r="41" spans="1:67" x14ac:dyDescent="0.2">
      <c r="A41" t="str">
        <f>'Input Scenarios'!A41</f>
        <v>VIC</v>
      </c>
      <c r="B41">
        <f>'Input Scenarios'!B41</f>
        <v>0</v>
      </c>
      <c r="C41" t="str">
        <f>'Input Scenarios'!C41</f>
        <v>Non-irrigated pasture</v>
      </c>
      <c r="D41" t="str">
        <f>'Input Scenarios'!D41</f>
        <v>wet</v>
      </c>
      <c r="E41" t="b">
        <f>'Input Scenarios'!E41</f>
        <v>0</v>
      </c>
      <c r="F41" t="str">
        <f>'Input Scenarios'!F41</f>
        <v>Limited grazing</v>
      </c>
      <c r="G41">
        <f>IF('Input Scenarios'!G41&lt;&gt;"", 'Input Scenarios'!G41, _xlfn.XLOOKUP($F41, Constants!$M$6:$M$9,Constants!N$6:N$9))</f>
        <v>0.53400000000000003</v>
      </c>
      <c r="H41">
        <f>IF('Input Scenarios'!H41&lt;&gt;"", 'Input Scenarios'!H41, _xlfn.XLOOKUP($F41, Constants!$M$6:$M$9,Constants!O$6:O$9))</f>
        <v>0.11</v>
      </c>
      <c r="I41">
        <f>IF('Input Scenarios'!I41&lt;&gt;"", 'Input Scenarios'!I41, _xlfn.XLOOKUP($F41, Constants!$M$6:$M$9,Constants!P$6:P$9))</f>
        <v>0.35599999999999998</v>
      </c>
      <c r="J41">
        <f>'Input Scenarios'!J41</f>
        <v>0.25</v>
      </c>
      <c r="K41">
        <f>'Input Scenarios'!K41</f>
        <v>0.25</v>
      </c>
      <c r="L41">
        <f>'Input Scenarios'!L41</f>
        <v>0.25</v>
      </c>
      <c r="M41">
        <f>'Input Scenarios'!M41</f>
        <v>0.25</v>
      </c>
      <c r="N41">
        <f>'Input Scenarios'!N41</f>
        <v>0.25</v>
      </c>
      <c r="O41">
        <f>'Input Scenarios'!O41</f>
        <v>0.25</v>
      </c>
      <c r="P41">
        <f>'Input Scenarios'!P41</f>
        <v>0.25</v>
      </c>
      <c r="Q41">
        <f>'Input Scenarios'!Q41</f>
        <v>0.25</v>
      </c>
      <c r="R41" t="b">
        <f>'Input Scenarios'!R41</f>
        <v>1</v>
      </c>
      <c r="S41">
        <f>IF('Input Scenarios'!S41&lt;&gt;"", 'Input Scenarios'!S41, IF(R41, Constants!$B$38, 0))</f>
        <v>0.2</v>
      </c>
      <c r="T41" t="str">
        <f>IF('Input Scenarios'!T41&lt;&gt;"", 'Input Scenarios'!T41, "")</f>
        <v/>
      </c>
      <c r="U41">
        <f>IF('Input Scenarios'!U41&lt;&gt;"", 'Input Scenarios'!U41, IF(W41&lt;&gt;"", "", Constants!$B$39))</f>
        <v>4</v>
      </c>
      <c r="V41">
        <f>IF('Input Scenarios'!V41&lt;&gt;"", 'Input Scenarios'!V41, IF(W41&lt;&gt;"", "", Constants!$B$40))</f>
        <v>3.3</v>
      </c>
      <c r="W41" t="str">
        <f>IF('Input Scenarios'!W41&lt;&gt;"", 'Input Scenarios'!W41, "")</f>
        <v/>
      </c>
      <c r="X41" t="str">
        <f>'Input Scenarios'!X41</f>
        <v>Jersey</v>
      </c>
      <c r="Y41" t="str">
        <f>'Input Scenarios'!Y41</f>
        <v>bullsLt1PreWeaned</v>
      </c>
      <c r="Z41">
        <f>'Input Scenarios'!Z41</f>
        <v>200</v>
      </c>
      <c r="AA41">
        <f>IF('Input Scenarios'!AA41&lt;&gt;"", 'Input Scenarios'!AA41, _xlfn.XLOOKUP(Y41,Constants!$J$6:$J$12,Constants!$K$6:$K$12))</f>
        <v>84</v>
      </c>
      <c r="AB41">
        <f>IF('Input Scenarios'!AB41&lt;&gt;"", 'Input Scenarios'!AB41, INDEX(Constants!$B$2:$H$11, MATCH(X41, Constants!$A$2:$A$11, 0), MATCH(Y41,Constants!$B$1:$H$1, 0)))</f>
        <v>225</v>
      </c>
      <c r="AC41" t="str">
        <f>IF('Input Scenarios'!AC41&lt;&gt;"", 'Input Scenarios'!AC41, _xlfn.XLOOKUP(Y41, Constants!$B$13:$H$13, Constants!$B$15:$H$15, ""))</f>
        <v/>
      </c>
      <c r="AD41">
        <f>IF('Input Scenarios'!AD41&lt;&gt;"", 'Input Scenarios'!AD41, Constants!$B$45)</f>
        <v>0.75</v>
      </c>
      <c r="AE41">
        <f>IF('Input Scenarios'!AE41&lt;&gt;"", 'Input Scenarios'!AE41, Constants!$B$46)</f>
        <v>0.2</v>
      </c>
      <c r="AF41">
        <f t="shared" si="75"/>
        <v>0</v>
      </c>
      <c r="AG41">
        <f t="shared" si="41"/>
        <v>0</v>
      </c>
      <c r="AH41">
        <f t="shared" si="42"/>
        <v>0</v>
      </c>
      <c r="AI41">
        <f t="shared" si="43"/>
        <v>0</v>
      </c>
      <c r="AJ41">
        <f t="shared" si="76"/>
        <v>1</v>
      </c>
      <c r="AK41">
        <f t="shared" si="77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60"/>
        <v>0.5948500000000001</v>
      </c>
      <c r="AQ41">
        <f t="shared" si="61"/>
        <v>0</v>
      </c>
      <c r="AR41">
        <f>IF(Y41="milkingCows", Constants!$P$2, Constants!$P$3)</f>
        <v>1</v>
      </c>
      <c r="AS41" s="18" t="str">
        <f t="shared" si="62"/>
        <v/>
      </c>
      <c r="AT41">
        <f>Constants!$B$47</f>
        <v>0.08</v>
      </c>
      <c r="AU41" t="str">
        <f t="shared" si="63"/>
        <v/>
      </c>
      <c r="AV41">
        <f t="shared" si="64"/>
        <v>0</v>
      </c>
      <c r="AW41">
        <f t="shared" si="65"/>
        <v>0</v>
      </c>
      <c r="AX41">
        <f t="shared" si="66"/>
        <v>0</v>
      </c>
      <c r="AY41">
        <f t="shared" si="67"/>
        <v>0</v>
      </c>
      <c r="AZ41">
        <f t="shared" si="68"/>
        <v>1</v>
      </c>
      <c r="BA41">
        <f>_xlfn.XLOOKUP($A41, Constants!$E$18:$L$18,Constants!$E$19:$L$19)</f>
        <v>0.73</v>
      </c>
      <c r="BB41">
        <f>_xlfn.XLOOKUP($A41, Constants!$E$18:$L$18,Constants!$E$20:$L$20)</f>
        <v>5.0000000000000001E-3</v>
      </c>
      <c r="BC41">
        <f>_xlfn.XLOOKUP($A41, Constants!$E$18:$L$18,Constants!$E$21:$L$21)</f>
        <v>0.17</v>
      </c>
      <c r="BD41">
        <f>_xlfn.XLOOKUP($A41, Constants!$E$18:$L$18,Constants!$E$22:$L$22)</f>
        <v>0.02</v>
      </c>
      <c r="BE41">
        <f>_xlfn.XLOOKUP($A41, Constants!$E$18:$L$18,Constants!$E$23:$L$23)</f>
        <v>0.01</v>
      </c>
      <c r="BF41">
        <f>Constants!$B$48</f>
        <v>0.24</v>
      </c>
      <c r="BG41">
        <f>Constants!$B$49</f>
        <v>0.6784</v>
      </c>
      <c r="BH41" t="str">
        <f t="shared" si="69"/>
        <v/>
      </c>
      <c r="BI41" t="str">
        <f t="shared" si="70"/>
        <v/>
      </c>
      <c r="BJ41" t="str">
        <f t="shared" si="71"/>
        <v/>
      </c>
      <c r="BK41" t="str">
        <f t="shared" si="72"/>
        <v/>
      </c>
      <c r="BL41" t="str">
        <f t="shared" si="73"/>
        <v/>
      </c>
      <c r="BM41">
        <f>IF(ISNUMBER(FIND("PreWeaned",Y41)),_xlfn.XLOOKUP(Y41,Constants!$J$2:$J$3,Constants!$K$2:$K$3), "")</f>
        <v>2.0400000000000001E-2</v>
      </c>
      <c r="BN41">
        <f t="shared" si="74"/>
        <v>342.72</v>
      </c>
    </row>
    <row r="42" spans="1:67" s="16" customFormat="1" x14ac:dyDescent="0.2">
      <c r="A42" s="16" t="str">
        <f>'Input Scenarios'!A42</f>
        <v>VIC</v>
      </c>
      <c r="B42" s="16">
        <f>'Input Scenarios'!B42</f>
        <v>0</v>
      </c>
      <c r="C42" s="16" t="str">
        <f>'Input Scenarios'!C42</f>
        <v>Non-irrigated pasture</v>
      </c>
      <c r="D42" s="16" t="str">
        <f>'Input Scenarios'!D42</f>
        <v>wet</v>
      </c>
      <c r="E42" s="16" t="b">
        <f>'Input Scenarios'!E42</f>
        <v>0</v>
      </c>
      <c r="F42" s="16" t="str">
        <f>'Input Scenarios'!F42</f>
        <v>Limited grazing</v>
      </c>
      <c r="G42" s="16">
        <f>IF('Input Scenarios'!G42&lt;&gt;"", 'Input Scenarios'!G42, _xlfn.XLOOKUP($F42, Constants!$M$6:$M$9,Constants!N$6:N$9))</f>
        <v>0.53400000000000003</v>
      </c>
      <c r="H42" s="16">
        <f>IF('Input Scenarios'!H42&lt;&gt;"", 'Input Scenarios'!H42, _xlfn.XLOOKUP($F42, Constants!$M$6:$M$9,Constants!O$6:O$9))</f>
        <v>0.11</v>
      </c>
      <c r="I42" s="16">
        <f>IF('Input Scenarios'!I42&lt;&gt;"", 'Input Scenarios'!I42, _xlfn.XLOOKUP($F42, Constants!$M$6:$M$9,Constants!P$6:P$9))</f>
        <v>0.35599999999999998</v>
      </c>
      <c r="J42" s="16">
        <f>'Input Scenarios'!J42</f>
        <v>0.25</v>
      </c>
      <c r="K42" s="16">
        <f>'Input Scenarios'!K42</f>
        <v>0.25</v>
      </c>
      <c r="L42" s="16">
        <f>'Input Scenarios'!L42</f>
        <v>0.25</v>
      </c>
      <c r="M42" s="16">
        <f>'Input Scenarios'!M42</f>
        <v>0.25</v>
      </c>
      <c r="N42" s="16">
        <f>'Input Scenarios'!N42</f>
        <v>0.25</v>
      </c>
      <c r="O42" s="16">
        <f>'Input Scenarios'!O42</f>
        <v>0.25</v>
      </c>
      <c r="P42" s="16">
        <f>'Input Scenarios'!P42</f>
        <v>0.25</v>
      </c>
      <c r="Q42" s="16">
        <f>'Input Scenarios'!Q42</f>
        <v>0.25</v>
      </c>
      <c r="R42" s="16" t="b">
        <f>'Input Scenarios'!R42</f>
        <v>1</v>
      </c>
      <c r="S42" s="16">
        <f>IF('Input Scenarios'!S42&lt;&gt;"", 'Input Scenarios'!S42, IF(R42, Constants!$B$38, 0))</f>
        <v>0.2</v>
      </c>
      <c r="T42" s="16" t="str">
        <f>IF('Input Scenarios'!T42&lt;&gt;"", 'Input Scenarios'!T42, "")</f>
        <v/>
      </c>
      <c r="U42" s="16">
        <f>IF('Input Scenarios'!U42&lt;&gt;"", 'Input Scenarios'!U42, IF(W42&lt;&gt;"", "", Constants!$B$39))</f>
        <v>4</v>
      </c>
      <c r="V42" s="16">
        <f>IF('Input Scenarios'!V42&lt;&gt;"", 'Input Scenarios'!V42, IF(W42&lt;&gt;"", "", Constants!$B$40))</f>
        <v>3.3</v>
      </c>
      <c r="W42" s="16" t="str">
        <f>IF('Input Scenarios'!W42&lt;&gt;"", 'Input Scenarios'!W42, "")</f>
        <v/>
      </c>
      <c r="X42" s="16" t="str">
        <f>'Input Scenarios'!X42</f>
        <v>Jersey</v>
      </c>
      <c r="Y42" s="16" t="str">
        <f>'Input Scenarios'!Y42</f>
        <v>bullsLt1Weaned</v>
      </c>
      <c r="Z42" s="16">
        <f>'Input Scenarios'!Z42</f>
        <v>200</v>
      </c>
      <c r="AA42" s="16">
        <f>IF('Input Scenarios'!AA42&lt;&gt;"", 'Input Scenarios'!AA42, _xlfn.XLOOKUP(Y42,Constants!$J$6:$J$12,Constants!$K$6:$K$12))</f>
        <v>281</v>
      </c>
      <c r="AB42" s="16">
        <f>IF('Input Scenarios'!AB42&lt;&gt;"", 'Input Scenarios'!AB42, INDEX(Constants!$B$2:$H$11, MATCH(X42, Constants!$A$2:$A$11, 0), MATCH(Y42,Constants!$B$1:$H$1, 0)))</f>
        <v>225</v>
      </c>
      <c r="AC42" s="16">
        <f>IF('Input Scenarios'!AC42&lt;&gt;"", 'Input Scenarios'!AC42, _xlfn.XLOOKUP(Y42, Constants!$B$13:$H$13, Constants!$B$15:$H$15, ""))</f>
        <v>0.8</v>
      </c>
      <c r="AD42" s="16">
        <f>IF('Input Scenarios'!AD42&lt;&gt;"", 'Input Scenarios'!AD42, Constants!$B$45)</f>
        <v>0.75</v>
      </c>
      <c r="AE42" s="16">
        <f>IF('Input Scenarios'!AE42&lt;&gt;"", 'Input Scenarios'!AE42, Constants!$B$46)</f>
        <v>0.2</v>
      </c>
      <c r="AF42" s="16">
        <f t="shared" si="75"/>
        <v>0</v>
      </c>
      <c r="AG42" s="16">
        <f t="shared" si="41"/>
        <v>0</v>
      </c>
      <c r="AH42" s="16">
        <f t="shared" si="42"/>
        <v>0</v>
      </c>
      <c r="AI42" s="16">
        <f t="shared" si="43"/>
        <v>0</v>
      </c>
      <c r="AJ42" s="16">
        <f t="shared" si="76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60"/>
        <v>0.5948500000000001</v>
      </c>
      <c r="AQ42" s="16">
        <f t="shared" si="61"/>
        <v>0</v>
      </c>
      <c r="AR42" s="16">
        <f>IF(Y42="milkingCows", Constants!$P$2, Constants!$P$3)</f>
        <v>1</v>
      </c>
      <c r="AS42" s="19">
        <f t="shared" si="62"/>
        <v>5.4143472656250013</v>
      </c>
      <c r="AT42" s="16">
        <f>Constants!$B$47</f>
        <v>0.08</v>
      </c>
      <c r="AU42" s="16">
        <f t="shared" si="63"/>
        <v>1.4445478504687506</v>
      </c>
      <c r="AV42" s="16">
        <f t="shared" si="64"/>
        <v>0</v>
      </c>
      <c r="AW42" s="16">
        <f t="shared" si="65"/>
        <v>0</v>
      </c>
      <c r="AX42" s="16">
        <f t="shared" si="66"/>
        <v>0</v>
      </c>
      <c r="AY42" s="16">
        <f t="shared" si="67"/>
        <v>0</v>
      </c>
      <c r="AZ42" s="16">
        <f t="shared" si="68"/>
        <v>1</v>
      </c>
      <c r="BA42" s="16">
        <f>_xlfn.XLOOKUP($A42, Constants!$E$18:$L$18,Constants!$E$19:$L$19)</f>
        <v>0.73</v>
      </c>
      <c r="BB42" s="16">
        <f>_xlfn.XLOOKUP($A42, Constants!$E$18:$L$18,Constants!$E$20:$L$20)</f>
        <v>5.0000000000000001E-3</v>
      </c>
      <c r="BC42" s="16">
        <f>_xlfn.XLOOKUP($A42, Constants!$E$18:$L$18,Constants!$E$21:$L$21)</f>
        <v>0.17</v>
      </c>
      <c r="BD42" s="16">
        <f>_xlfn.XLOOKUP($A42, Constants!$E$18:$L$18,Constants!$E$22:$L$22)</f>
        <v>0.02</v>
      </c>
      <c r="BE42" s="16">
        <f>_xlfn.XLOOKUP($A42, Constants!$E$18:$L$18,Constants!$E$23:$L$23)</f>
        <v>0.01</v>
      </c>
      <c r="BF42" s="16">
        <f>Constants!$B$48</f>
        <v>0.24</v>
      </c>
      <c r="BG42" s="16">
        <f>Constants!$B$49</f>
        <v>0.6784</v>
      </c>
      <c r="BH42" s="16">
        <f t="shared" si="69"/>
        <v>0</v>
      </c>
      <c r="BI42" s="16">
        <f t="shared" si="70"/>
        <v>0</v>
      </c>
      <c r="BJ42" s="16">
        <f t="shared" si="71"/>
        <v>0</v>
      </c>
      <c r="BK42" s="16">
        <f t="shared" si="72"/>
        <v>0</v>
      </c>
      <c r="BL42" s="16">
        <f t="shared" si="73"/>
        <v>2.351955028219201E-3</v>
      </c>
      <c r="BM42" s="16" t="str">
        <f>IF(ISNUMBER(FIND("PreWeaned",Y42)),_xlfn.XLOOKUP(Y42,Constants!$J$2:$J$3,Constants!$K$2:$K$3), "")</f>
        <v/>
      </c>
      <c r="BN42" s="16">
        <f t="shared" si="74"/>
        <v>132.1798725859191</v>
      </c>
    </row>
    <row r="43" spans="1:67" x14ac:dyDescent="0.2">
      <c r="A43" t="str">
        <f>'Input Scenarios'!A43</f>
        <v>ACT</v>
      </c>
      <c r="B43">
        <f>'Input Scenarios'!B43</f>
        <v>0</v>
      </c>
      <c r="C43" t="str">
        <f>'Input Scenarios'!C43</f>
        <v>Non-irrigated crop (low rainfall)</v>
      </c>
      <c r="D43" t="str">
        <f>'Input Scenarios'!D43</f>
        <v>wet</v>
      </c>
      <c r="E43" t="b">
        <f>'Input Scenarios'!E43</f>
        <v>1</v>
      </c>
      <c r="F43" t="str">
        <f>'Input Scenarios'!F43</f>
        <v>Limited feedpad</v>
      </c>
      <c r="G43">
        <f>IF('Input Scenarios'!G43&lt;&gt;"", 'Input Scenarios'!G43, _xlfn.XLOOKUP($F43, Constants!$M$6:$M$9,Constants!N$6:N$9))</f>
        <v>0.79</v>
      </c>
      <c r="H43">
        <f>IF('Input Scenarios'!H43&lt;&gt;"", 'Input Scenarios'!H43, _xlfn.XLOOKUP($F43, Constants!$M$6:$M$9,Constants!O$6:O$9))</f>
        <v>0.11</v>
      </c>
      <c r="I43">
        <f>IF('Input Scenarios'!I43&lt;&gt;"", 'Input Scenarios'!I43, _xlfn.XLOOKUP($F43, Constants!$M$6:$M$9,Constants!P$6:P$9))</f>
        <v>0.1</v>
      </c>
      <c r="J43">
        <f>'Input Scenarios'!J43</f>
        <v>0</v>
      </c>
      <c r="K43">
        <f>'Input Scenarios'!K43</f>
        <v>0</v>
      </c>
      <c r="L43">
        <f>'Input Scenarios'!L43</f>
        <v>1</v>
      </c>
      <c r="M43">
        <f>'Input Scenarios'!M43</f>
        <v>0</v>
      </c>
      <c r="N43">
        <f>'Input Scenarios'!N43</f>
        <v>1</v>
      </c>
      <c r="O43">
        <f>'Input Scenarios'!O43</f>
        <v>0</v>
      </c>
      <c r="P43">
        <f>'Input Scenarios'!P43</f>
        <v>0</v>
      </c>
      <c r="Q43">
        <f>'Input Scenarios'!Q43</f>
        <v>0</v>
      </c>
      <c r="R43" t="b">
        <f>'Input Scenarios'!R43</f>
        <v>1</v>
      </c>
      <c r="S43">
        <f>IF('Input Scenarios'!S43&lt;&gt;"", 'Input Scenarios'!S43, IF(R43, Constants!$B$38, 0))</f>
        <v>0.2</v>
      </c>
      <c r="T43">
        <f>IF('Input Scenarios'!T43&lt;&gt;"", 'Input Scenarios'!T43, "")</f>
        <v>4</v>
      </c>
      <c r="U43">
        <f>IF('Input Scenarios'!U43&lt;&gt;"", 'Input Scenarios'!U43, IF(W43&lt;&gt;"", "", Constants!$B$39))</f>
        <v>4</v>
      </c>
      <c r="V43">
        <f>IF('Input Scenarios'!V43&lt;&gt;"", 'Input Scenarios'!V43, IF(W43&lt;&gt;"", "", Constants!$B$40))</f>
        <v>3.3</v>
      </c>
      <c r="W43" t="str">
        <f>IF('Input Scenarios'!W43&lt;&gt;"", 'Input Scenarios'!W43, "")</f>
        <v/>
      </c>
      <c r="X43" t="str">
        <f>'Input Scenarios'!X43</f>
        <v>Jersey crossbred</v>
      </c>
      <c r="Y43" t="str">
        <f>'Input Scenarios'!Y43</f>
        <v>milkingCows</v>
      </c>
      <c r="Z43">
        <f>'Input Scenarios'!Z43</f>
        <v>200</v>
      </c>
      <c r="AA43">
        <f>IF('Input Scenarios'!AA43&lt;&gt;"", 'Input Scenarios'!AA43, _xlfn.XLOOKUP(Y43,Constants!$J$6:$J$12,Constants!$K$6:$K$12))</f>
        <v>365</v>
      </c>
      <c r="AB43">
        <f>IF('Input Scenarios'!AB43&lt;&gt;"", 'Input Scenarios'!AB43, INDEX(Constants!$B$2:$H$11, MATCH(X43, Constants!$A$2:$A$11, 0), MATCH(Y43,Constants!$B$1:$H$1, 0)))</f>
        <v>450</v>
      </c>
      <c r="AC43">
        <f>IF('Input Scenarios'!AC43&lt;&gt;"", 'Input Scenarios'!AC43, _xlfn.XLOOKUP(Y43, Constants!$B$13:$H$13, Constants!$B$15:$H$15, ""))</f>
        <v>1.6E-2</v>
      </c>
      <c r="AD43">
        <f>IF('Input Scenarios'!AD43&lt;&gt;"", 'Input Scenarios'!AD43, Constants!$B$45)</f>
        <v>0.75</v>
      </c>
      <c r="AE43">
        <f>IF('Input Scenarios'!AE43&lt;&gt;"", 'Input Scenarios'!AE43, Constants!$B$46)</f>
        <v>0.2</v>
      </c>
      <c r="AF43" s="20">
        <f t="shared" si="75"/>
        <v>0.1</v>
      </c>
      <c r="AG43" s="20">
        <f t="shared" si="41"/>
        <v>0</v>
      </c>
      <c r="AH43" s="20">
        <f t="shared" si="42"/>
        <v>0.11</v>
      </c>
      <c r="AI43" s="20">
        <f t="shared" si="43"/>
        <v>0</v>
      </c>
      <c r="AJ43" s="20">
        <f t="shared" si="76"/>
        <v>0.79</v>
      </c>
      <c r="AK43">
        <f t="shared" ref="AK43:AK63" si="78">IF(Y43="milkingCows", IF(W43&lt;&gt;"", W43, T43/((U43+V43)*0.01)), 0)</f>
        <v>54.794520547945211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60"/>
        <v>0.5948500000000001</v>
      </c>
      <c r="AQ43">
        <f t="shared" si="61"/>
        <v>26.246225105773135</v>
      </c>
      <c r="AR43">
        <f>IF(Y43="milkingCows", Constants!$P$2, Constants!$P$3)</f>
        <v>1.1000000000000001</v>
      </c>
      <c r="AS43" s="18">
        <f t="shared" si="62"/>
        <v>34.304119754533133</v>
      </c>
      <c r="AT43">
        <f>Constants!$B$47</f>
        <v>0.08</v>
      </c>
      <c r="AU43">
        <f t="shared" si="63"/>
        <v>9.1523391505094409</v>
      </c>
      <c r="AV43">
        <f t="shared" si="64"/>
        <v>8.0000000000000016E-2</v>
      </c>
      <c r="AW43">
        <f t="shared" si="65"/>
        <v>0</v>
      </c>
      <c r="AX43">
        <f t="shared" si="66"/>
        <v>0.11</v>
      </c>
      <c r="AY43">
        <f t="shared" si="67"/>
        <v>2.0000000000000004E-2</v>
      </c>
      <c r="AZ43">
        <f t="shared" si="68"/>
        <v>0.79</v>
      </c>
      <c r="BA43">
        <f>_xlfn.XLOOKUP($A43, Constants!$E$18:$L$18,Constants!$E$19:$L$19)</f>
        <v>0.72</v>
      </c>
      <c r="BB43">
        <f>_xlfn.XLOOKUP($A43, Constants!$E$18:$L$18,Constants!$E$20:$L$20)</f>
        <v>5.0000000000000001E-3</v>
      </c>
      <c r="BC43">
        <f>_xlfn.XLOOKUP($A43, Constants!$E$18:$L$18,Constants!$E$21:$L$21)</f>
        <v>0.15</v>
      </c>
      <c r="BD43">
        <f>_xlfn.XLOOKUP($A43, Constants!$E$18:$L$18,Constants!$E$22:$L$22)</f>
        <v>0.02</v>
      </c>
      <c r="BE43">
        <f>_xlfn.XLOOKUP($A43, Constants!$E$18:$L$18,Constants!$E$23:$L$23)</f>
        <v>0.01</v>
      </c>
      <c r="BF43">
        <f>Constants!$B$48</f>
        <v>0.24</v>
      </c>
      <c r="BG43">
        <f>Constants!$B$49</f>
        <v>0.6784</v>
      </c>
      <c r="BH43">
        <f t="shared" si="69"/>
        <v>8.5832481665050295E-2</v>
      </c>
      <c r="BI43">
        <f t="shared" si="70"/>
        <v>0</v>
      </c>
      <c r="BJ43">
        <f t="shared" si="71"/>
        <v>2.4587429643634192E-2</v>
      </c>
      <c r="BK43">
        <f t="shared" si="72"/>
        <v>5.9605890045173813E-4</v>
      </c>
      <c r="BL43">
        <f t="shared" si="73"/>
        <v>1.1772163283921826E-2</v>
      </c>
      <c r="BM43" t="str">
        <f>IF(ISNUMBER(FIND("PreWeaned",Y43)),_xlfn.XLOOKUP(Y43,Constants!$J$2:$J$3,Constants!$K$2:$K$3), "")</f>
        <v/>
      </c>
      <c r="BN43">
        <f t="shared" si="74"/>
        <v>8963.5337449932376</v>
      </c>
      <c r="BO43">
        <f>SUM(BN43:BN49)/1000</f>
        <v>10.315073907094447</v>
      </c>
    </row>
    <row r="44" spans="1:67" x14ac:dyDescent="0.2">
      <c r="A44" t="str">
        <f>'Input Scenarios'!A44</f>
        <v>ACT</v>
      </c>
      <c r="B44">
        <f>'Input Scenarios'!B44</f>
        <v>0</v>
      </c>
      <c r="C44" t="str">
        <f>'Input Scenarios'!C44</f>
        <v>Non-irrigated crop (low rainfall)</v>
      </c>
      <c r="D44" t="str">
        <f>'Input Scenarios'!D44</f>
        <v>wet</v>
      </c>
      <c r="E44" t="b">
        <f>'Input Scenarios'!E44</f>
        <v>1</v>
      </c>
      <c r="F44" t="str">
        <f>'Input Scenarios'!F44</f>
        <v>Limited feedpad</v>
      </c>
      <c r="G44">
        <f>IF('Input Scenarios'!G44&lt;&gt;"", 'Input Scenarios'!G44, _xlfn.XLOOKUP($F44, Constants!$M$6:$M$9,Constants!N$6:N$9))</f>
        <v>0.79</v>
      </c>
      <c r="H44">
        <f>IF('Input Scenarios'!H44&lt;&gt;"", 'Input Scenarios'!H44, _xlfn.XLOOKUP($F44, Constants!$M$6:$M$9,Constants!O$6:O$9))</f>
        <v>0.11</v>
      </c>
      <c r="I44">
        <f>IF('Input Scenarios'!I44&lt;&gt;"", 'Input Scenarios'!I44, _xlfn.XLOOKUP($F44, Constants!$M$6:$M$9,Constants!P$6:P$9))</f>
        <v>0.1</v>
      </c>
      <c r="J44">
        <f>'Input Scenarios'!J44</f>
        <v>0</v>
      </c>
      <c r="K44">
        <f>'Input Scenarios'!K44</f>
        <v>0</v>
      </c>
      <c r="L44">
        <f>'Input Scenarios'!L44</f>
        <v>1</v>
      </c>
      <c r="M44">
        <f>'Input Scenarios'!M44</f>
        <v>0</v>
      </c>
      <c r="N44">
        <f>'Input Scenarios'!N44</f>
        <v>1</v>
      </c>
      <c r="O44">
        <f>'Input Scenarios'!O44</f>
        <v>0</v>
      </c>
      <c r="P44">
        <f>'Input Scenarios'!P44</f>
        <v>0</v>
      </c>
      <c r="Q44">
        <f>'Input Scenarios'!Q44</f>
        <v>0</v>
      </c>
      <c r="R44" t="b">
        <f>'Input Scenarios'!R44</f>
        <v>1</v>
      </c>
      <c r="S44">
        <f>IF('Input Scenarios'!S44&lt;&gt;"", 'Input Scenarios'!S44, IF(R44, Constants!$B$38, 0))</f>
        <v>0.2</v>
      </c>
      <c r="T44" t="str">
        <f>IF('Input Scenarios'!T44&lt;&gt;"", 'Input Scenarios'!T44, "")</f>
        <v/>
      </c>
      <c r="U44">
        <f>IF('Input Scenarios'!U44&lt;&gt;"", 'Input Scenarios'!U44, IF(W44&lt;&gt;"", "", Constants!$B$39))</f>
        <v>4</v>
      </c>
      <c r="V44">
        <f>IF('Input Scenarios'!V44&lt;&gt;"", 'Input Scenarios'!V44, IF(W44&lt;&gt;"", "", Constants!$B$40))</f>
        <v>3.3</v>
      </c>
      <c r="W44" t="str">
        <f>IF('Input Scenarios'!W44&lt;&gt;"", 'Input Scenarios'!W44, "")</f>
        <v/>
      </c>
      <c r="X44" t="str">
        <f>'Input Scenarios'!X44</f>
        <v>Jersey crossbred</v>
      </c>
      <c r="Y44" t="str">
        <f>'Input Scenarios'!Y44</f>
        <v>heifersGt1</v>
      </c>
      <c r="Z44">
        <f>'Input Scenarios'!Z44</f>
        <v>200</v>
      </c>
      <c r="AA44">
        <f>IF('Input Scenarios'!AA44&lt;&gt;"", 'Input Scenarios'!AA44, _xlfn.XLOOKUP(Y44,Constants!$J$6:$J$12,Constants!$K$6:$K$12))</f>
        <v>365</v>
      </c>
      <c r="AB44">
        <f>IF('Input Scenarios'!AB44&lt;&gt;"", 'Input Scenarios'!AB44, INDEX(Constants!$B$2:$H$11, MATCH(X44, Constants!$A$2:$A$11, 0), MATCH(Y44,Constants!$B$1:$H$1, 0)))</f>
        <v>315</v>
      </c>
      <c r="AC44">
        <f>IF('Input Scenarios'!AC44&lt;&gt;"", 'Input Scenarios'!AC44, _xlfn.XLOOKUP(Y44, Constants!$B$13:$H$13, Constants!$B$15:$H$15, ""))</f>
        <v>0.6</v>
      </c>
      <c r="AD44">
        <f>IF('Input Scenarios'!AD44&lt;&gt;"", 'Input Scenarios'!AD44, Constants!$B$45)</f>
        <v>0.75</v>
      </c>
      <c r="AE44">
        <f>IF('Input Scenarios'!AE44&lt;&gt;"", 'Input Scenarios'!AE44, Constants!$B$46)</f>
        <v>0.2</v>
      </c>
      <c r="AF44">
        <f t="shared" si="75"/>
        <v>0</v>
      </c>
      <c r="AG44">
        <f t="shared" ref="AG44:AG63" si="79">IF($Y44="milkingCows",($H44*K44)+($I44*O44), 0)</f>
        <v>0</v>
      </c>
      <c r="AH44">
        <f t="shared" ref="AH44:AH63" si="80">IF($Y44="milkingCows",($H44*L44)+($I44*P44), 0)</f>
        <v>0</v>
      </c>
      <c r="AI44">
        <f t="shared" ref="AI44:AI63" si="81">IF($Y44="milkingCows",($H44*M44)+($I44*Q44), 0)</f>
        <v>0</v>
      </c>
      <c r="AJ44">
        <f t="shared" si="76"/>
        <v>1</v>
      </c>
      <c r="AK44">
        <f t="shared" si="78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60"/>
        <v>0.5948500000000001</v>
      </c>
      <c r="AQ44">
        <f t="shared" si="61"/>
        <v>0</v>
      </c>
      <c r="AR44">
        <f>IF(Y44="milkingCows", Constants!$P$2, Constants!$P$3)</f>
        <v>1</v>
      </c>
      <c r="AS44" s="18">
        <f t="shared" si="62"/>
        <v>6.4827015932249994</v>
      </c>
      <c r="AT44">
        <f>Constants!$B$47</f>
        <v>0.08</v>
      </c>
      <c r="AU44">
        <f t="shared" si="63"/>
        <v>1.72958478507243</v>
      </c>
      <c r="AV44">
        <f t="shared" si="64"/>
        <v>0</v>
      </c>
      <c r="AW44">
        <f t="shared" si="65"/>
        <v>0</v>
      </c>
      <c r="AX44">
        <f t="shared" si="66"/>
        <v>0</v>
      </c>
      <c r="AY44">
        <f t="shared" si="67"/>
        <v>0</v>
      </c>
      <c r="AZ44">
        <f t="shared" si="68"/>
        <v>1</v>
      </c>
      <c r="BA44">
        <f>_xlfn.XLOOKUP($A44, Constants!$E$18:$L$18,Constants!$E$19:$L$19)</f>
        <v>0.72</v>
      </c>
      <c r="BB44">
        <f>_xlfn.XLOOKUP($A44, Constants!$E$18:$L$18,Constants!$E$20:$L$20)</f>
        <v>5.0000000000000001E-3</v>
      </c>
      <c r="BC44">
        <f>_xlfn.XLOOKUP($A44, Constants!$E$18:$L$18,Constants!$E$21:$L$21)</f>
        <v>0.15</v>
      </c>
      <c r="BD44">
        <f>_xlfn.XLOOKUP($A44, Constants!$E$18:$L$18,Constants!$E$22:$L$22)</f>
        <v>0.02</v>
      </c>
      <c r="BE44">
        <f>_xlfn.XLOOKUP($A44, Constants!$E$18:$L$18,Constants!$E$23:$L$23)</f>
        <v>0.01</v>
      </c>
      <c r="BF44">
        <f>Constants!$B$48</f>
        <v>0.24</v>
      </c>
      <c r="BG44">
        <f>Constants!$B$49</f>
        <v>0.6784</v>
      </c>
      <c r="BH44">
        <f t="shared" si="69"/>
        <v>0</v>
      </c>
      <c r="BI44">
        <f t="shared" si="70"/>
        <v>0</v>
      </c>
      <c r="BJ44">
        <f t="shared" si="71"/>
        <v>0</v>
      </c>
      <c r="BK44">
        <f t="shared" si="72"/>
        <v>0</v>
      </c>
      <c r="BL44">
        <f t="shared" si="73"/>
        <v>2.8160407636635275E-3</v>
      </c>
      <c r="BM44" t="str">
        <f>IF(ISNUMBER(FIND("PreWeaned",Y44)),_xlfn.XLOOKUP(Y44,Constants!$J$2:$J$3,Constants!$K$2:$K$3), "")</f>
        <v/>
      </c>
      <c r="BN44">
        <f t="shared" si="74"/>
        <v>205.5709757474375</v>
      </c>
    </row>
    <row r="45" spans="1:67" x14ac:dyDescent="0.2">
      <c r="A45" t="str">
        <f>'Input Scenarios'!A45</f>
        <v>ACT</v>
      </c>
      <c r="B45">
        <f>'Input Scenarios'!B45</f>
        <v>0</v>
      </c>
      <c r="C45" t="str">
        <f>'Input Scenarios'!C45</f>
        <v>Non-irrigated crop (low rainfall)</v>
      </c>
      <c r="D45" t="str">
        <f>'Input Scenarios'!D45</f>
        <v>wet</v>
      </c>
      <c r="E45" t="b">
        <f>'Input Scenarios'!E45</f>
        <v>1</v>
      </c>
      <c r="F45" t="str">
        <f>'Input Scenarios'!F45</f>
        <v>Limited feedpad</v>
      </c>
      <c r="G45">
        <f>IF('Input Scenarios'!G45&lt;&gt;"", 'Input Scenarios'!G45, _xlfn.XLOOKUP($F45, Constants!$M$6:$M$9,Constants!N$6:N$9))</f>
        <v>0.79</v>
      </c>
      <c r="H45">
        <f>IF('Input Scenarios'!H45&lt;&gt;"", 'Input Scenarios'!H45, _xlfn.XLOOKUP($F45, Constants!$M$6:$M$9,Constants!O$6:O$9))</f>
        <v>0.11</v>
      </c>
      <c r="I45">
        <f>IF('Input Scenarios'!I45&lt;&gt;"", 'Input Scenarios'!I45, _xlfn.XLOOKUP($F45, Constants!$M$6:$M$9,Constants!P$6:P$9))</f>
        <v>0.1</v>
      </c>
      <c r="J45">
        <f>'Input Scenarios'!J45</f>
        <v>0</v>
      </c>
      <c r="K45">
        <f>'Input Scenarios'!K45</f>
        <v>0</v>
      </c>
      <c r="L45">
        <f>'Input Scenarios'!L45</f>
        <v>1</v>
      </c>
      <c r="M45">
        <f>'Input Scenarios'!M45</f>
        <v>0</v>
      </c>
      <c r="N45">
        <f>'Input Scenarios'!N45</f>
        <v>1</v>
      </c>
      <c r="O45">
        <f>'Input Scenarios'!O45</f>
        <v>0</v>
      </c>
      <c r="P45">
        <f>'Input Scenarios'!P45</f>
        <v>0</v>
      </c>
      <c r="Q45">
        <f>'Input Scenarios'!Q45</f>
        <v>0</v>
      </c>
      <c r="R45" t="b">
        <f>'Input Scenarios'!R45</f>
        <v>1</v>
      </c>
      <c r="S45">
        <f>IF('Input Scenarios'!S45&lt;&gt;"", 'Input Scenarios'!S45, IF(R45, Constants!$B$38, 0))</f>
        <v>0.2</v>
      </c>
      <c r="T45" t="str">
        <f>IF('Input Scenarios'!T45&lt;&gt;"", 'Input Scenarios'!T45, "")</f>
        <v/>
      </c>
      <c r="U45">
        <f>IF('Input Scenarios'!U45&lt;&gt;"", 'Input Scenarios'!U45, IF(W45&lt;&gt;"", "", Constants!$B$39))</f>
        <v>4</v>
      </c>
      <c r="V45">
        <f>IF('Input Scenarios'!V45&lt;&gt;"", 'Input Scenarios'!V45, IF(W45&lt;&gt;"", "", Constants!$B$40))</f>
        <v>3.3</v>
      </c>
      <c r="W45" t="str">
        <f>IF('Input Scenarios'!W45&lt;&gt;"", 'Input Scenarios'!W45, "")</f>
        <v/>
      </c>
      <c r="X45" t="str">
        <f>'Input Scenarios'!X45</f>
        <v>Jersey crossbred</v>
      </c>
      <c r="Y45" t="str">
        <f>'Input Scenarios'!Y45</f>
        <v>heifersLt1PreWeaned</v>
      </c>
      <c r="Z45">
        <f>'Input Scenarios'!Z45</f>
        <v>200</v>
      </c>
      <c r="AA45">
        <f>IF('Input Scenarios'!AA45&lt;&gt;"", 'Input Scenarios'!AA45, _xlfn.XLOOKUP(Y45,Constants!$J$6:$J$12,Constants!$K$6:$K$12))</f>
        <v>84</v>
      </c>
      <c r="AB45">
        <f>IF('Input Scenarios'!AB45&lt;&gt;"", 'Input Scenarios'!AB45, INDEX(Constants!$B$2:$H$11, MATCH(X45, Constants!$A$2:$A$11, 0), MATCH(Y45,Constants!$B$1:$H$1, 0)))</f>
        <v>130</v>
      </c>
      <c r="AC45" t="str">
        <f>IF('Input Scenarios'!AC45&lt;&gt;"", 'Input Scenarios'!AC45, _xlfn.XLOOKUP(Y45, Constants!$B$13:$H$13, Constants!$B$15:$H$15, ""))</f>
        <v/>
      </c>
      <c r="AD45">
        <f>IF('Input Scenarios'!AD45&lt;&gt;"", 'Input Scenarios'!AD45, Constants!$B$45)</f>
        <v>0.75</v>
      </c>
      <c r="AE45">
        <f>IF('Input Scenarios'!AE45&lt;&gt;"", 'Input Scenarios'!AE45, Constants!$B$46)</f>
        <v>0.2</v>
      </c>
      <c r="AF45">
        <f t="shared" si="75"/>
        <v>0</v>
      </c>
      <c r="AG45">
        <f t="shared" si="79"/>
        <v>0</v>
      </c>
      <c r="AH45">
        <f t="shared" si="80"/>
        <v>0</v>
      </c>
      <c r="AI45">
        <f t="shared" si="81"/>
        <v>0</v>
      </c>
      <c r="AJ45">
        <f t="shared" si="76"/>
        <v>1</v>
      </c>
      <c r="AK45">
        <f t="shared" si="78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60"/>
        <v>0.5948500000000001</v>
      </c>
      <c r="AQ45">
        <f t="shared" si="61"/>
        <v>0</v>
      </c>
      <c r="AR45">
        <f>IF(Y45="milkingCows", Constants!$P$2, Constants!$P$3)</f>
        <v>1</v>
      </c>
      <c r="AS45" s="18" t="str">
        <f t="shared" si="62"/>
        <v/>
      </c>
      <c r="AT45">
        <f>Constants!$B$47</f>
        <v>0.08</v>
      </c>
      <c r="AU45" t="str">
        <f t="shared" si="63"/>
        <v/>
      </c>
      <c r="AV45">
        <f t="shared" si="64"/>
        <v>0</v>
      </c>
      <c r="AW45">
        <f t="shared" si="65"/>
        <v>0</v>
      </c>
      <c r="AX45">
        <f t="shared" si="66"/>
        <v>0</v>
      </c>
      <c r="AY45">
        <f t="shared" si="67"/>
        <v>0</v>
      </c>
      <c r="AZ45">
        <f t="shared" si="68"/>
        <v>1</v>
      </c>
      <c r="BA45">
        <f>_xlfn.XLOOKUP($A45, Constants!$E$18:$L$18,Constants!$E$19:$L$19)</f>
        <v>0.72</v>
      </c>
      <c r="BB45">
        <f>_xlfn.XLOOKUP($A45, Constants!$E$18:$L$18,Constants!$E$20:$L$20)</f>
        <v>5.0000000000000001E-3</v>
      </c>
      <c r="BC45">
        <f>_xlfn.XLOOKUP($A45, Constants!$E$18:$L$18,Constants!$E$21:$L$21)</f>
        <v>0.15</v>
      </c>
      <c r="BD45">
        <f>_xlfn.XLOOKUP($A45, Constants!$E$18:$L$18,Constants!$E$22:$L$22)</f>
        <v>0.02</v>
      </c>
      <c r="BE45">
        <f>_xlfn.XLOOKUP($A45, Constants!$E$18:$L$18,Constants!$E$23:$L$23)</f>
        <v>0.01</v>
      </c>
      <c r="BF45">
        <f>Constants!$B$48</f>
        <v>0.24</v>
      </c>
      <c r="BG45">
        <f>Constants!$B$49</f>
        <v>0.6784</v>
      </c>
      <c r="BH45" t="str">
        <f t="shared" si="69"/>
        <v/>
      </c>
      <c r="BI45" t="str">
        <f t="shared" si="70"/>
        <v/>
      </c>
      <c r="BJ45" t="str">
        <f t="shared" si="71"/>
        <v/>
      </c>
      <c r="BK45" t="str">
        <f t="shared" si="72"/>
        <v/>
      </c>
      <c r="BL45" t="str">
        <f t="shared" si="73"/>
        <v/>
      </c>
      <c r="BM45">
        <f>IF(ISNUMBER(FIND("PreWeaned",Y45)),_xlfn.XLOOKUP(Y45,Constants!$J$2:$J$3,Constants!$K$2:$K$3), "")</f>
        <v>1.7600000000000001E-2</v>
      </c>
      <c r="BN45">
        <f t="shared" si="74"/>
        <v>295.68</v>
      </c>
    </row>
    <row r="46" spans="1:67" x14ac:dyDescent="0.2">
      <c r="A46" t="str">
        <f>'Input Scenarios'!A46</f>
        <v>ACT</v>
      </c>
      <c r="B46">
        <f>'Input Scenarios'!B46</f>
        <v>0</v>
      </c>
      <c r="C46" t="str">
        <f>'Input Scenarios'!C46</f>
        <v>Non-irrigated crop (low rainfall)</v>
      </c>
      <c r="D46" t="str">
        <f>'Input Scenarios'!D46</f>
        <v>wet</v>
      </c>
      <c r="E46" t="b">
        <f>'Input Scenarios'!E46</f>
        <v>1</v>
      </c>
      <c r="F46" t="str">
        <f>'Input Scenarios'!F46</f>
        <v>Limited feedpad</v>
      </c>
      <c r="G46">
        <f>IF('Input Scenarios'!G46&lt;&gt;"", 'Input Scenarios'!G46, _xlfn.XLOOKUP($F46, Constants!$M$6:$M$9,Constants!N$6:N$9))</f>
        <v>0.79</v>
      </c>
      <c r="H46">
        <f>IF('Input Scenarios'!H46&lt;&gt;"", 'Input Scenarios'!H46, _xlfn.XLOOKUP($F46, Constants!$M$6:$M$9,Constants!O$6:O$9))</f>
        <v>0.11</v>
      </c>
      <c r="I46">
        <f>IF('Input Scenarios'!I46&lt;&gt;"", 'Input Scenarios'!I46, _xlfn.XLOOKUP($F46, Constants!$M$6:$M$9,Constants!P$6:P$9))</f>
        <v>0.1</v>
      </c>
      <c r="J46">
        <f>'Input Scenarios'!J46</f>
        <v>0</v>
      </c>
      <c r="K46">
        <f>'Input Scenarios'!K46</f>
        <v>0</v>
      </c>
      <c r="L46">
        <f>'Input Scenarios'!L46</f>
        <v>1</v>
      </c>
      <c r="M46">
        <f>'Input Scenarios'!M46</f>
        <v>0</v>
      </c>
      <c r="N46">
        <f>'Input Scenarios'!N46</f>
        <v>1</v>
      </c>
      <c r="O46">
        <f>'Input Scenarios'!O46</f>
        <v>0</v>
      </c>
      <c r="P46">
        <f>'Input Scenarios'!P46</f>
        <v>0</v>
      </c>
      <c r="Q46">
        <f>'Input Scenarios'!Q46</f>
        <v>0</v>
      </c>
      <c r="R46" t="b">
        <f>'Input Scenarios'!R46</f>
        <v>1</v>
      </c>
      <c r="S46">
        <f>IF('Input Scenarios'!S46&lt;&gt;"", 'Input Scenarios'!S46, IF(R46, Constants!$B$38, 0))</f>
        <v>0.2</v>
      </c>
      <c r="T46" t="str">
        <f>IF('Input Scenarios'!T46&lt;&gt;"", 'Input Scenarios'!T46, "")</f>
        <v/>
      </c>
      <c r="U46">
        <f>IF('Input Scenarios'!U46&lt;&gt;"", 'Input Scenarios'!U46, IF(W46&lt;&gt;"", "", Constants!$B$39))</f>
        <v>4</v>
      </c>
      <c r="V46">
        <f>IF('Input Scenarios'!V46&lt;&gt;"", 'Input Scenarios'!V46, IF(W46&lt;&gt;"", "", Constants!$B$40))</f>
        <v>3.3</v>
      </c>
      <c r="W46" t="str">
        <f>IF('Input Scenarios'!W46&lt;&gt;"", 'Input Scenarios'!W46, "")</f>
        <v/>
      </c>
      <c r="X46" t="str">
        <f>'Input Scenarios'!X46</f>
        <v>Jersey crossbred</v>
      </c>
      <c r="Y46" t="str">
        <f>'Input Scenarios'!Y46</f>
        <v>heifersLt1Weaned</v>
      </c>
      <c r="Z46">
        <f>'Input Scenarios'!Z46</f>
        <v>200</v>
      </c>
      <c r="AA46">
        <f>IF('Input Scenarios'!AA46&lt;&gt;"", 'Input Scenarios'!AA46, _xlfn.XLOOKUP(Y46,Constants!$J$6:$J$12,Constants!$K$6:$K$12))</f>
        <v>281</v>
      </c>
      <c r="AB46">
        <f>IF('Input Scenarios'!AB46&lt;&gt;"", 'Input Scenarios'!AB46, INDEX(Constants!$B$2:$H$11, MATCH(X46, Constants!$A$2:$A$11, 0), MATCH(Y46,Constants!$B$1:$H$1, 0)))</f>
        <v>130</v>
      </c>
      <c r="AC46">
        <f>IF('Input Scenarios'!AC46&lt;&gt;"", 'Input Scenarios'!AC46, _xlfn.XLOOKUP(Y46, Constants!$B$13:$H$13, Constants!$B$15:$H$15, ""))</f>
        <v>0.56999999999999995</v>
      </c>
      <c r="AD46">
        <f>IF('Input Scenarios'!AD46&lt;&gt;"", 'Input Scenarios'!AD46, Constants!$B$45)</f>
        <v>0.75</v>
      </c>
      <c r="AE46">
        <f>IF('Input Scenarios'!AE46&lt;&gt;"", 'Input Scenarios'!AE46, Constants!$B$46)</f>
        <v>0.2</v>
      </c>
      <c r="AF46">
        <f t="shared" si="75"/>
        <v>0</v>
      </c>
      <c r="AG46">
        <f t="shared" si="79"/>
        <v>0</v>
      </c>
      <c r="AH46">
        <f t="shared" si="80"/>
        <v>0</v>
      </c>
      <c r="AI46">
        <f t="shared" si="81"/>
        <v>0</v>
      </c>
      <c r="AJ46">
        <f t="shared" si="76"/>
        <v>1</v>
      </c>
      <c r="AK46">
        <f t="shared" si="78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60"/>
        <v>0.5948500000000001</v>
      </c>
      <c r="AQ46">
        <f t="shared" si="61"/>
        <v>0</v>
      </c>
      <c r="AR46">
        <f>IF(Y46="milkingCows", Constants!$P$2, Constants!$P$3)</f>
        <v>1</v>
      </c>
      <c r="AS46" s="18">
        <f t="shared" si="62"/>
        <v>3.6511948560999987</v>
      </c>
      <c r="AT46">
        <f>Constants!$B$47</f>
        <v>0.08</v>
      </c>
      <c r="AU46">
        <f t="shared" si="63"/>
        <v>0.97413878760747985</v>
      </c>
      <c r="AV46">
        <f t="shared" si="64"/>
        <v>0</v>
      </c>
      <c r="AW46">
        <f t="shared" si="65"/>
        <v>0</v>
      </c>
      <c r="AX46">
        <f t="shared" si="66"/>
        <v>0</v>
      </c>
      <c r="AY46">
        <f t="shared" si="67"/>
        <v>0</v>
      </c>
      <c r="AZ46">
        <f t="shared" si="68"/>
        <v>1</v>
      </c>
      <c r="BA46">
        <f>_xlfn.XLOOKUP($A46, Constants!$E$18:$L$18,Constants!$E$19:$L$19)</f>
        <v>0.72</v>
      </c>
      <c r="BB46">
        <f>_xlfn.XLOOKUP($A46, Constants!$E$18:$L$18,Constants!$E$20:$L$20)</f>
        <v>5.0000000000000001E-3</v>
      </c>
      <c r="BC46">
        <f>_xlfn.XLOOKUP($A46, Constants!$E$18:$L$18,Constants!$E$21:$L$21)</f>
        <v>0.15</v>
      </c>
      <c r="BD46">
        <f>_xlfn.XLOOKUP($A46, Constants!$E$18:$L$18,Constants!$E$22:$L$22)</f>
        <v>0.02</v>
      </c>
      <c r="BE46">
        <f>_xlfn.XLOOKUP($A46, Constants!$E$18:$L$18,Constants!$E$23:$L$23)</f>
        <v>0.01</v>
      </c>
      <c r="BF46">
        <f>Constants!$B$48</f>
        <v>0.24</v>
      </c>
      <c r="BG46">
        <f>Constants!$B$49</f>
        <v>0.6784</v>
      </c>
      <c r="BH46">
        <f t="shared" si="69"/>
        <v>0</v>
      </c>
      <c r="BI46">
        <f t="shared" si="70"/>
        <v>0</v>
      </c>
      <c r="BJ46">
        <f t="shared" si="71"/>
        <v>0</v>
      </c>
      <c r="BK46">
        <f t="shared" si="72"/>
        <v>0</v>
      </c>
      <c r="BL46">
        <f t="shared" si="73"/>
        <v>1.5860538084309945E-3</v>
      </c>
      <c r="BM46" t="str">
        <f>IF(ISNUMBER(FIND("PreWeaned",Y46)),_xlfn.XLOOKUP(Y46,Constants!$J$2:$J$3,Constants!$K$2:$K$3), "")</f>
        <v/>
      </c>
      <c r="BN46">
        <f t="shared" si="74"/>
        <v>89.13622403382189</v>
      </c>
    </row>
    <row r="47" spans="1:67" x14ac:dyDescent="0.2">
      <c r="A47" t="str">
        <f>'Input Scenarios'!A47</f>
        <v>ACT</v>
      </c>
      <c r="B47">
        <f>'Input Scenarios'!B47</f>
        <v>0</v>
      </c>
      <c r="C47" t="str">
        <f>'Input Scenarios'!C47</f>
        <v>Non-irrigated crop (low rainfall)</v>
      </c>
      <c r="D47" t="str">
        <f>'Input Scenarios'!D47</f>
        <v>wet</v>
      </c>
      <c r="E47" t="b">
        <f>'Input Scenarios'!E47</f>
        <v>1</v>
      </c>
      <c r="F47" t="str">
        <f>'Input Scenarios'!F47</f>
        <v>Limited feedpad</v>
      </c>
      <c r="G47">
        <f>IF('Input Scenarios'!G47&lt;&gt;"", 'Input Scenarios'!G47, _xlfn.XLOOKUP($F47, Constants!$M$6:$M$9,Constants!N$6:N$9))</f>
        <v>0.79</v>
      </c>
      <c r="H47">
        <f>IF('Input Scenarios'!H47&lt;&gt;"", 'Input Scenarios'!H47, _xlfn.XLOOKUP($F47, Constants!$M$6:$M$9,Constants!O$6:O$9))</f>
        <v>0.11</v>
      </c>
      <c r="I47">
        <f>IF('Input Scenarios'!I47&lt;&gt;"", 'Input Scenarios'!I47, _xlfn.XLOOKUP($F47, Constants!$M$6:$M$9,Constants!P$6:P$9))</f>
        <v>0.1</v>
      </c>
      <c r="J47">
        <f>'Input Scenarios'!J47</f>
        <v>0</v>
      </c>
      <c r="K47">
        <f>'Input Scenarios'!K47</f>
        <v>0</v>
      </c>
      <c r="L47">
        <f>'Input Scenarios'!L47</f>
        <v>1</v>
      </c>
      <c r="M47">
        <f>'Input Scenarios'!M47</f>
        <v>0</v>
      </c>
      <c r="N47">
        <f>'Input Scenarios'!N47</f>
        <v>1</v>
      </c>
      <c r="O47">
        <f>'Input Scenarios'!O47</f>
        <v>0</v>
      </c>
      <c r="P47">
        <f>'Input Scenarios'!P47</f>
        <v>0</v>
      </c>
      <c r="Q47">
        <f>'Input Scenarios'!Q47</f>
        <v>0</v>
      </c>
      <c r="R47" t="b">
        <f>'Input Scenarios'!R47</f>
        <v>1</v>
      </c>
      <c r="S47">
        <f>IF('Input Scenarios'!S47&lt;&gt;"", 'Input Scenarios'!S47, IF(R47, Constants!$B$38, 0))</f>
        <v>0.2</v>
      </c>
      <c r="T47" t="str">
        <f>IF('Input Scenarios'!T47&lt;&gt;"", 'Input Scenarios'!T47, "")</f>
        <v/>
      </c>
      <c r="U47">
        <f>IF('Input Scenarios'!U47&lt;&gt;"", 'Input Scenarios'!U47, IF(W47&lt;&gt;"", "", Constants!$B$39))</f>
        <v>4</v>
      </c>
      <c r="V47">
        <f>IF('Input Scenarios'!V47&lt;&gt;"", 'Input Scenarios'!V47, IF(W47&lt;&gt;"", "", Constants!$B$40))</f>
        <v>3.3</v>
      </c>
      <c r="W47" t="str">
        <f>IF('Input Scenarios'!W47&lt;&gt;"", 'Input Scenarios'!W47, "")</f>
        <v/>
      </c>
      <c r="X47" t="str">
        <f>'Input Scenarios'!X47</f>
        <v>Jersey crossbred</v>
      </c>
      <c r="Y47" t="str">
        <f>'Input Scenarios'!Y47</f>
        <v>bullsGt1</v>
      </c>
      <c r="Z47">
        <f>'Input Scenarios'!Z47</f>
        <v>200</v>
      </c>
      <c r="AA47">
        <f>IF('Input Scenarios'!AA47&lt;&gt;"", 'Input Scenarios'!AA47, _xlfn.XLOOKUP(Y47,Constants!$J$6:$J$12,Constants!$K$6:$K$12))</f>
        <v>365</v>
      </c>
      <c r="AB47">
        <f>IF('Input Scenarios'!AB47&lt;&gt;"", 'Input Scenarios'!AB47, INDEX(Constants!$B$2:$H$11, MATCH(X47, Constants!$A$2:$A$11, 0), MATCH(Y47,Constants!$B$1:$H$1, 0)))</f>
        <v>600</v>
      </c>
      <c r="AC47">
        <f>IF('Input Scenarios'!AC47&lt;&gt;"", 'Input Scenarios'!AC47, _xlfn.XLOOKUP(Y47, Constants!$B$13:$H$13, Constants!$B$15:$H$15, ""))</f>
        <v>0.1</v>
      </c>
      <c r="AD47">
        <f>IF('Input Scenarios'!AD47&lt;&gt;"", 'Input Scenarios'!AD47, Constants!$B$45)</f>
        <v>0.75</v>
      </c>
      <c r="AE47">
        <f>IF('Input Scenarios'!AE47&lt;&gt;"", 'Input Scenarios'!AE47, Constants!$B$46)</f>
        <v>0.2</v>
      </c>
      <c r="AF47">
        <f t="shared" si="75"/>
        <v>0</v>
      </c>
      <c r="AG47">
        <f t="shared" si="79"/>
        <v>0</v>
      </c>
      <c r="AH47">
        <f t="shared" si="80"/>
        <v>0</v>
      </c>
      <c r="AI47">
        <f t="shared" si="81"/>
        <v>0</v>
      </c>
      <c r="AJ47">
        <f t="shared" si="76"/>
        <v>1</v>
      </c>
      <c r="AK47">
        <f t="shared" si="78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60"/>
        <v>0.5948500000000001</v>
      </c>
      <c r="AQ47">
        <f t="shared" si="61"/>
        <v>0</v>
      </c>
      <c r="AR47">
        <f>IF(Y47="milkingCows", Constants!$P$2, Constants!$P$3)</f>
        <v>1</v>
      </c>
      <c r="AS47" s="18">
        <f t="shared" si="62"/>
        <v>9.0270202499999979</v>
      </c>
      <c r="AT47">
        <f>Constants!$B$47</f>
        <v>0.08</v>
      </c>
      <c r="AU47">
        <f t="shared" si="63"/>
        <v>2.4084090026999996</v>
      </c>
      <c r="AV47">
        <f t="shared" si="64"/>
        <v>0</v>
      </c>
      <c r="AW47">
        <f t="shared" si="65"/>
        <v>0</v>
      </c>
      <c r="AX47">
        <f t="shared" si="66"/>
        <v>0</v>
      </c>
      <c r="AY47">
        <f t="shared" si="67"/>
        <v>0</v>
      </c>
      <c r="AZ47">
        <f t="shared" si="68"/>
        <v>1</v>
      </c>
      <c r="BA47">
        <f>_xlfn.XLOOKUP($A47, Constants!$E$18:$L$18,Constants!$E$19:$L$19)</f>
        <v>0.72</v>
      </c>
      <c r="BB47">
        <f>_xlfn.XLOOKUP($A47, Constants!$E$18:$L$18,Constants!$E$20:$L$20)</f>
        <v>5.0000000000000001E-3</v>
      </c>
      <c r="BC47">
        <f>_xlfn.XLOOKUP($A47, Constants!$E$18:$L$18,Constants!$E$21:$L$21)</f>
        <v>0.15</v>
      </c>
      <c r="BD47">
        <f>_xlfn.XLOOKUP($A47, Constants!$E$18:$L$18,Constants!$E$22:$L$22)</f>
        <v>0.02</v>
      </c>
      <c r="BE47">
        <f>_xlfn.XLOOKUP($A47, Constants!$E$18:$L$18,Constants!$E$23:$L$23)</f>
        <v>0.01</v>
      </c>
      <c r="BF47">
        <f>Constants!$B$48</f>
        <v>0.24</v>
      </c>
      <c r="BG47">
        <f>Constants!$B$49</f>
        <v>0.6784</v>
      </c>
      <c r="BH47">
        <f t="shared" si="69"/>
        <v>0</v>
      </c>
      <c r="BI47">
        <f t="shared" si="70"/>
        <v>0</v>
      </c>
      <c r="BJ47">
        <f t="shared" si="71"/>
        <v>0</v>
      </c>
      <c r="BK47">
        <f t="shared" si="72"/>
        <v>0</v>
      </c>
      <c r="BL47">
        <f t="shared" si="73"/>
        <v>3.9212752018360315E-3</v>
      </c>
      <c r="BM47" t="str">
        <f>IF(ISNUMBER(FIND("PreWeaned",Y47)),_xlfn.XLOOKUP(Y47,Constants!$J$2:$J$3,Constants!$K$2:$K$3), "")</f>
        <v/>
      </c>
      <c r="BN47">
        <f t="shared" si="74"/>
        <v>286.25308973403031</v>
      </c>
    </row>
    <row r="48" spans="1:67" x14ac:dyDescent="0.2">
      <c r="A48" t="str">
        <f>'Input Scenarios'!A48</f>
        <v>ACT</v>
      </c>
      <c r="B48">
        <f>'Input Scenarios'!B48</f>
        <v>0</v>
      </c>
      <c r="C48" t="str">
        <f>'Input Scenarios'!C48</f>
        <v>Non-irrigated crop (low rainfall)</v>
      </c>
      <c r="D48" t="str">
        <f>'Input Scenarios'!D48</f>
        <v>wet</v>
      </c>
      <c r="E48" t="b">
        <f>'Input Scenarios'!E48</f>
        <v>1</v>
      </c>
      <c r="F48" t="str">
        <f>'Input Scenarios'!F48</f>
        <v>Limited feedpad</v>
      </c>
      <c r="G48">
        <f>IF('Input Scenarios'!G48&lt;&gt;"", 'Input Scenarios'!G48, _xlfn.XLOOKUP($F48, Constants!$M$6:$M$9,Constants!N$6:N$9))</f>
        <v>0.79</v>
      </c>
      <c r="H48">
        <f>IF('Input Scenarios'!H48&lt;&gt;"", 'Input Scenarios'!H48, _xlfn.XLOOKUP($F48, Constants!$M$6:$M$9,Constants!O$6:O$9))</f>
        <v>0.11</v>
      </c>
      <c r="I48">
        <f>IF('Input Scenarios'!I48&lt;&gt;"", 'Input Scenarios'!I48, _xlfn.XLOOKUP($F48, Constants!$M$6:$M$9,Constants!P$6:P$9))</f>
        <v>0.1</v>
      </c>
      <c r="J48">
        <f>'Input Scenarios'!J48</f>
        <v>0</v>
      </c>
      <c r="K48">
        <f>'Input Scenarios'!K48</f>
        <v>0</v>
      </c>
      <c r="L48">
        <f>'Input Scenarios'!L48</f>
        <v>1</v>
      </c>
      <c r="M48">
        <f>'Input Scenarios'!M48</f>
        <v>0</v>
      </c>
      <c r="N48">
        <f>'Input Scenarios'!N48</f>
        <v>1</v>
      </c>
      <c r="O48">
        <f>'Input Scenarios'!O48</f>
        <v>0</v>
      </c>
      <c r="P48">
        <f>'Input Scenarios'!P48</f>
        <v>0</v>
      </c>
      <c r="Q48">
        <f>'Input Scenarios'!Q48</f>
        <v>0</v>
      </c>
      <c r="R48" t="b">
        <f>'Input Scenarios'!R48</f>
        <v>1</v>
      </c>
      <c r="S48">
        <f>IF('Input Scenarios'!S48&lt;&gt;"", 'Input Scenarios'!S48, IF(R48, Constants!$B$38, 0))</f>
        <v>0.2</v>
      </c>
      <c r="T48" t="str">
        <f>IF('Input Scenarios'!T48&lt;&gt;"", 'Input Scenarios'!T48, "")</f>
        <v/>
      </c>
      <c r="U48">
        <f>IF('Input Scenarios'!U48&lt;&gt;"", 'Input Scenarios'!U48, IF(W48&lt;&gt;"", "", Constants!$B$39))</f>
        <v>4</v>
      </c>
      <c r="V48">
        <f>IF('Input Scenarios'!V48&lt;&gt;"", 'Input Scenarios'!V48, IF(W48&lt;&gt;"", "", Constants!$B$40))</f>
        <v>3.3</v>
      </c>
      <c r="W48" t="str">
        <f>IF('Input Scenarios'!W48&lt;&gt;"", 'Input Scenarios'!W48, "")</f>
        <v/>
      </c>
      <c r="X48" t="str">
        <f>'Input Scenarios'!X48</f>
        <v>Jersey crossbred</v>
      </c>
      <c r="Y48" t="str">
        <f>'Input Scenarios'!Y48</f>
        <v>bullsLt1PreWeaned</v>
      </c>
      <c r="Z48">
        <f>'Input Scenarios'!Z48</f>
        <v>200</v>
      </c>
      <c r="AA48">
        <f>IF('Input Scenarios'!AA48&lt;&gt;"", 'Input Scenarios'!AA48, _xlfn.XLOOKUP(Y48,Constants!$J$6:$J$12,Constants!$K$6:$K$12))</f>
        <v>84</v>
      </c>
      <c r="AB48">
        <f>IF('Input Scenarios'!AB48&lt;&gt;"", 'Input Scenarios'!AB48, INDEX(Constants!$B$2:$H$11, MATCH(X48, Constants!$A$2:$A$11, 0), MATCH(Y48,Constants!$B$1:$H$1, 0)))</f>
        <v>225</v>
      </c>
      <c r="AC48" t="str">
        <f>IF('Input Scenarios'!AC48&lt;&gt;"", 'Input Scenarios'!AC48, _xlfn.XLOOKUP(Y48, Constants!$B$13:$H$13, Constants!$B$15:$H$15, ""))</f>
        <v/>
      </c>
      <c r="AD48">
        <f>IF('Input Scenarios'!AD48&lt;&gt;"", 'Input Scenarios'!AD48, Constants!$B$45)</f>
        <v>0.75</v>
      </c>
      <c r="AE48">
        <f>IF('Input Scenarios'!AE48&lt;&gt;"", 'Input Scenarios'!AE48, Constants!$B$46)</f>
        <v>0.2</v>
      </c>
      <c r="AF48">
        <f t="shared" si="75"/>
        <v>0</v>
      </c>
      <c r="AG48">
        <f t="shared" si="79"/>
        <v>0</v>
      </c>
      <c r="AH48">
        <f t="shared" si="80"/>
        <v>0</v>
      </c>
      <c r="AI48">
        <f t="shared" si="81"/>
        <v>0</v>
      </c>
      <c r="AJ48">
        <f t="shared" si="76"/>
        <v>1</v>
      </c>
      <c r="AK48">
        <f t="shared" si="78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60"/>
        <v>0.5948500000000001</v>
      </c>
      <c r="AQ48">
        <f t="shared" si="61"/>
        <v>0</v>
      </c>
      <c r="AR48">
        <f>IF(Y48="milkingCows", Constants!$P$2, Constants!$P$3)</f>
        <v>1</v>
      </c>
      <c r="AS48" s="18" t="str">
        <f t="shared" si="62"/>
        <v/>
      </c>
      <c r="AT48">
        <f>Constants!$B$47</f>
        <v>0.08</v>
      </c>
      <c r="AU48" t="str">
        <f t="shared" si="63"/>
        <v/>
      </c>
      <c r="AV48">
        <f t="shared" si="64"/>
        <v>0</v>
      </c>
      <c r="AW48">
        <f t="shared" si="65"/>
        <v>0</v>
      </c>
      <c r="AX48">
        <f t="shared" si="66"/>
        <v>0</v>
      </c>
      <c r="AY48">
        <f t="shared" si="67"/>
        <v>0</v>
      </c>
      <c r="AZ48">
        <f t="shared" si="68"/>
        <v>1</v>
      </c>
      <c r="BA48">
        <f>_xlfn.XLOOKUP($A48, Constants!$E$18:$L$18,Constants!$E$19:$L$19)</f>
        <v>0.72</v>
      </c>
      <c r="BB48">
        <f>_xlfn.XLOOKUP($A48, Constants!$E$18:$L$18,Constants!$E$20:$L$20)</f>
        <v>5.0000000000000001E-3</v>
      </c>
      <c r="BC48">
        <f>_xlfn.XLOOKUP($A48, Constants!$E$18:$L$18,Constants!$E$21:$L$21)</f>
        <v>0.15</v>
      </c>
      <c r="BD48">
        <f>_xlfn.XLOOKUP($A48, Constants!$E$18:$L$18,Constants!$E$22:$L$22)</f>
        <v>0.02</v>
      </c>
      <c r="BE48">
        <f>_xlfn.XLOOKUP($A48, Constants!$E$18:$L$18,Constants!$E$23:$L$23)</f>
        <v>0.01</v>
      </c>
      <c r="BF48">
        <f>Constants!$B$48</f>
        <v>0.24</v>
      </c>
      <c r="BG48">
        <f>Constants!$B$49</f>
        <v>0.6784</v>
      </c>
      <c r="BH48" t="str">
        <f t="shared" si="69"/>
        <v/>
      </c>
      <c r="BI48" t="str">
        <f t="shared" si="70"/>
        <v/>
      </c>
      <c r="BJ48" t="str">
        <f t="shared" si="71"/>
        <v/>
      </c>
      <c r="BK48" t="str">
        <f t="shared" si="72"/>
        <v/>
      </c>
      <c r="BL48" t="str">
        <f t="shared" si="73"/>
        <v/>
      </c>
      <c r="BM48">
        <f>IF(ISNUMBER(FIND("PreWeaned",Y48)),_xlfn.XLOOKUP(Y48,Constants!$J$2:$J$3,Constants!$K$2:$K$3), "")</f>
        <v>2.0400000000000001E-2</v>
      </c>
      <c r="BN48">
        <f t="shared" si="74"/>
        <v>342.72</v>
      </c>
    </row>
    <row r="49" spans="1:67" s="16" customFormat="1" x14ac:dyDescent="0.2">
      <c r="A49" s="16" t="str">
        <f>'Input Scenarios'!A49</f>
        <v>ACT</v>
      </c>
      <c r="B49" s="16">
        <f>'Input Scenarios'!B49</f>
        <v>0</v>
      </c>
      <c r="C49" s="16" t="str">
        <f>'Input Scenarios'!C49</f>
        <v>Non-irrigated crop (low rainfall)</v>
      </c>
      <c r="D49" s="16" t="str">
        <f>'Input Scenarios'!D49</f>
        <v>wet</v>
      </c>
      <c r="E49" s="16" t="b">
        <f>'Input Scenarios'!E49</f>
        <v>1</v>
      </c>
      <c r="F49" s="16" t="str">
        <f>'Input Scenarios'!F49</f>
        <v>Limited feedpad</v>
      </c>
      <c r="G49" s="16">
        <f>IF('Input Scenarios'!G49&lt;&gt;"", 'Input Scenarios'!G49, _xlfn.XLOOKUP($F49, Constants!$M$6:$M$9,Constants!N$6:N$9))</f>
        <v>0.79</v>
      </c>
      <c r="H49" s="16">
        <f>IF('Input Scenarios'!H49&lt;&gt;"", 'Input Scenarios'!H49, _xlfn.XLOOKUP($F49, Constants!$M$6:$M$9,Constants!O$6:O$9))</f>
        <v>0.11</v>
      </c>
      <c r="I49" s="16">
        <f>IF('Input Scenarios'!I49&lt;&gt;"", 'Input Scenarios'!I49, _xlfn.XLOOKUP($F49, Constants!$M$6:$M$9,Constants!P$6:P$9))</f>
        <v>0.1</v>
      </c>
      <c r="J49" s="16">
        <f>'Input Scenarios'!J49</f>
        <v>0</v>
      </c>
      <c r="K49" s="16">
        <f>'Input Scenarios'!K49</f>
        <v>0</v>
      </c>
      <c r="L49" s="16">
        <f>'Input Scenarios'!L49</f>
        <v>1</v>
      </c>
      <c r="M49" s="16">
        <f>'Input Scenarios'!M49</f>
        <v>0</v>
      </c>
      <c r="N49" s="16">
        <f>'Input Scenarios'!N49</f>
        <v>1</v>
      </c>
      <c r="O49" s="16">
        <f>'Input Scenarios'!O49</f>
        <v>0</v>
      </c>
      <c r="P49" s="16">
        <f>'Input Scenarios'!P49</f>
        <v>0</v>
      </c>
      <c r="Q49" s="16">
        <f>'Input Scenarios'!Q49</f>
        <v>0</v>
      </c>
      <c r="R49" s="16" t="b">
        <f>'Input Scenarios'!R49</f>
        <v>1</v>
      </c>
      <c r="S49" s="16">
        <f>IF('Input Scenarios'!S49&lt;&gt;"", 'Input Scenarios'!S49, IF(R49, Constants!$B$38, 0))</f>
        <v>0.2</v>
      </c>
      <c r="T49" s="16" t="str">
        <f>IF('Input Scenarios'!T49&lt;&gt;"", 'Input Scenarios'!T49, "")</f>
        <v/>
      </c>
      <c r="U49" s="16">
        <f>IF('Input Scenarios'!U49&lt;&gt;"", 'Input Scenarios'!U49, IF(W49&lt;&gt;"", "", Constants!$B$39))</f>
        <v>4</v>
      </c>
      <c r="V49" s="16">
        <f>IF('Input Scenarios'!V49&lt;&gt;"", 'Input Scenarios'!V49, IF(W49&lt;&gt;"", "", Constants!$B$40))</f>
        <v>3.3</v>
      </c>
      <c r="W49" s="16" t="str">
        <f>IF('Input Scenarios'!W49&lt;&gt;"", 'Input Scenarios'!W49, "")</f>
        <v/>
      </c>
      <c r="X49" s="16" t="str">
        <f>'Input Scenarios'!X49</f>
        <v>Jersey crossbred</v>
      </c>
      <c r="Y49" s="16" t="str">
        <f>'Input Scenarios'!Y49</f>
        <v>bullsLt1Weaned</v>
      </c>
      <c r="Z49" s="16">
        <f>'Input Scenarios'!Z49</f>
        <v>200</v>
      </c>
      <c r="AA49" s="16">
        <f>IF('Input Scenarios'!AA49&lt;&gt;"", 'Input Scenarios'!AA49, _xlfn.XLOOKUP(Y49,Constants!$J$6:$J$12,Constants!$K$6:$K$12))</f>
        <v>281</v>
      </c>
      <c r="AB49" s="16">
        <f>IF('Input Scenarios'!AB49&lt;&gt;"", 'Input Scenarios'!AB49, INDEX(Constants!$B$2:$H$11, MATCH(X49, Constants!$A$2:$A$11, 0), MATCH(Y49,Constants!$B$1:$H$1, 0)))</f>
        <v>225</v>
      </c>
      <c r="AC49" s="16">
        <f>IF('Input Scenarios'!AC49&lt;&gt;"", 'Input Scenarios'!AC49, _xlfn.XLOOKUP(Y49, Constants!$B$13:$H$13, Constants!$B$15:$H$15, ""))</f>
        <v>0.8</v>
      </c>
      <c r="AD49" s="16">
        <f>IF('Input Scenarios'!AD49&lt;&gt;"", 'Input Scenarios'!AD49, Constants!$B$45)</f>
        <v>0.75</v>
      </c>
      <c r="AE49" s="16">
        <f>IF('Input Scenarios'!AE49&lt;&gt;"", 'Input Scenarios'!AE49, Constants!$B$46)</f>
        <v>0.2</v>
      </c>
      <c r="AF49" s="16">
        <f t="shared" si="75"/>
        <v>0</v>
      </c>
      <c r="AG49" s="16">
        <f t="shared" si="79"/>
        <v>0</v>
      </c>
      <c r="AH49" s="16">
        <f t="shared" si="80"/>
        <v>0</v>
      </c>
      <c r="AI49" s="16">
        <f t="shared" si="81"/>
        <v>0</v>
      </c>
      <c r="AJ49" s="16">
        <f t="shared" si="76"/>
        <v>1</v>
      </c>
      <c r="AK49" s="16">
        <f t="shared" si="78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60"/>
        <v>0.5948500000000001</v>
      </c>
      <c r="AQ49" s="16">
        <f t="shared" si="61"/>
        <v>0</v>
      </c>
      <c r="AR49" s="16">
        <f>IF(Y49="milkingCows", Constants!$P$2, Constants!$P$3)</f>
        <v>1</v>
      </c>
      <c r="AS49" s="19">
        <f t="shared" si="62"/>
        <v>5.4143472656250013</v>
      </c>
      <c r="AT49" s="16">
        <f>Constants!$B$47</f>
        <v>0.08</v>
      </c>
      <c r="AU49" s="16">
        <f t="shared" si="63"/>
        <v>1.4445478504687506</v>
      </c>
      <c r="AV49" s="16">
        <f t="shared" si="64"/>
        <v>0</v>
      </c>
      <c r="AW49" s="16">
        <f t="shared" si="65"/>
        <v>0</v>
      </c>
      <c r="AX49" s="16">
        <f t="shared" si="66"/>
        <v>0</v>
      </c>
      <c r="AY49" s="16">
        <f t="shared" si="67"/>
        <v>0</v>
      </c>
      <c r="AZ49" s="16">
        <f t="shared" si="68"/>
        <v>1</v>
      </c>
      <c r="BA49" s="16">
        <f>_xlfn.XLOOKUP($A49, Constants!$E$18:$L$18,Constants!$E$19:$L$19)</f>
        <v>0.72</v>
      </c>
      <c r="BB49" s="16">
        <f>_xlfn.XLOOKUP($A49, Constants!$E$18:$L$18,Constants!$E$20:$L$20)</f>
        <v>5.0000000000000001E-3</v>
      </c>
      <c r="BC49" s="16">
        <f>_xlfn.XLOOKUP($A49, Constants!$E$18:$L$18,Constants!$E$21:$L$21)</f>
        <v>0.15</v>
      </c>
      <c r="BD49" s="16">
        <f>_xlfn.XLOOKUP($A49, Constants!$E$18:$L$18,Constants!$E$22:$L$22)</f>
        <v>0.02</v>
      </c>
      <c r="BE49" s="16">
        <f>_xlfn.XLOOKUP($A49, Constants!$E$18:$L$18,Constants!$E$23:$L$23)</f>
        <v>0.01</v>
      </c>
      <c r="BF49" s="16">
        <f>Constants!$B$48</f>
        <v>0.24</v>
      </c>
      <c r="BG49" s="16">
        <f>Constants!$B$49</f>
        <v>0.6784</v>
      </c>
      <c r="BH49" s="16">
        <f t="shared" si="69"/>
        <v>0</v>
      </c>
      <c r="BI49" s="16">
        <f t="shared" si="70"/>
        <v>0</v>
      </c>
      <c r="BJ49" s="16">
        <f t="shared" si="71"/>
        <v>0</v>
      </c>
      <c r="BK49" s="16">
        <f t="shared" si="72"/>
        <v>0</v>
      </c>
      <c r="BL49" s="16">
        <f t="shared" si="73"/>
        <v>2.351955028219201E-3</v>
      </c>
      <c r="BM49" s="16" t="str">
        <f>IF(ISNUMBER(FIND("PreWeaned",Y49)),_xlfn.XLOOKUP(Y49,Constants!$J$2:$J$3,Constants!$K$2:$K$3), "")</f>
        <v/>
      </c>
      <c r="BN49" s="16">
        <f t="shared" si="74"/>
        <v>132.1798725859191</v>
      </c>
    </row>
    <row r="50" spans="1:67" x14ac:dyDescent="0.2">
      <c r="A50" t="str">
        <f>'Input Scenarios'!A50</f>
        <v>WA</v>
      </c>
      <c r="B50">
        <f>'Input Scenarios'!B50</f>
        <v>0</v>
      </c>
      <c r="C50" t="str">
        <f>'Input Scenarios'!C50</f>
        <v>Irrigated pasture</v>
      </c>
      <c r="D50" t="str">
        <f>'Input Scenarios'!D50</f>
        <v>dry</v>
      </c>
      <c r="E50" t="b">
        <f>'Input Scenarios'!E50</f>
        <v>0</v>
      </c>
      <c r="F50" t="str">
        <f>'Input Scenarios'!F50</f>
        <v>Grazed only</v>
      </c>
      <c r="G50">
        <f>IF('Input Scenarios'!G50&lt;&gt;"", 'Input Scenarios'!G50, _xlfn.XLOOKUP($F50, Constants!$M$6:$M$9,Constants!N$6:N$9))</f>
        <v>0.89</v>
      </c>
      <c r="H50">
        <f>IF('Input Scenarios'!H50&lt;&gt;"", 'Input Scenarios'!H50, _xlfn.XLOOKUP($F50, Constants!$M$6:$M$9,Constants!O$6:O$9))</f>
        <v>0.11</v>
      </c>
      <c r="I50">
        <f>IF('Input Scenarios'!I50&lt;&gt;"", 'Input Scenarios'!I50, _xlfn.XLOOKUP($F50, Constants!$M$6:$M$9,Constants!P$6:P$9))</f>
        <v>0</v>
      </c>
      <c r="J50">
        <f>'Input Scenarios'!J50</f>
        <v>0</v>
      </c>
      <c r="K50">
        <f>'Input Scenarios'!K50</f>
        <v>0.5</v>
      </c>
      <c r="L50">
        <f>'Input Scenarios'!L50</f>
        <v>0.5</v>
      </c>
      <c r="M50">
        <f>'Input Scenarios'!M50</f>
        <v>0</v>
      </c>
      <c r="N50">
        <f>'Input Scenarios'!N50</f>
        <v>0.5</v>
      </c>
      <c r="O50">
        <f>'Input Scenarios'!O50</f>
        <v>0</v>
      </c>
      <c r="P50">
        <f>'Input Scenarios'!P50</f>
        <v>0</v>
      </c>
      <c r="Q50">
        <f>'Input Scenarios'!Q50</f>
        <v>0.5</v>
      </c>
      <c r="R50" t="b">
        <f>'Input Scenarios'!R50</f>
        <v>0</v>
      </c>
      <c r="S50">
        <f>IF('Input Scenarios'!S50&lt;&gt;"", 'Input Scenarios'!S50, IF(R50, Constants!$B$38, 0))</f>
        <v>0</v>
      </c>
      <c r="T50">
        <f>IF('Input Scenarios'!T50&lt;&gt;"", 'Input Scenarios'!T50, "")</f>
        <v>2.5</v>
      </c>
      <c r="U50">
        <f>IF('Input Scenarios'!U50&lt;&gt;"", 'Input Scenarios'!U50, IF(W50&lt;&gt;"", "", Constants!$B$39))</f>
        <v>4</v>
      </c>
      <c r="V50">
        <f>IF('Input Scenarios'!V50&lt;&gt;"", 'Input Scenarios'!V50, IF(W50&lt;&gt;"", "", Constants!$B$40))</f>
        <v>3.3</v>
      </c>
      <c r="W50" t="str">
        <f>IF('Input Scenarios'!W50&lt;&gt;"", 'Input Scenarios'!W50, "")</f>
        <v/>
      </c>
      <c r="X50" t="str">
        <f>'Input Scenarios'!X50</f>
        <v>Ayrshire</v>
      </c>
      <c r="Y50" t="str">
        <f>'Input Scenarios'!Y50</f>
        <v>milkingCows</v>
      </c>
      <c r="Z50">
        <f>'Input Scenarios'!Z50</f>
        <v>200</v>
      </c>
      <c r="AA50">
        <f>IF('Input Scenarios'!AA50&lt;&gt;"", 'Input Scenarios'!AA50, _xlfn.XLOOKUP(Y50,Constants!$J$6:$J$12,Constants!$K$6:$K$12))</f>
        <v>365</v>
      </c>
      <c r="AB50">
        <f>IF('Input Scenarios'!AB50&lt;&gt;"", 'Input Scenarios'!AB50, INDEX(Constants!$B$2:$H$11, MATCH(X50, Constants!$A$2:$A$11, 0), MATCH(Y50,Constants!$B$1:$H$1, 0)))</f>
        <v>540</v>
      </c>
      <c r="AC50">
        <f>IF('Input Scenarios'!AC50&lt;&gt;"", 'Input Scenarios'!AC50, _xlfn.XLOOKUP(Y50, Constants!$B$13:$H$13, Constants!$B$15:$H$15, ""))</f>
        <v>1.6E-2</v>
      </c>
      <c r="AD50">
        <f>IF('Input Scenarios'!AD50&lt;&gt;"", 'Input Scenarios'!AD50, Constants!$B$45)</f>
        <v>0.75</v>
      </c>
      <c r="AE50">
        <f>IF('Input Scenarios'!AE50&lt;&gt;"", 'Input Scenarios'!AE50, Constants!$B$46)</f>
        <v>0.2</v>
      </c>
      <c r="AF50" s="20">
        <f t="shared" si="75"/>
        <v>0</v>
      </c>
      <c r="AG50" s="20">
        <f t="shared" si="79"/>
        <v>5.5E-2</v>
      </c>
      <c r="AH50" s="20">
        <f t="shared" si="80"/>
        <v>5.5E-2</v>
      </c>
      <c r="AI50" s="20">
        <f t="shared" si="81"/>
        <v>0</v>
      </c>
      <c r="AJ50" s="20">
        <f t="shared" si="76"/>
        <v>0.89</v>
      </c>
      <c r="AK50">
        <f t="shared" si="78"/>
        <v>34.246575342465754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60"/>
        <v>0.5948500000000001</v>
      </c>
      <c r="AQ50">
        <f t="shared" si="61"/>
        <v>16.403890691108206</v>
      </c>
      <c r="AR50">
        <f>IF(Y50="milkingCows", Constants!$P$2, Constants!$P$3)</f>
        <v>1.1000000000000001</v>
      </c>
      <c r="AS50" s="18">
        <f t="shared" si="62"/>
        <v>25.549793292548209</v>
      </c>
      <c r="AT50">
        <f>Constants!$B$47</f>
        <v>0.08</v>
      </c>
      <c r="AU50">
        <f t="shared" si="63"/>
        <v>6.8166848504518622</v>
      </c>
      <c r="AV50">
        <f t="shared" si="64"/>
        <v>0</v>
      </c>
      <c r="AW50">
        <f t="shared" si="65"/>
        <v>5.5E-2</v>
      </c>
      <c r="AX50">
        <f t="shared" si="66"/>
        <v>5.5E-2</v>
      </c>
      <c r="AY50">
        <f t="shared" si="67"/>
        <v>0</v>
      </c>
      <c r="AZ50">
        <f t="shared" si="68"/>
        <v>0.89</v>
      </c>
      <c r="BA50">
        <f>_xlfn.XLOOKUP($A50, Constants!$E$18:$L$18,Constants!$E$19:$L$19)</f>
        <v>0.76</v>
      </c>
      <c r="BB50">
        <f>_xlfn.XLOOKUP($A50, Constants!$E$18:$L$18,Constants!$E$20:$L$20)</f>
        <v>5.0000000000000001E-3</v>
      </c>
      <c r="BC50">
        <f>_xlfn.XLOOKUP($A50, Constants!$E$18:$L$18,Constants!$E$21:$L$21)</f>
        <v>0.18</v>
      </c>
      <c r="BD50">
        <f>_xlfn.XLOOKUP($A50, Constants!$E$18:$L$18,Constants!$E$22:$L$22)</f>
        <v>0.02</v>
      </c>
      <c r="BE50">
        <f>_xlfn.XLOOKUP($A50, Constants!$E$18:$L$18,Constants!$E$23:$L$23)</f>
        <v>0.01</v>
      </c>
      <c r="BF50">
        <f>Constants!$B$48</f>
        <v>0.24</v>
      </c>
      <c r="BG50">
        <f>Constants!$B$49</f>
        <v>0.6784</v>
      </c>
      <c r="BH50">
        <f t="shared" si="69"/>
        <v>0</v>
      </c>
      <c r="BI50">
        <f t="shared" si="70"/>
        <v>3.0521297416807186E-4</v>
      </c>
      <c r="BJ50">
        <f t="shared" si="71"/>
        <v>1.0987667070050588E-2</v>
      </c>
      <c r="BK50">
        <f t="shared" si="72"/>
        <v>0</v>
      </c>
      <c r="BL50">
        <f t="shared" si="73"/>
        <v>9.8778017094394172E-3</v>
      </c>
      <c r="BM50" t="str">
        <f>IF(ISNUMBER(FIND("PreWeaned",Y50)),_xlfn.XLOOKUP(Y50,Constants!$J$2:$J$3,Constants!$K$2:$K$3), "")</f>
        <v/>
      </c>
      <c r="BN50">
        <f t="shared" si="74"/>
        <v>1545.4597680170396</v>
      </c>
      <c r="BO50">
        <f>SUM(BN50:BN56)/1000</f>
        <v>2.9317207333552187</v>
      </c>
    </row>
    <row r="51" spans="1:67" x14ac:dyDescent="0.2">
      <c r="A51" t="str">
        <f>'Input Scenarios'!A51</f>
        <v>WA</v>
      </c>
      <c r="B51">
        <f>'Input Scenarios'!B51</f>
        <v>0</v>
      </c>
      <c r="C51" t="str">
        <f>'Input Scenarios'!C51</f>
        <v>Irrigated pasture</v>
      </c>
      <c r="D51" t="str">
        <f>'Input Scenarios'!D51</f>
        <v>dry</v>
      </c>
      <c r="E51" t="b">
        <f>'Input Scenarios'!E51</f>
        <v>0</v>
      </c>
      <c r="F51" t="str">
        <f>'Input Scenarios'!F51</f>
        <v>Grazed only</v>
      </c>
      <c r="G51">
        <f>IF('Input Scenarios'!G51&lt;&gt;"", 'Input Scenarios'!G51, _xlfn.XLOOKUP($F51, Constants!$M$6:$M$9,Constants!N$6:N$9))</f>
        <v>0.89</v>
      </c>
      <c r="H51">
        <f>IF('Input Scenarios'!H51&lt;&gt;"", 'Input Scenarios'!H51, _xlfn.XLOOKUP($F51, Constants!$M$6:$M$9,Constants!O$6:O$9))</f>
        <v>0.11</v>
      </c>
      <c r="I51">
        <f>IF('Input Scenarios'!I51&lt;&gt;"", 'Input Scenarios'!I51, _xlfn.XLOOKUP($F51, Constants!$M$6:$M$9,Constants!P$6:P$9))</f>
        <v>0</v>
      </c>
      <c r="J51">
        <f>'Input Scenarios'!J51</f>
        <v>0</v>
      </c>
      <c r="K51">
        <f>'Input Scenarios'!K51</f>
        <v>0.5</v>
      </c>
      <c r="L51">
        <f>'Input Scenarios'!L51</f>
        <v>0.5</v>
      </c>
      <c r="M51">
        <f>'Input Scenarios'!M51</f>
        <v>0</v>
      </c>
      <c r="N51">
        <f>'Input Scenarios'!N51</f>
        <v>0.5</v>
      </c>
      <c r="O51">
        <f>'Input Scenarios'!O51</f>
        <v>0</v>
      </c>
      <c r="P51">
        <f>'Input Scenarios'!P51</f>
        <v>0</v>
      </c>
      <c r="Q51">
        <f>'Input Scenarios'!Q51</f>
        <v>0.5</v>
      </c>
      <c r="R51" t="b">
        <f>'Input Scenarios'!R51</f>
        <v>0</v>
      </c>
      <c r="S51">
        <f>IF('Input Scenarios'!S51&lt;&gt;"", 'Input Scenarios'!S51, IF(R51, Constants!$B$38, 0))</f>
        <v>0</v>
      </c>
      <c r="T51" t="str">
        <f>IF('Input Scenarios'!T51&lt;&gt;"", 'Input Scenarios'!T51, "")</f>
        <v/>
      </c>
      <c r="U51">
        <f>IF('Input Scenarios'!U51&lt;&gt;"", 'Input Scenarios'!U51, IF(W51&lt;&gt;"", "", Constants!$B$39))</f>
        <v>4</v>
      </c>
      <c r="V51">
        <f>IF('Input Scenarios'!V51&lt;&gt;"", 'Input Scenarios'!V51, IF(W51&lt;&gt;"", "", Constants!$B$40))</f>
        <v>3.3</v>
      </c>
      <c r="W51" t="str">
        <f>IF('Input Scenarios'!W51&lt;&gt;"", 'Input Scenarios'!W51, "")</f>
        <v/>
      </c>
      <c r="X51" t="str">
        <f>'Input Scenarios'!X51</f>
        <v>Ayrshire</v>
      </c>
      <c r="Y51" t="str">
        <f>'Input Scenarios'!Y51</f>
        <v>heifersGt1</v>
      </c>
      <c r="Z51">
        <f>'Input Scenarios'!Z51</f>
        <v>200</v>
      </c>
      <c r="AA51">
        <f>IF('Input Scenarios'!AA51&lt;&gt;"", 'Input Scenarios'!AA51, _xlfn.XLOOKUP(Y51,Constants!$J$6:$J$12,Constants!$K$6:$K$12))</f>
        <v>365</v>
      </c>
      <c r="AB51">
        <f>IF('Input Scenarios'!AB51&lt;&gt;"", 'Input Scenarios'!AB51, INDEX(Constants!$B$2:$H$11, MATCH(X51, Constants!$A$2:$A$11, 0), MATCH(Y51,Constants!$B$1:$H$1, 0)))</f>
        <v>375</v>
      </c>
      <c r="AC51">
        <f>IF('Input Scenarios'!AC51&lt;&gt;"", 'Input Scenarios'!AC51, _xlfn.XLOOKUP(Y51, Constants!$B$13:$H$13, Constants!$B$15:$H$15, ""))</f>
        <v>0.6</v>
      </c>
      <c r="AD51">
        <f>IF('Input Scenarios'!AD51&lt;&gt;"", 'Input Scenarios'!AD51, Constants!$B$45)</f>
        <v>0.75</v>
      </c>
      <c r="AE51">
        <f>IF('Input Scenarios'!AE51&lt;&gt;"", 'Input Scenarios'!AE51, Constants!$B$46)</f>
        <v>0.2</v>
      </c>
      <c r="AF51">
        <f t="shared" si="75"/>
        <v>0</v>
      </c>
      <c r="AG51">
        <f t="shared" si="79"/>
        <v>0</v>
      </c>
      <c r="AH51">
        <f t="shared" si="80"/>
        <v>0</v>
      </c>
      <c r="AI51">
        <f t="shared" si="81"/>
        <v>0</v>
      </c>
      <c r="AJ51">
        <f t="shared" si="76"/>
        <v>1</v>
      </c>
      <c r="AK51">
        <f t="shared" si="78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60"/>
        <v>0.5948500000000001</v>
      </c>
      <c r="AQ51">
        <f t="shared" si="61"/>
        <v>0</v>
      </c>
      <c r="AR51">
        <f>IF(Y51="milkingCows", Constants!$P$2, Constants!$P$3)</f>
        <v>1</v>
      </c>
      <c r="AS51" s="18">
        <f t="shared" si="62"/>
        <v>7.3488432656250007</v>
      </c>
      <c r="AT51">
        <f>Constants!$B$47</f>
        <v>0.08</v>
      </c>
      <c r="AU51">
        <f t="shared" si="63"/>
        <v>1.9606713832687501</v>
      </c>
      <c r="AV51">
        <f t="shared" si="64"/>
        <v>0</v>
      </c>
      <c r="AW51">
        <f t="shared" si="65"/>
        <v>0</v>
      </c>
      <c r="AX51">
        <f t="shared" si="66"/>
        <v>0</v>
      </c>
      <c r="AY51">
        <f t="shared" si="67"/>
        <v>0</v>
      </c>
      <c r="AZ51">
        <f t="shared" si="68"/>
        <v>1</v>
      </c>
      <c r="BA51">
        <f>_xlfn.XLOOKUP($A51, Constants!$E$18:$L$18,Constants!$E$19:$L$19)</f>
        <v>0.76</v>
      </c>
      <c r="BB51">
        <f>_xlfn.XLOOKUP($A51, Constants!$E$18:$L$18,Constants!$E$20:$L$20)</f>
        <v>5.0000000000000001E-3</v>
      </c>
      <c r="BC51">
        <f>_xlfn.XLOOKUP($A51, Constants!$E$18:$L$18,Constants!$E$21:$L$21)</f>
        <v>0.18</v>
      </c>
      <c r="BD51">
        <f>_xlfn.XLOOKUP($A51, Constants!$E$18:$L$18,Constants!$E$22:$L$22)</f>
        <v>0.02</v>
      </c>
      <c r="BE51">
        <f>_xlfn.XLOOKUP($A51, Constants!$E$18:$L$18,Constants!$E$23:$L$23)</f>
        <v>0.01</v>
      </c>
      <c r="BF51">
        <f>Constants!$B$48</f>
        <v>0.24</v>
      </c>
      <c r="BG51">
        <f>Constants!$B$49</f>
        <v>0.6784</v>
      </c>
      <c r="BH51">
        <f t="shared" si="69"/>
        <v>0</v>
      </c>
      <c r="BI51">
        <f t="shared" si="70"/>
        <v>0</v>
      </c>
      <c r="BJ51">
        <f t="shared" si="71"/>
        <v>0</v>
      </c>
      <c r="BK51">
        <f t="shared" si="72"/>
        <v>0</v>
      </c>
      <c r="BL51">
        <f t="shared" si="73"/>
        <v>3.1922867193828479E-3</v>
      </c>
      <c r="BM51" t="str">
        <f>IF(ISNUMBER(FIND("PreWeaned",Y51)),_xlfn.XLOOKUP(Y51,Constants!$J$2:$J$3,Constants!$K$2:$K$3), "")</f>
        <v/>
      </c>
      <c r="BN51">
        <f t="shared" si="74"/>
        <v>233.0369305149479</v>
      </c>
    </row>
    <row r="52" spans="1:67" x14ac:dyDescent="0.2">
      <c r="A52" t="str">
        <f>'Input Scenarios'!A52</f>
        <v>WA</v>
      </c>
      <c r="B52">
        <f>'Input Scenarios'!B52</f>
        <v>0</v>
      </c>
      <c r="C52" t="str">
        <f>'Input Scenarios'!C52</f>
        <v>Irrigated pasture</v>
      </c>
      <c r="D52" t="str">
        <f>'Input Scenarios'!D52</f>
        <v>dry</v>
      </c>
      <c r="E52" t="b">
        <f>'Input Scenarios'!E52</f>
        <v>0</v>
      </c>
      <c r="F52" t="str">
        <f>'Input Scenarios'!F52</f>
        <v>Grazed only</v>
      </c>
      <c r="G52">
        <f>IF('Input Scenarios'!G52&lt;&gt;"", 'Input Scenarios'!G52, _xlfn.XLOOKUP($F52, Constants!$M$6:$M$9,Constants!N$6:N$9))</f>
        <v>0.89</v>
      </c>
      <c r="H52">
        <f>IF('Input Scenarios'!H52&lt;&gt;"", 'Input Scenarios'!H52, _xlfn.XLOOKUP($F52, Constants!$M$6:$M$9,Constants!O$6:O$9))</f>
        <v>0.11</v>
      </c>
      <c r="I52">
        <f>IF('Input Scenarios'!I52&lt;&gt;"", 'Input Scenarios'!I52, _xlfn.XLOOKUP($F52, Constants!$M$6:$M$9,Constants!P$6:P$9))</f>
        <v>0</v>
      </c>
      <c r="J52">
        <f>'Input Scenarios'!J52</f>
        <v>0</v>
      </c>
      <c r="K52">
        <f>'Input Scenarios'!K52</f>
        <v>0.5</v>
      </c>
      <c r="L52">
        <f>'Input Scenarios'!L52</f>
        <v>0.5</v>
      </c>
      <c r="M52">
        <f>'Input Scenarios'!M52</f>
        <v>0</v>
      </c>
      <c r="N52">
        <f>'Input Scenarios'!N52</f>
        <v>0.5</v>
      </c>
      <c r="O52">
        <f>'Input Scenarios'!O52</f>
        <v>0</v>
      </c>
      <c r="P52">
        <f>'Input Scenarios'!P52</f>
        <v>0</v>
      </c>
      <c r="Q52">
        <f>'Input Scenarios'!Q52</f>
        <v>0.5</v>
      </c>
      <c r="R52" t="b">
        <f>'Input Scenarios'!R52</f>
        <v>0</v>
      </c>
      <c r="S52">
        <f>IF('Input Scenarios'!S52&lt;&gt;"", 'Input Scenarios'!S52, IF(R52, Constants!$B$38, 0))</f>
        <v>0</v>
      </c>
      <c r="T52" t="str">
        <f>IF('Input Scenarios'!T52&lt;&gt;"", 'Input Scenarios'!T52, "")</f>
        <v/>
      </c>
      <c r="U52">
        <f>IF('Input Scenarios'!U52&lt;&gt;"", 'Input Scenarios'!U52, IF(W52&lt;&gt;"", "", Constants!$B$39))</f>
        <v>4</v>
      </c>
      <c r="V52">
        <f>IF('Input Scenarios'!V52&lt;&gt;"", 'Input Scenarios'!V52, IF(W52&lt;&gt;"", "", Constants!$B$40))</f>
        <v>3.3</v>
      </c>
      <c r="W52" t="str">
        <f>IF('Input Scenarios'!W52&lt;&gt;"", 'Input Scenarios'!W52, "")</f>
        <v/>
      </c>
      <c r="X52" t="str">
        <f>'Input Scenarios'!X52</f>
        <v>Ayrshire</v>
      </c>
      <c r="Y52" t="str">
        <f>'Input Scenarios'!Y52</f>
        <v>heifersLt1PreWeaned</v>
      </c>
      <c r="Z52">
        <f>'Input Scenarios'!Z52</f>
        <v>200</v>
      </c>
      <c r="AA52">
        <f>IF('Input Scenarios'!AA52&lt;&gt;"", 'Input Scenarios'!AA52, _xlfn.XLOOKUP(Y52,Constants!$J$6:$J$12,Constants!$K$6:$K$12))</f>
        <v>84</v>
      </c>
      <c r="AB52">
        <f>IF('Input Scenarios'!AB52&lt;&gt;"", 'Input Scenarios'!AB52, INDEX(Constants!$B$2:$H$11, MATCH(X52, Constants!$A$2:$A$11, 0), MATCH(Y52,Constants!$B$1:$H$1, 0)))</f>
        <v>150</v>
      </c>
      <c r="AC52" t="str">
        <f>IF('Input Scenarios'!AC52&lt;&gt;"", 'Input Scenarios'!AC52, _xlfn.XLOOKUP(Y52, Constants!$B$13:$H$13, Constants!$B$15:$H$15, ""))</f>
        <v/>
      </c>
      <c r="AD52">
        <f>IF('Input Scenarios'!AD52&lt;&gt;"", 'Input Scenarios'!AD52, Constants!$B$45)</f>
        <v>0.75</v>
      </c>
      <c r="AE52">
        <f>IF('Input Scenarios'!AE52&lt;&gt;"", 'Input Scenarios'!AE52, Constants!$B$46)</f>
        <v>0.2</v>
      </c>
      <c r="AF52">
        <f t="shared" si="75"/>
        <v>0</v>
      </c>
      <c r="AG52">
        <f t="shared" si="79"/>
        <v>0</v>
      </c>
      <c r="AH52">
        <f t="shared" si="80"/>
        <v>0</v>
      </c>
      <c r="AI52">
        <f t="shared" si="81"/>
        <v>0</v>
      </c>
      <c r="AJ52">
        <f t="shared" si="76"/>
        <v>1</v>
      </c>
      <c r="AK52">
        <f t="shared" si="78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60"/>
        <v>0.5948500000000001</v>
      </c>
      <c r="AQ52">
        <f t="shared" si="61"/>
        <v>0</v>
      </c>
      <c r="AR52">
        <f>IF(Y52="milkingCows", Constants!$P$2, Constants!$P$3)</f>
        <v>1</v>
      </c>
      <c r="AS52" s="18" t="str">
        <f t="shared" si="62"/>
        <v/>
      </c>
      <c r="AT52">
        <f>Constants!$B$47</f>
        <v>0.08</v>
      </c>
      <c r="AU52" t="str">
        <f t="shared" si="63"/>
        <v/>
      </c>
      <c r="AV52">
        <f t="shared" si="64"/>
        <v>0</v>
      </c>
      <c r="AW52">
        <f t="shared" si="65"/>
        <v>0</v>
      </c>
      <c r="AX52">
        <f t="shared" si="66"/>
        <v>0</v>
      </c>
      <c r="AY52">
        <f t="shared" si="67"/>
        <v>0</v>
      </c>
      <c r="AZ52">
        <f t="shared" si="68"/>
        <v>1</v>
      </c>
      <c r="BA52">
        <f>_xlfn.XLOOKUP($A52, Constants!$E$18:$L$18,Constants!$E$19:$L$19)</f>
        <v>0.76</v>
      </c>
      <c r="BB52">
        <f>_xlfn.XLOOKUP($A52, Constants!$E$18:$L$18,Constants!$E$20:$L$20)</f>
        <v>5.0000000000000001E-3</v>
      </c>
      <c r="BC52">
        <f>_xlfn.XLOOKUP($A52, Constants!$E$18:$L$18,Constants!$E$21:$L$21)</f>
        <v>0.18</v>
      </c>
      <c r="BD52">
        <f>_xlfn.XLOOKUP($A52, Constants!$E$18:$L$18,Constants!$E$22:$L$22)</f>
        <v>0.02</v>
      </c>
      <c r="BE52">
        <f>_xlfn.XLOOKUP($A52, Constants!$E$18:$L$18,Constants!$E$23:$L$23)</f>
        <v>0.01</v>
      </c>
      <c r="BF52">
        <f>Constants!$B$48</f>
        <v>0.24</v>
      </c>
      <c r="BG52">
        <f>Constants!$B$49</f>
        <v>0.6784</v>
      </c>
      <c r="BH52" t="str">
        <f t="shared" si="69"/>
        <v/>
      </c>
      <c r="BI52" t="str">
        <f t="shared" si="70"/>
        <v/>
      </c>
      <c r="BJ52" t="str">
        <f t="shared" si="71"/>
        <v/>
      </c>
      <c r="BK52" t="str">
        <f t="shared" si="72"/>
        <v/>
      </c>
      <c r="BL52" t="str">
        <f t="shared" si="73"/>
        <v/>
      </c>
      <c r="BM52">
        <f>IF(ISNUMBER(FIND("PreWeaned",Y52)),_xlfn.XLOOKUP(Y52,Constants!$J$2:$J$3,Constants!$K$2:$K$3), "")</f>
        <v>1.7600000000000001E-2</v>
      </c>
      <c r="BN52">
        <f t="shared" si="74"/>
        <v>295.68</v>
      </c>
    </row>
    <row r="53" spans="1:67" x14ac:dyDescent="0.2">
      <c r="A53" t="str">
        <f>'Input Scenarios'!A53</f>
        <v>WA</v>
      </c>
      <c r="B53">
        <f>'Input Scenarios'!B53</f>
        <v>0</v>
      </c>
      <c r="C53" t="str">
        <f>'Input Scenarios'!C53</f>
        <v>Irrigated pasture</v>
      </c>
      <c r="D53" t="str">
        <f>'Input Scenarios'!D53</f>
        <v>dry</v>
      </c>
      <c r="E53" t="b">
        <f>'Input Scenarios'!E53</f>
        <v>0</v>
      </c>
      <c r="F53" t="str">
        <f>'Input Scenarios'!F53</f>
        <v>Grazed only</v>
      </c>
      <c r="G53">
        <f>IF('Input Scenarios'!G53&lt;&gt;"", 'Input Scenarios'!G53, _xlfn.XLOOKUP($F53, Constants!$M$6:$M$9,Constants!N$6:N$9))</f>
        <v>0.89</v>
      </c>
      <c r="H53">
        <f>IF('Input Scenarios'!H53&lt;&gt;"", 'Input Scenarios'!H53, _xlfn.XLOOKUP($F53, Constants!$M$6:$M$9,Constants!O$6:O$9))</f>
        <v>0.11</v>
      </c>
      <c r="I53">
        <f>IF('Input Scenarios'!I53&lt;&gt;"", 'Input Scenarios'!I53, _xlfn.XLOOKUP($F53, Constants!$M$6:$M$9,Constants!P$6:P$9))</f>
        <v>0</v>
      </c>
      <c r="J53">
        <f>'Input Scenarios'!J53</f>
        <v>0</v>
      </c>
      <c r="K53">
        <f>'Input Scenarios'!K53</f>
        <v>0.5</v>
      </c>
      <c r="L53">
        <f>'Input Scenarios'!L53</f>
        <v>0.5</v>
      </c>
      <c r="M53">
        <f>'Input Scenarios'!M53</f>
        <v>0</v>
      </c>
      <c r="N53">
        <f>'Input Scenarios'!N53</f>
        <v>0.5</v>
      </c>
      <c r="O53">
        <f>'Input Scenarios'!O53</f>
        <v>0</v>
      </c>
      <c r="P53">
        <f>'Input Scenarios'!P53</f>
        <v>0</v>
      </c>
      <c r="Q53">
        <f>'Input Scenarios'!Q53</f>
        <v>0.5</v>
      </c>
      <c r="R53" t="b">
        <f>'Input Scenarios'!R53</f>
        <v>0</v>
      </c>
      <c r="S53">
        <f>IF('Input Scenarios'!S53&lt;&gt;"", 'Input Scenarios'!S53, IF(R53, Constants!$B$38, 0))</f>
        <v>0</v>
      </c>
      <c r="T53" t="str">
        <f>IF('Input Scenarios'!T53&lt;&gt;"", 'Input Scenarios'!T53, "")</f>
        <v/>
      </c>
      <c r="U53">
        <f>IF('Input Scenarios'!U53&lt;&gt;"", 'Input Scenarios'!U53, IF(W53&lt;&gt;"", "", Constants!$B$39))</f>
        <v>4</v>
      </c>
      <c r="V53">
        <f>IF('Input Scenarios'!V53&lt;&gt;"", 'Input Scenarios'!V53, IF(W53&lt;&gt;"", "", Constants!$B$40))</f>
        <v>3.3</v>
      </c>
      <c r="W53" t="str">
        <f>IF('Input Scenarios'!W53&lt;&gt;"", 'Input Scenarios'!W53, "")</f>
        <v/>
      </c>
      <c r="X53" t="str">
        <f>'Input Scenarios'!X53</f>
        <v>Ayrshire</v>
      </c>
      <c r="Y53" t="str">
        <f>'Input Scenarios'!Y53</f>
        <v>heifersLt1Weaned</v>
      </c>
      <c r="Z53">
        <f>'Input Scenarios'!Z53</f>
        <v>200</v>
      </c>
      <c r="AA53">
        <f>IF('Input Scenarios'!AA53&lt;&gt;"", 'Input Scenarios'!AA53, _xlfn.XLOOKUP(Y53,Constants!$J$6:$J$12,Constants!$K$6:$K$12))</f>
        <v>281</v>
      </c>
      <c r="AB53">
        <f>IF('Input Scenarios'!AB53&lt;&gt;"", 'Input Scenarios'!AB53, INDEX(Constants!$B$2:$H$11, MATCH(X53, Constants!$A$2:$A$11, 0), MATCH(Y53,Constants!$B$1:$H$1, 0)))</f>
        <v>150</v>
      </c>
      <c r="AC53">
        <f>IF('Input Scenarios'!AC53&lt;&gt;"", 'Input Scenarios'!AC53, _xlfn.XLOOKUP(Y53, Constants!$B$13:$H$13, Constants!$B$15:$H$15, ""))</f>
        <v>0.56999999999999995</v>
      </c>
      <c r="AD53">
        <f>IF('Input Scenarios'!AD53&lt;&gt;"", 'Input Scenarios'!AD53, Constants!$B$45)</f>
        <v>0.75</v>
      </c>
      <c r="AE53">
        <f>IF('Input Scenarios'!AE53&lt;&gt;"", 'Input Scenarios'!AE53, Constants!$B$46)</f>
        <v>0.2</v>
      </c>
      <c r="AF53">
        <f t="shared" si="75"/>
        <v>0</v>
      </c>
      <c r="AG53">
        <f t="shared" si="79"/>
        <v>0</v>
      </c>
      <c r="AH53">
        <f t="shared" si="80"/>
        <v>0</v>
      </c>
      <c r="AI53">
        <f t="shared" si="81"/>
        <v>0</v>
      </c>
      <c r="AJ53">
        <f t="shared" si="76"/>
        <v>1</v>
      </c>
      <c r="AK53">
        <f t="shared" si="78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60"/>
        <v>0.5948500000000001</v>
      </c>
      <c r="AQ53">
        <f t="shared" si="61"/>
        <v>0</v>
      </c>
      <c r="AR53">
        <f>IF(Y53="milkingCows", Constants!$P$2, Constants!$P$3)</f>
        <v>1</v>
      </c>
      <c r="AS53" s="18">
        <f t="shared" si="62"/>
        <v>3.9483677025000001</v>
      </c>
      <c r="AT53">
        <f>Constants!$B$47</f>
        <v>0.08</v>
      </c>
      <c r="AU53">
        <f t="shared" si="63"/>
        <v>1.0534245030270002</v>
      </c>
      <c r="AV53">
        <f t="shared" si="64"/>
        <v>0</v>
      </c>
      <c r="AW53">
        <f t="shared" si="65"/>
        <v>0</v>
      </c>
      <c r="AX53">
        <f t="shared" si="66"/>
        <v>0</v>
      </c>
      <c r="AY53">
        <f t="shared" si="67"/>
        <v>0</v>
      </c>
      <c r="AZ53">
        <f t="shared" si="68"/>
        <v>1</v>
      </c>
      <c r="BA53">
        <f>_xlfn.XLOOKUP($A53, Constants!$E$18:$L$18,Constants!$E$19:$L$19)</f>
        <v>0.76</v>
      </c>
      <c r="BB53">
        <f>_xlfn.XLOOKUP($A53, Constants!$E$18:$L$18,Constants!$E$20:$L$20)</f>
        <v>5.0000000000000001E-3</v>
      </c>
      <c r="BC53">
        <f>_xlfn.XLOOKUP($A53, Constants!$E$18:$L$18,Constants!$E$21:$L$21)</f>
        <v>0.18</v>
      </c>
      <c r="BD53">
        <f>_xlfn.XLOOKUP($A53, Constants!$E$18:$L$18,Constants!$E$22:$L$22)</f>
        <v>0.02</v>
      </c>
      <c r="BE53">
        <f>_xlfn.XLOOKUP($A53, Constants!$E$18:$L$18,Constants!$E$23:$L$23)</f>
        <v>0.01</v>
      </c>
      <c r="BF53">
        <f>Constants!$B$48</f>
        <v>0.24</v>
      </c>
      <c r="BG53">
        <f>Constants!$B$49</f>
        <v>0.6784</v>
      </c>
      <c r="BH53">
        <f t="shared" si="69"/>
        <v>0</v>
      </c>
      <c r="BI53">
        <f t="shared" si="70"/>
        <v>0</v>
      </c>
      <c r="BJ53">
        <f t="shared" si="71"/>
        <v>0</v>
      </c>
      <c r="BK53">
        <f t="shared" si="72"/>
        <v>0</v>
      </c>
      <c r="BL53">
        <f t="shared" si="73"/>
        <v>1.7151436388484406E-3</v>
      </c>
      <c r="BM53" t="str">
        <f>IF(ISNUMBER(FIND("PreWeaned",Y53)),_xlfn.XLOOKUP(Y53,Constants!$J$2:$J$3,Constants!$K$2:$K$3), "")</f>
        <v/>
      </c>
      <c r="BN53">
        <f t="shared" si="74"/>
        <v>96.391072503282359</v>
      </c>
    </row>
    <row r="54" spans="1:67" x14ac:dyDescent="0.2">
      <c r="A54" t="str">
        <f>'Input Scenarios'!A54</f>
        <v>WA</v>
      </c>
      <c r="B54">
        <f>'Input Scenarios'!B54</f>
        <v>0</v>
      </c>
      <c r="C54" t="str">
        <f>'Input Scenarios'!C54</f>
        <v>Irrigated pasture</v>
      </c>
      <c r="D54" t="str">
        <f>'Input Scenarios'!D54</f>
        <v>dry</v>
      </c>
      <c r="E54" t="b">
        <f>'Input Scenarios'!E54</f>
        <v>0</v>
      </c>
      <c r="F54" t="str">
        <f>'Input Scenarios'!F54</f>
        <v>Grazed only</v>
      </c>
      <c r="G54">
        <f>IF('Input Scenarios'!G54&lt;&gt;"", 'Input Scenarios'!G54, _xlfn.XLOOKUP($F54, Constants!$M$6:$M$9,Constants!N$6:N$9))</f>
        <v>0.89</v>
      </c>
      <c r="H54">
        <f>IF('Input Scenarios'!H54&lt;&gt;"", 'Input Scenarios'!H54, _xlfn.XLOOKUP($F54, Constants!$M$6:$M$9,Constants!O$6:O$9))</f>
        <v>0.11</v>
      </c>
      <c r="I54">
        <f>IF('Input Scenarios'!I54&lt;&gt;"", 'Input Scenarios'!I54, _xlfn.XLOOKUP($F54, Constants!$M$6:$M$9,Constants!P$6:P$9))</f>
        <v>0</v>
      </c>
      <c r="J54">
        <f>'Input Scenarios'!J54</f>
        <v>0</v>
      </c>
      <c r="K54">
        <f>'Input Scenarios'!K54</f>
        <v>0.5</v>
      </c>
      <c r="L54">
        <f>'Input Scenarios'!L54</f>
        <v>0.5</v>
      </c>
      <c r="M54">
        <f>'Input Scenarios'!M54</f>
        <v>0</v>
      </c>
      <c r="N54">
        <f>'Input Scenarios'!N54</f>
        <v>0.5</v>
      </c>
      <c r="O54">
        <f>'Input Scenarios'!O54</f>
        <v>0</v>
      </c>
      <c r="P54">
        <f>'Input Scenarios'!P54</f>
        <v>0</v>
      </c>
      <c r="Q54">
        <f>'Input Scenarios'!Q54</f>
        <v>0.5</v>
      </c>
      <c r="R54" t="b">
        <f>'Input Scenarios'!R54</f>
        <v>0</v>
      </c>
      <c r="S54">
        <f>IF('Input Scenarios'!S54&lt;&gt;"", 'Input Scenarios'!S54, IF(R54, Constants!$B$38, 0))</f>
        <v>0</v>
      </c>
      <c r="T54" t="str">
        <f>IF('Input Scenarios'!T54&lt;&gt;"", 'Input Scenarios'!T54, "")</f>
        <v/>
      </c>
      <c r="U54">
        <f>IF('Input Scenarios'!U54&lt;&gt;"", 'Input Scenarios'!U54, IF(W54&lt;&gt;"", "", Constants!$B$39))</f>
        <v>4</v>
      </c>
      <c r="V54">
        <f>IF('Input Scenarios'!V54&lt;&gt;"", 'Input Scenarios'!V54, IF(W54&lt;&gt;"", "", Constants!$B$40))</f>
        <v>3.3</v>
      </c>
      <c r="W54" t="str">
        <f>IF('Input Scenarios'!W54&lt;&gt;"", 'Input Scenarios'!W54, "")</f>
        <v/>
      </c>
      <c r="X54" t="str">
        <f>'Input Scenarios'!X54</f>
        <v>Ayrshire</v>
      </c>
      <c r="Y54" t="str">
        <f>'Input Scenarios'!Y54</f>
        <v>bullsGt1</v>
      </c>
      <c r="Z54">
        <f>'Input Scenarios'!Z54</f>
        <v>200</v>
      </c>
      <c r="AA54">
        <f>IF('Input Scenarios'!AA54&lt;&gt;"", 'Input Scenarios'!AA54, _xlfn.XLOOKUP(Y54,Constants!$J$6:$J$12,Constants!$K$6:$K$12))</f>
        <v>365</v>
      </c>
      <c r="AB54">
        <f>IF('Input Scenarios'!AB54&lt;&gt;"", 'Input Scenarios'!AB54, INDEX(Constants!$B$2:$H$11, MATCH(X54, Constants!$A$2:$A$11, 0), MATCH(Y54,Constants!$B$1:$H$1, 0)))</f>
        <v>600</v>
      </c>
      <c r="AC54">
        <f>IF('Input Scenarios'!AC54&lt;&gt;"", 'Input Scenarios'!AC54, _xlfn.XLOOKUP(Y54, Constants!$B$13:$H$13, Constants!$B$15:$H$15, ""))</f>
        <v>0.1</v>
      </c>
      <c r="AD54">
        <f>IF('Input Scenarios'!AD54&lt;&gt;"", 'Input Scenarios'!AD54, Constants!$B$45)</f>
        <v>0.75</v>
      </c>
      <c r="AE54">
        <f>IF('Input Scenarios'!AE54&lt;&gt;"", 'Input Scenarios'!AE54, Constants!$B$46)</f>
        <v>0.2</v>
      </c>
      <c r="AF54">
        <f t="shared" si="75"/>
        <v>0</v>
      </c>
      <c r="AG54">
        <f t="shared" si="79"/>
        <v>0</v>
      </c>
      <c r="AH54">
        <f t="shared" si="80"/>
        <v>0</v>
      </c>
      <c r="AI54">
        <f t="shared" si="81"/>
        <v>0</v>
      </c>
      <c r="AJ54">
        <f t="shared" si="76"/>
        <v>1</v>
      </c>
      <c r="AK54">
        <f t="shared" si="78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60"/>
        <v>0.5948500000000001</v>
      </c>
      <c r="AQ54">
        <f t="shared" si="61"/>
        <v>0</v>
      </c>
      <c r="AR54">
        <f>IF(Y54="milkingCows", Constants!$P$2, Constants!$P$3)</f>
        <v>1</v>
      </c>
      <c r="AS54" s="18">
        <f t="shared" si="62"/>
        <v>9.0270202499999979</v>
      </c>
      <c r="AT54">
        <f>Constants!$B$47</f>
        <v>0.08</v>
      </c>
      <c r="AU54">
        <f t="shared" si="63"/>
        <v>2.4084090026999996</v>
      </c>
      <c r="AV54">
        <f t="shared" si="64"/>
        <v>0</v>
      </c>
      <c r="AW54">
        <f t="shared" si="65"/>
        <v>0</v>
      </c>
      <c r="AX54">
        <f t="shared" si="66"/>
        <v>0</v>
      </c>
      <c r="AY54">
        <f t="shared" si="67"/>
        <v>0</v>
      </c>
      <c r="AZ54">
        <f t="shared" si="68"/>
        <v>1</v>
      </c>
      <c r="BA54">
        <f>_xlfn.XLOOKUP($A54, Constants!$E$18:$L$18,Constants!$E$19:$L$19)</f>
        <v>0.76</v>
      </c>
      <c r="BB54">
        <f>_xlfn.XLOOKUP($A54, Constants!$E$18:$L$18,Constants!$E$20:$L$20)</f>
        <v>5.0000000000000001E-3</v>
      </c>
      <c r="BC54">
        <f>_xlfn.XLOOKUP($A54, Constants!$E$18:$L$18,Constants!$E$21:$L$21)</f>
        <v>0.18</v>
      </c>
      <c r="BD54">
        <f>_xlfn.XLOOKUP($A54, Constants!$E$18:$L$18,Constants!$E$22:$L$22)</f>
        <v>0.02</v>
      </c>
      <c r="BE54">
        <f>_xlfn.XLOOKUP($A54, Constants!$E$18:$L$18,Constants!$E$23:$L$23)</f>
        <v>0.01</v>
      </c>
      <c r="BF54">
        <f>Constants!$B$48</f>
        <v>0.24</v>
      </c>
      <c r="BG54">
        <f>Constants!$B$49</f>
        <v>0.6784</v>
      </c>
      <c r="BH54">
        <f t="shared" si="69"/>
        <v>0</v>
      </c>
      <c r="BI54">
        <f t="shared" si="70"/>
        <v>0</v>
      </c>
      <c r="BJ54">
        <f t="shared" si="71"/>
        <v>0</v>
      </c>
      <c r="BK54">
        <f t="shared" si="72"/>
        <v>0</v>
      </c>
      <c r="BL54">
        <f t="shared" si="73"/>
        <v>3.9212752018360315E-3</v>
      </c>
      <c r="BM54" t="str">
        <f>IF(ISNUMBER(FIND("PreWeaned",Y54)),_xlfn.XLOOKUP(Y54,Constants!$J$2:$J$3,Constants!$K$2:$K$3), "")</f>
        <v/>
      </c>
      <c r="BN54">
        <f t="shared" si="74"/>
        <v>286.25308973403031</v>
      </c>
    </row>
    <row r="55" spans="1:67" x14ac:dyDescent="0.2">
      <c r="A55" t="str">
        <f>'Input Scenarios'!A55</f>
        <v>WA</v>
      </c>
      <c r="B55">
        <f>'Input Scenarios'!B55</f>
        <v>0</v>
      </c>
      <c r="C55" t="str">
        <f>'Input Scenarios'!C55</f>
        <v>Irrigated pasture</v>
      </c>
      <c r="D55" t="str">
        <f>'Input Scenarios'!D55</f>
        <v>dry</v>
      </c>
      <c r="E55" t="b">
        <f>'Input Scenarios'!E55</f>
        <v>0</v>
      </c>
      <c r="F55" t="str">
        <f>'Input Scenarios'!F55</f>
        <v>Grazed only</v>
      </c>
      <c r="G55">
        <f>IF('Input Scenarios'!G55&lt;&gt;"", 'Input Scenarios'!G55, _xlfn.XLOOKUP($F55, Constants!$M$6:$M$9,Constants!N$6:N$9))</f>
        <v>0.89</v>
      </c>
      <c r="H55">
        <f>IF('Input Scenarios'!H55&lt;&gt;"", 'Input Scenarios'!H55, _xlfn.XLOOKUP($F55, Constants!$M$6:$M$9,Constants!O$6:O$9))</f>
        <v>0.11</v>
      </c>
      <c r="I55">
        <f>IF('Input Scenarios'!I55&lt;&gt;"", 'Input Scenarios'!I55, _xlfn.XLOOKUP($F55, Constants!$M$6:$M$9,Constants!P$6:P$9))</f>
        <v>0</v>
      </c>
      <c r="J55">
        <f>'Input Scenarios'!J55</f>
        <v>0</v>
      </c>
      <c r="K55">
        <f>'Input Scenarios'!K55</f>
        <v>0.5</v>
      </c>
      <c r="L55">
        <f>'Input Scenarios'!L55</f>
        <v>0.5</v>
      </c>
      <c r="M55">
        <f>'Input Scenarios'!M55</f>
        <v>0</v>
      </c>
      <c r="N55">
        <f>'Input Scenarios'!N55</f>
        <v>0.5</v>
      </c>
      <c r="O55">
        <f>'Input Scenarios'!O55</f>
        <v>0</v>
      </c>
      <c r="P55">
        <f>'Input Scenarios'!P55</f>
        <v>0</v>
      </c>
      <c r="Q55">
        <f>'Input Scenarios'!Q55</f>
        <v>0.5</v>
      </c>
      <c r="R55" t="b">
        <f>'Input Scenarios'!R55</f>
        <v>0</v>
      </c>
      <c r="S55">
        <f>IF('Input Scenarios'!S55&lt;&gt;"", 'Input Scenarios'!S55, IF(R55, Constants!$B$38, 0))</f>
        <v>0</v>
      </c>
      <c r="T55" t="str">
        <f>IF('Input Scenarios'!T55&lt;&gt;"", 'Input Scenarios'!T55, "")</f>
        <v/>
      </c>
      <c r="U55">
        <f>IF('Input Scenarios'!U55&lt;&gt;"", 'Input Scenarios'!U55, IF(W55&lt;&gt;"", "", Constants!$B$39))</f>
        <v>4</v>
      </c>
      <c r="V55">
        <f>IF('Input Scenarios'!V55&lt;&gt;"", 'Input Scenarios'!V55, IF(W55&lt;&gt;"", "", Constants!$B$40))</f>
        <v>3.3</v>
      </c>
      <c r="W55" t="str">
        <f>IF('Input Scenarios'!W55&lt;&gt;"", 'Input Scenarios'!W55, "")</f>
        <v/>
      </c>
      <c r="X55" t="str">
        <f>'Input Scenarios'!X55</f>
        <v>Ayrshire</v>
      </c>
      <c r="Y55" t="str">
        <f>'Input Scenarios'!Y55</f>
        <v>bullsLt1PreWeaned</v>
      </c>
      <c r="Z55">
        <f>'Input Scenarios'!Z55</f>
        <v>200</v>
      </c>
      <c r="AA55">
        <f>IF('Input Scenarios'!AA55&lt;&gt;"", 'Input Scenarios'!AA55, _xlfn.XLOOKUP(Y55,Constants!$J$6:$J$12,Constants!$K$6:$K$12))</f>
        <v>84</v>
      </c>
      <c r="AB55">
        <f>IF('Input Scenarios'!AB55&lt;&gt;"", 'Input Scenarios'!AB55, INDEX(Constants!$B$2:$H$11, MATCH(X55, Constants!$A$2:$A$11, 0), MATCH(Y55,Constants!$B$1:$H$1, 0)))</f>
        <v>225</v>
      </c>
      <c r="AC55" t="str">
        <f>IF('Input Scenarios'!AC55&lt;&gt;"", 'Input Scenarios'!AC55, _xlfn.XLOOKUP(Y55, Constants!$B$13:$H$13, Constants!$B$15:$H$15, ""))</f>
        <v/>
      </c>
      <c r="AD55">
        <f>IF('Input Scenarios'!AD55&lt;&gt;"", 'Input Scenarios'!AD55, Constants!$B$45)</f>
        <v>0.75</v>
      </c>
      <c r="AE55">
        <f>IF('Input Scenarios'!AE55&lt;&gt;"", 'Input Scenarios'!AE55, Constants!$B$46)</f>
        <v>0.2</v>
      </c>
      <c r="AF55">
        <f t="shared" si="75"/>
        <v>0</v>
      </c>
      <c r="AG55">
        <f t="shared" si="79"/>
        <v>0</v>
      </c>
      <c r="AH55">
        <f t="shared" si="80"/>
        <v>0</v>
      </c>
      <c r="AI55">
        <f t="shared" si="81"/>
        <v>0</v>
      </c>
      <c r="AJ55">
        <f t="shared" si="76"/>
        <v>1</v>
      </c>
      <c r="AK55">
        <f t="shared" si="78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60"/>
        <v>0.5948500000000001</v>
      </c>
      <c r="AQ55">
        <f t="shared" si="61"/>
        <v>0</v>
      </c>
      <c r="AR55">
        <f>IF(Y55="milkingCows", Constants!$P$2, Constants!$P$3)</f>
        <v>1</v>
      </c>
      <c r="AS55" s="18" t="str">
        <f t="shared" si="62"/>
        <v/>
      </c>
      <c r="AT55">
        <f>Constants!$B$47</f>
        <v>0.08</v>
      </c>
      <c r="AU55" t="str">
        <f t="shared" si="63"/>
        <v/>
      </c>
      <c r="AV55">
        <f t="shared" si="64"/>
        <v>0</v>
      </c>
      <c r="AW55">
        <f t="shared" si="65"/>
        <v>0</v>
      </c>
      <c r="AX55">
        <f t="shared" si="66"/>
        <v>0</v>
      </c>
      <c r="AY55">
        <f t="shared" si="67"/>
        <v>0</v>
      </c>
      <c r="AZ55">
        <f t="shared" si="68"/>
        <v>1</v>
      </c>
      <c r="BA55">
        <f>_xlfn.XLOOKUP($A55, Constants!$E$18:$L$18,Constants!$E$19:$L$19)</f>
        <v>0.76</v>
      </c>
      <c r="BB55">
        <f>_xlfn.XLOOKUP($A55, Constants!$E$18:$L$18,Constants!$E$20:$L$20)</f>
        <v>5.0000000000000001E-3</v>
      </c>
      <c r="BC55">
        <f>_xlfn.XLOOKUP($A55, Constants!$E$18:$L$18,Constants!$E$21:$L$21)</f>
        <v>0.18</v>
      </c>
      <c r="BD55">
        <f>_xlfn.XLOOKUP($A55, Constants!$E$18:$L$18,Constants!$E$22:$L$22)</f>
        <v>0.02</v>
      </c>
      <c r="BE55">
        <f>_xlfn.XLOOKUP($A55, Constants!$E$18:$L$18,Constants!$E$23:$L$23)</f>
        <v>0.01</v>
      </c>
      <c r="BF55">
        <f>Constants!$B$48</f>
        <v>0.24</v>
      </c>
      <c r="BG55">
        <f>Constants!$B$49</f>
        <v>0.6784</v>
      </c>
      <c r="BH55" t="str">
        <f t="shared" si="69"/>
        <v/>
      </c>
      <c r="BI55" t="str">
        <f t="shared" si="70"/>
        <v/>
      </c>
      <c r="BJ55" t="str">
        <f t="shared" si="71"/>
        <v/>
      </c>
      <c r="BK55" t="str">
        <f t="shared" si="72"/>
        <v/>
      </c>
      <c r="BL55" t="str">
        <f t="shared" si="73"/>
        <v/>
      </c>
      <c r="BM55">
        <f>IF(ISNUMBER(FIND("PreWeaned",Y55)),_xlfn.XLOOKUP(Y55,Constants!$J$2:$J$3,Constants!$K$2:$K$3), "")</f>
        <v>2.0400000000000001E-2</v>
      </c>
      <c r="BN55">
        <f t="shared" si="74"/>
        <v>342.72</v>
      </c>
    </row>
    <row r="56" spans="1:67" s="16" customFormat="1" x14ac:dyDescent="0.2">
      <c r="A56" s="16" t="str">
        <f>'Input Scenarios'!A56</f>
        <v>WA</v>
      </c>
      <c r="B56" s="16">
        <f>'Input Scenarios'!B56</f>
        <v>0</v>
      </c>
      <c r="C56" s="16" t="str">
        <f>'Input Scenarios'!C56</f>
        <v>Irrigated pasture</v>
      </c>
      <c r="D56" s="16" t="str">
        <f>'Input Scenarios'!D56</f>
        <v>dry</v>
      </c>
      <c r="E56" s="16" t="b">
        <f>'Input Scenarios'!E56</f>
        <v>0</v>
      </c>
      <c r="F56" s="16" t="str">
        <f>'Input Scenarios'!F56</f>
        <v>Grazed only</v>
      </c>
      <c r="G56" s="16">
        <f>IF('Input Scenarios'!G56&lt;&gt;"", 'Input Scenarios'!G56, _xlfn.XLOOKUP($F56, Constants!$M$6:$M$9,Constants!N$6:N$9))</f>
        <v>0.89</v>
      </c>
      <c r="H56" s="16">
        <f>IF('Input Scenarios'!H56&lt;&gt;"", 'Input Scenarios'!H56, _xlfn.XLOOKUP($F56, Constants!$M$6:$M$9,Constants!O$6:O$9))</f>
        <v>0.11</v>
      </c>
      <c r="I56" s="16">
        <f>IF('Input Scenarios'!I56&lt;&gt;"", 'Input Scenarios'!I56, _xlfn.XLOOKUP($F56, Constants!$M$6:$M$9,Constants!P$6:P$9))</f>
        <v>0</v>
      </c>
      <c r="J56" s="16">
        <f>'Input Scenarios'!J56</f>
        <v>0</v>
      </c>
      <c r="K56" s="16">
        <f>'Input Scenarios'!K56</f>
        <v>0.5</v>
      </c>
      <c r="L56" s="16">
        <f>'Input Scenarios'!L56</f>
        <v>0.5</v>
      </c>
      <c r="M56" s="16">
        <f>'Input Scenarios'!M56</f>
        <v>0</v>
      </c>
      <c r="N56" s="16">
        <f>'Input Scenarios'!N56</f>
        <v>0.5</v>
      </c>
      <c r="O56" s="16">
        <f>'Input Scenarios'!O56</f>
        <v>0</v>
      </c>
      <c r="P56" s="16">
        <f>'Input Scenarios'!P56</f>
        <v>0</v>
      </c>
      <c r="Q56" s="16">
        <f>'Input Scenarios'!Q56</f>
        <v>0.5</v>
      </c>
      <c r="R56" s="16" t="b">
        <f>'Input Scenarios'!R56</f>
        <v>0</v>
      </c>
      <c r="S56" s="16">
        <f>IF('Input Scenarios'!S56&lt;&gt;"", 'Input Scenarios'!S56, IF(R56, Constants!$B$38, 0))</f>
        <v>0</v>
      </c>
      <c r="T56" s="16" t="str">
        <f>IF('Input Scenarios'!T56&lt;&gt;"", 'Input Scenarios'!T56, "")</f>
        <v/>
      </c>
      <c r="U56" s="16">
        <f>IF('Input Scenarios'!U56&lt;&gt;"", 'Input Scenarios'!U56, IF(W56&lt;&gt;"", "", Constants!$B$39))</f>
        <v>4</v>
      </c>
      <c r="V56" s="16">
        <f>IF('Input Scenarios'!V56&lt;&gt;"", 'Input Scenarios'!V56, IF(W56&lt;&gt;"", "", Constants!$B$40))</f>
        <v>3.3</v>
      </c>
      <c r="W56" s="16" t="str">
        <f>IF('Input Scenarios'!W56&lt;&gt;"", 'Input Scenarios'!W56, "")</f>
        <v/>
      </c>
      <c r="X56" s="16" t="str">
        <f>'Input Scenarios'!X56</f>
        <v>Ayrshire</v>
      </c>
      <c r="Y56" s="16" t="str">
        <f>'Input Scenarios'!Y56</f>
        <v>bullsLt1Weaned</v>
      </c>
      <c r="Z56" s="16">
        <f>'Input Scenarios'!Z56</f>
        <v>200</v>
      </c>
      <c r="AA56" s="16">
        <f>IF('Input Scenarios'!AA56&lt;&gt;"", 'Input Scenarios'!AA56, _xlfn.XLOOKUP(Y56,Constants!$J$6:$J$12,Constants!$K$6:$K$12))</f>
        <v>281</v>
      </c>
      <c r="AB56" s="16">
        <f>IF('Input Scenarios'!AB56&lt;&gt;"", 'Input Scenarios'!AB56, INDEX(Constants!$B$2:$H$11, MATCH(X56, Constants!$A$2:$A$11, 0), MATCH(Y56,Constants!$B$1:$H$1, 0)))</f>
        <v>225</v>
      </c>
      <c r="AC56" s="16">
        <f>IF('Input Scenarios'!AC56&lt;&gt;"", 'Input Scenarios'!AC56, _xlfn.XLOOKUP(Y56, Constants!$B$13:$H$13, Constants!$B$15:$H$15, ""))</f>
        <v>0.8</v>
      </c>
      <c r="AD56" s="16">
        <f>IF('Input Scenarios'!AD56&lt;&gt;"", 'Input Scenarios'!AD56, Constants!$B$45)</f>
        <v>0.75</v>
      </c>
      <c r="AE56" s="16">
        <f>IF('Input Scenarios'!AE56&lt;&gt;"", 'Input Scenarios'!AE56, Constants!$B$46)</f>
        <v>0.2</v>
      </c>
      <c r="AF56" s="16">
        <f t="shared" si="75"/>
        <v>0</v>
      </c>
      <c r="AG56" s="16">
        <f t="shared" si="79"/>
        <v>0</v>
      </c>
      <c r="AH56" s="16">
        <f t="shared" si="80"/>
        <v>0</v>
      </c>
      <c r="AI56" s="16">
        <f t="shared" si="81"/>
        <v>0</v>
      </c>
      <c r="AJ56" s="16">
        <f t="shared" si="76"/>
        <v>1</v>
      </c>
      <c r="AK56" s="16">
        <f t="shared" si="78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60"/>
        <v>0.5948500000000001</v>
      </c>
      <c r="AQ56" s="16">
        <f t="shared" si="61"/>
        <v>0</v>
      </c>
      <c r="AR56" s="16">
        <f>IF(Y56="milkingCows", Constants!$P$2, Constants!$P$3)</f>
        <v>1</v>
      </c>
      <c r="AS56" s="19">
        <f t="shared" si="62"/>
        <v>5.4143472656250013</v>
      </c>
      <c r="AT56" s="16">
        <f>Constants!$B$47</f>
        <v>0.08</v>
      </c>
      <c r="AU56" s="16">
        <f t="shared" si="63"/>
        <v>1.4445478504687506</v>
      </c>
      <c r="AV56" s="16">
        <f t="shared" si="64"/>
        <v>0</v>
      </c>
      <c r="AW56" s="16">
        <f t="shared" si="65"/>
        <v>0</v>
      </c>
      <c r="AX56" s="16">
        <f t="shared" si="66"/>
        <v>0</v>
      </c>
      <c r="AY56" s="16">
        <f t="shared" si="67"/>
        <v>0</v>
      </c>
      <c r="AZ56" s="16">
        <f t="shared" si="68"/>
        <v>1</v>
      </c>
      <c r="BA56" s="16">
        <f>_xlfn.XLOOKUP($A56, Constants!$E$18:$L$18,Constants!$E$19:$L$19)</f>
        <v>0.76</v>
      </c>
      <c r="BB56" s="16">
        <f>_xlfn.XLOOKUP($A56, Constants!$E$18:$L$18,Constants!$E$20:$L$20)</f>
        <v>5.0000000000000001E-3</v>
      </c>
      <c r="BC56" s="16">
        <f>_xlfn.XLOOKUP($A56, Constants!$E$18:$L$18,Constants!$E$21:$L$21)</f>
        <v>0.18</v>
      </c>
      <c r="BD56" s="16">
        <f>_xlfn.XLOOKUP($A56, Constants!$E$18:$L$18,Constants!$E$22:$L$22)</f>
        <v>0.02</v>
      </c>
      <c r="BE56" s="16">
        <f>_xlfn.XLOOKUP($A56, Constants!$E$18:$L$18,Constants!$E$23:$L$23)</f>
        <v>0.01</v>
      </c>
      <c r="BF56" s="16">
        <f>Constants!$B$48</f>
        <v>0.24</v>
      </c>
      <c r="BG56" s="16">
        <f>Constants!$B$49</f>
        <v>0.6784</v>
      </c>
      <c r="BH56" s="16">
        <f t="shared" si="69"/>
        <v>0</v>
      </c>
      <c r="BI56" s="16">
        <f t="shared" si="70"/>
        <v>0</v>
      </c>
      <c r="BJ56" s="16">
        <f t="shared" si="71"/>
        <v>0</v>
      </c>
      <c r="BK56" s="16">
        <f t="shared" si="72"/>
        <v>0</v>
      </c>
      <c r="BL56" s="16">
        <f t="shared" si="73"/>
        <v>2.351955028219201E-3</v>
      </c>
      <c r="BM56" s="16" t="str">
        <f>IF(ISNUMBER(FIND("PreWeaned",Y56)),_xlfn.XLOOKUP(Y56,Constants!$J$2:$J$3,Constants!$K$2:$K$3), "")</f>
        <v/>
      </c>
      <c r="BN56" s="16">
        <f t="shared" si="74"/>
        <v>132.1798725859191</v>
      </c>
    </row>
    <row r="57" spans="1:67" x14ac:dyDescent="0.2">
      <c r="A57" t="str">
        <f>'Input Scenarios'!A57</f>
        <v>SA</v>
      </c>
      <c r="B57">
        <f>'Input Scenarios'!B57</f>
        <v>0</v>
      </c>
      <c r="C57" t="str">
        <f>'Input Scenarios'!C57</f>
        <v>Irrigated crop</v>
      </c>
      <c r="D57" t="str">
        <f>'Input Scenarios'!D57</f>
        <v>dry</v>
      </c>
      <c r="E57" t="b">
        <f>'Input Scenarios'!E57</f>
        <v>1</v>
      </c>
      <c r="F57" t="str">
        <f>'Input Scenarios'!F57</f>
        <v>Zero grazing</v>
      </c>
      <c r="G57">
        <f>IF('Input Scenarios'!G57&lt;&gt;"", 'Input Scenarios'!G57, _xlfn.XLOOKUP($F57, Constants!$M$6:$M$9,Constants!N$6:N$9))</f>
        <v>0</v>
      </c>
      <c r="H57">
        <f>IF('Input Scenarios'!H57&lt;&gt;"", 'Input Scenarios'!H57, _xlfn.XLOOKUP($F57, Constants!$M$6:$M$9,Constants!O$6:O$9))</f>
        <v>0.11</v>
      </c>
      <c r="I57">
        <f>IF('Input Scenarios'!I57&lt;&gt;"", 'Input Scenarios'!I57, _xlfn.XLOOKUP($F57, Constants!$M$6:$M$9,Constants!P$6:P$9))</f>
        <v>0.89</v>
      </c>
      <c r="J57">
        <f>'Input Scenarios'!J57</f>
        <v>0.1</v>
      </c>
      <c r="K57">
        <f>'Input Scenarios'!K57</f>
        <v>0.2</v>
      </c>
      <c r="L57">
        <f>'Input Scenarios'!L57</f>
        <v>0.3</v>
      </c>
      <c r="M57">
        <f>'Input Scenarios'!M57</f>
        <v>0.4</v>
      </c>
      <c r="N57">
        <f>'Input Scenarios'!N57</f>
        <v>0.4</v>
      </c>
      <c r="O57">
        <f>'Input Scenarios'!O57</f>
        <v>0.3</v>
      </c>
      <c r="P57">
        <f>'Input Scenarios'!P57</f>
        <v>0.2</v>
      </c>
      <c r="Q57">
        <f>'Input Scenarios'!Q57</f>
        <v>0.1</v>
      </c>
      <c r="R57" t="b">
        <f>'Input Scenarios'!R57</f>
        <v>0</v>
      </c>
      <c r="S57">
        <f>IF('Input Scenarios'!S57&lt;&gt;"", 'Input Scenarios'!S57, IF(R57, Constants!$B$38, 0))</f>
        <v>0</v>
      </c>
      <c r="T57" t="str">
        <f>IF('Input Scenarios'!T57&lt;&gt;"", 'Input Scenarios'!T57, "")</f>
        <v/>
      </c>
      <c r="U57" t="str">
        <f>IF('Input Scenarios'!U57&lt;&gt;"", 'Input Scenarios'!U57, IF(W57&lt;&gt;"", "", Constants!$B$39))</f>
        <v/>
      </c>
      <c r="V57" t="str">
        <f>IF('Input Scenarios'!V57&lt;&gt;"", 'Input Scenarios'!V57, IF(W57&lt;&gt;"", "", Constants!$B$40))</f>
        <v/>
      </c>
      <c r="W57">
        <f>IF('Input Scenarios'!W57&lt;&gt;"", 'Input Scenarios'!W57, "")</f>
        <v>0.1</v>
      </c>
      <c r="X57" t="str">
        <f>'Input Scenarios'!X57</f>
        <v>Guernsey</v>
      </c>
      <c r="Y57" t="str">
        <f>'Input Scenarios'!Y57</f>
        <v>milkingCows</v>
      </c>
      <c r="Z57">
        <f>'Input Scenarios'!Z57</f>
        <v>200</v>
      </c>
      <c r="AA57">
        <f>IF('Input Scenarios'!AA57&lt;&gt;"", 'Input Scenarios'!AA57, _xlfn.XLOOKUP(Y57,Constants!$J$6:$J$12,Constants!$K$6:$K$12))</f>
        <v>365</v>
      </c>
      <c r="AB57">
        <f>IF('Input Scenarios'!AB57&lt;&gt;"", 'Input Scenarios'!AB57, INDEX(Constants!$B$2:$H$11, MATCH(X57, Constants!$A$2:$A$11, 0), MATCH(Y57,Constants!$B$1:$H$1, 0)))</f>
        <v>480</v>
      </c>
      <c r="AC57">
        <f>IF('Input Scenarios'!AC57&lt;&gt;"", 'Input Scenarios'!AC57, _xlfn.XLOOKUP(Y57, Constants!$B$13:$H$13, Constants!$B$15:$H$15, ""))</f>
        <v>1.6E-2</v>
      </c>
      <c r="AD57">
        <f>IF('Input Scenarios'!AD57&lt;&gt;"", 'Input Scenarios'!AD57, Constants!$B$45)</f>
        <v>0.75</v>
      </c>
      <c r="AE57">
        <f>IF('Input Scenarios'!AE57&lt;&gt;"", 'Input Scenarios'!AE57, Constants!$B$46)</f>
        <v>0.2</v>
      </c>
      <c r="AF57" s="20">
        <f>IF($Y57="milkingCows",($H57*J57)+($I57*N57), 0)</f>
        <v>0.36700000000000005</v>
      </c>
      <c r="AG57" s="20">
        <f t="shared" si="79"/>
        <v>0.28900000000000003</v>
      </c>
      <c r="AH57" s="20">
        <f t="shared" si="80"/>
        <v>0.21100000000000002</v>
      </c>
      <c r="AI57" s="20">
        <f t="shared" si="81"/>
        <v>0.13300000000000001</v>
      </c>
      <c r="AJ57" s="20">
        <f>IF($Y57="milkingCows",G57, 1)</f>
        <v>0</v>
      </c>
      <c r="AK57">
        <f t="shared" si="78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60"/>
        <v>0.5948500000000001</v>
      </c>
      <c r="AQ57">
        <f t="shared" si="61"/>
        <v>4.7899360818035967E-2</v>
      </c>
      <c r="AR57">
        <f>IF(Y57="milkingCows", Constants!$P$2, Constants!$P$3)</f>
        <v>1.1000000000000001</v>
      </c>
      <c r="AS57" s="18">
        <f t="shared" si="62"/>
        <v>8.4893082048180375</v>
      </c>
      <c r="AT57">
        <f>Constants!$B$47</f>
        <v>0.08</v>
      </c>
      <c r="AU57">
        <f t="shared" si="63"/>
        <v>2.2649474290454523</v>
      </c>
      <c r="AV57">
        <f t="shared" si="64"/>
        <v>0.36700000000000005</v>
      </c>
      <c r="AW57">
        <f t="shared" si="65"/>
        <v>0.28900000000000003</v>
      </c>
      <c r="AX57">
        <f t="shared" si="66"/>
        <v>0.21100000000000002</v>
      </c>
      <c r="AY57">
        <f t="shared" si="67"/>
        <v>0.13300000000000001</v>
      </c>
      <c r="AZ57">
        <f t="shared" si="68"/>
        <v>0</v>
      </c>
      <c r="BA57">
        <f>_xlfn.XLOOKUP($A57, Constants!$E$18:$L$18,Constants!$E$19:$L$19)</f>
        <v>0.74</v>
      </c>
      <c r="BB57">
        <f>_xlfn.XLOOKUP($A57, Constants!$E$18:$L$18,Constants!$E$20:$L$20)</f>
        <v>5.0000000000000001E-3</v>
      </c>
      <c r="BC57">
        <f>_xlfn.XLOOKUP($A57, Constants!$E$18:$L$18,Constants!$E$21:$L$21)</f>
        <v>0.17</v>
      </c>
      <c r="BD57">
        <f>_xlfn.XLOOKUP($A57, Constants!$E$18:$L$18,Constants!$E$22:$L$22)</f>
        <v>0.02</v>
      </c>
      <c r="BE57">
        <f>_xlfn.XLOOKUP($A57, Constants!$E$18:$L$18,Constants!$E$23:$L$23)</f>
        <v>0.01</v>
      </c>
      <c r="BF57">
        <f>Constants!$B$48</f>
        <v>0.24</v>
      </c>
      <c r="BG57">
        <f>Constants!$B$49</f>
        <v>0.6784</v>
      </c>
      <c r="BH57">
        <f t="shared" si="69"/>
        <v>0.10015046985937519</v>
      </c>
      <c r="BI57">
        <f t="shared" si="70"/>
        <v>5.328721884777861E-4</v>
      </c>
      <c r="BJ57">
        <f t="shared" si="71"/>
        <v>1.3227768443389748E-2</v>
      </c>
      <c r="BK57">
        <f t="shared" si="72"/>
        <v>9.8092735041585511E-4</v>
      </c>
      <c r="BL57">
        <f t="shared" si="73"/>
        <v>0</v>
      </c>
      <c r="BM57" t="str">
        <f>IF(ISNUMBER(FIND("PreWeaned",Y57)),_xlfn.XLOOKUP(Y57,Constants!$J$2:$J$3,Constants!$K$2:$K$3), "")</f>
        <v/>
      </c>
      <c r="BN57">
        <f t="shared" si="74"/>
        <v>8387.1187624410759</v>
      </c>
      <c r="BO57">
        <f>SUM(BN57:BN63)/1000</f>
        <v>9.7515828991628055</v>
      </c>
    </row>
    <row r="58" spans="1:67" x14ac:dyDescent="0.2">
      <c r="A58" t="str">
        <f>'Input Scenarios'!A58</f>
        <v>SA</v>
      </c>
      <c r="B58">
        <f>'Input Scenarios'!B58</f>
        <v>0</v>
      </c>
      <c r="C58" t="str">
        <f>'Input Scenarios'!C58</f>
        <v>Irrigated crop</v>
      </c>
      <c r="D58" t="str">
        <f>'Input Scenarios'!D58</f>
        <v>dry</v>
      </c>
      <c r="E58" t="b">
        <f>'Input Scenarios'!E58</f>
        <v>1</v>
      </c>
      <c r="F58" t="str">
        <f>'Input Scenarios'!F58</f>
        <v>Zero grazing</v>
      </c>
      <c r="G58">
        <f>IF('Input Scenarios'!G58&lt;&gt;"", 'Input Scenarios'!G58, _xlfn.XLOOKUP($F58, Constants!$M$6:$M$9,Constants!N$6:N$9))</f>
        <v>0</v>
      </c>
      <c r="H58">
        <f>IF('Input Scenarios'!H58&lt;&gt;"", 'Input Scenarios'!H58, _xlfn.XLOOKUP($F58, Constants!$M$6:$M$9,Constants!O$6:O$9))</f>
        <v>0.11</v>
      </c>
      <c r="I58">
        <f>IF('Input Scenarios'!I58&lt;&gt;"", 'Input Scenarios'!I58, _xlfn.XLOOKUP($F58, Constants!$M$6:$M$9,Constants!P$6:P$9))</f>
        <v>0.89</v>
      </c>
      <c r="J58">
        <f>'Input Scenarios'!J58</f>
        <v>0.1</v>
      </c>
      <c r="K58">
        <f>'Input Scenarios'!K58</f>
        <v>0.2</v>
      </c>
      <c r="L58">
        <f>'Input Scenarios'!L58</f>
        <v>0.3</v>
      </c>
      <c r="M58">
        <f>'Input Scenarios'!M58</f>
        <v>0.4</v>
      </c>
      <c r="N58">
        <f>'Input Scenarios'!N58</f>
        <v>0.4</v>
      </c>
      <c r="O58">
        <f>'Input Scenarios'!O58</f>
        <v>0.3</v>
      </c>
      <c r="P58">
        <f>'Input Scenarios'!P58</f>
        <v>0.2</v>
      </c>
      <c r="Q58">
        <f>'Input Scenarios'!Q58</f>
        <v>0.1</v>
      </c>
      <c r="R58" t="b">
        <f>'Input Scenarios'!R58</f>
        <v>0</v>
      </c>
      <c r="S58">
        <f>IF('Input Scenarios'!S58&lt;&gt;"", 'Input Scenarios'!S58, IF(R58, Constants!$B$38, 0))</f>
        <v>0</v>
      </c>
      <c r="T58" t="str">
        <f>IF('Input Scenarios'!T58&lt;&gt;"", 'Input Scenarios'!T58, "")</f>
        <v/>
      </c>
      <c r="U58">
        <f>IF('Input Scenarios'!U58&lt;&gt;"", 'Input Scenarios'!U58, IF(W58&lt;&gt;"", "", Constants!$B$39))</f>
        <v>4</v>
      </c>
      <c r="V58">
        <f>IF('Input Scenarios'!V58&lt;&gt;"", 'Input Scenarios'!V58, IF(W58&lt;&gt;"", "", Constants!$B$40))</f>
        <v>3.3</v>
      </c>
      <c r="W58" t="str">
        <f>IF('Input Scenarios'!W58&lt;&gt;"", 'Input Scenarios'!W58, "")</f>
        <v/>
      </c>
      <c r="X58" t="str">
        <f>'Input Scenarios'!X58</f>
        <v>Guernsey</v>
      </c>
      <c r="Y58" t="str">
        <f>'Input Scenarios'!Y58</f>
        <v>heifersGt1</v>
      </c>
      <c r="Z58">
        <f>'Input Scenarios'!Z58</f>
        <v>200</v>
      </c>
      <c r="AA58">
        <f>IF('Input Scenarios'!AA58&lt;&gt;"", 'Input Scenarios'!AA58, _xlfn.XLOOKUP(Y58,Constants!$J$6:$J$12,Constants!$K$6:$K$12))</f>
        <v>365</v>
      </c>
      <c r="AB58">
        <f>IF('Input Scenarios'!AB58&lt;&gt;"", 'Input Scenarios'!AB58, INDEX(Constants!$B$2:$H$11, MATCH(X58, Constants!$A$2:$A$11, 0), MATCH(Y58,Constants!$B$1:$H$1, 0)))</f>
        <v>335</v>
      </c>
      <c r="AC58">
        <f>IF('Input Scenarios'!AC58&lt;&gt;"", 'Input Scenarios'!AC58, _xlfn.XLOOKUP(Y58, Constants!$B$13:$H$13, Constants!$B$15:$H$15, ""))</f>
        <v>0.6</v>
      </c>
      <c r="AD58">
        <f>IF('Input Scenarios'!AD58&lt;&gt;"", 'Input Scenarios'!AD58, Constants!$B$45)</f>
        <v>0.75</v>
      </c>
      <c r="AE58">
        <f>IF('Input Scenarios'!AE58&lt;&gt;"", 'Input Scenarios'!AE58, Constants!$B$46)</f>
        <v>0.2</v>
      </c>
      <c r="AF58">
        <f t="shared" ref="AF58:AF63" si="82">IF($Y58="milkingCows",($H58*J58)+($I58*N58), 0)</f>
        <v>0</v>
      </c>
      <c r="AG58">
        <f t="shared" si="79"/>
        <v>0</v>
      </c>
      <c r="AH58">
        <f t="shared" si="80"/>
        <v>0</v>
      </c>
      <c r="AI58">
        <f t="shared" si="81"/>
        <v>0</v>
      </c>
      <c r="AJ58">
        <f t="shared" ref="AJ58:AJ63" si="83">IF($Y58="milkingCows",G58, 1)</f>
        <v>1</v>
      </c>
      <c r="AK58">
        <f t="shared" si="78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ref="AP58:AP63" si="84">0.795*(AD58)-0.0014</f>
        <v>0.5948500000000001</v>
      </c>
      <c r="AQ58">
        <f t="shared" ref="AQ58:AQ63" si="85">(AK58*AL58*AM58)/(AN58*AO58*AP58)</f>
        <v>0</v>
      </c>
      <c r="AR58">
        <f>IF(Y58="milkingCows", Constants!$P$2, Constants!$P$3)</f>
        <v>1</v>
      </c>
      <c r="AS58" s="18">
        <f t="shared" ref="AS58:AS63" si="86">IFERROR(((((1.185 + (0.00454*AB58) - (0.0000026*(AB58^2)) + (0.315*AC58))^2)*AR58)+AQ58), "")</f>
        <v>6.7762077032249994</v>
      </c>
      <c r="AT58">
        <f>Constants!$B$47</f>
        <v>0.08</v>
      </c>
      <c r="AU58">
        <f t="shared" ref="AU58:AU63" si="87">IFERROR((AS58*(1-AD58)+(0.04*AS58))*(1-AT58), "")</f>
        <v>1.80789221522043</v>
      </c>
      <c r="AV58">
        <f t="shared" ref="AV58:AV63" si="88">AF58*(1-S58)</f>
        <v>0</v>
      </c>
      <c r="AW58">
        <f t="shared" ref="AW58:AW63" si="89">AG58</f>
        <v>0</v>
      </c>
      <c r="AX58">
        <f t="shared" ref="AX58:AX63" si="90">AH58</f>
        <v>0</v>
      </c>
      <c r="AY58">
        <f t="shared" ref="AY58:AY63" si="91">AI58+(AF58*S58)</f>
        <v>0</v>
      </c>
      <c r="AZ58">
        <f t="shared" ref="AZ58:AZ63" si="92">AJ58</f>
        <v>1</v>
      </c>
      <c r="BA58">
        <f>_xlfn.XLOOKUP($A58, Constants!$E$18:$L$18,Constants!$E$19:$L$19)</f>
        <v>0.74</v>
      </c>
      <c r="BB58">
        <f>_xlfn.XLOOKUP($A58, Constants!$E$18:$L$18,Constants!$E$20:$L$20)</f>
        <v>5.0000000000000001E-3</v>
      </c>
      <c r="BC58">
        <f>_xlfn.XLOOKUP($A58, Constants!$E$18:$L$18,Constants!$E$21:$L$21)</f>
        <v>0.17</v>
      </c>
      <c r="BD58">
        <f>_xlfn.XLOOKUP($A58, Constants!$E$18:$L$18,Constants!$E$22:$L$22)</f>
        <v>0.02</v>
      </c>
      <c r="BE58">
        <f>_xlfn.XLOOKUP($A58, Constants!$E$18:$L$18,Constants!$E$23:$L$23)</f>
        <v>0.01</v>
      </c>
      <c r="BF58">
        <f>Constants!$B$48</f>
        <v>0.24</v>
      </c>
      <c r="BG58">
        <f>Constants!$B$49</f>
        <v>0.6784</v>
      </c>
      <c r="BH58">
        <f t="shared" ref="BH58:BH63" si="93">IF(ISNUMBER(FIND("PreWeaned",$Y58)), "", $AU58*AV58*BA58*$BF58*$BG58)</f>
        <v>0</v>
      </c>
      <c r="BI58">
        <f t="shared" ref="BI58:BI63" si="94">IF(ISNUMBER(FIND("PreWeaned",$Y58)), "", $AU58*AW58*BB58*$BF58*$BG58)</f>
        <v>0</v>
      </c>
      <c r="BJ58">
        <f t="shared" ref="BJ58:BJ63" si="95">IF(ISNUMBER(FIND("PreWeaned",$Y58)), "", $AU58*AX58*BC58*$BF58*$BG58)</f>
        <v>0</v>
      </c>
      <c r="BK58">
        <f t="shared" ref="BK58:BK63" si="96">IF(ISNUMBER(FIND("PreWeaned",$Y58)), "", $AU58*AY58*BD58*$BF58*$BG58)</f>
        <v>0</v>
      </c>
      <c r="BL58">
        <f t="shared" ref="BL58:BL63" si="97">IF(ISNUMBER(FIND("PreWeaned",$Y58)), "", $AU58*AZ58*BE58*$BF58*$BG58)</f>
        <v>2.9435377891332947E-3</v>
      </c>
      <c r="BM58" t="str">
        <f>IF(ISNUMBER(FIND("PreWeaned",Y58)),_xlfn.XLOOKUP(Y58,Constants!$J$2:$J$3,Constants!$K$2:$K$3), "")</f>
        <v/>
      </c>
      <c r="BN58">
        <f t="shared" ref="BN58:BN63" si="98">Z58*AA58*SUM(BH58:BM58)</f>
        <v>214.87825860673053</v>
      </c>
    </row>
    <row r="59" spans="1:67" x14ac:dyDescent="0.2">
      <c r="A59" t="str">
        <f>'Input Scenarios'!A59</f>
        <v>SA</v>
      </c>
      <c r="B59">
        <f>'Input Scenarios'!B59</f>
        <v>0</v>
      </c>
      <c r="C59" t="str">
        <f>'Input Scenarios'!C59</f>
        <v>Irrigated crop</v>
      </c>
      <c r="D59" t="str">
        <f>'Input Scenarios'!D59</f>
        <v>dry</v>
      </c>
      <c r="E59" t="b">
        <f>'Input Scenarios'!E59</f>
        <v>1</v>
      </c>
      <c r="F59" t="str">
        <f>'Input Scenarios'!F59</f>
        <v>Zero grazing</v>
      </c>
      <c r="G59">
        <f>IF('Input Scenarios'!G59&lt;&gt;"", 'Input Scenarios'!G59, _xlfn.XLOOKUP($F59, Constants!$M$6:$M$9,Constants!N$6:N$9))</f>
        <v>0</v>
      </c>
      <c r="H59">
        <f>IF('Input Scenarios'!H59&lt;&gt;"", 'Input Scenarios'!H59, _xlfn.XLOOKUP($F59, Constants!$M$6:$M$9,Constants!O$6:O$9))</f>
        <v>0.11</v>
      </c>
      <c r="I59">
        <f>IF('Input Scenarios'!I59&lt;&gt;"", 'Input Scenarios'!I59, _xlfn.XLOOKUP($F59, Constants!$M$6:$M$9,Constants!P$6:P$9))</f>
        <v>0.89</v>
      </c>
      <c r="J59">
        <f>'Input Scenarios'!J59</f>
        <v>0.1</v>
      </c>
      <c r="K59">
        <f>'Input Scenarios'!K59</f>
        <v>0.2</v>
      </c>
      <c r="L59">
        <f>'Input Scenarios'!L59</f>
        <v>0.3</v>
      </c>
      <c r="M59">
        <f>'Input Scenarios'!M59</f>
        <v>0.4</v>
      </c>
      <c r="N59">
        <f>'Input Scenarios'!N59</f>
        <v>0.4</v>
      </c>
      <c r="O59">
        <f>'Input Scenarios'!O59</f>
        <v>0.3</v>
      </c>
      <c r="P59">
        <f>'Input Scenarios'!P59</f>
        <v>0.2</v>
      </c>
      <c r="Q59">
        <f>'Input Scenarios'!Q59</f>
        <v>0.1</v>
      </c>
      <c r="R59" t="b">
        <f>'Input Scenarios'!R59</f>
        <v>0</v>
      </c>
      <c r="S59">
        <f>IF('Input Scenarios'!S59&lt;&gt;"", 'Input Scenarios'!S59, IF(R59, Constants!$B$38, 0))</f>
        <v>0</v>
      </c>
      <c r="T59" t="str">
        <f>IF('Input Scenarios'!T59&lt;&gt;"", 'Input Scenarios'!T59, "")</f>
        <v/>
      </c>
      <c r="U59">
        <f>IF('Input Scenarios'!U59&lt;&gt;"", 'Input Scenarios'!U59, IF(W59&lt;&gt;"", "", Constants!$B$39))</f>
        <v>4</v>
      </c>
      <c r="V59">
        <f>IF('Input Scenarios'!V59&lt;&gt;"", 'Input Scenarios'!V59, IF(W59&lt;&gt;"", "", Constants!$B$40))</f>
        <v>3.3</v>
      </c>
      <c r="W59" t="str">
        <f>IF('Input Scenarios'!W59&lt;&gt;"", 'Input Scenarios'!W59, "")</f>
        <v/>
      </c>
      <c r="X59" t="str">
        <f>'Input Scenarios'!X59</f>
        <v>Guernsey</v>
      </c>
      <c r="Y59" t="str">
        <f>'Input Scenarios'!Y59</f>
        <v>heifersLt1PreWeaned</v>
      </c>
      <c r="Z59">
        <f>'Input Scenarios'!Z59</f>
        <v>200</v>
      </c>
      <c r="AA59">
        <f>IF('Input Scenarios'!AA59&lt;&gt;"", 'Input Scenarios'!AA59, _xlfn.XLOOKUP(Y59,Constants!$J$6:$J$12,Constants!$K$6:$K$12))</f>
        <v>84</v>
      </c>
      <c r="AB59">
        <f>IF('Input Scenarios'!AB59&lt;&gt;"", 'Input Scenarios'!AB59, INDEX(Constants!$B$2:$H$11, MATCH(X59, Constants!$A$2:$A$11, 0), MATCH(Y59,Constants!$B$1:$H$1, 0)))</f>
        <v>140</v>
      </c>
      <c r="AC59" t="str">
        <f>IF('Input Scenarios'!AC59&lt;&gt;"", 'Input Scenarios'!AC59, _xlfn.XLOOKUP(Y59, Constants!$B$13:$H$13, Constants!$B$15:$H$15, ""))</f>
        <v/>
      </c>
      <c r="AD59">
        <f>IF('Input Scenarios'!AD59&lt;&gt;"", 'Input Scenarios'!AD59, Constants!$B$45)</f>
        <v>0.75</v>
      </c>
      <c r="AE59">
        <f>IF('Input Scenarios'!AE59&lt;&gt;"", 'Input Scenarios'!AE59, Constants!$B$46)</f>
        <v>0.2</v>
      </c>
      <c r="AF59">
        <f t="shared" si="82"/>
        <v>0</v>
      </c>
      <c r="AG59">
        <f t="shared" si="79"/>
        <v>0</v>
      </c>
      <c r="AH59">
        <f t="shared" si="80"/>
        <v>0</v>
      </c>
      <c r="AI59">
        <f t="shared" si="81"/>
        <v>0</v>
      </c>
      <c r="AJ59">
        <f t="shared" si="83"/>
        <v>1</v>
      </c>
      <c r="AK59">
        <f t="shared" si="78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84"/>
        <v>0.5948500000000001</v>
      </c>
      <c r="AQ59">
        <f t="shared" si="85"/>
        <v>0</v>
      </c>
      <c r="AR59">
        <f>IF(Y59="milkingCows", Constants!$P$2, Constants!$P$3)</f>
        <v>1</v>
      </c>
      <c r="AS59" s="18" t="str">
        <f t="shared" si="86"/>
        <v/>
      </c>
      <c r="AT59">
        <f>Constants!$B$47</f>
        <v>0.08</v>
      </c>
      <c r="AU59" t="str">
        <f t="shared" si="87"/>
        <v/>
      </c>
      <c r="AV59">
        <f t="shared" si="88"/>
        <v>0</v>
      </c>
      <c r="AW59">
        <f t="shared" si="89"/>
        <v>0</v>
      </c>
      <c r="AX59">
        <f t="shared" si="90"/>
        <v>0</v>
      </c>
      <c r="AY59">
        <f t="shared" si="91"/>
        <v>0</v>
      </c>
      <c r="AZ59">
        <f t="shared" si="92"/>
        <v>1</v>
      </c>
      <c r="BA59">
        <f>_xlfn.XLOOKUP($A59, Constants!$E$18:$L$18,Constants!$E$19:$L$19)</f>
        <v>0.74</v>
      </c>
      <c r="BB59">
        <f>_xlfn.XLOOKUP($A59, Constants!$E$18:$L$18,Constants!$E$20:$L$20)</f>
        <v>5.0000000000000001E-3</v>
      </c>
      <c r="BC59">
        <f>_xlfn.XLOOKUP($A59, Constants!$E$18:$L$18,Constants!$E$21:$L$21)</f>
        <v>0.17</v>
      </c>
      <c r="BD59">
        <f>_xlfn.XLOOKUP($A59, Constants!$E$18:$L$18,Constants!$E$22:$L$22)</f>
        <v>0.02</v>
      </c>
      <c r="BE59">
        <f>_xlfn.XLOOKUP($A59, Constants!$E$18:$L$18,Constants!$E$23:$L$23)</f>
        <v>0.01</v>
      </c>
      <c r="BF59">
        <f>Constants!$B$48</f>
        <v>0.24</v>
      </c>
      <c r="BG59">
        <f>Constants!$B$49</f>
        <v>0.6784</v>
      </c>
      <c r="BH59" t="str">
        <f t="shared" si="93"/>
        <v/>
      </c>
      <c r="BI59" t="str">
        <f t="shared" si="94"/>
        <v/>
      </c>
      <c r="BJ59" t="str">
        <f t="shared" si="95"/>
        <v/>
      </c>
      <c r="BK59" t="str">
        <f t="shared" si="96"/>
        <v/>
      </c>
      <c r="BL59" t="str">
        <f t="shared" si="97"/>
        <v/>
      </c>
      <c r="BM59">
        <f>IF(ISNUMBER(FIND("PreWeaned",Y59)),_xlfn.XLOOKUP(Y59,Constants!$J$2:$J$3,Constants!$K$2:$K$3), "")</f>
        <v>1.7600000000000001E-2</v>
      </c>
      <c r="BN59">
        <f t="shared" si="98"/>
        <v>295.68</v>
      </c>
    </row>
    <row r="60" spans="1:67" x14ac:dyDescent="0.2">
      <c r="A60" t="str">
        <f>'Input Scenarios'!A60</f>
        <v>SA</v>
      </c>
      <c r="B60">
        <f>'Input Scenarios'!B60</f>
        <v>0</v>
      </c>
      <c r="C60" t="str">
        <f>'Input Scenarios'!C60</f>
        <v>Irrigated crop</v>
      </c>
      <c r="D60" t="str">
        <f>'Input Scenarios'!D60</f>
        <v>dry</v>
      </c>
      <c r="E60" t="b">
        <f>'Input Scenarios'!E60</f>
        <v>1</v>
      </c>
      <c r="F60" t="str">
        <f>'Input Scenarios'!F60</f>
        <v>Zero grazing</v>
      </c>
      <c r="G60">
        <f>IF('Input Scenarios'!G60&lt;&gt;"", 'Input Scenarios'!G60, _xlfn.XLOOKUP($F60, Constants!$M$6:$M$9,Constants!N$6:N$9))</f>
        <v>0</v>
      </c>
      <c r="H60">
        <f>IF('Input Scenarios'!H60&lt;&gt;"", 'Input Scenarios'!H60, _xlfn.XLOOKUP($F60, Constants!$M$6:$M$9,Constants!O$6:O$9))</f>
        <v>0.11</v>
      </c>
      <c r="I60">
        <f>IF('Input Scenarios'!I60&lt;&gt;"", 'Input Scenarios'!I60, _xlfn.XLOOKUP($F60, Constants!$M$6:$M$9,Constants!P$6:P$9))</f>
        <v>0.89</v>
      </c>
      <c r="J60">
        <f>'Input Scenarios'!J60</f>
        <v>0.1</v>
      </c>
      <c r="K60">
        <f>'Input Scenarios'!K60</f>
        <v>0.2</v>
      </c>
      <c r="L60">
        <f>'Input Scenarios'!L60</f>
        <v>0.3</v>
      </c>
      <c r="M60">
        <f>'Input Scenarios'!M60</f>
        <v>0.4</v>
      </c>
      <c r="N60">
        <f>'Input Scenarios'!N60</f>
        <v>0.4</v>
      </c>
      <c r="O60">
        <f>'Input Scenarios'!O60</f>
        <v>0.3</v>
      </c>
      <c r="P60">
        <f>'Input Scenarios'!P60</f>
        <v>0.2</v>
      </c>
      <c r="Q60">
        <f>'Input Scenarios'!Q60</f>
        <v>0.1</v>
      </c>
      <c r="R60" t="b">
        <f>'Input Scenarios'!R60</f>
        <v>0</v>
      </c>
      <c r="S60">
        <f>IF('Input Scenarios'!S60&lt;&gt;"", 'Input Scenarios'!S60, IF(R60, Constants!$B$38, 0))</f>
        <v>0</v>
      </c>
      <c r="T60" t="str">
        <f>IF('Input Scenarios'!T60&lt;&gt;"", 'Input Scenarios'!T60, "")</f>
        <v/>
      </c>
      <c r="U60">
        <f>IF('Input Scenarios'!U60&lt;&gt;"", 'Input Scenarios'!U60, IF(W60&lt;&gt;"", "", Constants!$B$39))</f>
        <v>4</v>
      </c>
      <c r="V60">
        <f>IF('Input Scenarios'!V60&lt;&gt;"", 'Input Scenarios'!V60, IF(W60&lt;&gt;"", "", Constants!$B$40))</f>
        <v>3.3</v>
      </c>
      <c r="W60" t="str">
        <f>IF('Input Scenarios'!W60&lt;&gt;"", 'Input Scenarios'!W60, "")</f>
        <v/>
      </c>
      <c r="X60" t="str">
        <f>'Input Scenarios'!X60</f>
        <v>Guernsey</v>
      </c>
      <c r="Y60" t="str">
        <f>'Input Scenarios'!Y60</f>
        <v>heifersLt1Weaned</v>
      </c>
      <c r="Z60">
        <f>'Input Scenarios'!Z60</f>
        <v>200</v>
      </c>
      <c r="AA60">
        <f>IF('Input Scenarios'!AA60&lt;&gt;"", 'Input Scenarios'!AA60, _xlfn.XLOOKUP(Y60,Constants!$J$6:$J$12,Constants!$K$6:$K$12))</f>
        <v>281</v>
      </c>
      <c r="AB60">
        <f>IF('Input Scenarios'!AB60&lt;&gt;"", 'Input Scenarios'!AB60, INDEX(Constants!$B$2:$H$11, MATCH(X60, Constants!$A$2:$A$11, 0), MATCH(Y60,Constants!$B$1:$H$1, 0)))</f>
        <v>140</v>
      </c>
      <c r="AC60">
        <f>IF('Input Scenarios'!AC60&lt;&gt;"", 'Input Scenarios'!AC60, _xlfn.XLOOKUP(Y60, Constants!$B$13:$H$13, Constants!$B$15:$H$15, ""))</f>
        <v>0.56999999999999995</v>
      </c>
      <c r="AD60">
        <f>IF('Input Scenarios'!AD60&lt;&gt;"", 'Input Scenarios'!AD60, Constants!$B$45)</f>
        <v>0.75</v>
      </c>
      <c r="AE60">
        <f>IF('Input Scenarios'!AE60&lt;&gt;"", 'Input Scenarios'!AE60, Constants!$B$46)</f>
        <v>0.2</v>
      </c>
      <c r="AF60">
        <f t="shared" si="82"/>
        <v>0</v>
      </c>
      <c r="AG60">
        <f t="shared" si="79"/>
        <v>0</v>
      </c>
      <c r="AH60">
        <f t="shared" si="80"/>
        <v>0</v>
      </c>
      <c r="AI60">
        <f t="shared" si="81"/>
        <v>0</v>
      </c>
      <c r="AJ60">
        <f t="shared" si="83"/>
        <v>1</v>
      </c>
      <c r="AK60">
        <f t="shared" si="78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84"/>
        <v>0.5948500000000001</v>
      </c>
      <c r="AQ60">
        <f t="shared" si="85"/>
        <v>0</v>
      </c>
      <c r="AR60">
        <f>IF(Y60="milkingCows", Constants!$P$2, Constants!$P$3)</f>
        <v>1</v>
      </c>
      <c r="AS60" s="18">
        <f t="shared" si="86"/>
        <v>3.7993416560999989</v>
      </c>
      <c r="AT60">
        <f>Constants!$B$47</f>
        <v>0.08</v>
      </c>
      <c r="AU60">
        <f t="shared" si="87"/>
        <v>1.0136643538474799</v>
      </c>
      <c r="AV60">
        <f t="shared" si="88"/>
        <v>0</v>
      </c>
      <c r="AW60">
        <f t="shared" si="89"/>
        <v>0</v>
      </c>
      <c r="AX60">
        <f t="shared" si="90"/>
        <v>0</v>
      </c>
      <c r="AY60">
        <f t="shared" si="91"/>
        <v>0</v>
      </c>
      <c r="AZ60">
        <f t="shared" si="92"/>
        <v>1</v>
      </c>
      <c r="BA60">
        <f>_xlfn.XLOOKUP($A60, Constants!$E$18:$L$18,Constants!$E$19:$L$19)</f>
        <v>0.74</v>
      </c>
      <c r="BB60">
        <f>_xlfn.XLOOKUP($A60, Constants!$E$18:$L$18,Constants!$E$20:$L$20)</f>
        <v>5.0000000000000001E-3</v>
      </c>
      <c r="BC60">
        <f>_xlfn.XLOOKUP($A60, Constants!$E$18:$L$18,Constants!$E$21:$L$21)</f>
        <v>0.17</v>
      </c>
      <c r="BD60">
        <f>_xlfn.XLOOKUP($A60, Constants!$E$18:$L$18,Constants!$E$22:$L$22)</f>
        <v>0.02</v>
      </c>
      <c r="BE60">
        <f>_xlfn.XLOOKUP($A60, Constants!$E$18:$L$18,Constants!$E$23:$L$23)</f>
        <v>0.01</v>
      </c>
      <c r="BF60">
        <f>Constants!$B$48</f>
        <v>0.24</v>
      </c>
      <c r="BG60">
        <f>Constants!$B$49</f>
        <v>0.6784</v>
      </c>
      <c r="BH60">
        <f t="shared" si="93"/>
        <v>0</v>
      </c>
      <c r="BI60">
        <f t="shared" si="94"/>
        <v>0</v>
      </c>
      <c r="BJ60">
        <f t="shared" si="95"/>
        <v>0</v>
      </c>
      <c r="BK60">
        <f t="shared" si="96"/>
        <v>0</v>
      </c>
      <c r="BL60">
        <f t="shared" si="97"/>
        <v>1.6504077543603127E-3</v>
      </c>
      <c r="BM60" t="str">
        <f>IF(ISNUMBER(FIND("PreWeaned",Y60)),_xlfn.XLOOKUP(Y60,Constants!$J$2:$J$3,Constants!$K$2:$K$3), "")</f>
        <v/>
      </c>
      <c r="BN60">
        <f t="shared" si="98"/>
        <v>92.752915795049574</v>
      </c>
    </row>
    <row r="61" spans="1:67" x14ac:dyDescent="0.2">
      <c r="A61" t="str">
        <f>'Input Scenarios'!A61</f>
        <v>SA</v>
      </c>
      <c r="B61">
        <f>'Input Scenarios'!B61</f>
        <v>0</v>
      </c>
      <c r="C61" t="str">
        <f>'Input Scenarios'!C61</f>
        <v>Irrigated crop</v>
      </c>
      <c r="D61" t="str">
        <f>'Input Scenarios'!D61</f>
        <v>dry</v>
      </c>
      <c r="E61" t="b">
        <f>'Input Scenarios'!E61</f>
        <v>1</v>
      </c>
      <c r="F61" t="str">
        <f>'Input Scenarios'!F61</f>
        <v>Zero grazing</v>
      </c>
      <c r="G61">
        <f>IF('Input Scenarios'!G61&lt;&gt;"", 'Input Scenarios'!G61, _xlfn.XLOOKUP($F61, Constants!$M$6:$M$9,Constants!N$6:N$9))</f>
        <v>0</v>
      </c>
      <c r="H61">
        <f>IF('Input Scenarios'!H61&lt;&gt;"", 'Input Scenarios'!H61, _xlfn.XLOOKUP($F61, Constants!$M$6:$M$9,Constants!O$6:O$9))</f>
        <v>0.11</v>
      </c>
      <c r="I61">
        <f>IF('Input Scenarios'!I61&lt;&gt;"", 'Input Scenarios'!I61, _xlfn.XLOOKUP($F61, Constants!$M$6:$M$9,Constants!P$6:P$9))</f>
        <v>0.89</v>
      </c>
      <c r="J61">
        <f>'Input Scenarios'!J61</f>
        <v>0.1</v>
      </c>
      <c r="K61">
        <f>'Input Scenarios'!K61</f>
        <v>0.2</v>
      </c>
      <c r="L61">
        <f>'Input Scenarios'!L61</f>
        <v>0.3</v>
      </c>
      <c r="M61">
        <f>'Input Scenarios'!M61</f>
        <v>0.4</v>
      </c>
      <c r="N61">
        <f>'Input Scenarios'!N61</f>
        <v>0.4</v>
      </c>
      <c r="O61">
        <f>'Input Scenarios'!O61</f>
        <v>0.3</v>
      </c>
      <c r="P61">
        <f>'Input Scenarios'!P61</f>
        <v>0.2</v>
      </c>
      <c r="Q61">
        <f>'Input Scenarios'!Q61</f>
        <v>0.1</v>
      </c>
      <c r="R61" t="b">
        <f>'Input Scenarios'!R61</f>
        <v>0</v>
      </c>
      <c r="S61">
        <f>IF('Input Scenarios'!S61&lt;&gt;"", 'Input Scenarios'!S61, IF(R61, Constants!$B$38, 0))</f>
        <v>0</v>
      </c>
      <c r="T61" t="str">
        <f>IF('Input Scenarios'!T61&lt;&gt;"", 'Input Scenarios'!T61, "")</f>
        <v/>
      </c>
      <c r="U61">
        <f>IF('Input Scenarios'!U61&lt;&gt;"", 'Input Scenarios'!U61, IF(W61&lt;&gt;"", "", Constants!$B$39))</f>
        <v>4</v>
      </c>
      <c r="V61">
        <f>IF('Input Scenarios'!V61&lt;&gt;"", 'Input Scenarios'!V61, IF(W61&lt;&gt;"", "", Constants!$B$40))</f>
        <v>3.3</v>
      </c>
      <c r="W61" t="str">
        <f>IF('Input Scenarios'!W61&lt;&gt;"", 'Input Scenarios'!W61, "")</f>
        <v/>
      </c>
      <c r="X61" t="str">
        <f>'Input Scenarios'!X61</f>
        <v>Guernsey</v>
      </c>
      <c r="Y61" t="str">
        <f>'Input Scenarios'!Y61</f>
        <v>bullsGt1</v>
      </c>
      <c r="Z61">
        <f>'Input Scenarios'!Z61</f>
        <v>200</v>
      </c>
      <c r="AA61">
        <f>IF('Input Scenarios'!AA61&lt;&gt;"", 'Input Scenarios'!AA61, _xlfn.XLOOKUP(Y61,Constants!$J$6:$J$12,Constants!$K$6:$K$12))</f>
        <v>365</v>
      </c>
      <c r="AB61">
        <f>IF('Input Scenarios'!AB61&lt;&gt;"", 'Input Scenarios'!AB61, INDEX(Constants!$B$2:$H$11, MATCH(X61, Constants!$A$2:$A$11, 0), MATCH(Y61,Constants!$B$1:$H$1, 0)))</f>
        <v>600</v>
      </c>
      <c r="AC61">
        <f>IF('Input Scenarios'!AC61&lt;&gt;"", 'Input Scenarios'!AC61, _xlfn.XLOOKUP(Y61, Constants!$B$13:$H$13, Constants!$B$15:$H$15, ""))</f>
        <v>0.1</v>
      </c>
      <c r="AD61">
        <f>IF('Input Scenarios'!AD61&lt;&gt;"", 'Input Scenarios'!AD61, Constants!$B$45)</f>
        <v>0.75</v>
      </c>
      <c r="AE61">
        <f>IF('Input Scenarios'!AE61&lt;&gt;"", 'Input Scenarios'!AE61, Constants!$B$46)</f>
        <v>0.2</v>
      </c>
      <c r="AF61">
        <f t="shared" si="82"/>
        <v>0</v>
      </c>
      <c r="AG61">
        <f t="shared" si="79"/>
        <v>0</v>
      </c>
      <c r="AH61">
        <f t="shared" si="80"/>
        <v>0</v>
      </c>
      <c r="AI61">
        <f t="shared" si="81"/>
        <v>0</v>
      </c>
      <c r="AJ61">
        <f t="shared" si="83"/>
        <v>1</v>
      </c>
      <c r="AK61">
        <f t="shared" si="78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84"/>
        <v>0.5948500000000001</v>
      </c>
      <c r="AQ61">
        <f t="shared" si="85"/>
        <v>0</v>
      </c>
      <c r="AR61">
        <f>IF(Y61="milkingCows", Constants!$P$2, Constants!$P$3)</f>
        <v>1</v>
      </c>
      <c r="AS61" s="18">
        <f t="shared" si="86"/>
        <v>9.0270202499999979</v>
      </c>
      <c r="AT61">
        <f>Constants!$B$47</f>
        <v>0.08</v>
      </c>
      <c r="AU61">
        <f t="shared" si="87"/>
        <v>2.4084090026999996</v>
      </c>
      <c r="AV61">
        <f t="shared" si="88"/>
        <v>0</v>
      </c>
      <c r="AW61">
        <f t="shared" si="89"/>
        <v>0</v>
      </c>
      <c r="AX61">
        <f t="shared" si="90"/>
        <v>0</v>
      </c>
      <c r="AY61">
        <f t="shared" si="91"/>
        <v>0</v>
      </c>
      <c r="AZ61">
        <f t="shared" si="92"/>
        <v>1</v>
      </c>
      <c r="BA61">
        <f>_xlfn.XLOOKUP($A61, Constants!$E$18:$L$18,Constants!$E$19:$L$19)</f>
        <v>0.74</v>
      </c>
      <c r="BB61">
        <f>_xlfn.XLOOKUP($A61, Constants!$E$18:$L$18,Constants!$E$20:$L$20)</f>
        <v>5.0000000000000001E-3</v>
      </c>
      <c r="BC61">
        <f>_xlfn.XLOOKUP($A61, Constants!$E$18:$L$18,Constants!$E$21:$L$21)</f>
        <v>0.17</v>
      </c>
      <c r="BD61">
        <f>_xlfn.XLOOKUP($A61, Constants!$E$18:$L$18,Constants!$E$22:$L$22)</f>
        <v>0.02</v>
      </c>
      <c r="BE61">
        <f>_xlfn.XLOOKUP($A61, Constants!$E$18:$L$18,Constants!$E$23:$L$23)</f>
        <v>0.01</v>
      </c>
      <c r="BF61">
        <f>Constants!$B$48</f>
        <v>0.24</v>
      </c>
      <c r="BG61">
        <f>Constants!$B$49</f>
        <v>0.6784</v>
      </c>
      <c r="BH61">
        <f t="shared" si="93"/>
        <v>0</v>
      </c>
      <c r="BI61">
        <f t="shared" si="94"/>
        <v>0</v>
      </c>
      <c r="BJ61">
        <f t="shared" si="95"/>
        <v>0</v>
      </c>
      <c r="BK61">
        <f t="shared" si="96"/>
        <v>0</v>
      </c>
      <c r="BL61">
        <f t="shared" si="97"/>
        <v>3.9212752018360315E-3</v>
      </c>
      <c r="BM61" t="str">
        <f>IF(ISNUMBER(FIND("PreWeaned",Y61)),_xlfn.XLOOKUP(Y61,Constants!$J$2:$J$3,Constants!$K$2:$K$3), "")</f>
        <v/>
      </c>
      <c r="BN61">
        <f t="shared" si="98"/>
        <v>286.25308973403031</v>
      </c>
    </row>
    <row r="62" spans="1:67" x14ac:dyDescent="0.2">
      <c r="A62" t="str">
        <f>'Input Scenarios'!A62</f>
        <v>SA</v>
      </c>
      <c r="B62">
        <f>'Input Scenarios'!B62</f>
        <v>0</v>
      </c>
      <c r="C62" t="str">
        <f>'Input Scenarios'!C62</f>
        <v>Irrigated crop</v>
      </c>
      <c r="D62" t="str">
        <f>'Input Scenarios'!D62</f>
        <v>dry</v>
      </c>
      <c r="E62" t="b">
        <f>'Input Scenarios'!E62</f>
        <v>1</v>
      </c>
      <c r="F62" t="str">
        <f>'Input Scenarios'!F62</f>
        <v>Zero grazing</v>
      </c>
      <c r="G62">
        <f>IF('Input Scenarios'!G62&lt;&gt;"", 'Input Scenarios'!G62, _xlfn.XLOOKUP($F62, Constants!$M$6:$M$9,Constants!N$6:N$9))</f>
        <v>0</v>
      </c>
      <c r="H62">
        <f>IF('Input Scenarios'!H62&lt;&gt;"", 'Input Scenarios'!H62, _xlfn.XLOOKUP($F62, Constants!$M$6:$M$9,Constants!O$6:O$9))</f>
        <v>0.11</v>
      </c>
      <c r="I62">
        <f>IF('Input Scenarios'!I62&lt;&gt;"", 'Input Scenarios'!I62, _xlfn.XLOOKUP($F62, Constants!$M$6:$M$9,Constants!P$6:P$9))</f>
        <v>0.89</v>
      </c>
      <c r="J62">
        <f>'Input Scenarios'!J62</f>
        <v>0.1</v>
      </c>
      <c r="K62">
        <f>'Input Scenarios'!K62</f>
        <v>0.2</v>
      </c>
      <c r="L62">
        <f>'Input Scenarios'!L62</f>
        <v>0.3</v>
      </c>
      <c r="M62">
        <f>'Input Scenarios'!M62</f>
        <v>0.4</v>
      </c>
      <c r="N62">
        <f>'Input Scenarios'!N62</f>
        <v>0.4</v>
      </c>
      <c r="O62">
        <f>'Input Scenarios'!O62</f>
        <v>0.3</v>
      </c>
      <c r="P62">
        <f>'Input Scenarios'!P62</f>
        <v>0.2</v>
      </c>
      <c r="Q62">
        <f>'Input Scenarios'!Q62</f>
        <v>0.1</v>
      </c>
      <c r="R62" t="b">
        <f>'Input Scenarios'!R62</f>
        <v>0</v>
      </c>
      <c r="S62">
        <f>IF('Input Scenarios'!S62&lt;&gt;"", 'Input Scenarios'!S62, IF(R62, Constants!$B$38, 0))</f>
        <v>0</v>
      </c>
      <c r="T62" t="str">
        <f>IF('Input Scenarios'!T62&lt;&gt;"", 'Input Scenarios'!T62, "")</f>
        <v/>
      </c>
      <c r="U62">
        <f>IF('Input Scenarios'!U62&lt;&gt;"", 'Input Scenarios'!U62, IF(W62&lt;&gt;"", "", Constants!$B$39))</f>
        <v>4</v>
      </c>
      <c r="V62">
        <f>IF('Input Scenarios'!V62&lt;&gt;"", 'Input Scenarios'!V62, IF(W62&lt;&gt;"", "", Constants!$B$40))</f>
        <v>3.3</v>
      </c>
      <c r="W62" t="str">
        <f>IF('Input Scenarios'!W62&lt;&gt;"", 'Input Scenarios'!W62, "")</f>
        <v/>
      </c>
      <c r="X62" t="str">
        <f>'Input Scenarios'!X62</f>
        <v>Guernsey</v>
      </c>
      <c r="Y62" t="str">
        <f>'Input Scenarios'!Y62</f>
        <v>bullsLt1PreWeaned</v>
      </c>
      <c r="Z62">
        <f>'Input Scenarios'!Z62</f>
        <v>200</v>
      </c>
      <c r="AA62">
        <f>IF('Input Scenarios'!AA62&lt;&gt;"", 'Input Scenarios'!AA62, _xlfn.XLOOKUP(Y62,Constants!$J$6:$J$12,Constants!$K$6:$K$12))</f>
        <v>84</v>
      </c>
      <c r="AB62">
        <f>IF('Input Scenarios'!AB62&lt;&gt;"", 'Input Scenarios'!AB62, INDEX(Constants!$B$2:$H$11, MATCH(X62, Constants!$A$2:$A$11, 0), MATCH(Y62,Constants!$B$1:$H$1, 0)))</f>
        <v>225</v>
      </c>
      <c r="AC62" t="str">
        <f>IF('Input Scenarios'!AC62&lt;&gt;"", 'Input Scenarios'!AC62, _xlfn.XLOOKUP(Y62, Constants!$B$13:$H$13, Constants!$B$15:$H$15, ""))</f>
        <v/>
      </c>
      <c r="AD62">
        <f>IF('Input Scenarios'!AD62&lt;&gt;"", 'Input Scenarios'!AD62, Constants!$B$45)</f>
        <v>0.75</v>
      </c>
      <c r="AE62">
        <f>IF('Input Scenarios'!AE62&lt;&gt;"", 'Input Scenarios'!AE62, Constants!$B$46)</f>
        <v>0.2</v>
      </c>
      <c r="AF62">
        <f t="shared" si="82"/>
        <v>0</v>
      </c>
      <c r="AG62">
        <f t="shared" si="79"/>
        <v>0</v>
      </c>
      <c r="AH62">
        <f t="shared" si="80"/>
        <v>0</v>
      </c>
      <c r="AI62">
        <f t="shared" si="81"/>
        <v>0</v>
      </c>
      <c r="AJ62">
        <f t="shared" si="83"/>
        <v>1</v>
      </c>
      <c r="AK62">
        <f t="shared" si="78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84"/>
        <v>0.5948500000000001</v>
      </c>
      <c r="AQ62">
        <f t="shared" si="85"/>
        <v>0</v>
      </c>
      <c r="AR62">
        <f>IF(Y62="milkingCows", Constants!$P$2, Constants!$P$3)</f>
        <v>1</v>
      </c>
      <c r="AS62" s="18" t="str">
        <f t="shared" si="86"/>
        <v/>
      </c>
      <c r="AT62">
        <f>Constants!$B$47</f>
        <v>0.08</v>
      </c>
      <c r="AU62" t="str">
        <f t="shared" si="87"/>
        <v/>
      </c>
      <c r="AV62">
        <f t="shared" si="88"/>
        <v>0</v>
      </c>
      <c r="AW62">
        <f t="shared" si="89"/>
        <v>0</v>
      </c>
      <c r="AX62">
        <f t="shared" si="90"/>
        <v>0</v>
      </c>
      <c r="AY62">
        <f t="shared" si="91"/>
        <v>0</v>
      </c>
      <c r="AZ62">
        <f t="shared" si="92"/>
        <v>1</v>
      </c>
      <c r="BA62">
        <f>_xlfn.XLOOKUP($A62, Constants!$E$18:$L$18,Constants!$E$19:$L$19)</f>
        <v>0.74</v>
      </c>
      <c r="BB62">
        <f>_xlfn.XLOOKUP($A62, Constants!$E$18:$L$18,Constants!$E$20:$L$20)</f>
        <v>5.0000000000000001E-3</v>
      </c>
      <c r="BC62">
        <f>_xlfn.XLOOKUP($A62, Constants!$E$18:$L$18,Constants!$E$21:$L$21)</f>
        <v>0.17</v>
      </c>
      <c r="BD62">
        <f>_xlfn.XLOOKUP($A62, Constants!$E$18:$L$18,Constants!$E$22:$L$22)</f>
        <v>0.02</v>
      </c>
      <c r="BE62">
        <f>_xlfn.XLOOKUP($A62, Constants!$E$18:$L$18,Constants!$E$23:$L$23)</f>
        <v>0.01</v>
      </c>
      <c r="BF62">
        <f>Constants!$B$48</f>
        <v>0.24</v>
      </c>
      <c r="BG62">
        <f>Constants!$B$49</f>
        <v>0.6784</v>
      </c>
      <c r="BH62" t="str">
        <f t="shared" si="93"/>
        <v/>
      </c>
      <c r="BI62" t="str">
        <f t="shared" si="94"/>
        <v/>
      </c>
      <c r="BJ62" t="str">
        <f t="shared" si="95"/>
        <v/>
      </c>
      <c r="BK62" t="str">
        <f t="shared" si="96"/>
        <v/>
      </c>
      <c r="BL62" t="str">
        <f t="shared" si="97"/>
        <v/>
      </c>
      <c r="BM62">
        <f>IF(ISNUMBER(FIND("PreWeaned",Y62)),_xlfn.XLOOKUP(Y62,Constants!$J$2:$J$3,Constants!$K$2:$K$3), "")</f>
        <v>2.0400000000000001E-2</v>
      </c>
      <c r="BN62">
        <f t="shared" si="98"/>
        <v>342.72</v>
      </c>
    </row>
    <row r="63" spans="1:67" s="16" customFormat="1" x14ac:dyDescent="0.2">
      <c r="A63" s="16" t="str">
        <f>'Input Scenarios'!A63</f>
        <v>SA</v>
      </c>
      <c r="B63" s="16">
        <f>'Input Scenarios'!B63</f>
        <v>0</v>
      </c>
      <c r="C63" s="16" t="str">
        <f>'Input Scenarios'!C63</f>
        <v>Irrigated crop</v>
      </c>
      <c r="D63" s="16" t="str">
        <f>'Input Scenarios'!D63</f>
        <v>dry</v>
      </c>
      <c r="E63" s="16" t="b">
        <f>'Input Scenarios'!E63</f>
        <v>1</v>
      </c>
      <c r="F63" s="16" t="str">
        <f>'Input Scenarios'!F63</f>
        <v>Zero grazing</v>
      </c>
      <c r="G63" s="16">
        <f>IF('Input Scenarios'!G63&lt;&gt;"", 'Input Scenarios'!G63, _xlfn.XLOOKUP($F63, Constants!$M$6:$M$9,Constants!N$6:N$9))</f>
        <v>0</v>
      </c>
      <c r="H63" s="16">
        <f>IF('Input Scenarios'!H63&lt;&gt;"", 'Input Scenarios'!H63, _xlfn.XLOOKUP($F63, Constants!$M$6:$M$9,Constants!O$6:O$9))</f>
        <v>0.11</v>
      </c>
      <c r="I63" s="16">
        <f>IF('Input Scenarios'!I63&lt;&gt;"", 'Input Scenarios'!I63, _xlfn.XLOOKUP($F63, Constants!$M$6:$M$9,Constants!P$6:P$9))</f>
        <v>0.89</v>
      </c>
      <c r="J63" s="16">
        <f>'Input Scenarios'!J63</f>
        <v>0.1</v>
      </c>
      <c r="K63" s="16">
        <f>'Input Scenarios'!K63</f>
        <v>0.2</v>
      </c>
      <c r="L63" s="16">
        <f>'Input Scenarios'!L63</f>
        <v>0.3</v>
      </c>
      <c r="M63" s="16">
        <f>'Input Scenarios'!M63</f>
        <v>0.4</v>
      </c>
      <c r="N63" s="16">
        <f>'Input Scenarios'!N63</f>
        <v>0.4</v>
      </c>
      <c r="O63" s="16">
        <f>'Input Scenarios'!O63</f>
        <v>0.3</v>
      </c>
      <c r="P63" s="16">
        <f>'Input Scenarios'!P63</f>
        <v>0.2</v>
      </c>
      <c r="Q63" s="16">
        <f>'Input Scenarios'!Q63</f>
        <v>0.1</v>
      </c>
      <c r="R63" s="16" t="b">
        <f>'Input Scenarios'!R63</f>
        <v>0</v>
      </c>
      <c r="S63" s="16">
        <f>IF('Input Scenarios'!S63&lt;&gt;"", 'Input Scenarios'!S63, IF(R63, Constants!$B$38, 0))</f>
        <v>0</v>
      </c>
      <c r="T63" s="16" t="str">
        <f>IF('Input Scenarios'!T63&lt;&gt;"", 'Input Scenarios'!T63, "")</f>
        <v/>
      </c>
      <c r="U63" s="16">
        <f>IF('Input Scenarios'!U63&lt;&gt;"", 'Input Scenarios'!U63, IF(W63&lt;&gt;"", "", Constants!$B$39))</f>
        <v>4</v>
      </c>
      <c r="V63" s="16">
        <f>IF('Input Scenarios'!V63&lt;&gt;"", 'Input Scenarios'!V63, IF(W63&lt;&gt;"", "", Constants!$B$40))</f>
        <v>3.3</v>
      </c>
      <c r="W63" s="16" t="str">
        <f>IF('Input Scenarios'!W63&lt;&gt;"", 'Input Scenarios'!W63, "")</f>
        <v/>
      </c>
      <c r="X63" s="16" t="str">
        <f>'Input Scenarios'!X63</f>
        <v>Guernsey</v>
      </c>
      <c r="Y63" s="16" t="str">
        <f>'Input Scenarios'!Y63</f>
        <v>bullsLt1Weaned</v>
      </c>
      <c r="Z63" s="16">
        <f>'Input Scenarios'!Z63</f>
        <v>200</v>
      </c>
      <c r="AA63" s="16">
        <f>IF('Input Scenarios'!AA63&lt;&gt;"", 'Input Scenarios'!AA63, _xlfn.XLOOKUP(Y63,Constants!$J$6:$J$12,Constants!$K$6:$K$12))</f>
        <v>281</v>
      </c>
      <c r="AB63" s="16">
        <f>IF('Input Scenarios'!AB63&lt;&gt;"", 'Input Scenarios'!AB63, INDEX(Constants!$B$2:$H$11, MATCH(X63, Constants!$A$2:$A$11, 0), MATCH(Y63,Constants!$B$1:$H$1, 0)))</f>
        <v>225</v>
      </c>
      <c r="AC63" s="16">
        <f>IF('Input Scenarios'!AC63&lt;&gt;"", 'Input Scenarios'!AC63, _xlfn.XLOOKUP(Y63, Constants!$B$13:$H$13, Constants!$B$15:$H$15, ""))</f>
        <v>0.8</v>
      </c>
      <c r="AD63" s="16">
        <f>IF('Input Scenarios'!AD63&lt;&gt;"", 'Input Scenarios'!AD63, Constants!$B$45)</f>
        <v>0.75</v>
      </c>
      <c r="AE63" s="16">
        <f>IF('Input Scenarios'!AE63&lt;&gt;"", 'Input Scenarios'!AE63, Constants!$B$46)</f>
        <v>0.2</v>
      </c>
      <c r="AF63" s="16">
        <f t="shared" si="82"/>
        <v>0</v>
      </c>
      <c r="AG63" s="16">
        <f t="shared" si="79"/>
        <v>0</v>
      </c>
      <c r="AH63" s="16">
        <f t="shared" si="80"/>
        <v>0</v>
      </c>
      <c r="AI63" s="16">
        <f t="shared" si="81"/>
        <v>0</v>
      </c>
      <c r="AJ63" s="16">
        <f t="shared" si="83"/>
        <v>1</v>
      </c>
      <c r="AK63" s="16">
        <f t="shared" si="78"/>
        <v>0</v>
      </c>
      <c r="AL63" s="16">
        <f>Constants!$B$44</f>
        <v>1.03</v>
      </c>
      <c r="AM63" s="16">
        <f>Constants!$B$41</f>
        <v>3.0539999999999998</v>
      </c>
      <c r="AN63" s="16">
        <f>Constants!$B$42</f>
        <v>18.399999999999999</v>
      </c>
      <c r="AO63" s="16">
        <f>Constants!$B$43</f>
        <v>0.6</v>
      </c>
      <c r="AP63" s="16">
        <f t="shared" si="84"/>
        <v>0.5948500000000001</v>
      </c>
      <c r="AQ63" s="16">
        <f t="shared" si="85"/>
        <v>0</v>
      </c>
      <c r="AR63" s="16">
        <f>IF(Y63="milkingCows", Constants!$P$2, Constants!$P$3)</f>
        <v>1</v>
      </c>
      <c r="AS63" s="19">
        <f t="shared" si="86"/>
        <v>5.4143472656250013</v>
      </c>
      <c r="AT63" s="16">
        <f>Constants!$B$47</f>
        <v>0.08</v>
      </c>
      <c r="AU63" s="16">
        <f t="shared" si="87"/>
        <v>1.4445478504687506</v>
      </c>
      <c r="AV63" s="16">
        <f t="shared" si="88"/>
        <v>0</v>
      </c>
      <c r="AW63" s="16">
        <f t="shared" si="89"/>
        <v>0</v>
      </c>
      <c r="AX63" s="16">
        <f t="shared" si="90"/>
        <v>0</v>
      </c>
      <c r="AY63" s="16">
        <f t="shared" si="91"/>
        <v>0</v>
      </c>
      <c r="AZ63" s="16">
        <f t="shared" si="92"/>
        <v>1</v>
      </c>
      <c r="BA63" s="16">
        <f>_xlfn.XLOOKUP($A63, Constants!$E$18:$L$18,Constants!$E$19:$L$19)</f>
        <v>0.74</v>
      </c>
      <c r="BB63" s="16">
        <f>_xlfn.XLOOKUP($A63, Constants!$E$18:$L$18,Constants!$E$20:$L$20)</f>
        <v>5.0000000000000001E-3</v>
      </c>
      <c r="BC63" s="16">
        <f>_xlfn.XLOOKUP($A63, Constants!$E$18:$L$18,Constants!$E$21:$L$21)</f>
        <v>0.17</v>
      </c>
      <c r="BD63" s="16">
        <f>_xlfn.XLOOKUP($A63, Constants!$E$18:$L$18,Constants!$E$22:$L$22)</f>
        <v>0.02</v>
      </c>
      <c r="BE63" s="16">
        <f>_xlfn.XLOOKUP($A63, Constants!$E$18:$L$18,Constants!$E$23:$L$23)</f>
        <v>0.01</v>
      </c>
      <c r="BF63" s="16">
        <f>Constants!$B$48</f>
        <v>0.24</v>
      </c>
      <c r="BG63" s="16">
        <f>Constants!$B$49</f>
        <v>0.6784</v>
      </c>
      <c r="BH63" s="16">
        <f t="shared" si="93"/>
        <v>0</v>
      </c>
      <c r="BI63" s="16">
        <f t="shared" si="94"/>
        <v>0</v>
      </c>
      <c r="BJ63" s="16">
        <f t="shared" si="95"/>
        <v>0</v>
      </c>
      <c r="BK63" s="16">
        <f t="shared" si="96"/>
        <v>0</v>
      </c>
      <c r="BL63" s="16">
        <f t="shared" si="97"/>
        <v>2.351955028219201E-3</v>
      </c>
      <c r="BM63" s="16" t="str">
        <f>IF(ISNUMBER(FIND("PreWeaned",Y63)),_xlfn.XLOOKUP(Y63,Constants!$J$2:$J$3,Constants!$K$2:$K$3), "")</f>
        <v/>
      </c>
      <c r="BN63" s="16">
        <f t="shared" si="98"/>
        <v>132.1798725859191</v>
      </c>
    </row>
  </sheetData>
  <phoneticPr fontId="4" type="noConversion"/>
  <pageMargins left="0.7" right="0.7" top="0.75" bottom="0.75" header="0.3" footer="0.3"/>
  <ignoredErrors>
    <ignoredError sqref="AY8:AY11 AY12:AY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410A-94DE-214E-A1B2-AD989A65F4EB}">
  <dimension ref="A1:BO63"/>
  <sheetViews>
    <sheetView tabSelected="1" topLeftCell="X1" workbookViewId="0">
      <selection activeCell="AF8" sqref="AF8:AJ63"/>
    </sheetView>
  </sheetViews>
  <sheetFormatPr baseColWidth="10" defaultRowHeight="16" x14ac:dyDescent="0.2"/>
  <cols>
    <col min="43" max="43" width="22.5" customWidth="1"/>
    <col min="60" max="60" width="12.33203125" customWidth="1"/>
    <col min="65" max="65" width="15.83203125" customWidth="1"/>
  </cols>
  <sheetData>
    <row r="1" spans="1:67" x14ac:dyDescent="0.2">
      <c r="A1" t="s">
        <v>207</v>
      </c>
    </row>
    <row r="3" spans="1:67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</row>
    <row r="4" spans="1:67" x14ac:dyDescent="0.2">
      <c r="AV4" s="18"/>
    </row>
    <row r="5" spans="1:67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</row>
    <row r="6" spans="1:67" x14ac:dyDescent="0.2">
      <c r="U6" t="s">
        <v>132</v>
      </c>
      <c r="V6" t="s">
        <v>132</v>
      </c>
      <c r="W6" t="s">
        <v>80</v>
      </c>
      <c r="AK6" t="s">
        <v>80</v>
      </c>
      <c r="BN6" t="s">
        <v>158</v>
      </c>
      <c r="BO6" t="s">
        <v>159</v>
      </c>
    </row>
    <row r="7" spans="1:67" s="16" customFormat="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129</v>
      </c>
      <c r="U7" s="10" t="s">
        <v>82</v>
      </c>
      <c r="V7" s="10" t="s">
        <v>83</v>
      </c>
      <c r="W7" s="10" t="s">
        <v>79</v>
      </c>
      <c r="X7" s="10"/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  <c r="AF7" s="10" t="s">
        <v>67</v>
      </c>
      <c r="AG7" s="10" t="s">
        <v>68</v>
      </c>
      <c r="AH7" s="10" t="s">
        <v>69</v>
      </c>
      <c r="AI7" s="10" t="s">
        <v>70</v>
      </c>
      <c r="AJ7" s="10" t="s">
        <v>138</v>
      </c>
      <c r="AK7" s="10" t="s">
        <v>134</v>
      </c>
      <c r="AL7" s="10"/>
      <c r="AM7" s="10" t="s">
        <v>124</v>
      </c>
      <c r="AN7" s="10" t="s">
        <v>125</v>
      </c>
      <c r="AO7" s="10" t="s">
        <v>127</v>
      </c>
      <c r="AP7" s="10" t="s">
        <v>136</v>
      </c>
      <c r="AQ7" s="10" t="s">
        <v>137</v>
      </c>
      <c r="AR7" s="10" t="s">
        <v>98</v>
      </c>
      <c r="AS7" s="10" t="s">
        <v>97</v>
      </c>
      <c r="AT7" s="10" t="s">
        <v>113</v>
      </c>
      <c r="AU7" s="10" t="s">
        <v>116</v>
      </c>
      <c r="AV7" s="10" t="s">
        <v>141</v>
      </c>
      <c r="AW7" s="10" t="s">
        <v>142</v>
      </c>
      <c r="AX7" s="10" t="s">
        <v>143</v>
      </c>
      <c r="AY7" s="10" t="s">
        <v>144</v>
      </c>
      <c r="AZ7" s="10" t="s">
        <v>145</v>
      </c>
      <c r="BA7" s="10" t="s">
        <v>146</v>
      </c>
      <c r="BB7" s="10" t="s">
        <v>148</v>
      </c>
      <c r="BC7" s="10" t="s">
        <v>149</v>
      </c>
      <c r="BD7" s="10" t="s">
        <v>147</v>
      </c>
      <c r="BE7" s="10" t="s">
        <v>150</v>
      </c>
      <c r="BF7" s="10" t="s">
        <v>114</v>
      </c>
      <c r="BG7" s="10" t="s">
        <v>115</v>
      </c>
      <c r="BH7" s="10" t="s">
        <v>151</v>
      </c>
      <c r="BI7" s="10" t="s">
        <v>154</v>
      </c>
      <c r="BJ7" s="10" t="s">
        <v>155</v>
      </c>
      <c r="BK7" s="10" t="s">
        <v>152</v>
      </c>
      <c r="BL7" s="10" t="s">
        <v>153</v>
      </c>
      <c r="BM7" s="10" t="s">
        <v>112</v>
      </c>
      <c r="BN7" s="15" t="s">
        <v>157</v>
      </c>
      <c r="BO7" s="15" t="s">
        <v>156</v>
      </c>
    </row>
    <row r="8" spans="1:67" x14ac:dyDescent="0.2">
      <c r="A8" t="str">
        <f>'Input Scenarios'!A73</f>
        <v>NSW</v>
      </c>
      <c r="B8">
        <f>'Input Scenarios'!B73</f>
        <v>15</v>
      </c>
      <c r="C8" t="str">
        <f>'Input Scenarios'!C73</f>
        <v>Non-irrigated pasture</v>
      </c>
      <c r="D8" t="str">
        <f>'Input Scenarios'!D73</f>
        <v>wet</v>
      </c>
      <c r="E8" t="b">
        <f>'Input Scenarios'!E73</f>
        <v>0</v>
      </c>
      <c r="G8">
        <f>'Input Scenarios'!G73</f>
        <v>0.2</v>
      </c>
      <c r="H8">
        <f>'Input Scenarios'!H73</f>
        <v>0.3</v>
      </c>
      <c r="I8">
        <f>'Input Scenarios'!I73</f>
        <v>0.5</v>
      </c>
      <c r="J8">
        <f>'Input Scenarios'!J73</f>
        <v>0.25</v>
      </c>
      <c r="K8">
        <f>'Input Scenarios'!K73</f>
        <v>0.25</v>
      </c>
      <c r="L8">
        <f>'Input Scenarios'!L73</f>
        <v>0.25</v>
      </c>
      <c r="M8">
        <f>'Input Scenarios'!M73</f>
        <v>0.25</v>
      </c>
      <c r="N8">
        <f>'Input Scenarios'!N73</f>
        <v>0.25</v>
      </c>
      <c r="O8">
        <f>'Input Scenarios'!O73</f>
        <v>0.25</v>
      </c>
      <c r="P8">
        <f>'Input Scenarios'!P73</f>
        <v>0.25</v>
      </c>
      <c r="Q8">
        <f>'Input Scenarios'!Q73</f>
        <v>0.25</v>
      </c>
      <c r="R8" t="b">
        <f>'Input Scenarios'!R73</f>
        <v>1</v>
      </c>
      <c r="S8" s="20">
        <f>IF('Input Scenarios'!S73&lt;&gt;"", 'Input Scenarios'!S73, IF(R73, Constants!$B$38, 0))</f>
        <v>0.22</v>
      </c>
      <c r="T8" s="20" t="str">
        <f>IF('Input Scenarios'!T73&lt;&gt;"", 'Input Scenarios'!T73, "")</f>
        <v/>
      </c>
      <c r="U8" s="20" t="str">
        <f>IF('Input Scenarios'!U73&lt;&gt;"", 'Input Scenarios'!U73, IF(W8&lt;&gt;"", "", Constants!$B$39))</f>
        <v/>
      </c>
      <c r="V8" s="20" t="str">
        <f>IF('Input Scenarios'!V73&lt;&gt;"", 'Input Scenarios'!V73, IF(W8&lt;&gt;"", "", Constants!$B$40))</f>
        <v/>
      </c>
      <c r="W8" s="20">
        <f>IF('Input Scenarios'!W73&lt;&gt;"", 'Input Scenarios'!W73, "")</f>
        <v>15</v>
      </c>
      <c r="X8" s="20" t="str">
        <f>'Input Scenarios'!X73</f>
        <v>Medium Friesian</v>
      </c>
      <c r="Y8" s="20" t="str">
        <f>'Input Scenarios'!Y73</f>
        <v>milkingCows</v>
      </c>
      <c r="Z8" s="20">
        <f>'Input Scenarios'!Z73</f>
        <v>200</v>
      </c>
      <c r="AA8" s="20">
        <f>'Input Scenarios'!AA73</f>
        <v>365</v>
      </c>
      <c r="AB8" s="20">
        <f>'Input Scenarios'!AB73</f>
        <v>555</v>
      </c>
      <c r="AC8">
        <f>IF('Input Scenarios'!AC73&lt;&gt;"", 'Input Scenarios'!AC73, _xlfn.XLOOKUP(Y8, Constants!$B$13:$H$13, Constants!$B$15:$H$15, ""))</f>
        <v>1.6E-2</v>
      </c>
      <c r="AD8">
        <f>IF('Input Scenarios'!AD73&lt;&gt;"", 'Input Scenarios'!AD73, Constants!$B$45)</f>
        <v>0.7</v>
      </c>
      <c r="AE8">
        <f>IF('Input Scenarios'!AE73&lt;&gt;"", 'Input Scenarios'!AE73, Constants!$B$46)</f>
        <v>0.18</v>
      </c>
      <c r="AF8" s="20">
        <f>IF($Y8="milkingCows",($H8*J8)+($I8*N8), 0)</f>
        <v>0.2</v>
      </c>
      <c r="AG8" s="20">
        <f t="shared" ref="AG8:AI23" si="0">IF($Y8="milkingCows",($H8*K8)+($I8*O8), 0)</f>
        <v>0.2</v>
      </c>
      <c r="AH8" s="20">
        <f t="shared" si="0"/>
        <v>0.2</v>
      </c>
      <c r="AI8" s="20">
        <f t="shared" si="0"/>
        <v>0.2</v>
      </c>
      <c r="AJ8" s="20">
        <f>IF($Y8="milkingCows",G8, 1)</f>
        <v>0.2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0.55510000000000004</v>
      </c>
      <c r="AQ8" s="18">
        <f>(AK8*AL8*AM8)/(AN8*AO8*AP8)</f>
        <v>7.6994059041457472</v>
      </c>
      <c r="AR8">
        <f>IF(Y8="milkingCows", Constants!$P$2, Constants!$P$3)</f>
        <v>1.1000000000000001</v>
      </c>
      <c r="AS8" s="18">
        <f>IFERROR(((((1.185 + (0.00454*AB8) - (0.0000026*(AB8^2)) + (0.315*AC8))^2)*AR8)+AQ8), "")</f>
        <v>17.007115046333247</v>
      </c>
      <c r="AT8">
        <f>Constants!$B$47</f>
        <v>0.08</v>
      </c>
      <c r="AU8">
        <f>IFERROR((AS8*(1-AD8)+(0.04*AS8))*(1-AT8), "")</f>
        <v>5.3198255864930406</v>
      </c>
      <c r="AV8">
        <f>AF8*(1-S8)</f>
        <v>0.15600000000000003</v>
      </c>
      <c r="AW8">
        <f>AG8</f>
        <v>0.2</v>
      </c>
      <c r="AX8">
        <f>AH8</f>
        <v>0.2</v>
      </c>
      <c r="AY8">
        <f>AI8+(AF8*S8)</f>
        <v>0.24400000000000002</v>
      </c>
      <c r="AZ8">
        <f t="shared" ref="AZ8:AZ63" si="1">AJ8</f>
        <v>0.2</v>
      </c>
      <c r="BA8" s="20">
        <f>_xlfn.XLOOKUP($B8, Constants!$E$27:$E$45,Constants!F$27:F$45)</f>
        <v>0.74</v>
      </c>
      <c r="BB8" s="20">
        <f>_xlfn.XLOOKUP($B8, Constants!$E$27:$E$45,Constants!G$27:G$45)</f>
        <v>5.0000000000000001E-3</v>
      </c>
      <c r="BC8" s="20">
        <f>_xlfn.XLOOKUP($B8, Constants!$E$27:$E$45,Constants!H$27:H$45)</f>
        <v>0.17</v>
      </c>
      <c r="BD8" s="20">
        <f>_xlfn.XLOOKUP($B8, Constants!$E$27:$E$45,Constants!I$27:I$45)</f>
        <v>0.02</v>
      </c>
      <c r="BE8">
        <f>_xlfn.XLOOKUP($A8, Constants!$E$18:$L$18,Constants!$E$23:$L$23)</f>
        <v>0.01</v>
      </c>
      <c r="BF8">
        <f>Constants!$B$48</f>
        <v>0.24</v>
      </c>
      <c r="BG8">
        <f>Constants!$B$49</f>
        <v>0.6784</v>
      </c>
      <c r="BH8">
        <f>IF(ISNUMBER(FIND("PreWeaned",$Y8)), "", $AU8*AV8*BA8*$BF8*$BG8)</f>
        <v>9.9988670307385674E-2</v>
      </c>
      <c r="BI8">
        <f t="shared" ref="BI8:BL23" si="2">IF(ISNUMBER(FIND("PreWeaned",$Y8)), "", $AU8*AW8*BB8*$BF8*$BG8)</f>
        <v>8.6615272269045091E-4</v>
      </c>
      <c r="BJ8">
        <f t="shared" si="2"/>
        <v>2.9449192571475331E-2</v>
      </c>
      <c r="BK8">
        <f t="shared" si="2"/>
        <v>4.2268252867294007E-3</v>
      </c>
      <c r="BL8">
        <f t="shared" si="2"/>
        <v>1.7323054453809018E-3</v>
      </c>
      <c r="BM8" t="str">
        <f>IF(ISNUMBER(FIND("PreWeaned",Y8)),_xlfn.XLOOKUP(Y8,Constants!$J$2:$J$3,Constants!$K$2:$K$3), "")</f>
        <v/>
      </c>
      <c r="BN8">
        <f>Z8*AA8*SUM(BH8:BM8)</f>
        <v>9947.2096823573065</v>
      </c>
      <c r="BO8">
        <f>SUM(BN8:BN14)/1000</f>
        <v>13.576750857050662</v>
      </c>
    </row>
    <row r="9" spans="1:67" x14ac:dyDescent="0.2">
      <c r="A9" t="str">
        <f>'Input Scenarios'!A74</f>
        <v>NSW</v>
      </c>
      <c r="B9">
        <f>'Input Scenarios'!B74</f>
        <v>15</v>
      </c>
      <c r="C9" t="str">
        <f>'Input Scenarios'!C74</f>
        <v>Non-irrigated pasture</v>
      </c>
      <c r="D9" t="str">
        <f>'Input Scenarios'!D74</f>
        <v>wet</v>
      </c>
      <c r="E9" t="b">
        <f>'Input Scenarios'!E74</f>
        <v>0</v>
      </c>
      <c r="G9">
        <f>'Input Scenarios'!G74</f>
        <v>0.2</v>
      </c>
      <c r="H9">
        <f>'Input Scenarios'!H74</f>
        <v>0.3</v>
      </c>
      <c r="I9">
        <f>'Input Scenarios'!I74</f>
        <v>0.5</v>
      </c>
      <c r="J9">
        <f>'Input Scenarios'!J74</f>
        <v>0.25</v>
      </c>
      <c r="K9">
        <f>'Input Scenarios'!K74</f>
        <v>0.25</v>
      </c>
      <c r="L9">
        <f>'Input Scenarios'!L74</f>
        <v>0.25</v>
      </c>
      <c r="M9">
        <f>'Input Scenarios'!M74</f>
        <v>0.25</v>
      </c>
      <c r="N9">
        <f>'Input Scenarios'!N74</f>
        <v>0.25</v>
      </c>
      <c r="O9">
        <f>'Input Scenarios'!O74</f>
        <v>0.25</v>
      </c>
      <c r="P9">
        <f>'Input Scenarios'!P74</f>
        <v>0.25</v>
      </c>
      <c r="Q9">
        <f>'Input Scenarios'!Q74</f>
        <v>0.25</v>
      </c>
      <c r="R9" t="b">
        <f>'Input Scenarios'!R9</f>
        <v>1</v>
      </c>
      <c r="S9">
        <f>IF('Input Scenarios'!S74&lt;&gt;"", 'Input Scenarios'!S74, IF(R74, Constants!$B$38, 0))</f>
        <v>0.22</v>
      </c>
      <c r="T9" t="str">
        <f>IF('Input Scenarios'!T74&lt;&gt;"", 'Input Scenarios'!T74, "")</f>
        <v/>
      </c>
      <c r="U9">
        <f>IF('Input Scenarios'!U74&lt;&gt;"", 'Input Scenarios'!U74, IF(W9&lt;&gt;"", "", Constants!$B$39))</f>
        <v>4</v>
      </c>
      <c r="V9">
        <f>IF('Input Scenarios'!V74&lt;&gt;"", 'Input Scenarios'!V74, IF(W9&lt;&gt;"", "", Constants!$B$40))</f>
        <v>3.3</v>
      </c>
      <c r="W9" t="str">
        <f>IF('Input Scenarios'!W74&lt;&gt;"", 'Input Scenarios'!W74, "")</f>
        <v/>
      </c>
      <c r="X9" t="str">
        <f>'Input Scenarios'!X74</f>
        <v>Medium Friesian</v>
      </c>
      <c r="Y9" t="str">
        <f>'Input Scenarios'!Y74</f>
        <v>heifersGt1</v>
      </c>
      <c r="Z9">
        <f>'Input Scenarios'!Z74</f>
        <v>200</v>
      </c>
      <c r="AA9">
        <f>'Input Scenarios'!AA74</f>
        <v>365</v>
      </c>
      <c r="AB9">
        <f>'Input Scenarios'!AB74</f>
        <v>375</v>
      </c>
      <c r="AC9">
        <f>IF('Input Scenarios'!AC74&lt;&gt;"", 'Input Scenarios'!AC74, _xlfn.XLOOKUP(Y9, Constants!$B$13:$H$13, Constants!$B$15:$H$15, ""))</f>
        <v>0.6</v>
      </c>
      <c r="AD9">
        <f>IF('Input Scenarios'!AD74&lt;&gt;"", 'Input Scenarios'!AD74, Constants!$B$45)</f>
        <v>0.71</v>
      </c>
      <c r="AE9">
        <f>IF('Input Scenarios'!AE74&lt;&gt;"", 'Input Scenarios'!AE74, Constants!$B$46)</f>
        <v>0.19</v>
      </c>
      <c r="AF9">
        <f t="shared" ref="AF9:AI24" si="3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4">IF($Y9="milkingCows",G9, 1)</f>
        <v>1</v>
      </c>
      <c r="AK9">
        <f t="shared" ref="AK9:AK13" si="5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63" si="6">0.795*(AD9)-0.0014</f>
        <v>0.56305000000000005</v>
      </c>
      <c r="AQ9">
        <f t="shared" ref="AQ9:AQ63" si="7">(AK9*AL9*AM9)/(AN9*AO9*AP9)</f>
        <v>0</v>
      </c>
      <c r="AR9">
        <f>IF(Y9="milkingCows", Constants!$P$2, Constants!$P$3)</f>
        <v>1</v>
      </c>
      <c r="AS9" s="18">
        <f t="shared" ref="AS9:AS63" si="8">IFERROR(((((1.185 + (0.00454*AB9) - (0.0000026*(AB9^2)) + (0.315*AC9))^2)*AR9)+AQ9), "")</f>
        <v>7.3488432656250007</v>
      </c>
      <c r="AT9">
        <f>Constants!$B$47</f>
        <v>0.08</v>
      </c>
      <c r="AU9">
        <f>IFERROR((AS9*(1-AD9)+(0.04*AS9))*(1-AT9), "")</f>
        <v>2.2311088154437506</v>
      </c>
      <c r="AV9">
        <f t="shared" ref="AV9:AV63" si="9">AF9*(1-S9)</f>
        <v>0</v>
      </c>
      <c r="AW9">
        <f t="shared" ref="AW9:AX24" si="10">AG9</f>
        <v>0</v>
      </c>
      <c r="AX9">
        <f t="shared" si="10"/>
        <v>0</v>
      </c>
      <c r="AY9">
        <f t="shared" ref="AY9:AY63" si="11">AI9+(AF9*S9)</f>
        <v>0</v>
      </c>
      <c r="AZ9">
        <f t="shared" si="1"/>
        <v>1</v>
      </c>
      <c r="BA9">
        <f>_xlfn.XLOOKUP($B9, Constants!$E$27:$E$45,Constants!F$27:F$45)</f>
        <v>0.74</v>
      </c>
      <c r="BB9">
        <f>_xlfn.XLOOKUP($B9, Constants!$E$27:$E$45,Constants!G$27:G$45)</f>
        <v>5.0000000000000001E-3</v>
      </c>
      <c r="BC9">
        <f>_xlfn.XLOOKUP($B9, Constants!$E$27:$E$45,Constants!H$27:H$45)</f>
        <v>0.17</v>
      </c>
      <c r="BD9">
        <f>_xlfn.XLOOKUP($B9, Constants!$E$27:$E$45,Constants!I$27:I$45)</f>
        <v>0.02</v>
      </c>
      <c r="BE9">
        <f>_xlfn.XLOOKUP($A9, Constants!$E$18:$L$18,Constants!$E$23:$L$23)</f>
        <v>0.01</v>
      </c>
      <c r="BF9">
        <f>Constants!$B$48</f>
        <v>0.24</v>
      </c>
      <c r="BG9">
        <f>Constants!$B$49</f>
        <v>0.6784</v>
      </c>
      <c r="BH9">
        <f t="shared" ref="BH9:BL24" si="12">IF(ISNUMBER(FIND("PreWeaned",$Y9)), "", $AU9*AV9*BA9*$BF9*$BG9)</f>
        <v>0</v>
      </c>
      <c r="BI9">
        <f t="shared" si="2"/>
        <v>0</v>
      </c>
      <c r="BJ9">
        <f t="shared" si="2"/>
        <v>0</v>
      </c>
      <c r="BK9">
        <f t="shared" si="2"/>
        <v>0</v>
      </c>
      <c r="BL9">
        <f t="shared" si="2"/>
        <v>3.6326021289528974E-3</v>
      </c>
      <c r="BM9" t="str">
        <f>IF(ISNUMBER(FIND("PreWeaned",Y9)),_xlfn.XLOOKUP(Y9,Constants!$J$2:$J$3,Constants!$K$2:$K$3), "")</f>
        <v/>
      </c>
      <c r="BN9">
        <f t="shared" ref="BN9:BN63" si="13">Z9*AA9*SUM(BH9:BM9)</f>
        <v>265.17995541356152</v>
      </c>
    </row>
    <row r="10" spans="1:67" x14ac:dyDescent="0.2">
      <c r="A10" t="str">
        <f>'Input Scenarios'!A75</f>
        <v>NSW</v>
      </c>
      <c r="B10">
        <f>'Input Scenarios'!B75</f>
        <v>15</v>
      </c>
      <c r="C10" t="str">
        <f>'Input Scenarios'!C75</f>
        <v>Non-irrigated pasture</v>
      </c>
      <c r="D10" t="str">
        <f>'Input Scenarios'!D75</f>
        <v>wet</v>
      </c>
      <c r="E10" t="b">
        <f>'Input Scenarios'!E75</f>
        <v>0</v>
      </c>
      <c r="G10">
        <f>'Input Scenarios'!G75</f>
        <v>0.2</v>
      </c>
      <c r="H10">
        <f>'Input Scenarios'!H75</f>
        <v>0.3</v>
      </c>
      <c r="I10">
        <f>'Input Scenarios'!I75</f>
        <v>0.5</v>
      </c>
      <c r="J10">
        <f>'Input Scenarios'!J75</f>
        <v>0.25</v>
      </c>
      <c r="K10">
        <f>'Input Scenarios'!K75</f>
        <v>0.25</v>
      </c>
      <c r="L10">
        <f>'Input Scenarios'!L75</f>
        <v>0.25</v>
      </c>
      <c r="M10">
        <f>'Input Scenarios'!M75</f>
        <v>0.25</v>
      </c>
      <c r="N10">
        <f>'Input Scenarios'!N75</f>
        <v>0.25</v>
      </c>
      <c r="O10">
        <f>'Input Scenarios'!O75</f>
        <v>0.25</v>
      </c>
      <c r="P10">
        <f>'Input Scenarios'!P75</f>
        <v>0.25</v>
      </c>
      <c r="Q10">
        <f>'Input Scenarios'!Q75</f>
        <v>0.25</v>
      </c>
      <c r="R10" t="b">
        <f>'Input Scenarios'!R10</f>
        <v>1</v>
      </c>
      <c r="S10">
        <f>IF('Input Scenarios'!S75&lt;&gt;"", 'Input Scenarios'!S75, IF(R75, Constants!$B$38, 0))</f>
        <v>0.22</v>
      </c>
      <c r="T10" t="str">
        <f>IF('Input Scenarios'!T75&lt;&gt;"", 'Input Scenarios'!T75, "")</f>
        <v/>
      </c>
      <c r="U10">
        <f>IF('Input Scenarios'!U75&lt;&gt;"", 'Input Scenarios'!U75, IF(W10&lt;&gt;"", "", Constants!$B$39))</f>
        <v>4</v>
      </c>
      <c r="V10">
        <f>IF('Input Scenarios'!V75&lt;&gt;"", 'Input Scenarios'!V75, IF(W10&lt;&gt;"", "", Constants!$B$40))</f>
        <v>3.3</v>
      </c>
      <c r="W10" t="str">
        <f>IF('Input Scenarios'!W75&lt;&gt;"", 'Input Scenarios'!W75, "")</f>
        <v/>
      </c>
      <c r="X10" t="str">
        <f>'Input Scenarios'!X75</f>
        <v>Medium Friesian</v>
      </c>
      <c r="Y10" t="str">
        <f>'Input Scenarios'!Y75</f>
        <v>heifersLt1PreWeaned</v>
      </c>
      <c r="Z10">
        <f>'Input Scenarios'!Z75</f>
        <v>200</v>
      </c>
      <c r="AA10">
        <f>'Input Scenarios'!AA75</f>
        <v>365</v>
      </c>
      <c r="AB10">
        <f>'Input Scenarios'!AB75</f>
        <v>80</v>
      </c>
      <c r="AC10" t="str">
        <f>IF('Input Scenarios'!AC75&lt;&gt;"", 'Input Scenarios'!AC75, _xlfn.XLOOKUP(Y10, Constants!$B$13:$H$13, Constants!$B$15:$H$15, ""))</f>
        <v/>
      </c>
      <c r="AD10">
        <f>IF('Input Scenarios'!AD75&lt;&gt;"", 'Input Scenarios'!AD75, Constants!$B$45)</f>
        <v>0.72</v>
      </c>
      <c r="AE10">
        <f>IF('Input Scenarios'!AE75&lt;&gt;"", 'Input Scenarios'!AE75, Constants!$B$46)</f>
        <v>0.2</v>
      </c>
      <c r="AF10">
        <f t="shared" si="3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4"/>
        <v>1</v>
      </c>
      <c r="AK10">
        <f t="shared" si="5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6"/>
        <v>0.57100000000000006</v>
      </c>
      <c r="AQ10">
        <f t="shared" si="7"/>
        <v>0</v>
      </c>
      <c r="AR10">
        <f>IF(Y10="milkingCows", Constants!$P$2, Constants!$P$3)</f>
        <v>1</v>
      </c>
      <c r="AS10" s="18" t="str">
        <f t="shared" si="8"/>
        <v/>
      </c>
      <c r="AT10">
        <f>Constants!$B$47</f>
        <v>0.08</v>
      </c>
      <c r="AU10" t="str">
        <f>IFERROR((AS10*(1-AD10)+(0.04*AS10))*(1-AT10), "")</f>
        <v/>
      </c>
      <c r="AV10">
        <f t="shared" si="9"/>
        <v>0</v>
      </c>
      <c r="AW10">
        <f t="shared" si="10"/>
        <v>0</v>
      </c>
      <c r="AX10">
        <f t="shared" si="10"/>
        <v>0</v>
      </c>
      <c r="AY10">
        <f t="shared" si="11"/>
        <v>0</v>
      </c>
      <c r="AZ10">
        <f t="shared" si="1"/>
        <v>1</v>
      </c>
      <c r="BA10">
        <f>_xlfn.XLOOKUP($B10, Constants!$E$27:$E$45,Constants!F$27:F$45)</f>
        <v>0.74</v>
      </c>
      <c r="BB10">
        <f>_xlfn.XLOOKUP($B10, Constants!$E$27:$E$45,Constants!G$27:G$45)</f>
        <v>5.0000000000000001E-3</v>
      </c>
      <c r="BC10">
        <f>_xlfn.XLOOKUP($B10, Constants!$E$27:$E$45,Constants!H$27:H$45)</f>
        <v>0.17</v>
      </c>
      <c r="BD10">
        <f>_xlfn.XLOOKUP($B10, Constants!$E$27:$E$45,Constants!I$27:I$45)</f>
        <v>0.02</v>
      </c>
      <c r="BE10">
        <f>_xlfn.XLOOKUP($A10, Constants!$E$18:$L$18,Constants!$E$23:$L$23)</f>
        <v>0.01</v>
      </c>
      <c r="BF10">
        <f>Constants!$B$48</f>
        <v>0.24</v>
      </c>
      <c r="BG10">
        <f>Constants!$B$49</f>
        <v>0.6784</v>
      </c>
      <c r="BH10" t="str">
        <f t="shared" si="12"/>
        <v/>
      </c>
      <c r="BI10" t="str">
        <f t="shared" si="2"/>
        <v/>
      </c>
      <c r="BJ10" t="str">
        <f t="shared" si="2"/>
        <v/>
      </c>
      <c r="BK10" t="str">
        <f t="shared" si="2"/>
        <v/>
      </c>
      <c r="BL10" t="str">
        <f t="shared" si="2"/>
        <v/>
      </c>
      <c r="BM10">
        <f>IF(ISNUMBER(FIND("PreWeaned",Y10)),_xlfn.XLOOKUP(Y10,Constants!$J$2:$J$3,Constants!$K$2:$K$3), "")</f>
        <v>1.7600000000000001E-2</v>
      </c>
      <c r="BN10">
        <f t="shared" si="13"/>
        <v>1284.8000000000002</v>
      </c>
    </row>
    <row r="11" spans="1:67" x14ac:dyDescent="0.2">
      <c r="A11" t="str">
        <f>'Input Scenarios'!A76</f>
        <v>NSW</v>
      </c>
      <c r="B11">
        <f>'Input Scenarios'!B76</f>
        <v>15</v>
      </c>
      <c r="C11" t="str">
        <f>'Input Scenarios'!C76</f>
        <v>Non-irrigated pasture</v>
      </c>
      <c r="D11" t="str">
        <f>'Input Scenarios'!D76</f>
        <v>wet</v>
      </c>
      <c r="E11" t="b">
        <f>'Input Scenarios'!E76</f>
        <v>0</v>
      </c>
      <c r="G11">
        <f>'Input Scenarios'!G76</f>
        <v>0.2</v>
      </c>
      <c r="H11">
        <f>'Input Scenarios'!H76</f>
        <v>0.3</v>
      </c>
      <c r="I11">
        <f>'Input Scenarios'!I76</f>
        <v>0.5</v>
      </c>
      <c r="J11">
        <f>'Input Scenarios'!J76</f>
        <v>0.25</v>
      </c>
      <c r="K11">
        <f>'Input Scenarios'!K76</f>
        <v>0.25</v>
      </c>
      <c r="L11">
        <f>'Input Scenarios'!L76</f>
        <v>0.25</v>
      </c>
      <c r="M11">
        <f>'Input Scenarios'!M76</f>
        <v>0.25</v>
      </c>
      <c r="N11">
        <f>'Input Scenarios'!N76</f>
        <v>0.25</v>
      </c>
      <c r="O11">
        <f>'Input Scenarios'!O76</f>
        <v>0.25</v>
      </c>
      <c r="P11">
        <f>'Input Scenarios'!P76</f>
        <v>0.25</v>
      </c>
      <c r="Q11">
        <f>'Input Scenarios'!Q76</f>
        <v>0.25</v>
      </c>
      <c r="R11" t="b">
        <f>'Input Scenarios'!R11</f>
        <v>1</v>
      </c>
      <c r="S11">
        <f>IF('Input Scenarios'!S76&lt;&gt;"", 'Input Scenarios'!S76, IF(R76, Constants!$B$38, 0))</f>
        <v>0.22</v>
      </c>
      <c r="T11" t="str">
        <f>IF('Input Scenarios'!T76&lt;&gt;"", 'Input Scenarios'!T76, "")</f>
        <v/>
      </c>
      <c r="U11">
        <f>IF('Input Scenarios'!U76&lt;&gt;"", 'Input Scenarios'!U76, IF(W11&lt;&gt;"", "", Constants!$B$39))</f>
        <v>4</v>
      </c>
      <c r="V11">
        <f>IF('Input Scenarios'!V76&lt;&gt;"", 'Input Scenarios'!V76, IF(W11&lt;&gt;"", "", Constants!$B$40))</f>
        <v>3.3</v>
      </c>
      <c r="W11" t="str">
        <f>IF('Input Scenarios'!W76&lt;&gt;"", 'Input Scenarios'!W76, "")</f>
        <v/>
      </c>
      <c r="X11" t="str">
        <f>'Input Scenarios'!X76</f>
        <v>Medium Friesian</v>
      </c>
      <c r="Y11" t="str">
        <f>'Input Scenarios'!Y76</f>
        <v>heifersLt1Weaned</v>
      </c>
      <c r="Z11">
        <f>'Input Scenarios'!Z76</f>
        <v>200</v>
      </c>
      <c r="AA11">
        <f>'Input Scenarios'!AA76</f>
        <v>365</v>
      </c>
      <c r="AB11">
        <f>'Input Scenarios'!AB76</f>
        <v>123</v>
      </c>
      <c r="AC11">
        <f>IF('Input Scenarios'!AC76&lt;&gt;"", 'Input Scenarios'!AC76, _xlfn.XLOOKUP(Y11, Constants!$B$13:$H$13, Constants!$B$15:$H$15, ""))</f>
        <v>0.56999999999999995</v>
      </c>
      <c r="AD11">
        <f>IF('Input Scenarios'!AD76&lt;&gt;"", 'Input Scenarios'!AD76, Constants!$B$45)</f>
        <v>0.73</v>
      </c>
      <c r="AE11">
        <f>IF('Input Scenarios'!AE76&lt;&gt;"", 'Input Scenarios'!AE76, Constants!$B$46)</f>
        <v>0.21</v>
      </c>
      <c r="AF11">
        <f t="shared" si="3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4"/>
        <v>1</v>
      </c>
      <c r="AK11">
        <f t="shared" si="5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6"/>
        <v>0.57895000000000008</v>
      </c>
      <c r="AQ11">
        <f t="shared" si="7"/>
        <v>0</v>
      </c>
      <c r="AR11">
        <f>IF(Y11="milkingCows", Constants!$P$2, Constants!$P$3)</f>
        <v>1</v>
      </c>
      <c r="AS11" s="18">
        <f t="shared" si="8"/>
        <v>3.5480793063171605</v>
      </c>
      <c r="AT11">
        <f>Constants!$B$47</f>
        <v>0.08</v>
      </c>
      <c r="AU11">
        <f t="shared" ref="AU11:AU63" si="14">IFERROR((AS11*(1-AD11)+(0.04*AS11))*(1-AT11), "")</f>
        <v>1.0119122181616542</v>
      </c>
      <c r="AV11">
        <f t="shared" si="9"/>
        <v>0</v>
      </c>
      <c r="AW11">
        <f t="shared" si="10"/>
        <v>0</v>
      </c>
      <c r="AX11">
        <f t="shared" si="10"/>
        <v>0</v>
      </c>
      <c r="AY11">
        <f t="shared" si="11"/>
        <v>0</v>
      </c>
      <c r="AZ11">
        <f t="shared" si="1"/>
        <v>1</v>
      </c>
      <c r="BA11">
        <f>_xlfn.XLOOKUP($B11, Constants!$E$27:$E$45,Constants!F$27:F$45)</f>
        <v>0.74</v>
      </c>
      <c r="BB11">
        <f>_xlfn.XLOOKUP($B11, Constants!$E$27:$E$45,Constants!G$27:G$45)</f>
        <v>5.0000000000000001E-3</v>
      </c>
      <c r="BC11">
        <f>_xlfn.XLOOKUP($B11, Constants!$E$27:$E$45,Constants!H$27:H$45)</f>
        <v>0.17</v>
      </c>
      <c r="BD11">
        <f>_xlfn.XLOOKUP($B11, Constants!$E$27:$E$45,Constants!I$27:I$45)</f>
        <v>0.02</v>
      </c>
      <c r="BE11">
        <f>_xlfn.XLOOKUP($A11, Constants!$E$18:$L$18,Constants!$E$23:$L$23)</f>
        <v>0.01</v>
      </c>
      <c r="BF11">
        <f>Constants!$B$48</f>
        <v>0.24</v>
      </c>
      <c r="BG11">
        <f>Constants!$B$49</f>
        <v>0.6784</v>
      </c>
      <c r="BH11">
        <f t="shared" si="12"/>
        <v>0</v>
      </c>
      <c r="BI11">
        <f t="shared" si="2"/>
        <v>0</v>
      </c>
      <c r="BJ11">
        <f t="shared" si="2"/>
        <v>0</v>
      </c>
      <c r="BK11">
        <f t="shared" si="2"/>
        <v>0</v>
      </c>
      <c r="BL11">
        <f t="shared" si="2"/>
        <v>1.647554997122079E-3</v>
      </c>
      <c r="BM11" t="str">
        <f>IF(ISNUMBER(FIND("PreWeaned",Y11)),_xlfn.XLOOKUP(Y11,Constants!$J$2:$J$3,Constants!$K$2:$K$3), "")</f>
        <v/>
      </c>
      <c r="BN11">
        <f t="shared" si="13"/>
        <v>120.27151478991176</v>
      </c>
    </row>
    <row r="12" spans="1:67" x14ac:dyDescent="0.2">
      <c r="A12" t="str">
        <f>'Input Scenarios'!A77</f>
        <v>NSW</v>
      </c>
      <c r="B12">
        <f>'Input Scenarios'!B77</f>
        <v>15</v>
      </c>
      <c r="C12" t="str">
        <f>'Input Scenarios'!C77</f>
        <v>Non-irrigated pasture</v>
      </c>
      <c r="D12" t="str">
        <f>'Input Scenarios'!D77</f>
        <v>wet</v>
      </c>
      <c r="E12" t="b">
        <f>'Input Scenarios'!E77</f>
        <v>0</v>
      </c>
      <c r="G12">
        <f>'Input Scenarios'!G77</f>
        <v>0.2</v>
      </c>
      <c r="H12">
        <f>'Input Scenarios'!H77</f>
        <v>0.3</v>
      </c>
      <c r="I12">
        <f>'Input Scenarios'!I77</f>
        <v>0.5</v>
      </c>
      <c r="J12">
        <f>'Input Scenarios'!J77</f>
        <v>0.25</v>
      </c>
      <c r="K12">
        <f>'Input Scenarios'!K77</f>
        <v>0.25</v>
      </c>
      <c r="L12">
        <f>'Input Scenarios'!L77</f>
        <v>0.25</v>
      </c>
      <c r="M12">
        <f>'Input Scenarios'!M77</f>
        <v>0.25</v>
      </c>
      <c r="N12">
        <f>'Input Scenarios'!N77</f>
        <v>0.25</v>
      </c>
      <c r="O12">
        <f>'Input Scenarios'!O77</f>
        <v>0.25</v>
      </c>
      <c r="P12">
        <f>'Input Scenarios'!P77</f>
        <v>0.25</v>
      </c>
      <c r="Q12">
        <f>'Input Scenarios'!Q77</f>
        <v>0.25</v>
      </c>
      <c r="R12" t="b">
        <f>'Input Scenarios'!R12</f>
        <v>1</v>
      </c>
      <c r="S12">
        <f>IF('Input Scenarios'!S77&lt;&gt;"", 'Input Scenarios'!S77, IF(R77, Constants!$B$38, 0))</f>
        <v>0.22</v>
      </c>
      <c r="T12" t="str">
        <f>IF('Input Scenarios'!T77&lt;&gt;"", 'Input Scenarios'!T77, "")</f>
        <v/>
      </c>
      <c r="U12">
        <f>IF('Input Scenarios'!U77&lt;&gt;"", 'Input Scenarios'!U77, IF(W12&lt;&gt;"", "", Constants!$B$39))</f>
        <v>4</v>
      </c>
      <c r="V12">
        <f>IF('Input Scenarios'!V77&lt;&gt;"", 'Input Scenarios'!V77, IF(W12&lt;&gt;"", "", Constants!$B$40))</f>
        <v>3.3</v>
      </c>
      <c r="W12" t="str">
        <f>IF('Input Scenarios'!W77&lt;&gt;"", 'Input Scenarios'!W77, "")</f>
        <v/>
      </c>
      <c r="X12" t="str">
        <f>'Input Scenarios'!X77</f>
        <v>Medium Friesian</v>
      </c>
      <c r="Y12" t="str">
        <f>'Input Scenarios'!Y77</f>
        <v>bullsGt1</v>
      </c>
      <c r="Z12">
        <f>'Input Scenarios'!Z77</f>
        <v>200</v>
      </c>
      <c r="AA12">
        <f>'Input Scenarios'!AA77</f>
        <v>365</v>
      </c>
      <c r="AB12">
        <f>'Input Scenarios'!AB77</f>
        <v>560</v>
      </c>
      <c r="AC12">
        <f>IF('Input Scenarios'!AC77&lt;&gt;"", 'Input Scenarios'!AC77, _xlfn.XLOOKUP(Y12, Constants!$B$13:$H$13, Constants!$B$15:$H$15, ""))</f>
        <v>0.1</v>
      </c>
      <c r="AD12">
        <f>IF('Input Scenarios'!AD77&lt;&gt;"", 'Input Scenarios'!AD77, Constants!$B$45)</f>
        <v>0.74</v>
      </c>
      <c r="AE12">
        <f>IF('Input Scenarios'!AE77&lt;&gt;"", 'Input Scenarios'!AE77, Constants!$B$46)</f>
        <v>0.22</v>
      </c>
      <c r="AF12">
        <f t="shared" si="3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4"/>
        <v>1</v>
      </c>
      <c r="AK12">
        <f t="shared" si="5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6"/>
        <v>0.58690000000000009</v>
      </c>
      <c r="AQ12">
        <f t="shared" si="7"/>
        <v>0</v>
      </c>
      <c r="AR12">
        <f>IF(Y12="milkingCows", Constants!$P$2, Constants!$P$3)</f>
        <v>1</v>
      </c>
      <c r="AS12" s="18">
        <f t="shared" si="8"/>
        <v>8.6644277315999982</v>
      </c>
      <c r="AT12">
        <f>Constants!$B$47</f>
        <v>0.08</v>
      </c>
      <c r="AU12">
        <f t="shared" si="14"/>
        <v>2.3913820539215997</v>
      </c>
      <c r="AV12">
        <f t="shared" si="9"/>
        <v>0</v>
      </c>
      <c r="AW12">
        <f t="shared" si="10"/>
        <v>0</v>
      </c>
      <c r="AX12">
        <f t="shared" si="10"/>
        <v>0</v>
      </c>
      <c r="AY12">
        <f t="shared" si="11"/>
        <v>0</v>
      </c>
      <c r="AZ12">
        <f t="shared" si="1"/>
        <v>1</v>
      </c>
      <c r="BA12">
        <f>_xlfn.XLOOKUP($B12, Constants!$E$27:$E$45,Constants!F$27:F$45)</f>
        <v>0.74</v>
      </c>
      <c r="BB12">
        <f>_xlfn.XLOOKUP($B12, Constants!$E$27:$E$45,Constants!G$27:G$45)</f>
        <v>5.0000000000000001E-3</v>
      </c>
      <c r="BC12">
        <f>_xlfn.XLOOKUP($B12, Constants!$E$27:$E$45,Constants!H$27:H$45)</f>
        <v>0.17</v>
      </c>
      <c r="BD12">
        <f>_xlfn.XLOOKUP($B12, Constants!$E$27:$E$45,Constants!I$27:I$45)</f>
        <v>0.02</v>
      </c>
      <c r="BE12">
        <f>_xlfn.XLOOKUP($A12, Constants!$E$18:$L$18,Constants!$E$23:$L$23)</f>
        <v>0.01</v>
      </c>
      <c r="BF12">
        <f>Constants!$B$48</f>
        <v>0.24</v>
      </c>
      <c r="BG12">
        <f>Constants!$B$49</f>
        <v>0.6784</v>
      </c>
      <c r="BH12">
        <f t="shared" si="12"/>
        <v>0</v>
      </c>
      <c r="BI12">
        <f t="shared" si="2"/>
        <v>0</v>
      </c>
      <c r="BJ12">
        <f t="shared" si="2"/>
        <v>0</v>
      </c>
      <c r="BK12">
        <f t="shared" si="2"/>
        <v>0</v>
      </c>
      <c r="BL12">
        <f t="shared" si="2"/>
        <v>3.8935526049129914E-3</v>
      </c>
      <c r="BM12" t="str">
        <f>IF(ISNUMBER(FIND("PreWeaned",Y12)),_xlfn.XLOOKUP(Y12,Constants!$J$2:$J$3,Constants!$K$2:$K$3), "")</f>
        <v/>
      </c>
      <c r="BN12">
        <f t="shared" si="13"/>
        <v>284.22934015864837</v>
      </c>
    </row>
    <row r="13" spans="1:67" x14ac:dyDescent="0.2">
      <c r="A13" t="str">
        <f>'Input Scenarios'!A78</f>
        <v>NSW</v>
      </c>
      <c r="B13">
        <f>'Input Scenarios'!B78</f>
        <v>15</v>
      </c>
      <c r="C13" t="str">
        <f>'Input Scenarios'!C78</f>
        <v>Non-irrigated pasture</v>
      </c>
      <c r="D13" t="str">
        <f>'Input Scenarios'!D78</f>
        <v>wet</v>
      </c>
      <c r="E13" t="b">
        <f>'Input Scenarios'!E78</f>
        <v>0</v>
      </c>
      <c r="G13">
        <f>'Input Scenarios'!G78</f>
        <v>0.2</v>
      </c>
      <c r="H13">
        <f>'Input Scenarios'!H78</f>
        <v>0.3</v>
      </c>
      <c r="I13">
        <f>'Input Scenarios'!I78</f>
        <v>0.5</v>
      </c>
      <c r="J13">
        <f>'Input Scenarios'!J78</f>
        <v>0.25</v>
      </c>
      <c r="K13">
        <f>'Input Scenarios'!K78</f>
        <v>0.25</v>
      </c>
      <c r="L13">
        <f>'Input Scenarios'!L78</f>
        <v>0.25</v>
      </c>
      <c r="M13">
        <f>'Input Scenarios'!M78</f>
        <v>0.25</v>
      </c>
      <c r="N13">
        <f>'Input Scenarios'!N78</f>
        <v>0.25</v>
      </c>
      <c r="O13">
        <f>'Input Scenarios'!O78</f>
        <v>0.25</v>
      </c>
      <c r="P13">
        <f>'Input Scenarios'!P78</f>
        <v>0.25</v>
      </c>
      <c r="Q13">
        <f>'Input Scenarios'!Q78</f>
        <v>0.25</v>
      </c>
      <c r="R13" t="b">
        <f>'Input Scenarios'!R13</f>
        <v>1</v>
      </c>
      <c r="S13">
        <f>IF('Input Scenarios'!S78&lt;&gt;"", 'Input Scenarios'!S78, IF(R78, Constants!$B$38, 0))</f>
        <v>0.22</v>
      </c>
      <c r="T13" t="str">
        <f>IF('Input Scenarios'!T78&lt;&gt;"", 'Input Scenarios'!T78, "")</f>
        <v/>
      </c>
      <c r="U13">
        <f>IF('Input Scenarios'!U78&lt;&gt;"", 'Input Scenarios'!U78, IF(W13&lt;&gt;"", "", Constants!$B$39))</f>
        <v>4</v>
      </c>
      <c r="V13">
        <f>IF('Input Scenarios'!V78&lt;&gt;"", 'Input Scenarios'!V78, IF(W13&lt;&gt;"", "", Constants!$B$40))</f>
        <v>3.3</v>
      </c>
      <c r="W13" t="str">
        <f>IF('Input Scenarios'!W78&lt;&gt;"", 'Input Scenarios'!W78, "")</f>
        <v/>
      </c>
      <c r="X13" t="str">
        <f>'Input Scenarios'!X78</f>
        <v>Medium Friesian</v>
      </c>
      <c r="Y13" t="str">
        <f>'Input Scenarios'!Y78</f>
        <v>bullsLt1PreWeaned</v>
      </c>
      <c r="Z13">
        <f>'Input Scenarios'!Z78</f>
        <v>200</v>
      </c>
      <c r="AA13">
        <f>'Input Scenarios'!AA78</f>
        <v>365</v>
      </c>
      <c r="AB13">
        <f>'Input Scenarios'!AB78</f>
        <v>250</v>
      </c>
      <c r="AC13" t="str">
        <f>IF('Input Scenarios'!AC78&lt;&gt;"", 'Input Scenarios'!AC78, _xlfn.XLOOKUP(Y13, Constants!$B$13:$H$13, Constants!$B$15:$H$15, ""))</f>
        <v/>
      </c>
      <c r="AD13">
        <f>IF('Input Scenarios'!AD78&lt;&gt;"", 'Input Scenarios'!AD78, Constants!$B$45)</f>
        <v>0.75</v>
      </c>
      <c r="AE13">
        <f>IF('Input Scenarios'!AE78&lt;&gt;"", 'Input Scenarios'!AE78, Constants!$B$46)</f>
        <v>0.23</v>
      </c>
      <c r="AF13">
        <f t="shared" si="3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4"/>
        <v>1</v>
      </c>
      <c r="AK13">
        <f t="shared" si="5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6"/>
        <v>0.5948500000000001</v>
      </c>
      <c r="AQ13">
        <f t="shared" si="7"/>
        <v>0</v>
      </c>
      <c r="AR13">
        <f>IF(Y13="milkingCows", Constants!$P$2, Constants!$P$3)</f>
        <v>1</v>
      </c>
      <c r="AS13" s="18" t="str">
        <f t="shared" si="8"/>
        <v/>
      </c>
      <c r="AT13">
        <f>Constants!$B$47</f>
        <v>0.08</v>
      </c>
      <c r="AU13" t="str">
        <f t="shared" si="14"/>
        <v/>
      </c>
      <c r="AV13">
        <f t="shared" si="9"/>
        <v>0</v>
      </c>
      <c r="AW13">
        <f t="shared" si="10"/>
        <v>0</v>
      </c>
      <c r="AX13">
        <f t="shared" si="10"/>
        <v>0</v>
      </c>
      <c r="AY13">
        <f t="shared" si="11"/>
        <v>0</v>
      </c>
      <c r="AZ13">
        <f t="shared" si="1"/>
        <v>1</v>
      </c>
      <c r="BA13">
        <f>_xlfn.XLOOKUP($B13, Constants!$E$27:$E$45,Constants!F$27:F$45)</f>
        <v>0.74</v>
      </c>
      <c r="BB13">
        <f>_xlfn.XLOOKUP($B13, Constants!$E$27:$E$45,Constants!G$27:G$45)</f>
        <v>5.0000000000000001E-3</v>
      </c>
      <c r="BC13">
        <f>_xlfn.XLOOKUP($B13, Constants!$E$27:$E$45,Constants!H$27:H$45)</f>
        <v>0.17</v>
      </c>
      <c r="BD13">
        <f>_xlfn.XLOOKUP($B13, Constants!$E$27:$E$45,Constants!I$27:I$45)</f>
        <v>0.02</v>
      </c>
      <c r="BE13">
        <f>_xlfn.XLOOKUP($A13, Constants!$E$18:$L$18,Constants!$E$23:$L$23)</f>
        <v>0.01</v>
      </c>
      <c r="BF13">
        <f>Constants!$B$48</f>
        <v>0.24</v>
      </c>
      <c r="BG13">
        <f>Constants!$B$49</f>
        <v>0.6784</v>
      </c>
      <c r="BH13" t="str">
        <f t="shared" si="12"/>
        <v/>
      </c>
      <c r="BI13" t="str">
        <f t="shared" si="2"/>
        <v/>
      </c>
      <c r="BJ13" t="str">
        <f t="shared" si="2"/>
        <v/>
      </c>
      <c r="BK13" t="str">
        <f t="shared" si="2"/>
        <v/>
      </c>
      <c r="BL13" t="str">
        <f t="shared" si="2"/>
        <v/>
      </c>
      <c r="BM13">
        <f>IF(ISNUMBER(FIND("PreWeaned",Y13)),_xlfn.XLOOKUP(Y13,Constants!$J$2:$J$3,Constants!$K$2:$K$3), "")</f>
        <v>2.0400000000000001E-2</v>
      </c>
      <c r="BN13">
        <f t="shared" si="13"/>
        <v>1489.2</v>
      </c>
    </row>
    <row r="14" spans="1:67" s="16" customFormat="1" x14ac:dyDescent="0.2">
      <c r="A14" s="16" t="str">
        <f>'Input Scenarios'!A79</f>
        <v>NSW</v>
      </c>
      <c r="B14" s="16">
        <f>'Input Scenarios'!B79</f>
        <v>15</v>
      </c>
      <c r="C14" s="16" t="str">
        <f>'Input Scenarios'!C79</f>
        <v>Non-irrigated pasture</v>
      </c>
      <c r="D14" s="16" t="str">
        <f>'Input Scenarios'!D79</f>
        <v>wet</v>
      </c>
      <c r="E14" s="16" t="b">
        <f>'Input Scenarios'!E79</f>
        <v>0</v>
      </c>
      <c r="G14" s="16">
        <f>'Input Scenarios'!G79</f>
        <v>0.2</v>
      </c>
      <c r="H14" s="16">
        <f>'Input Scenarios'!H79</f>
        <v>0.3</v>
      </c>
      <c r="I14" s="16">
        <f>'Input Scenarios'!I79</f>
        <v>0.5</v>
      </c>
      <c r="J14" s="16">
        <f>'Input Scenarios'!J79</f>
        <v>0.25</v>
      </c>
      <c r="K14" s="16">
        <f>'Input Scenarios'!K79</f>
        <v>0.25</v>
      </c>
      <c r="L14" s="16">
        <f>'Input Scenarios'!L79</f>
        <v>0.25</v>
      </c>
      <c r="M14" s="16">
        <f>'Input Scenarios'!M79</f>
        <v>0.25</v>
      </c>
      <c r="N14" s="16">
        <f>'Input Scenarios'!N79</f>
        <v>0.25</v>
      </c>
      <c r="O14" s="16">
        <f>'Input Scenarios'!O79</f>
        <v>0.25</v>
      </c>
      <c r="P14" s="16">
        <f>'Input Scenarios'!P79</f>
        <v>0.25</v>
      </c>
      <c r="Q14" s="16">
        <f>'Input Scenarios'!Q79</f>
        <v>0.25</v>
      </c>
      <c r="R14" s="16" t="b">
        <f>'Input Scenarios'!R14</f>
        <v>1</v>
      </c>
      <c r="S14" s="16">
        <f>IF('Input Scenarios'!S79&lt;&gt;"", 'Input Scenarios'!S79, IF(R79, Constants!$B$38, 0))</f>
        <v>0.22</v>
      </c>
      <c r="T14" s="16" t="str">
        <f>IF('Input Scenarios'!T79&lt;&gt;"", 'Input Scenarios'!T79, "")</f>
        <v/>
      </c>
      <c r="U14" s="16">
        <f>IF('Input Scenarios'!U79&lt;&gt;"", 'Input Scenarios'!U79, IF(W14&lt;&gt;"", "", Constants!$B$39))</f>
        <v>4</v>
      </c>
      <c r="V14" s="16">
        <f>IF('Input Scenarios'!V79&lt;&gt;"", 'Input Scenarios'!V79, IF(W14&lt;&gt;"", "", Constants!$B$40))</f>
        <v>3.3</v>
      </c>
      <c r="W14" s="16" t="str">
        <f>IF('Input Scenarios'!W79&lt;&gt;"", 'Input Scenarios'!W79, "")</f>
        <v/>
      </c>
      <c r="X14" s="16" t="str">
        <f>'Input Scenarios'!X79</f>
        <v>Medium Friesian</v>
      </c>
      <c r="Y14" s="16" t="str">
        <f>'Input Scenarios'!Y79</f>
        <v>bullsLt1Weaned</v>
      </c>
      <c r="Z14" s="16">
        <f>'Input Scenarios'!Z79</f>
        <v>200</v>
      </c>
      <c r="AA14" s="16">
        <f>'Input Scenarios'!AA79</f>
        <v>365</v>
      </c>
      <c r="AB14" s="16">
        <f>'Input Scenarios'!AB79</f>
        <v>267</v>
      </c>
      <c r="AC14" s="16">
        <f>IF('Input Scenarios'!AC79&lt;&gt;"", 'Input Scenarios'!AC79, _xlfn.XLOOKUP(Y14, Constants!$B$13:$H$13, Constants!$B$15:$H$15, ""))</f>
        <v>0.8</v>
      </c>
      <c r="AD14" s="16">
        <f>IF('Input Scenarios'!AD79&lt;&gt;"", 'Input Scenarios'!AD79, Constants!$B$45)</f>
        <v>0.76</v>
      </c>
      <c r="AE14" s="16">
        <f>IF('Input Scenarios'!AE79&lt;&gt;"", 'Input Scenarios'!AE79, Constants!$B$46)</f>
        <v>0.24</v>
      </c>
      <c r="AF14" s="16">
        <f t="shared" si="3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4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6"/>
        <v>0.60280000000000011</v>
      </c>
      <c r="AQ14" s="16">
        <f t="shared" si="7"/>
        <v>0</v>
      </c>
      <c r="AR14" s="16">
        <f>IF(Y14="milkingCows", Constants!$P$2, Constants!$P$3)</f>
        <v>1</v>
      </c>
      <c r="AS14" s="19">
        <f t="shared" si="8"/>
        <v>6.0704513701779614</v>
      </c>
      <c r="AT14" s="16">
        <f>Constants!$B$47</f>
        <v>0.08</v>
      </c>
      <c r="AU14" s="16">
        <f t="shared" si="14"/>
        <v>1.5637482729578429</v>
      </c>
      <c r="AV14" s="16">
        <f t="shared" si="9"/>
        <v>0</v>
      </c>
      <c r="AW14" s="16">
        <f t="shared" si="10"/>
        <v>0</v>
      </c>
      <c r="AX14" s="16">
        <f t="shared" si="10"/>
        <v>0</v>
      </c>
      <c r="AY14" s="16">
        <f t="shared" si="11"/>
        <v>0</v>
      </c>
      <c r="AZ14" s="16">
        <f t="shared" si="1"/>
        <v>1</v>
      </c>
      <c r="BA14" s="16">
        <f>_xlfn.XLOOKUP($B14, Constants!$E$27:$E$45,Constants!F$27:F$45)</f>
        <v>0.74</v>
      </c>
      <c r="BB14" s="16">
        <f>_xlfn.XLOOKUP($B14, Constants!$E$27:$E$45,Constants!G$27:G$45)</f>
        <v>5.0000000000000001E-3</v>
      </c>
      <c r="BC14" s="16">
        <f>_xlfn.XLOOKUP($B14, Constants!$E$27:$E$45,Constants!H$27:H$45)</f>
        <v>0.17</v>
      </c>
      <c r="BD14" s="16">
        <f>_xlfn.XLOOKUP($B14, Constants!$E$27:$E$45,Constants!I$27:I$45)</f>
        <v>0.02</v>
      </c>
      <c r="BE14" s="16">
        <f>_xlfn.XLOOKUP($A14, Constants!$E$18:$L$18,Constants!$E$23:$L$23)</f>
        <v>0.01</v>
      </c>
      <c r="BF14" s="16">
        <f>Constants!$B$48</f>
        <v>0.24</v>
      </c>
      <c r="BG14" s="16">
        <f>Constants!$B$49</f>
        <v>0.6784</v>
      </c>
      <c r="BH14" s="16">
        <f t="shared" si="12"/>
        <v>0</v>
      </c>
      <c r="BI14" s="16">
        <f t="shared" si="2"/>
        <v>0</v>
      </c>
      <c r="BJ14" s="16">
        <f t="shared" si="2"/>
        <v>0</v>
      </c>
      <c r="BK14" s="16">
        <f t="shared" si="2"/>
        <v>0</v>
      </c>
      <c r="BL14" s="16">
        <f t="shared" si="2"/>
        <v>2.5460323880990418E-3</v>
      </c>
      <c r="BM14" s="16" t="str">
        <f>IF(ISNUMBER(FIND("PreWeaned",Y14)),_xlfn.XLOOKUP(Y14,Constants!$J$2:$J$3,Constants!$K$2:$K$3), "")</f>
        <v/>
      </c>
      <c r="BN14" s="16">
        <f t="shared" si="13"/>
        <v>185.86036433123004</v>
      </c>
    </row>
    <row r="15" spans="1:67" x14ac:dyDescent="0.2">
      <c r="A15" t="str">
        <f>'Input Scenarios'!A80</f>
        <v>QLD</v>
      </c>
      <c r="B15">
        <f>'Input Scenarios'!B80</f>
        <v>22</v>
      </c>
      <c r="C15" t="str">
        <f>'Input Scenarios'!C80</f>
        <v>Non-irrigated crop (high rainfall)</v>
      </c>
      <c r="D15" t="str">
        <f>'Input Scenarios'!D80</f>
        <v>wet</v>
      </c>
      <c r="E15" t="b">
        <f>'Input Scenarios'!E80</f>
        <v>1</v>
      </c>
      <c r="G15">
        <f>'Input Scenarios'!G80</f>
        <v>0.5</v>
      </c>
      <c r="H15">
        <f>'Input Scenarios'!H80</f>
        <v>0.1</v>
      </c>
      <c r="I15">
        <f>'Input Scenarios'!I80</f>
        <v>0.4</v>
      </c>
      <c r="J15">
        <f>'Input Scenarios'!J80</f>
        <v>0</v>
      </c>
      <c r="K15">
        <f>'Input Scenarios'!K80</f>
        <v>0</v>
      </c>
      <c r="L15">
        <f>'Input Scenarios'!L80</f>
        <v>1</v>
      </c>
      <c r="M15">
        <f>'Input Scenarios'!M80</f>
        <v>0</v>
      </c>
      <c r="N15">
        <f>'Input Scenarios'!N80</f>
        <v>1</v>
      </c>
      <c r="O15">
        <f>'Input Scenarios'!O80</f>
        <v>0</v>
      </c>
      <c r="P15">
        <f>'Input Scenarios'!P80</f>
        <v>0</v>
      </c>
      <c r="Q15">
        <f>'Input Scenarios'!Q80</f>
        <v>0</v>
      </c>
      <c r="R15" t="b">
        <f>'Input Scenarios'!R15</f>
        <v>1</v>
      </c>
      <c r="S15">
        <f>IF('Input Scenarios'!S80&lt;&gt;"", 'Input Scenarios'!S80, IF(R80, Constants!$B$38, 0))</f>
        <v>0.21</v>
      </c>
      <c r="T15" s="20">
        <f>IF('Input Scenarios'!T80&lt;&gt;"", 'Input Scenarios'!T80, "")</f>
        <v>3</v>
      </c>
      <c r="U15" s="20">
        <f>IF('Input Scenarios'!U80&lt;&gt;"", 'Input Scenarios'!U80, IF(W15&lt;&gt;"", "", Constants!$B$39))</f>
        <v>3.8</v>
      </c>
      <c r="V15" s="20">
        <f>IF('Input Scenarios'!V80&lt;&gt;"", 'Input Scenarios'!V80, IF(W15&lt;&gt;"", "", Constants!$B$40))</f>
        <v>2.2000000000000002</v>
      </c>
      <c r="W15" s="20" t="str">
        <f>IF('Input Scenarios'!W80&lt;&gt;"", 'Input Scenarios'!W80, "")</f>
        <v/>
      </c>
      <c r="X15" s="20" t="str">
        <f>'Input Scenarios'!X80</f>
        <v>Large Friesian</v>
      </c>
      <c r="Y15" s="20" t="str">
        <f>'Input Scenarios'!Y80</f>
        <v>milkingCows</v>
      </c>
      <c r="Z15" s="20">
        <f>'Input Scenarios'!Z80</f>
        <v>200</v>
      </c>
      <c r="AA15" s="20">
        <f>'Input Scenarios'!AA80</f>
        <v>300</v>
      </c>
      <c r="AB15" s="20">
        <f>'Input Scenarios'!AB80</f>
        <v>611</v>
      </c>
      <c r="AC15">
        <f>IF('Input Scenarios'!AC80&lt;&gt;"", 'Input Scenarios'!AC80, _xlfn.XLOOKUP(Y15, Constants!$B$13:$H$13, Constants!$B$15:$H$15, ""))</f>
        <v>1.6E-2</v>
      </c>
      <c r="AD15">
        <f>IF('Input Scenarios'!AD80&lt;&gt;"", 'Input Scenarios'!AD80, Constants!$B$45)</f>
        <v>0.65</v>
      </c>
      <c r="AE15">
        <f>IF('Input Scenarios'!AE80&lt;&gt;"", 'Input Scenarios'!AE80, Constants!$B$46)</f>
        <v>0.23</v>
      </c>
      <c r="AF15" s="20">
        <f t="shared" si="3"/>
        <v>0.4</v>
      </c>
      <c r="AG15" s="20">
        <f t="shared" si="0"/>
        <v>0</v>
      </c>
      <c r="AH15" s="20">
        <f t="shared" si="0"/>
        <v>0.1</v>
      </c>
      <c r="AI15" s="20">
        <f t="shared" si="0"/>
        <v>0</v>
      </c>
      <c r="AJ15" s="20">
        <f t="shared" si="4"/>
        <v>0.5</v>
      </c>
      <c r="AK15">
        <f t="shared" ref="AK15:AK35" si="15">IF(Y15="milkingCows", IF(W15&lt;&gt;"", W15, T15/((U15+V15)*0.01)), 0)</f>
        <v>50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si="6"/>
        <v>0.51535000000000009</v>
      </c>
      <c r="AQ15">
        <f t="shared" si="7"/>
        <v>27.644256119732891</v>
      </c>
      <c r="AR15">
        <f>IF(Y15="milkingCows", Constants!$P$2, Constants!$P$3)</f>
        <v>1.1000000000000001</v>
      </c>
      <c r="AS15" s="18">
        <f t="shared" si="8"/>
        <v>37.500384471804168</v>
      </c>
      <c r="AT15">
        <f>Constants!$B$47</f>
        <v>0.08</v>
      </c>
      <c r="AU15">
        <f t="shared" si="14"/>
        <v>13.455137948483335</v>
      </c>
      <c r="AV15">
        <f t="shared" si="9"/>
        <v>0.31600000000000006</v>
      </c>
      <c r="AW15">
        <f t="shared" si="10"/>
        <v>0</v>
      </c>
      <c r="AX15">
        <f t="shared" si="10"/>
        <v>0.1</v>
      </c>
      <c r="AY15">
        <f t="shared" si="11"/>
        <v>8.4000000000000005E-2</v>
      </c>
      <c r="AZ15">
        <f t="shared" si="1"/>
        <v>0.5</v>
      </c>
      <c r="BA15">
        <f>_xlfn.XLOOKUP($B15, Constants!$E$27:$E$45,Constants!F$27:F$45)</f>
        <v>0.78</v>
      </c>
      <c r="BB15">
        <f>_xlfn.XLOOKUP($B15, Constants!$E$27:$E$45,Constants!G$27:G$45)</f>
        <v>5.0000000000000001E-3</v>
      </c>
      <c r="BC15">
        <f>_xlfn.XLOOKUP($B15, Constants!$E$27:$E$45,Constants!H$27:H$45)</f>
        <v>0.31</v>
      </c>
      <c r="BD15">
        <f>_xlfn.XLOOKUP($B15, Constants!$E$27:$E$45,Constants!I$27:I$45)</f>
        <v>0.02</v>
      </c>
      <c r="BE15">
        <f>_xlfn.XLOOKUP($A15, Constants!$E$18:$L$18,Constants!$E$23:$L$23)</f>
        <v>0.01</v>
      </c>
      <c r="BF15">
        <f>Constants!$B$48</f>
        <v>0.24</v>
      </c>
      <c r="BG15">
        <f>Constants!$B$49</f>
        <v>0.6784</v>
      </c>
      <c r="BH15">
        <f t="shared" si="12"/>
        <v>0.53996662972949039</v>
      </c>
      <c r="BI15">
        <f t="shared" si="2"/>
        <v>0</v>
      </c>
      <c r="BJ15">
        <f t="shared" si="2"/>
        <v>6.7912063946828138E-2</v>
      </c>
      <c r="BK15">
        <f t="shared" si="2"/>
        <v>3.6803957235700411E-3</v>
      </c>
      <c r="BL15">
        <f t="shared" si="2"/>
        <v>1.0953558701101315E-2</v>
      </c>
      <c r="BM15" t="str">
        <f>IF(ISNUMBER(FIND("PreWeaned",Y15)),_xlfn.XLOOKUP(Y15,Constants!$J$2:$J$3,Constants!$K$2:$K$3), "")</f>
        <v/>
      </c>
      <c r="BN15">
        <f t="shared" si="13"/>
        <v>37350.75888605939</v>
      </c>
      <c r="BO15">
        <f>SUM(BN15:BN21)/1000</f>
        <v>40.413121547010071</v>
      </c>
    </row>
    <row r="16" spans="1:67" x14ac:dyDescent="0.2">
      <c r="A16" t="str">
        <f>'Input Scenarios'!A81</f>
        <v>QLD</v>
      </c>
      <c r="B16">
        <f>'Input Scenarios'!B81</f>
        <v>22</v>
      </c>
      <c r="C16" t="str">
        <f>'Input Scenarios'!C81</f>
        <v>Non-irrigated crop (high rainfall)</v>
      </c>
      <c r="D16" t="str">
        <f>'Input Scenarios'!D81</f>
        <v>wet</v>
      </c>
      <c r="E16" t="b">
        <f>'Input Scenarios'!E81</f>
        <v>1</v>
      </c>
      <c r="G16">
        <f>'Input Scenarios'!G81</f>
        <v>0.5</v>
      </c>
      <c r="H16">
        <f>'Input Scenarios'!H81</f>
        <v>0.1</v>
      </c>
      <c r="I16">
        <f>'Input Scenarios'!I81</f>
        <v>0.4</v>
      </c>
      <c r="J16">
        <f>'Input Scenarios'!J81</f>
        <v>0</v>
      </c>
      <c r="K16">
        <f>'Input Scenarios'!K81</f>
        <v>0</v>
      </c>
      <c r="L16">
        <f>'Input Scenarios'!L81</f>
        <v>1</v>
      </c>
      <c r="M16">
        <f>'Input Scenarios'!M81</f>
        <v>0</v>
      </c>
      <c r="N16">
        <f>'Input Scenarios'!N81</f>
        <v>1</v>
      </c>
      <c r="O16">
        <f>'Input Scenarios'!O81</f>
        <v>0</v>
      </c>
      <c r="P16">
        <f>'Input Scenarios'!P81</f>
        <v>0</v>
      </c>
      <c r="Q16">
        <f>'Input Scenarios'!Q81</f>
        <v>0</v>
      </c>
      <c r="R16" t="b">
        <f>'Input Scenarios'!R16</f>
        <v>1</v>
      </c>
      <c r="S16">
        <f>IF('Input Scenarios'!S81&lt;&gt;"", 'Input Scenarios'!S81, IF(R81, Constants!$B$38, 0))</f>
        <v>0.21</v>
      </c>
      <c r="T16" t="str">
        <f>IF('Input Scenarios'!T81&lt;&gt;"", 'Input Scenarios'!T81, "")</f>
        <v/>
      </c>
      <c r="U16">
        <f>IF('Input Scenarios'!U81&lt;&gt;"", 'Input Scenarios'!U81, IF(W16&lt;&gt;"", "", Constants!$B$39))</f>
        <v>4</v>
      </c>
      <c r="V16">
        <f>IF('Input Scenarios'!V81&lt;&gt;"", 'Input Scenarios'!V81, IF(W16&lt;&gt;"", "", Constants!$B$40))</f>
        <v>3.3</v>
      </c>
      <c r="W16" t="str">
        <f>IF('Input Scenarios'!W81&lt;&gt;"", 'Input Scenarios'!W81, "")</f>
        <v/>
      </c>
      <c r="X16" t="str">
        <f>'Input Scenarios'!X81</f>
        <v>Large Friesian</v>
      </c>
      <c r="Y16" t="str">
        <f>'Input Scenarios'!Y81</f>
        <v>heifersGt1</v>
      </c>
      <c r="Z16">
        <f>'Input Scenarios'!Z81</f>
        <v>200</v>
      </c>
      <c r="AA16">
        <f>'Input Scenarios'!AA81</f>
        <v>300</v>
      </c>
      <c r="AB16">
        <f>'Input Scenarios'!AB81</f>
        <v>333</v>
      </c>
      <c r="AC16">
        <f>IF('Input Scenarios'!AC81&lt;&gt;"", 'Input Scenarios'!AC81, _xlfn.XLOOKUP(Y16, Constants!$B$13:$H$13, Constants!$B$15:$H$15, ""))</f>
        <v>0.6</v>
      </c>
      <c r="AD16">
        <f>IF('Input Scenarios'!AD81&lt;&gt;"", 'Input Scenarios'!AD81, Constants!$B$45)</f>
        <v>0.7</v>
      </c>
      <c r="AE16">
        <f>IF('Input Scenarios'!AE81&lt;&gt;"", 'Input Scenarios'!AE81, Constants!$B$46)</f>
        <v>0.23</v>
      </c>
      <c r="AF16">
        <f t="shared" si="3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4"/>
        <v>1</v>
      </c>
      <c r="AK16">
        <f t="shared" si="15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6"/>
        <v>0.55510000000000004</v>
      </c>
      <c r="AQ16">
        <f t="shared" si="7"/>
        <v>0</v>
      </c>
      <c r="AR16">
        <f>IF(Y16="milkingCows", Constants!$P$2, Constants!$P$3)</f>
        <v>1</v>
      </c>
      <c r="AS16" s="18">
        <f t="shared" si="8"/>
        <v>6.7470509270739587</v>
      </c>
      <c r="AT16">
        <f>Constants!$B$47</f>
        <v>0.08</v>
      </c>
      <c r="AU16">
        <f t="shared" si="14"/>
        <v>2.1104775299887351</v>
      </c>
      <c r="AV16">
        <f t="shared" si="9"/>
        <v>0</v>
      </c>
      <c r="AW16">
        <f t="shared" si="10"/>
        <v>0</v>
      </c>
      <c r="AX16">
        <f t="shared" si="10"/>
        <v>0</v>
      </c>
      <c r="AY16">
        <f t="shared" si="11"/>
        <v>0</v>
      </c>
      <c r="AZ16">
        <f t="shared" si="1"/>
        <v>1</v>
      </c>
      <c r="BA16">
        <f>_xlfn.XLOOKUP($B16, Constants!$E$27:$E$45,Constants!F$27:F$45)</f>
        <v>0.78</v>
      </c>
      <c r="BB16">
        <f>_xlfn.XLOOKUP($B16, Constants!$E$27:$E$45,Constants!G$27:G$45)</f>
        <v>5.0000000000000001E-3</v>
      </c>
      <c r="BC16">
        <f>_xlfn.XLOOKUP($B16, Constants!$E$27:$E$45,Constants!H$27:H$45)</f>
        <v>0.31</v>
      </c>
      <c r="BD16">
        <f>_xlfn.XLOOKUP($B16, Constants!$E$27:$E$45,Constants!I$27:I$45)</f>
        <v>0.02</v>
      </c>
      <c r="BE16">
        <f>_xlfn.XLOOKUP($A16, Constants!$E$18:$L$18,Constants!$E$23:$L$23)</f>
        <v>0.01</v>
      </c>
      <c r="BF16">
        <f>Constants!$B$48</f>
        <v>0.24</v>
      </c>
      <c r="BG16">
        <f>Constants!$B$49</f>
        <v>0.6784</v>
      </c>
      <c r="BH16">
        <f t="shared" si="12"/>
        <v>0</v>
      </c>
      <c r="BI16">
        <f t="shared" si="2"/>
        <v>0</v>
      </c>
      <c r="BJ16">
        <f t="shared" si="2"/>
        <v>0</v>
      </c>
      <c r="BK16">
        <f t="shared" si="2"/>
        <v>0</v>
      </c>
      <c r="BL16">
        <f t="shared" si="2"/>
        <v>3.4361950952264586E-3</v>
      </c>
      <c r="BM16" t="str">
        <f>IF(ISNUMBER(FIND("PreWeaned",Y16)),_xlfn.XLOOKUP(Y16,Constants!$J$2:$J$3,Constants!$K$2:$K$3), "")</f>
        <v/>
      </c>
      <c r="BN16">
        <f t="shared" si="13"/>
        <v>206.17170571358753</v>
      </c>
    </row>
    <row r="17" spans="1:67" x14ac:dyDescent="0.2">
      <c r="A17" t="str">
        <f>'Input Scenarios'!A82</f>
        <v>QLD</v>
      </c>
      <c r="B17">
        <f>'Input Scenarios'!B82</f>
        <v>22</v>
      </c>
      <c r="C17" t="str">
        <f>'Input Scenarios'!C82</f>
        <v>Non-irrigated crop (high rainfall)</v>
      </c>
      <c r="D17" t="str">
        <f>'Input Scenarios'!D82</f>
        <v>wet</v>
      </c>
      <c r="E17" t="b">
        <f>'Input Scenarios'!E82</f>
        <v>1</v>
      </c>
      <c r="G17">
        <f>'Input Scenarios'!G82</f>
        <v>0.5</v>
      </c>
      <c r="H17">
        <f>'Input Scenarios'!H82</f>
        <v>0.1</v>
      </c>
      <c r="I17">
        <f>'Input Scenarios'!I82</f>
        <v>0.4</v>
      </c>
      <c r="J17">
        <f>'Input Scenarios'!J82</f>
        <v>0</v>
      </c>
      <c r="K17">
        <f>'Input Scenarios'!K82</f>
        <v>0</v>
      </c>
      <c r="L17">
        <f>'Input Scenarios'!L82</f>
        <v>1</v>
      </c>
      <c r="M17">
        <f>'Input Scenarios'!M82</f>
        <v>0</v>
      </c>
      <c r="N17">
        <f>'Input Scenarios'!N82</f>
        <v>1</v>
      </c>
      <c r="O17">
        <f>'Input Scenarios'!O82</f>
        <v>0</v>
      </c>
      <c r="P17">
        <f>'Input Scenarios'!P82</f>
        <v>0</v>
      </c>
      <c r="Q17">
        <f>'Input Scenarios'!Q82</f>
        <v>0</v>
      </c>
      <c r="R17" t="b">
        <f>'Input Scenarios'!R17</f>
        <v>1</v>
      </c>
      <c r="S17">
        <f>IF('Input Scenarios'!S82&lt;&gt;"", 'Input Scenarios'!S82, IF(R82, Constants!$B$38, 0))</f>
        <v>0.21</v>
      </c>
      <c r="T17" t="str">
        <f>IF('Input Scenarios'!T82&lt;&gt;"", 'Input Scenarios'!T82, "")</f>
        <v/>
      </c>
      <c r="U17">
        <f>IF('Input Scenarios'!U82&lt;&gt;"", 'Input Scenarios'!U82, IF(W17&lt;&gt;"", "", Constants!$B$39))</f>
        <v>4</v>
      </c>
      <c r="V17">
        <f>IF('Input Scenarios'!V82&lt;&gt;"", 'Input Scenarios'!V82, IF(W17&lt;&gt;"", "", Constants!$B$40))</f>
        <v>3.3</v>
      </c>
      <c r="W17" t="str">
        <f>IF('Input Scenarios'!W82&lt;&gt;"", 'Input Scenarios'!W82, "")</f>
        <v/>
      </c>
      <c r="X17" t="str">
        <f>'Input Scenarios'!X82</f>
        <v>Large Friesian</v>
      </c>
      <c r="Y17" t="str">
        <f>'Input Scenarios'!Y82</f>
        <v>heifersLt1PreWeaned</v>
      </c>
      <c r="Z17">
        <f>'Input Scenarios'!Z82</f>
        <v>200</v>
      </c>
      <c r="AA17">
        <f>'Input Scenarios'!AA82</f>
        <v>300</v>
      </c>
      <c r="AB17">
        <f>'Input Scenarios'!AB82</f>
        <v>55</v>
      </c>
      <c r="AC17" t="str">
        <f>IF('Input Scenarios'!AC82&lt;&gt;"", 'Input Scenarios'!AC82, _xlfn.XLOOKUP(Y17, Constants!$B$13:$H$13, Constants!$B$15:$H$15, ""))</f>
        <v/>
      </c>
      <c r="AD17">
        <f>IF('Input Scenarios'!AD82&lt;&gt;"", 'Input Scenarios'!AD82, Constants!$B$45)</f>
        <v>0.65</v>
      </c>
      <c r="AE17">
        <f>IF('Input Scenarios'!AE82&lt;&gt;"", 'Input Scenarios'!AE82, Constants!$B$46)</f>
        <v>0.23</v>
      </c>
      <c r="AF17">
        <f t="shared" si="3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4"/>
        <v>1</v>
      </c>
      <c r="AK17">
        <f t="shared" si="15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6"/>
        <v>0.51535000000000009</v>
      </c>
      <c r="AQ17">
        <f t="shared" si="7"/>
        <v>0</v>
      </c>
      <c r="AR17">
        <f>IF(Y17="milkingCows", Constants!$P$2, Constants!$P$3)</f>
        <v>1</v>
      </c>
      <c r="AS17" s="18" t="str">
        <f t="shared" si="8"/>
        <v/>
      </c>
      <c r="AT17">
        <f>Constants!$B$47</f>
        <v>0.08</v>
      </c>
      <c r="AU17" t="str">
        <f t="shared" si="14"/>
        <v/>
      </c>
      <c r="AV17">
        <f t="shared" si="9"/>
        <v>0</v>
      </c>
      <c r="AW17">
        <f t="shared" si="10"/>
        <v>0</v>
      </c>
      <c r="AX17">
        <f t="shared" si="10"/>
        <v>0</v>
      </c>
      <c r="AY17">
        <f t="shared" si="11"/>
        <v>0</v>
      </c>
      <c r="AZ17">
        <f t="shared" si="1"/>
        <v>1</v>
      </c>
      <c r="BA17">
        <f>_xlfn.XLOOKUP($B17, Constants!$E$27:$E$45,Constants!F$27:F$45)</f>
        <v>0.78</v>
      </c>
      <c r="BB17">
        <f>_xlfn.XLOOKUP($B17, Constants!$E$27:$E$45,Constants!G$27:G$45)</f>
        <v>5.0000000000000001E-3</v>
      </c>
      <c r="BC17">
        <f>_xlfn.XLOOKUP($B17, Constants!$E$27:$E$45,Constants!H$27:H$45)</f>
        <v>0.31</v>
      </c>
      <c r="BD17">
        <f>_xlfn.XLOOKUP($B17, Constants!$E$27:$E$45,Constants!I$27:I$45)</f>
        <v>0.02</v>
      </c>
      <c r="BE17">
        <f>_xlfn.XLOOKUP($A17, Constants!$E$18:$L$18,Constants!$E$23:$L$23)</f>
        <v>0.01</v>
      </c>
      <c r="BF17">
        <f>Constants!$B$48</f>
        <v>0.24</v>
      </c>
      <c r="BG17">
        <f>Constants!$B$49</f>
        <v>0.6784</v>
      </c>
      <c r="BH17" t="str">
        <f t="shared" si="12"/>
        <v/>
      </c>
      <c r="BI17" t="str">
        <f t="shared" si="2"/>
        <v/>
      </c>
      <c r="BJ17" t="str">
        <f t="shared" si="2"/>
        <v/>
      </c>
      <c r="BK17" t="str">
        <f t="shared" si="2"/>
        <v/>
      </c>
      <c r="BL17" t="str">
        <f t="shared" si="2"/>
        <v/>
      </c>
      <c r="BM17">
        <f>IF(ISNUMBER(FIND("PreWeaned",Y17)),_xlfn.XLOOKUP(Y17,Constants!$J$2:$J$3,Constants!$K$2:$K$3), "")</f>
        <v>1.7600000000000001E-2</v>
      </c>
      <c r="BN17">
        <f t="shared" si="13"/>
        <v>1056</v>
      </c>
    </row>
    <row r="18" spans="1:67" x14ac:dyDescent="0.2">
      <c r="A18" t="str">
        <f>'Input Scenarios'!A83</f>
        <v>QLD</v>
      </c>
      <c r="B18">
        <f>'Input Scenarios'!B83</f>
        <v>22</v>
      </c>
      <c r="C18" t="str">
        <f>'Input Scenarios'!C83</f>
        <v>Non-irrigated crop (high rainfall)</v>
      </c>
      <c r="D18" t="str">
        <f>'Input Scenarios'!D83</f>
        <v>wet</v>
      </c>
      <c r="E18" t="b">
        <f>'Input Scenarios'!E83</f>
        <v>1</v>
      </c>
      <c r="G18">
        <f>'Input Scenarios'!G83</f>
        <v>0.5</v>
      </c>
      <c r="H18">
        <f>'Input Scenarios'!H83</f>
        <v>0.1</v>
      </c>
      <c r="I18">
        <f>'Input Scenarios'!I83</f>
        <v>0.4</v>
      </c>
      <c r="J18">
        <f>'Input Scenarios'!J83</f>
        <v>0</v>
      </c>
      <c r="K18">
        <f>'Input Scenarios'!K83</f>
        <v>0</v>
      </c>
      <c r="L18">
        <f>'Input Scenarios'!L83</f>
        <v>1</v>
      </c>
      <c r="M18">
        <f>'Input Scenarios'!M83</f>
        <v>0</v>
      </c>
      <c r="N18">
        <f>'Input Scenarios'!N83</f>
        <v>1</v>
      </c>
      <c r="O18">
        <f>'Input Scenarios'!O83</f>
        <v>0</v>
      </c>
      <c r="P18">
        <f>'Input Scenarios'!P83</f>
        <v>0</v>
      </c>
      <c r="Q18">
        <f>'Input Scenarios'!Q83</f>
        <v>0</v>
      </c>
      <c r="R18" t="b">
        <f>'Input Scenarios'!R18</f>
        <v>1</v>
      </c>
      <c r="S18">
        <f>IF('Input Scenarios'!S83&lt;&gt;"", 'Input Scenarios'!S83, IF(R83, Constants!$B$38, 0))</f>
        <v>0.21</v>
      </c>
      <c r="T18" t="str">
        <f>IF('Input Scenarios'!T83&lt;&gt;"", 'Input Scenarios'!T83, "")</f>
        <v/>
      </c>
      <c r="U18">
        <f>IF('Input Scenarios'!U83&lt;&gt;"", 'Input Scenarios'!U83, IF(W18&lt;&gt;"", "", Constants!$B$39))</f>
        <v>4</v>
      </c>
      <c r="V18">
        <f>IF('Input Scenarios'!V83&lt;&gt;"", 'Input Scenarios'!V83, IF(W18&lt;&gt;"", "", Constants!$B$40))</f>
        <v>3.3</v>
      </c>
      <c r="W18" t="str">
        <f>IF('Input Scenarios'!W83&lt;&gt;"", 'Input Scenarios'!W83, "")</f>
        <v/>
      </c>
      <c r="X18" t="str">
        <f>'Input Scenarios'!X83</f>
        <v>Large Friesian</v>
      </c>
      <c r="Y18" t="str">
        <f>'Input Scenarios'!Y83</f>
        <v>heifersLt1Weaned</v>
      </c>
      <c r="Z18">
        <f>'Input Scenarios'!Z83</f>
        <v>200</v>
      </c>
      <c r="AA18">
        <f>'Input Scenarios'!AA83</f>
        <v>300</v>
      </c>
      <c r="AB18">
        <f>'Input Scenarios'!AB83</f>
        <v>180</v>
      </c>
      <c r="AC18">
        <f>IF('Input Scenarios'!AC83&lt;&gt;"", 'Input Scenarios'!AC83, _xlfn.XLOOKUP(Y18, Constants!$B$13:$H$13, Constants!$B$15:$H$15, ""))</f>
        <v>0.56999999999999995</v>
      </c>
      <c r="AD18">
        <f>IF('Input Scenarios'!AD83&lt;&gt;"", 'Input Scenarios'!AD83, Constants!$B$45)</f>
        <v>0.7</v>
      </c>
      <c r="AE18">
        <f>IF('Input Scenarios'!AE83&lt;&gt;"", 'Input Scenarios'!AE83, Constants!$B$46)</f>
        <v>0.23</v>
      </c>
      <c r="AF18">
        <f t="shared" si="3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4"/>
        <v>1</v>
      </c>
      <c r="AK18">
        <f t="shared" si="15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6"/>
        <v>0.55510000000000004</v>
      </c>
      <c r="AQ18">
        <f t="shared" si="7"/>
        <v>0</v>
      </c>
      <c r="AR18">
        <f>IF(Y18="milkingCows", Constants!$P$2, Constants!$P$3)</f>
        <v>1</v>
      </c>
      <c r="AS18" s="18">
        <f t="shared" si="8"/>
        <v>4.3995482001000008</v>
      </c>
      <c r="AT18">
        <f>Constants!$B$47</f>
        <v>0.08</v>
      </c>
      <c r="AU18">
        <f t="shared" si="14"/>
        <v>1.3761786769912805</v>
      </c>
      <c r="AV18">
        <f t="shared" si="9"/>
        <v>0</v>
      </c>
      <c r="AW18">
        <f t="shared" si="10"/>
        <v>0</v>
      </c>
      <c r="AX18">
        <f t="shared" si="10"/>
        <v>0</v>
      </c>
      <c r="AY18">
        <f t="shared" si="11"/>
        <v>0</v>
      </c>
      <c r="AZ18">
        <f t="shared" si="1"/>
        <v>1</v>
      </c>
      <c r="BA18">
        <f>_xlfn.XLOOKUP($B18, Constants!$E$27:$E$45,Constants!F$27:F$45)</f>
        <v>0.78</v>
      </c>
      <c r="BB18">
        <f>_xlfn.XLOOKUP($B18, Constants!$E$27:$E$45,Constants!G$27:G$45)</f>
        <v>5.0000000000000001E-3</v>
      </c>
      <c r="BC18">
        <f>_xlfn.XLOOKUP($B18, Constants!$E$27:$E$45,Constants!H$27:H$45)</f>
        <v>0.31</v>
      </c>
      <c r="BD18">
        <f>_xlfn.XLOOKUP($B18, Constants!$E$27:$E$45,Constants!I$27:I$45)</f>
        <v>0.02</v>
      </c>
      <c r="BE18">
        <f>_xlfn.XLOOKUP($A18, Constants!$E$18:$L$18,Constants!$E$23:$L$23)</f>
        <v>0.01</v>
      </c>
      <c r="BF18">
        <f>Constants!$B$48</f>
        <v>0.24</v>
      </c>
      <c r="BG18">
        <f>Constants!$B$49</f>
        <v>0.6784</v>
      </c>
      <c r="BH18">
        <f t="shared" si="12"/>
        <v>0</v>
      </c>
      <c r="BI18">
        <f t="shared" si="2"/>
        <v>0</v>
      </c>
      <c r="BJ18">
        <f t="shared" si="2"/>
        <v>0</v>
      </c>
      <c r="BK18">
        <f t="shared" si="2"/>
        <v>0</v>
      </c>
      <c r="BL18">
        <f t="shared" si="2"/>
        <v>2.2406390747301231E-3</v>
      </c>
      <c r="BM18" t="str">
        <f>IF(ISNUMBER(FIND("PreWeaned",Y18)),_xlfn.XLOOKUP(Y18,Constants!$J$2:$J$3,Constants!$K$2:$K$3), "")</f>
        <v/>
      </c>
      <c r="BN18">
        <f t="shared" si="13"/>
        <v>134.43834448380738</v>
      </c>
    </row>
    <row r="19" spans="1:67" x14ac:dyDescent="0.2">
      <c r="A19" t="str">
        <f>'Input Scenarios'!A84</f>
        <v>QLD</v>
      </c>
      <c r="B19">
        <f>'Input Scenarios'!B84</f>
        <v>22</v>
      </c>
      <c r="C19" t="str">
        <f>'Input Scenarios'!C84</f>
        <v>Non-irrigated crop (high rainfall)</v>
      </c>
      <c r="D19" t="str">
        <f>'Input Scenarios'!D84</f>
        <v>wet</v>
      </c>
      <c r="E19" t="b">
        <f>'Input Scenarios'!E84</f>
        <v>1</v>
      </c>
      <c r="G19">
        <f>'Input Scenarios'!G84</f>
        <v>0.5</v>
      </c>
      <c r="H19">
        <f>'Input Scenarios'!H84</f>
        <v>0.1</v>
      </c>
      <c r="I19">
        <f>'Input Scenarios'!I84</f>
        <v>0.4</v>
      </c>
      <c r="J19">
        <f>'Input Scenarios'!J84</f>
        <v>0</v>
      </c>
      <c r="K19">
        <f>'Input Scenarios'!K84</f>
        <v>0</v>
      </c>
      <c r="L19">
        <f>'Input Scenarios'!L84</f>
        <v>1</v>
      </c>
      <c r="M19">
        <f>'Input Scenarios'!M84</f>
        <v>0</v>
      </c>
      <c r="N19">
        <f>'Input Scenarios'!N84</f>
        <v>1</v>
      </c>
      <c r="O19">
        <f>'Input Scenarios'!O84</f>
        <v>0</v>
      </c>
      <c r="P19">
        <f>'Input Scenarios'!P84</f>
        <v>0</v>
      </c>
      <c r="Q19">
        <f>'Input Scenarios'!Q84</f>
        <v>0</v>
      </c>
      <c r="R19" t="b">
        <f>'Input Scenarios'!R19</f>
        <v>1</v>
      </c>
      <c r="S19">
        <f>IF('Input Scenarios'!S84&lt;&gt;"", 'Input Scenarios'!S84, IF(R84, Constants!$B$38, 0))</f>
        <v>0.21</v>
      </c>
      <c r="T19" t="str">
        <f>IF('Input Scenarios'!T84&lt;&gt;"", 'Input Scenarios'!T84, "")</f>
        <v/>
      </c>
      <c r="U19">
        <f>IF('Input Scenarios'!U84&lt;&gt;"", 'Input Scenarios'!U84, IF(W19&lt;&gt;"", "", Constants!$B$39))</f>
        <v>4</v>
      </c>
      <c r="V19">
        <f>IF('Input Scenarios'!V84&lt;&gt;"", 'Input Scenarios'!V84, IF(W19&lt;&gt;"", "", Constants!$B$40))</f>
        <v>3.3</v>
      </c>
      <c r="W19" t="str">
        <f>IF('Input Scenarios'!W84&lt;&gt;"", 'Input Scenarios'!W84, "")</f>
        <v/>
      </c>
      <c r="X19" t="str">
        <f>'Input Scenarios'!X84</f>
        <v>Large Friesian</v>
      </c>
      <c r="Y19" t="str">
        <f>'Input Scenarios'!Y84</f>
        <v>bullsGt1</v>
      </c>
      <c r="Z19">
        <f>'Input Scenarios'!Z84</f>
        <v>200</v>
      </c>
      <c r="AA19">
        <f>'Input Scenarios'!AA84</f>
        <v>300</v>
      </c>
      <c r="AB19">
        <f>'Input Scenarios'!AB84</f>
        <v>650</v>
      </c>
      <c r="AC19">
        <f>IF('Input Scenarios'!AC84&lt;&gt;"", 'Input Scenarios'!AC84, _xlfn.XLOOKUP(Y19, Constants!$B$13:$H$13, Constants!$B$15:$H$15, ""))</f>
        <v>0.1</v>
      </c>
      <c r="AD19">
        <f>IF('Input Scenarios'!AD84&lt;&gt;"", 'Input Scenarios'!AD84, Constants!$B$45)</f>
        <v>0.7</v>
      </c>
      <c r="AE19">
        <f>IF('Input Scenarios'!AE84&lt;&gt;"", 'Input Scenarios'!AE84, Constants!$B$46)</f>
        <v>0.23</v>
      </c>
      <c r="AF19">
        <f t="shared" si="3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4"/>
        <v>1</v>
      </c>
      <c r="AK19">
        <f t="shared" si="15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6"/>
        <v>0.55510000000000004</v>
      </c>
      <c r="AQ19">
        <f t="shared" si="7"/>
        <v>0</v>
      </c>
      <c r="AR19">
        <f>IF(Y19="milkingCows", Constants!$P$2, Constants!$P$3)</f>
        <v>1</v>
      </c>
      <c r="AS19" s="18">
        <f t="shared" si="8"/>
        <v>9.4187609999999999</v>
      </c>
      <c r="AT19">
        <f>Constants!$B$47</f>
        <v>0.08</v>
      </c>
      <c r="AU19">
        <f t="shared" si="14"/>
        <v>2.9461884408000003</v>
      </c>
      <c r="AV19">
        <f t="shared" si="9"/>
        <v>0</v>
      </c>
      <c r="AW19">
        <f t="shared" si="10"/>
        <v>0</v>
      </c>
      <c r="AX19">
        <f t="shared" si="10"/>
        <v>0</v>
      </c>
      <c r="AY19">
        <f t="shared" si="11"/>
        <v>0</v>
      </c>
      <c r="AZ19">
        <f t="shared" si="1"/>
        <v>1</v>
      </c>
      <c r="BA19">
        <f>_xlfn.XLOOKUP($B19, Constants!$E$27:$E$45,Constants!F$27:F$45)</f>
        <v>0.78</v>
      </c>
      <c r="BB19">
        <f>_xlfn.XLOOKUP($B19, Constants!$E$27:$E$45,Constants!G$27:G$45)</f>
        <v>5.0000000000000001E-3</v>
      </c>
      <c r="BC19">
        <f>_xlfn.XLOOKUP($B19, Constants!$E$27:$E$45,Constants!H$27:H$45)</f>
        <v>0.31</v>
      </c>
      <c r="BD19">
        <f>_xlfn.XLOOKUP($B19, Constants!$E$27:$E$45,Constants!I$27:I$45)</f>
        <v>0.02</v>
      </c>
      <c r="BE19">
        <f>_xlfn.XLOOKUP($A19, Constants!$E$18:$L$18,Constants!$E$23:$L$23)</f>
        <v>0.01</v>
      </c>
      <c r="BF19">
        <f>Constants!$B$48</f>
        <v>0.24</v>
      </c>
      <c r="BG19">
        <f>Constants!$B$49</f>
        <v>0.6784</v>
      </c>
      <c r="BH19">
        <f t="shared" si="12"/>
        <v>0</v>
      </c>
      <c r="BI19">
        <f t="shared" si="2"/>
        <v>0</v>
      </c>
      <c r="BJ19">
        <f t="shared" si="2"/>
        <v>0</v>
      </c>
      <c r="BK19">
        <f t="shared" si="2"/>
        <v>0</v>
      </c>
      <c r="BL19">
        <f t="shared" si="2"/>
        <v>4.7968661717729287E-3</v>
      </c>
      <c r="BM19" t="str">
        <f>IF(ISNUMBER(FIND("PreWeaned",Y19)),_xlfn.XLOOKUP(Y19,Constants!$J$2:$J$3,Constants!$K$2:$K$3), "")</f>
        <v/>
      </c>
      <c r="BN19">
        <f t="shared" si="13"/>
        <v>287.81197030637571</v>
      </c>
    </row>
    <row r="20" spans="1:67" x14ac:dyDescent="0.2">
      <c r="A20" t="str">
        <f>'Input Scenarios'!A85</f>
        <v>QLD</v>
      </c>
      <c r="B20">
        <f>'Input Scenarios'!B85</f>
        <v>22</v>
      </c>
      <c r="C20" t="str">
        <f>'Input Scenarios'!C85</f>
        <v>Non-irrigated crop (high rainfall)</v>
      </c>
      <c r="D20" t="str">
        <f>'Input Scenarios'!D85</f>
        <v>wet</v>
      </c>
      <c r="E20" t="b">
        <f>'Input Scenarios'!E85</f>
        <v>1</v>
      </c>
      <c r="G20">
        <f>'Input Scenarios'!G85</f>
        <v>0.5</v>
      </c>
      <c r="H20">
        <f>'Input Scenarios'!H85</f>
        <v>0.1</v>
      </c>
      <c r="I20">
        <f>'Input Scenarios'!I85</f>
        <v>0.4</v>
      </c>
      <c r="J20">
        <f>'Input Scenarios'!J85</f>
        <v>0</v>
      </c>
      <c r="K20">
        <f>'Input Scenarios'!K85</f>
        <v>0</v>
      </c>
      <c r="L20">
        <f>'Input Scenarios'!L85</f>
        <v>1</v>
      </c>
      <c r="M20">
        <f>'Input Scenarios'!M85</f>
        <v>0</v>
      </c>
      <c r="N20">
        <f>'Input Scenarios'!N85</f>
        <v>1</v>
      </c>
      <c r="O20">
        <f>'Input Scenarios'!O85</f>
        <v>0</v>
      </c>
      <c r="P20">
        <f>'Input Scenarios'!P85</f>
        <v>0</v>
      </c>
      <c r="Q20">
        <f>'Input Scenarios'!Q85</f>
        <v>0</v>
      </c>
      <c r="R20" t="b">
        <f>'Input Scenarios'!R20</f>
        <v>1</v>
      </c>
      <c r="S20">
        <f>IF('Input Scenarios'!S85&lt;&gt;"", 'Input Scenarios'!S85, IF(R85, Constants!$B$38, 0))</f>
        <v>0.21</v>
      </c>
      <c r="T20" t="str">
        <f>IF('Input Scenarios'!T85&lt;&gt;"", 'Input Scenarios'!T85, "")</f>
        <v/>
      </c>
      <c r="U20">
        <f>IF('Input Scenarios'!U85&lt;&gt;"", 'Input Scenarios'!U85, IF(W20&lt;&gt;"", "", Constants!$B$39))</f>
        <v>4</v>
      </c>
      <c r="V20">
        <f>IF('Input Scenarios'!V85&lt;&gt;"", 'Input Scenarios'!V85, IF(W20&lt;&gt;"", "", Constants!$B$40))</f>
        <v>3.3</v>
      </c>
      <c r="W20" t="str">
        <f>IF('Input Scenarios'!W85&lt;&gt;"", 'Input Scenarios'!W85, "")</f>
        <v/>
      </c>
      <c r="X20" t="str">
        <f>'Input Scenarios'!X85</f>
        <v>Large Friesian</v>
      </c>
      <c r="Y20" t="str">
        <f>'Input Scenarios'!Y85</f>
        <v>bullsLt1PreWeaned</v>
      </c>
      <c r="Z20">
        <f>'Input Scenarios'!Z85</f>
        <v>200</v>
      </c>
      <c r="AA20">
        <f>'Input Scenarios'!AA85</f>
        <v>300</v>
      </c>
      <c r="AB20">
        <f>'Input Scenarios'!AB85</f>
        <v>222</v>
      </c>
      <c r="AC20" t="str">
        <f>IF('Input Scenarios'!AC85&lt;&gt;"", 'Input Scenarios'!AC85, _xlfn.XLOOKUP(Y20, Constants!$B$13:$H$13, Constants!$B$15:$H$15, ""))</f>
        <v/>
      </c>
      <c r="AD20">
        <f>IF('Input Scenarios'!AD85&lt;&gt;"", 'Input Scenarios'!AD85, Constants!$B$45)</f>
        <v>0.65</v>
      </c>
      <c r="AE20">
        <f>IF('Input Scenarios'!AE85&lt;&gt;"", 'Input Scenarios'!AE85, Constants!$B$46)</f>
        <v>0.23</v>
      </c>
      <c r="AF20">
        <f t="shared" si="3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4"/>
        <v>1</v>
      </c>
      <c r="AK20">
        <f t="shared" si="15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6"/>
        <v>0.51535000000000009</v>
      </c>
      <c r="AQ20">
        <f t="shared" si="7"/>
        <v>0</v>
      </c>
      <c r="AR20">
        <f>IF(Y20="milkingCows", Constants!$P$2, Constants!$P$3)</f>
        <v>1</v>
      </c>
      <c r="AS20" s="18" t="str">
        <f t="shared" si="8"/>
        <v/>
      </c>
      <c r="AT20">
        <f>Constants!$B$47</f>
        <v>0.08</v>
      </c>
      <c r="AU20" t="str">
        <f t="shared" si="14"/>
        <v/>
      </c>
      <c r="AV20">
        <f t="shared" si="9"/>
        <v>0</v>
      </c>
      <c r="AW20">
        <f t="shared" si="10"/>
        <v>0</v>
      </c>
      <c r="AX20">
        <f t="shared" si="10"/>
        <v>0</v>
      </c>
      <c r="AY20">
        <f t="shared" si="11"/>
        <v>0</v>
      </c>
      <c r="AZ20">
        <f t="shared" si="1"/>
        <v>1</v>
      </c>
      <c r="BA20">
        <f>_xlfn.XLOOKUP($B20, Constants!$E$27:$E$45,Constants!F$27:F$45)</f>
        <v>0.78</v>
      </c>
      <c r="BB20">
        <f>_xlfn.XLOOKUP($B20, Constants!$E$27:$E$45,Constants!G$27:G$45)</f>
        <v>5.0000000000000001E-3</v>
      </c>
      <c r="BC20">
        <f>_xlfn.XLOOKUP($B20, Constants!$E$27:$E$45,Constants!H$27:H$45)</f>
        <v>0.31</v>
      </c>
      <c r="BD20">
        <f>_xlfn.XLOOKUP($B20, Constants!$E$27:$E$45,Constants!I$27:I$45)</f>
        <v>0.02</v>
      </c>
      <c r="BE20">
        <f>_xlfn.XLOOKUP($A20, Constants!$E$18:$L$18,Constants!$E$23:$L$23)</f>
        <v>0.01</v>
      </c>
      <c r="BF20">
        <f>Constants!$B$48</f>
        <v>0.24</v>
      </c>
      <c r="BG20">
        <f>Constants!$B$49</f>
        <v>0.6784</v>
      </c>
      <c r="BH20" t="str">
        <f t="shared" si="12"/>
        <v/>
      </c>
      <c r="BI20" t="str">
        <f t="shared" si="2"/>
        <v/>
      </c>
      <c r="BJ20" t="str">
        <f t="shared" si="2"/>
        <v/>
      </c>
      <c r="BK20" t="str">
        <f t="shared" si="2"/>
        <v/>
      </c>
      <c r="BL20" t="str">
        <f t="shared" si="2"/>
        <v/>
      </c>
      <c r="BM20">
        <f>IF(ISNUMBER(FIND("PreWeaned",Y20)),_xlfn.XLOOKUP(Y20,Constants!$J$2:$J$3,Constants!$K$2:$K$3), "")</f>
        <v>2.0400000000000001E-2</v>
      </c>
      <c r="BN20">
        <f t="shared" si="13"/>
        <v>1224</v>
      </c>
    </row>
    <row r="21" spans="1:67" s="16" customFormat="1" x14ac:dyDescent="0.2">
      <c r="A21" s="16" t="str">
        <f>'Input Scenarios'!A86</f>
        <v>QLD</v>
      </c>
      <c r="B21" s="16">
        <f>'Input Scenarios'!B86</f>
        <v>22</v>
      </c>
      <c r="C21" s="16" t="str">
        <f>'Input Scenarios'!C86</f>
        <v>Non-irrigated crop (high rainfall)</v>
      </c>
      <c r="D21" s="16" t="str">
        <f>'Input Scenarios'!D86</f>
        <v>wet</v>
      </c>
      <c r="E21" s="16" t="b">
        <f>'Input Scenarios'!E86</f>
        <v>1</v>
      </c>
      <c r="G21" s="16">
        <f>'Input Scenarios'!G86</f>
        <v>0.5</v>
      </c>
      <c r="H21" s="16">
        <f>'Input Scenarios'!H86</f>
        <v>0.1</v>
      </c>
      <c r="I21" s="16">
        <f>'Input Scenarios'!I86</f>
        <v>0.4</v>
      </c>
      <c r="J21" s="16">
        <f>'Input Scenarios'!J86</f>
        <v>0</v>
      </c>
      <c r="K21" s="16">
        <f>'Input Scenarios'!K86</f>
        <v>0</v>
      </c>
      <c r="L21" s="16">
        <f>'Input Scenarios'!L86</f>
        <v>1</v>
      </c>
      <c r="M21" s="16">
        <f>'Input Scenarios'!M86</f>
        <v>0</v>
      </c>
      <c r="N21" s="16">
        <f>'Input Scenarios'!N86</f>
        <v>1</v>
      </c>
      <c r="O21" s="16">
        <f>'Input Scenarios'!O86</f>
        <v>0</v>
      </c>
      <c r="P21" s="16">
        <f>'Input Scenarios'!P86</f>
        <v>0</v>
      </c>
      <c r="Q21" s="16">
        <f>'Input Scenarios'!Q86</f>
        <v>0</v>
      </c>
      <c r="R21" s="16" t="b">
        <f>'Input Scenarios'!R21</f>
        <v>1</v>
      </c>
      <c r="S21" s="16">
        <f>IF('Input Scenarios'!S86&lt;&gt;"", 'Input Scenarios'!S86, IF(R86, Constants!$B$38, 0))</f>
        <v>0.21</v>
      </c>
      <c r="T21" s="16" t="str">
        <f>IF('Input Scenarios'!T86&lt;&gt;"", 'Input Scenarios'!T86, "")</f>
        <v/>
      </c>
      <c r="U21" s="16">
        <f>IF('Input Scenarios'!U86&lt;&gt;"", 'Input Scenarios'!U86, IF(W21&lt;&gt;"", "", Constants!$B$39))</f>
        <v>4</v>
      </c>
      <c r="V21" s="16">
        <f>IF('Input Scenarios'!V86&lt;&gt;"", 'Input Scenarios'!V86, IF(W21&lt;&gt;"", "", Constants!$B$40))</f>
        <v>3.3</v>
      </c>
      <c r="W21" s="16" t="str">
        <f>IF('Input Scenarios'!W86&lt;&gt;"", 'Input Scenarios'!W86, "")</f>
        <v/>
      </c>
      <c r="X21" s="16" t="str">
        <f>'Input Scenarios'!X86</f>
        <v>Large Friesian</v>
      </c>
      <c r="Y21" s="16" t="str">
        <f>'Input Scenarios'!Y86</f>
        <v>bullsLt1Weaned</v>
      </c>
      <c r="Z21" s="16">
        <f>'Input Scenarios'!Z86</f>
        <v>200</v>
      </c>
      <c r="AA21" s="16">
        <f>'Input Scenarios'!AA86</f>
        <v>300</v>
      </c>
      <c r="AB21" s="16">
        <f>'Input Scenarios'!AB86</f>
        <v>201</v>
      </c>
      <c r="AC21" s="16">
        <f>IF('Input Scenarios'!AC86&lt;&gt;"", 'Input Scenarios'!AC86, _xlfn.XLOOKUP(Y21, Constants!$B$13:$H$13, Constants!$B$15:$H$15, ""))</f>
        <v>0.8</v>
      </c>
      <c r="AD21" s="16">
        <f>IF('Input Scenarios'!AD86&lt;&gt;"", 'Input Scenarios'!AD86, Constants!$B$45)</f>
        <v>0.7</v>
      </c>
      <c r="AE21" s="16">
        <f>IF('Input Scenarios'!AE86&lt;&gt;"", 'Input Scenarios'!AE86, Constants!$B$46)</f>
        <v>0.23</v>
      </c>
      <c r="AF21" s="16">
        <f t="shared" si="3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4"/>
        <v>1</v>
      </c>
      <c r="AK21" s="16">
        <f t="shared" si="15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6"/>
        <v>0.55510000000000004</v>
      </c>
      <c r="AQ21" s="16">
        <f t="shared" si="7"/>
        <v>0</v>
      </c>
      <c r="AR21" s="16">
        <f>IF(Y21="milkingCows", Constants!$P$2, Constants!$P$3)</f>
        <v>1</v>
      </c>
      <c r="AS21" s="19">
        <f t="shared" si="8"/>
        <v>5.0377685786067605</v>
      </c>
      <c r="AT21" s="16">
        <f>Constants!$B$47</f>
        <v>0.08</v>
      </c>
      <c r="AU21" s="16">
        <f t="shared" si="14"/>
        <v>1.5758140113881949</v>
      </c>
      <c r="AV21" s="16">
        <f t="shared" si="9"/>
        <v>0</v>
      </c>
      <c r="AW21" s="16">
        <f t="shared" si="10"/>
        <v>0</v>
      </c>
      <c r="AX21" s="16">
        <f t="shared" si="10"/>
        <v>0</v>
      </c>
      <c r="AY21" s="16">
        <f t="shared" si="11"/>
        <v>0</v>
      </c>
      <c r="AZ21" s="16">
        <f t="shared" si="1"/>
        <v>1</v>
      </c>
      <c r="BA21" s="16">
        <f>_xlfn.XLOOKUP($B21, Constants!$E$27:$E$45,Constants!F$27:F$45)</f>
        <v>0.78</v>
      </c>
      <c r="BB21" s="16">
        <f>_xlfn.XLOOKUP($B21, Constants!$E$27:$E$45,Constants!G$27:G$45)</f>
        <v>5.0000000000000001E-3</v>
      </c>
      <c r="BC21" s="16">
        <f>_xlfn.XLOOKUP($B21, Constants!$E$27:$E$45,Constants!H$27:H$45)</f>
        <v>0.31</v>
      </c>
      <c r="BD21" s="16">
        <f>_xlfn.XLOOKUP($B21, Constants!$E$27:$E$45,Constants!I$27:I$45)</f>
        <v>0.02</v>
      </c>
      <c r="BE21" s="16">
        <f>_xlfn.XLOOKUP($A21, Constants!$E$18:$L$18,Constants!$E$23:$L$23)</f>
        <v>0.01</v>
      </c>
      <c r="BF21" s="16">
        <f>Constants!$B$48</f>
        <v>0.24</v>
      </c>
      <c r="BG21" s="16">
        <f>Constants!$B$49</f>
        <v>0.6784</v>
      </c>
      <c r="BH21" s="16">
        <f t="shared" si="12"/>
        <v>0</v>
      </c>
      <c r="BI21" s="16">
        <f t="shared" si="2"/>
        <v>0</v>
      </c>
      <c r="BJ21" s="16">
        <f t="shared" si="2"/>
        <v>0</v>
      </c>
      <c r="BK21" s="16">
        <f t="shared" si="2"/>
        <v>0</v>
      </c>
      <c r="BL21" s="16">
        <f t="shared" si="2"/>
        <v>2.5656773407818035E-3</v>
      </c>
      <c r="BM21" s="16" t="str">
        <f>IF(ISNUMBER(FIND("PreWeaned",Y21)),_xlfn.XLOOKUP(Y21,Constants!$J$2:$J$3,Constants!$K$2:$K$3), "")</f>
        <v/>
      </c>
      <c r="BN21" s="16">
        <f t="shared" si="13"/>
        <v>153.94064044690822</v>
      </c>
    </row>
    <row r="22" spans="1:67" x14ac:dyDescent="0.2">
      <c r="A22" t="str">
        <f>'Input Scenarios'!A87</f>
        <v>NT</v>
      </c>
      <c r="B22">
        <f>'Input Scenarios'!B87</f>
        <v>27</v>
      </c>
      <c r="C22" t="str">
        <f>'Input Scenarios'!C87</f>
        <v>Irrigated pasture</v>
      </c>
      <c r="D22" t="str">
        <f>'Input Scenarios'!D87</f>
        <v>dry</v>
      </c>
      <c r="E22" t="b">
        <f>'Input Scenarios'!E87</f>
        <v>0</v>
      </c>
      <c r="G22">
        <f>'Input Scenarios'!G87</f>
        <v>0.73</v>
      </c>
      <c r="H22">
        <f>'Input Scenarios'!H87</f>
        <v>0.08</v>
      </c>
      <c r="I22">
        <f>'Input Scenarios'!I87</f>
        <v>0.19</v>
      </c>
      <c r="J22">
        <f>'Input Scenarios'!J87</f>
        <v>0</v>
      </c>
      <c r="K22">
        <f>'Input Scenarios'!K87</f>
        <v>0.5</v>
      </c>
      <c r="L22">
        <f>'Input Scenarios'!L87</f>
        <v>0.5</v>
      </c>
      <c r="M22">
        <f>'Input Scenarios'!M87</f>
        <v>0</v>
      </c>
      <c r="N22">
        <f>'Input Scenarios'!N87</f>
        <v>0.5</v>
      </c>
      <c r="O22">
        <f>'Input Scenarios'!O87</f>
        <v>0</v>
      </c>
      <c r="P22">
        <f>'Input Scenarios'!P87</f>
        <v>0</v>
      </c>
      <c r="Q22">
        <f>'Input Scenarios'!Q87</f>
        <v>0.5</v>
      </c>
      <c r="R22" t="b">
        <f>'Input Scenarios'!R22</f>
        <v>0</v>
      </c>
      <c r="S22">
        <f>IF('Input Scenarios'!S87&lt;&gt;"", 'Input Scenarios'!S87, IF(R87, Constants!$B$38, 0))</f>
        <v>0</v>
      </c>
      <c r="T22" s="20">
        <f>IF('Input Scenarios'!T87&lt;&gt;"", 'Input Scenarios'!T87, "")</f>
        <v>2.8</v>
      </c>
      <c r="U22" s="20">
        <f>IF('Input Scenarios'!U87&lt;&gt;"", 'Input Scenarios'!U87, IF(W22&lt;&gt;"", "", Constants!$B$39))</f>
        <v>4</v>
      </c>
      <c r="V22" s="20">
        <f>IF('Input Scenarios'!V87&lt;&gt;"", 'Input Scenarios'!V87, IF(W22&lt;&gt;"", "", Constants!$B$40))</f>
        <v>4</v>
      </c>
      <c r="W22" s="20" t="str">
        <f>IF('Input Scenarios'!W87&lt;&gt;"", 'Input Scenarios'!W87, "")</f>
        <v/>
      </c>
      <c r="X22" s="20" t="str">
        <f>'Input Scenarios'!X87</f>
        <v>Brown Swiss</v>
      </c>
      <c r="Y22" s="20" t="str">
        <f>'Input Scenarios'!Y87</f>
        <v>milkingCows</v>
      </c>
      <c r="Z22" s="20">
        <f>'Input Scenarios'!Z87</f>
        <v>200</v>
      </c>
      <c r="AA22" s="20">
        <f>'Input Scenarios'!AA87</f>
        <v>365</v>
      </c>
      <c r="AB22" s="20">
        <f>'Input Scenarios'!AB87</f>
        <v>623</v>
      </c>
      <c r="AC22">
        <f>IF('Input Scenarios'!AC87&lt;&gt;"", 'Input Scenarios'!AC87, _xlfn.XLOOKUP(Y22, Constants!$B$13:$H$13, Constants!$B$15:$H$15, ""))</f>
        <v>1.6E-2</v>
      </c>
      <c r="AD22">
        <f>IF('Input Scenarios'!AD87&lt;&gt;"", 'Input Scenarios'!AD87, Constants!$B$45)</f>
        <v>0.75</v>
      </c>
      <c r="AE22">
        <f>IF('Input Scenarios'!AE87&lt;&gt;"", 'Input Scenarios'!AE87, Constants!$B$46)</f>
        <v>0.2</v>
      </c>
      <c r="AF22" s="20">
        <f t="shared" si="3"/>
        <v>9.5000000000000001E-2</v>
      </c>
      <c r="AG22" s="20">
        <f t="shared" si="0"/>
        <v>0.04</v>
      </c>
      <c r="AH22" s="20">
        <f t="shared" si="0"/>
        <v>0.04</v>
      </c>
      <c r="AI22" s="20">
        <f t="shared" si="0"/>
        <v>9.5000000000000001E-2</v>
      </c>
      <c r="AJ22" s="20">
        <f t="shared" si="4"/>
        <v>0.73</v>
      </c>
      <c r="AK22">
        <f t="shared" si="15"/>
        <v>35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6"/>
        <v>0.5948500000000001</v>
      </c>
      <c r="AQ22">
        <f t="shared" si="7"/>
        <v>16.764776286312589</v>
      </c>
      <c r="AR22">
        <f>IF(Y22="milkingCows", Constants!$P$2, Constants!$P$3)</f>
        <v>1.1000000000000001</v>
      </c>
      <c r="AS22" s="18">
        <f t="shared" si="8"/>
        <v>26.726414289294269</v>
      </c>
      <c r="AT22">
        <f>Constants!$B$47</f>
        <v>0.08</v>
      </c>
      <c r="AU22">
        <f t="shared" si="14"/>
        <v>7.1306073323837111</v>
      </c>
      <c r="AV22">
        <f t="shared" si="9"/>
        <v>9.5000000000000001E-2</v>
      </c>
      <c r="AW22">
        <f t="shared" si="10"/>
        <v>0.04</v>
      </c>
      <c r="AX22">
        <f t="shared" si="10"/>
        <v>0.04</v>
      </c>
      <c r="AY22">
        <f t="shared" si="11"/>
        <v>9.5000000000000001E-2</v>
      </c>
      <c r="AZ22">
        <f t="shared" si="1"/>
        <v>0.73</v>
      </c>
      <c r="BA22">
        <f>_xlfn.XLOOKUP($B22, Constants!$E$27:$E$45,Constants!F$27:F$45)</f>
        <v>0.8</v>
      </c>
      <c r="BB22">
        <f>_xlfn.XLOOKUP($B22, Constants!$E$27:$E$45,Constants!G$27:G$45)</f>
        <v>0.01</v>
      </c>
      <c r="BC22">
        <f>_xlfn.XLOOKUP($B22, Constants!$E$27:$E$45,Constants!H$27:H$45)</f>
        <v>0.48</v>
      </c>
      <c r="BD22">
        <f>_xlfn.XLOOKUP($B22, Constants!$E$27:$E$45,Constants!I$27:I$45)</f>
        <v>0.02</v>
      </c>
      <c r="BE22">
        <f>_xlfn.XLOOKUP($A22, Constants!$E$18:$L$18,Constants!$E$23:$L$23)</f>
        <v>0.02</v>
      </c>
      <c r="BF22">
        <f>Constants!$B$48</f>
        <v>0.24</v>
      </c>
      <c r="BG22">
        <f>Constants!$B$49</f>
        <v>0.6784</v>
      </c>
      <c r="BH22">
        <f t="shared" si="12"/>
        <v>8.823424922063336E-2</v>
      </c>
      <c r="BI22">
        <f t="shared" si="2"/>
        <v>4.6439078537175457E-4</v>
      </c>
      <c r="BJ22">
        <f t="shared" si="2"/>
        <v>2.2290757697844214E-2</v>
      </c>
      <c r="BK22">
        <f t="shared" si="2"/>
        <v>2.2058562305158342E-3</v>
      </c>
      <c r="BL22">
        <f t="shared" si="2"/>
        <v>1.695026366606904E-2</v>
      </c>
      <c r="BM22" t="str">
        <f>IF(ISNUMBER(FIND("PreWeaned",Y22)),_xlfn.XLOOKUP(Y22,Constants!$J$2:$J$3,Constants!$K$2:$K$3), "")</f>
        <v/>
      </c>
      <c r="BN22">
        <f t="shared" si="13"/>
        <v>9500.6227848316958</v>
      </c>
      <c r="BO22">
        <f>SUM(BN22:BN28)/1000</f>
        <v>11.813357937166192</v>
      </c>
    </row>
    <row r="23" spans="1:67" x14ac:dyDescent="0.2">
      <c r="A23" t="str">
        <f>'Input Scenarios'!A88</f>
        <v>NT</v>
      </c>
      <c r="B23">
        <f>'Input Scenarios'!B88</f>
        <v>27</v>
      </c>
      <c r="C23" t="str">
        <f>'Input Scenarios'!C88</f>
        <v>Irrigated pasture</v>
      </c>
      <c r="D23" t="str">
        <f>'Input Scenarios'!D88</f>
        <v>dry</v>
      </c>
      <c r="E23" t="b">
        <f>'Input Scenarios'!E88</f>
        <v>0</v>
      </c>
      <c r="G23">
        <f>'Input Scenarios'!G88</f>
        <v>0.73</v>
      </c>
      <c r="H23">
        <f>'Input Scenarios'!H88</f>
        <v>0.08</v>
      </c>
      <c r="I23">
        <f>'Input Scenarios'!I88</f>
        <v>0.19</v>
      </c>
      <c r="J23">
        <f>'Input Scenarios'!J88</f>
        <v>0</v>
      </c>
      <c r="K23">
        <f>'Input Scenarios'!K88</f>
        <v>0.5</v>
      </c>
      <c r="L23">
        <f>'Input Scenarios'!L88</f>
        <v>0.5</v>
      </c>
      <c r="M23">
        <f>'Input Scenarios'!M88</f>
        <v>0</v>
      </c>
      <c r="N23">
        <f>'Input Scenarios'!N88</f>
        <v>0.5</v>
      </c>
      <c r="O23">
        <f>'Input Scenarios'!O88</f>
        <v>0</v>
      </c>
      <c r="P23">
        <f>'Input Scenarios'!P88</f>
        <v>0</v>
      </c>
      <c r="Q23">
        <f>'Input Scenarios'!Q88</f>
        <v>0.5</v>
      </c>
      <c r="R23" t="b">
        <f>'Input Scenarios'!R23</f>
        <v>0</v>
      </c>
      <c r="S23">
        <f>IF('Input Scenarios'!S88&lt;&gt;"", 'Input Scenarios'!S88, IF(R88, Constants!$B$38, 0))</f>
        <v>0</v>
      </c>
      <c r="T23" t="str">
        <f>IF('Input Scenarios'!T88&lt;&gt;"", 'Input Scenarios'!T88, "")</f>
        <v/>
      </c>
      <c r="U23">
        <f>IF('Input Scenarios'!U88&lt;&gt;"", 'Input Scenarios'!U88, IF(W23&lt;&gt;"", "", Constants!$B$39))</f>
        <v>4</v>
      </c>
      <c r="V23">
        <f>IF('Input Scenarios'!V88&lt;&gt;"", 'Input Scenarios'!V88, IF(W23&lt;&gt;"", "", Constants!$B$40))</f>
        <v>3.3</v>
      </c>
      <c r="W23" t="str">
        <f>IF('Input Scenarios'!W88&lt;&gt;"", 'Input Scenarios'!W88, "")</f>
        <v/>
      </c>
      <c r="X23" t="str">
        <f>'Input Scenarios'!X88</f>
        <v>Brown Swiss</v>
      </c>
      <c r="Y23" t="str">
        <f>'Input Scenarios'!Y88</f>
        <v>heifersGt1</v>
      </c>
      <c r="Z23">
        <f>'Input Scenarios'!Z88</f>
        <v>200</v>
      </c>
      <c r="AA23">
        <f>'Input Scenarios'!AA88</f>
        <v>265</v>
      </c>
      <c r="AB23">
        <f>'Input Scenarios'!AB88</f>
        <v>450</v>
      </c>
      <c r="AC23">
        <f>IF('Input Scenarios'!AC88&lt;&gt;"", 'Input Scenarios'!AC88, _xlfn.XLOOKUP(Y23, Constants!$B$13:$H$13, Constants!$B$15:$H$15, ""))</f>
        <v>0.6</v>
      </c>
      <c r="AD23">
        <f>IF('Input Scenarios'!AD88&lt;&gt;"", 'Input Scenarios'!AD88, Constants!$B$45)</f>
        <v>0.75</v>
      </c>
      <c r="AE23">
        <f>IF('Input Scenarios'!AE88&lt;&gt;"", 'Input Scenarios'!AE88, Constants!$B$46)</f>
        <v>0.2</v>
      </c>
      <c r="AF23">
        <f t="shared" si="3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4"/>
        <v>1</v>
      </c>
      <c r="AK23">
        <f t="shared" si="15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6"/>
        <v>0.5948500000000001</v>
      </c>
      <c r="AQ23">
        <f t="shared" si="7"/>
        <v>0</v>
      </c>
      <c r="AR23">
        <f>IF(Y23="milkingCows", Constants!$P$2, Constants!$P$3)</f>
        <v>1</v>
      </c>
      <c r="AS23" s="18">
        <f t="shared" si="8"/>
        <v>8.3549902499999984</v>
      </c>
      <c r="AT23">
        <f>Constants!$B$47</f>
        <v>0.08</v>
      </c>
      <c r="AU23">
        <f t="shared" si="14"/>
        <v>2.2291113986999993</v>
      </c>
      <c r="AV23">
        <f t="shared" si="9"/>
        <v>0</v>
      </c>
      <c r="AW23">
        <f t="shared" si="10"/>
        <v>0</v>
      </c>
      <c r="AX23">
        <f t="shared" si="10"/>
        <v>0</v>
      </c>
      <c r="AY23">
        <f t="shared" si="11"/>
        <v>0</v>
      </c>
      <c r="AZ23">
        <f t="shared" si="1"/>
        <v>1</v>
      </c>
      <c r="BA23">
        <f>_xlfn.XLOOKUP($B23, Constants!$E$27:$E$45,Constants!F$27:F$45)</f>
        <v>0.8</v>
      </c>
      <c r="BB23">
        <f>_xlfn.XLOOKUP($B23, Constants!$E$27:$E$45,Constants!G$27:G$45)</f>
        <v>0.01</v>
      </c>
      <c r="BC23">
        <f>_xlfn.XLOOKUP($B23, Constants!$E$27:$E$45,Constants!H$27:H$45)</f>
        <v>0.48</v>
      </c>
      <c r="BD23">
        <f>_xlfn.XLOOKUP($B23, Constants!$E$27:$E$45,Constants!I$27:I$45)</f>
        <v>0.02</v>
      </c>
      <c r="BE23">
        <f>_xlfn.XLOOKUP($A23, Constants!$E$18:$L$18,Constants!$E$23:$L$23)</f>
        <v>0.02</v>
      </c>
      <c r="BF23">
        <f>Constants!$B$48</f>
        <v>0.24</v>
      </c>
      <c r="BG23">
        <f>Constants!$B$49</f>
        <v>0.6784</v>
      </c>
      <c r="BH23">
        <f t="shared" si="12"/>
        <v>0</v>
      </c>
      <c r="BI23">
        <f t="shared" si="2"/>
        <v>0</v>
      </c>
      <c r="BJ23">
        <f t="shared" si="2"/>
        <v>0</v>
      </c>
      <c r="BK23">
        <f t="shared" si="2"/>
        <v>0</v>
      </c>
      <c r="BL23">
        <f t="shared" si="2"/>
        <v>7.2587000298147816E-3</v>
      </c>
      <c r="BM23" t="str">
        <f>IF(ISNUMBER(FIND("PreWeaned",Y23)),_xlfn.XLOOKUP(Y23,Constants!$J$2:$J$3,Constants!$K$2:$K$3), "")</f>
        <v/>
      </c>
      <c r="BN23">
        <f t="shared" si="13"/>
        <v>384.71110158018342</v>
      </c>
    </row>
    <row r="24" spans="1:67" x14ac:dyDescent="0.2">
      <c r="A24" t="str">
        <f>'Input Scenarios'!A89</f>
        <v>NT</v>
      </c>
      <c r="B24">
        <f>'Input Scenarios'!B89</f>
        <v>27</v>
      </c>
      <c r="C24" t="str">
        <f>'Input Scenarios'!C89</f>
        <v>Irrigated pasture</v>
      </c>
      <c r="D24" t="str">
        <f>'Input Scenarios'!D89</f>
        <v>dry</v>
      </c>
      <c r="E24" t="b">
        <f>'Input Scenarios'!E89</f>
        <v>0</v>
      </c>
      <c r="G24">
        <f>'Input Scenarios'!G89</f>
        <v>0.73</v>
      </c>
      <c r="H24">
        <f>'Input Scenarios'!H89</f>
        <v>0.08</v>
      </c>
      <c r="I24">
        <f>'Input Scenarios'!I89</f>
        <v>0.19</v>
      </c>
      <c r="J24">
        <f>'Input Scenarios'!J89</f>
        <v>0</v>
      </c>
      <c r="K24">
        <f>'Input Scenarios'!K89</f>
        <v>0.5</v>
      </c>
      <c r="L24">
        <f>'Input Scenarios'!L89</f>
        <v>0.5</v>
      </c>
      <c r="M24">
        <f>'Input Scenarios'!M89</f>
        <v>0</v>
      </c>
      <c r="N24">
        <f>'Input Scenarios'!N89</f>
        <v>0.5</v>
      </c>
      <c r="O24">
        <f>'Input Scenarios'!O89</f>
        <v>0</v>
      </c>
      <c r="P24">
        <f>'Input Scenarios'!P89</f>
        <v>0</v>
      </c>
      <c r="Q24">
        <f>'Input Scenarios'!Q89</f>
        <v>0.5</v>
      </c>
      <c r="R24" t="b">
        <f>'Input Scenarios'!R24</f>
        <v>0</v>
      </c>
      <c r="S24">
        <f>IF('Input Scenarios'!S89&lt;&gt;"", 'Input Scenarios'!S89, IF(R89, Constants!$B$38, 0))</f>
        <v>0</v>
      </c>
      <c r="T24" t="str">
        <f>IF('Input Scenarios'!T89&lt;&gt;"", 'Input Scenarios'!T89, "")</f>
        <v/>
      </c>
      <c r="U24">
        <f>IF('Input Scenarios'!U89&lt;&gt;"", 'Input Scenarios'!U89, IF(W24&lt;&gt;"", "", Constants!$B$39))</f>
        <v>4</v>
      </c>
      <c r="V24">
        <f>IF('Input Scenarios'!V89&lt;&gt;"", 'Input Scenarios'!V89, IF(W24&lt;&gt;"", "", Constants!$B$40))</f>
        <v>3.3</v>
      </c>
      <c r="W24" t="str">
        <f>IF('Input Scenarios'!W89&lt;&gt;"", 'Input Scenarios'!W89, "")</f>
        <v/>
      </c>
      <c r="X24" t="str">
        <f>'Input Scenarios'!X89</f>
        <v>Brown Swiss</v>
      </c>
      <c r="Y24" t="str">
        <f>'Input Scenarios'!Y89</f>
        <v>heifersLt1PreWeaned</v>
      </c>
      <c r="Z24">
        <f>'Input Scenarios'!Z89</f>
        <v>200</v>
      </c>
      <c r="AA24">
        <f>'Input Scenarios'!AA89</f>
        <v>100</v>
      </c>
      <c r="AB24">
        <f>'Input Scenarios'!AB89</f>
        <v>88</v>
      </c>
      <c r="AC24" t="str">
        <f>IF('Input Scenarios'!AC89&lt;&gt;"", 'Input Scenarios'!AC89, _xlfn.XLOOKUP(Y24, Constants!$B$13:$H$13, Constants!$B$15:$H$15, ""))</f>
        <v/>
      </c>
      <c r="AD24">
        <f>IF('Input Scenarios'!AD89&lt;&gt;"", 'Input Scenarios'!AD89, Constants!$B$45)</f>
        <v>0.75</v>
      </c>
      <c r="AE24">
        <f>IF('Input Scenarios'!AE89&lt;&gt;"", 'Input Scenarios'!AE89, Constants!$B$46)</f>
        <v>0.2</v>
      </c>
      <c r="AF24">
        <f t="shared" si="3"/>
        <v>0</v>
      </c>
      <c r="AG24">
        <f t="shared" si="3"/>
        <v>0</v>
      </c>
      <c r="AH24">
        <f t="shared" si="3"/>
        <v>0</v>
      </c>
      <c r="AI24">
        <f t="shared" si="3"/>
        <v>0</v>
      </c>
      <c r="AJ24">
        <f t="shared" si="4"/>
        <v>1</v>
      </c>
      <c r="AK24">
        <f t="shared" si="15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6"/>
        <v>0.5948500000000001</v>
      </c>
      <c r="AQ24">
        <f t="shared" si="7"/>
        <v>0</v>
      </c>
      <c r="AR24">
        <f>IF(Y24="milkingCows", Constants!$P$2, Constants!$P$3)</f>
        <v>1</v>
      </c>
      <c r="AS24" s="18" t="str">
        <f t="shared" si="8"/>
        <v/>
      </c>
      <c r="AT24">
        <f>Constants!$B$47</f>
        <v>0.08</v>
      </c>
      <c r="AU24" t="str">
        <f t="shared" si="14"/>
        <v/>
      </c>
      <c r="AV24">
        <f t="shared" si="9"/>
        <v>0</v>
      </c>
      <c r="AW24">
        <f t="shared" si="10"/>
        <v>0</v>
      </c>
      <c r="AX24">
        <f t="shared" si="10"/>
        <v>0</v>
      </c>
      <c r="AY24">
        <f t="shared" si="11"/>
        <v>0</v>
      </c>
      <c r="AZ24">
        <f t="shared" si="1"/>
        <v>1</v>
      </c>
      <c r="BA24">
        <f>_xlfn.XLOOKUP($B24, Constants!$E$27:$E$45,Constants!F$27:F$45)</f>
        <v>0.8</v>
      </c>
      <c r="BB24">
        <f>_xlfn.XLOOKUP($B24, Constants!$E$27:$E$45,Constants!G$27:G$45)</f>
        <v>0.01</v>
      </c>
      <c r="BC24">
        <f>_xlfn.XLOOKUP($B24, Constants!$E$27:$E$45,Constants!H$27:H$45)</f>
        <v>0.48</v>
      </c>
      <c r="BD24">
        <f>_xlfn.XLOOKUP($B24, Constants!$E$27:$E$45,Constants!I$27:I$45)</f>
        <v>0.02</v>
      </c>
      <c r="BE24">
        <f>_xlfn.XLOOKUP($A24, Constants!$E$18:$L$18,Constants!$E$23:$L$23)</f>
        <v>0.02</v>
      </c>
      <c r="BF24">
        <f>Constants!$B$48</f>
        <v>0.24</v>
      </c>
      <c r="BG24">
        <f>Constants!$B$49</f>
        <v>0.6784</v>
      </c>
      <c r="BH24" t="str">
        <f t="shared" si="12"/>
        <v/>
      </c>
      <c r="BI24" t="str">
        <f t="shared" si="12"/>
        <v/>
      </c>
      <c r="BJ24" t="str">
        <f t="shared" si="12"/>
        <v/>
      </c>
      <c r="BK24" t="str">
        <f t="shared" si="12"/>
        <v/>
      </c>
      <c r="BL24" t="str">
        <f t="shared" si="12"/>
        <v/>
      </c>
      <c r="BM24">
        <f>IF(ISNUMBER(FIND("PreWeaned",Y24)),_xlfn.XLOOKUP(Y24,Constants!$J$2:$J$3,Constants!$K$2:$K$3), "")</f>
        <v>1.7600000000000001E-2</v>
      </c>
      <c r="BN24">
        <f t="shared" si="13"/>
        <v>352</v>
      </c>
    </row>
    <row r="25" spans="1:67" x14ac:dyDescent="0.2">
      <c r="A25" t="str">
        <f>'Input Scenarios'!A90</f>
        <v>NT</v>
      </c>
      <c r="B25">
        <f>'Input Scenarios'!B90</f>
        <v>27</v>
      </c>
      <c r="C25" t="str">
        <f>'Input Scenarios'!C90</f>
        <v>Irrigated pasture</v>
      </c>
      <c r="D25" t="str">
        <f>'Input Scenarios'!D90</f>
        <v>dry</v>
      </c>
      <c r="E25" t="b">
        <f>'Input Scenarios'!E90</f>
        <v>0</v>
      </c>
      <c r="G25">
        <f>'Input Scenarios'!G90</f>
        <v>0.73</v>
      </c>
      <c r="H25">
        <f>'Input Scenarios'!H90</f>
        <v>0.08</v>
      </c>
      <c r="I25">
        <f>'Input Scenarios'!I90</f>
        <v>0.19</v>
      </c>
      <c r="J25">
        <f>'Input Scenarios'!J90</f>
        <v>0</v>
      </c>
      <c r="K25">
        <f>'Input Scenarios'!K90</f>
        <v>0.5</v>
      </c>
      <c r="L25">
        <f>'Input Scenarios'!L90</f>
        <v>0.5</v>
      </c>
      <c r="M25">
        <f>'Input Scenarios'!M90</f>
        <v>0</v>
      </c>
      <c r="N25">
        <f>'Input Scenarios'!N90</f>
        <v>0.5</v>
      </c>
      <c r="O25">
        <f>'Input Scenarios'!O90</f>
        <v>0</v>
      </c>
      <c r="P25">
        <f>'Input Scenarios'!P90</f>
        <v>0</v>
      </c>
      <c r="Q25">
        <f>'Input Scenarios'!Q90</f>
        <v>0.5</v>
      </c>
      <c r="R25" t="b">
        <f>'Input Scenarios'!R25</f>
        <v>0</v>
      </c>
      <c r="S25">
        <f>IF('Input Scenarios'!S90&lt;&gt;"", 'Input Scenarios'!S90, IF(R90, Constants!$B$38, 0))</f>
        <v>0</v>
      </c>
      <c r="T25" t="str">
        <f>IF('Input Scenarios'!T90&lt;&gt;"", 'Input Scenarios'!T90, "")</f>
        <v/>
      </c>
      <c r="U25">
        <f>IF('Input Scenarios'!U90&lt;&gt;"", 'Input Scenarios'!U90, IF(W25&lt;&gt;"", "", Constants!$B$39))</f>
        <v>4</v>
      </c>
      <c r="V25">
        <f>IF('Input Scenarios'!V90&lt;&gt;"", 'Input Scenarios'!V90, IF(W25&lt;&gt;"", "", Constants!$B$40))</f>
        <v>3.3</v>
      </c>
      <c r="W25" t="str">
        <f>IF('Input Scenarios'!W90&lt;&gt;"", 'Input Scenarios'!W90, "")</f>
        <v/>
      </c>
      <c r="X25" t="str">
        <f>'Input Scenarios'!X90</f>
        <v>Brown Swiss</v>
      </c>
      <c r="Y25" t="str">
        <f>'Input Scenarios'!Y90</f>
        <v>heifersLt1Weaned</v>
      </c>
      <c r="Z25">
        <f>'Input Scenarios'!Z90</f>
        <v>200</v>
      </c>
      <c r="AA25">
        <f>'Input Scenarios'!AA90</f>
        <v>360</v>
      </c>
      <c r="AB25">
        <f>'Input Scenarios'!AB90</f>
        <v>185</v>
      </c>
      <c r="AC25">
        <f>IF('Input Scenarios'!AC90&lt;&gt;"", 'Input Scenarios'!AC90, _xlfn.XLOOKUP(Y25, Constants!$B$13:$H$13, Constants!$B$15:$H$15, ""))</f>
        <v>0.56999999999999995</v>
      </c>
      <c r="AD25">
        <f>IF('Input Scenarios'!AD90&lt;&gt;"", 'Input Scenarios'!AD90, Constants!$B$45)</f>
        <v>0.75</v>
      </c>
      <c r="AE25">
        <f>IF('Input Scenarios'!AE90&lt;&gt;"", 'Input Scenarios'!AE90, Constants!$B$46)</f>
        <v>0.2</v>
      </c>
      <c r="AF25">
        <f t="shared" ref="AF25:AI44" si="16">IF($Y25="milkingCows",($H25*J25)+($I25*N25), 0)</f>
        <v>0</v>
      </c>
      <c r="AG25">
        <f t="shared" si="16"/>
        <v>0</v>
      </c>
      <c r="AH25">
        <f t="shared" si="16"/>
        <v>0</v>
      </c>
      <c r="AI25">
        <f t="shared" si="16"/>
        <v>0</v>
      </c>
      <c r="AJ25">
        <f t="shared" si="4"/>
        <v>1</v>
      </c>
      <c r="AK25">
        <f t="shared" si="15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6"/>
        <v>0.5948500000000001</v>
      </c>
      <c r="AQ25">
        <f t="shared" si="7"/>
        <v>0</v>
      </c>
      <c r="AR25">
        <f>IF(Y25="milkingCows", Constants!$P$2, Constants!$P$3)</f>
        <v>1</v>
      </c>
      <c r="AS25" s="18">
        <f t="shared" si="8"/>
        <v>4.4751921662249998</v>
      </c>
      <c r="AT25">
        <f>Constants!$B$47</f>
        <v>0.08</v>
      </c>
      <c r="AU25">
        <f t="shared" si="14"/>
        <v>1.1939812699488301</v>
      </c>
      <c r="AV25">
        <f t="shared" si="9"/>
        <v>0</v>
      </c>
      <c r="AW25">
        <f t="shared" ref="AW25:AX40" si="17">AG25</f>
        <v>0</v>
      </c>
      <c r="AX25">
        <f t="shared" si="17"/>
        <v>0</v>
      </c>
      <c r="AY25">
        <f t="shared" si="11"/>
        <v>0</v>
      </c>
      <c r="AZ25">
        <f t="shared" si="1"/>
        <v>1</v>
      </c>
      <c r="BA25">
        <f>_xlfn.XLOOKUP($B25, Constants!$E$27:$E$45,Constants!F$27:F$45)</f>
        <v>0.8</v>
      </c>
      <c r="BB25">
        <f>_xlfn.XLOOKUP($B25, Constants!$E$27:$E$45,Constants!G$27:G$45)</f>
        <v>0.01</v>
      </c>
      <c r="BC25">
        <f>_xlfn.XLOOKUP($B25, Constants!$E$27:$E$45,Constants!H$27:H$45)</f>
        <v>0.48</v>
      </c>
      <c r="BD25">
        <f>_xlfn.XLOOKUP($B25, Constants!$E$27:$E$45,Constants!I$27:I$45)</f>
        <v>0.02</v>
      </c>
      <c r="BE25">
        <f>_xlfn.XLOOKUP($A25, Constants!$E$18:$L$18,Constants!$E$23:$L$23)</f>
        <v>0.02</v>
      </c>
      <c r="BF25">
        <f>Constants!$B$48</f>
        <v>0.24</v>
      </c>
      <c r="BG25">
        <f>Constants!$B$49</f>
        <v>0.6784</v>
      </c>
      <c r="BH25">
        <f t="shared" ref="BH25:BL40" si="18">IF(ISNUMBER(FIND("PreWeaned",$Y25)), "", $AU25*AV25*BA25*$BF25*$BG25)</f>
        <v>0</v>
      </c>
      <c r="BI25">
        <f t="shared" si="18"/>
        <v>0</v>
      </c>
      <c r="BJ25">
        <f t="shared" si="18"/>
        <v>0</v>
      </c>
      <c r="BK25">
        <f t="shared" si="18"/>
        <v>0</v>
      </c>
      <c r="BL25">
        <f t="shared" si="18"/>
        <v>3.8879850889597745E-3</v>
      </c>
      <c r="BM25" t="str">
        <f>IF(ISNUMBER(FIND("PreWeaned",Y25)),_xlfn.XLOOKUP(Y25,Constants!$J$2:$J$3,Constants!$K$2:$K$3), "")</f>
        <v/>
      </c>
      <c r="BN25">
        <f t="shared" si="13"/>
        <v>279.93492640510374</v>
      </c>
    </row>
    <row r="26" spans="1:67" x14ac:dyDescent="0.2">
      <c r="A26" t="str">
        <f>'Input Scenarios'!A91</f>
        <v>NT</v>
      </c>
      <c r="B26">
        <f>'Input Scenarios'!B91</f>
        <v>27</v>
      </c>
      <c r="C26" t="str">
        <f>'Input Scenarios'!C91</f>
        <v>Irrigated pasture</v>
      </c>
      <c r="D26" t="str">
        <f>'Input Scenarios'!D91</f>
        <v>dry</v>
      </c>
      <c r="E26" t="b">
        <f>'Input Scenarios'!E91</f>
        <v>0</v>
      </c>
      <c r="G26">
        <f>'Input Scenarios'!G91</f>
        <v>0.73</v>
      </c>
      <c r="H26">
        <f>'Input Scenarios'!H91</f>
        <v>0.08</v>
      </c>
      <c r="I26">
        <f>'Input Scenarios'!I91</f>
        <v>0.19</v>
      </c>
      <c r="J26">
        <f>'Input Scenarios'!J91</f>
        <v>0</v>
      </c>
      <c r="K26">
        <f>'Input Scenarios'!K91</f>
        <v>0.5</v>
      </c>
      <c r="L26">
        <f>'Input Scenarios'!L91</f>
        <v>0.5</v>
      </c>
      <c r="M26">
        <f>'Input Scenarios'!M91</f>
        <v>0</v>
      </c>
      <c r="N26">
        <f>'Input Scenarios'!N91</f>
        <v>0.5</v>
      </c>
      <c r="O26">
        <f>'Input Scenarios'!O91</f>
        <v>0</v>
      </c>
      <c r="P26">
        <f>'Input Scenarios'!P91</f>
        <v>0</v>
      </c>
      <c r="Q26">
        <f>'Input Scenarios'!Q91</f>
        <v>0.5</v>
      </c>
      <c r="R26" t="b">
        <f>'Input Scenarios'!R26</f>
        <v>0</v>
      </c>
      <c r="S26">
        <f>IF('Input Scenarios'!S91&lt;&gt;"", 'Input Scenarios'!S91, IF(R91, Constants!$B$38, 0))</f>
        <v>0</v>
      </c>
      <c r="T26" t="str">
        <f>IF('Input Scenarios'!T91&lt;&gt;"", 'Input Scenarios'!T91, "")</f>
        <v/>
      </c>
      <c r="U26">
        <f>IF('Input Scenarios'!U91&lt;&gt;"", 'Input Scenarios'!U91, IF(W26&lt;&gt;"", "", Constants!$B$39))</f>
        <v>4</v>
      </c>
      <c r="V26">
        <f>IF('Input Scenarios'!V91&lt;&gt;"", 'Input Scenarios'!V91, IF(W26&lt;&gt;"", "", Constants!$B$40))</f>
        <v>3.3</v>
      </c>
      <c r="W26" t="str">
        <f>IF('Input Scenarios'!W91&lt;&gt;"", 'Input Scenarios'!W91, "")</f>
        <v/>
      </c>
      <c r="X26" t="str">
        <f>'Input Scenarios'!X91</f>
        <v>Brown Swiss</v>
      </c>
      <c r="Y26" t="str">
        <f>'Input Scenarios'!Y91</f>
        <v>bullsGt1</v>
      </c>
      <c r="Z26">
        <f>'Input Scenarios'!Z91</f>
        <v>200</v>
      </c>
      <c r="AA26">
        <f>'Input Scenarios'!AA91</f>
        <v>345</v>
      </c>
      <c r="AB26">
        <f>'Input Scenarios'!AB91</f>
        <v>550</v>
      </c>
      <c r="AC26">
        <f>IF('Input Scenarios'!AC91&lt;&gt;"", 'Input Scenarios'!AC91, _xlfn.XLOOKUP(Y26, Constants!$B$13:$H$13, Constants!$B$15:$H$15, ""))</f>
        <v>0.1</v>
      </c>
      <c r="AD26">
        <f>IF('Input Scenarios'!AD91&lt;&gt;"", 'Input Scenarios'!AD91, Constants!$B$45)</f>
        <v>0.75</v>
      </c>
      <c r="AE26">
        <f>IF('Input Scenarios'!AE91&lt;&gt;"", 'Input Scenarios'!AE91, Constants!$B$46)</f>
        <v>0.2</v>
      </c>
      <c r="AF26">
        <f t="shared" si="16"/>
        <v>0</v>
      </c>
      <c r="AG26">
        <f t="shared" si="16"/>
        <v>0</v>
      </c>
      <c r="AH26">
        <f t="shared" si="16"/>
        <v>0</v>
      </c>
      <c r="AI26">
        <f t="shared" si="16"/>
        <v>0</v>
      </c>
      <c r="AJ26">
        <f t="shared" si="4"/>
        <v>1</v>
      </c>
      <c r="AK26">
        <f t="shared" si="15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6"/>
        <v>0.5948500000000001</v>
      </c>
      <c r="AQ26">
        <f t="shared" si="7"/>
        <v>0</v>
      </c>
      <c r="AR26">
        <f>IF(Y26="milkingCows", Constants!$P$2, Constants!$P$3)</f>
        <v>1</v>
      </c>
      <c r="AS26" s="18">
        <f t="shared" si="8"/>
        <v>8.5673290000000009</v>
      </c>
      <c r="AT26">
        <f>Constants!$B$47</f>
        <v>0.08</v>
      </c>
      <c r="AU26">
        <f t="shared" si="14"/>
        <v>2.2857633772000003</v>
      </c>
      <c r="AV26">
        <f t="shared" si="9"/>
        <v>0</v>
      </c>
      <c r="AW26">
        <f t="shared" si="17"/>
        <v>0</v>
      </c>
      <c r="AX26">
        <f t="shared" si="17"/>
        <v>0</v>
      </c>
      <c r="AY26">
        <f t="shared" si="11"/>
        <v>0</v>
      </c>
      <c r="AZ26">
        <f t="shared" si="1"/>
        <v>1</v>
      </c>
      <c r="BA26">
        <f>_xlfn.XLOOKUP($B26, Constants!$E$27:$E$45,Constants!F$27:F$45)</f>
        <v>0.8</v>
      </c>
      <c r="BB26">
        <f>_xlfn.XLOOKUP($B26, Constants!$E$27:$E$45,Constants!G$27:G$45)</f>
        <v>0.01</v>
      </c>
      <c r="BC26">
        <f>_xlfn.XLOOKUP($B26, Constants!$E$27:$E$45,Constants!H$27:H$45)</f>
        <v>0.48</v>
      </c>
      <c r="BD26">
        <f>_xlfn.XLOOKUP($B26, Constants!$E$27:$E$45,Constants!I$27:I$45)</f>
        <v>0.02</v>
      </c>
      <c r="BE26">
        <f>_xlfn.XLOOKUP($A26, Constants!$E$18:$L$18,Constants!$E$23:$L$23)</f>
        <v>0.02</v>
      </c>
      <c r="BF26">
        <f>Constants!$B$48</f>
        <v>0.24</v>
      </c>
      <c r="BG26">
        <f>Constants!$B$49</f>
        <v>0.6784</v>
      </c>
      <c r="BH26">
        <f t="shared" si="18"/>
        <v>0</v>
      </c>
      <c r="BI26">
        <f t="shared" si="18"/>
        <v>0</v>
      </c>
      <c r="BJ26">
        <f t="shared" si="18"/>
        <v>0</v>
      </c>
      <c r="BK26">
        <f t="shared" si="18"/>
        <v>0</v>
      </c>
      <c r="BL26">
        <f t="shared" si="18"/>
        <v>7.4431770004439058E-3</v>
      </c>
      <c r="BM26" t="str">
        <f>IF(ISNUMBER(FIND("PreWeaned",Y26)),_xlfn.XLOOKUP(Y26,Constants!$J$2:$J$3,Constants!$K$2:$K$3), "")</f>
        <v/>
      </c>
      <c r="BN26">
        <f t="shared" si="13"/>
        <v>513.57921303062949</v>
      </c>
    </row>
    <row r="27" spans="1:67" x14ac:dyDescent="0.2">
      <c r="A27" t="str">
        <f>'Input Scenarios'!A92</f>
        <v>NT</v>
      </c>
      <c r="B27">
        <f>'Input Scenarios'!B92</f>
        <v>27</v>
      </c>
      <c r="C27" t="str">
        <f>'Input Scenarios'!C92</f>
        <v>Irrigated pasture</v>
      </c>
      <c r="D27" t="str">
        <f>'Input Scenarios'!D92</f>
        <v>dry</v>
      </c>
      <c r="E27" t="b">
        <f>'Input Scenarios'!E92</f>
        <v>0</v>
      </c>
      <c r="G27">
        <f>'Input Scenarios'!G92</f>
        <v>0.73</v>
      </c>
      <c r="H27">
        <f>'Input Scenarios'!H92</f>
        <v>0.08</v>
      </c>
      <c r="I27">
        <f>'Input Scenarios'!I92</f>
        <v>0.19</v>
      </c>
      <c r="J27">
        <f>'Input Scenarios'!J92</f>
        <v>0</v>
      </c>
      <c r="K27">
        <f>'Input Scenarios'!K92</f>
        <v>0.5</v>
      </c>
      <c r="L27">
        <f>'Input Scenarios'!L92</f>
        <v>0.5</v>
      </c>
      <c r="M27">
        <f>'Input Scenarios'!M92</f>
        <v>0</v>
      </c>
      <c r="N27">
        <f>'Input Scenarios'!N92</f>
        <v>0.5</v>
      </c>
      <c r="O27">
        <f>'Input Scenarios'!O92</f>
        <v>0</v>
      </c>
      <c r="P27">
        <f>'Input Scenarios'!P92</f>
        <v>0</v>
      </c>
      <c r="Q27">
        <f>'Input Scenarios'!Q92</f>
        <v>0.5</v>
      </c>
      <c r="R27" t="b">
        <f>'Input Scenarios'!R27</f>
        <v>0</v>
      </c>
      <c r="S27">
        <f>IF('Input Scenarios'!S92&lt;&gt;"", 'Input Scenarios'!S92, IF(R92, Constants!$B$38, 0))</f>
        <v>0</v>
      </c>
      <c r="T27" t="str">
        <f>IF('Input Scenarios'!T92&lt;&gt;"", 'Input Scenarios'!T92, "")</f>
        <v/>
      </c>
      <c r="U27">
        <f>IF('Input Scenarios'!U92&lt;&gt;"", 'Input Scenarios'!U92, IF(W27&lt;&gt;"", "", Constants!$B$39))</f>
        <v>4</v>
      </c>
      <c r="V27">
        <f>IF('Input Scenarios'!V92&lt;&gt;"", 'Input Scenarios'!V92, IF(W27&lt;&gt;"", "", Constants!$B$40))</f>
        <v>3.3</v>
      </c>
      <c r="W27" t="str">
        <f>IF('Input Scenarios'!W92&lt;&gt;"", 'Input Scenarios'!W92, "")</f>
        <v/>
      </c>
      <c r="X27" t="str">
        <f>'Input Scenarios'!X92</f>
        <v>Brown Swiss</v>
      </c>
      <c r="Y27" t="str">
        <f>'Input Scenarios'!Y92</f>
        <v>bullsLt1PreWeaned</v>
      </c>
      <c r="Z27">
        <f>'Input Scenarios'!Z92</f>
        <v>200</v>
      </c>
      <c r="AA27">
        <f>'Input Scenarios'!AA92</f>
        <v>124</v>
      </c>
      <c r="AB27">
        <f>'Input Scenarios'!AB92</f>
        <v>225</v>
      </c>
      <c r="AC27" t="str">
        <f>IF('Input Scenarios'!AC92&lt;&gt;"", 'Input Scenarios'!AC92, _xlfn.XLOOKUP(Y27, Constants!$B$13:$H$13, Constants!$B$15:$H$15, ""))</f>
        <v/>
      </c>
      <c r="AD27">
        <f>IF('Input Scenarios'!AD92&lt;&gt;"", 'Input Scenarios'!AD92, Constants!$B$45)</f>
        <v>0.75</v>
      </c>
      <c r="AE27">
        <f>IF('Input Scenarios'!AE92&lt;&gt;"", 'Input Scenarios'!AE92, Constants!$B$46)</f>
        <v>0.2</v>
      </c>
      <c r="AF27">
        <f t="shared" si="16"/>
        <v>0</v>
      </c>
      <c r="AG27">
        <f t="shared" si="16"/>
        <v>0</v>
      </c>
      <c r="AH27">
        <f t="shared" si="16"/>
        <v>0</v>
      </c>
      <c r="AI27">
        <f t="shared" si="16"/>
        <v>0</v>
      </c>
      <c r="AJ27">
        <f t="shared" si="4"/>
        <v>1</v>
      </c>
      <c r="AK27">
        <f t="shared" si="15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6"/>
        <v>0.5948500000000001</v>
      </c>
      <c r="AQ27">
        <f t="shared" si="7"/>
        <v>0</v>
      </c>
      <c r="AR27">
        <f>IF(Y27="milkingCows", Constants!$P$2, Constants!$P$3)</f>
        <v>1</v>
      </c>
      <c r="AS27" s="18" t="str">
        <f t="shared" si="8"/>
        <v/>
      </c>
      <c r="AT27">
        <f>Constants!$B$47</f>
        <v>0.08</v>
      </c>
      <c r="AU27" t="str">
        <f t="shared" si="14"/>
        <v/>
      </c>
      <c r="AV27">
        <f t="shared" si="9"/>
        <v>0</v>
      </c>
      <c r="AW27">
        <f t="shared" si="17"/>
        <v>0</v>
      </c>
      <c r="AX27">
        <f t="shared" si="17"/>
        <v>0</v>
      </c>
      <c r="AY27">
        <f t="shared" si="11"/>
        <v>0</v>
      </c>
      <c r="AZ27">
        <f t="shared" si="1"/>
        <v>1</v>
      </c>
      <c r="BA27">
        <f>_xlfn.XLOOKUP($B27, Constants!$E$27:$E$45,Constants!F$27:F$45)</f>
        <v>0.8</v>
      </c>
      <c r="BB27">
        <f>_xlfn.XLOOKUP($B27, Constants!$E$27:$E$45,Constants!G$27:G$45)</f>
        <v>0.01</v>
      </c>
      <c r="BC27">
        <f>_xlfn.XLOOKUP($B27, Constants!$E$27:$E$45,Constants!H$27:H$45)</f>
        <v>0.48</v>
      </c>
      <c r="BD27">
        <f>_xlfn.XLOOKUP($B27, Constants!$E$27:$E$45,Constants!I$27:I$45)</f>
        <v>0.02</v>
      </c>
      <c r="BE27">
        <f>_xlfn.XLOOKUP($A27, Constants!$E$18:$L$18,Constants!$E$23:$L$23)</f>
        <v>0.02</v>
      </c>
      <c r="BF27">
        <f>Constants!$B$48</f>
        <v>0.24</v>
      </c>
      <c r="BG27">
        <f>Constants!$B$49</f>
        <v>0.6784</v>
      </c>
      <c r="BH27" t="str">
        <f t="shared" si="18"/>
        <v/>
      </c>
      <c r="BI27" t="str">
        <f t="shared" si="18"/>
        <v/>
      </c>
      <c r="BJ27" t="str">
        <f t="shared" si="18"/>
        <v/>
      </c>
      <c r="BK27" t="str">
        <f t="shared" si="18"/>
        <v/>
      </c>
      <c r="BL27" t="str">
        <f t="shared" si="18"/>
        <v/>
      </c>
      <c r="BM27">
        <f>IF(ISNUMBER(FIND("PreWeaned",Y27)),_xlfn.XLOOKUP(Y27,Constants!$J$2:$J$3,Constants!$K$2:$K$3), "")</f>
        <v>2.0400000000000001E-2</v>
      </c>
      <c r="BN27">
        <f t="shared" si="13"/>
        <v>505.92</v>
      </c>
    </row>
    <row r="28" spans="1:67" s="16" customFormat="1" x14ac:dyDescent="0.2">
      <c r="A28" s="16" t="str">
        <f>'Input Scenarios'!A93</f>
        <v>NT</v>
      </c>
      <c r="B28" s="16">
        <f>'Input Scenarios'!B93</f>
        <v>27</v>
      </c>
      <c r="C28" s="16" t="str">
        <f>'Input Scenarios'!C93</f>
        <v>Irrigated pasture</v>
      </c>
      <c r="D28" s="16" t="str">
        <f>'Input Scenarios'!D93</f>
        <v>dry</v>
      </c>
      <c r="E28" s="16" t="b">
        <f>'Input Scenarios'!E93</f>
        <v>0</v>
      </c>
      <c r="G28" s="16">
        <f>'Input Scenarios'!G93</f>
        <v>0.73</v>
      </c>
      <c r="H28" s="16">
        <f>'Input Scenarios'!H93</f>
        <v>0.08</v>
      </c>
      <c r="I28" s="16">
        <f>'Input Scenarios'!I93</f>
        <v>0.19</v>
      </c>
      <c r="J28" s="16">
        <f>'Input Scenarios'!J93</f>
        <v>0</v>
      </c>
      <c r="K28" s="16">
        <f>'Input Scenarios'!K93</f>
        <v>0.5</v>
      </c>
      <c r="L28" s="16">
        <f>'Input Scenarios'!L93</f>
        <v>0.5</v>
      </c>
      <c r="M28" s="16">
        <f>'Input Scenarios'!M93</f>
        <v>0</v>
      </c>
      <c r="N28" s="16">
        <f>'Input Scenarios'!N93</f>
        <v>0.5</v>
      </c>
      <c r="O28" s="16">
        <f>'Input Scenarios'!O93</f>
        <v>0</v>
      </c>
      <c r="P28" s="16">
        <f>'Input Scenarios'!P93</f>
        <v>0</v>
      </c>
      <c r="Q28" s="16">
        <f>'Input Scenarios'!Q93</f>
        <v>0.5</v>
      </c>
      <c r="R28" s="16" t="b">
        <f>'Input Scenarios'!R28</f>
        <v>0</v>
      </c>
      <c r="S28" s="16">
        <f>IF('Input Scenarios'!S93&lt;&gt;"", 'Input Scenarios'!S93, IF(R93, Constants!$B$38, 0))</f>
        <v>0</v>
      </c>
      <c r="T28" s="16" t="str">
        <f>IF('Input Scenarios'!T93&lt;&gt;"", 'Input Scenarios'!T93, "")</f>
        <v/>
      </c>
      <c r="U28" s="16">
        <f>IF('Input Scenarios'!U93&lt;&gt;"", 'Input Scenarios'!U93, IF(W28&lt;&gt;"", "", Constants!$B$39))</f>
        <v>4</v>
      </c>
      <c r="V28" s="16">
        <f>IF('Input Scenarios'!V93&lt;&gt;"", 'Input Scenarios'!V93, IF(W28&lt;&gt;"", "", Constants!$B$40))</f>
        <v>3.3</v>
      </c>
      <c r="W28" s="16" t="str">
        <f>IF('Input Scenarios'!W93&lt;&gt;"", 'Input Scenarios'!W93, "")</f>
        <v/>
      </c>
      <c r="X28" s="16" t="str">
        <f>'Input Scenarios'!X93</f>
        <v>Brown Swiss</v>
      </c>
      <c r="Y28" s="16" t="str">
        <f>'Input Scenarios'!Y93</f>
        <v>bullsLt1Weaned</v>
      </c>
      <c r="Z28" s="16">
        <f>'Input Scenarios'!Z93</f>
        <v>200</v>
      </c>
      <c r="AA28" s="16">
        <f>'Input Scenarios'!AA93</f>
        <v>294</v>
      </c>
      <c r="AB28" s="16">
        <f>'Input Scenarios'!AB93</f>
        <v>225</v>
      </c>
      <c r="AC28" s="16">
        <f>IF('Input Scenarios'!AC93&lt;&gt;"", 'Input Scenarios'!AC93, _xlfn.XLOOKUP(Y28, Constants!$B$13:$H$13, Constants!$B$15:$H$15, ""))</f>
        <v>0.8</v>
      </c>
      <c r="AD28" s="16">
        <f>IF('Input Scenarios'!AD93&lt;&gt;"", 'Input Scenarios'!AD93, Constants!$B$45)</f>
        <v>0.75</v>
      </c>
      <c r="AE28" s="16">
        <f>IF('Input Scenarios'!AE93&lt;&gt;"", 'Input Scenarios'!AE93, Constants!$B$46)</f>
        <v>0.2</v>
      </c>
      <c r="AF28" s="16">
        <f t="shared" si="16"/>
        <v>0</v>
      </c>
      <c r="AG28" s="16">
        <f t="shared" si="16"/>
        <v>0</v>
      </c>
      <c r="AH28" s="16">
        <f t="shared" si="16"/>
        <v>0</v>
      </c>
      <c r="AI28" s="16">
        <f t="shared" si="16"/>
        <v>0</v>
      </c>
      <c r="AJ28" s="16">
        <f t="shared" si="4"/>
        <v>1</v>
      </c>
      <c r="AK28" s="16">
        <f t="shared" si="15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6"/>
        <v>0.5948500000000001</v>
      </c>
      <c r="AQ28" s="16">
        <f t="shared" si="7"/>
        <v>0</v>
      </c>
      <c r="AR28" s="16">
        <f>IF(Y28="milkingCows", Constants!$P$2, Constants!$P$3)</f>
        <v>1</v>
      </c>
      <c r="AS28" s="19">
        <f t="shared" si="8"/>
        <v>5.4143472656250013</v>
      </c>
      <c r="AT28" s="16">
        <f>Constants!$B$47</f>
        <v>0.08</v>
      </c>
      <c r="AU28" s="16">
        <f t="shared" si="14"/>
        <v>1.4445478504687506</v>
      </c>
      <c r="AV28" s="16">
        <f t="shared" si="9"/>
        <v>0</v>
      </c>
      <c r="AW28" s="16">
        <f t="shared" si="17"/>
        <v>0</v>
      </c>
      <c r="AX28" s="16">
        <f t="shared" si="17"/>
        <v>0</v>
      </c>
      <c r="AY28" s="16">
        <f t="shared" si="11"/>
        <v>0</v>
      </c>
      <c r="AZ28" s="16">
        <f t="shared" si="1"/>
        <v>1</v>
      </c>
      <c r="BA28" s="16">
        <f>_xlfn.XLOOKUP($B28, Constants!$E$27:$E$45,Constants!F$27:F$45)</f>
        <v>0.8</v>
      </c>
      <c r="BB28" s="16">
        <f>_xlfn.XLOOKUP($B28, Constants!$E$27:$E$45,Constants!G$27:G$45)</f>
        <v>0.01</v>
      </c>
      <c r="BC28" s="16">
        <f>_xlfn.XLOOKUP($B28, Constants!$E$27:$E$45,Constants!H$27:H$45)</f>
        <v>0.48</v>
      </c>
      <c r="BD28" s="16">
        <f>_xlfn.XLOOKUP($B28, Constants!$E$27:$E$45,Constants!I$27:I$45)</f>
        <v>0.02</v>
      </c>
      <c r="BE28" s="16">
        <f>_xlfn.XLOOKUP($A28, Constants!$E$18:$L$18,Constants!$E$23:$L$23)</f>
        <v>0.02</v>
      </c>
      <c r="BF28" s="16">
        <f>Constants!$B$48</f>
        <v>0.24</v>
      </c>
      <c r="BG28" s="16">
        <f>Constants!$B$49</f>
        <v>0.6784</v>
      </c>
      <c r="BH28" s="16">
        <f t="shared" si="18"/>
        <v>0</v>
      </c>
      <c r="BI28" s="16">
        <f t="shared" si="18"/>
        <v>0</v>
      </c>
      <c r="BJ28" s="16">
        <f t="shared" si="18"/>
        <v>0</v>
      </c>
      <c r="BK28" s="16">
        <f t="shared" si="18"/>
        <v>0</v>
      </c>
      <c r="BL28" s="16">
        <f t="shared" si="18"/>
        <v>4.7039100564384021E-3</v>
      </c>
      <c r="BM28" s="16" t="str">
        <f>IF(ISNUMBER(FIND("PreWeaned",Y28)),_xlfn.XLOOKUP(Y28,Constants!$J$2:$J$3,Constants!$K$2:$K$3), "")</f>
        <v/>
      </c>
      <c r="BN28" s="16">
        <f t="shared" si="13"/>
        <v>276.58991131857806</v>
      </c>
    </row>
    <row r="29" spans="1:67" x14ac:dyDescent="0.2">
      <c r="A29" t="str">
        <f>'Input Scenarios'!A94</f>
        <v>TAS</v>
      </c>
      <c r="B29" t="str">
        <f>'Input Scenarios'!B94</f>
        <v>10 or below</v>
      </c>
      <c r="C29" t="str">
        <f>'Input Scenarios'!C94</f>
        <v>Irrigated crop</v>
      </c>
      <c r="D29" t="str">
        <f>'Input Scenarios'!D94</f>
        <v>dry</v>
      </c>
      <c r="E29" t="b">
        <f>'Input Scenarios'!E94</f>
        <v>1</v>
      </c>
      <c r="G29">
        <f>'Input Scenarios'!G94</f>
        <v>0</v>
      </c>
      <c r="H29">
        <f>'Input Scenarios'!H94</f>
        <v>0.1</v>
      </c>
      <c r="I29">
        <f>'Input Scenarios'!I94</f>
        <v>0.9</v>
      </c>
      <c r="J29">
        <f>'Input Scenarios'!J94</f>
        <v>0.1</v>
      </c>
      <c r="K29">
        <f>'Input Scenarios'!K94</f>
        <v>0.2</v>
      </c>
      <c r="L29">
        <f>'Input Scenarios'!L94</f>
        <v>0.3</v>
      </c>
      <c r="M29">
        <f>'Input Scenarios'!M94</f>
        <v>0.4</v>
      </c>
      <c r="N29">
        <f>'Input Scenarios'!N94</f>
        <v>0.4</v>
      </c>
      <c r="O29">
        <f>'Input Scenarios'!O94</f>
        <v>0.3</v>
      </c>
      <c r="P29">
        <f>'Input Scenarios'!P94</f>
        <v>0.2</v>
      </c>
      <c r="Q29">
        <f>'Input Scenarios'!Q94</f>
        <v>0.1</v>
      </c>
      <c r="R29" t="b">
        <f>'Input Scenarios'!R29</f>
        <v>0</v>
      </c>
      <c r="S29">
        <f>IF('Input Scenarios'!S94&lt;&gt;"", 'Input Scenarios'!S94, IF(R94, Constants!$B$38, 0))</f>
        <v>0</v>
      </c>
      <c r="T29" s="20" t="str">
        <f>IF('Input Scenarios'!T94&lt;&gt;"", 'Input Scenarios'!T94, "")</f>
        <v/>
      </c>
      <c r="U29" s="20" t="str">
        <f>IF('Input Scenarios'!U94&lt;&gt;"", 'Input Scenarios'!U94, IF(W29&lt;&gt;"", "", Constants!$B$39))</f>
        <v/>
      </c>
      <c r="V29" s="20" t="str">
        <f>IF('Input Scenarios'!V94&lt;&gt;"", 'Input Scenarios'!V94, IF(W29&lt;&gt;"", "", Constants!$B$40))</f>
        <v/>
      </c>
      <c r="W29" s="20">
        <f>IF('Input Scenarios'!W94&lt;&gt;"", 'Input Scenarios'!W94, "")</f>
        <v>20</v>
      </c>
      <c r="X29" s="20" t="str">
        <f>'Input Scenarios'!X94</f>
        <v>Illawarra/Aussie Red</v>
      </c>
      <c r="Y29" s="20" t="str">
        <f>'Input Scenarios'!Y94</f>
        <v>milkingCows</v>
      </c>
      <c r="Z29" s="20">
        <f>'Input Scenarios'!Z94</f>
        <v>200</v>
      </c>
      <c r="AA29" s="20">
        <f>'Input Scenarios'!AA94</f>
        <v>365</v>
      </c>
      <c r="AB29" s="20">
        <f>'Input Scenarios'!AB94</f>
        <v>500</v>
      </c>
      <c r="AC29">
        <f>IF('Input Scenarios'!AC94&lt;&gt;"", 'Input Scenarios'!AC94, _xlfn.XLOOKUP(Y29, Constants!$B$13:$H$13, Constants!$B$15:$H$15, ""))</f>
        <v>1.6E-2</v>
      </c>
      <c r="AD29">
        <f>IF('Input Scenarios'!AD94&lt;&gt;"", 'Input Scenarios'!AD94, Constants!$B$45)</f>
        <v>0.75</v>
      </c>
      <c r="AE29">
        <f>IF('Input Scenarios'!AE94&lt;&gt;"", 'Input Scenarios'!AE94, Constants!$B$46)</f>
        <v>0.2</v>
      </c>
      <c r="AF29" s="20">
        <f t="shared" si="16"/>
        <v>0.37000000000000005</v>
      </c>
      <c r="AG29" s="20">
        <f t="shared" si="16"/>
        <v>0.29000000000000004</v>
      </c>
      <c r="AH29" s="20">
        <f t="shared" si="16"/>
        <v>0.21000000000000002</v>
      </c>
      <c r="AI29" s="20">
        <f t="shared" si="16"/>
        <v>0.13</v>
      </c>
      <c r="AJ29" s="20">
        <f t="shared" si="4"/>
        <v>0</v>
      </c>
      <c r="AK29">
        <f t="shared" si="15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6"/>
        <v>0.5948500000000001</v>
      </c>
      <c r="AQ29">
        <f t="shared" si="7"/>
        <v>9.5798721636071917</v>
      </c>
      <c r="AR29">
        <f>IF(Y29="milkingCows", Constants!$P$2, Constants!$P$3)</f>
        <v>1.1000000000000001</v>
      </c>
      <c r="AS29" s="18">
        <f t="shared" si="8"/>
        <v>18.265829445367196</v>
      </c>
      <c r="AT29">
        <f>Constants!$B$47</f>
        <v>0.08</v>
      </c>
      <c r="AU29">
        <f t="shared" si="14"/>
        <v>4.8733232960239681</v>
      </c>
      <c r="AV29">
        <f t="shared" si="9"/>
        <v>0.37000000000000005</v>
      </c>
      <c r="AW29">
        <f t="shared" si="17"/>
        <v>0.29000000000000004</v>
      </c>
      <c r="AX29">
        <f t="shared" si="17"/>
        <v>0.21000000000000002</v>
      </c>
      <c r="AY29">
        <f t="shared" si="11"/>
        <v>0.13</v>
      </c>
      <c r="AZ29">
        <f t="shared" si="1"/>
        <v>0</v>
      </c>
      <c r="BA29">
        <f>_xlfn.XLOOKUP($B29, Constants!$E$27:$E$45,Constants!F$27:F$45)</f>
        <v>0.66</v>
      </c>
      <c r="BB29">
        <f>_xlfn.XLOOKUP($B29, Constants!$E$27:$E$45,Constants!G$27:G$45)</f>
        <v>1E-3</v>
      </c>
      <c r="BC29">
        <f>_xlfn.XLOOKUP($B29, Constants!$E$27:$E$45,Constants!H$27:H$45)</f>
        <v>0.1</v>
      </c>
      <c r="BD29">
        <f>_xlfn.XLOOKUP($B29, Constants!$E$27:$E$45,Constants!I$27:I$45)</f>
        <v>0.02</v>
      </c>
      <c r="BE29">
        <f>_xlfn.XLOOKUP($A29, Constants!$E$18:$L$18,Constants!$E$23:$L$23)</f>
        <v>0.01</v>
      </c>
      <c r="BF29">
        <f>Constants!$B$48</f>
        <v>0.24</v>
      </c>
      <c r="BG29">
        <f>Constants!$B$49</f>
        <v>0.6784</v>
      </c>
      <c r="BH29">
        <f t="shared" si="18"/>
        <v>0.19376171240792009</v>
      </c>
      <c r="BI29">
        <f t="shared" si="18"/>
        <v>2.3010195167197714E-4</v>
      </c>
      <c r="BJ29">
        <f t="shared" si="18"/>
        <v>1.6662555121074205E-2</v>
      </c>
      <c r="BK29">
        <f t="shared" si="18"/>
        <v>2.0629830149901398E-3</v>
      </c>
      <c r="BL29">
        <f t="shared" si="18"/>
        <v>0</v>
      </c>
      <c r="BM29" t="str">
        <f>IF(ISNUMBER(FIND("PreWeaned",Y29)),_xlfn.XLOOKUP(Y29,Constants!$J$2:$J$3,Constants!$K$2:$K$3), "")</f>
        <v/>
      </c>
      <c r="BN29">
        <f t="shared" si="13"/>
        <v>15528.366732182918</v>
      </c>
      <c r="BO29">
        <f>SUM(BN29:BN35)/1000</f>
        <v>17.070668534806238</v>
      </c>
    </row>
    <row r="30" spans="1:67" x14ac:dyDescent="0.2">
      <c r="A30" t="str">
        <f>'Input Scenarios'!A95</f>
        <v>TAS</v>
      </c>
      <c r="B30" t="str">
        <f>'Input Scenarios'!B95</f>
        <v>10 or below</v>
      </c>
      <c r="C30" t="str">
        <f>'Input Scenarios'!C95</f>
        <v>Irrigated crop</v>
      </c>
      <c r="D30" t="str">
        <f>'Input Scenarios'!D95</f>
        <v>dry</v>
      </c>
      <c r="E30" t="b">
        <f>'Input Scenarios'!E95</f>
        <v>1</v>
      </c>
      <c r="G30">
        <f>'Input Scenarios'!G95</f>
        <v>0</v>
      </c>
      <c r="H30">
        <f>'Input Scenarios'!H95</f>
        <v>0.1</v>
      </c>
      <c r="I30">
        <f>'Input Scenarios'!I95</f>
        <v>0.9</v>
      </c>
      <c r="J30">
        <f>'Input Scenarios'!J95</f>
        <v>0.1</v>
      </c>
      <c r="K30">
        <f>'Input Scenarios'!K95</f>
        <v>0.2</v>
      </c>
      <c r="L30">
        <f>'Input Scenarios'!L95</f>
        <v>0.3</v>
      </c>
      <c r="M30">
        <f>'Input Scenarios'!M95</f>
        <v>0.4</v>
      </c>
      <c r="N30">
        <f>'Input Scenarios'!N95</f>
        <v>0.4</v>
      </c>
      <c r="O30">
        <f>'Input Scenarios'!O95</f>
        <v>0.3</v>
      </c>
      <c r="P30">
        <f>'Input Scenarios'!P95</f>
        <v>0.2</v>
      </c>
      <c r="Q30">
        <f>'Input Scenarios'!Q95</f>
        <v>0.1</v>
      </c>
      <c r="R30" t="b">
        <f>'Input Scenarios'!R30</f>
        <v>0</v>
      </c>
      <c r="S30">
        <f>IF('Input Scenarios'!S95&lt;&gt;"", 'Input Scenarios'!S95, IF(R95, Constants!$B$38, 0))</f>
        <v>0</v>
      </c>
      <c r="T30" t="str">
        <f>IF('Input Scenarios'!T95&lt;&gt;"", 'Input Scenarios'!T95, "")</f>
        <v/>
      </c>
      <c r="U30">
        <f>IF('Input Scenarios'!U95&lt;&gt;"", 'Input Scenarios'!U95, IF(W30&lt;&gt;"", "", Constants!$B$39))</f>
        <v>4</v>
      </c>
      <c r="V30">
        <f>IF('Input Scenarios'!V95&lt;&gt;"", 'Input Scenarios'!V95, IF(W30&lt;&gt;"", "", Constants!$B$40))</f>
        <v>3.3</v>
      </c>
      <c r="W30" t="str">
        <f>IF('Input Scenarios'!W95&lt;&gt;"", 'Input Scenarios'!W95, "")</f>
        <v/>
      </c>
      <c r="X30" t="str">
        <f>'Input Scenarios'!X95</f>
        <v>Illawarra/Aussie Red</v>
      </c>
      <c r="Y30" t="str">
        <f>'Input Scenarios'!Y95</f>
        <v>heifersGt1</v>
      </c>
      <c r="Z30">
        <f>'Input Scenarios'!Z95</f>
        <v>200</v>
      </c>
      <c r="AA30">
        <f>'Input Scenarios'!AA95</f>
        <v>265</v>
      </c>
      <c r="AB30">
        <f>'Input Scenarios'!AB95</f>
        <v>350</v>
      </c>
      <c r="AC30">
        <f>IF('Input Scenarios'!AC95&lt;&gt;"", 'Input Scenarios'!AC95, _xlfn.XLOOKUP(Y30, Constants!$B$13:$H$13, Constants!$B$15:$H$15, ""))</f>
        <v>0.6</v>
      </c>
      <c r="AD30">
        <f>IF('Input Scenarios'!AD95&lt;&gt;"", 'Input Scenarios'!AD95, Constants!$B$45)</f>
        <v>0.75</v>
      </c>
      <c r="AE30">
        <f>IF('Input Scenarios'!AE95&lt;&gt;"", 'Input Scenarios'!AE95, Constants!$B$46)</f>
        <v>0.2</v>
      </c>
      <c r="AF30">
        <f t="shared" si="16"/>
        <v>0</v>
      </c>
      <c r="AG30">
        <f t="shared" si="16"/>
        <v>0</v>
      </c>
      <c r="AH30">
        <f t="shared" si="16"/>
        <v>0</v>
      </c>
      <c r="AI30">
        <f t="shared" si="16"/>
        <v>0</v>
      </c>
      <c r="AJ30">
        <f t="shared" si="4"/>
        <v>1</v>
      </c>
      <c r="AK30">
        <f t="shared" si="15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6"/>
        <v>0.5948500000000001</v>
      </c>
      <c r="AQ30">
        <f t="shared" si="7"/>
        <v>0</v>
      </c>
      <c r="AR30">
        <f>IF(Y30="milkingCows", Constants!$P$2, Constants!$P$3)</f>
        <v>1</v>
      </c>
      <c r="AS30" s="18">
        <f t="shared" si="8"/>
        <v>6.9933802499999995</v>
      </c>
      <c r="AT30">
        <f>Constants!$B$47</f>
        <v>0.08</v>
      </c>
      <c r="AU30">
        <f t="shared" si="14"/>
        <v>1.8658338507000001</v>
      </c>
      <c r="AV30">
        <f t="shared" si="9"/>
        <v>0</v>
      </c>
      <c r="AW30">
        <f t="shared" si="17"/>
        <v>0</v>
      </c>
      <c r="AX30">
        <f t="shared" si="17"/>
        <v>0</v>
      </c>
      <c r="AY30">
        <f t="shared" si="11"/>
        <v>0</v>
      </c>
      <c r="AZ30">
        <f t="shared" si="1"/>
        <v>1</v>
      </c>
      <c r="BA30">
        <f>_xlfn.XLOOKUP($B30, Constants!$E$27:$E$45,Constants!F$27:F$45)</f>
        <v>0.66</v>
      </c>
      <c r="BB30">
        <f>_xlfn.XLOOKUP($B30, Constants!$E$27:$E$45,Constants!G$27:G$45)</f>
        <v>1E-3</v>
      </c>
      <c r="BC30">
        <f>_xlfn.XLOOKUP($B30, Constants!$E$27:$E$45,Constants!H$27:H$45)</f>
        <v>0.1</v>
      </c>
      <c r="BD30">
        <f>_xlfn.XLOOKUP($B30, Constants!$E$27:$E$45,Constants!I$27:I$45)</f>
        <v>0.02</v>
      </c>
      <c r="BE30">
        <f>_xlfn.XLOOKUP($A30, Constants!$E$18:$L$18,Constants!$E$23:$L$23)</f>
        <v>0.01</v>
      </c>
      <c r="BF30">
        <f>Constants!$B$48</f>
        <v>0.24</v>
      </c>
      <c r="BG30">
        <f>Constants!$B$49</f>
        <v>0.6784</v>
      </c>
      <c r="BH30">
        <f t="shared" si="18"/>
        <v>0</v>
      </c>
      <c r="BI30">
        <f t="shared" si="18"/>
        <v>0</v>
      </c>
      <c r="BJ30">
        <f t="shared" si="18"/>
        <v>0</v>
      </c>
      <c r="BK30">
        <f t="shared" si="18"/>
        <v>0</v>
      </c>
      <c r="BL30">
        <f t="shared" si="18"/>
        <v>3.0378760423557124E-3</v>
      </c>
      <c r="BM30" t="str">
        <f>IF(ISNUMBER(FIND("PreWeaned",Y30)),_xlfn.XLOOKUP(Y30,Constants!$J$2:$J$3,Constants!$K$2:$K$3), "")</f>
        <v/>
      </c>
      <c r="BN30">
        <f t="shared" si="13"/>
        <v>161.00743024485274</v>
      </c>
    </row>
    <row r="31" spans="1:67" x14ac:dyDescent="0.2">
      <c r="A31" t="str">
        <f>'Input Scenarios'!A96</f>
        <v>TAS</v>
      </c>
      <c r="B31" t="str">
        <f>'Input Scenarios'!B96</f>
        <v>10 or below</v>
      </c>
      <c r="C31" t="str">
        <f>'Input Scenarios'!C96</f>
        <v>Irrigated crop</v>
      </c>
      <c r="D31" t="str">
        <f>'Input Scenarios'!D96</f>
        <v>dry</v>
      </c>
      <c r="E31" t="b">
        <f>'Input Scenarios'!E96</f>
        <v>1</v>
      </c>
      <c r="G31">
        <f>'Input Scenarios'!G96</f>
        <v>0</v>
      </c>
      <c r="H31">
        <f>'Input Scenarios'!H96</f>
        <v>0.1</v>
      </c>
      <c r="I31">
        <f>'Input Scenarios'!I96</f>
        <v>0.9</v>
      </c>
      <c r="J31">
        <f>'Input Scenarios'!J96</f>
        <v>0.1</v>
      </c>
      <c r="K31">
        <f>'Input Scenarios'!K96</f>
        <v>0.2</v>
      </c>
      <c r="L31">
        <f>'Input Scenarios'!L96</f>
        <v>0.3</v>
      </c>
      <c r="M31">
        <f>'Input Scenarios'!M96</f>
        <v>0.4</v>
      </c>
      <c r="N31">
        <f>'Input Scenarios'!N96</f>
        <v>0.4</v>
      </c>
      <c r="O31">
        <f>'Input Scenarios'!O96</f>
        <v>0.3</v>
      </c>
      <c r="P31">
        <f>'Input Scenarios'!P96</f>
        <v>0.2</v>
      </c>
      <c r="Q31">
        <f>'Input Scenarios'!Q96</f>
        <v>0.1</v>
      </c>
      <c r="R31" t="b">
        <f>'Input Scenarios'!R31</f>
        <v>0</v>
      </c>
      <c r="S31">
        <f>IF('Input Scenarios'!S96&lt;&gt;"", 'Input Scenarios'!S96, IF(R96, Constants!$B$38, 0))</f>
        <v>0</v>
      </c>
      <c r="T31" t="str">
        <f>IF('Input Scenarios'!T96&lt;&gt;"", 'Input Scenarios'!T96, "")</f>
        <v/>
      </c>
      <c r="U31">
        <f>IF('Input Scenarios'!U96&lt;&gt;"", 'Input Scenarios'!U96, IF(W31&lt;&gt;"", "", Constants!$B$39))</f>
        <v>4</v>
      </c>
      <c r="V31">
        <f>IF('Input Scenarios'!V96&lt;&gt;"", 'Input Scenarios'!V96, IF(W31&lt;&gt;"", "", Constants!$B$40))</f>
        <v>3.3</v>
      </c>
      <c r="W31" t="str">
        <f>IF('Input Scenarios'!W96&lt;&gt;"", 'Input Scenarios'!W96, "")</f>
        <v/>
      </c>
      <c r="X31" t="str">
        <f>'Input Scenarios'!X96</f>
        <v>Illawarra/Aussie Red</v>
      </c>
      <c r="Y31" t="str">
        <f>'Input Scenarios'!Y96</f>
        <v>heifersLt1PreWeaned</v>
      </c>
      <c r="Z31">
        <f>'Input Scenarios'!Z96</f>
        <v>200</v>
      </c>
      <c r="AA31">
        <f>'Input Scenarios'!AA96</f>
        <v>100</v>
      </c>
      <c r="AB31">
        <f>'Input Scenarios'!AB96</f>
        <v>39</v>
      </c>
      <c r="AC31" t="str">
        <f>IF('Input Scenarios'!AC96&lt;&gt;"", 'Input Scenarios'!AC96, _xlfn.XLOOKUP(Y31, Constants!$B$13:$H$13, Constants!$B$15:$H$15, ""))</f>
        <v/>
      </c>
      <c r="AD31">
        <f>IF('Input Scenarios'!AD96&lt;&gt;"", 'Input Scenarios'!AD96, Constants!$B$45)</f>
        <v>0.75</v>
      </c>
      <c r="AE31">
        <f>IF('Input Scenarios'!AE96&lt;&gt;"", 'Input Scenarios'!AE96, Constants!$B$46)</f>
        <v>0.2</v>
      </c>
      <c r="AF31">
        <f t="shared" si="16"/>
        <v>0</v>
      </c>
      <c r="AG31">
        <f t="shared" si="16"/>
        <v>0</v>
      </c>
      <c r="AH31">
        <f t="shared" si="16"/>
        <v>0</v>
      </c>
      <c r="AI31">
        <f t="shared" si="16"/>
        <v>0</v>
      </c>
      <c r="AJ31">
        <f t="shared" si="4"/>
        <v>1</v>
      </c>
      <c r="AK31">
        <f t="shared" si="15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6"/>
        <v>0.5948500000000001</v>
      </c>
      <c r="AQ31">
        <f t="shared" si="7"/>
        <v>0</v>
      </c>
      <c r="AR31">
        <f>IF(Y31="milkingCows", Constants!$P$2, Constants!$P$3)</f>
        <v>1</v>
      </c>
      <c r="AS31" s="18" t="str">
        <f t="shared" si="8"/>
        <v/>
      </c>
      <c r="AT31">
        <f>Constants!$B$47</f>
        <v>0.08</v>
      </c>
      <c r="AU31" t="str">
        <f t="shared" si="14"/>
        <v/>
      </c>
      <c r="AV31">
        <f t="shared" si="9"/>
        <v>0</v>
      </c>
      <c r="AW31">
        <f t="shared" si="17"/>
        <v>0</v>
      </c>
      <c r="AX31">
        <f t="shared" si="17"/>
        <v>0</v>
      </c>
      <c r="AY31">
        <f t="shared" si="11"/>
        <v>0</v>
      </c>
      <c r="AZ31">
        <f t="shared" si="1"/>
        <v>1</v>
      </c>
      <c r="BA31">
        <f>_xlfn.XLOOKUP($B31, Constants!$E$27:$E$45,Constants!F$27:F$45)</f>
        <v>0.66</v>
      </c>
      <c r="BB31">
        <f>_xlfn.XLOOKUP($B31, Constants!$E$27:$E$45,Constants!G$27:G$45)</f>
        <v>1E-3</v>
      </c>
      <c r="BC31">
        <f>_xlfn.XLOOKUP($B31, Constants!$E$27:$E$45,Constants!H$27:H$45)</f>
        <v>0.1</v>
      </c>
      <c r="BD31">
        <f>_xlfn.XLOOKUP($B31, Constants!$E$27:$E$45,Constants!I$27:I$45)</f>
        <v>0.02</v>
      </c>
      <c r="BE31">
        <f>_xlfn.XLOOKUP($A31, Constants!$E$18:$L$18,Constants!$E$23:$L$23)</f>
        <v>0.01</v>
      </c>
      <c r="BF31">
        <f>Constants!$B$48</f>
        <v>0.24</v>
      </c>
      <c r="BG31">
        <f>Constants!$B$49</f>
        <v>0.6784</v>
      </c>
      <c r="BH31" t="str">
        <f t="shared" si="18"/>
        <v/>
      </c>
      <c r="BI31" t="str">
        <f t="shared" si="18"/>
        <v/>
      </c>
      <c r="BJ31" t="str">
        <f t="shared" si="18"/>
        <v/>
      </c>
      <c r="BK31" t="str">
        <f t="shared" si="18"/>
        <v/>
      </c>
      <c r="BL31" t="str">
        <f t="shared" si="18"/>
        <v/>
      </c>
      <c r="BM31">
        <f>IF(ISNUMBER(FIND("PreWeaned",Y31)),_xlfn.XLOOKUP(Y31,Constants!$J$2:$J$3,Constants!$K$2:$K$3), "")</f>
        <v>1.7600000000000001E-2</v>
      </c>
      <c r="BN31">
        <f t="shared" si="13"/>
        <v>352</v>
      </c>
    </row>
    <row r="32" spans="1:67" x14ac:dyDescent="0.2">
      <c r="A32" t="str">
        <f>'Input Scenarios'!A97</f>
        <v>TAS</v>
      </c>
      <c r="B32" t="str">
        <f>'Input Scenarios'!B97</f>
        <v>10 or below</v>
      </c>
      <c r="C32" t="str">
        <f>'Input Scenarios'!C97</f>
        <v>Irrigated crop</v>
      </c>
      <c r="D32" t="str">
        <f>'Input Scenarios'!D97</f>
        <v>dry</v>
      </c>
      <c r="E32" t="b">
        <f>'Input Scenarios'!E97</f>
        <v>1</v>
      </c>
      <c r="G32">
        <f>'Input Scenarios'!G97</f>
        <v>0</v>
      </c>
      <c r="H32">
        <f>'Input Scenarios'!H97</f>
        <v>0.1</v>
      </c>
      <c r="I32">
        <f>'Input Scenarios'!I97</f>
        <v>0.9</v>
      </c>
      <c r="J32">
        <f>'Input Scenarios'!J97</f>
        <v>0.1</v>
      </c>
      <c r="K32">
        <f>'Input Scenarios'!K97</f>
        <v>0.2</v>
      </c>
      <c r="L32">
        <f>'Input Scenarios'!L97</f>
        <v>0.3</v>
      </c>
      <c r="M32">
        <f>'Input Scenarios'!M97</f>
        <v>0.4</v>
      </c>
      <c r="N32">
        <f>'Input Scenarios'!N97</f>
        <v>0.4</v>
      </c>
      <c r="O32">
        <f>'Input Scenarios'!O97</f>
        <v>0.3</v>
      </c>
      <c r="P32">
        <f>'Input Scenarios'!P97</f>
        <v>0.2</v>
      </c>
      <c r="Q32">
        <f>'Input Scenarios'!Q97</f>
        <v>0.1</v>
      </c>
      <c r="R32" t="b">
        <f>'Input Scenarios'!R32</f>
        <v>0</v>
      </c>
      <c r="S32">
        <f>IF('Input Scenarios'!S97&lt;&gt;"", 'Input Scenarios'!S97, IF(R97, Constants!$B$38, 0))</f>
        <v>0</v>
      </c>
      <c r="T32" t="str">
        <f>IF('Input Scenarios'!T97&lt;&gt;"", 'Input Scenarios'!T97, "")</f>
        <v/>
      </c>
      <c r="U32">
        <f>IF('Input Scenarios'!U97&lt;&gt;"", 'Input Scenarios'!U97, IF(W32&lt;&gt;"", "", Constants!$B$39))</f>
        <v>4</v>
      </c>
      <c r="V32">
        <f>IF('Input Scenarios'!V97&lt;&gt;"", 'Input Scenarios'!V97, IF(W32&lt;&gt;"", "", Constants!$B$40))</f>
        <v>3.3</v>
      </c>
      <c r="W32" t="str">
        <f>IF('Input Scenarios'!W97&lt;&gt;"", 'Input Scenarios'!W97, "")</f>
        <v/>
      </c>
      <c r="X32" t="str">
        <f>'Input Scenarios'!X97</f>
        <v>Illawarra/Aussie Red</v>
      </c>
      <c r="Y32" t="str">
        <f>'Input Scenarios'!Y97</f>
        <v>heifersLt1Weaned</v>
      </c>
      <c r="Z32">
        <f>'Input Scenarios'!Z97</f>
        <v>200</v>
      </c>
      <c r="AA32">
        <f>'Input Scenarios'!AA97</f>
        <v>360</v>
      </c>
      <c r="AB32">
        <f>'Input Scenarios'!AB97</f>
        <v>145</v>
      </c>
      <c r="AC32">
        <f>IF('Input Scenarios'!AC97&lt;&gt;"", 'Input Scenarios'!AC97, _xlfn.XLOOKUP(Y32, Constants!$B$13:$H$13, Constants!$B$15:$H$15, ""))</f>
        <v>0.56999999999999995</v>
      </c>
      <c r="AD32">
        <f>IF('Input Scenarios'!AD97&lt;&gt;"", 'Input Scenarios'!AD97, Constants!$B$45)</f>
        <v>0.75</v>
      </c>
      <c r="AE32">
        <f>IF('Input Scenarios'!AE97&lt;&gt;"", 'Input Scenarios'!AE97, Constants!$B$46)</f>
        <v>0.2</v>
      </c>
      <c r="AF32">
        <f t="shared" si="16"/>
        <v>0</v>
      </c>
      <c r="AG32">
        <f t="shared" si="16"/>
        <v>0</v>
      </c>
      <c r="AH32">
        <f t="shared" si="16"/>
        <v>0</v>
      </c>
      <c r="AI32">
        <f t="shared" si="16"/>
        <v>0</v>
      </c>
      <c r="AJ32">
        <f t="shared" si="4"/>
        <v>1</v>
      </c>
      <c r="AK32">
        <f t="shared" si="15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6"/>
        <v>0.5948500000000001</v>
      </c>
      <c r="AQ32">
        <f t="shared" si="7"/>
        <v>0</v>
      </c>
      <c r="AR32">
        <f>IF(Y32="milkingCows", Constants!$P$2, Constants!$P$3)</f>
        <v>1</v>
      </c>
      <c r="AS32" s="18">
        <f t="shared" si="8"/>
        <v>3.8737521942250002</v>
      </c>
      <c r="AT32">
        <f>Constants!$B$47</f>
        <v>0.08</v>
      </c>
      <c r="AU32">
        <f t="shared" si="14"/>
        <v>1.0335170854192302</v>
      </c>
      <c r="AV32">
        <f t="shared" si="9"/>
        <v>0</v>
      </c>
      <c r="AW32">
        <f t="shared" si="17"/>
        <v>0</v>
      </c>
      <c r="AX32">
        <f t="shared" si="17"/>
        <v>0</v>
      </c>
      <c r="AY32">
        <f t="shared" si="11"/>
        <v>0</v>
      </c>
      <c r="AZ32">
        <f t="shared" si="1"/>
        <v>1</v>
      </c>
      <c r="BA32">
        <f>_xlfn.XLOOKUP($B32, Constants!$E$27:$E$45,Constants!F$27:F$45)</f>
        <v>0.66</v>
      </c>
      <c r="BB32">
        <f>_xlfn.XLOOKUP($B32, Constants!$E$27:$E$45,Constants!G$27:G$45)</f>
        <v>1E-3</v>
      </c>
      <c r="BC32">
        <f>_xlfn.XLOOKUP($B32, Constants!$E$27:$E$45,Constants!H$27:H$45)</f>
        <v>0.1</v>
      </c>
      <c r="BD32">
        <f>_xlfn.XLOOKUP($B32, Constants!$E$27:$E$45,Constants!I$27:I$45)</f>
        <v>0.02</v>
      </c>
      <c r="BE32">
        <f>_xlfn.XLOOKUP($A32, Constants!$E$18:$L$18,Constants!$E$23:$L$23)</f>
        <v>0.01</v>
      </c>
      <c r="BF32">
        <f>Constants!$B$48</f>
        <v>0.24</v>
      </c>
      <c r="BG32">
        <f>Constants!$B$49</f>
        <v>0.6784</v>
      </c>
      <c r="BH32">
        <f t="shared" si="18"/>
        <v>0</v>
      </c>
      <c r="BI32">
        <f t="shared" si="18"/>
        <v>0</v>
      </c>
      <c r="BJ32">
        <f t="shared" si="18"/>
        <v>0</v>
      </c>
      <c r="BK32">
        <f t="shared" si="18"/>
        <v>0</v>
      </c>
      <c r="BL32">
        <f t="shared" si="18"/>
        <v>1.6827311777961736E-3</v>
      </c>
      <c r="BM32" t="str">
        <f>IF(ISNUMBER(FIND("PreWeaned",Y32)),_xlfn.XLOOKUP(Y32,Constants!$J$2:$J$3,Constants!$K$2:$K$3), "")</f>
        <v/>
      </c>
      <c r="BN32">
        <f t="shared" si="13"/>
        <v>121.1566448013245</v>
      </c>
    </row>
    <row r="33" spans="1:67" x14ac:dyDescent="0.2">
      <c r="A33" t="str">
        <f>'Input Scenarios'!A98</f>
        <v>TAS</v>
      </c>
      <c r="B33" t="str">
        <f>'Input Scenarios'!B98</f>
        <v>10 or below</v>
      </c>
      <c r="C33" t="str">
        <f>'Input Scenarios'!C98</f>
        <v>Irrigated crop</v>
      </c>
      <c r="D33" t="str">
        <f>'Input Scenarios'!D98</f>
        <v>dry</v>
      </c>
      <c r="E33" t="b">
        <f>'Input Scenarios'!E98</f>
        <v>1</v>
      </c>
      <c r="G33">
        <f>'Input Scenarios'!G98</f>
        <v>0</v>
      </c>
      <c r="H33">
        <f>'Input Scenarios'!H98</f>
        <v>0.1</v>
      </c>
      <c r="I33">
        <f>'Input Scenarios'!I98</f>
        <v>0.9</v>
      </c>
      <c r="J33">
        <f>'Input Scenarios'!J98</f>
        <v>0.1</v>
      </c>
      <c r="K33">
        <f>'Input Scenarios'!K98</f>
        <v>0.2</v>
      </c>
      <c r="L33">
        <f>'Input Scenarios'!L98</f>
        <v>0.3</v>
      </c>
      <c r="M33">
        <f>'Input Scenarios'!M98</f>
        <v>0.4</v>
      </c>
      <c r="N33">
        <f>'Input Scenarios'!N98</f>
        <v>0.4</v>
      </c>
      <c r="O33">
        <f>'Input Scenarios'!O98</f>
        <v>0.3</v>
      </c>
      <c r="P33">
        <f>'Input Scenarios'!P98</f>
        <v>0.2</v>
      </c>
      <c r="Q33">
        <f>'Input Scenarios'!Q98</f>
        <v>0.1</v>
      </c>
      <c r="R33" t="b">
        <f>'Input Scenarios'!R33</f>
        <v>0</v>
      </c>
      <c r="S33">
        <f>IF('Input Scenarios'!S98&lt;&gt;"", 'Input Scenarios'!S98, IF(R98, Constants!$B$38, 0))</f>
        <v>0</v>
      </c>
      <c r="T33" t="str">
        <f>IF('Input Scenarios'!T98&lt;&gt;"", 'Input Scenarios'!T98, "")</f>
        <v/>
      </c>
      <c r="U33">
        <f>IF('Input Scenarios'!U98&lt;&gt;"", 'Input Scenarios'!U98, IF(W33&lt;&gt;"", "", Constants!$B$39))</f>
        <v>4</v>
      </c>
      <c r="V33">
        <f>IF('Input Scenarios'!V98&lt;&gt;"", 'Input Scenarios'!V98, IF(W33&lt;&gt;"", "", Constants!$B$40))</f>
        <v>3.3</v>
      </c>
      <c r="W33" t="str">
        <f>IF('Input Scenarios'!W98&lt;&gt;"", 'Input Scenarios'!W98, "")</f>
        <v/>
      </c>
      <c r="X33" t="str">
        <f>'Input Scenarios'!X98</f>
        <v>Illawarra/Aussie Red</v>
      </c>
      <c r="Y33" t="str">
        <f>'Input Scenarios'!Y98</f>
        <v>bullsGt1</v>
      </c>
      <c r="Z33">
        <f>'Input Scenarios'!Z98</f>
        <v>200</v>
      </c>
      <c r="AA33">
        <f>'Input Scenarios'!AA98</f>
        <v>345</v>
      </c>
      <c r="AB33">
        <f>'Input Scenarios'!AB98</f>
        <v>575</v>
      </c>
      <c r="AC33">
        <f>IF('Input Scenarios'!AC98&lt;&gt;"", 'Input Scenarios'!AC98, _xlfn.XLOOKUP(Y33, Constants!$B$13:$H$13, Constants!$B$15:$H$15, ""))</f>
        <v>0.1</v>
      </c>
      <c r="AD33">
        <f>IF('Input Scenarios'!AD98&lt;&gt;"", 'Input Scenarios'!AD98, Constants!$B$45)</f>
        <v>0.75</v>
      </c>
      <c r="AE33">
        <f>IF('Input Scenarios'!AE98&lt;&gt;"", 'Input Scenarios'!AE98, Constants!$B$46)</f>
        <v>0.2</v>
      </c>
      <c r="AF33">
        <f t="shared" si="16"/>
        <v>0</v>
      </c>
      <c r="AG33">
        <f t="shared" si="16"/>
        <v>0</v>
      </c>
      <c r="AH33">
        <f t="shared" si="16"/>
        <v>0</v>
      </c>
      <c r="AI33">
        <f t="shared" si="16"/>
        <v>0</v>
      </c>
      <c r="AJ33">
        <f t="shared" si="4"/>
        <v>1</v>
      </c>
      <c r="AK33">
        <f t="shared" si="15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6"/>
        <v>0.5948500000000001</v>
      </c>
      <c r="AQ33">
        <f t="shared" si="7"/>
        <v>0</v>
      </c>
      <c r="AR33">
        <f>IF(Y33="milkingCows", Constants!$P$2, Constants!$P$3)</f>
        <v>1</v>
      </c>
      <c r="AS33" s="18">
        <f t="shared" si="8"/>
        <v>8.805314390625</v>
      </c>
      <c r="AT33">
        <f>Constants!$B$47</f>
        <v>0.08</v>
      </c>
      <c r="AU33">
        <f t="shared" si="14"/>
        <v>2.34925787941875</v>
      </c>
      <c r="AV33">
        <f t="shared" si="9"/>
        <v>0</v>
      </c>
      <c r="AW33">
        <f t="shared" si="17"/>
        <v>0</v>
      </c>
      <c r="AX33">
        <f t="shared" si="17"/>
        <v>0</v>
      </c>
      <c r="AY33">
        <f t="shared" si="11"/>
        <v>0</v>
      </c>
      <c r="AZ33">
        <f t="shared" si="1"/>
        <v>1</v>
      </c>
      <c r="BA33">
        <f>_xlfn.XLOOKUP($B33, Constants!$E$27:$E$45,Constants!F$27:F$45)</f>
        <v>0.66</v>
      </c>
      <c r="BB33">
        <f>_xlfn.XLOOKUP($B33, Constants!$E$27:$E$45,Constants!G$27:G$45)</f>
        <v>1E-3</v>
      </c>
      <c r="BC33">
        <f>_xlfn.XLOOKUP($B33, Constants!$E$27:$E$45,Constants!H$27:H$45)</f>
        <v>0.1</v>
      </c>
      <c r="BD33">
        <f>_xlfn.XLOOKUP($B33, Constants!$E$27:$E$45,Constants!I$27:I$45)</f>
        <v>0.02</v>
      </c>
      <c r="BE33">
        <f>_xlfn.XLOOKUP($A33, Constants!$E$18:$L$18,Constants!$E$23:$L$23)</f>
        <v>0.01</v>
      </c>
      <c r="BF33">
        <f>Constants!$B$48</f>
        <v>0.24</v>
      </c>
      <c r="BG33">
        <f>Constants!$B$49</f>
        <v>0.6784</v>
      </c>
      <c r="BH33">
        <f t="shared" si="18"/>
        <v>0</v>
      </c>
      <c r="BI33">
        <f t="shared" si="18"/>
        <v>0</v>
      </c>
      <c r="BJ33">
        <f t="shared" si="18"/>
        <v>0</v>
      </c>
      <c r="BK33">
        <f t="shared" si="18"/>
        <v>0</v>
      </c>
      <c r="BL33">
        <f t="shared" si="18"/>
        <v>3.8249677089544319E-3</v>
      </c>
      <c r="BM33" t="str">
        <f>IF(ISNUMBER(FIND("PreWeaned",Y33)),_xlfn.XLOOKUP(Y33,Constants!$J$2:$J$3,Constants!$K$2:$K$3), "")</f>
        <v/>
      </c>
      <c r="BN33">
        <f t="shared" si="13"/>
        <v>263.92277191785581</v>
      </c>
    </row>
    <row r="34" spans="1:67" x14ac:dyDescent="0.2">
      <c r="A34" t="str">
        <f>'Input Scenarios'!A99</f>
        <v>TAS</v>
      </c>
      <c r="B34" t="str">
        <f>'Input Scenarios'!B99</f>
        <v>10 or below</v>
      </c>
      <c r="C34" t="str">
        <f>'Input Scenarios'!C99</f>
        <v>Irrigated crop</v>
      </c>
      <c r="D34" t="str">
        <f>'Input Scenarios'!D99</f>
        <v>dry</v>
      </c>
      <c r="E34" t="b">
        <f>'Input Scenarios'!E99</f>
        <v>1</v>
      </c>
      <c r="G34">
        <f>'Input Scenarios'!G99</f>
        <v>0</v>
      </c>
      <c r="H34">
        <f>'Input Scenarios'!H99</f>
        <v>0.1</v>
      </c>
      <c r="I34">
        <f>'Input Scenarios'!I99</f>
        <v>0.9</v>
      </c>
      <c r="J34">
        <f>'Input Scenarios'!J99</f>
        <v>0.1</v>
      </c>
      <c r="K34">
        <f>'Input Scenarios'!K99</f>
        <v>0.2</v>
      </c>
      <c r="L34">
        <f>'Input Scenarios'!L99</f>
        <v>0.3</v>
      </c>
      <c r="M34">
        <f>'Input Scenarios'!M99</f>
        <v>0.4</v>
      </c>
      <c r="N34">
        <f>'Input Scenarios'!N99</f>
        <v>0.4</v>
      </c>
      <c r="O34">
        <f>'Input Scenarios'!O99</f>
        <v>0.3</v>
      </c>
      <c r="P34">
        <f>'Input Scenarios'!P99</f>
        <v>0.2</v>
      </c>
      <c r="Q34">
        <f>'Input Scenarios'!Q99</f>
        <v>0.1</v>
      </c>
      <c r="R34" t="b">
        <f>'Input Scenarios'!R34</f>
        <v>0</v>
      </c>
      <c r="S34">
        <f>IF('Input Scenarios'!S99&lt;&gt;"", 'Input Scenarios'!S99, IF(R99, Constants!$B$38, 0))</f>
        <v>0</v>
      </c>
      <c r="T34" t="str">
        <f>IF('Input Scenarios'!T99&lt;&gt;"", 'Input Scenarios'!T99, "")</f>
        <v/>
      </c>
      <c r="U34">
        <f>IF('Input Scenarios'!U99&lt;&gt;"", 'Input Scenarios'!U99, IF(W34&lt;&gt;"", "", Constants!$B$39))</f>
        <v>4</v>
      </c>
      <c r="V34">
        <f>IF('Input Scenarios'!V99&lt;&gt;"", 'Input Scenarios'!V99, IF(W34&lt;&gt;"", "", Constants!$B$40))</f>
        <v>3.3</v>
      </c>
      <c r="W34" t="str">
        <f>IF('Input Scenarios'!W99&lt;&gt;"", 'Input Scenarios'!W99, "")</f>
        <v/>
      </c>
      <c r="X34" t="str">
        <f>'Input Scenarios'!X99</f>
        <v>Illawarra/Aussie Red</v>
      </c>
      <c r="Y34" t="str">
        <f>'Input Scenarios'!Y99</f>
        <v>bullsLt1PreWeaned</v>
      </c>
      <c r="Z34">
        <f>'Input Scenarios'!Z99</f>
        <v>200</v>
      </c>
      <c r="AA34">
        <f>'Input Scenarios'!AA99</f>
        <v>124</v>
      </c>
      <c r="AB34">
        <f>'Input Scenarios'!AB99</f>
        <v>225</v>
      </c>
      <c r="AC34" t="str">
        <f>IF('Input Scenarios'!AC99&lt;&gt;"", 'Input Scenarios'!AC99, _xlfn.XLOOKUP(Y34, Constants!$B$13:$H$13, Constants!$B$15:$H$15, ""))</f>
        <v/>
      </c>
      <c r="AD34">
        <f>IF('Input Scenarios'!AD99&lt;&gt;"", 'Input Scenarios'!AD99, Constants!$B$45)</f>
        <v>0.75</v>
      </c>
      <c r="AE34">
        <f>IF('Input Scenarios'!AE99&lt;&gt;"", 'Input Scenarios'!AE99, Constants!$B$46)</f>
        <v>0.2</v>
      </c>
      <c r="AF34">
        <f t="shared" si="16"/>
        <v>0</v>
      </c>
      <c r="AG34">
        <f t="shared" si="16"/>
        <v>0</v>
      </c>
      <c r="AH34">
        <f t="shared" si="16"/>
        <v>0</v>
      </c>
      <c r="AI34">
        <f t="shared" si="16"/>
        <v>0</v>
      </c>
      <c r="AJ34">
        <f t="shared" si="4"/>
        <v>1</v>
      </c>
      <c r="AK34">
        <f t="shared" si="15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6"/>
        <v>0.5948500000000001</v>
      </c>
      <c r="AQ34">
        <f t="shared" si="7"/>
        <v>0</v>
      </c>
      <c r="AR34">
        <f>IF(Y34="milkingCows", Constants!$P$2, Constants!$P$3)</f>
        <v>1</v>
      </c>
      <c r="AS34" s="18" t="str">
        <f t="shared" si="8"/>
        <v/>
      </c>
      <c r="AT34">
        <f>Constants!$B$47</f>
        <v>0.08</v>
      </c>
      <c r="AU34" t="str">
        <f t="shared" si="14"/>
        <v/>
      </c>
      <c r="AV34">
        <f t="shared" si="9"/>
        <v>0</v>
      </c>
      <c r="AW34">
        <f t="shared" si="17"/>
        <v>0</v>
      </c>
      <c r="AX34">
        <f t="shared" si="17"/>
        <v>0</v>
      </c>
      <c r="AY34">
        <f t="shared" si="11"/>
        <v>0</v>
      </c>
      <c r="AZ34">
        <f t="shared" si="1"/>
        <v>1</v>
      </c>
      <c r="BA34">
        <f>_xlfn.XLOOKUP($B34, Constants!$E$27:$E$45,Constants!F$27:F$45)</f>
        <v>0.66</v>
      </c>
      <c r="BB34">
        <f>_xlfn.XLOOKUP($B34, Constants!$E$27:$E$45,Constants!G$27:G$45)</f>
        <v>1E-3</v>
      </c>
      <c r="BC34">
        <f>_xlfn.XLOOKUP($B34, Constants!$E$27:$E$45,Constants!H$27:H$45)</f>
        <v>0.1</v>
      </c>
      <c r="BD34">
        <f>_xlfn.XLOOKUP($B34, Constants!$E$27:$E$45,Constants!I$27:I$45)</f>
        <v>0.02</v>
      </c>
      <c r="BE34">
        <f>_xlfn.XLOOKUP($A34, Constants!$E$18:$L$18,Constants!$E$23:$L$23)</f>
        <v>0.01</v>
      </c>
      <c r="BF34">
        <f>Constants!$B$48</f>
        <v>0.24</v>
      </c>
      <c r="BG34">
        <f>Constants!$B$49</f>
        <v>0.6784</v>
      </c>
      <c r="BH34" t="str">
        <f t="shared" si="18"/>
        <v/>
      </c>
      <c r="BI34" t="str">
        <f t="shared" si="18"/>
        <v/>
      </c>
      <c r="BJ34" t="str">
        <f t="shared" si="18"/>
        <v/>
      </c>
      <c r="BK34" t="str">
        <f t="shared" si="18"/>
        <v/>
      </c>
      <c r="BL34" t="str">
        <f t="shared" si="18"/>
        <v/>
      </c>
      <c r="BM34">
        <f>IF(ISNUMBER(FIND("PreWeaned",Y34)),_xlfn.XLOOKUP(Y34,Constants!$J$2:$J$3,Constants!$K$2:$K$3), "")</f>
        <v>2.0400000000000001E-2</v>
      </c>
      <c r="BN34">
        <f t="shared" si="13"/>
        <v>505.92</v>
      </c>
    </row>
    <row r="35" spans="1:67" s="16" customFormat="1" x14ac:dyDescent="0.2">
      <c r="A35" s="16" t="str">
        <f>'Input Scenarios'!A100</f>
        <v>TAS</v>
      </c>
      <c r="B35" s="16" t="str">
        <f>'Input Scenarios'!B100</f>
        <v>10 or below</v>
      </c>
      <c r="C35" s="16" t="str">
        <f>'Input Scenarios'!C100</f>
        <v>Irrigated crop</v>
      </c>
      <c r="D35" s="16" t="str">
        <f>'Input Scenarios'!D100</f>
        <v>dry</v>
      </c>
      <c r="E35" s="16" t="b">
        <f>'Input Scenarios'!E100</f>
        <v>1</v>
      </c>
      <c r="G35" s="16">
        <f>'Input Scenarios'!G100</f>
        <v>0</v>
      </c>
      <c r="H35" s="16">
        <f>'Input Scenarios'!H100</f>
        <v>0.1</v>
      </c>
      <c r="I35" s="16">
        <f>'Input Scenarios'!I100</f>
        <v>0.9</v>
      </c>
      <c r="J35" s="16">
        <f>'Input Scenarios'!J100</f>
        <v>0.1</v>
      </c>
      <c r="K35" s="16">
        <f>'Input Scenarios'!K100</f>
        <v>0.2</v>
      </c>
      <c r="L35" s="16">
        <f>'Input Scenarios'!L100</f>
        <v>0.3</v>
      </c>
      <c r="M35" s="16">
        <f>'Input Scenarios'!M100</f>
        <v>0.4</v>
      </c>
      <c r="N35" s="16">
        <f>'Input Scenarios'!N100</f>
        <v>0.4</v>
      </c>
      <c r="O35" s="16">
        <f>'Input Scenarios'!O100</f>
        <v>0.3</v>
      </c>
      <c r="P35" s="16">
        <f>'Input Scenarios'!P100</f>
        <v>0.2</v>
      </c>
      <c r="Q35" s="16">
        <f>'Input Scenarios'!Q100</f>
        <v>0.1</v>
      </c>
      <c r="R35" s="16" t="b">
        <f>'Input Scenarios'!R35</f>
        <v>0</v>
      </c>
      <c r="S35" s="16">
        <f>IF('Input Scenarios'!S100&lt;&gt;"", 'Input Scenarios'!S100, IF(R100, Constants!$B$38, 0))</f>
        <v>0</v>
      </c>
      <c r="T35" s="16" t="str">
        <f>IF('Input Scenarios'!T100&lt;&gt;"", 'Input Scenarios'!T100, "")</f>
        <v/>
      </c>
      <c r="U35" s="16">
        <f>IF('Input Scenarios'!U100&lt;&gt;"", 'Input Scenarios'!U100, IF(W35&lt;&gt;"", "", Constants!$B$39))</f>
        <v>4</v>
      </c>
      <c r="V35" s="16">
        <f>IF('Input Scenarios'!V100&lt;&gt;"", 'Input Scenarios'!V100, IF(W35&lt;&gt;"", "", Constants!$B$40))</f>
        <v>3.3</v>
      </c>
      <c r="W35" s="16" t="str">
        <f>IF('Input Scenarios'!W100&lt;&gt;"", 'Input Scenarios'!W100, "")</f>
        <v/>
      </c>
      <c r="X35" s="16" t="str">
        <f>'Input Scenarios'!X100</f>
        <v>Illawarra/Aussie Red</v>
      </c>
      <c r="Y35" s="16" t="str">
        <f>'Input Scenarios'!Y100</f>
        <v>bullsLt1Weaned</v>
      </c>
      <c r="Z35" s="16">
        <f>'Input Scenarios'!Z100</f>
        <v>200</v>
      </c>
      <c r="AA35" s="16">
        <f>'Input Scenarios'!AA100</f>
        <v>294</v>
      </c>
      <c r="AB35" s="16">
        <f>'Input Scenarios'!AB100</f>
        <v>225</v>
      </c>
      <c r="AC35" s="16">
        <f>IF('Input Scenarios'!AC100&lt;&gt;"", 'Input Scenarios'!AC100, _xlfn.XLOOKUP(Y35, Constants!$B$13:$H$13, Constants!$B$15:$H$15, ""))</f>
        <v>0.8</v>
      </c>
      <c r="AD35" s="16">
        <f>IF('Input Scenarios'!AD100&lt;&gt;"", 'Input Scenarios'!AD100, Constants!$B$45)</f>
        <v>0.75</v>
      </c>
      <c r="AE35" s="16">
        <f>IF('Input Scenarios'!AE100&lt;&gt;"", 'Input Scenarios'!AE100, Constants!$B$46)</f>
        <v>0.2</v>
      </c>
      <c r="AF35" s="16">
        <f t="shared" si="16"/>
        <v>0</v>
      </c>
      <c r="AG35" s="16">
        <f t="shared" si="16"/>
        <v>0</v>
      </c>
      <c r="AH35" s="16">
        <f t="shared" si="16"/>
        <v>0</v>
      </c>
      <c r="AI35" s="16">
        <f t="shared" si="16"/>
        <v>0</v>
      </c>
      <c r="AJ35" s="16">
        <f t="shared" si="4"/>
        <v>1</v>
      </c>
      <c r="AK35" s="16">
        <f t="shared" si="15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6"/>
        <v>0.5948500000000001</v>
      </c>
      <c r="AQ35" s="16">
        <f t="shared" si="7"/>
        <v>0</v>
      </c>
      <c r="AR35" s="16">
        <f>IF(Y35="milkingCows", Constants!$P$2, Constants!$P$3)</f>
        <v>1</v>
      </c>
      <c r="AS35" s="19">
        <f t="shared" si="8"/>
        <v>5.4143472656250013</v>
      </c>
      <c r="AT35" s="16">
        <f>Constants!$B$47</f>
        <v>0.08</v>
      </c>
      <c r="AU35" s="16">
        <f t="shared" si="14"/>
        <v>1.4445478504687506</v>
      </c>
      <c r="AV35" s="16">
        <f t="shared" si="9"/>
        <v>0</v>
      </c>
      <c r="AW35" s="16">
        <f t="shared" si="17"/>
        <v>0</v>
      </c>
      <c r="AX35" s="16">
        <f t="shared" si="17"/>
        <v>0</v>
      </c>
      <c r="AY35" s="16">
        <f t="shared" si="11"/>
        <v>0</v>
      </c>
      <c r="AZ35" s="16">
        <f t="shared" si="1"/>
        <v>1</v>
      </c>
      <c r="BA35" s="16">
        <f>_xlfn.XLOOKUP($B35, Constants!$E$27:$E$45,Constants!F$27:F$45)</f>
        <v>0.66</v>
      </c>
      <c r="BB35" s="16">
        <f>_xlfn.XLOOKUP($B35, Constants!$E$27:$E$45,Constants!G$27:G$45)</f>
        <v>1E-3</v>
      </c>
      <c r="BC35" s="16">
        <f>_xlfn.XLOOKUP($B35, Constants!$E$27:$E$45,Constants!H$27:H$45)</f>
        <v>0.1</v>
      </c>
      <c r="BD35" s="16">
        <f>_xlfn.XLOOKUP($B35, Constants!$E$27:$E$45,Constants!I$27:I$45)</f>
        <v>0.02</v>
      </c>
      <c r="BE35" s="16">
        <f>_xlfn.XLOOKUP($A35, Constants!$E$18:$L$18,Constants!$E$23:$L$23)</f>
        <v>0.01</v>
      </c>
      <c r="BF35" s="16">
        <f>Constants!$B$48</f>
        <v>0.24</v>
      </c>
      <c r="BG35" s="16">
        <f>Constants!$B$49</f>
        <v>0.6784</v>
      </c>
      <c r="BH35" s="16">
        <f t="shared" si="18"/>
        <v>0</v>
      </c>
      <c r="BI35" s="16">
        <f t="shared" si="18"/>
        <v>0</v>
      </c>
      <c r="BJ35" s="16">
        <f t="shared" si="18"/>
        <v>0</v>
      </c>
      <c r="BK35" s="16">
        <f t="shared" si="18"/>
        <v>0</v>
      </c>
      <c r="BL35" s="16">
        <f t="shared" si="18"/>
        <v>2.351955028219201E-3</v>
      </c>
      <c r="BM35" s="16" t="str">
        <f>IF(ISNUMBER(FIND("PreWeaned",Y35)),_xlfn.XLOOKUP(Y35,Constants!$J$2:$J$3,Constants!$K$2:$K$3), "")</f>
        <v/>
      </c>
      <c r="BN35" s="16">
        <f t="shared" si="13"/>
        <v>138.29495565928903</v>
      </c>
    </row>
    <row r="36" spans="1:67" x14ac:dyDescent="0.2">
      <c r="A36" t="str">
        <f>'Input Scenarios'!A101</f>
        <v>VIC</v>
      </c>
      <c r="B36">
        <f>'Input Scenarios'!B101</f>
        <v>14</v>
      </c>
      <c r="C36" t="str">
        <f>'Input Scenarios'!C101</f>
        <v>Non-irrigated pasture</v>
      </c>
      <c r="D36" t="str">
        <f>'Input Scenarios'!D101</f>
        <v>wet</v>
      </c>
      <c r="E36" t="b">
        <f>'Input Scenarios'!E101</f>
        <v>0</v>
      </c>
      <c r="G36">
        <f>'Input Scenarios'!G101</f>
        <v>0.43</v>
      </c>
      <c r="H36">
        <f>'Input Scenarios'!H101</f>
        <v>0.14000000000000001</v>
      </c>
      <c r="I36">
        <f>'Input Scenarios'!I101</f>
        <v>0.43</v>
      </c>
      <c r="J36">
        <f>'Input Scenarios'!J101</f>
        <v>0.25</v>
      </c>
      <c r="K36">
        <f>'Input Scenarios'!K101</f>
        <v>0.25</v>
      </c>
      <c r="L36">
        <f>'Input Scenarios'!L101</f>
        <v>0.25</v>
      </c>
      <c r="M36">
        <f>'Input Scenarios'!M101</f>
        <v>0.25</v>
      </c>
      <c r="N36">
        <f>'Input Scenarios'!N101</f>
        <v>0.25</v>
      </c>
      <c r="O36">
        <f>'Input Scenarios'!O101</f>
        <v>0.25</v>
      </c>
      <c r="P36">
        <f>'Input Scenarios'!P101</f>
        <v>0.25</v>
      </c>
      <c r="Q36">
        <f>'Input Scenarios'!Q101</f>
        <v>0.25</v>
      </c>
      <c r="R36" t="b">
        <f>'Input Scenarios'!R36</f>
        <v>1</v>
      </c>
      <c r="S36">
        <f>IF('Input Scenarios'!S101&lt;&gt;"", 'Input Scenarios'!S101, IF(R101, Constants!$B$38, 0))</f>
        <v>0.18</v>
      </c>
      <c r="T36" s="20" t="str">
        <f>IF('Input Scenarios'!T101&lt;&gt;"", 'Input Scenarios'!T101, "")</f>
        <v/>
      </c>
      <c r="U36" s="20" t="str">
        <f>IF('Input Scenarios'!U101&lt;&gt;"", 'Input Scenarios'!U101, IF(W36&lt;&gt;"", "", Constants!$B$39))</f>
        <v/>
      </c>
      <c r="V36" s="20" t="str">
        <f>IF('Input Scenarios'!V101&lt;&gt;"", 'Input Scenarios'!V101, IF(W36&lt;&gt;"", "", Constants!$B$40))</f>
        <v/>
      </c>
      <c r="W36" s="20">
        <f>IF('Input Scenarios'!W101&lt;&gt;"", 'Input Scenarios'!W101, "")</f>
        <v>30</v>
      </c>
      <c r="X36" s="20" t="str">
        <f>'Input Scenarios'!X101</f>
        <v>Jersey</v>
      </c>
      <c r="Y36" s="20" t="str">
        <f>'Input Scenarios'!Y101</f>
        <v>milkingCows</v>
      </c>
      <c r="Z36" s="20">
        <f>'Input Scenarios'!Z101</f>
        <v>200</v>
      </c>
      <c r="AA36" s="20">
        <f>'Input Scenarios'!AA101</f>
        <v>365</v>
      </c>
      <c r="AB36" s="20">
        <f>'Input Scenarios'!AB101</f>
        <v>400</v>
      </c>
      <c r="AC36">
        <f>IF('Input Scenarios'!AC101&lt;&gt;"", 'Input Scenarios'!AC101, _xlfn.XLOOKUP(Y36, Constants!$B$13:$H$13, Constants!$B$15:$H$15, ""))</f>
        <v>1.6E-2</v>
      </c>
      <c r="AD36">
        <f>IF('Input Scenarios'!AD101&lt;&gt;"", 'Input Scenarios'!AD101, Constants!$B$45)</f>
        <v>0.75</v>
      </c>
      <c r="AE36">
        <f>IF('Input Scenarios'!AE101&lt;&gt;"", 'Input Scenarios'!AE101, Constants!$B$46)</f>
        <v>0.2</v>
      </c>
      <c r="AF36" s="20">
        <f>IF($Y36="milkingCows",($H36*J36)+($I36*N36), 0)</f>
        <v>0.14250000000000002</v>
      </c>
      <c r="AG36" s="20">
        <f t="shared" si="16"/>
        <v>0.14250000000000002</v>
      </c>
      <c r="AH36" s="20">
        <f t="shared" si="16"/>
        <v>0.14250000000000002</v>
      </c>
      <c r="AI36" s="20">
        <f t="shared" si="16"/>
        <v>0.14250000000000002</v>
      </c>
      <c r="AJ36" s="20">
        <f>IF($Y36="milkingCows",G36, 1)</f>
        <v>0.43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 t="shared" si="6"/>
        <v>0.5948500000000001</v>
      </c>
      <c r="AQ36">
        <f t="shared" si="7"/>
        <v>14.369808245410789</v>
      </c>
      <c r="AR36">
        <f>IF(Y36="milkingCows", Constants!$P$2, Constants!$P$3)</f>
        <v>1.1000000000000001</v>
      </c>
      <c r="AS36" s="18">
        <f t="shared" si="8"/>
        <v>21.748946167170789</v>
      </c>
      <c r="AT36">
        <f>Constants!$B$47</f>
        <v>0.08</v>
      </c>
      <c r="AU36">
        <f t="shared" si="14"/>
        <v>5.8026188374011669</v>
      </c>
      <c r="AV36">
        <f t="shared" si="9"/>
        <v>0.11685000000000002</v>
      </c>
      <c r="AW36">
        <f t="shared" si="17"/>
        <v>0.14250000000000002</v>
      </c>
      <c r="AX36">
        <f t="shared" si="17"/>
        <v>0.14250000000000002</v>
      </c>
      <c r="AY36">
        <f t="shared" si="11"/>
        <v>0.16815000000000002</v>
      </c>
      <c r="AZ36">
        <f t="shared" si="1"/>
        <v>0.43</v>
      </c>
      <c r="BA36">
        <f>_xlfn.XLOOKUP($B36, Constants!$E$27:$E$45,Constants!F$27:F$45)</f>
        <v>0.73</v>
      </c>
      <c r="BB36">
        <f>_xlfn.XLOOKUP($B36, Constants!$E$27:$E$45,Constants!G$27:G$45)</f>
        <v>1E-3</v>
      </c>
      <c r="BC36">
        <f>_xlfn.XLOOKUP($B36, Constants!$E$27:$E$45,Constants!H$27:H$45)</f>
        <v>0.15</v>
      </c>
      <c r="BD36">
        <f>_xlfn.XLOOKUP($B36, Constants!$E$27:$E$45,Constants!I$27:I$45)</f>
        <v>0.02</v>
      </c>
      <c r="BE36">
        <f>_xlfn.XLOOKUP($A36, Constants!$E$18:$L$18,Constants!$E$23:$L$23)</f>
        <v>0.01</v>
      </c>
      <c r="BF36">
        <f>Constants!$B$48</f>
        <v>0.24</v>
      </c>
      <c r="BG36">
        <f>Constants!$B$49</f>
        <v>0.6784</v>
      </c>
      <c r="BH36">
        <f t="shared" si="18"/>
        <v>8.0588431169759639E-2</v>
      </c>
      <c r="BI36">
        <f t="shared" si="18"/>
        <v>1.3462818437981895E-4</v>
      </c>
      <c r="BJ36">
        <f t="shared" si="18"/>
        <v>2.0194227656972843E-2</v>
      </c>
      <c r="BK36">
        <f t="shared" si="18"/>
        <v>3.1772251513637276E-3</v>
      </c>
      <c r="BL36">
        <f t="shared" si="18"/>
        <v>4.0624645111103268E-3</v>
      </c>
      <c r="BM36" t="str">
        <f>IF(ISNUMBER(FIND("PreWeaned",Y36)),_xlfn.XLOOKUP(Y36,Constants!$J$2:$J$3,Constants!$K$2:$K$3), "")</f>
        <v/>
      </c>
      <c r="BN36">
        <f t="shared" si="13"/>
        <v>7895.4592971718039</v>
      </c>
      <c r="BO36">
        <f>SUM(BN36:BN42)/1000</f>
        <v>9.4050340300015129</v>
      </c>
    </row>
    <row r="37" spans="1:67" x14ac:dyDescent="0.2">
      <c r="A37" t="str">
        <f>'Input Scenarios'!A102</f>
        <v>VIC</v>
      </c>
      <c r="B37">
        <f>'Input Scenarios'!B102</f>
        <v>14</v>
      </c>
      <c r="C37" t="str">
        <f>'Input Scenarios'!C102</f>
        <v>Non-irrigated pasture</v>
      </c>
      <c r="D37" t="str">
        <f>'Input Scenarios'!D102</f>
        <v>wet</v>
      </c>
      <c r="E37" t="b">
        <f>'Input Scenarios'!E102</f>
        <v>0</v>
      </c>
      <c r="G37">
        <f>'Input Scenarios'!G102</f>
        <v>0.43</v>
      </c>
      <c r="H37">
        <f>'Input Scenarios'!H102</f>
        <v>0.14000000000000001</v>
      </c>
      <c r="I37">
        <f>'Input Scenarios'!I102</f>
        <v>0.43</v>
      </c>
      <c r="J37">
        <f>'Input Scenarios'!J102</f>
        <v>0.25</v>
      </c>
      <c r="K37">
        <f>'Input Scenarios'!K102</f>
        <v>0.25</v>
      </c>
      <c r="L37">
        <f>'Input Scenarios'!L102</f>
        <v>0.25</v>
      </c>
      <c r="M37">
        <f>'Input Scenarios'!M102</f>
        <v>0.25</v>
      </c>
      <c r="N37">
        <f>'Input Scenarios'!N102</f>
        <v>0.25</v>
      </c>
      <c r="O37">
        <f>'Input Scenarios'!O102</f>
        <v>0.25</v>
      </c>
      <c r="P37">
        <f>'Input Scenarios'!P102</f>
        <v>0.25</v>
      </c>
      <c r="Q37">
        <f>'Input Scenarios'!Q102</f>
        <v>0.25</v>
      </c>
      <c r="R37" t="b">
        <f>'Input Scenarios'!R37</f>
        <v>1</v>
      </c>
      <c r="S37">
        <f>IF('Input Scenarios'!S102&lt;&gt;"", 'Input Scenarios'!S102, IF(R102, Constants!$B$38, 0))</f>
        <v>0.18</v>
      </c>
      <c r="T37" t="str">
        <f>IF('Input Scenarios'!T102&lt;&gt;"", 'Input Scenarios'!T102, "")</f>
        <v/>
      </c>
      <c r="U37">
        <f>IF('Input Scenarios'!U102&lt;&gt;"", 'Input Scenarios'!U102, IF(W37&lt;&gt;"", "", Constants!$B$39))</f>
        <v>4</v>
      </c>
      <c r="V37">
        <f>IF('Input Scenarios'!V102&lt;&gt;"", 'Input Scenarios'!V102, IF(W37&lt;&gt;"", "", Constants!$B$40))</f>
        <v>3.3</v>
      </c>
      <c r="W37" t="str">
        <f>IF('Input Scenarios'!W102&lt;&gt;"", 'Input Scenarios'!W102, "")</f>
        <v/>
      </c>
      <c r="X37" t="str">
        <f>'Input Scenarios'!X102</f>
        <v>Jersey</v>
      </c>
      <c r="Y37" t="str">
        <f>'Input Scenarios'!Y102</f>
        <v>heifersGt1</v>
      </c>
      <c r="Z37">
        <f>'Input Scenarios'!Z102</f>
        <v>200</v>
      </c>
      <c r="AA37">
        <f>'Input Scenarios'!AA102</f>
        <v>265</v>
      </c>
      <c r="AB37">
        <f>'Input Scenarios'!AB102</f>
        <v>275</v>
      </c>
      <c r="AC37">
        <f>IF('Input Scenarios'!AC102&lt;&gt;"", 'Input Scenarios'!AC102, _xlfn.XLOOKUP(Y37, Constants!$B$13:$H$13, Constants!$B$15:$H$15, ""))</f>
        <v>0.6</v>
      </c>
      <c r="AD37">
        <f>IF('Input Scenarios'!AD102&lt;&gt;"", 'Input Scenarios'!AD102, Constants!$B$45)</f>
        <v>0.75</v>
      </c>
      <c r="AE37">
        <f>IF('Input Scenarios'!AE102&lt;&gt;"", 'Input Scenarios'!AE102, Constants!$B$46)</f>
        <v>0.2</v>
      </c>
      <c r="AF37">
        <f t="shared" ref="AF37:AI56" si="19">IF($Y37="milkingCows",($H37*J37)+($I37*N37), 0)</f>
        <v>0</v>
      </c>
      <c r="AG37">
        <f t="shared" si="16"/>
        <v>0</v>
      </c>
      <c r="AH37">
        <f t="shared" si="16"/>
        <v>0</v>
      </c>
      <c r="AI37">
        <f t="shared" si="16"/>
        <v>0</v>
      </c>
      <c r="AJ37">
        <f t="shared" ref="AJ37:AJ56" si="20">IF($Y37="milkingCows",G37, 1)</f>
        <v>1</v>
      </c>
      <c r="AK37">
        <f t="shared" ref="AK37:AK41" si="21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si="6"/>
        <v>0.5948500000000001</v>
      </c>
      <c r="AQ37">
        <f t="shared" si="7"/>
        <v>0</v>
      </c>
      <c r="AR37">
        <f>IF(Y37="milkingCows", Constants!$P$2, Constants!$P$3)</f>
        <v>1</v>
      </c>
      <c r="AS37" s="18">
        <f t="shared" si="8"/>
        <v>5.8848695156249997</v>
      </c>
      <c r="AT37">
        <f>Constants!$B$47</f>
        <v>0.08</v>
      </c>
      <c r="AU37">
        <f t="shared" si="14"/>
        <v>1.5700831867687501</v>
      </c>
      <c r="AV37">
        <f t="shared" si="9"/>
        <v>0</v>
      </c>
      <c r="AW37">
        <f t="shared" si="17"/>
        <v>0</v>
      </c>
      <c r="AX37">
        <f t="shared" si="17"/>
        <v>0</v>
      </c>
      <c r="AY37">
        <f t="shared" si="11"/>
        <v>0</v>
      </c>
      <c r="AZ37">
        <f t="shared" si="1"/>
        <v>1</v>
      </c>
      <c r="BA37">
        <f>_xlfn.XLOOKUP($B37, Constants!$E$27:$E$45,Constants!F$27:F$45)</f>
        <v>0.73</v>
      </c>
      <c r="BB37">
        <f>_xlfn.XLOOKUP($B37, Constants!$E$27:$E$45,Constants!G$27:G$45)</f>
        <v>1E-3</v>
      </c>
      <c r="BC37">
        <f>_xlfn.XLOOKUP($B37, Constants!$E$27:$E$45,Constants!H$27:H$45)</f>
        <v>0.15</v>
      </c>
      <c r="BD37">
        <f>_xlfn.XLOOKUP($B37, Constants!$E$27:$E$45,Constants!I$27:I$45)</f>
        <v>0.02</v>
      </c>
      <c r="BE37">
        <f>_xlfn.XLOOKUP($A37, Constants!$E$18:$L$18,Constants!$E$23:$L$23)</f>
        <v>0.01</v>
      </c>
      <c r="BF37">
        <f>Constants!$B$48</f>
        <v>0.24</v>
      </c>
      <c r="BG37">
        <f>Constants!$B$49</f>
        <v>0.6784</v>
      </c>
      <c r="BH37">
        <f t="shared" si="18"/>
        <v>0</v>
      </c>
      <c r="BI37">
        <f t="shared" si="18"/>
        <v>0</v>
      </c>
      <c r="BJ37">
        <f t="shared" si="18"/>
        <v>0</v>
      </c>
      <c r="BK37">
        <f t="shared" si="18"/>
        <v>0</v>
      </c>
      <c r="BL37">
        <f t="shared" si="18"/>
        <v>2.5563466413694082E-3</v>
      </c>
      <c r="BM37" t="str">
        <f>IF(ISNUMBER(FIND("PreWeaned",Y37)),_xlfn.XLOOKUP(Y37,Constants!$J$2:$J$3,Constants!$K$2:$K$3), "")</f>
        <v/>
      </c>
      <c r="BN37">
        <f t="shared" si="13"/>
        <v>135.48637199257863</v>
      </c>
    </row>
    <row r="38" spans="1:67" x14ac:dyDescent="0.2">
      <c r="A38" t="str">
        <f>'Input Scenarios'!A103</f>
        <v>VIC</v>
      </c>
      <c r="B38">
        <f>'Input Scenarios'!B103</f>
        <v>14</v>
      </c>
      <c r="C38" t="str">
        <f>'Input Scenarios'!C103</f>
        <v>Non-irrigated pasture</v>
      </c>
      <c r="D38" t="str">
        <f>'Input Scenarios'!D103</f>
        <v>wet</v>
      </c>
      <c r="E38" t="b">
        <f>'Input Scenarios'!E103</f>
        <v>0</v>
      </c>
      <c r="G38">
        <f>'Input Scenarios'!G103</f>
        <v>0.43</v>
      </c>
      <c r="H38">
        <f>'Input Scenarios'!H103</f>
        <v>0.14000000000000001</v>
      </c>
      <c r="I38">
        <f>'Input Scenarios'!I103</f>
        <v>0.43</v>
      </c>
      <c r="J38">
        <f>'Input Scenarios'!J103</f>
        <v>0.25</v>
      </c>
      <c r="K38">
        <f>'Input Scenarios'!K103</f>
        <v>0.25</v>
      </c>
      <c r="L38">
        <f>'Input Scenarios'!L103</f>
        <v>0.25</v>
      </c>
      <c r="M38">
        <f>'Input Scenarios'!M103</f>
        <v>0.25</v>
      </c>
      <c r="N38">
        <f>'Input Scenarios'!N103</f>
        <v>0.25</v>
      </c>
      <c r="O38">
        <f>'Input Scenarios'!O103</f>
        <v>0.25</v>
      </c>
      <c r="P38">
        <f>'Input Scenarios'!P103</f>
        <v>0.25</v>
      </c>
      <c r="Q38">
        <f>'Input Scenarios'!Q103</f>
        <v>0.25</v>
      </c>
      <c r="R38" t="b">
        <f>'Input Scenarios'!R38</f>
        <v>1</v>
      </c>
      <c r="S38">
        <f>IF('Input Scenarios'!S103&lt;&gt;"", 'Input Scenarios'!S103, IF(R103, Constants!$B$38, 0))</f>
        <v>0.18</v>
      </c>
      <c r="T38" t="str">
        <f>IF('Input Scenarios'!T103&lt;&gt;"", 'Input Scenarios'!T103, "")</f>
        <v/>
      </c>
      <c r="U38">
        <f>IF('Input Scenarios'!U103&lt;&gt;"", 'Input Scenarios'!U103, IF(W38&lt;&gt;"", "", Constants!$B$39))</f>
        <v>4</v>
      </c>
      <c r="V38">
        <f>IF('Input Scenarios'!V103&lt;&gt;"", 'Input Scenarios'!V103, IF(W38&lt;&gt;"", "", Constants!$B$40))</f>
        <v>3.3</v>
      </c>
      <c r="W38" t="str">
        <f>IF('Input Scenarios'!W103&lt;&gt;"", 'Input Scenarios'!W103, "")</f>
        <v/>
      </c>
      <c r="X38" t="str">
        <f>'Input Scenarios'!X103</f>
        <v>Jersey</v>
      </c>
      <c r="Y38" t="str">
        <f>'Input Scenarios'!Y103</f>
        <v>heifersLt1PreWeaned</v>
      </c>
      <c r="Z38">
        <f>'Input Scenarios'!Z103</f>
        <v>200</v>
      </c>
      <c r="AA38">
        <f>'Input Scenarios'!AA103</f>
        <v>100</v>
      </c>
      <c r="AB38">
        <f>'Input Scenarios'!AB103</f>
        <v>115</v>
      </c>
      <c r="AC38" t="str">
        <f>IF('Input Scenarios'!AC103&lt;&gt;"", 'Input Scenarios'!AC103, _xlfn.XLOOKUP(Y38, Constants!$B$13:$H$13, Constants!$B$15:$H$15, ""))</f>
        <v/>
      </c>
      <c r="AD38">
        <f>IF('Input Scenarios'!AD103&lt;&gt;"", 'Input Scenarios'!AD103, Constants!$B$45)</f>
        <v>0.75</v>
      </c>
      <c r="AE38">
        <f>IF('Input Scenarios'!AE103&lt;&gt;"", 'Input Scenarios'!AE103, Constants!$B$46)</f>
        <v>0.2</v>
      </c>
      <c r="AF38">
        <f t="shared" si="19"/>
        <v>0</v>
      </c>
      <c r="AG38">
        <f t="shared" si="16"/>
        <v>0</v>
      </c>
      <c r="AH38">
        <f t="shared" si="16"/>
        <v>0</v>
      </c>
      <c r="AI38">
        <f t="shared" si="16"/>
        <v>0</v>
      </c>
      <c r="AJ38">
        <f t="shared" si="20"/>
        <v>1</v>
      </c>
      <c r="AK38">
        <f t="shared" si="21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6"/>
        <v>0.5948500000000001</v>
      </c>
      <c r="AQ38">
        <f t="shared" si="7"/>
        <v>0</v>
      </c>
      <c r="AR38">
        <f>IF(Y38="milkingCows", Constants!$P$2, Constants!$P$3)</f>
        <v>1</v>
      </c>
      <c r="AS38" s="18" t="str">
        <f t="shared" si="8"/>
        <v/>
      </c>
      <c r="AT38">
        <f>Constants!$B$47</f>
        <v>0.08</v>
      </c>
      <c r="AU38" t="str">
        <f t="shared" si="14"/>
        <v/>
      </c>
      <c r="AV38">
        <f t="shared" si="9"/>
        <v>0</v>
      </c>
      <c r="AW38">
        <f t="shared" si="17"/>
        <v>0</v>
      </c>
      <c r="AX38">
        <f t="shared" si="17"/>
        <v>0</v>
      </c>
      <c r="AY38">
        <f t="shared" si="11"/>
        <v>0</v>
      </c>
      <c r="AZ38">
        <f t="shared" si="1"/>
        <v>1</v>
      </c>
      <c r="BA38">
        <f>_xlfn.XLOOKUP($B38, Constants!$E$27:$E$45,Constants!F$27:F$45)</f>
        <v>0.73</v>
      </c>
      <c r="BB38">
        <f>_xlfn.XLOOKUP($B38, Constants!$E$27:$E$45,Constants!G$27:G$45)</f>
        <v>1E-3</v>
      </c>
      <c r="BC38">
        <f>_xlfn.XLOOKUP($B38, Constants!$E$27:$E$45,Constants!H$27:H$45)</f>
        <v>0.15</v>
      </c>
      <c r="BD38">
        <f>_xlfn.XLOOKUP($B38, Constants!$E$27:$E$45,Constants!I$27:I$45)</f>
        <v>0.02</v>
      </c>
      <c r="BE38">
        <f>_xlfn.XLOOKUP($A38, Constants!$E$18:$L$18,Constants!$E$23:$L$23)</f>
        <v>0.01</v>
      </c>
      <c r="BF38">
        <f>Constants!$B$48</f>
        <v>0.24</v>
      </c>
      <c r="BG38">
        <f>Constants!$B$49</f>
        <v>0.6784</v>
      </c>
      <c r="BH38" t="str">
        <f t="shared" si="18"/>
        <v/>
      </c>
      <c r="BI38" t="str">
        <f t="shared" si="18"/>
        <v/>
      </c>
      <c r="BJ38" t="str">
        <f t="shared" si="18"/>
        <v/>
      </c>
      <c r="BK38" t="str">
        <f t="shared" si="18"/>
        <v/>
      </c>
      <c r="BL38" t="str">
        <f t="shared" si="18"/>
        <v/>
      </c>
      <c r="BM38">
        <f>IF(ISNUMBER(FIND("PreWeaned",Y38)),_xlfn.XLOOKUP(Y38,Constants!$J$2:$J$3,Constants!$K$2:$K$3), "")</f>
        <v>1.7600000000000001E-2</v>
      </c>
      <c r="BN38">
        <f t="shared" si="13"/>
        <v>352</v>
      </c>
    </row>
    <row r="39" spans="1:67" x14ac:dyDescent="0.2">
      <c r="A39" t="str">
        <f>'Input Scenarios'!A104</f>
        <v>VIC</v>
      </c>
      <c r="B39">
        <f>'Input Scenarios'!B104</f>
        <v>14</v>
      </c>
      <c r="C39" t="str">
        <f>'Input Scenarios'!C104</f>
        <v>Non-irrigated pasture</v>
      </c>
      <c r="D39" t="str">
        <f>'Input Scenarios'!D104</f>
        <v>wet</v>
      </c>
      <c r="E39" t="b">
        <f>'Input Scenarios'!E104</f>
        <v>0</v>
      </c>
      <c r="G39">
        <f>'Input Scenarios'!G104</f>
        <v>0.43</v>
      </c>
      <c r="H39">
        <f>'Input Scenarios'!H104</f>
        <v>0.14000000000000001</v>
      </c>
      <c r="I39">
        <f>'Input Scenarios'!I104</f>
        <v>0.43</v>
      </c>
      <c r="J39">
        <f>'Input Scenarios'!J104</f>
        <v>0.25</v>
      </c>
      <c r="K39">
        <f>'Input Scenarios'!K104</f>
        <v>0.25</v>
      </c>
      <c r="L39">
        <f>'Input Scenarios'!L104</f>
        <v>0.25</v>
      </c>
      <c r="M39">
        <f>'Input Scenarios'!M104</f>
        <v>0.25</v>
      </c>
      <c r="N39">
        <f>'Input Scenarios'!N104</f>
        <v>0.25</v>
      </c>
      <c r="O39">
        <f>'Input Scenarios'!O104</f>
        <v>0.25</v>
      </c>
      <c r="P39">
        <f>'Input Scenarios'!P104</f>
        <v>0.25</v>
      </c>
      <c r="Q39">
        <f>'Input Scenarios'!Q104</f>
        <v>0.25</v>
      </c>
      <c r="R39" t="b">
        <f>'Input Scenarios'!R39</f>
        <v>1</v>
      </c>
      <c r="S39">
        <f>IF('Input Scenarios'!S104&lt;&gt;"", 'Input Scenarios'!S104, IF(R104, Constants!$B$38, 0))</f>
        <v>0.18</v>
      </c>
      <c r="T39" t="str">
        <f>IF('Input Scenarios'!T104&lt;&gt;"", 'Input Scenarios'!T104, "")</f>
        <v/>
      </c>
      <c r="U39">
        <f>IF('Input Scenarios'!U104&lt;&gt;"", 'Input Scenarios'!U104, IF(W39&lt;&gt;"", "", Constants!$B$39))</f>
        <v>4</v>
      </c>
      <c r="V39">
        <f>IF('Input Scenarios'!V104&lt;&gt;"", 'Input Scenarios'!V104, IF(W39&lt;&gt;"", "", Constants!$B$40))</f>
        <v>3.3</v>
      </c>
      <c r="W39" t="str">
        <f>IF('Input Scenarios'!W104&lt;&gt;"", 'Input Scenarios'!W104, "")</f>
        <v/>
      </c>
      <c r="X39" t="str">
        <f>'Input Scenarios'!X104</f>
        <v>Jersey</v>
      </c>
      <c r="Y39" t="str">
        <f>'Input Scenarios'!Y104</f>
        <v>heifersLt1Weaned</v>
      </c>
      <c r="Z39">
        <f>'Input Scenarios'!Z104</f>
        <v>200</v>
      </c>
      <c r="AA39">
        <f>'Input Scenarios'!AA104</f>
        <v>360</v>
      </c>
      <c r="AB39">
        <f>'Input Scenarios'!AB104</f>
        <v>115</v>
      </c>
      <c r="AC39">
        <f>IF('Input Scenarios'!AC104&lt;&gt;"", 'Input Scenarios'!AC104, _xlfn.XLOOKUP(Y39, Constants!$B$13:$H$13, Constants!$B$15:$H$15, ""))</f>
        <v>0.56999999999999995</v>
      </c>
      <c r="AD39">
        <f>IF('Input Scenarios'!AD104&lt;&gt;"", 'Input Scenarios'!AD104, Constants!$B$45)</f>
        <v>0.75</v>
      </c>
      <c r="AE39">
        <f>IF('Input Scenarios'!AE104&lt;&gt;"", 'Input Scenarios'!AE104, Constants!$B$46)</f>
        <v>0.2</v>
      </c>
      <c r="AF39">
        <f t="shared" si="19"/>
        <v>0</v>
      </c>
      <c r="AG39">
        <f t="shared" si="16"/>
        <v>0</v>
      </c>
      <c r="AH39">
        <f t="shared" si="16"/>
        <v>0</v>
      </c>
      <c r="AI39">
        <f t="shared" si="16"/>
        <v>0</v>
      </c>
      <c r="AJ39">
        <f t="shared" si="20"/>
        <v>1</v>
      </c>
      <c r="AK39">
        <f t="shared" si="21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6"/>
        <v>0.5948500000000001</v>
      </c>
      <c r="AQ39">
        <f t="shared" si="7"/>
        <v>0</v>
      </c>
      <c r="AR39">
        <f>IF(Y39="milkingCows", Constants!$P$2, Constants!$P$3)</f>
        <v>1</v>
      </c>
      <c r="AS39" s="18">
        <f t="shared" si="8"/>
        <v>3.4308856302250001</v>
      </c>
      <c r="AT39">
        <f>Constants!$B$47</f>
        <v>0.08</v>
      </c>
      <c r="AU39">
        <f t="shared" si="14"/>
        <v>0.91536028614403009</v>
      </c>
      <c r="AV39">
        <f t="shared" si="9"/>
        <v>0</v>
      </c>
      <c r="AW39">
        <f t="shared" si="17"/>
        <v>0</v>
      </c>
      <c r="AX39">
        <f t="shared" si="17"/>
        <v>0</v>
      </c>
      <c r="AY39">
        <f t="shared" si="11"/>
        <v>0</v>
      </c>
      <c r="AZ39">
        <f t="shared" si="1"/>
        <v>1</v>
      </c>
      <c r="BA39">
        <f>_xlfn.XLOOKUP($B39, Constants!$E$27:$E$45,Constants!F$27:F$45)</f>
        <v>0.73</v>
      </c>
      <c r="BB39">
        <f>_xlfn.XLOOKUP($B39, Constants!$E$27:$E$45,Constants!G$27:G$45)</f>
        <v>1E-3</v>
      </c>
      <c r="BC39">
        <f>_xlfn.XLOOKUP($B39, Constants!$E$27:$E$45,Constants!H$27:H$45)</f>
        <v>0.15</v>
      </c>
      <c r="BD39">
        <f>_xlfn.XLOOKUP($B39, Constants!$E$27:$E$45,Constants!I$27:I$45)</f>
        <v>0.02</v>
      </c>
      <c r="BE39">
        <f>_xlfn.XLOOKUP($A39, Constants!$E$18:$L$18,Constants!$E$23:$L$23)</f>
        <v>0.01</v>
      </c>
      <c r="BF39">
        <f>Constants!$B$48</f>
        <v>0.24</v>
      </c>
      <c r="BG39">
        <f>Constants!$B$49</f>
        <v>0.6784</v>
      </c>
      <c r="BH39">
        <f t="shared" si="18"/>
        <v>0</v>
      </c>
      <c r="BI39">
        <f t="shared" si="18"/>
        <v>0</v>
      </c>
      <c r="BJ39">
        <f t="shared" si="18"/>
        <v>0</v>
      </c>
      <c r="BK39">
        <f t="shared" si="18"/>
        <v>0</v>
      </c>
      <c r="BL39">
        <f t="shared" si="18"/>
        <v>1.490353003488264E-3</v>
      </c>
      <c r="BM39" t="str">
        <f>IF(ISNUMBER(FIND("PreWeaned",Y39)),_xlfn.XLOOKUP(Y39,Constants!$J$2:$J$3,Constants!$K$2:$K$3), "")</f>
        <v/>
      </c>
      <c r="BN39">
        <f t="shared" si="13"/>
        <v>107.30541625115501</v>
      </c>
    </row>
    <row r="40" spans="1:67" x14ac:dyDescent="0.2">
      <c r="A40" t="str">
        <f>'Input Scenarios'!A105</f>
        <v>VIC</v>
      </c>
      <c r="B40">
        <f>'Input Scenarios'!B105</f>
        <v>14</v>
      </c>
      <c r="C40" t="str">
        <f>'Input Scenarios'!C105</f>
        <v>Non-irrigated pasture</v>
      </c>
      <c r="D40" t="str">
        <f>'Input Scenarios'!D105</f>
        <v>wet</v>
      </c>
      <c r="E40" t="b">
        <f>'Input Scenarios'!E105</f>
        <v>0</v>
      </c>
      <c r="G40">
        <f>'Input Scenarios'!G105</f>
        <v>0.43</v>
      </c>
      <c r="H40">
        <f>'Input Scenarios'!H105</f>
        <v>0.14000000000000001</v>
      </c>
      <c r="I40">
        <f>'Input Scenarios'!I105</f>
        <v>0.43</v>
      </c>
      <c r="J40">
        <f>'Input Scenarios'!J105</f>
        <v>0.25</v>
      </c>
      <c r="K40">
        <f>'Input Scenarios'!K105</f>
        <v>0.25</v>
      </c>
      <c r="L40">
        <f>'Input Scenarios'!L105</f>
        <v>0.25</v>
      </c>
      <c r="M40">
        <f>'Input Scenarios'!M105</f>
        <v>0.25</v>
      </c>
      <c r="N40">
        <f>'Input Scenarios'!N105</f>
        <v>0.25</v>
      </c>
      <c r="O40">
        <f>'Input Scenarios'!O105</f>
        <v>0.25</v>
      </c>
      <c r="P40">
        <f>'Input Scenarios'!P105</f>
        <v>0.25</v>
      </c>
      <c r="Q40">
        <f>'Input Scenarios'!Q105</f>
        <v>0.25</v>
      </c>
      <c r="R40" t="b">
        <f>'Input Scenarios'!R40</f>
        <v>1</v>
      </c>
      <c r="S40">
        <f>IF('Input Scenarios'!S105&lt;&gt;"", 'Input Scenarios'!S105, IF(R105, Constants!$B$38, 0))</f>
        <v>0.18</v>
      </c>
      <c r="T40" t="str">
        <f>IF('Input Scenarios'!T105&lt;&gt;"", 'Input Scenarios'!T105, "")</f>
        <v/>
      </c>
      <c r="U40">
        <f>IF('Input Scenarios'!U105&lt;&gt;"", 'Input Scenarios'!U105, IF(W40&lt;&gt;"", "", Constants!$B$39))</f>
        <v>4</v>
      </c>
      <c r="V40">
        <f>IF('Input Scenarios'!V105&lt;&gt;"", 'Input Scenarios'!V105, IF(W40&lt;&gt;"", "", Constants!$B$40))</f>
        <v>3.3</v>
      </c>
      <c r="W40" t="str">
        <f>IF('Input Scenarios'!W105&lt;&gt;"", 'Input Scenarios'!W105, "")</f>
        <v/>
      </c>
      <c r="X40" t="str">
        <f>'Input Scenarios'!X105</f>
        <v>Jersey</v>
      </c>
      <c r="Y40" t="str">
        <f>'Input Scenarios'!Y105</f>
        <v>bullsGt1</v>
      </c>
      <c r="Z40">
        <f>'Input Scenarios'!Z105</f>
        <v>200</v>
      </c>
      <c r="AA40">
        <f>'Input Scenarios'!AA105</f>
        <v>345</v>
      </c>
      <c r="AB40">
        <f>'Input Scenarios'!AB105</f>
        <v>600</v>
      </c>
      <c r="AC40">
        <f>IF('Input Scenarios'!AC105&lt;&gt;"", 'Input Scenarios'!AC105, _xlfn.XLOOKUP(Y40, Constants!$B$13:$H$13, Constants!$B$15:$H$15, ""))</f>
        <v>0.1</v>
      </c>
      <c r="AD40">
        <f>IF('Input Scenarios'!AD105&lt;&gt;"", 'Input Scenarios'!AD105, Constants!$B$45)</f>
        <v>0.75</v>
      </c>
      <c r="AE40">
        <f>IF('Input Scenarios'!AE105&lt;&gt;"", 'Input Scenarios'!AE105, Constants!$B$46)</f>
        <v>0.2</v>
      </c>
      <c r="AF40">
        <f t="shared" si="19"/>
        <v>0</v>
      </c>
      <c r="AG40">
        <f t="shared" si="16"/>
        <v>0</v>
      </c>
      <c r="AH40">
        <f t="shared" si="16"/>
        <v>0</v>
      </c>
      <c r="AI40">
        <f t="shared" si="16"/>
        <v>0</v>
      </c>
      <c r="AJ40">
        <f t="shared" si="20"/>
        <v>1</v>
      </c>
      <c r="AK40">
        <f t="shared" si="21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6"/>
        <v>0.5948500000000001</v>
      </c>
      <c r="AQ40">
        <f t="shared" si="7"/>
        <v>0</v>
      </c>
      <c r="AR40">
        <f>IF(Y40="milkingCows", Constants!$P$2, Constants!$P$3)</f>
        <v>1</v>
      </c>
      <c r="AS40" s="18">
        <f t="shared" si="8"/>
        <v>9.0270202499999979</v>
      </c>
      <c r="AT40">
        <f>Constants!$B$47</f>
        <v>0.08</v>
      </c>
      <c r="AU40">
        <f t="shared" si="14"/>
        <v>2.4084090026999996</v>
      </c>
      <c r="AV40">
        <f t="shared" si="9"/>
        <v>0</v>
      </c>
      <c r="AW40">
        <f t="shared" si="17"/>
        <v>0</v>
      </c>
      <c r="AX40">
        <f t="shared" si="17"/>
        <v>0</v>
      </c>
      <c r="AY40">
        <f t="shared" si="11"/>
        <v>0</v>
      </c>
      <c r="AZ40">
        <f t="shared" si="1"/>
        <v>1</v>
      </c>
      <c r="BA40">
        <f>_xlfn.XLOOKUP($B40, Constants!$E$27:$E$45,Constants!F$27:F$45)</f>
        <v>0.73</v>
      </c>
      <c r="BB40">
        <f>_xlfn.XLOOKUP($B40, Constants!$E$27:$E$45,Constants!G$27:G$45)</f>
        <v>1E-3</v>
      </c>
      <c r="BC40">
        <f>_xlfn.XLOOKUP($B40, Constants!$E$27:$E$45,Constants!H$27:H$45)</f>
        <v>0.15</v>
      </c>
      <c r="BD40">
        <f>_xlfn.XLOOKUP($B40, Constants!$E$27:$E$45,Constants!I$27:I$45)</f>
        <v>0.02</v>
      </c>
      <c r="BE40">
        <f>_xlfn.XLOOKUP($A40, Constants!$E$18:$L$18,Constants!$E$23:$L$23)</f>
        <v>0.01</v>
      </c>
      <c r="BF40">
        <f>Constants!$B$48</f>
        <v>0.24</v>
      </c>
      <c r="BG40">
        <f>Constants!$B$49</f>
        <v>0.6784</v>
      </c>
      <c r="BH40">
        <f t="shared" si="18"/>
        <v>0</v>
      </c>
      <c r="BI40">
        <f t="shared" si="18"/>
        <v>0</v>
      </c>
      <c r="BJ40">
        <f t="shared" si="18"/>
        <v>0</v>
      </c>
      <c r="BK40">
        <f t="shared" si="18"/>
        <v>0</v>
      </c>
      <c r="BL40">
        <f t="shared" si="18"/>
        <v>3.9212752018360315E-3</v>
      </c>
      <c r="BM40" t="str">
        <f>IF(ISNUMBER(FIND("PreWeaned",Y40)),_xlfn.XLOOKUP(Y40,Constants!$J$2:$J$3,Constants!$K$2:$K$3), "")</f>
        <v/>
      </c>
      <c r="BN40">
        <f t="shared" si="13"/>
        <v>270.56798892668616</v>
      </c>
    </row>
    <row r="41" spans="1:67" x14ac:dyDescent="0.2">
      <c r="A41" t="str">
        <f>'Input Scenarios'!A106</f>
        <v>VIC</v>
      </c>
      <c r="B41">
        <f>'Input Scenarios'!B106</f>
        <v>14</v>
      </c>
      <c r="C41" t="str">
        <f>'Input Scenarios'!C106</f>
        <v>Non-irrigated pasture</v>
      </c>
      <c r="D41" t="str">
        <f>'Input Scenarios'!D106</f>
        <v>wet</v>
      </c>
      <c r="E41" t="b">
        <f>'Input Scenarios'!E106</f>
        <v>0</v>
      </c>
      <c r="G41">
        <f>'Input Scenarios'!G106</f>
        <v>0.43</v>
      </c>
      <c r="H41">
        <f>'Input Scenarios'!H106</f>
        <v>0.14000000000000001</v>
      </c>
      <c r="I41">
        <f>'Input Scenarios'!I106</f>
        <v>0.43</v>
      </c>
      <c r="J41">
        <f>'Input Scenarios'!J106</f>
        <v>0.25</v>
      </c>
      <c r="K41">
        <f>'Input Scenarios'!K106</f>
        <v>0.25</v>
      </c>
      <c r="L41">
        <f>'Input Scenarios'!L106</f>
        <v>0.25</v>
      </c>
      <c r="M41">
        <f>'Input Scenarios'!M106</f>
        <v>0.25</v>
      </c>
      <c r="N41">
        <f>'Input Scenarios'!N106</f>
        <v>0.25</v>
      </c>
      <c r="O41">
        <f>'Input Scenarios'!O106</f>
        <v>0.25</v>
      </c>
      <c r="P41">
        <f>'Input Scenarios'!P106</f>
        <v>0.25</v>
      </c>
      <c r="Q41">
        <f>'Input Scenarios'!Q106</f>
        <v>0.25</v>
      </c>
      <c r="R41" t="b">
        <f>'Input Scenarios'!R41</f>
        <v>1</v>
      </c>
      <c r="S41">
        <f>IF('Input Scenarios'!S106&lt;&gt;"", 'Input Scenarios'!S106, IF(R106, Constants!$B$38, 0))</f>
        <v>0.18</v>
      </c>
      <c r="T41" t="str">
        <f>IF('Input Scenarios'!T106&lt;&gt;"", 'Input Scenarios'!T106, "")</f>
        <v/>
      </c>
      <c r="U41">
        <f>IF('Input Scenarios'!U106&lt;&gt;"", 'Input Scenarios'!U106, IF(W41&lt;&gt;"", "", Constants!$B$39))</f>
        <v>4</v>
      </c>
      <c r="V41">
        <f>IF('Input Scenarios'!V106&lt;&gt;"", 'Input Scenarios'!V106, IF(W41&lt;&gt;"", "", Constants!$B$40))</f>
        <v>3.3</v>
      </c>
      <c r="W41" t="str">
        <f>IF('Input Scenarios'!W106&lt;&gt;"", 'Input Scenarios'!W106, "")</f>
        <v/>
      </c>
      <c r="X41" t="str">
        <f>'Input Scenarios'!X106</f>
        <v>Jersey</v>
      </c>
      <c r="Y41" t="str">
        <f>'Input Scenarios'!Y106</f>
        <v>bullsLt1PreWeaned</v>
      </c>
      <c r="Z41">
        <f>'Input Scenarios'!Z106</f>
        <v>200</v>
      </c>
      <c r="AA41">
        <f>'Input Scenarios'!AA106</f>
        <v>124</v>
      </c>
      <c r="AB41">
        <f>'Input Scenarios'!AB106</f>
        <v>225</v>
      </c>
      <c r="AC41" t="str">
        <f>IF('Input Scenarios'!AC106&lt;&gt;"", 'Input Scenarios'!AC106, _xlfn.XLOOKUP(Y41, Constants!$B$13:$H$13, Constants!$B$15:$H$15, ""))</f>
        <v/>
      </c>
      <c r="AD41">
        <f>IF('Input Scenarios'!AD106&lt;&gt;"", 'Input Scenarios'!AD106, Constants!$B$45)</f>
        <v>0.75</v>
      </c>
      <c r="AE41">
        <f>IF('Input Scenarios'!AE106&lt;&gt;"", 'Input Scenarios'!AE106, Constants!$B$46)</f>
        <v>0.2</v>
      </c>
      <c r="AF41">
        <f t="shared" si="19"/>
        <v>0</v>
      </c>
      <c r="AG41">
        <f t="shared" si="16"/>
        <v>0</v>
      </c>
      <c r="AH41">
        <f t="shared" si="16"/>
        <v>0</v>
      </c>
      <c r="AI41">
        <f t="shared" si="16"/>
        <v>0</v>
      </c>
      <c r="AJ41">
        <f t="shared" si="20"/>
        <v>1</v>
      </c>
      <c r="AK41">
        <f t="shared" si="21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6"/>
        <v>0.5948500000000001</v>
      </c>
      <c r="AQ41">
        <f t="shared" si="7"/>
        <v>0</v>
      </c>
      <c r="AR41">
        <f>IF(Y41="milkingCows", Constants!$P$2, Constants!$P$3)</f>
        <v>1</v>
      </c>
      <c r="AS41" s="18" t="str">
        <f t="shared" si="8"/>
        <v/>
      </c>
      <c r="AT41">
        <f>Constants!$B$47</f>
        <v>0.08</v>
      </c>
      <c r="AU41" t="str">
        <f t="shared" si="14"/>
        <v/>
      </c>
      <c r="AV41">
        <f t="shared" si="9"/>
        <v>0</v>
      </c>
      <c r="AW41">
        <f t="shared" ref="AW41:AX62" si="22">AG41</f>
        <v>0</v>
      </c>
      <c r="AX41">
        <f t="shared" si="22"/>
        <v>0</v>
      </c>
      <c r="AY41">
        <f t="shared" si="11"/>
        <v>0</v>
      </c>
      <c r="AZ41">
        <f t="shared" si="1"/>
        <v>1</v>
      </c>
      <c r="BA41">
        <f>_xlfn.XLOOKUP($B41, Constants!$E$27:$E$45,Constants!F$27:F$45)</f>
        <v>0.73</v>
      </c>
      <c r="BB41">
        <f>_xlfn.XLOOKUP($B41, Constants!$E$27:$E$45,Constants!G$27:G$45)</f>
        <v>1E-3</v>
      </c>
      <c r="BC41">
        <f>_xlfn.XLOOKUP($B41, Constants!$E$27:$E$45,Constants!H$27:H$45)</f>
        <v>0.15</v>
      </c>
      <c r="BD41">
        <f>_xlfn.XLOOKUP($B41, Constants!$E$27:$E$45,Constants!I$27:I$45)</f>
        <v>0.02</v>
      </c>
      <c r="BE41">
        <f>_xlfn.XLOOKUP($A41, Constants!$E$18:$L$18,Constants!$E$23:$L$23)</f>
        <v>0.01</v>
      </c>
      <c r="BF41">
        <f>Constants!$B$48</f>
        <v>0.24</v>
      </c>
      <c r="BG41">
        <f>Constants!$B$49</f>
        <v>0.6784</v>
      </c>
      <c r="BH41" t="str">
        <f t="shared" ref="BH41:BL62" si="23">IF(ISNUMBER(FIND("PreWeaned",$Y41)), "", $AU41*AV41*BA41*$BF41*$BG41)</f>
        <v/>
      </c>
      <c r="BI41" t="str">
        <f t="shared" si="23"/>
        <v/>
      </c>
      <c r="BJ41" t="str">
        <f t="shared" si="23"/>
        <v/>
      </c>
      <c r="BK41" t="str">
        <f t="shared" si="23"/>
        <v/>
      </c>
      <c r="BL41" t="str">
        <f t="shared" si="23"/>
        <v/>
      </c>
      <c r="BM41">
        <f>IF(ISNUMBER(FIND("PreWeaned",Y41)),_xlfn.XLOOKUP(Y41,Constants!$J$2:$J$3,Constants!$K$2:$K$3), "")</f>
        <v>2.0400000000000001E-2</v>
      </c>
      <c r="BN41">
        <f t="shared" si="13"/>
        <v>505.92</v>
      </c>
    </row>
    <row r="42" spans="1:67" s="16" customFormat="1" x14ac:dyDescent="0.2">
      <c r="A42" s="16" t="str">
        <f>'Input Scenarios'!A107</f>
        <v>VIC</v>
      </c>
      <c r="B42" s="16">
        <f>'Input Scenarios'!B107</f>
        <v>14</v>
      </c>
      <c r="C42" s="16" t="str">
        <f>'Input Scenarios'!C107</f>
        <v>Non-irrigated pasture</v>
      </c>
      <c r="D42" s="16" t="str">
        <f>'Input Scenarios'!D107</f>
        <v>wet</v>
      </c>
      <c r="E42" s="16" t="b">
        <f>'Input Scenarios'!E107</f>
        <v>0</v>
      </c>
      <c r="G42" s="16">
        <f>'Input Scenarios'!G107</f>
        <v>0.43</v>
      </c>
      <c r="H42" s="16">
        <f>'Input Scenarios'!H107</f>
        <v>0.14000000000000001</v>
      </c>
      <c r="I42" s="16">
        <f>'Input Scenarios'!I107</f>
        <v>0.43</v>
      </c>
      <c r="J42" s="16">
        <f>'Input Scenarios'!J107</f>
        <v>0.25</v>
      </c>
      <c r="K42" s="16">
        <f>'Input Scenarios'!K107</f>
        <v>0.25</v>
      </c>
      <c r="L42" s="16">
        <f>'Input Scenarios'!L107</f>
        <v>0.25</v>
      </c>
      <c r="M42" s="16">
        <f>'Input Scenarios'!M107</f>
        <v>0.25</v>
      </c>
      <c r="N42" s="16">
        <f>'Input Scenarios'!N107</f>
        <v>0.25</v>
      </c>
      <c r="O42" s="16">
        <f>'Input Scenarios'!O107</f>
        <v>0.25</v>
      </c>
      <c r="P42" s="16">
        <f>'Input Scenarios'!P107</f>
        <v>0.25</v>
      </c>
      <c r="Q42" s="16">
        <f>'Input Scenarios'!Q107</f>
        <v>0.25</v>
      </c>
      <c r="R42" s="16" t="b">
        <f>'Input Scenarios'!R42</f>
        <v>1</v>
      </c>
      <c r="S42" s="16">
        <f>IF('Input Scenarios'!S107&lt;&gt;"", 'Input Scenarios'!S107, IF(R107, Constants!$B$38, 0))</f>
        <v>0.18</v>
      </c>
      <c r="T42" s="16" t="str">
        <f>IF('Input Scenarios'!T107&lt;&gt;"", 'Input Scenarios'!T107, "")</f>
        <v/>
      </c>
      <c r="U42" s="16">
        <f>IF('Input Scenarios'!U107&lt;&gt;"", 'Input Scenarios'!U107, IF(W42&lt;&gt;"", "", Constants!$B$39))</f>
        <v>4</v>
      </c>
      <c r="V42" s="16">
        <f>IF('Input Scenarios'!V107&lt;&gt;"", 'Input Scenarios'!V107, IF(W42&lt;&gt;"", "", Constants!$B$40))</f>
        <v>3.3</v>
      </c>
      <c r="W42" s="16" t="str">
        <f>IF('Input Scenarios'!W107&lt;&gt;"", 'Input Scenarios'!W107, "")</f>
        <v/>
      </c>
      <c r="X42" s="16" t="str">
        <f>'Input Scenarios'!X107</f>
        <v>Jersey</v>
      </c>
      <c r="Y42" s="16" t="str">
        <f>'Input Scenarios'!Y107</f>
        <v>bullsLt1Weaned</v>
      </c>
      <c r="Z42" s="16">
        <f>'Input Scenarios'!Z107</f>
        <v>200</v>
      </c>
      <c r="AA42" s="16">
        <f>'Input Scenarios'!AA107</f>
        <v>294</v>
      </c>
      <c r="AB42" s="16">
        <f>'Input Scenarios'!AB107</f>
        <v>225</v>
      </c>
      <c r="AC42" s="16">
        <f>IF('Input Scenarios'!AC107&lt;&gt;"", 'Input Scenarios'!AC107, _xlfn.XLOOKUP(Y42, Constants!$B$13:$H$13, Constants!$B$15:$H$15, ""))</f>
        <v>0.8</v>
      </c>
      <c r="AD42" s="16">
        <f>IF('Input Scenarios'!AD107&lt;&gt;"", 'Input Scenarios'!AD107, Constants!$B$45)</f>
        <v>0.75</v>
      </c>
      <c r="AE42" s="16">
        <f>IF('Input Scenarios'!AE107&lt;&gt;"", 'Input Scenarios'!AE107, Constants!$B$46)</f>
        <v>0.2</v>
      </c>
      <c r="AF42" s="16">
        <f t="shared" si="19"/>
        <v>0</v>
      </c>
      <c r="AG42" s="16">
        <f t="shared" si="16"/>
        <v>0</v>
      </c>
      <c r="AH42" s="16">
        <f t="shared" si="16"/>
        <v>0</v>
      </c>
      <c r="AI42" s="16">
        <f t="shared" si="16"/>
        <v>0</v>
      </c>
      <c r="AJ42" s="16">
        <f t="shared" si="20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6"/>
        <v>0.5948500000000001</v>
      </c>
      <c r="AQ42" s="16">
        <f t="shared" si="7"/>
        <v>0</v>
      </c>
      <c r="AR42" s="16">
        <f>IF(Y42="milkingCows", Constants!$P$2, Constants!$P$3)</f>
        <v>1</v>
      </c>
      <c r="AS42" s="19">
        <f t="shared" si="8"/>
        <v>5.4143472656250013</v>
      </c>
      <c r="AT42" s="16">
        <f>Constants!$B$47</f>
        <v>0.08</v>
      </c>
      <c r="AU42" s="16">
        <f t="shared" si="14"/>
        <v>1.4445478504687506</v>
      </c>
      <c r="AV42" s="16">
        <f t="shared" si="9"/>
        <v>0</v>
      </c>
      <c r="AW42" s="16">
        <f t="shared" si="22"/>
        <v>0</v>
      </c>
      <c r="AX42" s="16">
        <f t="shared" si="22"/>
        <v>0</v>
      </c>
      <c r="AY42" s="16">
        <f t="shared" si="11"/>
        <v>0</v>
      </c>
      <c r="AZ42" s="16">
        <f t="shared" si="1"/>
        <v>1</v>
      </c>
      <c r="BA42" s="16">
        <f>_xlfn.XLOOKUP($B42, Constants!$E$27:$E$45,Constants!F$27:F$45)</f>
        <v>0.73</v>
      </c>
      <c r="BB42" s="16">
        <f>_xlfn.XLOOKUP($B42, Constants!$E$27:$E$45,Constants!G$27:G$45)</f>
        <v>1E-3</v>
      </c>
      <c r="BC42" s="16">
        <f>_xlfn.XLOOKUP($B42, Constants!$E$27:$E$45,Constants!H$27:H$45)</f>
        <v>0.15</v>
      </c>
      <c r="BD42" s="16">
        <f>_xlfn.XLOOKUP($B42, Constants!$E$27:$E$45,Constants!I$27:I$45)</f>
        <v>0.02</v>
      </c>
      <c r="BE42" s="16">
        <f>_xlfn.XLOOKUP($A42, Constants!$E$18:$L$18,Constants!$E$23:$L$23)</f>
        <v>0.01</v>
      </c>
      <c r="BF42" s="16">
        <f>Constants!$B$48</f>
        <v>0.24</v>
      </c>
      <c r="BG42" s="16">
        <f>Constants!$B$49</f>
        <v>0.6784</v>
      </c>
      <c r="BH42" s="16">
        <f t="shared" si="23"/>
        <v>0</v>
      </c>
      <c r="BI42" s="16">
        <f t="shared" si="23"/>
        <v>0</v>
      </c>
      <c r="BJ42" s="16">
        <f t="shared" si="23"/>
        <v>0</v>
      </c>
      <c r="BK42" s="16">
        <f t="shared" si="23"/>
        <v>0</v>
      </c>
      <c r="BL42" s="16">
        <f t="shared" si="23"/>
        <v>2.351955028219201E-3</v>
      </c>
      <c r="BM42" s="16" t="str">
        <f>IF(ISNUMBER(FIND("PreWeaned",Y42)),_xlfn.XLOOKUP(Y42,Constants!$J$2:$J$3,Constants!$K$2:$K$3), "")</f>
        <v/>
      </c>
      <c r="BN42" s="16">
        <f t="shared" si="13"/>
        <v>138.29495565928903</v>
      </c>
    </row>
    <row r="43" spans="1:67" x14ac:dyDescent="0.2">
      <c r="A43" t="str">
        <f>'Input Scenarios'!A108</f>
        <v>ACT</v>
      </c>
      <c r="B43">
        <f>'Input Scenarios'!B108</f>
        <v>12</v>
      </c>
      <c r="C43" t="str">
        <f>'Input Scenarios'!C108</f>
        <v>Non-irrigated crop (low rainfall)</v>
      </c>
      <c r="D43" t="str">
        <f>'Input Scenarios'!D108</f>
        <v>wet</v>
      </c>
      <c r="E43" t="b">
        <f>'Input Scenarios'!E108</f>
        <v>1</v>
      </c>
      <c r="G43">
        <f>'Input Scenarios'!G108</f>
        <v>0.45</v>
      </c>
      <c r="H43">
        <f>'Input Scenarios'!H108</f>
        <v>0.2</v>
      </c>
      <c r="I43">
        <f>'Input Scenarios'!I108</f>
        <v>0.35</v>
      </c>
      <c r="J43">
        <f>'Input Scenarios'!J108</f>
        <v>0</v>
      </c>
      <c r="K43">
        <f>'Input Scenarios'!K108</f>
        <v>0</v>
      </c>
      <c r="L43">
        <f>'Input Scenarios'!L108</f>
        <v>1</v>
      </c>
      <c r="M43">
        <f>'Input Scenarios'!M108</f>
        <v>0</v>
      </c>
      <c r="N43">
        <f>'Input Scenarios'!N108</f>
        <v>1</v>
      </c>
      <c r="O43">
        <f>'Input Scenarios'!O108</f>
        <v>0</v>
      </c>
      <c r="P43">
        <f>'Input Scenarios'!P108</f>
        <v>0</v>
      </c>
      <c r="Q43">
        <f>'Input Scenarios'!Q108</f>
        <v>0</v>
      </c>
      <c r="R43" t="b">
        <f>'Input Scenarios'!R43</f>
        <v>1</v>
      </c>
      <c r="S43">
        <f>IF('Input Scenarios'!S108&lt;&gt;"", 'Input Scenarios'!S108, IF(R108, Constants!$B$38, 0))</f>
        <v>0.25</v>
      </c>
      <c r="T43" s="20">
        <f>IF('Input Scenarios'!T108&lt;&gt;"", 'Input Scenarios'!T108, "")</f>
        <v>4</v>
      </c>
      <c r="U43" s="20">
        <f>IF('Input Scenarios'!U108&lt;&gt;"", 'Input Scenarios'!U108, IF(W43&lt;&gt;"", "", Constants!$B$39))</f>
        <v>2.9</v>
      </c>
      <c r="V43" s="20">
        <f>IF('Input Scenarios'!V108&lt;&gt;"", 'Input Scenarios'!V108, IF(W43&lt;&gt;"", "", Constants!$B$40))</f>
        <v>3.3</v>
      </c>
      <c r="W43" s="20" t="str">
        <f>IF('Input Scenarios'!W108&lt;&gt;"", 'Input Scenarios'!W108, "")</f>
        <v/>
      </c>
      <c r="X43" s="20" t="str">
        <f>'Input Scenarios'!X108</f>
        <v>Brown Swiss</v>
      </c>
      <c r="Y43" s="20" t="str">
        <f>'Input Scenarios'!Y108</f>
        <v>milkingCows</v>
      </c>
      <c r="Z43" s="20">
        <f>'Input Scenarios'!Z108</f>
        <v>200</v>
      </c>
      <c r="AA43" s="20">
        <f>'Input Scenarios'!AA108</f>
        <v>365</v>
      </c>
      <c r="AB43" s="20">
        <f>'Input Scenarios'!AB108</f>
        <v>450</v>
      </c>
      <c r="AC43">
        <f>IF('Input Scenarios'!AC108&lt;&gt;"", 'Input Scenarios'!AC108, _xlfn.XLOOKUP(Y43, Constants!$B$13:$H$13, Constants!$B$15:$H$15, ""))</f>
        <v>1.6E-2</v>
      </c>
      <c r="AD43">
        <f>IF('Input Scenarios'!AD108&lt;&gt;"", 'Input Scenarios'!AD108, Constants!$B$45)</f>
        <v>0.75</v>
      </c>
      <c r="AE43">
        <f>IF('Input Scenarios'!AE108&lt;&gt;"", 'Input Scenarios'!AE108, Constants!$B$46)</f>
        <v>0.2</v>
      </c>
      <c r="AF43" s="20">
        <f t="shared" si="19"/>
        <v>0.35</v>
      </c>
      <c r="AG43" s="20">
        <f t="shared" si="16"/>
        <v>0</v>
      </c>
      <c r="AH43" s="20">
        <f t="shared" si="16"/>
        <v>0.2</v>
      </c>
      <c r="AI43" s="20">
        <f t="shared" si="16"/>
        <v>0</v>
      </c>
      <c r="AJ43" s="20">
        <f t="shared" si="20"/>
        <v>0.45</v>
      </c>
      <c r="AK43">
        <f t="shared" ref="AK43:AK63" si="24">IF(Y43="milkingCows", IF(W43&lt;&gt;"", W43, T43/((U43+V43)*0.01)), 0)</f>
        <v>64.516129032258078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6"/>
        <v>0.5948500000000001</v>
      </c>
      <c r="AQ43">
        <f t="shared" si="7"/>
        <v>30.902813430990946</v>
      </c>
      <c r="AR43">
        <f>IF(Y43="milkingCows", Constants!$P$2, Constants!$P$3)</f>
        <v>1.1000000000000001</v>
      </c>
      <c r="AS43" s="18">
        <f t="shared" si="8"/>
        <v>38.960708079750944</v>
      </c>
      <c r="AT43">
        <f>Constants!$B$47</f>
        <v>0.08</v>
      </c>
      <c r="AU43">
        <f t="shared" si="14"/>
        <v>10.394716915677552</v>
      </c>
      <c r="AV43">
        <f t="shared" si="9"/>
        <v>0.26249999999999996</v>
      </c>
      <c r="AW43">
        <f t="shared" si="22"/>
        <v>0</v>
      </c>
      <c r="AX43">
        <f t="shared" si="22"/>
        <v>0.2</v>
      </c>
      <c r="AY43">
        <f t="shared" si="11"/>
        <v>8.7499999999999994E-2</v>
      </c>
      <c r="AZ43">
        <f t="shared" si="1"/>
        <v>0.45</v>
      </c>
      <c r="BA43">
        <f>_xlfn.XLOOKUP($B43, Constants!$E$27:$E$45,Constants!F$27:F$45)</f>
        <v>0.7</v>
      </c>
      <c r="BB43">
        <f>_xlfn.XLOOKUP($B43, Constants!$E$27:$E$45,Constants!G$27:G$45)</f>
        <v>1E-3</v>
      </c>
      <c r="BC43">
        <f>_xlfn.XLOOKUP($B43, Constants!$E$27:$E$45,Constants!H$27:H$45)</f>
        <v>0.13</v>
      </c>
      <c r="BD43">
        <f>_xlfn.XLOOKUP($B43, Constants!$E$27:$E$45,Constants!I$27:I$45)</f>
        <v>0.02</v>
      </c>
      <c r="BE43">
        <f>_xlfn.XLOOKUP($A43, Constants!$E$18:$L$18,Constants!$E$23:$L$23)</f>
        <v>0.01</v>
      </c>
      <c r="BF43">
        <f>Constants!$B$48</f>
        <v>0.24</v>
      </c>
      <c r="BG43">
        <f>Constants!$B$49</f>
        <v>0.6784</v>
      </c>
      <c r="BH43">
        <f t="shared" si="23"/>
        <v>0.31098331964176817</v>
      </c>
      <c r="BI43">
        <f t="shared" si="23"/>
        <v>0</v>
      </c>
      <c r="BJ43">
        <f t="shared" si="23"/>
        <v>4.4003081962916864E-2</v>
      </c>
      <c r="BK43">
        <f t="shared" si="23"/>
        <v>2.9617459013501738E-3</v>
      </c>
      <c r="BL43">
        <f t="shared" si="23"/>
        <v>7.6159180320433048E-3</v>
      </c>
      <c r="BM43" t="str">
        <f>IF(ISNUMBER(FIND("PreWeaned",Y43)),_xlfn.XLOOKUP(Y43,Constants!$J$2:$J$3,Constants!$K$2:$K$3), "")</f>
        <v/>
      </c>
      <c r="BN43">
        <f t="shared" si="13"/>
        <v>26686.176784279731</v>
      </c>
      <c r="BO43">
        <f>SUM(BN43:BN49)/1000</f>
        <v>28.216405763546902</v>
      </c>
    </row>
    <row r="44" spans="1:67" x14ac:dyDescent="0.2">
      <c r="A44" t="str">
        <f>'Input Scenarios'!A109</f>
        <v>ACT</v>
      </c>
      <c r="B44">
        <f>'Input Scenarios'!B109</f>
        <v>12</v>
      </c>
      <c r="C44" t="str">
        <f>'Input Scenarios'!C109</f>
        <v>Non-irrigated crop (low rainfall)</v>
      </c>
      <c r="D44" t="str">
        <f>'Input Scenarios'!D109</f>
        <v>wet</v>
      </c>
      <c r="E44" t="b">
        <f>'Input Scenarios'!E109</f>
        <v>1</v>
      </c>
      <c r="G44">
        <f>'Input Scenarios'!G109</f>
        <v>0.45</v>
      </c>
      <c r="H44">
        <f>'Input Scenarios'!H109</f>
        <v>0.2</v>
      </c>
      <c r="I44">
        <f>'Input Scenarios'!I109</f>
        <v>0.35</v>
      </c>
      <c r="J44">
        <f>'Input Scenarios'!J109</f>
        <v>0</v>
      </c>
      <c r="K44">
        <f>'Input Scenarios'!K109</f>
        <v>0</v>
      </c>
      <c r="L44">
        <f>'Input Scenarios'!L109</f>
        <v>1</v>
      </c>
      <c r="M44">
        <f>'Input Scenarios'!M109</f>
        <v>0</v>
      </c>
      <c r="N44">
        <f>'Input Scenarios'!N109</f>
        <v>1</v>
      </c>
      <c r="O44">
        <f>'Input Scenarios'!O109</f>
        <v>0</v>
      </c>
      <c r="P44">
        <f>'Input Scenarios'!P109</f>
        <v>0</v>
      </c>
      <c r="Q44">
        <f>'Input Scenarios'!Q109</f>
        <v>0</v>
      </c>
      <c r="R44" t="b">
        <f>'Input Scenarios'!R44</f>
        <v>1</v>
      </c>
      <c r="S44">
        <f>IF('Input Scenarios'!S109&lt;&gt;"", 'Input Scenarios'!S109, IF(R109, Constants!$B$38, 0))</f>
        <v>0.25</v>
      </c>
      <c r="T44" t="str">
        <f>IF('Input Scenarios'!T109&lt;&gt;"", 'Input Scenarios'!T109, "")</f>
        <v/>
      </c>
      <c r="U44">
        <f>IF('Input Scenarios'!U109&lt;&gt;"", 'Input Scenarios'!U109, IF(W44&lt;&gt;"", "", Constants!$B$39))</f>
        <v>4</v>
      </c>
      <c r="V44">
        <f>IF('Input Scenarios'!V109&lt;&gt;"", 'Input Scenarios'!V109, IF(W44&lt;&gt;"", "", Constants!$B$40))</f>
        <v>3.3</v>
      </c>
      <c r="W44" t="str">
        <f>IF('Input Scenarios'!W109&lt;&gt;"", 'Input Scenarios'!W109, "")</f>
        <v/>
      </c>
      <c r="X44" t="str">
        <f>'Input Scenarios'!X109</f>
        <v>Brown Swiss</v>
      </c>
      <c r="Y44" t="str">
        <f>'Input Scenarios'!Y109</f>
        <v>heifersGt1</v>
      </c>
      <c r="Z44">
        <f>'Input Scenarios'!Z109</f>
        <v>200</v>
      </c>
      <c r="AA44">
        <f>'Input Scenarios'!AA109</f>
        <v>265</v>
      </c>
      <c r="AB44">
        <f>'Input Scenarios'!AB109</f>
        <v>315</v>
      </c>
      <c r="AC44">
        <f>IF('Input Scenarios'!AC109&lt;&gt;"", 'Input Scenarios'!AC109, _xlfn.XLOOKUP(Y44, Constants!$B$13:$H$13, Constants!$B$15:$H$15, ""))</f>
        <v>0.6</v>
      </c>
      <c r="AD44">
        <f>IF('Input Scenarios'!AD109&lt;&gt;"", 'Input Scenarios'!AD109, Constants!$B$45)</f>
        <v>0.75</v>
      </c>
      <c r="AE44">
        <f>IF('Input Scenarios'!AE109&lt;&gt;"", 'Input Scenarios'!AE109, Constants!$B$46)</f>
        <v>0.2</v>
      </c>
      <c r="AF44">
        <f t="shared" si="19"/>
        <v>0</v>
      </c>
      <c r="AG44">
        <f t="shared" si="16"/>
        <v>0</v>
      </c>
      <c r="AH44">
        <f t="shared" si="16"/>
        <v>0</v>
      </c>
      <c r="AI44">
        <f t="shared" si="16"/>
        <v>0</v>
      </c>
      <c r="AJ44">
        <f t="shared" si="20"/>
        <v>1</v>
      </c>
      <c r="AK44">
        <f t="shared" si="24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6"/>
        <v>0.5948500000000001</v>
      </c>
      <c r="AQ44">
        <f t="shared" si="7"/>
        <v>0</v>
      </c>
      <c r="AR44">
        <f>IF(Y44="milkingCows", Constants!$P$2, Constants!$P$3)</f>
        <v>1</v>
      </c>
      <c r="AS44" s="18">
        <f t="shared" si="8"/>
        <v>6.4827015932249994</v>
      </c>
      <c r="AT44">
        <f>Constants!$B$47</f>
        <v>0.08</v>
      </c>
      <c r="AU44">
        <f t="shared" si="14"/>
        <v>1.72958478507243</v>
      </c>
      <c r="AV44">
        <f t="shared" si="9"/>
        <v>0</v>
      </c>
      <c r="AW44">
        <f t="shared" si="22"/>
        <v>0</v>
      </c>
      <c r="AX44">
        <f t="shared" si="22"/>
        <v>0</v>
      </c>
      <c r="AY44">
        <f t="shared" si="11"/>
        <v>0</v>
      </c>
      <c r="AZ44">
        <f t="shared" si="1"/>
        <v>1</v>
      </c>
      <c r="BA44">
        <f>_xlfn.XLOOKUP($B44, Constants!$E$27:$E$45,Constants!F$27:F$45)</f>
        <v>0.7</v>
      </c>
      <c r="BB44">
        <f>_xlfn.XLOOKUP($B44, Constants!$E$27:$E$45,Constants!G$27:G$45)</f>
        <v>1E-3</v>
      </c>
      <c r="BC44">
        <f>_xlfn.XLOOKUP($B44, Constants!$E$27:$E$45,Constants!H$27:H$45)</f>
        <v>0.13</v>
      </c>
      <c r="BD44">
        <f>_xlfn.XLOOKUP($B44, Constants!$E$27:$E$45,Constants!I$27:I$45)</f>
        <v>0.02</v>
      </c>
      <c r="BE44">
        <f>_xlfn.XLOOKUP($A44, Constants!$E$18:$L$18,Constants!$E$23:$L$23)</f>
        <v>0.01</v>
      </c>
      <c r="BF44">
        <f>Constants!$B$48</f>
        <v>0.24</v>
      </c>
      <c r="BG44">
        <f>Constants!$B$49</f>
        <v>0.6784</v>
      </c>
      <c r="BH44">
        <f t="shared" si="23"/>
        <v>0</v>
      </c>
      <c r="BI44">
        <f t="shared" si="23"/>
        <v>0</v>
      </c>
      <c r="BJ44">
        <f t="shared" si="23"/>
        <v>0</v>
      </c>
      <c r="BK44">
        <f t="shared" si="23"/>
        <v>0</v>
      </c>
      <c r="BL44">
        <f t="shared" si="23"/>
        <v>2.8160407636635275E-3</v>
      </c>
      <c r="BM44" t="str">
        <f>IF(ISNUMBER(FIND("PreWeaned",Y44)),_xlfn.XLOOKUP(Y44,Constants!$J$2:$J$3,Constants!$K$2:$K$3), "")</f>
        <v/>
      </c>
      <c r="BN44">
        <f t="shared" si="13"/>
        <v>149.25016047416696</v>
      </c>
    </row>
    <row r="45" spans="1:67" x14ac:dyDescent="0.2">
      <c r="A45" t="str">
        <f>'Input Scenarios'!A110</f>
        <v>ACT</v>
      </c>
      <c r="B45">
        <f>'Input Scenarios'!B110</f>
        <v>12</v>
      </c>
      <c r="C45" t="str">
        <f>'Input Scenarios'!C110</f>
        <v>Non-irrigated crop (low rainfall)</v>
      </c>
      <c r="D45" t="str">
        <f>'Input Scenarios'!D110</f>
        <v>wet</v>
      </c>
      <c r="E45" t="b">
        <f>'Input Scenarios'!E110</f>
        <v>1</v>
      </c>
      <c r="G45">
        <f>'Input Scenarios'!G110</f>
        <v>0.45</v>
      </c>
      <c r="H45">
        <f>'Input Scenarios'!H110</f>
        <v>0.2</v>
      </c>
      <c r="I45">
        <f>'Input Scenarios'!I110</f>
        <v>0.35</v>
      </c>
      <c r="J45">
        <f>'Input Scenarios'!J110</f>
        <v>0</v>
      </c>
      <c r="K45">
        <f>'Input Scenarios'!K110</f>
        <v>0</v>
      </c>
      <c r="L45">
        <f>'Input Scenarios'!L110</f>
        <v>1</v>
      </c>
      <c r="M45">
        <f>'Input Scenarios'!M110</f>
        <v>0</v>
      </c>
      <c r="N45">
        <f>'Input Scenarios'!N110</f>
        <v>1</v>
      </c>
      <c r="O45">
        <f>'Input Scenarios'!O110</f>
        <v>0</v>
      </c>
      <c r="P45">
        <f>'Input Scenarios'!P110</f>
        <v>0</v>
      </c>
      <c r="Q45">
        <f>'Input Scenarios'!Q110</f>
        <v>0</v>
      </c>
      <c r="R45" t="b">
        <f>'Input Scenarios'!R45</f>
        <v>1</v>
      </c>
      <c r="S45">
        <f>IF('Input Scenarios'!S110&lt;&gt;"", 'Input Scenarios'!S110, IF(R110, Constants!$B$38, 0))</f>
        <v>0.25</v>
      </c>
      <c r="T45" t="str">
        <f>IF('Input Scenarios'!T110&lt;&gt;"", 'Input Scenarios'!T110, "")</f>
        <v/>
      </c>
      <c r="U45">
        <f>IF('Input Scenarios'!U110&lt;&gt;"", 'Input Scenarios'!U110, IF(W45&lt;&gt;"", "", Constants!$B$39))</f>
        <v>4</v>
      </c>
      <c r="V45">
        <f>IF('Input Scenarios'!V110&lt;&gt;"", 'Input Scenarios'!V110, IF(W45&lt;&gt;"", "", Constants!$B$40))</f>
        <v>3.3</v>
      </c>
      <c r="W45" t="str">
        <f>IF('Input Scenarios'!W110&lt;&gt;"", 'Input Scenarios'!W110, "")</f>
        <v/>
      </c>
      <c r="X45" t="str">
        <f>'Input Scenarios'!X110</f>
        <v>Brown Swiss</v>
      </c>
      <c r="Y45" t="str">
        <f>'Input Scenarios'!Y110</f>
        <v>heifersLt1PreWeaned</v>
      </c>
      <c r="Z45">
        <f>'Input Scenarios'!Z110</f>
        <v>200</v>
      </c>
      <c r="AA45">
        <f>'Input Scenarios'!AA110</f>
        <v>100</v>
      </c>
      <c r="AB45">
        <f>'Input Scenarios'!AB110</f>
        <v>130</v>
      </c>
      <c r="AC45" t="str">
        <f>IF('Input Scenarios'!AC110&lt;&gt;"", 'Input Scenarios'!AC110, _xlfn.XLOOKUP(Y45, Constants!$B$13:$H$13, Constants!$B$15:$H$15, ""))</f>
        <v/>
      </c>
      <c r="AD45">
        <f>IF('Input Scenarios'!AD110&lt;&gt;"", 'Input Scenarios'!AD110, Constants!$B$45)</f>
        <v>0.75</v>
      </c>
      <c r="AE45">
        <f>IF('Input Scenarios'!AE110&lt;&gt;"", 'Input Scenarios'!AE110, Constants!$B$46)</f>
        <v>0.2</v>
      </c>
      <c r="AF45">
        <f t="shared" si="19"/>
        <v>0</v>
      </c>
      <c r="AG45">
        <f t="shared" si="19"/>
        <v>0</v>
      </c>
      <c r="AH45">
        <f t="shared" si="19"/>
        <v>0</v>
      </c>
      <c r="AI45">
        <f t="shared" si="19"/>
        <v>0</v>
      </c>
      <c r="AJ45">
        <f t="shared" si="20"/>
        <v>1</v>
      </c>
      <c r="AK45">
        <f t="shared" si="24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6"/>
        <v>0.5948500000000001</v>
      </c>
      <c r="AQ45">
        <f t="shared" si="7"/>
        <v>0</v>
      </c>
      <c r="AR45">
        <f>IF(Y45="milkingCows", Constants!$P$2, Constants!$P$3)</f>
        <v>1</v>
      </c>
      <c r="AS45" s="18" t="str">
        <f t="shared" si="8"/>
        <v/>
      </c>
      <c r="AT45">
        <f>Constants!$B$47</f>
        <v>0.08</v>
      </c>
      <c r="AU45" t="str">
        <f t="shared" si="14"/>
        <v/>
      </c>
      <c r="AV45">
        <f t="shared" si="9"/>
        <v>0</v>
      </c>
      <c r="AW45">
        <f t="shared" si="22"/>
        <v>0</v>
      </c>
      <c r="AX45">
        <f t="shared" si="22"/>
        <v>0</v>
      </c>
      <c r="AY45">
        <f t="shared" si="11"/>
        <v>0</v>
      </c>
      <c r="AZ45">
        <f t="shared" si="1"/>
        <v>1</v>
      </c>
      <c r="BA45">
        <f>_xlfn.XLOOKUP($B45, Constants!$E$27:$E$45,Constants!F$27:F$45)</f>
        <v>0.7</v>
      </c>
      <c r="BB45">
        <f>_xlfn.XLOOKUP($B45, Constants!$E$27:$E$45,Constants!G$27:G$45)</f>
        <v>1E-3</v>
      </c>
      <c r="BC45">
        <f>_xlfn.XLOOKUP($B45, Constants!$E$27:$E$45,Constants!H$27:H$45)</f>
        <v>0.13</v>
      </c>
      <c r="BD45">
        <f>_xlfn.XLOOKUP($B45, Constants!$E$27:$E$45,Constants!I$27:I$45)</f>
        <v>0.02</v>
      </c>
      <c r="BE45">
        <f>_xlfn.XLOOKUP($A45, Constants!$E$18:$L$18,Constants!$E$23:$L$23)</f>
        <v>0.01</v>
      </c>
      <c r="BF45">
        <f>Constants!$B$48</f>
        <v>0.24</v>
      </c>
      <c r="BG45">
        <f>Constants!$B$49</f>
        <v>0.6784</v>
      </c>
      <c r="BH45" t="str">
        <f t="shared" si="23"/>
        <v/>
      </c>
      <c r="BI45" t="str">
        <f t="shared" si="23"/>
        <v/>
      </c>
      <c r="BJ45" t="str">
        <f t="shared" si="23"/>
        <v/>
      </c>
      <c r="BK45" t="str">
        <f t="shared" si="23"/>
        <v/>
      </c>
      <c r="BL45" t="str">
        <f t="shared" si="23"/>
        <v/>
      </c>
      <c r="BM45">
        <f>IF(ISNUMBER(FIND("PreWeaned",Y45)),_xlfn.XLOOKUP(Y45,Constants!$J$2:$J$3,Constants!$K$2:$K$3), "")</f>
        <v>1.7600000000000001E-2</v>
      </c>
      <c r="BN45">
        <f t="shared" si="13"/>
        <v>352</v>
      </c>
    </row>
    <row r="46" spans="1:67" x14ac:dyDescent="0.2">
      <c r="A46" t="str">
        <f>'Input Scenarios'!A111</f>
        <v>ACT</v>
      </c>
      <c r="B46">
        <f>'Input Scenarios'!B111</f>
        <v>12</v>
      </c>
      <c r="C46" t="str">
        <f>'Input Scenarios'!C111</f>
        <v>Non-irrigated crop (low rainfall)</v>
      </c>
      <c r="D46" t="str">
        <f>'Input Scenarios'!D111</f>
        <v>wet</v>
      </c>
      <c r="E46" t="b">
        <f>'Input Scenarios'!E111</f>
        <v>1</v>
      </c>
      <c r="G46">
        <f>'Input Scenarios'!G111</f>
        <v>0.45</v>
      </c>
      <c r="H46">
        <f>'Input Scenarios'!H111</f>
        <v>0.2</v>
      </c>
      <c r="I46">
        <f>'Input Scenarios'!I111</f>
        <v>0.35</v>
      </c>
      <c r="J46">
        <f>'Input Scenarios'!J111</f>
        <v>0</v>
      </c>
      <c r="K46">
        <f>'Input Scenarios'!K111</f>
        <v>0</v>
      </c>
      <c r="L46">
        <f>'Input Scenarios'!L111</f>
        <v>1</v>
      </c>
      <c r="M46">
        <f>'Input Scenarios'!M111</f>
        <v>0</v>
      </c>
      <c r="N46">
        <f>'Input Scenarios'!N111</f>
        <v>1</v>
      </c>
      <c r="O46">
        <f>'Input Scenarios'!O111</f>
        <v>0</v>
      </c>
      <c r="P46">
        <f>'Input Scenarios'!P111</f>
        <v>0</v>
      </c>
      <c r="Q46">
        <f>'Input Scenarios'!Q111</f>
        <v>0</v>
      </c>
      <c r="R46" t="b">
        <f>'Input Scenarios'!R46</f>
        <v>1</v>
      </c>
      <c r="S46">
        <f>IF('Input Scenarios'!S111&lt;&gt;"", 'Input Scenarios'!S111, IF(R111, Constants!$B$38, 0))</f>
        <v>0.25</v>
      </c>
      <c r="T46" t="str">
        <f>IF('Input Scenarios'!T111&lt;&gt;"", 'Input Scenarios'!T111, "")</f>
        <v/>
      </c>
      <c r="U46">
        <f>IF('Input Scenarios'!U111&lt;&gt;"", 'Input Scenarios'!U111, IF(W46&lt;&gt;"", "", Constants!$B$39))</f>
        <v>4</v>
      </c>
      <c r="V46">
        <f>IF('Input Scenarios'!V111&lt;&gt;"", 'Input Scenarios'!V111, IF(W46&lt;&gt;"", "", Constants!$B$40))</f>
        <v>3.3</v>
      </c>
      <c r="W46" t="str">
        <f>IF('Input Scenarios'!W111&lt;&gt;"", 'Input Scenarios'!W111, "")</f>
        <v/>
      </c>
      <c r="X46" t="str">
        <f>'Input Scenarios'!X111</f>
        <v>Brown Swiss</v>
      </c>
      <c r="Y46" t="str">
        <f>'Input Scenarios'!Y111</f>
        <v>heifersLt1Weaned</v>
      </c>
      <c r="Z46">
        <f>'Input Scenarios'!Z111</f>
        <v>200</v>
      </c>
      <c r="AA46">
        <f>'Input Scenarios'!AA111</f>
        <v>360</v>
      </c>
      <c r="AB46">
        <f>'Input Scenarios'!AB111</f>
        <v>130</v>
      </c>
      <c r="AC46">
        <f>IF('Input Scenarios'!AC111&lt;&gt;"", 'Input Scenarios'!AC111, _xlfn.XLOOKUP(Y46, Constants!$B$13:$H$13, Constants!$B$15:$H$15, ""))</f>
        <v>0.56999999999999995</v>
      </c>
      <c r="AD46">
        <f>IF('Input Scenarios'!AD111&lt;&gt;"", 'Input Scenarios'!AD111, Constants!$B$45)</f>
        <v>0.75</v>
      </c>
      <c r="AE46">
        <f>IF('Input Scenarios'!AE111&lt;&gt;"", 'Input Scenarios'!AE111, Constants!$B$46)</f>
        <v>0.2</v>
      </c>
      <c r="AF46">
        <f t="shared" si="19"/>
        <v>0</v>
      </c>
      <c r="AG46">
        <f t="shared" si="19"/>
        <v>0</v>
      </c>
      <c r="AH46">
        <f t="shared" si="19"/>
        <v>0</v>
      </c>
      <c r="AI46">
        <f t="shared" si="19"/>
        <v>0</v>
      </c>
      <c r="AJ46">
        <f t="shared" si="20"/>
        <v>1</v>
      </c>
      <c r="AK46">
        <f t="shared" si="24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6"/>
        <v>0.5948500000000001</v>
      </c>
      <c r="AQ46">
        <f t="shared" si="7"/>
        <v>0</v>
      </c>
      <c r="AR46">
        <f>IF(Y46="milkingCows", Constants!$P$2, Constants!$P$3)</f>
        <v>1</v>
      </c>
      <c r="AS46" s="18">
        <f t="shared" si="8"/>
        <v>3.6511948560999987</v>
      </c>
      <c r="AT46">
        <f>Constants!$B$47</f>
        <v>0.08</v>
      </c>
      <c r="AU46">
        <f t="shared" si="14"/>
        <v>0.97413878760747985</v>
      </c>
      <c r="AV46">
        <f t="shared" si="9"/>
        <v>0</v>
      </c>
      <c r="AW46">
        <f t="shared" si="22"/>
        <v>0</v>
      </c>
      <c r="AX46">
        <f t="shared" si="22"/>
        <v>0</v>
      </c>
      <c r="AY46">
        <f t="shared" si="11"/>
        <v>0</v>
      </c>
      <c r="AZ46">
        <f t="shared" si="1"/>
        <v>1</v>
      </c>
      <c r="BA46">
        <f>_xlfn.XLOOKUP($B46, Constants!$E$27:$E$45,Constants!F$27:F$45)</f>
        <v>0.7</v>
      </c>
      <c r="BB46">
        <f>_xlfn.XLOOKUP($B46, Constants!$E$27:$E$45,Constants!G$27:G$45)</f>
        <v>1E-3</v>
      </c>
      <c r="BC46">
        <f>_xlfn.XLOOKUP($B46, Constants!$E$27:$E$45,Constants!H$27:H$45)</f>
        <v>0.13</v>
      </c>
      <c r="BD46">
        <f>_xlfn.XLOOKUP($B46, Constants!$E$27:$E$45,Constants!I$27:I$45)</f>
        <v>0.02</v>
      </c>
      <c r="BE46">
        <f>_xlfn.XLOOKUP($A46, Constants!$E$18:$L$18,Constants!$E$23:$L$23)</f>
        <v>0.01</v>
      </c>
      <c r="BF46">
        <f>Constants!$B$48</f>
        <v>0.24</v>
      </c>
      <c r="BG46">
        <f>Constants!$B$49</f>
        <v>0.6784</v>
      </c>
      <c r="BH46">
        <f t="shared" si="23"/>
        <v>0</v>
      </c>
      <c r="BI46">
        <f t="shared" si="23"/>
        <v>0</v>
      </c>
      <c r="BJ46">
        <f t="shared" si="23"/>
        <v>0</v>
      </c>
      <c r="BK46">
        <f t="shared" si="23"/>
        <v>0</v>
      </c>
      <c r="BL46">
        <f t="shared" si="23"/>
        <v>1.5860538084309945E-3</v>
      </c>
      <c r="BM46" t="str">
        <f>IF(ISNUMBER(FIND("PreWeaned",Y46)),_xlfn.XLOOKUP(Y46,Constants!$J$2:$J$3,Constants!$K$2:$K$3), "")</f>
        <v/>
      </c>
      <c r="BN46">
        <f t="shared" si="13"/>
        <v>114.19587420703161</v>
      </c>
    </row>
    <row r="47" spans="1:67" x14ac:dyDescent="0.2">
      <c r="A47" t="str">
        <f>'Input Scenarios'!A112</f>
        <v>ACT</v>
      </c>
      <c r="B47">
        <f>'Input Scenarios'!B112</f>
        <v>12</v>
      </c>
      <c r="C47" t="str">
        <f>'Input Scenarios'!C112</f>
        <v>Non-irrigated crop (low rainfall)</v>
      </c>
      <c r="D47" t="str">
        <f>'Input Scenarios'!D112</f>
        <v>wet</v>
      </c>
      <c r="E47" t="b">
        <f>'Input Scenarios'!E112</f>
        <v>1</v>
      </c>
      <c r="G47">
        <f>'Input Scenarios'!G112</f>
        <v>0.45</v>
      </c>
      <c r="H47">
        <f>'Input Scenarios'!H112</f>
        <v>0.2</v>
      </c>
      <c r="I47">
        <f>'Input Scenarios'!I112</f>
        <v>0.35</v>
      </c>
      <c r="J47">
        <f>'Input Scenarios'!J112</f>
        <v>0</v>
      </c>
      <c r="K47">
        <f>'Input Scenarios'!K112</f>
        <v>0</v>
      </c>
      <c r="L47">
        <f>'Input Scenarios'!L112</f>
        <v>1</v>
      </c>
      <c r="M47">
        <f>'Input Scenarios'!M112</f>
        <v>0</v>
      </c>
      <c r="N47">
        <f>'Input Scenarios'!N112</f>
        <v>1</v>
      </c>
      <c r="O47">
        <f>'Input Scenarios'!O112</f>
        <v>0</v>
      </c>
      <c r="P47">
        <f>'Input Scenarios'!P112</f>
        <v>0</v>
      </c>
      <c r="Q47">
        <f>'Input Scenarios'!Q112</f>
        <v>0</v>
      </c>
      <c r="R47" t="b">
        <f>'Input Scenarios'!R47</f>
        <v>1</v>
      </c>
      <c r="S47">
        <f>IF('Input Scenarios'!S112&lt;&gt;"", 'Input Scenarios'!S112, IF(R112, Constants!$B$38, 0))</f>
        <v>0.25</v>
      </c>
      <c r="T47" t="str">
        <f>IF('Input Scenarios'!T112&lt;&gt;"", 'Input Scenarios'!T112, "")</f>
        <v/>
      </c>
      <c r="U47">
        <f>IF('Input Scenarios'!U112&lt;&gt;"", 'Input Scenarios'!U112, IF(W47&lt;&gt;"", "", Constants!$B$39))</f>
        <v>4</v>
      </c>
      <c r="V47">
        <f>IF('Input Scenarios'!V112&lt;&gt;"", 'Input Scenarios'!V112, IF(W47&lt;&gt;"", "", Constants!$B$40))</f>
        <v>3.3</v>
      </c>
      <c r="W47" t="str">
        <f>IF('Input Scenarios'!W112&lt;&gt;"", 'Input Scenarios'!W112, "")</f>
        <v/>
      </c>
      <c r="X47" t="str">
        <f>'Input Scenarios'!X112</f>
        <v>Brown Swiss</v>
      </c>
      <c r="Y47" t="str">
        <f>'Input Scenarios'!Y112</f>
        <v>bullsGt1</v>
      </c>
      <c r="Z47">
        <f>'Input Scenarios'!Z112</f>
        <v>200</v>
      </c>
      <c r="AA47">
        <f>'Input Scenarios'!AA112</f>
        <v>345</v>
      </c>
      <c r="AB47">
        <f>'Input Scenarios'!AB112</f>
        <v>600</v>
      </c>
      <c r="AC47">
        <f>IF('Input Scenarios'!AC112&lt;&gt;"", 'Input Scenarios'!AC112, _xlfn.XLOOKUP(Y47, Constants!$B$13:$H$13, Constants!$B$15:$H$15, ""))</f>
        <v>0.1</v>
      </c>
      <c r="AD47">
        <f>IF('Input Scenarios'!AD112&lt;&gt;"", 'Input Scenarios'!AD112, Constants!$B$45)</f>
        <v>0.75</v>
      </c>
      <c r="AE47">
        <f>IF('Input Scenarios'!AE112&lt;&gt;"", 'Input Scenarios'!AE112, Constants!$B$46)</f>
        <v>0.2</v>
      </c>
      <c r="AF47">
        <f t="shared" si="19"/>
        <v>0</v>
      </c>
      <c r="AG47">
        <f t="shared" si="19"/>
        <v>0</v>
      </c>
      <c r="AH47">
        <f t="shared" si="19"/>
        <v>0</v>
      </c>
      <c r="AI47">
        <f t="shared" si="19"/>
        <v>0</v>
      </c>
      <c r="AJ47">
        <f t="shared" si="20"/>
        <v>1</v>
      </c>
      <c r="AK47">
        <f t="shared" si="24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6"/>
        <v>0.5948500000000001</v>
      </c>
      <c r="AQ47">
        <f t="shared" si="7"/>
        <v>0</v>
      </c>
      <c r="AR47">
        <f>IF(Y47="milkingCows", Constants!$P$2, Constants!$P$3)</f>
        <v>1</v>
      </c>
      <c r="AS47" s="18">
        <f t="shared" si="8"/>
        <v>9.0270202499999979</v>
      </c>
      <c r="AT47">
        <f>Constants!$B$47</f>
        <v>0.08</v>
      </c>
      <c r="AU47">
        <f t="shared" si="14"/>
        <v>2.4084090026999996</v>
      </c>
      <c r="AV47">
        <f t="shared" si="9"/>
        <v>0</v>
      </c>
      <c r="AW47">
        <f t="shared" si="22"/>
        <v>0</v>
      </c>
      <c r="AX47">
        <f t="shared" si="22"/>
        <v>0</v>
      </c>
      <c r="AY47">
        <f t="shared" si="11"/>
        <v>0</v>
      </c>
      <c r="AZ47">
        <f t="shared" si="1"/>
        <v>1</v>
      </c>
      <c r="BA47">
        <f>_xlfn.XLOOKUP($B47, Constants!$E$27:$E$45,Constants!F$27:F$45)</f>
        <v>0.7</v>
      </c>
      <c r="BB47">
        <f>_xlfn.XLOOKUP($B47, Constants!$E$27:$E$45,Constants!G$27:G$45)</f>
        <v>1E-3</v>
      </c>
      <c r="BC47">
        <f>_xlfn.XLOOKUP($B47, Constants!$E$27:$E$45,Constants!H$27:H$45)</f>
        <v>0.13</v>
      </c>
      <c r="BD47">
        <f>_xlfn.XLOOKUP($B47, Constants!$E$27:$E$45,Constants!I$27:I$45)</f>
        <v>0.02</v>
      </c>
      <c r="BE47">
        <f>_xlfn.XLOOKUP($A47, Constants!$E$18:$L$18,Constants!$E$23:$L$23)</f>
        <v>0.01</v>
      </c>
      <c r="BF47">
        <f>Constants!$B$48</f>
        <v>0.24</v>
      </c>
      <c r="BG47">
        <f>Constants!$B$49</f>
        <v>0.6784</v>
      </c>
      <c r="BH47">
        <f t="shared" si="23"/>
        <v>0</v>
      </c>
      <c r="BI47">
        <f t="shared" si="23"/>
        <v>0</v>
      </c>
      <c r="BJ47">
        <f t="shared" si="23"/>
        <v>0</v>
      </c>
      <c r="BK47">
        <f t="shared" si="23"/>
        <v>0</v>
      </c>
      <c r="BL47">
        <f t="shared" si="23"/>
        <v>3.9212752018360315E-3</v>
      </c>
      <c r="BM47" t="str">
        <f>IF(ISNUMBER(FIND("PreWeaned",Y47)),_xlfn.XLOOKUP(Y47,Constants!$J$2:$J$3,Constants!$K$2:$K$3), "")</f>
        <v/>
      </c>
      <c r="BN47">
        <f t="shared" si="13"/>
        <v>270.56798892668616</v>
      </c>
    </row>
    <row r="48" spans="1:67" x14ac:dyDescent="0.2">
      <c r="A48" t="str">
        <f>'Input Scenarios'!A113</f>
        <v>ACT</v>
      </c>
      <c r="B48">
        <f>'Input Scenarios'!B113</f>
        <v>12</v>
      </c>
      <c r="C48" t="str">
        <f>'Input Scenarios'!C113</f>
        <v>Non-irrigated crop (low rainfall)</v>
      </c>
      <c r="D48" t="str">
        <f>'Input Scenarios'!D113</f>
        <v>wet</v>
      </c>
      <c r="E48" t="b">
        <f>'Input Scenarios'!E113</f>
        <v>1</v>
      </c>
      <c r="G48">
        <f>'Input Scenarios'!G113</f>
        <v>0.45</v>
      </c>
      <c r="H48">
        <f>'Input Scenarios'!H113</f>
        <v>0.2</v>
      </c>
      <c r="I48">
        <f>'Input Scenarios'!I113</f>
        <v>0.35</v>
      </c>
      <c r="J48">
        <f>'Input Scenarios'!J113</f>
        <v>0</v>
      </c>
      <c r="K48">
        <f>'Input Scenarios'!K113</f>
        <v>0</v>
      </c>
      <c r="L48">
        <f>'Input Scenarios'!L113</f>
        <v>1</v>
      </c>
      <c r="M48">
        <f>'Input Scenarios'!M113</f>
        <v>0</v>
      </c>
      <c r="N48">
        <f>'Input Scenarios'!N113</f>
        <v>1</v>
      </c>
      <c r="O48">
        <f>'Input Scenarios'!O113</f>
        <v>0</v>
      </c>
      <c r="P48">
        <f>'Input Scenarios'!P113</f>
        <v>0</v>
      </c>
      <c r="Q48">
        <f>'Input Scenarios'!Q113</f>
        <v>0</v>
      </c>
      <c r="R48" t="b">
        <f>'Input Scenarios'!R48</f>
        <v>1</v>
      </c>
      <c r="S48">
        <f>IF('Input Scenarios'!S113&lt;&gt;"", 'Input Scenarios'!S113, IF(R113, Constants!$B$38, 0))</f>
        <v>0.25</v>
      </c>
      <c r="T48" t="str">
        <f>IF('Input Scenarios'!T113&lt;&gt;"", 'Input Scenarios'!T113, "")</f>
        <v/>
      </c>
      <c r="U48">
        <f>IF('Input Scenarios'!U113&lt;&gt;"", 'Input Scenarios'!U113, IF(W48&lt;&gt;"", "", Constants!$B$39))</f>
        <v>4</v>
      </c>
      <c r="V48">
        <f>IF('Input Scenarios'!V113&lt;&gt;"", 'Input Scenarios'!V113, IF(W48&lt;&gt;"", "", Constants!$B$40))</f>
        <v>3.3</v>
      </c>
      <c r="W48" t="str">
        <f>IF('Input Scenarios'!W113&lt;&gt;"", 'Input Scenarios'!W113, "")</f>
        <v/>
      </c>
      <c r="X48" t="str">
        <f>'Input Scenarios'!X113</f>
        <v>Brown Swiss</v>
      </c>
      <c r="Y48" t="str">
        <f>'Input Scenarios'!Y113</f>
        <v>bullsLt1PreWeaned</v>
      </c>
      <c r="Z48">
        <f>'Input Scenarios'!Z113</f>
        <v>200</v>
      </c>
      <c r="AA48">
        <f>'Input Scenarios'!AA113</f>
        <v>124</v>
      </c>
      <c r="AB48">
        <f>'Input Scenarios'!AB113</f>
        <v>225</v>
      </c>
      <c r="AC48" t="str">
        <f>IF('Input Scenarios'!AC113&lt;&gt;"", 'Input Scenarios'!AC113, _xlfn.XLOOKUP(Y48, Constants!$B$13:$H$13, Constants!$B$15:$H$15, ""))</f>
        <v/>
      </c>
      <c r="AD48">
        <f>IF('Input Scenarios'!AD113&lt;&gt;"", 'Input Scenarios'!AD113, Constants!$B$45)</f>
        <v>0.75</v>
      </c>
      <c r="AE48">
        <f>IF('Input Scenarios'!AE113&lt;&gt;"", 'Input Scenarios'!AE113, Constants!$B$46)</f>
        <v>0.2</v>
      </c>
      <c r="AF48">
        <f t="shared" si="19"/>
        <v>0</v>
      </c>
      <c r="AG48">
        <f t="shared" si="19"/>
        <v>0</v>
      </c>
      <c r="AH48">
        <f t="shared" si="19"/>
        <v>0</v>
      </c>
      <c r="AI48">
        <f t="shared" si="19"/>
        <v>0</v>
      </c>
      <c r="AJ48">
        <f t="shared" si="20"/>
        <v>1</v>
      </c>
      <c r="AK48">
        <f t="shared" si="24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6"/>
        <v>0.5948500000000001</v>
      </c>
      <c r="AQ48">
        <f t="shared" si="7"/>
        <v>0</v>
      </c>
      <c r="AR48">
        <f>IF(Y48="milkingCows", Constants!$P$2, Constants!$P$3)</f>
        <v>1</v>
      </c>
      <c r="AS48" s="18" t="str">
        <f t="shared" si="8"/>
        <v/>
      </c>
      <c r="AT48">
        <f>Constants!$B$47</f>
        <v>0.08</v>
      </c>
      <c r="AU48" t="str">
        <f t="shared" si="14"/>
        <v/>
      </c>
      <c r="AV48">
        <f t="shared" si="9"/>
        <v>0</v>
      </c>
      <c r="AW48">
        <f t="shared" si="22"/>
        <v>0</v>
      </c>
      <c r="AX48">
        <f t="shared" si="22"/>
        <v>0</v>
      </c>
      <c r="AY48">
        <f t="shared" si="11"/>
        <v>0</v>
      </c>
      <c r="AZ48">
        <f t="shared" si="1"/>
        <v>1</v>
      </c>
      <c r="BA48">
        <f>_xlfn.XLOOKUP($B48, Constants!$E$27:$E$45,Constants!F$27:F$45)</f>
        <v>0.7</v>
      </c>
      <c r="BB48">
        <f>_xlfn.XLOOKUP($B48, Constants!$E$27:$E$45,Constants!G$27:G$45)</f>
        <v>1E-3</v>
      </c>
      <c r="BC48">
        <f>_xlfn.XLOOKUP($B48, Constants!$E$27:$E$45,Constants!H$27:H$45)</f>
        <v>0.13</v>
      </c>
      <c r="BD48">
        <f>_xlfn.XLOOKUP($B48, Constants!$E$27:$E$45,Constants!I$27:I$45)</f>
        <v>0.02</v>
      </c>
      <c r="BE48">
        <f>_xlfn.XLOOKUP($A48, Constants!$E$18:$L$18,Constants!$E$23:$L$23)</f>
        <v>0.01</v>
      </c>
      <c r="BF48">
        <f>Constants!$B$48</f>
        <v>0.24</v>
      </c>
      <c r="BG48">
        <f>Constants!$B$49</f>
        <v>0.6784</v>
      </c>
      <c r="BH48" t="str">
        <f t="shared" si="23"/>
        <v/>
      </c>
      <c r="BI48" t="str">
        <f t="shared" si="23"/>
        <v/>
      </c>
      <c r="BJ48" t="str">
        <f t="shared" si="23"/>
        <v/>
      </c>
      <c r="BK48" t="str">
        <f t="shared" si="23"/>
        <v/>
      </c>
      <c r="BL48" t="str">
        <f t="shared" si="23"/>
        <v/>
      </c>
      <c r="BM48">
        <f>IF(ISNUMBER(FIND("PreWeaned",Y48)),_xlfn.XLOOKUP(Y48,Constants!$J$2:$J$3,Constants!$K$2:$K$3), "")</f>
        <v>2.0400000000000001E-2</v>
      </c>
      <c r="BN48">
        <f t="shared" si="13"/>
        <v>505.92</v>
      </c>
    </row>
    <row r="49" spans="1:67" s="16" customFormat="1" x14ac:dyDescent="0.2">
      <c r="A49" s="16" t="str">
        <f>'Input Scenarios'!A114</f>
        <v>ACT</v>
      </c>
      <c r="B49" s="16">
        <f>'Input Scenarios'!B114</f>
        <v>12</v>
      </c>
      <c r="C49" s="16" t="str">
        <f>'Input Scenarios'!C114</f>
        <v>Non-irrigated crop (low rainfall)</v>
      </c>
      <c r="D49" s="16" t="str">
        <f>'Input Scenarios'!D114</f>
        <v>wet</v>
      </c>
      <c r="E49" s="16" t="b">
        <f>'Input Scenarios'!E114</f>
        <v>1</v>
      </c>
      <c r="G49" s="16">
        <f>'Input Scenarios'!G114</f>
        <v>0.45</v>
      </c>
      <c r="H49" s="16">
        <f>'Input Scenarios'!H114</f>
        <v>0.2</v>
      </c>
      <c r="I49" s="16">
        <f>'Input Scenarios'!I114</f>
        <v>0.35</v>
      </c>
      <c r="J49" s="16">
        <f>'Input Scenarios'!J114</f>
        <v>0</v>
      </c>
      <c r="K49" s="16">
        <f>'Input Scenarios'!K114</f>
        <v>0</v>
      </c>
      <c r="L49" s="16">
        <f>'Input Scenarios'!L114</f>
        <v>1</v>
      </c>
      <c r="M49" s="16">
        <f>'Input Scenarios'!M114</f>
        <v>0</v>
      </c>
      <c r="N49" s="16">
        <f>'Input Scenarios'!N114</f>
        <v>1</v>
      </c>
      <c r="O49" s="16">
        <f>'Input Scenarios'!O114</f>
        <v>0</v>
      </c>
      <c r="P49" s="16">
        <f>'Input Scenarios'!P114</f>
        <v>0</v>
      </c>
      <c r="Q49" s="16">
        <f>'Input Scenarios'!Q114</f>
        <v>0</v>
      </c>
      <c r="R49" s="16" t="b">
        <f>'Input Scenarios'!R49</f>
        <v>1</v>
      </c>
      <c r="S49" s="16">
        <f>IF('Input Scenarios'!S114&lt;&gt;"", 'Input Scenarios'!S114, IF(R114, Constants!$B$38, 0))</f>
        <v>0.25</v>
      </c>
      <c r="T49" s="16" t="str">
        <f>IF('Input Scenarios'!T114&lt;&gt;"", 'Input Scenarios'!T114, "")</f>
        <v/>
      </c>
      <c r="U49" s="16">
        <f>IF('Input Scenarios'!U114&lt;&gt;"", 'Input Scenarios'!U114, IF(W49&lt;&gt;"", "", Constants!$B$39))</f>
        <v>4</v>
      </c>
      <c r="V49" s="16">
        <f>IF('Input Scenarios'!V114&lt;&gt;"", 'Input Scenarios'!V114, IF(W49&lt;&gt;"", "", Constants!$B$40))</f>
        <v>3.3</v>
      </c>
      <c r="W49" s="16" t="str">
        <f>IF('Input Scenarios'!W114&lt;&gt;"", 'Input Scenarios'!W114, "")</f>
        <v/>
      </c>
      <c r="X49" s="16" t="str">
        <f>'Input Scenarios'!X114</f>
        <v>Brown Swiss</v>
      </c>
      <c r="Y49" s="16" t="str">
        <f>'Input Scenarios'!Y114</f>
        <v>bullsLt1Weaned</v>
      </c>
      <c r="Z49" s="16">
        <f>'Input Scenarios'!Z114</f>
        <v>200</v>
      </c>
      <c r="AA49" s="16">
        <f>'Input Scenarios'!AA114</f>
        <v>294</v>
      </c>
      <c r="AB49" s="16">
        <f>'Input Scenarios'!AB114</f>
        <v>225</v>
      </c>
      <c r="AC49" s="16">
        <f>IF('Input Scenarios'!AC114&lt;&gt;"", 'Input Scenarios'!AC114, _xlfn.XLOOKUP(Y49, Constants!$B$13:$H$13, Constants!$B$15:$H$15, ""))</f>
        <v>0.8</v>
      </c>
      <c r="AD49" s="16">
        <f>IF('Input Scenarios'!AD114&lt;&gt;"", 'Input Scenarios'!AD114, Constants!$B$45)</f>
        <v>0.75</v>
      </c>
      <c r="AE49" s="16">
        <f>IF('Input Scenarios'!AE114&lt;&gt;"", 'Input Scenarios'!AE114, Constants!$B$46)</f>
        <v>0.2</v>
      </c>
      <c r="AF49" s="16">
        <f t="shared" si="19"/>
        <v>0</v>
      </c>
      <c r="AG49" s="16">
        <f t="shared" si="19"/>
        <v>0</v>
      </c>
      <c r="AH49" s="16">
        <f t="shared" si="19"/>
        <v>0</v>
      </c>
      <c r="AI49" s="16">
        <f t="shared" si="19"/>
        <v>0</v>
      </c>
      <c r="AJ49" s="16">
        <f t="shared" si="20"/>
        <v>1</v>
      </c>
      <c r="AK49" s="16">
        <f t="shared" si="24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6"/>
        <v>0.5948500000000001</v>
      </c>
      <c r="AQ49" s="16">
        <f t="shared" si="7"/>
        <v>0</v>
      </c>
      <c r="AR49" s="16">
        <f>IF(Y49="milkingCows", Constants!$P$2, Constants!$P$3)</f>
        <v>1</v>
      </c>
      <c r="AS49" s="19">
        <f t="shared" si="8"/>
        <v>5.4143472656250013</v>
      </c>
      <c r="AT49" s="16">
        <f>Constants!$B$47</f>
        <v>0.08</v>
      </c>
      <c r="AU49" s="16">
        <f t="shared" si="14"/>
        <v>1.4445478504687506</v>
      </c>
      <c r="AV49" s="16">
        <f t="shared" si="9"/>
        <v>0</v>
      </c>
      <c r="AW49" s="16">
        <f t="shared" si="22"/>
        <v>0</v>
      </c>
      <c r="AX49" s="16">
        <f t="shared" si="22"/>
        <v>0</v>
      </c>
      <c r="AY49" s="16">
        <f t="shared" si="11"/>
        <v>0</v>
      </c>
      <c r="AZ49" s="16">
        <f t="shared" si="1"/>
        <v>1</v>
      </c>
      <c r="BA49" s="16">
        <f>_xlfn.XLOOKUP($B49, Constants!$E$27:$E$45,Constants!F$27:F$45)</f>
        <v>0.7</v>
      </c>
      <c r="BB49" s="16">
        <f>_xlfn.XLOOKUP($B49, Constants!$E$27:$E$45,Constants!G$27:G$45)</f>
        <v>1E-3</v>
      </c>
      <c r="BC49" s="16">
        <f>_xlfn.XLOOKUP($B49, Constants!$E$27:$E$45,Constants!H$27:H$45)</f>
        <v>0.13</v>
      </c>
      <c r="BD49" s="16">
        <f>_xlfn.XLOOKUP($B49, Constants!$E$27:$E$45,Constants!I$27:I$45)</f>
        <v>0.02</v>
      </c>
      <c r="BE49" s="16">
        <f>_xlfn.XLOOKUP($A49, Constants!$E$18:$L$18,Constants!$E$23:$L$23)</f>
        <v>0.01</v>
      </c>
      <c r="BF49" s="16">
        <f>Constants!$B$48</f>
        <v>0.24</v>
      </c>
      <c r="BG49" s="16">
        <f>Constants!$B$49</f>
        <v>0.6784</v>
      </c>
      <c r="BH49" s="16">
        <f t="shared" si="23"/>
        <v>0</v>
      </c>
      <c r="BI49" s="16">
        <f t="shared" si="23"/>
        <v>0</v>
      </c>
      <c r="BJ49" s="16">
        <f t="shared" si="23"/>
        <v>0</v>
      </c>
      <c r="BK49" s="16">
        <f t="shared" si="23"/>
        <v>0</v>
      </c>
      <c r="BL49" s="16">
        <f t="shared" si="23"/>
        <v>2.351955028219201E-3</v>
      </c>
      <c r="BM49" s="16" t="str">
        <f>IF(ISNUMBER(FIND("PreWeaned",Y49)),_xlfn.XLOOKUP(Y49,Constants!$J$2:$J$3,Constants!$K$2:$K$3), "")</f>
        <v/>
      </c>
      <c r="BN49" s="16">
        <f t="shared" si="13"/>
        <v>138.29495565928903</v>
      </c>
    </row>
    <row r="50" spans="1:67" x14ac:dyDescent="0.2">
      <c r="A50" t="str">
        <f>'Input Scenarios'!A115</f>
        <v>WA</v>
      </c>
      <c r="B50">
        <f>'Input Scenarios'!B115</f>
        <v>24</v>
      </c>
      <c r="C50" t="str">
        <f>'Input Scenarios'!C115</f>
        <v>Irrigated pasture</v>
      </c>
      <c r="D50" t="str">
        <f>'Input Scenarios'!D115</f>
        <v>dry</v>
      </c>
      <c r="E50" t="b">
        <f>'Input Scenarios'!E115</f>
        <v>0</v>
      </c>
      <c r="G50">
        <f>'Input Scenarios'!G115</f>
        <v>0.82</v>
      </c>
      <c r="H50">
        <f>'Input Scenarios'!H115</f>
        <v>0.08</v>
      </c>
      <c r="I50">
        <f>'Input Scenarios'!I115</f>
        <v>0.1</v>
      </c>
      <c r="J50">
        <f>'Input Scenarios'!J115</f>
        <v>0</v>
      </c>
      <c r="K50">
        <f>'Input Scenarios'!K115</f>
        <v>0.5</v>
      </c>
      <c r="L50">
        <f>'Input Scenarios'!L115</f>
        <v>0.5</v>
      </c>
      <c r="M50">
        <f>'Input Scenarios'!M115</f>
        <v>0</v>
      </c>
      <c r="N50">
        <f>'Input Scenarios'!N115</f>
        <v>0.5</v>
      </c>
      <c r="O50">
        <f>'Input Scenarios'!O115</f>
        <v>0</v>
      </c>
      <c r="P50">
        <f>'Input Scenarios'!P115</f>
        <v>0</v>
      </c>
      <c r="Q50">
        <f>'Input Scenarios'!Q115</f>
        <v>0.5</v>
      </c>
      <c r="R50" t="b">
        <f>'Input Scenarios'!R50</f>
        <v>0</v>
      </c>
      <c r="S50">
        <f>IF('Input Scenarios'!S115&lt;&gt;"", 'Input Scenarios'!S115, IF(R115, Constants!$B$38, 0))</f>
        <v>0</v>
      </c>
      <c r="T50" s="20">
        <f>IF('Input Scenarios'!T115&lt;&gt;"", 'Input Scenarios'!T115, "")</f>
        <v>2.5</v>
      </c>
      <c r="U50" s="20">
        <f>IF('Input Scenarios'!U115&lt;&gt;"", 'Input Scenarios'!U115, IF(W50&lt;&gt;"", "", Constants!$B$39))</f>
        <v>3.3</v>
      </c>
      <c r="V50" s="20">
        <f>IF('Input Scenarios'!V115&lt;&gt;"", 'Input Scenarios'!V115, IF(W50&lt;&gt;"", "", Constants!$B$40))</f>
        <v>4.4000000000000004</v>
      </c>
      <c r="W50" s="20" t="str">
        <f>IF('Input Scenarios'!W115&lt;&gt;"", 'Input Scenarios'!W115, "")</f>
        <v/>
      </c>
      <c r="X50" s="20" t="str">
        <f>'Input Scenarios'!X115</f>
        <v>Illawarra/Aussie Red</v>
      </c>
      <c r="Y50" s="20" t="str">
        <f>'Input Scenarios'!Y115</f>
        <v>milkingCows</v>
      </c>
      <c r="Z50" s="20">
        <f>'Input Scenarios'!Z115</f>
        <v>200</v>
      </c>
      <c r="AA50" s="20">
        <f>'Input Scenarios'!AA115</f>
        <v>365</v>
      </c>
      <c r="AB50" s="20">
        <f>'Input Scenarios'!AB115</f>
        <v>540</v>
      </c>
      <c r="AC50">
        <f>IF('Input Scenarios'!AC115&lt;&gt;"", 'Input Scenarios'!AC115, _xlfn.XLOOKUP(Y50, Constants!$B$13:$H$13, Constants!$B$15:$H$15, ""))</f>
        <v>1.6E-2</v>
      </c>
      <c r="AD50">
        <f>IF('Input Scenarios'!AD115&lt;&gt;"", 'Input Scenarios'!AD115, Constants!$B$45)</f>
        <v>0.75</v>
      </c>
      <c r="AE50">
        <f>IF('Input Scenarios'!AE115&lt;&gt;"", 'Input Scenarios'!AE115, Constants!$B$46)</f>
        <v>0.2</v>
      </c>
      <c r="AF50" s="20">
        <f t="shared" si="19"/>
        <v>0.05</v>
      </c>
      <c r="AG50" s="20">
        <f t="shared" si="19"/>
        <v>0.04</v>
      </c>
      <c r="AH50" s="20">
        <f t="shared" si="19"/>
        <v>0.04</v>
      </c>
      <c r="AI50" s="20">
        <f t="shared" si="19"/>
        <v>0.05</v>
      </c>
      <c r="AJ50" s="20">
        <f t="shared" si="20"/>
        <v>0.82</v>
      </c>
      <c r="AK50">
        <f t="shared" si="24"/>
        <v>32.467532467532465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6"/>
        <v>0.5948500000000001</v>
      </c>
      <c r="AQ50">
        <f t="shared" si="7"/>
        <v>15.551740525336351</v>
      </c>
      <c r="AR50">
        <f>IF(Y50="milkingCows", Constants!$P$2, Constants!$P$3)</f>
        <v>1.1000000000000001</v>
      </c>
      <c r="AS50" s="18">
        <f t="shared" si="8"/>
        <v>24.697643126776352</v>
      </c>
      <c r="AT50">
        <f>Constants!$B$47</f>
        <v>0.08</v>
      </c>
      <c r="AU50">
        <f t="shared" si="14"/>
        <v>6.589331186223931</v>
      </c>
      <c r="AV50">
        <f t="shared" si="9"/>
        <v>0.05</v>
      </c>
      <c r="AW50">
        <f t="shared" si="22"/>
        <v>0.04</v>
      </c>
      <c r="AX50">
        <f t="shared" si="22"/>
        <v>0.04</v>
      </c>
      <c r="AY50">
        <f t="shared" si="11"/>
        <v>0.05</v>
      </c>
      <c r="AZ50">
        <f t="shared" si="1"/>
        <v>0.82</v>
      </c>
      <c r="BA50">
        <f>_xlfn.XLOOKUP($B50, Constants!$E$27:$E$45,Constants!F$27:F$45)</f>
        <v>0.79</v>
      </c>
      <c r="BB50">
        <f>_xlfn.XLOOKUP($B50, Constants!$E$27:$E$45,Constants!G$27:G$45)</f>
        <v>5.0000000000000001E-3</v>
      </c>
      <c r="BC50">
        <f>_xlfn.XLOOKUP($B50, Constants!$E$27:$E$45,Constants!H$27:H$45)</f>
        <v>0.37</v>
      </c>
      <c r="BD50">
        <f>_xlfn.XLOOKUP($B50, Constants!$E$27:$E$45,Constants!I$27:I$45)</f>
        <v>0.02</v>
      </c>
      <c r="BE50">
        <f>_xlfn.XLOOKUP($A50, Constants!$E$18:$L$18,Constants!$E$23:$L$23)</f>
        <v>0.01</v>
      </c>
      <c r="BF50">
        <f>Constants!$B$48</f>
        <v>0.24</v>
      </c>
      <c r="BG50">
        <f>Constants!$B$49</f>
        <v>0.6784</v>
      </c>
      <c r="BH50">
        <f t="shared" si="23"/>
        <v>4.2377517583441306E-2</v>
      </c>
      <c r="BI50">
        <f t="shared" si="23"/>
        <v>2.1456970928324711E-4</v>
      </c>
      <c r="BJ50">
        <f t="shared" si="23"/>
        <v>1.5878158486960288E-2</v>
      </c>
      <c r="BK50">
        <f t="shared" si="23"/>
        <v>1.0728485464162356E-3</v>
      </c>
      <c r="BL50">
        <f t="shared" si="23"/>
        <v>8.7973580806131307E-3</v>
      </c>
      <c r="BM50" t="str">
        <f>IF(ISNUMBER(FIND("PreWeaned",Y50)),_xlfn.XLOOKUP(Y50,Constants!$J$2:$J$3,Constants!$K$2:$K$3), "")</f>
        <v/>
      </c>
      <c r="BN50">
        <f t="shared" si="13"/>
        <v>4988.8530256901367</v>
      </c>
      <c r="BO50">
        <f>SUM(BN50:BN56)/1000</f>
        <v>6.5483175084004905</v>
      </c>
    </row>
    <row r="51" spans="1:67" x14ac:dyDescent="0.2">
      <c r="A51" t="str">
        <f>'Input Scenarios'!A116</f>
        <v>WA</v>
      </c>
      <c r="B51">
        <f>'Input Scenarios'!B116</f>
        <v>24</v>
      </c>
      <c r="C51" t="str">
        <f>'Input Scenarios'!C116</f>
        <v>Irrigated pasture</v>
      </c>
      <c r="D51" t="str">
        <f>'Input Scenarios'!D116</f>
        <v>dry</v>
      </c>
      <c r="E51" t="b">
        <f>'Input Scenarios'!E116</f>
        <v>0</v>
      </c>
      <c r="G51">
        <f>'Input Scenarios'!G116</f>
        <v>0.82</v>
      </c>
      <c r="H51">
        <f>'Input Scenarios'!H116</f>
        <v>0.08</v>
      </c>
      <c r="I51">
        <f>'Input Scenarios'!I116</f>
        <v>0.1</v>
      </c>
      <c r="J51">
        <f>'Input Scenarios'!J116</f>
        <v>0</v>
      </c>
      <c r="K51">
        <f>'Input Scenarios'!K116</f>
        <v>0.5</v>
      </c>
      <c r="L51">
        <f>'Input Scenarios'!L116</f>
        <v>0.5</v>
      </c>
      <c r="M51">
        <f>'Input Scenarios'!M116</f>
        <v>0</v>
      </c>
      <c r="N51">
        <f>'Input Scenarios'!N116</f>
        <v>0.5</v>
      </c>
      <c r="O51">
        <f>'Input Scenarios'!O116</f>
        <v>0</v>
      </c>
      <c r="P51">
        <f>'Input Scenarios'!P116</f>
        <v>0</v>
      </c>
      <c r="Q51">
        <f>'Input Scenarios'!Q116</f>
        <v>0.5</v>
      </c>
      <c r="R51" t="b">
        <f>'Input Scenarios'!R51</f>
        <v>0</v>
      </c>
      <c r="S51">
        <f>IF('Input Scenarios'!S116&lt;&gt;"", 'Input Scenarios'!S116, IF(R116, Constants!$B$38, 0))</f>
        <v>0</v>
      </c>
      <c r="T51" t="str">
        <f>IF('Input Scenarios'!T116&lt;&gt;"", 'Input Scenarios'!T116, "")</f>
        <v/>
      </c>
      <c r="U51">
        <f>IF('Input Scenarios'!U116&lt;&gt;"", 'Input Scenarios'!U116, IF(W51&lt;&gt;"", "", Constants!$B$39))</f>
        <v>4</v>
      </c>
      <c r="V51">
        <f>IF('Input Scenarios'!V116&lt;&gt;"", 'Input Scenarios'!V116, IF(W51&lt;&gt;"", "", Constants!$B$40))</f>
        <v>3.3</v>
      </c>
      <c r="W51" t="str">
        <f>IF('Input Scenarios'!W116&lt;&gt;"", 'Input Scenarios'!W116, "")</f>
        <v/>
      </c>
      <c r="X51" t="str">
        <f>'Input Scenarios'!X116</f>
        <v>Illawarra/Aussie Red</v>
      </c>
      <c r="Y51" t="str">
        <f>'Input Scenarios'!Y116</f>
        <v>heifersGt1</v>
      </c>
      <c r="Z51">
        <f>'Input Scenarios'!Z116</f>
        <v>200</v>
      </c>
      <c r="AA51">
        <f>'Input Scenarios'!AA116</f>
        <v>265</v>
      </c>
      <c r="AB51">
        <f>'Input Scenarios'!AB116</f>
        <v>375</v>
      </c>
      <c r="AC51">
        <f>IF('Input Scenarios'!AC116&lt;&gt;"", 'Input Scenarios'!AC116, _xlfn.XLOOKUP(Y51, Constants!$B$13:$H$13, Constants!$B$15:$H$15, ""))</f>
        <v>0.6</v>
      </c>
      <c r="AD51">
        <f>IF('Input Scenarios'!AD116&lt;&gt;"", 'Input Scenarios'!AD116, Constants!$B$45)</f>
        <v>0.75</v>
      </c>
      <c r="AE51">
        <f>IF('Input Scenarios'!AE116&lt;&gt;"", 'Input Scenarios'!AE116, Constants!$B$46)</f>
        <v>0.2</v>
      </c>
      <c r="AF51">
        <f t="shared" si="19"/>
        <v>0</v>
      </c>
      <c r="AG51">
        <f t="shared" si="19"/>
        <v>0</v>
      </c>
      <c r="AH51">
        <f t="shared" si="19"/>
        <v>0</v>
      </c>
      <c r="AI51">
        <f t="shared" si="19"/>
        <v>0</v>
      </c>
      <c r="AJ51">
        <f t="shared" si="20"/>
        <v>1</v>
      </c>
      <c r="AK51">
        <f t="shared" si="24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6"/>
        <v>0.5948500000000001</v>
      </c>
      <c r="AQ51">
        <f t="shared" si="7"/>
        <v>0</v>
      </c>
      <c r="AR51">
        <f>IF(Y51="milkingCows", Constants!$P$2, Constants!$P$3)</f>
        <v>1</v>
      </c>
      <c r="AS51" s="18">
        <f t="shared" si="8"/>
        <v>7.3488432656250007</v>
      </c>
      <c r="AT51">
        <f>Constants!$B$47</f>
        <v>0.08</v>
      </c>
      <c r="AU51">
        <f t="shared" si="14"/>
        <v>1.9606713832687501</v>
      </c>
      <c r="AV51">
        <f t="shared" si="9"/>
        <v>0</v>
      </c>
      <c r="AW51">
        <f t="shared" si="22"/>
        <v>0</v>
      </c>
      <c r="AX51">
        <f t="shared" si="22"/>
        <v>0</v>
      </c>
      <c r="AY51">
        <f t="shared" si="11"/>
        <v>0</v>
      </c>
      <c r="AZ51">
        <f t="shared" si="1"/>
        <v>1</v>
      </c>
      <c r="BA51">
        <f>_xlfn.XLOOKUP($B51, Constants!$E$27:$E$45,Constants!F$27:F$45)</f>
        <v>0.79</v>
      </c>
      <c r="BB51">
        <f>_xlfn.XLOOKUP($B51, Constants!$E$27:$E$45,Constants!G$27:G$45)</f>
        <v>5.0000000000000001E-3</v>
      </c>
      <c r="BC51">
        <f>_xlfn.XLOOKUP($B51, Constants!$E$27:$E$45,Constants!H$27:H$45)</f>
        <v>0.37</v>
      </c>
      <c r="BD51">
        <f>_xlfn.XLOOKUP($B51, Constants!$E$27:$E$45,Constants!I$27:I$45)</f>
        <v>0.02</v>
      </c>
      <c r="BE51">
        <f>_xlfn.XLOOKUP($A51, Constants!$E$18:$L$18,Constants!$E$23:$L$23)</f>
        <v>0.01</v>
      </c>
      <c r="BF51">
        <f>Constants!$B$48</f>
        <v>0.24</v>
      </c>
      <c r="BG51">
        <f>Constants!$B$49</f>
        <v>0.6784</v>
      </c>
      <c r="BH51">
        <f t="shared" si="23"/>
        <v>0</v>
      </c>
      <c r="BI51">
        <f t="shared" si="23"/>
        <v>0</v>
      </c>
      <c r="BJ51">
        <f t="shared" si="23"/>
        <v>0</v>
      </c>
      <c r="BK51">
        <f t="shared" si="23"/>
        <v>0</v>
      </c>
      <c r="BL51">
        <f t="shared" si="23"/>
        <v>3.1922867193828479E-3</v>
      </c>
      <c r="BM51" t="str">
        <f>IF(ISNUMBER(FIND("PreWeaned",Y51)),_xlfn.XLOOKUP(Y51,Constants!$J$2:$J$3,Constants!$K$2:$K$3), "")</f>
        <v/>
      </c>
      <c r="BN51">
        <f t="shared" si="13"/>
        <v>169.19119612729094</v>
      </c>
    </row>
    <row r="52" spans="1:67" x14ac:dyDescent="0.2">
      <c r="A52" t="str">
        <f>'Input Scenarios'!A117</f>
        <v>WA</v>
      </c>
      <c r="B52">
        <f>'Input Scenarios'!B117</f>
        <v>24</v>
      </c>
      <c r="C52" t="str">
        <f>'Input Scenarios'!C117</f>
        <v>Irrigated pasture</v>
      </c>
      <c r="D52" t="str">
        <f>'Input Scenarios'!D117</f>
        <v>dry</v>
      </c>
      <c r="E52" t="b">
        <f>'Input Scenarios'!E117</f>
        <v>0</v>
      </c>
      <c r="G52">
        <f>'Input Scenarios'!G117</f>
        <v>0.82</v>
      </c>
      <c r="H52">
        <f>'Input Scenarios'!H117</f>
        <v>0.08</v>
      </c>
      <c r="I52">
        <f>'Input Scenarios'!I117</f>
        <v>0.1</v>
      </c>
      <c r="J52">
        <f>'Input Scenarios'!J117</f>
        <v>0</v>
      </c>
      <c r="K52">
        <f>'Input Scenarios'!K117</f>
        <v>0.5</v>
      </c>
      <c r="L52">
        <f>'Input Scenarios'!L117</f>
        <v>0.5</v>
      </c>
      <c r="M52">
        <f>'Input Scenarios'!M117</f>
        <v>0</v>
      </c>
      <c r="N52">
        <f>'Input Scenarios'!N117</f>
        <v>0.5</v>
      </c>
      <c r="O52">
        <f>'Input Scenarios'!O117</f>
        <v>0</v>
      </c>
      <c r="P52">
        <f>'Input Scenarios'!P117</f>
        <v>0</v>
      </c>
      <c r="Q52">
        <f>'Input Scenarios'!Q117</f>
        <v>0.5</v>
      </c>
      <c r="R52" t="b">
        <f>'Input Scenarios'!R52</f>
        <v>0</v>
      </c>
      <c r="S52">
        <f>IF('Input Scenarios'!S117&lt;&gt;"", 'Input Scenarios'!S117, IF(R117, Constants!$B$38, 0))</f>
        <v>0</v>
      </c>
      <c r="T52" t="str">
        <f>IF('Input Scenarios'!T117&lt;&gt;"", 'Input Scenarios'!T117, "")</f>
        <v/>
      </c>
      <c r="U52">
        <f>IF('Input Scenarios'!U117&lt;&gt;"", 'Input Scenarios'!U117, IF(W52&lt;&gt;"", "", Constants!$B$39))</f>
        <v>4</v>
      </c>
      <c r="V52">
        <f>IF('Input Scenarios'!V117&lt;&gt;"", 'Input Scenarios'!V117, IF(W52&lt;&gt;"", "", Constants!$B$40))</f>
        <v>3.3</v>
      </c>
      <c r="W52" t="str">
        <f>IF('Input Scenarios'!W117&lt;&gt;"", 'Input Scenarios'!W117, "")</f>
        <v/>
      </c>
      <c r="X52" t="str">
        <f>'Input Scenarios'!X117</f>
        <v>Illawarra/Aussie Red</v>
      </c>
      <c r="Y52" t="str">
        <f>'Input Scenarios'!Y117</f>
        <v>heifersLt1PreWeaned</v>
      </c>
      <c r="Z52">
        <f>'Input Scenarios'!Z117</f>
        <v>200</v>
      </c>
      <c r="AA52">
        <f>'Input Scenarios'!AA117</f>
        <v>100</v>
      </c>
      <c r="AB52">
        <f>'Input Scenarios'!AB117</f>
        <v>150</v>
      </c>
      <c r="AC52" t="str">
        <f>IF('Input Scenarios'!AC117&lt;&gt;"", 'Input Scenarios'!AC117, _xlfn.XLOOKUP(Y52, Constants!$B$13:$H$13, Constants!$B$15:$H$15, ""))</f>
        <v/>
      </c>
      <c r="AD52">
        <f>IF('Input Scenarios'!AD117&lt;&gt;"", 'Input Scenarios'!AD117, Constants!$B$45)</f>
        <v>0.75</v>
      </c>
      <c r="AE52">
        <f>IF('Input Scenarios'!AE117&lt;&gt;"", 'Input Scenarios'!AE117, Constants!$B$46)</f>
        <v>0.2</v>
      </c>
      <c r="AF52">
        <f t="shared" si="19"/>
        <v>0</v>
      </c>
      <c r="AG52">
        <f t="shared" si="19"/>
        <v>0</v>
      </c>
      <c r="AH52">
        <f t="shared" si="19"/>
        <v>0</v>
      </c>
      <c r="AI52">
        <f t="shared" si="19"/>
        <v>0</v>
      </c>
      <c r="AJ52">
        <f t="shared" si="20"/>
        <v>1</v>
      </c>
      <c r="AK52">
        <f t="shared" si="24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6"/>
        <v>0.5948500000000001</v>
      </c>
      <c r="AQ52">
        <f t="shared" si="7"/>
        <v>0</v>
      </c>
      <c r="AR52">
        <f>IF(Y52="milkingCows", Constants!$P$2, Constants!$P$3)</f>
        <v>1</v>
      </c>
      <c r="AS52" s="18" t="str">
        <f t="shared" si="8"/>
        <v/>
      </c>
      <c r="AT52">
        <f>Constants!$B$47</f>
        <v>0.08</v>
      </c>
      <c r="AU52" t="str">
        <f t="shared" si="14"/>
        <v/>
      </c>
      <c r="AV52">
        <f t="shared" si="9"/>
        <v>0</v>
      </c>
      <c r="AW52">
        <f t="shared" si="22"/>
        <v>0</v>
      </c>
      <c r="AX52">
        <f t="shared" si="22"/>
        <v>0</v>
      </c>
      <c r="AY52">
        <f t="shared" si="11"/>
        <v>0</v>
      </c>
      <c r="AZ52">
        <f t="shared" si="1"/>
        <v>1</v>
      </c>
      <c r="BA52">
        <f>_xlfn.XLOOKUP($B52, Constants!$E$27:$E$45,Constants!F$27:F$45)</f>
        <v>0.79</v>
      </c>
      <c r="BB52">
        <f>_xlfn.XLOOKUP($B52, Constants!$E$27:$E$45,Constants!G$27:G$45)</f>
        <v>5.0000000000000001E-3</v>
      </c>
      <c r="BC52">
        <f>_xlfn.XLOOKUP($B52, Constants!$E$27:$E$45,Constants!H$27:H$45)</f>
        <v>0.37</v>
      </c>
      <c r="BD52">
        <f>_xlfn.XLOOKUP($B52, Constants!$E$27:$E$45,Constants!I$27:I$45)</f>
        <v>0.02</v>
      </c>
      <c r="BE52">
        <f>_xlfn.XLOOKUP($A52, Constants!$E$18:$L$18,Constants!$E$23:$L$23)</f>
        <v>0.01</v>
      </c>
      <c r="BF52">
        <f>Constants!$B$48</f>
        <v>0.24</v>
      </c>
      <c r="BG52">
        <f>Constants!$B$49</f>
        <v>0.6784</v>
      </c>
      <c r="BH52" t="str">
        <f t="shared" si="23"/>
        <v/>
      </c>
      <c r="BI52" t="str">
        <f t="shared" si="23"/>
        <v/>
      </c>
      <c r="BJ52" t="str">
        <f t="shared" si="23"/>
        <v/>
      </c>
      <c r="BK52" t="str">
        <f t="shared" si="23"/>
        <v/>
      </c>
      <c r="BL52" t="str">
        <f t="shared" si="23"/>
        <v/>
      </c>
      <c r="BM52">
        <f>IF(ISNUMBER(FIND("PreWeaned",Y52)),_xlfn.XLOOKUP(Y52,Constants!$J$2:$J$3,Constants!$K$2:$K$3), "")</f>
        <v>1.7600000000000001E-2</v>
      </c>
      <c r="BN52">
        <f t="shared" si="13"/>
        <v>352</v>
      </c>
    </row>
    <row r="53" spans="1:67" x14ac:dyDescent="0.2">
      <c r="A53" t="str">
        <f>'Input Scenarios'!A118</f>
        <v>WA</v>
      </c>
      <c r="B53">
        <f>'Input Scenarios'!B118</f>
        <v>24</v>
      </c>
      <c r="C53" t="str">
        <f>'Input Scenarios'!C118</f>
        <v>Irrigated pasture</v>
      </c>
      <c r="D53" t="str">
        <f>'Input Scenarios'!D118</f>
        <v>dry</v>
      </c>
      <c r="E53" t="b">
        <f>'Input Scenarios'!E118</f>
        <v>0</v>
      </c>
      <c r="G53">
        <f>'Input Scenarios'!G118</f>
        <v>0.82</v>
      </c>
      <c r="H53">
        <f>'Input Scenarios'!H118</f>
        <v>0.08</v>
      </c>
      <c r="I53">
        <f>'Input Scenarios'!I118</f>
        <v>0.1</v>
      </c>
      <c r="J53">
        <f>'Input Scenarios'!J118</f>
        <v>0</v>
      </c>
      <c r="K53">
        <f>'Input Scenarios'!K118</f>
        <v>0.5</v>
      </c>
      <c r="L53">
        <f>'Input Scenarios'!L118</f>
        <v>0.5</v>
      </c>
      <c r="M53">
        <f>'Input Scenarios'!M118</f>
        <v>0</v>
      </c>
      <c r="N53">
        <f>'Input Scenarios'!N118</f>
        <v>0.5</v>
      </c>
      <c r="O53">
        <f>'Input Scenarios'!O118</f>
        <v>0</v>
      </c>
      <c r="P53">
        <f>'Input Scenarios'!P118</f>
        <v>0</v>
      </c>
      <c r="Q53">
        <f>'Input Scenarios'!Q118</f>
        <v>0.5</v>
      </c>
      <c r="R53" t="b">
        <f>'Input Scenarios'!R53</f>
        <v>0</v>
      </c>
      <c r="S53">
        <f>IF('Input Scenarios'!S118&lt;&gt;"", 'Input Scenarios'!S118, IF(R118, Constants!$B$38, 0))</f>
        <v>0</v>
      </c>
      <c r="T53" t="str">
        <f>IF('Input Scenarios'!T118&lt;&gt;"", 'Input Scenarios'!T118, "")</f>
        <v/>
      </c>
      <c r="U53">
        <f>IF('Input Scenarios'!U118&lt;&gt;"", 'Input Scenarios'!U118, IF(W53&lt;&gt;"", "", Constants!$B$39))</f>
        <v>4</v>
      </c>
      <c r="V53">
        <f>IF('Input Scenarios'!V118&lt;&gt;"", 'Input Scenarios'!V118, IF(W53&lt;&gt;"", "", Constants!$B$40))</f>
        <v>3.3</v>
      </c>
      <c r="W53" t="str">
        <f>IF('Input Scenarios'!W118&lt;&gt;"", 'Input Scenarios'!W118, "")</f>
        <v/>
      </c>
      <c r="X53" t="str">
        <f>'Input Scenarios'!X118</f>
        <v>Illawarra/Aussie Red</v>
      </c>
      <c r="Y53" t="str">
        <f>'Input Scenarios'!Y118</f>
        <v>heifersLt1Weaned</v>
      </c>
      <c r="Z53">
        <f>'Input Scenarios'!Z118</f>
        <v>200</v>
      </c>
      <c r="AA53">
        <f>'Input Scenarios'!AA118</f>
        <v>360</v>
      </c>
      <c r="AB53">
        <f>'Input Scenarios'!AB118</f>
        <v>150</v>
      </c>
      <c r="AC53">
        <f>IF('Input Scenarios'!AC118&lt;&gt;"", 'Input Scenarios'!AC118, _xlfn.XLOOKUP(Y53, Constants!$B$13:$H$13, Constants!$B$15:$H$15, ""))</f>
        <v>0.56999999999999995</v>
      </c>
      <c r="AD53">
        <f>IF('Input Scenarios'!AD118&lt;&gt;"", 'Input Scenarios'!AD118, Constants!$B$45)</f>
        <v>0.75</v>
      </c>
      <c r="AE53">
        <f>IF('Input Scenarios'!AE118&lt;&gt;"", 'Input Scenarios'!AE118, Constants!$B$46)</f>
        <v>0.2</v>
      </c>
      <c r="AF53">
        <f t="shared" si="19"/>
        <v>0</v>
      </c>
      <c r="AG53">
        <f t="shared" si="19"/>
        <v>0</v>
      </c>
      <c r="AH53">
        <f t="shared" si="19"/>
        <v>0</v>
      </c>
      <c r="AI53">
        <f t="shared" si="19"/>
        <v>0</v>
      </c>
      <c r="AJ53">
        <f t="shared" si="20"/>
        <v>1</v>
      </c>
      <c r="AK53">
        <f t="shared" si="24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6"/>
        <v>0.5948500000000001</v>
      </c>
      <c r="AQ53">
        <f t="shared" si="7"/>
        <v>0</v>
      </c>
      <c r="AR53">
        <f>IF(Y53="milkingCows", Constants!$P$2, Constants!$P$3)</f>
        <v>1</v>
      </c>
      <c r="AS53" s="18">
        <f t="shared" si="8"/>
        <v>3.9483677025000001</v>
      </c>
      <c r="AT53">
        <f>Constants!$B$47</f>
        <v>0.08</v>
      </c>
      <c r="AU53">
        <f t="shared" si="14"/>
        <v>1.0534245030270002</v>
      </c>
      <c r="AV53">
        <f t="shared" si="9"/>
        <v>0</v>
      </c>
      <c r="AW53">
        <f t="shared" si="22"/>
        <v>0</v>
      </c>
      <c r="AX53">
        <f t="shared" si="22"/>
        <v>0</v>
      </c>
      <c r="AY53">
        <f t="shared" si="11"/>
        <v>0</v>
      </c>
      <c r="AZ53">
        <f t="shared" si="1"/>
        <v>1</v>
      </c>
      <c r="BA53">
        <f>_xlfn.XLOOKUP($B53, Constants!$E$27:$E$45,Constants!F$27:F$45)</f>
        <v>0.79</v>
      </c>
      <c r="BB53">
        <f>_xlfn.XLOOKUP($B53, Constants!$E$27:$E$45,Constants!G$27:G$45)</f>
        <v>5.0000000000000001E-3</v>
      </c>
      <c r="BC53">
        <f>_xlfn.XLOOKUP($B53, Constants!$E$27:$E$45,Constants!H$27:H$45)</f>
        <v>0.37</v>
      </c>
      <c r="BD53">
        <f>_xlfn.XLOOKUP($B53, Constants!$E$27:$E$45,Constants!I$27:I$45)</f>
        <v>0.02</v>
      </c>
      <c r="BE53">
        <f>_xlfn.XLOOKUP($A53, Constants!$E$18:$L$18,Constants!$E$23:$L$23)</f>
        <v>0.01</v>
      </c>
      <c r="BF53">
        <f>Constants!$B$48</f>
        <v>0.24</v>
      </c>
      <c r="BG53">
        <f>Constants!$B$49</f>
        <v>0.6784</v>
      </c>
      <c r="BH53">
        <f t="shared" si="23"/>
        <v>0</v>
      </c>
      <c r="BI53">
        <f t="shared" si="23"/>
        <v>0</v>
      </c>
      <c r="BJ53">
        <f t="shared" si="23"/>
        <v>0</v>
      </c>
      <c r="BK53">
        <f t="shared" si="23"/>
        <v>0</v>
      </c>
      <c r="BL53">
        <f t="shared" si="23"/>
        <v>1.7151436388484406E-3</v>
      </c>
      <c r="BM53" t="str">
        <f>IF(ISNUMBER(FIND("PreWeaned",Y53)),_xlfn.XLOOKUP(Y53,Constants!$J$2:$J$3,Constants!$K$2:$K$3), "")</f>
        <v/>
      </c>
      <c r="BN53">
        <f t="shared" si="13"/>
        <v>123.49034199708773</v>
      </c>
    </row>
    <row r="54" spans="1:67" x14ac:dyDescent="0.2">
      <c r="A54" t="str">
        <f>'Input Scenarios'!A119</f>
        <v>WA</v>
      </c>
      <c r="B54">
        <f>'Input Scenarios'!B119</f>
        <v>24</v>
      </c>
      <c r="C54" t="str">
        <f>'Input Scenarios'!C119</f>
        <v>Irrigated pasture</v>
      </c>
      <c r="D54" t="str">
        <f>'Input Scenarios'!D119</f>
        <v>dry</v>
      </c>
      <c r="E54" t="b">
        <f>'Input Scenarios'!E119</f>
        <v>0</v>
      </c>
      <c r="G54">
        <f>'Input Scenarios'!G119</f>
        <v>0.82</v>
      </c>
      <c r="H54">
        <f>'Input Scenarios'!H119</f>
        <v>0.08</v>
      </c>
      <c r="I54">
        <f>'Input Scenarios'!I119</f>
        <v>0.1</v>
      </c>
      <c r="J54">
        <f>'Input Scenarios'!J119</f>
        <v>0</v>
      </c>
      <c r="K54">
        <f>'Input Scenarios'!K119</f>
        <v>0.5</v>
      </c>
      <c r="L54">
        <f>'Input Scenarios'!L119</f>
        <v>0.5</v>
      </c>
      <c r="M54">
        <f>'Input Scenarios'!M119</f>
        <v>0</v>
      </c>
      <c r="N54">
        <f>'Input Scenarios'!N119</f>
        <v>0.5</v>
      </c>
      <c r="O54">
        <f>'Input Scenarios'!O119</f>
        <v>0</v>
      </c>
      <c r="P54">
        <f>'Input Scenarios'!P119</f>
        <v>0</v>
      </c>
      <c r="Q54">
        <f>'Input Scenarios'!Q119</f>
        <v>0.5</v>
      </c>
      <c r="R54" t="b">
        <f>'Input Scenarios'!R54</f>
        <v>0</v>
      </c>
      <c r="S54">
        <f>IF('Input Scenarios'!S119&lt;&gt;"", 'Input Scenarios'!S119, IF(R119, Constants!$B$38, 0))</f>
        <v>0</v>
      </c>
      <c r="T54" t="str">
        <f>IF('Input Scenarios'!T119&lt;&gt;"", 'Input Scenarios'!T119, "")</f>
        <v/>
      </c>
      <c r="U54">
        <f>IF('Input Scenarios'!U119&lt;&gt;"", 'Input Scenarios'!U119, IF(W54&lt;&gt;"", "", Constants!$B$39))</f>
        <v>4</v>
      </c>
      <c r="V54">
        <f>IF('Input Scenarios'!V119&lt;&gt;"", 'Input Scenarios'!V119, IF(W54&lt;&gt;"", "", Constants!$B$40))</f>
        <v>3.3</v>
      </c>
      <c r="W54" t="str">
        <f>IF('Input Scenarios'!W119&lt;&gt;"", 'Input Scenarios'!W119, "")</f>
        <v/>
      </c>
      <c r="X54" t="str">
        <f>'Input Scenarios'!X119</f>
        <v>Illawarra/Aussie Red</v>
      </c>
      <c r="Y54" t="str">
        <f>'Input Scenarios'!Y119</f>
        <v>bullsGt1</v>
      </c>
      <c r="Z54">
        <f>'Input Scenarios'!Z119</f>
        <v>200</v>
      </c>
      <c r="AA54">
        <f>'Input Scenarios'!AA119</f>
        <v>345</v>
      </c>
      <c r="AB54">
        <f>'Input Scenarios'!AB119</f>
        <v>600</v>
      </c>
      <c r="AC54">
        <f>IF('Input Scenarios'!AC119&lt;&gt;"", 'Input Scenarios'!AC119, _xlfn.XLOOKUP(Y54, Constants!$B$13:$H$13, Constants!$B$15:$H$15, ""))</f>
        <v>0.1</v>
      </c>
      <c r="AD54">
        <f>IF('Input Scenarios'!AD119&lt;&gt;"", 'Input Scenarios'!AD119, Constants!$B$45)</f>
        <v>0.75</v>
      </c>
      <c r="AE54">
        <f>IF('Input Scenarios'!AE119&lt;&gt;"", 'Input Scenarios'!AE119, Constants!$B$46)</f>
        <v>0.2</v>
      </c>
      <c r="AF54">
        <f t="shared" si="19"/>
        <v>0</v>
      </c>
      <c r="AG54">
        <f t="shared" si="19"/>
        <v>0</v>
      </c>
      <c r="AH54">
        <f t="shared" si="19"/>
        <v>0</v>
      </c>
      <c r="AI54">
        <f t="shared" si="19"/>
        <v>0</v>
      </c>
      <c r="AJ54">
        <f t="shared" si="20"/>
        <v>1</v>
      </c>
      <c r="AK54">
        <f t="shared" si="24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6"/>
        <v>0.5948500000000001</v>
      </c>
      <c r="AQ54">
        <f t="shared" si="7"/>
        <v>0</v>
      </c>
      <c r="AR54">
        <f>IF(Y54="milkingCows", Constants!$P$2, Constants!$P$3)</f>
        <v>1</v>
      </c>
      <c r="AS54" s="18">
        <f t="shared" si="8"/>
        <v>9.0270202499999979</v>
      </c>
      <c r="AT54">
        <f>Constants!$B$47</f>
        <v>0.08</v>
      </c>
      <c r="AU54">
        <f t="shared" si="14"/>
        <v>2.4084090026999996</v>
      </c>
      <c r="AV54">
        <f t="shared" si="9"/>
        <v>0</v>
      </c>
      <c r="AW54">
        <f t="shared" si="22"/>
        <v>0</v>
      </c>
      <c r="AX54">
        <f t="shared" si="22"/>
        <v>0</v>
      </c>
      <c r="AY54">
        <f t="shared" si="11"/>
        <v>0</v>
      </c>
      <c r="AZ54">
        <f t="shared" si="1"/>
        <v>1</v>
      </c>
      <c r="BA54">
        <f>_xlfn.XLOOKUP($B54, Constants!$E$27:$E$45,Constants!F$27:F$45)</f>
        <v>0.79</v>
      </c>
      <c r="BB54">
        <f>_xlfn.XLOOKUP($B54, Constants!$E$27:$E$45,Constants!G$27:G$45)</f>
        <v>5.0000000000000001E-3</v>
      </c>
      <c r="BC54">
        <f>_xlfn.XLOOKUP($B54, Constants!$E$27:$E$45,Constants!H$27:H$45)</f>
        <v>0.37</v>
      </c>
      <c r="BD54">
        <f>_xlfn.XLOOKUP($B54, Constants!$E$27:$E$45,Constants!I$27:I$45)</f>
        <v>0.02</v>
      </c>
      <c r="BE54">
        <f>_xlfn.XLOOKUP($A54, Constants!$E$18:$L$18,Constants!$E$23:$L$23)</f>
        <v>0.01</v>
      </c>
      <c r="BF54">
        <f>Constants!$B$48</f>
        <v>0.24</v>
      </c>
      <c r="BG54">
        <f>Constants!$B$49</f>
        <v>0.6784</v>
      </c>
      <c r="BH54">
        <f t="shared" si="23"/>
        <v>0</v>
      </c>
      <c r="BI54">
        <f t="shared" si="23"/>
        <v>0</v>
      </c>
      <c r="BJ54">
        <f t="shared" si="23"/>
        <v>0</v>
      </c>
      <c r="BK54">
        <f t="shared" si="23"/>
        <v>0</v>
      </c>
      <c r="BL54">
        <f t="shared" si="23"/>
        <v>3.9212752018360315E-3</v>
      </c>
      <c r="BM54" t="str">
        <f>IF(ISNUMBER(FIND("PreWeaned",Y54)),_xlfn.XLOOKUP(Y54,Constants!$J$2:$J$3,Constants!$K$2:$K$3), "")</f>
        <v/>
      </c>
      <c r="BN54">
        <f t="shared" si="13"/>
        <v>270.56798892668616</v>
      </c>
    </row>
    <row r="55" spans="1:67" x14ac:dyDescent="0.2">
      <c r="A55" t="str">
        <f>'Input Scenarios'!A120</f>
        <v>WA</v>
      </c>
      <c r="B55">
        <f>'Input Scenarios'!B120</f>
        <v>24</v>
      </c>
      <c r="C55" t="str">
        <f>'Input Scenarios'!C120</f>
        <v>Irrigated pasture</v>
      </c>
      <c r="D55" t="str">
        <f>'Input Scenarios'!D120</f>
        <v>dry</v>
      </c>
      <c r="E55" t="b">
        <f>'Input Scenarios'!E120</f>
        <v>0</v>
      </c>
      <c r="G55">
        <f>'Input Scenarios'!G120</f>
        <v>0.82</v>
      </c>
      <c r="H55">
        <f>'Input Scenarios'!H120</f>
        <v>0.08</v>
      </c>
      <c r="I55">
        <f>'Input Scenarios'!I120</f>
        <v>0.1</v>
      </c>
      <c r="J55">
        <f>'Input Scenarios'!J120</f>
        <v>0</v>
      </c>
      <c r="K55">
        <f>'Input Scenarios'!K120</f>
        <v>0.5</v>
      </c>
      <c r="L55">
        <f>'Input Scenarios'!L120</f>
        <v>0.5</v>
      </c>
      <c r="M55">
        <f>'Input Scenarios'!M120</f>
        <v>0</v>
      </c>
      <c r="N55">
        <f>'Input Scenarios'!N120</f>
        <v>0.5</v>
      </c>
      <c r="O55">
        <f>'Input Scenarios'!O120</f>
        <v>0</v>
      </c>
      <c r="P55">
        <f>'Input Scenarios'!P120</f>
        <v>0</v>
      </c>
      <c r="Q55">
        <f>'Input Scenarios'!Q120</f>
        <v>0.5</v>
      </c>
      <c r="R55" t="b">
        <f>'Input Scenarios'!R55</f>
        <v>0</v>
      </c>
      <c r="S55">
        <f>IF('Input Scenarios'!S120&lt;&gt;"", 'Input Scenarios'!S120, IF(R120, Constants!$B$38, 0))</f>
        <v>0</v>
      </c>
      <c r="T55" t="str">
        <f>IF('Input Scenarios'!T120&lt;&gt;"", 'Input Scenarios'!T120, "")</f>
        <v/>
      </c>
      <c r="U55">
        <f>IF('Input Scenarios'!U120&lt;&gt;"", 'Input Scenarios'!U120, IF(W55&lt;&gt;"", "", Constants!$B$39))</f>
        <v>4</v>
      </c>
      <c r="V55">
        <f>IF('Input Scenarios'!V120&lt;&gt;"", 'Input Scenarios'!V120, IF(W55&lt;&gt;"", "", Constants!$B$40))</f>
        <v>3.3</v>
      </c>
      <c r="W55" t="str">
        <f>IF('Input Scenarios'!W120&lt;&gt;"", 'Input Scenarios'!W120, "")</f>
        <v/>
      </c>
      <c r="X55" t="str">
        <f>'Input Scenarios'!X120</f>
        <v>Illawarra/Aussie Red</v>
      </c>
      <c r="Y55" t="str">
        <f>'Input Scenarios'!Y120</f>
        <v>bullsLt1PreWeaned</v>
      </c>
      <c r="Z55">
        <f>'Input Scenarios'!Z120</f>
        <v>200</v>
      </c>
      <c r="AA55">
        <f>'Input Scenarios'!AA120</f>
        <v>124</v>
      </c>
      <c r="AB55">
        <f>'Input Scenarios'!AB120</f>
        <v>225</v>
      </c>
      <c r="AC55" t="str">
        <f>IF('Input Scenarios'!AC120&lt;&gt;"", 'Input Scenarios'!AC120, _xlfn.XLOOKUP(Y55, Constants!$B$13:$H$13, Constants!$B$15:$H$15, ""))</f>
        <v/>
      </c>
      <c r="AD55">
        <f>IF('Input Scenarios'!AD120&lt;&gt;"", 'Input Scenarios'!AD120, Constants!$B$45)</f>
        <v>0.75</v>
      </c>
      <c r="AE55">
        <f>IF('Input Scenarios'!AE120&lt;&gt;"", 'Input Scenarios'!AE120, Constants!$B$46)</f>
        <v>0.2</v>
      </c>
      <c r="AF55">
        <f t="shared" si="19"/>
        <v>0</v>
      </c>
      <c r="AG55">
        <f t="shared" si="19"/>
        <v>0</v>
      </c>
      <c r="AH55">
        <f t="shared" si="19"/>
        <v>0</v>
      </c>
      <c r="AI55">
        <f t="shared" si="19"/>
        <v>0</v>
      </c>
      <c r="AJ55">
        <f t="shared" si="20"/>
        <v>1</v>
      </c>
      <c r="AK55">
        <f t="shared" si="24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6"/>
        <v>0.5948500000000001</v>
      </c>
      <c r="AQ55">
        <f t="shared" si="7"/>
        <v>0</v>
      </c>
      <c r="AR55">
        <f>IF(Y55="milkingCows", Constants!$P$2, Constants!$P$3)</f>
        <v>1</v>
      </c>
      <c r="AS55" s="18" t="str">
        <f t="shared" si="8"/>
        <v/>
      </c>
      <c r="AT55">
        <f>Constants!$B$47</f>
        <v>0.08</v>
      </c>
      <c r="AU55" t="str">
        <f t="shared" si="14"/>
        <v/>
      </c>
      <c r="AV55">
        <f t="shared" si="9"/>
        <v>0</v>
      </c>
      <c r="AW55">
        <f t="shared" si="22"/>
        <v>0</v>
      </c>
      <c r="AX55">
        <f t="shared" si="22"/>
        <v>0</v>
      </c>
      <c r="AY55">
        <f t="shared" si="11"/>
        <v>0</v>
      </c>
      <c r="AZ55">
        <f t="shared" si="1"/>
        <v>1</v>
      </c>
      <c r="BA55">
        <f>_xlfn.XLOOKUP($B55, Constants!$E$27:$E$45,Constants!F$27:F$45)</f>
        <v>0.79</v>
      </c>
      <c r="BB55">
        <f>_xlfn.XLOOKUP($B55, Constants!$E$27:$E$45,Constants!G$27:G$45)</f>
        <v>5.0000000000000001E-3</v>
      </c>
      <c r="BC55">
        <f>_xlfn.XLOOKUP($B55, Constants!$E$27:$E$45,Constants!H$27:H$45)</f>
        <v>0.37</v>
      </c>
      <c r="BD55">
        <f>_xlfn.XLOOKUP($B55, Constants!$E$27:$E$45,Constants!I$27:I$45)</f>
        <v>0.02</v>
      </c>
      <c r="BE55">
        <f>_xlfn.XLOOKUP($A55, Constants!$E$18:$L$18,Constants!$E$23:$L$23)</f>
        <v>0.01</v>
      </c>
      <c r="BF55">
        <f>Constants!$B$48</f>
        <v>0.24</v>
      </c>
      <c r="BG55">
        <f>Constants!$B$49</f>
        <v>0.6784</v>
      </c>
      <c r="BH55" t="str">
        <f t="shared" si="23"/>
        <v/>
      </c>
      <c r="BI55" t="str">
        <f t="shared" si="23"/>
        <v/>
      </c>
      <c r="BJ55" t="str">
        <f t="shared" si="23"/>
        <v/>
      </c>
      <c r="BK55" t="str">
        <f t="shared" si="23"/>
        <v/>
      </c>
      <c r="BL55" t="str">
        <f t="shared" si="23"/>
        <v/>
      </c>
      <c r="BM55">
        <f>IF(ISNUMBER(FIND("PreWeaned",Y55)),_xlfn.XLOOKUP(Y55,Constants!$J$2:$J$3,Constants!$K$2:$K$3), "")</f>
        <v>2.0400000000000001E-2</v>
      </c>
      <c r="BN55">
        <f t="shared" si="13"/>
        <v>505.92</v>
      </c>
    </row>
    <row r="56" spans="1:67" s="16" customFormat="1" x14ac:dyDescent="0.2">
      <c r="A56" s="16" t="str">
        <f>'Input Scenarios'!A121</f>
        <v>WA</v>
      </c>
      <c r="B56" s="16">
        <f>'Input Scenarios'!B121</f>
        <v>24</v>
      </c>
      <c r="C56" s="16" t="str">
        <f>'Input Scenarios'!C121</f>
        <v>Irrigated pasture</v>
      </c>
      <c r="D56" s="16" t="str">
        <f>'Input Scenarios'!D121</f>
        <v>dry</v>
      </c>
      <c r="E56" s="16" t="b">
        <f>'Input Scenarios'!E121</f>
        <v>0</v>
      </c>
      <c r="G56" s="16">
        <f>'Input Scenarios'!G121</f>
        <v>0.82</v>
      </c>
      <c r="H56" s="16">
        <f>'Input Scenarios'!H121</f>
        <v>0.08</v>
      </c>
      <c r="I56" s="16">
        <f>'Input Scenarios'!I121</f>
        <v>0.1</v>
      </c>
      <c r="J56" s="16">
        <f>'Input Scenarios'!J121</f>
        <v>0</v>
      </c>
      <c r="K56" s="16">
        <f>'Input Scenarios'!K121</f>
        <v>0.5</v>
      </c>
      <c r="L56" s="16">
        <f>'Input Scenarios'!L121</f>
        <v>0.5</v>
      </c>
      <c r="M56" s="16">
        <f>'Input Scenarios'!M121</f>
        <v>0</v>
      </c>
      <c r="N56" s="16">
        <f>'Input Scenarios'!N121</f>
        <v>0.5</v>
      </c>
      <c r="O56" s="16">
        <f>'Input Scenarios'!O121</f>
        <v>0</v>
      </c>
      <c r="P56" s="16">
        <f>'Input Scenarios'!P121</f>
        <v>0</v>
      </c>
      <c r="Q56" s="16">
        <f>'Input Scenarios'!Q121</f>
        <v>0.5</v>
      </c>
      <c r="R56" s="16" t="b">
        <f>'Input Scenarios'!R56</f>
        <v>0</v>
      </c>
      <c r="S56" s="16">
        <f>IF('Input Scenarios'!S121&lt;&gt;"", 'Input Scenarios'!S121, IF(R121, Constants!$B$38, 0))</f>
        <v>0</v>
      </c>
      <c r="T56" s="16" t="str">
        <f>IF('Input Scenarios'!T121&lt;&gt;"", 'Input Scenarios'!T121, "")</f>
        <v/>
      </c>
      <c r="U56" s="16">
        <f>IF('Input Scenarios'!U121&lt;&gt;"", 'Input Scenarios'!U121, IF(W56&lt;&gt;"", "", Constants!$B$39))</f>
        <v>4</v>
      </c>
      <c r="V56" s="16">
        <f>IF('Input Scenarios'!V121&lt;&gt;"", 'Input Scenarios'!V121, IF(W56&lt;&gt;"", "", Constants!$B$40))</f>
        <v>3.3</v>
      </c>
      <c r="W56" s="16" t="str">
        <f>IF('Input Scenarios'!W121&lt;&gt;"", 'Input Scenarios'!W121, "")</f>
        <v/>
      </c>
      <c r="X56" s="16" t="str">
        <f>'Input Scenarios'!X121</f>
        <v>Illawarra/Aussie Red</v>
      </c>
      <c r="Y56" s="16" t="str">
        <f>'Input Scenarios'!Y121</f>
        <v>bullsLt1Weaned</v>
      </c>
      <c r="Z56" s="16">
        <f>'Input Scenarios'!Z121</f>
        <v>200</v>
      </c>
      <c r="AA56" s="16">
        <f>'Input Scenarios'!AA121</f>
        <v>294</v>
      </c>
      <c r="AB56" s="16">
        <f>'Input Scenarios'!AB121</f>
        <v>225</v>
      </c>
      <c r="AC56" s="16">
        <f>IF('Input Scenarios'!AC121&lt;&gt;"", 'Input Scenarios'!AC121, _xlfn.XLOOKUP(Y56, Constants!$B$13:$H$13, Constants!$B$15:$H$15, ""))</f>
        <v>0.8</v>
      </c>
      <c r="AD56" s="16">
        <f>IF('Input Scenarios'!AD121&lt;&gt;"", 'Input Scenarios'!AD121, Constants!$B$45)</f>
        <v>0.75</v>
      </c>
      <c r="AE56" s="16">
        <f>IF('Input Scenarios'!AE121&lt;&gt;"", 'Input Scenarios'!AE121, Constants!$B$46)</f>
        <v>0.2</v>
      </c>
      <c r="AF56" s="16">
        <f t="shared" si="19"/>
        <v>0</v>
      </c>
      <c r="AG56" s="16">
        <f t="shared" si="19"/>
        <v>0</v>
      </c>
      <c r="AH56" s="16">
        <f t="shared" si="19"/>
        <v>0</v>
      </c>
      <c r="AI56" s="16">
        <f t="shared" si="19"/>
        <v>0</v>
      </c>
      <c r="AJ56" s="16">
        <f t="shared" si="20"/>
        <v>1</v>
      </c>
      <c r="AK56" s="16">
        <f t="shared" si="24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6"/>
        <v>0.5948500000000001</v>
      </c>
      <c r="AQ56" s="16">
        <f t="shared" si="7"/>
        <v>0</v>
      </c>
      <c r="AR56" s="16">
        <f>IF(Y56="milkingCows", Constants!$P$2, Constants!$P$3)</f>
        <v>1</v>
      </c>
      <c r="AS56" s="19">
        <f t="shared" si="8"/>
        <v>5.4143472656250013</v>
      </c>
      <c r="AT56" s="16">
        <f>Constants!$B$47</f>
        <v>0.08</v>
      </c>
      <c r="AU56" s="16">
        <f t="shared" si="14"/>
        <v>1.4445478504687506</v>
      </c>
      <c r="AV56" s="16">
        <f t="shared" si="9"/>
        <v>0</v>
      </c>
      <c r="AW56" s="16">
        <f t="shared" si="22"/>
        <v>0</v>
      </c>
      <c r="AX56" s="16">
        <f t="shared" si="22"/>
        <v>0</v>
      </c>
      <c r="AY56" s="16">
        <f t="shared" si="11"/>
        <v>0</v>
      </c>
      <c r="AZ56" s="16">
        <f t="shared" si="1"/>
        <v>1</v>
      </c>
      <c r="BA56" s="16">
        <f>_xlfn.XLOOKUP($B56, Constants!$E$27:$E$45,Constants!F$27:F$45)</f>
        <v>0.79</v>
      </c>
      <c r="BB56" s="16">
        <f>_xlfn.XLOOKUP($B56, Constants!$E$27:$E$45,Constants!G$27:G$45)</f>
        <v>5.0000000000000001E-3</v>
      </c>
      <c r="BC56" s="16">
        <f>_xlfn.XLOOKUP($B56, Constants!$E$27:$E$45,Constants!H$27:H$45)</f>
        <v>0.37</v>
      </c>
      <c r="BD56" s="16">
        <f>_xlfn.XLOOKUP($B56, Constants!$E$27:$E$45,Constants!I$27:I$45)</f>
        <v>0.02</v>
      </c>
      <c r="BE56" s="16">
        <f>_xlfn.XLOOKUP($A56, Constants!$E$18:$L$18,Constants!$E$23:$L$23)</f>
        <v>0.01</v>
      </c>
      <c r="BF56" s="16">
        <f>Constants!$B$48</f>
        <v>0.24</v>
      </c>
      <c r="BG56" s="16">
        <f>Constants!$B$49</f>
        <v>0.6784</v>
      </c>
      <c r="BH56" s="16">
        <f t="shared" si="23"/>
        <v>0</v>
      </c>
      <c r="BI56" s="16">
        <f t="shared" si="23"/>
        <v>0</v>
      </c>
      <c r="BJ56" s="16">
        <f t="shared" si="23"/>
        <v>0</v>
      </c>
      <c r="BK56" s="16">
        <f t="shared" si="23"/>
        <v>0</v>
      </c>
      <c r="BL56" s="16">
        <f t="shared" si="23"/>
        <v>2.351955028219201E-3</v>
      </c>
      <c r="BM56" s="16" t="str">
        <f>IF(ISNUMBER(FIND("PreWeaned",Y56)),_xlfn.XLOOKUP(Y56,Constants!$J$2:$J$3,Constants!$K$2:$K$3), "")</f>
        <v/>
      </c>
      <c r="BN56" s="16">
        <f t="shared" si="13"/>
        <v>138.29495565928903</v>
      </c>
    </row>
    <row r="57" spans="1:67" x14ac:dyDescent="0.2">
      <c r="A57" t="str">
        <f>'Input Scenarios'!A122</f>
        <v>SA</v>
      </c>
      <c r="B57">
        <f>'Input Scenarios'!B122</f>
        <v>17</v>
      </c>
      <c r="C57" t="str">
        <f>'Input Scenarios'!C122</f>
        <v>Irrigated crop</v>
      </c>
      <c r="D57" t="str">
        <f>'Input Scenarios'!D122</f>
        <v>dry</v>
      </c>
      <c r="E57" t="b">
        <f>'Input Scenarios'!E122</f>
        <v>1</v>
      </c>
      <c r="G57">
        <f>'Input Scenarios'!G122</f>
        <v>0.73</v>
      </c>
      <c r="H57">
        <f>'Input Scenarios'!H122</f>
        <v>0.16</v>
      </c>
      <c r="I57">
        <f>'Input Scenarios'!I122</f>
        <v>0.11</v>
      </c>
      <c r="J57">
        <f>'Input Scenarios'!J122</f>
        <v>0.1</v>
      </c>
      <c r="K57">
        <f>'Input Scenarios'!K122</f>
        <v>0.2</v>
      </c>
      <c r="L57">
        <f>'Input Scenarios'!L122</f>
        <v>0.3</v>
      </c>
      <c r="M57">
        <f>'Input Scenarios'!M122</f>
        <v>0.4</v>
      </c>
      <c r="N57">
        <f>'Input Scenarios'!N122</f>
        <v>0.4</v>
      </c>
      <c r="O57">
        <f>'Input Scenarios'!O122</f>
        <v>0.3</v>
      </c>
      <c r="P57">
        <f>'Input Scenarios'!P122</f>
        <v>0.2</v>
      </c>
      <c r="Q57">
        <f>'Input Scenarios'!Q122</f>
        <v>0.1</v>
      </c>
      <c r="R57" t="b">
        <f>'Input Scenarios'!R57</f>
        <v>0</v>
      </c>
      <c r="S57">
        <f>IF('Input Scenarios'!S122&lt;&gt;"", 'Input Scenarios'!S122, IF(R122, Constants!$B$38, 0))</f>
        <v>0</v>
      </c>
      <c r="T57" s="20" t="str">
        <f>IF('Input Scenarios'!T122&lt;&gt;"", 'Input Scenarios'!T122, "")</f>
        <v/>
      </c>
      <c r="U57" s="20" t="str">
        <f>IF('Input Scenarios'!U122&lt;&gt;"", 'Input Scenarios'!U122, IF(W57&lt;&gt;"", "", Constants!$B$39))</f>
        <v/>
      </c>
      <c r="V57" s="20" t="str">
        <f>IF('Input Scenarios'!V122&lt;&gt;"", 'Input Scenarios'!V122, IF(W57&lt;&gt;"", "", Constants!$B$40))</f>
        <v/>
      </c>
      <c r="W57" s="20">
        <f>IF('Input Scenarios'!W122&lt;&gt;"", 'Input Scenarios'!W122, "")</f>
        <v>0.1</v>
      </c>
      <c r="X57" s="20" t="str">
        <f>'Input Scenarios'!X122</f>
        <v>Guernsey</v>
      </c>
      <c r="Y57" s="20" t="str">
        <f>'Input Scenarios'!Y122</f>
        <v>milkingCows</v>
      </c>
      <c r="Z57" s="20">
        <f>'Input Scenarios'!Z122</f>
        <v>200</v>
      </c>
      <c r="AA57" s="20">
        <f>'Input Scenarios'!AA122</f>
        <v>365</v>
      </c>
      <c r="AB57" s="20">
        <f>'Input Scenarios'!AB122</f>
        <v>480</v>
      </c>
      <c r="AC57">
        <f>IF('Input Scenarios'!AC122&lt;&gt;"", 'Input Scenarios'!AC122, _xlfn.XLOOKUP(Y57, Constants!$B$13:$H$13, Constants!$B$15:$H$15, ""))</f>
        <v>1.6E-2</v>
      </c>
      <c r="AD57">
        <f>IF('Input Scenarios'!AD122&lt;&gt;"", 'Input Scenarios'!AD122, Constants!$B$45)</f>
        <v>0.75</v>
      </c>
      <c r="AE57">
        <f>IF('Input Scenarios'!AE122&lt;&gt;"", 'Input Scenarios'!AE122, Constants!$B$46)</f>
        <v>0.2</v>
      </c>
      <c r="AF57" s="20">
        <f>IF($Y57="milkingCows",($H57*J57)+($I57*N57), 0)</f>
        <v>6.0000000000000005E-2</v>
      </c>
      <c r="AG57" s="20">
        <f t="shared" ref="AG57:AI63" si="25">IF($Y57="milkingCows",($H57*K57)+($I57*O57), 0)</f>
        <v>6.5000000000000002E-2</v>
      </c>
      <c r="AH57" s="20">
        <f t="shared" si="25"/>
        <v>7.0000000000000007E-2</v>
      </c>
      <c r="AI57" s="20">
        <f t="shared" si="25"/>
        <v>7.4999999999999997E-2</v>
      </c>
      <c r="AJ57" s="20">
        <f>IF($Y57="milkingCows",G57, 1)</f>
        <v>0.73</v>
      </c>
      <c r="AK57">
        <f t="shared" si="24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6"/>
        <v>0.5948500000000001</v>
      </c>
      <c r="AQ57">
        <f t="shared" si="7"/>
        <v>4.7899360818035967E-2</v>
      </c>
      <c r="AR57">
        <f>IF(Y57="milkingCows", Constants!$P$2, Constants!$P$3)</f>
        <v>1.1000000000000001</v>
      </c>
      <c r="AS57" s="18">
        <f t="shared" si="8"/>
        <v>8.4893082048180375</v>
      </c>
      <c r="AT57">
        <f>Constants!$B$47</f>
        <v>0.08</v>
      </c>
      <c r="AU57">
        <f t="shared" si="14"/>
        <v>2.2649474290454523</v>
      </c>
      <c r="AV57">
        <f t="shared" si="9"/>
        <v>6.0000000000000005E-2</v>
      </c>
      <c r="AW57">
        <f t="shared" si="22"/>
        <v>6.5000000000000002E-2</v>
      </c>
      <c r="AX57">
        <f t="shared" si="22"/>
        <v>7.0000000000000007E-2</v>
      </c>
      <c r="AY57">
        <f t="shared" si="11"/>
        <v>7.4999999999999997E-2</v>
      </c>
      <c r="AZ57">
        <f t="shared" si="1"/>
        <v>0.73</v>
      </c>
      <c r="BA57">
        <f>_xlfn.XLOOKUP($B57, Constants!$E$27:$E$45,Constants!F$27:F$45)</f>
        <v>0.76</v>
      </c>
      <c r="BB57">
        <f>_xlfn.XLOOKUP($B57, Constants!$E$27:$E$45,Constants!G$27:G$45)</f>
        <v>5.0000000000000001E-3</v>
      </c>
      <c r="BC57">
        <f>_xlfn.XLOOKUP($B57, Constants!$E$27:$E$45,Constants!H$27:H$45)</f>
        <v>0.2</v>
      </c>
      <c r="BD57">
        <f>_xlfn.XLOOKUP($B57, Constants!$E$27:$E$45,Constants!I$27:I$45)</f>
        <v>0.02</v>
      </c>
      <c r="BE57">
        <f>_xlfn.XLOOKUP($A57, Constants!$E$18:$L$18,Constants!$E$23:$L$23)</f>
        <v>0.01</v>
      </c>
      <c r="BF57">
        <f>Constants!$B$48</f>
        <v>0.24</v>
      </c>
      <c r="BG57">
        <f>Constants!$B$49</f>
        <v>0.6784</v>
      </c>
      <c r="BH57">
        <f t="shared" si="23"/>
        <v>1.6815897435700378E-2</v>
      </c>
      <c r="BI57">
        <f t="shared" si="23"/>
        <v>1.1985014619742592E-4</v>
      </c>
      <c r="BJ57">
        <f t="shared" si="23"/>
        <v>5.162775528504502E-3</v>
      </c>
      <c r="BK57">
        <f t="shared" si="23"/>
        <v>5.5315452091119659E-4</v>
      </c>
      <c r="BL57">
        <f t="shared" si="23"/>
        <v>2.6920186684344896E-3</v>
      </c>
      <c r="BM57" t="str">
        <f>IF(ISNUMBER(FIND("PreWeaned",Y57)),_xlfn.XLOOKUP(Y57,Constants!$J$2:$J$3,Constants!$K$2:$K$3), "")</f>
        <v/>
      </c>
      <c r="BN57">
        <f t="shared" si="13"/>
        <v>1850.0898298816035</v>
      </c>
      <c r="BO57">
        <f>SUM(BN57:BN63)/1000</f>
        <v>3.391709635605586</v>
      </c>
    </row>
    <row r="58" spans="1:67" x14ac:dyDescent="0.2">
      <c r="A58" t="str">
        <f>'Input Scenarios'!A123</f>
        <v>SA</v>
      </c>
      <c r="B58">
        <f>'Input Scenarios'!B123</f>
        <v>17</v>
      </c>
      <c r="C58" t="str">
        <f>'Input Scenarios'!C123</f>
        <v>Irrigated crop</v>
      </c>
      <c r="D58" t="str">
        <f>'Input Scenarios'!D123</f>
        <v>dry</v>
      </c>
      <c r="E58" t="b">
        <f>'Input Scenarios'!E123</f>
        <v>1</v>
      </c>
      <c r="G58">
        <f>'Input Scenarios'!G123</f>
        <v>0.73</v>
      </c>
      <c r="H58">
        <f>'Input Scenarios'!H123</f>
        <v>0.16</v>
      </c>
      <c r="I58">
        <f>'Input Scenarios'!I123</f>
        <v>0.11</v>
      </c>
      <c r="J58">
        <f>'Input Scenarios'!J123</f>
        <v>0.1</v>
      </c>
      <c r="K58">
        <f>'Input Scenarios'!K123</f>
        <v>0.2</v>
      </c>
      <c r="L58">
        <f>'Input Scenarios'!L123</f>
        <v>0.3</v>
      </c>
      <c r="M58">
        <f>'Input Scenarios'!M123</f>
        <v>0.4</v>
      </c>
      <c r="N58">
        <f>'Input Scenarios'!N123</f>
        <v>0.4</v>
      </c>
      <c r="O58">
        <f>'Input Scenarios'!O123</f>
        <v>0.3</v>
      </c>
      <c r="P58">
        <f>'Input Scenarios'!P123</f>
        <v>0.2</v>
      </c>
      <c r="Q58">
        <f>'Input Scenarios'!Q123</f>
        <v>0.1</v>
      </c>
      <c r="R58" t="b">
        <f>'Input Scenarios'!R58</f>
        <v>0</v>
      </c>
      <c r="S58">
        <f>IF('Input Scenarios'!S123&lt;&gt;"", 'Input Scenarios'!S123, IF(R123, Constants!$B$38, 0))</f>
        <v>0</v>
      </c>
      <c r="T58" t="str">
        <f>IF('Input Scenarios'!T123&lt;&gt;"", 'Input Scenarios'!T123, "")</f>
        <v/>
      </c>
      <c r="U58">
        <f>IF('Input Scenarios'!U123&lt;&gt;"", 'Input Scenarios'!U123, IF(W58&lt;&gt;"", "", Constants!$B$39))</f>
        <v>4</v>
      </c>
      <c r="V58">
        <f>IF('Input Scenarios'!V123&lt;&gt;"", 'Input Scenarios'!V123, IF(W58&lt;&gt;"", "", Constants!$B$40))</f>
        <v>3.3</v>
      </c>
      <c r="W58" t="str">
        <f>IF('Input Scenarios'!W123&lt;&gt;"", 'Input Scenarios'!W123, "")</f>
        <v/>
      </c>
      <c r="X58" t="str">
        <f>'Input Scenarios'!X123</f>
        <v>Guernsey</v>
      </c>
      <c r="Y58" t="str">
        <f>'Input Scenarios'!Y123</f>
        <v>heifersGt1</v>
      </c>
      <c r="Z58">
        <f>'Input Scenarios'!Z123</f>
        <v>200</v>
      </c>
      <c r="AA58">
        <f>'Input Scenarios'!AA123</f>
        <v>265</v>
      </c>
      <c r="AB58">
        <f>'Input Scenarios'!AB123</f>
        <v>335</v>
      </c>
      <c r="AC58">
        <f>IF('Input Scenarios'!AC123&lt;&gt;"", 'Input Scenarios'!AC123, _xlfn.XLOOKUP(Y58, Constants!$B$13:$H$13, Constants!$B$15:$H$15, ""))</f>
        <v>0.6</v>
      </c>
      <c r="AD58">
        <f>IF('Input Scenarios'!AD123&lt;&gt;"", 'Input Scenarios'!AD123, Constants!$B$45)</f>
        <v>0.75</v>
      </c>
      <c r="AE58">
        <f>IF('Input Scenarios'!AE123&lt;&gt;"", 'Input Scenarios'!AE123, Constants!$B$46)</f>
        <v>0.2</v>
      </c>
      <c r="AF58">
        <f t="shared" ref="AF58:AF63" si="26">IF($Y58="milkingCows",($H58*J58)+($I58*N58), 0)</f>
        <v>0</v>
      </c>
      <c r="AG58">
        <f t="shared" si="25"/>
        <v>0</v>
      </c>
      <c r="AH58">
        <f t="shared" si="25"/>
        <v>0</v>
      </c>
      <c r="AI58">
        <f t="shared" si="25"/>
        <v>0</v>
      </c>
      <c r="AJ58">
        <f t="shared" ref="AJ58:AJ63" si="27">IF($Y58="milkingCows",G58, 1)</f>
        <v>1</v>
      </c>
      <c r="AK58">
        <f t="shared" si="24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6"/>
        <v>0.5948500000000001</v>
      </c>
      <c r="AQ58">
        <f t="shared" si="7"/>
        <v>0</v>
      </c>
      <c r="AR58">
        <f>IF(Y58="milkingCows", Constants!$P$2, Constants!$P$3)</f>
        <v>1</v>
      </c>
      <c r="AS58" s="18">
        <f t="shared" si="8"/>
        <v>6.7762077032249994</v>
      </c>
      <c r="AT58">
        <f>Constants!$B$47</f>
        <v>0.08</v>
      </c>
      <c r="AU58">
        <f t="shared" si="14"/>
        <v>1.80789221522043</v>
      </c>
      <c r="AV58">
        <f t="shared" si="9"/>
        <v>0</v>
      </c>
      <c r="AW58">
        <f t="shared" si="22"/>
        <v>0</v>
      </c>
      <c r="AX58">
        <f t="shared" si="22"/>
        <v>0</v>
      </c>
      <c r="AY58">
        <f t="shared" si="11"/>
        <v>0</v>
      </c>
      <c r="AZ58">
        <f t="shared" si="1"/>
        <v>1</v>
      </c>
      <c r="BA58">
        <f>_xlfn.XLOOKUP($B58, Constants!$E$27:$E$45,Constants!F$27:F$45)</f>
        <v>0.76</v>
      </c>
      <c r="BB58">
        <f>_xlfn.XLOOKUP($B58, Constants!$E$27:$E$45,Constants!G$27:G$45)</f>
        <v>5.0000000000000001E-3</v>
      </c>
      <c r="BC58">
        <f>_xlfn.XLOOKUP($B58, Constants!$E$27:$E$45,Constants!H$27:H$45)</f>
        <v>0.2</v>
      </c>
      <c r="BD58">
        <f>_xlfn.XLOOKUP($B58, Constants!$E$27:$E$45,Constants!I$27:I$45)</f>
        <v>0.02</v>
      </c>
      <c r="BE58">
        <f>_xlfn.XLOOKUP($A58, Constants!$E$18:$L$18,Constants!$E$23:$L$23)</f>
        <v>0.01</v>
      </c>
      <c r="BF58">
        <f>Constants!$B$48</f>
        <v>0.24</v>
      </c>
      <c r="BG58">
        <f>Constants!$B$49</f>
        <v>0.6784</v>
      </c>
      <c r="BH58">
        <f t="shared" si="23"/>
        <v>0</v>
      </c>
      <c r="BI58">
        <f t="shared" si="23"/>
        <v>0</v>
      </c>
      <c r="BJ58">
        <f t="shared" si="23"/>
        <v>0</v>
      </c>
      <c r="BK58">
        <f t="shared" si="23"/>
        <v>0</v>
      </c>
      <c r="BL58">
        <f t="shared" si="23"/>
        <v>2.9435377891332947E-3</v>
      </c>
      <c r="BM58" t="str">
        <f>IF(ISNUMBER(FIND("PreWeaned",Y58)),_xlfn.XLOOKUP(Y58,Constants!$J$2:$J$3,Constants!$K$2:$K$3), "")</f>
        <v/>
      </c>
      <c r="BN58">
        <f t="shared" si="13"/>
        <v>156.00750282406463</v>
      </c>
    </row>
    <row r="59" spans="1:67" x14ac:dyDescent="0.2">
      <c r="A59" t="str">
        <f>'Input Scenarios'!A124</f>
        <v>SA</v>
      </c>
      <c r="B59">
        <f>'Input Scenarios'!B124</f>
        <v>17</v>
      </c>
      <c r="C59" t="str">
        <f>'Input Scenarios'!C124</f>
        <v>Irrigated crop</v>
      </c>
      <c r="D59" t="str">
        <f>'Input Scenarios'!D124</f>
        <v>dry</v>
      </c>
      <c r="E59" t="b">
        <f>'Input Scenarios'!E124</f>
        <v>1</v>
      </c>
      <c r="G59">
        <f>'Input Scenarios'!G124</f>
        <v>0.73</v>
      </c>
      <c r="H59">
        <f>'Input Scenarios'!H124</f>
        <v>0.16</v>
      </c>
      <c r="I59">
        <f>'Input Scenarios'!I124</f>
        <v>0.11</v>
      </c>
      <c r="J59">
        <f>'Input Scenarios'!J124</f>
        <v>0.1</v>
      </c>
      <c r="K59">
        <f>'Input Scenarios'!K124</f>
        <v>0.2</v>
      </c>
      <c r="L59">
        <f>'Input Scenarios'!L124</f>
        <v>0.3</v>
      </c>
      <c r="M59">
        <f>'Input Scenarios'!M124</f>
        <v>0.4</v>
      </c>
      <c r="N59">
        <f>'Input Scenarios'!N124</f>
        <v>0.4</v>
      </c>
      <c r="O59">
        <f>'Input Scenarios'!O124</f>
        <v>0.3</v>
      </c>
      <c r="P59">
        <f>'Input Scenarios'!P124</f>
        <v>0.2</v>
      </c>
      <c r="Q59">
        <f>'Input Scenarios'!Q124</f>
        <v>0.1</v>
      </c>
      <c r="R59" t="b">
        <f>'Input Scenarios'!R59</f>
        <v>0</v>
      </c>
      <c r="S59">
        <f>IF('Input Scenarios'!S124&lt;&gt;"", 'Input Scenarios'!S124, IF(R124, Constants!$B$38, 0))</f>
        <v>0</v>
      </c>
      <c r="T59" t="str">
        <f>IF('Input Scenarios'!T124&lt;&gt;"", 'Input Scenarios'!T124, "")</f>
        <v/>
      </c>
      <c r="U59">
        <f>IF('Input Scenarios'!U124&lt;&gt;"", 'Input Scenarios'!U124, IF(W59&lt;&gt;"", "", Constants!$B$39))</f>
        <v>4</v>
      </c>
      <c r="V59">
        <f>IF('Input Scenarios'!V124&lt;&gt;"", 'Input Scenarios'!V124, IF(W59&lt;&gt;"", "", Constants!$B$40))</f>
        <v>3.3</v>
      </c>
      <c r="W59" t="str">
        <f>IF('Input Scenarios'!W124&lt;&gt;"", 'Input Scenarios'!W124, "")</f>
        <v/>
      </c>
      <c r="X59" t="str">
        <f>'Input Scenarios'!X124</f>
        <v>Guernsey</v>
      </c>
      <c r="Y59" t="str">
        <f>'Input Scenarios'!Y124</f>
        <v>heifersLt1PreWeaned</v>
      </c>
      <c r="Z59">
        <f>'Input Scenarios'!Z124</f>
        <v>200</v>
      </c>
      <c r="AA59">
        <f>'Input Scenarios'!AA124</f>
        <v>100</v>
      </c>
      <c r="AB59">
        <f>'Input Scenarios'!AB124</f>
        <v>140</v>
      </c>
      <c r="AC59" t="str">
        <f>IF('Input Scenarios'!AC124&lt;&gt;"", 'Input Scenarios'!AC124, _xlfn.XLOOKUP(Y59, Constants!$B$13:$H$13, Constants!$B$15:$H$15, ""))</f>
        <v/>
      </c>
      <c r="AD59">
        <f>IF('Input Scenarios'!AD124&lt;&gt;"", 'Input Scenarios'!AD124, Constants!$B$45)</f>
        <v>0.75</v>
      </c>
      <c r="AE59">
        <f>IF('Input Scenarios'!AE124&lt;&gt;"", 'Input Scenarios'!AE124, Constants!$B$46)</f>
        <v>0.2</v>
      </c>
      <c r="AF59">
        <f t="shared" si="26"/>
        <v>0</v>
      </c>
      <c r="AG59">
        <f t="shared" si="25"/>
        <v>0</v>
      </c>
      <c r="AH59">
        <f t="shared" si="25"/>
        <v>0</v>
      </c>
      <c r="AI59">
        <f t="shared" si="25"/>
        <v>0</v>
      </c>
      <c r="AJ59">
        <f t="shared" si="27"/>
        <v>1</v>
      </c>
      <c r="AK59">
        <f t="shared" si="24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6"/>
        <v>0.5948500000000001</v>
      </c>
      <c r="AQ59">
        <f t="shared" si="7"/>
        <v>0</v>
      </c>
      <c r="AR59">
        <f>IF(Y59="milkingCows", Constants!$P$2, Constants!$P$3)</f>
        <v>1</v>
      </c>
      <c r="AS59" s="18" t="str">
        <f t="shared" si="8"/>
        <v/>
      </c>
      <c r="AT59">
        <f>Constants!$B$47</f>
        <v>0.08</v>
      </c>
      <c r="AU59" t="str">
        <f t="shared" si="14"/>
        <v/>
      </c>
      <c r="AV59">
        <f t="shared" si="9"/>
        <v>0</v>
      </c>
      <c r="AW59">
        <f t="shared" si="22"/>
        <v>0</v>
      </c>
      <c r="AX59">
        <f t="shared" si="22"/>
        <v>0</v>
      </c>
      <c r="AY59">
        <f t="shared" si="11"/>
        <v>0</v>
      </c>
      <c r="AZ59">
        <f t="shared" si="1"/>
        <v>1</v>
      </c>
      <c r="BA59">
        <f>_xlfn.XLOOKUP($B59, Constants!$E$27:$E$45,Constants!F$27:F$45)</f>
        <v>0.76</v>
      </c>
      <c r="BB59">
        <f>_xlfn.XLOOKUP($B59, Constants!$E$27:$E$45,Constants!G$27:G$45)</f>
        <v>5.0000000000000001E-3</v>
      </c>
      <c r="BC59">
        <f>_xlfn.XLOOKUP($B59, Constants!$E$27:$E$45,Constants!H$27:H$45)</f>
        <v>0.2</v>
      </c>
      <c r="BD59">
        <f>_xlfn.XLOOKUP($B59, Constants!$E$27:$E$45,Constants!I$27:I$45)</f>
        <v>0.02</v>
      </c>
      <c r="BE59">
        <f>_xlfn.XLOOKUP($A59, Constants!$E$18:$L$18,Constants!$E$23:$L$23)</f>
        <v>0.01</v>
      </c>
      <c r="BF59">
        <f>Constants!$B$48</f>
        <v>0.24</v>
      </c>
      <c r="BG59">
        <f>Constants!$B$49</f>
        <v>0.6784</v>
      </c>
      <c r="BH59" t="str">
        <f t="shared" si="23"/>
        <v/>
      </c>
      <c r="BI59" t="str">
        <f t="shared" si="23"/>
        <v/>
      </c>
      <c r="BJ59" t="str">
        <f t="shared" si="23"/>
        <v/>
      </c>
      <c r="BK59" t="str">
        <f t="shared" si="23"/>
        <v/>
      </c>
      <c r="BL59" t="str">
        <f t="shared" si="23"/>
        <v/>
      </c>
      <c r="BM59">
        <f>IF(ISNUMBER(FIND("PreWeaned",Y59)),_xlfn.XLOOKUP(Y59,Constants!$J$2:$J$3,Constants!$K$2:$K$3), "")</f>
        <v>1.7600000000000001E-2</v>
      </c>
      <c r="BN59">
        <f t="shared" si="13"/>
        <v>352</v>
      </c>
    </row>
    <row r="60" spans="1:67" x14ac:dyDescent="0.2">
      <c r="A60" t="str">
        <f>'Input Scenarios'!A125</f>
        <v>SA</v>
      </c>
      <c r="B60">
        <f>'Input Scenarios'!B125</f>
        <v>17</v>
      </c>
      <c r="C60" t="str">
        <f>'Input Scenarios'!C125</f>
        <v>Irrigated crop</v>
      </c>
      <c r="D60" t="str">
        <f>'Input Scenarios'!D125</f>
        <v>dry</v>
      </c>
      <c r="E60" t="b">
        <f>'Input Scenarios'!E125</f>
        <v>1</v>
      </c>
      <c r="G60">
        <f>'Input Scenarios'!G125</f>
        <v>0.73</v>
      </c>
      <c r="H60">
        <f>'Input Scenarios'!H125</f>
        <v>0.16</v>
      </c>
      <c r="I60">
        <f>'Input Scenarios'!I125</f>
        <v>0.11</v>
      </c>
      <c r="J60">
        <f>'Input Scenarios'!J125</f>
        <v>0.1</v>
      </c>
      <c r="K60">
        <f>'Input Scenarios'!K125</f>
        <v>0.2</v>
      </c>
      <c r="L60">
        <f>'Input Scenarios'!L125</f>
        <v>0.3</v>
      </c>
      <c r="M60">
        <f>'Input Scenarios'!M125</f>
        <v>0.4</v>
      </c>
      <c r="N60">
        <f>'Input Scenarios'!N125</f>
        <v>0.4</v>
      </c>
      <c r="O60">
        <f>'Input Scenarios'!O125</f>
        <v>0.3</v>
      </c>
      <c r="P60">
        <f>'Input Scenarios'!P125</f>
        <v>0.2</v>
      </c>
      <c r="Q60">
        <f>'Input Scenarios'!Q125</f>
        <v>0.1</v>
      </c>
      <c r="R60" t="b">
        <f>'Input Scenarios'!R60</f>
        <v>0</v>
      </c>
      <c r="S60">
        <f>IF('Input Scenarios'!S125&lt;&gt;"", 'Input Scenarios'!S125, IF(R125, Constants!$B$38, 0))</f>
        <v>0</v>
      </c>
      <c r="T60" t="str">
        <f>IF('Input Scenarios'!T125&lt;&gt;"", 'Input Scenarios'!T125, "")</f>
        <v/>
      </c>
      <c r="U60">
        <f>IF('Input Scenarios'!U125&lt;&gt;"", 'Input Scenarios'!U125, IF(W60&lt;&gt;"", "", Constants!$B$39))</f>
        <v>4</v>
      </c>
      <c r="V60">
        <f>IF('Input Scenarios'!V125&lt;&gt;"", 'Input Scenarios'!V125, IF(W60&lt;&gt;"", "", Constants!$B$40))</f>
        <v>3.3</v>
      </c>
      <c r="W60" t="str">
        <f>IF('Input Scenarios'!W125&lt;&gt;"", 'Input Scenarios'!W125, "")</f>
        <v/>
      </c>
      <c r="X60" t="str">
        <f>'Input Scenarios'!X125</f>
        <v>Guernsey</v>
      </c>
      <c r="Y60" t="str">
        <f>'Input Scenarios'!Y125</f>
        <v>heifersLt1Weaned</v>
      </c>
      <c r="Z60">
        <f>'Input Scenarios'!Z125</f>
        <v>200</v>
      </c>
      <c r="AA60">
        <f>'Input Scenarios'!AA125</f>
        <v>360</v>
      </c>
      <c r="AB60">
        <f>'Input Scenarios'!AB125</f>
        <v>140</v>
      </c>
      <c r="AC60">
        <f>IF('Input Scenarios'!AC125&lt;&gt;"", 'Input Scenarios'!AC125, _xlfn.XLOOKUP(Y60, Constants!$B$13:$H$13, Constants!$B$15:$H$15, ""))</f>
        <v>0.56999999999999995</v>
      </c>
      <c r="AD60">
        <f>IF('Input Scenarios'!AD125&lt;&gt;"", 'Input Scenarios'!AD125, Constants!$B$45)</f>
        <v>0.75</v>
      </c>
      <c r="AE60">
        <f>IF('Input Scenarios'!AE125&lt;&gt;"", 'Input Scenarios'!AE125, Constants!$B$46)</f>
        <v>0.2</v>
      </c>
      <c r="AF60">
        <f t="shared" si="26"/>
        <v>0</v>
      </c>
      <c r="AG60">
        <f t="shared" si="25"/>
        <v>0</v>
      </c>
      <c r="AH60">
        <f t="shared" si="25"/>
        <v>0</v>
      </c>
      <c r="AI60">
        <f t="shared" si="25"/>
        <v>0</v>
      </c>
      <c r="AJ60">
        <f t="shared" si="27"/>
        <v>1</v>
      </c>
      <c r="AK60">
        <f t="shared" si="24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6"/>
        <v>0.5948500000000001</v>
      </c>
      <c r="AQ60">
        <f t="shared" si="7"/>
        <v>0</v>
      </c>
      <c r="AR60">
        <f>IF(Y60="milkingCows", Constants!$P$2, Constants!$P$3)</f>
        <v>1</v>
      </c>
      <c r="AS60" s="18">
        <f t="shared" si="8"/>
        <v>3.7993416560999989</v>
      </c>
      <c r="AT60">
        <f>Constants!$B$47</f>
        <v>0.08</v>
      </c>
      <c r="AU60">
        <f t="shared" si="14"/>
        <v>1.0136643538474799</v>
      </c>
      <c r="AV60">
        <f t="shared" si="9"/>
        <v>0</v>
      </c>
      <c r="AW60">
        <f t="shared" si="22"/>
        <v>0</v>
      </c>
      <c r="AX60">
        <f t="shared" si="22"/>
        <v>0</v>
      </c>
      <c r="AY60">
        <f t="shared" si="11"/>
        <v>0</v>
      </c>
      <c r="AZ60">
        <f t="shared" si="1"/>
        <v>1</v>
      </c>
      <c r="BA60">
        <f>_xlfn.XLOOKUP($B60, Constants!$E$27:$E$45,Constants!F$27:F$45)</f>
        <v>0.76</v>
      </c>
      <c r="BB60">
        <f>_xlfn.XLOOKUP($B60, Constants!$E$27:$E$45,Constants!G$27:G$45)</f>
        <v>5.0000000000000001E-3</v>
      </c>
      <c r="BC60">
        <f>_xlfn.XLOOKUP($B60, Constants!$E$27:$E$45,Constants!H$27:H$45)</f>
        <v>0.2</v>
      </c>
      <c r="BD60">
        <f>_xlfn.XLOOKUP($B60, Constants!$E$27:$E$45,Constants!I$27:I$45)</f>
        <v>0.02</v>
      </c>
      <c r="BE60">
        <f>_xlfn.XLOOKUP($A60, Constants!$E$18:$L$18,Constants!$E$23:$L$23)</f>
        <v>0.01</v>
      </c>
      <c r="BF60">
        <f>Constants!$B$48</f>
        <v>0.24</v>
      </c>
      <c r="BG60">
        <f>Constants!$B$49</f>
        <v>0.6784</v>
      </c>
      <c r="BH60">
        <f t="shared" si="23"/>
        <v>0</v>
      </c>
      <c r="BI60">
        <f t="shared" si="23"/>
        <v>0</v>
      </c>
      <c r="BJ60">
        <f t="shared" si="23"/>
        <v>0</v>
      </c>
      <c r="BK60">
        <f t="shared" si="23"/>
        <v>0</v>
      </c>
      <c r="BL60">
        <f t="shared" si="23"/>
        <v>1.6504077543603127E-3</v>
      </c>
      <c r="BM60" t="str">
        <f>IF(ISNUMBER(FIND("PreWeaned",Y60)),_xlfn.XLOOKUP(Y60,Constants!$J$2:$J$3,Constants!$K$2:$K$3), "")</f>
        <v/>
      </c>
      <c r="BN60">
        <f t="shared" si="13"/>
        <v>118.82935831394252</v>
      </c>
    </row>
    <row r="61" spans="1:67" x14ac:dyDescent="0.2">
      <c r="A61" t="str">
        <f>'Input Scenarios'!A126</f>
        <v>SA</v>
      </c>
      <c r="B61">
        <f>'Input Scenarios'!B126</f>
        <v>17</v>
      </c>
      <c r="C61" t="str">
        <f>'Input Scenarios'!C126</f>
        <v>Irrigated crop</v>
      </c>
      <c r="D61" t="str">
        <f>'Input Scenarios'!D126</f>
        <v>dry</v>
      </c>
      <c r="E61" t="b">
        <f>'Input Scenarios'!E126</f>
        <v>1</v>
      </c>
      <c r="G61">
        <f>'Input Scenarios'!G126</f>
        <v>0.73</v>
      </c>
      <c r="H61">
        <f>'Input Scenarios'!H126</f>
        <v>0.16</v>
      </c>
      <c r="I61">
        <f>'Input Scenarios'!I126</f>
        <v>0.11</v>
      </c>
      <c r="J61">
        <f>'Input Scenarios'!J126</f>
        <v>0.1</v>
      </c>
      <c r="K61">
        <f>'Input Scenarios'!K126</f>
        <v>0.2</v>
      </c>
      <c r="L61">
        <f>'Input Scenarios'!L126</f>
        <v>0.3</v>
      </c>
      <c r="M61">
        <f>'Input Scenarios'!M126</f>
        <v>0.4</v>
      </c>
      <c r="N61">
        <f>'Input Scenarios'!N126</f>
        <v>0.4</v>
      </c>
      <c r="O61">
        <f>'Input Scenarios'!O126</f>
        <v>0.3</v>
      </c>
      <c r="P61">
        <f>'Input Scenarios'!P126</f>
        <v>0.2</v>
      </c>
      <c r="Q61">
        <f>'Input Scenarios'!Q126</f>
        <v>0.1</v>
      </c>
      <c r="R61" t="b">
        <f>'Input Scenarios'!R61</f>
        <v>0</v>
      </c>
      <c r="S61">
        <f>IF('Input Scenarios'!S126&lt;&gt;"", 'Input Scenarios'!S126, IF(R126, Constants!$B$38, 0))</f>
        <v>0</v>
      </c>
      <c r="T61" t="str">
        <f>IF('Input Scenarios'!T126&lt;&gt;"", 'Input Scenarios'!T126, "")</f>
        <v/>
      </c>
      <c r="U61">
        <f>IF('Input Scenarios'!U126&lt;&gt;"", 'Input Scenarios'!U126, IF(W61&lt;&gt;"", "", Constants!$B$39))</f>
        <v>4</v>
      </c>
      <c r="V61">
        <f>IF('Input Scenarios'!V126&lt;&gt;"", 'Input Scenarios'!V126, IF(W61&lt;&gt;"", "", Constants!$B$40))</f>
        <v>3.3</v>
      </c>
      <c r="W61" t="str">
        <f>IF('Input Scenarios'!W126&lt;&gt;"", 'Input Scenarios'!W126, "")</f>
        <v/>
      </c>
      <c r="X61" t="str">
        <f>'Input Scenarios'!X126</f>
        <v>Guernsey</v>
      </c>
      <c r="Y61" t="str">
        <f>'Input Scenarios'!Y126</f>
        <v>bullsGt1</v>
      </c>
      <c r="Z61">
        <f>'Input Scenarios'!Z126</f>
        <v>200</v>
      </c>
      <c r="AA61">
        <f>'Input Scenarios'!AA126</f>
        <v>345</v>
      </c>
      <c r="AB61">
        <f>'Input Scenarios'!AB126</f>
        <v>600</v>
      </c>
      <c r="AC61">
        <f>IF('Input Scenarios'!AC126&lt;&gt;"", 'Input Scenarios'!AC126, _xlfn.XLOOKUP(Y61, Constants!$B$13:$H$13, Constants!$B$15:$H$15, ""))</f>
        <v>0.1</v>
      </c>
      <c r="AD61">
        <f>IF('Input Scenarios'!AD126&lt;&gt;"", 'Input Scenarios'!AD126, Constants!$B$45)</f>
        <v>0.75</v>
      </c>
      <c r="AE61">
        <f>IF('Input Scenarios'!AE126&lt;&gt;"", 'Input Scenarios'!AE126, Constants!$B$46)</f>
        <v>0.2</v>
      </c>
      <c r="AF61">
        <f t="shared" si="26"/>
        <v>0</v>
      </c>
      <c r="AG61">
        <f t="shared" si="25"/>
        <v>0</v>
      </c>
      <c r="AH61">
        <f t="shared" si="25"/>
        <v>0</v>
      </c>
      <c r="AI61">
        <f t="shared" si="25"/>
        <v>0</v>
      </c>
      <c r="AJ61">
        <f t="shared" si="27"/>
        <v>1</v>
      </c>
      <c r="AK61">
        <f t="shared" si="24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6"/>
        <v>0.5948500000000001</v>
      </c>
      <c r="AQ61">
        <f t="shared" si="7"/>
        <v>0</v>
      </c>
      <c r="AR61">
        <f>IF(Y61="milkingCows", Constants!$P$2, Constants!$P$3)</f>
        <v>1</v>
      </c>
      <c r="AS61" s="18">
        <f t="shared" si="8"/>
        <v>9.0270202499999979</v>
      </c>
      <c r="AT61">
        <f>Constants!$B$47</f>
        <v>0.08</v>
      </c>
      <c r="AU61">
        <f t="shared" si="14"/>
        <v>2.4084090026999996</v>
      </c>
      <c r="AV61">
        <f t="shared" si="9"/>
        <v>0</v>
      </c>
      <c r="AW61">
        <f t="shared" si="22"/>
        <v>0</v>
      </c>
      <c r="AX61">
        <f t="shared" si="22"/>
        <v>0</v>
      </c>
      <c r="AY61">
        <f t="shared" si="11"/>
        <v>0</v>
      </c>
      <c r="AZ61">
        <f t="shared" si="1"/>
        <v>1</v>
      </c>
      <c r="BA61">
        <f>_xlfn.XLOOKUP($B61, Constants!$E$27:$E$45,Constants!F$27:F$45)</f>
        <v>0.76</v>
      </c>
      <c r="BB61">
        <f>_xlfn.XLOOKUP($B61, Constants!$E$27:$E$45,Constants!G$27:G$45)</f>
        <v>5.0000000000000001E-3</v>
      </c>
      <c r="BC61">
        <f>_xlfn.XLOOKUP($B61, Constants!$E$27:$E$45,Constants!H$27:H$45)</f>
        <v>0.2</v>
      </c>
      <c r="BD61">
        <f>_xlfn.XLOOKUP($B61, Constants!$E$27:$E$45,Constants!I$27:I$45)</f>
        <v>0.02</v>
      </c>
      <c r="BE61">
        <f>_xlfn.XLOOKUP($A61, Constants!$E$18:$L$18,Constants!$E$23:$L$23)</f>
        <v>0.01</v>
      </c>
      <c r="BF61">
        <f>Constants!$B$48</f>
        <v>0.24</v>
      </c>
      <c r="BG61">
        <f>Constants!$B$49</f>
        <v>0.6784</v>
      </c>
      <c r="BH61">
        <f t="shared" si="23"/>
        <v>0</v>
      </c>
      <c r="BI61">
        <f t="shared" si="23"/>
        <v>0</v>
      </c>
      <c r="BJ61">
        <f t="shared" si="23"/>
        <v>0</v>
      </c>
      <c r="BK61">
        <f t="shared" si="23"/>
        <v>0</v>
      </c>
      <c r="BL61">
        <f t="shared" si="23"/>
        <v>3.9212752018360315E-3</v>
      </c>
      <c r="BM61" t="str">
        <f>IF(ISNUMBER(FIND("PreWeaned",Y61)),_xlfn.XLOOKUP(Y61,Constants!$J$2:$J$3,Constants!$K$2:$K$3), "")</f>
        <v/>
      </c>
      <c r="BN61">
        <f t="shared" si="13"/>
        <v>270.56798892668616</v>
      </c>
    </row>
    <row r="62" spans="1:67" x14ac:dyDescent="0.2">
      <c r="A62" t="str">
        <f>'Input Scenarios'!A127</f>
        <v>SA</v>
      </c>
      <c r="B62">
        <f>'Input Scenarios'!B127</f>
        <v>17</v>
      </c>
      <c r="C62" t="str">
        <f>'Input Scenarios'!C127</f>
        <v>Irrigated crop</v>
      </c>
      <c r="D62" t="str">
        <f>'Input Scenarios'!D127</f>
        <v>dry</v>
      </c>
      <c r="E62" t="b">
        <f>'Input Scenarios'!E127</f>
        <v>1</v>
      </c>
      <c r="G62">
        <f>'Input Scenarios'!G127</f>
        <v>0.73</v>
      </c>
      <c r="H62">
        <f>'Input Scenarios'!H127</f>
        <v>0.16</v>
      </c>
      <c r="I62">
        <f>'Input Scenarios'!I127</f>
        <v>0.11</v>
      </c>
      <c r="J62">
        <f>'Input Scenarios'!J127</f>
        <v>0.1</v>
      </c>
      <c r="K62">
        <f>'Input Scenarios'!K127</f>
        <v>0.2</v>
      </c>
      <c r="L62">
        <f>'Input Scenarios'!L127</f>
        <v>0.3</v>
      </c>
      <c r="M62">
        <f>'Input Scenarios'!M127</f>
        <v>0.4</v>
      </c>
      <c r="N62">
        <f>'Input Scenarios'!N127</f>
        <v>0.4</v>
      </c>
      <c r="O62">
        <f>'Input Scenarios'!O127</f>
        <v>0.3</v>
      </c>
      <c r="P62">
        <f>'Input Scenarios'!P127</f>
        <v>0.2</v>
      </c>
      <c r="Q62">
        <f>'Input Scenarios'!Q127</f>
        <v>0.1</v>
      </c>
      <c r="R62" t="b">
        <f>'Input Scenarios'!R62</f>
        <v>0</v>
      </c>
      <c r="S62">
        <f>IF('Input Scenarios'!S127&lt;&gt;"", 'Input Scenarios'!S127, IF(R127, Constants!$B$38, 0))</f>
        <v>0</v>
      </c>
      <c r="T62" t="str">
        <f>IF('Input Scenarios'!T127&lt;&gt;"", 'Input Scenarios'!T127, "")</f>
        <v/>
      </c>
      <c r="U62">
        <f>IF('Input Scenarios'!U127&lt;&gt;"", 'Input Scenarios'!U127, IF(W62&lt;&gt;"", "", Constants!$B$39))</f>
        <v>4</v>
      </c>
      <c r="V62">
        <f>IF('Input Scenarios'!V127&lt;&gt;"", 'Input Scenarios'!V127, IF(W62&lt;&gt;"", "", Constants!$B$40))</f>
        <v>3.3</v>
      </c>
      <c r="W62" t="str">
        <f>IF('Input Scenarios'!W127&lt;&gt;"", 'Input Scenarios'!W127, "")</f>
        <v/>
      </c>
      <c r="X62" t="str">
        <f>'Input Scenarios'!X127</f>
        <v>Guernsey</v>
      </c>
      <c r="Y62" t="str">
        <f>'Input Scenarios'!Y127</f>
        <v>bullsLt1PreWeaned</v>
      </c>
      <c r="Z62">
        <f>'Input Scenarios'!Z127</f>
        <v>200</v>
      </c>
      <c r="AA62">
        <f>'Input Scenarios'!AA127</f>
        <v>124</v>
      </c>
      <c r="AB62">
        <f>'Input Scenarios'!AB127</f>
        <v>225</v>
      </c>
      <c r="AC62" t="str">
        <f>IF('Input Scenarios'!AC127&lt;&gt;"", 'Input Scenarios'!AC127, _xlfn.XLOOKUP(Y62, Constants!$B$13:$H$13, Constants!$B$15:$H$15, ""))</f>
        <v/>
      </c>
      <c r="AD62">
        <f>IF('Input Scenarios'!AD127&lt;&gt;"", 'Input Scenarios'!AD127, Constants!$B$45)</f>
        <v>0.75</v>
      </c>
      <c r="AE62">
        <f>IF('Input Scenarios'!AE127&lt;&gt;"", 'Input Scenarios'!AE127, Constants!$B$46)</f>
        <v>0.2</v>
      </c>
      <c r="AF62">
        <f t="shared" si="26"/>
        <v>0</v>
      </c>
      <c r="AG62">
        <f t="shared" si="25"/>
        <v>0</v>
      </c>
      <c r="AH62">
        <f t="shared" si="25"/>
        <v>0</v>
      </c>
      <c r="AI62">
        <f t="shared" si="25"/>
        <v>0</v>
      </c>
      <c r="AJ62">
        <f t="shared" si="27"/>
        <v>1</v>
      </c>
      <c r="AK62">
        <f t="shared" si="24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6"/>
        <v>0.5948500000000001</v>
      </c>
      <c r="AQ62">
        <f t="shared" si="7"/>
        <v>0</v>
      </c>
      <c r="AR62">
        <f>IF(Y62="milkingCows", Constants!$P$2, Constants!$P$3)</f>
        <v>1</v>
      </c>
      <c r="AS62" s="18" t="str">
        <f t="shared" si="8"/>
        <v/>
      </c>
      <c r="AT62">
        <f>Constants!$B$47</f>
        <v>0.08</v>
      </c>
      <c r="AU62" t="str">
        <f t="shared" si="14"/>
        <v/>
      </c>
      <c r="AV62">
        <f t="shared" si="9"/>
        <v>0</v>
      </c>
      <c r="AW62">
        <f t="shared" si="22"/>
        <v>0</v>
      </c>
      <c r="AX62">
        <f t="shared" si="22"/>
        <v>0</v>
      </c>
      <c r="AY62">
        <f t="shared" si="11"/>
        <v>0</v>
      </c>
      <c r="AZ62">
        <f t="shared" si="1"/>
        <v>1</v>
      </c>
      <c r="BA62">
        <f>_xlfn.XLOOKUP($B62, Constants!$E$27:$E$45,Constants!F$27:F$45)</f>
        <v>0.76</v>
      </c>
      <c r="BB62">
        <f>_xlfn.XLOOKUP($B62, Constants!$E$27:$E$45,Constants!G$27:G$45)</f>
        <v>5.0000000000000001E-3</v>
      </c>
      <c r="BC62">
        <f>_xlfn.XLOOKUP($B62, Constants!$E$27:$E$45,Constants!H$27:H$45)</f>
        <v>0.2</v>
      </c>
      <c r="BD62">
        <f>_xlfn.XLOOKUP($B62, Constants!$E$27:$E$45,Constants!I$27:I$45)</f>
        <v>0.02</v>
      </c>
      <c r="BE62">
        <f>_xlfn.XLOOKUP($A62, Constants!$E$18:$L$18,Constants!$E$23:$L$23)</f>
        <v>0.01</v>
      </c>
      <c r="BF62">
        <f>Constants!$B$48</f>
        <v>0.24</v>
      </c>
      <c r="BG62">
        <f>Constants!$B$49</f>
        <v>0.6784</v>
      </c>
      <c r="BH62" t="str">
        <f t="shared" si="23"/>
        <v/>
      </c>
      <c r="BI62" t="str">
        <f t="shared" si="23"/>
        <v/>
      </c>
      <c r="BJ62" t="str">
        <f t="shared" si="23"/>
        <v/>
      </c>
      <c r="BK62" t="str">
        <f t="shared" si="23"/>
        <v/>
      </c>
      <c r="BL62" t="str">
        <f t="shared" si="23"/>
        <v/>
      </c>
      <c r="BM62">
        <f>IF(ISNUMBER(FIND("PreWeaned",Y62)),_xlfn.XLOOKUP(Y62,Constants!$J$2:$J$3,Constants!$K$2:$K$3), "")</f>
        <v>2.0400000000000001E-2</v>
      </c>
      <c r="BN62">
        <f t="shared" si="13"/>
        <v>505.92</v>
      </c>
    </row>
    <row r="63" spans="1:67" s="16" customFormat="1" x14ac:dyDescent="0.2">
      <c r="A63" s="16" t="str">
        <f>'Input Scenarios'!A128</f>
        <v>SA</v>
      </c>
      <c r="B63" s="16">
        <f>'Input Scenarios'!B128</f>
        <v>17</v>
      </c>
      <c r="C63" s="16" t="str">
        <f>'Input Scenarios'!C128</f>
        <v>Irrigated crop</v>
      </c>
      <c r="D63" s="16" t="str">
        <f>'Input Scenarios'!D128</f>
        <v>dry</v>
      </c>
      <c r="E63" s="16" t="b">
        <f>'Input Scenarios'!E128</f>
        <v>1</v>
      </c>
      <c r="G63" s="16">
        <f>'Input Scenarios'!G128</f>
        <v>0.73</v>
      </c>
      <c r="H63" s="16">
        <f>'Input Scenarios'!H128</f>
        <v>0.16</v>
      </c>
      <c r="I63" s="16">
        <f>'Input Scenarios'!I128</f>
        <v>0.11</v>
      </c>
      <c r="J63" s="16">
        <f>'Input Scenarios'!J128</f>
        <v>0.1</v>
      </c>
      <c r="K63" s="16">
        <f>'Input Scenarios'!K128</f>
        <v>0.2</v>
      </c>
      <c r="L63" s="16">
        <f>'Input Scenarios'!L128</f>
        <v>0.3</v>
      </c>
      <c r="M63" s="16">
        <f>'Input Scenarios'!M128</f>
        <v>0.4</v>
      </c>
      <c r="N63" s="16">
        <f>'Input Scenarios'!N128</f>
        <v>0.4</v>
      </c>
      <c r="O63" s="16">
        <f>'Input Scenarios'!O128</f>
        <v>0.3</v>
      </c>
      <c r="P63" s="16">
        <f>'Input Scenarios'!P128</f>
        <v>0.2</v>
      </c>
      <c r="Q63" s="16">
        <f>'Input Scenarios'!Q128</f>
        <v>0.1</v>
      </c>
      <c r="R63" s="16" t="b">
        <f>'Input Scenarios'!R63</f>
        <v>0</v>
      </c>
      <c r="S63" s="16">
        <f>IF('Input Scenarios'!S128&lt;&gt;"", 'Input Scenarios'!S128, IF(R128, Constants!$B$38, 0))</f>
        <v>0</v>
      </c>
      <c r="T63" s="16" t="str">
        <f>IF('Input Scenarios'!T128&lt;&gt;"", 'Input Scenarios'!T128, "")</f>
        <v/>
      </c>
      <c r="U63" s="16">
        <f>IF('Input Scenarios'!U128&lt;&gt;"", 'Input Scenarios'!U128, IF(W63&lt;&gt;"", "", Constants!$B$39))</f>
        <v>4</v>
      </c>
      <c r="V63" s="16">
        <f>IF('Input Scenarios'!V128&lt;&gt;"", 'Input Scenarios'!V128, IF(W63&lt;&gt;"", "", Constants!$B$40))</f>
        <v>3.3</v>
      </c>
      <c r="W63" s="16" t="str">
        <f>IF('Input Scenarios'!W128&lt;&gt;"", 'Input Scenarios'!W128, "")</f>
        <v/>
      </c>
      <c r="X63" s="16" t="str">
        <f>'Input Scenarios'!X128</f>
        <v>Guernsey</v>
      </c>
      <c r="Y63" s="16" t="str">
        <f>'Input Scenarios'!Y128</f>
        <v>bullsLt1Weaned</v>
      </c>
      <c r="Z63" s="16">
        <f>'Input Scenarios'!Z128</f>
        <v>200</v>
      </c>
      <c r="AA63" s="16">
        <f>'Input Scenarios'!AA128</f>
        <v>294</v>
      </c>
      <c r="AB63" s="16">
        <f>'Input Scenarios'!AB128</f>
        <v>225</v>
      </c>
      <c r="AC63" s="16">
        <f>IF('Input Scenarios'!AC128&lt;&gt;"", 'Input Scenarios'!AC128, _xlfn.XLOOKUP(Y63, Constants!$B$13:$H$13, Constants!$B$15:$H$15, ""))</f>
        <v>0.8</v>
      </c>
      <c r="AD63" s="16">
        <f>IF('Input Scenarios'!AD128&lt;&gt;"", 'Input Scenarios'!AD128, Constants!$B$45)</f>
        <v>0.75</v>
      </c>
      <c r="AE63" s="16">
        <f>IF('Input Scenarios'!AE128&lt;&gt;"", 'Input Scenarios'!AE128, Constants!$B$46)</f>
        <v>0.2</v>
      </c>
      <c r="AF63" s="16">
        <f t="shared" si="26"/>
        <v>0</v>
      </c>
      <c r="AG63" s="16">
        <f t="shared" si="25"/>
        <v>0</v>
      </c>
      <c r="AH63" s="16">
        <f t="shared" si="25"/>
        <v>0</v>
      </c>
      <c r="AI63" s="16">
        <f t="shared" si="25"/>
        <v>0</v>
      </c>
      <c r="AJ63" s="16">
        <f t="shared" si="27"/>
        <v>1</v>
      </c>
      <c r="AK63" s="16">
        <f t="shared" si="24"/>
        <v>0</v>
      </c>
      <c r="AL63" s="16">
        <f>Constants!$B$44</f>
        <v>1.03</v>
      </c>
      <c r="AM63" s="16">
        <f>Constants!$B$41</f>
        <v>3.0539999999999998</v>
      </c>
      <c r="AN63" s="16">
        <f>Constants!$B$42</f>
        <v>18.399999999999999</v>
      </c>
      <c r="AO63" s="16">
        <f>Constants!$B$43</f>
        <v>0.6</v>
      </c>
      <c r="AP63" s="16">
        <f t="shared" si="6"/>
        <v>0.5948500000000001</v>
      </c>
      <c r="AQ63" s="16">
        <f t="shared" si="7"/>
        <v>0</v>
      </c>
      <c r="AR63" s="16">
        <f>IF(Y63="milkingCows", Constants!$P$2, Constants!$P$3)</f>
        <v>1</v>
      </c>
      <c r="AS63" s="19">
        <f t="shared" si="8"/>
        <v>5.4143472656250013</v>
      </c>
      <c r="AT63" s="16">
        <f>Constants!$B$47</f>
        <v>0.08</v>
      </c>
      <c r="AU63" s="16">
        <f t="shared" si="14"/>
        <v>1.4445478504687506</v>
      </c>
      <c r="AV63" s="16">
        <f t="shared" si="9"/>
        <v>0</v>
      </c>
      <c r="AW63" s="16">
        <f t="shared" ref="AW63:AX63" si="28">AG63</f>
        <v>0</v>
      </c>
      <c r="AX63" s="16">
        <f t="shared" si="28"/>
        <v>0</v>
      </c>
      <c r="AY63" s="16">
        <f t="shared" si="11"/>
        <v>0</v>
      </c>
      <c r="AZ63" s="16">
        <f t="shared" si="1"/>
        <v>1</v>
      </c>
      <c r="BA63" s="16">
        <f>_xlfn.XLOOKUP($B63, Constants!$E$27:$E$45,Constants!F$27:F$45)</f>
        <v>0.76</v>
      </c>
      <c r="BB63" s="16">
        <f>_xlfn.XLOOKUP($B63, Constants!$E$27:$E$45,Constants!G$27:G$45)</f>
        <v>5.0000000000000001E-3</v>
      </c>
      <c r="BC63" s="16">
        <f>_xlfn.XLOOKUP($B63, Constants!$E$27:$E$45,Constants!H$27:H$45)</f>
        <v>0.2</v>
      </c>
      <c r="BD63" s="16">
        <f>_xlfn.XLOOKUP($B63, Constants!$E$27:$E$45,Constants!I$27:I$45)</f>
        <v>0.02</v>
      </c>
      <c r="BE63" s="16">
        <f>_xlfn.XLOOKUP($A63, Constants!$E$18:$L$18,Constants!$E$23:$L$23)</f>
        <v>0.01</v>
      </c>
      <c r="BF63" s="16">
        <f>Constants!$B$48</f>
        <v>0.24</v>
      </c>
      <c r="BG63" s="16">
        <f>Constants!$B$49</f>
        <v>0.6784</v>
      </c>
      <c r="BH63" s="16">
        <f t="shared" ref="BH63:BL63" si="29">IF(ISNUMBER(FIND("PreWeaned",$Y63)), "", $AU63*AV63*BA63*$BF63*$BG63)</f>
        <v>0</v>
      </c>
      <c r="BI63" s="16">
        <f t="shared" si="29"/>
        <v>0</v>
      </c>
      <c r="BJ63" s="16">
        <f t="shared" si="29"/>
        <v>0</v>
      </c>
      <c r="BK63" s="16">
        <f t="shared" si="29"/>
        <v>0</v>
      </c>
      <c r="BL63" s="16">
        <f t="shared" si="29"/>
        <v>2.351955028219201E-3</v>
      </c>
      <c r="BM63" s="16" t="str">
        <f>IF(ISNUMBER(FIND("PreWeaned",Y63)),_xlfn.XLOOKUP(Y63,Constants!$J$2:$J$3,Constants!$K$2:$K$3), "")</f>
        <v/>
      </c>
      <c r="BN63" s="16">
        <f t="shared" si="13"/>
        <v>138.29495565928903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94B2-E155-BF4D-904B-88D383A73695}">
  <dimension ref="A3:BU63"/>
  <sheetViews>
    <sheetView topLeftCell="AI1" workbookViewId="0">
      <selection activeCell="AZ8" sqref="AZ8:AZ63"/>
    </sheetView>
  </sheetViews>
  <sheetFormatPr baseColWidth="10" defaultRowHeight="16" x14ac:dyDescent="0.2"/>
  <sheetData>
    <row r="3" spans="1:73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</row>
    <row r="5" spans="1:73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  <c r="AW5" t="s">
        <v>165</v>
      </c>
    </row>
    <row r="6" spans="1:73" x14ac:dyDescent="0.2">
      <c r="U6" t="s">
        <v>132</v>
      </c>
      <c r="V6" t="s">
        <v>132</v>
      </c>
      <c r="W6" t="s">
        <v>80</v>
      </c>
      <c r="AK6" t="s">
        <v>80</v>
      </c>
    </row>
    <row r="7" spans="1:73" s="16" customFormat="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129</v>
      </c>
      <c r="U7" s="10" t="s">
        <v>82</v>
      </c>
      <c r="V7" s="10" t="s">
        <v>83</v>
      </c>
      <c r="W7" s="10" t="s">
        <v>79</v>
      </c>
      <c r="X7" s="10"/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  <c r="AF7" s="10" t="s">
        <v>67</v>
      </c>
      <c r="AG7" s="10" t="s">
        <v>68</v>
      </c>
      <c r="AH7" s="10" t="s">
        <v>69</v>
      </c>
      <c r="AI7" s="10" t="s">
        <v>70</v>
      </c>
      <c r="AJ7" s="10" t="s">
        <v>138</v>
      </c>
      <c r="AK7" s="10" t="s">
        <v>134</v>
      </c>
      <c r="AL7" s="10"/>
      <c r="AM7" s="10" t="s">
        <v>124</v>
      </c>
      <c r="AN7" s="10" t="s">
        <v>125</v>
      </c>
      <c r="AO7" s="10" t="s">
        <v>127</v>
      </c>
      <c r="AP7" s="10" t="s">
        <v>136</v>
      </c>
      <c r="AQ7" s="10" t="s">
        <v>137</v>
      </c>
      <c r="AR7" s="10" t="s">
        <v>98</v>
      </c>
      <c r="AS7" s="10" t="s">
        <v>97</v>
      </c>
      <c r="AT7" s="10" t="s">
        <v>160</v>
      </c>
      <c r="AU7" s="10" t="s">
        <v>161</v>
      </c>
      <c r="AV7" s="10" t="s">
        <v>162</v>
      </c>
      <c r="AW7" s="10"/>
      <c r="AX7" s="10" t="s">
        <v>88</v>
      </c>
      <c r="AY7" s="10" t="s">
        <v>163</v>
      </c>
      <c r="AZ7" s="10" t="s">
        <v>166</v>
      </c>
      <c r="BA7" s="10" t="s">
        <v>118</v>
      </c>
      <c r="BB7" s="10" t="s">
        <v>167</v>
      </c>
      <c r="BC7" s="10" t="s">
        <v>168</v>
      </c>
      <c r="BD7" s="10" t="s">
        <v>171</v>
      </c>
      <c r="BE7" s="10" t="s">
        <v>172</v>
      </c>
      <c r="BF7" s="10" t="s">
        <v>169</v>
      </c>
      <c r="BG7" s="10" t="s">
        <v>170</v>
      </c>
      <c r="BH7" s="10" t="s">
        <v>173</v>
      </c>
      <c r="BI7" s="10" t="s">
        <v>176</v>
      </c>
      <c r="BJ7" s="10" t="s">
        <v>177</v>
      </c>
      <c r="BK7" s="10" t="s">
        <v>174</v>
      </c>
      <c r="BL7" s="10" t="s">
        <v>175</v>
      </c>
      <c r="BM7" s="10" t="s">
        <v>117</v>
      </c>
      <c r="BN7" s="10" t="s">
        <v>94</v>
      </c>
      <c r="BO7" s="15" t="s">
        <v>182</v>
      </c>
      <c r="BP7" s="15" t="s">
        <v>181</v>
      </c>
      <c r="BQ7" s="15" t="s">
        <v>180</v>
      </c>
      <c r="BR7" s="15" t="s">
        <v>178</v>
      </c>
      <c r="BS7" s="15" t="s">
        <v>179</v>
      </c>
      <c r="BT7" s="15" t="s">
        <v>196</v>
      </c>
      <c r="BU7" s="15" t="s">
        <v>183</v>
      </c>
    </row>
    <row r="8" spans="1:73" x14ac:dyDescent="0.2">
      <c r="A8" t="str">
        <f>'Input Scenarios'!A8</f>
        <v>NSW</v>
      </c>
      <c r="B8">
        <f>'Input Scenarios'!B8</f>
        <v>0</v>
      </c>
      <c r="C8" t="str">
        <f>'Input Scenarios'!C8</f>
        <v>Non-irrigated pasture</v>
      </c>
      <c r="D8" t="str">
        <f>'Input Scenarios'!D8</f>
        <v>wet</v>
      </c>
      <c r="E8" t="b">
        <f>'Input Scenarios'!E8</f>
        <v>0</v>
      </c>
      <c r="F8" t="str">
        <f>'Input Scenarios'!F8</f>
        <v>Limited grazing</v>
      </c>
      <c r="G8">
        <f>IF('Input Scenarios'!G8&lt;&gt;"", 'Input Scenarios'!G8, _xlfn.XLOOKUP($F8, Constants!$M$6:$M$9,Constants!N$6:N$9))</f>
        <v>0.53400000000000003</v>
      </c>
      <c r="H8">
        <f>IF('Input Scenarios'!H8&lt;&gt;"", 'Input Scenarios'!H8, _xlfn.XLOOKUP($F8, Constants!$M$6:$M$9,Constants!O$6:O$9))</f>
        <v>0.11</v>
      </c>
      <c r="I8">
        <f>IF('Input Scenarios'!I8&lt;&gt;"", 'Input Scenarios'!I8, _xlfn.XLOOKUP($F8, Constants!$M$6:$M$9,Constants!P$6:P$9))</f>
        <v>0.35599999999999998</v>
      </c>
      <c r="J8">
        <f>'Input Scenarios'!J8</f>
        <v>0.25</v>
      </c>
      <c r="K8">
        <f>'Input Scenarios'!K8</f>
        <v>0.25</v>
      </c>
      <c r="L8">
        <f>'Input Scenarios'!L8</f>
        <v>0.25</v>
      </c>
      <c r="M8">
        <f>'Input Scenarios'!M8</f>
        <v>0.25</v>
      </c>
      <c r="N8">
        <f>'Input Scenarios'!N8</f>
        <v>0.25</v>
      </c>
      <c r="O8">
        <f>'Input Scenarios'!O8</f>
        <v>0.25</v>
      </c>
      <c r="P8">
        <f>'Input Scenarios'!P8</f>
        <v>0.25</v>
      </c>
      <c r="Q8">
        <f>'Input Scenarios'!Q8</f>
        <v>0.25</v>
      </c>
      <c r="R8" t="b">
        <f>'Input Scenarios'!R8</f>
        <v>1</v>
      </c>
      <c r="S8">
        <f>IF('Input Scenarios'!S8&lt;&gt;"", 'Input Scenarios'!S8, IF(R8, Constants!$B$38, 0))</f>
        <v>0.2</v>
      </c>
      <c r="T8" t="str">
        <f>IF('Input Scenarios'!T8&lt;&gt;"", 'Input Scenarios'!T8, "")</f>
        <v/>
      </c>
      <c r="U8" t="str">
        <f>IF('Input Scenarios'!U8&lt;&gt;"", 'Input Scenarios'!U8, IF(W8&lt;&gt;"", "", Constants!$B$39))</f>
        <v/>
      </c>
      <c r="V8" t="str">
        <f>IF('Input Scenarios'!V8&lt;&gt;"", 'Input Scenarios'!V8, IF(W8&lt;&gt;"", "", Constants!$B$40))</f>
        <v/>
      </c>
      <c r="W8">
        <f>IF('Input Scenarios'!W8&lt;&gt;"", 'Input Scenarios'!W8, "")</f>
        <v>15</v>
      </c>
      <c r="X8" t="str">
        <f>'Input Scenarios'!X8</f>
        <v>Medium Friesian</v>
      </c>
      <c r="Y8" t="str">
        <f>'Input Scenarios'!Y8</f>
        <v>milkingCows</v>
      </c>
      <c r="Z8">
        <f>'Input Scenarios'!Z8</f>
        <v>200</v>
      </c>
      <c r="AA8">
        <f>IF('Input Scenarios'!AA8&lt;&gt;"", 'Input Scenarios'!AA8, _xlfn.XLOOKUP(Y8,Constants!$J$6:$J$12,Constants!$K$6:$K$12))</f>
        <v>365</v>
      </c>
      <c r="AB8">
        <f>IF('Input Scenarios'!AB8&lt;&gt;"", 'Input Scenarios'!AB8, INDEX(Constants!$B$2:$H$11, MATCH(X8, Constants!$A$2:$A$11, 0), MATCH(Y8,Constants!$B$1:$H$1, 0)))</f>
        <v>550</v>
      </c>
      <c r="AC8">
        <f>IF('Input Scenarios'!AC8&lt;&gt;"", 'Input Scenarios'!AC8, _xlfn.XLOOKUP(Y8, Constants!$B$13:$H$13, Constants!$B$15:$H$15, ""))</f>
        <v>1.6E-2</v>
      </c>
      <c r="AD8">
        <f>IF('Input Scenarios'!AD8&lt;&gt;"", 'Input Scenarios'!AD8, Constants!$B$45)</f>
        <v>0.75</v>
      </c>
      <c r="AE8">
        <f>IF('Input Scenarios'!AE8&lt;&gt;"", 'Input Scenarios'!AE8, Constants!$B$46)</f>
        <v>0.2</v>
      </c>
      <c r="AF8" s="20">
        <f>IF($Y8="milkingCows",($H8*J8)+($I8*N8), 0)</f>
        <v>0.11649999999999999</v>
      </c>
      <c r="AG8" s="20">
        <f t="shared" ref="AG8:AI23" si="0">IF($Y8="milkingCows",($H8*K8)+($I8*O8), 0)</f>
        <v>0.11649999999999999</v>
      </c>
      <c r="AH8" s="20">
        <f t="shared" si="0"/>
        <v>0.11649999999999999</v>
      </c>
      <c r="AI8" s="20">
        <f t="shared" si="0"/>
        <v>0.11649999999999999</v>
      </c>
      <c r="AJ8" s="20">
        <f>IF($Y8="milkingCows",G8, 1)</f>
        <v>0.53400000000000003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0.5948500000000001</v>
      </c>
      <c r="AQ8">
        <f>(AK8*AL8*AM8)/(AN8*AO8*AP8)</f>
        <v>7.1849041227053947</v>
      </c>
      <c r="AR8">
        <f>IF(Y8="milkingCows", Constants!$P$2, Constants!$P$3)</f>
        <v>1.1000000000000001</v>
      </c>
      <c r="AS8">
        <f>IFERROR(((1.185+(0.00454*AB8)-(0.0000026*(AB8^2))+(0.315*AC8))^2*AR8+AQ8), "")</f>
        <v>16.439349643465398</v>
      </c>
      <c r="AT8">
        <f>IFERROR(((1.185+(0.00454*AB8)-(0.0000026*(AB8^2))+(0.315*AC8))^2*AR8+AQ8)/((1.185+(0.00454*AB8)-(0.0000026*(AB8^2)))^2*AR8+AQ8), "")</f>
        <v>1.0019584824738763</v>
      </c>
      <c r="AU8">
        <f>_xlfn.XLOOKUP(Y8, Constants!$B$13:$H$13, Constants!$B$14:$H$14, "")</f>
        <v>590</v>
      </c>
      <c r="AV8">
        <f>IFERROR(AB8/AU8, "")</f>
        <v>0.93220338983050843</v>
      </c>
      <c r="AW8">
        <f>Constants!$B$55</f>
        <v>6.25</v>
      </c>
      <c r="AX8" s="20">
        <f t="shared" ref="AX8:AX39" si="1">IFERROR((((0.212 - (0.008*(AT8-2)) - (0.14-0.008*(AT8-2))/(1+EXP(-6*(AV8-0.4)))) * AC8 * 0.92)/AW8) + (0.032*AK8*AL8)/6.38, "")</f>
        <v>7.7675477144195801E-2</v>
      </c>
      <c r="AY8">
        <f t="shared" ref="AY8:AY39" si="2">IFERROR(AE8*AS8, "")</f>
        <v>3.2878699286930799</v>
      </c>
      <c r="AZ8">
        <f>IF(ISNUMBER(FIND("PreWeaned",Y8)),"", MAX((AY8/AW8)-AX8-(((1.1*10^-4)*(AB8^0.75))/AW8), 0))</f>
        <v>0.44638484082535895</v>
      </c>
      <c r="BA8" t="str">
        <f>IF(ISNUMBER(FIND("PreWeaned",Y8)),_xlfn.XLOOKUP(Y8,Constants!$J$2:$J$3,Constants!$M$2:$M$3),"")</f>
        <v/>
      </c>
      <c r="BB8">
        <f t="shared" ref="BB8:BB39" si="3">SUM(AZ8:BA8)*Z8*AA8</f>
        <v>32586.093380251205</v>
      </c>
      <c r="BC8">
        <f t="shared" ref="BC8:BC39" si="4">$BB8*AF8</f>
        <v>3796.2798787992651</v>
      </c>
      <c r="BD8">
        <f t="shared" ref="BD8:BD39" si="5">$BB8*AG8</f>
        <v>3796.2798787992651</v>
      </c>
      <c r="BE8">
        <f t="shared" ref="BE8:BE39" si="6">$BB8*AH8</f>
        <v>3796.2798787992651</v>
      </c>
      <c r="BF8">
        <f t="shared" ref="BF8:BF39" si="7">$BB8*AI8</f>
        <v>3796.2798787992651</v>
      </c>
      <c r="BG8">
        <f t="shared" ref="BG8:BG39" si="8">$BB8*AJ8</f>
        <v>17400.973865054144</v>
      </c>
      <c r="BH8">
        <f>Constants!$C$19</f>
        <v>0</v>
      </c>
      <c r="BI8">
        <f>Constants!$C$20</f>
        <v>0</v>
      </c>
      <c r="BJ8">
        <f>Constants!$C$21</f>
        <v>0</v>
      </c>
      <c r="BK8">
        <f>Constants!$C$22</f>
        <v>5.0000000000000001E-3</v>
      </c>
      <c r="BL8">
        <f>Constants!$C$23</f>
        <v>0</v>
      </c>
      <c r="BM8">
        <f>Constants!$B$50</f>
        <v>1.57</v>
      </c>
      <c r="BN8">
        <f>_xlfn.XLOOKUP(D8,Constants!$A$34:$A$35,Constants!$B$34:$B$35)</f>
        <v>6.0000000000000001E-3</v>
      </c>
      <c r="BO8">
        <f>BC8*BH8*$BM8</f>
        <v>0</v>
      </c>
      <c r="BP8">
        <f t="shared" ref="BP8:BS8" si="9">BD8*BI8*$BM8</f>
        <v>0</v>
      </c>
      <c r="BQ8">
        <f t="shared" si="9"/>
        <v>0</v>
      </c>
      <c r="BR8">
        <f t="shared" si="9"/>
        <v>29.800797048574236</v>
      </c>
      <c r="BS8">
        <f t="shared" si="9"/>
        <v>0</v>
      </c>
      <c r="BT8">
        <f>BG8*BN8*BM8</f>
        <v>163.91717380881005</v>
      </c>
      <c r="BU8">
        <f>SUM(BO8:BT14)/1000</f>
        <v>0.6905656626779243</v>
      </c>
    </row>
    <row r="9" spans="1:73" x14ac:dyDescent="0.2">
      <c r="A9" t="str">
        <f>'Input Scenarios'!A9</f>
        <v>NSW</v>
      </c>
      <c r="B9">
        <f>'Input Scenarios'!B9</f>
        <v>0</v>
      </c>
      <c r="C9" t="str">
        <f>'Input Scenarios'!C9</f>
        <v>Non-irrigated pasture</v>
      </c>
      <c r="D9" t="str">
        <f>'Input Scenarios'!D9</f>
        <v>wet</v>
      </c>
      <c r="E9" t="b">
        <f>'Input Scenarios'!E9</f>
        <v>0</v>
      </c>
      <c r="F9" t="str">
        <f>'Input Scenarios'!F9</f>
        <v>Limited grazing</v>
      </c>
      <c r="G9">
        <f>IF('Input Scenarios'!G9&lt;&gt;"", 'Input Scenarios'!G9, _xlfn.XLOOKUP($F9, Constants!$M$6:$M$9,Constants!N$6:N$9))</f>
        <v>0.53400000000000003</v>
      </c>
      <c r="H9">
        <f>IF('Input Scenarios'!H9&lt;&gt;"", 'Input Scenarios'!H9, _xlfn.XLOOKUP($F9, Constants!$M$6:$M$9,Constants!O$6:O$9))</f>
        <v>0.11</v>
      </c>
      <c r="I9">
        <f>IF('Input Scenarios'!I9&lt;&gt;"", 'Input Scenarios'!I9, _xlfn.XLOOKUP($F9, Constants!$M$6:$M$9,Constants!P$6:P$9))</f>
        <v>0.35599999999999998</v>
      </c>
      <c r="J9">
        <f>'Input Scenarios'!J9</f>
        <v>0.25</v>
      </c>
      <c r="K9">
        <f>'Input Scenarios'!K9</f>
        <v>0.25</v>
      </c>
      <c r="L9">
        <f>'Input Scenarios'!L9</f>
        <v>0.25</v>
      </c>
      <c r="M9">
        <f>'Input Scenarios'!M9</f>
        <v>0.25</v>
      </c>
      <c r="N9">
        <f>'Input Scenarios'!N9</f>
        <v>0.25</v>
      </c>
      <c r="O9">
        <f>'Input Scenarios'!O9</f>
        <v>0.25</v>
      </c>
      <c r="P9">
        <f>'Input Scenarios'!P9</f>
        <v>0.25</v>
      </c>
      <c r="Q9">
        <f>'Input Scenarios'!Q9</f>
        <v>0.25</v>
      </c>
      <c r="R9" t="b">
        <f>'Input Scenarios'!R9</f>
        <v>1</v>
      </c>
      <c r="S9">
        <f>IF('Input Scenarios'!S9&lt;&gt;"", 'Input Scenarios'!S9, IF(R9, Constants!$B$38, 0))</f>
        <v>0.2</v>
      </c>
      <c r="T9" t="str">
        <f>IF('Input Scenarios'!T9&lt;&gt;"", 'Input Scenarios'!T9, "")</f>
        <v/>
      </c>
      <c r="U9">
        <f>IF('Input Scenarios'!U9&lt;&gt;"", 'Input Scenarios'!U9, IF(W9&lt;&gt;"", "", Constants!$B$39))</f>
        <v>4</v>
      </c>
      <c r="V9">
        <f>IF('Input Scenarios'!V9&lt;&gt;"", 'Input Scenarios'!V9, IF(W9&lt;&gt;"", "", Constants!$B$40))</f>
        <v>3.3</v>
      </c>
      <c r="W9" t="str">
        <f>IF('Input Scenarios'!W9&lt;&gt;"", 'Input Scenarios'!W9, "")</f>
        <v/>
      </c>
      <c r="X9" t="str">
        <f>'Input Scenarios'!X9</f>
        <v>Medium Friesian</v>
      </c>
      <c r="Y9" t="str">
        <f>'Input Scenarios'!Y9</f>
        <v>heifersGt1</v>
      </c>
      <c r="Z9">
        <f>'Input Scenarios'!Z9</f>
        <v>200</v>
      </c>
      <c r="AA9">
        <f>IF('Input Scenarios'!AA9&lt;&gt;"", 'Input Scenarios'!AA9, _xlfn.XLOOKUP(Y9,Constants!$J$6:$J$12,Constants!$K$6:$K$12))</f>
        <v>365</v>
      </c>
      <c r="AB9">
        <f>IF('Input Scenarios'!AB9&lt;&gt;"", 'Input Scenarios'!AB9, INDEX(Constants!$B$2:$H$11, MATCH(X9, Constants!$A$2:$A$11, 0), MATCH(Y9,Constants!$B$1:$H$1, 0)))</f>
        <v>380</v>
      </c>
      <c r="AC9">
        <f>IF('Input Scenarios'!AC9&lt;&gt;"", 'Input Scenarios'!AC9, _xlfn.XLOOKUP(Y9, Constants!$B$13:$H$13, Constants!$B$15:$H$15, ""))</f>
        <v>0.6</v>
      </c>
      <c r="AD9">
        <f>IF('Input Scenarios'!AD9&lt;&gt;"", 'Input Scenarios'!AD9, Constants!$B$45)</f>
        <v>0.75</v>
      </c>
      <c r="AE9">
        <f>IF('Input Scenarios'!AE9&lt;&gt;"", 'Input Scenarios'!AE9, Constants!$B$46)</f>
        <v>0.2</v>
      </c>
      <c r="AF9">
        <f t="shared" ref="AF9:AI24" si="10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11">IF($Y9="milkingCows",G9, 1)</f>
        <v>1</v>
      </c>
      <c r="AK9">
        <f t="shared" ref="AK9:AK13" si="12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14" si="13">0.795*(AD9)-0.0014</f>
        <v>0.5948500000000001</v>
      </c>
      <c r="AQ9">
        <f t="shared" ref="AQ9:AQ14" si="14">(AK9*AL9*AM9)/(AN9*AO9*AP9)</f>
        <v>0</v>
      </c>
      <c r="AR9">
        <f>IF(Y9="milkingCows", Constants!$P$2, Constants!$P$3)</f>
        <v>1</v>
      </c>
      <c r="AS9">
        <f t="shared" ref="AS9:AS14" si="15">IFERROR(((1.185+(0.00454*AB9)-(0.0000026*(AB9^2))+(0.315*AC9))^2*AR9+AQ9), "")</f>
        <v>7.4188685375999972</v>
      </c>
      <c r="AT9">
        <f t="shared" ref="AT9:AT14" si="16">IFERROR(((1.185+(0.00454*AB9)-(0.0000026*(AB9^2))+(0.315*AC9))^2*AR9+AQ9)/((1.185+(0.00454*AB9)-(0.0000026*(AB9^2)))^2*AR9+AQ9), "")</f>
        <v>1.1546862260954116</v>
      </c>
      <c r="AU9">
        <f>_xlfn.XLOOKUP(Y9, Constants!$B$13:$H$13, Constants!$B$14:$H$14, "")</f>
        <v>590</v>
      </c>
      <c r="AV9">
        <f t="shared" ref="AV9:AV14" si="17">IFERROR(AB9/AU9, "")</f>
        <v>0.64406779661016944</v>
      </c>
      <c r="AW9">
        <f>Constants!$B$55</f>
        <v>6.25</v>
      </c>
      <c r="AX9">
        <f t="shared" si="1"/>
        <v>8.7932411900846167E-3</v>
      </c>
      <c r="AY9">
        <f t="shared" si="2"/>
        <v>1.4837737075199995</v>
      </c>
      <c r="AZ9">
        <f t="shared" ref="AZ9:AZ63" si="18">IF(ISNUMBER(FIND("PreWeaned",Y9)),"", MAX((AY9/AW9)-AX9-(((1.1*10^-4)*(AB9^0.75))/AW9), 0))</f>
        <v>0.22709576921272823</v>
      </c>
      <c r="BA9" t="str">
        <f>IF(ISNUMBER(FIND("PreWeaned",Y9)),_xlfn.XLOOKUP(Y9,Constants!$J$2:$J$3,Constants!$M$2:$M$3),"")</f>
        <v/>
      </c>
      <c r="BB9">
        <f t="shared" si="3"/>
        <v>16577.991152529161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16577.991152529161</v>
      </c>
      <c r="BH9">
        <f>Constants!$C$19</f>
        <v>0</v>
      </c>
      <c r="BI9">
        <f>Constants!$C$20</f>
        <v>0</v>
      </c>
      <c r="BJ9">
        <f>Constants!$C$21</f>
        <v>0</v>
      </c>
      <c r="BK9">
        <f>Constants!$C$22</f>
        <v>5.0000000000000001E-3</v>
      </c>
      <c r="BL9">
        <f>Constants!$C$23</f>
        <v>0</v>
      </c>
      <c r="BM9">
        <f>Constants!$B$50</f>
        <v>1.57</v>
      </c>
      <c r="BN9">
        <f>_xlfn.XLOOKUP(D9,Constants!$A$34:$A$35,Constants!$B$34:$B$35)</f>
        <v>6.0000000000000001E-3</v>
      </c>
      <c r="BO9">
        <f t="shared" ref="BO9:BO14" si="19">BC9*BH9*$BM9</f>
        <v>0</v>
      </c>
      <c r="BP9">
        <f t="shared" ref="BP9:BP14" si="20">BD9*BI9*$BM9</f>
        <v>0</v>
      </c>
      <c r="BQ9">
        <f t="shared" ref="BQ9:BQ14" si="21">BE9*BJ9*$BM9</f>
        <v>0</v>
      </c>
      <c r="BR9">
        <f t="shared" ref="BR9:BR14" si="22">BF9*BK9*$BM9</f>
        <v>0</v>
      </c>
      <c r="BS9">
        <f t="shared" ref="BS9:BS14" si="23">BG9*BL9*$BM9</f>
        <v>0</v>
      </c>
      <c r="BT9">
        <f t="shared" ref="BT9:BT14" si="24">BG9*BN9*BM9</f>
        <v>156.1646766568247</v>
      </c>
    </row>
    <row r="10" spans="1:73" x14ac:dyDescent="0.2">
      <c r="A10" t="str">
        <f>'Input Scenarios'!A10</f>
        <v>NSW</v>
      </c>
      <c r="B10">
        <f>'Input Scenarios'!B10</f>
        <v>0</v>
      </c>
      <c r="C10" t="str">
        <f>'Input Scenarios'!C10</f>
        <v>Non-irrigated pasture</v>
      </c>
      <c r="D10" t="str">
        <f>'Input Scenarios'!D10</f>
        <v>wet</v>
      </c>
      <c r="E10" t="b">
        <f>'Input Scenarios'!E10</f>
        <v>0</v>
      </c>
      <c r="F10" t="str">
        <f>'Input Scenarios'!F10</f>
        <v>Limited grazing</v>
      </c>
      <c r="G10">
        <f>IF('Input Scenarios'!G10&lt;&gt;"", 'Input Scenarios'!G10, _xlfn.XLOOKUP($F10, Constants!$M$6:$M$9,Constants!N$6:N$9))</f>
        <v>0.53400000000000003</v>
      </c>
      <c r="H10">
        <f>IF('Input Scenarios'!H10&lt;&gt;"", 'Input Scenarios'!H10, _xlfn.XLOOKUP($F10, Constants!$M$6:$M$9,Constants!O$6:O$9))</f>
        <v>0.11</v>
      </c>
      <c r="I10">
        <f>IF('Input Scenarios'!I10&lt;&gt;"", 'Input Scenarios'!I10, _xlfn.XLOOKUP($F10, Constants!$M$6:$M$9,Constants!P$6:P$9))</f>
        <v>0.35599999999999998</v>
      </c>
      <c r="J10">
        <f>'Input Scenarios'!J10</f>
        <v>0.25</v>
      </c>
      <c r="K10">
        <f>'Input Scenarios'!K10</f>
        <v>0.25</v>
      </c>
      <c r="L10">
        <f>'Input Scenarios'!L10</f>
        <v>0.25</v>
      </c>
      <c r="M10">
        <f>'Input Scenarios'!M10</f>
        <v>0.25</v>
      </c>
      <c r="N10">
        <f>'Input Scenarios'!N10</f>
        <v>0.25</v>
      </c>
      <c r="O10">
        <f>'Input Scenarios'!O10</f>
        <v>0.25</v>
      </c>
      <c r="P10">
        <f>'Input Scenarios'!P10</f>
        <v>0.25</v>
      </c>
      <c r="Q10">
        <f>'Input Scenarios'!Q10</f>
        <v>0.25</v>
      </c>
      <c r="R10" t="b">
        <f>'Input Scenarios'!R10</f>
        <v>1</v>
      </c>
      <c r="S10">
        <f>IF('Input Scenarios'!S10&lt;&gt;"", 'Input Scenarios'!S10, IF(R10, Constants!$B$38, 0))</f>
        <v>0.2</v>
      </c>
      <c r="T10" t="str">
        <f>IF('Input Scenarios'!T10&lt;&gt;"", 'Input Scenarios'!T10, "")</f>
        <v/>
      </c>
      <c r="U10">
        <f>IF('Input Scenarios'!U10&lt;&gt;"", 'Input Scenarios'!U10, IF(W10&lt;&gt;"", "", Constants!$B$39))</f>
        <v>4</v>
      </c>
      <c r="V10">
        <f>IF('Input Scenarios'!V10&lt;&gt;"", 'Input Scenarios'!V10, IF(W10&lt;&gt;"", "", Constants!$B$40))</f>
        <v>3.3</v>
      </c>
      <c r="W10" t="str">
        <f>IF('Input Scenarios'!W10&lt;&gt;"", 'Input Scenarios'!W10, "")</f>
        <v/>
      </c>
      <c r="X10" t="str">
        <f>'Input Scenarios'!X10</f>
        <v>Medium Friesian</v>
      </c>
      <c r="Y10" t="str">
        <f>'Input Scenarios'!Y10</f>
        <v>heifersLt1PreWeaned</v>
      </c>
      <c r="Z10">
        <f>'Input Scenarios'!Z10</f>
        <v>200</v>
      </c>
      <c r="AA10">
        <f>IF('Input Scenarios'!AA10&lt;&gt;"", 'Input Scenarios'!AA10, _xlfn.XLOOKUP(Y10,Constants!$J$6:$J$12,Constants!$K$6:$K$12))</f>
        <v>84</v>
      </c>
      <c r="AB10">
        <f>IF('Input Scenarios'!AB10&lt;&gt;"", 'Input Scenarios'!AB10, INDEX(Constants!$B$2:$H$11, MATCH(X10, Constants!$A$2:$A$11, 0), MATCH(Y10,Constants!$B$1:$H$1, 0)))</f>
        <v>155</v>
      </c>
      <c r="AC10" t="str">
        <f>IF('Input Scenarios'!AC10&lt;&gt;"", 'Input Scenarios'!AC10, _xlfn.XLOOKUP(Y10, Constants!$B$13:$H$13, Constants!$B$15:$H$15, ""))</f>
        <v/>
      </c>
      <c r="AD10">
        <f>IF('Input Scenarios'!AD10&lt;&gt;"", 'Input Scenarios'!AD10, Constants!$B$45)</f>
        <v>0.75</v>
      </c>
      <c r="AE10">
        <f>IF('Input Scenarios'!AE10&lt;&gt;"", 'Input Scenarios'!AE10, Constants!$B$46)</f>
        <v>0.2</v>
      </c>
      <c r="AF10">
        <f t="shared" si="1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11"/>
        <v>1</v>
      </c>
      <c r="AK10">
        <f t="shared" si="12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13"/>
        <v>0.5948500000000001</v>
      </c>
      <c r="AQ10">
        <f t="shared" si="14"/>
        <v>0</v>
      </c>
      <c r="AR10">
        <f>IF(Y10="milkingCows", Constants!$P$2, Constants!$P$3)</f>
        <v>1</v>
      </c>
      <c r="AS10" t="str">
        <f t="shared" si="15"/>
        <v/>
      </c>
      <c r="AT10" t="str">
        <f t="shared" si="16"/>
        <v/>
      </c>
      <c r="AU10" t="str">
        <f>_xlfn.XLOOKUP(Y10, Constants!$B$13:$H$13, Constants!$B$14:$H$14, "")</f>
        <v/>
      </c>
      <c r="AV10" t="str">
        <f t="shared" si="17"/>
        <v/>
      </c>
      <c r="AW10">
        <f>Constants!$B$55</f>
        <v>6.25</v>
      </c>
      <c r="AX10" t="str">
        <f t="shared" si="1"/>
        <v/>
      </c>
      <c r="AY10" t="str">
        <f t="shared" si="2"/>
        <v/>
      </c>
      <c r="AZ10" t="str">
        <f t="shared" si="18"/>
        <v/>
      </c>
      <c r="BA10">
        <f>IF(ISNUMBER(FIND("PreWeaned",Y10)),_xlfn.XLOOKUP(Y10,Constants!$J$2:$J$3,Constants!$M$2:$M$3),"")</f>
        <v>1.37E-2</v>
      </c>
      <c r="BB10">
        <f t="shared" si="3"/>
        <v>230.16000000000003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230.16000000000003</v>
      </c>
      <c r="BH10">
        <f>Constants!$C$19</f>
        <v>0</v>
      </c>
      <c r="BI10">
        <f>Constants!$C$20</f>
        <v>0</v>
      </c>
      <c r="BJ10">
        <f>Constants!$C$21</f>
        <v>0</v>
      </c>
      <c r="BK10">
        <f>Constants!$C$22</f>
        <v>5.0000000000000001E-3</v>
      </c>
      <c r="BL10">
        <f>Constants!$C$23</f>
        <v>0</v>
      </c>
      <c r="BM10">
        <f>Constants!$B$50</f>
        <v>1.57</v>
      </c>
      <c r="BN10">
        <f>_xlfn.XLOOKUP(D10,Constants!$A$34:$A$35,Constants!$B$34:$B$35)</f>
        <v>6.0000000000000001E-3</v>
      </c>
      <c r="BO10">
        <f t="shared" si="19"/>
        <v>0</v>
      </c>
      <c r="BP10">
        <f t="shared" si="20"/>
        <v>0</v>
      </c>
      <c r="BQ10">
        <f t="shared" si="21"/>
        <v>0</v>
      </c>
      <c r="BR10">
        <f t="shared" si="22"/>
        <v>0</v>
      </c>
      <c r="BS10">
        <f t="shared" si="23"/>
        <v>0</v>
      </c>
      <c r="BT10">
        <f t="shared" si="24"/>
        <v>2.1681072000000006</v>
      </c>
    </row>
    <row r="11" spans="1:73" x14ac:dyDescent="0.2">
      <c r="A11" t="str">
        <f>'Input Scenarios'!A11</f>
        <v>NSW</v>
      </c>
      <c r="B11">
        <f>'Input Scenarios'!B11</f>
        <v>0</v>
      </c>
      <c r="C11" t="str">
        <f>'Input Scenarios'!C11</f>
        <v>Non-irrigated pasture</v>
      </c>
      <c r="D11" t="str">
        <f>'Input Scenarios'!D11</f>
        <v>wet</v>
      </c>
      <c r="E11" t="b">
        <f>'Input Scenarios'!E11</f>
        <v>0</v>
      </c>
      <c r="F11" t="str">
        <f>'Input Scenarios'!F11</f>
        <v>Limited grazing</v>
      </c>
      <c r="G11">
        <f>IF('Input Scenarios'!G11&lt;&gt;"", 'Input Scenarios'!G11, _xlfn.XLOOKUP($F11, Constants!$M$6:$M$9,Constants!N$6:N$9))</f>
        <v>0.53400000000000003</v>
      </c>
      <c r="H11">
        <f>IF('Input Scenarios'!H11&lt;&gt;"", 'Input Scenarios'!H11, _xlfn.XLOOKUP($F11, Constants!$M$6:$M$9,Constants!O$6:O$9))</f>
        <v>0.11</v>
      </c>
      <c r="I11">
        <f>IF('Input Scenarios'!I11&lt;&gt;"", 'Input Scenarios'!I11, _xlfn.XLOOKUP($F11, Constants!$M$6:$M$9,Constants!P$6:P$9))</f>
        <v>0.35599999999999998</v>
      </c>
      <c r="J11">
        <f>'Input Scenarios'!J11</f>
        <v>0.25</v>
      </c>
      <c r="K11">
        <f>'Input Scenarios'!K11</f>
        <v>0.25</v>
      </c>
      <c r="L11">
        <f>'Input Scenarios'!L11</f>
        <v>0.25</v>
      </c>
      <c r="M11">
        <f>'Input Scenarios'!M11</f>
        <v>0.25</v>
      </c>
      <c r="N11">
        <f>'Input Scenarios'!N11</f>
        <v>0.25</v>
      </c>
      <c r="O11">
        <f>'Input Scenarios'!O11</f>
        <v>0.25</v>
      </c>
      <c r="P11">
        <f>'Input Scenarios'!P11</f>
        <v>0.25</v>
      </c>
      <c r="Q11">
        <f>'Input Scenarios'!Q11</f>
        <v>0.25</v>
      </c>
      <c r="R11" t="b">
        <f>'Input Scenarios'!R11</f>
        <v>1</v>
      </c>
      <c r="S11">
        <f>IF('Input Scenarios'!S11&lt;&gt;"", 'Input Scenarios'!S11, IF(R11, Constants!$B$38, 0))</f>
        <v>0.2</v>
      </c>
      <c r="T11" t="str">
        <f>IF('Input Scenarios'!T11&lt;&gt;"", 'Input Scenarios'!T11, "")</f>
        <v/>
      </c>
      <c r="U11">
        <f>IF('Input Scenarios'!U11&lt;&gt;"", 'Input Scenarios'!U11, IF(W11&lt;&gt;"", "", Constants!$B$39))</f>
        <v>4</v>
      </c>
      <c r="V11">
        <f>IF('Input Scenarios'!V11&lt;&gt;"", 'Input Scenarios'!V11, IF(W11&lt;&gt;"", "", Constants!$B$40))</f>
        <v>3.3</v>
      </c>
      <c r="W11" t="str">
        <f>IF('Input Scenarios'!W11&lt;&gt;"", 'Input Scenarios'!W11, "")</f>
        <v/>
      </c>
      <c r="X11" t="str">
        <f>'Input Scenarios'!X11</f>
        <v>Medium Friesian</v>
      </c>
      <c r="Y11" t="str">
        <f>'Input Scenarios'!Y11</f>
        <v>heifersLt1Weaned</v>
      </c>
      <c r="Z11">
        <f>'Input Scenarios'!Z11</f>
        <v>200</v>
      </c>
      <c r="AA11">
        <f>IF('Input Scenarios'!AA11&lt;&gt;"", 'Input Scenarios'!AA11, _xlfn.XLOOKUP(Y11,Constants!$J$6:$J$12,Constants!$K$6:$K$12))</f>
        <v>281</v>
      </c>
      <c r="AB11">
        <f>IF('Input Scenarios'!AB11&lt;&gt;"", 'Input Scenarios'!AB11, INDEX(Constants!$B$2:$H$11, MATCH(X11, Constants!$A$2:$A$11, 0), MATCH(Y11,Constants!$B$1:$H$1, 0)))</f>
        <v>155</v>
      </c>
      <c r="AC11">
        <f>IF('Input Scenarios'!AC11&lt;&gt;"", 'Input Scenarios'!AC11, _xlfn.XLOOKUP(Y11, Constants!$B$13:$H$13, Constants!$B$15:$H$15, ""))</f>
        <v>0.56999999999999995</v>
      </c>
      <c r="AD11">
        <f>IF('Input Scenarios'!AD11&lt;&gt;"", 'Input Scenarios'!AD11, Constants!$B$45)</f>
        <v>0.75</v>
      </c>
      <c r="AE11">
        <f>IF('Input Scenarios'!AE11&lt;&gt;"", 'Input Scenarios'!AE11, Constants!$B$46)</f>
        <v>0.2</v>
      </c>
      <c r="AF11">
        <f t="shared" si="1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11"/>
        <v>1</v>
      </c>
      <c r="AK11">
        <f t="shared" si="12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13"/>
        <v>0.5948500000000001</v>
      </c>
      <c r="AQ11">
        <f t="shared" si="14"/>
        <v>0</v>
      </c>
      <c r="AR11">
        <f>IF(Y11="milkingCows", Constants!$P$2, Constants!$P$3)</f>
        <v>1</v>
      </c>
      <c r="AS11">
        <f t="shared" si="15"/>
        <v>4.0231734662249998</v>
      </c>
      <c r="AT11">
        <f t="shared" si="16"/>
        <v>1.206300296845944</v>
      </c>
      <c r="AU11">
        <f>_xlfn.XLOOKUP(Y11, Constants!$B$13:$H$13, Constants!$B$14:$H$14, "")</f>
        <v>590</v>
      </c>
      <c r="AV11">
        <f t="shared" si="17"/>
        <v>0.26271186440677968</v>
      </c>
      <c r="AW11">
        <f>Constants!$B$55</f>
        <v>6.25</v>
      </c>
      <c r="AX11">
        <f t="shared" si="1"/>
        <v>1.4575548166167214E-2</v>
      </c>
      <c r="AY11">
        <f t="shared" si="2"/>
        <v>0.80463469324500003</v>
      </c>
      <c r="AZ11">
        <f t="shared" si="18"/>
        <v>0.1133928568810149</v>
      </c>
      <c r="BA11" t="str">
        <f>IF(ISNUMBER(FIND("PreWeaned",Y11)),_xlfn.XLOOKUP(Y11,Constants!$J$2:$J$3,Constants!$M$2:$M$3),"")</f>
        <v/>
      </c>
      <c r="BB11">
        <f t="shared" si="3"/>
        <v>6372.6785567130382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6372.6785567130382</v>
      </c>
      <c r="BH11">
        <f>Constants!$C$19</f>
        <v>0</v>
      </c>
      <c r="BI11">
        <f>Constants!$C$20</f>
        <v>0</v>
      </c>
      <c r="BJ11">
        <f>Constants!$C$21</f>
        <v>0</v>
      </c>
      <c r="BK11">
        <f>Constants!$C$22</f>
        <v>5.0000000000000001E-3</v>
      </c>
      <c r="BL11">
        <f>Constants!$C$23</f>
        <v>0</v>
      </c>
      <c r="BM11">
        <f>Constants!$B$50</f>
        <v>1.57</v>
      </c>
      <c r="BN11">
        <f>_xlfn.XLOOKUP(D11,Constants!$A$34:$A$35,Constants!$B$34:$B$35)</f>
        <v>6.0000000000000001E-3</v>
      </c>
      <c r="BO11">
        <f t="shared" si="19"/>
        <v>0</v>
      </c>
      <c r="BP11">
        <f t="shared" si="20"/>
        <v>0</v>
      </c>
      <c r="BQ11">
        <f t="shared" si="21"/>
        <v>0</v>
      </c>
      <c r="BR11">
        <f t="shared" si="22"/>
        <v>0</v>
      </c>
      <c r="BS11">
        <f t="shared" si="23"/>
        <v>0</v>
      </c>
      <c r="BT11">
        <f t="shared" si="24"/>
        <v>60.030632004236821</v>
      </c>
    </row>
    <row r="12" spans="1:73" x14ac:dyDescent="0.2">
      <c r="A12" t="str">
        <f>'Input Scenarios'!A12</f>
        <v>NSW</v>
      </c>
      <c r="B12">
        <f>'Input Scenarios'!B12</f>
        <v>0</v>
      </c>
      <c r="C12" t="str">
        <f>'Input Scenarios'!C12</f>
        <v>Non-irrigated pasture</v>
      </c>
      <c r="D12" t="str">
        <f>'Input Scenarios'!D12</f>
        <v>wet</v>
      </c>
      <c r="E12" t="b">
        <f>'Input Scenarios'!E12</f>
        <v>0</v>
      </c>
      <c r="F12" t="str">
        <f>'Input Scenarios'!F12</f>
        <v>Limited grazing</v>
      </c>
      <c r="G12">
        <f>IF('Input Scenarios'!G12&lt;&gt;"", 'Input Scenarios'!G12, _xlfn.XLOOKUP($F12, Constants!$M$6:$M$9,Constants!N$6:N$9))</f>
        <v>0.53400000000000003</v>
      </c>
      <c r="H12">
        <f>IF('Input Scenarios'!H12&lt;&gt;"", 'Input Scenarios'!H12, _xlfn.XLOOKUP($F12, Constants!$M$6:$M$9,Constants!O$6:O$9))</f>
        <v>0.11</v>
      </c>
      <c r="I12">
        <f>IF('Input Scenarios'!I12&lt;&gt;"", 'Input Scenarios'!I12, _xlfn.XLOOKUP($F12, Constants!$M$6:$M$9,Constants!P$6:P$9))</f>
        <v>0.35599999999999998</v>
      </c>
      <c r="J12">
        <f>'Input Scenarios'!J12</f>
        <v>0.25</v>
      </c>
      <c r="K12">
        <f>'Input Scenarios'!K12</f>
        <v>0.25</v>
      </c>
      <c r="L12">
        <f>'Input Scenarios'!L12</f>
        <v>0.25</v>
      </c>
      <c r="M12">
        <f>'Input Scenarios'!M12</f>
        <v>0.25</v>
      </c>
      <c r="N12">
        <f>'Input Scenarios'!N12</f>
        <v>0.25</v>
      </c>
      <c r="O12">
        <f>'Input Scenarios'!O12</f>
        <v>0.25</v>
      </c>
      <c r="P12">
        <f>'Input Scenarios'!P12</f>
        <v>0.25</v>
      </c>
      <c r="Q12">
        <f>'Input Scenarios'!Q12</f>
        <v>0.25</v>
      </c>
      <c r="R12" t="b">
        <f>'Input Scenarios'!R12</f>
        <v>1</v>
      </c>
      <c r="S12">
        <f>IF('Input Scenarios'!S12&lt;&gt;"", 'Input Scenarios'!S12, IF(R12, Constants!$B$38, 0))</f>
        <v>0.2</v>
      </c>
      <c r="T12" t="str">
        <f>IF('Input Scenarios'!T12&lt;&gt;"", 'Input Scenarios'!T12, "")</f>
        <v/>
      </c>
      <c r="U12">
        <f>IF('Input Scenarios'!U12&lt;&gt;"", 'Input Scenarios'!U12, IF(W12&lt;&gt;"", "", Constants!$B$39))</f>
        <v>4</v>
      </c>
      <c r="V12">
        <f>IF('Input Scenarios'!V12&lt;&gt;"", 'Input Scenarios'!V12, IF(W12&lt;&gt;"", "", Constants!$B$40))</f>
        <v>3.3</v>
      </c>
      <c r="W12" t="str">
        <f>IF('Input Scenarios'!W12&lt;&gt;"", 'Input Scenarios'!W12, "")</f>
        <v/>
      </c>
      <c r="X12" t="str">
        <f>'Input Scenarios'!X12</f>
        <v>Medium Friesian</v>
      </c>
      <c r="Y12" t="str">
        <f>'Input Scenarios'!Y12</f>
        <v>bullsGt1</v>
      </c>
      <c r="Z12">
        <f>'Input Scenarios'!Z12</f>
        <v>200</v>
      </c>
      <c r="AA12">
        <f>IF('Input Scenarios'!AA12&lt;&gt;"", 'Input Scenarios'!AA12, _xlfn.XLOOKUP(Y12,Constants!$J$6:$J$12,Constants!$K$6:$K$12))</f>
        <v>365</v>
      </c>
      <c r="AB12">
        <f>IF('Input Scenarios'!AB12&lt;&gt;"", 'Input Scenarios'!AB12, INDEX(Constants!$B$2:$H$11, MATCH(X12, Constants!$A$2:$A$11, 0), MATCH(Y12,Constants!$B$1:$H$1, 0)))</f>
        <v>600</v>
      </c>
      <c r="AC12">
        <f>IF('Input Scenarios'!AC12&lt;&gt;"", 'Input Scenarios'!AC12, _xlfn.XLOOKUP(Y12, Constants!$B$13:$H$13, Constants!$B$15:$H$15, ""))</f>
        <v>0.1</v>
      </c>
      <c r="AD12">
        <f>IF('Input Scenarios'!AD12&lt;&gt;"", 'Input Scenarios'!AD12, Constants!$B$45)</f>
        <v>0.75</v>
      </c>
      <c r="AE12">
        <f>IF('Input Scenarios'!AE12&lt;&gt;"", 'Input Scenarios'!AE12, Constants!$B$46)</f>
        <v>0.2</v>
      </c>
      <c r="AF12">
        <f t="shared" si="1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11"/>
        <v>1</v>
      </c>
      <c r="AK12">
        <f t="shared" si="12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13"/>
        <v>0.5948500000000001</v>
      </c>
      <c r="AQ12">
        <f t="shared" si="14"/>
        <v>0</v>
      </c>
      <c r="AR12">
        <f>IF(Y12="milkingCows", Constants!$P$2, Constants!$P$3)</f>
        <v>1</v>
      </c>
      <c r="AS12">
        <f t="shared" si="15"/>
        <v>9.0270202499999979</v>
      </c>
      <c r="AT12">
        <f t="shared" si="16"/>
        <v>1.0213029780639273</v>
      </c>
      <c r="AU12">
        <f>_xlfn.XLOOKUP(Y12, Constants!$B$13:$H$13, Constants!$B$14:$H$14, "")</f>
        <v>770</v>
      </c>
      <c r="AV12">
        <f t="shared" si="17"/>
        <v>0.77922077922077926</v>
      </c>
      <c r="AW12">
        <f>Constants!$B$55</f>
        <v>6.25</v>
      </c>
      <c r="AX12">
        <f t="shared" si="1"/>
        <v>1.2626203146474679E-3</v>
      </c>
      <c r="AY12">
        <f t="shared" si="2"/>
        <v>1.8054040499999997</v>
      </c>
      <c r="AZ12">
        <f t="shared" si="18"/>
        <v>0.28546836331241399</v>
      </c>
      <c r="BA12" t="str">
        <f>IF(ISNUMBER(FIND("PreWeaned",Y12)),_xlfn.XLOOKUP(Y12,Constants!$J$2:$J$3,Constants!$M$2:$M$3),"")</f>
        <v/>
      </c>
      <c r="BB12">
        <f t="shared" si="3"/>
        <v>20839.19052180622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20839.19052180622</v>
      </c>
      <c r="BH12">
        <f>Constants!$C$19</f>
        <v>0</v>
      </c>
      <c r="BI12">
        <f>Constants!$C$20</f>
        <v>0</v>
      </c>
      <c r="BJ12">
        <f>Constants!$C$21</f>
        <v>0</v>
      </c>
      <c r="BK12">
        <f>Constants!$C$22</f>
        <v>5.0000000000000001E-3</v>
      </c>
      <c r="BL12">
        <f>Constants!$C$23</f>
        <v>0</v>
      </c>
      <c r="BM12">
        <f>Constants!$B$50</f>
        <v>1.57</v>
      </c>
      <c r="BN12">
        <f>_xlfn.XLOOKUP(D12,Constants!$A$34:$A$35,Constants!$B$34:$B$35)</f>
        <v>6.0000000000000001E-3</v>
      </c>
      <c r="BO12">
        <f t="shared" si="19"/>
        <v>0</v>
      </c>
      <c r="BP12">
        <f t="shared" si="20"/>
        <v>0</v>
      </c>
      <c r="BQ12">
        <f t="shared" si="21"/>
        <v>0</v>
      </c>
      <c r="BR12">
        <f t="shared" si="22"/>
        <v>0</v>
      </c>
      <c r="BS12">
        <f t="shared" si="23"/>
        <v>0</v>
      </c>
      <c r="BT12">
        <f t="shared" si="24"/>
        <v>196.30517471541461</v>
      </c>
    </row>
    <row r="13" spans="1:73" x14ac:dyDescent="0.2">
      <c r="A13" t="str">
        <f>'Input Scenarios'!A13</f>
        <v>NSW</v>
      </c>
      <c r="B13">
        <f>'Input Scenarios'!B13</f>
        <v>0</v>
      </c>
      <c r="C13" t="str">
        <f>'Input Scenarios'!C13</f>
        <v>Non-irrigated pasture</v>
      </c>
      <c r="D13" t="str">
        <f>'Input Scenarios'!D13</f>
        <v>wet</v>
      </c>
      <c r="E13" t="b">
        <f>'Input Scenarios'!E13</f>
        <v>0</v>
      </c>
      <c r="F13" t="str">
        <f>'Input Scenarios'!F13</f>
        <v>Limited grazing</v>
      </c>
      <c r="G13">
        <f>IF('Input Scenarios'!G13&lt;&gt;"", 'Input Scenarios'!G13, _xlfn.XLOOKUP($F13, Constants!$M$6:$M$9,Constants!N$6:N$9))</f>
        <v>0.53400000000000003</v>
      </c>
      <c r="H13">
        <f>IF('Input Scenarios'!H13&lt;&gt;"", 'Input Scenarios'!H13, _xlfn.XLOOKUP($F13, Constants!$M$6:$M$9,Constants!O$6:O$9))</f>
        <v>0.11</v>
      </c>
      <c r="I13">
        <f>IF('Input Scenarios'!I13&lt;&gt;"", 'Input Scenarios'!I13, _xlfn.XLOOKUP($F13, Constants!$M$6:$M$9,Constants!P$6:P$9))</f>
        <v>0.35599999999999998</v>
      </c>
      <c r="J13">
        <f>'Input Scenarios'!J13</f>
        <v>0.25</v>
      </c>
      <c r="K13">
        <f>'Input Scenarios'!K13</f>
        <v>0.25</v>
      </c>
      <c r="L13">
        <f>'Input Scenarios'!L13</f>
        <v>0.25</v>
      </c>
      <c r="M13">
        <f>'Input Scenarios'!M13</f>
        <v>0.25</v>
      </c>
      <c r="N13">
        <f>'Input Scenarios'!N13</f>
        <v>0.25</v>
      </c>
      <c r="O13">
        <f>'Input Scenarios'!O13</f>
        <v>0.25</v>
      </c>
      <c r="P13">
        <f>'Input Scenarios'!P13</f>
        <v>0.25</v>
      </c>
      <c r="Q13">
        <f>'Input Scenarios'!Q13</f>
        <v>0.25</v>
      </c>
      <c r="R13" t="b">
        <f>'Input Scenarios'!R13</f>
        <v>1</v>
      </c>
      <c r="S13">
        <f>IF('Input Scenarios'!S13&lt;&gt;"", 'Input Scenarios'!S13, IF(R13, Constants!$B$38, 0))</f>
        <v>0.2</v>
      </c>
      <c r="T13" t="str">
        <f>IF('Input Scenarios'!T13&lt;&gt;"", 'Input Scenarios'!T13, "")</f>
        <v/>
      </c>
      <c r="U13">
        <f>IF('Input Scenarios'!U13&lt;&gt;"", 'Input Scenarios'!U13, IF(W13&lt;&gt;"", "", Constants!$B$39))</f>
        <v>4</v>
      </c>
      <c r="V13">
        <f>IF('Input Scenarios'!V13&lt;&gt;"", 'Input Scenarios'!V13, IF(W13&lt;&gt;"", "", Constants!$B$40))</f>
        <v>3.3</v>
      </c>
      <c r="W13" t="str">
        <f>IF('Input Scenarios'!W13&lt;&gt;"", 'Input Scenarios'!W13, "")</f>
        <v/>
      </c>
      <c r="X13" t="str">
        <f>'Input Scenarios'!X13</f>
        <v>Medium Friesian</v>
      </c>
      <c r="Y13" t="str">
        <f>'Input Scenarios'!Y13</f>
        <v>bullsLt1PreWeaned</v>
      </c>
      <c r="Z13">
        <f>'Input Scenarios'!Z13</f>
        <v>200</v>
      </c>
      <c r="AA13">
        <f>IF('Input Scenarios'!AA13&lt;&gt;"", 'Input Scenarios'!AA13, _xlfn.XLOOKUP(Y13,Constants!$J$6:$J$12,Constants!$K$6:$K$12))</f>
        <v>84</v>
      </c>
      <c r="AB13">
        <f>IF('Input Scenarios'!AB13&lt;&gt;"", 'Input Scenarios'!AB13, INDEX(Constants!$B$2:$H$11, MATCH(X13, Constants!$A$2:$A$11, 0), MATCH(Y13,Constants!$B$1:$H$1, 0)))</f>
        <v>225</v>
      </c>
      <c r="AC13" t="str">
        <f>IF('Input Scenarios'!AC13&lt;&gt;"", 'Input Scenarios'!AC13, _xlfn.XLOOKUP(Y13, Constants!$B$13:$H$13, Constants!$B$15:$H$15, ""))</f>
        <v/>
      </c>
      <c r="AD13">
        <f>IF('Input Scenarios'!AD13&lt;&gt;"", 'Input Scenarios'!AD13, Constants!$B$45)</f>
        <v>0.75</v>
      </c>
      <c r="AE13">
        <f>IF('Input Scenarios'!AE13&lt;&gt;"", 'Input Scenarios'!AE13, Constants!$B$46)</f>
        <v>0.2</v>
      </c>
      <c r="AF13">
        <f t="shared" si="1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11"/>
        <v>1</v>
      </c>
      <c r="AK13">
        <f t="shared" si="12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13"/>
        <v>0.5948500000000001</v>
      </c>
      <c r="AQ13">
        <f t="shared" si="14"/>
        <v>0</v>
      </c>
      <c r="AR13">
        <f>IF(Y13="milkingCows", Constants!$P$2, Constants!$P$3)</f>
        <v>1</v>
      </c>
      <c r="AS13" t="str">
        <f t="shared" si="15"/>
        <v/>
      </c>
      <c r="AT13" t="str">
        <f t="shared" si="16"/>
        <v/>
      </c>
      <c r="AU13" t="str">
        <f>_xlfn.XLOOKUP(Y13, Constants!$B$13:$H$13, Constants!$B$14:$H$14, "")</f>
        <v/>
      </c>
      <c r="AV13" t="str">
        <f t="shared" si="17"/>
        <v/>
      </c>
      <c r="AW13">
        <f>Constants!$B$55</f>
        <v>6.25</v>
      </c>
      <c r="AX13" t="str">
        <f t="shared" si="1"/>
        <v/>
      </c>
      <c r="AY13" t="str">
        <f t="shared" si="2"/>
        <v/>
      </c>
      <c r="AZ13" t="str">
        <f t="shared" si="18"/>
        <v/>
      </c>
      <c r="BA13">
        <f>IF(ISNUMBER(FIND("PreWeaned",Y13)),_xlfn.XLOOKUP(Y13,Constants!$J$2:$J$3,Constants!$M$2:$M$3),"")</f>
        <v>9.1999999999999998E-3</v>
      </c>
      <c r="BB13">
        <f t="shared" si="3"/>
        <v>154.56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154.56</v>
      </c>
      <c r="BH13">
        <f>Constants!$C$19</f>
        <v>0</v>
      </c>
      <c r="BI13">
        <f>Constants!$C$20</f>
        <v>0</v>
      </c>
      <c r="BJ13">
        <f>Constants!$C$21</f>
        <v>0</v>
      </c>
      <c r="BK13">
        <f>Constants!$C$22</f>
        <v>5.0000000000000001E-3</v>
      </c>
      <c r="BL13">
        <f>Constants!$C$23</f>
        <v>0</v>
      </c>
      <c r="BM13">
        <f>Constants!$B$50</f>
        <v>1.57</v>
      </c>
      <c r="BN13">
        <f>_xlfn.XLOOKUP(D13,Constants!$A$34:$A$35,Constants!$B$34:$B$35)</f>
        <v>6.0000000000000001E-3</v>
      </c>
      <c r="BO13">
        <f t="shared" si="19"/>
        <v>0</v>
      </c>
      <c r="BP13">
        <f t="shared" si="20"/>
        <v>0</v>
      </c>
      <c r="BQ13">
        <f t="shared" si="21"/>
        <v>0</v>
      </c>
      <c r="BR13">
        <f t="shared" si="22"/>
        <v>0</v>
      </c>
      <c r="BS13">
        <f t="shared" si="23"/>
        <v>0</v>
      </c>
      <c r="BT13">
        <f t="shared" si="24"/>
        <v>1.4559552000000002</v>
      </c>
    </row>
    <row r="14" spans="1:73" s="16" customFormat="1" x14ac:dyDescent="0.2">
      <c r="A14" s="16" t="str">
        <f>'Input Scenarios'!A14</f>
        <v>NSW</v>
      </c>
      <c r="B14" s="16">
        <f>'Input Scenarios'!B14</f>
        <v>0</v>
      </c>
      <c r="C14" s="16" t="str">
        <f>'Input Scenarios'!C14</f>
        <v>Non-irrigated pasture</v>
      </c>
      <c r="D14" s="16" t="str">
        <f>'Input Scenarios'!D14</f>
        <v>wet</v>
      </c>
      <c r="E14" s="16" t="b">
        <f>'Input Scenarios'!E14</f>
        <v>0</v>
      </c>
      <c r="F14" s="16" t="str">
        <f>'Input Scenarios'!F14</f>
        <v>Limited grazing</v>
      </c>
      <c r="G14" s="16">
        <f>IF('Input Scenarios'!G14&lt;&gt;"", 'Input Scenarios'!G14, _xlfn.XLOOKUP($F14, Constants!$M$6:$M$9,Constants!N$6:N$9))</f>
        <v>0.53400000000000003</v>
      </c>
      <c r="H14" s="16">
        <f>IF('Input Scenarios'!H14&lt;&gt;"", 'Input Scenarios'!H14, _xlfn.XLOOKUP($F14, Constants!$M$6:$M$9,Constants!O$6:O$9))</f>
        <v>0.11</v>
      </c>
      <c r="I14" s="16">
        <f>IF('Input Scenarios'!I14&lt;&gt;"", 'Input Scenarios'!I14, _xlfn.XLOOKUP($F14, Constants!$M$6:$M$9,Constants!P$6:P$9))</f>
        <v>0.35599999999999998</v>
      </c>
      <c r="J14" s="16">
        <f>'Input Scenarios'!J14</f>
        <v>0.25</v>
      </c>
      <c r="K14" s="16">
        <f>'Input Scenarios'!K14</f>
        <v>0.25</v>
      </c>
      <c r="L14" s="16">
        <f>'Input Scenarios'!L14</f>
        <v>0.25</v>
      </c>
      <c r="M14" s="16">
        <f>'Input Scenarios'!M14</f>
        <v>0.25</v>
      </c>
      <c r="N14" s="16">
        <f>'Input Scenarios'!N14</f>
        <v>0.25</v>
      </c>
      <c r="O14" s="16">
        <f>'Input Scenarios'!O14</f>
        <v>0.25</v>
      </c>
      <c r="P14" s="16">
        <f>'Input Scenarios'!P14</f>
        <v>0.25</v>
      </c>
      <c r="Q14" s="16">
        <f>'Input Scenarios'!Q14</f>
        <v>0.25</v>
      </c>
      <c r="R14" s="16" t="b">
        <f>'Input Scenarios'!R14</f>
        <v>1</v>
      </c>
      <c r="S14" s="16">
        <f>IF('Input Scenarios'!S14&lt;&gt;"", 'Input Scenarios'!S14, IF(R14, Constants!$B$38, 0))</f>
        <v>0.2</v>
      </c>
      <c r="T14" s="16" t="str">
        <f>IF('Input Scenarios'!T14&lt;&gt;"", 'Input Scenarios'!T14, "")</f>
        <v/>
      </c>
      <c r="U14" s="16">
        <f>IF('Input Scenarios'!U14&lt;&gt;"", 'Input Scenarios'!U14, IF(W14&lt;&gt;"", "", Constants!$B$39))</f>
        <v>4</v>
      </c>
      <c r="V14" s="16">
        <f>IF('Input Scenarios'!V14&lt;&gt;"", 'Input Scenarios'!V14, IF(W14&lt;&gt;"", "", Constants!$B$40))</f>
        <v>3.3</v>
      </c>
      <c r="W14" s="16" t="str">
        <f>IF('Input Scenarios'!W14&lt;&gt;"", 'Input Scenarios'!W14, "")</f>
        <v/>
      </c>
      <c r="X14" s="16" t="str">
        <f>'Input Scenarios'!X14</f>
        <v>Medium Friesian</v>
      </c>
      <c r="Y14" s="16" t="str">
        <f>'Input Scenarios'!Y14</f>
        <v>bullsLt1Weaned</v>
      </c>
      <c r="Z14" s="16">
        <f>'Input Scenarios'!Z14</f>
        <v>200</v>
      </c>
      <c r="AA14" s="16">
        <f>IF('Input Scenarios'!AA14&lt;&gt;"", 'Input Scenarios'!AA14, _xlfn.XLOOKUP(Y14,Constants!$J$6:$J$12,Constants!$K$6:$K$12))</f>
        <v>281</v>
      </c>
      <c r="AB14" s="16">
        <f>IF('Input Scenarios'!AB14&lt;&gt;"", 'Input Scenarios'!AB14, INDEX(Constants!$B$2:$H$11, MATCH(X14, Constants!$A$2:$A$11, 0), MATCH(Y14,Constants!$B$1:$H$1, 0)))</f>
        <v>225</v>
      </c>
      <c r="AC14" s="16">
        <f>IF('Input Scenarios'!AC14&lt;&gt;"", 'Input Scenarios'!AC14, _xlfn.XLOOKUP(Y14, Constants!$B$13:$H$13, Constants!$B$15:$H$15, ""))</f>
        <v>0.8</v>
      </c>
      <c r="AD14" s="16">
        <f>IF('Input Scenarios'!AD14&lt;&gt;"", 'Input Scenarios'!AD14, Constants!$B$45)</f>
        <v>0.75</v>
      </c>
      <c r="AE14" s="16">
        <f>IF('Input Scenarios'!AE14&lt;&gt;"", 'Input Scenarios'!AE14, Constants!$B$46)</f>
        <v>0.2</v>
      </c>
      <c r="AF14" s="16">
        <f t="shared" si="10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11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13"/>
        <v>0.5948500000000001</v>
      </c>
      <c r="AQ14" s="16">
        <f t="shared" si="14"/>
        <v>0</v>
      </c>
      <c r="AR14" s="16">
        <f>IF(Y14="milkingCows", Constants!$P$2, Constants!$P$3)</f>
        <v>1</v>
      </c>
      <c r="AS14" s="16">
        <f t="shared" si="15"/>
        <v>5.4143472656250013</v>
      </c>
      <c r="AT14" s="16">
        <f t="shared" si="16"/>
        <v>1.2576570545672616</v>
      </c>
      <c r="AU14" s="16">
        <f>_xlfn.XLOOKUP(Y14, Constants!$B$13:$H$13, Constants!$B$14:$H$14, "")</f>
        <v>770</v>
      </c>
      <c r="AV14" s="16">
        <f t="shared" si="17"/>
        <v>0.29220779220779219</v>
      </c>
      <c r="AW14" s="16">
        <f>Constants!$B$55</f>
        <v>6.25</v>
      </c>
      <c r="AX14" s="16">
        <f t="shared" si="1"/>
        <v>1.9757354894894084E-2</v>
      </c>
      <c r="AY14" s="16">
        <f t="shared" si="2"/>
        <v>1.0828694531250003</v>
      </c>
      <c r="AZ14" s="16">
        <f t="shared" si="18"/>
        <v>0.15247929000170721</v>
      </c>
      <c r="BA14" s="16" t="str">
        <f>IF(ISNUMBER(FIND("PreWeaned",Y14)),_xlfn.XLOOKUP(Y14,Constants!$J$2:$J$3,Constants!$M$2:$M$3),"")</f>
        <v/>
      </c>
      <c r="BB14" s="16">
        <f t="shared" si="3"/>
        <v>8569.336098095946</v>
      </c>
      <c r="BC14" s="16">
        <f t="shared" si="4"/>
        <v>0</v>
      </c>
      <c r="BD14" s="16">
        <f t="shared" si="5"/>
        <v>0</v>
      </c>
      <c r="BE14" s="16">
        <f t="shared" si="6"/>
        <v>0</v>
      </c>
      <c r="BF14" s="16">
        <f t="shared" si="7"/>
        <v>0</v>
      </c>
      <c r="BG14" s="16">
        <f t="shared" si="8"/>
        <v>8569.336098095946</v>
      </c>
      <c r="BH14" s="16">
        <f>Constants!$C$19</f>
        <v>0</v>
      </c>
      <c r="BI14" s="16">
        <f>Constants!$C$20</f>
        <v>0</v>
      </c>
      <c r="BJ14" s="16">
        <f>Constants!$C$21</f>
        <v>0</v>
      </c>
      <c r="BK14" s="16">
        <f>Constants!$C$22</f>
        <v>5.0000000000000001E-3</v>
      </c>
      <c r="BL14" s="16">
        <f>Constants!$C$23</f>
        <v>0</v>
      </c>
      <c r="BM14" s="16">
        <f>Constants!$B$50</f>
        <v>1.57</v>
      </c>
      <c r="BN14" s="16">
        <f>_xlfn.XLOOKUP(D14,Constants!$A$34:$A$35,Constants!$B$34:$B$35)</f>
        <v>6.0000000000000001E-3</v>
      </c>
      <c r="BO14" s="16">
        <f t="shared" si="19"/>
        <v>0</v>
      </c>
      <c r="BP14" s="16">
        <f t="shared" si="20"/>
        <v>0</v>
      </c>
      <c r="BQ14" s="16">
        <f t="shared" si="21"/>
        <v>0</v>
      </c>
      <c r="BR14" s="16">
        <f t="shared" si="22"/>
        <v>0</v>
      </c>
      <c r="BS14" s="16">
        <f t="shared" si="23"/>
        <v>0</v>
      </c>
      <c r="BT14" s="16">
        <f t="shared" si="24"/>
        <v>80.723146044063824</v>
      </c>
    </row>
    <row r="15" spans="1:73" x14ac:dyDescent="0.2">
      <c r="A15" t="str">
        <f>'Input Scenarios'!A15</f>
        <v>QLD</v>
      </c>
      <c r="B15">
        <f>'Input Scenarios'!B15</f>
        <v>0</v>
      </c>
      <c r="C15" t="str">
        <f>'Input Scenarios'!C15</f>
        <v>Non-irrigated crop (high rainfall)</v>
      </c>
      <c r="D15" t="str">
        <f>'Input Scenarios'!D15</f>
        <v>wet</v>
      </c>
      <c r="E15" t="b">
        <f>'Input Scenarios'!E15</f>
        <v>1</v>
      </c>
      <c r="F15" t="str">
        <f>'Input Scenarios'!F15</f>
        <v>Limited feedpad</v>
      </c>
      <c r="G15">
        <f>IF('Input Scenarios'!G15&lt;&gt;"", 'Input Scenarios'!G15, _xlfn.XLOOKUP($F15, Constants!$M$6:$M$9,Constants!N$6:N$9))</f>
        <v>0.79</v>
      </c>
      <c r="H15">
        <f>IF('Input Scenarios'!H15&lt;&gt;"", 'Input Scenarios'!H15, _xlfn.XLOOKUP($F15, Constants!$M$6:$M$9,Constants!O$6:O$9))</f>
        <v>0.11</v>
      </c>
      <c r="I15">
        <f>IF('Input Scenarios'!I15&lt;&gt;"", 'Input Scenarios'!I15, _xlfn.XLOOKUP($F15, Constants!$M$6:$M$9,Constants!P$6:P$9))</f>
        <v>0.1</v>
      </c>
      <c r="J15">
        <f>'Input Scenarios'!J15</f>
        <v>0</v>
      </c>
      <c r="K15">
        <f>'Input Scenarios'!K15</f>
        <v>0</v>
      </c>
      <c r="L15">
        <f>'Input Scenarios'!L15</f>
        <v>1</v>
      </c>
      <c r="M15">
        <f>'Input Scenarios'!M15</f>
        <v>0</v>
      </c>
      <c r="N15">
        <f>'Input Scenarios'!N15</f>
        <v>1</v>
      </c>
      <c r="O15">
        <f>'Input Scenarios'!O15</f>
        <v>0</v>
      </c>
      <c r="P15">
        <f>'Input Scenarios'!P15</f>
        <v>0</v>
      </c>
      <c r="Q15">
        <f>'Input Scenarios'!Q15</f>
        <v>0</v>
      </c>
      <c r="R15" t="b">
        <f>'Input Scenarios'!R15</f>
        <v>1</v>
      </c>
      <c r="S15">
        <f>IF('Input Scenarios'!S15&lt;&gt;"", 'Input Scenarios'!S15, IF(R15, Constants!$B$38, 0))</f>
        <v>0.2</v>
      </c>
      <c r="T15">
        <f>IF('Input Scenarios'!T15&lt;&gt;"", 'Input Scenarios'!T15, "")</f>
        <v>3</v>
      </c>
      <c r="U15">
        <f>IF('Input Scenarios'!U15&lt;&gt;"", 'Input Scenarios'!U15, IF(W15&lt;&gt;"", "", Constants!$B$39))</f>
        <v>4</v>
      </c>
      <c r="V15">
        <f>IF('Input Scenarios'!V15&lt;&gt;"", 'Input Scenarios'!V15, IF(W15&lt;&gt;"", "", Constants!$B$40))</f>
        <v>3.3</v>
      </c>
      <c r="W15" t="str">
        <f>IF('Input Scenarios'!W15&lt;&gt;"", 'Input Scenarios'!W15, "")</f>
        <v/>
      </c>
      <c r="X15" t="str">
        <f>'Input Scenarios'!X15</f>
        <v>Large Friesian</v>
      </c>
      <c r="Y15" t="str">
        <f>'Input Scenarios'!Y15</f>
        <v>milkingCows</v>
      </c>
      <c r="Z15">
        <f>'Input Scenarios'!Z15</f>
        <v>200</v>
      </c>
      <c r="AA15">
        <f>IF('Input Scenarios'!AA15&lt;&gt;"", 'Input Scenarios'!AA15, _xlfn.XLOOKUP(Y15,Constants!$J$6:$J$12,Constants!$K$6:$K$12))</f>
        <v>365</v>
      </c>
      <c r="AB15">
        <f>IF('Input Scenarios'!AB15&lt;&gt;"", 'Input Scenarios'!AB15, INDEX(Constants!$B$2:$H$11, MATCH(X15, Constants!$A$2:$A$11, 0), MATCH(Y15,Constants!$B$1:$H$1, 0)))</f>
        <v>600</v>
      </c>
      <c r="AC15">
        <f>IF('Input Scenarios'!AC15&lt;&gt;"", 'Input Scenarios'!AC15, _xlfn.XLOOKUP(Y15, Constants!$B$13:$H$13, Constants!$B$15:$H$15, ""))</f>
        <v>1.6E-2</v>
      </c>
      <c r="AD15">
        <f>IF('Input Scenarios'!AD15&lt;&gt;"", 'Input Scenarios'!AD15, Constants!$B$45)</f>
        <v>0.75</v>
      </c>
      <c r="AE15">
        <f>IF('Input Scenarios'!AE15&lt;&gt;"", 'Input Scenarios'!AE15, Constants!$B$46)</f>
        <v>0.2</v>
      </c>
      <c r="AF15" s="20">
        <f t="shared" si="10"/>
        <v>0.1</v>
      </c>
      <c r="AG15" s="20">
        <f t="shared" si="0"/>
        <v>0</v>
      </c>
      <c r="AH15" s="20">
        <f t="shared" si="0"/>
        <v>0.11</v>
      </c>
      <c r="AI15" s="20">
        <f t="shared" si="0"/>
        <v>0</v>
      </c>
      <c r="AJ15" s="20">
        <f t="shared" si="11"/>
        <v>0.79</v>
      </c>
      <c r="AK15">
        <f t="shared" ref="AK15:AK35" si="25">IF(Y15="milkingCows", IF(W15&lt;&gt;"", W15, T15/((U15+V15)*0.01)), 0)</f>
        <v>41.095890410958908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ref="AP15:AP27" si="26">0.795*(AD15)-0.0014</f>
        <v>0.5948500000000001</v>
      </c>
      <c r="AQ15">
        <f t="shared" ref="AQ15:AQ27" si="27">(AK15*AL15*AM15)/(AN15*AO15*AP15)</f>
        <v>19.684668829329848</v>
      </c>
      <c r="AR15">
        <f>IF(Y15="milkingCows", Constants!$P$2, Constants!$P$3)</f>
        <v>1.1000000000000001</v>
      </c>
      <c r="AS15">
        <f t="shared" ref="AS15:AS27" si="28">IFERROR(((1.185+(0.00454*AB15)-(0.0000026*(AB15^2))+(0.315*AC15))^2*AR15+AQ15), "")</f>
        <v>29.440263295089849</v>
      </c>
      <c r="AT15">
        <f t="shared" ref="AT15:AT27" si="29">IFERROR(((1.185+(0.00454*AB15)-(0.0000026*(AB15^2))+(0.315*AC15))^2*AR15+AQ15)/((1.185+(0.00454*AB15)-(0.0000026*(AB15^2)))^2*AR15+AQ15), "")</f>
        <v>1.0011219186596292</v>
      </c>
      <c r="AU15">
        <f>_xlfn.XLOOKUP(Y15, Constants!$B$13:$H$13, Constants!$B$14:$H$14, "")</f>
        <v>590</v>
      </c>
      <c r="AV15">
        <f t="shared" ref="AV15:AV27" si="30">IFERROR(AB15/AU15, "")</f>
        <v>1.0169491525423728</v>
      </c>
      <c r="AW15">
        <f>Constants!$B$55</f>
        <v>6.25</v>
      </c>
      <c r="AX15" s="20">
        <f t="shared" si="1"/>
        <v>0.21248526585418692</v>
      </c>
      <c r="AY15">
        <f t="shared" si="2"/>
        <v>5.88805265901797</v>
      </c>
      <c r="AZ15">
        <f t="shared" si="18"/>
        <v>0.72746949521574977</v>
      </c>
      <c r="BA15" t="str">
        <f>IF(ISNUMBER(FIND("PreWeaned",Y15)),_xlfn.XLOOKUP(Y15,Constants!$J$2:$J$3,Constants!$M$2:$M$3),"")</f>
        <v/>
      </c>
      <c r="BB15">
        <f t="shared" si="3"/>
        <v>53105.27315074973</v>
      </c>
      <c r="BC15">
        <f t="shared" si="4"/>
        <v>5310.5273150749736</v>
      </c>
      <c r="BD15">
        <f t="shared" si="5"/>
        <v>0</v>
      </c>
      <c r="BE15">
        <f t="shared" si="6"/>
        <v>5841.5800465824705</v>
      </c>
      <c r="BF15">
        <f t="shared" si="7"/>
        <v>0</v>
      </c>
      <c r="BG15">
        <f t="shared" si="8"/>
        <v>41953.165789092287</v>
      </c>
      <c r="BH15">
        <f>Constants!$C$19</f>
        <v>0</v>
      </c>
      <c r="BI15">
        <f>Constants!$C$20</f>
        <v>0</v>
      </c>
      <c r="BJ15">
        <f>Constants!$C$21</f>
        <v>0</v>
      </c>
      <c r="BK15">
        <f>Constants!$C$22</f>
        <v>5.0000000000000001E-3</v>
      </c>
      <c r="BL15">
        <f>Constants!$C$23</f>
        <v>0</v>
      </c>
      <c r="BM15">
        <f>Constants!$B$50</f>
        <v>1.57</v>
      </c>
      <c r="BN15">
        <f>_xlfn.XLOOKUP(D15,Constants!$A$34:$A$35,Constants!$B$34:$B$35)</f>
        <v>6.0000000000000001E-3</v>
      </c>
      <c r="BO15">
        <f t="shared" ref="BO15:BO27" si="31">BC15*BH15*$BM15</f>
        <v>0</v>
      </c>
      <c r="BP15">
        <f t="shared" ref="BP15:BP27" si="32">BD15*BI15*$BM15</f>
        <v>0</v>
      </c>
      <c r="BQ15">
        <f t="shared" ref="BQ15:BQ27" si="33">BE15*BJ15*$BM15</f>
        <v>0</v>
      </c>
      <c r="BR15">
        <f t="shared" ref="BR15:BR27" si="34">BF15*BK15*$BM15</f>
        <v>0</v>
      </c>
      <c r="BS15">
        <f t="shared" ref="BS15:BS27" si="35">BG15*BL15*$BM15</f>
        <v>0</v>
      </c>
      <c r="BT15">
        <f t="shared" ref="BT15:BT27" si="36">BG15*BN15*BM15</f>
        <v>395.19882173324936</v>
      </c>
      <c r="BU15">
        <f>SUM(BO15:BT21)/1000</f>
        <v>0.90695097011802983</v>
      </c>
    </row>
    <row r="16" spans="1:73" x14ac:dyDescent="0.2">
      <c r="A16" t="str">
        <f>'Input Scenarios'!A16</f>
        <v>QLD</v>
      </c>
      <c r="B16">
        <f>'Input Scenarios'!B16</f>
        <v>0</v>
      </c>
      <c r="C16" t="str">
        <f>'Input Scenarios'!C16</f>
        <v>Non-irrigated crop (high rainfall)</v>
      </c>
      <c r="D16" t="str">
        <f>'Input Scenarios'!D16</f>
        <v>wet</v>
      </c>
      <c r="E16" t="b">
        <f>'Input Scenarios'!E16</f>
        <v>1</v>
      </c>
      <c r="F16" t="str">
        <f>'Input Scenarios'!F16</f>
        <v>Limited feedpad</v>
      </c>
      <c r="G16">
        <f>IF('Input Scenarios'!G16&lt;&gt;"", 'Input Scenarios'!G16, _xlfn.XLOOKUP($F16, Constants!$M$6:$M$9,Constants!N$6:N$9))</f>
        <v>0.79</v>
      </c>
      <c r="H16">
        <f>IF('Input Scenarios'!H16&lt;&gt;"", 'Input Scenarios'!H16, _xlfn.XLOOKUP($F16, Constants!$M$6:$M$9,Constants!O$6:O$9))</f>
        <v>0.11</v>
      </c>
      <c r="I16">
        <f>IF('Input Scenarios'!I16&lt;&gt;"", 'Input Scenarios'!I16, _xlfn.XLOOKUP($F16, Constants!$M$6:$M$9,Constants!P$6:P$9))</f>
        <v>0.1</v>
      </c>
      <c r="J16">
        <f>'Input Scenarios'!J16</f>
        <v>0</v>
      </c>
      <c r="K16">
        <f>'Input Scenarios'!K16</f>
        <v>0</v>
      </c>
      <c r="L16">
        <f>'Input Scenarios'!L16</f>
        <v>1</v>
      </c>
      <c r="M16">
        <f>'Input Scenarios'!M16</f>
        <v>0</v>
      </c>
      <c r="N16">
        <f>'Input Scenarios'!N16</f>
        <v>1</v>
      </c>
      <c r="O16">
        <f>'Input Scenarios'!O16</f>
        <v>0</v>
      </c>
      <c r="P16">
        <f>'Input Scenarios'!P16</f>
        <v>0</v>
      </c>
      <c r="Q16">
        <f>'Input Scenarios'!Q16</f>
        <v>0</v>
      </c>
      <c r="R16" t="b">
        <f>'Input Scenarios'!R16</f>
        <v>1</v>
      </c>
      <c r="S16">
        <f>IF('Input Scenarios'!S16&lt;&gt;"", 'Input Scenarios'!S16, IF(R16, Constants!$B$38, 0))</f>
        <v>0.2</v>
      </c>
      <c r="T16" t="str">
        <f>IF('Input Scenarios'!T16&lt;&gt;"", 'Input Scenarios'!T16, "")</f>
        <v/>
      </c>
      <c r="U16">
        <f>IF('Input Scenarios'!U16&lt;&gt;"", 'Input Scenarios'!U16, IF(W16&lt;&gt;"", "", Constants!$B$39))</f>
        <v>4</v>
      </c>
      <c r="V16">
        <f>IF('Input Scenarios'!V16&lt;&gt;"", 'Input Scenarios'!V16, IF(W16&lt;&gt;"", "", Constants!$B$40))</f>
        <v>3.3</v>
      </c>
      <c r="W16" t="str">
        <f>IF('Input Scenarios'!W16&lt;&gt;"", 'Input Scenarios'!W16, "")</f>
        <v/>
      </c>
      <c r="X16" t="str">
        <f>'Input Scenarios'!X16</f>
        <v>Large Friesian</v>
      </c>
      <c r="Y16" t="str">
        <f>'Input Scenarios'!Y16</f>
        <v>heifersGt1</v>
      </c>
      <c r="Z16">
        <f>'Input Scenarios'!Z16</f>
        <v>200</v>
      </c>
      <c r="AA16">
        <f>IF('Input Scenarios'!AA16&lt;&gt;"", 'Input Scenarios'!AA16, _xlfn.XLOOKUP(Y16,Constants!$J$6:$J$12,Constants!$K$6:$K$12))</f>
        <v>365</v>
      </c>
      <c r="AB16">
        <f>IF('Input Scenarios'!AB16&lt;&gt;"", 'Input Scenarios'!AB16, INDEX(Constants!$B$2:$H$11, MATCH(X16, Constants!$A$2:$A$11, 0), MATCH(Y16,Constants!$B$1:$H$1, 0)))</f>
        <v>415</v>
      </c>
      <c r="AC16">
        <f>IF('Input Scenarios'!AC16&lt;&gt;"", 'Input Scenarios'!AC16, _xlfn.XLOOKUP(Y16, Constants!$B$13:$H$13, Constants!$B$15:$H$15, ""))</f>
        <v>0.6</v>
      </c>
      <c r="AD16">
        <f>IF('Input Scenarios'!AD16&lt;&gt;"", 'Input Scenarios'!AD16, Constants!$B$45)</f>
        <v>0.75</v>
      </c>
      <c r="AE16">
        <f>IF('Input Scenarios'!AE16&lt;&gt;"", 'Input Scenarios'!AE16, Constants!$B$46)</f>
        <v>0.2</v>
      </c>
      <c r="AF16">
        <f t="shared" si="1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11"/>
        <v>1</v>
      </c>
      <c r="AK16">
        <f t="shared" si="25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26"/>
        <v>0.5948500000000001</v>
      </c>
      <c r="AQ16">
        <f t="shared" si="27"/>
        <v>0</v>
      </c>
      <c r="AR16">
        <f>IF(Y16="milkingCows", Constants!$P$2, Constants!$P$3)</f>
        <v>1</v>
      </c>
      <c r="AS16">
        <f t="shared" si="28"/>
        <v>7.8978703992249981</v>
      </c>
      <c r="AT16">
        <f t="shared" si="29"/>
        <v>1.1494010181510916</v>
      </c>
      <c r="AU16">
        <f>_xlfn.XLOOKUP(Y16, Constants!$B$13:$H$13, Constants!$B$14:$H$14, "")</f>
        <v>590</v>
      </c>
      <c r="AV16">
        <f t="shared" si="30"/>
        <v>0.70338983050847459</v>
      </c>
      <c r="AW16">
        <f>Constants!$B$55</f>
        <v>6.25</v>
      </c>
      <c r="AX16">
        <f t="shared" si="1"/>
        <v>8.1663842777947686E-3</v>
      </c>
      <c r="AY16">
        <f t="shared" si="2"/>
        <v>1.5795740798449998</v>
      </c>
      <c r="AZ16">
        <f t="shared" si="18"/>
        <v>0.24294720685439194</v>
      </c>
      <c r="BA16" t="str">
        <f>IF(ISNUMBER(FIND("PreWeaned",Y16)),_xlfn.XLOOKUP(Y16,Constants!$J$2:$J$3,Constants!$M$2:$M$3),"")</f>
        <v/>
      </c>
      <c r="BB16">
        <f t="shared" si="3"/>
        <v>17735.146100370614</v>
      </c>
      <c r="BC16">
        <f t="shared" si="4"/>
        <v>0</v>
      </c>
      <c r="BD16">
        <f t="shared" si="5"/>
        <v>0</v>
      </c>
      <c r="BE16">
        <f t="shared" si="6"/>
        <v>0</v>
      </c>
      <c r="BF16">
        <f t="shared" si="7"/>
        <v>0</v>
      </c>
      <c r="BG16">
        <f t="shared" si="8"/>
        <v>17735.146100370614</v>
      </c>
      <c r="BH16">
        <f>Constants!$C$19</f>
        <v>0</v>
      </c>
      <c r="BI16">
        <f>Constants!$C$20</f>
        <v>0</v>
      </c>
      <c r="BJ16">
        <f>Constants!$C$21</f>
        <v>0</v>
      </c>
      <c r="BK16">
        <f>Constants!$C$22</f>
        <v>5.0000000000000001E-3</v>
      </c>
      <c r="BL16">
        <f>Constants!$C$23</f>
        <v>0</v>
      </c>
      <c r="BM16">
        <f>Constants!$B$50</f>
        <v>1.57</v>
      </c>
      <c r="BN16">
        <f>_xlfn.XLOOKUP(D16,Constants!$A$34:$A$35,Constants!$B$34:$B$35)</f>
        <v>6.0000000000000001E-3</v>
      </c>
      <c r="BO16">
        <f t="shared" si="31"/>
        <v>0</v>
      </c>
      <c r="BP16">
        <f t="shared" si="32"/>
        <v>0</v>
      </c>
      <c r="BQ16">
        <f t="shared" si="33"/>
        <v>0</v>
      </c>
      <c r="BR16">
        <f t="shared" si="34"/>
        <v>0</v>
      </c>
      <c r="BS16">
        <f t="shared" si="35"/>
        <v>0</v>
      </c>
      <c r="BT16">
        <f t="shared" si="36"/>
        <v>167.06507626549117</v>
      </c>
    </row>
    <row r="17" spans="1:73" x14ac:dyDescent="0.2">
      <c r="A17" t="str">
        <f>'Input Scenarios'!A17</f>
        <v>QLD</v>
      </c>
      <c r="B17">
        <f>'Input Scenarios'!B17</f>
        <v>0</v>
      </c>
      <c r="C17" t="str">
        <f>'Input Scenarios'!C17</f>
        <v>Non-irrigated crop (high rainfall)</v>
      </c>
      <c r="D17" t="str">
        <f>'Input Scenarios'!D17</f>
        <v>wet</v>
      </c>
      <c r="E17" t="b">
        <f>'Input Scenarios'!E17</f>
        <v>1</v>
      </c>
      <c r="F17" t="str">
        <f>'Input Scenarios'!F17</f>
        <v>Limited feedpad</v>
      </c>
      <c r="G17">
        <f>IF('Input Scenarios'!G17&lt;&gt;"", 'Input Scenarios'!G17, _xlfn.XLOOKUP($F17, Constants!$M$6:$M$9,Constants!N$6:N$9))</f>
        <v>0.79</v>
      </c>
      <c r="H17">
        <f>IF('Input Scenarios'!H17&lt;&gt;"", 'Input Scenarios'!H17, _xlfn.XLOOKUP($F17, Constants!$M$6:$M$9,Constants!O$6:O$9))</f>
        <v>0.11</v>
      </c>
      <c r="I17">
        <f>IF('Input Scenarios'!I17&lt;&gt;"", 'Input Scenarios'!I17, _xlfn.XLOOKUP($F17, Constants!$M$6:$M$9,Constants!P$6:P$9))</f>
        <v>0.1</v>
      </c>
      <c r="J17">
        <f>'Input Scenarios'!J17</f>
        <v>0</v>
      </c>
      <c r="K17">
        <f>'Input Scenarios'!K17</f>
        <v>0</v>
      </c>
      <c r="L17">
        <f>'Input Scenarios'!L17</f>
        <v>1</v>
      </c>
      <c r="M17">
        <f>'Input Scenarios'!M17</f>
        <v>0</v>
      </c>
      <c r="N17">
        <f>'Input Scenarios'!N17</f>
        <v>1</v>
      </c>
      <c r="O17">
        <f>'Input Scenarios'!O17</f>
        <v>0</v>
      </c>
      <c r="P17">
        <f>'Input Scenarios'!P17</f>
        <v>0</v>
      </c>
      <c r="Q17">
        <f>'Input Scenarios'!Q17</f>
        <v>0</v>
      </c>
      <c r="R17" t="b">
        <f>'Input Scenarios'!R17</f>
        <v>1</v>
      </c>
      <c r="S17">
        <f>IF('Input Scenarios'!S17&lt;&gt;"", 'Input Scenarios'!S17, IF(R17, Constants!$B$38, 0))</f>
        <v>0.2</v>
      </c>
      <c r="T17" t="str">
        <f>IF('Input Scenarios'!T17&lt;&gt;"", 'Input Scenarios'!T17, "")</f>
        <v/>
      </c>
      <c r="U17">
        <f>IF('Input Scenarios'!U17&lt;&gt;"", 'Input Scenarios'!U17, IF(W17&lt;&gt;"", "", Constants!$B$39))</f>
        <v>4</v>
      </c>
      <c r="V17">
        <f>IF('Input Scenarios'!V17&lt;&gt;"", 'Input Scenarios'!V17, IF(W17&lt;&gt;"", "", Constants!$B$40))</f>
        <v>3.3</v>
      </c>
      <c r="W17" t="str">
        <f>IF('Input Scenarios'!W17&lt;&gt;"", 'Input Scenarios'!W17, "")</f>
        <v/>
      </c>
      <c r="X17" t="str">
        <f>'Input Scenarios'!X17</f>
        <v>Large Friesian</v>
      </c>
      <c r="Y17" t="str">
        <f>'Input Scenarios'!Y17</f>
        <v>heifersLt1PreWeaned</v>
      </c>
      <c r="Z17">
        <f>'Input Scenarios'!Z17</f>
        <v>200</v>
      </c>
      <c r="AA17">
        <f>IF('Input Scenarios'!AA17&lt;&gt;"", 'Input Scenarios'!AA17, _xlfn.XLOOKUP(Y17,Constants!$J$6:$J$12,Constants!$K$6:$K$12))</f>
        <v>84</v>
      </c>
      <c r="AB17">
        <f>IF('Input Scenarios'!AB17&lt;&gt;"", 'Input Scenarios'!AB17, INDEX(Constants!$B$2:$H$11, MATCH(X17, Constants!$A$2:$A$11, 0), MATCH(Y17,Constants!$B$1:$H$1, 0)))</f>
        <v>170</v>
      </c>
      <c r="AC17" t="str">
        <f>IF('Input Scenarios'!AC17&lt;&gt;"", 'Input Scenarios'!AC17, _xlfn.XLOOKUP(Y17, Constants!$B$13:$H$13, Constants!$B$15:$H$15, ""))</f>
        <v/>
      </c>
      <c r="AD17">
        <f>IF('Input Scenarios'!AD17&lt;&gt;"", 'Input Scenarios'!AD17, Constants!$B$45)</f>
        <v>0.75</v>
      </c>
      <c r="AE17">
        <f>IF('Input Scenarios'!AE17&lt;&gt;"", 'Input Scenarios'!AE17, Constants!$B$46)</f>
        <v>0.2</v>
      </c>
      <c r="AF17">
        <f t="shared" si="1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11"/>
        <v>1</v>
      </c>
      <c r="AK17">
        <f t="shared" si="25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26"/>
        <v>0.5948500000000001</v>
      </c>
      <c r="AQ17">
        <f t="shared" si="27"/>
        <v>0</v>
      </c>
      <c r="AR17">
        <f>IF(Y17="milkingCows", Constants!$P$2, Constants!$P$3)</f>
        <v>1</v>
      </c>
      <c r="AS17" t="str">
        <f t="shared" si="28"/>
        <v/>
      </c>
      <c r="AT17" t="str">
        <f t="shared" si="29"/>
        <v/>
      </c>
      <c r="AU17" t="str">
        <f>_xlfn.XLOOKUP(Y17, Constants!$B$13:$H$13, Constants!$B$14:$H$14, "")</f>
        <v/>
      </c>
      <c r="AV17" t="str">
        <f t="shared" si="30"/>
        <v/>
      </c>
      <c r="AW17">
        <f>Constants!$B$55</f>
        <v>6.25</v>
      </c>
      <c r="AX17" t="str">
        <f t="shared" si="1"/>
        <v/>
      </c>
      <c r="AY17" t="str">
        <f t="shared" si="2"/>
        <v/>
      </c>
      <c r="AZ17" t="str">
        <f t="shared" si="18"/>
        <v/>
      </c>
      <c r="BA17">
        <f>IF(ISNUMBER(FIND("PreWeaned",Y17)),_xlfn.XLOOKUP(Y17,Constants!$J$2:$J$3,Constants!$M$2:$M$3),"")</f>
        <v>1.37E-2</v>
      </c>
      <c r="BB17">
        <f t="shared" si="3"/>
        <v>230.16000000000003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230.16000000000003</v>
      </c>
      <c r="BH17">
        <f>Constants!$C$19</f>
        <v>0</v>
      </c>
      <c r="BI17">
        <f>Constants!$C$20</f>
        <v>0</v>
      </c>
      <c r="BJ17">
        <f>Constants!$C$21</f>
        <v>0</v>
      </c>
      <c r="BK17">
        <f>Constants!$C$22</f>
        <v>5.0000000000000001E-3</v>
      </c>
      <c r="BL17">
        <f>Constants!$C$23</f>
        <v>0</v>
      </c>
      <c r="BM17">
        <f>Constants!$B$50</f>
        <v>1.57</v>
      </c>
      <c r="BN17">
        <f>_xlfn.XLOOKUP(D17,Constants!$A$34:$A$35,Constants!$B$34:$B$35)</f>
        <v>6.0000000000000001E-3</v>
      </c>
      <c r="BO17">
        <f t="shared" si="31"/>
        <v>0</v>
      </c>
      <c r="BP17">
        <f t="shared" si="32"/>
        <v>0</v>
      </c>
      <c r="BQ17">
        <f t="shared" si="33"/>
        <v>0</v>
      </c>
      <c r="BR17">
        <f t="shared" si="34"/>
        <v>0</v>
      </c>
      <c r="BS17">
        <f t="shared" si="35"/>
        <v>0</v>
      </c>
      <c r="BT17">
        <f t="shared" si="36"/>
        <v>2.1681072000000006</v>
      </c>
    </row>
    <row r="18" spans="1:73" x14ac:dyDescent="0.2">
      <c r="A18" t="str">
        <f>'Input Scenarios'!A18</f>
        <v>QLD</v>
      </c>
      <c r="B18">
        <f>'Input Scenarios'!B18</f>
        <v>0</v>
      </c>
      <c r="C18" t="str">
        <f>'Input Scenarios'!C18</f>
        <v>Non-irrigated crop (high rainfall)</v>
      </c>
      <c r="D18" t="str">
        <f>'Input Scenarios'!D18</f>
        <v>wet</v>
      </c>
      <c r="E18" t="b">
        <f>'Input Scenarios'!E18</f>
        <v>1</v>
      </c>
      <c r="F18" t="str">
        <f>'Input Scenarios'!F18</f>
        <v>Limited feedpad</v>
      </c>
      <c r="G18">
        <f>IF('Input Scenarios'!G18&lt;&gt;"", 'Input Scenarios'!G18, _xlfn.XLOOKUP($F18, Constants!$M$6:$M$9,Constants!N$6:N$9))</f>
        <v>0.79</v>
      </c>
      <c r="H18">
        <f>IF('Input Scenarios'!H18&lt;&gt;"", 'Input Scenarios'!H18, _xlfn.XLOOKUP($F18, Constants!$M$6:$M$9,Constants!O$6:O$9))</f>
        <v>0.11</v>
      </c>
      <c r="I18">
        <f>IF('Input Scenarios'!I18&lt;&gt;"", 'Input Scenarios'!I18, _xlfn.XLOOKUP($F18, Constants!$M$6:$M$9,Constants!P$6:P$9))</f>
        <v>0.1</v>
      </c>
      <c r="J18">
        <f>'Input Scenarios'!J18</f>
        <v>0</v>
      </c>
      <c r="K18">
        <f>'Input Scenarios'!K18</f>
        <v>0</v>
      </c>
      <c r="L18">
        <f>'Input Scenarios'!L18</f>
        <v>1</v>
      </c>
      <c r="M18">
        <f>'Input Scenarios'!M18</f>
        <v>0</v>
      </c>
      <c r="N18">
        <f>'Input Scenarios'!N18</f>
        <v>1</v>
      </c>
      <c r="O18">
        <f>'Input Scenarios'!O18</f>
        <v>0</v>
      </c>
      <c r="P18">
        <f>'Input Scenarios'!P18</f>
        <v>0</v>
      </c>
      <c r="Q18">
        <f>'Input Scenarios'!Q18</f>
        <v>0</v>
      </c>
      <c r="R18" t="b">
        <f>'Input Scenarios'!R18</f>
        <v>1</v>
      </c>
      <c r="S18">
        <f>IF('Input Scenarios'!S18&lt;&gt;"", 'Input Scenarios'!S18, IF(R18, Constants!$B$38, 0))</f>
        <v>0.2</v>
      </c>
      <c r="T18" t="str">
        <f>IF('Input Scenarios'!T18&lt;&gt;"", 'Input Scenarios'!T18, "")</f>
        <v/>
      </c>
      <c r="U18">
        <f>IF('Input Scenarios'!U18&lt;&gt;"", 'Input Scenarios'!U18, IF(W18&lt;&gt;"", "", Constants!$B$39))</f>
        <v>4</v>
      </c>
      <c r="V18">
        <f>IF('Input Scenarios'!V18&lt;&gt;"", 'Input Scenarios'!V18, IF(W18&lt;&gt;"", "", Constants!$B$40))</f>
        <v>3.3</v>
      </c>
      <c r="W18" t="str">
        <f>IF('Input Scenarios'!W18&lt;&gt;"", 'Input Scenarios'!W18, "")</f>
        <v/>
      </c>
      <c r="X18" t="str">
        <f>'Input Scenarios'!X18</f>
        <v>Large Friesian</v>
      </c>
      <c r="Y18" t="str">
        <f>'Input Scenarios'!Y18</f>
        <v>heifersLt1Weaned</v>
      </c>
      <c r="Z18">
        <f>'Input Scenarios'!Z18</f>
        <v>200</v>
      </c>
      <c r="AA18">
        <f>IF('Input Scenarios'!AA18&lt;&gt;"", 'Input Scenarios'!AA18, _xlfn.XLOOKUP(Y18,Constants!$J$6:$J$12,Constants!$K$6:$K$12))</f>
        <v>281</v>
      </c>
      <c r="AB18">
        <f>IF('Input Scenarios'!AB18&lt;&gt;"", 'Input Scenarios'!AB18, INDEX(Constants!$B$2:$H$11, MATCH(X18, Constants!$A$2:$A$11, 0), MATCH(Y18,Constants!$B$1:$H$1, 0)))</f>
        <v>170</v>
      </c>
      <c r="AC18">
        <f>IF('Input Scenarios'!AC18&lt;&gt;"", 'Input Scenarios'!AC18, _xlfn.XLOOKUP(Y18, Constants!$B$13:$H$13, Constants!$B$15:$H$15, ""))</f>
        <v>0.56999999999999995</v>
      </c>
      <c r="AD18">
        <f>IF('Input Scenarios'!AD18&lt;&gt;"", 'Input Scenarios'!AD18, Constants!$B$45)</f>
        <v>0.75</v>
      </c>
      <c r="AE18">
        <f>IF('Input Scenarios'!AE18&lt;&gt;"", 'Input Scenarios'!AE18, Constants!$B$46)</f>
        <v>0.2</v>
      </c>
      <c r="AF18">
        <f t="shared" si="1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11"/>
        <v>1</v>
      </c>
      <c r="AK18">
        <f t="shared" si="25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26"/>
        <v>0.5948500000000001</v>
      </c>
      <c r="AQ18">
        <f t="shared" si="27"/>
        <v>0</v>
      </c>
      <c r="AR18">
        <f>IF(Y18="milkingCows", Constants!$P$2, Constants!$P$3)</f>
        <v>1</v>
      </c>
      <c r="AS18">
        <f t="shared" si="28"/>
        <v>4.2485866641000003</v>
      </c>
      <c r="AT18">
        <f t="shared" si="29"/>
        <v>1.1999473082859327</v>
      </c>
      <c r="AU18">
        <f>_xlfn.XLOOKUP(Y18, Constants!$B$13:$H$13, Constants!$B$14:$H$14, "")</f>
        <v>590</v>
      </c>
      <c r="AV18">
        <f t="shared" si="30"/>
        <v>0.28813559322033899</v>
      </c>
      <c r="AW18">
        <f>Constants!$B$55</f>
        <v>6.25</v>
      </c>
      <c r="AX18">
        <f t="shared" si="1"/>
        <v>1.4169978295569003E-2</v>
      </c>
      <c r="AY18">
        <f t="shared" si="2"/>
        <v>0.84971733282000006</v>
      </c>
      <c r="AZ18">
        <f t="shared" si="18"/>
        <v>0.1209561865037117</v>
      </c>
      <c r="BA18" t="str">
        <f>IF(ISNUMBER(FIND("PreWeaned",Y18)),_xlfn.XLOOKUP(Y18,Constants!$J$2:$J$3,Constants!$M$2:$M$3),"")</f>
        <v/>
      </c>
      <c r="BB18">
        <f t="shared" si="3"/>
        <v>6797.7376815085972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6797.7376815085972</v>
      </c>
      <c r="BH18">
        <f>Constants!$C$19</f>
        <v>0</v>
      </c>
      <c r="BI18">
        <f>Constants!$C$20</f>
        <v>0</v>
      </c>
      <c r="BJ18">
        <f>Constants!$C$21</f>
        <v>0</v>
      </c>
      <c r="BK18">
        <f>Constants!$C$22</f>
        <v>5.0000000000000001E-3</v>
      </c>
      <c r="BL18">
        <f>Constants!$C$23</f>
        <v>0</v>
      </c>
      <c r="BM18">
        <f>Constants!$B$50</f>
        <v>1.57</v>
      </c>
      <c r="BN18">
        <f>_xlfn.XLOOKUP(D18,Constants!$A$34:$A$35,Constants!$B$34:$B$35)</f>
        <v>6.0000000000000001E-3</v>
      </c>
      <c r="BO18">
        <f t="shared" si="31"/>
        <v>0</v>
      </c>
      <c r="BP18">
        <f t="shared" si="32"/>
        <v>0</v>
      </c>
      <c r="BQ18">
        <f t="shared" si="33"/>
        <v>0</v>
      </c>
      <c r="BR18">
        <f t="shared" si="34"/>
        <v>0</v>
      </c>
      <c r="BS18">
        <f t="shared" si="35"/>
        <v>0</v>
      </c>
      <c r="BT18">
        <f t="shared" si="36"/>
        <v>64.034688959810978</v>
      </c>
    </row>
    <row r="19" spans="1:73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crop (high rainfall)</v>
      </c>
      <c r="D19" t="str">
        <f>'Input Scenarios'!D19</f>
        <v>wet</v>
      </c>
      <c r="E19" t="b">
        <f>'Input Scenarios'!E19</f>
        <v>1</v>
      </c>
      <c r="F19" t="str">
        <f>'Input Scenarios'!F19</f>
        <v>Limited feedpad</v>
      </c>
      <c r="G19">
        <f>IF('Input Scenarios'!G19&lt;&gt;"", 'Input Scenarios'!G19, _xlfn.XLOOKUP($F19, Constants!$M$6:$M$9,Constants!N$6:N$9))</f>
        <v>0.79</v>
      </c>
      <c r="H19">
        <f>IF('Input Scenarios'!H19&lt;&gt;"", 'Input Scenarios'!H19, _xlfn.XLOOKUP($F19, Constants!$M$6:$M$9,Constants!O$6:O$9))</f>
        <v>0.11</v>
      </c>
      <c r="I19">
        <f>IF('Input Scenarios'!I19&lt;&gt;"", 'Input Scenarios'!I19, _xlfn.XLOOKUP($F19, Constants!$M$6:$M$9,Constants!P$6:P$9))</f>
        <v>0.1</v>
      </c>
      <c r="J19">
        <f>'Input Scenarios'!J19</f>
        <v>0</v>
      </c>
      <c r="K19">
        <f>'Input Scenarios'!K19</f>
        <v>0</v>
      </c>
      <c r="L19">
        <f>'Input Scenarios'!L19</f>
        <v>1</v>
      </c>
      <c r="M19">
        <f>'Input Scenarios'!M19</f>
        <v>0</v>
      </c>
      <c r="N19">
        <f>'Input Scenarios'!N19</f>
        <v>1</v>
      </c>
      <c r="O19">
        <f>'Input Scenarios'!O19</f>
        <v>0</v>
      </c>
      <c r="P19">
        <f>'Input Scenarios'!P19</f>
        <v>0</v>
      </c>
      <c r="Q19">
        <f>'Input Scenarios'!Q19</f>
        <v>0</v>
      </c>
      <c r="R19" t="b">
        <f>'Input Scenarios'!R19</f>
        <v>1</v>
      </c>
      <c r="S19">
        <f>IF('Input Scenarios'!S19&lt;&gt;"", 'Input Scenarios'!S19, IF(R19, Constants!$B$38, 0))</f>
        <v>0.2</v>
      </c>
      <c r="T19" t="str">
        <f>IF('Input Scenarios'!T19&lt;&gt;"", 'Input Scenarios'!T19, "")</f>
        <v/>
      </c>
      <c r="U19">
        <f>IF('Input Scenarios'!U19&lt;&gt;"", 'Input Scenarios'!U19, IF(W19&lt;&gt;"", "", Constants!$B$39))</f>
        <v>4</v>
      </c>
      <c r="V19">
        <f>IF('Input Scenarios'!V19&lt;&gt;"", 'Input Scenarios'!V19, IF(W19&lt;&gt;"", "", Constants!$B$40))</f>
        <v>3.3</v>
      </c>
      <c r="W19" t="str">
        <f>IF('Input Scenarios'!W19&lt;&gt;"", 'Input Scenarios'!W19, "")</f>
        <v/>
      </c>
      <c r="X19" t="str">
        <f>'Input Scenarios'!X19</f>
        <v>Large Friesian</v>
      </c>
      <c r="Y19" t="str">
        <f>'Input Scenarios'!Y19</f>
        <v>bullsGt1</v>
      </c>
      <c r="Z19">
        <f>'Input Scenarios'!Z19</f>
        <v>200</v>
      </c>
      <c r="AA19">
        <f>IF('Input Scenarios'!AA19&lt;&gt;"", 'Input Scenarios'!AA19, _xlfn.XLOOKUP(Y19,Constants!$J$6:$J$12,Constants!$K$6:$K$12))</f>
        <v>365</v>
      </c>
      <c r="AB19">
        <f>IF('Input Scenarios'!AB19&lt;&gt;"", 'Input Scenarios'!AB19, INDEX(Constants!$B$2:$H$11, MATCH(X19, Constants!$A$2:$A$11, 0), MATCH(Y19,Constants!$B$1:$H$1, 0)))</f>
        <v>600</v>
      </c>
      <c r="AC19">
        <f>IF('Input Scenarios'!AC19&lt;&gt;"", 'Input Scenarios'!AC19, _xlfn.XLOOKUP(Y19, Constants!$B$13:$H$13, Constants!$B$15:$H$15, ""))</f>
        <v>0.1</v>
      </c>
      <c r="AD19">
        <f>IF('Input Scenarios'!AD19&lt;&gt;"", 'Input Scenarios'!AD19, Constants!$B$45)</f>
        <v>0.75</v>
      </c>
      <c r="AE19">
        <f>IF('Input Scenarios'!AE19&lt;&gt;"", 'Input Scenarios'!AE19, Constants!$B$46)</f>
        <v>0.2</v>
      </c>
      <c r="AF19">
        <f t="shared" si="1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11"/>
        <v>1</v>
      </c>
      <c r="AK19">
        <f t="shared" si="25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26"/>
        <v>0.5948500000000001</v>
      </c>
      <c r="AQ19">
        <f t="shared" si="27"/>
        <v>0</v>
      </c>
      <c r="AR19">
        <f>IF(Y19="milkingCows", Constants!$P$2, Constants!$P$3)</f>
        <v>1</v>
      </c>
      <c r="AS19">
        <f t="shared" si="28"/>
        <v>9.0270202499999979</v>
      </c>
      <c r="AT19">
        <f t="shared" si="29"/>
        <v>1.0213029780639273</v>
      </c>
      <c r="AU19">
        <f>_xlfn.XLOOKUP(Y19, Constants!$B$13:$H$13, Constants!$B$14:$H$14, "")</f>
        <v>770</v>
      </c>
      <c r="AV19">
        <f t="shared" si="30"/>
        <v>0.77922077922077926</v>
      </c>
      <c r="AW19">
        <f>Constants!$B$55</f>
        <v>6.25</v>
      </c>
      <c r="AX19">
        <f t="shared" si="1"/>
        <v>1.2626203146474679E-3</v>
      </c>
      <c r="AY19">
        <f t="shared" si="2"/>
        <v>1.8054040499999997</v>
      </c>
      <c r="AZ19">
        <f t="shared" si="18"/>
        <v>0.28546836331241399</v>
      </c>
      <c r="BA19" t="str">
        <f>IF(ISNUMBER(FIND("PreWeaned",Y19)),_xlfn.XLOOKUP(Y19,Constants!$J$2:$J$3,Constants!$M$2:$M$3),"")</f>
        <v/>
      </c>
      <c r="BB19">
        <f t="shared" si="3"/>
        <v>20839.19052180622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20839.19052180622</v>
      </c>
      <c r="BH19">
        <f>Constants!$C$19</f>
        <v>0</v>
      </c>
      <c r="BI19">
        <f>Constants!$C$20</f>
        <v>0</v>
      </c>
      <c r="BJ19">
        <f>Constants!$C$21</f>
        <v>0</v>
      </c>
      <c r="BK19">
        <f>Constants!$C$22</f>
        <v>5.0000000000000001E-3</v>
      </c>
      <c r="BL19">
        <f>Constants!$C$23</f>
        <v>0</v>
      </c>
      <c r="BM19">
        <f>Constants!$B$50</f>
        <v>1.57</v>
      </c>
      <c r="BN19">
        <f>_xlfn.XLOOKUP(D19,Constants!$A$34:$A$35,Constants!$B$34:$B$35)</f>
        <v>6.0000000000000001E-3</v>
      </c>
      <c r="BO19">
        <f t="shared" si="31"/>
        <v>0</v>
      </c>
      <c r="BP19">
        <f t="shared" si="32"/>
        <v>0</v>
      </c>
      <c r="BQ19">
        <f t="shared" si="33"/>
        <v>0</v>
      </c>
      <c r="BR19">
        <f t="shared" si="34"/>
        <v>0</v>
      </c>
      <c r="BS19">
        <f t="shared" si="35"/>
        <v>0</v>
      </c>
      <c r="BT19">
        <f t="shared" si="36"/>
        <v>196.30517471541461</v>
      </c>
    </row>
    <row r="20" spans="1:73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crop (high rainfall)</v>
      </c>
      <c r="D20" t="str">
        <f>'Input Scenarios'!D20</f>
        <v>wet</v>
      </c>
      <c r="E20" t="b">
        <f>'Input Scenarios'!E20</f>
        <v>1</v>
      </c>
      <c r="F20" t="str">
        <f>'Input Scenarios'!F20</f>
        <v>Limited feedpad</v>
      </c>
      <c r="G20">
        <f>IF('Input Scenarios'!G20&lt;&gt;"", 'Input Scenarios'!G20, _xlfn.XLOOKUP($F20, Constants!$M$6:$M$9,Constants!N$6:N$9))</f>
        <v>0.79</v>
      </c>
      <c r="H20">
        <f>IF('Input Scenarios'!H20&lt;&gt;"", 'Input Scenarios'!H20, _xlfn.XLOOKUP($F20, Constants!$M$6:$M$9,Constants!O$6:O$9))</f>
        <v>0.11</v>
      </c>
      <c r="I20">
        <f>IF('Input Scenarios'!I20&lt;&gt;"", 'Input Scenarios'!I20, _xlfn.XLOOKUP($F20, Constants!$M$6:$M$9,Constants!P$6:P$9))</f>
        <v>0.1</v>
      </c>
      <c r="J20">
        <f>'Input Scenarios'!J20</f>
        <v>0</v>
      </c>
      <c r="K20">
        <f>'Input Scenarios'!K20</f>
        <v>0</v>
      </c>
      <c r="L20">
        <f>'Input Scenarios'!L20</f>
        <v>1</v>
      </c>
      <c r="M20">
        <f>'Input Scenarios'!M20</f>
        <v>0</v>
      </c>
      <c r="N20">
        <f>'Input Scenarios'!N20</f>
        <v>1</v>
      </c>
      <c r="O20">
        <f>'Input Scenarios'!O20</f>
        <v>0</v>
      </c>
      <c r="P20">
        <f>'Input Scenarios'!P20</f>
        <v>0</v>
      </c>
      <c r="Q20">
        <f>'Input Scenarios'!Q20</f>
        <v>0</v>
      </c>
      <c r="R20" t="b">
        <f>'Input Scenarios'!R20</f>
        <v>1</v>
      </c>
      <c r="S20">
        <f>IF('Input Scenarios'!S20&lt;&gt;"", 'Input Scenarios'!S20, IF(R20, Constants!$B$38, 0))</f>
        <v>0.2</v>
      </c>
      <c r="T20" t="str">
        <f>IF('Input Scenarios'!T20&lt;&gt;"", 'Input Scenarios'!T20, "")</f>
        <v/>
      </c>
      <c r="U20">
        <f>IF('Input Scenarios'!U20&lt;&gt;"", 'Input Scenarios'!U20, IF(W20&lt;&gt;"", "", Constants!$B$39))</f>
        <v>4</v>
      </c>
      <c r="V20">
        <f>IF('Input Scenarios'!V20&lt;&gt;"", 'Input Scenarios'!V20, IF(W20&lt;&gt;"", "", Constants!$B$40))</f>
        <v>3.3</v>
      </c>
      <c r="W20" t="str">
        <f>IF('Input Scenarios'!W20&lt;&gt;"", 'Input Scenarios'!W20, "")</f>
        <v/>
      </c>
      <c r="X20" t="str">
        <f>'Input Scenarios'!X20</f>
        <v>Large Friesian</v>
      </c>
      <c r="Y20" t="str">
        <f>'Input Scenarios'!Y20</f>
        <v>bullsLt1PreWeaned</v>
      </c>
      <c r="Z20">
        <f>'Input Scenarios'!Z20</f>
        <v>200</v>
      </c>
      <c r="AA20">
        <f>IF('Input Scenarios'!AA20&lt;&gt;"", 'Input Scenarios'!AA20, _xlfn.XLOOKUP(Y20,Constants!$J$6:$J$12,Constants!$K$6:$K$12))</f>
        <v>84</v>
      </c>
      <c r="AB20">
        <f>IF('Input Scenarios'!AB20&lt;&gt;"", 'Input Scenarios'!AB20, INDEX(Constants!$B$2:$H$11, MATCH(X20, Constants!$A$2:$A$11, 0), MATCH(Y20,Constants!$B$1:$H$1, 0)))</f>
        <v>225</v>
      </c>
      <c r="AC20" t="str">
        <f>IF('Input Scenarios'!AC20&lt;&gt;"", 'Input Scenarios'!AC20, _xlfn.XLOOKUP(Y20, Constants!$B$13:$H$13, Constants!$B$15:$H$15, ""))</f>
        <v/>
      </c>
      <c r="AD20">
        <f>IF('Input Scenarios'!AD20&lt;&gt;"", 'Input Scenarios'!AD20, Constants!$B$45)</f>
        <v>0.75</v>
      </c>
      <c r="AE20">
        <f>IF('Input Scenarios'!AE20&lt;&gt;"", 'Input Scenarios'!AE20, Constants!$B$46)</f>
        <v>0.2</v>
      </c>
      <c r="AF20">
        <f t="shared" si="1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11"/>
        <v>1</v>
      </c>
      <c r="AK20">
        <f t="shared" si="25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26"/>
        <v>0.5948500000000001</v>
      </c>
      <c r="AQ20">
        <f t="shared" si="27"/>
        <v>0</v>
      </c>
      <c r="AR20">
        <f>IF(Y20="milkingCows", Constants!$P$2, Constants!$P$3)</f>
        <v>1</v>
      </c>
      <c r="AS20" t="str">
        <f t="shared" si="28"/>
        <v/>
      </c>
      <c r="AT20" t="str">
        <f t="shared" si="29"/>
        <v/>
      </c>
      <c r="AU20" t="str">
        <f>_xlfn.XLOOKUP(Y20, Constants!$B$13:$H$13, Constants!$B$14:$H$14, "")</f>
        <v/>
      </c>
      <c r="AV20" t="str">
        <f t="shared" si="30"/>
        <v/>
      </c>
      <c r="AW20">
        <f>Constants!$B$55</f>
        <v>6.25</v>
      </c>
      <c r="AX20" t="str">
        <f t="shared" si="1"/>
        <v/>
      </c>
      <c r="AY20" t="str">
        <f t="shared" si="2"/>
        <v/>
      </c>
      <c r="AZ20" t="str">
        <f t="shared" si="18"/>
        <v/>
      </c>
      <c r="BA20">
        <f>IF(ISNUMBER(FIND("PreWeaned",Y20)),_xlfn.XLOOKUP(Y20,Constants!$J$2:$J$3,Constants!$M$2:$M$3),"")</f>
        <v>9.1999999999999998E-3</v>
      </c>
      <c r="BB20">
        <f t="shared" si="3"/>
        <v>154.56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154.56</v>
      </c>
      <c r="BH20">
        <f>Constants!$C$19</f>
        <v>0</v>
      </c>
      <c r="BI20">
        <f>Constants!$C$20</f>
        <v>0</v>
      </c>
      <c r="BJ20">
        <f>Constants!$C$21</f>
        <v>0</v>
      </c>
      <c r="BK20">
        <f>Constants!$C$22</f>
        <v>5.0000000000000001E-3</v>
      </c>
      <c r="BL20">
        <f>Constants!$C$23</f>
        <v>0</v>
      </c>
      <c r="BM20">
        <f>Constants!$B$50</f>
        <v>1.57</v>
      </c>
      <c r="BN20">
        <f>_xlfn.XLOOKUP(D20,Constants!$A$34:$A$35,Constants!$B$34:$B$35)</f>
        <v>6.0000000000000001E-3</v>
      </c>
      <c r="BO20">
        <f t="shared" si="31"/>
        <v>0</v>
      </c>
      <c r="BP20">
        <f t="shared" si="32"/>
        <v>0</v>
      </c>
      <c r="BQ20">
        <f t="shared" si="33"/>
        <v>0</v>
      </c>
      <c r="BR20">
        <f t="shared" si="34"/>
        <v>0</v>
      </c>
      <c r="BS20">
        <f t="shared" si="35"/>
        <v>0</v>
      </c>
      <c r="BT20">
        <f t="shared" si="36"/>
        <v>1.4559552000000002</v>
      </c>
    </row>
    <row r="21" spans="1:73" s="16" customFormat="1" x14ac:dyDescent="0.2">
      <c r="A21" s="16" t="str">
        <f>'Input Scenarios'!A21</f>
        <v>QLD</v>
      </c>
      <c r="B21" s="16">
        <f>'Input Scenarios'!B21</f>
        <v>0</v>
      </c>
      <c r="C21" s="16" t="str">
        <f>'Input Scenarios'!C21</f>
        <v>Non-irrigated crop (high rainfall)</v>
      </c>
      <c r="D21" s="16" t="str">
        <f>'Input Scenarios'!D21</f>
        <v>wet</v>
      </c>
      <c r="E21" s="16" t="b">
        <f>'Input Scenarios'!E21</f>
        <v>1</v>
      </c>
      <c r="F21" s="16" t="str">
        <f>'Input Scenarios'!F21</f>
        <v>Limited feedpad</v>
      </c>
      <c r="G21" s="16">
        <f>IF('Input Scenarios'!G21&lt;&gt;"", 'Input Scenarios'!G21, _xlfn.XLOOKUP($F21, Constants!$M$6:$M$9,Constants!N$6:N$9))</f>
        <v>0.79</v>
      </c>
      <c r="H21" s="16">
        <f>IF('Input Scenarios'!H21&lt;&gt;"", 'Input Scenarios'!H21, _xlfn.XLOOKUP($F21, Constants!$M$6:$M$9,Constants!O$6:O$9))</f>
        <v>0.11</v>
      </c>
      <c r="I21" s="16">
        <f>IF('Input Scenarios'!I21&lt;&gt;"", 'Input Scenarios'!I21, _xlfn.XLOOKUP($F21, Constants!$M$6:$M$9,Constants!P$6:P$9))</f>
        <v>0.1</v>
      </c>
      <c r="J21" s="16">
        <f>'Input Scenarios'!J21</f>
        <v>0</v>
      </c>
      <c r="K21" s="16">
        <f>'Input Scenarios'!K21</f>
        <v>0</v>
      </c>
      <c r="L21" s="16">
        <f>'Input Scenarios'!L21</f>
        <v>1</v>
      </c>
      <c r="M21" s="16">
        <f>'Input Scenarios'!M21</f>
        <v>0</v>
      </c>
      <c r="N21" s="16">
        <f>'Input Scenarios'!N21</f>
        <v>1</v>
      </c>
      <c r="O21" s="16">
        <f>'Input Scenarios'!O21</f>
        <v>0</v>
      </c>
      <c r="P21" s="16">
        <f>'Input Scenarios'!P21</f>
        <v>0</v>
      </c>
      <c r="Q21" s="16">
        <f>'Input Scenarios'!Q21</f>
        <v>0</v>
      </c>
      <c r="R21" s="16" t="b">
        <f>'Input Scenarios'!R21</f>
        <v>1</v>
      </c>
      <c r="S21" s="16">
        <f>IF('Input Scenarios'!S21&lt;&gt;"", 'Input Scenarios'!S21, IF(R21, Constants!$B$38, 0))</f>
        <v>0.2</v>
      </c>
      <c r="T21" s="16" t="str">
        <f>IF('Input Scenarios'!T21&lt;&gt;"", 'Input Scenarios'!T21, "")</f>
        <v/>
      </c>
      <c r="U21" s="16">
        <f>IF('Input Scenarios'!U21&lt;&gt;"", 'Input Scenarios'!U21, IF(W21&lt;&gt;"", "", Constants!$B$39))</f>
        <v>4</v>
      </c>
      <c r="V21" s="16">
        <f>IF('Input Scenarios'!V21&lt;&gt;"", 'Input Scenarios'!V21, IF(W21&lt;&gt;"", "", Constants!$B$40))</f>
        <v>3.3</v>
      </c>
      <c r="W21" s="16" t="str">
        <f>IF('Input Scenarios'!W21&lt;&gt;"", 'Input Scenarios'!W21, "")</f>
        <v/>
      </c>
      <c r="X21" s="16" t="str">
        <f>'Input Scenarios'!X21</f>
        <v>Large Friesian</v>
      </c>
      <c r="Y21" s="16" t="str">
        <f>'Input Scenarios'!Y21</f>
        <v>bullsLt1Weaned</v>
      </c>
      <c r="Z21" s="16">
        <f>'Input Scenarios'!Z21</f>
        <v>200</v>
      </c>
      <c r="AA21" s="16">
        <f>IF('Input Scenarios'!AA21&lt;&gt;"", 'Input Scenarios'!AA21, _xlfn.XLOOKUP(Y21,Constants!$J$6:$J$12,Constants!$K$6:$K$12))</f>
        <v>281</v>
      </c>
      <c r="AB21" s="16">
        <f>IF('Input Scenarios'!AB21&lt;&gt;"", 'Input Scenarios'!AB21, INDEX(Constants!$B$2:$H$11, MATCH(X21, Constants!$A$2:$A$11, 0), MATCH(Y21,Constants!$B$1:$H$1, 0)))</f>
        <v>225</v>
      </c>
      <c r="AC21" s="16">
        <f>IF('Input Scenarios'!AC21&lt;&gt;"", 'Input Scenarios'!AC21, _xlfn.XLOOKUP(Y21, Constants!$B$13:$H$13, Constants!$B$15:$H$15, ""))</f>
        <v>0.8</v>
      </c>
      <c r="AD21" s="16">
        <f>IF('Input Scenarios'!AD21&lt;&gt;"", 'Input Scenarios'!AD21, Constants!$B$45)</f>
        <v>0.75</v>
      </c>
      <c r="AE21" s="16">
        <f>IF('Input Scenarios'!AE21&lt;&gt;"", 'Input Scenarios'!AE21, Constants!$B$46)</f>
        <v>0.2</v>
      </c>
      <c r="AF21" s="16">
        <f t="shared" si="10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11"/>
        <v>1</v>
      </c>
      <c r="AK21" s="16">
        <f t="shared" si="25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26"/>
        <v>0.5948500000000001</v>
      </c>
      <c r="AQ21" s="16">
        <f t="shared" si="27"/>
        <v>0</v>
      </c>
      <c r="AR21" s="16">
        <f>IF(Y21="milkingCows", Constants!$P$2, Constants!$P$3)</f>
        <v>1</v>
      </c>
      <c r="AS21" s="16">
        <f t="shared" si="28"/>
        <v>5.4143472656250013</v>
      </c>
      <c r="AT21" s="16">
        <f t="shared" si="29"/>
        <v>1.2576570545672616</v>
      </c>
      <c r="AU21" s="16">
        <f>_xlfn.XLOOKUP(Y21, Constants!$B$13:$H$13, Constants!$B$14:$H$14, "")</f>
        <v>770</v>
      </c>
      <c r="AV21" s="16">
        <f t="shared" si="30"/>
        <v>0.29220779220779219</v>
      </c>
      <c r="AW21" s="16">
        <f>Constants!$B$55</f>
        <v>6.25</v>
      </c>
      <c r="AX21" s="16">
        <f t="shared" si="1"/>
        <v>1.9757354894894084E-2</v>
      </c>
      <c r="AY21" s="16">
        <f t="shared" si="2"/>
        <v>1.0828694531250003</v>
      </c>
      <c r="AZ21" s="16">
        <f t="shared" si="18"/>
        <v>0.15247929000170721</v>
      </c>
      <c r="BA21" s="16" t="str">
        <f>IF(ISNUMBER(FIND("PreWeaned",Y21)),_xlfn.XLOOKUP(Y21,Constants!$J$2:$J$3,Constants!$M$2:$M$3),"")</f>
        <v/>
      </c>
      <c r="BB21" s="16">
        <f t="shared" si="3"/>
        <v>8569.336098095946</v>
      </c>
      <c r="BC21" s="16">
        <f t="shared" si="4"/>
        <v>0</v>
      </c>
      <c r="BD21" s="16">
        <f t="shared" si="5"/>
        <v>0</v>
      </c>
      <c r="BE21" s="16">
        <f t="shared" si="6"/>
        <v>0</v>
      </c>
      <c r="BF21" s="16">
        <f t="shared" si="7"/>
        <v>0</v>
      </c>
      <c r="BG21" s="16">
        <f t="shared" si="8"/>
        <v>8569.336098095946</v>
      </c>
      <c r="BH21" s="16">
        <f>Constants!$C$19</f>
        <v>0</v>
      </c>
      <c r="BI21" s="16">
        <f>Constants!$C$20</f>
        <v>0</v>
      </c>
      <c r="BJ21" s="16">
        <f>Constants!$C$21</f>
        <v>0</v>
      </c>
      <c r="BK21" s="16">
        <f>Constants!$C$22</f>
        <v>5.0000000000000001E-3</v>
      </c>
      <c r="BL21" s="16">
        <f>Constants!$C$23</f>
        <v>0</v>
      </c>
      <c r="BM21" s="16">
        <f>Constants!$B$50</f>
        <v>1.57</v>
      </c>
      <c r="BN21" s="16">
        <f>_xlfn.XLOOKUP(D21,Constants!$A$34:$A$35,Constants!$B$34:$B$35)</f>
        <v>6.0000000000000001E-3</v>
      </c>
      <c r="BO21" s="16">
        <f t="shared" si="31"/>
        <v>0</v>
      </c>
      <c r="BP21" s="16">
        <f t="shared" si="32"/>
        <v>0</v>
      </c>
      <c r="BQ21" s="16">
        <f t="shared" si="33"/>
        <v>0</v>
      </c>
      <c r="BR21" s="16">
        <f t="shared" si="34"/>
        <v>0</v>
      </c>
      <c r="BS21" s="16">
        <f t="shared" si="35"/>
        <v>0</v>
      </c>
      <c r="BT21" s="16">
        <f t="shared" si="36"/>
        <v>80.723146044063824</v>
      </c>
    </row>
    <row r="22" spans="1:73" x14ac:dyDescent="0.2">
      <c r="A22" t="str">
        <f>'Input Scenarios'!A22</f>
        <v>NT</v>
      </c>
      <c r="B22">
        <f>'Input Scenarios'!B22</f>
        <v>0</v>
      </c>
      <c r="C22" t="str">
        <f>'Input Scenarios'!C22</f>
        <v>Irrigated pasture</v>
      </c>
      <c r="D22" t="str">
        <f>'Input Scenarios'!D22</f>
        <v>dry</v>
      </c>
      <c r="E22" t="b">
        <f>'Input Scenarios'!E22</f>
        <v>0</v>
      </c>
      <c r="F22" t="str">
        <f>'Input Scenarios'!F22</f>
        <v>Zero grazing</v>
      </c>
      <c r="G22">
        <f>IF('Input Scenarios'!G22&lt;&gt;"", 'Input Scenarios'!G22, _xlfn.XLOOKUP($F22, Constants!$M$6:$M$9,Constants!N$6:N$9))</f>
        <v>0</v>
      </c>
      <c r="H22">
        <f>IF('Input Scenarios'!H22&lt;&gt;"", 'Input Scenarios'!H22, _xlfn.XLOOKUP($F22, Constants!$M$6:$M$9,Constants!O$6:O$9))</f>
        <v>0.11</v>
      </c>
      <c r="I22">
        <f>IF('Input Scenarios'!I22&lt;&gt;"", 'Input Scenarios'!I22, _xlfn.XLOOKUP($F22, Constants!$M$6:$M$9,Constants!P$6:P$9))</f>
        <v>0.89</v>
      </c>
      <c r="J22">
        <f>'Input Scenarios'!J22</f>
        <v>0</v>
      </c>
      <c r="K22">
        <f>'Input Scenarios'!K22</f>
        <v>0.5</v>
      </c>
      <c r="L22">
        <f>'Input Scenarios'!L22</f>
        <v>0.5</v>
      </c>
      <c r="M22">
        <f>'Input Scenarios'!M22</f>
        <v>0</v>
      </c>
      <c r="N22">
        <f>'Input Scenarios'!N22</f>
        <v>0.5</v>
      </c>
      <c r="O22">
        <f>'Input Scenarios'!O22</f>
        <v>0</v>
      </c>
      <c r="P22">
        <f>'Input Scenarios'!P22</f>
        <v>0</v>
      </c>
      <c r="Q22">
        <f>'Input Scenarios'!Q22</f>
        <v>0.5</v>
      </c>
      <c r="R22" t="b">
        <f>'Input Scenarios'!R22</f>
        <v>0</v>
      </c>
      <c r="S22">
        <f>IF('Input Scenarios'!S22&lt;&gt;"", 'Input Scenarios'!S22, IF(R22, Constants!$B$38, 0))</f>
        <v>0</v>
      </c>
      <c r="T22">
        <f>IF('Input Scenarios'!T22&lt;&gt;"", 'Input Scenarios'!T22, "")</f>
        <v>2.8</v>
      </c>
      <c r="U22">
        <f>IF('Input Scenarios'!U22&lt;&gt;"", 'Input Scenarios'!U22, IF(W22&lt;&gt;"", "", Constants!$B$39))</f>
        <v>4</v>
      </c>
      <c r="V22">
        <f>IF('Input Scenarios'!V22&lt;&gt;"", 'Input Scenarios'!V22, IF(W22&lt;&gt;"", "", Constants!$B$40))</f>
        <v>3.3</v>
      </c>
      <c r="W22" t="str">
        <f>IF('Input Scenarios'!W22&lt;&gt;"", 'Input Scenarios'!W22, "")</f>
        <v/>
      </c>
      <c r="X22" t="str">
        <f>'Input Scenarios'!X22</f>
        <v>Holstein-Friesian</v>
      </c>
      <c r="Y22" t="str">
        <f>'Input Scenarios'!Y22</f>
        <v>milkingCows</v>
      </c>
      <c r="Z22">
        <f>'Input Scenarios'!Z22</f>
        <v>200</v>
      </c>
      <c r="AA22">
        <f>IF('Input Scenarios'!AA22&lt;&gt;"", 'Input Scenarios'!AA22, _xlfn.XLOOKUP(Y22,Constants!$J$6:$J$12,Constants!$K$6:$K$12))</f>
        <v>365</v>
      </c>
      <c r="AB22">
        <f>IF('Input Scenarios'!AB22&lt;&gt;"", 'Input Scenarios'!AB22, INDEX(Constants!$B$2:$H$11, MATCH(X22, Constants!$A$2:$A$11, 0), MATCH(Y22,Constants!$B$1:$H$1, 0)))</f>
        <v>650</v>
      </c>
      <c r="AC22">
        <f>IF('Input Scenarios'!AC22&lt;&gt;"", 'Input Scenarios'!AC22, _xlfn.XLOOKUP(Y22, Constants!$B$13:$H$13, Constants!$B$15:$H$15, ""))</f>
        <v>1.6E-2</v>
      </c>
      <c r="AD22">
        <f>IF('Input Scenarios'!AD22&lt;&gt;"", 'Input Scenarios'!AD22, Constants!$B$45)</f>
        <v>0.75</v>
      </c>
      <c r="AE22">
        <f>IF('Input Scenarios'!AE22&lt;&gt;"", 'Input Scenarios'!AE22, Constants!$B$46)</f>
        <v>0.2</v>
      </c>
      <c r="AF22" s="20">
        <f t="shared" si="10"/>
        <v>0.44500000000000001</v>
      </c>
      <c r="AG22" s="20">
        <f t="shared" si="0"/>
        <v>5.5E-2</v>
      </c>
      <c r="AH22" s="20">
        <f t="shared" si="0"/>
        <v>5.5E-2</v>
      </c>
      <c r="AI22" s="20">
        <f t="shared" si="0"/>
        <v>0.44500000000000001</v>
      </c>
      <c r="AJ22" s="20">
        <f t="shared" si="11"/>
        <v>0</v>
      </c>
      <c r="AK22">
        <f t="shared" si="25"/>
        <v>38.356164383561641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26"/>
        <v>0.5948500000000001</v>
      </c>
      <c r="AQ22">
        <f t="shared" si="27"/>
        <v>18.372357574041192</v>
      </c>
      <c r="AR22">
        <f>IF(Y22="milkingCows", Constants!$P$2, Constants!$P$3)</f>
        <v>1.1000000000000001</v>
      </c>
      <c r="AS22">
        <f t="shared" si="28"/>
        <v>28.555112190801196</v>
      </c>
      <c r="AT22">
        <f t="shared" si="29"/>
        <v>1.001181840179723</v>
      </c>
      <c r="AU22">
        <f>_xlfn.XLOOKUP(Y22, Constants!$B$13:$H$13, Constants!$B$14:$H$14, "")</f>
        <v>590</v>
      </c>
      <c r="AV22">
        <f t="shared" si="30"/>
        <v>1.1016949152542372</v>
      </c>
      <c r="AW22">
        <f>Constants!$B$55</f>
        <v>6.25</v>
      </c>
      <c r="AX22" s="20">
        <f t="shared" si="1"/>
        <v>0.19832814869793783</v>
      </c>
      <c r="AY22">
        <f t="shared" si="2"/>
        <v>5.7110224381602395</v>
      </c>
      <c r="AZ22">
        <f t="shared" si="18"/>
        <v>0.71316976602832161</v>
      </c>
      <c r="BA22" t="str">
        <f>IF(ISNUMBER(FIND("PreWeaned",Y22)),_xlfn.XLOOKUP(Y22,Constants!$J$2:$J$3,Constants!$M$2:$M$3),"")</f>
        <v/>
      </c>
      <c r="BB22">
        <f t="shared" si="3"/>
        <v>52061.392920067476</v>
      </c>
      <c r="BC22">
        <f t="shared" si="4"/>
        <v>23167.319849430027</v>
      </c>
      <c r="BD22">
        <f t="shared" si="5"/>
        <v>2863.376610603711</v>
      </c>
      <c r="BE22">
        <f t="shared" si="6"/>
        <v>2863.376610603711</v>
      </c>
      <c r="BF22">
        <f t="shared" si="7"/>
        <v>23167.319849430027</v>
      </c>
      <c r="BG22">
        <f t="shared" si="8"/>
        <v>0</v>
      </c>
      <c r="BH22">
        <f>Constants!$C$19</f>
        <v>0</v>
      </c>
      <c r="BI22">
        <f>Constants!$C$20</f>
        <v>0</v>
      </c>
      <c r="BJ22">
        <f>Constants!$C$21</f>
        <v>0</v>
      </c>
      <c r="BK22">
        <f>Constants!$C$22</f>
        <v>5.0000000000000001E-3</v>
      </c>
      <c r="BL22">
        <f>Constants!$C$23</f>
        <v>0</v>
      </c>
      <c r="BM22">
        <f>Constants!$B$50</f>
        <v>1.57</v>
      </c>
      <c r="BN22">
        <f>_xlfn.XLOOKUP(D22,Constants!$A$34:$A$35,Constants!$B$34:$B$35)</f>
        <v>2E-3</v>
      </c>
      <c r="BO22">
        <f t="shared" si="31"/>
        <v>0</v>
      </c>
      <c r="BP22">
        <f t="shared" si="32"/>
        <v>0</v>
      </c>
      <c r="BQ22">
        <f t="shared" si="33"/>
        <v>0</v>
      </c>
      <c r="BR22">
        <f t="shared" si="34"/>
        <v>181.86346081802571</v>
      </c>
      <c r="BS22">
        <f t="shared" si="35"/>
        <v>0</v>
      </c>
      <c r="BT22">
        <f t="shared" si="36"/>
        <v>0</v>
      </c>
      <c r="BU22">
        <f>SUM(BO22:BT28)/1000</f>
        <v>0.35723399047463567</v>
      </c>
    </row>
    <row r="23" spans="1:73" x14ac:dyDescent="0.2">
      <c r="A23" t="str">
        <f>'Input Scenarios'!A23</f>
        <v>NT</v>
      </c>
      <c r="B23">
        <f>'Input Scenarios'!B23</f>
        <v>0</v>
      </c>
      <c r="C23" t="str">
        <f>'Input Scenarios'!C23</f>
        <v>Irrigated pasture</v>
      </c>
      <c r="D23" t="str">
        <f>'Input Scenarios'!D23</f>
        <v>dry</v>
      </c>
      <c r="E23" t="b">
        <f>'Input Scenarios'!E23</f>
        <v>0</v>
      </c>
      <c r="F23" t="str">
        <f>'Input Scenarios'!F23</f>
        <v>Zero grazing</v>
      </c>
      <c r="G23">
        <f>IF('Input Scenarios'!G23&lt;&gt;"", 'Input Scenarios'!G23, _xlfn.XLOOKUP($F23, Constants!$M$6:$M$9,Constants!N$6:N$9))</f>
        <v>0</v>
      </c>
      <c r="H23">
        <f>IF('Input Scenarios'!H23&lt;&gt;"", 'Input Scenarios'!H23, _xlfn.XLOOKUP($F23, Constants!$M$6:$M$9,Constants!O$6:O$9))</f>
        <v>0.11</v>
      </c>
      <c r="I23">
        <f>IF('Input Scenarios'!I23&lt;&gt;"", 'Input Scenarios'!I23, _xlfn.XLOOKUP($F23, Constants!$M$6:$M$9,Constants!P$6:P$9))</f>
        <v>0.89</v>
      </c>
      <c r="J23">
        <f>'Input Scenarios'!J23</f>
        <v>0</v>
      </c>
      <c r="K23">
        <f>'Input Scenarios'!K23</f>
        <v>0.5</v>
      </c>
      <c r="L23">
        <f>'Input Scenarios'!L23</f>
        <v>0.5</v>
      </c>
      <c r="M23">
        <f>'Input Scenarios'!M23</f>
        <v>0</v>
      </c>
      <c r="N23">
        <f>'Input Scenarios'!N23</f>
        <v>0.5</v>
      </c>
      <c r="O23">
        <f>'Input Scenarios'!O23</f>
        <v>0</v>
      </c>
      <c r="P23">
        <f>'Input Scenarios'!P23</f>
        <v>0</v>
      </c>
      <c r="Q23">
        <f>'Input Scenarios'!Q23</f>
        <v>0.5</v>
      </c>
      <c r="R23" t="b">
        <f>'Input Scenarios'!R23</f>
        <v>0</v>
      </c>
      <c r="S23">
        <f>IF('Input Scenarios'!S23&lt;&gt;"", 'Input Scenarios'!S23, IF(R23, Constants!$B$38, 0))</f>
        <v>0</v>
      </c>
      <c r="T23" t="str">
        <f>IF('Input Scenarios'!T23&lt;&gt;"", 'Input Scenarios'!T23, "")</f>
        <v/>
      </c>
      <c r="U23">
        <f>IF('Input Scenarios'!U23&lt;&gt;"", 'Input Scenarios'!U23, IF(W23&lt;&gt;"", "", Constants!$B$39))</f>
        <v>4</v>
      </c>
      <c r="V23">
        <f>IF('Input Scenarios'!V23&lt;&gt;"", 'Input Scenarios'!V23, IF(W23&lt;&gt;"", "", Constants!$B$40))</f>
        <v>3.3</v>
      </c>
      <c r="W23" t="str">
        <f>IF('Input Scenarios'!W23&lt;&gt;"", 'Input Scenarios'!W23, "")</f>
        <v/>
      </c>
      <c r="X23" t="str">
        <f>'Input Scenarios'!X23</f>
        <v>Holstein-Friesian</v>
      </c>
      <c r="Y23" t="str">
        <f>'Input Scenarios'!Y23</f>
        <v>heifersGt1</v>
      </c>
      <c r="Z23">
        <f>'Input Scenarios'!Z23</f>
        <v>200</v>
      </c>
      <c r="AA23">
        <f>IF('Input Scenarios'!AA23&lt;&gt;"", 'Input Scenarios'!AA23, _xlfn.XLOOKUP(Y23,Constants!$J$6:$J$12,Constants!$K$6:$K$12))</f>
        <v>365</v>
      </c>
      <c r="AB23">
        <f>IF('Input Scenarios'!AB23&lt;&gt;"", 'Input Scenarios'!AB23, INDEX(Constants!$B$2:$H$11, MATCH(X23, Constants!$A$2:$A$11, 0), MATCH(Y23,Constants!$B$1:$H$1, 0)))</f>
        <v>450</v>
      </c>
      <c r="AC23">
        <f>IF('Input Scenarios'!AC23&lt;&gt;"", 'Input Scenarios'!AC23, _xlfn.XLOOKUP(Y23, Constants!$B$13:$H$13, Constants!$B$15:$H$15, ""))</f>
        <v>0.6</v>
      </c>
      <c r="AD23">
        <f>IF('Input Scenarios'!AD23&lt;&gt;"", 'Input Scenarios'!AD23, Constants!$B$45)</f>
        <v>0.75</v>
      </c>
      <c r="AE23">
        <f>IF('Input Scenarios'!AE23&lt;&gt;"", 'Input Scenarios'!AE23, Constants!$B$46)</f>
        <v>0.2</v>
      </c>
      <c r="AF23">
        <f t="shared" si="1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11"/>
        <v>1</v>
      </c>
      <c r="AK23">
        <f t="shared" si="25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26"/>
        <v>0.5948500000000001</v>
      </c>
      <c r="AQ23">
        <f t="shared" si="27"/>
        <v>0</v>
      </c>
      <c r="AR23">
        <f>IF(Y23="milkingCows", Constants!$P$2, Constants!$P$3)</f>
        <v>1</v>
      </c>
      <c r="AS23">
        <f t="shared" si="28"/>
        <v>8.3549902499999984</v>
      </c>
      <c r="AT23">
        <f t="shared" si="29"/>
        <v>1.1448168254973408</v>
      </c>
      <c r="AU23">
        <f>_xlfn.XLOOKUP(Y23, Constants!$B$13:$H$13, Constants!$B$14:$H$14, "")</f>
        <v>590</v>
      </c>
      <c r="AV23">
        <f t="shared" si="30"/>
        <v>0.76271186440677963</v>
      </c>
      <c r="AW23">
        <f>Constants!$B$55</f>
        <v>6.25</v>
      </c>
      <c r="AX23">
        <f t="shared" si="1"/>
        <v>7.680606707944594E-3</v>
      </c>
      <c r="AY23">
        <f t="shared" si="2"/>
        <v>1.6709980499999997</v>
      </c>
      <c r="AZ23">
        <f t="shared" si="18"/>
        <v>0.25795950260723322</v>
      </c>
      <c r="BA23" t="str">
        <f>IF(ISNUMBER(FIND("PreWeaned",Y23)),_xlfn.XLOOKUP(Y23,Constants!$J$2:$J$3,Constants!$M$2:$M$3),"")</f>
        <v/>
      </c>
      <c r="BB23">
        <f t="shared" si="3"/>
        <v>18831.043690328024</v>
      </c>
      <c r="BC23">
        <f t="shared" si="4"/>
        <v>0</v>
      </c>
      <c r="BD23">
        <f t="shared" si="5"/>
        <v>0</v>
      </c>
      <c r="BE23">
        <f t="shared" si="6"/>
        <v>0</v>
      </c>
      <c r="BF23">
        <f t="shared" si="7"/>
        <v>0</v>
      </c>
      <c r="BG23">
        <f t="shared" si="8"/>
        <v>18831.043690328024</v>
      </c>
      <c r="BH23">
        <f>Constants!$C$19</f>
        <v>0</v>
      </c>
      <c r="BI23">
        <f>Constants!$C$20</f>
        <v>0</v>
      </c>
      <c r="BJ23">
        <f>Constants!$C$21</f>
        <v>0</v>
      </c>
      <c r="BK23">
        <f>Constants!$C$22</f>
        <v>5.0000000000000001E-3</v>
      </c>
      <c r="BL23">
        <f>Constants!$C$23</f>
        <v>0</v>
      </c>
      <c r="BM23">
        <f>Constants!$B$50</f>
        <v>1.57</v>
      </c>
      <c r="BN23">
        <f>_xlfn.XLOOKUP(D23,Constants!$A$34:$A$35,Constants!$B$34:$B$35)</f>
        <v>2E-3</v>
      </c>
      <c r="BO23">
        <f t="shared" si="31"/>
        <v>0</v>
      </c>
      <c r="BP23">
        <f t="shared" si="32"/>
        <v>0</v>
      </c>
      <c r="BQ23">
        <f t="shared" si="33"/>
        <v>0</v>
      </c>
      <c r="BR23">
        <f t="shared" si="34"/>
        <v>0</v>
      </c>
      <c r="BS23">
        <f t="shared" si="35"/>
        <v>0</v>
      </c>
      <c r="BT23">
        <f t="shared" si="36"/>
        <v>59.129477187629995</v>
      </c>
    </row>
    <row r="24" spans="1:73" x14ac:dyDescent="0.2">
      <c r="A24" t="str">
        <f>'Input Scenarios'!A24</f>
        <v>NT</v>
      </c>
      <c r="B24">
        <f>'Input Scenarios'!B24</f>
        <v>0</v>
      </c>
      <c r="C24" t="str">
        <f>'Input Scenarios'!C24</f>
        <v>Irrigated pasture</v>
      </c>
      <c r="D24" t="str">
        <f>'Input Scenarios'!D24</f>
        <v>dry</v>
      </c>
      <c r="E24" t="b">
        <f>'Input Scenarios'!E24</f>
        <v>0</v>
      </c>
      <c r="F24" t="str">
        <f>'Input Scenarios'!F24</f>
        <v>Zero grazing</v>
      </c>
      <c r="G24">
        <f>IF('Input Scenarios'!G24&lt;&gt;"", 'Input Scenarios'!G24, _xlfn.XLOOKUP($F24, Constants!$M$6:$M$9,Constants!N$6:N$9))</f>
        <v>0</v>
      </c>
      <c r="H24">
        <f>IF('Input Scenarios'!H24&lt;&gt;"", 'Input Scenarios'!H24, _xlfn.XLOOKUP($F24, Constants!$M$6:$M$9,Constants!O$6:O$9))</f>
        <v>0.11</v>
      </c>
      <c r="I24">
        <f>IF('Input Scenarios'!I24&lt;&gt;"", 'Input Scenarios'!I24, _xlfn.XLOOKUP($F24, Constants!$M$6:$M$9,Constants!P$6:P$9))</f>
        <v>0.89</v>
      </c>
      <c r="J24">
        <f>'Input Scenarios'!J24</f>
        <v>0</v>
      </c>
      <c r="K24">
        <f>'Input Scenarios'!K24</f>
        <v>0.5</v>
      </c>
      <c r="L24">
        <f>'Input Scenarios'!L24</f>
        <v>0.5</v>
      </c>
      <c r="M24">
        <f>'Input Scenarios'!M24</f>
        <v>0</v>
      </c>
      <c r="N24">
        <f>'Input Scenarios'!N24</f>
        <v>0.5</v>
      </c>
      <c r="O24">
        <f>'Input Scenarios'!O24</f>
        <v>0</v>
      </c>
      <c r="P24">
        <f>'Input Scenarios'!P24</f>
        <v>0</v>
      </c>
      <c r="Q24">
        <f>'Input Scenarios'!Q24</f>
        <v>0.5</v>
      </c>
      <c r="R24" t="b">
        <f>'Input Scenarios'!R24</f>
        <v>0</v>
      </c>
      <c r="S24">
        <f>IF('Input Scenarios'!S24&lt;&gt;"", 'Input Scenarios'!S24, IF(R24, Constants!$B$38, 0))</f>
        <v>0</v>
      </c>
      <c r="T24" t="str">
        <f>IF('Input Scenarios'!T24&lt;&gt;"", 'Input Scenarios'!T24, "")</f>
        <v/>
      </c>
      <c r="U24">
        <f>IF('Input Scenarios'!U24&lt;&gt;"", 'Input Scenarios'!U24, IF(W24&lt;&gt;"", "", Constants!$B$39))</f>
        <v>4</v>
      </c>
      <c r="V24">
        <f>IF('Input Scenarios'!V24&lt;&gt;"", 'Input Scenarios'!V24, IF(W24&lt;&gt;"", "", Constants!$B$40))</f>
        <v>3.3</v>
      </c>
      <c r="W24" t="str">
        <f>IF('Input Scenarios'!W24&lt;&gt;"", 'Input Scenarios'!W24, "")</f>
        <v/>
      </c>
      <c r="X24" t="str">
        <f>'Input Scenarios'!X24</f>
        <v>Holstein-Friesian</v>
      </c>
      <c r="Y24" t="str">
        <f>'Input Scenarios'!Y24</f>
        <v>heifersLt1PreWeaned</v>
      </c>
      <c r="Z24">
        <f>'Input Scenarios'!Z24</f>
        <v>200</v>
      </c>
      <c r="AA24">
        <f>IF('Input Scenarios'!AA24&lt;&gt;"", 'Input Scenarios'!AA24, _xlfn.XLOOKUP(Y24,Constants!$J$6:$J$12,Constants!$K$6:$K$12))</f>
        <v>84</v>
      </c>
      <c r="AB24">
        <f>IF('Input Scenarios'!AB24&lt;&gt;"", 'Input Scenarios'!AB24, INDEX(Constants!$B$2:$H$11, MATCH(X24, Constants!$A$2:$A$11, 0), MATCH(Y24,Constants!$B$1:$H$1, 0)))</f>
        <v>185</v>
      </c>
      <c r="AC24" t="str">
        <f>IF('Input Scenarios'!AC24&lt;&gt;"", 'Input Scenarios'!AC24, _xlfn.XLOOKUP(Y24, Constants!$B$13:$H$13, Constants!$B$15:$H$15, ""))</f>
        <v/>
      </c>
      <c r="AD24">
        <f>IF('Input Scenarios'!AD24&lt;&gt;"", 'Input Scenarios'!AD24, Constants!$B$45)</f>
        <v>0.75</v>
      </c>
      <c r="AE24">
        <f>IF('Input Scenarios'!AE24&lt;&gt;"", 'Input Scenarios'!AE24, Constants!$B$46)</f>
        <v>0.2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1</v>
      </c>
      <c r="AK24">
        <f t="shared" si="25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26"/>
        <v>0.5948500000000001</v>
      </c>
      <c r="AQ24">
        <f t="shared" si="27"/>
        <v>0</v>
      </c>
      <c r="AR24">
        <f>IF(Y24="milkingCows", Constants!$P$2, Constants!$P$3)</f>
        <v>1</v>
      </c>
      <c r="AS24" t="str">
        <f t="shared" si="28"/>
        <v/>
      </c>
      <c r="AT24" t="str">
        <f t="shared" si="29"/>
        <v/>
      </c>
      <c r="AU24" t="str">
        <f>_xlfn.XLOOKUP(Y24, Constants!$B$13:$H$13, Constants!$B$14:$H$14, "")</f>
        <v/>
      </c>
      <c r="AV24" t="str">
        <f t="shared" si="30"/>
        <v/>
      </c>
      <c r="AW24">
        <f>Constants!$B$55</f>
        <v>6.25</v>
      </c>
      <c r="AX24" t="str">
        <f t="shared" si="1"/>
        <v/>
      </c>
      <c r="AY24" t="str">
        <f t="shared" si="2"/>
        <v/>
      </c>
      <c r="AZ24" t="str">
        <f t="shared" si="18"/>
        <v/>
      </c>
      <c r="BA24">
        <f>IF(ISNUMBER(FIND("PreWeaned",Y24)),_xlfn.XLOOKUP(Y24,Constants!$J$2:$J$3,Constants!$M$2:$M$3),"")</f>
        <v>1.37E-2</v>
      </c>
      <c r="BB24">
        <f t="shared" si="3"/>
        <v>230.16000000000003</v>
      </c>
      <c r="BC24">
        <f t="shared" si="4"/>
        <v>0</v>
      </c>
      <c r="BD24">
        <f t="shared" si="5"/>
        <v>0</v>
      </c>
      <c r="BE24">
        <f t="shared" si="6"/>
        <v>0</v>
      </c>
      <c r="BF24">
        <f t="shared" si="7"/>
        <v>0</v>
      </c>
      <c r="BG24">
        <f t="shared" si="8"/>
        <v>230.16000000000003</v>
      </c>
      <c r="BH24">
        <f>Constants!$C$19</f>
        <v>0</v>
      </c>
      <c r="BI24">
        <f>Constants!$C$20</f>
        <v>0</v>
      </c>
      <c r="BJ24">
        <f>Constants!$C$21</f>
        <v>0</v>
      </c>
      <c r="BK24">
        <f>Constants!$C$22</f>
        <v>5.0000000000000001E-3</v>
      </c>
      <c r="BL24">
        <f>Constants!$C$23</f>
        <v>0</v>
      </c>
      <c r="BM24">
        <f>Constants!$B$50</f>
        <v>1.57</v>
      </c>
      <c r="BN24">
        <f>_xlfn.XLOOKUP(D24,Constants!$A$34:$A$35,Constants!$B$34:$B$35)</f>
        <v>2E-3</v>
      </c>
      <c r="BO24">
        <f t="shared" si="31"/>
        <v>0</v>
      </c>
      <c r="BP24">
        <f t="shared" si="32"/>
        <v>0</v>
      </c>
      <c r="BQ24">
        <f t="shared" si="33"/>
        <v>0</v>
      </c>
      <c r="BR24">
        <f t="shared" si="34"/>
        <v>0</v>
      </c>
      <c r="BS24">
        <f t="shared" si="35"/>
        <v>0</v>
      </c>
      <c r="BT24">
        <f t="shared" si="36"/>
        <v>0.72270240000000008</v>
      </c>
    </row>
    <row r="25" spans="1:73" x14ac:dyDescent="0.2">
      <c r="A25" t="str">
        <f>'Input Scenarios'!A25</f>
        <v>NT</v>
      </c>
      <c r="B25">
        <f>'Input Scenarios'!B25</f>
        <v>0</v>
      </c>
      <c r="C25" t="str">
        <f>'Input Scenarios'!C25</f>
        <v>Irrigated pasture</v>
      </c>
      <c r="D25" t="str">
        <f>'Input Scenarios'!D25</f>
        <v>dry</v>
      </c>
      <c r="E25" t="b">
        <f>'Input Scenarios'!E25</f>
        <v>0</v>
      </c>
      <c r="F25" t="str">
        <f>'Input Scenarios'!F25</f>
        <v>Zero grazing</v>
      </c>
      <c r="G25">
        <f>IF('Input Scenarios'!G25&lt;&gt;"", 'Input Scenarios'!G25, _xlfn.XLOOKUP($F25, Constants!$M$6:$M$9,Constants!N$6:N$9))</f>
        <v>0</v>
      </c>
      <c r="H25">
        <f>IF('Input Scenarios'!H25&lt;&gt;"", 'Input Scenarios'!H25, _xlfn.XLOOKUP($F25, Constants!$M$6:$M$9,Constants!O$6:O$9))</f>
        <v>0.11</v>
      </c>
      <c r="I25">
        <f>IF('Input Scenarios'!I25&lt;&gt;"", 'Input Scenarios'!I25, _xlfn.XLOOKUP($F25, Constants!$M$6:$M$9,Constants!P$6:P$9))</f>
        <v>0.89</v>
      </c>
      <c r="J25">
        <f>'Input Scenarios'!J25</f>
        <v>0</v>
      </c>
      <c r="K25">
        <f>'Input Scenarios'!K25</f>
        <v>0.5</v>
      </c>
      <c r="L25">
        <f>'Input Scenarios'!L25</f>
        <v>0.5</v>
      </c>
      <c r="M25">
        <f>'Input Scenarios'!M25</f>
        <v>0</v>
      </c>
      <c r="N25">
        <f>'Input Scenarios'!N25</f>
        <v>0.5</v>
      </c>
      <c r="O25">
        <f>'Input Scenarios'!O25</f>
        <v>0</v>
      </c>
      <c r="P25">
        <f>'Input Scenarios'!P25</f>
        <v>0</v>
      </c>
      <c r="Q25">
        <f>'Input Scenarios'!Q25</f>
        <v>0.5</v>
      </c>
      <c r="R25" t="b">
        <f>'Input Scenarios'!R25</f>
        <v>0</v>
      </c>
      <c r="S25">
        <f>IF('Input Scenarios'!S25&lt;&gt;"", 'Input Scenarios'!S25, IF(R25, Constants!$B$38, 0))</f>
        <v>0</v>
      </c>
      <c r="T25" t="str">
        <f>IF('Input Scenarios'!T25&lt;&gt;"", 'Input Scenarios'!T25, "")</f>
        <v/>
      </c>
      <c r="U25">
        <f>IF('Input Scenarios'!U25&lt;&gt;"", 'Input Scenarios'!U25, IF(W25&lt;&gt;"", "", Constants!$B$39))</f>
        <v>4</v>
      </c>
      <c r="V25">
        <f>IF('Input Scenarios'!V25&lt;&gt;"", 'Input Scenarios'!V25, IF(W25&lt;&gt;"", "", Constants!$B$40))</f>
        <v>3.3</v>
      </c>
      <c r="W25" t="str">
        <f>IF('Input Scenarios'!W25&lt;&gt;"", 'Input Scenarios'!W25, "")</f>
        <v/>
      </c>
      <c r="X25" t="str">
        <f>'Input Scenarios'!X25</f>
        <v>Holstein-Friesian</v>
      </c>
      <c r="Y25" t="str">
        <f>'Input Scenarios'!Y25</f>
        <v>heifersLt1Weaned</v>
      </c>
      <c r="Z25">
        <f>'Input Scenarios'!Z25</f>
        <v>200</v>
      </c>
      <c r="AA25">
        <f>IF('Input Scenarios'!AA25&lt;&gt;"", 'Input Scenarios'!AA25, _xlfn.XLOOKUP(Y25,Constants!$J$6:$J$12,Constants!$K$6:$K$12))</f>
        <v>281</v>
      </c>
      <c r="AB25">
        <f>IF('Input Scenarios'!AB25&lt;&gt;"", 'Input Scenarios'!AB25, INDEX(Constants!$B$2:$H$11, MATCH(X25, Constants!$A$2:$A$11, 0), MATCH(Y25,Constants!$B$1:$H$1, 0)))</f>
        <v>185</v>
      </c>
      <c r="AC25">
        <f>IF('Input Scenarios'!AC25&lt;&gt;"", 'Input Scenarios'!AC25, _xlfn.XLOOKUP(Y25, Constants!$B$13:$H$13, Constants!$B$15:$H$15, ""))</f>
        <v>0.56999999999999995</v>
      </c>
      <c r="AD25">
        <f>IF('Input Scenarios'!AD25&lt;&gt;"", 'Input Scenarios'!AD25, Constants!$B$45)</f>
        <v>0.75</v>
      </c>
      <c r="AE25">
        <f>IF('Input Scenarios'!AE25&lt;&gt;"", 'Input Scenarios'!AE25, Constants!$B$46)</f>
        <v>0.2</v>
      </c>
      <c r="AF25">
        <f t="shared" ref="AF25:AI44" si="37">IF($Y25="milkingCows",($H25*J25)+($I25*N25), 0)</f>
        <v>0</v>
      </c>
      <c r="AG25">
        <f t="shared" si="37"/>
        <v>0</v>
      </c>
      <c r="AH25">
        <f t="shared" si="37"/>
        <v>0</v>
      </c>
      <c r="AI25">
        <f t="shared" si="37"/>
        <v>0</v>
      </c>
      <c r="AJ25">
        <f t="shared" si="11"/>
        <v>1</v>
      </c>
      <c r="AK25">
        <f t="shared" si="25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26"/>
        <v>0.5948500000000001</v>
      </c>
      <c r="AQ25">
        <f t="shared" si="27"/>
        <v>0</v>
      </c>
      <c r="AR25">
        <f>IF(Y25="milkingCows", Constants!$P$2, Constants!$P$3)</f>
        <v>1</v>
      </c>
      <c r="AS25">
        <f t="shared" si="28"/>
        <v>4.4751921662249998</v>
      </c>
      <c r="AT25">
        <f t="shared" si="29"/>
        <v>1.1940956577314272</v>
      </c>
      <c r="AU25">
        <f>_xlfn.XLOOKUP(Y25, Constants!$B$13:$H$13, Constants!$B$14:$H$14, "")</f>
        <v>590</v>
      </c>
      <c r="AV25">
        <f t="shared" si="30"/>
        <v>0.3135593220338983</v>
      </c>
      <c r="AW25">
        <f>Constants!$B$55</f>
        <v>6.25</v>
      </c>
      <c r="AX25">
        <f t="shared" si="1"/>
        <v>1.374327511013524E-2</v>
      </c>
      <c r="AY25">
        <f t="shared" si="2"/>
        <v>0.89503843324499999</v>
      </c>
      <c r="AZ25">
        <f t="shared" si="18"/>
        <v>0.12858001497431362</v>
      </c>
      <c r="BA25" t="str">
        <f>IF(ISNUMBER(FIND("PreWeaned",Y25)),_xlfn.XLOOKUP(Y25,Constants!$J$2:$J$3,Constants!$M$2:$M$3),"")</f>
        <v/>
      </c>
      <c r="BB25">
        <f t="shared" si="3"/>
        <v>7226.1968415564252</v>
      </c>
      <c r="BC25">
        <f t="shared" si="4"/>
        <v>0</v>
      </c>
      <c r="BD25">
        <f t="shared" si="5"/>
        <v>0</v>
      </c>
      <c r="BE25">
        <f t="shared" si="6"/>
        <v>0</v>
      </c>
      <c r="BF25">
        <f t="shared" si="7"/>
        <v>0</v>
      </c>
      <c r="BG25">
        <f t="shared" si="8"/>
        <v>7226.1968415564252</v>
      </c>
      <c r="BH25">
        <f>Constants!$C$19</f>
        <v>0</v>
      </c>
      <c r="BI25">
        <f>Constants!$C$20</f>
        <v>0</v>
      </c>
      <c r="BJ25">
        <f>Constants!$C$21</f>
        <v>0</v>
      </c>
      <c r="BK25">
        <f>Constants!$C$22</f>
        <v>5.0000000000000001E-3</v>
      </c>
      <c r="BL25">
        <f>Constants!$C$23</f>
        <v>0</v>
      </c>
      <c r="BM25">
        <f>Constants!$B$50</f>
        <v>1.57</v>
      </c>
      <c r="BN25">
        <f>_xlfn.XLOOKUP(D25,Constants!$A$34:$A$35,Constants!$B$34:$B$35)</f>
        <v>2E-3</v>
      </c>
      <c r="BO25">
        <f t="shared" si="31"/>
        <v>0</v>
      </c>
      <c r="BP25">
        <f t="shared" si="32"/>
        <v>0</v>
      </c>
      <c r="BQ25">
        <f t="shared" si="33"/>
        <v>0</v>
      </c>
      <c r="BR25">
        <f t="shared" si="34"/>
        <v>0</v>
      </c>
      <c r="BS25">
        <f t="shared" si="35"/>
        <v>0</v>
      </c>
      <c r="BT25">
        <f t="shared" si="36"/>
        <v>22.690258082487176</v>
      </c>
    </row>
    <row r="26" spans="1:73" x14ac:dyDescent="0.2">
      <c r="A26" t="str">
        <f>'Input Scenarios'!A26</f>
        <v>NT</v>
      </c>
      <c r="B26">
        <f>'Input Scenarios'!B26</f>
        <v>0</v>
      </c>
      <c r="C26" t="str">
        <f>'Input Scenarios'!C26</f>
        <v>Irrigated pasture</v>
      </c>
      <c r="D26" t="str">
        <f>'Input Scenarios'!D26</f>
        <v>dry</v>
      </c>
      <c r="E26" t="b">
        <f>'Input Scenarios'!E26</f>
        <v>0</v>
      </c>
      <c r="F26" t="str">
        <f>'Input Scenarios'!F26</f>
        <v>Zero grazing</v>
      </c>
      <c r="G26">
        <f>IF('Input Scenarios'!G26&lt;&gt;"", 'Input Scenarios'!G26, _xlfn.XLOOKUP($F26, Constants!$M$6:$M$9,Constants!N$6:N$9))</f>
        <v>0</v>
      </c>
      <c r="H26">
        <f>IF('Input Scenarios'!H26&lt;&gt;"", 'Input Scenarios'!H26, _xlfn.XLOOKUP($F26, Constants!$M$6:$M$9,Constants!O$6:O$9))</f>
        <v>0.11</v>
      </c>
      <c r="I26">
        <f>IF('Input Scenarios'!I26&lt;&gt;"", 'Input Scenarios'!I26, _xlfn.XLOOKUP($F26, Constants!$M$6:$M$9,Constants!P$6:P$9))</f>
        <v>0.89</v>
      </c>
      <c r="J26">
        <f>'Input Scenarios'!J26</f>
        <v>0</v>
      </c>
      <c r="K26">
        <f>'Input Scenarios'!K26</f>
        <v>0.5</v>
      </c>
      <c r="L26">
        <f>'Input Scenarios'!L26</f>
        <v>0.5</v>
      </c>
      <c r="M26">
        <f>'Input Scenarios'!M26</f>
        <v>0</v>
      </c>
      <c r="N26">
        <f>'Input Scenarios'!N26</f>
        <v>0.5</v>
      </c>
      <c r="O26">
        <f>'Input Scenarios'!O26</f>
        <v>0</v>
      </c>
      <c r="P26">
        <f>'Input Scenarios'!P26</f>
        <v>0</v>
      </c>
      <c r="Q26">
        <f>'Input Scenarios'!Q26</f>
        <v>0.5</v>
      </c>
      <c r="R26" t="b">
        <f>'Input Scenarios'!R26</f>
        <v>0</v>
      </c>
      <c r="S26">
        <f>IF('Input Scenarios'!S26&lt;&gt;"", 'Input Scenarios'!S26, IF(R26, Constants!$B$38, 0))</f>
        <v>0</v>
      </c>
      <c r="T26" t="str">
        <f>IF('Input Scenarios'!T26&lt;&gt;"", 'Input Scenarios'!T26, "")</f>
        <v/>
      </c>
      <c r="U26">
        <f>IF('Input Scenarios'!U26&lt;&gt;"", 'Input Scenarios'!U26, IF(W26&lt;&gt;"", "", Constants!$B$39))</f>
        <v>4</v>
      </c>
      <c r="V26">
        <f>IF('Input Scenarios'!V26&lt;&gt;"", 'Input Scenarios'!V26, IF(W26&lt;&gt;"", "", Constants!$B$40))</f>
        <v>3.3</v>
      </c>
      <c r="W26" t="str">
        <f>IF('Input Scenarios'!W26&lt;&gt;"", 'Input Scenarios'!W26, "")</f>
        <v/>
      </c>
      <c r="X26" t="str">
        <f>'Input Scenarios'!X26</f>
        <v>Holstein-Friesian</v>
      </c>
      <c r="Y26" t="str">
        <f>'Input Scenarios'!Y26</f>
        <v>bullsGt1</v>
      </c>
      <c r="Z26">
        <f>'Input Scenarios'!Z26</f>
        <v>200</v>
      </c>
      <c r="AA26">
        <f>IF('Input Scenarios'!AA26&lt;&gt;"", 'Input Scenarios'!AA26, _xlfn.XLOOKUP(Y26,Constants!$J$6:$J$12,Constants!$K$6:$K$12))</f>
        <v>365</v>
      </c>
      <c r="AB26">
        <f>IF('Input Scenarios'!AB26&lt;&gt;"", 'Input Scenarios'!AB26, INDEX(Constants!$B$2:$H$11, MATCH(X26, Constants!$A$2:$A$11, 0), MATCH(Y26,Constants!$B$1:$H$1, 0)))</f>
        <v>600</v>
      </c>
      <c r="AC26">
        <f>IF('Input Scenarios'!AC26&lt;&gt;"", 'Input Scenarios'!AC26, _xlfn.XLOOKUP(Y26, Constants!$B$13:$H$13, Constants!$B$15:$H$15, ""))</f>
        <v>0.1</v>
      </c>
      <c r="AD26">
        <f>IF('Input Scenarios'!AD26&lt;&gt;"", 'Input Scenarios'!AD26, Constants!$B$45)</f>
        <v>0.75</v>
      </c>
      <c r="AE26">
        <f>IF('Input Scenarios'!AE26&lt;&gt;"", 'Input Scenarios'!AE26, Constants!$B$46)</f>
        <v>0.2</v>
      </c>
      <c r="AF26">
        <f t="shared" si="37"/>
        <v>0</v>
      </c>
      <c r="AG26">
        <f t="shared" si="37"/>
        <v>0</v>
      </c>
      <c r="AH26">
        <f t="shared" si="37"/>
        <v>0</v>
      </c>
      <c r="AI26">
        <f t="shared" si="37"/>
        <v>0</v>
      </c>
      <c r="AJ26">
        <f t="shared" si="11"/>
        <v>1</v>
      </c>
      <c r="AK26">
        <f t="shared" si="25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26"/>
        <v>0.5948500000000001</v>
      </c>
      <c r="AQ26">
        <f t="shared" si="27"/>
        <v>0</v>
      </c>
      <c r="AR26">
        <f>IF(Y26="milkingCows", Constants!$P$2, Constants!$P$3)</f>
        <v>1</v>
      </c>
      <c r="AS26">
        <f t="shared" si="28"/>
        <v>9.0270202499999979</v>
      </c>
      <c r="AT26">
        <f t="shared" si="29"/>
        <v>1.0213029780639273</v>
      </c>
      <c r="AU26">
        <f>_xlfn.XLOOKUP(Y26, Constants!$B$13:$H$13, Constants!$B$14:$H$14, "")</f>
        <v>770</v>
      </c>
      <c r="AV26">
        <f t="shared" si="30"/>
        <v>0.77922077922077926</v>
      </c>
      <c r="AW26">
        <f>Constants!$B$55</f>
        <v>6.25</v>
      </c>
      <c r="AX26">
        <f t="shared" si="1"/>
        <v>1.2626203146474679E-3</v>
      </c>
      <c r="AY26">
        <f t="shared" si="2"/>
        <v>1.8054040499999997</v>
      </c>
      <c r="AZ26">
        <f t="shared" si="18"/>
        <v>0.28546836331241399</v>
      </c>
      <c r="BA26" t="str">
        <f>IF(ISNUMBER(FIND("PreWeaned",Y26)),_xlfn.XLOOKUP(Y26,Constants!$J$2:$J$3,Constants!$M$2:$M$3),"")</f>
        <v/>
      </c>
      <c r="BB26">
        <f t="shared" si="3"/>
        <v>20839.19052180622</v>
      </c>
      <c r="BC26">
        <f t="shared" si="4"/>
        <v>0</v>
      </c>
      <c r="BD26">
        <f t="shared" si="5"/>
        <v>0</v>
      </c>
      <c r="BE26">
        <f t="shared" si="6"/>
        <v>0</v>
      </c>
      <c r="BF26">
        <f t="shared" si="7"/>
        <v>0</v>
      </c>
      <c r="BG26">
        <f t="shared" si="8"/>
        <v>20839.19052180622</v>
      </c>
      <c r="BH26">
        <f>Constants!$C$19</f>
        <v>0</v>
      </c>
      <c r="BI26">
        <f>Constants!$C$20</f>
        <v>0</v>
      </c>
      <c r="BJ26">
        <f>Constants!$C$21</f>
        <v>0</v>
      </c>
      <c r="BK26">
        <f>Constants!$C$22</f>
        <v>5.0000000000000001E-3</v>
      </c>
      <c r="BL26">
        <f>Constants!$C$23</f>
        <v>0</v>
      </c>
      <c r="BM26">
        <f>Constants!$B$50</f>
        <v>1.57</v>
      </c>
      <c r="BN26">
        <f>_xlfn.XLOOKUP(D26,Constants!$A$34:$A$35,Constants!$B$34:$B$35)</f>
        <v>2E-3</v>
      </c>
      <c r="BO26">
        <f t="shared" si="31"/>
        <v>0</v>
      </c>
      <c r="BP26">
        <f t="shared" si="32"/>
        <v>0</v>
      </c>
      <c r="BQ26">
        <f t="shared" si="33"/>
        <v>0</v>
      </c>
      <c r="BR26">
        <f t="shared" si="34"/>
        <v>0</v>
      </c>
      <c r="BS26">
        <f t="shared" si="35"/>
        <v>0</v>
      </c>
      <c r="BT26">
        <f t="shared" si="36"/>
        <v>65.435058238471527</v>
      </c>
    </row>
    <row r="27" spans="1:73" x14ac:dyDescent="0.2">
      <c r="A27" t="str">
        <f>'Input Scenarios'!A27</f>
        <v>NT</v>
      </c>
      <c r="B27">
        <f>'Input Scenarios'!B27</f>
        <v>0</v>
      </c>
      <c r="C27" t="str">
        <f>'Input Scenarios'!C27</f>
        <v>Irrigated pasture</v>
      </c>
      <c r="D27" t="str">
        <f>'Input Scenarios'!D27</f>
        <v>dry</v>
      </c>
      <c r="E27" t="b">
        <f>'Input Scenarios'!E27</f>
        <v>0</v>
      </c>
      <c r="F27" t="str">
        <f>'Input Scenarios'!F27</f>
        <v>Zero grazing</v>
      </c>
      <c r="G27">
        <f>IF('Input Scenarios'!G27&lt;&gt;"", 'Input Scenarios'!G27, _xlfn.XLOOKUP($F27, Constants!$M$6:$M$9,Constants!N$6:N$9))</f>
        <v>0</v>
      </c>
      <c r="H27">
        <f>IF('Input Scenarios'!H27&lt;&gt;"", 'Input Scenarios'!H27, _xlfn.XLOOKUP($F27, Constants!$M$6:$M$9,Constants!O$6:O$9))</f>
        <v>0.11</v>
      </c>
      <c r="I27">
        <f>IF('Input Scenarios'!I27&lt;&gt;"", 'Input Scenarios'!I27, _xlfn.XLOOKUP($F27, Constants!$M$6:$M$9,Constants!P$6:P$9))</f>
        <v>0.89</v>
      </c>
      <c r="J27">
        <f>'Input Scenarios'!J27</f>
        <v>0</v>
      </c>
      <c r="K27">
        <f>'Input Scenarios'!K27</f>
        <v>0.5</v>
      </c>
      <c r="L27">
        <f>'Input Scenarios'!L27</f>
        <v>0.5</v>
      </c>
      <c r="M27">
        <f>'Input Scenarios'!M27</f>
        <v>0</v>
      </c>
      <c r="N27">
        <f>'Input Scenarios'!N27</f>
        <v>0.5</v>
      </c>
      <c r="O27">
        <f>'Input Scenarios'!O27</f>
        <v>0</v>
      </c>
      <c r="P27">
        <f>'Input Scenarios'!P27</f>
        <v>0</v>
      </c>
      <c r="Q27">
        <f>'Input Scenarios'!Q27</f>
        <v>0.5</v>
      </c>
      <c r="R27" t="b">
        <f>'Input Scenarios'!R27</f>
        <v>0</v>
      </c>
      <c r="S27">
        <f>IF('Input Scenarios'!S27&lt;&gt;"", 'Input Scenarios'!S27, IF(R27, Constants!$B$38, 0))</f>
        <v>0</v>
      </c>
      <c r="T27" t="str">
        <f>IF('Input Scenarios'!T27&lt;&gt;"", 'Input Scenarios'!T27, "")</f>
        <v/>
      </c>
      <c r="U27">
        <f>IF('Input Scenarios'!U27&lt;&gt;"", 'Input Scenarios'!U27, IF(W27&lt;&gt;"", "", Constants!$B$39))</f>
        <v>4</v>
      </c>
      <c r="V27">
        <f>IF('Input Scenarios'!V27&lt;&gt;"", 'Input Scenarios'!V27, IF(W27&lt;&gt;"", "", Constants!$B$40))</f>
        <v>3.3</v>
      </c>
      <c r="W27" t="str">
        <f>IF('Input Scenarios'!W27&lt;&gt;"", 'Input Scenarios'!W27, "")</f>
        <v/>
      </c>
      <c r="X27" t="str">
        <f>'Input Scenarios'!X27</f>
        <v>Holstein-Friesian</v>
      </c>
      <c r="Y27" t="str">
        <f>'Input Scenarios'!Y27</f>
        <v>bullsLt1PreWeaned</v>
      </c>
      <c r="Z27">
        <f>'Input Scenarios'!Z27</f>
        <v>200</v>
      </c>
      <c r="AA27">
        <f>IF('Input Scenarios'!AA27&lt;&gt;"", 'Input Scenarios'!AA27, _xlfn.XLOOKUP(Y27,Constants!$J$6:$J$12,Constants!$K$6:$K$12))</f>
        <v>84</v>
      </c>
      <c r="AB27">
        <f>IF('Input Scenarios'!AB27&lt;&gt;"", 'Input Scenarios'!AB27, INDEX(Constants!$B$2:$H$11, MATCH(X27, Constants!$A$2:$A$11, 0), MATCH(Y27,Constants!$B$1:$H$1, 0)))</f>
        <v>225</v>
      </c>
      <c r="AC27" t="str">
        <f>IF('Input Scenarios'!AC27&lt;&gt;"", 'Input Scenarios'!AC27, _xlfn.XLOOKUP(Y27, Constants!$B$13:$H$13, Constants!$B$15:$H$15, ""))</f>
        <v/>
      </c>
      <c r="AD27">
        <f>IF('Input Scenarios'!AD27&lt;&gt;"", 'Input Scenarios'!AD27, Constants!$B$45)</f>
        <v>0.75</v>
      </c>
      <c r="AE27">
        <f>IF('Input Scenarios'!AE27&lt;&gt;"", 'Input Scenarios'!AE27, Constants!$B$46)</f>
        <v>0.2</v>
      </c>
      <c r="AF27">
        <f t="shared" si="37"/>
        <v>0</v>
      </c>
      <c r="AG27">
        <f t="shared" si="37"/>
        <v>0</v>
      </c>
      <c r="AH27">
        <f t="shared" si="37"/>
        <v>0</v>
      </c>
      <c r="AI27">
        <f t="shared" si="37"/>
        <v>0</v>
      </c>
      <c r="AJ27">
        <f t="shared" si="11"/>
        <v>1</v>
      </c>
      <c r="AK27">
        <f t="shared" si="25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26"/>
        <v>0.5948500000000001</v>
      </c>
      <c r="AQ27">
        <f t="shared" si="27"/>
        <v>0</v>
      </c>
      <c r="AR27">
        <f>IF(Y27="milkingCows", Constants!$P$2, Constants!$P$3)</f>
        <v>1</v>
      </c>
      <c r="AS27" t="str">
        <f t="shared" si="28"/>
        <v/>
      </c>
      <c r="AT27" t="str">
        <f t="shared" si="29"/>
        <v/>
      </c>
      <c r="AU27" t="str">
        <f>_xlfn.XLOOKUP(Y27, Constants!$B$13:$H$13, Constants!$B$14:$H$14, "")</f>
        <v/>
      </c>
      <c r="AV27" t="str">
        <f t="shared" si="30"/>
        <v/>
      </c>
      <c r="AW27">
        <f>Constants!$B$55</f>
        <v>6.25</v>
      </c>
      <c r="AX27" t="str">
        <f t="shared" si="1"/>
        <v/>
      </c>
      <c r="AY27" t="str">
        <f t="shared" si="2"/>
        <v/>
      </c>
      <c r="AZ27" t="str">
        <f t="shared" si="18"/>
        <v/>
      </c>
      <c r="BA27">
        <f>IF(ISNUMBER(FIND("PreWeaned",Y27)),_xlfn.XLOOKUP(Y27,Constants!$J$2:$J$3,Constants!$M$2:$M$3),"")</f>
        <v>9.1999999999999998E-3</v>
      </c>
      <c r="BB27">
        <f t="shared" si="3"/>
        <v>154.56</v>
      </c>
      <c r="BC27">
        <f t="shared" si="4"/>
        <v>0</v>
      </c>
      <c r="BD27">
        <f t="shared" si="5"/>
        <v>0</v>
      </c>
      <c r="BE27">
        <f t="shared" si="6"/>
        <v>0</v>
      </c>
      <c r="BF27">
        <f t="shared" si="7"/>
        <v>0</v>
      </c>
      <c r="BG27">
        <f t="shared" si="8"/>
        <v>154.56</v>
      </c>
      <c r="BH27">
        <f>Constants!$C$19</f>
        <v>0</v>
      </c>
      <c r="BI27">
        <f>Constants!$C$20</f>
        <v>0</v>
      </c>
      <c r="BJ27">
        <f>Constants!$C$21</f>
        <v>0</v>
      </c>
      <c r="BK27">
        <f>Constants!$C$22</f>
        <v>5.0000000000000001E-3</v>
      </c>
      <c r="BL27">
        <f>Constants!$C$23</f>
        <v>0</v>
      </c>
      <c r="BM27">
        <f>Constants!$B$50</f>
        <v>1.57</v>
      </c>
      <c r="BN27">
        <f>_xlfn.XLOOKUP(D27,Constants!$A$34:$A$35,Constants!$B$34:$B$35)</f>
        <v>2E-3</v>
      </c>
      <c r="BO27">
        <f t="shared" si="31"/>
        <v>0</v>
      </c>
      <c r="BP27">
        <f t="shared" si="32"/>
        <v>0</v>
      </c>
      <c r="BQ27">
        <f t="shared" si="33"/>
        <v>0</v>
      </c>
      <c r="BR27">
        <f t="shared" si="34"/>
        <v>0</v>
      </c>
      <c r="BS27">
        <f t="shared" si="35"/>
        <v>0</v>
      </c>
      <c r="BT27">
        <f t="shared" si="36"/>
        <v>0.48531840000000004</v>
      </c>
    </row>
    <row r="28" spans="1:73" s="16" customFormat="1" x14ac:dyDescent="0.2">
      <c r="A28" s="16" t="str">
        <f>'Input Scenarios'!A28</f>
        <v>NT</v>
      </c>
      <c r="B28" s="16">
        <f>'Input Scenarios'!B28</f>
        <v>0</v>
      </c>
      <c r="C28" s="16" t="str">
        <f>'Input Scenarios'!C28</f>
        <v>Irrigated pasture</v>
      </c>
      <c r="D28" s="16" t="str">
        <f>'Input Scenarios'!D28</f>
        <v>dry</v>
      </c>
      <c r="E28" s="16" t="b">
        <f>'Input Scenarios'!E28</f>
        <v>0</v>
      </c>
      <c r="F28" s="16" t="str">
        <f>'Input Scenarios'!F28</f>
        <v>Zero grazing</v>
      </c>
      <c r="G28" s="16">
        <f>IF('Input Scenarios'!G28&lt;&gt;"", 'Input Scenarios'!G28, _xlfn.XLOOKUP($F28, Constants!$M$6:$M$9,Constants!N$6:N$9))</f>
        <v>0</v>
      </c>
      <c r="H28" s="16">
        <f>IF('Input Scenarios'!H28&lt;&gt;"", 'Input Scenarios'!H28, _xlfn.XLOOKUP($F28, Constants!$M$6:$M$9,Constants!O$6:O$9))</f>
        <v>0.11</v>
      </c>
      <c r="I28" s="16">
        <f>IF('Input Scenarios'!I28&lt;&gt;"", 'Input Scenarios'!I28, _xlfn.XLOOKUP($F28, Constants!$M$6:$M$9,Constants!P$6:P$9))</f>
        <v>0.89</v>
      </c>
      <c r="J28" s="16">
        <f>'Input Scenarios'!J28</f>
        <v>0</v>
      </c>
      <c r="K28" s="16">
        <f>'Input Scenarios'!K28</f>
        <v>0.5</v>
      </c>
      <c r="L28" s="16">
        <f>'Input Scenarios'!L28</f>
        <v>0.5</v>
      </c>
      <c r="M28" s="16">
        <f>'Input Scenarios'!M28</f>
        <v>0</v>
      </c>
      <c r="N28" s="16">
        <f>'Input Scenarios'!N28</f>
        <v>0.5</v>
      </c>
      <c r="O28" s="16">
        <f>'Input Scenarios'!O28</f>
        <v>0</v>
      </c>
      <c r="P28" s="16">
        <f>'Input Scenarios'!P28</f>
        <v>0</v>
      </c>
      <c r="Q28" s="16">
        <f>'Input Scenarios'!Q28</f>
        <v>0.5</v>
      </c>
      <c r="R28" s="16" t="b">
        <f>'Input Scenarios'!R28</f>
        <v>0</v>
      </c>
      <c r="S28" s="16">
        <f>IF('Input Scenarios'!S28&lt;&gt;"", 'Input Scenarios'!S28, IF(R28, Constants!$B$38, 0))</f>
        <v>0</v>
      </c>
      <c r="T28" s="16" t="str">
        <f>IF('Input Scenarios'!T28&lt;&gt;"", 'Input Scenarios'!T28, "")</f>
        <v/>
      </c>
      <c r="U28" s="16">
        <f>IF('Input Scenarios'!U28&lt;&gt;"", 'Input Scenarios'!U28, IF(W28&lt;&gt;"", "", Constants!$B$39))</f>
        <v>4</v>
      </c>
      <c r="V28" s="16">
        <f>IF('Input Scenarios'!V28&lt;&gt;"", 'Input Scenarios'!V28, IF(W28&lt;&gt;"", "", Constants!$B$40))</f>
        <v>3.3</v>
      </c>
      <c r="W28" s="16" t="str">
        <f>IF('Input Scenarios'!W28&lt;&gt;"", 'Input Scenarios'!W28, "")</f>
        <v/>
      </c>
      <c r="X28" s="16" t="str">
        <f>'Input Scenarios'!X28</f>
        <v>Holstein-Friesian</v>
      </c>
      <c r="Y28" s="16" t="str">
        <f>'Input Scenarios'!Y28</f>
        <v>bullsLt1Weaned</v>
      </c>
      <c r="Z28" s="16">
        <f>'Input Scenarios'!Z28</f>
        <v>200</v>
      </c>
      <c r="AA28" s="16">
        <f>IF('Input Scenarios'!AA28&lt;&gt;"", 'Input Scenarios'!AA28, _xlfn.XLOOKUP(Y28,Constants!$J$6:$J$12,Constants!$K$6:$K$12))</f>
        <v>281</v>
      </c>
      <c r="AB28" s="16">
        <f>IF('Input Scenarios'!AB28&lt;&gt;"", 'Input Scenarios'!AB28, INDEX(Constants!$B$2:$H$11, MATCH(X28, Constants!$A$2:$A$11, 0), MATCH(Y28,Constants!$B$1:$H$1, 0)))</f>
        <v>225</v>
      </c>
      <c r="AC28" s="16">
        <f>IF('Input Scenarios'!AC28&lt;&gt;"", 'Input Scenarios'!AC28, _xlfn.XLOOKUP(Y28, Constants!$B$13:$H$13, Constants!$B$15:$H$15, ""))</f>
        <v>0.8</v>
      </c>
      <c r="AD28" s="16">
        <f>IF('Input Scenarios'!AD28&lt;&gt;"", 'Input Scenarios'!AD28, Constants!$B$45)</f>
        <v>0.75</v>
      </c>
      <c r="AE28" s="16">
        <f>IF('Input Scenarios'!AE28&lt;&gt;"", 'Input Scenarios'!AE28, Constants!$B$46)</f>
        <v>0.2</v>
      </c>
      <c r="AF28" s="16">
        <f t="shared" si="37"/>
        <v>0</v>
      </c>
      <c r="AG28" s="16">
        <f t="shared" si="37"/>
        <v>0</v>
      </c>
      <c r="AH28" s="16">
        <f t="shared" si="37"/>
        <v>0</v>
      </c>
      <c r="AI28" s="16">
        <f t="shared" si="37"/>
        <v>0</v>
      </c>
      <c r="AJ28" s="16">
        <f t="shared" si="11"/>
        <v>1</v>
      </c>
      <c r="AK28" s="16">
        <f t="shared" si="25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ref="AP28:AP35" si="38">0.795*(AD28)-0.0014</f>
        <v>0.5948500000000001</v>
      </c>
      <c r="AQ28" s="16">
        <f t="shared" ref="AQ28:AQ35" si="39">(AK28*AL28*AM28)/(AN28*AO28*AP28)</f>
        <v>0</v>
      </c>
      <c r="AR28" s="16">
        <f>IF(Y28="milkingCows", Constants!$P$2, Constants!$P$3)</f>
        <v>1</v>
      </c>
      <c r="AS28" s="16">
        <f t="shared" ref="AS28:AS35" si="40">IFERROR(((1.185+(0.00454*AB28)-(0.0000026*(AB28^2))+(0.315*AC28))^2*AR28+AQ28), "")</f>
        <v>5.4143472656250013</v>
      </c>
      <c r="AT28" s="16">
        <f t="shared" ref="AT28:AT35" si="41">IFERROR(((1.185+(0.00454*AB28)-(0.0000026*(AB28^2))+(0.315*AC28))^2*AR28+AQ28)/((1.185+(0.00454*AB28)-(0.0000026*(AB28^2)))^2*AR28+AQ28), "")</f>
        <v>1.2576570545672616</v>
      </c>
      <c r="AU28" s="16">
        <f>_xlfn.XLOOKUP(Y28, Constants!$B$13:$H$13, Constants!$B$14:$H$14, "")</f>
        <v>770</v>
      </c>
      <c r="AV28" s="16">
        <f t="shared" ref="AV28:AV35" si="42">IFERROR(AB28/AU28, "")</f>
        <v>0.29220779220779219</v>
      </c>
      <c r="AW28" s="16">
        <f>Constants!$B$55</f>
        <v>6.25</v>
      </c>
      <c r="AX28" s="16">
        <f t="shared" si="1"/>
        <v>1.9757354894894084E-2</v>
      </c>
      <c r="AY28" s="16">
        <f t="shared" si="2"/>
        <v>1.0828694531250003</v>
      </c>
      <c r="AZ28" s="16">
        <f t="shared" si="18"/>
        <v>0.15247929000170721</v>
      </c>
      <c r="BA28" s="16" t="str">
        <f>IF(ISNUMBER(FIND("PreWeaned",Y28)),_xlfn.XLOOKUP(Y28,Constants!$J$2:$J$3,Constants!$M$2:$M$3),"")</f>
        <v/>
      </c>
      <c r="BB28" s="16">
        <f t="shared" si="3"/>
        <v>8569.336098095946</v>
      </c>
      <c r="BC28" s="16">
        <f t="shared" si="4"/>
        <v>0</v>
      </c>
      <c r="BD28" s="16">
        <f t="shared" si="5"/>
        <v>0</v>
      </c>
      <c r="BE28" s="16">
        <f t="shared" si="6"/>
        <v>0</v>
      </c>
      <c r="BF28" s="16">
        <f t="shared" si="7"/>
        <v>0</v>
      </c>
      <c r="BG28" s="16">
        <f t="shared" si="8"/>
        <v>8569.336098095946</v>
      </c>
      <c r="BH28" s="16">
        <f>Constants!$C$19</f>
        <v>0</v>
      </c>
      <c r="BI28" s="16">
        <f>Constants!$C$20</f>
        <v>0</v>
      </c>
      <c r="BJ28" s="16">
        <f>Constants!$C$21</f>
        <v>0</v>
      </c>
      <c r="BK28" s="16">
        <f>Constants!$C$22</f>
        <v>5.0000000000000001E-3</v>
      </c>
      <c r="BL28" s="16">
        <f>Constants!$C$23</f>
        <v>0</v>
      </c>
      <c r="BM28" s="16">
        <f>Constants!$B$50</f>
        <v>1.57</v>
      </c>
      <c r="BN28" s="16">
        <f>_xlfn.XLOOKUP(D28,Constants!$A$34:$A$35,Constants!$B$34:$B$35)</f>
        <v>2E-3</v>
      </c>
      <c r="BO28" s="16">
        <f t="shared" ref="BO28:BO35" si="43">BC28*BH28*$BM28</f>
        <v>0</v>
      </c>
      <c r="BP28" s="16">
        <f t="shared" ref="BP28:BP35" si="44">BD28*BI28*$BM28</f>
        <v>0</v>
      </c>
      <c r="BQ28" s="16">
        <f t="shared" ref="BQ28:BQ35" si="45">BE28*BJ28*$BM28</f>
        <v>0</v>
      </c>
      <c r="BR28" s="16">
        <f t="shared" ref="BR28:BR35" si="46">BF28*BK28*$BM28</f>
        <v>0</v>
      </c>
      <c r="BS28" s="16">
        <f t="shared" ref="BS28:BS35" si="47">BG28*BL28*$BM28</f>
        <v>0</v>
      </c>
      <c r="BT28" s="16">
        <f t="shared" ref="BT28:BT35" si="48">BG28*BN28*BM28</f>
        <v>26.90771534802127</v>
      </c>
    </row>
    <row r="29" spans="1:73" x14ac:dyDescent="0.2">
      <c r="A29" t="str">
        <f>'Input Scenarios'!A29</f>
        <v>TAS</v>
      </c>
      <c r="B29">
        <f>'Input Scenarios'!B29</f>
        <v>0</v>
      </c>
      <c r="C29" t="str">
        <f>'Input Scenarios'!C29</f>
        <v>Irrigated crop</v>
      </c>
      <c r="D29" t="str">
        <f>'Input Scenarios'!D29</f>
        <v>dry</v>
      </c>
      <c r="E29" t="b">
        <f>'Input Scenarios'!E29</f>
        <v>1</v>
      </c>
      <c r="F29" t="str">
        <f>'Input Scenarios'!F29</f>
        <v>Grazed only</v>
      </c>
      <c r="G29">
        <f>IF('Input Scenarios'!G29&lt;&gt;"", 'Input Scenarios'!G29, _xlfn.XLOOKUP($F29, Constants!$M$6:$M$9,Constants!N$6:N$9))</f>
        <v>0.89</v>
      </c>
      <c r="H29">
        <f>IF('Input Scenarios'!H29&lt;&gt;"", 'Input Scenarios'!H29, _xlfn.XLOOKUP($F29, Constants!$M$6:$M$9,Constants!O$6:O$9))</f>
        <v>0.11</v>
      </c>
      <c r="I29">
        <f>IF('Input Scenarios'!I29&lt;&gt;"", 'Input Scenarios'!I29, _xlfn.XLOOKUP($F29, Constants!$M$6:$M$9,Constants!P$6:P$9))</f>
        <v>0</v>
      </c>
      <c r="J29">
        <f>'Input Scenarios'!J29</f>
        <v>0.1</v>
      </c>
      <c r="K29">
        <f>'Input Scenarios'!K29</f>
        <v>0.2</v>
      </c>
      <c r="L29">
        <f>'Input Scenarios'!L29</f>
        <v>0.3</v>
      </c>
      <c r="M29">
        <f>'Input Scenarios'!M29</f>
        <v>0.4</v>
      </c>
      <c r="N29">
        <f>'Input Scenarios'!N29</f>
        <v>0.4</v>
      </c>
      <c r="O29">
        <f>'Input Scenarios'!O29</f>
        <v>0.3</v>
      </c>
      <c r="P29">
        <f>'Input Scenarios'!P29</f>
        <v>0.2</v>
      </c>
      <c r="Q29">
        <f>'Input Scenarios'!Q29</f>
        <v>0.1</v>
      </c>
      <c r="R29" t="b">
        <f>'Input Scenarios'!R29</f>
        <v>0</v>
      </c>
      <c r="S29">
        <f>IF('Input Scenarios'!S29&lt;&gt;"", 'Input Scenarios'!S29, IF(R29, Constants!$B$38, 0))</f>
        <v>0</v>
      </c>
      <c r="T29" t="str">
        <f>IF('Input Scenarios'!T29&lt;&gt;"", 'Input Scenarios'!T29, "")</f>
        <v/>
      </c>
      <c r="U29" t="str">
        <f>IF('Input Scenarios'!U29&lt;&gt;"", 'Input Scenarios'!U29, IF(W29&lt;&gt;"", "", Constants!$B$39))</f>
        <v/>
      </c>
      <c r="V29" t="str">
        <f>IF('Input Scenarios'!V29&lt;&gt;"", 'Input Scenarios'!V29, IF(W29&lt;&gt;"", "", Constants!$B$40))</f>
        <v/>
      </c>
      <c r="W29">
        <f>IF('Input Scenarios'!W29&lt;&gt;"", 'Input Scenarios'!W29, "")</f>
        <v>20</v>
      </c>
      <c r="X29" t="str">
        <f>'Input Scenarios'!X29</f>
        <v>Friesian crossbred</v>
      </c>
      <c r="Y29" t="str">
        <f>'Input Scenarios'!Y29</f>
        <v>milkingCows</v>
      </c>
      <c r="Z29">
        <f>'Input Scenarios'!Z29</f>
        <v>200</v>
      </c>
      <c r="AA29">
        <f>IF('Input Scenarios'!AA29&lt;&gt;"", 'Input Scenarios'!AA29, _xlfn.XLOOKUP(Y29,Constants!$J$6:$J$12,Constants!$K$6:$K$12))</f>
        <v>365</v>
      </c>
      <c r="AB29">
        <f>IF('Input Scenarios'!AB29&lt;&gt;"", 'Input Scenarios'!AB29, INDEX(Constants!$B$2:$H$11, MATCH(X29, Constants!$A$2:$A$11, 0), MATCH(Y29,Constants!$B$1:$H$1, 0)))</f>
        <v>500</v>
      </c>
      <c r="AC29">
        <f>IF('Input Scenarios'!AC29&lt;&gt;"", 'Input Scenarios'!AC29, _xlfn.XLOOKUP(Y29, Constants!$B$13:$H$13, Constants!$B$15:$H$15, ""))</f>
        <v>1.6E-2</v>
      </c>
      <c r="AD29">
        <f>IF('Input Scenarios'!AD29&lt;&gt;"", 'Input Scenarios'!AD29, Constants!$B$45)</f>
        <v>0.75</v>
      </c>
      <c r="AE29">
        <f>IF('Input Scenarios'!AE29&lt;&gt;"", 'Input Scenarios'!AE29, Constants!$B$46)</f>
        <v>0.2</v>
      </c>
      <c r="AF29" s="20">
        <f t="shared" si="37"/>
        <v>1.1000000000000001E-2</v>
      </c>
      <c r="AG29" s="20">
        <f t="shared" si="37"/>
        <v>2.2000000000000002E-2</v>
      </c>
      <c r="AH29" s="20">
        <f t="shared" si="37"/>
        <v>3.3000000000000002E-2</v>
      </c>
      <c r="AI29" s="20">
        <f t="shared" si="37"/>
        <v>4.4000000000000004E-2</v>
      </c>
      <c r="AJ29" s="20">
        <f t="shared" si="11"/>
        <v>0.89</v>
      </c>
      <c r="AK29">
        <f t="shared" si="25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38"/>
        <v>0.5948500000000001</v>
      </c>
      <c r="AQ29">
        <f t="shared" si="39"/>
        <v>9.5798721636071917</v>
      </c>
      <c r="AR29">
        <f>IF(Y29="milkingCows", Constants!$P$2, Constants!$P$3)</f>
        <v>1.1000000000000001</v>
      </c>
      <c r="AS29">
        <f t="shared" si="40"/>
        <v>18.265829445367196</v>
      </c>
      <c r="AT29">
        <f t="shared" si="41"/>
        <v>1.0017071727165394</v>
      </c>
      <c r="AU29">
        <f>_xlfn.XLOOKUP(Y29, Constants!$B$13:$H$13, Constants!$B$14:$H$14, "")</f>
        <v>590</v>
      </c>
      <c r="AV29">
        <f t="shared" si="42"/>
        <v>0.84745762711864403</v>
      </c>
      <c r="AW29">
        <f>Constants!$B$55</f>
        <v>6.25</v>
      </c>
      <c r="AX29" s="20">
        <f t="shared" si="1"/>
        <v>0.10351472280849285</v>
      </c>
      <c r="AY29">
        <f t="shared" si="2"/>
        <v>3.6531658890734393</v>
      </c>
      <c r="AZ29">
        <f t="shared" si="18"/>
        <v>0.47913084601960204</v>
      </c>
      <c r="BA29" t="str">
        <f>IF(ISNUMBER(FIND("PreWeaned",Y29)),_xlfn.XLOOKUP(Y29,Constants!$J$2:$J$3,Constants!$M$2:$M$3),"")</f>
        <v/>
      </c>
      <c r="BB29">
        <f t="shared" si="3"/>
        <v>34976.551759430949</v>
      </c>
      <c r="BC29">
        <f t="shared" si="4"/>
        <v>384.74206935374048</v>
      </c>
      <c r="BD29">
        <f t="shared" si="5"/>
        <v>769.48413870748095</v>
      </c>
      <c r="BE29">
        <f t="shared" si="6"/>
        <v>1154.2262080612213</v>
      </c>
      <c r="BF29">
        <f t="shared" si="7"/>
        <v>1538.9682774149619</v>
      </c>
      <c r="BG29">
        <f t="shared" si="8"/>
        <v>31129.131065893547</v>
      </c>
      <c r="BH29">
        <f>Constants!$C$19</f>
        <v>0</v>
      </c>
      <c r="BI29">
        <f>Constants!$C$20</f>
        <v>0</v>
      </c>
      <c r="BJ29">
        <f>Constants!$C$21</f>
        <v>0</v>
      </c>
      <c r="BK29">
        <f>Constants!$C$22</f>
        <v>5.0000000000000001E-3</v>
      </c>
      <c r="BL29">
        <f>Constants!$C$23</f>
        <v>0</v>
      </c>
      <c r="BM29">
        <f>Constants!$B$50</f>
        <v>1.57</v>
      </c>
      <c r="BN29">
        <f>_xlfn.XLOOKUP(D29,Constants!$A$34:$A$35,Constants!$B$34:$B$35)</f>
        <v>2E-3</v>
      </c>
      <c r="BO29">
        <f t="shared" si="43"/>
        <v>0</v>
      </c>
      <c r="BP29">
        <f t="shared" si="44"/>
        <v>0</v>
      </c>
      <c r="BQ29">
        <f t="shared" si="45"/>
        <v>0</v>
      </c>
      <c r="BR29">
        <f t="shared" si="46"/>
        <v>12.080900977707453</v>
      </c>
      <c r="BS29">
        <f t="shared" si="47"/>
        <v>0</v>
      </c>
      <c r="BT29">
        <f t="shared" si="48"/>
        <v>97.745471546905748</v>
      </c>
      <c r="BU29">
        <f>SUM(BO29:BT35)/1000</f>
        <v>0.27130824851340274</v>
      </c>
    </row>
    <row r="30" spans="1:73" x14ac:dyDescent="0.2">
      <c r="A30" t="str">
        <f>'Input Scenarios'!A30</f>
        <v>TAS</v>
      </c>
      <c r="B30">
        <f>'Input Scenarios'!B30</f>
        <v>0</v>
      </c>
      <c r="C30" t="str">
        <f>'Input Scenarios'!C30</f>
        <v>Irrigated crop</v>
      </c>
      <c r="D30" t="str">
        <f>'Input Scenarios'!D30</f>
        <v>dry</v>
      </c>
      <c r="E30" t="b">
        <f>'Input Scenarios'!E30</f>
        <v>1</v>
      </c>
      <c r="F30" t="str">
        <f>'Input Scenarios'!F30</f>
        <v>Grazed only</v>
      </c>
      <c r="G30">
        <f>IF('Input Scenarios'!G30&lt;&gt;"", 'Input Scenarios'!G30, _xlfn.XLOOKUP($F30, Constants!$M$6:$M$9,Constants!N$6:N$9))</f>
        <v>0.89</v>
      </c>
      <c r="H30">
        <f>IF('Input Scenarios'!H30&lt;&gt;"", 'Input Scenarios'!H30, _xlfn.XLOOKUP($F30, Constants!$M$6:$M$9,Constants!O$6:O$9))</f>
        <v>0.11</v>
      </c>
      <c r="I30">
        <f>IF('Input Scenarios'!I30&lt;&gt;"", 'Input Scenarios'!I30, _xlfn.XLOOKUP($F30, Constants!$M$6:$M$9,Constants!P$6:P$9))</f>
        <v>0</v>
      </c>
      <c r="J30">
        <f>'Input Scenarios'!J30</f>
        <v>0.1</v>
      </c>
      <c r="K30">
        <f>'Input Scenarios'!K30</f>
        <v>0.2</v>
      </c>
      <c r="L30">
        <f>'Input Scenarios'!L30</f>
        <v>0.3</v>
      </c>
      <c r="M30">
        <f>'Input Scenarios'!M30</f>
        <v>0.4</v>
      </c>
      <c r="N30">
        <f>'Input Scenarios'!N30</f>
        <v>0.4</v>
      </c>
      <c r="O30">
        <f>'Input Scenarios'!O30</f>
        <v>0.3</v>
      </c>
      <c r="P30">
        <f>'Input Scenarios'!P30</f>
        <v>0.2</v>
      </c>
      <c r="Q30">
        <f>'Input Scenarios'!Q30</f>
        <v>0.1</v>
      </c>
      <c r="R30" t="b">
        <f>'Input Scenarios'!R30</f>
        <v>0</v>
      </c>
      <c r="S30">
        <f>IF('Input Scenarios'!S30&lt;&gt;"", 'Input Scenarios'!S30, IF(R30, Constants!$B$38, 0))</f>
        <v>0</v>
      </c>
      <c r="T30" t="str">
        <f>IF('Input Scenarios'!T30&lt;&gt;"", 'Input Scenarios'!T30, "")</f>
        <v/>
      </c>
      <c r="U30">
        <f>IF('Input Scenarios'!U30&lt;&gt;"", 'Input Scenarios'!U30, IF(W30&lt;&gt;"", "", Constants!$B$39))</f>
        <v>4</v>
      </c>
      <c r="V30">
        <f>IF('Input Scenarios'!V30&lt;&gt;"", 'Input Scenarios'!V30, IF(W30&lt;&gt;"", "", Constants!$B$40))</f>
        <v>3.3</v>
      </c>
      <c r="W30" t="str">
        <f>IF('Input Scenarios'!W30&lt;&gt;"", 'Input Scenarios'!W30, "")</f>
        <v/>
      </c>
      <c r="X30" t="str">
        <f>'Input Scenarios'!X30</f>
        <v>Friesian crossbred</v>
      </c>
      <c r="Y30" t="str">
        <f>'Input Scenarios'!Y30</f>
        <v>heifersGt1</v>
      </c>
      <c r="Z30">
        <f>'Input Scenarios'!Z30</f>
        <v>200</v>
      </c>
      <c r="AA30">
        <f>IF('Input Scenarios'!AA30&lt;&gt;"", 'Input Scenarios'!AA30, _xlfn.XLOOKUP(Y30,Constants!$J$6:$J$12,Constants!$K$6:$K$12))</f>
        <v>365</v>
      </c>
      <c r="AB30">
        <f>IF('Input Scenarios'!AB30&lt;&gt;"", 'Input Scenarios'!AB30, INDEX(Constants!$B$2:$H$11, MATCH(X30, Constants!$A$2:$A$11, 0), MATCH(Y30,Constants!$B$1:$H$1, 0)))</f>
        <v>350</v>
      </c>
      <c r="AC30">
        <f>IF('Input Scenarios'!AC30&lt;&gt;"", 'Input Scenarios'!AC30, _xlfn.XLOOKUP(Y30, Constants!$B$13:$H$13, Constants!$B$15:$H$15, ""))</f>
        <v>0.6</v>
      </c>
      <c r="AD30">
        <f>IF('Input Scenarios'!AD30&lt;&gt;"", 'Input Scenarios'!AD30, Constants!$B$45)</f>
        <v>0.75</v>
      </c>
      <c r="AE30">
        <f>IF('Input Scenarios'!AE30&lt;&gt;"", 'Input Scenarios'!AE30, Constants!$B$46)</f>
        <v>0.2</v>
      </c>
      <c r="AF30">
        <f t="shared" si="37"/>
        <v>0</v>
      </c>
      <c r="AG30">
        <f t="shared" si="37"/>
        <v>0</v>
      </c>
      <c r="AH30">
        <f t="shared" si="37"/>
        <v>0</v>
      </c>
      <c r="AI30">
        <f t="shared" si="37"/>
        <v>0</v>
      </c>
      <c r="AJ30">
        <f t="shared" si="11"/>
        <v>1</v>
      </c>
      <c r="AK30">
        <f t="shared" si="25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38"/>
        <v>0.5948500000000001</v>
      </c>
      <c r="AQ30">
        <f t="shared" si="39"/>
        <v>0</v>
      </c>
      <c r="AR30">
        <f>IF(Y30="milkingCows", Constants!$P$2, Constants!$P$3)</f>
        <v>1</v>
      </c>
      <c r="AS30">
        <f t="shared" si="40"/>
        <v>6.9933802499999995</v>
      </c>
      <c r="AT30">
        <f t="shared" si="41"/>
        <v>1.1598645256363516</v>
      </c>
      <c r="AU30">
        <f>_xlfn.XLOOKUP(Y30, Constants!$B$13:$H$13, Constants!$B$14:$H$14, "")</f>
        <v>590</v>
      </c>
      <c r="AV30">
        <f t="shared" si="42"/>
        <v>0.59322033898305082</v>
      </c>
      <c r="AW30">
        <f>Constants!$B$55</f>
        <v>6.25</v>
      </c>
      <c r="AX30">
        <f t="shared" si="1"/>
        <v>9.4533842373449011E-3</v>
      </c>
      <c r="AY30">
        <f t="shared" si="2"/>
        <v>1.3986760499999999</v>
      </c>
      <c r="AZ30">
        <f t="shared" si="18"/>
        <v>0.21291060763723293</v>
      </c>
      <c r="BA30" t="str">
        <f>IF(ISNUMBER(FIND("PreWeaned",Y30)),_xlfn.XLOOKUP(Y30,Constants!$J$2:$J$3,Constants!$M$2:$M$3),"")</f>
        <v/>
      </c>
      <c r="BB30">
        <f t="shared" si="3"/>
        <v>15542.474357518005</v>
      </c>
      <c r="BC30">
        <f t="shared" si="4"/>
        <v>0</v>
      </c>
      <c r="BD30">
        <f t="shared" si="5"/>
        <v>0</v>
      </c>
      <c r="BE30">
        <f t="shared" si="6"/>
        <v>0</v>
      </c>
      <c r="BF30">
        <f t="shared" si="7"/>
        <v>0</v>
      </c>
      <c r="BG30">
        <f t="shared" si="8"/>
        <v>15542.474357518005</v>
      </c>
      <c r="BH30">
        <f>Constants!$C$19</f>
        <v>0</v>
      </c>
      <c r="BI30">
        <f>Constants!$C$20</f>
        <v>0</v>
      </c>
      <c r="BJ30">
        <f>Constants!$C$21</f>
        <v>0</v>
      </c>
      <c r="BK30">
        <f>Constants!$C$22</f>
        <v>5.0000000000000001E-3</v>
      </c>
      <c r="BL30">
        <f>Constants!$C$23</f>
        <v>0</v>
      </c>
      <c r="BM30">
        <f>Constants!$B$50</f>
        <v>1.57</v>
      </c>
      <c r="BN30">
        <f>_xlfn.XLOOKUP(D30,Constants!$A$34:$A$35,Constants!$B$34:$B$35)</f>
        <v>2E-3</v>
      </c>
      <c r="BO30">
        <f t="shared" si="43"/>
        <v>0</v>
      </c>
      <c r="BP30">
        <f t="shared" si="44"/>
        <v>0</v>
      </c>
      <c r="BQ30">
        <f t="shared" si="45"/>
        <v>0</v>
      </c>
      <c r="BR30">
        <f t="shared" si="46"/>
        <v>0</v>
      </c>
      <c r="BS30">
        <f t="shared" si="47"/>
        <v>0</v>
      </c>
      <c r="BT30">
        <f t="shared" si="48"/>
        <v>48.803369482606541</v>
      </c>
    </row>
    <row r="31" spans="1:73" x14ac:dyDescent="0.2">
      <c r="A31" t="str">
        <f>'Input Scenarios'!A31</f>
        <v>TAS</v>
      </c>
      <c r="B31">
        <f>'Input Scenarios'!B31</f>
        <v>0</v>
      </c>
      <c r="C31" t="str">
        <f>'Input Scenarios'!C31</f>
        <v>Irrigated crop</v>
      </c>
      <c r="D31" t="str">
        <f>'Input Scenarios'!D31</f>
        <v>dry</v>
      </c>
      <c r="E31" t="b">
        <f>'Input Scenarios'!E31</f>
        <v>1</v>
      </c>
      <c r="F31" t="str">
        <f>'Input Scenarios'!F31</f>
        <v>Grazed only</v>
      </c>
      <c r="G31">
        <f>IF('Input Scenarios'!G31&lt;&gt;"", 'Input Scenarios'!G31, _xlfn.XLOOKUP($F31, Constants!$M$6:$M$9,Constants!N$6:N$9))</f>
        <v>0.89</v>
      </c>
      <c r="H31">
        <f>IF('Input Scenarios'!H31&lt;&gt;"", 'Input Scenarios'!H31, _xlfn.XLOOKUP($F31, Constants!$M$6:$M$9,Constants!O$6:O$9))</f>
        <v>0.11</v>
      </c>
      <c r="I31">
        <f>IF('Input Scenarios'!I31&lt;&gt;"", 'Input Scenarios'!I31, _xlfn.XLOOKUP($F31, Constants!$M$6:$M$9,Constants!P$6:P$9))</f>
        <v>0</v>
      </c>
      <c r="J31">
        <f>'Input Scenarios'!J31</f>
        <v>0.1</v>
      </c>
      <c r="K31">
        <f>'Input Scenarios'!K31</f>
        <v>0.2</v>
      </c>
      <c r="L31">
        <f>'Input Scenarios'!L31</f>
        <v>0.3</v>
      </c>
      <c r="M31">
        <f>'Input Scenarios'!M31</f>
        <v>0.4</v>
      </c>
      <c r="N31">
        <f>'Input Scenarios'!N31</f>
        <v>0.4</v>
      </c>
      <c r="O31">
        <f>'Input Scenarios'!O31</f>
        <v>0.3</v>
      </c>
      <c r="P31">
        <f>'Input Scenarios'!P31</f>
        <v>0.2</v>
      </c>
      <c r="Q31">
        <f>'Input Scenarios'!Q31</f>
        <v>0.1</v>
      </c>
      <c r="R31" t="b">
        <f>'Input Scenarios'!R31</f>
        <v>0</v>
      </c>
      <c r="S31">
        <f>IF('Input Scenarios'!S31&lt;&gt;"", 'Input Scenarios'!S31, IF(R31, Constants!$B$38, 0))</f>
        <v>0</v>
      </c>
      <c r="T31" t="str">
        <f>IF('Input Scenarios'!T31&lt;&gt;"", 'Input Scenarios'!T31, "")</f>
        <v/>
      </c>
      <c r="U31">
        <f>IF('Input Scenarios'!U31&lt;&gt;"", 'Input Scenarios'!U31, IF(W31&lt;&gt;"", "", Constants!$B$39))</f>
        <v>4</v>
      </c>
      <c r="V31">
        <f>IF('Input Scenarios'!V31&lt;&gt;"", 'Input Scenarios'!V31, IF(W31&lt;&gt;"", "", Constants!$B$40))</f>
        <v>3.3</v>
      </c>
      <c r="W31" t="str">
        <f>IF('Input Scenarios'!W31&lt;&gt;"", 'Input Scenarios'!W31, "")</f>
        <v/>
      </c>
      <c r="X31" t="str">
        <f>'Input Scenarios'!X31</f>
        <v>Friesian crossbred</v>
      </c>
      <c r="Y31" t="str">
        <f>'Input Scenarios'!Y31</f>
        <v>heifersLt1PreWeaned</v>
      </c>
      <c r="Z31">
        <f>'Input Scenarios'!Z31</f>
        <v>200</v>
      </c>
      <c r="AA31">
        <f>IF('Input Scenarios'!AA31&lt;&gt;"", 'Input Scenarios'!AA31, _xlfn.XLOOKUP(Y31,Constants!$J$6:$J$12,Constants!$K$6:$K$12))</f>
        <v>84</v>
      </c>
      <c r="AB31">
        <f>IF('Input Scenarios'!AB31&lt;&gt;"", 'Input Scenarios'!AB31, INDEX(Constants!$B$2:$H$11, MATCH(X31, Constants!$A$2:$A$11, 0), MATCH(Y31,Constants!$B$1:$H$1, 0)))</f>
        <v>145</v>
      </c>
      <c r="AC31" t="str">
        <f>IF('Input Scenarios'!AC31&lt;&gt;"", 'Input Scenarios'!AC31, _xlfn.XLOOKUP(Y31, Constants!$B$13:$H$13, Constants!$B$15:$H$15, ""))</f>
        <v/>
      </c>
      <c r="AD31">
        <f>IF('Input Scenarios'!AD31&lt;&gt;"", 'Input Scenarios'!AD31, Constants!$B$45)</f>
        <v>0.75</v>
      </c>
      <c r="AE31">
        <f>IF('Input Scenarios'!AE31&lt;&gt;"", 'Input Scenarios'!AE31, Constants!$B$46)</f>
        <v>0.2</v>
      </c>
      <c r="AF31">
        <f t="shared" si="37"/>
        <v>0</v>
      </c>
      <c r="AG31">
        <f t="shared" si="37"/>
        <v>0</v>
      </c>
      <c r="AH31">
        <f t="shared" si="37"/>
        <v>0</v>
      </c>
      <c r="AI31">
        <f t="shared" si="37"/>
        <v>0</v>
      </c>
      <c r="AJ31">
        <f t="shared" si="11"/>
        <v>1</v>
      </c>
      <c r="AK31">
        <f t="shared" si="25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38"/>
        <v>0.5948500000000001</v>
      </c>
      <c r="AQ31">
        <f t="shared" si="39"/>
        <v>0</v>
      </c>
      <c r="AR31">
        <f>IF(Y31="milkingCows", Constants!$P$2, Constants!$P$3)</f>
        <v>1</v>
      </c>
      <c r="AS31" t="str">
        <f t="shared" si="40"/>
        <v/>
      </c>
      <c r="AT31" t="str">
        <f t="shared" si="41"/>
        <v/>
      </c>
      <c r="AU31" t="str">
        <f>_xlfn.XLOOKUP(Y31, Constants!$B$13:$H$13, Constants!$B$14:$H$14, "")</f>
        <v/>
      </c>
      <c r="AV31" t="str">
        <f t="shared" si="42"/>
        <v/>
      </c>
      <c r="AW31">
        <f>Constants!$B$55</f>
        <v>6.25</v>
      </c>
      <c r="AX31" t="str">
        <f t="shared" si="1"/>
        <v/>
      </c>
      <c r="AY31" t="str">
        <f t="shared" si="2"/>
        <v/>
      </c>
      <c r="AZ31" t="str">
        <f t="shared" si="18"/>
        <v/>
      </c>
      <c r="BA31">
        <f>IF(ISNUMBER(FIND("PreWeaned",Y31)),_xlfn.XLOOKUP(Y31,Constants!$J$2:$J$3,Constants!$M$2:$M$3),"")</f>
        <v>1.37E-2</v>
      </c>
      <c r="BB31">
        <f t="shared" si="3"/>
        <v>230.16000000000003</v>
      </c>
      <c r="BC31">
        <f t="shared" si="4"/>
        <v>0</v>
      </c>
      <c r="BD31">
        <f t="shared" si="5"/>
        <v>0</v>
      </c>
      <c r="BE31">
        <f t="shared" si="6"/>
        <v>0</v>
      </c>
      <c r="BF31">
        <f t="shared" si="7"/>
        <v>0</v>
      </c>
      <c r="BG31">
        <f t="shared" si="8"/>
        <v>230.16000000000003</v>
      </c>
      <c r="BH31">
        <f>Constants!$C$19</f>
        <v>0</v>
      </c>
      <c r="BI31">
        <f>Constants!$C$20</f>
        <v>0</v>
      </c>
      <c r="BJ31">
        <f>Constants!$C$21</f>
        <v>0</v>
      </c>
      <c r="BK31">
        <f>Constants!$C$22</f>
        <v>5.0000000000000001E-3</v>
      </c>
      <c r="BL31">
        <f>Constants!$C$23</f>
        <v>0</v>
      </c>
      <c r="BM31">
        <f>Constants!$B$50</f>
        <v>1.57</v>
      </c>
      <c r="BN31">
        <f>_xlfn.XLOOKUP(D31,Constants!$A$34:$A$35,Constants!$B$34:$B$35)</f>
        <v>2E-3</v>
      </c>
      <c r="BO31">
        <f t="shared" si="43"/>
        <v>0</v>
      </c>
      <c r="BP31">
        <f t="shared" si="44"/>
        <v>0</v>
      </c>
      <c r="BQ31">
        <f t="shared" si="45"/>
        <v>0</v>
      </c>
      <c r="BR31">
        <f t="shared" si="46"/>
        <v>0</v>
      </c>
      <c r="BS31">
        <f t="shared" si="47"/>
        <v>0</v>
      </c>
      <c r="BT31">
        <f t="shared" si="48"/>
        <v>0.72270240000000008</v>
      </c>
    </row>
    <row r="32" spans="1:73" x14ac:dyDescent="0.2">
      <c r="A32" t="str">
        <f>'Input Scenarios'!A32</f>
        <v>TAS</v>
      </c>
      <c r="B32">
        <f>'Input Scenarios'!B32</f>
        <v>0</v>
      </c>
      <c r="C32" t="str">
        <f>'Input Scenarios'!C32</f>
        <v>Irrigated crop</v>
      </c>
      <c r="D32" t="str">
        <f>'Input Scenarios'!D32</f>
        <v>dry</v>
      </c>
      <c r="E32" t="b">
        <f>'Input Scenarios'!E32</f>
        <v>1</v>
      </c>
      <c r="F32" t="str">
        <f>'Input Scenarios'!F32</f>
        <v>Grazed only</v>
      </c>
      <c r="G32">
        <f>IF('Input Scenarios'!G32&lt;&gt;"", 'Input Scenarios'!G32, _xlfn.XLOOKUP($F32, Constants!$M$6:$M$9,Constants!N$6:N$9))</f>
        <v>0.89</v>
      </c>
      <c r="H32">
        <f>IF('Input Scenarios'!H32&lt;&gt;"", 'Input Scenarios'!H32, _xlfn.XLOOKUP($F32, Constants!$M$6:$M$9,Constants!O$6:O$9))</f>
        <v>0.11</v>
      </c>
      <c r="I32">
        <f>IF('Input Scenarios'!I32&lt;&gt;"", 'Input Scenarios'!I32, _xlfn.XLOOKUP($F32, Constants!$M$6:$M$9,Constants!P$6:P$9))</f>
        <v>0</v>
      </c>
      <c r="J32">
        <f>'Input Scenarios'!J32</f>
        <v>0.1</v>
      </c>
      <c r="K32">
        <f>'Input Scenarios'!K32</f>
        <v>0.2</v>
      </c>
      <c r="L32">
        <f>'Input Scenarios'!L32</f>
        <v>0.3</v>
      </c>
      <c r="M32">
        <f>'Input Scenarios'!M32</f>
        <v>0.4</v>
      </c>
      <c r="N32">
        <f>'Input Scenarios'!N32</f>
        <v>0.4</v>
      </c>
      <c r="O32">
        <f>'Input Scenarios'!O32</f>
        <v>0.3</v>
      </c>
      <c r="P32">
        <f>'Input Scenarios'!P32</f>
        <v>0.2</v>
      </c>
      <c r="Q32">
        <f>'Input Scenarios'!Q32</f>
        <v>0.1</v>
      </c>
      <c r="R32" t="b">
        <f>'Input Scenarios'!R32</f>
        <v>0</v>
      </c>
      <c r="S32">
        <f>IF('Input Scenarios'!S32&lt;&gt;"", 'Input Scenarios'!S32, IF(R32, Constants!$B$38, 0))</f>
        <v>0</v>
      </c>
      <c r="T32" t="str">
        <f>IF('Input Scenarios'!T32&lt;&gt;"", 'Input Scenarios'!T32, "")</f>
        <v/>
      </c>
      <c r="U32">
        <f>IF('Input Scenarios'!U32&lt;&gt;"", 'Input Scenarios'!U32, IF(W32&lt;&gt;"", "", Constants!$B$39))</f>
        <v>4</v>
      </c>
      <c r="V32">
        <f>IF('Input Scenarios'!V32&lt;&gt;"", 'Input Scenarios'!V32, IF(W32&lt;&gt;"", "", Constants!$B$40))</f>
        <v>3.3</v>
      </c>
      <c r="W32" t="str">
        <f>IF('Input Scenarios'!W32&lt;&gt;"", 'Input Scenarios'!W32, "")</f>
        <v/>
      </c>
      <c r="X32" t="str">
        <f>'Input Scenarios'!X32</f>
        <v>Friesian crossbred</v>
      </c>
      <c r="Y32" t="str">
        <f>'Input Scenarios'!Y32</f>
        <v>heifersLt1Weaned</v>
      </c>
      <c r="Z32">
        <f>'Input Scenarios'!Z32</f>
        <v>200</v>
      </c>
      <c r="AA32">
        <f>IF('Input Scenarios'!AA32&lt;&gt;"", 'Input Scenarios'!AA32, _xlfn.XLOOKUP(Y32,Constants!$J$6:$J$12,Constants!$K$6:$K$12))</f>
        <v>281</v>
      </c>
      <c r="AB32">
        <f>IF('Input Scenarios'!AB32&lt;&gt;"", 'Input Scenarios'!AB32, INDEX(Constants!$B$2:$H$11, MATCH(X32, Constants!$A$2:$A$11, 0), MATCH(Y32,Constants!$B$1:$H$1, 0)))</f>
        <v>145</v>
      </c>
      <c r="AC32">
        <f>IF('Input Scenarios'!AC32&lt;&gt;"", 'Input Scenarios'!AC32, _xlfn.XLOOKUP(Y32, Constants!$B$13:$H$13, Constants!$B$15:$H$15, ""))</f>
        <v>0.56999999999999995</v>
      </c>
      <c r="AD32">
        <f>IF('Input Scenarios'!AD32&lt;&gt;"", 'Input Scenarios'!AD32, Constants!$B$45)</f>
        <v>0.75</v>
      </c>
      <c r="AE32">
        <f>IF('Input Scenarios'!AE32&lt;&gt;"", 'Input Scenarios'!AE32, Constants!$B$46)</f>
        <v>0.2</v>
      </c>
      <c r="AF32">
        <f t="shared" si="37"/>
        <v>0</v>
      </c>
      <c r="AG32">
        <f t="shared" si="37"/>
        <v>0</v>
      </c>
      <c r="AH32">
        <f t="shared" si="37"/>
        <v>0</v>
      </c>
      <c r="AI32">
        <f t="shared" si="37"/>
        <v>0</v>
      </c>
      <c r="AJ32">
        <f t="shared" si="11"/>
        <v>1</v>
      </c>
      <c r="AK32">
        <f t="shared" si="25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38"/>
        <v>0.5948500000000001</v>
      </c>
      <c r="AQ32">
        <f t="shared" si="39"/>
        <v>0</v>
      </c>
      <c r="AR32">
        <f>IF(Y32="milkingCows", Constants!$P$2, Constants!$P$3)</f>
        <v>1</v>
      </c>
      <c r="AS32">
        <f t="shared" si="40"/>
        <v>3.8737521942250002</v>
      </c>
      <c r="AT32">
        <f t="shared" si="41"/>
        <v>1.2108445342325853</v>
      </c>
      <c r="AU32">
        <f>_xlfn.XLOOKUP(Y32, Constants!$B$13:$H$13, Constants!$B$14:$H$14, "")</f>
        <v>590</v>
      </c>
      <c r="AV32">
        <f t="shared" si="42"/>
        <v>0.24576271186440679</v>
      </c>
      <c r="AW32">
        <f>Constants!$B$55</f>
        <v>6.25</v>
      </c>
      <c r="AX32">
        <f t="shared" si="1"/>
        <v>1.4832686313540533E-2</v>
      </c>
      <c r="AY32">
        <f t="shared" si="2"/>
        <v>0.77475043884500006</v>
      </c>
      <c r="AZ32">
        <f t="shared" si="18"/>
        <v>0.10839195842696786</v>
      </c>
      <c r="BA32" t="str">
        <f>IF(ISNUMBER(FIND("PreWeaned",Y32)),_xlfn.XLOOKUP(Y32,Constants!$J$2:$J$3,Constants!$M$2:$M$3),"")</f>
        <v/>
      </c>
      <c r="BB32">
        <f t="shared" si="3"/>
        <v>6091.6280635955936</v>
      </c>
      <c r="BC32">
        <f t="shared" si="4"/>
        <v>0</v>
      </c>
      <c r="BD32">
        <f t="shared" si="5"/>
        <v>0</v>
      </c>
      <c r="BE32">
        <f t="shared" si="6"/>
        <v>0</v>
      </c>
      <c r="BF32">
        <f t="shared" si="7"/>
        <v>0</v>
      </c>
      <c r="BG32">
        <f t="shared" si="8"/>
        <v>6091.6280635955936</v>
      </c>
      <c r="BH32">
        <f>Constants!$C$19</f>
        <v>0</v>
      </c>
      <c r="BI32">
        <f>Constants!$C$20</f>
        <v>0</v>
      </c>
      <c r="BJ32">
        <f>Constants!$C$21</f>
        <v>0</v>
      </c>
      <c r="BK32">
        <f>Constants!$C$22</f>
        <v>5.0000000000000001E-3</v>
      </c>
      <c r="BL32">
        <f>Constants!$C$23</f>
        <v>0</v>
      </c>
      <c r="BM32">
        <f>Constants!$B$50</f>
        <v>1.57</v>
      </c>
      <c r="BN32">
        <f>_xlfn.XLOOKUP(D32,Constants!$A$34:$A$35,Constants!$B$34:$B$35)</f>
        <v>2E-3</v>
      </c>
      <c r="BO32">
        <f t="shared" si="43"/>
        <v>0</v>
      </c>
      <c r="BP32">
        <f t="shared" si="44"/>
        <v>0</v>
      </c>
      <c r="BQ32">
        <f t="shared" si="45"/>
        <v>0</v>
      </c>
      <c r="BR32">
        <f t="shared" si="46"/>
        <v>0</v>
      </c>
      <c r="BS32">
        <f t="shared" si="47"/>
        <v>0</v>
      </c>
      <c r="BT32">
        <f t="shared" si="48"/>
        <v>19.127712119690166</v>
      </c>
    </row>
    <row r="33" spans="1:73" x14ac:dyDescent="0.2">
      <c r="A33" t="str">
        <f>'Input Scenarios'!A33</f>
        <v>TAS</v>
      </c>
      <c r="B33">
        <f>'Input Scenarios'!B33</f>
        <v>0</v>
      </c>
      <c r="C33" t="str">
        <f>'Input Scenarios'!C33</f>
        <v>Irrigated crop</v>
      </c>
      <c r="D33" t="str">
        <f>'Input Scenarios'!D33</f>
        <v>dry</v>
      </c>
      <c r="E33" t="b">
        <f>'Input Scenarios'!E33</f>
        <v>1</v>
      </c>
      <c r="F33" t="str">
        <f>'Input Scenarios'!F33</f>
        <v>Grazed only</v>
      </c>
      <c r="G33">
        <f>IF('Input Scenarios'!G33&lt;&gt;"", 'Input Scenarios'!G33, _xlfn.XLOOKUP($F33, Constants!$M$6:$M$9,Constants!N$6:N$9))</f>
        <v>0.89</v>
      </c>
      <c r="H33">
        <f>IF('Input Scenarios'!H33&lt;&gt;"", 'Input Scenarios'!H33, _xlfn.XLOOKUP($F33, Constants!$M$6:$M$9,Constants!O$6:O$9))</f>
        <v>0.11</v>
      </c>
      <c r="I33">
        <f>IF('Input Scenarios'!I33&lt;&gt;"", 'Input Scenarios'!I33, _xlfn.XLOOKUP($F33, Constants!$M$6:$M$9,Constants!P$6:P$9))</f>
        <v>0</v>
      </c>
      <c r="J33">
        <f>'Input Scenarios'!J33</f>
        <v>0.1</v>
      </c>
      <c r="K33">
        <f>'Input Scenarios'!K33</f>
        <v>0.2</v>
      </c>
      <c r="L33">
        <f>'Input Scenarios'!L33</f>
        <v>0.3</v>
      </c>
      <c r="M33">
        <f>'Input Scenarios'!M33</f>
        <v>0.4</v>
      </c>
      <c r="N33">
        <f>'Input Scenarios'!N33</f>
        <v>0.4</v>
      </c>
      <c r="O33">
        <f>'Input Scenarios'!O33</f>
        <v>0.3</v>
      </c>
      <c r="P33">
        <f>'Input Scenarios'!P33</f>
        <v>0.2</v>
      </c>
      <c r="Q33">
        <f>'Input Scenarios'!Q33</f>
        <v>0.1</v>
      </c>
      <c r="R33" t="b">
        <f>'Input Scenarios'!R33</f>
        <v>0</v>
      </c>
      <c r="S33">
        <f>IF('Input Scenarios'!S33&lt;&gt;"", 'Input Scenarios'!S33, IF(R33, Constants!$B$38, 0))</f>
        <v>0</v>
      </c>
      <c r="T33" t="str">
        <f>IF('Input Scenarios'!T33&lt;&gt;"", 'Input Scenarios'!T33, "")</f>
        <v/>
      </c>
      <c r="U33">
        <f>IF('Input Scenarios'!U33&lt;&gt;"", 'Input Scenarios'!U33, IF(W33&lt;&gt;"", "", Constants!$B$39))</f>
        <v>4</v>
      </c>
      <c r="V33">
        <f>IF('Input Scenarios'!V33&lt;&gt;"", 'Input Scenarios'!V33, IF(W33&lt;&gt;"", "", Constants!$B$40))</f>
        <v>3.3</v>
      </c>
      <c r="W33" t="str">
        <f>IF('Input Scenarios'!W33&lt;&gt;"", 'Input Scenarios'!W33, "")</f>
        <v/>
      </c>
      <c r="X33" t="str">
        <f>'Input Scenarios'!X33</f>
        <v>Friesian crossbred</v>
      </c>
      <c r="Y33" t="str">
        <f>'Input Scenarios'!Y33</f>
        <v>bullsGt1</v>
      </c>
      <c r="Z33">
        <f>'Input Scenarios'!Z33</f>
        <v>200</v>
      </c>
      <c r="AA33">
        <f>IF('Input Scenarios'!AA33&lt;&gt;"", 'Input Scenarios'!AA33, _xlfn.XLOOKUP(Y33,Constants!$J$6:$J$12,Constants!$K$6:$K$12))</f>
        <v>365</v>
      </c>
      <c r="AB33">
        <f>IF('Input Scenarios'!AB33&lt;&gt;"", 'Input Scenarios'!AB33, INDEX(Constants!$B$2:$H$11, MATCH(X33, Constants!$A$2:$A$11, 0), MATCH(Y33,Constants!$B$1:$H$1, 0)))</f>
        <v>600</v>
      </c>
      <c r="AC33">
        <f>IF('Input Scenarios'!AC33&lt;&gt;"", 'Input Scenarios'!AC33, _xlfn.XLOOKUP(Y33, Constants!$B$13:$H$13, Constants!$B$15:$H$15, ""))</f>
        <v>0.1</v>
      </c>
      <c r="AD33">
        <f>IF('Input Scenarios'!AD33&lt;&gt;"", 'Input Scenarios'!AD33, Constants!$B$45)</f>
        <v>0.75</v>
      </c>
      <c r="AE33">
        <f>IF('Input Scenarios'!AE33&lt;&gt;"", 'Input Scenarios'!AE33, Constants!$B$46)</f>
        <v>0.2</v>
      </c>
      <c r="AF33">
        <f t="shared" si="37"/>
        <v>0</v>
      </c>
      <c r="AG33">
        <f t="shared" si="37"/>
        <v>0</v>
      </c>
      <c r="AH33">
        <f t="shared" si="37"/>
        <v>0</v>
      </c>
      <c r="AI33">
        <f t="shared" si="37"/>
        <v>0</v>
      </c>
      <c r="AJ33">
        <f t="shared" si="11"/>
        <v>1</v>
      </c>
      <c r="AK33">
        <f t="shared" si="25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38"/>
        <v>0.5948500000000001</v>
      </c>
      <c r="AQ33">
        <f t="shared" si="39"/>
        <v>0</v>
      </c>
      <c r="AR33">
        <f>IF(Y33="milkingCows", Constants!$P$2, Constants!$P$3)</f>
        <v>1</v>
      </c>
      <c r="AS33">
        <f t="shared" si="40"/>
        <v>9.0270202499999979</v>
      </c>
      <c r="AT33">
        <f t="shared" si="41"/>
        <v>1.0213029780639273</v>
      </c>
      <c r="AU33">
        <f>_xlfn.XLOOKUP(Y33, Constants!$B$13:$H$13, Constants!$B$14:$H$14, "")</f>
        <v>770</v>
      </c>
      <c r="AV33">
        <f t="shared" si="42"/>
        <v>0.77922077922077926</v>
      </c>
      <c r="AW33">
        <f>Constants!$B$55</f>
        <v>6.25</v>
      </c>
      <c r="AX33">
        <f t="shared" si="1"/>
        <v>1.2626203146474679E-3</v>
      </c>
      <c r="AY33">
        <f t="shared" si="2"/>
        <v>1.8054040499999997</v>
      </c>
      <c r="AZ33">
        <f t="shared" si="18"/>
        <v>0.28546836331241399</v>
      </c>
      <c r="BA33" t="str">
        <f>IF(ISNUMBER(FIND("PreWeaned",Y33)),_xlfn.XLOOKUP(Y33,Constants!$J$2:$J$3,Constants!$M$2:$M$3),"")</f>
        <v/>
      </c>
      <c r="BB33">
        <f t="shared" si="3"/>
        <v>20839.19052180622</v>
      </c>
      <c r="BC33">
        <f t="shared" si="4"/>
        <v>0</v>
      </c>
      <c r="BD33">
        <f t="shared" si="5"/>
        <v>0</v>
      </c>
      <c r="BE33">
        <f t="shared" si="6"/>
        <v>0</v>
      </c>
      <c r="BF33">
        <f t="shared" si="7"/>
        <v>0</v>
      </c>
      <c r="BG33">
        <f t="shared" si="8"/>
        <v>20839.19052180622</v>
      </c>
      <c r="BH33">
        <f>Constants!$C$19</f>
        <v>0</v>
      </c>
      <c r="BI33">
        <f>Constants!$C$20</f>
        <v>0</v>
      </c>
      <c r="BJ33">
        <f>Constants!$C$21</f>
        <v>0</v>
      </c>
      <c r="BK33">
        <f>Constants!$C$22</f>
        <v>5.0000000000000001E-3</v>
      </c>
      <c r="BL33">
        <f>Constants!$C$23</f>
        <v>0</v>
      </c>
      <c r="BM33">
        <f>Constants!$B$50</f>
        <v>1.57</v>
      </c>
      <c r="BN33">
        <f>_xlfn.XLOOKUP(D33,Constants!$A$34:$A$35,Constants!$B$34:$B$35)</f>
        <v>2E-3</v>
      </c>
      <c r="BO33">
        <f t="shared" si="43"/>
        <v>0</v>
      </c>
      <c r="BP33">
        <f t="shared" si="44"/>
        <v>0</v>
      </c>
      <c r="BQ33">
        <f t="shared" si="45"/>
        <v>0</v>
      </c>
      <c r="BR33">
        <f t="shared" si="46"/>
        <v>0</v>
      </c>
      <c r="BS33">
        <f t="shared" si="47"/>
        <v>0</v>
      </c>
      <c r="BT33">
        <f t="shared" si="48"/>
        <v>65.435058238471527</v>
      </c>
    </row>
    <row r="34" spans="1:73" x14ac:dyDescent="0.2">
      <c r="A34" t="str">
        <f>'Input Scenarios'!A34</f>
        <v>TAS</v>
      </c>
      <c r="B34">
        <f>'Input Scenarios'!B34</f>
        <v>0</v>
      </c>
      <c r="C34" t="str">
        <f>'Input Scenarios'!C34</f>
        <v>Irrigated crop</v>
      </c>
      <c r="D34" t="str">
        <f>'Input Scenarios'!D34</f>
        <v>dry</v>
      </c>
      <c r="E34" t="b">
        <f>'Input Scenarios'!E34</f>
        <v>1</v>
      </c>
      <c r="F34" t="str">
        <f>'Input Scenarios'!F34</f>
        <v>Grazed only</v>
      </c>
      <c r="G34">
        <f>IF('Input Scenarios'!G34&lt;&gt;"", 'Input Scenarios'!G34, _xlfn.XLOOKUP($F34, Constants!$M$6:$M$9,Constants!N$6:N$9))</f>
        <v>0.89</v>
      </c>
      <c r="H34">
        <f>IF('Input Scenarios'!H34&lt;&gt;"", 'Input Scenarios'!H34, _xlfn.XLOOKUP($F34, Constants!$M$6:$M$9,Constants!O$6:O$9))</f>
        <v>0.11</v>
      </c>
      <c r="I34">
        <f>IF('Input Scenarios'!I34&lt;&gt;"", 'Input Scenarios'!I34, _xlfn.XLOOKUP($F34, Constants!$M$6:$M$9,Constants!P$6:P$9))</f>
        <v>0</v>
      </c>
      <c r="J34">
        <f>'Input Scenarios'!J34</f>
        <v>0.1</v>
      </c>
      <c r="K34">
        <f>'Input Scenarios'!K34</f>
        <v>0.2</v>
      </c>
      <c r="L34">
        <f>'Input Scenarios'!L34</f>
        <v>0.3</v>
      </c>
      <c r="M34">
        <f>'Input Scenarios'!M34</f>
        <v>0.4</v>
      </c>
      <c r="N34">
        <f>'Input Scenarios'!N34</f>
        <v>0.4</v>
      </c>
      <c r="O34">
        <f>'Input Scenarios'!O34</f>
        <v>0.3</v>
      </c>
      <c r="P34">
        <f>'Input Scenarios'!P34</f>
        <v>0.2</v>
      </c>
      <c r="Q34">
        <f>'Input Scenarios'!Q34</f>
        <v>0.1</v>
      </c>
      <c r="R34" t="b">
        <f>'Input Scenarios'!R34</f>
        <v>0</v>
      </c>
      <c r="S34">
        <f>IF('Input Scenarios'!S34&lt;&gt;"", 'Input Scenarios'!S34, IF(R34, Constants!$B$38, 0))</f>
        <v>0</v>
      </c>
      <c r="T34" t="str">
        <f>IF('Input Scenarios'!T34&lt;&gt;"", 'Input Scenarios'!T34, "")</f>
        <v/>
      </c>
      <c r="U34">
        <f>IF('Input Scenarios'!U34&lt;&gt;"", 'Input Scenarios'!U34, IF(W34&lt;&gt;"", "", Constants!$B$39))</f>
        <v>4</v>
      </c>
      <c r="V34">
        <f>IF('Input Scenarios'!V34&lt;&gt;"", 'Input Scenarios'!V34, IF(W34&lt;&gt;"", "", Constants!$B$40))</f>
        <v>3.3</v>
      </c>
      <c r="W34" t="str">
        <f>IF('Input Scenarios'!W34&lt;&gt;"", 'Input Scenarios'!W34, "")</f>
        <v/>
      </c>
      <c r="X34" t="str">
        <f>'Input Scenarios'!X34</f>
        <v>Friesian crossbred</v>
      </c>
      <c r="Y34" t="str">
        <f>'Input Scenarios'!Y34</f>
        <v>bullsLt1PreWeaned</v>
      </c>
      <c r="Z34">
        <f>'Input Scenarios'!Z34</f>
        <v>200</v>
      </c>
      <c r="AA34">
        <f>IF('Input Scenarios'!AA34&lt;&gt;"", 'Input Scenarios'!AA34, _xlfn.XLOOKUP(Y34,Constants!$J$6:$J$12,Constants!$K$6:$K$12))</f>
        <v>84</v>
      </c>
      <c r="AB34">
        <f>IF('Input Scenarios'!AB34&lt;&gt;"", 'Input Scenarios'!AB34, INDEX(Constants!$B$2:$H$11, MATCH(X34, Constants!$A$2:$A$11, 0), MATCH(Y34,Constants!$B$1:$H$1, 0)))</f>
        <v>225</v>
      </c>
      <c r="AC34" t="str">
        <f>IF('Input Scenarios'!AC34&lt;&gt;"", 'Input Scenarios'!AC34, _xlfn.XLOOKUP(Y34, Constants!$B$13:$H$13, Constants!$B$15:$H$15, ""))</f>
        <v/>
      </c>
      <c r="AD34">
        <f>IF('Input Scenarios'!AD34&lt;&gt;"", 'Input Scenarios'!AD34, Constants!$B$45)</f>
        <v>0.75</v>
      </c>
      <c r="AE34">
        <f>IF('Input Scenarios'!AE34&lt;&gt;"", 'Input Scenarios'!AE34, Constants!$B$46)</f>
        <v>0.2</v>
      </c>
      <c r="AF34">
        <f t="shared" si="37"/>
        <v>0</v>
      </c>
      <c r="AG34">
        <f t="shared" si="37"/>
        <v>0</v>
      </c>
      <c r="AH34">
        <f t="shared" si="37"/>
        <v>0</v>
      </c>
      <c r="AI34">
        <f t="shared" si="37"/>
        <v>0</v>
      </c>
      <c r="AJ34">
        <f t="shared" si="11"/>
        <v>1</v>
      </c>
      <c r="AK34">
        <f t="shared" si="25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38"/>
        <v>0.5948500000000001</v>
      </c>
      <c r="AQ34">
        <f t="shared" si="39"/>
        <v>0</v>
      </c>
      <c r="AR34">
        <f>IF(Y34="milkingCows", Constants!$P$2, Constants!$P$3)</f>
        <v>1</v>
      </c>
      <c r="AS34" t="str">
        <f t="shared" si="40"/>
        <v/>
      </c>
      <c r="AT34" t="str">
        <f t="shared" si="41"/>
        <v/>
      </c>
      <c r="AU34" t="str">
        <f>_xlfn.XLOOKUP(Y34, Constants!$B$13:$H$13, Constants!$B$14:$H$14, "")</f>
        <v/>
      </c>
      <c r="AV34" t="str">
        <f t="shared" si="42"/>
        <v/>
      </c>
      <c r="AW34">
        <f>Constants!$B$55</f>
        <v>6.25</v>
      </c>
      <c r="AX34" t="str">
        <f t="shared" si="1"/>
        <v/>
      </c>
      <c r="AY34" t="str">
        <f t="shared" si="2"/>
        <v/>
      </c>
      <c r="AZ34" t="str">
        <f t="shared" si="18"/>
        <v/>
      </c>
      <c r="BA34">
        <f>IF(ISNUMBER(FIND("PreWeaned",Y34)),_xlfn.XLOOKUP(Y34,Constants!$J$2:$J$3,Constants!$M$2:$M$3),"")</f>
        <v>9.1999999999999998E-3</v>
      </c>
      <c r="BB34">
        <f t="shared" si="3"/>
        <v>154.56</v>
      </c>
      <c r="BC34">
        <f t="shared" si="4"/>
        <v>0</v>
      </c>
      <c r="BD34">
        <f t="shared" si="5"/>
        <v>0</v>
      </c>
      <c r="BE34">
        <f t="shared" si="6"/>
        <v>0</v>
      </c>
      <c r="BF34">
        <f t="shared" si="7"/>
        <v>0</v>
      </c>
      <c r="BG34">
        <f t="shared" si="8"/>
        <v>154.56</v>
      </c>
      <c r="BH34">
        <f>Constants!$C$19</f>
        <v>0</v>
      </c>
      <c r="BI34">
        <f>Constants!$C$20</f>
        <v>0</v>
      </c>
      <c r="BJ34">
        <f>Constants!$C$21</f>
        <v>0</v>
      </c>
      <c r="BK34">
        <f>Constants!$C$22</f>
        <v>5.0000000000000001E-3</v>
      </c>
      <c r="BL34">
        <f>Constants!$C$23</f>
        <v>0</v>
      </c>
      <c r="BM34">
        <f>Constants!$B$50</f>
        <v>1.57</v>
      </c>
      <c r="BN34">
        <f>_xlfn.XLOOKUP(D34,Constants!$A$34:$A$35,Constants!$B$34:$B$35)</f>
        <v>2E-3</v>
      </c>
      <c r="BO34">
        <f t="shared" si="43"/>
        <v>0</v>
      </c>
      <c r="BP34">
        <f t="shared" si="44"/>
        <v>0</v>
      </c>
      <c r="BQ34">
        <f t="shared" si="45"/>
        <v>0</v>
      </c>
      <c r="BR34">
        <f t="shared" si="46"/>
        <v>0</v>
      </c>
      <c r="BS34">
        <f t="shared" si="47"/>
        <v>0</v>
      </c>
      <c r="BT34">
        <f t="shared" si="48"/>
        <v>0.48531840000000004</v>
      </c>
    </row>
    <row r="35" spans="1:73" s="16" customFormat="1" x14ac:dyDescent="0.2">
      <c r="A35" s="16" t="str">
        <f>'Input Scenarios'!A35</f>
        <v>TAS</v>
      </c>
      <c r="B35" s="16">
        <f>'Input Scenarios'!B35</f>
        <v>0</v>
      </c>
      <c r="C35" s="16" t="str">
        <f>'Input Scenarios'!C35</f>
        <v>Irrigated crop</v>
      </c>
      <c r="D35" s="16" t="str">
        <f>'Input Scenarios'!D35</f>
        <v>dry</v>
      </c>
      <c r="E35" s="16" t="b">
        <f>'Input Scenarios'!E35</f>
        <v>1</v>
      </c>
      <c r="F35" s="16" t="str">
        <f>'Input Scenarios'!F35</f>
        <v>Grazed only</v>
      </c>
      <c r="G35" s="16">
        <f>IF('Input Scenarios'!G35&lt;&gt;"", 'Input Scenarios'!G35, _xlfn.XLOOKUP($F35, Constants!$M$6:$M$9,Constants!N$6:N$9))</f>
        <v>0.89</v>
      </c>
      <c r="H35" s="16">
        <f>IF('Input Scenarios'!H35&lt;&gt;"", 'Input Scenarios'!H35, _xlfn.XLOOKUP($F35, Constants!$M$6:$M$9,Constants!O$6:O$9))</f>
        <v>0.11</v>
      </c>
      <c r="I35" s="16">
        <f>IF('Input Scenarios'!I35&lt;&gt;"", 'Input Scenarios'!I35, _xlfn.XLOOKUP($F35, Constants!$M$6:$M$9,Constants!P$6:P$9))</f>
        <v>0</v>
      </c>
      <c r="J35" s="16">
        <f>'Input Scenarios'!J35</f>
        <v>0.1</v>
      </c>
      <c r="K35" s="16">
        <f>'Input Scenarios'!K35</f>
        <v>0.2</v>
      </c>
      <c r="L35" s="16">
        <f>'Input Scenarios'!L35</f>
        <v>0.3</v>
      </c>
      <c r="M35" s="16">
        <f>'Input Scenarios'!M35</f>
        <v>0.4</v>
      </c>
      <c r="N35" s="16">
        <f>'Input Scenarios'!N35</f>
        <v>0.4</v>
      </c>
      <c r="O35" s="16">
        <f>'Input Scenarios'!O35</f>
        <v>0.3</v>
      </c>
      <c r="P35" s="16">
        <f>'Input Scenarios'!P35</f>
        <v>0.2</v>
      </c>
      <c r="Q35" s="16">
        <f>'Input Scenarios'!Q35</f>
        <v>0.1</v>
      </c>
      <c r="R35" s="16" t="b">
        <f>'Input Scenarios'!R35</f>
        <v>0</v>
      </c>
      <c r="S35" s="16">
        <f>IF('Input Scenarios'!S35&lt;&gt;"", 'Input Scenarios'!S35, IF(R35, Constants!$B$38, 0))</f>
        <v>0</v>
      </c>
      <c r="T35" s="16" t="str">
        <f>IF('Input Scenarios'!T35&lt;&gt;"", 'Input Scenarios'!T35, "")</f>
        <v/>
      </c>
      <c r="U35" s="16">
        <f>IF('Input Scenarios'!U35&lt;&gt;"", 'Input Scenarios'!U35, IF(W35&lt;&gt;"", "", Constants!$B$39))</f>
        <v>4</v>
      </c>
      <c r="V35" s="16">
        <f>IF('Input Scenarios'!V35&lt;&gt;"", 'Input Scenarios'!V35, IF(W35&lt;&gt;"", "", Constants!$B$40))</f>
        <v>3.3</v>
      </c>
      <c r="W35" s="16" t="str">
        <f>IF('Input Scenarios'!W35&lt;&gt;"", 'Input Scenarios'!W35, "")</f>
        <v/>
      </c>
      <c r="X35" s="16" t="str">
        <f>'Input Scenarios'!X35</f>
        <v>Friesian crossbred</v>
      </c>
      <c r="Y35" s="16" t="str">
        <f>'Input Scenarios'!Y35</f>
        <v>bullsLt1Weaned</v>
      </c>
      <c r="Z35" s="16">
        <f>'Input Scenarios'!Z35</f>
        <v>200</v>
      </c>
      <c r="AA35" s="16">
        <f>IF('Input Scenarios'!AA35&lt;&gt;"", 'Input Scenarios'!AA35, _xlfn.XLOOKUP(Y35,Constants!$J$6:$J$12,Constants!$K$6:$K$12))</f>
        <v>281</v>
      </c>
      <c r="AB35" s="16">
        <f>IF('Input Scenarios'!AB35&lt;&gt;"", 'Input Scenarios'!AB35, INDEX(Constants!$B$2:$H$11, MATCH(X35, Constants!$A$2:$A$11, 0), MATCH(Y35,Constants!$B$1:$H$1, 0)))</f>
        <v>225</v>
      </c>
      <c r="AC35" s="16">
        <f>IF('Input Scenarios'!AC35&lt;&gt;"", 'Input Scenarios'!AC35, _xlfn.XLOOKUP(Y35, Constants!$B$13:$H$13, Constants!$B$15:$H$15, ""))</f>
        <v>0.8</v>
      </c>
      <c r="AD35" s="16">
        <f>IF('Input Scenarios'!AD35&lt;&gt;"", 'Input Scenarios'!AD35, Constants!$B$45)</f>
        <v>0.75</v>
      </c>
      <c r="AE35" s="16">
        <f>IF('Input Scenarios'!AE35&lt;&gt;"", 'Input Scenarios'!AE35, Constants!$B$46)</f>
        <v>0.2</v>
      </c>
      <c r="AF35" s="16">
        <f t="shared" si="37"/>
        <v>0</v>
      </c>
      <c r="AG35" s="16">
        <f t="shared" si="37"/>
        <v>0</v>
      </c>
      <c r="AH35" s="16">
        <f t="shared" si="37"/>
        <v>0</v>
      </c>
      <c r="AI35" s="16">
        <f t="shared" si="37"/>
        <v>0</v>
      </c>
      <c r="AJ35" s="16">
        <f t="shared" si="11"/>
        <v>1</v>
      </c>
      <c r="AK35" s="16">
        <f t="shared" si="25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38"/>
        <v>0.5948500000000001</v>
      </c>
      <c r="AQ35" s="16">
        <f t="shared" si="39"/>
        <v>0</v>
      </c>
      <c r="AR35" s="16">
        <f>IF(Y35="milkingCows", Constants!$P$2, Constants!$P$3)</f>
        <v>1</v>
      </c>
      <c r="AS35" s="16">
        <f t="shared" si="40"/>
        <v>5.4143472656250013</v>
      </c>
      <c r="AT35" s="16">
        <f t="shared" si="41"/>
        <v>1.2576570545672616</v>
      </c>
      <c r="AU35" s="16">
        <f>_xlfn.XLOOKUP(Y35, Constants!$B$13:$H$13, Constants!$B$14:$H$14, "")</f>
        <v>770</v>
      </c>
      <c r="AV35" s="16">
        <f t="shared" si="42"/>
        <v>0.29220779220779219</v>
      </c>
      <c r="AW35" s="16">
        <f>Constants!$B$55</f>
        <v>6.25</v>
      </c>
      <c r="AX35" s="16">
        <f t="shared" si="1"/>
        <v>1.9757354894894084E-2</v>
      </c>
      <c r="AY35" s="16">
        <f t="shared" si="2"/>
        <v>1.0828694531250003</v>
      </c>
      <c r="AZ35" s="16">
        <f t="shared" si="18"/>
        <v>0.15247929000170721</v>
      </c>
      <c r="BA35" s="16" t="str">
        <f>IF(ISNUMBER(FIND("PreWeaned",Y35)),_xlfn.XLOOKUP(Y35,Constants!$J$2:$J$3,Constants!$M$2:$M$3),"")</f>
        <v/>
      </c>
      <c r="BB35" s="16">
        <f t="shared" si="3"/>
        <v>8569.336098095946</v>
      </c>
      <c r="BC35" s="16">
        <f t="shared" si="4"/>
        <v>0</v>
      </c>
      <c r="BD35" s="16">
        <f t="shared" si="5"/>
        <v>0</v>
      </c>
      <c r="BE35" s="16">
        <f t="shared" si="6"/>
        <v>0</v>
      </c>
      <c r="BF35" s="16">
        <f t="shared" si="7"/>
        <v>0</v>
      </c>
      <c r="BG35" s="16">
        <f t="shared" si="8"/>
        <v>8569.336098095946</v>
      </c>
      <c r="BH35" s="16">
        <f>Constants!$C$19</f>
        <v>0</v>
      </c>
      <c r="BI35" s="16">
        <f>Constants!$C$20</f>
        <v>0</v>
      </c>
      <c r="BJ35" s="16">
        <f>Constants!$C$21</f>
        <v>0</v>
      </c>
      <c r="BK35" s="16">
        <f>Constants!$C$22</f>
        <v>5.0000000000000001E-3</v>
      </c>
      <c r="BL35" s="16">
        <f>Constants!$C$23</f>
        <v>0</v>
      </c>
      <c r="BM35" s="16">
        <f>Constants!$B$50</f>
        <v>1.57</v>
      </c>
      <c r="BN35" s="16">
        <f>_xlfn.XLOOKUP(D35,Constants!$A$34:$A$35,Constants!$B$34:$B$35)</f>
        <v>2E-3</v>
      </c>
      <c r="BO35" s="16">
        <f t="shared" si="43"/>
        <v>0</v>
      </c>
      <c r="BP35" s="16">
        <f t="shared" si="44"/>
        <v>0</v>
      </c>
      <c r="BQ35" s="16">
        <f t="shared" si="45"/>
        <v>0</v>
      </c>
      <c r="BR35" s="16">
        <f t="shared" si="46"/>
        <v>0</v>
      </c>
      <c r="BS35" s="16">
        <f t="shared" si="47"/>
        <v>0</v>
      </c>
      <c r="BT35" s="16">
        <f t="shared" si="48"/>
        <v>26.90771534802127</v>
      </c>
    </row>
    <row r="36" spans="1:73" x14ac:dyDescent="0.2">
      <c r="A36" t="str">
        <f>'Input Scenarios'!A36</f>
        <v>VIC</v>
      </c>
      <c r="B36">
        <f>'Input Scenarios'!B36</f>
        <v>0</v>
      </c>
      <c r="C36" t="str">
        <f>'Input Scenarios'!C36</f>
        <v>Non-irrigated pasture</v>
      </c>
      <c r="D36" t="str">
        <f>'Input Scenarios'!D36</f>
        <v>wet</v>
      </c>
      <c r="E36" t="b">
        <f>'Input Scenarios'!E36</f>
        <v>0</v>
      </c>
      <c r="F36" t="str">
        <f>'Input Scenarios'!F36</f>
        <v>Limited grazing</v>
      </c>
      <c r="G36">
        <f>IF('Input Scenarios'!G36&lt;&gt;"", 'Input Scenarios'!G36, _xlfn.XLOOKUP($F36, Constants!$M$6:$M$9,Constants!N$6:N$9))</f>
        <v>0.53400000000000003</v>
      </c>
      <c r="H36">
        <f>IF('Input Scenarios'!H36&lt;&gt;"", 'Input Scenarios'!H36, _xlfn.XLOOKUP($F36, Constants!$M$6:$M$9,Constants!O$6:O$9))</f>
        <v>0.11</v>
      </c>
      <c r="I36">
        <f>IF('Input Scenarios'!I36&lt;&gt;"", 'Input Scenarios'!I36, _xlfn.XLOOKUP($F36, Constants!$M$6:$M$9,Constants!P$6:P$9))</f>
        <v>0.35599999999999998</v>
      </c>
      <c r="J36">
        <f>'Input Scenarios'!J36</f>
        <v>0.25</v>
      </c>
      <c r="K36">
        <f>'Input Scenarios'!K36</f>
        <v>0.25</v>
      </c>
      <c r="L36">
        <f>'Input Scenarios'!L36</f>
        <v>0.25</v>
      </c>
      <c r="M36">
        <f>'Input Scenarios'!M36</f>
        <v>0.25</v>
      </c>
      <c r="N36">
        <f>'Input Scenarios'!N36</f>
        <v>0.25</v>
      </c>
      <c r="O36">
        <f>'Input Scenarios'!O36</f>
        <v>0.25</v>
      </c>
      <c r="P36">
        <f>'Input Scenarios'!P36</f>
        <v>0.25</v>
      </c>
      <c r="Q36">
        <f>'Input Scenarios'!Q36</f>
        <v>0.25</v>
      </c>
      <c r="R36" t="b">
        <f>'Input Scenarios'!R36</f>
        <v>1</v>
      </c>
      <c r="S36">
        <f>IF('Input Scenarios'!S36&lt;&gt;"", 'Input Scenarios'!S36, IF(R36, Constants!$B$38, 0))</f>
        <v>0.2</v>
      </c>
      <c r="T36" t="str">
        <f>IF('Input Scenarios'!T36&lt;&gt;"", 'Input Scenarios'!T36, "")</f>
        <v/>
      </c>
      <c r="U36" t="str">
        <f>IF('Input Scenarios'!U36&lt;&gt;"", 'Input Scenarios'!U36, IF(W36&lt;&gt;"", "", Constants!$B$39))</f>
        <v/>
      </c>
      <c r="V36" t="str">
        <f>IF('Input Scenarios'!V36&lt;&gt;"", 'Input Scenarios'!V36, IF(W36&lt;&gt;"", "", Constants!$B$40))</f>
        <v/>
      </c>
      <c r="W36">
        <f>IF('Input Scenarios'!W36&lt;&gt;"", 'Input Scenarios'!W36, "")</f>
        <v>30</v>
      </c>
      <c r="X36" t="str">
        <f>'Input Scenarios'!X36</f>
        <v>Jersey</v>
      </c>
      <c r="Y36" t="str">
        <f>'Input Scenarios'!Y36</f>
        <v>milkingCows</v>
      </c>
      <c r="Z36">
        <f>'Input Scenarios'!Z36</f>
        <v>200</v>
      </c>
      <c r="AA36">
        <f>IF('Input Scenarios'!AA36&lt;&gt;"", 'Input Scenarios'!AA36, _xlfn.XLOOKUP(Y36,Constants!$J$6:$J$12,Constants!$K$6:$K$12))</f>
        <v>365</v>
      </c>
      <c r="AB36">
        <f>IF('Input Scenarios'!AB36&lt;&gt;"", 'Input Scenarios'!AB36, INDEX(Constants!$B$2:$H$11, MATCH(X36, Constants!$A$2:$A$11, 0), MATCH(Y36,Constants!$B$1:$H$1, 0)))</f>
        <v>400</v>
      </c>
      <c r="AC36">
        <f>IF('Input Scenarios'!AC36&lt;&gt;"", 'Input Scenarios'!AC36, _xlfn.XLOOKUP(Y36, Constants!$B$13:$H$13, Constants!$B$15:$H$15, ""))</f>
        <v>1.6E-2</v>
      </c>
      <c r="AD36">
        <f>IF('Input Scenarios'!AD36&lt;&gt;"", 'Input Scenarios'!AD36, Constants!$B$45)</f>
        <v>0.75</v>
      </c>
      <c r="AE36">
        <f>IF('Input Scenarios'!AE36&lt;&gt;"", 'Input Scenarios'!AE36, Constants!$B$46)</f>
        <v>0.2</v>
      </c>
      <c r="AF36" s="20">
        <f>IF($Y36="milkingCows",($H36*J36)+($I36*N36), 0)</f>
        <v>0.11649999999999999</v>
      </c>
      <c r="AG36" s="20">
        <f t="shared" si="37"/>
        <v>0.11649999999999999</v>
      </c>
      <c r="AH36" s="20">
        <f t="shared" si="37"/>
        <v>0.11649999999999999</v>
      </c>
      <c r="AI36" s="20">
        <f t="shared" si="37"/>
        <v>0.11649999999999999</v>
      </c>
      <c r="AJ36" s="20">
        <f>IF($Y36="milkingCows",G36, 1)</f>
        <v>0.53400000000000003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 t="shared" ref="AP36:AP53" si="49">0.795*(AD36)-0.0014</f>
        <v>0.5948500000000001</v>
      </c>
      <c r="AQ36">
        <f t="shared" ref="AQ36:AQ53" si="50">(AK36*AL36*AM36)/(AN36*AO36*AP36)</f>
        <v>14.369808245410789</v>
      </c>
      <c r="AR36">
        <f>IF(Y36="milkingCows", Constants!$P$2, Constants!$P$3)</f>
        <v>1.1000000000000001</v>
      </c>
      <c r="AS36">
        <f t="shared" ref="AS36:AS53" si="51">IFERROR(((1.185+(0.00454*AB36)-(0.0000026*(AB36^2))+(0.315*AC36))^2*AR36+AQ36), "")</f>
        <v>21.748946167170789</v>
      </c>
      <c r="AT36">
        <f t="shared" ref="AT36:AT53" si="52">IFERROR(((1.185+(0.00454*AB36)-(0.0000026*(AB36^2))+(0.315*AC36))^2*AR36+AQ36)/((1.185+(0.00454*AB36)-(0.0000026*(AB36^2)))^2*AR36+AQ36), "")</f>
        <v>1.001320906258945</v>
      </c>
      <c r="AU36">
        <f>_xlfn.XLOOKUP(Y36, Constants!$B$13:$H$13, Constants!$B$14:$H$14, "")</f>
        <v>590</v>
      </c>
      <c r="AV36">
        <f t="shared" ref="AV36:AV53" si="53">IFERROR(AB36/AU36, "")</f>
        <v>0.67796610169491522</v>
      </c>
      <c r="AW36">
        <f>Constants!$B$55</f>
        <v>6.25</v>
      </c>
      <c r="AX36" s="20">
        <f t="shared" si="1"/>
        <v>0.1552092207973319</v>
      </c>
      <c r="AY36">
        <f t="shared" si="2"/>
        <v>4.3497892334341577</v>
      </c>
      <c r="AZ36">
        <f>IF(ISNUMBER(FIND("PreWeaned",Y36)),"", MAX((AY36/AW36)-AX36-(((1.1*10^-4)*(AB36^0.75))/AW36), 0))</f>
        <v>0.53918286469597354</v>
      </c>
      <c r="BA36" t="str">
        <f>IF(ISNUMBER(FIND("PreWeaned",Y36)),_xlfn.XLOOKUP(Y36,Constants!$J$2:$J$3,Constants!$M$2:$M$3),"")</f>
        <v/>
      </c>
      <c r="BB36">
        <f t="shared" si="3"/>
        <v>39360.349122806067</v>
      </c>
      <c r="BC36">
        <f t="shared" si="4"/>
        <v>4585.4806728069061</v>
      </c>
      <c r="BD36">
        <f t="shared" si="5"/>
        <v>4585.4806728069061</v>
      </c>
      <c r="BE36">
        <f t="shared" si="6"/>
        <v>4585.4806728069061</v>
      </c>
      <c r="BF36">
        <f t="shared" si="7"/>
        <v>4585.4806728069061</v>
      </c>
      <c r="BG36">
        <f t="shared" si="8"/>
        <v>21018.426431578442</v>
      </c>
      <c r="BH36">
        <f>Constants!$C$19</f>
        <v>0</v>
      </c>
      <c r="BI36">
        <f>Constants!$C$20</f>
        <v>0</v>
      </c>
      <c r="BJ36">
        <f>Constants!$C$21</f>
        <v>0</v>
      </c>
      <c r="BK36">
        <f>Constants!$C$22</f>
        <v>5.0000000000000001E-3</v>
      </c>
      <c r="BL36">
        <f>Constants!$C$23</f>
        <v>0</v>
      </c>
      <c r="BM36">
        <f>Constants!$B$50</f>
        <v>1.57</v>
      </c>
      <c r="BN36">
        <f>_xlfn.XLOOKUP(D36,Constants!$A$34:$A$35,Constants!$B$34:$B$35)</f>
        <v>6.0000000000000001E-3</v>
      </c>
      <c r="BO36">
        <f t="shared" ref="BO36:BO53" si="54">BC36*BH36*$BM36</f>
        <v>0</v>
      </c>
      <c r="BP36">
        <f t="shared" ref="BP36:BP53" si="55">BD36*BI36*$BM36</f>
        <v>0</v>
      </c>
      <c r="BQ36">
        <f t="shared" ref="BQ36:BQ53" si="56">BE36*BJ36*$BM36</f>
        <v>0</v>
      </c>
      <c r="BR36">
        <f t="shared" ref="BR36:BR53" si="57">BF36*BK36*$BM36</f>
        <v>35.996023281534214</v>
      </c>
      <c r="BS36">
        <f t="shared" ref="BS36:BS53" si="58">BG36*BL36*$BM36</f>
        <v>0</v>
      </c>
      <c r="BT36">
        <f t="shared" ref="BT36:BT53" si="59">BG36*BN36*BM36</f>
        <v>197.99357698546893</v>
      </c>
      <c r="BU36">
        <f>SUM(BO36:BT42)/1000</f>
        <v>0.68494042966053204</v>
      </c>
    </row>
    <row r="37" spans="1:73" x14ac:dyDescent="0.2">
      <c r="A37" t="str">
        <f>'Input Scenarios'!A37</f>
        <v>VIC</v>
      </c>
      <c r="B37">
        <f>'Input Scenarios'!B37</f>
        <v>0</v>
      </c>
      <c r="C37" t="str">
        <f>'Input Scenarios'!C37</f>
        <v>Non-irrigated pasture</v>
      </c>
      <c r="D37" t="str">
        <f>'Input Scenarios'!D37</f>
        <v>wet</v>
      </c>
      <c r="E37" t="b">
        <f>'Input Scenarios'!E37</f>
        <v>0</v>
      </c>
      <c r="F37" t="str">
        <f>'Input Scenarios'!F37</f>
        <v>Limited grazing</v>
      </c>
      <c r="G37">
        <f>IF('Input Scenarios'!G37&lt;&gt;"", 'Input Scenarios'!G37, _xlfn.XLOOKUP($F37, Constants!$M$6:$M$9,Constants!N$6:N$9))</f>
        <v>0.53400000000000003</v>
      </c>
      <c r="H37">
        <f>IF('Input Scenarios'!H37&lt;&gt;"", 'Input Scenarios'!H37, _xlfn.XLOOKUP($F37, Constants!$M$6:$M$9,Constants!O$6:O$9))</f>
        <v>0.11</v>
      </c>
      <c r="I37">
        <f>IF('Input Scenarios'!I37&lt;&gt;"", 'Input Scenarios'!I37, _xlfn.XLOOKUP($F37, Constants!$M$6:$M$9,Constants!P$6:P$9))</f>
        <v>0.35599999999999998</v>
      </c>
      <c r="J37">
        <f>'Input Scenarios'!J37</f>
        <v>0.25</v>
      </c>
      <c r="K37">
        <f>'Input Scenarios'!K37</f>
        <v>0.25</v>
      </c>
      <c r="L37">
        <f>'Input Scenarios'!L37</f>
        <v>0.25</v>
      </c>
      <c r="M37">
        <f>'Input Scenarios'!M37</f>
        <v>0.25</v>
      </c>
      <c r="N37">
        <f>'Input Scenarios'!N37</f>
        <v>0.25</v>
      </c>
      <c r="O37">
        <f>'Input Scenarios'!O37</f>
        <v>0.25</v>
      </c>
      <c r="P37">
        <f>'Input Scenarios'!P37</f>
        <v>0.25</v>
      </c>
      <c r="Q37">
        <f>'Input Scenarios'!Q37</f>
        <v>0.25</v>
      </c>
      <c r="R37" t="b">
        <f>'Input Scenarios'!R37</f>
        <v>1</v>
      </c>
      <c r="S37">
        <f>IF('Input Scenarios'!S37&lt;&gt;"", 'Input Scenarios'!S37, IF(R37, Constants!$B$38, 0))</f>
        <v>0.2</v>
      </c>
      <c r="T37" t="str">
        <f>IF('Input Scenarios'!T37&lt;&gt;"", 'Input Scenarios'!T37, "")</f>
        <v/>
      </c>
      <c r="U37">
        <f>IF('Input Scenarios'!U37&lt;&gt;"", 'Input Scenarios'!U37, IF(W37&lt;&gt;"", "", Constants!$B$39))</f>
        <v>4</v>
      </c>
      <c r="V37">
        <f>IF('Input Scenarios'!V37&lt;&gt;"", 'Input Scenarios'!V37, IF(W37&lt;&gt;"", "", Constants!$B$40))</f>
        <v>3.3</v>
      </c>
      <c r="W37" t="str">
        <f>IF('Input Scenarios'!W37&lt;&gt;"", 'Input Scenarios'!W37, "")</f>
        <v/>
      </c>
      <c r="X37" t="str">
        <f>'Input Scenarios'!X37</f>
        <v>Jersey</v>
      </c>
      <c r="Y37" t="str">
        <f>'Input Scenarios'!Y37</f>
        <v>heifersGt1</v>
      </c>
      <c r="Z37">
        <f>'Input Scenarios'!Z37</f>
        <v>200</v>
      </c>
      <c r="AA37">
        <f>IF('Input Scenarios'!AA37&lt;&gt;"", 'Input Scenarios'!AA37, _xlfn.XLOOKUP(Y37,Constants!$J$6:$J$12,Constants!$K$6:$K$12))</f>
        <v>365</v>
      </c>
      <c r="AB37">
        <f>IF('Input Scenarios'!AB37&lt;&gt;"", 'Input Scenarios'!AB37, INDEX(Constants!$B$2:$H$11, MATCH(X37, Constants!$A$2:$A$11, 0), MATCH(Y37,Constants!$B$1:$H$1, 0)))</f>
        <v>275</v>
      </c>
      <c r="AC37">
        <f>IF('Input Scenarios'!AC37&lt;&gt;"", 'Input Scenarios'!AC37, _xlfn.XLOOKUP(Y37, Constants!$B$13:$H$13, Constants!$B$15:$H$15, ""))</f>
        <v>0.6</v>
      </c>
      <c r="AD37">
        <f>IF('Input Scenarios'!AD37&lt;&gt;"", 'Input Scenarios'!AD37, Constants!$B$45)</f>
        <v>0.75</v>
      </c>
      <c r="AE37">
        <f>IF('Input Scenarios'!AE37&lt;&gt;"", 'Input Scenarios'!AE37, Constants!$B$46)</f>
        <v>0.2</v>
      </c>
      <c r="AF37">
        <f t="shared" ref="AF37:AI56" si="60">IF($Y37="milkingCows",($H37*J37)+($I37*N37), 0)</f>
        <v>0</v>
      </c>
      <c r="AG37">
        <f t="shared" si="37"/>
        <v>0</v>
      </c>
      <c r="AH37">
        <f t="shared" si="37"/>
        <v>0</v>
      </c>
      <c r="AI37">
        <f t="shared" si="37"/>
        <v>0</v>
      </c>
      <c r="AJ37">
        <f t="shared" ref="AJ37:AJ56" si="61">IF($Y37="milkingCows",G37, 1)</f>
        <v>1</v>
      </c>
      <c r="AK37">
        <f t="shared" ref="AK37:AK41" si="62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si="49"/>
        <v>0.5948500000000001</v>
      </c>
      <c r="AQ37">
        <f t="shared" si="50"/>
        <v>0</v>
      </c>
      <c r="AR37">
        <f>IF(Y37="milkingCows", Constants!$P$2, Constants!$P$3)</f>
        <v>1</v>
      </c>
      <c r="AS37">
        <f t="shared" si="51"/>
        <v>5.8848695156249997</v>
      </c>
      <c r="AT37">
        <f t="shared" si="52"/>
        <v>1.1761247961530272</v>
      </c>
      <c r="AU37">
        <f>_xlfn.XLOOKUP(Y37, Constants!$B$13:$H$13, Constants!$B$14:$H$14, "")</f>
        <v>590</v>
      </c>
      <c r="AV37">
        <f t="shared" si="53"/>
        <v>0.46610169491525422</v>
      </c>
      <c r="AW37">
        <f>Constants!$B$55</f>
        <v>6.25</v>
      </c>
      <c r="AX37">
        <f t="shared" si="1"/>
        <v>1.1565345708946049E-2</v>
      </c>
      <c r="AY37">
        <f t="shared" si="2"/>
        <v>1.1769739031249999</v>
      </c>
      <c r="AZ37">
        <f t="shared" si="18"/>
        <v>0.17556194320862142</v>
      </c>
      <c r="BA37" t="str">
        <f>IF(ISNUMBER(FIND("PreWeaned",Y37)),_xlfn.XLOOKUP(Y37,Constants!$J$2:$J$3,Constants!$M$2:$M$3),"")</f>
        <v/>
      </c>
      <c r="BB37">
        <f t="shared" si="3"/>
        <v>12816.021854229364</v>
      </c>
      <c r="BC37">
        <f t="shared" si="4"/>
        <v>0</v>
      </c>
      <c r="BD37">
        <f t="shared" si="5"/>
        <v>0</v>
      </c>
      <c r="BE37">
        <f t="shared" si="6"/>
        <v>0</v>
      </c>
      <c r="BF37">
        <f t="shared" si="7"/>
        <v>0</v>
      </c>
      <c r="BG37">
        <f t="shared" si="8"/>
        <v>12816.021854229364</v>
      </c>
      <c r="BH37">
        <f>Constants!$C$19</f>
        <v>0</v>
      </c>
      <c r="BI37">
        <f>Constants!$C$20</f>
        <v>0</v>
      </c>
      <c r="BJ37">
        <f>Constants!$C$21</f>
        <v>0</v>
      </c>
      <c r="BK37">
        <f>Constants!$C$22</f>
        <v>5.0000000000000001E-3</v>
      </c>
      <c r="BL37">
        <f>Constants!$C$23</f>
        <v>0</v>
      </c>
      <c r="BM37">
        <f>Constants!$B$50</f>
        <v>1.57</v>
      </c>
      <c r="BN37">
        <f>_xlfn.XLOOKUP(D37,Constants!$A$34:$A$35,Constants!$B$34:$B$35)</f>
        <v>6.0000000000000001E-3</v>
      </c>
      <c r="BO37">
        <f t="shared" si="54"/>
        <v>0</v>
      </c>
      <c r="BP37">
        <f t="shared" si="55"/>
        <v>0</v>
      </c>
      <c r="BQ37">
        <f t="shared" si="56"/>
        <v>0</v>
      </c>
      <c r="BR37">
        <f t="shared" si="57"/>
        <v>0</v>
      </c>
      <c r="BS37">
        <f t="shared" si="58"/>
        <v>0</v>
      </c>
      <c r="BT37">
        <f t="shared" si="59"/>
        <v>120.72692586684062</v>
      </c>
    </row>
    <row r="38" spans="1:73" x14ac:dyDescent="0.2">
      <c r="A38" t="str">
        <f>'Input Scenarios'!A38</f>
        <v>VIC</v>
      </c>
      <c r="B38">
        <f>'Input Scenarios'!B38</f>
        <v>0</v>
      </c>
      <c r="C38" t="str">
        <f>'Input Scenarios'!C38</f>
        <v>Non-irrigated pasture</v>
      </c>
      <c r="D38" t="str">
        <f>'Input Scenarios'!D38</f>
        <v>wet</v>
      </c>
      <c r="E38" t="b">
        <f>'Input Scenarios'!E38</f>
        <v>0</v>
      </c>
      <c r="F38" t="str">
        <f>'Input Scenarios'!F38</f>
        <v>Limited grazing</v>
      </c>
      <c r="G38">
        <f>IF('Input Scenarios'!G38&lt;&gt;"", 'Input Scenarios'!G38, _xlfn.XLOOKUP($F38, Constants!$M$6:$M$9,Constants!N$6:N$9))</f>
        <v>0.53400000000000003</v>
      </c>
      <c r="H38">
        <f>IF('Input Scenarios'!H38&lt;&gt;"", 'Input Scenarios'!H38, _xlfn.XLOOKUP($F38, Constants!$M$6:$M$9,Constants!O$6:O$9))</f>
        <v>0.11</v>
      </c>
      <c r="I38">
        <f>IF('Input Scenarios'!I38&lt;&gt;"", 'Input Scenarios'!I38, _xlfn.XLOOKUP($F38, Constants!$M$6:$M$9,Constants!P$6:P$9))</f>
        <v>0.35599999999999998</v>
      </c>
      <c r="J38">
        <f>'Input Scenarios'!J38</f>
        <v>0.25</v>
      </c>
      <c r="K38">
        <f>'Input Scenarios'!K38</f>
        <v>0.25</v>
      </c>
      <c r="L38">
        <f>'Input Scenarios'!L38</f>
        <v>0.25</v>
      </c>
      <c r="M38">
        <f>'Input Scenarios'!M38</f>
        <v>0.25</v>
      </c>
      <c r="N38">
        <f>'Input Scenarios'!N38</f>
        <v>0.25</v>
      </c>
      <c r="O38">
        <f>'Input Scenarios'!O38</f>
        <v>0.25</v>
      </c>
      <c r="P38">
        <f>'Input Scenarios'!P38</f>
        <v>0.25</v>
      </c>
      <c r="Q38">
        <f>'Input Scenarios'!Q38</f>
        <v>0.25</v>
      </c>
      <c r="R38" t="b">
        <f>'Input Scenarios'!R38</f>
        <v>1</v>
      </c>
      <c r="S38">
        <f>IF('Input Scenarios'!S38&lt;&gt;"", 'Input Scenarios'!S38, IF(R38, Constants!$B$38, 0))</f>
        <v>0.2</v>
      </c>
      <c r="T38" t="str">
        <f>IF('Input Scenarios'!T38&lt;&gt;"", 'Input Scenarios'!T38, "")</f>
        <v/>
      </c>
      <c r="U38">
        <f>IF('Input Scenarios'!U38&lt;&gt;"", 'Input Scenarios'!U38, IF(W38&lt;&gt;"", "", Constants!$B$39))</f>
        <v>4</v>
      </c>
      <c r="V38">
        <f>IF('Input Scenarios'!V38&lt;&gt;"", 'Input Scenarios'!V38, IF(W38&lt;&gt;"", "", Constants!$B$40))</f>
        <v>3.3</v>
      </c>
      <c r="W38" t="str">
        <f>IF('Input Scenarios'!W38&lt;&gt;"", 'Input Scenarios'!W38, "")</f>
        <v/>
      </c>
      <c r="X38" t="str">
        <f>'Input Scenarios'!X38</f>
        <v>Jersey</v>
      </c>
      <c r="Y38" t="str">
        <f>'Input Scenarios'!Y38</f>
        <v>heifersLt1PreWeaned</v>
      </c>
      <c r="Z38">
        <f>'Input Scenarios'!Z38</f>
        <v>200</v>
      </c>
      <c r="AA38">
        <f>IF('Input Scenarios'!AA38&lt;&gt;"", 'Input Scenarios'!AA38, _xlfn.XLOOKUP(Y38,Constants!$J$6:$J$12,Constants!$K$6:$K$12))</f>
        <v>84</v>
      </c>
      <c r="AB38">
        <f>IF('Input Scenarios'!AB38&lt;&gt;"", 'Input Scenarios'!AB38, INDEX(Constants!$B$2:$H$11, MATCH(X38, Constants!$A$2:$A$11, 0), MATCH(Y38,Constants!$B$1:$H$1, 0)))</f>
        <v>115</v>
      </c>
      <c r="AC38" t="str">
        <f>IF('Input Scenarios'!AC38&lt;&gt;"", 'Input Scenarios'!AC38, _xlfn.XLOOKUP(Y38, Constants!$B$13:$H$13, Constants!$B$15:$H$15, ""))</f>
        <v/>
      </c>
      <c r="AD38">
        <f>IF('Input Scenarios'!AD38&lt;&gt;"", 'Input Scenarios'!AD38, Constants!$B$45)</f>
        <v>0.75</v>
      </c>
      <c r="AE38">
        <f>IF('Input Scenarios'!AE38&lt;&gt;"", 'Input Scenarios'!AE38, Constants!$B$46)</f>
        <v>0.2</v>
      </c>
      <c r="AF38">
        <f t="shared" si="60"/>
        <v>0</v>
      </c>
      <c r="AG38">
        <f t="shared" si="37"/>
        <v>0</v>
      </c>
      <c r="AH38">
        <f t="shared" si="37"/>
        <v>0</v>
      </c>
      <c r="AI38">
        <f t="shared" si="37"/>
        <v>0</v>
      </c>
      <c r="AJ38">
        <f t="shared" si="61"/>
        <v>1</v>
      </c>
      <c r="AK38">
        <f t="shared" si="62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49"/>
        <v>0.5948500000000001</v>
      </c>
      <c r="AQ38">
        <f t="shared" si="50"/>
        <v>0</v>
      </c>
      <c r="AR38">
        <f>IF(Y38="milkingCows", Constants!$P$2, Constants!$P$3)</f>
        <v>1</v>
      </c>
      <c r="AS38" t="str">
        <f t="shared" si="51"/>
        <v/>
      </c>
      <c r="AT38" t="str">
        <f t="shared" si="52"/>
        <v/>
      </c>
      <c r="AU38" t="str">
        <f>_xlfn.XLOOKUP(Y38, Constants!$B$13:$H$13, Constants!$B$14:$H$14, "")</f>
        <v/>
      </c>
      <c r="AV38" t="str">
        <f t="shared" si="53"/>
        <v/>
      </c>
      <c r="AW38">
        <f>Constants!$B$55</f>
        <v>6.25</v>
      </c>
      <c r="AX38" t="str">
        <f t="shared" si="1"/>
        <v/>
      </c>
      <c r="AY38" t="str">
        <f t="shared" si="2"/>
        <v/>
      </c>
      <c r="AZ38" t="str">
        <f t="shared" si="18"/>
        <v/>
      </c>
      <c r="BA38">
        <f>IF(ISNUMBER(FIND("PreWeaned",Y38)),_xlfn.XLOOKUP(Y38,Constants!$J$2:$J$3,Constants!$M$2:$M$3),"")</f>
        <v>1.37E-2</v>
      </c>
      <c r="BB38">
        <f t="shared" si="3"/>
        <v>230.16000000000003</v>
      </c>
      <c r="BC38">
        <f t="shared" si="4"/>
        <v>0</v>
      </c>
      <c r="BD38">
        <f t="shared" si="5"/>
        <v>0</v>
      </c>
      <c r="BE38">
        <f t="shared" si="6"/>
        <v>0</v>
      </c>
      <c r="BF38">
        <f t="shared" si="7"/>
        <v>0</v>
      </c>
      <c r="BG38">
        <f t="shared" si="8"/>
        <v>230.16000000000003</v>
      </c>
      <c r="BH38">
        <f>Constants!$C$19</f>
        <v>0</v>
      </c>
      <c r="BI38">
        <f>Constants!$C$20</f>
        <v>0</v>
      </c>
      <c r="BJ38">
        <f>Constants!$C$21</f>
        <v>0</v>
      </c>
      <c r="BK38">
        <f>Constants!$C$22</f>
        <v>5.0000000000000001E-3</v>
      </c>
      <c r="BL38">
        <f>Constants!$C$23</f>
        <v>0</v>
      </c>
      <c r="BM38">
        <f>Constants!$B$50</f>
        <v>1.57</v>
      </c>
      <c r="BN38">
        <f>_xlfn.XLOOKUP(D38,Constants!$A$34:$A$35,Constants!$B$34:$B$35)</f>
        <v>6.0000000000000001E-3</v>
      </c>
      <c r="BO38">
        <f t="shared" si="54"/>
        <v>0</v>
      </c>
      <c r="BP38">
        <f t="shared" si="55"/>
        <v>0</v>
      </c>
      <c r="BQ38">
        <f t="shared" si="56"/>
        <v>0</v>
      </c>
      <c r="BR38">
        <f t="shared" si="57"/>
        <v>0</v>
      </c>
      <c r="BS38">
        <f t="shared" si="58"/>
        <v>0</v>
      </c>
      <c r="BT38">
        <f t="shared" si="59"/>
        <v>2.1681072000000006</v>
      </c>
    </row>
    <row r="39" spans="1:73" x14ac:dyDescent="0.2">
      <c r="A39" t="str">
        <f>'Input Scenarios'!A39</f>
        <v>VIC</v>
      </c>
      <c r="B39">
        <f>'Input Scenarios'!B39</f>
        <v>0</v>
      </c>
      <c r="C39" t="str">
        <f>'Input Scenarios'!C39</f>
        <v>Non-irrigated pasture</v>
      </c>
      <c r="D39" t="str">
        <f>'Input Scenarios'!D39</f>
        <v>wet</v>
      </c>
      <c r="E39" t="b">
        <f>'Input Scenarios'!E39</f>
        <v>0</v>
      </c>
      <c r="F39" t="str">
        <f>'Input Scenarios'!F39</f>
        <v>Limited grazing</v>
      </c>
      <c r="G39">
        <f>IF('Input Scenarios'!G39&lt;&gt;"", 'Input Scenarios'!G39, _xlfn.XLOOKUP($F39, Constants!$M$6:$M$9,Constants!N$6:N$9))</f>
        <v>0.53400000000000003</v>
      </c>
      <c r="H39">
        <f>IF('Input Scenarios'!H39&lt;&gt;"", 'Input Scenarios'!H39, _xlfn.XLOOKUP($F39, Constants!$M$6:$M$9,Constants!O$6:O$9))</f>
        <v>0.11</v>
      </c>
      <c r="I39">
        <f>IF('Input Scenarios'!I39&lt;&gt;"", 'Input Scenarios'!I39, _xlfn.XLOOKUP($F39, Constants!$M$6:$M$9,Constants!P$6:P$9))</f>
        <v>0.35599999999999998</v>
      </c>
      <c r="J39">
        <f>'Input Scenarios'!J39</f>
        <v>0.25</v>
      </c>
      <c r="K39">
        <f>'Input Scenarios'!K39</f>
        <v>0.25</v>
      </c>
      <c r="L39">
        <f>'Input Scenarios'!L39</f>
        <v>0.25</v>
      </c>
      <c r="M39">
        <f>'Input Scenarios'!M39</f>
        <v>0.25</v>
      </c>
      <c r="N39">
        <f>'Input Scenarios'!N39</f>
        <v>0.25</v>
      </c>
      <c r="O39">
        <f>'Input Scenarios'!O39</f>
        <v>0.25</v>
      </c>
      <c r="P39">
        <f>'Input Scenarios'!P39</f>
        <v>0.25</v>
      </c>
      <c r="Q39">
        <f>'Input Scenarios'!Q39</f>
        <v>0.25</v>
      </c>
      <c r="R39" t="b">
        <f>'Input Scenarios'!R39</f>
        <v>1</v>
      </c>
      <c r="S39">
        <f>IF('Input Scenarios'!S39&lt;&gt;"", 'Input Scenarios'!S39, IF(R39, Constants!$B$38, 0))</f>
        <v>0.2</v>
      </c>
      <c r="T39" t="str">
        <f>IF('Input Scenarios'!T39&lt;&gt;"", 'Input Scenarios'!T39, "")</f>
        <v/>
      </c>
      <c r="U39">
        <f>IF('Input Scenarios'!U39&lt;&gt;"", 'Input Scenarios'!U39, IF(W39&lt;&gt;"", "", Constants!$B$39))</f>
        <v>4</v>
      </c>
      <c r="V39">
        <f>IF('Input Scenarios'!V39&lt;&gt;"", 'Input Scenarios'!V39, IF(W39&lt;&gt;"", "", Constants!$B$40))</f>
        <v>3.3</v>
      </c>
      <c r="W39" t="str">
        <f>IF('Input Scenarios'!W39&lt;&gt;"", 'Input Scenarios'!W39, "")</f>
        <v/>
      </c>
      <c r="X39" t="str">
        <f>'Input Scenarios'!X39</f>
        <v>Jersey</v>
      </c>
      <c r="Y39" t="str">
        <f>'Input Scenarios'!Y39</f>
        <v>heifersLt1Weaned</v>
      </c>
      <c r="Z39">
        <f>'Input Scenarios'!Z39</f>
        <v>200</v>
      </c>
      <c r="AA39">
        <f>IF('Input Scenarios'!AA39&lt;&gt;"", 'Input Scenarios'!AA39, _xlfn.XLOOKUP(Y39,Constants!$J$6:$J$12,Constants!$K$6:$K$12))</f>
        <v>281</v>
      </c>
      <c r="AB39">
        <f>IF('Input Scenarios'!AB39&lt;&gt;"", 'Input Scenarios'!AB39, INDEX(Constants!$B$2:$H$11, MATCH(X39, Constants!$A$2:$A$11, 0), MATCH(Y39,Constants!$B$1:$H$1, 0)))</f>
        <v>115</v>
      </c>
      <c r="AC39">
        <f>IF('Input Scenarios'!AC39&lt;&gt;"", 'Input Scenarios'!AC39, _xlfn.XLOOKUP(Y39, Constants!$B$13:$H$13, Constants!$B$15:$H$15, ""))</f>
        <v>0.56999999999999995</v>
      </c>
      <c r="AD39">
        <f>IF('Input Scenarios'!AD39&lt;&gt;"", 'Input Scenarios'!AD39, Constants!$B$45)</f>
        <v>0.75</v>
      </c>
      <c r="AE39">
        <f>IF('Input Scenarios'!AE39&lt;&gt;"", 'Input Scenarios'!AE39, Constants!$B$46)</f>
        <v>0.2</v>
      </c>
      <c r="AF39">
        <f t="shared" si="60"/>
        <v>0</v>
      </c>
      <c r="AG39">
        <f t="shared" si="37"/>
        <v>0</v>
      </c>
      <c r="AH39">
        <f t="shared" si="37"/>
        <v>0</v>
      </c>
      <c r="AI39">
        <f t="shared" si="37"/>
        <v>0</v>
      </c>
      <c r="AJ39">
        <f t="shared" si="61"/>
        <v>1</v>
      </c>
      <c r="AK39">
        <f t="shared" si="62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49"/>
        <v>0.5948500000000001</v>
      </c>
      <c r="AQ39">
        <f t="shared" si="50"/>
        <v>0</v>
      </c>
      <c r="AR39">
        <f>IF(Y39="milkingCows", Constants!$P$2, Constants!$P$3)</f>
        <v>1</v>
      </c>
      <c r="AS39">
        <f t="shared" si="51"/>
        <v>3.4308856302250001</v>
      </c>
      <c r="AT39">
        <f t="shared" si="52"/>
        <v>1.2262028975982771</v>
      </c>
      <c r="AU39">
        <f>_xlfn.XLOOKUP(Y39, Constants!$B$13:$H$13, Constants!$B$14:$H$14, "")</f>
        <v>590</v>
      </c>
      <c r="AV39">
        <f t="shared" si="53"/>
        <v>0.19491525423728814</v>
      </c>
      <c r="AW39">
        <f>Constants!$B$55</f>
        <v>6.25</v>
      </c>
      <c r="AX39">
        <f t="shared" si="1"/>
        <v>1.5533805105434794E-2</v>
      </c>
      <c r="AY39">
        <f t="shared" si="2"/>
        <v>0.68617712604500003</v>
      </c>
      <c r="AZ39">
        <f t="shared" si="18"/>
        <v>9.3636467361806544E-2</v>
      </c>
      <c r="BA39" t="str">
        <f>IF(ISNUMBER(FIND("PreWeaned",Y39)),_xlfn.XLOOKUP(Y39,Constants!$J$2:$J$3,Constants!$M$2:$M$3),"")</f>
        <v/>
      </c>
      <c r="BB39">
        <f t="shared" si="3"/>
        <v>5262.3694657335282</v>
      </c>
      <c r="BC39">
        <f t="shared" si="4"/>
        <v>0</v>
      </c>
      <c r="BD39">
        <f t="shared" si="5"/>
        <v>0</v>
      </c>
      <c r="BE39">
        <f t="shared" si="6"/>
        <v>0</v>
      </c>
      <c r="BF39">
        <f t="shared" si="7"/>
        <v>0</v>
      </c>
      <c r="BG39">
        <f t="shared" si="8"/>
        <v>5262.3694657335282</v>
      </c>
      <c r="BH39">
        <f>Constants!$C$19</f>
        <v>0</v>
      </c>
      <c r="BI39">
        <f>Constants!$C$20</f>
        <v>0</v>
      </c>
      <c r="BJ39">
        <f>Constants!$C$21</f>
        <v>0</v>
      </c>
      <c r="BK39">
        <f>Constants!$C$22</f>
        <v>5.0000000000000001E-3</v>
      </c>
      <c r="BL39">
        <f>Constants!$C$23</f>
        <v>0</v>
      </c>
      <c r="BM39">
        <f>Constants!$B$50</f>
        <v>1.57</v>
      </c>
      <c r="BN39">
        <f>_xlfn.XLOOKUP(D39,Constants!$A$34:$A$35,Constants!$B$34:$B$35)</f>
        <v>6.0000000000000001E-3</v>
      </c>
      <c r="BO39">
        <f t="shared" si="54"/>
        <v>0</v>
      </c>
      <c r="BP39">
        <f t="shared" si="55"/>
        <v>0</v>
      </c>
      <c r="BQ39">
        <f t="shared" si="56"/>
        <v>0</v>
      </c>
      <c r="BR39">
        <f t="shared" si="57"/>
        <v>0</v>
      </c>
      <c r="BS39">
        <f t="shared" si="58"/>
        <v>0</v>
      </c>
      <c r="BT39">
        <f t="shared" si="59"/>
        <v>49.571520367209843</v>
      </c>
    </row>
    <row r="40" spans="1:73" x14ac:dyDescent="0.2">
      <c r="A40" t="str">
        <f>'Input Scenarios'!A40</f>
        <v>VIC</v>
      </c>
      <c r="B40">
        <f>'Input Scenarios'!B40</f>
        <v>0</v>
      </c>
      <c r="C40" t="str">
        <f>'Input Scenarios'!C40</f>
        <v>Non-irrigated pasture</v>
      </c>
      <c r="D40" t="str">
        <f>'Input Scenarios'!D40</f>
        <v>wet</v>
      </c>
      <c r="E40" t="b">
        <f>'Input Scenarios'!E40</f>
        <v>0</v>
      </c>
      <c r="F40" t="str">
        <f>'Input Scenarios'!F40</f>
        <v>Limited grazing</v>
      </c>
      <c r="G40">
        <f>IF('Input Scenarios'!G40&lt;&gt;"", 'Input Scenarios'!G40, _xlfn.XLOOKUP($F40, Constants!$M$6:$M$9,Constants!N$6:N$9))</f>
        <v>0.53400000000000003</v>
      </c>
      <c r="H40">
        <f>IF('Input Scenarios'!H40&lt;&gt;"", 'Input Scenarios'!H40, _xlfn.XLOOKUP($F40, Constants!$M$6:$M$9,Constants!O$6:O$9))</f>
        <v>0.11</v>
      </c>
      <c r="I40">
        <f>IF('Input Scenarios'!I40&lt;&gt;"", 'Input Scenarios'!I40, _xlfn.XLOOKUP($F40, Constants!$M$6:$M$9,Constants!P$6:P$9))</f>
        <v>0.35599999999999998</v>
      </c>
      <c r="J40">
        <f>'Input Scenarios'!J40</f>
        <v>0.25</v>
      </c>
      <c r="K40">
        <f>'Input Scenarios'!K40</f>
        <v>0.25</v>
      </c>
      <c r="L40">
        <f>'Input Scenarios'!L40</f>
        <v>0.25</v>
      </c>
      <c r="M40">
        <f>'Input Scenarios'!M40</f>
        <v>0.25</v>
      </c>
      <c r="N40">
        <f>'Input Scenarios'!N40</f>
        <v>0.25</v>
      </c>
      <c r="O40">
        <f>'Input Scenarios'!O40</f>
        <v>0.25</v>
      </c>
      <c r="P40">
        <f>'Input Scenarios'!P40</f>
        <v>0.25</v>
      </c>
      <c r="Q40">
        <f>'Input Scenarios'!Q40</f>
        <v>0.25</v>
      </c>
      <c r="R40" t="b">
        <f>'Input Scenarios'!R40</f>
        <v>1</v>
      </c>
      <c r="S40">
        <f>IF('Input Scenarios'!S40&lt;&gt;"", 'Input Scenarios'!S40, IF(R40, Constants!$B$38, 0))</f>
        <v>0.2</v>
      </c>
      <c r="T40" t="str">
        <f>IF('Input Scenarios'!T40&lt;&gt;"", 'Input Scenarios'!T40, "")</f>
        <v/>
      </c>
      <c r="U40">
        <f>IF('Input Scenarios'!U40&lt;&gt;"", 'Input Scenarios'!U40, IF(W40&lt;&gt;"", "", Constants!$B$39))</f>
        <v>4</v>
      </c>
      <c r="V40">
        <f>IF('Input Scenarios'!V40&lt;&gt;"", 'Input Scenarios'!V40, IF(W40&lt;&gt;"", "", Constants!$B$40))</f>
        <v>3.3</v>
      </c>
      <c r="W40" t="str">
        <f>IF('Input Scenarios'!W40&lt;&gt;"", 'Input Scenarios'!W40, "")</f>
        <v/>
      </c>
      <c r="X40" t="str">
        <f>'Input Scenarios'!X40</f>
        <v>Jersey</v>
      </c>
      <c r="Y40" t="str">
        <f>'Input Scenarios'!Y40</f>
        <v>bullsGt1</v>
      </c>
      <c r="Z40">
        <f>'Input Scenarios'!Z40</f>
        <v>200</v>
      </c>
      <c r="AA40">
        <f>IF('Input Scenarios'!AA40&lt;&gt;"", 'Input Scenarios'!AA40, _xlfn.XLOOKUP(Y40,Constants!$J$6:$J$12,Constants!$K$6:$K$12))</f>
        <v>365</v>
      </c>
      <c r="AB40">
        <f>IF('Input Scenarios'!AB40&lt;&gt;"", 'Input Scenarios'!AB40, INDEX(Constants!$B$2:$H$11, MATCH(X40, Constants!$A$2:$A$11, 0), MATCH(Y40,Constants!$B$1:$H$1, 0)))</f>
        <v>600</v>
      </c>
      <c r="AC40">
        <f>IF('Input Scenarios'!AC40&lt;&gt;"", 'Input Scenarios'!AC40, _xlfn.XLOOKUP(Y40, Constants!$B$13:$H$13, Constants!$B$15:$H$15, ""))</f>
        <v>0.1</v>
      </c>
      <c r="AD40">
        <f>IF('Input Scenarios'!AD40&lt;&gt;"", 'Input Scenarios'!AD40, Constants!$B$45)</f>
        <v>0.75</v>
      </c>
      <c r="AE40">
        <f>IF('Input Scenarios'!AE40&lt;&gt;"", 'Input Scenarios'!AE40, Constants!$B$46)</f>
        <v>0.2</v>
      </c>
      <c r="AF40">
        <f t="shared" si="60"/>
        <v>0</v>
      </c>
      <c r="AG40">
        <f t="shared" si="37"/>
        <v>0</v>
      </c>
      <c r="AH40">
        <f t="shared" si="37"/>
        <v>0</v>
      </c>
      <c r="AI40">
        <f t="shared" si="37"/>
        <v>0</v>
      </c>
      <c r="AJ40">
        <f t="shared" si="61"/>
        <v>1</v>
      </c>
      <c r="AK40">
        <f t="shared" si="62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49"/>
        <v>0.5948500000000001</v>
      </c>
      <c r="AQ40">
        <f t="shared" si="50"/>
        <v>0</v>
      </c>
      <c r="AR40">
        <f>IF(Y40="milkingCows", Constants!$P$2, Constants!$P$3)</f>
        <v>1</v>
      </c>
      <c r="AS40">
        <f t="shared" si="51"/>
        <v>9.0270202499999979</v>
      </c>
      <c r="AT40">
        <f t="shared" si="52"/>
        <v>1.0213029780639273</v>
      </c>
      <c r="AU40">
        <f>_xlfn.XLOOKUP(Y40, Constants!$B$13:$H$13, Constants!$B$14:$H$14, "")</f>
        <v>770</v>
      </c>
      <c r="AV40">
        <f t="shared" si="53"/>
        <v>0.77922077922077926</v>
      </c>
      <c r="AW40">
        <f>Constants!$B$55</f>
        <v>6.25</v>
      </c>
      <c r="AX40">
        <f t="shared" ref="AX40:AX63" si="63">IFERROR((((0.212 - (0.008*(AT40-2)) - (0.14-0.008*(AT40-2))/(1+EXP(-6*(AV40-0.4)))) * AC40 * 0.92)/AW40) + (0.032*AK40*AL40)/6.38, "")</f>
        <v>1.2626203146474679E-3</v>
      </c>
      <c r="AY40">
        <f t="shared" ref="AY40:AY63" si="64">IFERROR(AE40*AS40, "")</f>
        <v>1.8054040499999997</v>
      </c>
      <c r="AZ40">
        <f t="shared" si="18"/>
        <v>0.28546836331241399</v>
      </c>
      <c r="BA40" t="str">
        <f>IF(ISNUMBER(FIND("PreWeaned",Y40)),_xlfn.XLOOKUP(Y40,Constants!$J$2:$J$3,Constants!$M$2:$M$3),"")</f>
        <v/>
      </c>
      <c r="BB40">
        <f t="shared" ref="BB40:BB63" si="65">SUM(AZ40:BA40)*Z40*AA40</f>
        <v>20839.19052180622</v>
      </c>
      <c r="BC40">
        <f t="shared" ref="BC40:BC63" si="66">$BB40*AF40</f>
        <v>0</v>
      </c>
      <c r="BD40">
        <f t="shared" ref="BD40:BD63" si="67">$BB40*AG40</f>
        <v>0</v>
      </c>
      <c r="BE40">
        <f t="shared" ref="BE40:BE63" si="68">$BB40*AH40</f>
        <v>0</v>
      </c>
      <c r="BF40">
        <f t="shared" ref="BF40:BF63" si="69">$BB40*AI40</f>
        <v>0</v>
      </c>
      <c r="BG40">
        <f t="shared" ref="BG40:BG63" si="70">$BB40*AJ40</f>
        <v>20839.19052180622</v>
      </c>
      <c r="BH40">
        <f>Constants!$C$19</f>
        <v>0</v>
      </c>
      <c r="BI40">
        <f>Constants!$C$20</f>
        <v>0</v>
      </c>
      <c r="BJ40">
        <f>Constants!$C$21</f>
        <v>0</v>
      </c>
      <c r="BK40">
        <f>Constants!$C$22</f>
        <v>5.0000000000000001E-3</v>
      </c>
      <c r="BL40">
        <f>Constants!$C$23</f>
        <v>0</v>
      </c>
      <c r="BM40">
        <f>Constants!$B$50</f>
        <v>1.57</v>
      </c>
      <c r="BN40">
        <f>_xlfn.XLOOKUP(D40,Constants!$A$34:$A$35,Constants!$B$34:$B$35)</f>
        <v>6.0000000000000001E-3</v>
      </c>
      <c r="BO40">
        <f t="shared" si="54"/>
        <v>0</v>
      </c>
      <c r="BP40">
        <f t="shared" si="55"/>
        <v>0</v>
      </c>
      <c r="BQ40">
        <f t="shared" si="56"/>
        <v>0</v>
      </c>
      <c r="BR40">
        <f t="shared" si="57"/>
        <v>0</v>
      </c>
      <c r="BS40">
        <f t="shared" si="58"/>
        <v>0</v>
      </c>
      <c r="BT40">
        <f t="shared" si="59"/>
        <v>196.30517471541461</v>
      </c>
    </row>
    <row r="41" spans="1:73" x14ac:dyDescent="0.2">
      <c r="A41" t="str">
        <f>'Input Scenarios'!A41</f>
        <v>VIC</v>
      </c>
      <c r="B41">
        <f>'Input Scenarios'!B41</f>
        <v>0</v>
      </c>
      <c r="C41" t="str">
        <f>'Input Scenarios'!C41</f>
        <v>Non-irrigated pasture</v>
      </c>
      <c r="D41" t="str">
        <f>'Input Scenarios'!D41</f>
        <v>wet</v>
      </c>
      <c r="E41" t="b">
        <f>'Input Scenarios'!E41</f>
        <v>0</v>
      </c>
      <c r="F41" t="str">
        <f>'Input Scenarios'!F41</f>
        <v>Limited grazing</v>
      </c>
      <c r="G41">
        <f>IF('Input Scenarios'!G41&lt;&gt;"", 'Input Scenarios'!G41, _xlfn.XLOOKUP($F41, Constants!$M$6:$M$9,Constants!N$6:N$9))</f>
        <v>0.53400000000000003</v>
      </c>
      <c r="H41">
        <f>IF('Input Scenarios'!H41&lt;&gt;"", 'Input Scenarios'!H41, _xlfn.XLOOKUP($F41, Constants!$M$6:$M$9,Constants!O$6:O$9))</f>
        <v>0.11</v>
      </c>
      <c r="I41">
        <f>IF('Input Scenarios'!I41&lt;&gt;"", 'Input Scenarios'!I41, _xlfn.XLOOKUP($F41, Constants!$M$6:$M$9,Constants!P$6:P$9))</f>
        <v>0.35599999999999998</v>
      </c>
      <c r="J41">
        <f>'Input Scenarios'!J41</f>
        <v>0.25</v>
      </c>
      <c r="K41">
        <f>'Input Scenarios'!K41</f>
        <v>0.25</v>
      </c>
      <c r="L41">
        <f>'Input Scenarios'!L41</f>
        <v>0.25</v>
      </c>
      <c r="M41">
        <f>'Input Scenarios'!M41</f>
        <v>0.25</v>
      </c>
      <c r="N41">
        <f>'Input Scenarios'!N41</f>
        <v>0.25</v>
      </c>
      <c r="O41">
        <f>'Input Scenarios'!O41</f>
        <v>0.25</v>
      </c>
      <c r="P41">
        <f>'Input Scenarios'!P41</f>
        <v>0.25</v>
      </c>
      <c r="Q41">
        <f>'Input Scenarios'!Q41</f>
        <v>0.25</v>
      </c>
      <c r="R41" t="b">
        <f>'Input Scenarios'!R41</f>
        <v>1</v>
      </c>
      <c r="S41">
        <f>IF('Input Scenarios'!S41&lt;&gt;"", 'Input Scenarios'!S41, IF(R41, Constants!$B$38, 0))</f>
        <v>0.2</v>
      </c>
      <c r="T41" t="str">
        <f>IF('Input Scenarios'!T41&lt;&gt;"", 'Input Scenarios'!T41, "")</f>
        <v/>
      </c>
      <c r="U41">
        <f>IF('Input Scenarios'!U41&lt;&gt;"", 'Input Scenarios'!U41, IF(W41&lt;&gt;"", "", Constants!$B$39))</f>
        <v>4</v>
      </c>
      <c r="V41">
        <f>IF('Input Scenarios'!V41&lt;&gt;"", 'Input Scenarios'!V41, IF(W41&lt;&gt;"", "", Constants!$B$40))</f>
        <v>3.3</v>
      </c>
      <c r="W41" t="str">
        <f>IF('Input Scenarios'!W41&lt;&gt;"", 'Input Scenarios'!W41, "")</f>
        <v/>
      </c>
      <c r="X41" t="str">
        <f>'Input Scenarios'!X41</f>
        <v>Jersey</v>
      </c>
      <c r="Y41" t="str">
        <f>'Input Scenarios'!Y41</f>
        <v>bullsLt1PreWeaned</v>
      </c>
      <c r="Z41">
        <f>'Input Scenarios'!Z41</f>
        <v>200</v>
      </c>
      <c r="AA41">
        <f>IF('Input Scenarios'!AA41&lt;&gt;"", 'Input Scenarios'!AA41, _xlfn.XLOOKUP(Y41,Constants!$J$6:$J$12,Constants!$K$6:$K$12))</f>
        <v>84</v>
      </c>
      <c r="AB41">
        <f>IF('Input Scenarios'!AB41&lt;&gt;"", 'Input Scenarios'!AB41, INDEX(Constants!$B$2:$H$11, MATCH(X41, Constants!$A$2:$A$11, 0), MATCH(Y41,Constants!$B$1:$H$1, 0)))</f>
        <v>225</v>
      </c>
      <c r="AC41" t="str">
        <f>IF('Input Scenarios'!AC41&lt;&gt;"", 'Input Scenarios'!AC41, _xlfn.XLOOKUP(Y41, Constants!$B$13:$H$13, Constants!$B$15:$H$15, ""))</f>
        <v/>
      </c>
      <c r="AD41">
        <f>IF('Input Scenarios'!AD41&lt;&gt;"", 'Input Scenarios'!AD41, Constants!$B$45)</f>
        <v>0.75</v>
      </c>
      <c r="AE41">
        <f>IF('Input Scenarios'!AE41&lt;&gt;"", 'Input Scenarios'!AE41, Constants!$B$46)</f>
        <v>0.2</v>
      </c>
      <c r="AF41">
        <f t="shared" si="60"/>
        <v>0</v>
      </c>
      <c r="AG41">
        <f t="shared" si="37"/>
        <v>0</v>
      </c>
      <c r="AH41">
        <f t="shared" si="37"/>
        <v>0</v>
      </c>
      <c r="AI41">
        <f t="shared" si="37"/>
        <v>0</v>
      </c>
      <c r="AJ41">
        <f t="shared" si="61"/>
        <v>1</v>
      </c>
      <c r="AK41">
        <f t="shared" si="62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49"/>
        <v>0.5948500000000001</v>
      </c>
      <c r="AQ41">
        <f t="shared" si="50"/>
        <v>0</v>
      </c>
      <c r="AR41">
        <f>IF(Y41="milkingCows", Constants!$P$2, Constants!$P$3)</f>
        <v>1</v>
      </c>
      <c r="AS41" t="str">
        <f t="shared" si="51"/>
        <v/>
      </c>
      <c r="AT41" t="str">
        <f t="shared" si="52"/>
        <v/>
      </c>
      <c r="AU41" t="str">
        <f>_xlfn.XLOOKUP(Y41, Constants!$B$13:$H$13, Constants!$B$14:$H$14, "")</f>
        <v/>
      </c>
      <c r="AV41" t="str">
        <f t="shared" si="53"/>
        <v/>
      </c>
      <c r="AW41">
        <f>Constants!$B$55</f>
        <v>6.25</v>
      </c>
      <c r="AX41" t="str">
        <f t="shared" si="63"/>
        <v/>
      </c>
      <c r="AY41" t="str">
        <f t="shared" si="64"/>
        <v/>
      </c>
      <c r="AZ41" t="str">
        <f t="shared" si="18"/>
        <v/>
      </c>
      <c r="BA41">
        <f>IF(ISNUMBER(FIND("PreWeaned",Y41)),_xlfn.XLOOKUP(Y41,Constants!$J$2:$J$3,Constants!$M$2:$M$3),"")</f>
        <v>9.1999999999999998E-3</v>
      </c>
      <c r="BB41">
        <f t="shared" si="65"/>
        <v>154.56</v>
      </c>
      <c r="BC41">
        <f t="shared" si="66"/>
        <v>0</v>
      </c>
      <c r="BD41">
        <f t="shared" si="67"/>
        <v>0</v>
      </c>
      <c r="BE41">
        <f t="shared" si="68"/>
        <v>0</v>
      </c>
      <c r="BF41">
        <f t="shared" si="69"/>
        <v>0</v>
      </c>
      <c r="BG41">
        <f t="shared" si="70"/>
        <v>154.56</v>
      </c>
      <c r="BH41">
        <f>Constants!$C$19</f>
        <v>0</v>
      </c>
      <c r="BI41">
        <f>Constants!$C$20</f>
        <v>0</v>
      </c>
      <c r="BJ41">
        <f>Constants!$C$21</f>
        <v>0</v>
      </c>
      <c r="BK41">
        <f>Constants!$C$22</f>
        <v>5.0000000000000001E-3</v>
      </c>
      <c r="BL41">
        <f>Constants!$C$23</f>
        <v>0</v>
      </c>
      <c r="BM41">
        <f>Constants!$B$50</f>
        <v>1.57</v>
      </c>
      <c r="BN41">
        <f>_xlfn.XLOOKUP(D41,Constants!$A$34:$A$35,Constants!$B$34:$B$35)</f>
        <v>6.0000000000000001E-3</v>
      </c>
      <c r="BO41">
        <f t="shared" si="54"/>
        <v>0</v>
      </c>
      <c r="BP41">
        <f t="shared" si="55"/>
        <v>0</v>
      </c>
      <c r="BQ41">
        <f t="shared" si="56"/>
        <v>0</v>
      </c>
      <c r="BR41">
        <f t="shared" si="57"/>
        <v>0</v>
      </c>
      <c r="BS41">
        <f t="shared" si="58"/>
        <v>0</v>
      </c>
      <c r="BT41">
        <f t="shared" si="59"/>
        <v>1.4559552000000002</v>
      </c>
    </row>
    <row r="42" spans="1:73" s="16" customFormat="1" x14ac:dyDescent="0.2">
      <c r="A42" s="16" t="str">
        <f>'Input Scenarios'!A42</f>
        <v>VIC</v>
      </c>
      <c r="B42" s="16">
        <f>'Input Scenarios'!B42</f>
        <v>0</v>
      </c>
      <c r="C42" s="16" t="str">
        <f>'Input Scenarios'!C42</f>
        <v>Non-irrigated pasture</v>
      </c>
      <c r="D42" s="16" t="str">
        <f>'Input Scenarios'!D42</f>
        <v>wet</v>
      </c>
      <c r="E42" s="16" t="b">
        <f>'Input Scenarios'!E42</f>
        <v>0</v>
      </c>
      <c r="F42" s="16" t="str">
        <f>'Input Scenarios'!F42</f>
        <v>Limited grazing</v>
      </c>
      <c r="G42" s="16">
        <f>IF('Input Scenarios'!G42&lt;&gt;"", 'Input Scenarios'!G42, _xlfn.XLOOKUP($F42, Constants!$M$6:$M$9,Constants!N$6:N$9))</f>
        <v>0.53400000000000003</v>
      </c>
      <c r="H42" s="16">
        <f>IF('Input Scenarios'!H42&lt;&gt;"", 'Input Scenarios'!H42, _xlfn.XLOOKUP($F42, Constants!$M$6:$M$9,Constants!O$6:O$9))</f>
        <v>0.11</v>
      </c>
      <c r="I42" s="16">
        <f>IF('Input Scenarios'!I42&lt;&gt;"", 'Input Scenarios'!I42, _xlfn.XLOOKUP($F42, Constants!$M$6:$M$9,Constants!P$6:P$9))</f>
        <v>0.35599999999999998</v>
      </c>
      <c r="J42" s="16">
        <f>'Input Scenarios'!J42</f>
        <v>0.25</v>
      </c>
      <c r="K42" s="16">
        <f>'Input Scenarios'!K42</f>
        <v>0.25</v>
      </c>
      <c r="L42" s="16">
        <f>'Input Scenarios'!L42</f>
        <v>0.25</v>
      </c>
      <c r="M42" s="16">
        <f>'Input Scenarios'!M42</f>
        <v>0.25</v>
      </c>
      <c r="N42" s="16">
        <f>'Input Scenarios'!N42</f>
        <v>0.25</v>
      </c>
      <c r="O42" s="16">
        <f>'Input Scenarios'!O42</f>
        <v>0.25</v>
      </c>
      <c r="P42" s="16">
        <f>'Input Scenarios'!P42</f>
        <v>0.25</v>
      </c>
      <c r="Q42" s="16">
        <f>'Input Scenarios'!Q42</f>
        <v>0.25</v>
      </c>
      <c r="R42" s="16" t="b">
        <f>'Input Scenarios'!R42</f>
        <v>1</v>
      </c>
      <c r="S42" s="16">
        <f>IF('Input Scenarios'!S42&lt;&gt;"", 'Input Scenarios'!S42, IF(R42, Constants!$B$38, 0))</f>
        <v>0.2</v>
      </c>
      <c r="T42" s="16" t="str">
        <f>IF('Input Scenarios'!T42&lt;&gt;"", 'Input Scenarios'!T42, "")</f>
        <v/>
      </c>
      <c r="U42" s="16">
        <f>IF('Input Scenarios'!U42&lt;&gt;"", 'Input Scenarios'!U42, IF(W42&lt;&gt;"", "", Constants!$B$39))</f>
        <v>4</v>
      </c>
      <c r="V42" s="16">
        <f>IF('Input Scenarios'!V42&lt;&gt;"", 'Input Scenarios'!V42, IF(W42&lt;&gt;"", "", Constants!$B$40))</f>
        <v>3.3</v>
      </c>
      <c r="W42" s="16" t="str">
        <f>IF('Input Scenarios'!W42&lt;&gt;"", 'Input Scenarios'!W42, "")</f>
        <v/>
      </c>
      <c r="X42" s="16" t="str">
        <f>'Input Scenarios'!X42</f>
        <v>Jersey</v>
      </c>
      <c r="Y42" s="16" t="str">
        <f>'Input Scenarios'!Y42</f>
        <v>bullsLt1Weaned</v>
      </c>
      <c r="Z42" s="16">
        <f>'Input Scenarios'!Z42</f>
        <v>200</v>
      </c>
      <c r="AA42" s="16">
        <f>IF('Input Scenarios'!AA42&lt;&gt;"", 'Input Scenarios'!AA42, _xlfn.XLOOKUP(Y42,Constants!$J$6:$J$12,Constants!$K$6:$K$12))</f>
        <v>281</v>
      </c>
      <c r="AB42" s="16">
        <f>IF('Input Scenarios'!AB42&lt;&gt;"", 'Input Scenarios'!AB42, INDEX(Constants!$B$2:$H$11, MATCH(X42, Constants!$A$2:$A$11, 0), MATCH(Y42,Constants!$B$1:$H$1, 0)))</f>
        <v>225</v>
      </c>
      <c r="AC42" s="16">
        <f>IF('Input Scenarios'!AC42&lt;&gt;"", 'Input Scenarios'!AC42, _xlfn.XLOOKUP(Y42, Constants!$B$13:$H$13, Constants!$B$15:$H$15, ""))</f>
        <v>0.8</v>
      </c>
      <c r="AD42" s="16">
        <f>IF('Input Scenarios'!AD42&lt;&gt;"", 'Input Scenarios'!AD42, Constants!$B$45)</f>
        <v>0.75</v>
      </c>
      <c r="AE42" s="16">
        <f>IF('Input Scenarios'!AE42&lt;&gt;"", 'Input Scenarios'!AE42, Constants!$B$46)</f>
        <v>0.2</v>
      </c>
      <c r="AF42" s="16">
        <f t="shared" si="60"/>
        <v>0</v>
      </c>
      <c r="AG42" s="16">
        <f t="shared" si="37"/>
        <v>0</v>
      </c>
      <c r="AH42" s="16">
        <f t="shared" si="37"/>
        <v>0</v>
      </c>
      <c r="AI42" s="16">
        <f t="shared" si="37"/>
        <v>0</v>
      </c>
      <c r="AJ42" s="16">
        <f t="shared" si="61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49"/>
        <v>0.5948500000000001</v>
      </c>
      <c r="AQ42" s="16">
        <f t="shared" si="50"/>
        <v>0</v>
      </c>
      <c r="AR42" s="16">
        <f>IF(Y42="milkingCows", Constants!$P$2, Constants!$P$3)</f>
        <v>1</v>
      </c>
      <c r="AS42" s="16">
        <f t="shared" si="51"/>
        <v>5.4143472656250013</v>
      </c>
      <c r="AT42" s="16">
        <f t="shared" si="52"/>
        <v>1.2576570545672616</v>
      </c>
      <c r="AU42" s="16">
        <f>_xlfn.XLOOKUP(Y42, Constants!$B$13:$H$13, Constants!$B$14:$H$14, "")</f>
        <v>770</v>
      </c>
      <c r="AV42" s="16">
        <f t="shared" si="53"/>
        <v>0.29220779220779219</v>
      </c>
      <c r="AW42" s="16">
        <f>Constants!$B$55</f>
        <v>6.25</v>
      </c>
      <c r="AX42" s="16">
        <f t="shared" si="63"/>
        <v>1.9757354894894084E-2</v>
      </c>
      <c r="AY42" s="16">
        <f t="shared" si="64"/>
        <v>1.0828694531250003</v>
      </c>
      <c r="AZ42" s="16">
        <f t="shared" si="18"/>
        <v>0.15247929000170721</v>
      </c>
      <c r="BA42" s="16" t="str">
        <f>IF(ISNUMBER(FIND("PreWeaned",Y42)),_xlfn.XLOOKUP(Y42,Constants!$J$2:$J$3,Constants!$M$2:$M$3),"")</f>
        <v/>
      </c>
      <c r="BB42" s="16">
        <f t="shared" si="65"/>
        <v>8569.336098095946</v>
      </c>
      <c r="BC42" s="16">
        <f t="shared" si="66"/>
        <v>0</v>
      </c>
      <c r="BD42" s="16">
        <f t="shared" si="67"/>
        <v>0</v>
      </c>
      <c r="BE42" s="16">
        <f t="shared" si="68"/>
        <v>0</v>
      </c>
      <c r="BF42" s="16">
        <f t="shared" si="69"/>
        <v>0</v>
      </c>
      <c r="BG42" s="16">
        <f t="shared" si="70"/>
        <v>8569.336098095946</v>
      </c>
      <c r="BH42" s="16">
        <f>Constants!$C$19</f>
        <v>0</v>
      </c>
      <c r="BI42" s="16">
        <f>Constants!$C$20</f>
        <v>0</v>
      </c>
      <c r="BJ42" s="16">
        <f>Constants!$C$21</f>
        <v>0</v>
      </c>
      <c r="BK42" s="16">
        <f>Constants!$C$22</f>
        <v>5.0000000000000001E-3</v>
      </c>
      <c r="BL42" s="16">
        <f>Constants!$C$23</f>
        <v>0</v>
      </c>
      <c r="BM42" s="16">
        <f>Constants!$B$50</f>
        <v>1.57</v>
      </c>
      <c r="BN42" s="16">
        <f>_xlfn.XLOOKUP(D42,Constants!$A$34:$A$35,Constants!$B$34:$B$35)</f>
        <v>6.0000000000000001E-3</v>
      </c>
      <c r="BO42" s="16">
        <f t="shared" si="54"/>
        <v>0</v>
      </c>
      <c r="BP42" s="16">
        <f t="shared" si="55"/>
        <v>0</v>
      </c>
      <c r="BQ42" s="16">
        <f t="shared" si="56"/>
        <v>0</v>
      </c>
      <c r="BR42" s="16">
        <f t="shared" si="57"/>
        <v>0</v>
      </c>
      <c r="BS42" s="16">
        <f t="shared" si="58"/>
        <v>0</v>
      </c>
      <c r="BT42" s="16">
        <f t="shared" si="59"/>
        <v>80.723146044063824</v>
      </c>
    </row>
    <row r="43" spans="1:73" x14ac:dyDescent="0.2">
      <c r="A43" t="str">
        <f>'Input Scenarios'!A43</f>
        <v>ACT</v>
      </c>
      <c r="B43">
        <f>'Input Scenarios'!B43</f>
        <v>0</v>
      </c>
      <c r="C43" t="str">
        <f>'Input Scenarios'!C43</f>
        <v>Non-irrigated crop (low rainfall)</v>
      </c>
      <c r="D43" t="str">
        <f>'Input Scenarios'!D43</f>
        <v>wet</v>
      </c>
      <c r="E43" t="b">
        <f>'Input Scenarios'!E43</f>
        <v>1</v>
      </c>
      <c r="F43" t="str">
        <f>'Input Scenarios'!F43</f>
        <v>Limited feedpad</v>
      </c>
      <c r="G43">
        <f>IF('Input Scenarios'!G43&lt;&gt;"", 'Input Scenarios'!G43, _xlfn.XLOOKUP($F43, Constants!$M$6:$M$9,Constants!N$6:N$9))</f>
        <v>0.79</v>
      </c>
      <c r="H43">
        <f>IF('Input Scenarios'!H43&lt;&gt;"", 'Input Scenarios'!H43, _xlfn.XLOOKUP($F43, Constants!$M$6:$M$9,Constants!O$6:O$9))</f>
        <v>0.11</v>
      </c>
      <c r="I43">
        <f>IF('Input Scenarios'!I43&lt;&gt;"", 'Input Scenarios'!I43, _xlfn.XLOOKUP($F43, Constants!$M$6:$M$9,Constants!P$6:P$9))</f>
        <v>0.1</v>
      </c>
      <c r="J43">
        <f>'Input Scenarios'!J43</f>
        <v>0</v>
      </c>
      <c r="K43">
        <f>'Input Scenarios'!K43</f>
        <v>0</v>
      </c>
      <c r="L43">
        <f>'Input Scenarios'!L43</f>
        <v>1</v>
      </c>
      <c r="M43">
        <f>'Input Scenarios'!M43</f>
        <v>0</v>
      </c>
      <c r="N43">
        <f>'Input Scenarios'!N43</f>
        <v>1</v>
      </c>
      <c r="O43">
        <f>'Input Scenarios'!O43</f>
        <v>0</v>
      </c>
      <c r="P43">
        <f>'Input Scenarios'!P43</f>
        <v>0</v>
      </c>
      <c r="Q43">
        <f>'Input Scenarios'!Q43</f>
        <v>0</v>
      </c>
      <c r="R43" t="b">
        <f>'Input Scenarios'!R43</f>
        <v>1</v>
      </c>
      <c r="S43">
        <f>IF('Input Scenarios'!S43&lt;&gt;"", 'Input Scenarios'!S43, IF(R43, Constants!$B$38, 0))</f>
        <v>0.2</v>
      </c>
      <c r="T43">
        <f>IF('Input Scenarios'!T43&lt;&gt;"", 'Input Scenarios'!T43, "")</f>
        <v>4</v>
      </c>
      <c r="U43">
        <f>IF('Input Scenarios'!U43&lt;&gt;"", 'Input Scenarios'!U43, IF(W43&lt;&gt;"", "", Constants!$B$39))</f>
        <v>4</v>
      </c>
      <c r="V43">
        <f>IF('Input Scenarios'!V43&lt;&gt;"", 'Input Scenarios'!V43, IF(W43&lt;&gt;"", "", Constants!$B$40))</f>
        <v>3.3</v>
      </c>
      <c r="W43" t="str">
        <f>IF('Input Scenarios'!W43&lt;&gt;"", 'Input Scenarios'!W43, "")</f>
        <v/>
      </c>
      <c r="X43" t="str">
        <f>'Input Scenarios'!X43</f>
        <v>Jersey crossbred</v>
      </c>
      <c r="Y43" t="str">
        <f>'Input Scenarios'!Y43</f>
        <v>milkingCows</v>
      </c>
      <c r="Z43">
        <f>'Input Scenarios'!Z43</f>
        <v>200</v>
      </c>
      <c r="AA43">
        <f>IF('Input Scenarios'!AA43&lt;&gt;"", 'Input Scenarios'!AA43, _xlfn.XLOOKUP(Y43,Constants!$J$6:$J$12,Constants!$K$6:$K$12))</f>
        <v>365</v>
      </c>
      <c r="AB43">
        <f>IF('Input Scenarios'!AB43&lt;&gt;"", 'Input Scenarios'!AB43, INDEX(Constants!$B$2:$H$11, MATCH(X43, Constants!$A$2:$A$11, 0), MATCH(Y43,Constants!$B$1:$H$1, 0)))</f>
        <v>450</v>
      </c>
      <c r="AC43">
        <f>IF('Input Scenarios'!AC43&lt;&gt;"", 'Input Scenarios'!AC43, _xlfn.XLOOKUP(Y43, Constants!$B$13:$H$13, Constants!$B$15:$H$15, ""))</f>
        <v>1.6E-2</v>
      </c>
      <c r="AD43">
        <f>IF('Input Scenarios'!AD43&lt;&gt;"", 'Input Scenarios'!AD43, Constants!$B$45)</f>
        <v>0.75</v>
      </c>
      <c r="AE43">
        <f>IF('Input Scenarios'!AE43&lt;&gt;"", 'Input Scenarios'!AE43, Constants!$B$46)</f>
        <v>0.2</v>
      </c>
      <c r="AF43" s="20">
        <f t="shared" si="60"/>
        <v>0.1</v>
      </c>
      <c r="AG43" s="20">
        <f t="shared" si="37"/>
        <v>0</v>
      </c>
      <c r="AH43" s="20">
        <f t="shared" si="37"/>
        <v>0.11</v>
      </c>
      <c r="AI43" s="20">
        <f t="shared" si="37"/>
        <v>0</v>
      </c>
      <c r="AJ43" s="20">
        <f t="shared" si="61"/>
        <v>0.79</v>
      </c>
      <c r="AK43">
        <f t="shared" ref="AK43:AK63" si="71">IF(Y43="milkingCows", IF(W43&lt;&gt;"", W43, T43/((U43+V43)*0.01)), 0)</f>
        <v>54.794520547945211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49"/>
        <v>0.5948500000000001</v>
      </c>
      <c r="AQ43">
        <f t="shared" si="50"/>
        <v>26.246225105773135</v>
      </c>
      <c r="AR43">
        <f>IF(Y43="milkingCows", Constants!$P$2, Constants!$P$3)</f>
        <v>1.1000000000000001</v>
      </c>
      <c r="AS43">
        <f t="shared" si="51"/>
        <v>34.304119754533133</v>
      </c>
      <c r="AT43">
        <f t="shared" si="52"/>
        <v>1.0008747754393335</v>
      </c>
      <c r="AU43">
        <f>_xlfn.XLOOKUP(Y43, Constants!$B$13:$H$13, Constants!$B$14:$H$14, "")</f>
        <v>590</v>
      </c>
      <c r="AV43">
        <f t="shared" si="53"/>
        <v>0.76271186440677963</v>
      </c>
      <c r="AW43">
        <f>Constants!$B$55</f>
        <v>6.25</v>
      </c>
      <c r="AX43" s="20">
        <f t="shared" si="63"/>
        <v>0.2832814871011613</v>
      </c>
      <c r="AY43">
        <f t="shared" si="64"/>
        <v>6.8608239509066271</v>
      </c>
      <c r="AZ43">
        <f t="shared" si="18"/>
        <v>0.81273076635907693</v>
      </c>
      <c r="BA43" t="str">
        <f>IF(ISNUMBER(FIND("PreWeaned",Y43)),_xlfn.XLOOKUP(Y43,Constants!$J$2:$J$3,Constants!$M$2:$M$3),"")</f>
        <v/>
      </c>
      <c r="BB43">
        <f t="shared" si="65"/>
        <v>59329.345944212619</v>
      </c>
      <c r="BC43">
        <f t="shared" si="66"/>
        <v>5932.9345944212619</v>
      </c>
      <c r="BD43">
        <f t="shared" si="67"/>
        <v>0</v>
      </c>
      <c r="BE43">
        <f t="shared" si="68"/>
        <v>6526.2280538633877</v>
      </c>
      <c r="BF43">
        <f t="shared" si="69"/>
        <v>0</v>
      </c>
      <c r="BG43">
        <f t="shared" si="70"/>
        <v>46870.183295927971</v>
      </c>
      <c r="BH43">
        <f>Constants!$C$19</f>
        <v>0</v>
      </c>
      <c r="BI43">
        <f>Constants!$C$20</f>
        <v>0</v>
      </c>
      <c r="BJ43">
        <f>Constants!$C$21</f>
        <v>0</v>
      </c>
      <c r="BK43">
        <f>Constants!$C$22</f>
        <v>5.0000000000000001E-3</v>
      </c>
      <c r="BL43">
        <f>Constants!$C$23</f>
        <v>0</v>
      </c>
      <c r="BM43">
        <f>Constants!$B$50</f>
        <v>1.57</v>
      </c>
      <c r="BN43">
        <f>_xlfn.XLOOKUP(D43,Constants!$A$34:$A$35,Constants!$B$34:$B$35)</f>
        <v>6.0000000000000001E-3</v>
      </c>
      <c r="BO43">
        <f t="shared" si="54"/>
        <v>0</v>
      </c>
      <c r="BP43">
        <f t="shared" si="55"/>
        <v>0</v>
      </c>
      <c r="BQ43">
        <f t="shared" si="56"/>
        <v>0</v>
      </c>
      <c r="BR43">
        <f t="shared" si="57"/>
        <v>0</v>
      </c>
      <c r="BS43">
        <f t="shared" si="58"/>
        <v>0</v>
      </c>
      <c r="BT43">
        <f t="shared" si="59"/>
        <v>441.51712664764153</v>
      </c>
      <c r="BU43">
        <f>SUM(BO43:BT49)/1000</f>
        <v>0.91023984406687763</v>
      </c>
    </row>
    <row r="44" spans="1:73" x14ac:dyDescent="0.2">
      <c r="A44" t="str">
        <f>'Input Scenarios'!A44</f>
        <v>ACT</v>
      </c>
      <c r="B44">
        <f>'Input Scenarios'!B44</f>
        <v>0</v>
      </c>
      <c r="C44" t="str">
        <f>'Input Scenarios'!C44</f>
        <v>Non-irrigated crop (low rainfall)</v>
      </c>
      <c r="D44" t="str">
        <f>'Input Scenarios'!D44</f>
        <v>wet</v>
      </c>
      <c r="E44" t="b">
        <f>'Input Scenarios'!E44</f>
        <v>1</v>
      </c>
      <c r="F44" t="str">
        <f>'Input Scenarios'!F44</f>
        <v>Limited feedpad</v>
      </c>
      <c r="G44">
        <f>IF('Input Scenarios'!G44&lt;&gt;"", 'Input Scenarios'!G44, _xlfn.XLOOKUP($F44, Constants!$M$6:$M$9,Constants!N$6:N$9))</f>
        <v>0.79</v>
      </c>
      <c r="H44">
        <f>IF('Input Scenarios'!H44&lt;&gt;"", 'Input Scenarios'!H44, _xlfn.XLOOKUP($F44, Constants!$M$6:$M$9,Constants!O$6:O$9))</f>
        <v>0.11</v>
      </c>
      <c r="I44">
        <f>IF('Input Scenarios'!I44&lt;&gt;"", 'Input Scenarios'!I44, _xlfn.XLOOKUP($F44, Constants!$M$6:$M$9,Constants!P$6:P$9))</f>
        <v>0.1</v>
      </c>
      <c r="J44">
        <f>'Input Scenarios'!J44</f>
        <v>0</v>
      </c>
      <c r="K44">
        <f>'Input Scenarios'!K44</f>
        <v>0</v>
      </c>
      <c r="L44">
        <f>'Input Scenarios'!L44</f>
        <v>1</v>
      </c>
      <c r="M44">
        <f>'Input Scenarios'!M44</f>
        <v>0</v>
      </c>
      <c r="N44">
        <f>'Input Scenarios'!N44</f>
        <v>1</v>
      </c>
      <c r="O44">
        <f>'Input Scenarios'!O44</f>
        <v>0</v>
      </c>
      <c r="P44">
        <f>'Input Scenarios'!P44</f>
        <v>0</v>
      </c>
      <c r="Q44">
        <f>'Input Scenarios'!Q44</f>
        <v>0</v>
      </c>
      <c r="R44" t="b">
        <f>'Input Scenarios'!R44</f>
        <v>1</v>
      </c>
      <c r="S44">
        <f>IF('Input Scenarios'!S44&lt;&gt;"", 'Input Scenarios'!S44, IF(R44, Constants!$B$38, 0))</f>
        <v>0.2</v>
      </c>
      <c r="T44" t="str">
        <f>IF('Input Scenarios'!T44&lt;&gt;"", 'Input Scenarios'!T44, "")</f>
        <v/>
      </c>
      <c r="U44">
        <f>IF('Input Scenarios'!U44&lt;&gt;"", 'Input Scenarios'!U44, IF(W44&lt;&gt;"", "", Constants!$B$39))</f>
        <v>4</v>
      </c>
      <c r="V44">
        <f>IF('Input Scenarios'!V44&lt;&gt;"", 'Input Scenarios'!V44, IF(W44&lt;&gt;"", "", Constants!$B$40))</f>
        <v>3.3</v>
      </c>
      <c r="W44" t="str">
        <f>IF('Input Scenarios'!W44&lt;&gt;"", 'Input Scenarios'!W44, "")</f>
        <v/>
      </c>
      <c r="X44" t="str">
        <f>'Input Scenarios'!X44</f>
        <v>Jersey crossbred</v>
      </c>
      <c r="Y44" t="str">
        <f>'Input Scenarios'!Y44</f>
        <v>heifersGt1</v>
      </c>
      <c r="Z44">
        <f>'Input Scenarios'!Z44</f>
        <v>200</v>
      </c>
      <c r="AA44">
        <f>IF('Input Scenarios'!AA44&lt;&gt;"", 'Input Scenarios'!AA44, _xlfn.XLOOKUP(Y44,Constants!$J$6:$J$12,Constants!$K$6:$K$12))</f>
        <v>365</v>
      </c>
      <c r="AB44">
        <f>IF('Input Scenarios'!AB44&lt;&gt;"", 'Input Scenarios'!AB44, INDEX(Constants!$B$2:$H$11, MATCH(X44, Constants!$A$2:$A$11, 0), MATCH(Y44,Constants!$B$1:$H$1, 0)))</f>
        <v>315</v>
      </c>
      <c r="AC44">
        <f>IF('Input Scenarios'!AC44&lt;&gt;"", 'Input Scenarios'!AC44, _xlfn.XLOOKUP(Y44, Constants!$B$13:$H$13, Constants!$B$15:$H$15, ""))</f>
        <v>0.6</v>
      </c>
      <c r="AD44">
        <f>IF('Input Scenarios'!AD44&lt;&gt;"", 'Input Scenarios'!AD44, Constants!$B$45)</f>
        <v>0.75</v>
      </c>
      <c r="AE44">
        <f>IF('Input Scenarios'!AE44&lt;&gt;"", 'Input Scenarios'!AE44, Constants!$B$46)</f>
        <v>0.2</v>
      </c>
      <c r="AF44">
        <f t="shared" si="60"/>
        <v>0</v>
      </c>
      <c r="AG44">
        <f t="shared" si="37"/>
        <v>0</v>
      </c>
      <c r="AH44">
        <f t="shared" si="37"/>
        <v>0</v>
      </c>
      <c r="AI44">
        <f t="shared" si="37"/>
        <v>0</v>
      </c>
      <c r="AJ44">
        <f t="shared" si="61"/>
        <v>1</v>
      </c>
      <c r="AK44">
        <f t="shared" si="71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49"/>
        <v>0.5948500000000001</v>
      </c>
      <c r="AQ44">
        <f t="shared" si="50"/>
        <v>0</v>
      </c>
      <c r="AR44">
        <f>IF(Y44="milkingCows", Constants!$P$2, Constants!$P$3)</f>
        <v>1</v>
      </c>
      <c r="AS44">
        <f t="shared" si="51"/>
        <v>6.4827015932249994</v>
      </c>
      <c r="AT44">
        <f t="shared" si="52"/>
        <v>1.166794807523394</v>
      </c>
      <c r="AU44">
        <f>_xlfn.XLOOKUP(Y44, Constants!$B$13:$H$13, Constants!$B$14:$H$14, "")</f>
        <v>590</v>
      </c>
      <c r="AV44">
        <f t="shared" si="53"/>
        <v>0.53389830508474578</v>
      </c>
      <c r="AW44">
        <f>Constants!$B$55</f>
        <v>6.25</v>
      </c>
      <c r="AX44">
        <f t="shared" si="63"/>
        <v>1.0365571727800444E-2</v>
      </c>
      <c r="AY44">
        <f t="shared" si="64"/>
        <v>1.296540318645</v>
      </c>
      <c r="AZ44">
        <f t="shared" si="18"/>
        <v>0.19576491048465905</v>
      </c>
      <c r="BA44" t="str">
        <f>IF(ISNUMBER(FIND("PreWeaned",Y44)),_xlfn.XLOOKUP(Y44,Constants!$J$2:$J$3,Constants!$M$2:$M$3),"")</f>
        <v/>
      </c>
      <c r="BB44">
        <f t="shared" si="65"/>
        <v>14290.838465380109</v>
      </c>
      <c r="BC44">
        <f t="shared" si="66"/>
        <v>0</v>
      </c>
      <c r="BD44">
        <f t="shared" si="67"/>
        <v>0</v>
      </c>
      <c r="BE44">
        <f t="shared" si="68"/>
        <v>0</v>
      </c>
      <c r="BF44">
        <f t="shared" si="69"/>
        <v>0</v>
      </c>
      <c r="BG44">
        <f t="shared" si="70"/>
        <v>14290.838465380109</v>
      </c>
      <c r="BH44">
        <f>Constants!$C$19</f>
        <v>0</v>
      </c>
      <c r="BI44">
        <f>Constants!$C$20</f>
        <v>0</v>
      </c>
      <c r="BJ44">
        <f>Constants!$C$21</f>
        <v>0</v>
      </c>
      <c r="BK44">
        <f>Constants!$C$22</f>
        <v>5.0000000000000001E-3</v>
      </c>
      <c r="BL44">
        <f>Constants!$C$23</f>
        <v>0</v>
      </c>
      <c r="BM44">
        <f>Constants!$B$50</f>
        <v>1.57</v>
      </c>
      <c r="BN44">
        <f>_xlfn.XLOOKUP(D44,Constants!$A$34:$A$35,Constants!$B$34:$B$35)</f>
        <v>6.0000000000000001E-3</v>
      </c>
      <c r="BO44">
        <f t="shared" si="54"/>
        <v>0</v>
      </c>
      <c r="BP44">
        <f t="shared" si="55"/>
        <v>0</v>
      </c>
      <c r="BQ44">
        <f t="shared" si="56"/>
        <v>0</v>
      </c>
      <c r="BR44">
        <f t="shared" si="57"/>
        <v>0</v>
      </c>
      <c r="BS44">
        <f t="shared" si="58"/>
        <v>0</v>
      </c>
      <c r="BT44">
        <f t="shared" si="59"/>
        <v>134.61969834388063</v>
      </c>
    </row>
    <row r="45" spans="1:73" x14ac:dyDescent="0.2">
      <c r="A45" t="str">
        <f>'Input Scenarios'!A45</f>
        <v>ACT</v>
      </c>
      <c r="B45">
        <f>'Input Scenarios'!B45</f>
        <v>0</v>
      </c>
      <c r="C45" t="str">
        <f>'Input Scenarios'!C45</f>
        <v>Non-irrigated crop (low rainfall)</v>
      </c>
      <c r="D45" t="str">
        <f>'Input Scenarios'!D45</f>
        <v>wet</v>
      </c>
      <c r="E45" t="b">
        <f>'Input Scenarios'!E45</f>
        <v>1</v>
      </c>
      <c r="F45" t="str">
        <f>'Input Scenarios'!F45</f>
        <v>Limited feedpad</v>
      </c>
      <c r="G45">
        <f>IF('Input Scenarios'!G45&lt;&gt;"", 'Input Scenarios'!G45, _xlfn.XLOOKUP($F45, Constants!$M$6:$M$9,Constants!N$6:N$9))</f>
        <v>0.79</v>
      </c>
      <c r="H45">
        <f>IF('Input Scenarios'!H45&lt;&gt;"", 'Input Scenarios'!H45, _xlfn.XLOOKUP($F45, Constants!$M$6:$M$9,Constants!O$6:O$9))</f>
        <v>0.11</v>
      </c>
      <c r="I45">
        <f>IF('Input Scenarios'!I45&lt;&gt;"", 'Input Scenarios'!I45, _xlfn.XLOOKUP($F45, Constants!$M$6:$M$9,Constants!P$6:P$9))</f>
        <v>0.1</v>
      </c>
      <c r="J45">
        <f>'Input Scenarios'!J45</f>
        <v>0</v>
      </c>
      <c r="K45">
        <f>'Input Scenarios'!K45</f>
        <v>0</v>
      </c>
      <c r="L45">
        <f>'Input Scenarios'!L45</f>
        <v>1</v>
      </c>
      <c r="M45">
        <f>'Input Scenarios'!M45</f>
        <v>0</v>
      </c>
      <c r="N45">
        <f>'Input Scenarios'!N45</f>
        <v>1</v>
      </c>
      <c r="O45">
        <f>'Input Scenarios'!O45</f>
        <v>0</v>
      </c>
      <c r="P45">
        <f>'Input Scenarios'!P45</f>
        <v>0</v>
      </c>
      <c r="Q45">
        <f>'Input Scenarios'!Q45</f>
        <v>0</v>
      </c>
      <c r="R45" t="b">
        <f>'Input Scenarios'!R45</f>
        <v>1</v>
      </c>
      <c r="S45">
        <f>IF('Input Scenarios'!S45&lt;&gt;"", 'Input Scenarios'!S45, IF(R45, Constants!$B$38, 0))</f>
        <v>0.2</v>
      </c>
      <c r="T45" t="str">
        <f>IF('Input Scenarios'!T45&lt;&gt;"", 'Input Scenarios'!T45, "")</f>
        <v/>
      </c>
      <c r="U45">
        <f>IF('Input Scenarios'!U45&lt;&gt;"", 'Input Scenarios'!U45, IF(W45&lt;&gt;"", "", Constants!$B$39))</f>
        <v>4</v>
      </c>
      <c r="V45">
        <f>IF('Input Scenarios'!V45&lt;&gt;"", 'Input Scenarios'!V45, IF(W45&lt;&gt;"", "", Constants!$B$40))</f>
        <v>3.3</v>
      </c>
      <c r="W45" t="str">
        <f>IF('Input Scenarios'!W45&lt;&gt;"", 'Input Scenarios'!W45, "")</f>
        <v/>
      </c>
      <c r="X45" t="str">
        <f>'Input Scenarios'!X45</f>
        <v>Jersey crossbred</v>
      </c>
      <c r="Y45" t="str">
        <f>'Input Scenarios'!Y45</f>
        <v>heifersLt1PreWeaned</v>
      </c>
      <c r="Z45">
        <f>'Input Scenarios'!Z45</f>
        <v>200</v>
      </c>
      <c r="AA45">
        <f>IF('Input Scenarios'!AA45&lt;&gt;"", 'Input Scenarios'!AA45, _xlfn.XLOOKUP(Y45,Constants!$J$6:$J$12,Constants!$K$6:$K$12))</f>
        <v>84</v>
      </c>
      <c r="AB45">
        <f>IF('Input Scenarios'!AB45&lt;&gt;"", 'Input Scenarios'!AB45, INDEX(Constants!$B$2:$H$11, MATCH(X45, Constants!$A$2:$A$11, 0), MATCH(Y45,Constants!$B$1:$H$1, 0)))</f>
        <v>130</v>
      </c>
      <c r="AC45" t="str">
        <f>IF('Input Scenarios'!AC45&lt;&gt;"", 'Input Scenarios'!AC45, _xlfn.XLOOKUP(Y45, Constants!$B$13:$H$13, Constants!$B$15:$H$15, ""))</f>
        <v/>
      </c>
      <c r="AD45">
        <f>IF('Input Scenarios'!AD45&lt;&gt;"", 'Input Scenarios'!AD45, Constants!$B$45)</f>
        <v>0.75</v>
      </c>
      <c r="AE45">
        <f>IF('Input Scenarios'!AE45&lt;&gt;"", 'Input Scenarios'!AE45, Constants!$B$46)</f>
        <v>0.2</v>
      </c>
      <c r="AF45">
        <f t="shared" si="60"/>
        <v>0</v>
      </c>
      <c r="AG45">
        <f t="shared" si="60"/>
        <v>0</v>
      </c>
      <c r="AH45">
        <f t="shared" si="60"/>
        <v>0</v>
      </c>
      <c r="AI45">
        <f t="shared" si="60"/>
        <v>0</v>
      </c>
      <c r="AJ45">
        <f t="shared" si="61"/>
        <v>1</v>
      </c>
      <c r="AK45">
        <f t="shared" si="71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49"/>
        <v>0.5948500000000001</v>
      </c>
      <c r="AQ45">
        <f t="shared" si="50"/>
        <v>0</v>
      </c>
      <c r="AR45">
        <f>IF(Y45="milkingCows", Constants!$P$2, Constants!$P$3)</f>
        <v>1</v>
      </c>
      <c r="AS45" t="str">
        <f t="shared" si="51"/>
        <v/>
      </c>
      <c r="AT45" t="str">
        <f t="shared" si="52"/>
        <v/>
      </c>
      <c r="AU45" t="str">
        <f>_xlfn.XLOOKUP(Y45, Constants!$B$13:$H$13, Constants!$B$14:$H$14, "")</f>
        <v/>
      </c>
      <c r="AV45" t="str">
        <f t="shared" si="53"/>
        <v/>
      </c>
      <c r="AW45">
        <f>Constants!$B$55</f>
        <v>6.25</v>
      </c>
      <c r="AX45" t="str">
        <f t="shared" si="63"/>
        <v/>
      </c>
      <c r="AY45" t="str">
        <f t="shared" si="64"/>
        <v/>
      </c>
      <c r="AZ45" t="str">
        <f t="shared" si="18"/>
        <v/>
      </c>
      <c r="BA45">
        <f>IF(ISNUMBER(FIND("PreWeaned",Y45)),_xlfn.XLOOKUP(Y45,Constants!$J$2:$J$3,Constants!$M$2:$M$3),"")</f>
        <v>1.37E-2</v>
      </c>
      <c r="BB45">
        <f t="shared" si="65"/>
        <v>230.16000000000003</v>
      </c>
      <c r="BC45">
        <f t="shared" si="66"/>
        <v>0</v>
      </c>
      <c r="BD45">
        <f t="shared" si="67"/>
        <v>0</v>
      </c>
      <c r="BE45">
        <f t="shared" si="68"/>
        <v>0</v>
      </c>
      <c r="BF45">
        <f t="shared" si="69"/>
        <v>0</v>
      </c>
      <c r="BG45">
        <f t="shared" si="70"/>
        <v>230.16000000000003</v>
      </c>
      <c r="BH45">
        <f>Constants!$C$19</f>
        <v>0</v>
      </c>
      <c r="BI45">
        <f>Constants!$C$20</f>
        <v>0</v>
      </c>
      <c r="BJ45">
        <f>Constants!$C$21</f>
        <v>0</v>
      </c>
      <c r="BK45">
        <f>Constants!$C$22</f>
        <v>5.0000000000000001E-3</v>
      </c>
      <c r="BL45">
        <f>Constants!$C$23</f>
        <v>0</v>
      </c>
      <c r="BM45">
        <f>Constants!$B$50</f>
        <v>1.57</v>
      </c>
      <c r="BN45">
        <f>_xlfn.XLOOKUP(D45,Constants!$A$34:$A$35,Constants!$B$34:$B$35)</f>
        <v>6.0000000000000001E-3</v>
      </c>
      <c r="BO45">
        <f t="shared" si="54"/>
        <v>0</v>
      </c>
      <c r="BP45">
        <f t="shared" si="55"/>
        <v>0</v>
      </c>
      <c r="BQ45">
        <f t="shared" si="56"/>
        <v>0</v>
      </c>
      <c r="BR45">
        <f t="shared" si="57"/>
        <v>0</v>
      </c>
      <c r="BS45">
        <f t="shared" si="58"/>
        <v>0</v>
      </c>
      <c r="BT45">
        <f t="shared" si="59"/>
        <v>2.1681072000000006</v>
      </c>
    </row>
    <row r="46" spans="1:73" x14ac:dyDescent="0.2">
      <c r="A46" t="str">
        <f>'Input Scenarios'!A46</f>
        <v>ACT</v>
      </c>
      <c r="B46">
        <f>'Input Scenarios'!B46</f>
        <v>0</v>
      </c>
      <c r="C46" t="str">
        <f>'Input Scenarios'!C46</f>
        <v>Non-irrigated crop (low rainfall)</v>
      </c>
      <c r="D46" t="str">
        <f>'Input Scenarios'!D46</f>
        <v>wet</v>
      </c>
      <c r="E46" t="b">
        <f>'Input Scenarios'!E46</f>
        <v>1</v>
      </c>
      <c r="F46" t="str">
        <f>'Input Scenarios'!F46</f>
        <v>Limited feedpad</v>
      </c>
      <c r="G46">
        <f>IF('Input Scenarios'!G46&lt;&gt;"", 'Input Scenarios'!G46, _xlfn.XLOOKUP($F46, Constants!$M$6:$M$9,Constants!N$6:N$9))</f>
        <v>0.79</v>
      </c>
      <c r="H46">
        <f>IF('Input Scenarios'!H46&lt;&gt;"", 'Input Scenarios'!H46, _xlfn.XLOOKUP($F46, Constants!$M$6:$M$9,Constants!O$6:O$9))</f>
        <v>0.11</v>
      </c>
      <c r="I46">
        <f>IF('Input Scenarios'!I46&lt;&gt;"", 'Input Scenarios'!I46, _xlfn.XLOOKUP($F46, Constants!$M$6:$M$9,Constants!P$6:P$9))</f>
        <v>0.1</v>
      </c>
      <c r="J46">
        <f>'Input Scenarios'!J46</f>
        <v>0</v>
      </c>
      <c r="K46">
        <f>'Input Scenarios'!K46</f>
        <v>0</v>
      </c>
      <c r="L46">
        <f>'Input Scenarios'!L46</f>
        <v>1</v>
      </c>
      <c r="M46">
        <f>'Input Scenarios'!M46</f>
        <v>0</v>
      </c>
      <c r="N46">
        <f>'Input Scenarios'!N46</f>
        <v>1</v>
      </c>
      <c r="O46">
        <f>'Input Scenarios'!O46</f>
        <v>0</v>
      </c>
      <c r="P46">
        <f>'Input Scenarios'!P46</f>
        <v>0</v>
      </c>
      <c r="Q46">
        <f>'Input Scenarios'!Q46</f>
        <v>0</v>
      </c>
      <c r="R46" t="b">
        <f>'Input Scenarios'!R46</f>
        <v>1</v>
      </c>
      <c r="S46">
        <f>IF('Input Scenarios'!S46&lt;&gt;"", 'Input Scenarios'!S46, IF(R46, Constants!$B$38, 0))</f>
        <v>0.2</v>
      </c>
      <c r="T46" t="str">
        <f>IF('Input Scenarios'!T46&lt;&gt;"", 'Input Scenarios'!T46, "")</f>
        <v/>
      </c>
      <c r="U46">
        <f>IF('Input Scenarios'!U46&lt;&gt;"", 'Input Scenarios'!U46, IF(W46&lt;&gt;"", "", Constants!$B$39))</f>
        <v>4</v>
      </c>
      <c r="V46">
        <f>IF('Input Scenarios'!V46&lt;&gt;"", 'Input Scenarios'!V46, IF(W46&lt;&gt;"", "", Constants!$B$40))</f>
        <v>3.3</v>
      </c>
      <c r="W46" t="str">
        <f>IF('Input Scenarios'!W46&lt;&gt;"", 'Input Scenarios'!W46, "")</f>
        <v/>
      </c>
      <c r="X46" t="str">
        <f>'Input Scenarios'!X46</f>
        <v>Jersey crossbred</v>
      </c>
      <c r="Y46" t="str">
        <f>'Input Scenarios'!Y46</f>
        <v>heifersLt1Weaned</v>
      </c>
      <c r="Z46">
        <f>'Input Scenarios'!Z46</f>
        <v>200</v>
      </c>
      <c r="AA46">
        <f>IF('Input Scenarios'!AA46&lt;&gt;"", 'Input Scenarios'!AA46, _xlfn.XLOOKUP(Y46,Constants!$J$6:$J$12,Constants!$K$6:$K$12))</f>
        <v>281</v>
      </c>
      <c r="AB46">
        <f>IF('Input Scenarios'!AB46&lt;&gt;"", 'Input Scenarios'!AB46, INDEX(Constants!$B$2:$H$11, MATCH(X46, Constants!$A$2:$A$11, 0), MATCH(Y46,Constants!$B$1:$H$1, 0)))</f>
        <v>130</v>
      </c>
      <c r="AC46">
        <f>IF('Input Scenarios'!AC46&lt;&gt;"", 'Input Scenarios'!AC46, _xlfn.XLOOKUP(Y46, Constants!$B$13:$H$13, Constants!$B$15:$H$15, ""))</f>
        <v>0.56999999999999995</v>
      </c>
      <c r="AD46">
        <f>IF('Input Scenarios'!AD46&lt;&gt;"", 'Input Scenarios'!AD46, Constants!$B$45)</f>
        <v>0.75</v>
      </c>
      <c r="AE46">
        <f>IF('Input Scenarios'!AE46&lt;&gt;"", 'Input Scenarios'!AE46, Constants!$B$46)</f>
        <v>0.2</v>
      </c>
      <c r="AF46">
        <f t="shared" si="60"/>
        <v>0</v>
      </c>
      <c r="AG46">
        <f t="shared" si="60"/>
        <v>0</v>
      </c>
      <c r="AH46">
        <f t="shared" si="60"/>
        <v>0</v>
      </c>
      <c r="AI46">
        <f t="shared" si="60"/>
        <v>0</v>
      </c>
      <c r="AJ46">
        <f t="shared" si="61"/>
        <v>1</v>
      </c>
      <c r="AK46">
        <f t="shared" si="71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49"/>
        <v>0.5948500000000001</v>
      </c>
      <c r="AQ46">
        <f t="shared" si="50"/>
        <v>0</v>
      </c>
      <c r="AR46">
        <f>IF(Y46="milkingCows", Constants!$P$2, Constants!$P$3)</f>
        <v>1</v>
      </c>
      <c r="AS46">
        <f t="shared" si="51"/>
        <v>3.6511948560999987</v>
      </c>
      <c r="AT46">
        <f t="shared" si="52"/>
        <v>1.2181770715229607</v>
      </c>
      <c r="AU46">
        <f>_xlfn.XLOOKUP(Y46, Constants!$B$13:$H$13, Constants!$B$14:$H$14, "")</f>
        <v>590</v>
      </c>
      <c r="AV46">
        <f t="shared" si="53"/>
        <v>0.22033898305084745</v>
      </c>
      <c r="AW46">
        <f>Constants!$B$55</f>
        <v>6.25</v>
      </c>
      <c r="AX46">
        <f t="shared" si="63"/>
        <v>1.5196847323916365E-2</v>
      </c>
      <c r="AY46">
        <f t="shared" si="64"/>
        <v>0.73023897121999981</v>
      </c>
      <c r="AZ46">
        <f t="shared" si="18"/>
        <v>0.10096379308784414</v>
      </c>
      <c r="BA46" t="str">
        <f>IF(ISNUMBER(FIND("PreWeaned",Y46)),_xlfn.XLOOKUP(Y46,Constants!$J$2:$J$3,Constants!$M$2:$M$3),"")</f>
        <v/>
      </c>
      <c r="BB46">
        <f t="shared" si="65"/>
        <v>5674.1651715368407</v>
      </c>
      <c r="BC46">
        <f t="shared" si="66"/>
        <v>0</v>
      </c>
      <c r="BD46">
        <f t="shared" si="67"/>
        <v>0</v>
      </c>
      <c r="BE46">
        <f t="shared" si="68"/>
        <v>0</v>
      </c>
      <c r="BF46">
        <f t="shared" si="69"/>
        <v>0</v>
      </c>
      <c r="BG46">
        <f t="shared" si="70"/>
        <v>5674.1651715368407</v>
      </c>
      <c r="BH46">
        <f>Constants!$C$19</f>
        <v>0</v>
      </c>
      <c r="BI46">
        <f>Constants!$C$20</f>
        <v>0</v>
      </c>
      <c r="BJ46">
        <f>Constants!$C$21</f>
        <v>0</v>
      </c>
      <c r="BK46">
        <f>Constants!$C$22</f>
        <v>5.0000000000000001E-3</v>
      </c>
      <c r="BL46">
        <f>Constants!$C$23</f>
        <v>0</v>
      </c>
      <c r="BM46">
        <f>Constants!$B$50</f>
        <v>1.57</v>
      </c>
      <c r="BN46">
        <f>_xlfn.XLOOKUP(D46,Constants!$A$34:$A$35,Constants!$B$34:$B$35)</f>
        <v>6.0000000000000001E-3</v>
      </c>
      <c r="BO46">
        <f t="shared" si="54"/>
        <v>0</v>
      </c>
      <c r="BP46">
        <f t="shared" si="55"/>
        <v>0</v>
      </c>
      <c r="BQ46">
        <f t="shared" si="56"/>
        <v>0</v>
      </c>
      <c r="BR46">
        <f t="shared" si="57"/>
        <v>0</v>
      </c>
      <c r="BS46">
        <f t="shared" si="58"/>
        <v>0</v>
      </c>
      <c r="BT46">
        <f t="shared" si="59"/>
        <v>53.450635915877044</v>
      </c>
    </row>
    <row r="47" spans="1:73" x14ac:dyDescent="0.2">
      <c r="A47" t="str">
        <f>'Input Scenarios'!A47</f>
        <v>ACT</v>
      </c>
      <c r="B47">
        <f>'Input Scenarios'!B47</f>
        <v>0</v>
      </c>
      <c r="C47" t="str">
        <f>'Input Scenarios'!C47</f>
        <v>Non-irrigated crop (low rainfall)</v>
      </c>
      <c r="D47" t="str">
        <f>'Input Scenarios'!D47</f>
        <v>wet</v>
      </c>
      <c r="E47" t="b">
        <f>'Input Scenarios'!E47</f>
        <v>1</v>
      </c>
      <c r="F47" t="str">
        <f>'Input Scenarios'!F47</f>
        <v>Limited feedpad</v>
      </c>
      <c r="G47">
        <f>IF('Input Scenarios'!G47&lt;&gt;"", 'Input Scenarios'!G47, _xlfn.XLOOKUP($F47, Constants!$M$6:$M$9,Constants!N$6:N$9))</f>
        <v>0.79</v>
      </c>
      <c r="H47">
        <f>IF('Input Scenarios'!H47&lt;&gt;"", 'Input Scenarios'!H47, _xlfn.XLOOKUP($F47, Constants!$M$6:$M$9,Constants!O$6:O$9))</f>
        <v>0.11</v>
      </c>
      <c r="I47">
        <f>IF('Input Scenarios'!I47&lt;&gt;"", 'Input Scenarios'!I47, _xlfn.XLOOKUP($F47, Constants!$M$6:$M$9,Constants!P$6:P$9))</f>
        <v>0.1</v>
      </c>
      <c r="J47">
        <f>'Input Scenarios'!J47</f>
        <v>0</v>
      </c>
      <c r="K47">
        <f>'Input Scenarios'!K47</f>
        <v>0</v>
      </c>
      <c r="L47">
        <f>'Input Scenarios'!L47</f>
        <v>1</v>
      </c>
      <c r="M47">
        <f>'Input Scenarios'!M47</f>
        <v>0</v>
      </c>
      <c r="N47">
        <f>'Input Scenarios'!N47</f>
        <v>1</v>
      </c>
      <c r="O47">
        <f>'Input Scenarios'!O47</f>
        <v>0</v>
      </c>
      <c r="P47">
        <f>'Input Scenarios'!P47</f>
        <v>0</v>
      </c>
      <c r="Q47">
        <f>'Input Scenarios'!Q47</f>
        <v>0</v>
      </c>
      <c r="R47" t="b">
        <f>'Input Scenarios'!R47</f>
        <v>1</v>
      </c>
      <c r="S47">
        <f>IF('Input Scenarios'!S47&lt;&gt;"", 'Input Scenarios'!S47, IF(R47, Constants!$B$38, 0))</f>
        <v>0.2</v>
      </c>
      <c r="T47" t="str">
        <f>IF('Input Scenarios'!T47&lt;&gt;"", 'Input Scenarios'!T47, "")</f>
        <v/>
      </c>
      <c r="U47">
        <f>IF('Input Scenarios'!U47&lt;&gt;"", 'Input Scenarios'!U47, IF(W47&lt;&gt;"", "", Constants!$B$39))</f>
        <v>4</v>
      </c>
      <c r="V47">
        <f>IF('Input Scenarios'!V47&lt;&gt;"", 'Input Scenarios'!V47, IF(W47&lt;&gt;"", "", Constants!$B$40))</f>
        <v>3.3</v>
      </c>
      <c r="W47" t="str">
        <f>IF('Input Scenarios'!W47&lt;&gt;"", 'Input Scenarios'!W47, "")</f>
        <v/>
      </c>
      <c r="X47" t="str">
        <f>'Input Scenarios'!X47</f>
        <v>Jersey crossbred</v>
      </c>
      <c r="Y47" t="str">
        <f>'Input Scenarios'!Y47</f>
        <v>bullsGt1</v>
      </c>
      <c r="Z47">
        <f>'Input Scenarios'!Z47</f>
        <v>200</v>
      </c>
      <c r="AA47">
        <f>IF('Input Scenarios'!AA47&lt;&gt;"", 'Input Scenarios'!AA47, _xlfn.XLOOKUP(Y47,Constants!$J$6:$J$12,Constants!$K$6:$K$12))</f>
        <v>365</v>
      </c>
      <c r="AB47">
        <f>IF('Input Scenarios'!AB47&lt;&gt;"", 'Input Scenarios'!AB47, INDEX(Constants!$B$2:$H$11, MATCH(X47, Constants!$A$2:$A$11, 0), MATCH(Y47,Constants!$B$1:$H$1, 0)))</f>
        <v>600</v>
      </c>
      <c r="AC47">
        <f>IF('Input Scenarios'!AC47&lt;&gt;"", 'Input Scenarios'!AC47, _xlfn.XLOOKUP(Y47, Constants!$B$13:$H$13, Constants!$B$15:$H$15, ""))</f>
        <v>0.1</v>
      </c>
      <c r="AD47">
        <f>IF('Input Scenarios'!AD47&lt;&gt;"", 'Input Scenarios'!AD47, Constants!$B$45)</f>
        <v>0.75</v>
      </c>
      <c r="AE47">
        <f>IF('Input Scenarios'!AE47&lt;&gt;"", 'Input Scenarios'!AE47, Constants!$B$46)</f>
        <v>0.2</v>
      </c>
      <c r="AF47">
        <f t="shared" si="60"/>
        <v>0</v>
      </c>
      <c r="AG47">
        <f t="shared" si="60"/>
        <v>0</v>
      </c>
      <c r="AH47">
        <f t="shared" si="60"/>
        <v>0</v>
      </c>
      <c r="AI47">
        <f t="shared" si="60"/>
        <v>0</v>
      </c>
      <c r="AJ47">
        <f t="shared" si="61"/>
        <v>1</v>
      </c>
      <c r="AK47">
        <f t="shared" si="71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49"/>
        <v>0.5948500000000001</v>
      </c>
      <c r="AQ47">
        <f t="shared" si="50"/>
        <v>0</v>
      </c>
      <c r="AR47">
        <f>IF(Y47="milkingCows", Constants!$P$2, Constants!$P$3)</f>
        <v>1</v>
      </c>
      <c r="AS47">
        <f t="shared" si="51"/>
        <v>9.0270202499999979</v>
      </c>
      <c r="AT47">
        <f t="shared" si="52"/>
        <v>1.0213029780639273</v>
      </c>
      <c r="AU47">
        <f>_xlfn.XLOOKUP(Y47, Constants!$B$13:$H$13, Constants!$B$14:$H$14, "")</f>
        <v>770</v>
      </c>
      <c r="AV47">
        <f t="shared" si="53"/>
        <v>0.77922077922077926</v>
      </c>
      <c r="AW47">
        <f>Constants!$B$55</f>
        <v>6.25</v>
      </c>
      <c r="AX47">
        <f t="shared" si="63"/>
        <v>1.2626203146474679E-3</v>
      </c>
      <c r="AY47">
        <f t="shared" si="64"/>
        <v>1.8054040499999997</v>
      </c>
      <c r="AZ47">
        <f t="shared" si="18"/>
        <v>0.28546836331241399</v>
      </c>
      <c r="BA47" t="str">
        <f>IF(ISNUMBER(FIND("PreWeaned",Y47)),_xlfn.XLOOKUP(Y47,Constants!$J$2:$J$3,Constants!$M$2:$M$3),"")</f>
        <v/>
      </c>
      <c r="BB47">
        <f t="shared" si="65"/>
        <v>20839.19052180622</v>
      </c>
      <c r="BC47">
        <f t="shared" si="66"/>
        <v>0</v>
      </c>
      <c r="BD47">
        <f t="shared" si="67"/>
        <v>0</v>
      </c>
      <c r="BE47">
        <f t="shared" si="68"/>
        <v>0</v>
      </c>
      <c r="BF47">
        <f t="shared" si="69"/>
        <v>0</v>
      </c>
      <c r="BG47">
        <f t="shared" si="70"/>
        <v>20839.19052180622</v>
      </c>
      <c r="BH47">
        <f>Constants!$C$19</f>
        <v>0</v>
      </c>
      <c r="BI47">
        <f>Constants!$C$20</f>
        <v>0</v>
      </c>
      <c r="BJ47">
        <f>Constants!$C$21</f>
        <v>0</v>
      </c>
      <c r="BK47">
        <f>Constants!$C$22</f>
        <v>5.0000000000000001E-3</v>
      </c>
      <c r="BL47">
        <f>Constants!$C$23</f>
        <v>0</v>
      </c>
      <c r="BM47">
        <f>Constants!$B$50</f>
        <v>1.57</v>
      </c>
      <c r="BN47">
        <f>_xlfn.XLOOKUP(D47,Constants!$A$34:$A$35,Constants!$B$34:$B$35)</f>
        <v>6.0000000000000001E-3</v>
      </c>
      <c r="BO47">
        <f t="shared" si="54"/>
        <v>0</v>
      </c>
      <c r="BP47">
        <f t="shared" si="55"/>
        <v>0</v>
      </c>
      <c r="BQ47">
        <f t="shared" si="56"/>
        <v>0</v>
      </c>
      <c r="BR47">
        <f t="shared" si="57"/>
        <v>0</v>
      </c>
      <c r="BS47">
        <f t="shared" si="58"/>
        <v>0</v>
      </c>
      <c r="BT47">
        <f t="shared" si="59"/>
        <v>196.30517471541461</v>
      </c>
    </row>
    <row r="48" spans="1:73" x14ac:dyDescent="0.2">
      <c r="A48" t="str">
        <f>'Input Scenarios'!A48</f>
        <v>ACT</v>
      </c>
      <c r="B48">
        <f>'Input Scenarios'!B48</f>
        <v>0</v>
      </c>
      <c r="C48" t="str">
        <f>'Input Scenarios'!C48</f>
        <v>Non-irrigated crop (low rainfall)</v>
      </c>
      <c r="D48" t="str">
        <f>'Input Scenarios'!D48</f>
        <v>wet</v>
      </c>
      <c r="E48" t="b">
        <f>'Input Scenarios'!E48</f>
        <v>1</v>
      </c>
      <c r="F48" t="str">
        <f>'Input Scenarios'!F48</f>
        <v>Limited feedpad</v>
      </c>
      <c r="G48">
        <f>IF('Input Scenarios'!G48&lt;&gt;"", 'Input Scenarios'!G48, _xlfn.XLOOKUP($F48, Constants!$M$6:$M$9,Constants!N$6:N$9))</f>
        <v>0.79</v>
      </c>
      <c r="H48">
        <f>IF('Input Scenarios'!H48&lt;&gt;"", 'Input Scenarios'!H48, _xlfn.XLOOKUP($F48, Constants!$M$6:$M$9,Constants!O$6:O$9))</f>
        <v>0.11</v>
      </c>
      <c r="I48">
        <f>IF('Input Scenarios'!I48&lt;&gt;"", 'Input Scenarios'!I48, _xlfn.XLOOKUP($F48, Constants!$M$6:$M$9,Constants!P$6:P$9))</f>
        <v>0.1</v>
      </c>
      <c r="J48">
        <f>'Input Scenarios'!J48</f>
        <v>0</v>
      </c>
      <c r="K48">
        <f>'Input Scenarios'!K48</f>
        <v>0</v>
      </c>
      <c r="L48">
        <f>'Input Scenarios'!L48</f>
        <v>1</v>
      </c>
      <c r="M48">
        <f>'Input Scenarios'!M48</f>
        <v>0</v>
      </c>
      <c r="N48">
        <f>'Input Scenarios'!N48</f>
        <v>1</v>
      </c>
      <c r="O48">
        <f>'Input Scenarios'!O48</f>
        <v>0</v>
      </c>
      <c r="P48">
        <f>'Input Scenarios'!P48</f>
        <v>0</v>
      </c>
      <c r="Q48">
        <f>'Input Scenarios'!Q48</f>
        <v>0</v>
      </c>
      <c r="R48" t="b">
        <f>'Input Scenarios'!R48</f>
        <v>1</v>
      </c>
      <c r="S48">
        <f>IF('Input Scenarios'!S48&lt;&gt;"", 'Input Scenarios'!S48, IF(R48, Constants!$B$38, 0))</f>
        <v>0.2</v>
      </c>
      <c r="T48" t="str">
        <f>IF('Input Scenarios'!T48&lt;&gt;"", 'Input Scenarios'!T48, "")</f>
        <v/>
      </c>
      <c r="U48">
        <f>IF('Input Scenarios'!U48&lt;&gt;"", 'Input Scenarios'!U48, IF(W48&lt;&gt;"", "", Constants!$B$39))</f>
        <v>4</v>
      </c>
      <c r="V48">
        <f>IF('Input Scenarios'!V48&lt;&gt;"", 'Input Scenarios'!V48, IF(W48&lt;&gt;"", "", Constants!$B$40))</f>
        <v>3.3</v>
      </c>
      <c r="W48" t="str">
        <f>IF('Input Scenarios'!W48&lt;&gt;"", 'Input Scenarios'!W48, "")</f>
        <v/>
      </c>
      <c r="X48" t="str">
        <f>'Input Scenarios'!X48</f>
        <v>Jersey crossbred</v>
      </c>
      <c r="Y48" t="str">
        <f>'Input Scenarios'!Y48</f>
        <v>bullsLt1PreWeaned</v>
      </c>
      <c r="Z48">
        <f>'Input Scenarios'!Z48</f>
        <v>200</v>
      </c>
      <c r="AA48">
        <f>IF('Input Scenarios'!AA48&lt;&gt;"", 'Input Scenarios'!AA48, _xlfn.XLOOKUP(Y48,Constants!$J$6:$J$12,Constants!$K$6:$K$12))</f>
        <v>84</v>
      </c>
      <c r="AB48">
        <f>IF('Input Scenarios'!AB48&lt;&gt;"", 'Input Scenarios'!AB48, INDEX(Constants!$B$2:$H$11, MATCH(X48, Constants!$A$2:$A$11, 0), MATCH(Y48,Constants!$B$1:$H$1, 0)))</f>
        <v>225</v>
      </c>
      <c r="AC48" t="str">
        <f>IF('Input Scenarios'!AC48&lt;&gt;"", 'Input Scenarios'!AC48, _xlfn.XLOOKUP(Y48, Constants!$B$13:$H$13, Constants!$B$15:$H$15, ""))</f>
        <v/>
      </c>
      <c r="AD48">
        <f>IF('Input Scenarios'!AD48&lt;&gt;"", 'Input Scenarios'!AD48, Constants!$B$45)</f>
        <v>0.75</v>
      </c>
      <c r="AE48">
        <f>IF('Input Scenarios'!AE48&lt;&gt;"", 'Input Scenarios'!AE48, Constants!$B$46)</f>
        <v>0.2</v>
      </c>
      <c r="AF48">
        <f t="shared" si="60"/>
        <v>0</v>
      </c>
      <c r="AG48">
        <f t="shared" si="60"/>
        <v>0</v>
      </c>
      <c r="AH48">
        <f t="shared" si="60"/>
        <v>0</v>
      </c>
      <c r="AI48">
        <f t="shared" si="60"/>
        <v>0</v>
      </c>
      <c r="AJ48">
        <f t="shared" si="61"/>
        <v>1</v>
      </c>
      <c r="AK48">
        <f t="shared" si="71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49"/>
        <v>0.5948500000000001</v>
      </c>
      <c r="AQ48">
        <f t="shared" si="50"/>
        <v>0</v>
      </c>
      <c r="AR48">
        <f>IF(Y48="milkingCows", Constants!$P$2, Constants!$P$3)</f>
        <v>1</v>
      </c>
      <c r="AS48" t="str">
        <f t="shared" si="51"/>
        <v/>
      </c>
      <c r="AT48" t="str">
        <f t="shared" si="52"/>
        <v/>
      </c>
      <c r="AU48" t="str">
        <f>_xlfn.XLOOKUP(Y48, Constants!$B$13:$H$13, Constants!$B$14:$H$14, "")</f>
        <v/>
      </c>
      <c r="AV48" t="str">
        <f t="shared" si="53"/>
        <v/>
      </c>
      <c r="AW48">
        <f>Constants!$B$55</f>
        <v>6.25</v>
      </c>
      <c r="AX48" t="str">
        <f t="shared" si="63"/>
        <v/>
      </c>
      <c r="AY48" t="str">
        <f t="shared" si="64"/>
        <v/>
      </c>
      <c r="AZ48" t="str">
        <f t="shared" si="18"/>
        <v/>
      </c>
      <c r="BA48">
        <f>IF(ISNUMBER(FIND("PreWeaned",Y48)),_xlfn.XLOOKUP(Y48,Constants!$J$2:$J$3,Constants!$M$2:$M$3),"")</f>
        <v>9.1999999999999998E-3</v>
      </c>
      <c r="BB48">
        <f t="shared" si="65"/>
        <v>154.56</v>
      </c>
      <c r="BC48">
        <f t="shared" si="66"/>
        <v>0</v>
      </c>
      <c r="BD48">
        <f t="shared" si="67"/>
        <v>0</v>
      </c>
      <c r="BE48">
        <f t="shared" si="68"/>
        <v>0</v>
      </c>
      <c r="BF48">
        <f t="shared" si="69"/>
        <v>0</v>
      </c>
      <c r="BG48">
        <f t="shared" si="70"/>
        <v>154.56</v>
      </c>
      <c r="BH48">
        <f>Constants!$C$19</f>
        <v>0</v>
      </c>
      <c r="BI48">
        <f>Constants!$C$20</f>
        <v>0</v>
      </c>
      <c r="BJ48">
        <f>Constants!$C$21</f>
        <v>0</v>
      </c>
      <c r="BK48">
        <f>Constants!$C$22</f>
        <v>5.0000000000000001E-3</v>
      </c>
      <c r="BL48">
        <f>Constants!$C$23</f>
        <v>0</v>
      </c>
      <c r="BM48">
        <f>Constants!$B$50</f>
        <v>1.57</v>
      </c>
      <c r="BN48">
        <f>_xlfn.XLOOKUP(D48,Constants!$A$34:$A$35,Constants!$B$34:$B$35)</f>
        <v>6.0000000000000001E-3</v>
      </c>
      <c r="BO48">
        <f t="shared" si="54"/>
        <v>0</v>
      </c>
      <c r="BP48">
        <f t="shared" si="55"/>
        <v>0</v>
      </c>
      <c r="BQ48">
        <f t="shared" si="56"/>
        <v>0</v>
      </c>
      <c r="BR48">
        <f t="shared" si="57"/>
        <v>0</v>
      </c>
      <c r="BS48">
        <f t="shared" si="58"/>
        <v>0</v>
      </c>
      <c r="BT48">
        <f t="shared" si="59"/>
        <v>1.4559552000000002</v>
      </c>
    </row>
    <row r="49" spans="1:73" s="16" customFormat="1" x14ac:dyDescent="0.2">
      <c r="A49" s="16" t="str">
        <f>'Input Scenarios'!A49</f>
        <v>ACT</v>
      </c>
      <c r="B49" s="16">
        <f>'Input Scenarios'!B49</f>
        <v>0</v>
      </c>
      <c r="C49" s="16" t="str">
        <f>'Input Scenarios'!C49</f>
        <v>Non-irrigated crop (low rainfall)</v>
      </c>
      <c r="D49" s="16" t="str">
        <f>'Input Scenarios'!D49</f>
        <v>wet</v>
      </c>
      <c r="E49" s="16" t="b">
        <f>'Input Scenarios'!E49</f>
        <v>1</v>
      </c>
      <c r="F49" s="16" t="str">
        <f>'Input Scenarios'!F49</f>
        <v>Limited feedpad</v>
      </c>
      <c r="G49" s="16">
        <f>IF('Input Scenarios'!G49&lt;&gt;"", 'Input Scenarios'!G49, _xlfn.XLOOKUP($F49, Constants!$M$6:$M$9,Constants!N$6:N$9))</f>
        <v>0.79</v>
      </c>
      <c r="H49" s="16">
        <f>IF('Input Scenarios'!H49&lt;&gt;"", 'Input Scenarios'!H49, _xlfn.XLOOKUP($F49, Constants!$M$6:$M$9,Constants!O$6:O$9))</f>
        <v>0.11</v>
      </c>
      <c r="I49" s="16">
        <f>IF('Input Scenarios'!I49&lt;&gt;"", 'Input Scenarios'!I49, _xlfn.XLOOKUP($F49, Constants!$M$6:$M$9,Constants!P$6:P$9))</f>
        <v>0.1</v>
      </c>
      <c r="J49" s="16">
        <f>'Input Scenarios'!J49</f>
        <v>0</v>
      </c>
      <c r="K49" s="16">
        <f>'Input Scenarios'!K49</f>
        <v>0</v>
      </c>
      <c r="L49" s="16">
        <f>'Input Scenarios'!L49</f>
        <v>1</v>
      </c>
      <c r="M49" s="16">
        <f>'Input Scenarios'!M49</f>
        <v>0</v>
      </c>
      <c r="N49" s="16">
        <f>'Input Scenarios'!N49</f>
        <v>1</v>
      </c>
      <c r="O49" s="16">
        <f>'Input Scenarios'!O49</f>
        <v>0</v>
      </c>
      <c r="P49" s="16">
        <f>'Input Scenarios'!P49</f>
        <v>0</v>
      </c>
      <c r="Q49" s="16">
        <f>'Input Scenarios'!Q49</f>
        <v>0</v>
      </c>
      <c r="R49" s="16" t="b">
        <f>'Input Scenarios'!R49</f>
        <v>1</v>
      </c>
      <c r="S49" s="16">
        <f>IF('Input Scenarios'!S49&lt;&gt;"", 'Input Scenarios'!S49, IF(R49, Constants!$B$38, 0))</f>
        <v>0.2</v>
      </c>
      <c r="T49" s="16" t="str">
        <f>IF('Input Scenarios'!T49&lt;&gt;"", 'Input Scenarios'!T49, "")</f>
        <v/>
      </c>
      <c r="U49" s="16">
        <f>IF('Input Scenarios'!U49&lt;&gt;"", 'Input Scenarios'!U49, IF(W49&lt;&gt;"", "", Constants!$B$39))</f>
        <v>4</v>
      </c>
      <c r="V49" s="16">
        <f>IF('Input Scenarios'!V49&lt;&gt;"", 'Input Scenarios'!V49, IF(W49&lt;&gt;"", "", Constants!$B$40))</f>
        <v>3.3</v>
      </c>
      <c r="W49" s="16" t="str">
        <f>IF('Input Scenarios'!W49&lt;&gt;"", 'Input Scenarios'!W49, "")</f>
        <v/>
      </c>
      <c r="X49" s="16" t="str">
        <f>'Input Scenarios'!X49</f>
        <v>Jersey crossbred</v>
      </c>
      <c r="Y49" s="16" t="str">
        <f>'Input Scenarios'!Y49</f>
        <v>bullsLt1Weaned</v>
      </c>
      <c r="Z49" s="16">
        <f>'Input Scenarios'!Z49</f>
        <v>200</v>
      </c>
      <c r="AA49" s="16">
        <f>IF('Input Scenarios'!AA49&lt;&gt;"", 'Input Scenarios'!AA49, _xlfn.XLOOKUP(Y49,Constants!$J$6:$J$12,Constants!$K$6:$K$12))</f>
        <v>281</v>
      </c>
      <c r="AB49" s="16">
        <f>IF('Input Scenarios'!AB49&lt;&gt;"", 'Input Scenarios'!AB49, INDEX(Constants!$B$2:$H$11, MATCH(X49, Constants!$A$2:$A$11, 0), MATCH(Y49,Constants!$B$1:$H$1, 0)))</f>
        <v>225</v>
      </c>
      <c r="AC49" s="16">
        <f>IF('Input Scenarios'!AC49&lt;&gt;"", 'Input Scenarios'!AC49, _xlfn.XLOOKUP(Y49, Constants!$B$13:$H$13, Constants!$B$15:$H$15, ""))</f>
        <v>0.8</v>
      </c>
      <c r="AD49" s="16">
        <f>IF('Input Scenarios'!AD49&lt;&gt;"", 'Input Scenarios'!AD49, Constants!$B$45)</f>
        <v>0.75</v>
      </c>
      <c r="AE49" s="16">
        <f>IF('Input Scenarios'!AE49&lt;&gt;"", 'Input Scenarios'!AE49, Constants!$B$46)</f>
        <v>0.2</v>
      </c>
      <c r="AF49" s="16">
        <f t="shared" si="60"/>
        <v>0</v>
      </c>
      <c r="AG49" s="16">
        <f t="shared" si="60"/>
        <v>0</v>
      </c>
      <c r="AH49" s="16">
        <f t="shared" si="60"/>
        <v>0</v>
      </c>
      <c r="AI49" s="16">
        <f t="shared" si="60"/>
        <v>0</v>
      </c>
      <c r="AJ49" s="16">
        <f t="shared" si="61"/>
        <v>1</v>
      </c>
      <c r="AK49" s="16">
        <f t="shared" si="71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49"/>
        <v>0.5948500000000001</v>
      </c>
      <c r="AQ49" s="16">
        <f t="shared" si="50"/>
        <v>0</v>
      </c>
      <c r="AR49" s="16">
        <f>IF(Y49="milkingCows", Constants!$P$2, Constants!$P$3)</f>
        <v>1</v>
      </c>
      <c r="AS49" s="16">
        <f t="shared" si="51"/>
        <v>5.4143472656250013</v>
      </c>
      <c r="AT49" s="16">
        <f t="shared" si="52"/>
        <v>1.2576570545672616</v>
      </c>
      <c r="AU49" s="16">
        <f>_xlfn.XLOOKUP(Y49, Constants!$B$13:$H$13, Constants!$B$14:$H$14, "")</f>
        <v>770</v>
      </c>
      <c r="AV49" s="16">
        <f t="shared" si="53"/>
        <v>0.29220779220779219</v>
      </c>
      <c r="AW49" s="16">
        <f>Constants!$B$55</f>
        <v>6.25</v>
      </c>
      <c r="AX49" s="16">
        <f t="shared" si="63"/>
        <v>1.9757354894894084E-2</v>
      </c>
      <c r="AY49" s="16">
        <f t="shared" si="64"/>
        <v>1.0828694531250003</v>
      </c>
      <c r="AZ49" s="16">
        <f t="shared" si="18"/>
        <v>0.15247929000170721</v>
      </c>
      <c r="BA49" s="16" t="str">
        <f>IF(ISNUMBER(FIND("PreWeaned",Y49)),_xlfn.XLOOKUP(Y49,Constants!$J$2:$J$3,Constants!$M$2:$M$3),"")</f>
        <v/>
      </c>
      <c r="BB49" s="16">
        <f t="shared" si="65"/>
        <v>8569.336098095946</v>
      </c>
      <c r="BC49" s="16">
        <f t="shared" si="66"/>
        <v>0</v>
      </c>
      <c r="BD49" s="16">
        <f t="shared" si="67"/>
        <v>0</v>
      </c>
      <c r="BE49" s="16">
        <f t="shared" si="68"/>
        <v>0</v>
      </c>
      <c r="BF49" s="16">
        <f t="shared" si="69"/>
        <v>0</v>
      </c>
      <c r="BG49" s="16">
        <f t="shared" si="70"/>
        <v>8569.336098095946</v>
      </c>
      <c r="BH49" s="16">
        <f>Constants!$C$19</f>
        <v>0</v>
      </c>
      <c r="BI49" s="16">
        <f>Constants!$C$20</f>
        <v>0</v>
      </c>
      <c r="BJ49" s="16">
        <f>Constants!$C$21</f>
        <v>0</v>
      </c>
      <c r="BK49" s="16">
        <f>Constants!$C$22</f>
        <v>5.0000000000000001E-3</v>
      </c>
      <c r="BL49" s="16">
        <f>Constants!$C$23</f>
        <v>0</v>
      </c>
      <c r="BM49" s="16">
        <f>Constants!$B$50</f>
        <v>1.57</v>
      </c>
      <c r="BN49" s="16">
        <f>_xlfn.XLOOKUP(D49,Constants!$A$34:$A$35,Constants!$B$34:$B$35)</f>
        <v>6.0000000000000001E-3</v>
      </c>
      <c r="BO49" s="16">
        <f t="shared" si="54"/>
        <v>0</v>
      </c>
      <c r="BP49" s="16">
        <f t="shared" si="55"/>
        <v>0</v>
      </c>
      <c r="BQ49" s="16">
        <f t="shared" si="56"/>
        <v>0</v>
      </c>
      <c r="BR49" s="16">
        <f t="shared" si="57"/>
        <v>0</v>
      </c>
      <c r="BS49" s="16">
        <f t="shared" si="58"/>
        <v>0</v>
      </c>
      <c r="BT49" s="16">
        <f t="shared" si="59"/>
        <v>80.723146044063824</v>
      </c>
    </row>
    <row r="50" spans="1:73" x14ac:dyDescent="0.2">
      <c r="A50" t="str">
        <f>'Input Scenarios'!A50</f>
        <v>WA</v>
      </c>
      <c r="B50">
        <f>'Input Scenarios'!B50</f>
        <v>0</v>
      </c>
      <c r="C50" t="str">
        <f>'Input Scenarios'!C50</f>
        <v>Irrigated pasture</v>
      </c>
      <c r="D50" t="str">
        <f>'Input Scenarios'!D50</f>
        <v>dry</v>
      </c>
      <c r="E50" t="b">
        <f>'Input Scenarios'!E50</f>
        <v>0</v>
      </c>
      <c r="F50" t="str">
        <f>'Input Scenarios'!F50</f>
        <v>Grazed only</v>
      </c>
      <c r="G50">
        <f>IF('Input Scenarios'!G50&lt;&gt;"", 'Input Scenarios'!G50, _xlfn.XLOOKUP($F50, Constants!$M$6:$M$9,Constants!N$6:N$9))</f>
        <v>0.89</v>
      </c>
      <c r="H50">
        <f>IF('Input Scenarios'!H50&lt;&gt;"", 'Input Scenarios'!H50, _xlfn.XLOOKUP($F50, Constants!$M$6:$M$9,Constants!O$6:O$9))</f>
        <v>0.11</v>
      </c>
      <c r="I50">
        <f>IF('Input Scenarios'!I50&lt;&gt;"", 'Input Scenarios'!I50, _xlfn.XLOOKUP($F50, Constants!$M$6:$M$9,Constants!P$6:P$9))</f>
        <v>0</v>
      </c>
      <c r="J50">
        <f>'Input Scenarios'!J50</f>
        <v>0</v>
      </c>
      <c r="K50">
        <f>'Input Scenarios'!K50</f>
        <v>0.5</v>
      </c>
      <c r="L50">
        <f>'Input Scenarios'!L50</f>
        <v>0.5</v>
      </c>
      <c r="M50">
        <f>'Input Scenarios'!M50</f>
        <v>0</v>
      </c>
      <c r="N50">
        <f>'Input Scenarios'!N50</f>
        <v>0.5</v>
      </c>
      <c r="O50">
        <f>'Input Scenarios'!O50</f>
        <v>0</v>
      </c>
      <c r="P50">
        <f>'Input Scenarios'!P50</f>
        <v>0</v>
      </c>
      <c r="Q50">
        <f>'Input Scenarios'!Q50</f>
        <v>0.5</v>
      </c>
      <c r="R50" t="b">
        <f>'Input Scenarios'!R50</f>
        <v>0</v>
      </c>
      <c r="S50">
        <f>IF('Input Scenarios'!S50&lt;&gt;"", 'Input Scenarios'!S50, IF(R50, Constants!$B$38, 0))</f>
        <v>0</v>
      </c>
      <c r="T50">
        <f>IF('Input Scenarios'!T50&lt;&gt;"", 'Input Scenarios'!T50, "")</f>
        <v>2.5</v>
      </c>
      <c r="U50">
        <f>IF('Input Scenarios'!U50&lt;&gt;"", 'Input Scenarios'!U50, IF(W50&lt;&gt;"", "", Constants!$B$39))</f>
        <v>4</v>
      </c>
      <c r="V50">
        <f>IF('Input Scenarios'!V50&lt;&gt;"", 'Input Scenarios'!V50, IF(W50&lt;&gt;"", "", Constants!$B$40))</f>
        <v>3.3</v>
      </c>
      <c r="W50" t="str">
        <f>IF('Input Scenarios'!W50&lt;&gt;"", 'Input Scenarios'!W50, "")</f>
        <v/>
      </c>
      <c r="X50" t="str">
        <f>'Input Scenarios'!X50</f>
        <v>Ayrshire</v>
      </c>
      <c r="Y50" t="str">
        <f>'Input Scenarios'!Y50</f>
        <v>milkingCows</v>
      </c>
      <c r="Z50">
        <f>'Input Scenarios'!Z50</f>
        <v>200</v>
      </c>
      <c r="AA50">
        <f>IF('Input Scenarios'!AA50&lt;&gt;"", 'Input Scenarios'!AA50, _xlfn.XLOOKUP(Y50,Constants!$J$6:$J$12,Constants!$K$6:$K$12))</f>
        <v>365</v>
      </c>
      <c r="AB50">
        <f>IF('Input Scenarios'!AB50&lt;&gt;"", 'Input Scenarios'!AB50, INDEX(Constants!$B$2:$H$11, MATCH(X50, Constants!$A$2:$A$11, 0), MATCH(Y50,Constants!$B$1:$H$1, 0)))</f>
        <v>540</v>
      </c>
      <c r="AC50">
        <f>IF('Input Scenarios'!AC50&lt;&gt;"", 'Input Scenarios'!AC50, _xlfn.XLOOKUP(Y50, Constants!$B$13:$H$13, Constants!$B$15:$H$15, ""))</f>
        <v>1.6E-2</v>
      </c>
      <c r="AD50">
        <f>IF('Input Scenarios'!AD50&lt;&gt;"", 'Input Scenarios'!AD50, Constants!$B$45)</f>
        <v>0.75</v>
      </c>
      <c r="AE50">
        <f>IF('Input Scenarios'!AE50&lt;&gt;"", 'Input Scenarios'!AE50, Constants!$B$46)</f>
        <v>0.2</v>
      </c>
      <c r="AF50" s="20">
        <f t="shared" si="60"/>
        <v>0</v>
      </c>
      <c r="AG50" s="20">
        <f t="shared" si="60"/>
        <v>5.5E-2</v>
      </c>
      <c r="AH50" s="20">
        <f t="shared" si="60"/>
        <v>5.5E-2</v>
      </c>
      <c r="AI50" s="20">
        <f t="shared" si="60"/>
        <v>0</v>
      </c>
      <c r="AJ50" s="20">
        <f t="shared" si="61"/>
        <v>0.89</v>
      </c>
      <c r="AK50">
        <f t="shared" si="71"/>
        <v>34.246575342465754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49"/>
        <v>0.5948500000000001</v>
      </c>
      <c r="AQ50">
        <f t="shared" si="50"/>
        <v>16.403890691108206</v>
      </c>
      <c r="AR50">
        <f>IF(Y50="milkingCows", Constants!$P$2, Constants!$P$3)</f>
        <v>1.1000000000000001</v>
      </c>
      <c r="AS50">
        <f t="shared" si="51"/>
        <v>25.549793292548209</v>
      </c>
      <c r="AT50">
        <f t="shared" si="52"/>
        <v>1.0012518329511055</v>
      </c>
      <c r="AU50">
        <f>_xlfn.XLOOKUP(Y50, Constants!$B$13:$H$13, Constants!$B$14:$H$14, "")</f>
        <v>590</v>
      </c>
      <c r="AV50">
        <f t="shared" si="53"/>
        <v>0.9152542372881356</v>
      </c>
      <c r="AW50">
        <f>Constants!$B$55</f>
        <v>6.25</v>
      </c>
      <c r="AX50" s="20">
        <f t="shared" si="63"/>
        <v>0.17710746817205636</v>
      </c>
      <c r="AY50">
        <f t="shared" si="64"/>
        <v>5.1099586585096421</v>
      </c>
      <c r="AZ50">
        <f t="shared" si="18"/>
        <v>0.63851436631743641</v>
      </c>
      <c r="BA50" t="str">
        <f>IF(ISNUMBER(FIND("PreWeaned",Y50)),_xlfn.XLOOKUP(Y50,Constants!$J$2:$J$3,Constants!$M$2:$M$3),"")</f>
        <v/>
      </c>
      <c r="BB50">
        <f t="shared" si="65"/>
        <v>46611.548741172854</v>
      </c>
      <c r="BC50">
        <f t="shared" si="66"/>
        <v>0</v>
      </c>
      <c r="BD50">
        <f t="shared" si="67"/>
        <v>2563.6351807645069</v>
      </c>
      <c r="BE50">
        <f t="shared" si="68"/>
        <v>2563.6351807645069</v>
      </c>
      <c r="BF50">
        <f t="shared" si="69"/>
        <v>0</v>
      </c>
      <c r="BG50">
        <f t="shared" si="70"/>
        <v>41484.278379643838</v>
      </c>
      <c r="BH50">
        <f>Constants!$C$19</f>
        <v>0</v>
      </c>
      <c r="BI50">
        <f>Constants!$C$20</f>
        <v>0</v>
      </c>
      <c r="BJ50">
        <f>Constants!$C$21</f>
        <v>0</v>
      </c>
      <c r="BK50">
        <f>Constants!$C$22</f>
        <v>5.0000000000000001E-3</v>
      </c>
      <c r="BL50">
        <f>Constants!$C$23</f>
        <v>0</v>
      </c>
      <c r="BM50">
        <f>Constants!$B$50</f>
        <v>1.57</v>
      </c>
      <c r="BN50">
        <f>_xlfn.XLOOKUP(D50,Constants!$A$34:$A$35,Constants!$B$34:$B$35)</f>
        <v>2E-3</v>
      </c>
      <c r="BO50">
        <f t="shared" si="54"/>
        <v>0</v>
      </c>
      <c r="BP50">
        <f t="shared" si="55"/>
        <v>0</v>
      </c>
      <c r="BQ50">
        <f t="shared" si="56"/>
        <v>0</v>
      </c>
      <c r="BR50">
        <f t="shared" si="57"/>
        <v>0</v>
      </c>
      <c r="BS50">
        <f t="shared" si="58"/>
        <v>0</v>
      </c>
      <c r="BT50">
        <f t="shared" si="59"/>
        <v>130.26063411208168</v>
      </c>
      <c r="BU50">
        <f>SUM(BO50:BT56)/1000</f>
        <v>0.29490089633936351</v>
      </c>
    </row>
    <row r="51" spans="1:73" x14ac:dyDescent="0.2">
      <c r="A51" t="str">
        <f>'Input Scenarios'!A51</f>
        <v>WA</v>
      </c>
      <c r="B51">
        <f>'Input Scenarios'!B51</f>
        <v>0</v>
      </c>
      <c r="C51" t="str">
        <f>'Input Scenarios'!C51</f>
        <v>Irrigated pasture</v>
      </c>
      <c r="D51" t="str">
        <f>'Input Scenarios'!D51</f>
        <v>dry</v>
      </c>
      <c r="E51" t="b">
        <f>'Input Scenarios'!E51</f>
        <v>0</v>
      </c>
      <c r="F51" t="str">
        <f>'Input Scenarios'!F51</f>
        <v>Grazed only</v>
      </c>
      <c r="G51">
        <f>IF('Input Scenarios'!G51&lt;&gt;"", 'Input Scenarios'!G51, _xlfn.XLOOKUP($F51, Constants!$M$6:$M$9,Constants!N$6:N$9))</f>
        <v>0.89</v>
      </c>
      <c r="H51">
        <f>IF('Input Scenarios'!H51&lt;&gt;"", 'Input Scenarios'!H51, _xlfn.XLOOKUP($F51, Constants!$M$6:$M$9,Constants!O$6:O$9))</f>
        <v>0.11</v>
      </c>
      <c r="I51">
        <f>IF('Input Scenarios'!I51&lt;&gt;"", 'Input Scenarios'!I51, _xlfn.XLOOKUP($F51, Constants!$M$6:$M$9,Constants!P$6:P$9))</f>
        <v>0</v>
      </c>
      <c r="J51">
        <f>'Input Scenarios'!J51</f>
        <v>0</v>
      </c>
      <c r="K51">
        <f>'Input Scenarios'!K51</f>
        <v>0.5</v>
      </c>
      <c r="L51">
        <f>'Input Scenarios'!L51</f>
        <v>0.5</v>
      </c>
      <c r="M51">
        <f>'Input Scenarios'!M51</f>
        <v>0</v>
      </c>
      <c r="N51">
        <f>'Input Scenarios'!N51</f>
        <v>0.5</v>
      </c>
      <c r="O51">
        <f>'Input Scenarios'!O51</f>
        <v>0</v>
      </c>
      <c r="P51">
        <f>'Input Scenarios'!P51</f>
        <v>0</v>
      </c>
      <c r="Q51">
        <f>'Input Scenarios'!Q51</f>
        <v>0.5</v>
      </c>
      <c r="R51" t="b">
        <f>'Input Scenarios'!R51</f>
        <v>0</v>
      </c>
      <c r="S51">
        <f>IF('Input Scenarios'!S51&lt;&gt;"", 'Input Scenarios'!S51, IF(R51, Constants!$B$38, 0))</f>
        <v>0</v>
      </c>
      <c r="T51" t="str">
        <f>IF('Input Scenarios'!T51&lt;&gt;"", 'Input Scenarios'!T51, "")</f>
        <v/>
      </c>
      <c r="U51">
        <f>IF('Input Scenarios'!U51&lt;&gt;"", 'Input Scenarios'!U51, IF(W51&lt;&gt;"", "", Constants!$B$39))</f>
        <v>4</v>
      </c>
      <c r="V51">
        <f>IF('Input Scenarios'!V51&lt;&gt;"", 'Input Scenarios'!V51, IF(W51&lt;&gt;"", "", Constants!$B$40))</f>
        <v>3.3</v>
      </c>
      <c r="W51" t="str">
        <f>IF('Input Scenarios'!W51&lt;&gt;"", 'Input Scenarios'!W51, "")</f>
        <v/>
      </c>
      <c r="X51" t="str">
        <f>'Input Scenarios'!X51</f>
        <v>Ayrshire</v>
      </c>
      <c r="Y51" t="str">
        <f>'Input Scenarios'!Y51</f>
        <v>heifersGt1</v>
      </c>
      <c r="Z51">
        <f>'Input Scenarios'!Z51</f>
        <v>200</v>
      </c>
      <c r="AA51">
        <f>IF('Input Scenarios'!AA51&lt;&gt;"", 'Input Scenarios'!AA51, _xlfn.XLOOKUP(Y51,Constants!$J$6:$J$12,Constants!$K$6:$K$12))</f>
        <v>365</v>
      </c>
      <c r="AB51">
        <f>IF('Input Scenarios'!AB51&lt;&gt;"", 'Input Scenarios'!AB51, INDEX(Constants!$B$2:$H$11, MATCH(X51, Constants!$A$2:$A$11, 0), MATCH(Y51,Constants!$B$1:$H$1, 0)))</f>
        <v>375</v>
      </c>
      <c r="AC51">
        <f>IF('Input Scenarios'!AC51&lt;&gt;"", 'Input Scenarios'!AC51, _xlfn.XLOOKUP(Y51, Constants!$B$13:$H$13, Constants!$B$15:$H$15, ""))</f>
        <v>0.6</v>
      </c>
      <c r="AD51">
        <f>IF('Input Scenarios'!AD51&lt;&gt;"", 'Input Scenarios'!AD51, Constants!$B$45)</f>
        <v>0.75</v>
      </c>
      <c r="AE51">
        <f>IF('Input Scenarios'!AE51&lt;&gt;"", 'Input Scenarios'!AE51, Constants!$B$46)</f>
        <v>0.2</v>
      </c>
      <c r="AF51">
        <f t="shared" si="60"/>
        <v>0</v>
      </c>
      <c r="AG51">
        <f t="shared" si="60"/>
        <v>0</v>
      </c>
      <c r="AH51">
        <f t="shared" si="60"/>
        <v>0</v>
      </c>
      <c r="AI51">
        <f t="shared" si="60"/>
        <v>0</v>
      </c>
      <c r="AJ51">
        <f t="shared" si="61"/>
        <v>1</v>
      </c>
      <c r="AK51">
        <f t="shared" si="71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49"/>
        <v>0.5948500000000001</v>
      </c>
      <c r="AQ51">
        <f t="shared" si="50"/>
        <v>0</v>
      </c>
      <c r="AR51">
        <f>IF(Y51="milkingCows", Constants!$P$2, Constants!$P$3)</f>
        <v>1</v>
      </c>
      <c r="AS51">
        <f t="shared" si="51"/>
        <v>7.3488432656250007</v>
      </c>
      <c r="AT51">
        <f t="shared" si="52"/>
        <v>1.1555051146335733</v>
      </c>
      <c r="AU51">
        <f>_xlfn.XLOOKUP(Y51, Constants!$B$13:$H$13, Constants!$B$14:$H$14, "")</f>
        <v>590</v>
      </c>
      <c r="AV51">
        <f t="shared" si="53"/>
        <v>0.63559322033898302</v>
      </c>
      <c r="AW51">
        <f>Constants!$B$55</f>
        <v>6.25</v>
      </c>
      <c r="AX51">
        <f t="shared" si="63"/>
        <v>8.8952563417278308E-3</v>
      </c>
      <c r="AY51">
        <f t="shared" si="64"/>
        <v>1.4697686531250003</v>
      </c>
      <c r="AZ51">
        <f t="shared" si="18"/>
        <v>0.2247679185945351</v>
      </c>
      <c r="BA51" t="str">
        <f>IF(ISNUMBER(FIND("PreWeaned",Y51)),_xlfn.XLOOKUP(Y51,Constants!$J$2:$J$3,Constants!$M$2:$M$3),"")</f>
        <v/>
      </c>
      <c r="BB51">
        <f t="shared" si="65"/>
        <v>16408.058057401064</v>
      </c>
      <c r="BC51">
        <f t="shared" si="66"/>
        <v>0</v>
      </c>
      <c r="BD51">
        <f t="shared" si="67"/>
        <v>0</v>
      </c>
      <c r="BE51">
        <f t="shared" si="68"/>
        <v>0</v>
      </c>
      <c r="BF51">
        <f t="shared" si="69"/>
        <v>0</v>
      </c>
      <c r="BG51">
        <f t="shared" si="70"/>
        <v>16408.058057401064</v>
      </c>
      <c r="BH51">
        <f>Constants!$C$19</f>
        <v>0</v>
      </c>
      <c r="BI51">
        <f>Constants!$C$20</f>
        <v>0</v>
      </c>
      <c r="BJ51">
        <f>Constants!$C$21</f>
        <v>0</v>
      </c>
      <c r="BK51">
        <f>Constants!$C$22</f>
        <v>5.0000000000000001E-3</v>
      </c>
      <c r="BL51">
        <f>Constants!$C$23</f>
        <v>0</v>
      </c>
      <c r="BM51">
        <f>Constants!$B$50</f>
        <v>1.57</v>
      </c>
      <c r="BN51">
        <f>_xlfn.XLOOKUP(D51,Constants!$A$34:$A$35,Constants!$B$34:$B$35)</f>
        <v>2E-3</v>
      </c>
      <c r="BO51">
        <f t="shared" si="54"/>
        <v>0</v>
      </c>
      <c r="BP51">
        <f t="shared" si="55"/>
        <v>0</v>
      </c>
      <c r="BQ51">
        <f t="shared" si="56"/>
        <v>0</v>
      </c>
      <c r="BR51">
        <f t="shared" si="57"/>
        <v>0</v>
      </c>
      <c r="BS51">
        <f t="shared" si="58"/>
        <v>0</v>
      </c>
      <c r="BT51">
        <f t="shared" si="59"/>
        <v>51.521302300239341</v>
      </c>
    </row>
    <row r="52" spans="1:73" x14ac:dyDescent="0.2">
      <c r="A52" t="str">
        <f>'Input Scenarios'!A52</f>
        <v>WA</v>
      </c>
      <c r="B52">
        <f>'Input Scenarios'!B52</f>
        <v>0</v>
      </c>
      <c r="C52" t="str">
        <f>'Input Scenarios'!C52</f>
        <v>Irrigated pasture</v>
      </c>
      <c r="D52" t="str">
        <f>'Input Scenarios'!D52</f>
        <v>dry</v>
      </c>
      <c r="E52" t="b">
        <f>'Input Scenarios'!E52</f>
        <v>0</v>
      </c>
      <c r="F52" t="str">
        <f>'Input Scenarios'!F52</f>
        <v>Grazed only</v>
      </c>
      <c r="G52">
        <f>IF('Input Scenarios'!G52&lt;&gt;"", 'Input Scenarios'!G52, _xlfn.XLOOKUP($F52, Constants!$M$6:$M$9,Constants!N$6:N$9))</f>
        <v>0.89</v>
      </c>
      <c r="H52">
        <f>IF('Input Scenarios'!H52&lt;&gt;"", 'Input Scenarios'!H52, _xlfn.XLOOKUP($F52, Constants!$M$6:$M$9,Constants!O$6:O$9))</f>
        <v>0.11</v>
      </c>
      <c r="I52">
        <f>IF('Input Scenarios'!I52&lt;&gt;"", 'Input Scenarios'!I52, _xlfn.XLOOKUP($F52, Constants!$M$6:$M$9,Constants!P$6:P$9))</f>
        <v>0</v>
      </c>
      <c r="J52">
        <f>'Input Scenarios'!J52</f>
        <v>0</v>
      </c>
      <c r="K52">
        <f>'Input Scenarios'!K52</f>
        <v>0.5</v>
      </c>
      <c r="L52">
        <f>'Input Scenarios'!L52</f>
        <v>0.5</v>
      </c>
      <c r="M52">
        <f>'Input Scenarios'!M52</f>
        <v>0</v>
      </c>
      <c r="N52">
        <f>'Input Scenarios'!N52</f>
        <v>0.5</v>
      </c>
      <c r="O52">
        <f>'Input Scenarios'!O52</f>
        <v>0</v>
      </c>
      <c r="P52">
        <f>'Input Scenarios'!P52</f>
        <v>0</v>
      </c>
      <c r="Q52">
        <f>'Input Scenarios'!Q52</f>
        <v>0.5</v>
      </c>
      <c r="R52" t="b">
        <f>'Input Scenarios'!R52</f>
        <v>0</v>
      </c>
      <c r="S52">
        <f>IF('Input Scenarios'!S52&lt;&gt;"", 'Input Scenarios'!S52, IF(R52, Constants!$B$38, 0))</f>
        <v>0</v>
      </c>
      <c r="T52" t="str">
        <f>IF('Input Scenarios'!T52&lt;&gt;"", 'Input Scenarios'!T52, "")</f>
        <v/>
      </c>
      <c r="U52">
        <f>IF('Input Scenarios'!U52&lt;&gt;"", 'Input Scenarios'!U52, IF(W52&lt;&gt;"", "", Constants!$B$39))</f>
        <v>4</v>
      </c>
      <c r="V52">
        <f>IF('Input Scenarios'!V52&lt;&gt;"", 'Input Scenarios'!V52, IF(W52&lt;&gt;"", "", Constants!$B$40))</f>
        <v>3.3</v>
      </c>
      <c r="W52" t="str">
        <f>IF('Input Scenarios'!W52&lt;&gt;"", 'Input Scenarios'!W52, "")</f>
        <v/>
      </c>
      <c r="X52" t="str">
        <f>'Input Scenarios'!X52</f>
        <v>Ayrshire</v>
      </c>
      <c r="Y52" t="str">
        <f>'Input Scenarios'!Y52</f>
        <v>heifersLt1PreWeaned</v>
      </c>
      <c r="Z52">
        <f>'Input Scenarios'!Z52</f>
        <v>200</v>
      </c>
      <c r="AA52">
        <f>IF('Input Scenarios'!AA52&lt;&gt;"", 'Input Scenarios'!AA52, _xlfn.XLOOKUP(Y52,Constants!$J$6:$J$12,Constants!$K$6:$K$12))</f>
        <v>84</v>
      </c>
      <c r="AB52">
        <f>IF('Input Scenarios'!AB52&lt;&gt;"", 'Input Scenarios'!AB52, INDEX(Constants!$B$2:$H$11, MATCH(X52, Constants!$A$2:$A$11, 0), MATCH(Y52,Constants!$B$1:$H$1, 0)))</f>
        <v>150</v>
      </c>
      <c r="AC52" t="str">
        <f>IF('Input Scenarios'!AC52&lt;&gt;"", 'Input Scenarios'!AC52, _xlfn.XLOOKUP(Y52, Constants!$B$13:$H$13, Constants!$B$15:$H$15, ""))</f>
        <v/>
      </c>
      <c r="AD52">
        <f>IF('Input Scenarios'!AD52&lt;&gt;"", 'Input Scenarios'!AD52, Constants!$B$45)</f>
        <v>0.75</v>
      </c>
      <c r="AE52">
        <f>IF('Input Scenarios'!AE52&lt;&gt;"", 'Input Scenarios'!AE52, Constants!$B$46)</f>
        <v>0.2</v>
      </c>
      <c r="AF52">
        <f t="shared" si="60"/>
        <v>0</v>
      </c>
      <c r="AG52">
        <f t="shared" si="60"/>
        <v>0</v>
      </c>
      <c r="AH52">
        <f t="shared" si="60"/>
        <v>0</v>
      </c>
      <c r="AI52">
        <f t="shared" si="60"/>
        <v>0</v>
      </c>
      <c r="AJ52">
        <f t="shared" si="61"/>
        <v>1</v>
      </c>
      <c r="AK52">
        <f t="shared" si="71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49"/>
        <v>0.5948500000000001</v>
      </c>
      <c r="AQ52">
        <f t="shared" si="50"/>
        <v>0</v>
      </c>
      <c r="AR52">
        <f>IF(Y52="milkingCows", Constants!$P$2, Constants!$P$3)</f>
        <v>1</v>
      </c>
      <c r="AS52" t="str">
        <f t="shared" si="51"/>
        <v/>
      </c>
      <c r="AT52" t="str">
        <f t="shared" si="52"/>
        <v/>
      </c>
      <c r="AU52" t="str">
        <f>_xlfn.XLOOKUP(Y52, Constants!$B$13:$H$13, Constants!$B$14:$H$14, "")</f>
        <v/>
      </c>
      <c r="AV52" t="str">
        <f t="shared" si="53"/>
        <v/>
      </c>
      <c r="AW52">
        <f>Constants!$B$55</f>
        <v>6.25</v>
      </c>
      <c r="AX52" t="str">
        <f t="shared" si="63"/>
        <v/>
      </c>
      <c r="AY52" t="str">
        <f t="shared" si="64"/>
        <v/>
      </c>
      <c r="AZ52" t="str">
        <f t="shared" si="18"/>
        <v/>
      </c>
      <c r="BA52">
        <f>IF(ISNUMBER(FIND("PreWeaned",Y52)),_xlfn.XLOOKUP(Y52,Constants!$J$2:$J$3,Constants!$M$2:$M$3),"")</f>
        <v>1.37E-2</v>
      </c>
      <c r="BB52">
        <f t="shared" si="65"/>
        <v>230.16000000000003</v>
      </c>
      <c r="BC52">
        <f t="shared" si="66"/>
        <v>0</v>
      </c>
      <c r="BD52">
        <f t="shared" si="67"/>
        <v>0</v>
      </c>
      <c r="BE52">
        <f t="shared" si="68"/>
        <v>0</v>
      </c>
      <c r="BF52">
        <f t="shared" si="69"/>
        <v>0</v>
      </c>
      <c r="BG52">
        <f t="shared" si="70"/>
        <v>230.16000000000003</v>
      </c>
      <c r="BH52">
        <f>Constants!$C$19</f>
        <v>0</v>
      </c>
      <c r="BI52">
        <f>Constants!$C$20</f>
        <v>0</v>
      </c>
      <c r="BJ52">
        <f>Constants!$C$21</f>
        <v>0</v>
      </c>
      <c r="BK52">
        <f>Constants!$C$22</f>
        <v>5.0000000000000001E-3</v>
      </c>
      <c r="BL52">
        <f>Constants!$C$23</f>
        <v>0</v>
      </c>
      <c r="BM52">
        <f>Constants!$B$50</f>
        <v>1.57</v>
      </c>
      <c r="BN52">
        <f>_xlfn.XLOOKUP(D52,Constants!$A$34:$A$35,Constants!$B$34:$B$35)</f>
        <v>2E-3</v>
      </c>
      <c r="BO52">
        <f t="shared" si="54"/>
        <v>0</v>
      </c>
      <c r="BP52">
        <f t="shared" si="55"/>
        <v>0</v>
      </c>
      <c r="BQ52">
        <f t="shared" si="56"/>
        <v>0</v>
      </c>
      <c r="BR52">
        <f t="shared" si="57"/>
        <v>0</v>
      </c>
      <c r="BS52">
        <f t="shared" si="58"/>
        <v>0</v>
      </c>
      <c r="BT52">
        <f t="shared" si="59"/>
        <v>0.72270240000000008</v>
      </c>
    </row>
    <row r="53" spans="1:73" x14ac:dyDescent="0.2">
      <c r="A53" t="str">
        <f>'Input Scenarios'!A53</f>
        <v>WA</v>
      </c>
      <c r="B53">
        <f>'Input Scenarios'!B53</f>
        <v>0</v>
      </c>
      <c r="C53" t="str">
        <f>'Input Scenarios'!C53</f>
        <v>Irrigated pasture</v>
      </c>
      <c r="D53" t="str">
        <f>'Input Scenarios'!D53</f>
        <v>dry</v>
      </c>
      <c r="E53" t="b">
        <f>'Input Scenarios'!E53</f>
        <v>0</v>
      </c>
      <c r="F53" t="str">
        <f>'Input Scenarios'!F53</f>
        <v>Grazed only</v>
      </c>
      <c r="G53">
        <f>IF('Input Scenarios'!G53&lt;&gt;"", 'Input Scenarios'!G53, _xlfn.XLOOKUP($F53, Constants!$M$6:$M$9,Constants!N$6:N$9))</f>
        <v>0.89</v>
      </c>
      <c r="H53">
        <f>IF('Input Scenarios'!H53&lt;&gt;"", 'Input Scenarios'!H53, _xlfn.XLOOKUP($F53, Constants!$M$6:$M$9,Constants!O$6:O$9))</f>
        <v>0.11</v>
      </c>
      <c r="I53">
        <f>IF('Input Scenarios'!I53&lt;&gt;"", 'Input Scenarios'!I53, _xlfn.XLOOKUP($F53, Constants!$M$6:$M$9,Constants!P$6:P$9))</f>
        <v>0</v>
      </c>
      <c r="J53">
        <f>'Input Scenarios'!J53</f>
        <v>0</v>
      </c>
      <c r="K53">
        <f>'Input Scenarios'!K53</f>
        <v>0.5</v>
      </c>
      <c r="L53">
        <f>'Input Scenarios'!L53</f>
        <v>0.5</v>
      </c>
      <c r="M53">
        <f>'Input Scenarios'!M53</f>
        <v>0</v>
      </c>
      <c r="N53">
        <f>'Input Scenarios'!N53</f>
        <v>0.5</v>
      </c>
      <c r="O53">
        <f>'Input Scenarios'!O53</f>
        <v>0</v>
      </c>
      <c r="P53">
        <f>'Input Scenarios'!P53</f>
        <v>0</v>
      </c>
      <c r="Q53">
        <f>'Input Scenarios'!Q53</f>
        <v>0.5</v>
      </c>
      <c r="R53" t="b">
        <f>'Input Scenarios'!R53</f>
        <v>0</v>
      </c>
      <c r="S53">
        <f>IF('Input Scenarios'!S53&lt;&gt;"", 'Input Scenarios'!S53, IF(R53, Constants!$B$38, 0))</f>
        <v>0</v>
      </c>
      <c r="T53" t="str">
        <f>IF('Input Scenarios'!T53&lt;&gt;"", 'Input Scenarios'!T53, "")</f>
        <v/>
      </c>
      <c r="U53">
        <f>IF('Input Scenarios'!U53&lt;&gt;"", 'Input Scenarios'!U53, IF(W53&lt;&gt;"", "", Constants!$B$39))</f>
        <v>4</v>
      </c>
      <c r="V53">
        <f>IF('Input Scenarios'!V53&lt;&gt;"", 'Input Scenarios'!V53, IF(W53&lt;&gt;"", "", Constants!$B$40))</f>
        <v>3.3</v>
      </c>
      <c r="W53" t="str">
        <f>IF('Input Scenarios'!W53&lt;&gt;"", 'Input Scenarios'!W53, "")</f>
        <v/>
      </c>
      <c r="X53" t="str">
        <f>'Input Scenarios'!X53</f>
        <v>Ayrshire</v>
      </c>
      <c r="Y53" t="str">
        <f>'Input Scenarios'!Y53</f>
        <v>heifersLt1Weaned</v>
      </c>
      <c r="Z53">
        <f>'Input Scenarios'!Z53</f>
        <v>200</v>
      </c>
      <c r="AA53">
        <f>IF('Input Scenarios'!AA53&lt;&gt;"", 'Input Scenarios'!AA53, _xlfn.XLOOKUP(Y53,Constants!$J$6:$J$12,Constants!$K$6:$K$12))</f>
        <v>281</v>
      </c>
      <c r="AB53">
        <f>IF('Input Scenarios'!AB53&lt;&gt;"", 'Input Scenarios'!AB53, INDEX(Constants!$B$2:$H$11, MATCH(X53, Constants!$A$2:$A$11, 0), MATCH(Y53,Constants!$B$1:$H$1, 0)))</f>
        <v>150</v>
      </c>
      <c r="AC53">
        <f>IF('Input Scenarios'!AC53&lt;&gt;"", 'Input Scenarios'!AC53, _xlfn.XLOOKUP(Y53, Constants!$B$13:$H$13, Constants!$B$15:$H$15, ""))</f>
        <v>0.56999999999999995</v>
      </c>
      <c r="AD53">
        <f>IF('Input Scenarios'!AD53&lt;&gt;"", 'Input Scenarios'!AD53, Constants!$B$45)</f>
        <v>0.75</v>
      </c>
      <c r="AE53">
        <f>IF('Input Scenarios'!AE53&lt;&gt;"", 'Input Scenarios'!AE53, Constants!$B$46)</f>
        <v>0.2</v>
      </c>
      <c r="AF53">
        <f t="shared" si="60"/>
        <v>0</v>
      </c>
      <c r="AG53">
        <f t="shared" si="60"/>
        <v>0</v>
      </c>
      <c r="AH53">
        <f t="shared" si="60"/>
        <v>0</v>
      </c>
      <c r="AI53">
        <f t="shared" si="60"/>
        <v>0</v>
      </c>
      <c r="AJ53">
        <f t="shared" si="61"/>
        <v>1</v>
      </c>
      <c r="AK53">
        <f t="shared" si="71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49"/>
        <v>0.5948500000000001</v>
      </c>
      <c r="AQ53">
        <f t="shared" si="50"/>
        <v>0</v>
      </c>
      <c r="AR53">
        <f>IF(Y53="milkingCows", Constants!$P$2, Constants!$P$3)</f>
        <v>1</v>
      </c>
      <c r="AS53">
        <f t="shared" si="51"/>
        <v>3.9483677025000001</v>
      </c>
      <c r="AT53">
        <f t="shared" si="52"/>
        <v>1.2085398598508978</v>
      </c>
      <c r="AU53">
        <f>_xlfn.XLOOKUP(Y53, Constants!$B$13:$H$13, Constants!$B$14:$H$14, "")</f>
        <v>590</v>
      </c>
      <c r="AV53">
        <f t="shared" si="53"/>
        <v>0.25423728813559321</v>
      </c>
      <c r="AW53">
        <f>Constants!$B$55</f>
        <v>6.25</v>
      </c>
      <c r="AX53">
        <f t="shared" si="63"/>
        <v>1.4705504454277429E-2</v>
      </c>
      <c r="AY53">
        <f t="shared" si="64"/>
        <v>0.78967354050000005</v>
      </c>
      <c r="AZ53">
        <f t="shared" si="18"/>
        <v>0.1108878977522821</v>
      </c>
      <c r="BA53" t="str">
        <f>IF(ISNUMBER(FIND("PreWeaned",Y53)),_xlfn.XLOOKUP(Y53,Constants!$J$2:$J$3,Constants!$M$2:$M$3),"")</f>
        <v/>
      </c>
      <c r="BB53">
        <f t="shared" si="65"/>
        <v>6231.8998536782537</v>
      </c>
      <c r="BC53">
        <f t="shared" si="66"/>
        <v>0</v>
      </c>
      <c r="BD53">
        <f t="shared" si="67"/>
        <v>0</v>
      </c>
      <c r="BE53">
        <f t="shared" si="68"/>
        <v>0</v>
      </c>
      <c r="BF53">
        <f t="shared" si="69"/>
        <v>0</v>
      </c>
      <c r="BG53">
        <f t="shared" si="70"/>
        <v>6231.8998536782537</v>
      </c>
      <c r="BH53">
        <f>Constants!$C$19</f>
        <v>0</v>
      </c>
      <c r="BI53">
        <f>Constants!$C$20</f>
        <v>0</v>
      </c>
      <c r="BJ53">
        <f>Constants!$C$21</f>
        <v>0</v>
      </c>
      <c r="BK53">
        <f>Constants!$C$22</f>
        <v>5.0000000000000001E-3</v>
      </c>
      <c r="BL53">
        <f>Constants!$C$23</f>
        <v>0</v>
      </c>
      <c r="BM53">
        <f>Constants!$B$50</f>
        <v>1.57</v>
      </c>
      <c r="BN53">
        <f>_xlfn.XLOOKUP(D53,Constants!$A$34:$A$35,Constants!$B$34:$B$35)</f>
        <v>2E-3</v>
      </c>
      <c r="BO53">
        <f t="shared" si="54"/>
        <v>0</v>
      </c>
      <c r="BP53">
        <f t="shared" si="55"/>
        <v>0</v>
      </c>
      <c r="BQ53">
        <f t="shared" si="56"/>
        <v>0</v>
      </c>
      <c r="BR53">
        <f t="shared" si="57"/>
        <v>0</v>
      </c>
      <c r="BS53">
        <f t="shared" si="58"/>
        <v>0</v>
      </c>
      <c r="BT53">
        <f t="shared" si="59"/>
        <v>19.568165540549717</v>
      </c>
    </row>
    <row r="54" spans="1:73" x14ac:dyDescent="0.2">
      <c r="A54" t="str">
        <f>'Input Scenarios'!A54</f>
        <v>WA</v>
      </c>
      <c r="B54">
        <f>'Input Scenarios'!B54</f>
        <v>0</v>
      </c>
      <c r="C54" t="str">
        <f>'Input Scenarios'!C54</f>
        <v>Irrigated pasture</v>
      </c>
      <c r="D54" t="str">
        <f>'Input Scenarios'!D54</f>
        <v>dry</v>
      </c>
      <c r="E54" t="b">
        <f>'Input Scenarios'!E54</f>
        <v>0</v>
      </c>
      <c r="F54" t="str">
        <f>'Input Scenarios'!F54</f>
        <v>Grazed only</v>
      </c>
      <c r="G54">
        <f>IF('Input Scenarios'!G54&lt;&gt;"", 'Input Scenarios'!G54, _xlfn.XLOOKUP($F54, Constants!$M$6:$M$9,Constants!N$6:N$9))</f>
        <v>0.89</v>
      </c>
      <c r="H54">
        <f>IF('Input Scenarios'!H54&lt;&gt;"", 'Input Scenarios'!H54, _xlfn.XLOOKUP($F54, Constants!$M$6:$M$9,Constants!O$6:O$9))</f>
        <v>0.11</v>
      </c>
      <c r="I54">
        <f>IF('Input Scenarios'!I54&lt;&gt;"", 'Input Scenarios'!I54, _xlfn.XLOOKUP($F54, Constants!$M$6:$M$9,Constants!P$6:P$9))</f>
        <v>0</v>
      </c>
      <c r="J54">
        <f>'Input Scenarios'!J54</f>
        <v>0</v>
      </c>
      <c r="K54">
        <f>'Input Scenarios'!K54</f>
        <v>0.5</v>
      </c>
      <c r="L54">
        <f>'Input Scenarios'!L54</f>
        <v>0.5</v>
      </c>
      <c r="M54">
        <f>'Input Scenarios'!M54</f>
        <v>0</v>
      </c>
      <c r="N54">
        <f>'Input Scenarios'!N54</f>
        <v>0.5</v>
      </c>
      <c r="O54">
        <f>'Input Scenarios'!O54</f>
        <v>0</v>
      </c>
      <c r="P54">
        <f>'Input Scenarios'!P54</f>
        <v>0</v>
      </c>
      <c r="Q54">
        <f>'Input Scenarios'!Q54</f>
        <v>0.5</v>
      </c>
      <c r="R54" t="b">
        <f>'Input Scenarios'!R54</f>
        <v>0</v>
      </c>
      <c r="S54">
        <f>IF('Input Scenarios'!S54&lt;&gt;"", 'Input Scenarios'!S54, IF(R54, Constants!$B$38, 0))</f>
        <v>0</v>
      </c>
      <c r="T54" t="str">
        <f>IF('Input Scenarios'!T54&lt;&gt;"", 'Input Scenarios'!T54, "")</f>
        <v/>
      </c>
      <c r="U54">
        <f>IF('Input Scenarios'!U54&lt;&gt;"", 'Input Scenarios'!U54, IF(W54&lt;&gt;"", "", Constants!$B$39))</f>
        <v>4</v>
      </c>
      <c r="V54">
        <f>IF('Input Scenarios'!V54&lt;&gt;"", 'Input Scenarios'!V54, IF(W54&lt;&gt;"", "", Constants!$B$40))</f>
        <v>3.3</v>
      </c>
      <c r="W54" t="str">
        <f>IF('Input Scenarios'!W54&lt;&gt;"", 'Input Scenarios'!W54, "")</f>
        <v/>
      </c>
      <c r="X54" t="str">
        <f>'Input Scenarios'!X54</f>
        <v>Ayrshire</v>
      </c>
      <c r="Y54" t="str">
        <f>'Input Scenarios'!Y54</f>
        <v>bullsGt1</v>
      </c>
      <c r="Z54">
        <f>'Input Scenarios'!Z54</f>
        <v>200</v>
      </c>
      <c r="AA54">
        <f>IF('Input Scenarios'!AA54&lt;&gt;"", 'Input Scenarios'!AA54, _xlfn.XLOOKUP(Y54,Constants!$J$6:$J$12,Constants!$K$6:$K$12))</f>
        <v>365</v>
      </c>
      <c r="AB54">
        <f>IF('Input Scenarios'!AB54&lt;&gt;"", 'Input Scenarios'!AB54, INDEX(Constants!$B$2:$H$11, MATCH(X54, Constants!$A$2:$A$11, 0), MATCH(Y54,Constants!$B$1:$H$1, 0)))</f>
        <v>600</v>
      </c>
      <c r="AC54">
        <f>IF('Input Scenarios'!AC54&lt;&gt;"", 'Input Scenarios'!AC54, _xlfn.XLOOKUP(Y54, Constants!$B$13:$H$13, Constants!$B$15:$H$15, ""))</f>
        <v>0.1</v>
      </c>
      <c r="AD54">
        <f>IF('Input Scenarios'!AD54&lt;&gt;"", 'Input Scenarios'!AD54, Constants!$B$45)</f>
        <v>0.75</v>
      </c>
      <c r="AE54">
        <f>IF('Input Scenarios'!AE54&lt;&gt;"", 'Input Scenarios'!AE54, Constants!$B$46)</f>
        <v>0.2</v>
      </c>
      <c r="AF54">
        <f t="shared" si="60"/>
        <v>0</v>
      </c>
      <c r="AG54">
        <f t="shared" si="60"/>
        <v>0</v>
      </c>
      <c r="AH54">
        <f t="shared" si="60"/>
        <v>0</v>
      </c>
      <c r="AI54">
        <f t="shared" si="60"/>
        <v>0</v>
      </c>
      <c r="AJ54">
        <f t="shared" si="61"/>
        <v>1</v>
      </c>
      <c r="AK54">
        <f t="shared" si="71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ref="AP54:AP63" si="72">0.795*(AD54)-0.0014</f>
        <v>0.5948500000000001</v>
      </c>
      <c r="AQ54">
        <f t="shared" ref="AQ54:AQ63" si="73">(AK54*AL54*AM54)/(AN54*AO54*AP54)</f>
        <v>0</v>
      </c>
      <c r="AR54">
        <f>IF(Y54="milkingCows", Constants!$P$2, Constants!$P$3)</f>
        <v>1</v>
      </c>
      <c r="AS54">
        <f t="shared" ref="AS54:AS63" si="74">IFERROR(((1.185+(0.00454*AB54)-(0.0000026*(AB54^2))+(0.315*AC54))^2*AR54+AQ54), "")</f>
        <v>9.0270202499999979</v>
      </c>
      <c r="AT54">
        <f t="shared" ref="AT54:AT63" si="75">IFERROR(((1.185+(0.00454*AB54)-(0.0000026*(AB54^2))+(0.315*AC54))^2*AR54+AQ54)/((1.185+(0.00454*AB54)-(0.0000026*(AB54^2)))^2*AR54+AQ54), "")</f>
        <v>1.0213029780639273</v>
      </c>
      <c r="AU54">
        <f>_xlfn.XLOOKUP(Y54, Constants!$B$13:$H$13, Constants!$B$14:$H$14, "")</f>
        <v>770</v>
      </c>
      <c r="AV54">
        <f t="shared" ref="AV54:AV63" si="76">IFERROR(AB54/AU54, "")</f>
        <v>0.77922077922077926</v>
      </c>
      <c r="AW54">
        <f>Constants!$B$55</f>
        <v>6.25</v>
      </c>
      <c r="AX54">
        <f t="shared" si="63"/>
        <v>1.2626203146474679E-3</v>
      </c>
      <c r="AY54">
        <f t="shared" si="64"/>
        <v>1.8054040499999997</v>
      </c>
      <c r="AZ54">
        <f t="shared" si="18"/>
        <v>0.28546836331241399</v>
      </c>
      <c r="BA54" t="str">
        <f>IF(ISNUMBER(FIND("PreWeaned",Y54)),_xlfn.XLOOKUP(Y54,Constants!$J$2:$J$3,Constants!$M$2:$M$3),"")</f>
        <v/>
      </c>
      <c r="BB54">
        <f t="shared" si="65"/>
        <v>20839.19052180622</v>
      </c>
      <c r="BC54">
        <f t="shared" si="66"/>
        <v>0</v>
      </c>
      <c r="BD54">
        <f t="shared" si="67"/>
        <v>0</v>
      </c>
      <c r="BE54">
        <f t="shared" si="68"/>
        <v>0</v>
      </c>
      <c r="BF54">
        <f t="shared" si="69"/>
        <v>0</v>
      </c>
      <c r="BG54">
        <f t="shared" si="70"/>
        <v>20839.19052180622</v>
      </c>
      <c r="BH54">
        <f>Constants!$C$19</f>
        <v>0</v>
      </c>
      <c r="BI54">
        <f>Constants!$C$20</f>
        <v>0</v>
      </c>
      <c r="BJ54">
        <f>Constants!$C$21</f>
        <v>0</v>
      </c>
      <c r="BK54">
        <f>Constants!$C$22</f>
        <v>5.0000000000000001E-3</v>
      </c>
      <c r="BL54">
        <f>Constants!$C$23</f>
        <v>0</v>
      </c>
      <c r="BM54">
        <f>Constants!$B$50</f>
        <v>1.57</v>
      </c>
      <c r="BN54">
        <f>_xlfn.XLOOKUP(D54,Constants!$A$34:$A$35,Constants!$B$34:$B$35)</f>
        <v>2E-3</v>
      </c>
      <c r="BO54">
        <f t="shared" ref="BO54:BO63" si="77">BC54*BH54*$BM54</f>
        <v>0</v>
      </c>
      <c r="BP54">
        <f t="shared" ref="BP54:BP63" si="78">BD54*BI54*$BM54</f>
        <v>0</v>
      </c>
      <c r="BQ54">
        <f t="shared" ref="BQ54:BQ63" si="79">BE54*BJ54*$BM54</f>
        <v>0</v>
      </c>
      <c r="BR54">
        <f t="shared" ref="BR54:BR63" si="80">BF54*BK54*$BM54</f>
        <v>0</v>
      </c>
      <c r="BS54">
        <f t="shared" ref="BS54:BS63" si="81">BG54*BL54*$BM54</f>
        <v>0</v>
      </c>
      <c r="BT54">
        <f t="shared" ref="BT54:BT63" si="82">BG54*BN54*BM54</f>
        <v>65.435058238471527</v>
      </c>
    </row>
    <row r="55" spans="1:73" x14ac:dyDescent="0.2">
      <c r="A55" t="str">
        <f>'Input Scenarios'!A55</f>
        <v>WA</v>
      </c>
      <c r="B55">
        <f>'Input Scenarios'!B55</f>
        <v>0</v>
      </c>
      <c r="C55" t="str">
        <f>'Input Scenarios'!C55</f>
        <v>Irrigated pasture</v>
      </c>
      <c r="D55" t="str">
        <f>'Input Scenarios'!D55</f>
        <v>dry</v>
      </c>
      <c r="E55" t="b">
        <f>'Input Scenarios'!E55</f>
        <v>0</v>
      </c>
      <c r="F55" t="str">
        <f>'Input Scenarios'!F55</f>
        <v>Grazed only</v>
      </c>
      <c r="G55">
        <f>IF('Input Scenarios'!G55&lt;&gt;"", 'Input Scenarios'!G55, _xlfn.XLOOKUP($F55, Constants!$M$6:$M$9,Constants!N$6:N$9))</f>
        <v>0.89</v>
      </c>
      <c r="H55">
        <f>IF('Input Scenarios'!H55&lt;&gt;"", 'Input Scenarios'!H55, _xlfn.XLOOKUP($F55, Constants!$M$6:$M$9,Constants!O$6:O$9))</f>
        <v>0.11</v>
      </c>
      <c r="I55">
        <f>IF('Input Scenarios'!I55&lt;&gt;"", 'Input Scenarios'!I55, _xlfn.XLOOKUP($F55, Constants!$M$6:$M$9,Constants!P$6:P$9))</f>
        <v>0</v>
      </c>
      <c r="J55">
        <f>'Input Scenarios'!J55</f>
        <v>0</v>
      </c>
      <c r="K55">
        <f>'Input Scenarios'!K55</f>
        <v>0.5</v>
      </c>
      <c r="L55">
        <f>'Input Scenarios'!L55</f>
        <v>0.5</v>
      </c>
      <c r="M55">
        <f>'Input Scenarios'!M55</f>
        <v>0</v>
      </c>
      <c r="N55">
        <f>'Input Scenarios'!N55</f>
        <v>0.5</v>
      </c>
      <c r="O55">
        <f>'Input Scenarios'!O55</f>
        <v>0</v>
      </c>
      <c r="P55">
        <f>'Input Scenarios'!P55</f>
        <v>0</v>
      </c>
      <c r="Q55">
        <f>'Input Scenarios'!Q55</f>
        <v>0.5</v>
      </c>
      <c r="R55" t="b">
        <f>'Input Scenarios'!R55</f>
        <v>0</v>
      </c>
      <c r="S55">
        <f>IF('Input Scenarios'!S55&lt;&gt;"", 'Input Scenarios'!S55, IF(R55, Constants!$B$38, 0))</f>
        <v>0</v>
      </c>
      <c r="T55" t="str">
        <f>IF('Input Scenarios'!T55&lt;&gt;"", 'Input Scenarios'!T55, "")</f>
        <v/>
      </c>
      <c r="U55">
        <f>IF('Input Scenarios'!U55&lt;&gt;"", 'Input Scenarios'!U55, IF(W55&lt;&gt;"", "", Constants!$B$39))</f>
        <v>4</v>
      </c>
      <c r="V55">
        <f>IF('Input Scenarios'!V55&lt;&gt;"", 'Input Scenarios'!V55, IF(W55&lt;&gt;"", "", Constants!$B$40))</f>
        <v>3.3</v>
      </c>
      <c r="W55" t="str">
        <f>IF('Input Scenarios'!W55&lt;&gt;"", 'Input Scenarios'!W55, "")</f>
        <v/>
      </c>
      <c r="X55" t="str">
        <f>'Input Scenarios'!X55</f>
        <v>Ayrshire</v>
      </c>
      <c r="Y55" t="str">
        <f>'Input Scenarios'!Y55</f>
        <v>bullsLt1PreWeaned</v>
      </c>
      <c r="Z55">
        <f>'Input Scenarios'!Z55</f>
        <v>200</v>
      </c>
      <c r="AA55">
        <f>IF('Input Scenarios'!AA55&lt;&gt;"", 'Input Scenarios'!AA55, _xlfn.XLOOKUP(Y55,Constants!$J$6:$J$12,Constants!$K$6:$K$12))</f>
        <v>84</v>
      </c>
      <c r="AB55">
        <f>IF('Input Scenarios'!AB55&lt;&gt;"", 'Input Scenarios'!AB55, INDEX(Constants!$B$2:$H$11, MATCH(X55, Constants!$A$2:$A$11, 0), MATCH(Y55,Constants!$B$1:$H$1, 0)))</f>
        <v>225</v>
      </c>
      <c r="AC55" t="str">
        <f>IF('Input Scenarios'!AC55&lt;&gt;"", 'Input Scenarios'!AC55, _xlfn.XLOOKUP(Y55, Constants!$B$13:$H$13, Constants!$B$15:$H$15, ""))</f>
        <v/>
      </c>
      <c r="AD55">
        <f>IF('Input Scenarios'!AD55&lt;&gt;"", 'Input Scenarios'!AD55, Constants!$B$45)</f>
        <v>0.75</v>
      </c>
      <c r="AE55">
        <f>IF('Input Scenarios'!AE55&lt;&gt;"", 'Input Scenarios'!AE55, Constants!$B$46)</f>
        <v>0.2</v>
      </c>
      <c r="AF55">
        <f t="shared" si="60"/>
        <v>0</v>
      </c>
      <c r="AG55">
        <f t="shared" si="60"/>
        <v>0</v>
      </c>
      <c r="AH55">
        <f t="shared" si="60"/>
        <v>0</v>
      </c>
      <c r="AI55">
        <f t="shared" si="60"/>
        <v>0</v>
      </c>
      <c r="AJ55">
        <f t="shared" si="61"/>
        <v>1</v>
      </c>
      <c r="AK55">
        <f t="shared" si="71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72"/>
        <v>0.5948500000000001</v>
      </c>
      <c r="AQ55">
        <f t="shared" si="73"/>
        <v>0</v>
      </c>
      <c r="AR55">
        <f>IF(Y55="milkingCows", Constants!$P$2, Constants!$P$3)</f>
        <v>1</v>
      </c>
      <c r="AS55" t="str">
        <f t="shared" si="74"/>
        <v/>
      </c>
      <c r="AT55" t="str">
        <f t="shared" si="75"/>
        <v/>
      </c>
      <c r="AU55" t="str">
        <f>_xlfn.XLOOKUP(Y55, Constants!$B$13:$H$13, Constants!$B$14:$H$14, "")</f>
        <v/>
      </c>
      <c r="AV55" t="str">
        <f t="shared" si="76"/>
        <v/>
      </c>
      <c r="AW55">
        <f>Constants!$B$55</f>
        <v>6.25</v>
      </c>
      <c r="AX55" t="str">
        <f t="shared" si="63"/>
        <v/>
      </c>
      <c r="AY55" t="str">
        <f t="shared" si="64"/>
        <v/>
      </c>
      <c r="AZ55" t="str">
        <f t="shared" si="18"/>
        <v/>
      </c>
      <c r="BA55">
        <f>IF(ISNUMBER(FIND("PreWeaned",Y55)),_xlfn.XLOOKUP(Y55,Constants!$J$2:$J$3,Constants!$M$2:$M$3),"")</f>
        <v>9.1999999999999998E-3</v>
      </c>
      <c r="BB55">
        <f t="shared" si="65"/>
        <v>154.56</v>
      </c>
      <c r="BC55">
        <f t="shared" si="66"/>
        <v>0</v>
      </c>
      <c r="BD55">
        <f t="shared" si="67"/>
        <v>0</v>
      </c>
      <c r="BE55">
        <f t="shared" si="68"/>
        <v>0</v>
      </c>
      <c r="BF55">
        <f t="shared" si="69"/>
        <v>0</v>
      </c>
      <c r="BG55">
        <f t="shared" si="70"/>
        <v>154.56</v>
      </c>
      <c r="BH55">
        <f>Constants!$C$19</f>
        <v>0</v>
      </c>
      <c r="BI55">
        <f>Constants!$C$20</f>
        <v>0</v>
      </c>
      <c r="BJ55">
        <f>Constants!$C$21</f>
        <v>0</v>
      </c>
      <c r="BK55">
        <f>Constants!$C$22</f>
        <v>5.0000000000000001E-3</v>
      </c>
      <c r="BL55">
        <f>Constants!$C$23</f>
        <v>0</v>
      </c>
      <c r="BM55">
        <f>Constants!$B$50</f>
        <v>1.57</v>
      </c>
      <c r="BN55">
        <f>_xlfn.XLOOKUP(D55,Constants!$A$34:$A$35,Constants!$B$34:$B$35)</f>
        <v>2E-3</v>
      </c>
      <c r="BO55">
        <f t="shared" si="77"/>
        <v>0</v>
      </c>
      <c r="BP55">
        <f t="shared" si="78"/>
        <v>0</v>
      </c>
      <c r="BQ55">
        <f t="shared" si="79"/>
        <v>0</v>
      </c>
      <c r="BR55">
        <f t="shared" si="80"/>
        <v>0</v>
      </c>
      <c r="BS55">
        <f t="shared" si="81"/>
        <v>0</v>
      </c>
      <c r="BT55">
        <f t="shared" si="82"/>
        <v>0.48531840000000004</v>
      </c>
    </row>
    <row r="56" spans="1:73" s="16" customFormat="1" x14ac:dyDescent="0.2">
      <c r="A56" s="16" t="str">
        <f>'Input Scenarios'!A56</f>
        <v>WA</v>
      </c>
      <c r="B56" s="16">
        <f>'Input Scenarios'!B56</f>
        <v>0</v>
      </c>
      <c r="C56" s="16" t="str">
        <f>'Input Scenarios'!C56</f>
        <v>Irrigated pasture</v>
      </c>
      <c r="D56" s="16" t="str">
        <f>'Input Scenarios'!D56</f>
        <v>dry</v>
      </c>
      <c r="E56" s="16" t="b">
        <f>'Input Scenarios'!E56</f>
        <v>0</v>
      </c>
      <c r="F56" s="16" t="str">
        <f>'Input Scenarios'!F56</f>
        <v>Grazed only</v>
      </c>
      <c r="G56" s="16">
        <f>IF('Input Scenarios'!G56&lt;&gt;"", 'Input Scenarios'!G56, _xlfn.XLOOKUP($F56, Constants!$M$6:$M$9,Constants!N$6:N$9))</f>
        <v>0.89</v>
      </c>
      <c r="H56" s="16">
        <f>IF('Input Scenarios'!H56&lt;&gt;"", 'Input Scenarios'!H56, _xlfn.XLOOKUP($F56, Constants!$M$6:$M$9,Constants!O$6:O$9))</f>
        <v>0.11</v>
      </c>
      <c r="I56" s="16">
        <f>IF('Input Scenarios'!I56&lt;&gt;"", 'Input Scenarios'!I56, _xlfn.XLOOKUP($F56, Constants!$M$6:$M$9,Constants!P$6:P$9))</f>
        <v>0</v>
      </c>
      <c r="J56" s="16">
        <f>'Input Scenarios'!J56</f>
        <v>0</v>
      </c>
      <c r="K56" s="16">
        <f>'Input Scenarios'!K56</f>
        <v>0.5</v>
      </c>
      <c r="L56" s="16">
        <f>'Input Scenarios'!L56</f>
        <v>0.5</v>
      </c>
      <c r="M56" s="16">
        <f>'Input Scenarios'!M56</f>
        <v>0</v>
      </c>
      <c r="N56" s="16">
        <f>'Input Scenarios'!N56</f>
        <v>0.5</v>
      </c>
      <c r="O56" s="16">
        <f>'Input Scenarios'!O56</f>
        <v>0</v>
      </c>
      <c r="P56" s="16">
        <f>'Input Scenarios'!P56</f>
        <v>0</v>
      </c>
      <c r="Q56" s="16">
        <f>'Input Scenarios'!Q56</f>
        <v>0.5</v>
      </c>
      <c r="R56" s="16" t="b">
        <f>'Input Scenarios'!R56</f>
        <v>0</v>
      </c>
      <c r="S56" s="16">
        <f>IF('Input Scenarios'!S56&lt;&gt;"", 'Input Scenarios'!S56, IF(R56, Constants!$B$38, 0))</f>
        <v>0</v>
      </c>
      <c r="T56" s="16" t="str">
        <f>IF('Input Scenarios'!T56&lt;&gt;"", 'Input Scenarios'!T56, "")</f>
        <v/>
      </c>
      <c r="U56" s="16">
        <f>IF('Input Scenarios'!U56&lt;&gt;"", 'Input Scenarios'!U56, IF(W56&lt;&gt;"", "", Constants!$B$39))</f>
        <v>4</v>
      </c>
      <c r="V56" s="16">
        <f>IF('Input Scenarios'!V56&lt;&gt;"", 'Input Scenarios'!V56, IF(W56&lt;&gt;"", "", Constants!$B$40))</f>
        <v>3.3</v>
      </c>
      <c r="W56" s="16" t="str">
        <f>IF('Input Scenarios'!W56&lt;&gt;"", 'Input Scenarios'!W56, "")</f>
        <v/>
      </c>
      <c r="X56" s="16" t="str">
        <f>'Input Scenarios'!X56</f>
        <v>Ayrshire</v>
      </c>
      <c r="Y56" s="16" t="str">
        <f>'Input Scenarios'!Y56</f>
        <v>bullsLt1Weaned</v>
      </c>
      <c r="Z56" s="16">
        <f>'Input Scenarios'!Z56</f>
        <v>200</v>
      </c>
      <c r="AA56" s="16">
        <f>IF('Input Scenarios'!AA56&lt;&gt;"", 'Input Scenarios'!AA56, _xlfn.XLOOKUP(Y56,Constants!$J$6:$J$12,Constants!$K$6:$K$12))</f>
        <v>281</v>
      </c>
      <c r="AB56" s="16">
        <f>IF('Input Scenarios'!AB56&lt;&gt;"", 'Input Scenarios'!AB56, INDEX(Constants!$B$2:$H$11, MATCH(X56, Constants!$A$2:$A$11, 0), MATCH(Y56,Constants!$B$1:$H$1, 0)))</f>
        <v>225</v>
      </c>
      <c r="AC56" s="16">
        <f>IF('Input Scenarios'!AC56&lt;&gt;"", 'Input Scenarios'!AC56, _xlfn.XLOOKUP(Y56, Constants!$B$13:$H$13, Constants!$B$15:$H$15, ""))</f>
        <v>0.8</v>
      </c>
      <c r="AD56" s="16">
        <f>IF('Input Scenarios'!AD56&lt;&gt;"", 'Input Scenarios'!AD56, Constants!$B$45)</f>
        <v>0.75</v>
      </c>
      <c r="AE56" s="16">
        <f>IF('Input Scenarios'!AE56&lt;&gt;"", 'Input Scenarios'!AE56, Constants!$B$46)</f>
        <v>0.2</v>
      </c>
      <c r="AF56" s="16">
        <f t="shared" si="60"/>
        <v>0</v>
      </c>
      <c r="AG56" s="16">
        <f t="shared" si="60"/>
        <v>0</v>
      </c>
      <c r="AH56" s="16">
        <f t="shared" si="60"/>
        <v>0</v>
      </c>
      <c r="AI56" s="16">
        <f t="shared" si="60"/>
        <v>0</v>
      </c>
      <c r="AJ56" s="16">
        <f t="shared" si="61"/>
        <v>1</v>
      </c>
      <c r="AK56" s="16">
        <f t="shared" si="71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72"/>
        <v>0.5948500000000001</v>
      </c>
      <c r="AQ56" s="16">
        <f t="shared" si="73"/>
        <v>0</v>
      </c>
      <c r="AR56" s="16">
        <f>IF(Y56="milkingCows", Constants!$P$2, Constants!$P$3)</f>
        <v>1</v>
      </c>
      <c r="AS56" s="16">
        <f t="shared" si="74"/>
        <v>5.4143472656250013</v>
      </c>
      <c r="AT56" s="16">
        <f t="shared" si="75"/>
        <v>1.2576570545672616</v>
      </c>
      <c r="AU56" s="16">
        <f>_xlfn.XLOOKUP(Y56, Constants!$B$13:$H$13, Constants!$B$14:$H$14, "")</f>
        <v>770</v>
      </c>
      <c r="AV56" s="16">
        <f t="shared" si="76"/>
        <v>0.29220779220779219</v>
      </c>
      <c r="AW56" s="16">
        <f>Constants!$B$55</f>
        <v>6.25</v>
      </c>
      <c r="AX56" s="16">
        <f t="shared" si="63"/>
        <v>1.9757354894894084E-2</v>
      </c>
      <c r="AY56" s="16">
        <f t="shared" si="64"/>
        <v>1.0828694531250003</v>
      </c>
      <c r="AZ56" s="16">
        <f t="shared" si="18"/>
        <v>0.15247929000170721</v>
      </c>
      <c r="BA56" s="16" t="str">
        <f>IF(ISNUMBER(FIND("PreWeaned",Y56)),_xlfn.XLOOKUP(Y56,Constants!$J$2:$J$3,Constants!$M$2:$M$3),"")</f>
        <v/>
      </c>
      <c r="BB56" s="16">
        <f t="shared" si="65"/>
        <v>8569.336098095946</v>
      </c>
      <c r="BC56" s="16">
        <f t="shared" si="66"/>
        <v>0</v>
      </c>
      <c r="BD56" s="16">
        <f t="shared" si="67"/>
        <v>0</v>
      </c>
      <c r="BE56" s="16">
        <f t="shared" si="68"/>
        <v>0</v>
      </c>
      <c r="BF56" s="16">
        <f t="shared" si="69"/>
        <v>0</v>
      </c>
      <c r="BG56" s="16">
        <f t="shared" si="70"/>
        <v>8569.336098095946</v>
      </c>
      <c r="BH56" s="16">
        <f>Constants!$C$19</f>
        <v>0</v>
      </c>
      <c r="BI56" s="16">
        <f>Constants!$C$20</f>
        <v>0</v>
      </c>
      <c r="BJ56" s="16">
        <f>Constants!$C$21</f>
        <v>0</v>
      </c>
      <c r="BK56" s="16">
        <f>Constants!$C$22</f>
        <v>5.0000000000000001E-3</v>
      </c>
      <c r="BL56" s="16">
        <f>Constants!$C$23</f>
        <v>0</v>
      </c>
      <c r="BM56" s="16">
        <f>Constants!$B$50</f>
        <v>1.57</v>
      </c>
      <c r="BN56" s="16">
        <f>_xlfn.XLOOKUP(D56,Constants!$A$34:$A$35,Constants!$B$34:$B$35)</f>
        <v>2E-3</v>
      </c>
      <c r="BO56" s="16">
        <f t="shared" si="77"/>
        <v>0</v>
      </c>
      <c r="BP56" s="16">
        <f t="shared" si="78"/>
        <v>0</v>
      </c>
      <c r="BQ56" s="16">
        <f t="shared" si="79"/>
        <v>0</v>
      </c>
      <c r="BR56" s="16">
        <f t="shared" si="80"/>
        <v>0</v>
      </c>
      <c r="BS56" s="16">
        <f t="shared" si="81"/>
        <v>0</v>
      </c>
      <c r="BT56" s="16">
        <f t="shared" si="82"/>
        <v>26.90771534802127</v>
      </c>
    </row>
    <row r="57" spans="1:73" x14ac:dyDescent="0.2">
      <c r="A57" t="str">
        <f>'Input Scenarios'!A57</f>
        <v>SA</v>
      </c>
      <c r="B57">
        <f>'Input Scenarios'!B57</f>
        <v>0</v>
      </c>
      <c r="C57" t="str">
        <f>'Input Scenarios'!C57</f>
        <v>Irrigated crop</v>
      </c>
      <c r="D57" t="str">
        <f>'Input Scenarios'!D57</f>
        <v>dry</v>
      </c>
      <c r="E57" t="b">
        <f>'Input Scenarios'!E57</f>
        <v>1</v>
      </c>
      <c r="F57" t="str">
        <f>'Input Scenarios'!F57</f>
        <v>Zero grazing</v>
      </c>
      <c r="G57">
        <f>IF('Input Scenarios'!G57&lt;&gt;"", 'Input Scenarios'!G57, _xlfn.XLOOKUP($F57, Constants!$M$6:$M$9,Constants!N$6:N$9))</f>
        <v>0</v>
      </c>
      <c r="H57">
        <f>IF('Input Scenarios'!H57&lt;&gt;"", 'Input Scenarios'!H57, _xlfn.XLOOKUP($F57, Constants!$M$6:$M$9,Constants!O$6:O$9))</f>
        <v>0.11</v>
      </c>
      <c r="I57">
        <f>IF('Input Scenarios'!I57&lt;&gt;"", 'Input Scenarios'!I57, _xlfn.XLOOKUP($F57, Constants!$M$6:$M$9,Constants!P$6:P$9))</f>
        <v>0.89</v>
      </c>
      <c r="J57">
        <f>'Input Scenarios'!J57</f>
        <v>0.1</v>
      </c>
      <c r="K57">
        <f>'Input Scenarios'!K57</f>
        <v>0.2</v>
      </c>
      <c r="L57">
        <f>'Input Scenarios'!L57</f>
        <v>0.3</v>
      </c>
      <c r="M57">
        <f>'Input Scenarios'!M57</f>
        <v>0.4</v>
      </c>
      <c r="N57">
        <f>'Input Scenarios'!N57</f>
        <v>0.4</v>
      </c>
      <c r="O57">
        <f>'Input Scenarios'!O57</f>
        <v>0.3</v>
      </c>
      <c r="P57">
        <f>'Input Scenarios'!P57</f>
        <v>0.2</v>
      </c>
      <c r="Q57">
        <f>'Input Scenarios'!Q57</f>
        <v>0.1</v>
      </c>
      <c r="R57" t="b">
        <f>'Input Scenarios'!R57</f>
        <v>0</v>
      </c>
      <c r="S57">
        <f>IF('Input Scenarios'!S57&lt;&gt;"", 'Input Scenarios'!S57, IF(R57, Constants!$B$38, 0))</f>
        <v>0</v>
      </c>
      <c r="T57" t="str">
        <f>IF('Input Scenarios'!T57&lt;&gt;"", 'Input Scenarios'!T57, "")</f>
        <v/>
      </c>
      <c r="U57" t="str">
        <f>IF('Input Scenarios'!U57&lt;&gt;"", 'Input Scenarios'!U57, IF(W57&lt;&gt;"", "", Constants!$B$39))</f>
        <v/>
      </c>
      <c r="V57" t="str">
        <f>IF('Input Scenarios'!V57&lt;&gt;"", 'Input Scenarios'!V57, IF(W57&lt;&gt;"", "", Constants!$B$40))</f>
        <v/>
      </c>
      <c r="W57">
        <f>IF('Input Scenarios'!W57&lt;&gt;"", 'Input Scenarios'!W57, "")</f>
        <v>0.1</v>
      </c>
      <c r="X57" t="str">
        <f>'Input Scenarios'!X57</f>
        <v>Guernsey</v>
      </c>
      <c r="Y57" t="str">
        <f>'Input Scenarios'!Y57</f>
        <v>milkingCows</v>
      </c>
      <c r="Z57">
        <f>'Input Scenarios'!Z57</f>
        <v>200</v>
      </c>
      <c r="AA57">
        <f>IF('Input Scenarios'!AA57&lt;&gt;"", 'Input Scenarios'!AA57, _xlfn.XLOOKUP(Y57,Constants!$J$6:$J$12,Constants!$K$6:$K$12))</f>
        <v>365</v>
      </c>
      <c r="AB57">
        <f>IF('Input Scenarios'!AB57&lt;&gt;"", 'Input Scenarios'!AB57, INDEX(Constants!$B$2:$H$11, MATCH(X57, Constants!$A$2:$A$11, 0), MATCH(Y57,Constants!$B$1:$H$1, 0)))</f>
        <v>480</v>
      </c>
      <c r="AC57">
        <f>IF('Input Scenarios'!AC57&lt;&gt;"", 'Input Scenarios'!AC57, _xlfn.XLOOKUP(Y57, Constants!$B$13:$H$13, Constants!$B$15:$H$15, ""))</f>
        <v>1.6E-2</v>
      </c>
      <c r="AD57">
        <f>IF('Input Scenarios'!AD57&lt;&gt;"", 'Input Scenarios'!AD57, Constants!$B$45)</f>
        <v>0.75</v>
      </c>
      <c r="AE57">
        <f>IF('Input Scenarios'!AE57&lt;&gt;"", 'Input Scenarios'!AE57, Constants!$B$46)</f>
        <v>0.2</v>
      </c>
      <c r="AF57" s="20">
        <f>IF($Y57="milkingCows",($H57*J57)+($I57*N57), 0)</f>
        <v>0.36700000000000005</v>
      </c>
      <c r="AG57" s="20">
        <f t="shared" ref="AG57:AI63" si="83">IF($Y57="milkingCows",($H57*K57)+($I57*O57), 0)</f>
        <v>0.28900000000000003</v>
      </c>
      <c r="AH57" s="20">
        <f t="shared" si="83"/>
        <v>0.21100000000000002</v>
      </c>
      <c r="AI57" s="20">
        <f t="shared" si="83"/>
        <v>0.13300000000000001</v>
      </c>
      <c r="AJ57" s="20">
        <f>IF($Y57="milkingCows",G57, 1)</f>
        <v>0</v>
      </c>
      <c r="AK57">
        <f t="shared" si="71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72"/>
        <v>0.5948500000000001</v>
      </c>
      <c r="AQ57">
        <f t="shared" si="73"/>
        <v>4.7899360818035967E-2</v>
      </c>
      <c r="AR57">
        <f>IF(Y57="milkingCows", Constants!$P$2, Constants!$P$3)</f>
        <v>1.1000000000000001</v>
      </c>
      <c r="AS57">
        <f t="shared" si="74"/>
        <v>8.4893082048180375</v>
      </c>
      <c r="AT57">
        <f t="shared" si="75"/>
        <v>1.0036280191363305</v>
      </c>
      <c r="AU57">
        <f>_xlfn.XLOOKUP(Y57, Constants!$B$13:$H$13, Constants!$B$14:$H$14, "")</f>
        <v>590</v>
      </c>
      <c r="AV57">
        <f t="shared" si="76"/>
        <v>0.81355932203389836</v>
      </c>
      <c r="AW57">
        <f>Constants!$B$55</f>
        <v>6.25</v>
      </c>
      <c r="AX57" s="20">
        <f t="shared" si="63"/>
        <v>7.1308460484772421E-4</v>
      </c>
      <c r="AY57">
        <f t="shared" si="64"/>
        <v>1.6978616409636076</v>
      </c>
      <c r="AZ57">
        <f>IF(ISNUMBER(FIND("PreWeaned",Y57)),"", MAX((AY57/AW57)-AX57-(((1.1*10^-4)*(AB57^0.75))/AW57), 0))</f>
        <v>0.26913991763431183</v>
      </c>
      <c r="BA57" t="str">
        <f>IF(ISNUMBER(FIND("PreWeaned",Y57)),_xlfn.XLOOKUP(Y57,Constants!$J$2:$J$3,Constants!$M$2:$M$3),"")</f>
        <v/>
      </c>
      <c r="BB57">
        <f t="shared" si="65"/>
        <v>19647.213987304764</v>
      </c>
      <c r="BC57">
        <f t="shared" si="66"/>
        <v>7210.527533340849</v>
      </c>
      <c r="BD57">
        <f t="shared" si="67"/>
        <v>5678.0448423310772</v>
      </c>
      <c r="BE57">
        <f t="shared" si="68"/>
        <v>4145.5621513213055</v>
      </c>
      <c r="BF57">
        <f t="shared" si="69"/>
        <v>2613.0794603115337</v>
      </c>
      <c r="BG57">
        <f t="shared" si="70"/>
        <v>0</v>
      </c>
      <c r="BH57">
        <f>Constants!$C$19</f>
        <v>0</v>
      </c>
      <c r="BI57">
        <f>Constants!$C$20</f>
        <v>0</v>
      </c>
      <c r="BJ57">
        <f>Constants!$C$21</f>
        <v>0</v>
      </c>
      <c r="BK57">
        <f>Constants!$C$22</f>
        <v>5.0000000000000001E-3</v>
      </c>
      <c r="BL57">
        <f>Constants!$C$23</f>
        <v>0</v>
      </c>
      <c r="BM57">
        <f>Constants!$B$50</f>
        <v>1.57</v>
      </c>
      <c r="BN57">
        <f>_xlfn.XLOOKUP(D57,Constants!$A$34:$A$35,Constants!$B$34:$B$35)</f>
        <v>2E-3</v>
      </c>
      <c r="BO57">
        <f t="shared" si="77"/>
        <v>0</v>
      </c>
      <c r="BP57">
        <f t="shared" si="78"/>
        <v>0</v>
      </c>
      <c r="BQ57">
        <f t="shared" si="79"/>
        <v>0</v>
      </c>
      <c r="BR57">
        <f t="shared" si="80"/>
        <v>20.512673763445541</v>
      </c>
      <c r="BS57">
        <f t="shared" si="81"/>
        <v>0</v>
      </c>
      <c r="BT57">
        <f t="shared" si="82"/>
        <v>0</v>
      </c>
      <c r="BU57">
        <f>SUM(BO57:BT63)/1000</f>
        <v>0.17988788552316543</v>
      </c>
    </row>
    <row r="58" spans="1:73" x14ac:dyDescent="0.2">
      <c r="A58" t="str">
        <f>'Input Scenarios'!A58</f>
        <v>SA</v>
      </c>
      <c r="B58">
        <f>'Input Scenarios'!B58</f>
        <v>0</v>
      </c>
      <c r="C58" t="str">
        <f>'Input Scenarios'!C58</f>
        <v>Irrigated crop</v>
      </c>
      <c r="D58" t="str">
        <f>'Input Scenarios'!D58</f>
        <v>dry</v>
      </c>
      <c r="E58" t="b">
        <f>'Input Scenarios'!E58</f>
        <v>1</v>
      </c>
      <c r="F58" t="str">
        <f>'Input Scenarios'!F58</f>
        <v>Zero grazing</v>
      </c>
      <c r="G58">
        <f>IF('Input Scenarios'!G58&lt;&gt;"", 'Input Scenarios'!G58, _xlfn.XLOOKUP($F58, Constants!$M$6:$M$9,Constants!N$6:N$9))</f>
        <v>0</v>
      </c>
      <c r="H58">
        <f>IF('Input Scenarios'!H58&lt;&gt;"", 'Input Scenarios'!H58, _xlfn.XLOOKUP($F58, Constants!$M$6:$M$9,Constants!O$6:O$9))</f>
        <v>0.11</v>
      </c>
      <c r="I58">
        <f>IF('Input Scenarios'!I58&lt;&gt;"", 'Input Scenarios'!I58, _xlfn.XLOOKUP($F58, Constants!$M$6:$M$9,Constants!P$6:P$9))</f>
        <v>0.89</v>
      </c>
      <c r="J58">
        <f>'Input Scenarios'!J58</f>
        <v>0.1</v>
      </c>
      <c r="K58">
        <f>'Input Scenarios'!K58</f>
        <v>0.2</v>
      </c>
      <c r="L58">
        <f>'Input Scenarios'!L58</f>
        <v>0.3</v>
      </c>
      <c r="M58">
        <f>'Input Scenarios'!M58</f>
        <v>0.4</v>
      </c>
      <c r="N58">
        <f>'Input Scenarios'!N58</f>
        <v>0.4</v>
      </c>
      <c r="O58">
        <f>'Input Scenarios'!O58</f>
        <v>0.3</v>
      </c>
      <c r="P58">
        <f>'Input Scenarios'!P58</f>
        <v>0.2</v>
      </c>
      <c r="Q58">
        <f>'Input Scenarios'!Q58</f>
        <v>0.1</v>
      </c>
      <c r="R58" t="b">
        <f>'Input Scenarios'!R58</f>
        <v>0</v>
      </c>
      <c r="S58">
        <f>IF('Input Scenarios'!S58&lt;&gt;"", 'Input Scenarios'!S58, IF(R58, Constants!$B$38, 0))</f>
        <v>0</v>
      </c>
      <c r="T58" t="str">
        <f>IF('Input Scenarios'!T58&lt;&gt;"", 'Input Scenarios'!T58, "")</f>
        <v/>
      </c>
      <c r="U58">
        <f>IF('Input Scenarios'!U58&lt;&gt;"", 'Input Scenarios'!U58, IF(W58&lt;&gt;"", "", Constants!$B$39))</f>
        <v>4</v>
      </c>
      <c r="V58">
        <f>IF('Input Scenarios'!V58&lt;&gt;"", 'Input Scenarios'!V58, IF(W58&lt;&gt;"", "", Constants!$B$40))</f>
        <v>3.3</v>
      </c>
      <c r="W58" t="str">
        <f>IF('Input Scenarios'!W58&lt;&gt;"", 'Input Scenarios'!W58, "")</f>
        <v/>
      </c>
      <c r="X58" t="str">
        <f>'Input Scenarios'!X58</f>
        <v>Guernsey</v>
      </c>
      <c r="Y58" t="str">
        <f>'Input Scenarios'!Y58</f>
        <v>heifersGt1</v>
      </c>
      <c r="Z58">
        <f>'Input Scenarios'!Z58</f>
        <v>200</v>
      </c>
      <c r="AA58">
        <f>IF('Input Scenarios'!AA58&lt;&gt;"", 'Input Scenarios'!AA58, _xlfn.XLOOKUP(Y58,Constants!$J$6:$J$12,Constants!$K$6:$K$12))</f>
        <v>365</v>
      </c>
      <c r="AB58">
        <f>IF('Input Scenarios'!AB58&lt;&gt;"", 'Input Scenarios'!AB58, INDEX(Constants!$B$2:$H$11, MATCH(X58, Constants!$A$2:$A$11, 0), MATCH(Y58,Constants!$B$1:$H$1, 0)))</f>
        <v>335</v>
      </c>
      <c r="AC58">
        <f>IF('Input Scenarios'!AC58&lt;&gt;"", 'Input Scenarios'!AC58, _xlfn.XLOOKUP(Y58, Constants!$B$13:$H$13, Constants!$B$15:$H$15, ""))</f>
        <v>0.6</v>
      </c>
      <c r="AD58">
        <f>IF('Input Scenarios'!AD58&lt;&gt;"", 'Input Scenarios'!AD58, Constants!$B$45)</f>
        <v>0.75</v>
      </c>
      <c r="AE58">
        <f>IF('Input Scenarios'!AE58&lt;&gt;"", 'Input Scenarios'!AE58, Constants!$B$46)</f>
        <v>0.2</v>
      </c>
      <c r="AF58">
        <f t="shared" ref="AF58:AF63" si="84">IF($Y58="milkingCows",($H58*J58)+($I58*N58), 0)</f>
        <v>0</v>
      </c>
      <c r="AG58">
        <f t="shared" si="83"/>
        <v>0</v>
      </c>
      <c r="AH58">
        <f t="shared" si="83"/>
        <v>0</v>
      </c>
      <c r="AI58">
        <f t="shared" si="83"/>
        <v>0</v>
      </c>
      <c r="AJ58">
        <f t="shared" ref="AJ58:AJ63" si="85">IF($Y58="milkingCows",G58, 1)</f>
        <v>1</v>
      </c>
      <c r="AK58">
        <f t="shared" si="71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72"/>
        <v>0.5948500000000001</v>
      </c>
      <c r="AQ58">
        <f t="shared" si="73"/>
        <v>0</v>
      </c>
      <c r="AR58">
        <f>IF(Y58="milkingCows", Constants!$P$2, Constants!$P$3)</f>
        <v>1</v>
      </c>
      <c r="AS58">
        <f t="shared" si="74"/>
        <v>6.7762077032249994</v>
      </c>
      <c r="AT58">
        <f t="shared" si="75"/>
        <v>1.162708374187144</v>
      </c>
      <c r="AU58">
        <f>_xlfn.XLOOKUP(Y58, Constants!$B$13:$H$13, Constants!$B$14:$H$14, "")</f>
        <v>590</v>
      </c>
      <c r="AV58">
        <f t="shared" si="76"/>
        <v>0.56779661016949157</v>
      </c>
      <c r="AW58">
        <f>Constants!$B$55</f>
        <v>6.25</v>
      </c>
      <c r="AX58">
        <f t="shared" si="63"/>
        <v>9.8263084532232529E-3</v>
      </c>
      <c r="AY58">
        <f t="shared" si="64"/>
        <v>1.355241540645</v>
      </c>
      <c r="AZ58">
        <f t="shared" si="18"/>
        <v>0.20563418873649833</v>
      </c>
      <c r="BA58" t="str">
        <f>IF(ISNUMBER(FIND("PreWeaned",Y58)),_xlfn.XLOOKUP(Y58,Constants!$J$2:$J$3,Constants!$M$2:$M$3),"")</f>
        <v/>
      </c>
      <c r="BB58">
        <f t="shared" si="65"/>
        <v>15011.295777764379</v>
      </c>
      <c r="BC58">
        <f t="shared" si="66"/>
        <v>0</v>
      </c>
      <c r="BD58">
        <f t="shared" si="67"/>
        <v>0</v>
      </c>
      <c r="BE58">
        <f t="shared" si="68"/>
        <v>0</v>
      </c>
      <c r="BF58">
        <f t="shared" si="69"/>
        <v>0</v>
      </c>
      <c r="BG58">
        <f t="shared" si="70"/>
        <v>15011.295777764379</v>
      </c>
      <c r="BH58">
        <f>Constants!$C$19</f>
        <v>0</v>
      </c>
      <c r="BI58">
        <f>Constants!$C$20</f>
        <v>0</v>
      </c>
      <c r="BJ58">
        <f>Constants!$C$21</f>
        <v>0</v>
      </c>
      <c r="BK58">
        <f>Constants!$C$22</f>
        <v>5.0000000000000001E-3</v>
      </c>
      <c r="BL58">
        <f>Constants!$C$23</f>
        <v>0</v>
      </c>
      <c r="BM58">
        <f>Constants!$B$50</f>
        <v>1.57</v>
      </c>
      <c r="BN58">
        <f>_xlfn.XLOOKUP(D58,Constants!$A$34:$A$35,Constants!$B$34:$B$35)</f>
        <v>2E-3</v>
      </c>
      <c r="BO58">
        <f t="shared" si="77"/>
        <v>0</v>
      </c>
      <c r="BP58">
        <f t="shared" si="78"/>
        <v>0</v>
      </c>
      <c r="BQ58">
        <f t="shared" si="79"/>
        <v>0</v>
      </c>
      <c r="BR58">
        <f t="shared" si="80"/>
        <v>0</v>
      </c>
      <c r="BS58">
        <f t="shared" si="81"/>
        <v>0</v>
      </c>
      <c r="BT58">
        <f t="shared" si="82"/>
        <v>47.135468742180151</v>
      </c>
    </row>
    <row r="59" spans="1:73" x14ac:dyDescent="0.2">
      <c r="A59" t="str">
        <f>'Input Scenarios'!A59</f>
        <v>SA</v>
      </c>
      <c r="B59">
        <f>'Input Scenarios'!B59</f>
        <v>0</v>
      </c>
      <c r="C59" t="str">
        <f>'Input Scenarios'!C59</f>
        <v>Irrigated crop</v>
      </c>
      <c r="D59" t="str">
        <f>'Input Scenarios'!D59</f>
        <v>dry</v>
      </c>
      <c r="E59" t="b">
        <f>'Input Scenarios'!E59</f>
        <v>1</v>
      </c>
      <c r="F59" t="str">
        <f>'Input Scenarios'!F59</f>
        <v>Zero grazing</v>
      </c>
      <c r="G59">
        <f>IF('Input Scenarios'!G59&lt;&gt;"", 'Input Scenarios'!G59, _xlfn.XLOOKUP($F59, Constants!$M$6:$M$9,Constants!N$6:N$9))</f>
        <v>0</v>
      </c>
      <c r="H59">
        <f>IF('Input Scenarios'!H59&lt;&gt;"", 'Input Scenarios'!H59, _xlfn.XLOOKUP($F59, Constants!$M$6:$M$9,Constants!O$6:O$9))</f>
        <v>0.11</v>
      </c>
      <c r="I59">
        <f>IF('Input Scenarios'!I59&lt;&gt;"", 'Input Scenarios'!I59, _xlfn.XLOOKUP($F59, Constants!$M$6:$M$9,Constants!P$6:P$9))</f>
        <v>0.89</v>
      </c>
      <c r="J59">
        <f>'Input Scenarios'!J59</f>
        <v>0.1</v>
      </c>
      <c r="K59">
        <f>'Input Scenarios'!K59</f>
        <v>0.2</v>
      </c>
      <c r="L59">
        <f>'Input Scenarios'!L59</f>
        <v>0.3</v>
      </c>
      <c r="M59">
        <f>'Input Scenarios'!M59</f>
        <v>0.4</v>
      </c>
      <c r="N59">
        <f>'Input Scenarios'!N59</f>
        <v>0.4</v>
      </c>
      <c r="O59">
        <f>'Input Scenarios'!O59</f>
        <v>0.3</v>
      </c>
      <c r="P59">
        <f>'Input Scenarios'!P59</f>
        <v>0.2</v>
      </c>
      <c r="Q59">
        <f>'Input Scenarios'!Q59</f>
        <v>0.1</v>
      </c>
      <c r="R59" t="b">
        <f>'Input Scenarios'!R59</f>
        <v>0</v>
      </c>
      <c r="S59">
        <f>IF('Input Scenarios'!S59&lt;&gt;"", 'Input Scenarios'!S59, IF(R59, Constants!$B$38, 0))</f>
        <v>0</v>
      </c>
      <c r="T59" t="str">
        <f>IF('Input Scenarios'!T59&lt;&gt;"", 'Input Scenarios'!T59, "")</f>
        <v/>
      </c>
      <c r="U59">
        <f>IF('Input Scenarios'!U59&lt;&gt;"", 'Input Scenarios'!U59, IF(W59&lt;&gt;"", "", Constants!$B$39))</f>
        <v>4</v>
      </c>
      <c r="V59">
        <f>IF('Input Scenarios'!V59&lt;&gt;"", 'Input Scenarios'!V59, IF(W59&lt;&gt;"", "", Constants!$B$40))</f>
        <v>3.3</v>
      </c>
      <c r="W59" t="str">
        <f>IF('Input Scenarios'!W59&lt;&gt;"", 'Input Scenarios'!W59, "")</f>
        <v/>
      </c>
      <c r="X59" t="str">
        <f>'Input Scenarios'!X59</f>
        <v>Guernsey</v>
      </c>
      <c r="Y59" t="str">
        <f>'Input Scenarios'!Y59</f>
        <v>heifersLt1PreWeaned</v>
      </c>
      <c r="Z59">
        <f>'Input Scenarios'!Z59</f>
        <v>200</v>
      </c>
      <c r="AA59">
        <f>IF('Input Scenarios'!AA59&lt;&gt;"", 'Input Scenarios'!AA59, _xlfn.XLOOKUP(Y59,Constants!$J$6:$J$12,Constants!$K$6:$K$12))</f>
        <v>84</v>
      </c>
      <c r="AB59">
        <f>IF('Input Scenarios'!AB59&lt;&gt;"", 'Input Scenarios'!AB59, INDEX(Constants!$B$2:$H$11, MATCH(X59, Constants!$A$2:$A$11, 0), MATCH(Y59,Constants!$B$1:$H$1, 0)))</f>
        <v>140</v>
      </c>
      <c r="AC59" t="str">
        <f>IF('Input Scenarios'!AC59&lt;&gt;"", 'Input Scenarios'!AC59, _xlfn.XLOOKUP(Y59, Constants!$B$13:$H$13, Constants!$B$15:$H$15, ""))</f>
        <v/>
      </c>
      <c r="AD59">
        <f>IF('Input Scenarios'!AD59&lt;&gt;"", 'Input Scenarios'!AD59, Constants!$B$45)</f>
        <v>0.75</v>
      </c>
      <c r="AE59">
        <f>IF('Input Scenarios'!AE59&lt;&gt;"", 'Input Scenarios'!AE59, Constants!$B$46)</f>
        <v>0.2</v>
      </c>
      <c r="AF59">
        <f t="shared" si="84"/>
        <v>0</v>
      </c>
      <c r="AG59">
        <f t="shared" si="83"/>
        <v>0</v>
      </c>
      <c r="AH59">
        <f t="shared" si="83"/>
        <v>0</v>
      </c>
      <c r="AI59">
        <f t="shared" si="83"/>
        <v>0</v>
      </c>
      <c r="AJ59">
        <f t="shared" si="85"/>
        <v>1</v>
      </c>
      <c r="AK59">
        <f t="shared" si="71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72"/>
        <v>0.5948500000000001</v>
      </c>
      <c r="AQ59">
        <f t="shared" si="73"/>
        <v>0</v>
      </c>
      <c r="AR59">
        <f>IF(Y59="milkingCows", Constants!$P$2, Constants!$P$3)</f>
        <v>1</v>
      </c>
      <c r="AS59" t="str">
        <f t="shared" si="74"/>
        <v/>
      </c>
      <c r="AT59" t="str">
        <f t="shared" si="75"/>
        <v/>
      </c>
      <c r="AU59" t="str">
        <f>_xlfn.XLOOKUP(Y59, Constants!$B$13:$H$13, Constants!$B$14:$H$14, "")</f>
        <v/>
      </c>
      <c r="AV59" t="str">
        <f t="shared" si="76"/>
        <v/>
      </c>
      <c r="AW59">
        <f>Constants!$B$55</f>
        <v>6.25</v>
      </c>
      <c r="AX59" t="str">
        <f t="shared" si="63"/>
        <v/>
      </c>
      <c r="AY59" t="str">
        <f t="shared" si="64"/>
        <v/>
      </c>
      <c r="AZ59" t="str">
        <f t="shared" si="18"/>
        <v/>
      </c>
      <c r="BA59">
        <f>IF(ISNUMBER(FIND("PreWeaned",Y59)),_xlfn.XLOOKUP(Y59,Constants!$J$2:$J$3,Constants!$M$2:$M$3),"")</f>
        <v>1.37E-2</v>
      </c>
      <c r="BB59">
        <f t="shared" si="65"/>
        <v>230.16000000000003</v>
      </c>
      <c r="BC59">
        <f t="shared" si="66"/>
        <v>0</v>
      </c>
      <c r="BD59">
        <f t="shared" si="67"/>
        <v>0</v>
      </c>
      <c r="BE59">
        <f t="shared" si="68"/>
        <v>0</v>
      </c>
      <c r="BF59">
        <f t="shared" si="69"/>
        <v>0</v>
      </c>
      <c r="BG59">
        <f t="shared" si="70"/>
        <v>230.16000000000003</v>
      </c>
      <c r="BH59">
        <f>Constants!$C$19</f>
        <v>0</v>
      </c>
      <c r="BI59">
        <f>Constants!$C$20</f>
        <v>0</v>
      </c>
      <c r="BJ59">
        <f>Constants!$C$21</f>
        <v>0</v>
      </c>
      <c r="BK59">
        <f>Constants!$C$22</f>
        <v>5.0000000000000001E-3</v>
      </c>
      <c r="BL59">
        <f>Constants!$C$23</f>
        <v>0</v>
      </c>
      <c r="BM59">
        <f>Constants!$B$50</f>
        <v>1.57</v>
      </c>
      <c r="BN59">
        <f>_xlfn.XLOOKUP(D59,Constants!$A$34:$A$35,Constants!$B$34:$B$35)</f>
        <v>2E-3</v>
      </c>
      <c r="BO59">
        <f t="shared" si="77"/>
        <v>0</v>
      </c>
      <c r="BP59">
        <f t="shared" si="78"/>
        <v>0</v>
      </c>
      <c r="BQ59">
        <f t="shared" si="79"/>
        <v>0</v>
      </c>
      <c r="BR59">
        <f t="shared" si="80"/>
        <v>0</v>
      </c>
      <c r="BS59">
        <f t="shared" si="81"/>
        <v>0</v>
      </c>
      <c r="BT59">
        <f t="shared" si="82"/>
        <v>0.72270240000000008</v>
      </c>
    </row>
    <row r="60" spans="1:73" x14ac:dyDescent="0.2">
      <c r="A60" t="str">
        <f>'Input Scenarios'!A60</f>
        <v>SA</v>
      </c>
      <c r="B60">
        <f>'Input Scenarios'!B60</f>
        <v>0</v>
      </c>
      <c r="C60" t="str">
        <f>'Input Scenarios'!C60</f>
        <v>Irrigated crop</v>
      </c>
      <c r="D60" t="str">
        <f>'Input Scenarios'!D60</f>
        <v>dry</v>
      </c>
      <c r="E60" t="b">
        <f>'Input Scenarios'!E60</f>
        <v>1</v>
      </c>
      <c r="F60" t="str">
        <f>'Input Scenarios'!F60</f>
        <v>Zero grazing</v>
      </c>
      <c r="G60">
        <f>IF('Input Scenarios'!G60&lt;&gt;"", 'Input Scenarios'!G60, _xlfn.XLOOKUP($F60, Constants!$M$6:$M$9,Constants!N$6:N$9))</f>
        <v>0</v>
      </c>
      <c r="H60">
        <f>IF('Input Scenarios'!H60&lt;&gt;"", 'Input Scenarios'!H60, _xlfn.XLOOKUP($F60, Constants!$M$6:$M$9,Constants!O$6:O$9))</f>
        <v>0.11</v>
      </c>
      <c r="I60">
        <f>IF('Input Scenarios'!I60&lt;&gt;"", 'Input Scenarios'!I60, _xlfn.XLOOKUP($F60, Constants!$M$6:$M$9,Constants!P$6:P$9))</f>
        <v>0.89</v>
      </c>
      <c r="J60">
        <f>'Input Scenarios'!J60</f>
        <v>0.1</v>
      </c>
      <c r="K60">
        <f>'Input Scenarios'!K60</f>
        <v>0.2</v>
      </c>
      <c r="L60">
        <f>'Input Scenarios'!L60</f>
        <v>0.3</v>
      </c>
      <c r="M60">
        <f>'Input Scenarios'!M60</f>
        <v>0.4</v>
      </c>
      <c r="N60">
        <f>'Input Scenarios'!N60</f>
        <v>0.4</v>
      </c>
      <c r="O60">
        <f>'Input Scenarios'!O60</f>
        <v>0.3</v>
      </c>
      <c r="P60">
        <f>'Input Scenarios'!P60</f>
        <v>0.2</v>
      </c>
      <c r="Q60">
        <f>'Input Scenarios'!Q60</f>
        <v>0.1</v>
      </c>
      <c r="R60" t="b">
        <f>'Input Scenarios'!R60</f>
        <v>0</v>
      </c>
      <c r="S60">
        <f>IF('Input Scenarios'!S60&lt;&gt;"", 'Input Scenarios'!S60, IF(R60, Constants!$B$38, 0))</f>
        <v>0</v>
      </c>
      <c r="T60" t="str">
        <f>IF('Input Scenarios'!T60&lt;&gt;"", 'Input Scenarios'!T60, "")</f>
        <v/>
      </c>
      <c r="U60">
        <f>IF('Input Scenarios'!U60&lt;&gt;"", 'Input Scenarios'!U60, IF(W60&lt;&gt;"", "", Constants!$B$39))</f>
        <v>4</v>
      </c>
      <c r="V60">
        <f>IF('Input Scenarios'!V60&lt;&gt;"", 'Input Scenarios'!V60, IF(W60&lt;&gt;"", "", Constants!$B$40))</f>
        <v>3.3</v>
      </c>
      <c r="W60" t="str">
        <f>IF('Input Scenarios'!W60&lt;&gt;"", 'Input Scenarios'!W60, "")</f>
        <v/>
      </c>
      <c r="X60" t="str">
        <f>'Input Scenarios'!X60</f>
        <v>Guernsey</v>
      </c>
      <c r="Y60" t="str">
        <f>'Input Scenarios'!Y60</f>
        <v>heifersLt1Weaned</v>
      </c>
      <c r="Z60">
        <f>'Input Scenarios'!Z60</f>
        <v>200</v>
      </c>
      <c r="AA60">
        <f>IF('Input Scenarios'!AA60&lt;&gt;"", 'Input Scenarios'!AA60, _xlfn.XLOOKUP(Y60,Constants!$J$6:$J$12,Constants!$K$6:$K$12))</f>
        <v>281</v>
      </c>
      <c r="AB60">
        <f>IF('Input Scenarios'!AB60&lt;&gt;"", 'Input Scenarios'!AB60, INDEX(Constants!$B$2:$H$11, MATCH(X60, Constants!$A$2:$A$11, 0), MATCH(Y60,Constants!$B$1:$H$1, 0)))</f>
        <v>140</v>
      </c>
      <c r="AC60">
        <f>IF('Input Scenarios'!AC60&lt;&gt;"", 'Input Scenarios'!AC60, _xlfn.XLOOKUP(Y60, Constants!$B$13:$H$13, Constants!$B$15:$H$15, ""))</f>
        <v>0.56999999999999995</v>
      </c>
      <c r="AD60">
        <f>IF('Input Scenarios'!AD60&lt;&gt;"", 'Input Scenarios'!AD60, Constants!$B$45)</f>
        <v>0.75</v>
      </c>
      <c r="AE60">
        <f>IF('Input Scenarios'!AE60&lt;&gt;"", 'Input Scenarios'!AE60, Constants!$B$46)</f>
        <v>0.2</v>
      </c>
      <c r="AF60">
        <f t="shared" si="84"/>
        <v>0</v>
      </c>
      <c r="AG60">
        <f t="shared" si="83"/>
        <v>0</v>
      </c>
      <c r="AH60">
        <f t="shared" si="83"/>
        <v>0</v>
      </c>
      <c r="AI60">
        <f t="shared" si="83"/>
        <v>0</v>
      </c>
      <c r="AJ60">
        <f t="shared" si="85"/>
        <v>1</v>
      </c>
      <c r="AK60">
        <f t="shared" si="71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72"/>
        <v>0.5948500000000001</v>
      </c>
      <c r="AQ60">
        <f t="shared" si="73"/>
        <v>0</v>
      </c>
      <c r="AR60">
        <f>IF(Y60="milkingCows", Constants!$P$2, Constants!$P$3)</f>
        <v>1</v>
      </c>
      <c r="AS60">
        <f t="shared" si="74"/>
        <v>3.7993416560999989</v>
      </c>
      <c r="AT60">
        <f t="shared" si="75"/>
        <v>1.213217026603395</v>
      </c>
      <c r="AU60">
        <f>_xlfn.XLOOKUP(Y60, Constants!$B$13:$H$13, Constants!$B$14:$H$14, "")</f>
        <v>590</v>
      </c>
      <c r="AV60">
        <f t="shared" si="76"/>
        <v>0.23728813559322035</v>
      </c>
      <c r="AW60">
        <f>Constants!$B$55</f>
        <v>6.25</v>
      </c>
      <c r="AX60">
        <f t="shared" si="63"/>
        <v>1.49570148025881E-2</v>
      </c>
      <c r="AY60">
        <f t="shared" si="64"/>
        <v>0.75986833121999986</v>
      </c>
      <c r="AZ60">
        <f t="shared" si="18"/>
        <v>0.10590559552466704</v>
      </c>
      <c r="BA60" t="str">
        <f>IF(ISNUMBER(FIND("PreWeaned",Y60)),_xlfn.XLOOKUP(Y60,Constants!$J$2:$J$3,Constants!$M$2:$M$3),"")</f>
        <v/>
      </c>
      <c r="BB60">
        <f t="shared" si="65"/>
        <v>5951.8944684862881</v>
      </c>
      <c r="BC60">
        <f t="shared" si="66"/>
        <v>0</v>
      </c>
      <c r="BD60">
        <f t="shared" si="67"/>
        <v>0</v>
      </c>
      <c r="BE60">
        <f t="shared" si="68"/>
        <v>0</v>
      </c>
      <c r="BF60">
        <f t="shared" si="69"/>
        <v>0</v>
      </c>
      <c r="BG60">
        <f t="shared" si="70"/>
        <v>5951.8944684862881</v>
      </c>
      <c r="BH60">
        <f>Constants!$C$19</f>
        <v>0</v>
      </c>
      <c r="BI60">
        <f>Constants!$C$20</f>
        <v>0</v>
      </c>
      <c r="BJ60">
        <f>Constants!$C$21</f>
        <v>0</v>
      </c>
      <c r="BK60">
        <f>Constants!$C$22</f>
        <v>5.0000000000000001E-3</v>
      </c>
      <c r="BL60">
        <f>Constants!$C$23</f>
        <v>0</v>
      </c>
      <c r="BM60">
        <f>Constants!$B$50</f>
        <v>1.57</v>
      </c>
      <c r="BN60">
        <f>_xlfn.XLOOKUP(D60,Constants!$A$34:$A$35,Constants!$B$34:$B$35)</f>
        <v>2E-3</v>
      </c>
      <c r="BO60">
        <f t="shared" si="77"/>
        <v>0</v>
      </c>
      <c r="BP60">
        <f t="shared" si="78"/>
        <v>0</v>
      </c>
      <c r="BQ60">
        <f t="shared" si="79"/>
        <v>0</v>
      </c>
      <c r="BR60">
        <f t="shared" si="80"/>
        <v>0</v>
      </c>
      <c r="BS60">
        <f t="shared" si="81"/>
        <v>0</v>
      </c>
      <c r="BT60">
        <f t="shared" si="82"/>
        <v>18.688948631046944</v>
      </c>
    </row>
    <row r="61" spans="1:73" x14ac:dyDescent="0.2">
      <c r="A61" t="str">
        <f>'Input Scenarios'!A61</f>
        <v>SA</v>
      </c>
      <c r="B61">
        <f>'Input Scenarios'!B61</f>
        <v>0</v>
      </c>
      <c r="C61" t="str">
        <f>'Input Scenarios'!C61</f>
        <v>Irrigated crop</v>
      </c>
      <c r="D61" t="str">
        <f>'Input Scenarios'!D61</f>
        <v>dry</v>
      </c>
      <c r="E61" t="b">
        <f>'Input Scenarios'!E61</f>
        <v>1</v>
      </c>
      <c r="F61" t="str">
        <f>'Input Scenarios'!F61</f>
        <v>Zero grazing</v>
      </c>
      <c r="G61">
        <f>IF('Input Scenarios'!G61&lt;&gt;"", 'Input Scenarios'!G61, _xlfn.XLOOKUP($F61, Constants!$M$6:$M$9,Constants!N$6:N$9))</f>
        <v>0</v>
      </c>
      <c r="H61">
        <f>IF('Input Scenarios'!H61&lt;&gt;"", 'Input Scenarios'!H61, _xlfn.XLOOKUP($F61, Constants!$M$6:$M$9,Constants!O$6:O$9))</f>
        <v>0.11</v>
      </c>
      <c r="I61">
        <f>IF('Input Scenarios'!I61&lt;&gt;"", 'Input Scenarios'!I61, _xlfn.XLOOKUP($F61, Constants!$M$6:$M$9,Constants!P$6:P$9))</f>
        <v>0.89</v>
      </c>
      <c r="J61">
        <f>'Input Scenarios'!J61</f>
        <v>0.1</v>
      </c>
      <c r="K61">
        <f>'Input Scenarios'!K61</f>
        <v>0.2</v>
      </c>
      <c r="L61">
        <f>'Input Scenarios'!L61</f>
        <v>0.3</v>
      </c>
      <c r="M61">
        <f>'Input Scenarios'!M61</f>
        <v>0.4</v>
      </c>
      <c r="N61">
        <f>'Input Scenarios'!N61</f>
        <v>0.4</v>
      </c>
      <c r="O61">
        <f>'Input Scenarios'!O61</f>
        <v>0.3</v>
      </c>
      <c r="P61">
        <f>'Input Scenarios'!P61</f>
        <v>0.2</v>
      </c>
      <c r="Q61">
        <f>'Input Scenarios'!Q61</f>
        <v>0.1</v>
      </c>
      <c r="R61" t="b">
        <f>'Input Scenarios'!R61</f>
        <v>0</v>
      </c>
      <c r="S61">
        <f>IF('Input Scenarios'!S61&lt;&gt;"", 'Input Scenarios'!S61, IF(R61, Constants!$B$38, 0))</f>
        <v>0</v>
      </c>
      <c r="T61" t="str">
        <f>IF('Input Scenarios'!T61&lt;&gt;"", 'Input Scenarios'!T61, "")</f>
        <v/>
      </c>
      <c r="U61">
        <f>IF('Input Scenarios'!U61&lt;&gt;"", 'Input Scenarios'!U61, IF(W61&lt;&gt;"", "", Constants!$B$39))</f>
        <v>4</v>
      </c>
      <c r="V61">
        <f>IF('Input Scenarios'!V61&lt;&gt;"", 'Input Scenarios'!V61, IF(W61&lt;&gt;"", "", Constants!$B$40))</f>
        <v>3.3</v>
      </c>
      <c r="W61" t="str">
        <f>IF('Input Scenarios'!W61&lt;&gt;"", 'Input Scenarios'!W61, "")</f>
        <v/>
      </c>
      <c r="X61" t="str">
        <f>'Input Scenarios'!X61</f>
        <v>Guernsey</v>
      </c>
      <c r="Y61" t="str">
        <f>'Input Scenarios'!Y61</f>
        <v>bullsGt1</v>
      </c>
      <c r="Z61">
        <f>'Input Scenarios'!Z61</f>
        <v>200</v>
      </c>
      <c r="AA61">
        <f>IF('Input Scenarios'!AA61&lt;&gt;"", 'Input Scenarios'!AA61, _xlfn.XLOOKUP(Y61,Constants!$J$6:$J$12,Constants!$K$6:$K$12))</f>
        <v>365</v>
      </c>
      <c r="AB61">
        <f>IF('Input Scenarios'!AB61&lt;&gt;"", 'Input Scenarios'!AB61, INDEX(Constants!$B$2:$H$11, MATCH(X61, Constants!$A$2:$A$11, 0), MATCH(Y61,Constants!$B$1:$H$1, 0)))</f>
        <v>600</v>
      </c>
      <c r="AC61">
        <f>IF('Input Scenarios'!AC61&lt;&gt;"", 'Input Scenarios'!AC61, _xlfn.XLOOKUP(Y61, Constants!$B$13:$H$13, Constants!$B$15:$H$15, ""))</f>
        <v>0.1</v>
      </c>
      <c r="AD61">
        <f>IF('Input Scenarios'!AD61&lt;&gt;"", 'Input Scenarios'!AD61, Constants!$B$45)</f>
        <v>0.75</v>
      </c>
      <c r="AE61">
        <f>IF('Input Scenarios'!AE61&lt;&gt;"", 'Input Scenarios'!AE61, Constants!$B$46)</f>
        <v>0.2</v>
      </c>
      <c r="AF61">
        <f t="shared" si="84"/>
        <v>0</v>
      </c>
      <c r="AG61">
        <f t="shared" si="83"/>
        <v>0</v>
      </c>
      <c r="AH61">
        <f t="shared" si="83"/>
        <v>0</v>
      </c>
      <c r="AI61">
        <f t="shared" si="83"/>
        <v>0</v>
      </c>
      <c r="AJ61">
        <f t="shared" si="85"/>
        <v>1</v>
      </c>
      <c r="AK61">
        <f t="shared" si="71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72"/>
        <v>0.5948500000000001</v>
      </c>
      <c r="AQ61">
        <f t="shared" si="73"/>
        <v>0</v>
      </c>
      <c r="AR61">
        <f>IF(Y61="milkingCows", Constants!$P$2, Constants!$P$3)</f>
        <v>1</v>
      </c>
      <c r="AS61">
        <f t="shared" si="74"/>
        <v>9.0270202499999979</v>
      </c>
      <c r="AT61">
        <f t="shared" si="75"/>
        <v>1.0213029780639273</v>
      </c>
      <c r="AU61">
        <f>_xlfn.XLOOKUP(Y61, Constants!$B$13:$H$13, Constants!$B$14:$H$14, "")</f>
        <v>770</v>
      </c>
      <c r="AV61">
        <f t="shared" si="76"/>
        <v>0.77922077922077926</v>
      </c>
      <c r="AW61">
        <f>Constants!$B$55</f>
        <v>6.25</v>
      </c>
      <c r="AX61">
        <f t="shared" si="63"/>
        <v>1.2626203146474679E-3</v>
      </c>
      <c r="AY61">
        <f t="shared" si="64"/>
        <v>1.8054040499999997</v>
      </c>
      <c r="AZ61">
        <f t="shared" si="18"/>
        <v>0.28546836331241399</v>
      </c>
      <c r="BA61" t="str">
        <f>IF(ISNUMBER(FIND("PreWeaned",Y61)),_xlfn.XLOOKUP(Y61,Constants!$J$2:$J$3,Constants!$M$2:$M$3),"")</f>
        <v/>
      </c>
      <c r="BB61">
        <f t="shared" si="65"/>
        <v>20839.19052180622</v>
      </c>
      <c r="BC61">
        <f t="shared" si="66"/>
        <v>0</v>
      </c>
      <c r="BD61">
        <f t="shared" si="67"/>
        <v>0</v>
      </c>
      <c r="BE61">
        <f t="shared" si="68"/>
        <v>0</v>
      </c>
      <c r="BF61">
        <f t="shared" si="69"/>
        <v>0</v>
      </c>
      <c r="BG61">
        <f t="shared" si="70"/>
        <v>20839.19052180622</v>
      </c>
      <c r="BH61">
        <f>Constants!$C$19</f>
        <v>0</v>
      </c>
      <c r="BI61">
        <f>Constants!$C$20</f>
        <v>0</v>
      </c>
      <c r="BJ61">
        <f>Constants!$C$21</f>
        <v>0</v>
      </c>
      <c r="BK61">
        <f>Constants!$C$22</f>
        <v>5.0000000000000001E-3</v>
      </c>
      <c r="BL61">
        <f>Constants!$C$23</f>
        <v>0</v>
      </c>
      <c r="BM61">
        <f>Constants!$B$50</f>
        <v>1.57</v>
      </c>
      <c r="BN61">
        <f>_xlfn.XLOOKUP(D61,Constants!$A$34:$A$35,Constants!$B$34:$B$35)</f>
        <v>2E-3</v>
      </c>
      <c r="BO61">
        <f t="shared" si="77"/>
        <v>0</v>
      </c>
      <c r="BP61">
        <f t="shared" si="78"/>
        <v>0</v>
      </c>
      <c r="BQ61">
        <f t="shared" si="79"/>
        <v>0</v>
      </c>
      <c r="BR61">
        <f t="shared" si="80"/>
        <v>0</v>
      </c>
      <c r="BS61">
        <f t="shared" si="81"/>
        <v>0</v>
      </c>
      <c r="BT61">
        <f t="shared" si="82"/>
        <v>65.435058238471527</v>
      </c>
    </row>
    <row r="62" spans="1:73" x14ac:dyDescent="0.2">
      <c r="A62" t="str">
        <f>'Input Scenarios'!A62</f>
        <v>SA</v>
      </c>
      <c r="B62">
        <f>'Input Scenarios'!B62</f>
        <v>0</v>
      </c>
      <c r="C62" t="str">
        <f>'Input Scenarios'!C62</f>
        <v>Irrigated crop</v>
      </c>
      <c r="D62" t="str">
        <f>'Input Scenarios'!D62</f>
        <v>dry</v>
      </c>
      <c r="E62" t="b">
        <f>'Input Scenarios'!E62</f>
        <v>1</v>
      </c>
      <c r="F62" t="str">
        <f>'Input Scenarios'!F62</f>
        <v>Zero grazing</v>
      </c>
      <c r="G62">
        <f>IF('Input Scenarios'!G62&lt;&gt;"", 'Input Scenarios'!G62, _xlfn.XLOOKUP($F62, Constants!$M$6:$M$9,Constants!N$6:N$9))</f>
        <v>0</v>
      </c>
      <c r="H62">
        <f>IF('Input Scenarios'!H62&lt;&gt;"", 'Input Scenarios'!H62, _xlfn.XLOOKUP($F62, Constants!$M$6:$M$9,Constants!O$6:O$9))</f>
        <v>0.11</v>
      </c>
      <c r="I62">
        <f>IF('Input Scenarios'!I62&lt;&gt;"", 'Input Scenarios'!I62, _xlfn.XLOOKUP($F62, Constants!$M$6:$M$9,Constants!P$6:P$9))</f>
        <v>0.89</v>
      </c>
      <c r="J62">
        <f>'Input Scenarios'!J62</f>
        <v>0.1</v>
      </c>
      <c r="K62">
        <f>'Input Scenarios'!K62</f>
        <v>0.2</v>
      </c>
      <c r="L62">
        <f>'Input Scenarios'!L62</f>
        <v>0.3</v>
      </c>
      <c r="M62">
        <f>'Input Scenarios'!M62</f>
        <v>0.4</v>
      </c>
      <c r="N62">
        <f>'Input Scenarios'!N62</f>
        <v>0.4</v>
      </c>
      <c r="O62">
        <f>'Input Scenarios'!O62</f>
        <v>0.3</v>
      </c>
      <c r="P62">
        <f>'Input Scenarios'!P62</f>
        <v>0.2</v>
      </c>
      <c r="Q62">
        <f>'Input Scenarios'!Q62</f>
        <v>0.1</v>
      </c>
      <c r="R62" t="b">
        <f>'Input Scenarios'!R62</f>
        <v>0</v>
      </c>
      <c r="S62">
        <f>IF('Input Scenarios'!S62&lt;&gt;"", 'Input Scenarios'!S62, IF(R62, Constants!$B$38, 0))</f>
        <v>0</v>
      </c>
      <c r="T62" t="str">
        <f>IF('Input Scenarios'!T62&lt;&gt;"", 'Input Scenarios'!T62, "")</f>
        <v/>
      </c>
      <c r="U62">
        <f>IF('Input Scenarios'!U62&lt;&gt;"", 'Input Scenarios'!U62, IF(W62&lt;&gt;"", "", Constants!$B$39))</f>
        <v>4</v>
      </c>
      <c r="V62">
        <f>IF('Input Scenarios'!V62&lt;&gt;"", 'Input Scenarios'!V62, IF(W62&lt;&gt;"", "", Constants!$B$40))</f>
        <v>3.3</v>
      </c>
      <c r="W62" t="str">
        <f>IF('Input Scenarios'!W62&lt;&gt;"", 'Input Scenarios'!W62, "")</f>
        <v/>
      </c>
      <c r="X62" t="str">
        <f>'Input Scenarios'!X62</f>
        <v>Guernsey</v>
      </c>
      <c r="Y62" t="str">
        <f>'Input Scenarios'!Y62</f>
        <v>bullsLt1PreWeaned</v>
      </c>
      <c r="Z62">
        <f>'Input Scenarios'!Z62</f>
        <v>200</v>
      </c>
      <c r="AA62">
        <f>IF('Input Scenarios'!AA62&lt;&gt;"", 'Input Scenarios'!AA62, _xlfn.XLOOKUP(Y62,Constants!$J$6:$J$12,Constants!$K$6:$K$12))</f>
        <v>84</v>
      </c>
      <c r="AB62">
        <f>IF('Input Scenarios'!AB62&lt;&gt;"", 'Input Scenarios'!AB62, INDEX(Constants!$B$2:$H$11, MATCH(X62, Constants!$A$2:$A$11, 0), MATCH(Y62,Constants!$B$1:$H$1, 0)))</f>
        <v>225</v>
      </c>
      <c r="AC62" t="str">
        <f>IF('Input Scenarios'!AC62&lt;&gt;"", 'Input Scenarios'!AC62, _xlfn.XLOOKUP(Y62, Constants!$B$13:$H$13, Constants!$B$15:$H$15, ""))</f>
        <v/>
      </c>
      <c r="AD62">
        <f>IF('Input Scenarios'!AD62&lt;&gt;"", 'Input Scenarios'!AD62, Constants!$B$45)</f>
        <v>0.75</v>
      </c>
      <c r="AE62">
        <f>IF('Input Scenarios'!AE62&lt;&gt;"", 'Input Scenarios'!AE62, Constants!$B$46)</f>
        <v>0.2</v>
      </c>
      <c r="AF62">
        <f t="shared" si="84"/>
        <v>0</v>
      </c>
      <c r="AG62">
        <f t="shared" si="83"/>
        <v>0</v>
      </c>
      <c r="AH62">
        <f t="shared" si="83"/>
        <v>0</v>
      </c>
      <c r="AI62">
        <f t="shared" si="83"/>
        <v>0</v>
      </c>
      <c r="AJ62">
        <f t="shared" si="85"/>
        <v>1</v>
      </c>
      <c r="AK62">
        <f t="shared" si="71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72"/>
        <v>0.5948500000000001</v>
      </c>
      <c r="AQ62">
        <f t="shared" si="73"/>
        <v>0</v>
      </c>
      <c r="AR62">
        <f>IF(Y62="milkingCows", Constants!$P$2, Constants!$P$3)</f>
        <v>1</v>
      </c>
      <c r="AS62" t="str">
        <f t="shared" si="74"/>
        <v/>
      </c>
      <c r="AT62" t="str">
        <f t="shared" si="75"/>
        <v/>
      </c>
      <c r="AU62" t="str">
        <f>_xlfn.XLOOKUP(Y62, Constants!$B$13:$H$13, Constants!$B$14:$H$14, "")</f>
        <v/>
      </c>
      <c r="AV62" t="str">
        <f t="shared" si="76"/>
        <v/>
      </c>
      <c r="AW62">
        <f>Constants!$B$55</f>
        <v>6.25</v>
      </c>
      <c r="AX62" t="str">
        <f t="shared" si="63"/>
        <v/>
      </c>
      <c r="AY62" t="str">
        <f t="shared" si="64"/>
        <v/>
      </c>
      <c r="AZ62" t="str">
        <f t="shared" si="18"/>
        <v/>
      </c>
      <c r="BA62">
        <f>IF(ISNUMBER(FIND("PreWeaned",Y62)),_xlfn.XLOOKUP(Y62,Constants!$J$2:$J$3,Constants!$M$2:$M$3),"")</f>
        <v>9.1999999999999998E-3</v>
      </c>
      <c r="BB62">
        <f t="shared" si="65"/>
        <v>154.56</v>
      </c>
      <c r="BC62">
        <f t="shared" si="66"/>
        <v>0</v>
      </c>
      <c r="BD62">
        <f t="shared" si="67"/>
        <v>0</v>
      </c>
      <c r="BE62">
        <f t="shared" si="68"/>
        <v>0</v>
      </c>
      <c r="BF62">
        <f t="shared" si="69"/>
        <v>0</v>
      </c>
      <c r="BG62">
        <f t="shared" si="70"/>
        <v>154.56</v>
      </c>
      <c r="BH62">
        <f>Constants!$C$19</f>
        <v>0</v>
      </c>
      <c r="BI62">
        <f>Constants!$C$20</f>
        <v>0</v>
      </c>
      <c r="BJ62">
        <f>Constants!$C$21</f>
        <v>0</v>
      </c>
      <c r="BK62">
        <f>Constants!$C$22</f>
        <v>5.0000000000000001E-3</v>
      </c>
      <c r="BL62">
        <f>Constants!$C$23</f>
        <v>0</v>
      </c>
      <c r="BM62">
        <f>Constants!$B$50</f>
        <v>1.57</v>
      </c>
      <c r="BN62">
        <f>_xlfn.XLOOKUP(D62,Constants!$A$34:$A$35,Constants!$B$34:$B$35)</f>
        <v>2E-3</v>
      </c>
      <c r="BO62">
        <f t="shared" si="77"/>
        <v>0</v>
      </c>
      <c r="BP62">
        <f t="shared" si="78"/>
        <v>0</v>
      </c>
      <c r="BQ62">
        <f t="shared" si="79"/>
        <v>0</v>
      </c>
      <c r="BR62">
        <f t="shared" si="80"/>
        <v>0</v>
      </c>
      <c r="BS62">
        <f t="shared" si="81"/>
        <v>0</v>
      </c>
      <c r="BT62">
        <f t="shared" si="82"/>
        <v>0.48531840000000004</v>
      </c>
    </row>
    <row r="63" spans="1:73" s="16" customFormat="1" x14ac:dyDescent="0.2">
      <c r="A63" s="16" t="str">
        <f>'Input Scenarios'!A63</f>
        <v>SA</v>
      </c>
      <c r="B63" s="16">
        <f>'Input Scenarios'!B63</f>
        <v>0</v>
      </c>
      <c r="C63" s="16" t="str">
        <f>'Input Scenarios'!C63</f>
        <v>Irrigated crop</v>
      </c>
      <c r="D63" s="16" t="str">
        <f>'Input Scenarios'!D63</f>
        <v>dry</v>
      </c>
      <c r="E63" s="16" t="b">
        <f>'Input Scenarios'!E63</f>
        <v>1</v>
      </c>
      <c r="F63" s="16" t="str">
        <f>'Input Scenarios'!F63</f>
        <v>Zero grazing</v>
      </c>
      <c r="G63" s="16">
        <f>IF('Input Scenarios'!G63&lt;&gt;"", 'Input Scenarios'!G63, _xlfn.XLOOKUP($F63, Constants!$M$6:$M$9,Constants!N$6:N$9))</f>
        <v>0</v>
      </c>
      <c r="H63" s="16">
        <f>IF('Input Scenarios'!H63&lt;&gt;"", 'Input Scenarios'!H63, _xlfn.XLOOKUP($F63, Constants!$M$6:$M$9,Constants!O$6:O$9))</f>
        <v>0.11</v>
      </c>
      <c r="I63" s="16">
        <f>IF('Input Scenarios'!I63&lt;&gt;"", 'Input Scenarios'!I63, _xlfn.XLOOKUP($F63, Constants!$M$6:$M$9,Constants!P$6:P$9))</f>
        <v>0.89</v>
      </c>
      <c r="J63" s="16">
        <f>'Input Scenarios'!J63</f>
        <v>0.1</v>
      </c>
      <c r="K63" s="16">
        <f>'Input Scenarios'!K63</f>
        <v>0.2</v>
      </c>
      <c r="L63" s="16">
        <f>'Input Scenarios'!L63</f>
        <v>0.3</v>
      </c>
      <c r="M63" s="16">
        <f>'Input Scenarios'!M63</f>
        <v>0.4</v>
      </c>
      <c r="N63" s="16">
        <f>'Input Scenarios'!N63</f>
        <v>0.4</v>
      </c>
      <c r="O63" s="16">
        <f>'Input Scenarios'!O63</f>
        <v>0.3</v>
      </c>
      <c r="P63" s="16">
        <f>'Input Scenarios'!P63</f>
        <v>0.2</v>
      </c>
      <c r="Q63" s="16">
        <f>'Input Scenarios'!Q63</f>
        <v>0.1</v>
      </c>
      <c r="R63" s="16" t="b">
        <f>'Input Scenarios'!R63</f>
        <v>0</v>
      </c>
      <c r="S63" s="16">
        <f>IF('Input Scenarios'!S63&lt;&gt;"", 'Input Scenarios'!S63, IF(R63, Constants!$B$38, 0))</f>
        <v>0</v>
      </c>
      <c r="T63" s="16" t="str">
        <f>IF('Input Scenarios'!T63&lt;&gt;"", 'Input Scenarios'!T63, "")</f>
        <v/>
      </c>
      <c r="U63" s="16">
        <f>IF('Input Scenarios'!U63&lt;&gt;"", 'Input Scenarios'!U63, IF(W63&lt;&gt;"", "", Constants!$B$39))</f>
        <v>4</v>
      </c>
      <c r="V63" s="16">
        <f>IF('Input Scenarios'!V63&lt;&gt;"", 'Input Scenarios'!V63, IF(W63&lt;&gt;"", "", Constants!$B$40))</f>
        <v>3.3</v>
      </c>
      <c r="W63" s="16" t="str">
        <f>IF('Input Scenarios'!W63&lt;&gt;"", 'Input Scenarios'!W63, "")</f>
        <v/>
      </c>
      <c r="X63" s="16" t="str">
        <f>'Input Scenarios'!X63</f>
        <v>Guernsey</v>
      </c>
      <c r="Y63" s="16" t="str">
        <f>'Input Scenarios'!Y63</f>
        <v>bullsLt1Weaned</v>
      </c>
      <c r="Z63" s="16">
        <f>'Input Scenarios'!Z63</f>
        <v>200</v>
      </c>
      <c r="AA63" s="16">
        <f>IF('Input Scenarios'!AA63&lt;&gt;"", 'Input Scenarios'!AA63, _xlfn.XLOOKUP(Y63,Constants!$J$6:$J$12,Constants!$K$6:$K$12))</f>
        <v>281</v>
      </c>
      <c r="AB63" s="16">
        <f>IF('Input Scenarios'!AB63&lt;&gt;"", 'Input Scenarios'!AB63, INDEX(Constants!$B$2:$H$11, MATCH(X63, Constants!$A$2:$A$11, 0), MATCH(Y63,Constants!$B$1:$H$1, 0)))</f>
        <v>225</v>
      </c>
      <c r="AC63" s="16">
        <f>IF('Input Scenarios'!AC63&lt;&gt;"", 'Input Scenarios'!AC63, _xlfn.XLOOKUP(Y63, Constants!$B$13:$H$13, Constants!$B$15:$H$15, ""))</f>
        <v>0.8</v>
      </c>
      <c r="AD63" s="16">
        <f>IF('Input Scenarios'!AD63&lt;&gt;"", 'Input Scenarios'!AD63, Constants!$B$45)</f>
        <v>0.75</v>
      </c>
      <c r="AE63" s="16">
        <f>IF('Input Scenarios'!AE63&lt;&gt;"", 'Input Scenarios'!AE63, Constants!$B$46)</f>
        <v>0.2</v>
      </c>
      <c r="AF63" s="16">
        <f t="shared" si="84"/>
        <v>0</v>
      </c>
      <c r="AG63" s="16">
        <f t="shared" si="83"/>
        <v>0</v>
      </c>
      <c r="AH63" s="16">
        <f t="shared" si="83"/>
        <v>0</v>
      </c>
      <c r="AI63" s="16">
        <f t="shared" si="83"/>
        <v>0</v>
      </c>
      <c r="AJ63" s="16">
        <f t="shared" si="85"/>
        <v>1</v>
      </c>
      <c r="AK63" s="16">
        <f t="shared" si="71"/>
        <v>0</v>
      </c>
      <c r="AL63" s="16">
        <f>Constants!$B$44</f>
        <v>1.03</v>
      </c>
      <c r="AM63" s="16">
        <f>Constants!$B$41</f>
        <v>3.0539999999999998</v>
      </c>
      <c r="AN63" s="16">
        <f>Constants!$B$42</f>
        <v>18.399999999999999</v>
      </c>
      <c r="AO63" s="16">
        <f>Constants!$B$43</f>
        <v>0.6</v>
      </c>
      <c r="AP63" s="16">
        <f t="shared" si="72"/>
        <v>0.5948500000000001</v>
      </c>
      <c r="AQ63" s="16">
        <f t="shared" si="73"/>
        <v>0</v>
      </c>
      <c r="AR63" s="16">
        <f>IF(Y63="milkingCows", Constants!$P$2, Constants!$P$3)</f>
        <v>1</v>
      </c>
      <c r="AS63" s="16">
        <f t="shared" si="74"/>
        <v>5.4143472656250013</v>
      </c>
      <c r="AT63" s="16">
        <f t="shared" si="75"/>
        <v>1.2576570545672616</v>
      </c>
      <c r="AU63" s="16">
        <f>_xlfn.XLOOKUP(Y63, Constants!$B$13:$H$13, Constants!$B$14:$H$14, "")</f>
        <v>770</v>
      </c>
      <c r="AV63" s="16">
        <f t="shared" si="76"/>
        <v>0.29220779220779219</v>
      </c>
      <c r="AW63" s="16">
        <f>Constants!$B$55</f>
        <v>6.25</v>
      </c>
      <c r="AX63" s="16">
        <f t="shared" si="63"/>
        <v>1.9757354894894084E-2</v>
      </c>
      <c r="AY63" s="16">
        <f t="shared" si="64"/>
        <v>1.0828694531250003</v>
      </c>
      <c r="AZ63" s="16">
        <f t="shared" si="18"/>
        <v>0.15247929000170721</v>
      </c>
      <c r="BA63" s="16" t="str">
        <f>IF(ISNUMBER(FIND("PreWeaned",Y63)),_xlfn.XLOOKUP(Y63,Constants!$J$2:$J$3,Constants!$M$2:$M$3),"")</f>
        <v/>
      </c>
      <c r="BB63" s="16">
        <f t="shared" si="65"/>
        <v>8569.336098095946</v>
      </c>
      <c r="BC63" s="16">
        <f t="shared" si="66"/>
        <v>0</v>
      </c>
      <c r="BD63" s="16">
        <f t="shared" si="67"/>
        <v>0</v>
      </c>
      <c r="BE63" s="16">
        <f t="shared" si="68"/>
        <v>0</v>
      </c>
      <c r="BF63" s="16">
        <f t="shared" si="69"/>
        <v>0</v>
      </c>
      <c r="BG63" s="16">
        <f t="shared" si="70"/>
        <v>8569.336098095946</v>
      </c>
      <c r="BH63" s="16">
        <f>Constants!$C$19</f>
        <v>0</v>
      </c>
      <c r="BI63" s="16">
        <f>Constants!$C$20</f>
        <v>0</v>
      </c>
      <c r="BJ63" s="16">
        <f>Constants!$C$21</f>
        <v>0</v>
      </c>
      <c r="BK63" s="16">
        <f>Constants!$C$22</f>
        <v>5.0000000000000001E-3</v>
      </c>
      <c r="BL63" s="16">
        <f>Constants!$C$23</f>
        <v>0</v>
      </c>
      <c r="BM63" s="16">
        <f>Constants!$B$50</f>
        <v>1.57</v>
      </c>
      <c r="BN63" s="16">
        <f>_xlfn.XLOOKUP(D63,Constants!$A$34:$A$35,Constants!$B$34:$B$35)</f>
        <v>2E-3</v>
      </c>
      <c r="BO63" s="16">
        <f t="shared" si="77"/>
        <v>0</v>
      </c>
      <c r="BP63" s="16">
        <f t="shared" si="78"/>
        <v>0</v>
      </c>
      <c r="BQ63" s="16">
        <f t="shared" si="79"/>
        <v>0</v>
      </c>
      <c r="BR63" s="16">
        <f t="shared" si="80"/>
        <v>0</v>
      </c>
      <c r="BS63" s="16">
        <f t="shared" si="81"/>
        <v>0</v>
      </c>
      <c r="BT63" s="16">
        <f t="shared" si="82"/>
        <v>26.90771534802127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0943-4179-8045-8556-1D5659ACF345}">
  <dimension ref="A3:BU63"/>
  <sheetViews>
    <sheetView topLeftCell="AO1" workbookViewId="0">
      <selection activeCell="AZ8" sqref="AZ8:AZ63"/>
    </sheetView>
  </sheetViews>
  <sheetFormatPr baseColWidth="10" defaultRowHeight="16" x14ac:dyDescent="0.2"/>
  <sheetData>
    <row r="3" spans="1:73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  <c r="AZ3">
        <f>(AY8/AW8)</f>
        <v>0.48980491333439752</v>
      </c>
    </row>
    <row r="5" spans="1:73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  <c r="AW5" t="s">
        <v>165</v>
      </c>
    </row>
    <row r="6" spans="1:73" x14ac:dyDescent="0.2">
      <c r="U6" t="s">
        <v>132</v>
      </c>
      <c r="V6" t="s">
        <v>132</v>
      </c>
      <c r="W6" t="s">
        <v>80</v>
      </c>
      <c r="AK6" t="s">
        <v>80</v>
      </c>
    </row>
    <row r="7" spans="1:73" s="16" customFormat="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129</v>
      </c>
      <c r="U7" s="10" t="s">
        <v>82</v>
      </c>
      <c r="V7" s="10" t="s">
        <v>83</v>
      </c>
      <c r="W7" s="10" t="s">
        <v>79</v>
      </c>
      <c r="X7" s="10"/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  <c r="AF7" s="10" t="s">
        <v>67</v>
      </c>
      <c r="AG7" s="10" t="s">
        <v>68</v>
      </c>
      <c r="AH7" s="10" t="s">
        <v>69</v>
      </c>
      <c r="AI7" s="10" t="s">
        <v>70</v>
      </c>
      <c r="AJ7" s="10" t="s">
        <v>138</v>
      </c>
      <c r="AK7" s="10" t="s">
        <v>134</v>
      </c>
      <c r="AL7" s="10"/>
      <c r="AM7" s="10" t="s">
        <v>124</v>
      </c>
      <c r="AN7" s="10" t="s">
        <v>125</v>
      </c>
      <c r="AO7" s="10" t="s">
        <v>127</v>
      </c>
      <c r="AP7" s="10" t="s">
        <v>136</v>
      </c>
      <c r="AQ7" s="10" t="s">
        <v>137</v>
      </c>
      <c r="AR7" s="10" t="s">
        <v>98</v>
      </c>
      <c r="AS7" s="10" t="s">
        <v>97</v>
      </c>
      <c r="AT7" s="10" t="s">
        <v>160</v>
      </c>
      <c r="AU7" s="10" t="s">
        <v>161</v>
      </c>
      <c r="AV7" s="10" t="s">
        <v>162</v>
      </c>
      <c r="AW7" s="10"/>
      <c r="AX7" s="10" t="s">
        <v>88</v>
      </c>
      <c r="AY7" s="10" t="s">
        <v>163</v>
      </c>
      <c r="AZ7" s="10" t="s">
        <v>166</v>
      </c>
      <c r="BA7" s="10" t="s">
        <v>118</v>
      </c>
      <c r="BB7" s="10" t="s">
        <v>167</v>
      </c>
      <c r="BC7" s="10" t="s">
        <v>168</v>
      </c>
      <c r="BD7" s="10" t="s">
        <v>171</v>
      </c>
      <c r="BE7" s="10" t="s">
        <v>172</v>
      </c>
      <c r="BF7" s="10" t="s">
        <v>169</v>
      </c>
      <c r="BG7" s="10" t="s">
        <v>170</v>
      </c>
      <c r="BH7" s="10" t="s">
        <v>173</v>
      </c>
      <c r="BI7" s="10" t="s">
        <v>176</v>
      </c>
      <c r="BJ7" s="10" t="s">
        <v>177</v>
      </c>
      <c r="BK7" s="10" t="s">
        <v>174</v>
      </c>
      <c r="BL7" s="10" t="s">
        <v>175</v>
      </c>
      <c r="BM7" s="10" t="s">
        <v>117</v>
      </c>
      <c r="BN7" s="10" t="s">
        <v>94</v>
      </c>
      <c r="BO7" s="15" t="s">
        <v>182</v>
      </c>
      <c r="BP7" s="15" t="s">
        <v>181</v>
      </c>
      <c r="BQ7" s="15" t="s">
        <v>180</v>
      </c>
      <c r="BR7" s="15" t="s">
        <v>178</v>
      </c>
      <c r="BS7" s="15" t="s">
        <v>179</v>
      </c>
      <c r="BT7" s="15" t="s">
        <v>196</v>
      </c>
      <c r="BU7" s="15" t="s">
        <v>183</v>
      </c>
    </row>
    <row r="8" spans="1:73" x14ac:dyDescent="0.2">
      <c r="A8" t="str">
        <f>'Input Scenarios'!A73</f>
        <v>NSW</v>
      </c>
      <c r="B8">
        <f>'Input Scenarios'!B73</f>
        <v>15</v>
      </c>
      <c r="C8" t="str">
        <f>'Input Scenarios'!C73</f>
        <v>Non-irrigated pasture</v>
      </c>
      <c r="D8" t="str">
        <f>'Input Scenarios'!D73</f>
        <v>wet</v>
      </c>
      <c r="E8" t="b">
        <f>'Input Scenarios'!E73</f>
        <v>0</v>
      </c>
      <c r="G8">
        <f>'Input Scenarios'!G73</f>
        <v>0.2</v>
      </c>
      <c r="H8">
        <f>'Input Scenarios'!H73</f>
        <v>0.3</v>
      </c>
      <c r="I8">
        <f>'Input Scenarios'!I73</f>
        <v>0.5</v>
      </c>
      <c r="J8">
        <f>'Input Scenarios'!J73</f>
        <v>0.25</v>
      </c>
      <c r="K8">
        <f>'Input Scenarios'!K73</f>
        <v>0.25</v>
      </c>
      <c r="L8">
        <f>'Input Scenarios'!L73</f>
        <v>0.25</v>
      </c>
      <c r="M8">
        <f>'Input Scenarios'!M73</f>
        <v>0.25</v>
      </c>
      <c r="N8">
        <f>'Input Scenarios'!N73</f>
        <v>0.25</v>
      </c>
      <c r="O8">
        <f>'Input Scenarios'!O73</f>
        <v>0.25</v>
      </c>
      <c r="P8">
        <f>'Input Scenarios'!P73</f>
        <v>0.25</v>
      </c>
      <c r="Q8">
        <f>'Input Scenarios'!Q73</f>
        <v>0.25</v>
      </c>
      <c r="R8" t="b">
        <f>'Input Scenarios'!R73</f>
        <v>1</v>
      </c>
      <c r="S8" s="20">
        <f>IF('Input Scenarios'!S73&lt;&gt;"", 'Input Scenarios'!S73, IF(R73, Constants!$B$38, 0))</f>
        <v>0.22</v>
      </c>
      <c r="T8" s="20" t="str">
        <f>IF('Input Scenarios'!T73&lt;&gt;"", 'Input Scenarios'!T73, "")</f>
        <v/>
      </c>
      <c r="U8" s="20" t="str">
        <f>IF('Input Scenarios'!U73&lt;&gt;"", 'Input Scenarios'!U73, IF(W8&lt;&gt;"", "", Constants!$B$39))</f>
        <v/>
      </c>
      <c r="V8" s="20" t="str">
        <f>IF('Input Scenarios'!V73&lt;&gt;"", 'Input Scenarios'!V73, IF(W8&lt;&gt;"", "", Constants!$B$40))</f>
        <v/>
      </c>
      <c r="W8" s="20">
        <f>IF('Input Scenarios'!W73&lt;&gt;"", 'Input Scenarios'!W73, "")</f>
        <v>15</v>
      </c>
      <c r="X8" s="20" t="str">
        <f>'Input Scenarios'!X73</f>
        <v>Medium Friesian</v>
      </c>
      <c r="Y8" s="20" t="str">
        <f>'Input Scenarios'!Y73</f>
        <v>milkingCows</v>
      </c>
      <c r="Z8" s="20">
        <f>'Input Scenarios'!Z73</f>
        <v>200</v>
      </c>
      <c r="AA8" s="20">
        <f>'Input Scenarios'!AA73</f>
        <v>365</v>
      </c>
      <c r="AB8" s="20">
        <f>'Input Scenarios'!AB73</f>
        <v>555</v>
      </c>
      <c r="AC8">
        <f>IF('Input Scenarios'!AC73&lt;&gt;"", 'Input Scenarios'!AC73, _xlfn.XLOOKUP(Y8, Constants!$B$13:$H$13, Constants!$B$15:$H$15, ""))</f>
        <v>1.6E-2</v>
      </c>
      <c r="AD8">
        <f>IF('Input Scenarios'!AD73&lt;&gt;"", 'Input Scenarios'!AD73, Constants!$B$45)</f>
        <v>0.7</v>
      </c>
      <c r="AE8">
        <f>IF('Input Scenarios'!AE73&lt;&gt;"", 'Input Scenarios'!AE73, Constants!$B$46)</f>
        <v>0.18</v>
      </c>
      <c r="AF8" s="20">
        <f>IF($Y8="milkingCows",($H8*J8)+($I8*N8), 0)</f>
        <v>0.2</v>
      </c>
      <c r="AG8" s="20">
        <f t="shared" ref="AG8:AI23" si="0">IF($Y8="milkingCows",($H8*K8)+($I8*O8), 0)</f>
        <v>0.2</v>
      </c>
      <c r="AH8" s="20">
        <f t="shared" si="0"/>
        <v>0.2</v>
      </c>
      <c r="AI8" s="20">
        <f t="shared" si="0"/>
        <v>0.2</v>
      </c>
      <c r="AJ8" s="20">
        <f>IF($Y8="milkingCows",G8, 1)</f>
        <v>0.2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0.55510000000000004</v>
      </c>
      <c r="AQ8">
        <f>(AK8*AL8*AM8)/(AN8*AO8*AP8)</f>
        <v>7.6994059041457472</v>
      </c>
      <c r="AR8">
        <f>IF(Y8="milkingCows", Constants!$P$2, Constants!$P$3)</f>
        <v>1.1000000000000001</v>
      </c>
      <c r="AS8">
        <f>IFERROR(((1.185+(0.00454*AB8)-(0.0000026*(AB8^2))+(0.315*AC8))^2*AR8+AQ8), "")</f>
        <v>17.007115046333247</v>
      </c>
      <c r="AT8">
        <f>IFERROR(((1.185+(0.00454*AB8)-(0.0000026*(AB8^2))+(0.315*AC8))^2*AR8+AQ8)/((1.185+(0.00454*AB8)-(0.0000026*(AB8^2)))^2*AR8+AQ8), "")</f>
        <v>1.0018984314721953</v>
      </c>
      <c r="AU8">
        <f>_xlfn.XLOOKUP(Y8, Constants!$B$13:$H$13, Constants!$B$14:$H$14, "")</f>
        <v>590</v>
      </c>
      <c r="AV8">
        <f>IFERROR(AB8/AU8, "")</f>
        <v>0.94067796610169496</v>
      </c>
      <c r="AW8">
        <f>Constants!$B$55</f>
        <v>6.25</v>
      </c>
      <c r="AX8" s="20">
        <f t="shared" ref="AX8:AX39" si="1">IFERROR((((0.212 - (0.008*(AT8-2)) - (0.14-0.008*(AT8-2))/(1+EXP(-6*(AV8-0.4)))) * AC8 * 0.92)/AW8) + (0.032*AK8*AL8)/6.38, "")</f>
        <v>7.7674821592032706E-2</v>
      </c>
      <c r="AY8">
        <f t="shared" ref="AY8:AY39" si="2">IFERROR(AE8*AS8, "")</f>
        <v>3.0612807083399844</v>
      </c>
      <c r="AZ8">
        <f>IF(ISNUMBER(FIND("PreWeaned",Y8)),"", MAX((AY8/AW8)-AX8-(((1.1*10^-4)*(AB8^0.75))/AW8), 0))</f>
        <v>0.41011760788645185</v>
      </c>
      <c r="BA8" t="str">
        <f>IF(ISNUMBER(FIND("PreWeaned",Y8)),_xlfn.XLOOKUP(Y8,Constants!$J$2:$J$3,Constants!$M$2:$M$3),"")</f>
        <v/>
      </c>
      <c r="BB8">
        <f t="shared" ref="BB8:BB39" si="3">SUM(AZ8:BA8)*Z8*AA8</f>
        <v>29938.585375710983</v>
      </c>
      <c r="BC8">
        <f t="shared" ref="BC8:BC39" si="4">$BB8*AF8</f>
        <v>5987.7170751421972</v>
      </c>
      <c r="BD8">
        <f t="shared" ref="BD8:BD39" si="5">$BB8*AG8</f>
        <v>5987.7170751421972</v>
      </c>
      <c r="BE8">
        <f t="shared" ref="BE8:BE39" si="6">$BB8*AH8</f>
        <v>5987.7170751421972</v>
      </c>
      <c r="BF8">
        <f t="shared" ref="BF8:BF39" si="7">$BB8*AI8</f>
        <v>5987.7170751421972</v>
      </c>
      <c r="BG8">
        <f t="shared" ref="BG8:BG39" si="8">$BB8*AJ8</f>
        <v>5987.7170751421972</v>
      </c>
      <c r="BH8">
        <f>Constants!$C$19</f>
        <v>0</v>
      </c>
      <c r="BI8">
        <f>Constants!$C$20</f>
        <v>0</v>
      </c>
      <c r="BJ8">
        <f>Constants!$C$21</f>
        <v>0</v>
      </c>
      <c r="BK8">
        <f>Constants!$C$22</f>
        <v>5.0000000000000001E-3</v>
      </c>
      <c r="BL8">
        <f>Constants!$C$23</f>
        <v>0</v>
      </c>
      <c r="BM8">
        <f>Constants!$B$50</f>
        <v>1.57</v>
      </c>
      <c r="BN8">
        <f>_xlfn.XLOOKUP(D8,Constants!$A$34:$A$35,Constants!$B$34:$B$35)</f>
        <v>6.0000000000000001E-3</v>
      </c>
      <c r="BO8">
        <f>BC8*BH8*$BM8</f>
        <v>0</v>
      </c>
      <c r="BP8">
        <f t="shared" ref="BP8:BS23" si="9">BD8*BI8*$BM8</f>
        <v>0</v>
      </c>
      <c r="BQ8">
        <f t="shared" si="9"/>
        <v>0</v>
      </c>
      <c r="BR8">
        <f t="shared" si="9"/>
        <v>47.003579039866253</v>
      </c>
      <c r="BS8">
        <f t="shared" si="9"/>
        <v>0</v>
      </c>
      <c r="BT8">
        <f>BG8*BN8*BM8</f>
        <v>56.404294847839502</v>
      </c>
      <c r="BU8">
        <f>SUM(BO8:BT14)/1000</f>
        <v>0.69084333663587172</v>
      </c>
    </row>
    <row r="9" spans="1:73" x14ac:dyDescent="0.2">
      <c r="A9" t="str">
        <f>'Input Scenarios'!A74</f>
        <v>NSW</v>
      </c>
      <c r="B9">
        <f>'Input Scenarios'!B74</f>
        <v>15</v>
      </c>
      <c r="C9" t="str">
        <f>'Input Scenarios'!C74</f>
        <v>Non-irrigated pasture</v>
      </c>
      <c r="D9" t="str">
        <f>'Input Scenarios'!D74</f>
        <v>wet</v>
      </c>
      <c r="E9" t="b">
        <f>'Input Scenarios'!E74</f>
        <v>0</v>
      </c>
      <c r="G9">
        <f>'Input Scenarios'!G74</f>
        <v>0.2</v>
      </c>
      <c r="H9">
        <f>'Input Scenarios'!H74</f>
        <v>0.3</v>
      </c>
      <c r="I9">
        <f>'Input Scenarios'!I74</f>
        <v>0.5</v>
      </c>
      <c r="J9">
        <f>'Input Scenarios'!J74</f>
        <v>0.25</v>
      </c>
      <c r="K9">
        <f>'Input Scenarios'!K74</f>
        <v>0.25</v>
      </c>
      <c r="L9">
        <f>'Input Scenarios'!L74</f>
        <v>0.25</v>
      </c>
      <c r="M9">
        <f>'Input Scenarios'!M74</f>
        <v>0.25</v>
      </c>
      <c r="N9">
        <f>'Input Scenarios'!N74</f>
        <v>0.25</v>
      </c>
      <c r="O9">
        <f>'Input Scenarios'!O74</f>
        <v>0.25</v>
      </c>
      <c r="P9">
        <f>'Input Scenarios'!P74</f>
        <v>0.25</v>
      </c>
      <c r="Q9">
        <f>'Input Scenarios'!Q74</f>
        <v>0.25</v>
      </c>
      <c r="R9" t="b">
        <f>'Input Scenarios'!R9</f>
        <v>1</v>
      </c>
      <c r="S9">
        <f>IF('Input Scenarios'!S74&lt;&gt;"", 'Input Scenarios'!S74, IF(R74, Constants!$B$38, 0))</f>
        <v>0.22</v>
      </c>
      <c r="T9" t="str">
        <f>IF('Input Scenarios'!T74&lt;&gt;"", 'Input Scenarios'!T74, "")</f>
        <v/>
      </c>
      <c r="U9">
        <f>IF('Input Scenarios'!U74&lt;&gt;"", 'Input Scenarios'!U74, IF(W9&lt;&gt;"", "", Constants!$B$39))</f>
        <v>4</v>
      </c>
      <c r="V9">
        <f>IF('Input Scenarios'!V74&lt;&gt;"", 'Input Scenarios'!V74, IF(W9&lt;&gt;"", "", Constants!$B$40))</f>
        <v>3.3</v>
      </c>
      <c r="W9" t="str">
        <f>IF('Input Scenarios'!W74&lt;&gt;"", 'Input Scenarios'!W74, "")</f>
        <v/>
      </c>
      <c r="X9" t="str">
        <f>'Input Scenarios'!X74</f>
        <v>Medium Friesian</v>
      </c>
      <c r="Y9" t="str">
        <f>'Input Scenarios'!Y74</f>
        <v>heifersGt1</v>
      </c>
      <c r="Z9">
        <f>'Input Scenarios'!Z74</f>
        <v>200</v>
      </c>
      <c r="AA9">
        <f>'Input Scenarios'!AA74</f>
        <v>365</v>
      </c>
      <c r="AB9">
        <f>'Input Scenarios'!AB74</f>
        <v>375</v>
      </c>
      <c r="AC9">
        <f>IF('Input Scenarios'!AC74&lt;&gt;"", 'Input Scenarios'!AC74, _xlfn.XLOOKUP(Y9, Constants!$B$13:$H$13, Constants!$B$15:$H$15, ""))</f>
        <v>0.6</v>
      </c>
      <c r="AD9">
        <f>IF('Input Scenarios'!AD74&lt;&gt;"", 'Input Scenarios'!AD74, Constants!$B$45)</f>
        <v>0.71</v>
      </c>
      <c r="AE9">
        <f>IF('Input Scenarios'!AE74&lt;&gt;"", 'Input Scenarios'!AE74, Constants!$B$46)</f>
        <v>0.19</v>
      </c>
      <c r="AF9">
        <f t="shared" ref="AF9:AI24" si="10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11">IF($Y9="milkingCows",G9, 1)</f>
        <v>1</v>
      </c>
      <c r="AK9">
        <f t="shared" ref="AK9:AK13" si="12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63" si="13">0.795*(AD9)-0.0014</f>
        <v>0.56305000000000005</v>
      </c>
      <c r="AQ9">
        <f t="shared" ref="AQ9:AQ63" si="14">(AK9*AL9*AM9)/(AN9*AO9*AP9)</f>
        <v>0</v>
      </c>
      <c r="AR9">
        <f>IF(Y9="milkingCows", Constants!$P$2, Constants!$P$3)</f>
        <v>1</v>
      </c>
      <c r="AS9">
        <f t="shared" ref="AS9:AS63" si="15">IFERROR(((1.185+(0.00454*AB9)-(0.0000026*(AB9^2))+(0.315*AC9))^2*AR9+AQ9), "")</f>
        <v>7.3488432656250007</v>
      </c>
      <c r="AT9">
        <f t="shared" ref="AT9:AT63" si="16">IFERROR(((1.185+(0.00454*AB9)-(0.0000026*(AB9^2))+(0.315*AC9))^2*AR9+AQ9)/((1.185+(0.00454*AB9)-(0.0000026*(AB9^2)))^2*AR9+AQ9), "")</f>
        <v>1.1555051146335733</v>
      </c>
      <c r="AU9">
        <f>_xlfn.XLOOKUP(Y9, Constants!$B$13:$H$13, Constants!$B$14:$H$14, "")</f>
        <v>590</v>
      </c>
      <c r="AV9">
        <f t="shared" ref="AV9:AV63" si="17">IFERROR(AB9/AU9, "")</f>
        <v>0.63559322033898302</v>
      </c>
      <c r="AW9">
        <f>Constants!$B$55</f>
        <v>6.25</v>
      </c>
      <c r="AX9">
        <f t="shared" si="1"/>
        <v>8.8952563417278308E-3</v>
      </c>
      <c r="AY9">
        <f t="shared" si="2"/>
        <v>1.3962802204687501</v>
      </c>
      <c r="AZ9">
        <f t="shared" ref="AZ9:AZ63" si="18">IF(ISNUMBER(FIND("PreWeaned",Y9)),"", MAX((AY9/AW9)-AX9-(((1.1*10^-4)*(AB9^0.75))/AW9), 0))</f>
        <v>0.21300976936953508</v>
      </c>
      <c r="BA9" t="str">
        <f>IF(ISNUMBER(FIND("PreWeaned",Y9)),_xlfn.XLOOKUP(Y9,Constants!$J$2:$J$3,Constants!$M$2:$M$3),"")</f>
        <v/>
      </c>
      <c r="BB9">
        <f t="shared" si="3"/>
        <v>15549.713163976061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15549.713163976061</v>
      </c>
      <c r="BH9">
        <f>Constants!$C$19</f>
        <v>0</v>
      </c>
      <c r="BI9">
        <f>Constants!$C$20</f>
        <v>0</v>
      </c>
      <c r="BJ9">
        <f>Constants!$C$21</f>
        <v>0</v>
      </c>
      <c r="BK9">
        <f>Constants!$C$22</f>
        <v>5.0000000000000001E-3</v>
      </c>
      <c r="BL9">
        <f>Constants!$C$23</f>
        <v>0</v>
      </c>
      <c r="BM9">
        <f>Constants!$B$50</f>
        <v>1.57</v>
      </c>
      <c r="BN9">
        <f>_xlfn.XLOOKUP(D9,Constants!$A$34:$A$35,Constants!$B$34:$B$35)</f>
        <v>6.0000000000000001E-3</v>
      </c>
      <c r="BO9">
        <f t="shared" ref="BO9:BS24" si="19">BC9*BH9*$BM9</f>
        <v>0</v>
      </c>
      <c r="BP9">
        <f t="shared" si="9"/>
        <v>0</v>
      </c>
      <c r="BQ9">
        <f t="shared" si="9"/>
        <v>0</v>
      </c>
      <c r="BR9">
        <f t="shared" si="9"/>
        <v>0</v>
      </c>
      <c r="BS9">
        <f t="shared" si="9"/>
        <v>0</v>
      </c>
      <c r="BT9">
        <f t="shared" ref="BT9:BT63" si="20">BG9*BN9*BM9</f>
        <v>146.4782980046545</v>
      </c>
    </row>
    <row r="10" spans="1:73" x14ac:dyDescent="0.2">
      <c r="A10" t="str">
        <f>'Input Scenarios'!A75</f>
        <v>NSW</v>
      </c>
      <c r="B10">
        <f>'Input Scenarios'!B75</f>
        <v>15</v>
      </c>
      <c r="C10" t="str">
        <f>'Input Scenarios'!C75</f>
        <v>Non-irrigated pasture</v>
      </c>
      <c r="D10" t="str">
        <f>'Input Scenarios'!D75</f>
        <v>wet</v>
      </c>
      <c r="E10" t="b">
        <f>'Input Scenarios'!E75</f>
        <v>0</v>
      </c>
      <c r="G10">
        <f>'Input Scenarios'!G75</f>
        <v>0.2</v>
      </c>
      <c r="H10">
        <f>'Input Scenarios'!H75</f>
        <v>0.3</v>
      </c>
      <c r="I10">
        <f>'Input Scenarios'!I75</f>
        <v>0.5</v>
      </c>
      <c r="J10">
        <f>'Input Scenarios'!J75</f>
        <v>0.25</v>
      </c>
      <c r="K10">
        <f>'Input Scenarios'!K75</f>
        <v>0.25</v>
      </c>
      <c r="L10">
        <f>'Input Scenarios'!L75</f>
        <v>0.25</v>
      </c>
      <c r="M10">
        <f>'Input Scenarios'!M75</f>
        <v>0.25</v>
      </c>
      <c r="N10">
        <f>'Input Scenarios'!N75</f>
        <v>0.25</v>
      </c>
      <c r="O10">
        <f>'Input Scenarios'!O75</f>
        <v>0.25</v>
      </c>
      <c r="P10">
        <f>'Input Scenarios'!P75</f>
        <v>0.25</v>
      </c>
      <c r="Q10">
        <f>'Input Scenarios'!Q75</f>
        <v>0.25</v>
      </c>
      <c r="R10" t="b">
        <f>'Input Scenarios'!R10</f>
        <v>1</v>
      </c>
      <c r="S10">
        <f>IF('Input Scenarios'!S75&lt;&gt;"", 'Input Scenarios'!S75, IF(R75, Constants!$B$38, 0))</f>
        <v>0.22</v>
      </c>
      <c r="T10" t="str">
        <f>IF('Input Scenarios'!T75&lt;&gt;"", 'Input Scenarios'!T75, "")</f>
        <v/>
      </c>
      <c r="U10">
        <f>IF('Input Scenarios'!U75&lt;&gt;"", 'Input Scenarios'!U75, IF(W10&lt;&gt;"", "", Constants!$B$39))</f>
        <v>4</v>
      </c>
      <c r="V10">
        <f>IF('Input Scenarios'!V75&lt;&gt;"", 'Input Scenarios'!V75, IF(W10&lt;&gt;"", "", Constants!$B$40))</f>
        <v>3.3</v>
      </c>
      <c r="W10" t="str">
        <f>IF('Input Scenarios'!W75&lt;&gt;"", 'Input Scenarios'!W75, "")</f>
        <v/>
      </c>
      <c r="X10" t="str">
        <f>'Input Scenarios'!X75</f>
        <v>Medium Friesian</v>
      </c>
      <c r="Y10" t="str">
        <f>'Input Scenarios'!Y75</f>
        <v>heifersLt1PreWeaned</v>
      </c>
      <c r="Z10">
        <f>'Input Scenarios'!Z75</f>
        <v>200</v>
      </c>
      <c r="AA10">
        <f>'Input Scenarios'!AA75</f>
        <v>365</v>
      </c>
      <c r="AB10">
        <f>'Input Scenarios'!AB75</f>
        <v>80</v>
      </c>
      <c r="AC10" t="str">
        <f>IF('Input Scenarios'!AC75&lt;&gt;"", 'Input Scenarios'!AC75, _xlfn.XLOOKUP(Y10, Constants!$B$13:$H$13, Constants!$B$15:$H$15, ""))</f>
        <v/>
      </c>
      <c r="AD10">
        <f>IF('Input Scenarios'!AD75&lt;&gt;"", 'Input Scenarios'!AD75, Constants!$B$45)</f>
        <v>0.72</v>
      </c>
      <c r="AE10">
        <f>IF('Input Scenarios'!AE75&lt;&gt;"", 'Input Scenarios'!AE75, Constants!$B$46)</f>
        <v>0.2</v>
      </c>
      <c r="AF10">
        <f t="shared" si="1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11"/>
        <v>1</v>
      </c>
      <c r="AK10">
        <f t="shared" si="12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13"/>
        <v>0.57100000000000006</v>
      </c>
      <c r="AQ10">
        <f t="shared" si="14"/>
        <v>0</v>
      </c>
      <c r="AR10">
        <f>IF(Y10="milkingCows", Constants!$P$2, Constants!$P$3)</f>
        <v>1</v>
      </c>
      <c r="AS10" t="str">
        <f t="shared" si="15"/>
        <v/>
      </c>
      <c r="AT10" t="str">
        <f t="shared" si="16"/>
        <v/>
      </c>
      <c r="AU10" t="str">
        <f>_xlfn.XLOOKUP(Y10, Constants!$B$13:$H$13, Constants!$B$14:$H$14, "")</f>
        <v/>
      </c>
      <c r="AV10" t="str">
        <f t="shared" si="17"/>
        <v/>
      </c>
      <c r="AW10">
        <f>Constants!$B$55</f>
        <v>6.25</v>
      </c>
      <c r="AX10" t="str">
        <f t="shared" si="1"/>
        <v/>
      </c>
      <c r="AY10" t="str">
        <f t="shared" si="2"/>
        <v/>
      </c>
      <c r="AZ10" t="str">
        <f t="shared" si="18"/>
        <v/>
      </c>
      <c r="BA10">
        <f>IF(ISNUMBER(FIND("PreWeaned",Y10)),_xlfn.XLOOKUP(Y10,Constants!$J$2:$J$3,Constants!$M$2:$M$3),"")</f>
        <v>1.37E-2</v>
      </c>
      <c r="BB10">
        <f t="shared" si="3"/>
        <v>1000.1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1000.1</v>
      </c>
      <c r="BH10">
        <f>Constants!$C$19</f>
        <v>0</v>
      </c>
      <c r="BI10">
        <f>Constants!$C$20</f>
        <v>0</v>
      </c>
      <c r="BJ10">
        <f>Constants!$C$21</f>
        <v>0</v>
      </c>
      <c r="BK10">
        <f>Constants!$C$22</f>
        <v>5.0000000000000001E-3</v>
      </c>
      <c r="BL10">
        <f>Constants!$C$23</f>
        <v>0</v>
      </c>
      <c r="BM10">
        <f>Constants!$B$50</f>
        <v>1.57</v>
      </c>
      <c r="BN10">
        <f>_xlfn.XLOOKUP(D10,Constants!$A$34:$A$35,Constants!$B$34:$B$35)</f>
        <v>6.0000000000000001E-3</v>
      </c>
      <c r="BO10">
        <f t="shared" si="19"/>
        <v>0</v>
      </c>
      <c r="BP10">
        <f t="shared" si="9"/>
        <v>0</v>
      </c>
      <c r="BQ10">
        <f t="shared" si="9"/>
        <v>0</v>
      </c>
      <c r="BR10">
        <f t="shared" si="9"/>
        <v>0</v>
      </c>
      <c r="BS10">
        <f t="shared" si="9"/>
        <v>0</v>
      </c>
      <c r="BT10">
        <f t="shared" si="20"/>
        <v>9.4209420000000001</v>
      </c>
    </row>
    <row r="11" spans="1:73" x14ac:dyDescent="0.2">
      <c r="A11" t="str">
        <f>'Input Scenarios'!A76</f>
        <v>NSW</v>
      </c>
      <c r="B11">
        <f>'Input Scenarios'!B76</f>
        <v>15</v>
      </c>
      <c r="C11" t="str">
        <f>'Input Scenarios'!C76</f>
        <v>Non-irrigated pasture</v>
      </c>
      <c r="D11" t="str">
        <f>'Input Scenarios'!D76</f>
        <v>wet</v>
      </c>
      <c r="E11" t="b">
        <f>'Input Scenarios'!E76</f>
        <v>0</v>
      </c>
      <c r="G11">
        <f>'Input Scenarios'!G76</f>
        <v>0.2</v>
      </c>
      <c r="H11">
        <f>'Input Scenarios'!H76</f>
        <v>0.3</v>
      </c>
      <c r="I11">
        <f>'Input Scenarios'!I76</f>
        <v>0.5</v>
      </c>
      <c r="J11">
        <f>'Input Scenarios'!J76</f>
        <v>0.25</v>
      </c>
      <c r="K11">
        <f>'Input Scenarios'!K76</f>
        <v>0.25</v>
      </c>
      <c r="L11">
        <f>'Input Scenarios'!L76</f>
        <v>0.25</v>
      </c>
      <c r="M11">
        <f>'Input Scenarios'!M76</f>
        <v>0.25</v>
      </c>
      <c r="N11">
        <f>'Input Scenarios'!N76</f>
        <v>0.25</v>
      </c>
      <c r="O11">
        <f>'Input Scenarios'!O76</f>
        <v>0.25</v>
      </c>
      <c r="P11">
        <f>'Input Scenarios'!P76</f>
        <v>0.25</v>
      </c>
      <c r="Q11">
        <f>'Input Scenarios'!Q76</f>
        <v>0.25</v>
      </c>
      <c r="R11" t="b">
        <f>'Input Scenarios'!R11</f>
        <v>1</v>
      </c>
      <c r="S11">
        <f>IF('Input Scenarios'!S76&lt;&gt;"", 'Input Scenarios'!S76, IF(R76, Constants!$B$38, 0))</f>
        <v>0.22</v>
      </c>
      <c r="T11" t="str">
        <f>IF('Input Scenarios'!T76&lt;&gt;"", 'Input Scenarios'!T76, "")</f>
        <v/>
      </c>
      <c r="U11">
        <f>IF('Input Scenarios'!U76&lt;&gt;"", 'Input Scenarios'!U76, IF(W11&lt;&gt;"", "", Constants!$B$39))</f>
        <v>4</v>
      </c>
      <c r="V11">
        <f>IF('Input Scenarios'!V76&lt;&gt;"", 'Input Scenarios'!V76, IF(W11&lt;&gt;"", "", Constants!$B$40))</f>
        <v>3.3</v>
      </c>
      <c r="W11" t="str">
        <f>IF('Input Scenarios'!W76&lt;&gt;"", 'Input Scenarios'!W76, "")</f>
        <v/>
      </c>
      <c r="X11" t="str">
        <f>'Input Scenarios'!X76</f>
        <v>Medium Friesian</v>
      </c>
      <c r="Y11" t="str">
        <f>'Input Scenarios'!Y76</f>
        <v>heifersLt1Weaned</v>
      </c>
      <c r="Z11">
        <f>'Input Scenarios'!Z76</f>
        <v>200</v>
      </c>
      <c r="AA11">
        <f>'Input Scenarios'!AA76</f>
        <v>365</v>
      </c>
      <c r="AB11">
        <f>'Input Scenarios'!AB76</f>
        <v>123</v>
      </c>
      <c r="AC11">
        <f>IF('Input Scenarios'!AC76&lt;&gt;"", 'Input Scenarios'!AC76, _xlfn.XLOOKUP(Y11, Constants!$B$13:$H$13, Constants!$B$15:$H$15, ""))</f>
        <v>0.56999999999999995</v>
      </c>
      <c r="AD11">
        <f>IF('Input Scenarios'!AD76&lt;&gt;"", 'Input Scenarios'!AD76, Constants!$B$45)</f>
        <v>0.73</v>
      </c>
      <c r="AE11">
        <f>IF('Input Scenarios'!AE76&lt;&gt;"", 'Input Scenarios'!AE76, Constants!$B$46)</f>
        <v>0.21</v>
      </c>
      <c r="AF11">
        <f t="shared" si="1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11"/>
        <v>1</v>
      </c>
      <c r="AK11">
        <f t="shared" si="12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13"/>
        <v>0.57895000000000008</v>
      </c>
      <c r="AQ11">
        <f t="shared" si="14"/>
        <v>0</v>
      </c>
      <c r="AR11">
        <f>IF(Y11="milkingCows", Constants!$P$2, Constants!$P$3)</f>
        <v>1</v>
      </c>
      <c r="AS11">
        <f t="shared" si="15"/>
        <v>3.5480793063171605</v>
      </c>
      <c r="AT11">
        <f t="shared" si="16"/>
        <v>1.2218306495312425</v>
      </c>
      <c r="AU11">
        <f>_xlfn.XLOOKUP(Y11, Constants!$B$13:$H$13, Constants!$B$14:$H$14, "")</f>
        <v>590</v>
      </c>
      <c r="AV11">
        <f t="shared" si="17"/>
        <v>0.20847457627118643</v>
      </c>
      <c r="AW11">
        <f>Constants!$B$55</f>
        <v>6.25</v>
      </c>
      <c r="AX11">
        <f t="shared" si="1"/>
        <v>1.535754600252277E-2</v>
      </c>
      <c r="AY11">
        <f t="shared" si="2"/>
        <v>0.74509665432660366</v>
      </c>
      <c r="AZ11">
        <f t="shared" si="18"/>
        <v>0.10320787656467442</v>
      </c>
      <c r="BA11" t="str">
        <f>IF(ISNUMBER(FIND("PreWeaned",Y11)),_xlfn.XLOOKUP(Y11,Constants!$J$2:$J$3,Constants!$M$2:$M$3),"")</f>
        <v/>
      </c>
      <c r="BB11">
        <f t="shared" si="3"/>
        <v>7534.174989221232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7534.174989221232</v>
      </c>
      <c r="BH11">
        <f>Constants!$C$19</f>
        <v>0</v>
      </c>
      <c r="BI11">
        <f>Constants!$C$20</f>
        <v>0</v>
      </c>
      <c r="BJ11">
        <f>Constants!$C$21</f>
        <v>0</v>
      </c>
      <c r="BK11">
        <f>Constants!$C$22</f>
        <v>5.0000000000000001E-3</v>
      </c>
      <c r="BL11">
        <f>Constants!$C$23</f>
        <v>0</v>
      </c>
      <c r="BM11">
        <f>Constants!$B$50</f>
        <v>1.57</v>
      </c>
      <c r="BN11">
        <f>_xlfn.XLOOKUP(D11,Constants!$A$34:$A$35,Constants!$B$34:$B$35)</f>
        <v>6.0000000000000001E-3</v>
      </c>
      <c r="BO11">
        <f t="shared" si="19"/>
        <v>0</v>
      </c>
      <c r="BP11">
        <f t="shared" si="9"/>
        <v>0</v>
      </c>
      <c r="BQ11">
        <f t="shared" si="9"/>
        <v>0</v>
      </c>
      <c r="BR11">
        <f t="shared" si="9"/>
        <v>0</v>
      </c>
      <c r="BS11">
        <f t="shared" si="9"/>
        <v>0</v>
      </c>
      <c r="BT11">
        <f t="shared" si="20"/>
        <v>70.971928398464016</v>
      </c>
    </row>
    <row r="12" spans="1:73" x14ac:dyDescent="0.2">
      <c r="A12" t="str">
        <f>'Input Scenarios'!A77</f>
        <v>NSW</v>
      </c>
      <c r="B12">
        <f>'Input Scenarios'!B77</f>
        <v>15</v>
      </c>
      <c r="C12" t="str">
        <f>'Input Scenarios'!C77</f>
        <v>Non-irrigated pasture</v>
      </c>
      <c r="D12" t="str">
        <f>'Input Scenarios'!D77</f>
        <v>wet</v>
      </c>
      <c r="E12" t="b">
        <f>'Input Scenarios'!E77</f>
        <v>0</v>
      </c>
      <c r="G12">
        <f>'Input Scenarios'!G77</f>
        <v>0.2</v>
      </c>
      <c r="H12">
        <f>'Input Scenarios'!H77</f>
        <v>0.3</v>
      </c>
      <c r="I12">
        <f>'Input Scenarios'!I77</f>
        <v>0.5</v>
      </c>
      <c r="J12">
        <f>'Input Scenarios'!J77</f>
        <v>0.25</v>
      </c>
      <c r="K12">
        <f>'Input Scenarios'!K77</f>
        <v>0.25</v>
      </c>
      <c r="L12">
        <f>'Input Scenarios'!L77</f>
        <v>0.25</v>
      </c>
      <c r="M12">
        <f>'Input Scenarios'!M77</f>
        <v>0.25</v>
      </c>
      <c r="N12">
        <f>'Input Scenarios'!N77</f>
        <v>0.25</v>
      </c>
      <c r="O12">
        <f>'Input Scenarios'!O77</f>
        <v>0.25</v>
      </c>
      <c r="P12">
        <f>'Input Scenarios'!P77</f>
        <v>0.25</v>
      </c>
      <c r="Q12">
        <f>'Input Scenarios'!Q77</f>
        <v>0.25</v>
      </c>
      <c r="R12" t="b">
        <f>'Input Scenarios'!R12</f>
        <v>1</v>
      </c>
      <c r="S12">
        <f>IF('Input Scenarios'!S77&lt;&gt;"", 'Input Scenarios'!S77, IF(R77, Constants!$B$38, 0))</f>
        <v>0.22</v>
      </c>
      <c r="T12" t="str">
        <f>IF('Input Scenarios'!T77&lt;&gt;"", 'Input Scenarios'!T77, "")</f>
        <v/>
      </c>
      <c r="U12">
        <f>IF('Input Scenarios'!U77&lt;&gt;"", 'Input Scenarios'!U77, IF(W12&lt;&gt;"", "", Constants!$B$39))</f>
        <v>4</v>
      </c>
      <c r="V12">
        <f>IF('Input Scenarios'!V77&lt;&gt;"", 'Input Scenarios'!V77, IF(W12&lt;&gt;"", "", Constants!$B$40))</f>
        <v>3.3</v>
      </c>
      <c r="W12" t="str">
        <f>IF('Input Scenarios'!W77&lt;&gt;"", 'Input Scenarios'!W77, "")</f>
        <v/>
      </c>
      <c r="X12" t="str">
        <f>'Input Scenarios'!X77</f>
        <v>Medium Friesian</v>
      </c>
      <c r="Y12" t="str">
        <f>'Input Scenarios'!Y77</f>
        <v>bullsGt1</v>
      </c>
      <c r="Z12">
        <f>'Input Scenarios'!Z77</f>
        <v>200</v>
      </c>
      <c r="AA12">
        <f>'Input Scenarios'!AA77</f>
        <v>365</v>
      </c>
      <c r="AB12">
        <f>'Input Scenarios'!AB77</f>
        <v>560</v>
      </c>
      <c r="AC12">
        <f>IF('Input Scenarios'!AC77&lt;&gt;"", 'Input Scenarios'!AC77, _xlfn.XLOOKUP(Y12, Constants!$B$13:$H$13, Constants!$B$15:$H$15, ""))</f>
        <v>0.1</v>
      </c>
      <c r="AD12">
        <f>IF('Input Scenarios'!AD77&lt;&gt;"", 'Input Scenarios'!AD77, Constants!$B$45)</f>
        <v>0.74</v>
      </c>
      <c r="AE12">
        <f>IF('Input Scenarios'!AE77&lt;&gt;"", 'Input Scenarios'!AE77, Constants!$B$46)</f>
        <v>0.22</v>
      </c>
      <c r="AF12">
        <f t="shared" si="1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11"/>
        <v>1</v>
      </c>
      <c r="AK12">
        <f t="shared" si="12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13"/>
        <v>0.58690000000000009</v>
      </c>
      <c r="AQ12">
        <f t="shared" si="14"/>
        <v>0</v>
      </c>
      <c r="AR12">
        <f>IF(Y12="milkingCows", Constants!$P$2, Constants!$P$3)</f>
        <v>1</v>
      </c>
      <c r="AS12">
        <f t="shared" si="15"/>
        <v>8.6644277315999982</v>
      </c>
      <c r="AT12">
        <f t="shared" si="16"/>
        <v>1.0217513291410167</v>
      </c>
      <c r="AU12">
        <f>_xlfn.XLOOKUP(Y12, Constants!$B$13:$H$13, Constants!$B$14:$H$14, "")</f>
        <v>770</v>
      </c>
      <c r="AV12">
        <f t="shared" si="17"/>
        <v>0.72727272727272729</v>
      </c>
      <c r="AW12">
        <f>Constants!$B$55</f>
        <v>6.25</v>
      </c>
      <c r="AX12">
        <f t="shared" si="1"/>
        <v>1.3276489519743473E-3</v>
      </c>
      <c r="AY12">
        <f t="shared" si="2"/>
        <v>1.9061741009519997</v>
      </c>
      <c r="AZ12">
        <f t="shared" si="18"/>
        <v>0.30163414073625983</v>
      </c>
      <c r="BA12" t="str">
        <f>IF(ISNUMBER(FIND("PreWeaned",Y12)),_xlfn.XLOOKUP(Y12,Constants!$J$2:$J$3,Constants!$M$2:$M$3),"")</f>
        <v/>
      </c>
      <c r="BB12">
        <f t="shared" si="3"/>
        <v>22019.292273746967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22019.292273746967</v>
      </c>
      <c r="BH12">
        <f>Constants!$C$19</f>
        <v>0</v>
      </c>
      <c r="BI12">
        <f>Constants!$C$20</f>
        <v>0</v>
      </c>
      <c r="BJ12">
        <f>Constants!$C$21</f>
        <v>0</v>
      </c>
      <c r="BK12">
        <f>Constants!$C$22</f>
        <v>5.0000000000000001E-3</v>
      </c>
      <c r="BL12">
        <f>Constants!$C$23</f>
        <v>0</v>
      </c>
      <c r="BM12">
        <f>Constants!$B$50</f>
        <v>1.57</v>
      </c>
      <c r="BN12">
        <f>_xlfn.XLOOKUP(D12,Constants!$A$34:$A$35,Constants!$B$34:$B$35)</f>
        <v>6.0000000000000001E-3</v>
      </c>
      <c r="BO12">
        <f t="shared" si="19"/>
        <v>0</v>
      </c>
      <c r="BP12">
        <f t="shared" si="9"/>
        <v>0</v>
      </c>
      <c r="BQ12">
        <f t="shared" si="9"/>
        <v>0</v>
      </c>
      <c r="BR12">
        <f t="shared" si="9"/>
        <v>0</v>
      </c>
      <c r="BS12">
        <f t="shared" si="9"/>
        <v>0</v>
      </c>
      <c r="BT12">
        <f t="shared" si="20"/>
        <v>207.42173321869643</v>
      </c>
    </row>
    <row r="13" spans="1:73" x14ac:dyDescent="0.2">
      <c r="A13" t="str">
        <f>'Input Scenarios'!A78</f>
        <v>NSW</v>
      </c>
      <c r="B13">
        <f>'Input Scenarios'!B78</f>
        <v>15</v>
      </c>
      <c r="C13" t="str">
        <f>'Input Scenarios'!C78</f>
        <v>Non-irrigated pasture</v>
      </c>
      <c r="D13" t="str">
        <f>'Input Scenarios'!D78</f>
        <v>wet</v>
      </c>
      <c r="E13" t="b">
        <f>'Input Scenarios'!E78</f>
        <v>0</v>
      </c>
      <c r="G13">
        <f>'Input Scenarios'!G78</f>
        <v>0.2</v>
      </c>
      <c r="H13">
        <f>'Input Scenarios'!H78</f>
        <v>0.3</v>
      </c>
      <c r="I13">
        <f>'Input Scenarios'!I78</f>
        <v>0.5</v>
      </c>
      <c r="J13">
        <f>'Input Scenarios'!J78</f>
        <v>0.25</v>
      </c>
      <c r="K13">
        <f>'Input Scenarios'!K78</f>
        <v>0.25</v>
      </c>
      <c r="L13">
        <f>'Input Scenarios'!L78</f>
        <v>0.25</v>
      </c>
      <c r="M13">
        <f>'Input Scenarios'!M78</f>
        <v>0.25</v>
      </c>
      <c r="N13">
        <f>'Input Scenarios'!N78</f>
        <v>0.25</v>
      </c>
      <c r="O13">
        <f>'Input Scenarios'!O78</f>
        <v>0.25</v>
      </c>
      <c r="P13">
        <f>'Input Scenarios'!P78</f>
        <v>0.25</v>
      </c>
      <c r="Q13">
        <f>'Input Scenarios'!Q78</f>
        <v>0.25</v>
      </c>
      <c r="R13" t="b">
        <f>'Input Scenarios'!R13</f>
        <v>1</v>
      </c>
      <c r="S13">
        <f>IF('Input Scenarios'!S78&lt;&gt;"", 'Input Scenarios'!S78, IF(R78, Constants!$B$38, 0))</f>
        <v>0.22</v>
      </c>
      <c r="T13" t="str">
        <f>IF('Input Scenarios'!T78&lt;&gt;"", 'Input Scenarios'!T78, "")</f>
        <v/>
      </c>
      <c r="U13">
        <f>IF('Input Scenarios'!U78&lt;&gt;"", 'Input Scenarios'!U78, IF(W13&lt;&gt;"", "", Constants!$B$39))</f>
        <v>4</v>
      </c>
      <c r="V13">
        <f>IF('Input Scenarios'!V78&lt;&gt;"", 'Input Scenarios'!V78, IF(W13&lt;&gt;"", "", Constants!$B$40))</f>
        <v>3.3</v>
      </c>
      <c r="W13" t="str">
        <f>IF('Input Scenarios'!W78&lt;&gt;"", 'Input Scenarios'!W78, "")</f>
        <v/>
      </c>
      <c r="X13" t="str">
        <f>'Input Scenarios'!X78</f>
        <v>Medium Friesian</v>
      </c>
      <c r="Y13" t="str">
        <f>'Input Scenarios'!Y78</f>
        <v>bullsLt1PreWeaned</v>
      </c>
      <c r="Z13">
        <f>'Input Scenarios'!Z78</f>
        <v>200</v>
      </c>
      <c r="AA13">
        <f>'Input Scenarios'!AA78</f>
        <v>365</v>
      </c>
      <c r="AB13">
        <f>'Input Scenarios'!AB78</f>
        <v>250</v>
      </c>
      <c r="AC13" t="str">
        <f>IF('Input Scenarios'!AC78&lt;&gt;"", 'Input Scenarios'!AC78, _xlfn.XLOOKUP(Y13, Constants!$B$13:$H$13, Constants!$B$15:$H$15, ""))</f>
        <v/>
      </c>
      <c r="AD13">
        <f>IF('Input Scenarios'!AD78&lt;&gt;"", 'Input Scenarios'!AD78, Constants!$B$45)</f>
        <v>0.75</v>
      </c>
      <c r="AE13">
        <f>IF('Input Scenarios'!AE78&lt;&gt;"", 'Input Scenarios'!AE78, Constants!$B$46)</f>
        <v>0.23</v>
      </c>
      <c r="AF13">
        <f t="shared" si="1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11"/>
        <v>1</v>
      </c>
      <c r="AK13">
        <f t="shared" si="12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13"/>
        <v>0.5948500000000001</v>
      </c>
      <c r="AQ13">
        <f t="shared" si="14"/>
        <v>0</v>
      </c>
      <c r="AR13">
        <f>IF(Y13="milkingCows", Constants!$P$2, Constants!$P$3)</f>
        <v>1</v>
      </c>
      <c r="AS13" t="str">
        <f t="shared" si="15"/>
        <v/>
      </c>
      <c r="AT13" t="str">
        <f t="shared" si="16"/>
        <v/>
      </c>
      <c r="AU13" t="str">
        <f>_xlfn.XLOOKUP(Y13, Constants!$B$13:$H$13, Constants!$B$14:$H$14, "")</f>
        <v/>
      </c>
      <c r="AV13" t="str">
        <f t="shared" si="17"/>
        <v/>
      </c>
      <c r="AW13">
        <f>Constants!$B$55</f>
        <v>6.25</v>
      </c>
      <c r="AX13" t="str">
        <f t="shared" si="1"/>
        <v/>
      </c>
      <c r="AY13" t="str">
        <f t="shared" si="2"/>
        <v/>
      </c>
      <c r="AZ13" t="str">
        <f t="shared" si="18"/>
        <v/>
      </c>
      <c r="BA13">
        <f>IF(ISNUMBER(FIND("PreWeaned",Y13)),_xlfn.XLOOKUP(Y13,Constants!$J$2:$J$3,Constants!$M$2:$M$3),"")</f>
        <v>9.1999999999999998E-3</v>
      </c>
      <c r="BB13">
        <f t="shared" si="3"/>
        <v>671.59999999999991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671.59999999999991</v>
      </c>
      <c r="BH13">
        <f>Constants!$C$19</f>
        <v>0</v>
      </c>
      <c r="BI13">
        <f>Constants!$C$20</f>
        <v>0</v>
      </c>
      <c r="BJ13">
        <f>Constants!$C$21</f>
        <v>0</v>
      </c>
      <c r="BK13">
        <f>Constants!$C$22</f>
        <v>5.0000000000000001E-3</v>
      </c>
      <c r="BL13">
        <f>Constants!$C$23</f>
        <v>0</v>
      </c>
      <c r="BM13">
        <f>Constants!$B$50</f>
        <v>1.57</v>
      </c>
      <c r="BN13">
        <f>_xlfn.XLOOKUP(D13,Constants!$A$34:$A$35,Constants!$B$34:$B$35)</f>
        <v>6.0000000000000001E-3</v>
      </c>
      <c r="BO13">
        <f t="shared" si="19"/>
        <v>0</v>
      </c>
      <c r="BP13">
        <f t="shared" si="9"/>
        <v>0</v>
      </c>
      <c r="BQ13">
        <f t="shared" si="9"/>
        <v>0</v>
      </c>
      <c r="BR13">
        <f t="shared" si="9"/>
        <v>0</v>
      </c>
      <c r="BS13">
        <f t="shared" si="9"/>
        <v>0</v>
      </c>
      <c r="BT13">
        <f t="shared" si="20"/>
        <v>6.326471999999999</v>
      </c>
    </row>
    <row r="14" spans="1:73" s="16" customFormat="1" x14ac:dyDescent="0.2">
      <c r="A14" s="16" t="str">
        <f>'Input Scenarios'!A79</f>
        <v>NSW</v>
      </c>
      <c r="B14" s="16">
        <f>'Input Scenarios'!B79</f>
        <v>15</v>
      </c>
      <c r="C14" s="16" t="str">
        <f>'Input Scenarios'!C79</f>
        <v>Non-irrigated pasture</v>
      </c>
      <c r="D14" s="16" t="str">
        <f>'Input Scenarios'!D79</f>
        <v>wet</v>
      </c>
      <c r="E14" s="16" t="b">
        <f>'Input Scenarios'!E79</f>
        <v>0</v>
      </c>
      <c r="G14" s="16">
        <f>'Input Scenarios'!G79</f>
        <v>0.2</v>
      </c>
      <c r="H14" s="16">
        <f>'Input Scenarios'!H79</f>
        <v>0.3</v>
      </c>
      <c r="I14" s="16">
        <f>'Input Scenarios'!I79</f>
        <v>0.5</v>
      </c>
      <c r="J14" s="16">
        <f>'Input Scenarios'!J79</f>
        <v>0.25</v>
      </c>
      <c r="K14" s="16">
        <f>'Input Scenarios'!K79</f>
        <v>0.25</v>
      </c>
      <c r="L14" s="16">
        <f>'Input Scenarios'!L79</f>
        <v>0.25</v>
      </c>
      <c r="M14" s="16">
        <f>'Input Scenarios'!M79</f>
        <v>0.25</v>
      </c>
      <c r="N14" s="16">
        <f>'Input Scenarios'!N79</f>
        <v>0.25</v>
      </c>
      <c r="O14" s="16">
        <f>'Input Scenarios'!O79</f>
        <v>0.25</v>
      </c>
      <c r="P14" s="16">
        <f>'Input Scenarios'!P79</f>
        <v>0.25</v>
      </c>
      <c r="Q14" s="16">
        <f>'Input Scenarios'!Q79</f>
        <v>0.25</v>
      </c>
      <c r="R14" s="16" t="b">
        <f>'Input Scenarios'!R14</f>
        <v>1</v>
      </c>
      <c r="S14" s="16">
        <f>IF('Input Scenarios'!S79&lt;&gt;"", 'Input Scenarios'!S79, IF(R79, Constants!$B$38, 0))</f>
        <v>0.22</v>
      </c>
      <c r="T14" s="16" t="str">
        <f>IF('Input Scenarios'!T79&lt;&gt;"", 'Input Scenarios'!T79, "")</f>
        <v/>
      </c>
      <c r="U14" s="16">
        <f>IF('Input Scenarios'!U79&lt;&gt;"", 'Input Scenarios'!U79, IF(W14&lt;&gt;"", "", Constants!$B$39))</f>
        <v>4</v>
      </c>
      <c r="V14" s="16">
        <f>IF('Input Scenarios'!V79&lt;&gt;"", 'Input Scenarios'!V79, IF(W14&lt;&gt;"", "", Constants!$B$40))</f>
        <v>3.3</v>
      </c>
      <c r="W14" s="16" t="str">
        <f>IF('Input Scenarios'!W79&lt;&gt;"", 'Input Scenarios'!W79, "")</f>
        <v/>
      </c>
      <c r="X14" s="16" t="str">
        <f>'Input Scenarios'!X79</f>
        <v>Medium Friesian</v>
      </c>
      <c r="Y14" s="16" t="str">
        <f>'Input Scenarios'!Y79</f>
        <v>bullsLt1Weaned</v>
      </c>
      <c r="Z14" s="16">
        <f>'Input Scenarios'!Z79</f>
        <v>200</v>
      </c>
      <c r="AA14" s="16">
        <f>'Input Scenarios'!AA79</f>
        <v>365</v>
      </c>
      <c r="AB14" s="16">
        <f>'Input Scenarios'!AB79</f>
        <v>267</v>
      </c>
      <c r="AC14" s="16">
        <f>IF('Input Scenarios'!AC79&lt;&gt;"", 'Input Scenarios'!AC79, _xlfn.XLOOKUP(Y14, Constants!$B$13:$H$13, Constants!$B$15:$H$15, ""))</f>
        <v>0.8</v>
      </c>
      <c r="AD14" s="16">
        <f>IF('Input Scenarios'!AD79&lt;&gt;"", 'Input Scenarios'!AD79, Constants!$B$45)</f>
        <v>0.76</v>
      </c>
      <c r="AE14" s="16">
        <f>IF('Input Scenarios'!AE79&lt;&gt;"", 'Input Scenarios'!AE79, Constants!$B$46)</f>
        <v>0.24</v>
      </c>
      <c r="AF14" s="16">
        <f t="shared" si="10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11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13"/>
        <v>0.60280000000000011</v>
      </c>
      <c r="AQ14" s="16">
        <f t="shared" si="14"/>
        <v>0</v>
      </c>
      <c r="AR14" s="16">
        <f>IF(Y14="milkingCows", Constants!$P$2, Constants!$P$3)</f>
        <v>1</v>
      </c>
      <c r="AS14" s="16">
        <f t="shared" si="15"/>
        <v>6.0704513701779614</v>
      </c>
      <c r="AT14" s="16">
        <f t="shared" si="16"/>
        <v>1.2408464586628585</v>
      </c>
      <c r="AU14" s="16">
        <f>_xlfn.XLOOKUP(Y14, Constants!$B$13:$H$13, Constants!$B$14:$H$14, "")</f>
        <v>770</v>
      </c>
      <c r="AV14" s="16">
        <f t="shared" si="17"/>
        <v>0.34675324675324676</v>
      </c>
      <c r="AW14" s="16">
        <f>Constants!$B$55</f>
        <v>6.25</v>
      </c>
      <c r="AX14" s="16">
        <f t="shared" si="1"/>
        <v>1.8441836586625317E-2</v>
      </c>
      <c r="AY14" s="16">
        <f t="shared" si="2"/>
        <v>1.4569083288427107</v>
      </c>
      <c r="AZ14" s="16">
        <f t="shared" si="18"/>
        <v>0.21350098759030778</v>
      </c>
      <c r="BA14" s="16" t="str">
        <f>IF(ISNUMBER(FIND("PreWeaned",Y14)),_xlfn.XLOOKUP(Y14,Constants!$J$2:$J$3,Constants!$M$2:$M$3),"")</f>
        <v/>
      </c>
      <c r="BB14" s="16">
        <f t="shared" si="3"/>
        <v>15585.572094092469</v>
      </c>
      <c r="BC14" s="16">
        <f t="shared" si="4"/>
        <v>0</v>
      </c>
      <c r="BD14" s="16">
        <f t="shared" si="5"/>
        <v>0</v>
      </c>
      <c r="BE14" s="16">
        <f t="shared" si="6"/>
        <v>0</v>
      </c>
      <c r="BF14" s="16">
        <f t="shared" si="7"/>
        <v>0</v>
      </c>
      <c r="BG14" s="16">
        <f t="shared" si="8"/>
        <v>15585.572094092469</v>
      </c>
      <c r="BH14" s="16">
        <f>Constants!$C$19</f>
        <v>0</v>
      </c>
      <c r="BI14" s="16">
        <f>Constants!$C$20</f>
        <v>0</v>
      </c>
      <c r="BJ14" s="16">
        <f>Constants!$C$21</f>
        <v>0</v>
      </c>
      <c r="BK14" s="16">
        <f>Constants!$C$22</f>
        <v>5.0000000000000001E-3</v>
      </c>
      <c r="BL14" s="16">
        <f>Constants!$C$23</f>
        <v>0</v>
      </c>
      <c r="BM14" s="16">
        <f>Constants!$B$50</f>
        <v>1.57</v>
      </c>
      <c r="BN14" s="16">
        <f>_xlfn.XLOOKUP(D14,Constants!$A$34:$A$35,Constants!$B$34:$B$35)</f>
        <v>6.0000000000000001E-3</v>
      </c>
      <c r="BO14" s="16">
        <f t="shared" si="19"/>
        <v>0</v>
      </c>
      <c r="BP14" s="16">
        <f t="shared" si="9"/>
        <v>0</v>
      </c>
      <c r="BQ14" s="16">
        <f t="shared" si="9"/>
        <v>0</v>
      </c>
      <c r="BR14" s="16">
        <f t="shared" si="9"/>
        <v>0</v>
      </c>
      <c r="BS14" s="16">
        <f t="shared" si="9"/>
        <v>0</v>
      </c>
      <c r="BT14" s="16">
        <f t="shared" si="20"/>
        <v>146.81608912635107</v>
      </c>
    </row>
    <row r="15" spans="1:73" x14ac:dyDescent="0.2">
      <c r="A15" t="str">
        <f>'Input Scenarios'!A80</f>
        <v>QLD</v>
      </c>
      <c r="B15">
        <f>'Input Scenarios'!B80</f>
        <v>22</v>
      </c>
      <c r="C15" t="str">
        <f>'Input Scenarios'!C80</f>
        <v>Non-irrigated crop (high rainfall)</v>
      </c>
      <c r="D15" t="str">
        <f>'Input Scenarios'!D80</f>
        <v>wet</v>
      </c>
      <c r="E15" t="b">
        <f>'Input Scenarios'!E80</f>
        <v>1</v>
      </c>
      <c r="G15">
        <f>'Input Scenarios'!G80</f>
        <v>0.5</v>
      </c>
      <c r="H15">
        <f>'Input Scenarios'!H80</f>
        <v>0.1</v>
      </c>
      <c r="I15">
        <f>'Input Scenarios'!I80</f>
        <v>0.4</v>
      </c>
      <c r="J15">
        <f>'Input Scenarios'!J80</f>
        <v>0</v>
      </c>
      <c r="K15">
        <f>'Input Scenarios'!K80</f>
        <v>0</v>
      </c>
      <c r="L15">
        <f>'Input Scenarios'!L80</f>
        <v>1</v>
      </c>
      <c r="M15">
        <f>'Input Scenarios'!M80</f>
        <v>0</v>
      </c>
      <c r="N15">
        <f>'Input Scenarios'!N80</f>
        <v>1</v>
      </c>
      <c r="O15">
        <f>'Input Scenarios'!O80</f>
        <v>0</v>
      </c>
      <c r="P15">
        <f>'Input Scenarios'!P80</f>
        <v>0</v>
      </c>
      <c r="Q15">
        <f>'Input Scenarios'!Q80</f>
        <v>0</v>
      </c>
      <c r="R15" t="b">
        <f>'Input Scenarios'!R15</f>
        <v>1</v>
      </c>
      <c r="S15">
        <f>IF('Input Scenarios'!S80&lt;&gt;"", 'Input Scenarios'!S80, IF(R80, Constants!$B$38, 0))</f>
        <v>0.21</v>
      </c>
      <c r="T15" s="20">
        <f>IF('Input Scenarios'!T80&lt;&gt;"", 'Input Scenarios'!T80, "")</f>
        <v>3</v>
      </c>
      <c r="U15" s="20">
        <f>IF('Input Scenarios'!U80&lt;&gt;"", 'Input Scenarios'!U80, IF(W15&lt;&gt;"", "", Constants!$B$39))</f>
        <v>3.8</v>
      </c>
      <c r="V15" s="20">
        <f>IF('Input Scenarios'!V80&lt;&gt;"", 'Input Scenarios'!V80, IF(W15&lt;&gt;"", "", Constants!$B$40))</f>
        <v>2.2000000000000002</v>
      </c>
      <c r="W15" s="20" t="str">
        <f>IF('Input Scenarios'!W80&lt;&gt;"", 'Input Scenarios'!W80, "")</f>
        <v/>
      </c>
      <c r="X15" s="20" t="str">
        <f>'Input Scenarios'!X80</f>
        <v>Large Friesian</v>
      </c>
      <c r="Y15" s="20" t="str">
        <f>'Input Scenarios'!Y80</f>
        <v>milkingCows</v>
      </c>
      <c r="Z15" s="20">
        <f>'Input Scenarios'!Z80</f>
        <v>200</v>
      </c>
      <c r="AA15" s="20">
        <f>'Input Scenarios'!AA80</f>
        <v>300</v>
      </c>
      <c r="AB15" s="20">
        <f>'Input Scenarios'!AB80</f>
        <v>611</v>
      </c>
      <c r="AC15">
        <f>IF('Input Scenarios'!AC80&lt;&gt;"", 'Input Scenarios'!AC80, _xlfn.XLOOKUP(Y15, Constants!$B$13:$H$13, Constants!$B$15:$H$15, ""))</f>
        <v>1.6E-2</v>
      </c>
      <c r="AD15">
        <f>IF('Input Scenarios'!AD80&lt;&gt;"", 'Input Scenarios'!AD80, Constants!$B$45)</f>
        <v>0.65</v>
      </c>
      <c r="AE15">
        <f>IF('Input Scenarios'!AE80&lt;&gt;"", 'Input Scenarios'!AE80, Constants!$B$46)</f>
        <v>0.23</v>
      </c>
      <c r="AF15" s="20">
        <f t="shared" si="10"/>
        <v>0.4</v>
      </c>
      <c r="AG15" s="20">
        <f t="shared" si="0"/>
        <v>0</v>
      </c>
      <c r="AH15" s="20">
        <f t="shared" si="0"/>
        <v>0.1</v>
      </c>
      <c r="AI15" s="20">
        <f t="shared" si="0"/>
        <v>0</v>
      </c>
      <c r="AJ15" s="20">
        <f t="shared" si="11"/>
        <v>0.5</v>
      </c>
      <c r="AK15">
        <f t="shared" ref="AK15:AK35" si="21">IF(Y15="milkingCows", IF(W15&lt;&gt;"", W15, T15/((U15+V15)*0.01)), 0)</f>
        <v>50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si="13"/>
        <v>0.51535000000000009</v>
      </c>
      <c r="AQ15">
        <f t="shared" si="14"/>
        <v>27.644256119732891</v>
      </c>
      <c r="AR15">
        <f>IF(Y15="milkingCows", Constants!$P$2, Constants!$P$3)</f>
        <v>1.1000000000000001</v>
      </c>
      <c r="AS15">
        <f t="shared" si="15"/>
        <v>37.500384471804168</v>
      </c>
      <c r="AT15">
        <f t="shared" si="16"/>
        <v>1.0008851008985502</v>
      </c>
      <c r="AU15">
        <f>_xlfn.XLOOKUP(Y15, Constants!$B$13:$H$13, Constants!$B$14:$H$14, "")</f>
        <v>590</v>
      </c>
      <c r="AV15">
        <f t="shared" si="17"/>
        <v>1.035593220338983</v>
      </c>
      <c r="AW15">
        <f>Constants!$B$55</f>
        <v>6.25</v>
      </c>
      <c r="AX15" s="20">
        <f t="shared" si="1"/>
        <v>0.25848431071421363</v>
      </c>
      <c r="AY15">
        <f t="shared" si="2"/>
        <v>8.6250884285149585</v>
      </c>
      <c r="AZ15">
        <f t="shared" si="18"/>
        <v>1.1193669023144179</v>
      </c>
      <c r="BA15" t="str">
        <f>IF(ISNUMBER(FIND("PreWeaned",Y15)),_xlfn.XLOOKUP(Y15,Constants!$J$2:$J$3,Constants!$M$2:$M$3),"")</f>
        <v/>
      </c>
      <c r="BB15">
        <f t="shared" si="3"/>
        <v>67162.014138865066</v>
      </c>
      <c r="BC15">
        <f t="shared" si="4"/>
        <v>26864.805655546028</v>
      </c>
      <c r="BD15">
        <f t="shared" si="5"/>
        <v>0</v>
      </c>
      <c r="BE15">
        <f t="shared" si="6"/>
        <v>6716.201413886507</v>
      </c>
      <c r="BF15">
        <f t="shared" si="7"/>
        <v>0</v>
      </c>
      <c r="BG15">
        <f t="shared" si="8"/>
        <v>33581.007069432533</v>
      </c>
      <c r="BH15">
        <f>Constants!$C$19</f>
        <v>0</v>
      </c>
      <c r="BI15">
        <f>Constants!$C$20</f>
        <v>0</v>
      </c>
      <c r="BJ15">
        <f>Constants!$C$21</f>
        <v>0</v>
      </c>
      <c r="BK15">
        <f>Constants!$C$22</f>
        <v>5.0000000000000001E-3</v>
      </c>
      <c r="BL15">
        <f>Constants!$C$23</f>
        <v>0</v>
      </c>
      <c r="BM15">
        <f>Constants!$B$50</f>
        <v>1.57</v>
      </c>
      <c r="BN15">
        <f>_xlfn.XLOOKUP(D15,Constants!$A$34:$A$35,Constants!$B$34:$B$35)</f>
        <v>6.0000000000000001E-3</v>
      </c>
      <c r="BO15">
        <f t="shared" si="19"/>
        <v>0</v>
      </c>
      <c r="BP15">
        <f t="shared" si="9"/>
        <v>0</v>
      </c>
      <c r="BQ15">
        <f t="shared" si="9"/>
        <v>0</v>
      </c>
      <c r="BR15">
        <f t="shared" si="9"/>
        <v>0</v>
      </c>
      <c r="BS15">
        <f t="shared" si="9"/>
        <v>0</v>
      </c>
      <c r="BT15">
        <f t="shared" si="20"/>
        <v>316.33308659405452</v>
      </c>
      <c r="BU15">
        <f>SUM(BO15:BT21)/1000</f>
        <v>0.83305784989433429</v>
      </c>
    </row>
    <row r="16" spans="1:73" x14ac:dyDescent="0.2">
      <c r="A16" t="str">
        <f>'Input Scenarios'!A81</f>
        <v>QLD</v>
      </c>
      <c r="B16">
        <f>'Input Scenarios'!B81</f>
        <v>22</v>
      </c>
      <c r="C16" t="str">
        <f>'Input Scenarios'!C81</f>
        <v>Non-irrigated crop (high rainfall)</v>
      </c>
      <c r="D16" t="str">
        <f>'Input Scenarios'!D81</f>
        <v>wet</v>
      </c>
      <c r="E16" t="b">
        <f>'Input Scenarios'!E81</f>
        <v>1</v>
      </c>
      <c r="G16">
        <f>'Input Scenarios'!G81</f>
        <v>0.5</v>
      </c>
      <c r="H16">
        <f>'Input Scenarios'!H81</f>
        <v>0.1</v>
      </c>
      <c r="I16">
        <f>'Input Scenarios'!I81</f>
        <v>0.4</v>
      </c>
      <c r="J16">
        <f>'Input Scenarios'!J81</f>
        <v>0</v>
      </c>
      <c r="K16">
        <f>'Input Scenarios'!K81</f>
        <v>0</v>
      </c>
      <c r="L16">
        <f>'Input Scenarios'!L81</f>
        <v>1</v>
      </c>
      <c r="M16">
        <f>'Input Scenarios'!M81</f>
        <v>0</v>
      </c>
      <c r="N16">
        <f>'Input Scenarios'!N81</f>
        <v>1</v>
      </c>
      <c r="O16">
        <f>'Input Scenarios'!O81</f>
        <v>0</v>
      </c>
      <c r="P16">
        <f>'Input Scenarios'!P81</f>
        <v>0</v>
      </c>
      <c r="Q16">
        <f>'Input Scenarios'!Q81</f>
        <v>0</v>
      </c>
      <c r="R16" t="b">
        <f>'Input Scenarios'!R16</f>
        <v>1</v>
      </c>
      <c r="S16">
        <f>IF('Input Scenarios'!S81&lt;&gt;"", 'Input Scenarios'!S81, IF(R81, Constants!$B$38, 0))</f>
        <v>0.21</v>
      </c>
      <c r="T16" t="str">
        <f>IF('Input Scenarios'!T81&lt;&gt;"", 'Input Scenarios'!T81, "")</f>
        <v/>
      </c>
      <c r="U16">
        <f>IF('Input Scenarios'!U81&lt;&gt;"", 'Input Scenarios'!U81, IF(W16&lt;&gt;"", "", Constants!$B$39))</f>
        <v>4</v>
      </c>
      <c r="V16">
        <f>IF('Input Scenarios'!V81&lt;&gt;"", 'Input Scenarios'!V81, IF(W16&lt;&gt;"", "", Constants!$B$40))</f>
        <v>3.3</v>
      </c>
      <c r="W16" t="str">
        <f>IF('Input Scenarios'!W81&lt;&gt;"", 'Input Scenarios'!W81, "")</f>
        <v/>
      </c>
      <c r="X16" t="str">
        <f>'Input Scenarios'!X81</f>
        <v>Large Friesian</v>
      </c>
      <c r="Y16" t="str">
        <f>'Input Scenarios'!Y81</f>
        <v>heifersGt1</v>
      </c>
      <c r="Z16">
        <f>'Input Scenarios'!Z81</f>
        <v>200</v>
      </c>
      <c r="AA16">
        <f>'Input Scenarios'!AA81</f>
        <v>300</v>
      </c>
      <c r="AB16">
        <f>'Input Scenarios'!AB81</f>
        <v>333</v>
      </c>
      <c r="AC16">
        <f>IF('Input Scenarios'!AC81&lt;&gt;"", 'Input Scenarios'!AC81, _xlfn.XLOOKUP(Y16, Constants!$B$13:$H$13, Constants!$B$15:$H$15, ""))</f>
        <v>0.6</v>
      </c>
      <c r="AD16">
        <f>IF('Input Scenarios'!AD81&lt;&gt;"", 'Input Scenarios'!AD81, Constants!$B$45)</f>
        <v>0.7</v>
      </c>
      <c r="AE16">
        <f>IF('Input Scenarios'!AE81&lt;&gt;"", 'Input Scenarios'!AE81, Constants!$B$46)</f>
        <v>0.23</v>
      </c>
      <c r="AF16">
        <f t="shared" si="1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11"/>
        <v>1</v>
      </c>
      <c r="AK16">
        <f t="shared" si="21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13"/>
        <v>0.55510000000000004</v>
      </c>
      <c r="AQ16">
        <f t="shared" si="14"/>
        <v>0</v>
      </c>
      <c r="AR16">
        <f>IF(Y16="milkingCows", Constants!$P$2, Constants!$P$3)</f>
        <v>1</v>
      </c>
      <c r="AS16">
        <f t="shared" si="15"/>
        <v>6.7470509270739587</v>
      </c>
      <c r="AT16">
        <f t="shared" si="16"/>
        <v>1.1631014187764508</v>
      </c>
      <c r="AU16">
        <f>_xlfn.XLOOKUP(Y16, Constants!$B$13:$H$13, Constants!$B$14:$H$14, "")</f>
        <v>590</v>
      </c>
      <c r="AV16">
        <f t="shared" si="17"/>
        <v>0.56440677966101693</v>
      </c>
      <c r="AW16">
        <f>Constants!$B$55</f>
        <v>6.25</v>
      </c>
      <c r="AX16">
        <f t="shared" si="1"/>
        <v>9.8781251327543507E-3</v>
      </c>
      <c r="AY16">
        <f t="shared" si="2"/>
        <v>1.5518217132270107</v>
      </c>
      <c r="AZ16">
        <f t="shared" si="18"/>
        <v>0.23704137510449247</v>
      </c>
      <c r="BA16" t="str">
        <f>IF(ISNUMBER(FIND("PreWeaned",Y16)),_xlfn.XLOOKUP(Y16,Constants!$J$2:$J$3,Constants!$M$2:$M$3),"")</f>
        <v/>
      </c>
      <c r="BB16">
        <f t="shared" si="3"/>
        <v>14222.482506269547</v>
      </c>
      <c r="BC16">
        <f t="shared" si="4"/>
        <v>0</v>
      </c>
      <c r="BD16">
        <f t="shared" si="5"/>
        <v>0</v>
      </c>
      <c r="BE16">
        <f t="shared" si="6"/>
        <v>0</v>
      </c>
      <c r="BF16">
        <f t="shared" si="7"/>
        <v>0</v>
      </c>
      <c r="BG16">
        <f t="shared" si="8"/>
        <v>14222.482506269547</v>
      </c>
      <c r="BH16">
        <f>Constants!$C$19</f>
        <v>0</v>
      </c>
      <c r="BI16">
        <f>Constants!$C$20</f>
        <v>0</v>
      </c>
      <c r="BJ16">
        <f>Constants!$C$21</f>
        <v>0</v>
      </c>
      <c r="BK16">
        <f>Constants!$C$22</f>
        <v>5.0000000000000001E-3</v>
      </c>
      <c r="BL16">
        <f>Constants!$C$23</f>
        <v>0</v>
      </c>
      <c r="BM16">
        <f>Constants!$B$50</f>
        <v>1.57</v>
      </c>
      <c r="BN16">
        <f>_xlfn.XLOOKUP(D16,Constants!$A$34:$A$35,Constants!$B$34:$B$35)</f>
        <v>6.0000000000000001E-3</v>
      </c>
      <c r="BO16">
        <f t="shared" si="19"/>
        <v>0</v>
      </c>
      <c r="BP16">
        <f t="shared" si="9"/>
        <v>0</v>
      </c>
      <c r="BQ16">
        <f t="shared" si="9"/>
        <v>0</v>
      </c>
      <c r="BR16">
        <f t="shared" si="9"/>
        <v>0</v>
      </c>
      <c r="BS16">
        <f t="shared" si="9"/>
        <v>0</v>
      </c>
      <c r="BT16">
        <f t="shared" si="20"/>
        <v>133.97578520905915</v>
      </c>
    </row>
    <row r="17" spans="1:73" x14ac:dyDescent="0.2">
      <c r="A17" t="str">
        <f>'Input Scenarios'!A82</f>
        <v>QLD</v>
      </c>
      <c r="B17">
        <f>'Input Scenarios'!B82</f>
        <v>22</v>
      </c>
      <c r="C17" t="str">
        <f>'Input Scenarios'!C82</f>
        <v>Non-irrigated crop (high rainfall)</v>
      </c>
      <c r="D17" t="str">
        <f>'Input Scenarios'!D82</f>
        <v>wet</v>
      </c>
      <c r="E17" t="b">
        <f>'Input Scenarios'!E82</f>
        <v>1</v>
      </c>
      <c r="G17">
        <f>'Input Scenarios'!G82</f>
        <v>0.5</v>
      </c>
      <c r="H17">
        <f>'Input Scenarios'!H82</f>
        <v>0.1</v>
      </c>
      <c r="I17">
        <f>'Input Scenarios'!I82</f>
        <v>0.4</v>
      </c>
      <c r="J17">
        <f>'Input Scenarios'!J82</f>
        <v>0</v>
      </c>
      <c r="K17">
        <f>'Input Scenarios'!K82</f>
        <v>0</v>
      </c>
      <c r="L17">
        <f>'Input Scenarios'!L82</f>
        <v>1</v>
      </c>
      <c r="M17">
        <f>'Input Scenarios'!M82</f>
        <v>0</v>
      </c>
      <c r="N17">
        <f>'Input Scenarios'!N82</f>
        <v>1</v>
      </c>
      <c r="O17">
        <f>'Input Scenarios'!O82</f>
        <v>0</v>
      </c>
      <c r="P17">
        <f>'Input Scenarios'!P82</f>
        <v>0</v>
      </c>
      <c r="Q17">
        <f>'Input Scenarios'!Q82</f>
        <v>0</v>
      </c>
      <c r="R17" t="b">
        <f>'Input Scenarios'!R17</f>
        <v>1</v>
      </c>
      <c r="S17">
        <f>IF('Input Scenarios'!S82&lt;&gt;"", 'Input Scenarios'!S82, IF(R82, Constants!$B$38, 0))</f>
        <v>0.21</v>
      </c>
      <c r="T17" t="str">
        <f>IF('Input Scenarios'!T82&lt;&gt;"", 'Input Scenarios'!T82, "")</f>
        <v/>
      </c>
      <c r="U17">
        <f>IF('Input Scenarios'!U82&lt;&gt;"", 'Input Scenarios'!U82, IF(W17&lt;&gt;"", "", Constants!$B$39))</f>
        <v>4</v>
      </c>
      <c r="V17">
        <f>IF('Input Scenarios'!V82&lt;&gt;"", 'Input Scenarios'!V82, IF(W17&lt;&gt;"", "", Constants!$B$40))</f>
        <v>3.3</v>
      </c>
      <c r="W17" t="str">
        <f>IF('Input Scenarios'!W82&lt;&gt;"", 'Input Scenarios'!W82, "")</f>
        <v/>
      </c>
      <c r="X17" t="str">
        <f>'Input Scenarios'!X82</f>
        <v>Large Friesian</v>
      </c>
      <c r="Y17" t="str">
        <f>'Input Scenarios'!Y82</f>
        <v>heifersLt1PreWeaned</v>
      </c>
      <c r="Z17">
        <f>'Input Scenarios'!Z82</f>
        <v>200</v>
      </c>
      <c r="AA17">
        <f>'Input Scenarios'!AA82</f>
        <v>300</v>
      </c>
      <c r="AB17">
        <f>'Input Scenarios'!AB82</f>
        <v>55</v>
      </c>
      <c r="AC17" t="str">
        <f>IF('Input Scenarios'!AC82&lt;&gt;"", 'Input Scenarios'!AC82, _xlfn.XLOOKUP(Y17, Constants!$B$13:$H$13, Constants!$B$15:$H$15, ""))</f>
        <v/>
      </c>
      <c r="AD17">
        <f>IF('Input Scenarios'!AD82&lt;&gt;"", 'Input Scenarios'!AD82, Constants!$B$45)</f>
        <v>0.65</v>
      </c>
      <c r="AE17">
        <f>IF('Input Scenarios'!AE82&lt;&gt;"", 'Input Scenarios'!AE82, Constants!$B$46)</f>
        <v>0.23</v>
      </c>
      <c r="AF17">
        <f t="shared" si="1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11"/>
        <v>1</v>
      </c>
      <c r="AK17">
        <f t="shared" si="21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13"/>
        <v>0.51535000000000009</v>
      </c>
      <c r="AQ17">
        <f t="shared" si="14"/>
        <v>0</v>
      </c>
      <c r="AR17">
        <f>IF(Y17="milkingCows", Constants!$P$2, Constants!$P$3)</f>
        <v>1</v>
      </c>
      <c r="AS17" t="str">
        <f t="shared" si="15"/>
        <v/>
      </c>
      <c r="AT17" t="str">
        <f t="shared" si="16"/>
        <v/>
      </c>
      <c r="AU17" t="str">
        <f>_xlfn.XLOOKUP(Y17, Constants!$B$13:$H$13, Constants!$B$14:$H$14, "")</f>
        <v/>
      </c>
      <c r="AV17" t="str">
        <f t="shared" si="17"/>
        <v/>
      </c>
      <c r="AW17">
        <f>Constants!$B$55</f>
        <v>6.25</v>
      </c>
      <c r="AX17" t="str">
        <f t="shared" si="1"/>
        <v/>
      </c>
      <c r="AY17" t="str">
        <f t="shared" si="2"/>
        <v/>
      </c>
      <c r="AZ17" t="str">
        <f t="shared" si="18"/>
        <v/>
      </c>
      <c r="BA17">
        <f>IF(ISNUMBER(FIND("PreWeaned",Y17)),_xlfn.XLOOKUP(Y17,Constants!$J$2:$J$3,Constants!$M$2:$M$3),"")</f>
        <v>1.37E-2</v>
      </c>
      <c r="BB17">
        <f t="shared" si="3"/>
        <v>822.00000000000011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822.00000000000011</v>
      </c>
      <c r="BH17">
        <f>Constants!$C$19</f>
        <v>0</v>
      </c>
      <c r="BI17">
        <f>Constants!$C$20</f>
        <v>0</v>
      </c>
      <c r="BJ17">
        <f>Constants!$C$21</f>
        <v>0</v>
      </c>
      <c r="BK17">
        <f>Constants!$C$22</f>
        <v>5.0000000000000001E-3</v>
      </c>
      <c r="BL17">
        <f>Constants!$C$23</f>
        <v>0</v>
      </c>
      <c r="BM17">
        <f>Constants!$B$50</f>
        <v>1.57</v>
      </c>
      <c r="BN17">
        <f>_xlfn.XLOOKUP(D17,Constants!$A$34:$A$35,Constants!$B$34:$B$35)</f>
        <v>6.0000000000000001E-3</v>
      </c>
      <c r="BO17">
        <f t="shared" si="19"/>
        <v>0</v>
      </c>
      <c r="BP17">
        <f t="shared" si="9"/>
        <v>0</v>
      </c>
      <c r="BQ17">
        <f t="shared" si="9"/>
        <v>0</v>
      </c>
      <c r="BR17">
        <f t="shared" si="9"/>
        <v>0</v>
      </c>
      <c r="BS17">
        <f t="shared" si="9"/>
        <v>0</v>
      </c>
      <c r="BT17">
        <f t="shared" si="20"/>
        <v>7.743240000000001</v>
      </c>
    </row>
    <row r="18" spans="1:73" x14ac:dyDescent="0.2">
      <c r="A18" t="str">
        <f>'Input Scenarios'!A83</f>
        <v>QLD</v>
      </c>
      <c r="B18">
        <f>'Input Scenarios'!B83</f>
        <v>22</v>
      </c>
      <c r="C18" t="str">
        <f>'Input Scenarios'!C83</f>
        <v>Non-irrigated crop (high rainfall)</v>
      </c>
      <c r="D18" t="str">
        <f>'Input Scenarios'!D83</f>
        <v>wet</v>
      </c>
      <c r="E18" t="b">
        <f>'Input Scenarios'!E83</f>
        <v>1</v>
      </c>
      <c r="G18">
        <f>'Input Scenarios'!G83</f>
        <v>0.5</v>
      </c>
      <c r="H18">
        <f>'Input Scenarios'!H83</f>
        <v>0.1</v>
      </c>
      <c r="I18">
        <f>'Input Scenarios'!I83</f>
        <v>0.4</v>
      </c>
      <c r="J18">
        <f>'Input Scenarios'!J83</f>
        <v>0</v>
      </c>
      <c r="K18">
        <f>'Input Scenarios'!K83</f>
        <v>0</v>
      </c>
      <c r="L18">
        <f>'Input Scenarios'!L83</f>
        <v>1</v>
      </c>
      <c r="M18">
        <f>'Input Scenarios'!M83</f>
        <v>0</v>
      </c>
      <c r="N18">
        <f>'Input Scenarios'!N83</f>
        <v>1</v>
      </c>
      <c r="O18">
        <f>'Input Scenarios'!O83</f>
        <v>0</v>
      </c>
      <c r="P18">
        <f>'Input Scenarios'!P83</f>
        <v>0</v>
      </c>
      <c r="Q18">
        <f>'Input Scenarios'!Q83</f>
        <v>0</v>
      </c>
      <c r="R18" t="b">
        <f>'Input Scenarios'!R18</f>
        <v>1</v>
      </c>
      <c r="S18">
        <f>IF('Input Scenarios'!S83&lt;&gt;"", 'Input Scenarios'!S83, IF(R83, Constants!$B$38, 0))</f>
        <v>0.21</v>
      </c>
      <c r="T18" t="str">
        <f>IF('Input Scenarios'!T83&lt;&gt;"", 'Input Scenarios'!T83, "")</f>
        <v/>
      </c>
      <c r="U18">
        <f>IF('Input Scenarios'!U83&lt;&gt;"", 'Input Scenarios'!U83, IF(W18&lt;&gt;"", "", Constants!$B$39))</f>
        <v>4</v>
      </c>
      <c r="V18">
        <f>IF('Input Scenarios'!V83&lt;&gt;"", 'Input Scenarios'!V83, IF(W18&lt;&gt;"", "", Constants!$B$40))</f>
        <v>3.3</v>
      </c>
      <c r="W18" t="str">
        <f>IF('Input Scenarios'!W83&lt;&gt;"", 'Input Scenarios'!W83, "")</f>
        <v/>
      </c>
      <c r="X18" t="str">
        <f>'Input Scenarios'!X83</f>
        <v>Large Friesian</v>
      </c>
      <c r="Y18" t="str">
        <f>'Input Scenarios'!Y83</f>
        <v>heifersLt1Weaned</v>
      </c>
      <c r="Z18">
        <f>'Input Scenarios'!Z83</f>
        <v>200</v>
      </c>
      <c r="AA18">
        <f>'Input Scenarios'!AA83</f>
        <v>300</v>
      </c>
      <c r="AB18">
        <f>'Input Scenarios'!AB83</f>
        <v>180</v>
      </c>
      <c r="AC18">
        <f>IF('Input Scenarios'!AC83&lt;&gt;"", 'Input Scenarios'!AC83, _xlfn.XLOOKUP(Y18, Constants!$B$13:$H$13, Constants!$B$15:$H$15, ""))</f>
        <v>0.56999999999999995</v>
      </c>
      <c r="AD18">
        <f>IF('Input Scenarios'!AD83&lt;&gt;"", 'Input Scenarios'!AD83, Constants!$B$45)</f>
        <v>0.7</v>
      </c>
      <c r="AE18">
        <f>IF('Input Scenarios'!AE83&lt;&gt;"", 'Input Scenarios'!AE83, Constants!$B$46)</f>
        <v>0.23</v>
      </c>
      <c r="AF18">
        <f t="shared" si="1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11"/>
        <v>1</v>
      </c>
      <c r="AK18">
        <f t="shared" si="21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13"/>
        <v>0.55510000000000004</v>
      </c>
      <c r="AQ18">
        <f t="shared" si="14"/>
        <v>0</v>
      </c>
      <c r="AR18">
        <f>IF(Y18="milkingCows", Constants!$P$2, Constants!$P$3)</f>
        <v>1</v>
      </c>
      <c r="AS18">
        <f t="shared" si="15"/>
        <v>4.3995482001000008</v>
      </c>
      <c r="AT18">
        <f t="shared" si="16"/>
        <v>1.1959939673377937</v>
      </c>
      <c r="AU18">
        <f>_xlfn.XLOOKUP(Y18, Constants!$B$13:$H$13, Constants!$B$14:$H$14, "")</f>
        <v>590</v>
      </c>
      <c r="AV18">
        <f t="shared" si="17"/>
        <v>0.30508474576271188</v>
      </c>
      <c r="AW18">
        <f>Constants!$B$55</f>
        <v>6.25</v>
      </c>
      <c r="AX18">
        <f t="shared" si="1"/>
        <v>1.3887640589996498E-2</v>
      </c>
      <c r="AY18">
        <f t="shared" si="2"/>
        <v>1.0118960860230002</v>
      </c>
      <c r="AZ18">
        <f t="shared" si="18"/>
        <v>0.1471508308843773</v>
      </c>
      <c r="BA18" t="str">
        <f>IF(ISNUMBER(FIND("PreWeaned",Y18)),_xlfn.XLOOKUP(Y18,Constants!$J$2:$J$3,Constants!$M$2:$M$3),"")</f>
        <v/>
      </c>
      <c r="BB18">
        <f t="shared" si="3"/>
        <v>8829.0498530626373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8829.0498530626373</v>
      </c>
      <c r="BH18">
        <f>Constants!$C$19</f>
        <v>0</v>
      </c>
      <c r="BI18">
        <f>Constants!$C$20</f>
        <v>0</v>
      </c>
      <c r="BJ18">
        <f>Constants!$C$21</f>
        <v>0</v>
      </c>
      <c r="BK18">
        <f>Constants!$C$22</f>
        <v>5.0000000000000001E-3</v>
      </c>
      <c r="BL18">
        <f>Constants!$C$23</f>
        <v>0</v>
      </c>
      <c r="BM18">
        <f>Constants!$B$50</f>
        <v>1.57</v>
      </c>
      <c r="BN18">
        <f>_xlfn.XLOOKUP(D18,Constants!$A$34:$A$35,Constants!$B$34:$B$35)</f>
        <v>6.0000000000000001E-3</v>
      </c>
      <c r="BO18">
        <f t="shared" si="19"/>
        <v>0</v>
      </c>
      <c r="BP18">
        <f t="shared" si="9"/>
        <v>0</v>
      </c>
      <c r="BQ18">
        <f t="shared" si="9"/>
        <v>0</v>
      </c>
      <c r="BR18">
        <f t="shared" si="9"/>
        <v>0</v>
      </c>
      <c r="BS18">
        <f t="shared" si="9"/>
        <v>0</v>
      </c>
      <c r="BT18">
        <f t="shared" si="20"/>
        <v>83.169649615850048</v>
      </c>
    </row>
    <row r="19" spans="1:73" x14ac:dyDescent="0.2">
      <c r="A19" t="str">
        <f>'Input Scenarios'!A84</f>
        <v>QLD</v>
      </c>
      <c r="B19">
        <f>'Input Scenarios'!B84</f>
        <v>22</v>
      </c>
      <c r="C19" t="str">
        <f>'Input Scenarios'!C84</f>
        <v>Non-irrigated crop (high rainfall)</v>
      </c>
      <c r="D19" t="str">
        <f>'Input Scenarios'!D84</f>
        <v>wet</v>
      </c>
      <c r="E19" t="b">
        <f>'Input Scenarios'!E84</f>
        <v>1</v>
      </c>
      <c r="G19">
        <f>'Input Scenarios'!G84</f>
        <v>0.5</v>
      </c>
      <c r="H19">
        <f>'Input Scenarios'!H84</f>
        <v>0.1</v>
      </c>
      <c r="I19">
        <f>'Input Scenarios'!I84</f>
        <v>0.4</v>
      </c>
      <c r="J19">
        <f>'Input Scenarios'!J84</f>
        <v>0</v>
      </c>
      <c r="K19">
        <f>'Input Scenarios'!K84</f>
        <v>0</v>
      </c>
      <c r="L19">
        <f>'Input Scenarios'!L84</f>
        <v>1</v>
      </c>
      <c r="M19">
        <f>'Input Scenarios'!M84</f>
        <v>0</v>
      </c>
      <c r="N19">
        <f>'Input Scenarios'!N84</f>
        <v>1</v>
      </c>
      <c r="O19">
        <f>'Input Scenarios'!O84</f>
        <v>0</v>
      </c>
      <c r="P19">
        <f>'Input Scenarios'!P84</f>
        <v>0</v>
      </c>
      <c r="Q19">
        <f>'Input Scenarios'!Q84</f>
        <v>0</v>
      </c>
      <c r="R19" t="b">
        <f>'Input Scenarios'!R19</f>
        <v>1</v>
      </c>
      <c r="S19">
        <f>IF('Input Scenarios'!S84&lt;&gt;"", 'Input Scenarios'!S84, IF(R84, Constants!$B$38, 0))</f>
        <v>0.21</v>
      </c>
      <c r="T19" t="str">
        <f>IF('Input Scenarios'!T84&lt;&gt;"", 'Input Scenarios'!T84, "")</f>
        <v/>
      </c>
      <c r="U19">
        <f>IF('Input Scenarios'!U84&lt;&gt;"", 'Input Scenarios'!U84, IF(W19&lt;&gt;"", "", Constants!$B$39))</f>
        <v>4</v>
      </c>
      <c r="V19">
        <f>IF('Input Scenarios'!V84&lt;&gt;"", 'Input Scenarios'!V84, IF(W19&lt;&gt;"", "", Constants!$B$40))</f>
        <v>3.3</v>
      </c>
      <c r="W19" t="str">
        <f>IF('Input Scenarios'!W84&lt;&gt;"", 'Input Scenarios'!W84, "")</f>
        <v/>
      </c>
      <c r="X19" t="str">
        <f>'Input Scenarios'!X84</f>
        <v>Large Friesian</v>
      </c>
      <c r="Y19" t="str">
        <f>'Input Scenarios'!Y84</f>
        <v>bullsGt1</v>
      </c>
      <c r="Z19">
        <f>'Input Scenarios'!Z84</f>
        <v>200</v>
      </c>
      <c r="AA19">
        <f>'Input Scenarios'!AA84</f>
        <v>300</v>
      </c>
      <c r="AB19">
        <f>'Input Scenarios'!AB84</f>
        <v>650</v>
      </c>
      <c r="AC19">
        <f>IF('Input Scenarios'!AC84&lt;&gt;"", 'Input Scenarios'!AC84, _xlfn.XLOOKUP(Y19, Constants!$B$13:$H$13, Constants!$B$15:$H$15, ""))</f>
        <v>0.1</v>
      </c>
      <c r="AD19">
        <f>IF('Input Scenarios'!AD84&lt;&gt;"", 'Input Scenarios'!AD84, Constants!$B$45)</f>
        <v>0.7</v>
      </c>
      <c r="AE19">
        <f>IF('Input Scenarios'!AE84&lt;&gt;"", 'Input Scenarios'!AE84, Constants!$B$46)</f>
        <v>0.23</v>
      </c>
      <c r="AF19">
        <f t="shared" si="1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11"/>
        <v>1</v>
      </c>
      <c r="AK19">
        <f t="shared" si="21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13"/>
        <v>0.55510000000000004</v>
      </c>
      <c r="AQ19">
        <f t="shared" si="14"/>
        <v>0</v>
      </c>
      <c r="AR19">
        <f>IF(Y19="milkingCows", Constants!$P$2, Constants!$P$3)</f>
        <v>1</v>
      </c>
      <c r="AS19">
        <f t="shared" si="15"/>
        <v>9.4187609999999999</v>
      </c>
      <c r="AT19">
        <f t="shared" si="16"/>
        <v>1.0208482853223593</v>
      </c>
      <c r="AU19">
        <f>_xlfn.XLOOKUP(Y19, Constants!$B$13:$H$13, Constants!$B$14:$H$14, "")</f>
        <v>770</v>
      </c>
      <c r="AV19">
        <f t="shared" si="17"/>
        <v>0.8441558441558441</v>
      </c>
      <c r="AW19">
        <f>Constants!$B$55</f>
        <v>6.25</v>
      </c>
      <c r="AX19">
        <f t="shared" si="1"/>
        <v>1.2014488082429274E-3</v>
      </c>
      <c r="AY19">
        <f t="shared" si="2"/>
        <v>2.1663150300000003</v>
      </c>
      <c r="AZ19">
        <f t="shared" si="18"/>
        <v>0.34314328061237814</v>
      </c>
      <c r="BA19" t="str">
        <f>IF(ISNUMBER(FIND("PreWeaned",Y19)),_xlfn.XLOOKUP(Y19,Constants!$J$2:$J$3,Constants!$M$2:$M$3),"")</f>
        <v/>
      </c>
      <c r="BB19">
        <f t="shared" si="3"/>
        <v>20588.59683674269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20588.59683674269</v>
      </c>
      <c r="BH19">
        <f>Constants!$C$19</f>
        <v>0</v>
      </c>
      <c r="BI19">
        <f>Constants!$C$20</f>
        <v>0</v>
      </c>
      <c r="BJ19">
        <f>Constants!$C$21</f>
        <v>0</v>
      </c>
      <c r="BK19">
        <f>Constants!$C$22</f>
        <v>5.0000000000000001E-3</v>
      </c>
      <c r="BL19">
        <f>Constants!$C$23</f>
        <v>0</v>
      </c>
      <c r="BM19">
        <f>Constants!$B$50</f>
        <v>1.57</v>
      </c>
      <c r="BN19">
        <f>_xlfn.XLOOKUP(D19,Constants!$A$34:$A$35,Constants!$B$34:$B$35)</f>
        <v>6.0000000000000001E-3</v>
      </c>
      <c r="BO19">
        <f t="shared" si="19"/>
        <v>0</v>
      </c>
      <c r="BP19">
        <f t="shared" si="9"/>
        <v>0</v>
      </c>
      <c r="BQ19">
        <f t="shared" si="9"/>
        <v>0</v>
      </c>
      <c r="BR19">
        <f t="shared" si="9"/>
        <v>0</v>
      </c>
      <c r="BS19">
        <f t="shared" si="9"/>
        <v>0</v>
      </c>
      <c r="BT19">
        <f t="shared" si="20"/>
        <v>193.94458220211615</v>
      </c>
    </row>
    <row r="20" spans="1:73" x14ac:dyDescent="0.2">
      <c r="A20" t="str">
        <f>'Input Scenarios'!A85</f>
        <v>QLD</v>
      </c>
      <c r="B20">
        <f>'Input Scenarios'!B85</f>
        <v>22</v>
      </c>
      <c r="C20" t="str">
        <f>'Input Scenarios'!C85</f>
        <v>Non-irrigated crop (high rainfall)</v>
      </c>
      <c r="D20" t="str">
        <f>'Input Scenarios'!D85</f>
        <v>wet</v>
      </c>
      <c r="E20" t="b">
        <f>'Input Scenarios'!E85</f>
        <v>1</v>
      </c>
      <c r="G20">
        <f>'Input Scenarios'!G85</f>
        <v>0.5</v>
      </c>
      <c r="H20">
        <f>'Input Scenarios'!H85</f>
        <v>0.1</v>
      </c>
      <c r="I20">
        <f>'Input Scenarios'!I85</f>
        <v>0.4</v>
      </c>
      <c r="J20">
        <f>'Input Scenarios'!J85</f>
        <v>0</v>
      </c>
      <c r="K20">
        <f>'Input Scenarios'!K85</f>
        <v>0</v>
      </c>
      <c r="L20">
        <f>'Input Scenarios'!L85</f>
        <v>1</v>
      </c>
      <c r="M20">
        <f>'Input Scenarios'!M85</f>
        <v>0</v>
      </c>
      <c r="N20">
        <f>'Input Scenarios'!N85</f>
        <v>1</v>
      </c>
      <c r="O20">
        <f>'Input Scenarios'!O85</f>
        <v>0</v>
      </c>
      <c r="P20">
        <f>'Input Scenarios'!P85</f>
        <v>0</v>
      </c>
      <c r="Q20">
        <f>'Input Scenarios'!Q85</f>
        <v>0</v>
      </c>
      <c r="R20" t="b">
        <f>'Input Scenarios'!R20</f>
        <v>1</v>
      </c>
      <c r="S20">
        <f>IF('Input Scenarios'!S85&lt;&gt;"", 'Input Scenarios'!S85, IF(R85, Constants!$B$38, 0))</f>
        <v>0.21</v>
      </c>
      <c r="T20" t="str">
        <f>IF('Input Scenarios'!T85&lt;&gt;"", 'Input Scenarios'!T85, "")</f>
        <v/>
      </c>
      <c r="U20">
        <f>IF('Input Scenarios'!U85&lt;&gt;"", 'Input Scenarios'!U85, IF(W20&lt;&gt;"", "", Constants!$B$39))</f>
        <v>4</v>
      </c>
      <c r="V20">
        <f>IF('Input Scenarios'!V85&lt;&gt;"", 'Input Scenarios'!V85, IF(W20&lt;&gt;"", "", Constants!$B$40))</f>
        <v>3.3</v>
      </c>
      <c r="W20" t="str">
        <f>IF('Input Scenarios'!W85&lt;&gt;"", 'Input Scenarios'!W85, "")</f>
        <v/>
      </c>
      <c r="X20" t="str">
        <f>'Input Scenarios'!X85</f>
        <v>Large Friesian</v>
      </c>
      <c r="Y20" t="str">
        <f>'Input Scenarios'!Y85</f>
        <v>bullsLt1PreWeaned</v>
      </c>
      <c r="Z20">
        <f>'Input Scenarios'!Z85</f>
        <v>200</v>
      </c>
      <c r="AA20">
        <f>'Input Scenarios'!AA85</f>
        <v>300</v>
      </c>
      <c r="AB20">
        <f>'Input Scenarios'!AB85</f>
        <v>222</v>
      </c>
      <c r="AC20" t="str">
        <f>IF('Input Scenarios'!AC85&lt;&gt;"", 'Input Scenarios'!AC85, _xlfn.XLOOKUP(Y20, Constants!$B$13:$H$13, Constants!$B$15:$H$15, ""))</f>
        <v/>
      </c>
      <c r="AD20">
        <f>IF('Input Scenarios'!AD85&lt;&gt;"", 'Input Scenarios'!AD85, Constants!$B$45)</f>
        <v>0.65</v>
      </c>
      <c r="AE20">
        <f>IF('Input Scenarios'!AE85&lt;&gt;"", 'Input Scenarios'!AE85, Constants!$B$46)</f>
        <v>0.23</v>
      </c>
      <c r="AF20">
        <f t="shared" si="1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11"/>
        <v>1</v>
      </c>
      <c r="AK20">
        <f t="shared" si="21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13"/>
        <v>0.51535000000000009</v>
      </c>
      <c r="AQ20">
        <f t="shared" si="14"/>
        <v>0</v>
      </c>
      <c r="AR20">
        <f>IF(Y20="milkingCows", Constants!$P$2, Constants!$P$3)</f>
        <v>1</v>
      </c>
      <c r="AS20" t="str">
        <f t="shared" si="15"/>
        <v/>
      </c>
      <c r="AT20" t="str">
        <f t="shared" si="16"/>
        <v/>
      </c>
      <c r="AU20" t="str">
        <f>_xlfn.XLOOKUP(Y20, Constants!$B$13:$H$13, Constants!$B$14:$H$14, "")</f>
        <v/>
      </c>
      <c r="AV20" t="str">
        <f t="shared" si="17"/>
        <v/>
      </c>
      <c r="AW20">
        <f>Constants!$B$55</f>
        <v>6.25</v>
      </c>
      <c r="AX20" t="str">
        <f t="shared" si="1"/>
        <v/>
      </c>
      <c r="AY20" t="str">
        <f t="shared" si="2"/>
        <v/>
      </c>
      <c r="AZ20" t="str">
        <f t="shared" si="18"/>
        <v/>
      </c>
      <c r="BA20">
        <f>IF(ISNUMBER(FIND("PreWeaned",Y20)),_xlfn.XLOOKUP(Y20,Constants!$J$2:$J$3,Constants!$M$2:$M$3),"")</f>
        <v>9.1999999999999998E-3</v>
      </c>
      <c r="BB20">
        <f t="shared" si="3"/>
        <v>552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552</v>
      </c>
      <c r="BH20">
        <f>Constants!$C$19</f>
        <v>0</v>
      </c>
      <c r="BI20">
        <f>Constants!$C$20</f>
        <v>0</v>
      </c>
      <c r="BJ20">
        <f>Constants!$C$21</f>
        <v>0</v>
      </c>
      <c r="BK20">
        <f>Constants!$C$22</f>
        <v>5.0000000000000001E-3</v>
      </c>
      <c r="BL20">
        <f>Constants!$C$23</f>
        <v>0</v>
      </c>
      <c r="BM20">
        <f>Constants!$B$50</f>
        <v>1.57</v>
      </c>
      <c r="BN20">
        <f>_xlfn.XLOOKUP(D20,Constants!$A$34:$A$35,Constants!$B$34:$B$35)</f>
        <v>6.0000000000000001E-3</v>
      </c>
      <c r="BO20">
        <f t="shared" si="19"/>
        <v>0</v>
      </c>
      <c r="BP20">
        <f t="shared" si="9"/>
        <v>0</v>
      </c>
      <c r="BQ20">
        <f t="shared" si="9"/>
        <v>0</v>
      </c>
      <c r="BR20">
        <f t="shared" si="9"/>
        <v>0</v>
      </c>
      <c r="BS20">
        <f t="shared" si="9"/>
        <v>0</v>
      </c>
      <c r="BT20">
        <f t="shared" si="20"/>
        <v>5.1998400000000009</v>
      </c>
    </row>
    <row r="21" spans="1:73" s="16" customFormat="1" x14ac:dyDescent="0.2">
      <c r="A21" s="16" t="str">
        <f>'Input Scenarios'!A86</f>
        <v>QLD</v>
      </c>
      <c r="B21" s="16">
        <f>'Input Scenarios'!B86</f>
        <v>22</v>
      </c>
      <c r="C21" s="16" t="str">
        <f>'Input Scenarios'!C86</f>
        <v>Non-irrigated crop (high rainfall)</v>
      </c>
      <c r="D21" s="16" t="str">
        <f>'Input Scenarios'!D86</f>
        <v>wet</v>
      </c>
      <c r="E21" s="16" t="b">
        <f>'Input Scenarios'!E86</f>
        <v>1</v>
      </c>
      <c r="G21" s="16">
        <f>'Input Scenarios'!G86</f>
        <v>0.5</v>
      </c>
      <c r="H21" s="16">
        <f>'Input Scenarios'!H86</f>
        <v>0.1</v>
      </c>
      <c r="I21" s="16">
        <f>'Input Scenarios'!I86</f>
        <v>0.4</v>
      </c>
      <c r="J21" s="16">
        <f>'Input Scenarios'!J86</f>
        <v>0</v>
      </c>
      <c r="K21" s="16">
        <f>'Input Scenarios'!K86</f>
        <v>0</v>
      </c>
      <c r="L21" s="16">
        <f>'Input Scenarios'!L86</f>
        <v>1</v>
      </c>
      <c r="M21" s="16">
        <f>'Input Scenarios'!M86</f>
        <v>0</v>
      </c>
      <c r="N21" s="16">
        <f>'Input Scenarios'!N86</f>
        <v>1</v>
      </c>
      <c r="O21" s="16">
        <f>'Input Scenarios'!O86</f>
        <v>0</v>
      </c>
      <c r="P21" s="16">
        <f>'Input Scenarios'!P86</f>
        <v>0</v>
      </c>
      <c r="Q21" s="16">
        <f>'Input Scenarios'!Q86</f>
        <v>0</v>
      </c>
      <c r="R21" s="16" t="b">
        <f>'Input Scenarios'!R21</f>
        <v>1</v>
      </c>
      <c r="S21" s="16">
        <f>IF('Input Scenarios'!S86&lt;&gt;"", 'Input Scenarios'!S86, IF(R86, Constants!$B$38, 0))</f>
        <v>0.21</v>
      </c>
      <c r="T21" s="16" t="str">
        <f>IF('Input Scenarios'!T86&lt;&gt;"", 'Input Scenarios'!T86, "")</f>
        <v/>
      </c>
      <c r="U21" s="16">
        <f>IF('Input Scenarios'!U86&lt;&gt;"", 'Input Scenarios'!U86, IF(W21&lt;&gt;"", "", Constants!$B$39))</f>
        <v>4</v>
      </c>
      <c r="V21" s="16">
        <f>IF('Input Scenarios'!V86&lt;&gt;"", 'Input Scenarios'!V86, IF(W21&lt;&gt;"", "", Constants!$B$40))</f>
        <v>3.3</v>
      </c>
      <c r="W21" s="16" t="str">
        <f>IF('Input Scenarios'!W86&lt;&gt;"", 'Input Scenarios'!W86, "")</f>
        <v/>
      </c>
      <c r="X21" s="16" t="str">
        <f>'Input Scenarios'!X86</f>
        <v>Large Friesian</v>
      </c>
      <c r="Y21" s="16" t="str">
        <f>'Input Scenarios'!Y86</f>
        <v>bullsLt1Weaned</v>
      </c>
      <c r="Z21" s="16">
        <f>'Input Scenarios'!Z86</f>
        <v>200</v>
      </c>
      <c r="AA21" s="16">
        <f>'Input Scenarios'!AA86</f>
        <v>300</v>
      </c>
      <c r="AB21" s="16">
        <f>'Input Scenarios'!AB86</f>
        <v>201</v>
      </c>
      <c r="AC21" s="16">
        <f>IF('Input Scenarios'!AC86&lt;&gt;"", 'Input Scenarios'!AC86, _xlfn.XLOOKUP(Y21, Constants!$B$13:$H$13, Constants!$B$15:$H$15, ""))</f>
        <v>0.8</v>
      </c>
      <c r="AD21" s="16">
        <f>IF('Input Scenarios'!AD86&lt;&gt;"", 'Input Scenarios'!AD86, Constants!$B$45)</f>
        <v>0.7</v>
      </c>
      <c r="AE21" s="16">
        <f>IF('Input Scenarios'!AE86&lt;&gt;"", 'Input Scenarios'!AE86, Constants!$B$46)</f>
        <v>0.23</v>
      </c>
      <c r="AF21" s="16">
        <f t="shared" si="10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11"/>
        <v>1</v>
      </c>
      <c r="AK21" s="16">
        <f t="shared" si="21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13"/>
        <v>0.55510000000000004</v>
      </c>
      <c r="AQ21" s="16">
        <f t="shared" si="14"/>
        <v>0</v>
      </c>
      <c r="AR21" s="16">
        <f>IF(Y21="milkingCows", Constants!$P$2, Constants!$P$3)</f>
        <v>1</v>
      </c>
      <c r="AS21" s="16">
        <f t="shared" si="15"/>
        <v>5.0377685786067605</v>
      </c>
      <c r="AT21" s="16">
        <f t="shared" si="16"/>
        <v>1.2689446720393267</v>
      </c>
      <c r="AU21" s="16">
        <f>_xlfn.XLOOKUP(Y21, Constants!$B$13:$H$13, Constants!$B$14:$H$14, "")</f>
        <v>770</v>
      </c>
      <c r="AV21" s="16">
        <f t="shared" si="17"/>
        <v>0.26103896103896101</v>
      </c>
      <c r="AW21" s="16">
        <f>Constants!$B$55</f>
        <v>6.25</v>
      </c>
      <c r="AX21" s="16">
        <f t="shared" si="1"/>
        <v>2.0452361614775885E-2</v>
      </c>
      <c r="AY21" s="16">
        <f t="shared" si="2"/>
        <v>1.1586867730795549</v>
      </c>
      <c r="AZ21" s="16">
        <f t="shared" si="18"/>
        <v>0.16399799411403809</v>
      </c>
      <c r="BA21" s="16" t="str">
        <f>IF(ISNUMBER(FIND("PreWeaned",Y21)),_xlfn.XLOOKUP(Y21,Constants!$J$2:$J$3,Constants!$M$2:$M$3),"")</f>
        <v/>
      </c>
      <c r="BB21" s="16">
        <f t="shared" si="3"/>
        <v>9839.8796468422843</v>
      </c>
      <c r="BC21" s="16">
        <f t="shared" si="4"/>
        <v>0</v>
      </c>
      <c r="BD21" s="16">
        <f t="shared" si="5"/>
        <v>0</v>
      </c>
      <c r="BE21" s="16">
        <f t="shared" si="6"/>
        <v>0</v>
      </c>
      <c r="BF21" s="16">
        <f t="shared" si="7"/>
        <v>0</v>
      </c>
      <c r="BG21" s="16">
        <f t="shared" si="8"/>
        <v>9839.8796468422843</v>
      </c>
      <c r="BH21" s="16">
        <f>Constants!$C$19</f>
        <v>0</v>
      </c>
      <c r="BI21" s="16">
        <f>Constants!$C$20</f>
        <v>0</v>
      </c>
      <c r="BJ21" s="16">
        <f>Constants!$C$21</f>
        <v>0</v>
      </c>
      <c r="BK21" s="16">
        <f>Constants!$C$22</f>
        <v>5.0000000000000001E-3</v>
      </c>
      <c r="BL21" s="16">
        <f>Constants!$C$23</f>
        <v>0</v>
      </c>
      <c r="BM21" s="16">
        <f>Constants!$B$50</f>
        <v>1.57</v>
      </c>
      <c r="BN21" s="16">
        <f>_xlfn.XLOOKUP(D21,Constants!$A$34:$A$35,Constants!$B$34:$B$35)</f>
        <v>6.0000000000000001E-3</v>
      </c>
      <c r="BO21" s="16">
        <f t="shared" si="19"/>
        <v>0</v>
      </c>
      <c r="BP21" s="16">
        <f t="shared" si="9"/>
        <v>0</v>
      </c>
      <c r="BQ21" s="16">
        <f t="shared" si="9"/>
        <v>0</v>
      </c>
      <c r="BR21" s="16">
        <f t="shared" si="9"/>
        <v>0</v>
      </c>
      <c r="BS21" s="16">
        <f t="shared" si="9"/>
        <v>0</v>
      </c>
      <c r="BT21" s="16">
        <f t="shared" si="20"/>
        <v>92.691666273254327</v>
      </c>
    </row>
    <row r="22" spans="1:73" x14ac:dyDescent="0.2">
      <c r="A22" t="str">
        <f>'Input Scenarios'!A87</f>
        <v>NT</v>
      </c>
      <c r="B22">
        <f>'Input Scenarios'!B87</f>
        <v>27</v>
      </c>
      <c r="C22" t="str">
        <f>'Input Scenarios'!C87</f>
        <v>Irrigated pasture</v>
      </c>
      <c r="D22" t="str">
        <f>'Input Scenarios'!D87</f>
        <v>dry</v>
      </c>
      <c r="E22" t="b">
        <f>'Input Scenarios'!E87</f>
        <v>0</v>
      </c>
      <c r="G22">
        <f>'Input Scenarios'!G87</f>
        <v>0.73</v>
      </c>
      <c r="H22">
        <f>'Input Scenarios'!H87</f>
        <v>0.08</v>
      </c>
      <c r="I22">
        <f>'Input Scenarios'!I87</f>
        <v>0.19</v>
      </c>
      <c r="J22">
        <f>'Input Scenarios'!J87</f>
        <v>0</v>
      </c>
      <c r="K22">
        <f>'Input Scenarios'!K87</f>
        <v>0.5</v>
      </c>
      <c r="L22">
        <f>'Input Scenarios'!L87</f>
        <v>0.5</v>
      </c>
      <c r="M22">
        <f>'Input Scenarios'!M87</f>
        <v>0</v>
      </c>
      <c r="N22">
        <f>'Input Scenarios'!N87</f>
        <v>0.5</v>
      </c>
      <c r="O22">
        <f>'Input Scenarios'!O87</f>
        <v>0</v>
      </c>
      <c r="P22">
        <f>'Input Scenarios'!P87</f>
        <v>0</v>
      </c>
      <c r="Q22">
        <f>'Input Scenarios'!Q87</f>
        <v>0.5</v>
      </c>
      <c r="R22" t="b">
        <f>'Input Scenarios'!R22</f>
        <v>0</v>
      </c>
      <c r="S22">
        <f>IF('Input Scenarios'!S87&lt;&gt;"", 'Input Scenarios'!S87, IF(R87, Constants!$B$38, 0))</f>
        <v>0</v>
      </c>
      <c r="T22" s="20">
        <f>IF('Input Scenarios'!T87&lt;&gt;"", 'Input Scenarios'!T87, "")</f>
        <v>2.8</v>
      </c>
      <c r="U22" s="20">
        <f>IF('Input Scenarios'!U87&lt;&gt;"", 'Input Scenarios'!U87, IF(W22&lt;&gt;"", "", Constants!$B$39))</f>
        <v>4</v>
      </c>
      <c r="V22" s="20">
        <f>IF('Input Scenarios'!V87&lt;&gt;"", 'Input Scenarios'!V87, IF(W22&lt;&gt;"", "", Constants!$B$40))</f>
        <v>4</v>
      </c>
      <c r="W22" s="20" t="str">
        <f>IF('Input Scenarios'!W87&lt;&gt;"", 'Input Scenarios'!W87, "")</f>
        <v/>
      </c>
      <c r="X22" s="20" t="str">
        <f>'Input Scenarios'!X87</f>
        <v>Brown Swiss</v>
      </c>
      <c r="Y22" s="20" t="str">
        <f>'Input Scenarios'!Y87</f>
        <v>milkingCows</v>
      </c>
      <c r="Z22" s="20">
        <f>'Input Scenarios'!Z87</f>
        <v>200</v>
      </c>
      <c r="AA22" s="20">
        <f>'Input Scenarios'!AA87</f>
        <v>365</v>
      </c>
      <c r="AB22" s="20">
        <f>'Input Scenarios'!AB87</f>
        <v>623</v>
      </c>
      <c r="AC22">
        <f>IF('Input Scenarios'!AC87&lt;&gt;"", 'Input Scenarios'!AC87, _xlfn.XLOOKUP(Y22, Constants!$B$13:$H$13, Constants!$B$15:$H$15, ""))</f>
        <v>1.6E-2</v>
      </c>
      <c r="AD22">
        <f>IF('Input Scenarios'!AD87&lt;&gt;"", 'Input Scenarios'!AD87, Constants!$B$45)</f>
        <v>0.75</v>
      </c>
      <c r="AE22">
        <f>IF('Input Scenarios'!AE87&lt;&gt;"", 'Input Scenarios'!AE87, Constants!$B$46)</f>
        <v>0.2</v>
      </c>
      <c r="AF22" s="20">
        <f t="shared" si="10"/>
        <v>9.5000000000000001E-2</v>
      </c>
      <c r="AG22" s="20">
        <f t="shared" si="0"/>
        <v>0.04</v>
      </c>
      <c r="AH22" s="20">
        <f t="shared" si="0"/>
        <v>0.04</v>
      </c>
      <c r="AI22" s="20">
        <f t="shared" si="0"/>
        <v>9.5000000000000001E-2</v>
      </c>
      <c r="AJ22" s="20">
        <f t="shared" si="11"/>
        <v>0.73</v>
      </c>
      <c r="AK22">
        <f t="shared" si="21"/>
        <v>35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13"/>
        <v>0.5948500000000001</v>
      </c>
      <c r="AQ22">
        <f t="shared" si="14"/>
        <v>16.764776286312589</v>
      </c>
      <c r="AR22">
        <f>IF(Y22="milkingCows", Constants!$P$2, Constants!$P$3)</f>
        <v>1.1000000000000001</v>
      </c>
      <c r="AS22">
        <f t="shared" si="15"/>
        <v>26.726414289294269</v>
      </c>
      <c r="AT22">
        <f t="shared" si="16"/>
        <v>1.0012489924673265</v>
      </c>
      <c r="AU22">
        <f>_xlfn.XLOOKUP(Y22, Constants!$B$13:$H$13, Constants!$B$14:$H$14, "")</f>
        <v>590</v>
      </c>
      <c r="AV22">
        <f t="shared" si="17"/>
        <v>1.0559322033898304</v>
      </c>
      <c r="AW22">
        <f>Constants!$B$55</f>
        <v>6.25</v>
      </c>
      <c r="AX22" s="20">
        <f t="shared" si="1"/>
        <v>0.18099129950795759</v>
      </c>
      <c r="AY22">
        <f t="shared" si="2"/>
        <v>5.3452828578588543</v>
      </c>
      <c r="AZ22">
        <f t="shared" si="18"/>
        <v>0.67205923986428029</v>
      </c>
      <c r="BA22" t="str">
        <f>IF(ISNUMBER(FIND("PreWeaned",Y22)),_xlfn.XLOOKUP(Y22,Constants!$J$2:$J$3,Constants!$M$2:$M$3),"")</f>
        <v/>
      </c>
      <c r="BB22">
        <f t="shared" si="3"/>
        <v>49060.324510092461</v>
      </c>
      <c r="BC22">
        <f t="shared" si="4"/>
        <v>4660.7308284587834</v>
      </c>
      <c r="BD22">
        <f t="shared" si="5"/>
        <v>1962.4129804036984</v>
      </c>
      <c r="BE22">
        <f t="shared" si="6"/>
        <v>1962.4129804036984</v>
      </c>
      <c r="BF22">
        <f t="shared" si="7"/>
        <v>4660.7308284587834</v>
      </c>
      <c r="BG22">
        <f t="shared" si="8"/>
        <v>35814.036892367498</v>
      </c>
      <c r="BH22">
        <f>Constants!$C$19</f>
        <v>0</v>
      </c>
      <c r="BI22">
        <f>Constants!$C$20</f>
        <v>0</v>
      </c>
      <c r="BJ22">
        <f>Constants!$C$21</f>
        <v>0</v>
      </c>
      <c r="BK22">
        <f>Constants!$C$22</f>
        <v>5.0000000000000001E-3</v>
      </c>
      <c r="BL22">
        <f>Constants!$C$23</f>
        <v>0</v>
      </c>
      <c r="BM22">
        <f>Constants!$B$50</f>
        <v>1.57</v>
      </c>
      <c r="BN22">
        <f>_xlfn.XLOOKUP(D22,Constants!$A$34:$A$35,Constants!$B$34:$B$35)</f>
        <v>2E-3</v>
      </c>
      <c r="BO22">
        <f t="shared" si="19"/>
        <v>0</v>
      </c>
      <c r="BP22">
        <f t="shared" si="9"/>
        <v>0</v>
      </c>
      <c r="BQ22">
        <f t="shared" si="9"/>
        <v>0</v>
      </c>
      <c r="BR22">
        <f t="shared" si="9"/>
        <v>36.586737003401453</v>
      </c>
      <c r="BS22">
        <f t="shared" si="9"/>
        <v>0</v>
      </c>
      <c r="BT22">
        <f t="shared" si="20"/>
        <v>112.45607584203394</v>
      </c>
      <c r="BU22">
        <f>SUM(BO22:BT28)/1000</f>
        <v>0.30944465575036995</v>
      </c>
    </row>
    <row r="23" spans="1:73" x14ac:dyDescent="0.2">
      <c r="A23" t="str">
        <f>'Input Scenarios'!A88</f>
        <v>NT</v>
      </c>
      <c r="B23">
        <f>'Input Scenarios'!B88</f>
        <v>27</v>
      </c>
      <c r="C23" t="str">
        <f>'Input Scenarios'!C88</f>
        <v>Irrigated pasture</v>
      </c>
      <c r="D23" t="str">
        <f>'Input Scenarios'!D88</f>
        <v>dry</v>
      </c>
      <c r="E23" t="b">
        <f>'Input Scenarios'!E88</f>
        <v>0</v>
      </c>
      <c r="G23">
        <f>'Input Scenarios'!G88</f>
        <v>0.73</v>
      </c>
      <c r="H23">
        <f>'Input Scenarios'!H88</f>
        <v>0.08</v>
      </c>
      <c r="I23">
        <f>'Input Scenarios'!I88</f>
        <v>0.19</v>
      </c>
      <c r="J23">
        <f>'Input Scenarios'!J88</f>
        <v>0</v>
      </c>
      <c r="K23">
        <f>'Input Scenarios'!K88</f>
        <v>0.5</v>
      </c>
      <c r="L23">
        <f>'Input Scenarios'!L88</f>
        <v>0.5</v>
      </c>
      <c r="M23">
        <f>'Input Scenarios'!M88</f>
        <v>0</v>
      </c>
      <c r="N23">
        <f>'Input Scenarios'!N88</f>
        <v>0.5</v>
      </c>
      <c r="O23">
        <f>'Input Scenarios'!O88</f>
        <v>0</v>
      </c>
      <c r="P23">
        <f>'Input Scenarios'!P88</f>
        <v>0</v>
      </c>
      <c r="Q23">
        <f>'Input Scenarios'!Q88</f>
        <v>0.5</v>
      </c>
      <c r="R23" t="b">
        <f>'Input Scenarios'!R23</f>
        <v>0</v>
      </c>
      <c r="S23">
        <f>IF('Input Scenarios'!S88&lt;&gt;"", 'Input Scenarios'!S88, IF(R88, Constants!$B$38, 0))</f>
        <v>0</v>
      </c>
      <c r="T23" t="str">
        <f>IF('Input Scenarios'!T88&lt;&gt;"", 'Input Scenarios'!T88, "")</f>
        <v/>
      </c>
      <c r="U23">
        <f>IF('Input Scenarios'!U88&lt;&gt;"", 'Input Scenarios'!U88, IF(W23&lt;&gt;"", "", Constants!$B$39))</f>
        <v>4</v>
      </c>
      <c r="V23">
        <f>IF('Input Scenarios'!V88&lt;&gt;"", 'Input Scenarios'!V88, IF(W23&lt;&gt;"", "", Constants!$B$40))</f>
        <v>3.3</v>
      </c>
      <c r="W23" t="str">
        <f>IF('Input Scenarios'!W88&lt;&gt;"", 'Input Scenarios'!W88, "")</f>
        <v/>
      </c>
      <c r="X23" t="str">
        <f>'Input Scenarios'!X88</f>
        <v>Brown Swiss</v>
      </c>
      <c r="Y23" t="str">
        <f>'Input Scenarios'!Y88</f>
        <v>heifersGt1</v>
      </c>
      <c r="Z23">
        <f>'Input Scenarios'!Z88</f>
        <v>200</v>
      </c>
      <c r="AA23">
        <f>'Input Scenarios'!AA88</f>
        <v>265</v>
      </c>
      <c r="AB23">
        <f>'Input Scenarios'!AB88</f>
        <v>450</v>
      </c>
      <c r="AC23">
        <f>IF('Input Scenarios'!AC88&lt;&gt;"", 'Input Scenarios'!AC88, _xlfn.XLOOKUP(Y23, Constants!$B$13:$H$13, Constants!$B$15:$H$15, ""))</f>
        <v>0.6</v>
      </c>
      <c r="AD23">
        <f>IF('Input Scenarios'!AD88&lt;&gt;"", 'Input Scenarios'!AD88, Constants!$B$45)</f>
        <v>0.75</v>
      </c>
      <c r="AE23">
        <f>IF('Input Scenarios'!AE88&lt;&gt;"", 'Input Scenarios'!AE88, Constants!$B$46)</f>
        <v>0.2</v>
      </c>
      <c r="AF23">
        <f t="shared" si="1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11"/>
        <v>1</v>
      </c>
      <c r="AK23">
        <f t="shared" si="21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13"/>
        <v>0.5948500000000001</v>
      </c>
      <c r="AQ23">
        <f t="shared" si="14"/>
        <v>0</v>
      </c>
      <c r="AR23">
        <f>IF(Y23="milkingCows", Constants!$P$2, Constants!$P$3)</f>
        <v>1</v>
      </c>
      <c r="AS23">
        <f t="shared" si="15"/>
        <v>8.3549902499999984</v>
      </c>
      <c r="AT23">
        <f t="shared" si="16"/>
        <v>1.1448168254973408</v>
      </c>
      <c r="AU23">
        <f>_xlfn.XLOOKUP(Y23, Constants!$B$13:$H$13, Constants!$B$14:$H$14, "")</f>
        <v>590</v>
      </c>
      <c r="AV23">
        <f t="shared" si="17"/>
        <v>0.76271186440677963</v>
      </c>
      <c r="AW23">
        <f>Constants!$B$55</f>
        <v>6.25</v>
      </c>
      <c r="AX23">
        <f t="shared" si="1"/>
        <v>7.680606707944594E-3</v>
      </c>
      <c r="AY23">
        <f t="shared" si="2"/>
        <v>1.6709980499999997</v>
      </c>
      <c r="AZ23">
        <f t="shared" si="18"/>
        <v>0.25795950260723322</v>
      </c>
      <c r="BA23" t="str">
        <f>IF(ISNUMBER(FIND("PreWeaned",Y23)),_xlfn.XLOOKUP(Y23,Constants!$J$2:$J$3,Constants!$M$2:$M$3),"")</f>
        <v/>
      </c>
      <c r="BB23">
        <f t="shared" si="3"/>
        <v>13671.853638183362</v>
      </c>
      <c r="BC23">
        <f t="shared" si="4"/>
        <v>0</v>
      </c>
      <c r="BD23">
        <f t="shared" si="5"/>
        <v>0</v>
      </c>
      <c r="BE23">
        <f t="shared" si="6"/>
        <v>0</v>
      </c>
      <c r="BF23">
        <f t="shared" si="7"/>
        <v>0</v>
      </c>
      <c r="BG23">
        <f t="shared" si="8"/>
        <v>13671.853638183362</v>
      </c>
      <c r="BH23">
        <f>Constants!$C$19</f>
        <v>0</v>
      </c>
      <c r="BI23">
        <f>Constants!$C$20</f>
        <v>0</v>
      </c>
      <c r="BJ23">
        <f>Constants!$C$21</f>
        <v>0</v>
      </c>
      <c r="BK23">
        <f>Constants!$C$22</f>
        <v>5.0000000000000001E-3</v>
      </c>
      <c r="BL23">
        <f>Constants!$C$23</f>
        <v>0</v>
      </c>
      <c r="BM23">
        <f>Constants!$B$50</f>
        <v>1.57</v>
      </c>
      <c r="BN23">
        <f>_xlfn.XLOOKUP(D23,Constants!$A$34:$A$35,Constants!$B$34:$B$35)</f>
        <v>2E-3</v>
      </c>
      <c r="BO23">
        <f t="shared" si="19"/>
        <v>0</v>
      </c>
      <c r="BP23">
        <f t="shared" si="9"/>
        <v>0</v>
      </c>
      <c r="BQ23">
        <f t="shared" si="9"/>
        <v>0</v>
      </c>
      <c r="BR23">
        <f t="shared" si="9"/>
        <v>0</v>
      </c>
      <c r="BS23">
        <f t="shared" si="9"/>
        <v>0</v>
      </c>
      <c r="BT23">
        <f t="shared" si="20"/>
        <v>42.929620423895763</v>
      </c>
    </row>
    <row r="24" spans="1:73" x14ac:dyDescent="0.2">
      <c r="A24" t="str">
        <f>'Input Scenarios'!A89</f>
        <v>NT</v>
      </c>
      <c r="B24">
        <f>'Input Scenarios'!B89</f>
        <v>27</v>
      </c>
      <c r="C24" t="str">
        <f>'Input Scenarios'!C89</f>
        <v>Irrigated pasture</v>
      </c>
      <c r="D24" t="str">
        <f>'Input Scenarios'!D89</f>
        <v>dry</v>
      </c>
      <c r="E24" t="b">
        <f>'Input Scenarios'!E89</f>
        <v>0</v>
      </c>
      <c r="G24">
        <f>'Input Scenarios'!G89</f>
        <v>0.73</v>
      </c>
      <c r="H24">
        <f>'Input Scenarios'!H89</f>
        <v>0.08</v>
      </c>
      <c r="I24">
        <f>'Input Scenarios'!I89</f>
        <v>0.19</v>
      </c>
      <c r="J24">
        <f>'Input Scenarios'!J89</f>
        <v>0</v>
      </c>
      <c r="K24">
        <f>'Input Scenarios'!K89</f>
        <v>0.5</v>
      </c>
      <c r="L24">
        <f>'Input Scenarios'!L89</f>
        <v>0.5</v>
      </c>
      <c r="M24">
        <f>'Input Scenarios'!M89</f>
        <v>0</v>
      </c>
      <c r="N24">
        <f>'Input Scenarios'!N89</f>
        <v>0.5</v>
      </c>
      <c r="O24">
        <f>'Input Scenarios'!O89</f>
        <v>0</v>
      </c>
      <c r="P24">
        <f>'Input Scenarios'!P89</f>
        <v>0</v>
      </c>
      <c r="Q24">
        <f>'Input Scenarios'!Q89</f>
        <v>0.5</v>
      </c>
      <c r="R24" t="b">
        <f>'Input Scenarios'!R24</f>
        <v>0</v>
      </c>
      <c r="S24">
        <f>IF('Input Scenarios'!S89&lt;&gt;"", 'Input Scenarios'!S89, IF(R89, Constants!$B$38, 0))</f>
        <v>0</v>
      </c>
      <c r="T24" t="str">
        <f>IF('Input Scenarios'!T89&lt;&gt;"", 'Input Scenarios'!T89, "")</f>
        <v/>
      </c>
      <c r="U24">
        <f>IF('Input Scenarios'!U89&lt;&gt;"", 'Input Scenarios'!U89, IF(W24&lt;&gt;"", "", Constants!$B$39))</f>
        <v>4</v>
      </c>
      <c r="V24">
        <f>IF('Input Scenarios'!V89&lt;&gt;"", 'Input Scenarios'!V89, IF(W24&lt;&gt;"", "", Constants!$B$40))</f>
        <v>3.3</v>
      </c>
      <c r="W24" t="str">
        <f>IF('Input Scenarios'!W89&lt;&gt;"", 'Input Scenarios'!W89, "")</f>
        <v/>
      </c>
      <c r="X24" t="str">
        <f>'Input Scenarios'!X89</f>
        <v>Brown Swiss</v>
      </c>
      <c r="Y24" t="str">
        <f>'Input Scenarios'!Y89</f>
        <v>heifersLt1PreWeaned</v>
      </c>
      <c r="Z24">
        <f>'Input Scenarios'!Z89</f>
        <v>200</v>
      </c>
      <c r="AA24">
        <f>'Input Scenarios'!AA89</f>
        <v>100</v>
      </c>
      <c r="AB24">
        <f>'Input Scenarios'!AB89</f>
        <v>88</v>
      </c>
      <c r="AC24" t="str">
        <f>IF('Input Scenarios'!AC89&lt;&gt;"", 'Input Scenarios'!AC89, _xlfn.XLOOKUP(Y24, Constants!$B$13:$H$13, Constants!$B$15:$H$15, ""))</f>
        <v/>
      </c>
      <c r="AD24">
        <f>IF('Input Scenarios'!AD89&lt;&gt;"", 'Input Scenarios'!AD89, Constants!$B$45)</f>
        <v>0.75</v>
      </c>
      <c r="AE24">
        <f>IF('Input Scenarios'!AE89&lt;&gt;"", 'Input Scenarios'!AE89, Constants!$B$46)</f>
        <v>0.2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1</v>
      </c>
      <c r="AK24">
        <f t="shared" si="21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13"/>
        <v>0.5948500000000001</v>
      </c>
      <c r="AQ24">
        <f t="shared" si="14"/>
        <v>0</v>
      </c>
      <c r="AR24">
        <f>IF(Y24="milkingCows", Constants!$P$2, Constants!$P$3)</f>
        <v>1</v>
      </c>
      <c r="AS24" t="str">
        <f t="shared" si="15"/>
        <v/>
      </c>
      <c r="AT24" t="str">
        <f t="shared" si="16"/>
        <v/>
      </c>
      <c r="AU24" t="str">
        <f>_xlfn.XLOOKUP(Y24, Constants!$B$13:$H$13, Constants!$B$14:$H$14, "")</f>
        <v/>
      </c>
      <c r="AV24" t="str">
        <f t="shared" si="17"/>
        <v/>
      </c>
      <c r="AW24">
        <f>Constants!$B$55</f>
        <v>6.25</v>
      </c>
      <c r="AX24" t="str">
        <f t="shared" si="1"/>
        <v/>
      </c>
      <c r="AY24" t="str">
        <f t="shared" si="2"/>
        <v/>
      </c>
      <c r="AZ24" t="str">
        <f t="shared" si="18"/>
        <v/>
      </c>
      <c r="BA24">
        <f>IF(ISNUMBER(FIND("PreWeaned",Y24)),_xlfn.XLOOKUP(Y24,Constants!$J$2:$J$3,Constants!$M$2:$M$3),"")</f>
        <v>1.37E-2</v>
      </c>
      <c r="BB24">
        <f t="shared" si="3"/>
        <v>274</v>
      </c>
      <c r="BC24">
        <f t="shared" si="4"/>
        <v>0</v>
      </c>
      <c r="BD24">
        <f t="shared" si="5"/>
        <v>0</v>
      </c>
      <c r="BE24">
        <f t="shared" si="6"/>
        <v>0</v>
      </c>
      <c r="BF24">
        <f t="shared" si="7"/>
        <v>0</v>
      </c>
      <c r="BG24">
        <f t="shared" si="8"/>
        <v>274</v>
      </c>
      <c r="BH24">
        <f>Constants!$C$19</f>
        <v>0</v>
      </c>
      <c r="BI24">
        <f>Constants!$C$20</f>
        <v>0</v>
      </c>
      <c r="BJ24">
        <f>Constants!$C$21</f>
        <v>0</v>
      </c>
      <c r="BK24">
        <f>Constants!$C$22</f>
        <v>5.0000000000000001E-3</v>
      </c>
      <c r="BL24">
        <f>Constants!$C$23</f>
        <v>0</v>
      </c>
      <c r="BM24">
        <f>Constants!$B$50</f>
        <v>1.57</v>
      </c>
      <c r="BN24">
        <f>_xlfn.XLOOKUP(D24,Constants!$A$34:$A$35,Constants!$B$34:$B$35)</f>
        <v>2E-3</v>
      </c>
      <c r="BO24">
        <f t="shared" si="19"/>
        <v>0</v>
      </c>
      <c r="BP24">
        <f t="shared" si="19"/>
        <v>0</v>
      </c>
      <c r="BQ24">
        <f t="shared" si="19"/>
        <v>0</v>
      </c>
      <c r="BR24">
        <f t="shared" si="19"/>
        <v>0</v>
      </c>
      <c r="BS24">
        <f t="shared" si="19"/>
        <v>0</v>
      </c>
      <c r="BT24">
        <f t="shared" si="20"/>
        <v>0.86036000000000012</v>
      </c>
    </row>
    <row r="25" spans="1:73" x14ac:dyDescent="0.2">
      <c r="A25" t="str">
        <f>'Input Scenarios'!A90</f>
        <v>NT</v>
      </c>
      <c r="B25">
        <f>'Input Scenarios'!B90</f>
        <v>27</v>
      </c>
      <c r="C25" t="str">
        <f>'Input Scenarios'!C90</f>
        <v>Irrigated pasture</v>
      </c>
      <c r="D25" t="str">
        <f>'Input Scenarios'!D90</f>
        <v>dry</v>
      </c>
      <c r="E25" t="b">
        <f>'Input Scenarios'!E90</f>
        <v>0</v>
      </c>
      <c r="G25">
        <f>'Input Scenarios'!G90</f>
        <v>0.73</v>
      </c>
      <c r="H25">
        <f>'Input Scenarios'!H90</f>
        <v>0.08</v>
      </c>
      <c r="I25">
        <f>'Input Scenarios'!I90</f>
        <v>0.19</v>
      </c>
      <c r="J25">
        <f>'Input Scenarios'!J90</f>
        <v>0</v>
      </c>
      <c r="K25">
        <f>'Input Scenarios'!K90</f>
        <v>0.5</v>
      </c>
      <c r="L25">
        <f>'Input Scenarios'!L90</f>
        <v>0.5</v>
      </c>
      <c r="M25">
        <f>'Input Scenarios'!M90</f>
        <v>0</v>
      </c>
      <c r="N25">
        <f>'Input Scenarios'!N90</f>
        <v>0.5</v>
      </c>
      <c r="O25">
        <f>'Input Scenarios'!O90</f>
        <v>0</v>
      </c>
      <c r="P25">
        <f>'Input Scenarios'!P90</f>
        <v>0</v>
      </c>
      <c r="Q25">
        <f>'Input Scenarios'!Q90</f>
        <v>0.5</v>
      </c>
      <c r="R25" t="b">
        <f>'Input Scenarios'!R25</f>
        <v>0</v>
      </c>
      <c r="S25">
        <f>IF('Input Scenarios'!S90&lt;&gt;"", 'Input Scenarios'!S90, IF(R90, Constants!$B$38, 0))</f>
        <v>0</v>
      </c>
      <c r="T25" t="str">
        <f>IF('Input Scenarios'!T90&lt;&gt;"", 'Input Scenarios'!T90, "")</f>
        <v/>
      </c>
      <c r="U25">
        <f>IF('Input Scenarios'!U90&lt;&gt;"", 'Input Scenarios'!U90, IF(W25&lt;&gt;"", "", Constants!$B$39))</f>
        <v>4</v>
      </c>
      <c r="V25">
        <f>IF('Input Scenarios'!V90&lt;&gt;"", 'Input Scenarios'!V90, IF(W25&lt;&gt;"", "", Constants!$B$40))</f>
        <v>3.3</v>
      </c>
      <c r="W25" t="str">
        <f>IF('Input Scenarios'!W90&lt;&gt;"", 'Input Scenarios'!W90, "")</f>
        <v/>
      </c>
      <c r="X25" t="str">
        <f>'Input Scenarios'!X90</f>
        <v>Brown Swiss</v>
      </c>
      <c r="Y25" t="str">
        <f>'Input Scenarios'!Y90</f>
        <v>heifersLt1Weaned</v>
      </c>
      <c r="Z25">
        <f>'Input Scenarios'!Z90</f>
        <v>200</v>
      </c>
      <c r="AA25">
        <f>'Input Scenarios'!AA90</f>
        <v>360</v>
      </c>
      <c r="AB25">
        <f>'Input Scenarios'!AB90</f>
        <v>185</v>
      </c>
      <c r="AC25">
        <f>IF('Input Scenarios'!AC90&lt;&gt;"", 'Input Scenarios'!AC90, _xlfn.XLOOKUP(Y25, Constants!$B$13:$H$13, Constants!$B$15:$H$15, ""))</f>
        <v>0.56999999999999995</v>
      </c>
      <c r="AD25">
        <f>IF('Input Scenarios'!AD90&lt;&gt;"", 'Input Scenarios'!AD90, Constants!$B$45)</f>
        <v>0.75</v>
      </c>
      <c r="AE25">
        <f>IF('Input Scenarios'!AE90&lt;&gt;"", 'Input Scenarios'!AE90, Constants!$B$46)</f>
        <v>0.2</v>
      </c>
      <c r="AF25">
        <f t="shared" ref="AF25:AI44" si="22">IF($Y25="milkingCows",($H25*J25)+($I25*N25), 0)</f>
        <v>0</v>
      </c>
      <c r="AG25">
        <f t="shared" si="22"/>
        <v>0</v>
      </c>
      <c r="AH25">
        <f t="shared" si="22"/>
        <v>0</v>
      </c>
      <c r="AI25">
        <f t="shared" si="22"/>
        <v>0</v>
      </c>
      <c r="AJ25">
        <f t="shared" si="11"/>
        <v>1</v>
      </c>
      <c r="AK25">
        <f t="shared" si="21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13"/>
        <v>0.5948500000000001</v>
      </c>
      <c r="AQ25">
        <f t="shared" si="14"/>
        <v>0</v>
      </c>
      <c r="AR25">
        <f>IF(Y25="milkingCows", Constants!$P$2, Constants!$P$3)</f>
        <v>1</v>
      </c>
      <c r="AS25">
        <f t="shared" si="15"/>
        <v>4.4751921662249998</v>
      </c>
      <c r="AT25">
        <f t="shared" si="16"/>
        <v>1.1940956577314272</v>
      </c>
      <c r="AU25">
        <f>_xlfn.XLOOKUP(Y25, Constants!$B$13:$H$13, Constants!$B$14:$H$14, "")</f>
        <v>590</v>
      </c>
      <c r="AV25">
        <f t="shared" si="17"/>
        <v>0.3135593220338983</v>
      </c>
      <c r="AW25">
        <f>Constants!$B$55</f>
        <v>6.25</v>
      </c>
      <c r="AX25">
        <f t="shared" si="1"/>
        <v>1.374327511013524E-2</v>
      </c>
      <c r="AY25">
        <f t="shared" si="2"/>
        <v>0.89503843324499999</v>
      </c>
      <c r="AZ25">
        <f t="shared" si="18"/>
        <v>0.12858001497431362</v>
      </c>
      <c r="BA25" t="str">
        <f>IF(ISNUMBER(FIND("PreWeaned",Y25)),_xlfn.XLOOKUP(Y25,Constants!$J$2:$J$3,Constants!$M$2:$M$3),"")</f>
        <v/>
      </c>
      <c r="BB25">
        <f t="shared" si="3"/>
        <v>9257.7610781505809</v>
      </c>
      <c r="BC25">
        <f t="shared" si="4"/>
        <v>0</v>
      </c>
      <c r="BD25">
        <f t="shared" si="5"/>
        <v>0</v>
      </c>
      <c r="BE25">
        <f t="shared" si="6"/>
        <v>0</v>
      </c>
      <c r="BF25">
        <f t="shared" si="7"/>
        <v>0</v>
      </c>
      <c r="BG25">
        <f t="shared" si="8"/>
        <v>9257.7610781505809</v>
      </c>
      <c r="BH25">
        <f>Constants!$C$19</f>
        <v>0</v>
      </c>
      <c r="BI25">
        <f>Constants!$C$20</f>
        <v>0</v>
      </c>
      <c r="BJ25">
        <f>Constants!$C$21</f>
        <v>0</v>
      </c>
      <c r="BK25">
        <f>Constants!$C$22</f>
        <v>5.0000000000000001E-3</v>
      </c>
      <c r="BL25">
        <f>Constants!$C$23</f>
        <v>0</v>
      </c>
      <c r="BM25">
        <f>Constants!$B$50</f>
        <v>1.57</v>
      </c>
      <c r="BN25">
        <f>_xlfn.XLOOKUP(D25,Constants!$A$34:$A$35,Constants!$B$34:$B$35)</f>
        <v>2E-3</v>
      </c>
      <c r="BO25">
        <f t="shared" ref="BO25:BS40" si="23">BC25*BH25*$BM25</f>
        <v>0</v>
      </c>
      <c r="BP25">
        <f t="shared" si="23"/>
        <v>0</v>
      </c>
      <c r="BQ25">
        <f t="shared" si="23"/>
        <v>0</v>
      </c>
      <c r="BR25">
        <f t="shared" si="23"/>
        <v>0</v>
      </c>
      <c r="BS25">
        <f t="shared" si="23"/>
        <v>0</v>
      </c>
      <c r="BT25">
        <f t="shared" si="20"/>
        <v>29.069369785392826</v>
      </c>
    </row>
    <row r="26" spans="1:73" x14ac:dyDescent="0.2">
      <c r="A26" t="str">
        <f>'Input Scenarios'!A91</f>
        <v>NT</v>
      </c>
      <c r="B26">
        <f>'Input Scenarios'!B91</f>
        <v>27</v>
      </c>
      <c r="C26" t="str">
        <f>'Input Scenarios'!C91</f>
        <v>Irrigated pasture</v>
      </c>
      <c r="D26" t="str">
        <f>'Input Scenarios'!D91</f>
        <v>dry</v>
      </c>
      <c r="E26" t="b">
        <f>'Input Scenarios'!E91</f>
        <v>0</v>
      </c>
      <c r="G26">
        <f>'Input Scenarios'!G91</f>
        <v>0.73</v>
      </c>
      <c r="H26">
        <f>'Input Scenarios'!H91</f>
        <v>0.08</v>
      </c>
      <c r="I26">
        <f>'Input Scenarios'!I91</f>
        <v>0.19</v>
      </c>
      <c r="J26">
        <f>'Input Scenarios'!J91</f>
        <v>0</v>
      </c>
      <c r="K26">
        <f>'Input Scenarios'!K91</f>
        <v>0.5</v>
      </c>
      <c r="L26">
        <f>'Input Scenarios'!L91</f>
        <v>0.5</v>
      </c>
      <c r="M26">
        <f>'Input Scenarios'!M91</f>
        <v>0</v>
      </c>
      <c r="N26">
        <f>'Input Scenarios'!N91</f>
        <v>0.5</v>
      </c>
      <c r="O26">
        <f>'Input Scenarios'!O91</f>
        <v>0</v>
      </c>
      <c r="P26">
        <f>'Input Scenarios'!P91</f>
        <v>0</v>
      </c>
      <c r="Q26">
        <f>'Input Scenarios'!Q91</f>
        <v>0.5</v>
      </c>
      <c r="R26" t="b">
        <f>'Input Scenarios'!R26</f>
        <v>0</v>
      </c>
      <c r="S26">
        <f>IF('Input Scenarios'!S91&lt;&gt;"", 'Input Scenarios'!S91, IF(R91, Constants!$B$38, 0))</f>
        <v>0</v>
      </c>
      <c r="T26" t="str">
        <f>IF('Input Scenarios'!T91&lt;&gt;"", 'Input Scenarios'!T91, "")</f>
        <v/>
      </c>
      <c r="U26">
        <f>IF('Input Scenarios'!U91&lt;&gt;"", 'Input Scenarios'!U91, IF(W26&lt;&gt;"", "", Constants!$B$39))</f>
        <v>4</v>
      </c>
      <c r="V26">
        <f>IF('Input Scenarios'!V91&lt;&gt;"", 'Input Scenarios'!V91, IF(W26&lt;&gt;"", "", Constants!$B$40))</f>
        <v>3.3</v>
      </c>
      <c r="W26" t="str">
        <f>IF('Input Scenarios'!W91&lt;&gt;"", 'Input Scenarios'!W91, "")</f>
        <v/>
      </c>
      <c r="X26" t="str">
        <f>'Input Scenarios'!X91</f>
        <v>Brown Swiss</v>
      </c>
      <c r="Y26" t="str">
        <f>'Input Scenarios'!Y91</f>
        <v>bullsGt1</v>
      </c>
      <c r="Z26">
        <f>'Input Scenarios'!Z91</f>
        <v>200</v>
      </c>
      <c r="AA26">
        <f>'Input Scenarios'!AA91</f>
        <v>345</v>
      </c>
      <c r="AB26">
        <f>'Input Scenarios'!AB91</f>
        <v>550</v>
      </c>
      <c r="AC26">
        <f>IF('Input Scenarios'!AC91&lt;&gt;"", 'Input Scenarios'!AC91, _xlfn.XLOOKUP(Y26, Constants!$B$13:$H$13, Constants!$B$15:$H$15, ""))</f>
        <v>0.1</v>
      </c>
      <c r="AD26">
        <f>IF('Input Scenarios'!AD91&lt;&gt;"", 'Input Scenarios'!AD91, Constants!$B$45)</f>
        <v>0.75</v>
      </c>
      <c r="AE26">
        <f>IF('Input Scenarios'!AE91&lt;&gt;"", 'Input Scenarios'!AE91, Constants!$B$46)</f>
        <v>0.2</v>
      </c>
      <c r="AF26">
        <f t="shared" si="22"/>
        <v>0</v>
      </c>
      <c r="AG26">
        <f t="shared" si="22"/>
        <v>0</v>
      </c>
      <c r="AH26">
        <f t="shared" si="22"/>
        <v>0</v>
      </c>
      <c r="AI26">
        <f t="shared" si="22"/>
        <v>0</v>
      </c>
      <c r="AJ26">
        <f t="shared" si="11"/>
        <v>1</v>
      </c>
      <c r="AK26">
        <f t="shared" si="21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13"/>
        <v>0.5948500000000001</v>
      </c>
      <c r="AQ26">
        <f t="shared" si="14"/>
        <v>0</v>
      </c>
      <c r="AR26">
        <f>IF(Y26="milkingCows", Constants!$P$2, Constants!$P$3)</f>
        <v>1</v>
      </c>
      <c r="AS26">
        <f t="shared" si="15"/>
        <v>8.5673290000000009</v>
      </c>
      <c r="AT26">
        <f t="shared" si="16"/>
        <v>1.0218762517451188</v>
      </c>
      <c r="AU26">
        <f>_xlfn.XLOOKUP(Y26, Constants!$B$13:$H$13, Constants!$B$14:$H$14, "")</f>
        <v>770</v>
      </c>
      <c r="AV26">
        <f t="shared" si="17"/>
        <v>0.7142857142857143</v>
      </c>
      <c r="AW26">
        <f>Constants!$B$55</f>
        <v>6.25</v>
      </c>
      <c r="AX26">
        <f t="shared" si="1"/>
        <v>1.3464908317647941E-3</v>
      </c>
      <c r="AY26">
        <f t="shared" si="2"/>
        <v>1.7134658000000003</v>
      </c>
      <c r="AZ26">
        <f t="shared" si="18"/>
        <v>0.2708091665468973</v>
      </c>
      <c r="BA26" t="str">
        <f>IF(ISNUMBER(FIND("PreWeaned",Y26)),_xlfn.XLOOKUP(Y26,Constants!$J$2:$J$3,Constants!$M$2:$M$3),"")</f>
        <v/>
      </c>
      <c r="BB26">
        <f t="shared" si="3"/>
        <v>18685.832491735913</v>
      </c>
      <c r="BC26">
        <f t="shared" si="4"/>
        <v>0</v>
      </c>
      <c r="BD26">
        <f t="shared" si="5"/>
        <v>0</v>
      </c>
      <c r="BE26">
        <f t="shared" si="6"/>
        <v>0</v>
      </c>
      <c r="BF26">
        <f t="shared" si="7"/>
        <v>0</v>
      </c>
      <c r="BG26">
        <f t="shared" si="8"/>
        <v>18685.832491735913</v>
      </c>
      <c r="BH26">
        <f>Constants!$C$19</f>
        <v>0</v>
      </c>
      <c r="BI26">
        <f>Constants!$C$20</f>
        <v>0</v>
      </c>
      <c r="BJ26">
        <f>Constants!$C$21</f>
        <v>0</v>
      </c>
      <c r="BK26">
        <f>Constants!$C$22</f>
        <v>5.0000000000000001E-3</v>
      </c>
      <c r="BL26">
        <f>Constants!$C$23</f>
        <v>0</v>
      </c>
      <c r="BM26">
        <f>Constants!$B$50</f>
        <v>1.57</v>
      </c>
      <c r="BN26">
        <f>_xlfn.XLOOKUP(D26,Constants!$A$34:$A$35,Constants!$B$34:$B$35)</f>
        <v>2E-3</v>
      </c>
      <c r="BO26">
        <f t="shared" si="23"/>
        <v>0</v>
      </c>
      <c r="BP26">
        <f t="shared" si="23"/>
        <v>0</v>
      </c>
      <c r="BQ26">
        <f t="shared" si="23"/>
        <v>0</v>
      </c>
      <c r="BR26">
        <f t="shared" si="23"/>
        <v>0</v>
      </c>
      <c r="BS26">
        <f t="shared" si="23"/>
        <v>0</v>
      </c>
      <c r="BT26">
        <f t="shared" si="20"/>
        <v>58.673514024050768</v>
      </c>
    </row>
    <row r="27" spans="1:73" x14ac:dyDescent="0.2">
      <c r="A27" t="str">
        <f>'Input Scenarios'!A92</f>
        <v>NT</v>
      </c>
      <c r="B27">
        <f>'Input Scenarios'!B92</f>
        <v>27</v>
      </c>
      <c r="C27" t="str">
        <f>'Input Scenarios'!C92</f>
        <v>Irrigated pasture</v>
      </c>
      <c r="D27" t="str">
        <f>'Input Scenarios'!D92</f>
        <v>dry</v>
      </c>
      <c r="E27" t="b">
        <f>'Input Scenarios'!E92</f>
        <v>0</v>
      </c>
      <c r="G27">
        <f>'Input Scenarios'!G92</f>
        <v>0.73</v>
      </c>
      <c r="H27">
        <f>'Input Scenarios'!H92</f>
        <v>0.08</v>
      </c>
      <c r="I27">
        <f>'Input Scenarios'!I92</f>
        <v>0.19</v>
      </c>
      <c r="J27">
        <f>'Input Scenarios'!J92</f>
        <v>0</v>
      </c>
      <c r="K27">
        <f>'Input Scenarios'!K92</f>
        <v>0.5</v>
      </c>
      <c r="L27">
        <f>'Input Scenarios'!L92</f>
        <v>0.5</v>
      </c>
      <c r="M27">
        <f>'Input Scenarios'!M92</f>
        <v>0</v>
      </c>
      <c r="N27">
        <f>'Input Scenarios'!N92</f>
        <v>0.5</v>
      </c>
      <c r="O27">
        <f>'Input Scenarios'!O92</f>
        <v>0</v>
      </c>
      <c r="P27">
        <f>'Input Scenarios'!P92</f>
        <v>0</v>
      </c>
      <c r="Q27">
        <f>'Input Scenarios'!Q92</f>
        <v>0.5</v>
      </c>
      <c r="R27" t="b">
        <f>'Input Scenarios'!R27</f>
        <v>0</v>
      </c>
      <c r="S27">
        <f>IF('Input Scenarios'!S92&lt;&gt;"", 'Input Scenarios'!S92, IF(R92, Constants!$B$38, 0))</f>
        <v>0</v>
      </c>
      <c r="T27" t="str">
        <f>IF('Input Scenarios'!T92&lt;&gt;"", 'Input Scenarios'!T92, "")</f>
        <v/>
      </c>
      <c r="U27">
        <f>IF('Input Scenarios'!U92&lt;&gt;"", 'Input Scenarios'!U92, IF(W27&lt;&gt;"", "", Constants!$B$39))</f>
        <v>4</v>
      </c>
      <c r="V27">
        <f>IF('Input Scenarios'!V92&lt;&gt;"", 'Input Scenarios'!V92, IF(W27&lt;&gt;"", "", Constants!$B$40))</f>
        <v>3.3</v>
      </c>
      <c r="W27" t="str">
        <f>IF('Input Scenarios'!W92&lt;&gt;"", 'Input Scenarios'!W92, "")</f>
        <v/>
      </c>
      <c r="X27" t="str">
        <f>'Input Scenarios'!X92</f>
        <v>Brown Swiss</v>
      </c>
      <c r="Y27" t="str">
        <f>'Input Scenarios'!Y92</f>
        <v>bullsLt1PreWeaned</v>
      </c>
      <c r="Z27">
        <f>'Input Scenarios'!Z92</f>
        <v>200</v>
      </c>
      <c r="AA27">
        <f>'Input Scenarios'!AA92</f>
        <v>124</v>
      </c>
      <c r="AB27">
        <f>'Input Scenarios'!AB92</f>
        <v>225</v>
      </c>
      <c r="AC27" t="str">
        <f>IF('Input Scenarios'!AC92&lt;&gt;"", 'Input Scenarios'!AC92, _xlfn.XLOOKUP(Y27, Constants!$B$13:$H$13, Constants!$B$15:$H$15, ""))</f>
        <v/>
      </c>
      <c r="AD27">
        <f>IF('Input Scenarios'!AD92&lt;&gt;"", 'Input Scenarios'!AD92, Constants!$B$45)</f>
        <v>0.75</v>
      </c>
      <c r="AE27">
        <f>IF('Input Scenarios'!AE92&lt;&gt;"", 'Input Scenarios'!AE92, Constants!$B$46)</f>
        <v>0.2</v>
      </c>
      <c r="AF27">
        <f t="shared" si="22"/>
        <v>0</v>
      </c>
      <c r="AG27">
        <f t="shared" si="22"/>
        <v>0</v>
      </c>
      <c r="AH27">
        <f t="shared" si="22"/>
        <v>0</v>
      </c>
      <c r="AI27">
        <f t="shared" si="22"/>
        <v>0</v>
      </c>
      <c r="AJ27">
        <f t="shared" si="11"/>
        <v>1</v>
      </c>
      <c r="AK27">
        <f t="shared" si="21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13"/>
        <v>0.5948500000000001</v>
      </c>
      <c r="AQ27">
        <f t="shared" si="14"/>
        <v>0</v>
      </c>
      <c r="AR27">
        <f>IF(Y27="milkingCows", Constants!$P$2, Constants!$P$3)</f>
        <v>1</v>
      </c>
      <c r="AS27" t="str">
        <f t="shared" si="15"/>
        <v/>
      </c>
      <c r="AT27" t="str">
        <f t="shared" si="16"/>
        <v/>
      </c>
      <c r="AU27" t="str">
        <f>_xlfn.XLOOKUP(Y27, Constants!$B$13:$H$13, Constants!$B$14:$H$14, "")</f>
        <v/>
      </c>
      <c r="AV27" t="str">
        <f t="shared" si="17"/>
        <v/>
      </c>
      <c r="AW27">
        <f>Constants!$B$55</f>
        <v>6.25</v>
      </c>
      <c r="AX27" t="str">
        <f t="shared" si="1"/>
        <v/>
      </c>
      <c r="AY27" t="str">
        <f t="shared" si="2"/>
        <v/>
      </c>
      <c r="AZ27" t="str">
        <f t="shared" si="18"/>
        <v/>
      </c>
      <c r="BA27">
        <f>IF(ISNUMBER(FIND("PreWeaned",Y27)),_xlfn.XLOOKUP(Y27,Constants!$J$2:$J$3,Constants!$M$2:$M$3),"")</f>
        <v>9.1999999999999998E-3</v>
      </c>
      <c r="BB27">
        <f t="shared" si="3"/>
        <v>228.15999999999997</v>
      </c>
      <c r="BC27">
        <f t="shared" si="4"/>
        <v>0</v>
      </c>
      <c r="BD27">
        <f t="shared" si="5"/>
        <v>0</v>
      </c>
      <c r="BE27">
        <f t="shared" si="6"/>
        <v>0</v>
      </c>
      <c r="BF27">
        <f t="shared" si="7"/>
        <v>0</v>
      </c>
      <c r="BG27">
        <f t="shared" si="8"/>
        <v>228.15999999999997</v>
      </c>
      <c r="BH27">
        <f>Constants!$C$19</f>
        <v>0</v>
      </c>
      <c r="BI27">
        <f>Constants!$C$20</f>
        <v>0</v>
      </c>
      <c r="BJ27">
        <f>Constants!$C$21</f>
        <v>0</v>
      </c>
      <c r="BK27">
        <f>Constants!$C$22</f>
        <v>5.0000000000000001E-3</v>
      </c>
      <c r="BL27">
        <f>Constants!$C$23</f>
        <v>0</v>
      </c>
      <c r="BM27">
        <f>Constants!$B$50</f>
        <v>1.57</v>
      </c>
      <c r="BN27">
        <f>_xlfn.XLOOKUP(D27,Constants!$A$34:$A$35,Constants!$B$34:$B$35)</f>
        <v>2E-3</v>
      </c>
      <c r="BO27">
        <f t="shared" si="23"/>
        <v>0</v>
      </c>
      <c r="BP27">
        <f t="shared" si="23"/>
        <v>0</v>
      </c>
      <c r="BQ27">
        <f t="shared" si="23"/>
        <v>0</v>
      </c>
      <c r="BR27">
        <f t="shared" si="23"/>
        <v>0</v>
      </c>
      <c r="BS27">
        <f t="shared" si="23"/>
        <v>0</v>
      </c>
      <c r="BT27">
        <f t="shared" si="20"/>
        <v>0.7164223999999999</v>
      </c>
    </row>
    <row r="28" spans="1:73" s="16" customFormat="1" x14ac:dyDescent="0.2">
      <c r="A28" s="16" t="str">
        <f>'Input Scenarios'!A93</f>
        <v>NT</v>
      </c>
      <c r="B28" s="16">
        <f>'Input Scenarios'!B93</f>
        <v>27</v>
      </c>
      <c r="C28" s="16" t="str">
        <f>'Input Scenarios'!C93</f>
        <v>Irrigated pasture</v>
      </c>
      <c r="D28" s="16" t="str">
        <f>'Input Scenarios'!D93</f>
        <v>dry</v>
      </c>
      <c r="E28" s="16" t="b">
        <f>'Input Scenarios'!E93</f>
        <v>0</v>
      </c>
      <c r="G28" s="16">
        <f>'Input Scenarios'!G93</f>
        <v>0.73</v>
      </c>
      <c r="H28" s="16">
        <f>'Input Scenarios'!H93</f>
        <v>0.08</v>
      </c>
      <c r="I28" s="16">
        <f>'Input Scenarios'!I93</f>
        <v>0.19</v>
      </c>
      <c r="J28" s="16">
        <f>'Input Scenarios'!J93</f>
        <v>0</v>
      </c>
      <c r="K28" s="16">
        <f>'Input Scenarios'!K93</f>
        <v>0.5</v>
      </c>
      <c r="L28" s="16">
        <f>'Input Scenarios'!L93</f>
        <v>0.5</v>
      </c>
      <c r="M28" s="16">
        <f>'Input Scenarios'!M93</f>
        <v>0</v>
      </c>
      <c r="N28" s="16">
        <f>'Input Scenarios'!N93</f>
        <v>0.5</v>
      </c>
      <c r="O28" s="16">
        <f>'Input Scenarios'!O93</f>
        <v>0</v>
      </c>
      <c r="P28" s="16">
        <f>'Input Scenarios'!P93</f>
        <v>0</v>
      </c>
      <c r="Q28" s="16">
        <f>'Input Scenarios'!Q93</f>
        <v>0.5</v>
      </c>
      <c r="R28" s="16" t="b">
        <f>'Input Scenarios'!R28</f>
        <v>0</v>
      </c>
      <c r="S28" s="16">
        <f>IF('Input Scenarios'!S93&lt;&gt;"", 'Input Scenarios'!S93, IF(R93, Constants!$B$38, 0))</f>
        <v>0</v>
      </c>
      <c r="T28" s="16" t="str">
        <f>IF('Input Scenarios'!T93&lt;&gt;"", 'Input Scenarios'!T93, "")</f>
        <v/>
      </c>
      <c r="U28" s="16">
        <f>IF('Input Scenarios'!U93&lt;&gt;"", 'Input Scenarios'!U93, IF(W28&lt;&gt;"", "", Constants!$B$39))</f>
        <v>4</v>
      </c>
      <c r="V28" s="16">
        <f>IF('Input Scenarios'!V93&lt;&gt;"", 'Input Scenarios'!V93, IF(W28&lt;&gt;"", "", Constants!$B$40))</f>
        <v>3.3</v>
      </c>
      <c r="W28" s="16" t="str">
        <f>IF('Input Scenarios'!W93&lt;&gt;"", 'Input Scenarios'!W93, "")</f>
        <v/>
      </c>
      <c r="X28" s="16" t="str">
        <f>'Input Scenarios'!X93</f>
        <v>Brown Swiss</v>
      </c>
      <c r="Y28" s="16" t="str">
        <f>'Input Scenarios'!Y93</f>
        <v>bullsLt1Weaned</v>
      </c>
      <c r="Z28" s="16">
        <f>'Input Scenarios'!Z93</f>
        <v>200</v>
      </c>
      <c r="AA28" s="16">
        <f>'Input Scenarios'!AA93</f>
        <v>294</v>
      </c>
      <c r="AB28" s="16">
        <f>'Input Scenarios'!AB93</f>
        <v>225</v>
      </c>
      <c r="AC28" s="16">
        <f>IF('Input Scenarios'!AC93&lt;&gt;"", 'Input Scenarios'!AC93, _xlfn.XLOOKUP(Y28, Constants!$B$13:$H$13, Constants!$B$15:$H$15, ""))</f>
        <v>0.8</v>
      </c>
      <c r="AD28" s="16">
        <f>IF('Input Scenarios'!AD93&lt;&gt;"", 'Input Scenarios'!AD93, Constants!$B$45)</f>
        <v>0.75</v>
      </c>
      <c r="AE28" s="16">
        <f>IF('Input Scenarios'!AE93&lt;&gt;"", 'Input Scenarios'!AE93, Constants!$B$46)</f>
        <v>0.2</v>
      </c>
      <c r="AF28" s="16">
        <f t="shared" si="22"/>
        <v>0</v>
      </c>
      <c r="AG28" s="16">
        <f t="shared" si="22"/>
        <v>0</v>
      </c>
      <c r="AH28" s="16">
        <f t="shared" si="22"/>
        <v>0</v>
      </c>
      <c r="AI28" s="16">
        <f t="shared" si="22"/>
        <v>0</v>
      </c>
      <c r="AJ28" s="16">
        <f t="shared" si="11"/>
        <v>1</v>
      </c>
      <c r="AK28" s="16">
        <f t="shared" si="21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13"/>
        <v>0.5948500000000001</v>
      </c>
      <c r="AQ28" s="16">
        <f t="shared" si="14"/>
        <v>0</v>
      </c>
      <c r="AR28" s="16">
        <f>IF(Y28="milkingCows", Constants!$P$2, Constants!$P$3)</f>
        <v>1</v>
      </c>
      <c r="AS28" s="16">
        <f t="shared" si="15"/>
        <v>5.4143472656250013</v>
      </c>
      <c r="AT28" s="16">
        <f t="shared" si="16"/>
        <v>1.2576570545672616</v>
      </c>
      <c r="AU28" s="16">
        <f>_xlfn.XLOOKUP(Y28, Constants!$B$13:$H$13, Constants!$B$14:$H$14, "")</f>
        <v>770</v>
      </c>
      <c r="AV28" s="16">
        <f t="shared" si="17"/>
        <v>0.29220779220779219</v>
      </c>
      <c r="AW28" s="16">
        <f>Constants!$B$55</f>
        <v>6.25</v>
      </c>
      <c r="AX28" s="16">
        <f t="shared" si="1"/>
        <v>1.9757354894894084E-2</v>
      </c>
      <c r="AY28" s="16">
        <f t="shared" si="2"/>
        <v>1.0828694531250003</v>
      </c>
      <c r="AZ28" s="16">
        <f t="shared" si="18"/>
        <v>0.15247929000170721</v>
      </c>
      <c r="BA28" s="16" t="str">
        <f>IF(ISNUMBER(FIND("PreWeaned",Y28)),_xlfn.XLOOKUP(Y28,Constants!$J$2:$J$3,Constants!$M$2:$M$3),"")</f>
        <v/>
      </c>
      <c r="BB28" s="16">
        <f t="shared" si="3"/>
        <v>8965.7822521003836</v>
      </c>
      <c r="BC28" s="16">
        <f t="shared" si="4"/>
        <v>0</v>
      </c>
      <c r="BD28" s="16">
        <f t="shared" si="5"/>
        <v>0</v>
      </c>
      <c r="BE28" s="16">
        <f t="shared" si="6"/>
        <v>0</v>
      </c>
      <c r="BF28" s="16">
        <f t="shared" si="7"/>
        <v>0</v>
      </c>
      <c r="BG28" s="16">
        <f t="shared" si="8"/>
        <v>8965.7822521003836</v>
      </c>
      <c r="BH28" s="16">
        <f>Constants!$C$19</f>
        <v>0</v>
      </c>
      <c r="BI28" s="16">
        <f>Constants!$C$20</f>
        <v>0</v>
      </c>
      <c r="BJ28" s="16">
        <f>Constants!$C$21</f>
        <v>0</v>
      </c>
      <c r="BK28" s="16">
        <f>Constants!$C$22</f>
        <v>5.0000000000000001E-3</v>
      </c>
      <c r="BL28" s="16">
        <f>Constants!$C$23</f>
        <v>0</v>
      </c>
      <c r="BM28" s="16">
        <f>Constants!$B$50</f>
        <v>1.57</v>
      </c>
      <c r="BN28" s="16">
        <f>_xlfn.XLOOKUP(D28,Constants!$A$34:$A$35,Constants!$B$34:$B$35)</f>
        <v>2E-3</v>
      </c>
      <c r="BO28" s="16">
        <f t="shared" si="23"/>
        <v>0</v>
      </c>
      <c r="BP28" s="16">
        <f t="shared" si="23"/>
        <v>0</v>
      </c>
      <c r="BQ28" s="16">
        <f t="shared" si="23"/>
        <v>0</v>
      </c>
      <c r="BR28" s="16">
        <f t="shared" si="23"/>
        <v>0</v>
      </c>
      <c r="BS28" s="16">
        <f t="shared" si="23"/>
        <v>0</v>
      </c>
      <c r="BT28" s="16">
        <f t="shared" si="20"/>
        <v>28.152556271595206</v>
      </c>
    </row>
    <row r="29" spans="1:73" x14ac:dyDescent="0.2">
      <c r="A29" t="str">
        <f>'Input Scenarios'!A94</f>
        <v>TAS</v>
      </c>
      <c r="B29" t="str">
        <f>'Input Scenarios'!B94</f>
        <v>10 or below</v>
      </c>
      <c r="C29" t="str">
        <f>'Input Scenarios'!C94</f>
        <v>Irrigated crop</v>
      </c>
      <c r="D29" t="str">
        <f>'Input Scenarios'!D94</f>
        <v>dry</v>
      </c>
      <c r="E29" t="b">
        <f>'Input Scenarios'!E94</f>
        <v>1</v>
      </c>
      <c r="G29">
        <f>'Input Scenarios'!G94</f>
        <v>0</v>
      </c>
      <c r="H29">
        <f>'Input Scenarios'!H94</f>
        <v>0.1</v>
      </c>
      <c r="I29">
        <f>'Input Scenarios'!I94</f>
        <v>0.9</v>
      </c>
      <c r="J29">
        <f>'Input Scenarios'!J94</f>
        <v>0.1</v>
      </c>
      <c r="K29">
        <f>'Input Scenarios'!K94</f>
        <v>0.2</v>
      </c>
      <c r="L29">
        <f>'Input Scenarios'!L94</f>
        <v>0.3</v>
      </c>
      <c r="M29">
        <f>'Input Scenarios'!M94</f>
        <v>0.4</v>
      </c>
      <c r="N29">
        <f>'Input Scenarios'!N94</f>
        <v>0.4</v>
      </c>
      <c r="O29">
        <f>'Input Scenarios'!O94</f>
        <v>0.3</v>
      </c>
      <c r="P29">
        <f>'Input Scenarios'!P94</f>
        <v>0.2</v>
      </c>
      <c r="Q29">
        <f>'Input Scenarios'!Q94</f>
        <v>0.1</v>
      </c>
      <c r="R29" t="b">
        <f>'Input Scenarios'!R29</f>
        <v>0</v>
      </c>
      <c r="S29">
        <f>IF('Input Scenarios'!S94&lt;&gt;"", 'Input Scenarios'!S94, IF(R94, Constants!$B$38, 0))</f>
        <v>0</v>
      </c>
      <c r="T29" s="20" t="str">
        <f>IF('Input Scenarios'!T94&lt;&gt;"", 'Input Scenarios'!T94, "")</f>
        <v/>
      </c>
      <c r="U29" s="20" t="str">
        <f>IF('Input Scenarios'!U94&lt;&gt;"", 'Input Scenarios'!U94, IF(W29&lt;&gt;"", "", Constants!$B$39))</f>
        <v/>
      </c>
      <c r="V29" s="20" t="str">
        <f>IF('Input Scenarios'!V94&lt;&gt;"", 'Input Scenarios'!V94, IF(W29&lt;&gt;"", "", Constants!$B$40))</f>
        <v/>
      </c>
      <c r="W29" s="20">
        <f>IF('Input Scenarios'!W94&lt;&gt;"", 'Input Scenarios'!W94, "")</f>
        <v>20</v>
      </c>
      <c r="X29" s="20" t="str">
        <f>'Input Scenarios'!X94</f>
        <v>Illawarra/Aussie Red</v>
      </c>
      <c r="Y29" s="20" t="str">
        <f>'Input Scenarios'!Y94</f>
        <v>milkingCows</v>
      </c>
      <c r="Z29" s="20">
        <f>'Input Scenarios'!Z94</f>
        <v>200</v>
      </c>
      <c r="AA29" s="20">
        <f>'Input Scenarios'!AA94</f>
        <v>365</v>
      </c>
      <c r="AB29" s="20">
        <f>'Input Scenarios'!AB94</f>
        <v>500</v>
      </c>
      <c r="AC29">
        <f>IF('Input Scenarios'!AC94&lt;&gt;"", 'Input Scenarios'!AC94, _xlfn.XLOOKUP(Y29, Constants!$B$13:$H$13, Constants!$B$15:$H$15, ""))</f>
        <v>1.6E-2</v>
      </c>
      <c r="AD29">
        <f>IF('Input Scenarios'!AD94&lt;&gt;"", 'Input Scenarios'!AD94, Constants!$B$45)</f>
        <v>0.75</v>
      </c>
      <c r="AE29">
        <f>IF('Input Scenarios'!AE94&lt;&gt;"", 'Input Scenarios'!AE94, Constants!$B$46)</f>
        <v>0.2</v>
      </c>
      <c r="AF29" s="20">
        <f t="shared" si="22"/>
        <v>0.37000000000000005</v>
      </c>
      <c r="AG29" s="20">
        <f t="shared" si="22"/>
        <v>0.29000000000000004</v>
      </c>
      <c r="AH29" s="20">
        <f t="shared" si="22"/>
        <v>0.21000000000000002</v>
      </c>
      <c r="AI29" s="20">
        <f t="shared" si="22"/>
        <v>0.13</v>
      </c>
      <c r="AJ29" s="20">
        <f t="shared" si="11"/>
        <v>0</v>
      </c>
      <c r="AK29">
        <f t="shared" si="21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13"/>
        <v>0.5948500000000001</v>
      </c>
      <c r="AQ29">
        <f t="shared" si="14"/>
        <v>9.5798721636071917</v>
      </c>
      <c r="AR29">
        <f>IF(Y29="milkingCows", Constants!$P$2, Constants!$P$3)</f>
        <v>1.1000000000000001</v>
      </c>
      <c r="AS29">
        <f t="shared" si="15"/>
        <v>18.265829445367196</v>
      </c>
      <c r="AT29">
        <f t="shared" si="16"/>
        <v>1.0017071727165394</v>
      </c>
      <c r="AU29">
        <f>_xlfn.XLOOKUP(Y29, Constants!$B$13:$H$13, Constants!$B$14:$H$14, "")</f>
        <v>590</v>
      </c>
      <c r="AV29">
        <f t="shared" si="17"/>
        <v>0.84745762711864403</v>
      </c>
      <c r="AW29">
        <f>Constants!$B$55</f>
        <v>6.25</v>
      </c>
      <c r="AX29" s="20">
        <f t="shared" si="1"/>
        <v>0.10351472280849285</v>
      </c>
      <c r="AY29">
        <f t="shared" si="2"/>
        <v>3.6531658890734393</v>
      </c>
      <c r="AZ29">
        <f t="shared" si="18"/>
        <v>0.47913084601960204</v>
      </c>
      <c r="BA29" t="str">
        <f>IF(ISNUMBER(FIND("PreWeaned",Y29)),_xlfn.XLOOKUP(Y29,Constants!$J$2:$J$3,Constants!$M$2:$M$3),"")</f>
        <v/>
      </c>
      <c r="BB29">
        <f t="shared" si="3"/>
        <v>34976.551759430949</v>
      </c>
      <c r="BC29">
        <f t="shared" si="4"/>
        <v>12941.324150989452</v>
      </c>
      <c r="BD29">
        <f t="shared" si="5"/>
        <v>10143.200010234976</v>
      </c>
      <c r="BE29">
        <f t="shared" si="6"/>
        <v>7345.0758694804999</v>
      </c>
      <c r="BF29">
        <f t="shared" si="7"/>
        <v>4546.9517287260232</v>
      </c>
      <c r="BG29">
        <f t="shared" si="8"/>
        <v>0</v>
      </c>
      <c r="BH29">
        <f>Constants!$C$19</f>
        <v>0</v>
      </c>
      <c r="BI29">
        <f>Constants!$C$20</f>
        <v>0</v>
      </c>
      <c r="BJ29">
        <f>Constants!$C$21</f>
        <v>0</v>
      </c>
      <c r="BK29">
        <f>Constants!$C$22</f>
        <v>5.0000000000000001E-3</v>
      </c>
      <c r="BL29">
        <f>Constants!$C$23</f>
        <v>0</v>
      </c>
      <c r="BM29">
        <f>Constants!$B$50</f>
        <v>1.57</v>
      </c>
      <c r="BN29">
        <f>_xlfn.XLOOKUP(D29,Constants!$A$34:$A$35,Constants!$B$34:$B$35)</f>
        <v>2E-3</v>
      </c>
      <c r="BO29">
        <f t="shared" si="23"/>
        <v>0</v>
      </c>
      <c r="BP29">
        <f t="shared" si="23"/>
        <v>0</v>
      </c>
      <c r="BQ29">
        <f t="shared" si="23"/>
        <v>0</v>
      </c>
      <c r="BR29">
        <f t="shared" si="23"/>
        <v>35.693571070499281</v>
      </c>
      <c r="BS29">
        <f t="shared" si="23"/>
        <v>0</v>
      </c>
      <c r="BT29">
        <f t="shared" si="20"/>
        <v>0</v>
      </c>
      <c r="BU29">
        <f>SUM(BO29:BT35)/1000</f>
        <v>0.18567933262629913</v>
      </c>
    </row>
    <row r="30" spans="1:73" x14ac:dyDescent="0.2">
      <c r="A30" t="str">
        <f>'Input Scenarios'!A95</f>
        <v>TAS</v>
      </c>
      <c r="B30" t="str">
        <f>'Input Scenarios'!B95</f>
        <v>10 or below</v>
      </c>
      <c r="C30" t="str">
        <f>'Input Scenarios'!C95</f>
        <v>Irrigated crop</v>
      </c>
      <c r="D30" t="str">
        <f>'Input Scenarios'!D95</f>
        <v>dry</v>
      </c>
      <c r="E30" t="b">
        <f>'Input Scenarios'!E95</f>
        <v>1</v>
      </c>
      <c r="G30">
        <f>'Input Scenarios'!G95</f>
        <v>0</v>
      </c>
      <c r="H30">
        <f>'Input Scenarios'!H95</f>
        <v>0.1</v>
      </c>
      <c r="I30">
        <f>'Input Scenarios'!I95</f>
        <v>0.9</v>
      </c>
      <c r="J30">
        <f>'Input Scenarios'!J95</f>
        <v>0.1</v>
      </c>
      <c r="K30">
        <f>'Input Scenarios'!K95</f>
        <v>0.2</v>
      </c>
      <c r="L30">
        <f>'Input Scenarios'!L95</f>
        <v>0.3</v>
      </c>
      <c r="M30">
        <f>'Input Scenarios'!M95</f>
        <v>0.4</v>
      </c>
      <c r="N30">
        <f>'Input Scenarios'!N95</f>
        <v>0.4</v>
      </c>
      <c r="O30">
        <f>'Input Scenarios'!O95</f>
        <v>0.3</v>
      </c>
      <c r="P30">
        <f>'Input Scenarios'!P95</f>
        <v>0.2</v>
      </c>
      <c r="Q30">
        <f>'Input Scenarios'!Q95</f>
        <v>0.1</v>
      </c>
      <c r="R30" t="b">
        <f>'Input Scenarios'!R30</f>
        <v>0</v>
      </c>
      <c r="S30">
        <f>IF('Input Scenarios'!S95&lt;&gt;"", 'Input Scenarios'!S95, IF(R95, Constants!$B$38, 0))</f>
        <v>0</v>
      </c>
      <c r="T30" t="str">
        <f>IF('Input Scenarios'!T95&lt;&gt;"", 'Input Scenarios'!T95, "")</f>
        <v/>
      </c>
      <c r="U30">
        <f>IF('Input Scenarios'!U95&lt;&gt;"", 'Input Scenarios'!U95, IF(W30&lt;&gt;"", "", Constants!$B$39))</f>
        <v>4</v>
      </c>
      <c r="V30">
        <f>IF('Input Scenarios'!V95&lt;&gt;"", 'Input Scenarios'!V95, IF(W30&lt;&gt;"", "", Constants!$B$40))</f>
        <v>3.3</v>
      </c>
      <c r="W30" t="str">
        <f>IF('Input Scenarios'!W95&lt;&gt;"", 'Input Scenarios'!W95, "")</f>
        <v/>
      </c>
      <c r="X30" t="str">
        <f>'Input Scenarios'!X95</f>
        <v>Illawarra/Aussie Red</v>
      </c>
      <c r="Y30" t="str">
        <f>'Input Scenarios'!Y95</f>
        <v>heifersGt1</v>
      </c>
      <c r="Z30">
        <f>'Input Scenarios'!Z95</f>
        <v>200</v>
      </c>
      <c r="AA30">
        <f>'Input Scenarios'!AA95</f>
        <v>265</v>
      </c>
      <c r="AB30">
        <f>'Input Scenarios'!AB95</f>
        <v>350</v>
      </c>
      <c r="AC30">
        <f>IF('Input Scenarios'!AC95&lt;&gt;"", 'Input Scenarios'!AC95, _xlfn.XLOOKUP(Y30, Constants!$B$13:$H$13, Constants!$B$15:$H$15, ""))</f>
        <v>0.6</v>
      </c>
      <c r="AD30">
        <f>IF('Input Scenarios'!AD95&lt;&gt;"", 'Input Scenarios'!AD95, Constants!$B$45)</f>
        <v>0.75</v>
      </c>
      <c r="AE30">
        <f>IF('Input Scenarios'!AE95&lt;&gt;"", 'Input Scenarios'!AE95, Constants!$B$46)</f>
        <v>0.2</v>
      </c>
      <c r="AF30">
        <f t="shared" si="22"/>
        <v>0</v>
      </c>
      <c r="AG30">
        <f t="shared" si="22"/>
        <v>0</v>
      </c>
      <c r="AH30">
        <f t="shared" si="22"/>
        <v>0</v>
      </c>
      <c r="AI30">
        <f t="shared" si="22"/>
        <v>0</v>
      </c>
      <c r="AJ30">
        <f t="shared" si="11"/>
        <v>1</v>
      </c>
      <c r="AK30">
        <f t="shared" si="21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13"/>
        <v>0.5948500000000001</v>
      </c>
      <c r="AQ30">
        <f t="shared" si="14"/>
        <v>0</v>
      </c>
      <c r="AR30">
        <f>IF(Y30="milkingCows", Constants!$P$2, Constants!$P$3)</f>
        <v>1</v>
      </c>
      <c r="AS30">
        <f t="shared" si="15"/>
        <v>6.9933802499999995</v>
      </c>
      <c r="AT30">
        <f t="shared" si="16"/>
        <v>1.1598645256363516</v>
      </c>
      <c r="AU30">
        <f>_xlfn.XLOOKUP(Y30, Constants!$B$13:$H$13, Constants!$B$14:$H$14, "")</f>
        <v>590</v>
      </c>
      <c r="AV30">
        <f t="shared" si="17"/>
        <v>0.59322033898305082</v>
      </c>
      <c r="AW30">
        <f>Constants!$B$55</f>
        <v>6.25</v>
      </c>
      <c r="AX30">
        <f t="shared" si="1"/>
        <v>9.4533842373449011E-3</v>
      </c>
      <c r="AY30">
        <f t="shared" si="2"/>
        <v>1.3986760499999999</v>
      </c>
      <c r="AZ30">
        <f t="shared" si="18"/>
        <v>0.21291060763723293</v>
      </c>
      <c r="BA30" t="str">
        <f>IF(ISNUMBER(FIND("PreWeaned",Y30)),_xlfn.XLOOKUP(Y30,Constants!$J$2:$J$3,Constants!$M$2:$M$3),"")</f>
        <v/>
      </c>
      <c r="BB30">
        <f t="shared" si="3"/>
        <v>11284.262204773346</v>
      </c>
      <c r="BC30">
        <f t="shared" si="4"/>
        <v>0</v>
      </c>
      <c r="BD30">
        <f t="shared" si="5"/>
        <v>0</v>
      </c>
      <c r="BE30">
        <f t="shared" si="6"/>
        <v>0</v>
      </c>
      <c r="BF30">
        <f t="shared" si="7"/>
        <v>0</v>
      </c>
      <c r="BG30">
        <f t="shared" si="8"/>
        <v>11284.262204773346</v>
      </c>
      <c r="BH30">
        <f>Constants!$C$19</f>
        <v>0</v>
      </c>
      <c r="BI30">
        <f>Constants!$C$20</f>
        <v>0</v>
      </c>
      <c r="BJ30">
        <f>Constants!$C$21</f>
        <v>0</v>
      </c>
      <c r="BK30">
        <f>Constants!$C$22</f>
        <v>5.0000000000000001E-3</v>
      </c>
      <c r="BL30">
        <f>Constants!$C$23</f>
        <v>0</v>
      </c>
      <c r="BM30">
        <f>Constants!$B$50</f>
        <v>1.57</v>
      </c>
      <c r="BN30">
        <f>_xlfn.XLOOKUP(D30,Constants!$A$34:$A$35,Constants!$B$34:$B$35)</f>
        <v>2E-3</v>
      </c>
      <c r="BO30">
        <f t="shared" si="23"/>
        <v>0</v>
      </c>
      <c r="BP30">
        <f t="shared" si="23"/>
        <v>0</v>
      </c>
      <c r="BQ30">
        <f t="shared" si="23"/>
        <v>0</v>
      </c>
      <c r="BR30">
        <f t="shared" si="23"/>
        <v>0</v>
      </c>
      <c r="BS30">
        <f t="shared" si="23"/>
        <v>0</v>
      </c>
      <c r="BT30">
        <f t="shared" si="20"/>
        <v>35.432583322988307</v>
      </c>
    </row>
    <row r="31" spans="1:73" x14ac:dyDescent="0.2">
      <c r="A31" t="str">
        <f>'Input Scenarios'!A96</f>
        <v>TAS</v>
      </c>
      <c r="B31" t="str">
        <f>'Input Scenarios'!B96</f>
        <v>10 or below</v>
      </c>
      <c r="C31" t="str">
        <f>'Input Scenarios'!C96</f>
        <v>Irrigated crop</v>
      </c>
      <c r="D31" t="str">
        <f>'Input Scenarios'!D96</f>
        <v>dry</v>
      </c>
      <c r="E31" t="b">
        <f>'Input Scenarios'!E96</f>
        <v>1</v>
      </c>
      <c r="G31">
        <f>'Input Scenarios'!G96</f>
        <v>0</v>
      </c>
      <c r="H31">
        <f>'Input Scenarios'!H96</f>
        <v>0.1</v>
      </c>
      <c r="I31">
        <f>'Input Scenarios'!I96</f>
        <v>0.9</v>
      </c>
      <c r="J31">
        <f>'Input Scenarios'!J96</f>
        <v>0.1</v>
      </c>
      <c r="K31">
        <f>'Input Scenarios'!K96</f>
        <v>0.2</v>
      </c>
      <c r="L31">
        <f>'Input Scenarios'!L96</f>
        <v>0.3</v>
      </c>
      <c r="M31">
        <f>'Input Scenarios'!M96</f>
        <v>0.4</v>
      </c>
      <c r="N31">
        <f>'Input Scenarios'!N96</f>
        <v>0.4</v>
      </c>
      <c r="O31">
        <f>'Input Scenarios'!O96</f>
        <v>0.3</v>
      </c>
      <c r="P31">
        <f>'Input Scenarios'!P96</f>
        <v>0.2</v>
      </c>
      <c r="Q31">
        <f>'Input Scenarios'!Q96</f>
        <v>0.1</v>
      </c>
      <c r="R31" t="b">
        <f>'Input Scenarios'!R31</f>
        <v>0</v>
      </c>
      <c r="S31">
        <f>IF('Input Scenarios'!S96&lt;&gt;"", 'Input Scenarios'!S96, IF(R96, Constants!$B$38, 0))</f>
        <v>0</v>
      </c>
      <c r="T31" t="str">
        <f>IF('Input Scenarios'!T96&lt;&gt;"", 'Input Scenarios'!T96, "")</f>
        <v/>
      </c>
      <c r="U31">
        <f>IF('Input Scenarios'!U96&lt;&gt;"", 'Input Scenarios'!U96, IF(W31&lt;&gt;"", "", Constants!$B$39))</f>
        <v>4</v>
      </c>
      <c r="V31">
        <f>IF('Input Scenarios'!V96&lt;&gt;"", 'Input Scenarios'!V96, IF(W31&lt;&gt;"", "", Constants!$B$40))</f>
        <v>3.3</v>
      </c>
      <c r="W31" t="str">
        <f>IF('Input Scenarios'!W96&lt;&gt;"", 'Input Scenarios'!W96, "")</f>
        <v/>
      </c>
      <c r="X31" t="str">
        <f>'Input Scenarios'!X96</f>
        <v>Illawarra/Aussie Red</v>
      </c>
      <c r="Y31" t="str">
        <f>'Input Scenarios'!Y96</f>
        <v>heifersLt1PreWeaned</v>
      </c>
      <c r="Z31">
        <f>'Input Scenarios'!Z96</f>
        <v>200</v>
      </c>
      <c r="AA31">
        <f>'Input Scenarios'!AA96</f>
        <v>100</v>
      </c>
      <c r="AB31">
        <f>'Input Scenarios'!AB96</f>
        <v>39</v>
      </c>
      <c r="AC31" t="str">
        <f>IF('Input Scenarios'!AC96&lt;&gt;"", 'Input Scenarios'!AC96, _xlfn.XLOOKUP(Y31, Constants!$B$13:$H$13, Constants!$B$15:$H$15, ""))</f>
        <v/>
      </c>
      <c r="AD31">
        <f>IF('Input Scenarios'!AD96&lt;&gt;"", 'Input Scenarios'!AD96, Constants!$B$45)</f>
        <v>0.75</v>
      </c>
      <c r="AE31">
        <f>IF('Input Scenarios'!AE96&lt;&gt;"", 'Input Scenarios'!AE96, Constants!$B$46)</f>
        <v>0.2</v>
      </c>
      <c r="AF31">
        <f t="shared" si="22"/>
        <v>0</v>
      </c>
      <c r="AG31">
        <f t="shared" si="22"/>
        <v>0</v>
      </c>
      <c r="AH31">
        <f t="shared" si="22"/>
        <v>0</v>
      </c>
      <c r="AI31">
        <f t="shared" si="22"/>
        <v>0</v>
      </c>
      <c r="AJ31">
        <f t="shared" si="11"/>
        <v>1</v>
      </c>
      <c r="AK31">
        <f t="shared" si="21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13"/>
        <v>0.5948500000000001</v>
      </c>
      <c r="AQ31">
        <f t="shared" si="14"/>
        <v>0</v>
      </c>
      <c r="AR31">
        <f>IF(Y31="milkingCows", Constants!$P$2, Constants!$P$3)</f>
        <v>1</v>
      </c>
      <c r="AS31" t="str">
        <f t="shared" si="15"/>
        <v/>
      </c>
      <c r="AT31" t="str">
        <f t="shared" si="16"/>
        <v/>
      </c>
      <c r="AU31" t="str">
        <f>_xlfn.XLOOKUP(Y31, Constants!$B$13:$H$13, Constants!$B$14:$H$14, "")</f>
        <v/>
      </c>
      <c r="AV31" t="str">
        <f t="shared" si="17"/>
        <v/>
      </c>
      <c r="AW31">
        <f>Constants!$B$55</f>
        <v>6.25</v>
      </c>
      <c r="AX31" t="str">
        <f t="shared" si="1"/>
        <v/>
      </c>
      <c r="AY31" t="str">
        <f t="shared" si="2"/>
        <v/>
      </c>
      <c r="AZ31" t="str">
        <f t="shared" si="18"/>
        <v/>
      </c>
      <c r="BA31">
        <f>IF(ISNUMBER(FIND("PreWeaned",Y31)),_xlfn.XLOOKUP(Y31,Constants!$J$2:$J$3,Constants!$M$2:$M$3),"")</f>
        <v>1.37E-2</v>
      </c>
      <c r="BB31">
        <f t="shared" si="3"/>
        <v>274</v>
      </c>
      <c r="BC31">
        <f t="shared" si="4"/>
        <v>0</v>
      </c>
      <c r="BD31">
        <f t="shared" si="5"/>
        <v>0</v>
      </c>
      <c r="BE31">
        <f t="shared" si="6"/>
        <v>0</v>
      </c>
      <c r="BF31">
        <f t="shared" si="7"/>
        <v>0</v>
      </c>
      <c r="BG31">
        <f t="shared" si="8"/>
        <v>274</v>
      </c>
      <c r="BH31">
        <f>Constants!$C$19</f>
        <v>0</v>
      </c>
      <c r="BI31">
        <f>Constants!$C$20</f>
        <v>0</v>
      </c>
      <c r="BJ31">
        <f>Constants!$C$21</f>
        <v>0</v>
      </c>
      <c r="BK31">
        <f>Constants!$C$22</f>
        <v>5.0000000000000001E-3</v>
      </c>
      <c r="BL31">
        <f>Constants!$C$23</f>
        <v>0</v>
      </c>
      <c r="BM31">
        <f>Constants!$B$50</f>
        <v>1.57</v>
      </c>
      <c r="BN31">
        <f>_xlfn.XLOOKUP(D31,Constants!$A$34:$A$35,Constants!$B$34:$B$35)</f>
        <v>2E-3</v>
      </c>
      <c r="BO31">
        <f t="shared" si="23"/>
        <v>0</v>
      </c>
      <c r="BP31">
        <f t="shared" si="23"/>
        <v>0</v>
      </c>
      <c r="BQ31">
        <f t="shared" si="23"/>
        <v>0</v>
      </c>
      <c r="BR31">
        <f t="shared" si="23"/>
        <v>0</v>
      </c>
      <c r="BS31">
        <f t="shared" si="23"/>
        <v>0</v>
      </c>
      <c r="BT31">
        <f t="shared" si="20"/>
        <v>0.86036000000000012</v>
      </c>
    </row>
    <row r="32" spans="1:73" x14ac:dyDescent="0.2">
      <c r="A32" t="str">
        <f>'Input Scenarios'!A97</f>
        <v>TAS</v>
      </c>
      <c r="B32" t="str">
        <f>'Input Scenarios'!B97</f>
        <v>10 or below</v>
      </c>
      <c r="C32" t="str">
        <f>'Input Scenarios'!C97</f>
        <v>Irrigated crop</v>
      </c>
      <c r="D32" t="str">
        <f>'Input Scenarios'!D97</f>
        <v>dry</v>
      </c>
      <c r="E32" t="b">
        <f>'Input Scenarios'!E97</f>
        <v>1</v>
      </c>
      <c r="G32">
        <f>'Input Scenarios'!G97</f>
        <v>0</v>
      </c>
      <c r="H32">
        <f>'Input Scenarios'!H97</f>
        <v>0.1</v>
      </c>
      <c r="I32">
        <f>'Input Scenarios'!I97</f>
        <v>0.9</v>
      </c>
      <c r="J32">
        <f>'Input Scenarios'!J97</f>
        <v>0.1</v>
      </c>
      <c r="K32">
        <f>'Input Scenarios'!K97</f>
        <v>0.2</v>
      </c>
      <c r="L32">
        <f>'Input Scenarios'!L97</f>
        <v>0.3</v>
      </c>
      <c r="M32">
        <f>'Input Scenarios'!M97</f>
        <v>0.4</v>
      </c>
      <c r="N32">
        <f>'Input Scenarios'!N97</f>
        <v>0.4</v>
      </c>
      <c r="O32">
        <f>'Input Scenarios'!O97</f>
        <v>0.3</v>
      </c>
      <c r="P32">
        <f>'Input Scenarios'!P97</f>
        <v>0.2</v>
      </c>
      <c r="Q32">
        <f>'Input Scenarios'!Q97</f>
        <v>0.1</v>
      </c>
      <c r="R32" t="b">
        <f>'Input Scenarios'!R32</f>
        <v>0</v>
      </c>
      <c r="S32">
        <f>IF('Input Scenarios'!S97&lt;&gt;"", 'Input Scenarios'!S97, IF(R97, Constants!$B$38, 0))</f>
        <v>0</v>
      </c>
      <c r="T32" t="str">
        <f>IF('Input Scenarios'!T97&lt;&gt;"", 'Input Scenarios'!T97, "")</f>
        <v/>
      </c>
      <c r="U32">
        <f>IF('Input Scenarios'!U97&lt;&gt;"", 'Input Scenarios'!U97, IF(W32&lt;&gt;"", "", Constants!$B$39))</f>
        <v>4</v>
      </c>
      <c r="V32">
        <f>IF('Input Scenarios'!V97&lt;&gt;"", 'Input Scenarios'!V97, IF(W32&lt;&gt;"", "", Constants!$B$40))</f>
        <v>3.3</v>
      </c>
      <c r="W32" t="str">
        <f>IF('Input Scenarios'!W97&lt;&gt;"", 'Input Scenarios'!W97, "")</f>
        <v/>
      </c>
      <c r="X32" t="str">
        <f>'Input Scenarios'!X97</f>
        <v>Illawarra/Aussie Red</v>
      </c>
      <c r="Y32" t="str">
        <f>'Input Scenarios'!Y97</f>
        <v>heifersLt1Weaned</v>
      </c>
      <c r="Z32">
        <f>'Input Scenarios'!Z97</f>
        <v>200</v>
      </c>
      <c r="AA32">
        <f>'Input Scenarios'!AA97</f>
        <v>360</v>
      </c>
      <c r="AB32">
        <f>'Input Scenarios'!AB97</f>
        <v>145</v>
      </c>
      <c r="AC32">
        <f>IF('Input Scenarios'!AC97&lt;&gt;"", 'Input Scenarios'!AC97, _xlfn.XLOOKUP(Y32, Constants!$B$13:$H$13, Constants!$B$15:$H$15, ""))</f>
        <v>0.56999999999999995</v>
      </c>
      <c r="AD32">
        <f>IF('Input Scenarios'!AD97&lt;&gt;"", 'Input Scenarios'!AD97, Constants!$B$45)</f>
        <v>0.75</v>
      </c>
      <c r="AE32">
        <f>IF('Input Scenarios'!AE97&lt;&gt;"", 'Input Scenarios'!AE97, Constants!$B$46)</f>
        <v>0.2</v>
      </c>
      <c r="AF32">
        <f t="shared" si="22"/>
        <v>0</v>
      </c>
      <c r="AG32">
        <f t="shared" si="22"/>
        <v>0</v>
      </c>
      <c r="AH32">
        <f t="shared" si="22"/>
        <v>0</v>
      </c>
      <c r="AI32">
        <f t="shared" si="22"/>
        <v>0</v>
      </c>
      <c r="AJ32">
        <f t="shared" si="11"/>
        <v>1</v>
      </c>
      <c r="AK32">
        <f t="shared" si="21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13"/>
        <v>0.5948500000000001</v>
      </c>
      <c r="AQ32">
        <f t="shared" si="14"/>
        <v>0</v>
      </c>
      <c r="AR32">
        <f>IF(Y32="milkingCows", Constants!$P$2, Constants!$P$3)</f>
        <v>1</v>
      </c>
      <c r="AS32">
        <f t="shared" si="15"/>
        <v>3.8737521942250002</v>
      </c>
      <c r="AT32">
        <f t="shared" si="16"/>
        <v>1.2108445342325853</v>
      </c>
      <c r="AU32">
        <f>_xlfn.XLOOKUP(Y32, Constants!$B$13:$H$13, Constants!$B$14:$H$14, "")</f>
        <v>590</v>
      </c>
      <c r="AV32">
        <f t="shared" si="17"/>
        <v>0.24576271186440679</v>
      </c>
      <c r="AW32">
        <f>Constants!$B$55</f>
        <v>6.25</v>
      </c>
      <c r="AX32">
        <f t="shared" si="1"/>
        <v>1.4832686313540533E-2</v>
      </c>
      <c r="AY32">
        <f t="shared" si="2"/>
        <v>0.77475043884500006</v>
      </c>
      <c r="AZ32">
        <f t="shared" si="18"/>
        <v>0.10839195842696786</v>
      </c>
      <c r="BA32" t="str">
        <f>IF(ISNUMBER(FIND("PreWeaned",Y32)),_xlfn.XLOOKUP(Y32,Constants!$J$2:$J$3,Constants!$M$2:$M$3),"")</f>
        <v/>
      </c>
      <c r="BB32">
        <f t="shared" si="3"/>
        <v>7804.2210067416854</v>
      </c>
      <c r="BC32">
        <f t="shared" si="4"/>
        <v>0</v>
      </c>
      <c r="BD32">
        <f t="shared" si="5"/>
        <v>0</v>
      </c>
      <c r="BE32">
        <f t="shared" si="6"/>
        <v>0</v>
      </c>
      <c r="BF32">
        <f t="shared" si="7"/>
        <v>0</v>
      </c>
      <c r="BG32">
        <f t="shared" si="8"/>
        <v>7804.2210067416854</v>
      </c>
      <c r="BH32">
        <f>Constants!$C$19</f>
        <v>0</v>
      </c>
      <c r="BI32">
        <f>Constants!$C$20</f>
        <v>0</v>
      </c>
      <c r="BJ32">
        <f>Constants!$C$21</f>
        <v>0</v>
      </c>
      <c r="BK32">
        <f>Constants!$C$22</f>
        <v>5.0000000000000001E-3</v>
      </c>
      <c r="BL32">
        <f>Constants!$C$23</f>
        <v>0</v>
      </c>
      <c r="BM32">
        <f>Constants!$B$50</f>
        <v>1.57</v>
      </c>
      <c r="BN32">
        <f>_xlfn.XLOOKUP(D32,Constants!$A$34:$A$35,Constants!$B$34:$B$35)</f>
        <v>2E-3</v>
      </c>
      <c r="BO32">
        <f t="shared" si="23"/>
        <v>0</v>
      </c>
      <c r="BP32">
        <f t="shared" si="23"/>
        <v>0</v>
      </c>
      <c r="BQ32">
        <f t="shared" si="23"/>
        <v>0</v>
      </c>
      <c r="BR32">
        <f t="shared" si="23"/>
        <v>0</v>
      </c>
      <c r="BS32">
        <f t="shared" si="23"/>
        <v>0</v>
      </c>
      <c r="BT32">
        <f t="shared" si="20"/>
        <v>24.505253961168894</v>
      </c>
    </row>
    <row r="33" spans="1:73" x14ac:dyDescent="0.2">
      <c r="A33" t="str">
        <f>'Input Scenarios'!A98</f>
        <v>TAS</v>
      </c>
      <c r="B33" t="str">
        <f>'Input Scenarios'!B98</f>
        <v>10 or below</v>
      </c>
      <c r="C33" t="str">
        <f>'Input Scenarios'!C98</f>
        <v>Irrigated crop</v>
      </c>
      <c r="D33" t="str">
        <f>'Input Scenarios'!D98</f>
        <v>dry</v>
      </c>
      <c r="E33" t="b">
        <f>'Input Scenarios'!E98</f>
        <v>1</v>
      </c>
      <c r="G33">
        <f>'Input Scenarios'!G98</f>
        <v>0</v>
      </c>
      <c r="H33">
        <f>'Input Scenarios'!H98</f>
        <v>0.1</v>
      </c>
      <c r="I33">
        <f>'Input Scenarios'!I98</f>
        <v>0.9</v>
      </c>
      <c r="J33">
        <f>'Input Scenarios'!J98</f>
        <v>0.1</v>
      </c>
      <c r="K33">
        <f>'Input Scenarios'!K98</f>
        <v>0.2</v>
      </c>
      <c r="L33">
        <f>'Input Scenarios'!L98</f>
        <v>0.3</v>
      </c>
      <c r="M33">
        <f>'Input Scenarios'!M98</f>
        <v>0.4</v>
      </c>
      <c r="N33">
        <f>'Input Scenarios'!N98</f>
        <v>0.4</v>
      </c>
      <c r="O33">
        <f>'Input Scenarios'!O98</f>
        <v>0.3</v>
      </c>
      <c r="P33">
        <f>'Input Scenarios'!P98</f>
        <v>0.2</v>
      </c>
      <c r="Q33">
        <f>'Input Scenarios'!Q98</f>
        <v>0.1</v>
      </c>
      <c r="R33" t="b">
        <f>'Input Scenarios'!R33</f>
        <v>0</v>
      </c>
      <c r="S33">
        <f>IF('Input Scenarios'!S98&lt;&gt;"", 'Input Scenarios'!S98, IF(R98, Constants!$B$38, 0))</f>
        <v>0</v>
      </c>
      <c r="T33" t="str">
        <f>IF('Input Scenarios'!T98&lt;&gt;"", 'Input Scenarios'!T98, "")</f>
        <v/>
      </c>
      <c r="U33">
        <f>IF('Input Scenarios'!U98&lt;&gt;"", 'Input Scenarios'!U98, IF(W33&lt;&gt;"", "", Constants!$B$39))</f>
        <v>4</v>
      </c>
      <c r="V33">
        <f>IF('Input Scenarios'!V98&lt;&gt;"", 'Input Scenarios'!V98, IF(W33&lt;&gt;"", "", Constants!$B$40))</f>
        <v>3.3</v>
      </c>
      <c r="W33" t="str">
        <f>IF('Input Scenarios'!W98&lt;&gt;"", 'Input Scenarios'!W98, "")</f>
        <v/>
      </c>
      <c r="X33" t="str">
        <f>'Input Scenarios'!X98</f>
        <v>Illawarra/Aussie Red</v>
      </c>
      <c r="Y33" t="str">
        <f>'Input Scenarios'!Y98</f>
        <v>bullsGt1</v>
      </c>
      <c r="Z33">
        <f>'Input Scenarios'!Z98</f>
        <v>200</v>
      </c>
      <c r="AA33">
        <f>'Input Scenarios'!AA98</f>
        <v>345</v>
      </c>
      <c r="AB33">
        <f>'Input Scenarios'!AB98</f>
        <v>575</v>
      </c>
      <c r="AC33">
        <f>IF('Input Scenarios'!AC98&lt;&gt;"", 'Input Scenarios'!AC98, _xlfn.XLOOKUP(Y33, Constants!$B$13:$H$13, Constants!$B$15:$H$15, ""))</f>
        <v>0.1</v>
      </c>
      <c r="AD33">
        <f>IF('Input Scenarios'!AD98&lt;&gt;"", 'Input Scenarios'!AD98, Constants!$B$45)</f>
        <v>0.75</v>
      </c>
      <c r="AE33">
        <f>IF('Input Scenarios'!AE98&lt;&gt;"", 'Input Scenarios'!AE98, Constants!$B$46)</f>
        <v>0.2</v>
      </c>
      <c r="AF33">
        <f t="shared" si="22"/>
        <v>0</v>
      </c>
      <c r="AG33">
        <f t="shared" si="22"/>
        <v>0</v>
      </c>
      <c r="AH33">
        <f t="shared" si="22"/>
        <v>0</v>
      </c>
      <c r="AI33">
        <f t="shared" si="22"/>
        <v>0</v>
      </c>
      <c r="AJ33">
        <f t="shared" si="11"/>
        <v>1</v>
      </c>
      <c r="AK33">
        <f t="shared" si="21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13"/>
        <v>0.5948500000000001</v>
      </c>
      <c r="AQ33">
        <f t="shared" si="14"/>
        <v>0</v>
      </c>
      <c r="AR33">
        <f>IF(Y33="milkingCows", Constants!$P$2, Constants!$P$3)</f>
        <v>1</v>
      </c>
      <c r="AS33">
        <f t="shared" si="15"/>
        <v>8.805314390625</v>
      </c>
      <c r="AT33">
        <f t="shared" si="16"/>
        <v>1.0215737979983797</v>
      </c>
      <c r="AU33">
        <f>_xlfn.XLOOKUP(Y33, Constants!$B$13:$H$13, Constants!$B$14:$H$14, "")</f>
        <v>770</v>
      </c>
      <c r="AV33">
        <f t="shared" si="17"/>
        <v>0.74675324675324672</v>
      </c>
      <c r="AW33">
        <f>Constants!$B$55</f>
        <v>6.25</v>
      </c>
      <c r="AX33">
        <f t="shared" si="1"/>
        <v>1.3013883723884015E-3</v>
      </c>
      <c r="AY33">
        <f t="shared" si="2"/>
        <v>1.7610628781250002</v>
      </c>
      <c r="AZ33">
        <f t="shared" si="18"/>
        <v>0.27840203821677945</v>
      </c>
      <c r="BA33" t="str">
        <f>IF(ISNUMBER(FIND("PreWeaned",Y33)),_xlfn.XLOOKUP(Y33,Constants!$J$2:$J$3,Constants!$M$2:$M$3),"")</f>
        <v/>
      </c>
      <c r="BB33">
        <f t="shared" si="3"/>
        <v>19209.740636957784</v>
      </c>
      <c r="BC33">
        <f t="shared" si="4"/>
        <v>0</v>
      </c>
      <c r="BD33">
        <f t="shared" si="5"/>
        <v>0</v>
      </c>
      <c r="BE33">
        <f t="shared" si="6"/>
        <v>0</v>
      </c>
      <c r="BF33">
        <f t="shared" si="7"/>
        <v>0</v>
      </c>
      <c r="BG33">
        <f t="shared" si="8"/>
        <v>19209.740636957784</v>
      </c>
      <c r="BH33">
        <f>Constants!$C$19</f>
        <v>0</v>
      </c>
      <c r="BI33">
        <f>Constants!$C$20</f>
        <v>0</v>
      </c>
      <c r="BJ33">
        <f>Constants!$C$21</f>
        <v>0</v>
      </c>
      <c r="BK33">
        <f>Constants!$C$22</f>
        <v>5.0000000000000001E-3</v>
      </c>
      <c r="BL33">
        <f>Constants!$C$23</f>
        <v>0</v>
      </c>
      <c r="BM33">
        <f>Constants!$B$50</f>
        <v>1.57</v>
      </c>
      <c r="BN33">
        <f>_xlfn.XLOOKUP(D33,Constants!$A$34:$A$35,Constants!$B$34:$B$35)</f>
        <v>2E-3</v>
      </c>
      <c r="BO33">
        <f t="shared" si="23"/>
        <v>0</v>
      </c>
      <c r="BP33">
        <f t="shared" si="23"/>
        <v>0</v>
      </c>
      <c r="BQ33">
        <f t="shared" si="23"/>
        <v>0</v>
      </c>
      <c r="BR33">
        <f t="shared" si="23"/>
        <v>0</v>
      </c>
      <c r="BS33">
        <f t="shared" si="23"/>
        <v>0</v>
      </c>
      <c r="BT33">
        <f t="shared" si="20"/>
        <v>60.318585600047442</v>
      </c>
    </row>
    <row r="34" spans="1:73" x14ac:dyDescent="0.2">
      <c r="A34" t="str">
        <f>'Input Scenarios'!A99</f>
        <v>TAS</v>
      </c>
      <c r="B34" t="str">
        <f>'Input Scenarios'!B99</f>
        <v>10 or below</v>
      </c>
      <c r="C34" t="str">
        <f>'Input Scenarios'!C99</f>
        <v>Irrigated crop</v>
      </c>
      <c r="D34" t="str">
        <f>'Input Scenarios'!D99</f>
        <v>dry</v>
      </c>
      <c r="E34" t="b">
        <f>'Input Scenarios'!E99</f>
        <v>1</v>
      </c>
      <c r="G34">
        <f>'Input Scenarios'!G99</f>
        <v>0</v>
      </c>
      <c r="H34">
        <f>'Input Scenarios'!H99</f>
        <v>0.1</v>
      </c>
      <c r="I34">
        <f>'Input Scenarios'!I99</f>
        <v>0.9</v>
      </c>
      <c r="J34">
        <f>'Input Scenarios'!J99</f>
        <v>0.1</v>
      </c>
      <c r="K34">
        <f>'Input Scenarios'!K99</f>
        <v>0.2</v>
      </c>
      <c r="L34">
        <f>'Input Scenarios'!L99</f>
        <v>0.3</v>
      </c>
      <c r="M34">
        <f>'Input Scenarios'!M99</f>
        <v>0.4</v>
      </c>
      <c r="N34">
        <f>'Input Scenarios'!N99</f>
        <v>0.4</v>
      </c>
      <c r="O34">
        <f>'Input Scenarios'!O99</f>
        <v>0.3</v>
      </c>
      <c r="P34">
        <f>'Input Scenarios'!P99</f>
        <v>0.2</v>
      </c>
      <c r="Q34">
        <f>'Input Scenarios'!Q99</f>
        <v>0.1</v>
      </c>
      <c r="R34" t="b">
        <f>'Input Scenarios'!R34</f>
        <v>0</v>
      </c>
      <c r="S34">
        <f>IF('Input Scenarios'!S99&lt;&gt;"", 'Input Scenarios'!S99, IF(R99, Constants!$B$38, 0))</f>
        <v>0</v>
      </c>
      <c r="T34" t="str">
        <f>IF('Input Scenarios'!T99&lt;&gt;"", 'Input Scenarios'!T99, "")</f>
        <v/>
      </c>
      <c r="U34">
        <f>IF('Input Scenarios'!U99&lt;&gt;"", 'Input Scenarios'!U99, IF(W34&lt;&gt;"", "", Constants!$B$39))</f>
        <v>4</v>
      </c>
      <c r="V34">
        <f>IF('Input Scenarios'!V99&lt;&gt;"", 'Input Scenarios'!V99, IF(W34&lt;&gt;"", "", Constants!$B$40))</f>
        <v>3.3</v>
      </c>
      <c r="W34" t="str">
        <f>IF('Input Scenarios'!W99&lt;&gt;"", 'Input Scenarios'!W99, "")</f>
        <v/>
      </c>
      <c r="X34" t="str">
        <f>'Input Scenarios'!X99</f>
        <v>Illawarra/Aussie Red</v>
      </c>
      <c r="Y34" t="str">
        <f>'Input Scenarios'!Y99</f>
        <v>bullsLt1PreWeaned</v>
      </c>
      <c r="Z34">
        <f>'Input Scenarios'!Z99</f>
        <v>200</v>
      </c>
      <c r="AA34">
        <f>'Input Scenarios'!AA99</f>
        <v>124</v>
      </c>
      <c r="AB34">
        <f>'Input Scenarios'!AB99</f>
        <v>225</v>
      </c>
      <c r="AC34" t="str">
        <f>IF('Input Scenarios'!AC99&lt;&gt;"", 'Input Scenarios'!AC99, _xlfn.XLOOKUP(Y34, Constants!$B$13:$H$13, Constants!$B$15:$H$15, ""))</f>
        <v/>
      </c>
      <c r="AD34">
        <f>IF('Input Scenarios'!AD99&lt;&gt;"", 'Input Scenarios'!AD99, Constants!$B$45)</f>
        <v>0.75</v>
      </c>
      <c r="AE34">
        <f>IF('Input Scenarios'!AE99&lt;&gt;"", 'Input Scenarios'!AE99, Constants!$B$46)</f>
        <v>0.2</v>
      </c>
      <c r="AF34">
        <f t="shared" si="22"/>
        <v>0</v>
      </c>
      <c r="AG34">
        <f t="shared" si="22"/>
        <v>0</v>
      </c>
      <c r="AH34">
        <f t="shared" si="22"/>
        <v>0</v>
      </c>
      <c r="AI34">
        <f t="shared" si="22"/>
        <v>0</v>
      </c>
      <c r="AJ34">
        <f t="shared" si="11"/>
        <v>1</v>
      </c>
      <c r="AK34">
        <f t="shared" si="21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13"/>
        <v>0.5948500000000001</v>
      </c>
      <c r="AQ34">
        <f t="shared" si="14"/>
        <v>0</v>
      </c>
      <c r="AR34">
        <f>IF(Y34="milkingCows", Constants!$P$2, Constants!$P$3)</f>
        <v>1</v>
      </c>
      <c r="AS34" t="str">
        <f t="shared" si="15"/>
        <v/>
      </c>
      <c r="AT34" t="str">
        <f t="shared" si="16"/>
        <v/>
      </c>
      <c r="AU34" t="str">
        <f>_xlfn.XLOOKUP(Y34, Constants!$B$13:$H$13, Constants!$B$14:$H$14, "")</f>
        <v/>
      </c>
      <c r="AV34" t="str">
        <f t="shared" si="17"/>
        <v/>
      </c>
      <c r="AW34">
        <f>Constants!$B$55</f>
        <v>6.25</v>
      </c>
      <c r="AX34" t="str">
        <f t="shared" si="1"/>
        <v/>
      </c>
      <c r="AY34" t="str">
        <f t="shared" si="2"/>
        <v/>
      </c>
      <c r="AZ34" t="str">
        <f t="shared" si="18"/>
        <v/>
      </c>
      <c r="BA34">
        <f>IF(ISNUMBER(FIND("PreWeaned",Y34)),_xlfn.XLOOKUP(Y34,Constants!$J$2:$J$3,Constants!$M$2:$M$3),"")</f>
        <v>9.1999999999999998E-3</v>
      </c>
      <c r="BB34">
        <f t="shared" si="3"/>
        <v>228.15999999999997</v>
      </c>
      <c r="BC34">
        <f t="shared" si="4"/>
        <v>0</v>
      </c>
      <c r="BD34">
        <f t="shared" si="5"/>
        <v>0</v>
      </c>
      <c r="BE34">
        <f t="shared" si="6"/>
        <v>0</v>
      </c>
      <c r="BF34">
        <f t="shared" si="7"/>
        <v>0</v>
      </c>
      <c r="BG34">
        <f t="shared" si="8"/>
        <v>228.15999999999997</v>
      </c>
      <c r="BH34">
        <f>Constants!$C$19</f>
        <v>0</v>
      </c>
      <c r="BI34">
        <f>Constants!$C$20</f>
        <v>0</v>
      </c>
      <c r="BJ34">
        <f>Constants!$C$21</f>
        <v>0</v>
      </c>
      <c r="BK34">
        <f>Constants!$C$22</f>
        <v>5.0000000000000001E-3</v>
      </c>
      <c r="BL34">
        <f>Constants!$C$23</f>
        <v>0</v>
      </c>
      <c r="BM34">
        <f>Constants!$B$50</f>
        <v>1.57</v>
      </c>
      <c r="BN34">
        <f>_xlfn.XLOOKUP(D34,Constants!$A$34:$A$35,Constants!$B$34:$B$35)</f>
        <v>2E-3</v>
      </c>
      <c r="BO34">
        <f t="shared" si="23"/>
        <v>0</v>
      </c>
      <c r="BP34">
        <f t="shared" si="23"/>
        <v>0</v>
      </c>
      <c r="BQ34">
        <f t="shared" si="23"/>
        <v>0</v>
      </c>
      <c r="BR34">
        <f t="shared" si="23"/>
        <v>0</v>
      </c>
      <c r="BS34">
        <f t="shared" si="23"/>
        <v>0</v>
      </c>
      <c r="BT34">
        <f t="shared" si="20"/>
        <v>0.7164223999999999</v>
      </c>
    </row>
    <row r="35" spans="1:73" s="16" customFormat="1" x14ac:dyDescent="0.2">
      <c r="A35" s="16" t="str">
        <f>'Input Scenarios'!A100</f>
        <v>TAS</v>
      </c>
      <c r="B35" s="16" t="str">
        <f>'Input Scenarios'!B100</f>
        <v>10 or below</v>
      </c>
      <c r="C35" s="16" t="str">
        <f>'Input Scenarios'!C100</f>
        <v>Irrigated crop</v>
      </c>
      <c r="D35" s="16" t="str">
        <f>'Input Scenarios'!D100</f>
        <v>dry</v>
      </c>
      <c r="E35" s="16" t="b">
        <f>'Input Scenarios'!E100</f>
        <v>1</v>
      </c>
      <c r="G35" s="16">
        <f>'Input Scenarios'!G100</f>
        <v>0</v>
      </c>
      <c r="H35" s="16">
        <f>'Input Scenarios'!H100</f>
        <v>0.1</v>
      </c>
      <c r="I35" s="16">
        <f>'Input Scenarios'!I100</f>
        <v>0.9</v>
      </c>
      <c r="J35" s="16">
        <f>'Input Scenarios'!J100</f>
        <v>0.1</v>
      </c>
      <c r="K35" s="16">
        <f>'Input Scenarios'!K100</f>
        <v>0.2</v>
      </c>
      <c r="L35" s="16">
        <f>'Input Scenarios'!L100</f>
        <v>0.3</v>
      </c>
      <c r="M35" s="16">
        <f>'Input Scenarios'!M100</f>
        <v>0.4</v>
      </c>
      <c r="N35" s="16">
        <f>'Input Scenarios'!N100</f>
        <v>0.4</v>
      </c>
      <c r="O35" s="16">
        <f>'Input Scenarios'!O100</f>
        <v>0.3</v>
      </c>
      <c r="P35" s="16">
        <f>'Input Scenarios'!P100</f>
        <v>0.2</v>
      </c>
      <c r="Q35" s="16">
        <f>'Input Scenarios'!Q100</f>
        <v>0.1</v>
      </c>
      <c r="R35" s="16" t="b">
        <f>'Input Scenarios'!R35</f>
        <v>0</v>
      </c>
      <c r="S35" s="16">
        <f>IF('Input Scenarios'!S100&lt;&gt;"", 'Input Scenarios'!S100, IF(R100, Constants!$B$38, 0))</f>
        <v>0</v>
      </c>
      <c r="T35" s="16" t="str">
        <f>IF('Input Scenarios'!T100&lt;&gt;"", 'Input Scenarios'!T100, "")</f>
        <v/>
      </c>
      <c r="U35" s="16">
        <f>IF('Input Scenarios'!U100&lt;&gt;"", 'Input Scenarios'!U100, IF(W35&lt;&gt;"", "", Constants!$B$39))</f>
        <v>4</v>
      </c>
      <c r="V35" s="16">
        <f>IF('Input Scenarios'!V100&lt;&gt;"", 'Input Scenarios'!V100, IF(W35&lt;&gt;"", "", Constants!$B$40))</f>
        <v>3.3</v>
      </c>
      <c r="W35" s="16" t="str">
        <f>IF('Input Scenarios'!W100&lt;&gt;"", 'Input Scenarios'!W100, "")</f>
        <v/>
      </c>
      <c r="X35" s="16" t="str">
        <f>'Input Scenarios'!X100</f>
        <v>Illawarra/Aussie Red</v>
      </c>
      <c r="Y35" s="16" t="str">
        <f>'Input Scenarios'!Y100</f>
        <v>bullsLt1Weaned</v>
      </c>
      <c r="Z35" s="16">
        <f>'Input Scenarios'!Z100</f>
        <v>200</v>
      </c>
      <c r="AA35" s="16">
        <f>'Input Scenarios'!AA100</f>
        <v>294</v>
      </c>
      <c r="AB35" s="16">
        <f>'Input Scenarios'!AB100</f>
        <v>225</v>
      </c>
      <c r="AC35" s="16">
        <f>IF('Input Scenarios'!AC100&lt;&gt;"", 'Input Scenarios'!AC100, _xlfn.XLOOKUP(Y35, Constants!$B$13:$H$13, Constants!$B$15:$H$15, ""))</f>
        <v>0.8</v>
      </c>
      <c r="AD35" s="16">
        <f>IF('Input Scenarios'!AD100&lt;&gt;"", 'Input Scenarios'!AD100, Constants!$B$45)</f>
        <v>0.75</v>
      </c>
      <c r="AE35" s="16">
        <f>IF('Input Scenarios'!AE100&lt;&gt;"", 'Input Scenarios'!AE100, Constants!$B$46)</f>
        <v>0.2</v>
      </c>
      <c r="AF35" s="16">
        <f t="shared" si="22"/>
        <v>0</v>
      </c>
      <c r="AG35" s="16">
        <f t="shared" si="22"/>
        <v>0</v>
      </c>
      <c r="AH35" s="16">
        <f t="shared" si="22"/>
        <v>0</v>
      </c>
      <c r="AI35" s="16">
        <f t="shared" si="22"/>
        <v>0</v>
      </c>
      <c r="AJ35" s="16">
        <f t="shared" si="11"/>
        <v>1</v>
      </c>
      <c r="AK35" s="16">
        <f t="shared" si="21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13"/>
        <v>0.5948500000000001</v>
      </c>
      <c r="AQ35" s="16">
        <f t="shared" si="14"/>
        <v>0</v>
      </c>
      <c r="AR35" s="16">
        <f>IF(Y35="milkingCows", Constants!$P$2, Constants!$P$3)</f>
        <v>1</v>
      </c>
      <c r="AS35" s="16">
        <f t="shared" si="15"/>
        <v>5.4143472656250013</v>
      </c>
      <c r="AT35" s="16">
        <f t="shared" si="16"/>
        <v>1.2576570545672616</v>
      </c>
      <c r="AU35" s="16">
        <f>_xlfn.XLOOKUP(Y35, Constants!$B$13:$H$13, Constants!$B$14:$H$14, "")</f>
        <v>770</v>
      </c>
      <c r="AV35" s="16">
        <f t="shared" si="17"/>
        <v>0.29220779220779219</v>
      </c>
      <c r="AW35" s="16">
        <f>Constants!$B$55</f>
        <v>6.25</v>
      </c>
      <c r="AX35" s="16">
        <f t="shared" si="1"/>
        <v>1.9757354894894084E-2</v>
      </c>
      <c r="AY35" s="16">
        <f t="shared" si="2"/>
        <v>1.0828694531250003</v>
      </c>
      <c r="AZ35" s="16">
        <f t="shared" si="18"/>
        <v>0.15247929000170721</v>
      </c>
      <c r="BA35" s="16" t="str">
        <f>IF(ISNUMBER(FIND("PreWeaned",Y35)),_xlfn.XLOOKUP(Y35,Constants!$J$2:$J$3,Constants!$M$2:$M$3),"")</f>
        <v/>
      </c>
      <c r="BB35" s="16">
        <f t="shared" si="3"/>
        <v>8965.7822521003836</v>
      </c>
      <c r="BC35" s="16">
        <f t="shared" si="4"/>
        <v>0</v>
      </c>
      <c r="BD35" s="16">
        <f t="shared" si="5"/>
        <v>0</v>
      </c>
      <c r="BE35" s="16">
        <f t="shared" si="6"/>
        <v>0</v>
      </c>
      <c r="BF35" s="16">
        <f t="shared" si="7"/>
        <v>0</v>
      </c>
      <c r="BG35" s="16">
        <f t="shared" si="8"/>
        <v>8965.7822521003836</v>
      </c>
      <c r="BH35" s="16">
        <f>Constants!$C$19</f>
        <v>0</v>
      </c>
      <c r="BI35" s="16">
        <f>Constants!$C$20</f>
        <v>0</v>
      </c>
      <c r="BJ35" s="16">
        <f>Constants!$C$21</f>
        <v>0</v>
      </c>
      <c r="BK35" s="16">
        <f>Constants!$C$22</f>
        <v>5.0000000000000001E-3</v>
      </c>
      <c r="BL35" s="16">
        <f>Constants!$C$23</f>
        <v>0</v>
      </c>
      <c r="BM35" s="16">
        <f>Constants!$B$50</f>
        <v>1.57</v>
      </c>
      <c r="BN35" s="16">
        <f>_xlfn.XLOOKUP(D35,Constants!$A$34:$A$35,Constants!$B$34:$B$35)</f>
        <v>2E-3</v>
      </c>
      <c r="BO35" s="16">
        <f t="shared" si="23"/>
        <v>0</v>
      </c>
      <c r="BP35" s="16">
        <f t="shared" si="23"/>
        <v>0</v>
      </c>
      <c r="BQ35" s="16">
        <f t="shared" si="23"/>
        <v>0</v>
      </c>
      <c r="BR35" s="16">
        <f t="shared" si="23"/>
        <v>0</v>
      </c>
      <c r="BS35" s="16">
        <f t="shared" si="23"/>
        <v>0</v>
      </c>
      <c r="BT35" s="16">
        <f t="shared" si="20"/>
        <v>28.152556271595206</v>
      </c>
    </row>
    <row r="36" spans="1:73" x14ac:dyDescent="0.2">
      <c r="A36" t="str">
        <f>'Input Scenarios'!A101</f>
        <v>VIC</v>
      </c>
      <c r="B36">
        <f>'Input Scenarios'!B101</f>
        <v>14</v>
      </c>
      <c r="C36" t="str">
        <f>'Input Scenarios'!C101</f>
        <v>Non-irrigated pasture</v>
      </c>
      <c r="D36" t="str">
        <f>'Input Scenarios'!D101</f>
        <v>wet</v>
      </c>
      <c r="E36" t="b">
        <f>'Input Scenarios'!E101</f>
        <v>0</v>
      </c>
      <c r="G36">
        <f>'Input Scenarios'!G101</f>
        <v>0.43</v>
      </c>
      <c r="H36">
        <f>'Input Scenarios'!H101</f>
        <v>0.14000000000000001</v>
      </c>
      <c r="I36">
        <f>'Input Scenarios'!I101</f>
        <v>0.43</v>
      </c>
      <c r="J36">
        <f>'Input Scenarios'!J101</f>
        <v>0.25</v>
      </c>
      <c r="K36">
        <f>'Input Scenarios'!K101</f>
        <v>0.25</v>
      </c>
      <c r="L36">
        <f>'Input Scenarios'!L101</f>
        <v>0.25</v>
      </c>
      <c r="M36">
        <f>'Input Scenarios'!M101</f>
        <v>0.25</v>
      </c>
      <c r="N36">
        <f>'Input Scenarios'!N101</f>
        <v>0.25</v>
      </c>
      <c r="O36">
        <f>'Input Scenarios'!O101</f>
        <v>0.25</v>
      </c>
      <c r="P36">
        <f>'Input Scenarios'!P101</f>
        <v>0.25</v>
      </c>
      <c r="Q36">
        <f>'Input Scenarios'!Q101</f>
        <v>0.25</v>
      </c>
      <c r="R36" t="b">
        <f>'Input Scenarios'!R36</f>
        <v>1</v>
      </c>
      <c r="S36">
        <f>IF('Input Scenarios'!S101&lt;&gt;"", 'Input Scenarios'!S101, IF(R101, Constants!$B$38, 0))</f>
        <v>0.18</v>
      </c>
      <c r="T36" s="20" t="str">
        <f>IF('Input Scenarios'!T101&lt;&gt;"", 'Input Scenarios'!T101, "")</f>
        <v/>
      </c>
      <c r="U36" s="20" t="str">
        <f>IF('Input Scenarios'!U101&lt;&gt;"", 'Input Scenarios'!U101, IF(W36&lt;&gt;"", "", Constants!$B$39))</f>
        <v/>
      </c>
      <c r="V36" s="20" t="str">
        <f>IF('Input Scenarios'!V101&lt;&gt;"", 'Input Scenarios'!V101, IF(W36&lt;&gt;"", "", Constants!$B$40))</f>
        <v/>
      </c>
      <c r="W36" s="20">
        <f>IF('Input Scenarios'!W101&lt;&gt;"", 'Input Scenarios'!W101, "")</f>
        <v>30</v>
      </c>
      <c r="X36" s="20" t="str">
        <f>'Input Scenarios'!X101</f>
        <v>Jersey</v>
      </c>
      <c r="Y36" s="20" t="str">
        <f>'Input Scenarios'!Y101</f>
        <v>milkingCows</v>
      </c>
      <c r="Z36" s="20">
        <f>'Input Scenarios'!Z101</f>
        <v>200</v>
      </c>
      <c r="AA36" s="20">
        <f>'Input Scenarios'!AA101</f>
        <v>365</v>
      </c>
      <c r="AB36" s="20">
        <f>'Input Scenarios'!AB101</f>
        <v>400</v>
      </c>
      <c r="AC36">
        <f>IF('Input Scenarios'!AC101&lt;&gt;"", 'Input Scenarios'!AC101, _xlfn.XLOOKUP(Y36, Constants!$B$13:$H$13, Constants!$B$15:$H$15, ""))</f>
        <v>1.6E-2</v>
      </c>
      <c r="AD36">
        <f>IF('Input Scenarios'!AD101&lt;&gt;"", 'Input Scenarios'!AD101, Constants!$B$45)</f>
        <v>0.75</v>
      </c>
      <c r="AE36">
        <f>IF('Input Scenarios'!AE101&lt;&gt;"", 'Input Scenarios'!AE101, Constants!$B$46)</f>
        <v>0.2</v>
      </c>
      <c r="AF36" s="20">
        <f>IF($Y36="milkingCows",($H36*J36)+($I36*N36), 0)</f>
        <v>0.14250000000000002</v>
      </c>
      <c r="AG36" s="20">
        <f t="shared" si="22"/>
        <v>0.14250000000000002</v>
      </c>
      <c r="AH36" s="20">
        <f t="shared" si="22"/>
        <v>0.14250000000000002</v>
      </c>
      <c r="AI36" s="20">
        <f t="shared" si="22"/>
        <v>0.14250000000000002</v>
      </c>
      <c r="AJ36" s="20">
        <f>IF($Y36="milkingCows",G36, 1)</f>
        <v>0.43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 t="shared" si="13"/>
        <v>0.5948500000000001</v>
      </c>
      <c r="AQ36">
        <f t="shared" si="14"/>
        <v>14.369808245410789</v>
      </c>
      <c r="AR36">
        <f>IF(Y36="milkingCows", Constants!$P$2, Constants!$P$3)</f>
        <v>1.1000000000000001</v>
      </c>
      <c r="AS36">
        <f t="shared" si="15"/>
        <v>21.748946167170789</v>
      </c>
      <c r="AT36">
        <f t="shared" si="16"/>
        <v>1.001320906258945</v>
      </c>
      <c r="AU36">
        <f>_xlfn.XLOOKUP(Y36, Constants!$B$13:$H$13, Constants!$B$14:$H$14, "")</f>
        <v>590</v>
      </c>
      <c r="AV36">
        <f t="shared" si="17"/>
        <v>0.67796610169491522</v>
      </c>
      <c r="AW36">
        <f>Constants!$B$55</f>
        <v>6.25</v>
      </c>
      <c r="AX36" s="20">
        <f t="shared" si="1"/>
        <v>0.1552092207973319</v>
      </c>
      <c r="AY36">
        <f t="shared" si="2"/>
        <v>4.3497892334341577</v>
      </c>
      <c r="AZ36">
        <f>IF(ISNUMBER(FIND("PreWeaned",Y36)),"", MAX((AY36/AW36)-AX36-(((1.1*10^-4)*(AB36^0.75))/AW36), 0))</f>
        <v>0.53918286469597354</v>
      </c>
      <c r="BA36" t="str">
        <f>IF(ISNUMBER(FIND("PreWeaned",Y36)),_xlfn.XLOOKUP(Y36,Constants!$J$2:$J$3,Constants!$M$2:$M$3),"")</f>
        <v/>
      </c>
      <c r="BB36">
        <f t="shared" si="3"/>
        <v>39360.349122806067</v>
      </c>
      <c r="BC36">
        <f t="shared" si="4"/>
        <v>5608.8497499998648</v>
      </c>
      <c r="BD36">
        <f t="shared" si="5"/>
        <v>5608.8497499998648</v>
      </c>
      <c r="BE36">
        <f t="shared" si="6"/>
        <v>5608.8497499998648</v>
      </c>
      <c r="BF36">
        <f t="shared" si="7"/>
        <v>5608.8497499998648</v>
      </c>
      <c r="BG36">
        <f t="shared" si="8"/>
        <v>16924.950122806607</v>
      </c>
      <c r="BH36">
        <f>Constants!$C$19</f>
        <v>0</v>
      </c>
      <c r="BI36">
        <f>Constants!$C$20</f>
        <v>0</v>
      </c>
      <c r="BJ36">
        <f>Constants!$C$21</f>
        <v>0</v>
      </c>
      <c r="BK36">
        <f>Constants!$C$22</f>
        <v>5.0000000000000001E-3</v>
      </c>
      <c r="BL36">
        <f>Constants!$C$23</f>
        <v>0</v>
      </c>
      <c r="BM36">
        <f>Constants!$B$50</f>
        <v>1.57</v>
      </c>
      <c r="BN36">
        <f>_xlfn.XLOOKUP(D36,Constants!$A$34:$A$35,Constants!$B$34:$B$35)</f>
        <v>6.0000000000000001E-3</v>
      </c>
      <c r="BO36">
        <f t="shared" si="23"/>
        <v>0</v>
      </c>
      <c r="BP36">
        <f t="shared" si="23"/>
        <v>0</v>
      </c>
      <c r="BQ36">
        <f t="shared" si="23"/>
        <v>0</v>
      </c>
      <c r="BR36">
        <f t="shared" si="23"/>
        <v>44.029470537498945</v>
      </c>
      <c r="BS36">
        <f t="shared" si="23"/>
        <v>0</v>
      </c>
      <c r="BT36">
        <f t="shared" si="20"/>
        <v>159.43303015683824</v>
      </c>
      <c r="BU36">
        <f>SUM(BO36:BT42)/1000</f>
        <v>0.62935829688473366</v>
      </c>
    </row>
    <row r="37" spans="1:73" x14ac:dyDescent="0.2">
      <c r="A37" t="str">
        <f>'Input Scenarios'!A102</f>
        <v>VIC</v>
      </c>
      <c r="B37">
        <f>'Input Scenarios'!B102</f>
        <v>14</v>
      </c>
      <c r="C37" t="str">
        <f>'Input Scenarios'!C102</f>
        <v>Non-irrigated pasture</v>
      </c>
      <c r="D37" t="str">
        <f>'Input Scenarios'!D102</f>
        <v>wet</v>
      </c>
      <c r="E37" t="b">
        <f>'Input Scenarios'!E102</f>
        <v>0</v>
      </c>
      <c r="G37">
        <f>'Input Scenarios'!G102</f>
        <v>0.43</v>
      </c>
      <c r="H37">
        <f>'Input Scenarios'!H102</f>
        <v>0.14000000000000001</v>
      </c>
      <c r="I37">
        <f>'Input Scenarios'!I102</f>
        <v>0.43</v>
      </c>
      <c r="J37">
        <f>'Input Scenarios'!J102</f>
        <v>0.25</v>
      </c>
      <c r="K37">
        <f>'Input Scenarios'!K102</f>
        <v>0.25</v>
      </c>
      <c r="L37">
        <f>'Input Scenarios'!L102</f>
        <v>0.25</v>
      </c>
      <c r="M37">
        <f>'Input Scenarios'!M102</f>
        <v>0.25</v>
      </c>
      <c r="N37">
        <f>'Input Scenarios'!N102</f>
        <v>0.25</v>
      </c>
      <c r="O37">
        <f>'Input Scenarios'!O102</f>
        <v>0.25</v>
      </c>
      <c r="P37">
        <f>'Input Scenarios'!P102</f>
        <v>0.25</v>
      </c>
      <c r="Q37">
        <f>'Input Scenarios'!Q102</f>
        <v>0.25</v>
      </c>
      <c r="R37" t="b">
        <f>'Input Scenarios'!R37</f>
        <v>1</v>
      </c>
      <c r="S37">
        <f>IF('Input Scenarios'!S102&lt;&gt;"", 'Input Scenarios'!S102, IF(R102, Constants!$B$38, 0))</f>
        <v>0.18</v>
      </c>
      <c r="T37" t="str">
        <f>IF('Input Scenarios'!T102&lt;&gt;"", 'Input Scenarios'!T102, "")</f>
        <v/>
      </c>
      <c r="U37">
        <f>IF('Input Scenarios'!U102&lt;&gt;"", 'Input Scenarios'!U102, IF(W37&lt;&gt;"", "", Constants!$B$39))</f>
        <v>4</v>
      </c>
      <c r="V37">
        <f>IF('Input Scenarios'!V102&lt;&gt;"", 'Input Scenarios'!V102, IF(W37&lt;&gt;"", "", Constants!$B$40))</f>
        <v>3.3</v>
      </c>
      <c r="W37" t="str">
        <f>IF('Input Scenarios'!W102&lt;&gt;"", 'Input Scenarios'!W102, "")</f>
        <v/>
      </c>
      <c r="X37" t="str">
        <f>'Input Scenarios'!X102</f>
        <v>Jersey</v>
      </c>
      <c r="Y37" t="str">
        <f>'Input Scenarios'!Y102</f>
        <v>heifersGt1</v>
      </c>
      <c r="Z37">
        <f>'Input Scenarios'!Z102</f>
        <v>200</v>
      </c>
      <c r="AA37">
        <f>'Input Scenarios'!AA102</f>
        <v>265</v>
      </c>
      <c r="AB37">
        <f>'Input Scenarios'!AB102</f>
        <v>275</v>
      </c>
      <c r="AC37">
        <f>IF('Input Scenarios'!AC102&lt;&gt;"", 'Input Scenarios'!AC102, _xlfn.XLOOKUP(Y37, Constants!$B$13:$H$13, Constants!$B$15:$H$15, ""))</f>
        <v>0.6</v>
      </c>
      <c r="AD37">
        <f>IF('Input Scenarios'!AD102&lt;&gt;"", 'Input Scenarios'!AD102, Constants!$B$45)</f>
        <v>0.75</v>
      </c>
      <c r="AE37">
        <f>IF('Input Scenarios'!AE102&lt;&gt;"", 'Input Scenarios'!AE102, Constants!$B$46)</f>
        <v>0.2</v>
      </c>
      <c r="AF37">
        <f t="shared" ref="AF37:AI56" si="24">IF($Y37="milkingCows",($H37*J37)+($I37*N37), 0)</f>
        <v>0</v>
      </c>
      <c r="AG37">
        <f t="shared" si="22"/>
        <v>0</v>
      </c>
      <c r="AH37">
        <f t="shared" si="22"/>
        <v>0</v>
      </c>
      <c r="AI37">
        <f t="shared" si="22"/>
        <v>0</v>
      </c>
      <c r="AJ37">
        <f t="shared" ref="AJ37:AJ56" si="25">IF($Y37="milkingCows",G37, 1)</f>
        <v>1</v>
      </c>
      <c r="AK37">
        <f t="shared" ref="AK37:AK41" si="26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si="13"/>
        <v>0.5948500000000001</v>
      </c>
      <c r="AQ37">
        <f t="shared" si="14"/>
        <v>0</v>
      </c>
      <c r="AR37">
        <f>IF(Y37="milkingCows", Constants!$P$2, Constants!$P$3)</f>
        <v>1</v>
      </c>
      <c r="AS37">
        <f t="shared" si="15"/>
        <v>5.8848695156249997</v>
      </c>
      <c r="AT37">
        <f t="shared" si="16"/>
        <v>1.1761247961530272</v>
      </c>
      <c r="AU37">
        <f>_xlfn.XLOOKUP(Y37, Constants!$B$13:$H$13, Constants!$B$14:$H$14, "")</f>
        <v>590</v>
      </c>
      <c r="AV37">
        <f t="shared" si="17"/>
        <v>0.46610169491525422</v>
      </c>
      <c r="AW37">
        <f>Constants!$B$55</f>
        <v>6.25</v>
      </c>
      <c r="AX37">
        <f t="shared" si="1"/>
        <v>1.1565345708946049E-2</v>
      </c>
      <c r="AY37">
        <f t="shared" si="2"/>
        <v>1.1769739031249999</v>
      </c>
      <c r="AZ37">
        <f t="shared" si="18"/>
        <v>0.17556194320862142</v>
      </c>
      <c r="BA37" t="str">
        <f>IF(ISNUMBER(FIND("PreWeaned",Y37)),_xlfn.XLOOKUP(Y37,Constants!$J$2:$J$3,Constants!$M$2:$M$3),"")</f>
        <v/>
      </c>
      <c r="BB37">
        <f t="shared" si="3"/>
        <v>9304.7829900569359</v>
      </c>
      <c r="BC37">
        <f t="shared" si="4"/>
        <v>0</v>
      </c>
      <c r="BD37">
        <f t="shared" si="5"/>
        <v>0</v>
      </c>
      <c r="BE37">
        <f t="shared" si="6"/>
        <v>0</v>
      </c>
      <c r="BF37">
        <f t="shared" si="7"/>
        <v>0</v>
      </c>
      <c r="BG37">
        <f t="shared" si="8"/>
        <v>9304.7829900569359</v>
      </c>
      <c r="BH37">
        <f>Constants!$C$19</f>
        <v>0</v>
      </c>
      <c r="BI37">
        <f>Constants!$C$20</f>
        <v>0</v>
      </c>
      <c r="BJ37">
        <f>Constants!$C$21</f>
        <v>0</v>
      </c>
      <c r="BK37">
        <f>Constants!$C$22</f>
        <v>5.0000000000000001E-3</v>
      </c>
      <c r="BL37">
        <f>Constants!$C$23</f>
        <v>0</v>
      </c>
      <c r="BM37">
        <f>Constants!$B$50</f>
        <v>1.57</v>
      </c>
      <c r="BN37">
        <f>_xlfn.XLOOKUP(D37,Constants!$A$34:$A$35,Constants!$B$34:$B$35)</f>
        <v>6.0000000000000001E-3</v>
      </c>
      <c r="BO37">
        <f t="shared" si="23"/>
        <v>0</v>
      </c>
      <c r="BP37">
        <f t="shared" si="23"/>
        <v>0</v>
      </c>
      <c r="BQ37">
        <f t="shared" si="23"/>
        <v>0</v>
      </c>
      <c r="BR37">
        <f t="shared" si="23"/>
        <v>0</v>
      </c>
      <c r="BS37">
        <f t="shared" si="23"/>
        <v>0</v>
      </c>
      <c r="BT37">
        <f t="shared" si="20"/>
        <v>87.651055766336341</v>
      </c>
    </row>
    <row r="38" spans="1:73" x14ac:dyDescent="0.2">
      <c r="A38" t="str">
        <f>'Input Scenarios'!A103</f>
        <v>VIC</v>
      </c>
      <c r="B38">
        <f>'Input Scenarios'!B103</f>
        <v>14</v>
      </c>
      <c r="C38" t="str">
        <f>'Input Scenarios'!C103</f>
        <v>Non-irrigated pasture</v>
      </c>
      <c r="D38" t="str">
        <f>'Input Scenarios'!D103</f>
        <v>wet</v>
      </c>
      <c r="E38" t="b">
        <f>'Input Scenarios'!E103</f>
        <v>0</v>
      </c>
      <c r="G38">
        <f>'Input Scenarios'!G103</f>
        <v>0.43</v>
      </c>
      <c r="H38">
        <f>'Input Scenarios'!H103</f>
        <v>0.14000000000000001</v>
      </c>
      <c r="I38">
        <f>'Input Scenarios'!I103</f>
        <v>0.43</v>
      </c>
      <c r="J38">
        <f>'Input Scenarios'!J103</f>
        <v>0.25</v>
      </c>
      <c r="K38">
        <f>'Input Scenarios'!K103</f>
        <v>0.25</v>
      </c>
      <c r="L38">
        <f>'Input Scenarios'!L103</f>
        <v>0.25</v>
      </c>
      <c r="M38">
        <f>'Input Scenarios'!M103</f>
        <v>0.25</v>
      </c>
      <c r="N38">
        <f>'Input Scenarios'!N103</f>
        <v>0.25</v>
      </c>
      <c r="O38">
        <f>'Input Scenarios'!O103</f>
        <v>0.25</v>
      </c>
      <c r="P38">
        <f>'Input Scenarios'!P103</f>
        <v>0.25</v>
      </c>
      <c r="Q38">
        <f>'Input Scenarios'!Q103</f>
        <v>0.25</v>
      </c>
      <c r="R38" t="b">
        <f>'Input Scenarios'!R38</f>
        <v>1</v>
      </c>
      <c r="S38">
        <f>IF('Input Scenarios'!S103&lt;&gt;"", 'Input Scenarios'!S103, IF(R103, Constants!$B$38, 0))</f>
        <v>0.18</v>
      </c>
      <c r="T38" t="str">
        <f>IF('Input Scenarios'!T103&lt;&gt;"", 'Input Scenarios'!T103, "")</f>
        <v/>
      </c>
      <c r="U38">
        <f>IF('Input Scenarios'!U103&lt;&gt;"", 'Input Scenarios'!U103, IF(W38&lt;&gt;"", "", Constants!$B$39))</f>
        <v>4</v>
      </c>
      <c r="V38">
        <f>IF('Input Scenarios'!V103&lt;&gt;"", 'Input Scenarios'!V103, IF(W38&lt;&gt;"", "", Constants!$B$40))</f>
        <v>3.3</v>
      </c>
      <c r="W38" t="str">
        <f>IF('Input Scenarios'!W103&lt;&gt;"", 'Input Scenarios'!W103, "")</f>
        <v/>
      </c>
      <c r="X38" t="str">
        <f>'Input Scenarios'!X103</f>
        <v>Jersey</v>
      </c>
      <c r="Y38" t="str">
        <f>'Input Scenarios'!Y103</f>
        <v>heifersLt1PreWeaned</v>
      </c>
      <c r="Z38">
        <f>'Input Scenarios'!Z103</f>
        <v>200</v>
      </c>
      <c r="AA38">
        <f>'Input Scenarios'!AA103</f>
        <v>100</v>
      </c>
      <c r="AB38">
        <f>'Input Scenarios'!AB103</f>
        <v>115</v>
      </c>
      <c r="AC38" t="str">
        <f>IF('Input Scenarios'!AC103&lt;&gt;"", 'Input Scenarios'!AC103, _xlfn.XLOOKUP(Y38, Constants!$B$13:$H$13, Constants!$B$15:$H$15, ""))</f>
        <v/>
      </c>
      <c r="AD38">
        <f>IF('Input Scenarios'!AD103&lt;&gt;"", 'Input Scenarios'!AD103, Constants!$B$45)</f>
        <v>0.75</v>
      </c>
      <c r="AE38">
        <f>IF('Input Scenarios'!AE103&lt;&gt;"", 'Input Scenarios'!AE103, Constants!$B$46)</f>
        <v>0.2</v>
      </c>
      <c r="AF38">
        <f t="shared" si="24"/>
        <v>0</v>
      </c>
      <c r="AG38">
        <f t="shared" si="22"/>
        <v>0</v>
      </c>
      <c r="AH38">
        <f t="shared" si="22"/>
        <v>0</v>
      </c>
      <c r="AI38">
        <f t="shared" si="22"/>
        <v>0</v>
      </c>
      <c r="AJ38">
        <f t="shared" si="25"/>
        <v>1</v>
      </c>
      <c r="AK38">
        <f t="shared" si="26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13"/>
        <v>0.5948500000000001</v>
      </c>
      <c r="AQ38">
        <f t="shared" si="14"/>
        <v>0</v>
      </c>
      <c r="AR38">
        <f>IF(Y38="milkingCows", Constants!$P$2, Constants!$P$3)</f>
        <v>1</v>
      </c>
      <c r="AS38" t="str">
        <f t="shared" si="15"/>
        <v/>
      </c>
      <c r="AT38" t="str">
        <f t="shared" si="16"/>
        <v/>
      </c>
      <c r="AU38" t="str">
        <f>_xlfn.XLOOKUP(Y38, Constants!$B$13:$H$13, Constants!$B$14:$H$14, "")</f>
        <v/>
      </c>
      <c r="AV38" t="str">
        <f t="shared" si="17"/>
        <v/>
      </c>
      <c r="AW38">
        <f>Constants!$B$55</f>
        <v>6.25</v>
      </c>
      <c r="AX38" t="str">
        <f t="shared" si="1"/>
        <v/>
      </c>
      <c r="AY38" t="str">
        <f t="shared" si="2"/>
        <v/>
      </c>
      <c r="AZ38" t="str">
        <f t="shared" si="18"/>
        <v/>
      </c>
      <c r="BA38">
        <f>IF(ISNUMBER(FIND("PreWeaned",Y38)),_xlfn.XLOOKUP(Y38,Constants!$J$2:$J$3,Constants!$M$2:$M$3),"")</f>
        <v>1.37E-2</v>
      </c>
      <c r="BB38">
        <f t="shared" si="3"/>
        <v>274</v>
      </c>
      <c r="BC38">
        <f t="shared" si="4"/>
        <v>0</v>
      </c>
      <c r="BD38">
        <f t="shared" si="5"/>
        <v>0</v>
      </c>
      <c r="BE38">
        <f t="shared" si="6"/>
        <v>0</v>
      </c>
      <c r="BF38">
        <f t="shared" si="7"/>
        <v>0</v>
      </c>
      <c r="BG38">
        <f t="shared" si="8"/>
        <v>274</v>
      </c>
      <c r="BH38">
        <f>Constants!$C$19</f>
        <v>0</v>
      </c>
      <c r="BI38">
        <f>Constants!$C$20</f>
        <v>0</v>
      </c>
      <c r="BJ38">
        <f>Constants!$C$21</f>
        <v>0</v>
      </c>
      <c r="BK38">
        <f>Constants!$C$22</f>
        <v>5.0000000000000001E-3</v>
      </c>
      <c r="BL38">
        <f>Constants!$C$23</f>
        <v>0</v>
      </c>
      <c r="BM38">
        <f>Constants!$B$50</f>
        <v>1.57</v>
      </c>
      <c r="BN38">
        <f>_xlfn.XLOOKUP(D38,Constants!$A$34:$A$35,Constants!$B$34:$B$35)</f>
        <v>6.0000000000000001E-3</v>
      </c>
      <c r="BO38">
        <f t="shared" si="23"/>
        <v>0</v>
      </c>
      <c r="BP38">
        <f t="shared" si="23"/>
        <v>0</v>
      </c>
      <c r="BQ38">
        <f t="shared" si="23"/>
        <v>0</v>
      </c>
      <c r="BR38">
        <f t="shared" si="23"/>
        <v>0</v>
      </c>
      <c r="BS38">
        <f t="shared" si="23"/>
        <v>0</v>
      </c>
      <c r="BT38">
        <f t="shared" si="20"/>
        <v>2.5810800000000005</v>
      </c>
    </row>
    <row r="39" spans="1:73" x14ac:dyDescent="0.2">
      <c r="A39" t="str">
        <f>'Input Scenarios'!A104</f>
        <v>VIC</v>
      </c>
      <c r="B39">
        <f>'Input Scenarios'!B104</f>
        <v>14</v>
      </c>
      <c r="C39" t="str">
        <f>'Input Scenarios'!C104</f>
        <v>Non-irrigated pasture</v>
      </c>
      <c r="D39" t="str">
        <f>'Input Scenarios'!D104</f>
        <v>wet</v>
      </c>
      <c r="E39" t="b">
        <f>'Input Scenarios'!E104</f>
        <v>0</v>
      </c>
      <c r="G39">
        <f>'Input Scenarios'!G104</f>
        <v>0.43</v>
      </c>
      <c r="H39">
        <f>'Input Scenarios'!H104</f>
        <v>0.14000000000000001</v>
      </c>
      <c r="I39">
        <f>'Input Scenarios'!I104</f>
        <v>0.43</v>
      </c>
      <c r="J39">
        <f>'Input Scenarios'!J104</f>
        <v>0.25</v>
      </c>
      <c r="K39">
        <f>'Input Scenarios'!K104</f>
        <v>0.25</v>
      </c>
      <c r="L39">
        <f>'Input Scenarios'!L104</f>
        <v>0.25</v>
      </c>
      <c r="M39">
        <f>'Input Scenarios'!M104</f>
        <v>0.25</v>
      </c>
      <c r="N39">
        <f>'Input Scenarios'!N104</f>
        <v>0.25</v>
      </c>
      <c r="O39">
        <f>'Input Scenarios'!O104</f>
        <v>0.25</v>
      </c>
      <c r="P39">
        <f>'Input Scenarios'!P104</f>
        <v>0.25</v>
      </c>
      <c r="Q39">
        <f>'Input Scenarios'!Q104</f>
        <v>0.25</v>
      </c>
      <c r="R39" t="b">
        <f>'Input Scenarios'!R39</f>
        <v>1</v>
      </c>
      <c r="S39">
        <f>IF('Input Scenarios'!S104&lt;&gt;"", 'Input Scenarios'!S104, IF(R104, Constants!$B$38, 0))</f>
        <v>0.18</v>
      </c>
      <c r="T39" t="str">
        <f>IF('Input Scenarios'!T104&lt;&gt;"", 'Input Scenarios'!T104, "")</f>
        <v/>
      </c>
      <c r="U39">
        <f>IF('Input Scenarios'!U104&lt;&gt;"", 'Input Scenarios'!U104, IF(W39&lt;&gt;"", "", Constants!$B$39))</f>
        <v>4</v>
      </c>
      <c r="V39">
        <f>IF('Input Scenarios'!V104&lt;&gt;"", 'Input Scenarios'!V104, IF(W39&lt;&gt;"", "", Constants!$B$40))</f>
        <v>3.3</v>
      </c>
      <c r="W39" t="str">
        <f>IF('Input Scenarios'!W104&lt;&gt;"", 'Input Scenarios'!W104, "")</f>
        <v/>
      </c>
      <c r="X39" t="str">
        <f>'Input Scenarios'!X104</f>
        <v>Jersey</v>
      </c>
      <c r="Y39" t="str">
        <f>'Input Scenarios'!Y104</f>
        <v>heifersLt1Weaned</v>
      </c>
      <c r="Z39">
        <f>'Input Scenarios'!Z104</f>
        <v>200</v>
      </c>
      <c r="AA39">
        <f>'Input Scenarios'!AA104</f>
        <v>360</v>
      </c>
      <c r="AB39">
        <f>'Input Scenarios'!AB104</f>
        <v>115</v>
      </c>
      <c r="AC39">
        <f>IF('Input Scenarios'!AC104&lt;&gt;"", 'Input Scenarios'!AC104, _xlfn.XLOOKUP(Y39, Constants!$B$13:$H$13, Constants!$B$15:$H$15, ""))</f>
        <v>0.56999999999999995</v>
      </c>
      <c r="AD39">
        <f>IF('Input Scenarios'!AD104&lt;&gt;"", 'Input Scenarios'!AD104, Constants!$B$45)</f>
        <v>0.75</v>
      </c>
      <c r="AE39">
        <f>IF('Input Scenarios'!AE104&lt;&gt;"", 'Input Scenarios'!AE104, Constants!$B$46)</f>
        <v>0.2</v>
      </c>
      <c r="AF39">
        <f t="shared" si="24"/>
        <v>0</v>
      </c>
      <c r="AG39">
        <f t="shared" si="22"/>
        <v>0</v>
      </c>
      <c r="AH39">
        <f t="shared" si="22"/>
        <v>0</v>
      </c>
      <c r="AI39">
        <f t="shared" si="22"/>
        <v>0</v>
      </c>
      <c r="AJ39">
        <f t="shared" si="25"/>
        <v>1</v>
      </c>
      <c r="AK39">
        <f t="shared" si="26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13"/>
        <v>0.5948500000000001</v>
      </c>
      <c r="AQ39">
        <f t="shared" si="14"/>
        <v>0</v>
      </c>
      <c r="AR39">
        <f>IF(Y39="milkingCows", Constants!$P$2, Constants!$P$3)</f>
        <v>1</v>
      </c>
      <c r="AS39">
        <f t="shared" si="15"/>
        <v>3.4308856302250001</v>
      </c>
      <c r="AT39">
        <f t="shared" si="16"/>
        <v>1.2262028975982771</v>
      </c>
      <c r="AU39">
        <f>_xlfn.XLOOKUP(Y39, Constants!$B$13:$H$13, Constants!$B$14:$H$14, "")</f>
        <v>590</v>
      </c>
      <c r="AV39">
        <f t="shared" si="17"/>
        <v>0.19491525423728814</v>
      </c>
      <c r="AW39">
        <f>Constants!$B$55</f>
        <v>6.25</v>
      </c>
      <c r="AX39">
        <f t="shared" si="1"/>
        <v>1.5533805105434794E-2</v>
      </c>
      <c r="AY39">
        <f t="shared" si="2"/>
        <v>0.68617712604500003</v>
      </c>
      <c r="AZ39">
        <f t="shared" si="18"/>
        <v>9.3636467361806544E-2</v>
      </c>
      <c r="BA39" t="str">
        <f>IF(ISNUMBER(FIND("PreWeaned",Y39)),_xlfn.XLOOKUP(Y39,Constants!$J$2:$J$3,Constants!$M$2:$M$3),"")</f>
        <v/>
      </c>
      <c r="BB39">
        <f t="shared" si="3"/>
        <v>6741.825650050072</v>
      </c>
      <c r="BC39">
        <f t="shared" si="4"/>
        <v>0</v>
      </c>
      <c r="BD39">
        <f t="shared" si="5"/>
        <v>0</v>
      </c>
      <c r="BE39">
        <f t="shared" si="6"/>
        <v>0</v>
      </c>
      <c r="BF39">
        <f t="shared" si="7"/>
        <v>0</v>
      </c>
      <c r="BG39">
        <f t="shared" si="8"/>
        <v>6741.825650050072</v>
      </c>
      <c r="BH39">
        <f>Constants!$C$19</f>
        <v>0</v>
      </c>
      <c r="BI39">
        <f>Constants!$C$20</f>
        <v>0</v>
      </c>
      <c r="BJ39">
        <f>Constants!$C$21</f>
        <v>0</v>
      </c>
      <c r="BK39">
        <f>Constants!$C$22</f>
        <v>5.0000000000000001E-3</v>
      </c>
      <c r="BL39">
        <f>Constants!$C$23</f>
        <v>0</v>
      </c>
      <c r="BM39">
        <f>Constants!$B$50</f>
        <v>1.57</v>
      </c>
      <c r="BN39">
        <f>_xlfn.XLOOKUP(D39,Constants!$A$34:$A$35,Constants!$B$34:$B$35)</f>
        <v>6.0000000000000001E-3</v>
      </c>
      <c r="BO39">
        <f t="shared" si="23"/>
        <v>0</v>
      </c>
      <c r="BP39">
        <f t="shared" si="23"/>
        <v>0</v>
      </c>
      <c r="BQ39">
        <f t="shared" si="23"/>
        <v>0</v>
      </c>
      <c r="BR39">
        <f t="shared" si="23"/>
        <v>0</v>
      </c>
      <c r="BS39">
        <f t="shared" si="23"/>
        <v>0</v>
      </c>
      <c r="BT39">
        <f t="shared" si="20"/>
        <v>63.507997623471681</v>
      </c>
    </row>
    <row r="40" spans="1:73" x14ac:dyDescent="0.2">
      <c r="A40" t="str">
        <f>'Input Scenarios'!A105</f>
        <v>VIC</v>
      </c>
      <c r="B40">
        <f>'Input Scenarios'!B105</f>
        <v>14</v>
      </c>
      <c r="C40" t="str">
        <f>'Input Scenarios'!C105</f>
        <v>Non-irrigated pasture</v>
      </c>
      <c r="D40" t="str">
        <f>'Input Scenarios'!D105</f>
        <v>wet</v>
      </c>
      <c r="E40" t="b">
        <f>'Input Scenarios'!E105</f>
        <v>0</v>
      </c>
      <c r="G40">
        <f>'Input Scenarios'!G105</f>
        <v>0.43</v>
      </c>
      <c r="H40">
        <f>'Input Scenarios'!H105</f>
        <v>0.14000000000000001</v>
      </c>
      <c r="I40">
        <f>'Input Scenarios'!I105</f>
        <v>0.43</v>
      </c>
      <c r="J40">
        <f>'Input Scenarios'!J105</f>
        <v>0.25</v>
      </c>
      <c r="K40">
        <f>'Input Scenarios'!K105</f>
        <v>0.25</v>
      </c>
      <c r="L40">
        <f>'Input Scenarios'!L105</f>
        <v>0.25</v>
      </c>
      <c r="M40">
        <f>'Input Scenarios'!M105</f>
        <v>0.25</v>
      </c>
      <c r="N40">
        <f>'Input Scenarios'!N105</f>
        <v>0.25</v>
      </c>
      <c r="O40">
        <f>'Input Scenarios'!O105</f>
        <v>0.25</v>
      </c>
      <c r="P40">
        <f>'Input Scenarios'!P105</f>
        <v>0.25</v>
      </c>
      <c r="Q40">
        <f>'Input Scenarios'!Q105</f>
        <v>0.25</v>
      </c>
      <c r="R40" t="b">
        <f>'Input Scenarios'!R40</f>
        <v>1</v>
      </c>
      <c r="S40">
        <f>IF('Input Scenarios'!S105&lt;&gt;"", 'Input Scenarios'!S105, IF(R105, Constants!$B$38, 0))</f>
        <v>0.18</v>
      </c>
      <c r="T40" t="str">
        <f>IF('Input Scenarios'!T105&lt;&gt;"", 'Input Scenarios'!T105, "")</f>
        <v/>
      </c>
      <c r="U40">
        <f>IF('Input Scenarios'!U105&lt;&gt;"", 'Input Scenarios'!U105, IF(W40&lt;&gt;"", "", Constants!$B$39))</f>
        <v>4</v>
      </c>
      <c r="V40">
        <f>IF('Input Scenarios'!V105&lt;&gt;"", 'Input Scenarios'!V105, IF(W40&lt;&gt;"", "", Constants!$B$40))</f>
        <v>3.3</v>
      </c>
      <c r="W40" t="str">
        <f>IF('Input Scenarios'!W105&lt;&gt;"", 'Input Scenarios'!W105, "")</f>
        <v/>
      </c>
      <c r="X40" t="str">
        <f>'Input Scenarios'!X105</f>
        <v>Jersey</v>
      </c>
      <c r="Y40" t="str">
        <f>'Input Scenarios'!Y105</f>
        <v>bullsGt1</v>
      </c>
      <c r="Z40">
        <f>'Input Scenarios'!Z105</f>
        <v>200</v>
      </c>
      <c r="AA40">
        <f>'Input Scenarios'!AA105</f>
        <v>345</v>
      </c>
      <c r="AB40">
        <f>'Input Scenarios'!AB105</f>
        <v>600</v>
      </c>
      <c r="AC40">
        <f>IF('Input Scenarios'!AC105&lt;&gt;"", 'Input Scenarios'!AC105, _xlfn.XLOOKUP(Y40, Constants!$B$13:$H$13, Constants!$B$15:$H$15, ""))</f>
        <v>0.1</v>
      </c>
      <c r="AD40">
        <f>IF('Input Scenarios'!AD105&lt;&gt;"", 'Input Scenarios'!AD105, Constants!$B$45)</f>
        <v>0.75</v>
      </c>
      <c r="AE40">
        <f>IF('Input Scenarios'!AE105&lt;&gt;"", 'Input Scenarios'!AE105, Constants!$B$46)</f>
        <v>0.2</v>
      </c>
      <c r="AF40">
        <f t="shared" si="24"/>
        <v>0</v>
      </c>
      <c r="AG40">
        <f t="shared" si="22"/>
        <v>0</v>
      </c>
      <c r="AH40">
        <f t="shared" si="22"/>
        <v>0</v>
      </c>
      <c r="AI40">
        <f t="shared" si="22"/>
        <v>0</v>
      </c>
      <c r="AJ40">
        <f t="shared" si="25"/>
        <v>1</v>
      </c>
      <c r="AK40">
        <f t="shared" si="26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13"/>
        <v>0.5948500000000001</v>
      </c>
      <c r="AQ40">
        <f t="shared" si="14"/>
        <v>0</v>
      </c>
      <c r="AR40">
        <f>IF(Y40="milkingCows", Constants!$P$2, Constants!$P$3)</f>
        <v>1</v>
      </c>
      <c r="AS40">
        <f t="shared" si="15"/>
        <v>9.0270202499999979</v>
      </c>
      <c r="AT40">
        <f t="shared" si="16"/>
        <v>1.0213029780639273</v>
      </c>
      <c r="AU40">
        <f>_xlfn.XLOOKUP(Y40, Constants!$B$13:$H$13, Constants!$B$14:$H$14, "")</f>
        <v>770</v>
      </c>
      <c r="AV40">
        <f t="shared" si="17"/>
        <v>0.77922077922077926</v>
      </c>
      <c r="AW40">
        <f>Constants!$B$55</f>
        <v>6.25</v>
      </c>
      <c r="AX40">
        <f t="shared" ref="AX40:AX63" si="27">IFERROR((((0.212 - (0.008*(AT40-2)) - (0.14-0.008*(AT40-2))/(1+EXP(-6*(AV40-0.4)))) * AC40 * 0.92)/AW40) + (0.032*AK40*AL40)/6.38, "")</f>
        <v>1.2626203146474679E-3</v>
      </c>
      <c r="AY40">
        <f t="shared" ref="AY40:AY63" si="28">IFERROR(AE40*AS40, "")</f>
        <v>1.8054040499999997</v>
      </c>
      <c r="AZ40">
        <f t="shared" si="18"/>
        <v>0.28546836331241399</v>
      </c>
      <c r="BA40" t="str">
        <f>IF(ISNUMBER(FIND("PreWeaned",Y40)),_xlfn.XLOOKUP(Y40,Constants!$J$2:$J$3,Constants!$M$2:$M$3),"")</f>
        <v/>
      </c>
      <c r="BB40">
        <f t="shared" ref="BB40:BB63" si="29">SUM(AZ40:BA40)*Z40*AA40</f>
        <v>19697.317068556564</v>
      </c>
      <c r="BC40">
        <f t="shared" ref="BC40:BC63" si="30">$BB40*AF40</f>
        <v>0</v>
      </c>
      <c r="BD40">
        <f t="shared" ref="BD40:BD63" si="31">$BB40*AG40</f>
        <v>0</v>
      </c>
      <c r="BE40">
        <f t="shared" ref="BE40:BE63" si="32">$BB40*AH40</f>
        <v>0</v>
      </c>
      <c r="BF40">
        <f t="shared" ref="BF40:BF63" si="33">$BB40*AI40</f>
        <v>0</v>
      </c>
      <c r="BG40">
        <f t="shared" ref="BG40:BG63" si="34">$BB40*AJ40</f>
        <v>19697.317068556564</v>
      </c>
      <c r="BH40">
        <f>Constants!$C$19</f>
        <v>0</v>
      </c>
      <c r="BI40">
        <f>Constants!$C$20</f>
        <v>0</v>
      </c>
      <c r="BJ40">
        <f>Constants!$C$21</f>
        <v>0</v>
      </c>
      <c r="BK40">
        <f>Constants!$C$22</f>
        <v>5.0000000000000001E-3</v>
      </c>
      <c r="BL40">
        <f>Constants!$C$23</f>
        <v>0</v>
      </c>
      <c r="BM40">
        <f>Constants!$B$50</f>
        <v>1.57</v>
      </c>
      <c r="BN40">
        <f>_xlfn.XLOOKUP(D40,Constants!$A$34:$A$35,Constants!$B$34:$B$35)</f>
        <v>6.0000000000000001E-3</v>
      </c>
      <c r="BO40">
        <f t="shared" si="23"/>
        <v>0</v>
      </c>
      <c r="BP40">
        <f t="shared" si="23"/>
        <v>0</v>
      </c>
      <c r="BQ40">
        <f t="shared" si="23"/>
        <v>0</v>
      </c>
      <c r="BR40">
        <f t="shared" si="23"/>
        <v>0</v>
      </c>
      <c r="BS40">
        <f t="shared" si="23"/>
        <v>0</v>
      </c>
      <c r="BT40">
        <f t="shared" si="20"/>
        <v>185.54872678580284</v>
      </c>
    </row>
    <row r="41" spans="1:73" x14ac:dyDescent="0.2">
      <c r="A41" t="str">
        <f>'Input Scenarios'!A106</f>
        <v>VIC</v>
      </c>
      <c r="B41">
        <f>'Input Scenarios'!B106</f>
        <v>14</v>
      </c>
      <c r="C41" t="str">
        <f>'Input Scenarios'!C106</f>
        <v>Non-irrigated pasture</v>
      </c>
      <c r="D41" t="str">
        <f>'Input Scenarios'!D106</f>
        <v>wet</v>
      </c>
      <c r="E41" t="b">
        <f>'Input Scenarios'!E106</f>
        <v>0</v>
      </c>
      <c r="G41">
        <f>'Input Scenarios'!G106</f>
        <v>0.43</v>
      </c>
      <c r="H41">
        <f>'Input Scenarios'!H106</f>
        <v>0.14000000000000001</v>
      </c>
      <c r="I41">
        <f>'Input Scenarios'!I106</f>
        <v>0.43</v>
      </c>
      <c r="J41">
        <f>'Input Scenarios'!J106</f>
        <v>0.25</v>
      </c>
      <c r="K41">
        <f>'Input Scenarios'!K106</f>
        <v>0.25</v>
      </c>
      <c r="L41">
        <f>'Input Scenarios'!L106</f>
        <v>0.25</v>
      </c>
      <c r="M41">
        <f>'Input Scenarios'!M106</f>
        <v>0.25</v>
      </c>
      <c r="N41">
        <f>'Input Scenarios'!N106</f>
        <v>0.25</v>
      </c>
      <c r="O41">
        <f>'Input Scenarios'!O106</f>
        <v>0.25</v>
      </c>
      <c r="P41">
        <f>'Input Scenarios'!P106</f>
        <v>0.25</v>
      </c>
      <c r="Q41">
        <f>'Input Scenarios'!Q106</f>
        <v>0.25</v>
      </c>
      <c r="R41" t="b">
        <f>'Input Scenarios'!R41</f>
        <v>1</v>
      </c>
      <c r="S41">
        <f>IF('Input Scenarios'!S106&lt;&gt;"", 'Input Scenarios'!S106, IF(R106, Constants!$B$38, 0))</f>
        <v>0.18</v>
      </c>
      <c r="T41" t="str">
        <f>IF('Input Scenarios'!T106&lt;&gt;"", 'Input Scenarios'!T106, "")</f>
        <v/>
      </c>
      <c r="U41">
        <f>IF('Input Scenarios'!U106&lt;&gt;"", 'Input Scenarios'!U106, IF(W41&lt;&gt;"", "", Constants!$B$39))</f>
        <v>4</v>
      </c>
      <c r="V41">
        <f>IF('Input Scenarios'!V106&lt;&gt;"", 'Input Scenarios'!V106, IF(W41&lt;&gt;"", "", Constants!$B$40))</f>
        <v>3.3</v>
      </c>
      <c r="W41" t="str">
        <f>IF('Input Scenarios'!W106&lt;&gt;"", 'Input Scenarios'!W106, "")</f>
        <v/>
      </c>
      <c r="X41" t="str">
        <f>'Input Scenarios'!X106</f>
        <v>Jersey</v>
      </c>
      <c r="Y41" t="str">
        <f>'Input Scenarios'!Y106</f>
        <v>bullsLt1PreWeaned</v>
      </c>
      <c r="Z41">
        <f>'Input Scenarios'!Z106</f>
        <v>200</v>
      </c>
      <c r="AA41">
        <f>'Input Scenarios'!AA106</f>
        <v>124</v>
      </c>
      <c r="AB41">
        <f>'Input Scenarios'!AB106</f>
        <v>225</v>
      </c>
      <c r="AC41" t="str">
        <f>IF('Input Scenarios'!AC106&lt;&gt;"", 'Input Scenarios'!AC106, _xlfn.XLOOKUP(Y41, Constants!$B$13:$H$13, Constants!$B$15:$H$15, ""))</f>
        <v/>
      </c>
      <c r="AD41">
        <f>IF('Input Scenarios'!AD106&lt;&gt;"", 'Input Scenarios'!AD106, Constants!$B$45)</f>
        <v>0.75</v>
      </c>
      <c r="AE41">
        <f>IF('Input Scenarios'!AE106&lt;&gt;"", 'Input Scenarios'!AE106, Constants!$B$46)</f>
        <v>0.2</v>
      </c>
      <c r="AF41">
        <f t="shared" si="24"/>
        <v>0</v>
      </c>
      <c r="AG41">
        <f t="shared" si="22"/>
        <v>0</v>
      </c>
      <c r="AH41">
        <f t="shared" si="22"/>
        <v>0</v>
      </c>
      <c r="AI41">
        <f t="shared" si="22"/>
        <v>0</v>
      </c>
      <c r="AJ41">
        <f t="shared" si="25"/>
        <v>1</v>
      </c>
      <c r="AK41">
        <f t="shared" si="26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13"/>
        <v>0.5948500000000001</v>
      </c>
      <c r="AQ41">
        <f t="shared" si="14"/>
        <v>0</v>
      </c>
      <c r="AR41">
        <f>IF(Y41="milkingCows", Constants!$P$2, Constants!$P$3)</f>
        <v>1</v>
      </c>
      <c r="AS41" t="str">
        <f t="shared" si="15"/>
        <v/>
      </c>
      <c r="AT41" t="str">
        <f t="shared" si="16"/>
        <v/>
      </c>
      <c r="AU41" t="str">
        <f>_xlfn.XLOOKUP(Y41, Constants!$B$13:$H$13, Constants!$B$14:$H$14, "")</f>
        <v/>
      </c>
      <c r="AV41" t="str">
        <f t="shared" si="17"/>
        <v/>
      </c>
      <c r="AW41">
        <f>Constants!$B$55</f>
        <v>6.25</v>
      </c>
      <c r="AX41" t="str">
        <f t="shared" si="27"/>
        <v/>
      </c>
      <c r="AY41" t="str">
        <f t="shared" si="28"/>
        <v/>
      </c>
      <c r="AZ41" t="str">
        <f t="shared" si="18"/>
        <v/>
      </c>
      <c r="BA41">
        <f>IF(ISNUMBER(FIND("PreWeaned",Y41)),_xlfn.XLOOKUP(Y41,Constants!$J$2:$J$3,Constants!$M$2:$M$3),"")</f>
        <v>9.1999999999999998E-3</v>
      </c>
      <c r="BB41">
        <f t="shared" si="29"/>
        <v>228.15999999999997</v>
      </c>
      <c r="BC41">
        <f t="shared" si="30"/>
        <v>0</v>
      </c>
      <c r="BD41">
        <f t="shared" si="31"/>
        <v>0</v>
      </c>
      <c r="BE41">
        <f t="shared" si="32"/>
        <v>0</v>
      </c>
      <c r="BF41">
        <f t="shared" si="33"/>
        <v>0</v>
      </c>
      <c r="BG41">
        <f t="shared" si="34"/>
        <v>228.15999999999997</v>
      </c>
      <c r="BH41">
        <f>Constants!$C$19</f>
        <v>0</v>
      </c>
      <c r="BI41">
        <f>Constants!$C$20</f>
        <v>0</v>
      </c>
      <c r="BJ41">
        <f>Constants!$C$21</f>
        <v>0</v>
      </c>
      <c r="BK41">
        <f>Constants!$C$22</f>
        <v>5.0000000000000001E-3</v>
      </c>
      <c r="BL41">
        <f>Constants!$C$23</f>
        <v>0</v>
      </c>
      <c r="BM41">
        <f>Constants!$B$50</f>
        <v>1.57</v>
      </c>
      <c r="BN41">
        <f>_xlfn.XLOOKUP(D41,Constants!$A$34:$A$35,Constants!$B$34:$B$35)</f>
        <v>6.0000000000000001E-3</v>
      </c>
      <c r="BO41">
        <f t="shared" ref="BO41:BS58" si="35">BC41*BH41*$BM41</f>
        <v>0</v>
      </c>
      <c r="BP41">
        <f t="shared" si="35"/>
        <v>0</v>
      </c>
      <c r="BQ41">
        <f t="shared" si="35"/>
        <v>0</v>
      </c>
      <c r="BR41">
        <f t="shared" si="35"/>
        <v>0</v>
      </c>
      <c r="BS41">
        <f t="shared" si="35"/>
        <v>0</v>
      </c>
      <c r="BT41">
        <f t="shared" si="20"/>
        <v>2.1492671999999997</v>
      </c>
    </row>
    <row r="42" spans="1:73" s="16" customFormat="1" x14ac:dyDescent="0.2">
      <c r="A42" s="16" t="str">
        <f>'Input Scenarios'!A107</f>
        <v>VIC</v>
      </c>
      <c r="B42" s="16">
        <f>'Input Scenarios'!B107</f>
        <v>14</v>
      </c>
      <c r="C42" s="16" t="str">
        <f>'Input Scenarios'!C107</f>
        <v>Non-irrigated pasture</v>
      </c>
      <c r="D42" s="16" t="str">
        <f>'Input Scenarios'!D107</f>
        <v>wet</v>
      </c>
      <c r="E42" s="16" t="b">
        <f>'Input Scenarios'!E107</f>
        <v>0</v>
      </c>
      <c r="G42" s="16">
        <f>'Input Scenarios'!G107</f>
        <v>0.43</v>
      </c>
      <c r="H42" s="16">
        <f>'Input Scenarios'!H107</f>
        <v>0.14000000000000001</v>
      </c>
      <c r="I42" s="16">
        <f>'Input Scenarios'!I107</f>
        <v>0.43</v>
      </c>
      <c r="J42" s="16">
        <f>'Input Scenarios'!J107</f>
        <v>0.25</v>
      </c>
      <c r="K42" s="16">
        <f>'Input Scenarios'!K107</f>
        <v>0.25</v>
      </c>
      <c r="L42" s="16">
        <f>'Input Scenarios'!L107</f>
        <v>0.25</v>
      </c>
      <c r="M42" s="16">
        <f>'Input Scenarios'!M107</f>
        <v>0.25</v>
      </c>
      <c r="N42" s="16">
        <f>'Input Scenarios'!N107</f>
        <v>0.25</v>
      </c>
      <c r="O42" s="16">
        <f>'Input Scenarios'!O107</f>
        <v>0.25</v>
      </c>
      <c r="P42" s="16">
        <f>'Input Scenarios'!P107</f>
        <v>0.25</v>
      </c>
      <c r="Q42" s="16">
        <f>'Input Scenarios'!Q107</f>
        <v>0.25</v>
      </c>
      <c r="R42" s="16" t="b">
        <f>'Input Scenarios'!R42</f>
        <v>1</v>
      </c>
      <c r="S42" s="16">
        <f>IF('Input Scenarios'!S107&lt;&gt;"", 'Input Scenarios'!S107, IF(R107, Constants!$B$38, 0))</f>
        <v>0.18</v>
      </c>
      <c r="T42" s="16" t="str">
        <f>IF('Input Scenarios'!T107&lt;&gt;"", 'Input Scenarios'!T107, "")</f>
        <v/>
      </c>
      <c r="U42" s="16">
        <f>IF('Input Scenarios'!U107&lt;&gt;"", 'Input Scenarios'!U107, IF(W42&lt;&gt;"", "", Constants!$B$39))</f>
        <v>4</v>
      </c>
      <c r="V42" s="16">
        <f>IF('Input Scenarios'!V107&lt;&gt;"", 'Input Scenarios'!V107, IF(W42&lt;&gt;"", "", Constants!$B$40))</f>
        <v>3.3</v>
      </c>
      <c r="W42" s="16" t="str">
        <f>IF('Input Scenarios'!W107&lt;&gt;"", 'Input Scenarios'!W107, "")</f>
        <v/>
      </c>
      <c r="X42" s="16" t="str">
        <f>'Input Scenarios'!X107</f>
        <v>Jersey</v>
      </c>
      <c r="Y42" s="16" t="str">
        <f>'Input Scenarios'!Y107</f>
        <v>bullsLt1Weaned</v>
      </c>
      <c r="Z42" s="16">
        <f>'Input Scenarios'!Z107</f>
        <v>200</v>
      </c>
      <c r="AA42" s="16">
        <f>'Input Scenarios'!AA107</f>
        <v>294</v>
      </c>
      <c r="AB42" s="16">
        <f>'Input Scenarios'!AB107</f>
        <v>225</v>
      </c>
      <c r="AC42" s="16">
        <f>IF('Input Scenarios'!AC107&lt;&gt;"", 'Input Scenarios'!AC107, _xlfn.XLOOKUP(Y42, Constants!$B$13:$H$13, Constants!$B$15:$H$15, ""))</f>
        <v>0.8</v>
      </c>
      <c r="AD42" s="16">
        <f>IF('Input Scenarios'!AD107&lt;&gt;"", 'Input Scenarios'!AD107, Constants!$B$45)</f>
        <v>0.75</v>
      </c>
      <c r="AE42" s="16">
        <f>IF('Input Scenarios'!AE107&lt;&gt;"", 'Input Scenarios'!AE107, Constants!$B$46)</f>
        <v>0.2</v>
      </c>
      <c r="AF42" s="16">
        <f t="shared" si="24"/>
        <v>0</v>
      </c>
      <c r="AG42" s="16">
        <f t="shared" si="22"/>
        <v>0</v>
      </c>
      <c r="AH42" s="16">
        <f t="shared" si="22"/>
        <v>0</v>
      </c>
      <c r="AI42" s="16">
        <f t="shared" si="22"/>
        <v>0</v>
      </c>
      <c r="AJ42" s="16">
        <f t="shared" si="25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13"/>
        <v>0.5948500000000001</v>
      </c>
      <c r="AQ42" s="16">
        <f t="shared" si="14"/>
        <v>0</v>
      </c>
      <c r="AR42" s="16">
        <f>IF(Y42="milkingCows", Constants!$P$2, Constants!$P$3)</f>
        <v>1</v>
      </c>
      <c r="AS42" s="16">
        <f t="shared" si="15"/>
        <v>5.4143472656250013</v>
      </c>
      <c r="AT42" s="16">
        <f t="shared" si="16"/>
        <v>1.2576570545672616</v>
      </c>
      <c r="AU42" s="16">
        <f>_xlfn.XLOOKUP(Y42, Constants!$B$13:$H$13, Constants!$B$14:$H$14, "")</f>
        <v>770</v>
      </c>
      <c r="AV42" s="16">
        <f t="shared" si="17"/>
        <v>0.29220779220779219</v>
      </c>
      <c r="AW42" s="16">
        <f>Constants!$B$55</f>
        <v>6.25</v>
      </c>
      <c r="AX42" s="16">
        <f t="shared" si="27"/>
        <v>1.9757354894894084E-2</v>
      </c>
      <c r="AY42" s="16">
        <f t="shared" si="28"/>
        <v>1.0828694531250003</v>
      </c>
      <c r="AZ42" s="16">
        <f t="shared" si="18"/>
        <v>0.15247929000170721</v>
      </c>
      <c r="BA42" s="16" t="str">
        <f>IF(ISNUMBER(FIND("PreWeaned",Y42)),_xlfn.XLOOKUP(Y42,Constants!$J$2:$J$3,Constants!$M$2:$M$3),"")</f>
        <v/>
      </c>
      <c r="BB42" s="16">
        <f t="shared" si="29"/>
        <v>8965.7822521003836</v>
      </c>
      <c r="BC42" s="16">
        <f t="shared" si="30"/>
        <v>0</v>
      </c>
      <c r="BD42" s="16">
        <f t="shared" si="31"/>
        <v>0</v>
      </c>
      <c r="BE42" s="16">
        <f t="shared" si="32"/>
        <v>0</v>
      </c>
      <c r="BF42" s="16">
        <f t="shared" si="33"/>
        <v>0</v>
      </c>
      <c r="BG42" s="16">
        <f t="shared" si="34"/>
        <v>8965.7822521003836</v>
      </c>
      <c r="BH42" s="16">
        <f>Constants!$C$19</f>
        <v>0</v>
      </c>
      <c r="BI42" s="16">
        <f>Constants!$C$20</f>
        <v>0</v>
      </c>
      <c r="BJ42" s="16">
        <f>Constants!$C$21</f>
        <v>0</v>
      </c>
      <c r="BK42" s="16">
        <f>Constants!$C$22</f>
        <v>5.0000000000000001E-3</v>
      </c>
      <c r="BL42" s="16">
        <f>Constants!$C$23</f>
        <v>0</v>
      </c>
      <c r="BM42" s="16">
        <f>Constants!$B$50</f>
        <v>1.57</v>
      </c>
      <c r="BN42" s="16">
        <f>_xlfn.XLOOKUP(D42,Constants!$A$34:$A$35,Constants!$B$34:$B$35)</f>
        <v>6.0000000000000001E-3</v>
      </c>
      <c r="BO42" s="16">
        <f t="shared" si="35"/>
        <v>0</v>
      </c>
      <c r="BP42" s="16">
        <f t="shared" si="35"/>
        <v>0</v>
      </c>
      <c r="BQ42" s="16">
        <f t="shared" si="35"/>
        <v>0</v>
      </c>
      <c r="BR42" s="16">
        <f t="shared" si="35"/>
        <v>0</v>
      </c>
      <c r="BS42" s="16">
        <f t="shared" si="35"/>
        <v>0</v>
      </c>
      <c r="BT42" s="16">
        <f t="shared" si="20"/>
        <v>84.45766881478562</v>
      </c>
    </row>
    <row r="43" spans="1:73" x14ac:dyDescent="0.2">
      <c r="A43" t="str">
        <f>'Input Scenarios'!A108</f>
        <v>ACT</v>
      </c>
      <c r="B43">
        <f>'Input Scenarios'!B108</f>
        <v>12</v>
      </c>
      <c r="C43" t="str">
        <f>'Input Scenarios'!C108</f>
        <v>Non-irrigated crop (low rainfall)</v>
      </c>
      <c r="D43" t="str">
        <f>'Input Scenarios'!D108</f>
        <v>wet</v>
      </c>
      <c r="E43" t="b">
        <f>'Input Scenarios'!E108</f>
        <v>1</v>
      </c>
      <c r="G43">
        <f>'Input Scenarios'!G108</f>
        <v>0.45</v>
      </c>
      <c r="H43">
        <f>'Input Scenarios'!H108</f>
        <v>0.2</v>
      </c>
      <c r="I43">
        <f>'Input Scenarios'!I108</f>
        <v>0.35</v>
      </c>
      <c r="J43">
        <f>'Input Scenarios'!J108</f>
        <v>0</v>
      </c>
      <c r="K43">
        <f>'Input Scenarios'!K108</f>
        <v>0</v>
      </c>
      <c r="L43">
        <f>'Input Scenarios'!L108</f>
        <v>1</v>
      </c>
      <c r="M43">
        <f>'Input Scenarios'!M108</f>
        <v>0</v>
      </c>
      <c r="N43">
        <f>'Input Scenarios'!N108</f>
        <v>1</v>
      </c>
      <c r="O43">
        <f>'Input Scenarios'!O108</f>
        <v>0</v>
      </c>
      <c r="P43">
        <f>'Input Scenarios'!P108</f>
        <v>0</v>
      </c>
      <c r="Q43">
        <f>'Input Scenarios'!Q108</f>
        <v>0</v>
      </c>
      <c r="R43" t="b">
        <f>'Input Scenarios'!R43</f>
        <v>1</v>
      </c>
      <c r="S43">
        <f>IF('Input Scenarios'!S108&lt;&gt;"", 'Input Scenarios'!S108, IF(R108, Constants!$B$38, 0))</f>
        <v>0.25</v>
      </c>
      <c r="T43" s="20">
        <f>IF('Input Scenarios'!T108&lt;&gt;"", 'Input Scenarios'!T108, "")</f>
        <v>4</v>
      </c>
      <c r="U43" s="20">
        <f>IF('Input Scenarios'!U108&lt;&gt;"", 'Input Scenarios'!U108, IF(W43&lt;&gt;"", "", Constants!$B$39))</f>
        <v>2.9</v>
      </c>
      <c r="V43" s="20">
        <f>IF('Input Scenarios'!V108&lt;&gt;"", 'Input Scenarios'!V108, IF(W43&lt;&gt;"", "", Constants!$B$40))</f>
        <v>3.3</v>
      </c>
      <c r="W43" s="20" t="str">
        <f>IF('Input Scenarios'!W108&lt;&gt;"", 'Input Scenarios'!W108, "")</f>
        <v/>
      </c>
      <c r="X43" s="20" t="str">
        <f>'Input Scenarios'!X108</f>
        <v>Brown Swiss</v>
      </c>
      <c r="Y43" s="20" t="str">
        <f>'Input Scenarios'!Y108</f>
        <v>milkingCows</v>
      </c>
      <c r="Z43" s="20">
        <f>'Input Scenarios'!Z108</f>
        <v>200</v>
      </c>
      <c r="AA43" s="20">
        <f>'Input Scenarios'!AA108</f>
        <v>365</v>
      </c>
      <c r="AB43" s="20">
        <f>'Input Scenarios'!AB108</f>
        <v>450</v>
      </c>
      <c r="AC43">
        <f>IF('Input Scenarios'!AC108&lt;&gt;"", 'Input Scenarios'!AC108, _xlfn.XLOOKUP(Y43, Constants!$B$13:$H$13, Constants!$B$15:$H$15, ""))</f>
        <v>1.6E-2</v>
      </c>
      <c r="AD43">
        <f>IF('Input Scenarios'!AD108&lt;&gt;"", 'Input Scenarios'!AD108, Constants!$B$45)</f>
        <v>0.75</v>
      </c>
      <c r="AE43">
        <f>IF('Input Scenarios'!AE108&lt;&gt;"", 'Input Scenarios'!AE108, Constants!$B$46)</f>
        <v>0.2</v>
      </c>
      <c r="AF43" s="20">
        <f t="shared" si="24"/>
        <v>0.35</v>
      </c>
      <c r="AG43" s="20">
        <f t="shared" si="22"/>
        <v>0</v>
      </c>
      <c r="AH43" s="20">
        <f t="shared" si="22"/>
        <v>0.2</v>
      </c>
      <c r="AI43" s="20">
        <f t="shared" si="22"/>
        <v>0</v>
      </c>
      <c r="AJ43" s="20">
        <f t="shared" si="25"/>
        <v>0.45</v>
      </c>
      <c r="AK43">
        <f t="shared" ref="AK43:AK63" si="36">IF(Y43="milkingCows", IF(W43&lt;&gt;"", W43, T43/((U43+V43)*0.01)), 0)</f>
        <v>64.516129032258078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13"/>
        <v>0.5948500000000001</v>
      </c>
      <c r="AQ43">
        <f t="shared" si="14"/>
        <v>30.902813430990946</v>
      </c>
      <c r="AR43">
        <f>IF(Y43="milkingCows", Constants!$P$2, Constants!$P$3)</f>
        <v>1.1000000000000001</v>
      </c>
      <c r="AS43">
        <f t="shared" si="15"/>
        <v>38.960708079750944</v>
      </c>
      <c r="AT43">
        <f t="shared" si="16"/>
        <v>1.0007701416570653</v>
      </c>
      <c r="AU43">
        <f>_xlfn.XLOOKUP(Y43, Constants!$B$13:$H$13, Constants!$B$14:$H$14, "")</f>
        <v>590</v>
      </c>
      <c r="AV43">
        <f t="shared" si="17"/>
        <v>0.76271186440677963</v>
      </c>
      <c r="AW43">
        <f>Constants!$B$55</f>
        <v>6.25</v>
      </c>
      <c r="AX43" s="20">
        <f t="shared" si="27"/>
        <v>0.33350471859405595</v>
      </c>
      <c r="AY43">
        <f t="shared" si="28"/>
        <v>7.7921416159501895</v>
      </c>
      <c r="AZ43">
        <f t="shared" si="18"/>
        <v>0.91151836127315211</v>
      </c>
      <c r="BA43" t="str">
        <f>IF(ISNUMBER(FIND("PreWeaned",Y43)),_xlfn.XLOOKUP(Y43,Constants!$J$2:$J$3,Constants!$M$2:$M$3),"")</f>
        <v/>
      </c>
      <c r="BB43">
        <f t="shared" si="29"/>
        <v>66540.840372940103</v>
      </c>
      <c r="BC43">
        <f t="shared" si="30"/>
        <v>23289.294130529033</v>
      </c>
      <c r="BD43">
        <f t="shared" si="31"/>
        <v>0</v>
      </c>
      <c r="BE43">
        <f t="shared" si="32"/>
        <v>13308.168074588022</v>
      </c>
      <c r="BF43">
        <f t="shared" si="33"/>
        <v>0</v>
      </c>
      <c r="BG43">
        <f t="shared" si="34"/>
        <v>29943.378167823048</v>
      </c>
      <c r="BH43">
        <f>Constants!$C$19</f>
        <v>0</v>
      </c>
      <c r="BI43">
        <f>Constants!$C$20</f>
        <v>0</v>
      </c>
      <c r="BJ43">
        <f>Constants!$C$21</f>
        <v>0</v>
      </c>
      <c r="BK43">
        <f>Constants!$C$22</f>
        <v>5.0000000000000001E-3</v>
      </c>
      <c r="BL43">
        <f>Constants!$C$23</f>
        <v>0</v>
      </c>
      <c r="BM43">
        <f>Constants!$B$50</f>
        <v>1.57</v>
      </c>
      <c r="BN43">
        <f>_xlfn.XLOOKUP(D43,Constants!$A$34:$A$35,Constants!$B$34:$B$35)</f>
        <v>6.0000000000000001E-3</v>
      </c>
      <c r="BO43">
        <f t="shared" si="35"/>
        <v>0</v>
      </c>
      <c r="BP43">
        <f t="shared" si="35"/>
        <v>0</v>
      </c>
      <c r="BQ43">
        <f t="shared" si="35"/>
        <v>0</v>
      </c>
      <c r="BR43">
        <f t="shared" si="35"/>
        <v>0</v>
      </c>
      <c r="BS43">
        <f t="shared" si="35"/>
        <v>0</v>
      </c>
      <c r="BT43">
        <f t="shared" si="20"/>
        <v>282.0666223408931</v>
      </c>
      <c r="BU43">
        <f>SUM(BO43:BT49)/1000</f>
        <v>0.723018637373952</v>
      </c>
    </row>
    <row r="44" spans="1:73" x14ac:dyDescent="0.2">
      <c r="A44" t="str">
        <f>'Input Scenarios'!A109</f>
        <v>ACT</v>
      </c>
      <c r="B44">
        <f>'Input Scenarios'!B109</f>
        <v>12</v>
      </c>
      <c r="C44" t="str">
        <f>'Input Scenarios'!C109</f>
        <v>Non-irrigated crop (low rainfall)</v>
      </c>
      <c r="D44" t="str">
        <f>'Input Scenarios'!D109</f>
        <v>wet</v>
      </c>
      <c r="E44" t="b">
        <f>'Input Scenarios'!E109</f>
        <v>1</v>
      </c>
      <c r="G44">
        <f>'Input Scenarios'!G109</f>
        <v>0.45</v>
      </c>
      <c r="H44">
        <f>'Input Scenarios'!H109</f>
        <v>0.2</v>
      </c>
      <c r="I44">
        <f>'Input Scenarios'!I109</f>
        <v>0.35</v>
      </c>
      <c r="J44">
        <f>'Input Scenarios'!J109</f>
        <v>0</v>
      </c>
      <c r="K44">
        <f>'Input Scenarios'!K109</f>
        <v>0</v>
      </c>
      <c r="L44">
        <f>'Input Scenarios'!L109</f>
        <v>1</v>
      </c>
      <c r="M44">
        <f>'Input Scenarios'!M109</f>
        <v>0</v>
      </c>
      <c r="N44">
        <f>'Input Scenarios'!N109</f>
        <v>1</v>
      </c>
      <c r="O44">
        <f>'Input Scenarios'!O109</f>
        <v>0</v>
      </c>
      <c r="P44">
        <f>'Input Scenarios'!P109</f>
        <v>0</v>
      </c>
      <c r="Q44">
        <f>'Input Scenarios'!Q109</f>
        <v>0</v>
      </c>
      <c r="R44" t="b">
        <f>'Input Scenarios'!R44</f>
        <v>1</v>
      </c>
      <c r="S44">
        <f>IF('Input Scenarios'!S109&lt;&gt;"", 'Input Scenarios'!S109, IF(R109, Constants!$B$38, 0))</f>
        <v>0.25</v>
      </c>
      <c r="T44" t="str">
        <f>IF('Input Scenarios'!T109&lt;&gt;"", 'Input Scenarios'!T109, "")</f>
        <v/>
      </c>
      <c r="U44">
        <f>IF('Input Scenarios'!U109&lt;&gt;"", 'Input Scenarios'!U109, IF(W44&lt;&gt;"", "", Constants!$B$39))</f>
        <v>4</v>
      </c>
      <c r="V44">
        <f>IF('Input Scenarios'!V109&lt;&gt;"", 'Input Scenarios'!V109, IF(W44&lt;&gt;"", "", Constants!$B$40))</f>
        <v>3.3</v>
      </c>
      <c r="W44" t="str">
        <f>IF('Input Scenarios'!W109&lt;&gt;"", 'Input Scenarios'!W109, "")</f>
        <v/>
      </c>
      <c r="X44" t="str">
        <f>'Input Scenarios'!X109</f>
        <v>Brown Swiss</v>
      </c>
      <c r="Y44" t="str">
        <f>'Input Scenarios'!Y109</f>
        <v>heifersGt1</v>
      </c>
      <c r="Z44">
        <f>'Input Scenarios'!Z109</f>
        <v>200</v>
      </c>
      <c r="AA44">
        <f>'Input Scenarios'!AA109</f>
        <v>265</v>
      </c>
      <c r="AB44">
        <f>'Input Scenarios'!AB109</f>
        <v>315</v>
      </c>
      <c r="AC44">
        <f>IF('Input Scenarios'!AC109&lt;&gt;"", 'Input Scenarios'!AC109, _xlfn.XLOOKUP(Y44, Constants!$B$13:$H$13, Constants!$B$15:$H$15, ""))</f>
        <v>0.6</v>
      </c>
      <c r="AD44">
        <f>IF('Input Scenarios'!AD109&lt;&gt;"", 'Input Scenarios'!AD109, Constants!$B$45)</f>
        <v>0.75</v>
      </c>
      <c r="AE44">
        <f>IF('Input Scenarios'!AE109&lt;&gt;"", 'Input Scenarios'!AE109, Constants!$B$46)</f>
        <v>0.2</v>
      </c>
      <c r="AF44">
        <f t="shared" si="24"/>
        <v>0</v>
      </c>
      <c r="AG44">
        <f t="shared" si="22"/>
        <v>0</v>
      </c>
      <c r="AH44">
        <f t="shared" si="22"/>
        <v>0</v>
      </c>
      <c r="AI44">
        <f t="shared" si="22"/>
        <v>0</v>
      </c>
      <c r="AJ44">
        <f t="shared" si="25"/>
        <v>1</v>
      </c>
      <c r="AK44">
        <f t="shared" si="36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13"/>
        <v>0.5948500000000001</v>
      </c>
      <c r="AQ44">
        <f t="shared" si="14"/>
        <v>0</v>
      </c>
      <c r="AR44">
        <f>IF(Y44="milkingCows", Constants!$P$2, Constants!$P$3)</f>
        <v>1</v>
      </c>
      <c r="AS44">
        <f t="shared" si="15"/>
        <v>6.4827015932249994</v>
      </c>
      <c r="AT44">
        <f t="shared" si="16"/>
        <v>1.166794807523394</v>
      </c>
      <c r="AU44">
        <f>_xlfn.XLOOKUP(Y44, Constants!$B$13:$H$13, Constants!$B$14:$H$14, "")</f>
        <v>590</v>
      </c>
      <c r="AV44">
        <f t="shared" si="17"/>
        <v>0.53389830508474578</v>
      </c>
      <c r="AW44">
        <f>Constants!$B$55</f>
        <v>6.25</v>
      </c>
      <c r="AX44">
        <f t="shared" si="27"/>
        <v>1.0365571727800444E-2</v>
      </c>
      <c r="AY44">
        <f t="shared" si="28"/>
        <v>1.296540318645</v>
      </c>
      <c r="AZ44">
        <f t="shared" si="18"/>
        <v>0.19576491048465905</v>
      </c>
      <c r="BA44" t="str">
        <f>IF(ISNUMBER(FIND("PreWeaned",Y44)),_xlfn.XLOOKUP(Y44,Constants!$J$2:$J$3,Constants!$M$2:$M$3),"")</f>
        <v/>
      </c>
      <c r="BB44">
        <f t="shared" si="29"/>
        <v>10375.540255686929</v>
      </c>
      <c r="BC44">
        <f t="shared" si="30"/>
        <v>0</v>
      </c>
      <c r="BD44">
        <f t="shared" si="31"/>
        <v>0</v>
      </c>
      <c r="BE44">
        <f t="shared" si="32"/>
        <v>0</v>
      </c>
      <c r="BF44">
        <f t="shared" si="33"/>
        <v>0</v>
      </c>
      <c r="BG44">
        <f t="shared" si="34"/>
        <v>10375.540255686929</v>
      </c>
      <c r="BH44">
        <f>Constants!$C$19</f>
        <v>0</v>
      </c>
      <c r="BI44">
        <f>Constants!$C$20</f>
        <v>0</v>
      </c>
      <c r="BJ44">
        <f>Constants!$C$21</f>
        <v>0</v>
      </c>
      <c r="BK44">
        <f>Constants!$C$22</f>
        <v>5.0000000000000001E-3</v>
      </c>
      <c r="BL44">
        <f>Constants!$C$23</f>
        <v>0</v>
      </c>
      <c r="BM44">
        <f>Constants!$B$50</f>
        <v>1.57</v>
      </c>
      <c r="BN44">
        <f>_xlfn.XLOOKUP(D44,Constants!$A$34:$A$35,Constants!$B$34:$B$35)</f>
        <v>6.0000000000000001E-3</v>
      </c>
      <c r="BO44">
        <f t="shared" si="35"/>
        <v>0</v>
      </c>
      <c r="BP44">
        <f t="shared" si="35"/>
        <v>0</v>
      </c>
      <c r="BQ44">
        <f t="shared" si="35"/>
        <v>0</v>
      </c>
      <c r="BR44">
        <f t="shared" si="35"/>
        <v>0</v>
      </c>
      <c r="BS44">
        <f t="shared" si="35"/>
        <v>0</v>
      </c>
      <c r="BT44">
        <f t="shared" si="20"/>
        <v>97.737589208570867</v>
      </c>
    </row>
    <row r="45" spans="1:73" x14ac:dyDescent="0.2">
      <c r="A45" t="str">
        <f>'Input Scenarios'!A110</f>
        <v>ACT</v>
      </c>
      <c r="B45">
        <f>'Input Scenarios'!B110</f>
        <v>12</v>
      </c>
      <c r="C45" t="str">
        <f>'Input Scenarios'!C110</f>
        <v>Non-irrigated crop (low rainfall)</v>
      </c>
      <c r="D45" t="str">
        <f>'Input Scenarios'!D110</f>
        <v>wet</v>
      </c>
      <c r="E45" t="b">
        <f>'Input Scenarios'!E110</f>
        <v>1</v>
      </c>
      <c r="G45">
        <f>'Input Scenarios'!G110</f>
        <v>0.45</v>
      </c>
      <c r="H45">
        <f>'Input Scenarios'!H110</f>
        <v>0.2</v>
      </c>
      <c r="I45">
        <f>'Input Scenarios'!I110</f>
        <v>0.35</v>
      </c>
      <c r="J45">
        <f>'Input Scenarios'!J110</f>
        <v>0</v>
      </c>
      <c r="K45">
        <f>'Input Scenarios'!K110</f>
        <v>0</v>
      </c>
      <c r="L45">
        <f>'Input Scenarios'!L110</f>
        <v>1</v>
      </c>
      <c r="M45">
        <f>'Input Scenarios'!M110</f>
        <v>0</v>
      </c>
      <c r="N45">
        <f>'Input Scenarios'!N110</f>
        <v>1</v>
      </c>
      <c r="O45">
        <f>'Input Scenarios'!O110</f>
        <v>0</v>
      </c>
      <c r="P45">
        <f>'Input Scenarios'!P110</f>
        <v>0</v>
      </c>
      <c r="Q45">
        <f>'Input Scenarios'!Q110</f>
        <v>0</v>
      </c>
      <c r="R45" t="b">
        <f>'Input Scenarios'!R45</f>
        <v>1</v>
      </c>
      <c r="S45">
        <f>IF('Input Scenarios'!S110&lt;&gt;"", 'Input Scenarios'!S110, IF(R110, Constants!$B$38, 0))</f>
        <v>0.25</v>
      </c>
      <c r="T45" t="str">
        <f>IF('Input Scenarios'!T110&lt;&gt;"", 'Input Scenarios'!T110, "")</f>
        <v/>
      </c>
      <c r="U45">
        <f>IF('Input Scenarios'!U110&lt;&gt;"", 'Input Scenarios'!U110, IF(W45&lt;&gt;"", "", Constants!$B$39))</f>
        <v>4</v>
      </c>
      <c r="V45">
        <f>IF('Input Scenarios'!V110&lt;&gt;"", 'Input Scenarios'!V110, IF(W45&lt;&gt;"", "", Constants!$B$40))</f>
        <v>3.3</v>
      </c>
      <c r="W45" t="str">
        <f>IF('Input Scenarios'!W110&lt;&gt;"", 'Input Scenarios'!W110, "")</f>
        <v/>
      </c>
      <c r="X45" t="str">
        <f>'Input Scenarios'!X110</f>
        <v>Brown Swiss</v>
      </c>
      <c r="Y45" t="str">
        <f>'Input Scenarios'!Y110</f>
        <v>heifersLt1PreWeaned</v>
      </c>
      <c r="Z45">
        <f>'Input Scenarios'!Z110</f>
        <v>200</v>
      </c>
      <c r="AA45">
        <f>'Input Scenarios'!AA110</f>
        <v>100</v>
      </c>
      <c r="AB45">
        <f>'Input Scenarios'!AB110</f>
        <v>130</v>
      </c>
      <c r="AC45" t="str">
        <f>IF('Input Scenarios'!AC110&lt;&gt;"", 'Input Scenarios'!AC110, _xlfn.XLOOKUP(Y45, Constants!$B$13:$H$13, Constants!$B$15:$H$15, ""))</f>
        <v/>
      </c>
      <c r="AD45">
        <f>IF('Input Scenarios'!AD110&lt;&gt;"", 'Input Scenarios'!AD110, Constants!$B$45)</f>
        <v>0.75</v>
      </c>
      <c r="AE45">
        <f>IF('Input Scenarios'!AE110&lt;&gt;"", 'Input Scenarios'!AE110, Constants!$B$46)</f>
        <v>0.2</v>
      </c>
      <c r="AF45">
        <f t="shared" si="24"/>
        <v>0</v>
      </c>
      <c r="AG45">
        <f t="shared" si="24"/>
        <v>0</v>
      </c>
      <c r="AH45">
        <f t="shared" si="24"/>
        <v>0</v>
      </c>
      <c r="AI45">
        <f t="shared" si="24"/>
        <v>0</v>
      </c>
      <c r="AJ45">
        <f t="shared" si="25"/>
        <v>1</v>
      </c>
      <c r="AK45">
        <f t="shared" si="36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13"/>
        <v>0.5948500000000001</v>
      </c>
      <c r="AQ45">
        <f t="shared" si="14"/>
        <v>0</v>
      </c>
      <c r="AR45">
        <f>IF(Y45="milkingCows", Constants!$P$2, Constants!$P$3)</f>
        <v>1</v>
      </c>
      <c r="AS45" t="str">
        <f t="shared" si="15"/>
        <v/>
      </c>
      <c r="AT45" t="str">
        <f t="shared" si="16"/>
        <v/>
      </c>
      <c r="AU45" t="str">
        <f>_xlfn.XLOOKUP(Y45, Constants!$B$13:$H$13, Constants!$B$14:$H$14, "")</f>
        <v/>
      </c>
      <c r="AV45" t="str">
        <f t="shared" si="17"/>
        <v/>
      </c>
      <c r="AW45">
        <f>Constants!$B$55</f>
        <v>6.25</v>
      </c>
      <c r="AX45" t="str">
        <f t="shared" si="27"/>
        <v/>
      </c>
      <c r="AY45" t="str">
        <f t="shared" si="28"/>
        <v/>
      </c>
      <c r="AZ45" t="str">
        <f t="shared" si="18"/>
        <v/>
      </c>
      <c r="BA45">
        <f>IF(ISNUMBER(FIND("PreWeaned",Y45)),_xlfn.XLOOKUP(Y45,Constants!$J$2:$J$3,Constants!$M$2:$M$3),"")</f>
        <v>1.37E-2</v>
      </c>
      <c r="BB45">
        <f t="shared" si="29"/>
        <v>274</v>
      </c>
      <c r="BC45">
        <f t="shared" si="30"/>
        <v>0</v>
      </c>
      <c r="BD45">
        <f t="shared" si="31"/>
        <v>0</v>
      </c>
      <c r="BE45">
        <f t="shared" si="32"/>
        <v>0</v>
      </c>
      <c r="BF45">
        <f t="shared" si="33"/>
        <v>0</v>
      </c>
      <c r="BG45">
        <f t="shared" si="34"/>
        <v>274</v>
      </c>
      <c r="BH45">
        <f>Constants!$C$19</f>
        <v>0</v>
      </c>
      <c r="BI45">
        <f>Constants!$C$20</f>
        <v>0</v>
      </c>
      <c r="BJ45">
        <f>Constants!$C$21</f>
        <v>0</v>
      </c>
      <c r="BK45">
        <f>Constants!$C$22</f>
        <v>5.0000000000000001E-3</v>
      </c>
      <c r="BL45">
        <f>Constants!$C$23</f>
        <v>0</v>
      </c>
      <c r="BM45">
        <f>Constants!$B$50</f>
        <v>1.57</v>
      </c>
      <c r="BN45">
        <f>_xlfn.XLOOKUP(D45,Constants!$A$34:$A$35,Constants!$B$34:$B$35)</f>
        <v>6.0000000000000001E-3</v>
      </c>
      <c r="BO45">
        <f t="shared" si="35"/>
        <v>0</v>
      </c>
      <c r="BP45">
        <f t="shared" si="35"/>
        <v>0</v>
      </c>
      <c r="BQ45">
        <f t="shared" si="35"/>
        <v>0</v>
      </c>
      <c r="BR45">
        <f t="shared" si="35"/>
        <v>0</v>
      </c>
      <c r="BS45">
        <f t="shared" si="35"/>
        <v>0</v>
      </c>
      <c r="BT45">
        <f t="shared" si="20"/>
        <v>2.5810800000000005</v>
      </c>
    </row>
    <row r="46" spans="1:73" x14ac:dyDescent="0.2">
      <c r="A46" t="str">
        <f>'Input Scenarios'!A111</f>
        <v>ACT</v>
      </c>
      <c r="B46">
        <f>'Input Scenarios'!B111</f>
        <v>12</v>
      </c>
      <c r="C46" t="str">
        <f>'Input Scenarios'!C111</f>
        <v>Non-irrigated crop (low rainfall)</v>
      </c>
      <c r="D46" t="str">
        <f>'Input Scenarios'!D111</f>
        <v>wet</v>
      </c>
      <c r="E46" t="b">
        <f>'Input Scenarios'!E111</f>
        <v>1</v>
      </c>
      <c r="G46">
        <f>'Input Scenarios'!G111</f>
        <v>0.45</v>
      </c>
      <c r="H46">
        <f>'Input Scenarios'!H111</f>
        <v>0.2</v>
      </c>
      <c r="I46">
        <f>'Input Scenarios'!I111</f>
        <v>0.35</v>
      </c>
      <c r="J46">
        <f>'Input Scenarios'!J111</f>
        <v>0</v>
      </c>
      <c r="K46">
        <f>'Input Scenarios'!K111</f>
        <v>0</v>
      </c>
      <c r="L46">
        <f>'Input Scenarios'!L111</f>
        <v>1</v>
      </c>
      <c r="M46">
        <f>'Input Scenarios'!M111</f>
        <v>0</v>
      </c>
      <c r="N46">
        <f>'Input Scenarios'!N111</f>
        <v>1</v>
      </c>
      <c r="O46">
        <f>'Input Scenarios'!O111</f>
        <v>0</v>
      </c>
      <c r="P46">
        <f>'Input Scenarios'!P111</f>
        <v>0</v>
      </c>
      <c r="Q46">
        <f>'Input Scenarios'!Q111</f>
        <v>0</v>
      </c>
      <c r="R46" t="b">
        <f>'Input Scenarios'!R46</f>
        <v>1</v>
      </c>
      <c r="S46">
        <f>IF('Input Scenarios'!S111&lt;&gt;"", 'Input Scenarios'!S111, IF(R111, Constants!$B$38, 0))</f>
        <v>0.25</v>
      </c>
      <c r="T46" t="str">
        <f>IF('Input Scenarios'!T111&lt;&gt;"", 'Input Scenarios'!T111, "")</f>
        <v/>
      </c>
      <c r="U46">
        <f>IF('Input Scenarios'!U111&lt;&gt;"", 'Input Scenarios'!U111, IF(W46&lt;&gt;"", "", Constants!$B$39))</f>
        <v>4</v>
      </c>
      <c r="V46">
        <f>IF('Input Scenarios'!V111&lt;&gt;"", 'Input Scenarios'!V111, IF(W46&lt;&gt;"", "", Constants!$B$40))</f>
        <v>3.3</v>
      </c>
      <c r="W46" t="str">
        <f>IF('Input Scenarios'!W111&lt;&gt;"", 'Input Scenarios'!W111, "")</f>
        <v/>
      </c>
      <c r="X46" t="str">
        <f>'Input Scenarios'!X111</f>
        <v>Brown Swiss</v>
      </c>
      <c r="Y46" t="str">
        <f>'Input Scenarios'!Y111</f>
        <v>heifersLt1Weaned</v>
      </c>
      <c r="Z46">
        <f>'Input Scenarios'!Z111</f>
        <v>200</v>
      </c>
      <c r="AA46">
        <f>'Input Scenarios'!AA111</f>
        <v>360</v>
      </c>
      <c r="AB46">
        <f>'Input Scenarios'!AB111</f>
        <v>130</v>
      </c>
      <c r="AC46">
        <f>IF('Input Scenarios'!AC111&lt;&gt;"", 'Input Scenarios'!AC111, _xlfn.XLOOKUP(Y46, Constants!$B$13:$H$13, Constants!$B$15:$H$15, ""))</f>
        <v>0.56999999999999995</v>
      </c>
      <c r="AD46">
        <f>IF('Input Scenarios'!AD111&lt;&gt;"", 'Input Scenarios'!AD111, Constants!$B$45)</f>
        <v>0.75</v>
      </c>
      <c r="AE46">
        <f>IF('Input Scenarios'!AE111&lt;&gt;"", 'Input Scenarios'!AE111, Constants!$B$46)</f>
        <v>0.2</v>
      </c>
      <c r="AF46">
        <f t="shared" si="24"/>
        <v>0</v>
      </c>
      <c r="AG46">
        <f t="shared" si="24"/>
        <v>0</v>
      </c>
      <c r="AH46">
        <f t="shared" si="24"/>
        <v>0</v>
      </c>
      <c r="AI46">
        <f t="shared" si="24"/>
        <v>0</v>
      </c>
      <c r="AJ46">
        <f t="shared" si="25"/>
        <v>1</v>
      </c>
      <c r="AK46">
        <f t="shared" si="36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13"/>
        <v>0.5948500000000001</v>
      </c>
      <c r="AQ46">
        <f t="shared" si="14"/>
        <v>0</v>
      </c>
      <c r="AR46">
        <f>IF(Y46="milkingCows", Constants!$P$2, Constants!$P$3)</f>
        <v>1</v>
      </c>
      <c r="AS46">
        <f t="shared" si="15"/>
        <v>3.6511948560999987</v>
      </c>
      <c r="AT46">
        <f t="shared" si="16"/>
        <v>1.2181770715229607</v>
      </c>
      <c r="AU46">
        <f>_xlfn.XLOOKUP(Y46, Constants!$B$13:$H$13, Constants!$B$14:$H$14, "")</f>
        <v>590</v>
      </c>
      <c r="AV46">
        <f t="shared" si="17"/>
        <v>0.22033898305084745</v>
      </c>
      <c r="AW46">
        <f>Constants!$B$55</f>
        <v>6.25</v>
      </c>
      <c r="AX46">
        <f t="shared" si="27"/>
        <v>1.5196847323916365E-2</v>
      </c>
      <c r="AY46">
        <f t="shared" si="28"/>
        <v>0.73023897121999981</v>
      </c>
      <c r="AZ46">
        <f t="shared" si="18"/>
        <v>0.10096379308784414</v>
      </c>
      <c r="BA46" t="str">
        <f>IF(ISNUMBER(FIND("PreWeaned",Y46)),_xlfn.XLOOKUP(Y46,Constants!$J$2:$J$3,Constants!$M$2:$M$3),"")</f>
        <v/>
      </c>
      <c r="BB46">
        <f t="shared" si="29"/>
        <v>7269.3931023247778</v>
      </c>
      <c r="BC46">
        <f t="shared" si="30"/>
        <v>0</v>
      </c>
      <c r="BD46">
        <f t="shared" si="31"/>
        <v>0</v>
      </c>
      <c r="BE46">
        <f t="shared" si="32"/>
        <v>0</v>
      </c>
      <c r="BF46">
        <f t="shared" si="33"/>
        <v>0</v>
      </c>
      <c r="BG46">
        <f t="shared" si="34"/>
        <v>7269.3931023247778</v>
      </c>
      <c r="BH46">
        <f>Constants!$C$19</f>
        <v>0</v>
      </c>
      <c r="BI46">
        <f>Constants!$C$20</f>
        <v>0</v>
      </c>
      <c r="BJ46">
        <f>Constants!$C$21</f>
        <v>0</v>
      </c>
      <c r="BK46">
        <f>Constants!$C$22</f>
        <v>5.0000000000000001E-3</v>
      </c>
      <c r="BL46">
        <f>Constants!$C$23</f>
        <v>0</v>
      </c>
      <c r="BM46">
        <f>Constants!$B$50</f>
        <v>1.57</v>
      </c>
      <c r="BN46">
        <f>_xlfn.XLOOKUP(D46,Constants!$A$34:$A$35,Constants!$B$34:$B$35)</f>
        <v>6.0000000000000001E-3</v>
      </c>
      <c r="BO46">
        <f t="shared" si="35"/>
        <v>0</v>
      </c>
      <c r="BP46">
        <f t="shared" si="35"/>
        <v>0</v>
      </c>
      <c r="BQ46">
        <f t="shared" si="35"/>
        <v>0</v>
      </c>
      <c r="BR46">
        <f t="shared" si="35"/>
        <v>0</v>
      </c>
      <c r="BS46">
        <f t="shared" si="35"/>
        <v>0</v>
      </c>
      <c r="BT46">
        <f t="shared" si="20"/>
        <v>68.477683023899417</v>
      </c>
    </row>
    <row r="47" spans="1:73" x14ac:dyDescent="0.2">
      <c r="A47" t="str">
        <f>'Input Scenarios'!A112</f>
        <v>ACT</v>
      </c>
      <c r="B47">
        <f>'Input Scenarios'!B112</f>
        <v>12</v>
      </c>
      <c r="C47" t="str">
        <f>'Input Scenarios'!C112</f>
        <v>Non-irrigated crop (low rainfall)</v>
      </c>
      <c r="D47" t="str">
        <f>'Input Scenarios'!D112</f>
        <v>wet</v>
      </c>
      <c r="E47" t="b">
        <f>'Input Scenarios'!E112</f>
        <v>1</v>
      </c>
      <c r="G47">
        <f>'Input Scenarios'!G112</f>
        <v>0.45</v>
      </c>
      <c r="H47">
        <f>'Input Scenarios'!H112</f>
        <v>0.2</v>
      </c>
      <c r="I47">
        <f>'Input Scenarios'!I112</f>
        <v>0.35</v>
      </c>
      <c r="J47">
        <f>'Input Scenarios'!J112</f>
        <v>0</v>
      </c>
      <c r="K47">
        <f>'Input Scenarios'!K112</f>
        <v>0</v>
      </c>
      <c r="L47">
        <f>'Input Scenarios'!L112</f>
        <v>1</v>
      </c>
      <c r="M47">
        <f>'Input Scenarios'!M112</f>
        <v>0</v>
      </c>
      <c r="N47">
        <f>'Input Scenarios'!N112</f>
        <v>1</v>
      </c>
      <c r="O47">
        <f>'Input Scenarios'!O112</f>
        <v>0</v>
      </c>
      <c r="P47">
        <f>'Input Scenarios'!P112</f>
        <v>0</v>
      </c>
      <c r="Q47">
        <f>'Input Scenarios'!Q112</f>
        <v>0</v>
      </c>
      <c r="R47" t="b">
        <f>'Input Scenarios'!R47</f>
        <v>1</v>
      </c>
      <c r="S47">
        <f>IF('Input Scenarios'!S112&lt;&gt;"", 'Input Scenarios'!S112, IF(R112, Constants!$B$38, 0))</f>
        <v>0.25</v>
      </c>
      <c r="T47" t="str">
        <f>IF('Input Scenarios'!T112&lt;&gt;"", 'Input Scenarios'!T112, "")</f>
        <v/>
      </c>
      <c r="U47">
        <f>IF('Input Scenarios'!U112&lt;&gt;"", 'Input Scenarios'!U112, IF(W47&lt;&gt;"", "", Constants!$B$39))</f>
        <v>4</v>
      </c>
      <c r="V47">
        <f>IF('Input Scenarios'!V112&lt;&gt;"", 'Input Scenarios'!V112, IF(W47&lt;&gt;"", "", Constants!$B$40))</f>
        <v>3.3</v>
      </c>
      <c r="W47" t="str">
        <f>IF('Input Scenarios'!W112&lt;&gt;"", 'Input Scenarios'!W112, "")</f>
        <v/>
      </c>
      <c r="X47" t="str">
        <f>'Input Scenarios'!X112</f>
        <v>Brown Swiss</v>
      </c>
      <c r="Y47" t="str">
        <f>'Input Scenarios'!Y112</f>
        <v>bullsGt1</v>
      </c>
      <c r="Z47">
        <f>'Input Scenarios'!Z112</f>
        <v>200</v>
      </c>
      <c r="AA47">
        <f>'Input Scenarios'!AA112</f>
        <v>345</v>
      </c>
      <c r="AB47">
        <f>'Input Scenarios'!AB112</f>
        <v>600</v>
      </c>
      <c r="AC47">
        <f>IF('Input Scenarios'!AC112&lt;&gt;"", 'Input Scenarios'!AC112, _xlfn.XLOOKUP(Y47, Constants!$B$13:$H$13, Constants!$B$15:$H$15, ""))</f>
        <v>0.1</v>
      </c>
      <c r="AD47">
        <f>IF('Input Scenarios'!AD112&lt;&gt;"", 'Input Scenarios'!AD112, Constants!$B$45)</f>
        <v>0.75</v>
      </c>
      <c r="AE47">
        <f>IF('Input Scenarios'!AE112&lt;&gt;"", 'Input Scenarios'!AE112, Constants!$B$46)</f>
        <v>0.2</v>
      </c>
      <c r="AF47">
        <f t="shared" si="24"/>
        <v>0</v>
      </c>
      <c r="AG47">
        <f t="shared" si="24"/>
        <v>0</v>
      </c>
      <c r="AH47">
        <f t="shared" si="24"/>
        <v>0</v>
      </c>
      <c r="AI47">
        <f t="shared" si="24"/>
        <v>0</v>
      </c>
      <c r="AJ47">
        <f t="shared" si="25"/>
        <v>1</v>
      </c>
      <c r="AK47">
        <f t="shared" si="36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13"/>
        <v>0.5948500000000001</v>
      </c>
      <c r="AQ47">
        <f t="shared" si="14"/>
        <v>0</v>
      </c>
      <c r="AR47">
        <f>IF(Y47="milkingCows", Constants!$P$2, Constants!$P$3)</f>
        <v>1</v>
      </c>
      <c r="AS47">
        <f t="shared" si="15"/>
        <v>9.0270202499999979</v>
      </c>
      <c r="AT47">
        <f t="shared" si="16"/>
        <v>1.0213029780639273</v>
      </c>
      <c r="AU47">
        <f>_xlfn.XLOOKUP(Y47, Constants!$B$13:$H$13, Constants!$B$14:$H$14, "")</f>
        <v>770</v>
      </c>
      <c r="AV47">
        <f t="shared" si="17"/>
        <v>0.77922077922077926</v>
      </c>
      <c r="AW47">
        <f>Constants!$B$55</f>
        <v>6.25</v>
      </c>
      <c r="AX47">
        <f t="shared" si="27"/>
        <v>1.2626203146474679E-3</v>
      </c>
      <c r="AY47">
        <f t="shared" si="28"/>
        <v>1.8054040499999997</v>
      </c>
      <c r="AZ47">
        <f t="shared" si="18"/>
        <v>0.28546836331241399</v>
      </c>
      <c r="BA47" t="str">
        <f>IF(ISNUMBER(FIND("PreWeaned",Y47)),_xlfn.XLOOKUP(Y47,Constants!$J$2:$J$3,Constants!$M$2:$M$3),"")</f>
        <v/>
      </c>
      <c r="BB47">
        <f t="shared" si="29"/>
        <v>19697.317068556564</v>
      </c>
      <c r="BC47">
        <f t="shared" si="30"/>
        <v>0</v>
      </c>
      <c r="BD47">
        <f t="shared" si="31"/>
        <v>0</v>
      </c>
      <c r="BE47">
        <f t="shared" si="32"/>
        <v>0</v>
      </c>
      <c r="BF47">
        <f t="shared" si="33"/>
        <v>0</v>
      </c>
      <c r="BG47">
        <f t="shared" si="34"/>
        <v>19697.317068556564</v>
      </c>
      <c r="BH47">
        <f>Constants!$C$19</f>
        <v>0</v>
      </c>
      <c r="BI47">
        <f>Constants!$C$20</f>
        <v>0</v>
      </c>
      <c r="BJ47">
        <f>Constants!$C$21</f>
        <v>0</v>
      </c>
      <c r="BK47">
        <f>Constants!$C$22</f>
        <v>5.0000000000000001E-3</v>
      </c>
      <c r="BL47">
        <f>Constants!$C$23</f>
        <v>0</v>
      </c>
      <c r="BM47">
        <f>Constants!$B$50</f>
        <v>1.57</v>
      </c>
      <c r="BN47">
        <f>_xlfn.XLOOKUP(D47,Constants!$A$34:$A$35,Constants!$B$34:$B$35)</f>
        <v>6.0000000000000001E-3</v>
      </c>
      <c r="BO47">
        <f t="shared" si="35"/>
        <v>0</v>
      </c>
      <c r="BP47">
        <f t="shared" si="35"/>
        <v>0</v>
      </c>
      <c r="BQ47">
        <f t="shared" si="35"/>
        <v>0</v>
      </c>
      <c r="BR47">
        <f t="shared" si="35"/>
        <v>0</v>
      </c>
      <c r="BS47">
        <f t="shared" si="35"/>
        <v>0</v>
      </c>
      <c r="BT47">
        <f t="shared" si="20"/>
        <v>185.54872678580284</v>
      </c>
    </row>
    <row r="48" spans="1:73" x14ac:dyDescent="0.2">
      <c r="A48" t="str">
        <f>'Input Scenarios'!A113</f>
        <v>ACT</v>
      </c>
      <c r="B48">
        <f>'Input Scenarios'!B113</f>
        <v>12</v>
      </c>
      <c r="C48" t="str">
        <f>'Input Scenarios'!C113</f>
        <v>Non-irrigated crop (low rainfall)</v>
      </c>
      <c r="D48" t="str">
        <f>'Input Scenarios'!D113</f>
        <v>wet</v>
      </c>
      <c r="E48" t="b">
        <f>'Input Scenarios'!E113</f>
        <v>1</v>
      </c>
      <c r="G48">
        <f>'Input Scenarios'!G113</f>
        <v>0.45</v>
      </c>
      <c r="H48">
        <f>'Input Scenarios'!H113</f>
        <v>0.2</v>
      </c>
      <c r="I48">
        <f>'Input Scenarios'!I113</f>
        <v>0.35</v>
      </c>
      <c r="J48">
        <f>'Input Scenarios'!J113</f>
        <v>0</v>
      </c>
      <c r="K48">
        <f>'Input Scenarios'!K113</f>
        <v>0</v>
      </c>
      <c r="L48">
        <f>'Input Scenarios'!L113</f>
        <v>1</v>
      </c>
      <c r="M48">
        <f>'Input Scenarios'!M113</f>
        <v>0</v>
      </c>
      <c r="N48">
        <f>'Input Scenarios'!N113</f>
        <v>1</v>
      </c>
      <c r="O48">
        <f>'Input Scenarios'!O113</f>
        <v>0</v>
      </c>
      <c r="P48">
        <f>'Input Scenarios'!P113</f>
        <v>0</v>
      </c>
      <c r="Q48">
        <f>'Input Scenarios'!Q113</f>
        <v>0</v>
      </c>
      <c r="R48" t="b">
        <f>'Input Scenarios'!R48</f>
        <v>1</v>
      </c>
      <c r="S48">
        <f>IF('Input Scenarios'!S113&lt;&gt;"", 'Input Scenarios'!S113, IF(R113, Constants!$B$38, 0))</f>
        <v>0.25</v>
      </c>
      <c r="T48" t="str">
        <f>IF('Input Scenarios'!T113&lt;&gt;"", 'Input Scenarios'!T113, "")</f>
        <v/>
      </c>
      <c r="U48">
        <f>IF('Input Scenarios'!U113&lt;&gt;"", 'Input Scenarios'!U113, IF(W48&lt;&gt;"", "", Constants!$B$39))</f>
        <v>4</v>
      </c>
      <c r="V48">
        <f>IF('Input Scenarios'!V113&lt;&gt;"", 'Input Scenarios'!V113, IF(W48&lt;&gt;"", "", Constants!$B$40))</f>
        <v>3.3</v>
      </c>
      <c r="W48" t="str">
        <f>IF('Input Scenarios'!W113&lt;&gt;"", 'Input Scenarios'!W113, "")</f>
        <v/>
      </c>
      <c r="X48" t="str">
        <f>'Input Scenarios'!X113</f>
        <v>Brown Swiss</v>
      </c>
      <c r="Y48" t="str">
        <f>'Input Scenarios'!Y113</f>
        <v>bullsLt1PreWeaned</v>
      </c>
      <c r="Z48">
        <f>'Input Scenarios'!Z113</f>
        <v>200</v>
      </c>
      <c r="AA48">
        <f>'Input Scenarios'!AA113</f>
        <v>124</v>
      </c>
      <c r="AB48">
        <f>'Input Scenarios'!AB113</f>
        <v>225</v>
      </c>
      <c r="AC48" t="str">
        <f>IF('Input Scenarios'!AC113&lt;&gt;"", 'Input Scenarios'!AC113, _xlfn.XLOOKUP(Y48, Constants!$B$13:$H$13, Constants!$B$15:$H$15, ""))</f>
        <v/>
      </c>
      <c r="AD48">
        <f>IF('Input Scenarios'!AD113&lt;&gt;"", 'Input Scenarios'!AD113, Constants!$B$45)</f>
        <v>0.75</v>
      </c>
      <c r="AE48">
        <f>IF('Input Scenarios'!AE113&lt;&gt;"", 'Input Scenarios'!AE113, Constants!$B$46)</f>
        <v>0.2</v>
      </c>
      <c r="AF48">
        <f t="shared" si="24"/>
        <v>0</v>
      </c>
      <c r="AG48">
        <f t="shared" si="24"/>
        <v>0</v>
      </c>
      <c r="AH48">
        <f t="shared" si="24"/>
        <v>0</v>
      </c>
      <c r="AI48">
        <f t="shared" si="24"/>
        <v>0</v>
      </c>
      <c r="AJ48">
        <f t="shared" si="25"/>
        <v>1</v>
      </c>
      <c r="AK48">
        <f t="shared" si="36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13"/>
        <v>0.5948500000000001</v>
      </c>
      <c r="AQ48">
        <f t="shared" si="14"/>
        <v>0</v>
      </c>
      <c r="AR48">
        <f>IF(Y48="milkingCows", Constants!$P$2, Constants!$P$3)</f>
        <v>1</v>
      </c>
      <c r="AS48" t="str">
        <f t="shared" si="15"/>
        <v/>
      </c>
      <c r="AT48" t="str">
        <f t="shared" si="16"/>
        <v/>
      </c>
      <c r="AU48" t="str">
        <f>_xlfn.XLOOKUP(Y48, Constants!$B$13:$H$13, Constants!$B$14:$H$14, "")</f>
        <v/>
      </c>
      <c r="AV48" t="str">
        <f t="shared" si="17"/>
        <v/>
      </c>
      <c r="AW48">
        <f>Constants!$B$55</f>
        <v>6.25</v>
      </c>
      <c r="AX48" t="str">
        <f t="shared" si="27"/>
        <v/>
      </c>
      <c r="AY48" t="str">
        <f t="shared" si="28"/>
        <v/>
      </c>
      <c r="AZ48" t="str">
        <f t="shared" si="18"/>
        <v/>
      </c>
      <c r="BA48">
        <f>IF(ISNUMBER(FIND("PreWeaned",Y48)),_xlfn.XLOOKUP(Y48,Constants!$J$2:$J$3,Constants!$M$2:$M$3),"")</f>
        <v>9.1999999999999998E-3</v>
      </c>
      <c r="BB48">
        <f t="shared" si="29"/>
        <v>228.15999999999997</v>
      </c>
      <c r="BC48">
        <f t="shared" si="30"/>
        <v>0</v>
      </c>
      <c r="BD48">
        <f t="shared" si="31"/>
        <v>0</v>
      </c>
      <c r="BE48">
        <f t="shared" si="32"/>
        <v>0</v>
      </c>
      <c r="BF48">
        <f t="shared" si="33"/>
        <v>0</v>
      </c>
      <c r="BG48">
        <f t="shared" si="34"/>
        <v>228.15999999999997</v>
      </c>
      <c r="BH48">
        <f>Constants!$C$19</f>
        <v>0</v>
      </c>
      <c r="BI48">
        <f>Constants!$C$20</f>
        <v>0</v>
      </c>
      <c r="BJ48">
        <f>Constants!$C$21</f>
        <v>0</v>
      </c>
      <c r="BK48">
        <f>Constants!$C$22</f>
        <v>5.0000000000000001E-3</v>
      </c>
      <c r="BL48">
        <f>Constants!$C$23</f>
        <v>0</v>
      </c>
      <c r="BM48">
        <f>Constants!$B$50</f>
        <v>1.57</v>
      </c>
      <c r="BN48">
        <f>_xlfn.XLOOKUP(D48,Constants!$A$34:$A$35,Constants!$B$34:$B$35)</f>
        <v>6.0000000000000001E-3</v>
      </c>
      <c r="BO48">
        <f t="shared" si="35"/>
        <v>0</v>
      </c>
      <c r="BP48">
        <f t="shared" si="35"/>
        <v>0</v>
      </c>
      <c r="BQ48">
        <f t="shared" si="35"/>
        <v>0</v>
      </c>
      <c r="BR48">
        <f t="shared" si="35"/>
        <v>0</v>
      </c>
      <c r="BS48">
        <f t="shared" si="35"/>
        <v>0</v>
      </c>
      <c r="BT48">
        <f t="shared" si="20"/>
        <v>2.1492671999999997</v>
      </c>
    </row>
    <row r="49" spans="1:73" s="16" customFormat="1" x14ac:dyDescent="0.2">
      <c r="A49" s="16" t="str">
        <f>'Input Scenarios'!A114</f>
        <v>ACT</v>
      </c>
      <c r="B49" s="16">
        <f>'Input Scenarios'!B114</f>
        <v>12</v>
      </c>
      <c r="C49" s="16" t="str">
        <f>'Input Scenarios'!C114</f>
        <v>Non-irrigated crop (low rainfall)</v>
      </c>
      <c r="D49" s="16" t="str">
        <f>'Input Scenarios'!D114</f>
        <v>wet</v>
      </c>
      <c r="E49" s="16" t="b">
        <f>'Input Scenarios'!E114</f>
        <v>1</v>
      </c>
      <c r="G49" s="16">
        <f>'Input Scenarios'!G114</f>
        <v>0.45</v>
      </c>
      <c r="H49" s="16">
        <f>'Input Scenarios'!H114</f>
        <v>0.2</v>
      </c>
      <c r="I49" s="16">
        <f>'Input Scenarios'!I114</f>
        <v>0.35</v>
      </c>
      <c r="J49" s="16">
        <f>'Input Scenarios'!J114</f>
        <v>0</v>
      </c>
      <c r="K49" s="16">
        <f>'Input Scenarios'!K114</f>
        <v>0</v>
      </c>
      <c r="L49" s="16">
        <f>'Input Scenarios'!L114</f>
        <v>1</v>
      </c>
      <c r="M49" s="16">
        <f>'Input Scenarios'!M114</f>
        <v>0</v>
      </c>
      <c r="N49" s="16">
        <f>'Input Scenarios'!N114</f>
        <v>1</v>
      </c>
      <c r="O49" s="16">
        <f>'Input Scenarios'!O114</f>
        <v>0</v>
      </c>
      <c r="P49" s="16">
        <f>'Input Scenarios'!P114</f>
        <v>0</v>
      </c>
      <c r="Q49" s="16">
        <f>'Input Scenarios'!Q114</f>
        <v>0</v>
      </c>
      <c r="R49" s="16" t="b">
        <f>'Input Scenarios'!R49</f>
        <v>1</v>
      </c>
      <c r="S49" s="16">
        <f>IF('Input Scenarios'!S114&lt;&gt;"", 'Input Scenarios'!S114, IF(R114, Constants!$B$38, 0))</f>
        <v>0.25</v>
      </c>
      <c r="T49" s="16" t="str">
        <f>IF('Input Scenarios'!T114&lt;&gt;"", 'Input Scenarios'!T114, "")</f>
        <v/>
      </c>
      <c r="U49" s="16">
        <f>IF('Input Scenarios'!U114&lt;&gt;"", 'Input Scenarios'!U114, IF(W49&lt;&gt;"", "", Constants!$B$39))</f>
        <v>4</v>
      </c>
      <c r="V49" s="16">
        <f>IF('Input Scenarios'!V114&lt;&gt;"", 'Input Scenarios'!V114, IF(W49&lt;&gt;"", "", Constants!$B$40))</f>
        <v>3.3</v>
      </c>
      <c r="W49" s="16" t="str">
        <f>IF('Input Scenarios'!W114&lt;&gt;"", 'Input Scenarios'!W114, "")</f>
        <v/>
      </c>
      <c r="X49" s="16" t="str">
        <f>'Input Scenarios'!X114</f>
        <v>Brown Swiss</v>
      </c>
      <c r="Y49" s="16" t="str">
        <f>'Input Scenarios'!Y114</f>
        <v>bullsLt1Weaned</v>
      </c>
      <c r="Z49" s="16">
        <f>'Input Scenarios'!Z114</f>
        <v>200</v>
      </c>
      <c r="AA49" s="16">
        <f>'Input Scenarios'!AA114</f>
        <v>294</v>
      </c>
      <c r="AB49" s="16">
        <f>'Input Scenarios'!AB114</f>
        <v>225</v>
      </c>
      <c r="AC49" s="16">
        <f>IF('Input Scenarios'!AC114&lt;&gt;"", 'Input Scenarios'!AC114, _xlfn.XLOOKUP(Y49, Constants!$B$13:$H$13, Constants!$B$15:$H$15, ""))</f>
        <v>0.8</v>
      </c>
      <c r="AD49" s="16">
        <f>IF('Input Scenarios'!AD114&lt;&gt;"", 'Input Scenarios'!AD114, Constants!$B$45)</f>
        <v>0.75</v>
      </c>
      <c r="AE49" s="16">
        <f>IF('Input Scenarios'!AE114&lt;&gt;"", 'Input Scenarios'!AE114, Constants!$B$46)</f>
        <v>0.2</v>
      </c>
      <c r="AF49" s="16">
        <f t="shared" si="24"/>
        <v>0</v>
      </c>
      <c r="AG49" s="16">
        <f t="shared" si="24"/>
        <v>0</v>
      </c>
      <c r="AH49" s="16">
        <f t="shared" si="24"/>
        <v>0</v>
      </c>
      <c r="AI49" s="16">
        <f t="shared" si="24"/>
        <v>0</v>
      </c>
      <c r="AJ49" s="16">
        <f t="shared" si="25"/>
        <v>1</v>
      </c>
      <c r="AK49" s="16">
        <f t="shared" si="36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13"/>
        <v>0.5948500000000001</v>
      </c>
      <c r="AQ49" s="16">
        <f t="shared" si="14"/>
        <v>0</v>
      </c>
      <c r="AR49" s="16">
        <f>IF(Y49="milkingCows", Constants!$P$2, Constants!$P$3)</f>
        <v>1</v>
      </c>
      <c r="AS49" s="16">
        <f t="shared" si="15"/>
        <v>5.4143472656250013</v>
      </c>
      <c r="AT49" s="16">
        <f t="shared" si="16"/>
        <v>1.2576570545672616</v>
      </c>
      <c r="AU49" s="16">
        <f>_xlfn.XLOOKUP(Y49, Constants!$B$13:$H$13, Constants!$B$14:$H$14, "")</f>
        <v>770</v>
      </c>
      <c r="AV49" s="16">
        <f t="shared" si="17"/>
        <v>0.29220779220779219</v>
      </c>
      <c r="AW49" s="16">
        <f>Constants!$B$55</f>
        <v>6.25</v>
      </c>
      <c r="AX49" s="16">
        <f t="shared" si="27"/>
        <v>1.9757354894894084E-2</v>
      </c>
      <c r="AY49" s="16">
        <f t="shared" si="28"/>
        <v>1.0828694531250003</v>
      </c>
      <c r="AZ49" s="16">
        <f t="shared" si="18"/>
        <v>0.15247929000170721</v>
      </c>
      <c r="BA49" s="16" t="str">
        <f>IF(ISNUMBER(FIND("PreWeaned",Y49)),_xlfn.XLOOKUP(Y49,Constants!$J$2:$J$3,Constants!$M$2:$M$3),"")</f>
        <v/>
      </c>
      <c r="BB49" s="16">
        <f t="shared" si="29"/>
        <v>8965.7822521003836</v>
      </c>
      <c r="BC49" s="16">
        <f t="shared" si="30"/>
        <v>0</v>
      </c>
      <c r="BD49" s="16">
        <f t="shared" si="31"/>
        <v>0</v>
      </c>
      <c r="BE49" s="16">
        <f t="shared" si="32"/>
        <v>0</v>
      </c>
      <c r="BF49" s="16">
        <f t="shared" si="33"/>
        <v>0</v>
      </c>
      <c r="BG49" s="16">
        <f t="shared" si="34"/>
        <v>8965.7822521003836</v>
      </c>
      <c r="BH49" s="16">
        <f>Constants!$C$19</f>
        <v>0</v>
      </c>
      <c r="BI49" s="16">
        <f>Constants!$C$20</f>
        <v>0</v>
      </c>
      <c r="BJ49" s="16">
        <f>Constants!$C$21</f>
        <v>0</v>
      </c>
      <c r="BK49" s="16">
        <f>Constants!$C$22</f>
        <v>5.0000000000000001E-3</v>
      </c>
      <c r="BL49" s="16">
        <f>Constants!$C$23</f>
        <v>0</v>
      </c>
      <c r="BM49" s="16">
        <f>Constants!$B$50</f>
        <v>1.57</v>
      </c>
      <c r="BN49" s="16">
        <f>_xlfn.XLOOKUP(D49,Constants!$A$34:$A$35,Constants!$B$34:$B$35)</f>
        <v>6.0000000000000001E-3</v>
      </c>
      <c r="BO49" s="16">
        <f t="shared" si="35"/>
        <v>0</v>
      </c>
      <c r="BP49" s="16">
        <f t="shared" si="35"/>
        <v>0</v>
      </c>
      <c r="BQ49" s="16">
        <f t="shared" si="35"/>
        <v>0</v>
      </c>
      <c r="BR49" s="16">
        <f t="shared" si="35"/>
        <v>0</v>
      </c>
      <c r="BS49" s="16">
        <f t="shared" si="35"/>
        <v>0</v>
      </c>
      <c r="BT49" s="16">
        <f t="shared" si="20"/>
        <v>84.45766881478562</v>
      </c>
    </row>
    <row r="50" spans="1:73" x14ac:dyDescent="0.2">
      <c r="A50" t="str">
        <f>'Input Scenarios'!A115</f>
        <v>WA</v>
      </c>
      <c r="B50">
        <f>'Input Scenarios'!B115</f>
        <v>24</v>
      </c>
      <c r="C50" t="str">
        <f>'Input Scenarios'!C115</f>
        <v>Irrigated pasture</v>
      </c>
      <c r="D50" t="str">
        <f>'Input Scenarios'!D115</f>
        <v>dry</v>
      </c>
      <c r="E50" t="b">
        <f>'Input Scenarios'!E115</f>
        <v>0</v>
      </c>
      <c r="G50">
        <f>'Input Scenarios'!G115</f>
        <v>0.82</v>
      </c>
      <c r="H50">
        <f>'Input Scenarios'!H115</f>
        <v>0.08</v>
      </c>
      <c r="I50">
        <f>'Input Scenarios'!I115</f>
        <v>0.1</v>
      </c>
      <c r="J50">
        <f>'Input Scenarios'!J115</f>
        <v>0</v>
      </c>
      <c r="K50">
        <f>'Input Scenarios'!K115</f>
        <v>0.5</v>
      </c>
      <c r="L50">
        <f>'Input Scenarios'!L115</f>
        <v>0.5</v>
      </c>
      <c r="M50">
        <f>'Input Scenarios'!M115</f>
        <v>0</v>
      </c>
      <c r="N50">
        <f>'Input Scenarios'!N115</f>
        <v>0.5</v>
      </c>
      <c r="O50">
        <f>'Input Scenarios'!O115</f>
        <v>0</v>
      </c>
      <c r="P50">
        <f>'Input Scenarios'!P115</f>
        <v>0</v>
      </c>
      <c r="Q50">
        <f>'Input Scenarios'!Q115</f>
        <v>0.5</v>
      </c>
      <c r="R50" t="b">
        <f>'Input Scenarios'!R50</f>
        <v>0</v>
      </c>
      <c r="S50">
        <f>IF('Input Scenarios'!S115&lt;&gt;"", 'Input Scenarios'!S115, IF(R115, Constants!$B$38, 0))</f>
        <v>0</v>
      </c>
      <c r="T50" s="20">
        <f>IF('Input Scenarios'!T115&lt;&gt;"", 'Input Scenarios'!T115, "")</f>
        <v>2.5</v>
      </c>
      <c r="U50" s="20">
        <f>IF('Input Scenarios'!U115&lt;&gt;"", 'Input Scenarios'!U115, IF(W50&lt;&gt;"", "", Constants!$B$39))</f>
        <v>3.3</v>
      </c>
      <c r="V50" s="20">
        <f>IF('Input Scenarios'!V115&lt;&gt;"", 'Input Scenarios'!V115, IF(W50&lt;&gt;"", "", Constants!$B$40))</f>
        <v>4.4000000000000004</v>
      </c>
      <c r="W50" s="20" t="str">
        <f>IF('Input Scenarios'!W115&lt;&gt;"", 'Input Scenarios'!W115, "")</f>
        <v/>
      </c>
      <c r="X50" s="20" t="str">
        <f>'Input Scenarios'!X115</f>
        <v>Illawarra/Aussie Red</v>
      </c>
      <c r="Y50" s="20" t="str">
        <f>'Input Scenarios'!Y115</f>
        <v>milkingCows</v>
      </c>
      <c r="Z50" s="20">
        <f>'Input Scenarios'!Z115</f>
        <v>200</v>
      </c>
      <c r="AA50" s="20">
        <f>'Input Scenarios'!AA115</f>
        <v>365</v>
      </c>
      <c r="AB50" s="20">
        <f>'Input Scenarios'!AB115</f>
        <v>540</v>
      </c>
      <c r="AC50">
        <f>IF('Input Scenarios'!AC115&lt;&gt;"", 'Input Scenarios'!AC115, _xlfn.XLOOKUP(Y50, Constants!$B$13:$H$13, Constants!$B$15:$H$15, ""))</f>
        <v>1.6E-2</v>
      </c>
      <c r="AD50">
        <f>IF('Input Scenarios'!AD115&lt;&gt;"", 'Input Scenarios'!AD115, Constants!$B$45)</f>
        <v>0.75</v>
      </c>
      <c r="AE50">
        <f>IF('Input Scenarios'!AE115&lt;&gt;"", 'Input Scenarios'!AE115, Constants!$B$46)</f>
        <v>0.2</v>
      </c>
      <c r="AF50" s="20">
        <f t="shared" si="24"/>
        <v>0.05</v>
      </c>
      <c r="AG50" s="20">
        <f t="shared" si="24"/>
        <v>0.04</v>
      </c>
      <c r="AH50" s="20">
        <f t="shared" si="24"/>
        <v>0.04</v>
      </c>
      <c r="AI50" s="20">
        <f t="shared" si="24"/>
        <v>0.05</v>
      </c>
      <c r="AJ50" s="20">
        <f t="shared" si="25"/>
        <v>0.82</v>
      </c>
      <c r="AK50">
        <f t="shared" si="36"/>
        <v>32.467532467532465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13"/>
        <v>0.5948500000000001</v>
      </c>
      <c r="AQ50">
        <f t="shared" si="14"/>
        <v>15.551740525336351</v>
      </c>
      <c r="AR50">
        <f>IF(Y50="milkingCows", Constants!$P$2, Constants!$P$3)</f>
        <v>1.1000000000000001</v>
      </c>
      <c r="AS50">
        <f t="shared" si="15"/>
        <v>24.697643126776352</v>
      </c>
      <c r="AT50">
        <f t="shared" si="16"/>
        <v>1.0012950812553587</v>
      </c>
      <c r="AU50">
        <f>_xlfn.XLOOKUP(Y50, Constants!$B$13:$H$13, Constants!$B$14:$H$14, "")</f>
        <v>590</v>
      </c>
      <c r="AV50">
        <f t="shared" si="17"/>
        <v>0.9152542372881356</v>
      </c>
      <c r="AW50">
        <f>Constants!$B$55</f>
        <v>6.25</v>
      </c>
      <c r="AX50" s="20">
        <f t="shared" si="27"/>
        <v>0.1679166761056404</v>
      </c>
      <c r="AY50">
        <f t="shared" si="28"/>
        <v>4.9395286253552708</v>
      </c>
      <c r="AZ50">
        <f t="shared" si="18"/>
        <v>0.62043635307915301</v>
      </c>
      <c r="BA50" t="str">
        <f>IF(ISNUMBER(FIND("PreWeaned",Y50)),_xlfn.XLOOKUP(Y50,Constants!$J$2:$J$3,Constants!$M$2:$M$3),"")</f>
        <v/>
      </c>
      <c r="BB50">
        <f t="shared" si="29"/>
        <v>45291.853774778174</v>
      </c>
      <c r="BC50">
        <f t="shared" si="30"/>
        <v>2264.5926887389087</v>
      </c>
      <c r="BD50">
        <f t="shared" si="31"/>
        <v>1811.6741509911269</v>
      </c>
      <c r="BE50">
        <f t="shared" si="32"/>
        <v>1811.6741509911269</v>
      </c>
      <c r="BF50">
        <f t="shared" si="33"/>
        <v>2264.5926887389087</v>
      </c>
      <c r="BG50">
        <f t="shared" si="34"/>
        <v>37139.3200953181</v>
      </c>
      <c r="BH50">
        <f>Constants!$C$19</f>
        <v>0</v>
      </c>
      <c r="BI50">
        <f>Constants!$C$20</f>
        <v>0</v>
      </c>
      <c r="BJ50">
        <f>Constants!$C$21</f>
        <v>0</v>
      </c>
      <c r="BK50">
        <f>Constants!$C$22</f>
        <v>5.0000000000000001E-3</v>
      </c>
      <c r="BL50">
        <f>Constants!$C$23</f>
        <v>0</v>
      </c>
      <c r="BM50">
        <f>Constants!$B$50</f>
        <v>1.57</v>
      </c>
      <c r="BN50">
        <f>_xlfn.XLOOKUP(D50,Constants!$A$34:$A$35,Constants!$B$34:$B$35)</f>
        <v>2E-3</v>
      </c>
      <c r="BO50">
        <f t="shared" si="35"/>
        <v>0</v>
      </c>
      <c r="BP50">
        <f t="shared" si="35"/>
        <v>0</v>
      </c>
      <c r="BQ50">
        <f t="shared" si="35"/>
        <v>0</v>
      </c>
      <c r="BR50">
        <f t="shared" si="35"/>
        <v>17.777052606600435</v>
      </c>
      <c r="BS50">
        <f t="shared" si="35"/>
        <v>0</v>
      </c>
      <c r="BT50">
        <f t="shared" si="20"/>
        <v>116.61746509929883</v>
      </c>
      <c r="BU50">
        <f>SUM(BO50:BT56)/1000</f>
        <v>0.28844884490910055</v>
      </c>
    </row>
    <row r="51" spans="1:73" x14ac:dyDescent="0.2">
      <c r="A51" t="str">
        <f>'Input Scenarios'!A116</f>
        <v>WA</v>
      </c>
      <c r="B51">
        <f>'Input Scenarios'!B116</f>
        <v>24</v>
      </c>
      <c r="C51" t="str">
        <f>'Input Scenarios'!C116</f>
        <v>Irrigated pasture</v>
      </c>
      <c r="D51" t="str">
        <f>'Input Scenarios'!D116</f>
        <v>dry</v>
      </c>
      <c r="E51" t="b">
        <f>'Input Scenarios'!E116</f>
        <v>0</v>
      </c>
      <c r="G51">
        <f>'Input Scenarios'!G116</f>
        <v>0.82</v>
      </c>
      <c r="H51">
        <f>'Input Scenarios'!H116</f>
        <v>0.08</v>
      </c>
      <c r="I51">
        <f>'Input Scenarios'!I116</f>
        <v>0.1</v>
      </c>
      <c r="J51">
        <f>'Input Scenarios'!J116</f>
        <v>0</v>
      </c>
      <c r="K51">
        <f>'Input Scenarios'!K116</f>
        <v>0.5</v>
      </c>
      <c r="L51">
        <f>'Input Scenarios'!L116</f>
        <v>0.5</v>
      </c>
      <c r="M51">
        <f>'Input Scenarios'!M116</f>
        <v>0</v>
      </c>
      <c r="N51">
        <f>'Input Scenarios'!N116</f>
        <v>0.5</v>
      </c>
      <c r="O51">
        <f>'Input Scenarios'!O116</f>
        <v>0</v>
      </c>
      <c r="P51">
        <f>'Input Scenarios'!P116</f>
        <v>0</v>
      </c>
      <c r="Q51">
        <f>'Input Scenarios'!Q116</f>
        <v>0.5</v>
      </c>
      <c r="R51" t="b">
        <f>'Input Scenarios'!R51</f>
        <v>0</v>
      </c>
      <c r="S51">
        <f>IF('Input Scenarios'!S116&lt;&gt;"", 'Input Scenarios'!S116, IF(R116, Constants!$B$38, 0))</f>
        <v>0</v>
      </c>
      <c r="T51" t="str">
        <f>IF('Input Scenarios'!T116&lt;&gt;"", 'Input Scenarios'!T116, "")</f>
        <v/>
      </c>
      <c r="U51">
        <f>IF('Input Scenarios'!U116&lt;&gt;"", 'Input Scenarios'!U116, IF(W51&lt;&gt;"", "", Constants!$B$39))</f>
        <v>4</v>
      </c>
      <c r="V51">
        <f>IF('Input Scenarios'!V116&lt;&gt;"", 'Input Scenarios'!V116, IF(W51&lt;&gt;"", "", Constants!$B$40))</f>
        <v>3.3</v>
      </c>
      <c r="W51" t="str">
        <f>IF('Input Scenarios'!W116&lt;&gt;"", 'Input Scenarios'!W116, "")</f>
        <v/>
      </c>
      <c r="X51" t="str">
        <f>'Input Scenarios'!X116</f>
        <v>Illawarra/Aussie Red</v>
      </c>
      <c r="Y51" t="str">
        <f>'Input Scenarios'!Y116</f>
        <v>heifersGt1</v>
      </c>
      <c r="Z51">
        <f>'Input Scenarios'!Z116</f>
        <v>200</v>
      </c>
      <c r="AA51">
        <f>'Input Scenarios'!AA116</f>
        <v>265</v>
      </c>
      <c r="AB51">
        <f>'Input Scenarios'!AB116</f>
        <v>375</v>
      </c>
      <c r="AC51">
        <f>IF('Input Scenarios'!AC116&lt;&gt;"", 'Input Scenarios'!AC116, _xlfn.XLOOKUP(Y51, Constants!$B$13:$H$13, Constants!$B$15:$H$15, ""))</f>
        <v>0.6</v>
      </c>
      <c r="AD51">
        <f>IF('Input Scenarios'!AD116&lt;&gt;"", 'Input Scenarios'!AD116, Constants!$B$45)</f>
        <v>0.75</v>
      </c>
      <c r="AE51">
        <f>IF('Input Scenarios'!AE116&lt;&gt;"", 'Input Scenarios'!AE116, Constants!$B$46)</f>
        <v>0.2</v>
      </c>
      <c r="AF51">
        <f t="shared" si="24"/>
        <v>0</v>
      </c>
      <c r="AG51">
        <f t="shared" si="24"/>
        <v>0</v>
      </c>
      <c r="AH51">
        <f t="shared" si="24"/>
        <v>0</v>
      </c>
      <c r="AI51">
        <f t="shared" si="24"/>
        <v>0</v>
      </c>
      <c r="AJ51">
        <f t="shared" si="25"/>
        <v>1</v>
      </c>
      <c r="AK51">
        <f t="shared" si="36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13"/>
        <v>0.5948500000000001</v>
      </c>
      <c r="AQ51">
        <f t="shared" si="14"/>
        <v>0</v>
      </c>
      <c r="AR51">
        <f>IF(Y51="milkingCows", Constants!$P$2, Constants!$P$3)</f>
        <v>1</v>
      </c>
      <c r="AS51">
        <f t="shared" si="15"/>
        <v>7.3488432656250007</v>
      </c>
      <c r="AT51">
        <f t="shared" si="16"/>
        <v>1.1555051146335733</v>
      </c>
      <c r="AU51">
        <f>_xlfn.XLOOKUP(Y51, Constants!$B$13:$H$13, Constants!$B$14:$H$14, "")</f>
        <v>590</v>
      </c>
      <c r="AV51">
        <f t="shared" si="17"/>
        <v>0.63559322033898302</v>
      </c>
      <c r="AW51">
        <f>Constants!$B$55</f>
        <v>6.25</v>
      </c>
      <c r="AX51">
        <f t="shared" si="27"/>
        <v>8.8952563417278308E-3</v>
      </c>
      <c r="AY51">
        <f t="shared" si="28"/>
        <v>1.4697686531250003</v>
      </c>
      <c r="AZ51">
        <f t="shared" si="18"/>
        <v>0.2247679185945351</v>
      </c>
      <c r="BA51" t="str">
        <f>IF(ISNUMBER(FIND("PreWeaned",Y51)),_xlfn.XLOOKUP(Y51,Constants!$J$2:$J$3,Constants!$M$2:$M$3),"")</f>
        <v/>
      </c>
      <c r="BB51">
        <f t="shared" si="29"/>
        <v>11912.699685510361</v>
      </c>
      <c r="BC51">
        <f t="shared" si="30"/>
        <v>0</v>
      </c>
      <c r="BD51">
        <f t="shared" si="31"/>
        <v>0</v>
      </c>
      <c r="BE51">
        <f t="shared" si="32"/>
        <v>0</v>
      </c>
      <c r="BF51">
        <f t="shared" si="33"/>
        <v>0</v>
      </c>
      <c r="BG51">
        <f t="shared" si="34"/>
        <v>11912.699685510361</v>
      </c>
      <c r="BH51">
        <f>Constants!$C$19</f>
        <v>0</v>
      </c>
      <c r="BI51">
        <f>Constants!$C$20</f>
        <v>0</v>
      </c>
      <c r="BJ51">
        <f>Constants!$C$21</f>
        <v>0</v>
      </c>
      <c r="BK51">
        <f>Constants!$C$22</f>
        <v>5.0000000000000001E-3</v>
      </c>
      <c r="BL51">
        <f>Constants!$C$23</f>
        <v>0</v>
      </c>
      <c r="BM51">
        <f>Constants!$B$50</f>
        <v>1.57</v>
      </c>
      <c r="BN51">
        <f>_xlfn.XLOOKUP(D51,Constants!$A$34:$A$35,Constants!$B$34:$B$35)</f>
        <v>2E-3</v>
      </c>
      <c r="BO51">
        <f t="shared" si="35"/>
        <v>0</v>
      </c>
      <c r="BP51">
        <f t="shared" si="35"/>
        <v>0</v>
      </c>
      <c r="BQ51">
        <f t="shared" si="35"/>
        <v>0</v>
      </c>
      <c r="BR51">
        <f t="shared" si="35"/>
        <v>0</v>
      </c>
      <c r="BS51">
        <f t="shared" si="35"/>
        <v>0</v>
      </c>
      <c r="BT51">
        <f t="shared" si="20"/>
        <v>37.405877012502536</v>
      </c>
    </row>
    <row r="52" spans="1:73" x14ac:dyDescent="0.2">
      <c r="A52" t="str">
        <f>'Input Scenarios'!A117</f>
        <v>WA</v>
      </c>
      <c r="B52">
        <f>'Input Scenarios'!B117</f>
        <v>24</v>
      </c>
      <c r="C52" t="str">
        <f>'Input Scenarios'!C117</f>
        <v>Irrigated pasture</v>
      </c>
      <c r="D52" t="str">
        <f>'Input Scenarios'!D117</f>
        <v>dry</v>
      </c>
      <c r="E52" t="b">
        <f>'Input Scenarios'!E117</f>
        <v>0</v>
      </c>
      <c r="G52">
        <f>'Input Scenarios'!G117</f>
        <v>0.82</v>
      </c>
      <c r="H52">
        <f>'Input Scenarios'!H117</f>
        <v>0.08</v>
      </c>
      <c r="I52">
        <f>'Input Scenarios'!I117</f>
        <v>0.1</v>
      </c>
      <c r="J52">
        <f>'Input Scenarios'!J117</f>
        <v>0</v>
      </c>
      <c r="K52">
        <f>'Input Scenarios'!K117</f>
        <v>0.5</v>
      </c>
      <c r="L52">
        <f>'Input Scenarios'!L117</f>
        <v>0.5</v>
      </c>
      <c r="M52">
        <f>'Input Scenarios'!M117</f>
        <v>0</v>
      </c>
      <c r="N52">
        <f>'Input Scenarios'!N117</f>
        <v>0.5</v>
      </c>
      <c r="O52">
        <f>'Input Scenarios'!O117</f>
        <v>0</v>
      </c>
      <c r="P52">
        <f>'Input Scenarios'!P117</f>
        <v>0</v>
      </c>
      <c r="Q52">
        <f>'Input Scenarios'!Q117</f>
        <v>0.5</v>
      </c>
      <c r="R52" t="b">
        <f>'Input Scenarios'!R52</f>
        <v>0</v>
      </c>
      <c r="S52">
        <f>IF('Input Scenarios'!S117&lt;&gt;"", 'Input Scenarios'!S117, IF(R117, Constants!$B$38, 0))</f>
        <v>0</v>
      </c>
      <c r="T52" t="str">
        <f>IF('Input Scenarios'!T117&lt;&gt;"", 'Input Scenarios'!T117, "")</f>
        <v/>
      </c>
      <c r="U52">
        <f>IF('Input Scenarios'!U117&lt;&gt;"", 'Input Scenarios'!U117, IF(W52&lt;&gt;"", "", Constants!$B$39))</f>
        <v>4</v>
      </c>
      <c r="V52">
        <f>IF('Input Scenarios'!V117&lt;&gt;"", 'Input Scenarios'!V117, IF(W52&lt;&gt;"", "", Constants!$B$40))</f>
        <v>3.3</v>
      </c>
      <c r="W52" t="str">
        <f>IF('Input Scenarios'!W117&lt;&gt;"", 'Input Scenarios'!W117, "")</f>
        <v/>
      </c>
      <c r="X52" t="str">
        <f>'Input Scenarios'!X117</f>
        <v>Illawarra/Aussie Red</v>
      </c>
      <c r="Y52" t="str">
        <f>'Input Scenarios'!Y117</f>
        <v>heifersLt1PreWeaned</v>
      </c>
      <c r="Z52">
        <f>'Input Scenarios'!Z117</f>
        <v>200</v>
      </c>
      <c r="AA52">
        <f>'Input Scenarios'!AA117</f>
        <v>100</v>
      </c>
      <c r="AB52">
        <f>'Input Scenarios'!AB117</f>
        <v>150</v>
      </c>
      <c r="AC52" t="str">
        <f>IF('Input Scenarios'!AC117&lt;&gt;"", 'Input Scenarios'!AC117, _xlfn.XLOOKUP(Y52, Constants!$B$13:$H$13, Constants!$B$15:$H$15, ""))</f>
        <v/>
      </c>
      <c r="AD52">
        <f>IF('Input Scenarios'!AD117&lt;&gt;"", 'Input Scenarios'!AD117, Constants!$B$45)</f>
        <v>0.75</v>
      </c>
      <c r="AE52">
        <f>IF('Input Scenarios'!AE117&lt;&gt;"", 'Input Scenarios'!AE117, Constants!$B$46)</f>
        <v>0.2</v>
      </c>
      <c r="AF52">
        <f t="shared" si="24"/>
        <v>0</v>
      </c>
      <c r="AG52">
        <f t="shared" si="24"/>
        <v>0</v>
      </c>
      <c r="AH52">
        <f t="shared" si="24"/>
        <v>0</v>
      </c>
      <c r="AI52">
        <f t="shared" si="24"/>
        <v>0</v>
      </c>
      <c r="AJ52">
        <f t="shared" si="25"/>
        <v>1</v>
      </c>
      <c r="AK52">
        <f t="shared" si="36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13"/>
        <v>0.5948500000000001</v>
      </c>
      <c r="AQ52">
        <f t="shared" si="14"/>
        <v>0</v>
      </c>
      <c r="AR52">
        <f>IF(Y52="milkingCows", Constants!$P$2, Constants!$P$3)</f>
        <v>1</v>
      </c>
      <c r="AS52" t="str">
        <f t="shared" si="15"/>
        <v/>
      </c>
      <c r="AT52" t="str">
        <f t="shared" si="16"/>
        <v/>
      </c>
      <c r="AU52" t="str">
        <f>_xlfn.XLOOKUP(Y52, Constants!$B$13:$H$13, Constants!$B$14:$H$14, "")</f>
        <v/>
      </c>
      <c r="AV52" t="str">
        <f t="shared" si="17"/>
        <v/>
      </c>
      <c r="AW52">
        <f>Constants!$B$55</f>
        <v>6.25</v>
      </c>
      <c r="AX52" t="str">
        <f t="shared" si="27"/>
        <v/>
      </c>
      <c r="AY52" t="str">
        <f t="shared" si="28"/>
        <v/>
      </c>
      <c r="AZ52" t="str">
        <f t="shared" si="18"/>
        <v/>
      </c>
      <c r="BA52">
        <f>IF(ISNUMBER(FIND("PreWeaned",Y52)),_xlfn.XLOOKUP(Y52,Constants!$J$2:$J$3,Constants!$M$2:$M$3),"")</f>
        <v>1.37E-2</v>
      </c>
      <c r="BB52">
        <f t="shared" si="29"/>
        <v>274</v>
      </c>
      <c r="BC52">
        <f t="shared" si="30"/>
        <v>0</v>
      </c>
      <c r="BD52">
        <f t="shared" si="31"/>
        <v>0</v>
      </c>
      <c r="BE52">
        <f t="shared" si="32"/>
        <v>0</v>
      </c>
      <c r="BF52">
        <f t="shared" si="33"/>
        <v>0</v>
      </c>
      <c r="BG52">
        <f t="shared" si="34"/>
        <v>274</v>
      </c>
      <c r="BH52">
        <f>Constants!$C$19</f>
        <v>0</v>
      </c>
      <c r="BI52">
        <f>Constants!$C$20</f>
        <v>0</v>
      </c>
      <c r="BJ52">
        <f>Constants!$C$21</f>
        <v>0</v>
      </c>
      <c r="BK52">
        <f>Constants!$C$22</f>
        <v>5.0000000000000001E-3</v>
      </c>
      <c r="BL52">
        <f>Constants!$C$23</f>
        <v>0</v>
      </c>
      <c r="BM52">
        <f>Constants!$B$50</f>
        <v>1.57</v>
      </c>
      <c r="BN52">
        <f>_xlfn.XLOOKUP(D52,Constants!$A$34:$A$35,Constants!$B$34:$B$35)</f>
        <v>2E-3</v>
      </c>
      <c r="BO52">
        <f t="shared" si="35"/>
        <v>0</v>
      </c>
      <c r="BP52">
        <f t="shared" si="35"/>
        <v>0</v>
      </c>
      <c r="BQ52">
        <f t="shared" si="35"/>
        <v>0</v>
      </c>
      <c r="BR52">
        <f t="shared" si="35"/>
        <v>0</v>
      </c>
      <c r="BS52">
        <f t="shared" si="35"/>
        <v>0</v>
      </c>
      <c r="BT52">
        <f t="shared" si="20"/>
        <v>0.86036000000000012</v>
      </c>
    </row>
    <row r="53" spans="1:73" x14ac:dyDescent="0.2">
      <c r="A53" t="str">
        <f>'Input Scenarios'!A118</f>
        <v>WA</v>
      </c>
      <c r="B53">
        <f>'Input Scenarios'!B118</f>
        <v>24</v>
      </c>
      <c r="C53" t="str">
        <f>'Input Scenarios'!C118</f>
        <v>Irrigated pasture</v>
      </c>
      <c r="D53" t="str">
        <f>'Input Scenarios'!D118</f>
        <v>dry</v>
      </c>
      <c r="E53" t="b">
        <f>'Input Scenarios'!E118</f>
        <v>0</v>
      </c>
      <c r="G53">
        <f>'Input Scenarios'!G118</f>
        <v>0.82</v>
      </c>
      <c r="H53">
        <f>'Input Scenarios'!H118</f>
        <v>0.08</v>
      </c>
      <c r="I53">
        <f>'Input Scenarios'!I118</f>
        <v>0.1</v>
      </c>
      <c r="J53">
        <f>'Input Scenarios'!J118</f>
        <v>0</v>
      </c>
      <c r="K53">
        <f>'Input Scenarios'!K118</f>
        <v>0.5</v>
      </c>
      <c r="L53">
        <f>'Input Scenarios'!L118</f>
        <v>0.5</v>
      </c>
      <c r="M53">
        <f>'Input Scenarios'!M118</f>
        <v>0</v>
      </c>
      <c r="N53">
        <f>'Input Scenarios'!N118</f>
        <v>0.5</v>
      </c>
      <c r="O53">
        <f>'Input Scenarios'!O118</f>
        <v>0</v>
      </c>
      <c r="P53">
        <f>'Input Scenarios'!P118</f>
        <v>0</v>
      </c>
      <c r="Q53">
        <f>'Input Scenarios'!Q118</f>
        <v>0.5</v>
      </c>
      <c r="R53" t="b">
        <f>'Input Scenarios'!R53</f>
        <v>0</v>
      </c>
      <c r="S53">
        <f>IF('Input Scenarios'!S118&lt;&gt;"", 'Input Scenarios'!S118, IF(R118, Constants!$B$38, 0))</f>
        <v>0</v>
      </c>
      <c r="T53" t="str">
        <f>IF('Input Scenarios'!T118&lt;&gt;"", 'Input Scenarios'!T118, "")</f>
        <v/>
      </c>
      <c r="U53">
        <f>IF('Input Scenarios'!U118&lt;&gt;"", 'Input Scenarios'!U118, IF(W53&lt;&gt;"", "", Constants!$B$39))</f>
        <v>4</v>
      </c>
      <c r="V53">
        <f>IF('Input Scenarios'!V118&lt;&gt;"", 'Input Scenarios'!V118, IF(W53&lt;&gt;"", "", Constants!$B$40))</f>
        <v>3.3</v>
      </c>
      <c r="W53" t="str">
        <f>IF('Input Scenarios'!W118&lt;&gt;"", 'Input Scenarios'!W118, "")</f>
        <v/>
      </c>
      <c r="X53" t="str">
        <f>'Input Scenarios'!X118</f>
        <v>Illawarra/Aussie Red</v>
      </c>
      <c r="Y53" t="str">
        <f>'Input Scenarios'!Y118</f>
        <v>heifersLt1Weaned</v>
      </c>
      <c r="Z53">
        <f>'Input Scenarios'!Z118</f>
        <v>200</v>
      </c>
      <c r="AA53">
        <f>'Input Scenarios'!AA118</f>
        <v>360</v>
      </c>
      <c r="AB53">
        <f>'Input Scenarios'!AB118</f>
        <v>150</v>
      </c>
      <c r="AC53">
        <f>IF('Input Scenarios'!AC118&lt;&gt;"", 'Input Scenarios'!AC118, _xlfn.XLOOKUP(Y53, Constants!$B$13:$H$13, Constants!$B$15:$H$15, ""))</f>
        <v>0.56999999999999995</v>
      </c>
      <c r="AD53">
        <f>IF('Input Scenarios'!AD118&lt;&gt;"", 'Input Scenarios'!AD118, Constants!$B$45)</f>
        <v>0.75</v>
      </c>
      <c r="AE53">
        <f>IF('Input Scenarios'!AE118&lt;&gt;"", 'Input Scenarios'!AE118, Constants!$B$46)</f>
        <v>0.2</v>
      </c>
      <c r="AF53">
        <f t="shared" si="24"/>
        <v>0</v>
      </c>
      <c r="AG53">
        <f t="shared" si="24"/>
        <v>0</v>
      </c>
      <c r="AH53">
        <f t="shared" si="24"/>
        <v>0</v>
      </c>
      <c r="AI53">
        <f t="shared" si="24"/>
        <v>0</v>
      </c>
      <c r="AJ53">
        <f t="shared" si="25"/>
        <v>1</v>
      </c>
      <c r="AK53">
        <f t="shared" si="36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13"/>
        <v>0.5948500000000001</v>
      </c>
      <c r="AQ53">
        <f t="shared" si="14"/>
        <v>0</v>
      </c>
      <c r="AR53">
        <f>IF(Y53="milkingCows", Constants!$P$2, Constants!$P$3)</f>
        <v>1</v>
      </c>
      <c r="AS53">
        <f t="shared" si="15"/>
        <v>3.9483677025000001</v>
      </c>
      <c r="AT53">
        <f t="shared" si="16"/>
        <v>1.2085398598508978</v>
      </c>
      <c r="AU53">
        <f>_xlfn.XLOOKUP(Y53, Constants!$B$13:$H$13, Constants!$B$14:$H$14, "")</f>
        <v>590</v>
      </c>
      <c r="AV53">
        <f t="shared" si="17"/>
        <v>0.25423728813559321</v>
      </c>
      <c r="AW53">
        <f>Constants!$B$55</f>
        <v>6.25</v>
      </c>
      <c r="AX53">
        <f t="shared" si="27"/>
        <v>1.4705504454277429E-2</v>
      </c>
      <c r="AY53">
        <f t="shared" si="28"/>
        <v>0.78967354050000005</v>
      </c>
      <c r="AZ53">
        <f t="shared" si="18"/>
        <v>0.1108878977522821</v>
      </c>
      <c r="BA53" t="str">
        <f>IF(ISNUMBER(FIND("PreWeaned",Y53)),_xlfn.XLOOKUP(Y53,Constants!$J$2:$J$3,Constants!$M$2:$M$3),"")</f>
        <v/>
      </c>
      <c r="BB53">
        <f t="shared" si="29"/>
        <v>7983.9286381643105</v>
      </c>
      <c r="BC53">
        <f t="shared" si="30"/>
        <v>0</v>
      </c>
      <c r="BD53">
        <f t="shared" si="31"/>
        <v>0</v>
      </c>
      <c r="BE53">
        <f t="shared" si="32"/>
        <v>0</v>
      </c>
      <c r="BF53">
        <f t="shared" si="33"/>
        <v>0</v>
      </c>
      <c r="BG53">
        <f t="shared" si="34"/>
        <v>7983.9286381643105</v>
      </c>
      <c r="BH53">
        <f>Constants!$C$19</f>
        <v>0</v>
      </c>
      <c r="BI53">
        <f>Constants!$C$20</f>
        <v>0</v>
      </c>
      <c r="BJ53">
        <f>Constants!$C$21</f>
        <v>0</v>
      </c>
      <c r="BK53">
        <f>Constants!$C$22</f>
        <v>5.0000000000000001E-3</v>
      </c>
      <c r="BL53">
        <f>Constants!$C$23</f>
        <v>0</v>
      </c>
      <c r="BM53">
        <f>Constants!$B$50</f>
        <v>1.57</v>
      </c>
      <c r="BN53">
        <f>_xlfn.XLOOKUP(D53,Constants!$A$34:$A$35,Constants!$B$34:$B$35)</f>
        <v>2E-3</v>
      </c>
      <c r="BO53">
        <f t="shared" si="35"/>
        <v>0</v>
      </c>
      <c r="BP53">
        <f t="shared" si="35"/>
        <v>0</v>
      </c>
      <c r="BQ53">
        <f t="shared" si="35"/>
        <v>0</v>
      </c>
      <c r="BR53">
        <f t="shared" si="35"/>
        <v>0</v>
      </c>
      <c r="BS53">
        <f t="shared" si="35"/>
        <v>0</v>
      </c>
      <c r="BT53">
        <f t="shared" si="20"/>
        <v>25.069535923835936</v>
      </c>
    </row>
    <row r="54" spans="1:73" x14ac:dyDescent="0.2">
      <c r="A54" t="str">
        <f>'Input Scenarios'!A119</f>
        <v>WA</v>
      </c>
      <c r="B54">
        <f>'Input Scenarios'!B119</f>
        <v>24</v>
      </c>
      <c r="C54" t="str">
        <f>'Input Scenarios'!C119</f>
        <v>Irrigated pasture</v>
      </c>
      <c r="D54" t="str">
        <f>'Input Scenarios'!D119</f>
        <v>dry</v>
      </c>
      <c r="E54" t="b">
        <f>'Input Scenarios'!E119</f>
        <v>0</v>
      </c>
      <c r="G54">
        <f>'Input Scenarios'!G119</f>
        <v>0.82</v>
      </c>
      <c r="H54">
        <f>'Input Scenarios'!H119</f>
        <v>0.08</v>
      </c>
      <c r="I54">
        <f>'Input Scenarios'!I119</f>
        <v>0.1</v>
      </c>
      <c r="J54">
        <f>'Input Scenarios'!J119</f>
        <v>0</v>
      </c>
      <c r="K54">
        <f>'Input Scenarios'!K119</f>
        <v>0.5</v>
      </c>
      <c r="L54">
        <f>'Input Scenarios'!L119</f>
        <v>0.5</v>
      </c>
      <c r="M54">
        <f>'Input Scenarios'!M119</f>
        <v>0</v>
      </c>
      <c r="N54">
        <f>'Input Scenarios'!N119</f>
        <v>0.5</v>
      </c>
      <c r="O54">
        <f>'Input Scenarios'!O119</f>
        <v>0</v>
      </c>
      <c r="P54">
        <f>'Input Scenarios'!P119</f>
        <v>0</v>
      </c>
      <c r="Q54">
        <f>'Input Scenarios'!Q119</f>
        <v>0.5</v>
      </c>
      <c r="R54" t="b">
        <f>'Input Scenarios'!R54</f>
        <v>0</v>
      </c>
      <c r="S54">
        <f>IF('Input Scenarios'!S119&lt;&gt;"", 'Input Scenarios'!S119, IF(R119, Constants!$B$38, 0))</f>
        <v>0</v>
      </c>
      <c r="T54" t="str">
        <f>IF('Input Scenarios'!T119&lt;&gt;"", 'Input Scenarios'!T119, "")</f>
        <v/>
      </c>
      <c r="U54">
        <f>IF('Input Scenarios'!U119&lt;&gt;"", 'Input Scenarios'!U119, IF(W54&lt;&gt;"", "", Constants!$B$39))</f>
        <v>4</v>
      </c>
      <c r="V54">
        <f>IF('Input Scenarios'!V119&lt;&gt;"", 'Input Scenarios'!V119, IF(W54&lt;&gt;"", "", Constants!$B$40))</f>
        <v>3.3</v>
      </c>
      <c r="W54" t="str">
        <f>IF('Input Scenarios'!W119&lt;&gt;"", 'Input Scenarios'!W119, "")</f>
        <v/>
      </c>
      <c r="X54" t="str">
        <f>'Input Scenarios'!X119</f>
        <v>Illawarra/Aussie Red</v>
      </c>
      <c r="Y54" t="str">
        <f>'Input Scenarios'!Y119</f>
        <v>bullsGt1</v>
      </c>
      <c r="Z54">
        <f>'Input Scenarios'!Z119</f>
        <v>200</v>
      </c>
      <c r="AA54">
        <f>'Input Scenarios'!AA119</f>
        <v>345</v>
      </c>
      <c r="AB54">
        <f>'Input Scenarios'!AB119</f>
        <v>600</v>
      </c>
      <c r="AC54">
        <f>IF('Input Scenarios'!AC119&lt;&gt;"", 'Input Scenarios'!AC119, _xlfn.XLOOKUP(Y54, Constants!$B$13:$H$13, Constants!$B$15:$H$15, ""))</f>
        <v>0.1</v>
      </c>
      <c r="AD54">
        <f>IF('Input Scenarios'!AD119&lt;&gt;"", 'Input Scenarios'!AD119, Constants!$B$45)</f>
        <v>0.75</v>
      </c>
      <c r="AE54">
        <f>IF('Input Scenarios'!AE119&lt;&gt;"", 'Input Scenarios'!AE119, Constants!$B$46)</f>
        <v>0.2</v>
      </c>
      <c r="AF54">
        <f t="shared" si="24"/>
        <v>0</v>
      </c>
      <c r="AG54">
        <f t="shared" si="24"/>
        <v>0</v>
      </c>
      <c r="AH54">
        <f t="shared" si="24"/>
        <v>0</v>
      </c>
      <c r="AI54">
        <f t="shared" si="24"/>
        <v>0</v>
      </c>
      <c r="AJ54">
        <f t="shared" si="25"/>
        <v>1</v>
      </c>
      <c r="AK54">
        <f t="shared" si="36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13"/>
        <v>0.5948500000000001</v>
      </c>
      <c r="AQ54">
        <f t="shared" si="14"/>
        <v>0</v>
      </c>
      <c r="AR54">
        <f>IF(Y54="milkingCows", Constants!$P$2, Constants!$P$3)</f>
        <v>1</v>
      </c>
      <c r="AS54">
        <f t="shared" si="15"/>
        <v>9.0270202499999979</v>
      </c>
      <c r="AT54">
        <f t="shared" si="16"/>
        <v>1.0213029780639273</v>
      </c>
      <c r="AU54">
        <f>_xlfn.XLOOKUP(Y54, Constants!$B$13:$H$13, Constants!$B$14:$H$14, "")</f>
        <v>770</v>
      </c>
      <c r="AV54">
        <f t="shared" si="17"/>
        <v>0.77922077922077926</v>
      </c>
      <c r="AW54">
        <f>Constants!$B$55</f>
        <v>6.25</v>
      </c>
      <c r="AX54">
        <f t="shared" si="27"/>
        <v>1.2626203146474679E-3</v>
      </c>
      <c r="AY54">
        <f t="shared" si="28"/>
        <v>1.8054040499999997</v>
      </c>
      <c r="AZ54">
        <f t="shared" si="18"/>
        <v>0.28546836331241399</v>
      </c>
      <c r="BA54" t="str">
        <f>IF(ISNUMBER(FIND("PreWeaned",Y54)),_xlfn.XLOOKUP(Y54,Constants!$J$2:$J$3,Constants!$M$2:$M$3),"")</f>
        <v/>
      </c>
      <c r="BB54">
        <f t="shared" si="29"/>
        <v>19697.317068556564</v>
      </c>
      <c r="BC54">
        <f t="shared" si="30"/>
        <v>0</v>
      </c>
      <c r="BD54">
        <f t="shared" si="31"/>
        <v>0</v>
      </c>
      <c r="BE54">
        <f t="shared" si="32"/>
        <v>0</v>
      </c>
      <c r="BF54">
        <f t="shared" si="33"/>
        <v>0</v>
      </c>
      <c r="BG54">
        <f t="shared" si="34"/>
        <v>19697.317068556564</v>
      </c>
      <c r="BH54">
        <f>Constants!$C$19</f>
        <v>0</v>
      </c>
      <c r="BI54">
        <f>Constants!$C$20</f>
        <v>0</v>
      </c>
      <c r="BJ54">
        <f>Constants!$C$21</f>
        <v>0</v>
      </c>
      <c r="BK54">
        <f>Constants!$C$22</f>
        <v>5.0000000000000001E-3</v>
      </c>
      <c r="BL54">
        <f>Constants!$C$23</f>
        <v>0</v>
      </c>
      <c r="BM54">
        <f>Constants!$B$50</f>
        <v>1.57</v>
      </c>
      <c r="BN54">
        <f>_xlfn.XLOOKUP(D54,Constants!$A$34:$A$35,Constants!$B$34:$B$35)</f>
        <v>2E-3</v>
      </c>
      <c r="BO54">
        <f t="shared" si="35"/>
        <v>0</v>
      </c>
      <c r="BP54">
        <f t="shared" si="35"/>
        <v>0</v>
      </c>
      <c r="BQ54">
        <f t="shared" si="35"/>
        <v>0</v>
      </c>
      <c r="BR54">
        <f t="shared" si="35"/>
        <v>0</v>
      </c>
      <c r="BS54">
        <f t="shared" si="35"/>
        <v>0</v>
      </c>
      <c r="BT54">
        <f t="shared" si="20"/>
        <v>61.849575595267616</v>
      </c>
    </row>
    <row r="55" spans="1:73" x14ac:dyDescent="0.2">
      <c r="A55" t="str">
        <f>'Input Scenarios'!A120</f>
        <v>WA</v>
      </c>
      <c r="B55">
        <f>'Input Scenarios'!B120</f>
        <v>24</v>
      </c>
      <c r="C55" t="str">
        <f>'Input Scenarios'!C120</f>
        <v>Irrigated pasture</v>
      </c>
      <c r="D55" t="str">
        <f>'Input Scenarios'!D120</f>
        <v>dry</v>
      </c>
      <c r="E55" t="b">
        <f>'Input Scenarios'!E120</f>
        <v>0</v>
      </c>
      <c r="G55">
        <f>'Input Scenarios'!G120</f>
        <v>0.82</v>
      </c>
      <c r="H55">
        <f>'Input Scenarios'!H120</f>
        <v>0.08</v>
      </c>
      <c r="I55">
        <f>'Input Scenarios'!I120</f>
        <v>0.1</v>
      </c>
      <c r="J55">
        <f>'Input Scenarios'!J120</f>
        <v>0</v>
      </c>
      <c r="K55">
        <f>'Input Scenarios'!K120</f>
        <v>0.5</v>
      </c>
      <c r="L55">
        <f>'Input Scenarios'!L120</f>
        <v>0.5</v>
      </c>
      <c r="M55">
        <f>'Input Scenarios'!M120</f>
        <v>0</v>
      </c>
      <c r="N55">
        <f>'Input Scenarios'!N120</f>
        <v>0.5</v>
      </c>
      <c r="O55">
        <f>'Input Scenarios'!O120</f>
        <v>0</v>
      </c>
      <c r="P55">
        <f>'Input Scenarios'!P120</f>
        <v>0</v>
      </c>
      <c r="Q55">
        <f>'Input Scenarios'!Q120</f>
        <v>0.5</v>
      </c>
      <c r="R55" t="b">
        <f>'Input Scenarios'!R55</f>
        <v>0</v>
      </c>
      <c r="S55">
        <f>IF('Input Scenarios'!S120&lt;&gt;"", 'Input Scenarios'!S120, IF(R120, Constants!$B$38, 0))</f>
        <v>0</v>
      </c>
      <c r="T55" t="str">
        <f>IF('Input Scenarios'!T120&lt;&gt;"", 'Input Scenarios'!T120, "")</f>
        <v/>
      </c>
      <c r="U55">
        <f>IF('Input Scenarios'!U120&lt;&gt;"", 'Input Scenarios'!U120, IF(W55&lt;&gt;"", "", Constants!$B$39))</f>
        <v>4</v>
      </c>
      <c r="V55">
        <f>IF('Input Scenarios'!V120&lt;&gt;"", 'Input Scenarios'!V120, IF(W55&lt;&gt;"", "", Constants!$B$40))</f>
        <v>3.3</v>
      </c>
      <c r="W55" t="str">
        <f>IF('Input Scenarios'!W120&lt;&gt;"", 'Input Scenarios'!W120, "")</f>
        <v/>
      </c>
      <c r="X55" t="str">
        <f>'Input Scenarios'!X120</f>
        <v>Illawarra/Aussie Red</v>
      </c>
      <c r="Y55" t="str">
        <f>'Input Scenarios'!Y120</f>
        <v>bullsLt1PreWeaned</v>
      </c>
      <c r="Z55">
        <f>'Input Scenarios'!Z120</f>
        <v>200</v>
      </c>
      <c r="AA55">
        <f>'Input Scenarios'!AA120</f>
        <v>124</v>
      </c>
      <c r="AB55">
        <f>'Input Scenarios'!AB120</f>
        <v>225</v>
      </c>
      <c r="AC55" t="str">
        <f>IF('Input Scenarios'!AC120&lt;&gt;"", 'Input Scenarios'!AC120, _xlfn.XLOOKUP(Y55, Constants!$B$13:$H$13, Constants!$B$15:$H$15, ""))</f>
        <v/>
      </c>
      <c r="AD55">
        <f>IF('Input Scenarios'!AD120&lt;&gt;"", 'Input Scenarios'!AD120, Constants!$B$45)</f>
        <v>0.75</v>
      </c>
      <c r="AE55">
        <f>IF('Input Scenarios'!AE120&lt;&gt;"", 'Input Scenarios'!AE120, Constants!$B$46)</f>
        <v>0.2</v>
      </c>
      <c r="AF55">
        <f t="shared" si="24"/>
        <v>0</v>
      </c>
      <c r="AG55">
        <f t="shared" si="24"/>
        <v>0</v>
      </c>
      <c r="AH55">
        <f t="shared" si="24"/>
        <v>0</v>
      </c>
      <c r="AI55">
        <f t="shared" si="24"/>
        <v>0</v>
      </c>
      <c r="AJ55">
        <f t="shared" si="25"/>
        <v>1</v>
      </c>
      <c r="AK55">
        <f t="shared" si="36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13"/>
        <v>0.5948500000000001</v>
      </c>
      <c r="AQ55">
        <f t="shared" si="14"/>
        <v>0</v>
      </c>
      <c r="AR55">
        <f>IF(Y55="milkingCows", Constants!$P$2, Constants!$P$3)</f>
        <v>1</v>
      </c>
      <c r="AS55" t="str">
        <f t="shared" si="15"/>
        <v/>
      </c>
      <c r="AT55" t="str">
        <f t="shared" si="16"/>
        <v/>
      </c>
      <c r="AU55" t="str">
        <f>_xlfn.XLOOKUP(Y55, Constants!$B$13:$H$13, Constants!$B$14:$H$14, "")</f>
        <v/>
      </c>
      <c r="AV55" t="str">
        <f t="shared" si="17"/>
        <v/>
      </c>
      <c r="AW55">
        <f>Constants!$B$55</f>
        <v>6.25</v>
      </c>
      <c r="AX55" t="str">
        <f t="shared" si="27"/>
        <v/>
      </c>
      <c r="AY55" t="str">
        <f t="shared" si="28"/>
        <v/>
      </c>
      <c r="AZ55" t="str">
        <f t="shared" si="18"/>
        <v/>
      </c>
      <c r="BA55">
        <f>IF(ISNUMBER(FIND("PreWeaned",Y55)),_xlfn.XLOOKUP(Y55,Constants!$J$2:$J$3,Constants!$M$2:$M$3),"")</f>
        <v>9.1999999999999998E-3</v>
      </c>
      <c r="BB55">
        <f t="shared" si="29"/>
        <v>228.15999999999997</v>
      </c>
      <c r="BC55">
        <f t="shared" si="30"/>
        <v>0</v>
      </c>
      <c r="BD55">
        <f t="shared" si="31"/>
        <v>0</v>
      </c>
      <c r="BE55">
        <f t="shared" si="32"/>
        <v>0</v>
      </c>
      <c r="BF55">
        <f t="shared" si="33"/>
        <v>0</v>
      </c>
      <c r="BG55">
        <f t="shared" si="34"/>
        <v>228.15999999999997</v>
      </c>
      <c r="BH55">
        <f>Constants!$C$19</f>
        <v>0</v>
      </c>
      <c r="BI55">
        <f>Constants!$C$20</f>
        <v>0</v>
      </c>
      <c r="BJ55">
        <f>Constants!$C$21</f>
        <v>0</v>
      </c>
      <c r="BK55">
        <f>Constants!$C$22</f>
        <v>5.0000000000000001E-3</v>
      </c>
      <c r="BL55">
        <f>Constants!$C$23</f>
        <v>0</v>
      </c>
      <c r="BM55">
        <f>Constants!$B$50</f>
        <v>1.57</v>
      </c>
      <c r="BN55">
        <f>_xlfn.XLOOKUP(D55,Constants!$A$34:$A$35,Constants!$B$34:$B$35)</f>
        <v>2E-3</v>
      </c>
      <c r="BO55">
        <f t="shared" si="35"/>
        <v>0</v>
      </c>
      <c r="BP55">
        <f t="shared" si="35"/>
        <v>0</v>
      </c>
      <c r="BQ55">
        <f t="shared" si="35"/>
        <v>0</v>
      </c>
      <c r="BR55">
        <f t="shared" si="35"/>
        <v>0</v>
      </c>
      <c r="BS55">
        <f t="shared" si="35"/>
        <v>0</v>
      </c>
      <c r="BT55">
        <f t="shared" si="20"/>
        <v>0.7164223999999999</v>
      </c>
    </row>
    <row r="56" spans="1:73" s="16" customFormat="1" x14ac:dyDescent="0.2">
      <c r="A56" s="16" t="str">
        <f>'Input Scenarios'!A121</f>
        <v>WA</v>
      </c>
      <c r="B56" s="16">
        <f>'Input Scenarios'!B121</f>
        <v>24</v>
      </c>
      <c r="C56" s="16" t="str">
        <f>'Input Scenarios'!C121</f>
        <v>Irrigated pasture</v>
      </c>
      <c r="D56" s="16" t="str">
        <f>'Input Scenarios'!D121</f>
        <v>dry</v>
      </c>
      <c r="E56" s="16" t="b">
        <f>'Input Scenarios'!E121</f>
        <v>0</v>
      </c>
      <c r="G56" s="16">
        <f>'Input Scenarios'!G121</f>
        <v>0.82</v>
      </c>
      <c r="H56" s="16">
        <f>'Input Scenarios'!H121</f>
        <v>0.08</v>
      </c>
      <c r="I56" s="16">
        <f>'Input Scenarios'!I121</f>
        <v>0.1</v>
      </c>
      <c r="J56" s="16">
        <f>'Input Scenarios'!J121</f>
        <v>0</v>
      </c>
      <c r="K56" s="16">
        <f>'Input Scenarios'!K121</f>
        <v>0.5</v>
      </c>
      <c r="L56" s="16">
        <f>'Input Scenarios'!L121</f>
        <v>0.5</v>
      </c>
      <c r="M56" s="16">
        <f>'Input Scenarios'!M121</f>
        <v>0</v>
      </c>
      <c r="N56" s="16">
        <f>'Input Scenarios'!N121</f>
        <v>0.5</v>
      </c>
      <c r="O56" s="16">
        <f>'Input Scenarios'!O121</f>
        <v>0</v>
      </c>
      <c r="P56" s="16">
        <f>'Input Scenarios'!P121</f>
        <v>0</v>
      </c>
      <c r="Q56" s="16">
        <f>'Input Scenarios'!Q121</f>
        <v>0.5</v>
      </c>
      <c r="R56" s="16" t="b">
        <f>'Input Scenarios'!R56</f>
        <v>0</v>
      </c>
      <c r="S56" s="16">
        <f>IF('Input Scenarios'!S121&lt;&gt;"", 'Input Scenarios'!S121, IF(R121, Constants!$B$38, 0))</f>
        <v>0</v>
      </c>
      <c r="T56" s="16" t="str">
        <f>IF('Input Scenarios'!T121&lt;&gt;"", 'Input Scenarios'!T121, "")</f>
        <v/>
      </c>
      <c r="U56" s="16">
        <f>IF('Input Scenarios'!U121&lt;&gt;"", 'Input Scenarios'!U121, IF(W56&lt;&gt;"", "", Constants!$B$39))</f>
        <v>4</v>
      </c>
      <c r="V56" s="16">
        <f>IF('Input Scenarios'!V121&lt;&gt;"", 'Input Scenarios'!V121, IF(W56&lt;&gt;"", "", Constants!$B$40))</f>
        <v>3.3</v>
      </c>
      <c r="W56" s="16" t="str">
        <f>IF('Input Scenarios'!W121&lt;&gt;"", 'Input Scenarios'!W121, "")</f>
        <v/>
      </c>
      <c r="X56" s="16" t="str">
        <f>'Input Scenarios'!X121</f>
        <v>Illawarra/Aussie Red</v>
      </c>
      <c r="Y56" s="16" t="str">
        <f>'Input Scenarios'!Y121</f>
        <v>bullsLt1Weaned</v>
      </c>
      <c r="Z56" s="16">
        <f>'Input Scenarios'!Z121</f>
        <v>200</v>
      </c>
      <c r="AA56" s="16">
        <f>'Input Scenarios'!AA121</f>
        <v>294</v>
      </c>
      <c r="AB56" s="16">
        <f>'Input Scenarios'!AB121</f>
        <v>225</v>
      </c>
      <c r="AC56" s="16">
        <f>IF('Input Scenarios'!AC121&lt;&gt;"", 'Input Scenarios'!AC121, _xlfn.XLOOKUP(Y56, Constants!$B$13:$H$13, Constants!$B$15:$H$15, ""))</f>
        <v>0.8</v>
      </c>
      <c r="AD56" s="16">
        <f>IF('Input Scenarios'!AD121&lt;&gt;"", 'Input Scenarios'!AD121, Constants!$B$45)</f>
        <v>0.75</v>
      </c>
      <c r="AE56" s="16">
        <f>IF('Input Scenarios'!AE121&lt;&gt;"", 'Input Scenarios'!AE121, Constants!$B$46)</f>
        <v>0.2</v>
      </c>
      <c r="AF56" s="16">
        <f t="shared" si="24"/>
        <v>0</v>
      </c>
      <c r="AG56" s="16">
        <f t="shared" si="24"/>
        <v>0</v>
      </c>
      <c r="AH56" s="16">
        <f t="shared" si="24"/>
        <v>0</v>
      </c>
      <c r="AI56" s="16">
        <f t="shared" si="24"/>
        <v>0</v>
      </c>
      <c r="AJ56" s="16">
        <f t="shared" si="25"/>
        <v>1</v>
      </c>
      <c r="AK56" s="16">
        <f t="shared" si="36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13"/>
        <v>0.5948500000000001</v>
      </c>
      <c r="AQ56" s="16">
        <f t="shared" si="14"/>
        <v>0</v>
      </c>
      <c r="AR56" s="16">
        <f>IF(Y56="milkingCows", Constants!$P$2, Constants!$P$3)</f>
        <v>1</v>
      </c>
      <c r="AS56" s="16">
        <f t="shared" si="15"/>
        <v>5.4143472656250013</v>
      </c>
      <c r="AT56" s="16">
        <f t="shared" si="16"/>
        <v>1.2576570545672616</v>
      </c>
      <c r="AU56" s="16">
        <f>_xlfn.XLOOKUP(Y56, Constants!$B$13:$H$13, Constants!$B$14:$H$14, "")</f>
        <v>770</v>
      </c>
      <c r="AV56" s="16">
        <f t="shared" si="17"/>
        <v>0.29220779220779219</v>
      </c>
      <c r="AW56" s="16">
        <f>Constants!$B$55</f>
        <v>6.25</v>
      </c>
      <c r="AX56" s="16">
        <f t="shared" si="27"/>
        <v>1.9757354894894084E-2</v>
      </c>
      <c r="AY56" s="16">
        <f t="shared" si="28"/>
        <v>1.0828694531250003</v>
      </c>
      <c r="AZ56" s="16">
        <f t="shared" si="18"/>
        <v>0.15247929000170721</v>
      </c>
      <c r="BA56" s="16" t="str">
        <f>IF(ISNUMBER(FIND("PreWeaned",Y56)),_xlfn.XLOOKUP(Y56,Constants!$J$2:$J$3,Constants!$M$2:$M$3),"")</f>
        <v/>
      </c>
      <c r="BB56" s="16">
        <f t="shared" si="29"/>
        <v>8965.7822521003836</v>
      </c>
      <c r="BC56" s="16">
        <f t="shared" si="30"/>
        <v>0</v>
      </c>
      <c r="BD56" s="16">
        <f t="shared" si="31"/>
        <v>0</v>
      </c>
      <c r="BE56" s="16">
        <f t="shared" si="32"/>
        <v>0</v>
      </c>
      <c r="BF56" s="16">
        <f t="shared" si="33"/>
        <v>0</v>
      </c>
      <c r="BG56" s="16">
        <f t="shared" si="34"/>
        <v>8965.7822521003836</v>
      </c>
      <c r="BH56" s="16">
        <f>Constants!$C$19</f>
        <v>0</v>
      </c>
      <c r="BI56" s="16">
        <f>Constants!$C$20</f>
        <v>0</v>
      </c>
      <c r="BJ56" s="16">
        <f>Constants!$C$21</f>
        <v>0</v>
      </c>
      <c r="BK56" s="16">
        <f>Constants!$C$22</f>
        <v>5.0000000000000001E-3</v>
      </c>
      <c r="BL56" s="16">
        <f>Constants!$C$23</f>
        <v>0</v>
      </c>
      <c r="BM56" s="16">
        <f>Constants!$B$50</f>
        <v>1.57</v>
      </c>
      <c r="BN56" s="16">
        <f>_xlfn.XLOOKUP(D56,Constants!$A$34:$A$35,Constants!$B$34:$B$35)</f>
        <v>2E-3</v>
      </c>
      <c r="BO56" s="16">
        <f t="shared" si="35"/>
        <v>0</v>
      </c>
      <c r="BP56" s="16">
        <f t="shared" si="35"/>
        <v>0</v>
      </c>
      <c r="BQ56" s="16">
        <f t="shared" si="35"/>
        <v>0</v>
      </c>
      <c r="BR56" s="16">
        <f t="shared" si="35"/>
        <v>0</v>
      </c>
      <c r="BS56" s="16">
        <f t="shared" si="35"/>
        <v>0</v>
      </c>
      <c r="BT56" s="16">
        <f t="shared" si="20"/>
        <v>28.152556271595206</v>
      </c>
    </row>
    <row r="57" spans="1:73" x14ac:dyDescent="0.2">
      <c r="A57" t="str">
        <f>'Input Scenarios'!A122</f>
        <v>SA</v>
      </c>
      <c r="B57">
        <f>'Input Scenarios'!B122</f>
        <v>17</v>
      </c>
      <c r="C57" t="str">
        <f>'Input Scenarios'!C122</f>
        <v>Irrigated crop</v>
      </c>
      <c r="D57" t="str">
        <f>'Input Scenarios'!D122</f>
        <v>dry</v>
      </c>
      <c r="E57" t="b">
        <f>'Input Scenarios'!E122</f>
        <v>1</v>
      </c>
      <c r="G57">
        <f>'Input Scenarios'!G122</f>
        <v>0.73</v>
      </c>
      <c r="H57">
        <f>'Input Scenarios'!H122</f>
        <v>0.16</v>
      </c>
      <c r="I57">
        <f>'Input Scenarios'!I122</f>
        <v>0.11</v>
      </c>
      <c r="J57">
        <f>'Input Scenarios'!J122</f>
        <v>0.1</v>
      </c>
      <c r="K57">
        <f>'Input Scenarios'!K122</f>
        <v>0.2</v>
      </c>
      <c r="L57">
        <f>'Input Scenarios'!L122</f>
        <v>0.3</v>
      </c>
      <c r="M57">
        <f>'Input Scenarios'!M122</f>
        <v>0.4</v>
      </c>
      <c r="N57">
        <f>'Input Scenarios'!N122</f>
        <v>0.4</v>
      </c>
      <c r="O57">
        <f>'Input Scenarios'!O122</f>
        <v>0.3</v>
      </c>
      <c r="P57">
        <f>'Input Scenarios'!P122</f>
        <v>0.2</v>
      </c>
      <c r="Q57">
        <f>'Input Scenarios'!Q122</f>
        <v>0.1</v>
      </c>
      <c r="R57" t="b">
        <f>'Input Scenarios'!R57</f>
        <v>0</v>
      </c>
      <c r="S57">
        <f>IF('Input Scenarios'!S122&lt;&gt;"", 'Input Scenarios'!S122, IF(R122, Constants!$B$38, 0))</f>
        <v>0</v>
      </c>
      <c r="T57" s="20" t="str">
        <f>IF('Input Scenarios'!T122&lt;&gt;"", 'Input Scenarios'!T122, "")</f>
        <v/>
      </c>
      <c r="U57" s="20" t="str">
        <f>IF('Input Scenarios'!U122&lt;&gt;"", 'Input Scenarios'!U122, IF(W57&lt;&gt;"", "", Constants!$B$39))</f>
        <v/>
      </c>
      <c r="V57" s="20" t="str">
        <f>IF('Input Scenarios'!V122&lt;&gt;"", 'Input Scenarios'!V122, IF(W57&lt;&gt;"", "", Constants!$B$40))</f>
        <v/>
      </c>
      <c r="W57" s="20">
        <f>IF('Input Scenarios'!W122&lt;&gt;"", 'Input Scenarios'!W122, "")</f>
        <v>0.1</v>
      </c>
      <c r="X57" s="20" t="str">
        <f>'Input Scenarios'!X122</f>
        <v>Guernsey</v>
      </c>
      <c r="Y57" s="20" t="str">
        <f>'Input Scenarios'!Y122</f>
        <v>milkingCows</v>
      </c>
      <c r="Z57" s="20">
        <f>'Input Scenarios'!Z122</f>
        <v>200</v>
      </c>
      <c r="AA57" s="20">
        <f>'Input Scenarios'!AA122</f>
        <v>365</v>
      </c>
      <c r="AB57" s="20">
        <f>'Input Scenarios'!AB122</f>
        <v>480</v>
      </c>
      <c r="AC57">
        <f>IF('Input Scenarios'!AC122&lt;&gt;"", 'Input Scenarios'!AC122, _xlfn.XLOOKUP(Y57, Constants!$B$13:$H$13, Constants!$B$15:$H$15, ""))</f>
        <v>1.6E-2</v>
      </c>
      <c r="AD57">
        <f>IF('Input Scenarios'!AD122&lt;&gt;"", 'Input Scenarios'!AD122, Constants!$B$45)</f>
        <v>0.75</v>
      </c>
      <c r="AE57">
        <f>IF('Input Scenarios'!AE122&lt;&gt;"", 'Input Scenarios'!AE122, Constants!$B$46)</f>
        <v>0.2</v>
      </c>
      <c r="AF57" s="20">
        <f>IF($Y57="milkingCows",($H57*J57)+($I57*N57), 0)</f>
        <v>6.0000000000000005E-2</v>
      </c>
      <c r="AG57" s="20">
        <f t="shared" ref="AG57:AI63" si="37">IF($Y57="milkingCows",($H57*K57)+($I57*O57), 0)</f>
        <v>6.5000000000000002E-2</v>
      </c>
      <c r="AH57" s="20">
        <f t="shared" si="37"/>
        <v>7.0000000000000007E-2</v>
      </c>
      <c r="AI57" s="20">
        <f t="shared" si="37"/>
        <v>7.4999999999999997E-2</v>
      </c>
      <c r="AJ57" s="20">
        <f>IF($Y57="milkingCows",G57, 1)</f>
        <v>0.73</v>
      </c>
      <c r="AK57">
        <f t="shared" si="36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13"/>
        <v>0.5948500000000001</v>
      </c>
      <c r="AQ57">
        <f t="shared" si="14"/>
        <v>4.7899360818035967E-2</v>
      </c>
      <c r="AR57">
        <f>IF(Y57="milkingCows", Constants!$P$2, Constants!$P$3)</f>
        <v>1.1000000000000001</v>
      </c>
      <c r="AS57">
        <f t="shared" si="15"/>
        <v>8.4893082048180375</v>
      </c>
      <c r="AT57">
        <f t="shared" si="16"/>
        <v>1.0036280191363305</v>
      </c>
      <c r="AU57">
        <f>_xlfn.XLOOKUP(Y57, Constants!$B$13:$H$13, Constants!$B$14:$H$14, "")</f>
        <v>590</v>
      </c>
      <c r="AV57">
        <f t="shared" si="17"/>
        <v>0.81355932203389836</v>
      </c>
      <c r="AW57">
        <f>Constants!$B$55</f>
        <v>6.25</v>
      </c>
      <c r="AX57" s="20">
        <f t="shared" si="27"/>
        <v>7.1308460484772421E-4</v>
      </c>
      <c r="AY57">
        <f t="shared" si="28"/>
        <v>1.6978616409636076</v>
      </c>
      <c r="AZ57">
        <f>IF(ISNUMBER(FIND("PreWeaned",Y57)),"", MAX((AY57/AW57)-AX57-(((1.1*10^-4)*(AB57^0.75))/AW57), 0))</f>
        <v>0.26913991763431183</v>
      </c>
      <c r="BA57" t="str">
        <f>IF(ISNUMBER(FIND("PreWeaned",Y57)),_xlfn.XLOOKUP(Y57,Constants!$J$2:$J$3,Constants!$M$2:$M$3),"")</f>
        <v/>
      </c>
      <c r="BB57">
        <f t="shared" si="29"/>
        <v>19647.213987304764</v>
      </c>
      <c r="BC57">
        <f t="shared" si="30"/>
        <v>1178.8328392382859</v>
      </c>
      <c r="BD57">
        <f t="shared" si="31"/>
        <v>1277.0689091748097</v>
      </c>
      <c r="BE57">
        <f t="shared" si="32"/>
        <v>1375.3049791113335</v>
      </c>
      <c r="BF57">
        <f t="shared" si="33"/>
        <v>1473.5410490478573</v>
      </c>
      <c r="BG57">
        <f t="shared" si="34"/>
        <v>14342.466210732477</v>
      </c>
      <c r="BH57">
        <f>Constants!$C$19</f>
        <v>0</v>
      </c>
      <c r="BI57">
        <f>Constants!$C$20</f>
        <v>0</v>
      </c>
      <c r="BJ57">
        <f>Constants!$C$21</f>
        <v>0</v>
      </c>
      <c r="BK57">
        <f>Constants!$C$22</f>
        <v>5.0000000000000001E-3</v>
      </c>
      <c r="BL57">
        <f>Constants!$C$23</f>
        <v>0</v>
      </c>
      <c r="BM57">
        <f>Constants!$B$50</f>
        <v>1.57</v>
      </c>
      <c r="BN57">
        <f>_xlfn.XLOOKUP(D57,Constants!$A$34:$A$35,Constants!$B$34:$B$35)</f>
        <v>2E-3</v>
      </c>
      <c r="BO57">
        <f t="shared" si="35"/>
        <v>0</v>
      </c>
      <c r="BP57">
        <f t="shared" si="35"/>
        <v>0</v>
      </c>
      <c r="BQ57">
        <f t="shared" si="35"/>
        <v>0</v>
      </c>
      <c r="BR57">
        <f t="shared" si="35"/>
        <v>11.567297235025681</v>
      </c>
      <c r="BS57">
        <f t="shared" si="35"/>
        <v>0</v>
      </c>
      <c r="BT57">
        <f t="shared" si="20"/>
        <v>45.035343901699981</v>
      </c>
      <c r="BU57">
        <f>SUM(BO57:BT63)/1000</f>
        <v>0.20634633412933329</v>
      </c>
    </row>
    <row r="58" spans="1:73" x14ac:dyDescent="0.2">
      <c r="A58" t="str">
        <f>'Input Scenarios'!A123</f>
        <v>SA</v>
      </c>
      <c r="B58">
        <f>'Input Scenarios'!B123</f>
        <v>17</v>
      </c>
      <c r="C58" t="str">
        <f>'Input Scenarios'!C123</f>
        <v>Irrigated crop</v>
      </c>
      <c r="D58" t="str">
        <f>'Input Scenarios'!D123</f>
        <v>dry</v>
      </c>
      <c r="E58" t="b">
        <f>'Input Scenarios'!E123</f>
        <v>1</v>
      </c>
      <c r="G58">
        <f>'Input Scenarios'!G123</f>
        <v>0.73</v>
      </c>
      <c r="H58">
        <f>'Input Scenarios'!H123</f>
        <v>0.16</v>
      </c>
      <c r="I58">
        <f>'Input Scenarios'!I123</f>
        <v>0.11</v>
      </c>
      <c r="J58">
        <f>'Input Scenarios'!J123</f>
        <v>0.1</v>
      </c>
      <c r="K58">
        <f>'Input Scenarios'!K123</f>
        <v>0.2</v>
      </c>
      <c r="L58">
        <f>'Input Scenarios'!L123</f>
        <v>0.3</v>
      </c>
      <c r="M58">
        <f>'Input Scenarios'!M123</f>
        <v>0.4</v>
      </c>
      <c r="N58">
        <f>'Input Scenarios'!N123</f>
        <v>0.4</v>
      </c>
      <c r="O58">
        <f>'Input Scenarios'!O123</f>
        <v>0.3</v>
      </c>
      <c r="P58">
        <f>'Input Scenarios'!P123</f>
        <v>0.2</v>
      </c>
      <c r="Q58">
        <f>'Input Scenarios'!Q123</f>
        <v>0.1</v>
      </c>
      <c r="R58" t="b">
        <f>'Input Scenarios'!R58</f>
        <v>0</v>
      </c>
      <c r="S58">
        <f>IF('Input Scenarios'!S123&lt;&gt;"", 'Input Scenarios'!S123, IF(R123, Constants!$B$38, 0))</f>
        <v>0</v>
      </c>
      <c r="T58" t="str">
        <f>IF('Input Scenarios'!T123&lt;&gt;"", 'Input Scenarios'!T123, "")</f>
        <v/>
      </c>
      <c r="U58">
        <f>IF('Input Scenarios'!U123&lt;&gt;"", 'Input Scenarios'!U123, IF(W58&lt;&gt;"", "", Constants!$B$39))</f>
        <v>4</v>
      </c>
      <c r="V58">
        <f>IF('Input Scenarios'!V123&lt;&gt;"", 'Input Scenarios'!V123, IF(W58&lt;&gt;"", "", Constants!$B$40))</f>
        <v>3.3</v>
      </c>
      <c r="W58" t="str">
        <f>IF('Input Scenarios'!W123&lt;&gt;"", 'Input Scenarios'!W123, "")</f>
        <v/>
      </c>
      <c r="X58" t="str">
        <f>'Input Scenarios'!X123</f>
        <v>Guernsey</v>
      </c>
      <c r="Y58" t="str">
        <f>'Input Scenarios'!Y123</f>
        <v>heifersGt1</v>
      </c>
      <c r="Z58">
        <f>'Input Scenarios'!Z123</f>
        <v>200</v>
      </c>
      <c r="AA58">
        <f>'Input Scenarios'!AA123</f>
        <v>265</v>
      </c>
      <c r="AB58">
        <f>'Input Scenarios'!AB123</f>
        <v>335</v>
      </c>
      <c r="AC58">
        <f>IF('Input Scenarios'!AC123&lt;&gt;"", 'Input Scenarios'!AC123, _xlfn.XLOOKUP(Y58, Constants!$B$13:$H$13, Constants!$B$15:$H$15, ""))</f>
        <v>0.6</v>
      </c>
      <c r="AD58">
        <f>IF('Input Scenarios'!AD123&lt;&gt;"", 'Input Scenarios'!AD123, Constants!$B$45)</f>
        <v>0.75</v>
      </c>
      <c r="AE58">
        <f>IF('Input Scenarios'!AE123&lt;&gt;"", 'Input Scenarios'!AE123, Constants!$B$46)</f>
        <v>0.2</v>
      </c>
      <c r="AF58">
        <f t="shared" ref="AF58:AF63" si="38">IF($Y58="milkingCows",($H58*J58)+($I58*N58), 0)</f>
        <v>0</v>
      </c>
      <c r="AG58">
        <f t="shared" si="37"/>
        <v>0</v>
      </c>
      <c r="AH58">
        <f t="shared" si="37"/>
        <v>0</v>
      </c>
      <c r="AI58">
        <f t="shared" si="37"/>
        <v>0</v>
      </c>
      <c r="AJ58">
        <f t="shared" ref="AJ58:AJ63" si="39">IF($Y58="milkingCows",G58, 1)</f>
        <v>1</v>
      </c>
      <c r="AK58">
        <f t="shared" si="36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13"/>
        <v>0.5948500000000001</v>
      </c>
      <c r="AQ58">
        <f t="shared" si="14"/>
        <v>0</v>
      </c>
      <c r="AR58">
        <f>IF(Y58="milkingCows", Constants!$P$2, Constants!$P$3)</f>
        <v>1</v>
      </c>
      <c r="AS58">
        <f t="shared" si="15"/>
        <v>6.7762077032249994</v>
      </c>
      <c r="AT58">
        <f t="shared" si="16"/>
        <v>1.162708374187144</v>
      </c>
      <c r="AU58">
        <f>_xlfn.XLOOKUP(Y58, Constants!$B$13:$H$13, Constants!$B$14:$H$14, "")</f>
        <v>590</v>
      </c>
      <c r="AV58">
        <f t="shared" si="17"/>
        <v>0.56779661016949157</v>
      </c>
      <c r="AW58">
        <f>Constants!$B$55</f>
        <v>6.25</v>
      </c>
      <c r="AX58">
        <f t="shared" si="27"/>
        <v>9.8263084532232529E-3</v>
      </c>
      <c r="AY58">
        <f t="shared" si="28"/>
        <v>1.355241540645</v>
      </c>
      <c r="AZ58">
        <f t="shared" si="18"/>
        <v>0.20563418873649833</v>
      </c>
      <c r="BA58" t="str">
        <f>IF(ISNUMBER(FIND("PreWeaned",Y58)),_xlfn.XLOOKUP(Y58,Constants!$J$2:$J$3,Constants!$M$2:$M$3),"")</f>
        <v/>
      </c>
      <c r="BB58">
        <f t="shared" si="29"/>
        <v>10898.612003034412</v>
      </c>
      <c r="BC58">
        <f t="shared" si="30"/>
        <v>0</v>
      </c>
      <c r="BD58">
        <f t="shared" si="31"/>
        <v>0</v>
      </c>
      <c r="BE58">
        <f t="shared" si="32"/>
        <v>0</v>
      </c>
      <c r="BF58">
        <f t="shared" si="33"/>
        <v>0</v>
      </c>
      <c r="BG58">
        <f t="shared" si="34"/>
        <v>10898.612003034412</v>
      </c>
      <c r="BH58">
        <f>Constants!$C$19</f>
        <v>0</v>
      </c>
      <c r="BI58">
        <f>Constants!$C$20</f>
        <v>0</v>
      </c>
      <c r="BJ58">
        <f>Constants!$C$21</f>
        <v>0</v>
      </c>
      <c r="BK58">
        <f>Constants!$C$22</f>
        <v>5.0000000000000001E-3</v>
      </c>
      <c r="BL58">
        <f>Constants!$C$23</f>
        <v>0</v>
      </c>
      <c r="BM58">
        <f>Constants!$B$50</f>
        <v>1.57</v>
      </c>
      <c r="BN58">
        <f>_xlfn.XLOOKUP(D58,Constants!$A$34:$A$35,Constants!$B$34:$B$35)</f>
        <v>2E-3</v>
      </c>
      <c r="BO58">
        <f t="shared" si="35"/>
        <v>0</v>
      </c>
      <c r="BP58">
        <f t="shared" si="35"/>
        <v>0</v>
      </c>
      <c r="BQ58">
        <f t="shared" si="35"/>
        <v>0</v>
      </c>
      <c r="BR58">
        <f t="shared" si="35"/>
        <v>0</v>
      </c>
      <c r="BS58">
        <f t="shared" si="35"/>
        <v>0</v>
      </c>
      <c r="BT58">
        <f t="shared" si="20"/>
        <v>34.221641689528056</v>
      </c>
    </row>
    <row r="59" spans="1:73" x14ac:dyDescent="0.2">
      <c r="A59" t="str">
        <f>'Input Scenarios'!A124</f>
        <v>SA</v>
      </c>
      <c r="B59">
        <f>'Input Scenarios'!B124</f>
        <v>17</v>
      </c>
      <c r="C59" t="str">
        <f>'Input Scenarios'!C124</f>
        <v>Irrigated crop</v>
      </c>
      <c r="D59" t="str">
        <f>'Input Scenarios'!D124</f>
        <v>dry</v>
      </c>
      <c r="E59" t="b">
        <f>'Input Scenarios'!E124</f>
        <v>1</v>
      </c>
      <c r="G59">
        <f>'Input Scenarios'!G124</f>
        <v>0.73</v>
      </c>
      <c r="H59">
        <f>'Input Scenarios'!H124</f>
        <v>0.16</v>
      </c>
      <c r="I59">
        <f>'Input Scenarios'!I124</f>
        <v>0.11</v>
      </c>
      <c r="J59">
        <f>'Input Scenarios'!J124</f>
        <v>0.1</v>
      </c>
      <c r="K59">
        <f>'Input Scenarios'!K124</f>
        <v>0.2</v>
      </c>
      <c r="L59">
        <f>'Input Scenarios'!L124</f>
        <v>0.3</v>
      </c>
      <c r="M59">
        <f>'Input Scenarios'!M124</f>
        <v>0.4</v>
      </c>
      <c r="N59">
        <f>'Input Scenarios'!N124</f>
        <v>0.4</v>
      </c>
      <c r="O59">
        <f>'Input Scenarios'!O124</f>
        <v>0.3</v>
      </c>
      <c r="P59">
        <f>'Input Scenarios'!P124</f>
        <v>0.2</v>
      </c>
      <c r="Q59">
        <f>'Input Scenarios'!Q124</f>
        <v>0.1</v>
      </c>
      <c r="R59" t="b">
        <f>'Input Scenarios'!R59</f>
        <v>0</v>
      </c>
      <c r="S59">
        <f>IF('Input Scenarios'!S124&lt;&gt;"", 'Input Scenarios'!S124, IF(R124, Constants!$B$38, 0))</f>
        <v>0</v>
      </c>
      <c r="T59" t="str">
        <f>IF('Input Scenarios'!T124&lt;&gt;"", 'Input Scenarios'!T124, "")</f>
        <v/>
      </c>
      <c r="U59">
        <f>IF('Input Scenarios'!U124&lt;&gt;"", 'Input Scenarios'!U124, IF(W59&lt;&gt;"", "", Constants!$B$39))</f>
        <v>4</v>
      </c>
      <c r="V59">
        <f>IF('Input Scenarios'!V124&lt;&gt;"", 'Input Scenarios'!V124, IF(W59&lt;&gt;"", "", Constants!$B$40))</f>
        <v>3.3</v>
      </c>
      <c r="W59" t="str">
        <f>IF('Input Scenarios'!W124&lt;&gt;"", 'Input Scenarios'!W124, "")</f>
        <v/>
      </c>
      <c r="X59" t="str">
        <f>'Input Scenarios'!X124</f>
        <v>Guernsey</v>
      </c>
      <c r="Y59" t="str">
        <f>'Input Scenarios'!Y124</f>
        <v>heifersLt1PreWeaned</v>
      </c>
      <c r="Z59">
        <f>'Input Scenarios'!Z124</f>
        <v>200</v>
      </c>
      <c r="AA59">
        <f>'Input Scenarios'!AA124</f>
        <v>100</v>
      </c>
      <c r="AB59">
        <f>'Input Scenarios'!AB124</f>
        <v>140</v>
      </c>
      <c r="AC59" t="str">
        <f>IF('Input Scenarios'!AC124&lt;&gt;"", 'Input Scenarios'!AC124, _xlfn.XLOOKUP(Y59, Constants!$B$13:$H$13, Constants!$B$15:$H$15, ""))</f>
        <v/>
      </c>
      <c r="AD59">
        <f>IF('Input Scenarios'!AD124&lt;&gt;"", 'Input Scenarios'!AD124, Constants!$B$45)</f>
        <v>0.75</v>
      </c>
      <c r="AE59">
        <f>IF('Input Scenarios'!AE124&lt;&gt;"", 'Input Scenarios'!AE124, Constants!$B$46)</f>
        <v>0.2</v>
      </c>
      <c r="AF59">
        <f t="shared" si="38"/>
        <v>0</v>
      </c>
      <c r="AG59">
        <f t="shared" si="37"/>
        <v>0</v>
      </c>
      <c r="AH59">
        <f t="shared" si="37"/>
        <v>0</v>
      </c>
      <c r="AI59">
        <f t="shared" si="37"/>
        <v>0</v>
      </c>
      <c r="AJ59">
        <f t="shared" si="39"/>
        <v>1</v>
      </c>
      <c r="AK59">
        <f t="shared" si="36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13"/>
        <v>0.5948500000000001</v>
      </c>
      <c r="AQ59">
        <f t="shared" si="14"/>
        <v>0</v>
      </c>
      <c r="AR59">
        <f>IF(Y59="milkingCows", Constants!$P$2, Constants!$P$3)</f>
        <v>1</v>
      </c>
      <c r="AS59" t="str">
        <f t="shared" si="15"/>
        <v/>
      </c>
      <c r="AT59" t="str">
        <f t="shared" si="16"/>
        <v/>
      </c>
      <c r="AU59" t="str">
        <f>_xlfn.XLOOKUP(Y59, Constants!$B$13:$H$13, Constants!$B$14:$H$14, "")</f>
        <v/>
      </c>
      <c r="AV59" t="str">
        <f t="shared" si="17"/>
        <v/>
      </c>
      <c r="AW59">
        <f>Constants!$B$55</f>
        <v>6.25</v>
      </c>
      <c r="AX59" t="str">
        <f t="shared" si="27"/>
        <v/>
      </c>
      <c r="AY59" t="str">
        <f t="shared" si="28"/>
        <v/>
      </c>
      <c r="AZ59" t="str">
        <f t="shared" si="18"/>
        <v/>
      </c>
      <c r="BA59">
        <f>IF(ISNUMBER(FIND("PreWeaned",Y59)),_xlfn.XLOOKUP(Y59,Constants!$J$2:$J$3,Constants!$M$2:$M$3),"")</f>
        <v>1.37E-2</v>
      </c>
      <c r="BB59">
        <f t="shared" si="29"/>
        <v>274</v>
      </c>
      <c r="BC59">
        <f t="shared" si="30"/>
        <v>0</v>
      </c>
      <c r="BD59">
        <f t="shared" si="31"/>
        <v>0</v>
      </c>
      <c r="BE59">
        <f t="shared" si="32"/>
        <v>0</v>
      </c>
      <c r="BF59">
        <f t="shared" si="33"/>
        <v>0</v>
      </c>
      <c r="BG59">
        <f t="shared" si="34"/>
        <v>274</v>
      </c>
      <c r="BH59">
        <f>Constants!$C$19</f>
        <v>0</v>
      </c>
      <c r="BI59">
        <f>Constants!$C$20</f>
        <v>0</v>
      </c>
      <c r="BJ59">
        <f>Constants!$C$21</f>
        <v>0</v>
      </c>
      <c r="BK59">
        <f>Constants!$C$22</f>
        <v>5.0000000000000001E-3</v>
      </c>
      <c r="BL59">
        <f>Constants!$C$23</f>
        <v>0</v>
      </c>
      <c r="BM59">
        <f>Constants!$B$50</f>
        <v>1.57</v>
      </c>
      <c r="BN59">
        <f>_xlfn.XLOOKUP(D59,Constants!$A$34:$A$35,Constants!$B$34:$B$35)</f>
        <v>2E-3</v>
      </c>
      <c r="BO59">
        <f t="shared" ref="BO59:BS63" si="40">BC59*BH59*$BM59</f>
        <v>0</v>
      </c>
      <c r="BP59">
        <f t="shared" si="40"/>
        <v>0</v>
      </c>
      <c r="BQ59">
        <f t="shared" si="40"/>
        <v>0</v>
      </c>
      <c r="BR59">
        <f t="shared" si="40"/>
        <v>0</v>
      </c>
      <c r="BS59">
        <f t="shared" si="40"/>
        <v>0</v>
      </c>
      <c r="BT59">
        <f t="shared" si="20"/>
        <v>0.86036000000000012</v>
      </c>
    </row>
    <row r="60" spans="1:73" x14ac:dyDescent="0.2">
      <c r="A60" t="str">
        <f>'Input Scenarios'!A125</f>
        <v>SA</v>
      </c>
      <c r="B60">
        <f>'Input Scenarios'!B125</f>
        <v>17</v>
      </c>
      <c r="C60" t="str">
        <f>'Input Scenarios'!C125</f>
        <v>Irrigated crop</v>
      </c>
      <c r="D60" t="str">
        <f>'Input Scenarios'!D125</f>
        <v>dry</v>
      </c>
      <c r="E60" t="b">
        <f>'Input Scenarios'!E125</f>
        <v>1</v>
      </c>
      <c r="G60">
        <f>'Input Scenarios'!G125</f>
        <v>0.73</v>
      </c>
      <c r="H60">
        <f>'Input Scenarios'!H125</f>
        <v>0.16</v>
      </c>
      <c r="I60">
        <f>'Input Scenarios'!I125</f>
        <v>0.11</v>
      </c>
      <c r="J60">
        <f>'Input Scenarios'!J125</f>
        <v>0.1</v>
      </c>
      <c r="K60">
        <f>'Input Scenarios'!K125</f>
        <v>0.2</v>
      </c>
      <c r="L60">
        <f>'Input Scenarios'!L125</f>
        <v>0.3</v>
      </c>
      <c r="M60">
        <f>'Input Scenarios'!M125</f>
        <v>0.4</v>
      </c>
      <c r="N60">
        <f>'Input Scenarios'!N125</f>
        <v>0.4</v>
      </c>
      <c r="O60">
        <f>'Input Scenarios'!O125</f>
        <v>0.3</v>
      </c>
      <c r="P60">
        <f>'Input Scenarios'!P125</f>
        <v>0.2</v>
      </c>
      <c r="Q60">
        <f>'Input Scenarios'!Q125</f>
        <v>0.1</v>
      </c>
      <c r="R60" t="b">
        <f>'Input Scenarios'!R60</f>
        <v>0</v>
      </c>
      <c r="S60">
        <f>IF('Input Scenarios'!S125&lt;&gt;"", 'Input Scenarios'!S125, IF(R125, Constants!$B$38, 0))</f>
        <v>0</v>
      </c>
      <c r="T60" t="str">
        <f>IF('Input Scenarios'!T125&lt;&gt;"", 'Input Scenarios'!T125, "")</f>
        <v/>
      </c>
      <c r="U60">
        <f>IF('Input Scenarios'!U125&lt;&gt;"", 'Input Scenarios'!U125, IF(W60&lt;&gt;"", "", Constants!$B$39))</f>
        <v>4</v>
      </c>
      <c r="V60">
        <f>IF('Input Scenarios'!V125&lt;&gt;"", 'Input Scenarios'!V125, IF(W60&lt;&gt;"", "", Constants!$B$40))</f>
        <v>3.3</v>
      </c>
      <c r="W60" t="str">
        <f>IF('Input Scenarios'!W125&lt;&gt;"", 'Input Scenarios'!W125, "")</f>
        <v/>
      </c>
      <c r="X60" t="str">
        <f>'Input Scenarios'!X125</f>
        <v>Guernsey</v>
      </c>
      <c r="Y60" t="str">
        <f>'Input Scenarios'!Y125</f>
        <v>heifersLt1Weaned</v>
      </c>
      <c r="Z60">
        <f>'Input Scenarios'!Z125</f>
        <v>200</v>
      </c>
      <c r="AA60">
        <f>'Input Scenarios'!AA125</f>
        <v>360</v>
      </c>
      <c r="AB60">
        <f>'Input Scenarios'!AB125</f>
        <v>140</v>
      </c>
      <c r="AC60">
        <f>IF('Input Scenarios'!AC125&lt;&gt;"", 'Input Scenarios'!AC125, _xlfn.XLOOKUP(Y60, Constants!$B$13:$H$13, Constants!$B$15:$H$15, ""))</f>
        <v>0.56999999999999995</v>
      </c>
      <c r="AD60">
        <f>IF('Input Scenarios'!AD125&lt;&gt;"", 'Input Scenarios'!AD125, Constants!$B$45)</f>
        <v>0.75</v>
      </c>
      <c r="AE60">
        <f>IF('Input Scenarios'!AE125&lt;&gt;"", 'Input Scenarios'!AE125, Constants!$B$46)</f>
        <v>0.2</v>
      </c>
      <c r="AF60">
        <f t="shared" si="38"/>
        <v>0</v>
      </c>
      <c r="AG60">
        <f t="shared" si="37"/>
        <v>0</v>
      </c>
      <c r="AH60">
        <f t="shared" si="37"/>
        <v>0</v>
      </c>
      <c r="AI60">
        <f t="shared" si="37"/>
        <v>0</v>
      </c>
      <c r="AJ60">
        <f t="shared" si="39"/>
        <v>1</v>
      </c>
      <c r="AK60">
        <f t="shared" si="36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13"/>
        <v>0.5948500000000001</v>
      </c>
      <c r="AQ60">
        <f t="shared" si="14"/>
        <v>0</v>
      </c>
      <c r="AR60">
        <f>IF(Y60="milkingCows", Constants!$P$2, Constants!$P$3)</f>
        <v>1</v>
      </c>
      <c r="AS60">
        <f t="shared" si="15"/>
        <v>3.7993416560999989</v>
      </c>
      <c r="AT60">
        <f t="shared" si="16"/>
        <v>1.213217026603395</v>
      </c>
      <c r="AU60">
        <f>_xlfn.XLOOKUP(Y60, Constants!$B$13:$H$13, Constants!$B$14:$H$14, "")</f>
        <v>590</v>
      </c>
      <c r="AV60">
        <f t="shared" si="17"/>
        <v>0.23728813559322035</v>
      </c>
      <c r="AW60">
        <f>Constants!$B$55</f>
        <v>6.25</v>
      </c>
      <c r="AX60">
        <f t="shared" si="27"/>
        <v>1.49570148025881E-2</v>
      </c>
      <c r="AY60">
        <f t="shared" si="28"/>
        <v>0.75986833121999986</v>
      </c>
      <c r="AZ60">
        <f t="shared" si="18"/>
        <v>0.10590559552466704</v>
      </c>
      <c r="BA60" t="str">
        <f>IF(ISNUMBER(FIND("PreWeaned",Y60)),_xlfn.XLOOKUP(Y60,Constants!$J$2:$J$3,Constants!$M$2:$M$3),"")</f>
        <v/>
      </c>
      <c r="BB60">
        <f t="shared" si="29"/>
        <v>7625.202877776027</v>
      </c>
      <c r="BC60">
        <f t="shared" si="30"/>
        <v>0</v>
      </c>
      <c r="BD60">
        <f t="shared" si="31"/>
        <v>0</v>
      </c>
      <c r="BE60">
        <f t="shared" si="32"/>
        <v>0</v>
      </c>
      <c r="BF60">
        <f t="shared" si="33"/>
        <v>0</v>
      </c>
      <c r="BG60">
        <f t="shared" si="34"/>
        <v>7625.202877776027</v>
      </c>
      <c r="BH60">
        <f>Constants!$C$19</f>
        <v>0</v>
      </c>
      <c r="BI60">
        <f>Constants!$C$20</f>
        <v>0</v>
      </c>
      <c r="BJ60">
        <f>Constants!$C$21</f>
        <v>0</v>
      </c>
      <c r="BK60">
        <f>Constants!$C$22</f>
        <v>5.0000000000000001E-3</v>
      </c>
      <c r="BL60">
        <f>Constants!$C$23</f>
        <v>0</v>
      </c>
      <c r="BM60">
        <f>Constants!$B$50</f>
        <v>1.57</v>
      </c>
      <c r="BN60">
        <f>_xlfn.XLOOKUP(D60,Constants!$A$34:$A$35,Constants!$B$34:$B$35)</f>
        <v>2E-3</v>
      </c>
      <c r="BO60">
        <f t="shared" si="40"/>
        <v>0</v>
      </c>
      <c r="BP60">
        <f t="shared" si="40"/>
        <v>0</v>
      </c>
      <c r="BQ60">
        <f t="shared" si="40"/>
        <v>0</v>
      </c>
      <c r="BR60">
        <f t="shared" si="40"/>
        <v>0</v>
      </c>
      <c r="BS60">
        <f t="shared" si="40"/>
        <v>0</v>
      </c>
      <c r="BT60">
        <f t="shared" si="20"/>
        <v>23.943137036216726</v>
      </c>
    </row>
    <row r="61" spans="1:73" x14ac:dyDescent="0.2">
      <c r="A61" t="str">
        <f>'Input Scenarios'!A126</f>
        <v>SA</v>
      </c>
      <c r="B61">
        <f>'Input Scenarios'!B126</f>
        <v>17</v>
      </c>
      <c r="C61" t="str">
        <f>'Input Scenarios'!C126</f>
        <v>Irrigated crop</v>
      </c>
      <c r="D61" t="str">
        <f>'Input Scenarios'!D126</f>
        <v>dry</v>
      </c>
      <c r="E61" t="b">
        <f>'Input Scenarios'!E126</f>
        <v>1</v>
      </c>
      <c r="G61">
        <f>'Input Scenarios'!G126</f>
        <v>0.73</v>
      </c>
      <c r="H61">
        <f>'Input Scenarios'!H126</f>
        <v>0.16</v>
      </c>
      <c r="I61">
        <f>'Input Scenarios'!I126</f>
        <v>0.11</v>
      </c>
      <c r="J61">
        <f>'Input Scenarios'!J126</f>
        <v>0.1</v>
      </c>
      <c r="K61">
        <f>'Input Scenarios'!K126</f>
        <v>0.2</v>
      </c>
      <c r="L61">
        <f>'Input Scenarios'!L126</f>
        <v>0.3</v>
      </c>
      <c r="M61">
        <f>'Input Scenarios'!M126</f>
        <v>0.4</v>
      </c>
      <c r="N61">
        <f>'Input Scenarios'!N126</f>
        <v>0.4</v>
      </c>
      <c r="O61">
        <f>'Input Scenarios'!O126</f>
        <v>0.3</v>
      </c>
      <c r="P61">
        <f>'Input Scenarios'!P126</f>
        <v>0.2</v>
      </c>
      <c r="Q61">
        <f>'Input Scenarios'!Q126</f>
        <v>0.1</v>
      </c>
      <c r="R61" t="b">
        <f>'Input Scenarios'!R61</f>
        <v>0</v>
      </c>
      <c r="S61">
        <f>IF('Input Scenarios'!S126&lt;&gt;"", 'Input Scenarios'!S126, IF(R126, Constants!$B$38, 0))</f>
        <v>0</v>
      </c>
      <c r="T61" t="str">
        <f>IF('Input Scenarios'!T126&lt;&gt;"", 'Input Scenarios'!T126, "")</f>
        <v/>
      </c>
      <c r="U61">
        <f>IF('Input Scenarios'!U126&lt;&gt;"", 'Input Scenarios'!U126, IF(W61&lt;&gt;"", "", Constants!$B$39))</f>
        <v>4</v>
      </c>
      <c r="V61">
        <f>IF('Input Scenarios'!V126&lt;&gt;"", 'Input Scenarios'!V126, IF(W61&lt;&gt;"", "", Constants!$B$40))</f>
        <v>3.3</v>
      </c>
      <c r="W61" t="str">
        <f>IF('Input Scenarios'!W126&lt;&gt;"", 'Input Scenarios'!W126, "")</f>
        <v/>
      </c>
      <c r="X61" t="str">
        <f>'Input Scenarios'!X126</f>
        <v>Guernsey</v>
      </c>
      <c r="Y61" t="str">
        <f>'Input Scenarios'!Y126</f>
        <v>bullsGt1</v>
      </c>
      <c r="Z61">
        <f>'Input Scenarios'!Z126</f>
        <v>200</v>
      </c>
      <c r="AA61">
        <f>'Input Scenarios'!AA126</f>
        <v>345</v>
      </c>
      <c r="AB61">
        <f>'Input Scenarios'!AB126</f>
        <v>600</v>
      </c>
      <c r="AC61">
        <f>IF('Input Scenarios'!AC126&lt;&gt;"", 'Input Scenarios'!AC126, _xlfn.XLOOKUP(Y61, Constants!$B$13:$H$13, Constants!$B$15:$H$15, ""))</f>
        <v>0.1</v>
      </c>
      <c r="AD61">
        <f>IF('Input Scenarios'!AD126&lt;&gt;"", 'Input Scenarios'!AD126, Constants!$B$45)</f>
        <v>0.75</v>
      </c>
      <c r="AE61">
        <f>IF('Input Scenarios'!AE126&lt;&gt;"", 'Input Scenarios'!AE126, Constants!$B$46)</f>
        <v>0.2</v>
      </c>
      <c r="AF61">
        <f t="shared" si="38"/>
        <v>0</v>
      </c>
      <c r="AG61">
        <f t="shared" si="37"/>
        <v>0</v>
      </c>
      <c r="AH61">
        <f t="shared" si="37"/>
        <v>0</v>
      </c>
      <c r="AI61">
        <f t="shared" si="37"/>
        <v>0</v>
      </c>
      <c r="AJ61">
        <f t="shared" si="39"/>
        <v>1</v>
      </c>
      <c r="AK61">
        <f t="shared" si="36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13"/>
        <v>0.5948500000000001</v>
      </c>
      <c r="AQ61">
        <f t="shared" si="14"/>
        <v>0</v>
      </c>
      <c r="AR61">
        <f>IF(Y61="milkingCows", Constants!$P$2, Constants!$P$3)</f>
        <v>1</v>
      </c>
      <c r="AS61">
        <f t="shared" si="15"/>
        <v>9.0270202499999979</v>
      </c>
      <c r="AT61">
        <f t="shared" si="16"/>
        <v>1.0213029780639273</v>
      </c>
      <c r="AU61">
        <f>_xlfn.XLOOKUP(Y61, Constants!$B$13:$H$13, Constants!$B$14:$H$14, "")</f>
        <v>770</v>
      </c>
      <c r="AV61">
        <f t="shared" si="17"/>
        <v>0.77922077922077926</v>
      </c>
      <c r="AW61">
        <f>Constants!$B$55</f>
        <v>6.25</v>
      </c>
      <c r="AX61">
        <f t="shared" si="27"/>
        <v>1.2626203146474679E-3</v>
      </c>
      <c r="AY61">
        <f t="shared" si="28"/>
        <v>1.8054040499999997</v>
      </c>
      <c r="AZ61">
        <f t="shared" si="18"/>
        <v>0.28546836331241399</v>
      </c>
      <c r="BA61" t="str">
        <f>IF(ISNUMBER(FIND("PreWeaned",Y61)),_xlfn.XLOOKUP(Y61,Constants!$J$2:$J$3,Constants!$M$2:$M$3),"")</f>
        <v/>
      </c>
      <c r="BB61">
        <f t="shared" si="29"/>
        <v>19697.317068556564</v>
      </c>
      <c r="BC61">
        <f t="shared" si="30"/>
        <v>0</v>
      </c>
      <c r="BD61">
        <f t="shared" si="31"/>
        <v>0</v>
      </c>
      <c r="BE61">
        <f t="shared" si="32"/>
        <v>0</v>
      </c>
      <c r="BF61">
        <f t="shared" si="33"/>
        <v>0</v>
      </c>
      <c r="BG61">
        <f t="shared" si="34"/>
        <v>19697.317068556564</v>
      </c>
      <c r="BH61">
        <f>Constants!$C$19</f>
        <v>0</v>
      </c>
      <c r="BI61">
        <f>Constants!$C$20</f>
        <v>0</v>
      </c>
      <c r="BJ61">
        <f>Constants!$C$21</f>
        <v>0</v>
      </c>
      <c r="BK61">
        <f>Constants!$C$22</f>
        <v>5.0000000000000001E-3</v>
      </c>
      <c r="BL61">
        <f>Constants!$C$23</f>
        <v>0</v>
      </c>
      <c r="BM61">
        <f>Constants!$B$50</f>
        <v>1.57</v>
      </c>
      <c r="BN61">
        <f>_xlfn.XLOOKUP(D61,Constants!$A$34:$A$35,Constants!$B$34:$B$35)</f>
        <v>2E-3</v>
      </c>
      <c r="BO61">
        <f t="shared" si="40"/>
        <v>0</v>
      </c>
      <c r="BP61">
        <f t="shared" si="40"/>
        <v>0</v>
      </c>
      <c r="BQ61">
        <f t="shared" si="40"/>
        <v>0</v>
      </c>
      <c r="BR61">
        <f t="shared" si="40"/>
        <v>0</v>
      </c>
      <c r="BS61">
        <f t="shared" si="40"/>
        <v>0</v>
      </c>
      <c r="BT61">
        <f t="shared" si="20"/>
        <v>61.849575595267616</v>
      </c>
    </row>
    <row r="62" spans="1:73" x14ac:dyDescent="0.2">
      <c r="A62" t="str">
        <f>'Input Scenarios'!A127</f>
        <v>SA</v>
      </c>
      <c r="B62">
        <f>'Input Scenarios'!B127</f>
        <v>17</v>
      </c>
      <c r="C62" t="str">
        <f>'Input Scenarios'!C127</f>
        <v>Irrigated crop</v>
      </c>
      <c r="D62" t="str">
        <f>'Input Scenarios'!D127</f>
        <v>dry</v>
      </c>
      <c r="E62" t="b">
        <f>'Input Scenarios'!E127</f>
        <v>1</v>
      </c>
      <c r="G62">
        <f>'Input Scenarios'!G127</f>
        <v>0.73</v>
      </c>
      <c r="H62">
        <f>'Input Scenarios'!H127</f>
        <v>0.16</v>
      </c>
      <c r="I62">
        <f>'Input Scenarios'!I127</f>
        <v>0.11</v>
      </c>
      <c r="J62">
        <f>'Input Scenarios'!J127</f>
        <v>0.1</v>
      </c>
      <c r="K62">
        <f>'Input Scenarios'!K127</f>
        <v>0.2</v>
      </c>
      <c r="L62">
        <f>'Input Scenarios'!L127</f>
        <v>0.3</v>
      </c>
      <c r="M62">
        <f>'Input Scenarios'!M127</f>
        <v>0.4</v>
      </c>
      <c r="N62">
        <f>'Input Scenarios'!N127</f>
        <v>0.4</v>
      </c>
      <c r="O62">
        <f>'Input Scenarios'!O127</f>
        <v>0.3</v>
      </c>
      <c r="P62">
        <f>'Input Scenarios'!P127</f>
        <v>0.2</v>
      </c>
      <c r="Q62">
        <f>'Input Scenarios'!Q127</f>
        <v>0.1</v>
      </c>
      <c r="R62" t="b">
        <f>'Input Scenarios'!R62</f>
        <v>0</v>
      </c>
      <c r="S62">
        <f>IF('Input Scenarios'!S127&lt;&gt;"", 'Input Scenarios'!S127, IF(R127, Constants!$B$38, 0))</f>
        <v>0</v>
      </c>
      <c r="T62" t="str">
        <f>IF('Input Scenarios'!T127&lt;&gt;"", 'Input Scenarios'!T127, "")</f>
        <v/>
      </c>
      <c r="U62">
        <f>IF('Input Scenarios'!U127&lt;&gt;"", 'Input Scenarios'!U127, IF(W62&lt;&gt;"", "", Constants!$B$39))</f>
        <v>4</v>
      </c>
      <c r="V62">
        <f>IF('Input Scenarios'!V127&lt;&gt;"", 'Input Scenarios'!V127, IF(W62&lt;&gt;"", "", Constants!$B$40))</f>
        <v>3.3</v>
      </c>
      <c r="W62" t="str">
        <f>IF('Input Scenarios'!W127&lt;&gt;"", 'Input Scenarios'!W127, "")</f>
        <v/>
      </c>
      <c r="X62" t="str">
        <f>'Input Scenarios'!X127</f>
        <v>Guernsey</v>
      </c>
      <c r="Y62" t="str">
        <f>'Input Scenarios'!Y127</f>
        <v>bullsLt1PreWeaned</v>
      </c>
      <c r="Z62">
        <f>'Input Scenarios'!Z127</f>
        <v>200</v>
      </c>
      <c r="AA62">
        <f>'Input Scenarios'!AA127</f>
        <v>124</v>
      </c>
      <c r="AB62">
        <f>'Input Scenarios'!AB127</f>
        <v>225</v>
      </c>
      <c r="AC62" t="str">
        <f>IF('Input Scenarios'!AC127&lt;&gt;"", 'Input Scenarios'!AC127, _xlfn.XLOOKUP(Y62, Constants!$B$13:$H$13, Constants!$B$15:$H$15, ""))</f>
        <v/>
      </c>
      <c r="AD62">
        <f>IF('Input Scenarios'!AD127&lt;&gt;"", 'Input Scenarios'!AD127, Constants!$B$45)</f>
        <v>0.75</v>
      </c>
      <c r="AE62">
        <f>IF('Input Scenarios'!AE127&lt;&gt;"", 'Input Scenarios'!AE127, Constants!$B$46)</f>
        <v>0.2</v>
      </c>
      <c r="AF62">
        <f t="shared" si="38"/>
        <v>0</v>
      </c>
      <c r="AG62">
        <f t="shared" si="37"/>
        <v>0</v>
      </c>
      <c r="AH62">
        <f t="shared" si="37"/>
        <v>0</v>
      </c>
      <c r="AI62">
        <f t="shared" si="37"/>
        <v>0</v>
      </c>
      <c r="AJ62">
        <f t="shared" si="39"/>
        <v>1</v>
      </c>
      <c r="AK62">
        <f t="shared" si="36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13"/>
        <v>0.5948500000000001</v>
      </c>
      <c r="AQ62">
        <f t="shared" si="14"/>
        <v>0</v>
      </c>
      <c r="AR62">
        <f>IF(Y62="milkingCows", Constants!$P$2, Constants!$P$3)</f>
        <v>1</v>
      </c>
      <c r="AS62" t="str">
        <f t="shared" si="15"/>
        <v/>
      </c>
      <c r="AT62" t="str">
        <f t="shared" si="16"/>
        <v/>
      </c>
      <c r="AU62" t="str">
        <f>_xlfn.XLOOKUP(Y62, Constants!$B$13:$H$13, Constants!$B$14:$H$14, "")</f>
        <v/>
      </c>
      <c r="AV62" t="str">
        <f t="shared" si="17"/>
        <v/>
      </c>
      <c r="AW62">
        <f>Constants!$B$55</f>
        <v>6.25</v>
      </c>
      <c r="AX62" t="str">
        <f t="shared" si="27"/>
        <v/>
      </c>
      <c r="AY62" t="str">
        <f t="shared" si="28"/>
        <v/>
      </c>
      <c r="AZ62" t="str">
        <f t="shared" si="18"/>
        <v/>
      </c>
      <c r="BA62">
        <f>IF(ISNUMBER(FIND("PreWeaned",Y62)),_xlfn.XLOOKUP(Y62,Constants!$J$2:$J$3,Constants!$M$2:$M$3),"")</f>
        <v>9.1999999999999998E-3</v>
      </c>
      <c r="BB62">
        <f t="shared" si="29"/>
        <v>228.15999999999997</v>
      </c>
      <c r="BC62">
        <f t="shared" si="30"/>
        <v>0</v>
      </c>
      <c r="BD62">
        <f t="shared" si="31"/>
        <v>0</v>
      </c>
      <c r="BE62">
        <f t="shared" si="32"/>
        <v>0</v>
      </c>
      <c r="BF62">
        <f t="shared" si="33"/>
        <v>0</v>
      </c>
      <c r="BG62">
        <f t="shared" si="34"/>
        <v>228.15999999999997</v>
      </c>
      <c r="BH62">
        <f>Constants!$C$19</f>
        <v>0</v>
      </c>
      <c r="BI62">
        <f>Constants!$C$20</f>
        <v>0</v>
      </c>
      <c r="BJ62">
        <f>Constants!$C$21</f>
        <v>0</v>
      </c>
      <c r="BK62">
        <f>Constants!$C$22</f>
        <v>5.0000000000000001E-3</v>
      </c>
      <c r="BL62">
        <f>Constants!$C$23</f>
        <v>0</v>
      </c>
      <c r="BM62">
        <f>Constants!$B$50</f>
        <v>1.57</v>
      </c>
      <c r="BN62">
        <f>_xlfn.XLOOKUP(D62,Constants!$A$34:$A$35,Constants!$B$34:$B$35)</f>
        <v>2E-3</v>
      </c>
      <c r="BO62">
        <f t="shared" si="40"/>
        <v>0</v>
      </c>
      <c r="BP62">
        <f t="shared" si="40"/>
        <v>0</v>
      </c>
      <c r="BQ62">
        <f t="shared" si="40"/>
        <v>0</v>
      </c>
      <c r="BR62">
        <f t="shared" si="40"/>
        <v>0</v>
      </c>
      <c r="BS62">
        <f t="shared" si="40"/>
        <v>0</v>
      </c>
      <c r="BT62">
        <f t="shared" si="20"/>
        <v>0.7164223999999999</v>
      </c>
    </row>
    <row r="63" spans="1:73" s="16" customFormat="1" x14ac:dyDescent="0.2">
      <c r="A63" s="16" t="str">
        <f>'Input Scenarios'!A128</f>
        <v>SA</v>
      </c>
      <c r="B63" s="16">
        <f>'Input Scenarios'!B128</f>
        <v>17</v>
      </c>
      <c r="C63" s="16" t="str">
        <f>'Input Scenarios'!C128</f>
        <v>Irrigated crop</v>
      </c>
      <c r="D63" s="16" t="str">
        <f>'Input Scenarios'!D128</f>
        <v>dry</v>
      </c>
      <c r="E63" s="16" t="b">
        <f>'Input Scenarios'!E128</f>
        <v>1</v>
      </c>
      <c r="G63" s="16">
        <f>'Input Scenarios'!G128</f>
        <v>0.73</v>
      </c>
      <c r="H63" s="16">
        <f>'Input Scenarios'!H128</f>
        <v>0.16</v>
      </c>
      <c r="I63" s="16">
        <f>'Input Scenarios'!I128</f>
        <v>0.11</v>
      </c>
      <c r="J63" s="16">
        <f>'Input Scenarios'!J128</f>
        <v>0.1</v>
      </c>
      <c r="K63" s="16">
        <f>'Input Scenarios'!K128</f>
        <v>0.2</v>
      </c>
      <c r="L63" s="16">
        <f>'Input Scenarios'!L128</f>
        <v>0.3</v>
      </c>
      <c r="M63" s="16">
        <f>'Input Scenarios'!M128</f>
        <v>0.4</v>
      </c>
      <c r="N63" s="16">
        <f>'Input Scenarios'!N128</f>
        <v>0.4</v>
      </c>
      <c r="O63" s="16">
        <f>'Input Scenarios'!O128</f>
        <v>0.3</v>
      </c>
      <c r="P63" s="16">
        <f>'Input Scenarios'!P128</f>
        <v>0.2</v>
      </c>
      <c r="Q63" s="16">
        <f>'Input Scenarios'!Q128</f>
        <v>0.1</v>
      </c>
      <c r="R63" s="16" t="b">
        <f>'Input Scenarios'!R63</f>
        <v>0</v>
      </c>
      <c r="S63" s="16">
        <f>IF('Input Scenarios'!S128&lt;&gt;"", 'Input Scenarios'!S128, IF(R128, Constants!$B$38, 0))</f>
        <v>0</v>
      </c>
      <c r="T63" s="16" t="str">
        <f>IF('Input Scenarios'!T128&lt;&gt;"", 'Input Scenarios'!T128, "")</f>
        <v/>
      </c>
      <c r="U63" s="16">
        <f>IF('Input Scenarios'!U128&lt;&gt;"", 'Input Scenarios'!U128, IF(W63&lt;&gt;"", "", Constants!$B$39))</f>
        <v>4</v>
      </c>
      <c r="V63" s="16">
        <f>IF('Input Scenarios'!V128&lt;&gt;"", 'Input Scenarios'!V128, IF(W63&lt;&gt;"", "", Constants!$B$40))</f>
        <v>3.3</v>
      </c>
      <c r="W63" s="16" t="str">
        <f>IF('Input Scenarios'!W128&lt;&gt;"", 'Input Scenarios'!W128, "")</f>
        <v/>
      </c>
      <c r="X63" s="16" t="str">
        <f>'Input Scenarios'!X128</f>
        <v>Guernsey</v>
      </c>
      <c r="Y63" s="16" t="str">
        <f>'Input Scenarios'!Y128</f>
        <v>bullsLt1Weaned</v>
      </c>
      <c r="Z63" s="16">
        <f>'Input Scenarios'!Z128</f>
        <v>200</v>
      </c>
      <c r="AA63" s="16">
        <f>'Input Scenarios'!AA128</f>
        <v>294</v>
      </c>
      <c r="AB63" s="16">
        <f>'Input Scenarios'!AB128</f>
        <v>225</v>
      </c>
      <c r="AC63" s="16">
        <f>IF('Input Scenarios'!AC128&lt;&gt;"", 'Input Scenarios'!AC128, _xlfn.XLOOKUP(Y63, Constants!$B$13:$H$13, Constants!$B$15:$H$15, ""))</f>
        <v>0.8</v>
      </c>
      <c r="AD63" s="16">
        <f>IF('Input Scenarios'!AD128&lt;&gt;"", 'Input Scenarios'!AD128, Constants!$B$45)</f>
        <v>0.75</v>
      </c>
      <c r="AE63" s="16">
        <f>IF('Input Scenarios'!AE128&lt;&gt;"", 'Input Scenarios'!AE128, Constants!$B$46)</f>
        <v>0.2</v>
      </c>
      <c r="AF63" s="16">
        <f t="shared" si="38"/>
        <v>0</v>
      </c>
      <c r="AG63" s="16">
        <f t="shared" si="37"/>
        <v>0</v>
      </c>
      <c r="AH63" s="16">
        <f t="shared" si="37"/>
        <v>0</v>
      </c>
      <c r="AI63" s="16">
        <f t="shared" si="37"/>
        <v>0</v>
      </c>
      <c r="AJ63" s="16">
        <f t="shared" si="39"/>
        <v>1</v>
      </c>
      <c r="AK63" s="16">
        <f t="shared" si="36"/>
        <v>0</v>
      </c>
      <c r="AL63" s="16">
        <f>Constants!$B$44</f>
        <v>1.03</v>
      </c>
      <c r="AM63" s="16">
        <f>Constants!$B$41</f>
        <v>3.0539999999999998</v>
      </c>
      <c r="AN63" s="16">
        <f>Constants!$B$42</f>
        <v>18.399999999999999</v>
      </c>
      <c r="AO63" s="16">
        <f>Constants!$B$43</f>
        <v>0.6</v>
      </c>
      <c r="AP63" s="16">
        <f t="shared" si="13"/>
        <v>0.5948500000000001</v>
      </c>
      <c r="AQ63" s="16">
        <f t="shared" si="14"/>
        <v>0</v>
      </c>
      <c r="AR63" s="16">
        <f>IF(Y63="milkingCows", Constants!$P$2, Constants!$P$3)</f>
        <v>1</v>
      </c>
      <c r="AS63" s="16">
        <f t="shared" si="15"/>
        <v>5.4143472656250013</v>
      </c>
      <c r="AT63" s="16">
        <f t="shared" si="16"/>
        <v>1.2576570545672616</v>
      </c>
      <c r="AU63" s="16">
        <f>_xlfn.XLOOKUP(Y63, Constants!$B$13:$H$13, Constants!$B$14:$H$14, "")</f>
        <v>770</v>
      </c>
      <c r="AV63" s="16">
        <f t="shared" si="17"/>
        <v>0.29220779220779219</v>
      </c>
      <c r="AW63" s="16">
        <f>Constants!$B$55</f>
        <v>6.25</v>
      </c>
      <c r="AX63" s="16">
        <f t="shared" si="27"/>
        <v>1.9757354894894084E-2</v>
      </c>
      <c r="AY63" s="16">
        <f t="shared" si="28"/>
        <v>1.0828694531250003</v>
      </c>
      <c r="AZ63" s="16">
        <f t="shared" si="18"/>
        <v>0.15247929000170721</v>
      </c>
      <c r="BA63" s="16" t="str">
        <f>IF(ISNUMBER(FIND("PreWeaned",Y63)),_xlfn.XLOOKUP(Y63,Constants!$J$2:$J$3,Constants!$M$2:$M$3),"")</f>
        <v/>
      </c>
      <c r="BB63" s="16">
        <f t="shared" si="29"/>
        <v>8965.7822521003836</v>
      </c>
      <c r="BC63" s="16">
        <f t="shared" si="30"/>
        <v>0</v>
      </c>
      <c r="BD63" s="16">
        <f t="shared" si="31"/>
        <v>0</v>
      </c>
      <c r="BE63" s="16">
        <f t="shared" si="32"/>
        <v>0</v>
      </c>
      <c r="BF63" s="16">
        <f t="shared" si="33"/>
        <v>0</v>
      </c>
      <c r="BG63" s="16">
        <f t="shared" si="34"/>
        <v>8965.7822521003836</v>
      </c>
      <c r="BH63" s="16">
        <f>Constants!$C$19</f>
        <v>0</v>
      </c>
      <c r="BI63" s="16">
        <f>Constants!$C$20</f>
        <v>0</v>
      </c>
      <c r="BJ63" s="16">
        <f>Constants!$C$21</f>
        <v>0</v>
      </c>
      <c r="BK63" s="16">
        <f>Constants!$C$22</f>
        <v>5.0000000000000001E-3</v>
      </c>
      <c r="BL63" s="16">
        <f>Constants!$C$23</f>
        <v>0</v>
      </c>
      <c r="BM63" s="16">
        <f>Constants!$B$50</f>
        <v>1.57</v>
      </c>
      <c r="BN63" s="16">
        <f>_xlfn.XLOOKUP(D63,Constants!$A$34:$A$35,Constants!$B$34:$B$35)</f>
        <v>2E-3</v>
      </c>
      <c r="BO63" s="16">
        <f t="shared" si="40"/>
        <v>0</v>
      </c>
      <c r="BP63" s="16">
        <f t="shared" si="40"/>
        <v>0</v>
      </c>
      <c r="BQ63" s="16">
        <f t="shared" si="40"/>
        <v>0</v>
      </c>
      <c r="BR63" s="16">
        <f t="shared" si="40"/>
        <v>0</v>
      </c>
      <c r="BS63" s="16">
        <f t="shared" si="40"/>
        <v>0</v>
      </c>
      <c r="BT63" s="16">
        <f t="shared" si="20"/>
        <v>28.152556271595206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D34C-A9D9-4449-958F-F57BB835DA68}">
  <dimension ref="A3:BX63"/>
  <sheetViews>
    <sheetView topLeftCell="AL16" workbookViewId="0">
      <selection activeCell="AZ8" sqref="AZ8:AZ63"/>
    </sheetView>
  </sheetViews>
  <sheetFormatPr baseColWidth="10" defaultRowHeight="16" x14ac:dyDescent="0.2"/>
  <sheetData>
    <row r="3" spans="1:76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  <c r="AZ3">
        <f>(AY8/AW8)</f>
        <v>0.52605918859089273</v>
      </c>
    </row>
    <row r="5" spans="1:76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  <c r="AW5" t="s">
        <v>165</v>
      </c>
    </row>
    <row r="6" spans="1:76" x14ac:dyDescent="0.2">
      <c r="U6" t="s">
        <v>132</v>
      </c>
      <c r="V6" t="s">
        <v>132</v>
      </c>
      <c r="W6" t="s">
        <v>80</v>
      </c>
      <c r="AK6" t="s">
        <v>80</v>
      </c>
    </row>
    <row r="7" spans="1:76" s="16" customFormat="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129</v>
      </c>
      <c r="U7" s="10" t="s">
        <v>82</v>
      </c>
      <c r="V7" s="10" t="s">
        <v>83</v>
      </c>
      <c r="W7" s="10" t="s">
        <v>79</v>
      </c>
      <c r="X7" s="10"/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  <c r="AF7" s="10" t="s">
        <v>67</v>
      </c>
      <c r="AG7" s="10" t="s">
        <v>68</v>
      </c>
      <c r="AH7" s="10" t="s">
        <v>69</v>
      </c>
      <c r="AI7" s="10" t="s">
        <v>70</v>
      </c>
      <c r="AJ7" s="10" t="s">
        <v>138</v>
      </c>
      <c r="AK7" s="10" t="s">
        <v>134</v>
      </c>
      <c r="AL7" s="10"/>
      <c r="AM7" s="10" t="s">
        <v>124</v>
      </c>
      <c r="AN7" s="10" t="s">
        <v>125</v>
      </c>
      <c r="AO7" s="10" t="s">
        <v>127</v>
      </c>
      <c r="AP7" s="10" t="s">
        <v>136</v>
      </c>
      <c r="AQ7" s="10" t="s">
        <v>137</v>
      </c>
      <c r="AR7" s="10" t="s">
        <v>98</v>
      </c>
      <c r="AS7" s="10" t="s">
        <v>97</v>
      </c>
      <c r="AT7" s="10" t="s">
        <v>160</v>
      </c>
      <c r="AU7" s="10" t="s">
        <v>161</v>
      </c>
      <c r="AV7" s="10" t="s">
        <v>162</v>
      </c>
      <c r="AW7" s="10"/>
      <c r="AX7" s="10" t="s">
        <v>88</v>
      </c>
      <c r="AY7" s="10" t="s">
        <v>163</v>
      </c>
      <c r="AZ7" s="10" t="s">
        <v>166</v>
      </c>
      <c r="BA7" s="10" t="s">
        <v>118</v>
      </c>
      <c r="BB7" s="10" t="s">
        <v>167</v>
      </c>
      <c r="BC7" s="10" t="s">
        <v>168</v>
      </c>
      <c r="BD7" s="10" t="s">
        <v>171</v>
      </c>
      <c r="BE7" s="10" t="s">
        <v>172</v>
      </c>
      <c r="BF7" s="10" t="s">
        <v>169</v>
      </c>
      <c r="BG7" s="10" t="s">
        <v>170</v>
      </c>
      <c r="BH7" s="10" t="s">
        <v>184</v>
      </c>
      <c r="BI7" s="10" t="s">
        <v>185</v>
      </c>
      <c r="BJ7" s="10" t="s">
        <v>186</v>
      </c>
      <c r="BK7" s="10" t="s">
        <v>187</v>
      </c>
      <c r="BL7" s="10" t="s">
        <v>188</v>
      </c>
      <c r="BM7" s="10" t="s">
        <v>197</v>
      </c>
      <c r="BN7" s="10" t="s">
        <v>117</v>
      </c>
      <c r="BO7" s="10" t="s">
        <v>89</v>
      </c>
      <c r="BP7" s="15" t="s">
        <v>189</v>
      </c>
      <c r="BQ7" s="15" t="s">
        <v>190</v>
      </c>
      <c r="BR7" s="15" t="s">
        <v>191</v>
      </c>
      <c r="BS7" s="15" t="s">
        <v>192</v>
      </c>
      <c r="BT7" s="15" t="s">
        <v>193</v>
      </c>
      <c r="BU7" s="15" t="s">
        <v>198</v>
      </c>
      <c r="BV7" s="15" t="s">
        <v>195</v>
      </c>
      <c r="BW7" s="15" t="s">
        <v>199</v>
      </c>
      <c r="BX7" s="15" t="s">
        <v>194</v>
      </c>
    </row>
    <row r="8" spans="1:76" x14ac:dyDescent="0.2">
      <c r="A8" t="str">
        <f>'Input Scenarios'!A8</f>
        <v>NSW</v>
      </c>
      <c r="B8">
        <f>'Input Scenarios'!B8</f>
        <v>0</v>
      </c>
      <c r="C8" t="str">
        <f>'Input Scenarios'!C8</f>
        <v>Non-irrigated pasture</v>
      </c>
      <c r="D8" t="str">
        <f>'Input Scenarios'!D8</f>
        <v>wet</v>
      </c>
      <c r="E8" t="b">
        <f>'Input Scenarios'!E8</f>
        <v>0</v>
      </c>
      <c r="F8" t="str">
        <f>'Input Scenarios'!F8</f>
        <v>Limited grazing</v>
      </c>
      <c r="G8">
        <f>IF('Input Scenarios'!G8&lt;&gt;"", 'Input Scenarios'!G8, _xlfn.XLOOKUP($F8, Constants!$M$6:$M$9,Constants!N$6:N$9))</f>
        <v>0.53400000000000003</v>
      </c>
      <c r="H8">
        <f>IF('Input Scenarios'!H8&lt;&gt;"", 'Input Scenarios'!H8, _xlfn.XLOOKUP($F8, Constants!$M$6:$M$9,Constants!O$6:O$9))</f>
        <v>0.11</v>
      </c>
      <c r="I8">
        <f>IF('Input Scenarios'!I8&lt;&gt;"", 'Input Scenarios'!I8, _xlfn.XLOOKUP($F8, Constants!$M$6:$M$9,Constants!P$6:P$9))</f>
        <v>0.35599999999999998</v>
      </c>
      <c r="J8">
        <f>'Input Scenarios'!J8</f>
        <v>0.25</v>
      </c>
      <c r="K8">
        <f>'Input Scenarios'!K8</f>
        <v>0.25</v>
      </c>
      <c r="L8">
        <f>'Input Scenarios'!L8</f>
        <v>0.25</v>
      </c>
      <c r="M8">
        <f>'Input Scenarios'!M8</f>
        <v>0.25</v>
      </c>
      <c r="N8">
        <f>'Input Scenarios'!N8</f>
        <v>0.25</v>
      </c>
      <c r="O8">
        <f>'Input Scenarios'!O8</f>
        <v>0.25</v>
      </c>
      <c r="P8">
        <f>'Input Scenarios'!P8</f>
        <v>0.25</v>
      </c>
      <c r="Q8">
        <f>'Input Scenarios'!Q8</f>
        <v>0.25</v>
      </c>
      <c r="R8" t="b">
        <f>'Input Scenarios'!R8</f>
        <v>1</v>
      </c>
      <c r="S8">
        <f>IF('Input Scenarios'!S8&lt;&gt;"", 'Input Scenarios'!S8, IF(R8, Constants!$B$38, 0))</f>
        <v>0.2</v>
      </c>
      <c r="T8" t="str">
        <f>IF('Input Scenarios'!T8&lt;&gt;"", 'Input Scenarios'!T8, "")</f>
        <v/>
      </c>
      <c r="U8" t="str">
        <f>IF('Input Scenarios'!U8&lt;&gt;"", 'Input Scenarios'!U8, IF(W8&lt;&gt;"", "", Constants!$B$39))</f>
        <v/>
      </c>
      <c r="V8" t="str">
        <f>IF('Input Scenarios'!V8&lt;&gt;"", 'Input Scenarios'!V8, IF(W8&lt;&gt;"", "", Constants!$B$40))</f>
        <v/>
      </c>
      <c r="W8">
        <f>IF('Input Scenarios'!W8&lt;&gt;"", 'Input Scenarios'!W8, "")</f>
        <v>15</v>
      </c>
      <c r="X8" t="str">
        <f>'Input Scenarios'!X8</f>
        <v>Medium Friesian</v>
      </c>
      <c r="Y8" t="str">
        <f>'Input Scenarios'!Y8</f>
        <v>milkingCows</v>
      </c>
      <c r="Z8">
        <f>'Input Scenarios'!Z8</f>
        <v>200</v>
      </c>
      <c r="AA8">
        <f>IF('Input Scenarios'!AA8&lt;&gt;"", 'Input Scenarios'!AA8, _xlfn.XLOOKUP(Y8,Constants!$J$6:$J$12,Constants!$K$6:$K$12))</f>
        <v>365</v>
      </c>
      <c r="AB8">
        <f>IF('Input Scenarios'!AB8&lt;&gt;"", 'Input Scenarios'!AB8, INDEX(Constants!$B$2:$H$11, MATCH(X8, Constants!$A$2:$A$11, 0), MATCH(Y8,Constants!$B$1:$H$1, 0)))</f>
        <v>550</v>
      </c>
      <c r="AC8">
        <f>IF('Input Scenarios'!AC8&lt;&gt;"", 'Input Scenarios'!AC8, _xlfn.XLOOKUP(Y8, Constants!$B$13:$H$13, Constants!$B$15:$H$15, ""))</f>
        <v>1.6E-2</v>
      </c>
      <c r="AD8">
        <f>IF('Input Scenarios'!AD8&lt;&gt;"", 'Input Scenarios'!AD8, Constants!$B$45)</f>
        <v>0.75</v>
      </c>
      <c r="AE8">
        <f>IF('Input Scenarios'!AE8&lt;&gt;"", 'Input Scenarios'!AE8, Constants!$B$46)</f>
        <v>0.2</v>
      </c>
      <c r="AF8" s="20">
        <f>IF($Y8="milkingCows",($H8*J8)+($I8*N8), 0)</f>
        <v>0.11649999999999999</v>
      </c>
      <c r="AG8" s="20">
        <f t="shared" ref="AG8:AI23" si="0">IF($Y8="milkingCows",($H8*K8)+($I8*O8), 0)</f>
        <v>0.11649999999999999</v>
      </c>
      <c r="AH8" s="20">
        <f t="shared" si="0"/>
        <v>0.11649999999999999</v>
      </c>
      <c r="AI8" s="20">
        <f t="shared" si="0"/>
        <v>0.11649999999999999</v>
      </c>
      <c r="AJ8" s="20">
        <f>IF($Y8="milkingCows",G8, 1)</f>
        <v>0.53400000000000003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0.5948500000000001</v>
      </c>
      <c r="AQ8">
        <f>(AK8*AL8*AM8)/(AN8*AO8*AP8)</f>
        <v>7.1849041227053947</v>
      </c>
      <c r="AR8">
        <f>IF(Y8="milkingCows", Constants!$P$2, Constants!$P$3)</f>
        <v>1.1000000000000001</v>
      </c>
      <c r="AS8">
        <f>IFERROR(((1.185+(0.00454*AB8)-(0.0000026*(AB8^2))+(0.315*AC8))^2*AR8+AQ8), "")</f>
        <v>16.439349643465398</v>
      </c>
      <c r="AT8">
        <f>IFERROR(((1.185+(0.00454*AB8)-(0.0000026*(AB8^2))+(0.315*AC8))^2*AR8+AQ8)/((1.185+(0.00454*AB8)-(0.0000026*(AB8^2)))^2*AR8+AQ8), "")</f>
        <v>1.0019584824738763</v>
      </c>
      <c r="AU8">
        <f>_xlfn.XLOOKUP(Y8, Constants!$B$13:$H$13, Constants!$B$14:$H$14, "")</f>
        <v>590</v>
      </c>
      <c r="AV8">
        <f>IFERROR(AB8/AU8, "")</f>
        <v>0.93220338983050843</v>
      </c>
      <c r="AW8">
        <f>Constants!$B$55</f>
        <v>6.25</v>
      </c>
      <c r="AX8" s="20">
        <f t="shared" ref="AX8:AX39" si="1">IFERROR((((0.212-(0.008*(AT8-2)) - (0.14-0.008*(AT8-2))/(1+EXP(-6*(AV8-0.4)))) * AC8 * 0.92)/AW8) + (0.032*AK8*AL8)/6.38, "")</f>
        <v>7.7675477144195801E-2</v>
      </c>
      <c r="AY8">
        <f t="shared" ref="AY8:AY39" si="2">IFERROR(AE8*AS8, "")</f>
        <v>3.2878699286930799</v>
      </c>
      <c r="AZ8">
        <f>IF(ISNUMBER(FIND("PreWeaned",Y8)),"", MAX((AY8/AW8)-AX8-(((1.1*10^-4)*(AB8^0.75))/AW8), 0))</f>
        <v>0.44638484082535895</v>
      </c>
      <c r="BA8" t="str">
        <f>IF(ISNUMBER(FIND("PreWeaned",Y8)),_xlfn.XLOOKUP(Y8,Constants!$J$2:$J$3,Constants!$M$2:$M$3),"")</f>
        <v/>
      </c>
      <c r="BB8">
        <f t="shared" ref="BB8:BB39" si="3">SUM(AZ8:BA8)*Z8*AA8</f>
        <v>32586.093380251205</v>
      </c>
      <c r="BC8">
        <f t="shared" ref="BC8:BC39" si="4">$BB8*AF8</f>
        <v>3796.2798787992651</v>
      </c>
      <c r="BD8">
        <f t="shared" ref="BD8:BD39" si="5">$BB8*AG8</f>
        <v>3796.2798787992651</v>
      </c>
      <c r="BE8">
        <f t="shared" ref="BE8:BE39" si="6">$BB8*AH8</f>
        <v>3796.2798787992651</v>
      </c>
      <c r="BF8">
        <f t="shared" ref="BF8:BF39" si="7">$BB8*AI8</f>
        <v>3796.2798787992651</v>
      </c>
      <c r="BG8">
        <f t="shared" ref="BG8:BG39" si="8">$BB8*AJ8</f>
        <v>17400.973865054144</v>
      </c>
      <c r="BH8">
        <f>Constants!$D$19</f>
        <v>0.35</v>
      </c>
      <c r="BI8">
        <f>Constants!$D$20</f>
        <v>7.0000000000000007E-2</v>
      </c>
      <c r="BJ8">
        <f>Constants!$D$21</f>
        <v>0.2</v>
      </c>
      <c r="BK8">
        <f>Constants!$D$22</f>
        <v>0.3</v>
      </c>
      <c r="BL8">
        <f>Constants!$D$23</f>
        <v>0</v>
      </c>
      <c r="BM8">
        <f>Constants!$B$51</f>
        <v>0.21</v>
      </c>
      <c r="BN8">
        <f>Constants!$B$50</f>
        <v>1.57</v>
      </c>
      <c r="BO8">
        <f>_xlfn.XLOOKUP(C8,Constants!$A$27:$A$31,Constants!$B$27:$B$31)</f>
        <v>1.8E-3</v>
      </c>
      <c r="BP8">
        <f>BC8*BH8</f>
        <v>1328.6979575797427</v>
      </c>
      <c r="BQ8">
        <f t="shared" ref="BQ8:BT8" si="9">BD8*BI8</f>
        <v>265.73959151594858</v>
      </c>
      <c r="BR8">
        <f t="shared" si="9"/>
        <v>759.25597575985307</v>
      </c>
      <c r="BS8">
        <f t="shared" si="9"/>
        <v>1138.8839636397795</v>
      </c>
      <c r="BT8">
        <f t="shared" si="9"/>
        <v>0</v>
      </c>
      <c r="BU8">
        <f>BG8*BM8</f>
        <v>3654.2045116613699</v>
      </c>
      <c r="BV8">
        <f>SUM(BP8:BS8)*BO8*BN8</f>
        <v>9.8700239824877869</v>
      </c>
      <c r="BW8">
        <f>BU8*BO8*BN8</f>
        <v>10.326781949955032</v>
      </c>
      <c r="BX8">
        <f>SUM(BV8:BW14)/1000</f>
        <v>5.1498210517136836E-2</v>
      </c>
    </row>
    <row r="9" spans="1:76" x14ac:dyDescent="0.2">
      <c r="A9" t="str">
        <f>'Input Scenarios'!A9</f>
        <v>NSW</v>
      </c>
      <c r="B9">
        <f>'Input Scenarios'!B9</f>
        <v>0</v>
      </c>
      <c r="C9" t="str">
        <f>'Input Scenarios'!C9</f>
        <v>Non-irrigated pasture</v>
      </c>
      <c r="D9" t="str">
        <f>'Input Scenarios'!D9</f>
        <v>wet</v>
      </c>
      <c r="E9" t="b">
        <f>'Input Scenarios'!E9</f>
        <v>0</v>
      </c>
      <c r="F9" t="str">
        <f>'Input Scenarios'!F9</f>
        <v>Limited grazing</v>
      </c>
      <c r="G9">
        <f>IF('Input Scenarios'!G9&lt;&gt;"", 'Input Scenarios'!G9, _xlfn.XLOOKUP($F9, Constants!$M$6:$M$9,Constants!N$6:N$9))</f>
        <v>0.53400000000000003</v>
      </c>
      <c r="H9">
        <f>IF('Input Scenarios'!H9&lt;&gt;"", 'Input Scenarios'!H9, _xlfn.XLOOKUP($F9, Constants!$M$6:$M$9,Constants!O$6:O$9))</f>
        <v>0.11</v>
      </c>
      <c r="I9">
        <f>IF('Input Scenarios'!I9&lt;&gt;"", 'Input Scenarios'!I9, _xlfn.XLOOKUP($F9, Constants!$M$6:$M$9,Constants!P$6:P$9))</f>
        <v>0.35599999999999998</v>
      </c>
      <c r="J9">
        <f>'Input Scenarios'!J9</f>
        <v>0.25</v>
      </c>
      <c r="K9">
        <f>'Input Scenarios'!K9</f>
        <v>0.25</v>
      </c>
      <c r="L9">
        <f>'Input Scenarios'!L9</f>
        <v>0.25</v>
      </c>
      <c r="M9">
        <f>'Input Scenarios'!M9</f>
        <v>0.25</v>
      </c>
      <c r="N9">
        <f>'Input Scenarios'!N9</f>
        <v>0.25</v>
      </c>
      <c r="O9">
        <f>'Input Scenarios'!O9</f>
        <v>0.25</v>
      </c>
      <c r="P9">
        <f>'Input Scenarios'!P9</f>
        <v>0.25</v>
      </c>
      <c r="Q9">
        <f>'Input Scenarios'!Q9</f>
        <v>0.25</v>
      </c>
      <c r="R9" t="b">
        <f>'Input Scenarios'!R9</f>
        <v>1</v>
      </c>
      <c r="S9">
        <f>IF('Input Scenarios'!S9&lt;&gt;"", 'Input Scenarios'!S9, IF(R9, Constants!$B$38, 0))</f>
        <v>0.2</v>
      </c>
      <c r="T9" t="str">
        <f>IF('Input Scenarios'!T9&lt;&gt;"", 'Input Scenarios'!T9, "")</f>
        <v/>
      </c>
      <c r="U9">
        <f>IF('Input Scenarios'!U9&lt;&gt;"", 'Input Scenarios'!U9, IF(W9&lt;&gt;"", "", Constants!$B$39))</f>
        <v>4</v>
      </c>
      <c r="V9">
        <f>IF('Input Scenarios'!V9&lt;&gt;"", 'Input Scenarios'!V9, IF(W9&lt;&gt;"", "", Constants!$B$40))</f>
        <v>3.3</v>
      </c>
      <c r="W9" t="str">
        <f>IF('Input Scenarios'!W9&lt;&gt;"", 'Input Scenarios'!W9, "")</f>
        <v/>
      </c>
      <c r="X9" t="str">
        <f>'Input Scenarios'!X9</f>
        <v>Medium Friesian</v>
      </c>
      <c r="Y9" t="str">
        <f>'Input Scenarios'!Y9</f>
        <v>heifersGt1</v>
      </c>
      <c r="Z9">
        <f>'Input Scenarios'!Z9</f>
        <v>200</v>
      </c>
      <c r="AA9">
        <f>IF('Input Scenarios'!AA9&lt;&gt;"", 'Input Scenarios'!AA9, _xlfn.XLOOKUP(Y9,Constants!$J$6:$J$12,Constants!$K$6:$K$12))</f>
        <v>365</v>
      </c>
      <c r="AB9">
        <f>IF('Input Scenarios'!AB9&lt;&gt;"", 'Input Scenarios'!AB9, INDEX(Constants!$B$2:$H$11, MATCH(X9, Constants!$A$2:$A$11, 0), MATCH(Y9,Constants!$B$1:$H$1, 0)))</f>
        <v>380</v>
      </c>
      <c r="AC9">
        <f>IF('Input Scenarios'!AC9&lt;&gt;"", 'Input Scenarios'!AC9, _xlfn.XLOOKUP(Y9, Constants!$B$13:$H$13, Constants!$B$15:$H$15, ""))</f>
        <v>0.6</v>
      </c>
      <c r="AD9">
        <f>IF('Input Scenarios'!AD9&lt;&gt;"", 'Input Scenarios'!AD9, Constants!$B$45)</f>
        <v>0.75</v>
      </c>
      <c r="AE9">
        <f>IF('Input Scenarios'!AE9&lt;&gt;"", 'Input Scenarios'!AE9, Constants!$B$46)</f>
        <v>0.2</v>
      </c>
      <c r="AF9">
        <f t="shared" ref="AF9:AI24" si="10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11">IF($Y9="milkingCows",G9, 1)</f>
        <v>1</v>
      </c>
      <c r="AK9">
        <f t="shared" ref="AK9:AK13" si="12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14" si="13">0.795*(AD9)-0.0014</f>
        <v>0.5948500000000001</v>
      </c>
      <c r="AQ9">
        <f t="shared" ref="AQ9:AQ14" si="14">(AK9*AL9*AM9)/(AN9*AO9*AP9)</f>
        <v>0</v>
      </c>
      <c r="AR9">
        <f>IF(Y9="milkingCows", Constants!$P$2, Constants!$P$3)</f>
        <v>1</v>
      </c>
      <c r="AS9">
        <f t="shared" ref="AS9:AS14" si="15">IFERROR(((1.185+(0.00454*AB9)-(0.0000026*(AB9^2))+(0.315*AC9))^2*AR9+AQ9), "")</f>
        <v>7.4188685375999972</v>
      </c>
      <c r="AT9">
        <f t="shared" ref="AT9:AT14" si="16">IFERROR(((1.185+(0.00454*AB9)-(0.0000026*(AB9^2))+(0.315*AC9))^2*AR9+AQ9)/((1.185+(0.00454*AB9)-(0.0000026*(AB9^2)))^2*AR9+AQ9), "")</f>
        <v>1.1546862260954116</v>
      </c>
      <c r="AU9">
        <f>_xlfn.XLOOKUP(Y9, Constants!$B$13:$H$13, Constants!$B$14:$H$14, "")</f>
        <v>590</v>
      </c>
      <c r="AV9">
        <f t="shared" ref="AV9:AV14" si="17">IFERROR(AB9/AU9, "")</f>
        <v>0.64406779661016944</v>
      </c>
      <c r="AW9">
        <f>Constants!$B$55</f>
        <v>6.25</v>
      </c>
      <c r="AX9">
        <f t="shared" si="1"/>
        <v>8.7932411900846167E-3</v>
      </c>
      <c r="AY9">
        <f t="shared" si="2"/>
        <v>1.4837737075199995</v>
      </c>
      <c r="AZ9">
        <f t="shared" ref="AZ9:AZ63" si="18">IF(ISNUMBER(FIND("PreWeaned",Y9)),"", MAX((AY9/AW9)-AX9-(((1.1*10^-4)*(AB9^0.75))/AW9), 0))</f>
        <v>0.22709576921272823</v>
      </c>
      <c r="BA9" t="str">
        <f>IF(ISNUMBER(FIND("PreWeaned",Y9)),_xlfn.XLOOKUP(Y9,Constants!$J$2:$J$3,Constants!$M$2:$M$3),"")</f>
        <v/>
      </c>
      <c r="BB9">
        <f t="shared" si="3"/>
        <v>16577.991152529161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16577.991152529161</v>
      </c>
      <c r="BH9">
        <f>Constants!$D$19</f>
        <v>0.35</v>
      </c>
      <c r="BI9">
        <f>Constants!$D$20</f>
        <v>7.0000000000000007E-2</v>
      </c>
      <c r="BJ9">
        <f>Constants!$D$21</f>
        <v>0.2</v>
      </c>
      <c r="BK9">
        <f>Constants!$D$22</f>
        <v>0.3</v>
      </c>
      <c r="BL9">
        <f>Constants!$D$23</f>
        <v>0</v>
      </c>
      <c r="BM9">
        <f>Constants!$B$51</f>
        <v>0.21</v>
      </c>
      <c r="BN9">
        <f>Constants!$B$50</f>
        <v>1.57</v>
      </c>
      <c r="BO9">
        <f>_xlfn.XLOOKUP(C9,Constants!$A$27:$A$31,Constants!$B$27:$B$31)</f>
        <v>1.8E-3</v>
      </c>
      <c r="BP9">
        <f t="shared" ref="BP9:BP14" si="19">BC9*BH9</f>
        <v>0</v>
      </c>
      <c r="BQ9">
        <f t="shared" ref="BQ9:BQ14" si="20">BD9*BI9</f>
        <v>0</v>
      </c>
      <c r="BR9">
        <f t="shared" ref="BR9:BR14" si="21">BE9*BJ9</f>
        <v>0</v>
      </c>
      <c r="BS9">
        <f t="shared" ref="BS9:BS14" si="22">BF9*BK9</f>
        <v>0</v>
      </c>
      <c r="BT9">
        <f t="shared" ref="BT9:BT14" si="23">BG9*BL9</f>
        <v>0</v>
      </c>
      <c r="BU9">
        <f t="shared" ref="BU9:BU14" si="24">BG9*BM9</f>
        <v>3481.3781420311238</v>
      </c>
      <c r="BV9">
        <f t="shared" ref="BV9:BV14" si="25">SUM(BP9:BS9)*BO9*BN9</f>
        <v>0</v>
      </c>
      <c r="BW9">
        <f t="shared" ref="BW9:BW14" si="26">BU9*BO9*BN9</f>
        <v>9.8383746293799561</v>
      </c>
    </row>
    <row r="10" spans="1:76" x14ac:dyDescent="0.2">
      <c r="A10" t="str">
        <f>'Input Scenarios'!A10</f>
        <v>NSW</v>
      </c>
      <c r="B10">
        <f>'Input Scenarios'!B10</f>
        <v>0</v>
      </c>
      <c r="C10" t="str">
        <f>'Input Scenarios'!C10</f>
        <v>Non-irrigated pasture</v>
      </c>
      <c r="D10" t="str">
        <f>'Input Scenarios'!D10</f>
        <v>wet</v>
      </c>
      <c r="E10" t="b">
        <f>'Input Scenarios'!E10</f>
        <v>0</v>
      </c>
      <c r="F10" t="str">
        <f>'Input Scenarios'!F10</f>
        <v>Limited grazing</v>
      </c>
      <c r="G10">
        <f>IF('Input Scenarios'!G10&lt;&gt;"", 'Input Scenarios'!G10, _xlfn.XLOOKUP($F10, Constants!$M$6:$M$9,Constants!N$6:N$9))</f>
        <v>0.53400000000000003</v>
      </c>
      <c r="H10">
        <f>IF('Input Scenarios'!H10&lt;&gt;"", 'Input Scenarios'!H10, _xlfn.XLOOKUP($F10, Constants!$M$6:$M$9,Constants!O$6:O$9))</f>
        <v>0.11</v>
      </c>
      <c r="I10">
        <f>IF('Input Scenarios'!I10&lt;&gt;"", 'Input Scenarios'!I10, _xlfn.XLOOKUP($F10, Constants!$M$6:$M$9,Constants!P$6:P$9))</f>
        <v>0.35599999999999998</v>
      </c>
      <c r="J10">
        <f>'Input Scenarios'!J10</f>
        <v>0.25</v>
      </c>
      <c r="K10">
        <f>'Input Scenarios'!K10</f>
        <v>0.25</v>
      </c>
      <c r="L10">
        <f>'Input Scenarios'!L10</f>
        <v>0.25</v>
      </c>
      <c r="M10">
        <f>'Input Scenarios'!M10</f>
        <v>0.25</v>
      </c>
      <c r="N10">
        <f>'Input Scenarios'!N10</f>
        <v>0.25</v>
      </c>
      <c r="O10">
        <f>'Input Scenarios'!O10</f>
        <v>0.25</v>
      </c>
      <c r="P10">
        <f>'Input Scenarios'!P10</f>
        <v>0.25</v>
      </c>
      <c r="Q10">
        <f>'Input Scenarios'!Q10</f>
        <v>0.25</v>
      </c>
      <c r="R10" t="b">
        <f>'Input Scenarios'!R10</f>
        <v>1</v>
      </c>
      <c r="S10">
        <f>IF('Input Scenarios'!S10&lt;&gt;"", 'Input Scenarios'!S10, IF(R10, Constants!$B$38, 0))</f>
        <v>0.2</v>
      </c>
      <c r="T10" t="str">
        <f>IF('Input Scenarios'!T10&lt;&gt;"", 'Input Scenarios'!T10, "")</f>
        <v/>
      </c>
      <c r="U10">
        <f>IF('Input Scenarios'!U10&lt;&gt;"", 'Input Scenarios'!U10, IF(W10&lt;&gt;"", "", Constants!$B$39))</f>
        <v>4</v>
      </c>
      <c r="V10">
        <f>IF('Input Scenarios'!V10&lt;&gt;"", 'Input Scenarios'!V10, IF(W10&lt;&gt;"", "", Constants!$B$40))</f>
        <v>3.3</v>
      </c>
      <c r="W10" t="str">
        <f>IF('Input Scenarios'!W10&lt;&gt;"", 'Input Scenarios'!W10, "")</f>
        <v/>
      </c>
      <c r="X10" t="str">
        <f>'Input Scenarios'!X10</f>
        <v>Medium Friesian</v>
      </c>
      <c r="Y10" t="str">
        <f>'Input Scenarios'!Y10</f>
        <v>heifersLt1PreWeaned</v>
      </c>
      <c r="Z10">
        <f>'Input Scenarios'!Z10</f>
        <v>200</v>
      </c>
      <c r="AA10">
        <f>IF('Input Scenarios'!AA10&lt;&gt;"", 'Input Scenarios'!AA10, _xlfn.XLOOKUP(Y10,Constants!$J$6:$J$12,Constants!$K$6:$K$12))</f>
        <v>84</v>
      </c>
      <c r="AB10">
        <f>IF('Input Scenarios'!AB10&lt;&gt;"", 'Input Scenarios'!AB10, INDEX(Constants!$B$2:$H$11, MATCH(X10, Constants!$A$2:$A$11, 0), MATCH(Y10,Constants!$B$1:$H$1, 0)))</f>
        <v>155</v>
      </c>
      <c r="AC10" t="str">
        <f>IF('Input Scenarios'!AC10&lt;&gt;"", 'Input Scenarios'!AC10, _xlfn.XLOOKUP(Y10, Constants!$B$13:$H$13, Constants!$B$15:$H$15, ""))</f>
        <v/>
      </c>
      <c r="AD10">
        <f>IF('Input Scenarios'!AD10&lt;&gt;"", 'Input Scenarios'!AD10, Constants!$B$45)</f>
        <v>0.75</v>
      </c>
      <c r="AE10">
        <f>IF('Input Scenarios'!AE10&lt;&gt;"", 'Input Scenarios'!AE10, Constants!$B$46)</f>
        <v>0.2</v>
      </c>
      <c r="AF10">
        <f t="shared" si="1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11"/>
        <v>1</v>
      </c>
      <c r="AK10">
        <f t="shared" si="12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13"/>
        <v>0.5948500000000001</v>
      </c>
      <c r="AQ10">
        <f t="shared" si="14"/>
        <v>0</v>
      </c>
      <c r="AR10">
        <f>IF(Y10="milkingCows", Constants!$P$2, Constants!$P$3)</f>
        <v>1</v>
      </c>
      <c r="AS10" t="str">
        <f t="shared" si="15"/>
        <v/>
      </c>
      <c r="AT10" t="str">
        <f t="shared" si="16"/>
        <v/>
      </c>
      <c r="AU10" t="str">
        <f>_xlfn.XLOOKUP(Y10, Constants!$B$13:$H$13, Constants!$B$14:$H$14, "")</f>
        <v/>
      </c>
      <c r="AV10" t="str">
        <f t="shared" si="17"/>
        <v/>
      </c>
      <c r="AW10">
        <f>Constants!$B$55</f>
        <v>6.25</v>
      </c>
      <c r="AX10" t="str">
        <f t="shared" si="1"/>
        <v/>
      </c>
      <c r="AY10" t="str">
        <f t="shared" si="2"/>
        <v/>
      </c>
      <c r="AZ10" t="str">
        <f t="shared" si="18"/>
        <v/>
      </c>
      <c r="BA10">
        <f>IF(ISNUMBER(FIND("PreWeaned",Y10)),_xlfn.XLOOKUP(Y10,Constants!$J$2:$J$3,Constants!$M$2:$M$3),"")</f>
        <v>1.37E-2</v>
      </c>
      <c r="BB10">
        <f t="shared" si="3"/>
        <v>230.16000000000003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230.16000000000003</v>
      </c>
      <c r="BH10">
        <f>Constants!$D$19</f>
        <v>0.35</v>
      </c>
      <c r="BI10">
        <f>Constants!$D$20</f>
        <v>7.0000000000000007E-2</v>
      </c>
      <c r="BJ10">
        <f>Constants!$D$21</f>
        <v>0.2</v>
      </c>
      <c r="BK10">
        <f>Constants!$D$22</f>
        <v>0.3</v>
      </c>
      <c r="BL10">
        <f>Constants!$D$23</f>
        <v>0</v>
      </c>
      <c r="BM10">
        <f>Constants!$B$51</f>
        <v>0.21</v>
      </c>
      <c r="BN10">
        <f>Constants!$B$50</f>
        <v>1.57</v>
      </c>
      <c r="BO10">
        <f>_xlfn.XLOOKUP(C10,Constants!$A$27:$A$31,Constants!$B$27:$B$31)</f>
        <v>1.8E-3</v>
      </c>
      <c r="BP10">
        <f t="shared" si="19"/>
        <v>0</v>
      </c>
      <c r="BQ10">
        <f t="shared" si="20"/>
        <v>0</v>
      </c>
      <c r="BR10">
        <f t="shared" si="21"/>
        <v>0</v>
      </c>
      <c r="BS10">
        <f t="shared" si="22"/>
        <v>0</v>
      </c>
      <c r="BT10">
        <f t="shared" si="23"/>
        <v>0</v>
      </c>
      <c r="BU10">
        <f t="shared" si="24"/>
        <v>48.333600000000004</v>
      </c>
      <c r="BV10">
        <f t="shared" si="25"/>
        <v>0</v>
      </c>
      <c r="BW10">
        <f t="shared" si="26"/>
        <v>0.1365907536</v>
      </c>
    </row>
    <row r="11" spans="1:76" x14ac:dyDescent="0.2">
      <c r="A11" t="str">
        <f>'Input Scenarios'!A11</f>
        <v>NSW</v>
      </c>
      <c r="B11">
        <f>'Input Scenarios'!B11</f>
        <v>0</v>
      </c>
      <c r="C11" t="str">
        <f>'Input Scenarios'!C11</f>
        <v>Non-irrigated pasture</v>
      </c>
      <c r="D11" t="str">
        <f>'Input Scenarios'!D11</f>
        <v>wet</v>
      </c>
      <c r="E11" t="b">
        <f>'Input Scenarios'!E11</f>
        <v>0</v>
      </c>
      <c r="F11" t="str">
        <f>'Input Scenarios'!F11</f>
        <v>Limited grazing</v>
      </c>
      <c r="G11">
        <f>IF('Input Scenarios'!G11&lt;&gt;"", 'Input Scenarios'!G11, _xlfn.XLOOKUP($F11, Constants!$M$6:$M$9,Constants!N$6:N$9))</f>
        <v>0.53400000000000003</v>
      </c>
      <c r="H11">
        <f>IF('Input Scenarios'!H11&lt;&gt;"", 'Input Scenarios'!H11, _xlfn.XLOOKUP($F11, Constants!$M$6:$M$9,Constants!O$6:O$9))</f>
        <v>0.11</v>
      </c>
      <c r="I11">
        <f>IF('Input Scenarios'!I11&lt;&gt;"", 'Input Scenarios'!I11, _xlfn.XLOOKUP($F11, Constants!$M$6:$M$9,Constants!P$6:P$9))</f>
        <v>0.35599999999999998</v>
      </c>
      <c r="J11">
        <f>'Input Scenarios'!J11</f>
        <v>0.25</v>
      </c>
      <c r="K11">
        <f>'Input Scenarios'!K11</f>
        <v>0.25</v>
      </c>
      <c r="L11">
        <f>'Input Scenarios'!L11</f>
        <v>0.25</v>
      </c>
      <c r="M11">
        <f>'Input Scenarios'!M11</f>
        <v>0.25</v>
      </c>
      <c r="N11">
        <f>'Input Scenarios'!N11</f>
        <v>0.25</v>
      </c>
      <c r="O11">
        <f>'Input Scenarios'!O11</f>
        <v>0.25</v>
      </c>
      <c r="P11">
        <f>'Input Scenarios'!P11</f>
        <v>0.25</v>
      </c>
      <c r="Q11">
        <f>'Input Scenarios'!Q11</f>
        <v>0.25</v>
      </c>
      <c r="R11" t="b">
        <f>'Input Scenarios'!R11</f>
        <v>1</v>
      </c>
      <c r="S11">
        <f>IF('Input Scenarios'!S11&lt;&gt;"", 'Input Scenarios'!S11, IF(R11, Constants!$B$38, 0))</f>
        <v>0.2</v>
      </c>
      <c r="T11" t="str">
        <f>IF('Input Scenarios'!T11&lt;&gt;"", 'Input Scenarios'!T11, "")</f>
        <v/>
      </c>
      <c r="U11">
        <f>IF('Input Scenarios'!U11&lt;&gt;"", 'Input Scenarios'!U11, IF(W11&lt;&gt;"", "", Constants!$B$39))</f>
        <v>4</v>
      </c>
      <c r="V11">
        <f>IF('Input Scenarios'!V11&lt;&gt;"", 'Input Scenarios'!V11, IF(W11&lt;&gt;"", "", Constants!$B$40))</f>
        <v>3.3</v>
      </c>
      <c r="W11" t="str">
        <f>IF('Input Scenarios'!W11&lt;&gt;"", 'Input Scenarios'!W11, "")</f>
        <v/>
      </c>
      <c r="X11" t="str">
        <f>'Input Scenarios'!X11</f>
        <v>Medium Friesian</v>
      </c>
      <c r="Y11" t="str">
        <f>'Input Scenarios'!Y11</f>
        <v>heifersLt1Weaned</v>
      </c>
      <c r="Z11">
        <f>'Input Scenarios'!Z11</f>
        <v>200</v>
      </c>
      <c r="AA11">
        <f>IF('Input Scenarios'!AA11&lt;&gt;"", 'Input Scenarios'!AA11, _xlfn.XLOOKUP(Y11,Constants!$J$6:$J$12,Constants!$K$6:$K$12))</f>
        <v>281</v>
      </c>
      <c r="AB11">
        <f>IF('Input Scenarios'!AB11&lt;&gt;"", 'Input Scenarios'!AB11, INDEX(Constants!$B$2:$H$11, MATCH(X11, Constants!$A$2:$A$11, 0), MATCH(Y11,Constants!$B$1:$H$1, 0)))</f>
        <v>155</v>
      </c>
      <c r="AC11">
        <f>IF('Input Scenarios'!AC11&lt;&gt;"", 'Input Scenarios'!AC11, _xlfn.XLOOKUP(Y11, Constants!$B$13:$H$13, Constants!$B$15:$H$15, ""))</f>
        <v>0.56999999999999995</v>
      </c>
      <c r="AD11">
        <f>IF('Input Scenarios'!AD11&lt;&gt;"", 'Input Scenarios'!AD11, Constants!$B$45)</f>
        <v>0.75</v>
      </c>
      <c r="AE11">
        <f>IF('Input Scenarios'!AE11&lt;&gt;"", 'Input Scenarios'!AE11, Constants!$B$46)</f>
        <v>0.2</v>
      </c>
      <c r="AF11">
        <f t="shared" si="1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11"/>
        <v>1</v>
      </c>
      <c r="AK11">
        <f t="shared" si="12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13"/>
        <v>0.5948500000000001</v>
      </c>
      <c r="AQ11">
        <f t="shared" si="14"/>
        <v>0</v>
      </c>
      <c r="AR11">
        <f>IF(Y11="milkingCows", Constants!$P$2, Constants!$P$3)</f>
        <v>1</v>
      </c>
      <c r="AS11">
        <f t="shared" si="15"/>
        <v>4.0231734662249998</v>
      </c>
      <c r="AT11">
        <f t="shared" si="16"/>
        <v>1.206300296845944</v>
      </c>
      <c r="AU11">
        <f>_xlfn.XLOOKUP(Y11, Constants!$B$13:$H$13, Constants!$B$14:$H$14, "")</f>
        <v>590</v>
      </c>
      <c r="AV11">
        <f t="shared" si="17"/>
        <v>0.26271186440677968</v>
      </c>
      <c r="AW11">
        <f>Constants!$B$55</f>
        <v>6.25</v>
      </c>
      <c r="AX11">
        <f t="shared" si="1"/>
        <v>1.4575548166167214E-2</v>
      </c>
      <c r="AY11">
        <f t="shared" si="2"/>
        <v>0.80463469324500003</v>
      </c>
      <c r="AZ11">
        <f t="shared" si="18"/>
        <v>0.1133928568810149</v>
      </c>
      <c r="BA11" t="str">
        <f>IF(ISNUMBER(FIND("PreWeaned",Y11)),_xlfn.XLOOKUP(Y11,Constants!$J$2:$J$3,Constants!$M$2:$M$3),"")</f>
        <v/>
      </c>
      <c r="BB11">
        <f t="shared" si="3"/>
        <v>6372.6785567130382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6372.6785567130382</v>
      </c>
      <c r="BH11">
        <f>Constants!$D$19</f>
        <v>0.35</v>
      </c>
      <c r="BI11">
        <f>Constants!$D$20</f>
        <v>7.0000000000000007E-2</v>
      </c>
      <c r="BJ11">
        <f>Constants!$D$21</f>
        <v>0.2</v>
      </c>
      <c r="BK11">
        <f>Constants!$D$22</f>
        <v>0.3</v>
      </c>
      <c r="BL11">
        <f>Constants!$D$23</f>
        <v>0</v>
      </c>
      <c r="BM11">
        <f>Constants!$B$51</f>
        <v>0.21</v>
      </c>
      <c r="BN11">
        <f>Constants!$B$50</f>
        <v>1.57</v>
      </c>
      <c r="BO11">
        <f>_xlfn.XLOOKUP(C11,Constants!$A$27:$A$31,Constants!$B$27:$B$31)</f>
        <v>1.8E-3</v>
      </c>
      <c r="BP11">
        <f t="shared" si="19"/>
        <v>0</v>
      </c>
      <c r="BQ11">
        <f t="shared" si="20"/>
        <v>0</v>
      </c>
      <c r="BR11">
        <f t="shared" si="21"/>
        <v>0</v>
      </c>
      <c r="BS11">
        <f t="shared" si="22"/>
        <v>0</v>
      </c>
      <c r="BT11">
        <f t="shared" si="23"/>
        <v>0</v>
      </c>
      <c r="BU11">
        <f t="shared" si="24"/>
        <v>1338.262496909738</v>
      </c>
      <c r="BV11">
        <f t="shared" si="25"/>
        <v>0</v>
      </c>
      <c r="BW11">
        <f t="shared" si="26"/>
        <v>3.7819298162669197</v>
      </c>
    </row>
    <row r="12" spans="1:76" x14ac:dyDescent="0.2">
      <c r="A12" t="str">
        <f>'Input Scenarios'!A12</f>
        <v>NSW</v>
      </c>
      <c r="B12">
        <f>'Input Scenarios'!B12</f>
        <v>0</v>
      </c>
      <c r="C12" t="str">
        <f>'Input Scenarios'!C12</f>
        <v>Non-irrigated pasture</v>
      </c>
      <c r="D12" t="str">
        <f>'Input Scenarios'!D12</f>
        <v>wet</v>
      </c>
      <c r="E12" t="b">
        <f>'Input Scenarios'!E12</f>
        <v>0</v>
      </c>
      <c r="F12" t="str">
        <f>'Input Scenarios'!F12</f>
        <v>Limited grazing</v>
      </c>
      <c r="G12">
        <f>IF('Input Scenarios'!G12&lt;&gt;"", 'Input Scenarios'!G12, _xlfn.XLOOKUP($F12, Constants!$M$6:$M$9,Constants!N$6:N$9))</f>
        <v>0.53400000000000003</v>
      </c>
      <c r="H12">
        <f>IF('Input Scenarios'!H12&lt;&gt;"", 'Input Scenarios'!H12, _xlfn.XLOOKUP($F12, Constants!$M$6:$M$9,Constants!O$6:O$9))</f>
        <v>0.11</v>
      </c>
      <c r="I12">
        <f>IF('Input Scenarios'!I12&lt;&gt;"", 'Input Scenarios'!I12, _xlfn.XLOOKUP($F12, Constants!$M$6:$M$9,Constants!P$6:P$9))</f>
        <v>0.35599999999999998</v>
      </c>
      <c r="J12">
        <f>'Input Scenarios'!J12</f>
        <v>0.25</v>
      </c>
      <c r="K12">
        <f>'Input Scenarios'!K12</f>
        <v>0.25</v>
      </c>
      <c r="L12">
        <f>'Input Scenarios'!L12</f>
        <v>0.25</v>
      </c>
      <c r="M12">
        <f>'Input Scenarios'!M12</f>
        <v>0.25</v>
      </c>
      <c r="N12">
        <f>'Input Scenarios'!N12</f>
        <v>0.25</v>
      </c>
      <c r="O12">
        <f>'Input Scenarios'!O12</f>
        <v>0.25</v>
      </c>
      <c r="P12">
        <f>'Input Scenarios'!P12</f>
        <v>0.25</v>
      </c>
      <c r="Q12">
        <f>'Input Scenarios'!Q12</f>
        <v>0.25</v>
      </c>
      <c r="R12" t="b">
        <f>'Input Scenarios'!R12</f>
        <v>1</v>
      </c>
      <c r="S12">
        <f>IF('Input Scenarios'!S12&lt;&gt;"", 'Input Scenarios'!S12, IF(R12, Constants!$B$38, 0))</f>
        <v>0.2</v>
      </c>
      <c r="T12" t="str">
        <f>IF('Input Scenarios'!T12&lt;&gt;"", 'Input Scenarios'!T12, "")</f>
        <v/>
      </c>
      <c r="U12">
        <f>IF('Input Scenarios'!U12&lt;&gt;"", 'Input Scenarios'!U12, IF(W12&lt;&gt;"", "", Constants!$B$39))</f>
        <v>4</v>
      </c>
      <c r="V12">
        <f>IF('Input Scenarios'!V12&lt;&gt;"", 'Input Scenarios'!V12, IF(W12&lt;&gt;"", "", Constants!$B$40))</f>
        <v>3.3</v>
      </c>
      <c r="W12" t="str">
        <f>IF('Input Scenarios'!W12&lt;&gt;"", 'Input Scenarios'!W12, "")</f>
        <v/>
      </c>
      <c r="X12" t="str">
        <f>'Input Scenarios'!X12</f>
        <v>Medium Friesian</v>
      </c>
      <c r="Y12" t="str">
        <f>'Input Scenarios'!Y12</f>
        <v>bullsGt1</v>
      </c>
      <c r="Z12">
        <f>'Input Scenarios'!Z12</f>
        <v>200</v>
      </c>
      <c r="AA12">
        <f>IF('Input Scenarios'!AA12&lt;&gt;"", 'Input Scenarios'!AA12, _xlfn.XLOOKUP(Y12,Constants!$J$6:$J$12,Constants!$K$6:$K$12))</f>
        <v>365</v>
      </c>
      <c r="AB12">
        <f>IF('Input Scenarios'!AB12&lt;&gt;"", 'Input Scenarios'!AB12, INDEX(Constants!$B$2:$H$11, MATCH(X12, Constants!$A$2:$A$11, 0), MATCH(Y12,Constants!$B$1:$H$1, 0)))</f>
        <v>600</v>
      </c>
      <c r="AC12">
        <f>IF('Input Scenarios'!AC12&lt;&gt;"", 'Input Scenarios'!AC12, _xlfn.XLOOKUP(Y12, Constants!$B$13:$H$13, Constants!$B$15:$H$15, ""))</f>
        <v>0.1</v>
      </c>
      <c r="AD12">
        <f>IF('Input Scenarios'!AD12&lt;&gt;"", 'Input Scenarios'!AD12, Constants!$B$45)</f>
        <v>0.75</v>
      </c>
      <c r="AE12">
        <f>IF('Input Scenarios'!AE12&lt;&gt;"", 'Input Scenarios'!AE12, Constants!$B$46)</f>
        <v>0.2</v>
      </c>
      <c r="AF12">
        <f t="shared" si="1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11"/>
        <v>1</v>
      </c>
      <c r="AK12">
        <f t="shared" si="12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13"/>
        <v>0.5948500000000001</v>
      </c>
      <c r="AQ12">
        <f t="shared" si="14"/>
        <v>0</v>
      </c>
      <c r="AR12">
        <f>IF(Y12="milkingCows", Constants!$P$2, Constants!$P$3)</f>
        <v>1</v>
      </c>
      <c r="AS12">
        <f t="shared" si="15"/>
        <v>9.0270202499999979</v>
      </c>
      <c r="AT12">
        <f t="shared" si="16"/>
        <v>1.0213029780639273</v>
      </c>
      <c r="AU12">
        <f>_xlfn.XLOOKUP(Y12, Constants!$B$13:$H$13, Constants!$B$14:$H$14, "")</f>
        <v>770</v>
      </c>
      <c r="AV12">
        <f t="shared" si="17"/>
        <v>0.77922077922077926</v>
      </c>
      <c r="AW12">
        <f>Constants!$B$55</f>
        <v>6.25</v>
      </c>
      <c r="AX12">
        <f t="shared" si="1"/>
        <v>1.2626203146474679E-3</v>
      </c>
      <c r="AY12">
        <f t="shared" si="2"/>
        <v>1.8054040499999997</v>
      </c>
      <c r="AZ12">
        <f t="shared" si="18"/>
        <v>0.28546836331241399</v>
      </c>
      <c r="BA12" t="str">
        <f>IF(ISNUMBER(FIND("PreWeaned",Y12)),_xlfn.XLOOKUP(Y12,Constants!$J$2:$J$3,Constants!$M$2:$M$3),"")</f>
        <v/>
      </c>
      <c r="BB12">
        <f t="shared" si="3"/>
        <v>20839.19052180622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20839.19052180622</v>
      </c>
      <c r="BH12">
        <f>Constants!$D$19</f>
        <v>0.35</v>
      </c>
      <c r="BI12">
        <f>Constants!$D$20</f>
        <v>7.0000000000000007E-2</v>
      </c>
      <c r="BJ12">
        <f>Constants!$D$21</f>
        <v>0.2</v>
      </c>
      <c r="BK12">
        <f>Constants!$D$22</f>
        <v>0.3</v>
      </c>
      <c r="BL12">
        <f>Constants!$D$23</f>
        <v>0</v>
      </c>
      <c r="BM12">
        <f>Constants!$B$51</f>
        <v>0.21</v>
      </c>
      <c r="BN12">
        <f>Constants!$B$50</f>
        <v>1.57</v>
      </c>
      <c r="BO12">
        <f>_xlfn.XLOOKUP(C12,Constants!$A$27:$A$31,Constants!$B$27:$B$31)</f>
        <v>1.8E-3</v>
      </c>
      <c r="BP12">
        <f t="shared" si="19"/>
        <v>0</v>
      </c>
      <c r="BQ12">
        <f t="shared" si="20"/>
        <v>0</v>
      </c>
      <c r="BR12">
        <f t="shared" si="21"/>
        <v>0</v>
      </c>
      <c r="BS12">
        <f t="shared" si="22"/>
        <v>0</v>
      </c>
      <c r="BT12">
        <f t="shared" si="23"/>
        <v>0</v>
      </c>
      <c r="BU12">
        <f t="shared" si="24"/>
        <v>4376.2300095793062</v>
      </c>
      <c r="BV12">
        <f t="shared" si="25"/>
        <v>0</v>
      </c>
      <c r="BW12">
        <f t="shared" si="26"/>
        <v>12.367226007071119</v>
      </c>
    </row>
    <row r="13" spans="1:76" x14ac:dyDescent="0.2">
      <c r="A13" t="str">
        <f>'Input Scenarios'!A13</f>
        <v>NSW</v>
      </c>
      <c r="B13">
        <f>'Input Scenarios'!B13</f>
        <v>0</v>
      </c>
      <c r="C13" t="str">
        <f>'Input Scenarios'!C13</f>
        <v>Non-irrigated pasture</v>
      </c>
      <c r="D13" t="str">
        <f>'Input Scenarios'!D13</f>
        <v>wet</v>
      </c>
      <c r="E13" t="b">
        <f>'Input Scenarios'!E13</f>
        <v>0</v>
      </c>
      <c r="F13" t="str">
        <f>'Input Scenarios'!F13</f>
        <v>Limited grazing</v>
      </c>
      <c r="G13">
        <f>IF('Input Scenarios'!G13&lt;&gt;"", 'Input Scenarios'!G13, _xlfn.XLOOKUP($F13, Constants!$M$6:$M$9,Constants!N$6:N$9))</f>
        <v>0.53400000000000003</v>
      </c>
      <c r="H13">
        <f>IF('Input Scenarios'!H13&lt;&gt;"", 'Input Scenarios'!H13, _xlfn.XLOOKUP($F13, Constants!$M$6:$M$9,Constants!O$6:O$9))</f>
        <v>0.11</v>
      </c>
      <c r="I13">
        <f>IF('Input Scenarios'!I13&lt;&gt;"", 'Input Scenarios'!I13, _xlfn.XLOOKUP($F13, Constants!$M$6:$M$9,Constants!P$6:P$9))</f>
        <v>0.35599999999999998</v>
      </c>
      <c r="J13">
        <f>'Input Scenarios'!J13</f>
        <v>0.25</v>
      </c>
      <c r="K13">
        <f>'Input Scenarios'!K13</f>
        <v>0.25</v>
      </c>
      <c r="L13">
        <f>'Input Scenarios'!L13</f>
        <v>0.25</v>
      </c>
      <c r="M13">
        <f>'Input Scenarios'!M13</f>
        <v>0.25</v>
      </c>
      <c r="N13">
        <f>'Input Scenarios'!N13</f>
        <v>0.25</v>
      </c>
      <c r="O13">
        <f>'Input Scenarios'!O13</f>
        <v>0.25</v>
      </c>
      <c r="P13">
        <f>'Input Scenarios'!P13</f>
        <v>0.25</v>
      </c>
      <c r="Q13">
        <f>'Input Scenarios'!Q13</f>
        <v>0.25</v>
      </c>
      <c r="R13" t="b">
        <f>'Input Scenarios'!R13</f>
        <v>1</v>
      </c>
      <c r="S13">
        <f>IF('Input Scenarios'!S13&lt;&gt;"", 'Input Scenarios'!S13, IF(R13, Constants!$B$38, 0))</f>
        <v>0.2</v>
      </c>
      <c r="T13" t="str">
        <f>IF('Input Scenarios'!T13&lt;&gt;"", 'Input Scenarios'!T13, "")</f>
        <v/>
      </c>
      <c r="U13">
        <f>IF('Input Scenarios'!U13&lt;&gt;"", 'Input Scenarios'!U13, IF(W13&lt;&gt;"", "", Constants!$B$39))</f>
        <v>4</v>
      </c>
      <c r="V13">
        <f>IF('Input Scenarios'!V13&lt;&gt;"", 'Input Scenarios'!V13, IF(W13&lt;&gt;"", "", Constants!$B$40))</f>
        <v>3.3</v>
      </c>
      <c r="W13" t="str">
        <f>IF('Input Scenarios'!W13&lt;&gt;"", 'Input Scenarios'!W13, "")</f>
        <v/>
      </c>
      <c r="X13" t="str">
        <f>'Input Scenarios'!X13</f>
        <v>Medium Friesian</v>
      </c>
      <c r="Y13" t="str">
        <f>'Input Scenarios'!Y13</f>
        <v>bullsLt1PreWeaned</v>
      </c>
      <c r="Z13">
        <f>'Input Scenarios'!Z13</f>
        <v>200</v>
      </c>
      <c r="AA13">
        <f>IF('Input Scenarios'!AA13&lt;&gt;"", 'Input Scenarios'!AA13, _xlfn.XLOOKUP(Y13,Constants!$J$6:$J$12,Constants!$K$6:$K$12))</f>
        <v>84</v>
      </c>
      <c r="AB13">
        <f>IF('Input Scenarios'!AB13&lt;&gt;"", 'Input Scenarios'!AB13, INDEX(Constants!$B$2:$H$11, MATCH(X13, Constants!$A$2:$A$11, 0), MATCH(Y13,Constants!$B$1:$H$1, 0)))</f>
        <v>225</v>
      </c>
      <c r="AC13" t="str">
        <f>IF('Input Scenarios'!AC13&lt;&gt;"", 'Input Scenarios'!AC13, _xlfn.XLOOKUP(Y13, Constants!$B$13:$H$13, Constants!$B$15:$H$15, ""))</f>
        <v/>
      </c>
      <c r="AD13">
        <f>IF('Input Scenarios'!AD13&lt;&gt;"", 'Input Scenarios'!AD13, Constants!$B$45)</f>
        <v>0.75</v>
      </c>
      <c r="AE13">
        <f>IF('Input Scenarios'!AE13&lt;&gt;"", 'Input Scenarios'!AE13, Constants!$B$46)</f>
        <v>0.2</v>
      </c>
      <c r="AF13">
        <f t="shared" si="1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11"/>
        <v>1</v>
      </c>
      <c r="AK13">
        <f t="shared" si="12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13"/>
        <v>0.5948500000000001</v>
      </c>
      <c r="AQ13">
        <f t="shared" si="14"/>
        <v>0</v>
      </c>
      <c r="AR13">
        <f>IF(Y13="milkingCows", Constants!$P$2, Constants!$P$3)</f>
        <v>1</v>
      </c>
      <c r="AS13" t="str">
        <f t="shared" si="15"/>
        <v/>
      </c>
      <c r="AT13" t="str">
        <f t="shared" si="16"/>
        <v/>
      </c>
      <c r="AU13" t="str">
        <f>_xlfn.XLOOKUP(Y13, Constants!$B$13:$H$13, Constants!$B$14:$H$14, "")</f>
        <v/>
      </c>
      <c r="AV13" t="str">
        <f t="shared" si="17"/>
        <v/>
      </c>
      <c r="AW13">
        <f>Constants!$B$55</f>
        <v>6.25</v>
      </c>
      <c r="AX13" t="str">
        <f t="shared" si="1"/>
        <v/>
      </c>
      <c r="AY13" t="str">
        <f t="shared" si="2"/>
        <v/>
      </c>
      <c r="AZ13" t="str">
        <f t="shared" si="18"/>
        <v/>
      </c>
      <c r="BA13">
        <f>IF(ISNUMBER(FIND("PreWeaned",Y13)),_xlfn.XLOOKUP(Y13,Constants!$J$2:$J$3,Constants!$M$2:$M$3),"")</f>
        <v>9.1999999999999998E-3</v>
      </c>
      <c r="BB13">
        <f t="shared" si="3"/>
        <v>154.56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154.56</v>
      </c>
      <c r="BH13">
        <f>Constants!$D$19</f>
        <v>0.35</v>
      </c>
      <c r="BI13">
        <f>Constants!$D$20</f>
        <v>7.0000000000000007E-2</v>
      </c>
      <c r="BJ13">
        <f>Constants!$D$21</f>
        <v>0.2</v>
      </c>
      <c r="BK13">
        <f>Constants!$D$22</f>
        <v>0.3</v>
      </c>
      <c r="BL13">
        <f>Constants!$D$23</f>
        <v>0</v>
      </c>
      <c r="BM13">
        <f>Constants!$B$51</f>
        <v>0.21</v>
      </c>
      <c r="BN13">
        <f>Constants!$B$50</f>
        <v>1.57</v>
      </c>
      <c r="BO13">
        <f>_xlfn.XLOOKUP(C13,Constants!$A$27:$A$31,Constants!$B$27:$B$31)</f>
        <v>1.8E-3</v>
      </c>
      <c r="BP13">
        <f t="shared" si="19"/>
        <v>0</v>
      </c>
      <c r="BQ13">
        <f t="shared" si="20"/>
        <v>0</v>
      </c>
      <c r="BR13">
        <f t="shared" si="21"/>
        <v>0</v>
      </c>
      <c r="BS13">
        <f t="shared" si="22"/>
        <v>0</v>
      </c>
      <c r="BT13">
        <f t="shared" si="23"/>
        <v>0</v>
      </c>
      <c r="BU13">
        <f t="shared" si="24"/>
        <v>32.457599999999999</v>
      </c>
      <c r="BV13">
        <f t="shared" si="25"/>
        <v>0</v>
      </c>
      <c r="BW13">
        <f t="shared" si="26"/>
        <v>9.1725177599999999E-2</v>
      </c>
    </row>
    <row r="14" spans="1:76" s="16" customFormat="1" x14ac:dyDescent="0.2">
      <c r="A14" s="16" t="str">
        <f>'Input Scenarios'!A14</f>
        <v>NSW</v>
      </c>
      <c r="B14" s="16">
        <f>'Input Scenarios'!B14</f>
        <v>0</v>
      </c>
      <c r="C14" s="16" t="str">
        <f>'Input Scenarios'!C14</f>
        <v>Non-irrigated pasture</v>
      </c>
      <c r="D14" s="16" t="str">
        <f>'Input Scenarios'!D14</f>
        <v>wet</v>
      </c>
      <c r="E14" s="16" t="b">
        <f>'Input Scenarios'!E14</f>
        <v>0</v>
      </c>
      <c r="F14" s="16" t="str">
        <f>'Input Scenarios'!F14</f>
        <v>Limited grazing</v>
      </c>
      <c r="G14" s="16">
        <f>IF('Input Scenarios'!G14&lt;&gt;"", 'Input Scenarios'!G14, _xlfn.XLOOKUP($F14, Constants!$M$6:$M$9,Constants!N$6:N$9))</f>
        <v>0.53400000000000003</v>
      </c>
      <c r="H14" s="16">
        <f>IF('Input Scenarios'!H14&lt;&gt;"", 'Input Scenarios'!H14, _xlfn.XLOOKUP($F14, Constants!$M$6:$M$9,Constants!O$6:O$9))</f>
        <v>0.11</v>
      </c>
      <c r="I14" s="16">
        <f>IF('Input Scenarios'!I14&lt;&gt;"", 'Input Scenarios'!I14, _xlfn.XLOOKUP($F14, Constants!$M$6:$M$9,Constants!P$6:P$9))</f>
        <v>0.35599999999999998</v>
      </c>
      <c r="J14" s="16">
        <f>'Input Scenarios'!J14</f>
        <v>0.25</v>
      </c>
      <c r="K14" s="16">
        <f>'Input Scenarios'!K14</f>
        <v>0.25</v>
      </c>
      <c r="L14" s="16">
        <f>'Input Scenarios'!L14</f>
        <v>0.25</v>
      </c>
      <c r="M14" s="16">
        <f>'Input Scenarios'!M14</f>
        <v>0.25</v>
      </c>
      <c r="N14" s="16">
        <f>'Input Scenarios'!N14</f>
        <v>0.25</v>
      </c>
      <c r="O14" s="16">
        <f>'Input Scenarios'!O14</f>
        <v>0.25</v>
      </c>
      <c r="P14" s="16">
        <f>'Input Scenarios'!P14</f>
        <v>0.25</v>
      </c>
      <c r="Q14" s="16">
        <f>'Input Scenarios'!Q14</f>
        <v>0.25</v>
      </c>
      <c r="R14" s="16" t="b">
        <f>'Input Scenarios'!R14</f>
        <v>1</v>
      </c>
      <c r="S14" s="16">
        <f>IF('Input Scenarios'!S14&lt;&gt;"", 'Input Scenarios'!S14, IF(R14, Constants!$B$38, 0))</f>
        <v>0.2</v>
      </c>
      <c r="T14" s="16" t="str">
        <f>IF('Input Scenarios'!T14&lt;&gt;"", 'Input Scenarios'!T14, "")</f>
        <v/>
      </c>
      <c r="U14" s="16">
        <f>IF('Input Scenarios'!U14&lt;&gt;"", 'Input Scenarios'!U14, IF(W14&lt;&gt;"", "", Constants!$B$39))</f>
        <v>4</v>
      </c>
      <c r="V14" s="16">
        <f>IF('Input Scenarios'!V14&lt;&gt;"", 'Input Scenarios'!V14, IF(W14&lt;&gt;"", "", Constants!$B$40))</f>
        <v>3.3</v>
      </c>
      <c r="W14" s="16" t="str">
        <f>IF('Input Scenarios'!W14&lt;&gt;"", 'Input Scenarios'!W14, "")</f>
        <v/>
      </c>
      <c r="X14" s="16" t="str">
        <f>'Input Scenarios'!X14</f>
        <v>Medium Friesian</v>
      </c>
      <c r="Y14" s="16" t="str">
        <f>'Input Scenarios'!Y14</f>
        <v>bullsLt1Weaned</v>
      </c>
      <c r="Z14" s="16">
        <f>'Input Scenarios'!Z14</f>
        <v>200</v>
      </c>
      <c r="AA14" s="16">
        <f>IF('Input Scenarios'!AA14&lt;&gt;"", 'Input Scenarios'!AA14, _xlfn.XLOOKUP(Y14,Constants!$J$6:$J$12,Constants!$K$6:$K$12))</f>
        <v>281</v>
      </c>
      <c r="AB14" s="16">
        <f>IF('Input Scenarios'!AB14&lt;&gt;"", 'Input Scenarios'!AB14, INDEX(Constants!$B$2:$H$11, MATCH(X14, Constants!$A$2:$A$11, 0), MATCH(Y14,Constants!$B$1:$H$1, 0)))</f>
        <v>225</v>
      </c>
      <c r="AC14" s="16">
        <f>IF('Input Scenarios'!AC14&lt;&gt;"", 'Input Scenarios'!AC14, _xlfn.XLOOKUP(Y14, Constants!$B$13:$H$13, Constants!$B$15:$H$15, ""))</f>
        <v>0.8</v>
      </c>
      <c r="AD14" s="16">
        <f>IF('Input Scenarios'!AD14&lt;&gt;"", 'Input Scenarios'!AD14, Constants!$B$45)</f>
        <v>0.75</v>
      </c>
      <c r="AE14" s="16">
        <f>IF('Input Scenarios'!AE14&lt;&gt;"", 'Input Scenarios'!AE14, Constants!$B$46)</f>
        <v>0.2</v>
      </c>
      <c r="AF14" s="16">
        <f t="shared" si="10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11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13"/>
        <v>0.5948500000000001</v>
      </c>
      <c r="AQ14" s="16">
        <f t="shared" si="14"/>
        <v>0</v>
      </c>
      <c r="AR14" s="16">
        <f>IF(Y14="milkingCows", Constants!$P$2, Constants!$P$3)</f>
        <v>1</v>
      </c>
      <c r="AS14" s="16">
        <f t="shared" si="15"/>
        <v>5.4143472656250013</v>
      </c>
      <c r="AT14" s="16">
        <f t="shared" si="16"/>
        <v>1.2576570545672616</v>
      </c>
      <c r="AU14" s="16">
        <f>_xlfn.XLOOKUP(Y14, Constants!$B$13:$H$13, Constants!$B$14:$H$14, "")</f>
        <v>770</v>
      </c>
      <c r="AV14" s="16">
        <f t="shared" si="17"/>
        <v>0.29220779220779219</v>
      </c>
      <c r="AW14" s="16">
        <f>Constants!$B$55</f>
        <v>6.25</v>
      </c>
      <c r="AX14" s="16">
        <f t="shared" si="1"/>
        <v>1.9757354894894084E-2</v>
      </c>
      <c r="AY14" s="16">
        <f t="shared" si="2"/>
        <v>1.0828694531250003</v>
      </c>
      <c r="AZ14" s="16">
        <f t="shared" si="18"/>
        <v>0.15247929000170721</v>
      </c>
      <c r="BA14" s="16" t="str">
        <f>IF(ISNUMBER(FIND("PreWeaned",Y14)),_xlfn.XLOOKUP(Y14,Constants!$J$2:$J$3,Constants!$M$2:$M$3),"")</f>
        <v/>
      </c>
      <c r="BB14" s="16">
        <f t="shared" si="3"/>
        <v>8569.336098095946</v>
      </c>
      <c r="BC14" s="16">
        <f t="shared" si="4"/>
        <v>0</v>
      </c>
      <c r="BD14" s="16">
        <f t="shared" si="5"/>
        <v>0</v>
      </c>
      <c r="BE14" s="16">
        <f t="shared" si="6"/>
        <v>0</v>
      </c>
      <c r="BF14" s="16">
        <f t="shared" si="7"/>
        <v>0</v>
      </c>
      <c r="BG14" s="16">
        <f t="shared" si="8"/>
        <v>8569.336098095946</v>
      </c>
      <c r="BH14" s="16">
        <f>Constants!$D$19</f>
        <v>0.35</v>
      </c>
      <c r="BI14" s="16">
        <f>Constants!$D$20</f>
        <v>7.0000000000000007E-2</v>
      </c>
      <c r="BJ14" s="16">
        <f>Constants!$D$21</f>
        <v>0.2</v>
      </c>
      <c r="BK14" s="16">
        <f>Constants!$D$22</f>
        <v>0.3</v>
      </c>
      <c r="BL14" s="16">
        <f>Constants!$D$23</f>
        <v>0</v>
      </c>
      <c r="BM14" s="16">
        <f>Constants!$B$51</f>
        <v>0.21</v>
      </c>
      <c r="BN14" s="16">
        <f>Constants!$B$50</f>
        <v>1.57</v>
      </c>
      <c r="BO14" s="16">
        <f>_xlfn.XLOOKUP(C14,Constants!$A$27:$A$31,Constants!$B$27:$B$31)</f>
        <v>1.8E-3</v>
      </c>
      <c r="BP14" s="16">
        <f t="shared" si="19"/>
        <v>0</v>
      </c>
      <c r="BQ14" s="16">
        <f t="shared" si="20"/>
        <v>0</v>
      </c>
      <c r="BR14" s="16">
        <f t="shared" si="21"/>
        <v>0</v>
      </c>
      <c r="BS14" s="16">
        <f t="shared" si="22"/>
        <v>0</v>
      </c>
      <c r="BT14" s="16">
        <f t="shared" si="23"/>
        <v>0</v>
      </c>
      <c r="BU14" s="16">
        <f t="shared" si="24"/>
        <v>1799.5605806001486</v>
      </c>
      <c r="BV14" s="16">
        <f t="shared" si="25"/>
        <v>0</v>
      </c>
      <c r="BW14" s="16">
        <f t="shared" si="26"/>
        <v>5.0855582007760196</v>
      </c>
    </row>
    <row r="15" spans="1:76" x14ac:dyDescent="0.2">
      <c r="A15" t="str">
        <f>'Input Scenarios'!A15</f>
        <v>QLD</v>
      </c>
      <c r="B15">
        <f>'Input Scenarios'!B15</f>
        <v>0</v>
      </c>
      <c r="C15" t="str">
        <f>'Input Scenarios'!C15</f>
        <v>Non-irrigated crop (high rainfall)</v>
      </c>
      <c r="D15" t="str">
        <f>'Input Scenarios'!D15</f>
        <v>wet</v>
      </c>
      <c r="E15" t="b">
        <f>'Input Scenarios'!E15</f>
        <v>1</v>
      </c>
      <c r="F15" t="str">
        <f>'Input Scenarios'!F15</f>
        <v>Limited feedpad</v>
      </c>
      <c r="G15">
        <f>IF('Input Scenarios'!G15&lt;&gt;"", 'Input Scenarios'!G15, _xlfn.XLOOKUP($F15, Constants!$M$6:$M$9,Constants!N$6:N$9))</f>
        <v>0.79</v>
      </c>
      <c r="H15">
        <f>IF('Input Scenarios'!H15&lt;&gt;"", 'Input Scenarios'!H15, _xlfn.XLOOKUP($F15, Constants!$M$6:$M$9,Constants!O$6:O$9))</f>
        <v>0.11</v>
      </c>
      <c r="I15">
        <f>IF('Input Scenarios'!I15&lt;&gt;"", 'Input Scenarios'!I15, _xlfn.XLOOKUP($F15, Constants!$M$6:$M$9,Constants!P$6:P$9))</f>
        <v>0.1</v>
      </c>
      <c r="J15">
        <f>'Input Scenarios'!J15</f>
        <v>0</v>
      </c>
      <c r="K15">
        <f>'Input Scenarios'!K15</f>
        <v>0</v>
      </c>
      <c r="L15">
        <f>'Input Scenarios'!L15</f>
        <v>1</v>
      </c>
      <c r="M15">
        <f>'Input Scenarios'!M15</f>
        <v>0</v>
      </c>
      <c r="N15">
        <f>'Input Scenarios'!N15</f>
        <v>1</v>
      </c>
      <c r="O15">
        <f>'Input Scenarios'!O15</f>
        <v>0</v>
      </c>
      <c r="P15">
        <f>'Input Scenarios'!P15</f>
        <v>0</v>
      </c>
      <c r="Q15">
        <f>'Input Scenarios'!Q15</f>
        <v>0</v>
      </c>
      <c r="R15" t="b">
        <f>'Input Scenarios'!R15</f>
        <v>1</v>
      </c>
      <c r="S15">
        <f>IF('Input Scenarios'!S15&lt;&gt;"", 'Input Scenarios'!S15, IF(R15, Constants!$B$38, 0))</f>
        <v>0.2</v>
      </c>
      <c r="T15">
        <f>IF('Input Scenarios'!T15&lt;&gt;"", 'Input Scenarios'!T15, "")</f>
        <v>3</v>
      </c>
      <c r="U15">
        <f>IF('Input Scenarios'!U15&lt;&gt;"", 'Input Scenarios'!U15, IF(W15&lt;&gt;"", "", Constants!$B$39))</f>
        <v>4</v>
      </c>
      <c r="V15">
        <f>IF('Input Scenarios'!V15&lt;&gt;"", 'Input Scenarios'!V15, IF(W15&lt;&gt;"", "", Constants!$B$40))</f>
        <v>3.3</v>
      </c>
      <c r="W15" t="str">
        <f>IF('Input Scenarios'!W15&lt;&gt;"", 'Input Scenarios'!W15, "")</f>
        <v/>
      </c>
      <c r="X15" t="str">
        <f>'Input Scenarios'!X15</f>
        <v>Large Friesian</v>
      </c>
      <c r="Y15" t="str">
        <f>'Input Scenarios'!Y15</f>
        <v>milkingCows</v>
      </c>
      <c r="Z15">
        <f>'Input Scenarios'!Z15</f>
        <v>200</v>
      </c>
      <c r="AA15">
        <f>IF('Input Scenarios'!AA15&lt;&gt;"", 'Input Scenarios'!AA15, _xlfn.XLOOKUP(Y15,Constants!$J$6:$J$12,Constants!$K$6:$K$12))</f>
        <v>365</v>
      </c>
      <c r="AB15">
        <f>IF('Input Scenarios'!AB15&lt;&gt;"", 'Input Scenarios'!AB15, INDEX(Constants!$B$2:$H$11, MATCH(X15, Constants!$A$2:$A$11, 0), MATCH(Y15,Constants!$B$1:$H$1, 0)))</f>
        <v>600</v>
      </c>
      <c r="AC15">
        <f>IF('Input Scenarios'!AC15&lt;&gt;"", 'Input Scenarios'!AC15, _xlfn.XLOOKUP(Y15, Constants!$B$13:$H$13, Constants!$B$15:$H$15, ""))</f>
        <v>1.6E-2</v>
      </c>
      <c r="AD15">
        <f>IF('Input Scenarios'!AD15&lt;&gt;"", 'Input Scenarios'!AD15, Constants!$B$45)</f>
        <v>0.75</v>
      </c>
      <c r="AE15">
        <f>IF('Input Scenarios'!AE15&lt;&gt;"", 'Input Scenarios'!AE15, Constants!$B$46)</f>
        <v>0.2</v>
      </c>
      <c r="AF15" s="20">
        <f t="shared" si="10"/>
        <v>0.1</v>
      </c>
      <c r="AG15" s="20">
        <f t="shared" si="0"/>
        <v>0</v>
      </c>
      <c r="AH15" s="20">
        <f t="shared" si="0"/>
        <v>0.11</v>
      </c>
      <c r="AI15" s="20">
        <f t="shared" si="0"/>
        <v>0</v>
      </c>
      <c r="AJ15" s="20">
        <f t="shared" si="11"/>
        <v>0.79</v>
      </c>
      <c r="AK15">
        <f t="shared" ref="AK15:AK35" si="27">IF(Y15="milkingCows", IF(W15&lt;&gt;"", W15, T15/((U15+V15)*0.01)), 0)</f>
        <v>41.095890410958908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ref="AP15:AP31" si="28">0.795*(AD15)-0.0014</f>
        <v>0.5948500000000001</v>
      </c>
      <c r="AQ15">
        <f t="shared" ref="AQ15:AQ31" si="29">(AK15*AL15*AM15)/(AN15*AO15*AP15)</f>
        <v>19.684668829329848</v>
      </c>
      <c r="AR15">
        <f>IF(Y15="milkingCows", Constants!$P$2, Constants!$P$3)</f>
        <v>1.1000000000000001</v>
      </c>
      <c r="AS15">
        <f t="shared" ref="AS15:AS31" si="30">IFERROR(((1.185+(0.00454*AB15)-(0.0000026*(AB15^2))+(0.315*AC15))^2*AR15+AQ15), "")</f>
        <v>29.440263295089849</v>
      </c>
      <c r="AT15">
        <f t="shared" ref="AT15:AT31" si="31">IFERROR(((1.185+(0.00454*AB15)-(0.0000026*(AB15^2))+(0.315*AC15))^2*AR15+AQ15)/((1.185+(0.00454*AB15)-(0.0000026*(AB15^2)))^2*AR15+AQ15), "")</f>
        <v>1.0011219186596292</v>
      </c>
      <c r="AU15">
        <f>_xlfn.XLOOKUP(Y15, Constants!$B$13:$H$13, Constants!$B$14:$H$14, "")</f>
        <v>590</v>
      </c>
      <c r="AV15">
        <f t="shared" ref="AV15:AV31" si="32">IFERROR(AB15/AU15, "")</f>
        <v>1.0169491525423728</v>
      </c>
      <c r="AW15">
        <f>Constants!$B$55</f>
        <v>6.25</v>
      </c>
      <c r="AX15" s="20">
        <f t="shared" si="1"/>
        <v>0.21248526585418692</v>
      </c>
      <c r="AY15">
        <f t="shared" si="2"/>
        <v>5.88805265901797</v>
      </c>
      <c r="AZ15">
        <f t="shared" si="18"/>
        <v>0.72746949521574977</v>
      </c>
      <c r="BA15" t="str">
        <f>IF(ISNUMBER(FIND("PreWeaned",Y15)),_xlfn.XLOOKUP(Y15,Constants!$J$2:$J$3,Constants!$M$2:$M$3),"")</f>
        <v/>
      </c>
      <c r="BB15">
        <f t="shared" si="3"/>
        <v>53105.27315074973</v>
      </c>
      <c r="BC15">
        <f t="shared" si="4"/>
        <v>5310.5273150749736</v>
      </c>
      <c r="BD15">
        <f t="shared" si="5"/>
        <v>0</v>
      </c>
      <c r="BE15">
        <f t="shared" si="6"/>
        <v>5841.5800465824705</v>
      </c>
      <c r="BF15">
        <f t="shared" si="7"/>
        <v>0</v>
      </c>
      <c r="BG15">
        <f t="shared" si="8"/>
        <v>41953.165789092287</v>
      </c>
      <c r="BH15">
        <f>Constants!$D$19</f>
        <v>0.35</v>
      </c>
      <c r="BI15">
        <f>Constants!$D$20</f>
        <v>7.0000000000000007E-2</v>
      </c>
      <c r="BJ15">
        <f>Constants!$D$21</f>
        <v>0.2</v>
      </c>
      <c r="BK15">
        <f>Constants!$D$22</f>
        <v>0.3</v>
      </c>
      <c r="BL15">
        <f>Constants!$D$23</f>
        <v>0</v>
      </c>
      <c r="BM15">
        <f>Constants!$B$51</f>
        <v>0.21</v>
      </c>
      <c r="BN15">
        <f>Constants!$B$50</f>
        <v>1.57</v>
      </c>
      <c r="BO15">
        <f>_xlfn.XLOOKUP(C15,Constants!$A$27:$A$31,Constants!$B$27:$B$31)</f>
        <v>8.0000000000000002E-3</v>
      </c>
      <c r="BP15">
        <f t="shared" ref="BP15:BP31" si="33">BC15*BH15</f>
        <v>1858.6845602762405</v>
      </c>
      <c r="BQ15">
        <f t="shared" ref="BQ15:BQ31" si="34">BD15*BI15</f>
        <v>0</v>
      </c>
      <c r="BR15">
        <f t="shared" ref="BR15:BR31" si="35">BE15*BJ15</f>
        <v>1168.316009316494</v>
      </c>
      <c r="BS15">
        <f t="shared" ref="BS15:BS31" si="36">BF15*BK15</f>
        <v>0</v>
      </c>
      <c r="BT15">
        <f t="shared" ref="BT15:BT31" si="37">BG15*BL15</f>
        <v>0</v>
      </c>
      <c r="BU15">
        <f t="shared" ref="BU15:BU31" si="38">BG15*BM15</f>
        <v>8810.1648157093805</v>
      </c>
      <c r="BV15">
        <f t="shared" ref="BV15:BV31" si="39">SUM(BP15:BS15)*BO15*BN15</f>
        <v>38.01912715408475</v>
      </c>
      <c r="BW15">
        <f t="shared" ref="BW15:BW31" si="40">BU15*BO15*BN15</f>
        <v>110.65567008530984</v>
      </c>
      <c r="BX15">
        <f>SUM(BV15:BW21)/1000</f>
        <v>0.29196539878713318</v>
      </c>
    </row>
    <row r="16" spans="1:76" x14ac:dyDescent="0.2">
      <c r="A16" t="str">
        <f>'Input Scenarios'!A16</f>
        <v>QLD</v>
      </c>
      <c r="B16">
        <f>'Input Scenarios'!B16</f>
        <v>0</v>
      </c>
      <c r="C16" t="str">
        <f>'Input Scenarios'!C16</f>
        <v>Non-irrigated crop (high rainfall)</v>
      </c>
      <c r="D16" t="str">
        <f>'Input Scenarios'!D16</f>
        <v>wet</v>
      </c>
      <c r="E16" t="b">
        <f>'Input Scenarios'!E16</f>
        <v>1</v>
      </c>
      <c r="F16" t="str">
        <f>'Input Scenarios'!F16</f>
        <v>Limited feedpad</v>
      </c>
      <c r="G16">
        <f>IF('Input Scenarios'!G16&lt;&gt;"", 'Input Scenarios'!G16, _xlfn.XLOOKUP($F16, Constants!$M$6:$M$9,Constants!N$6:N$9))</f>
        <v>0.79</v>
      </c>
      <c r="H16">
        <f>IF('Input Scenarios'!H16&lt;&gt;"", 'Input Scenarios'!H16, _xlfn.XLOOKUP($F16, Constants!$M$6:$M$9,Constants!O$6:O$9))</f>
        <v>0.11</v>
      </c>
      <c r="I16">
        <f>IF('Input Scenarios'!I16&lt;&gt;"", 'Input Scenarios'!I16, _xlfn.XLOOKUP($F16, Constants!$M$6:$M$9,Constants!P$6:P$9))</f>
        <v>0.1</v>
      </c>
      <c r="J16">
        <f>'Input Scenarios'!J16</f>
        <v>0</v>
      </c>
      <c r="K16">
        <f>'Input Scenarios'!K16</f>
        <v>0</v>
      </c>
      <c r="L16">
        <f>'Input Scenarios'!L16</f>
        <v>1</v>
      </c>
      <c r="M16">
        <f>'Input Scenarios'!M16</f>
        <v>0</v>
      </c>
      <c r="N16">
        <f>'Input Scenarios'!N16</f>
        <v>1</v>
      </c>
      <c r="O16">
        <f>'Input Scenarios'!O16</f>
        <v>0</v>
      </c>
      <c r="P16">
        <f>'Input Scenarios'!P16</f>
        <v>0</v>
      </c>
      <c r="Q16">
        <f>'Input Scenarios'!Q16</f>
        <v>0</v>
      </c>
      <c r="R16" t="b">
        <f>'Input Scenarios'!R16</f>
        <v>1</v>
      </c>
      <c r="S16">
        <f>IF('Input Scenarios'!S16&lt;&gt;"", 'Input Scenarios'!S16, IF(R16, Constants!$B$38, 0))</f>
        <v>0.2</v>
      </c>
      <c r="T16" t="str">
        <f>IF('Input Scenarios'!T16&lt;&gt;"", 'Input Scenarios'!T16, "")</f>
        <v/>
      </c>
      <c r="U16">
        <f>IF('Input Scenarios'!U16&lt;&gt;"", 'Input Scenarios'!U16, IF(W16&lt;&gt;"", "", Constants!$B$39))</f>
        <v>4</v>
      </c>
      <c r="V16">
        <f>IF('Input Scenarios'!V16&lt;&gt;"", 'Input Scenarios'!V16, IF(W16&lt;&gt;"", "", Constants!$B$40))</f>
        <v>3.3</v>
      </c>
      <c r="W16" t="str">
        <f>IF('Input Scenarios'!W16&lt;&gt;"", 'Input Scenarios'!W16, "")</f>
        <v/>
      </c>
      <c r="X16" t="str">
        <f>'Input Scenarios'!X16</f>
        <v>Large Friesian</v>
      </c>
      <c r="Y16" t="str">
        <f>'Input Scenarios'!Y16</f>
        <v>heifersGt1</v>
      </c>
      <c r="Z16">
        <f>'Input Scenarios'!Z16</f>
        <v>200</v>
      </c>
      <c r="AA16">
        <f>IF('Input Scenarios'!AA16&lt;&gt;"", 'Input Scenarios'!AA16, _xlfn.XLOOKUP(Y16,Constants!$J$6:$J$12,Constants!$K$6:$K$12))</f>
        <v>365</v>
      </c>
      <c r="AB16">
        <f>IF('Input Scenarios'!AB16&lt;&gt;"", 'Input Scenarios'!AB16, INDEX(Constants!$B$2:$H$11, MATCH(X16, Constants!$A$2:$A$11, 0), MATCH(Y16,Constants!$B$1:$H$1, 0)))</f>
        <v>415</v>
      </c>
      <c r="AC16">
        <f>IF('Input Scenarios'!AC16&lt;&gt;"", 'Input Scenarios'!AC16, _xlfn.XLOOKUP(Y16, Constants!$B$13:$H$13, Constants!$B$15:$H$15, ""))</f>
        <v>0.6</v>
      </c>
      <c r="AD16">
        <f>IF('Input Scenarios'!AD16&lt;&gt;"", 'Input Scenarios'!AD16, Constants!$B$45)</f>
        <v>0.75</v>
      </c>
      <c r="AE16">
        <f>IF('Input Scenarios'!AE16&lt;&gt;"", 'Input Scenarios'!AE16, Constants!$B$46)</f>
        <v>0.2</v>
      </c>
      <c r="AF16">
        <f t="shared" si="1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11"/>
        <v>1</v>
      </c>
      <c r="AK16">
        <f t="shared" si="27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28"/>
        <v>0.5948500000000001</v>
      </c>
      <c r="AQ16">
        <f t="shared" si="29"/>
        <v>0</v>
      </c>
      <c r="AR16">
        <f>IF(Y16="milkingCows", Constants!$P$2, Constants!$P$3)</f>
        <v>1</v>
      </c>
      <c r="AS16">
        <f t="shared" si="30"/>
        <v>7.8978703992249981</v>
      </c>
      <c r="AT16">
        <f t="shared" si="31"/>
        <v>1.1494010181510916</v>
      </c>
      <c r="AU16">
        <f>_xlfn.XLOOKUP(Y16, Constants!$B$13:$H$13, Constants!$B$14:$H$14, "")</f>
        <v>590</v>
      </c>
      <c r="AV16">
        <f t="shared" si="32"/>
        <v>0.70338983050847459</v>
      </c>
      <c r="AW16">
        <f>Constants!$B$55</f>
        <v>6.25</v>
      </c>
      <c r="AX16">
        <f t="shared" si="1"/>
        <v>8.1663842777947686E-3</v>
      </c>
      <c r="AY16">
        <f t="shared" si="2"/>
        <v>1.5795740798449998</v>
      </c>
      <c r="AZ16">
        <f t="shared" si="18"/>
        <v>0.24294720685439194</v>
      </c>
      <c r="BA16" t="str">
        <f>IF(ISNUMBER(FIND("PreWeaned",Y16)),_xlfn.XLOOKUP(Y16,Constants!$J$2:$J$3,Constants!$M$2:$M$3),"")</f>
        <v/>
      </c>
      <c r="BB16">
        <f t="shared" si="3"/>
        <v>17735.146100370614</v>
      </c>
      <c r="BC16">
        <f t="shared" si="4"/>
        <v>0</v>
      </c>
      <c r="BD16">
        <f t="shared" si="5"/>
        <v>0</v>
      </c>
      <c r="BE16">
        <f t="shared" si="6"/>
        <v>0</v>
      </c>
      <c r="BF16">
        <f t="shared" si="7"/>
        <v>0</v>
      </c>
      <c r="BG16">
        <f t="shared" si="8"/>
        <v>17735.146100370614</v>
      </c>
      <c r="BH16">
        <f>Constants!$D$19</f>
        <v>0.35</v>
      </c>
      <c r="BI16">
        <f>Constants!$D$20</f>
        <v>7.0000000000000007E-2</v>
      </c>
      <c r="BJ16">
        <f>Constants!$D$21</f>
        <v>0.2</v>
      </c>
      <c r="BK16">
        <f>Constants!$D$22</f>
        <v>0.3</v>
      </c>
      <c r="BL16">
        <f>Constants!$D$23</f>
        <v>0</v>
      </c>
      <c r="BM16">
        <f>Constants!$B$51</f>
        <v>0.21</v>
      </c>
      <c r="BN16">
        <f>Constants!$B$50</f>
        <v>1.57</v>
      </c>
      <c r="BO16">
        <f>_xlfn.XLOOKUP(C16,Constants!$A$27:$A$31,Constants!$B$27:$B$31)</f>
        <v>8.0000000000000002E-3</v>
      </c>
      <c r="BP16">
        <f t="shared" si="33"/>
        <v>0</v>
      </c>
      <c r="BQ16">
        <f t="shared" si="34"/>
        <v>0</v>
      </c>
      <c r="BR16">
        <f t="shared" si="35"/>
        <v>0</v>
      </c>
      <c r="BS16">
        <f t="shared" si="36"/>
        <v>0</v>
      </c>
      <c r="BT16">
        <f t="shared" si="37"/>
        <v>0</v>
      </c>
      <c r="BU16">
        <f t="shared" si="38"/>
        <v>3724.3806810778287</v>
      </c>
      <c r="BV16">
        <f t="shared" si="39"/>
        <v>0</v>
      </c>
      <c r="BW16">
        <f t="shared" si="40"/>
        <v>46.778221354337532</v>
      </c>
    </row>
    <row r="17" spans="1:76" x14ac:dyDescent="0.2">
      <c r="A17" t="str">
        <f>'Input Scenarios'!A17</f>
        <v>QLD</v>
      </c>
      <c r="B17">
        <f>'Input Scenarios'!B17</f>
        <v>0</v>
      </c>
      <c r="C17" t="str">
        <f>'Input Scenarios'!C17</f>
        <v>Non-irrigated crop (high rainfall)</v>
      </c>
      <c r="D17" t="str">
        <f>'Input Scenarios'!D17</f>
        <v>wet</v>
      </c>
      <c r="E17" t="b">
        <f>'Input Scenarios'!E17</f>
        <v>1</v>
      </c>
      <c r="F17" t="str">
        <f>'Input Scenarios'!F17</f>
        <v>Limited feedpad</v>
      </c>
      <c r="G17">
        <f>IF('Input Scenarios'!G17&lt;&gt;"", 'Input Scenarios'!G17, _xlfn.XLOOKUP($F17, Constants!$M$6:$M$9,Constants!N$6:N$9))</f>
        <v>0.79</v>
      </c>
      <c r="H17">
        <f>IF('Input Scenarios'!H17&lt;&gt;"", 'Input Scenarios'!H17, _xlfn.XLOOKUP($F17, Constants!$M$6:$M$9,Constants!O$6:O$9))</f>
        <v>0.11</v>
      </c>
      <c r="I17">
        <f>IF('Input Scenarios'!I17&lt;&gt;"", 'Input Scenarios'!I17, _xlfn.XLOOKUP($F17, Constants!$M$6:$M$9,Constants!P$6:P$9))</f>
        <v>0.1</v>
      </c>
      <c r="J17">
        <f>'Input Scenarios'!J17</f>
        <v>0</v>
      </c>
      <c r="K17">
        <f>'Input Scenarios'!K17</f>
        <v>0</v>
      </c>
      <c r="L17">
        <f>'Input Scenarios'!L17</f>
        <v>1</v>
      </c>
      <c r="M17">
        <f>'Input Scenarios'!M17</f>
        <v>0</v>
      </c>
      <c r="N17">
        <f>'Input Scenarios'!N17</f>
        <v>1</v>
      </c>
      <c r="O17">
        <f>'Input Scenarios'!O17</f>
        <v>0</v>
      </c>
      <c r="P17">
        <f>'Input Scenarios'!P17</f>
        <v>0</v>
      </c>
      <c r="Q17">
        <f>'Input Scenarios'!Q17</f>
        <v>0</v>
      </c>
      <c r="R17" t="b">
        <f>'Input Scenarios'!R17</f>
        <v>1</v>
      </c>
      <c r="S17">
        <f>IF('Input Scenarios'!S17&lt;&gt;"", 'Input Scenarios'!S17, IF(R17, Constants!$B$38, 0))</f>
        <v>0.2</v>
      </c>
      <c r="T17" t="str">
        <f>IF('Input Scenarios'!T17&lt;&gt;"", 'Input Scenarios'!T17, "")</f>
        <v/>
      </c>
      <c r="U17">
        <f>IF('Input Scenarios'!U17&lt;&gt;"", 'Input Scenarios'!U17, IF(W17&lt;&gt;"", "", Constants!$B$39))</f>
        <v>4</v>
      </c>
      <c r="V17">
        <f>IF('Input Scenarios'!V17&lt;&gt;"", 'Input Scenarios'!V17, IF(W17&lt;&gt;"", "", Constants!$B$40))</f>
        <v>3.3</v>
      </c>
      <c r="W17" t="str">
        <f>IF('Input Scenarios'!W17&lt;&gt;"", 'Input Scenarios'!W17, "")</f>
        <v/>
      </c>
      <c r="X17" t="str">
        <f>'Input Scenarios'!X17</f>
        <v>Large Friesian</v>
      </c>
      <c r="Y17" t="str">
        <f>'Input Scenarios'!Y17</f>
        <v>heifersLt1PreWeaned</v>
      </c>
      <c r="Z17">
        <f>'Input Scenarios'!Z17</f>
        <v>200</v>
      </c>
      <c r="AA17">
        <f>IF('Input Scenarios'!AA17&lt;&gt;"", 'Input Scenarios'!AA17, _xlfn.XLOOKUP(Y17,Constants!$J$6:$J$12,Constants!$K$6:$K$12))</f>
        <v>84</v>
      </c>
      <c r="AB17">
        <f>IF('Input Scenarios'!AB17&lt;&gt;"", 'Input Scenarios'!AB17, INDEX(Constants!$B$2:$H$11, MATCH(X17, Constants!$A$2:$A$11, 0), MATCH(Y17,Constants!$B$1:$H$1, 0)))</f>
        <v>170</v>
      </c>
      <c r="AC17" t="str">
        <f>IF('Input Scenarios'!AC17&lt;&gt;"", 'Input Scenarios'!AC17, _xlfn.XLOOKUP(Y17, Constants!$B$13:$H$13, Constants!$B$15:$H$15, ""))</f>
        <v/>
      </c>
      <c r="AD17">
        <f>IF('Input Scenarios'!AD17&lt;&gt;"", 'Input Scenarios'!AD17, Constants!$B$45)</f>
        <v>0.75</v>
      </c>
      <c r="AE17">
        <f>IF('Input Scenarios'!AE17&lt;&gt;"", 'Input Scenarios'!AE17, Constants!$B$46)</f>
        <v>0.2</v>
      </c>
      <c r="AF17">
        <f t="shared" si="1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11"/>
        <v>1</v>
      </c>
      <c r="AK17">
        <f t="shared" si="27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28"/>
        <v>0.5948500000000001</v>
      </c>
      <c r="AQ17">
        <f t="shared" si="29"/>
        <v>0</v>
      </c>
      <c r="AR17">
        <f>IF(Y17="milkingCows", Constants!$P$2, Constants!$P$3)</f>
        <v>1</v>
      </c>
      <c r="AS17" t="str">
        <f t="shared" si="30"/>
        <v/>
      </c>
      <c r="AT17" t="str">
        <f t="shared" si="31"/>
        <v/>
      </c>
      <c r="AU17" t="str">
        <f>_xlfn.XLOOKUP(Y17, Constants!$B$13:$H$13, Constants!$B$14:$H$14, "")</f>
        <v/>
      </c>
      <c r="AV17" t="str">
        <f t="shared" si="32"/>
        <v/>
      </c>
      <c r="AW17">
        <f>Constants!$B$55</f>
        <v>6.25</v>
      </c>
      <c r="AX17" t="str">
        <f t="shared" si="1"/>
        <v/>
      </c>
      <c r="AY17" t="str">
        <f t="shared" si="2"/>
        <v/>
      </c>
      <c r="AZ17" t="str">
        <f t="shared" si="18"/>
        <v/>
      </c>
      <c r="BA17">
        <f>IF(ISNUMBER(FIND("PreWeaned",Y17)),_xlfn.XLOOKUP(Y17,Constants!$J$2:$J$3,Constants!$M$2:$M$3),"")</f>
        <v>1.37E-2</v>
      </c>
      <c r="BB17">
        <f t="shared" si="3"/>
        <v>230.16000000000003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230.16000000000003</v>
      </c>
      <c r="BH17">
        <f>Constants!$D$19</f>
        <v>0.35</v>
      </c>
      <c r="BI17">
        <f>Constants!$D$20</f>
        <v>7.0000000000000007E-2</v>
      </c>
      <c r="BJ17">
        <f>Constants!$D$21</f>
        <v>0.2</v>
      </c>
      <c r="BK17">
        <f>Constants!$D$22</f>
        <v>0.3</v>
      </c>
      <c r="BL17">
        <f>Constants!$D$23</f>
        <v>0</v>
      </c>
      <c r="BM17">
        <f>Constants!$B$51</f>
        <v>0.21</v>
      </c>
      <c r="BN17">
        <f>Constants!$B$50</f>
        <v>1.57</v>
      </c>
      <c r="BO17">
        <f>_xlfn.XLOOKUP(C17,Constants!$A$27:$A$31,Constants!$B$27:$B$31)</f>
        <v>8.0000000000000002E-3</v>
      </c>
      <c r="BP17">
        <f t="shared" si="33"/>
        <v>0</v>
      </c>
      <c r="BQ17">
        <f t="shared" si="34"/>
        <v>0</v>
      </c>
      <c r="BR17">
        <f t="shared" si="35"/>
        <v>0</v>
      </c>
      <c r="BS17">
        <f t="shared" si="36"/>
        <v>0</v>
      </c>
      <c r="BT17">
        <f t="shared" si="37"/>
        <v>0</v>
      </c>
      <c r="BU17">
        <f t="shared" si="38"/>
        <v>48.333600000000004</v>
      </c>
      <c r="BV17">
        <f t="shared" si="39"/>
        <v>0</v>
      </c>
      <c r="BW17">
        <f t="shared" si="40"/>
        <v>0.6070700160000001</v>
      </c>
    </row>
    <row r="18" spans="1:76" x14ac:dyDescent="0.2">
      <c r="A18" t="str">
        <f>'Input Scenarios'!A18</f>
        <v>QLD</v>
      </c>
      <c r="B18">
        <f>'Input Scenarios'!B18</f>
        <v>0</v>
      </c>
      <c r="C18" t="str">
        <f>'Input Scenarios'!C18</f>
        <v>Non-irrigated crop (high rainfall)</v>
      </c>
      <c r="D18" t="str">
        <f>'Input Scenarios'!D18</f>
        <v>wet</v>
      </c>
      <c r="E18" t="b">
        <f>'Input Scenarios'!E18</f>
        <v>1</v>
      </c>
      <c r="F18" t="str">
        <f>'Input Scenarios'!F18</f>
        <v>Limited feedpad</v>
      </c>
      <c r="G18">
        <f>IF('Input Scenarios'!G18&lt;&gt;"", 'Input Scenarios'!G18, _xlfn.XLOOKUP($F18, Constants!$M$6:$M$9,Constants!N$6:N$9))</f>
        <v>0.79</v>
      </c>
      <c r="H18">
        <f>IF('Input Scenarios'!H18&lt;&gt;"", 'Input Scenarios'!H18, _xlfn.XLOOKUP($F18, Constants!$M$6:$M$9,Constants!O$6:O$9))</f>
        <v>0.11</v>
      </c>
      <c r="I18">
        <f>IF('Input Scenarios'!I18&lt;&gt;"", 'Input Scenarios'!I18, _xlfn.XLOOKUP($F18, Constants!$M$6:$M$9,Constants!P$6:P$9))</f>
        <v>0.1</v>
      </c>
      <c r="J18">
        <f>'Input Scenarios'!J18</f>
        <v>0</v>
      </c>
      <c r="K18">
        <f>'Input Scenarios'!K18</f>
        <v>0</v>
      </c>
      <c r="L18">
        <f>'Input Scenarios'!L18</f>
        <v>1</v>
      </c>
      <c r="M18">
        <f>'Input Scenarios'!M18</f>
        <v>0</v>
      </c>
      <c r="N18">
        <f>'Input Scenarios'!N18</f>
        <v>1</v>
      </c>
      <c r="O18">
        <f>'Input Scenarios'!O18</f>
        <v>0</v>
      </c>
      <c r="P18">
        <f>'Input Scenarios'!P18</f>
        <v>0</v>
      </c>
      <c r="Q18">
        <f>'Input Scenarios'!Q18</f>
        <v>0</v>
      </c>
      <c r="R18" t="b">
        <f>'Input Scenarios'!R18</f>
        <v>1</v>
      </c>
      <c r="S18">
        <f>IF('Input Scenarios'!S18&lt;&gt;"", 'Input Scenarios'!S18, IF(R18, Constants!$B$38, 0))</f>
        <v>0.2</v>
      </c>
      <c r="T18" t="str">
        <f>IF('Input Scenarios'!T18&lt;&gt;"", 'Input Scenarios'!T18, "")</f>
        <v/>
      </c>
      <c r="U18">
        <f>IF('Input Scenarios'!U18&lt;&gt;"", 'Input Scenarios'!U18, IF(W18&lt;&gt;"", "", Constants!$B$39))</f>
        <v>4</v>
      </c>
      <c r="V18">
        <f>IF('Input Scenarios'!V18&lt;&gt;"", 'Input Scenarios'!V18, IF(W18&lt;&gt;"", "", Constants!$B$40))</f>
        <v>3.3</v>
      </c>
      <c r="W18" t="str">
        <f>IF('Input Scenarios'!W18&lt;&gt;"", 'Input Scenarios'!W18, "")</f>
        <v/>
      </c>
      <c r="X18" t="str">
        <f>'Input Scenarios'!X18</f>
        <v>Large Friesian</v>
      </c>
      <c r="Y18" t="str">
        <f>'Input Scenarios'!Y18</f>
        <v>heifersLt1Weaned</v>
      </c>
      <c r="Z18">
        <f>'Input Scenarios'!Z18</f>
        <v>200</v>
      </c>
      <c r="AA18">
        <f>IF('Input Scenarios'!AA18&lt;&gt;"", 'Input Scenarios'!AA18, _xlfn.XLOOKUP(Y18,Constants!$J$6:$J$12,Constants!$K$6:$K$12))</f>
        <v>281</v>
      </c>
      <c r="AB18">
        <f>IF('Input Scenarios'!AB18&lt;&gt;"", 'Input Scenarios'!AB18, INDEX(Constants!$B$2:$H$11, MATCH(X18, Constants!$A$2:$A$11, 0), MATCH(Y18,Constants!$B$1:$H$1, 0)))</f>
        <v>170</v>
      </c>
      <c r="AC18">
        <f>IF('Input Scenarios'!AC18&lt;&gt;"", 'Input Scenarios'!AC18, _xlfn.XLOOKUP(Y18, Constants!$B$13:$H$13, Constants!$B$15:$H$15, ""))</f>
        <v>0.56999999999999995</v>
      </c>
      <c r="AD18">
        <f>IF('Input Scenarios'!AD18&lt;&gt;"", 'Input Scenarios'!AD18, Constants!$B$45)</f>
        <v>0.75</v>
      </c>
      <c r="AE18">
        <f>IF('Input Scenarios'!AE18&lt;&gt;"", 'Input Scenarios'!AE18, Constants!$B$46)</f>
        <v>0.2</v>
      </c>
      <c r="AF18">
        <f t="shared" si="1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11"/>
        <v>1</v>
      </c>
      <c r="AK18">
        <f t="shared" si="27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28"/>
        <v>0.5948500000000001</v>
      </c>
      <c r="AQ18">
        <f t="shared" si="29"/>
        <v>0</v>
      </c>
      <c r="AR18">
        <f>IF(Y18="milkingCows", Constants!$P$2, Constants!$P$3)</f>
        <v>1</v>
      </c>
      <c r="AS18">
        <f t="shared" si="30"/>
        <v>4.2485866641000003</v>
      </c>
      <c r="AT18">
        <f t="shared" si="31"/>
        <v>1.1999473082859327</v>
      </c>
      <c r="AU18">
        <f>_xlfn.XLOOKUP(Y18, Constants!$B$13:$H$13, Constants!$B$14:$H$14, "")</f>
        <v>590</v>
      </c>
      <c r="AV18">
        <f t="shared" si="32"/>
        <v>0.28813559322033899</v>
      </c>
      <c r="AW18">
        <f>Constants!$B$55</f>
        <v>6.25</v>
      </c>
      <c r="AX18">
        <f t="shared" si="1"/>
        <v>1.4169978295569003E-2</v>
      </c>
      <c r="AY18">
        <f t="shared" si="2"/>
        <v>0.84971733282000006</v>
      </c>
      <c r="AZ18">
        <f t="shared" si="18"/>
        <v>0.1209561865037117</v>
      </c>
      <c r="BA18" t="str">
        <f>IF(ISNUMBER(FIND("PreWeaned",Y18)),_xlfn.XLOOKUP(Y18,Constants!$J$2:$J$3,Constants!$M$2:$M$3),"")</f>
        <v/>
      </c>
      <c r="BB18">
        <f t="shared" si="3"/>
        <v>6797.7376815085972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6797.7376815085972</v>
      </c>
      <c r="BH18">
        <f>Constants!$D$19</f>
        <v>0.35</v>
      </c>
      <c r="BI18">
        <f>Constants!$D$20</f>
        <v>7.0000000000000007E-2</v>
      </c>
      <c r="BJ18">
        <f>Constants!$D$21</f>
        <v>0.2</v>
      </c>
      <c r="BK18">
        <f>Constants!$D$22</f>
        <v>0.3</v>
      </c>
      <c r="BL18">
        <f>Constants!$D$23</f>
        <v>0</v>
      </c>
      <c r="BM18">
        <f>Constants!$B$51</f>
        <v>0.21</v>
      </c>
      <c r="BN18">
        <f>Constants!$B$50</f>
        <v>1.57</v>
      </c>
      <c r="BO18">
        <f>_xlfn.XLOOKUP(C18,Constants!$A$27:$A$31,Constants!$B$27:$B$31)</f>
        <v>8.0000000000000002E-3</v>
      </c>
      <c r="BP18">
        <f t="shared" si="33"/>
        <v>0</v>
      </c>
      <c r="BQ18">
        <f t="shared" si="34"/>
        <v>0</v>
      </c>
      <c r="BR18">
        <f t="shared" si="35"/>
        <v>0</v>
      </c>
      <c r="BS18">
        <f t="shared" si="36"/>
        <v>0</v>
      </c>
      <c r="BT18">
        <f t="shared" si="37"/>
        <v>0</v>
      </c>
      <c r="BU18">
        <f t="shared" si="38"/>
        <v>1427.5249131168055</v>
      </c>
      <c r="BV18">
        <f t="shared" si="39"/>
        <v>0</v>
      </c>
      <c r="BW18">
        <f t="shared" si="40"/>
        <v>17.929712908747078</v>
      </c>
    </row>
    <row r="19" spans="1:76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crop (high rainfall)</v>
      </c>
      <c r="D19" t="str">
        <f>'Input Scenarios'!D19</f>
        <v>wet</v>
      </c>
      <c r="E19" t="b">
        <f>'Input Scenarios'!E19</f>
        <v>1</v>
      </c>
      <c r="F19" t="str">
        <f>'Input Scenarios'!F19</f>
        <v>Limited feedpad</v>
      </c>
      <c r="G19">
        <f>IF('Input Scenarios'!G19&lt;&gt;"", 'Input Scenarios'!G19, _xlfn.XLOOKUP($F19, Constants!$M$6:$M$9,Constants!N$6:N$9))</f>
        <v>0.79</v>
      </c>
      <c r="H19">
        <f>IF('Input Scenarios'!H19&lt;&gt;"", 'Input Scenarios'!H19, _xlfn.XLOOKUP($F19, Constants!$M$6:$M$9,Constants!O$6:O$9))</f>
        <v>0.11</v>
      </c>
      <c r="I19">
        <f>IF('Input Scenarios'!I19&lt;&gt;"", 'Input Scenarios'!I19, _xlfn.XLOOKUP($F19, Constants!$M$6:$M$9,Constants!P$6:P$9))</f>
        <v>0.1</v>
      </c>
      <c r="J19">
        <f>'Input Scenarios'!J19</f>
        <v>0</v>
      </c>
      <c r="K19">
        <f>'Input Scenarios'!K19</f>
        <v>0</v>
      </c>
      <c r="L19">
        <f>'Input Scenarios'!L19</f>
        <v>1</v>
      </c>
      <c r="M19">
        <f>'Input Scenarios'!M19</f>
        <v>0</v>
      </c>
      <c r="N19">
        <f>'Input Scenarios'!N19</f>
        <v>1</v>
      </c>
      <c r="O19">
        <f>'Input Scenarios'!O19</f>
        <v>0</v>
      </c>
      <c r="P19">
        <f>'Input Scenarios'!P19</f>
        <v>0</v>
      </c>
      <c r="Q19">
        <f>'Input Scenarios'!Q19</f>
        <v>0</v>
      </c>
      <c r="R19" t="b">
        <f>'Input Scenarios'!R19</f>
        <v>1</v>
      </c>
      <c r="S19">
        <f>IF('Input Scenarios'!S19&lt;&gt;"", 'Input Scenarios'!S19, IF(R19, Constants!$B$38, 0))</f>
        <v>0.2</v>
      </c>
      <c r="T19" t="str">
        <f>IF('Input Scenarios'!T19&lt;&gt;"", 'Input Scenarios'!T19, "")</f>
        <v/>
      </c>
      <c r="U19">
        <f>IF('Input Scenarios'!U19&lt;&gt;"", 'Input Scenarios'!U19, IF(W19&lt;&gt;"", "", Constants!$B$39))</f>
        <v>4</v>
      </c>
      <c r="V19">
        <f>IF('Input Scenarios'!V19&lt;&gt;"", 'Input Scenarios'!V19, IF(W19&lt;&gt;"", "", Constants!$B$40))</f>
        <v>3.3</v>
      </c>
      <c r="W19" t="str">
        <f>IF('Input Scenarios'!W19&lt;&gt;"", 'Input Scenarios'!W19, "")</f>
        <v/>
      </c>
      <c r="X19" t="str">
        <f>'Input Scenarios'!X19</f>
        <v>Large Friesian</v>
      </c>
      <c r="Y19" t="str">
        <f>'Input Scenarios'!Y19</f>
        <v>bullsGt1</v>
      </c>
      <c r="Z19">
        <f>'Input Scenarios'!Z19</f>
        <v>200</v>
      </c>
      <c r="AA19">
        <f>IF('Input Scenarios'!AA19&lt;&gt;"", 'Input Scenarios'!AA19, _xlfn.XLOOKUP(Y19,Constants!$J$6:$J$12,Constants!$K$6:$K$12))</f>
        <v>365</v>
      </c>
      <c r="AB19">
        <f>IF('Input Scenarios'!AB19&lt;&gt;"", 'Input Scenarios'!AB19, INDEX(Constants!$B$2:$H$11, MATCH(X19, Constants!$A$2:$A$11, 0), MATCH(Y19,Constants!$B$1:$H$1, 0)))</f>
        <v>600</v>
      </c>
      <c r="AC19">
        <f>IF('Input Scenarios'!AC19&lt;&gt;"", 'Input Scenarios'!AC19, _xlfn.XLOOKUP(Y19, Constants!$B$13:$H$13, Constants!$B$15:$H$15, ""))</f>
        <v>0.1</v>
      </c>
      <c r="AD19">
        <f>IF('Input Scenarios'!AD19&lt;&gt;"", 'Input Scenarios'!AD19, Constants!$B$45)</f>
        <v>0.75</v>
      </c>
      <c r="AE19">
        <f>IF('Input Scenarios'!AE19&lt;&gt;"", 'Input Scenarios'!AE19, Constants!$B$46)</f>
        <v>0.2</v>
      </c>
      <c r="AF19">
        <f t="shared" si="1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11"/>
        <v>1</v>
      </c>
      <c r="AK19">
        <f t="shared" si="27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28"/>
        <v>0.5948500000000001</v>
      </c>
      <c r="AQ19">
        <f t="shared" si="29"/>
        <v>0</v>
      </c>
      <c r="AR19">
        <f>IF(Y19="milkingCows", Constants!$P$2, Constants!$P$3)</f>
        <v>1</v>
      </c>
      <c r="AS19">
        <f t="shared" si="30"/>
        <v>9.0270202499999979</v>
      </c>
      <c r="AT19">
        <f t="shared" si="31"/>
        <v>1.0213029780639273</v>
      </c>
      <c r="AU19">
        <f>_xlfn.XLOOKUP(Y19, Constants!$B$13:$H$13, Constants!$B$14:$H$14, "")</f>
        <v>770</v>
      </c>
      <c r="AV19">
        <f t="shared" si="32"/>
        <v>0.77922077922077926</v>
      </c>
      <c r="AW19">
        <f>Constants!$B$55</f>
        <v>6.25</v>
      </c>
      <c r="AX19">
        <f t="shared" si="1"/>
        <v>1.2626203146474679E-3</v>
      </c>
      <c r="AY19">
        <f t="shared" si="2"/>
        <v>1.8054040499999997</v>
      </c>
      <c r="AZ19">
        <f t="shared" si="18"/>
        <v>0.28546836331241399</v>
      </c>
      <c r="BA19" t="str">
        <f>IF(ISNUMBER(FIND("PreWeaned",Y19)),_xlfn.XLOOKUP(Y19,Constants!$J$2:$J$3,Constants!$M$2:$M$3),"")</f>
        <v/>
      </c>
      <c r="BB19">
        <f t="shared" si="3"/>
        <v>20839.19052180622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20839.19052180622</v>
      </c>
      <c r="BH19">
        <f>Constants!$D$19</f>
        <v>0.35</v>
      </c>
      <c r="BI19">
        <f>Constants!$D$20</f>
        <v>7.0000000000000007E-2</v>
      </c>
      <c r="BJ19">
        <f>Constants!$D$21</f>
        <v>0.2</v>
      </c>
      <c r="BK19">
        <f>Constants!$D$22</f>
        <v>0.3</v>
      </c>
      <c r="BL19">
        <f>Constants!$D$23</f>
        <v>0</v>
      </c>
      <c r="BM19">
        <f>Constants!$B$51</f>
        <v>0.21</v>
      </c>
      <c r="BN19">
        <f>Constants!$B$50</f>
        <v>1.57</v>
      </c>
      <c r="BO19">
        <f>_xlfn.XLOOKUP(C19,Constants!$A$27:$A$31,Constants!$B$27:$B$31)</f>
        <v>8.0000000000000002E-3</v>
      </c>
      <c r="BP19">
        <f t="shared" si="33"/>
        <v>0</v>
      </c>
      <c r="BQ19">
        <f t="shared" si="34"/>
        <v>0</v>
      </c>
      <c r="BR19">
        <f t="shared" si="35"/>
        <v>0</v>
      </c>
      <c r="BS19">
        <f t="shared" si="36"/>
        <v>0</v>
      </c>
      <c r="BT19">
        <f t="shared" si="37"/>
        <v>0</v>
      </c>
      <c r="BU19">
        <f t="shared" si="38"/>
        <v>4376.2300095793062</v>
      </c>
      <c r="BV19">
        <f t="shared" si="39"/>
        <v>0</v>
      </c>
      <c r="BW19">
        <f t="shared" si="40"/>
        <v>54.965448920316085</v>
      </c>
    </row>
    <row r="20" spans="1:76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crop (high rainfall)</v>
      </c>
      <c r="D20" t="str">
        <f>'Input Scenarios'!D20</f>
        <v>wet</v>
      </c>
      <c r="E20" t="b">
        <f>'Input Scenarios'!E20</f>
        <v>1</v>
      </c>
      <c r="F20" t="str">
        <f>'Input Scenarios'!F20</f>
        <v>Limited feedpad</v>
      </c>
      <c r="G20">
        <f>IF('Input Scenarios'!G20&lt;&gt;"", 'Input Scenarios'!G20, _xlfn.XLOOKUP($F20, Constants!$M$6:$M$9,Constants!N$6:N$9))</f>
        <v>0.79</v>
      </c>
      <c r="H20">
        <f>IF('Input Scenarios'!H20&lt;&gt;"", 'Input Scenarios'!H20, _xlfn.XLOOKUP($F20, Constants!$M$6:$M$9,Constants!O$6:O$9))</f>
        <v>0.11</v>
      </c>
      <c r="I20">
        <f>IF('Input Scenarios'!I20&lt;&gt;"", 'Input Scenarios'!I20, _xlfn.XLOOKUP($F20, Constants!$M$6:$M$9,Constants!P$6:P$9))</f>
        <v>0.1</v>
      </c>
      <c r="J20">
        <f>'Input Scenarios'!J20</f>
        <v>0</v>
      </c>
      <c r="K20">
        <f>'Input Scenarios'!K20</f>
        <v>0</v>
      </c>
      <c r="L20">
        <f>'Input Scenarios'!L20</f>
        <v>1</v>
      </c>
      <c r="M20">
        <f>'Input Scenarios'!M20</f>
        <v>0</v>
      </c>
      <c r="N20">
        <f>'Input Scenarios'!N20</f>
        <v>1</v>
      </c>
      <c r="O20">
        <f>'Input Scenarios'!O20</f>
        <v>0</v>
      </c>
      <c r="P20">
        <f>'Input Scenarios'!P20</f>
        <v>0</v>
      </c>
      <c r="Q20">
        <f>'Input Scenarios'!Q20</f>
        <v>0</v>
      </c>
      <c r="R20" t="b">
        <f>'Input Scenarios'!R20</f>
        <v>1</v>
      </c>
      <c r="S20">
        <f>IF('Input Scenarios'!S20&lt;&gt;"", 'Input Scenarios'!S20, IF(R20, Constants!$B$38, 0))</f>
        <v>0.2</v>
      </c>
      <c r="T20" t="str">
        <f>IF('Input Scenarios'!T20&lt;&gt;"", 'Input Scenarios'!T20, "")</f>
        <v/>
      </c>
      <c r="U20">
        <f>IF('Input Scenarios'!U20&lt;&gt;"", 'Input Scenarios'!U20, IF(W20&lt;&gt;"", "", Constants!$B$39))</f>
        <v>4</v>
      </c>
      <c r="V20">
        <f>IF('Input Scenarios'!V20&lt;&gt;"", 'Input Scenarios'!V20, IF(W20&lt;&gt;"", "", Constants!$B$40))</f>
        <v>3.3</v>
      </c>
      <c r="W20" t="str">
        <f>IF('Input Scenarios'!W20&lt;&gt;"", 'Input Scenarios'!W20, "")</f>
        <v/>
      </c>
      <c r="X20" t="str">
        <f>'Input Scenarios'!X20</f>
        <v>Large Friesian</v>
      </c>
      <c r="Y20" t="str">
        <f>'Input Scenarios'!Y20</f>
        <v>bullsLt1PreWeaned</v>
      </c>
      <c r="Z20">
        <f>'Input Scenarios'!Z20</f>
        <v>200</v>
      </c>
      <c r="AA20">
        <f>IF('Input Scenarios'!AA20&lt;&gt;"", 'Input Scenarios'!AA20, _xlfn.XLOOKUP(Y20,Constants!$J$6:$J$12,Constants!$K$6:$K$12))</f>
        <v>84</v>
      </c>
      <c r="AB20">
        <f>IF('Input Scenarios'!AB20&lt;&gt;"", 'Input Scenarios'!AB20, INDEX(Constants!$B$2:$H$11, MATCH(X20, Constants!$A$2:$A$11, 0), MATCH(Y20,Constants!$B$1:$H$1, 0)))</f>
        <v>225</v>
      </c>
      <c r="AC20" t="str">
        <f>IF('Input Scenarios'!AC20&lt;&gt;"", 'Input Scenarios'!AC20, _xlfn.XLOOKUP(Y20, Constants!$B$13:$H$13, Constants!$B$15:$H$15, ""))</f>
        <v/>
      </c>
      <c r="AD20">
        <f>IF('Input Scenarios'!AD20&lt;&gt;"", 'Input Scenarios'!AD20, Constants!$B$45)</f>
        <v>0.75</v>
      </c>
      <c r="AE20">
        <f>IF('Input Scenarios'!AE20&lt;&gt;"", 'Input Scenarios'!AE20, Constants!$B$46)</f>
        <v>0.2</v>
      </c>
      <c r="AF20">
        <f t="shared" si="1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11"/>
        <v>1</v>
      </c>
      <c r="AK20">
        <f t="shared" si="27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28"/>
        <v>0.5948500000000001</v>
      </c>
      <c r="AQ20">
        <f t="shared" si="29"/>
        <v>0</v>
      </c>
      <c r="AR20">
        <f>IF(Y20="milkingCows", Constants!$P$2, Constants!$P$3)</f>
        <v>1</v>
      </c>
      <c r="AS20" t="str">
        <f t="shared" si="30"/>
        <v/>
      </c>
      <c r="AT20" t="str">
        <f t="shared" si="31"/>
        <v/>
      </c>
      <c r="AU20" t="str">
        <f>_xlfn.XLOOKUP(Y20, Constants!$B$13:$H$13, Constants!$B$14:$H$14, "")</f>
        <v/>
      </c>
      <c r="AV20" t="str">
        <f t="shared" si="32"/>
        <v/>
      </c>
      <c r="AW20">
        <f>Constants!$B$55</f>
        <v>6.25</v>
      </c>
      <c r="AX20" t="str">
        <f t="shared" si="1"/>
        <v/>
      </c>
      <c r="AY20" t="str">
        <f t="shared" si="2"/>
        <v/>
      </c>
      <c r="AZ20" t="str">
        <f t="shared" si="18"/>
        <v/>
      </c>
      <c r="BA20">
        <f>IF(ISNUMBER(FIND("PreWeaned",Y20)),_xlfn.XLOOKUP(Y20,Constants!$J$2:$J$3,Constants!$M$2:$M$3),"")</f>
        <v>9.1999999999999998E-3</v>
      </c>
      <c r="BB20">
        <f t="shared" si="3"/>
        <v>154.56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154.56</v>
      </c>
      <c r="BH20">
        <f>Constants!$D$19</f>
        <v>0.35</v>
      </c>
      <c r="BI20">
        <f>Constants!$D$20</f>
        <v>7.0000000000000007E-2</v>
      </c>
      <c r="BJ20">
        <f>Constants!$D$21</f>
        <v>0.2</v>
      </c>
      <c r="BK20">
        <f>Constants!$D$22</f>
        <v>0.3</v>
      </c>
      <c r="BL20">
        <f>Constants!$D$23</f>
        <v>0</v>
      </c>
      <c r="BM20">
        <f>Constants!$B$51</f>
        <v>0.21</v>
      </c>
      <c r="BN20">
        <f>Constants!$B$50</f>
        <v>1.57</v>
      </c>
      <c r="BO20">
        <f>_xlfn.XLOOKUP(C20,Constants!$A$27:$A$31,Constants!$B$27:$B$31)</f>
        <v>8.0000000000000002E-3</v>
      </c>
      <c r="BP20">
        <f t="shared" si="33"/>
        <v>0</v>
      </c>
      <c r="BQ20">
        <f t="shared" si="34"/>
        <v>0</v>
      </c>
      <c r="BR20">
        <f t="shared" si="35"/>
        <v>0</v>
      </c>
      <c r="BS20">
        <f t="shared" si="36"/>
        <v>0</v>
      </c>
      <c r="BT20">
        <f t="shared" si="37"/>
        <v>0</v>
      </c>
      <c r="BU20">
        <f t="shared" si="38"/>
        <v>32.457599999999999</v>
      </c>
      <c r="BV20">
        <f t="shared" si="39"/>
        <v>0</v>
      </c>
      <c r="BW20">
        <f t="shared" si="40"/>
        <v>0.40766745600000004</v>
      </c>
    </row>
    <row r="21" spans="1:76" s="16" customFormat="1" x14ac:dyDescent="0.2">
      <c r="A21" s="16" t="str">
        <f>'Input Scenarios'!A21</f>
        <v>QLD</v>
      </c>
      <c r="B21" s="16">
        <f>'Input Scenarios'!B21</f>
        <v>0</v>
      </c>
      <c r="C21" s="16" t="str">
        <f>'Input Scenarios'!C21</f>
        <v>Non-irrigated crop (high rainfall)</v>
      </c>
      <c r="D21" s="16" t="str">
        <f>'Input Scenarios'!D21</f>
        <v>wet</v>
      </c>
      <c r="E21" s="16" t="b">
        <f>'Input Scenarios'!E21</f>
        <v>1</v>
      </c>
      <c r="F21" s="16" t="str">
        <f>'Input Scenarios'!F21</f>
        <v>Limited feedpad</v>
      </c>
      <c r="G21" s="16">
        <f>IF('Input Scenarios'!G21&lt;&gt;"", 'Input Scenarios'!G21, _xlfn.XLOOKUP($F21, Constants!$M$6:$M$9,Constants!N$6:N$9))</f>
        <v>0.79</v>
      </c>
      <c r="H21" s="16">
        <f>IF('Input Scenarios'!H21&lt;&gt;"", 'Input Scenarios'!H21, _xlfn.XLOOKUP($F21, Constants!$M$6:$M$9,Constants!O$6:O$9))</f>
        <v>0.11</v>
      </c>
      <c r="I21" s="16">
        <f>IF('Input Scenarios'!I21&lt;&gt;"", 'Input Scenarios'!I21, _xlfn.XLOOKUP($F21, Constants!$M$6:$M$9,Constants!P$6:P$9))</f>
        <v>0.1</v>
      </c>
      <c r="J21" s="16">
        <f>'Input Scenarios'!J21</f>
        <v>0</v>
      </c>
      <c r="K21" s="16">
        <f>'Input Scenarios'!K21</f>
        <v>0</v>
      </c>
      <c r="L21" s="16">
        <f>'Input Scenarios'!L21</f>
        <v>1</v>
      </c>
      <c r="M21" s="16">
        <f>'Input Scenarios'!M21</f>
        <v>0</v>
      </c>
      <c r="N21" s="16">
        <f>'Input Scenarios'!N21</f>
        <v>1</v>
      </c>
      <c r="O21" s="16">
        <f>'Input Scenarios'!O21</f>
        <v>0</v>
      </c>
      <c r="P21" s="16">
        <f>'Input Scenarios'!P21</f>
        <v>0</v>
      </c>
      <c r="Q21" s="16">
        <f>'Input Scenarios'!Q21</f>
        <v>0</v>
      </c>
      <c r="R21" s="16" t="b">
        <f>'Input Scenarios'!R21</f>
        <v>1</v>
      </c>
      <c r="S21" s="16">
        <f>IF('Input Scenarios'!S21&lt;&gt;"", 'Input Scenarios'!S21, IF(R21, Constants!$B$38, 0))</f>
        <v>0.2</v>
      </c>
      <c r="T21" s="16" t="str">
        <f>IF('Input Scenarios'!T21&lt;&gt;"", 'Input Scenarios'!T21, "")</f>
        <v/>
      </c>
      <c r="U21" s="16">
        <f>IF('Input Scenarios'!U21&lt;&gt;"", 'Input Scenarios'!U21, IF(W21&lt;&gt;"", "", Constants!$B$39))</f>
        <v>4</v>
      </c>
      <c r="V21" s="16">
        <f>IF('Input Scenarios'!V21&lt;&gt;"", 'Input Scenarios'!V21, IF(W21&lt;&gt;"", "", Constants!$B$40))</f>
        <v>3.3</v>
      </c>
      <c r="W21" s="16" t="str">
        <f>IF('Input Scenarios'!W21&lt;&gt;"", 'Input Scenarios'!W21, "")</f>
        <v/>
      </c>
      <c r="X21" s="16" t="str">
        <f>'Input Scenarios'!X21</f>
        <v>Large Friesian</v>
      </c>
      <c r="Y21" s="16" t="str">
        <f>'Input Scenarios'!Y21</f>
        <v>bullsLt1Weaned</v>
      </c>
      <c r="Z21" s="16">
        <f>'Input Scenarios'!Z21</f>
        <v>200</v>
      </c>
      <c r="AA21" s="16">
        <f>IF('Input Scenarios'!AA21&lt;&gt;"", 'Input Scenarios'!AA21, _xlfn.XLOOKUP(Y21,Constants!$J$6:$J$12,Constants!$K$6:$K$12))</f>
        <v>281</v>
      </c>
      <c r="AB21" s="16">
        <f>IF('Input Scenarios'!AB21&lt;&gt;"", 'Input Scenarios'!AB21, INDEX(Constants!$B$2:$H$11, MATCH(X21, Constants!$A$2:$A$11, 0), MATCH(Y21,Constants!$B$1:$H$1, 0)))</f>
        <v>225</v>
      </c>
      <c r="AC21" s="16">
        <f>IF('Input Scenarios'!AC21&lt;&gt;"", 'Input Scenarios'!AC21, _xlfn.XLOOKUP(Y21, Constants!$B$13:$H$13, Constants!$B$15:$H$15, ""))</f>
        <v>0.8</v>
      </c>
      <c r="AD21" s="16">
        <f>IF('Input Scenarios'!AD21&lt;&gt;"", 'Input Scenarios'!AD21, Constants!$B$45)</f>
        <v>0.75</v>
      </c>
      <c r="AE21" s="16">
        <f>IF('Input Scenarios'!AE21&lt;&gt;"", 'Input Scenarios'!AE21, Constants!$B$46)</f>
        <v>0.2</v>
      </c>
      <c r="AF21" s="16">
        <f t="shared" si="10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11"/>
        <v>1</v>
      </c>
      <c r="AK21" s="16">
        <f t="shared" si="27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28"/>
        <v>0.5948500000000001</v>
      </c>
      <c r="AQ21" s="16">
        <f t="shared" si="29"/>
        <v>0</v>
      </c>
      <c r="AR21" s="16">
        <f>IF(Y21="milkingCows", Constants!$P$2, Constants!$P$3)</f>
        <v>1</v>
      </c>
      <c r="AS21" s="16">
        <f t="shared" si="30"/>
        <v>5.4143472656250013</v>
      </c>
      <c r="AT21" s="16">
        <f t="shared" si="31"/>
        <v>1.2576570545672616</v>
      </c>
      <c r="AU21" s="16">
        <f>_xlfn.XLOOKUP(Y21, Constants!$B$13:$H$13, Constants!$B$14:$H$14, "")</f>
        <v>770</v>
      </c>
      <c r="AV21" s="16">
        <f t="shared" si="32"/>
        <v>0.29220779220779219</v>
      </c>
      <c r="AW21" s="16">
        <f>Constants!$B$55</f>
        <v>6.25</v>
      </c>
      <c r="AX21" s="16">
        <f t="shared" si="1"/>
        <v>1.9757354894894084E-2</v>
      </c>
      <c r="AY21" s="16">
        <f t="shared" si="2"/>
        <v>1.0828694531250003</v>
      </c>
      <c r="AZ21" s="16">
        <f t="shared" si="18"/>
        <v>0.15247929000170721</v>
      </c>
      <c r="BA21" s="16" t="str">
        <f>IF(ISNUMBER(FIND("PreWeaned",Y21)),_xlfn.XLOOKUP(Y21,Constants!$J$2:$J$3,Constants!$M$2:$M$3),"")</f>
        <v/>
      </c>
      <c r="BB21" s="16">
        <f t="shared" si="3"/>
        <v>8569.336098095946</v>
      </c>
      <c r="BC21" s="16">
        <f t="shared" si="4"/>
        <v>0</v>
      </c>
      <c r="BD21" s="16">
        <f t="shared" si="5"/>
        <v>0</v>
      </c>
      <c r="BE21" s="16">
        <f t="shared" si="6"/>
        <v>0</v>
      </c>
      <c r="BF21" s="16">
        <f t="shared" si="7"/>
        <v>0</v>
      </c>
      <c r="BG21" s="16">
        <f t="shared" si="8"/>
        <v>8569.336098095946</v>
      </c>
      <c r="BH21" s="16">
        <f>Constants!$D$19</f>
        <v>0.35</v>
      </c>
      <c r="BI21" s="16">
        <f>Constants!$D$20</f>
        <v>7.0000000000000007E-2</v>
      </c>
      <c r="BJ21" s="16">
        <f>Constants!$D$21</f>
        <v>0.2</v>
      </c>
      <c r="BK21" s="16">
        <f>Constants!$D$22</f>
        <v>0.3</v>
      </c>
      <c r="BL21" s="16">
        <f>Constants!$D$23</f>
        <v>0</v>
      </c>
      <c r="BM21" s="16">
        <f>Constants!$B$51</f>
        <v>0.21</v>
      </c>
      <c r="BN21" s="16">
        <f>Constants!$B$50</f>
        <v>1.57</v>
      </c>
      <c r="BO21" s="16">
        <f>_xlfn.XLOOKUP(C21,Constants!$A$27:$A$31,Constants!$B$27:$B$31)</f>
        <v>8.0000000000000002E-3</v>
      </c>
      <c r="BP21" s="16">
        <f t="shared" si="33"/>
        <v>0</v>
      </c>
      <c r="BQ21" s="16">
        <f t="shared" si="34"/>
        <v>0</v>
      </c>
      <c r="BR21" s="16">
        <f t="shared" si="35"/>
        <v>0</v>
      </c>
      <c r="BS21" s="16">
        <f t="shared" si="36"/>
        <v>0</v>
      </c>
      <c r="BT21" s="16">
        <f t="shared" si="37"/>
        <v>0</v>
      </c>
      <c r="BU21" s="16">
        <f t="shared" si="38"/>
        <v>1799.5605806001486</v>
      </c>
      <c r="BV21" s="16">
        <f t="shared" si="39"/>
        <v>0</v>
      </c>
      <c r="BW21" s="16">
        <f t="shared" si="40"/>
        <v>22.602480892337869</v>
      </c>
    </row>
    <row r="22" spans="1:76" x14ac:dyDescent="0.2">
      <c r="A22" t="str">
        <f>'Input Scenarios'!A22</f>
        <v>NT</v>
      </c>
      <c r="B22">
        <f>'Input Scenarios'!B22</f>
        <v>0</v>
      </c>
      <c r="C22" t="str">
        <f>'Input Scenarios'!C22</f>
        <v>Irrigated pasture</v>
      </c>
      <c r="D22" t="str">
        <f>'Input Scenarios'!D22</f>
        <v>dry</v>
      </c>
      <c r="E22" t="b">
        <f>'Input Scenarios'!E22</f>
        <v>0</v>
      </c>
      <c r="F22" t="str">
        <f>'Input Scenarios'!F22</f>
        <v>Zero grazing</v>
      </c>
      <c r="G22">
        <f>IF('Input Scenarios'!G22&lt;&gt;"", 'Input Scenarios'!G22, _xlfn.XLOOKUP($F22, Constants!$M$6:$M$9,Constants!N$6:N$9))</f>
        <v>0</v>
      </c>
      <c r="H22">
        <f>IF('Input Scenarios'!H22&lt;&gt;"", 'Input Scenarios'!H22, _xlfn.XLOOKUP($F22, Constants!$M$6:$M$9,Constants!O$6:O$9))</f>
        <v>0.11</v>
      </c>
      <c r="I22">
        <f>IF('Input Scenarios'!I22&lt;&gt;"", 'Input Scenarios'!I22, _xlfn.XLOOKUP($F22, Constants!$M$6:$M$9,Constants!P$6:P$9))</f>
        <v>0.89</v>
      </c>
      <c r="J22">
        <f>'Input Scenarios'!J22</f>
        <v>0</v>
      </c>
      <c r="K22">
        <f>'Input Scenarios'!K22</f>
        <v>0.5</v>
      </c>
      <c r="L22">
        <f>'Input Scenarios'!L22</f>
        <v>0.5</v>
      </c>
      <c r="M22">
        <f>'Input Scenarios'!M22</f>
        <v>0</v>
      </c>
      <c r="N22">
        <f>'Input Scenarios'!N22</f>
        <v>0.5</v>
      </c>
      <c r="O22">
        <f>'Input Scenarios'!O22</f>
        <v>0</v>
      </c>
      <c r="P22">
        <f>'Input Scenarios'!P22</f>
        <v>0</v>
      </c>
      <c r="Q22">
        <f>'Input Scenarios'!Q22</f>
        <v>0.5</v>
      </c>
      <c r="R22" t="b">
        <f>'Input Scenarios'!R22</f>
        <v>0</v>
      </c>
      <c r="S22">
        <f>IF('Input Scenarios'!S22&lt;&gt;"", 'Input Scenarios'!S22, IF(R22, Constants!$B$38, 0))</f>
        <v>0</v>
      </c>
      <c r="T22">
        <f>IF('Input Scenarios'!T22&lt;&gt;"", 'Input Scenarios'!T22, "")</f>
        <v>2.8</v>
      </c>
      <c r="U22">
        <f>IF('Input Scenarios'!U22&lt;&gt;"", 'Input Scenarios'!U22, IF(W22&lt;&gt;"", "", Constants!$B$39))</f>
        <v>4</v>
      </c>
      <c r="V22">
        <f>IF('Input Scenarios'!V22&lt;&gt;"", 'Input Scenarios'!V22, IF(W22&lt;&gt;"", "", Constants!$B$40))</f>
        <v>3.3</v>
      </c>
      <c r="W22" t="str">
        <f>IF('Input Scenarios'!W22&lt;&gt;"", 'Input Scenarios'!W22, "")</f>
        <v/>
      </c>
      <c r="X22" t="str">
        <f>'Input Scenarios'!X22</f>
        <v>Holstein-Friesian</v>
      </c>
      <c r="Y22" t="str">
        <f>'Input Scenarios'!Y22</f>
        <v>milkingCows</v>
      </c>
      <c r="Z22">
        <f>'Input Scenarios'!Z22</f>
        <v>200</v>
      </c>
      <c r="AA22">
        <f>IF('Input Scenarios'!AA22&lt;&gt;"", 'Input Scenarios'!AA22, _xlfn.XLOOKUP(Y22,Constants!$J$6:$J$12,Constants!$K$6:$K$12))</f>
        <v>365</v>
      </c>
      <c r="AB22">
        <f>IF('Input Scenarios'!AB22&lt;&gt;"", 'Input Scenarios'!AB22, INDEX(Constants!$B$2:$H$11, MATCH(X22, Constants!$A$2:$A$11, 0), MATCH(Y22,Constants!$B$1:$H$1, 0)))</f>
        <v>650</v>
      </c>
      <c r="AC22">
        <f>IF('Input Scenarios'!AC22&lt;&gt;"", 'Input Scenarios'!AC22, _xlfn.XLOOKUP(Y22, Constants!$B$13:$H$13, Constants!$B$15:$H$15, ""))</f>
        <v>1.6E-2</v>
      </c>
      <c r="AD22">
        <f>IF('Input Scenarios'!AD22&lt;&gt;"", 'Input Scenarios'!AD22, Constants!$B$45)</f>
        <v>0.75</v>
      </c>
      <c r="AE22">
        <f>IF('Input Scenarios'!AE22&lt;&gt;"", 'Input Scenarios'!AE22, Constants!$B$46)</f>
        <v>0.2</v>
      </c>
      <c r="AF22" s="20">
        <f t="shared" si="10"/>
        <v>0.44500000000000001</v>
      </c>
      <c r="AG22" s="20">
        <f t="shared" si="0"/>
        <v>5.5E-2</v>
      </c>
      <c r="AH22" s="20">
        <f t="shared" si="0"/>
        <v>5.5E-2</v>
      </c>
      <c r="AI22" s="20">
        <f t="shared" si="0"/>
        <v>0.44500000000000001</v>
      </c>
      <c r="AJ22" s="20">
        <f t="shared" si="11"/>
        <v>0</v>
      </c>
      <c r="AK22">
        <f t="shared" si="27"/>
        <v>38.356164383561641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28"/>
        <v>0.5948500000000001</v>
      </c>
      <c r="AQ22">
        <f t="shared" si="29"/>
        <v>18.372357574041192</v>
      </c>
      <c r="AR22">
        <f>IF(Y22="milkingCows", Constants!$P$2, Constants!$P$3)</f>
        <v>1.1000000000000001</v>
      </c>
      <c r="AS22">
        <f t="shared" si="30"/>
        <v>28.555112190801196</v>
      </c>
      <c r="AT22">
        <f t="shared" si="31"/>
        <v>1.001181840179723</v>
      </c>
      <c r="AU22">
        <f>_xlfn.XLOOKUP(Y22, Constants!$B$13:$H$13, Constants!$B$14:$H$14, "")</f>
        <v>590</v>
      </c>
      <c r="AV22">
        <f t="shared" si="32"/>
        <v>1.1016949152542372</v>
      </c>
      <c r="AW22">
        <f>Constants!$B$55</f>
        <v>6.25</v>
      </c>
      <c r="AX22" s="20">
        <f t="shared" si="1"/>
        <v>0.19832814869793783</v>
      </c>
      <c r="AY22">
        <f t="shared" si="2"/>
        <v>5.7110224381602395</v>
      </c>
      <c r="AZ22">
        <f t="shared" si="18"/>
        <v>0.71316976602832161</v>
      </c>
      <c r="BA22" t="str">
        <f>IF(ISNUMBER(FIND("PreWeaned",Y22)),_xlfn.XLOOKUP(Y22,Constants!$J$2:$J$3,Constants!$M$2:$M$3),"")</f>
        <v/>
      </c>
      <c r="BB22">
        <f t="shared" si="3"/>
        <v>52061.392920067476</v>
      </c>
      <c r="BC22">
        <f t="shared" si="4"/>
        <v>23167.319849430027</v>
      </c>
      <c r="BD22">
        <f t="shared" si="5"/>
        <v>2863.376610603711</v>
      </c>
      <c r="BE22">
        <f t="shared" si="6"/>
        <v>2863.376610603711</v>
      </c>
      <c r="BF22">
        <f t="shared" si="7"/>
        <v>23167.319849430027</v>
      </c>
      <c r="BG22">
        <f t="shared" si="8"/>
        <v>0</v>
      </c>
      <c r="BH22">
        <f>Constants!$D$19</f>
        <v>0.35</v>
      </c>
      <c r="BI22">
        <f>Constants!$D$20</f>
        <v>7.0000000000000007E-2</v>
      </c>
      <c r="BJ22">
        <f>Constants!$D$21</f>
        <v>0.2</v>
      </c>
      <c r="BK22">
        <f>Constants!$D$22</f>
        <v>0.3</v>
      </c>
      <c r="BL22">
        <f>Constants!$D$23</f>
        <v>0</v>
      </c>
      <c r="BM22">
        <f>Constants!$B$51</f>
        <v>0.21</v>
      </c>
      <c r="BN22">
        <f>Constants!$B$50</f>
        <v>1.57</v>
      </c>
      <c r="BO22">
        <f>_xlfn.XLOOKUP(C22,Constants!$A$27:$A$31,Constants!$B$27:$B$31)</f>
        <v>5.8999999999999999E-3</v>
      </c>
      <c r="BP22">
        <f t="shared" si="33"/>
        <v>8108.561947300509</v>
      </c>
      <c r="BQ22">
        <f t="shared" si="34"/>
        <v>200.4363627422598</v>
      </c>
      <c r="BR22">
        <f t="shared" si="35"/>
        <v>572.67532212074218</v>
      </c>
      <c r="BS22">
        <f t="shared" si="36"/>
        <v>6950.1959548290079</v>
      </c>
      <c r="BT22">
        <f t="shared" si="37"/>
        <v>0</v>
      </c>
      <c r="BU22">
        <f t="shared" si="38"/>
        <v>0</v>
      </c>
      <c r="BV22">
        <f t="shared" si="39"/>
        <v>146.65060798431168</v>
      </c>
      <c r="BW22">
        <f t="shared" si="40"/>
        <v>0</v>
      </c>
      <c r="BX22">
        <f>SUM(BV22:BW28)/1000</f>
        <v>0.25529265110658156</v>
      </c>
    </row>
    <row r="23" spans="1:76" x14ac:dyDescent="0.2">
      <c r="A23" t="str">
        <f>'Input Scenarios'!A23</f>
        <v>NT</v>
      </c>
      <c r="B23">
        <f>'Input Scenarios'!B23</f>
        <v>0</v>
      </c>
      <c r="C23" t="str">
        <f>'Input Scenarios'!C23</f>
        <v>Irrigated pasture</v>
      </c>
      <c r="D23" t="str">
        <f>'Input Scenarios'!D23</f>
        <v>dry</v>
      </c>
      <c r="E23" t="b">
        <f>'Input Scenarios'!E23</f>
        <v>0</v>
      </c>
      <c r="F23" t="str">
        <f>'Input Scenarios'!F23</f>
        <v>Zero grazing</v>
      </c>
      <c r="G23">
        <f>IF('Input Scenarios'!G23&lt;&gt;"", 'Input Scenarios'!G23, _xlfn.XLOOKUP($F23, Constants!$M$6:$M$9,Constants!N$6:N$9))</f>
        <v>0</v>
      </c>
      <c r="H23">
        <f>IF('Input Scenarios'!H23&lt;&gt;"", 'Input Scenarios'!H23, _xlfn.XLOOKUP($F23, Constants!$M$6:$M$9,Constants!O$6:O$9))</f>
        <v>0.11</v>
      </c>
      <c r="I23">
        <f>IF('Input Scenarios'!I23&lt;&gt;"", 'Input Scenarios'!I23, _xlfn.XLOOKUP($F23, Constants!$M$6:$M$9,Constants!P$6:P$9))</f>
        <v>0.89</v>
      </c>
      <c r="J23">
        <f>'Input Scenarios'!J23</f>
        <v>0</v>
      </c>
      <c r="K23">
        <f>'Input Scenarios'!K23</f>
        <v>0.5</v>
      </c>
      <c r="L23">
        <f>'Input Scenarios'!L23</f>
        <v>0.5</v>
      </c>
      <c r="M23">
        <f>'Input Scenarios'!M23</f>
        <v>0</v>
      </c>
      <c r="N23">
        <f>'Input Scenarios'!N23</f>
        <v>0.5</v>
      </c>
      <c r="O23">
        <f>'Input Scenarios'!O23</f>
        <v>0</v>
      </c>
      <c r="P23">
        <f>'Input Scenarios'!P23</f>
        <v>0</v>
      </c>
      <c r="Q23">
        <f>'Input Scenarios'!Q23</f>
        <v>0.5</v>
      </c>
      <c r="R23" t="b">
        <f>'Input Scenarios'!R23</f>
        <v>0</v>
      </c>
      <c r="S23">
        <f>IF('Input Scenarios'!S23&lt;&gt;"", 'Input Scenarios'!S23, IF(R23, Constants!$B$38, 0))</f>
        <v>0</v>
      </c>
      <c r="T23" t="str">
        <f>IF('Input Scenarios'!T23&lt;&gt;"", 'Input Scenarios'!T23, "")</f>
        <v/>
      </c>
      <c r="U23">
        <f>IF('Input Scenarios'!U23&lt;&gt;"", 'Input Scenarios'!U23, IF(W23&lt;&gt;"", "", Constants!$B$39))</f>
        <v>4</v>
      </c>
      <c r="V23">
        <f>IF('Input Scenarios'!V23&lt;&gt;"", 'Input Scenarios'!V23, IF(W23&lt;&gt;"", "", Constants!$B$40))</f>
        <v>3.3</v>
      </c>
      <c r="W23" t="str">
        <f>IF('Input Scenarios'!W23&lt;&gt;"", 'Input Scenarios'!W23, "")</f>
        <v/>
      </c>
      <c r="X23" t="str">
        <f>'Input Scenarios'!X23</f>
        <v>Holstein-Friesian</v>
      </c>
      <c r="Y23" t="str">
        <f>'Input Scenarios'!Y23</f>
        <v>heifersGt1</v>
      </c>
      <c r="Z23">
        <f>'Input Scenarios'!Z23</f>
        <v>200</v>
      </c>
      <c r="AA23">
        <f>IF('Input Scenarios'!AA23&lt;&gt;"", 'Input Scenarios'!AA23, _xlfn.XLOOKUP(Y23,Constants!$J$6:$J$12,Constants!$K$6:$K$12))</f>
        <v>365</v>
      </c>
      <c r="AB23">
        <f>IF('Input Scenarios'!AB23&lt;&gt;"", 'Input Scenarios'!AB23, INDEX(Constants!$B$2:$H$11, MATCH(X23, Constants!$A$2:$A$11, 0), MATCH(Y23,Constants!$B$1:$H$1, 0)))</f>
        <v>450</v>
      </c>
      <c r="AC23">
        <f>IF('Input Scenarios'!AC23&lt;&gt;"", 'Input Scenarios'!AC23, _xlfn.XLOOKUP(Y23, Constants!$B$13:$H$13, Constants!$B$15:$H$15, ""))</f>
        <v>0.6</v>
      </c>
      <c r="AD23">
        <f>IF('Input Scenarios'!AD23&lt;&gt;"", 'Input Scenarios'!AD23, Constants!$B$45)</f>
        <v>0.75</v>
      </c>
      <c r="AE23">
        <f>IF('Input Scenarios'!AE23&lt;&gt;"", 'Input Scenarios'!AE23, Constants!$B$46)</f>
        <v>0.2</v>
      </c>
      <c r="AF23">
        <f t="shared" si="1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11"/>
        <v>1</v>
      </c>
      <c r="AK23">
        <f t="shared" si="27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28"/>
        <v>0.5948500000000001</v>
      </c>
      <c r="AQ23">
        <f t="shared" si="29"/>
        <v>0</v>
      </c>
      <c r="AR23">
        <f>IF(Y23="milkingCows", Constants!$P$2, Constants!$P$3)</f>
        <v>1</v>
      </c>
      <c r="AS23">
        <f t="shared" si="30"/>
        <v>8.3549902499999984</v>
      </c>
      <c r="AT23">
        <f t="shared" si="31"/>
        <v>1.1448168254973408</v>
      </c>
      <c r="AU23">
        <f>_xlfn.XLOOKUP(Y23, Constants!$B$13:$H$13, Constants!$B$14:$H$14, "")</f>
        <v>590</v>
      </c>
      <c r="AV23">
        <f t="shared" si="32"/>
        <v>0.76271186440677963</v>
      </c>
      <c r="AW23">
        <f>Constants!$B$55</f>
        <v>6.25</v>
      </c>
      <c r="AX23">
        <f t="shared" si="1"/>
        <v>7.680606707944594E-3</v>
      </c>
      <c r="AY23">
        <f t="shared" si="2"/>
        <v>1.6709980499999997</v>
      </c>
      <c r="AZ23">
        <f t="shared" si="18"/>
        <v>0.25795950260723322</v>
      </c>
      <c r="BA23" t="str">
        <f>IF(ISNUMBER(FIND("PreWeaned",Y23)),_xlfn.XLOOKUP(Y23,Constants!$J$2:$J$3,Constants!$M$2:$M$3),"")</f>
        <v/>
      </c>
      <c r="BB23">
        <f t="shared" si="3"/>
        <v>18831.043690328024</v>
      </c>
      <c r="BC23">
        <f t="shared" si="4"/>
        <v>0</v>
      </c>
      <c r="BD23">
        <f t="shared" si="5"/>
        <v>0</v>
      </c>
      <c r="BE23">
        <f t="shared" si="6"/>
        <v>0</v>
      </c>
      <c r="BF23">
        <f t="shared" si="7"/>
        <v>0</v>
      </c>
      <c r="BG23">
        <f t="shared" si="8"/>
        <v>18831.043690328024</v>
      </c>
      <c r="BH23">
        <f>Constants!$D$19</f>
        <v>0.35</v>
      </c>
      <c r="BI23">
        <f>Constants!$D$20</f>
        <v>7.0000000000000007E-2</v>
      </c>
      <c r="BJ23">
        <f>Constants!$D$21</f>
        <v>0.2</v>
      </c>
      <c r="BK23">
        <f>Constants!$D$22</f>
        <v>0.3</v>
      </c>
      <c r="BL23">
        <f>Constants!$D$23</f>
        <v>0</v>
      </c>
      <c r="BM23">
        <f>Constants!$B$51</f>
        <v>0.21</v>
      </c>
      <c r="BN23">
        <f>Constants!$B$50</f>
        <v>1.57</v>
      </c>
      <c r="BO23">
        <f>_xlfn.XLOOKUP(C23,Constants!$A$27:$A$31,Constants!$B$27:$B$31)</f>
        <v>5.8999999999999999E-3</v>
      </c>
      <c r="BP23">
        <f t="shared" si="33"/>
        <v>0</v>
      </c>
      <c r="BQ23">
        <f t="shared" si="34"/>
        <v>0</v>
      </c>
      <c r="BR23">
        <f t="shared" si="35"/>
        <v>0</v>
      </c>
      <c r="BS23">
        <f t="shared" si="36"/>
        <v>0</v>
      </c>
      <c r="BT23">
        <f t="shared" si="37"/>
        <v>0</v>
      </c>
      <c r="BU23">
        <f t="shared" si="38"/>
        <v>3954.5191749688847</v>
      </c>
      <c r="BV23">
        <f t="shared" si="39"/>
        <v>0</v>
      </c>
      <c r="BW23">
        <f t="shared" si="40"/>
        <v>36.63071111773678</v>
      </c>
    </row>
    <row r="24" spans="1:76" x14ac:dyDescent="0.2">
      <c r="A24" t="str">
        <f>'Input Scenarios'!A24</f>
        <v>NT</v>
      </c>
      <c r="B24">
        <f>'Input Scenarios'!B24</f>
        <v>0</v>
      </c>
      <c r="C24" t="str">
        <f>'Input Scenarios'!C24</f>
        <v>Irrigated pasture</v>
      </c>
      <c r="D24" t="str">
        <f>'Input Scenarios'!D24</f>
        <v>dry</v>
      </c>
      <c r="E24" t="b">
        <f>'Input Scenarios'!E24</f>
        <v>0</v>
      </c>
      <c r="F24" t="str">
        <f>'Input Scenarios'!F24</f>
        <v>Zero grazing</v>
      </c>
      <c r="G24">
        <f>IF('Input Scenarios'!G24&lt;&gt;"", 'Input Scenarios'!G24, _xlfn.XLOOKUP($F24, Constants!$M$6:$M$9,Constants!N$6:N$9))</f>
        <v>0</v>
      </c>
      <c r="H24">
        <f>IF('Input Scenarios'!H24&lt;&gt;"", 'Input Scenarios'!H24, _xlfn.XLOOKUP($F24, Constants!$M$6:$M$9,Constants!O$6:O$9))</f>
        <v>0.11</v>
      </c>
      <c r="I24">
        <f>IF('Input Scenarios'!I24&lt;&gt;"", 'Input Scenarios'!I24, _xlfn.XLOOKUP($F24, Constants!$M$6:$M$9,Constants!P$6:P$9))</f>
        <v>0.89</v>
      </c>
      <c r="J24">
        <f>'Input Scenarios'!J24</f>
        <v>0</v>
      </c>
      <c r="K24">
        <f>'Input Scenarios'!K24</f>
        <v>0.5</v>
      </c>
      <c r="L24">
        <f>'Input Scenarios'!L24</f>
        <v>0.5</v>
      </c>
      <c r="M24">
        <f>'Input Scenarios'!M24</f>
        <v>0</v>
      </c>
      <c r="N24">
        <f>'Input Scenarios'!N24</f>
        <v>0.5</v>
      </c>
      <c r="O24">
        <f>'Input Scenarios'!O24</f>
        <v>0</v>
      </c>
      <c r="P24">
        <f>'Input Scenarios'!P24</f>
        <v>0</v>
      </c>
      <c r="Q24">
        <f>'Input Scenarios'!Q24</f>
        <v>0.5</v>
      </c>
      <c r="R24" t="b">
        <f>'Input Scenarios'!R24</f>
        <v>0</v>
      </c>
      <c r="S24">
        <f>IF('Input Scenarios'!S24&lt;&gt;"", 'Input Scenarios'!S24, IF(R24, Constants!$B$38, 0))</f>
        <v>0</v>
      </c>
      <c r="T24" t="str">
        <f>IF('Input Scenarios'!T24&lt;&gt;"", 'Input Scenarios'!T24, "")</f>
        <v/>
      </c>
      <c r="U24">
        <f>IF('Input Scenarios'!U24&lt;&gt;"", 'Input Scenarios'!U24, IF(W24&lt;&gt;"", "", Constants!$B$39))</f>
        <v>4</v>
      </c>
      <c r="V24">
        <f>IF('Input Scenarios'!V24&lt;&gt;"", 'Input Scenarios'!V24, IF(W24&lt;&gt;"", "", Constants!$B$40))</f>
        <v>3.3</v>
      </c>
      <c r="W24" t="str">
        <f>IF('Input Scenarios'!W24&lt;&gt;"", 'Input Scenarios'!W24, "")</f>
        <v/>
      </c>
      <c r="X24" t="str">
        <f>'Input Scenarios'!X24</f>
        <v>Holstein-Friesian</v>
      </c>
      <c r="Y24" t="str">
        <f>'Input Scenarios'!Y24</f>
        <v>heifersLt1PreWeaned</v>
      </c>
      <c r="Z24">
        <f>'Input Scenarios'!Z24</f>
        <v>200</v>
      </c>
      <c r="AA24">
        <f>IF('Input Scenarios'!AA24&lt;&gt;"", 'Input Scenarios'!AA24, _xlfn.XLOOKUP(Y24,Constants!$J$6:$J$12,Constants!$K$6:$K$12))</f>
        <v>84</v>
      </c>
      <c r="AB24">
        <f>IF('Input Scenarios'!AB24&lt;&gt;"", 'Input Scenarios'!AB24, INDEX(Constants!$B$2:$H$11, MATCH(X24, Constants!$A$2:$A$11, 0), MATCH(Y24,Constants!$B$1:$H$1, 0)))</f>
        <v>185</v>
      </c>
      <c r="AC24" t="str">
        <f>IF('Input Scenarios'!AC24&lt;&gt;"", 'Input Scenarios'!AC24, _xlfn.XLOOKUP(Y24, Constants!$B$13:$H$13, Constants!$B$15:$H$15, ""))</f>
        <v/>
      </c>
      <c r="AD24">
        <f>IF('Input Scenarios'!AD24&lt;&gt;"", 'Input Scenarios'!AD24, Constants!$B$45)</f>
        <v>0.75</v>
      </c>
      <c r="AE24">
        <f>IF('Input Scenarios'!AE24&lt;&gt;"", 'Input Scenarios'!AE24, Constants!$B$46)</f>
        <v>0.2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1</v>
      </c>
      <c r="AK24">
        <f t="shared" si="27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28"/>
        <v>0.5948500000000001</v>
      </c>
      <c r="AQ24">
        <f t="shared" si="29"/>
        <v>0</v>
      </c>
      <c r="AR24">
        <f>IF(Y24="milkingCows", Constants!$P$2, Constants!$P$3)</f>
        <v>1</v>
      </c>
      <c r="AS24" t="str">
        <f t="shared" si="30"/>
        <v/>
      </c>
      <c r="AT24" t="str">
        <f t="shared" si="31"/>
        <v/>
      </c>
      <c r="AU24" t="str">
        <f>_xlfn.XLOOKUP(Y24, Constants!$B$13:$H$13, Constants!$B$14:$H$14, "")</f>
        <v/>
      </c>
      <c r="AV24" t="str">
        <f t="shared" si="32"/>
        <v/>
      </c>
      <c r="AW24">
        <f>Constants!$B$55</f>
        <v>6.25</v>
      </c>
      <c r="AX24" t="str">
        <f t="shared" si="1"/>
        <v/>
      </c>
      <c r="AY24" t="str">
        <f t="shared" si="2"/>
        <v/>
      </c>
      <c r="AZ24" t="str">
        <f t="shared" si="18"/>
        <v/>
      </c>
      <c r="BA24">
        <f>IF(ISNUMBER(FIND("PreWeaned",Y24)),_xlfn.XLOOKUP(Y24,Constants!$J$2:$J$3,Constants!$M$2:$M$3),"")</f>
        <v>1.37E-2</v>
      </c>
      <c r="BB24">
        <f t="shared" si="3"/>
        <v>230.16000000000003</v>
      </c>
      <c r="BC24">
        <f t="shared" si="4"/>
        <v>0</v>
      </c>
      <c r="BD24">
        <f t="shared" si="5"/>
        <v>0</v>
      </c>
      <c r="BE24">
        <f t="shared" si="6"/>
        <v>0</v>
      </c>
      <c r="BF24">
        <f t="shared" si="7"/>
        <v>0</v>
      </c>
      <c r="BG24">
        <f t="shared" si="8"/>
        <v>230.16000000000003</v>
      </c>
      <c r="BH24">
        <f>Constants!$D$19</f>
        <v>0.35</v>
      </c>
      <c r="BI24">
        <f>Constants!$D$20</f>
        <v>7.0000000000000007E-2</v>
      </c>
      <c r="BJ24">
        <f>Constants!$D$21</f>
        <v>0.2</v>
      </c>
      <c r="BK24">
        <f>Constants!$D$22</f>
        <v>0.3</v>
      </c>
      <c r="BL24">
        <f>Constants!$D$23</f>
        <v>0</v>
      </c>
      <c r="BM24">
        <f>Constants!$B$51</f>
        <v>0.21</v>
      </c>
      <c r="BN24">
        <f>Constants!$B$50</f>
        <v>1.57</v>
      </c>
      <c r="BO24">
        <f>_xlfn.XLOOKUP(C24,Constants!$A$27:$A$31,Constants!$B$27:$B$31)</f>
        <v>5.8999999999999999E-3</v>
      </c>
      <c r="BP24">
        <f t="shared" si="33"/>
        <v>0</v>
      </c>
      <c r="BQ24">
        <f t="shared" si="34"/>
        <v>0</v>
      </c>
      <c r="BR24">
        <f t="shared" si="35"/>
        <v>0</v>
      </c>
      <c r="BS24">
        <f t="shared" si="36"/>
        <v>0</v>
      </c>
      <c r="BT24">
        <f t="shared" si="37"/>
        <v>0</v>
      </c>
      <c r="BU24">
        <f t="shared" si="38"/>
        <v>48.333600000000004</v>
      </c>
      <c r="BV24">
        <f t="shared" si="39"/>
        <v>0</v>
      </c>
      <c r="BW24">
        <f t="shared" si="40"/>
        <v>0.44771413680000005</v>
      </c>
    </row>
    <row r="25" spans="1:76" x14ac:dyDescent="0.2">
      <c r="A25" t="str">
        <f>'Input Scenarios'!A25</f>
        <v>NT</v>
      </c>
      <c r="B25">
        <f>'Input Scenarios'!B25</f>
        <v>0</v>
      </c>
      <c r="C25" t="str">
        <f>'Input Scenarios'!C25</f>
        <v>Irrigated pasture</v>
      </c>
      <c r="D25" t="str">
        <f>'Input Scenarios'!D25</f>
        <v>dry</v>
      </c>
      <c r="E25" t="b">
        <f>'Input Scenarios'!E25</f>
        <v>0</v>
      </c>
      <c r="F25" t="str">
        <f>'Input Scenarios'!F25</f>
        <v>Zero grazing</v>
      </c>
      <c r="G25">
        <f>IF('Input Scenarios'!G25&lt;&gt;"", 'Input Scenarios'!G25, _xlfn.XLOOKUP($F25, Constants!$M$6:$M$9,Constants!N$6:N$9))</f>
        <v>0</v>
      </c>
      <c r="H25">
        <f>IF('Input Scenarios'!H25&lt;&gt;"", 'Input Scenarios'!H25, _xlfn.XLOOKUP($F25, Constants!$M$6:$M$9,Constants!O$6:O$9))</f>
        <v>0.11</v>
      </c>
      <c r="I25">
        <f>IF('Input Scenarios'!I25&lt;&gt;"", 'Input Scenarios'!I25, _xlfn.XLOOKUP($F25, Constants!$M$6:$M$9,Constants!P$6:P$9))</f>
        <v>0.89</v>
      </c>
      <c r="J25">
        <f>'Input Scenarios'!J25</f>
        <v>0</v>
      </c>
      <c r="K25">
        <f>'Input Scenarios'!K25</f>
        <v>0.5</v>
      </c>
      <c r="L25">
        <f>'Input Scenarios'!L25</f>
        <v>0.5</v>
      </c>
      <c r="M25">
        <f>'Input Scenarios'!M25</f>
        <v>0</v>
      </c>
      <c r="N25">
        <f>'Input Scenarios'!N25</f>
        <v>0.5</v>
      </c>
      <c r="O25">
        <f>'Input Scenarios'!O25</f>
        <v>0</v>
      </c>
      <c r="P25">
        <f>'Input Scenarios'!P25</f>
        <v>0</v>
      </c>
      <c r="Q25">
        <f>'Input Scenarios'!Q25</f>
        <v>0.5</v>
      </c>
      <c r="R25" t="b">
        <f>'Input Scenarios'!R25</f>
        <v>0</v>
      </c>
      <c r="S25">
        <f>IF('Input Scenarios'!S25&lt;&gt;"", 'Input Scenarios'!S25, IF(R25, Constants!$B$38, 0))</f>
        <v>0</v>
      </c>
      <c r="T25" t="str">
        <f>IF('Input Scenarios'!T25&lt;&gt;"", 'Input Scenarios'!T25, "")</f>
        <v/>
      </c>
      <c r="U25">
        <f>IF('Input Scenarios'!U25&lt;&gt;"", 'Input Scenarios'!U25, IF(W25&lt;&gt;"", "", Constants!$B$39))</f>
        <v>4</v>
      </c>
      <c r="V25">
        <f>IF('Input Scenarios'!V25&lt;&gt;"", 'Input Scenarios'!V25, IF(W25&lt;&gt;"", "", Constants!$B$40))</f>
        <v>3.3</v>
      </c>
      <c r="W25" t="str">
        <f>IF('Input Scenarios'!W25&lt;&gt;"", 'Input Scenarios'!W25, "")</f>
        <v/>
      </c>
      <c r="X25" t="str">
        <f>'Input Scenarios'!X25</f>
        <v>Holstein-Friesian</v>
      </c>
      <c r="Y25" t="str">
        <f>'Input Scenarios'!Y25</f>
        <v>heifersLt1Weaned</v>
      </c>
      <c r="Z25">
        <f>'Input Scenarios'!Z25</f>
        <v>200</v>
      </c>
      <c r="AA25">
        <f>IF('Input Scenarios'!AA25&lt;&gt;"", 'Input Scenarios'!AA25, _xlfn.XLOOKUP(Y25,Constants!$J$6:$J$12,Constants!$K$6:$K$12))</f>
        <v>281</v>
      </c>
      <c r="AB25">
        <f>IF('Input Scenarios'!AB25&lt;&gt;"", 'Input Scenarios'!AB25, INDEX(Constants!$B$2:$H$11, MATCH(X25, Constants!$A$2:$A$11, 0), MATCH(Y25,Constants!$B$1:$H$1, 0)))</f>
        <v>185</v>
      </c>
      <c r="AC25">
        <f>IF('Input Scenarios'!AC25&lt;&gt;"", 'Input Scenarios'!AC25, _xlfn.XLOOKUP(Y25, Constants!$B$13:$H$13, Constants!$B$15:$H$15, ""))</f>
        <v>0.56999999999999995</v>
      </c>
      <c r="AD25">
        <f>IF('Input Scenarios'!AD25&lt;&gt;"", 'Input Scenarios'!AD25, Constants!$B$45)</f>
        <v>0.75</v>
      </c>
      <c r="AE25">
        <f>IF('Input Scenarios'!AE25&lt;&gt;"", 'Input Scenarios'!AE25, Constants!$B$46)</f>
        <v>0.2</v>
      </c>
      <c r="AF25">
        <f t="shared" ref="AF25:AI44" si="41">IF($Y25="milkingCows",($H25*J25)+($I25*N25), 0)</f>
        <v>0</v>
      </c>
      <c r="AG25">
        <f t="shared" si="41"/>
        <v>0</v>
      </c>
      <c r="AH25">
        <f t="shared" si="41"/>
        <v>0</v>
      </c>
      <c r="AI25">
        <f t="shared" si="41"/>
        <v>0</v>
      </c>
      <c r="AJ25">
        <f t="shared" si="11"/>
        <v>1</v>
      </c>
      <c r="AK25">
        <f t="shared" si="27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28"/>
        <v>0.5948500000000001</v>
      </c>
      <c r="AQ25">
        <f t="shared" si="29"/>
        <v>0</v>
      </c>
      <c r="AR25">
        <f>IF(Y25="milkingCows", Constants!$P$2, Constants!$P$3)</f>
        <v>1</v>
      </c>
      <c r="AS25">
        <f t="shared" si="30"/>
        <v>4.4751921662249998</v>
      </c>
      <c r="AT25">
        <f t="shared" si="31"/>
        <v>1.1940956577314272</v>
      </c>
      <c r="AU25">
        <f>_xlfn.XLOOKUP(Y25, Constants!$B$13:$H$13, Constants!$B$14:$H$14, "")</f>
        <v>590</v>
      </c>
      <c r="AV25">
        <f t="shared" si="32"/>
        <v>0.3135593220338983</v>
      </c>
      <c r="AW25">
        <f>Constants!$B$55</f>
        <v>6.25</v>
      </c>
      <c r="AX25">
        <f t="shared" si="1"/>
        <v>1.374327511013524E-2</v>
      </c>
      <c r="AY25">
        <f t="shared" si="2"/>
        <v>0.89503843324499999</v>
      </c>
      <c r="AZ25">
        <f t="shared" si="18"/>
        <v>0.12858001497431362</v>
      </c>
      <c r="BA25" t="str">
        <f>IF(ISNUMBER(FIND("PreWeaned",Y25)),_xlfn.XLOOKUP(Y25,Constants!$J$2:$J$3,Constants!$M$2:$M$3),"")</f>
        <v/>
      </c>
      <c r="BB25">
        <f t="shared" si="3"/>
        <v>7226.1968415564252</v>
      </c>
      <c r="BC25">
        <f t="shared" si="4"/>
        <v>0</v>
      </c>
      <c r="BD25">
        <f t="shared" si="5"/>
        <v>0</v>
      </c>
      <c r="BE25">
        <f t="shared" si="6"/>
        <v>0</v>
      </c>
      <c r="BF25">
        <f t="shared" si="7"/>
        <v>0</v>
      </c>
      <c r="BG25">
        <f t="shared" si="8"/>
        <v>7226.1968415564252</v>
      </c>
      <c r="BH25">
        <f>Constants!$D$19</f>
        <v>0.35</v>
      </c>
      <c r="BI25">
        <f>Constants!$D$20</f>
        <v>7.0000000000000007E-2</v>
      </c>
      <c r="BJ25">
        <f>Constants!$D$21</f>
        <v>0.2</v>
      </c>
      <c r="BK25">
        <f>Constants!$D$22</f>
        <v>0.3</v>
      </c>
      <c r="BL25">
        <f>Constants!$D$23</f>
        <v>0</v>
      </c>
      <c r="BM25">
        <f>Constants!$B$51</f>
        <v>0.21</v>
      </c>
      <c r="BN25">
        <f>Constants!$B$50</f>
        <v>1.57</v>
      </c>
      <c r="BO25">
        <f>_xlfn.XLOOKUP(C25,Constants!$A$27:$A$31,Constants!$B$27:$B$31)</f>
        <v>5.8999999999999999E-3</v>
      </c>
      <c r="BP25">
        <f t="shared" si="33"/>
        <v>0</v>
      </c>
      <c r="BQ25">
        <f t="shared" si="34"/>
        <v>0</v>
      </c>
      <c r="BR25">
        <f t="shared" si="35"/>
        <v>0</v>
      </c>
      <c r="BS25">
        <f t="shared" si="36"/>
        <v>0</v>
      </c>
      <c r="BT25">
        <f t="shared" si="37"/>
        <v>0</v>
      </c>
      <c r="BU25">
        <f t="shared" si="38"/>
        <v>1517.5013367268493</v>
      </c>
      <c r="BV25">
        <f t="shared" si="39"/>
        <v>0</v>
      </c>
      <c r="BW25">
        <f t="shared" si="40"/>
        <v>14.056614882100805</v>
      </c>
    </row>
    <row r="26" spans="1:76" x14ac:dyDescent="0.2">
      <c r="A26" t="str">
        <f>'Input Scenarios'!A26</f>
        <v>NT</v>
      </c>
      <c r="B26">
        <f>'Input Scenarios'!B26</f>
        <v>0</v>
      </c>
      <c r="C26" t="str">
        <f>'Input Scenarios'!C26</f>
        <v>Irrigated pasture</v>
      </c>
      <c r="D26" t="str">
        <f>'Input Scenarios'!D26</f>
        <v>dry</v>
      </c>
      <c r="E26" t="b">
        <f>'Input Scenarios'!E26</f>
        <v>0</v>
      </c>
      <c r="F26" t="str">
        <f>'Input Scenarios'!F26</f>
        <v>Zero grazing</v>
      </c>
      <c r="G26">
        <f>IF('Input Scenarios'!G26&lt;&gt;"", 'Input Scenarios'!G26, _xlfn.XLOOKUP($F26, Constants!$M$6:$M$9,Constants!N$6:N$9))</f>
        <v>0</v>
      </c>
      <c r="H26">
        <f>IF('Input Scenarios'!H26&lt;&gt;"", 'Input Scenarios'!H26, _xlfn.XLOOKUP($F26, Constants!$M$6:$M$9,Constants!O$6:O$9))</f>
        <v>0.11</v>
      </c>
      <c r="I26">
        <f>IF('Input Scenarios'!I26&lt;&gt;"", 'Input Scenarios'!I26, _xlfn.XLOOKUP($F26, Constants!$M$6:$M$9,Constants!P$6:P$9))</f>
        <v>0.89</v>
      </c>
      <c r="J26">
        <f>'Input Scenarios'!J26</f>
        <v>0</v>
      </c>
      <c r="K26">
        <f>'Input Scenarios'!K26</f>
        <v>0.5</v>
      </c>
      <c r="L26">
        <f>'Input Scenarios'!L26</f>
        <v>0.5</v>
      </c>
      <c r="M26">
        <f>'Input Scenarios'!M26</f>
        <v>0</v>
      </c>
      <c r="N26">
        <f>'Input Scenarios'!N26</f>
        <v>0.5</v>
      </c>
      <c r="O26">
        <f>'Input Scenarios'!O26</f>
        <v>0</v>
      </c>
      <c r="P26">
        <f>'Input Scenarios'!P26</f>
        <v>0</v>
      </c>
      <c r="Q26">
        <f>'Input Scenarios'!Q26</f>
        <v>0.5</v>
      </c>
      <c r="R26" t="b">
        <f>'Input Scenarios'!R26</f>
        <v>0</v>
      </c>
      <c r="S26">
        <f>IF('Input Scenarios'!S26&lt;&gt;"", 'Input Scenarios'!S26, IF(R26, Constants!$B$38, 0))</f>
        <v>0</v>
      </c>
      <c r="T26" t="str">
        <f>IF('Input Scenarios'!T26&lt;&gt;"", 'Input Scenarios'!T26, "")</f>
        <v/>
      </c>
      <c r="U26">
        <f>IF('Input Scenarios'!U26&lt;&gt;"", 'Input Scenarios'!U26, IF(W26&lt;&gt;"", "", Constants!$B$39))</f>
        <v>4</v>
      </c>
      <c r="V26">
        <f>IF('Input Scenarios'!V26&lt;&gt;"", 'Input Scenarios'!V26, IF(W26&lt;&gt;"", "", Constants!$B$40))</f>
        <v>3.3</v>
      </c>
      <c r="W26" t="str">
        <f>IF('Input Scenarios'!W26&lt;&gt;"", 'Input Scenarios'!W26, "")</f>
        <v/>
      </c>
      <c r="X26" t="str">
        <f>'Input Scenarios'!X26</f>
        <v>Holstein-Friesian</v>
      </c>
      <c r="Y26" t="str">
        <f>'Input Scenarios'!Y26</f>
        <v>bullsGt1</v>
      </c>
      <c r="Z26">
        <f>'Input Scenarios'!Z26</f>
        <v>200</v>
      </c>
      <c r="AA26">
        <f>IF('Input Scenarios'!AA26&lt;&gt;"", 'Input Scenarios'!AA26, _xlfn.XLOOKUP(Y26,Constants!$J$6:$J$12,Constants!$K$6:$K$12))</f>
        <v>365</v>
      </c>
      <c r="AB26">
        <f>IF('Input Scenarios'!AB26&lt;&gt;"", 'Input Scenarios'!AB26, INDEX(Constants!$B$2:$H$11, MATCH(X26, Constants!$A$2:$A$11, 0), MATCH(Y26,Constants!$B$1:$H$1, 0)))</f>
        <v>600</v>
      </c>
      <c r="AC26">
        <f>IF('Input Scenarios'!AC26&lt;&gt;"", 'Input Scenarios'!AC26, _xlfn.XLOOKUP(Y26, Constants!$B$13:$H$13, Constants!$B$15:$H$15, ""))</f>
        <v>0.1</v>
      </c>
      <c r="AD26">
        <f>IF('Input Scenarios'!AD26&lt;&gt;"", 'Input Scenarios'!AD26, Constants!$B$45)</f>
        <v>0.75</v>
      </c>
      <c r="AE26">
        <f>IF('Input Scenarios'!AE26&lt;&gt;"", 'Input Scenarios'!AE26, Constants!$B$46)</f>
        <v>0.2</v>
      </c>
      <c r="AF26">
        <f t="shared" si="41"/>
        <v>0</v>
      </c>
      <c r="AG26">
        <f t="shared" si="41"/>
        <v>0</v>
      </c>
      <c r="AH26">
        <f t="shared" si="41"/>
        <v>0</v>
      </c>
      <c r="AI26">
        <f t="shared" si="41"/>
        <v>0</v>
      </c>
      <c r="AJ26">
        <f t="shared" si="11"/>
        <v>1</v>
      </c>
      <c r="AK26">
        <f t="shared" si="27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28"/>
        <v>0.5948500000000001</v>
      </c>
      <c r="AQ26">
        <f t="shared" si="29"/>
        <v>0</v>
      </c>
      <c r="AR26">
        <f>IF(Y26="milkingCows", Constants!$P$2, Constants!$P$3)</f>
        <v>1</v>
      </c>
      <c r="AS26">
        <f t="shared" si="30"/>
        <v>9.0270202499999979</v>
      </c>
      <c r="AT26">
        <f t="shared" si="31"/>
        <v>1.0213029780639273</v>
      </c>
      <c r="AU26">
        <f>_xlfn.XLOOKUP(Y26, Constants!$B$13:$H$13, Constants!$B$14:$H$14, "")</f>
        <v>770</v>
      </c>
      <c r="AV26">
        <f t="shared" si="32"/>
        <v>0.77922077922077926</v>
      </c>
      <c r="AW26">
        <f>Constants!$B$55</f>
        <v>6.25</v>
      </c>
      <c r="AX26">
        <f t="shared" si="1"/>
        <v>1.2626203146474679E-3</v>
      </c>
      <c r="AY26">
        <f t="shared" si="2"/>
        <v>1.8054040499999997</v>
      </c>
      <c r="AZ26">
        <f t="shared" si="18"/>
        <v>0.28546836331241399</v>
      </c>
      <c r="BA26" t="str">
        <f>IF(ISNUMBER(FIND("PreWeaned",Y26)),_xlfn.XLOOKUP(Y26,Constants!$J$2:$J$3,Constants!$M$2:$M$3),"")</f>
        <v/>
      </c>
      <c r="BB26">
        <f t="shared" si="3"/>
        <v>20839.19052180622</v>
      </c>
      <c r="BC26">
        <f t="shared" si="4"/>
        <v>0</v>
      </c>
      <c r="BD26">
        <f t="shared" si="5"/>
        <v>0</v>
      </c>
      <c r="BE26">
        <f t="shared" si="6"/>
        <v>0</v>
      </c>
      <c r="BF26">
        <f t="shared" si="7"/>
        <v>0</v>
      </c>
      <c r="BG26">
        <f t="shared" si="8"/>
        <v>20839.19052180622</v>
      </c>
      <c r="BH26">
        <f>Constants!$D$19</f>
        <v>0.35</v>
      </c>
      <c r="BI26">
        <f>Constants!$D$20</f>
        <v>7.0000000000000007E-2</v>
      </c>
      <c r="BJ26">
        <f>Constants!$D$21</f>
        <v>0.2</v>
      </c>
      <c r="BK26">
        <f>Constants!$D$22</f>
        <v>0.3</v>
      </c>
      <c r="BL26">
        <f>Constants!$D$23</f>
        <v>0</v>
      </c>
      <c r="BM26">
        <f>Constants!$B$51</f>
        <v>0.21</v>
      </c>
      <c r="BN26">
        <f>Constants!$B$50</f>
        <v>1.57</v>
      </c>
      <c r="BO26">
        <f>_xlfn.XLOOKUP(C26,Constants!$A$27:$A$31,Constants!$B$27:$B$31)</f>
        <v>5.8999999999999999E-3</v>
      </c>
      <c r="BP26">
        <f t="shared" si="33"/>
        <v>0</v>
      </c>
      <c r="BQ26">
        <f t="shared" si="34"/>
        <v>0</v>
      </c>
      <c r="BR26">
        <f t="shared" si="35"/>
        <v>0</v>
      </c>
      <c r="BS26">
        <f t="shared" si="36"/>
        <v>0</v>
      </c>
      <c r="BT26">
        <f t="shared" si="37"/>
        <v>0</v>
      </c>
      <c r="BU26">
        <f t="shared" si="38"/>
        <v>4376.2300095793062</v>
      </c>
      <c r="BV26">
        <f t="shared" si="39"/>
        <v>0</v>
      </c>
      <c r="BW26">
        <f t="shared" si="40"/>
        <v>40.537018578733111</v>
      </c>
    </row>
    <row r="27" spans="1:76" x14ac:dyDescent="0.2">
      <c r="A27" t="str">
        <f>'Input Scenarios'!A27</f>
        <v>NT</v>
      </c>
      <c r="B27">
        <f>'Input Scenarios'!B27</f>
        <v>0</v>
      </c>
      <c r="C27" t="str">
        <f>'Input Scenarios'!C27</f>
        <v>Irrigated pasture</v>
      </c>
      <c r="D27" t="str">
        <f>'Input Scenarios'!D27</f>
        <v>dry</v>
      </c>
      <c r="E27" t="b">
        <f>'Input Scenarios'!E27</f>
        <v>0</v>
      </c>
      <c r="F27" t="str">
        <f>'Input Scenarios'!F27</f>
        <v>Zero grazing</v>
      </c>
      <c r="G27">
        <f>IF('Input Scenarios'!G27&lt;&gt;"", 'Input Scenarios'!G27, _xlfn.XLOOKUP($F27, Constants!$M$6:$M$9,Constants!N$6:N$9))</f>
        <v>0</v>
      </c>
      <c r="H27">
        <f>IF('Input Scenarios'!H27&lt;&gt;"", 'Input Scenarios'!H27, _xlfn.XLOOKUP($F27, Constants!$M$6:$M$9,Constants!O$6:O$9))</f>
        <v>0.11</v>
      </c>
      <c r="I27">
        <f>IF('Input Scenarios'!I27&lt;&gt;"", 'Input Scenarios'!I27, _xlfn.XLOOKUP($F27, Constants!$M$6:$M$9,Constants!P$6:P$9))</f>
        <v>0.89</v>
      </c>
      <c r="J27">
        <f>'Input Scenarios'!J27</f>
        <v>0</v>
      </c>
      <c r="K27">
        <f>'Input Scenarios'!K27</f>
        <v>0.5</v>
      </c>
      <c r="L27">
        <f>'Input Scenarios'!L27</f>
        <v>0.5</v>
      </c>
      <c r="M27">
        <f>'Input Scenarios'!M27</f>
        <v>0</v>
      </c>
      <c r="N27">
        <f>'Input Scenarios'!N27</f>
        <v>0.5</v>
      </c>
      <c r="O27">
        <f>'Input Scenarios'!O27</f>
        <v>0</v>
      </c>
      <c r="P27">
        <f>'Input Scenarios'!P27</f>
        <v>0</v>
      </c>
      <c r="Q27">
        <f>'Input Scenarios'!Q27</f>
        <v>0.5</v>
      </c>
      <c r="R27" t="b">
        <f>'Input Scenarios'!R27</f>
        <v>0</v>
      </c>
      <c r="S27">
        <f>IF('Input Scenarios'!S27&lt;&gt;"", 'Input Scenarios'!S27, IF(R27, Constants!$B$38, 0))</f>
        <v>0</v>
      </c>
      <c r="T27" t="str">
        <f>IF('Input Scenarios'!T27&lt;&gt;"", 'Input Scenarios'!T27, "")</f>
        <v/>
      </c>
      <c r="U27">
        <f>IF('Input Scenarios'!U27&lt;&gt;"", 'Input Scenarios'!U27, IF(W27&lt;&gt;"", "", Constants!$B$39))</f>
        <v>4</v>
      </c>
      <c r="V27">
        <f>IF('Input Scenarios'!V27&lt;&gt;"", 'Input Scenarios'!V27, IF(W27&lt;&gt;"", "", Constants!$B$40))</f>
        <v>3.3</v>
      </c>
      <c r="W27" t="str">
        <f>IF('Input Scenarios'!W27&lt;&gt;"", 'Input Scenarios'!W27, "")</f>
        <v/>
      </c>
      <c r="X27" t="str">
        <f>'Input Scenarios'!X27</f>
        <v>Holstein-Friesian</v>
      </c>
      <c r="Y27" t="str">
        <f>'Input Scenarios'!Y27</f>
        <v>bullsLt1PreWeaned</v>
      </c>
      <c r="Z27">
        <f>'Input Scenarios'!Z27</f>
        <v>200</v>
      </c>
      <c r="AA27">
        <f>IF('Input Scenarios'!AA27&lt;&gt;"", 'Input Scenarios'!AA27, _xlfn.XLOOKUP(Y27,Constants!$J$6:$J$12,Constants!$K$6:$K$12))</f>
        <v>84</v>
      </c>
      <c r="AB27">
        <f>IF('Input Scenarios'!AB27&lt;&gt;"", 'Input Scenarios'!AB27, INDEX(Constants!$B$2:$H$11, MATCH(X27, Constants!$A$2:$A$11, 0), MATCH(Y27,Constants!$B$1:$H$1, 0)))</f>
        <v>225</v>
      </c>
      <c r="AC27" t="str">
        <f>IF('Input Scenarios'!AC27&lt;&gt;"", 'Input Scenarios'!AC27, _xlfn.XLOOKUP(Y27, Constants!$B$13:$H$13, Constants!$B$15:$H$15, ""))</f>
        <v/>
      </c>
      <c r="AD27">
        <f>IF('Input Scenarios'!AD27&lt;&gt;"", 'Input Scenarios'!AD27, Constants!$B$45)</f>
        <v>0.75</v>
      </c>
      <c r="AE27">
        <f>IF('Input Scenarios'!AE27&lt;&gt;"", 'Input Scenarios'!AE27, Constants!$B$46)</f>
        <v>0.2</v>
      </c>
      <c r="AF27">
        <f t="shared" si="41"/>
        <v>0</v>
      </c>
      <c r="AG27">
        <f t="shared" si="41"/>
        <v>0</v>
      </c>
      <c r="AH27">
        <f t="shared" si="41"/>
        <v>0</v>
      </c>
      <c r="AI27">
        <f t="shared" si="41"/>
        <v>0</v>
      </c>
      <c r="AJ27">
        <f t="shared" si="11"/>
        <v>1</v>
      </c>
      <c r="AK27">
        <f t="shared" si="27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28"/>
        <v>0.5948500000000001</v>
      </c>
      <c r="AQ27">
        <f t="shared" si="29"/>
        <v>0</v>
      </c>
      <c r="AR27">
        <f>IF(Y27="milkingCows", Constants!$P$2, Constants!$P$3)</f>
        <v>1</v>
      </c>
      <c r="AS27" t="str">
        <f t="shared" si="30"/>
        <v/>
      </c>
      <c r="AT27" t="str">
        <f t="shared" si="31"/>
        <v/>
      </c>
      <c r="AU27" t="str">
        <f>_xlfn.XLOOKUP(Y27, Constants!$B$13:$H$13, Constants!$B$14:$H$14, "")</f>
        <v/>
      </c>
      <c r="AV27" t="str">
        <f t="shared" si="32"/>
        <v/>
      </c>
      <c r="AW27">
        <f>Constants!$B$55</f>
        <v>6.25</v>
      </c>
      <c r="AX27" t="str">
        <f t="shared" si="1"/>
        <v/>
      </c>
      <c r="AY27" t="str">
        <f t="shared" si="2"/>
        <v/>
      </c>
      <c r="AZ27" t="str">
        <f t="shared" si="18"/>
        <v/>
      </c>
      <c r="BA27">
        <f>IF(ISNUMBER(FIND("PreWeaned",Y27)),_xlfn.XLOOKUP(Y27,Constants!$J$2:$J$3,Constants!$M$2:$M$3),"")</f>
        <v>9.1999999999999998E-3</v>
      </c>
      <c r="BB27">
        <f t="shared" si="3"/>
        <v>154.56</v>
      </c>
      <c r="BC27">
        <f t="shared" si="4"/>
        <v>0</v>
      </c>
      <c r="BD27">
        <f t="shared" si="5"/>
        <v>0</v>
      </c>
      <c r="BE27">
        <f t="shared" si="6"/>
        <v>0</v>
      </c>
      <c r="BF27">
        <f t="shared" si="7"/>
        <v>0</v>
      </c>
      <c r="BG27">
        <f t="shared" si="8"/>
        <v>154.56</v>
      </c>
      <c r="BH27">
        <f>Constants!$D$19</f>
        <v>0.35</v>
      </c>
      <c r="BI27">
        <f>Constants!$D$20</f>
        <v>7.0000000000000007E-2</v>
      </c>
      <c r="BJ27">
        <f>Constants!$D$21</f>
        <v>0.2</v>
      </c>
      <c r="BK27">
        <f>Constants!$D$22</f>
        <v>0.3</v>
      </c>
      <c r="BL27">
        <f>Constants!$D$23</f>
        <v>0</v>
      </c>
      <c r="BM27">
        <f>Constants!$B$51</f>
        <v>0.21</v>
      </c>
      <c r="BN27">
        <f>Constants!$B$50</f>
        <v>1.57</v>
      </c>
      <c r="BO27">
        <f>_xlfn.XLOOKUP(C27,Constants!$A$27:$A$31,Constants!$B$27:$B$31)</f>
        <v>5.8999999999999999E-3</v>
      </c>
      <c r="BP27">
        <f t="shared" si="33"/>
        <v>0</v>
      </c>
      <c r="BQ27">
        <f t="shared" si="34"/>
        <v>0</v>
      </c>
      <c r="BR27">
        <f t="shared" si="35"/>
        <v>0</v>
      </c>
      <c r="BS27">
        <f t="shared" si="36"/>
        <v>0</v>
      </c>
      <c r="BT27">
        <f t="shared" si="37"/>
        <v>0</v>
      </c>
      <c r="BU27">
        <f t="shared" si="38"/>
        <v>32.457599999999999</v>
      </c>
      <c r="BV27">
        <f t="shared" si="39"/>
        <v>0</v>
      </c>
      <c r="BW27">
        <f t="shared" si="40"/>
        <v>0.30065474880000004</v>
      </c>
    </row>
    <row r="28" spans="1:76" s="16" customFormat="1" x14ac:dyDescent="0.2">
      <c r="A28" s="16" t="str">
        <f>'Input Scenarios'!A28</f>
        <v>NT</v>
      </c>
      <c r="B28" s="16">
        <f>'Input Scenarios'!B28</f>
        <v>0</v>
      </c>
      <c r="C28" s="16" t="str">
        <f>'Input Scenarios'!C28</f>
        <v>Irrigated pasture</v>
      </c>
      <c r="D28" s="16" t="str">
        <f>'Input Scenarios'!D28</f>
        <v>dry</v>
      </c>
      <c r="E28" s="16" t="b">
        <f>'Input Scenarios'!E28</f>
        <v>0</v>
      </c>
      <c r="F28" s="16" t="str">
        <f>'Input Scenarios'!F28</f>
        <v>Zero grazing</v>
      </c>
      <c r="G28" s="16">
        <f>IF('Input Scenarios'!G28&lt;&gt;"", 'Input Scenarios'!G28, _xlfn.XLOOKUP($F28, Constants!$M$6:$M$9,Constants!N$6:N$9))</f>
        <v>0</v>
      </c>
      <c r="H28" s="16">
        <f>IF('Input Scenarios'!H28&lt;&gt;"", 'Input Scenarios'!H28, _xlfn.XLOOKUP($F28, Constants!$M$6:$M$9,Constants!O$6:O$9))</f>
        <v>0.11</v>
      </c>
      <c r="I28" s="16">
        <f>IF('Input Scenarios'!I28&lt;&gt;"", 'Input Scenarios'!I28, _xlfn.XLOOKUP($F28, Constants!$M$6:$M$9,Constants!P$6:P$9))</f>
        <v>0.89</v>
      </c>
      <c r="J28" s="16">
        <f>'Input Scenarios'!J28</f>
        <v>0</v>
      </c>
      <c r="K28" s="16">
        <f>'Input Scenarios'!K28</f>
        <v>0.5</v>
      </c>
      <c r="L28" s="16">
        <f>'Input Scenarios'!L28</f>
        <v>0.5</v>
      </c>
      <c r="M28" s="16">
        <f>'Input Scenarios'!M28</f>
        <v>0</v>
      </c>
      <c r="N28" s="16">
        <f>'Input Scenarios'!N28</f>
        <v>0.5</v>
      </c>
      <c r="O28" s="16">
        <f>'Input Scenarios'!O28</f>
        <v>0</v>
      </c>
      <c r="P28" s="16">
        <f>'Input Scenarios'!P28</f>
        <v>0</v>
      </c>
      <c r="Q28" s="16">
        <f>'Input Scenarios'!Q28</f>
        <v>0.5</v>
      </c>
      <c r="R28" s="16" t="b">
        <f>'Input Scenarios'!R28</f>
        <v>0</v>
      </c>
      <c r="S28" s="16">
        <f>IF('Input Scenarios'!S28&lt;&gt;"", 'Input Scenarios'!S28, IF(R28, Constants!$B$38, 0))</f>
        <v>0</v>
      </c>
      <c r="T28" s="16" t="str">
        <f>IF('Input Scenarios'!T28&lt;&gt;"", 'Input Scenarios'!T28, "")</f>
        <v/>
      </c>
      <c r="U28" s="16">
        <f>IF('Input Scenarios'!U28&lt;&gt;"", 'Input Scenarios'!U28, IF(W28&lt;&gt;"", "", Constants!$B$39))</f>
        <v>4</v>
      </c>
      <c r="V28" s="16">
        <f>IF('Input Scenarios'!V28&lt;&gt;"", 'Input Scenarios'!V28, IF(W28&lt;&gt;"", "", Constants!$B$40))</f>
        <v>3.3</v>
      </c>
      <c r="W28" s="16" t="str">
        <f>IF('Input Scenarios'!W28&lt;&gt;"", 'Input Scenarios'!W28, "")</f>
        <v/>
      </c>
      <c r="X28" s="16" t="str">
        <f>'Input Scenarios'!X28</f>
        <v>Holstein-Friesian</v>
      </c>
      <c r="Y28" s="16" t="str">
        <f>'Input Scenarios'!Y28</f>
        <v>bullsLt1Weaned</v>
      </c>
      <c r="Z28" s="16">
        <f>'Input Scenarios'!Z28</f>
        <v>200</v>
      </c>
      <c r="AA28" s="16">
        <f>IF('Input Scenarios'!AA28&lt;&gt;"", 'Input Scenarios'!AA28, _xlfn.XLOOKUP(Y28,Constants!$J$6:$J$12,Constants!$K$6:$K$12))</f>
        <v>281</v>
      </c>
      <c r="AB28" s="16">
        <f>IF('Input Scenarios'!AB28&lt;&gt;"", 'Input Scenarios'!AB28, INDEX(Constants!$B$2:$H$11, MATCH(X28, Constants!$A$2:$A$11, 0), MATCH(Y28,Constants!$B$1:$H$1, 0)))</f>
        <v>225</v>
      </c>
      <c r="AC28" s="16">
        <f>IF('Input Scenarios'!AC28&lt;&gt;"", 'Input Scenarios'!AC28, _xlfn.XLOOKUP(Y28, Constants!$B$13:$H$13, Constants!$B$15:$H$15, ""))</f>
        <v>0.8</v>
      </c>
      <c r="AD28" s="16">
        <f>IF('Input Scenarios'!AD28&lt;&gt;"", 'Input Scenarios'!AD28, Constants!$B$45)</f>
        <v>0.75</v>
      </c>
      <c r="AE28" s="16">
        <f>IF('Input Scenarios'!AE28&lt;&gt;"", 'Input Scenarios'!AE28, Constants!$B$46)</f>
        <v>0.2</v>
      </c>
      <c r="AF28" s="16">
        <f t="shared" si="41"/>
        <v>0</v>
      </c>
      <c r="AG28" s="16">
        <f t="shared" si="41"/>
        <v>0</v>
      </c>
      <c r="AH28" s="16">
        <f t="shared" si="41"/>
        <v>0</v>
      </c>
      <c r="AI28" s="16">
        <f t="shared" si="41"/>
        <v>0</v>
      </c>
      <c r="AJ28" s="16">
        <f t="shared" si="11"/>
        <v>1</v>
      </c>
      <c r="AK28" s="16">
        <f t="shared" si="27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28"/>
        <v>0.5948500000000001</v>
      </c>
      <c r="AQ28" s="16">
        <f t="shared" si="29"/>
        <v>0</v>
      </c>
      <c r="AR28" s="16">
        <f>IF(Y28="milkingCows", Constants!$P$2, Constants!$P$3)</f>
        <v>1</v>
      </c>
      <c r="AS28" s="16">
        <f t="shared" si="30"/>
        <v>5.4143472656250013</v>
      </c>
      <c r="AT28" s="16">
        <f t="shared" si="31"/>
        <v>1.2576570545672616</v>
      </c>
      <c r="AU28" s="16">
        <f>_xlfn.XLOOKUP(Y28, Constants!$B$13:$H$13, Constants!$B$14:$H$14, "")</f>
        <v>770</v>
      </c>
      <c r="AV28" s="16">
        <f t="shared" si="32"/>
        <v>0.29220779220779219</v>
      </c>
      <c r="AW28" s="16">
        <f>Constants!$B$55</f>
        <v>6.25</v>
      </c>
      <c r="AX28" s="16">
        <f t="shared" si="1"/>
        <v>1.9757354894894084E-2</v>
      </c>
      <c r="AY28" s="16">
        <f t="shared" si="2"/>
        <v>1.0828694531250003</v>
      </c>
      <c r="AZ28" s="16">
        <f t="shared" si="18"/>
        <v>0.15247929000170721</v>
      </c>
      <c r="BA28" s="16" t="str">
        <f>IF(ISNUMBER(FIND("PreWeaned",Y28)),_xlfn.XLOOKUP(Y28,Constants!$J$2:$J$3,Constants!$M$2:$M$3),"")</f>
        <v/>
      </c>
      <c r="BB28" s="16">
        <f t="shared" si="3"/>
        <v>8569.336098095946</v>
      </c>
      <c r="BC28" s="16">
        <f t="shared" si="4"/>
        <v>0</v>
      </c>
      <c r="BD28" s="16">
        <f t="shared" si="5"/>
        <v>0</v>
      </c>
      <c r="BE28" s="16">
        <f t="shared" si="6"/>
        <v>0</v>
      </c>
      <c r="BF28" s="16">
        <f t="shared" si="7"/>
        <v>0</v>
      </c>
      <c r="BG28" s="16">
        <f t="shared" si="8"/>
        <v>8569.336098095946</v>
      </c>
      <c r="BH28" s="16">
        <f>Constants!$D$19</f>
        <v>0.35</v>
      </c>
      <c r="BI28" s="16">
        <f>Constants!$D$20</f>
        <v>7.0000000000000007E-2</v>
      </c>
      <c r="BJ28" s="16">
        <f>Constants!$D$21</f>
        <v>0.2</v>
      </c>
      <c r="BK28" s="16">
        <f>Constants!$D$22</f>
        <v>0.3</v>
      </c>
      <c r="BL28" s="16">
        <f>Constants!$D$23</f>
        <v>0</v>
      </c>
      <c r="BM28" s="16">
        <f>Constants!$B$51</f>
        <v>0.21</v>
      </c>
      <c r="BN28" s="16">
        <f>Constants!$B$50</f>
        <v>1.57</v>
      </c>
      <c r="BO28" s="16">
        <f>_xlfn.XLOOKUP(C28,Constants!$A$27:$A$31,Constants!$B$27:$B$31)</f>
        <v>5.8999999999999999E-3</v>
      </c>
      <c r="BP28" s="16">
        <f t="shared" si="33"/>
        <v>0</v>
      </c>
      <c r="BQ28" s="16">
        <f t="shared" si="34"/>
        <v>0</v>
      </c>
      <c r="BR28" s="16">
        <f t="shared" si="35"/>
        <v>0</v>
      </c>
      <c r="BS28" s="16">
        <f t="shared" si="36"/>
        <v>0</v>
      </c>
      <c r="BT28" s="16">
        <f t="shared" si="37"/>
        <v>0</v>
      </c>
      <c r="BU28" s="16">
        <f t="shared" si="38"/>
        <v>1799.5605806001486</v>
      </c>
      <c r="BV28" s="16">
        <f t="shared" si="39"/>
        <v>0</v>
      </c>
      <c r="BW28" s="16">
        <f t="shared" si="40"/>
        <v>16.669329658099176</v>
      </c>
    </row>
    <row r="29" spans="1:76" x14ac:dyDescent="0.2">
      <c r="A29" t="str">
        <f>'Input Scenarios'!A29</f>
        <v>TAS</v>
      </c>
      <c r="B29">
        <f>'Input Scenarios'!B29</f>
        <v>0</v>
      </c>
      <c r="C29" t="str">
        <f>'Input Scenarios'!C29</f>
        <v>Irrigated crop</v>
      </c>
      <c r="D29" t="str">
        <f>'Input Scenarios'!D29</f>
        <v>dry</v>
      </c>
      <c r="E29" t="b">
        <f>'Input Scenarios'!E29</f>
        <v>1</v>
      </c>
      <c r="F29" t="str">
        <f>'Input Scenarios'!F29</f>
        <v>Grazed only</v>
      </c>
      <c r="G29">
        <f>IF('Input Scenarios'!G29&lt;&gt;"", 'Input Scenarios'!G29, _xlfn.XLOOKUP($F29, Constants!$M$6:$M$9,Constants!N$6:N$9))</f>
        <v>0.89</v>
      </c>
      <c r="H29">
        <f>IF('Input Scenarios'!H29&lt;&gt;"", 'Input Scenarios'!H29, _xlfn.XLOOKUP($F29, Constants!$M$6:$M$9,Constants!O$6:O$9))</f>
        <v>0.11</v>
      </c>
      <c r="I29">
        <f>IF('Input Scenarios'!I29&lt;&gt;"", 'Input Scenarios'!I29, _xlfn.XLOOKUP($F29, Constants!$M$6:$M$9,Constants!P$6:P$9))</f>
        <v>0</v>
      </c>
      <c r="J29">
        <f>'Input Scenarios'!J29</f>
        <v>0.1</v>
      </c>
      <c r="K29">
        <f>'Input Scenarios'!K29</f>
        <v>0.2</v>
      </c>
      <c r="L29">
        <f>'Input Scenarios'!L29</f>
        <v>0.3</v>
      </c>
      <c r="M29">
        <f>'Input Scenarios'!M29</f>
        <v>0.4</v>
      </c>
      <c r="N29">
        <f>'Input Scenarios'!N29</f>
        <v>0.4</v>
      </c>
      <c r="O29">
        <f>'Input Scenarios'!O29</f>
        <v>0.3</v>
      </c>
      <c r="P29">
        <f>'Input Scenarios'!P29</f>
        <v>0.2</v>
      </c>
      <c r="Q29">
        <f>'Input Scenarios'!Q29</f>
        <v>0.1</v>
      </c>
      <c r="R29" t="b">
        <f>'Input Scenarios'!R29</f>
        <v>0</v>
      </c>
      <c r="S29">
        <f>IF('Input Scenarios'!S29&lt;&gt;"", 'Input Scenarios'!S29, IF(R29, Constants!$B$38, 0))</f>
        <v>0</v>
      </c>
      <c r="T29" t="str">
        <f>IF('Input Scenarios'!T29&lt;&gt;"", 'Input Scenarios'!T29, "")</f>
        <v/>
      </c>
      <c r="U29" t="str">
        <f>IF('Input Scenarios'!U29&lt;&gt;"", 'Input Scenarios'!U29, IF(W29&lt;&gt;"", "", Constants!$B$39))</f>
        <v/>
      </c>
      <c r="V29" t="str">
        <f>IF('Input Scenarios'!V29&lt;&gt;"", 'Input Scenarios'!V29, IF(W29&lt;&gt;"", "", Constants!$B$40))</f>
        <v/>
      </c>
      <c r="W29">
        <f>IF('Input Scenarios'!W29&lt;&gt;"", 'Input Scenarios'!W29, "")</f>
        <v>20</v>
      </c>
      <c r="X29" t="str">
        <f>'Input Scenarios'!X29</f>
        <v>Friesian crossbred</v>
      </c>
      <c r="Y29" t="str">
        <f>'Input Scenarios'!Y29</f>
        <v>milkingCows</v>
      </c>
      <c r="Z29">
        <f>'Input Scenarios'!Z29</f>
        <v>200</v>
      </c>
      <c r="AA29">
        <f>IF('Input Scenarios'!AA29&lt;&gt;"", 'Input Scenarios'!AA29, _xlfn.XLOOKUP(Y29,Constants!$J$6:$J$12,Constants!$K$6:$K$12))</f>
        <v>365</v>
      </c>
      <c r="AB29">
        <f>IF('Input Scenarios'!AB29&lt;&gt;"", 'Input Scenarios'!AB29, INDEX(Constants!$B$2:$H$11, MATCH(X29, Constants!$A$2:$A$11, 0), MATCH(Y29,Constants!$B$1:$H$1, 0)))</f>
        <v>500</v>
      </c>
      <c r="AC29">
        <f>IF('Input Scenarios'!AC29&lt;&gt;"", 'Input Scenarios'!AC29, _xlfn.XLOOKUP(Y29, Constants!$B$13:$H$13, Constants!$B$15:$H$15, ""))</f>
        <v>1.6E-2</v>
      </c>
      <c r="AD29">
        <f>IF('Input Scenarios'!AD29&lt;&gt;"", 'Input Scenarios'!AD29, Constants!$B$45)</f>
        <v>0.75</v>
      </c>
      <c r="AE29">
        <f>IF('Input Scenarios'!AE29&lt;&gt;"", 'Input Scenarios'!AE29, Constants!$B$46)</f>
        <v>0.2</v>
      </c>
      <c r="AF29" s="20">
        <f t="shared" si="41"/>
        <v>1.1000000000000001E-2</v>
      </c>
      <c r="AG29" s="20">
        <f t="shared" si="41"/>
        <v>2.2000000000000002E-2</v>
      </c>
      <c r="AH29" s="20">
        <f t="shared" si="41"/>
        <v>3.3000000000000002E-2</v>
      </c>
      <c r="AI29" s="20">
        <f t="shared" si="41"/>
        <v>4.4000000000000004E-2</v>
      </c>
      <c r="AJ29" s="20">
        <f t="shared" si="11"/>
        <v>0.89</v>
      </c>
      <c r="AK29">
        <f t="shared" si="27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28"/>
        <v>0.5948500000000001</v>
      </c>
      <c r="AQ29">
        <f t="shared" si="29"/>
        <v>9.5798721636071917</v>
      </c>
      <c r="AR29">
        <f>IF(Y29="milkingCows", Constants!$P$2, Constants!$P$3)</f>
        <v>1.1000000000000001</v>
      </c>
      <c r="AS29">
        <f t="shared" si="30"/>
        <v>18.265829445367196</v>
      </c>
      <c r="AT29">
        <f t="shared" si="31"/>
        <v>1.0017071727165394</v>
      </c>
      <c r="AU29">
        <f>_xlfn.XLOOKUP(Y29, Constants!$B$13:$H$13, Constants!$B$14:$H$14, "")</f>
        <v>590</v>
      </c>
      <c r="AV29">
        <f t="shared" si="32"/>
        <v>0.84745762711864403</v>
      </c>
      <c r="AW29">
        <f>Constants!$B$55</f>
        <v>6.25</v>
      </c>
      <c r="AX29" s="20">
        <f t="shared" si="1"/>
        <v>0.10351472280849285</v>
      </c>
      <c r="AY29">
        <f t="shared" si="2"/>
        <v>3.6531658890734393</v>
      </c>
      <c r="AZ29">
        <f t="shared" si="18"/>
        <v>0.47913084601960204</v>
      </c>
      <c r="BA29" t="str">
        <f>IF(ISNUMBER(FIND("PreWeaned",Y29)),_xlfn.XLOOKUP(Y29,Constants!$J$2:$J$3,Constants!$M$2:$M$3),"")</f>
        <v/>
      </c>
      <c r="BB29">
        <f t="shared" si="3"/>
        <v>34976.551759430949</v>
      </c>
      <c r="BC29">
        <f t="shared" si="4"/>
        <v>384.74206935374048</v>
      </c>
      <c r="BD29">
        <f t="shared" si="5"/>
        <v>769.48413870748095</v>
      </c>
      <c r="BE29">
        <f t="shared" si="6"/>
        <v>1154.2262080612213</v>
      </c>
      <c r="BF29">
        <f t="shared" si="7"/>
        <v>1538.9682774149619</v>
      </c>
      <c r="BG29">
        <f t="shared" si="8"/>
        <v>31129.131065893547</v>
      </c>
      <c r="BH29">
        <f>Constants!$D$19</f>
        <v>0.35</v>
      </c>
      <c r="BI29">
        <f>Constants!$D$20</f>
        <v>7.0000000000000007E-2</v>
      </c>
      <c r="BJ29">
        <f>Constants!$D$21</f>
        <v>0.2</v>
      </c>
      <c r="BK29">
        <f>Constants!$D$22</f>
        <v>0.3</v>
      </c>
      <c r="BL29">
        <f>Constants!$D$23</f>
        <v>0</v>
      </c>
      <c r="BM29">
        <f>Constants!$B$51</f>
        <v>0.21</v>
      </c>
      <c r="BN29">
        <f>Constants!$B$50</f>
        <v>1.57</v>
      </c>
      <c r="BO29">
        <f>_xlfn.XLOOKUP(C29,Constants!$A$27:$A$31,Constants!$B$27:$B$31)</f>
        <v>7.0000000000000001E-3</v>
      </c>
      <c r="BP29">
        <f t="shared" si="33"/>
        <v>134.65972427380916</v>
      </c>
      <c r="BQ29">
        <f t="shared" si="34"/>
        <v>53.863889709523669</v>
      </c>
      <c r="BR29">
        <f t="shared" si="35"/>
        <v>230.84524161224428</v>
      </c>
      <c r="BS29">
        <f t="shared" si="36"/>
        <v>461.69048322448856</v>
      </c>
      <c r="BT29">
        <f t="shared" si="37"/>
        <v>0</v>
      </c>
      <c r="BU29">
        <f t="shared" si="38"/>
        <v>6537.1175238376445</v>
      </c>
      <c r="BV29">
        <f t="shared" si="39"/>
        <v>9.6828421336325228</v>
      </c>
      <c r="BW29">
        <f t="shared" si="40"/>
        <v>71.84292158697572</v>
      </c>
      <c r="BX29">
        <f>SUM(BV29:BW35)/1000</f>
        <v>0.20021494257236852</v>
      </c>
    </row>
    <row r="30" spans="1:76" x14ac:dyDescent="0.2">
      <c r="A30" t="str">
        <f>'Input Scenarios'!A30</f>
        <v>TAS</v>
      </c>
      <c r="B30">
        <f>'Input Scenarios'!B30</f>
        <v>0</v>
      </c>
      <c r="C30" t="str">
        <f>'Input Scenarios'!C30</f>
        <v>Irrigated crop</v>
      </c>
      <c r="D30" t="str">
        <f>'Input Scenarios'!D30</f>
        <v>dry</v>
      </c>
      <c r="E30" t="b">
        <f>'Input Scenarios'!E30</f>
        <v>1</v>
      </c>
      <c r="F30" t="str">
        <f>'Input Scenarios'!F30</f>
        <v>Grazed only</v>
      </c>
      <c r="G30">
        <f>IF('Input Scenarios'!G30&lt;&gt;"", 'Input Scenarios'!G30, _xlfn.XLOOKUP($F30, Constants!$M$6:$M$9,Constants!N$6:N$9))</f>
        <v>0.89</v>
      </c>
      <c r="H30">
        <f>IF('Input Scenarios'!H30&lt;&gt;"", 'Input Scenarios'!H30, _xlfn.XLOOKUP($F30, Constants!$M$6:$M$9,Constants!O$6:O$9))</f>
        <v>0.11</v>
      </c>
      <c r="I30">
        <f>IF('Input Scenarios'!I30&lt;&gt;"", 'Input Scenarios'!I30, _xlfn.XLOOKUP($F30, Constants!$M$6:$M$9,Constants!P$6:P$9))</f>
        <v>0</v>
      </c>
      <c r="J30">
        <f>'Input Scenarios'!J30</f>
        <v>0.1</v>
      </c>
      <c r="K30">
        <f>'Input Scenarios'!K30</f>
        <v>0.2</v>
      </c>
      <c r="L30">
        <f>'Input Scenarios'!L30</f>
        <v>0.3</v>
      </c>
      <c r="M30">
        <f>'Input Scenarios'!M30</f>
        <v>0.4</v>
      </c>
      <c r="N30">
        <f>'Input Scenarios'!N30</f>
        <v>0.4</v>
      </c>
      <c r="O30">
        <f>'Input Scenarios'!O30</f>
        <v>0.3</v>
      </c>
      <c r="P30">
        <f>'Input Scenarios'!P30</f>
        <v>0.2</v>
      </c>
      <c r="Q30">
        <f>'Input Scenarios'!Q30</f>
        <v>0.1</v>
      </c>
      <c r="R30" t="b">
        <f>'Input Scenarios'!R30</f>
        <v>0</v>
      </c>
      <c r="S30">
        <f>IF('Input Scenarios'!S30&lt;&gt;"", 'Input Scenarios'!S30, IF(R30, Constants!$B$38, 0))</f>
        <v>0</v>
      </c>
      <c r="T30" t="str">
        <f>IF('Input Scenarios'!T30&lt;&gt;"", 'Input Scenarios'!T30, "")</f>
        <v/>
      </c>
      <c r="U30">
        <f>IF('Input Scenarios'!U30&lt;&gt;"", 'Input Scenarios'!U30, IF(W30&lt;&gt;"", "", Constants!$B$39))</f>
        <v>4</v>
      </c>
      <c r="V30">
        <f>IF('Input Scenarios'!V30&lt;&gt;"", 'Input Scenarios'!V30, IF(W30&lt;&gt;"", "", Constants!$B$40))</f>
        <v>3.3</v>
      </c>
      <c r="W30" t="str">
        <f>IF('Input Scenarios'!W30&lt;&gt;"", 'Input Scenarios'!W30, "")</f>
        <v/>
      </c>
      <c r="X30" t="str">
        <f>'Input Scenarios'!X30</f>
        <v>Friesian crossbred</v>
      </c>
      <c r="Y30" t="str">
        <f>'Input Scenarios'!Y30</f>
        <v>heifersGt1</v>
      </c>
      <c r="Z30">
        <f>'Input Scenarios'!Z30</f>
        <v>200</v>
      </c>
      <c r="AA30">
        <f>IF('Input Scenarios'!AA30&lt;&gt;"", 'Input Scenarios'!AA30, _xlfn.XLOOKUP(Y30,Constants!$J$6:$J$12,Constants!$K$6:$K$12))</f>
        <v>365</v>
      </c>
      <c r="AB30">
        <f>IF('Input Scenarios'!AB30&lt;&gt;"", 'Input Scenarios'!AB30, INDEX(Constants!$B$2:$H$11, MATCH(X30, Constants!$A$2:$A$11, 0), MATCH(Y30,Constants!$B$1:$H$1, 0)))</f>
        <v>350</v>
      </c>
      <c r="AC30">
        <f>IF('Input Scenarios'!AC30&lt;&gt;"", 'Input Scenarios'!AC30, _xlfn.XLOOKUP(Y30, Constants!$B$13:$H$13, Constants!$B$15:$H$15, ""))</f>
        <v>0.6</v>
      </c>
      <c r="AD30">
        <f>IF('Input Scenarios'!AD30&lt;&gt;"", 'Input Scenarios'!AD30, Constants!$B$45)</f>
        <v>0.75</v>
      </c>
      <c r="AE30">
        <f>IF('Input Scenarios'!AE30&lt;&gt;"", 'Input Scenarios'!AE30, Constants!$B$46)</f>
        <v>0.2</v>
      </c>
      <c r="AF30">
        <f t="shared" si="41"/>
        <v>0</v>
      </c>
      <c r="AG30">
        <f t="shared" si="41"/>
        <v>0</v>
      </c>
      <c r="AH30">
        <f t="shared" si="41"/>
        <v>0</v>
      </c>
      <c r="AI30">
        <f t="shared" si="41"/>
        <v>0</v>
      </c>
      <c r="AJ30">
        <f t="shared" si="11"/>
        <v>1</v>
      </c>
      <c r="AK30">
        <f t="shared" si="27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28"/>
        <v>0.5948500000000001</v>
      </c>
      <c r="AQ30">
        <f t="shared" si="29"/>
        <v>0</v>
      </c>
      <c r="AR30">
        <f>IF(Y30="milkingCows", Constants!$P$2, Constants!$P$3)</f>
        <v>1</v>
      </c>
      <c r="AS30">
        <f t="shared" si="30"/>
        <v>6.9933802499999995</v>
      </c>
      <c r="AT30">
        <f t="shared" si="31"/>
        <v>1.1598645256363516</v>
      </c>
      <c r="AU30">
        <f>_xlfn.XLOOKUP(Y30, Constants!$B$13:$H$13, Constants!$B$14:$H$14, "")</f>
        <v>590</v>
      </c>
      <c r="AV30">
        <f t="shared" si="32"/>
        <v>0.59322033898305082</v>
      </c>
      <c r="AW30">
        <f>Constants!$B$55</f>
        <v>6.25</v>
      </c>
      <c r="AX30">
        <f t="shared" si="1"/>
        <v>9.4533842373449011E-3</v>
      </c>
      <c r="AY30">
        <f t="shared" si="2"/>
        <v>1.3986760499999999</v>
      </c>
      <c r="AZ30">
        <f t="shared" si="18"/>
        <v>0.21291060763723293</v>
      </c>
      <c r="BA30" t="str">
        <f>IF(ISNUMBER(FIND("PreWeaned",Y30)),_xlfn.XLOOKUP(Y30,Constants!$J$2:$J$3,Constants!$M$2:$M$3),"")</f>
        <v/>
      </c>
      <c r="BB30">
        <f t="shared" si="3"/>
        <v>15542.474357518005</v>
      </c>
      <c r="BC30">
        <f t="shared" si="4"/>
        <v>0</v>
      </c>
      <c r="BD30">
        <f t="shared" si="5"/>
        <v>0</v>
      </c>
      <c r="BE30">
        <f t="shared" si="6"/>
        <v>0</v>
      </c>
      <c r="BF30">
        <f t="shared" si="7"/>
        <v>0</v>
      </c>
      <c r="BG30">
        <f t="shared" si="8"/>
        <v>15542.474357518005</v>
      </c>
      <c r="BH30">
        <f>Constants!$D$19</f>
        <v>0.35</v>
      </c>
      <c r="BI30">
        <f>Constants!$D$20</f>
        <v>7.0000000000000007E-2</v>
      </c>
      <c r="BJ30">
        <f>Constants!$D$21</f>
        <v>0.2</v>
      </c>
      <c r="BK30">
        <f>Constants!$D$22</f>
        <v>0.3</v>
      </c>
      <c r="BL30">
        <f>Constants!$D$23</f>
        <v>0</v>
      </c>
      <c r="BM30">
        <f>Constants!$B$51</f>
        <v>0.21</v>
      </c>
      <c r="BN30">
        <f>Constants!$B$50</f>
        <v>1.57</v>
      </c>
      <c r="BO30">
        <f>_xlfn.XLOOKUP(C30,Constants!$A$27:$A$31,Constants!$B$27:$B$31)</f>
        <v>7.0000000000000001E-3</v>
      </c>
      <c r="BP30">
        <f t="shared" si="33"/>
        <v>0</v>
      </c>
      <c r="BQ30">
        <f t="shared" si="34"/>
        <v>0</v>
      </c>
      <c r="BR30">
        <f t="shared" si="35"/>
        <v>0</v>
      </c>
      <c r="BS30">
        <f t="shared" si="36"/>
        <v>0</v>
      </c>
      <c r="BT30">
        <f t="shared" si="37"/>
        <v>0</v>
      </c>
      <c r="BU30">
        <f t="shared" si="38"/>
        <v>3263.9196150787811</v>
      </c>
      <c r="BV30">
        <f t="shared" si="39"/>
        <v>0</v>
      </c>
      <c r="BW30">
        <f t="shared" si="40"/>
        <v>35.870476569715812</v>
      </c>
    </row>
    <row r="31" spans="1:76" x14ac:dyDescent="0.2">
      <c r="A31" t="str">
        <f>'Input Scenarios'!A31</f>
        <v>TAS</v>
      </c>
      <c r="B31">
        <f>'Input Scenarios'!B31</f>
        <v>0</v>
      </c>
      <c r="C31" t="str">
        <f>'Input Scenarios'!C31</f>
        <v>Irrigated crop</v>
      </c>
      <c r="D31" t="str">
        <f>'Input Scenarios'!D31</f>
        <v>dry</v>
      </c>
      <c r="E31" t="b">
        <f>'Input Scenarios'!E31</f>
        <v>1</v>
      </c>
      <c r="F31" t="str">
        <f>'Input Scenarios'!F31</f>
        <v>Grazed only</v>
      </c>
      <c r="G31">
        <f>IF('Input Scenarios'!G31&lt;&gt;"", 'Input Scenarios'!G31, _xlfn.XLOOKUP($F31, Constants!$M$6:$M$9,Constants!N$6:N$9))</f>
        <v>0.89</v>
      </c>
      <c r="H31">
        <f>IF('Input Scenarios'!H31&lt;&gt;"", 'Input Scenarios'!H31, _xlfn.XLOOKUP($F31, Constants!$M$6:$M$9,Constants!O$6:O$9))</f>
        <v>0.11</v>
      </c>
      <c r="I31">
        <f>IF('Input Scenarios'!I31&lt;&gt;"", 'Input Scenarios'!I31, _xlfn.XLOOKUP($F31, Constants!$M$6:$M$9,Constants!P$6:P$9))</f>
        <v>0</v>
      </c>
      <c r="J31">
        <f>'Input Scenarios'!J31</f>
        <v>0.1</v>
      </c>
      <c r="K31">
        <f>'Input Scenarios'!K31</f>
        <v>0.2</v>
      </c>
      <c r="L31">
        <f>'Input Scenarios'!L31</f>
        <v>0.3</v>
      </c>
      <c r="M31">
        <f>'Input Scenarios'!M31</f>
        <v>0.4</v>
      </c>
      <c r="N31">
        <f>'Input Scenarios'!N31</f>
        <v>0.4</v>
      </c>
      <c r="O31">
        <f>'Input Scenarios'!O31</f>
        <v>0.3</v>
      </c>
      <c r="P31">
        <f>'Input Scenarios'!P31</f>
        <v>0.2</v>
      </c>
      <c r="Q31">
        <f>'Input Scenarios'!Q31</f>
        <v>0.1</v>
      </c>
      <c r="R31" t="b">
        <f>'Input Scenarios'!R31</f>
        <v>0</v>
      </c>
      <c r="S31">
        <f>IF('Input Scenarios'!S31&lt;&gt;"", 'Input Scenarios'!S31, IF(R31, Constants!$B$38, 0))</f>
        <v>0</v>
      </c>
      <c r="T31" t="str">
        <f>IF('Input Scenarios'!T31&lt;&gt;"", 'Input Scenarios'!T31, "")</f>
        <v/>
      </c>
      <c r="U31">
        <f>IF('Input Scenarios'!U31&lt;&gt;"", 'Input Scenarios'!U31, IF(W31&lt;&gt;"", "", Constants!$B$39))</f>
        <v>4</v>
      </c>
      <c r="V31">
        <f>IF('Input Scenarios'!V31&lt;&gt;"", 'Input Scenarios'!V31, IF(W31&lt;&gt;"", "", Constants!$B$40))</f>
        <v>3.3</v>
      </c>
      <c r="W31" t="str">
        <f>IF('Input Scenarios'!W31&lt;&gt;"", 'Input Scenarios'!W31, "")</f>
        <v/>
      </c>
      <c r="X31" t="str">
        <f>'Input Scenarios'!X31</f>
        <v>Friesian crossbred</v>
      </c>
      <c r="Y31" t="str">
        <f>'Input Scenarios'!Y31</f>
        <v>heifersLt1PreWeaned</v>
      </c>
      <c r="Z31">
        <f>'Input Scenarios'!Z31</f>
        <v>200</v>
      </c>
      <c r="AA31">
        <f>IF('Input Scenarios'!AA31&lt;&gt;"", 'Input Scenarios'!AA31, _xlfn.XLOOKUP(Y31,Constants!$J$6:$J$12,Constants!$K$6:$K$12))</f>
        <v>84</v>
      </c>
      <c r="AB31">
        <f>IF('Input Scenarios'!AB31&lt;&gt;"", 'Input Scenarios'!AB31, INDEX(Constants!$B$2:$H$11, MATCH(X31, Constants!$A$2:$A$11, 0), MATCH(Y31,Constants!$B$1:$H$1, 0)))</f>
        <v>145</v>
      </c>
      <c r="AC31" t="str">
        <f>IF('Input Scenarios'!AC31&lt;&gt;"", 'Input Scenarios'!AC31, _xlfn.XLOOKUP(Y31, Constants!$B$13:$H$13, Constants!$B$15:$H$15, ""))</f>
        <v/>
      </c>
      <c r="AD31">
        <f>IF('Input Scenarios'!AD31&lt;&gt;"", 'Input Scenarios'!AD31, Constants!$B$45)</f>
        <v>0.75</v>
      </c>
      <c r="AE31">
        <f>IF('Input Scenarios'!AE31&lt;&gt;"", 'Input Scenarios'!AE31, Constants!$B$46)</f>
        <v>0.2</v>
      </c>
      <c r="AF31">
        <f t="shared" si="41"/>
        <v>0</v>
      </c>
      <c r="AG31">
        <f t="shared" si="41"/>
        <v>0</v>
      </c>
      <c r="AH31">
        <f t="shared" si="41"/>
        <v>0</v>
      </c>
      <c r="AI31">
        <f t="shared" si="41"/>
        <v>0</v>
      </c>
      <c r="AJ31">
        <f t="shared" si="11"/>
        <v>1</v>
      </c>
      <c r="AK31">
        <f t="shared" si="27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28"/>
        <v>0.5948500000000001</v>
      </c>
      <c r="AQ31">
        <f t="shared" si="29"/>
        <v>0</v>
      </c>
      <c r="AR31">
        <f>IF(Y31="milkingCows", Constants!$P$2, Constants!$P$3)</f>
        <v>1</v>
      </c>
      <c r="AS31" t="str">
        <f t="shared" si="30"/>
        <v/>
      </c>
      <c r="AT31" t="str">
        <f t="shared" si="31"/>
        <v/>
      </c>
      <c r="AU31" t="str">
        <f>_xlfn.XLOOKUP(Y31, Constants!$B$13:$H$13, Constants!$B$14:$H$14, "")</f>
        <v/>
      </c>
      <c r="AV31" t="str">
        <f t="shared" si="32"/>
        <v/>
      </c>
      <c r="AW31">
        <f>Constants!$B$55</f>
        <v>6.25</v>
      </c>
      <c r="AX31" t="str">
        <f t="shared" si="1"/>
        <v/>
      </c>
      <c r="AY31" t="str">
        <f t="shared" si="2"/>
        <v/>
      </c>
      <c r="AZ31" t="str">
        <f t="shared" si="18"/>
        <v/>
      </c>
      <c r="BA31">
        <f>IF(ISNUMBER(FIND("PreWeaned",Y31)),_xlfn.XLOOKUP(Y31,Constants!$J$2:$J$3,Constants!$M$2:$M$3),"")</f>
        <v>1.37E-2</v>
      </c>
      <c r="BB31">
        <f t="shared" si="3"/>
        <v>230.16000000000003</v>
      </c>
      <c r="BC31">
        <f t="shared" si="4"/>
        <v>0</v>
      </c>
      <c r="BD31">
        <f t="shared" si="5"/>
        <v>0</v>
      </c>
      <c r="BE31">
        <f t="shared" si="6"/>
        <v>0</v>
      </c>
      <c r="BF31">
        <f t="shared" si="7"/>
        <v>0</v>
      </c>
      <c r="BG31">
        <f t="shared" si="8"/>
        <v>230.16000000000003</v>
      </c>
      <c r="BH31">
        <f>Constants!$D$19</f>
        <v>0.35</v>
      </c>
      <c r="BI31">
        <f>Constants!$D$20</f>
        <v>7.0000000000000007E-2</v>
      </c>
      <c r="BJ31">
        <f>Constants!$D$21</f>
        <v>0.2</v>
      </c>
      <c r="BK31">
        <f>Constants!$D$22</f>
        <v>0.3</v>
      </c>
      <c r="BL31">
        <f>Constants!$D$23</f>
        <v>0</v>
      </c>
      <c r="BM31">
        <f>Constants!$B$51</f>
        <v>0.21</v>
      </c>
      <c r="BN31">
        <f>Constants!$B$50</f>
        <v>1.57</v>
      </c>
      <c r="BO31">
        <f>_xlfn.XLOOKUP(C31,Constants!$A$27:$A$31,Constants!$B$27:$B$31)</f>
        <v>7.0000000000000001E-3</v>
      </c>
      <c r="BP31">
        <f t="shared" si="33"/>
        <v>0</v>
      </c>
      <c r="BQ31">
        <f t="shared" si="34"/>
        <v>0</v>
      </c>
      <c r="BR31">
        <f t="shared" si="35"/>
        <v>0</v>
      </c>
      <c r="BS31">
        <f t="shared" si="36"/>
        <v>0</v>
      </c>
      <c r="BT31">
        <f t="shared" si="37"/>
        <v>0</v>
      </c>
      <c r="BU31">
        <f t="shared" si="38"/>
        <v>48.333600000000004</v>
      </c>
      <c r="BV31">
        <f t="shared" si="39"/>
        <v>0</v>
      </c>
      <c r="BW31">
        <f t="shared" si="40"/>
        <v>0.53118626400000013</v>
      </c>
    </row>
    <row r="32" spans="1:76" x14ac:dyDescent="0.2">
      <c r="A32" t="str">
        <f>'Input Scenarios'!A32</f>
        <v>TAS</v>
      </c>
      <c r="B32">
        <f>'Input Scenarios'!B32</f>
        <v>0</v>
      </c>
      <c r="C32" t="str">
        <f>'Input Scenarios'!C32</f>
        <v>Irrigated crop</v>
      </c>
      <c r="D32" t="str">
        <f>'Input Scenarios'!D32</f>
        <v>dry</v>
      </c>
      <c r="E32" t="b">
        <f>'Input Scenarios'!E32</f>
        <v>1</v>
      </c>
      <c r="F32" t="str">
        <f>'Input Scenarios'!F32</f>
        <v>Grazed only</v>
      </c>
      <c r="G32">
        <f>IF('Input Scenarios'!G32&lt;&gt;"", 'Input Scenarios'!G32, _xlfn.XLOOKUP($F32, Constants!$M$6:$M$9,Constants!N$6:N$9))</f>
        <v>0.89</v>
      </c>
      <c r="H32">
        <f>IF('Input Scenarios'!H32&lt;&gt;"", 'Input Scenarios'!H32, _xlfn.XLOOKUP($F32, Constants!$M$6:$M$9,Constants!O$6:O$9))</f>
        <v>0.11</v>
      </c>
      <c r="I32">
        <f>IF('Input Scenarios'!I32&lt;&gt;"", 'Input Scenarios'!I32, _xlfn.XLOOKUP($F32, Constants!$M$6:$M$9,Constants!P$6:P$9))</f>
        <v>0</v>
      </c>
      <c r="J32">
        <f>'Input Scenarios'!J32</f>
        <v>0.1</v>
      </c>
      <c r="K32">
        <f>'Input Scenarios'!K32</f>
        <v>0.2</v>
      </c>
      <c r="L32">
        <f>'Input Scenarios'!L32</f>
        <v>0.3</v>
      </c>
      <c r="M32">
        <f>'Input Scenarios'!M32</f>
        <v>0.4</v>
      </c>
      <c r="N32">
        <f>'Input Scenarios'!N32</f>
        <v>0.4</v>
      </c>
      <c r="O32">
        <f>'Input Scenarios'!O32</f>
        <v>0.3</v>
      </c>
      <c r="P32">
        <f>'Input Scenarios'!P32</f>
        <v>0.2</v>
      </c>
      <c r="Q32">
        <f>'Input Scenarios'!Q32</f>
        <v>0.1</v>
      </c>
      <c r="R32" t="b">
        <f>'Input Scenarios'!R32</f>
        <v>0</v>
      </c>
      <c r="S32">
        <f>IF('Input Scenarios'!S32&lt;&gt;"", 'Input Scenarios'!S32, IF(R32, Constants!$B$38, 0))</f>
        <v>0</v>
      </c>
      <c r="T32" t="str">
        <f>IF('Input Scenarios'!T32&lt;&gt;"", 'Input Scenarios'!T32, "")</f>
        <v/>
      </c>
      <c r="U32">
        <f>IF('Input Scenarios'!U32&lt;&gt;"", 'Input Scenarios'!U32, IF(W32&lt;&gt;"", "", Constants!$B$39))</f>
        <v>4</v>
      </c>
      <c r="V32">
        <f>IF('Input Scenarios'!V32&lt;&gt;"", 'Input Scenarios'!V32, IF(W32&lt;&gt;"", "", Constants!$B$40))</f>
        <v>3.3</v>
      </c>
      <c r="W32" t="str">
        <f>IF('Input Scenarios'!W32&lt;&gt;"", 'Input Scenarios'!W32, "")</f>
        <v/>
      </c>
      <c r="X32" t="str">
        <f>'Input Scenarios'!X32</f>
        <v>Friesian crossbred</v>
      </c>
      <c r="Y32" t="str">
        <f>'Input Scenarios'!Y32</f>
        <v>heifersLt1Weaned</v>
      </c>
      <c r="Z32">
        <f>'Input Scenarios'!Z32</f>
        <v>200</v>
      </c>
      <c r="AA32">
        <f>IF('Input Scenarios'!AA32&lt;&gt;"", 'Input Scenarios'!AA32, _xlfn.XLOOKUP(Y32,Constants!$J$6:$J$12,Constants!$K$6:$K$12))</f>
        <v>281</v>
      </c>
      <c r="AB32">
        <f>IF('Input Scenarios'!AB32&lt;&gt;"", 'Input Scenarios'!AB32, INDEX(Constants!$B$2:$H$11, MATCH(X32, Constants!$A$2:$A$11, 0), MATCH(Y32,Constants!$B$1:$H$1, 0)))</f>
        <v>145</v>
      </c>
      <c r="AC32">
        <f>IF('Input Scenarios'!AC32&lt;&gt;"", 'Input Scenarios'!AC32, _xlfn.XLOOKUP(Y32, Constants!$B$13:$H$13, Constants!$B$15:$H$15, ""))</f>
        <v>0.56999999999999995</v>
      </c>
      <c r="AD32">
        <f>IF('Input Scenarios'!AD32&lt;&gt;"", 'Input Scenarios'!AD32, Constants!$B$45)</f>
        <v>0.75</v>
      </c>
      <c r="AE32">
        <f>IF('Input Scenarios'!AE32&lt;&gt;"", 'Input Scenarios'!AE32, Constants!$B$46)</f>
        <v>0.2</v>
      </c>
      <c r="AF32">
        <f t="shared" si="41"/>
        <v>0</v>
      </c>
      <c r="AG32">
        <f t="shared" si="41"/>
        <v>0</v>
      </c>
      <c r="AH32">
        <f t="shared" si="41"/>
        <v>0</v>
      </c>
      <c r="AI32">
        <f t="shared" si="41"/>
        <v>0</v>
      </c>
      <c r="AJ32">
        <f t="shared" si="11"/>
        <v>1</v>
      </c>
      <c r="AK32">
        <f t="shared" si="27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ref="AP32:AP35" si="42">0.795*(AD32)-0.0014</f>
        <v>0.5948500000000001</v>
      </c>
      <c r="AQ32">
        <f t="shared" ref="AQ32:AQ35" si="43">(AK32*AL32*AM32)/(AN32*AO32*AP32)</f>
        <v>0</v>
      </c>
      <c r="AR32">
        <f>IF(Y32="milkingCows", Constants!$P$2, Constants!$P$3)</f>
        <v>1</v>
      </c>
      <c r="AS32">
        <f t="shared" ref="AS32:AS35" si="44">IFERROR(((1.185+(0.00454*AB32)-(0.0000026*(AB32^2))+(0.315*AC32))^2*AR32+AQ32), "")</f>
        <v>3.8737521942250002</v>
      </c>
      <c r="AT32">
        <f t="shared" ref="AT32:AT35" si="45">IFERROR(((1.185+(0.00454*AB32)-(0.0000026*(AB32^2))+(0.315*AC32))^2*AR32+AQ32)/((1.185+(0.00454*AB32)-(0.0000026*(AB32^2)))^2*AR32+AQ32), "")</f>
        <v>1.2108445342325853</v>
      </c>
      <c r="AU32">
        <f>_xlfn.XLOOKUP(Y32, Constants!$B$13:$H$13, Constants!$B$14:$H$14, "")</f>
        <v>590</v>
      </c>
      <c r="AV32">
        <f t="shared" ref="AV32:AV35" si="46">IFERROR(AB32/AU32, "")</f>
        <v>0.24576271186440679</v>
      </c>
      <c r="AW32">
        <f>Constants!$B$55</f>
        <v>6.25</v>
      </c>
      <c r="AX32">
        <f t="shared" si="1"/>
        <v>1.4832686313540533E-2</v>
      </c>
      <c r="AY32">
        <f t="shared" si="2"/>
        <v>0.77475043884500006</v>
      </c>
      <c r="AZ32">
        <f t="shared" si="18"/>
        <v>0.10839195842696786</v>
      </c>
      <c r="BA32" t="str">
        <f>IF(ISNUMBER(FIND("PreWeaned",Y32)),_xlfn.XLOOKUP(Y32,Constants!$J$2:$J$3,Constants!$M$2:$M$3),"")</f>
        <v/>
      </c>
      <c r="BB32">
        <f t="shared" si="3"/>
        <v>6091.6280635955936</v>
      </c>
      <c r="BC32">
        <f t="shared" si="4"/>
        <v>0</v>
      </c>
      <c r="BD32">
        <f t="shared" si="5"/>
        <v>0</v>
      </c>
      <c r="BE32">
        <f t="shared" si="6"/>
        <v>0</v>
      </c>
      <c r="BF32">
        <f t="shared" si="7"/>
        <v>0</v>
      </c>
      <c r="BG32">
        <f t="shared" si="8"/>
        <v>6091.6280635955936</v>
      </c>
      <c r="BH32">
        <f>Constants!$D$19</f>
        <v>0.35</v>
      </c>
      <c r="BI32">
        <f>Constants!$D$20</f>
        <v>7.0000000000000007E-2</v>
      </c>
      <c r="BJ32">
        <f>Constants!$D$21</f>
        <v>0.2</v>
      </c>
      <c r="BK32">
        <f>Constants!$D$22</f>
        <v>0.3</v>
      </c>
      <c r="BL32">
        <f>Constants!$D$23</f>
        <v>0</v>
      </c>
      <c r="BM32">
        <f>Constants!$B$51</f>
        <v>0.21</v>
      </c>
      <c r="BN32">
        <f>Constants!$B$50</f>
        <v>1.57</v>
      </c>
      <c r="BO32">
        <f>_xlfn.XLOOKUP(C32,Constants!$A$27:$A$31,Constants!$B$27:$B$31)</f>
        <v>7.0000000000000001E-3</v>
      </c>
      <c r="BP32">
        <f t="shared" ref="BP32:BP35" si="47">BC32*BH32</f>
        <v>0</v>
      </c>
      <c r="BQ32">
        <f t="shared" ref="BQ32:BQ35" si="48">BD32*BI32</f>
        <v>0</v>
      </c>
      <c r="BR32">
        <f t="shared" ref="BR32:BR35" si="49">BE32*BJ32</f>
        <v>0</v>
      </c>
      <c r="BS32">
        <f t="shared" ref="BS32:BS35" si="50">BF32*BK32</f>
        <v>0</v>
      </c>
      <c r="BT32">
        <f t="shared" ref="BT32:BT35" si="51">BG32*BL32</f>
        <v>0</v>
      </c>
      <c r="BU32">
        <f t="shared" ref="BU32:BU35" si="52">BG32*BM32</f>
        <v>1279.2418933550746</v>
      </c>
      <c r="BV32">
        <f t="shared" ref="BV32:BV35" si="53">SUM(BP32:BS32)*BO32*BN32</f>
        <v>0</v>
      </c>
      <c r="BW32">
        <f t="shared" ref="BW32:BW35" si="54">BU32*BO32*BN32</f>
        <v>14.058868407972271</v>
      </c>
    </row>
    <row r="33" spans="1:76" x14ac:dyDescent="0.2">
      <c r="A33" t="str">
        <f>'Input Scenarios'!A33</f>
        <v>TAS</v>
      </c>
      <c r="B33">
        <f>'Input Scenarios'!B33</f>
        <v>0</v>
      </c>
      <c r="C33" t="str">
        <f>'Input Scenarios'!C33</f>
        <v>Irrigated crop</v>
      </c>
      <c r="D33" t="str">
        <f>'Input Scenarios'!D33</f>
        <v>dry</v>
      </c>
      <c r="E33" t="b">
        <f>'Input Scenarios'!E33</f>
        <v>1</v>
      </c>
      <c r="F33" t="str">
        <f>'Input Scenarios'!F33</f>
        <v>Grazed only</v>
      </c>
      <c r="G33">
        <f>IF('Input Scenarios'!G33&lt;&gt;"", 'Input Scenarios'!G33, _xlfn.XLOOKUP($F33, Constants!$M$6:$M$9,Constants!N$6:N$9))</f>
        <v>0.89</v>
      </c>
      <c r="H33">
        <f>IF('Input Scenarios'!H33&lt;&gt;"", 'Input Scenarios'!H33, _xlfn.XLOOKUP($F33, Constants!$M$6:$M$9,Constants!O$6:O$9))</f>
        <v>0.11</v>
      </c>
      <c r="I33">
        <f>IF('Input Scenarios'!I33&lt;&gt;"", 'Input Scenarios'!I33, _xlfn.XLOOKUP($F33, Constants!$M$6:$M$9,Constants!P$6:P$9))</f>
        <v>0</v>
      </c>
      <c r="J33">
        <f>'Input Scenarios'!J33</f>
        <v>0.1</v>
      </c>
      <c r="K33">
        <f>'Input Scenarios'!K33</f>
        <v>0.2</v>
      </c>
      <c r="L33">
        <f>'Input Scenarios'!L33</f>
        <v>0.3</v>
      </c>
      <c r="M33">
        <f>'Input Scenarios'!M33</f>
        <v>0.4</v>
      </c>
      <c r="N33">
        <f>'Input Scenarios'!N33</f>
        <v>0.4</v>
      </c>
      <c r="O33">
        <f>'Input Scenarios'!O33</f>
        <v>0.3</v>
      </c>
      <c r="P33">
        <f>'Input Scenarios'!P33</f>
        <v>0.2</v>
      </c>
      <c r="Q33">
        <f>'Input Scenarios'!Q33</f>
        <v>0.1</v>
      </c>
      <c r="R33" t="b">
        <f>'Input Scenarios'!R33</f>
        <v>0</v>
      </c>
      <c r="S33">
        <f>IF('Input Scenarios'!S33&lt;&gt;"", 'Input Scenarios'!S33, IF(R33, Constants!$B$38, 0))</f>
        <v>0</v>
      </c>
      <c r="T33" t="str">
        <f>IF('Input Scenarios'!T33&lt;&gt;"", 'Input Scenarios'!T33, "")</f>
        <v/>
      </c>
      <c r="U33">
        <f>IF('Input Scenarios'!U33&lt;&gt;"", 'Input Scenarios'!U33, IF(W33&lt;&gt;"", "", Constants!$B$39))</f>
        <v>4</v>
      </c>
      <c r="V33">
        <f>IF('Input Scenarios'!V33&lt;&gt;"", 'Input Scenarios'!V33, IF(W33&lt;&gt;"", "", Constants!$B$40))</f>
        <v>3.3</v>
      </c>
      <c r="W33" t="str">
        <f>IF('Input Scenarios'!W33&lt;&gt;"", 'Input Scenarios'!W33, "")</f>
        <v/>
      </c>
      <c r="X33" t="str">
        <f>'Input Scenarios'!X33</f>
        <v>Friesian crossbred</v>
      </c>
      <c r="Y33" t="str">
        <f>'Input Scenarios'!Y33</f>
        <v>bullsGt1</v>
      </c>
      <c r="Z33">
        <f>'Input Scenarios'!Z33</f>
        <v>200</v>
      </c>
      <c r="AA33">
        <f>IF('Input Scenarios'!AA33&lt;&gt;"", 'Input Scenarios'!AA33, _xlfn.XLOOKUP(Y33,Constants!$J$6:$J$12,Constants!$K$6:$K$12))</f>
        <v>365</v>
      </c>
      <c r="AB33">
        <f>IF('Input Scenarios'!AB33&lt;&gt;"", 'Input Scenarios'!AB33, INDEX(Constants!$B$2:$H$11, MATCH(X33, Constants!$A$2:$A$11, 0), MATCH(Y33,Constants!$B$1:$H$1, 0)))</f>
        <v>600</v>
      </c>
      <c r="AC33">
        <f>IF('Input Scenarios'!AC33&lt;&gt;"", 'Input Scenarios'!AC33, _xlfn.XLOOKUP(Y33, Constants!$B$13:$H$13, Constants!$B$15:$H$15, ""))</f>
        <v>0.1</v>
      </c>
      <c r="AD33">
        <f>IF('Input Scenarios'!AD33&lt;&gt;"", 'Input Scenarios'!AD33, Constants!$B$45)</f>
        <v>0.75</v>
      </c>
      <c r="AE33">
        <f>IF('Input Scenarios'!AE33&lt;&gt;"", 'Input Scenarios'!AE33, Constants!$B$46)</f>
        <v>0.2</v>
      </c>
      <c r="AF33">
        <f t="shared" si="41"/>
        <v>0</v>
      </c>
      <c r="AG33">
        <f t="shared" si="41"/>
        <v>0</v>
      </c>
      <c r="AH33">
        <f t="shared" si="41"/>
        <v>0</v>
      </c>
      <c r="AI33">
        <f t="shared" si="41"/>
        <v>0</v>
      </c>
      <c r="AJ33">
        <f t="shared" si="11"/>
        <v>1</v>
      </c>
      <c r="AK33">
        <f t="shared" si="27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42"/>
        <v>0.5948500000000001</v>
      </c>
      <c r="AQ33">
        <f t="shared" si="43"/>
        <v>0</v>
      </c>
      <c r="AR33">
        <f>IF(Y33="milkingCows", Constants!$P$2, Constants!$P$3)</f>
        <v>1</v>
      </c>
      <c r="AS33">
        <f t="shared" si="44"/>
        <v>9.0270202499999979</v>
      </c>
      <c r="AT33">
        <f t="shared" si="45"/>
        <v>1.0213029780639273</v>
      </c>
      <c r="AU33">
        <f>_xlfn.XLOOKUP(Y33, Constants!$B$13:$H$13, Constants!$B$14:$H$14, "")</f>
        <v>770</v>
      </c>
      <c r="AV33">
        <f t="shared" si="46"/>
        <v>0.77922077922077926</v>
      </c>
      <c r="AW33">
        <f>Constants!$B$55</f>
        <v>6.25</v>
      </c>
      <c r="AX33">
        <f t="shared" si="1"/>
        <v>1.2626203146474679E-3</v>
      </c>
      <c r="AY33">
        <f t="shared" si="2"/>
        <v>1.8054040499999997</v>
      </c>
      <c r="AZ33">
        <f t="shared" si="18"/>
        <v>0.28546836331241399</v>
      </c>
      <c r="BA33" t="str">
        <f>IF(ISNUMBER(FIND("PreWeaned",Y33)),_xlfn.XLOOKUP(Y33,Constants!$J$2:$J$3,Constants!$M$2:$M$3),"")</f>
        <v/>
      </c>
      <c r="BB33">
        <f t="shared" si="3"/>
        <v>20839.19052180622</v>
      </c>
      <c r="BC33">
        <f t="shared" si="4"/>
        <v>0</v>
      </c>
      <c r="BD33">
        <f t="shared" si="5"/>
        <v>0</v>
      </c>
      <c r="BE33">
        <f t="shared" si="6"/>
        <v>0</v>
      </c>
      <c r="BF33">
        <f t="shared" si="7"/>
        <v>0</v>
      </c>
      <c r="BG33">
        <f t="shared" si="8"/>
        <v>20839.19052180622</v>
      </c>
      <c r="BH33">
        <f>Constants!$D$19</f>
        <v>0.35</v>
      </c>
      <c r="BI33">
        <f>Constants!$D$20</f>
        <v>7.0000000000000007E-2</v>
      </c>
      <c r="BJ33">
        <f>Constants!$D$21</f>
        <v>0.2</v>
      </c>
      <c r="BK33">
        <f>Constants!$D$22</f>
        <v>0.3</v>
      </c>
      <c r="BL33">
        <f>Constants!$D$23</f>
        <v>0</v>
      </c>
      <c r="BM33">
        <f>Constants!$B$51</f>
        <v>0.21</v>
      </c>
      <c r="BN33">
        <f>Constants!$B$50</f>
        <v>1.57</v>
      </c>
      <c r="BO33">
        <f>_xlfn.XLOOKUP(C33,Constants!$A$27:$A$31,Constants!$B$27:$B$31)</f>
        <v>7.0000000000000001E-3</v>
      </c>
      <c r="BP33">
        <f t="shared" si="47"/>
        <v>0</v>
      </c>
      <c r="BQ33">
        <f t="shared" si="48"/>
        <v>0</v>
      </c>
      <c r="BR33">
        <f t="shared" si="49"/>
        <v>0</v>
      </c>
      <c r="BS33">
        <f t="shared" si="50"/>
        <v>0</v>
      </c>
      <c r="BT33">
        <f t="shared" si="51"/>
        <v>0</v>
      </c>
      <c r="BU33">
        <f t="shared" si="52"/>
        <v>4376.2300095793062</v>
      </c>
      <c r="BV33">
        <f t="shared" si="53"/>
        <v>0</v>
      </c>
      <c r="BW33">
        <f t="shared" si="54"/>
        <v>48.094767805276582</v>
      </c>
    </row>
    <row r="34" spans="1:76" x14ac:dyDescent="0.2">
      <c r="A34" t="str">
        <f>'Input Scenarios'!A34</f>
        <v>TAS</v>
      </c>
      <c r="B34">
        <f>'Input Scenarios'!B34</f>
        <v>0</v>
      </c>
      <c r="C34" t="str">
        <f>'Input Scenarios'!C34</f>
        <v>Irrigated crop</v>
      </c>
      <c r="D34" t="str">
        <f>'Input Scenarios'!D34</f>
        <v>dry</v>
      </c>
      <c r="E34" t="b">
        <f>'Input Scenarios'!E34</f>
        <v>1</v>
      </c>
      <c r="F34" t="str">
        <f>'Input Scenarios'!F34</f>
        <v>Grazed only</v>
      </c>
      <c r="G34">
        <f>IF('Input Scenarios'!G34&lt;&gt;"", 'Input Scenarios'!G34, _xlfn.XLOOKUP($F34, Constants!$M$6:$M$9,Constants!N$6:N$9))</f>
        <v>0.89</v>
      </c>
      <c r="H34">
        <f>IF('Input Scenarios'!H34&lt;&gt;"", 'Input Scenarios'!H34, _xlfn.XLOOKUP($F34, Constants!$M$6:$M$9,Constants!O$6:O$9))</f>
        <v>0.11</v>
      </c>
      <c r="I34">
        <f>IF('Input Scenarios'!I34&lt;&gt;"", 'Input Scenarios'!I34, _xlfn.XLOOKUP($F34, Constants!$M$6:$M$9,Constants!P$6:P$9))</f>
        <v>0</v>
      </c>
      <c r="J34">
        <f>'Input Scenarios'!J34</f>
        <v>0.1</v>
      </c>
      <c r="K34">
        <f>'Input Scenarios'!K34</f>
        <v>0.2</v>
      </c>
      <c r="L34">
        <f>'Input Scenarios'!L34</f>
        <v>0.3</v>
      </c>
      <c r="M34">
        <f>'Input Scenarios'!M34</f>
        <v>0.4</v>
      </c>
      <c r="N34">
        <f>'Input Scenarios'!N34</f>
        <v>0.4</v>
      </c>
      <c r="O34">
        <f>'Input Scenarios'!O34</f>
        <v>0.3</v>
      </c>
      <c r="P34">
        <f>'Input Scenarios'!P34</f>
        <v>0.2</v>
      </c>
      <c r="Q34">
        <f>'Input Scenarios'!Q34</f>
        <v>0.1</v>
      </c>
      <c r="R34" t="b">
        <f>'Input Scenarios'!R34</f>
        <v>0</v>
      </c>
      <c r="S34">
        <f>IF('Input Scenarios'!S34&lt;&gt;"", 'Input Scenarios'!S34, IF(R34, Constants!$B$38, 0))</f>
        <v>0</v>
      </c>
      <c r="T34" t="str">
        <f>IF('Input Scenarios'!T34&lt;&gt;"", 'Input Scenarios'!T34, "")</f>
        <v/>
      </c>
      <c r="U34">
        <f>IF('Input Scenarios'!U34&lt;&gt;"", 'Input Scenarios'!U34, IF(W34&lt;&gt;"", "", Constants!$B$39))</f>
        <v>4</v>
      </c>
      <c r="V34">
        <f>IF('Input Scenarios'!V34&lt;&gt;"", 'Input Scenarios'!V34, IF(W34&lt;&gt;"", "", Constants!$B$40))</f>
        <v>3.3</v>
      </c>
      <c r="W34" t="str">
        <f>IF('Input Scenarios'!W34&lt;&gt;"", 'Input Scenarios'!W34, "")</f>
        <v/>
      </c>
      <c r="X34" t="str">
        <f>'Input Scenarios'!X34</f>
        <v>Friesian crossbred</v>
      </c>
      <c r="Y34" t="str">
        <f>'Input Scenarios'!Y34</f>
        <v>bullsLt1PreWeaned</v>
      </c>
      <c r="Z34">
        <f>'Input Scenarios'!Z34</f>
        <v>200</v>
      </c>
      <c r="AA34">
        <f>IF('Input Scenarios'!AA34&lt;&gt;"", 'Input Scenarios'!AA34, _xlfn.XLOOKUP(Y34,Constants!$J$6:$J$12,Constants!$K$6:$K$12))</f>
        <v>84</v>
      </c>
      <c r="AB34">
        <f>IF('Input Scenarios'!AB34&lt;&gt;"", 'Input Scenarios'!AB34, INDEX(Constants!$B$2:$H$11, MATCH(X34, Constants!$A$2:$A$11, 0), MATCH(Y34,Constants!$B$1:$H$1, 0)))</f>
        <v>225</v>
      </c>
      <c r="AC34" t="str">
        <f>IF('Input Scenarios'!AC34&lt;&gt;"", 'Input Scenarios'!AC34, _xlfn.XLOOKUP(Y34, Constants!$B$13:$H$13, Constants!$B$15:$H$15, ""))</f>
        <v/>
      </c>
      <c r="AD34">
        <f>IF('Input Scenarios'!AD34&lt;&gt;"", 'Input Scenarios'!AD34, Constants!$B$45)</f>
        <v>0.75</v>
      </c>
      <c r="AE34">
        <f>IF('Input Scenarios'!AE34&lt;&gt;"", 'Input Scenarios'!AE34, Constants!$B$46)</f>
        <v>0.2</v>
      </c>
      <c r="AF34">
        <f t="shared" si="41"/>
        <v>0</v>
      </c>
      <c r="AG34">
        <f t="shared" si="41"/>
        <v>0</v>
      </c>
      <c r="AH34">
        <f t="shared" si="41"/>
        <v>0</v>
      </c>
      <c r="AI34">
        <f t="shared" si="41"/>
        <v>0</v>
      </c>
      <c r="AJ34">
        <f t="shared" si="11"/>
        <v>1</v>
      </c>
      <c r="AK34">
        <f t="shared" si="27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42"/>
        <v>0.5948500000000001</v>
      </c>
      <c r="AQ34">
        <f t="shared" si="43"/>
        <v>0</v>
      </c>
      <c r="AR34">
        <f>IF(Y34="milkingCows", Constants!$P$2, Constants!$P$3)</f>
        <v>1</v>
      </c>
      <c r="AS34" t="str">
        <f t="shared" si="44"/>
        <v/>
      </c>
      <c r="AT34" t="str">
        <f t="shared" si="45"/>
        <v/>
      </c>
      <c r="AU34" t="str">
        <f>_xlfn.XLOOKUP(Y34, Constants!$B$13:$H$13, Constants!$B$14:$H$14, "")</f>
        <v/>
      </c>
      <c r="AV34" t="str">
        <f t="shared" si="46"/>
        <v/>
      </c>
      <c r="AW34">
        <f>Constants!$B$55</f>
        <v>6.25</v>
      </c>
      <c r="AX34" t="str">
        <f t="shared" si="1"/>
        <v/>
      </c>
      <c r="AY34" t="str">
        <f t="shared" si="2"/>
        <v/>
      </c>
      <c r="AZ34" t="str">
        <f t="shared" si="18"/>
        <v/>
      </c>
      <c r="BA34">
        <f>IF(ISNUMBER(FIND("PreWeaned",Y34)),_xlfn.XLOOKUP(Y34,Constants!$J$2:$J$3,Constants!$M$2:$M$3),"")</f>
        <v>9.1999999999999998E-3</v>
      </c>
      <c r="BB34">
        <f t="shared" si="3"/>
        <v>154.56</v>
      </c>
      <c r="BC34">
        <f t="shared" si="4"/>
        <v>0</v>
      </c>
      <c r="BD34">
        <f t="shared" si="5"/>
        <v>0</v>
      </c>
      <c r="BE34">
        <f t="shared" si="6"/>
        <v>0</v>
      </c>
      <c r="BF34">
        <f t="shared" si="7"/>
        <v>0</v>
      </c>
      <c r="BG34">
        <f t="shared" si="8"/>
        <v>154.56</v>
      </c>
      <c r="BH34">
        <f>Constants!$D$19</f>
        <v>0.35</v>
      </c>
      <c r="BI34">
        <f>Constants!$D$20</f>
        <v>7.0000000000000007E-2</v>
      </c>
      <c r="BJ34">
        <f>Constants!$D$21</f>
        <v>0.2</v>
      </c>
      <c r="BK34">
        <f>Constants!$D$22</f>
        <v>0.3</v>
      </c>
      <c r="BL34">
        <f>Constants!$D$23</f>
        <v>0</v>
      </c>
      <c r="BM34">
        <f>Constants!$B$51</f>
        <v>0.21</v>
      </c>
      <c r="BN34">
        <f>Constants!$B$50</f>
        <v>1.57</v>
      </c>
      <c r="BO34">
        <f>_xlfn.XLOOKUP(C34,Constants!$A$27:$A$31,Constants!$B$27:$B$31)</f>
        <v>7.0000000000000001E-3</v>
      </c>
      <c r="BP34">
        <f t="shared" si="47"/>
        <v>0</v>
      </c>
      <c r="BQ34">
        <f t="shared" si="48"/>
        <v>0</v>
      </c>
      <c r="BR34">
        <f t="shared" si="49"/>
        <v>0</v>
      </c>
      <c r="BS34">
        <f t="shared" si="50"/>
        <v>0</v>
      </c>
      <c r="BT34">
        <f t="shared" si="51"/>
        <v>0</v>
      </c>
      <c r="BU34">
        <f t="shared" si="52"/>
        <v>32.457599999999999</v>
      </c>
      <c r="BV34">
        <f t="shared" si="53"/>
        <v>0</v>
      </c>
      <c r="BW34">
        <f t="shared" si="54"/>
        <v>0.35670902399999999</v>
      </c>
    </row>
    <row r="35" spans="1:76" s="16" customFormat="1" x14ac:dyDescent="0.2">
      <c r="A35" s="16" t="str">
        <f>'Input Scenarios'!A35</f>
        <v>TAS</v>
      </c>
      <c r="B35" s="16">
        <f>'Input Scenarios'!B35</f>
        <v>0</v>
      </c>
      <c r="C35" s="16" t="str">
        <f>'Input Scenarios'!C35</f>
        <v>Irrigated crop</v>
      </c>
      <c r="D35" s="16" t="str">
        <f>'Input Scenarios'!D35</f>
        <v>dry</v>
      </c>
      <c r="E35" s="16" t="b">
        <f>'Input Scenarios'!E35</f>
        <v>1</v>
      </c>
      <c r="F35" s="16" t="str">
        <f>'Input Scenarios'!F35</f>
        <v>Grazed only</v>
      </c>
      <c r="G35" s="16">
        <f>IF('Input Scenarios'!G35&lt;&gt;"", 'Input Scenarios'!G35, _xlfn.XLOOKUP($F35, Constants!$M$6:$M$9,Constants!N$6:N$9))</f>
        <v>0.89</v>
      </c>
      <c r="H35" s="16">
        <f>IF('Input Scenarios'!H35&lt;&gt;"", 'Input Scenarios'!H35, _xlfn.XLOOKUP($F35, Constants!$M$6:$M$9,Constants!O$6:O$9))</f>
        <v>0.11</v>
      </c>
      <c r="I35" s="16">
        <f>IF('Input Scenarios'!I35&lt;&gt;"", 'Input Scenarios'!I35, _xlfn.XLOOKUP($F35, Constants!$M$6:$M$9,Constants!P$6:P$9))</f>
        <v>0</v>
      </c>
      <c r="J35" s="16">
        <f>'Input Scenarios'!J35</f>
        <v>0.1</v>
      </c>
      <c r="K35" s="16">
        <f>'Input Scenarios'!K35</f>
        <v>0.2</v>
      </c>
      <c r="L35" s="16">
        <f>'Input Scenarios'!L35</f>
        <v>0.3</v>
      </c>
      <c r="M35" s="16">
        <f>'Input Scenarios'!M35</f>
        <v>0.4</v>
      </c>
      <c r="N35" s="16">
        <f>'Input Scenarios'!N35</f>
        <v>0.4</v>
      </c>
      <c r="O35" s="16">
        <f>'Input Scenarios'!O35</f>
        <v>0.3</v>
      </c>
      <c r="P35" s="16">
        <f>'Input Scenarios'!P35</f>
        <v>0.2</v>
      </c>
      <c r="Q35" s="16">
        <f>'Input Scenarios'!Q35</f>
        <v>0.1</v>
      </c>
      <c r="R35" s="16" t="b">
        <f>'Input Scenarios'!R35</f>
        <v>0</v>
      </c>
      <c r="S35" s="16">
        <f>IF('Input Scenarios'!S35&lt;&gt;"", 'Input Scenarios'!S35, IF(R35, Constants!$B$38, 0))</f>
        <v>0</v>
      </c>
      <c r="T35" s="16" t="str">
        <f>IF('Input Scenarios'!T35&lt;&gt;"", 'Input Scenarios'!T35, "")</f>
        <v/>
      </c>
      <c r="U35" s="16">
        <f>IF('Input Scenarios'!U35&lt;&gt;"", 'Input Scenarios'!U35, IF(W35&lt;&gt;"", "", Constants!$B$39))</f>
        <v>4</v>
      </c>
      <c r="V35" s="16">
        <f>IF('Input Scenarios'!V35&lt;&gt;"", 'Input Scenarios'!V35, IF(W35&lt;&gt;"", "", Constants!$B$40))</f>
        <v>3.3</v>
      </c>
      <c r="W35" s="16" t="str">
        <f>IF('Input Scenarios'!W35&lt;&gt;"", 'Input Scenarios'!W35, "")</f>
        <v/>
      </c>
      <c r="X35" s="16" t="str">
        <f>'Input Scenarios'!X35</f>
        <v>Friesian crossbred</v>
      </c>
      <c r="Y35" s="16" t="str">
        <f>'Input Scenarios'!Y35</f>
        <v>bullsLt1Weaned</v>
      </c>
      <c r="Z35" s="16">
        <f>'Input Scenarios'!Z35</f>
        <v>200</v>
      </c>
      <c r="AA35" s="16">
        <f>IF('Input Scenarios'!AA35&lt;&gt;"", 'Input Scenarios'!AA35, _xlfn.XLOOKUP(Y35,Constants!$J$6:$J$12,Constants!$K$6:$K$12))</f>
        <v>281</v>
      </c>
      <c r="AB35" s="16">
        <f>IF('Input Scenarios'!AB35&lt;&gt;"", 'Input Scenarios'!AB35, INDEX(Constants!$B$2:$H$11, MATCH(X35, Constants!$A$2:$A$11, 0), MATCH(Y35,Constants!$B$1:$H$1, 0)))</f>
        <v>225</v>
      </c>
      <c r="AC35" s="16">
        <f>IF('Input Scenarios'!AC35&lt;&gt;"", 'Input Scenarios'!AC35, _xlfn.XLOOKUP(Y35, Constants!$B$13:$H$13, Constants!$B$15:$H$15, ""))</f>
        <v>0.8</v>
      </c>
      <c r="AD35" s="16">
        <f>IF('Input Scenarios'!AD35&lt;&gt;"", 'Input Scenarios'!AD35, Constants!$B$45)</f>
        <v>0.75</v>
      </c>
      <c r="AE35" s="16">
        <f>IF('Input Scenarios'!AE35&lt;&gt;"", 'Input Scenarios'!AE35, Constants!$B$46)</f>
        <v>0.2</v>
      </c>
      <c r="AF35" s="16">
        <f t="shared" si="41"/>
        <v>0</v>
      </c>
      <c r="AG35" s="16">
        <f t="shared" si="41"/>
        <v>0</v>
      </c>
      <c r="AH35" s="16">
        <f t="shared" si="41"/>
        <v>0</v>
      </c>
      <c r="AI35" s="16">
        <f t="shared" si="41"/>
        <v>0</v>
      </c>
      <c r="AJ35" s="16">
        <f t="shared" si="11"/>
        <v>1</v>
      </c>
      <c r="AK35" s="16">
        <f t="shared" si="27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42"/>
        <v>0.5948500000000001</v>
      </c>
      <c r="AQ35" s="16">
        <f t="shared" si="43"/>
        <v>0</v>
      </c>
      <c r="AR35" s="16">
        <f>IF(Y35="milkingCows", Constants!$P$2, Constants!$P$3)</f>
        <v>1</v>
      </c>
      <c r="AS35" s="16">
        <f t="shared" si="44"/>
        <v>5.4143472656250013</v>
      </c>
      <c r="AT35" s="16">
        <f t="shared" si="45"/>
        <v>1.2576570545672616</v>
      </c>
      <c r="AU35" s="16">
        <f>_xlfn.XLOOKUP(Y35, Constants!$B$13:$H$13, Constants!$B$14:$H$14, "")</f>
        <v>770</v>
      </c>
      <c r="AV35" s="16">
        <f t="shared" si="46"/>
        <v>0.29220779220779219</v>
      </c>
      <c r="AW35" s="16">
        <f>Constants!$B$55</f>
        <v>6.25</v>
      </c>
      <c r="AX35" s="16">
        <f t="shared" si="1"/>
        <v>1.9757354894894084E-2</v>
      </c>
      <c r="AY35" s="16">
        <f t="shared" si="2"/>
        <v>1.0828694531250003</v>
      </c>
      <c r="AZ35" s="16">
        <f t="shared" si="18"/>
        <v>0.15247929000170721</v>
      </c>
      <c r="BA35" s="16" t="str">
        <f>IF(ISNUMBER(FIND("PreWeaned",Y35)),_xlfn.XLOOKUP(Y35,Constants!$J$2:$J$3,Constants!$M$2:$M$3),"")</f>
        <v/>
      </c>
      <c r="BB35" s="16">
        <f t="shared" si="3"/>
        <v>8569.336098095946</v>
      </c>
      <c r="BC35" s="16">
        <f t="shared" si="4"/>
        <v>0</v>
      </c>
      <c r="BD35" s="16">
        <f t="shared" si="5"/>
        <v>0</v>
      </c>
      <c r="BE35" s="16">
        <f t="shared" si="6"/>
        <v>0</v>
      </c>
      <c r="BF35" s="16">
        <f t="shared" si="7"/>
        <v>0</v>
      </c>
      <c r="BG35" s="16">
        <f t="shared" si="8"/>
        <v>8569.336098095946</v>
      </c>
      <c r="BH35" s="16">
        <f>Constants!$D$19</f>
        <v>0.35</v>
      </c>
      <c r="BI35" s="16">
        <f>Constants!$D$20</f>
        <v>7.0000000000000007E-2</v>
      </c>
      <c r="BJ35" s="16">
        <f>Constants!$D$21</f>
        <v>0.2</v>
      </c>
      <c r="BK35" s="16">
        <f>Constants!$D$22</f>
        <v>0.3</v>
      </c>
      <c r="BL35" s="16">
        <f>Constants!$D$23</f>
        <v>0</v>
      </c>
      <c r="BM35" s="16">
        <f>Constants!$B$51</f>
        <v>0.21</v>
      </c>
      <c r="BN35" s="16">
        <f>Constants!$B$50</f>
        <v>1.57</v>
      </c>
      <c r="BO35" s="16">
        <f>_xlfn.XLOOKUP(C35,Constants!$A$27:$A$31,Constants!$B$27:$B$31)</f>
        <v>7.0000000000000001E-3</v>
      </c>
      <c r="BP35" s="16">
        <f t="shared" si="47"/>
        <v>0</v>
      </c>
      <c r="BQ35" s="16">
        <f t="shared" si="48"/>
        <v>0</v>
      </c>
      <c r="BR35" s="16">
        <f t="shared" si="49"/>
        <v>0</v>
      </c>
      <c r="BS35" s="16">
        <f t="shared" si="50"/>
        <v>0</v>
      </c>
      <c r="BT35" s="16">
        <f t="shared" si="51"/>
        <v>0</v>
      </c>
      <c r="BU35" s="16">
        <f t="shared" si="52"/>
        <v>1799.5605806001486</v>
      </c>
      <c r="BV35" s="16">
        <f t="shared" si="53"/>
        <v>0</v>
      </c>
      <c r="BW35" s="16">
        <f t="shared" si="54"/>
        <v>19.777170780795636</v>
      </c>
    </row>
    <row r="36" spans="1:76" x14ac:dyDescent="0.2">
      <c r="A36" t="str">
        <f>'Input Scenarios'!A36</f>
        <v>VIC</v>
      </c>
      <c r="B36">
        <f>'Input Scenarios'!B36</f>
        <v>0</v>
      </c>
      <c r="C36" t="str">
        <f>'Input Scenarios'!C36</f>
        <v>Non-irrigated pasture</v>
      </c>
      <c r="D36" t="str">
        <f>'Input Scenarios'!D36</f>
        <v>wet</v>
      </c>
      <c r="E36" t="b">
        <f>'Input Scenarios'!E36</f>
        <v>0</v>
      </c>
      <c r="F36" t="str">
        <f>'Input Scenarios'!F36</f>
        <v>Limited grazing</v>
      </c>
      <c r="G36">
        <f>IF('Input Scenarios'!G36&lt;&gt;"", 'Input Scenarios'!G36, _xlfn.XLOOKUP($F36, Constants!$M$6:$M$9,Constants!N$6:N$9))</f>
        <v>0.53400000000000003</v>
      </c>
      <c r="H36">
        <f>IF('Input Scenarios'!H36&lt;&gt;"", 'Input Scenarios'!H36, _xlfn.XLOOKUP($F36, Constants!$M$6:$M$9,Constants!O$6:O$9))</f>
        <v>0.11</v>
      </c>
      <c r="I36">
        <f>IF('Input Scenarios'!I36&lt;&gt;"", 'Input Scenarios'!I36, _xlfn.XLOOKUP($F36, Constants!$M$6:$M$9,Constants!P$6:P$9))</f>
        <v>0.35599999999999998</v>
      </c>
      <c r="J36">
        <f>'Input Scenarios'!J36</f>
        <v>0.25</v>
      </c>
      <c r="K36">
        <f>'Input Scenarios'!K36</f>
        <v>0.25</v>
      </c>
      <c r="L36">
        <f>'Input Scenarios'!L36</f>
        <v>0.25</v>
      </c>
      <c r="M36">
        <f>'Input Scenarios'!M36</f>
        <v>0.25</v>
      </c>
      <c r="N36">
        <f>'Input Scenarios'!N36</f>
        <v>0.25</v>
      </c>
      <c r="O36">
        <f>'Input Scenarios'!O36</f>
        <v>0.25</v>
      </c>
      <c r="P36">
        <f>'Input Scenarios'!P36</f>
        <v>0.25</v>
      </c>
      <c r="Q36">
        <f>'Input Scenarios'!Q36</f>
        <v>0.25</v>
      </c>
      <c r="R36" t="b">
        <f>'Input Scenarios'!R36</f>
        <v>1</v>
      </c>
      <c r="S36">
        <f>IF('Input Scenarios'!S36&lt;&gt;"", 'Input Scenarios'!S36, IF(R36, Constants!$B$38, 0))</f>
        <v>0.2</v>
      </c>
      <c r="T36" t="str">
        <f>IF('Input Scenarios'!T36&lt;&gt;"", 'Input Scenarios'!T36, "")</f>
        <v/>
      </c>
      <c r="U36" t="str">
        <f>IF('Input Scenarios'!U36&lt;&gt;"", 'Input Scenarios'!U36, IF(W36&lt;&gt;"", "", Constants!$B$39))</f>
        <v/>
      </c>
      <c r="V36" t="str">
        <f>IF('Input Scenarios'!V36&lt;&gt;"", 'Input Scenarios'!V36, IF(W36&lt;&gt;"", "", Constants!$B$40))</f>
        <v/>
      </c>
      <c r="W36">
        <f>IF('Input Scenarios'!W36&lt;&gt;"", 'Input Scenarios'!W36, "")</f>
        <v>30</v>
      </c>
      <c r="X36" t="str">
        <f>'Input Scenarios'!X36</f>
        <v>Jersey</v>
      </c>
      <c r="Y36" t="str">
        <f>'Input Scenarios'!Y36</f>
        <v>milkingCows</v>
      </c>
      <c r="Z36">
        <f>'Input Scenarios'!Z36</f>
        <v>200</v>
      </c>
      <c r="AA36">
        <f>IF('Input Scenarios'!AA36&lt;&gt;"", 'Input Scenarios'!AA36, _xlfn.XLOOKUP(Y36,Constants!$J$6:$J$12,Constants!$K$6:$K$12))</f>
        <v>365</v>
      </c>
      <c r="AB36">
        <f>IF('Input Scenarios'!AB36&lt;&gt;"", 'Input Scenarios'!AB36, INDEX(Constants!$B$2:$H$11, MATCH(X36, Constants!$A$2:$A$11, 0), MATCH(Y36,Constants!$B$1:$H$1, 0)))</f>
        <v>400</v>
      </c>
      <c r="AC36">
        <f>IF('Input Scenarios'!AC36&lt;&gt;"", 'Input Scenarios'!AC36, _xlfn.XLOOKUP(Y36, Constants!$B$13:$H$13, Constants!$B$15:$H$15, ""))</f>
        <v>1.6E-2</v>
      </c>
      <c r="AD36">
        <f>IF('Input Scenarios'!AD36&lt;&gt;"", 'Input Scenarios'!AD36, Constants!$B$45)</f>
        <v>0.75</v>
      </c>
      <c r="AE36">
        <f>IF('Input Scenarios'!AE36&lt;&gt;"", 'Input Scenarios'!AE36, Constants!$B$46)</f>
        <v>0.2</v>
      </c>
      <c r="AF36" s="20">
        <f>IF($Y36="milkingCows",($H36*J36)+($I36*N36), 0)</f>
        <v>0.11649999999999999</v>
      </c>
      <c r="AG36" s="20">
        <f t="shared" si="41"/>
        <v>0.11649999999999999</v>
      </c>
      <c r="AH36" s="20">
        <f t="shared" si="41"/>
        <v>0.11649999999999999</v>
      </c>
      <c r="AI36" s="20">
        <f t="shared" si="41"/>
        <v>0.11649999999999999</v>
      </c>
      <c r="AJ36" s="20">
        <f>IF($Y36="milkingCows",G36, 1)</f>
        <v>0.53400000000000003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 t="shared" ref="AP36:AP55" si="55">0.795*(AD36)-0.0014</f>
        <v>0.5948500000000001</v>
      </c>
      <c r="AQ36">
        <f t="shared" ref="AQ36:AQ55" si="56">(AK36*AL36*AM36)/(AN36*AO36*AP36)</f>
        <v>14.369808245410789</v>
      </c>
      <c r="AR36">
        <f>IF(Y36="milkingCows", Constants!$P$2, Constants!$P$3)</f>
        <v>1.1000000000000001</v>
      </c>
      <c r="AS36">
        <f t="shared" ref="AS36:AS55" si="57">IFERROR(((1.185+(0.00454*AB36)-(0.0000026*(AB36^2))+(0.315*AC36))^2*AR36+AQ36), "")</f>
        <v>21.748946167170789</v>
      </c>
      <c r="AT36">
        <f t="shared" ref="AT36:AT55" si="58">IFERROR(((1.185+(0.00454*AB36)-(0.0000026*(AB36^2))+(0.315*AC36))^2*AR36+AQ36)/((1.185+(0.00454*AB36)-(0.0000026*(AB36^2)))^2*AR36+AQ36), "")</f>
        <v>1.001320906258945</v>
      </c>
      <c r="AU36">
        <f>_xlfn.XLOOKUP(Y36, Constants!$B$13:$H$13, Constants!$B$14:$H$14, "")</f>
        <v>590</v>
      </c>
      <c r="AV36">
        <f t="shared" ref="AV36:AV55" si="59">IFERROR(AB36/AU36, "")</f>
        <v>0.67796610169491522</v>
      </c>
      <c r="AW36">
        <f>Constants!$B$55</f>
        <v>6.25</v>
      </c>
      <c r="AX36" s="20">
        <f t="shared" si="1"/>
        <v>0.1552092207973319</v>
      </c>
      <c r="AY36">
        <f t="shared" si="2"/>
        <v>4.3497892334341577</v>
      </c>
      <c r="AZ36">
        <f>IF(ISNUMBER(FIND("PreWeaned",Y36)),"", MAX((AY36/AW36)-AX36-(((1.1*10^-4)*(AB36^0.75))/AW36), 0))</f>
        <v>0.53918286469597354</v>
      </c>
      <c r="BA36" t="str">
        <f>IF(ISNUMBER(FIND("PreWeaned",Y36)),_xlfn.XLOOKUP(Y36,Constants!$J$2:$J$3,Constants!$M$2:$M$3),"")</f>
        <v/>
      </c>
      <c r="BB36">
        <f t="shared" si="3"/>
        <v>39360.349122806067</v>
      </c>
      <c r="BC36">
        <f t="shared" si="4"/>
        <v>4585.4806728069061</v>
      </c>
      <c r="BD36">
        <f t="shared" si="5"/>
        <v>4585.4806728069061</v>
      </c>
      <c r="BE36">
        <f t="shared" si="6"/>
        <v>4585.4806728069061</v>
      </c>
      <c r="BF36">
        <f t="shared" si="7"/>
        <v>4585.4806728069061</v>
      </c>
      <c r="BG36">
        <f t="shared" si="8"/>
        <v>21018.426431578442</v>
      </c>
      <c r="BH36">
        <f>Constants!$D$19</f>
        <v>0.35</v>
      </c>
      <c r="BI36">
        <f>Constants!$D$20</f>
        <v>7.0000000000000007E-2</v>
      </c>
      <c r="BJ36">
        <f>Constants!$D$21</f>
        <v>0.2</v>
      </c>
      <c r="BK36">
        <f>Constants!$D$22</f>
        <v>0.3</v>
      </c>
      <c r="BL36">
        <f>Constants!$D$23</f>
        <v>0</v>
      </c>
      <c r="BM36">
        <f>Constants!$B$51</f>
        <v>0.21</v>
      </c>
      <c r="BN36">
        <f>Constants!$B$50</f>
        <v>1.57</v>
      </c>
      <c r="BO36">
        <f>_xlfn.XLOOKUP(C36,Constants!$A$27:$A$31,Constants!$B$27:$B$31)</f>
        <v>1.8E-3</v>
      </c>
      <c r="BP36">
        <f t="shared" ref="BP36:BP55" si="60">BC36*BH36</f>
        <v>1604.918235482417</v>
      </c>
      <c r="BQ36">
        <f t="shared" ref="BQ36:BQ55" si="61">BD36*BI36</f>
        <v>320.98364709648348</v>
      </c>
      <c r="BR36">
        <f t="shared" ref="BR36:BR55" si="62">BE36*BJ36</f>
        <v>917.09613456138129</v>
      </c>
      <c r="BS36">
        <f t="shared" ref="BS36:BS55" si="63">BF36*BK36</f>
        <v>1375.6442018420719</v>
      </c>
      <c r="BT36">
        <f t="shared" ref="BT36:BT55" si="64">BG36*BL36</f>
        <v>0</v>
      </c>
      <c r="BU36">
        <f t="shared" ref="BU36:BU55" si="65">BG36*BM36</f>
        <v>4413.8695506314725</v>
      </c>
      <c r="BV36">
        <f t="shared" ref="BV36:BV55" si="66">SUM(BP36:BS36)*BO36*BN36</f>
        <v>11.921882910844131</v>
      </c>
      <c r="BW36">
        <f t="shared" ref="BW36:BW55" si="67">BU36*BO36*BN36</f>
        <v>12.473595350084542</v>
      </c>
      <c r="BX36">
        <f>SUM(BV36:BW42)/1000</f>
        <v>5.2805380512720983E-2</v>
      </c>
    </row>
    <row r="37" spans="1:76" x14ac:dyDescent="0.2">
      <c r="A37" t="str">
        <f>'Input Scenarios'!A37</f>
        <v>VIC</v>
      </c>
      <c r="B37">
        <f>'Input Scenarios'!B37</f>
        <v>0</v>
      </c>
      <c r="C37" t="str">
        <f>'Input Scenarios'!C37</f>
        <v>Non-irrigated pasture</v>
      </c>
      <c r="D37" t="str">
        <f>'Input Scenarios'!D37</f>
        <v>wet</v>
      </c>
      <c r="E37" t="b">
        <f>'Input Scenarios'!E37</f>
        <v>0</v>
      </c>
      <c r="F37" t="str">
        <f>'Input Scenarios'!F37</f>
        <v>Limited grazing</v>
      </c>
      <c r="G37">
        <f>IF('Input Scenarios'!G37&lt;&gt;"", 'Input Scenarios'!G37, _xlfn.XLOOKUP($F37, Constants!$M$6:$M$9,Constants!N$6:N$9))</f>
        <v>0.53400000000000003</v>
      </c>
      <c r="H37">
        <f>IF('Input Scenarios'!H37&lt;&gt;"", 'Input Scenarios'!H37, _xlfn.XLOOKUP($F37, Constants!$M$6:$M$9,Constants!O$6:O$9))</f>
        <v>0.11</v>
      </c>
      <c r="I37">
        <f>IF('Input Scenarios'!I37&lt;&gt;"", 'Input Scenarios'!I37, _xlfn.XLOOKUP($F37, Constants!$M$6:$M$9,Constants!P$6:P$9))</f>
        <v>0.35599999999999998</v>
      </c>
      <c r="J37">
        <f>'Input Scenarios'!J37</f>
        <v>0.25</v>
      </c>
      <c r="K37">
        <f>'Input Scenarios'!K37</f>
        <v>0.25</v>
      </c>
      <c r="L37">
        <f>'Input Scenarios'!L37</f>
        <v>0.25</v>
      </c>
      <c r="M37">
        <f>'Input Scenarios'!M37</f>
        <v>0.25</v>
      </c>
      <c r="N37">
        <f>'Input Scenarios'!N37</f>
        <v>0.25</v>
      </c>
      <c r="O37">
        <f>'Input Scenarios'!O37</f>
        <v>0.25</v>
      </c>
      <c r="P37">
        <f>'Input Scenarios'!P37</f>
        <v>0.25</v>
      </c>
      <c r="Q37">
        <f>'Input Scenarios'!Q37</f>
        <v>0.25</v>
      </c>
      <c r="R37" t="b">
        <f>'Input Scenarios'!R37</f>
        <v>1</v>
      </c>
      <c r="S37">
        <f>IF('Input Scenarios'!S37&lt;&gt;"", 'Input Scenarios'!S37, IF(R37, Constants!$B$38, 0))</f>
        <v>0.2</v>
      </c>
      <c r="T37" t="str">
        <f>IF('Input Scenarios'!T37&lt;&gt;"", 'Input Scenarios'!T37, "")</f>
        <v/>
      </c>
      <c r="U37">
        <f>IF('Input Scenarios'!U37&lt;&gt;"", 'Input Scenarios'!U37, IF(W37&lt;&gt;"", "", Constants!$B$39))</f>
        <v>4</v>
      </c>
      <c r="V37">
        <f>IF('Input Scenarios'!V37&lt;&gt;"", 'Input Scenarios'!V37, IF(W37&lt;&gt;"", "", Constants!$B$40))</f>
        <v>3.3</v>
      </c>
      <c r="W37" t="str">
        <f>IF('Input Scenarios'!W37&lt;&gt;"", 'Input Scenarios'!W37, "")</f>
        <v/>
      </c>
      <c r="X37" t="str">
        <f>'Input Scenarios'!X37</f>
        <v>Jersey</v>
      </c>
      <c r="Y37" t="str">
        <f>'Input Scenarios'!Y37</f>
        <v>heifersGt1</v>
      </c>
      <c r="Z37">
        <f>'Input Scenarios'!Z37</f>
        <v>200</v>
      </c>
      <c r="AA37">
        <f>IF('Input Scenarios'!AA37&lt;&gt;"", 'Input Scenarios'!AA37, _xlfn.XLOOKUP(Y37,Constants!$J$6:$J$12,Constants!$K$6:$K$12))</f>
        <v>365</v>
      </c>
      <c r="AB37">
        <f>IF('Input Scenarios'!AB37&lt;&gt;"", 'Input Scenarios'!AB37, INDEX(Constants!$B$2:$H$11, MATCH(X37, Constants!$A$2:$A$11, 0), MATCH(Y37,Constants!$B$1:$H$1, 0)))</f>
        <v>275</v>
      </c>
      <c r="AC37">
        <f>IF('Input Scenarios'!AC37&lt;&gt;"", 'Input Scenarios'!AC37, _xlfn.XLOOKUP(Y37, Constants!$B$13:$H$13, Constants!$B$15:$H$15, ""))</f>
        <v>0.6</v>
      </c>
      <c r="AD37">
        <f>IF('Input Scenarios'!AD37&lt;&gt;"", 'Input Scenarios'!AD37, Constants!$B$45)</f>
        <v>0.75</v>
      </c>
      <c r="AE37">
        <f>IF('Input Scenarios'!AE37&lt;&gt;"", 'Input Scenarios'!AE37, Constants!$B$46)</f>
        <v>0.2</v>
      </c>
      <c r="AF37">
        <f t="shared" ref="AF37:AI56" si="68">IF($Y37="milkingCows",($H37*J37)+($I37*N37), 0)</f>
        <v>0</v>
      </c>
      <c r="AG37">
        <f t="shared" si="41"/>
        <v>0</v>
      </c>
      <c r="AH37">
        <f t="shared" si="41"/>
        <v>0</v>
      </c>
      <c r="AI37">
        <f t="shared" si="41"/>
        <v>0</v>
      </c>
      <c r="AJ37">
        <f t="shared" ref="AJ37:AJ56" si="69">IF($Y37="milkingCows",G37, 1)</f>
        <v>1</v>
      </c>
      <c r="AK37">
        <f t="shared" ref="AK37:AK41" si="70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si="55"/>
        <v>0.5948500000000001</v>
      </c>
      <c r="AQ37">
        <f t="shared" si="56"/>
        <v>0</v>
      </c>
      <c r="AR37">
        <f>IF(Y37="milkingCows", Constants!$P$2, Constants!$P$3)</f>
        <v>1</v>
      </c>
      <c r="AS37">
        <f t="shared" si="57"/>
        <v>5.8848695156249997</v>
      </c>
      <c r="AT37">
        <f t="shared" si="58"/>
        <v>1.1761247961530272</v>
      </c>
      <c r="AU37">
        <f>_xlfn.XLOOKUP(Y37, Constants!$B$13:$H$13, Constants!$B$14:$H$14, "")</f>
        <v>590</v>
      </c>
      <c r="AV37">
        <f t="shared" si="59"/>
        <v>0.46610169491525422</v>
      </c>
      <c r="AW37">
        <f>Constants!$B$55</f>
        <v>6.25</v>
      </c>
      <c r="AX37">
        <f t="shared" si="1"/>
        <v>1.1565345708946049E-2</v>
      </c>
      <c r="AY37">
        <f t="shared" si="2"/>
        <v>1.1769739031249999</v>
      </c>
      <c r="AZ37">
        <f t="shared" si="18"/>
        <v>0.17556194320862142</v>
      </c>
      <c r="BA37" t="str">
        <f>IF(ISNUMBER(FIND("PreWeaned",Y37)),_xlfn.XLOOKUP(Y37,Constants!$J$2:$J$3,Constants!$M$2:$M$3),"")</f>
        <v/>
      </c>
      <c r="BB37">
        <f t="shared" si="3"/>
        <v>12816.021854229364</v>
      </c>
      <c r="BC37">
        <f t="shared" si="4"/>
        <v>0</v>
      </c>
      <c r="BD37">
        <f t="shared" si="5"/>
        <v>0</v>
      </c>
      <c r="BE37">
        <f t="shared" si="6"/>
        <v>0</v>
      </c>
      <c r="BF37">
        <f t="shared" si="7"/>
        <v>0</v>
      </c>
      <c r="BG37">
        <f t="shared" si="8"/>
        <v>12816.021854229364</v>
      </c>
      <c r="BH37">
        <f>Constants!$D$19</f>
        <v>0.35</v>
      </c>
      <c r="BI37">
        <f>Constants!$D$20</f>
        <v>7.0000000000000007E-2</v>
      </c>
      <c r="BJ37">
        <f>Constants!$D$21</f>
        <v>0.2</v>
      </c>
      <c r="BK37">
        <f>Constants!$D$22</f>
        <v>0.3</v>
      </c>
      <c r="BL37">
        <f>Constants!$D$23</f>
        <v>0</v>
      </c>
      <c r="BM37">
        <f>Constants!$B$51</f>
        <v>0.21</v>
      </c>
      <c r="BN37">
        <f>Constants!$B$50</f>
        <v>1.57</v>
      </c>
      <c r="BO37">
        <f>_xlfn.XLOOKUP(C37,Constants!$A$27:$A$31,Constants!$B$27:$B$31)</f>
        <v>1.8E-3</v>
      </c>
      <c r="BP37">
        <f t="shared" si="60"/>
        <v>0</v>
      </c>
      <c r="BQ37">
        <f t="shared" si="61"/>
        <v>0</v>
      </c>
      <c r="BR37">
        <f t="shared" si="62"/>
        <v>0</v>
      </c>
      <c r="BS37">
        <f t="shared" si="63"/>
        <v>0</v>
      </c>
      <c r="BT37">
        <f t="shared" si="64"/>
        <v>0</v>
      </c>
      <c r="BU37">
        <f t="shared" si="65"/>
        <v>2691.3645893881662</v>
      </c>
      <c r="BV37">
        <f t="shared" si="66"/>
        <v>0</v>
      </c>
      <c r="BW37">
        <f t="shared" si="67"/>
        <v>7.6057963296109579</v>
      </c>
    </row>
    <row r="38" spans="1:76" x14ac:dyDescent="0.2">
      <c r="A38" t="str">
        <f>'Input Scenarios'!A38</f>
        <v>VIC</v>
      </c>
      <c r="B38">
        <f>'Input Scenarios'!B38</f>
        <v>0</v>
      </c>
      <c r="C38" t="str">
        <f>'Input Scenarios'!C38</f>
        <v>Non-irrigated pasture</v>
      </c>
      <c r="D38" t="str">
        <f>'Input Scenarios'!D38</f>
        <v>wet</v>
      </c>
      <c r="E38" t="b">
        <f>'Input Scenarios'!E38</f>
        <v>0</v>
      </c>
      <c r="F38" t="str">
        <f>'Input Scenarios'!F38</f>
        <v>Limited grazing</v>
      </c>
      <c r="G38">
        <f>IF('Input Scenarios'!G38&lt;&gt;"", 'Input Scenarios'!G38, _xlfn.XLOOKUP($F38, Constants!$M$6:$M$9,Constants!N$6:N$9))</f>
        <v>0.53400000000000003</v>
      </c>
      <c r="H38">
        <f>IF('Input Scenarios'!H38&lt;&gt;"", 'Input Scenarios'!H38, _xlfn.XLOOKUP($F38, Constants!$M$6:$M$9,Constants!O$6:O$9))</f>
        <v>0.11</v>
      </c>
      <c r="I38">
        <f>IF('Input Scenarios'!I38&lt;&gt;"", 'Input Scenarios'!I38, _xlfn.XLOOKUP($F38, Constants!$M$6:$M$9,Constants!P$6:P$9))</f>
        <v>0.35599999999999998</v>
      </c>
      <c r="J38">
        <f>'Input Scenarios'!J38</f>
        <v>0.25</v>
      </c>
      <c r="K38">
        <f>'Input Scenarios'!K38</f>
        <v>0.25</v>
      </c>
      <c r="L38">
        <f>'Input Scenarios'!L38</f>
        <v>0.25</v>
      </c>
      <c r="M38">
        <f>'Input Scenarios'!M38</f>
        <v>0.25</v>
      </c>
      <c r="N38">
        <f>'Input Scenarios'!N38</f>
        <v>0.25</v>
      </c>
      <c r="O38">
        <f>'Input Scenarios'!O38</f>
        <v>0.25</v>
      </c>
      <c r="P38">
        <f>'Input Scenarios'!P38</f>
        <v>0.25</v>
      </c>
      <c r="Q38">
        <f>'Input Scenarios'!Q38</f>
        <v>0.25</v>
      </c>
      <c r="R38" t="b">
        <f>'Input Scenarios'!R38</f>
        <v>1</v>
      </c>
      <c r="S38">
        <f>IF('Input Scenarios'!S38&lt;&gt;"", 'Input Scenarios'!S38, IF(R38, Constants!$B$38, 0))</f>
        <v>0.2</v>
      </c>
      <c r="T38" t="str">
        <f>IF('Input Scenarios'!T38&lt;&gt;"", 'Input Scenarios'!T38, "")</f>
        <v/>
      </c>
      <c r="U38">
        <f>IF('Input Scenarios'!U38&lt;&gt;"", 'Input Scenarios'!U38, IF(W38&lt;&gt;"", "", Constants!$B$39))</f>
        <v>4</v>
      </c>
      <c r="V38">
        <f>IF('Input Scenarios'!V38&lt;&gt;"", 'Input Scenarios'!V38, IF(W38&lt;&gt;"", "", Constants!$B$40))</f>
        <v>3.3</v>
      </c>
      <c r="W38" t="str">
        <f>IF('Input Scenarios'!W38&lt;&gt;"", 'Input Scenarios'!W38, "")</f>
        <v/>
      </c>
      <c r="X38" t="str">
        <f>'Input Scenarios'!X38</f>
        <v>Jersey</v>
      </c>
      <c r="Y38" t="str">
        <f>'Input Scenarios'!Y38</f>
        <v>heifersLt1PreWeaned</v>
      </c>
      <c r="Z38">
        <f>'Input Scenarios'!Z38</f>
        <v>200</v>
      </c>
      <c r="AA38">
        <f>IF('Input Scenarios'!AA38&lt;&gt;"", 'Input Scenarios'!AA38, _xlfn.XLOOKUP(Y38,Constants!$J$6:$J$12,Constants!$K$6:$K$12))</f>
        <v>84</v>
      </c>
      <c r="AB38">
        <f>IF('Input Scenarios'!AB38&lt;&gt;"", 'Input Scenarios'!AB38, INDEX(Constants!$B$2:$H$11, MATCH(X38, Constants!$A$2:$A$11, 0), MATCH(Y38,Constants!$B$1:$H$1, 0)))</f>
        <v>115</v>
      </c>
      <c r="AC38" t="str">
        <f>IF('Input Scenarios'!AC38&lt;&gt;"", 'Input Scenarios'!AC38, _xlfn.XLOOKUP(Y38, Constants!$B$13:$H$13, Constants!$B$15:$H$15, ""))</f>
        <v/>
      </c>
      <c r="AD38">
        <f>IF('Input Scenarios'!AD38&lt;&gt;"", 'Input Scenarios'!AD38, Constants!$B$45)</f>
        <v>0.75</v>
      </c>
      <c r="AE38">
        <f>IF('Input Scenarios'!AE38&lt;&gt;"", 'Input Scenarios'!AE38, Constants!$B$46)</f>
        <v>0.2</v>
      </c>
      <c r="AF38">
        <f t="shared" si="68"/>
        <v>0</v>
      </c>
      <c r="AG38">
        <f t="shared" si="41"/>
        <v>0</v>
      </c>
      <c r="AH38">
        <f t="shared" si="41"/>
        <v>0</v>
      </c>
      <c r="AI38">
        <f t="shared" si="41"/>
        <v>0</v>
      </c>
      <c r="AJ38">
        <f t="shared" si="69"/>
        <v>1</v>
      </c>
      <c r="AK38">
        <f t="shared" si="70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55"/>
        <v>0.5948500000000001</v>
      </c>
      <c r="AQ38">
        <f t="shared" si="56"/>
        <v>0</v>
      </c>
      <c r="AR38">
        <f>IF(Y38="milkingCows", Constants!$P$2, Constants!$P$3)</f>
        <v>1</v>
      </c>
      <c r="AS38" t="str">
        <f t="shared" si="57"/>
        <v/>
      </c>
      <c r="AT38" t="str">
        <f t="shared" si="58"/>
        <v/>
      </c>
      <c r="AU38" t="str">
        <f>_xlfn.XLOOKUP(Y38, Constants!$B$13:$H$13, Constants!$B$14:$H$14, "")</f>
        <v/>
      </c>
      <c r="AV38" t="str">
        <f t="shared" si="59"/>
        <v/>
      </c>
      <c r="AW38">
        <f>Constants!$B$55</f>
        <v>6.25</v>
      </c>
      <c r="AX38" t="str">
        <f t="shared" si="1"/>
        <v/>
      </c>
      <c r="AY38" t="str">
        <f t="shared" si="2"/>
        <v/>
      </c>
      <c r="AZ38" t="str">
        <f t="shared" si="18"/>
        <v/>
      </c>
      <c r="BA38">
        <f>IF(ISNUMBER(FIND("PreWeaned",Y38)),_xlfn.XLOOKUP(Y38,Constants!$J$2:$J$3,Constants!$M$2:$M$3),"")</f>
        <v>1.37E-2</v>
      </c>
      <c r="BB38">
        <f t="shared" si="3"/>
        <v>230.16000000000003</v>
      </c>
      <c r="BC38">
        <f t="shared" si="4"/>
        <v>0</v>
      </c>
      <c r="BD38">
        <f t="shared" si="5"/>
        <v>0</v>
      </c>
      <c r="BE38">
        <f t="shared" si="6"/>
        <v>0</v>
      </c>
      <c r="BF38">
        <f t="shared" si="7"/>
        <v>0</v>
      </c>
      <c r="BG38">
        <f t="shared" si="8"/>
        <v>230.16000000000003</v>
      </c>
      <c r="BH38">
        <f>Constants!$D$19</f>
        <v>0.35</v>
      </c>
      <c r="BI38">
        <f>Constants!$D$20</f>
        <v>7.0000000000000007E-2</v>
      </c>
      <c r="BJ38">
        <f>Constants!$D$21</f>
        <v>0.2</v>
      </c>
      <c r="BK38">
        <f>Constants!$D$22</f>
        <v>0.3</v>
      </c>
      <c r="BL38">
        <f>Constants!$D$23</f>
        <v>0</v>
      </c>
      <c r="BM38">
        <f>Constants!$B$51</f>
        <v>0.21</v>
      </c>
      <c r="BN38">
        <f>Constants!$B$50</f>
        <v>1.57</v>
      </c>
      <c r="BO38">
        <f>_xlfn.XLOOKUP(C38,Constants!$A$27:$A$31,Constants!$B$27:$B$31)</f>
        <v>1.8E-3</v>
      </c>
      <c r="BP38">
        <f t="shared" si="60"/>
        <v>0</v>
      </c>
      <c r="BQ38">
        <f t="shared" si="61"/>
        <v>0</v>
      </c>
      <c r="BR38">
        <f t="shared" si="62"/>
        <v>0</v>
      </c>
      <c r="BS38">
        <f t="shared" si="63"/>
        <v>0</v>
      </c>
      <c r="BT38">
        <f t="shared" si="64"/>
        <v>0</v>
      </c>
      <c r="BU38">
        <f t="shared" si="65"/>
        <v>48.333600000000004</v>
      </c>
      <c r="BV38">
        <f t="shared" si="66"/>
        <v>0</v>
      </c>
      <c r="BW38">
        <f t="shared" si="67"/>
        <v>0.1365907536</v>
      </c>
    </row>
    <row r="39" spans="1:76" x14ac:dyDescent="0.2">
      <c r="A39" t="str">
        <f>'Input Scenarios'!A39</f>
        <v>VIC</v>
      </c>
      <c r="B39">
        <f>'Input Scenarios'!B39</f>
        <v>0</v>
      </c>
      <c r="C39" t="str">
        <f>'Input Scenarios'!C39</f>
        <v>Non-irrigated pasture</v>
      </c>
      <c r="D39" t="str">
        <f>'Input Scenarios'!D39</f>
        <v>wet</v>
      </c>
      <c r="E39" t="b">
        <f>'Input Scenarios'!E39</f>
        <v>0</v>
      </c>
      <c r="F39" t="str">
        <f>'Input Scenarios'!F39</f>
        <v>Limited grazing</v>
      </c>
      <c r="G39">
        <f>IF('Input Scenarios'!G39&lt;&gt;"", 'Input Scenarios'!G39, _xlfn.XLOOKUP($F39, Constants!$M$6:$M$9,Constants!N$6:N$9))</f>
        <v>0.53400000000000003</v>
      </c>
      <c r="H39">
        <f>IF('Input Scenarios'!H39&lt;&gt;"", 'Input Scenarios'!H39, _xlfn.XLOOKUP($F39, Constants!$M$6:$M$9,Constants!O$6:O$9))</f>
        <v>0.11</v>
      </c>
      <c r="I39">
        <f>IF('Input Scenarios'!I39&lt;&gt;"", 'Input Scenarios'!I39, _xlfn.XLOOKUP($F39, Constants!$M$6:$M$9,Constants!P$6:P$9))</f>
        <v>0.35599999999999998</v>
      </c>
      <c r="J39">
        <f>'Input Scenarios'!J39</f>
        <v>0.25</v>
      </c>
      <c r="K39">
        <f>'Input Scenarios'!K39</f>
        <v>0.25</v>
      </c>
      <c r="L39">
        <f>'Input Scenarios'!L39</f>
        <v>0.25</v>
      </c>
      <c r="M39">
        <f>'Input Scenarios'!M39</f>
        <v>0.25</v>
      </c>
      <c r="N39">
        <f>'Input Scenarios'!N39</f>
        <v>0.25</v>
      </c>
      <c r="O39">
        <f>'Input Scenarios'!O39</f>
        <v>0.25</v>
      </c>
      <c r="P39">
        <f>'Input Scenarios'!P39</f>
        <v>0.25</v>
      </c>
      <c r="Q39">
        <f>'Input Scenarios'!Q39</f>
        <v>0.25</v>
      </c>
      <c r="R39" t="b">
        <f>'Input Scenarios'!R39</f>
        <v>1</v>
      </c>
      <c r="S39">
        <f>IF('Input Scenarios'!S39&lt;&gt;"", 'Input Scenarios'!S39, IF(R39, Constants!$B$38, 0))</f>
        <v>0.2</v>
      </c>
      <c r="T39" t="str">
        <f>IF('Input Scenarios'!T39&lt;&gt;"", 'Input Scenarios'!T39, "")</f>
        <v/>
      </c>
      <c r="U39">
        <f>IF('Input Scenarios'!U39&lt;&gt;"", 'Input Scenarios'!U39, IF(W39&lt;&gt;"", "", Constants!$B$39))</f>
        <v>4</v>
      </c>
      <c r="V39">
        <f>IF('Input Scenarios'!V39&lt;&gt;"", 'Input Scenarios'!V39, IF(W39&lt;&gt;"", "", Constants!$B$40))</f>
        <v>3.3</v>
      </c>
      <c r="W39" t="str">
        <f>IF('Input Scenarios'!W39&lt;&gt;"", 'Input Scenarios'!W39, "")</f>
        <v/>
      </c>
      <c r="X39" t="str">
        <f>'Input Scenarios'!X39</f>
        <v>Jersey</v>
      </c>
      <c r="Y39" t="str">
        <f>'Input Scenarios'!Y39</f>
        <v>heifersLt1Weaned</v>
      </c>
      <c r="Z39">
        <f>'Input Scenarios'!Z39</f>
        <v>200</v>
      </c>
      <c r="AA39">
        <f>IF('Input Scenarios'!AA39&lt;&gt;"", 'Input Scenarios'!AA39, _xlfn.XLOOKUP(Y39,Constants!$J$6:$J$12,Constants!$K$6:$K$12))</f>
        <v>281</v>
      </c>
      <c r="AB39">
        <f>IF('Input Scenarios'!AB39&lt;&gt;"", 'Input Scenarios'!AB39, INDEX(Constants!$B$2:$H$11, MATCH(X39, Constants!$A$2:$A$11, 0), MATCH(Y39,Constants!$B$1:$H$1, 0)))</f>
        <v>115</v>
      </c>
      <c r="AC39">
        <f>IF('Input Scenarios'!AC39&lt;&gt;"", 'Input Scenarios'!AC39, _xlfn.XLOOKUP(Y39, Constants!$B$13:$H$13, Constants!$B$15:$H$15, ""))</f>
        <v>0.56999999999999995</v>
      </c>
      <c r="AD39">
        <f>IF('Input Scenarios'!AD39&lt;&gt;"", 'Input Scenarios'!AD39, Constants!$B$45)</f>
        <v>0.75</v>
      </c>
      <c r="AE39">
        <f>IF('Input Scenarios'!AE39&lt;&gt;"", 'Input Scenarios'!AE39, Constants!$B$46)</f>
        <v>0.2</v>
      </c>
      <c r="AF39">
        <f t="shared" si="68"/>
        <v>0</v>
      </c>
      <c r="AG39">
        <f t="shared" si="41"/>
        <v>0</v>
      </c>
      <c r="AH39">
        <f t="shared" si="41"/>
        <v>0</v>
      </c>
      <c r="AI39">
        <f t="shared" si="41"/>
        <v>0</v>
      </c>
      <c r="AJ39">
        <f t="shared" si="69"/>
        <v>1</v>
      </c>
      <c r="AK39">
        <f t="shared" si="70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55"/>
        <v>0.5948500000000001</v>
      </c>
      <c r="AQ39">
        <f t="shared" si="56"/>
        <v>0</v>
      </c>
      <c r="AR39">
        <f>IF(Y39="milkingCows", Constants!$P$2, Constants!$P$3)</f>
        <v>1</v>
      </c>
      <c r="AS39">
        <f t="shared" si="57"/>
        <v>3.4308856302250001</v>
      </c>
      <c r="AT39">
        <f t="shared" si="58"/>
        <v>1.2262028975982771</v>
      </c>
      <c r="AU39">
        <f>_xlfn.XLOOKUP(Y39, Constants!$B$13:$H$13, Constants!$B$14:$H$14, "")</f>
        <v>590</v>
      </c>
      <c r="AV39">
        <f t="shared" si="59"/>
        <v>0.19491525423728814</v>
      </c>
      <c r="AW39">
        <f>Constants!$B$55</f>
        <v>6.25</v>
      </c>
      <c r="AX39">
        <f t="shared" si="1"/>
        <v>1.5533805105434794E-2</v>
      </c>
      <c r="AY39">
        <f t="shared" si="2"/>
        <v>0.68617712604500003</v>
      </c>
      <c r="AZ39">
        <f t="shared" si="18"/>
        <v>9.3636467361806544E-2</v>
      </c>
      <c r="BA39" t="str">
        <f>IF(ISNUMBER(FIND("PreWeaned",Y39)),_xlfn.XLOOKUP(Y39,Constants!$J$2:$J$3,Constants!$M$2:$M$3),"")</f>
        <v/>
      </c>
      <c r="BB39">
        <f t="shared" si="3"/>
        <v>5262.3694657335282</v>
      </c>
      <c r="BC39">
        <f t="shared" si="4"/>
        <v>0</v>
      </c>
      <c r="BD39">
        <f t="shared" si="5"/>
        <v>0</v>
      </c>
      <c r="BE39">
        <f t="shared" si="6"/>
        <v>0</v>
      </c>
      <c r="BF39">
        <f t="shared" si="7"/>
        <v>0</v>
      </c>
      <c r="BG39">
        <f t="shared" si="8"/>
        <v>5262.3694657335282</v>
      </c>
      <c r="BH39">
        <f>Constants!$D$19</f>
        <v>0.35</v>
      </c>
      <c r="BI39">
        <f>Constants!$D$20</f>
        <v>7.0000000000000007E-2</v>
      </c>
      <c r="BJ39">
        <f>Constants!$D$21</f>
        <v>0.2</v>
      </c>
      <c r="BK39">
        <f>Constants!$D$22</f>
        <v>0.3</v>
      </c>
      <c r="BL39">
        <f>Constants!$D$23</f>
        <v>0</v>
      </c>
      <c r="BM39">
        <f>Constants!$B$51</f>
        <v>0.21</v>
      </c>
      <c r="BN39">
        <f>Constants!$B$50</f>
        <v>1.57</v>
      </c>
      <c r="BO39">
        <f>_xlfn.XLOOKUP(C39,Constants!$A$27:$A$31,Constants!$B$27:$B$31)</f>
        <v>1.8E-3</v>
      </c>
      <c r="BP39">
        <f t="shared" si="60"/>
        <v>0</v>
      </c>
      <c r="BQ39">
        <f t="shared" si="61"/>
        <v>0</v>
      </c>
      <c r="BR39">
        <f t="shared" si="62"/>
        <v>0</v>
      </c>
      <c r="BS39">
        <f t="shared" si="63"/>
        <v>0</v>
      </c>
      <c r="BT39">
        <f t="shared" si="64"/>
        <v>0</v>
      </c>
      <c r="BU39">
        <f t="shared" si="65"/>
        <v>1105.0975878040408</v>
      </c>
      <c r="BV39">
        <f t="shared" si="66"/>
        <v>0</v>
      </c>
      <c r="BW39">
        <f t="shared" si="67"/>
        <v>3.1230057831342193</v>
      </c>
    </row>
    <row r="40" spans="1:76" x14ac:dyDescent="0.2">
      <c r="A40" t="str">
        <f>'Input Scenarios'!A40</f>
        <v>VIC</v>
      </c>
      <c r="B40">
        <f>'Input Scenarios'!B40</f>
        <v>0</v>
      </c>
      <c r="C40" t="str">
        <f>'Input Scenarios'!C40</f>
        <v>Non-irrigated pasture</v>
      </c>
      <c r="D40" t="str">
        <f>'Input Scenarios'!D40</f>
        <v>wet</v>
      </c>
      <c r="E40" t="b">
        <f>'Input Scenarios'!E40</f>
        <v>0</v>
      </c>
      <c r="F40" t="str">
        <f>'Input Scenarios'!F40</f>
        <v>Limited grazing</v>
      </c>
      <c r="G40">
        <f>IF('Input Scenarios'!G40&lt;&gt;"", 'Input Scenarios'!G40, _xlfn.XLOOKUP($F40, Constants!$M$6:$M$9,Constants!N$6:N$9))</f>
        <v>0.53400000000000003</v>
      </c>
      <c r="H40">
        <f>IF('Input Scenarios'!H40&lt;&gt;"", 'Input Scenarios'!H40, _xlfn.XLOOKUP($F40, Constants!$M$6:$M$9,Constants!O$6:O$9))</f>
        <v>0.11</v>
      </c>
      <c r="I40">
        <f>IF('Input Scenarios'!I40&lt;&gt;"", 'Input Scenarios'!I40, _xlfn.XLOOKUP($F40, Constants!$M$6:$M$9,Constants!P$6:P$9))</f>
        <v>0.35599999999999998</v>
      </c>
      <c r="J40">
        <f>'Input Scenarios'!J40</f>
        <v>0.25</v>
      </c>
      <c r="K40">
        <f>'Input Scenarios'!K40</f>
        <v>0.25</v>
      </c>
      <c r="L40">
        <f>'Input Scenarios'!L40</f>
        <v>0.25</v>
      </c>
      <c r="M40">
        <f>'Input Scenarios'!M40</f>
        <v>0.25</v>
      </c>
      <c r="N40">
        <f>'Input Scenarios'!N40</f>
        <v>0.25</v>
      </c>
      <c r="O40">
        <f>'Input Scenarios'!O40</f>
        <v>0.25</v>
      </c>
      <c r="P40">
        <f>'Input Scenarios'!P40</f>
        <v>0.25</v>
      </c>
      <c r="Q40">
        <f>'Input Scenarios'!Q40</f>
        <v>0.25</v>
      </c>
      <c r="R40" t="b">
        <f>'Input Scenarios'!R40</f>
        <v>1</v>
      </c>
      <c r="S40">
        <f>IF('Input Scenarios'!S40&lt;&gt;"", 'Input Scenarios'!S40, IF(R40, Constants!$B$38, 0))</f>
        <v>0.2</v>
      </c>
      <c r="T40" t="str">
        <f>IF('Input Scenarios'!T40&lt;&gt;"", 'Input Scenarios'!T40, "")</f>
        <v/>
      </c>
      <c r="U40">
        <f>IF('Input Scenarios'!U40&lt;&gt;"", 'Input Scenarios'!U40, IF(W40&lt;&gt;"", "", Constants!$B$39))</f>
        <v>4</v>
      </c>
      <c r="V40">
        <f>IF('Input Scenarios'!V40&lt;&gt;"", 'Input Scenarios'!V40, IF(W40&lt;&gt;"", "", Constants!$B$40))</f>
        <v>3.3</v>
      </c>
      <c r="W40" t="str">
        <f>IF('Input Scenarios'!W40&lt;&gt;"", 'Input Scenarios'!W40, "")</f>
        <v/>
      </c>
      <c r="X40" t="str">
        <f>'Input Scenarios'!X40</f>
        <v>Jersey</v>
      </c>
      <c r="Y40" t="str">
        <f>'Input Scenarios'!Y40</f>
        <v>bullsGt1</v>
      </c>
      <c r="Z40">
        <f>'Input Scenarios'!Z40</f>
        <v>200</v>
      </c>
      <c r="AA40">
        <f>IF('Input Scenarios'!AA40&lt;&gt;"", 'Input Scenarios'!AA40, _xlfn.XLOOKUP(Y40,Constants!$J$6:$J$12,Constants!$K$6:$K$12))</f>
        <v>365</v>
      </c>
      <c r="AB40">
        <f>IF('Input Scenarios'!AB40&lt;&gt;"", 'Input Scenarios'!AB40, INDEX(Constants!$B$2:$H$11, MATCH(X40, Constants!$A$2:$A$11, 0), MATCH(Y40,Constants!$B$1:$H$1, 0)))</f>
        <v>600</v>
      </c>
      <c r="AC40">
        <f>IF('Input Scenarios'!AC40&lt;&gt;"", 'Input Scenarios'!AC40, _xlfn.XLOOKUP(Y40, Constants!$B$13:$H$13, Constants!$B$15:$H$15, ""))</f>
        <v>0.1</v>
      </c>
      <c r="AD40">
        <f>IF('Input Scenarios'!AD40&lt;&gt;"", 'Input Scenarios'!AD40, Constants!$B$45)</f>
        <v>0.75</v>
      </c>
      <c r="AE40">
        <f>IF('Input Scenarios'!AE40&lt;&gt;"", 'Input Scenarios'!AE40, Constants!$B$46)</f>
        <v>0.2</v>
      </c>
      <c r="AF40">
        <f t="shared" si="68"/>
        <v>0</v>
      </c>
      <c r="AG40">
        <f t="shared" si="41"/>
        <v>0</v>
      </c>
      <c r="AH40">
        <f t="shared" si="41"/>
        <v>0</v>
      </c>
      <c r="AI40">
        <f t="shared" si="41"/>
        <v>0</v>
      </c>
      <c r="AJ40">
        <f t="shared" si="69"/>
        <v>1</v>
      </c>
      <c r="AK40">
        <f t="shared" si="70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55"/>
        <v>0.5948500000000001</v>
      </c>
      <c r="AQ40">
        <f t="shared" si="56"/>
        <v>0</v>
      </c>
      <c r="AR40">
        <f>IF(Y40="milkingCows", Constants!$P$2, Constants!$P$3)</f>
        <v>1</v>
      </c>
      <c r="AS40">
        <f t="shared" si="57"/>
        <v>9.0270202499999979</v>
      </c>
      <c r="AT40">
        <f t="shared" si="58"/>
        <v>1.0213029780639273</v>
      </c>
      <c r="AU40">
        <f>_xlfn.XLOOKUP(Y40, Constants!$B$13:$H$13, Constants!$B$14:$H$14, "")</f>
        <v>770</v>
      </c>
      <c r="AV40">
        <f t="shared" si="59"/>
        <v>0.77922077922077926</v>
      </c>
      <c r="AW40">
        <f>Constants!$B$55</f>
        <v>6.25</v>
      </c>
      <c r="AX40">
        <f t="shared" ref="AX40:AX63" si="71">IFERROR((((0.212-(0.008*(AT40-2)) - (0.14-0.008*(AT40-2))/(1+EXP(-6*(AV40-0.4)))) * AC40 * 0.92)/AW40) + (0.032*AK40*AL40)/6.38, "")</f>
        <v>1.2626203146474679E-3</v>
      </c>
      <c r="AY40">
        <f t="shared" ref="AY40:AY63" si="72">IFERROR(AE40*AS40, "")</f>
        <v>1.8054040499999997</v>
      </c>
      <c r="AZ40">
        <f t="shared" si="18"/>
        <v>0.28546836331241399</v>
      </c>
      <c r="BA40" t="str">
        <f>IF(ISNUMBER(FIND("PreWeaned",Y40)),_xlfn.XLOOKUP(Y40,Constants!$J$2:$J$3,Constants!$M$2:$M$3),"")</f>
        <v/>
      </c>
      <c r="BB40">
        <f t="shared" ref="BB40:BB63" si="73">SUM(AZ40:BA40)*Z40*AA40</f>
        <v>20839.19052180622</v>
      </c>
      <c r="BC40">
        <f t="shared" ref="BC40:BC63" si="74">$BB40*AF40</f>
        <v>0</v>
      </c>
      <c r="BD40">
        <f t="shared" ref="BD40:BD63" si="75">$BB40*AG40</f>
        <v>0</v>
      </c>
      <c r="BE40">
        <f t="shared" ref="BE40:BE63" si="76">$BB40*AH40</f>
        <v>0</v>
      </c>
      <c r="BF40">
        <f t="shared" ref="BF40:BF63" si="77">$BB40*AI40</f>
        <v>0</v>
      </c>
      <c r="BG40">
        <f t="shared" ref="BG40:BG63" si="78">$BB40*AJ40</f>
        <v>20839.19052180622</v>
      </c>
      <c r="BH40">
        <f>Constants!$D$19</f>
        <v>0.35</v>
      </c>
      <c r="BI40">
        <f>Constants!$D$20</f>
        <v>7.0000000000000007E-2</v>
      </c>
      <c r="BJ40">
        <f>Constants!$D$21</f>
        <v>0.2</v>
      </c>
      <c r="BK40">
        <f>Constants!$D$22</f>
        <v>0.3</v>
      </c>
      <c r="BL40">
        <f>Constants!$D$23</f>
        <v>0</v>
      </c>
      <c r="BM40">
        <f>Constants!$B$51</f>
        <v>0.21</v>
      </c>
      <c r="BN40">
        <f>Constants!$B$50</f>
        <v>1.57</v>
      </c>
      <c r="BO40">
        <f>_xlfn.XLOOKUP(C40,Constants!$A$27:$A$31,Constants!$B$27:$B$31)</f>
        <v>1.8E-3</v>
      </c>
      <c r="BP40">
        <f t="shared" si="60"/>
        <v>0</v>
      </c>
      <c r="BQ40">
        <f t="shared" si="61"/>
        <v>0</v>
      </c>
      <c r="BR40">
        <f t="shared" si="62"/>
        <v>0</v>
      </c>
      <c r="BS40">
        <f t="shared" si="63"/>
        <v>0</v>
      </c>
      <c r="BT40">
        <f t="shared" si="64"/>
        <v>0</v>
      </c>
      <c r="BU40">
        <f t="shared" si="65"/>
        <v>4376.2300095793062</v>
      </c>
      <c r="BV40">
        <f t="shared" si="66"/>
        <v>0</v>
      </c>
      <c r="BW40">
        <f t="shared" si="67"/>
        <v>12.367226007071119</v>
      </c>
    </row>
    <row r="41" spans="1:76" x14ac:dyDescent="0.2">
      <c r="A41" t="str">
        <f>'Input Scenarios'!A41</f>
        <v>VIC</v>
      </c>
      <c r="B41">
        <f>'Input Scenarios'!B41</f>
        <v>0</v>
      </c>
      <c r="C41" t="str">
        <f>'Input Scenarios'!C41</f>
        <v>Non-irrigated pasture</v>
      </c>
      <c r="D41" t="str">
        <f>'Input Scenarios'!D41</f>
        <v>wet</v>
      </c>
      <c r="E41" t="b">
        <f>'Input Scenarios'!E41</f>
        <v>0</v>
      </c>
      <c r="F41" t="str">
        <f>'Input Scenarios'!F41</f>
        <v>Limited grazing</v>
      </c>
      <c r="G41">
        <f>IF('Input Scenarios'!G41&lt;&gt;"", 'Input Scenarios'!G41, _xlfn.XLOOKUP($F41, Constants!$M$6:$M$9,Constants!N$6:N$9))</f>
        <v>0.53400000000000003</v>
      </c>
      <c r="H41">
        <f>IF('Input Scenarios'!H41&lt;&gt;"", 'Input Scenarios'!H41, _xlfn.XLOOKUP($F41, Constants!$M$6:$M$9,Constants!O$6:O$9))</f>
        <v>0.11</v>
      </c>
      <c r="I41">
        <f>IF('Input Scenarios'!I41&lt;&gt;"", 'Input Scenarios'!I41, _xlfn.XLOOKUP($F41, Constants!$M$6:$M$9,Constants!P$6:P$9))</f>
        <v>0.35599999999999998</v>
      </c>
      <c r="J41">
        <f>'Input Scenarios'!J41</f>
        <v>0.25</v>
      </c>
      <c r="K41">
        <f>'Input Scenarios'!K41</f>
        <v>0.25</v>
      </c>
      <c r="L41">
        <f>'Input Scenarios'!L41</f>
        <v>0.25</v>
      </c>
      <c r="M41">
        <f>'Input Scenarios'!M41</f>
        <v>0.25</v>
      </c>
      <c r="N41">
        <f>'Input Scenarios'!N41</f>
        <v>0.25</v>
      </c>
      <c r="O41">
        <f>'Input Scenarios'!O41</f>
        <v>0.25</v>
      </c>
      <c r="P41">
        <f>'Input Scenarios'!P41</f>
        <v>0.25</v>
      </c>
      <c r="Q41">
        <f>'Input Scenarios'!Q41</f>
        <v>0.25</v>
      </c>
      <c r="R41" t="b">
        <f>'Input Scenarios'!R41</f>
        <v>1</v>
      </c>
      <c r="S41">
        <f>IF('Input Scenarios'!S41&lt;&gt;"", 'Input Scenarios'!S41, IF(R41, Constants!$B$38, 0))</f>
        <v>0.2</v>
      </c>
      <c r="T41" t="str">
        <f>IF('Input Scenarios'!T41&lt;&gt;"", 'Input Scenarios'!T41, "")</f>
        <v/>
      </c>
      <c r="U41">
        <f>IF('Input Scenarios'!U41&lt;&gt;"", 'Input Scenarios'!U41, IF(W41&lt;&gt;"", "", Constants!$B$39))</f>
        <v>4</v>
      </c>
      <c r="V41">
        <f>IF('Input Scenarios'!V41&lt;&gt;"", 'Input Scenarios'!V41, IF(W41&lt;&gt;"", "", Constants!$B$40))</f>
        <v>3.3</v>
      </c>
      <c r="W41" t="str">
        <f>IF('Input Scenarios'!W41&lt;&gt;"", 'Input Scenarios'!W41, "")</f>
        <v/>
      </c>
      <c r="X41" t="str">
        <f>'Input Scenarios'!X41</f>
        <v>Jersey</v>
      </c>
      <c r="Y41" t="str">
        <f>'Input Scenarios'!Y41</f>
        <v>bullsLt1PreWeaned</v>
      </c>
      <c r="Z41">
        <f>'Input Scenarios'!Z41</f>
        <v>200</v>
      </c>
      <c r="AA41">
        <f>IF('Input Scenarios'!AA41&lt;&gt;"", 'Input Scenarios'!AA41, _xlfn.XLOOKUP(Y41,Constants!$J$6:$J$12,Constants!$K$6:$K$12))</f>
        <v>84</v>
      </c>
      <c r="AB41">
        <f>IF('Input Scenarios'!AB41&lt;&gt;"", 'Input Scenarios'!AB41, INDEX(Constants!$B$2:$H$11, MATCH(X41, Constants!$A$2:$A$11, 0), MATCH(Y41,Constants!$B$1:$H$1, 0)))</f>
        <v>225</v>
      </c>
      <c r="AC41" t="str">
        <f>IF('Input Scenarios'!AC41&lt;&gt;"", 'Input Scenarios'!AC41, _xlfn.XLOOKUP(Y41, Constants!$B$13:$H$13, Constants!$B$15:$H$15, ""))</f>
        <v/>
      </c>
      <c r="AD41">
        <f>IF('Input Scenarios'!AD41&lt;&gt;"", 'Input Scenarios'!AD41, Constants!$B$45)</f>
        <v>0.75</v>
      </c>
      <c r="AE41">
        <f>IF('Input Scenarios'!AE41&lt;&gt;"", 'Input Scenarios'!AE41, Constants!$B$46)</f>
        <v>0.2</v>
      </c>
      <c r="AF41">
        <f t="shared" si="68"/>
        <v>0</v>
      </c>
      <c r="AG41">
        <f t="shared" si="41"/>
        <v>0</v>
      </c>
      <c r="AH41">
        <f t="shared" si="41"/>
        <v>0</v>
      </c>
      <c r="AI41">
        <f t="shared" si="41"/>
        <v>0</v>
      </c>
      <c r="AJ41">
        <f t="shared" si="69"/>
        <v>1</v>
      </c>
      <c r="AK41">
        <f t="shared" si="70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55"/>
        <v>0.5948500000000001</v>
      </c>
      <c r="AQ41">
        <f t="shared" si="56"/>
        <v>0</v>
      </c>
      <c r="AR41">
        <f>IF(Y41="milkingCows", Constants!$P$2, Constants!$P$3)</f>
        <v>1</v>
      </c>
      <c r="AS41" t="str">
        <f t="shared" si="57"/>
        <v/>
      </c>
      <c r="AT41" t="str">
        <f t="shared" si="58"/>
        <v/>
      </c>
      <c r="AU41" t="str">
        <f>_xlfn.XLOOKUP(Y41, Constants!$B$13:$H$13, Constants!$B$14:$H$14, "")</f>
        <v/>
      </c>
      <c r="AV41" t="str">
        <f t="shared" si="59"/>
        <v/>
      </c>
      <c r="AW41">
        <f>Constants!$B$55</f>
        <v>6.25</v>
      </c>
      <c r="AX41" t="str">
        <f t="shared" si="71"/>
        <v/>
      </c>
      <c r="AY41" t="str">
        <f t="shared" si="72"/>
        <v/>
      </c>
      <c r="AZ41" t="str">
        <f t="shared" si="18"/>
        <v/>
      </c>
      <c r="BA41">
        <f>IF(ISNUMBER(FIND("PreWeaned",Y41)),_xlfn.XLOOKUP(Y41,Constants!$J$2:$J$3,Constants!$M$2:$M$3),"")</f>
        <v>9.1999999999999998E-3</v>
      </c>
      <c r="BB41">
        <f t="shared" si="73"/>
        <v>154.56</v>
      </c>
      <c r="BC41">
        <f t="shared" si="74"/>
        <v>0</v>
      </c>
      <c r="BD41">
        <f t="shared" si="75"/>
        <v>0</v>
      </c>
      <c r="BE41">
        <f t="shared" si="76"/>
        <v>0</v>
      </c>
      <c r="BF41">
        <f t="shared" si="77"/>
        <v>0</v>
      </c>
      <c r="BG41">
        <f t="shared" si="78"/>
        <v>154.56</v>
      </c>
      <c r="BH41">
        <f>Constants!$D$19</f>
        <v>0.35</v>
      </c>
      <c r="BI41">
        <f>Constants!$D$20</f>
        <v>7.0000000000000007E-2</v>
      </c>
      <c r="BJ41">
        <f>Constants!$D$21</f>
        <v>0.2</v>
      </c>
      <c r="BK41">
        <f>Constants!$D$22</f>
        <v>0.3</v>
      </c>
      <c r="BL41">
        <f>Constants!$D$23</f>
        <v>0</v>
      </c>
      <c r="BM41">
        <f>Constants!$B$51</f>
        <v>0.21</v>
      </c>
      <c r="BN41">
        <f>Constants!$B$50</f>
        <v>1.57</v>
      </c>
      <c r="BO41">
        <f>_xlfn.XLOOKUP(C41,Constants!$A$27:$A$31,Constants!$B$27:$B$31)</f>
        <v>1.8E-3</v>
      </c>
      <c r="BP41">
        <f t="shared" si="60"/>
        <v>0</v>
      </c>
      <c r="BQ41">
        <f t="shared" si="61"/>
        <v>0</v>
      </c>
      <c r="BR41">
        <f t="shared" si="62"/>
        <v>0</v>
      </c>
      <c r="BS41">
        <f t="shared" si="63"/>
        <v>0</v>
      </c>
      <c r="BT41">
        <f t="shared" si="64"/>
        <v>0</v>
      </c>
      <c r="BU41">
        <f t="shared" si="65"/>
        <v>32.457599999999999</v>
      </c>
      <c r="BV41">
        <f t="shared" si="66"/>
        <v>0</v>
      </c>
      <c r="BW41">
        <f t="shared" si="67"/>
        <v>9.1725177599999999E-2</v>
      </c>
    </row>
    <row r="42" spans="1:76" s="16" customFormat="1" x14ac:dyDescent="0.2">
      <c r="A42" s="16" t="str">
        <f>'Input Scenarios'!A42</f>
        <v>VIC</v>
      </c>
      <c r="B42" s="16">
        <f>'Input Scenarios'!B42</f>
        <v>0</v>
      </c>
      <c r="C42" s="16" t="str">
        <f>'Input Scenarios'!C42</f>
        <v>Non-irrigated pasture</v>
      </c>
      <c r="D42" s="16" t="str">
        <f>'Input Scenarios'!D42</f>
        <v>wet</v>
      </c>
      <c r="E42" s="16" t="b">
        <f>'Input Scenarios'!E42</f>
        <v>0</v>
      </c>
      <c r="F42" s="16" t="str">
        <f>'Input Scenarios'!F42</f>
        <v>Limited grazing</v>
      </c>
      <c r="G42" s="16">
        <f>IF('Input Scenarios'!G42&lt;&gt;"", 'Input Scenarios'!G42, _xlfn.XLOOKUP($F42, Constants!$M$6:$M$9,Constants!N$6:N$9))</f>
        <v>0.53400000000000003</v>
      </c>
      <c r="H42" s="16">
        <f>IF('Input Scenarios'!H42&lt;&gt;"", 'Input Scenarios'!H42, _xlfn.XLOOKUP($F42, Constants!$M$6:$M$9,Constants!O$6:O$9))</f>
        <v>0.11</v>
      </c>
      <c r="I42" s="16">
        <f>IF('Input Scenarios'!I42&lt;&gt;"", 'Input Scenarios'!I42, _xlfn.XLOOKUP($F42, Constants!$M$6:$M$9,Constants!P$6:P$9))</f>
        <v>0.35599999999999998</v>
      </c>
      <c r="J42" s="16">
        <f>'Input Scenarios'!J42</f>
        <v>0.25</v>
      </c>
      <c r="K42" s="16">
        <f>'Input Scenarios'!K42</f>
        <v>0.25</v>
      </c>
      <c r="L42" s="16">
        <f>'Input Scenarios'!L42</f>
        <v>0.25</v>
      </c>
      <c r="M42" s="16">
        <f>'Input Scenarios'!M42</f>
        <v>0.25</v>
      </c>
      <c r="N42" s="16">
        <f>'Input Scenarios'!N42</f>
        <v>0.25</v>
      </c>
      <c r="O42" s="16">
        <f>'Input Scenarios'!O42</f>
        <v>0.25</v>
      </c>
      <c r="P42" s="16">
        <f>'Input Scenarios'!P42</f>
        <v>0.25</v>
      </c>
      <c r="Q42" s="16">
        <f>'Input Scenarios'!Q42</f>
        <v>0.25</v>
      </c>
      <c r="R42" s="16" t="b">
        <f>'Input Scenarios'!R42</f>
        <v>1</v>
      </c>
      <c r="S42" s="16">
        <f>IF('Input Scenarios'!S42&lt;&gt;"", 'Input Scenarios'!S42, IF(R42, Constants!$B$38, 0))</f>
        <v>0.2</v>
      </c>
      <c r="T42" s="16" t="str">
        <f>IF('Input Scenarios'!T42&lt;&gt;"", 'Input Scenarios'!T42, "")</f>
        <v/>
      </c>
      <c r="U42" s="16">
        <f>IF('Input Scenarios'!U42&lt;&gt;"", 'Input Scenarios'!U42, IF(W42&lt;&gt;"", "", Constants!$B$39))</f>
        <v>4</v>
      </c>
      <c r="V42" s="16">
        <f>IF('Input Scenarios'!V42&lt;&gt;"", 'Input Scenarios'!V42, IF(W42&lt;&gt;"", "", Constants!$B$40))</f>
        <v>3.3</v>
      </c>
      <c r="W42" s="16" t="str">
        <f>IF('Input Scenarios'!W42&lt;&gt;"", 'Input Scenarios'!W42, "")</f>
        <v/>
      </c>
      <c r="X42" s="16" t="str">
        <f>'Input Scenarios'!X42</f>
        <v>Jersey</v>
      </c>
      <c r="Y42" s="16" t="str">
        <f>'Input Scenarios'!Y42</f>
        <v>bullsLt1Weaned</v>
      </c>
      <c r="Z42" s="16">
        <f>'Input Scenarios'!Z42</f>
        <v>200</v>
      </c>
      <c r="AA42" s="16">
        <f>IF('Input Scenarios'!AA42&lt;&gt;"", 'Input Scenarios'!AA42, _xlfn.XLOOKUP(Y42,Constants!$J$6:$J$12,Constants!$K$6:$K$12))</f>
        <v>281</v>
      </c>
      <c r="AB42" s="16">
        <f>IF('Input Scenarios'!AB42&lt;&gt;"", 'Input Scenarios'!AB42, INDEX(Constants!$B$2:$H$11, MATCH(X42, Constants!$A$2:$A$11, 0), MATCH(Y42,Constants!$B$1:$H$1, 0)))</f>
        <v>225</v>
      </c>
      <c r="AC42" s="16">
        <f>IF('Input Scenarios'!AC42&lt;&gt;"", 'Input Scenarios'!AC42, _xlfn.XLOOKUP(Y42, Constants!$B$13:$H$13, Constants!$B$15:$H$15, ""))</f>
        <v>0.8</v>
      </c>
      <c r="AD42" s="16">
        <f>IF('Input Scenarios'!AD42&lt;&gt;"", 'Input Scenarios'!AD42, Constants!$B$45)</f>
        <v>0.75</v>
      </c>
      <c r="AE42" s="16">
        <f>IF('Input Scenarios'!AE42&lt;&gt;"", 'Input Scenarios'!AE42, Constants!$B$46)</f>
        <v>0.2</v>
      </c>
      <c r="AF42" s="16">
        <f t="shared" si="68"/>
        <v>0</v>
      </c>
      <c r="AG42" s="16">
        <f t="shared" si="41"/>
        <v>0</v>
      </c>
      <c r="AH42" s="16">
        <f t="shared" si="41"/>
        <v>0</v>
      </c>
      <c r="AI42" s="16">
        <f t="shared" si="41"/>
        <v>0</v>
      </c>
      <c r="AJ42" s="16">
        <f t="shared" si="69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55"/>
        <v>0.5948500000000001</v>
      </c>
      <c r="AQ42" s="16">
        <f t="shared" si="56"/>
        <v>0</v>
      </c>
      <c r="AR42" s="16">
        <f>IF(Y42="milkingCows", Constants!$P$2, Constants!$P$3)</f>
        <v>1</v>
      </c>
      <c r="AS42" s="16">
        <f t="shared" si="57"/>
        <v>5.4143472656250013</v>
      </c>
      <c r="AT42" s="16">
        <f t="shared" si="58"/>
        <v>1.2576570545672616</v>
      </c>
      <c r="AU42" s="16">
        <f>_xlfn.XLOOKUP(Y42, Constants!$B$13:$H$13, Constants!$B$14:$H$14, "")</f>
        <v>770</v>
      </c>
      <c r="AV42" s="16">
        <f t="shared" si="59"/>
        <v>0.29220779220779219</v>
      </c>
      <c r="AW42" s="16">
        <f>Constants!$B$55</f>
        <v>6.25</v>
      </c>
      <c r="AX42" s="16">
        <f t="shared" si="71"/>
        <v>1.9757354894894084E-2</v>
      </c>
      <c r="AY42" s="16">
        <f t="shared" si="72"/>
        <v>1.0828694531250003</v>
      </c>
      <c r="AZ42" s="16">
        <f t="shared" si="18"/>
        <v>0.15247929000170721</v>
      </c>
      <c r="BA42" s="16" t="str">
        <f>IF(ISNUMBER(FIND("PreWeaned",Y42)),_xlfn.XLOOKUP(Y42,Constants!$J$2:$J$3,Constants!$M$2:$M$3),"")</f>
        <v/>
      </c>
      <c r="BB42" s="16">
        <f t="shared" si="73"/>
        <v>8569.336098095946</v>
      </c>
      <c r="BC42" s="16">
        <f t="shared" si="74"/>
        <v>0</v>
      </c>
      <c r="BD42" s="16">
        <f t="shared" si="75"/>
        <v>0</v>
      </c>
      <c r="BE42" s="16">
        <f t="shared" si="76"/>
        <v>0</v>
      </c>
      <c r="BF42" s="16">
        <f t="shared" si="77"/>
        <v>0</v>
      </c>
      <c r="BG42" s="16">
        <f t="shared" si="78"/>
        <v>8569.336098095946</v>
      </c>
      <c r="BH42" s="16">
        <f>Constants!$D$19</f>
        <v>0.35</v>
      </c>
      <c r="BI42" s="16">
        <f>Constants!$D$20</f>
        <v>7.0000000000000007E-2</v>
      </c>
      <c r="BJ42" s="16">
        <f>Constants!$D$21</f>
        <v>0.2</v>
      </c>
      <c r="BK42" s="16">
        <f>Constants!$D$22</f>
        <v>0.3</v>
      </c>
      <c r="BL42" s="16">
        <f>Constants!$D$23</f>
        <v>0</v>
      </c>
      <c r="BM42" s="16">
        <f>Constants!$B$51</f>
        <v>0.21</v>
      </c>
      <c r="BN42" s="16">
        <f>Constants!$B$50</f>
        <v>1.57</v>
      </c>
      <c r="BO42" s="16">
        <f>_xlfn.XLOOKUP(C42,Constants!$A$27:$A$31,Constants!$B$27:$B$31)</f>
        <v>1.8E-3</v>
      </c>
      <c r="BP42" s="16">
        <f t="shared" si="60"/>
        <v>0</v>
      </c>
      <c r="BQ42" s="16">
        <f t="shared" si="61"/>
        <v>0</v>
      </c>
      <c r="BR42" s="16">
        <f t="shared" si="62"/>
        <v>0</v>
      </c>
      <c r="BS42" s="16">
        <f t="shared" si="63"/>
        <v>0</v>
      </c>
      <c r="BT42" s="16">
        <f t="shared" si="64"/>
        <v>0</v>
      </c>
      <c r="BU42" s="16">
        <f t="shared" si="65"/>
        <v>1799.5605806001486</v>
      </c>
      <c r="BV42" s="16">
        <f t="shared" si="66"/>
        <v>0</v>
      </c>
      <c r="BW42" s="16">
        <f t="shared" si="67"/>
        <v>5.0855582007760196</v>
      </c>
    </row>
    <row r="43" spans="1:76" x14ac:dyDescent="0.2">
      <c r="A43" t="str">
        <f>'Input Scenarios'!A43</f>
        <v>ACT</v>
      </c>
      <c r="B43">
        <f>'Input Scenarios'!B43</f>
        <v>0</v>
      </c>
      <c r="C43" t="str">
        <f>'Input Scenarios'!C43</f>
        <v>Non-irrigated crop (low rainfall)</v>
      </c>
      <c r="D43" t="str">
        <f>'Input Scenarios'!D43</f>
        <v>wet</v>
      </c>
      <c r="E43" t="b">
        <f>'Input Scenarios'!E43</f>
        <v>1</v>
      </c>
      <c r="F43" t="str">
        <f>'Input Scenarios'!F43</f>
        <v>Limited feedpad</v>
      </c>
      <c r="G43">
        <f>IF('Input Scenarios'!G43&lt;&gt;"", 'Input Scenarios'!G43, _xlfn.XLOOKUP($F43, Constants!$M$6:$M$9,Constants!N$6:N$9))</f>
        <v>0.79</v>
      </c>
      <c r="H43">
        <f>IF('Input Scenarios'!H43&lt;&gt;"", 'Input Scenarios'!H43, _xlfn.XLOOKUP($F43, Constants!$M$6:$M$9,Constants!O$6:O$9))</f>
        <v>0.11</v>
      </c>
      <c r="I43">
        <f>IF('Input Scenarios'!I43&lt;&gt;"", 'Input Scenarios'!I43, _xlfn.XLOOKUP($F43, Constants!$M$6:$M$9,Constants!P$6:P$9))</f>
        <v>0.1</v>
      </c>
      <c r="J43">
        <f>'Input Scenarios'!J43</f>
        <v>0</v>
      </c>
      <c r="K43">
        <f>'Input Scenarios'!K43</f>
        <v>0</v>
      </c>
      <c r="L43">
        <f>'Input Scenarios'!L43</f>
        <v>1</v>
      </c>
      <c r="M43">
        <f>'Input Scenarios'!M43</f>
        <v>0</v>
      </c>
      <c r="N43">
        <f>'Input Scenarios'!N43</f>
        <v>1</v>
      </c>
      <c r="O43">
        <f>'Input Scenarios'!O43</f>
        <v>0</v>
      </c>
      <c r="P43">
        <f>'Input Scenarios'!P43</f>
        <v>0</v>
      </c>
      <c r="Q43">
        <f>'Input Scenarios'!Q43</f>
        <v>0</v>
      </c>
      <c r="R43" t="b">
        <f>'Input Scenarios'!R43</f>
        <v>1</v>
      </c>
      <c r="S43">
        <f>IF('Input Scenarios'!S43&lt;&gt;"", 'Input Scenarios'!S43, IF(R43, Constants!$B$38, 0))</f>
        <v>0.2</v>
      </c>
      <c r="T43">
        <f>IF('Input Scenarios'!T43&lt;&gt;"", 'Input Scenarios'!T43, "")</f>
        <v>4</v>
      </c>
      <c r="U43">
        <f>IF('Input Scenarios'!U43&lt;&gt;"", 'Input Scenarios'!U43, IF(W43&lt;&gt;"", "", Constants!$B$39))</f>
        <v>4</v>
      </c>
      <c r="V43">
        <f>IF('Input Scenarios'!V43&lt;&gt;"", 'Input Scenarios'!V43, IF(W43&lt;&gt;"", "", Constants!$B$40))</f>
        <v>3.3</v>
      </c>
      <c r="W43" t="str">
        <f>IF('Input Scenarios'!W43&lt;&gt;"", 'Input Scenarios'!W43, "")</f>
        <v/>
      </c>
      <c r="X43" t="str">
        <f>'Input Scenarios'!X43</f>
        <v>Jersey crossbred</v>
      </c>
      <c r="Y43" t="str">
        <f>'Input Scenarios'!Y43</f>
        <v>milkingCows</v>
      </c>
      <c r="Z43">
        <f>'Input Scenarios'!Z43</f>
        <v>200</v>
      </c>
      <c r="AA43">
        <f>IF('Input Scenarios'!AA43&lt;&gt;"", 'Input Scenarios'!AA43, _xlfn.XLOOKUP(Y43,Constants!$J$6:$J$12,Constants!$K$6:$K$12))</f>
        <v>365</v>
      </c>
      <c r="AB43">
        <f>IF('Input Scenarios'!AB43&lt;&gt;"", 'Input Scenarios'!AB43, INDEX(Constants!$B$2:$H$11, MATCH(X43, Constants!$A$2:$A$11, 0), MATCH(Y43,Constants!$B$1:$H$1, 0)))</f>
        <v>450</v>
      </c>
      <c r="AC43">
        <f>IF('Input Scenarios'!AC43&lt;&gt;"", 'Input Scenarios'!AC43, _xlfn.XLOOKUP(Y43, Constants!$B$13:$H$13, Constants!$B$15:$H$15, ""))</f>
        <v>1.6E-2</v>
      </c>
      <c r="AD43">
        <f>IF('Input Scenarios'!AD43&lt;&gt;"", 'Input Scenarios'!AD43, Constants!$B$45)</f>
        <v>0.75</v>
      </c>
      <c r="AE43">
        <f>IF('Input Scenarios'!AE43&lt;&gt;"", 'Input Scenarios'!AE43, Constants!$B$46)</f>
        <v>0.2</v>
      </c>
      <c r="AF43" s="20">
        <f t="shared" si="68"/>
        <v>0.1</v>
      </c>
      <c r="AG43" s="20">
        <f t="shared" si="41"/>
        <v>0</v>
      </c>
      <c r="AH43" s="20">
        <f t="shared" si="41"/>
        <v>0.11</v>
      </c>
      <c r="AI43" s="20">
        <f t="shared" si="41"/>
        <v>0</v>
      </c>
      <c r="AJ43" s="20">
        <f t="shared" si="69"/>
        <v>0.79</v>
      </c>
      <c r="AK43">
        <f t="shared" ref="AK43:AK63" si="79">IF(Y43="milkingCows", IF(W43&lt;&gt;"", W43, T43/((U43+V43)*0.01)), 0)</f>
        <v>54.794520547945211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55"/>
        <v>0.5948500000000001</v>
      </c>
      <c r="AQ43">
        <f t="shared" si="56"/>
        <v>26.246225105773135</v>
      </c>
      <c r="AR43">
        <f>IF(Y43="milkingCows", Constants!$P$2, Constants!$P$3)</f>
        <v>1.1000000000000001</v>
      </c>
      <c r="AS43">
        <f t="shared" si="57"/>
        <v>34.304119754533133</v>
      </c>
      <c r="AT43">
        <f t="shared" si="58"/>
        <v>1.0008747754393335</v>
      </c>
      <c r="AU43">
        <f>_xlfn.XLOOKUP(Y43, Constants!$B$13:$H$13, Constants!$B$14:$H$14, "")</f>
        <v>590</v>
      </c>
      <c r="AV43">
        <f t="shared" si="59"/>
        <v>0.76271186440677963</v>
      </c>
      <c r="AW43">
        <f>Constants!$B$55</f>
        <v>6.25</v>
      </c>
      <c r="AX43" s="20">
        <f t="shared" si="71"/>
        <v>0.2832814871011613</v>
      </c>
      <c r="AY43">
        <f t="shared" si="72"/>
        <v>6.8608239509066271</v>
      </c>
      <c r="AZ43">
        <f t="shared" si="18"/>
        <v>0.81273076635907693</v>
      </c>
      <c r="BA43" t="str">
        <f>IF(ISNUMBER(FIND("PreWeaned",Y43)),_xlfn.XLOOKUP(Y43,Constants!$J$2:$J$3,Constants!$M$2:$M$3),"")</f>
        <v/>
      </c>
      <c r="BB43">
        <f t="shared" si="73"/>
        <v>59329.345944212619</v>
      </c>
      <c r="BC43">
        <f t="shared" si="74"/>
        <v>5932.9345944212619</v>
      </c>
      <c r="BD43">
        <f t="shared" si="75"/>
        <v>0</v>
      </c>
      <c r="BE43">
        <f t="shared" si="76"/>
        <v>6526.2280538633877</v>
      </c>
      <c r="BF43">
        <f t="shared" si="77"/>
        <v>0</v>
      </c>
      <c r="BG43">
        <f t="shared" si="78"/>
        <v>46870.183295927971</v>
      </c>
      <c r="BH43">
        <f>Constants!$D$19</f>
        <v>0.35</v>
      </c>
      <c r="BI43">
        <f>Constants!$D$20</f>
        <v>7.0000000000000007E-2</v>
      </c>
      <c r="BJ43">
        <f>Constants!$D$21</f>
        <v>0.2</v>
      </c>
      <c r="BK43">
        <f>Constants!$D$22</f>
        <v>0.3</v>
      </c>
      <c r="BL43">
        <f>Constants!$D$23</f>
        <v>0</v>
      </c>
      <c r="BM43">
        <f>Constants!$B$51</f>
        <v>0.21</v>
      </c>
      <c r="BN43">
        <f>Constants!$B$50</f>
        <v>1.57</v>
      </c>
      <c r="BO43">
        <f>_xlfn.XLOOKUP(C43,Constants!$A$27:$A$31,Constants!$B$27:$B$31)</f>
        <v>2.8999999999999998E-3</v>
      </c>
      <c r="BP43">
        <f t="shared" si="60"/>
        <v>2076.5271080474417</v>
      </c>
      <c r="BQ43">
        <f t="shared" si="61"/>
        <v>0</v>
      </c>
      <c r="BR43">
        <f t="shared" si="62"/>
        <v>1305.2456107726775</v>
      </c>
      <c r="BS43">
        <f t="shared" si="63"/>
        <v>0</v>
      </c>
      <c r="BT43">
        <f t="shared" si="64"/>
        <v>0</v>
      </c>
      <c r="BU43">
        <f t="shared" si="65"/>
        <v>9842.7384921448738</v>
      </c>
      <c r="BV43">
        <f t="shared" si="66"/>
        <v>15.397211188788003</v>
      </c>
      <c r="BW43">
        <f t="shared" si="67"/>
        <v>44.813988354735606</v>
      </c>
      <c r="BX43">
        <f>SUM(BV43:BW49)/1000</f>
        <v>0.10778655536157607</v>
      </c>
    </row>
    <row r="44" spans="1:76" x14ac:dyDescent="0.2">
      <c r="A44" t="str">
        <f>'Input Scenarios'!A44</f>
        <v>ACT</v>
      </c>
      <c r="B44">
        <f>'Input Scenarios'!B44</f>
        <v>0</v>
      </c>
      <c r="C44" t="str">
        <f>'Input Scenarios'!C44</f>
        <v>Non-irrigated crop (low rainfall)</v>
      </c>
      <c r="D44" t="str">
        <f>'Input Scenarios'!D44</f>
        <v>wet</v>
      </c>
      <c r="E44" t="b">
        <f>'Input Scenarios'!E44</f>
        <v>1</v>
      </c>
      <c r="F44" t="str">
        <f>'Input Scenarios'!F44</f>
        <v>Limited feedpad</v>
      </c>
      <c r="G44">
        <f>IF('Input Scenarios'!G44&lt;&gt;"", 'Input Scenarios'!G44, _xlfn.XLOOKUP($F44, Constants!$M$6:$M$9,Constants!N$6:N$9))</f>
        <v>0.79</v>
      </c>
      <c r="H44">
        <f>IF('Input Scenarios'!H44&lt;&gt;"", 'Input Scenarios'!H44, _xlfn.XLOOKUP($F44, Constants!$M$6:$M$9,Constants!O$6:O$9))</f>
        <v>0.11</v>
      </c>
      <c r="I44">
        <f>IF('Input Scenarios'!I44&lt;&gt;"", 'Input Scenarios'!I44, _xlfn.XLOOKUP($F44, Constants!$M$6:$M$9,Constants!P$6:P$9))</f>
        <v>0.1</v>
      </c>
      <c r="J44">
        <f>'Input Scenarios'!J44</f>
        <v>0</v>
      </c>
      <c r="K44">
        <f>'Input Scenarios'!K44</f>
        <v>0</v>
      </c>
      <c r="L44">
        <f>'Input Scenarios'!L44</f>
        <v>1</v>
      </c>
      <c r="M44">
        <f>'Input Scenarios'!M44</f>
        <v>0</v>
      </c>
      <c r="N44">
        <f>'Input Scenarios'!N44</f>
        <v>1</v>
      </c>
      <c r="O44">
        <f>'Input Scenarios'!O44</f>
        <v>0</v>
      </c>
      <c r="P44">
        <f>'Input Scenarios'!P44</f>
        <v>0</v>
      </c>
      <c r="Q44">
        <f>'Input Scenarios'!Q44</f>
        <v>0</v>
      </c>
      <c r="R44" t="b">
        <f>'Input Scenarios'!R44</f>
        <v>1</v>
      </c>
      <c r="S44">
        <f>IF('Input Scenarios'!S44&lt;&gt;"", 'Input Scenarios'!S44, IF(R44, Constants!$B$38, 0))</f>
        <v>0.2</v>
      </c>
      <c r="T44" t="str">
        <f>IF('Input Scenarios'!T44&lt;&gt;"", 'Input Scenarios'!T44, "")</f>
        <v/>
      </c>
      <c r="U44">
        <f>IF('Input Scenarios'!U44&lt;&gt;"", 'Input Scenarios'!U44, IF(W44&lt;&gt;"", "", Constants!$B$39))</f>
        <v>4</v>
      </c>
      <c r="V44">
        <f>IF('Input Scenarios'!V44&lt;&gt;"", 'Input Scenarios'!V44, IF(W44&lt;&gt;"", "", Constants!$B$40))</f>
        <v>3.3</v>
      </c>
      <c r="W44" t="str">
        <f>IF('Input Scenarios'!W44&lt;&gt;"", 'Input Scenarios'!W44, "")</f>
        <v/>
      </c>
      <c r="X44" t="str">
        <f>'Input Scenarios'!X44</f>
        <v>Jersey crossbred</v>
      </c>
      <c r="Y44" t="str">
        <f>'Input Scenarios'!Y44</f>
        <v>heifersGt1</v>
      </c>
      <c r="Z44">
        <f>'Input Scenarios'!Z44</f>
        <v>200</v>
      </c>
      <c r="AA44">
        <f>IF('Input Scenarios'!AA44&lt;&gt;"", 'Input Scenarios'!AA44, _xlfn.XLOOKUP(Y44,Constants!$J$6:$J$12,Constants!$K$6:$K$12))</f>
        <v>365</v>
      </c>
      <c r="AB44">
        <f>IF('Input Scenarios'!AB44&lt;&gt;"", 'Input Scenarios'!AB44, INDEX(Constants!$B$2:$H$11, MATCH(X44, Constants!$A$2:$A$11, 0), MATCH(Y44,Constants!$B$1:$H$1, 0)))</f>
        <v>315</v>
      </c>
      <c r="AC44">
        <f>IF('Input Scenarios'!AC44&lt;&gt;"", 'Input Scenarios'!AC44, _xlfn.XLOOKUP(Y44, Constants!$B$13:$H$13, Constants!$B$15:$H$15, ""))</f>
        <v>0.6</v>
      </c>
      <c r="AD44">
        <f>IF('Input Scenarios'!AD44&lt;&gt;"", 'Input Scenarios'!AD44, Constants!$B$45)</f>
        <v>0.75</v>
      </c>
      <c r="AE44">
        <f>IF('Input Scenarios'!AE44&lt;&gt;"", 'Input Scenarios'!AE44, Constants!$B$46)</f>
        <v>0.2</v>
      </c>
      <c r="AF44">
        <f t="shared" si="68"/>
        <v>0</v>
      </c>
      <c r="AG44">
        <f t="shared" si="41"/>
        <v>0</v>
      </c>
      <c r="AH44">
        <f t="shared" si="41"/>
        <v>0</v>
      </c>
      <c r="AI44">
        <f t="shared" si="41"/>
        <v>0</v>
      </c>
      <c r="AJ44">
        <f t="shared" si="69"/>
        <v>1</v>
      </c>
      <c r="AK44">
        <f t="shared" si="79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55"/>
        <v>0.5948500000000001</v>
      </c>
      <c r="AQ44">
        <f t="shared" si="56"/>
        <v>0</v>
      </c>
      <c r="AR44">
        <f>IF(Y44="milkingCows", Constants!$P$2, Constants!$P$3)</f>
        <v>1</v>
      </c>
      <c r="AS44">
        <f t="shared" si="57"/>
        <v>6.4827015932249994</v>
      </c>
      <c r="AT44">
        <f t="shared" si="58"/>
        <v>1.166794807523394</v>
      </c>
      <c r="AU44">
        <f>_xlfn.XLOOKUP(Y44, Constants!$B$13:$H$13, Constants!$B$14:$H$14, "")</f>
        <v>590</v>
      </c>
      <c r="AV44">
        <f t="shared" si="59"/>
        <v>0.53389830508474578</v>
      </c>
      <c r="AW44">
        <f>Constants!$B$55</f>
        <v>6.25</v>
      </c>
      <c r="AX44">
        <f t="shared" si="71"/>
        <v>1.0365571727800444E-2</v>
      </c>
      <c r="AY44">
        <f t="shared" si="72"/>
        <v>1.296540318645</v>
      </c>
      <c r="AZ44">
        <f t="shared" si="18"/>
        <v>0.19576491048465905</v>
      </c>
      <c r="BA44" t="str">
        <f>IF(ISNUMBER(FIND("PreWeaned",Y44)),_xlfn.XLOOKUP(Y44,Constants!$J$2:$J$3,Constants!$M$2:$M$3),"")</f>
        <v/>
      </c>
      <c r="BB44">
        <f t="shared" si="73"/>
        <v>14290.838465380109</v>
      </c>
      <c r="BC44">
        <f t="shared" si="74"/>
        <v>0</v>
      </c>
      <c r="BD44">
        <f t="shared" si="75"/>
        <v>0</v>
      </c>
      <c r="BE44">
        <f t="shared" si="76"/>
        <v>0</v>
      </c>
      <c r="BF44">
        <f t="shared" si="77"/>
        <v>0</v>
      </c>
      <c r="BG44">
        <f t="shared" si="78"/>
        <v>14290.838465380109</v>
      </c>
      <c r="BH44">
        <f>Constants!$D$19</f>
        <v>0.35</v>
      </c>
      <c r="BI44">
        <f>Constants!$D$20</f>
        <v>7.0000000000000007E-2</v>
      </c>
      <c r="BJ44">
        <f>Constants!$D$21</f>
        <v>0.2</v>
      </c>
      <c r="BK44">
        <f>Constants!$D$22</f>
        <v>0.3</v>
      </c>
      <c r="BL44">
        <f>Constants!$D$23</f>
        <v>0</v>
      </c>
      <c r="BM44">
        <f>Constants!$B$51</f>
        <v>0.21</v>
      </c>
      <c r="BN44">
        <f>Constants!$B$50</f>
        <v>1.57</v>
      </c>
      <c r="BO44">
        <f>_xlfn.XLOOKUP(C44,Constants!$A$27:$A$31,Constants!$B$27:$B$31)</f>
        <v>2.8999999999999998E-3</v>
      </c>
      <c r="BP44">
        <f t="shared" si="60"/>
        <v>0</v>
      </c>
      <c r="BQ44">
        <f t="shared" si="61"/>
        <v>0</v>
      </c>
      <c r="BR44">
        <f t="shared" si="62"/>
        <v>0</v>
      </c>
      <c r="BS44">
        <f t="shared" si="63"/>
        <v>0</v>
      </c>
      <c r="BT44">
        <f t="shared" si="64"/>
        <v>0</v>
      </c>
      <c r="BU44">
        <f t="shared" si="65"/>
        <v>3001.0760777298228</v>
      </c>
      <c r="BV44">
        <f t="shared" si="66"/>
        <v>0</v>
      </c>
      <c r="BW44">
        <f t="shared" si="67"/>
        <v>13.663899381903882</v>
      </c>
    </row>
    <row r="45" spans="1:76" x14ac:dyDescent="0.2">
      <c r="A45" t="str">
        <f>'Input Scenarios'!A45</f>
        <v>ACT</v>
      </c>
      <c r="B45">
        <f>'Input Scenarios'!B45</f>
        <v>0</v>
      </c>
      <c r="C45" t="str">
        <f>'Input Scenarios'!C45</f>
        <v>Non-irrigated crop (low rainfall)</v>
      </c>
      <c r="D45" t="str">
        <f>'Input Scenarios'!D45</f>
        <v>wet</v>
      </c>
      <c r="E45" t="b">
        <f>'Input Scenarios'!E45</f>
        <v>1</v>
      </c>
      <c r="F45" t="str">
        <f>'Input Scenarios'!F45</f>
        <v>Limited feedpad</v>
      </c>
      <c r="G45">
        <f>IF('Input Scenarios'!G45&lt;&gt;"", 'Input Scenarios'!G45, _xlfn.XLOOKUP($F45, Constants!$M$6:$M$9,Constants!N$6:N$9))</f>
        <v>0.79</v>
      </c>
      <c r="H45">
        <f>IF('Input Scenarios'!H45&lt;&gt;"", 'Input Scenarios'!H45, _xlfn.XLOOKUP($F45, Constants!$M$6:$M$9,Constants!O$6:O$9))</f>
        <v>0.11</v>
      </c>
      <c r="I45">
        <f>IF('Input Scenarios'!I45&lt;&gt;"", 'Input Scenarios'!I45, _xlfn.XLOOKUP($F45, Constants!$M$6:$M$9,Constants!P$6:P$9))</f>
        <v>0.1</v>
      </c>
      <c r="J45">
        <f>'Input Scenarios'!J45</f>
        <v>0</v>
      </c>
      <c r="K45">
        <f>'Input Scenarios'!K45</f>
        <v>0</v>
      </c>
      <c r="L45">
        <f>'Input Scenarios'!L45</f>
        <v>1</v>
      </c>
      <c r="M45">
        <f>'Input Scenarios'!M45</f>
        <v>0</v>
      </c>
      <c r="N45">
        <f>'Input Scenarios'!N45</f>
        <v>1</v>
      </c>
      <c r="O45">
        <f>'Input Scenarios'!O45</f>
        <v>0</v>
      </c>
      <c r="P45">
        <f>'Input Scenarios'!P45</f>
        <v>0</v>
      </c>
      <c r="Q45">
        <f>'Input Scenarios'!Q45</f>
        <v>0</v>
      </c>
      <c r="R45" t="b">
        <f>'Input Scenarios'!R45</f>
        <v>1</v>
      </c>
      <c r="S45">
        <f>IF('Input Scenarios'!S45&lt;&gt;"", 'Input Scenarios'!S45, IF(R45, Constants!$B$38, 0))</f>
        <v>0.2</v>
      </c>
      <c r="T45" t="str">
        <f>IF('Input Scenarios'!T45&lt;&gt;"", 'Input Scenarios'!T45, "")</f>
        <v/>
      </c>
      <c r="U45">
        <f>IF('Input Scenarios'!U45&lt;&gt;"", 'Input Scenarios'!U45, IF(W45&lt;&gt;"", "", Constants!$B$39))</f>
        <v>4</v>
      </c>
      <c r="V45">
        <f>IF('Input Scenarios'!V45&lt;&gt;"", 'Input Scenarios'!V45, IF(W45&lt;&gt;"", "", Constants!$B$40))</f>
        <v>3.3</v>
      </c>
      <c r="W45" t="str">
        <f>IF('Input Scenarios'!W45&lt;&gt;"", 'Input Scenarios'!W45, "")</f>
        <v/>
      </c>
      <c r="X45" t="str">
        <f>'Input Scenarios'!X45</f>
        <v>Jersey crossbred</v>
      </c>
      <c r="Y45" t="str">
        <f>'Input Scenarios'!Y45</f>
        <v>heifersLt1PreWeaned</v>
      </c>
      <c r="Z45">
        <f>'Input Scenarios'!Z45</f>
        <v>200</v>
      </c>
      <c r="AA45">
        <f>IF('Input Scenarios'!AA45&lt;&gt;"", 'Input Scenarios'!AA45, _xlfn.XLOOKUP(Y45,Constants!$J$6:$J$12,Constants!$K$6:$K$12))</f>
        <v>84</v>
      </c>
      <c r="AB45">
        <f>IF('Input Scenarios'!AB45&lt;&gt;"", 'Input Scenarios'!AB45, INDEX(Constants!$B$2:$H$11, MATCH(X45, Constants!$A$2:$A$11, 0), MATCH(Y45,Constants!$B$1:$H$1, 0)))</f>
        <v>130</v>
      </c>
      <c r="AC45" t="str">
        <f>IF('Input Scenarios'!AC45&lt;&gt;"", 'Input Scenarios'!AC45, _xlfn.XLOOKUP(Y45, Constants!$B$13:$H$13, Constants!$B$15:$H$15, ""))</f>
        <v/>
      </c>
      <c r="AD45">
        <f>IF('Input Scenarios'!AD45&lt;&gt;"", 'Input Scenarios'!AD45, Constants!$B$45)</f>
        <v>0.75</v>
      </c>
      <c r="AE45">
        <f>IF('Input Scenarios'!AE45&lt;&gt;"", 'Input Scenarios'!AE45, Constants!$B$46)</f>
        <v>0.2</v>
      </c>
      <c r="AF45">
        <f t="shared" si="68"/>
        <v>0</v>
      </c>
      <c r="AG45">
        <f t="shared" si="68"/>
        <v>0</v>
      </c>
      <c r="AH45">
        <f t="shared" si="68"/>
        <v>0</v>
      </c>
      <c r="AI45">
        <f t="shared" si="68"/>
        <v>0</v>
      </c>
      <c r="AJ45">
        <f t="shared" si="69"/>
        <v>1</v>
      </c>
      <c r="AK45">
        <f t="shared" si="79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55"/>
        <v>0.5948500000000001</v>
      </c>
      <c r="AQ45">
        <f t="shared" si="56"/>
        <v>0</v>
      </c>
      <c r="AR45">
        <f>IF(Y45="milkingCows", Constants!$P$2, Constants!$P$3)</f>
        <v>1</v>
      </c>
      <c r="AS45" t="str">
        <f t="shared" si="57"/>
        <v/>
      </c>
      <c r="AT45" t="str">
        <f t="shared" si="58"/>
        <v/>
      </c>
      <c r="AU45" t="str">
        <f>_xlfn.XLOOKUP(Y45, Constants!$B$13:$H$13, Constants!$B$14:$H$14, "")</f>
        <v/>
      </c>
      <c r="AV45" t="str">
        <f t="shared" si="59"/>
        <v/>
      </c>
      <c r="AW45">
        <f>Constants!$B$55</f>
        <v>6.25</v>
      </c>
      <c r="AX45" t="str">
        <f t="shared" si="71"/>
        <v/>
      </c>
      <c r="AY45" t="str">
        <f t="shared" si="72"/>
        <v/>
      </c>
      <c r="AZ45" t="str">
        <f t="shared" si="18"/>
        <v/>
      </c>
      <c r="BA45">
        <f>IF(ISNUMBER(FIND("PreWeaned",Y45)),_xlfn.XLOOKUP(Y45,Constants!$J$2:$J$3,Constants!$M$2:$M$3),"")</f>
        <v>1.37E-2</v>
      </c>
      <c r="BB45">
        <f t="shared" si="73"/>
        <v>230.16000000000003</v>
      </c>
      <c r="BC45">
        <f t="shared" si="74"/>
        <v>0</v>
      </c>
      <c r="BD45">
        <f t="shared" si="75"/>
        <v>0</v>
      </c>
      <c r="BE45">
        <f t="shared" si="76"/>
        <v>0</v>
      </c>
      <c r="BF45">
        <f t="shared" si="77"/>
        <v>0</v>
      </c>
      <c r="BG45">
        <f t="shared" si="78"/>
        <v>230.16000000000003</v>
      </c>
      <c r="BH45">
        <f>Constants!$D$19</f>
        <v>0.35</v>
      </c>
      <c r="BI45">
        <f>Constants!$D$20</f>
        <v>7.0000000000000007E-2</v>
      </c>
      <c r="BJ45">
        <f>Constants!$D$21</f>
        <v>0.2</v>
      </c>
      <c r="BK45">
        <f>Constants!$D$22</f>
        <v>0.3</v>
      </c>
      <c r="BL45">
        <f>Constants!$D$23</f>
        <v>0</v>
      </c>
      <c r="BM45">
        <f>Constants!$B$51</f>
        <v>0.21</v>
      </c>
      <c r="BN45">
        <f>Constants!$B$50</f>
        <v>1.57</v>
      </c>
      <c r="BO45">
        <f>_xlfn.XLOOKUP(C45,Constants!$A$27:$A$31,Constants!$B$27:$B$31)</f>
        <v>2.8999999999999998E-3</v>
      </c>
      <c r="BP45">
        <f t="shared" si="60"/>
        <v>0</v>
      </c>
      <c r="BQ45">
        <f t="shared" si="61"/>
        <v>0</v>
      </c>
      <c r="BR45">
        <f t="shared" si="62"/>
        <v>0</v>
      </c>
      <c r="BS45">
        <f t="shared" si="63"/>
        <v>0</v>
      </c>
      <c r="BT45">
        <f t="shared" si="64"/>
        <v>0</v>
      </c>
      <c r="BU45">
        <f t="shared" si="65"/>
        <v>48.333600000000004</v>
      </c>
      <c r="BV45">
        <f t="shared" si="66"/>
        <v>0</v>
      </c>
      <c r="BW45">
        <f t="shared" si="67"/>
        <v>0.22006288080000003</v>
      </c>
    </row>
    <row r="46" spans="1:76" x14ac:dyDescent="0.2">
      <c r="A46" t="str">
        <f>'Input Scenarios'!A46</f>
        <v>ACT</v>
      </c>
      <c r="B46">
        <f>'Input Scenarios'!B46</f>
        <v>0</v>
      </c>
      <c r="C46" t="str">
        <f>'Input Scenarios'!C46</f>
        <v>Non-irrigated crop (low rainfall)</v>
      </c>
      <c r="D46" t="str">
        <f>'Input Scenarios'!D46</f>
        <v>wet</v>
      </c>
      <c r="E46" t="b">
        <f>'Input Scenarios'!E46</f>
        <v>1</v>
      </c>
      <c r="F46" t="str">
        <f>'Input Scenarios'!F46</f>
        <v>Limited feedpad</v>
      </c>
      <c r="G46">
        <f>IF('Input Scenarios'!G46&lt;&gt;"", 'Input Scenarios'!G46, _xlfn.XLOOKUP($F46, Constants!$M$6:$M$9,Constants!N$6:N$9))</f>
        <v>0.79</v>
      </c>
      <c r="H46">
        <f>IF('Input Scenarios'!H46&lt;&gt;"", 'Input Scenarios'!H46, _xlfn.XLOOKUP($F46, Constants!$M$6:$M$9,Constants!O$6:O$9))</f>
        <v>0.11</v>
      </c>
      <c r="I46">
        <f>IF('Input Scenarios'!I46&lt;&gt;"", 'Input Scenarios'!I46, _xlfn.XLOOKUP($F46, Constants!$M$6:$M$9,Constants!P$6:P$9))</f>
        <v>0.1</v>
      </c>
      <c r="J46">
        <f>'Input Scenarios'!J46</f>
        <v>0</v>
      </c>
      <c r="K46">
        <f>'Input Scenarios'!K46</f>
        <v>0</v>
      </c>
      <c r="L46">
        <f>'Input Scenarios'!L46</f>
        <v>1</v>
      </c>
      <c r="M46">
        <f>'Input Scenarios'!M46</f>
        <v>0</v>
      </c>
      <c r="N46">
        <f>'Input Scenarios'!N46</f>
        <v>1</v>
      </c>
      <c r="O46">
        <f>'Input Scenarios'!O46</f>
        <v>0</v>
      </c>
      <c r="P46">
        <f>'Input Scenarios'!P46</f>
        <v>0</v>
      </c>
      <c r="Q46">
        <f>'Input Scenarios'!Q46</f>
        <v>0</v>
      </c>
      <c r="R46" t="b">
        <f>'Input Scenarios'!R46</f>
        <v>1</v>
      </c>
      <c r="S46">
        <f>IF('Input Scenarios'!S46&lt;&gt;"", 'Input Scenarios'!S46, IF(R46, Constants!$B$38, 0))</f>
        <v>0.2</v>
      </c>
      <c r="T46" t="str">
        <f>IF('Input Scenarios'!T46&lt;&gt;"", 'Input Scenarios'!T46, "")</f>
        <v/>
      </c>
      <c r="U46">
        <f>IF('Input Scenarios'!U46&lt;&gt;"", 'Input Scenarios'!U46, IF(W46&lt;&gt;"", "", Constants!$B$39))</f>
        <v>4</v>
      </c>
      <c r="V46">
        <f>IF('Input Scenarios'!V46&lt;&gt;"", 'Input Scenarios'!V46, IF(W46&lt;&gt;"", "", Constants!$B$40))</f>
        <v>3.3</v>
      </c>
      <c r="W46" t="str">
        <f>IF('Input Scenarios'!W46&lt;&gt;"", 'Input Scenarios'!W46, "")</f>
        <v/>
      </c>
      <c r="X46" t="str">
        <f>'Input Scenarios'!X46</f>
        <v>Jersey crossbred</v>
      </c>
      <c r="Y46" t="str">
        <f>'Input Scenarios'!Y46</f>
        <v>heifersLt1Weaned</v>
      </c>
      <c r="Z46">
        <f>'Input Scenarios'!Z46</f>
        <v>200</v>
      </c>
      <c r="AA46">
        <f>IF('Input Scenarios'!AA46&lt;&gt;"", 'Input Scenarios'!AA46, _xlfn.XLOOKUP(Y46,Constants!$J$6:$J$12,Constants!$K$6:$K$12))</f>
        <v>281</v>
      </c>
      <c r="AB46">
        <f>IF('Input Scenarios'!AB46&lt;&gt;"", 'Input Scenarios'!AB46, INDEX(Constants!$B$2:$H$11, MATCH(X46, Constants!$A$2:$A$11, 0), MATCH(Y46,Constants!$B$1:$H$1, 0)))</f>
        <v>130</v>
      </c>
      <c r="AC46">
        <f>IF('Input Scenarios'!AC46&lt;&gt;"", 'Input Scenarios'!AC46, _xlfn.XLOOKUP(Y46, Constants!$B$13:$H$13, Constants!$B$15:$H$15, ""))</f>
        <v>0.56999999999999995</v>
      </c>
      <c r="AD46">
        <f>IF('Input Scenarios'!AD46&lt;&gt;"", 'Input Scenarios'!AD46, Constants!$B$45)</f>
        <v>0.75</v>
      </c>
      <c r="AE46">
        <f>IF('Input Scenarios'!AE46&lt;&gt;"", 'Input Scenarios'!AE46, Constants!$B$46)</f>
        <v>0.2</v>
      </c>
      <c r="AF46">
        <f t="shared" si="68"/>
        <v>0</v>
      </c>
      <c r="AG46">
        <f t="shared" si="68"/>
        <v>0</v>
      </c>
      <c r="AH46">
        <f t="shared" si="68"/>
        <v>0</v>
      </c>
      <c r="AI46">
        <f t="shared" si="68"/>
        <v>0</v>
      </c>
      <c r="AJ46">
        <f t="shared" si="69"/>
        <v>1</v>
      </c>
      <c r="AK46">
        <f t="shared" si="79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55"/>
        <v>0.5948500000000001</v>
      </c>
      <c r="AQ46">
        <f t="shared" si="56"/>
        <v>0</v>
      </c>
      <c r="AR46">
        <f>IF(Y46="milkingCows", Constants!$P$2, Constants!$P$3)</f>
        <v>1</v>
      </c>
      <c r="AS46">
        <f t="shared" si="57"/>
        <v>3.6511948560999987</v>
      </c>
      <c r="AT46">
        <f t="shared" si="58"/>
        <v>1.2181770715229607</v>
      </c>
      <c r="AU46">
        <f>_xlfn.XLOOKUP(Y46, Constants!$B$13:$H$13, Constants!$B$14:$H$14, "")</f>
        <v>590</v>
      </c>
      <c r="AV46">
        <f t="shared" si="59"/>
        <v>0.22033898305084745</v>
      </c>
      <c r="AW46">
        <f>Constants!$B$55</f>
        <v>6.25</v>
      </c>
      <c r="AX46">
        <f t="shared" si="71"/>
        <v>1.5196847323916365E-2</v>
      </c>
      <c r="AY46">
        <f t="shared" si="72"/>
        <v>0.73023897121999981</v>
      </c>
      <c r="AZ46">
        <f t="shared" si="18"/>
        <v>0.10096379308784414</v>
      </c>
      <c r="BA46" t="str">
        <f>IF(ISNUMBER(FIND("PreWeaned",Y46)),_xlfn.XLOOKUP(Y46,Constants!$J$2:$J$3,Constants!$M$2:$M$3),"")</f>
        <v/>
      </c>
      <c r="BB46">
        <f t="shared" si="73"/>
        <v>5674.1651715368407</v>
      </c>
      <c r="BC46">
        <f t="shared" si="74"/>
        <v>0</v>
      </c>
      <c r="BD46">
        <f t="shared" si="75"/>
        <v>0</v>
      </c>
      <c r="BE46">
        <f t="shared" si="76"/>
        <v>0</v>
      </c>
      <c r="BF46">
        <f t="shared" si="77"/>
        <v>0</v>
      </c>
      <c r="BG46">
        <f t="shared" si="78"/>
        <v>5674.1651715368407</v>
      </c>
      <c r="BH46">
        <f>Constants!$D$19</f>
        <v>0.35</v>
      </c>
      <c r="BI46">
        <f>Constants!$D$20</f>
        <v>7.0000000000000007E-2</v>
      </c>
      <c r="BJ46">
        <f>Constants!$D$21</f>
        <v>0.2</v>
      </c>
      <c r="BK46">
        <f>Constants!$D$22</f>
        <v>0.3</v>
      </c>
      <c r="BL46">
        <f>Constants!$D$23</f>
        <v>0</v>
      </c>
      <c r="BM46">
        <f>Constants!$B$51</f>
        <v>0.21</v>
      </c>
      <c r="BN46">
        <f>Constants!$B$50</f>
        <v>1.57</v>
      </c>
      <c r="BO46">
        <f>_xlfn.XLOOKUP(C46,Constants!$A$27:$A$31,Constants!$B$27:$B$31)</f>
        <v>2.8999999999999998E-3</v>
      </c>
      <c r="BP46">
        <f t="shared" si="60"/>
        <v>0</v>
      </c>
      <c r="BQ46">
        <f t="shared" si="61"/>
        <v>0</v>
      </c>
      <c r="BR46">
        <f t="shared" si="62"/>
        <v>0</v>
      </c>
      <c r="BS46">
        <f t="shared" si="63"/>
        <v>0</v>
      </c>
      <c r="BT46">
        <f t="shared" si="64"/>
        <v>0</v>
      </c>
      <c r="BU46">
        <f t="shared" si="65"/>
        <v>1191.5746860227366</v>
      </c>
      <c r="BV46">
        <f t="shared" si="66"/>
        <v>0</v>
      </c>
      <c r="BW46">
        <f t="shared" si="67"/>
        <v>5.425239545461519</v>
      </c>
    </row>
    <row r="47" spans="1:76" x14ac:dyDescent="0.2">
      <c r="A47" t="str">
        <f>'Input Scenarios'!A47</f>
        <v>ACT</v>
      </c>
      <c r="B47">
        <f>'Input Scenarios'!B47</f>
        <v>0</v>
      </c>
      <c r="C47" t="str">
        <f>'Input Scenarios'!C47</f>
        <v>Non-irrigated crop (low rainfall)</v>
      </c>
      <c r="D47" t="str">
        <f>'Input Scenarios'!D47</f>
        <v>wet</v>
      </c>
      <c r="E47" t="b">
        <f>'Input Scenarios'!E47</f>
        <v>1</v>
      </c>
      <c r="F47" t="str">
        <f>'Input Scenarios'!F47</f>
        <v>Limited feedpad</v>
      </c>
      <c r="G47">
        <f>IF('Input Scenarios'!G47&lt;&gt;"", 'Input Scenarios'!G47, _xlfn.XLOOKUP($F47, Constants!$M$6:$M$9,Constants!N$6:N$9))</f>
        <v>0.79</v>
      </c>
      <c r="H47">
        <f>IF('Input Scenarios'!H47&lt;&gt;"", 'Input Scenarios'!H47, _xlfn.XLOOKUP($F47, Constants!$M$6:$M$9,Constants!O$6:O$9))</f>
        <v>0.11</v>
      </c>
      <c r="I47">
        <f>IF('Input Scenarios'!I47&lt;&gt;"", 'Input Scenarios'!I47, _xlfn.XLOOKUP($F47, Constants!$M$6:$M$9,Constants!P$6:P$9))</f>
        <v>0.1</v>
      </c>
      <c r="J47">
        <f>'Input Scenarios'!J47</f>
        <v>0</v>
      </c>
      <c r="K47">
        <f>'Input Scenarios'!K47</f>
        <v>0</v>
      </c>
      <c r="L47">
        <f>'Input Scenarios'!L47</f>
        <v>1</v>
      </c>
      <c r="M47">
        <f>'Input Scenarios'!M47</f>
        <v>0</v>
      </c>
      <c r="N47">
        <f>'Input Scenarios'!N47</f>
        <v>1</v>
      </c>
      <c r="O47">
        <f>'Input Scenarios'!O47</f>
        <v>0</v>
      </c>
      <c r="P47">
        <f>'Input Scenarios'!P47</f>
        <v>0</v>
      </c>
      <c r="Q47">
        <f>'Input Scenarios'!Q47</f>
        <v>0</v>
      </c>
      <c r="R47" t="b">
        <f>'Input Scenarios'!R47</f>
        <v>1</v>
      </c>
      <c r="S47">
        <f>IF('Input Scenarios'!S47&lt;&gt;"", 'Input Scenarios'!S47, IF(R47, Constants!$B$38, 0))</f>
        <v>0.2</v>
      </c>
      <c r="T47" t="str">
        <f>IF('Input Scenarios'!T47&lt;&gt;"", 'Input Scenarios'!T47, "")</f>
        <v/>
      </c>
      <c r="U47">
        <f>IF('Input Scenarios'!U47&lt;&gt;"", 'Input Scenarios'!U47, IF(W47&lt;&gt;"", "", Constants!$B$39))</f>
        <v>4</v>
      </c>
      <c r="V47">
        <f>IF('Input Scenarios'!V47&lt;&gt;"", 'Input Scenarios'!V47, IF(W47&lt;&gt;"", "", Constants!$B$40))</f>
        <v>3.3</v>
      </c>
      <c r="W47" t="str">
        <f>IF('Input Scenarios'!W47&lt;&gt;"", 'Input Scenarios'!W47, "")</f>
        <v/>
      </c>
      <c r="X47" t="str">
        <f>'Input Scenarios'!X47</f>
        <v>Jersey crossbred</v>
      </c>
      <c r="Y47" t="str">
        <f>'Input Scenarios'!Y47</f>
        <v>bullsGt1</v>
      </c>
      <c r="Z47">
        <f>'Input Scenarios'!Z47</f>
        <v>200</v>
      </c>
      <c r="AA47">
        <f>IF('Input Scenarios'!AA47&lt;&gt;"", 'Input Scenarios'!AA47, _xlfn.XLOOKUP(Y47,Constants!$J$6:$J$12,Constants!$K$6:$K$12))</f>
        <v>365</v>
      </c>
      <c r="AB47">
        <f>IF('Input Scenarios'!AB47&lt;&gt;"", 'Input Scenarios'!AB47, INDEX(Constants!$B$2:$H$11, MATCH(X47, Constants!$A$2:$A$11, 0), MATCH(Y47,Constants!$B$1:$H$1, 0)))</f>
        <v>600</v>
      </c>
      <c r="AC47">
        <f>IF('Input Scenarios'!AC47&lt;&gt;"", 'Input Scenarios'!AC47, _xlfn.XLOOKUP(Y47, Constants!$B$13:$H$13, Constants!$B$15:$H$15, ""))</f>
        <v>0.1</v>
      </c>
      <c r="AD47">
        <f>IF('Input Scenarios'!AD47&lt;&gt;"", 'Input Scenarios'!AD47, Constants!$B$45)</f>
        <v>0.75</v>
      </c>
      <c r="AE47">
        <f>IF('Input Scenarios'!AE47&lt;&gt;"", 'Input Scenarios'!AE47, Constants!$B$46)</f>
        <v>0.2</v>
      </c>
      <c r="AF47">
        <f t="shared" si="68"/>
        <v>0</v>
      </c>
      <c r="AG47">
        <f t="shared" si="68"/>
        <v>0</v>
      </c>
      <c r="AH47">
        <f t="shared" si="68"/>
        <v>0</v>
      </c>
      <c r="AI47">
        <f t="shared" si="68"/>
        <v>0</v>
      </c>
      <c r="AJ47">
        <f t="shared" si="69"/>
        <v>1</v>
      </c>
      <c r="AK47">
        <f t="shared" si="79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55"/>
        <v>0.5948500000000001</v>
      </c>
      <c r="AQ47">
        <f t="shared" si="56"/>
        <v>0</v>
      </c>
      <c r="AR47">
        <f>IF(Y47="milkingCows", Constants!$P$2, Constants!$P$3)</f>
        <v>1</v>
      </c>
      <c r="AS47">
        <f t="shared" si="57"/>
        <v>9.0270202499999979</v>
      </c>
      <c r="AT47">
        <f t="shared" si="58"/>
        <v>1.0213029780639273</v>
      </c>
      <c r="AU47">
        <f>_xlfn.XLOOKUP(Y47, Constants!$B$13:$H$13, Constants!$B$14:$H$14, "")</f>
        <v>770</v>
      </c>
      <c r="AV47">
        <f t="shared" si="59"/>
        <v>0.77922077922077926</v>
      </c>
      <c r="AW47">
        <f>Constants!$B$55</f>
        <v>6.25</v>
      </c>
      <c r="AX47">
        <f t="shared" si="71"/>
        <v>1.2626203146474679E-3</v>
      </c>
      <c r="AY47">
        <f t="shared" si="72"/>
        <v>1.8054040499999997</v>
      </c>
      <c r="AZ47">
        <f t="shared" si="18"/>
        <v>0.28546836331241399</v>
      </c>
      <c r="BA47" t="str">
        <f>IF(ISNUMBER(FIND("PreWeaned",Y47)),_xlfn.XLOOKUP(Y47,Constants!$J$2:$J$3,Constants!$M$2:$M$3),"")</f>
        <v/>
      </c>
      <c r="BB47">
        <f t="shared" si="73"/>
        <v>20839.19052180622</v>
      </c>
      <c r="BC47">
        <f t="shared" si="74"/>
        <v>0</v>
      </c>
      <c r="BD47">
        <f t="shared" si="75"/>
        <v>0</v>
      </c>
      <c r="BE47">
        <f t="shared" si="76"/>
        <v>0</v>
      </c>
      <c r="BF47">
        <f t="shared" si="77"/>
        <v>0</v>
      </c>
      <c r="BG47">
        <f t="shared" si="78"/>
        <v>20839.19052180622</v>
      </c>
      <c r="BH47">
        <f>Constants!$D$19</f>
        <v>0.35</v>
      </c>
      <c r="BI47">
        <f>Constants!$D$20</f>
        <v>7.0000000000000007E-2</v>
      </c>
      <c r="BJ47">
        <f>Constants!$D$21</f>
        <v>0.2</v>
      </c>
      <c r="BK47">
        <f>Constants!$D$22</f>
        <v>0.3</v>
      </c>
      <c r="BL47">
        <f>Constants!$D$23</f>
        <v>0</v>
      </c>
      <c r="BM47">
        <f>Constants!$B$51</f>
        <v>0.21</v>
      </c>
      <c r="BN47">
        <f>Constants!$B$50</f>
        <v>1.57</v>
      </c>
      <c r="BO47">
        <f>_xlfn.XLOOKUP(C47,Constants!$A$27:$A$31,Constants!$B$27:$B$31)</f>
        <v>2.8999999999999998E-3</v>
      </c>
      <c r="BP47">
        <f t="shared" si="60"/>
        <v>0</v>
      </c>
      <c r="BQ47">
        <f t="shared" si="61"/>
        <v>0</v>
      </c>
      <c r="BR47">
        <f t="shared" si="62"/>
        <v>0</v>
      </c>
      <c r="BS47">
        <f t="shared" si="63"/>
        <v>0</v>
      </c>
      <c r="BT47">
        <f t="shared" si="64"/>
        <v>0</v>
      </c>
      <c r="BU47">
        <f t="shared" si="65"/>
        <v>4376.2300095793062</v>
      </c>
      <c r="BV47">
        <f t="shared" si="66"/>
        <v>0</v>
      </c>
      <c r="BW47">
        <f t="shared" si="67"/>
        <v>19.924975233614578</v>
      </c>
    </row>
    <row r="48" spans="1:76" x14ac:dyDescent="0.2">
      <c r="A48" t="str">
        <f>'Input Scenarios'!A48</f>
        <v>ACT</v>
      </c>
      <c r="B48">
        <f>'Input Scenarios'!B48</f>
        <v>0</v>
      </c>
      <c r="C48" t="str">
        <f>'Input Scenarios'!C48</f>
        <v>Non-irrigated crop (low rainfall)</v>
      </c>
      <c r="D48" t="str">
        <f>'Input Scenarios'!D48</f>
        <v>wet</v>
      </c>
      <c r="E48" t="b">
        <f>'Input Scenarios'!E48</f>
        <v>1</v>
      </c>
      <c r="F48" t="str">
        <f>'Input Scenarios'!F48</f>
        <v>Limited feedpad</v>
      </c>
      <c r="G48">
        <f>IF('Input Scenarios'!G48&lt;&gt;"", 'Input Scenarios'!G48, _xlfn.XLOOKUP($F48, Constants!$M$6:$M$9,Constants!N$6:N$9))</f>
        <v>0.79</v>
      </c>
      <c r="H48">
        <f>IF('Input Scenarios'!H48&lt;&gt;"", 'Input Scenarios'!H48, _xlfn.XLOOKUP($F48, Constants!$M$6:$M$9,Constants!O$6:O$9))</f>
        <v>0.11</v>
      </c>
      <c r="I48">
        <f>IF('Input Scenarios'!I48&lt;&gt;"", 'Input Scenarios'!I48, _xlfn.XLOOKUP($F48, Constants!$M$6:$M$9,Constants!P$6:P$9))</f>
        <v>0.1</v>
      </c>
      <c r="J48">
        <f>'Input Scenarios'!J48</f>
        <v>0</v>
      </c>
      <c r="K48">
        <f>'Input Scenarios'!K48</f>
        <v>0</v>
      </c>
      <c r="L48">
        <f>'Input Scenarios'!L48</f>
        <v>1</v>
      </c>
      <c r="M48">
        <f>'Input Scenarios'!M48</f>
        <v>0</v>
      </c>
      <c r="N48">
        <f>'Input Scenarios'!N48</f>
        <v>1</v>
      </c>
      <c r="O48">
        <f>'Input Scenarios'!O48</f>
        <v>0</v>
      </c>
      <c r="P48">
        <f>'Input Scenarios'!P48</f>
        <v>0</v>
      </c>
      <c r="Q48">
        <f>'Input Scenarios'!Q48</f>
        <v>0</v>
      </c>
      <c r="R48" t="b">
        <f>'Input Scenarios'!R48</f>
        <v>1</v>
      </c>
      <c r="S48">
        <f>IF('Input Scenarios'!S48&lt;&gt;"", 'Input Scenarios'!S48, IF(R48, Constants!$B$38, 0))</f>
        <v>0.2</v>
      </c>
      <c r="T48" t="str">
        <f>IF('Input Scenarios'!T48&lt;&gt;"", 'Input Scenarios'!T48, "")</f>
        <v/>
      </c>
      <c r="U48">
        <f>IF('Input Scenarios'!U48&lt;&gt;"", 'Input Scenarios'!U48, IF(W48&lt;&gt;"", "", Constants!$B$39))</f>
        <v>4</v>
      </c>
      <c r="V48">
        <f>IF('Input Scenarios'!V48&lt;&gt;"", 'Input Scenarios'!V48, IF(W48&lt;&gt;"", "", Constants!$B$40))</f>
        <v>3.3</v>
      </c>
      <c r="W48" t="str">
        <f>IF('Input Scenarios'!W48&lt;&gt;"", 'Input Scenarios'!W48, "")</f>
        <v/>
      </c>
      <c r="X48" t="str">
        <f>'Input Scenarios'!X48</f>
        <v>Jersey crossbred</v>
      </c>
      <c r="Y48" t="str">
        <f>'Input Scenarios'!Y48</f>
        <v>bullsLt1PreWeaned</v>
      </c>
      <c r="Z48">
        <f>'Input Scenarios'!Z48</f>
        <v>200</v>
      </c>
      <c r="AA48">
        <f>IF('Input Scenarios'!AA48&lt;&gt;"", 'Input Scenarios'!AA48, _xlfn.XLOOKUP(Y48,Constants!$J$6:$J$12,Constants!$K$6:$K$12))</f>
        <v>84</v>
      </c>
      <c r="AB48">
        <f>IF('Input Scenarios'!AB48&lt;&gt;"", 'Input Scenarios'!AB48, INDEX(Constants!$B$2:$H$11, MATCH(X48, Constants!$A$2:$A$11, 0), MATCH(Y48,Constants!$B$1:$H$1, 0)))</f>
        <v>225</v>
      </c>
      <c r="AC48" t="str">
        <f>IF('Input Scenarios'!AC48&lt;&gt;"", 'Input Scenarios'!AC48, _xlfn.XLOOKUP(Y48, Constants!$B$13:$H$13, Constants!$B$15:$H$15, ""))</f>
        <v/>
      </c>
      <c r="AD48">
        <f>IF('Input Scenarios'!AD48&lt;&gt;"", 'Input Scenarios'!AD48, Constants!$B$45)</f>
        <v>0.75</v>
      </c>
      <c r="AE48">
        <f>IF('Input Scenarios'!AE48&lt;&gt;"", 'Input Scenarios'!AE48, Constants!$B$46)</f>
        <v>0.2</v>
      </c>
      <c r="AF48">
        <f t="shared" si="68"/>
        <v>0</v>
      </c>
      <c r="AG48">
        <f t="shared" si="68"/>
        <v>0</v>
      </c>
      <c r="AH48">
        <f t="shared" si="68"/>
        <v>0</v>
      </c>
      <c r="AI48">
        <f t="shared" si="68"/>
        <v>0</v>
      </c>
      <c r="AJ48">
        <f t="shared" si="69"/>
        <v>1</v>
      </c>
      <c r="AK48">
        <f t="shared" si="79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55"/>
        <v>0.5948500000000001</v>
      </c>
      <c r="AQ48">
        <f t="shared" si="56"/>
        <v>0</v>
      </c>
      <c r="AR48">
        <f>IF(Y48="milkingCows", Constants!$P$2, Constants!$P$3)</f>
        <v>1</v>
      </c>
      <c r="AS48" t="str">
        <f t="shared" si="57"/>
        <v/>
      </c>
      <c r="AT48" t="str">
        <f t="shared" si="58"/>
        <v/>
      </c>
      <c r="AU48" t="str">
        <f>_xlfn.XLOOKUP(Y48, Constants!$B$13:$H$13, Constants!$B$14:$H$14, "")</f>
        <v/>
      </c>
      <c r="AV48" t="str">
        <f t="shared" si="59"/>
        <v/>
      </c>
      <c r="AW48">
        <f>Constants!$B$55</f>
        <v>6.25</v>
      </c>
      <c r="AX48" t="str">
        <f t="shared" si="71"/>
        <v/>
      </c>
      <c r="AY48" t="str">
        <f t="shared" si="72"/>
        <v/>
      </c>
      <c r="AZ48" t="str">
        <f t="shared" si="18"/>
        <v/>
      </c>
      <c r="BA48">
        <f>IF(ISNUMBER(FIND("PreWeaned",Y48)),_xlfn.XLOOKUP(Y48,Constants!$J$2:$J$3,Constants!$M$2:$M$3),"")</f>
        <v>9.1999999999999998E-3</v>
      </c>
      <c r="BB48">
        <f t="shared" si="73"/>
        <v>154.56</v>
      </c>
      <c r="BC48">
        <f t="shared" si="74"/>
        <v>0</v>
      </c>
      <c r="BD48">
        <f t="shared" si="75"/>
        <v>0</v>
      </c>
      <c r="BE48">
        <f t="shared" si="76"/>
        <v>0</v>
      </c>
      <c r="BF48">
        <f t="shared" si="77"/>
        <v>0</v>
      </c>
      <c r="BG48">
        <f t="shared" si="78"/>
        <v>154.56</v>
      </c>
      <c r="BH48">
        <f>Constants!$D$19</f>
        <v>0.35</v>
      </c>
      <c r="BI48">
        <f>Constants!$D$20</f>
        <v>7.0000000000000007E-2</v>
      </c>
      <c r="BJ48">
        <f>Constants!$D$21</f>
        <v>0.2</v>
      </c>
      <c r="BK48">
        <f>Constants!$D$22</f>
        <v>0.3</v>
      </c>
      <c r="BL48">
        <f>Constants!$D$23</f>
        <v>0</v>
      </c>
      <c r="BM48">
        <f>Constants!$B$51</f>
        <v>0.21</v>
      </c>
      <c r="BN48">
        <f>Constants!$B$50</f>
        <v>1.57</v>
      </c>
      <c r="BO48">
        <f>_xlfn.XLOOKUP(C48,Constants!$A$27:$A$31,Constants!$B$27:$B$31)</f>
        <v>2.8999999999999998E-3</v>
      </c>
      <c r="BP48">
        <f t="shared" si="60"/>
        <v>0</v>
      </c>
      <c r="BQ48">
        <f t="shared" si="61"/>
        <v>0</v>
      </c>
      <c r="BR48">
        <f t="shared" si="62"/>
        <v>0</v>
      </c>
      <c r="BS48">
        <f t="shared" si="63"/>
        <v>0</v>
      </c>
      <c r="BT48">
        <f t="shared" si="64"/>
        <v>0</v>
      </c>
      <c r="BU48">
        <f t="shared" si="65"/>
        <v>32.457599999999999</v>
      </c>
      <c r="BV48">
        <f t="shared" si="66"/>
        <v>0</v>
      </c>
      <c r="BW48">
        <f t="shared" si="67"/>
        <v>0.14777945279999999</v>
      </c>
    </row>
    <row r="49" spans="1:76" s="16" customFormat="1" x14ac:dyDescent="0.2">
      <c r="A49" s="16" t="str">
        <f>'Input Scenarios'!A49</f>
        <v>ACT</v>
      </c>
      <c r="B49" s="16">
        <f>'Input Scenarios'!B49</f>
        <v>0</v>
      </c>
      <c r="C49" s="16" t="str">
        <f>'Input Scenarios'!C49</f>
        <v>Non-irrigated crop (low rainfall)</v>
      </c>
      <c r="D49" s="16" t="str">
        <f>'Input Scenarios'!D49</f>
        <v>wet</v>
      </c>
      <c r="E49" s="16" t="b">
        <f>'Input Scenarios'!E49</f>
        <v>1</v>
      </c>
      <c r="F49" s="16" t="str">
        <f>'Input Scenarios'!F49</f>
        <v>Limited feedpad</v>
      </c>
      <c r="G49" s="16">
        <f>IF('Input Scenarios'!G49&lt;&gt;"", 'Input Scenarios'!G49, _xlfn.XLOOKUP($F49, Constants!$M$6:$M$9,Constants!N$6:N$9))</f>
        <v>0.79</v>
      </c>
      <c r="H49" s="16">
        <f>IF('Input Scenarios'!H49&lt;&gt;"", 'Input Scenarios'!H49, _xlfn.XLOOKUP($F49, Constants!$M$6:$M$9,Constants!O$6:O$9))</f>
        <v>0.11</v>
      </c>
      <c r="I49" s="16">
        <f>IF('Input Scenarios'!I49&lt;&gt;"", 'Input Scenarios'!I49, _xlfn.XLOOKUP($F49, Constants!$M$6:$M$9,Constants!P$6:P$9))</f>
        <v>0.1</v>
      </c>
      <c r="J49" s="16">
        <f>'Input Scenarios'!J49</f>
        <v>0</v>
      </c>
      <c r="K49" s="16">
        <f>'Input Scenarios'!K49</f>
        <v>0</v>
      </c>
      <c r="L49" s="16">
        <f>'Input Scenarios'!L49</f>
        <v>1</v>
      </c>
      <c r="M49" s="16">
        <f>'Input Scenarios'!M49</f>
        <v>0</v>
      </c>
      <c r="N49" s="16">
        <f>'Input Scenarios'!N49</f>
        <v>1</v>
      </c>
      <c r="O49" s="16">
        <f>'Input Scenarios'!O49</f>
        <v>0</v>
      </c>
      <c r="P49" s="16">
        <f>'Input Scenarios'!P49</f>
        <v>0</v>
      </c>
      <c r="Q49" s="16">
        <f>'Input Scenarios'!Q49</f>
        <v>0</v>
      </c>
      <c r="R49" s="16" t="b">
        <f>'Input Scenarios'!R49</f>
        <v>1</v>
      </c>
      <c r="S49" s="16">
        <f>IF('Input Scenarios'!S49&lt;&gt;"", 'Input Scenarios'!S49, IF(R49, Constants!$B$38, 0))</f>
        <v>0.2</v>
      </c>
      <c r="T49" s="16" t="str">
        <f>IF('Input Scenarios'!T49&lt;&gt;"", 'Input Scenarios'!T49, "")</f>
        <v/>
      </c>
      <c r="U49" s="16">
        <f>IF('Input Scenarios'!U49&lt;&gt;"", 'Input Scenarios'!U49, IF(W49&lt;&gt;"", "", Constants!$B$39))</f>
        <v>4</v>
      </c>
      <c r="V49" s="16">
        <f>IF('Input Scenarios'!V49&lt;&gt;"", 'Input Scenarios'!V49, IF(W49&lt;&gt;"", "", Constants!$B$40))</f>
        <v>3.3</v>
      </c>
      <c r="W49" s="16" t="str">
        <f>IF('Input Scenarios'!W49&lt;&gt;"", 'Input Scenarios'!W49, "")</f>
        <v/>
      </c>
      <c r="X49" s="16" t="str">
        <f>'Input Scenarios'!X49</f>
        <v>Jersey crossbred</v>
      </c>
      <c r="Y49" s="16" t="str">
        <f>'Input Scenarios'!Y49</f>
        <v>bullsLt1Weaned</v>
      </c>
      <c r="Z49" s="16">
        <f>'Input Scenarios'!Z49</f>
        <v>200</v>
      </c>
      <c r="AA49" s="16">
        <f>IF('Input Scenarios'!AA49&lt;&gt;"", 'Input Scenarios'!AA49, _xlfn.XLOOKUP(Y49,Constants!$J$6:$J$12,Constants!$K$6:$K$12))</f>
        <v>281</v>
      </c>
      <c r="AB49" s="16">
        <f>IF('Input Scenarios'!AB49&lt;&gt;"", 'Input Scenarios'!AB49, INDEX(Constants!$B$2:$H$11, MATCH(X49, Constants!$A$2:$A$11, 0), MATCH(Y49,Constants!$B$1:$H$1, 0)))</f>
        <v>225</v>
      </c>
      <c r="AC49" s="16">
        <f>IF('Input Scenarios'!AC49&lt;&gt;"", 'Input Scenarios'!AC49, _xlfn.XLOOKUP(Y49, Constants!$B$13:$H$13, Constants!$B$15:$H$15, ""))</f>
        <v>0.8</v>
      </c>
      <c r="AD49" s="16">
        <f>IF('Input Scenarios'!AD49&lt;&gt;"", 'Input Scenarios'!AD49, Constants!$B$45)</f>
        <v>0.75</v>
      </c>
      <c r="AE49" s="16">
        <f>IF('Input Scenarios'!AE49&lt;&gt;"", 'Input Scenarios'!AE49, Constants!$B$46)</f>
        <v>0.2</v>
      </c>
      <c r="AF49" s="16">
        <f t="shared" si="68"/>
        <v>0</v>
      </c>
      <c r="AG49" s="16">
        <f t="shared" si="68"/>
        <v>0</v>
      </c>
      <c r="AH49" s="16">
        <f t="shared" si="68"/>
        <v>0</v>
      </c>
      <c r="AI49" s="16">
        <f t="shared" si="68"/>
        <v>0</v>
      </c>
      <c r="AJ49" s="16">
        <f t="shared" si="69"/>
        <v>1</v>
      </c>
      <c r="AK49" s="16">
        <f t="shared" si="79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55"/>
        <v>0.5948500000000001</v>
      </c>
      <c r="AQ49" s="16">
        <f t="shared" si="56"/>
        <v>0</v>
      </c>
      <c r="AR49" s="16">
        <f>IF(Y49="milkingCows", Constants!$P$2, Constants!$P$3)</f>
        <v>1</v>
      </c>
      <c r="AS49" s="16">
        <f t="shared" si="57"/>
        <v>5.4143472656250013</v>
      </c>
      <c r="AT49" s="16">
        <f t="shared" si="58"/>
        <v>1.2576570545672616</v>
      </c>
      <c r="AU49" s="16">
        <f>_xlfn.XLOOKUP(Y49, Constants!$B$13:$H$13, Constants!$B$14:$H$14, "")</f>
        <v>770</v>
      </c>
      <c r="AV49" s="16">
        <f t="shared" si="59"/>
        <v>0.29220779220779219</v>
      </c>
      <c r="AW49" s="16">
        <f>Constants!$B$55</f>
        <v>6.25</v>
      </c>
      <c r="AX49" s="16">
        <f t="shared" si="71"/>
        <v>1.9757354894894084E-2</v>
      </c>
      <c r="AY49" s="16">
        <f t="shared" si="72"/>
        <v>1.0828694531250003</v>
      </c>
      <c r="AZ49" s="16">
        <f t="shared" si="18"/>
        <v>0.15247929000170721</v>
      </c>
      <c r="BA49" s="16" t="str">
        <f>IF(ISNUMBER(FIND("PreWeaned",Y49)),_xlfn.XLOOKUP(Y49,Constants!$J$2:$J$3,Constants!$M$2:$M$3),"")</f>
        <v/>
      </c>
      <c r="BB49" s="16">
        <f t="shared" si="73"/>
        <v>8569.336098095946</v>
      </c>
      <c r="BC49" s="16">
        <f t="shared" si="74"/>
        <v>0</v>
      </c>
      <c r="BD49" s="16">
        <f t="shared" si="75"/>
        <v>0</v>
      </c>
      <c r="BE49" s="16">
        <f t="shared" si="76"/>
        <v>0</v>
      </c>
      <c r="BF49" s="16">
        <f t="shared" si="77"/>
        <v>0</v>
      </c>
      <c r="BG49" s="16">
        <f t="shared" si="78"/>
        <v>8569.336098095946</v>
      </c>
      <c r="BH49" s="16">
        <f>Constants!$D$19</f>
        <v>0.35</v>
      </c>
      <c r="BI49" s="16">
        <f>Constants!$D$20</f>
        <v>7.0000000000000007E-2</v>
      </c>
      <c r="BJ49" s="16">
        <f>Constants!$D$21</f>
        <v>0.2</v>
      </c>
      <c r="BK49" s="16">
        <f>Constants!$D$22</f>
        <v>0.3</v>
      </c>
      <c r="BL49" s="16">
        <f>Constants!$D$23</f>
        <v>0</v>
      </c>
      <c r="BM49" s="16">
        <f>Constants!$B$51</f>
        <v>0.21</v>
      </c>
      <c r="BN49" s="16">
        <f>Constants!$B$50</f>
        <v>1.57</v>
      </c>
      <c r="BO49" s="16">
        <f>_xlfn.XLOOKUP(C49,Constants!$A$27:$A$31,Constants!$B$27:$B$31)</f>
        <v>2.8999999999999998E-3</v>
      </c>
      <c r="BP49" s="16">
        <f t="shared" si="60"/>
        <v>0</v>
      </c>
      <c r="BQ49" s="16">
        <f t="shared" si="61"/>
        <v>0</v>
      </c>
      <c r="BR49" s="16">
        <f t="shared" si="62"/>
        <v>0</v>
      </c>
      <c r="BS49" s="16">
        <f t="shared" si="63"/>
        <v>0</v>
      </c>
      <c r="BT49" s="16">
        <f t="shared" si="64"/>
        <v>0</v>
      </c>
      <c r="BU49" s="16">
        <f t="shared" si="65"/>
        <v>1799.5605806001486</v>
      </c>
      <c r="BV49" s="16">
        <f t="shared" si="66"/>
        <v>0</v>
      </c>
      <c r="BW49" s="16">
        <f t="shared" si="67"/>
        <v>8.1933993234724767</v>
      </c>
    </row>
    <row r="50" spans="1:76" x14ac:dyDescent="0.2">
      <c r="A50" t="str">
        <f>'Input Scenarios'!A50</f>
        <v>WA</v>
      </c>
      <c r="B50">
        <f>'Input Scenarios'!B50</f>
        <v>0</v>
      </c>
      <c r="C50" t="str">
        <f>'Input Scenarios'!C50</f>
        <v>Irrigated pasture</v>
      </c>
      <c r="D50" t="str">
        <f>'Input Scenarios'!D50</f>
        <v>dry</v>
      </c>
      <c r="E50" t="b">
        <f>'Input Scenarios'!E50</f>
        <v>0</v>
      </c>
      <c r="F50" t="str">
        <f>'Input Scenarios'!F50</f>
        <v>Grazed only</v>
      </c>
      <c r="G50">
        <f>IF('Input Scenarios'!G50&lt;&gt;"", 'Input Scenarios'!G50, _xlfn.XLOOKUP($F50, Constants!$M$6:$M$9,Constants!N$6:N$9))</f>
        <v>0.89</v>
      </c>
      <c r="H50">
        <f>IF('Input Scenarios'!H50&lt;&gt;"", 'Input Scenarios'!H50, _xlfn.XLOOKUP($F50, Constants!$M$6:$M$9,Constants!O$6:O$9))</f>
        <v>0.11</v>
      </c>
      <c r="I50">
        <f>IF('Input Scenarios'!I50&lt;&gt;"", 'Input Scenarios'!I50, _xlfn.XLOOKUP($F50, Constants!$M$6:$M$9,Constants!P$6:P$9))</f>
        <v>0</v>
      </c>
      <c r="J50">
        <f>'Input Scenarios'!J50</f>
        <v>0</v>
      </c>
      <c r="K50">
        <f>'Input Scenarios'!K50</f>
        <v>0.5</v>
      </c>
      <c r="L50">
        <f>'Input Scenarios'!L50</f>
        <v>0.5</v>
      </c>
      <c r="M50">
        <f>'Input Scenarios'!M50</f>
        <v>0</v>
      </c>
      <c r="N50">
        <f>'Input Scenarios'!N50</f>
        <v>0.5</v>
      </c>
      <c r="O50">
        <f>'Input Scenarios'!O50</f>
        <v>0</v>
      </c>
      <c r="P50">
        <f>'Input Scenarios'!P50</f>
        <v>0</v>
      </c>
      <c r="Q50">
        <f>'Input Scenarios'!Q50</f>
        <v>0.5</v>
      </c>
      <c r="R50" t="b">
        <f>'Input Scenarios'!R50</f>
        <v>0</v>
      </c>
      <c r="S50">
        <f>IF('Input Scenarios'!S50&lt;&gt;"", 'Input Scenarios'!S50, IF(R50, Constants!$B$38, 0))</f>
        <v>0</v>
      </c>
      <c r="T50">
        <f>IF('Input Scenarios'!T50&lt;&gt;"", 'Input Scenarios'!T50, "")</f>
        <v>2.5</v>
      </c>
      <c r="U50">
        <f>IF('Input Scenarios'!U50&lt;&gt;"", 'Input Scenarios'!U50, IF(W50&lt;&gt;"", "", Constants!$B$39))</f>
        <v>4</v>
      </c>
      <c r="V50">
        <f>IF('Input Scenarios'!V50&lt;&gt;"", 'Input Scenarios'!V50, IF(W50&lt;&gt;"", "", Constants!$B$40))</f>
        <v>3.3</v>
      </c>
      <c r="W50" t="str">
        <f>IF('Input Scenarios'!W50&lt;&gt;"", 'Input Scenarios'!W50, "")</f>
        <v/>
      </c>
      <c r="X50" t="str">
        <f>'Input Scenarios'!X50</f>
        <v>Ayrshire</v>
      </c>
      <c r="Y50" t="str">
        <f>'Input Scenarios'!Y50</f>
        <v>milkingCows</v>
      </c>
      <c r="Z50">
        <f>'Input Scenarios'!Z50</f>
        <v>200</v>
      </c>
      <c r="AA50">
        <f>IF('Input Scenarios'!AA50&lt;&gt;"", 'Input Scenarios'!AA50, _xlfn.XLOOKUP(Y50,Constants!$J$6:$J$12,Constants!$K$6:$K$12))</f>
        <v>365</v>
      </c>
      <c r="AB50">
        <f>IF('Input Scenarios'!AB50&lt;&gt;"", 'Input Scenarios'!AB50, INDEX(Constants!$B$2:$H$11, MATCH(X50, Constants!$A$2:$A$11, 0), MATCH(Y50,Constants!$B$1:$H$1, 0)))</f>
        <v>540</v>
      </c>
      <c r="AC50">
        <f>IF('Input Scenarios'!AC50&lt;&gt;"", 'Input Scenarios'!AC50, _xlfn.XLOOKUP(Y50, Constants!$B$13:$H$13, Constants!$B$15:$H$15, ""))</f>
        <v>1.6E-2</v>
      </c>
      <c r="AD50">
        <f>IF('Input Scenarios'!AD50&lt;&gt;"", 'Input Scenarios'!AD50, Constants!$B$45)</f>
        <v>0.75</v>
      </c>
      <c r="AE50">
        <f>IF('Input Scenarios'!AE50&lt;&gt;"", 'Input Scenarios'!AE50, Constants!$B$46)</f>
        <v>0.2</v>
      </c>
      <c r="AF50" s="20">
        <f t="shared" si="68"/>
        <v>0</v>
      </c>
      <c r="AG50" s="20">
        <f t="shared" si="68"/>
        <v>5.5E-2</v>
      </c>
      <c r="AH50" s="20">
        <f t="shared" si="68"/>
        <v>5.5E-2</v>
      </c>
      <c r="AI50" s="20">
        <f t="shared" si="68"/>
        <v>0</v>
      </c>
      <c r="AJ50" s="20">
        <f t="shared" si="69"/>
        <v>0.89</v>
      </c>
      <c r="AK50">
        <f t="shared" si="79"/>
        <v>34.246575342465754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55"/>
        <v>0.5948500000000001</v>
      </c>
      <c r="AQ50">
        <f t="shared" si="56"/>
        <v>16.403890691108206</v>
      </c>
      <c r="AR50">
        <f>IF(Y50="milkingCows", Constants!$P$2, Constants!$P$3)</f>
        <v>1.1000000000000001</v>
      </c>
      <c r="AS50">
        <f t="shared" si="57"/>
        <v>25.549793292548209</v>
      </c>
      <c r="AT50">
        <f t="shared" si="58"/>
        <v>1.0012518329511055</v>
      </c>
      <c r="AU50">
        <f>_xlfn.XLOOKUP(Y50, Constants!$B$13:$H$13, Constants!$B$14:$H$14, "")</f>
        <v>590</v>
      </c>
      <c r="AV50">
        <f t="shared" si="59"/>
        <v>0.9152542372881356</v>
      </c>
      <c r="AW50">
        <f>Constants!$B$55</f>
        <v>6.25</v>
      </c>
      <c r="AX50" s="20">
        <f t="shared" si="71"/>
        <v>0.17710746817205636</v>
      </c>
      <c r="AY50">
        <f t="shared" si="72"/>
        <v>5.1099586585096421</v>
      </c>
      <c r="AZ50">
        <f t="shared" si="18"/>
        <v>0.63851436631743641</v>
      </c>
      <c r="BA50" t="str">
        <f>IF(ISNUMBER(FIND("PreWeaned",Y50)),_xlfn.XLOOKUP(Y50,Constants!$J$2:$J$3,Constants!$M$2:$M$3),"")</f>
        <v/>
      </c>
      <c r="BB50">
        <f t="shared" si="73"/>
        <v>46611.548741172854</v>
      </c>
      <c r="BC50">
        <f t="shared" si="74"/>
        <v>0</v>
      </c>
      <c r="BD50">
        <f t="shared" si="75"/>
        <v>2563.6351807645069</v>
      </c>
      <c r="BE50">
        <f t="shared" si="76"/>
        <v>2563.6351807645069</v>
      </c>
      <c r="BF50">
        <f t="shared" si="77"/>
        <v>0</v>
      </c>
      <c r="BG50">
        <f t="shared" si="78"/>
        <v>41484.278379643838</v>
      </c>
      <c r="BH50">
        <f>Constants!$D$19</f>
        <v>0.35</v>
      </c>
      <c r="BI50">
        <f>Constants!$D$20</f>
        <v>7.0000000000000007E-2</v>
      </c>
      <c r="BJ50">
        <f>Constants!$D$21</f>
        <v>0.2</v>
      </c>
      <c r="BK50">
        <f>Constants!$D$22</f>
        <v>0.3</v>
      </c>
      <c r="BL50">
        <f>Constants!$D$23</f>
        <v>0</v>
      </c>
      <c r="BM50">
        <f>Constants!$B$51</f>
        <v>0.21</v>
      </c>
      <c r="BN50">
        <f>Constants!$B$50</f>
        <v>1.57</v>
      </c>
      <c r="BO50">
        <f>_xlfn.XLOOKUP(C50,Constants!$A$27:$A$31,Constants!$B$27:$B$31)</f>
        <v>5.8999999999999999E-3</v>
      </c>
      <c r="BP50">
        <f t="shared" si="60"/>
        <v>0</v>
      </c>
      <c r="BQ50">
        <f t="shared" si="61"/>
        <v>179.45446265351549</v>
      </c>
      <c r="BR50">
        <f t="shared" si="62"/>
        <v>512.72703615290141</v>
      </c>
      <c r="BS50">
        <f t="shared" si="63"/>
        <v>0</v>
      </c>
      <c r="BT50">
        <f t="shared" si="64"/>
        <v>0</v>
      </c>
      <c r="BU50">
        <f t="shared" si="65"/>
        <v>8711.6984597252049</v>
      </c>
      <c r="BV50">
        <f t="shared" si="66"/>
        <v>6.4116772234438404</v>
      </c>
      <c r="BW50">
        <f t="shared" si="67"/>
        <v>80.696462832434577</v>
      </c>
      <c r="BX50">
        <f>SUM(BV50:BW56)/1000</f>
        <v>0.18910278250567955</v>
      </c>
    </row>
    <row r="51" spans="1:76" x14ac:dyDescent="0.2">
      <c r="A51" t="str">
        <f>'Input Scenarios'!A51</f>
        <v>WA</v>
      </c>
      <c r="B51">
        <f>'Input Scenarios'!B51</f>
        <v>0</v>
      </c>
      <c r="C51" t="str">
        <f>'Input Scenarios'!C51</f>
        <v>Irrigated pasture</v>
      </c>
      <c r="D51" t="str">
        <f>'Input Scenarios'!D51</f>
        <v>dry</v>
      </c>
      <c r="E51" t="b">
        <f>'Input Scenarios'!E51</f>
        <v>0</v>
      </c>
      <c r="F51" t="str">
        <f>'Input Scenarios'!F51</f>
        <v>Grazed only</v>
      </c>
      <c r="G51">
        <f>IF('Input Scenarios'!G51&lt;&gt;"", 'Input Scenarios'!G51, _xlfn.XLOOKUP($F51, Constants!$M$6:$M$9,Constants!N$6:N$9))</f>
        <v>0.89</v>
      </c>
      <c r="H51">
        <f>IF('Input Scenarios'!H51&lt;&gt;"", 'Input Scenarios'!H51, _xlfn.XLOOKUP($F51, Constants!$M$6:$M$9,Constants!O$6:O$9))</f>
        <v>0.11</v>
      </c>
      <c r="I51">
        <f>IF('Input Scenarios'!I51&lt;&gt;"", 'Input Scenarios'!I51, _xlfn.XLOOKUP($F51, Constants!$M$6:$M$9,Constants!P$6:P$9))</f>
        <v>0</v>
      </c>
      <c r="J51">
        <f>'Input Scenarios'!J51</f>
        <v>0</v>
      </c>
      <c r="K51">
        <f>'Input Scenarios'!K51</f>
        <v>0.5</v>
      </c>
      <c r="L51">
        <f>'Input Scenarios'!L51</f>
        <v>0.5</v>
      </c>
      <c r="M51">
        <f>'Input Scenarios'!M51</f>
        <v>0</v>
      </c>
      <c r="N51">
        <f>'Input Scenarios'!N51</f>
        <v>0.5</v>
      </c>
      <c r="O51">
        <f>'Input Scenarios'!O51</f>
        <v>0</v>
      </c>
      <c r="P51">
        <f>'Input Scenarios'!P51</f>
        <v>0</v>
      </c>
      <c r="Q51">
        <f>'Input Scenarios'!Q51</f>
        <v>0.5</v>
      </c>
      <c r="R51" t="b">
        <f>'Input Scenarios'!R51</f>
        <v>0</v>
      </c>
      <c r="S51">
        <f>IF('Input Scenarios'!S51&lt;&gt;"", 'Input Scenarios'!S51, IF(R51, Constants!$B$38, 0))</f>
        <v>0</v>
      </c>
      <c r="T51" t="str">
        <f>IF('Input Scenarios'!T51&lt;&gt;"", 'Input Scenarios'!T51, "")</f>
        <v/>
      </c>
      <c r="U51">
        <f>IF('Input Scenarios'!U51&lt;&gt;"", 'Input Scenarios'!U51, IF(W51&lt;&gt;"", "", Constants!$B$39))</f>
        <v>4</v>
      </c>
      <c r="V51">
        <f>IF('Input Scenarios'!V51&lt;&gt;"", 'Input Scenarios'!V51, IF(W51&lt;&gt;"", "", Constants!$B$40))</f>
        <v>3.3</v>
      </c>
      <c r="W51" t="str">
        <f>IF('Input Scenarios'!W51&lt;&gt;"", 'Input Scenarios'!W51, "")</f>
        <v/>
      </c>
      <c r="X51" t="str">
        <f>'Input Scenarios'!X51</f>
        <v>Ayrshire</v>
      </c>
      <c r="Y51" t="str">
        <f>'Input Scenarios'!Y51</f>
        <v>heifersGt1</v>
      </c>
      <c r="Z51">
        <f>'Input Scenarios'!Z51</f>
        <v>200</v>
      </c>
      <c r="AA51">
        <f>IF('Input Scenarios'!AA51&lt;&gt;"", 'Input Scenarios'!AA51, _xlfn.XLOOKUP(Y51,Constants!$J$6:$J$12,Constants!$K$6:$K$12))</f>
        <v>365</v>
      </c>
      <c r="AB51">
        <f>IF('Input Scenarios'!AB51&lt;&gt;"", 'Input Scenarios'!AB51, INDEX(Constants!$B$2:$H$11, MATCH(X51, Constants!$A$2:$A$11, 0), MATCH(Y51,Constants!$B$1:$H$1, 0)))</f>
        <v>375</v>
      </c>
      <c r="AC51">
        <f>IF('Input Scenarios'!AC51&lt;&gt;"", 'Input Scenarios'!AC51, _xlfn.XLOOKUP(Y51, Constants!$B$13:$H$13, Constants!$B$15:$H$15, ""))</f>
        <v>0.6</v>
      </c>
      <c r="AD51">
        <f>IF('Input Scenarios'!AD51&lt;&gt;"", 'Input Scenarios'!AD51, Constants!$B$45)</f>
        <v>0.75</v>
      </c>
      <c r="AE51">
        <f>IF('Input Scenarios'!AE51&lt;&gt;"", 'Input Scenarios'!AE51, Constants!$B$46)</f>
        <v>0.2</v>
      </c>
      <c r="AF51">
        <f t="shared" si="68"/>
        <v>0</v>
      </c>
      <c r="AG51">
        <f t="shared" si="68"/>
        <v>0</v>
      </c>
      <c r="AH51">
        <f t="shared" si="68"/>
        <v>0</v>
      </c>
      <c r="AI51">
        <f t="shared" si="68"/>
        <v>0</v>
      </c>
      <c r="AJ51">
        <f t="shared" si="69"/>
        <v>1</v>
      </c>
      <c r="AK51">
        <f t="shared" si="79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55"/>
        <v>0.5948500000000001</v>
      </c>
      <c r="AQ51">
        <f t="shared" si="56"/>
        <v>0</v>
      </c>
      <c r="AR51">
        <f>IF(Y51="milkingCows", Constants!$P$2, Constants!$P$3)</f>
        <v>1</v>
      </c>
      <c r="AS51">
        <f t="shared" si="57"/>
        <v>7.3488432656250007</v>
      </c>
      <c r="AT51">
        <f t="shared" si="58"/>
        <v>1.1555051146335733</v>
      </c>
      <c r="AU51">
        <f>_xlfn.XLOOKUP(Y51, Constants!$B$13:$H$13, Constants!$B$14:$H$14, "")</f>
        <v>590</v>
      </c>
      <c r="AV51">
        <f t="shared" si="59"/>
        <v>0.63559322033898302</v>
      </c>
      <c r="AW51">
        <f>Constants!$B$55</f>
        <v>6.25</v>
      </c>
      <c r="AX51">
        <f t="shared" si="71"/>
        <v>8.8952563417278308E-3</v>
      </c>
      <c r="AY51">
        <f t="shared" si="72"/>
        <v>1.4697686531250003</v>
      </c>
      <c r="AZ51">
        <f t="shared" si="18"/>
        <v>0.2247679185945351</v>
      </c>
      <c r="BA51" t="str">
        <f>IF(ISNUMBER(FIND("PreWeaned",Y51)),_xlfn.XLOOKUP(Y51,Constants!$J$2:$J$3,Constants!$M$2:$M$3),"")</f>
        <v/>
      </c>
      <c r="BB51">
        <f t="shared" si="73"/>
        <v>16408.058057401064</v>
      </c>
      <c r="BC51">
        <f t="shared" si="74"/>
        <v>0</v>
      </c>
      <c r="BD51">
        <f t="shared" si="75"/>
        <v>0</v>
      </c>
      <c r="BE51">
        <f t="shared" si="76"/>
        <v>0</v>
      </c>
      <c r="BF51">
        <f t="shared" si="77"/>
        <v>0</v>
      </c>
      <c r="BG51">
        <f t="shared" si="78"/>
        <v>16408.058057401064</v>
      </c>
      <c r="BH51">
        <f>Constants!$D$19</f>
        <v>0.35</v>
      </c>
      <c r="BI51">
        <f>Constants!$D$20</f>
        <v>7.0000000000000007E-2</v>
      </c>
      <c r="BJ51">
        <f>Constants!$D$21</f>
        <v>0.2</v>
      </c>
      <c r="BK51">
        <f>Constants!$D$22</f>
        <v>0.3</v>
      </c>
      <c r="BL51">
        <f>Constants!$D$23</f>
        <v>0</v>
      </c>
      <c r="BM51">
        <f>Constants!$B$51</f>
        <v>0.21</v>
      </c>
      <c r="BN51">
        <f>Constants!$B$50</f>
        <v>1.57</v>
      </c>
      <c r="BO51">
        <f>_xlfn.XLOOKUP(C51,Constants!$A$27:$A$31,Constants!$B$27:$B$31)</f>
        <v>5.8999999999999999E-3</v>
      </c>
      <c r="BP51">
        <f t="shared" si="60"/>
        <v>0</v>
      </c>
      <c r="BQ51">
        <f t="shared" si="61"/>
        <v>0</v>
      </c>
      <c r="BR51">
        <f t="shared" si="62"/>
        <v>0</v>
      </c>
      <c r="BS51">
        <f t="shared" si="63"/>
        <v>0</v>
      </c>
      <c r="BT51">
        <f t="shared" si="64"/>
        <v>0</v>
      </c>
      <c r="BU51">
        <f t="shared" si="65"/>
        <v>3445.6921920542231</v>
      </c>
      <c r="BV51">
        <f t="shared" si="66"/>
        <v>0</v>
      </c>
      <c r="BW51">
        <f t="shared" si="67"/>
        <v>31.917446774998272</v>
      </c>
    </row>
    <row r="52" spans="1:76" x14ac:dyDescent="0.2">
      <c r="A52" t="str">
        <f>'Input Scenarios'!A52</f>
        <v>WA</v>
      </c>
      <c r="B52">
        <f>'Input Scenarios'!B52</f>
        <v>0</v>
      </c>
      <c r="C52" t="str">
        <f>'Input Scenarios'!C52</f>
        <v>Irrigated pasture</v>
      </c>
      <c r="D52" t="str">
        <f>'Input Scenarios'!D52</f>
        <v>dry</v>
      </c>
      <c r="E52" t="b">
        <f>'Input Scenarios'!E52</f>
        <v>0</v>
      </c>
      <c r="F52" t="str">
        <f>'Input Scenarios'!F52</f>
        <v>Grazed only</v>
      </c>
      <c r="G52">
        <f>IF('Input Scenarios'!G52&lt;&gt;"", 'Input Scenarios'!G52, _xlfn.XLOOKUP($F52, Constants!$M$6:$M$9,Constants!N$6:N$9))</f>
        <v>0.89</v>
      </c>
      <c r="H52">
        <f>IF('Input Scenarios'!H52&lt;&gt;"", 'Input Scenarios'!H52, _xlfn.XLOOKUP($F52, Constants!$M$6:$M$9,Constants!O$6:O$9))</f>
        <v>0.11</v>
      </c>
      <c r="I52">
        <f>IF('Input Scenarios'!I52&lt;&gt;"", 'Input Scenarios'!I52, _xlfn.XLOOKUP($F52, Constants!$M$6:$M$9,Constants!P$6:P$9))</f>
        <v>0</v>
      </c>
      <c r="J52">
        <f>'Input Scenarios'!J52</f>
        <v>0</v>
      </c>
      <c r="K52">
        <f>'Input Scenarios'!K52</f>
        <v>0.5</v>
      </c>
      <c r="L52">
        <f>'Input Scenarios'!L52</f>
        <v>0.5</v>
      </c>
      <c r="M52">
        <f>'Input Scenarios'!M52</f>
        <v>0</v>
      </c>
      <c r="N52">
        <f>'Input Scenarios'!N52</f>
        <v>0.5</v>
      </c>
      <c r="O52">
        <f>'Input Scenarios'!O52</f>
        <v>0</v>
      </c>
      <c r="P52">
        <f>'Input Scenarios'!P52</f>
        <v>0</v>
      </c>
      <c r="Q52">
        <f>'Input Scenarios'!Q52</f>
        <v>0.5</v>
      </c>
      <c r="R52" t="b">
        <f>'Input Scenarios'!R52</f>
        <v>0</v>
      </c>
      <c r="S52">
        <f>IF('Input Scenarios'!S52&lt;&gt;"", 'Input Scenarios'!S52, IF(R52, Constants!$B$38, 0))</f>
        <v>0</v>
      </c>
      <c r="T52" t="str">
        <f>IF('Input Scenarios'!T52&lt;&gt;"", 'Input Scenarios'!T52, "")</f>
        <v/>
      </c>
      <c r="U52">
        <f>IF('Input Scenarios'!U52&lt;&gt;"", 'Input Scenarios'!U52, IF(W52&lt;&gt;"", "", Constants!$B$39))</f>
        <v>4</v>
      </c>
      <c r="V52">
        <f>IF('Input Scenarios'!V52&lt;&gt;"", 'Input Scenarios'!V52, IF(W52&lt;&gt;"", "", Constants!$B$40))</f>
        <v>3.3</v>
      </c>
      <c r="W52" t="str">
        <f>IF('Input Scenarios'!W52&lt;&gt;"", 'Input Scenarios'!W52, "")</f>
        <v/>
      </c>
      <c r="X52" t="str">
        <f>'Input Scenarios'!X52</f>
        <v>Ayrshire</v>
      </c>
      <c r="Y52" t="str">
        <f>'Input Scenarios'!Y52</f>
        <v>heifersLt1PreWeaned</v>
      </c>
      <c r="Z52">
        <f>'Input Scenarios'!Z52</f>
        <v>200</v>
      </c>
      <c r="AA52">
        <f>IF('Input Scenarios'!AA52&lt;&gt;"", 'Input Scenarios'!AA52, _xlfn.XLOOKUP(Y52,Constants!$J$6:$J$12,Constants!$K$6:$K$12))</f>
        <v>84</v>
      </c>
      <c r="AB52">
        <f>IF('Input Scenarios'!AB52&lt;&gt;"", 'Input Scenarios'!AB52, INDEX(Constants!$B$2:$H$11, MATCH(X52, Constants!$A$2:$A$11, 0), MATCH(Y52,Constants!$B$1:$H$1, 0)))</f>
        <v>150</v>
      </c>
      <c r="AC52" t="str">
        <f>IF('Input Scenarios'!AC52&lt;&gt;"", 'Input Scenarios'!AC52, _xlfn.XLOOKUP(Y52, Constants!$B$13:$H$13, Constants!$B$15:$H$15, ""))</f>
        <v/>
      </c>
      <c r="AD52">
        <f>IF('Input Scenarios'!AD52&lt;&gt;"", 'Input Scenarios'!AD52, Constants!$B$45)</f>
        <v>0.75</v>
      </c>
      <c r="AE52">
        <f>IF('Input Scenarios'!AE52&lt;&gt;"", 'Input Scenarios'!AE52, Constants!$B$46)</f>
        <v>0.2</v>
      </c>
      <c r="AF52">
        <f t="shared" si="68"/>
        <v>0</v>
      </c>
      <c r="AG52">
        <f t="shared" si="68"/>
        <v>0</v>
      </c>
      <c r="AH52">
        <f t="shared" si="68"/>
        <v>0</v>
      </c>
      <c r="AI52">
        <f t="shared" si="68"/>
        <v>0</v>
      </c>
      <c r="AJ52">
        <f t="shared" si="69"/>
        <v>1</v>
      </c>
      <c r="AK52">
        <f t="shared" si="79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55"/>
        <v>0.5948500000000001</v>
      </c>
      <c r="AQ52">
        <f t="shared" si="56"/>
        <v>0</v>
      </c>
      <c r="AR52">
        <f>IF(Y52="milkingCows", Constants!$P$2, Constants!$P$3)</f>
        <v>1</v>
      </c>
      <c r="AS52" t="str">
        <f t="shared" si="57"/>
        <v/>
      </c>
      <c r="AT52" t="str">
        <f t="shared" si="58"/>
        <v/>
      </c>
      <c r="AU52" t="str">
        <f>_xlfn.XLOOKUP(Y52, Constants!$B$13:$H$13, Constants!$B$14:$H$14, "")</f>
        <v/>
      </c>
      <c r="AV52" t="str">
        <f t="shared" si="59"/>
        <v/>
      </c>
      <c r="AW52">
        <f>Constants!$B$55</f>
        <v>6.25</v>
      </c>
      <c r="AX52" t="str">
        <f t="shared" si="71"/>
        <v/>
      </c>
      <c r="AY52" t="str">
        <f t="shared" si="72"/>
        <v/>
      </c>
      <c r="AZ52" t="str">
        <f t="shared" si="18"/>
        <v/>
      </c>
      <c r="BA52">
        <f>IF(ISNUMBER(FIND("PreWeaned",Y52)),_xlfn.XLOOKUP(Y52,Constants!$J$2:$J$3,Constants!$M$2:$M$3),"")</f>
        <v>1.37E-2</v>
      </c>
      <c r="BB52">
        <f t="shared" si="73"/>
        <v>230.16000000000003</v>
      </c>
      <c r="BC52">
        <f t="shared" si="74"/>
        <v>0</v>
      </c>
      <c r="BD52">
        <f t="shared" si="75"/>
        <v>0</v>
      </c>
      <c r="BE52">
        <f t="shared" si="76"/>
        <v>0</v>
      </c>
      <c r="BF52">
        <f t="shared" si="77"/>
        <v>0</v>
      </c>
      <c r="BG52">
        <f t="shared" si="78"/>
        <v>230.16000000000003</v>
      </c>
      <c r="BH52">
        <f>Constants!$D$19</f>
        <v>0.35</v>
      </c>
      <c r="BI52">
        <f>Constants!$D$20</f>
        <v>7.0000000000000007E-2</v>
      </c>
      <c r="BJ52">
        <f>Constants!$D$21</f>
        <v>0.2</v>
      </c>
      <c r="BK52">
        <f>Constants!$D$22</f>
        <v>0.3</v>
      </c>
      <c r="BL52">
        <f>Constants!$D$23</f>
        <v>0</v>
      </c>
      <c r="BM52">
        <f>Constants!$B$51</f>
        <v>0.21</v>
      </c>
      <c r="BN52">
        <f>Constants!$B$50</f>
        <v>1.57</v>
      </c>
      <c r="BO52">
        <f>_xlfn.XLOOKUP(C52,Constants!$A$27:$A$31,Constants!$B$27:$B$31)</f>
        <v>5.8999999999999999E-3</v>
      </c>
      <c r="BP52">
        <f t="shared" si="60"/>
        <v>0</v>
      </c>
      <c r="BQ52">
        <f t="shared" si="61"/>
        <v>0</v>
      </c>
      <c r="BR52">
        <f t="shared" si="62"/>
        <v>0</v>
      </c>
      <c r="BS52">
        <f t="shared" si="63"/>
        <v>0</v>
      </c>
      <c r="BT52">
        <f t="shared" si="64"/>
        <v>0</v>
      </c>
      <c r="BU52">
        <f t="shared" si="65"/>
        <v>48.333600000000004</v>
      </c>
      <c r="BV52">
        <f t="shared" si="66"/>
        <v>0</v>
      </c>
      <c r="BW52">
        <f t="shared" si="67"/>
        <v>0.44771413680000005</v>
      </c>
    </row>
    <row r="53" spans="1:76" x14ac:dyDescent="0.2">
      <c r="A53" t="str">
        <f>'Input Scenarios'!A53</f>
        <v>WA</v>
      </c>
      <c r="B53">
        <f>'Input Scenarios'!B53</f>
        <v>0</v>
      </c>
      <c r="C53" t="str">
        <f>'Input Scenarios'!C53</f>
        <v>Irrigated pasture</v>
      </c>
      <c r="D53" t="str">
        <f>'Input Scenarios'!D53</f>
        <v>dry</v>
      </c>
      <c r="E53" t="b">
        <f>'Input Scenarios'!E53</f>
        <v>0</v>
      </c>
      <c r="F53" t="str">
        <f>'Input Scenarios'!F53</f>
        <v>Grazed only</v>
      </c>
      <c r="G53">
        <f>IF('Input Scenarios'!G53&lt;&gt;"", 'Input Scenarios'!G53, _xlfn.XLOOKUP($F53, Constants!$M$6:$M$9,Constants!N$6:N$9))</f>
        <v>0.89</v>
      </c>
      <c r="H53">
        <f>IF('Input Scenarios'!H53&lt;&gt;"", 'Input Scenarios'!H53, _xlfn.XLOOKUP($F53, Constants!$M$6:$M$9,Constants!O$6:O$9))</f>
        <v>0.11</v>
      </c>
      <c r="I53">
        <f>IF('Input Scenarios'!I53&lt;&gt;"", 'Input Scenarios'!I53, _xlfn.XLOOKUP($F53, Constants!$M$6:$M$9,Constants!P$6:P$9))</f>
        <v>0</v>
      </c>
      <c r="J53">
        <f>'Input Scenarios'!J53</f>
        <v>0</v>
      </c>
      <c r="K53">
        <f>'Input Scenarios'!K53</f>
        <v>0.5</v>
      </c>
      <c r="L53">
        <f>'Input Scenarios'!L53</f>
        <v>0.5</v>
      </c>
      <c r="M53">
        <f>'Input Scenarios'!M53</f>
        <v>0</v>
      </c>
      <c r="N53">
        <f>'Input Scenarios'!N53</f>
        <v>0.5</v>
      </c>
      <c r="O53">
        <f>'Input Scenarios'!O53</f>
        <v>0</v>
      </c>
      <c r="P53">
        <f>'Input Scenarios'!P53</f>
        <v>0</v>
      </c>
      <c r="Q53">
        <f>'Input Scenarios'!Q53</f>
        <v>0.5</v>
      </c>
      <c r="R53" t="b">
        <f>'Input Scenarios'!R53</f>
        <v>0</v>
      </c>
      <c r="S53">
        <f>IF('Input Scenarios'!S53&lt;&gt;"", 'Input Scenarios'!S53, IF(R53, Constants!$B$38, 0))</f>
        <v>0</v>
      </c>
      <c r="T53" t="str">
        <f>IF('Input Scenarios'!T53&lt;&gt;"", 'Input Scenarios'!T53, "")</f>
        <v/>
      </c>
      <c r="U53">
        <f>IF('Input Scenarios'!U53&lt;&gt;"", 'Input Scenarios'!U53, IF(W53&lt;&gt;"", "", Constants!$B$39))</f>
        <v>4</v>
      </c>
      <c r="V53">
        <f>IF('Input Scenarios'!V53&lt;&gt;"", 'Input Scenarios'!V53, IF(W53&lt;&gt;"", "", Constants!$B$40))</f>
        <v>3.3</v>
      </c>
      <c r="W53" t="str">
        <f>IF('Input Scenarios'!W53&lt;&gt;"", 'Input Scenarios'!W53, "")</f>
        <v/>
      </c>
      <c r="X53" t="str">
        <f>'Input Scenarios'!X53</f>
        <v>Ayrshire</v>
      </c>
      <c r="Y53" t="str">
        <f>'Input Scenarios'!Y53</f>
        <v>heifersLt1Weaned</v>
      </c>
      <c r="Z53">
        <f>'Input Scenarios'!Z53</f>
        <v>200</v>
      </c>
      <c r="AA53">
        <f>IF('Input Scenarios'!AA53&lt;&gt;"", 'Input Scenarios'!AA53, _xlfn.XLOOKUP(Y53,Constants!$J$6:$J$12,Constants!$K$6:$K$12))</f>
        <v>281</v>
      </c>
      <c r="AB53">
        <f>IF('Input Scenarios'!AB53&lt;&gt;"", 'Input Scenarios'!AB53, INDEX(Constants!$B$2:$H$11, MATCH(X53, Constants!$A$2:$A$11, 0), MATCH(Y53,Constants!$B$1:$H$1, 0)))</f>
        <v>150</v>
      </c>
      <c r="AC53">
        <f>IF('Input Scenarios'!AC53&lt;&gt;"", 'Input Scenarios'!AC53, _xlfn.XLOOKUP(Y53, Constants!$B$13:$H$13, Constants!$B$15:$H$15, ""))</f>
        <v>0.56999999999999995</v>
      </c>
      <c r="AD53">
        <f>IF('Input Scenarios'!AD53&lt;&gt;"", 'Input Scenarios'!AD53, Constants!$B$45)</f>
        <v>0.75</v>
      </c>
      <c r="AE53">
        <f>IF('Input Scenarios'!AE53&lt;&gt;"", 'Input Scenarios'!AE53, Constants!$B$46)</f>
        <v>0.2</v>
      </c>
      <c r="AF53">
        <f t="shared" si="68"/>
        <v>0</v>
      </c>
      <c r="AG53">
        <f t="shared" si="68"/>
        <v>0</v>
      </c>
      <c r="AH53">
        <f t="shared" si="68"/>
        <v>0</v>
      </c>
      <c r="AI53">
        <f t="shared" si="68"/>
        <v>0</v>
      </c>
      <c r="AJ53">
        <f t="shared" si="69"/>
        <v>1</v>
      </c>
      <c r="AK53">
        <f t="shared" si="79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55"/>
        <v>0.5948500000000001</v>
      </c>
      <c r="AQ53">
        <f t="shared" si="56"/>
        <v>0</v>
      </c>
      <c r="AR53">
        <f>IF(Y53="milkingCows", Constants!$P$2, Constants!$P$3)</f>
        <v>1</v>
      </c>
      <c r="AS53">
        <f t="shared" si="57"/>
        <v>3.9483677025000001</v>
      </c>
      <c r="AT53">
        <f t="shared" si="58"/>
        <v>1.2085398598508978</v>
      </c>
      <c r="AU53">
        <f>_xlfn.XLOOKUP(Y53, Constants!$B$13:$H$13, Constants!$B$14:$H$14, "")</f>
        <v>590</v>
      </c>
      <c r="AV53">
        <f t="shared" si="59"/>
        <v>0.25423728813559321</v>
      </c>
      <c r="AW53">
        <f>Constants!$B$55</f>
        <v>6.25</v>
      </c>
      <c r="AX53">
        <f t="shared" si="71"/>
        <v>1.4705504454277429E-2</v>
      </c>
      <c r="AY53">
        <f t="shared" si="72"/>
        <v>0.78967354050000005</v>
      </c>
      <c r="AZ53">
        <f t="shared" si="18"/>
        <v>0.1108878977522821</v>
      </c>
      <c r="BA53" t="str">
        <f>IF(ISNUMBER(FIND("PreWeaned",Y53)),_xlfn.XLOOKUP(Y53,Constants!$J$2:$J$3,Constants!$M$2:$M$3),"")</f>
        <v/>
      </c>
      <c r="BB53">
        <f t="shared" si="73"/>
        <v>6231.8998536782537</v>
      </c>
      <c r="BC53">
        <f t="shared" si="74"/>
        <v>0</v>
      </c>
      <c r="BD53">
        <f t="shared" si="75"/>
        <v>0</v>
      </c>
      <c r="BE53">
        <f t="shared" si="76"/>
        <v>0</v>
      </c>
      <c r="BF53">
        <f t="shared" si="77"/>
        <v>0</v>
      </c>
      <c r="BG53">
        <f t="shared" si="78"/>
        <v>6231.8998536782537</v>
      </c>
      <c r="BH53">
        <f>Constants!$D$19</f>
        <v>0.35</v>
      </c>
      <c r="BI53">
        <f>Constants!$D$20</f>
        <v>7.0000000000000007E-2</v>
      </c>
      <c r="BJ53">
        <f>Constants!$D$21</f>
        <v>0.2</v>
      </c>
      <c r="BK53">
        <f>Constants!$D$22</f>
        <v>0.3</v>
      </c>
      <c r="BL53">
        <f>Constants!$D$23</f>
        <v>0</v>
      </c>
      <c r="BM53">
        <f>Constants!$B$51</f>
        <v>0.21</v>
      </c>
      <c r="BN53">
        <f>Constants!$B$50</f>
        <v>1.57</v>
      </c>
      <c r="BO53">
        <f>_xlfn.XLOOKUP(C53,Constants!$A$27:$A$31,Constants!$B$27:$B$31)</f>
        <v>5.8999999999999999E-3</v>
      </c>
      <c r="BP53">
        <f t="shared" si="60"/>
        <v>0</v>
      </c>
      <c r="BQ53">
        <f t="shared" si="61"/>
        <v>0</v>
      </c>
      <c r="BR53">
        <f t="shared" si="62"/>
        <v>0</v>
      </c>
      <c r="BS53">
        <f t="shared" si="63"/>
        <v>0</v>
      </c>
      <c r="BT53">
        <f t="shared" si="64"/>
        <v>0</v>
      </c>
      <c r="BU53">
        <f t="shared" si="65"/>
        <v>1308.6989692724333</v>
      </c>
      <c r="BV53">
        <f t="shared" si="66"/>
        <v>0</v>
      </c>
      <c r="BW53">
        <f t="shared" si="67"/>
        <v>12.12247855237055</v>
      </c>
    </row>
    <row r="54" spans="1:76" x14ac:dyDescent="0.2">
      <c r="A54" t="str">
        <f>'Input Scenarios'!A54</f>
        <v>WA</v>
      </c>
      <c r="B54">
        <f>'Input Scenarios'!B54</f>
        <v>0</v>
      </c>
      <c r="C54" t="str">
        <f>'Input Scenarios'!C54</f>
        <v>Irrigated pasture</v>
      </c>
      <c r="D54" t="str">
        <f>'Input Scenarios'!D54</f>
        <v>dry</v>
      </c>
      <c r="E54" t="b">
        <f>'Input Scenarios'!E54</f>
        <v>0</v>
      </c>
      <c r="F54" t="str">
        <f>'Input Scenarios'!F54</f>
        <v>Grazed only</v>
      </c>
      <c r="G54">
        <f>IF('Input Scenarios'!G54&lt;&gt;"", 'Input Scenarios'!G54, _xlfn.XLOOKUP($F54, Constants!$M$6:$M$9,Constants!N$6:N$9))</f>
        <v>0.89</v>
      </c>
      <c r="H54">
        <f>IF('Input Scenarios'!H54&lt;&gt;"", 'Input Scenarios'!H54, _xlfn.XLOOKUP($F54, Constants!$M$6:$M$9,Constants!O$6:O$9))</f>
        <v>0.11</v>
      </c>
      <c r="I54">
        <f>IF('Input Scenarios'!I54&lt;&gt;"", 'Input Scenarios'!I54, _xlfn.XLOOKUP($F54, Constants!$M$6:$M$9,Constants!P$6:P$9))</f>
        <v>0</v>
      </c>
      <c r="J54">
        <f>'Input Scenarios'!J54</f>
        <v>0</v>
      </c>
      <c r="K54">
        <f>'Input Scenarios'!K54</f>
        <v>0.5</v>
      </c>
      <c r="L54">
        <f>'Input Scenarios'!L54</f>
        <v>0.5</v>
      </c>
      <c r="M54">
        <f>'Input Scenarios'!M54</f>
        <v>0</v>
      </c>
      <c r="N54">
        <f>'Input Scenarios'!N54</f>
        <v>0.5</v>
      </c>
      <c r="O54">
        <f>'Input Scenarios'!O54</f>
        <v>0</v>
      </c>
      <c r="P54">
        <f>'Input Scenarios'!P54</f>
        <v>0</v>
      </c>
      <c r="Q54">
        <f>'Input Scenarios'!Q54</f>
        <v>0.5</v>
      </c>
      <c r="R54" t="b">
        <f>'Input Scenarios'!R54</f>
        <v>0</v>
      </c>
      <c r="S54">
        <f>IF('Input Scenarios'!S54&lt;&gt;"", 'Input Scenarios'!S54, IF(R54, Constants!$B$38, 0))</f>
        <v>0</v>
      </c>
      <c r="T54" t="str">
        <f>IF('Input Scenarios'!T54&lt;&gt;"", 'Input Scenarios'!T54, "")</f>
        <v/>
      </c>
      <c r="U54">
        <f>IF('Input Scenarios'!U54&lt;&gt;"", 'Input Scenarios'!U54, IF(W54&lt;&gt;"", "", Constants!$B$39))</f>
        <v>4</v>
      </c>
      <c r="V54">
        <f>IF('Input Scenarios'!V54&lt;&gt;"", 'Input Scenarios'!V54, IF(W54&lt;&gt;"", "", Constants!$B$40))</f>
        <v>3.3</v>
      </c>
      <c r="W54" t="str">
        <f>IF('Input Scenarios'!W54&lt;&gt;"", 'Input Scenarios'!W54, "")</f>
        <v/>
      </c>
      <c r="X54" t="str">
        <f>'Input Scenarios'!X54</f>
        <v>Ayrshire</v>
      </c>
      <c r="Y54" t="str">
        <f>'Input Scenarios'!Y54</f>
        <v>bullsGt1</v>
      </c>
      <c r="Z54">
        <f>'Input Scenarios'!Z54</f>
        <v>200</v>
      </c>
      <c r="AA54">
        <f>IF('Input Scenarios'!AA54&lt;&gt;"", 'Input Scenarios'!AA54, _xlfn.XLOOKUP(Y54,Constants!$J$6:$J$12,Constants!$K$6:$K$12))</f>
        <v>365</v>
      </c>
      <c r="AB54">
        <f>IF('Input Scenarios'!AB54&lt;&gt;"", 'Input Scenarios'!AB54, INDEX(Constants!$B$2:$H$11, MATCH(X54, Constants!$A$2:$A$11, 0), MATCH(Y54,Constants!$B$1:$H$1, 0)))</f>
        <v>600</v>
      </c>
      <c r="AC54">
        <f>IF('Input Scenarios'!AC54&lt;&gt;"", 'Input Scenarios'!AC54, _xlfn.XLOOKUP(Y54, Constants!$B$13:$H$13, Constants!$B$15:$H$15, ""))</f>
        <v>0.1</v>
      </c>
      <c r="AD54">
        <f>IF('Input Scenarios'!AD54&lt;&gt;"", 'Input Scenarios'!AD54, Constants!$B$45)</f>
        <v>0.75</v>
      </c>
      <c r="AE54">
        <f>IF('Input Scenarios'!AE54&lt;&gt;"", 'Input Scenarios'!AE54, Constants!$B$46)</f>
        <v>0.2</v>
      </c>
      <c r="AF54">
        <f t="shared" si="68"/>
        <v>0</v>
      </c>
      <c r="AG54">
        <f t="shared" si="68"/>
        <v>0</v>
      </c>
      <c r="AH54">
        <f t="shared" si="68"/>
        <v>0</v>
      </c>
      <c r="AI54">
        <f t="shared" si="68"/>
        <v>0</v>
      </c>
      <c r="AJ54">
        <f t="shared" si="69"/>
        <v>1</v>
      </c>
      <c r="AK54">
        <f t="shared" si="79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55"/>
        <v>0.5948500000000001</v>
      </c>
      <c r="AQ54">
        <f t="shared" si="56"/>
        <v>0</v>
      </c>
      <c r="AR54">
        <f>IF(Y54="milkingCows", Constants!$P$2, Constants!$P$3)</f>
        <v>1</v>
      </c>
      <c r="AS54">
        <f t="shared" si="57"/>
        <v>9.0270202499999979</v>
      </c>
      <c r="AT54">
        <f t="shared" si="58"/>
        <v>1.0213029780639273</v>
      </c>
      <c r="AU54">
        <f>_xlfn.XLOOKUP(Y54, Constants!$B$13:$H$13, Constants!$B$14:$H$14, "")</f>
        <v>770</v>
      </c>
      <c r="AV54">
        <f t="shared" si="59"/>
        <v>0.77922077922077926</v>
      </c>
      <c r="AW54">
        <f>Constants!$B$55</f>
        <v>6.25</v>
      </c>
      <c r="AX54">
        <f t="shared" si="71"/>
        <v>1.2626203146474679E-3</v>
      </c>
      <c r="AY54">
        <f t="shared" si="72"/>
        <v>1.8054040499999997</v>
      </c>
      <c r="AZ54">
        <f t="shared" si="18"/>
        <v>0.28546836331241399</v>
      </c>
      <c r="BA54" t="str">
        <f>IF(ISNUMBER(FIND("PreWeaned",Y54)),_xlfn.XLOOKUP(Y54,Constants!$J$2:$J$3,Constants!$M$2:$M$3),"")</f>
        <v/>
      </c>
      <c r="BB54">
        <f t="shared" si="73"/>
        <v>20839.19052180622</v>
      </c>
      <c r="BC54">
        <f t="shared" si="74"/>
        <v>0</v>
      </c>
      <c r="BD54">
        <f t="shared" si="75"/>
        <v>0</v>
      </c>
      <c r="BE54">
        <f t="shared" si="76"/>
        <v>0</v>
      </c>
      <c r="BF54">
        <f t="shared" si="77"/>
        <v>0</v>
      </c>
      <c r="BG54">
        <f t="shared" si="78"/>
        <v>20839.19052180622</v>
      </c>
      <c r="BH54">
        <f>Constants!$D$19</f>
        <v>0.35</v>
      </c>
      <c r="BI54">
        <f>Constants!$D$20</f>
        <v>7.0000000000000007E-2</v>
      </c>
      <c r="BJ54">
        <f>Constants!$D$21</f>
        <v>0.2</v>
      </c>
      <c r="BK54">
        <f>Constants!$D$22</f>
        <v>0.3</v>
      </c>
      <c r="BL54">
        <f>Constants!$D$23</f>
        <v>0</v>
      </c>
      <c r="BM54">
        <f>Constants!$B$51</f>
        <v>0.21</v>
      </c>
      <c r="BN54">
        <f>Constants!$B$50</f>
        <v>1.57</v>
      </c>
      <c r="BO54">
        <f>_xlfn.XLOOKUP(C54,Constants!$A$27:$A$31,Constants!$B$27:$B$31)</f>
        <v>5.8999999999999999E-3</v>
      </c>
      <c r="BP54">
        <f t="shared" si="60"/>
        <v>0</v>
      </c>
      <c r="BQ54">
        <f t="shared" si="61"/>
        <v>0</v>
      </c>
      <c r="BR54">
        <f t="shared" si="62"/>
        <v>0</v>
      </c>
      <c r="BS54">
        <f t="shared" si="63"/>
        <v>0</v>
      </c>
      <c r="BT54">
        <f t="shared" si="64"/>
        <v>0</v>
      </c>
      <c r="BU54">
        <f t="shared" si="65"/>
        <v>4376.2300095793062</v>
      </c>
      <c r="BV54">
        <f t="shared" si="66"/>
        <v>0</v>
      </c>
      <c r="BW54">
        <f t="shared" si="67"/>
        <v>40.537018578733111</v>
      </c>
    </row>
    <row r="55" spans="1:76" x14ac:dyDescent="0.2">
      <c r="A55" t="str">
        <f>'Input Scenarios'!A55</f>
        <v>WA</v>
      </c>
      <c r="B55">
        <f>'Input Scenarios'!B55</f>
        <v>0</v>
      </c>
      <c r="C55" t="str">
        <f>'Input Scenarios'!C55</f>
        <v>Irrigated pasture</v>
      </c>
      <c r="D55" t="str">
        <f>'Input Scenarios'!D55</f>
        <v>dry</v>
      </c>
      <c r="E55" t="b">
        <f>'Input Scenarios'!E55</f>
        <v>0</v>
      </c>
      <c r="F55" t="str">
        <f>'Input Scenarios'!F55</f>
        <v>Grazed only</v>
      </c>
      <c r="G55">
        <f>IF('Input Scenarios'!G55&lt;&gt;"", 'Input Scenarios'!G55, _xlfn.XLOOKUP($F55, Constants!$M$6:$M$9,Constants!N$6:N$9))</f>
        <v>0.89</v>
      </c>
      <c r="H55">
        <f>IF('Input Scenarios'!H55&lt;&gt;"", 'Input Scenarios'!H55, _xlfn.XLOOKUP($F55, Constants!$M$6:$M$9,Constants!O$6:O$9))</f>
        <v>0.11</v>
      </c>
      <c r="I55">
        <f>IF('Input Scenarios'!I55&lt;&gt;"", 'Input Scenarios'!I55, _xlfn.XLOOKUP($F55, Constants!$M$6:$M$9,Constants!P$6:P$9))</f>
        <v>0</v>
      </c>
      <c r="J55">
        <f>'Input Scenarios'!J55</f>
        <v>0</v>
      </c>
      <c r="K55">
        <f>'Input Scenarios'!K55</f>
        <v>0.5</v>
      </c>
      <c r="L55">
        <f>'Input Scenarios'!L55</f>
        <v>0.5</v>
      </c>
      <c r="M55">
        <f>'Input Scenarios'!M55</f>
        <v>0</v>
      </c>
      <c r="N55">
        <f>'Input Scenarios'!N55</f>
        <v>0.5</v>
      </c>
      <c r="O55">
        <f>'Input Scenarios'!O55</f>
        <v>0</v>
      </c>
      <c r="P55">
        <f>'Input Scenarios'!P55</f>
        <v>0</v>
      </c>
      <c r="Q55">
        <f>'Input Scenarios'!Q55</f>
        <v>0.5</v>
      </c>
      <c r="R55" t="b">
        <f>'Input Scenarios'!R55</f>
        <v>0</v>
      </c>
      <c r="S55">
        <f>IF('Input Scenarios'!S55&lt;&gt;"", 'Input Scenarios'!S55, IF(R55, Constants!$B$38, 0))</f>
        <v>0</v>
      </c>
      <c r="T55" t="str">
        <f>IF('Input Scenarios'!T55&lt;&gt;"", 'Input Scenarios'!T55, "")</f>
        <v/>
      </c>
      <c r="U55">
        <f>IF('Input Scenarios'!U55&lt;&gt;"", 'Input Scenarios'!U55, IF(W55&lt;&gt;"", "", Constants!$B$39))</f>
        <v>4</v>
      </c>
      <c r="V55">
        <f>IF('Input Scenarios'!V55&lt;&gt;"", 'Input Scenarios'!V55, IF(W55&lt;&gt;"", "", Constants!$B$40))</f>
        <v>3.3</v>
      </c>
      <c r="W55" t="str">
        <f>IF('Input Scenarios'!W55&lt;&gt;"", 'Input Scenarios'!W55, "")</f>
        <v/>
      </c>
      <c r="X55" t="str">
        <f>'Input Scenarios'!X55</f>
        <v>Ayrshire</v>
      </c>
      <c r="Y55" t="str">
        <f>'Input Scenarios'!Y55</f>
        <v>bullsLt1PreWeaned</v>
      </c>
      <c r="Z55">
        <f>'Input Scenarios'!Z55</f>
        <v>200</v>
      </c>
      <c r="AA55">
        <f>IF('Input Scenarios'!AA55&lt;&gt;"", 'Input Scenarios'!AA55, _xlfn.XLOOKUP(Y55,Constants!$J$6:$J$12,Constants!$K$6:$K$12))</f>
        <v>84</v>
      </c>
      <c r="AB55">
        <f>IF('Input Scenarios'!AB55&lt;&gt;"", 'Input Scenarios'!AB55, INDEX(Constants!$B$2:$H$11, MATCH(X55, Constants!$A$2:$A$11, 0), MATCH(Y55,Constants!$B$1:$H$1, 0)))</f>
        <v>225</v>
      </c>
      <c r="AC55" t="str">
        <f>IF('Input Scenarios'!AC55&lt;&gt;"", 'Input Scenarios'!AC55, _xlfn.XLOOKUP(Y55, Constants!$B$13:$H$13, Constants!$B$15:$H$15, ""))</f>
        <v/>
      </c>
      <c r="AD55">
        <f>IF('Input Scenarios'!AD55&lt;&gt;"", 'Input Scenarios'!AD55, Constants!$B$45)</f>
        <v>0.75</v>
      </c>
      <c r="AE55">
        <f>IF('Input Scenarios'!AE55&lt;&gt;"", 'Input Scenarios'!AE55, Constants!$B$46)</f>
        <v>0.2</v>
      </c>
      <c r="AF55">
        <f t="shared" si="68"/>
        <v>0</v>
      </c>
      <c r="AG55">
        <f t="shared" si="68"/>
        <v>0</v>
      </c>
      <c r="AH55">
        <f t="shared" si="68"/>
        <v>0</v>
      </c>
      <c r="AI55">
        <f t="shared" si="68"/>
        <v>0</v>
      </c>
      <c r="AJ55">
        <f t="shared" si="69"/>
        <v>1</v>
      </c>
      <c r="AK55">
        <f t="shared" si="79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55"/>
        <v>0.5948500000000001</v>
      </c>
      <c r="AQ55">
        <f t="shared" si="56"/>
        <v>0</v>
      </c>
      <c r="AR55">
        <f>IF(Y55="milkingCows", Constants!$P$2, Constants!$P$3)</f>
        <v>1</v>
      </c>
      <c r="AS55" t="str">
        <f t="shared" si="57"/>
        <v/>
      </c>
      <c r="AT55" t="str">
        <f t="shared" si="58"/>
        <v/>
      </c>
      <c r="AU55" t="str">
        <f>_xlfn.XLOOKUP(Y55, Constants!$B$13:$H$13, Constants!$B$14:$H$14, "")</f>
        <v/>
      </c>
      <c r="AV55" t="str">
        <f t="shared" si="59"/>
        <v/>
      </c>
      <c r="AW55">
        <f>Constants!$B$55</f>
        <v>6.25</v>
      </c>
      <c r="AX55" t="str">
        <f t="shared" si="71"/>
        <v/>
      </c>
      <c r="AY55" t="str">
        <f t="shared" si="72"/>
        <v/>
      </c>
      <c r="AZ55" t="str">
        <f t="shared" si="18"/>
        <v/>
      </c>
      <c r="BA55">
        <f>IF(ISNUMBER(FIND("PreWeaned",Y55)),_xlfn.XLOOKUP(Y55,Constants!$J$2:$J$3,Constants!$M$2:$M$3),"")</f>
        <v>9.1999999999999998E-3</v>
      </c>
      <c r="BB55">
        <f t="shared" si="73"/>
        <v>154.56</v>
      </c>
      <c r="BC55">
        <f t="shared" si="74"/>
        <v>0</v>
      </c>
      <c r="BD55">
        <f t="shared" si="75"/>
        <v>0</v>
      </c>
      <c r="BE55">
        <f t="shared" si="76"/>
        <v>0</v>
      </c>
      <c r="BF55">
        <f t="shared" si="77"/>
        <v>0</v>
      </c>
      <c r="BG55">
        <f t="shared" si="78"/>
        <v>154.56</v>
      </c>
      <c r="BH55">
        <f>Constants!$D$19</f>
        <v>0.35</v>
      </c>
      <c r="BI55">
        <f>Constants!$D$20</f>
        <v>7.0000000000000007E-2</v>
      </c>
      <c r="BJ55">
        <f>Constants!$D$21</f>
        <v>0.2</v>
      </c>
      <c r="BK55">
        <f>Constants!$D$22</f>
        <v>0.3</v>
      </c>
      <c r="BL55">
        <f>Constants!$D$23</f>
        <v>0</v>
      </c>
      <c r="BM55">
        <f>Constants!$B$51</f>
        <v>0.21</v>
      </c>
      <c r="BN55">
        <f>Constants!$B$50</f>
        <v>1.57</v>
      </c>
      <c r="BO55">
        <f>_xlfn.XLOOKUP(C55,Constants!$A$27:$A$31,Constants!$B$27:$B$31)</f>
        <v>5.8999999999999999E-3</v>
      </c>
      <c r="BP55">
        <f t="shared" si="60"/>
        <v>0</v>
      </c>
      <c r="BQ55">
        <f t="shared" si="61"/>
        <v>0</v>
      </c>
      <c r="BR55">
        <f t="shared" si="62"/>
        <v>0</v>
      </c>
      <c r="BS55">
        <f t="shared" si="63"/>
        <v>0</v>
      </c>
      <c r="BT55">
        <f t="shared" si="64"/>
        <v>0</v>
      </c>
      <c r="BU55">
        <f t="shared" si="65"/>
        <v>32.457599999999999</v>
      </c>
      <c r="BV55">
        <f t="shared" si="66"/>
        <v>0</v>
      </c>
      <c r="BW55">
        <f t="shared" si="67"/>
        <v>0.30065474880000004</v>
      </c>
    </row>
    <row r="56" spans="1:76" s="16" customFormat="1" x14ac:dyDescent="0.2">
      <c r="A56" s="16" t="str">
        <f>'Input Scenarios'!A56</f>
        <v>WA</v>
      </c>
      <c r="B56" s="16">
        <f>'Input Scenarios'!B56</f>
        <v>0</v>
      </c>
      <c r="C56" s="16" t="str">
        <f>'Input Scenarios'!C56</f>
        <v>Irrigated pasture</v>
      </c>
      <c r="D56" s="16" t="str">
        <f>'Input Scenarios'!D56</f>
        <v>dry</v>
      </c>
      <c r="E56" s="16" t="b">
        <f>'Input Scenarios'!E56</f>
        <v>0</v>
      </c>
      <c r="F56" s="16" t="str">
        <f>'Input Scenarios'!F56</f>
        <v>Grazed only</v>
      </c>
      <c r="G56" s="16">
        <f>IF('Input Scenarios'!G56&lt;&gt;"", 'Input Scenarios'!G56, _xlfn.XLOOKUP($F56, Constants!$M$6:$M$9,Constants!N$6:N$9))</f>
        <v>0.89</v>
      </c>
      <c r="H56" s="16">
        <f>IF('Input Scenarios'!H56&lt;&gt;"", 'Input Scenarios'!H56, _xlfn.XLOOKUP($F56, Constants!$M$6:$M$9,Constants!O$6:O$9))</f>
        <v>0.11</v>
      </c>
      <c r="I56" s="16">
        <f>IF('Input Scenarios'!I56&lt;&gt;"", 'Input Scenarios'!I56, _xlfn.XLOOKUP($F56, Constants!$M$6:$M$9,Constants!P$6:P$9))</f>
        <v>0</v>
      </c>
      <c r="J56" s="16">
        <f>'Input Scenarios'!J56</f>
        <v>0</v>
      </c>
      <c r="K56" s="16">
        <f>'Input Scenarios'!K56</f>
        <v>0.5</v>
      </c>
      <c r="L56" s="16">
        <f>'Input Scenarios'!L56</f>
        <v>0.5</v>
      </c>
      <c r="M56" s="16">
        <f>'Input Scenarios'!M56</f>
        <v>0</v>
      </c>
      <c r="N56" s="16">
        <f>'Input Scenarios'!N56</f>
        <v>0.5</v>
      </c>
      <c r="O56" s="16">
        <f>'Input Scenarios'!O56</f>
        <v>0</v>
      </c>
      <c r="P56" s="16">
        <f>'Input Scenarios'!P56</f>
        <v>0</v>
      </c>
      <c r="Q56" s="16">
        <f>'Input Scenarios'!Q56</f>
        <v>0.5</v>
      </c>
      <c r="R56" s="16" t="b">
        <f>'Input Scenarios'!R56</f>
        <v>0</v>
      </c>
      <c r="S56" s="16">
        <f>IF('Input Scenarios'!S56&lt;&gt;"", 'Input Scenarios'!S56, IF(R56, Constants!$B$38, 0))</f>
        <v>0</v>
      </c>
      <c r="T56" s="16" t="str">
        <f>IF('Input Scenarios'!T56&lt;&gt;"", 'Input Scenarios'!T56, "")</f>
        <v/>
      </c>
      <c r="U56" s="16">
        <f>IF('Input Scenarios'!U56&lt;&gt;"", 'Input Scenarios'!U56, IF(W56&lt;&gt;"", "", Constants!$B$39))</f>
        <v>4</v>
      </c>
      <c r="V56" s="16">
        <f>IF('Input Scenarios'!V56&lt;&gt;"", 'Input Scenarios'!V56, IF(W56&lt;&gt;"", "", Constants!$B$40))</f>
        <v>3.3</v>
      </c>
      <c r="W56" s="16" t="str">
        <f>IF('Input Scenarios'!W56&lt;&gt;"", 'Input Scenarios'!W56, "")</f>
        <v/>
      </c>
      <c r="X56" s="16" t="str">
        <f>'Input Scenarios'!X56</f>
        <v>Ayrshire</v>
      </c>
      <c r="Y56" s="16" t="str">
        <f>'Input Scenarios'!Y56</f>
        <v>bullsLt1Weaned</v>
      </c>
      <c r="Z56" s="16">
        <f>'Input Scenarios'!Z56</f>
        <v>200</v>
      </c>
      <c r="AA56" s="16">
        <f>IF('Input Scenarios'!AA56&lt;&gt;"", 'Input Scenarios'!AA56, _xlfn.XLOOKUP(Y56,Constants!$J$6:$J$12,Constants!$K$6:$K$12))</f>
        <v>281</v>
      </c>
      <c r="AB56" s="16">
        <f>IF('Input Scenarios'!AB56&lt;&gt;"", 'Input Scenarios'!AB56, INDEX(Constants!$B$2:$H$11, MATCH(X56, Constants!$A$2:$A$11, 0), MATCH(Y56,Constants!$B$1:$H$1, 0)))</f>
        <v>225</v>
      </c>
      <c r="AC56" s="16">
        <f>IF('Input Scenarios'!AC56&lt;&gt;"", 'Input Scenarios'!AC56, _xlfn.XLOOKUP(Y56, Constants!$B$13:$H$13, Constants!$B$15:$H$15, ""))</f>
        <v>0.8</v>
      </c>
      <c r="AD56" s="16">
        <f>IF('Input Scenarios'!AD56&lt;&gt;"", 'Input Scenarios'!AD56, Constants!$B$45)</f>
        <v>0.75</v>
      </c>
      <c r="AE56" s="16">
        <f>IF('Input Scenarios'!AE56&lt;&gt;"", 'Input Scenarios'!AE56, Constants!$B$46)</f>
        <v>0.2</v>
      </c>
      <c r="AF56" s="16">
        <f t="shared" si="68"/>
        <v>0</v>
      </c>
      <c r="AG56" s="16">
        <f t="shared" si="68"/>
        <v>0</v>
      </c>
      <c r="AH56" s="16">
        <f t="shared" si="68"/>
        <v>0</v>
      </c>
      <c r="AI56" s="16">
        <f t="shared" si="68"/>
        <v>0</v>
      </c>
      <c r="AJ56" s="16">
        <f t="shared" si="69"/>
        <v>1</v>
      </c>
      <c r="AK56" s="16">
        <f t="shared" si="79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ref="AP56:AP63" si="80">0.795*(AD56)-0.0014</f>
        <v>0.5948500000000001</v>
      </c>
      <c r="AQ56" s="16">
        <f t="shared" ref="AQ56:AQ63" si="81">(AK56*AL56*AM56)/(AN56*AO56*AP56)</f>
        <v>0</v>
      </c>
      <c r="AR56" s="16">
        <f>IF(Y56="milkingCows", Constants!$P$2, Constants!$P$3)</f>
        <v>1</v>
      </c>
      <c r="AS56" s="16">
        <f t="shared" ref="AS56:AS63" si="82">IFERROR(((1.185+(0.00454*AB56)-(0.0000026*(AB56^2))+(0.315*AC56))^2*AR56+AQ56), "")</f>
        <v>5.4143472656250013</v>
      </c>
      <c r="AT56" s="16">
        <f t="shared" ref="AT56:AT63" si="83">IFERROR(((1.185+(0.00454*AB56)-(0.0000026*(AB56^2))+(0.315*AC56))^2*AR56+AQ56)/((1.185+(0.00454*AB56)-(0.0000026*(AB56^2)))^2*AR56+AQ56), "")</f>
        <v>1.2576570545672616</v>
      </c>
      <c r="AU56" s="16">
        <f>_xlfn.XLOOKUP(Y56, Constants!$B$13:$H$13, Constants!$B$14:$H$14, "")</f>
        <v>770</v>
      </c>
      <c r="AV56" s="16">
        <f t="shared" ref="AV56:AV63" si="84">IFERROR(AB56/AU56, "")</f>
        <v>0.29220779220779219</v>
      </c>
      <c r="AW56" s="16">
        <f>Constants!$B$55</f>
        <v>6.25</v>
      </c>
      <c r="AX56" s="16">
        <f t="shared" si="71"/>
        <v>1.9757354894894084E-2</v>
      </c>
      <c r="AY56" s="16">
        <f t="shared" si="72"/>
        <v>1.0828694531250003</v>
      </c>
      <c r="AZ56" s="16">
        <f t="shared" si="18"/>
        <v>0.15247929000170721</v>
      </c>
      <c r="BA56" s="16" t="str">
        <f>IF(ISNUMBER(FIND("PreWeaned",Y56)),_xlfn.XLOOKUP(Y56,Constants!$J$2:$J$3,Constants!$M$2:$M$3),"")</f>
        <v/>
      </c>
      <c r="BB56" s="16">
        <f t="shared" si="73"/>
        <v>8569.336098095946</v>
      </c>
      <c r="BC56" s="16">
        <f t="shared" si="74"/>
        <v>0</v>
      </c>
      <c r="BD56" s="16">
        <f t="shared" si="75"/>
        <v>0</v>
      </c>
      <c r="BE56" s="16">
        <f t="shared" si="76"/>
        <v>0</v>
      </c>
      <c r="BF56" s="16">
        <f t="shared" si="77"/>
        <v>0</v>
      </c>
      <c r="BG56" s="16">
        <f t="shared" si="78"/>
        <v>8569.336098095946</v>
      </c>
      <c r="BH56" s="16">
        <f>Constants!$D$19</f>
        <v>0.35</v>
      </c>
      <c r="BI56" s="16">
        <f>Constants!$D$20</f>
        <v>7.0000000000000007E-2</v>
      </c>
      <c r="BJ56" s="16">
        <f>Constants!$D$21</f>
        <v>0.2</v>
      </c>
      <c r="BK56" s="16">
        <f>Constants!$D$22</f>
        <v>0.3</v>
      </c>
      <c r="BL56" s="16">
        <f>Constants!$D$23</f>
        <v>0</v>
      </c>
      <c r="BM56" s="16">
        <f>Constants!$B$51</f>
        <v>0.21</v>
      </c>
      <c r="BN56" s="16">
        <f>Constants!$B$50</f>
        <v>1.57</v>
      </c>
      <c r="BO56" s="16">
        <f>_xlfn.XLOOKUP(C56,Constants!$A$27:$A$31,Constants!$B$27:$B$31)</f>
        <v>5.8999999999999999E-3</v>
      </c>
      <c r="BP56" s="16">
        <f t="shared" ref="BP56:BP63" si="85">BC56*BH56</f>
        <v>0</v>
      </c>
      <c r="BQ56" s="16">
        <f t="shared" ref="BQ56:BQ63" si="86">BD56*BI56</f>
        <v>0</v>
      </c>
      <c r="BR56" s="16">
        <f t="shared" ref="BR56:BR63" si="87">BE56*BJ56</f>
        <v>0</v>
      </c>
      <c r="BS56" s="16">
        <f t="shared" ref="BS56:BS63" si="88">BF56*BK56</f>
        <v>0</v>
      </c>
      <c r="BT56" s="16">
        <f t="shared" ref="BT56:BT63" si="89">BG56*BL56</f>
        <v>0</v>
      </c>
      <c r="BU56" s="16">
        <f t="shared" ref="BU56:BU63" si="90">BG56*BM56</f>
        <v>1799.5605806001486</v>
      </c>
      <c r="BV56" s="16">
        <f t="shared" ref="BV56:BV63" si="91">SUM(BP56:BS56)*BO56*BN56</f>
        <v>0</v>
      </c>
      <c r="BW56" s="16">
        <f t="shared" ref="BW56:BW63" si="92">BU56*BO56*BN56</f>
        <v>16.669329658099176</v>
      </c>
    </row>
    <row r="57" spans="1:76" x14ac:dyDescent="0.2">
      <c r="A57" t="str">
        <f>'Input Scenarios'!A57</f>
        <v>SA</v>
      </c>
      <c r="B57">
        <f>'Input Scenarios'!B57</f>
        <v>0</v>
      </c>
      <c r="C57" t="str">
        <f>'Input Scenarios'!C57</f>
        <v>Irrigated crop</v>
      </c>
      <c r="D57" t="str">
        <f>'Input Scenarios'!D57</f>
        <v>dry</v>
      </c>
      <c r="E57" t="b">
        <f>'Input Scenarios'!E57</f>
        <v>1</v>
      </c>
      <c r="F57" t="str">
        <f>'Input Scenarios'!F57</f>
        <v>Zero grazing</v>
      </c>
      <c r="G57">
        <f>IF('Input Scenarios'!G57&lt;&gt;"", 'Input Scenarios'!G57, _xlfn.XLOOKUP($F57, Constants!$M$6:$M$9,Constants!N$6:N$9))</f>
        <v>0</v>
      </c>
      <c r="H57">
        <f>IF('Input Scenarios'!H57&lt;&gt;"", 'Input Scenarios'!H57, _xlfn.XLOOKUP($F57, Constants!$M$6:$M$9,Constants!O$6:O$9))</f>
        <v>0.11</v>
      </c>
      <c r="I57">
        <f>IF('Input Scenarios'!I57&lt;&gt;"", 'Input Scenarios'!I57, _xlfn.XLOOKUP($F57, Constants!$M$6:$M$9,Constants!P$6:P$9))</f>
        <v>0.89</v>
      </c>
      <c r="J57">
        <f>'Input Scenarios'!J57</f>
        <v>0.1</v>
      </c>
      <c r="K57">
        <f>'Input Scenarios'!K57</f>
        <v>0.2</v>
      </c>
      <c r="L57">
        <f>'Input Scenarios'!L57</f>
        <v>0.3</v>
      </c>
      <c r="M57">
        <f>'Input Scenarios'!M57</f>
        <v>0.4</v>
      </c>
      <c r="N57">
        <f>'Input Scenarios'!N57</f>
        <v>0.4</v>
      </c>
      <c r="O57">
        <f>'Input Scenarios'!O57</f>
        <v>0.3</v>
      </c>
      <c r="P57">
        <f>'Input Scenarios'!P57</f>
        <v>0.2</v>
      </c>
      <c r="Q57">
        <f>'Input Scenarios'!Q57</f>
        <v>0.1</v>
      </c>
      <c r="R57" t="b">
        <f>'Input Scenarios'!R57</f>
        <v>0</v>
      </c>
      <c r="S57">
        <f>IF('Input Scenarios'!S57&lt;&gt;"", 'Input Scenarios'!S57, IF(R57, Constants!$B$38, 0))</f>
        <v>0</v>
      </c>
      <c r="T57" t="str">
        <f>IF('Input Scenarios'!T57&lt;&gt;"", 'Input Scenarios'!T57, "")</f>
        <v/>
      </c>
      <c r="U57" t="str">
        <f>IF('Input Scenarios'!U57&lt;&gt;"", 'Input Scenarios'!U57, IF(W57&lt;&gt;"", "", Constants!$B$39))</f>
        <v/>
      </c>
      <c r="V57" t="str">
        <f>IF('Input Scenarios'!V57&lt;&gt;"", 'Input Scenarios'!V57, IF(W57&lt;&gt;"", "", Constants!$B$40))</f>
        <v/>
      </c>
      <c r="W57">
        <f>IF('Input Scenarios'!W57&lt;&gt;"", 'Input Scenarios'!W57, "")</f>
        <v>0.1</v>
      </c>
      <c r="X57" t="str">
        <f>'Input Scenarios'!X57</f>
        <v>Guernsey</v>
      </c>
      <c r="Y57" t="str">
        <f>'Input Scenarios'!Y57</f>
        <v>milkingCows</v>
      </c>
      <c r="Z57">
        <f>'Input Scenarios'!Z57</f>
        <v>200</v>
      </c>
      <c r="AA57">
        <f>IF('Input Scenarios'!AA57&lt;&gt;"", 'Input Scenarios'!AA57, _xlfn.XLOOKUP(Y57,Constants!$J$6:$J$12,Constants!$K$6:$K$12))</f>
        <v>365</v>
      </c>
      <c r="AB57">
        <f>IF('Input Scenarios'!AB57&lt;&gt;"", 'Input Scenarios'!AB57, INDEX(Constants!$B$2:$H$11, MATCH(X57, Constants!$A$2:$A$11, 0), MATCH(Y57,Constants!$B$1:$H$1, 0)))</f>
        <v>480</v>
      </c>
      <c r="AC57">
        <f>IF('Input Scenarios'!AC57&lt;&gt;"", 'Input Scenarios'!AC57, _xlfn.XLOOKUP(Y57, Constants!$B$13:$H$13, Constants!$B$15:$H$15, ""))</f>
        <v>1.6E-2</v>
      </c>
      <c r="AD57">
        <f>IF('Input Scenarios'!AD57&lt;&gt;"", 'Input Scenarios'!AD57, Constants!$B$45)</f>
        <v>0.75</v>
      </c>
      <c r="AE57">
        <f>IF('Input Scenarios'!AE57&lt;&gt;"", 'Input Scenarios'!AE57, Constants!$B$46)</f>
        <v>0.2</v>
      </c>
      <c r="AF57" s="20">
        <f>IF($Y57="milkingCows",($H57*J57)+($I57*N57), 0)</f>
        <v>0.36700000000000005</v>
      </c>
      <c r="AG57" s="20">
        <f t="shared" ref="AG57:AI63" si="93">IF($Y57="milkingCows",($H57*K57)+($I57*O57), 0)</f>
        <v>0.28900000000000003</v>
      </c>
      <c r="AH57" s="20">
        <f t="shared" si="93"/>
        <v>0.21100000000000002</v>
      </c>
      <c r="AI57" s="20">
        <f t="shared" si="93"/>
        <v>0.13300000000000001</v>
      </c>
      <c r="AJ57" s="20">
        <f>IF($Y57="milkingCows",G57, 1)</f>
        <v>0</v>
      </c>
      <c r="AK57">
        <f t="shared" si="79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80"/>
        <v>0.5948500000000001</v>
      </c>
      <c r="AQ57">
        <f t="shared" si="81"/>
        <v>4.7899360818035967E-2</v>
      </c>
      <c r="AR57">
        <f>IF(Y57="milkingCows", Constants!$P$2, Constants!$P$3)</f>
        <v>1.1000000000000001</v>
      </c>
      <c r="AS57">
        <f t="shared" si="82"/>
        <v>8.4893082048180375</v>
      </c>
      <c r="AT57">
        <f t="shared" si="83"/>
        <v>1.0036280191363305</v>
      </c>
      <c r="AU57">
        <f>_xlfn.XLOOKUP(Y57, Constants!$B$13:$H$13, Constants!$B$14:$H$14, "")</f>
        <v>590</v>
      </c>
      <c r="AV57">
        <f t="shared" si="84"/>
        <v>0.81355932203389836</v>
      </c>
      <c r="AW57">
        <f>Constants!$B$55</f>
        <v>6.25</v>
      </c>
      <c r="AX57" s="20">
        <f t="shared" si="71"/>
        <v>7.1308460484772421E-4</v>
      </c>
      <c r="AY57">
        <f t="shared" si="72"/>
        <v>1.6978616409636076</v>
      </c>
      <c r="AZ57">
        <f>IF(ISNUMBER(FIND("PreWeaned",Y57)),"", MAX((AY57/AW57)-AX57-(((1.1*10^-4)*(AB57^0.75))/AW57), 0))</f>
        <v>0.26913991763431183</v>
      </c>
      <c r="BA57" t="str">
        <f>IF(ISNUMBER(FIND("PreWeaned",Y57)),_xlfn.XLOOKUP(Y57,Constants!$J$2:$J$3,Constants!$M$2:$M$3),"")</f>
        <v/>
      </c>
      <c r="BB57">
        <f t="shared" si="73"/>
        <v>19647.213987304764</v>
      </c>
      <c r="BC57">
        <f t="shared" si="74"/>
        <v>7210.527533340849</v>
      </c>
      <c r="BD57">
        <f t="shared" si="75"/>
        <v>5678.0448423310772</v>
      </c>
      <c r="BE57">
        <f t="shared" si="76"/>
        <v>4145.5621513213055</v>
      </c>
      <c r="BF57">
        <f t="shared" si="77"/>
        <v>2613.0794603115337</v>
      </c>
      <c r="BG57">
        <f t="shared" si="78"/>
        <v>0</v>
      </c>
      <c r="BH57">
        <f>Constants!$D$19</f>
        <v>0.35</v>
      </c>
      <c r="BI57">
        <f>Constants!$D$20</f>
        <v>7.0000000000000007E-2</v>
      </c>
      <c r="BJ57">
        <f>Constants!$D$21</f>
        <v>0.2</v>
      </c>
      <c r="BK57">
        <f>Constants!$D$22</f>
        <v>0.3</v>
      </c>
      <c r="BL57">
        <f>Constants!$D$23</f>
        <v>0</v>
      </c>
      <c r="BM57">
        <f>Constants!$B$51</f>
        <v>0.21</v>
      </c>
      <c r="BN57">
        <f>Constants!$B$50</f>
        <v>1.57</v>
      </c>
      <c r="BO57">
        <f>_xlfn.XLOOKUP(C57,Constants!$A$27:$A$31,Constants!$B$27:$B$31)</f>
        <v>7.0000000000000001E-3</v>
      </c>
      <c r="BP57">
        <f t="shared" si="85"/>
        <v>2523.6846366692971</v>
      </c>
      <c r="BQ57">
        <f t="shared" si="86"/>
        <v>397.46313896317542</v>
      </c>
      <c r="BR57">
        <f t="shared" si="87"/>
        <v>829.11243026426109</v>
      </c>
      <c r="BS57">
        <f t="shared" si="88"/>
        <v>783.92383809346006</v>
      </c>
      <c r="BT57">
        <f t="shared" si="89"/>
        <v>0</v>
      </c>
      <c r="BU57">
        <f t="shared" si="90"/>
        <v>0</v>
      </c>
      <c r="BV57">
        <f t="shared" si="91"/>
        <v>49.830682643452228</v>
      </c>
      <c r="BW57">
        <f t="shared" si="92"/>
        <v>0</v>
      </c>
      <c r="BX57">
        <f>SUM(BV57:BW63)/1000</f>
        <v>0.16697146328684637</v>
      </c>
    </row>
    <row r="58" spans="1:76" x14ac:dyDescent="0.2">
      <c r="A58" t="str">
        <f>'Input Scenarios'!A58</f>
        <v>SA</v>
      </c>
      <c r="B58">
        <f>'Input Scenarios'!B58</f>
        <v>0</v>
      </c>
      <c r="C58" t="str">
        <f>'Input Scenarios'!C58</f>
        <v>Irrigated crop</v>
      </c>
      <c r="D58" t="str">
        <f>'Input Scenarios'!D58</f>
        <v>dry</v>
      </c>
      <c r="E58" t="b">
        <f>'Input Scenarios'!E58</f>
        <v>1</v>
      </c>
      <c r="F58" t="str">
        <f>'Input Scenarios'!F58</f>
        <v>Zero grazing</v>
      </c>
      <c r="G58">
        <f>IF('Input Scenarios'!G58&lt;&gt;"", 'Input Scenarios'!G58, _xlfn.XLOOKUP($F58, Constants!$M$6:$M$9,Constants!N$6:N$9))</f>
        <v>0</v>
      </c>
      <c r="H58">
        <f>IF('Input Scenarios'!H58&lt;&gt;"", 'Input Scenarios'!H58, _xlfn.XLOOKUP($F58, Constants!$M$6:$M$9,Constants!O$6:O$9))</f>
        <v>0.11</v>
      </c>
      <c r="I58">
        <f>IF('Input Scenarios'!I58&lt;&gt;"", 'Input Scenarios'!I58, _xlfn.XLOOKUP($F58, Constants!$M$6:$M$9,Constants!P$6:P$9))</f>
        <v>0.89</v>
      </c>
      <c r="J58">
        <f>'Input Scenarios'!J58</f>
        <v>0.1</v>
      </c>
      <c r="K58">
        <f>'Input Scenarios'!K58</f>
        <v>0.2</v>
      </c>
      <c r="L58">
        <f>'Input Scenarios'!L58</f>
        <v>0.3</v>
      </c>
      <c r="M58">
        <f>'Input Scenarios'!M58</f>
        <v>0.4</v>
      </c>
      <c r="N58">
        <f>'Input Scenarios'!N58</f>
        <v>0.4</v>
      </c>
      <c r="O58">
        <f>'Input Scenarios'!O58</f>
        <v>0.3</v>
      </c>
      <c r="P58">
        <f>'Input Scenarios'!P58</f>
        <v>0.2</v>
      </c>
      <c r="Q58">
        <f>'Input Scenarios'!Q58</f>
        <v>0.1</v>
      </c>
      <c r="R58" t="b">
        <f>'Input Scenarios'!R58</f>
        <v>0</v>
      </c>
      <c r="S58">
        <f>IF('Input Scenarios'!S58&lt;&gt;"", 'Input Scenarios'!S58, IF(R58, Constants!$B$38, 0))</f>
        <v>0</v>
      </c>
      <c r="T58" t="str">
        <f>IF('Input Scenarios'!T58&lt;&gt;"", 'Input Scenarios'!T58, "")</f>
        <v/>
      </c>
      <c r="U58">
        <f>IF('Input Scenarios'!U58&lt;&gt;"", 'Input Scenarios'!U58, IF(W58&lt;&gt;"", "", Constants!$B$39))</f>
        <v>4</v>
      </c>
      <c r="V58">
        <f>IF('Input Scenarios'!V58&lt;&gt;"", 'Input Scenarios'!V58, IF(W58&lt;&gt;"", "", Constants!$B$40))</f>
        <v>3.3</v>
      </c>
      <c r="W58" t="str">
        <f>IF('Input Scenarios'!W58&lt;&gt;"", 'Input Scenarios'!W58, "")</f>
        <v/>
      </c>
      <c r="X58" t="str">
        <f>'Input Scenarios'!X58</f>
        <v>Guernsey</v>
      </c>
      <c r="Y58" t="str">
        <f>'Input Scenarios'!Y58</f>
        <v>heifersGt1</v>
      </c>
      <c r="Z58">
        <f>'Input Scenarios'!Z58</f>
        <v>200</v>
      </c>
      <c r="AA58">
        <f>IF('Input Scenarios'!AA58&lt;&gt;"", 'Input Scenarios'!AA58, _xlfn.XLOOKUP(Y58,Constants!$J$6:$J$12,Constants!$K$6:$K$12))</f>
        <v>365</v>
      </c>
      <c r="AB58">
        <f>IF('Input Scenarios'!AB58&lt;&gt;"", 'Input Scenarios'!AB58, INDEX(Constants!$B$2:$H$11, MATCH(X58, Constants!$A$2:$A$11, 0), MATCH(Y58,Constants!$B$1:$H$1, 0)))</f>
        <v>335</v>
      </c>
      <c r="AC58">
        <f>IF('Input Scenarios'!AC58&lt;&gt;"", 'Input Scenarios'!AC58, _xlfn.XLOOKUP(Y58, Constants!$B$13:$H$13, Constants!$B$15:$H$15, ""))</f>
        <v>0.6</v>
      </c>
      <c r="AD58">
        <f>IF('Input Scenarios'!AD58&lt;&gt;"", 'Input Scenarios'!AD58, Constants!$B$45)</f>
        <v>0.75</v>
      </c>
      <c r="AE58">
        <f>IF('Input Scenarios'!AE58&lt;&gt;"", 'Input Scenarios'!AE58, Constants!$B$46)</f>
        <v>0.2</v>
      </c>
      <c r="AF58">
        <f t="shared" ref="AF58:AF63" si="94">IF($Y58="milkingCows",($H58*J58)+($I58*N58), 0)</f>
        <v>0</v>
      </c>
      <c r="AG58">
        <f t="shared" si="93"/>
        <v>0</v>
      </c>
      <c r="AH58">
        <f t="shared" si="93"/>
        <v>0</v>
      </c>
      <c r="AI58">
        <f t="shared" si="93"/>
        <v>0</v>
      </c>
      <c r="AJ58">
        <f t="shared" ref="AJ58:AJ63" si="95">IF($Y58="milkingCows",G58, 1)</f>
        <v>1</v>
      </c>
      <c r="AK58">
        <f t="shared" si="79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80"/>
        <v>0.5948500000000001</v>
      </c>
      <c r="AQ58">
        <f t="shared" si="81"/>
        <v>0</v>
      </c>
      <c r="AR58">
        <f>IF(Y58="milkingCows", Constants!$P$2, Constants!$P$3)</f>
        <v>1</v>
      </c>
      <c r="AS58">
        <f t="shared" si="82"/>
        <v>6.7762077032249994</v>
      </c>
      <c r="AT58">
        <f t="shared" si="83"/>
        <v>1.162708374187144</v>
      </c>
      <c r="AU58">
        <f>_xlfn.XLOOKUP(Y58, Constants!$B$13:$H$13, Constants!$B$14:$H$14, "")</f>
        <v>590</v>
      </c>
      <c r="AV58">
        <f t="shared" si="84"/>
        <v>0.56779661016949157</v>
      </c>
      <c r="AW58">
        <f>Constants!$B$55</f>
        <v>6.25</v>
      </c>
      <c r="AX58">
        <f t="shared" si="71"/>
        <v>9.8263084532232529E-3</v>
      </c>
      <c r="AY58">
        <f t="shared" si="72"/>
        <v>1.355241540645</v>
      </c>
      <c r="AZ58">
        <f t="shared" si="18"/>
        <v>0.20563418873649833</v>
      </c>
      <c r="BA58" t="str">
        <f>IF(ISNUMBER(FIND("PreWeaned",Y58)),_xlfn.XLOOKUP(Y58,Constants!$J$2:$J$3,Constants!$M$2:$M$3),"")</f>
        <v/>
      </c>
      <c r="BB58">
        <f t="shared" si="73"/>
        <v>15011.295777764379</v>
      </c>
      <c r="BC58">
        <f t="shared" si="74"/>
        <v>0</v>
      </c>
      <c r="BD58">
        <f t="shared" si="75"/>
        <v>0</v>
      </c>
      <c r="BE58">
        <f t="shared" si="76"/>
        <v>0</v>
      </c>
      <c r="BF58">
        <f t="shared" si="77"/>
        <v>0</v>
      </c>
      <c r="BG58">
        <f t="shared" si="78"/>
        <v>15011.295777764379</v>
      </c>
      <c r="BH58">
        <f>Constants!$D$19</f>
        <v>0.35</v>
      </c>
      <c r="BI58">
        <f>Constants!$D$20</f>
        <v>7.0000000000000007E-2</v>
      </c>
      <c r="BJ58">
        <f>Constants!$D$21</f>
        <v>0.2</v>
      </c>
      <c r="BK58">
        <f>Constants!$D$22</f>
        <v>0.3</v>
      </c>
      <c r="BL58">
        <f>Constants!$D$23</f>
        <v>0</v>
      </c>
      <c r="BM58">
        <f>Constants!$B$51</f>
        <v>0.21</v>
      </c>
      <c r="BN58">
        <f>Constants!$B$50</f>
        <v>1.57</v>
      </c>
      <c r="BO58">
        <f>_xlfn.XLOOKUP(C58,Constants!$A$27:$A$31,Constants!$B$27:$B$31)</f>
        <v>7.0000000000000001E-3</v>
      </c>
      <c r="BP58">
        <f t="shared" si="85"/>
        <v>0</v>
      </c>
      <c r="BQ58">
        <f t="shared" si="86"/>
        <v>0</v>
      </c>
      <c r="BR58">
        <f t="shared" si="87"/>
        <v>0</v>
      </c>
      <c r="BS58">
        <f t="shared" si="88"/>
        <v>0</v>
      </c>
      <c r="BT58">
        <f t="shared" si="89"/>
        <v>0</v>
      </c>
      <c r="BU58">
        <f t="shared" si="90"/>
        <v>3152.3721133305194</v>
      </c>
      <c r="BV58">
        <f t="shared" si="91"/>
        <v>0</v>
      </c>
      <c r="BW58">
        <f t="shared" si="92"/>
        <v>34.644569525502412</v>
      </c>
    </row>
    <row r="59" spans="1:76" x14ac:dyDescent="0.2">
      <c r="A59" t="str">
        <f>'Input Scenarios'!A59</f>
        <v>SA</v>
      </c>
      <c r="B59">
        <f>'Input Scenarios'!B59</f>
        <v>0</v>
      </c>
      <c r="C59" t="str">
        <f>'Input Scenarios'!C59</f>
        <v>Irrigated crop</v>
      </c>
      <c r="D59" t="str">
        <f>'Input Scenarios'!D59</f>
        <v>dry</v>
      </c>
      <c r="E59" t="b">
        <f>'Input Scenarios'!E59</f>
        <v>1</v>
      </c>
      <c r="F59" t="str">
        <f>'Input Scenarios'!F59</f>
        <v>Zero grazing</v>
      </c>
      <c r="G59">
        <f>IF('Input Scenarios'!G59&lt;&gt;"", 'Input Scenarios'!G59, _xlfn.XLOOKUP($F59, Constants!$M$6:$M$9,Constants!N$6:N$9))</f>
        <v>0</v>
      </c>
      <c r="H59">
        <f>IF('Input Scenarios'!H59&lt;&gt;"", 'Input Scenarios'!H59, _xlfn.XLOOKUP($F59, Constants!$M$6:$M$9,Constants!O$6:O$9))</f>
        <v>0.11</v>
      </c>
      <c r="I59">
        <f>IF('Input Scenarios'!I59&lt;&gt;"", 'Input Scenarios'!I59, _xlfn.XLOOKUP($F59, Constants!$M$6:$M$9,Constants!P$6:P$9))</f>
        <v>0.89</v>
      </c>
      <c r="J59">
        <f>'Input Scenarios'!J59</f>
        <v>0.1</v>
      </c>
      <c r="K59">
        <f>'Input Scenarios'!K59</f>
        <v>0.2</v>
      </c>
      <c r="L59">
        <f>'Input Scenarios'!L59</f>
        <v>0.3</v>
      </c>
      <c r="M59">
        <f>'Input Scenarios'!M59</f>
        <v>0.4</v>
      </c>
      <c r="N59">
        <f>'Input Scenarios'!N59</f>
        <v>0.4</v>
      </c>
      <c r="O59">
        <f>'Input Scenarios'!O59</f>
        <v>0.3</v>
      </c>
      <c r="P59">
        <f>'Input Scenarios'!P59</f>
        <v>0.2</v>
      </c>
      <c r="Q59">
        <f>'Input Scenarios'!Q59</f>
        <v>0.1</v>
      </c>
      <c r="R59" t="b">
        <f>'Input Scenarios'!R59</f>
        <v>0</v>
      </c>
      <c r="S59">
        <f>IF('Input Scenarios'!S59&lt;&gt;"", 'Input Scenarios'!S59, IF(R59, Constants!$B$38, 0))</f>
        <v>0</v>
      </c>
      <c r="T59" t="str">
        <f>IF('Input Scenarios'!T59&lt;&gt;"", 'Input Scenarios'!T59, "")</f>
        <v/>
      </c>
      <c r="U59">
        <f>IF('Input Scenarios'!U59&lt;&gt;"", 'Input Scenarios'!U59, IF(W59&lt;&gt;"", "", Constants!$B$39))</f>
        <v>4</v>
      </c>
      <c r="V59">
        <f>IF('Input Scenarios'!V59&lt;&gt;"", 'Input Scenarios'!V59, IF(W59&lt;&gt;"", "", Constants!$B$40))</f>
        <v>3.3</v>
      </c>
      <c r="W59" t="str">
        <f>IF('Input Scenarios'!W59&lt;&gt;"", 'Input Scenarios'!W59, "")</f>
        <v/>
      </c>
      <c r="X59" t="str">
        <f>'Input Scenarios'!X59</f>
        <v>Guernsey</v>
      </c>
      <c r="Y59" t="str">
        <f>'Input Scenarios'!Y59</f>
        <v>heifersLt1PreWeaned</v>
      </c>
      <c r="Z59">
        <f>'Input Scenarios'!Z59</f>
        <v>200</v>
      </c>
      <c r="AA59">
        <f>IF('Input Scenarios'!AA59&lt;&gt;"", 'Input Scenarios'!AA59, _xlfn.XLOOKUP(Y59,Constants!$J$6:$J$12,Constants!$K$6:$K$12))</f>
        <v>84</v>
      </c>
      <c r="AB59">
        <f>IF('Input Scenarios'!AB59&lt;&gt;"", 'Input Scenarios'!AB59, INDEX(Constants!$B$2:$H$11, MATCH(X59, Constants!$A$2:$A$11, 0), MATCH(Y59,Constants!$B$1:$H$1, 0)))</f>
        <v>140</v>
      </c>
      <c r="AC59" t="str">
        <f>IF('Input Scenarios'!AC59&lt;&gt;"", 'Input Scenarios'!AC59, _xlfn.XLOOKUP(Y59, Constants!$B$13:$H$13, Constants!$B$15:$H$15, ""))</f>
        <v/>
      </c>
      <c r="AD59">
        <f>IF('Input Scenarios'!AD59&lt;&gt;"", 'Input Scenarios'!AD59, Constants!$B$45)</f>
        <v>0.75</v>
      </c>
      <c r="AE59">
        <f>IF('Input Scenarios'!AE59&lt;&gt;"", 'Input Scenarios'!AE59, Constants!$B$46)</f>
        <v>0.2</v>
      </c>
      <c r="AF59">
        <f t="shared" si="94"/>
        <v>0</v>
      </c>
      <c r="AG59">
        <f t="shared" si="93"/>
        <v>0</v>
      </c>
      <c r="AH59">
        <f t="shared" si="93"/>
        <v>0</v>
      </c>
      <c r="AI59">
        <f t="shared" si="93"/>
        <v>0</v>
      </c>
      <c r="AJ59">
        <f t="shared" si="95"/>
        <v>1</v>
      </c>
      <c r="AK59">
        <f t="shared" si="79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80"/>
        <v>0.5948500000000001</v>
      </c>
      <c r="AQ59">
        <f t="shared" si="81"/>
        <v>0</v>
      </c>
      <c r="AR59">
        <f>IF(Y59="milkingCows", Constants!$P$2, Constants!$P$3)</f>
        <v>1</v>
      </c>
      <c r="AS59" t="str">
        <f t="shared" si="82"/>
        <v/>
      </c>
      <c r="AT59" t="str">
        <f t="shared" si="83"/>
        <v/>
      </c>
      <c r="AU59" t="str">
        <f>_xlfn.XLOOKUP(Y59, Constants!$B$13:$H$13, Constants!$B$14:$H$14, "")</f>
        <v/>
      </c>
      <c r="AV59" t="str">
        <f t="shared" si="84"/>
        <v/>
      </c>
      <c r="AW59">
        <f>Constants!$B$55</f>
        <v>6.25</v>
      </c>
      <c r="AX59" t="str">
        <f t="shared" si="71"/>
        <v/>
      </c>
      <c r="AY59" t="str">
        <f t="shared" si="72"/>
        <v/>
      </c>
      <c r="AZ59" t="str">
        <f t="shared" si="18"/>
        <v/>
      </c>
      <c r="BA59">
        <f>IF(ISNUMBER(FIND("PreWeaned",Y59)),_xlfn.XLOOKUP(Y59,Constants!$J$2:$J$3,Constants!$M$2:$M$3),"")</f>
        <v>1.37E-2</v>
      </c>
      <c r="BB59">
        <f t="shared" si="73"/>
        <v>230.16000000000003</v>
      </c>
      <c r="BC59">
        <f t="shared" si="74"/>
        <v>0</v>
      </c>
      <c r="BD59">
        <f t="shared" si="75"/>
        <v>0</v>
      </c>
      <c r="BE59">
        <f t="shared" si="76"/>
        <v>0</v>
      </c>
      <c r="BF59">
        <f t="shared" si="77"/>
        <v>0</v>
      </c>
      <c r="BG59">
        <f t="shared" si="78"/>
        <v>230.16000000000003</v>
      </c>
      <c r="BH59">
        <f>Constants!$D$19</f>
        <v>0.35</v>
      </c>
      <c r="BI59">
        <f>Constants!$D$20</f>
        <v>7.0000000000000007E-2</v>
      </c>
      <c r="BJ59">
        <f>Constants!$D$21</f>
        <v>0.2</v>
      </c>
      <c r="BK59">
        <f>Constants!$D$22</f>
        <v>0.3</v>
      </c>
      <c r="BL59">
        <f>Constants!$D$23</f>
        <v>0</v>
      </c>
      <c r="BM59">
        <f>Constants!$B$51</f>
        <v>0.21</v>
      </c>
      <c r="BN59">
        <f>Constants!$B$50</f>
        <v>1.57</v>
      </c>
      <c r="BO59">
        <f>_xlfn.XLOOKUP(C59,Constants!$A$27:$A$31,Constants!$B$27:$B$31)</f>
        <v>7.0000000000000001E-3</v>
      </c>
      <c r="BP59">
        <f t="shared" si="85"/>
        <v>0</v>
      </c>
      <c r="BQ59">
        <f t="shared" si="86"/>
        <v>0</v>
      </c>
      <c r="BR59">
        <f t="shared" si="87"/>
        <v>0</v>
      </c>
      <c r="BS59">
        <f t="shared" si="88"/>
        <v>0</v>
      </c>
      <c r="BT59">
        <f t="shared" si="89"/>
        <v>0</v>
      </c>
      <c r="BU59">
        <f t="shared" si="90"/>
        <v>48.333600000000004</v>
      </c>
      <c r="BV59">
        <f t="shared" si="91"/>
        <v>0</v>
      </c>
      <c r="BW59">
        <f t="shared" si="92"/>
        <v>0.53118626400000013</v>
      </c>
    </row>
    <row r="60" spans="1:76" x14ac:dyDescent="0.2">
      <c r="A60" t="str">
        <f>'Input Scenarios'!A60</f>
        <v>SA</v>
      </c>
      <c r="B60">
        <f>'Input Scenarios'!B60</f>
        <v>0</v>
      </c>
      <c r="C60" t="str">
        <f>'Input Scenarios'!C60</f>
        <v>Irrigated crop</v>
      </c>
      <c r="D60" t="str">
        <f>'Input Scenarios'!D60</f>
        <v>dry</v>
      </c>
      <c r="E60" t="b">
        <f>'Input Scenarios'!E60</f>
        <v>1</v>
      </c>
      <c r="F60" t="str">
        <f>'Input Scenarios'!F60</f>
        <v>Zero grazing</v>
      </c>
      <c r="G60">
        <f>IF('Input Scenarios'!G60&lt;&gt;"", 'Input Scenarios'!G60, _xlfn.XLOOKUP($F60, Constants!$M$6:$M$9,Constants!N$6:N$9))</f>
        <v>0</v>
      </c>
      <c r="H60">
        <f>IF('Input Scenarios'!H60&lt;&gt;"", 'Input Scenarios'!H60, _xlfn.XLOOKUP($F60, Constants!$M$6:$M$9,Constants!O$6:O$9))</f>
        <v>0.11</v>
      </c>
      <c r="I60">
        <f>IF('Input Scenarios'!I60&lt;&gt;"", 'Input Scenarios'!I60, _xlfn.XLOOKUP($F60, Constants!$M$6:$M$9,Constants!P$6:P$9))</f>
        <v>0.89</v>
      </c>
      <c r="J60">
        <f>'Input Scenarios'!J60</f>
        <v>0.1</v>
      </c>
      <c r="K60">
        <f>'Input Scenarios'!K60</f>
        <v>0.2</v>
      </c>
      <c r="L60">
        <f>'Input Scenarios'!L60</f>
        <v>0.3</v>
      </c>
      <c r="M60">
        <f>'Input Scenarios'!M60</f>
        <v>0.4</v>
      </c>
      <c r="N60">
        <f>'Input Scenarios'!N60</f>
        <v>0.4</v>
      </c>
      <c r="O60">
        <f>'Input Scenarios'!O60</f>
        <v>0.3</v>
      </c>
      <c r="P60">
        <f>'Input Scenarios'!P60</f>
        <v>0.2</v>
      </c>
      <c r="Q60">
        <f>'Input Scenarios'!Q60</f>
        <v>0.1</v>
      </c>
      <c r="R60" t="b">
        <f>'Input Scenarios'!R60</f>
        <v>0</v>
      </c>
      <c r="S60">
        <f>IF('Input Scenarios'!S60&lt;&gt;"", 'Input Scenarios'!S60, IF(R60, Constants!$B$38, 0))</f>
        <v>0</v>
      </c>
      <c r="T60" t="str">
        <f>IF('Input Scenarios'!T60&lt;&gt;"", 'Input Scenarios'!T60, "")</f>
        <v/>
      </c>
      <c r="U60">
        <f>IF('Input Scenarios'!U60&lt;&gt;"", 'Input Scenarios'!U60, IF(W60&lt;&gt;"", "", Constants!$B$39))</f>
        <v>4</v>
      </c>
      <c r="V60">
        <f>IF('Input Scenarios'!V60&lt;&gt;"", 'Input Scenarios'!V60, IF(W60&lt;&gt;"", "", Constants!$B$40))</f>
        <v>3.3</v>
      </c>
      <c r="W60" t="str">
        <f>IF('Input Scenarios'!W60&lt;&gt;"", 'Input Scenarios'!W60, "")</f>
        <v/>
      </c>
      <c r="X60" t="str">
        <f>'Input Scenarios'!X60</f>
        <v>Guernsey</v>
      </c>
      <c r="Y60" t="str">
        <f>'Input Scenarios'!Y60</f>
        <v>heifersLt1Weaned</v>
      </c>
      <c r="Z60">
        <f>'Input Scenarios'!Z60</f>
        <v>200</v>
      </c>
      <c r="AA60">
        <f>IF('Input Scenarios'!AA60&lt;&gt;"", 'Input Scenarios'!AA60, _xlfn.XLOOKUP(Y60,Constants!$J$6:$J$12,Constants!$K$6:$K$12))</f>
        <v>281</v>
      </c>
      <c r="AB60">
        <f>IF('Input Scenarios'!AB60&lt;&gt;"", 'Input Scenarios'!AB60, INDEX(Constants!$B$2:$H$11, MATCH(X60, Constants!$A$2:$A$11, 0), MATCH(Y60,Constants!$B$1:$H$1, 0)))</f>
        <v>140</v>
      </c>
      <c r="AC60">
        <f>IF('Input Scenarios'!AC60&lt;&gt;"", 'Input Scenarios'!AC60, _xlfn.XLOOKUP(Y60, Constants!$B$13:$H$13, Constants!$B$15:$H$15, ""))</f>
        <v>0.56999999999999995</v>
      </c>
      <c r="AD60">
        <f>IF('Input Scenarios'!AD60&lt;&gt;"", 'Input Scenarios'!AD60, Constants!$B$45)</f>
        <v>0.75</v>
      </c>
      <c r="AE60">
        <f>IF('Input Scenarios'!AE60&lt;&gt;"", 'Input Scenarios'!AE60, Constants!$B$46)</f>
        <v>0.2</v>
      </c>
      <c r="AF60">
        <f t="shared" si="94"/>
        <v>0</v>
      </c>
      <c r="AG60">
        <f t="shared" si="93"/>
        <v>0</v>
      </c>
      <c r="AH60">
        <f t="shared" si="93"/>
        <v>0</v>
      </c>
      <c r="AI60">
        <f t="shared" si="93"/>
        <v>0</v>
      </c>
      <c r="AJ60">
        <f t="shared" si="95"/>
        <v>1</v>
      </c>
      <c r="AK60">
        <f t="shared" si="79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80"/>
        <v>0.5948500000000001</v>
      </c>
      <c r="AQ60">
        <f t="shared" si="81"/>
        <v>0</v>
      </c>
      <c r="AR60">
        <f>IF(Y60="milkingCows", Constants!$P$2, Constants!$P$3)</f>
        <v>1</v>
      </c>
      <c r="AS60">
        <f t="shared" si="82"/>
        <v>3.7993416560999989</v>
      </c>
      <c r="AT60">
        <f t="shared" si="83"/>
        <v>1.213217026603395</v>
      </c>
      <c r="AU60">
        <f>_xlfn.XLOOKUP(Y60, Constants!$B$13:$H$13, Constants!$B$14:$H$14, "")</f>
        <v>590</v>
      </c>
      <c r="AV60">
        <f t="shared" si="84"/>
        <v>0.23728813559322035</v>
      </c>
      <c r="AW60">
        <f>Constants!$B$55</f>
        <v>6.25</v>
      </c>
      <c r="AX60">
        <f t="shared" si="71"/>
        <v>1.49570148025881E-2</v>
      </c>
      <c r="AY60">
        <f t="shared" si="72"/>
        <v>0.75986833121999986</v>
      </c>
      <c r="AZ60">
        <f t="shared" si="18"/>
        <v>0.10590559552466704</v>
      </c>
      <c r="BA60" t="str">
        <f>IF(ISNUMBER(FIND("PreWeaned",Y60)),_xlfn.XLOOKUP(Y60,Constants!$J$2:$J$3,Constants!$M$2:$M$3),"")</f>
        <v/>
      </c>
      <c r="BB60">
        <f t="shared" si="73"/>
        <v>5951.8944684862881</v>
      </c>
      <c r="BC60">
        <f t="shared" si="74"/>
        <v>0</v>
      </c>
      <c r="BD60">
        <f t="shared" si="75"/>
        <v>0</v>
      </c>
      <c r="BE60">
        <f t="shared" si="76"/>
        <v>0</v>
      </c>
      <c r="BF60">
        <f t="shared" si="77"/>
        <v>0</v>
      </c>
      <c r="BG60">
        <f t="shared" si="78"/>
        <v>5951.8944684862881</v>
      </c>
      <c r="BH60">
        <f>Constants!$D$19</f>
        <v>0.35</v>
      </c>
      <c r="BI60">
        <f>Constants!$D$20</f>
        <v>7.0000000000000007E-2</v>
      </c>
      <c r="BJ60">
        <f>Constants!$D$21</f>
        <v>0.2</v>
      </c>
      <c r="BK60">
        <f>Constants!$D$22</f>
        <v>0.3</v>
      </c>
      <c r="BL60">
        <f>Constants!$D$23</f>
        <v>0</v>
      </c>
      <c r="BM60">
        <f>Constants!$B$51</f>
        <v>0.21</v>
      </c>
      <c r="BN60">
        <f>Constants!$B$50</f>
        <v>1.57</v>
      </c>
      <c r="BO60">
        <f>_xlfn.XLOOKUP(C60,Constants!$A$27:$A$31,Constants!$B$27:$B$31)</f>
        <v>7.0000000000000001E-3</v>
      </c>
      <c r="BP60">
        <f t="shared" si="85"/>
        <v>0</v>
      </c>
      <c r="BQ60">
        <f t="shared" si="86"/>
        <v>0</v>
      </c>
      <c r="BR60">
        <f t="shared" si="87"/>
        <v>0</v>
      </c>
      <c r="BS60">
        <f t="shared" si="88"/>
        <v>0</v>
      </c>
      <c r="BT60">
        <f t="shared" si="89"/>
        <v>0</v>
      </c>
      <c r="BU60">
        <f t="shared" si="90"/>
        <v>1249.8978383821204</v>
      </c>
      <c r="BV60">
        <f t="shared" si="91"/>
        <v>0</v>
      </c>
      <c r="BW60">
        <f t="shared" si="92"/>
        <v>13.736377243819504</v>
      </c>
    </row>
    <row r="61" spans="1:76" x14ac:dyDescent="0.2">
      <c r="A61" t="str">
        <f>'Input Scenarios'!A61</f>
        <v>SA</v>
      </c>
      <c r="B61">
        <f>'Input Scenarios'!B61</f>
        <v>0</v>
      </c>
      <c r="C61" t="str">
        <f>'Input Scenarios'!C61</f>
        <v>Irrigated crop</v>
      </c>
      <c r="D61" t="str">
        <f>'Input Scenarios'!D61</f>
        <v>dry</v>
      </c>
      <c r="E61" t="b">
        <f>'Input Scenarios'!E61</f>
        <v>1</v>
      </c>
      <c r="F61" t="str">
        <f>'Input Scenarios'!F61</f>
        <v>Zero grazing</v>
      </c>
      <c r="G61">
        <f>IF('Input Scenarios'!G61&lt;&gt;"", 'Input Scenarios'!G61, _xlfn.XLOOKUP($F61, Constants!$M$6:$M$9,Constants!N$6:N$9))</f>
        <v>0</v>
      </c>
      <c r="H61">
        <f>IF('Input Scenarios'!H61&lt;&gt;"", 'Input Scenarios'!H61, _xlfn.XLOOKUP($F61, Constants!$M$6:$M$9,Constants!O$6:O$9))</f>
        <v>0.11</v>
      </c>
      <c r="I61">
        <f>IF('Input Scenarios'!I61&lt;&gt;"", 'Input Scenarios'!I61, _xlfn.XLOOKUP($F61, Constants!$M$6:$M$9,Constants!P$6:P$9))</f>
        <v>0.89</v>
      </c>
      <c r="J61">
        <f>'Input Scenarios'!J61</f>
        <v>0.1</v>
      </c>
      <c r="K61">
        <f>'Input Scenarios'!K61</f>
        <v>0.2</v>
      </c>
      <c r="L61">
        <f>'Input Scenarios'!L61</f>
        <v>0.3</v>
      </c>
      <c r="M61">
        <f>'Input Scenarios'!M61</f>
        <v>0.4</v>
      </c>
      <c r="N61">
        <f>'Input Scenarios'!N61</f>
        <v>0.4</v>
      </c>
      <c r="O61">
        <f>'Input Scenarios'!O61</f>
        <v>0.3</v>
      </c>
      <c r="P61">
        <f>'Input Scenarios'!P61</f>
        <v>0.2</v>
      </c>
      <c r="Q61">
        <f>'Input Scenarios'!Q61</f>
        <v>0.1</v>
      </c>
      <c r="R61" t="b">
        <f>'Input Scenarios'!R61</f>
        <v>0</v>
      </c>
      <c r="S61">
        <f>IF('Input Scenarios'!S61&lt;&gt;"", 'Input Scenarios'!S61, IF(R61, Constants!$B$38, 0))</f>
        <v>0</v>
      </c>
      <c r="T61" t="str">
        <f>IF('Input Scenarios'!T61&lt;&gt;"", 'Input Scenarios'!T61, "")</f>
        <v/>
      </c>
      <c r="U61">
        <f>IF('Input Scenarios'!U61&lt;&gt;"", 'Input Scenarios'!U61, IF(W61&lt;&gt;"", "", Constants!$B$39))</f>
        <v>4</v>
      </c>
      <c r="V61">
        <f>IF('Input Scenarios'!V61&lt;&gt;"", 'Input Scenarios'!V61, IF(W61&lt;&gt;"", "", Constants!$B$40))</f>
        <v>3.3</v>
      </c>
      <c r="W61" t="str">
        <f>IF('Input Scenarios'!W61&lt;&gt;"", 'Input Scenarios'!W61, "")</f>
        <v/>
      </c>
      <c r="X61" t="str">
        <f>'Input Scenarios'!X61</f>
        <v>Guernsey</v>
      </c>
      <c r="Y61" t="str">
        <f>'Input Scenarios'!Y61</f>
        <v>bullsGt1</v>
      </c>
      <c r="Z61">
        <f>'Input Scenarios'!Z61</f>
        <v>200</v>
      </c>
      <c r="AA61">
        <f>IF('Input Scenarios'!AA61&lt;&gt;"", 'Input Scenarios'!AA61, _xlfn.XLOOKUP(Y61,Constants!$J$6:$J$12,Constants!$K$6:$K$12))</f>
        <v>365</v>
      </c>
      <c r="AB61">
        <f>IF('Input Scenarios'!AB61&lt;&gt;"", 'Input Scenarios'!AB61, INDEX(Constants!$B$2:$H$11, MATCH(X61, Constants!$A$2:$A$11, 0), MATCH(Y61,Constants!$B$1:$H$1, 0)))</f>
        <v>600</v>
      </c>
      <c r="AC61">
        <f>IF('Input Scenarios'!AC61&lt;&gt;"", 'Input Scenarios'!AC61, _xlfn.XLOOKUP(Y61, Constants!$B$13:$H$13, Constants!$B$15:$H$15, ""))</f>
        <v>0.1</v>
      </c>
      <c r="AD61">
        <f>IF('Input Scenarios'!AD61&lt;&gt;"", 'Input Scenarios'!AD61, Constants!$B$45)</f>
        <v>0.75</v>
      </c>
      <c r="AE61">
        <f>IF('Input Scenarios'!AE61&lt;&gt;"", 'Input Scenarios'!AE61, Constants!$B$46)</f>
        <v>0.2</v>
      </c>
      <c r="AF61">
        <f t="shared" si="94"/>
        <v>0</v>
      </c>
      <c r="AG61">
        <f t="shared" si="93"/>
        <v>0</v>
      </c>
      <c r="AH61">
        <f t="shared" si="93"/>
        <v>0</v>
      </c>
      <c r="AI61">
        <f t="shared" si="93"/>
        <v>0</v>
      </c>
      <c r="AJ61">
        <f t="shared" si="95"/>
        <v>1</v>
      </c>
      <c r="AK61">
        <f t="shared" si="79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80"/>
        <v>0.5948500000000001</v>
      </c>
      <c r="AQ61">
        <f t="shared" si="81"/>
        <v>0</v>
      </c>
      <c r="AR61">
        <f>IF(Y61="milkingCows", Constants!$P$2, Constants!$P$3)</f>
        <v>1</v>
      </c>
      <c r="AS61">
        <f t="shared" si="82"/>
        <v>9.0270202499999979</v>
      </c>
      <c r="AT61">
        <f t="shared" si="83"/>
        <v>1.0213029780639273</v>
      </c>
      <c r="AU61">
        <f>_xlfn.XLOOKUP(Y61, Constants!$B$13:$H$13, Constants!$B$14:$H$14, "")</f>
        <v>770</v>
      </c>
      <c r="AV61">
        <f t="shared" si="84"/>
        <v>0.77922077922077926</v>
      </c>
      <c r="AW61">
        <f>Constants!$B$55</f>
        <v>6.25</v>
      </c>
      <c r="AX61">
        <f t="shared" si="71"/>
        <v>1.2626203146474679E-3</v>
      </c>
      <c r="AY61">
        <f t="shared" si="72"/>
        <v>1.8054040499999997</v>
      </c>
      <c r="AZ61">
        <f t="shared" si="18"/>
        <v>0.28546836331241399</v>
      </c>
      <c r="BA61" t="str">
        <f>IF(ISNUMBER(FIND("PreWeaned",Y61)),_xlfn.XLOOKUP(Y61,Constants!$J$2:$J$3,Constants!$M$2:$M$3),"")</f>
        <v/>
      </c>
      <c r="BB61">
        <f t="shared" si="73"/>
        <v>20839.19052180622</v>
      </c>
      <c r="BC61">
        <f t="shared" si="74"/>
        <v>0</v>
      </c>
      <c r="BD61">
        <f t="shared" si="75"/>
        <v>0</v>
      </c>
      <c r="BE61">
        <f t="shared" si="76"/>
        <v>0</v>
      </c>
      <c r="BF61">
        <f t="shared" si="77"/>
        <v>0</v>
      </c>
      <c r="BG61">
        <f t="shared" si="78"/>
        <v>20839.19052180622</v>
      </c>
      <c r="BH61">
        <f>Constants!$D$19</f>
        <v>0.35</v>
      </c>
      <c r="BI61">
        <f>Constants!$D$20</f>
        <v>7.0000000000000007E-2</v>
      </c>
      <c r="BJ61">
        <f>Constants!$D$21</f>
        <v>0.2</v>
      </c>
      <c r="BK61">
        <f>Constants!$D$22</f>
        <v>0.3</v>
      </c>
      <c r="BL61">
        <f>Constants!$D$23</f>
        <v>0</v>
      </c>
      <c r="BM61">
        <f>Constants!$B$51</f>
        <v>0.21</v>
      </c>
      <c r="BN61">
        <f>Constants!$B$50</f>
        <v>1.57</v>
      </c>
      <c r="BO61">
        <f>_xlfn.XLOOKUP(C61,Constants!$A$27:$A$31,Constants!$B$27:$B$31)</f>
        <v>7.0000000000000001E-3</v>
      </c>
      <c r="BP61">
        <f t="shared" si="85"/>
        <v>0</v>
      </c>
      <c r="BQ61">
        <f t="shared" si="86"/>
        <v>0</v>
      </c>
      <c r="BR61">
        <f t="shared" si="87"/>
        <v>0</v>
      </c>
      <c r="BS61">
        <f t="shared" si="88"/>
        <v>0</v>
      </c>
      <c r="BT61">
        <f t="shared" si="89"/>
        <v>0</v>
      </c>
      <c r="BU61">
        <f t="shared" si="90"/>
        <v>4376.2300095793062</v>
      </c>
      <c r="BV61">
        <f t="shared" si="91"/>
        <v>0</v>
      </c>
      <c r="BW61">
        <f t="shared" si="92"/>
        <v>48.094767805276582</v>
      </c>
    </row>
    <row r="62" spans="1:76" x14ac:dyDescent="0.2">
      <c r="A62" t="str">
        <f>'Input Scenarios'!A62</f>
        <v>SA</v>
      </c>
      <c r="B62">
        <f>'Input Scenarios'!B62</f>
        <v>0</v>
      </c>
      <c r="C62" t="str">
        <f>'Input Scenarios'!C62</f>
        <v>Irrigated crop</v>
      </c>
      <c r="D62" t="str">
        <f>'Input Scenarios'!D62</f>
        <v>dry</v>
      </c>
      <c r="E62" t="b">
        <f>'Input Scenarios'!E62</f>
        <v>1</v>
      </c>
      <c r="F62" t="str">
        <f>'Input Scenarios'!F62</f>
        <v>Zero grazing</v>
      </c>
      <c r="G62">
        <f>IF('Input Scenarios'!G62&lt;&gt;"", 'Input Scenarios'!G62, _xlfn.XLOOKUP($F62, Constants!$M$6:$M$9,Constants!N$6:N$9))</f>
        <v>0</v>
      </c>
      <c r="H62">
        <f>IF('Input Scenarios'!H62&lt;&gt;"", 'Input Scenarios'!H62, _xlfn.XLOOKUP($F62, Constants!$M$6:$M$9,Constants!O$6:O$9))</f>
        <v>0.11</v>
      </c>
      <c r="I62">
        <f>IF('Input Scenarios'!I62&lt;&gt;"", 'Input Scenarios'!I62, _xlfn.XLOOKUP($F62, Constants!$M$6:$M$9,Constants!P$6:P$9))</f>
        <v>0.89</v>
      </c>
      <c r="J62">
        <f>'Input Scenarios'!J62</f>
        <v>0.1</v>
      </c>
      <c r="K62">
        <f>'Input Scenarios'!K62</f>
        <v>0.2</v>
      </c>
      <c r="L62">
        <f>'Input Scenarios'!L62</f>
        <v>0.3</v>
      </c>
      <c r="M62">
        <f>'Input Scenarios'!M62</f>
        <v>0.4</v>
      </c>
      <c r="N62">
        <f>'Input Scenarios'!N62</f>
        <v>0.4</v>
      </c>
      <c r="O62">
        <f>'Input Scenarios'!O62</f>
        <v>0.3</v>
      </c>
      <c r="P62">
        <f>'Input Scenarios'!P62</f>
        <v>0.2</v>
      </c>
      <c r="Q62">
        <f>'Input Scenarios'!Q62</f>
        <v>0.1</v>
      </c>
      <c r="R62" t="b">
        <f>'Input Scenarios'!R62</f>
        <v>0</v>
      </c>
      <c r="S62">
        <f>IF('Input Scenarios'!S62&lt;&gt;"", 'Input Scenarios'!S62, IF(R62, Constants!$B$38, 0))</f>
        <v>0</v>
      </c>
      <c r="T62" t="str">
        <f>IF('Input Scenarios'!T62&lt;&gt;"", 'Input Scenarios'!T62, "")</f>
        <v/>
      </c>
      <c r="U62">
        <f>IF('Input Scenarios'!U62&lt;&gt;"", 'Input Scenarios'!U62, IF(W62&lt;&gt;"", "", Constants!$B$39))</f>
        <v>4</v>
      </c>
      <c r="V62">
        <f>IF('Input Scenarios'!V62&lt;&gt;"", 'Input Scenarios'!V62, IF(W62&lt;&gt;"", "", Constants!$B$40))</f>
        <v>3.3</v>
      </c>
      <c r="W62" t="str">
        <f>IF('Input Scenarios'!W62&lt;&gt;"", 'Input Scenarios'!W62, "")</f>
        <v/>
      </c>
      <c r="X62" t="str">
        <f>'Input Scenarios'!X62</f>
        <v>Guernsey</v>
      </c>
      <c r="Y62" t="str">
        <f>'Input Scenarios'!Y62</f>
        <v>bullsLt1PreWeaned</v>
      </c>
      <c r="Z62">
        <f>'Input Scenarios'!Z62</f>
        <v>200</v>
      </c>
      <c r="AA62">
        <f>IF('Input Scenarios'!AA62&lt;&gt;"", 'Input Scenarios'!AA62, _xlfn.XLOOKUP(Y62,Constants!$J$6:$J$12,Constants!$K$6:$K$12))</f>
        <v>84</v>
      </c>
      <c r="AB62">
        <f>IF('Input Scenarios'!AB62&lt;&gt;"", 'Input Scenarios'!AB62, INDEX(Constants!$B$2:$H$11, MATCH(X62, Constants!$A$2:$A$11, 0), MATCH(Y62,Constants!$B$1:$H$1, 0)))</f>
        <v>225</v>
      </c>
      <c r="AC62" t="str">
        <f>IF('Input Scenarios'!AC62&lt;&gt;"", 'Input Scenarios'!AC62, _xlfn.XLOOKUP(Y62, Constants!$B$13:$H$13, Constants!$B$15:$H$15, ""))</f>
        <v/>
      </c>
      <c r="AD62">
        <f>IF('Input Scenarios'!AD62&lt;&gt;"", 'Input Scenarios'!AD62, Constants!$B$45)</f>
        <v>0.75</v>
      </c>
      <c r="AE62">
        <f>IF('Input Scenarios'!AE62&lt;&gt;"", 'Input Scenarios'!AE62, Constants!$B$46)</f>
        <v>0.2</v>
      </c>
      <c r="AF62">
        <f t="shared" si="94"/>
        <v>0</v>
      </c>
      <c r="AG62">
        <f t="shared" si="93"/>
        <v>0</v>
      </c>
      <c r="AH62">
        <f t="shared" si="93"/>
        <v>0</v>
      </c>
      <c r="AI62">
        <f t="shared" si="93"/>
        <v>0</v>
      </c>
      <c r="AJ62">
        <f t="shared" si="95"/>
        <v>1</v>
      </c>
      <c r="AK62">
        <f t="shared" si="79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80"/>
        <v>0.5948500000000001</v>
      </c>
      <c r="AQ62">
        <f t="shared" si="81"/>
        <v>0</v>
      </c>
      <c r="AR62">
        <f>IF(Y62="milkingCows", Constants!$P$2, Constants!$P$3)</f>
        <v>1</v>
      </c>
      <c r="AS62" t="str">
        <f t="shared" si="82"/>
        <v/>
      </c>
      <c r="AT62" t="str">
        <f t="shared" si="83"/>
        <v/>
      </c>
      <c r="AU62" t="str">
        <f>_xlfn.XLOOKUP(Y62, Constants!$B$13:$H$13, Constants!$B$14:$H$14, "")</f>
        <v/>
      </c>
      <c r="AV62" t="str">
        <f t="shared" si="84"/>
        <v/>
      </c>
      <c r="AW62">
        <f>Constants!$B$55</f>
        <v>6.25</v>
      </c>
      <c r="AX62" t="str">
        <f t="shared" si="71"/>
        <v/>
      </c>
      <c r="AY62" t="str">
        <f t="shared" si="72"/>
        <v/>
      </c>
      <c r="AZ62" t="str">
        <f t="shared" si="18"/>
        <v/>
      </c>
      <c r="BA62">
        <f>IF(ISNUMBER(FIND("PreWeaned",Y62)),_xlfn.XLOOKUP(Y62,Constants!$J$2:$J$3,Constants!$M$2:$M$3),"")</f>
        <v>9.1999999999999998E-3</v>
      </c>
      <c r="BB62">
        <f t="shared" si="73"/>
        <v>154.56</v>
      </c>
      <c r="BC62">
        <f t="shared" si="74"/>
        <v>0</v>
      </c>
      <c r="BD62">
        <f t="shared" si="75"/>
        <v>0</v>
      </c>
      <c r="BE62">
        <f t="shared" si="76"/>
        <v>0</v>
      </c>
      <c r="BF62">
        <f t="shared" si="77"/>
        <v>0</v>
      </c>
      <c r="BG62">
        <f t="shared" si="78"/>
        <v>154.56</v>
      </c>
      <c r="BH62">
        <f>Constants!$D$19</f>
        <v>0.35</v>
      </c>
      <c r="BI62">
        <f>Constants!$D$20</f>
        <v>7.0000000000000007E-2</v>
      </c>
      <c r="BJ62">
        <f>Constants!$D$21</f>
        <v>0.2</v>
      </c>
      <c r="BK62">
        <f>Constants!$D$22</f>
        <v>0.3</v>
      </c>
      <c r="BL62">
        <f>Constants!$D$23</f>
        <v>0</v>
      </c>
      <c r="BM62">
        <f>Constants!$B$51</f>
        <v>0.21</v>
      </c>
      <c r="BN62">
        <f>Constants!$B$50</f>
        <v>1.57</v>
      </c>
      <c r="BO62">
        <f>_xlfn.XLOOKUP(C62,Constants!$A$27:$A$31,Constants!$B$27:$B$31)</f>
        <v>7.0000000000000001E-3</v>
      </c>
      <c r="BP62">
        <f t="shared" si="85"/>
        <v>0</v>
      </c>
      <c r="BQ62">
        <f t="shared" si="86"/>
        <v>0</v>
      </c>
      <c r="BR62">
        <f t="shared" si="87"/>
        <v>0</v>
      </c>
      <c r="BS62">
        <f t="shared" si="88"/>
        <v>0</v>
      </c>
      <c r="BT62">
        <f t="shared" si="89"/>
        <v>0</v>
      </c>
      <c r="BU62">
        <f t="shared" si="90"/>
        <v>32.457599999999999</v>
      </c>
      <c r="BV62">
        <f t="shared" si="91"/>
        <v>0</v>
      </c>
      <c r="BW62">
        <f t="shared" si="92"/>
        <v>0.35670902399999999</v>
      </c>
    </row>
    <row r="63" spans="1:76" x14ac:dyDescent="0.2">
      <c r="A63" s="16" t="str">
        <f>'Input Scenarios'!A63</f>
        <v>SA</v>
      </c>
      <c r="B63" s="16">
        <f>'Input Scenarios'!B63</f>
        <v>0</v>
      </c>
      <c r="C63" s="16" t="str">
        <f>'Input Scenarios'!C63</f>
        <v>Irrigated crop</v>
      </c>
      <c r="D63" s="16" t="str">
        <f>'Input Scenarios'!D63</f>
        <v>dry</v>
      </c>
      <c r="E63" s="16" t="b">
        <f>'Input Scenarios'!E63</f>
        <v>1</v>
      </c>
      <c r="F63" s="16" t="str">
        <f>'Input Scenarios'!F63</f>
        <v>Zero grazing</v>
      </c>
      <c r="G63" s="16">
        <f>IF('Input Scenarios'!G63&lt;&gt;"", 'Input Scenarios'!G63, _xlfn.XLOOKUP($F63, Constants!$M$6:$M$9,Constants!N$6:N$9))</f>
        <v>0</v>
      </c>
      <c r="H63" s="16">
        <f>IF('Input Scenarios'!H63&lt;&gt;"", 'Input Scenarios'!H63, _xlfn.XLOOKUP($F63, Constants!$M$6:$M$9,Constants!O$6:O$9))</f>
        <v>0.11</v>
      </c>
      <c r="I63" s="16">
        <f>IF('Input Scenarios'!I63&lt;&gt;"", 'Input Scenarios'!I63, _xlfn.XLOOKUP($F63, Constants!$M$6:$M$9,Constants!P$6:P$9))</f>
        <v>0.89</v>
      </c>
      <c r="J63" s="16">
        <f>'Input Scenarios'!J63</f>
        <v>0.1</v>
      </c>
      <c r="K63" s="16">
        <f>'Input Scenarios'!K63</f>
        <v>0.2</v>
      </c>
      <c r="L63" s="16">
        <f>'Input Scenarios'!L63</f>
        <v>0.3</v>
      </c>
      <c r="M63" s="16">
        <f>'Input Scenarios'!M63</f>
        <v>0.4</v>
      </c>
      <c r="N63" s="16">
        <f>'Input Scenarios'!N63</f>
        <v>0.4</v>
      </c>
      <c r="O63" s="16">
        <f>'Input Scenarios'!O63</f>
        <v>0.3</v>
      </c>
      <c r="P63" s="16">
        <f>'Input Scenarios'!P63</f>
        <v>0.2</v>
      </c>
      <c r="Q63" s="16">
        <f>'Input Scenarios'!Q63</f>
        <v>0.1</v>
      </c>
      <c r="R63" s="16" t="b">
        <f>'Input Scenarios'!R63</f>
        <v>0</v>
      </c>
      <c r="S63" s="16">
        <f>IF('Input Scenarios'!S63&lt;&gt;"", 'Input Scenarios'!S63, IF(R63, Constants!$B$38, 0))</f>
        <v>0</v>
      </c>
      <c r="T63" s="16" t="str">
        <f>IF('Input Scenarios'!T63&lt;&gt;"", 'Input Scenarios'!T63, "")</f>
        <v/>
      </c>
      <c r="U63" s="16">
        <f>IF('Input Scenarios'!U63&lt;&gt;"", 'Input Scenarios'!U63, IF(W63&lt;&gt;"", "", Constants!$B$39))</f>
        <v>4</v>
      </c>
      <c r="V63" s="16">
        <f>IF('Input Scenarios'!V63&lt;&gt;"", 'Input Scenarios'!V63, IF(W63&lt;&gt;"", "", Constants!$B$40))</f>
        <v>3.3</v>
      </c>
      <c r="W63" s="16" t="str">
        <f>IF('Input Scenarios'!W63&lt;&gt;"", 'Input Scenarios'!W63, "")</f>
        <v/>
      </c>
      <c r="X63" s="16" t="str">
        <f>'Input Scenarios'!X63</f>
        <v>Guernsey</v>
      </c>
      <c r="Y63" s="16" t="str">
        <f>'Input Scenarios'!Y63</f>
        <v>bullsLt1Weaned</v>
      </c>
      <c r="Z63" s="16">
        <f>'Input Scenarios'!Z63</f>
        <v>200</v>
      </c>
      <c r="AA63" s="16">
        <f>IF('Input Scenarios'!AA63&lt;&gt;"", 'Input Scenarios'!AA63, _xlfn.XLOOKUP(Y63,Constants!$J$6:$J$12,Constants!$K$6:$K$12))</f>
        <v>281</v>
      </c>
      <c r="AB63" s="16">
        <f>IF('Input Scenarios'!AB63&lt;&gt;"", 'Input Scenarios'!AB63, INDEX(Constants!$B$2:$H$11, MATCH(X63, Constants!$A$2:$A$11, 0), MATCH(Y63,Constants!$B$1:$H$1, 0)))</f>
        <v>225</v>
      </c>
      <c r="AC63" s="16">
        <f>IF('Input Scenarios'!AC63&lt;&gt;"", 'Input Scenarios'!AC63, _xlfn.XLOOKUP(Y63, Constants!$B$13:$H$13, Constants!$B$15:$H$15, ""))</f>
        <v>0.8</v>
      </c>
      <c r="AD63" s="16">
        <f>IF('Input Scenarios'!AD63&lt;&gt;"", 'Input Scenarios'!AD63, Constants!$B$45)</f>
        <v>0.75</v>
      </c>
      <c r="AE63" s="16">
        <f>IF('Input Scenarios'!AE63&lt;&gt;"", 'Input Scenarios'!AE63, Constants!$B$46)</f>
        <v>0.2</v>
      </c>
      <c r="AF63" s="16">
        <f t="shared" si="94"/>
        <v>0</v>
      </c>
      <c r="AG63" s="16">
        <f t="shared" si="93"/>
        <v>0</v>
      </c>
      <c r="AH63" s="16">
        <f t="shared" si="93"/>
        <v>0</v>
      </c>
      <c r="AI63" s="16">
        <f t="shared" si="93"/>
        <v>0</v>
      </c>
      <c r="AJ63" s="16">
        <f t="shared" si="95"/>
        <v>1</v>
      </c>
      <c r="AK63" s="16">
        <f t="shared" si="79"/>
        <v>0</v>
      </c>
      <c r="AL63" s="16">
        <f>Constants!$B$44</f>
        <v>1.03</v>
      </c>
      <c r="AM63" s="16">
        <f>Constants!$B$41</f>
        <v>3.0539999999999998</v>
      </c>
      <c r="AN63" s="16">
        <f>Constants!$B$42</f>
        <v>18.399999999999999</v>
      </c>
      <c r="AO63" s="16">
        <f>Constants!$B$43</f>
        <v>0.6</v>
      </c>
      <c r="AP63" s="16">
        <f t="shared" si="80"/>
        <v>0.5948500000000001</v>
      </c>
      <c r="AQ63" s="16">
        <f t="shared" si="81"/>
        <v>0</v>
      </c>
      <c r="AR63" s="16">
        <f>IF(Y63="milkingCows", Constants!$P$2, Constants!$P$3)</f>
        <v>1</v>
      </c>
      <c r="AS63" s="16">
        <f t="shared" si="82"/>
        <v>5.4143472656250013</v>
      </c>
      <c r="AT63" s="16">
        <f t="shared" si="83"/>
        <v>1.2576570545672616</v>
      </c>
      <c r="AU63" s="16">
        <f>_xlfn.XLOOKUP(Y63, Constants!$B$13:$H$13, Constants!$B$14:$H$14, "")</f>
        <v>770</v>
      </c>
      <c r="AV63" s="16">
        <f t="shared" si="84"/>
        <v>0.29220779220779219</v>
      </c>
      <c r="AW63" s="16">
        <f>Constants!$B$55</f>
        <v>6.25</v>
      </c>
      <c r="AX63" s="16">
        <f t="shared" si="71"/>
        <v>1.9757354894894084E-2</v>
      </c>
      <c r="AY63" s="16">
        <f t="shared" si="72"/>
        <v>1.0828694531250003</v>
      </c>
      <c r="AZ63" s="16">
        <f t="shared" si="18"/>
        <v>0.15247929000170721</v>
      </c>
      <c r="BA63" s="16" t="str">
        <f>IF(ISNUMBER(FIND("PreWeaned",Y63)),_xlfn.XLOOKUP(Y63,Constants!$J$2:$J$3,Constants!$M$2:$M$3),"")</f>
        <v/>
      </c>
      <c r="BB63" s="16">
        <f t="shared" si="73"/>
        <v>8569.336098095946</v>
      </c>
      <c r="BC63" s="16">
        <f t="shared" si="74"/>
        <v>0</v>
      </c>
      <c r="BD63" s="16">
        <f t="shared" si="75"/>
        <v>0</v>
      </c>
      <c r="BE63" s="16">
        <f t="shared" si="76"/>
        <v>0</v>
      </c>
      <c r="BF63" s="16">
        <f t="shared" si="77"/>
        <v>0</v>
      </c>
      <c r="BG63" s="16">
        <f t="shared" si="78"/>
        <v>8569.336098095946</v>
      </c>
      <c r="BH63" s="16">
        <f>Constants!$D$19</f>
        <v>0.35</v>
      </c>
      <c r="BI63" s="16">
        <f>Constants!$D$20</f>
        <v>7.0000000000000007E-2</v>
      </c>
      <c r="BJ63" s="16">
        <f>Constants!$D$21</f>
        <v>0.2</v>
      </c>
      <c r="BK63" s="16">
        <f>Constants!$D$22</f>
        <v>0.3</v>
      </c>
      <c r="BL63" s="16">
        <f>Constants!$D$23</f>
        <v>0</v>
      </c>
      <c r="BM63" s="16">
        <f>Constants!$B$51</f>
        <v>0.21</v>
      </c>
      <c r="BN63" s="16">
        <f>Constants!$B$50</f>
        <v>1.57</v>
      </c>
      <c r="BO63" s="16">
        <f>_xlfn.XLOOKUP(C63,Constants!$A$27:$A$31,Constants!$B$27:$B$31)</f>
        <v>7.0000000000000001E-3</v>
      </c>
      <c r="BP63" s="16">
        <f t="shared" si="85"/>
        <v>0</v>
      </c>
      <c r="BQ63" s="16">
        <f t="shared" si="86"/>
        <v>0</v>
      </c>
      <c r="BR63" s="16">
        <f t="shared" si="87"/>
        <v>0</v>
      </c>
      <c r="BS63" s="16">
        <f t="shared" si="88"/>
        <v>0</v>
      </c>
      <c r="BT63" s="16">
        <f t="shared" si="89"/>
        <v>0</v>
      </c>
      <c r="BU63" s="16">
        <f t="shared" si="90"/>
        <v>1799.5605806001486</v>
      </c>
      <c r="BV63" s="16">
        <f t="shared" si="91"/>
        <v>0</v>
      </c>
      <c r="BW63" s="16">
        <f t="shared" si="92"/>
        <v>19.777170780795636</v>
      </c>
      <c r="BX6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28E7-69B1-934F-BE2A-458E30D593ED}">
  <dimension ref="A3:BX63"/>
  <sheetViews>
    <sheetView topLeftCell="AP1" workbookViewId="0">
      <selection activeCell="AZ8" sqref="AZ8:AZ63"/>
    </sheetView>
  </sheetViews>
  <sheetFormatPr baseColWidth="10" defaultRowHeight="16" x14ac:dyDescent="0.2"/>
  <sheetData>
    <row r="3" spans="1:76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  <c r="AZ3">
        <f>(AY8/AW8)</f>
        <v>0.48980491333439752</v>
      </c>
    </row>
    <row r="5" spans="1:76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  <c r="AW5" t="s">
        <v>165</v>
      </c>
    </row>
    <row r="6" spans="1:76" x14ac:dyDescent="0.2">
      <c r="U6" t="s">
        <v>132</v>
      </c>
      <c r="V6" t="s">
        <v>132</v>
      </c>
      <c r="W6" t="s">
        <v>80</v>
      </c>
      <c r="AK6" t="s">
        <v>80</v>
      </c>
    </row>
    <row r="7" spans="1:76" s="16" customFormat="1" x14ac:dyDescent="0.2">
      <c r="A7" s="10" t="s">
        <v>49</v>
      </c>
      <c r="B7" s="10" t="s">
        <v>49</v>
      </c>
      <c r="C7" s="10"/>
      <c r="D7" s="10" t="s">
        <v>50</v>
      </c>
      <c r="E7" s="10" t="s">
        <v>51</v>
      </c>
      <c r="F7" s="10"/>
      <c r="G7" s="10" t="s">
        <v>63</v>
      </c>
      <c r="H7" s="10" t="s">
        <v>65</v>
      </c>
      <c r="I7" s="10" t="s">
        <v>64</v>
      </c>
      <c r="J7" s="10" t="s">
        <v>73</v>
      </c>
      <c r="K7" s="10" t="s">
        <v>76</v>
      </c>
      <c r="L7" s="10" t="s">
        <v>77</v>
      </c>
      <c r="M7" s="10" t="s">
        <v>78</v>
      </c>
      <c r="N7" s="10" t="s">
        <v>73</v>
      </c>
      <c r="O7" s="10" t="s">
        <v>76</v>
      </c>
      <c r="P7" s="10" t="s">
        <v>77</v>
      </c>
      <c r="Q7" s="10" t="s">
        <v>78</v>
      </c>
      <c r="R7" s="14" t="s">
        <v>71</v>
      </c>
      <c r="S7" s="10" t="s">
        <v>72</v>
      </c>
      <c r="T7" s="10" t="s">
        <v>129</v>
      </c>
      <c r="U7" s="10" t="s">
        <v>82</v>
      </c>
      <c r="V7" s="10" t="s">
        <v>83</v>
      </c>
      <c r="W7" s="10" t="s">
        <v>79</v>
      </c>
      <c r="X7" s="10"/>
      <c r="Y7" s="10" t="s">
        <v>57</v>
      </c>
      <c r="Z7" s="10" t="s">
        <v>58</v>
      </c>
      <c r="AA7" s="10" t="s">
        <v>59</v>
      </c>
      <c r="AB7" s="10" t="s">
        <v>84</v>
      </c>
      <c r="AC7" s="10" t="s">
        <v>85</v>
      </c>
      <c r="AD7" s="10" t="s">
        <v>86</v>
      </c>
      <c r="AE7" s="10" t="s">
        <v>87</v>
      </c>
      <c r="AF7" s="10" t="s">
        <v>67</v>
      </c>
      <c r="AG7" s="10" t="s">
        <v>68</v>
      </c>
      <c r="AH7" s="10" t="s">
        <v>69</v>
      </c>
      <c r="AI7" s="10" t="s">
        <v>70</v>
      </c>
      <c r="AJ7" s="10" t="s">
        <v>138</v>
      </c>
      <c r="AK7" s="10" t="s">
        <v>134</v>
      </c>
      <c r="AL7" s="10"/>
      <c r="AM7" s="10" t="s">
        <v>124</v>
      </c>
      <c r="AN7" s="10" t="s">
        <v>125</v>
      </c>
      <c r="AO7" s="10" t="s">
        <v>127</v>
      </c>
      <c r="AP7" s="10" t="s">
        <v>136</v>
      </c>
      <c r="AQ7" s="10" t="s">
        <v>137</v>
      </c>
      <c r="AR7" s="10" t="s">
        <v>98</v>
      </c>
      <c r="AS7" s="10" t="s">
        <v>97</v>
      </c>
      <c r="AT7" s="10" t="s">
        <v>160</v>
      </c>
      <c r="AU7" s="10" t="s">
        <v>161</v>
      </c>
      <c r="AV7" s="10" t="s">
        <v>162</v>
      </c>
      <c r="AW7" s="10"/>
      <c r="AX7" s="10" t="s">
        <v>88</v>
      </c>
      <c r="AY7" s="10" t="s">
        <v>163</v>
      </c>
      <c r="AZ7" s="10" t="s">
        <v>166</v>
      </c>
      <c r="BA7" s="10" t="s">
        <v>118</v>
      </c>
      <c r="BB7" s="10" t="s">
        <v>167</v>
      </c>
      <c r="BC7" s="10" t="s">
        <v>168</v>
      </c>
      <c r="BD7" s="10" t="s">
        <v>171</v>
      </c>
      <c r="BE7" s="10" t="s">
        <v>172</v>
      </c>
      <c r="BF7" s="10" t="s">
        <v>169</v>
      </c>
      <c r="BG7" s="10" t="s">
        <v>170</v>
      </c>
      <c r="BH7" s="10" t="s">
        <v>184</v>
      </c>
      <c r="BI7" s="10" t="s">
        <v>185</v>
      </c>
      <c r="BJ7" s="10" t="s">
        <v>186</v>
      </c>
      <c r="BK7" s="10" t="s">
        <v>187</v>
      </c>
      <c r="BL7" s="10" t="s">
        <v>188</v>
      </c>
      <c r="BM7" s="10" t="s">
        <v>197</v>
      </c>
      <c r="BN7" s="10" t="s">
        <v>117</v>
      </c>
      <c r="BO7" s="10" t="s">
        <v>89</v>
      </c>
      <c r="BP7" s="15" t="s">
        <v>189</v>
      </c>
      <c r="BQ7" s="15" t="s">
        <v>190</v>
      </c>
      <c r="BR7" s="15" t="s">
        <v>191</v>
      </c>
      <c r="BS7" s="15" t="s">
        <v>192</v>
      </c>
      <c r="BT7" s="15" t="s">
        <v>193</v>
      </c>
      <c r="BU7" s="15" t="s">
        <v>198</v>
      </c>
      <c r="BV7" s="15" t="s">
        <v>195</v>
      </c>
      <c r="BW7" s="15" t="s">
        <v>199</v>
      </c>
      <c r="BX7" s="15" t="s">
        <v>194</v>
      </c>
    </row>
    <row r="8" spans="1:76" x14ac:dyDescent="0.2">
      <c r="A8" t="str">
        <f>'Input Scenarios'!A73</f>
        <v>NSW</v>
      </c>
      <c r="B8">
        <f>'Input Scenarios'!B73</f>
        <v>15</v>
      </c>
      <c r="C8" t="str">
        <f>'Input Scenarios'!C73</f>
        <v>Non-irrigated pasture</v>
      </c>
      <c r="D8" t="str">
        <f>'Input Scenarios'!D73</f>
        <v>wet</v>
      </c>
      <c r="E8" t="b">
        <f>'Input Scenarios'!E73</f>
        <v>0</v>
      </c>
      <c r="G8">
        <f>'Input Scenarios'!G73</f>
        <v>0.2</v>
      </c>
      <c r="H8">
        <f>'Input Scenarios'!H73</f>
        <v>0.3</v>
      </c>
      <c r="I8">
        <f>'Input Scenarios'!I73</f>
        <v>0.5</v>
      </c>
      <c r="J8">
        <f>'Input Scenarios'!J73</f>
        <v>0.25</v>
      </c>
      <c r="K8">
        <f>'Input Scenarios'!K73</f>
        <v>0.25</v>
      </c>
      <c r="L8">
        <f>'Input Scenarios'!L73</f>
        <v>0.25</v>
      </c>
      <c r="M8">
        <f>'Input Scenarios'!M73</f>
        <v>0.25</v>
      </c>
      <c r="N8">
        <f>'Input Scenarios'!N73</f>
        <v>0.25</v>
      </c>
      <c r="O8">
        <f>'Input Scenarios'!O73</f>
        <v>0.25</v>
      </c>
      <c r="P8">
        <f>'Input Scenarios'!P73</f>
        <v>0.25</v>
      </c>
      <c r="Q8">
        <f>'Input Scenarios'!Q73</f>
        <v>0.25</v>
      </c>
      <c r="R8" t="b">
        <f>'Input Scenarios'!R73</f>
        <v>1</v>
      </c>
      <c r="S8" s="20">
        <f>IF('Input Scenarios'!S73&lt;&gt;"", 'Input Scenarios'!S73, IF(R73, Constants!$B$38, 0))</f>
        <v>0.22</v>
      </c>
      <c r="T8" s="20" t="str">
        <f>IF('Input Scenarios'!T73&lt;&gt;"", 'Input Scenarios'!T73, "")</f>
        <v/>
      </c>
      <c r="U8" s="20" t="str">
        <f>IF('Input Scenarios'!U73&lt;&gt;"", 'Input Scenarios'!U73, IF(W8&lt;&gt;"", "", Constants!$B$39))</f>
        <v/>
      </c>
      <c r="V8" s="20" t="str">
        <f>IF('Input Scenarios'!V73&lt;&gt;"", 'Input Scenarios'!V73, IF(W8&lt;&gt;"", "", Constants!$B$40))</f>
        <v/>
      </c>
      <c r="W8" s="20">
        <f>IF('Input Scenarios'!W73&lt;&gt;"", 'Input Scenarios'!W73, "")</f>
        <v>15</v>
      </c>
      <c r="X8" s="20" t="str">
        <f>'Input Scenarios'!X73</f>
        <v>Medium Friesian</v>
      </c>
      <c r="Y8" s="20" t="str">
        <f>'Input Scenarios'!Y73</f>
        <v>milkingCows</v>
      </c>
      <c r="Z8" s="20">
        <f>'Input Scenarios'!Z73</f>
        <v>200</v>
      </c>
      <c r="AA8" s="20">
        <f>'Input Scenarios'!AA73</f>
        <v>365</v>
      </c>
      <c r="AB8" s="20">
        <f>'Input Scenarios'!AB73</f>
        <v>555</v>
      </c>
      <c r="AC8">
        <f>IF('Input Scenarios'!AC73&lt;&gt;"", 'Input Scenarios'!AC73, _xlfn.XLOOKUP(Y8, Constants!$B$13:$H$13, Constants!$B$15:$H$15, ""))</f>
        <v>1.6E-2</v>
      </c>
      <c r="AD8">
        <f>IF('Input Scenarios'!AD73&lt;&gt;"", 'Input Scenarios'!AD73, Constants!$B$45)</f>
        <v>0.7</v>
      </c>
      <c r="AE8">
        <f>IF('Input Scenarios'!AE73&lt;&gt;"", 'Input Scenarios'!AE73, Constants!$B$46)</f>
        <v>0.18</v>
      </c>
      <c r="AF8" s="20">
        <f>IF($Y8="milkingCows",($H8*J8)+($I8*N8), 0)</f>
        <v>0.2</v>
      </c>
      <c r="AG8" s="20">
        <f t="shared" ref="AG8:AI23" si="0">IF($Y8="milkingCows",($H8*K8)+($I8*O8), 0)</f>
        <v>0.2</v>
      </c>
      <c r="AH8" s="20">
        <f t="shared" si="0"/>
        <v>0.2</v>
      </c>
      <c r="AI8" s="20">
        <f t="shared" si="0"/>
        <v>0.2</v>
      </c>
      <c r="AJ8" s="20">
        <f>IF($Y8="milkingCows",G8, 1)</f>
        <v>0.2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0.55510000000000004</v>
      </c>
      <c r="AQ8">
        <f>(AK8*AL8*AM8)/(AN8*AO8*AP8)</f>
        <v>7.6994059041457472</v>
      </c>
      <c r="AR8">
        <f>IF(Y8="milkingCows", Constants!$P$2, Constants!$P$3)</f>
        <v>1.1000000000000001</v>
      </c>
      <c r="AS8">
        <f>IFERROR(((1.185+(0.00454*AB8)-(0.0000026*(AB8^2))+(0.315*AC8))^2*AR8+AQ8), "")</f>
        <v>17.007115046333247</v>
      </c>
      <c r="AT8">
        <f>IFERROR(((1.185+(0.00454*AB8)-(0.0000026*(AB8^2))+(0.315*AC8))^2*AR8+AQ8)/((1.185+(0.00454*AB8)-(0.0000026*(AB8^2)))^2*AR8+AQ8), "")</f>
        <v>1.0018984314721953</v>
      </c>
      <c r="AU8">
        <f>_xlfn.XLOOKUP(Y8, Constants!$B$13:$H$13, Constants!$B$14:$H$14, "")</f>
        <v>590</v>
      </c>
      <c r="AV8">
        <f>IFERROR(AB8/AU8, "")</f>
        <v>0.94067796610169496</v>
      </c>
      <c r="AW8">
        <f>Constants!$B$55</f>
        <v>6.25</v>
      </c>
      <c r="AX8" s="20">
        <f t="shared" ref="AX8:AX39" si="1">IFERROR((((0.212 - (0.008*(AT8-2)) - (0.14-0.008*(AT8-2))/(1+EXP(-6*(AV8-0.4)))) * AC8 * 0.92)/AW8) + (0.032*AK8*AL8)/6.38, "")</f>
        <v>7.7674821592032706E-2</v>
      </c>
      <c r="AY8">
        <f t="shared" ref="AY8:AY39" si="2">IFERROR(AE8*AS8, "")</f>
        <v>3.0612807083399844</v>
      </c>
      <c r="AZ8">
        <f>IF(ISNUMBER(FIND("PreWeaned",Y8)),"", MAX((AY8/AW8)-AX8-(((1.1*10^-4)*(AB8^0.75))/AW8), 0))</f>
        <v>0.41011760788645185</v>
      </c>
      <c r="BA8" t="str">
        <f>IF(ISNUMBER(FIND("PreWeaned",Y8)),_xlfn.XLOOKUP(Y8,Constants!$J$2:$J$3,Constants!$M$2:$M$3),"")</f>
        <v/>
      </c>
      <c r="BB8">
        <f t="shared" ref="BB8:BB39" si="3">SUM(AZ8:BA8)*Z8*AA8</f>
        <v>29938.585375710983</v>
      </c>
      <c r="BC8">
        <f t="shared" ref="BC8:BC39" si="4">$BB8*AF8</f>
        <v>5987.7170751421972</v>
      </c>
      <c r="BD8">
        <f t="shared" ref="BD8:BD39" si="5">$BB8*AG8</f>
        <v>5987.7170751421972</v>
      </c>
      <c r="BE8">
        <f t="shared" ref="BE8:BE39" si="6">$BB8*AH8</f>
        <v>5987.7170751421972</v>
      </c>
      <c r="BF8">
        <f t="shared" ref="BF8:BF39" si="7">$BB8*AI8</f>
        <v>5987.7170751421972</v>
      </c>
      <c r="BG8">
        <f t="shared" ref="BG8:BG39" si="8">$BB8*AJ8</f>
        <v>5987.7170751421972</v>
      </c>
      <c r="BH8">
        <f>Constants!$D$19</f>
        <v>0.35</v>
      </c>
      <c r="BI8">
        <f>Constants!$D$20</f>
        <v>7.0000000000000007E-2</v>
      </c>
      <c r="BJ8">
        <f>Constants!$D$21</f>
        <v>0.2</v>
      </c>
      <c r="BK8">
        <f>Constants!$D$22</f>
        <v>0.3</v>
      </c>
      <c r="BL8">
        <f>Constants!$D$23</f>
        <v>0</v>
      </c>
      <c r="BM8">
        <f>Constants!$B$51</f>
        <v>0.21</v>
      </c>
      <c r="BN8">
        <f>Constants!$B$50</f>
        <v>1.57</v>
      </c>
      <c r="BO8">
        <f>_xlfn.XLOOKUP(C8,Constants!$A$27:$A$31,Constants!$B$27:$B$31)</f>
        <v>1.8E-3</v>
      </c>
      <c r="BP8">
        <f>BC8*BH8</f>
        <v>2095.7009762997691</v>
      </c>
      <c r="BQ8">
        <f t="shared" ref="BQ8:BT23" si="9">BD8*BI8</f>
        <v>419.14019525995383</v>
      </c>
      <c r="BR8">
        <f t="shared" si="9"/>
        <v>1197.5434150284395</v>
      </c>
      <c r="BS8">
        <f t="shared" si="9"/>
        <v>1796.3151225426591</v>
      </c>
      <c r="BT8">
        <f t="shared" si="9"/>
        <v>0</v>
      </c>
      <c r="BU8">
        <f>BG8*BM8</f>
        <v>1257.4205857798613</v>
      </c>
      <c r="BV8">
        <f>SUM(BP8:BS8)*BO8*BN8</f>
        <v>15.567585378003702</v>
      </c>
      <c r="BW8">
        <f>BU8*BO8*BN8</f>
        <v>3.5534705754138884</v>
      </c>
      <c r="BX8">
        <f>SUM(BV8:BW14)/1000</f>
        <v>5.6129490106552049E-2</v>
      </c>
    </row>
    <row r="9" spans="1:76" x14ac:dyDescent="0.2">
      <c r="A9" t="str">
        <f>'Input Scenarios'!A74</f>
        <v>NSW</v>
      </c>
      <c r="B9">
        <f>'Input Scenarios'!B74</f>
        <v>15</v>
      </c>
      <c r="C9" t="str">
        <f>'Input Scenarios'!C74</f>
        <v>Non-irrigated pasture</v>
      </c>
      <c r="D9" t="str">
        <f>'Input Scenarios'!D74</f>
        <v>wet</v>
      </c>
      <c r="E9" t="b">
        <f>'Input Scenarios'!E74</f>
        <v>0</v>
      </c>
      <c r="G9">
        <f>'Input Scenarios'!G74</f>
        <v>0.2</v>
      </c>
      <c r="H9">
        <f>'Input Scenarios'!H74</f>
        <v>0.3</v>
      </c>
      <c r="I9">
        <f>'Input Scenarios'!I74</f>
        <v>0.5</v>
      </c>
      <c r="J9">
        <f>'Input Scenarios'!J74</f>
        <v>0.25</v>
      </c>
      <c r="K9">
        <f>'Input Scenarios'!K74</f>
        <v>0.25</v>
      </c>
      <c r="L9">
        <f>'Input Scenarios'!L74</f>
        <v>0.25</v>
      </c>
      <c r="M9">
        <f>'Input Scenarios'!M74</f>
        <v>0.25</v>
      </c>
      <c r="N9">
        <f>'Input Scenarios'!N74</f>
        <v>0.25</v>
      </c>
      <c r="O9">
        <f>'Input Scenarios'!O74</f>
        <v>0.25</v>
      </c>
      <c r="P9">
        <f>'Input Scenarios'!P74</f>
        <v>0.25</v>
      </c>
      <c r="Q9">
        <f>'Input Scenarios'!Q74</f>
        <v>0.25</v>
      </c>
      <c r="R9" t="b">
        <f>'Input Scenarios'!R9</f>
        <v>1</v>
      </c>
      <c r="S9">
        <f>IF('Input Scenarios'!S74&lt;&gt;"", 'Input Scenarios'!S74, IF(R74, Constants!$B$38, 0))</f>
        <v>0.22</v>
      </c>
      <c r="T9" t="str">
        <f>IF('Input Scenarios'!T74&lt;&gt;"", 'Input Scenarios'!T74, "")</f>
        <v/>
      </c>
      <c r="U9">
        <f>IF('Input Scenarios'!U74&lt;&gt;"", 'Input Scenarios'!U74, IF(W9&lt;&gt;"", "", Constants!$B$39))</f>
        <v>4</v>
      </c>
      <c r="V9">
        <f>IF('Input Scenarios'!V74&lt;&gt;"", 'Input Scenarios'!V74, IF(W9&lt;&gt;"", "", Constants!$B$40))</f>
        <v>3.3</v>
      </c>
      <c r="W9" t="str">
        <f>IF('Input Scenarios'!W74&lt;&gt;"", 'Input Scenarios'!W74, "")</f>
        <v/>
      </c>
      <c r="X9" t="str">
        <f>'Input Scenarios'!X74</f>
        <v>Medium Friesian</v>
      </c>
      <c r="Y9" t="str">
        <f>'Input Scenarios'!Y74</f>
        <v>heifersGt1</v>
      </c>
      <c r="Z9">
        <f>'Input Scenarios'!Z74</f>
        <v>200</v>
      </c>
      <c r="AA9">
        <f>'Input Scenarios'!AA74</f>
        <v>365</v>
      </c>
      <c r="AB9">
        <f>'Input Scenarios'!AB74</f>
        <v>375</v>
      </c>
      <c r="AC9">
        <f>IF('Input Scenarios'!AC74&lt;&gt;"", 'Input Scenarios'!AC74, _xlfn.XLOOKUP(Y9, Constants!$B$13:$H$13, Constants!$B$15:$H$15, ""))</f>
        <v>0.6</v>
      </c>
      <c r="AD9">
        <f>IF('Input Scenarios'!AD74&lt;&gt;"", 'Input Scenarios'!AD74, Constants!$B$45)</f>
        <v>0.71</v>
      </c>
      <c r="AE9">
        <f>IF('Input Scenarios'!AE74&lt;&gt;"", 'Input Scenarios'!AE74, Constants!$B$46)</f>
        <v>0.19</v>
      </c>
      <c r="AF9">
        <f t="shared" ref="AF9:AI24" si="10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11">IF($Y9="milkingCows",G9, 1)</f>
        <v>1</v>
      </c>
      <c r="AK9">
        <f t="shared" ref="AK9:AK13" si="12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63" si="13">0.795*(AD9)-0.0014</f>
        <v>0.56305000000000005</v>
      </c>
      <c r="AQ9">
        <f t="shared" ref="AQ9:AQ63" si="14">(AK9*AL9*AM9)/(AN9*AO9*AP9)</f>
        <v>0</v>
      </c>
      <c r="AR9">
        <f>IF(Y9="milkingCows", Constants!$P$2, Constants!$P$3)</f>
        <v>1</v>
      </c>
      <c r="AS9">
        <f t="shared" ref="AS9:AS63" si="15">IFERROR(((1.185+(0.00454*AB9)-(0.0000026*(AB9^2))+(0.315*AC9))^2*AR9+AQ9), "")</f>
        <v>7.3488432656250007</v>
      </c>
      <c r="AT9">
        <f t="shared" ref="AT9:AT63" si="16">IFERROR(((1.185+(0.00454*AB9)-(0.0000026*(AB9^2))+(0.315*AC9))^2*AR9+AQ9)/((1.185+(0.00454*AB9)-(0.0000026*(AB9^2)))^2*AR9+AQ9), "")</f>
        <v>1.1555051146335733</v>
      </c>
      <c r="AU9">
        <f>_xlfn.XLOOKUP(Y9, Constants!$B$13:$H$13, Constants!$B$14:$H$14, "")</f>
        <v>590</v>
      </c>
      <c r="AV9">
        <f t="shared" ref="AV9:AV63" si="17">IFERROR(AB9/AU9, "")</f>
        <v>0.63559322033898302</v>
      </c>
      <c r="AW9">
        <f>Constants!$B$55</f>
        <v>6.25</v>
      </c>
      <c r="AX9">
        <f t="shared" si="1"/>
        <v>8.8952563417278308E-3</v>
      </c>
      <c r="AY9">
        <f t="shared" si="2"/>
        <v>1.3962802204687501</v>
      </c>
      <c r="AZ9">
        <f t="shared" ref="AZ9:AZ63" si="18">IF(ISNUMBER(FIND("PreWeaned",Y9)),"", MAX((AY9/AW9)-AX9-(((1.1*10^-4)*(AB9^0.75))/AW9), 0))</f>
        <v>0.21300976936953508</v>
      </c>
      <c r="BA9" t="str">
        <f>IF(ISNUMBER(FIND("PreWeaned",Y9)),_xlfn.XLOOKUP(Y9,Constants!$J$2:$J$3,Constants!$M$2:$M$3),"")</f>
        <v/>
      </c>
      <c r="BB9">
        <f t="shared" si="3"/>
        <v>15549.713163976061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15549.713163976061</v>
      </c>
      <c r="BH9">
        <f>Constants!$D$19</f>
        <v>0.35</v>
      </c>
      <c r="BI9">
        <f>Constants!$D$20</f>
        <v>7.0000000000000007E-2</v>
      </c>
      <c r="BJ9">
        <f>Constants!$D$21</f>
        <v>0.2</v>
      </c>
      <c r="BK9">
        <f>Constants!$D$22</f>
        <v>0.3</v>
      </c>
      <c r="BL9">
        <f>Constants!$D$23</f>
        <v>0</v>
      </c>
      <c r="BM9">
        <f>Constants!$B$51</f>
        <v>0.21</v>
      </c>
      <c r="BN9">
        <f>Constants!$B$50</f>
        <v>1.57</v>
      </c>
      <c r="BO9">
        <f>_xlfn.XLOOKUP(C9,Constants!$A$27:$A$31,Constants!$B$27:$B$31)</f>
        <v>1.8E-3</v>
      </c>
      <c r="BP9">
        <f t="shared" ref="BP9:BT24" si="19">BC9*BH9</f>
        <v>0</v>
      </c>
      <c r="BQ9">
        <f t="shared" si="9"/>
        <v>0</v>
      </c>
      <c r="BR9">
        <f t="shared" si="9"/>
        <v>0</v>
      </c>
      <c r="BS9">
        <f t="shared" si="9"/>
        <v>0</v>
      </c>
      <c r="BT9">
        <f t="shared" si="9"/>
        <v>0</v>
      </c>
      <c r="BU9">
        <f t="shared" ref="BU9:BU63" si="20">BG9*BM9</f>
        <v>3265.4397644349729</v>
      </c>
      <c r="BV9">
        <f t="shared" ref="BV9:BV63" si="21">SUM(BP9:BS9)*BO9*BN9</f>
        <v>0</v>
      </c>
      <c r="BW9">
        <f t="shared" ref="BW9:BW63" si="22">BU9*BO9*BN9</f>
        <v>9.2281327742932344</v>
      </c>
    </row>
    <row r="10" spans="1:76" x14ac:dyDescent="0.2">
      <c r="A10" t="str">
        <f>'Input Scenarios'!A75</f>
        <v>NSW</v>
      </c>
      <c r="B10">
        <f>'Input Scenarios'!B75</f>
        <v>15</v>
      </c>
      <c r="C10" t="str">
        <f>'Input Scenarios'!C75</f>
        <v>Non-irrigated pasture</v>
      </c>
      <c r="D10" t="str">
        <f>'Input Scenarios'!D75</f>
        <v>wet</v>
      </c>
      <c r="E10" t="b">
        <f>'Input Scenarios'!E75</f>
        <v>0</v>
      </c>
      <c r="G10">
        <f>'Input Scenarios'!G75</f>
        <v>0.2</v>
      </c>
      <c r="H10">
        <f>'Input Scenarios'!H75</f>
        <v>0.3</v>
      </c>
      <c r="I10">
        <f>'Input Scenarios'!I75</f>
        <v>0.5</v>
      </c>
      <c r="J10">
        <f>'Input Scenarios'!J75</f>
        <v>0.25</v>
      </c>
      <c r="K10">
        <f>'Input Scenarios'!K75</f>
        <v>0.25</v>
      </c>
      <c r="L10">
        <f>'Input Scenarios'!L75</f>
        <v>0.25</v>
      </c>
      <c r="M10">
        <f>'Input Scenarios'!M75</f>
        <v>0.25</v>
      </c>
      <c r="N10">
        <f>'Input Scenarios'!N75</f>
        <v>0.25</v>
      </c>
      <c r="O10">
        <f>'Input Scenarios'!O75</f>
        <v>0.25</v>
      </c>
      <c r="P10">
        <f>'Input Scenarios'!P75</f>
        <v>0.25</v>
      </c>
      <c r="Q10">
        <f>'Input Scenarios'!Q75</f>
        <v>0.25</v>
      </c>
      <c r="R10" t="b">
        <f>'Input Scenarios'!R10</f>
        <v>1</v>
      </c>
      <c r="S10">
        <f>IF('Input Scenarios'!S75&lt;&gt;"", 'Input Scenarios'!S75, IF(R75, Constants!$B$38, 0))</f>
        <v>0.22</v>
      </c>
      <c r="T10" t="str">
        <f>IF('Input Scenarios'!T75&lt;&gt;"", 'Input Scenarios'!T75, "")</f>
        <v/>
      </c>
      <c r="U10">
        <f>IF('Input Scenarios'!U75&lt;&gt;"", 'Input Scenarios'!U75, IF(W10&lt;&gt;"", "", Constants!$B$39))</f>
        <v>4</v>
      </c>
      <c r="V10">
        <f>IF('Input Scenarios'!V75&lt;&gt;"", 'Input Scenarios'!V75, IF(W10&lt;&gt;"", "", Constants!$B$40))</f>
        <v>3.3</v>
      </c>
      <c r="W10" t="str">
        <f>IF('Input Scenarios'!W75&lt;&gt;"", 'Input Scenarios'!W75, "")</f>
        <v/>
      </c>
      <c r="X10" t="str">
        <f>'Input Scenarios'!X75</f>
        <v>Medium Friesian</v>
      </c>
      <c r="Y10" t="str">
        <f>'Input Scenarios'!Y75</f>
        <v>heifersLt1PreWeaned</v>
      </c>
      <c r="Z10">
        <f>'Input Scenarios'!Z75</f>
        <v>200</v>
      </c>
      <c r="AA10">
        <f>'Input Scenarios'!AA75</f>
        <v>365</v>
      </c>
      <c r="AB10">
        <f>'Input Scenarios'!AB75</f>
        <v>80</v>
      </c>
      <c r="AC10" t="str">
        <f>IF('Input Scenarios'!AC75&lt;&gt;"", 'Input Scenarios'!AC75, _xlfn.XLOOKUP(Y10, Constants!$B$13:$H$13, Constants!$B$15:$H$15, ""))</f>
        <v/>
      </c>
      <c r="AD10">
        <f>IF('Input Scenarios'!AD75&lt;&gt;"", 'Input Scenarios'!AD75, Constants!$B$45)</f>
        <v>0.72</v>
      </c>
      <c r="AE10">
        <f>IF('Input Scenarios'!AE75&lt;&gt;"", 'Input Scenarios'!AE75, Constants!$B$46)</f>
        <v>0.2</v>
      </c>
      <c r="AF10">
        <f t="shared" si="1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11"/>
        <v>1</v>
      </c>
      <c r="AK10">
        <f t="shared" si="12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13"/>
        <v>0.57100000000000006</v>
      </c>
      <c r="AQ10">
        <f t="shared" si="14"/>
        <v>0</v>
      </c>
      <c r="AR10">
        <f>IF(Y10="milkingCows", Constants!$P$2, Constants!$P$3)</f>
        <v>1</v>
      </c>
      <c r="AS10" t="str">
        <f t="shared" si="15"/>
        <v/>
      </c>
      <c r="AT10" t="str">
        <f t="shared" si="16"/>
        <v/>
      </c>
      <c r="AU10" t="str">
        <f>_xlfn.XLOOKUP(Y10, Constants!$B$13:$H$13, Constants!$B$14:$H$14, "")</f>
        <v/>
      </c>
      <c r="AV10" t="str">
        <f t="shared" si="17"/>
        <v/>
      </c>
      <c r="AW10">
        <f>Constants!$B$55</f>
        <v>6.25</v>
      </c>
      <c r="AX10" t="str">
        <f t="shared" si="1"/>
        <v/>
      </c>
      <c r="AY10" t="str">
        <f t="shared" si="2"/>
        <v/>
      </c>
      <c r="AZ10" t="str">
        <f t="shared" si="18"/>
        <v/>
      </c>
      <c r="BA10">
        <f>IF(ISNUMBER(FIND("PreWeaned",Y10)),_xlfn.XLOOKUP(Y10,Constants!$J$2:$J$3,Constants!$M$2:$M$3),"")</f>
        <v>1.37E-2</v>
      </c>
      <c r="BB10">
        <f t="shared" si="3"/>
        <v>1000.1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1000.1</v>
      </c>
      <c r="BH10">
        <f>Constants!$D$19</f>
        <v>0.35</v>
      </c>
      <c r="BI10">
        <f>Constants!$D$20</f>
        <v>7.0000000000000007E-2</v>
      </c>
      <c r="BJ10">
        <f>Constants!$D$21</f>
        <v>0.2</v>
      </c>
      <c r="BK10">
        <f>Constants!$D$22</f>
        <v>0.3</v>
      </c>
      <c r="BL10">
        <f>Constants!$D$23</f>
        <v>0</v>
      </c>
      <c r="BM10">
        <f>Constants!$B$51</f>
        <v>0.21</v>
      </c>
      <c r="BN10">
        <f>Constants!$B$50</f>
        <v>1.57</v>
      </c>
      <c r="BO10">
        <f>_xlfn.XLOOKUP(C10,Constants!$A$27:$A$31,Constants!$B$27:$B$31)</f>
        <v>1.8E-3</v>
      </c>
      <c r="BP10">
        <f t="shared" si="19"/>
        <v>0</v>
      </c>
      <c r="BQ10">
        <f t="shared" si="9"/>
        <v>0</v>
      </c>
      <c r="BR10">
        <f t="shared" si="9"/>
        <v>0</v>
      </c>
      <c r="BS10">
        <f t="shared" si="9"/>
        <v>0</v>
      </c>
      <c r="BT10">
        <f t="shared" si="9"/>
        <v>0</v>
      </c>
      <c r="BU10">
        <f t="shared" si="20"/>
        <v>210.02099999999999</v>
      </c>
      <c r="BV10">
        <f t="shared" si="21"/>
        <v>0</v>
      </c>
      <c r="BW10">
        <f t="shared" si="22"/>
        <v>0.593519346</v>
      </c>
    </row>
    <row r="11" spans="1:76" x14ac:dyDescent="0.2">
      <c r="A11" t="str">
        <f>'Input Scenarios'!A76</f>
        <v>NSW</v>
      </c>
      <c r="B11">
        <f>'Input Scenarios'!B76</f>
        <v>15</v>
      </c>
      <c r="C11" t="str">
        <f>'Input Scenarios'!C76</f>
        <v>Non-irrigated pasture</v>
      </c>
      <c r="D11" t="str">
        <f>'Input Scenarios'!D76</f>
        <v>wet</v>
      </c>
      <c r="E11" t="b">
        <f>'Input Scenarios'!E76</f>
        <v>0</v>
      </c>
      <c r="G11">
        <f>'Input Scenarios'!G76</f>
        <v>0.2</v>
      </c>
      <c r="H11">
        <f>'Input Scenarios'!H76</f>
        <v>0.3</v>
      </c>
      <c r="I11">
        <f>'Input Scenarios'!I76</f>
        <v>0.5</v>
      </c>
      <c r="J11">
        <f>'Input Scenarios'!J76</f>
        <v>0.25</v>
      </c>
      <c r="K11">
        <f>'Input Scenarios'!K76</f>
        <v>0.25</v>
      </c>
      <c r="L11">
        <f>'Input Scenarios'!L76</f>
        <v>0.25</v>
      </c>
      <c r="M11">
        <f>'Input Scenarios'!M76</f>
        <v>0.25</v>
      </c>
      <c r="N11">
        <f>'Input Scenarios'!N76</f>
        <v>0.25</v>
      </c>
      <c r="O11">
        <f>'Input Scenarios'!O76</f>
        <v>0.25</v>
      </c>
      <c r="P11">
        <f>'Input Scenarios'!P76</f>
        <v>0.25</v>
      </c>
      <c r="Q11">
        <f>'Input Scenarios'!Q76</f>
        <v>0.25</v>
      </c>
      <c r="R11" t="b">
        <f>'Input Scenarios'!R11</f>
        <v>1</v>
      </c>
      <c r="S11">
        <f>IF('Input Scenarios'!S76&lt;&gt;"", 'Input Scenarios'!S76, IF(R76, Constants!$B$38, 0))</f>
        <v>0.22</v>
      </c>
      <c r="T11" t="str">
        <f>IF('Input Scenarios'!T76&lt;&gt;"", 'Input Scenarios'!T76, "")</f>
        <v/>
      </c>
      <c r="U11">
        <f>IF('Input Scenarios'!U76&lt;&gt;"", 'Input Scenarios'!U76, IF(W11&lt;&gt;"", "", Constants!$B$39))</f>
        <v>4</v>
      </c>
      <c r="V11">
        <f>IF('Input Scenarios'!V76&lt;&gt;"", 'Input Scenarios'!V76, IF(W11&lt;&gt;"", "", Constants!$B$40))</f>
        <v>3.3</v>
      </c>
      <c r="W11" t="str">
        <f>IF('Input Scenarios'!W76&lt;&gt;"", 'Input Scenarios'!W76, "")</f>
        <v/>
      </c>
      <c r="X11" t="str">
        <f>'Input Scenarios'!X76</f>
        <v>Medium Friesian</v>
      </c>
      <c r="Y11" t="str">
        <f>'Input Scenarios'!Y76</f>
        <v>heifersLt1Weaned</v>
      </c>
      <c r="Z11">
        <f>'Input Scenarios'!Z76</f>
        <v>200</v>
      </c>
      <c r="AA11">
        <f>'Input Scenarios'!AA76</f>
        <v>365</v>
      </c>
      <c r="AB11">
        <f>'Input Scenarios'!AB76</f>
        <v>123</v>
      </c>
      <c r="AC11">
        <f>IF('Input Scenarios'!AC76&lt;&gt;"", 'Input Scenarios'!AC76, _xlfn.XLOOKUP(Y11, Constants!$B$13:$H$13, Constants!$B$15:$H$15, ""))</f>
        <v>0.56999999999999995</v>
      </c>
      <c r="AD11">
        <f>IF('Input Scenarios'!AD76&lt;&gt;"", 'Input Scenarios'!AD76, Constants!$B$45)</f>
        <v>0.73</v>
      </c>
      <c r="AE11">
        <f>IF('Input Scenarios'!AE76&lt;&gt;"", 'Input Scenarios'!AE76, Constants!$B$46)</f>
        <v>0.21</v>
      </c>
      <c r="AF11">
        <f t="shared" si="1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11"/>
        <v>1</v>
      </c>
      <c r="AK11">
        <f t="shared" si="12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13"/>
        <v>0.57895000000000008</v>
      </c>
      <c r="AQ11">
        <f t="shared" si="14"/>
        <v>0</v>
      </c>
      <c r="AR11">
        <f>IF(Y11="milkingCows", Constants!$P$2, Constants!$P$3)</f>
        <v>1</v>
      </c>
      <c r="AS11">
        <f t="shared" si="15"/>
        <v>3.5480793063171605</v>
      </c>
      <c r="AT11">
        <f t="shared" si="16"/>
        <v>1.2218306495312425</v>
      </c>
      <c r="AU11">
        <f>_xlfn.XLOOKUP(Y11, Constants!$B$13:$H$13, Constants!$B$14:$H$14, "")</f>
        <v>590</v>
      </c>
      <c r="AV11">
        <f t="shared" si="17"/>
        <v>0.20847457627118643</v>
      </c>
      <c r="AW11">
        <f>Constants!$B$55</f>
        <v>6.25</v>
      </c>
      <c r="AX11">
        <f t="shared" si="1"/>
        <v>1.535754600252277E-2</v>
      </c>
      <c r="AY11">
        <f t="shared" si="2"/>
        <v>0.74509665432660366</v>
      </c>
      <c r="AZ11">
        <f t="shared" si="18"/>
        <v>0.10320787656467442</v>
      </c>
      <c r="BA11" t="str">
        <f>IF(ISNUMBER(FIND("PreWeaned",Y11)),_xlfn.XLOOKUP(Y11,Constants!$J$2:$J$3,Constants!$M$2:$M$3),"")</f>
        <v/>
      </c>
      <c r="BB11">
        <f t="shared" si="3"/>
        <v>7534.174989221232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7534.174989221232</v>
      </c>
      <c r="BH11">
        <f>Constants!$D$19</f>
        <v>0.35</v>
      </c>
      <c r="BI11">
        <f>Constants!$D$20</f>
        <v>7.0000000000000007E-2</v>
      </c>
      <c r="BJ11">
        <f>Constants!$D$21</f>
        <v>0.2</v>
      </c>
      <c r="BK11">
        <f>Constants!$D$22</f>
        <v>0.3</v>
      </c>
      <c r="BL11">
        <f>Constants!$D$23</f>
        <v>0</v>
      </c>
      <c r="BM11">
        <f>Constants!$B$51</f>
        <v>0.21</v>
      </c>
      <c r="BN11">
        <f>Constants!$B$50</f>
        <v>1.57</v>
      </c>
      <c r="BO11">
        <f>_xlfn.XLOOKUP(C11,Constants!$A$27:$A$31,Constants!$B$27:$B$31)</f>
        <v>1.8E-3</v>
      </c>
      <c r="BP11">
        <f t="shared" si="19"/>
        <v>0</v>
      </c>
      <c r="BQ11">
        <f t="shared" si="9"/>
        <v>0</v>
      </c>
      <c r="BR11">
        <f t="shared" si="9"/>
        <v>0</v>
      </c>
      <c r="BS11">
        <f t="shared" si="9"/>
        <v>0</v>
      </c>
      <c r="BT11">
        <f t="shared" si="9"/>
        <v>0</v>
      </c>
      <c r="BU11">
        <f t="shared" si="20"/>
        <v>1582.1767477364588</v>
      </c>
      <c r="BV11">
        <f t="shared" si="21"/>
        <v>0</v>
      </c>
      <c r="BW11">
        <f t="shared" si="22"/>
        <v>4.471231489103233</v>
      </c>
    </row>
    <row r="12" spans="1:76" x14ac:dyDescent="0.2">
      <c r="A12" t="str">
        <f>'Input Scenarios'!A77</f>
        <v>NSW</v>
      </c>
      <c r="B12">
        <f>'Input Scenarios'!B77</f>
        <v>15</v>
      </c>
      <c r="C12" t="str">
        <f>'Input Scenarios'!C77</f>
        <v>Non-irrigated pasture</v>
      </c>
      <c r="D12" t="str">
        <f>'Input Scenarios'!D77</f>
        <v>wet</v>
      </c>
      <c r="E12" t="b">
        <f>'Input Scenarios'!E77</f>
        <v>0</v>
      </c>
      <c r="G12">
        <f>'Input Scenarios'!G77</f>
        <v>0.2</v>
      </c>
      <c r="H12">
        <f>'Input Scenarios'!H77</f>
        <v>0.3</v>
      </c>
      <c r="I12">
        <f>'Input Scenarios'!I77</f>
        <v>0.5</v>
      </c>
      <c r="J12">
        <f>'Input Scenarios'!J77</f>
        <v>0.25</v>
      </c>
      <c r="K12">
        <f>'Input Scenarios'!K77</f>
        <v>0.25</v>
      </c>
      <c r="L12">
        <f>'Input Scenarios'!L77</f>
        <v>0.25</v>
      </c>
      <c r="M12">
        <f>'Input Scenarios'!M77</f>
        <v>0.25</v>
      </c>
      <c r="N12">
        <f>'Input Scenarios'!N77</f>
        <v>0.25</v>
      </c>
      <c r="O12">
        <f>'Input Scenarios'!O77</f>
        <v>0.25</v>
      </c>
      <c r="P12">
        <f>'Input Scenarios'!P77</f>
        <v>0.25</v>
      </c>
      <c r="Q12">
        <f>'Input Scenarios'!Q77</f>
        <v>0.25</v>
      </c>
      <c r="R12" t="b">
        <f>'Input Scenarios'!R12</f>
        <v>1</v>
      </c>
      <c r="S12">
        <f>IF('Input Scenarios'!S77&lt;&gt;"", 'Input Scenarios'!S77, IF(R77, Constants!$B$38, 0))</f>
        <v>0.22</v>
      </c>
      <c r="T12" t="str">
        <f>IF('Input Scenarios'!T77&lt;&gt;"", 'Input Scenarios'!T77, "")</f>
        <v/>
      </c>
      <c r="U12">
        <f>IF('Input Scenarios'!U77&lt;&gt;"", 'Input Scenarios'!U77, IF(W12&lt;&gt;"", "", Constants!$B$39))</f>
        <v>4</v>
      </c>
      <c r="V12">
        <f>IF('Input Scenarios'!V77&lt;&gt;"", 'Input Scenarios'!V77, IF(W12&lt;&gt;"", "", Constants!$B$40))</f>
        <v>3.3</v>
      </c>
      <c r="W12" t="str">
        <f>IF('Input Scenarios'!W77&lt;&gt;"", 'Input Scenarios'!W77, "")</f>
        <v/>
      </c>
      <c r="X12" t="str">
        <f>'Input Scenarios'!X77</f>
        <v>Medium Friesian</v>
      </c>
      <c r="Y12" t="str">
        <f>'Input Scenarios'!Y77</f>
        <v>bullsGt1</v>
      </c>
      <c r="Z12">
        <f>'Input Scenarios'!Z77</f>
        <v>200</v>
      </c>
      <c r="AA12">
        <f>'Input Scenarios'!AA77</f>
        <v>365</v>
      </c>
      <c r="AB12">
        <f>'Input Scenarios'!AB77</f>
        <v>560</v>
      </c>
      <c r="AC12">
        <f>IF('Input Scenarios'!AC77&lt;&gt;"", 'Input Scenarios'!AC77, _xlfn.XLOOKUP(Y12, Constants!$B$13:$H$13, Constants!$B$15:$H$15, ""))</f>
        <v>0.1</v>
      </c>
      <c r="AD12">
        <f>IF('Input Scenarios'!AD77&lt;&gt;"", 'Input Scenarios'!AD77, Constants!$B$45)</f>
        <v>0.74</v>
      </c>
      <c r="AE12">
        <f>IF('Input Scenarios'!AE77&lt;&gt;"", 'Input Scenarios'!AE77, Constants!$B$46)</f>
        <v>0.22</v>
      </c>
      <c r="AF12">
        <f t="shared" si="1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11"/>
        <v>1</v>
      </c>
      <c r="AK12">
        <f t="shared" si="12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13"/>
        <v>0.58690000000000009</v>
      </c>
      <c r="AQ12">
        <f t="shared" si="14"/>
        <v>0</v>
      </c>
      <c r="AR12">
        <f>IF(Y12="milkingCows", Constants!$P$2, Constants!$P$3)</f>
        <v>1</v>
      </c>
      <c r="AS12">
        <f t="shared" si="15"/>
        <v>8.6644277315999982</v>
      </c>
      <c r="AT12">
        <f t="shared" si="16"/>
        <v>1.0217513291410167</v>
      </c>
      <c r="AU12">
        <f>_xlfn.XLOOKUP(Y12, Constants!$B$13:$H$13, Constants!$B$14:$H$14, "")</f>
        <v>770</v>
      </c>
      <c r="AV12">
        <f t="shared" si="17"/>
        <v>0.72727272727272729</v>
      </c>
      <c r="AW12">
        <f>Constants!$B$55</f>
        <v>6.25</v>
      </c>
      <c r="AX12">
        <f t="shared" si="1"/>
        <v>1.3276489519743473E-3</v>
      </c>
      <c r="AY12">
        <f t="shared" si="2"/>
        <v>1.9061741009519997</v>
      </c>
      <c r="AZ12">
        <f t="shared" si="18"/>
        <v>0.30163414073625983</v>
      </c>
      <c r="BA12" t="str">
        <f>IF(ISNUMBER(FIND("PreWeaned",Y12)),_xlfn.XLOOKUP(Y12,Constants!$J$2:$J$3,Constants!$M$2:$M$3),"")</f>
        <v/>
      </c>
      <c r="BB12">
        <f t="shared" si="3"/>
        <v>22019.292273746967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22019.292273746967</v>
      </c>
      <c r="BH12">
        <f>Constants!$D$19</f>
        <v>0.35</v>
      </c>
      <c r="BI12">
        <f>Constants!$D$20</f>
        <v>7.0000000000000007E-2</v>
      </c>
      <c r="BJ12">
        <f>Constants!$D$21</f>
        <v>0.2</v>
      </c>
      <c r="BK12">
        <f>Constants!$D$22</f>
        <v>0.3</v>
      </c>
      <c r="BL12">
        <f>Constants!$D$23</f>
        <v>0</v>
      </c>
      <c r="BM12">
        <f>Constants!$B$51</f>
        <v>0.21</v>
      </c>
      <c r="BN12">
        <f>Constants!$B$50</f>
        <v>1.57</v>
      </c>
      <c r="BO12">
        <f>_xlfn.XLOOKUP(C12,Constants!$A$27:$A$31,Constants!$B$27:$B$31)</f>
        <v>1.8E-3</v>
      </c>
      <c r="BP12">
        <f t="shared" si="19"/>
        <v>0</v>
      </c>
      <c r="BQ12">
        <f t="shared" si="9"/>
        <v>0</v>
      </c>
      <c r="BR12">
        <f t="shared" si="9"/>
        <v>0</v>
      </c>
      <c r="BS12">
        <f t="shared" si="9"/>
        <v>0</v>
      </c>
      <c r="BT12">
        <f t="shared" si="9"/>
        <v>0</v>
      </c>
      <c r="BU12">
        <f t="shared" si="20"/>
        <v>4624.0513774868632</v>
      </c>
      <c r="BV12">
        <f t="shared" si="21"/>
        <v>0</v>
      </c>
      <c r="BW12">
        <f t="shared" si="22"/>
        <v>13.067569192777876</v>
      </c>
    </row>
    <row r="13" spans="1:76" x14ac:dyDescent="0.2">
      <c r="A13" t="str">
        <f>'Input Scenarios'!A78</f>
        <v>NSW</v>
      </c>
      <c r="B13">
        <f>'Input Scenarios'!B78</f>
        <v>15</v>
      </c>
      <c r="C13" t="str">
        <f>'Input Scenarios'!C78</f>
        <v>Non-irrigated pasture</v>
      </c>
      <c r="D13" t="str">
        <f>'Input Scenarios'!D78</f>
        <v>wet</v>
      </c>
      <c r="E13" t="b">
        <f>'Input Scenarios'!E78</f>
        <v>0</v>
      </c>
      <c r="G13">
        <f>'Input Scenarios'!G78</f>
        <v>0.2</v>
      </c>
      <c r="H13">
        <f>'Input Scenarios'!H78</f>
        <v>0.3</v>
      </c>
      <c r="I13">
        <f>'Input Scenarios'!I78</f>
        <v>0.5</v>
      </c>
      <c r="J13">
        <f>'Input Scenarios'!J78</f>
        <v>0.25</v>
      </c>
      <c r="K13">
        <f>'Input Scenarios'!K78</f>
        <v>0.25</v>
      </c>
      <c r="L13">
        <f>'Input Scenarios'!L78</f>
        <v>0.25</v>
      </c>
      <c r="M13">
        <f>'Input Scenarios'!M78</f>
        <v>0.25</v>
      </c>
      <c r="N13">
        <f>'Input Scenarios'!N78</f>
        <v>0.25</v>
      </c>
      <c r="O13">
        <f>'Input Scenarios'!O78</f>
        <v>0.25</v>
      </c>
      <c r="P13">
        <f>'Input Scenarios'!P78</f>
        <v>0.25</v>
      </c>
      <c r="Q13">
        <f>'Input Scenarios'!Q78</f>
        <v>0.25</v>
      </c>
      <c r="R13" t="b">
        <f>'Input Scenarios'!R13</f>
        <v>1</v>
      </c>
      <c r="S13">
        <f>IF('Input Scenarios'!S78&lt;&gt;"", 'Input Scenarios'!S78, IF(R78, Constants!$B$38, 0))</f>
        <v>0.22</v>
      </c>
      <c r="T13" t="str">
        <f>IF('Input Scenarios'!T78&lt;&gt;"", 'Input Scenarios'!T78, "")</f>
        <v/>
      </c>
      <c r="U13">
        <f>IF('Input Scenarios'!U78&lt;&gt;"", 'Input Scenarios'!U78, IF(W13&lt;&gt;"", "", Constants!$B$39))</f>
        <v>4</v>
      </c>
      <c r="V13">
        <f>IF('Input Scenarios'!V78&lt;&gt;"", 'Input Scenarios'!V78, IF(W13&lt;&gt;"", "", Constants!$B$40))</f>
        <v>3.3</v>
      </c>
      <c r="W13" t="str">
        <f>IF('Input Scenarios'!W78&lt;&gt;"", 'Input Scenarios'!W78, "")</f>
        <v/>
      </c>
      <c r="X13" t="str">
        <f>'Input Scenarios'!X78</f>
        <v>Medium Friesian</v>
      </c>
      <c r="Y13" t="str">
        <f>'Input Scenarios'!Y78</f>
        <v>bullsLt1PreWeaned</v>
      </c>
      <c r="Z13">
        <f>'Input Scenarios'!Z78</f>
        <v>200</v>
      </c>
      <c r="AA13">
        <f>'Input Scenarios'!AA78</f>
        <v>365</v>
      </c>
      <c r="AB13">
        <f>'Input Scenarios'!AB78</f>
        <v>250</v>
      </c>
      <c r="AC13" t="str">
        <f>IF('Input Scenarios'!AC78&lt;&gt;"", 'Input Scenarios'!AC78, _xlfn.XLOOKUP(Y13, Constants!$B$13:$H$13, Constants!$B$15:$H$15, ""))</f>
        <v/>
      </c>
      <c r="AD13">
        <f>IF('Input Scenarios'!AD78&lt;&gt;"", 'Input Scenarios'!AD78, Constants!$B$45)</f>
        <v>0.75</v>
      </c>
      <c r="AE13">
        <f>IF('Input Scenarios'!AE78&lt;&gt;"", 'Input Scenarios'!AE78, Constants!$B$46)</f>
        <v>0.23</v>
      </c>
      <c r="AF13">
        <f t="shared" si="1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11"/>
        <v>1</v>
      </c>
      <c r="AK13">
        <f t="shared" si="12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13"/>
        <v>0.5948500000000001</v>
      </c>
      <c r="AQ13">
        <f t="shared" si="14"/>
        <v>0</v>
      </c>
      <c r="AR13">
        <f>IF(Y13="milkingCows", Constants!$P$2, Constants!$P$3)</f>
        <v>1</v>
      </c>
      <c r="AS13" t="str">
        <f t="shared" si="15"/>
        <v/>
      </c>
      <c r="AT13" t="str">
        <f t="shared" si="16"/>
        <v/>
      </c>
      <c r="AU13" t="str">
        <f>_xlfn.XLOOKUP(Y13, Constants!$B$13:$H$13, Constants!$B$14:$H$14, "")</f>
        <v/>
      </c>
      <c r="AV13" t="str">
        <f t="shared" si="17"/>
        <v/>
      </c>
      <c r="AW13">
        <f>Constants!$B$55</f>
        <v>6.25</v>
      </c>
      <c r="AX13" t="str">
        <f t="shared" si="1"/>
        <v/>
      </c>
      <c r="AY13" t="str">
        <f t="shared" si="2"/>
        <v/>
      </c>
      <c r="AZ13" t="str">
        <f t="shared" si="18"/>
        <v/>
      </c>
      <c r="BA13">
        <f>IF(ISNUMBER(FIND("PreWeaned",Y13)),_xlfn.XLOOKUP(Y13,Constants!$J$2:$J$3,Constants!$M$2:$M$3),"")</f>
        <v>9.1999999999999998E-3</v>
      </c>
      <c r="BB13">
        <f t="shared" si="3"/>
        <v>671.59999999999991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671.59999999999991</v>
      </c>
      <c r="BH13">
        <f>Constants!$D$19</f>
        <v>0.35</v>
      </c>
      <c r="BI13">
        <f>Constants!$D$20</f>
        <v>7.0000000000000007E-2</v>
      </c>
      <c r="BJ13">
        <f>Constants!$D$21</f>
        <v>0.2</v>
      </c>
      <c r="BK13">
        <f>Constants!$D$22</f>
        <v>0.3</v>
      </c>
      <c r="BL13">
        <f>Constants!$D$23</f>
        <v>0</v>
      </c>
      <c r="BM13">
        <f>Constants!$B$51</f>
        <v>0.21</v>
      </c>
      <c r="BN13">
        <f>Constants!$B$50</f>
        <v>1.57</v>
      </c>
      <c r="BO13">
        <f>_xlfn.XLOOKUP(C13,Constants!$A$27:$A$31,Constants!$B$27:$B$31)</f>
        <v>1.8E-3</v>
      </c>
      <c r="BP13">
        <f t="shared" si="19"/>
        <v>0</v>
      </c>
      <c r="BQ13">
        <f t="shared" si="9"/>
        <v>0</v>
      </c>
      <c r="BR13">
        <f t="shared" si="9"/>
        <v>0</v>
      </c>
      <c r="BS13">
        <f t="shared" si="9"/>
        <v>0</v>
      </c>
      <c r="BT13">
        <f t="shared" si="9"/>
        <v>0</v>
      </c>
      <c r="BU13">
        <f t="shared" si="20"/>
        <v>141.03599999999997</v>
      </c>
      <c r="BV13">
        <f t="shared" si="21"/>
        <v>0</v>
      </c>
      <c r="BW13">
        <f t="shared" si="22"/>
        <v>0.39856773599999995</v>
      </c>
    </row>
    <row r="14" spans="1:76" s="16" customFormat="1" x14ac:dyDescent="0.2">
      <c r="A14" s="16" t="str">
        <f>'Input Scenarios'!A79</f>
        <v>NSW</v>
      </c>
      <c r="B14" s="16">
        <f>'Input Scenarios'!B79</f>
        <v>15</v>
      </c>
      <c r="C14" s="16" t="str">
        <f>'Input Scenarios'!C79</f>
        <v>Non-irrigated pasture</v>
      </c>
      <c r="D14" s="16" t="str">
        <f>'Input Scenarios'!D79</f>
        <v>wet</v>
      </c>
      <c r="E14" s="16" t="b">
        <f>'Input Scenarios'!E79</f>
        <v>0</v>
      </c>
      <c r="G14" s="16">
        <f>'Input Scenarios'!G79</f>
        <v>0.2</v>
      </c>
      <c r="H14" s="16">
        <f>'Input Scenarios'!H79</f>
        <v>0.3</v>
      </c>
      <c r="I14" s="16">
        <f>'Input Scenarios'!I79</f>
        <v>0.5</v>
      </c>
      <c r="J14" s="16">
        <f>'Input Scenarios'!J79</f>
        <v>0.25</v>
      </c>
      <c r="K14" s="16">
        <f>'Input Scenarios'!K79</f>
        <v>0.25</v>
      </c>
      <c r="L14" s="16">
        <f>'Input Scenarios'!L79</f>
        <v>0.25</v>
      </c>
      <c r="M14" s="16">
        <f>'Input Scenarios'!M79</f>
        <v>0.25</v>
      </c>
      <c r="N14" s="16">
        <f>'Input Scenarios'!N79</f>
        <v>0.25</v>
      </c>
      <c r="O14" s="16">
        <f>'Input Scenarios'!O79</f>
        <v>0.25</v>
      </c>
      <c r="P14" s="16">
        <f>'Input Scenarios'!P79</f>
        <v>0.25</v>
      </c>
      <c r="Q14" s="16">
        <f>'Input Scenarios'!Q79</f>
        <v>0.25</v>
      </c>
      <c r="R14" s="16" t="b">
        <f>'Input Scenarios'!R14</f>
        <v>1</v>
      </c>
      <c r="S14" s="16">
        <f>IF('Input Scenarios'!S79&lt;&gt;"", 'Input Scenarios'!S79, IF(R79, Constants!$B$38, 0))</f>
        <v>0.22</v>
      </c>
      <c r="T14" s="16" t="str">
        <f>IF('Input Scenarios'!T79&lt;&gt;"", 'Input Scenarios'!T79, "")</f>
        <v/>
      </c>
      <c r="U14" s="16">
        <f>IF('Input Scenarios'!U79&lt;&gt;"", 'Input Scenarios'!U79, IF(W14&lt;&gt;"", "", Constants!$B$39))</f>
        <v>4</v>
      </c>
      <c r="V14" s="16">
        <f>IF('Input Scenarios'!V79&lt;&gt;"", 'Input Scenarios'!V79, IF(W14&lt;&gt;"", "", Constants!$B$40))</f>
        <v>3.3</v>
      </c>
      <c r="W14" s="16" t="str">
        <f>IF('Input Scenarios'!W79&lt;&gt;"", 'Input Scenarios'!W79, "")</f>
        <v/>
      </c>
      <c r="X14" s="16" t="str">
        <f>'Input Scenarios'!X79</f>
        <v>Medium Friesian</v>
      </c>
      <c r="Y14" s="16" t="str">
        <f>'Input Scenarios'!Y79</f>
        <v>bullsLt1Weaned</v>
      </c>
      <c r="Z14" s="16">
        <f>'Input Scenarios'!Z79</f>
        <v>200</v>
      </c>
      <c r="AA14" s="16">
        <f>'Input Scenarios'!AA79</f>
        <v>365</v>
      </c>
      <c r="AB14" s="16">
        <f>'Input Scenarios'!AB79</f>
        <v>267</v>
      </c>
      <c r="AC14" s="16">
        <f>IF('Input Scenarios'!AC79&lt;&gt;"", 'Input Scenarios'!AC79, _xlfn.XLOOKUP(Y14, Constants!$B$13:$H$13, Constants!$B$15:$H$15, ""))</f>
        <v>0.8</v>
      </c>
      <c r="AD14" s="16">
        <f>IF('Input Scenarios'!AD79&lt;&gt;"", 'Input Scenarios'!AD79, Constants!$B$45)</f>
        <v>0.76</v>
      </c>
      <c r="AE14" s="16">
        <f>IF('Input Scenarios'!AE79&lt;&gt;"", 'Input Scenarios'!AE79, Constants!$B$46)</f>
        <v>0.24</v>
      </c>
      <c r="AF14" s="16">
        <f t="shared" si="10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11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13"/>
        <v>0.60280000000000011</v>
      </c>
      <c r="AQ14" s="16">
        <f t="shared" si="14"/>
        <v>0</v>
      </c>
      <c r="AR14" s="16">
        <f>IF(Y14="milkingCows", Constants!$P$2, Constants!$P$3)</f>
        <v>1</v>
      </c>
      <c r="AS14" s="16">
        <f t="shared" si="15"/>
        <v>6.0704513701779614</v>
      </c>
      <c r="AT14" s="16">
        <f t="shared" si="16"/>
        <v>1.2408464586628585</v>
      </c>
      <c r="AU14" s="16">
        <f>_xlfn.XLOOKUP(Y14, Constants!$B$13:$H$13, Constants!$B$14:$H$14, "")</f>
        <v>770</v>
      </c>
      <c r="AV14" s="16">
        <f t="shared" si="17"/>
        <v>0.34675324675324676</v>
      </c>
      <c r="AW14" s="16">
        <f>Constants!$B$55</f>
        <v>6.25</v>
      </c>
      <c r="AX14" s="16">
        <f t="shared" si="1"/>
        <v>1.8441836586625317E-2</v>
      </c>
      <c r="AY14" s="16">
        <f t="shared" si="2"/>
        <v>1.4569083288427107</v>
      </c>
      <c r="AZ14" s="16">
        <f t="shared" si="18"/>
        <v>0.21350098759030778</v>
      </c>
      <c r="BA14" s="16" t="str">
        <f>IF(ISNUMBER(FIND("PreWeaned",Y14)),_xlfn.XLOOKUP(Y14,Constants!$J$2:$J$3,Constants!$M$2:$M$3),"")</f>
        <v/>
      </c>
      <c r="BB14" s="16">
        <f t="shared" si="3"/>
        <v>15585.572094092469</v>
      </c>
      <c r="BC14" s="16">
        <f t="shared" si="4"/>
        <v>0</v>
      </c>
      <c r="BD14" s="16">
        <f t="shared" si="5"/>
        <v>0</v>
      </c>
      <c r="BE14" s="16">
        <f t="shared" si="6"/>
        <v>0</v>
      </c>
      <c r="BF14" s="16">
        <f t="shared" si="7"/>
        <v>0</v>
      </c>
      <c r="BG14" s="16">
        <f t="shared" si="8"/>
        <v>15585.572094092469</v>
      </c>
      <c r="BH14" s="16">
        <f>Constants!$D$19</f>
        <v>0.35</v>
      </c>
      <c r="BI14" s="16">
        <f>Constants!$D$20</f>
        <v>7.0000000000000007E-2</v>
      </c>
      <c r="BJ14" s="16">
        <f>Constants!$D$21</f>
        <v>0.2</v>
      </c>
      <c r="BK14" s="16">
        <f>Constants!$D$22</f>
        <v>0.3</v>
      </c>
      <c r="BL14" s="16">
        <f>Constants!$D$23</f>
        <v>0</v>
      </c>
      <c r="BM14" s="16">
        <f>Constants!$B$51</f>
        <v>0.21</v>
      </c>
      <c r="BN14" s="16">
        <f>Constants!$B$50</f>
        <v>1.57</v>
      </c>
      <c r="BO14" s="16">
        <f>_xlfn.XLOOKUP(C14,Constants!$A$27:$A$31,Constants!$B$27:$B$31)</f>
        <v>1.8E-3</v>
      </c>
      <c r="BP14" s="16">
        <f t="shared" si="19"/>
        <v>0</v>
      </c>
      <c r="BQ14" s="16">
        <f t="shared" si="9"/>
        <v>0</v>
      </c>
      <c r="BR14" s="16">
        <f t="shared" si="9"/>
        <v>0</v>
      </c>
      <c r="BS14" s="16">
        <f t="shared" si="9"/>
        <v>0</v>
      </c>
      <c r="BT14" s="16">
        <f t="shared" si="9"/>
        <v>0</v>
      </c>
      <c r="BU14" s="16">
        <f t="shared" si="20"/>
        <v>3272.9701397594185</v>
      </c>
      <c r="BV14" s="16">
        <f t="shared" si="21"/>
        <v>0</v>
      </c>
      <c r="BW14" s="16">
        <f t="shared" si="22"/>
        <v>9.2494136149601172</v>
      </c>
    </row>
    <row r="15" spans="1:76" x14ac:dyDescent="0.2">
      <c r="A15" t="str">
        <f>'Input Scenarios'!A80</f>
        <v>QLD</v>
      </c>
      <c r="B15">
        <f>'Input Scenarios'!B80</f>
        <v>22</v>
      </c>
      <c r="C15" t="str">
        <f>'Input Scenarios'!C80</f>
        <v>Non-irrigated crop (high rainfall)</v>
      </c>
      <c r="D15" t="str">
        <f>'Input Scenarios'!D80</f>
        <v>wet</v>
      </c>
      <c r="E15" t="b">
        <f>'Input Scenarios'!E80</f>
        <v>1</v>
      </c>
      <c r="G15">
        <f>'Input Scenarios'!G80</f>
        <v>0.5</v>
      </c>
      <c r="H15">
        <f>'Input Scenarios'!H80</f>
        <v>0.1</v>
      </c>
      <c r="I15">
        <f>'Input Scenarios'!I80</f>
        <v>0.4</v>
      </c>
      <c r="J15">
        <f>'Input Scenarios'!J80</f>
        <v>0</v>
      </c>
      <c r="K15">
        <f>'Input Scenarios'!K80</f>
        <v>0</v>
      </c>
      <c r="L15">
        <f>'Input Scenarios'!L80</f>
        <v>1</v>
      </c>
      <c r="M15">
        <f>'Input Scenarios'!M80</f>
        <v>0</v>
      </c>
      <c r="N15">
        <f>'Input Scenarios'!N80</f>
        <v>1</v>
      </c>
      <c r="O15">
        <f>'Input Scenarios'!O80</f>
        <v>0</v>
      </c>
      <c r="P15">
        <f>'Input Scenarios'!P80</f>
        <v>0</v>
      </c>
      <c r="Q15">
        <f>'Input Scenarios'!Q80</f>
        <v>0</v>
      </c>
      <c r="R15" t="b">
        <f>'Input Scenarios'!R15</f>
        <v>1</v>
      </c>
      <c r="S15">
        <f>IF('Input Scenarios'!S80&lt;&gt;"", 'Input Scenarios'!S80, IF(R80, Constants!$B$38, 0))</f>
        <v>0.21</v>
      </c>
      <c r="T15" s="20">
        <f>IF('Input Scenarios'!T80&lt;&gt;"", 'Input Scenarios'!T80, "")</f>
        <v>3</v>
      </c>
      <c r="U15" s="20">
        <f>IF('Input Scenarios'!U80&lt;&gt;"", 'Input Scenarios'!U80, IF(W15&lt;&gt;"", "", Constants!$B$39))</f>
        <v>3.8</v>
      </c>
      <c r="V15" s="20">
        <f>IF('Input Scenarios'!V80&lt;&gt;"", 'Input Scenarios'!V80, IF(W15&lt;&gt;"", "", Constants!$B$40))</f>
        <v>2.2000000000000002</v>
      </c>
      <c r="W15" s="20" t="str">
        <f>IF('Input Scenarios'!W80&lt;&gt;"", 'Input Scenarios'!W80, "")</f>
        <v/>
      </c>
      <c r="X15" s="20" t="str">
        <f>'Input Scenarios'!X80</f>
        <v>Large Friesian</v>
      </c>
      <c r="Y15" s="20" t="str">
        <f>'Input Scenarios'!Y80</f>
        <v>milkingCows</v>
      </c>
      <c r="Z15" s="20">
        <f>'Input Scenarios'!Z80</f>
        <v>200</v>
      </c>
      <c r="AA15" s="20">
        <f>'Input Scenarios'!AA80</f>
        <v>300</v>
      </c>
      <c r="AB15" s="20">
        <f>'Input Scenarios'!AB80</f>
        <v>611</v>
      </c>
      <c r="AC15">
        <f>IF('Input Scenarios'!AC80&lt;&gt;"", 'Input Scenarios'!AC80, _xlfn.XLOOKUP(Y15, Constants!$B$13:$H$13, Constants!$B$15:$H$15, ""))</f>
        <v>1.6E-2</v>
      </c>
      <c r="AD15">
        <f>IF('Input Scenarios'!AD80&lt;&gt;"", 'Input Scenarios'!AD80, Constants!$B$45)</f>
        <v>0.65</v>
      </c>
      <c r="AE15">
        <f>IF('Input Scenarios'!AE80&lt;&gt;"", 'Input Scenarios'!AE80, Constants!$B$46)</f>
        <v>0.23</v>
      </c>
      <c r="AF15" s="20">
        <f t="shared" si="10"/>
        <v>0.4</v>
      </c>
      <c r="AG15" s="20">
        <f t="shared" si="0"/>
        <v>0</v>
      </c>
      <c r="AH15" s="20">
        <f t="shared" si="0"/>
        <v>0.1</v>
      </c>
      <c r="AI15" s="20">
        <f t="shared" si="0"/>
        <v>0</v>
      </c>
      <c r="AJ15" s="20">
        <f t="shared" si="11"/>
        <v>0.5</v>
      </c>
      <c r="AK15">
        <f t="shared" ref="AK15:AK35" si="23">IF(Y15="milkingCows", IF(W15&lt;&gt;"", W15, T15/((U15+V15)*0.01)), 0)</f>
        <v>50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si="13"/>
        <v>0.51535000000000009</v>
      </c>
      <c r="AQ15">
        <f t="shared" si="14"/>
        <v>27.644256119732891</v>
      </c>
      <c r="AR15">
        <f>IF(Y15="milkingCows", Constants!$P$2, Constants!$P$3)</f>
        <v>1.1000000000000001</v>
      </c>
      <c r="AS15">
        <f t="shared" si="15"/>
        <v>37.500384471804168</v>
      </c>
      <c r="AT15">
        <f t="shared" si="16"/>
        <v>1.0008851008985502</v>
      </c>
      <c r="AU15">
        <f>_xlfn.XLOOKUP(Y15, Constants!$B$13:$H$13, Constants!$B$14:$H$14, "")</f>
        <v>590</v>
      </c>
      <c r="AV15">
        <f t="shared" si="17"/>
        <v>1.035593220338983</v>
      </c>
      <c r="AW15">
        <f>Constants!$B$55</f>
        <v>6.25</v>
      </c>
      <c r="AX15" s="20">
        <f t="shared" si="1"/>
        <v>0.25848431071421363</v>
      </c>
      <c r="AY15">
        <f t="shared" si="2"/>
        <v>8.6250884285149585</v>
      </c>
      <c r="AZ15">
        <f t="shared" si="18"/>
        <v>1.1193669023144179</v>
      </c>
      <c r="BA15" t="str">
        <f>IF(ISNUMBER(FIND("PreWeaned",Y15)),_xlfn.XLOOKUP(Y15,Constants!$J$2:$J$3,Constants!$M$2:$M$3),"")</f>
        <v/>
      </c>
      <c r="BB15">
        <f t="shared" si="3"/>
        <v>67162.014138865066</v>
      </c>
      <c r="BC15">
        <f t="shared" si="4"/>
        <v>26864.805655546028</v>
      </c>
      <c r="BD15">
        <f t="shared" si="5"/>
        <v>0</v>
      </c>
      <c r="BE15">
        <f t="shared" si="6"/>
        <v>6716.201413886507</v>
      </c>
      <c r="BF15">
        <f t="shared" si="7"/>
        <v>0</v>
      </c>
      <c r="BG15">
        <f t="shared" si="8"/>
        <v>33581.007069432533</v>
      </c>
      <c r="BH15">
        <f>Constants!$D$19</f>
        <v>0.35</v>
      </c>
      <c r="BI15">
        <f>Constants!$D$20</f>
        <v>7.0000000000000007E-2</v>
      </c>
      <c r="BJ15">
        <f>Constants!$D$21</f>
        <v>0.2</v>
      </c>
      <c r="BK15">
        <f>Constants!$D$22</f>
        <v>0.3</v>
      </c>
      <c r="BL15">
        <f>Constants!$D$23</f>
        <v>0</v>
      </c>
      <c r="BM15">
        <f>Constants!$B$51</f>
        <v>0.21</v>
      </c>
      <c r="BN15">
        <f>Constants!$B$50</f>
        <v>1.57</v>
      </c>
      <c r="BO15">
        <f>_xlfn.XLOOKUP(C15,Constants!$A$27:$A$31,Constants!$B$27:$B$31)</f>
        <v>8.0000000000000002E-3</v>
      </c>
      <c r="BP15">
        <f t="shared" si="19"/>
        <v>9402.6819794411094</v>
      </c>
      <c r="BQ15">
        <f t="shared" si="9"/>
        <v>0</v>
      </c>
      <c r="BR15">
        <f t="shared" si="9"/>
        <v>1343.2402827773014</v>
      </c>
      <c r="BS15">
        <f t="shared" si="9"/>
        <v>0</v>
      </c>
      <c r="BT15">
        <f t="shared" si="9"/>
        <v>0</v>
      </c>
      <c r="BU15">
        <f t="shared" si="20"/>
        <v>7052.0114845808321</v>
      </c>
      <c r="BV15">
        <f t="shared" si="21"/>
        <v>134.96878361346327</v>
      </c>
      <c r="BW15">
        <f t="shared" si="22"/>
        <v>88.573264246335256</v>
      </c>
      <c r="BX15">
        <f>SUM(BV15:BW21)/1000</f>
        <v>0.36822498158387684</v>
      </c>
    </row>
    <row r="16" spans="1:76" x14ac:dyDescent="0.2">
      <c r="A16" t="str">
        <f>'Input Scenarios'!A81</f>
        <v>QLD</v>
      </c>
      <c r="B16">
        <f>'Input Scenarios'!B81</f>
        <v>22</v>
      </c>
      <c r="C16" t="str">
        <f>'Input Scenarios'!C81</f>
        <v>Non-irrigated crop (high rainfall)</v>
      </c>
      <c r="D16" t="str">
        <f>'Input Scenarios'!D81</f>
        <v>wet</v>
      </c>
      <c r="E16" t="b">
        <f>'Input Scenarios'!E81</f>
        <v>1</v>
      </c>
      <c r="G16">
        <f>'Input Scenarios'!G81</f>
        <v>0.5</v>
      </c>
      <c r="H16">
        <f>'Input Scenarios'!H81</f>
        <v>0.1</v>
      </c>
      <c r="I16">
        <f>'Input Scenarios'!I81</f>
        <v>0.4</v>
      </c>
      <c r="J16">
        <f>'Input Scenarios'!J81</f>
        <v>0</v>
      </c>
      <c r="K16">
        <f>'Input Scenarios'!K81</f>
        <v>0</v>
      </c>
      <c r="L16">
        <f>'Input Scenarios'!L81</f>
        <v>1</v>
      </c>
      <c r="M16">
        <f>'Input Scenarios'!M81</f>
        <v>0</v>
      </c>
      <c r="N16">
        <f>'Input Scenarios'!N81</f>
        <v>1</v>
      </c>
      <c r="O16">
        <f>'Input Scenarios'!O81</f>
        <v>0</v>
      </c>
      <c r="P16">
        <f>'Input Scenarios'!P81</f>
        <v>0</v>
      </c>
      <c r="Q16">
        <f>'Input Scenarios'!Q81</f>
        <v>0</v>
      </c>
      <c r="R16" t="b">
        <f>'Input Scenarios'!R16</f>
        <v>1</v>
      </c>
      <c r="S16">
        <f>IF('Input Scenarios'!S81&lt;&gt;"", 'Input Scenarios'!S81, IF(R81, Constants!$B$38, 0))</f>
        <v>0.21</v>
      </c>
      <c r="T16" t="str">
        <f>IF('Input Scenarios'!T81&lt;&gt;"", 'Input Scenarios'!T81, "")</f>
        <v/>
      </c>
      <c r="U16">
        <f>IF('Input Scenarios'!U81&lt;&gt;"", 'Input Scenarios'!U81, IF(W16&lt;&gt;"", "", Constants!$B$39))</f>
        <v>4</v>
      </c>
      <c r="V16">
        <f>IF('Input Scenarios'!V81&lt;&gt;"", 'Input Scenarios'!V81, IF(W16&lt;&gt;"", "", Constants!$B$40))</f>
        <v>3.3</v>
      </c>
      <c r="W16" t="str">
        <f>IF('Input Scenarios'!W81&lt;&gt;"", 'Input Scenarios'!W81, "")</f>
        <v/>
      </c>
      <c r="X16" t="str">
        <f>'Input Scenarios'!X81</f>
        <v>Large Friesian</v>
      </c>
      <c r="Y16" t="str">
        <f>'Input Scenarios'!Y81</f>
        <v>heifersGt1</v>
      </c>
      <c r="Z16">
        <f>'Input Scenarios'!Z81</f>
        <v>200</v>
      </c>
      <c r="AA16">
        <f>'Input Scenarios'!AA81</f>
        <v>300</v>
      </c>
      <c r="AB16">
        <f>'Input Scenarios'!AB81</f>
        <v>333</v>
      </c>
      <c r="AC16">
        <f>IF('Input Scenarios'!AC81&lt;&gt;"", 'Input Scenarios'!AC81, _xlfn.XLOOKUP(Y16, Constants!$B$13:$H$13, Constants!$B$15:$H$15, ""))</f>
        <v>0.6</v>
      </c>
      <c r="AD16">
        <f>IF('Input Scenarios'!AD81&lt;&gt;"", 'Input Scenarios'!AD81, Constants!$B$45)</f>
        <v>0.7</v>
      </c>
      <c r="AE16">
        <f>IF('Input Scenarios'!AE81&lt;&gt;"", 'Input Scenarios'!AE81, Constants!$B$46)</f>
        <v>0.23</v>
      </c>
      <c r="AF16">
        <f t="shared" si="1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11"/>
        <v>1</v>
      </c>
      <c r="AK16">
        <f t="shared" si="23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13"/>
        <v>0.55510000000000004</v>
      </c>
      <c r="AQ16">
        <f t="shared" si="14"/>
        <v>0</v>
      </c>
      <c r="AR16">
        <f>IF(Y16="milkingCows", Constants!$P$2, Constants!$P$3)</f>
        <v>1</v>
      </c>
      <c r="AS16">
        <f t="shared" si="15"/>
        <v>6.7470509270739587</v>
      </c>
      <c r="AT16">
        <f t="shared" si="16"/>
        <v>1.1631014187764508</v>
      </c>
      <c r="AU16">
        <f>_xlfn.XLOOKUP(Y16, Constants!$B$13:$H$13, Constants!$B$14:$H$14, "")</f>
        <v>590</v>
      </c>
      <c r="AV16">
        <f t="shared" si="17"/>
        <v>0.56440677966101693</v>
      </c>
      <c r="AW16">
        <f>Constants!$B$55</f>
        <v>6.25</v>
      </c>
      <c r="AX16">
        <f t="shared" si="1"/>
        <v>9.8781251327543507E-3</v>
      </c>
      <c r="AY16">
        <f t="shared" si="2"/>
        <v>1.5518217132270107</v>
      </c>
      <c r="AZ16">
        <f t="shared" si="18"/>
        <v>0.23704137510449247</v>
      </c>
      <c r="BA16" t="str">
        <f>IF(ISNUMBER(FIND("PreWeaned",Y16)),_xlfn.XLOOKUP(Y16,Constants!$J$2:$J$3,Constants!$M$2:$M$3),"")</f>
        <v/>
      </c>
      <c r="BB16">
        <f t="shared" si="3"/>
        <v>14222.482506269547</v>
      </c>
      <c r="BC16">
        <f t="shared" si="4"/>
        <v>0</v>
      </c>
      <c r="BD16">
        <f t="shared" si="5"/>
        <v>0</v>
      </c>
      <c r="BE16">
        <f t="shared" si="6"/>
        <v>0</v>
      </c>
      <c r="BF16">
        <f t="shared" si="7"/>
        <v>0</v>
      </c>
      <c r="BG16">
        <f t="shared" si="8"/>
        <v>14222.482506269547</v>
      </c>
      <c r="BH16">
        <f>Constants!$D$19</f>
        <v>0.35</v>
      </c>
      <c r="BI16">
        <f>Constants!$D$20</f>
        <v>7.0000000000000007E-2</v>
      </c>
      <c r="BJ16">
        <f>Constants!$D$21</f>
        <v>0.2</v>
      </c>
      <c r="BK16">
        <f>Constants!$D$22</f>
        <v>0.3</v>
      </c>
      <c r="BL16">
        <f>Constants!$D$23</f>
        <v>0</v>
      </c>
      <c r="BM16">
        <f>Constants!$B$51</f>
        <v>0.21</v>
      </c>
      <c r="BN16">
        <f>Constants!$B$50</f>
        <v>1.57</v>
      </c>
      <c r="BO16">
        <f>_xlfn.XLOOKUP(C16,Constants!$A$27:$A$31,Constants!$B$27:$B$31)</f>
        <v>8.0000000000000002E-3</v>
      </c>
      <c r="BP16">
        <f t="shared" si="19"/>
        <v>0</v>
      </c>
      <c r="BQ16">
        <f t="shared" si="9"/>
        <v>0</v>
      </c>
      <c r="BR16">
        <f t="shared" si="9"/>
        <v>0</v>
      </c>
      <c r="BS16">
        <f t="shared" si="9"/>
        <v>0</v>
      </c>
      <c r="BT16">
        <f t="shared" si="9"/>
        <v>0</v>
      </c>
      <c r="BU16">
        <f t="shared" si="20"/>
        <v>2986.721326316605</v>
      </c>
      <c r="BV16">
        <f t="shared" si="21"/>
        <v>0</v>
      </c>
      <c r="BW16">
        <f t="shared" si="22"/>
        <v>37.513219858536559</v>
      </c>
    </row>
    <row r="17" spans="1:76" x14ac:dyDescent="0.2">
      <c r="A17" t="str">
        <f>'Input Scenarios'!A82</f>
        <v>QLD</v>
      </c>
      <c r="B17">
        <f>'Input Scenarios'!B82</f>
        <v>22</v>
      </c>
      <c r="C17" t="str">
        <f>'Input Scenarios'!C82</f>
        <v>Non-irrigated crop (high rainfall)</v>
      </c>
      <c r="D17" t="str">
        <f>'Input Scenarios'!D82</f>
        <v>wet</v>
      </c>
      <c r="E17" t="b">
        <f>'Input Scenarios'!E82</f>
        <v>1</v>
      </c>
      <c r="G17">
        <f>'Input Scenarios'!G82</f>
        <v>0.5</v>
      </c>
      <c r="H17">
        <f>'Input Scenarios'!H82</f>
        <v>0.1</v>
      </c>
      <c r="I17">
        <f>'Input Scenarios'!I82</f>
        <v>0.4</v>
      </c>
      <c r="J17">
        <f>'Input Scenarios'!J82</f>
        <v>0</v>
      </c>
      <c r="K17">
        <f>'Input Scenarios'!K82</f>
        <v>0</v>
      </c>
      <c r="L17">
        <f>'Input Scenarios'!L82</f>
        <v>1</v>
      </c>
      <c r="M17">
        <f>'Input Scenarios'!M82</f>
        <v>0</v>
      </c>
      <c r="N17">
        <f>'Input Scenarios'!N82</f>
        <v>1</v>
      </c>
      <c r="O17">
        <f>'Input Scenarios'!O82</f>
        <v>0</v>
      </c>
      <c r="P17">
        <f>'Input Scenarios'!P82</f>
        <v>0</v>
      </c>
      <c r="Q17">
        <f>'Input Scenarios'!Q82</f>
        <v>0</v>
      </c>
      <c r="R17" t="b">
        <f>'Input Scenarios'!R17</f>
        <v>1</v>
      </c>
      <c r="S17">
        <f>IF('Input Scenarios'!S82&lt;&gt;"", 'Input Scenarios'!S82, IF(R82, Constants!$B$38, 0))</f>
        <v>0.21</v>
      </c>
      <c r="T17" t="str">
        <f>IF('Input Scenarios'!T82&lt;&gt;"", 'Input Scenarios'!T82, "")</f>
        <v/>
      </c>
      <c r="U17">
        <f>IF('Input Scenarios'!U82&lt;&gt;"", 'Input Scenarios'!U82, IF(W17&lt;&gt;"", "", Constants!$B$39))</f>
        <v>4</v>
      </c>
      <c r="V17">
        <f>IF('Input Scenarios'!V82&lt;&gt;"", 'Input Scenarios'!V82, IF(W17&lt;&gt;"", "", Constants!$B$40))</f>
        <v>3.3</v>
      </c>
      <c r="W17" t="str">
        <f>IF('Input Scenarios'!W82&lt;&gt;"", 'Input Scenarios'!W82, "")</f>
        <v/>
      </c>
      <c r="X17" t="str">
        <f>'Input Scenarios'!X82</f>
        <v>Large Friesian</v>
      </c>
      <c r="Y17" t="str">
        <f>'Input Scenarios'!Y82</f>
        <v>heifersLt1PreWeaned</v>
      </c>
      <c r="Z17">
        <f>'Input Scenarios'!Z82</f>
        <v>200</v>
      </c>
      <c r="AA17">
        <f>'Input Scenarios'!AA82</f>
        <v>300</v>
      </c>
      <c r="AB17">
        <f>'Input Scenarios'!AB82</f>
        <v>55</v>
      </c>
      <c r="AC17" t="str">
        <f>IF('Input Scenarios'!AC82&lt;&gt;"", 'Input Scenarios'!AC82, _xlfn.XLOOKUP(Y17, Constants!$B$13:$H$13, Constants!$B$15:$H$15, ""))</f>
        <v/>
      </c>
      <c r="AD17">
        <f>IF('Input Scenarios'!AD82&lt;&gt;"", 'Input Scenarios'!AD82, Constants!$B$45)</f>
        <v>0.65</v>
      </c>
      <c r="AE17">
        <f>IF('Input Scenarios'!AE82&lt;&gt;"", 'Input Scenarios'!AE82, Constants!$B$46)</f>
        <v>0.23</v>
      </c>
      <c r="AF17">
        <f t="shared" si="1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11"/>
        <v>1</v>
      </c>
      <c r="AK17">
        <f t="shared" si="23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13"/>
        <v>0.51535000000000009</v>
      </c>
      <c r="AQ17">
        <f t="shared" si="14"/>
        <v>0</v>
      </c>
      <c r="AR17">
        <f>IF(Y17="milkingCows", Constants!$P$2, Constants!$P$3)</f>
        <v>1</v>
      </c>
      <c r="AS17" t="str">
        <f t="shared" si="15"/>
        <v/>
      </c>
      <c r="AT17" t="str">
        <f t="shared" si="16"/>
        <v/>
      </c>
      <c r="AU17" t="str">
        <f>_xlfn.XLOOKUP(Y17, Constants!$B$13:$H$13, Constants!$B$14:$H$14, "")</f>
        <v/>
      </c>
      <c r="AV17" t="str">
        <f t="shared" si="17"/>
        <v/>
      </c>
      <c r="AW17">
        <f>Constants!$B$55</f>
        <v>6.25</v>
      </c>
      <c r="AX17" t="str">
        <f t="shared" si="1"/>
        <v/>
      </c>
      <c r="AY17" t="str">
        <f t="shared" si="2"/>
        <v/>
      </c>
      <c r="AZ17" t="str">
        <f t="shared" si="18"/>
        <v/>
      </c>
      <c r="BA17">
        <f>IF(ISNUMBER(FIND("PreWeaned",Y17)),_xlfn.XLOOKUP(Y17,Constants!$J$2:$J$3,Constants!$M$2:$M$3),"")</f>
        <v>1.37E-2</v>
      </c>
      <c r="BB17">
        <f t="shared" si="3"/>
        <v>822.00000000000011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822.00000000000011</v>
      </c>
      <c r="BH17">
        <f>Constants!$D$19</f>
        <v>0.35</v>
      </c>
      <c r="BI17">
        <f>Constants!$D$20</f>
        <v>7.0000000000000007E-2</v>
      </c>
      <c r="BJ17">
        <f>Constants!$D$21</f>
        <v>0.2</v>
      </c>
      <c r="BK17">
        <f>Constants!$D$22</f>
        <v>0.3</v>
      </c>
      <c r="BL17">
        <f>Constants!$D$23</f>
        <v>0</v>
      </c>
      <c r="BM17">
        <f>Constants!$B$51</f>
        <v>0.21</v>
      </c>
      <c r="BN17">
        <f>Constants!$B$50</f>
        <v>1.57</v>
      </c>
      <c r="BO17">
        <f>_xlfn.XLOOKUP(C17,Constants!$A$27:$A$31,Constants!$B$27:$B$31)</f>
        <v>8.0000000000000002E-3</v>
      </c>
      <c r="BP17">
        <f t="shared" si="19"/>
        <v>0</v>
      </c>
      <c r="BQ17">
        <f t="shared" si="9"/>
        <v>0</v>
      </c>
      <c r="BR17">
        <f t="shared" si="9"/>
        <v>0</v>
      </c>
      <c r="BS17">
        <f t="shared" si="9"/>
        <v>0</v>
      </c>
      <c r="BT17">
        <f t="shared" si="9"/>
        <v>0</v>
      </c>
      <c r="BU17">
        <f t="shared" si="20"/>
        <v>172.62</v>
      </c>
      <c r="BV17">
        <f t="shared" si="21"/>
        <v>0</v>
      </c>
      <c r="BW17">
        <f t="shared" si="22"/>
        <v>2.1681072000000001</v>
      </c>
    </row>
    <row r="18" spans="1:76" x14ac:dyDescent="0.2">
      <c r="A18" t="str">
        <f>'Input Scenarios'!A83</f>
        <v>QLD</v>
      </c>
      <c r="B18">
        <f>'Input Scenarios'!B83</f>
        <v>22</v>
      </c>
      <c r="C18" t="str">
        <f>'Input Scenarios'!C83</f>
        <v>Non-irrigated crop (high rainfall)</v>
      </c>
      <c r="D18" t="str">
        <f>'Input Scenarios'!D83</f>
        <v>wet</v>
      </c>
      <c r="E18" t="b">
        <f>'Input Scenarios'!E83</f>
        <v>1</v>
      </c>
      <c r="G18">
        <f>'Input Scenarios'!G83</f>
        <v>0.5</v>
      </c>
      <c r="H18">
        <f>'Input Scenarios'!H83</f>
        <v>0.1</v>
      </c>
      <c r="I18">
        <f>'Input Scenarios'!I83</f>
        <v>0.4</v>
      </c>
      <c r="J18">
        <f>'Input Scenarios'!J83</f>
        <v>0</v>
      </c>
      <c r="K18">
        <f>'Input Scenarios'!K83</f>
        <v>0</v>
      </c>
      <c r="L18">
        <f>'Input Scenarios'!L83</f>
        <v>1</v>
      </c>
      <c r="M18">
        <f>'Input Scenarios'!M83</f>
        <v>0</v>
      </c>
      <c r="N18">
        <f>'Input Scenarios'!N83</f>
        <v>1</v>
      </c>
      <c r="O18">
        <f>'Input Scenarios'!O83</f>
        <v>0</v>
      </c>
      <c r="P18">
        <f>'Input Scenarios'!P83</f>
        <v>0</v>
      </c>
      <c r="Q18">
        <f>'Input Scenarios'!Q83</f>
        <v>0</v>
      </c>
      <c r="R18" t="b">
        <f>'Input Scenarios'!R18</f>
        <v>1</v>
      </c>
      <c r="S18">
        <f>IF('Input Scenarios'!S83&lt;&gt;"", 'Input Scenarios'!S83, IF(R83, Constants!$B$38, 0))</f>
        <v>0.21</v>
      </c>
      <c r="T18" t="str">
        <f>IF('Input Scenarios'!T83&lt;&gt;"", 'Input Scenarios'!T83, "")</f>
        <v/>
      </c>
      <c r="U18">
        <f>IF('Input Scenarios'!U83&lt;&gt;"", 'Input Scenarios'!U83, IF(W18&lt;&gt;"", "", Constants!$B$39))</f>
        <v>4</v>
      </c>
      <c r="V18">
        <f>IF('Input Scenarios'!V83&lt;&gt;"", 'Input Scenarios'!V83, IF(W18&lt;&gt;"", "", Constants!$B$40))</f>
        <v>3.3</v>
      </c>
      <c r="W18" t="str">
        <f>IF('Input Scenarios'!W83&lt;&gt;"", 'Input Scenarios'!W83, "")</f>
        <v/>
      </c>
      <c r="X18" t="str">
        <f>'Input Scenarios'!X83</f>
        <v>Large Friesian</v>
      </c>
      <c r="Y18" t="str">
        <f>'Input Scenarios'!Y83</f>
        <v>heifersLt1Weaned</v>
      </c>
      <c r="Z18">
        <f>'Input Scenarios'!Z83</f>
        <v>200</v>
      </c>
      <c r="AA18">
        <f>'Input Scenarios'!AA83</f>
        <v>300</v>
      </c>
      <c r="AB18">
        <f>'Input Scenarios'!AB83</f>
        <v>180</v>
      </c>
      <c r="AC18">
        <f>IF('Input Scenarios'!AC83&lt;&gt;"", 'Input Scenarios'!AC83, _xlfn.XLOOKUP(Y18, Constants!$B$13:$H$13, Constants!$B$15:$H$15, ""))</f>
        <v>0.56999999999999995</v>
      </c>
      <c r="AD18">
        <f>IF('Input Scenarios'!AD83&lt;&gt;"", 'Input Scenarios'!AD83, Constants!$B$45)</f>
        <v>0.7</v>
      </c>
      <c r="AE18">
        <f>IF('Input Scenarios'!AE83&lt;&gt;"", 'Input Scenarios'!AE83, Constants!$B$46)</f>
        <v>0.23</v>
      </c>
      <c r="AF18">
        <f t="shared" si="1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11"/>
        <v>1</v>
      </c>
      <c r="AK18">
        <f t="shared" si="23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13"/>
        <v>0.55510000000000004</v>
      </c>
      <c r="AQ18">
        <f t="shared" si="14"/>
        <v>0</v>
      </c>
      <c r="AR18">
        <f>IF(Y18="milkingCows", Constants!$P$2, Constants!$P$3)</f>
        <v>1</v>
      </c>
      <c r="AS18">
        <f t="shared" si="15"/>
        <v>4.3995482001000008</v>
      </c>
      <c r="AT18">
        <f t="shared" si="16"/>
        <v>1.1959939673377937</v>
      </c>
      <c r="AU18">
        <f>_xlfn.XLOOKUP(Y18, Constants!$B$13:$H$13, Constants!$B$14:$H$14, "")</f>
        <v>590</v>
      </c>
      <c r="AV18">
        <f t="shared" si="17"/>
        <v>0.30508474576271188</v>
      </c>
      <c r="AW18">
        <f>Constants!$B$55</f>
        <v>6.25</v>
      </c>
      <c r="AX18">
        <f t="shared" si="1"/>
        <v>1.3887640589996498E-2</v>
      </c>
      <c r="AY18">
        <f t="shared" si="2"/>
        <v>1.0118960860230002</v>
      </c>
      <c r="AZ18">
        <f t="shared" si="18"/>
        <v>0.1471508308843773</v>
      </c>
      <c r="BA18" t="str">
        <f>IF(ISNUMBER(FIND("PreWeaned",Y18)),_xlfn.XLOOKUP(Y18,Constants!$J$2:$J$3,Constants!$M$2:$M$3),"")</f>
        <v/>
      </c>
      <c r="BB18">
        <f t="shared" si="3"/>
        <v>8829.0498530626373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8829.0498530626373</v>
      </c>
      <c r="BH18">
        <f>Constants!$D$19</f>
        <v>0.35</v>
      </c>
      <c r="BI18">
        <f>Constants!$D$20</f>
        <v>7.0000000000000007E-2</v>
      </c>
      <c r="BJ18">
        <f>Constants!$D$21</f>
        <v>0.2</v>
      </c>
      <c r="BK18">
        <f>Constants!$D$22</f>
        <v>0.3</v>
      </c>
      <c r="BL18">
        <f>Constants!$D$23</f>
        <v>0</v>
      </c>
      <c r="BM18">
        <f>Constants!$B$51</f>
        <v>0.21</v>
      </c>
      <c r="BN18">
        <f>Constants!$B$50</f>
        <v>1.57</v>
      </c>
      <c r="BO18">
        <f>_xlfn.XLOOKUP(C18,Constants!$A$27:$A$31,Constants!$B$27:$B$31)</f>
        <v>8.0000000000000002E-3</v>
      </c>
      <c r="BP18">
        <f t="shared" si="19"/>
        <v>0</v>
      </c>
      <c r="BQ18">
        <f t="shared" si="9"/>
        <v>0</v>
      </c>
      <c r="BR18">
        <f t="shared" si="9"/>
        <v>0</v>
      </c>
      <c r="BS18">
        <f t="shared" si="9"/>
        <v>0</v>
      </c>
      <c r="BT18">
        <f t="shared" si="9"/>
        <v>0</v>
      </c>
      <c r="BU18">
        <f t="shared" si="20"/>
        <v>1854.1004691431538</v>
      </c>
      <c r="BV18">
        <f t="shared" si="21"/>
        <v>0</v>
      </c>
      <c r="BW18">
        <f t="shared" si="22"/>
        <v>23.287501892438012</v>
      </c>
    </row>
    <row r="19" spans="1:76" x14ac:dyDescent="0.2">
      <c r="A19" t="str">
        <f>'Input Scenarios'!A84</f>
        <v>QLD</v>
      </c>
      <c r="B19">
        <f>'Input Scenarios'!B84</f>
        <v>22</v>
      </c>
      <c r="C19" t="str">
        <f>'Input Scenarios'!C84</f>
        <v>Non-irrigated crop (high rainfall)</v>
      </c>
      <c r="D19" t="str">
        <f>'Input Scenarios'!D84</f>
        <v>wet</v>
      </c>
      <c r="E19" t="b">
        <f>'Input Scenarios'!E84</f>
        <v>1</v>
      </c>
      <c r="G19">
        <f>'Input Scenarios'!G84</f>
        <v>0.5</v>
      </c>
      <c r="H19">
        <f>'Input Scenarios'!H84</f>
        <v>0.1</v>
      </c>
      <c r="I19">
        <f>'Input Scenarios'!I84</f>
        <v>0.4</v>
      </c>
      <c r="J19">
        <f>'Input Scenarios'!J84</f>
        <v>0</v>
      </c>
      <c r="K19">
        <f>'Input Scenarios'!K84</f>
        <v>0</v>
      </c>
      <c r="L19">
        <f>'Input Scenarios'!L84</f>
        <v>1</v>
      </c>
      <c r="M19">
        <f>'Input Scenarios'!M84</f>
        <v>0</v>
      </c>
      <c r="N19">
        <f>'Input Scenarios'!N84</f>
        <v>1</v>
      </c>
      <c r="O19">
        <f>'Input Scenarios'!O84</f>
        <v>0</v>
      </c>
      <c r="P19">
        <f>'Input Scenarios'!P84</f>
        <v>0</v>
      </c>
      <c r="Q19">
        <f>'Input Scenarios'!Q84</f>
        <v>0</v>
      </c>
      <c r="R19" t="b">
        <f>'Input Scenarios'!R19</f>
        <v>1</v>
      </c>
      <c r="S19">
        <f>IF('Input Scenarios'!S84&lt;&gt;"", 'Input Scenarios'!S84, IF(R84, Constants!$B$38, 0))</f>
        <v>0.21</v>
      </c>
      <c r="T19" t="str">
        <f>IF('Input Scenarios'!T84&lt;&gt;"", 'Input Scenarios'!T84, "")</f>
        <v/>
      </c>
      <c r="U19">
        <f>IF('Input Scenarios'!U84&lt;&gt;"", 'Input Scenarios'!U84, IF(W19&lt;&gt;"", "", Constants!$B$39))</f>
        <v>4</v>
      </c>
      <c r="V19">
        <f>IF('Input Scenarios'!V84&lt;&gt;"", 'Input Scenarios'!V84, IF(W19&lt;&gt;"", "", Constants!$B$40))</f>
        <v>3.3</v>
      </c>
      <c r="W19" t="str">
        <f>IF('Input Scenarios'!W84&lt;&gt;"", 'Input Scenarios'!W84, "")</f>
        <v/>
      </c>
      <c r="X19" t="str">
        <f>'Input Scenarios'!X84</f>
        <v>Large Friesian</v>
      </c>
      <c r="Y19" t="str">
        <f>'Input Scenarios'!Y84</f>
        <v>bullsGt1</v>
      </c>
      <c r="Z19">
        <f>'Input Scenarios'!Z84</f>
        <v>200</v>
      </c>
      <c r="AA19">
        <f>'Input Scenarios'!AA84</f>
        <v>300</v>
      </c>
      <c r="AB19">
        <f>'Input Scenarios'!AB84</f>
        <v>650</v>
      </c>
      <c r="AC19">
        <f>IF('Input Scenarios'!AC84&lt;&gt;"", 'Input Scenarios'!AC84, _xlfn.XLOOKUP(Y19, Constants!$B$13:$H$13, Constants!$B$15:$H$15, ""))</f>
        <v>0.1</v>
      </c>
      <c r="AD19">
        <f>IF('Input Scenarios'!AD84&lt;&gt;"", 'Input Scenarios'!AD84, Constants!$B$45)</f>
        <v>0.7</v>
      </c>
      <c r="AE19">
        <f>IF('Input Scenarios'!AE84&lt;&gt;"", 'Input Scenarios'!AE84, Constants!$B$46)</f>
        <v>0.23</v>
      </c>
      <c r="AF19">
        <f t="shared" si="1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11"/>
        <v>1</v>
      </c>
      <c r="AK19">
        <f t="shared" si="23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13"/>
        <v>0.55510000000000004</v>
      </c>
      <c r="AQ19">
        <f t="shared" si="14"/>
        <v>0</v>
      </c>
      <c r="AR19">
        <f>IF(Y19="milkingCows", Constants!$P$2, Constants!$P$3)</f>
        <v>1</v>
      </c>
      <c r="AS19">
        <f t="shared" si="15"/>
        <v>9.4187609999999999</v>
      </c>
      <c r="AT19">
        <f t="shared" si="16"/>
        <v>1.0208482853223593</v>
      </c>
      <c r="AU19">
        <f>_xlfn.XLOOKUP(Y19, Constants!$B$13:$H$13, Constants!$B$14:$H$14, "")</f>
        <v>770</v>
      </c>
      <c r="AV19">
        <f t="shared" si="17"/>
        <v>0.8441558441558441</v>
      </c>
      <c r="AW19">
        <f>Constants!$B$55</f>
        <v>6.25</v>
      </c>
      <c r="AX19">
        <f t="shared" si="1"/>
        <v>1.2014488082429274E-3</v>
      </c>
      <c r="AY19">
        <f t="shared" si="2"/>
        <v>2.1663150300000003</v>
      </c>
      <c r="AZ19">
        <f t="shared" si="18"/>
        <v>0.34314328061237814</v>
      </c>
      <c r="BA19" t="str">
        <f>IF(ISNUMBER(FIND("PreWeaned",Y19)),_xlfn.XLOOKUP(Y19,Constants!$J$2:$J$3,Constants!$M$2:$M$3),"")</f>
        <v/>
      </c>
      <c r="BB19">
        <f t="shared" si="3"/>
        <v>20588.59683674269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20588.59683674269</v>
      </c>
      <c r="BH19">
        <f>Constants!$D$19</f>
        <v>0.35</v>
      </c>
      <c r="BI19">
        <f>Constants!$D$20</f>
        <v>7.0000000000000007E-2</v>
      </c>
      <c r="BJ19">
        <f>Constants!$D$21</f>
        <v>0.2</v>
      </c>
      <c r="BK19">
        <f>Constants!$D$22</f>
        <v>0.3</v>
      </c>
      <c r="BL19">
        <f>Constants!$D$23</f>
        <v>0</v>
      </c>
      <c r="BM19">
        <f>Constants!$B$51</f>
        <v>0.21</v>
      </c>
      <c r="BN19">
        <f>Constants!$B$50</f>
        <v>1.57</v>
      </c>
      <c r="BO19">
        <f>_xlfn.XLOOKUP(C19,Constants!$A$27:$A$31,Constants!$B$27:$B$31)</f>
        <v>8.0000000000000002E-3</v>
      </c>
      <c r="BP19">
        <f t="shared" si="19"/>
        <v>0</v>
      </c>
      <c r="BQ19">
        <f t="shared" si="9"/>
        <v>0</v>
      </c>
      <c r="BR19">
        <f t="shared" si="9"/>
        <v>0</v>
      </c>
      <c r="BS19">
        <f t="shared" si="9"/>
        <v>0</v>
      </c>
      <c r="BT19">
        <f t="shared" si="9"/>
        <v>0</v>
      </c>
      <c r="BU19">
        <f t="shared" si="20"/>
        <v>4323.6053357159644</v>
      </c>
      <c r="BV19">
        <f t="shared" si="21"/>
        <v>0</v>
      </c>
      <c r="BW19">
        <f t="shared" si="22"/>
        <v>54.304483016592521</v>
      </c>
    </row>
    <row r="20" spans="1:76" x14ac:dyDescent="0.2">
      <c r="A20" t="str">
        <f>'Input Scenarios'!A85</f>
        <v>QLD</v>
      </c>
      <c r="B20">
        <f>'Input Scenarios'!B85</f>
        <v>22</v>
      </c>
      <c r="C20" t="str">
        <f>'Input Scenarios'!C85</f>
        <v>Non-irrigated crop (high rainfall)</v>
      </c>
      <c r="D20" t="str">
        <f>'Input Scenarios'!D85</f>
        <v>wet</v>
      </c>
      <c r="E20" t="b">
        <f>'Input Scenarios'!E85</f>
        <v>1</v>
      </c>
      <c r="G20">
        <f>'Input Scenarios'!G85</f>
        <v>0.5</v>
      </c>
      <c r="H20">
        <f>'Input Scenarios'!H85</f>
        <v>0.1</v>
      </c>
      <c r="I20">
        <f>'Input Scenarios'!I85</f>
        <v>0.4</v>
      </c>
      <c r="J20">
        <f>'Input Scenarios'!J85</f>
        <v>0</v>
      </c>
      <c r="K20">
        <f>'Input Scenarios'!K85</f>
        <v>0</v>
      </c>
      <c r="L20">
        <f>'Input Scenarios'!L85</f>
        <v>1</v>
      </c>
      <c r="M20">
        <f>'Input Scenarios'!M85</f>
        <v>0</v>
      </c>
      <c r="N20">
        <f>'Input Scenarios'!N85</f>
        <v>1</v>
      </c>
      <c r="O20">
        <f>'Input Scenarios'!O85</f>
        <v>0</v>
      </c>
      <c r="P20">
        <f>'Input Scenarios'!P85</f>
        <v>0</v>
      </c>
      <c r="Q20">
        <f>'Input Scenarios'!Q85</f>
        <v>0</v>
      </c>
      <c r="R20" t="b">
        <f>'Input Scenarios'!R20</f>
        <v>1</v>
      </c>
      <c r="S20">
        <f>IF('Input Scenarios'!S85&lt;&gt;"", 'Input Scenarios'!S85, IF(R85, Constants!$B$38, 0))</f>
        <v>0.21</v>
      </c>
      <c r="T20" t="str">
        <f>IF('Input Scenarios'!T85&lt;&gt;"", 'Input Scenarios'!T85, "")</f>
        <v/>
      </c>
      <c r="U20">
        <f>IF('Input Scenarios'!U85&lt;&gt;"", 'Input Scenarios'!U85, IF(W20&lt;&gt;"", "", Constants!$B$39))</f>
        <v>4</v>
      </c>
      <c r="V20">
        <f>IF('Input Scenarios'!V85&lt;&gt;"", 'Input Scenarios'!V85, IF(W20&lt;&gt;"", "", Constants!$B$40))</f>
        <v>3.3</v>
      </c>
      <c r="W20" t="str">
        <f>IF('Input Scenarios'!W85&lt;&gt;"", 'Input Scenarios'!W85, "")</f>
        <v/>
      </c>
      <c r="X20" t="str">
        <f>'Input Scenarios'!X85</f>
        <v>Large Friesian</v>
      </c>
      <c r="Y20" t="str">
        <f>'Input Scenarios'!Y85</f>
        <v>bullsLt1PreWeaned</v>
      </c>
      <c r="Z20">
        <f>'Input Scenarios'!Z85</f>
        <v>200</v>
      </c>
      <c r="AA20">
        <f>'Input Scenarios'!AA85</f>
        <v>300</v>
      </c>
      <c r="AB20">
        <f>'Input Scenarios'!AB85</f>
        <v>222</v>
      </c>
      <c r="AC20" t="str">
        <f>IF('Input Scenarios'!AC85&lt;&gt;"", 'Input Scenarios'!AC85, _xlfn.XLOOKUP(Y20, Constants!$B$13:$H$13, Constants!$B$15:$H$15, ""))</f>
        <v/>
      </c>
      <c r="AD20">
        <f>IF('Input Scenarios'!AD85&lt;&gt;"", 'Input Scenarios'!AD85, Constants!$B$45)</f>
        <v>0.65</v>
      </c>
      <c r="AE20">
        <f>IF('Input Scenarios'!AE85&lt;&gt;"", 'Input Scenarios'!AE85, Constants!$B$46)</f>
        <v>0.23</v>
      </c>
      <c r="AF20">
        <f t="shared" si="1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11"/>
        <v>1</v>
      </c>
      <c r="AK20">
        <f t="shared" si="23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13"/>
        <v>0.51535000000000009</v>
      </c>
      <c r="AQ20">
        <f t="shared" si="14"/>
        <v>0</v>
      </c>
      <c r="AR20">
        <f>IF(Y20="milkingCows", Constants!$P$2, Constants!$P$3)</f>
        <v>1</v>
      </c>
      <c r="AS20" t="str">
        <f t="shared" si="15"/>
        <v/>
      </c>
      <c r="AT20" t="str">
        <f t="shared" si="16"/>
        <v/>
      </c>
      <c r="AU20" t="str">
        <f>_xlfn.XLOOKUP(Y20, Constants!$B$13:$H$13, Constants!$B$14:$H$14, "")</f>
        <v/>
      </c>
      <c r="AV20" t="str">
        <f t="shared" si="17"/>
        <v/>
      </c>
      <c r="AW20">
        <f>Constants!$B$55</f>
        <v>6.25</v>
      </c>
      <c r="AX20" t="str">
        <f t="shared" si="1"/>
        <v/>
      </c>
      <c r="AY20" t="str">
        <f t="shared" si="2"/>
        <v/>
      </c>
      <c r="AZ20" t="str">
        <f t="shared" si="18"/>
        <v/>
      </c>
      <c r="BA20">
        <f>IF(ISNUMBER(FIND("PreWeaned",Y20)),_xlfn.XLOOKUP(Y20,Constants!$J$2:$J$3,Constants!$M$2:$M$3),"")</f>
        <v>9.1999999999999998E-3</v>
      </c>
      <c r="BB20">
        <f t="shared" si="3"/>
        <v>552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552</v>
      </c>
      <c r="BH20">
        <f>Constants!$D$19</f>
        <v>0.35</v>
      </c>
      <c r="BI20">
        <f>Constants!$D$20</f>
        <v>7.0000000000000007E-2</v>
      </c>
      <c r="BJ20">
        <f>Constants!$D$21</f>
        <v>0.2</v>
      </c>
      <c r="BK20">
        <f>Constants!$D$22</f>
        <v>0.3</v>
      </c>
      <c r="BL20">
        <f>Constants!$D$23</f>
        <v>0</v>
      </c>
      <c r="BM20">
        <f>Constants!$B$51</f>
        <v>0.21</v>
      </c>
      <c r="BN20">
        <f>Constants!$B$50</f>
        <v>1.57</v>
      </c>
      <c r="BO20">
        <f>_xlfn.XLOOKUP(C20,Constants!$A$27:$A$31,Constants!$B$27:$B$31)</f>
        <v>8.0000000000000002E-3</v>
      </c>
      <c r="BP20">
        <f t="shared" si="19"/>
        <v>0</v>
      </c>
      <c r="BQ20">
        <f t="shared" si="9"/>
        <v>0</v>
      </c>
      <c r="BR20">
        <f t="shared" si="9"/>
        <v>0</v>
      </c>
      <c r="BS20">
        <f t="shared" si="9"/>
        <v>0</v>
      </c>
      <c r="BT20">
        <f t="shared" si="9"/>
        <v>0</v>
      </c>
      <c r="BU20">
        <f t="shared" si="20"/>
        <v>115.92</v>
      </c>
      <c r="BV20">
        <f t="shared" si="21"/>
        <v>0</v>
      </c>
      <c r="BW20">
        <f t="shared" si="22"/>
        <v>1.4559552000000002</v>
      </c>
    </row>
    <row r="21" spans="1:76" s="16" customFormat="1" x14ac:dyDescent="0.2">
      <c r="A21" s="16" t="str">
        <f>'Input Scenarios'!A86</f>
        <v>QLD</v>
      </c>
      <c r="B21" s="16">
        <f>'Input Scenarios'!B86</f>
        <v>22</v>
      </c>
      <c r="C21" s="16" t="str">
        <f>'Input Scenarios'!C86</f>
        <v>Non-irrigated crop (high rainfall)</v>
      </c>
      <c r="D21" s="16" t="str">
        <f>'Input Scenarios'!D86</f>
        <v>wet</v>
      </c>
      <c r="E21" s="16" t="b">
        <f>'Input Scenarios'!E86</f>
        <v>1</v>
      </c>
      <c r="G21" s="16">
        <f>'Input Scenarios'!G86</f>
        <v>0.5</v>
      </c>
      <c r="H21" s="16">
        <f>'Input Scenarios'!H86</f>
        <v>0.1</v>
      </c>
      <c r="I21" s="16">
        <f>'Input Scenarios'!I86</f>
        <v>0.4</v>
      </c>
      <c r="J21" s="16">
        <f>'Input Scenarios'!J86</f>
        <v>0</v>
      </c>
      <c r="K21" s="16">
        <f>'Input Scenarios'!K86</f>
        <v>0</v>
      </c>
      <c r="L21" s="16">
        <f>'Input Scenarios'!L86</f>
        <v>1</v>
      </c>
      <c r="M21" s="16">
        <f>'Input Scenarios'!M86</f>
        <v>0</v>
      </c>
      <c r="N21" s="16">
        <f>'Input Scenarios'!N86</f>
        <v>1</v>
      </c>
      <c r="O21" s="16">
        <f>'Input Scenarios'!O86</f>
        <v>0</v>
      </c>
      <c r="P21" s="16">
        <f>'Input Scenarios'!P86</f>
        <v>0</v>
      </c>
      <c r="Q21" s="16">
        <f>'Input Scenarios'!Q86</f>
        <v>0</v>
      </c>
      <c r="R21" s="16" t="b">
        <f>'Input Scenarios'!R21</f>
        <v>1</v>
      </c>
      <c r="S21" s="16">
        <f>IF('Input Scenarios'!S86&lt;&gt;"", 'Input Scenarios'!S86, IF(R86, Constants!$B$38, 0))</f>
        <v>0.21</v>
      </c>
      <c r="T21" s="16" t="str">
        <f>IF('Input Scenarios'!T86&lt;&gt;"", 'Input Scenarios'!T86, "")</f>
        <v/>
      </c>
      <c r="U21" s="16">
        <f>IF('Input Scenarios'!U86&lt;&gt;"", 'Input Scenarios'!U86, IF(W21&lt;&gt;"", "", Constants!$B$39))</f>
        <v>4</v>
      </c>
      <c r="V21" s="16">
        <f>IF('Input Scenarios'!V86&lt;&gt;"", 'Input Scenarios'!V86, IF(W21&lt;&gt;"", "", Constants!$B$40))</f>
        <v>3.3</v>
      </c>
      <c r="W21" s="16" t="str">
        <f>IF('Input Scenarios'!W86&lt;&gt;"", 'Input Scenarios'!W86, "")</f>
        <v/>
      </c>
      <c r="X21" s="16" t="str">
        <f>'Input Scenarios'!X86</f>
        <v>Large Friesian</v>
      </c>
      <c r="Y21" s="16" t="str">
        <f>'Input Scenarios'!Y86</f>
        <v>bullsLt1Weaned</v>
      </c>
      <c r="Z21" s="16">
        <f>'Input Scenarios'!Z86</f>
        <v>200</v>
      </c>
      <c r="AA21" s="16">
        <f>'Input Scenarios'!AA86</f>
        <v>300</v>
      </c>
      <c r="AB21" s="16">
        <f>'Input Scenarios'!AB86</f>
        <v>201</v>
      </c>
      <c r="AC21" s="16">
        <f>IF('Input Scenarios'!AC86&lt;&gt;"", 'Input Scenarios'!AC86, _xlfn.XLOOKUP(Y21, Constants!$B$13:$H$13, Constants!$B$15:$H$15, ""))</f>
        <v>0.8</v>
      </c>
      <c r="AD21" s="16">
        <f>IF('Input Scenarios'!AD86&lt;&gt;"", 'Input Scenarios'!AD86, Constants!$B$45)</f>
        <v>0.7</v>
      </c>
      <c r="AE21" s="16">
        <f>IF('Input Scenarios'!AE86&lt;&gt;"", 'Input Scenarios'!AE86, Constants!$B$46)</f>
        <v>0.23</v>
      </c>
      <c r="AF21" s="16">
        <f t="shared" si="10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11"/>
        <v>1</v>
      </c>
      <c r="AK21" s="16">
        <f t="shared" si="23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13"/>
        <v>0.55510000000000004</v>
      </c>
      <c r="AQ21" s="16">
        <f t="shared" si="14"/>
        <v>0</v>
      </c>
      <c r="AR21" s="16">
        <f>IF(Y21="milkingCows", Constants!$P$2, Constants!$P$3)</f>
        <v>1</v>
      </c>
      <c r="AS21" s="16">
        <f t="shared" si="15"/>
        <v>5.0377685786067605</v>
      </c>
      <c r="AT21" s="16">
        <f t="shared" si="16"/>
        <v>1.2689446720393267</v>
      </c>
      <c r="AU21" s="16">
        <f>_xlfn.XLOOKUP(Y21, Constants!$B$13:$H$13, Constants!$B$14:$H$14, "")</f>
        <v>770</v>
      </c>
      <c r="AV21" s="16">
        <f t="shared" si="17"/>
        <v>0.26103896103896101</v>
      </c>
      <c r="AW21" s="16">
        <f>Constants!$B$55</f>
        <v>6.25</v>
      </c>
      <c r="AX21" s="16">
        <f t="shared" si="1"/>
        <v>2.0452361614775885E-2</v>
      </c>
      <c r="AY21" s="16">
        <f t="shared" si="2"/>
        <v>1.1586867730795549</v>
      </c>
      <c r="AZ21" s="16">
        <f t="shared" si="18"/>
        <v>0.16399799411403809</v>
      </c>
      <c r="BA21" s="16" t="str">
        <f>IF(ISNUMBER(FIND("PreWeaned",Y21)),_xlfn.XLOOKUP(Y21,Constants!$J$2:$J$3,Constants!$M$2:$M$3),"")</f>
        <v/>
      </c>
      <c r="BB21" s="16">
        <f t="shared" si="3"/>
        <v>9839.8796468422843</v>
      </c>
      <c r="BC21" s="16">
        <f t="shared" si="4"/>
        <v>0</v>
      </c>
      <c r="BD21" s="16">
        <f t="shared" si="5"/>
        <v>0</v>
      </c>
      <c r="BE21" s="16">
        <f t="shared" si="6"/>
        <v>0</v>
      </c>
      <c r="BF21" s="16">
        <f t="shared" si="7"/>
        <v>0</v>
      </c>
      <c r="BG21" s="16">
        <f t="shared" si="8"/>
        <v>9839.8796468422843</v>
      </c>
      <c r="BH21" s="16">
        <f>Constants!$D$19</f>
        <v>0.35</v>
      </c>
      <c r="BI21" s="16">
        <f>Constants!$D$20</f>
        <v>7.0000000000000007E-2</v>
      </c>
      <c r="BJ21" s="16">
        <f>Constants!$D$21</f>
        <v>0.2</v>
      </c>
      <c r="BK21" s="16">
        <f>Constants!$D$22</f>
        <v>0.3</v>
      </c>
      <c r="BL21" s="16">
        <f>Constants!$D$23</f>
        <v>0</v>
      </c>
      <c r="BM21" s="16">
        <f>Constants!$B$51</f>
        <v>0.21</v>
      </c>
      <c r="BN21" s="16">
        <f>Constants!$B$50</f>
        <v>1.57</v>
      </c>
      <c r="BO21" s="16">
        <f>_xlfn.XLOOKUP(C21,Constants!$A$27:$A$31,Constants!$B$27:$B$31)</f>
        <v>8.0000000000000002E-3</v>
      </c>
      <c r="BP21" s="16">
        <f t="shared" si="19"/>
        <v>0</v>
      </c>
      <c r="BQ21" s="16">
        <f t="shared" si="9"/>
        <v>0</v>
      </c>
      <c r="BR21" s="16">
        <f t="shared" si="9"/>
        <v>0</v>
      </c>
      <c r="BS21" s="16">
        <f t="shared" si="9"/>
        <v>0</v>
      </c>
      <c r="BT21" s="16">
        <f t="shared" si="9"/>
        <v>0</v>
      </c>
      <c r="BU21" s="16">
        <f t="shared" si="20"/>
        <v>2066.3747258368794</v>
      </c>
      <c r="BV21" s="16">
        <f t="shared" si="21"/>
        <v>0</v>
      </c>
      <c r="BW21" s="16">
        <f t="shared" si="22"/>
        <v>25.953666556511209</v>
      </c>
    </row>
    <row r="22" spans="1:76" x14ac:dyDescent="0.2">
      <c r="A22" t="str">
        <f>'Input Scenarios'!A87</f>
        <v>NT</v>
      </c>
      <c r="B22">
        <f>'Input Scenarios'!B87</f>
        <v>27</v>
      </c>
      <c r="C22" t="str">
        <f>'Input Scenarios'!C87</f>
        <v>Irrigated pasture</v>
      </c>
      <c r="D22" t="str">
        <f>'Input Scenarios'!D87</f>
        <v>dry</v>
      </c>
      <c r="E22" t="b">
        <f>'Input Scenarios'!E87</f>
        <v>0</v>
      </c>
      <c r="G22">
        <f>'Input Scenarios'!G87</f>
        <v>0.73</v>
      </c>
      <c r="H22">
        <f>'Input Scenarios'!H87</f>
        <v>0.08</v>
      </c>
      <c r="I22">
        <f>'Input Scenarios'!I87</f>
        <v>0.19</v>
      </c>
      <c r="J22">
        <f>'Input Scenarios'!J87</f>
        <v>0</v>
      </c>
      <c r="K22">
        <f>'Input Scenarios'!K87</f>
        <v>0.5</v>
      </c>
      <c r="L22">
        <f>'Input Scenarios'!L87</f>
        <v>0.5</v>
      </c>
      <c r="M22">
        <f>'Input Scenarios'!M87</f>
        <v>0</v>
      </c>
      <c r="N22">
        <f>'Input Scenarios'!N87</f>
        <v>0.5</v>
      </c>
      <c r="O22">
        <f>'Input Scenarios'!O87</f>
        <v>0</v>
      </c>
      <c r="P22">
        <f>'Input Scenarios'!P87</f>
        <v>0</v>
      </c>
      <c r="Q22">
        <f>'Input Scenarios'!Q87</f>
        <v>0.5</v>
      </c>
      <c r="R22" t="b">
        <f>'Input Scenarios'!R22</f>
        <v>0</v>
      </c>
      <c r="S22">
        <f>IF('Input Scenarios'!S87&lt;&gt;"", 'Input Scenarios'!S87, IF(R87, Constants!$B$38, 0))</f>
        <v>0</v>
      </c>
      <c r="T22" s="20">
        <f>IF('Input Scenarios'!T87&lt;&gt;"", 'Input Scenarios'!T87, "")</f>
        <v>2.8</v>
      </c>
      <c r="U22" s="20">
        <f>IF('Input Scenarios'!U87&lt;&gt;"", 'Input Scenarios'!U87, IF(W22&lt;&gt;"", "", Constants!$B$39))</f>
        <v>4</v>
      </c>
      <c r="V22" s="20">
        <f>IF('Input Scenarios'!V87&lt;&gt;"", 'Input Scenarios'!V87, IF(W22&lt;&gt;"", "", Constants!$B$40))</f>
        <v>4</v>
      </c>
      <c r="W22" s="20" t="str">
        <f>IF('Input Scenarios'!W87&lt;&gt;"", 'Input Scenarios'!W87, "")</f>
        <v/>
      </c>
      <c r="X22" s="20" t="str">
        <f>'Input Scenarios'!X87</f>
        <v>Brown Swiss</v>
      </c>
      <c r="Y22" s="20" t="str">
        <f>'Input Scenarios'!Y87</f>
        <v>milkingCows</v>
      </c>
      <c r="Z22" s="20">
        <f>'Input Scenarios'!Z87</f>
        <v>200</v>
      </c>
      <c r="AA22" s="20">
        <f>'Input Scenarios'!AA87</f>
        <v>365</v>
      </c>
      <c r="AB22" s="20">
        <f>'Input Scenarios'!AB87</f>
        <v>623</v>
      </c>
      <c r="AC22">
        <f>IF('Input Scenarios'!AC87&lt;&gt;"", 'Input Scenarios'!AC87, _xlfn.XLOOKUP(Y22, Constants!$B$13:$H$13, Constants!$B$15:$H$15, ""))</f>
        <v>1.6E-2</v>
      </c>
      <c r="AD22">
        <f>IF('Input Scenarios'!AD87&lt;&gt;"", 'Input Scenarios'!AD87, Constants!$B$45)</f>
        <v>0.75</v>
      </c>
      <c r="AE22">
        <f>IF('Input Scenarios'!AE87&lt;&gt;"", 'Input Scenarios'!AE87, Constants!$B$46)</f>
        <v>0.2</v>
      </c>
      <c r="AF22" s="20">
        <f t="shared" si="10"/>
        <v>9.5000000000000001E-2</v>
      </c>
      <c r="AG22" s="20">
        <f t="shared" si="0"/>
        <v>0.04</v>
      </c>
      <c r="AH22" s="20">
        <f t="shared" si="0"/>
        <v>0.04</v>
      </c>
      <c r="AI22" s="20">
        <f t="shared" si="0"/>
        <v>9.5000000000000001E-2</v>
      </c>
      <c r="AJ22" s="20">
        <f t="shared" si="11"/>
        <v>0.73</v>
      </c>
      <c r="AK22">
        <f t="shared" si="23"/>
        <v>35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13"/>
        <v>0.5948500000000001</v>
      </c>
      <c r="AQ22">
        <f t="shared" si="14"/>
        <v>16.764776286312589</v>
      </c>
      <c r="AR22">
        <f>IF(Y22="milkingCows", Constants!$P$2, Constants!$P$3)</f>
        <v>1.1000000000000001</v>
      </c>
      <c r="AS22">
        <f t="shared" si="15"/>
        <v>26.726414289294269</v>
      </c>
      <c r="AT22">
        <f t="shared" si="16"/>
        <v>1.0012489924673265</v>
      </c>
      <c r="AU22">
        <f>_xlfn.XLOOKUP(Y22, Constants!$B$13:$H$13, Constants!$B$14:$H$14, "")</f>
        <v>590</v>
      </c>
      <c r="AV22">
        <f t="shared" si="17"/>
        <v>1.0559322033898304</v>
      </c>
      <c r="AW22">
        <f>Constants!$B$55</f>
        <v>6.25</v>
      </c>
      <c r="AX22" s="20">
        <f t="shared" si="1"/>
        <v>0.18099129950795759</v>
      </c>
      <c r="AY22">
        <f t="shared" si="2"/>
        <v>5.3452828578588543</v>
      </c>
      <c r="AZ22">
        <f t="shared" si="18"/>
        <v>0.67205923986428029</v>
      </c>
      <c r="BA22" t="str">
        <f>IF(ISNUMBER(FIND("PreWeaned",Y22)),_xlfn.XLOOKUP(Y22,Constants!$J$2:$J$3,Constants!$M$2:$M$3),"")</f>
        <v/>
      </c>
      <c r="BB22">
        <f t="shared" si="3"/>
        <v>49060.324510092461</v>
      </c>
      <c r="BC22">
        <f t="shared" si="4"/>
        <v>4660.7308284587834</v>
      </c>
      <c r="BD22">
        <f t="shared" si="5"/>
        <v>1962.4129804036984</v>
      </c>
      <c r="BE22">
        <f t="shared" si="6"/>
        <v>1962.4129804036984</v>
      </c>
      <c r="BF22">
        <f t="shared" si="7"/>
        <v>4660.7308284587834</v>
      </c>
      <c r="BG22">
        <f t="shared" si="8"/>
        <v>35814.036892367498</v>
      </c>
      <c r="BH22">
        <f>Constants!$D$19</f>
        <v>0.35</v>
      </c>
      <c r="BI22">
        <f>Constants!$D$20</f>
        <v>7.0000000000000007E-2</v>
      </c>
      <c r="BJ22">
        <f>Constants!$D$21</f>
        <v>0.2</v>
      </c>
      <c r="BK22">
        <f>Constants!$D$22</f>
        <v>0.3</v>
      </c>
      <c r="BL22">
        <f>Constants!$D$23</f>
        <v>0</v>
      </c>
      <c r="BM22">
        <f>Constants!$B$51</f>
        <v>0.21</v>
      </c>
      <c r="BN22">
        <f>Constants!$B$50</f>
        <v>1.57</v>
      </c>
      <c r="BO22">
        <f>_xlfn.XLOOKUP(C22,Constants!$A$27:$A$31,Constants!$B$27:$B$31)</f>
        <v>5.8999999999999999E-3</v>
      </c>
      <c r="BP22">
        <f t="shared" si="19"/>
        <v>1631.255789960574</v>
      </c>
      <c r="BQ22">
        <f t="shared" si="9"/>
        <v>137.36890862825891</v>
      </c>
      <c r="BR22">
        <f t="shared" si="9"/>
        <v>392.48259608073971</v>
      </c>
      <c r="BS22">
        <f t="shared" si="9"/>
        <v>1398.2192485376349</v>
      </c>
      <c r="BT22">
        <f t="shared" si="9"/>
        <v>0</v>
      </c>
      <c r="BU22">
        <f t="shared" si="20"/>
        <v>7520.9477473971747</v>
      </c>
      <c r="BV22">
        <f t="shared" si="21"/>
        <v>32.970041769728368</v>
      </c>
      <c r="BW22">
        <f t="shared" si="22"/>
        <v>69.666538984140033</v>
      </c>
      <c r="BX22">
        <f>SUM(BV22:BW28)/1000</f>
        <v>0.20200552243347536</v>
      </c>
    </row>
    <row r="23" spans="1:76" x14ac:dyDescent="0.2">
      <c r="A23" t="str">
        <f>'Input Scenarios'!A88</f>
        <v>NT</v>
      </c>
      <c r="B23">
        <f>'Input Scenarios'!B88</f>
        <v>27</v>
      </c>
      <c r="C23" t="str">
        <f>'Input Scenarios'!C88</f>
        <v>Irrigated pasture</v>
      </c>
      <c r="D23" t="str">
        <f>'Input Scenarios'!D88</f>
        <v>dry</v>
      </c>
      <c r="E23" t="b">
        <f>'Input Scenarios'!E88</f>
        <v>0</v>
      </c>
      <c r="G23">
        <f>'Input Scenarios'!G88</f>
        <v>0.73</v>
      </c>
      <c r="H23">
        <f>'Input Scenarios'!H88</f>
        <v>0.08</v>
      </c>
      <c r="I23">
        <f>'Input Scenarios'!I88</f>
        <v>0.19</v>
      </c>
      <c r="J23">
        <f>'Input Scenarios'!J88</f>
        <v>0</v>
      </c>
      <c r="K23">
        <f>'Input Scenarios'!K88</f>
        <v>0.5</v>
      </c>
      <c r="L23">
        <f>'Input Scenarios'!L88</f>
        <v>0.5</v>
      </c>
      <c r="M23">
        <f>'Input Scenarios'!M88</f>
        <v>0</v>
      </c>
      <c r="N23">
        <f>'Input Scenarios'!N88</f>
        <v>0.5</v>
      </c>
      <c r="O23">
        <f>'Input Scenarios'!O88</f>
        <v>0</v>
      </c>
      <c r="P23">
        <f>'Input Scenarios'!P88</f>
        <v>0</v>
      </c>
      <c r="Q23">
        <f>'Input Scenarios'!Q88</f>
        <v>0.5</v>
      </c>
      <c r="R23" t="b">
        <f>'Input Scenarios'!R23</f>
        <v>0</v>
      </c>
      <c r="S23">
        <f>IF('Input Scenarios'!S88&lt;&gt;"", 'Input Scenarios'!S88, IF(R88, Constants!$B$38, 0))</f>
        <v>0</v>
      </c>
      <c r="T23" t="str">
        <f>IF('Input Scenarios'!T88&lt;&gt;"", 'Input Scenarios'!T88, "")</f>
        <v/>
      </c>
      <c r="U23">
        <f>IF('Input Scenarios'!U88&lt;&gt;"", 'Input Scenarios'!U88, IF(W23&lt;&gt;"", "", Constants!$B$39))</f>
        <v>4</v>
      </c>
      <c r="V23">
        <f>IF('Input Scenarios'!V88&lt;&gt;"", 'Input Scenarios'!V88, IF(W23&lt;&gt;"", "", Constants!$B$40))</f>
        <v>3.3</v>
      </c>
      <c r="W23" t="str">
        <f>IF('Input Scenarios'!W88&lt;&gt;"", 'Input Scenarios'!W88, "")</f>
        <v/>
      </c>
      <c r="X23" t="str">
        <f>'Input Scenarios'!X88</f>
        <v>Brown Swiss</v>
      </c>
      <c r="Y23" t="str">
        <f>'Input Scenarios'!Y88</f>
        <v>heifersGt1</v>
      </c>
      <c r="Z23">
        <f>'Input Scenarios'!Z88</f>
        <v>200</v>
      </c>
      <c r="AA23">
        <f>'Input Scenarios'!AA88</f>
        <v>265</v>
      </c>
      <c r="AB23">
        <f>'Input Scenarios'!AB88</f>
        <v>450</v>
      </c>
      <c r="AC23">
        <f>IF('Input Scenarios'!AC88&lt;&gt;"", 'Input Scenarios'!AC88, _xlfn.XLOOKUP(Y23, Constants!$B$13:$H$13, Constants!$B$15:$H$15, ""))</f>
        <v>0.6</v>
      </c>
      <c r="AD23">
        <f>IF('Input Scenarios'!AD88&lt;&gt;"", 'Input Scenarios'!AD88, Constants!$B$45)</f>
        <v>0.75</v>
      </c>
      <c r="AE23">
        <f>IF('Input Scenarios'!AE88&lt;&gt;"", 'Input Scenarios'!AE88, Constants!$B$46)</f>
        <v>0.2</v>
      </c>
      <c r="AF23">
        <f t="shared" si="1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11"/>
        <v>1</v>
      </c>
      <c r="AK23">
        <f t="shared" si="23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13"/>
        <v>0.5948500000000001</v>
      </c>
      <c r="AQ23">
        <f t="shared" si="14"/>
        <v>0</v>
      </c>
      <c r="AR23">
        <f>IF(Y23="milkingCows", Constants!$P$2, Constants!$P$3)</f>
        <v>1</v>
      </c>
      <c r="AS23">
        <f t="shared" si="15"/>
        <v>8.3549902499999984</v>
      </c>
      <c r="AT23">
        <f t="shared" si="16"/>
        <v>1.1448168254973408</v>
      </c>
      <c r="AU23">
        <f>_xlfn.XLOOKUP(Y23, Constants!$B$13:$H$13, Constants!$B$14:$H$14, "")</f>
        <v>590</v>
      </c>
      <c r="AV23">
        <f t="shared" si="17"/>
        <v>0.76271186440677963</v>
      </c>
      <c r="AW23">
        <f>Constants!$B$55</f>
        <v>6.25</v>
      </c>
      <c r="AX23">
        <f t="shared" si="1"/>
        <v>7.680606707944594E-3</v>
      </c>
      <c r="AY23">
        <f t="shared" si="2"/>
        <v>1.6709980499999997</v>
      </c>
      <c r="AZ23">
        <f t="shared" si="18"/>
        <v>0.25795950260723322</v>
      </c>
      <c r="BA23" t="str">
        <f>IF(ISNUMBER(FIND("PreWeaned",Y23)),_xlfn.XLOOKUP(Y23,Constants!$J$2:$J$3,Constants!$M$2:$M$3),"")</f>
        <v/>
      </c>
      <c r="BB23">
        <f t="shared" si="3"/>
        <v>13671.853638183362</v>
      </c>
      <c r="BC23">
        <f t="shared" si="4"/>
        <v>0</v>
      </c>
      <c r="BD23">
        <f t="shared" si="5"/>
        <v>0</v>
      </c>
      <c r="BE23">
        <f t="shared" si="6"/>
        <v>0</v>
      </c>
      <c r="BF23">
        <f t="shared" si="7"/>
        <v>0</v>
      </c>
      <c r="BG23">
        <f t="shared" si="8"/>
        <v>13671.853638183362</v>
      </c>
      <c r="BH23">
        <f>Constants!$D$19</f>
        <v>0.35</v>
      </c>
      <c r="BI23">
        <f>Constants!$D$20</f>
        <v>7.0000000000000007E-2</v>
      </c>
      <c r="BJ23">
        <f>Constants!$D$21</f>
        <v>0.2</v>
      </c>
      <c r="BK23">
        <f>Constants!$D$22</f>
        <v>0.3</v>
      </c>
      <c r="BL23">
        <f>Constants!$D$23</f>
        <v>0</v>
      </c>
      <c r="BM23">
        <f>Constants!$B$51</f>
        <v>0.21</v>
      </c>
      <c r="BN23">
        <f>Constants!$B$50</f>
        <v>1.57</v>
      </c>
      <c r="BO23">
        <f>_xlfn.XLOOKUP(C23,Constants!$A$27:$A$31,Constants!$B$27:$B$31)</f>
        <v>5.8999999999999999E-3</v>
      </c>
      <c r="BP23">
        <f t="shared" si="19"/>
        <v>0</v>
      </c>
      <c r="BQ23">
        <f t="shared" si="9"/>
        <v>0</v>
      </c>
      <c r="BR23">
        <f t="shared" si="9"/>
        <v>0</v>
      </c>
      <c r="BS23">
        <f t="shared" si="9"/>
        <v>0</v>
      </c>
      <c r="BT23">
        <f t="shared" si="9"/>
        <v>0</v>
      </c>
      <c r="BU23">
        <f t="shared" si="20"/>
        <v>2871.0892640185057</v>
      </c>
      <c r="BV23">
        <f t="shared" si="21"/>
        <v>0</v>
      </c>
      <c r="BW23">
        <f t="shared" si="22"/>
        <v>26.594899852603419</v>
      </c>
    </row>
    <row r="24" spans="1:76" x14ac:dyDescent="0.2">
      <c r="A24" t="str">
        <f>'Input Scenarios'!A89</f>
        <v>NT</v>
      </c>
      <c r="B24">
        <f>'Input Scenarios'!B89</f>
        <v>27</v>
      </c>
      <c r="C24" t="str">
        <f>'Input Scenarios'!C89</f>
        <v>Irrigated pasture</v>
      </c>
      <c r="D24" t="str">
        <f>'Input Scenarios'!D89</f>
        <v>dry</v>
      </c>
      <c r="E24" t="b">
        <f>'Input Scenarios'!E89</f>
        <v>0</v>
      </c>
      <c r="G24">
        <f>'Input Scenarios'!G89</f>
        <v>0.73</v>
      </c>
      <c r="H24">
        <f>'Input Scenarios'!H89</f>
        <v>0.08</v>
      </c>
      <c r="I24">
        <f>'Input Scenarios'!I89</f>
        <v>0.19</v>
      </c>
      <c r="J24">
        <f>'Input Scenarios'!J89</f>
        <v>0</v>
      </c>
      <c r="K24">
        <f>'Input Scenarios'!K89</f>
        <v>0.5</v>
      </c>
      <c r="L24">
        <f>'Input Scenarios'!L89</f>
        <v>0.5</v>
      </c>
      <c r="M24">
        <f>'Input Scenarios'!M89</f>
        <v>0</v>
      </c>
      <c r="N24">
        <f>'Input Scenarios'!N89</f>
        <v>0.5</v>
      </c>
      <c r="O24">
        <f>'Input Scenarios'!O89</f>
        <v>0</v>
      </c>
      <c r="P24">
        <f>'Input Scenarios'!P89</f>
        <v>0</v>
      </c>
      <c r="Q24">
        <f>'Input Scenarios'!Q89</f>
        <v>0.5</v>
      </c>
      <c r="R24" t="b">
        <f>'Input Scenarios'!R24</f>
        <v>0</v>
      </c>
      <c r="S24">
        <f>IF('Input Scenarios'!S89&lt;&gt;"", 'Input Scenarios'!S89, IF(R89, Constants!$B$38, 0))</f>
        <v>0</v>
      </c>
      <c r="T24" t="str">
        <f>IF('Input Scenarios'!T89&lt;&gt;"", 'Input Scenarios'!T89, "")</f>
        <v/>
      </c>
      <c r="U24">
        <f>IF('Input Scenarios'!U89&lt;&gt;"", 'Input Scenarios'!U89, IF(W24&lt;&gt;"", "", Constants!$B$39))</f>
        <v>4</v>
      </c>
      <c r="V24">
        <f>IF('Input Scenarios'!V89&lt;&gt;"", 'Input Scenarios'!V89, IF(W24&lt;&gt;"", "", Constants!$B$40))</f>
        <v>3.3</v>
      </c>
      <c r="W24" t="str">
        <f>IF('Input Scenarios'!W89&lt;&gt;"", 'Input Scenarios'!W89, "")</f>
        <v/>
      </c>
      <c r="X24" t="str">
        <f>'Input Scenarios'!X89</f>
        <v>Brown Swiss</v>
      </c>
      <c r="Y24" t="str">
        <f>'Input Scenarios'!Y89</f>
        <v>heifersLt1PreWeaned</v>
      </c>
      <c r="Z24">
        <f>'Input Scenarios'!Z89</f>
        <v>200</v>
      </c>
      <c r="AA24">
        <f>'Input Scenarios'!AA89</f>
        <v>100</v>
      </c>
      <c r="AB24">
        <f>'Input Scenarios'!AB89</f>
        <v>88</v>
      </c>
      <c r="AC24" t="str">
        <f>IF('Input Scenarios'!AC89&lt;&gt;"", 'Input Scenarios'!AC89, _xlfn.XLOOKUP(Y24, Constants!$B$13:$H$13, Constants!$B$15:$H$15, ""))</f>
        <v/>
      </c>
      <c r="AD24">
        <f>IF('Input Scenarios'!AD89&lt;&gt;"", 'Input Scenarios'!AD89, Constants!$B$45)</f>
        <v>0.75</v>
      </c>
      <c r="AE24">
        <f>IF('Input Scenarios'!AE89&lt;&gt;"", 'Input Scenarios'!AE89, Constants!$B$46)</f>
        <v>0.2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1</v>
      </c>
      <c r="AK24">
        <f t="shared" si="23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13"/>
        <v>0.5948500000000001</v>
      </c>
      <c r="AQ24">
        <f t="shared" si="14"/>
        <v>0</v>
      </c>
      <c r="AR24">
        <f>IF(Y24="milkingCows", Constants!$P$2, Constants!$P$3)</f>
        <v>1</v>
      </c>
      <c r="AS24" t="str">
        <f t="shared" si="15"/>
        <v/>
      </c>
      <c r="AT24" t="str">
        <f t="shared" si="16"/>
        <v/>
      </c>
      <c r="AU24" t="str">
        <f>_xlfn.XLOOKUP(Y24, Constants!$B$13:$H$13, Constants!$B$14:$H$14, "")</f>
        <v/>
      </c>
      <c r="AV24" t="str">
        <f t="shared" si="17"/>
        <v/>
      </c>
      <c r="AW24">
        <f>Constants!$B$55</f>
        <v>6.25</v>
      </c>
      <c r="AX24" t="str">
        <f t="shared" si="1"/>
        <v/>
      </c>
      <c r="AY24" t="str">
        <f t="shared" si="2"/>
        <v/>
      </c>
      <c r="AZ24" t="str">
        <f t="shared" si="18"/>
        <v/>
      </c>
      <c r="BA24">
        <f>IF(ISNUMBER(FIND("PreWeaned",Y24)),_xlfn.XLOOKUP(Y24,Constants!$J$2:$J$3,Constants!$M$2:$M$3),"")</f>
        <v>1.37E-2</v>
      </c>
      <c r="BB24">
        <f t="shared" si="3"/>
        <v>274</v>
      </c>
      <c r="BC24">
        <f t="shared" si="4"/>
        <v>0</v>
      </c>
      <c r="BD24">
        <f t="shared" si="5"/>
        <v>0</v>
      </c>
      <c r="BE24">
        <f t="shared" si="6"/>
        <v>0</v>
      </c>
      <c r="BF24">
        <f t="shared" si="7"/>
        <v>0</v>
      </c>
      <c r="BG24">
        <f t="shared" si="8"/>
        <v>274</v>
      </c>
      <c r="BH24">
        <f>Constants!$D$19</f>
        <v>0.35</v>
      </c>
      <c r="BI24">
        <f>Constants!$D$20</f>
        <v>7.0000000000000007E-2</v>
      </c>
      <c r="BJ24">
        <f>Constants!$D$21</f>
        <v>0.2</v>
      </c>
      <c r="BK24">
        <f>Constants!$D$22</f>
        <v>0.3</v>
      </c>
      <c r="BL24">
        <f>Constants!$D$23</f>
        <v>0</v>
      </c>
      <c r="BM24">
        <f>Constants!$B$51</f>
        <v>0.21</v>
      </c>
      <c r="BN24">
        <f>Constants!$B$50</f>
        <v>1.57</v>
      </c>
      <c r="BO24">
        <f>_xlfn.XLOOKUP(C24,Constants!$A$27:$A$31,Constants!$B$27:$B$31)</f>
        <v>5.8999999999999999E-3</v>
      </c>
      <c r="BP24">
        <f t="shared" si="19"/>
        <v>0</v>
      </c>
      <c r="BQ24">
        <f t="shared" si="19"/>
        <v>0</v>
      </c>
      <c r="BR24">
        <f t="shared" si="19"/>
        <v>0</v>
      </c>
      <c r="BS24">
        <f t="shared" si="19"/>
        <v>0</v>
      </c>
      <c r="BT24">
        <f t="shared" si="19"/>
        <v>0</v>
      </c>
      <c r="BU24">
        <f t="shared" si="20"/>
        <v>57.54</v>
      </c>
      <c r="BV24">
        <f t="shared" si="21"/>
        <v>0</v>
      </c>
      <c r="BW24">
        <f t="shared" si="22"/>
        <v>0.53299302000000004</v>
      </c>
    </row>
    <row r="25" spans="1:76" x14ac:dyDescent="0.2">
      <c r="A25" t="str">
        <f>'Input Scenarios'!A90</f>
        <v>NT</v>
      </c>
      <c r="B25">
        <f>'Input Scenarios'!B90</f>
        <v>27</v>
      </c>
      <c r="C25" t="str">
        <f>'Input Scenarios'!C90</f>
        <v>Irrigated pasture</v>
      </c>
      <c r="D25" t="str">
        <f>'Input Scenarios'!D90</f>
        <v>dry</v>
      </c>
      <c r="E25" t="b">
        <f>'Input Scenarios'!E90</f>
        <v>0</v>
      </c>
      <c r="G25">
        <f>'Input Scenarios'!G90</f>
        <v>0.73</v>
      </c>
      <c r="H25">
        <f>'Input Scenarios'!H90</f>
        <v>0.08</v>
      </c>
      <c r="I25">
        <f>'Input Scenarios'!I90</f>
        <v>0.19</v>
      </c>
      <c r="J25">
        <f>'Input Scenarios'!J90</f>
        <v>0</v>
      </c>
      <c r="K25">
        <f>'Input Scenarios'!K90</f>
        <v>0.5</v>
      </c>
      <c r="L25">
        <f>'Input Scenarios'!L90</f>
        <v>0.5</v>
      </c>
      <c r="M25">
        <f>'Input Scenarios'!M90</f>
        <v>0</v>
      </c>
      <c r="N25">
        <f>'Input Scenarios'!N90</f>
        <v>0.5</v>
      </c>
      <c r="O25">
        <f>'Input Scenarios'!O90</f>
        <v>0</v>
      </c>
      <c r="P25">
        <f>'Input Scenarios'!P90</f>
        <v>0</v>
      </c>
      <c r="Q25">
        <f>'Input Scenarios'!Q90</f>
        <v>0.5</v>
      </c>
      <c r="R25" t="b">
        <f>'Input Scenarios'!R25</f>
        <v>0</v>
      </c>
      <c r="S25">
        <f>IF('Input Scenarios'!S90&lt;&gt;"", 'Input Scenarios'!S90, IF(R90, Constants!$B$38, 0))</f>
        <v>0</v>
      </c>
      <c r="T25" t="str">
        <f>IF('Input Scenarios'!T90&lt;&gt;"", 'Input Scenarios'!T90, "")</f>
        <v/>
      </c>
      <c r="U25">
        <f>IF('Input Scenarios'!U90&lt;&gt;"", 'Input Scenarios'!U90, IF(W25&lt;&gt;"", "", Constants!$B$39))</f>
        <v>4</v>
      </c>
      <c r="V25">
        <f>IF('Input Scenarios'!V90&lt;&gt;"", 'Input Scenarios'!V90, IF(W25&lt;&gt;"", "", Constants!$B$40))</f>
        <v>3.3</v>
      </c>
      <c r="W25" t="str">
        <f>IF('Input Scenarios'!W90&lt;&gt;"", 'Input Scenarios'!W90, "")</f>
        <v/>
      </c>
      <c r="X25" t="str">
        <f>'Input Scenarios'!X90</f>
        <v>Brown Swiss</v>
      </c>
      <c r="Y25" t="str">
        <f>'Input Scenarios'!Y90</f>
        <v>heifersLt1Weaned</v>
      </c>
      <c r="Z25">
        <f>'Input Scenarios'!Z90</f>
        <v>200</v>
      </c>
      <c r="AA25">
        <f>'Input Scenarios'!AA90</f>
        <v>360</v>
      </c>
      <c r="AB25">
        <f>'Input Scenarios'!AB90</f>
        <v>185</v>
      </c>
      <c r="AC25">
        <f>IF('Input Scenarios'!AC90&lt;&gt;"", 'Input Scenarios'!AC90, _xlfn.XLOOKUP(Y25, Constants!$B$13:$H$13, Constants!$B$15:$H$15, ""))</f>
        <v>0.56999999999999995</v>
      </c>
      <c r="AD25">
        <f>IF('Input Scenarios'!AD90&lt;&gt;"", 'Input Scenarios'!AD90, Constants!$B$45)</f>
        <v>0.75</v>
      </c>
      <c r="AE25">
        <f>IF('Input Scenarios'!AE90&lt;&gt;"", 'Input Scenarios'!AE90, Constants!$B$46)</f>
        <v>0.2</v>
      </c>
      <c r="AF25">
        <f t="shared" ref="AF25:AI44" si="24">IF($Y25="milkingCows",($H25*J25)+($I25*N25), 0)</f>
        <v>0</v>
      </c>
      <c r="AG25">
        <f t="shared" si="24"/>
        <v>0</v>
      </c>
      <c r="AH25">
        <f t="shared" si="24"/>
        <v>0</v>
      </c>
      <c r="AI25">
        <f t="shared" si="24"/>
        <v>0</v>
      </c>
      <c r="AJ25">
        <f t="shared" si="11"/>
        <v>1</v>
      </c>
      <c r="AK25">
        <f t="shared" si="23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13"/>
        <v>0.5948500000000001</v>
      </c>
      <c r="AQ25">
        <f t="shared" si="14"/>
        <v>0</v>
      </c>
      <c r="AR25">
        <f>IF(Y25="milkingCows", Constants!$P$2, Constants!$P$3)</f>
        <v>1</v>
      </c>
      <c r="AS25">
        <f t="shared" si="15"/>
        <v>4.4751921662249998</v>
      </c>
      <c r="AT25">
        <f t="shared" si="16"/>
        <v>1.1940956577314272</v>
      </c>
      <c r="AU25">
        <f>_xlfn.XLOOKUP(Y25, Constants!$B$13:$H$13, Constants!$B$14:$H$14, "")</f>
        <v>590</v>
      </c>
      <c r="AV25">
        <f t="shared" si="17"/>
        <v>0.3135593220338983</v>
      </c>
      <c r="AW25">
        <f>Constants!$B$55</f>
        <v>6.25</v>
      </c>
      <c r="AX25">
        <f t="shared" si="1"/>
        <v>1.374327511013524E-2</v>
      </c>
      <c r="AY25">
        <f t="shared" si="2"/>
        <v>0.89503843324499999</v>
      </c>
      <c r="AZ25">
        <f t="shared" si="18"/>
        <v>0.12858001497431362</v>
      </c>
      <c r="BA25" t="str">
        <f>IF(ISNUMBER(FIND("PreWeaned",Y25)),_xlfn.XLOOKUP(Y25,Constants!$J$2:$J$3,Constants!$M$2:$M$3),"")</f>
        <v/>
      </c>
      <c r="BB25">
        <f t="shared" si="3"/>
        <v>9257.7610781505809</v>
      </c>
      <c r="BC25">
        <f t="shared" si="4"/>
        <v>0</v>
      </c>
      <c r="BD25">
        <f t="shared" si="5"/>
        <v>0</v>
      </c>
      <c r="BE25">
        <f t="shared" si="6"/>
        <v>0</v>
      </c>
      <c r="BF25">
        <f t="shared" si="7"/>
        <v>0</v>
      </c>
      <c r="BG25">
        <f t="shared" si="8"/>
        <v>9257.7610781505809</v>
      </c>
      <c r="BH25">
        <f>Constants!$D$19</f>
        <v>0.35</v>
      </c>
      <c r="BI25">
        <f>Constants!$D$20</f>
        <v>7.0000000000000007E-2</v>
      </c>
      <c r="BJ25">
        <f>Constants!$D$21</f>
        <v>0.2</v>
      </c>
      <c r="BK25">
        <f>Constants!$D$22</f>
        <v>0.3</v>
      </c>
      <c r="BL25">
        <f>Constants!$D$23</f>
        <v>0</v>
      </c>
      <c r="BM25">
        <f>Constants!$B$51</f>
        <v>0.21</v>
      </c>
      <c r="BN25">
        <f>Constants!$B$50</f>
        <v>1.57</v>
      </c>
      <c r="BO25">
        <f>_xlfn.XLOOKUP(C25,Constants!$A$27:$A$31,Constants!$B$27:$B$31)</f>
        <v>5.8999999999999999E-3</v>
      </c>
      <c r="BP25">
        <f t="shared" ref="BP25:BT41" si="25">BC25*BH25</f>
        <v>0</v>
      </c>
      <c r="BQ25">
        <f t="shared" si="25"/>
        <v>0</v>
      </c>
      <c r="BR25">
        <f t="shared" si="25"/>
        <v>0</v>
      </c>
      <c r="BS25">
        <f t="shared" si="25"/>
        <v>0</v>
      </c>
      <c r="BT25">
        <f t="shared" si="25"/>
        <v>0</v>
      </c>
      <c r="BU25">
        <f t="shared" si="20"/>
        <v>1944.1298264116219</v>
      </c>
      <c r="BV25">
        <f t="shared" si="21"/>
        <v>0</v>
      </c>
      <c r="BW25">
        <f t="shared" si="22"/>
        <v>18.008474582050855</v>
      </c>
    </row>
    <row r="26" spans="1:76" x14ac:dyDescent="0.2">
      <c r="A26" t="str">
        <f>'Input Scenarios'!A91</f>
        <v>NT</v>
      </c>
      <c r="B26">
        <f>'Input Scenarios'!B91</f>
        <v>27</v>
      </c>
      <c r="C26" t="str">
        <f>'Input Scenarios'!C91</f>
        <v>Irrigated pasture</v>
      </c>
      <c r="D26" t="str">
        <f>'Input Scenarios'!D91</f>
        <v>dry</v>
      </c>
      <c r="E26" t="b">
        <f>'Input Scenarios'!E91</f>
        <v>0</v>
      </c>
      <c r="G26">
        <f>'Input Scenarios'!G91</f>
        <v>0.73</v>
      </c>
      <c r="H26">
        <f>'Input Scenarios'!H91</f>
        <v>0.08</v>
      </c>
      <c r="I26">
        <f>'Input Scenarios'!I91</f>
        <v>0.19</v>
      </c>
      <c r="J26">
        <f>'Input Scenarios'!J91</f>
        <v>0</v>
      </c>
      <c r="K26">
        <f>'Input Scenarios'!K91</f>
        <v>0.5</v>
      </c>
      <c r="L26">
        <f>'Input Scenarios'!L91</f>
        <v>0.5</v>
      </c>
      <c r="M26">
        <f>'Input Scenarios'!M91</f>
        <v>0</v>
      </c>
      <c r="N26">
        <f>'Input Scenarios'!N91</f>
        <v>0.5</v>
      </c>
      <c r="O26">
        <f>'Input Scenarios'!O91</f>
        <v>0</v>
      </c>
      <c r="P26">
        <f>'Input Scenarios'!P91</f>
        <v>0</v>
      </c>
      <c r="Q26">
        <f>'Input Scenarios'!Q91</f>
        <v>0.5</v>
      </c>
      <c r="R26" t="b">
        <f>'Input Scenarios'!R26</f>
        <v>0</v>
      </c>
      <c r="S26">
        <f>IF('Input Scenarios'!S91&lt;&gt;"", 'Input Scenarios'!S91, IF(R91, Constants!$B$38, 0))</f>
        <v>0</v>
      </c>
      <c r="T26" t="str">
        <f>IF('Input Scenarios'!T91&lt;&gt;"", 'Input Scenarios'!T91, "")</f>
        <v/>
      </c>
      <c r="U26">
        <f>IF('Input Scenarios'!U91&lt;&gt;"", 'Input Scenarios'!U91, IF(W26&lt;&gt;"", "", Constants!$B$39))</f>
        <v>4</v>
      </c>
      <c r="V26">
        <f>IF('Input Scenarios'!V91&lt;&gt;"", 'Input Scenarios'!V91, IF(W26&lt;&gt;"", "", Constants!$B$40))</f>
        <v>3.3</v>
      </c>
      <c r="W26" t="str">
        <f>IF('Input Scenarios'!W91&lt;&gt;"", 'Input Scenarios'!W91, "")</f>
        <v/>
      </c>
      <c r="X26" t="str">
        <f>'Input Scenarios'!X91</f>
        <v>Brown Swiss</v>
      </c>
      <c r="Y26" t="str">
        <f>'Input Scenarios'!Y91</f>
        <v>bullsGt1</v>
      </c>
      <c r="Z26">
        <f>'Input Scenarios'!Z91</f>
        <v>200</v>
      </c>
      <c r="AA26">
        <f>'Input Scenarios'!AA91</f>
        <v>345</v>
      </c>
      <c r="AB26">
        <f>'Input Scenarios'!AB91</f>
        <v>550</v>
      </c>
      <c r="AC26">
        <f>IF('Input Scenarios'!AC91&lt;&gt;"", 'Input Scenarios'!AC91, _xlfn.XLOOKUP(Y26, Constants!$B$13:$H$13, Constants!$B$15:$H$15, ""))</f>
        <v>0.1</v>
      </c>
      <c r="AD26">
        <f>IF('Input Scenarios'!AD91&lt;&gt;"", 'Input Scenarios'!AD91, Constants!$B$45)</f>
        <v>0.75</v>
      </c>
      <c r="AE26">
        <f>IF('Input Scenarios'!AE91&lt;&gt;"", 'Input Scenarios'!AE91, Constants!$B$46)</f>
        <v>0.2</v>
      </c>
      <c r="AF26">
        <f t="shared" si="24"/>
        <v>0</v>
      </c>
      <c r="AG26">
        <f t="shared" si="24"/>
        <v>0</v>
      </c>
      <c r="AH26">
        <f t="shared" si="24"/>
        <v>0</v>
      </c>
      <c r="AI26">
        <f t="shared" si="24"/>
        <v>0</v>
      </c>
      <c r="AJ26">
        <f t="shared" si="11"/>
        <v>1</v>
      </c>
      <c r="AK26">
        <f t="shared" si="23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13"/>
        <v>0.5948500000000001</v>
      </c>
      <c r="AQ26">
        <f t="shared" si="14"/>
        <v>0</v>
      </c>
      <c r="AR26">
        <f>IF(Y26="milkingCows", Constants!$P$2, Constants!$P$3)</f>
        <v>1</v>
      </c>
      <c r="AS26">
        <f t="shared" si="15"/>
        <v>8.5673290000000009</v>
      </c>
      <c r="AT26">
        <f t="shared" si="16"/>
        <v>1.0218762517451188</v>
      </c>
      <c r="AU26">
        <f>_xlfn.XLOOKUP(Y26, Constants!$B$13:$H$13, Constants!$B$14:$H$14, "")</f>
        <v>770</v>
      </c>
      <c r="AV26">
        <f t="shared" si="17"/>
        <v>0.7142857142857143</v>
      </c>
      <c r="AW26">
        <f>Constants!$B$55</f>
        <v>6.25</v>
      </c>
      <c r="AX26">
        <f t="shared" si="1"/>
        <v>1.3464908317647941E-3</v>
      </c>
      <c r="AY26">
        <f t="shared" si="2"/>
        <v>1.7134658000000003</v>
      </c>
      <c r="AZ26">
        <f t="shared" si="18"/>
        <v>0.2708091665468973</v>
      </c>
      <c r="BA26" t="str">
        <f>IF(ISNUMBER(FIND("PreWeaned",Y26)),_xlfn.XLOOKUP(Y26,Constants!$J$2:$J$3,Constants!$M$2:$M$3),"")</f>
        <v/>
      </c>
      <c r="BB26">
        <f t="shared" si="3"/>
        <v>18685.832491735913</v>
      </c>
      <c r="BC26">
        <f t="shared" si="4"/>
        <v>0</v>
      </c>
      <c r="BD26">
        <f t="shared" si="5"/>
        <v>0</v>
      </c>
      <c r="BE26">
        <f t="shared" si="6"/>
        <v>0</v>
      </c>
      <c r="BF26">
        <f t="shared" si="7"/>
        <v>0</v>
      </c>
      <c r="BG26">
        <f t="shared" si="8"/>
        <v>18685.832491735913</v>
      </c>
      <c r="BH26">
        <f>Constants!$D$19</f>
        <v>0.35</v>
      </c>
      <c r="BI26">
        <f>Constants!$D$20</f>
        <v>7.0000000000000007E-2</v>
      </c>
      <c r="BJ26">
        <f>Constants!$D$21</f>
        <v>0.2</v>
      </c>
      <c r="BK26">
        <f>Constants!$D$22</f>
        <v>0.3</v>
      </c>
      <c r="BL26">
        <f>Constants!$D$23</f>
        <v>0</v>
      </c>
      <c r="BM26">
        <f>Constants!$B$51</f>
        <v>0.21</v>
      </c>
      <c r="BN26">
        <f>Constants!$B$50</f>
        <v>1.57</v>
      </c>
      <c r="BO26">
        <f>_xlfn.XLOOKUP(C26,Constants!$A$27:$A$31,Constants!$B$27:$B$31)</f>
        <v>5.8999999999999999E-3</v>
      </c>
      <c r="BP26">
        <f t="shared" si="25"/>
        <v>0</v>
      </c>
      <c r="BQ26">
        <f t="shared" si="25"/>
        <v>0</v>
      </c>
      <c r="BR26">
        <f t="shared" si="25"/>
        <v>0</v>
      </c>
      <c r="BS26">
        <f t="shared" si="25"/>
        <v>0</v>
      </c>
      <c r="BT26">
        <f t="shared" si="25"/>
        <v>0</v>
      </c>
      <c r="BU26">
        <f t="shared" si="20"/>
        <v>3924.0248232645417</v>
      </c>
      <c r="BV26">
        <f t="shared" si="21"/>
        <v>0</v>
      </c>
      <c r="BW26">
        <f t="shared" si="22"/>
        <v>36.348241937899452</v>
      </c>
    </row>
    <row r="27" spans="1:76" x14ac:dyDescent="0.2">
      <c r="A27" t="str">
        <f>'Input Scenarios'!A92</f>
        <v>NT</v>
      </c>
      <c r="B27">
        <f>'Input Scenarios'!B92</f>
        <v>27</v>
      </c>
      <c r="C27" t="str">
        <f>'Input Scenarios'!C92</f>
        <v>Irrigated pasture</v>
      </c>
      <c r="D27" t="str">
        <f>'Input Scenarios'!D92</f>
        <v>dry</v>
      </c>
      <c r="E27" t="b">
        <f>'Input Scenarios'!E92</f>
        <v>0</v>
      </c>
      <c r="G27">
        <f>'Input Scenarios'!G92</f>
        <v>0.73</v>
      </c>
      <c r="H27">
        <f>'Input Scenarios'!H92</f>
        <v>0.08</v>
      </c>
      <c r="I27">
        <f>'Input Scenarios'!I92</f>
        <v>0.19</v>
      </c>
      <c r="J27">
        <f>'Input Scenarios'!J92</f>
        <v>0</v>
      </c>
      <c r="K27">
        <f>'Input Scenarios'!K92</f>
        <v>0.5</v>
      </c>
      <c r="L27">
        <f>'Input Scenarios'!L92</f>
        <v>0.5</v>
      </c>
      <c r="M27">
        <f>'Input Scenarios'!M92</f>
        <v>0</v>
      </c>
      <c r="N27">
        <f>'Input Scenarios'!N92</f>
        <v>0.5</v>
      </c>
      <c r="O27">
        <f>'Input Scenarios'!O92</f>
        <v>0</v>
      </c>
      <c r="P27">
        <f>'Input Scenarios'!P92</f>
        <v>0</v>
      </c>
      <c r="Q27">
        <f>'Input Scenarios'!Q92</f>
        <v>0.5</v>
      </c>
      <c r="R27" t="b">
        <f>'Input Scenarios'!R27</f>
        <v>0</v>
      </c>
      <c r="S27">
        <f>IF('Input Scenarios'!S92&lt;&gt;"", 'Input Scenarios'!S92, IF(R92, Constants!$B$38, 0))</f>
        <v>0</v>
      </c>
      <c r="T27" t="str">
        <f>IF('Input Scenarios'!T92&lt;&gt;"", 'Input Scenarios'!T92, "")</f>
        <v/>
      </c>
      <c r="U27">
        <f>IF('Input Scenarios'!U92&lt;&gt;"", 'Input Scenarios'!U92, IF(W27&lt;&gt;"", "", Constants!$B$39))</f>
        <v>4</v>
      </c>
      <c r="V27">
        <f>IF('Input Scenarios'!V92&lt;&gt;"", 'Input Scenarios'!V92, IF(W27&lt;&gt;"", "", Constants!$B$40))</f>
        <v>3.3</v>
      </c>
      <c r="W27" t="str">
        <f>IF('Input Scenarios'!W92&lt;&gt;"", 'Input Scenarios'!W92, "")</f>
        <v/>
      </c>
      <c r="X27" t="str">
        <f>'Input Scenarios'!X92</f>
        <v>Brown Swiss</v>
      </c>
      <c r="Y27" t="str">
        <f>'Input Scenarios'!Y92</f>
        <v>bullsLt1PreWeaned</v>
      </c>
      <c r="Z27">
        <f>'Input Scenarios'!Z92</f>
        <v>200</v>
      </c>
      <c r="AA27">
        <f>'Input Scenarios'!AA92</f>
        <v>124</v>
      </c>
      <c r="AB27">
        <f>'Input Scenarios'!AB92</f>
        <v>225</v>
      </c>
      <c r="AC27" t="str">
        <f>IF('Input Scenarios'!AC92&lt;&gt;"", 'Input Scenarios'!AC92, _xlfn.XLOOKUP(Y27, Constants!$B$13:$H$13, Constants!$B$15:$H$15, ""))</f>
        <v/>
      </c>
      <c r="AD27">
        <f>IF('Input Scenarios'!AD92&lt;&gt;"", 'Input Scenarios'!AD92, Constants!$B$45)</f>
        <v>0.75</v>
      </c>
      <c r="AE27">
        <f>IF('Input Scenarios'!AE92&lt;&gt;"", 'Input Scenarios'!AE92, Constants!$B$46)</f>
        <v>0.2</v>
      </c>
      <c r="AF27">
        <f t="shared" si="24"/>
        <v>0</v>
      </c>
      <c r="AG27">
        <f t="shared" si="24"/>
        <v>0</v>
      </c>
      <c r="AH27">
        <f t="shared" si="24"/>
        <v>0</v>
      </c>
      <c r="AI27">
        <f t="shared" si="24"/>
        <v>0</v>
      </c>
      <c r="AJ27">
        <f t="shared" si="11"/>
        <v>1</v>
      </c>
      <c r="AK27">
        <f t="shared" si="23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13"/>
        <v>0.5948500000000001</v>
      </c>
      <c r="AQ27">
        <f t="shared" si="14"/>
        <v>0</v>
      </c>
      <c r="AR27">
        <f>IF(Y27="milkingCows", Constants!$P$2, Constants!$P$3)</f>
        <v>1</v>
      </c>
      <c r="AS27" t="str">
        <f t="shared" si="15"/>
        <v/>
      </c>
      <c r="AT27" t="str">
        <f t="shared" si="16"/>
        <v/>
      </c>
      <c r="AU27" t="str">
        <f>_xlfn.XLOOKUP(Y27, Constants!$B$13:$H$13, Constants!$B$14:$H$14, "")</f>
        <v/>
      </c>
      <c r="AV27" t="str">
        <f t="shared" si="17"/>
        <v/>
      </c>
      <c r="AW27">
        <f>Constants!$B$55</f>
        <v>6.25</v>
      </c>
      <c r="AX27" t="str">
        <f t="shared" si="1"/>
        <v/>
      </c>
      <c r="AY27" t="str">
        <f t="shared" si="2"/>
        <v/>
      </c>
      <c r="AZ27" t="str">
        <f t="shared" si="18"/>
        <v/>
      </c>
      <c r="BA27">
        <f>IF(ISNUMBER(FIND("PreWeaned",Y27)),_xlfn.XLOOKUP(Y27,Constants!$J$2:$J$3,Constants!$M$2:$M$3),"")</f>
        <v>9.1999999999999998E-3</v>
      </c>
      <c r="BB27">
        <f t="shared" si="3"/>
        <v>228.15999999999997</v>
      </c>
      <c r="BC27">
        <f t="shared" si="4"/>
        <v>0</v>
      </c>
      <c r="BD27">
        <f t="shared" si="5"/>
        <v>0</v>
      </c>
      <c r="BE27">
        <f t="shared" si="6"/>
        <v>0</v>
      </c>
      <c r="BF27">
        <f t="shared" si="7"/>
        <v>0</v>
      </c>
      <c r="BG27">
        <f t="shared" si="8"/>
        <v>228.15999999999997</v>
      </c>
      <c r="BH27">
        <f>Constants!$D$19</f>
        <v>0.35</v>
      </c>
      <c r="BI27">
        <f>Constants!$D$20</f>
        <v>7.0000000000000007E-2</v>
      </c>
      <c r="BJ27">
        <f>Constants!$D$21</f>
        <v>0.2</v>
      </c>
      <c r="BK27">
        <f>Constants!$D$22</f>
        <v>0.3</v>
      </c>
      <c r="BL27">
        <f>Constants!$D$23</f>
        <v>0</v>
      </c>
      <c r="BM27">
        <f>Constants!$B$51</f>
        <v>0.21</v>
      </c>
      <c r="BN27">
        <f>Constants!$B$50</f>
        <v>1.57</v>
      </c>
      <c r="BO27">
        <f>_xlfn.XLOOKUP(C27,Constants!$A$27:$A$31,Constants!$B$27:$B$31)</f>
        <v>5.8999999999999999E-3</v>
      </c>
      <c r="BP27">
        <f t="shared" si="25"/>
        <v>0</v>
      </c>
      <c r="BQ27">
        <f t="shared" si="25"/>
        <v>0</v>
      </c>
      <c r="BR27">
        <f t="shared" si="25"/>
        <v>0</v>
      </c>
      <c r="BS27">
        <f t="shared" si="25"/>
        <v>0</v>
      </c>
      <c r="BT27">
        <f t="shared" si="25"/>
        <v>0</v>
      </c>
      <c r="BU27">
        <f t="shared" si="20"/>
        <v>47.913599999999988</v>
      </c>
      <c r="BV27">
        <f t="shared" si="21"/>
        <v>0</v>
      </c>
      <c r="BW27">
        <f t="shared" si="22"/>
        <v>0.4438236767999999</v>
      </c>
    </row>
    <row r="28" spans="1:76" s="16" customFormat="1" x14ac:dyDescent="0.2">
      <c r="A28" s="16" t="str">
        <f>'Input Scenarios'!A93</f>
        <v>NT</v>
      </c>
      <c r="B28" s="16">
        <f>'Input Scenarios'!B93</f>
        <v>27</v>
      </c>
      <c r="C28" s="16" t="str">
        <f>'Input Scenarios'!C93</f>
        <v>Irrigated pasture</v>
      </c>
      <c r="D28" s="16" t="str">
        <f>'Input Scenarios'!D93</f>
        <v>dry</v>
      </c>
      <c r="E28" s="16" t="b">
        <f>'Input Scenarios'!E93</f>
        <v>0</v>
      </c>
      <c r="G28" s="16">
        <f>'Input Scenarios'!G93</f>
        <v>0.73</v>
      </c>
      <c r="H28" s="16">
        <f>'Input Scenarios'!H93</f>
        <v>0.08</v>
      </c>
      <c r="I28" s="16">
        <f>'Input Scenarios'!I93</f>
        <v>0.19</v>
      </c>
      <c r="J28" s="16">
        <f>'Input Scenarios'!J93</f>
        <v>0</v>
      </c>
      <c r="K28" s="16">
        <f>'Input Scenarios'!K93</f>
        <v>0.5</v>
      </c>
      <c r="L28" s="16">
        <f>'Input Scenarios'!L93</f>
        <v>0.5</v>
      </c>
      <c r="M28" s="16">
        <f>'Input Scenarios'!M93</f>
        <v>0</v>
      </c>
      <c r="N28" s="16">
        <f>'Input Scenarios'!N93</f>
        <v>0.5</v>
      </c>
      <c r="O28" s="16">
        <f>'Input Scenarios'!O93</f>
        <v>0</v>
      </c>
      <c r="P28" s="16">
        <f>'Input Scenarios'!P93</f>
        <v>0</v>
      </c>
      <c r="Q28" s="16">
        <f>'Input Scenarios'!Q93</f>
        <v>0.5</v>
      </c>
      <c r="R28" s="16" t="b">
        <f>'Input Scenarios'!R28</f>
        <v>0</v>
      </c>
      <c r="S28" s="16">
        <f>IF('Input Scenarios'!S93&lt;&gt;"", 'Input Scenarios'!S93, IF(R93, Constants!$B$38, 0))</f>
        <v>0</v>
      </c>
      <c r="T28" s="16" t="str">
        <f>IF('Input Scenarios'!T93&lt;&gt;"", 'Input Scenarios'!T93, "")</f>
        <v/>
      </c>
      <c r="U28" s="16">
        <f>IF('Input Scenarios'!U93&lt;&gt;"", 'Input Scenarios'!U93, IF(W28&lt;&gt;"", "", Constants!$B$39))</f>
        <v>4</v>
      </c>
      <c r="V28" s="16">
        <f>IF('Input Scenarios'!V93&lt;&gt;"", 'Input Scenarios'!V93, IF(W28&lt;&gt;"", "", Constants!$B$40))</f>
        <v>3.3</v>
      </c>
      <c r="W28" s="16" t="str">
        <f>IF('Input Scenarios'!W93&lt;&gt;"", 'Input Scenarios'!W93, "")</f>
        <v/>
      </c>
      <c r="X28" s="16" t="str">
        <f>'Input Scenarios'!X93</f>
        <v>Brown Swiss</v>
      </c>
      <c r="Y28" s="16" t="str">
        <f>'Input Scenarios'!Y93</f>
        <v>bullsLt1Weaned</v>
      </c>
      <c r="Z28" s="16">
        <f>'Input Scenarios'!Z93</f>
        <v>200</v>
      </c>
      <c r="AA28" s="16">
        <f>'Input Scenarios'!AA93</f>
        <v>294</v>
      </c>
      <c r="AB28" s="16">
        <f>'Input Scenarios'!AB93</f>
        <v>225</v>
      </c>
      <c r="AC28" s="16">
        <f>IF('Input Scenarios'!AC93&lt;&gt;"", 'Input Scenarios'!AC93, _xlfn.XLOOKUP(Y28, Constants!$B$13:$H$13, Constants!$B$15:$H$15, ""))</f>
        <v>0.8</v>
      </c>
      <c r="AD28" s="16">
        <f>IF('Input Scenarios'!AD93&lt;&gt;"", 'Input Scenarios'!AD93, Constants!$B$45)</f>
        <v>0.75</v>
      </c>
      <c r="AE28" s="16">
        <f>IF('Input Scenarios'!AE93&lt;&gt;"", 'Input Scenarios'!AE93, Constants!$B$46)</f>
        <v>0.2</v>
      </c>
      <c r="AF28" s="16">
        <f t="shared" si="24"/>
        <v>0</v>
      </c>
      <c r="AG28" s="16">
        <f t="shared" si="24"/>
        <v>0</v>
      </c>
      <c r="AH28" s="16">
        <f t="shared" si="24"/>
        <v>0</v>
      </c>
      <c r="AI28" s="16">
        <f t="shared" si="24"/>
        <v>0</v>
      </c>
      <c r="AJ28" s="16">
        <f t="shared" si="11"/>
        <v>1</v>
      </c>
      <c r="AK28" s="16">
        <f t="shared" si="23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13"/>
        <v>0.5948500000000001</v>
      </c>
      <c r="AQ28" s="16">
        <f t="shared" si="14"/>
        <v>0</v>
      </c>
      <c r="AR28" s="16">
        <f>IF(Y28="milkingCows", Constants!$P$2, Constants!$P$3)</f>
        <v>1</v>
      </c>
      <c r="AS28" s="16">
        <f t="shared" si="15"/>
        <v>5.4143472656250013</v>
      </c>
      <c r="AT28" s="16">
        <f t="shared" si="16"/>
        <v>1.2576570545672616</v>
      </c>
      <c r="AU28" s="16">
        <f>_xlfn.XLOOKUP(Y28, Constants!$B$13:$H$13, Constants!$B$14:$H$14, "")</f>
        <v>770</v>
      </c>
      <c r="AV28" s="16">
        <f t="shared" si="17"/>
        <v>0.29220779220779219</v>
      </c>
      <c r="AW28" s="16">
        <f>Constants!$B$55</f>
        <v>6.25</v>
      </c>
      <c r="AX28" s="16">
        <f t="shared" si="1"/>
        <v>1.9757354894894084E-2</v>
      </c>
      <c r="AY28" s="16">
        <f t="shared" si="2"/>
        <v>1.0828694531250003</v>
      </c>
      <c r="AZ28" s="16">
        <f t="shared" si="18"/>
        <v>0.15247929000170721</v>
      </c>
      <c r="BA28" s="16" t="str">
        <f>IF(ISNUMBER(FIND("PreWeaned",Y28)),_xlfn.XLOOKUP(Y28,Constants!$J$2:$J$3,Constants!$M$2:$M$3),"")</f>
        <v/>
      </c>
      <c r="BB28" s="16">
        <f t="shared" si="3"/>
        <v>8965.7822521003836</v>
      </c>
      <c r="BC28" s="16">
        <f t="shared" si="4"/>
        <v>0</v>
      </c>
      <c r="BD28" s="16">
        <f t="shared" si="5"/>
        <v>0</v>
      </c>
      <c r="BE28" s="16">
        <f t="shared" si="6"/>
        <v>0</v>
      </c>
      <c r="BF28" s="16">
        <f t="shared" si="7"/>
        <v>0</v>
      </c>
      <c r="BG28" s="16">
        <f t="shared" si="8"/>
        <v>8965.7822521003836</v>
      </c>
      <c r="BH28" s="16">
        <f>Constants!$D$19</f>
        <v>0.35</v>
      </c>
      <c r="BI28" s="16">
        <f>Constants!$D$20</f>
        <v>7.0000000000000007E-2</v>
      </c>
      <c r="BJ28" s="16">
        <f>Constants!$D$21</f>
        <v>0.2</v>
      </c>
      <c r="BK28" s="16">
        <f>Constants!$D$22</f>
        <v>0.3</v>
      </c>
      <c r="BL28" s="16">
        <f>Constants!$D$23</f>
        <v>0</v>
      </c>
      <c r="BM28" s="16">
        <f>Constants!$B$51</f>
        <v>0.21</v>
      </c>
      <c r="BN28" s="16">
        <f>Constants!$B$50</f>
        <v>1.57</v>
      </c>
      <c r="BO28" s="16">
        <f>_xlfn.XLOOKUP(C28,Constants!$A$27:$A$31,Constants!$B$27:$B$31)</f>
        <v>5.8999999999999999E-3</v>
      </c>
      <c r="BP28" s="16">
        <f t="shared" si="25"/>
        <v>0</v>
      </c>
      <c r="BQ28" s="16">
        <f t="shared" si="25"/>
        <v>0</v>
      </c>
      <c r="BR28" s="16">
        <f t="shared" si="25"/>
        <v>0</v>
      </c>
      <c r="BS28" s="16">
        <f t="shared" si="25"/>
        <v>0</v>
      </c>
      <c r="BT28" s="16">
        <f t="shared" si="25"/>
        <v>0</v>
      </c>
      <c r="BU28" s="16">
        <f t="shared" si="20"/>
        <v>1882.8142729410804</v>
      </c>
      <c r="BV28" s="16">
        <f t="shared" si="21"/>
        <v>0</v>
      </c>
      <c r="BW28" s="16">
        <f t="shared" si="22"/>
        <v>17.440508610253229</v>
      </c>
    </row>
    <row r="29" spans="1:76" x14ac:dyDescent="0.2">
      <c r="A29" t="str">
        <f>'Input Scenarios'!A94</f>
        <v>TAS</v>
      </c>
      <c r="B29" t="str">
        <f>'Input Scenarios'!B94</f>
        <v>10 or below</v>
      </c>
      <c r="C29" t="str">
        <f>'Input Scenarios'!C94</f>
        <v>Irrigated crop</v>
      </c>
      <c r="D29" t="str">
        <f>'Input Scenarios'!D94</f>
        <v>dry</v>
      </c>
      <c r="E29" t="b">
        <f>'Input Scenarios'!E94</f>
        <v>1</v>
      </c>
      <c r="G29">
        <f>'Input Scenarios'!G94</f>
        <v>0</v>
      </c>
      <c r="H29">
        <f>'Input Scenarios'!H94</f>
        <v>0.1</v>
      </c>
      <c r="I29">
        <f>'Input Scenarios'!I94</f>
        <v>0.9</v>
      </c>
      <c r="J29">
        <f>'Input Scenarios'!J94</f>
        <v>0.1</v>
      </c>
      <c r="K29">
        <f>'Input Scenarios'!K94</f>
        <v>0.2</v>
      </c>
      <c r="L29">
        <f>'Input Scenarios'!L94</f>
        <v>0.3</v>
      </c>
      <c r="M29">
        <f>'Input Scenarios'!M94</f>
        <v>0.4</v>
      </c>
      <c r="N29">
        <f>'Input Scenarios'!N94</f>
        <v>0.4</v>
      </c>
      <c r="O29">
        <f>'Input Scenarios'!O94</f>
        <v>0.3</v>
      </c>
      <c r="P29">
        <f>'Input Scenarios'!P94</f>
        <v>0.2</v>
      </c>
      <c r="Q29">
        <f>'Input Scenarios'!Q94</f>
        <v>0.1</v>
      </c>
      <c r="R29" t="b">
        <f>'Input Scenarios'!R29</f>
        <v>0</v>
      </c>
      <c r="S29">
        <f>IF('Input Scenarios'!S94&lt;&gt;"", 'Input Scenarios'!S94, IF(R94, Constants!$B$38, 0))</f>
        <v>0</v>
      </c>
      <c r="T29" s="20" t="str">
        <f>IF('Input Scenarios'!T94&lt;&gt;"", 'Input Scenarios'!T94, "")</f>
        <v/>
      </c>
      <c r="U29" s="20" t="str">
        <f>IF('Input Scenarios'!U94&lt;&gt;"", 'Input Scenarios'!U94, IF(W29&lt;&gt;"", "", Constants!$B$39))</f>
        <v/>
      </c>
      <c r="V29" s="20" t="str">
        <f>IF('Input Scenarios'!V94&lt;&gt;"", 'Input Scenarios'!V94, IF(W29&lt;&gt;"", "", Constants!$B$40))</f>
        <v/>
      </c>
      <c r="W29" s="20">
        <f>IF('Input Scenarios'!W94&lt;&gt;"", 'Input Scenarios'!W94, "")</f>
        <v>20</v>
      </c>
      <c r="X29" s="20" t="str">
        <f>'Input Scenarios'!X94</f>
        <v>Illawarra/Aussie Red</v>
      </c>
      <c r="Y29" s="20" t="str">
        <f>'Input Scenarios'!Y94</f>
        <v>milkingCows</v>
      </c>
      <c r="Z29" s="20">
        <f>'Input Scenarios'!Z94</f>
        <v>200</v>
      </c>
      <c r="AA29" s="20">
        <f>'Input Scenarios'!AA94</f>
        <v>365</v>
      </c>
      <c r="AB29" s="20">
        <f>'Input Scenarios'!AB94</f>
        <v>500</v>
      </c>
      <c r="AC29">
        <f>IF('Input Scenarios'!AC94&lt;&gt;"", 'Input Scenarios'!AC94, _xlfn.XLOOKUP(Y29, Constants!$B$13:$H$13, Constants!$B$15:$H$15, ""))</f>
        <v>1.6E-2</v>
      </c>
      <c r="AD29">
        <f>IF('Input Scenarios'!AD94&lt;&gt;"", 'Input Scenarios'!AD94, Constants!$B$45)</f>
        <v>0.75</v>
      </c>
      <c r="AE29">
        <f>IF('Input Scenarios'!AE94&lt;&gt;"", 'Input Scenarios'!AE94, Constants!$B$46)</f>
        <v>0.2</v>
      </c>
      <c r="AF29" s="20">
        <f t="shared" si="24"/>
        <v>0.37000000000000005</v>
      </c>
      <c r="AG29" s="20">
        <f t="shared" si="24"/>
        <v>0.29000000000000004</v>
      </c>
      <c r="AH29" s="20">
        <f t="shared" si="24"/>
        <v>0.21000000000000002</v>
      </c>
      <c r="AI29" s="20">
        <f t="shared" si="24"/>
        <v>0.13</v>
      </c>
      <c r="AJ29" s="20">
        <f t="shared" si="11"/>
        <v>0</v>
      </c>
      <c r="AK29">
        <f t="shared" si="23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13"/>
        <v>0.5948500000000001</v>
      </c>
      <c r="AQ29">
        <f t="shared" si="14"/>
        <v>9.5798721636071917</v>
      </c>
      <c r="AR29">
        <f>IF(Y29="milkingCows", Constants!$P$2, Constants!$P$3)</f>
        <v>1.1000000000000001</v>
      </c>
      <c r="AS29">
        <f t="shared" si="15"/>
        <v>18.265829445367196</v>
      </c>
      <c r="AT29">
        <f t="shared" si="16"/>
        <v>1.0017071727165394</v>
      </c>
      <c r="AU29">
        <f>_xlfn.XLOOKUP(Y29, Constants!$B$13:$H$13, Constants!$B$14:$H$14, "")</f>
        <v>590</v>
      </c>
      <c r="AV29">
        <f t="shared" si="17"/>
        <v>0.84745762711864403</v>
      </c>
      <c r="AW29">
        <f>Constants!$B$55</f>
        <v>6.25</v>
      </c>
      <c r="AX29" s="20">
        <f t="shared" si="1"/>
        <v>0.10351472280849285</v>
      </c>
      <c r="AY29">
        <f t="shared" si="2"/>
        <v>3.6531658890734393</v>
      </c>
      <c r="AZ29">
        <f t="shared" si="18"/>
        <v>0.47913084601960204</v>
      </c>
      <c r="BA29" t="str">
        <f>IF(ISNUMBER(FIND("PreWeaned",Y29)),_xlfn.XLOOKUP(Y29,Constants!$J$2:$J$3,Constants!$M$2:$M$3),"")</f>
        <v/>
      </c>
      <c r="BB29">
        <f t="shared" si="3"/>
        <v>34976.551759430949</v>
      </c>
      <c r="BC29">
        <f t="shared" si="4"/>
        <v>12941.324150989452</v>
      </c>
      <c r="BD29">
        <f t="shared" si="5"/>
        <v>10143.200010234976</v>
      </c>
      <c r="BE29">
        <f t="shared" si="6"/>
        <v>7345.0758694804999</v>
      </c>
      <c r="BF29">
        <f t="shared" si="7"/>
        <v>4546.9517287260232</v>
      </c>
      <c r="BG29">
        <f t="shared" si="8"/>
        <v>0</v>
      </c>
      <c r="BH29">
        <f>Constants!$D$19</f>
        <v>0.35</v>
      </c>
      <c r="BI29">
        <f>Constants!$D$20</f>
        <v>7.0000000000000007E-2</v>
      </c>
      <c r="BJ29">
        <f>Constants!$D$21</f>
        <v>0.2</v>
      </c>
      <c r="BK29">
        <f>Constants!$D$22</f>
        <v>0.3</v>
      </c>
      <c r="BL29">
        <f>Constants!$D$23</f>
        <v>0</v>
      </c>
      <c r="BM29">
        <f>Constants!$B$51</f>
        <v>0.21</v>
      </c>
      <c r="BN29">
        <f>Constants!$B$50</f>
        <v>1.57</v>
      </c>
      <c r="BO29">
        <f>_xlfn.XLOOKUP(C29,Constants!$A$27:$A$31,Constants!$B$27:$B$31)</f>
        <v>7.0000000000000001E-3</v>
      </c>
      <c r="BP29">
        <f t="shared" si="25"/>
        <v>4529.4634528463084</v>
      </c>
      <c r="BQ29">
        <f t="shared" si="25"/>
        <v>710.02400071644831</v>
      </c>
      <c r="BR29">
        <f t="shared" si="25"/>
        <v>1469.0151738961001</v>
      </c>
      <c r="BS29">
        <f t="shared" si="25"/>
        <v>1364.0855186178069</v>
      </c>
      <c r="BT29">
        <f t="shared" si="25"/>
        <v>0</v>
      </c>
      <c r="BU29">
        <f t="shared" si="20"/>
        <v>0</v>
      </c>
      <c r="BV29">
        <f t="shared" si="21"/>
        <v>88.717743725382547</v>
      </c>
      <c r="BW29">
        <f t="shared" si="22"/>
        <v>0</v>
      </c>
      <c r="BX29">
        <f>SUM(BV29:BW35)/1000</f>
        <v>0.19895727846889547</v>
      </c>
    </row>
    <row r="30" spans="1:76" x14ac:dyDescent="0.2">
      <c r="A30" t="str">
        <f>'Input Scenarios'!A95</f>
        <v>TAS</v>
      </c>
      <c r="B30" t="str">
        <f>'Input Scenarios'!B95</f>
        <v>10 or below</v>
      </c>
      <c r="C30" t="str">
        <f>'Input Scenarios'!C95</f>
        <v>Irrigated crop</v>
      </c>
      <c r="D30" t="str">
        <f>'Input Scenarios'!D95</f>
        <v>dry</v>
      </c>
      <c r="E30" t="b">
        <f>'Input Scenarios'!E95</f>
        <v>1</v>
      </c>
      <c r="G30">
        <f>'Input Scenarios'!G95</f>
        <v>0</v>
      </c>
      <c r="H30">
        <f>'Input Scenarios'!H95</f>
        <v>0.1</v>
      </c>
      <c r="I30">
        <f>'Input Scenarios'!I95</f>
        <v>0.9</v>
      </c>
      <c r="J30">
        <f>'Input Scenarios'!J95</f>
        <v>0.1</v>
      </c>
      <c r="K30">
        <f>'Input Scenarios'!K95</f>
        <v>0.2</v>
      </c>
      <c r="L30">
        <f>'Input Scenarios'!L95</f>
        <v>0.3</v>
      </c>
      <c r="M30">
        <f>'Input Scenarios'!M95</f>
        <v>0.4</v>
      </c>
      <c r="N30">
        <f>'Input Scenarios'!N95</f>
        <v>0.4</v>
      </c>
      <c r="O30">
        <f>'Input Scenarios'!O95</f>
        <v>0.3</v>
      </c>
      <c r="P30">
        <f>'Input Scenarios'!P95</f>
        <v>0.2</v>
      </c>
      <c r="Q30">
        <f>'Input Scenarios'!Q95</f>
        <v>0.1</v>
      </c>
      <c r="R30" t="b">
        <f>'Input Scenarios'!R30</f>
        <v>0</v>
      </c>
      <c r="S30">
        <f>IF('Input Scenarios'!S95&lt;&gt;"", 'Input Scenarios'!S95, IF(R95, Constants!$B$38, 0))</f>
        <v>0</v>
      </c>
      <c r="T30" t="str">
        <f>IF('Input Scenarios'!T95&lt;&gt;"", 'Input Scenarios'!T95, "")</f>
        <v/>
      </c>
      <c r="U30">
        <f>IF('Input Scenarios'!U95&lt;&gt;"", 'Input Scenarios'!U95, IF(W30&lt;&gt;"", "", Constants!$B$39))</f>
        <v>4</v>
      </c>
      <c r="V30">
        <f>IF('Input Scenarios'!V95&lt;&gt;"", 'Input Scenarios'!V95, IF(W30&lt;&gt;"", "", Constants!$B$40))</f>
        <v>3.3</v>
      </c>
      <c r="W30" t="str">
        <f>IF('Input Scenarios'!W95&lt;&gt;"", 'Input Scenarios'!W95, "")</f>
        <v/>
      </c>
      <c r="X30" t="str">
        <f>'Input Scenarios'!X95</f>
        <v>Illawarra/Aussie Red</v>
      </c>
      <c r="Y30" t="str">
        <f>'Input Scenarios'!Y95</f>
        <v>heifersGt1</v>
      </c>
      <c r="Z30">
        <f>'Input Scenarios'!Z95</f>
        <v>200</v>
      </c>
      <c r="AA30">
        <f>'Input Scenarios'!AA95</f>
        <v>265</v>
      </c>
      <c r="AB30">
        <f>'Input Scenarios'!AB95</f>
        <v>350</v>
      </c>
      <c r="AC30">
        <f>IF('Input Scenarios'!AC95&lt;&gt;"", 'Input Scenarios'!AC95, _xlfn.XLOOKUP(Y30, Constants!$B$13:$H$13, Constants!$B$15:$H$15, ""))</f>
        <v>0.6</v>
      </c>
      <c r="AD30">
        <f>IF('Input Scenarios'!AD95&lt;&gt;"", 'Input Scenarios'!AD95, Constants!$B$45)</f>
        <v>0.75</v>
      </c>
      <c r="AE30">
        <f>IF('Input Scenarios'!AE95&lt;&gt;"", 'Input Scenarios'!AE95, Constants!$B$46)</f>
        <v>0.2</v>
      </c>
      <c r="AF30">
        <f t="shared" si="24"/>
        <v>0</v>
      </c>
      <c r="AG30">
        <f t="shared" si="24"/>
        <v>0</v>
      </c>
      <c r="AH30">
        <f t="shared" si="24"/>
        <v>0</v>
      </c>
      <c r="AI30">
        <f t="shared" si="24"/>
        <v>0</v>
      </c>
      <c r="AJ30">
        <f t="shared" si="11"/>
        <v>1</v>
      </c>
      <c r="AK30">
        <f t="shared" si="23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13"/>
        <v>0.5948500000000001</v>
      </c>
      <c r="AQ30">
        <f t="shared" si="14"/>
        <v>0</v>
      </c>
      <c r="AR30">
        <f>IF(Y30="milkingCows", Constants!$P$2, Constants!$P$3)</f>
        <v>1</v>
      </c>
      <c r="AS30">
        <f t="shared" si="15"/>
        <v>6.9933802499999995</v>
      </c>
      <c r="AT30">
        <f t="shared" si="16"/>
        <v>1.1598645256363516</v>
      </c>
      <c r="AU30">
        <f>_xlfn.XLOOKUP(Y30, Constants!$B$13:$H$13, Constants!$B$14:$H$14, "")</f>
        <v>590</v>
      </c>
      <c r="AV30">
        <f t="shared" si="17"/>
        <v>0.59322033898305082</v>
      </c>
      <c r="AW30">
        <f>Constants!$B$55</f>
        <v>6.25</v>
      </c>
      <c r="AX30">
        <f t="shared" si="1"/>
        <v>9.4533842373449011E-3</v>
      </c>
      <c r="AY30">
        <f t="shared" si="2"/>
        <v>1.3986760499999999</v>
      </c>
      <c r="AZ30">
        <f t="shared" si="18"/>
        <v>0.21291060763723293</v>
      </c>
      <c r="BA30" t="str">
        <f>IF(ISNUMBER(FIND("PreWeaned",Y30)),_xlfn.XLOOKUP(Y30,Constants!$J$2:$J$3,Constants!$M$2:$M$3),"")</f>
        <v/>
      </c>
      <c r="BB30">
        <f t="shared" si="3"/>
        <v>11284.262204773346</v>
      </c>
      <c r="BC30">
        <f t="shared" si="4"/>
        <v>0</v>
      </c>
      <c r="BD30">
        <f t="shared" si="5"/>
        <v>0</v>
      </c>
      <c r="BE30">
        <f t="shared" si="6"/>
        <v>0</v>
      </c>
      <c r="BF30">
        <f t="shared" si="7"/>
        <v>0</v>
      </c>
      <c r="BG30">
        <f t="shared" si="8"/>
        <v>11284.262204773346</v>
      </c>
      <c r="BH30">
        <f>Constants!$D$19</f>
        <v>0.35</v>
      </c>
      <c r="BI30">
        <f>Constants!$D$20</f>
        <v>7.0000000000000007E-2</v>
      </c>
      <c r="BJ30">
        <f>Constants!$D$21</f>
        <v>0.2</v>
      </c>
      <c r="BK30">
        <f>Constants!$D$22</f>
        <v>0.3</v>
      </c>
      <c r="BL30">
        <f>Constants!$D$23</f>
        <v>0</v>
      </c>
      <c r="BM30">
        <f>Constants!$B$51</f>
        <v>0.21</v>
      </c>
      <c r="BN30">
        <f>Constants!$B$50</f>
        <v>1.57</v>
      </c>
      <c r="BO30">
        <f>_xlfn.XLOOKUP(C30,Constants!$A$27:$A$31,Constants!$B$27:$B$31)</f>
        <v>7.0000000000000001E-3</v>
      </c>
      <c r="BP30">
        <f t="shared" si="25"/>
        <v>0</v>
      </c>
      <c r="BQ30">
        <f t="shared" si="25"/>
        <v>0</v>
      </c>
      <c r="BR30">
        <f t="shared" si="25"/>
        <v>0</v>
      </c>
      <c r="BS30">
        <f t="shared" si="25"/>
        <v>0</v>
      </c>
      <c r="BT30">
        <f t="shared" si="25"/>
        <v>0</v>
      </c>
      <c r="BU30">
        <f t="shared" si="20"/>
        <v>2369.6950630024025</v>
      </c>
      <c r="BV30">
        <f t="shared" si="21"/>
        <v>0</v>
      </c>
      <c r="BW30">
        <f t="shared" si="22"/>
        <v>26.042948742396405</v>
      </c>
    </row>
    <row r="31" spans="1:76" x14ac:dyDescent="0.2">
      <c r="A31" t="str">
        <f>'Input Scenarios'!A96</f>
        <v>TAS</v>
      </c>
      <c r="B31" t="str">
        <f>'Input Scenarios'!B96</f>
        <v>10 or below</v>
      </c>
      <c r="C31" t="str">
        <f>'Input Scenarios'!C96</f>
        <v>Irrigated crop</v>
      </c>
      <c r="D31" t="str">
        <f>'Input Scenarios'!D96</f>
        <v>dry</v>
      </c>
      <c r="E31" t="b">
        <f>'Input Scenarios'!E96</f>
        <v>1</v>
      </c>
      <c r="G31">
        <f>'Input Scenarios'!G96</f>
        <v>0</v>
      </c>
      <c r="H31">
        <f>'Input Scenarios'!H96</f>
        <v>0.1</v>
      </c>
      <c r="I31">
        <f>'Input Scenarios'!I96</f>
        <v>0.9</v>
      </c>
      <c r="J31">
        <f>'Input Scenarios'!J96</f>
        <v>0.1</v>
      </c>
      <c r="K31">
        <f>'Input Scenarios'!K96</f>
        <v>0.2</v>
      </c>
      <c r="L31">
        <f>'Input Scenarios'!L96</f>
        <v>0.3</v>
      </c>
      <c r="M31">
        <f>'Input Scenarios'!M96</f>
        <v>0.4</v>
      </c>
      <c r="N31">
        <f>'Input Scenarios'!N96</f>
        <v>0.4</v>
      </c>
      <c r="O31">
        <f>'Input Scenarios'!O96</f>
        <v>0.3</v>
      </c>
      <c r="P31">
        <f>'Input Scenarios'!P96</f>
        <v>0.2</v>
      </c>
      <c r="Q31">
        <f>'Input Scenarios'!Q96</f>
        <v>0.1</v>
      </c>
      <c r="R31" t="b">
        <f>'Input Scenarios'!R31</f>
        <v>0</v>
      </c>
      <c r="S31">
        <f>IF('Input Scenarios'!S96&lt;&gt;"", 'Input Scenarios'!S96, IF(R96, Constants!$B$38, 0))</f>
        <v>0</v>
      </c>
      <c r="T31" t="str">
        <f>IF('Input Scenarios'!T96&lt;&gt;"", 'Input Scenarios'!T96, "")</f>
        <v/>
      </c>
      <c r="U31">
        <f>IF('Input Scenarios'!U96&lt;&gt;"", 'Input Scenarios'!U96, IF(W31&lt;&gt;"", "", Constants!$B$39))</f>
        <v>4</v>
      </c>
      <c r="V31">
        <f>IF('Input Scenarios'!V96&lt;&gt;"", 'Input Scenarios'!V96, IF(W31&lt;&gt;"", "", Constants!$B$40))</f>
        <v>3.3</v>
      </c>
      <c r="W31" t="str">
        <f>IF('Input Scenarios'!W96&lt;&gt;"", 'Input Scenarios'!W96, "")</f>
        <v/>
      </c>
      <c r="X31" t="str">
        <f>'Input Scenarios'!X96</f>
        <v>Illawarra/Aussie Red</v>
      </c>
      <c r="Y31" t="str">
        <f>'Input Scenarios'!Y96</f>
        <v>heifersLt1PreWeaned</v>
      </c>
      <c r="Z31">
        <f>'Input Scenarios'!Z96</f>
        <v>200</v>
      </c>
      <c r="AA31">
        <f>'Input Scenarios'!AA96</f>
        <v>100</v>
      </c>
      <c r="AB31">
        <f>'Input Scenarios'!AB96</f>
        <v>39</v>
      </c>
      <c r="AC31" t="str">
        <f>IF('Input Scenarios'!AC96&lt;&gt;"", 'Input Scenarios'!AC96, _xlfn.XLOOKUP(Y31, Constants!$B$13:$H$13, Constants!$B$15:$H$15, ""))</f>
        <v/>
      </c>
      <c r="AD31">
        <f>IF('Input Scenarios'!AD96&lt;&gt;"", 'Input Scenarios'!AD96, Constants!$B$45)</f>
        <v>0.75</v>
      </c>
      <c r="AE31">
        <f>IF('Input Scenarios'!AE96&lt;&gt;"", 'Input Scenarios'!AE96, Constants!$B$46)</f>
        <v>0.2</v>
      </c>
      <c r="AF31">
        <f t="shared" si="24"/>
        <v>0</v>
      </c>
      <c r="AG31">
        <f t="shared" si="24"/>
        <v>0</v>
      </c>
      <c r="AH31">
        <f t="shared" si="24"/>
        <v>0</v>
      </c>
      <c r="AI31">
        <f t="shared" si="24"/>
        <v>0</v>
      </c>
      <c r="AJ31">
        <f t="shared" si="11"/>
        <v>1</v>
      </c>
      <c r="AK31">
        <f t="shared" si="23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13"/>
        <v>0.5948500000000001</v>
      </c>
      <c r="AQ31">
        <f t="shared" si="14"/>
        <v>0</v>
      </c>
      <c r="AR31">
        <f>IF(Y31="milkingCows", Constants!$P$2, Constants!$P$3)</f>
        <v>1</v>
      </c>
      <c r="AS31" t="str">
        <f t="shared" si="15"/>
        <v/>
      </c>
      <c r="AT31" t="str">
        <f t="shared" si="16"/>
        <v/>
      </c>
      <c r="AU31" t="str">
        <f>_xlfn.XLOOKUP(Y31, Constants!$B$13:$H$13, Constants!$B$14:$H$14, "")</f>
        <v/>
      </c>
      <c r="AV31" t="str">
        <f t="shared" si="17"/>
        <v/>
      </c>
      <c r="AW31">
        <f>Constants!$B$55</f>
        <v>6.25</v>
      </c>
      <c r="AX31" t="str">
        <f t="shared" si="1"/>
        <v/>
      </c>
      <c r="AY31" t="str">
        <f t="shared" si="2"/>
        <v/>
      </c>
      <c r="AZ31" t="str">
        <f t="shared" si="18"/>
        <v/>
      </c>
      <c r="BA31">
        <f>IF(ISNUMBER(FIND("PreWeaned",Y31)),_xlfn.XLOOKUP(Y31,Constants!$J$2:$J$3,Constants!$M$2:$M$3),"")</f>
        <v>1.37E-2</v>
      </c>
      <c r="BB31">
        <f t="shared" si="3"/>
        <v>274</v>
      </c>
      <c r="BC31">
        <f t="shared" si="4"/>
        <v>0</v>
      </c>
      <c r="BD31">
        <f t="shared" si="5"/>
        <v>0</v>
      </c>
      <c r="BE31">
        <f t="shared" si="6"/>
        <v>0</v>
      </c>
      <c r="BF31">
        <f t="shared" si="7"/>
        <v>0</v>
      </c>
      <c r="BG31">
        <f t="shared" si="8"/>
        <v>274</v>
      </c>
      <c r="BH31">
        <f>Constants!$D$19</f>
        <v>0.35</v>
      </c>
      <c r="BI31">
        <f>Constants!$D$20</f>
        <v>7.0000000000000007E-2</v>
      </c>
      <c r="BJ31">
        <f>Constants!$D$21</f>
        <v>0.2</v>
      </c>
      <c r="BK31">
        <f>Constants!$D$22</f>
        <v>0.3</v>
      </c>
      <c r="BL31">
        <f>Constants!$D$23</f>
        <v>0</v>
      </c>
      <c r="BM31">
        <f>Constants!$B$51</f>
        <v>0.21</v>
      </c>
      <c r="BN31">
        <f>Constants!$B$50</f>
        <v>1.57</v>
      </c>
      <c r="BO31">
        <f>_xlfn.XLOOKUP(C31,Constants!$A$27:$A$31,Constants!$B$27:$B$31)</f>
        <v>7.0000000000000001E-3</v>
      </c>
      <c r="BP31">
        <f t="shared" si="25"/>
        <v>0</v>
      </c>
      <c r="BQ31">
        <f t="shared" si="25"/>
        <v>0</v>
      </c>
      <c r="BR31">
        <f t="shared" si="25"/>
        <v>0</v>
      </c>
      <c r="BS31">
        <f t="shared" si="25"/>
        <v>0</v>
      </c>
      <c r="BT31">
        <f t="shared" si="25"/>
        <v>0</v>
      </c>
      <c r="BU31">
        <f t="shared" si="20"/>
        <v>57.54</v>
      </c>
      <c r="BV31">
        <f t="shared" si="21"/>
        <v>0</v>
      </c>
      <c r="BW31">
        <f t="shared" si="22"/>
        <v>0.63236460000000005</v>
      </c>
    </row>
    <row r="32" spans="1:76" x14ac:dyDescent="0.2">
      <c r="A32" t="str">
        <f>'Input Scenarios'!A97</f>
        <v>TAS</v>
      </c>
      <c r="B32" t="str">
        <f>'Input Scenarios'!B97</f>
        <v>10 or below</v>
      </c>
      <c r="C32" t="str">
        <f>'Input Scenarios'!C97</f>
        <v>Irrigated crop</v>
      </c>
      <c r="D32" t="str">
        <f>'Input Scenarios'!D97</f>
        <v>dry</v>
      </c>
      <c r="E32" t="b">
        <f>'Input Scenarios'!E97</f>
        <v>1</v>
      </c>
      <c r="G32">
        <f>'Input Scenarios'!G97</f>
        <v>0</v>
      </c>
      <c r="H32">
        <f>'Input Scenarios'!H97</f>
        <v>0.1</v>
      </c>
      <c r="I32">
        <f>'Input Scenarios'!I97</f>
        <v>0.9</v>
      </c>
      <c r="J32">
        <f>'Input Scenarios'!J97</f>
        <v>0.1</v>
      </c>
      <c r="K32">
        <f>'Input Scenarios'!K97</f>
        <v>0.2</v>
      </c>
      <c r="L32">
        <f>'Input Scenarios'!L97</f>
        <v>0.3</v>
      </c>
      <c r="M32">
        <f>'Input Scenarios'!M97</f>
        <v>0.4</v>
      </c>
      <c r="N32">
        <f>'Input Scenarios'!N97</f>
        <v>0.4</v>
      </c>
      <c r="O32">
        <f>'Input Scenarios'!O97</f>
        <v>0.3</v>
      </c>
      <c r="P32">
        <f>'Input Scenarios'!P97</f>
        <v>0.2</v>
      </c>
      <c r="Q32">
        <f>'Input Scenarios'!Q97</f>
        <v>0.1</v>
      </c>
      <c r="R32" t="b">
        <f>'Input Scenarios'!R32</f>
        <v>0</v>
      </c>
      <c r="S32">
        <f>IF('Input Scenarios'!S97&lt;&gt;"", 'Input Scenarios'!S97, IF(R97, Constants!$B$38, 0))</f>
        <v>0</v>
      </c>
      <c r="T32" t="str">
        <f>IF('Input Scenarios'!T97&lt;&gt;"", 'Input Scenarios'!T97, "")</f>
        <v/>
      </c>
      <c r="U32">
        <f>IF('Input Scenarios'!U97&lt;&gt;"", 'Input Scenarios'!U97, IF(W32&lt;&gt;"", "", Constants!$B$39))</f>
        <v>4</v>
      </c>
      <c r="V32">
        <f>IF('Input Scenarios'!V97&lt;&gt;"", 'Input Scenarios'!V97, IF(W32&lt;&gt;"", "", Constants!$B$40))</f>
        <v>3.3</v>
      </c>
      <c r="W32" t="str">
        <f>IF('Input Scenarios'!W97&lt;&gt;"", 'Input Scenarios'!W97, "")</f>
        <v/>
      </c>
      <c r="X32" t="str">
        <f>'Input Scenarios'!X97</f>
        <v>Illawarra/Aussie Red</v>
      </c>
      <c r="Y32" t="str">
        <f>'Input Scenarios'!Y97</f>
        <v>heifersLt1Weaned</v>
      </c>
      <c r="Z32">
        <f>'Input Scenarios'!Z97</f>
        <v>200</v>
      </c>
      <c r="AA32">
        <f>'Input Scenarios'!AA97</f>
        <v>360</v>
      </c>
      <c r="AB32">
        <f>'Input Scenarios'!AB97</f>
        <v>145</v>
      </c>
      <c r="AC32">
        <f>IF('Input Scenarios'!AC97&lt;&gt;"", 'Input Scenarios'!AC97, _xlfn.XLOOKUP(Y32, Constants!$B$13:$H$13, Constants!$B$15:$H$15, ""))</f>
        <v>0.56999999999999995</v>
      </c>
      <c r="AD32">
        <f>IF('Input Scenarios'!AD97&lt;&gt;"", 'Input Scenarios'!AD97, Constants!$B$45)</f>
        <v>0.75</v>
      </c>
      <c r="AE32">
        <f>IF('Input Scenarios'!AE97&lt;&gt;"", 'Input Scenarios'!AE97, Constants!$B$46)</f>
        <v>0.2</v>
      </c>
      <c r="AF32">
        <f t="shared" si="24"/>
        <v>0</v>
      </c>
      <c r="AG32">
        <f t="shared" si="24"/>
        <v>0</v>
      </c>
      <c r="AH32">
        <f t="shared" si="24"/>
        <v>0</v>
      </c>
      <c r="AI32">
        <f t="shared" si="24"/>
        <v>0</v>
      </c>
      <c r="AJ32">
        <f t="shared" si="11"/>
        <v>1</v>
      </c>
      <c r="AK32">
        <f t="shared" si="23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13"/>
        <v>0.5948500000000001</v>
      </c>
      <c r="AQ32">
        <f t="shared" si="14"/>
        <v>0</v>
      </c>
      <c r="AR32">
        <f>IF(Y32="milkingCows", Constants!$P$2, Constants!$P$3)</f>
        <v>1</v>
      </c>
      <c r="AS32">
        <f t="shared" si="15"/>
        <v>3.8737521942250002</v>
      </c>
      <c r="AT32">
        <f t="shared" si="16"/>
        <v>1.2108445342325853</v>
      </c>
      <c r="AU32">
        <f>_xlfn.XLOOKUP(Y32, Constants!$B$13:$H$13, Constants!$B$14:$H$14, "")</f>
        <v>590</v>
      </c>
      <c r="AV32">
        <f t="shared" si="17"/>
        <v>0.24576271186440679</v>
      </c>
      <c r="AW32">
        <f>Constants!$B$55</f>
        <v>6.25</v>
      </c>
      <c r="AX32">
        <f t="shared" si="1"/>
        <v>1.4832686313540533E-2</v>
      </c>
      <c r="AY32">
        <f t="shared" si="2"/>
        <v>0.77475043884500006</v>
      </c>
      <c r="AZ32">
        <f t="shared" si="18"/>
        <v>0.10839195842696786</v>
      </c>
      <c r="BA32" t="str">
        <f>IF(ISNUMBER(FIND("PreWeaned",Y32)),_xlfn.XLOOKUP(Y32,Constants!$J$2:$J$3,Constants!$M$2:$M$3),"")</f>
        <v/>
      </c>
      <c r="BB32">
        <f t="shared" si="3"/>
        <v>7804.2210067416854</v>
      </c>
      <c r="BC32">
        <f t="shared" si="4"/>
        <v>0</v>
      </c>
      <c r="BD32">
        <f t="shared" si="5"/>
        <v>0</v>
      </c>
      <c r="BE32">
        <f t="shared" si="6"/>
        <v>0</v>
      </c>
      <c r="BF32">
        <f t="shared" si="7"/>
        <v>0</v>
      </c>
      <c r="BG32">
        <f t="shared" si="8"/>
        <v>7804.2210067416854</v>
      </c>
      <c r="BH32">
        <f>Constants!$D$19</f>
        <v>0.35</v>
      </c>
      <c r="BI32">
        <f>Constants!$D$20</f>
        <v>7.0000000000000007E-2</v>
      </c>
      <c r="BJ32">
        <f>Constants!$D$21</f>
        <v>0.2</v>
      </c>
      <c r="BK32">
        <f>Constants!$D$22</f>
        <v>0.3</v>
      </c>
      <c r="BL32">
        <f>Constants!$D$23</f>
        <v>0</v>
      </c>
      <c r="BM32">
        <f>Constants!$B$51</f>
        <v>0.21</v>
      </c>
      <c r="BN32">
        <f>Constants!$B$50</f>
        <v>1.57</v>
      </c>
      <c r="BO32">
        <f>_xlfn.XLOOKUP(C32,Constants!$A$27:$A$31,Constants!$B$27:$B$31)</f>
        <v>7.0000000000000001E-3</v>
      </c>
      <c r="BP32">
        <f t="shared" si="25"/>
        <v>0</v>
      </c>
      <c r="BQ32">
        <f t="shared" si="25"/>
        <v>0</v>
      </c>
      <c r="BR32">
        <f t="shared" si="25"/>
        <v>0</v>
      </c>
      <c r="BS32">
        <f t="shared" si="25"/>
        <v>0</v>
      </c>
      <c r="BT32">
        <f t="shared" si="25"/>
        <v>0</v>
      </c>
      <c r="BU32">
        <f t="shared" si="20"/>
        <v>1638.8864114157539</v>
      </c>
      <c r="BV32">
        <f t="shared" si="21"/>
        <v>0</v>
      </c>
      <c r="BW32">
        <f t="shared" si="22"/>
        <v>18.011361661459137</v>
      </c>
    </row>
    <row r="33" spans="1:76" x14ac:dyDescent="0.2">
      <c r="A33" t="str">
        <f>'Input Scenarios'!A98</f>
        <v>TAS</v>
      </c>
      <c r="B33" t="str">
        <f>'Input Scenarios'!B98</f>
        <v>10 or below</v>
      </c>
      <c r="C33" t="str">
        <f>'Input Scenarios'!C98</f>
        <v>Irrigated crop</v>
      </c>
      <c r="D33" t="str">
        <f>'Input Scenarios'!D98</f>
        <v>dry</v>
      </c>
      <c r="E33" t="b">
        <f>'Input Scenarios'!E98</f>
        <v>1</v>
      </c>
      <c r="G33">
        <f>'Input Scenarios'!G98</f>
        <v>0</v>
      </c>
      <c r="H33">
        <f>'Input Scenarios'!H98</f>
        <v>0.1</v>
      </c>
      <c r="I33">
        <f>'Input Scenarios'!I98</f>
        <v>0.9</v>
      </c>
      <c r="J33">
        <f>'Input Scenarios'!J98</f>
        <v>0.1</v>
      </c>
      <c r="K33">
        <f>'Input Scenarios'!K98</f>
        <v>0.2</v>
      </c>
      <c r="L33">
        <f>'Input Scenarios'!L98</f>
        <v>0.3</v>
      </c>
      <c r="M33">
        <f>'Input Scenarios'!M98</f>
        <v>0.4</v>
      </c>
      <c r="N33">
        <f>'Input Scenarios'!N98</f>
        <v>0.4</v>
      </c>
      <c r="O33">
        <f>'Input Scenarios'!O98</f>
        <v>0.3</v>
      </c>
      <c r="P33">
        <f>'Input Scenarios'!P98</f>
        <v>0.2</v>
      </c>
      <c r="Q33">
        <f>'Input Scenarios'!Q98</f>
        <v>0.1</v>
      </c>
      <c r="R33" t="b">
        <f>'Input Scenarios'!R33</f>
        <v>0</v>
      </c>
      <c r="S33">
        <f>IF('Input Scenarios'!S98&lt;&gt;"", 'Input Scenarios'!S98, IF(R98, Constants!$B$38, 0))</f>
        <v>0</v>
      </c>
      <c r="T33" t="str">
        <f>IF('Input Scenarios'!T98&lt;&gt;"", 'Input Scenarios'!T98, "")</f>
        <v/>
      </c>
      <c r="U33">
        <f>IF('Input Scenarios'!U98&lt;&gt;"", 'Input Scenarios'!U98, IF(W33&lt;&gt;"", "", Constants!$B$39))</f>
        <v>4</v>
      </c>
      <c r="V33">
        <f>IF('Input Scenarios'!V98&lt;&gt;"", 'Input Scenarios'!V98, IF(W33&lt;&gt;"", "", Constants!$B$40))</f>
        <v>3.3</v>
      </c>
      <c r="W33" t="str">
        <f>IF('Input Scenarios'!W98&lt;&gt;"", 'Input Scenarios'!W98, "")</f>
        <v/>
      </c>
      <c r="X33" t="str">
        <f>'Input Scenarios'!X98</f>
        <v>Illawarra/Aussie Red</v>
      </c>
      <c r="Y33" t="str">
        <f>'Input Scenarios'!Y98</f>
        <v>bullsGt1</v>
      </c>
      <c r="Z33">
        <f>'Input Scenarios'!Z98</f>
        <v>200</v>
      </c>
      <c r="AA33">
        <f>'Input Scenarios'!AA98</f>
        <v>345</v>
      </c>
      <c r="AB33">
        <f>'Input Scenarios'!AB98</f>
        <v>575</v>
      </c>
      <c r="AC33">
        <f>IF('Input Scenarios'!AC98&lt;&gt;"", 'Input Scenarios'!AC98, _xlfn.XLOOKUP(Y33, Constants!$B$13:$H$13, Constants!$B$15:$H$15, ""))</f>
        <v>0.1</v>
      </c>
      <c r="AD33">
        <f>IF('Input Scenarios'!AD98&lt;&gt;"", 'Input Scenarios'!AD98, Constants!$B$45)</f>
        <v>0.75</v>
      </c>
      <c r="AE33">
        <f>IF('Input Scenarios'!AE98&lt;&gt;"", 'Input Scenarios'!AE98, Constants!$B$46)</f>
        <v>0.2</v>
      </c>
      <c r="AF33">
        <f t="shared" si="24"/>
        <v>0</v>
      </c>
      <c r="AG33">
        <f t="shared" si="24"/>
        <v>0</v>
      </c>
      <c r="AH33">
        <f t="shared" si="24"/>
        <v>0</v>
      </c>
      <c r="AI33">
        <f t="shared" si="24"/>
        <v>0</v>
      </c>
      <c r="AJ33">
        <f t="shared" si="11"/>
        <v>1</v>
      </c>
      <c r="AK33">
        <f t="shared" si="23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13"/>
        <v>0.5948500000000001</v>
      </c>
      <c r="AQ33">
        <f t="shared" si="14"/>
        <v>0</v>
      </c>
      <c r="AR33">
        <f>IF(Y33="milkingCows", Constants!$P$2, Constants!$P$3)</f>
        <v>1</v>
      </c>
      <c r="AS33">
        <f t="shared" si="15"/>
        <v>8.805314390625</v>
      </c>
      <c r="AT33">
        <f t="shared" si="16"/>
        <v>1.0215737979983797</v>
      </c>
      <c r="AU33">
        <f>_xlfn.XLOOKUP(Y33, Constants!$B$13:$H$13, Constants!$B$14:$H$14, "")</f>
        <v>770</v>
      </c>
      <c r="AV33">
        <f t="shared" si="17"/>
        <v>0.74675324675324672</v>
      </c>
      <c r="AW33">
        <f>Constants!$B$55</f>
        <v>6.25</v>
      </c>
      <c r="AX33">
        <f t="shared" si="1"/>
        <v>1.3013883723884015E-3</v>
      </c>
      <c r="AY33">
        <f t="shared" si="2"/>
        <v>1.7610628781250002</v>
      </c>
      <c r="AZ33">
        <f t="shared" si="18"/>
        <v>0.27840203821677945</v>
      </c>
      <c r="BA33" t="str">
        <f>IF(ISNUMBER(FIND("PreWeaned",Y33)),_xlfn.XLOOKUP(Y33,Constants!$J$2:$J$3,Constants!$M$2:$M$3),"")</f>
        <v/>
      </c>
      <c r="BB33">
        <f t="shared" si="3"/>
        <v>19209.740636957784</v>
      </c>
      <c r="BC33">
        <f t="shared" si="4"/>
        <v>0</v>
      </c>
      <c r="BD33">
        <f t="shared" si="5"/>
        <v>0</v>
      </c>
      <c r="BE33">
        <f t="shared" si="6"/>
        <v>0</v>
      </c>
      <c r="BF33">
        <f t="shared" si="7"/>
        <v>0</v>
      </c>
      <c r="BG33">
        <f t="shared" si="8"/>
        <v>19209.740636957784</v>
      </c>
      <c r="BH33">
        <f>Constants!$D$19</f>
        <v>0.35</v>
      </c>
      <c r="BI33">
        <f>Constants!$D$20</f>
        <v>7.0000000000000007E-2</v>
      </c>
      <c r="BJ33">
        <f>Constants!$D$21</f>
        <v>0.2</v>
      </c>
      <c r="BK33">
        <f>Constants!$D$22</f>
        <v>0.3</v>
      </c>
      <c r="BL33">
        <f>Constants!$D$23</f>
        <v>0</v>
      </c>
      <c r="BM33">
        <f>Constants!$B$51</f>
        <v>0.21</v>
      </c>
      <c r="BN33">
        <f>Constants!$B$50</f>
        <v>1.57</v>
      </c>
      <c r="BO33">
        <f>_xlfn.XLOOKUP(C33,Constants!$A$27:$A$31,Constants!$B$27:$B$31)</f>
        <v>7.0000000000000001E-3</v>
      </c>
      <c r="BP33">
        <f t="shared" si="25"/>
        <v>0</v>
      </c>
      <c r="BQ33">
        <f t="shared" si="25"/>
        <v>0</v>
      </c>
      <c r="BR33">
        <f t="shared" si="25"/>
        <v>0</v>
      </c>
      <c r="BS33">
        <f t="shared" si="25"/>
        <v>0</v>
      </c>
      <c r="BT33">
        <f t="shared" si="25"/>
        <v>0</v>
      </c>
      <c r="BU33">
        <f t="shared" si="20"/>
        <v>4034.0455337611343</v>
      </c>
      <c r="BV33">
        <f t="shared" si="21"/>
        <v>0</v>
      </c>
      <c r="BW33">
        <f t="shared" si="22"/>
        <v>44.334160416034869</v>
      </c>
    </row>
    <row r="34" spans="1:76" x14ac:dyDescent="0.2">
      <c r="A34" t="str">
        <f>'Input Scenarios'!A99</f>
        <v>TAS</v>
      </c>
      <c r="B34" t="str">
        <f>'Input Scenarios'!B99</f>
        <v>10 or below</v>
      </c>
      <c r="C34" t="str">
        <f>'Input Scenarios'!C99</f>
        <v>Irrigated crop</v>
      </c>
      <c r="D34" t="str">
        <f>'Input Scenarios'!D99</f>
        <v>dry</v>
      </c>
      <c r="E34" t="b">
        <f>'Input Scenarios'!E99</f>
        <v>1</v>
      </c>
      <c r="G34">
        <f>'Input Scenarios'!G99</f>
        <v>0</v>
      </c>
      <c r="H34">
        <f>'Input Scenarios'!H99</f>
        <v>0.1</v>
      </c>
      <c r="I34">
        <f>'Input Scenarios'!I99</f>
        <v>0.9</v>
      </c>
      <c r="J34">
        <f>'Input Scenarios'!J99</f>
        <v>0.1</v>
      </c>
      <c r="K34">
        <f>'Input Scenarios'!K99</f>
        <v>0.2</v>
      </c>
      <c r="L34">
        <f>'Input Scenarios'!L99</f>
        <v>0.3</v>
      </c>
      <c r="M34">
        <f>'Input Scenarios'!M99</f>
        <v>0.4</v>
      </c>
      <c r="N34">
        <f>'Input Scenarios'!N99</f>
        <v>0.4</v>
      </c>
      <c r="O34">
        <f>'Input Scenarios'!O99</f>
        <v>0.3</v>
      </c>
      <c r="P34">
        <f>'Input Scenarios'!P99</f>
        <v>0.2</v>
      </c>
      <c r="Q34">
        <f>'Input Scenarios'!Q99</f>
        <v>0.1</v>
      </c>
      <c r="R34" t="b">
        <f>'Input Scenarios'!R34</f>
        <v>0</v>
      </c>
      <c r="S34">
        <f>IF('Input Scenarios'!S99&lt;&gt;"", 'Input Scenarios'!S99, IF(R99, Constants!$B$38, 0))</f>
        <v>0</v>
      </c>
      <c r="T34" t="str">
        <f>IF('Input Scenarios'!T99&lt;&gt;"", 'Input Scenarios'!T99, "")</f>
        <v/>
      </c>
      <c r="U34">
        <f>IF('Input Scenarios'!U99&lt;&gt;"", 'Input Scenarios'!U99, IF(W34&lt;&gt;"", "", Constants!$B$39))</f>
        <v>4</v>
      </c>
      <c r="V34">
        <f>IF('Input Scenarios'!V99&lt;&gt;"", 'Input Scenarios'!V99, IF(W34&lt;&gt;"", "", Constants!$B$40))</f>
        <v>3.3</v>
      </c>
      <c r="W34" t="str">
        <f>IF('Input Scenarios'!W99&lt;&gt;"", 'Input Scenarios'!W99, "")</f>
        <v/>
      </c>
      <c r="X34" t="str">
        <f>'Input Scenarios'!X99</f>
        <v>Illawarra/Aussie Red</v>
      </c>
      <c r="Y34" t="str">
        <f>'Input Scenarios'!Y99</f>
        <v>bullsLt1PreWeaned</v>
      </c>
      <c r="Z34">
        <f>'Input Scenarios'!Z99</f>
        <v>200</v>
      </c>
      <c r="AA34">
        <f>'Input Scenarios'!AA99</f>
        <v>124</v>
      </c>
      <c r="AB34">
        <f>'Input Scenarios'!AB99</f>
        <v>225</v>
      </c>
      <c r="AC34" t="str">
        <f>IF('Input Scenarios'!AC99&lt;&gt;"", 'Input Scenarios'!AC99, _xlfn.XLOOKUP(Y34, Constants!$B$13:$H$13, Constants!$B$15:$H$15, ""))</f>
        <v/>
      </c>
      <c r="AD34">
        <f>IF('Input Scenarios'!AD99&lt;&gt;"", 'Input Scenarios'!AD99, Constants!$B$45)</f>
        <v>0.75</v>
      </c>
      <c r="AE34">
        <f>IF('Input Scenarios'!AE99&lt;&gt;"", 'Input Scenarios'!AE99, Constants!$B$46)</f>
        <v>0.2</v>
      </c>
      <c r="AF34">
        <f t="shared" si="24"/>
        <v>0</v>
      </c>
      <c r="AG34">
        <f t="shared" si="24"/>
        <v>0</v>
      </c>
      <c r="AH34">
        <f t="shared" si="24"/>
        <v>0</v>
      </c>
      <c r="AI34">
        <f t="shared" si="24"/>
        <v>0</v>
      </c>
      <c r="AJ34">
        <f t="shared" si="11"/>
        <v>1</v>
      </c>
      <c r="AK34">
        <f t="shared" si="23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13"/>
        <v>0.5948500000000001</v>
      </c>
      <c r="AQ34">
        <f t="shared" si="14"/>
        <v>0</v>
      </c>
      <c r="AR34">
        <f>IF(Y34="milkingCows", Constants!$P$2, Constants!$P$3)</f>
        <v>1</v>
      </c>
      <c r="AS34" t="str">
        <f t="shared" si="15"/>
        <v/>
      </c>
      <c r="AT34" t="str">
        <f t="shared" si="16"/>
        <v/>
      </c>
      <c r="AU34" t="str">
        <f>_xlfn.XLOOKUP(Y34, Constants!$B$13:$H$13, Constants!$B$14:$H$14, "")</f>
        <v/>
      </c>
      <c r="AV34" t="str">
        <f t="shared" si="17"/>
        <v/>
      </c>
      <c r="AW34">
        <f>Constants!$B$55</f>
        <v>6.25</v>
      </c>
      <c r="AX34" t="str">
        <f t="shared" si="1"/>
        <v/>
      </c>
      <c r="AY34" t="str">
        <f t="shared" si="2"/>
        <v/>
      </c>
      <c r="AZ34" t="str">
        <f t="shared" si="18"/>
        <v/>
      </c>
      <c r="BA34">
        <f>IF(ISNUMBER(FIND("PreWeaned",Y34)),_xlfn.XLOOKUP(Y34,Constants!$J$2:$J$3,Constants!$M$2:$M$3),"")</f>
        <v>9.1999999999999998E-3</v>
      </c>
      <c r="BB34">
        <f t="shared" si="3"/>
        <v>228.15999999999997</v>
      </c>
      <c r="BC34">
        <f t="shared" si="4"/>
        <v>0</v>
      </c>
      <c r="BD34">
        <f t="shared" si="5"/>
        <v>0</v>
      </c>
      <c r="BE34">
        <f t="shared" si="6"/>
        <v>0</v>
      </c>
      <c r="BF34">
        <f t="shared" si="7"/>
        <v>0</v>
      </c>
      <c r="BG34">
        <f t="shared" si="8"/>
        <v>228.15999999999997</v>
      </c>
      <c r="BH34">
        <f>Constants!$D$19</f>
        <v>0.35</v>
      </c>
      <c r="BI34">
        <f>Constants!$D$20</f>
        <v>7.0000000000000007E-2</v>
      </c>
      <c r="BJ34">
        <f>Constants!$D$21</f>
        <v>0.2</v>
      </c>
      <c r="BK34">
        <f>Constants!$D$22</f>
        <v>0.3</v>
      </c>
      <c r="BL34">
        <f>Constants!$D$23</f>
        <v>0</v>
      </c>
      <c r="BM34">
        <f>Constants!$B$51</f>
        <v>0.21</v>
      </c>
      <c r="BN34">
        <f>Constants!$B$50</f>
        <v>1.57</v>
      </c>
      <c r="BO34">
        <f>_xlfn.XLOOKUP(C34,Constants!$A$27:$A$31,Constants!$B$27:$B$31)</f>
        <v>7.0000000000000001E-3</v>
      </c>
      <c r="BP34">
        <f t="shared" si="25"/>
        <v>0</v>
      </c>
      <c r="BQ34">
        <f t="shared" si="25"/>
        <v>0</v>
      </c>
      <c r="BR34">
        <f t="shared" si="25"/>
        <v>0</v>
      </c>
      <c r="BS34">
        <f t="shared" si="25"/>
        <v>0</v>
      </c>
      <c r="BT34">
        <f t="shared" si="25"/>
        <v>0</v>
      </c>
      <c r="BU34">
        <f t="shared" si="20"/>
        <v>47.913599999999988</v>
      </c>
      <c r="BV34">
        <f t="shared" si="21"/>
        <v>0</v>
      </c>
      <c r="BW34">
        <f t="shared" si="22"/>
        <v>0.52657046399999996</v>
      </c>
    </row>
    <row r="35" spans="1:76" s="16" customFormat="1" x14ac:dyDescent="0.2">
      <c r="A35" s="16" t="str">
        <f>'Input Scenarios'!A100</f>
        <v>TAS</v>
      </c>
      <c r="B35" s="16" t="str">
        <f>'Input Scenarios'!B100</f>
        <v>10 or below</v>
      </c>
      <c r="C35" s="16" t="str">
        <f>'Input Scenarios'!C100</f>
        <v>Irrigated crop</v>
      </c>
      <c r="D35" s="16" t="str">
        <f>'Input Scenarios'!D100</f>
        <v>dry</v>
      </c>
      <c r="E35" s="16" t="b">
        <f>'Input Scenarios'!E100</f>
        <v>1</v>
      </c>
      <c r="G35" s="16">
        <f>'Input Scenarios'!G100</f>
        <v>0</v>
      </c>
      <c r="H35" s="16">
        <f>'Input Scenarios'!H100</f>
        <v>0.1</v>
      </c>
      <c r="I35" s="16">
        <f>'Input Scenarios'!I100</f>
        <v>0.9</v>
      </c>
      <c r="J35" s="16">
        <f>'Input Scenarios'!J100</f>
        <v>0.1</v>
      </c>
      <c r="K35" s="16">
        <f>'Input Scenarios'!K100</f>
        <v>0.2</v>
      </c>
      <c r="L35" s="16">
        <f>'Input Scenarios'!L100</f>
        <v>0.3</v>
      </c>
      <c r="M35" s="16">
        <f>'Input Scenarios'!M100</f>
        <v>0.4</v>
      </c>
      <c r="N35" s="16">
        <f>'Input Scenarios'!N100</f>
        <v>0.4</v>
      </c>
      <c r="O35" s="16">
        <f>'Input Scenarios'!O100</f>
        <v>0.3</v>
      </c>
      <c r="P35" s="16">
        <f>'Input Scenarios'!P100</f>
        <v>0.2</v>
      </c>
      <c r="Q35" s="16">
        <f>'Input Scenarios'!Q100</f>
        <v>0.1</v>
      </c>
      <c r="R35" s="16" t="b">
        <f>'Input Scenarios'!R35</f>
        <v>0</v>
      </c>
      <c r="S35" s="16">
        <f>IF('Input Scenarios'!S100&lt;&gt;"", 'Input Scenarios'!S100, IF(R100, Constants!$B$38, 0))</f>
        <v>0</v>
      </c>
      <c r="T35" s="16" t="str">
        <f>IF('Input Scenarios'!T100&lt;&gt;"", 'Input Scenarios'!T100, "")</f>
        <v/>
      </c>
      <c r="U35" s="16">
        <f>IF('Input Scenarios'!U100&lt;&gt;"", 'Input Scenarios'!U100, IF(W35&lt;&gt;"", "", Constants!$B$39))</f>
        <v>4</v>
      </c>
      <c r="V35" s="16">
        <f>IF('Input Scenarios'!V100&lt;&gt;"", 'Input Scenarios'!V100, IF(W35&lt;&gt;"", "", Constants!$B$40))</f>
        <v>3.3</v>
      </c>
      <c r="W35" s="16" t="str">
        <f>IF('Input Scenarios'!W100&lt;&gt;"", 'Input Scenarios'!W100, "")</f>
        <v/>
      </c>
      <c r="X35" s="16" t="str">
        <f>'Input Scenarios'!X100</f>
        <v>Illawarra/Aussie Red</v>
      </c>
      <c r="Y35" s="16" t="str">
        <f>'Input Scenarios'!Y100</f>
        <v>bullsLt1Weaned</v>
      </c>
      <c r="Z35" s="16">
        <f>'Input Scenarios'!Z100</f>
        <v>200</v>
      </c>
      <c r="AA35" s="16">
        <f>'Input Scenarios'!AA100</f>
        <v>294</v>
      </c>
      <c r="AB35" s="16">
        <f>'Input Scenarios'!AB100</f>
        <v>225</v>
      </c>
      <c r="AC35" s="16">
        <f>IF('Input Scenarios'!AC100&lt;&gt;"", 'Input Scenarios'!AC100, _xlfn.XLOOKUP(Y35, Constants!$B$13:$H$13, Constants!$B$15:$H$15, ""))</f>
        <v>0.8</v>
      </c>
      <c r="AD35" s="16">
        <f>IF('Input Scenarios'!AD100&lt;&gt;"", 'Input Scenarios'!AD100, Constants!$B$45)</f>
        <v>0.75</v>
      </c>
      <c r="AE35" s="16">
        <f>IF('Input Scenarios'!AE100&lt;&gt;"", 'Input Scenarios'!AE100, Constants!$B$46)</f>
        <v>0.2</v>
      </c>
      <c r="AF35" s="16">
        <f t="shared" si="24"/>
        <v>0</v>
      </c>
      <c r="AG35" s="16">
        <f t="shared" si="24"/>
        <v>0</v>
      </c>
      <c r="AH35" s="16">
        <f t="shared" si="24"/>
        <v>0</v>
      </c>
      <c r="AI35" s="16">
        <f t="shared" si="24"/>
        <v>0</v>
      </c>
      <c r="AJ35" s="16">
        <f t="shared" si="11"/>
        <v>1</v>
      </c>
      <c r="AK35" s="16">
        <f t="shared" si="23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13"/>
        <v>0.5948500000000001</v>
      </c>
      <c r="AQ35" s="16">
        <f t="shared" si="14"/>
        <v>0</v>
      </c>
      <c r="AR35" s="16">
        <f>IF(Y35="milkingCows", Constants!$P$2, Constants!$P$3)</f>
        <v>1</v>
      </c>
      <c r="AS35" s="16">
        <f t="shared" si="15"/>
        <v>5.4143472656250013</v>
      </c>
      <c r="AT35" s="16">
        <f t="shared" si="16"/>
        <v>1.2576570545672616</v>
      </c>
      <c r="AU35" s="16">
        <f>_xlfn.XLOOKUP(Y35, Constants!$B$13:$H$13, Constants!$B$14:$H$14, "")</f>
        <v>770</v>
      </c>
      <c r="AV35" s="16">
        <f t="shared" si="17"/>
        <v>0.29220779220779219</v>
      </c>
      <c r="AW35" s="16">
        <f>Constants!$B$55</f>
        <v>6.25</v>
      </c>
      <c r="AX35" s="16">
        <f t="shared" si="1"/>
        <v>1.9757354894894084E-2</v>
      </c>
      <c r="AY35" s="16">
        <f t="shared" si="2"/>
        <v>1.0828694531250003</v>
      </c>
      <c r="AZ35" s="16">
        <f t="shared" si="18"/>
        <v>0.15247929000170721</v>
      </c>
      <c r="BA35" s="16" t="str">
        <f>IF(ISNUMBER(FIND("PreWeaned",Y35)),_xlfn.XLOOKUP(Y35,Constants!$J$2:$J$3,Constants!$M$2:$M$3),"")</f>
        <v/>
      </c>
      <c r="BB35" s="16">
        <f t="shared" si="3"/>
        <v>8965.7822521003836</v>
      </c>
      <c r="BC35" s="16">
        <f t="shared" si="4"/>
        <v>0</v>
      </c>
      <c r="BD35" s="16">
        <f t="shared" si="5"/>
        <v>0</v>
      </c>
      <c r="BE35" s="16">
        <f t="shared" si="6"/>
        <v>0</v>
      </c>
      <c r="BF35" s="16">
        <f t="shared" si="7"/>
        <v>0</v>
      </c>
      <c r="BG35" s="16">
        <f t="shared" si="8"/>
        <v>8965.7822521003836</v>
      </c>
      <c r="BH35" s="16">
        <f>Constants!$D$19</f>
        <v>0.35</v>
      </c>
      <c r="BI35" s="16">
        <f>Constants!$D$20</f>
        <v>7.0000000000000007E-2</v>
      </c>
      <c r="BJ35" s="16">
        <f>Constants!$D$21</f>
        <v>0.2</v>
      </c>
      <c r="BK35" s="16">
        <f>Constants!$D$22</f>
        <v>0.3</v>
      </c>
      <c r="BL35" s="16">
        <f>Constants!$D$23</f>
        <v>0</v>
      </c>
      <c r="BM35" s="16">
        <f>Constants!$B$51</f>
        <v>0.21</v>
      </c>
      <c r="BN35" s="16">
        <f>Constants!$B$50</f>
        <v>1.57</v>
      </c>
      <c r="BO35" s="16">
        <f>_xlfn.XLOOKUP(C35,Constants!$A$27:$A$31,Constants!$B$27:$B$31)</f>
        <v>7.0000000000000001E-3</v>
      </c>
      <c r="BP35" s="16">
        <f t="shared" si="25"/>
        <v>0</v>
      </c>
      <c r="BQ35" s="16">
        <f t="shared" si="25"/>
        <v>0</v>
      </c>
      <c r="BR35" s="16">
        <f t="shared" si="25"/>
        <v>0</v>
      </c>
      <c r="BS35" s="16">
        <f t="shared" si="25"/>
        <v>0</v>
      </c>
      <c r="BT35" s="16">
        <f t="shared" si="25"/>
        <v>0</v>
      </c>
      <c r="BU35" s="16">
        <f t="shared" si="20"/>
        <v>1882.8142729410804</v>
      </c>
      <c r="BV35" s="16">
        <f t="shared" si="21"/>
        <v>0</v>
      </c>
      <c r="BW35" s="16">
        <f t="shared" si="22"/>
        <v>20.692128859622475</v>
      </c>
    </row>
    <row r="36" spans="1:76" x14ac:dyDescent="0.2">
      <c r="A36" t="str">
        <f>'Input Scenarios'!A101</f>
        <v>VIC</v>
      </c>
      <c r="B36">
        <f>'Input Scenarios'!B101</f>
        <v>14</v>
      </c>
      <c r="C36" t="str">
        <f>'Input Scenarios'!C101</f>
        <v>Non-irrigated pasture</v>
      </c>
      <c r="D36" t="str">
        <f>'Input Scenarios'!D101</f>
        <v>wet</v>
      </c>
      <c r="E36" t="b">
        <f>'Input Scenarios'!E101</f>
        <v>0</v>
      </c>
      <c r="G36">
        <f>'Input Scenarios'!G101</f>
        <v>0.43</v>
      </c>
      <c r="H36">
        <f>'Input Scenarios'!H101</f>
        <v>0.14000000000000001</v>
      </c>
      <c r="I36">
        <f>'Input Scenarios'!I101</f>
        <v>0.43</v>
      </c>
      <c r="J36">
        <f>'Input Scenarios'!J101</f>
        <v>0.25</v>
      </c>
      <c r="K36">
        <f>'Input Scenarios'!K101</f>
        <v>0.25</v>
      </c>
      <c r="L36">
        <f>'Input Scenarios'!L101</f>
        <v>0.25</v>
      </c>
      <c r="M36">
        <f>'Input Scenarios'!M101</f>
        <v>0.25</v>
      </c>
      <c r="N36">
        <f>'Input Scenarios'!N101</f>
        <v>0.25</v>
      </c>
      <c r="O36">
        <f>'Input Scenarios'!O101</f>
        <v>0.25</v>
      </c>
      <c r="P36">
        <f>'Input Scenarios'!P101</f>
        <v>0.25</v>
      </c>
      <c r="Q36">
        <f>'Input Scenarios'!Q101</f>
        <v>0.25</v>
      </c>
      <c r="R36" t="b">
        <f>'Input Scenarios'!R36</f>
        <v>1</v>
      </c>
      <c r="S36">
        <f>IF('Input Scenarios'!S101&lt;&gt;"", 'Input Scenarios'!S101, IF(R101, Constants!$B$38, 0))</f>
        <v>0.18</v>
      </c>
      <c r="T36" s="20" t="str">
        <f>IF('Input Scenarios'!T101&lt;&gt;"", 'Input Scenarios'!T101, "")</f>
        <v/>
      </c>
      <c r="U36" s="20" t="str">
        <f>IF('Input Scenarios'!U101&lt;&gt;"", 'Input Scenarios'!U101, IF(W36&lt;&gt;"", "", Constants!$B$39))</f>
        <v/>
      </c>
      <c r="V36" s="20" t="str">
        <f>IF('Input Scenarios'!V101&lt;&gt;"", 'Input Scenarios'!V101, IF(W36&lt;&gt;"", "", Constants!$B$40))</f>
        <v/>
      </c>
      <c r="W36" s="20">
        <f>IF('Input Scenarios'!W101&lt;&gt;"", 'Input Scenarios'!W101, "")</f>
        <v>30</v>
      </c>
      <c r="X36" s="20" t="str">
        <f>'Input Scenarios'!X101</f>
        <v>Jersey</v>
      </c>
      <c r="Y36" s="20" t="str">
        <f>'Input Scenarios'!Y101</f>
        <v>milkingCows</v>
      </c>
      <c r="Z36" s="20">
        <f>'Input Scenarios'!Z101</f>
        <v>200</v>
      </c>
      <c r="AA36" s="20">
        <f>'Input Scenarios'!AA101</f>
        <v>365</v>
      </c>
      <c r="AB36" s="20">
        <f>'Input Scenarios'!AB101</f>
        <v>400</v>
      </c>
      <c r="AC36">
        <f>IF('Input Scenarios'!AC101&lt;&gt;"", 'Input Scenarios'!AC101, _xlfn.XLOOKUP(Y36, Constants!$B$13:$H$13, Constants!$B$15:$H$15, ""))</f>
        <v>1.6E-2</v>
      </c>
      <c r="AD36">
        <f>IF('Input Scenarios'!AD101&lt;&gt;"", 'Input Scenarios'!AD101, Constants!$B$45)</f>
        <v>0.75</v>
      </c>
      <c r="AE36">
        <f>IF('Input Scenarios'!AE101&lt;&gt;"", 'Input Scenarios'!AE101, Constants!$B$46)</f>
        <v>0.2</v>
      </c>
      <c r="AF36" s="20">
        <f>IF($Y36="milkingCows",($H36*J36)+($I36*N36), 0)</f>
        <v>0.14250000000000002</v>
      </c>
      <c r="AG36" s="20">
        <f t="shared" si="24"/>
        <v>0.14250000000000002</v>
      </c>
      <c r="AH36" s="20">
        <f t="shared" si="24"/>
        <v>0.14250000000000002</v>
      </c>
      <c r="AI36" s="20">
        <f t="shared" si="24"/>
        <v>0.14250000000000002</v>
      </c>
      <c r="AJ36" s="20">
        <f>IF($Y36="milkingCows",G36, 1)</f>
        <v>0.43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 t="shared" si="13"/>
        <v>0.5948500000000001</v>
      </c>
      <c r="AQ36">
        <f t="shared" si="14"/>
        <v>14.369808245410789</v>
      </c>
      <c r="AR36">
        <f>IF(Y36="milkingCows", Constants!$P$2, Constants!$P$3)</f>
        <v>1.1000000000000001</v>
      </c>
      <c r="AS36">
        <f t="shared" si="15"/>
        <v>21.748946167170789</v>
      </c>
      <c r="AT36">
        <f t="shared" si="16"/>
        <v>1.001320906258945</v>
      </c>
      <c r="AU36">
        <f>_xlfn.XLOOKUP(Y36, Constants!$B$13:$H$13, Constants!$B$14:$H$14, "")</f>
        <v>590</v>
      </c>
      <c r="AV36">
        <f t="shared" si="17"/>
        <v>0.67796610169491522</v>
      </c>
      <c r="AW36">
        <f>Constants!$B$55</f>
        <v>6.25</v>
      </c>
      <c r="AX36" s="20">
        <f t="shared" si="1"/>
        <v>0.1552092207973319</v>
      </c>
      <c r="AY36">
        <f t="shared" si="2"/>
        <v>4.3497892334341577</v>
      </c>
      <c r="AZ36">
        <f>IF(ISNUMBER(FIND("PreWeaned",Y36)),"", MAX((AY36/AW36)-AX36-(((1.1*10^-4)*(AB36^0.75))/AW36), 0))</f>
        <v>0.53918286469597354</v>
      </c>
      <c r="BA36" t="str">
        <f>IF(ISNUMBER(FIND("PreWeaned",Y36)),_xlfn.XLOOKUP(Y36,Constants!$J$2:$J$3,Constants!$M$2:$M$3),"")</f>
        <v/>
      </c>
      <c r="BB36">
        <f t="shared" si="3"/>
        <v>39360.349122806067</v>
      </c>
      <c r="BC36">
        <f t="shared" si="4"/>
        <v>5608.8497499998648</v>
      </c>
      <c r="BD36">
        <f t="shared" si="5"/>
        <v>5608.8497499998648</v>
      </c>
      <c r="BE36">
        <f t="shared" si="6"/>
        <v>5608.8497499998648</v>
      </c>
      <c r="BF36">
        <f t="shared" si="7"/>
        <v>5608.8497499998648</v>
      </c>
      <c r="BG36">
        <f t="shared" si="8"/>
        <v>16924.950122806607</v>
      </c>
      <c r="BH36">
        <f>Constants!$D$19</f>
        <v>0.35</v>
      </c>
      <c r="BI36">
        <f>Constants!$D$20</f>
        <v>7.0000000000000007E-2</v>
      </c>
      <c r="BJ36">
        <f>Constants!$D$21</f>
        <v>0.2</v>
      </c>
      <c r="BK36">
        <f>Constants!$D$22</f>
        <v>0.3</v>
      </c>
      <c r="BL36">
        <f>Constants!$D$23</f>
        <v>0</v>
      </c>
      <c r="BM36">
        <f>Constants!$B$51</f>
        <v>0.21</v>
      </c>
      <c r="BN36">
        <f>Constants!$B$50</f>
        <v>1.57</v>
      </c>
      <c r="BO36">
        <f>_xlfn.XLOOKUP(C36,Constants!$A$27:$A$31,Constants!$B$27:$B$31)</f>
        <v>1.8E-3</v>
      </c>
      <c r="BP36">
        <f t="shared" si="25"/>
        <v>1963.0974124999525</v>
      </c>
      <c r="BQ36">
        <f t="shared" si="25"/>
        <v>392.61948249999057</v>
      </c>
      <c r="BR36">
        <f t="shared" si="25"/>
        <v>1121.7699499999731</v>
      </c>
      <c r="BS36">
        <f t="shared" si="25"/>
        <v>1682.6549249999593</v>
      </c>
      <c r="BT36">
        <f t="shared" si="25"/>
        <v>0</v>
      </c>
      <c r="BU36">
        <f t="shared" si="20"/>
        <v>3554.2395257893872</v>
      </c>
      <c r="BV36">
        <f t="shared" si="21"/>
        <v>14.582560642019647</v>
      </c>
      <c r="BW36">
        <f t="shared" si="22"/>
        <v>10.044280899880809</v>
      </c>
      <c r="BX36">
        <f>SUM(BV36:BW42)/1000</f>
        <v>5.1458276701895428E-2</v>
      </c>
    </row>
    <row r="37" spans="1:76" x14ac:dyDescent="0.2">
      <c r="A37" t="str">
        <f>'Input Scenarios'!A102</f>
        <v>VIC</v>
      </c>
      <c r="B37">
        <f>'Input Scenarios'!B102</f>
        <v>14</v>
      </c>
      <c r="C37" t="str">
        <f>'Input Scenarios'!C102</f>
        <v>Non-irrigated pasture</v>
      </c>
      <c r="D37" t="str">
        <f>'Input Scenarios'!D102</f>
        <v>wet</v>
      </c>
      <c r="E37" t="b">
        <f>'Input Scenarios'!E102</f>
        <v>0</v>
      </c>
      <c r="G37">
        <f>'Input Scenarios'!G102</f>
        <v>0.43</v>
      </c>
      <c r="H37">
        <f>'Input Scenarios'!H102</f>
        <v>0.14000000000000001</v>
      </c>
      <c r="I37">
        <f>'Input Scenarios'!I102</f>
        <v>0.43</v>
      </c>
      <c r="J37">
        <f>'Input Scenarios'!J102</f>
        <v>0.25</v>
      </c>
      <c r="K37">
        <f>'Input Scenarios'!K102</f>
        <v>0.25</v>
      </c>
      <c r="L37">
        <f>'Input Scenarios'!L102</f>
        <v>0.25</v>
      </c>
      <c r="M37">
        <f>'Input Scenarios'!M102</f>
        <v>0.25</v>
      </c>
      <c r="N37">
        <f>'Input Scenarios'!N102</f>
        <v>0.25</v>
      </c>
      <c r="O37">
        <f>'Input Scenarios'!O102</f>
        <v>0.25</v>
      </c>
      <c r="P37">
        <f>'Input Scenarios'!P102</f>
        <v>0.25</v>
      </c>
      <c r="Q37">
        <f>'Input Scenarios'!Q102</f>
        <v>0.25</v>
      </c>
      <c r="R37" t="b">
        <f>'Input Scenarios'!R37</f>
        <v>1</v>
      </c>
      <c r="S37">
        <f>IF('Input Scenarios'!S102&lt;&gt;"", 'Input Scenarios'!S102, IF(R102, Constants!$B$38, 0))</f>
        <v>0.18</v>
      </c>
      <c r="T37" t="str">
        <f>IF('Input Scenarios'!T102&lt;&gt;"", 'Input Scenarios'!T102, "")</f>
        <v/>
      </c>
      <c r="U37">
        <f>IF('Input Scenarios'!U102&lt;&gt;"", 'Input Scenarios'!U102, IF(W37&lt;&gt;"", "", Constants!$B$39))</f>
        <v>4</v>
      </c>
      <c r="V37">
        <f>IF('Input Scenarios'!V102&lt;&gt;"", 'Input Scenarios'!V102, IF(W37&lt;&gt;"", "", Constants!$B$40))</f>
        <v>3.3</v>
      </c>
      <c r="W37" t="str">
        <f>IF('Input Scenarios'!W102&lt;&gt;"", 'Input Scenarios'!W102, "")</f>
        <v/>
      </c>
      <c r="X37" t="str">
        <f>'Input Scenarios'!X102</f>
        <v>Jersey</v>
      </c>
      <c r="Y37" t="str">
        <f>'Input Scenarios'!Y102</f>
        <v>heifersGt1</v>
      </c>
      <c r="Z37">
        <f>'Input Scenarios'!Z102</f>
        <v>200</v>
      </c>
      <c r="AA37">
        <f>'Input Scenarios'!AA102</f>
        <v>265</v>
      </c>
      <c r="AB37">
        <f>'Input Scenarios'!AB102</f>
        <v>275</v>
      </c>
      <c r="AC37">
        <f>IF('Input Scenarios'!AC102&lt;&gt;"", 'Input Scenarios'!AC102, _xlfn.XLOOKUP(Y37, Constants!$B$13:$H$13, Constants!$B$15:$H$15, ""))</f>
        <v>0.6</v>
      </c>
      <c r="AD37">
        <f>IF('Input Scenarios'!AD102&lt;&gt;"", 'Input Scenarios'!AD102, Constants!$B$45)</f>
        <v>0.75</v>
      </c>
      <c r="AE37">
        <f>IF('Input Scenarios'!AE102&lt;&gt;"", 'Input Scenarios'!AE102, Constants!$B$46)</f>
        <v>0.2</v>
      </c>
      <c r="AF37">
        <f t="shared" ref="AF37:AI56" si="26">IF($Y37="milkingCows",($H37*J37)+($I37*N37), 0)</f>
        <v>0</v>
      </c>
      <c r="AG37">
        <f t="shared" si="24"/>
        <v>0</v>
      </c>
      <c r="AH37">
        <f t="shared" si="24"/>
        <v>0</v>
      </c>
      <c r="AI37">
        <f t="shared" si="24"/>
        <v>0</v>
      </c>
      <c r="AJ37">
        <f t="shared" ref="AJ37:AJ56" si="27">IF($Y37="milkingCows",G37, 1)</f>
        <v>1</v>
      </c>
      <c r="AK37">
        <f t="shared" ref="AK37:AK41" si="28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si="13"/>
        <v>0.5948500000000001</v>
      </c>
      <c r="AQ37">
        <f t="shared" si="14"/>
        <v>0</v>
      </c>
      <c r="AR37">
        <f>IF(Y37="milkingCows", Constants!$P$2, Constants!$P$3)</f>
        <v>1</v>
      </c>
      <c r="AS37">
        <f t="shared" si="15"/>
        <v>5.8848695156249997</v>
      </c>
      <c r="AT37">
        <f t="shared" si="16"/>
        <v>1.1761247961530272</v>
      </c>
      <c r="AU37">
        <f>_xlfn.XLOOKUP(Y37, Constants!$B$13:$H$13, Constants!$B$14:$H$14, "")</f>
        <v>590</v>
      </c>
      <c r="AV37">
        <f t="shared" si="17"/>
        <v>0.46610169491525422</v>
      </c>
      <c r="AW37">
        <f>Constants!$B$55</f>
        <v>6.25</v>
      </c>
      <c r="AX37">
        <f t="shared" si="1"/>
        <v>1.1565345708946049E-2</v>
      </c>
      <c r="AY37">
        <f t="shared" si="2"/>
        <v>1.1769739031249999</v>
      </c>
      <c r="AZ37">
        <f t="shared" si="18"/>
        <v>0.17556194320862142</v>
      </c>
      <c r="BA37" t="str">
        <f>IF(ISNUMBER(FIND("PreWeaned",Y37)),_xlfn.XLOOKUP(Y37,Constants!$J$2:$J$3,Constants!$M$2:$M$3),"")</f>
        <v/>
      </c>
      <c r="BB37">
        <f t="shared" si="3"/>
        <v>9304.7829900569359</v>
      </c>
      <c r="BC37">
        <f t="shared" si="4"/>
        <v>0</v>
      </c>
      <c r="BD37">
        <f t="shared" si="5"/>
        <v>0</v>
      </c>
      <c r="BE37">
        <f t="shared" si="6"/>
        <v>0</v>
      </c>
      <c r="BF37">
        <f t="shared" si="7"/>
        <v>0</v>
      </c>
      <c r="BG37">
        <f t="shared" si="8"/>
        <v>9304.7829900569359</v>
      </c>
      <c r="BH37">
        <f>Constants!$D$19</f>
        <v>0.35</v>
      </c>
      <c r="BI37">
        <f>Constants!$D$20</f>
        <v>7.0000000000000007E-2</v>
      </c>
      <c r="BJ37">
        <f>Constants!$D$21</f>
        <v>0.2</v>
      </c>
      <c r="BK37">
        <f>Constants!$D$22</f>
        <v>0.3</v>
      </c>
      <c r="BL37">
        <f>Constants!$D$23</f>
        <v>0</v>
      </c>
      <c r="BM37">
        <f>Constants!$B$51</f>
        <v>0.21</v>
      </c>
      <c r="BN37">
        <f>Constants!$B$50</f>
        <v>1.57</v>
      </c>
      <c r="BO37">
        <f>_xlfn.XLOOKUP(C37,Constants!$A$27:$A$31,Constants!$B$27:$B$31)</f>
        <v>1.8E-3</v>
      </c>
      <c r="BP37">
        <f t="shared" si="25"/>
        <v>0</v>
      </c>
      <c r="BQ37">
        <f t="shared" si="25"/>
        <v>0</v>
      </c>
      <c r="BR37">
        <f t="shared" si="25"/>
        <v>0</v>
      </c>
      <c r="BS37">
        <f t="shared" si="25"/>
        <v>0</v>
      </c>
      <c r="BT37">
        <f t="shared" si="25"/>
        <v>0</v>
      </c>
      <c r="BU37">
        <f t="shared" si="20"/>
        <v>1954.0044279119566</v>
      </c>
      <c r="BV37">
        <f t="shared" si="21"/>
        <v>0</v>
      </c>
      <c r="BW37">
        <f t="shared" si="22"/>
        <v>5.5220165132791896</v>
      </c>
    </row>
    <row r="38" spans="1:76" x14ac:dyDescent="0.2">
      <c r="A38" t="str">
        <f>'Input Scenarios'!A103</f>
        <v>VIC</v>
      </c>
      <c r="B38">
        <f>'Input Scenarios'!B103</f>
        <v>14</v>
      </c>
      <c r="C38" t="str">
        <f>'Input Scenarios'!C103</f>
        <v>Non-irrigated pasture</v>
      </c>
      <c r="D38" t="str">
        <f>'Input Scenarios'!D103</f>
        <v>wet</v>
      </c>
      <c r="E38" t="b">
        <f>'Input Scenarios'!E103</f>
        <v>0</v>
      </c>
      <c r="G38">
        <f>'Input Scenarios'!G103</f>
        <v>0.43</v>
      </c>
      <c r="H38">
        <f>'Input Scenarios'!H103</f>
        <v>0.14000000000000001</v>
      </c>
      <c r="I38">
        <f>'Input Scenarios'!I103</f>
        <v>0.43</v>
      </c>
      <c r="J38">
        <f>'Input Scenarios'!J103</f>
        <v>0.25</v>
      </c>
      <c r="K38">
        <f>'Input Scenarios'!K103</f>
        <v>0.25</v>
      </c>
      <c r="L38">
        <f>'Input Scenarios'!L103</f>
        <v>0.25</v>
      </c>
      <c r="M38">
        <f>'Input Scenarios'!M103</f>
        <v>0.25</v>
      </c>
      <c r="N38">
        <f>'Input Scenarios'!N103</f>
        <v>0.25</v>
      </c>
      <c r="O38">
        <f>'Input Scenarios'!O103</f>
        <v>0.25</v>
      </c>
      <c r="P38">
        <f>'Input Scenarios'!P103</f>
        <v>0.25</v>
      </c>
      <c r="Q38">
        <f>'Input Scenarios'!Q103</f>
        <v>0.25</v>
      </c>
      <c r="R38" t="b">
        <f>'Input Scenarios'!R38</f>
        <v>1</v>
      </c>
      <c r="S38">
        <f>IF('Input Scenarios'!S103&lt;&gt;"", 'Input Scenarios'!S103, IF(R103, Constants!$B$38, 0))</f>
        <v>0.18</v>
      </c>
      <c r="T38" t="str">
        <f>IF('Input Scenarios'!T103&lt;&gt;"", 'Input Scenarios'!T103, "")</f>
        <v/>
      </c>
      <c r="U38">
        <f>IF('Input Scenarios'!U103&lt;&gt;"", 'Input Scenarios'!U103, IF(W38&lt;&gt;"", "", Constants!$B$39))</f>
        <v>4</v>
      </c>
      <c r="V38">
        <f>IF('Input Scenarios'!V103&lt;&gt;"", 'Input Scenarios'!V103, IF(W38&lt;&gt;"", "", Constants!$B$40))</f>
        <v>3.3</v>
      </c>
      <c r="W38" t="str">
        <f>IF('Input Scenarios'!W103&lt;&gt;"", 'Input Scenarios'!W103, "")</f>
        <v/>
      </c>
      <c r="X38" t="str">
        <f>'Input Scenarios'!X103</f>
        <v>Jersey</v>
      </c>
      <c r="Y38" t="str">
        <f>'Input Scenarios'!Y103</f>
        <v>heifersLt1PreWeaned</v>
      </c>
      <c r="Z38">
        <f>'Input Scenarios'!Z103</f>
        <v>200</v>
      </c>
      <c r="AA38">
        <f>'Input Scenarios'!AA103</f>
        <v>100</v>
      </c>
      <c r="AB38">
        <f>'Input Scenarios'!AB103</f>
        <v>115</v>
      </c>
      <c r="AC38" t="str">
        <f>IF('Input Scenarios'!AC103&lt;&gt;"", 'Input Scenarios'!AC103, _xlfn.XLOOKUP(Y38, Constants!$B$13:$H$13, Constants!$B$15:$H$15, ""))</f>
        <v/>
      </c>
      <c r="AD38">
        <f>IF('Input Scenarios'!AD103&lt;&gt;"", 'Input Scenarios'!AD103, Constants!$B$45)</f>
        <v>0.75</v>
      </c>
      <c r="AE38">
        <f>IF('Input Scenarios'!AE103&lt;&gt;"", 'Input Scenarios'!AE103, Constants!$B$46)</f>
        <v>0.2</v>
      </c>
      <c r="AF38">
        <f t="shared" si="26"/>
        <v>0</v>
      </c>
      <c r="AG38">
        <f t="shared" si="24"/>
        <v>0</v>
      </c>
      <c r="AH38">
        <f t="shared" si="24"/>
        <v>0</v>
      </c>
      <c r="AI38">
        <f t="shared" si="24"/>
        <v>0</v>
      </c>
      <c r="AJ38">
        <f t="shared" si="27"/>
        <v>1</v>
      </c>
      <c r="AK38">
        <f t="shared" si="28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13"/>
        <v>0.5948500000000001</v>
      </c>
      <c r="AQ38">
        <f t="shared" si="14"/>
        <v>0</v>
      </c>
      <c r="AR38">
        <f>IF(Y38="milkingCows", Constants!$P$2, Constants!$P$3)</f>
        <v>1</v>
      </c>
      <c r="AS38" t="str">
        <f t="shared" si="15"/>
        <v/>
      </c>
      <c r="AT38" t="str">
        <f t="shared" si="16"/>
        <v/>
      </c>
      <c r="AU38" t="str">
        <f>_xlfn.XLOOKUP(Y38, Constants!$B$13:$H$13, Constants!$B$14:$H$14, "")</f>
        <v/>
      </c>
      <c r="AV38" t="str">
        <f t="shared" si="17"/>
        <v/>
      </c>
      <c r="AW38">
        <f>Constants!$B$55</f>
        <v>6.25</v>
      </c>
      <c r="AX38" t="str">
        <f t="shared" si="1"/>
        <v/>
      </c>
      <c r="AY38" t="str">
        <f t="shared" si="2"/>
        <v/>
      </c>
      <c r="AZ38" t="str">
        <f t="shared" si="18"/>
        <v/>
      </c>
      <c r="BA38">
        <f>IF(ISNUMBER(FIND("PreWeaned",Y38)),_xlfn.XLOOKUP(Y38,Constants!$J$2:$J$3,Constants!$M$2:$M$3),"")</f>
        <v>1.37E-2</v>
      </c>
      <c r="BB38">
        <f t="shared" si="3"/>
        <v>274</v>
      </c>
      <c r="BC38">
        <f t="shared" si="4"/>
        <v>0</v>
      </c>
      <c r="BD38">
        <f t="shared" si="5"/>
        <v>0</v>
      </c>
      <c r="BE38">
        <f t="shared" si="6"/>
        <v>0</v>
      </c>
      <c r="BF38">
        <f t="shared" si="7"/>
        <v>0</v>
      </c>
      <c r="BG38">
        <f t="shared" si="8"/>
        <v>274</v>
      </c>
      <c r="BH38">
        <f>Constants!$D$19</f>
        <v>0.35</v>
      </c>
      <c r="BI38">
        <f>Constants!$D$20</f>
        <v>7.0000000000000007E-2</v>
      </c>
      <c r="BJ38">
        <f>Constants!$D$21</f>
        <v>0.2</v>
      </c>
      <c r="BK38">
        <f>Constants!$D$22</f>
        <v>0.3</v>
      </c>
      <c r="BL38">
        <f>Constants!$D$23</f>
        <v>0</v>
      </c>
      <c r="BM38">
        <f>Constants!$B$51</f>
        <v>0.21</v>
      </c>
      <c r="BN38">
        <f>Constants!$B$50</f>
        <v>1.57</v>
      </c>
      <c r="BO38">
        <f>_xlfn.XLOOKUP(C38,Constants!$A$27:$A$31,Constants!$B$27:$B$31)</f>
        <v>1.8E-3</v>
      </c>
      <c r="BP38">
        <f t="shared" si="25"/>
        <v>0</v>
      </c>
      <c r="BQ38">
        <f t="shared" si="25"/>
        <v>0</v>
      </c>
      <c r="BR38">
        <f t="shared" si="25"/>
        <v>0</v>
      </c>
      <c r="BS38">
        <f t="shared" si="25"/>
        <v>0</v>
      </c>
      <c r="BT38">
        <f t="shared" si="25"/>
        <v>0</v>
      </c>
      <c r="BU38">
        <f t="shared" si="20"/>
        <v>57.54</v>
      </c>
      <c r="BV38">
        <f t="shared" si="21"/>
        <v>0</v>
      </c>
      <c r="BW38">
        <f t="shared" si="22"/>
        <v>0.16260804000000001</v>
      </c>
    </row>
    <row r="39" spans="1:76" x14ac:dyDescent="0.2">
      <c r="A39" t="str">
        <f>'Input Scenarios'!A104</f>
        <v>VIC</v>
      </c>
      <c r="B39">
        <f>'Input Scenarios'!B104</f>
        <v>14</v>
      </c>
      <c r="C39" t="str">
        <f>'Input Scenarios'!C104</f>
        <v>Non-irrigated pasture</v>
      </c>
      <c r="D39" t="str">
        <f>'Input Scenarios'!D104</f>
        <v>wet</v>
      </c>
      <c r="E39" t="b">
        <f>'Input Scenarios'!E104</f>
        <v>0</v>
      </c>
      <c r="G39">
        <f>'Input Scenarios'!G104</f>
        <v>0.43</v>
      </c>
      <c r="H39">
        <f>'Input Scenarios'!H104</f>
        <v>0.14000000000000001</v>
      </c>
      <c r="I39">
        <f>'Input Scenarios'!I104</f>
        <v>0.43</v>
      </c>
      <c r="J39">
        <f>'Input Scenarios'!J104</f>
        <v>0.25</v>
      </c>
      <c r="K39">
        <f>'Input Scenarios'!K104</f>
        <v>0.25</v>
      </c>
      <c r="L39">
        <f>'Input Scenarios'!L104</f>
        <v>0.25</v>
      </c>
      <c r="M39">
        <f>'Input Scenarios'!M104</f>
        <v>0.25</v>
      </c>
      <c r="N39">
        <f>'Input Scenarios'!N104</f>
        <v>0.25</v>
      </c>
      <c r="O39">
        <f>'Input Scenarios'!O104</f>
        <v>0.25</v>
      </c>
      <c r="P39">
        <f>'Input Scenarios'!P104</f>
        <v>0.25</v>
      </c>
      <c r="Q39">
        <f>'Input Scenarios'!Q104</f>
        <v>0.25</v>
      </c>
      <c r="R39" t="b">
        <f>'Input Scenarios'!R39</f>
        <v>1</v>
      </c>
      <c r="S39">
        <f>IF('Input Scenarios'!S104&lt;&gt;"", 'Input Scenarios'!S104, IF(R104, Constants!$B$38, 0))</f>
        <v>0.18</v>
      </c>
      <c r="T39" t="str">
        <f>IF('Input Scenarios'!T104&lt;&gt;"", 'Input Scenarios'!T104, "")</f>
        <v/>
      </c>
      <c r="U39">
        <f>IF('Input Scenarios'!U104&lt;&gt;"", 'Input Scenarios'!U104, IF(W39&lt;&gt;"", "", Constants!$B$39))</f>
        <v>4</v>
      </c>
      <c r="V39">
        <f>IF('Input Scenarios'!V104&lt;&gt;"", 'Input Scenarios'!V104, IF(W39&lt;&gt;"", "", Constants!$B$40))</f>
        <v>3.3</v>
      </c>
      <c r="W39" t="str">
        <f>IF('Input Scenarios'!W104&lt;&gt;"", 'Input Scenarios'!W104, "")</f>
        <v/>
      </c>
      <c r="X39" t="str">
        <f>'Input Scenarios'!X104</f>
        <v>Jersey</v>
      </c>
      <c r="Y39" t="str">
        <f>'Input Scenarios'!Y104</f>
        <v>heifersLt1Weaned</v>
      </c>
      <c r="Z39">
        <f>'Input Scenarios'!Z104</f>
        <v>200</v>
      </c>
      <c r="AA39">
        <f>'Input Scenarios'!AA104</f>
        <v>360</v>
      </c>
      <c r="AB39">
        <f>'Input Scenarios'!AB104</f>
        <v>115</v>
      </c>
      <c r="AC39">
        <f>IF('Input Scenarios'!AC104&lt;&gt;"", 'Input Scenarios'!AC104, _xlfn.XLOOKUP(Y39, Constants!$B$13:$H$13, Constants!$B$15:$H$15, ""))</f>
        <v>0.56999999999999995</v>
      </c>
      <c r="AD39">
        <f>IF('Input Scenarios'!AD104&lt;&gt;"", 'Input Scenarios'!AD104, Constants!$B$45)</f>
        <v>0.75</v>
      </c>
      <c r="AE39">
        <f>IF('Input Scenarios'!AE104&lt;&gt;"", 'Input Scenarios'!AE104, Constants!$B$46)</f>
        <v>0.2</v>
      </c>
      <c r="AF39">
        <f t="shared" si="26"/>
        <v>0</v>
      </c>
      <c r="AG39">
        <f t="shared" si="24"/>
        <v>0</v>
      </c>
      <c r="AH39">
        <f t="shared" si="24"/>
        <v>0</v>
      </c>
      <c r="AI39">
        <f t="shared" si="24"/>
        <v>0</v>
      </c>
      <c r="AJ39">
        <f t="shared" si="27"/>
        <v>1</v>
      </c>
      <c r="AK39">
        <f t="shared" si="28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13"/>
        <v>0.5948500000000001</v>
      </c>
      <c r="AQ39">
        <f t="shared" si="14"/>
        <v>0</v>
      </c>
      <c r="AR39">
        <f>IF(Y39="milkingCows", Constants!$P$2, Constants!$P$3)</f>
        <v>1</v>
      </c>
      <c r="AS39">
        <f t="shared" si="15"/>
        <v>3.4308856302250001</v>
      </c>
      <c r="AT39">
        <f t="shared" si="16"/>
        <v>1.2262028975982771</v>
      </c>
      <c r="AU39">
        <f>_xlfn.XLOOKUP(Y39, Constants!$B$13:$H$13, Constants!$B$14:$H$14, "")</f>
        <v>590</v>
      </c>
      <c r="AV39">
        <f t="shared" si="17"/>
        <v>0.19491525423728814</v>
      </c>
      <c r="AW39">
        <f>Constants!$B$55</f>
        <v>6.25</v>
      </c>
      <c r="AX39">
        <f t="shared" si="1"/>
        <v>1.5533805105434794E-2</v>
      </c>
      <c r="AY39">
        <f t="shared" si="2"/>
        <v>0.68617712604500003</v>
      </c>
      <c r="AZ39">
        <f t="shared" si="18"/>
        <v>9.3636467361806544E-2</v>
      </c>
      <c r="BA39" t="str">
        <f>IF(ISNUMBER(FIND("PreWeaned",Y39)),_xlfn.XLOOKUP(Y39,Constants!$J$2:$J$3,Constants!$M$2:$M$3),"")</f>
        <v/>
      </c>
      <c r="BB39">
        <f t="shared" si="3"/>
        <v>6741.825650050072</v>
      </c>
      <c r="BC39">
        <f t="shared" si="4"/>
        <v>0</v>
      </c>
      <c r="BD39">
        <f t="shared" si="5"/>
        <v>0</v>
      </c>
      <c r="BE39">
        <f t="shared" si="6"/>
        <v>0</v>
      </c>
      <c r="BF39">
        <f t="shared" si="7"/>
        <v>0</v>
      </c>
      <c r="BG39">
        <f t="shared" si="8"/>
        <v>6741.825650050072</v>
      </c>
      <c r="BH39">
        <f>Constants!$D$19</f>
        <v>0.35</v>
      </c>
      <c r="BI39">
        <f>Constants!$D$20</f>
        <v>7.0000000000000007E-2</v>
      </c>
      <c r="BJ39">
        <f>Constants!$D$21</f>
        <v>0.2</v>
      </c>
      <c r="BK39">
        <f>Constants!$D$22</f>
        <v>0.3</v>
      </c>
      <c r="BL39">
        <f>Constants!$D$23</f>
        <v>0</v>
      </c>
      <c r="BM39">
        <f>Constants!$B$51</f>
        <v>0.21</v>
      </c>
      <c r="BN39">
        <f>Constants!$B$50</f>
        <v>1.57</v>
      </c>
      <c r="BO39">
        <f>_xlfn.XLOOKUP(C39,Constants!$A$27:$A$31,Constants!$B$27:$B$31)</f>
        <v>1.8E-3</v>
      </c>
      <c r="BP39">
        <f t="shared" si="25"/>
        <v>0</v>
      </c>
      <c r="BQ39">
        <f t="shared" si="25"/>
        <v>0</v>
      </c>
      <c r="BR39">
        <f t="shared" si="25"/>
        <v>0</v>
      </c>
      <c r="BS39">
        <f t="shared" si="25"/>
        <v>0</v>
      </c>
      <c r="BT39">
        <f t="shared" si="25"/>
        <v>0</v>
      </c>
      <c r="BU39">
        <f t="shared" si="20"/>
        <v>1415.7833865105151</v>
      </c>
      <c r="BV39">
        <f t="shared" si="21"/>
        <v>0</v>
      </c>
      <c r="BW39">
        <f t="shared" si="22"/>
        <v>4.0010038502787157</v>
      </c>
    </row>
    <row r="40" spans="1:76" x14ac:dyDescent="0.2">
      <c r="A40" t="str">
        <f>'Input Scenarios'!A105</f>
        <v>VIC</v>
      </c>
      <c r="B40">
        <f>'Input Scenarios'!B105</f>
        <v>14</v>
      </c>
      <c r="C40" t="str">
        <f>'Input Scenarios'!C105</f>
        <v>Non-irrigated pasture</v>
      </c>
      <c r="D40" t="str">
        <f>'Input Scenarios'!D105</f>
        <v>wet</v>
      </c>
      <c r="E40" t="b">
        <f>'Input Scenarios'!E105</f>
        <v>0</v>
      </c>
      <c r="G40">
        <f>'Input Scenarios'!G105</f>
        <v>0.43</v>
      </c>
      <c r="H40">
        <f>'Input Scenarios'!H105</f>
        <v>0.14000000000000001</v>
      </c>
      <c r="I40">
        <f>'Input Scenarios'!I105</f>
        <v>0.43</v>
      </c>
      <c r="J40">
        <f>'Input Scenarios'!J105</f>
        <v>0.25</v>
      </c>
      <c r="K40">
        <f>'Input Scenarios'!K105</f>
        <v>0.25</v>
      </c>
      <c r="L40">
        <f>'Input Scenarios'!L105</f>
        <v>0.25</v>
      </c>
      <c r="M40">
        <f>'Input Scenarios'!M105</f>
        <v>0.25</v>
      </c>
      <c r="N40">
        <f>'Input Scenarios'!N105</f>
        <v>0.25</v>
      </c>
      <c r="O40">
        <f>'Input Scenarios'!O105</f>
        <v>0.25</v>
      </c>
      <c r="P40">
        <f>'Input Scenarios'!P105</f>
        <v>0.25</v>
      </c>
      <c r="Q40">
        <f>'Input Scenarios'!Q105</f>
        <v>0.25</v>
      </c>
      <c r="R40" t="b">
        <f>'Input Scenarios'!R40</f>
        <v>1</v>
      </c>
      <c r="S40">
        <f>IF('Input Scenarios'!S105&lt;&gt;"", 'Input Scenarios'!S105, IF(R105, Constants!$B$38, 0))</f>
        <v>0.18</v>
      </c>
      <c r="T40" t="str">
        <f>IF('Input Scenarios'!T105&lt;&gt;"", 'Input Scenarios'!T105, "")</f>
        <v/>
      </c>
      <c r="U40">
        <f>IF('Input Scenarios'!U105&lt;&gt;"", 'Input Scenarios'!U105, IF(W40&lt;&gt;"", "", Constants!$B$39))</f>
        <v>4</v>
      </c>
      <c r="V40">
        <f>IF('Input Scenarios'!V105&lt;&gt;"", 'Input Scenarios'!V105, IF(W40&lt;&gt;"", "", Constants!$B$40))</f>
        <v>3.3</v>
      </c>
      <c r="W40" t="str">
        <f>IF('Input Scenarios'!W105&lt;&gt;"", 'Input Scenarios'!W105, "")</f>
        <v/>
      </c>
      <c r="X40" t="str">
        <f>'Input Scenarios'!X105</f>
        <v>Jersey</v>
      </c>
      <c r="Y40" t="str">
        <f>'Input Scenarios'!Y105</f>
        <v>bullsGt1</v>
      </c>
      <c r="Z40">
        <f>'Input Scenarios'!Z105</f>
        <v>200</v>
      </c>
      <c r="AA40">
        <f>'Input Scenarios'!AA105</f>
        <v>345</v>
      </c>
      <c r="AB40">
        <f>'Input Scenarios'!AB105</f>
        <v>600</v>
      </c>
      <c r="AC40">
        <f>IF('Input Scenarios'!AC105&lt;&gt;"", 'Input Scenarios'!AC105, _xlfn.XLOOKUP(Y40, Constants!$B$13:$H$13, Constants!$B$15:$H$15, ""))</f>
        <v>0.1</v>
      </c>
      <c r="AD40">
        <f>IF('Input Scenarios'!AD105&lt;&gt;"", 'Input Scenarios'!AD105, Constants!$B$45)</f>
        <v>0.75</v>
      </c>
      <c r="AE40">
        <f>IF('Input Scenarios'!AE105&lt;&gt;"", 'Input Scenarios'!AE105, Constants!$B$46)</f>
        <v>0.2</v>
      </c>
      <c r="AF40">
        <f t="shared" si="26"/>
        <v>0</v>
      </c>
      <c r="AG40">
        <f t="shared" si="24"/>
        <v>0</v>
      </c>
      <c r="AH40">
        <f t="shared" si="24"/>
        <v>0</v>
      </c>
      <c r="AI40">
        <f t="shared" si="24"/>
        <v>0</v>
      </c>
      <c r="AJ40">
        <f t="shared" si="27"/>
        <v>1</v>
      </c>
      <c r="AK40">
        <f t="shared" si="28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13"/>
        <v>0.5948500000000001</v>
      </c>
      <c r="AQ40">
        <f t="shared" si="14"/>
        <v>0</v>
      </c>
      <c r="AR40">
        <f>IF(Y40="milkingCows", Constants!$P$2, Constants!$P$3)</f>
        <v>1</v>
      </c>
      <c r="AS40">
        <f t="shared" si="15"/>
        <v>9.0270202499999979</v>
      </c>
      <c r="AT40">
        <f t="shared" si="16"/>
        <v>1.0213029780639273</v>
      </c>
      <c r="AU40">
        <f>_xlfn.XLOOKUP(Y40, Constants!$B$13:$H$13, Constants!$B$14:$H$14, "")</f>
        <v>770</v>
      </c>
      <c r="AV40">
        <f t="shared" si="17"/>
        <v>0.77922077922077926</v>
      </c>
      <c r="AW40">
        <f>Constants!$B$55</f>
        <v>6.25</v>
      </c>
      <c r="AX40">
        <f t="shared" ref="AX40:AX63" si="29">IFERROR((((0.212 - (0.008*(AT40-2)) - (0.14-0.008*(AT40-2))/(1+EXP(-6*(AV40-0.4)))) * AC40 * 0.92)/AW40) + (0.032*AK40*AL40)/6.38, "")</f>
        <v>1.2626203146474679E-3</v>
      </c>
      <c r="AY40">
        <f t="shared" ref="AY40:AY63" si="30">IFERROR(AE40*AS40, "")</f>
        <v>1.8054040499999997</v>
      </c>
      <c r="AZ40">
        <f t="shared" si="18"/>
        <v>0.28546836331241399</v>
      </c>
      <c r="BA40" t="str">
        <f>IF(ISNUMBER(FIND("PreWeaned",Y40)),_xlfn.XLOOKUP(Y40,Constants!$J$2:$J$3,Constants!$M$2:$M$3),"")</f>
        <v/>
      </c>
      <c r="BB40">
        <f t="shared" ref="BB40:BB63" si="31">SUM(AZ40:BA40)*Z40*AA40</f>
        <v>19697.317068556564</v>
      </c>
      <c r="BC40">
        <f t="shared" ref="BC40:BC63" si="32">$BB40*AF40</f>
        <v>0</v>
      </c>
      <c r="BD40">
        <f t="shared" ref="BD40:BD63" si="33">$BB40*AG40</f>
        <v>0</v>
      </c>
      <c r="BE40">
        <f t="shared" ref="BE40:BE63" si="34">$BB40*AH40</f>
        <v>0</v>
      </c>
      <c r="BF40">
        <f t="shared" ref="BF40:BF63" si="35">$BB40*AI40</f>
        <v>0</v>
      </c>
      <c r="BG40">
        <f t="shared" ref="BG40:BG63" si="36">$BB40*AJ40</f>
        <v>19697.317068556564</v>
      </c>
      <c r="BH40">
        <f>Constants!$D$19</f>
        <v>0.35</v>
      </c>
      <c r="BI40">
        <f>Constants!$D$20</f>
        <v>7.0000000000000007E-2</v>
      </c>
      <c r="BJ40">
        <f>Constants!$D$21</f>
        <v>0.2</v>
      </c>
      <c r="BK40">
        <f>Constants!$D$22</f>
        <v>0.3</v>
      </c>
      <c r="BL40">
        <f>Constants!$D$23</f>
        <v>0</v>
      </c>
      <c r="BM40">
        <f>Constants!$B$51</f>
        <v>0.21</v>
      </c>
      <c r="BN40">
        <f>Constants!$B$50</f>
        <v>1.57</v>
      </c>
      <c r="BO40">
        <f>_xlfn.XLOOKUP(C40,Constants!$A$27:$A$31,Constants!$B$27:$B$31)</f>
        <v>1.8E-3</v>
      </c>
      <c r="BP40">
        <f t="shared" si="25"/>
        <v>0</v>
      </c>
      <c r="BQ40">
        <f t="shared" si="25"/>
        <v>0</v>
      </c>
      <c r="BR40">
        <f t="shared" si="25"/>
        <v>0</v>
      </c>
      <c r="BS40">
        <f t="shared" si="25"/>
        <v>0</v>
      </c>
      <c r="BT40">
        <f t="shared" si="25"/>
        <v>0</v>
      </c>
      <c r="BU40">
        <f t="shared" si="20"/>
        <v>4136.4365843968781</v>
      </c>
      <c r="BV40">
        <f t="shared" si="21"/>
        <v>0</v>
      </c>
      <c r="BW40">
        <f t="shared" si="22"/>
        <v>11.689569787505578</v>
      </c>
    </row>
    <row r="41" spans="1:76" x14ac:dyDescent="0.2">
      <c r="A41" t="str">
        <f>'Input Scenarios'!A106</f>
        <v>VIC</v>
      </c>
      <c r="B41">
        <f>'Input Scenarios'!B106</f>
        <v>14</v>
      </c>
      <c r="C41" t="str">
        <f>'Input Scenarios'!C106</f>
        <v>Non-irrigated pasture</v>
      </c>
      <c r="D41" t="str">
        <f>'Input Scenarios'!D106</f>
        <v>wet</v>
      </c>
      <c r="E41" t="b">
        <f>'Input Scenarios'!E106</f>
        <v>0</v>
      </c>
      <c r="G41">
        <f>'Input Scenarios'!G106</f>
        <v>0.43</v>
      </c>
      <c r="H41">
        <f>'Input Scenarios'!H106</f>
        <v>0.14000000000000001</v>
      </c>
      <c r="I41">
        <f>'Input Scenarios'!I106</f>
        <v>0.43</v>
      </c>
      <c r="J41">
        <f>'Input Scenarios'!J106</f>
        <v>0.25</v>
      </c>
      <c r="K41">
        <f>'Input Scenarios'!K106</f>
        <v>0.25</v>
      </c>
      <c r="L41">
        <f>'Input Scenarios'!L106</f>
        <v>0.25</v>
      </c>
      <c r="M41">
        <f>'Input Scenarios'!M106</f>
        <v>0.25</v>
      </c>
      <c r="N41">
        <f>'Input Scenarios'!N106</f>
        <v>0.25</v>
      </c>
      <c r="O41">
        <f>'Input Scenarios'!O106</f>
        <v>0.25</v>
      </c>
      <c r="P41">
        <f>'Input Scenarios'!P106</f>
        <v>0.25</v>
      </c>
      <c r="Q41">
        <f>'Input Scenarios'!Q106</f>
        <v>0.25</v>
      </c>
      <c r="R41" t="b">
        <f>'Input Scenarios'!R41</f>
        <v>1</v>
      </c>
      <c r="S41">
        <f>IF('Input Scenarios'!S106&lt;&gt;"", 'Input Scenarios'!S106, IF(R106, Constants!$B$38, 0))</f>
        <v>0.18</v>
      </c>
      <c r="T41" t="str">
        <f>IF('Input Scenarios'!T106&lt;&gt;"", 'Input Scenarios'!T106, "")</f>
        <v/>
      </c>
      <c r="U41">
        <f>IF('Input Scenarios'!U106&lt;&gt;"", 'Input Scenarios'!U106, IF(W41&lt;&gt;"", "", Constants!$B$39))</f>
        <v>4</v>
      </c>
      <c r="V41">
        <f>IF('Input Scenarios'!V106&lt;&gt;"", 'Input Scenarios'!V106, IF(W41&lt;&gt;"", "", Constants!$B$40))</f>
        <v>3.3</v>
      </c>
      <c r="W41" t="str">
        <f>IF('Input Scenarios'!W106&lt;&gt;"", 'Input Scenarios'!W106, "")</f>
        <v/>
      </c>
      <c r="X41" t="str">
        <f>'Input Scenarios'!X106</f>
        <v>Jersey</v>
      </c>
      <c r="Y41" t="str">
        <f>'Input Scenarios'!Y106</f>
        <v>bullsLt1PreWeaned</v>
      </c>
      <c r="Z41">
        <f>'Input Scenarios'!Z106</f>
        <v>200</v>
      </c>
      <c r="AA41">
        <f>'Input Scenarios'!AA106</f>
        <v>124</v>
      </c>
      <c r="AB41">
        <f>'Input Scenarios'!AB106</f>
        <v>225</v>
      </c>
      <c r="AC41" t="str">
        <f>IF('Input Scenarios'!AC106&lt;&gt;"", 'Input Scenarios'!AC106, _xlfn.XLOOKUP(Y41, Constants!$B$13:$H$13, Constants!$B$15:$H$15, ""))</f>
        <v/>
      </c>
      <c r="AD41">
        <f>IF('Input Scenarios'!AD106&lt;&gt;"", 'Input Scenarios'!AD106, Constants!$B$45)</f>
        <v>0.75</v>
      </c>
      <c r="AE41">
        <f>IF('Input Scenarios'!AE106&lt;&gt;"", 'Input Scenarios'!AE106, Constants!$B$46)</f>
        <v>0.2</v>
      </c>
      <c r="AF41">
        <f t="shared" si="26"/>
        <v>0</v>
      </c>
      <c r="AG41">
        <f t="shared" si="24"/>
        <v>0</v>
      </c>
      <c r="AH41">
        <f t="shared" si="24"/>
        <v>0</v>
      </c>
      <c r="AI41">
        <f t="shared" si="24"/>
        <v>0</v>
      </c>
      <c r="AJ41">
        <f t="shared" si="27"/>
        <v>1</v>
      </c>
      <c r="AK41">
        <f t="shared" si="28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13"/>
        <v>0.5948500000000001</v>
      </c>
      <c r="AQ41">
        <f t="shared" si="14"/>
        <v>0</v>
      </c>
      <c r="AR41">
        <f>IF(Y41="milkingCows", Constants!$P$2, Constants!$P$3)</f>
        <v>1</v>
      </c>
      <c r="AS41" t="str">
        <f t="shared" si="15"/>
        <v/>
      </c>
      <c r="AT41" t="str">
        <f t="shared" si="16"/>
        <v/>
      </c>
      <c r="AU41" t="str">
        <f>_xlfn.XLOOKUP(Y41, Constants!$B$13:$H$13, Constants!$B$14:$H$14, "")</f>
        <v/>
      </c>
      <c r="AV41" t="str">
        <f t="shared" si="17"/>
        <v/>
      </c>
      <c r="AW41">
        <f>Constants!$B$55</f>
        <v>6.25</v>
      </c>
      <c r="AX41" t="str">
        <f t="shared" si="29"/>
        <v/>
      </c>
      <c r="AY41" t="str">
        <f t="shared" si="30"/>
        <v/>
      </c>
      <c r="AZ41" t="str">
        <f t="shared" si="18"/>
        <v/>
      </c>
      <c r="BA41">
        <f>IF(ISNUMBER(FIND("PreWeaned",Y41)),_xlfn.XLOOKUP(Y41,Constants!$J$2:$J$3,Constants!$M$2:$M$3),"")</f>
        <v>9.1999999999999998E-3</v>
      </c>
      <c r="BB41">
        <f t="shared" si="31"/>
        <v>228.15999999999997</v>
      </c>
      <c r="BC41">
        <f t="shared" si="32"/>
        <v>0</v>
      </c>
      <c r="BD41">
        <f t="shared" si="33"/>
        <v>0</v>
      </c>
      <c r="BE41">
        <f t="shared" si="34"/>
        <v>0</v>
      </c>
      <c r="BF41">
        <f t="shared" si="35"/>
        <v>0</v>
      </c>
      <c r="BG41">
        <f t="shared" si="36"/>
        <v>228.15999999999997</v>
      </c>
      <c r="BH41">
        <f>Constants!$D$19</f>
        <v>0.35</v>
      </c>
      <c r="BI41">
        <f>Constants!$D$20</f>
        <v>7.0000000000000007E-2</v>
      </c>
      <c r="BJ41">
        <f>Constants!$D$21</f>
        <v>0.2</v>
      </c>
      <c r="BK41">
        <f>Constants!$D$22</f>
        <v>0.3</v>
      </c>
      <c r="BL41">
        <f>Constants!$D$23</f>
        <v>0</v>
      </c>
      <c r="BM41">
        <f>Constants!$B$51</f>
        <v>0.21</v>
      </c>
      <c r="BN41">
        <f>Constants!$B$50</f>
        <v>1.57</v>
      </c>
      <c r="BO41">
        <f>_xlfn.XLOOKUP(C41,Constants!$A$27:$A$31,Constants!$B$27:$B$31)</f>
        <v>1.8E-3</v>
      </c>
      <c r="BP41">
        <f t="shared" si="25"/>
        <v>0</v>
      </c>
      <c r="BQ41">
        <f t="shared" si="25"/>
        <v>0</v>
      </c>
      <c r="BR41">
        <f t="shared" si="25"/>
        <v>0</v>
      </c>
      <c r="BS41">
        <f t="shared" si="25"/>
        <v>0</v>
      </c>
      <c r="BT41">
        <f t="shared" si="25"/>
        <v>0</v>
      </c>
      <c r="BU41">
        <f t="shared" si="20"/>
        <v>47.913599999999988</v>
      </c>
      <c r="BV41">
        <f t="shared" si="21"/>
        <v>0</v>
      </c>
      <c r="BW41">
        <f t="shared" si="22"/>
        <v>0.13540383359999997</v>
      </c>
    </row>
    <row r="42" spans="1:76" s="16" customFormat="1" x14ac:dyDescent="0.2">
      <c r="A42" s="16" t="str">
        <f>'Input Scenarios'!A107</f>
        <v>VIC</v>
      </c>
      <c r="B42" s="16">
        <f>'Input Scenarios'!B107</f>
        <v>14</v>
      </c>
      <c r="C42" s="16" t="str">
        <f>'Input Scenarios'!C107</f>
        <v>Non-irrigated pasture</v>
      </c>
      <c r="D42" s="16" t="str">
        <f>'Input Scenarios'!D107</f>
        <v>wet</v>
      </c>
      <c r="E42" s="16" t="b">
        <f>'Input Scenarios'!E107</f>
        <v>0</v>
      </c>
      <c r="G42" s="16">
        <f>'Input Scenarios'!G107</f>
        <v>0.43</v>
      </c>
      <c r="H42" s="16">
        <f>'Input Scenarios'!H107</f>
        <v>0.14000000000000001</v>
      </c>
      <c r="I42" s="16">
        <f>'Input Scenarios'!I107</f>
        <v>0.43</v>
      </c>
      <c r="J42" s="16">
        <f>'Input Scenarios'!J107</f>
        <v>0.25</v>
      </c>
      <c r="K42" s="16">
        <f>'Input Scenarios'!K107</f>
        <v>0.25</v>
      </c>
      <c r="L42" s="16">
        <f>'Input Scenarios'!L107</f>
        <v>0.25</v>
      </c>
      <c r="M42" s="16">
        <f>'Input Scenarios'!M107</f>
        <v>0.25</v>
      </c>
      <c r="N42" s="16">
        <f>'Input Scenarios'!N107</f>
        <v>0.25</v>
      </c>
      <c r="O42" s="16">
        <f>'Input Scenarios'!O107</f>
        <v>0.25</v>
      </c>
      <c r="P42" s="16">
        <f>'Input Scenarios'!P107</f>
        <v>0.25</v>
      </c>
      <c r="Q42" s="16">
        <f>'Input Scenarios'!Q107</f>
        <v>0.25</v>
      </c>
      <c r="R42" s="16" t="b">
        <f>'Input Scenarios'!R42</f>
        <v>1</v>
      </c>
      <c r="S42" s="16">
        <f>IF('Input Scenarios'!S107&lt;&gt;"", 'Input Scenarios'!S107, IF(R107, Constants!$B$38, 0))</f>
        <v>0.18</v>
      </c>
      <c r="T42" s="16" t="str">
        <f>IF('Input Scenarios'!T107&lt;&gt;"", 'Input Scenarios'!T107, "")</f>
        <v/>
      </c>
      <c r="U42" s="16">
        <f>IF('Input Scenarios'!U107&lt;&gt;"", 'Input Scenarios'!U107, IF(W42&lt;&gt;"", "", Constants!$B$39))</f>
        <v>4</v>
      </c>
      <c r="V42" s="16">
        <f>IF('Input Scenarios'!V107&lt;&gt;"", 'Input Scenarios'!V107, IF(W42&lt;&gt;"", "", Constants!$B$40))</f>
        <v>3.3</v>
      </c>
      <c r="W42" s="16" t="str">
        <f>IF('Input Scenarios'!W107&lt;&gt;"", 'Input Scenarios'!W107, "")</f>
        <v/>
      </c>
      <c r="X42" s="16" t="str">
        <f>'Input Scenarios'!X107</f>
        <v>Jersey</v>
      </c>
      <c r="Y42" s="16" t="str">
        <f>'Input Scenarios'!Y107</f>
        <v>bullsLt1Weaned</v>
      </c>
      <c r="Z42" s="16">
        <f>'Input Scenarios'!Z107</f>
        <v>200</v>
      </c>
      <c r="AA42" s="16">
        <f>'Input Scenarios'!AA107</f>
        <v>294</v>
      </c>
      <c r="AB42" s="16">
        <f>'Input Scenarios'!AB107</f>
        <v>225</v>
      </c>
      <c r="AC42" s="16">
        <f>IF('Input Scenarios'!AC107&lt;&gt;"", 'Input Scenarios'!AC107, _xlfn.XLOOKUP(Y42, Constants!$B$13:$H$13, Constants!$B$15:$H$15, ""))</f>
        <v>0.8</v>
      </c>
      <c r="AD42" s="16">
        <f>IF('Input Scenarios'!AD107&lt;&gt;"", 'Input Scenarios'!AD107, Constants!$B$45)</f>
        <v>0.75</v>
      </c>
      <c r="AE42" s="16">
        <f>IF('Input Scenarios'!AE107&lt;&gt;"", 'Input Scenarios'!AE107, Constants!$B$46)</f>
        <v>0.2</v>
      </c>
      <c r="AF42" s="16">
        <f t="shared" si="26"/>
        <v>0</v>
      </c>
      <c r="AG42" s="16">
        <f t="shared" si="24"/>
        <v>0</v>
      </c>
      <c r="AH42" s="16">
        <f t="shared" si="24"/>
        <v>0</v>
      </c>
      <c r="AI42" s="16">
        <f t="shared" si="24"/>
        <v>0</v>
      </c>
      <c r="AJ42" s="16">
        <f t="shared" si="27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13"/>
        <v>0.5948500000000001</v>
      </c>
      <c r="AQ42" s="16">
        <f t="shared" si="14"/>
        <v>0</v>
      </c>
      <c r="AR42" s="16">
        <f>IF(Y42="milkingCows", Constants!$P$2, Constants!$P$3)</f>
        <v>1</v>
      </c>
      <c r="AS42" s="16">
        <f t="shared" si="15"/>
        <v>5.4143472656250013</v>
      </c>
      <c r="AT42" s="16">
        <f t="shared" si="16"/>
        <v>1.2576570545672616</v>
      </c>
      <c r="AU42" s="16">
        <f>_xlfn.XLOOKUP(Y42, Constants!$B$13:$H$13, Constants!$B$14:$H$14, "")</f>
        <v>770</v>
      </c>
      <c r="AV42" s="16">
        <f t="shared" si="17"/>
        <v>0.29220779220779219</v>
      </c>
      <c r="AW42" s="16">
        <f>Constants!$B$55</f>
        <v>6.25</v>
      </c>
      <c r="AX42" s="16">
        <f t="shared" si="29"/>
        <v>1.9757354894894084E-2</v>
      </c>
      <c r="AY42" s="16">
        <f t="shared" si="30"/>
        <v>1.0828694531250003</v>
      </c>
      <c r="AZ42" s="16">
        <f t="shared" si="18"/>
        <v>0.15247929000170721</v>
      </c>
      <c r="BA42" s="16" t="str">
        <f>IF(ISNUMBER(FIND("PreWeaned",Y42)),_xlfn.XLOOKUP(Y42,Constants!$J$2:$J$3,Constants!$M$2:$M$3),"")</f>
        <v/>
      </c>
      <c r="BB42" s="16">
        <f t="shared" si="31"/>
        <v>8965.7822521003836</v>
      </c>
      <c r="BC42" s="16">
        <f t="shared" si="32"/>
        <v>0</v>
      </c>
      <c r="BD42" s="16">
        <f t="shared" si="33"/>
        <v>0</v>
      </c>
      <c r="BE42" s="16">
        <f t="shared" si="34"/>
        <v>0</v>
      </c>
      <c r="BF42" s="16">
        <f t="shared" si="35"/>
        <v>0</v>
      </c>
      <c r="BG42" s="16">
        <f t="shared" si="36"/>
        <v>8965.7822521003836</v>
      </c>
      <c r="BH42" s="16">
        <f>Constants!$D$19</f>
        <v>0.35</v>
      </c>
      <c r="BI42" s="16">
        <f>Constants!$D$20</f>
        <v>7.0000000000000007E-2</v>
      </c>
      <c r="BJ42" s="16">
        <f>Constants!$D$21</f>
        <v>0.2</v>
      </c>
      <c r="BK42" s="16">
        <f>Constants!$D$22</f>
        <v>0.3</v>
      </c>
      <c r="BL42" s="16">
        <f>Constants!$D$23</f>
        <v>0</v>
      </c>
      <c r="BM42" s="16">
        <f>Constants!$B$51</f>
        <v>0.21</v>
      </c>
      <c r="BN42" s="16">
        <f>Constants!$B$50</f>
        <v>1.57</v>
      </c>
      <c r="BO42" s="16">
        <f>_xlfn.XLOOKUP(C42,Constants!$A$27:$A$31,Constants!$B$27:$B$31)</f>
        <v>1.8E-3</v>
      </c>
      <c r="BP42" s="16">
        <f t="shared" ref="BP42:BT61" si="37">BC42*BH42</f>
        <v>0</v>
      </c>
      <c r="BQ42" s="16">
        <f t="shared" si="37"/>
        <v>0</v>
      </c>
      <c r="BR42" s="16">
        <f t="shared" si="37"/>
        <v>0</v>
      </c>
      <c r="BS42" s="16">
        <f t="shared" si="37"/>
        <v>0</v>
      </c>
      <c r="BT42" s="16">
        <f t="shared" si="37"/>
        <v>0</v>
      </c>
      <c r="BU42" s="16">
        <f t="shared" si="20"/>
        <v>1882.8142729410804</v>
      </c>
      <c r="BV42" s="16">
        <f t="shared" si="21"/>
        <v>0</v>
      </c>
      <c r="BW42" s="16">
        <f t="shared" si="22"/>
        <v>5.320833135331493</v>
      </c>
    </row>
    <row r="43" spans="1:76" x14ac:dyDescent="0.2">
      <c r="A43" t="str">
        <f>'Input Scenarios'!A108</f>
        <v>ACT</v>
      </c>
      <c r="B43">
        <f>'Input Scenarios'!B108</f>
        <v>12</v>
      </c>
      <c r="C43" t="str">
        <f>'Input Scenarios'!C108</f>
        <v>Non-irrigated crop (low rainfall)</v>
      </c>
      <c r="D43" t="str">
        <f>'Input Scenarios'!D108</f>
        <v>wet</v>
      </c>
      <c r="E43" t="b">
        <f>'Input Scenarios'!E108</f>
        <v>1</v>
      </c>
      <c r="G43">
        <f>'Input Scenarios'!G108</f>
        <v>0.45</v>
      </c>
      <c r="H43">
        <f>'Input Scenarios'!H108</f>
        <v>0.2</v>
      </c>
      <c r="I43">
        <f>'Input Scenarios'!I108</f>
        <v>0.35</v>
      </c>
      <c r="J43">
        <f>'Input Scenarios'!J108</f>
        <v>0</v>
      </c>
      <c r="K43">
        <f>'Input Scenarios'!K108</f>
        <v>0</v>
      </c>
      <c r="L43">
        <f>'Input Scenarios'!L108</f>
        <v>1</v>
      </c>
      <c r="M43">
        <f>'Input Scenarios'!M108</f>
        <v>0</v>
      </c>
      <c r="N43">
        <f>'Input Scenarios'!N108</f>
        <v>1</v>
      </c>
      <c r="O43">
        <f>'Input Scenarios'!O108</f>
        <v>0</v>
      </c>
      <c r="P43">
        <f>'Input Scenarios'!P108</f>
        <v>0</v>
      </c>
      <c r="Q43">
        <f>'Input Scenarios'!Q108</f>
        <v>0</v>
      </c>
      <c r="R43" t="b">
        <f>'Input Scenarios'!R43</f>
        <v>1</v>
      </c>
      <c r="S43">
        <f>IF('Input Scenarios'!S108&lt;&gt;"", 'Input Scenarios'!S108, IF(R108, Constants!$B$38, 0))</f>
        <v>0.25</v>
      </c>
      <c r="T43" s="20">
        <f>IF('Input Scenarios'!T108&lt;&gt;"", 'Input Scenarios'!T108, "")</f>
        <v>4</v>
      </c>
      <c r="U43" s="20">
        <f>IF('Input Scenarios'!U108&lt;&gt;"", 'Input Scenarios'!U108, IF(W43&lt;&gt;"", "", Constants!$B$39))</f>
        <v>2.9</v>
      </c>
      <c r="V43" s="20">
        <f>IF('Input Scenarios'!V108&lt;&gt;"", 'Input Scenarios'!V108, IF(W43&lt;&gt;"", "", Constants!$B$40))</f>
        <v>3.3</v>
      </c>
      <c r="W43" s="20" t="str">
        <f>IF('Input Scenarios'!W108&lt;&gt;"", 'Input Scenarios'!W108, "")</f>
        <v/>
      </c>
      <c r="X43" s="20" t="str">
        <f>'Input Scenarios'!X108</f>
        <v>Brown Swiss</v>
      </c>
      <c r="Y43" s="20" t="str">
        <f>'Input Scenarios'!Y108</f>
        <v>milkingCows</v>
      </c>
      <c r="Z43" s="20">
        <f>'Input Scenarios'!Z108</f>
        <v>200</v>
      </c>
      <c r="AA43" s="20">
        <f>'Input Scenarios'!AA108</f>
        <v>365</v>
      </c>
      <c r="AB43" s="20">
        <f>'Input Scenarios'!AB108</f>
        <v>450</v>
      </c>
      <c r="AC43">
        <f>IF('Input Scenarios'!AC108&lt;&gt;"", 'Input Scenarios'!AC108, _xlfn.XLOOKUP(Y43, Constants!$B$13:$H$13, Constants!$B$15:$H$15, ""))</f>
        <v>1.6E-2</v>
      </c>
      <c r="AD43">
        <f>IF('Input Scenarios'!AD108&lt;&gt;"", 'Input Scenarios'!AD108, Constants!$B$45)</f>
        <v>0.75</v>
      </c>
      <c r="AE43">
        <f>IF('Input Scenarios'!AE108&lt;&gt;"", 'Input Scenarios'!AE108, Constants!$B$46)</f>
        <v>0.2</v>
      </c>
      <c r="AF43" s="20">
        <f t="shared" si="26"/>
        <v>0.35</v>
      </c>
      <c r="AG43" s="20">
        <f t="shared" si="24"/>
        <v>0</v>
      </c>
      <c r="AH43" s="20">
        <f t="shared" si="24"/>
        <v>0.2</v>
      </c>
      <c r="AI43" s="20">
        <f t="shared" si="24"/>
        <v>0</v>
      </c>
      <c r="AJ43" s="20">
        <f t="shared" si="27"/>
        <v>0.45</v>
      </c>
      <c r="AK43">
        <f t="shared" ref="AK43:AK63" si="38">IF(Y43="milkingCows", IF(W43&lt;&gt;"", W43, T43/((U43+V43)*0.01)), 0)</f>
        <v>64.516129032258078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13"/>
        <v>0.5948500000000001</v>
      </c>
      <c r="AQ43">
        <f t="shared" si="14"/>
        <v>30.902813430990946</v>
      </c>
      <c r="AR43">
        <f>IF(Y43="milkingCows", Constants!$P$2, Constants!$P$3)</f>
        <v>1.1000000000000001</v>
      </c>
      <c r="AS43">
        <f t="shared" si="15"/>
        <v>38.960708079750944</v>
      </c>
      <c r="AT43">
        <f t="shared" si="16"/>
        <v>1.0007701416570653</v>
      </c>
      <c r="AU43">
        <f>_xlfn.XLOOKUP(Y43, Constants!$B$13:$H$13, Constants!$B$14:$H$14, "")</f>
        <v>590</v>
      </c>
      <c r="AV43">
        <f t="shared" si="17"/>
        <v>0.76271186440677963</v>
      </c>
      <c r="AW43">
        <f>Constants!$B$55</f>
        <v>6.25</v>
      </c>
      <c r="AX43" s="20">
        <f t="shared" si="29"/>
        <v>0.33350471859405595</v>
      </c>
      <c r="AY43">
        <f t="shared" si="30"/>
        <v>7.7921416159501895</v>
      </c>
      <c r="AZ43">
        <f t="shared" si="18"/>
        <v>0.91151836127315211</v>
      </c>
      <c r="BA43" t="str">
        <f>IF(ISNUMBER(FIND("PreWeaned",Y43)),_xlfn.XLOOKUP(Y43,Constants!$J$2:$J$3,Constants!$M$2:$M$3),"")</f>
        <v/>
      </c>
      <c r="BB43">
        <f t="shared" si="31"/>
        <v>66540.840372940103</v>
      </c>
      <c r="BC43">
        <f t="shared" si="32"/>
        <v>23289.294130529033</v>
      </c>
      <c r="BD43">
        <f t="shared" si="33"/>
        <v>0</v>
      </c>
      <c r="BE43">
        <f t="shared" si="34"/>
        <v>13308.168074588022</v>
      </c>
      <c r="BF43">
        <f t="shared" si="35"/>
        <v>0</v>
      </c>
      <c r="BG43">
        <f t="shared" si="36"/>
        <v>29943.378167823048</v>
      </c>
      <c r="BH43">
        <f>Constants!$D$19</f>
        <v>0.35</v>
      </c>
      <c r="BI43">
        <f>Constants!$D$20</f>
        <v>7.0000000000000007E-2</v>
      </c>
      <c r="BJ43">
        <f>Constants!$D$21</f>
        <v>0.2</v>
      </c>
      <c r="BK43">
        <f>Constants!$D$22</f>
        <v>0.3</v>
      </c>
      <c r="BL43">
        <f>Constants!$D$23</f>
        <v>0</v>
      </c>
      <c r="BM43">
        <f>Constants!$B$51</f>
        <v>0.21</v>
      </c>
      <c r="BN43">
        <f>Constants!$B$50</f>
        <v>1.57</v>
      </c>
      <c r="BO43">
        <f>_xlfn.XLOOKUP(C43,Constants!$A$27:$A$31,Constants!$B$27:$B$31)</f>
        <v>2.8999999999999998E-3</v>
      </c>
      <c r="BP43">
        <f t="shared" si="37"/>
        <v>8151.2529456851607</v>
      </c>
      <c r="BQ43">
        <f t="shared" si="37"/>
        <v>0</v>
      </c>
      <c r="BR43">
        <f t="shared" si="37"/>
        <v>2661.6336149176045</v>
      </c>
      <c r="BS43">
        <f t="shared" si="37"/>
        <v>0</v>
      </c>
      <c r="BT43">
        <f t="shared" si="37"/>
        <v>0</v>
      </c>
      <c r="BU43">
        <f t="shared" si="20"/>
        <v>6288.1094152428395</v>
      </c>
      <c r="BV43">
        <f t="shared" si="21"/>
        <v>49.23107251042439</v>
      </c>
      <c r="BW43">
        <f t="shared" si="22"/>
        <v>28.629762167600646</v>
      </c>
      <c r="BX43">
        <f>SUM(BV43:BW49)/1000</f>
        <v>0.12261746420388051</v>
      </c>
    </row>
    <row r="44" spans="1:76" x14ac:dyDescent="0.2">
      <c r="A44" t="str">
        <f>'Input Scenarios'!A109</f>
        <v>ACT</v>
      </c>
      <c r="B44">
        <f>'Input Scenarios'!B109</f>
        <v>12</v>
      </c>
      <c r="C44" t="str">
        <f>'Input Scenarios'!C109</f>
        <v>Non-irrigated crop (low rainfall)</v>
      </c>
      <c r="D44" t="str">
        <f>'Input Scenarios'!D109</f>
        <v>wet</v>
      </c>
      <c r="E44" t="b">
        <f>'Input Scenarios'!E109</f>
        <v>1</v>
      </c>
      <c r="G44">
        <f>'Input Scenarios'!G109</f>
        <v>0.45</v>
      </c>
      <c r="H44">
        <f>'Input Scenarios'!H109</f>
        <v>0.2</v>
      </c>
      <c r="I44">
        <f>'Input Scenarios'!I109</f>
        <v>0.35</v>
      </c>
      <c r="J44">
        <f>'Input Scenarios'!J109</f>
        <v>0</v>
      </c>
      <c r="K44">
        <f>'Input Scenarios'!K109</f>
        <v>0</v>
      </c>
      <c r="L44">
        <f>'Input Scenarios'!L109</f>
        <v>1</v>
      </c>
      <c r="M44">
        <f>'Input Scenarios'!M109</f>
        <v>0</v>
      </c>
      <c r="N44">
        <f>'Input Scenarios'!N109</f>
        <v>1</v>
      </c>
      <c r="O44">
        <f>'Input Scenarios'!O109</f>
        <v>0</v>
      </c>
      <c r="P44">
        <f>'Input Scenarios'!P109</f>
        <v>0</v>
      </c>
      <c r="Q44">
        <f>'Input Scenarios'!Q109</f>
        <v>0</v>
      </c>
      <c r="R44" t="b">
        <f>'Input Scenarios'!R44</f>
        <v>1</v>
      </c>
      <c r="S44">
        <f>IF('Input Scenarios'!S109&lt;&gt;"", 'Input Scenarios'!S109, IF(R109, Constants!$B$38, 0))</f>
        <v>0.25</v>
      </c>
      <c r="T44" t="str">
        <f>IF('Input Scenarios'!T109&lt;&gt;"", 'Input Scenarios'!T109, "")</f>
        <v/>
      </c>
      <c r="U44">
        <f>IF('Input Scenarios'!U109&lt;&gt;"", 'Input Scenarios'!U109, IF(W44&lt;&gt;"", "", Constants!$B$39))</f>
        <v>4</v>
      </c>
      <c r="V44">
        <f>IF('Input Scenarios'!V109&lt;&gt;"", 'Input Scenarios'!V109, IF(W44&lt;&gt;"", "", Constants!$B$40))</f>
        <v>3.3</v>
      </c>
      <c r="W44" t="str">
        <f>IF('Input Scenarios'!W109&lt;&gt;"", 'Input Scenarios'!W109, "")</f>
        <v/>
      </c>
      <c r="X44" t="str">
        <f>'Input Scenarios'!X109</f>
        <v>Brown Swiss</v>
      </c>
      <c r="Y44" t="str">
        <f>'Input Scenarios'!Y109</f>
        <v>heifersGt1</v>
      </c>
      <c r="Z44">
        <f>'Input Scenarios'!Z109</f>
        <v>200</v>
      </c>
      <c r="AA44">
        <f>'Input Scenarios'!AA109</f>
        <v>265</v>
      </c>
      <c r="AB44">
        <f>'Input Scenarios'!AB109</f>
        <v>315</v>
      </c>
      <c r="AC44">
        <f>IF('Input Scenarios'!AC109&lt;&gt;"", 'Input Scenarios'!AC109, _xlfn.XLOOKUP(Y44, Constants!$B$13:$H$13, Constants!$B$15:$H$15, ""))</f>
        <v>0.6</v>
      </c>
      <c r="AD44">
        <f>IF('Input Scenarios'!AD109&lt;&gt;"", 'Input Scenarios'!AD109, Constants!$B$45)</f>
        <v>0.75</v>
      </c>
      <c r="AE44">
        <f>IF('Input Scenarios'!AE109&lt;&gt;"", 'Input Scenarios'!AE109, Constants!$B$46)</f>
        <v>0.2</v>
      </c>
      <c r="AF44">
        <f t="shared" si="26"/>
        <v>0</v>
      </c>
      <c r="AG44">
        <f t="shared" si="24"/>
        <v>0</v>
      </c>
      <c r="AH44">
        <f t="shared" si="24"/>
        <v>0</v>
      </c>
      <c r="AI44">
        <f t="shared" si="24"/>
        <v>0</v>
      </c>
      <c r="AJ44">
        <f t="shared" si="27"/>
        <v>1</v>
      </c>
      <c r="AK44">
        <f t="shared" si="38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13"/>
        <v>0.5948500000000001</v>
      </c>
      <c r="AQ44">
        <f t="shared" si="14"/>
        <v>0</v>
      </c>
      <c r="AR44">
        <f>IF(Y44="milkingCows", Constants!$P$2, Constants!$P$3)</f>
        <v>1</v>
      </c>
      <c r="AS44">
        <f t="shared" si="15"/>
        <v>6.4827015932249994</v>
      </c>
      <c r="AT44">
        <f t="shared" si="16"/>
        <v>1.166794807523394</v>
      </c>
      <c r="AU44">
        <f>_xlfn.XLOOKUP(Y44, Constants!$B$13:$H$13, Constants!$B$14:$H$14, "")</f>
        <v>590</v>
      </c>
      <c r="AV44">
        <f t="shared" si="17"/>
        <v>0.53389830508474578</v>
      </c>
      <c r="AW44">
        <f>Constants!$B$55</f>
        <v>6.25</v>
      </c>
      <c r="AX44">
        <f t="shared" si="29"/>
        <v>1.0365571727800444E-2</v>
      </c>
      <c r="AY44">
        <f t="shared" si="30"/>
        <v>1.296540318645</v>
      </c>
      <c r="AZ44">
        <f t="shared" si="18"/>
        <v>0.19576491048465905</v>
      </c>
      <c r="BA44" t="str">
        <f>IF(ISNUMBER(FIND("PreWeaned",Y44)),_xlfn.XLOOKUP(Y44,Constants!$J$2:$J$3,Constants!$M$2:$M$3),"")</f>
        <v/>
      </c>
      <c r="BB44">
        <f t="shared" si="31"/>
        <v>10375.540255686929</v>
      </c>
      <c r="BC44">
        <f t="shared" si="32"/>
        <v>0</v>
      </c>
      <c r="BD44">
        <f t="shared" si="33"/>
        <v>0</v>
      </c>
      <c r="BE44">
        <f t="shared" si="34"/>
        <v>0</v>
      </c>
      <c r="BF44">
        <f t="shared" si="35"/>
        <v>0</v>
      </c>
      <c r="BG44">
        <f t="shared" si="36"/>
        <v>10375.540255686929</v>
      </c>
      <c r="BH44">
        <f>Constants!$D$19</f>
        <v>0.35</v>
      </c>
      <c r="BI44">
        <f>Constants!$D$20</f>
        <v>7.0000000000000007E-2</v>
      </c>
      <c r="BJ44">
        <f>Constants!$D$21</f>
        <v>0.2</v>
      </c>
      <c r="BK44">
        <f>Constants!$D$22</f>
        <v>0.3</v>
      </c>
      <c r="BL44">
        <f>Constants!$D$23</f>
        <v>0</v>
      </c>
      <c r="BM44">
        <f>Constants!$B$51</f>
        <v>0.21</v>
      </c>
      <c r="BN44">
        <f>Constants!$B$50</f>
        <v>1.57</v>
      </c>
      <c r="BO44">
        <f>_xlfn.XLOOKUP(C44,Constants!$A$27:$A$31,Constants!$B$27:$B$31)</f>
        <v>2.8999999999999998E-3</v>
      </c>
      <c r="BP44">
        <f t="shared" si="37"/>
        <v>0</v>
      </c>
      <c r="BQ44">
        <f t="shared" si="37"/>
        <v>0</v>
      </c>
      <c r="BR44">
        <f t="shared" si="37"/>
        <v>0</v>
      </c>
      <c r="BS44">
        <f t="shared" si="37"/>
        <v>0</v>
      </c>
      <c r="BT44">
        <f t="shared" si="37"/>
        <v>0</v>
      </c>
      <c r="BU44">
        <f t="shared" si="20"/>
        <v>2178.863453694255</v>
      </c>
      <c r="BV44">
        <f t="shared" si="21"/>
        <v>0</v>
      </c>
      <c r="BW44">
        <f t="shared" si="22"/>
        <v>9.9203653046699429</v>
      </c>
    </row>
    <row r="45" spans="1:76" x14ac:dyDescent="0.2">
      <c r="A45" t="str">
        <f>'Input Scenarios'!A110</f>
        <v>ACT</v>
      </c>
      <c r="B45">
        <f>'Input Scenarios'!B110</f>
        <v>12</v>
      </c>
      <c r="C45" t="str">
        <f>'Input Scenarios'!C110</f>
        <v>Non-irrigated crop (low rainfall)</v>
      </c>
      <c r="D45" t="str">
        <f>'Input Scenarios'!D110</f>
        <v>wet</v>
      </c>
      <c r="E45" t="b">
        <f>'Input Scenarios'!E110</f>
        <v>1</v>
      </c>
      <c r="G45">
        <f>'Input Scenarios'!G110</f>
        <v>0.45</v>
      </c>
      <c r="H45">
        <f>'Input Scenarios'!H110</f>
        <v>0.2</v>
      </c>
      <c r="I45">
        <f>'Input Scenarios'!I110</f>
        <v>0.35</v>
      </c>
      <c r="J45">
        <f>'Input Scenarios'!J110</f>
        <v>0</v>
      </c>
      <c r="K45">
        <f>'Input Scenarios'!K110</f>
        <v>0</v>
      </c>
      <c r="L45">
        <f>'Input Scenarios'!L110</f>
        <v>1</v>
      </c>
      <c r="M45">
        <f>'Input Scenarios'!M110</f>
        <v>0</v>
      </c>
      <c r="N45">
        <f>'Input Scenarios'!N110</f>
        <v>1</v>
      </c>
      <c r="O45">
        <f>'Input Scenarios'!O110</f>
        <v>0</v>
      </c>
      <c r="P45">
        <f>'Input Scenarios'!P110</f>
        <v>0</v>
      </c>
      <c r="Q45">
        <f>'Input Scenarios'!Q110</f>
        <v>0</v>
      </c>
      <c r="R45" t="b">
        <f>'Input Scenarios'!R45</f>
        <v>1</v>
      </c>
      <c r="S45">
        <f>IF('Input Scenarios'!S110&lt;&gt;"", 'Input Scenarios'!S110, IF(R110, Constants!$B$38, 0))</f>
        <v>0.25</v>
      </c>
      <c r="T45" t="str">
        <f>IF('Input Scenarios'!T110&lt;&gt;"", 'Input Scenarios'!T110, "")</f>
        <v/>
      </c>
      <c r="U45">
        <f>IF('Input Scenarios'!U110&lt;&gt;"", 'Input Scenarios'!U110, IF(W45&lt;&gt;"", "", Constants!$B$39))</f>
        <v>4</v>
      </c>
      <c r="V45">
        <f>IF('Input Scenarios'!V110&lt;&gt;"", 'Input Scenarios'!V110, IF(W45&lt;&gt;"", "", Constants!$B$40))</f>
        <v>3.3</v>
      </c>
      <c r="W45" t="str">
        <f>IF('Input Scenarios'!W110&lt;&gt;"", 'Input Scenarios'!W110, "")</f>
        <v/>
      </c>
      <c r="X45" t="str">
        <f>'Input Scenarios'!X110</f>
        <v>Brown Swiss</v>
      </c>
      <c r="Y45" t="str">
        <f>'Input Scenarios'!Y110</f>
        <v>heifersLt1PreWeaned</v>
      </c>
      <c r="Z45">
        <f>'Input Scenarios'!Z110</f>
        <v>200</v>
      </c>
      <c r="AA45">
        <f>'Input Scenarios'!AA110</f>
        <v>100</v>
      </c>
      <c r="AB45">
        <f>'Input Scenarios'!AB110</f>
        <v>130</v>
      </c>
      <c r="AC45" t="str">
        <f>IF('Input Scenarios'!AC110&lt;&gt;"", 'Input Scenarios'!AC110, _xlfn.XLOOKUP(Y45, Constants!$B$13:$H$13, Constants!$B$15:$H$15, ""))</f>
        <v/>
      </c>
      <c r="AD45">
        <f>IF('Input Scenarios'!AD110&lt;&gt;"", 'Input Scenarios'!AD110, Constants!$B$45)</f>
        <v>0.75</v>
      </c>
      <c r="AE45">
        <f>IF('Input Scenarios'!AE110&lt;&gt;"", 'Input Scenarios'!AE110, Constants!$B$46)</f>
        <v>0.2</v>
      </c>
      <c r="AF45">
        <f t="shared" si="26"/>
        <v>0</v>
      </c>
      <c r="AG45">
        <f t="shared" si="26"/>
        <v>0</v>
      </c>
      <c r="AH45">
        <f t="shared" si="26"/>
        <v>0</v>
      </c>
      <c r="AI45">
        <f t="shared" si="26"/>
        <v>0</v>
      </c>
      <c r="AJ45">
        <f t="shared" si="27"/>
        <v>1</v>
      </c>
      <c r="AK45">
        <f t="shared" si="38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13"/>
        <v>0.5948500000000001</v>
      </c>
      <c r="AQ45">
        <f t="shared" si="14"/>
        <v>0</v>
      </c>
      <c r="AR45">
        <f>IF(Y45="milkingCows", Constants!$P$2, Constants!$P$3)</f>
        <v>1</v>
      </c>
      <c r="AS45" t="str">
        <f t="shared" si="15"/>
        <v/>
      </c>
      <c r="AT45" t="str">
        <f t="shared" si="16"/>
        <v/>
      </c>
      <c r="AU45" t="str">
        <f>_xlfn.XLOOKUP(Y45, Constants!$B$13:$H$13, Constants!$B$14:$H$14, "")</f>
        <v/>
      </c>
      <c r="AV45" t="str">
        <f t="shared" si="17"/>
        <v/>
      </c>
      <c r="AW45">
        <f>Constants!$B$55</f>
        <v>6.25</v>
      </c>
      <c r="AX45" t="str">
        <f t="shared" si="29"/>
        <v/>
      </c>
      <c r="AY45" t="str">
        <f t="shared" si="30"/>
        <v/>
      </c>
      <c r="AZ45" t="str">
        <f t="shared" si="18"/>
        <v/>
      </c>
      <c r="BA45">
        <f>IF(ISNUMBER(FIND("PreWeaned",Y45)),_xlfn.XLOOKUP(Y45,Constants!$J$2:$J$3,Constants!$M$2:$M$3),"")</f>
        <v>1.37E-2</v>
      </c>
      <c r="BB45">
        <f t="shared" si="31"/>
        <v>274</v>
      </c>
      <c r="BC45">
        <f t="shared" si="32"/>
        <v>0</v>
      </c>
      <c r="BD45">
        <f t="shared" si="33"/>
        <v>0</v>
      </c>
      <c r="BE45">
        <f t="shared" si="34"/>
        <v>0</v>
      </c>
      <c r="BF45">
        <f t="shared" si="35"/>
        <v>0</v>
      </c>
      <c r="BG45">
        <f t="shared" si="36"/>
        <v>274</v>
      </c>
      <c r="BH45">
        <f>Constants!$D$19</f>
        <v>0.35</v>
      </c>
      <c r="BI45">
        <f>Constants!$D$20</f>
        <v>7.0000000000000007E-2</v>
      </c>
      <c r="BJ45">
        <f>Constants!$D$21</f>
        <v>0.2</v>
      </c>
      <c r="BK45">
        <f>Constants!$D$22</f>
        <v>0.3</v>
      </c>
      <c r="BL45">
        <f>Constants!$D$23</f>
        <v>0</v>
      </c>
      <c r="BM45">
        <f>Constants!$B$51</f>
        <v>0.21</v>
      </c>
      <c r="BN45">
        <f>Constants!$B$50</f>
        <v>1.57</v>
      </c>
      <c r="BO45">
        <f>_xlfn.XLOOKUP(C45,Constants!$A$27:$A$31,Constants!$B$27:$B$31)</f>
        <v>2.8999999999999998E-3</v>
      </c>
      <c r="BP45">
        <f t="shared" si="37"/>
        <v>0</v>
      </c>
      <c r="BQ45">
        <f t="shared" si="37"/>
        <v>0</v>
      </c>
      <c r="BR45">
        <f t="shared" si="37"/>
        <v>0</v>
      </c>
      <c r="BS45">
        <f t="shared" si="37"/>
        <v>0</v>
      </c>
      <c r="BT45">
        <f t="shared" si="37"/>
        <v>0</v>
      </c>
      <c r="BU45">
        <f t="shared" si="20"/>
        <v>57.54</v>
      </c>
      <c r="BV45">
        <f t="shared" si="21"/>
        <v>0</v>
      </c>
      <c r="BW45">
        <f t="shared" si="22"/>
        <v>0.26197961999999997</v>
      </c>
    </row>
    <row r="46" spans="1:76" x14ac:dyDescent="0.2">
      <c r="A46" t="str">
        <f>'Input Scenarios'!A111</f>
        <v>ACT</v>
      </c>
      <c r="B46">
        <f>'Input Scenarios'!B111</f>
        <v>12</v>
      </c>
      <c r="C46" t="str">
        <f>'Input Scenarios'!C111</f>
        <v>Non-irrigated crop (low rainfall)</v>
      </c>
      <c r="D46" t="str">
        <f>'Input Scenarios'!D111</f>
        <v>wet</v>
      </c>
      <c r="E46" t="b">
        <f>'Input Scenarios'!E111</f>
        <v>1</v>
      </c>
      <c r="G46">
        <f>'Input Scenarios'!G111</f>
        <v>0.45</v>
      </c>
      <c r="H46">
        <f>'Input Scenarios'!H111</f>
        <v>0.2</v>
      </c>
      <c r="I46">
        <f>'Input Scenarios'!I111</f>
        <v>0.35</v>
      </c>
      <c r="J46">
        <f>'Input Scenarios'!J111</f>
        <v>0</v>
      </c>
      <c r="K46">
        <f>'Input Scenarios'!K111</f>
        <v>0</v>
      </c>
      <c r="L46">
        <f>'Input Scenarios'!L111</f>
        <v>1</v>
      </c>
      <c r="M46">
        <f>'Input Scenarios'!M111</f>
        <v>0</v>
      </c>
      <c r="N46">
        <f>'Input Scenarios'!N111</f>
        <v>1</v>
      </c>
      <c r="O46">
        <f>'Input Scenarios'!O111</f>
        <v>0</v>
      </c>
      <c r="P46">
        <f>'Input Scenarios'!P111</f>
        <v>0</v>
      </c>
      <c r="Q46">
        <f>'Input Scenarios'!Q111</f>
        <v>0</v>
      </c>
      <c r="R46" t="b">
        <f>'Input Scenarios'!R46</f>
        <v>1</v>
      </c>
      <c r="S46">
        <f>IF('Input Scenarios'!S111&lt;&gt;"", 'Input Scenarios'!S111, IF(R111, Constants!$B$38, 0))</f>
        <v>0.25</v>
      </c>
      <c r="T46" t="str">
        <f>IF('Input Scenarios'!T111&lt;&gt;"", 'Input Scenarios'!T111, "")</f>
        <v/>
      </c>
      <c r="U46">
        <f>IF('Input Scenarios'!U111&lt;&gt;"", 'Input Scenarios'!U111, IF(W46&lt;&gt;"", "", Constants!$B$39))</f>
        <v>4</v>
      </c>
      <c r="V46">
        <f>IF('Input Scenarios'!V111&lt;&gt;"", 'Input Scenarios'!V111, IF(W46&lt;&gt;"", "", Constants!$B$40))</f>
        <v>3.3</v>
      </c>
      <c r="W46" t="str">
        <f>IF('Input Scenarios'!W111&lt;&gt;"", 'Input Scenarios'!W111, "")</f>
        <v/>
      </c>
      <c r="X46" t="str">
        <f>'Input Scenarios'!X111</f>
        <v>Brown Swiss</v>
      </c>
      <c r="Y46" t="str">
        <f>'Input Scenarios'!Y111</f>
        <v>heifersLt1Weaned</v>
      </c>
      <c r="Z46">
        <f>'Input Scenarios'!Z111</f>
        <v>200</v>
      </c>
      <c r="AA46">
        <f>'Input Scenarios'!AA111</f>
        <v>360</v>
      </c>
      <c r="AB46">
        <f>'Input Scenarios'!AB111</f>
        <v>130</v>
      </c>
      <c r="AC46">
        <f>IF('Input Scenarios'!AC111&lt;&gt;"", 'Input Scenarios'!AC111, _xlfn.XLOOKUP(Y46, Constants!$B$13:$H$13, Constants!$B$15:$H$15, ""))</f>
        <v>0.56999999999999995</v>
      </c>
      <c r="AD46">
        <f>IF('Input Scenarios'!AD111&lt;&gt;"", 'Input Scenarios'!AD111, Constants!$B$45)</f>
        <v>0.75</v>
      </c>
      <c r="AE46">
        <f>IF('Input Scenarios'!AE111&lt;&gt;"", 'Input Scenarios'!AE111, Constants!$B$46)</f>
        <v>0.2</v>
      </c>
      <c r="AF46">
        <f t="shared" si="26"/>
        <v>0</v>
      </c>
      <c r="AG46">
        <f t="shared" si="26"/>
        <v>0</v>
      </c>
      <c r="AH46">
        <f t="shared" si="26"/>
        <v>0</v>
      </c>
      <c r="AI46">
        <f t="shared" si="26"/>
        <v>0</v>
      </c>
      <c r="AJ46">
        <f t="shared" si="27"/>
        <v>1</v>
      </c>
      <c r="AK46">
        <f t="shared" si="38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13"/>
        <v>0.5948500000000001</v>
      </c>
      <c r="AQ46">
        <f t="shared" si="14"/>
        <v>0</v>
      </c>
      <c r="AR46">
        <f>IF(Y46="milkingCows", Constants!$P$2, Constants!$P$3)</f>
        <v>1</v>
      </c>
      <c r="AS46">
        <f t="shared" si="15"/>
        <v>3.6511948560999987</v>
      </c>
      <c r="AT46">
        <f t="shared" si="16"/>
        <v>1.2181770715229607</v>
      </c>
      <c r="AU46">
        <f>_xlfn.XLOOKUP(Y46, Constants!$B$13:$H$13, Constants!$B$14:$H$14, "")</f>
        <v>590</v>
      </c>
      <c r="AV46">
        <f t="shared" si="17"/>
        <v>0.22033898305084745</v>
      </c>
      <c r="AW46">
        <f>Constants!$B$55</f>
        <v>6.25</v>
      </c>
      <c r="AX46">
        <f t="shared" si="29"/>
        <v>1.5196847323916365E-2</v>
      </c>
      <c r="AY46">
        <f t="shared" si="30"/>
        <v>0.73023897121999981</v>
      </c>
      <c r="AZ46">
        <f t="shared" si="18"/>
        <v>0.10096379308784414</v>
      </c>
      <c r="BA46" t="str">
        <f>IF(ISNUMBER(FIND("PreWeaned",Y46)),_xlfn.XLOOKUP(Y46,Constants!$J$2:$J$3,Constants!$M$2:$M$3),"")</f>
        <v/>
      </c>
      <c r="BB46">
        <f t="shared" si="31"/>
        <v>7269.3931023247778</v>
      </c>
      <c r="BC46">
        <f t="shared" si="32"/>
        <v>0</v>
      </c>
      <c r="BD46">
        <f t="shared" si="33"/>
        <v>0</v>
      </c>
      <c r="BE46">
        <f t="shared" si="34"/>
        <v>0</v>
      </c>
      <c r="BF46">
        <f t="shared" si="35"/>
        <v>0</v>
      </c>
      <c r="BG46">
        <f t="shared" si="36"/>
        <v>7269.3931023247778</v>
      </c>
      <c r="BH46">
        <f>Constants!$D$19</f>
        <v>0.35</v>
      </c>
      <c r="BI46">
        <f>Constants!$D$20</f>
        <v>7.0000000000000007E-2</v>
      </c>
      <c r="BJ46">
        <f>Constants!$D$21</f>
        <v>0.2</v>
      </c>
      <c r="BK46">
        <f>Constants!$D$22</f>
        <v>0.3</v>
      </c>
      <c r="BL46">
        <f>Constants!$D$23</f>
        <v>0</v>
      </c>
      <c r="BM46">
        <f>Constants!$B$51</f>
        <v>0.21</v>
      </c>
      <c r="BN46">
        <f>Constants!$B$50</f>
        <v>1.57</v>
      </c>
      <c r="BO46">
        <f>_xlfn.XLOOKUP(C46,Constants!$A$27:$A$31,Constants!$B$27:$B$31)</f>
        <v>2.8999999999999998E-3</v>
      </c>
      <c r="BP46">
        <f t="shared" si="37"/>
        <v>0</v>
      </c>
      <c r="BQ46">
        <f t="shared" si="37"/>
        <v>0</v>
      </c>
      <c r="BR46">
        <f t="shared" si="37"/>
        <v>0</v>
      </c>
      <c r="BS46">
        <f t="shared" si="37"/>
        <v>0</v>
      </c>
      <c r="BT46">
        <f t="shared" si="37"/>
        <v>0</v>
      </c>
      <c r="BU46">
        <f t="shared" si="20"/>
        <v>1526.5725514882033</v>
      </c>
      <c r="BV46">
        <f t="shared" si="21"/>
        <v>0</v>
      </c>
      <c r="BW46">
        <f t="shared" si="22"/>
        <v>6.9504848269257895</v>
      </c>
    </row>
    <row r="47" spans="1:76" x14ac:dyDescent="0.2">
      <c r="A47" t="str">
        <f>'Input Scenarios'!A112</f>
        <v>ACT</v>
      </c>
      <c r="B47">
        <f>'Input Scenarios'!B112</f>
        <v>12</v>
      </c>
      <c r="C47" t="str">
        <f>'Input Scenarios'!C112</f>
        <v>Non-irrigated crop (low rainfall)</v>
      </c>
      <c r="D47" t="str">
        <f>'Input Scenarios'!D112</f>
        <v>wet</v>
      </c>
      <c r="E47" t="b">
        <f>'Input Scenarios'!E112</f>
        <v>1</v>
      </c>
      <c r="G47">
        <f>'Input Scenarios'!G112</f>
        <v>0.45</v>
      </c>
      <c r="H47">
        <f>'Input Scenarios'!H112</f>
        <v>0.2</v>
      </c>
      <c r="I47">
        <f>'Input Scenarios'!I112</f>
        <v>0.35</v>
      </c>
      <c r="J47">
        <f>'Input Scenarios'!J112</f>
        <v>0</v>
      </c>
      <c r="K47">
        <f>'Input Scenarios'!K112</f>
        <v>0</v>
      </c>
      <c r="L47">
        <f>'Input Scenarios'!L112</f>
        <v>1</v>
      </c>
      <c r="M47">
        <f>'Input Scenarios'!M112</f>
        <v>0</v>
      </c>
      <c r="N47">
        <f>'Input Scenarios'!N112</f>
        <v>1</v>
      </c>
      <c r="O47">
        <f>'Input Scenarios'!O112</f>
        <v>0</v>
      </c>
      <c r="P47">
        <f>'Input Scenarios'!P112</f>
        <v>0</v>
      </c>
      <c r="Q47">
        <f>'Input Scenarios'!Q112</f>
        <v>0</v>
      </c>
      <c r="R47" t="b">
        <f>'Input Scenarios'!R47</f>
        <v>1</v>
      </c>
      <c r="S47">
        <f>IF('Input Scenarios'!S112&lt;&gt;"", 'Input Scenarios'!S112, IF(R112, Constants!$B$38, 0))</f>
        <v>0.25</v>
      </c>
      <c r="T47" t="str">
        <f>IF('Input Scenarios'!T112&lt;&gt;"", 'Input Scenarios'!T112, "")</f>
        <v/>
      </c>
      <c r="U47">
        <f>IF('Input Scenarios'!U112&lt;&gt;"", 'Input Scenarios'!U112, IF(W47&lt;&gt;"", "", Constants!$B$39))</f>
        <v>4</v>
      </c>
      <c r="V47">
        <f>IF('Input Scenarios'!V112&lt;&gt;"", 'Input Scenarios'!V112, IF(W47&lt;&gt;"", "", Constants!$B$40))</f>
        <v>3.3</v>
      </c>
      <c r="W47" t="str">
        <f>IF('Input Scenarios'!W112&lt;&gt;"", 'Input Scenarios'!W112, "")</f>
        <v/>
      </c>
      <c r="X47" t="str">
        <f>'Input Scenarios'!X112</f>
        <v>Brown Swiss</v>
      </c>
      <c r="Y47" t="str">
        <f>'Input Scenarios'!Y112</f>
        <v>bullsGt1</v>
      </c>
      <c r="Z47">
        <f>'Input Scenarios'!Z112</f>
        <v>200</v>
      </c>
      <c r="AA47">
        <f>'Input Scenarios'!AA112</f>
        <v>345</v>
      </c>
      <c r="AB47">
        <f>'Input Scenarios'!AB112</f>
        <v>600</v>
      </c>
      <c r="AC47">
        <f>IF('Input Scenarios'!AC112&lt;&gt;"", 'Input Scenarios'!AC112, _xlfn.XLOOKUP(Y47, Constants!$B$13:$H$13, Constants!$B$15:$H$15, ""))</f>
        <v>0.1</v>
      </c>
      <c r="AD47">
        <f>IF('Input Scenarios'!AD112&lt;&gt;"", 'Input Scenarios'!AD112, Constants!$B$45)</f>
        <v>0.75</v>
      </c>
      <c r="AE47">
        <f>IF('Input Scenarios'!AE112&lt;&gt;"", 'Input Scenarios'!AE112, Constants!$B$46)</f>
        <v>0.2</v>
      </c>
      <c r="AF47">
        <f t="shared" si="26"/>
        <v>0</v>
      </c>
      <c r="AG47">
        <f t="shared" si="26"/>
        <v>0</v>
      </c>
      <c r="AH47">
        <f t="shared" si="26"/>
        <v>0</v>
      </c>
      <c r="AI47">
        <f t="shared" si="26"/>
        <v>0</v>
      </c>
      <c r="AJ47">
        <f t="shared" si="27"/>
        <v>1</v>
      </c>
      <c r="AK47">
        <f t="shared" si="38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13"/>
        <v>0.5948500000000001</v>
      </c>
      <c r="AQ47">
        <f t="shared" si="14"/>
        <v>0</v>
      </c>
      <c r="AR47">
        <f>IF(Y47="milkingCows", Constants!$P$2, Constants!$P$3)</f>
        <v>1</v>
      </c>
      <c r="AS47">
        <f t="shared" si="15"/>
        <v>9.0270202499999979</v>
      </c>
      <c r="AT47">
        <f t="shared" si="16"/>
        <v>1.0213029780639273</v>
      </c>
      <c r="AU47">
        <f>_xlfn.XLOOKUP(Y47, Constants!$B$13:$H$13, Constants!$B$14:$H$14, "")</f>
        <v>770</v>
      </c>
      <c r="AV47">
        <f t="shared" si="17"/>
        <v>0.77922077922077926</v>
      </c>
      <c r="AW47">
        <f>Constants!$B$55</f>
        <v>6.25</v>
      </c>
      <c r="AX47">
        <f t="shared" si="29"/>
        <v>1.2626203146474679E-3</v>
      </c>
      <c r="AY47">
        <f t="shared" si="30"/>
        <v>1.8054040499999997</v>
      </c>
      <c r="AZ47">
        <f t="shared" si="18"/>
        <v>0.28546836331241399</v>
      </c>
      <c r="BA47" t="str">
        <f>IF(ISNUMBER(FIND("PreWeaned",Y47)),_xlfn.XLOOKUP(Y47,Constants!$J$2:$J$3,Constants!$M$2:$M$3),"")</f>
        <v/>
      </c>
      <c r="BB47">
        <f t="shared" si="31"/>
        <v>19697.317068556564</v>
      </c>
      <c r="BC47">
        <f t="shared" si="32"/>
        <v>0</v>
      </c>
      <c r="BD47">
        <f t="shared" si="33"/>
        <v>0</v>
      </c>
      <c r="BE47">
        <f t="shared" si="34"/>
        <v>0</v>
      </c>
      <c r="BF47">
        <f t="shared" si="35"/>
        <v>0</v>
      </c>
      <c r="BG47">
        <f t="shared" si="36"/>
        <v>19697.317068556564</v>
      </c>
      <c r="BH47">
        <f>Constants!$D$19</f>
        <v>0.35</v>
      </c>
      <c r="BI47">
        <f>Constants!$D$20</f>
        <v>7.0000000000000007E-2</v>
      </c>
      <c r="BJ47">
        <f>Constants!$D$21</f>
        <v>0.2</v>
      </c>
      <c r="BK47">
        <f>Constants!$D$22</f>
        <v>0.3</v>
      </c>
      <c r="BL47">
        <f>Constants!$D$23</f>
        <v>0</v>
      </c>
      <c r="BM47">
        <f>Constants!$B$51</f>
        <v>0.21</v>
      </c>
      <c r="BN47">
        <f>Constants!$B$50</f>
        <v>1.57</v>
      </c>
      <c r="BO47">
        <f>_xlfn.XLOOKUP(C47,Constants!$A$27:$A$31,Constants!$B$27:$B$31)</f>
        <v>2.8999999999999998E-3</v>
      </c>
      <c r="BP47">
        <f t="shared" si="37"/>
        <v>0</v>
      </c>
      <c r="BQ47">
        <f t="shared" si="37"/>
        <v>0</v>
      </c>
      <c r="BR47">
        <f t="shared" si="37"/>
        <v>0</v>
      </c>
      <c r="BS47">
        <f t="shared" si="37"/>
        <v>0</v>
      </c>
      <c r="BT47">
        <f t="shared" si="37"/>
        <v>0</v>
      </c>
      <c r="BU47">
        <f t="shared" si="20"/>
        <v>4136.4365843968781</v>
      </c>
      <c r="BV47">
        <f t="shared" si="21"/>
        <v>0</v>
      </c>
      <c r="BW47">
        <f t="shared" si="22"/>
        <v>18.833195768758983</v>
      </c>
    </row>
    <row r="48" spans="1:76" x14ac:dyDescent="0.2">
      <c r="A48" t="str">
        <f>'Input Scenarios'!A113</f>
        <v>ACT</v>
      </c>
      <c r="B48">
        <f>'Input Scenarios'!B113</f>
        <v>12</v>
      </c>
      <c r="C48" t="str">
        <f>'Input Scenarios'!C113</f>
        <v>Non-irrigated crop (low rainfall)</v>
      </c>
      <c r="D48" t="str">
        <f>'Input Scenarios'!D113</f>
        <v>wet</v>
      </c>
      <c r="E48" t="b">
        <f>'Input Scenarios'!E113</f>
        <v>1</v>
      </c>
      <c r="G48">
        <f>'Input Scenarios'!G113</f>
        <v>0.45</v>
      </c>
      <c r="H48">
        <f>'Input Scenarios'!H113</f>
        <v>0.2</v>
      </c>
      <c r="I48">
        <f>'Input Scenarios'!I113</f>
        <v>0.35</v>
      </c>
      <c r="J48">
        <f>'Input Scenarios'!J113</f>
        <v>0</v>
      </c>
      <c r="K48">
        <f>'Input Scenarios'!K113</f>
        <v>0</v>
      </c>
      <c r="L48">
        <f>'Input Scenarios'!L113</f>
        <v>1</v>
      </c>
      <c r="M48">
        <f>'Input Scenarios'!M113</f>
        <v>0</v>
      </c>
      <c r="N48">
        <f>'Input Scenarios'!N113</f>
        <v>1</v>
      </c>
      <c r="O48">
        <f>'Input Scenarios'!O113</f>
        <v>0</v>
      </c>
      <c r="P48">
        <f>'Input Scenarios'!P113</f>
        <v>0</v>
      </c>
      <c r="Q48">
        <f>'Input Scenarios'!Q113</f>
        <v>0</v>
      </c>
      <c r="R48" t="b">
        <f>'Input Scenarios'!R48</f>
        <v>1</v>
      </c>
      <c r="S48">
        <f>IF('Input Scenarios'!S113&lt;&gt;"", 'Input Scenarios'!S113, IF(R113, Constants!$B$38, 0))</f>
        <v>0.25</v>
      </c>
      <c r="T48" t="str">
        <f>IF('Input Scenarios'!T113&lt;&gt;"", 'Input Scenarios'!T113, "")</f>
        <v/>
      </c>
      <c r="U48">
        <f>IF('Input Scenarios'!U113&lt;&gt;"", 'Input Scenarios'!U113, IF(W48&lt;&gt;"", "", Constants!$B$39))</f>
        <v>4</v>
      </c>
      <c r="V48">
        <f>IF('Input Scenarios'!V113&lt;&gt;"", 'Input Scenarios'!V113, IF(W48&lt;&gt;"", "", Constants!$B$40))</f>
        <v>3.3</v>
      </c>
      <c r="W48" t="str">
        <f>IF('Input Scenarios'!W113&lt;&gt;"", 'Input Scenarios'!W113, "")</f>
        <v/>
      </c>
      <c r="X48" t="str">
        <f>'Input Scenarios'!X113</f>
        <v>Brown Swiss</v>
      </c>
      <c r="Y48" t="str">
        <f>'Input Scenarios'!Y113</f>
        <v>bullsLt1PreWeaned</v>
      </c>
      <c r="Z48">
        <f>'Input Scenarios'!Z113</f>
        <v>200</v>
      </c>
      <c r="AA48">
        <f>'Input Scenarios'!AA113</f>
        <v>124</v>
      </c>
      <c r="AB48">
        <f>'Input Scenarios'!AB113</f>
        <v>225</v>
      </c>
      <c r="AC48" t="str">
        <f>IF('Input Scenarios'!AC113&lt;&gt;"", 'Input Scenarios'!AC113, _xlfn.XLOOKUP(Y48, Constants!$B$13:$H$13, Constants!$B$15:$H$15, ""))</f>
        <v/>
      </c>
      <c r="AD48">
        <f>IF('Input Scenarios'!AD113&lt;&gt;"", 'Input Scenarios'!AD113, Constants!$B$45)</f>
        <v>0.75</v>
      </c>
      <c r="AE48">
        <f>IF('Input Scenarios'!AE113&lt;&gt;"", 'Input Scenarios'!AE113, Constants!$B$46)</f>
        <v>0.2</v>
      </c>
      <c r="AF48">
        <f t="shared" si="26"/>
        <v>0</v>
      </c>
      <c r="AG48">
        <f t="shared" si="26"/>
        <v>0</v>
      </c>
      <c r="AH48">
        <f t="shared" si="26"/>
        <v>0</v>
      </c>
      <c r="AI48">
        <f t="shared" si="26"/>
        <v>0</v>
      </c>
      <c r="AJ48">
        <f t="shared" si="27"/>
        <v>1</v>
      </c>
      <c r="AK48">
        <f t="shared" si="38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13"/>
        <v>0.5948500000000001</v>
      </c>
      <c r="AQ48">
        <f t="shared" si="14"/>
        <v>0</v>
      </c>
      <c r="AR48">
        <f>IF(Y48="milkingCows", Constants!$P$2, Constants!$P$3)</f>
        <v>1</v>
      </c>
      <c r="AS48" t="str">
        <f t="shared" si="15"/>
        <v/>
      </c>
      <c r="AT48" t="str">
        <f t="shared" si="16"/>
        <v/>
      </c>
      <c r="AU48" t="str">
        <f>_xlfn.XLOOKUP(Y48, Constants!$B$13:$H$13, Constants!$B$14:$H$14, "")</f>
        <v/>
      </c>
      <c r="AV48" t="str">
        <f t="shared" si="17"/>
        <v/>
      </c>
      <c r="AW48">
        <f>Constants!$B$55</f>
        <v>6.25</v>
      </c>
      <c r="AX48" t="str">
        <f t="shared" si="29"/>
        <v/>
      </c>
      <c r="AY48" t="str">
        <f t="shared" si="30"/>
        <v/>
      </c>
      <c r="AZ48" t="str">
        <f t="shared" si="18"/>
        <v/>
      </c>
      <c r="BA48">
        <f>IF(ISNUMBER(FIND("PreWeaned",Y48)),_xlfn.XLOOKUP(Y48,Constants!$J$2:$J$3,Constants!$M$2:$M$3),"")</f>
        <v>9.1999999999999998E-3</v>
      </c>
      <c r="BB48">
        <f t="shared" si="31"/>
        <v>228.15999999999997</v>
      </c>
      <c r="BC48">
        <f t="shared" si="32"/>
        <v>0</v>
      </c>
      <c r="BD48">
        <f t="shared" si="33"/>
        <v>0</v>
      </c>
      <c r="BE48">
        <f t="shared" si="34"/>
        <v>0</v>
      </c>
      <c r="BF48">
        <f t="shared" si="35"/>
        <v>0</v>
      </c>
      <c r="BG48">
        <f t="shared" si="36"/>
        <v>228.15999999999997</v>
      </c>
      <c r="BH48">
        <f>Constants!$D$19</f>
        <v>0.35</v>
      </c>
      <c r="BI48">
        <f>Constants!$D$20</f>
        <v>7.0000000000000007E-2</v>
      </c>
      <c r="BJ48">
        <f>Constants!$D$21</f>
        <v>0.2</v>
      </c>
      <c r="BK48">
        <f>Constants!$D$22</f>
        <v>0.3</v>
      </c>
      <c r="BL48">
        <f>Constants!$D$23</f>
        <v>0</v>
      </c>
      <c r="BM48">
        <f>Constants!$B$51</f>
        <v>0.21</v>
      </c>
      <c r="BN48">
        <f>Constants!$B$50</f>
        <v>1.57</v>
      </c>
      <c r="BO48">
        <f>_xlfn.XLOOKUP(C48,Constants!$A$27:$A$31,Constants!$B$27:$B$31)</f>
        <v>2.8999999999999998E-3</v>
      </c>
      <c r="BP48">
        <f t="shared" si="37"/>
        <v>0</v>
      </c>
      <c r="BQ48">
        <f t="shared" si="37"/>
        <v>0</v>
      </c>
      <c r="BR48">
        <f t="shared" si="37"/>
        <v>0</v>
      </c>
      <c r="BS48">
        <f t="shared" si="37"/>
        <v>0</v>
      </c>
      <c r="BT48">
        <f t="shared" si="37"/>
        <v>0</v>
      </c>
      <c r="BU48">
        <f t="shared" si="20"/>
        <v>47.913599999999988</v>
      </c>
      <c r="BV48">
        <f t="shared" si="21"/>
        <v>0</v>
      </c>
      <c r="BW48">
        <f t="shared" si="22"/>
        <v>0.21815062079999994</v>
      </c>
    </row>
    <row r="49" spans="1:76" s="16" customFormat="1" x14ac:dyDescent="0.2">
      <c r="A49" s="16" t="str">
        <f>'Input Scenarios'!A114</f>
        <v>ACT</v>
      </c>
      <c r="B49" s="16">
        <f>'Input Scenarios'!B114</f>
        <v>12</v>
      </c>
      <c r="C49" s="16" t="str">
        <f>'Input Scenarios'!C114</f>
        <v>Non-irrigated crop (low rainfall)</v>
      </c>
      <c r="D49" s="16" t="str">
        <f>'Input Scenarios'!D114</f>
        <v>wet</v>
      </c>
      <c r="E49" s="16" t="b">
        <f>'Input Scenarios'!E114</f>
        <v>1</v>
      </c>
      <c r="G49" s="16">
        <f>'Input Scenarios'!G114</f>
        <v>0.45</v>
      </c>
      <c r="H49" s="16">
        <f>'Input Scenarios'!H114</f>
        <v>0.2</v>
      </c>
      <c r="I49" s="16">
        <f>'Input Scenarios'!I114</f>
        <v>0.35</v>
      </c>
      <c r="J49" s="16">
        <f>'Input Scenarios'!J114</f>
        <v>0</v>
      </c>
      <c r="K49" s="16">
        <f>'Input Scenarios'!K114</f>
        <v>0</v>
      </c>
      <c r="L49" s="16">
        <f>'Input Scenarios'!L114</f>
        <v>1</v>
      </c>
      <c r="M49" s="16">
        <f>'Input Scenarios'!M114</f>
        <v>0</v>
      </c>
      <c r="N49" s="16">
        <f>'Input Scenarios'!N114</f>
        <v>1</v>
      </c>
      <c r="O49" s="16">
        <f>'Input Scenarios'!O114</f>
        <v>0</v>
      </c>
      <c r="P49" s="16">
        <f>'Input Scenarios'!P114</f>
        <v>0</v>
      </c>
      <c r="Q49" s="16">
        <f>'Input Scenarios'!Q114</f>
        <v>0</v>
      </c>
      <c r="R49" s="16" t="b">
        <f>'Input Scenarios'!R49</f>
        <v>1</v>
      </c>
      <c r="S49" s="16">
        <f>IF('Input Scenarios'!S114&lt;&gt;"", 'Input Scenarios'!S114, IF(R114, Constants!$B$38, 0))</f>
        <v>0.25</v>
      </c>
      <c r="T49" s="16" t="str">
        <f>IF('Input Scenarios'!T114&lt;&gt;"", 'Input Scenarios'!T114, "")</f>
        <v/>
      </c>
      <c r="U49" s="16">
        <f>IF('Input Scenarios'!U114&lt;&gt;"", 'Input Scenarios'!U114, IF(W49&lt;&gt;"", "", Constants!$B$39))</f>
        <v>4</v>
      </c>
      <c r="V49" s="16">
        <f>IF('Input Scenarios'!V114&lt;&gt;"", 'Input Scenarios'!V114, IF(W49&lt;&gt;"", "", Constants!$B$40))</f>
        <v>3.3</v>
      </c>
      <c r="W49" s="16" t="str">
        <f>IF('Input Scenarios'!W114&lt;&gt;"", 'Input Scenarios'!W114, "")</f>
        <v/>
      </c>
      <c r="X49" s="16" t="str">
        <f>'Input Scenarios'!X114</f>
        <v>Brown Swiss</v>
      </c>
      <c r="Y49" s="16" t="str">
        <f>'Input Scenarios'!Y114</f>
        <v>bullsLt1Weaned</v>
      </c>
      <c r="Z49" s="16">
        <f>'Input Scenarios'!Z114</f>
        <v>200</v>
      </c>
      <c r="AA49" s="16">
        <f>'Input Scenarios'!AA114</f>
        <v>294</v>
      </c>
      <c r="AB49" s="16">
        <f>'Input Scenarios'!AB114</f>
        <v>225</v>
      </c>
      <c r="AC49" s="16">
        <f>IF('Input Scenarios'!AC114&lt;&gt;"", 'Input Scenarios'!AC114, _xlfn.XLOOKUP(Y49, Constants!$B$13:$H$13, Constants!$B$15:$H$15, ""))</f>
        <v>0.8</v>
      </c>
      <c r="AD49" s="16">
        <f>IF('Input Scenarios'!AD114&lt;&gt;"", 'Input Scenarios'!AD114, Constants!$B$45)</f>
        <v>0.75</v>
      </c>
      <c r="AE49" s="16">
        <f>IF('Input Scenarios'!AE114&lt;&gt;"", 'Input Scenarios'!AE114, Constants!$B$46)</f>
        <v>0.2</v>
      </c>
      <c r="AF49" s="16">
        <f t="shared" si="26"/>
        <v>0</v>
      </c>
      <c r="AG49" s="16">
        <f t="shared" si="26"/>
        <v>0</v>
      </c>
      <c r="AH49" s="16">
        <f t="shared" si="26"/>
        <v>0</v>
      </c>
      <c r="AI49" s="16">
        <f t="shared" si="26"/>
        <v>0</v>
      </c>
      <c r="AJ49" s="16">
        <f t="shared" si="27"/>
        <v>1</v>
      </c>
      <c r="AK49" s="16">
        <f t="shared" si="38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13"/>
        <v>0.5948500000000001</v>
      </c>
      <c r="AQ49" s="16">
        <f t="shared" si="14"/>
        <v>0</v>
      </c>
      <c r="AR49" s="16">
        <f>IF(Y49="milkingCows", Constants!$P$2, Constants!$P$3)</f>
        <v>1</v>
      </c>
      <c r="AS49" s="16">
        <f t="shared" si="15"/>
        <v>5.4143472656250013</v>
      </c>
      <c r="AT49" s="16">
        <f t="shared" si="16"/>
        <v>1.2576570545672616</v>
      </c>
      <c r="AU49" s="16">
        <f>_xlfn.XLOOKUP(Y49, Constants!$B$13:$H$13, Constants!$B$14:$H$14, "")</f>
        <v>770</v>
      </c>
      <c r="AV49" s="16">
        <f t="shared" si="17"/>
        <v>0.29220779220779219</v>
      </c>
      <c r="AW49" s="16">
        <f>Constants!$B$55</f>
        <v>6.25</v>
      </c>
      <c r="AX49" s="16">
        <f t="shared" si="29"/>
        <v>1.9757354894894084E-2</v>
      </c>
      <c r="AY49" s="16">
        <f t="shared" si="30"/>
        <v>1.0828694531250003</v>
      </c>
      <c r="AZ49" s="16">
        <f t="shared" si="18"/>
        <v>0.15247929000170721</v>
      </c>
      <c r="BA49" s="16" t="str">
        <f>IF(ISNUMBER(FIND("PreWeaned",Y49)),_xlfn.XLOOKUP(Y49,Constants!$J$2:$J$3,Constants!$M$2:$M$3),"")</f>
        <v/>
      </c>
      <c r="BB49" s="16">
        <f t="shared" si="31"/>
        <v>8965.7822521003836</v>
      </c>
      <c r="BC49" s="16">
        <f t="shared" si="32"/>
        <v>0</v>
      </c>
      <c r="BD49" s="16">
        <f t="shared" si="33"/>
        <v>0</v>
      </c>
      <c r="BE49" s="16">
        <f t="shared" si="34"/>
        <v>0</v>
      </c>
      <c r="BF49" s="16">
        <f t="shared" si="35"/>
        <v>0</v>
      </c>
      <c r="BG49" s="16">
        <f t="shared" si="36"/>
        <v>8965.7822521003836</v>
      </c>
      <c r="BH49" s="16">
        <f>Constants!$D$19</f>
        <v>0.35</v>
      </c>
      <c r="BI49" s="16">
        <f>Constants!$D$20</f>
        <v>7.0000000000000007E-2</v>
      </c>
      <c r="BJ49" s="16">
        <f>Constants!$D$21</f>
        <v>0.2</v>
      </c>
      <c r="BK49" s="16">
        <f>Constants!$D$22</f>
        <v>0.3</v>
      </c>
      <c r="BL49" s="16">
        <f>Constants!$D$23</f>
        <v>0</v>
      </c>
      <c r="BM49" s="16">
        <f>Constants!$B$51</f>
        <v>0.21</v>
      </c>
      <c r="BN49" s="16">
        <f>Constants!$B$50</f>
        <v>1.57</v>
      </c>
      <c r="BO49" s="16">
        <f>_xlfn.XLOOKUP(C49,Constants!$A$27:$A$31,Constants!$B$27:$B$31)</f>
        <v>2.8999999999999998E-3</v>
      </c>
      <c r="BP49" s="16">
        <f t="shared" si="37"/>
        <v>0</v>
      </c>
      <c r="BQ49" s="16">
        <f t="shared" si="37"/>
        <v>0</v>
      </c>
      <c r="BR49" s="16">
        <f t="shared" si="37"/>
        <v>0</v>
      </c>
      <c r="BS49" s="16">
        <f t="shared" si="37"/>
        <v>0</v>
      </c>
      <c r="BT49" s="16">
        <f t="shared" si="37"/>
        <v>0</v>
      </c>
      <c r="BU49" s="16">
        <f t="shared" si="20"/>
        <v>1882.8142729410804</v>
      </c>
      <c r="BV49" s="16">
        <f t="shared" si="21"/>
        <v>0</v>
      </c>
      <c r="BW49" s="16">
        <f t="shared" si="22"/>
        <v>8.5724533847007383</v>
      </c>
    </row>
    <row r="50" spans="1:76" x14ac:dyDescent="0.2">
      <c r="A50" t="str">
        <f>'Input Scenarios'!A115</f>
        <v>WA</v>
      </c>
      <c r="B50">
        <f>'Input Scenarios'!B115</f>
        <v>24</v>
      </c>
      <c r="C50" t="str">
        <f>'Input Scenarios'!C115</f>
        <v>Irrigated pasture</v>
      </c>
      <c r="D50" t="str">
        <f>'Input Scenarios'!D115</f>
        <v>dry</v>
      </c>
      <c r="E50" t="b">
        <f>'Input Scenarios'!E115</f>
        <v>0</v>
      </c>
      <c r="G50">
        <f>'Input Scenarios'!G115</f>
        <v>0.82</v>
      </c>
      <c r="H50">
        <f>'Input Scenarios'!H115</f>
        <v>0.08</v>
      </c>
      <c r="I50">
        <f>'Input Scenarios'!I115</f>
        <v>0.1</v>
      </c>
      <c r="J50">
        <f>'Input Scenarios'!J115</f>
        <v>0</v>
      </c>
      <c r="K50">
        <f>'Input Scenarios'!K115</f>
        <v>0.5</v>
      </c>
      <c r="L50">
        <f>'Input Scenarios'!L115</f>
        <v>0.5</v>
      </c>
      <c r="M50">
        <f>'Input Scenarios'!M115</f>
        <v>0</v>
      </c>
      <c r="N50">
        <f>'Input Scenarios'!N115</f>
        <v>0.5</v>
      </c>
      <c r="O50">
        <f>'Input Scenarios'!O115</f>
        <v>0</v>
      </c>
      <c r="P50">
        <f>'Input Scenarios'!P115</f>
        <v>0</v>
      </c>
      <c r="Q50">
        <f>'Input Scenarios'!Q115</f>
        <v>0.5</v>
      </c>
      <c r="R50" t="b">
        <f>'Input Scenarios'!R50</f>
        <v>0</v>
      </c>
      <c r="S50">
        <f>IF('Input Scenarios'!S115&lt;&gt;"", 'Input Scenarios'!S115, IF(R115, Constants!$B$38, 0))</f>
        <v>0</v>
      </c>
      <c r="T50" s="20">
        <f>IF('Input Scenarios'!T115&lt;&gt;"", 'Input Scenarios'!T115, "")</f>
        <v>2.5</v>
      </c>
      <c r="U50" s="20">
        <f>IF('Input Scenarios'!U115&lt;&gt;"", 'Input Scenarios'!U115, IF(W50&lt;&gt;"", "", Constants!$B$39))</f>
        <v>3.3</v>
      </c>
      <c r="V50" s="20">
        <f>IF('Input Scenarios'!V115&lt;&gt;"", 'Input Scenarios'!V115, IF(W50&lt;&gt;"", "", Constants!$B$40))</f>
        <v>4.4000000000000004</v>
      </c>
      <c r="W50" s="20" t="str">
        <f>IF('Input Scenarios'!W115&lt;&gt;"", 'Input Scenarios'!W115, "")</f>
        <v/>
      </c>
      <c r="X50" s="20" t="str">
        <f>'Input Scenarios'!X115</f>
        <v>Illawarra/Aussie Red</v>
      </c>
      <c r="Y50" s="20" t="str">
        <f>'Input Scenarios'!Y115</f>
        <v>milkingCows</v>
      </c>
      <c r="Z50" s="20">
        <f>'Input Scenarios'!Z115</f>
        <v>200</v>
      </c>
      <c r="AA50" s="20">
        <f>'Input Scenarios'!AA115</f>
        <v>365</v>
      </c>
      <c r="AB50" s="20">
        <f>'Input Scenarios'!AB115</f>
        <v>540</v>
      </c>
      <c r="AC50">
        <f>IF('Input Scenarios'!AC115&lt;&gt;"", 'Input Scenarios'!AC115, _xlfn.XLOOKUP(Y50, Constants!$B$13:$H$13, Constants!$B$15:$H$15, ""))</f>
        <v>1.6E-2</v>
      </c>
      <c r="AD50">
        <f>IF('Input Scenarios'!AD115&lt;&gt;"", 'Input Scenarios'!AD115, Constants!$B$45)</f>
        <v>0.75</v>
      </c>
      <c r="AE50">
        <f>IF('Input Scenarios'!AE115&lt;&gt;"", 'Input Scenarios'!AE115, Constants!$B$46)</f>
        <v>0.2</v>
      </c>
      <c r="AF50" s="20">
        <f t="shared" si="26"/>
        <v>0.05</v>
      </c>
      <c r="AG50" s="20">
        <f t="shared" si="26"/>
        <v>0.04</v>
      </c>
      <c r="AH50" s="20">
        <f t="shared" si="26"/>
        <v>0.04</v>
      </c>
      <c r="AI50" s="20">
        <f t="shared" si="26"/>
        <v>0.05</v>
      </c>
      <c r="AJ50" s="20">
        <f t="shared" si="27"/>
        <v>0.82</v>
      </c>
      <c r="AK50">
        <f t="shared" si="38"/>
        <v>32.467532467532465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13"/>
        <v>0.5948500000000001</v>
      </c>
      <c r="AQ50">
        <f t="shared" si="14"/>
        <v>15.551740525336351</v>
      </c>
      <c r="AR50">
        <f>IF(Y50="milkingCows", Constants!$P$2, Constants!$P$3)</f>
        <v>1.1000000000000001</v>
      </c>
      <c r="AS50">
        <f t="shared" si="15"/>
        <v>24.697643126776352</v>
      </c>
      <c r="AT50">
        <f t="shared" si="16"/>
        <v>1.0012950812553587</v>
      </c>
      <c r="AU50">
        <f>_xlfn.XLOOKUP(Y50, Constants!$B$13:$H$13, Constants!$B$14:$H$14, "")</f>
        <v>590</v>
      </c>
      <c r="AV50">
        <f t="shared" si="17"/>
        <v>0.9152542372881356</v>
      </c>
      <c r="AW50">
        <f>Constants!$B$55</f>
        <v>6.25</v>
      </c>
      <c r="AX50" s="20">
        <f t="shared" si="29"/>
        <v>0.1679166761056404</v>
      </c>
      <c r="AY50">
        <f t="shared" si="30"/>
        <v>4.9395286253552708</v>
      </c>
      <c r="AZ50">
        <f t="shared" si="18"/>
        <v>0.62043635307915301</v>
      </c>
      <c r="BA50" t="str">
        <f>IF(ISNUMBER(FIND("PreWeaned",Y50)),_xlfn.XLOOKUP(Y50,Constants!$J$2:$J$3,Constants!$M$2:$M$3),"")</f>
        <v/>
      </c>
      <c r="BB50">
        <f t="shared" si="31"/>
        <v>45291.853774778174</v>
      </c>
      <c r="BC50">
        <f t="shared" si="32"/>
        <v>2264.5926887389087</v>
      </c>
      <c r="BD50">
        <f t="shared" si="33"/>
        <v>1811.6741509911269</v>
      </c>
      <c r="BE50">
        <f t="shared" si="34"/>
        <v>1811.6741509911269</v>
      </c>
      <c r="BF50">
        <f t="shared" si="35"/>
        <v>2264.5926887389087</v>
      </c>
      <c r="BG50">
        <f t="shared" si="36"/>
        <v>37139.3200953181</v>
      </c>
      <c r="BH50">
        <f>Constants!$D$19</f>
        <v>0.35</v>
      </c>
      <c r="BI50">
        <f>Constants!$D$20</f>
        <v>7.0000000000000007E-2</v>
      </c>
      <c r="BJ50">
        <f>Constants!$D$21</f>
        <v>0.2</v>
      </c>
      <c r="BK50">
        <f>Constants!$D$22</f>
        <v>0.3</v>
      </c>
      <c r="BL50">
        <f>Constants!$D$23</f>
        <v>0</v>
      </c>
      <c r="BM50">
        <f>Constants!$B$51</f>
        <v>0.21</v>
      </c>
      <c r="BN50">
        <f>Constants!$B$50</f>
        <v>1.57</v>
      </c>
      <c r="BO50">
        <f>_xlfn.XLOOKUP(C50,Constants!$A$27:$A$31,Constants!$B$27:$B$31)</f>
        <v>5.8999999999999999E-3</v>
      </c>
      <c r="BP50">
        <f t="shared" si="37"/>
        <v>792.60744105861795</v>
      </c>
      <c r="BQ50">
        <f t="shared" si="37"/>
        <v>126.81719056937889</v>
      </c>
      <c r="BR50">
        <f t="shared" si="37"/>
        <v>362.3348301982254</v>
      </c>
      <c r="BS50">
        <f t="shared" si="37"/>
        <v>679.37780662167256</v>
      </c>
      <c r="BT50">
        <f t="shared" si="37"/>
        <v>0</v>
      </c>
      <c r="BU50">
        <f t="shared" si="20"/>
        <v>7799.2572200168006</v>
      </c>
      <c r="BV50">
        <f t="shared" si="21"/>
        <v>18.166014517632853</v>
      </c>
      <c r="BW50">
        <f t="shared" si="22"/>
        <v>72.244519629015613</v>
      </c>
      <c r="BX50">
        <f>SUM(BV50:BW56)/1000</f>
        <v>0.18584718984903165</v>
      </c>
    </row>
    <row r="51" spans="1:76" x14ac:dyDescent="0.2">
      <c r="A51" t="str">
        <f>'Input Scenarios'!A116</f>
        <v>WA</v>
      </c>
      <c r="B51">
        <f>'Input Scenarios'!B116</f>
        <v>24</v>
      </c>
      <c r="C51" t="str">
        <f>'Input Scenarios'!C116</f>
        <v>Irrigated pasture</v>
      </c>
      <c r="D51" t="str">
        <f>'Input Scenarios'!D116</f>
        <v>dry</v>
      </c>
      <c r="E51" t="b">
        <f>'Input Scenarios'!E116</f>
        <v>0</v>
      </c>
      <c r="G51">
        <f>'Input Scenarios'!G116</f>
        <v>0.82</v>
      </c>
      <c r="H51">
        <f>'Input Scenarios'!H116</f>
        <v>0.08</v>
      </c>
      <c r="I51">
        <f>'Input Scenarios'!I116</f>
        <v>0.1</v>
      </c>
      <c r="J51">
        <f>'Input Scenarios'!J116</f>
        <v>0</v>
      </c>
      <c r="K51">
        <f>'Input Scenarios'!K116</f>
        <v>0.5</v>
      </c>
      <c r="L51">
        <f>'Input Scenarios'!L116</f>
        <v>0.5</v>
      </c>
      <c r="M51">
        <f>'Input Scenarios'!M116</f>
        <v>0</v>
      </c>
      <c r="N51">
        <f>'Input Scenarios'!N116</f>
        <v>0.5</v>
      </c>
      <c r="O51">
        <f>'Input Scenarios'!O116</f>
        <v>0</v>
      </c>
      <c r="P51">
        <f>'Input Scenarios'!P116</f>
        <v>0</v>
      </c>
      <c r="Q51">
        <f>'Input Scenarios'!Q116</f>
        <v>0.5</v>
      </c>
      <c r="R51" t="b">
        <f>'Input Scenarios'!R51</f>
        <v>0</v>
      </c>
      <c r="S51">
        <f>IF('Input Scenarios'!S116&lt;&gt;"", 'Input Scenarios'!S116, IF(R116, Constants!$B$38, 0))</f>
        <v>0</v>
      </c>
      <c r="T51" t="str">
        <f>IF('Input Scenarios'!T116&lt;&gt;"", 'Input Scenarios'!T116, "")</f>
        <v/>
      </c>
      <c r="U51">
        <f>IF('Input Scenarios'!U116&lt;&gt;"", 'Input Scenarios'!U116, IF(W51&lt;&gt;"", "", Constants!$B$39))</f>
        <v>4</v>
      </c>
      <c r="V51">
        <f>IF('Input Scenarios'!V116&lt;&gt;"", 'Input Scenarios'!V116, IF(W51&lt;&gt;"", "", Constants!$B$40))</f>
        <v>3.3</v>
      </c>
      <c r="W51" t="str">
        <f>IF('Input Scenarios'!W116&lt;&gt;"", 'Input Scenarios'!W116, "")</f>
        <v/>
      </c>
      <c r="X51" t="str">
        <f>'Input Scenarios'!X116</f>
        <v>Illawarra/Aussie Red</v>
      </c>
      <c r="Y51" t="str">
        <f>'Input Scenarios'!Y116</f>
        <v>heifersGt1</v>
      </c>
      <c r="Z51">
        <f>'Input Scenarios'!Z116</f>
        <v>200</v>
      </c>
      <c r="AA51">
        <f>'Input Scenarios'!AA116</f>
        <v>265</v>
      </c>
      <c r="AB51">
        <f>'Input Scenarios'!AB116</f>
        <v>375</v>
      </c>
      <c r="AC51">
        <f>IF('Input Scenarios'!AC116&lt;&gt;"", 'Input Scenarios'!AC116, _xlfn.XLOOKUP(Y51, Constants!$B$13:$H$13, Constants!$B$15:$H$15, ""))</f>
        <v>0.6</v>
      </c>
      <c r="AD51">
        <f>IF('Input Scenarios'!AD116&lt;&gt;"", 'Input Scenarios'!AD116, Constants!$B$45)</f>
        <v>0.75</v>
      </c>
      <c r="AE51">
        <f>IF('Input Scenarios'!AE116&lt;&gt;"", 'Input Scenarios'!AE116, Constants!$B$46)</f>
        <v>0.2</v>
      </c>
      <c r="AF51">
        <f t="shared" si="26"/>
        <v>0</v>
      </c>
      <c r="AG51">
        <f t="shared" si="26"/>
        <v>0</v>
      </c>
      <c r="AH51">
        <f t="shared" si="26"/>
        <v>0</v>
      </c>
      <c r="AI51">
        <f t="shared" si="26"/>
        <v>0</v>
      </c>
      <c r="AJ51">
        <f t="shared" si="27"/>
        <v>1</v>
      </c>
      <c r="AK51">
        <f t="shared" si="38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13"/>
        <v>0.5948500000000001</v>
      </c>
      <c r="AQ51">
        <f t="shared" si="14"/>
        <v>0</v>
      </c>
      <c r="AR51">
        <f>IF(Y51="milkingCows", Constants!$P$2, Constants!$P$3)</f>
        <v>1</v>
      </c>
      <c r="AS51">
        <f t="shared" si="15"/>
        <v>7.3488432656250007</v>
      </c>
      <c r="AT51">
        <f t="shared" si="16"/>
        <v>1.1555051146335733</v>
      </c>
      <c r="AU51">
        <f>_xlfn.XLOOKUP(Y51, Constants!$B$13:$H$13, Constants!$B$14:$H$14, "")</f>
        <v>590</v>
      </c>
      <c r="AV51">
        <f t="shared" si="17"/>
        <v>0.63559322033898302</v>
      </c>
      <c r="AW51">
        <f>Constants!$B$55</f>
        <v>6.25</v>
      </c>
      <c r="AX51">
        <f t="shared" si="29"/>
        <v>8.8952563417278308E-3</v>
      </c>
      <c r="AY51">
        <f t="shared" si="30"/>
        <v>1.4697686531250003</v>
      </c>
      <c r="AZ51">
        <f t="shared" si="18"/>
        <v>0.2247679185945351</v>
      </c>
      <c r="BA51" t="str">
        <f>IF(ISNUMBER(FIND("PreWeaned",Y51)),_xlfn.XLOOKUP(Y51,Constants!$J$2:$J$3,Constants!$M$2:$M$3),"")</f>
        <v/>
      </c>
      <c r="BB51">
        <f t="shared" si="31"/>
        <v>11912.699685510361</v>
      </c>
      <c r="BC51">
        <f t="shared" si="32"/>
        <v>0</v>
      </c>
      <c r="BD51">
        <f t="shared" si="33"/>
        <v>0</v>
      </c>
      <c r="BE51">
        <f t="shared" si="34"/>
        <v>0</v>
      </c>
      <c r="BF51">
        <f t="shared" si="35"/>
        <v>0</v>
      </c>
      <c r="BG51">
        <f t="shared" si="36"/>
        <v>11912.699685510361</v>
      </c>
      <c r="BH51">
        <f>Constants!$D$19</f>
        <v>0.35</v>
      </c>
      <c r="BI51">
        <f>Constants!$D$20</f>
        <v>7.0000000000000007E-2</v>
      </c>
      <c r="BJ51">
        <f>Constants!$D$21</f>
        <v>0.2</v>
      </c>
      <c r="BK51">
        <f>Constants!$D$22</f>
        <v>0.3</v>
      </c>
      <c r="BL51">
        <f>Constants!$D$23</f>
        <v>0</v>
      </c>
      <c r="BM51">
        <f>Constants!$B$51</f>
        <v>0.21</v>
      </c>
      <c r="BN51">
        <f>Constants!$B$50</f>
        <v>1.57</v>
      </c>
      <c r="BO51">
        <f>_xlfn.XLOOKUP(C51,Constants!$A$27:$A$31,Constants!$B$27:$B$31)</f>
        <v>5.8999999999999999E-3</v>
      </c>
      <c r="BP51">
        <f t="shared" si="37"/>
        <v>0</v>
      </c>
      <c r="BQ51">
        <f t="shared" si="37"/>
        <v>0</v>
      </c>
      <c r="BR51">
        <f t="shared" si="37"/>
        <v>0</v>
      </c>
      <c r="BS51">
        <f t="shared" si="37"/>
        <v>0</v>
      </c>
      <c r="BT51">
        <f t="shared" si="37"/>
        <v>0</v>
      </c>
      <c r="BU51">
        <f t="shared" si="20"/>
        <v>2501.6669339571758</v>
      </c>
      <c r="BV51">
        <f t="shared" si="21"/>
        <v>0</v>
      </c>
      <c r="BW51">
        <f t="shared" si="22"/>
        <v>23.172940809245318</v>
      </c>
    </row>
    <row r="52" spans="1:76" x14ac:dyDescent="0.2">
      <c r="A52" t="str">
        <f>'Input Scenarios'!A117</f>
        <v>WA</v>
      </c>
      <c r="B52">
        <f>'Input Scenarios'!B117</f>
        <v>24</v>
      </c>
      <c r="C52" t="str">
        <f>'Input Scenarios'!C117</f>
        <v>Irrigated pasture</v>
      </c>
      <c r="D52" t="str">
        <f>'Input Scenarios'!D117</f>
        <v>dry</v>
      </c>
      <c r="E52" t="b">
        <f>'Input Scenarios'!E117</f>
        <v>0</v>
      </c>
      <c r="G52">
        <f>'Input Scenarios'!G117</f>
        <v>0.82</v>
      </c>
      <c r="H52">
        <f>'Input Scenarios'!H117</f>
        <v>0.08</v>
      </c>
      <c r="I52">
        <f>'Input Scenarios'!I117</f>
        <v>0.1</v>
      </c>
      <c r="J52">
        <f>'Input Scenarios'!J117</f>
        <v>0</v>
      </c>
      <c r="K52">
        <f>'Input Scenarios'!K117</f>
        <v>0.5</v>
      </c>
      <c r="L52">
        <f>'Input Scenarios'!L117</f>
        <v>0.5</v>
      </c>
      <c r="M52">
        <f>'Input Scenarios'!M117</f>
        <v>0</v>
      </c>
      <c r="N52">
        <f>'Input Scenarios'!N117</f>
        <v>0.5</v>
      </c>
      <c r="O52">
        <f>'Input Scenarios'!O117</f>
        <v>0</v>
      </c>
      <c r="P52">
        <f>'Input Scenarios'!P117</f>
        <v>0</v>
      </c>
      <c r="Q52">
        <f>'Input Scenarios'!Q117</f>
        <v>0.5</v>
      </c>
      <c r="R52" t="b">
        <f>'Input Scenarios'!R52</f>
        <v>0</v>
      </c>
      <c r="S52">
        <f>IF('Input Scenarios'!S117&lt;&gt;"", 'Input Scenarios'!S117, IF(R117, Constants!$B$38, 0))</f>
        <v>0</v>
      </c>
      <c r="T52" t="str">
        <f>IF('Input Scenarios'!T117&lt;&gt;"", 'Input Scenarios'!T117, "")</f>
        <v/>
      </c>
      <c r="U52">
        <f>IF('Input Scenarios'!U117&lt;&gt;"", 'Input Scenarios'!U117, IF(W52&lt;&gt;"", "", Constants!$B$39))</f>
        <v>4</v>
      </c>
      <c r="V52">
        <f>IF('Input Scenarios'!V117&lt;&gt;"", 'Input Scenarios'!V117, IF(W52&lt;&gt;"", "", Constants!$B$40))</f>
        <v>3.3</v>
      </c>
      <c r="W52" t="str">
        <f>IF('Input Scenarios'!W117&lt;&gt;"", 'Input Scenarios'!W117, "")</f>
        <v/>
      </c>
      <c r="X52" t="str">
        <f>'Input Scenarios'!X117</f>
        <v>Illawarra/Aussie Red</v>
      </c>
      <c r="Y52" t="str">
        <f>'Input Scenarios'!Y117</f>
        <v>heifersLt1PreWeaned</v>
      </c>
      <c r="Z52">
        <f>'Input Scenarios'!Z117</f>
        <v>200</v>
      </c>
      <c r="AA52">
        <f>'Input Scenarios'!AA117</f>
        <v>100</v>
      </c>
      <c r="AB52">
        <f>'Input Scenarios'!AB117</f>
        <v>150</v>
      </c>
      <c r="AC52" t="str">
        <f>IF('Input Scenarios'!AC117&lt;&gt;"", 'Input Scenarios'!AC117, _xlfn.XLOOKUP(Y52, Constants!$B$13:$H$13, Constants!$B$15:$H$15, ""))</f>
        <v/>
      </c>
      <c r="AD52">
        <f>IF('Input Scenarios'!AD117&lt;&gt;"", 'Input Scenarios'!AD117, Constants!$B$45)</f>
        <v>0.75</v>
      </c>
      <c r="AE52">
        <f>IF('Input Scenarios'!AE117&lt;&gt;"", 'Input Scenarios'!AE117, Constants!$B$46)</f>
        <v>0.2</v>
      </c>
      <c r="AF52">
        <f t="shared" si="26"/>
        <v>0</v>
      </c>
      <c r="AG52">
        <f t="shared" si="26"/>
        <v>0</v>
      </c>
      <c r="AH52">
        <f t="shared" si="26"/>
        <v>0</v>
      </c>
      <c r="AI52">
        <f t="shared" si="26"/>
        <v>0</v>
      </c>
      <c r="AJ52">
        <f t="shared" si="27"/>
        <v>1</v>
      </c>
      <c r="AK52">
        <f t="shared" si="38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13"/>
        <v>0.5948500000000001</v>
      </c>
      <c r="AQ52">
        <f t="shared" si="14"/>
        <v>0</v>
      </c>
      <c r="AR52">
        <f>IF(Y52="milkingCows", Constants!$P$2, Constants!$P$3)</f>
        <v>1</v>
      </c>
      <c r="AS52" t="str">
        <f t="shared" si="15"/>
        <v/>
      </c>
      <c r="AT52" t="str">
        <f t="shared" si="16"/>
        <v/>
      </c>
      <c r="AU52" t="str">
        <f>_xlfn.XLOOKUP(Y52, Constants!$B$13:$H$13, Constants!$B$14:$H$14, "")</f>
        <v/>
      </c>
      <c r="AV52" t="str">
        <f t="shared" si="17"/>
        <v/>
      </c>
      <c r="AW52">
        <f>Constants!$B$55</f>
        <v>6.25</v>
      </c>
      <c r="AX52" t="str">
        <f t="shared" si="29"/>
        <v/>
      </c>
      <c r="AY52" t="str">
        <f t="shared" si="30"/>
        <v/>
      </c>
      <c r="AZ52" t="str">
        <f t="shared" si="18"/>
        <v/>
      </c>
      <c r="BA52">
        <f>IF(ISNUMBER(FIND("PreWeaned",Y52)),_xlfn.XLOOKUP(Y52,Constants!$J$2:$J$3,Constants!$M$2:$M$3),"")</f>
        <v>1.37E-2</v>
      </c>
      <c r="BB52">
        <f t="shared" si="31"/>
        <v>274</v>
      </c>
      <c r="BC52">
        <f t="shared" si="32"/>
        <v>0</v>
      </c>
      <c r="BD52">
        <f t="shared" si="33"/>
        <v>0</v>
      </c>
      <c r="BE52">
        <f t="shared" si="34"/>
        <v>0</v>
      </c>
      <c r="BF52">
        <f t="shared" si="35"/>
        <v>0</v>
      </c>
      <c r="BG52">
        <f t="shared" si="36"/>
        <v>274</v>
      </c>
      <c r="BH52">
        <f>Constants!$D$19</f>
        <v>0.35</v>
      </c>
      <c r="BI52">
        <f>Constants!$D$20</f>
        <v>7.0000000000000007E-2</v>
      </c>
      <c r="BJ52">
        <f>Constants!$D$21</f>
        <v>0.2</v>
      </c>
      <c r="BK52">
        <f>Constants!$D$22</f>
        <v>0.3</v>
      </c>
      <c r="BL52">
        <f>Constants!$D$23</f>
        <v>0</v>
      </c>
      <c r="BM52">
        <f>Constants!$B$51</f>
        <v>0.21</v>
      </c>
      <c r="BN52">
        <f>Constants!$B$50</f>
        <v>1.57</v>
      </c>
      <c r="BO52">
        <f>_xlfn.XLOOKUP(C52,Constants!$A$27:$A$31,Constants!$B$27:$B$31)</f>
        <v>5.8999999999999999E-3</v>
      </c>
      <c r="BP52">
        <f t="shared" si="37"/>
        <v>0</v>
      </c>
      <c r="BQ52">
        <f t="shared" si="37"/>
        <v>0</v>
      </c>
      <c r="BR52">
        <f t="shared" si="37"/>
        <v>0</v>
      </c>
      <c r="BS52">
        <f t="shared" si="37"/>
        <v>0</v>
      </c>
      <c r="BT52">
        <f t="shared" si="37"/>
        <v>0</v>
      </c>
      <c r="BU52">
        <f t="shared" si="20"/>
        <v>57.54</v>
      </c>
      <c r="BV52">
        <f t="shared" si="21"/>
        <v>0</v>
      </c>
      <c r="BW52">
        <f t="shared" si="22"/>
        <v>0.53299302000000004</v>
      </c>
    </row>
    <row r="53" spans="1:76" x14ac:dyDescent="0.2">
      <c r="A53" t="str">
        <f>'Input Scenarios'!A118</f>
        <v>WA</v>
      </c>
      <c r="B53">
        <f>'Input Scenarios'!B118</f>
        <v>24</v>
      </c>
      <c r="C53" t="str">
        <f>'Input Scenarios'!C118</f>
        <v>Irrigated pasture</v>
      </c>
      <c r="D53" t="str">
        <f>'Input Scenarios'!D118</f>
        <v>dry</v>
      </c>
      <c r="E53" t="b">
        <f>'Input Scenarios'!E118</f>
        <v>0</v>
      </c>
      <c r="G53">
        <f>'Input Scenarios'!G118</f>
        <v>0.82</v>
      </c>
      <c r="H53">
        <f>'Input Scenarios'!H118</f>
        <v>0.08</v>
      </c>
      <c r="I53">
        <f>'Input Scenarios'!I118</f>
        <v>0.1</v>
      </c>
      <c r="J53">
        <f>'Input Scenarios'!J118</f>
        <v>0</v>
      </c>
      <c r="K53">
        <f>'Input Scenarios'!K118</f>
        <v>0.5</v>
      </c>
      <c r="L53">
        <f>'Input Scenarios'!L118</f>
        <v>0.5</v>
      </c>
      <c r="M53">
        <f>'Input Scenarios'!M118</f>
        <v>0</v>
      </c>
      <c r="N53">
        <f>'Input Scenarios'!N118</f>
        <v>0.5</v>
      </c>
      <c r="O53">
        <f>'Input Scenarios'!O118</f>
        <v>0</v>
      </c>
      <c r="P53">
        <f>'Input Scenarios'!P118</f>
        <v>0</v>
      </c>
      <c r="Q53">
        <f>'Input Scenarios'!Q118</f>
        <v>0.5</v>
      </c>
      <c r="R53" t="b">
        <f>'Input Scenarios'!R53</f>
        <v>0</v>
      </c>
      <c r="S53">
        <f>IF('Input Scenarios'!S118&lt;&gt;"", 'Input Scenarios'!S118, IF(R118, Constants!$B$38, 0))</f>
        <v>0</v>
      </c>
      <c r="T53" t="str">
        <f>IF('Input Scenarios'!T118&lt;&gt;"", 'Input Scenarios'!T118, "")</f>
        <v/>
      </c>
      <c r="U53">
        <f>IF('Input Scenarios'!U118&lt;&gt;"", 'Input Scenarios'!U118, IF(W53&lt;&gt;"", "", Constants!$B$39))</f>
        <v>4</v>
      </c>
      <c r="V53">
        <f>IF('Input Scenarios'!V118&lt;&gt;"", 'Input Scenarios'!V118, IF(W53&lt;&gt;"", "", Constants!$B$40))</f>
        <v>3.3</v>
      </c>
      <c r="W53" t="str">
        <f>IF('Input Scenarios'!W118&lt;&gt;"", 'Input Scenarios'!W118, "")</f>
        <v/>
      </c>
      <c r="X53" t="str">
        <f>'Input Scenarios'!X118</f>
        <v>Illawarra/Aussie Red</v>
      </c>
      <c r="Y53" t="str">
        <f>'Input Scenarios'!Y118</f>
        <v>heifersLt1Weaned</v>
      </c>
      <c r="Z53">
        <f>'Input Scenarios'!Z118</f>
        <v>200</v>
      </c>
      <c r="AA53">
        <f>'Input Scenarios'!AA118</f>
        <v>360</v>
      </c>
      <c r="AB53">
        <f>'Input Scenarios'!AB118</f>
        <v>150</v>
      </c>
      <c r="AC53">
        <f>IF('Input Scenarios'!AC118&lt;&gt;"", 'Input Scenarios'!AC118, _xlfn.XLOOKUP(Y53, Constants!$B$13:$H$13, Constants!$B$15:$H$15, ""))</f>
        <v>0.56999999999999995</v>
      </c>
      <c r="AD53">
        <f>IF('Input Scenarios'!AD118&lt;&gt;"", 'Input Scenarios'!AD118, Constants!$B$45)</f>
        <v>0.75</v>
      </c>
      <c r="AE53">
        <f>IF('Input Scenarios'!AE118&lt;&gt;"", 'Input Scenarios'!AE118, Constants!$B$46)</f>
        <v>0.2</v>
      </c>
      <c r="AF53">
        <f t="shared" si="26"/>
        <v>0</v>
      </c>
      <c r="AG53">
        <f t="shared" si="26"/>
        <v>0</v>
      </c>
      <c r="AH53">
        <f t="shared" si="26"/>
        <v>0</v>
      </c>
      <c r="AI53">
        <f t="shared" si="26"/>
        <v>0</v>
      </c>
      <c r="AJ53">
        <f t="shared" si="27"/>
        <v>1</v>
      </c>
      <c r="AK53">
        <f t="shared" si="38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13"/>
        <v>0.5948500000000001</v>
      </c>
      <c r="AQ53">
        <f t="shared" si="14"/>
        <v>0</v>
      </c>
      <c r="AR53">
        <f>IF(Y53="milkingCows", Constants!$P$2, Constants!$P$3)</f>
        <v>1</v>
      </c>
      <c r="AS53">
        <f t="shared" si="15"/>
        <v>3.9483677025000001</v>
      </c>
      <c r="AT53">
        <f t="shared" si="16"/>
        <v>1.2085398598508978</v>
      </c>
      <c r="AU53">
        <f>_xlfn.XLOOKUP(Y53, Constants!$B$13:$H$13, Constants!$B$14:$H$14, "")</f>
        <v>590</v>
      </c>
      <c r="AV53">
        <f t="shared" si="17"/>
        <v>0.25423728813559321</v>
      </c>
      <c r="AW53">
        <f>Constants!$B$55</f>
        <v>6.25</v>
      </c>
      <c r="AX53">
        <f t="shared" si="29"/>
        <v>1.4705504454277429E-2</v>
      </c>
      <c r="AY53">
        <f t="shared" si="30"/>
        <v>0.78967354050000005</v>
      </c>
      <c r="AZ53">
        <f t="shared" si="18"/>
        <v>0.1108878977522821</v>
      </c>
      <c r="BA53" t="str">
        <f>IF(ISNUMBER(FIND("PreWeaned",Y53)),_xlfn.XLOOKUP(Y53,Constants!$J$2:$J$3,Constants!$M$2:$M$3),"")</f>
        <v/>
      </c>
      <c r="BB53">
        <f t="shared" si="31"/>
        <v>7983.9286381643105</v>
      </c>
      <c r="BC53">
        <f t="shared" si="32"/>
        <v>0</v>
      </c>
      <c r="BD53">
        <f t="shared" si="33"/>
        <v>0</v>
      </c>
      <c r="BE53">
        <f t="shared" si="34"/>
        <v>0</v>
      </c>
      <c r="BF53">
        <f t="shared" si="35"/>
        <v>0</v>
      </c>
      <c r="BG53">
        <f t="shared" si="36"/>
        <v>7983.9286381643105</v>
      </c>
      <c r="BH53">
        <f>Constants!$D$19</f>
        <v>0.35</v>
      </c>
      <c r="BI53">
        <f>Constants!$D$20</f>
        <v>7.0000000000000007E-2</v>
      </c>
      <c r="BJ53">
        <f>Constants!$D$21</f>
        <v>0.2</v>
      </c>
      <c r="BK53">
        <f>Constants!$D$22</f>
        <v>0.3</v>
      </c>
      <c r="BL53">
        <f>Constants!$D$23</f>
        <v>0</v>
      </c>
      <c r="BM53">
        <f>Constants!$B$51</f>
        <v>0.21</v>
      </c>
      <c r="BN53">
        <f>Constants!$B$50</f>
        <v>1.57</v>
      </c>
      <c r="BO53">
        <f>_xlfn.XLOOKUP(C53,Constants!$A$27:$A$31,Constants!$B$27:$B$31)</f>
        <v>5.8999999999999999E-3</v>
      </c>
      <c r="BP53">
        <f t="shared" si="37"/>
        <v>0</v>
      </c>
      <c r="BQ53">
        <f t="shared" si="37"/>
        <v>0</v>
      </c>
      <c r="BR53">
        <f t="shared" si="37"/>
        <v>0</v>
      </c>
      <c r="BS53">
        <f t="shared" si="37"/>
        <v>0</v>
      </c>
      <c r="BT53">
        <f t="shared" si="37"/>
        <v>0</v>
      </c>
      <c r="BU53">
        <f t="shared" si="20"/>
        <v>1676.625014014505</v>
      </c>
      <c r="BV53">
        <f t="shared" si="21"/>
        <v>0</v>
      </c>
      <c r="BW53">
        <f t="shared" si="22"/>
        <v>15.53057750481636</v>
      </c>
    </row>
    <row r="54" spans="1:76" x14ac:dyDescent="0.2">
      <c r="A54" t="str">
        <f>'Input Scenarios'!A119</f>
        <v>WA</v>
      </c>
      <c r="B54">
        <f>'Input Scenarios'!B119</f>
        <v>24</v>
      </c>
      <c r="C54" t="str">
        <f>'Input Scenarios'!C119</f>
        <v>Irrigated pasture</v>
      </c>
      <c r="D54" t="str">
        <f>'Input Scenarios'!D119</f>
        <v>dry</v>
      </c>
      <c r="E54" t="b">
        <f>'Input Scenarios'!E119</f>
        <v>0</v>
      </c>
      <c r="G54">
        <f>'Input Scenarios'!G119</f>
        <v>0.82</v>
      </c>
      <c r="H54">
        <f>'Input Scenarios'!H119</f>
        <v>0.08</v>
      </c>
      <c r="I54">
        <f>'Input Scenarios'!I119</f>
        <v>0.1</v>
      </c>
      <c r="J54">
        <f>'Input Scenarios'!J119</f>
        <v>0</v>
      </c>
      <c r="K54">
        <f>'Input Scenarios'!K119</f>
        <v>0.5</v>
      </c>
      <c r="L54">
        <f>'Input Scenarios'!L119</f>
        <v>0.5</v>
      </c>
      <c r="M54">
        <f>'Input Scenarios'!M119</f>
        <v>0</v>
      </c>
      <c r="N54">
        <f>'Input Scenarios'!N119</f>
        <v>0.5</v>
      </c>
      <c r="O54">
        <f>'Input Scenarios'!O119</f>
        <v>0</v>
      </c>
      <c r="P54">
        <f>'Input Scenarios'!P119</f>
        <v>0</v>
      </c>
      <c r="Q54">
        <f>'Input Scenarios'!Q119</f>
        <v>0.5</v>
      </c>
      <c r="R54" t="b">
        <f>'Input Scenarios'!R54</f>
        <v>0</v>
      </c>
      <c r="S54">
        <f>IF('Input Scenarios'!S119&lt;&gt;"", 'Input Scenarios'!S119, IF(R119, Constants!$B$38, 0))</f>
        <v>0</v>
      </c>
      <c r="T54" t="str">
        <f>IF('Input Scenarios'!T119&lt;&gt;"", 'Input Scenarios'!T119, "")</f>
        <v/>
      </c>
      <c r="U54">
        <f>IF('Input Scenarios'!U119&lt;&gt;"", 'Input Scenarios'!U119, IF(W54&lt;&gt;"", "", Constants!$B$39))</f>
        <v>4</v>
      </c>
      <c r="V54">
        <f>IF('Input Scenarios'!V119&lt;&gt;"", 'Input Scenarios'!V119, IF(W54&lt;&gt;"", "", Constants!$B$40))</f>
        <v>3.3</v>
      </c>
      <c r="W54" t="str">
        <f>IF('Input Scenarios'!W119&lt;&gt;"", 'Input Scenarios'!W119, "")</f>
        <v/>
      </c>
      <c r="X54" t="str">
        <f>'Input Scenarios'!X119</f>
        <v>Illawarra/Aussie Red</v>
      </c>
      <c r="Y54" t="str">
        <f>'Input Scenarios'!Y119</f>
        <v>bullsGt1</v>
      </c>
      <c r="Z54">
        <f>'Input Scenarios'!Z119</f>
        <v>200</v>
      </c>
      <c r="AA54">
        <f>'Input Scenarios'!AA119</f>
        <v>345</v>
      </c>
      <c r="AB54">
        <f>'Input Scenarios'!AB119</f>
        <v>600</v>
      </c>
      <c r="AC54">
        <f>IF('Input Scenarios'!AC119&lt;&gt;"", 'Input Scenarios'!AC119, _xlfn.XLOOKUP(Y54, Constants!$B$13:$H$13, Constants!$B$15:$H$15, ""))</f>
        <v>0.1</v>
      </c>
      <c r="AD54">
        <f>IF('Input Scenarios'!AD119&lt;&gt;"", 'Input Scenarios'!AD119, Constants!$B$45)</f>
        <v>0.75</v>
      </c>
      <c r="AE54">
        <f>IF('Input Scenarios'!AE119&lt;&gt;"", 'Input Scenarios'!AE119, Constants!$B$46)</f>
        <v>0.2</v>
      </c>
      <c r="AF54">
        <f t="shared" si="26"/>
        <v>0</v>
      </c>
      <c r="AG54">
        <f t="shared" si="26"/>
        <v>0</v>
      </c>
      <c r="AH54">
        <f t="shared" si="26"/>
        <v>0</v>
      </c>
      <c r="AI54">
        <f t="shared" si="26"/>
        <v>0</v>
      </c>
      <c r="AJ54">
        <f t="shared" si="27"/>
        <v>1</v>
      </c>
      <c r="AK54">
        <f t="shared" si="38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13"/>
        <v>0.5948500000000001</v>
      </c>
      <c r="AQ54">
        <f t="shared" si="14"/>
        <v>0</v>
      </c>
      <c r="AR54">
        <f>IF(Y54="milkingCows", Constants!$P$2, Constants!$P$3)</f>
        <v>1</v>
      </c>
      <c r="AS54">
        <f t="shared" si="15"/>
        <v>9.0270202499999979</v>
      </c>
      <c r="AT54">
        <f t="shared" si="16"/>
        <v>1.0213029780639273</v>
      </c>
      <c r="AU54">
        <f>_xlfn.XLOOKUP(Y54, Constants!$B$13:$H$13, Constants!$B$14:$H$14, "")</f>
        <v>770</v>
      </c>
      <c r="AV54">
        <f t="shared" si="17"/>
        <v>0.77922077922077926</v>
      </c>
      <c r="AW54">
        <f>Constants!$B$55</f>
        <v>6.25</v>
      </c>
      <c r="AX54">
        <f t="shared" si="29"/>
        <v>1.2626203146474679E-3</v>
      </c>
      <c r="AY54">
        <f t="shared" si="30"/>
        <v>1.8054040499999997</v>
      </c>
      <c r="AZ54">
        <f t="shared" si="18"/>
        <v>0.28546836331241399</v>
      </c>
      <c r="BA54" t="str">
        <f>IF(ISNUMBER(FIND("PreWeaned",Y54)),_xlfn.XLOOKUP(Y54,Constants!$J$2:$J$3,Constants!$M$2:$M$3),"")</f>
        <v/>
      </c>
      <c r="BB54">
        <f t="shared" si="31"/>
        <v>19697.317068556564</v>
      </c>
      <c r="BC54">
        <f t="shared" si="32"/>
        <v>0</v>
      </c>
      <c r="BD54">
        <f t="shared" si="33"/>
        <v>0</v>
      </c>
      <c r="BE54">
        <f t="shared" si="34"/>
        <v>0</v>
      </c>
      <c r="BF54">
        <f t="shared" si="35"/>
        <v>0</v>
      </c>
      <c r="BG54">
        <f t="shared" si="36"/>
        <v>19697.317068556564</v>
      </c>
      <c r="BH54">
        <f>Constants!$D$19</f>
        <v>0.35</v>
      </c>
      <c r="BI54">
        <f>Constants!$D$20</f>
        <v>7.0000000000000007E-2</v>
      </c>
      <c r="BJ54">
        <f>Constants!$D$21</f>
        <v>0.2</v>
      </c>
      <c r="BK54">
        <f>Constants!$D$22</f>
        <v>0.3</v>
      </c>
      <c r="BL54">
        <f>Constants!$D$23</f>
        <v>0</v>
      </c>
      <c r="BM54">
        <f>Constants!$B$51</f>
        <v>0.21</v>
      </c>
      <c r="BN54">
        <f>Constants!$B$50</f>
        <v>1.57</v>
      </c>
      <c r="BO54">
        <f>_xlfn.XLOOKUP(C54,Constants!$A$27:$A$31,Constants!$B$27:$B$31)</f>
        <v>5.8999999999999999E-3</v>
      </c>
      <c r="BP54">
        <f t="shared" si="37"/>
        <v>0</v>
      </c>
      <c r="BQ54">
        <f t="shared" si="37"/>
        <v>0</v>
      </c>
      <c r="BR54">
        <f t="shared" si="37"/>
        <v>0</v>
      </c>
      <c r="BS54">
        <f t="shared" si="37"/>
        <v>0</v>
      </c>
      <c r="BT54">
        <f t="shared" si="37"/>
        <v>0</v>
      </c>
      <c r="BU54">
        <f t="shared" si="20"/>
        <v>4136.4365843968781</v>
      </c>
      <c r="BV54">
        <f t="shared" si="21"/>
        <v>0</v>
      </c>
      <c r="BW54">
        <f t="shared" si="22"/>
        <v>38.315812081268277</v>
      </c>
    </row>
    <row r="55" spans="1:76" x14ac:dyDescent="0.2">
      <c r="A55" t="str">
        <f>'Input Scenarios'!A120</f>
        <v>WA</v>
      </c>
      <c r="B55">
        <f>'Input Scenarios'!B120</f>
        <v>24</v>
      </c>
      <c r="C55" t="str">
        <f>'Input Scenarios'!C120</f>
        <v>Irrigated pasture</v>
      </c>
      <c r="D55" t="str">
        <f>'Input Scenarios'!D120</f>
        <v>dry</v>
      </c>
      <c r="E55" t="b">
        <f>'Input Scenarios'!E120</f>
        <v>0</v>
      </c>
      <c r="G55">
        <f>'Input Scenarios'!G120</f>
        <v>0.82</v>
      </c>
      <c r="H55">
        <f>'Input Scenarios'!H120</f>
        <v>0.08</v>
      </c>
      <c r="I55">
        <f>'Input Scenarios'!I120</f>
        <v>0.1</v>
      </c>
      <c r="J55">
        <f>'Input Scenarios'!J120</f>
        <v>0</v>
      </c>
      <c r="K55">
        <f>'Input Scenarios'!K120</f>
        <v>0.5</v>
      </c>
      <c r="L55">
        <f>'Input Scenarios'!L120</f>
        <v>0.5</v>
      </c>
      <c r="M55">
        <f>'Input Scenarios'!M120</f>
        <v>0</v>
      </c>
      <c r="N55">
        <f>'Input Scenarios'!N120</f>
        <v>0.5</v>
      </c>
      <c r="O55">
        <f>'Input Scenarios'!O120</f>
        <v>0</v>
      </c>
      <c r="P55">
        <f>'Input Scenarios'!P120</f>
        <v>0</v>
      </c>
      <c r="Q55">
        <f>'Input Scenarios'!Q120</f>
        <v>0.5</v>
      </c>
      <c r="R55" t="b">
        <f>'Input Scenarios'!R55</f>
        <v>0</v>
      </c>
      <c r="S55">
        <f>IF('Input Scenarios'!S120&lt;&gt;"", 'Input Scenarios'!S120, IF(R120, Constants!$B$38, 0))</f>
        <v>0</v>
      </c>
      <c r="T55" t="str">
        <f>IF('Input Scenarios'!T120&lt;&gt;"", 'Input Scenarios'!T120, "")</f>
        <v/>
      </c>
      <c r="U55">
        <f>IF('Input Scenarios'!U120&lt;&gt;"", 'Input Scenarios'!U120, IF(W55&lt;&gt;"", "", Constants!$B$39))</f>
        <v>4</v>
      </c>
      <c r="V55">
        <f>IF('Input Scenarios'!V120&lt;&gt;"", 'Input Scenarios'!V120, IF(W55&lt;&gt;"", "", Constants!$B$40))</f>
        <v>3.3</v>
      </c>
      <c r="W55" t="str">
        <f>IF('Input Scenarios'!W120&lt;&gt;"", 'Input Scenarios'!W120, "")</f>
        <v/>
      </c>
      <c r="X55" t="str">
        <f>'Input Scenarios'!X120</f>
        <v>Illawarra/Aussie Red</v>
      </c>
      <c r="Y55" t="str">
        <f>'Input Scenarios'!Y120</f>
        <v>bullsLt1PreWeaned</v>
      </c>
      <c r="Z55">
        <f>'Input Scenarios'!Z120</f>
        <v>200</v>
      </c>
      <c r="AA55">
        <f>'Input Scenarios'!AA120</f>
        <v>124</v>
      </c>
      <c r="AB55">
        <f>'Input Scenarios'!AB120</f>
        <v>225</v>
      </c>
      <c r="AC55" t="str">
        <f>IF('Input Scenarios'!AC120&lt;&gt;"", 'Input Scenarios'!AC120, _xlfn.XLOOKUP(Y55, Constants!$B$13:$H$13, Constants!$B$15:$H$15, ""))</f>
        <v/>
      </c>
      <c r="AD55">
        <f>IF('Input Scenarios'!AD120&lt;&gt;"", 'Input Scenarios'!AD120, Constants!$B$45)</f>
        <v>0.75</v>
      </c>
      <c r="AE55">
        <f>IF('Input Scenarios'!AE120&lt;&gt;"", 'Input Scenarios'!AE120, Constants!$B$46)</f>
        <v>0.2</v>
      </c>
      <c r="AF55">
        <f t="shared" si="26"/>
        <v>0</v>
      </c>
      <c r="AG55">
        <f t="shared" si="26"/>
        <v>0</v>
      </c>
      <c r="AH55">
        <f t="shared" si="26"/>
        <v>0</v>
      </c>
      <c r="AI55">
        <f t="shared" si="26"/>
        <v>0</v>
      </c>
      <c r="AJ55">
        <f t="shared" si="27"/>
        <v>1</v>
      </c>
      <c r="AK55">
        <f t="shared" si="38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13"/>
        <v>0.5948500000000001</v>
      </c>
      <c r="AQ55">
        <f t="shared" si="14"/>
        <v>0</v>
      </c>
      <c r="AR55">
        <f>IF(Y55="milkingCows", Constants!$P$2, Constants!$P$3)</f>
        <v>1</v>
      </c>
      <c r="AS55" t="str">
        <f t="shared" si="15"/>
        <v/>
      </c>
      <c r="AT55" t="str">
        <f t="shared" si="16"/>
        <v/>
      </c>
      <c r="AU55" t="str">
        <f>_xlfn.XLOOKUP(Y55, Constants!$B$13:$H$13, Constants!$B$14:$H$14, "")</f>
        <v/>
      </c>
      <c r="AV55" t="str">
        <f t="shared" si="17"/>
        <v/>
      </c>
      <c r="AW55">
        <f>Constants!$B$55</f>
        <v>6.25</v>
      </c>
      <c r="AX55" t="str">
        <f t="shared" si="29"/>
        <v/>
      </c>
      <c r="AY55" t="str">
        <f t="shared" si="30"/>
        <v/>
      </c>
      <c r="AZ55" t="str">
        <f t="shared" si="18"/>
        <v/>
      </c>
      <c r="BA55">
        <f>IF(ISNUMBER(FIND("PreWeaned",Y55)),_xlfn.XLOOKUP(Y55,Constants!$J$2:$J$3,Constants!$M$2:$M$3),"")</f>
        <v>9.1999999999999998E-3</v>
      </c>
      <c r="BB55">
        <f t="shared" si="31"/>
        <v>228.15999999999997</v>
      </c>
      <c r="BC55">
        <f t="shared" si="32"/>
        <v>0</v>
      </c>
      <c r="BD55">
        <f t="shared" si="33"/>
        <v>0</v>
      </c>
      <c r="BE55">
        <f t="shared" si="34"/>
        <v>0</v>
      </c>
      <c r="BF55">
        <f t="shared" si="35"/>
        <v>0</v>
      </c>
      <c r="BG55">
        <f t="shared" si="36"/>
        <v>228.15999999999997</v>
      </c>
      <c r="BH55">
        <f>Constants!$D$19</f>
        <v>0.35</v>
      </c>
      <c r="BI55">
        <f>Constants!$D$20</f>
        <v>7.0000000000000007E-2</v>
      </c>
      <c r="BJ55">
        <f>Constants!$D$21</f>
        <v>0.2</v>
      </c>
      <c r="BK55">
        <f>Constants!$D$22</f>
        <v>0.3</v>
      </c>
      <c r="BL55">
        <f>Constants!$D$23</f>
        <v>0</v>
      </c>
      <c r="BM55">
        <f>Constants!$B$51</f>
        <v>0.21</v>
      </c>
      <c r="BN55">
        <f>Constants!$B$50</f>
        <v>1.57</v>
      </c>
      <c r="BO55">
        <f>_xlfn.XLOOKUP(C55,Constants!$A$27:$A$31,Constants!$B$27:$B$31)</f>
        <v>5.8999999999999999E-3</v>
      </c>
      <c r="BP55">
        <f t="shared" si="37"/>
        <v>0</v>
      </c>
      <c r="BQ55">
        <f t="shared" si="37"/>
        <v>0</v>
      </c>
      <c r="BR55">
        <f t="shared" si="37"/>
        <v>0</v>
      </c>
      <c r="BS55">
        <f t="shared" si="37"/>
        <v>0</v>
      </c>
      <c r="BT55">
        <f t="shared" si="37"/>
        <v>0</v>
      </c>
      <c r="BU55">
        <f t="shared" si="20"/>
        <v>47.913599999999988</v>
      </c>
      <c r="BV55">
        <f t="shared" si="21"/>
        <v>0</v>
      </c>
      <c r="BW55">
        <f t="shared" si="22"/>
        <v>0.4438236767999999</v>
      </c>
    </row>
    <row r="56" spans="1:76" s="16" customFormat="1" x14ac:dyDescent="0.2">
      <c r="A56" s="16" t="str">
        <f>'Input Scenarios'!A121</f>
        <v>WA</v>
      </c>
      <c r="B56" s="16">
        <f>'Input Scenarios'!B121</f>
        <v>24</v>
      </c>
      <c r="C56" s="16" t="str">
        <f>'Input Scenarios'!C121</f>
        <v>Irrigated pasture</v>
      </c>
      <c r="D56" s="16" t="str">
        <f>'Input Scenarios'!D121</f>
        <v>dry</v>
      </c>
      <c r="E56" s="16" t="b">
        <f>'Input Scenarios'!E121</f>
        <v>0</v>
      </c>
      <c r="G56" s="16">
        <f>'Input Scenarios'!G121</f>
        <v>0.82</v>
      </c>
      <c r="H56" s="16">
        <f>'Input Scenarios'!H121</f>
        <v>0.08</v>
      </c>
      <c r="I56" s="16">
        <f>'Input Scenarios'!I121</f>
        <v>0.1</v>
      </c>
      <c r="J56" s="16">
        <f>'Input Scenarios'!J121</f>
        <v>0</v>
      </c>
      <c r="K56" s="16">
        <f>'Input Scenarios'!K121</f>
        <v>0.5</v>
      </c>
      <c r="L56" s="16">
        <f>'Input Scenarios'!L121</f>
        <v>0.5</v>
      </c>
      <c r="M56" s="16">
        <f>'Input Scenarios'!M121</f>
        <v>0</v>
      </c>
      <c r="N56" s="16">
        <f>'Input Scenarios'!N121</f>
        <v>0.5</v>
      </c>
      <c r="O56" s="16">
        <f>'Input Scenarios'!O121</f>
        <v>0</v>
      </c>
      <c r="P56" s="16">
        <f>'Input Scenarios'!P121</f>
        <v>0</v>
      </c>
      <c r="Q56" s="16">
        <f>'Input Scenarios'!Q121</f>
        <v>0.5</v>
      </c>
      <c r="R56" s="16" t="b">
        <f>'Input Scenarios'!R56</f>
        <v>0</v>
      </c>
      <c r="S56" s="16">
        <f>IF('Input Scenarios'!S121&lt;&gt;"", 'Input Scenarios'!S121, IF(R121, Constants!$B$38, 0))</f>
        <v>0</v>
      </c>
      <c r="T56" s="16" t="str">
        <f>IF('Input Scenarios'!T121&lt;&gt;"", 'Input Scenarios'!T121, "")</f>
        <v/>
      </c>
      <c r="U56" s="16">
        <f>IF('Input Scenarios'!U121&lt;&gt;"", 'Input Scenarios'!U121, IF(W56&lt;&gt;"", "", Constants!$B$39))</f>
        <v>4</v>
      </c>
      <c r="V56" s="16">
        <f>IF('Input Scenarios'!V121&lt;&gt;"", 'Input Scenarios'!V121, IF(W56&lt;&gt;"", "", Constants!$B$40))</f>
        <v>3.3</v>
      </c>
      <c r="W56" s="16" t="str">
        <f>IF('Input Scenarios'!W121&lt;&gt;"", 'Input Scenarios'!W121, "")</f>
        <v/>
      </c>
      <c r="X56" s="16" t="str">
        <f>'Input Scenarios'!X121</f>
        <v>Illawarra/Aussie Red</v>
      </c>
      <c r="Y56" s="16" t="str">
        <f>'Input Scenarios'!Y121</f>
        <v>bullsLt1Weaned</v>
      </c>
      <c r="Z56" s="16">
        <f>'Input Scenarios'!Z121</f>
        <v>200</v>
      </c>
      <c r="AA56" s="16">
        <f>'Input Scenarios'!AA121</f>
        <v>294</v>
      </c>
      <c r="AB56" s="16">
        <f>'Input Scenarios'!AB121</f>
        <v>225</v>
      </c>
      <c r="AC56" s="16">
        <f>IF('Input Scenarios'!AC121&lt;&gt;"", 'Input Scenarios'!AC121, _xlfn.XLOOKUP(Y56, Constants!$B$13:$H$13, Constants!$B$15:$H$15, ""))</f>
        <v>0.8</v>
      </c>
      <c r="AD56" s="16">
        <f>IF('Input Scenarios'!AD121&lt;&gt;"", 'Input Scenarios'!AD121, Constants!$B$45)</f>
        <v>0.75</v>
      </c>
      <c r="AE56" s="16">
        <f>IF('Input Scenarios'!AE121&lt;&gt;"", 'Input Scenarios'!AE121, Constants!$B$46)</f>
        <v>0.2</v>
      </c>
      <c r="AF56" s="16">
        <f t="shared" si="26"/>
        <v>0</v>
      </c>
      <c r="AG56" s="16">
        <f t="shared" si="26"/>
        <v>0</v>
      </c>
      <c r="AH56" s="16">
        <f t="shared" si="26"/>
        <v>0</v>
      </c>
      <c r="AI56" s="16">
        <f t="shared" si="26"/>
        <v>0</v>
      </c>
      <c r="AJ56" s="16">
        <f t="shared" si="27"/>
        <v>1</v>
      </c>
      <c r="AK56" s="16">
        <f t="shared" si="38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13"/>
        <v>0.5948500000000001</v>
      </c>
      <c r="AQ56" s="16">
        <f t="shared" si="14"/>
        <v>0</v>
      </c>
      <c r="AR56" s="16">
        <f>IF(Y56="milkingCows", Constants!$P$2, Constants!$P$3)</f>
        <v>1</v>
      </c>
      <c r="AS56" s="16">
        <f t="shared" si="15"/>
        <v>5.4143472656250013</v>
      </c>
      <c r="AT56" s="16">
        <f t="shared" si="16"/>
        <v>1.2576570545672616</v>
      </c>
      <c r="AU56" s="16">
        <f>_xlfn.XLOOKUP(Y56, Constants!$B$13:$H$13, Constants!$B$14:$H$14, "")</f>
        <v>770</v>
      </c>
      <c r="AV56" s="16">
        <f t="shared" si="17"/>
        <v>0.29220779220779219</v>
      </c>
      <c r="AW56" s="16">
        <f>Constants!$B$55</f>
        <v>6.25</v>
      </c>
      <c r="AX56" s="16">
        <f t="shared" si="29"/>
        <v>1.9757354894894084E-2</v>
      </c>
      <c r="AY56" s="16">
        <f t="shared" si="30"/>
        <v>1.0828694531250003</v>
      </c>
      <c r="AZ56" s="16">
        <f t="shared" si="18"/>
        <v>0.15247929000170721</v>
      </c>
      <c r="BA56" s="16" t="str">
        <f>IF(ISNUMBER(FIND("PreWeaned",Y56)),_xlfn.XLOOKUP(Y56,Constants!$J$2:$J$3,Constants!$M$2:$M$3),"")</f>
        <v/>
      </c>
      <c r="BB56" s="16">
        <f t="shared" si="31"/>
        <v>8965.7822521003836</v>
      </c>
      <c r="BC56" s="16">
        <f t="shared" si="32"/>
        <v>0</v>
      </c>
      <c r="BD56" s="16">
        <f t="shared" si="33"/>
        <v>0</v>
      </c>
      <c r="BE56" s="16">
        <f t="shared" si="34"/>
        <v>0</v>
      </c>
      <c r="BF56" s="16">
        <f t="shared" si="35"/>
        <v>0</v>
      </c>
      <c r="BG56" s="16">
        <f t="shared" si="36"/>
        <v>8965.7822521003836</v>
      </c>
      <c r="BH56" s="16">
        <f>Constants!$D$19</f>
        <v>0.35</v>
      </c>
      <c r="BI56" s="16">
        <f>Constants!$D$20</f>
        <v>7.0000000000000007E-2</v>
      </c>
      <c r="BJ56" s="16">
        <f>Constants!$D$21</f>
        <v>0.2</v>
      </c>
      <c r="BK56" s="16">
        <f>Constants!$D$22</f>
        <v>0.3</v>
      </c>
      <c r="BL56" s="16">
        <f>Constants!$D$23</f>
        <v>0</v>
      </c>
      <c r="BM56" s="16">
        <f>Constants!$B$51</f>
        <v>0.21</v>
      </c>
      <c r="BN56" s="16">
        <f>Constants!$B$50</f>
        <v>1.57</v>
      </c>
      <c r="BO56" s="16">
        <f>_xlfn.XLOOKUP(C56,Constants!$A$27:$A$31,Constants!$B$27:$B$31)</f>
        <v>5.8999999999999999E-3</v>
      </c>
      <c r="BP56" s="16">
        <f t="shared" si="37"/>
        <v>0</v>
      </c>
      <c r="BQ56" s="16">
        <f t="shared" si="37"/>
        <v>0</v>
      </c>
      <c r="BR56" s="16">
        <f t="shared" si="37"/>
        <v>0</v>
      </c>
      <c r="BS56" s="16">
        <f t="shared" si="37"/>
        <v>0</v>
      </c>
      <c r="BT56" s="16">
        <f t="shared" si="37"/>
        <v>0</v>
      </c>
      <c r="BU56" s="16">
        <f t="shared" si="20"/>
        <v>1882.8142729410804</v>
      </c>
      <c r="BV56" s="16">
        <f t="shared" si="21"/>
        <v>0</v>
      </c>
      <c r="BW56" s="16">
        <f t="shared" si="22"/>
        <v>17.440508610253229</v>
      </c>
    </row>
    <row r="57" spans="1:76" x14ac:dyDescent="0.2">
      <c r="A57" t="str">
        <f>'Input Scenarios'!A122</f>
        <v>SA</v>
      </c>
      <c r="B57">
        <f>'Input Scenarios'!B122</f>
        <v>17</v>
      </c>
      <c r="C57" t="str">
        <f>'Input Scenarios'!C122</f>
        <v>Irrigated crop</v>
      </c>
      <c r="D57" t="str">
        <f>'Input Scenarios'!D122</f>
        <v>dry</v>
      </c>
      <c r="E57" t="b">
        <f>'Input Scenarios'!E122</f>
        <v>1</v>
      </c>
      <c r="G57">
        <f>'Input Scenarios'!G122</f>
        <v>0.73</v>
      </c>
      <c r="H57">
        <f>'Input Scenarios'!H122</f>
        <v>0.16</v>
      </c>
      <c r="I57">
        <f>'Input Scenarios'!I122</f>
        <v>0.11</v>
      </c>
      <c r="J57">
        <f>'Input Scenarios'!J122</f>
        <v>0.1</v>
      </c>
      <c r="K57">
        <f>'Input Scenarios'!K122</f>
        <v>0.2</v>
      </c>
      <c r="L57">
        <f>'Input Scenarios'!L122</f>
        <v>0.3</v>
      </c>
      <c r="M57">
        <f>'Input Scenarios'!M122</f>
        <v>0.4</v>
      </c>
      <c r="N57">
        <f>'Input Scenarios'!N122</f>
        <v>0.4</v>
      </c>
      <c r="O57">
        <f>'Input Scenarios'!O122</f>
        <v>0.3</v>
      </c>
      <c r="P57">
        <f>'Input Scenarios'!P122</f>
        <v>0.2</v>
      </c>
      <c r="Q57">
        <f>'Input Scenarios'!Q122</f>
        <v>0.1</v>
      </c>
      <c r="R57" t="b">
        <f>'Input Scenarios'!R57</f>
        <v>0</v>
      </c>
      <c r="S57">
        <f>IF('Input Scenarios'!S122&lt;&gt;"", 'Input Scenarios'!S122, IF(R122, Constants!$B$38, 0))</f>
        <v>0</v>
      </c>
      <c r="T57" s="20" t="str">
        <f>IF('Input Scenarios'!T122&lt;&gt;"", 'Input Scenarios'!T122, "")</f>
        <v/>
      </c>
      <c r="U57" s="20" t="str">
        <f>IF('Input Scenarios'!U122&lt;&gt;"", 'Input Scenarios'!U122, IF(W57&lt;&gt;"", "", Constants!$B$39))</f>
        <v/>
      </c>
      <c r="V57" s="20" t="str">
        <f>IF('Input Scenarios'!V122&lt;&gt;"", 'Input Scenarios'!V122, IF(W57&lt;&gt;"", "", Constants!$B$40))</f>
        <v/>
      </c>
      <c r="W57" s="20">
        <f>IF('Input Scenarios'!W122&lt;&gt;"", 'Input Scenarios'!W122, "")</f>
        <v>0.1</v>
      </c>
      <c r="X57" s="20" t="str">
        <f>'Input Scenarios'!X122</f>
        <v>Guernsey</v>
      </c>
      <c r="Y57" s="20" t="str">
        <f>'Input Scenarios'!Y122</f>
        <v>milkingCows</v>
      </c>
      <c r="Z57" s="20">
        <f>'Input Scenarios'!Z122</f>
        <v>200</v>
      </c>
      <c r="AA57" s="20">
        <f>'Input Scenarios'!AA122</f>
        <v>365</v>
      </c>
      <c r="AB57" s="20">
        <f>'Input Scenarios'!AB122</f>
        <v>480</v>
      </c>
      <c r="AC57">
        <f>IF('Input Scenarios'!AC122&lt;&gt;"", 'Input Scenarios'!AC122, _xlfn.XLOOKUP(Y57, Constants!$B$13:$H$13, Constants!$B$15:$H$15, ""))</f>
        <v>1.6E-2</v>
      </c>
      <c r="AD57">
        <f>IF('Input Scenarios'!AD122&lt;&gt;"", 'Input Scenarios'!AD122, Constants!$B$45)</f>
        <v>0.75</v>
      </c>
      <c r="AE57">
        <f>IF('Input Scenarios'!AE122&lt;&gt;"", 'Input Scenarios'!AE122, Constants!$B$46)</f>
        <v>0.2</v>
      </c>
      <c r="AF57" s="20">
        <f>IF($Y57="milkingCows",($H57*J57)+($I57*N57), 0)</f>
        <v>6.0000000000000005E-2</v>
      </c>
      <c r="AG57" s="20">
        <f t="shared" ref="AG57:AI63" si="39">IF($Y57="milkingCows",($H57*K57)+($I57*O57), 0)</f>
        <v>6.5000000000000002E-2</v>
      </c>
      <c r="AH57" s="20">
        <f t="shared" si="39"/>
        <v>7.0000000000000007E-2</v>
      </c>
      <c r="AI57" s="20">
        <f t="shared" si="39"/>
        <v>7.4999999999999997E-2</v>
      </c>
      <c r="AJ57" s="20">
        <f>IF($Y57="milkingCows",G57, 1)</f>
        <v>0.73</v>
      </c>
      <c r="AK57">
        <f t="shared" si="38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13"/>
        <v>0.5948500000000001</v>
      </c>
      <c r="AQ57">
        <f t="shared" si="14"/>
        <v>4.7899360818035967E-2</v>
      </c>
      <c r="AR57">
        <f>IF(Y57="milkingCows", Constants!$P$2, Constants!$P$3)</f>
        <v>1.1000000000000001</v>
      </c>
      <c r="AS57">
        <f t="shared" si="15"/>
        <v>8.4893082048180375</v>
      </c>
      <c r="AT57">
        <f t="shared" si="16"/>
        <v>1.0036280191363305</v>
      </c>
      <c r="AU57">
        <f>_xlfn.XLOOKUP(Y57, Constants!$B$13:$H$13, Constants!$B$14:$H$14, "")</f>
        <v>590</v>
      </c>
      <c r="AV57">
        <f t="shared" si="17"/>
        <v>0.81355932203389836</v>
      </c>
      <c r="AW57">
        <f>Constants!$B$55</f>
        <v>6.25</v>
      </c>
      <c r="AX57" s="20">
        <f t="shared" si="29"/>
        <v>7.1308460484772421E-4</v>
      </c>
      <c r="AY57">
        <f t="shared" si="30"/>
        <v>1.6978616409636076</v>
      </c>
      <c r="AZ57">
        <f>IF(ISNUMBER(FIND("PreWeaned",Y57)),"", MAX((AY57/AW57)-AX57-(((1.1*10^-4)*(AB57^0.75))/AW57), 0))</f>
        <v>0.26913991763431183</v>
      </c>
      <c r="BA57" t="str">
        <f>IF(ISNUMBER(FIND("PreWeaned",Y57)),_xlfn.XLOOKUP(Y57,Constants!$J$2:$J$3,Constants!$M$2:$M$3),"")</f>
        <v/>
      </c>
      <c r="BB57">
        <f t="shared" si="31"/>
        <v>19647.213987304764</v>
      </c>
      <c r="BC57">
        <f t="shared" si="32"/>
        <v>1178.8328392382859</v>
      </c>
      <c r="BD57">
        <f t="shared" si="33"/>
        <v>1277.0689091748097</v>
      </c>
      <c r="BE57">
        <f t="shared" si="34"/>
        <v>1375.3049791113335</v>
      </c>
      <c r="BF57">
        <f t="shared" si="35"/>
        <v>1473.5410490478573</v>
      </c>
      <c r="BG57">
        <f t="shared" si="36"/>
        <v>14342.466210732477</v>
      </c>
      <c r="BH57">
        <f>Constants!$D$19</f>
        <v>0.35</v>
      </c>
      <c r="BI57">
        <f>Constants!$D$20</f>
        <v>7.0000000000000007E-2</v>
      </c>
      <c r="BJ57">
        <f>Constants!$D$21</f>
        <v>0.2</v>
      </c>
      <c r="BK57">
        <f>Constants!$D$22</f>
        <v>0.3</v>
      </c>
      <c r="BL57">
        <f>Constants!$D$23</f>
        <v>0</v>
      </c>
      <c r="BM57">
        <f>Constants!$B$51</f>
        <v>0.21</v>
      </c>
      <c r="BN57">
        <f>Constants!$B$50</f>
        <v>1.57</v>
      </c>
      <c r="BO57">
        <f>_xlfn.XLOOKUP(C57,Constants!$A$27:$A$31,Constants!$B$27:$B$31)</f>
        <v>7.0000000000000001E-3</v>
      </c>
      <c r="BP57">
        <f t="shared" si="37"/>
        <v>412.59149373340006</v>
      </c>
      <c r="BQ57">
        <f t="shared" si="37"/>
        <v>89.394823642236688</v>
      </c>
      <c r="BR57">
        <f t="shared" si="37"/>
        <v>275.0609958222667</v>
      </c>
      <c r="BS57">
        <f t="shared" si="37"/>
        <v>442.06231471435717</v>
      </c>
      <c r="BT57">
        <f t="shared" si="37"/>
        <v>0</v>
      </c>
      <c r="BU57">
        <f t="shared" si="20"/>
        <v>3011.9179042538199</v>
      </c>
      <c r="BV57">
        <f t="shared" si="21"/>
        <v>13.398014810755745</v>
      </c>
      <c r="BW57">
        <f t="shared" si="22"/>
        <v>33.100977767749484</v>
      </c>
      <c r="BX57">
        <f>SUM(BV57:BW63)/1000</f>
        <v>0.1565606069280718</v>
      </c>
    </row>
    <row r="58" spans="1:76" x14ac:dyDescent="0.2">
      <c r="A58" t="str">
        <f>'Input Scenarios'!A123</f>
        <v>SA</v>
      </c>
      <c r="B58">
        <f>'Input Scenarios'!B123</f>
        <v>17</v>
      </c>
      <c r="C58" t="str">
        <f>'Input Scenarios'!C123</f>
        <v>Irrigated crop</v>
      </c>
      <c r="D58" t="str">
        <f>'Input Scenarios'!D123</f>
        <v>dry</v>
      </c>
      <c r="E58" t="b">
        <f>'Input Scenarios'!E123</f>
        <v>1</v>
      </c>
      <c r="G58">
        <f>'Input Scenarios'!G123</f>
        <v>0.73</v>
      </c>
      <c r="H58">
        <f>'Input Scenarios'!H123</f>
        <v>0.16</v>
      </c>
      <c r="I58">
        <f>'Input Scenarios'!I123</f>
        <v>0.11</v>
      </c>
      <c r="J58">
        <f>'Input Scenarios'!J123</f>
        <v>0.1</v>
      </c>
      <c r="K58">
        <f>'Input Scenarios'!K123</f>
        <v>0.2</v>
      </c>
      <c r="L58">
        <f>'Input Scenarios'!L123</f>
        <v>0.3</v>
      </c>
      <c r="M58">
        <f>'Input Scenarios'!M123</f>
        <v>0.4</v>
      </c>
      <c r="N58">
        <f>'Input Scenarios'!N123</f>
        <v>0.4</v>
      </c>
      <c r="O58">
        <f>'Input Scenarios'!O123</f>
        <v>0.3</v>
      </c>
      <c r="P58">
        <f>'Input Scenarios'!P123</f>
        <v>0.2</v>
      </c>
      <c r="Q58">
        <f>'Input Scenarios'!Q123</f>
        <v>0.1</v>
      </c>
      <c r="R58" t="b">
        <f>'Input Scenarios'!R58</f>
        <v>0</v>
      </c>
      <c r="S58">
        <f>IF('Input Scenarios'!S123&lt;&gt;"", 'Input Scenarios'!S123, IF(R123, Constants!$B$38, 0))</f>
        <v>0</v>
      </c>
      <c r="T58" t="str">
        <f>IF('Input Scenarios'!T123&lt;&gt;"", 'Input Scenarios'!T123, "")</f>
        <v/>
      </c>
      <c r="U58">
        <f>IF('Input Scenarios'!U123&lt;&gt;"", 'Input Scenarios'!U123, IF(W58&lt;&gt;"", "", Constants!$B$39))</f>
        <v>4</v>
      </c>
      <c r="V58">
        <f>IF('Input Scenarios'!V123&lt;&gt;"", 'Input Scenarios'!V123, IF(W58&lt;&gt;"", "", Constants!$B$40))</f>
        <v>3.3</v>
      </c>
      <c r="W58" t="str">
        <f>IF('Input Scenarios'!W123&lt;&gt;"", 'Input Scenarios'!W123, "")</f>
        <v/>
      </c>
      <c r="X58" t="str">
        <f>'Input Scenarios'!X123</f>
        <v>Guernsey</v>
      </c>
      <c r="Y58" t="str">
        <f>'Input Scenarios'!Y123</f>
        <v>heifersGt1</v>
      </c>
      <c r="Z58">
        <f>'Input Scenarios'!Z123</f>
        <v>200</v>
      </c>
      <c r="AA58">
        <f>'Input Scenarios'!AA123</f>
        <v>265</v>
      </c>
      <c r="AB58">
        <f>'Input Scenarios'!AB123</f>
        <v>335</v>
      </c>
      <c r="AC58">
        <f>IF('Input Scenarios'!AC123&lt;&gt;"", 'Input Scenarios'!AC123, _xlfn.XLOOKUP(Y58, Constants!$B$13:$H$13, Constants!$B$15:$H$15, ""))</f>
        <v>0.6</v>
      </c>
      <c r="AD58">
        <f>IF('Input Scenarios'!AD123&lt;&gt;"", 'Input Scenarios'!AD123, Constants!$B$45)</f>
        <v>0.75</v>
      </c>
      <c r="AE58">
        <f>IF('Input Scenarios'!AE123&lt;&gt;"", 'Input Scenarios'!AE123, Constants!$B$46)</f>
        <v>0.2</v>
      </c>
      <c r="AF58">
        <f t="shared" ref="AF58:AF63" si="40">IF($Y58="milkingCows",($H58*J58)+($I58*N58), 0)</f>
        <v>0</v>
      </c>
      <c r="AG58">
        <f t="shared" si="39"/>
        <v>0</v>
      </c>
      <c r="AH58">
        <f t="shared" si="39"/>
        <v>0</v>
      </c>
      <c r="AI58">
        <f t="shared" si="39"/>
        <v>0</v>
      </c>
      <c r="AJ58">
        <f t="shared" ref="AJ58:AJ63" si="41">IF($Y58="milkingCows",G58, 1)</f>
        <v>1</v>
      </c>
      <c r="AK58">
        <f t="shared" si="38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13"/>
        <v>0.5948500000000001</v>
      </c>
      <c r="AQ58">
        <f t="shared" si="14"/>
        <v>0</v>
      </c>
      <c r="AR58">
        <f>IF(Y58="milkingCows", Constants!$P$2, Constants!$P$3)</f>
        <v>1</v>
      </c>
      <c r="AS58">
        <f t="shared" si="15"/>
        <v>6.7762077032249994</v>
      </c>
      <c r="AT58">
        <f t="shared" si="16"/>
        <v>1.162708374187144</v>
      </c>
      <c r="AU58">
        <f>_xlfn.XLOOKUP(Y58, Constants!$B$13:$H$13, Constants!$B$14:$H$14, "")</f>
        <v>590</v>
      </c>
      <c r="AV58">
        <f t="shared" si="17"/>
        <v>0.56779661016949157</v>
      </c>
      <c r="AW58">
        <f>Constants!$B$55</f>
        <v>6.25</v>
      </c>
      <c r="AX58">
        <f t="shared" si="29"/>
        <v>9.8263084532232529E-3</v>
      </c>
      <c r="AY58">
        <f t="shared" si="30"/>
        <v>1.355241540645</v>
      </c>
      <c r="AZ58">
        <f t="shared" si="18"/>
        <v>0.20563418873649833</v>
      </c>
      <c r="BA58" t="str">
        <f>IF(ISNUMBER(FIND("PreWeaned",Y58)),_xlfn.XLOOKUP(Y58,Constants!$J$2:$J$3,Constants!$M$2:$M$3),"")</f>
        <v/>
      </c>
      <c r="BB58">
        <f t="shared" si="31"/>
        <v>10898.612003034412</v>
      </c>
      <c r="BC58">
        <f t="shared" si="32"/>
        <v>0</v>
      </c>
      <c r="BD58">
        <f t="shared" si="33"/>
        <v>0</v>
      </c>
      <c r="BE58">
        <f t="shared" si="34"/>
        <v>0</v>
      </c>
      <c r="BF58">
        <f t="shared" si="35"/>
        <v>0</v>
      </c>
      <c r="BG58">
        <f t="shared" si="36"/>
        <v>10898.612003034412</v>
      </c>
      <c r="BH58">
        <f>Constants!$D$19</f>
        <v>0.35</v>
      </c>
      <c r="BI58">
        <f>Constants!$D$20</f>
        <v>7.0000000000000007E-2</v>
      </c>
      <c r="BJ58">
        <f>Constants!$D$21</f>
        <v>0.2</v>
      </c>
      <c r="BK58">
        <f>Constants!$D$22</f>
        <v>0.3</v>
      </c>
      <c r="BL58">
        <f>Constants!$D$23</f>
        <v>0</v>
      </c>
      <c r="BM58">
        <f>Constants!$B$51</f>
        <v>0.21</v>
      </c>
      <c r="BN58">
        <f>Constants!$B$50</f>
        <v>1.57</v>
      </c>
      <c r="BO58">
        <f>_xlfn.XLOOKUP(C58,Constants!$A$27:$A$31,Constants!$B$27:$B$31)</f>
        <v>7.0000000000000001E-3</v>
      </c>
      <c r="BP58">
        <f t="shared" si="37"/>
        <v>0</v>
      </c>
      <c r="BQ58">
        <f t="shared" si="37"/>
        <v>0</v>
      </c>
      <c r="BR58">
        <f t="shared" si="37"/>
        <v>0</v>
      </c>
      <c r="BS58">
        <f t="shared" si="37"/>
        <v>0</v>
      </c>
      <c r="BT58">
        <f t="shared" si="37"/>
        <v>0</v>
      </c>
      <c r="BU58">
        <f t="shared" si="20"/>
        <v>2288.7085206372262</v>
      </c>
      <c r="BV58">
        <f t="shared" si="21"/>
        <v>0</v>
      </c>
      <c r="BW58">
        <f t="shared" si="22"/>
        <v>25.152906641803114</v>
      </c>
    </row>
    <row r="59" spans="1:76" x14ac:dyDescent="0.2">
      <c r="A59" t="str">
        <f>'Input Scenarios'!A124</f>
        <v>SA</v>
      </c>
      <c r="B59">
        <f>'Input Scenarios'!B124</f>
        <v>17</v>
      </c>
      <c r="C59" t="str">
        <f>'Input Scenarios'!C124</f>
        <v>Irrigated crop</v>
      </c>
      <c r="D59" t="str">
        <f>'Input Scenarios'!D124</f>
        <v>dry</v>
      </c>
      <c r="E59" t="b">
        <f>'Input Scenarios'!E124</f>
        <v>1</v>
      </c>
      <c r="G59">
        <f>'Input Scenarios'!G124</f>
        <v>0.73</v>
      </c>
      <c r="H59">
        <f>'Input Scenarios'!H124</f>
        <v>0.16</v>
      </c>
      <c r="I59">
        <f>'Input Scenarios'!I124</f>
        <v>0.11</v>
      </c>
      <c r="J59">
        <f>'Input Scenarios'!J124</f>
        <v>0.1</v>
      </c>
      <c r="K59">
        <f>'Input Scenarios'!K124</f>
        <v>0.2</v>
      </c>
      <c r="L59">
        <f>'Input Scenarios'!L124</f>
        <v>0.3</v>
      </c>
      <c r="M59">
        <f>'Input Scenarios'!M124</f>
        <v>0.4</v>
      </c>
      <c r="N59">
        <f>'Input Scenarios'!N124</f>
        <v>0.4</v>
      </c>
      <c r="O59">
        <f>'Input Scenarios'!O124</f>
        <v>0.3</v>
      </c>
      <c r="P59">
        <f>'Input Scenarios'!P124</f>
        <v>0.2</v>
      </c>
      <c r="Q59">
        <f>'Input Scenarios'!Q124</f>
        <v>0.1</v>
      </c>
      <c r="R59" t="b">
        <f>'Input Scenarios'!R59</f>
        <v>0</v>
      </c>
      <c r="S59">
        <f>IF('Input Scenarios'!S124&lt;&gt;"", 'Input Scenarios'!S124, IF(R124, Constants!$B$38, 0))</f>
        <v>0</v>
      </c>
      <c r="T59" t="str">
        <f>IF('Input Scenarios'!T124&lt;&gt;"", 'Input Scenarios'!T124, "")</f>
        <v/>
      </c>
      <c r="U59">
        <f>IF('Input Scenarios'!U124&lt;&gt;"", 'Input Scenarios'!U124, IF(W59&lt;&gt;"", "", Constants!$B$39))</f>
        <v>4</v>
      </c>
      <c r="V59">
        <f>IF('Input Scenarios'!V124&lt;&gt;"", 'Input Scenarios'!V124, IF(W59&lt;&gt;"", "", Constants!$B$40))</f>
        <v>3.3</v>
      </c>
      <c r="W59" t="str">
        <f>IF('Input Scenarios'!W124&lt;&gt;"", 'Input Scenarios'!W124, "")</f>
        <v/>
      </c>
      <c r="X59" t="str">
        <f>'Input Scenarios'!X124</f>
        <v>Guernsey</v>
      </c>
      <c r="Y59" t="str">
        <f>'Input Scenarios'!Y124</f>
        <v>heifersLt1PreWeaned</v>
      </c>
      <c r="Z59">
        <f>'Input Scenarios'!Z124</f>
        <v>200</v>
      </c>
      <c r="AA59">
        <f>'Input Scenarios'!AA124</f>
        <v>100</v>
      </c>
      <c r="AB59">
        <f>'Input Scenarios'!AB124</f>
        <v>140</v>
      </c>
      <c r="AC59" t="str">
        <f>IF('Input Scenarios'!AC124&lt;&gt;"", 'Input Scenarios'!AC124, _xlfn.XLOOKUP(Y59, Constants!$B$13:$H$13, Constants!$B$15:$H$15, ""))</f>
        <v/>
      </c>
      <c r="AD59">
        <f>IF('Input Scenarios'!AD124&lt;&gt;"", 'Input Scenarios'!AD124, Constants!$B$45)</f>
        <v>0.75</v>
      </c>
      <c r="AE59">
        <f>IF('Input Scenarios'!AE124&lt;&gt;"", 'Input Scenarios'!AE124, Constants!$B$46)</f>
        <v>0.2</v>
      </c>
      <c r="AF59">
        <f t="shared" si="40"/>
        <v>0</v>
      </c>
      <c r="AG59">
        <f t="shared" si="39"/>
        <v>0</v>
      </c>
      <c r="AH59">
        <f t="shared" si="39"/>
        <v>0</v>
      </c>
      <c r="AI59">
        <f t="shared" si="39"/>
        <v>0</v>
      </c>
      <c r="AJ59">
        <f t="shared" si="41"/>
        <v>1</v>
      </c>
      <c r="AK59">
        <f t="shared" si="38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13"/>
        <v>0.5948500000000001</v>
      </c>
      <c r="AQ59">
        <f t="shared" si="14"/>
        <v>0</v>
      </c>
      <c r="AR59">
        <f>IF(Y59="milkingCows", Constants!$P$2, Constants!$P$3)</f>
        <v>1</v>
      </c>
      <c r="AS59" t="str">
        <f t="shared" si="15"/>
        <v/>
      </c>
      <c r="AT59" t="str">
        <f t="shared" si="16"/>
        <v/>
      </c>
      <c r="AU59" t="str">
        <f>_xlfn.XLOOKUP(Y59, Constants!$B$13:$H$13, Constants!$B$14:$H$14, "")</f>
        <v/>
      </c>
      <c r="AV59" t="str">
        <f t="shared" si="17"/>
        <v/>
      </c>
      <c r="AW59">
        <f>Constants!$B$55</f>
        <v>6.25</v>
      </c>
      <c r="AX59" t="str">
        <f t="shared" si="29"/>
        <v/>
      </c>
      <c r="AY59" t="str">
        <f t="shared" si="30"/>
        <v/>
      </c>
      <c r="AZ59" t="str">
        <f t="shared" si="18"/>
        <v/>
      </c>
      <c r="BA59">
        <f>IF(ISNUMBER(FIND("PreWeaned",Y59)),_xlfn.XLOOKUP(Y59,Constants!$J$2:$J$3,Constants!$M$2:$M$3),"")</f>
        <v>1.37E-2</v>
      </c>
      <c r="BB59">
        <f t="shared" si="31"/>
        <v>274</v>
      </c>
      <c r="BC59">
        <f t="shared" si="32"/>
        <v>0</v>
      </c>
      <c r="BD59">
        <f t="shared" si="33"/>
        <v>0</v>
      </c>
      <c r="BE59">
        <f t="shared" si="34"/>
        <v>0</v>
      </c>
      <c r="BF59">
        <f t="shared" si="35"/>
        <v>0</v>
      </c>
      <c r="BG59">
        <f t="shared" si="36"/>
        <v>274</v>
      </c>
      <c r="BH59">
        <f>Constants!$D$19</f>
        <v>0.35</v>
      </c>
      <c r="BI59">
        <f>Constants!$D$20</f>
        <v>7.0000000000000007E-2</v>
      </c>
      <c r="BJ59">
        <f>Constants!$D$21</f>
        <v>0.2</v>
      </c>
      <c r="BK59">
        <f>Constants!$D$22</f>
        <v>0.3</v>
      </c>
      <c r="BL59">
        <f>Constants!$D$23</f>
        <v>0</v>
      </c>
      <c r="BM59">
        <f>Constants!$B$51</f>
        <v>0.21</v>
      </c>
      <c r="BN59">
        <f>Constants!$B$50</f>
        <v>1.57</v>
      </c>
      <c r="BO59">
        <f>_xlfn.XLOOKUP(C59,Constants!$A$27:$A$31,Constants!$B$27:$B$31)</f>
        <v>7.0000000000000001E-3</v>
      </c>
      <c r="BP59">
        <f t="shared" si="37"/>
        <v>0</v>
      </c>
      <c r="BQ59">
        <f t="shared" si="37"/>
        <v>0</v>
      </c>
      <c r="BR59">
        <f t="shared" si="37"/>
        <v>0</v>
      </c>
      <c r="BS59">
        <f t="shared" si="37"/>
        <v>0</v>
      </c>
      <c r="BT59">
        <f t="shared" si="37"/>
        <v>0</v>
      </c>
      <c r="BU59">
        <f t="shared" si="20"/>
        <v>57.54</v>
      </c>
      <c r="BV59">
        <f t="shared" si="21"/>
        <v>0</v>
      </c>
      <c r="BW59">
        <f t="shared" si="22"/>
        <v>0.63236460000000005</v>
      </c>
    </row>
    <row r="60" spans="1:76" x14ac:dyDescent="0.2">
      <c r="A60" t="str">
        <f>'Input Scenarios'!A125</f>
        <v>SA</v>
      </c>
      <c r="B60">
        <f>'Input Scenarios'!B125</f>
        <v>17</v>
      </c>
      <c r="C60" t="str">
        <f>'Input Scenarios'!C125</f>
        <v>Irrigated crop</v>
      </c>
      <c r="D60" t="str">
        <f>'Input Scenarios'!D125</f>
        <v>dry</v>
      </c>
      <c r="E60" t="b">
        <f>'Input Scenarios'!E125</f>
        <v>1</v>
      </c>
      <c r="G60">
        <f>'Input Scenarios'!G125</f>
        <v>0.73</v>
      </c>
      <c r="H60">
        <f>'Input Scenarios'!H125</f>
        <v>0.16</v>
      </c>
      <c r="I60">
        <f>'Input Scenarios'!I125</f>
        <v>0.11</v>
      </c>
      <c r="J60">
        <f>'Input Scenarios'!J125</f>
        <v>0.1</v>
      </c>
      <c r="K60">
        <f>'Input Scenarios'!K125</f>
        <v>0.2</v>
      </c>
      <c r="L60">
        <f>'Input Scenarios'!L125</f>
        <v>0.3</v>
      </c>
      <c r="M60">
        <f>'Input Scenarios'!M125</f>
        <v>0.4</v>
      </c>
      <c r="N60">
        <f>'Input Scenarios'!N125</f>
        <v>0.4</v>
      </c>
      <c r="O60">
        <f>'Input Scenarios'!O125</f>
        <v>0.3</v>
      </c>
      <c r="P60">
        <f>'Input Scenarios'!P125</f>
        <v>0.2</v>
      </c>
      <c r="Q60">
        <f>'Input Scenarios'!Q125</f>
        <v>0.1</v>
      </c>
      <c r="R60" t="b">
        <f>'Input Scenarios'!R60</f>
        <v>0</v>
      </c>
      <c r="S60">
        <f>IF('Input Scenarios'!S125&lt;&gt;"", 'Input Scenarios'!S125, IF(R125, Constants!$B$38, 0))</f>
        <v>0</v>
      </c>
      <c r="T60" t="str">
        <f>IF('Input Scenarios'!T125&lt;&gt;"", 'Input Scenarios'!T125, "")</f>
        <v/>
      </c>
      <c r="U60">
        <f>IF('Input Scenarios'!U125&lt;&gt;"", 'Input Scenarios'!U125, IF(W60&lt;&gt;"", "", Constants!$B$39))</f>
        <v>4</v>
      </c>
      <c r="V60">
        <f>IF('Input Scenarios'!V125&lt;&gt;"", 'Input Scenarios'!V125, IF(W60&lt;&gt;"", "", Constants!$B$40))</f>
        <v>3.3</v>
      </c>
      <c r="W60" t="str">
        <f>IF('Input Scenarios'!W125&lt;&gt;"", 'Input Scenarios'!W125, "")</f>
        <v/>
      </c>
      <c r="X60" t="str">
        <f>'Input Scenarios'!X125</f>
        <v>Guernsey</v>
      </c>
      <c r="Y60" t="str">
        <f>'Input Scenarios'!Y125</f>
        <v>heifersLt1Weaned</v>
      </c>
      <c r="Z60">
        <f>'Input Scenarios'!Z125</f>
        <v>200</v>
      </c>
      <c r="AA60">
        <f>'Input Scenarios'!AA125</f>
        <v>360</v>
      </c>
      <c r="AB60">
        <f>'Input Scenarios'!AB125</f>
        <v>140</v>
      </c>
      <c r="AC60">
        <f>IF('Input Scenarios'!AC125&lt;&gt;"", 'Input Scenarios'!AC125, _xlfn.XLOOKUP(Y60, Constants!$B$13:$H$13, Constants!$B$15:$H$15, ""))</f>
        <v>0.56999999999999995</v>
      </c>
      <c r="AD60">
        <f>IF('Input Scenarios'!AD125&lt;&gt;"", 'Input Scenarios'!AD125, Constants!$B$45)</f>
        <v>0.75</v>
      </c>
      <c r="AE60">
        <f>IF('Input Scenarios'!AE125&lt;&gt;"", 'Input Scenarios'!AE125, Constants!$B$46)</f>
        <v>0.2</v>
      </c>
      <c r="AF60">
        <f t="shared" si="40"/>
        <v>0</v>
      </c>
      <c r="AG60">
        <f t="shared" si="39"/>
        <v>0</v>
      </c>
      <c r="AH60">
        <f t="shared" si="39"/>
        <v>0</v>
      </c>
      <c r="AI60">
        <f t="shared" si="39"/>
        <v>0</v>
      </c>
      <c r="AJ60">
        <f t="shared" si="41"/>
        <v>1</v>
      </c>
      <c r="AK60">
        <f t="shared" si="38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13"/>
        <v>0.5948500000000001</v>
      </c>
      <c r="AQ60">
        <f t="shared" si="14"/>
        <v>0</v>
      </c>
      <c r="AR60">
        <f>IF(Y60="milkingCows", Constants!$P$2, Constants!$P$3)</f>
        <v>1</v>
      </c>
      <c r="AS60">
        <f t="shared" si="15"/>
        <v>3.7993416560999989</v>
      </c>
      <c r="AT60">
        <f t="shared" si="16"/>
        <v>1.213217026603395</v>
      </c>
      <c r="AU60">
        <f>_xlfn.XLOOKUP(Y60, Constants!$B$13:$H$13, Constants!$B$14:$H$14, "")</f>
        <v>590</v>
      </c>
      <c r="AV60">
        <f t="shared" si="17"/>
        <v>0.23728813559322035</v>
      </c>
      <c r="AW60">
        <f>Constants!$B$55</f>
        <v>6.25</v>
      </c>
      <c r="AX60">
        <f t="shared" si="29"/>
        <v>1.49570148025881E-2</v>
      </c>
      <c r="AY60">
        <f t="shared" si="30"/>
        <v>0.75986833121999986</v>
      </c>
      <c r="AZ60">
        <f t="shared" si="18"/>
        <v>0.10590559552466704</v>
      </c>
      <c r="BA60" t="str">
        <f>IF(ISNUMBER(FIND("PreWeaned",Y60)),_xlfn.XLOOKUP(Y60,Constants!$J$2:$J$3,Constants!$M$2:$M$3),"")</f>
        <v/>
      </c>
      <c r="BB60">
        <f t="shared" si="31"/>
        <v>7625.202877776027</v>
      </c>
      <c r="BC60">
        <f t="shared" si="32"/>
        <v>0</v>
      </c>
      <c r="BD60">
        <f t="shared" si="33"/>
        <v>0</v>
      </c>
      <c r="BE60">
        <f t="shared" si="34"/>
        <v>0</v>
      </c>
      <c r="BF60">
        <f t="shared" si="35"/>
        <v>0</v>
      </c>
      <c r="BG60">
        <f t="shared" si="36"/>
        <v>7625.202877776027</v>
      </c>
      <c r="BH60">
        <f>Constants!$D$19</f>
        <v>0.35</v>
      </c>
      <c r="BI60">
        <f>Constants!$D$20</f>
        <v>7.0000000000000007E-2</v>
      </c>
      <c r="BJ60">
        <f>Constants!$D$21</f>
        <v>0.2</v>
      </c>
      <c r="BK60">
        <f>Constants!$D$22</f>
        <v>0.3</v>
      </c>
      <c r="BL60">
        <f>Constants!$D$23</f>
        <v>0</v>
      </c>
      <c r="BM60">
        <f>Constants!$B$51</f>
        <v>0.21</v>
      </c>
      <c r="BN60">
        <f>Constants!$B$50</f>
        <v>1.57</v>
      </c>
      <c r="BO60">
        <f>_xlfn.XLOOKUP(C60,Constants!$A$27:$A$31,Constants!$B$27:$B$31)</f>
        <v>7.0000000000000001E-3</v>
      </c>
      <c r="BP60">
        <f t="shared" si="37"/>
        <v>0</v>
      </c>
      <c r="BQ60">
        <f t="shared" si="37"/>
        <v>0</v>
      </c>
      <c r="BR60">
        <f t="shared" si="37"/>
        <v>0</v>
      </c>
      <c r="BS60">
        <f t="shared" si="37"/>
        <v>0</v>
      </c>
      <c r="BT60">
        <f t="shared" si="37"/>
        <v>0</v>
      </c>
      <c r="BU60">
        <f t="shared" si="20"/>
        <v>1601.2926043329655</v>
      </c>
      <c r="BV60">
        <f t="shared" si="21"/>
        <v>0</v>
      </c>
      <c r="BW60">
        <f t="shared" si="22"/>
        <v>17.598205721619291</v>
      </c>
    </row>
    <row r="61" spans="1:76" x14ac:dyDescent="0.2">
      <c r="A61" t="str">
        <f>'Input Scenarios'!A126</f>
        <v>SA</v>
      </c>
      <c r="B61">
        <f>'Input Scenarios'!B126</f>
        <v>17</v>
      </c>
      <c r="C61" t="str">
        <f>'Input Scenarios'!C126</f>
        <v>Irrigated crop</v>
      </c>
      <c r="D61" t="str">
        <f>'Input Scenarios'!D126</f>
        <v>dry</v>
      </c>
      <c r="E61" t="b">
        <f>'Input Scenarios'!E126</f>
        <v>1</v>
      </c>
      <c r="G61">
        <f>'Input Scenarios'!G126</f>
        <v>0.73</v>
      </c>
      <c r="H61">
        <f>'Input Scenarios'!H126</f>
        <v>0.16</v>
      </c>
      <c r="I61">
        <f>'Input Scenarios'!I126</f>
        <v>0.11</v>
      </c>
      <c r="J61">
        <f>'Input Scenarios'!J126</f>
        <v>0.1</v>
      </c>
      <c r="K61">
        <f>'Input Scenarios'!K126</f>
        <v>0.2</v>
      </c>
      <c r="L61">
        <f>'Input Scenarios'!L126</f>
        <v>0.3</v>
      </c>
      <c r="M61">
        <f>'Input Scenarios'!M126</f>
        <v>0.4</v>
      </c>
      <c r="N61">
        <f>'Input Scenarios'!N126</f>
        <v>0.4</v>
      </c>
      <c r="O61">
        <f>'Input Scenarios'!O126</f>
        <v>0.3</v>
      </c>
      <c r="P61">
        <f>'Input Scenarios'!P126</f>
        <v>0.2</v>
      </c>
      <c r="Q61">
        <f>'Input Scenarios'!Q126</f>
        <v>0.1</v>
      </c>
      <c r="R61" t="b">
        <f>'Input Scenarios'!R61</f>
        <v>0</v>
      </c>
      <c r="S61">
        <f>IF('Input Scenarios'!S126&lt;&gt;"", 'Input Scenarios'!S126, IF(R126, Constants!$B$38, 0))</f>
        <v>0</v>
      </c>
      <c r="T61" t="str">
        <f>IF('Input Scenarios'!T126&lt;&gt;"", 'Input Scenarios'!T126, "")</f>
        <v/>
      </c>
      <c r="U61">
        <f>IF('Input Scenarios'!U126&lt;&gt;"", 'Input Scenarios'!U126, IF(W61&lt;&gt;"", "", Constants!$B$39))</f>
        <v>4</v>
      </c>
      <c r="V61">
        <f>IF('Input Scenarios'!V126&lt;&gt;"", 'Input Scenarios'!V126, IF(W61&lt;&gt;"", "", Constants!$B$40))</f>
        <v>3.3</v>
      </c>
      <c r="W61" t="str">
        <f>IF('Input Scenarios'!W126&lt;&gt;"", 'Input Scenarios'!W126, "")</f>
        <v/>
      </c>
      <c r="X61" t="str">
        <f>'Input Scenarios'!X126</f>
        <v>Guernsey</v>
      </c>
      <c r="Y61" t="str">
        <f>'Input Scenarios'!Y126</f>
        <v>bullsGt1</v>
      </c>
      <c r="Z61">
        <f>'Input Scenarios'!Z126</f>
        <v>200</v>
      </c>
      <c r="AA61">
        <f>'Input Scenarios'!AA126</f>
        <v>345</v>
      </c>
      <c r="AB61">
        <f>'Input Scenarios'!AB126</f>
        <v>600</v>
      </c>
      <c r="AC61">
        <f>IF('Input Scenarios'!AC126&lt;&gt;"", 'Input Scenarios'!AC126, _xlfn.XLOOKUP(Y61, Constants!$B$13:$H$13, Constants!$B$15:$H$15, ""))</f>
        <v>0.1</v>
      </c>
      <c r="AD61">
        <f>IF('Input Scenarios'!AD126&lt;&gt;"", 'Input Scenarios'!AD126, Constants!$B$45)</f>
        <v>0.75</v>
      </c>
      <c r="AE61">
        <f>IF('Input Scenarios'!AE126&lt;&gt;"", 'Input Scenarios'!AE126, Constants!$B$46)</f>
        <v>0.2</v>
      </c>
      <c r="AF61">
        <f t="shared" si="40"/>
        <v>0</v>
      </c>
      <c r="AG61">
        <f t="shared" si="39"/>
        <v>0</v>
      </c>
      <c r="AH61">
        <f t="shared" si="39"/>
        <v>0</v>
      </c>
      <c r="AI61">
        <f t="shared" si="39"/>
        <v>0</v>
      </c>
      <c r="AJ61">
        <f t="shared" si="41"/>
        <v>1</v>
      </c>
      <c r="AK61">
        <f t="shared" si="38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13"/>
        <v>0.5948500000000001</v>
      </c>
      <c r="AQ61">
        <f t="shared" si="14"/>
        <v>0</v>
      </c>
      <c r="AR61">
        <f>IF(Y61="milkingCows", Constants!$P$2, Constants!$P$3)</f>
        <v>1</v>
      </c>
      <c r="AS61">
        <f t="shared" si="15"/>
        <v>9.0270202499999979</v>
      </c>
      <c r="AT61">
        <f t="shared" si="16"/>
        <v>1.0213029780639273</v>
      </c>
      <c r="AU61">
        <f>_xlfn.XLOOKUP(Y61, Constants!$B$13:$H$13, Constants!$B$14:$H$14, "")</f>
        <v>770</v>
      </c>
      <c r="AV61">
        <f t="shared" si="17"/>
        <v>0.77922077922077926</v>
      </c>
      <c r="AW61">
        <f>Constants!$B$55</f>
        <v>6.25</v>
      </c>
      <c r="AX61">
        <f t="shared" si="29"/>
        <v>1.2626203146474679E-3</v>
      </c>
      <c r="AY61">
        <f t="shared" si="30"/>
        <v>1.8054040499999997</v>
      </c>
      <c r="AZ61">
        <f t="shared" si="18"/>
        <v>0.28546836331241399</v>
      </c>
      <c r="BA61" t="str">
        <f>IF(ISNUMBER(FIND("PreWeaned",Y61)),_xlfn.XLOOKUP(Y61,Constants!$J$2:$J$3,Constants!$M$2:$M$3),"")</f>
        <v/>
      </c>
      <c r="BB61">
        <f t="shared" si="31"/>
        <v>19697.317068556564</v>
      </c>
      <c r="BC61">
        <f t="shared" si="32"/>
        <v>0</v>
      </c>
      <c r="BD61">
        <f t="shared" si="33"/>
        <v>0</v>
      </c>
      <c r="BE61">
        <f t="shared" si="34"/>
        <v>0</v>
      </c>
      <c r="BF61">
        <f t="shared" si="35"/>
        <v>0</v>
      </c>
      <c r="BG61">
        <f t="shared" si="36"/>
        <v>19697.317068556564</v>
      </c>
      <c r="BH61">
        <f>Constants!$D$19</f>
        <v>0.35</v>
      </c>
      <c r="BI61">
        <f>Constants!$D$20</f>
        <v>7.0000000000000007E-2</v>
      </c>
      <c r="BJ61">
        <f>Constants!$D$21</f>
        <v>0.2</v>
      </c>
      <c r="BK61">
        <f>Constants!$D$22</f>
        <v>0.3</v>
      </c>
      <c r="BL61">
        <f>Constants!$D$23</f>
        <v>0</v>
      </c>
      <c r="BM61">
        <f>Constants!$B$51</f>
        <v>0.21</v>
      </c>
      <c r="BN61">
        <f>Constants!$B$50</f>
        <v>1.57</v>
      </c>
      <c r="BO61">
        <f>_xlfn.XLOOKUP(C61,Constants!$A$27:$A$31,Constants!$B$27:$B$31)</f>
        <v>7.0000000000000001E-3</v>
      </c>
      <c r="BP61">
        <f t="shared" si="37"/>
        <v>0</v>
      </c>
      <c r="BQ61">
        <f t="shared" si="37"/>
        <v>0</v>
      </c>
      <c r="BR61">
        <f t="shared" si="37"/>
        <v>0</v>
      </c>
      <c r="BS61">
        <f t="shared" si="37"/>
        <v>0</v>
      </c>
      <c r="BT61">
        <f t="shared" si="37"/>
        <v>0</v>
      </c>
      <c r="BU61">
        <f t="shared" si="20"/>
        <v>4136.4365843968781</v>
      </c>
      <c r="BV61">
        <f t="shared" si="21"/>
        <v>0</v>
      </c>
      <c r="BW61">
        <f t="shared" si="22"/>
        <v>45.459438062521691</v>
      </c>
    </row>
    <row r="62" spans="1:76" x14ac:dyDescent="0.2">
      <c r="A62" t="str">
        <f>'Input Scenarios'!A127</f>
        <v>SA</v>
      </c>
      <c r="B62">
        <f>'Input Scenarios'!B127</f>
        <v>17</v>
      </c>
      <c r="C62" t="str">
        <f>'Input Scenarios'!C127</f>
        <v>Irrigated crop</v>
      </c>
      <c r="D62" t="str">
        <f>'Input Scenarios'!D127</f>
        <v>dry</v>
      </c>
      <c r="E62" t="b">
        <f>'Input Scenarios'!E127</f>
        <v>1</v>
      </c>
      <c r="G62">
        <f>'Input Scenarios'!G127</f>
        <v>0.73</v>
      </c>
      <c r="H62">
        <f>'Input Scenarios'!H127</f>
        <v>0.16</v>
      </c>
      <c r="I62">
        <f>'Input Scenarios'!I127</f>
        <v>0.11</v>
      </c>
      <c r="J62">
        <f>'Input Scenarios'!J127</f>
        <v>0.1</v>
      </c>
      <c r="K62">
        <f>'Input Scenarios'!K127</f>
        <v>0.2</v>
      </c>
      <c r="L62">
        <f>'Input Scenarios'!L127</f>
        <v>0.3</v>
      </c>
      <c r="M62">
        <f>'Input Scenarios'!M127</f>
        <v>0.4</v>
      </c>
      <c r="N62">
        <f>'Input Scenarios'!N127</f>
        <v>0.4</v>
      </c>
      <c r="O62">
        <f>'Input Scenarios'!O127</f>
        <v>0.3</v>
      </c>
      <c r="P62">
        <f>'Input Scenarios'!P127</f>
        <v>0.2</v>
      </c>
      <c r="Q62">
        <f>'Input Scenarios'!Q127</f>
        <v>0.1</v>
      </c>
      <c r="R62" t="b">
        <f>'Input Scenarios'!R62</f>
        <v>0</v>
      </c>
      <c r="S62">
        <f>IF('Input Scenarios'!S127&lt;&gt;"", 'Input Scenarios'!S127, IF(R127, Constants!$B$38, 0))</f>
        <v>0</v>
      </c>
      <c r="T62" t="str">
        <f>IF('Input Scenarios'!T127&lt;&gt;"", 'Input Scenarios'!T127, "")</f>
        <v/>
      </c>
      <c r="U62">
        <f>IF('Input Scenarios'!U127&lt;&gt;"", 'Input Scenarios'!U127, IF(W62&lt;&gt;"", "", Constants!$B$39))</f>
        <v>4</v>
      </c>
      <c r="V62">
        <f>IF('Input Scenarios'!V127&lt;&gt;"", 'Input Scenarios'!V127, IF(W62&lt;&gt;"", "", Constants!$B$40))</f>
        <v>3.3</v>
      </c>
      <c r="W62" t="str">
        <f>IF('Input Scenarios'!W127&lt;&gt;"", 'Input Scenarios'!W127, "")</f>
        <v/>
      </c>
      <c r="X62" t="str">
        <f>'Input Scenarios'!X127</f>
        <v>Guernsey</v>
      </c>
      <c r="Y62" t="str">
        <f>'Input Scenarios'!Y127</f>
        <v>bullsLt1PreWeaned</v>
      </c>
      <c r="Z62">
        <f>'Input Scenarios'!Z127</f>
        <v>200</v>
      </c>
      <c r="AA62">
        <f>'Input Scenarios'!AA127</f>
        <v>124</v>
      </c>
      <c r="AB62">
        <f>'Input Scenarios'!AB127</f>
        <v>225</v>
      </c>
      <c r="AC62" t="str">
        <f>IF('Input Scenarios'!AC127&lt;&gt;"", 'Input Scenarios'!AC127, _xlfn.XLOOKUP(Y62, Constants!$B$13:$H$13, Constants!$B$15:$H$15, ""))</f>
        <v/>
      </c>
      <c r="AD62">
        <f>IF('Input Scenarios'!AD127&lt;&gt;"", 'Input Scenarios'!AD127, Constants!$B$45)</f>
        <v>0.75</v>
      </c>
      <c r="AE62">
        <f>IF('Input Scenarios'!AE127&lt;&gt;"", 'Input Scenarios'!AE127, Constants!$B$46)</f>
        <v>0.2</v>
      </c>
      <c r="AF62">
        <f t="shared" si="40"/>
        <v>0</v>
      </c>
      <c r="AG62">
        <f t="shared" si="39"/>
        <v>0</v>
      </c>
      <c r="AH62">
        <f t="shared" si="39"/>
        <v>0</v>
      </c>
      <c r="AI62">
        <f t="shared" si="39"/>
        <v>0</v>
      </c>
      <c r="AJ62">
        <f t="shared" si="41"/>
        <v>1</v>
      </c>
      <c r="AK62">
        <f t="shared" si="38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13"/>
        <v>0.5948500000000001</v>
      </c>
      <c r="AQ62">
        <f t="shared" si="14"/>
        <v>0</v>
      </c>
      <c r="AR62">
        <f>IF(Y62="milkingCows", Constants!$P$2, Constants!$P$3)</f>
        <v>1</v>
      </c>
      <c r="AS62" t="str">
        <f t="shared" si="15"/>
        <v/>
      </c>
      <c r="AT62" t="str">
        <f t="shared" si="16"/>
        <v/>
      </c>
      <c r="AU62" t="str">
        <f>_xlfn.XLOOKUP(Y62, Constants!$B$13:$H$13, Constants!$B$14:$H$14, "")</f>
        <v/>
      </c>
      <c r="AV62" t="str">
        <f t="shared" si="17"/>
        <v/>
      </c>
      <c r="AW62">
        <f>Constants!$B$55</f>
        <v>6.25</v>
      </c>
      <c r="AX62" t="str">
        <f t="shared" si="29"/>
        <v/>
      </c>
      <c r="AY62" t="str">
        <f t="shared" si="30"/>
        <v/>
      </c>
      <c r="AZ62" t="str">
        <f t="shared" si="18"/>
        <v/>
      </c>
      <c r="BA62">
        <f>IF(ISNUMBER(FIND("PreWeaned",Y62)),_xlfn.XLOOKUP(Y62,Constants!$J$2:$J$3,Constants!$M$2:$M$3),"")</f>
        <v>9.1999999999999998E-3</v>
      </c>
      <c r="BB62">
        <f t="shared" si="31"/>
        <v>228.15999999999997</v>
      </c>
      <c r="BC62">
        <f t="shared" si="32"/>
        <v>0</v>
      </c>
      <c r="BD62">
        <f t="shared" si="33"/>
        <v>0</v>
      </c>
      <c r="BE62">
        <f t="shared" si="34"/>
        <v>0</v>
      </c>
      <c r="BF62">
        <f t="shared" si="35"/>
        <v>0</v>
      </c>
      <c r="BG62">
        <f t="shared" si="36"/>
        <v>228.15999999999997</v>
      </c>
      <c r="BH62">
        <f>Constants!$D$19</f>
        <v>0.35</v>
      </c>
      <c r="BI62">
        <f>Constants!$D$20</f>
        <v>7.0000000000000007E-2</v>
      </c>
      <c r="BJ62">
        <f>Constants!$D$21</f>
        <v>0.2</v>
      </c>
      <c r="BK62">
        <f>Constants!$D$22</f>
        <v>0.3</v>
      </c>
      <c r="BL62">
        <f>Constants!$D$23</f>
        <v>0</v>
      </c>
      <c r="BM62">
        <f>Constants!$B$51</f>
        <v>0.21</v>
      </c>
      <c r="BN62">
        <f>Constants!$B$50</f>
        <v>1.57</v>
      </c>
      <c r="BO62">
        <f>_xlfn.XLOOKUP(C62,Constants!$A$27:$A$31,Constants!$B$27:$B$31)</f>
        <v>7.0000000000000001E-3</v>
      </c>
      <c r="BP62">
        <f t="shared" ref="BP62:BT63" si="42">BC62*BH62</f>
        <v>0</v>
      </c>
      <c r="BQ62">
        <f t="shared" si="42"/>
        <v>0</v>
      </c>
      <c r="BR62">
        <f t="shared" si="42"/>
        <v>0</v>
      </c>
      <c r="BS62">
        <f t="shared" si="42"/>
        <v>0</v>
      </c>
      <c r="BT62">
        <f t="shared" si="42"/>
        <v>0</v>
      </c>
      <c r="BU62">
        <f t="shared" si="20"/>
        <v>47.913599999999988</v>
      </c>
      <c r="BV62">
        <f t="shared" si="21"/>
        <v>0</v>
      </c>
      <c r="BW62">
        <f t="shared" si="22"/>
        <v>0.52657046399999996</v>
      </c>
    </row>
    <row r="63" spans="1:76" x14ac:dyDescent="0.2">
      <c r="A63" s="16" t="str">
        <f>'Input Scenarios'!A128</f>
        <v>SA</v>
      </c>
      <c r="B63" s="16">
        <f>'Input Scenarios'!B128</f>
        <v>17</v>
      </c>
      <c r="C63" s="16" t="str">
        <f>'Input Scenarios'!C128</f>
        <v>Irrigated crop</v>
      </c>
      <c r="D63" s="16" t="str">
        <f>'Input Scenarios'!D128</f>
        <v>dry</v>
      </c>
      <c r="E63" s="16" t="b">
        <f>'Input Scenarios'!E128</f>
        <v>1</v>
      </c>
      <c r="F63" s="16"/>
      <c r="G63" s="16">
        <f>'Input Scenarios'!G128</f>
        <v>0.73</v>
      </c>
      <c r="H63" s="16">
        <f>'Input Scenarios'!H128</f>
        <v>0.16</v>
      </c>
      <c r="I63" s="16">
        <f>'Input Scenarios'!I128</f>
        <v>0.11</v>
      </c>
      <c r="J63" s="16">
        <f>'Input Scenarios'!J128</f>
        <v>0.1</v>
      </c>
      <c r="K63" s="16">
        <f>'Input Scenarios'!K128</f>
        <v>0.2</v>
      </c>
      <c r="L63" s="16">
        <f>'Input Scenarios'!L128</f>
        <v>0.3</v>
      </c>
      <c r="M63" s="16">
        <f>'Input Scenarios'!M128</f>
        <v>0.4</v>
      </c>
      <c r="N63" s="16">
        <f>'Input Scenarios'!N128</f>
        <v>0.4</v>
      </c>
      <c r="O63" s="16">
        <f>'Input Scenarios'!O128</f>
        <v>0.3</v>
      </c>
      <c r="P63" s="16">
        <f>'Input Scenarios'!P128</f>
        <v>0.2</v>
      </c>
      <c r="Q63" s="16">
        <f>'Input Scenarios'!Q128</f>
        <v>0.1</v>
      </c>
      <c r="R63" s="16" t="b">
        <f>'Input Scenarios'!R63</f>
        <v>0</v>
      </c>
      <c r="S63" s="16">
        <f>IF('Input Scenarios'!S128&lt;&gt;"", 'Input Scenarios'!S128, IF(R128, Constants!$B$38, 0))</f>
        <v>0</v>
      </c>
      <c r="T63" s="16" t="str">
        <f>IF('Input Scenarios'!T128&lt;&gt;"", 'Input Scenarios'!T128, "")</f>
        <v/>
      </c>
      <c r="U63" s="16">
        <f>IF('Input Scenarios'!U128&lt;&gt;"", 'Input Scenarios'!U128, IF(W63&lt;&gt;"", "", Constants!$B$39))</f>
        <v>4</v>
      </c>
      <c r="V63" s="16">
        <f>IF('Input Scenarios'!V128&lt;&gt;"", 'Input Scenarios'!V128, IF(W63&lt;&gt;"", "", Constants!$B$40))</f>
        <v>3.3</v>
      </c>
      <c r="W63" s="16" t="str">
        <f>IF('Input Scenarios'!W128&lt;&gt;"", 'Input Scenarios'!W128, "")</f>
        <v/>
      </c>
      <c r="X63" s="16" t="str">
        <f>'Input Scenarios'!X128</f>
        <v>Guernsey</v>
      </c>
      <c r="Y63" s="16" t="str">
        <f>'Input Scenarios'!Y128</f>
        <v>bullsLt1Weaned</v>
      </c>
      <c r="Z63" s="16">
        <f>'Input Scenarios'!Z128</f>
        <v>200</v>
      </c>
      <c r="AA63" s="16">
        <f>'Input Scenarios'!AA128</f>
        <v>294</v>
      </c>
      <c r="AB63" s="16">
        <f>'Input Scenarios'!AB128</f>
        <v>225</v>
      </c>
      <c r="AC63" s="16">
        <f>IF('Input Scenarios'!AC128&lt;&gt;"", 'Input Scenarios'!AC128, _xlfn.XLOOKUP(Y63, Constants!$B$13:$H$13, Constants!$B$15:$H$15, ""))</f>
        <v>0.8</v>
      </c>
      <c r="AD63" s="16">
        <f>IF('Input Scenarios'!AD128&lt;&gt;"", 'Input Scenarios'!AD128, Constants!$B$45)</f>
        <v>0.75</v>
      </c>
      <c r="AE63" s="16">
        <f>IF('Input Scenarios'!AE128&lt;&gt;"", 'Input Scenarios'!AE128, Constants!$B$46)</f>
        <v>0.2</v>
      </c>
      <c r="AF63" s="16">
        <f t="shared" si="40"/>
        <v>0</v>
      </c>
      <c r="AG63" s="16">
        <f t="shared" si="39"/>
        <v>0</v>
      </c>
      <c r="AH63" s="16">
        <f t="shared" si="39"/>
        <v>0</v>
      </c>
      <c r="AI63" s="16">
        <f t="shared" si="39"/>
        <v>0</v>
      </c>
      <c r="AJ63" s="16">
        <f t="shared" si="41"/>
        <v>1</v>
      </c>
      <c r="AK63" s="16">
        <f t="shared" si="38"/>
        <v>0</v>
      </c>
      <c r="AL63" s="16">
        <f>Constants!$B$44</f>
        <v>1.03</v>
      </c>
      <c r="AM63" s="16">
        <f>Constants!$B$41</f>
        <v>3.0539999999999998</v>
      </c>
      <c r="AN63" s="16">
        <f>Constants!$B$42</f>
        <v>18.399999999999999</v>
      </c>
      <c r="AO63" s="16">
        <f>Constants!$B$43</f>
        <v>0.6</v>
      </c>
      <c r="AP63" s="16">
        <f t="shared" si="13"/>
        <v>0.5948500000000001</v>
      </c>
      <c r="AQ63" s="16">
        <f t="shared" si="14"/>
        <v>0</v>
      </c>
      <c r="AR63" s="16">
        <f>IF(Y63="milkingCows", Constants!$P$2, Constants!$P$3)</f>
        <v>1</v>
      </c>
      <c r="AS63" s="16">
        <f t="shared" si="15"/>
        <v>5.4143472656250013</v>
      </c>
      <c r="AT63" s="16">
        <f t="shared" si="16"/>
        <v>1.2576570545672616</v>
      </c>
      <c r="AU63" s="16">
        <f>_xlfn.XLOOKUP(Y63, Constants!$B$13:$H$13, Constants!$B$14:$H$14, "")</f>
        <v>770</v>
      </c>
      <c r="AV63" s="16">
        <f t="shared" si="17"/>
        <v>0.29220779220779219</v>
      </c>
      <c r="AW63" s="16">
        <f>Constants!$B$55</f>
        <v>6.25</v>
      </c>
      <c r="AX63" s="16">
        <f t="shared" si="29"/>
        <v>1.9757354894894084E-2</v>
      </c>
      <c r="AY63" s="16">
        <f t="shared" si="30"/>
        <v>1.0828694531250003</v>
      </c>
      <c r="AZ63" s="16">
        <f t="shared" si="18"/>
        <v>0.15247929000170721</v>
      </c>
      <c r="BA63" s="16" t="str">
        <f>IF(ISNUMBER(FIND("PreWeaned",Y63)),_xlfn.XLOOKUP(Y63,Constants!$J$2:$J$3,Constants!$M$2:$M$3),"")</f>
        <v/>
      </c>
      <c r="BB63" s="16">
        <f t="shared" si="31"/>
        <v>8965.7822521003836</v>
      </c>
      <c r="BC63" s="16">
        <f t="shared" si="32"/>
        <v>0</v>
      </c>
      <c r="BD63" s="16">
        <f t="shared" si="33"/>
        <v>0</v>
      </c>
      <c r="BE63" s="16">
        <f t="shared" si="34"/>
        <v>0</v>
      </c>
      <c r="BF63" s="16">
        <f t="shared" si="35"/>
        <v>0</v>
      </c>
      <c r="BG63" s="16">
        <f t="shared" si="36"/>
        <v>8965.7822521003836</v>
      </c>
      <c r="BH63" s="16">
        <f>Constants!$D$19</f>
        <v>0.35</v>
      </c>
      <c r="BI63" s="16">
        <f>Constants!$D$20</f>
        <v>7.0000000000000007E-2</v>
      </c>
      <c r="BJ63" s="16">
        <f>Constants!$D$21</f>
        <v>0.2</v>
      </c>
      <c r="BK63" s="16">
        <f>Constants!$D$22</f>
        <v>0.3</v>
      </c>
      <c r="BL63" s="16">
        <f>Constants!$D$23</f>
        <v>0</v>
      </c>
      <c r="BM63" s="16">
        <f>Constants!$B$51</f>
        <v>0.21</v>
      </c>
      <c r="BN63" s="16">
        <f>Constants!$B$50</f>
        <v>1.57</v>
      </c>
      <c r="BO63" s="16">
        <f>_xlfn.XLOOKUP(C63,Constants!$A$27:$A$31,Constants!$B$27:$B$31)</f>
        <v>7.0000000000000001E-3</v>
      </c>
      <c r="BP63" s="16">
        <f t="shared" si="42"/>
        <v>0</v>
      </c>
      <c r="BQ63" s="16">
        <f t="shared" si="42"/>
        <v>0</v>
      </c>
      <c r="BR63" s="16">
        <f t="shared" si="42"/>
        <v>0</v>
      </c>
      <c r="BS63" s="16">
        <f t="shared" si="42"/>
        <v>0</v>
      </c>
      <c r="BT63" s="16">
        <f t="shared" si="42"/>
        <v>0</v>
      </c>
      <c r="BU63" s="16">
        <f t="shared" si="20"/>
        <v>1882.8142729410804</v>
      </c>
      <c r="BV63" s="16">
        <f t="shared" si="21"/>
        <v>0</v>
      </c>
      <c r="BW63" s="16">
        <f t="shared" si="22"/>
        <v>20.692128859622475</v>
      </c>
      <c r="BX63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FB92-5C01-0746-A858-6F7F25361F1E}">
  <dimension ref="A3:BP63"/>
  <sheetViews>
    <sheetView topLeftCell="AO1" workbookViewId="0">
      <selection activeCell="AZ8" sqref="AZ8:AZ63"/>
    </sheetView>
  </sheetViews>
  <sheetFormatPr baseColWidth="10" defaultRowHeight="16" x14ac:dyDescent="0.2"/>
  <sheetData>
    <row r="3" spans="1:68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  <c r="AZ3">
        <f>(AY8/AW8)</f>
        <v>0.52605918859089273</v>
      </c>
    </row>
    <row r="5" spans="1:68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  <c r="AW5" t="s">
        <v>165</v>
      </c>
    </row>
    <row r="6" spans="1:68" x14ac:dyDescent="0.2">
      <c r="U6" t="s">
        <v>132</v>
      </c>
      <c r="V6" t="s">
        <v>132</v>
      </c>
      <c r="W6" t="s">
        <v>80</v>
      </c>
      <c r="AK6" t="s">
        <v>80</v>
      </c>
    </row>
    <row r="7" spans="1:68" x14ac:dyDescent="0.2">
      <c r="A7" s="11" t="s">
        <v>49</v>
      </c>
      <c r="B7" s="11" t="s">
        <v>49</v>
      </c>
      <c r="C7" s="11"/>
      <c r="D7" s="11" t="s">
        <v>50</v>
      </c>
      <c r="E7" s="11" t="s">
        <v>51</v>
      </c>
      <c r="F7" s="11"/>
      <c r="G7" s="11" t="s">
        <v>63</v>
      </c>
      <c r="H7" s="11" t="s">
        <v>65</v>
      </c>
      <c r="I7" s="11" t="s">
        <v>64</v>
      </c>
      <c r="J7" s="11" t="s">
        <v>73</v>
      </c>
      <c r="K7" s="11" t="s">
        <v>76</v>
      </c>
      <c r="L7" s="11" t="s">
        <v>77</v>
      </c>
      <c r="M7" s="11" t="s">
        <v>78</v>
      </c>
      <c r="N7" s="11" t="s">
        <v>73</v>
      </c>
      <c r="O7" s="11" t="s">
        <v>76</v>
      </c>
      <c r="P7" s="11" t="s">
        <v>77</v>
      </c>
      <c r="Q7" s="11" t="s">
        <v>78</v>
      </c>
      <c r="R7" s="17" t="s">
        <v>71</v>
      </c>
      <c r="S7" s="11" t="s">
        <v>72</v>
      </c>
      <c r="T7" s="11" t="s">
        <v>129</v>
      </c>
      <c r="U7" s="11" t="s">
        <v>82</v>
      </c>
      <c r="V7" s="11" t="s">
        <v>83</v>
      </c>
      <c r="W7" s="11" t="s">
        <v>79</v>
      </c>
      <c r="X7" s="11"/>
      <c r="Y7" s="11" t="s">
        <v>57</v>
      </c>
      <c r="Z7" s="11" t="s">
        <v>58</v>
      </c>
      <c r="AA7" s="11" t="s">
        <v>59</v>
      </c>
      <c r="AB7" s="11" t="s">
        <v>84</v>
      </c>
      <c r="AC7" s="11" t="s">
        <v>85</v>
      </c>
      <c r="AD7" s="11" t="s">
        <v>86</v>
      </c>
      <c r="AE7" s="11" t="s">
        <v>87</v>
      </c>
      <c r="AF7" s="11" t="s">
        <v>67</v>
      </c>
      <c r="AG7" s="11" t="s">
        <v>68</v>
      </c>
      <c r="AH7" s="11" t="s">
        <v>69</v>
      </c>
      <c r="AI7" s="11" t="s">
        <v>70</v>
      </c>
      <c r="AJ7" s="11" t="s">
        <v>138</v>
      </c>
      <c r="AK7" s="11" t="s">
        <v>134</v>
      </c>
      <c r="AL7" s="11"/>
      <c r="AM7" s="11" t="s">
        <v>124</v>
      </c>
      <c r="AN7" s="11" t="s">
        <v>125</v>
      </c>
      <c r="AO7" s="11" t="s">
        <v>127</v>
      </c>
      <c r="AP7" s="11" t="s">
        <v>136</v>
      </c>
      <c r="AQ7" s="11" t="s">
        <v>137</v>
      </c>
      <c r="AR7" s="11" t="s">
        <v>98</v>
      </c>
      <c r="AS7" s="11" t="s">
        <v>97</v>
      </c>
      <c r="AT7" s="11" t="s">
        <v>160</v>
      </c>
      <c r="AU7" s="11" t="s">
        <v>161</v>
      </c>
      <c r="AV7" s="11" t="s">
        <v>162</v>
      </c>
      <c r="AW7" s="11"/>
      <c r="AX7" s="11" t="s">
        <v>88</v>
      </c>
      <c r="AY7" s="11" t="s">
        <v>163</v>
      </c>
      <c r="AZ7" s="11" t="s">
        <v>166</v>
      </c>
      <c r="BA7" s="11" t="s">
        <v>118</v>
      </c>
      <c r="BB7" s="11" t="s">
        <v>167</v>
      </c>
      <c r="BC7" s="11" t="s">
        <v>168</v>
      </c>
      <c r="BD7" s="11" t="s">
        <v>171</v>
      </c>
      <c r="BE7" s="11" t="s">
        <v>172</v>
      </c>
      <c r="BF7" s="11" t="s">
        <v>169</v>
      </c>
      <c r="BG7" s="11" t="s">
        <v>170</v>
      </c>
      <c r="BH7" s="11" t="s">
        <v>200</v>
      </c>
      <c r="BI7" s="11" t="s">
        <v>201</v>
      </c>
      <c r="BJ7" s="11" t="s">
        <v>121</v>
      </c>
      <c r="BK7" s="11" t="s">
        <v>202</v>
      </c>
      <c r="BL7" s="11" t="s">
        <v>203</v>
      </c>
      <c r="BM7" s="11" t="s">
        <v>204</v>
      </c>
      <c r="BN7" s="11" t="s">
        <v>117</v>
      </c>
      <c r="BO7" s="13" t="s">
        <v>206</v>
      </c>
      <c r="BP7" s="13" t="s">
        <v>205</v>
      </c>
    </row>
    <row r="8" spans="1:68" x14ac:dyDescent="0.2">
      <c r="A8" t="str">
        <f>'Input Scenarios'!A8</f>
        <v>NSW</v>
      </c>
      <c r="B8">
        <f>'Input Scenarios'!B8</f>
        <v>0</v>
      </c>
      <c r="C8" t="str">
        <f>'Input Scenarios'!C8</f>
        <v>Non-irrigated pasture</v>
      </c>
      <c r="D8" t="str">
        <f>'Input Scenarios'!D8</f>
        <v>wet</v>
      </c>
      <c r="E8" t="b">
        <f>'Input Scenarios'!E8</f>
        <v>0</v>
      </c>
      <c r="F8" t="str">
        <f>'Input Scenarios'!F8</f>
        <v>Limited grazing</v>
      </c>
      <c r="G8">
        <f>IF('Input Scenarios'!G8&lt;&gt;"", 'Input Scenarios'!G8, _xlfn.XLOOKUP($F8, Constants!$M$6:$M$9,Constants!N$6:N$9))</f>
        <v>0.53400000000000003</v>
      </c>
      <c r="H8">
        <f>IF('Input Scenarios'!H8&lt;&gt;"", 'Input Scenarios'!H8, _xlfn.XLOOKUP($F8, Constants!$M$6:$M$9,Constants!O$6:O$9))</f>
        <v>0.11</v>
      </c>
      <c r="I8">
        <f>IF('Input Scenarios'!I8&lt;&gt;"", 'Input Scenarios'!I8, _xlfn.XLOOKUP($F8, Constants!$M$6:$M$9,Constants!P$6:P$9))</f>
        <v>0.35599999999999998</v>
      </c>
      <c r="J8">
        <f>'Input Scenarios'!J8</f>
        <v>0.25</v>
      </c>
      <c r="K8">
        <f>'Input Scenarios'!K8</f>
        <v>0.25</v>
      </c>
      <c r="L8">
        <f>'Input Scenarios'!L8</f>
        <v>0.25</v>
      </c>
      <c r="M8">
        <f>'Input Scenarios'!M8</f>
        <v>0.25</v>
      </c>
      <c r="N8">
        <f>'Input Scenarios'!N8</f>
        <v>0.25</v>
      </c>
      <c r="O8">
        <f>'Input Scenarios'!O8</f>
        <v>0.25</v>
      </c>
      <c r="P8">
        <f>'Input Scenarios'!P8</f>
        <v>0.25</v>
      </c>
      <c r="Q8">
        <f>'Input Scenarios'!Q8</f>
        <v>0.25</v>
      </c>
      <c r="R8" t="b">
        <f>'Input Scenarios'!R8</f>
        <v>1</v>
      </c>
      <c r="S8">
        <f>IF('Input Scenarios'!S8&lt;&gt;"", 'Input Scenarios'!S8, IF(R8, Constants!$B$38, 0))</f>
        <v>0.2</v>
      </c>
      <c r="T8" t="str">
        <f>IF('Input Scenarios'!T8&lt;&gt;"", 'Input Scenarios'!T8, "")</f>
        <v/>
      </c>
      <c r="U8" t="str">
        <f>IF('Input Scenarios'!U8&lt;&gt;"", 'Input Scenarios'!U8, IF(W8&lt;&gt;"", "", Constants!$B$39))</f>
        <v/>
      </c>
      <c r="V8" t="str">
        <f>IF('Input Scenarios'!V8&lt;&gt;"", 'Input Scenarios'!V8, IF(W8&lt;&gt;"", "", Constants!$B$40))</f>
        <v/>
      </c>
      <c r="W8">
        <f>IF('Input Scenarios'!W8&lt;&gt;"", 'Input Scenarios'!W8, "")</f>
        <v>15</v>
      </c>
      <c r="X8" t="str">
        <f>'Input Scenarios'!X8</f>
        <v>Medium Friesian</v>
      </c>
      <c r="Y8" t="str">
        <f>'Input Scenarios'!Y8</f>
        <v>milkingCows</v>
      </c>
      <c r="Z8">
        <f>'Input Scenarios'!Z8</f>
        <v>200</v>
      </c>
      <c r="AA8">
        <f>IF('Input Scenarios'!AA8&lt;&gt;"", 'Input Scenarios'!AA8, _xlfn.XLOOKUP(Y8,Constants!$J$6:$J$12,Constants!$K$6:$K$12))</f>
        <v>365</v>
      </c>
      <c r="AB8">
        <f>IF('Input Scenarios'!AB8&lt;&gt;"", 'Input Scenarios'!AB8, INDEX(Constants!$B$2:$H$11, MATCH(X8, Constants!$A$2:$A$11, 0), MATCH(Y8,Constants!$B$1:$H$1, 0)))</f>
        <v>550</v>
      </c>
      <c r="AC8">
        <f>IF('Input Scenarios'!AC8&lt;&gt;"", 'Input Scenarios'!AC8, _xlfn.XLOOKUP(Y8, Constants!$B$13:$H$13, Constants!$B$15:$H$15, ""))</f>
        <v>1.6E-2</v>
      </c>
      <c r="AD8">
        <f>IF('Input Scenarios'!AD8&lt;&gt;"", 'Input Scenarios'!AD8, Constants!$B$45)</f>
        <v>0.75</v>
      </c>
      <c r="AE8">
        <f>IF('Input Scenarios'!AE8&lt;&gt;"", 'Input Scenarios'!AE8, Constants!$B$46)</f>
        <v>0.2</v>
      </c>
      <c r="AF8" s="20">
        <f>IF($Y8="milkingCows",($H8*J8)+($I8*N8), 0)</f>
        <v>0.11649999999999999</v>
      </c>
      <c r="AG8" s="20">
        <f t="shared" ref="AG8:AI23" si="0">IF($Y8="milkingCows",($H8*K8)+($I8*O8), 0)</f>
        <v>0.11649999999999999</v>
      </c>
      <c r="AH8" s="20">
        <f t="shared" si="0"/>
        <v>0.11649999999999999</v>
      </c>
      <c r="AI8" s="20">
        <f t="shared" si="0"/>
        <v>0.11649999999999999</v>
      </c>
      <c r="AJ8" s="20">
        <f>IF($Y8="milkingCows",G8, 1)</f>
        <v>0.53400000000000003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0.5948500000000001</v>
      </c>
      <c r="AQ8">
        <f>(AK8*AL8*AM8)/(AN8*AO8*AP8)</f>
        <v>7.1849041227053947</v>
      </c>
      <c r="AR8">
        <f>IF(Y8="milkingCows", Constants!$P$2, Constants!$P$3)</f>
        <v>1.1000000000000001</v>
      </c>
      <c r="AS8">
        <f>IFERROR(((1.185+(0.00454*AB8)-(0.0000026*(AB8^2))+(0.315*AC8))^2*AR8+AQ8), "")</f>
        <v>16.439349643465398</v>
      </c>
      <c r="AT8">
        <f>IFERROR(((1.185+(0.00454*AB8)-(0.0000026*(AB8^2))+(0.315*AC8))^2*AR8+AQ8)/((1.185+(0.00454*AB8)-(0.0000026*(AB8^2)))^2*AR8+AQ8), "")</f>
        <v>1.0019584824738763</v>
      </c>
      <c r="AU8">
        <f>_xlfn.XLOOKUP(Y8, Constants!$B$13:$H$13, Constants!$B$14:$H$14, "")</f>
        <v>590</v>
      </c>
      <c r="AV8">
        <f>IFERROR(AB8/AU8, "")</f>
        <v>0.93220338983050843</v>
      </c>
      <c r="AW8">
        <f>Constants!$B$55</f>
        <v>6.25</v>
      </c>
      <c r="AX8" s="20">
        <f t="shared" ref="AX8:AX39" si="1">IFERROR((((0.212-(0.008*(AT8-2)) - (0.14-0.008*(AT8-2))/(1+EXP(-6*(AV8-0.4)))) * AC8 * 0.92)/AW8) + (0.032*AK8*AL8)/6.38, "")</f>
        <v>7.7675477144195801E-2</v>
      </c>
      <c r="AY8">
        <f t="shared" ref="AY8:AY39" si="2">IFERROR(AE8*AS8, "")</f>
        <v>3.2878699286930799</v>
      </c>
      <c r="AZ8">
        <f>IF(ISNUMBER(FIND("PreWeaned",Y8)),"", MAX((AY8/AW8)-AX8-(((1.1*10^-4)*(AB8^0.75))/AW8), 0))</f>
        <v>0.44638484082535895</v>
      </c>
      <c r="BA8" t="str">
        <f>IF(ISNUMBER(FIND("PreWeaned",Y8)),_xlfn.XLOOKUP(Y8,Constants!$J$2:$J$3,Constants!$M$2:$M$3),"")</f>
        <v/>
      </c>
      <c r="BB8">
        <f t="shared" ref="BB8:BB39" si="3">SUM(AZ8:BA8)*Z8*AA8</f>
        <v>32586.093380251205</v>
      </c>
      <c r="BC8">
        <f t="shared" ref="BC8:BC39" si="4">$BB8*AF8</f>
        <v>3796.2798787992651</v>
      </c>
      <c r="BD8">
        <f t="shared" ref="BD8:BD39" si="5">$BB8*AG8</f>
        <v>3796.2798787992651</v>
      </c>
      <c r="BE8">
        <f t="shared" ref="BE8:BE39" si="6">$BB8*AH8</f>
        <v>3796.2798787992651</v>
      </c>
      <c r="BF8">
        <f t="shared" ref="BF8:BF39" si="7">$BB8*AI8</f>
        <v>3796.2798787992651</v>
      </c>
      <c r="BG8">
        <f t="shared" ref="BG8:BG39" si="8">$BB8*AJ8</f>
        <v>17400.973865054144</v>
      </c>
      <c r="BH8">
        <f t="shared" ref="BH8:BH39" si="9">IF(E8, 1, 0)</f>
        <v>0</v>
      </c>
      <c r="BI8">
        <f>Constants!$B$54</f>
        <v>0.02</v>
      </c>
      <c r="BJ8">
        <f>Constants!$B$53</f>
        <v>0.24</v>
      </c>
      <c r="BK8">
        <f>BF8*$BH8*BI8</f>
        <v>0</v>
      </c>
      <c r="BL8">
        <f>BG8*$BH8*BJ8</f>
        <v>0</v>
      </c>
      <c r="BM8">
        <f>Constants!$B$52</f>
        <v>1.0999999999999999E-2</v>
      </c>
      <c r="BN8">
        <f>Constants!$B$50</f>
        <v>1.57</v>
      </c>
      <c r="BO8">
        <f>SUM(BK8:BL8)*BM8*BN8</f>
        <v>0</v>
      </c>
      <c r="BP8">
        <f>SUM(BO8:BO14)/1000</f>
        <v>0</v>
      </c>
    </row>
    <row r="9" spans="1:68" x14ac:dyDescent="0.2">
      <c r="A9" t="str">
        <f>'Input Scenarios'!A9</f>
        <v>NSW</v>
      </c>
      <c r="B9">
        <f>'Input Scenarios'!B9</f>
        <v>0</v>
      </c>
      <c r="C9" t="str">
        <f>'Input Scenarios'!C9</f>
        <v>Non-irrigated pasture</v>
      </c>
      <c r="D9" t="str">
        <f>'Input Scenarios'!D9</f>
        <v>wet</v>
      </c>
      <c r="E9" t="b">
        <f>'Input Scenarios'!E9</f>
        <v>0</v>
      </c>
      <c r="F9" t="str">
        <f>'Input Scenarios'!F9</f>
        <v>Limited grazing</v>
      </c>
      <c r="G9">
        <f>IF('Input Scenarios'!G9&lt;&gt;"", 'Input Scenarios'!G9, _xlfn.XLOOKUP($F9, Constants!$M$6:$M$9,Constants!N$6:N$9))</f>
        <v>0.53400000000000003</v>
      </c>
      <c r="H9">
        <f>IF('Input Scenarios'!H9&lt;&gt;"", 'Input Scenarios'!H9, _xlfn.XLOOKUP($F9, Constants!$M$6:$M$9,Constants!O$6:O$9))</f>
        <v>0.11</v>
      </c>
      <c r="I9">
        <f>IF('Input Scenarios'!I9&lt;&gt;"", 'Input Scenarios'!I9, _xlfn.XLOOKUP($F9, Constants!$M$6:$M$9,Constants!P$6:P$9))</f>
        <v>0.35599999999999998</v>
      </c>
      <c r="J9">
        <f>'Input Scenarios'!J9</f>
        <v>0.25</v>
      </c>
      <c r="K9">
        <f>'Input Scenarios'!K9</f>
        <v>0.25</v>
      </c>
      <c r="L9">
        <f>'Input Scenarios'!L9</f>
        <v>0.25</v>
      </c>
      <c r="M9">
        <f>'Input Scenarios'!M9</f>
        <v>0.25</v>
      </c>
      <c r="N9">
        <f>'Input Scenarios'!N9</f>
        <v>0.25</v>
      </c>
      <c r="O9">
        <f>'Input Scenarios'!O9</f>
        <v>0.25</v>
      </c>
      <c r="P9">
        <f>'Input Scenarios'!P9</f>
        <v>0.25</v>
      </c>
      <c r="Q9">
        <f>'Input Scenarios'!Q9</f>
        <v>0.25</v>
      </c>
      <c r="R9" t="b">
        <f>'Input Scenarios'!R9</f>
        <v>1</v>
      </c>
      <c r="S9">
        <f>IF('Input Scenarios'!S9&lt;&gt;"", 'Input Scenarios'!S9, IF(R9, Constants!$B$38, 0))</f>
        <v>0.2</v>
      </c>
      <c r="T9" t="str">
        <f>IF('Input Scenarios'!T9&lt;&gt;"", 'Input Scenarios'!T9, "")</f>
        <v/>
      </c>
      <c r="U9">
        <f>IF('Input Scenarios'!U9&lt;&gt;"", 'Input Scenarios'!U9, IF(W9&lt;&gt;"", "", Constants!$B$39))</f>
        <v>4</v>
      </c>
      <c r="V9">
        <f>IF('Input Scenarios'!V9&lt;&gt;"", 'Input Scenarios'!V9, IF(W9&lt;&gt;"", "", Constants!$B$40))</f>
        <v>3.3</v>
      </c>
      <c r="W9" t="str">
        <f>IF('Input Scenarios'!W9&lt;&gt;"", 'Input Scenarios'!W9, "")</f>
        <v/>
      </c>
      <c r="X9" t="str">
        <f>'Input Scenarios'!X9</f>
        <v>Medium Friesian</v>
      </c>
      <c r="Y9" t="str">
        <f>'Input Scenarios'!Y9</f>
        <v>heifersGt1</v>
      </c>
      <c r="Z9">
        <f>'Input Scenarios'!Z9</f>
        <v>200</v>
      </c>
      <c r="AA9">
        <f>IF('Input Scenarios'!AA9&lt;&gt;"", 'Input Scenarios'!AA9, _xlfn.XLOOKUP(Y9,Constants!$J$6:$J$12,Constants!$K$6:$K$12))</f>
        <v>365</v>
      </c>
      <c r="AB9">
        <f>IF('Input Scenarios'!AB9&lt;&gt;"", 'Input Scenarios'!AB9, INDEX(Constants!$B$2:$H$11, MATCH(X9, Constants!$A$2:$A$11, 0), MATCH(Y9,Constants!$B$1:$H$1, 0)))</f>
        <v>380</v>
      </c>
      <c r="AC9">
        <f>IF('Input Scenarios'!AC9&lt;&gt;"", 'Input Scenarios'!AC9, _xlfn.XLOOKUP(Y9, Constants!$B$13:$H$13, Constants!$B$15:$H$15, ""))</f>
        <v>0.6</v>
      </c>
      <c r="AD9">
        <f>IF('Input Scenarios'!AD9&lt;&gt;"", 'Input Scenarios'!AD9, Constants!$B$45)</f>
        <v>0.75</v>
      </c>
      <c r="AE9">
        <f>IF('Input Scenarios'!AE9&lt;&gt;"", 'Input Scenarios'!AE9, Constants!$B$46)</f>
        <v>0.2</v>
      </c>
      <c r="AF9">
        <f t="shared" ref="AF9:AI24" si="10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11">IF($Y9="milkingCows",G9, 1)</f>
        <v>1</v>
      </c>
      <c r="AK9">
        <f t="shared" ref="AK9:AK13" si="12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14" si="13">0.795*(AD9)-0.0014</f>
        <v>0.5948500000000001</v>
      </c>
      <c r="AQ9">
        <f t="shared" ref="AQ9:AQ14" si="14">(AK9*AL9*AM9)/(AN9*AO9*AP9)</f>
        <v>0</v>
      </c>
      <c r="AR9">
        <f>IF(Y9="milkingCows", Constants!$P$2, Constants!$P$3)</f>
        <v>1</v>
      </c>
      <c r="AS9">
        <f t="shared" ref="AS9:AS14" si="15">IFERROR(((1.185+(0.00454*AB9)-(0.0000026*(AB9^2))+(0.315*AC9))^2*AR9+AQ9), "")</f>
        <v>7.4188685375999972</v>
      </c>
      <c r="AT9">
        <f t="shared" ref="AT9:AT14" si="16">IFERROR(((1.185+(0.00454*AB9)-(0.0000026*(AB9^2))+(0.315*AC9))^2*AR9+AQ9)/((1.185+(0.00454*AB9)-(0.0000026*(AB9^2)))^2*AR9+AQ9), "")</f>
        <v>1.1546862260954116</v>
      </c>
      <c r="AU9">
        <f>_xlfn.XLOOKUP(Y9, Constants!$B$13:$H$13, Constants!$B$14:$H$14, "")</f>
        <v>590</v>
      </c>
      <c r="AV9">
        <f t="shared" ref="AV9:AV14" si="17">IFERROR(AB9/AU9, "")</f>
        <v>0.64406779661016944</v>
      </c>
      <c r="AW9">
        <f>Constants!$B$55</f>
        <v>6.25</v>
      </c>
      <c r="AX9">
        <f t="shared" si="1"/>
        <v>8.7932411900846167E-3</v>
      </c>
      <c r="AY9">
        <f t="shared" si="2"/>
        <v>1.4837737075199995</v>
      </c>
      <c r="AZ9">
        <f t="shared" ref="AZ9:AZ63" si="18">IF(ISNUMBER(FIND("PreWeaned",Y9)),"", MAX((AY9/AW9)-AX9-(((1.1*10^-4)*(AB9^0.75))/AW9), 0))</f>
        <v>0.22709576921272823</v>
      </c>
      <c r="BA9" t="str">
        <f>IF(ISNUMBER(FIND("PreWeaned",Y9)),_xlfn.XLOOKUP(Y9,Constants!$J$2:$J$3,Constants!$M$2:$M$3),"")</f>
        <v/>
      </c>
      <c r="BB9">
        <f t="shared" si="3"/>
        <v>16577.991152529161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16577.991152529161</v>
      </c>
      <c r="BH9">
        <f t="shared" si="9"/>
        <v>0</v>
      </c>
      <c r="BI9">
        <f>Constants!$B$54</f>
        <v>0.02</v>
      </c>
      <c r="BJ9">
        <f>Constants!$B$53</f>
        <v>0.24</v>
      </c>
      <c r="BK9">
        <f t="shared" ref="BK9:BK14" si="19">BF9*$BH9*BI9</f>
        <v>0</v>
      </c>
      <c r="BL9">
        <f t="shared" ref="BL9:BL14" si="20">BG9*$BH9*BJ9</f>
        <v>0</v>
      </c>
      <c r="BM9">
        <f>Constants!$B$52</f>
        <v>1.0999999999999999E-2</v>
      </c>
      <c r="BN9">
        <f>Constants!$B$50</f>
        <v>1.57</v>
      </c>
      <c r="BO9">
        <f t="shared" ref="BO9:BO14" si="21">SUM(BK9:BL9)*BM9*BN9</f>
        <v>0</v>
      </c>
    </row>
    <row r="10" spans="1:68" x14ac:dyDescent="0.2">
      <c r="A10" t="str">
        <f>'Input Scenarios'!A10</f>
        <v>NSW</v>
      </c>
      <c r="B10">
        <f>'Input Scenarios'!B10</f>
        <v>0</v>
      </c>
      <c r="C10" t="str">
        <f>'Input Scenarios'!C10</f>
        <v>Non-irrigated pasture</v>
      </c>
      <c r="D10" t="str">
        <f>'Input Scenarios'!D10</f>
        <v>wet</v>
      </c>
      <c r="E10" t="b">
        <f>'Input Scenarios'!E10</f>
        <v>0</v>
      </c>
      <c r="F10" t="str">
        <f>'Input Scenarios'!F10</f>
        <v>Limited grazing</v>
      </c>
      <c r="G10">
        <f>IF('Input Scenarios'!G10&lt;&gt;"", 'Input Scenarios'!G10, _xlfn.XLOOKUP($F10, Constants!$M$6:$M$9,Constants!N$6:N$9))</f>
        <v>0.53400000000000003</v>
      </c>
      <c r="H10">
        <f>IF('Input Scenarios'!H10&lt;&gt;"", 'Input Scenarios'!H10, _xlfn.XLOOKUP($F10, Constants!$M$6:$M$9,Constants!O$6:O$9))</f>
        <v>0.11</v>
      </c>
      <c r="I10">
        <f>IF('Input Scenarios'!I10&lt;&gt;"", 'Input Scenarios'!I10, _xlfn.XLOOKUP($F10, Constants!$M$6:$M$9,Constants!P$6:P$9))</f>
        <v>0.35599999999999998</v>
      </c>
      <c r="J10">
        <f>'Input Scenarios'!J10</f>
        <v>0.25</v>
      </c>
      <c r="K10">
        <f>'Input Scenarios'!K10</f>
        <v>0.25</v>
      </c>
      <c r="L10">
        <f>'Input Scenarios'!L10</f>
        <v>0.25</v>
      </c>
      <c r="M10">
        <f>'Input Scenarios'!M10</f>
        <v>0.25</v>
      </c>
      <c r="N10">
        <f>'Input Scenarios'!N10</f>
        <v>0.25</v>
      </c>
      <c r="O10">
        <f>'Input Scenarios'!O10</f>
        <v>0.25</v>
      </c>
      <c r="P10">
        <f>'Input Scenarios'!P10</f>
        <v>0.25</v>
      </c>
      <c r="Q10">
        <f>'Input Scenarios'!Q10</f>
        <v>0.25</v>
      </c>
      <c r="R10" t="b">
        <f>'Input Scenarios'!R10</f>
        <v>1</v>
      </c>
      <c r="S10">
        <f>IF('Input Scenarios'!S10&lt;&gt;"", 'Input Scenarios'!S10, IF(R10, Constants!$B$38, 0))</f>
        <v>0.2</v>
      </c>
      <c r="T10" t="str">
        <f>IF('Input Scenarios'!T10&lt;&gt;"", 'Input Scenarios'!T10, "")</f>
        <v/>
      </c>
      <c r="U10">
        <f>IF('Input Scenarios'!U10&lt;&gt;"", 'Input Scenarios'!U10, IF(W10&lt;&gt;"", "", Constants!$B$39))</f>
        <v>4</v>
      </c>
      <c r="V10">
        <f>IF('Input Scenarios'!V10&lt;&gt;"", 'Input Scenarios'!V10, IF(W10&lt;&gt;"", "", Constants!$B$40))</f>
        <v>3.3</v>
      </c>
      <c r="W10" t="str">
        <f>IF('Input Scenarios'!W10&lt;&gt;"", 'Input Scenarios'!W10, "")</f>
        <v/>
      </c>
      <c r="X10" t="str">
        <f>'Input Scenarios'!X10</f>
        <v>Medium Friesian</v>
      </c>
      <c r="Y10" t="str">
        <f>'Input Scenarios'!Y10</f>
        <v>heifersLt1PreWeaned</v>
      </c>
      <c r="Z10">
        <f>'Input Scenarios'!Z10</f>
        <v>200</v>
      </c>
      <c r="AA10">
        <f>IF('Input Scenarios'!AA10&lt;&gt;"", 'Input Scenarios'!AA10, _xlfn.XLOOKUP(Y10,Constants!$J$6:$J$12,Constants!$K$6:$K$12))</f>
        <v>84</v>
      </c>
      <c r="AB10">
        <f>IF('Input Scenarios'!AB10&lt;&gt;"", 'Input Scenarios'!AB10, INDEX(Constants!$B$2:$H$11, MATCH(X10, Constants!$A$2:$A$11, 0), MATCH(Y10,Constants!$B$1:$H$1, 0)))</f>
        <v>155</v>
      </c>
      <c r="AC10" t="str">
        <f>IF('Input Scenarios'!AC10&lt;&gt;"", 'Input Scenarios'!AC10, _xlfn.XLOOKUP(Y10, Constants!$B$13:$H$13, Constants!$B$15:$H$15, ""))</f>
        <v/>
      </c>
      <c r="AD10">
        <f>IF('Input Scenarios'!AD10&lt;&gt;"", 'Input Scenarios'!AD10, Constants!$B$45)</f>
        <v>0.75</v>
      </c>
      <c r="AE10">
        <f>IF('Input Scenarios'!AE10&lt;&gt;"", 'Input Scenarios'!AE10, Constants!$B$46)</f>
        <v>0.2</v>
      </c>
      <c r="AF10">
        <f t="shared" si="1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11"/>
        <v>1</v>
      </c>
      <c r="AK10">
        <f t="shared" si="12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13"/>
        <v>0.5948500000000001</v>
      </c>
      <c r="AQ10">
        <f t="shared" si="14"/>
        <v>0</v>
      </c>
      <c r="AR10">
        <f>IF(Y10="milkingCows", Constants!$P$2, Constants!$P$3)</f>
        <v>1</v>
      </c>
      <c r="AS10" t="str">
        <f t="shared" si="15"/>
        <v/>
      </c>
      <c r="AT10" t="str">
        <f t="shared" si="16"/>
        <v/>
      </c>
      <c r="AU10" t="str">
        <f>_xlfn.XLOOKUP(Y10, Constants!$B$13:$H$13, Constants!$B$14:$H$14, "")</f>
        <v/>
      </c>
      <c r="AV10" t="str">
        <f t="shared" si="17"/>
        <v/>
      </c>
      <c r="AW10">
        <f>Constants!$B$55</f>
        <v>6.25</v>
      </c>
      <c r="AX10" t="str">
        <f t="shared" si="1"/>
        <v/>
      </c>
      <c r="AY10" t="str">
        <f t="shared" si="2"/>
        <v/>
      </c>
      <c r="AZ10" t="str">
        <f t="shared" si="18"/>
        <v/>
      </c>
      <c r="BA10">
        <f>IF(ISNUMBER(FIND("PreWeaned",Y10)),_xlfn.XLOOKUP(Y10,Constants!$J$2:$J$3,Constants!$M$2:$M$3),"")</f>
        <v>1.37E-2</v>
      </c>
      <c r="BB10">
        <f t="shared" si="3"/>
        <v>230.16000000000003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230.16000000000003</v>
      </c>
      <c r="BH10">
        <f t="shared" si="9"/>
        <v>0</v>
      </c>
      <c r="BI10">
        <f>Constants!$B$54</f>
        <v>0.02</v>
      </c>
      <c r="BJ10">
        <f>Constants!$B$53</f>
        <v>0.24</v>
      </c>
      <c r="BK10">
        <f t="shared" si="19"/>
        <v>0</v>
      </c>
      <c r="BL10">
        <f t="shared" si="20"/>
        <v>0</v>
      </c>
      <c r="BM10">
        <f>Constants!$B$52</f>
        <v>1.0999999999999999E-2</v>
      </c>
      <c r="BN10">
        <f>Constants!$B$50</f>
        <v>1.57</v>
      </c>
      <c r="BO10">
        <f t="shared" si="21"/>
        <v>0</v>
      </c>
    </row>
    <row r="11" spans="1:68" x14ac:dyDescent="0.2">
      <c r="A11" t="str">
        <f>'Input Scenarios'!A11</f>
        <v>NSW</v>
      </c>
      <c r="B11">
        <f>'Input Scenarios'!B11</f>
        <v>0</v>
      </c>
      <c r="C11" t="str">
        <f>'Input Scenarios'!C11</f>
        <v>Non-irrigated pasture</v>
      </c>
      <c r="D11" t="str">
        <f>'Input Scenarios'!D11</f>
        <v>wet</v>
      </c>
      <c r="E11" t="b">
        <f>'Input Scenarios'!E11</f>
        <v>0</v>
      </c>
      <c r="F11" t="str">
        <f>'Input Scenarios'!F11</f>
        <v>Limited grazing</v>
      </c>
      <c r="G11">
        <f>IF('Input Scenarios'!G11&lt;&gt;"", 'Input Scenarios'!G11, _xlfn.XLOOKUP($F11, Constants!$M$6:$M$9,Constants!N$6:N$9))</f>
        <v>0.53400000000000003</v>
      </c>
      <c r="H11">
        <f>IF('Input Scenarios'!H11&lt;&gt;"", 'Input Scenarios'!H11, _xlfn.XLOOKUP($F11, Constants!$M$6:$M$9,Constants!O$6:O$9))</f>
        <v>0.11</v>
      </c>
      <c r="I11">
        <f>IF('Input Scenarios'!I11&lt;&gt;"", 'Input Scenarios'!I11, _xlfn.XLOOKUP($F11, Constants!$M$6:$M$9,Constants!P$6:P$9))</f>
        <v>0.35599999999999998</v>
      </c>
      <c r="J11">
        <f>'Input Scenarios'!J11</f>
        <v>0.25</v>
      </c>
      <c r="K11">
        <f>'Input Scenarios'!K11</f>
        <v>0.25</v>
      </c>
      <c r="L11">
        <f>'Input Scenarios'!L11</f>
        <v>0.25</v>
      </c>
      <c r="M11">
        <f>'Input Scenarios'!M11</f>
        <v>0.25</v>
      </c>
      <c r="N11">
        <f>'Input Scenarios'!N11</f>
        <v>0.25</v>
      </c>
      <c r="O11">
        <f>'Input Scenarios'!O11</f>
        <v>0.25</v>
      </c>
      <c r="P11">
        <f>'Input Scenarios'!P11</f>
        <v>0.25</v>
      </c>
      <c r="Q11">
        <f>'Input Scenarios'!Q11</f>
        <v>0.25</v>
      </c>
      <c r="R11" t="b">
        <f>'Input Scenarios'!R11</f>
        <v>1</v>
      </c>
      <c r="S11">
        <f>IF('Input Scenarios'!S11&lt;&gt;"", 'Input Scenarios'!S11, IF(R11, Constants!$B$38, 0))</f>
        <v>0.2</v>
      </c>
      <c r="T11" t="str">
        <f>IF('Input Scenarios'!T11&lt;&gt;"", 'Input Scenarios'!T11, "")</f>
        <v/>
      </c>
      <c r="U11">
        <f>IF('Input Scenarios'!U11&lt;&gt;"", 'Input Scenarios'!U11, IF(W11&lt;&gt;"", "", Constants!$B$39))</f>
        <v>4</v>
      </c>
      <c r="V11">
        <f>IF('Input Scenarios'!V11&lt;&gt;"", 'Input Scenarios'!V11, IF(W11&lt;&gt;"", "", Constants!$B$40))</f>
        <v>3.3</v>
      </c>
      <c r="W11" t="str">
        <f>IF('Input Scenarios'!W11&lt;&gt;"", 'Input Scenarios'!W11, "")</f>
        <v/>
      </c>
      <c r="X11" t="str">
        <f>'Input Scenarios'!X11</f>
        <v>Medium Friesian</v>
      </c>
      <c r="Y11" t="str">
        <f>'Input Scenarios'!Y11</f>
        <v>heifersLt1Weaned</v>
      </c>
      <c r="Z11">
        <f>'Input Scenarios'!Z11</f>
        <v>200</v>
      </c>
      <c r="AA11">
        <f>IF('Input Scenarios'!AA11&lt;&gt;"", 'Input Scenarios'!AA11, _xlfn.XLOOKUP(Y11,Constants!$J$6:$J$12,Constants!$K$6:$K$12))</f>
        <v>281</v>
      </c>
      <c r="AB11">
        <f>IF('Input Scenarios'!AB11&lt;&gt;"", 'Input Scenarios'!AB11, INDEX(Constants!$B$2:$H$11, MATCH(X11, Constants!$A$2:$A$11, 0), MATCH(Y11,Constants!$B$1:$H$1, 0)))</f>
        <v>155</v>
      </c>
      <c r="AC11">
        <f>IF('Input Scenarios'!AC11&lt;&gt;"", 'Input Scenarios'!AC11, _xlfn.XLOOKUP(Y11, Constants!$B$13:$H$13, Constants!$B$15:$H$15, ""))</f>
        <v>0.56999999999999995</v>
      </c>
      <c r="AD11">
        <f>IF('Input Scenarios'!AD11&lt;&gt;"", 'Input Scenarios'!AD11, Constants!$B$45)</f>
        <v>0.75</v>
      </c>
      <c r="AE11">
        <f>IF('Input Scenarios'!AE11&lt;&gt;"", 'Input Scenarios'!AE11, Constants!$B$46)</f>
        <v>0.2</v>
      </c>
      <c r="AF11">
        <f t="shared" si="1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11"/>
        <v>1</v>
      </c>
      <c r="AK11">
        <f t="shared" si="12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13"/>
        <v>0.5948500000000001</v>
      </c>
      <c r="AQ11">
        <f t="shared" si="14"/>
        <v>0</v>
      </c>
      <c r="AR11">
        <f>IF(Y11="milkingCows", Constants!$P$2, Constants!$P$3)</f>
        <v>1</v>
      </c>
      <c r="AS11">
        <f t="shared" si="15"/>
        <v>4.0231734662249998</v>
      </c>
      <c r="AT11">
        <f t="shared" si="16"/>
        <v>1.206300296845944</v>
      </c>
      <c r="AU11">
        <f>_xlfn.XLOOKUP(Y11, Constants!$B$13:$H$13, Constants!$B$14:$H$14, "")</f>
        <v>590</v>
      </c>
      <c r="AV11">
        <f t="shared" si="17"/>
        <v>0.26271186440677968</v>
      </c>
      <c r="AW11">
        <f>Constants!$B$55</f>
        <v>6.25</v>
      </c>
      <c r="AX11">
        <f t="shared" si="1"/>
        <v>1.4575548166167214E-2</v>
      </c>
      <c r="AY11">
        <f t="shared" si="2"/>
        <v>0.80463469324500003</v>
      </c>
      <c r="AZ11">
        <f t="shared" si="18"/>
        <v>0.1133928568810149</v>
      </c>
      <c r="BA11" t="str">
        <f>IF(ISNUMBER(FIND("PreWeaned",Y11)),_xlfn.XLOOKUP(Y11,Constants!$J$2:$J$3,Constants!$M$2:$M$3),"")</f>
        <v/>
      </c>
      <c r="BB11">
        <f t="shared" si="3"/>
        <v>6372.6785567130382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6372.6785567130382</v>
      </c>
      <c r="BH11">
        <f t="shared" si="9"/>
        <v>0</v>
      </c>
      <c r="BI11">
        <f>Constants!$B$54</f>
        <v>0.02</v>
      </c>
      <c r="BJ11">
        <f>Constants!$B$53</f>
        <v>0.24</v>
      </c>
      <c r="BK11">
        <f t="shared" si="19"/>
        <v>0</v>
      </c>
      <c r="BL11">
        <f t="shared" si="20"/>
        <v>0</v>
      </c>
      <c r="BM11">
        <f>Constants!$B$52</f>
        <v>1.0999999999999999E-2</v>
      </c>
      <c r="BN11">
        <f>Constants!$B$50</f>
        <v>1.57</v>
      </c>
      <c r="BO11">
        <f t="shared" si="21"/>
        <v>0</v>
      </c>
    </row>
    <row r="12" spans="1:68" x14ac:dyDescent="0.2">
      <c r="A12" t="str">
        <f>'Input Scenarios'!A12</f>
        <v>NSW</v>
      </c>
      <c r="B12">
        <f>'Input Scenarios'!B12</f>
        <v>0</v>
      </c>
      <c r="C12" t="str">
        <f>'Input Scenarios'!C12</f>
        <v>Non-irrigated pasture</v>
      </c>
      <c r="D12" t="str">
        <f>'Input Scenarios'!D12</f>
        <v>wet</v>
      </c>
      <c r="E12" t="b">
        <f>'Input Scenarios'!E12</f>
        <v>0</v>
      </c>
      <c r="F12" t="str">
        <f>'Input Scenarios'!F12</f>
        <v>Limited grazing</v>
      </c>
      <c r="G12">
        <f>IF('Input Scenarios'!G12&lt;&gt;"", 'Input Scenarios'!G12, _xlfn.XLOOKUP($F12, Constants!$M$6:$M$9,Constants!N$6:N$9))</f>
        <v>0.53400000000000003</v>
      </c>
      <c r="H12">
        <f>IF('Input Scenarios'!H12&lt;&gt;"", 'Input Scenarios'!H12, _xlfn.XLOOKUP($F12, Constants!$M$6:$M$9,Constants!O$6:O$9))</f>
        <v>0.11</v>
      </c>
      <c r="I12">
        <f>IF('Input Scenarios'!I12&lt;&gt;"", 'Input Scenarios'!I12, _xlfn.XLOOKUP($F12, Constants!$M$6:$M$9,Constants!P$6:P$9))</f>
        <v>0.35599999999999998</v>
      </c>
      <c r="J12">
        <f>'Input Scenarios'!J12</f>
        <v>0.25</v>
      </c>
      <c r="K12">
        <f>'Input Scenarios'!K12</f>
        <v>0.25</v>
      </c>
      <c r="L12">
        <f>'Input Scenarios'!L12</f>
        <v>0.25</v>
      </c>
      <c r="M12">
        <f>'Input Scenarios'!M12</f>
        <v>0.25</v>
      </c>
      <c r="N12">
        <f>'Input Scenarios'!N12</f>
        <v>0.25</v>
      </c>
      <c r="O12">
        <f>'Input Scenarios'!O12</f>
        <v>0.25</v>
      </c>
      <c r="P12">
        <f>'Input Scenarios'!P12</f>
        <v>0.25</v>
      </c>
      <c r="Q12">
        <f>'Input Scenarios'!Q12</f>
        <v>0.25</v>
      </c>
      <c r="R12" t="b">
        <f>'Input Scenarios'!R12</f>
        <v>1</v>
      </c>
      <c r="S12">
        <f>IF('Input Scenarios'!S12&lt;&gt;"", 'Input Scenarios'!S12, IF(R12, Constants!$B$38, 0))</f>
        <v>0.2</v>
      </c>
      <c r="T12" t="str">
        <f>IF('Input Scenarios'!T12&lt;&gt;"", 'Input Scenarios'!T12, "")</f>
        <v/>
      </c>
      <c r="U12">
        <f>IF('Input Scenarios'!U12&lt;&gt;"", 'Input Scenarios'!U12, IF(W12&lt;&gt;"", "", Constants!$B$39))</f>
        <v>4</v>
      </c>
      <c r="V12">
        <f>IF('Input Scenarios'!V12&lt;&gt;"", 'Input Scenarios'!V12, IF(W12&lt;&gt;"", "", Constants!$B$40))</f>
        <v>3.3</v>
      </c>
      <c r="W12" t="str">
        <f>IF('Input Scenarios'!W12&lt;&gt;"", 'Input Scenarios'!W12, "")</f>
        <v/>
      </c>
      <c r="X12" t="str">
        <f>'Input Scenarios'!X12</f>
        <v>Medium Friesian</v>
      </c>
      <c r="Y12" t="str">
        <f>'Input Scenarios'!Y12</f>
        <v>bullsGt1</v>
      </c>
      <c r="Z12">
        <f>'Input Scenarios'!Z12</f>
        <v>200</v>
      </c>
      <c r="AA12">
        <f>IF('Input Scenarios'!AA12&lt;&gt;"", 'Input Scenarios'!AA12, _xlfn.XLOOKUP(Y12,Constants!$J$6:$J$12,Constants!$K$6:$K$12))</f>
        <v>365</v>
      </c>
      <c r="AB12">
        <f>IF('Input Scenarios'!AB12&lt;&gt;"", 'Input Scenarios'!AB12, INDEX(Constants!$B$2:$H$11, MATCH(X12, Constants!$A$2:$A$11, 0), MATCH(Y12,Constants!$B$1:$H$1, 0)))</f>
        <v>600</v>
      </c>
      <c r="AC12">
        <f>IF('Input Scenarios'!AC12&lt;&gt;"", 'Input Scenarios'!AC12, _xlfn.XLOOKUP(Y12, Constants!$B$13:$H$13, Constants!$B$15:$H$15, ""))</f>
        <v>0.1</v>
      </c>
      <c r="AD12">
        <f>IF('Input Scenarios'!AD12&lt;&gt;"", 'Input Scenarios'!AD12, Constants!$B$45)</f>
        <v>0.75</v>
      </c>
      <c r="AE12">
        <f>IF('Input Scenarios'!AE12&lt;&gt;"", 'Input Scenarios'!AE12, Constants!$B$46)</f>
        <v>0.2</v>
      </c>
      <c r="AF12">
        <f t="shared" si="1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11"/>
        <v>1</v>
      </c>
      <c r="AK12">
        <f t="shared" si="12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13"/>
        <v>0.5948500000000001</v>
      </c>
      <c r="AQ12">
        <f t="shared" si="14"/>
        <v>0</v>
      </c>
      <c r="AR12">
        <f>IF(Y12="milkingCows", Constants!$P$2, Constants!$P$3)</f>
        <v>1</v>
      </c>
      <c r="AS12">
        <f t="shared" si="15"/>
        <v>9.0270202499999979</v>
      </c>
      <c r="AT12">
        <f t="shared" si="16"/>
        <v>1.0213029780639273</v>
      </c>
      <c r="AU12">
        <f>_xlfn.XLOOKUP(Y12, Constants!$B$13:$H$13, Constants!$B$14:$H$14, "")</f>
        <v>770</v>
      </c>
      <c r="AV12">
        <f t="shared" si="17"/>
        <v>0.77922077922077926</v>
      </c>
      <c r="AW12">
        <f>Constants!$B$55</f>
        <v>6.25</v>
      </c>
      <c r="AX12">
        <f t="shared" si="1"/>
        <v>1.2626203146474679E-3</v>
      </c>
      <c r="AY12">
        <f t="shared" si="2"/>
        <v>1.8054040499999997</v>
      </c>
      <c r="AZ12">
        <f t="shared" si="18"/>
        <v>0.28546836331241399</v>
      </c>
      <c r="BA12" t="str">
        <f>IF(ISNUMBER(FIND("PreWeaned",Y12)),_xlfn.XLOOKUP(Y12,Constants!$J$2:$J$3,Constants!$M$2:$M$3),"")</f>
        <v/>
      </c>
      <c r="BB12">
        <f t="shared" si="3"/>
        <v>20839.19052180622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20839.19052180622</v>
      </c>
      <c r="BH12">
        <f t="shared" si="9"/>
        <v>0</v>
      </c>
      <c r="BI12">
        <f>Constants!$B$54</f>
        <v>0.02</v>
      </c>
      <c r="BJ12">
        <f>Constants!$B$53</f>
        <v>0.24</v>
      </c>
      <c r="BK12">
        <f t="shared" si="19"/>
        <v>0</v>
      </c>
      <c r="BL12">
        <f t="shared" si="20"/>
        <v>0</v>
      </c>
      <c r="BM12">
        <f>Constants!$B$52</f>
        <v>1.0999999999999999E-2</v>
      </c>
      <c r="BN12">
        <f>Constants!$B$50</f>
        <v>1.57</v>
      </c>
      <c r="BO12">
        <f t="shared" si="21"/>
        <v>0</v>
      </c>
    </row>
    <row r="13" spans="1:68" x14ac:dyDescent="0.2">
      <c r="A13" t="str">
        <f>'Input Scenarios'!A13</f>
        <v>NSW</v>
      </c>
      <c r="B13">
        <f>'Input Scenarios'!B13</f>
        <v>0</v>
      </c>
      <c r="C13" t="str">
        <f>'Input Scenarios'!C13</f>
        <v>Non-irrigated pasture</v>
      </c>
      <c r="D13" t="str">
        <f>'Input Scenarios'!D13</f>
        <v>wet</v>
      </c>
      <c r="E13" t="b">
        <f>'Input Scenarios'!E13</f>
        <v>0</v>
      </c>
      <c r="F13" t="str">
        <f>'Input Scenarios'!F13</f>
        <v>Limited grazing</v>
      </c>
      <c r="G13">
        <f>IF('Input Scenarios'!G13&lt;&gt;"", 'Input Scenarios'!G13, _xlfn.XLOOKUP($F13, Constants!$M$6:$M$9,Constants!N$6:N$9))</f>
        <v>0.53400000000000003</v>
      </c>
      <c r="H13">
        <f>IF('Input Scenarios'!H13&lt;&gt;"", 'Input Scenarios'!H13, _xlfn.XLOOKUP($F13, Constants!$M$6:$M$9,Constants!O$6:O$9))</f>
        <v>0.11</v>
      </c>
      <c r="I13">
        <f>IF('Input Scenarios'!I13&lt;&gt;"", 'Input Scenarios'!I13, _xlfn.XLOOKUP($F13, Constants!$M$6:$M$9,Constants!P$6:P$9))</f>
        <v>0.35599999999999998</v>
      </c>
      <c r="J13">
        <f>'Input Scenarios'!J13</f>
        <v>0.25</v>
      </c>
      <c r="K13">
        <f>'Input Scenarios'!K13</f>
        <v>0.25</v>
      </c>
      <c r="L13">
        <f>'Input Scenarios'!L13</f>
        <v>0.25</v>
      </c>
      <c r="M13">
        <f>'Input Scenarios'!M13</f>
        <v>0.25</v>
      </c>
      <c r="N13">
        <f>'Input Scenarios'!N13</f>
        <v>0.25</v>
      </c>
      <c r="O13">
        <f>'Input Scenarios'!O13</f>
        <v>0.25</v>
      </c>
      <c r="P13">
        <f>'Input Scenarios'!P13</f>
        <v>0.25</v>
      </c>
      <c r="Q13">
        <f>'Input Scenarios'!Q13</f>
        <v>0.25</v>
      </c>
      <c r="R13" t="b">
        <f>'Input Scenarios'!R13</f>
        <v>1</v>
      </c>
      <c r="S13">
        <f>IF('Input Scenarios'!S13&lt;&gt;"", 'Input Scenarios'!S13, IF(R13, Constants!$B$38, 0))</f>
        <v>0.2</v>
      </c>
      <c r="T13" t="str">
        <f>IF('Input Scenarios'!T13&lt;&gt;"", 'Input Scenarios'!T13, "")</f>
        <v/>
      </c>
      <c r="U13">
        <f>IF('Input Scenarios'!U13&lt;&gt;"", 'Input Scenarios'!U13, IF(W13&lt;&gt;"", "", Constants!$B$39))</f>
        <v>4</v>
      </c>
      <c r="V13">
        <f>IF('Input Scenarios'!V13&lt;&gt;"", 'Input Scenarios'!V13, IF(W13&lt;&gt;"", "", Constants!$B$40))</f>
        <v>3.3</v>
      </c>
      <c r="W13" t="str">
        <f>IF('Input Scenarios'!W13&lt;&gt;"", 'Input Scenarios'!W13, "")</f>
        <v/>
      </c>
      <c r="X13" t="str">
        <f>'Input Scenarios'!X13</f>
        <v>Medium Friesian</v>
      </c>
      <c r="Y13" t="str">
        <f>'Input Scenarios'!Y13</f>
        <v>bullsLt1PreWeaned</v>
      </c>
      <c r="Z13">
        <f>'Input Scenarios'!Z13</f>
        <v>200</v>
      </c>
      <c r="AA13">
        <f>IF('Input Scenarios'!AA13&lt;&gt;"", 'Input Scenarios'!AA13, _xlfn.XLOOKUP(Y13,Constants!$J$6:$J$12,Constants!$K$6:$K$12))</f>
        <v>84</v>
      </c>
      <c r="AB13">
        <f>IF('Input Scenarios'!AB13&lt;&gt;"", 'Input Scenarios'!AB13, INDEX(Constants!$B$2:$H$11, MATCH(X13, Constants!$A$2:$A$11, 0), MATCH(Y13,Constants!$B$1:$H$1, 0)))</f>
        <v>225</v>
      </c>
      <c r="AC13" t="str">
        <f>IF('Input Scenarios'!AC13&lt;&gt;"", 'Input Scenarios'!AC13, _xlfn.XLOOKUP(Y13, Constants!$B$13:$H$13, Constants!$B$15:$H$15, ""))</f>
        <v/>
      </c>
      <c r="AD13">
        <f>IF('Input Scenarios'!AD13&lt;&gt;"", 'Input Scenarios'!AD13, Constants!$B$45)</f>
        <v>0.75</v>
      </c>
      <c r="AE13">
        <f>IF('Input Scenarios'!AE13&lt;&gt;"", 'Input Scenarios'!AE13, Constants!$B$46)</f>
        <v>0.2</v>
      </c>
      <c r="AF13">
        <f t="shared" si="1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11"/>
        <v>1</v>
      </c>
      <c r="AK13">
        <f t="shared" si="12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13"/>
        <v>0.5948500000000001</v>
      </c>
      <c r="AQ13">
        <f t="shared" si="14"/>
        <v>0</v>
      </c>
      <c r="AR13">
        <f>IF(Y13="milkingCows", Constants!$P$2, Constants!$P$3)</f>
        <v>1</v>
      </c>
      <c r="AS13" t="str">
        <f t="shared" si="15"/>
        <v/>
      </c>
      <c r="AT13" t="str">
        <f t="shared" si="16"/>
        <v/>
      </c>
      <c r="AU13" t="str">
        <f>_xlfn.XLOOKUP(Y13, Constants!$B$13:$H$13, Constants!$B$14:$H$14, "")</f>
        <v/>
      </c>
      <c r="AV13" t="str">
        <f t="shared" si="17"/>
        <v/>
      </c>
      <c r="AW13">
        <f>Constants!$B$55</f>
        <v>6.25</v>
      </c>
      <c r="AX13" t="str">
        <f t="shared" si="1"/>
        <v/>
      </c>
      <c r="AY13" t="str">
        <f t="shared" si="2"/>
        <v/>
      </c>
      <c r="AZ13" t="str">
        <f t="shared" si="18"/>
        <v/>
      </c>
      <c r="BA13">
        <f>IF(ISNUMBER(FIND("PreWeaned",Y13)),_xlfn.XLOOKUP(Y13,Constants!$J$2:$J$3,Constants!$M$2:$M$3),"")</f>
        <v>9.1999999999999998E-3</v>
      </c>
      <c r="BB13">
        <f t="shared" si="3"/>
        <v>154.56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154.56</v>
      </c>
      <c r="BH13">
        <f t="shared" si="9"/>
        <v>0</v>
      </c>
      <c r="BI13">
        <f>Constants!$B$54</f>
        <v>0.02</v>
      </c>
      <c r="BJ13">
        <f>Constants!$B$53</f>
        <v>0.24</v>
      </c>
      <c r="BK13">
        <f t="shared" si="19"/>
        <v>0</v>
      </c>
      <c r="BL13">
        <f t="shared" si="20"/>
        <v>0</v>
      </c>
      <c r="BM13">
        <f>Constants!$B$52</f>
        <v>1.0999999999999999E-2</v>
      </c>
      <c r="BN13">
        <f>Constants!$B$50</f>
        <v>1.57</v>
      </c>
      <c r="BO13">
        <f t="shared" si="21"/>
        <v>0</v>
      </c>
    </row>
    <row r="14" spans="1:68" s="16" customFormat="1" x14ac:dyDescent="0.2">
      <c r="A14" s="16" t="str">
        <f>'Input Scenarios'!A14</f>
        <v>NSW</v>
      </c>
      <c r="B14" s="16">
        <f>'Input Scenarios'!B14</f>
        <v>0</v>
      </c>
      <c r="C14" s="16" t="str">
        <f>'Input Scenarios'!C14</f>
        <v>Non-irrigated pasture</v>
      </c>
      <c r="D14" s="16" t="str">
        <f>'Input Scenarios'!D14</f>
        <v>wet</v>
      </c>
      <c r="E14" s="16" t="b">
        <f>'Input Scenarios'!E14</f>
        <v>0</v>
      </c>
      <c r="F14" s="16" t="str">
        <f>'Input Scenarios'!F14</f>
        <v>Limited grazing</v>
      </c>
      <c r="G14" s="16">
        <f>IF('Input Scenarios'!G14&lt;&gt;"", 'Input Scenarios'!G14, _xlfn.XLOOKUP($F14, Constants!$M$6:$M$9,Constants!N$6:N$9))</f>
        <v>0.53400000000000003</v>
      </c>
      <c r="H14" s="16">
        <f>IF('Input Scenarios'!H14&lt;&gt;"", 'Input Scenarios'!H14, _xlfn.XLOOKUP($F14, Constants!$M$6:$M$9,Constants!O$6:O$9))</f>
        <v>0.11</v>
      </c>
      <c r="I14" s="16">
        <f>IF('Input Scenarios'!I14&lt;&gt;"", 'Input Scenarios'!I14, _xlfn.XLOOKUP($F14, Constants!$M$6:$M$9,Constants!P$6:P$9))</f>
        <v>0.35599999999999998</v>
      </c>
      <c r="J14" s="16">
        <f>'Input Scenarios'!J14</f>
        <v>0.25</v>
      </c>
      <c r="K14" s="16">
        <f>'Input Scenarios'!K14</f>
        <v>0.25</v>
      </c>
      <c r="L14" s="16">
        <f>'Input Scenarios'!L14</f>
        <v>0.25</v>
      </c>
      <c r="M14" s="16">
        <f>'Input Scenarios'!M14</f>
        <v>0.25</v>
      </c>
      <c r="N14" s="16">
        <f>'Input Scenarios'!N14</f>
        <v>0.25</v>
      </c>
      <c r="O14" s="16">
        <f>'Input Scenarios'!O14</f>
        <v>0.25</v>
      </c>
      <c r="P14" s="16">
        <f>'Input Scenarios'!P14</f>
        <v>0.25</v>
      </c>
      <c r="Q14" s="16">
        <f>'Input Scenarios'!Q14</f>
        <v>0.25</v>
      </c>
      <c r="R14" s="16" t="b">
        <f>'Input Scenarios'!R14</f>
        <v>1</v>
      </c>
      <c r="S14" s="16">
        <f>IF('Input Scenarios'!S14&lt;&gt;"", 'Input Scenarios'!S14, IF(R14, Constants!$B$38, 0))</f>
        <v>0.2</v>
      </c>
      <c r="T14" s="16" t="str">
        <f>IF('Input Scenarios'!T14&lt;&gt;"", 'Input Scenarios'!T14, "")</f>
        <v/>
      </c>
      <c r="U14" s="16">
        <f>IF('Input Scenarios'!U14&lt;&gt;"", 'Input Scenarios'!U14, IF(W14&lt;&gt;"", "", Constants!$B$39))</f>
        <v>4</v>
      </c>
      <c r="V14" s="16">
        <f>IF('Input Scenarios'!V14&lt;&gt;"", 'Input Scenarios'!V14, IF(W14&lt;&gt;"", "", Constants!$B$40))</f>
        <v>3.3</v>
      </c>
      <c r="W14" s="16" t="str">
        <f>IF('Input Scenarios'!W14&lt;&gt;"", 'Input Scenarios'!W14, "")</f>
        <v/>
      </c>
      <c r="X14" s="16" t="str">
        <f>'Input Scenarios'!X14</f>
        <v>Medium Friesian</v>
      </c>
      <c r="Y14" s="16" t="str">
        <f>'Input Scenarios'!Y14</f>
        <v>bullsLt1Weaned</v>
      </c>
      <c r="Z14" s="16">
        <f>'Input Scenarios'!Z14</f>
        <v>200</v>
      </c>
      <c r="AA14" s="16">
        <f>IF('Input Scenarios'!AA14&lt;&gt;"", 'Input Scenarios'!AA14, _xlfn.XLOOKUP(Y14,Constants!$J$6:$J$12,Constants!$K$6:$K$12))</f>
        <v>281</v>
      </c>
      <c r="AB14" s="16">
        <f>IF('Input Scenarios'!AB14&lt;&gt;"", 'Input Scenarios'!AB14, INDEX(Constants!$B$2:$H$11, MATCH(X14, Constants!$A$2:$A$11, 0), MATCH(Y14,Constants!$B$1:$H$1, 0)))</f>
        <v>225</v>
      </c>
      <c r="AC14" s="16">
        <f>IF('Input Scenarios'!AC14&lt;&gt;"", 'Input Scenarios'!AC14, _xlfn.XLOOKUP(Y14, Constants!$B$13:$H$13, Constants!$B$15:$H$15, ""))</f>
        <v>0.8</v>
      </c>
      <c r="AD14" s="16">
        <f>IF('Input Scenarios'!AD14&lt;&gt;"", 'Input Scenarios'!AD14, Constants!$B$45)</f>
        <v>0.75</v>
      </c>
      <c r="AE14" s="16">
        <f>IF('Input Scenarios'!AE14&lt;&gt;"", 'Input Scenarios'!AE14, Constants!$B$46)</f>
        <v>0.2</v>
      </c>
      <c r="AF14" s="16">
        <f t="shared" si="10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11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13"/>
        <v>0.5948500000000001</v>
      </c>
      <c r="AQ14" s="16">
        <f t="shared" si="14"/>
        <v>0</v>
      </c>
      <c r="AR14" s="16">
        <f>IF(Y14="milkingCows", Constants!$P$2, Constants!$P$3)</f>
        <v>1</v>
      </c>
      <c r="AS14" s="16">
        <f t="shared" si="15"/>
        <v>5.4143472656250013</v>
      </c>
      <c r="AT14" s="16">
        <f t="shared" si="16"/>
        <v>1.2576570545672616</v>
      </c>
      <c r="AU14" s="16">
        <f>_xlfn.XLOOKUP(Y14, Constants!$B$13:$H$13, Constants!$B$14:$H$14, "")</f>
        <v>770</v>
      </c>
      <c r="AV14" s="16">
        <f t="shared" si="17"/>
        <v>0.29220779220779219</v>
      </c>
      <c r="AW14" s="16">
        <f>Constants!$B$55</f>
        <v>6.25</v>
      </c>
      <c r="AX14" s="16">
        <f t="shared" si="1"/>
        <v>1.9757354894894084E-2</v>
      </c>
      <c r="AY14" s="16">
        <f t="shared" si="2"/>
        <v>1.0828694531250003</v>
      </c>
      <c r="AZ14" s="16">
        <f t="shared" si="18"/>
        <v>0.15247929000170721</v>
      </c>
      <c r="BA14" s="16" t="str">
        <f>IF(ISNUMBER(FIND("PreWeaned",Y14)),_xlfn.XLOOKUP(Y14,Constants!$J$2:$J$3,Constants!$M$2:$M$3),"")</f>
        <v/>
      </c>
      <c r="BB14" s="16">
        <f t="shared" si="3"/>
        <v>8569.336098095946</v>
      </c>
      <c r="BC14" s="16">
        <f t="shared" si="4"/>
        <v>0</v>
      </c>
      <c r="BD14" s="16">
        <f t="shared" si="5"/>
        <v>0</v>
      </c>
      <c r="BE14" s="16">
        <f t="shared" si="6"/>
        <v>0</v>
      </c>
      <c r="BF14" s="16">
        <f t="shared" si="7"/>
        <v>0</v>
      </c>
      <c r="BG14" s="16">
        <f t="shared" si="8"/>
        <v>8569.336098095946</v>
      </c>
      <c r="BH14" s="16">
        <f t="shared" si="9"/>
        <v>0</v>
      </c>
      <c r="BI14" s="16">
        <f>Constants!$B$54</f>
        <v>0.02</v>
      </c>
      <c r="BJ14" s="16">
        <f>Constants!$B$53</f>
        <v>0.24</v>
      </c>
      <c r="BK14" s="16">
        <f t="shared" si="19"/>
        <v>0</v>
      </c>
      <c r="BL14" s="16">
        <f t="shared" si="20"/>
        <v>0</v>
      </c>
      <c r="BM14" s="16">
        <f>Constants!$B$52</f>
        <v>1.0999999999999999E-2</v>
      </c>
      <c r="BN14" s="16">
        <f>Constants!$B$50</f>
        <v>1.57</v>
      </c>
      <c r="BO14" s="16">
        <f t="shared" si="21"/>
        <v>0</v>
      </c>
    </row>
    <row r="15" spans="1:68" x14ac:dyDescent="0.2">
      <c r="A15" t="str">
        <f>'Input Scenarios'!A15</f>
        <v>QLD</v>
      </c>
      <c r="B15">
        <f>'Input Scenarios'!B15</f>
        <v>0</v>
      </c>
      <c r="C15" t="str">
        <f>'Input Scenarios'!C15</f>
        <v>Non-irrigated crop (high rainfall)</v>
      </c>
      <c r="D15" t="str">
        <f>'Input Scenarios'!D15</f>
        <v>wet</v>
      </c>
      <c r="E15" t="b">
        <f>'Input Scenarios'!E15</f>
        <v>1</v>
      </c>
      <c r="F15" t="str">
        <f>'Input Scenarios'!F15</f>
        <v>Limited feedpad</v>
      </c>
      <c r="G15">
        <f>IF('Input Scenarios'!G15&lt;&gt;"", 'Input Scenarios'!G15, _xlfn.XLOOKUP($F15, Constants!$M$6:$M$9,Constants!N$6:N$9))</f>
        <v>0.79</v>
      </c>
      <c r="H15">
        <f>IF('Input Scenarios'!H15&lt;&gt;"", 'Input Scenarios'!H15, _xlfn.XLOOKUP($F15, Constants!$M$6:$M$9,Constants!O$6:O$9))</f>
        <v>0.11</v>
      </c>
      <c r="I15">
        <f>IF('Input Scenarios'!I15&lt;&gt;"", 'Input Scenarios'!I15, _xlfn.XLOOKUP($F15, Constants!$M$6:$M$9,Constants!P$6:P$9))</f>
        <v>0.1</v>
      </c>
      <c r="J15">
        <f>'Input Scenarios'!J15</f>
        <v>0</v>
      </c>
      <c r="K15">
        <f>'Input Scenarios'!K15</f>
        <v>0</v>
      </c>
      <c r="L15">
        <f>'Input Scenarios'!L15</f>
        <v>1</v>
      </c>
      <c r="M15">
        <f>'Input Scenarios'!M15</f>
        <v>0</v>
      </c>
      <c r="N15">
        <f>'Input Scenarios'!N15</f>
        <v>1</v>
      </c>
      <c r="O15">
        <f>'Input Scenarios'!O15</f>
        <v>0</v>
      </c>
      <c r="P15">
        <f>'Input Scenarios'!P15</f>
        <v>0</v>
      </c>
      <c r="Q15">
        <f>'Input Scenarios'!Q15</f>
        <v>0</v>
      </c>
      <c r="R15" t="b">
        <f>'Input Scenarios'!R15</f>
        <v>1</v>
      </c>
      <c r="S15">
        <f>IF('Input Scenarios'!S15&lt;&gt;"", 'Input Scenarios'!S15, IF(R15, Constants!$B$38, 0))</f>
        <v>0.2</v>
      </c>
      <c r="T15">
        <f>IF('Input Scenarios'!T15&lt;&gt;"", 'Input Scenarios'!T15, "")</f>
        <v>3</v>
      </c>
      <c r="U15">
        <f>IF('Input Scenarios'!U15&lt;&gt;"", 'Input Scenarios'!U15, IF(W15&lt;&gt;"", "", Constants!$B$39))</f>
        <v>4</v>
      </c>
      <c r="V15">
        <f>IF('Input Scenarios'!V15&lt;&gt;"", 'Input Scenarios'!V15, IF(W15&lt;&gt;"", "", Constants!$B$40))</f>
        <v>3.3</v>
      </c>
      <c r="W15" t="str">
        <f>IF('Input Scenarios'!W15&lt;&gt;"", 'Input Scenarios'!W15, "")</f>
        <v/>
      </c>
      <c r="X15" t="str">
        <f>'Input Scenarios'!X15</f>
        <v>Large Friesian</v>
      </c>
      <c r="Y15" t="str">
        <f>'Input Scenarios'!Y15</f>
        <v>milkingCows</v>
      </c>
      <c r="Z15">
        <f>'Input Scenarios'!Z15</f>
        <v>200</v>
      </c>
      <c r="AA15">
        <f>IF('Input Scenarios'!AA15&lt;&gt;"", 'Input Scenarios'!AA15, _xlfn.XLOOKUP(Y15,Constants!$J$6:$J$12,Constants!$K$6:$K$12))</f>
        <v>365</v>
      </c>
      <c r="AB15">
        <f>IF('Input Scenarios'!AB15&lt;&gt;"", 'Input Scenarios'!AB15, INDEX(Constants!$B$2:$H$11, MATCH(X15, Constants!$A$2:$A$11, 0), MATCH(Y15,Constants!$B$1:$H$1, 0)))</f>
        <v>600</v>
      </c>
      <c r="AC15">
        <f>IF('Input Scenarios'!AC15&lt;&gt;"", 'Input Scenarios'!AC15, _xlfn.XLOOKUP(Y15, Constants!$B$13:$H$13, Constants!$B$15:$H$15, ""))</f>
        <v>1.6E-2</v>
      </c>
      <c r="AD15">
        <f>IF('Input Scenarios'!AD15&lt;&gt;"", 'Input Scenarios'!AD15, Constants!$B$45)</f>
        <v>0.75</v>
      </c>
      <c r="AE15">
        <f>IF('Input Scenarios'!AE15&lt;&gt;"", 'Input Scenarios'!AE15, Constants!$B$46)</f>
        <v>0.2</v>
      </c>
      <c r="AF15" s="20">
        <f t="shared" si="10"/>
        <v>0.1</v>
      </c>
      <c r="AG15" s="20">
        <f t="shared" si="0"/>
        <v>0</v>
      </c>
      <c r="AH15" s="20">
        <f t="shared" si="0"/>
        <v>0.11</v>
      </c>
      <c r="AI15" s="20">
        <f t="shared" si="0"/>
        <v>0</v>
      </c>
      <c r="AJ15" s="20">
        <f t="shared" si="11"/>
        <v>0.79</v>
      </c>
      <c r="AK15">
        <f t="shared" ref="AK15:AK35" si="22">IF(Y15="milkingCows", IF(W15&lt;&gt;"", W15, T15/((U15+V15)*0.01)), 0)</f>
        <v>41.095890410958908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ref="AP15:AP23" si="23">0.795*(AD15)-0.0014</f>
        <v>0.5948500000000001</v>
      </c>
      <c r="AQ15">
        <f t="shared" ref="AQ15:AQ23" si="24">(AK15*AL15*AM15)/(AN15*AO15*AP15)</f>
        <v>19.684668829329848</v>
      </c>
      <c r="AR15">
        <f>IF(Y15="milkingCows", Constants!$P$2, Constants!$P$3)</f>
        <v>1.1000000000000001</v>
      </c>
      <c r="AS15">
        <f t="shared" ref="AS15:AS23" si="25">IFERROR(((1.185+(0.00454*AB15)-(0.0000026*(AB15^2))+(0.315*AC15))^2*AR15+AQ15), "")</f>
        <v>29.440263295089849</v>
      </c>
      <c r="AT15">
        <f t="shared" ref="AT15:AT23" si="26">IFERROR(((1.185+(0.00454*AB15)-(0.0000026*(AB15^2))+(0.315*AC15))^2*AR15+AQ15)/((1.185+(0.00454*AB15)-(0.0000026*(AB15^2)))^2*AR15+AQ15), "")</f>
        <v>1.0011219186596292</v>
      </c>
      <c r="AU15">
        <f>_xlfn.XLOOKUP(Y15, Constants!$B$13:$H$13, Constants!$B$14:$H$14, "")</f>
        <v>590</v>
      </c>
      <c r="AV15">
        <f t="shared" ref="AV15:AV23" si="27">IFERROR(AB15/AU15, "")</f>
        <v>1.0169491525423728</v>
      </c>
      <c r="AW15">
        <f>Constants!$B$55</f>
        <v>6.25</v>
      </c>
      <c r="AX15" s="20">
        <f t="shared" si="1"/>
        <v>0.21248526585418692</v>
      </c>
      <c r="AY15">
        <f t="shared" si="2"/>
        <v>5.88805265901797</v>
      </c>
      <c r="AZ15">
        <f t="shared" si="18"/>
        <v>0.72746949521574977</v>
      </c>
      <c r="BA15" t="str">
        <f>IF(ISNUMBER(FIND("PreWeaned",Y15)),_xlfn.XLOOKUP(Y15,Constants!$J$2:$J$3,Constants!$M$2:$M$3),"")</f>
        <v/>
      </c>
      <c r="BB15">
        <f t="shared" si="3"/>
        <v>53105.27315074973</v>
      </c>
      <c r="BC15">
        <f t="shared" si="4"/>
        <v>5310.5273150749736</v>
      </c>
      <c r="BD15">
        <f t="shared" si="5"/>
        <v>0</v>
      </c>
      <c r="BE15">
        <f t="shared" si="6"/>
        <v>5841.5800465824705</v>
      </c>
      <c r="BF15">
        <f t="shared" si="7"/>
        <v>0</v>
      </c>
      <c r="BG15">
        <f t="shared" si="8"/>
        <v>41953.165789092287</v>
      </c>
      <c r="BH15">
        <f t="shared" si="9"/>
        <v>1</v>
      </c>
      <c r="BI15">
        <f>Constants!$B$54</f>
        <v>0.02</v>
      </c>
      <c r="BJ15">
        <f>Constants!$B$53</f>
        <v>0.24</v>
      </c>
      <c r="BK15">
        <f t="shared" ref="BK15:BK23" si="28">BF15*$BH15*BI15</f>
        <v>0</v>
      </c>
      <c r="BL15">
        <f t="shared" ref="BL15:BL23" si="29">BG15*$BH15*BJ15</f>
        <v>10068.759789382149</v>
      </c>
      <c r="BM15">
        <f>Constants!$B$52</f>
        <v>1.0999999999999999E-2</v>
      </c>
      <c r="BN15">
        <f>Constants!$B$50</f>
        <v>1.57</v>
      </c>
      <c r="BO15">
        <f t="shared" ref="BO15:BO23" si="30">SUM(BK15:BL15)*BM15*BN15</f>
        <v>173.88748156262972</v>
      </c>
      <c r="BP15">
        <f>SUM(BO15:BO21)/1000</f>
        <v>0.3990584268519331</v>
      </c>
    </row>
    <row r="16" spans="1:68" x14ac:dyDescent="0.2">
      <c r="A16" t="str">
        <f>'Input Scenarios'!A16</f>
        <v>QLD</v>
      </c>
      <c r="B16">
        <f>'Input Scenarios'!B16</f>
        <v>0</v>
      </c>
      <c r="C16" t="str">
        <f>'Input Scenarios'!C16</f>
        <v>Non-irrigated crop (high rainfall)</v>
      </c>
      <c r="D16" t="str">
        <f>'Input Scenarios'!D16</f>
        <v>wet</v>
      </c>
      <c r="E16" t="b">
        <f>'Input Scenarios'!E16</f>
        <v>1</v>
      </c>
      <c r="F16" t="str">
        <f>'Input Scenarios'!F16</f>
        <v>Limited feedpad</v>
      </c>
      <c r="G16">
        <f>IF('Input Scenarios'!G16&lt;&gt;"", 'Input Scenarios'!G16, _xlfn.XLOOKUP($F16, Constants!$M$6:$M$9,Constants!N$6:N$9))</f>
        <v>0.79</v>
      </c>
      <c r="H16">
        <f>IF('Input Scenarios'!H16&lt;&gt;"", 'Input Scenarios'!H16, _xlfn.XLOOKUP($F16, Constants!$M$6:$M$9,Constants!O$6:O$9))</f>
        <v>0.11</v>
      </c>
      <c r="I16">
        <f>IF('Input Scenarios'!I16&lt;&gt;"", 'Input Scenarios'!I16, _xlfn.XLOOKUP($F16, Constants!$M$6:$M$9,Constants!P$6:P$9))</f>
        <v>0.1</v>
      </c>
      <c r="J16">
        <f>'Input Scenarios'!J16</f>
        <v>0</v>
      </c>
      <c r="K16">
        <f>'Input Scenarios'!K16</f>
        <v>0</v>
      </c>
      <c r="L16">
        <f>'Input Scenarios'!L16</f>
        <v>1</v>
      </c>
      <c r="M16">
        <f>'Input Scenarios'!M16</f>
        <v>0</v>
      </c>
      <c r="N16">
        <f>'Input Scenarios'!N16</f>
        <v>1</v>
      </c>
      <c r="O16">
        <f>'Input Scenarios'!O16</f>
        <v>0</v>
      </c>
      <c r="P16">
        <f>'Input Scenarios'!P16</f>
        <v>0</v>
      </c>
      <c r="Q16">
        <f>'Input Scenarios'!Q16</f>
        <v>0</v>
      </c>
      <c r="R16" t="b">
        <f>'Input Scenarios'!R16</f>
        <v>1</v>
      </c>
      <c r="S16">
        <f>IF('Input Scenarios'!S16&lt;&gt;"", 'Input Scenarios'!S16, IF(R16, Constants!$B$38, 0))</f>
        <v>0.2</v>
      </c>
      <c r="T16" t="str">
        <f>IF('Input Scenarios'!T16&lt;&gt;"", 'Input Scenarios'!T16, "")</f>
        <v/>
      </c>
      <c r="U16">
        <f>IF('Input Scenarios'!U16&lt;&gt;"", 'Input Scenarios'!U16, IF(W16&lt;&gt;"", "", Constants!$B$39))</f>
        <v>4</v>
      </c>
      <c r="V16">
        <f>IF('Input Scenarios'!V16&lt;&gt;"", 'Input Scenarios'!V16, IF(W16&lt;&gt;"", "", Constants!$B$40))</f>
        <v>3.3</v>
      </c>
      <c r="W16" t="str">
        <f>IF('Input Scenarios'!W16&lt;&gt;"", 'Input Scenarios'!W16, "")</f>
        <v/>
      </c>
      <c r="X16" t="str">
        <f>'Input Scenarios'!X16</f>
        <v>Large Friesian</v>
      </c>
      <c r="Y16" t="str">
        <f>'Input Scenarios'!Y16</f>
        <v>heifersGt1</v>
      </c>
      <c r="Z16">
        <f>'Input Scenarios'!Z16</f>
        <v>200</v>
      </c>
      <c r="AA16">
        <f>IF('Input Scenarios'!AA16&lt;&gt;"", 'Input Scenarios'!AA16, _xlfn.XLOOKUP(Y16,Constants!$J$6:$J$12,Constants!$K$6:$K$12))</f>
        <v>365</v>
      </c>
      <c r="AB16">
        <f>IF('Input Scenarios'!AB16&lt;&gt;"", 'Input Scenarios'!AB16, INDEX(Constants!$B$2:$H$11, MATCH(X16, Constants!$A$2:$A$11, 0), MATCH(Y16,Constants!$B$1:$H$1, 0)))</f>
        <v>415</v>
      </c>
      <c r="AC16">
        <f>IF('Input Scenarios'!AC16&lt;&gt;"", 'Input Scenarios'!AC16, _xlfn.XLOOKUP(Y16, Constants!$B$13:$H$13, Constants!$B$15:$H$15, ""))</f>
        <v>0.6</v>
      </c>
      <c r="AD16">
        <f>IF('Input Scenarios'!AD16&lt;&gt;"", 'Input Scenarios'!AD16, Constants!$B$45)</f>
        <v>0.75</v>
      </c>
      <c r="AE16">
        <f>IF('Input Scenarios'!AE16&lt;&gt;"", 'Input Scenarios'!AE16, Constants!$B$46)</f>
        <v>0.2</v>
      </c>
      <c r="AF16">
        <f t="shared" si="1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11"/>
        <v>1</v>
      </c>
      <c r="AK16">
        <f t="shared" si="22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23"/>
        <v>0.5948500000000001</v>
      </c>
      <c r="AQ16">
        <f t="shared" si="24"/>
        <v>0</v>
      </c>
      <c r="AR16">
        <f>IF(Y16="milkingCows", Constants!$P$2, Constants!$P$3)</f>
        <v>1</v>
      </c>
      <c r="AS16">
        <f t="shared" si="25"/>
        <v>7.8978703992249981</v>
      </c>
      <c r="AT16">
        <f t="shared" si="26"/>
        <v>1.1494010181510916</v>
      </c>
      <c r="AU16">
        <f>_xlfn.XLOOKUP(Y16, Constants!$B$13:$H$13, Constants!$B$14:$H$14, "")</f>
        <v>590</v>
      </c>
      <c r="AV16">
        <f t="shared" si="27"/>
        <v>0.70338983050847459</v>
      </c>
      <c r="AW16">
        <f>Constants!$B$55</f>
        <v>6.25</v>
      </c>
      <c r="AX16">
        <f t="shared" si="1"/>
        <v>8.1663842777947686E-3</v>
      </c>
      <c r="AY16">
        <f t="shared" si="2"/>
        <v>1.5795740798449998</v>
      </c>
      <c r="AZ16">
        <f t="shared" si="18"/>
        <v>0.24294720685439194</v>
      </c>
      <c r="BA16" t="str">
        <f>IF(ISNUMBER(FIND("PreWeaned",Y16)),_xlfn.XLOOKUP(Y16,Constants!$J$2:$J$3,Constants!$M$2:$M$3),"")</f>
        <v/>
      </c>
      <c r="BB16">
        <f t="shared" si="3"/>
        <v>17735.146100370614</v>
      </c>
      <c r="BC16">
        <f t="shared" si="4"/>
        <v>0</v>
      </c>
      <c r="BD16">
        <f t="shared" si="5"/>
        <v>0</v>
      </c>
      <c r="BE16">
        <f t="shared" si="6"/>
        <v>0</v>
      </c>
      <c r="BF16">
        <f t="shared" si="7"/>
        <v>0</v>
      </c>
      <c r="BG16">
        <f t="shared" si="8"/>
        <v>17735.146100370614</v>
      </c>
      <c r="BH16">
        <f t="shared" si="9"/>
        <v>1</v>
      </c>
      <c r="BI16">
        <f>Constants!$B$54</f>
        <v>0.02</v>
      </c>
      <c r="BJ16">
        <f>Constants!$B$53</f>
        <v>0.24</v>
      </c>
      <c r="BK16">
        <f t="shared" si="28"/>
        <v>0</v>
      </c>
      <c r="BL16">
        <f t="shared" si="29"/>
        <v>4256.435064088947</v>
      </c>
      <c r="BM16">
        <f>Constants!$B$52</f>
        <v>1.0999999999999999E-2</v>
      </c>
      <c r="BN16">
        <f>Constants!$B$50</f>
        <v>1.57</v>
      </c>
      <c r="BO16">
        <f t="shared" si="30"/>
        <v>73.508633556816108</v>
      </c>
    </row>
    <row r="17" spans="1:68" x14ac:dyDescent="0.2">
      <c r="A17" t="str">
        <f>'Input Scenarios'!A17</f>
        <v>QLD</v>
      </c>
      <c r="B17">
        <f>'Input Scenarios'!B17</f>
        <v>0</v>
      </c>
      <c r="C17" t="str">
        <f>'Input Scenarios'!C17</f>
        <v>Non-irrigated crop (high rainfall)</v>
      </c>
      <c r="D17" t="str">
        <f>'Input Scenarios'!D17</f>
        <v>wet</v>
      </c>
      <c r="E17" t="b">
        <f>'Input Scenarios'!E17</f>
        <v>1</v>
      </c>
      <c r="F17" t="str">
        <f>'Input Scenarios'!F17</f>
        <v>Limited feedpad</v>
      </c>
      <c r="G17">
        <f>IF('Input Scenarios'!G17&lt;&gt;"", 'Input Scenarios'!G17, _xlfn.XLOOKUP($F17, Constants!$M$6:$M$9,Constants!N$6:N$9))</f>
        <v>0.79</v>
      </c>
      <c r="H17">
        <f>IF('Input Scenarios'!H17&lt;&gt;"", 'Input Scenarios'!H17, _xlfn.XLOOKUP($F17, Constants!$M$6:$M$9,Constants!O$6:O$9))</f>
        <v>0.11</v>
      </c>
      <c r="I17">
        <f>IF('Input Scenarios'!I17&lt;&gt;"", 'Input Scenarios'!I17, _xlfn.XLOOKUP($F17, Constants!$M$6:$M$9,Constants!P$6:P$9))</f>
        <v>0.1</v>
      </c>
      <c r="J17">
        <f>'Input Scenarios'!J17</f>
        <v>0</v>
      </c>
      <c r="K17">
        <f>'Input Scenarios'!K17</f>
        <v>0</v>
      </c>
      <c r="L17">
        <f>'Input Scenarios'!L17</f>
        <v>1</v>
      </c>
      <c r="M17">
        <f>'Input Scenarios'!M17</f>
        <v>0</v>
      </c>
      <c r="N17">
        <f>'Input Scenarios'!N17</f>
        <v>1</v>
      </c>
      <c r="O17">
        <f>'Input Scenarios'!O17</f>
        <v>0</v>
      </c>
      <c r="P17">
        <f>'Input Scenarios'!P17</f>
        <v>0</v>
      </c>
      <c r="Q17">
        <f>'Input Scenarios'!Q17</f>
        <v>0</v>
      </c>
      <c r="R17" t="b">
        <f>'Input Scenarios'!R17</f>
        <v>1</v>
      </c>
      <c r="S17">
        <f>IF('Input Scenarios'!S17&lt;&gt;"", 'Input Scenarios'!S17, IF(R17, Constants!$B$38, 0))</f>
        <v>0.2</v>
      </c>
      <c r="T17" t="str">
        <f>IF('Input Scenarios'!T17&lt;&gt;"", 'Input Scenarios'!T17, "")</f>
        <v/>
      </c>
      <c r="U17">
        <f>IF('Input Scenarios'!U17&lt;&gt;"", 'Input Scenarios'!U17, IF(W17&lt;&gt;"", "", Constants!$B$39))</f>
        <v>4</v>
      </c>
      <c r="V17">
        <f>IF('Input Scenarios'!V17&lt;&gt;"", 'Input Scenarios'!V17, IF(W17&lt;&gt;"", "", Constants!$B$40))</f>
        <v>3.3</v>
      </c>
      <c r="W17" t="str">
        <f>IF('Input Scenarios'!W17&lt;&gt;"", 'Input Scenarios'!W17, "")</f>
        <v/>
      </c>
      <c r="X17" t="str">
        <f>'Input Scenarios'!X17</f>
        <v>Large Friesian</v>
      </c>
      <c r="Y17" t="str">
        <f>'Input Scenarios'!Y17</f>
        <v>heifersLt1PreWeaned</v>
      </c>
      <c r="Z17">
        <f>'Input Scenarios'!Z17</f>
        <v>200</v>
      </c>
      <c r="AA17">
        <f>IF('Input Scenarios'!AA17&lt;&gt;"", 'Input Scenarios'!AA17, _xlfn.XLOOKUP(Y17,Constants!$J$6:$J$12,Constants!$K$6:$K$12))</f>
        <v>84</v>
      </c>
      <c r="AB17">
        <f>IF('Input Scenarios'!AB17&lt;&gt;"", 'Input Scenarios'!AB17, INDEX(Constants!$B$2:$H$11, MATCH(X17, Constants!$A$2:$A$11, 0), MATCH(Y17,Constants!$B$1:$H$1, 0)))</f>
        <v>170</v>
      </c>
      <c r="AC17" t="str">
        <f>IF('Input Scenarios'!AC17&lt;&gt;"", 'Input Scenarios'!AC17, _xlfn.XLOOKUP(Y17, Constants!$B$13:$H$13, Constants!$B$15:$H$15, ""))</f>
        <v/>
      </c>
      <c r="AD17">
        <f>IF('Input Scenarios'!AD17&lt;&gt;"", 'Input Scenarios'!AD17, Constants!$B$45)</f>
        <v>0.75</v>
      </c>
      <c r="AE17">
        <f>IF('Input Scenarios'!AE17&lt;&gt;"", 'Input Scenarios'!AE17, Constants!$B$46)</f>
        <v>0.2</v>
      </c>
      <c r="AF17">
        <f t="shared" si="1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11"/>
        <v>1</v>
      </c>
      <c r="AK17">
        <f t="shared" si="22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23"/>
        <v>0.5948500000000001</v>
      </c>
      <c r="AQ17">
        <f t="shared" si="24"/>
        <v>0</v>
      </c>
      <c r="AR17">
        <f>IF(Y17="milkingCows", Constants!$P$2, Constants!$P$3)</f>
        <v>1</v>
      </c>
      <c r="AS17" t="str">
        <f t="shared" si="25"/>
        <v/>
      </c>
      <c r="AT17" t="str">
        <f t="shared" si="26"/>
        <v/>
      </c>
      <c r="AU17" t="str">
        <f>_xlfn.XLOOKUP(Y17, Constants!$B$13:$H$13, Constants!$B$14:$H$14, "")</f>
        <v/>
      </c>
      <c r="AV17" t="str">
        <f t="shared" si="27"/>
        <v/>
      </c>
      <c r="AW17">
        <f>Constants!$B$55</f>
        <v>6.25</v>
      </c>
      <c r="AX17" t="str">
        <f t="shared" si="1"/>
        <v/>
      </c>
      <c r="AY17" t="str">
        <f t="shared" si="2"/>
        <v/>
      </c>
      <c r="AZ17" t="str">
        <f t="shared" si="18"/>
        <v/>
      </c>
      <c r="BA17">
        <f>IF(ISNUMBER(FIND("PreWeaned",Y17)),_xlfn.XLOOKUP(Y17,Constants!$J$2:$J$3,Constants!$M$2:$M$3),"")</f>
        <v>1.37E-2</v>
      </c>
      <c r="BB17">
        <f t="shared" si="3"/>
        <v>230.16000000000003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230.16000000000003</v>
      </c>
      <c r="BH17">
        <f t="shared" si="9"/>
        <v>1</v>
      </c>
      <c r="BI17">
        <f>Constants!$B$54</f>
        <v>0.02</v>
      </c>
      <c r="BJ17">
        <f>Constants!$B$53</f>
        <v>0.24</v>
      </c>
      <c r="BK17">
        <f t="shared" si="28"/>
        <v>0</v>
      </c>
      <c r="BL17">
        <f t="shared" si="29"/>
        <v>55.238400000000006</v>
      </c>
      <c r="BM17">
        <f>Constants!$B$52</f>
        <v>1.0999999999999999E-2</v>
      </c>
      <c r="BN17">
        <f>Constants!$B$50</f>
        <v>1.57</v>
      </c>
      <c r="BO17">
        <f t="shared" si="30"/>
        <v>0.95396716800000003</v>
      </c>
    </row>
    <row r="18" spans="1:68" x14ac:dyDescent="0.2">
      <c r="A18" t="str">
        <f>'Input Scenarios'!A18</f>
        <v>QLD</v>
      </c>
      <c r="B18">
        <f>'Input Scenarios'!B18</f>
        <v>0</v>
      </c>
      <c r="C18" t="str">
        <f>'Input Scenarios'!C18</f>
        <v>Non-irrigated crop (high rainfall)</v>
      </c>
      <c r="D18" t="str">
        <f>'Input Scenarios'!D18</f>
        <v>wet</v>
      </c>
      <c r="E18" t="b">
        <f>'Input Scenarios'!E18</f>
        <v>1</v>
      </c>
      <c r="F18" t="str">
        <f>'Input Scenarios'!F18</f>
        <v>Limited feedpad</v>
      </c>
      <c r="G18">
        <f>IF('Input Scenarios'!G18&lt;&gt;"", 'Input Scenarios'!G18, _xlfn.XLOOKUP($F18, Constants!$M$6:$M$9,Constants!N$6:N$9))</f>
        <v>0.79</v>
      </c>
      <c r="H18">
        <f>IF('Input Scenarios'!H18&lt;&gt;"", 'Input Scenarios'!H18, _xlfn.XLOOKUP($F18, Constants!$M$6:$M$9,Constants!O$6:O$9))</f>
        <v>0.11</v>
      </c>
      <c r="I18">
        <f>IF('Input Scenarios'!I18&lt;&gt;"", 'Input Scenarios'!I18, _xlfn.XLOOKUP($F18, Constants!$M$6:$M$9,Constants!P$6:P$9))</f>
        <v>0.1</v>
      </c>
      <c r="J18">
        <f>'Input Scenarios'!J18</f>
        <v>0</v>
      </c>
      <c r="K18">
        <f>'Input Scenarios'!K18</f>
        <v>0</v>
      </c>
      <c r="L18">
        <f>'Input Scenarios'!L18</f>
        <v>1</v>
      </c>
      <c r="M18">
        <f>'Input Scenarios'!M18</f>
        <v>0</v>
      </c>
      <c r="N18">
        <f>'Input Scenarios'!N18</f>
        <v>1</v>
      </c>
      <c r="O18">
        <f>'Input Scenarios'!O18</f>
        <v>0</v>
      </c>
      <c r="P18">
        <f>'Input Scenarios'!P18</f>
        <v>0</v>
      </c>
      <c r="Q18">
        <f>'Input Scenarios'!Q18</f>
        <v>0</v>
      </c>
      <c r="R18" t="b">
        <f>'Input Scenarios'!R18</f>
        <v>1</v>
      </c>
      <c r="S18">
        <f>IF('Input Scenarios'!S18&lt;&gt;"", 'Input Scenarios'!S18, IF(R18, Constants!$B$38, 0))</f>
        <v>0.2</v>
      </c>
      <c r="T18" t="str">
        <f>IF('Input Scenarios'!T18&lt;&gt;"", 'Input Scenarios'!T18, "")</f>
        <v/>
      </c>
      <c r="U18">
        <f>IF('Input Scenarios'!U18&lt;&gt;"", 'Input Scenarios'!U18, IF(W18&lt;&gt;"", "", Constants!$B$39))</f>
        <v>4</v>
      </c>
      <c r="V18">
        <f>IF('Input Scenarios'!V18&lt;&gt;"", 'Input Scenarios'!V18, IF(W18&lt;&gt;"", "", Constants!$B$40))</f>
        <v>3.3</v>
      </c>
      <c r="W18" t="str">
        <f>IF('Input Scenarios'!W18&lt;&gt;"", 'Input Scenarios'!W18, "")</f>
        <v/>
      </c>
      <c r="X18" t="str">
        <f>'Input Scenarios'!X18</f>
        <v>Large Friesian</v>
      </c>
      <c r="Y18" t="str">
        <f>'Input Scenarios'!Y18</f>
        <v>heifersLt1Weaned</v>
      </c>
      <c r="Z18">
        <f>'Input Scenarios'!Z18</f>
        <v>200</v>
      </c>
      <c r="AA18">
        <f>IF('Input Scenarios'!AA18&lt;&gt;"", 'Input Scenarios'!AA18, _xlfn.XLOOKUP(Y18,Constants!$J$6:$J$12,Constants!$K$6:$K$12))</f>
        <v>281</v>
      </c>
      <c r="AB18">
        <f>IF('Input Scenarios'!AB18&lt;&gt;"", 'Input Scenarios'!AB18, INDEX(Constants!$B$2:$H$11, MATCH(X18, Constants!$A$2:$A$11, 0), MATCH(Y18,Constants!$B$1:$H$1, 0)))</f>
        <v>170</v>
      </c>
      <c r="AC18">
        <f>IF('Input Scenarios'!AC18&lt;&gt;"", 'Input Scenarios'!AC18, _xlfn.XLOOKUP(Y18, Constants!$B$13:$H$13, Constants!$B$15:$H$15, ""))</f>
        <v>0.56999999999999995</v>
      </c>
      <c r="AD18">
        <f>IF('Input Scenarios'!AD18&lt;&gt;"", 'Input Scenarios'!AD18, Constants!$B$45)</f>
        <v>0.75</v>
      </c>
      <c r="AE18">
        <f>IF('Input Scenarios'!AE18&lt;&gt;"", 'Input Scenarios'!AE18, Constants!$B$46)</f>
        <v>0.2</v>
      </c>
      <c r="AF18">
        <f t="shared" si="1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11"/>
        <v>1</v>
      </c>
      <c r="AK18">
        <f t="shared" si="22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23"/>
        <v>0.5948500000000001</v>
      </c>
      <c r="AQ18">
        <f t="shared" si="24"/>
        <v>0</v>
      </c>
      <c r="AR18">
        <f>IF(Y18="milkingCows", Constants!$P$2, Constants!$P$3)</f>
        <v>1</v>
      </c>
      <c r="AS18">
        <f t="shared" si="25"/>
        <v>4.2485866641000003</v>
      </c>
      <c r="AT18">
        <f t="shared" si="26"/>
        <v>1.1999473082859327</v>
      </c>
      <c r="AU18">
        <f>_xlfn.XLOOKUP(Y18, Constants!$B$13:$H$13, Constants!$B$14:$H$14, "")</f>
        <v>590</v>
      </c>
      <c r="AV18">
        <f t="shared" si="27"/>
        <v>0.28813559322033899</v>
      </c>
      <c r="AW18">
        <f>Constants!$B$55</f>
        <v>6.25</v>
      </c>
      <c r="AX18">
        <f t="shared" si="1"/>
        <v>1.4169978295569003E-2</v>
      </c>
      <c r="AY18">
        <f t="shared" si="2"/>
        <v>0.84971733282000006</v>
      </c>
      <c r="AZ18">
        <f t="shared" si="18"/>
        <v>0.1209561865037117</v>
      </c>
      <c r="BA18" t="str">
        <f>IF(ISNUMBER(FIND("PreWeaned",Y18)),_xlfn.XLOOKUP(Y18,Constants!$J$2:$J$3,Constants!$M$2:$M$3),"")</f>
        <v/>
      </c>
      <c r="BB18">
        <f t="shared" si="3"/>
        <v>6797.7376815085972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6797.7376815085972</v>
      </c>
      <c r="BH18">
        <f t="shared" si="9"/>
        <v>1</v>
      </c>
      <c r="BI18">
        <f>Constants!$B$54</f>
        <v>0.02</v>
      </c>
      <c r="BJ18">
        <f>Constants!$B$53</f>
        <v>0.24</v>
      </c>
      <c r="BK18">
        <f t="shared" si="28"/>
        <v>0</v>
      </c>
      <c r="BL18">
        <f t="shared" si="29"/>
        <v>1631.4570435620633</v>
      </c>
      <c r="BM18">
        <f>Constants!$B$52</f>
        <v>1.0999999999999999E-2</v>
      </c>
      <c r="BN18">
        <f>Constants!$B$50</f>
        <v>1.57</v>
      </c>
      <c r="BO18">
        <f t="shared" si="30"/>
        <v>28.175263142316833</v>
      </c>
    </row>
    <row r="19" spans="1:68" x14ac:dyDescent="0.2">
      <c r="A19" t="str">
        <f>'Input Scenarios'!A19</f>
        <v>QLD</v>
      </c>
      <c r="B19">
        <f>'Input Scenarios'!B19</f>
        <v>0</v>
      </c>
      <c r="C19" t="str">
        <f>'Input Scenarios'!C19</f>
        <v>Non-irrigated crop (high rainfall)</v>
      </c>
      <c r="D19" t="str">
        <f>'Input Scenarios'!D19</f>
        <v>wet</v>
      </c>
      <c r="E19" t="b">
        <f>'Input Scenarios'!E19</f>
        <v>1</v>
      </c>
      <c r="F19" t="str">
        <f>'Input Scenarios'!F19</f>
        <v>Limited feedpad</v>
      </c>
      <c r="G19">
        <f>IF('Input Scenarios'!G19&lt;&gt;"", 'Input Scenarios'!G19, _xlfn.XLOOKUP($F19, Constants!$M$6:$M$9,Constants!N$6:N$9))</f>
        <v>0.79</v>
      </c>
      <c r="H19">
        <f>IF('Input Scenarios'!H19&lt;&gt;"", 'Input Scenarios'!H19, _xlfn.XLOOKUP($F19, Constants!$M$6:$M$9,Constants!O$6:O$9))</f>
        <v>0.11</v>
      </c>
      <c r="I19">
        <f>IF('Input Scenarios'!I19&lt;&gt;"", 'Input Scenarios'!I19, _xlfn.XLOOKUP($F19, Constants!$M$6:$M$9,Constants!P$6:P$9))</f>
        <v>0.1</v>
      </c>
      <c r="J19">
        <f>'Input Scenarios'!J19</f>
        <v>0</v>
      </c>
      <c r="K19">
        <f>'Input Scenarios'!K19</f>
        <v>0</v>
      </c>
      <c r="L19">
        <f>'Input Scenarios'!L19</f>
        <v>1</v>
      </c>
      <c r="M19">
        <f>'Input Scenarios'!M19</f>
        <v>0</v>
      </c>
      <c r="N19">
        <f>'Input Scenarios'!N19</f>
        <v>1</v>
      </c>
      <c r="O19">
        <f>'Input Scenarios'!O19</f>
        <v>0</v>
      </c>
      <c r="P19">
        <f>'Input Scenarios'!P19</f>
        <v>0</v>
      </c>
      <c r="Q19">
        <f>'Input Scenarios'!Q19</f>
        <v>0</v>
      </c>
      <c r="R19" t="b">
        <f>'Input Scenarios'!R19</f>
        <v>1</v>
      </c>
      <c r="S19">
        <f>IF('Input Scenarios'!S19&lt;&gt;"", 'Input Scenarios'!S19, IF(R19, Constants!$B$38, 0))</f>
        <v>0.2</v>
      </c>
      <c r="T19" t="str">
        <f>IF('Input Scenarios'!T19&lt;&gt;"", 'Input Scenarios'!T19, "")</f>
        <v/>
      </c>
      <c r="U19">
        <f>IF('Input Scenarios'!U19&lt;&gt;"", 'Input Scenarios'!U19, IF(W19&lt;&gt;"", "", Constants!$B$39))</f>
        <v>4</v>
      </c>
      <c r="V19">
        <f>IF('Input Scenarios'!V19&lt;&gt;"", 'Input Scenarios'!V19, IF(W19&lt;&gt;"", "", Constants!$B$40))</f>
        <v>3.3</v>
      </c>
      <c r="W19" t="str">
        <f>IF('Input Scenarios'!W19&lt;&gt;"", 'Input Scenarios'!W19, "")</f>
        <v/>
      </c>
      <c r="X19" t="str">
        <f>'Input Scenarios'!X19</f>
        <v>Large Friesian</v>
      </c>
      <c r="Y19" t="str">
        <f>'Input Scenarios'!Y19</f>
        <v>bullsGt1</v>
      </c>
      <c r="Z19">
        <f>'Input Scenarios'!Z19</f>
        <v>200</v>
      </c>
      <c r="AA19">
        <f>IF('Input Scenarios'!AA19&lt;&gt;"", 'Input Scenarios'!AA19, _xlfn.XLOOKUP(Y19,Constants!$J$6:$J$12,Constants!$K$6:$K$12))</f>
        <v>365</v>
      </c>
      <c r="AB19">
        <f>IF('Input Scenarios'!AB19&lt;&gt;"", 'Input Scenarios'!AB19, INDEX(Constants!$B$2:$H$11, MATCH(X19, Constants!$A$2:$A$11, 0), MATCH(Y19,Constants!$B$1:$H$1, 0)))</f>
        <v>600</v>
      </c>
      <c r="AC19">
        <f>IF('Input Scenarios'!AC19&lt;&gt;"", 'Input Scenarios'!AC19, _xlfn.XLOOKUP(Y19, Constants!$B$13:$H$13, Constants!$B$15:$H$15, ""))</f>
        <v>0.1</v>
      </c>
      <c r="AD19">
        <f>IF('Input Scenarios'!AD19&lt;&gt;"", 'Input Scenarios'!AD19, Constants!$B$45)</f>
        <v>0.75</v>
      </c>
      <c r="AE19">
        <f>IF('Input Scenarios'!AE19&lt;&gt;"", 'Input Scenarios'!AE19, Constants!$B$46)</f>
        <v>0.2</v>
      </c>
      <c r="AF19">
        <f t="shared" si="1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11"/>
        <v>1</v>
      </c>
      <c r="AK19">
        <f t="shared" si="22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23"/>
        <v>0.5948500000000001</v>
      </c>
      <c r="AQ19">
        <f t="shared" si="24"/>
        <v>0</v>
      </c>
      <c r="AR19">
        <f>IF(Y19="milkingCows", Constants!$P$2, Constants!$P$3)</f>
        <v>1</v>
      </c>
      <c r="AS19">
        <f t="shared" si="25"/>
        <v>9.0270202499999979</v>
      </c>
      <c r="AT19">
        <f t="shared" si="26"/>
        <v>1.0213029780639273</v>
      </c>
      <c r="AU19">
        <f>_xlfn.XLOOKUP(Y19, Constants!$B$13:$H$13, Constants!$B$14:$H$14, "")</f>
        <v>770</v>
      </c>
      <c r="AV19">
        <f t="shared" si="27"/>
        <v>0.77922077922077926</v>
      </c>
      <c r="AW19">
        <f>Constants!$B$55</f>
        <v>6.25</v>
      </c>
      <c r="AX19">
        <f t="shared" si="1"/>
        <v>1.2626203146474679E-3</v>
      </c>
      <c r="AY19">
        <f t="shared" si="2"/>
        <v>1.8054040499999997</v>
      </c>
      <c r="AZ19">
        <f t="shared" si="18"/>
        <v>0.28546836331241399</v>
      </c>
      <c r="BA19" t="str">
        <f>IF(ISNUMBER(FIND("PreWeaned",Y19)),_xlfn.XLOOKUP(Y19,Constants!$J$2:$J$3,Constants!$M$2:$M$3),"")</f>
        <v/>
      </c>
      <c r="BB19">
        <f t="shared" si="3"/>
        <v>20839.19052180622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20839.19052180622</v>
      </c>
      <c r="BH19">
        <f t="shared" si="9"/>
        <v>1</v>
      </c>
      <c r="BI19">
        <f>Constants!$B$54</f>
        <v>0.02</v>
      </c>
      <c r="BJ19">
        <f>Constants!$B$53</f>
        <v>0.24</v>
      </c>
      <c r="BK19">
        <f t="shared" si="28"/>
        <v>0</v>
      </c>
      <c r="BL19">
        <f t="shared" si="29"/>
        <v>5001.4057252334924</v>
      </c>
      <c r="BM19">
        <f>Constants!$B$52</f>
        <v>1.0999999999999999E-2</v>
      </c>
      <c r="BN19">
        <f>Constants!$B$50</f>
        <v>1.57</v>
      </c>
      <c r="BO19">
        <f t="shared" si="30"/>
        <v>86.37427687478241</v>
      </c>
    </row>
    <row r="20" spans="1:68" x14ac:dyDescent="0.2">
      <c r="A20" t="str">
        <f>'Input Scenarios'!A20</f>
        <v>QLD</v>
      </c>
      <c r="B20">
        <f>'Input Scenarios'!B20</f>
        <v>0</v>
      </c>
      <c r="C20" t="str">
        <f>'Input Scenarios'!C20</f>
        <v>Non-irrigated crop (high rainfall)</v>
      </c>
      <c r="D20" t="str">
        <f>'Input Scenarios'!D20</f>
        <v>wet</v>
      </c>
      <c r="E20" t="b">
        <f>'Input Scenarios'!E20</f>
        <v>1</v>
      </c>
      <c r="F20" t="str">
        <f>'Input Scenarios'!F20</f>
        <v>Limited feedpad</v>
      </c>
      <c r="G20">
        <f>IF('Input Scenarios'!G20&lt;&gt;"", 'Input Scenarios'!G20, _xlfn.XLOOKUP($F20, Constants!$M$6:$M$9,Constants!N$6:N$9))</f>
        <v>0.79</v>
      </c>
      <c r="H20">
        <f>IF('Input Scenarios'!H20&lt;&gt;"", 'Input Scenarios'!H20, _xlfn.XLOOKUP($F20, Constants!$M$6:$M$9,Constants!O$6:O$9))</f>
        <v>0.11</v>
      </c>
      <c r="I20">
        <f>IF('Input Scenarios'!I20&lt;&gt;"", 'Input Scenarios'!I20, _xlfn.XLOOKUP($F20, Constants!$M$6:$M$9,Constants!P$6:P$9))</f>
        <v>0.1</v>
      </c>
      <c r="J20">
        <f>'Input Scenarios'!J20</f>
        <v>0</v>
      </c>
      <c r="K20">
        <f>'Input Scenarios'!K20</f>
        <v>0</v>
      </c>
      <c r="L20">
        <f>'Input Scenarios'!L20</f>
        <v>1</v>
      </c>
      <c r="M20">
        <f>'Input Scenarios'!M20</f>
        <v>0</v>
      </c>
      <c r="N20">
        <f>'Input Scenarios'!N20</f>
        <v>1</v>
      </c>
      <c r="O20">
        <f>'Input Scenarios'!O20</f>
        <v>0</v>
      </c>
      <c r="P20">
        <f>'Input Scenarios'!P20</f>
        <v>0</v>
      </c>
      <c r="Q20">
        <f>'Input Scenarios'!Q20</f>
        <v>0</v>
      </c>
      <c r="R20" t="b">
        <f>'Input Scenarios'!R20</f>
        <v>1</v>
      </c>
      <c r="S20">
        <f>IF('Input Scenarios'!S20&lt;&gt;"", 'Input Scenarios'!S20, IF(R20, Constants!$B$38, 0))</f>
        <v>0.2</v>
      </c>
      <c r="T20" t="str">
        <f>IF('Input Scenarios'!T20&lt;&gt;"", 'Input Scenarios'!T20, "")</f>
        <v/>
      </c>
      <c r="U20">
        <f>IF('Input Scenarios'!U20&lt;&gt;"", 'Input Scenarios'!U20, IF(W20&lt;&gt;"", "", Constants!$B$39))</f>
        <v>4</v>
      </c>
      <c r="V20">
        <f>IF('Input Scenarios'!V20&lt;&gt;"", 'Input Scenarios'!V20, IF(W20&lt;&gt;"", "", Constants!$B$40))</f>
        <v>3.3</v>
      </c>
      <c r="W20" t="str">
        <f>IF('Input Scenarios'!W20&lt;&gt;"", 'Input Scenarios'!W20, "")</f>
        <v/>
      </c>
      <c r="X20" t="str">
        <f>'Input Scenarios'!X20</f>
        <v>Large Friesian</v>
      </c>
      <c r="Y20" t="str">
        <f>'Input Scenarios'!Y20</f>
        <v>bullsLt1PreWeaned</v>
      </c>
      <c r="Z20">
        <f>'Input Scenarios'!Z20</f>
        <v>200</v>
      </c>
      <c r="AA20">
        <f>IF('Input Scenarios'!AA20&lt;&gt;"", 'Input Scenarios'!AA20, _xlfn.XLOOKUP(Y20,Constants!$J$6:$J$12,Constants!$K$6:$K$12))</f>
        <v>84</v>
      </c>
      <c r="AB20">
        <f>IF('Input Scenarios'!AB20&lt;&gt;"", 'Input Scenarios'!AB20, INDEX(Constants!$B$2:$H$11, MATCH(X20, Constants!$A$2:$A$11, 0), MATCH(Y20,Constants!$B$1:$H$1, 0)))</f>
        <v>225</v>
      </c>
      <c r="AC20" t="str">
        <f>IF('Input Scenarios'!AC20&lt;&gt;"", 'Input Scenarios'!AC20, _xlfn.XLOOKUP(Y20, Constants!$B$13:$H$13, Constants!$B$15:$H$15, ""))</f>
        <v/>
      </c>
      <c r="AD20">
        <f>IF('Input Scenarios'!AD20&lt;&gt;"", 'Input Scenarios'!AD20, Constants!$B$45)</f>
        <v>0.75</v>
      </c>
      <c r="AE20">
        <f>IF('Input Scenarios'!AE20&lt;&gt;"", 'Input Scenarios'!AE20, Constants!$B$46)</f>
        <v>0.2</v>
      </c>
      <c r="AF20">
        <f t="shared" si="1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11"/>
        <v>1</v>
      </c>
      <c r="AK20">
        <f t="shared" si="22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23"/>
        <v>0.5948500000000001</v>
      </c>
      <c r="AQ20">
        <f t="shared" si="24"/>
        <v>0</v>
      </c>
      <c r="AR20">
        <f>IF(Y20="milkingCows", Constants!$P$2, Constants!$P$3)</f>
        <v>1</v>
      </c>
      <c r="AS20" t="str">
        <f t="shared" si="25"/>
        <v/>
      </c>
      <c r="AT20" t="str">
        <f t="shared" si="26"/>
        <v/>
      </c>
      <c r="AU20" t="str">
        <f>_xlfn.XLOOKUP(Y20, Constants!$B$13:$H$13, Constants!$B$14:$H$14, "")</f>
        <v/>
      </c>
      <c r="AV20" t="str">
        <f t="shared" si="27"/>
        <v/>
      </c>
      <c r="AW20">
        <f>Constants!$B$55</f>
        <v>6.25</v>
      </c>
      <c r="AX20" t="str">
        <f t="shared" si="1"/>
        <v/>
      </c>
      <c r="AY20" t="str">
        <f t="shared" si="2"/>
        <v/>
      </c>
      <c r="AZ20" t="str">
        <f t="shared" si="18"/>
        <v/>
      </c>
      <c r="BA20">
        <f>IF(ISNUMBER(FIND("PreWeaned",Y20)),_xlfn.XLOOKUP(Y20,Constants!$J$2:$J$3,Constants!$M$2:$M$3),"")</f>
        <v>9.1999999999999998E-3</v>
      </c>
      <c r="BB20">
        <f t="shared" si="3"/>
        <v>154.56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154.56</v>
      </c>
      <c r="BH20">
        <f t="shared" si="9"/>
        <v>1</v>
      </c>
      <c r="BI20">
        <f>Constants!$B$54</f>
        <v>0.02</v>
      </c>
      <c r="BJ20">
        <f>Constants!$B$53</f>
        <v>0.24</v>
      </c>
      <c r="BK20">
        <f t="shared" si="28"/>
        <v>0</v>
      </c>
      <c r="BL20">
        <f t="shared" si="29"/>
        <v>37.0944</v>
      </c>
      <c r="BM20">
        <f>Constants!$B$52</f>
        <v>1.0999999999999999E-2</v>
      </c>
      <c r="BN20">
        <f>Constants!$B$50</f>
        <v>1.57</v>
      </c>
      <c r="BO20">
        <f t="shared" si="30"/>
        <v>0.64062028799999993</v>
      </c>
    </row>
    <row r="21" spans="1:68" s="16" customFormat="1" x14ac:dyDescent="0.2">
      <c r="A21" s="16" t="str">
        <f>'Input Scenarios'!A21</f>
        <v>QLD</v>
      </c>
      <c r="B21" s="16">
        <f>'Input Scenarios'!B21</f>
        <v>0</v>
      </c>
      <c r="C21" s="16" t="str">
        <f>'Input Scenarios'!C21</f>
        <v>Non-irrigated crop (high rainfall)</v>
      </c>
      <c r="D21" s="16" t="str">
        <f>'Input Scenarios'!D21</f>
        <v>wet</v>
      </c>
      <c r="E21" s="16" t="b">
        <f>'Input Scenarios'!E21</f>
        <v>1</v>
      </c>
      <c r="F21" s="16" t="str">
        <f>'Input Scenarios'!F21</f>
        <v>Limited feedpad</v>
      </c>
      <c r="G21" s="16">
        <f>IF('Input Scenarios'!G21&lt;&gt;"", 'Input Scenarios'!G21, _xlfn.XLOOKUP($F21, Constants!$M$6:$M$9,Constants!N$6:N$9))</f>
        <v>0.79</v>
      </c>
      <c r="H21" s="16">
        <f>IF('Input Scenarios'!H21&lt;&gt;"", 'Input Scenarios'!H21, _xlfn.XLOOKUP($F21, Constants!$M$6:$M$9,Constants!O$6:O$9))</f>
        <v>0.11</v>
      </c>
      <c r="I21" s="16">
        <f>IF('Input Scenarios'!I21&lt;&gt;"", 'Input Scenarios'!I21, _xlfn.XLOOKUP($F21, Constants!$M$6:$M$9,Constants!P$6:P$9))</f>
        <v>0.1</v>
      </c>
      <c r="J21" s="16">
        <f>'Input Scenarios'!J21</f>
        <v>0</v>
      </c>
      <c r="K21" s="16">
        <f>'Input Scenarios'!K21</f>
        <v>0</v>
      </c>
      <c r="L21" s="16">
        <f>'Input Scenarios'!L21</f>
        <v>1</v>
      </c>
      <c r="M21" s="16">
        <f>'Input Scenarios'!M21</f>
        <v>0</v>
      </c>
      <c r="N21" s="16">
        <f>'Input Scenarios'!N21</f>
        <v>1</v>
      </c>
      <c r="O21" s="16">
        <f>'Input Scenarios'!O21</f>
        <v>0</v>
      </c>
      <c r="P21" s="16">
        <f>'Input Scenarios'!P21</f>
        <v>0</v>
      </c>
      <c r="Q21" s="16">
        <f>'Input Scenarios'!Q21</f>
        <v>0</v>
      </c>
      <c r="R21" s="16" t="b">
        <f>'Input Scenarios'!R21</f>
        <v>1</v>
      </c>
      <c r="S21" s="16">
        <f>IF('Input Scenarios'!S21&lt;&gt;"", 'Input Scenarios'!S21, IF(R21, Constants!$B$38, 0))</f>
        <v>0.2</v>
      </c>
      <c r="T21" s="16" t="str">
        <f>IF('Input Scenarios'!T21&lt;&gt;"", 'Input Scenarios'!T21, "")</f>
        <v/>
      </c>
      <c r="U21" s="16">
        <f>IF('Input Scenarios'!U21&lt;&gt;"", 'Input Scenarios'!U21, IF(W21&lt;&gt;"", "", Constants!$B$39))</f>
        <v>4</v>
      </c>
      <c r="V21" s="16">
        <f>IF('Input Scenarios'!V21&lt;&gt;"", 'Input Scenarios'!V21, IF(W21&lt;&gt;"", "", Constants!$B$40))</f>
        <v>3.3</v>
      </c>
      <c r="W21" s="16" t="str">
        <f>IF('Input Scenarios'!W21&lt;&gt;"", 'Input Scenarios'!W21, "")</f>
        <v/>
      </c>
      <c r="X21" s="16" t="str">
        <f>'Input Scenarios'!X21</f>
        <v>Large Friesian</v>
      </c>
      <c r="Y21" s="16" t="str">
        <f>'Input Scenarios'!Y21</f>
        <v>bullsLt1Weaned</v>
      </c>
      <c r="Z21" s="16">
        <f>'Input Scenarios'!Z21</f>
        <v>200</v>
      </c>
      <c r="AA21" s="16">
        <f>IF('Input Scenarios'!AA21&lt;&gt;"", 'Input Scenarios'!AA21, _xlfn.XLOOKUP(Y21,Constants!$J$6:$J$12,Constants!$K$6:$K$12))</f>
        <v>281</v>
      </c>
      <c r="AB21" s="16">
        <f>IF('Input Scenarios'!AB21&lt;&gt;"", 'Input Scenarios'!AB21, INDEX(Constants!$B$2:$H$11, MATCH(X21, Constants!$A$2:$A$11, 0), MATCH(Y21,Constants!$B$1:$H$1, 0)))</f>
        <v>225</v>
      </c>
      <c r="AC21" s="16">
        <f>IF('Input Scenarios'!AC21&lt;&gt;"", 'Input Scenarios'!AC21, _xlfn.XLOOKUP(Y21, Constants!$B$13:$H$13, Constants!$B$15:$H$15, ""))</f>
        <v>0.8</v>
      </c>
      <c r="AD21" s="16">
        <f>IF('Input Scenarios'!AD21&lt;&gt;"", 'Input Scenarios'!AD21, Constants!$B$45)</f>
        <v>0.75</v>
      </c>
      <c r="AE21" s="16">
        <f>IF('Input Scenarios'!AE21&lt;&gt;"", 'Input Scenarios'!AE21, Constants!$B$46)</f>
        <v>0.2</v>
      </c>
      <c r="AF21" s="16">
        <f t="shared" si="10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11"/>
        <v>1</v>
      </c>
      <c r="AK21" s="16">
        <f t="shared" si="22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23"/>
        <v>0.5948500000000001</v>
      </c>
      <c r="AQ21" s="16">
        <f t="shared" si="24"/>
        <v>0</v>
      </c>
      <c r="AR21" s="16">
        <f>IF(Y21="milkingCows", Constants!$P$2, Constants!$P$3)</f>
        <v>1</v>
      </c>
      <c r="AS21" s="16">
        <f t="shared" si="25"/>
        <v>5.4143472656250013</v>
      </c>
      <c r="AT21" s="16">
        <f t="shared" si="26"/>
        <v>1.2576570545672616</v>
      </c>
      <c r="AU21" s="16">
        <f>_xlfn.XLOOKUP(Y21, Constants!$B$13:$H$13, Constants!$B$14:$H$14, "")</f>
        <v>770</v>
      </c>
      <c r="AV21" s="16">
        <f t="shared" si="27"/>
        <v>0.29220779220779219</v>
      </c>
      <c r="AW21" s="16">
        <f>Constants!$B$55</f>
        <v>6.25</v>
      </c>
      <c r="AX21" s="16">
        <f t="shared" si="1"/>
        <v>1.9757354894894084E-2</v>
      </c>
      <c r="AY21" s="16">
        <f t="shared" si="2"/>
        <v>1.0828694531250003</v>
      </c>
      <c r="AZ21" s="16">
        <f t="shared" si="18"/>
        <v>0.15247929000170721</v>
      </c>
      <c r="BA21" s="16" t="str">
        <f>IF(ISNUMBER(FIND("PreWeaned",Y21)),_xlfn.XLOOKUP(Y21,Constants!$J$2:$J$3,Constants!$M$2:$M$3),"")</f>
        <v/>
      </c>
      <c r="BB21" s="16">
        <f t="shared" si="3"/>
        <v>8569.336098095946</v>
      </c>
      <c r="BC21" s="16">
        <f t="shared" si="4"/>
        <v>0</v>
      </c>
      <c r="BD21" s="16">
        <f t="shared" si="5"/>
        <v>0</v>
      </c>
      <c r="BE21" s="16">
        <f t="shared" si="6"/>
        <v>0</v>
      </c>
      <c r="BF21" s="16">
        <f t="shared" si="7"/>
        <v>0</v>
      </c>
      <c r="BG21" s="16">
        <f t="shared" si="8"/>
        <v>8569.336098095946</v>
      </c>
      <c r="BH21" s="16">
        <f t="shared" si="9"/>
        <v>1</v>
      </c>
      <c r="BI21" s="16">
        <f>Constants!$B$54</f>
        <v>0.02</v>
      </c>
      <c r="BJ21" s="16">
        <f>Constants!$B$53</f>
        <v>0.24</v>
      </c>
      <c r="BK21" s="16">
        <f t="shared" si="28"/>
        <v>0</v>
      </c>
      <c r="BL21" s="16">
        <f t="shared" si="29"/>
        <v>2056.6406635430271</v>
      </c>
      <c r="BM21" s="16">
        <f>Constants!$B$52</f>
        <v>1.0999999999999999E-2</v>
      </c>
      <c r="BN21" s="16">
        <f>Constants!$B$50</f>
        <v>1.57</v>
      </c>
      <c r="BO21" s="16">
        <f t="shared" si="30"/>
        <v>35.518184259388079</v>
      </c>
    </row>
    <row r="22" spans="1:68" x14ac:dyDescent="0.2">
      <c r="A22" t="str">
        <f>'Input Scenarios'!A22</f>
        <v>NT</v>
      </c>
      <c r="B22">
        <f>'Input Scenarios'!B22</f>
        <v>0</v>
      </c>
      <c r="C22" t="str">
        <f>'Input Scenarios'!C22</f>
        <v>Irrigated pasture</v>
      </c>
      <c r="D22" t="str">
        <f>'Input Scenarios'!D22</f>
        <v>dry</v>
      </c>
      <c r="E22" t="b">
        <f>'Input Scenarios'!E22</f>
        <v>0</v>
      </c>
      <c r="F22" t="str">
        <f>'Input Scenarios'!F22</f>
        <v>Zero grazing</v>
      </c>
      <c r="G22">
        <f>IF('Input Scenarios'!G22&lt;&gt;"", 'Input Scenarios'!G22, _xlfn.XLOOKUP($F22, Constants!$M$6:$M$9,Constants!N$6:N$9))</f>
        <v>0</v>
      </c>
      <c r="H22">
        <f>IF('Input Scenarios'!H22&lt;&gt;"", 'Input Scenarios'!H22, _xlfn.XLOOKUP($F22, Constants!$M$6:$M$9,Constants!O$6:O$9))</f>
        <v>0.11</v>
      </c>
      <c r="I22">
        <f>IF('Input Scenarios'!I22&lt;&gt;"", 'Input Scenarios'!I22, _xlfn.XLOOKUP($F22, Constants!$M$6:$M$9,Constants!P$6:P$9))</f>
        <v>0.89</v>
      </c>
      <c r="J22">
        <f>'Input Scenarios'!J22</f>
        <v>0</v>
      </c>
      <c r="K22">
        <f>'Input Scenarios'!K22</f>
        <v>0.5</v>
      </c>
      <c r="L22">
        <f>'Input Scenarios'!L22</f>
        <v>0.5</v>
      </c>
      <c r="M22">
        <f>'Input Scenarios'!M22</f>
        <v>0</v>
      </c>
      <c r="N22">
        <f>'Input Scenarios'!N22</f>
        <v>0.5</v>
      </c>
      <c r="O22">
        <f>'Input Scenarios'!O22</f>
        <v>0</v>
      </c>
      <c r="P22">
        <f>'Input Scenarios'!P22</f>
        <v>0</v>
      </c>
      <c r="Q22">
        <f>'Input Scenarios'!Q22</f>
        <v>0.5</v>
      </c>
      <c r="R22" t="b">
        <f>'Input Scenarios'!R22</f>
        <v>0</v>
      </c>
      <c r="S22">
        <f>IF('Input Scenarios'!S22&lt;&gt;"", 'Input Scenarios'!S22, IF(R22, Constants!$B$38, 0))</f>
        <v>0</v>
      </c>
      <c r="T22">
        <f>IF('Input Scenarios'!T22&lt;&gt;"", 'Input Scenarios'!T22, "")</f>
        <v>2.8</v>
      </c>
      <c r="U22">
        <f>IF('Input Scenarios'!U22&lt;&gt;"", 'Input Scenarios'!U22, IF(W22&lt;&gt;"", "", Constants!$B$39))</f>
        <v>4</v>
      </c>
      <c r="V22">
        <f>IF('Input Scenarios'!V22&lt;&gt;"", 'Input Scenarios'!V22, IF(W22&lt;&gt;"", "", Constants!$B$40))</f>
        <v>3.3</v>
      </c>
      <c r="W22" t="str">
        <f>IF('Input Scenarios'!W22&lt;&gt;"", 'Input Scenarios'!W22, "")</f>
        <v/>
      </c>
      <c r="X22" t="str">
        <f>'Input Scenarios'!X22</f>
        <v>Holstein-Friesian</v>
      </c>
      <c r="Y22" t="str">
        <f>'Input Scenarios'!Y22</f>
        <v>milkingCows</v>
      </c>
      <c r="Z22">
        <f>'Input Scenarios'!Z22</f>
        <v>200</v>
      </c>
      <c r="AA22">
        <f>IF('Input Scenarios'!AA22&lt;&gt;"", 'Input Scenarios'!AA22, _xlfn.XLOOKUP(Y22,Constants!$J$6:$J$12,Constants!$K$6:$K$12))</f>
        <v>365</v>
      </c>
      <c r="AB22">
        <f>IF('Input Scenarios'!AB22&lt;&gt;"", 'Input Scenarios'!AB22, INDEX(Constants!$B$2:$H$11, MATCH(X22, Constants!$A$2:$A$11, 0), MATCH(Y22,Constants!$B$1:$H$1, 0)))</f>
        <v>650</v>
      </c>
      <c r="AC22">
        <f>IF('Input Scenarios'!AC22&lt;&gt;"", 'Input Scenarios'!AC22, _xlfn.XLOOKUP(Y22, Constants!$B$13:$H$13, Constants!$B$15:$H$15, ""))</f>
        <v>1.6E-2</v>
      </c>
      <c r="AD22">
        <f>IF('Input Scenarios'!AD22&lt;&gt;"", 'Input Scenarios'!AD22, Constants!$B$45)</f>
        <v>0.75</v>
      </c>
      <c r="AE22">
        <f>IF('Input Scenarios'!AE22&lt;&gt;"", 'Input Scenarios'!AE22, Constants!$B$46)</f>
        <v>0.2</v>
      </c>
      <c r="AF22" s="20">
        <f t="shared" si="10"/>
        <v>0.44500000000000001</v>
      </c>
      <c r="AG22" s="20">
        <f t="shared" si="0"/>
        <v>5.5E-2</v>
      </c>
      <c r="AH22" s="20">
        <f t="shared" si="0"/>
        <v>5.5E-2</v>
      </c>
      <c r="AI22" s="20">
        <f t="shared" si="0"/>
        <v>0.44500000000000001</v>
      </c>
      <c r="AJ22" s="20">
        <f t="shared" si="11"/>
        <v>0</v>
      </c>
      <c r="AK22">
        <f t="shared" si="22"/>
        <v>38.356164383561641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23"/>
        <v>0.5948500000000001</v>
      </c>
      <c r="AQ22">
        <f t="shared" si="24"/>
        <v>18.372357574041192</v>
      </c>
      <c r="AR22">
        <f>IF(Y22="milkingCows", Constants!$P$2, Constants!$P$3)</f>
        <v>1.1000000000000001</v>
      </c>
      <c r="AS22">
        <f t="shared" si="25"/>
        <v>28.555112190801196</v>
      </c>
      <c r="AT22">
        <f t="shared" si="26"/>
        <v>1.001181840179723</v>
      </c>
      <c r="AU22">
        <f>_xlfn.XLOOKUP(Y22, Constants!$B$13:$H$13, Constants!$B$14:$H$14, "")</f>
        <v>590</v>
      </c>
      <c r="AV22">
        <f t="shared" si="27"/>
        <v>1.1016949152542372</v>
      </c>
      <c r="AW22">
        <f>Constants!$B$55</f>
        <v>6.25</v>
      </c>
      <c r="AX22" s="20">
        <f t="shared" si="1"/>
        <v>0.19832814869793783</v>
      </c>
      <c r="AY22">
        <f t="shared" si="2"/>
        <v>5.7110224381602395</v>
      </c>
      <c r="AZ22">
        <f t="shared" si="18"/>
        <v>0.71316976602832161</v>
      </c>
      <c r="BA22" t="str">
        <f>IF(ISNUMBER(FIND("PreWeaned",Y22)),_xlfn.XLOOKUP(Y22,Constants!$J$2:$J$3,Constants!$M$2:$M$3),"")</f>
        <v/>
      </c>
      <c r="BB22">
        <f t="shared" si="3"/>
        <v>52061.392920067476</v>
      </c>
      <c r="BC22">
        <f t="shared" si="4"/>
        <v>23167.319849430027</v>
      </c>
      <c r="BD22">
        <f t="shared" si="5"/>
        <v>2863.376610603711</v>
      </c>
      <c r="BE22">
        <f t="shared" si="6"/>
        <v>2863.376610603711</v>
      </c>
      <c r="BF22">
        <f t="shared" si="7"/>
        <v>23167.319849430027</v>
      </c>
      <c r="BG22">
        <f t="shared" si="8"/>
        <v>0</v>
      </c>
      <c r="BH22">
        <f t="shared" si="9"/>
        <v>0</v>
      </c>
      <c r="BI22">
        <f>Constants!$B$54</f>
        <v>0.02</v>
      </c>
      <c r="BJ22">
        <f>Constants!$B$53</f>
        <v>0.24</v>
      </c>
      <c r="BK22">
        <f t="shared" si="28"/>
        <v>0</v>
      </c>
      <c r="BL22">
        <f t="shared" si="29"/>
        <v>0</v>
      </c>
      <c r="BM22">
        <f>Constants!$B$52</f>
        <v>1.0999999999999999E-2</v>
      </c>
      <c r="BN22">
        <f>Constants!$B$50</f>
        <v>1.57</v>
      </c>
      <c r="BO22">
        <f t="shared" si="30"/>
        <v>0</v>
      </c>
      <c r="BP22">
        <f>SUM(BO22:BO28)/1000</f>
        <v>0</v>
      </c>
    </row>
    <row r="23" spans="1:68" x14ac:dyDescent="0.2">
      <c r="A23" t="str">
        <f>'Input Scenarios'!A23</f>
        <v>NT</v>
      </c>
      <c r="B23">
        <f>'Input Scenarios'!B23</f>
        <v>0</v>
      </c>
      <c r="C23" t="str">
        <f>'Input Scenarios'!C23</f>
        <v>Irrigated pasture</v>
      </c>
      <c r="D23" t="str">
        <f>'Input Scenarios'!D23</f>
        <v>dry</v>
      </c>
      <c r="E23" t="b">
        <f>'Input Scenarios'!E23</f>
        <v>0</v>
      </c>
      <c r="F23" t="str">
        <f>'Input Scenarios'!F23</f>
        <v>Zero grazing</v>
      </c>
      <c r="G23">
        <f>IF('Input Scenarios'!G23&lt;&gt;"", 'Input Scenarios'!G23, _xlfn.XLOOKUP($F23, Constants!$M$6:$M$9,Constants!N$6:N$9))</f>
        <v>0</v>
      </c>
      <c r="H23">
        <f>IF('Input Scenarios'!H23&lt;&gt;"", 'Input Scenarios'!H23, _xlfn.XLOOKUP($F23, Constants!$M$6:$M$9,Constants!O$6:O$9))</f>
        <v>0.11</v>
      </c>
      <c r="I23">
        <f>IF('Input Scenarios'!I23&lt;&gt;"", 'Input Scenarios'!I23, _xlfn.XLOOKUP($F23, Constants!$M$6:$M$9,Constants!P$6:P$9))</f>
        <v>0.89</v>
      </c>
      <c r="J23">
        <f>'Input Scenarios'!J23</f>
        <v>0</v>
      </c>
      <c r="K23">
        <f>'Input Scenarios'!K23</f>
        <v>0.5</v>
      </c>
      <c r="L23">
        <f>'Input Scenarios'!L23</f>
        <v>0.5</v>
      </c>
      <c r="M23">
        <f>'Input Scenarios'!M23</f>
        <v>0</v>
      </c>
      <c r="N23">
        <f>'Input Scenarios'!N23</f>
        <v>0.5</v>
      </c>
      <c r="O23">
        <f>'Input Scenarios'!O23</f>
        <v>0</v>
      </c>
      <c r="P23">
        <f>'Input Scenarios'!P23</f>
        <v>0</v>
      </c>
      <c r="Q23">
        <f>'Input Scenarios'!Q23</f>
        <v>0.5</v>
      </c>
      <c r="R23" t="b">
        <f>'Input Scenarios'!R23</f>
        <v>0</v>
      </c>
      <c r="S23">
        <f>IF('Input Scenarios'!S23&lt;&gt;"", 'Input Scenarios'!S23, IF(R23, Constants!$B$38, 0))</f>
        <v>0</v>
      </c>
      <c r="T23" t="str">
        <f>IF('Input Scenarios'!T23&lt;&gt;"", 'Input Scenarios'!T23, "")</f>
        <v/>
      </c>
      <c r="U23">
        <f>IF('Input Scenarios'!U23&lt;&gt;"", 'Input Scenarios'!U23, IF(W23&lt;&gt;"", "", Constants!$B$39))</f>
        <v>4</v>
      </c>
      <c r="V23">
        <f>IF('Input Scenarios'!V23&lt;&gt;"", 'Input Scenarios'!V23, IF(W23&lt;&gt;"", "", Constants!$B$40))</f>
        <v>3.3</v>
      </c>
      <c r="W23" t="str">
        <f>IF('Input Scenarios'!W23&lt;&gt;"", 'Input Scenarios'!W23, "")</f>
        <v/>
      </c>
      <c r="X23" t="str">
        <f>'Input Scenarios'!X23</f>
        <v>Holstein-Friesian</v>
      </c>
      <c r="Y23" t="str">
        <f>'Input Scenarios'!Y23</f>
        <v>heifersGt1</v>
      </c>
      <c r="Z23">
        <f>'Input Scenarios'!Z23</f>
        <v>200</v>
      </c>
      <c r="AA23">
        <f>IF('Input Scenarios'!AA23&lt;&gt;"", 'Input Scenarios'!AA23, _xlfn.XLOOKUP(Y23,Constants!$J$6:$J$12,Constants!$K$6:$K$12))</f>
        <v>365</v>
      </c>
      <c r="AB23">
        <f>IF('Input Scenarios'!AB23&lt;&gt;"", 'Input Scenarios'!AB23, INDEX(Constants!$B$2:$H$11, MATCH(X23, Constants!$A$2:$A$11, 0), MATCH(Y23,Constants!$B$1:$H$1, 0)))</f>
        <v>450</v>
      </c>
      <c r="AC23">
        <f>IF('Input Scenarios'!AC23&lt;&gt;"", 'Input Scenarios'!AC23, _xlfn.XLOOKUP(Y23, Constants!$B$13:$H$13, Constants!$B$15:$H$15, ""))</f>
        <v>0.6</v>
      </c>
      <c r="AD23">
        <f>IF('Input Scenarios'!AD23&lt;&gt;"", 'Input Scenarios'!AD23, Constants!$B$45)</f>
        <v>0.75</v>
      </c>
      <c r="AE23">
        <f>IF('Input Scenarios'!AE23&lt;&gt;"", 'Input Scenarios'!AE23, Constants!$B$46)</f>
        <v>0.2</v>
      </c>
      <c r="AF23">
        <f t="shared" si="1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11"/>
        <v>1</v>
      </c>
      <c r="AK23">
        <f t="shared" si="22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23"/>
        <v>0.5948500000000001</v>
      </c>
      <c r="AQ23">
        <f t="shared" si="24"/>
        <v>0</v>
      </c>
      <c r="AR23">
        <f>IF(Y23="milkingCows", Constants!$P$2, Constants!$P$3)</f>
        <v>1</v>
      </c>
      <c r="AS23">
        <f t="shared" si="25"/>
        <v>8.3549902499999984</v>
      </c>
      <c r="AT23">
        <f t="shared" si="26"/>
        <v>1.1448168254973408</v>
      </c>
      <c r="AU23">
        <f>_xlfn.XLOOKUP(Y23, Constants!$B$13:$H$13, Constants!$B$14:$H$14, "")</f>
        <v>590</v>
      </c>
      <c r="AV23">
        <f t="shared" si="27"/>
        <v>0.76271186440677963</v>
      </c>
      <c r="AW23">
        <f>Constants!$B$55</f>
        <v>6.25</v>
      </c>
      <c r="AX23">
        <f t="shared" si="1"/>
        <v>7.680606707944594E-3</v>
      </c>
      <c r="AY23">
        <f t="shared" si="2"/>
        <v>1.6709980499999997</v>
      </c>
      <c r="AZ23">
        <f t="shared" si="18"/>
        <v>0.25795950260723322</v>
      </c>
      <c r="BA23" t="str">
        <f>IF(ISNUMBER(FIND("PreWeaned",Y23)),_xlfn.XLOOKUP(Y23,Constants!$J$2:$J$3,Constants!$M$2:$M$3),"")</f>
        <v/>
      </c>
      <c r="BB23">
        <f t="shared" si="3"/>
        <v>18831.043690328024</v>
      </c>
      <c r="BC23">
        <f t="shared" si="4"/>
        <v>0</v>
      </c>
      <c r="BD23">
        <f t="shared" si="5"/>
        <v>0</v>
      </c>
      <c r="BE23">
        <f t="shared" si="6"/>
        <v>0</v>
      </c>
      <c r="BF23">
        <f t="shared" si="7"/>
        <v>0</v>
      </c>
      <c r="BG23">
        <f t="shared" si="8"/>
        <v>18831.043690328024</v>
      </c>
      <c r="BH23">
        <f t="shared" si="9"/>
        <v>0</v>
      </c>
      <c r="BI23">
        <f>Constants!$B$54</f>
        <v>0.02</v>
      </c>
      <c r="BJ23">
        <f>Constants!$B$53</f>
        <v>0.24</v>
      </c>
      <c r="BK23">
        <f t="shared" si="28"/>
        <v>0</v>
      </c>
      <c r="BL23">
        <f t="shared" si="29"/>
        <v>0</v>
      </c>
      <c r="BM23">
        <f>Constants!$B$52</f>
        <v>1.0999999999999999E-2</v>
      </c>
      <c r="BN23">
        <f>Constants!$B$50</f>
        <v>1.57</v>
      </c>
      <c r="BO23">
        <f t="shared" si="30"/>
        <v>0</v>
      </c>
    </row>
    <row r="24" spans="1:68" x14ac:dyDescent="0.2">
      <c r="A24" t="str">
        <f>'Input Scenarios'!A24</f>
        <v>NT</v>
      </c>
      <c r="B24">
        <f>'Input Scenarios'!B24</f>
        <v>0</v>
      </c>
      <c r="C24" t="str">
        <f>'Input Scenarios'!C24</f>
        <v>Irrigated pasture</v>
      </c>
      <c r="D24" t="str">
        <f>'Input Scenarios'!D24</f>
        <v>dry</v>
      </c>
      <c r="E24" t="b">
        <f>'Input Scenarios'!E24</f>
        <v>0</v>
      </c>
      <c r="F24" t="str">
        <f>'Input Scenarios'!F24</f>
        <v>Zero grazing</v>
      </c>
      <c r="G24">
        <f>IF('Input Scenarios'!G24&lt;&gt;"", 'Input Scenarios'!G24, _xlfn.XLOOKUP($F24, Constants!$M$6:$M$9,Constants!N$6:N$9))</f>
        <v>0</v>
      </c>
      <c r="H24">
        <f>IF('Input Scenarios'!H24&lt;&gt;"", 'Input Scenarios'!H24, _xlfn.XLOOKUP($F24, Constants!$M$6:$M$9,Constants!O$6:O$9))</f>
        <v>0.11</v>
      </c>
      <c r="I24">
        <f>IF('Input Scenarios'!I24&lt;&gt;"", 'Input Scenarios'!I24, _xlfn.XLOOKUP($F24, Constants!$M$6:$M$9,Constants!P$6:P$9))</f>
        <v>0.89</v>
      </c>
      <c r="J24">
        <f>'Input Scenarios'!J24</f>
        <v>0</v>
      </c>
      <c r="K24">
        <f>'Input Scenarios'!K24</f>
        <v>0.5</v>
      </c>
      <c r="L24">
        <f>'Input Scenarios'!L24</f>
        <v>0.5</v>
      </c>
      <c r="M24">
        <f>'Input Scenarios'!M24</f>
        <v>0</v>
      </c>
      <c r="N24">
        <f>'Input Scenarios'!N24</f>
        <v>0.5</v>
      </c>
      <c r="O24">
        <f>'Input Scenarios'!O24</f>
        <v>0</v>
      </c>
      <c r="P24">
        <f>'Input Scenarios'!P24</f>
        <v>0</v>
      </c>
      <c r="Q24">
        <f>'Input Scenarios'!Q24</f>
        <v>0.5</v>
      </c>
      <c r="R24" t="b">
        <f>'Input Scenarios'!R24</f>
        <v>0</v>
      </c>
      <c r="S24">
        <f>IF('Input Scenarios'!S24&lt;&gt;"", 'Input Scenarios'!S24, IF(R24, Constants!$B$38, 0))</f>
        <v>0</v>
      </c>
      <c r="T24" t="str">
        <f>IF('Input Scenarios'!T24&lt;&gt;"", 'Input Scenarios'!T24, "")</f>
        <v/>
      </c>
      <c r="U24">
        <f>IF('Input Scenarios'!U24&lt;&gt;"", 'Input Scenarios'!U24, IF(W24&lt;&gt;"", "", Constants!$B$39))</f>
        <v>4</v>
      </c>
      <c r="V24">
        <f>IF('Input Scenarios'!V24&lt;&gt;"", 'Input Scenarios'!V24, IF(W24&lt;&gt;"", "", Constants!$B$40))</f>
        <v>3.3</v>
      </c>
      <c r="W24" t="str">
        <f>IF('Input Scenarios'!W24&lt;&gt;"", 'Input Scenarios'!W24, "")</f>
        <v/>
      </c>
      <c r="X24" t="str">
        <f>'Input Scenarios'!X24</f>
        <v>Holstein-Friesian</v>
      </c>
      <c r="Y24" t="str">
        <f>'Input Scenarios'!Y24</f>
        <v>heifersLt1PreWeaned</v>
      </c>
      <c r="Z24">
        <f>'Input Scenarios'!Z24</f>
        <v>200</v>
      </c>
      <c r="AA24">
        <f>IF('Input Scenarios'!AA24&lt;&gt;"", 'Input Scenarios'!AA24, _xlfn.XLOOKUP(Y24,Constants!$J$6:$J$12,Constants!$K$6:$K$12))</f>
        <v>84</v>
      </c>
      <c r="AB24">
        <f>IF('Input Scenarios'!AB24&lt;&gt;"", 'Input Scenarios'!AB24, INDEX(Constants!$B$2:$H$11, MATCH(X24, Constants!$A$2:$A$11, 0), MATCH(Y24,Constants!$B$1:$H$1, 0)))</f>
        <v>185</v>
      </c>
      <c r="AC24" t="str">
        <f>IF('Input Scenarios'!AC24&lt;&gt;"", 'Input Scenarios'!AC24, _xlfn.XLOOKUP(Y24, Constants!$B$13:$H$13, Constants!$B$15:$H$15, ""))</f>
        <v/>
      </c>
      <c r="AD24">
        <f>IF('Input Scenarios'!AD24&lt;&gt;"", 'Input Scenarios'!AD24, Constants!$B$45)</f>
        <v>0.75</v>
      </c>
      <c r="AE24">
        <f>IF('Input Scenarios'!AE24&lt;&gt;"", 'Input Scenarios'!AE24, Constants!$B$46)</f>
        <v>0.2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1</v>
      </c>
      <c r="AK24">
        <f t="shared" si="22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ref="AP24:AP35" si="31">0.795*(AD24)-0.0014</f>
        <v>0.5948500000000001</v>
      </c>
      <c r="AQ24">
        <f t="shared" ref="AQ24:AQ35" si="32">(AK24*AL24*AM24)/(AN24*AO24*AP24)</f>
        <v>0</v>
      </c>
      <c r="AR24">
        <f>IF(Y24="milkingCows", Constants!$P$2, Constants!$P$3)</f>
        <v>1</v>
      </c>
      <c r="AS24" t="str">
        <f t="shared" ref="AS24:AS35" si="33">IFERROR(((1.185+(0.00454*AB24)-(0.0000026*(AB24^2))+(0.315*AC24))^2*AR24+AQ24), "")</f>
        <v/>
      </c>
      <c r="AT24" t="str">
        <f t="shared" ref="AT24:AT35" si="34">IFERROR(((1.185+(0.00454*AB24)-(0.0000026*(AB24^2))+(0.315*AC24))^2*AR24+AQ24)/((1.185+(0.00454*AB24)-(0.0000026*(AB24^2)))^2*AR24+AQ24), "")</f>
        <v/>
      </c>
      <c r="AU24" t="str">
        <f>_xlfn.XLOOKUP(Y24, Constants!$B$13:$H$13, Constants!$B$14:$H$14, "")</f>
        <v/>
      </c>
      <c r="AV24" t="str">
        <f t="shared" ref="AV24:AV35" si="35">IFERROR(AB24/AU24, "")</f>
        <v/>
      </c>
      <c r="AW24">
        <f>Constants!$B$55</f>
        <v>6.25</v>
      </c>
      <c r="AX24" t="str">
        <f t="shared" si="1"/>
        <v/>
      </c>
      <c r="AY24" t="str">
        <f t="shared" si="2"/>
        <v/>
      </c>
      <c r="AZ24" t="str">
        <f t="shared" si="18"/>
        <v/>
      </c>
      <c r="BA24">
        <f>IF(ISNUMBER(FIND("PreWeaned",Y24)),_xlfn.XLOOKUP(Y24,Constants!$J$2:$J$3,Constants!$M$2:$M$3),"")</f>
        <v>1.37E-2</v>
      </c>
      <c r="BB24">
        <f t="shared" si="3"/>
        <v>230.16000000000003</v>
      </c>
      <c r="BC24">
        <f t="shared" si="4"/>
        <v>0</v>
      </c>
      <c r="BD24">
        <f t="shared" si="5"/>
        <v>0</v>
      </c>
      <c r="BE24">
        <f t="shared" si="6"/>
        <v>0</v>
      </c>
      <c r="BF24">
        <f t="shared" si="7"/>
        <v>0</v>
      </c>
      <c r="BG24">
        <f t="shared" si="8"/>
        <v>230.16000000000003</v>
      </c>
      <c r="BH24">
        <f t="shared" si="9"/>
        <v>0</v>
      </c>
      <c r="BI24">
        <f>Constants!$B$54</f>
        <v>0.02</v>
      </c>
      <c r="BJ24">
        <f>Constants!$B$53</f>
        <v>0.24</v>
      </c>
      <c r="BK24">
        <f t="shared" ref="BK24:BK35" si="36">BF24*$BH24*BI24</f>
        <v>0</v>
      </c>
      <c r="BL24">
        <f t="shared" ref="BL24:BL35" si="37">BG24*$BH24*BJ24</f>
        <v>0</v>
      </c>
      <c r="BM24">
        <f>Constants!$B$52</f>
        <v>1.0999999999999999E-2</v>
      </c>
      <c r="BN24">
        <f>Constants!$B$50</f>
        <v>1.57</v>
      </c>
      <c r="BO24">
        <f t="shared" ref="BO24:BO35" si="38">SUM(BK24:BL24)*BM24*BN24</f>
        <v>0</v>
      </c>
    </row>
    <row r="25" spans="1:68" x14ac:dyDescent="0.2">
      <c r="A25" t="str">
        <f>'Input Scenarios'!A25</f>
        <v>NT</v>
      </c>
      <c r="B25">
        <f>'Input Scenarios'!B25</f>
        <v>0</v>
      </c>
      <c r="C25" t="str">
        <f>'Input Scenarios'!C25</f>
        <v>Irrigated pasture</v>
      </c>
      <c r="D25" t="str">
        <f>'Input Scenarios'!D25</f>
        <v>dry</v>
      </c>
      <c r="E25" t="b">
        <f>'Input Scenarios'!E25</f>
        <v>0</v>
      </c>
      <c r="F25" t="str">
        <f>'Input Scenarios'!F25</f>
        <v>Zero grazing</v>
      </c>
      <c r="G25">
        <f>IF('Input Scenarios'!G25&lt;&gt;"", 'Input Scenarios'!G25, _xlfn.XLOOKUP($F25, Constants!$M$6:$M$9,Constants!N$6:N$9))</f>
        <v>0</v>
      </c>
      <c r="H25">
        <f>IF('Input Scenarios'!H25&lt;&gt;"", 'Input Scenarios'!H25, _xlfn.XLOOKUP($F25, Constants!$M$6:$M$9,Constants!O$6:O$9))</f>
        <v>0.11</v>
      </c>
      <c r="I25">
        <f>IF('Input Scenarios'!I25&lt;&gt;"", 'Input Scenarios'!I25, _xlfn.XLOOKUP($F25, Constants!$M$6:$M$9,Constants!P$6:P$9))</f>
        <v>0.89</v>
      </c>
      <c r="J25">
        <f>'Input Scenarios'!J25</f>
        <v>0</v>
      </c>
      <c r="K25">
        <f>'Input Scenarios'!K25</f>
        <v>0.5</v>
      </c>
      <c r="L25">
        <f>'Input Scenarios'!L25</f>
        <v>0.5</v>
      </c>
      <c r="M25">
        <f>'Input Scenarios'!M25</f>
        <v>0</v>
      </c>
      <c r="N25">
        <f>'Input Scenarios'!N25</f>
        <v>0.5</v>
      </c>
      <c r="O25">
        <f>'Input Scenarios'!O25</f>
        <v>0</v>
      </c>
      <c r="P25">
        <f>'Input Scenarios'!P25</f>
        <v>0</v>
      </c>
      <c r="Q25">
        <f>'Input Scenarios'!Q25</f>
        <v>0.5</v>
      </c>
      <c r="R25" t="b">
        <f>'Input Scenarios'!R25</f>
        <v>0</v>
      </c>
      <c r="S25">
        <f>IF('Input Scenarios'!S25&lt;&gt;"", 'Input Scenarios'!S25, IF(R25, Constants!$B$38, 0))</f>
        <v>0</v>
      </c>
      <c r="T25" t="str">
        <f>IF('Input Scenarios'!T25&lt;&gt;"", 'Input Scenarios'!T25, "")</f>
        <v/>
      </c>
      <c r="U25">
        <f>IF('Input Scenarios'!U25&lt;&gt;"", 'Input Scenarios'!U25, IF(W25&lt;&gt;"", "", Constants!$B$39))</f>
        <v>4</v>
      </c>
      <c r="V25">
        <f>IF('Input Scenarios'!V25&lt;&gt;"", 'Input Scenarios'!V25, IF(W25&lt;&gt;"", "", Constants!$B$40))</f>
        <v>3.3</v>
      </c>
      <c r="W25" t="str">
        <f>IF('Input Scenarios'!W25&lt;&gt;"", 'Input Scenarios'!W25, "")</f>
        <v/>
      </c>
      <c r="X25" t="str">
        <f>'Input Scenarios'!X25</f>
        <v>Holstein-Friesian</v>
      </c>
      <c r="Y25" t="str">
        <f>'Input Scenarios'!Y25</f>
        <v>heifersLt1Weaned</v>
      </c>
      <c r="Z25">
        <f>'Input Scenarios'!Z25</f>
        <v>200</v>
      </c>
      <c r="AA25">
        <f>IF('Input Scenarios'!AA25&lt;&gt;"", 'Input Scenarios'!AA25, _xlfn.XLOOKUP(Y25,Constants!$J$6:$J$12,Constants!$K$6:$K$12))</f>
        <v>281</v>
      </c>
      <c r="AB25">
        <f>IF('Input Scenarios'!AB25&lt;&gt;"", 'Input Scenarios'!AB25, INDEX(Constants!$B$2:$H$11, MATCH(X25, Constants!$A$2:$A$11, 0), MATCH(Y25,Constants!$B$1:$H$1, 0)))</f>
        <v>185</v>
      </c>
      <c r="AC25">
        <f>IF('Input Scenarios'!AC25&lt;&gt;"", 'Input Scenarios'!AC25, _xlfn.XLOOKUP(Y25, Constants!$B$13:$H$13, Constants!$B$15:$H$15, ""))</f>
        <v>0.56999999999999995</v>
      </c>
      <c r="AD25">
        <f>IF('Input Scenarios'!AD25&lt;&gt;"", 'Input Scenarios'!AD25, Constants!$B$45)</f>
        <v>0.75</v>
      </c>
      <c r="AE25">
        <f>IF('Input Scenarios'!AE25&lt;&gt;"", 'Input Scenarios'!AE25, Constants!$B$46)</f>
        <v>0.2</v>
      </c>
      <c r="AF25">
        <f t="shared" ref="AF25:AI44" si="39">IF($Y25="milkingCows",($H25*J25)+($I25*N25), 0)</f>
        <v>0</v>
      </c>
      <c r="AG25">
        <f t="shared" si="39"/>
        <v>0</v>
      </c>
      <c r="AH25">
        <f t="shared" si="39"/>
        <v>0</v>
      </c>
      <c r="AI25">
        <f t="shared" si="39"/>
        <v>0</v>
      </c>
      <c r="AJ25">
        <f t="shared" si="11"/>
        <v>1</v>
      </c>
      <c r="AK25">
        <f t="shared" si="22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31"/>
        <v>0.5948500000000001</v>
      </c>
      <c r="AQ25">
        <f t="shared" si="32"/>
        <v>0</v>
      </c>
      <c r="AR25">
        <f>IF(Y25="milkingCows", Constants!$P$2, Constants!$P$3)</f>
        <v>1</v>
      </c>
      <c r="AS25">
        <f t="shared" si="33"/>
        <v>4.4751921662249998</v>
      </c>
      <c r="AT25">
        <f t="shared" si="34"/>
        <v>1.1940956577314272</v>
      </c>
      <c r="AU25">
        <f>_xlfn.XLOOKUP(Y25, Constants!$B$13:$H$13, Constants!$B$14:$H$14, "")</f>
        <v>590</v>
      </c>
      <c r="AV25">
        <f t="shared" si="35"/>
        <v>0.3135593220338983</v>
      </c>
      <c r="AW25">
        <f>Constants!$B$55</f>
        <v>6.25</v>
      </c>
      <c r="AX25">
        <f t="shared" si="1"/>
        <v>1.374327511013524E-2</v>
      </c>
      <c r="AY25">
        <f t="shared" si="2"/>
        <v>0.89503843324499999</v>
      </c>
      <c r="AZ25">
        <f t="shared" si="18"/>
        <v>0.12858001497431362</v>
      </c>
      <c r="BA25" t="str">
        <f>IF(ISNUMBER(FIND("PreWeaned",Y25)),_xlfn.XLOOKUP(Y25,Constants!$J$2:$J$3,Constants!$M$2:$M$3),"")</f>
        <v/>
      </c>
      <c r="BB25">
        <f t="shared" si="3"/>
        <v>7226.1968415564252</v>
      </c>
      <c r="BC25">
        <f t="shared" si="4"/>
        <v>0</v>
      </c>
      <c r="BD25">
        <f t="shared" si="5"/>
        <v>0</v>
      </c>
      <c r="BE25">
        <f t="shared" si="6"/>
        <v>0</v>
      </c>
      <c r="BF25">
        <f t="shared" si="7"/>
        <v>0</v>
      </c>
      <c r="BG25">
        <f t="shared" si="8"/>
        <v>7226.1968415564252</v>
      </c>
      <c r="BH25">
        <f t="shared" si="9"/>
        <v>0</v>
      </c>
      <c r="BI25">
        <f>Constants!$B$54</f>
        <v>0.02</v>
      </c>
      <c r="BJ25">
        <f>Constants!$B$53</f>
        <v>0.24</v>
      </c>
      <c r="BK25">
        <f t="shared" si="36"/>
        <v>0</v>
      </c>
      <c r="BL25">
        <f t="shared" si="37"/>
        <v>0</v>
      </c>
      <c r="BM25">
        <f>Constants!$B$52</f>
        <v>1.0999999999999999E-2</v>
      </c>
      <c r="BN25">
        <f>Constants!$B$50</f>
        <v>1.57</v>
      </c>
      <c r="BO25">
        <f t="shared" si="38"/>
        <v>0</v>
      </c>
    </row>
    <row r="26" spans="1:68" x14ac:dyDescent="0.2">
      <c r="A26" t="str">
        <f>'Input Scenarios'!A26</f>
        <v>NT</v>
      </c>
      <c r="B26">
        <f>'Input Scenarios'!B26</f>
        <v>0</v>
      </c>
      <c r="C26" t="str">
        <f>'Input Scenarios'!C26</f>
        <v>Irrigated pasture</v>
      </c>
      <c r="D26" t="str">
        <f>'Input Scenarios'!D26</f>
        <v>dry</v>
      </c>
      <c r="E26" t="b">
        <f>'Input Scenarios'!E26</f>
        <v>0</v>
      </c>
      <c r="F26" t="str">
        <f>'Input Scenarios'!F26</f>
        <v>Zero grazing</v>
      </c>
      <c r="G26">
        <f>IF('Input Scenarios'!G26&lt;&gt;"", 'Input Scenarios'!G26, _xlfn.XLOOKUP($F26, Constants!$M$6:$M$9,Constants!N$6:N$9))</f>
        <v>0</v>
      </c>
      <c r="H26">
        <f>IF('Input Scenarios'!H26&lt;&gt;"", 'Input Scenarios'!H26, _xlfn.XLOOKUP($F26, Constants!$M$6:$M$9,Constants!O$6:O$9))</f>
        <v>0.11</v>
      </c>
      <c r="I26">
        <f>IF('Input Scenarios'!I26&lt;&gt;"", 'Input Scenarios'!I26, _xlfn.XLOOKUP($F26, Constants!$M$6:$M$9,Constants!P$6:P$9))</f>
        <v>0.89</v>
      </c>
      <c r="J26">
        <f>'Input Scenarios'!J26</f>
        <v>0</v>
      </c>
      <c r="K26">
        <f>'Input Scenarios'!K26</f>
        <v>0.5</v>
      </c>
      <c r="L26">
        <f>'Input Scenarios'!L26</f>
        <v>0.5</v>
      </c>
      <c r="M26">
        <f>'Input Scenarios'!M26</f>
        <v>0</v>
      </c>
      <c r="N26">
        <f>'Input Scenarios'!N26</f>
        <v>0.5</v>
      </c>
      <c r="O26">
        <f>'Input Scenarios'!O26</f>
        <v>0</v>
      </c>
      <c r="P26">
        <f>'Input Scenarios'!P26</f>
        <v>0</v>
      </c>
      <c r="Q26">
        <f>'Input Scenarios'!Q26</f>
        <v>0.5</v>
      </c>
      <c r="R26" t="b">
        <f>'Input Scenarios'!R26</f>
        <v>0</v>
      </c>
      <c r="S26">
        <f>IF('Input Scenarios'!S26&lt;&gt;"", 'Input Scenarios'!S26, IF(R26, Constants!$B$38, 0))</f>
        <v>0</v>
      </c>
      <c r="T26" t="str">
        <f>IF('Input Scenarios'!T26&lt;&gt;"", 'Input Scenarios'!T26, "")</f>
        <v/>
      </c>
      <c r="U26">
        <f>IF('Input Scenarios'!U26&lt;&gt;"", 'Input Scenarios'!U26, IF(W26&lt;&gt;"", "", Constants!$B$39))</f>
        <v>4</v>
      </c>
      <c r="V26">
        <f>IF('Input Scenarios'!V26&lt;&gt;"", 'Input Scenarios'!V26, IF(W26&lt;&gt;"", "", Constants!$B$40))</f>
        <v>3.3</v>
      </c>
      <c r="W26" t="str">
        <f>IF('Input Scenarios'!W26&lt;&gt;"", 'Input Scenarios'!W26, "")</f>
        <v/>
      </c>
      <c r="X26" t="str">
        <f>'Input Scenarios'!X26</f>
        <v>Holstein-Friesian</v>
      </c>
      <c r="Y26" t="str">
        <f>'Input Scenarios'!Y26</f>
        <v>bullsGt1</v>
      </c>
      <c r="Z26">
        <f>'Input Scenarios'!Z26</f>
        <v>200</v>
      </c>
      <c r="AA26">
        <f>IF('Input Scenarios'!AA26&lt;&gt;"", 'Input Scenarios'!AA26, _xlfn.XLOOKUP(Y26,Constants!$J$6:$J$12,Constants!$K$6:$K$12))</f>
        <v>365</v>
      </c>
      <c r="AB26">
        <f>IF('Input Scenarios'!AB26&lt;&gt;"", 'Input Scenarios'!AB26, INDEX(Constants!$B$2:$H$11, MATCH(X26, Constants!$A$2:$A$11, 0), MATCH(Y26,Constants!$B$1:$H$1, 0)))</f>
        <v>600</v>
      </c>
      <c r="AC26">
        <f>IF('Input Scenarios'!AC26&lt;&gt;"", 'Input Scenarios'!AC26, _xlfn.XLOOKUP(Y26, Constants!$B$13:$H$13, Constants!$B$15:$H$15, ""))</f>
        <v>0.1</v>
      </c>
      <c r="AD26">
        <f>IF('Input Scenarios'!AD26&lt;&gt;"", 'Input Scenarios'!AD26, Constants!$B$45)</f>
        <v>0.75</v>
      </c>
      <c r="AE26">
        <f>IF('Input Scenarios'!AE26&lt;&gt;"", 'Input Scenarios'!AE26, Constants!$B$46)</f>
        <v>0.2</v>
      </c>
      <c r="AF26">
        <f t="shared" si="39"/>
        <v>0</v>
      </c>
      <c r="AG26">
        <f t="shared" si="39"/>
        <v>0</v>
      </c>
      <c r="AH26">
        <f t="shared" si="39"/>
        <v>0</v>
      </c>
      <c r="AI26">
        <f t="shared" si="39"/>
        <v>0</v>
      </c>
      <c r="AJ26">
        <f t="shared" si="11"/>
        <v>1</v>
      </c>
      <c r="AK26">
        <f t="shared" si="22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31"/>
        <v>0.5948500000000001</v>
      </c>
      <c r="AQ26">
        <f t="shared" si="32"/>
        <v>0</v>
      </c>
      <c r="AR26">
        <f>IF(Y26="milkingCows", Constants!$P$2, Constants!$P$3)</f>
        <v>1</v>
      </c>
      <c r="AS26">
        <f t="shared" si="33"/>
        <v>9.0270202499999979</v>
      </c>
      <c r="AT26">
        <f t="shared" si="34"/>
        <v>1.0213029780639273</v>
      </c>
      <c r="AU26">
        <f>_xlfn.XLOOKUP(Y26, Constants!$B$13:$H$13, Constants!$B$14:$H$14, "")</f>
        <v>770</v>
      </c>
      <c r="AV26">
        <f t="shared" si="35"/>
        <v>0.77922077922077926</v>
      </c>
      <c r="AW26">
        <f>Constants!$B$55</f>
        <v>6.25</v>
      </c>
      <c r="AX26">
        <f t="shared" si="1"/>
        <v>1.2626203146474679E-3</v>
      </c>
      <c r="AY26">
        <f t="shared" si="2"/>
        <v>1.8054040499999997</v>
      </c>
      <c r="AZ26">
        <f t="shared" si="18"/>
        <v>0.28546836331241399</v>
      </c>
      <c r="BA26" t="str">
        <f>IF(ISNUMBER(FIND("PreWeaned",Y26)),_xlfn.XLOOKUP(Y26,Constants!$J$2:$J$3,Constants!$M$2:$M$3),"")</f>
        <v/>
      </c>
      <c r="BB26">
        <f t="shared" si="3"/>
        <v>20839.19052180622</v>
      </c>
      <c r="BC26">
        <f t="shared" si="4"/>
        <v>0</v>
      </c>
      <c r="BD26">
        <f t="shared" si="5"/>
        <v>0</v>
      </c>
      <c r="BE26">
        <f t="shared" si="6"/>
        <v>0</v>
      </c>
      <c r="BF26">
        <f t="shared" si="7"/>
        <v>0</v>
      </c>
      <c r="BG26">
        <f t="shared" si="8"/>
        <v>20839.19052180622</v>
      </c>
      <c r="BH26">
        <f t="shared" si="9"/>
        <v>0</v>
      </c>
      <c r="BI26">
        <f>Constants!$B$54</f>
        <v>0.02</v>
      </c>
      <c r="BJ26">
        <f>Constants!$B$53</f>
        <v>0.24</v>
      </c>
      <c r="BK26">
        <f t="shared" si="36"/>
        <v>0</v>
      </c>
      <c r="BL26">
        <f t="shared" si="37"/>
        <v>0</v>
      </c>
      <c r="BM26">
        <f>Constants!$B$52</f>
        <v>1.0999999999999999E-2</v>
      </c>
      <c r="BN26">
        <f>Constants!$B$50</f>
        <v>1.57</v>
      </c>
      <c r="BO26">
        <f t="shared" si="38"/>
        <v>0</v>
      </c>
    </row>
    <row r="27" spans="1:68" x14ac:dyDescent="0.2">
      <c r="A27" t="str">
        <f>'Input Scenarios'!A27</f>
        <v>NT</v>
      </c>
      <c r="B27">
        <f>'Input Scenarios'!B27</f>
        <v>0</v>
      </c>
      <c r="C27" t="str">
        <f>'Input Scenarios'!C27</f>
        <v>Irrigated pasture</v>
      </c>
      <c r="D27" t="str">
        <f>'Input Scenarios'!D27</f>
        <v>dry</v>
      </c>
      <c r="E27" t="b">
        <f>'Input Scenarios'!E27</f>
        <v>0</v>
      </c>
      <c r="F27" t="str">
        <f>'Input Scenarios'!F27</f>
        <v>Zero grazing</v>
      </c>
      <c r="G27">
        <f>IF('Input Scenarios'!G27&lt;&gt;"", 'Input Scenarios'!G27, _xlfn.XLOOKUP($F27, Constants!$M$6:$M$9,Constants!N$6:N$9))</f>
        <v>0</v>
      </c>
      <c r="H27">
        <f>IF('Input Scenarios'!H27&lt;&gt;"", 'Input Scenarios'!H27, _xlfn.XLOOKUP($F27, Constants!$M$6:$M$9,Constants!O$6:O$9))</f>
        <v>0.11</v>
      </c>
      <c r="I27">
        <f>IF('Input Scenarios'!I27&lt;&gt;"", 'Input Scenarios'!I27, _xlfn.XLOOKUP($F27, Constants!$M$6:$M$9,Constants!P$6:P$9))</f>
        <v>0.89</v>
      </c>
      <c r="J27">
        <f>'Input Scenarios'!J27</f>
        <v>0</v>
      </c>
      <c r="K27">
        <f>'Input Scenarios'!K27</f>
        <v>0.5</v>
      </c>
      <c r="L27">
        <f>'Input Scenarios'!L27</f>
        <v>0.5</v>
      </c>
      <c r="M27">
        <f>'Input Scenarios'!M27</f>
        <v>0</v>
      </c>
      <c r="N27">
        <f>'Input Scenarios'!N27</f>
        <v>0.5</v>
      </c>
      <c r="O27">
        <f>'Input Scenarios'!O27</f>
        <v>0</v>
      </c>
      <c r="P27">
        <f>'Input Scenarios'!P27</f>
        <v>0</v>
      </c>
      <c r="Q27">
        <f>'Input Scenarios'!Q27</f>
        <v>0.5</v>
      </c>
      <c r="R27" t="b">
        <f>'Input Scenarios'!R27</f>
        <v>0</v>
      </c>
      <c r="S27">
        <f>IF('Input Scenarios'!S27&lt;&gt;"", 'Input Scenarios'!S27, IF(R27, Constants!$B$38, 0))</f>
        <v>0</v>
      </c>
      <c r="T27" t="str">
        <f>IF('Input Scenarios'!T27&lt;&gt;"", 'Input Scenarios'!T27, "")</f>
        <v/>
      </c>
      <c r="U27">
        <f>IF('Input Scenarios'!U27&lt;&gt;"", 'Input Scenarios'!U27, IF(W27&lt;&gt;"", "", Constants!$B$39))</f>
        <v>4</v>
      </c>
      <c r="V27">
        <f>IF('Input Scenarios'!V27&lt;&gt;"", 'Input Scenarios'!V27, IF(W27&lt;&gt;"", "", Constants!$B$40))</f>
        <v>3.3</v>
      </c>
      <c r="W27" t="str">
        <f>IF('Input Scenarios'!W27&lt;&gt;"", 'Input Scenarios'!W27, "")</f>
        <v/>
      </c>
      <c r="X27" t="str">
        <f>'Input Scenarios'!X27</f>
        <v>Holstein-Friesian</v>
      </c>
      <c r="Y27" t="str">
        <f>'Input Scenarios'!Y27</f>
        <v>bullsLt1PreWeaned</v>
      </c>
      <c r="Z27">
        <f>'Input Scenarios'!Z27</f>
        <v>200</v>
      </c>
      <c r="AA27">
        <f>IF('Input Scenarios'!AA27&lt;&gt;"", 'Input Scenarios'!AA27, _xlfn.XLOOKUP(Y27,Constants!$J$6:$J$12,Constants!$K$6:$K$12))</f>
        <v>84</v>
      </c>
      <c r="AB27">
        <f>IF('Input Scenarios'!AB27&lt;&gt;"", 'Input Scenarios'!AB27, INDEX(Constants!$B$2:$H$11, MATCH(X27, Constants!$A$2:$A$11, 0), MATCH(Y27,Constants!$B$1:$H$1, 0)))</f>
        <v>225</v>
      </c>
      <c r="AC27" t="str">
        <f>IF('Input Scenarios'!AC27&lt;&gt;"", 'Input Scenarios'!AC27, _xlfn.XLOOKUP(Y27, Constants!$B$13:$H$13, Constants!$B$15:$H$15, ""))</f>
        <v/>
      </c>
      <c r="AD27">
        <f>IF('Input Scenarios'!AD27&lt;&gt;"", 'Input Scenarios'!AD27, Constants!$B$45)</f>
        <v>0.75</v>
      </c>
      <c r="AE27">
        <f>IF('Input Scenarios'!AE27&lt;&gt;"", 'Input Scenarios'!AE27, Constants!$B$46)</f>
        <v>0.2</v>
      </c>
      <c r="AF27">
        <f t="shared" si="39"/>
        <v>0</v>
      </c>
      <c r="AG27">
        <f t="shared" si="39"/>
        <v>0</v>
      </c>
      <c r="AH27">
        <f t="shared" si="39"/>
        <v>0</v>
      </c>
      <c r="AI27">
        <f t="shared" si="39"/>
        <v>0</v>
      </c>
      <c r="AJ27">
        <f t="shared" si="11"/>
        <v>1</v>
      </c>
      <c r="AK27">
        <f t="shared" si="22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31"/>
        <v>0.5948500000000001</v>
      </c>
      <c r="AQ27">
        <f t="shared" si="32"/>
        <v>0</v>
      </c>
      <c r="AR27">
        <f>IF(Y27="milkingCows", Constants!$P$2, Constants!$P$3)</f>
        <v>1</v>
      </c>
      <c r="AS27" t="str">
        <f t="shared" si="33"/>
        <v/>
      </c>
      <c r="AT27" t="str">
        <f t="shared" si="34"/>
        <v/>
      </c>
      <c r="AU27" t="str">
        <f>_xlfn.XLOOKUP(Y27, Constants!$B$13:$H$13, Constants!$B$14:$H$14, "")</f>
        <v/>
      </c>
      <c r="AV27" t="str">
        <f t="shared" si="35"/>
        <v/>
      </c>
      <c r="AW27">
        <f>Constants!$B$55</f>
        <v>6.25</v>
      </c>
      <c r="AX27" t="str">
        <f t="shared" si="1"/>
        <v/>
      </c>
      <c r="AY27" t="str">
        <f t="shared" si="2"/>
        <v/>
      </c>
      <c r="AZ27" t="str">
        <f t="shared" si="18"/>
        <v/>
      </c>
      <c r="BA27">
        <f>IF(ISNUMBER(FIND("PreWeaned",Y27)),_xlfn.XLOOKUP(Y27,Constants!$J$2:$J$3,Constants!$M$2:$M$3),"")</f>
        <v>9.1999999999999998E-3</v>
      </c>
      <c r="BB27">
        <f t="shared" si="3"/>
        <v>154.56</v>
      </c>
      <c r="BC27">
        <f t="shared" si="4"/>
        <v>0</v>
      </c>
      <c r="BD27">
        <f t="shared" si="5"/>
        <v>0</v>
      </c>
      <c r="BE27">
        <f t="shared" si="6"/>
        <v>0</v>
      </c>
      <c r="BF27">
        <f t="shared" si="7"/>
        <v>0</v>
      </c>
      <c r="BG27">
        <f t="shared" si="8"/>
        <v>154.56</v>
      </c>
      <c r="BH27">
        <f t="shared" si="9"/>
        <v>0</v>
      </c>
      <c r="BI27">
        <f>Constants!$B$54</f>
        <v>0.02</v>
      </c>
      <c r="BJ27">
        <f>Constants!$B$53</f>
        <v>0.24</v>
      </c>
      <c r="BK27">
        <f t="shared" si="36"/>
        <v>0</v>
      </c>
      <c r="BL27">
        <f t="shared" si="37"/>
        <v>0</v>
      </c>
      <c r="BM27">
        <f>Constants!$B$52</f>
        <v>1.0999999999999999E-2</v>
      </c>
      <c r="BN27">
        <f>Constants!$B$50</f>
        <v>1.57</v>
      </c>
      <c r="BO27">
        <f t="shared" si="38"/>
        <v>0</v>
      </c>
    </row>
    <row r="28" spans="1:68" s="16" customFormat="1" x14ac:dyDescent="0.2">
      <c r="A28" s="16" t="str">
        <f>'Input Scenarios'!A28</f>
        <v>NT</v>
      </c>
      <c r="B28" s="16">
        <f>'Input Scenarios'!B28</f>
        <v>0</v>
      </c>
      <c r="C28" s="16" t="str">
        <f>'Input Scenarios'!C28</f>
        <v>Irrigated pasture</v>
      </c>
      <c r="D28" s="16" t="str">
        <f>'Input Scenarios'!D28</f>
        <v>dry</v>
      </c>
      <c r="E28" s="16" t="b">
        <f>'Input Scenarios'!E28</f>
        <v>0</v>
      </c>
      <c r="F28" s="16" t="str">
        <f>'Input Scenarios'!F28</f>
        <v>Zero grazing</v>
      </c>
      <c r="G28" s="16">
        <f>IF('Input Scenarios'!G28&lt;&gt;"", 'Input Scenarios'!G28, _xlfn.XLOOKUP($F28, Constants!$M$6:$M$9,Constants!N$6:N$9))</f>
        <v>0</v>
      </c>
      <c r="H28" s="16">
        <f>IF('Input Scenarios'!H28&lt;&gt;"", 'Input Scenarios'!H28, _xlfn.XLOOKUP($F28, Constants!$M$6:$M$9,Constants!O$6:O$9))</f>
        <v>0.11</v>
      </c>
      <c r="I28" s="16">
        <f>IF('Input Scenarios'!I28&lt;&gt;"", 'Input Scenarios'!I28, _xlfn.XLOOKUP($F28, Constants!$M$6:$M$9,Constants!P$6:P$9))</f>
        <v>0.89</v>
      </c>
      <c r="J28" s="16">
        <f>'Input Scenarios'!J28</f>
        <v>0</v>
      </c>
      <c r="K28" s="16">
        <f>'Input Scenarios'!K28</f>
        <v>0.5</v>
      </c>
      <c r="L28" s="16">
        <f>'Input Scenarios'!L28</f>
        <v>0.5</v>
      </c>
      <c r="M28" s="16">
        <f>'Input Scenarios'!M28</f>
        <v>0</v>
      </c>
      <c r="N28" s="16">
        <f>'Input Scenarios'!N28</f>
        <v>0.5</v>
      </c>
      <c r="O28" s="16">
        <f>'Input Scenarios'!O28</f>
        <v>0</v>
      </c>
      <c r="P28" s="16">
        <f>'Input Scenarios'!P28</f>
        <v>0</v>
      </c>
      <c r="Q28" s="16">
        <f>'Input Scenarios'!Q28</f>
        <v>0.5</v>
      </c>
      <c r="R28" s="16" t="b">
        <f>'Input Scenarios'!R28</f>
        <v>0</v>
      </c>
      <c r="S28" s="16">
        <f>IF('Input Scenarios'!S28&lt;&gt;"", 'Input Scenarios'!S28, IF(R28, Constants!$B$38, 0))</f>
        <v>0</v>
      </c>
      <c r="T28" s="16" t="str">
        <f>IF('Input Scenarios'!T28&lt;&gt;"", 'Input Scenarios'!T28, "")</f>
        <v/>
      </c>
      <c r="U28" s="16">
        <f>IF('Input Scenarios'!U28&lt;&gt;"", 'Input Scenarios'!U28, IF(W28&lt;&gt;"", "", Constants!$B$39))</f>
        <v>4</v>
      </c>
      <c r="V28" s="16">
        <f>IF('Input Scenarios'!V28&lt;&gt;"", 'Input Scenarios'!V28, IF(W28&lt;&gt;"", "", Constants!$B$40))</f>
        <v>3.3</v>
      </c>
      <c r="W28" s="16" t="str">
        <f>IF('Input Scenarios'!W28&lt;&gt;"", 'Input Scenarios'!W28, "")</f>
        <v/>
      </c>
      <c r="X28" s="16" t="str">
        <f>'Input Scenarios'!X28</f>
        <v>Holstein-Friesian</v>
      </c>
      <c r="Y28" s="16" t="str">
        <f>'Input Scenarios'!Y28</f>
        <v>bullsLt1Weaned</v>
      </c>
      <c r="Z28" s="16">
        <f>'Input Scenarios'!Z28</f>
        <v>200</v>
      </c>
      <c r="AA28" s="16">
        <f>IF('Input Scenarios'!AA28&lt;&gt;"", 'Input Scenarios'!AA28, _xlfn.XLOOKUP(Y28,Constants!$J$6:$J$12,Constants!$K$6:$K$12))</f>
        <v>281</v>
      </c>
      <c r="AB28" s="16">
        <f>IF('Input Scenarios'!AB28&lt;&gt;"", 'Input Scenarios'!AB28, INDEX(Constants!$B$2:$H$11, MATCH(X28, Constants!$A$2:$A$11, 0), MATCH(Y28,Constants!$B$1:$H$1, 0)))</f>
        <v>225</v>
      </c>
      <c r="AC28" s="16">
        <f>IF('Input Scenarios'!AC28&lt;&gt;"", 'Input Scenarios'!AC28, _xlfn.XLOOKUP(Y28, Constants!$B$13:$H$13, Constants!$B$15:$H$15, ""))</f>
        <v>0.8</v>
      </c>
      <c r="AD28" s="16">
        <f>IF('Input Scenarios'!AD28&lt;&gt;"", 'Input Scenarios'!AD28, Constants!$B$45)</f>
        <v>0.75</v>
      </c>
      <c r="AE28" s="16">
        <f>IF('Input Scenarios'!AE28&lt;&gt;"", 'Input Scenarios'!AE28, Constants!$B$46)</f>
        <v>0.2</v>
      </c>
      <c r="AF28" s="16">
        <f t="shared" si="39"/>
        <v>0</v>
      </c>
      <c r="AG28" s="16">
        <f t="shared" si="39"/>
        <v>0</v>
      </c>
      <c r="AH28" s="16">
        <f t="shared" si="39"/>
        <v>0</v>
      </c>
      <c r="AI28" s="16">
        <f t="shared" si="39"/>
        <v>0</v>
      </c>
      <c r="AJ28" s="16">
        <f t="shared" si="11"/>
        <v>1</v>
      </c>
      <c r="AK28" s="16">
        <f t="shared" si="22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31"/>
        <v>0.5948500000000001</v>
      </c>
      <c r="AQ28" s="16">
        <f t="shared" si="32"/>
        <v>0</v>
      </c>
      <c r="AR28" s="16">
        <f>IF(Y28="milkingCows", Constants!$P$2, Constants!$P$3)</f>
        <v>1</v>
      </c>
      <c r="AS28" s="16">
        <f t="shared" si="33"/>
        <v>5.4143472656250013</v>
      </c>
      <c r="AT28" s="16">
        <f t="shared" si="34"/>
        <v>1.2576570545672616</v>
      </c>
      <c r="AU28" s="16">
        <f>_xlfn.XLOOKUP(Y28, Constants!$B$13:$H$13, Constants!$B$14:$H$14, "")</f>
        <v>770</v>
      </c>
      <c r="AV28" s="16">
        <f t="shared" si="35"/>
        <v>0.29220779220779219</v>
      </c>
      <c r="AW28" s="16">
        <f>Constants!$B$55</f>
        <v>6.25</v>
      </c>
      <c r="AX28" s="16">
        <f t="shared" si="1"/>
        <v>1.9757354894894084E-2</v>
      </c>
      <c r="AY28" s="16">
        <f t="shared" si="2"/>
        <v>1.0828694531250003</v>
      </c>
      <c r="AZ28" s="16">
        <f t="shared" si="18"/>
        <v>0.15247929000170721</v>
      </c>
      <c r="BA28" s="16" t="str">
        <f>IF(ISNUMBER(FIND("PreWeaned",Y28)),_xlfn.XLOOKUP(Y28,Constants!$J$2:$J$3,Constants!$M$2:$M$3),"")</f>
        <v/>
      </c>
      <c r="BB28" s="16">
        <f t="shared" si="3"/>
        <v>8569.336098095946</v>
      </c>
      <c r="BC28" s="16">
        <f t="shared" si="4"/>
        <v>0</v>
      </c>
      <c r="BD28" s="16">
        <f t="shared" si="5"/>
        <v>0</v>
      </c>
      <c r="BE28" s="16">
        <f t="shared" si="6"/>
        <v>0</v>
      </c>
      <c r="BF28" s="16">
        <f t="shared" si="7"/>
        <v>0</v>
      </c>
      <c r="BG28" s="16">
        <f t="shared" si="8"/>
        <v>8569.336098095946</v>
      </c>
      <c r="BH28" s="16">
        <f t="shared" si="9"/>
        <v>0</v>
      </c>
      <c r="BI28" s="16">
        <f>Constants!$B$54</f>
        <v>0.02</v>
      </c>
      <c r="BJ28" s="16">
        <f>Constants!$B$53</f>
        <v>0.24</v>
      </c>
      <c r="BK28" s="16">
        <f t="shared" si="36"/>
        <v>0</v>
      </c>
      <c r="BL28" s="16">
        <f t="shared" si="37"/>
        <v>0</v>
      </c>
      <c r="BM28" s="16">
        <f>Constants!$B$52</f>
        <v>1.0999999999999999E-2</v>
      </c>
      <c r="BN28" s="16">
        <f>Constants!$B$50</f>
        <v>1.57</v>
      </c>
      <c r="BO28" s="16">
        <f t="shared" si="38"/>
        <v>0</v>
      </c>
    </row>
    <row r="29" spans="1:68" x14ac:dyDescent="0.2">
      <c r="A29" t="str">
        <f>'Input Scenarios'!A29</f>
        <v>TAS</v>
      </c>
      <c r="B29">
        <f>'Input Scenarios'!B29</f>
        <v>0</v>
      </c>
      <c r="C29" t="str">
        <f>'Input Scenarios'!C29</f>
        <v>Irrigated crop</v>
      </c>
      <c r="D29" t="str">
        <f>'Input Scenarios'!D29</f>
        <v>dry</v>
      </c>
      <c r="E29" t="b">
        <f>'Input Scenarios'!E29</f>
        <v>1</v>
      </c>
      <c r="F29" t="str">
        <f>'Input Scenarios'!F29</f>
        <v>Grazed only</v>
      </c>
      <c r="G29">
        <f>IF('Input Scenarios'!G29&lt;&gt;"", 'Input Scenarios'!G29, _xlfn.XLOOKUP($F29, Constants!$M$6:$M$9,Constants!N$6:N$9))</f>
        <v>0.89</v>
      </c>
      <c r="H29">
        <f>IF('Input Scenarios'!H29&lt;&gt;"", 'Input Scenarios'!H29, _xlfn.XLOOKUP($F29, Constants!$M$6:$M$9,Constants!O$6:O$9))</f>
        <v>0.11</v>
      </c>
      <c r="I29">
        <f>IF('Input Scenarios'!I29&lt;&gt;"", 'Input Scenarios'!I29, _xlfn.XLOOKUP($F29, Constants!$M$6:$M$9,Constants!P$6:P$9))</f>
        <v>0</v>
      </c>
      <c r="J29">
        <f>'Input Scenarios'!J29</f>
        <v>0.1</v>
      </c>
      <c r="K29">
        <f>'Input Scenarios'!K29</f>
        <v>0.2</v>
      </c>
      <c r="L29">
        <f>'Input Scenarios'!L29</f>
        <v>0.3</v>
      </c>
      <c r="M29">
        <f>'Input Scenarios'!M29</f>
        <v>0.4</v>
      </c>
      <c r="N29">
        <f>'Input Scenarios'!N29</f>
        <v>0.4</v>
      </c>
      <c r="O29">
        <f>'Input Scenarios'!O29</f>
        <v>0.3</v>
      </c>
      <c r="P29">
        <f>'Input Scenarios'!P29</f>
        <v>0.2</v>
      </c>
      <c r="Q29">
        <f>'Input Scenarios'!Q29</f>
        <v>0.1</v>
      </c>
      <c r="R29" t="b">
        <f>'Input Scenarios'!R29</f>
        <v>0</v>
      </c>
      <c r="S29">
        <f>IF('Input Scenarios'!S29&lt;&gt;"", 'Input Scenarios'!S29, IF(R29, Constants!$B$38, 0))</f>
        <v>0</v>
      </c>
      <c r="T29" t="str">
        <f>IF('Input Scenarios'!T29&lt;&gt;"", 'Input Scenarios'!T29, "")</f>
        <v/>
      </c>
      <c r="U29" t="str">
        <f>IF('Input Scenarios'!U29&lt;&gt;"", 'Input Scenarios'!U29, IF(W29&lt;&gt;"", "", Constants!$B$39))</f>
        <v/>
      </c>
      <c r="V29" t="str">
        <f>IF('Input Scenarios'!V29&lt;&gt;"", 'Input Scenarios'!V29, IF(W29&lt;&gt;"", "", Constants!$B$40))</f>
        <v/>
      </c>
      <c r="W29">
        <f>IF('Input Scenarios'!W29&lt;&gt;"", 'Input Scenarios'!W29, "")</f>
        <v>20</v>
      </c>
      <c r="X29" t="str">
        <f>'Input Scenarios'!X29</f>
        <v>Friesian crossbred</v>
      </c>
      <c r="Y29" t="str">
        <f>'Input Scenarios'!Y29</f>
        <v>milkingCows</v>
      </c>
      <c r="Z29">
        <f>'Input Scenarios'!Z29</f>
        <v>200</v>
      </c>
      <c r="AA29">
        <f>IF('Input Scenarios'!AA29&lt;&gt;"", 'Input Scenarios'!AA29, _xlfn.XLOOKUP(Y29,Constants!$J$6:$J$12,Constants!$K$6:$K$12))</f>
        <v>365</v>
      </c>
      <c r="AB29">
        <f>IF('Input Scenarios'!AB29&lt;&gt;"", 'Input Scenarios'!AB29, INDEX(Constants!$B$2:$H$11, MATCH(X29, Constants!$A$2:$A$11, 0), MATCH(Y29,Constants!$B$1:$H$1, 0)))</f>
        <v>500</v>
      </c>
      <c r="AC29">
        <f>IF('Input Scenarios'!AC29&lt;&gt;"", 'Input Scenarios'!AC29, _xlfn.XLOOKUP(Y29, Constants!$B$13:$H$13, Constants!$B$15:$H$15, ""))</f>
        <v>1.6E-2</v>
      </c>
      <c r="AD29">
        <f>IF('Input Scenarios'!AD29&lt;&gt;"", 'Input Scenarios'!AD29, Constants!$B$45)</f>
        <v>0.75</v>
      </c>
      <c r="AE29">
        <f>IF('Input Scenarios'!AE29&lt;&gt;"", 'Input Scenarios'!AE29, Constants!$B$46)</f>
        <v>0.2</v>
      </c>
      <c r="AF29" s="20">
        <f t="shared" si="39"/>
        <v>1.1000000000000001E-2</v>
      </c>
      <c r="AG29" s="20">
        <f t="shared" si="39"/>
        <v>2.2000000000000002E-2</v>
      </c>
      <c r="AH29" s="20">
        <f t="shared" si="39"/>
        <v>3.3000000000000002E-2</v>
      </c>
      <c r="AI29" s="20">
        <f t="shared" si="39"/>
        <v>4.4000000000000004E-2</v>
      </c>
      <c r="AJ29" s="20">
        <f t="shared" si="11"/>
        <v>0.89</v>
      </c>
      <c r="AK29">
        <f t="shared" si="22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31"/>
        <v>0.5948500000000001</v>
      </c>
      <c r="AQ29">
        <f t="shared" si="32"/>
        <v>9.5798721636071917</v>
      </c>
      <c r="AR29">
        <f>IF(Y29="milkingCows", Constants!$P$2, Constants!$P$3)</f>
        <v>1.1000000000000001</v>
      </c>
      <c r="AS29">
        <f t="shared" si="33"/>
        <v>18.265829445367196</v>
      </c>
      <c r="AT29">
        <f t="shared" si="34"/>
        <v>1.0017071727165394</v>
      </c>
      <c r="AU29">
        <f>_xlfn.XLOOKUP(Y29, Constants!$B$13:$H$13, Constants!$B$14:$H$14, "")</f>
        <v>590</v>
      </c>
      <c r="AV29">
        <f t="shared" si="35"/>
        <v>0.84745762711864403</v>
      </c>
      <c r="AW29">
        <f>Constants!$B$55</f>
        <v>6.25</v>
      </c>
      <c r="AX29" s="20">
        <f t="shared" si="1"/>
        <v>0.10351472280849285</v>
      </c>
      <c r="AY29">
        <f t="shared" si="2"/>
        <v>3.6531658890734393</v>
      </c>
      <c r="AZ29">
        <f t="shared" si="18"/>
        <v>0.47913084601960204</v>
      </c>
      <c r="BA29" t="str">
        <f>IF(ISNUMBER(FIND("PreWeaned",Y29)),_xlfn.XLOOKUP(Y29,Constants!$J$2:$J$3,Constants!$M$2:$M$3),"")</f>
        <v/>
      </c>
      <c r="BB29">
        <f t="shared" si="3"/>
        <v>34976.551759430949</v>
      </c>
      <c r="BC29">
        <f t="shared" si="4"/>
        <v>384.74206935374048</v>
      </c>
      <c r="BD29">
        <f t="shared" si="5"/>
        <v>769.48413870748095</v>
      </c>
      <c r="BE29">
        <f t="shared" si="6"/>
        <v>1154.2262080612213</v>
      </c>
      <c r="BF29">
        <f t="shared" si="7"/>
        <v>1538.9682774149619</v>
      </c>
      <c r="BG29">
        <f t="shared" si="8"/>
        <v>31129.131065893547</v>
      </c>
      <c r="BH29">
        <f t="shared" si="9"/>
        <v>1</v>
      </c>
      <c r="BI29">
        <f>Constants!$B$54</f>
        <v>0.02</v>
      </c>
      <c r="BJ29">
        <f>Constants!$B$53</f>
        <v>0.24</v>
      </c>
      <c r="BK29">
        <f t="shared" si="36"/>
        <v>30.779365548299239</v>
      </c>
      <c r="BL29">
        <f t="shared" si="37"/>
        <v>7470.991455814451</v>
      </c>
      <c r="BM29">
        <f>Constants!$B$52</f>
        <v>1.0999999999999999E-2</v>
      </c>
      <c r="BN29">
        <f>Constants!$B$50</f>
        <v>1.57</v>
      </c>
      <c r="BO29">
        <f t="shared" si="38"/>
        <v>129.55558208493468</v>
      </c>
      <c r="BP29">
        <f>SUM(BO29:BO35)/1000</f>
        <v>0.34271165839013679</v>
      </c>
    </row>
    <row r="30" spans="1:68" x14ac:dyDescent="0.2">
      <c r="A30" t="str">
        <f>'Input Scenarios'!A30</f>
        <v>TAS</v>
      </c>
      <c r="B30">
        <f>'Input Scenarios'!B30</f>
        <v>0</v>
      </c>
      <c r="C30" t="str">
        <f>'Input Scenarios'!C30</f>
        <v>Irrigated crop</v>
      </c>
      <c r="D30" t="str">
        <f>'Input Scenarios'!D30</f>
        <v>dry</v>
      </c>
      <c r="E30" t="b">
        <f>'Input Scenarios'!E30</f>
        <v>1</v>
      </c>
      <c r="F30" t="str">
        <f>'Input Scenarios'!F30</f>
        <v>Grazed only</v>
      </c>
      <c r="G30">
        <f>IF('Input Scenarios'!G30&lt;&gt;"", 'Input Scenarios'!G30, _xlfn.XLOOKUP($F30, Constants!$M$6:$M$9,Constants!N$6:N$9))</f>
        <v>0.89</v>
      </c>
      <c r="H30">
        <f>IF('Input Scenarios'!H30&lt;&gt;"", 'Input Scenarios'!H30, _xlfn.XLOOKUP($F30, Constants!$M$6:$M$9,Constants!O$6:O$9))</f>
        <v>0.11</v>
      </c>
      <c r="I30">
        <f>IF('Input Scenarios'!I30&lt;&gt;"", 'Input Scenarios'!I30, _xlfn.XLOOKUP($F30, Constants!$M$6:$M$9,Constants!P$6:P$9))</f>
        <v>0</v>
      </c>
      <c r="J30">
        <f>'Input Scenarios'!J30</f>
        <v>0.1</v>
      </c>
      <c r="K30">
        <f>'Input Scenarios'!K30</f>
        <v>0.2</v>
      </c>
      <c r="L30">
        <f>'Input Scenarios'!L30</f>
        <v>0.3</v>
      </c>
      <c r="M30">
        <f>'Input Scenarios'!M30</f>
        <v>0.4</v>
      </c>
      <c r="N30">
        <f>'Input Scenarios'!N30</f>
        <v>0.4</v>
      </c>
      <c r="O30">
        <f>'Input Scenarios'!O30</f>
        <v>0.3</v>
      </c>
      <c r="P30">
        <f>'Input Scenarios'!P30</f>
        <v>0.2</v>
      </c>
      <c r="Q30">
        <f>'Input Scenarios'!Q30</f>
        <v>0.1</v>
      </c>
      <c r="R30" t="b">
        <f>'Input Scenarios'!R30</f>
        <v>0</v>
      </c>
      <c r="S30">
        <f>IF('Input Scenarios'!S30&lt;&gt;"", 'Input Scenarios'!S30, IF(R30, Constants!$B$38, 0))</f>
        <v>0</v>
      </c>
      <c r="T30" t="str">
        <f>IF('Input Scenarios'!T30&lt;&gt;"", 'Input Scenarios'!T30, "")</f>
        <v/>
      </c>
      <c r="U30">
        <f>IF('Input Scenarios'!U30&lt;&gt;"", 'Input Scenarios'!U30, IF(W30&lt;&gt;"", "", Constants!$B$39))</f>
        <v>4</v>
      </c>
      <c r="V30">
        <f>IF('Input Scenarios'!V30&lt;&gt;"", 'Input Scenarios'!V30, IF(W30&lt;&gt;"", "", Constants!$B$40))</f>
        <v>3.3</v>
      </c>
      <c r="W30" t="str">
        <f>IF('Input Scenarios'!W30&lt;&gt;"", 'Input Scenarios'!W30, "")</f>
        <v/>
      </c>
      <c r="X30" t="str">
        <f>'Input Scenarios'!X30</f>
        <v>Friesian crossbred</v>
      </c>
      <c r="Y30" t="str">
        <f>'Input Scenarios'!Y30</f>
        <v>heifersGt1</v>
      </c>
      <c r="Z30">
        <f>'Input Scenarios'!Z30</f>
        <v>200</v>
      </c>
      <c r="AA30">
        <f>IF('Input Scenarios'!AA30&lt;&gt;"", 'Input Scenarios'!AA30, _xlfn.XLOOKUP(Y30,Constants!$J$6:$J$12,Constants!$K$6:$K$12))</f>
        <v>365</v>
      </c>
      <c r="AB30">
        <f>IF('Input Scenarios'!AB30&lt;&gt;"", 'Input Scenarios'!AB30, INDEX(Constants!$B$2:$H$11, MATCH(X30, Constants!$A$2:$A$11, 0), MATCH(Y30,Constants!$B$1:$H$1, 0)))</f>
        <v>350</v>
      </c>
      <c r="AC30">
        <f>IF('Input Scenarios'!AC30&lt;&gt;"", 'Input Scenarios'!AC30, _xlfn.XLOOKUP(Y30, Constants!$B$13:$H$13, Constants!$B$15:$H$15, ""))</f>
        <v>0.6</v>
      </c>
      <c r="AD30">
        <f>IF('Input Scenarios'!AD30&lt;&gt;"", 'Input Scenarios'!AD30, Constants!$B$45)</f>
        <v>0.75</v>
      </c>
      <c r="AE30">
        <f>IF('Input Scenarios'!AE30&lt;&gt;"", 'Input Scenarios'!AE30, Constants!$B$46)</f>
        <v>0.2</v>
      </c>
      <c r="AF30">
        <f t="shared" si="39"/>
        <v>0</v>
      </c>
      <c r="AG30">
        <f t="shared" si="39"/>
        <v>0</v>
      </c>
      <c r="AH30">
        <f t="shared" si="39"/>
        <v>0</v>
      </c>
      <c r="AI30">
        <f t="shared" si="39"/>
        <v>0</v>
      </c>
      <c r="AJ30">
        <f t="shared" si="11"/>
        <v>1</v>
      </c>
      <c r="AK30">
        <f t="shared" si="22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31"/>
        <v>0.5948500000000001</v>
      </c>
      <c r="AQ30">
        <f t="shared" si="32"/>
        <v>0</v>
      </c>
      <c r="AR30">
        <f>IF(Y30="milkingCows", Constants!$P$2, Constants!$P$3)</f>
        <v>1</v>
      </c>
      <c r="AS30">
        <f t="shared" si="33"/>
        <v>6.9933802499999995</v>
      </c>
      <c r="AT30">
        <f t="shared" si="34"/>
        <v>1.1598645256363516</v>
      </c>
      <c r="AU30">
        <f>_xlfn.XLOOKUP(Y30, Constants!$B$13:$H$13, Constants!$B$14:$H$14, "")</f>
        <v>590</v>
      </c>
      <c r="AV30">
        <f t="shared" si="35"/>
        <v>0.59322033898305082</v>
      </c>
      <c r="AW30">
        <f>Constants!$B$55</f>
        <v>6.25</v>
      </c>
      <c r="AX30">
        <f t="shared" si="1"/>
        <v>9.4533842373449011E-3</v>
      </c>
      <c r="AY30">
        <f t="shared" si="2"/>
        <v>1.3986760499999999</v>
      </c>
      <c r="AZ30">
        <f t="shared" si="18"/>
        <v>0.21291060763723293</v>
      </c>
      <c r="BA30" t="str">
        <f>IF(ISNUMBER(FIND("PreWeaned",Y30)),_xlfn.XLOOKUP(Y30,Constants!$J$2:$J$3,Constants!$M$2:$M$3),"")</f>
        <v/>
      </c>
      <c r="BB30">
        <f t="shared" si="3"/>
        <v>15542.474357518005</v>
      </c>
      <c r="BC30">
        <f t="shared" si="4"/>
        <v>0</v>
      </c>
      <c r="BD30">
        <f t="shared" si="5"/>
        <v>0</v>
      </c>
      <c r="BE30">
        <f t="shared" si="6"/>
        <v>0</v>
      </c>
      <c r="BF30">
        <f t="shared" si="7"/>
        <v>0</v>
      </c>
      <c r="BG30">
        <f t="shared" si="8"/>
        <v>15542.474357518005</v>
      </c>
      <c r="BH30">
        <f t="shared" si="9"/>
        <v>1</v>
      </c>
      <c r="BI30">
        <f>Constants!$B$54</f>
        <v>0.02</v>
      </c>
      <c r="BJ30">
        <f>Constants!$B$53</f>
        <v>0.24</v>
      </c>
      <c r="BK30">
        <f t="shared" si="36"/>
        <v>0</v>
      </c>
      <c r="BL30">
        <f t="shared" si="37"/>
        <v>3730.193845804321</v>
      </c>
      <c r="BM30">
        <f>Constants!$B$52</f>
        <v>1.0999999999999999E-2</v>
      </c>
      <c r="BN30">
        <f>Constants!$B$50</f>
        <v>1.57</v>
      </c>
      <c r="BO30">
        <f t="shared" si="38"/>
        <v>64.420447717040616</v>
      </c>
    </row>
    <row r="31" spans="1:68" x14ac:dyDescent="0.2">
      <c r="A31" t="str">
        <f>'Input Scenarios'!A31</f>
        <v>TAS</v>
      </c>
      <c r="B31">
        <f>'Input Scenarios'!B31</f>
        <v>0</v>
      </c>
      <c r="C31" t="str">
        <f>'Input Scenarios'!C31</f>
        <v>Irrigated crop</v>
      </c>
      <c r="D31" t="str">
        <f>'Input Scenarios'!D31</f>
        <v>dry</v>
      </c>
      <c r="E31" t="b">
        <f>'Input Scenarios'!E31</f>
        <v>1</v>
      </c>
      <c r="F31" t="str">
        <f>'Input Scenarios'!F31</f>
        <v>Grazed only</v>
      </c>
      <c r="G31">
        <f>IF('Input Scenarios'!G31&lt;&gt;"", 'Input Scenarios'!G31, _xlfn.XLOOKUP($F31, Constants!$M$6:$M$9,Constants!N$6:N$9))</f>
        <v>0.89</v>
      </c>
      <c r="H31">
        <f>IF('Input Scenarios'!H31&lt;&gt;"", 'Input Scenarios'!H31, _xlfn.XLOOKUP($F31, Constants!$M$6:$M$9,Constants!O$6:O$9))</f>
        <v>0.11</v>
      </c>
      <c r="I31">
        <f>IF('Input Scenarios'!I31&lt;&gt;"", 'Input Scenarios'!I31, _xlfn.XLOOKUP($F31, Constants!$M$6:$M$9,Constants!P$6:P$9))</f>
        <v>0</v>
      </c>
      <c r="J31">
        <f>'Input Scenarios'!J31</f>
        <v>0.1</v>
      </c>
      <c r="K31">
        <f>'Input Scenarios'!K31</f>
        <v>0.2</v>
      </c>
      <c r="L31">
        <f>'Input Scenarios'!L31</f>
        <v>0.3</v>
      </c>
      <c r="M31">
        <f>'Input Scenarios'!M31</f>
        <v>0.4</v>
      </c>
      <c r="N31">
        <f>'Input Scenarios'!N31</f>
        <v>0.4</v>
      </c>
      <c r="O31">
        <f>'Input Scenarios'!O31</f>
        <v>0.3</v>
      </c>
      <c r="P31">
        <f>'Input Scenarios'!P31</f>
        <v>0.2</v>
      </c>
      <c r="Q31">
        <f>'Input Scenarios'!Q31</f>
        <v>0.1</v>
      </c>
      <c r="R31" t="b">
        <f>'Input Scenarios'!R31</f>
        <v>0</v>
      </c>
      <c r="S31">
        <f>IF('Input Scenarios'!S31&lt;&gt;"", 'Input Scenarios'!S31, IF(R31, Constants!$B$38, 0))</f>
        <v>0</v>
      </c>
      <c r="T31" t="str">
        <f>IF('Input Scenarios'!T31&lt;&gt;"", 'Input Scenarios'!T31, "")</f>
        <v/>
      </c>
      <c r="U31">
        <f>IF('Input Scenarios'!U31&lt;&gt;"", 'Input Scenarios'!U31, IF(W31&lt;&gt;"", "", Constants!$B$39))</f>
        <v>4</v>
      </c>
      <c r="V31">
        <f>IF('Input Scenarios'!V31&lt;&gt;"", 'Input Scenarios'!V31, IF(W31&lt;&gt;"", "", Constants!$B$40))</f>
        <v>3.3</v>
      </c>
      <c r="W31" t="str">
        <f>IF('Input Scenarios'!W31&lt;&gt;"", 'Input Scenarios'!W31, "")</f>
        <v/>
      </c>
      <c r="X31" t="str">
        <f>'Input Scenarios'!X31</f>
        <v>Friesian crossbred</v>
      </c>
      <c r="Y31" t="str">
        <f>'Input Scenarios'!Y31</f>
        <v>heifersLt1PreWeaned</v>
      </c>
      <c r="Z31">
        <f>'Input Scenarios'!Z31</f>
        <v>200</v>
      </c>
      <c r="AA31">
        <f>IF('Input Scenarios'!AA31&lt;&gt;"", 'Input Scenarios'!AA31, _xlfn.XLOOKUP(Y31,Constants!$J$6:$J$12,Constants!$K$6:$K$12))</f>
        <v>84</v>
      </c>
      <c r="AB31">
        <f>IF('Input Scenarios'!AB31&lt;&gt;"", 'Input Scenarios'!AB31, INDEX(Constants!$B$2:$H$11, MATCH(X31, Constants!$A$2:$A$11, 0), MATCH(Y31,Constants!$B$1:$H$1, 0)))</f>
        <v>145</v>
      </c>
      <c r="AC31" t="str">
        <f>IF('Input Scenarios'!AC31&lt;&gt;"", 'Input Scenarios'!AC31, _xlfn.XLOOKUP(Y31, Constants!$B$13:$H$13, Constants!$B$15:$H$15, ""))</f>
        <v/>
      </c>
      <c r="AD31">
        <f>IF('Input Scenarios'!AD31&lt;&gt;"", 'Input Scenarios'!AD31, Constants!$B$45)</f>
        <v>0.75</v>
      </c>
      <c r="AE31">
        <f>IF('Input Scenarios'!AE31&lt;&gt;"", 'Input Scenarios'!AE31, Constants!$B$46)</f>
        <v>0.2</v>
      </c>
      <c r="AF31">
        <f t="shared" si="39"/>
        <v>0</v>
      </c>
      <c r="AG31">
        <f t="shared" si="39"/>
        <v>0</v>
      </c>
      <c r="AH31">
        <f t="shared" si="39"/>
        <v>0</v>
      </c>
      <c r="AI31">
        <f t="shared" si="39"/>
        <v>0</v>
      </c>
      <c r="AJ31">
        <f t="shared" si="11"/>
        <v>1</v>
      </c>
      <c r="AK31">
        <f t="shared" si="22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31"/>
        <v>0.5948500000000001</v>
      </c>
      <c r="AQ31">
        <f t="shared" si="32"/>
        <v>0</v>
      </c>
      <c r="AR31">
        <f>IF(Y31="milkingCows", Constants!$P$2, Constants!$P$3)</f>
        <v>1</v>
      </c>
      <c r="AS31" t="str">
        <f t="shared" si="33"/>
        <v/>
      </c>
      <c r="AT31" t="str">
        <f t="shared" si="34"/>
        <v/>
      </c>
      <c r="AU31" t="str">
        <f>_xlfn.XLOOKUP(Y31, Constants!$B$13:$H$13, Constants!$B$14:$H$14, "")</f>
        <v/>
      </c>
      <c r="AV31" t="str">
        <f t="shared" si="35"/>
        <v/>
      </c>
      <c r="AW31">
        <f>Constants!$B$55</f>
        <v>6.25</v>
      </c>
      <c r="AX31" t="str">
        <f t="shared" si="1"/>
        <v/>
      </c>
      <c r="AY31" t="str">
        <f t="shared" si="2"/>
        <v/>
      </c>
      <c r="AZ31" t="str">
        <f t="shared" si="18"/>
        <v/>
      </c>
      <c r="BA31">
        <f>IF(ISNUMBER(FIND("PreWeaned",Y31)),_xlfn.XLOOKUP(Y31,Constants!$J$2:$J$3,Constants!$M$2:$M$3),"")</f>
        <v>1.37E-2</v>
      </c>
      <c r="BB31">
        <f t="shared" si="3"/>
        <v>230.16000000000003</v>
      </c>
      <c r="BC31">
        <f t="shared" si="4"/>
        <v>0</v>
      </c>
      <c r="BD31">
        <f t="shared" si="5"/>
        <v>0</v>
      </c>
      <c r="BE31">
        <f t="shared" si="6"/>
        <v>0</v>
      </c>
      <c r="BF31">
        <f t="shared" si="7"/>
        <v>0</v>
      </c>
      <c r="BG31">
        <f t="shared" si="8"/>
        <v>230.16000000000003</v>
      </c>
      <c r="BH31">
        <f t="shared" si="9"/>
        <v>1</v>
      </c>
      <c r="BI31">
        <f>Constants!$B$54</f>
        <v>0.02</v>
      </c>
      <c r="BJ31">
        <f>Constants!$B$53</f>
        <v>0.24</v>
      </c>
      <c r="BK31">
        <f t="shared" si="36"/>
        <v>0</v>
      </c>
      <c r="BL31">
        <f t="shared" si="37"/>
        <v>55.238400000000006</v>
      </c>
      <c r="BM31">
        <f>Constants!$B$52</f>
        <v>1.0999999999999999E-2</v>
      </c>
      <c r="BN31">
        <f>Constants!$B$50</f>
        <v>1.57</v>
      </c>
      <c r="BO31">
        <f t="shared" si="38"/>
        <v>0.95396716800000003</v>
      </c>
    </row>
    <row r="32" spans="1:68" x14ac:dyDescent="0.2">
      <c r="A32" t="str">
        <f>'Input Scenarios'!A32</f>
        <v>TAS</v>
      </c>
      <c r="B32">
        <f>'Input Scenarios'!B32</f>
        <v>0</v>
      </c>
      <c r="C32" t="str">
        <f>'Input Scenarios'!C32</f>
        <v>Irrigated crop</v>
      </c>
      <c r="D32" t="str">
        <f>'Input Scenarios'!D32</f>
        <v>dry</v>
      </c>
      <c r="E32" t="b">
        <f>'Input Scenarios'!E32</f>
        <v>1</v>
      </c>
      <c r="F32" t="str">
        <f>'Input Scenarios'!F32</f>
        <v>Grazed only</v>
      </c>
      <c r="G32">
        <f>IF('Input Scenarios'!G32&lt;&gt;"", 'Input Scenarios'!G32, _xlfn.XLOOKUP($F32, Constants!$M$6:$M$9,Constants!N$6:N$9))</f>
        <v>0.89</v>
      </c>
      <c r="H32">
        <f>IF('Input Scenarios'!H32&lt;&gt;"", 'Input Scenarios'!H32, _xlfn.XLOOKUP($F32, Constants!$M$6:$M$9,Constants!O$6:O$9))</f>
        <v>0.11</v>
      </c>
      <c r="I32">
        <f>IF('Input Scenarios'!I32&lt;&gt;"", 'Input Scenarios'!I32, _xlfn.XLOOKUP($F32, Constants!$M$6:$M$9,Constants!P$6:P$9))</f>
        <v>0</v>
      </c>
      <c r="J32">
        <f>'Input Scenarios'!J32</f>
        <v>0.1</v>
      </c>
      <c r="K32">
        <f>'Input Scenarios'!K32</f>
        <v>0.2</v>
      </c>
      <c r="L32">
        <f>'Input Scenarios'!L32</f>
        <v>0.3</v>
      </c>
      <c r="M32">
        <f>'Input Scenarios'!M32</f>
        <v>0.4</v>
      </c>
      <c r="N32">
        <f>'Input Scenarios'!N32</f>
        <v>0.4</v>
      </c>
      <c r="O32">
        <f>'Input Scenarios'!O32</f>
        <v>0.3</v>
      </c>
      <c r="P32">
        <f>'Input Scenarios'!P32</f>
        <v>0.2</v>
      </c>
      <c r="Q32">
        <f>'Input Scenarios'!Q32</f>
        <v>0.1</v>
      </c>
      <c r="R32" t="b">
        <f>'Input Scenarios'!R32</f>
        <v>0</v>
      </c>
      <c r="S32">
        <f>IF('Input Scenarios'!S32&lt;&gt;"", 'Input Scenarios'!S32, IF(R32, Constants!$B$38, 0))</f>
        <v>0</v>
      </c>
      <c r="T32" t="str">
        <f>IF('Input Scenarios'!T32&lt;&gt;"", 'Input Scenarios'!T32, "")</f>
        <v/>
      </c>
      <c r="U32">
        <f>IF('Input Scenarios'!U32&lt;&gt;"", 'Input Scenarios'!U32, IF(W32&lt;&gt;"", "", Constants!$B$39))</f>
        <v>4</v>
      </c>
      <c r="V32">
        <f>IF('Input Scenarios'!V32&lt;&gt;"", 'Input Scenarios'!V32, IF(W32&lt;&gt;"", "", Constants!$B$40))</f>
        <v>3.3</v>
      </c>
      <c r="W32" t="str">
        <f>IF('Input Scenarios'!W32&lt;&gt;"", 'Input Scenarios'!W32, "")</f>
        <v/>
      </c>
      <c r="X32" t="str">
        <f>'Input Scenarios'!X32</f>
        <v>Friesian crossbred</v>
      </c>
      <c r="Y32" t="str">
        <f>'Input Scenarios'!Y32</f>
        <v>heifersLt1Weaned</v>
      </c>
      <c r="Z32">
        <f>'Input Scenarios'!Z32</f>
        <v>200</v>
      </c>
      <c r="AA32">
        <f>IF('Input Scenarios'!AA32&lt;&gt;"", 'Input Scenarios'!AA32, _xlfn.XLOOKUP(Y32,Constants!$J$6:$J$12,Constants!$K$6:$K$12))</f>
        <v>281</v>
      </c>
      <c r="AB32">
        <f>IF('Input Scenarios'!AB32&lt;&gt;"", 'Input Scenarios'!AB32, INDEX(Constants!$B$2:$H$11, MATCH(X32, Constants!$A$2:$A$11, 0), MATCH(Y32,Constants!$B$1:$H$1, 0)))</f>
        <v>145</v>
      </c>
      <c r="AC32">
        <f>IF('Input Scenarios'!AC32&lt;&gt;"", 'Input Scenarios'!AC32, _xlfn.XLOOKUP(Y32, Constants!$B$13:$H$13, Constants!$B$15:$H$15, ""))</f>
        <v>0.56999999999999995</v>
      </c>
      <c r="AD32">
        <f>IF('Input Scenarios'!AD32&lt;&gt;"", 'Input Scenarios'!AD32, Constants!$B$45)</f>
        <v>0.75</v>
      </c>
      <c r="AE32">
        <f>IF('Input Scenarios'!AE32&lt;&gt;"", 'Input Scenarios'!AE32, Constants!$B$46)</f>
        <v>0.2</v>
      </c>
      <c r="AF32">
        <f t="shared" si="39"/>
        <v>0</v>
      </c>
      <c r="AG32">
        <f t="shared" si="39"/>
        <v>0</v>
      </c>
      <c r="AH32">
        <f t="shared" si="39"/>
        <v>0</v>
      </c>
      <c r="AI32">
        <f t="shared" si="39"/>
        <v>0</v>
      </c>
      <c r="AJ32">
        <f t="shared" si="11"/>
        <v>1</v>
      </c>
      <c r="AK32">
        <f t="shared" si="22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31"/>
        <v>0.5948500000000001</v>
      </c>
      <c r="AQ32">
        <f t="shared" si="32"/>
        <v>0</v>
      </c>
      <c r="AR32">
        <f>IF(Y32="milkingCows", Constants!$P$2, Constants!$P$3)</f>
        <v>1</v>
      </c>
      <c r="AS32">
        <f t="shared" si="33"/>
        <v>3.8737521942250002</v>
      </c>
      <c r="AT32">
        <f t="shared" si="34"/>
        <v>1.2108445342325853</v>
      </c>
      <c r="AU32">
        <f>_xlfn.XLOOKUP(Y32, Constants!$B$13:$H$13, Constants!$B$14:$H$14, "")</f>
        <v>590</v>
      </c>
      <c r="AV32">
        <f t="shared" si="35"/>
        <v>0.24576271186440679</v>
      </c>
      <c r="AW32">
        <f>Constants!$B$55</f>
        <v>6.25</v>
      </c>
      <c r="AX32">
        <f t="shared" si="1"/>
        <v>1.4832686313540533E-2</v>
      </c>
      <c r="AY32">
        <f t="shared" si="2"/>
        <v>0.77475043884500006</v>
      </c>
      <c r="AZ32">
        <f t="shared" si="18"/>
        <v>0.10839195842696786</v>
      </c>
      <c r="BA32" t="str">
        <f>IF(ISNUMBER(FIND("PreWeaned",Y32)),_xlfn.XLOOKUP(Y32,Constants!$J$2:$J$3,Constants!$M$2:$M$3),"")</f>
        <v/>
      </c>
      <c r="BB32">
        <f t="shared" si="3"/>
        <v>6091.6280635955936</v>
      </c>
      <c r="BC32">
        <f t="shared" si="4"/>
        <v>0</v>
      </c>
      <c r="BD32">
        <f t="shared" si="5"/>
        <v>0</v>
      </c>
      <c r="BE32">
        <f t="shared" si="6"/>
        <v>0</v>
      </c>
      <c r="BF32">
        <f t="shared" si="7"/>
        <v>0</v>
      </c>
      <c r="BG32">
        <f t="shared" si="8"/>
        <v>6091.6280635955936</v>
      </c>
      <c r="BH32">
        <f t="shared" si="9"/>
        <v>1</v>
      </c>
      <c r="BI32">
        <f>Constants!$B$54</f>
        <v>0.02</v>
      </c>
      <c r="BJ32">
        <f>Constants!$B$53</f>
        <v>0.24</v>
      </c>
      <c r="BK32">
        <f t="shared" si="36"/>
        <v>0</v>
      </c>
      <c r="BL32">
        <f t="shared" si="37"/>
        <v>1461.9907352629425</v>
      </c>
      <c r="BM32">
        <f>Constants!$B$52</f>
        <v>1.0999999999999999E-2</v>
      </c>
      <c r="BN32">
        <f>Constants!$B$50</f>
        <v>1.57</v>
      </c>
      <c r="BO32">
        <f t="shared" si="38"/>
        <v>25.248579997991015</v>
      </c>
    </row>
    <row r="33" spans="1:68" x14ac:dyDescent="0.2">
      <c r="A33" t="str">
        <f>'Input Scenarios'!A33</f>
        <v>TAS</v>
      </c>
      <c r="B33">
        <f>'Input Scenarios'!B33</f>
        <v>0</v>
      </c>
      <c r="C33" t="str">
        <f>'Input Scenarios'!C33</f>
        <v>Irrigated crop</v>
      </c>
      <c r="D33" t="str">
        <f>'Input Scenarios'!D33</f>
        <v>dry</v>
      </c>
      <c r="E33" t="b">
        <f>'Input Scenarios'!E33</f>
        <v>1</v>
      </c>
      <c r="F33" t="str">
        <f>'Input Scenarios'!F33</f>
        <v>Grazed only</v>
      </c>
      <c r="G33">
        <f>IF('Input Scenarios'!G33&lt;&gt;"", 'Input Scenarios'!G33, _xlfn.XLOOKUP($F33, Constants!$M$6:$M$9,Constants!N$6:N$9))</f>
        <v>0.89</v>
      </c>
      <c r="H33">
        <f>IF('Input Scenarios'!H33&lt;&gt;"", 'Input Scenarios'!H33, _xlfn.XLOOKUP($F33, Constants!$M$6:$M$9,Constants!O$6:O$9))</f>
        <v>0.11</v>
      </c>
      <c r="I33">
        <f>IF('Input Scenarios'!I33&lt;&gt;"", 'Input Scenarios'!I33, _xlfn.XLOOKUP($F33, Constants!$M$6:$M$9,Constants!P$6:P$9))</f>
        <v>0</v>
      </c>
      <c r="J33">
        <f>'Input Scenarios'!J33</f>
        <v>0.1</v>
      </c>
      <c r="K33">
        <f>'Input Scenarios'!K33</f>
        <v>0.2</v>
      </c>
      <c r="L33">
        <f>'Input Scenarios'!L33</f>
        <v>0.3</v>
      </c>
      <c r="M33">
        <f>'Input Scenarios'!M33</f>
        <v>0.4</v>
      </c>
      <c r="N33">
        <f>'Input Scenarios'!N33</f>
        <v>0.4</v>
      </c>
      <c r="O33">
        <f>'Input Scenarios'!O33</f>
        <v>0.3</v>
      </c>
      <c r="P33">
        <f>'Input Scenarios'!P33</f>
        <v>0.2</v>
      </c>
      <c r="Q33">
        <f>'Input Scenarios'!Q33</f>
        <v>0.1</v>
      </c>
      <c r="R33" t="b">
        <f>'Input Scenarios'!R33</f>
        <v>0</v>
      </c>
      <c r="S33">
        <f>IF('Input Scenarios'!S33&lt;&gt;"", 'Input Scenarios'!S33, IF(R33, Constants!$B$38, 0))</f>
        <v>0</v>
      </c>
      <c r="T33" t="str">
        <f>IF('Input Scenarios'!T33&lt;&gt;"", 'Input Scenarios'!T33, "")</f>
        <v/>
      </c>
      <c r="U33">
        <f>IF('Input Scenarios'!U33&lt;&gt;"", 'Input Scenarios'!U33, IF(W33&lt;&gt;"", "", Constants!$B$39))</f>
        <v>4</v>
      </c>
      <c r="V33">
        <f>IF('Input Scenarios'!V33&lt;&gt;"", 'Input Scenarios'!V33, IF(W33&lt;&gt;"", "", Constants!$B$40))</f>
        <v>3.3</v>
      </c>
      <c r="W33" t="str">
        <f>IF('Input Scenarios'!W33&lt;&gt;"", 'Input Scenarios'!W33, "")</f>
        <v/>
      </c>
      <c r="X33" t="str">
        <f>'Input Scenarios'!X33</f>
        <v>Friesian crossbred</v>
      </c>
      <c r="Y33" t="str">
        <f>'Input Scenarios'!Y33</f>
        <v>bullsGt1</v>
      </c>
      <c r="Z33">
        <f>'Input Scenarios'!Z33</f>
        <v>200</v>
      </c>
      <c r="AA33">
        <f>IF('Input Scenarios'!AA33&lt;&gt;"", 'Input Scenarios'!AA33, _xlfn.XLOOKUP(Y33,Constants!$J$6:$J$12,Constants!$K$6:$K$12))</f>
        <v>365</v>
      </c>
      <c r="AB33">
        <f>IF('Input Scenarios'!AB33&lt;&gt;"", 'Input Scenarios'!AB33, INDEX(Constants!$B$2:$H$11, MATCH(X33, Constants!$A$2:$A$11, 0), MATCH(Y33,Constants!$B$1:$H$1, 0)))</f>
        <v>600</v>
      </c>
      <c r="AC33">
        <f>IF('Input Scenarios'!AC33&lt;&gt;"", 'Input Scenarios'!AC33, _xlfn.XLOOKUP(Y33, Constants!$B$13:$H$13, Constants!$B$15:$H$15, ""))</f>
        <v>0.1</v>
      </c>
      <c r="AD33">
        <f>IF('Input Scenarios'!AD33&lt;&gt;"", 'Input Scenarios'!AD33, Constants!$B$45)</f>
        <v>0.75</v>
      </c>
      <c r="AE33">
        <f>IF('Input Scenarios'!AE33&lt;&gt;"", 'Input Scenarios'!AE33, Constants!$B$46)</f>
        <v>0.2</v>
      </c>
      <c r="AF33">
        <f t="shared" si="39"/>
        <v>0</v>
      </c>
      <c r="AG33">
        <f t="shared" si="39"/>
        <v>0</v>
      </c>
      <c r="AH33">
        <f t="shared" si="39"/>
        <v>0</v>
      </c>
      <c r="AI33">
        <f t="shared" si="39"/>
        <v>0</v>
      </c>
      <c r="AJ33">
        <f t="shared" si="11"/>
        <v>1</v>
      </c>
      <c r="AK33">
        <f t="shared" si="22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31"/>
        <v>0.5948500000000001</v>
      </c>
      <c r="AQ33">
        <f t="shared" si="32"/>
        <v>0</v>
      </c>
      <c r="AR33">
        <f>IF(Y33="milkingCows", Constants!$P$2, Constants!$P$3)</f>
        <v>1</v>
      </c>
      <c r="AS33">
        <f t="shared" si="33"/>
        <v>9.0270202499999979</v>
      </c>
      <c r="AT33">
        <f t="shared" si="34"/>
        <v>1.0213029780639273</v>
      </c>
      <c r="AU33">
        <f>_xlfn.XLOOKUP(Y33, Constants!$B$13:$H$13, Constants!$B$14:$H$14, "")</f>
        <v>770</v>
      </c>
      <c r="AV33">
        <f t="shared" si="35"/>
        <v>0.77922077922077926</v>
      </c>
      <c r="AW33">
        <f>Constants!$B$55</f>
        <v>6.25</v>
      </c>
      <c r="AX33">
        <f t="shared" si="1"/>
        <v>1.2626203146474679E-3</v>
      </c>
      <c r="AY33">
        <f t="shared" si="2"/>
        <v>1.8054040499999997</v>
      </c>
      <c r="AZ33">
        <f t="shared" si="18"/>
        <v>0.28546836331241399</v>
      </c>
      <c r="BA33" t="str">
        <f>IF(ISNUMBER(FIND("PreWeaned",Y33)),_xlfn.XLOOKUP(Y33,Constants!$J$2:$J$3,Constants!$M$2:$M$3),"")</f>
        <v/>
      </c>
      <c r="BB33">
        <f t="shared" si="3"/>
        <v>20839.19052180622</v>
      </c>
      <c r="BC33">
        <f t="shared" si="4"/>
        <v>0</v>
      </c>
      <c r="BD33">
        <f t="shared" si="5"/>
        <v>0</v>
      </c>
      <c r="BE33">
        <f t="shared" si="6"/>
        <v>0</v>
      </c>
      <c r="BF33">
        <f t="shared" si="7"/>
        <v>0</v>
      </c>
      <c r="BG33">
        <f t="shared" si="8"/>
        <v>20839.19052180622</v>
      </c>
      <c r="BH33">
        <f t="shared" si="9"/>
        <v>1</v>
      </c>
      <c r="BI33">
        <f>Constants!$B$54</f>
        <v>0.02</v>
      </c>
      <c r="BJ33">
        <f>Constants!$B$53</f>
        <v>0.24</v>
      </c>
      <c r="BK33">
        <f t="shared" si="36"/>
        <v>0</v>
      </c>
      <c r="BL33">
        <f t="shared" si="37"/>
        <v>5001.4057252334924</v>
      </c>
      <c r="BM33">
        <f>Constants!$B$52</f>
        <v>1.0999999999999999E-2</v>
      </c>
      <c r="BN33">
        <f>Constants!$B$50</f>
        <v>1.57</v>
      </c>
      <c r="BO33">
        <f t="shared" si="38"/>
        <v>86.37427687478241</v>
      </c>
    </row>
    <row r="34" spans="1:68" x14ac:dyDescent="0.2">
      <c r="A34" t="str">
        <f>'Input Scenarios'!A34</f>
        <v>TAS</v>
      </c>
      <c r="B34">
        <f>'Input Scenarios'!B34</f>
        <v>0</v>
      </c>
      <c r="C34" t="str">
        <f>'Input Scenarios'!C34</f>
        <v>Irrigated crop</v>
      </c>
      <c r="D34" t="str">
        <f>'Input Scenarios'!D34</f>
        <v>dry</v>
      </c>
      <c r="E34" t="b">
        <f>'Input Scenarios'!E34</f>
        <v>1</v>
      </c>
      <c r="F34" t="str">
        <f>'Input Scenarios'!F34</f>
        <v>Grazed only</v>
      </c>
      <c r="G34">
        <f>IF('Input Scenarios'!G34&lt;&gt;"", 'Input Scenarios'!G34, _xlfn.XLOOKUP($F34, Constants!$M$6:$M$9,Constants!N$6:N$9))</f>
        <v>0.89</v>
      </c>
      <c r="H34">
        <f>IF('Input Scenarios'!H34&lt;&gt;"", 'Input Scenarios'!H34, _xlfn.XLOOKUP($F34, Constants!$M$6:$M$9,Constants!O$6:O$9))</f>
        <v>0.11</v>
      </c>
      <c r="I34">
        <f>IF('Input Scenarios'!I34&lt;&gt;"", 'Input Scenarios'!I34, _xlfn.XLOOKUP($F34, Constants!$M$6:$M$9,Constants!P$6:P$9))</f>
        <v>0</v>
      </c>
      <c r="J34">
        <f>'Input Scenarios'!J34</f>
        <v>0.1</v>
      </c>
      <c r="K34">
        <f>'Input Scenarios'!K34</f>
        <v>0.2</v>
      </c>
      <c r="L34">
        <f>'Input Scenarios'!L34</f>
        <v>0.3</v>
      </c>
      <c r="M34">
        <f>'Input Scenarios'!M34</f>
        <v>0.4</v>
      </c>
      <c r="N34">
        <f>'Input Scenarios'!N34</f>
        <v>0.4</v>
      </c>
      <c r="O34">
        <f>'Input Scenarios'!O34</f>
        <v>0.3</v>
      </c>
      <c r="P34">
        <f>'Input Scenarios'!P34</f>
        <v>0.2</v>
      </c>
      <c r="Q34">
        <f>'Input Scenarios'!Q34</f>
        <v>0.1</v>
      </c>
      <c r="R34" t="b">
        <f>'Input Scenarios'!R34</f>
        <v>0</v>
      </c>
      <c r="S34">
        <f>IF('Input Scenarios'!S34&lt;&gt;"", 'Input Scenarios'!S34, IF(R34, Constants!$B$38, 0))</f>
        <v>0</v>
      </c>
      <c r="T34" t="str">
        <f>IF('Input Scenarios'!T34&lt;&gt;"", 'Input Scenarios'!T34, "")</f>
        <v/>
      </c>
      <c r="U34">
        <f>IF('Input Scenarios'!U34&lt;&gt;"", 'Input Scenarios'!U34, IF(W34&lt;&gt;"", "", Constants!$B$39))</f>
        <v>4</v>
      </c>
      <c r="V34">
        <f>IF('Input Scenarios'!V34&lt;&gt;"", 'Input Scenarios'!V34, IF(W34&lt;&gt;"", "", Constants!$B$40))</f>
        <v>3.3</v>
      </c>
      <c r="W34" t="str">
        <f>IF('Input Scenarios'!W34&lt;&gt;"", 'Input Scenarios'!W34, "")</f>
        <v/>
      </c>
      <c r="X34" t="str">
        <f>'Input Scenarios'!X34</f>
        <v>Friesian crossbred</v>
      </c>
      <c r="Y34" t="str">
        <f>'Input Scenarios'!Y34</f>
        <v>bullsLt1PreWeaned</v>
      </c>
      <c r="Z34">
        <f>'Input Scenarios'!Z34</f>
        <v>200</v>
      </c>
      <c r="AA34">
        <f>IF('Input Scenarios'!AA34&lt;&gt;"", 'Input Scenarios'!AA34, _xlfn.XLOOKUP(Y34,Constants!$J$6:$J$12,Constants!$K$6:$K$12))</f>
        <v>84</v>
      </c>
      <c r="AB34">
        <f>IF('Input Scenarios'!AB34&lt;&gt;"", 'Input Scenarios'!AB34, INDEX(Constants!$B$2:$H$11, MATCH(X34, Constants!$A$2:$A$11, 0), MATCH(Y34,Constants!$B$1:$H$1, 0)))</f>
        <v>225</v>
      </c>
      <c r="AC34" t="str">
        <f>IF('Input Scenarios'!AC34&lt;&gt;"", 'Input Scenarios'!AC34, _xlfn.XLOOKUP(Y34, Constants!$B$13:$H$13, Constants!$B$15:$H$15, ""))</f>
        <v/>
      </c>
      <c r="AD34">
        <f>IF('Input Scenarios'!AD34&lt;&gt;"", 'Input Scenarios'!AD34, Constants!$B$45)</f>
        <v>0.75</v>
      </c>
      <c r="AE34">
        <f>IF('Input Scenarios'!AE34&lt;&gt;"", 'Input Scenarios'!AE34, Constants!$B$46)</f>
        <v>0.2</v>
      </c>
      <c r="AF34">
        <f t="shared" si="39"/>
        <v>0</v>
      </c>
      <c r="AG34">
        <f t="shared" si="39"/>
        <v>0</v>
      </c>
      <c r="AH34">
        <f t="shared" si="39"/>
        <v>0</v>
      </c>
      <c r="AI34">
        <f t="shared" si="39"/>
        <v>0</v>
      </c>
      <c r="AJ34">
        <f t="shared" si="11"/>
        <v>1</v>
      </c>
      <c r="AK34">
        <f t="shared" si="22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31"/>
        <v>0.5948500000000001</v>
      </c>
      <c r="AQ34">
        <f t="shared" si="32"/>
        <v>0</v>
      </c>
      <c r="AR34">
        <f>IF(Y34="milkingCows", Constants!$P$2, Constants!$P$3)</f>
        <v>1</v>
      </c>
      <c r="AS34" t="str">
        <f t="shared" si="33"/>
        <v/>
      </c>
      <c r="AT34" t="str">
        <f t="shared" si="34"/>
        <v/>
      </c>
      <c r="AU34" t="str">
        <f>_xlfn.XLOOKUP(Y34, Constants!$B$13:$H$13, Constants!$B$14:$H$14, "")</f>
        <v/>
      </c>
      <c r="AV34" t="str">
        <f t="shared" si="35"/>
        <v/>
      </c>
      <c r="AW34">
        <f>Constants!$B$55</f>
        <v>6.25</v>
      </c>
      <c r="AX34" t="str">
        <f t="shared" si="1"/>
        <v/>
      </c>
      <c r="AY34" t="str">
        <f t="shared" si="2"/>
        <v/>
      </c>
      <c r="AZ34" t="str">
        <f t="shared" si="18"/>
        <v/>
      </c>
      <c r="BA34">
        <f>IF(ISNUMBER(FIND("PreWeaned",Y34)),_xlfn.XLOOKUP(Y34,Constants!$J$2:$J$3,Constants!$M$2:$M$3),"")</f>
        <v>9.1999999999999998E-3</v>
      </c>
      <c r="BB34">
        <f t="shared" si="3"/>
        <v>154.56</v>
      </c>
      <c r="BC34">
        <f t="shared" si="4"/>
        <v>0</v>
      </c>
      <c r="BD34">
        <f t="shared" si="5"/>
        <v>0</v>
      </c>
      <c r="BE34">
        <f t="shared" si="6"/>
        <v>0</v>
      </c>
      <c r="BF34">
        <f t="shared" si="7"/>
        <v>0</v>
      </c>
      <c r="BG34">
        <f t="shared" si="8"/>
        <v>154.56</v>
      </c>
      <c r="BH34">
        <f t="shared" si="9"/>
        <v>1</v>
      </c>
      <c r="BI34">
        <f>Constants!$B$54</f>
        <v>0.02</v>
      </c>
      <c r="BJ34">
        <f>Constants!$B$53</f>
        <v>0.24</v>
      </c>
      <c r="BK34">
        <f t="shared" si="36"/>
        <v>0</v>
      </c>
      <c r="BL34">
        <f t="shared" si="37"/>
        <v>37.0944</v>
      </c>
      <c r="BM34">
        <f>Constants!$B$52</f>
        <v>1.0999999999999999E-2</v>
      </c>
      <c r="BN34">
        <f>Constants!$B$50</f>
        <v>1.57</v>
      </c>
      <c r="BO34">
        <f t="shared" si="38"/>
        <v>0.64062028799999993</v>
      </c>
    </row>
    <row r="35" spans="1:68" s="16" customFormat="1" x14ac:dyDescent="0.2">
      <c r="A35" s="16" t="str">
        <f>'Input Scenarios'!A35</f>
        <v>TAS</v>
      </c>
      <c r="B35" s="16">
        <f>'Input Scenarios'!B35</f>
        <v>0</v>
      </c>
      <c r="C35" s="16" t="str">
        <f>'Input Scenarios'!C35</f>
        <v>Irrigated crop</v>
      </c>
      <c r="D35" s="16" t="str">
        <f>'Input Scenarios'!D35</f>
        <v>dry</v>
      </c>
      <c r="E35" s="16" t="b">
        <f>'Input Scenarios'!E35</f>
        <v>1</v>
      </c>
      <c r="F35" s="16" t="str">
        <f>'Input Scenarios'!F35</f>
        <v>Grazed only</v>
      </c>
      <c r="G35" s="16">
        <f>IF('Input Scenarios'!G35&lt;&gt;"", 'Input Scenarios'!G35, _xlfn.XLOOKUP($F35, Constants!$M$6:$M$9,Constants!N$6:N$9))</f>
        <v>0.89</v>
      </c>
      <c r="H35" s="16">
        <f>IF('Input Scenarios'!H35&lt;&gt;"", 'Input Scenarios'!H35, _xlfn.XLOOKUP($F35, Constants!$M$6:$M$9,Constants!O$6:O$9))</f>
        <v>0.11</v>
      </c>
      <c r="I35" s="16">
        <f>IF('Input Scenarios'!I35&lt;&gt;"", 'Input Scenarios'!I35, _xlfn.XLOOKUP($F35, Constants!$M$6:$M$9,Constants!P$6:P$9))</f>
        <v>0</v>
      </c>
      <c r="J35" s="16">
        <f>'Input Scenarios'!J35</f>
        <v>0.1</v>
      </c>
      <c r="K35" s="16">
        <f>'Input Scenarios'!K35</f>
        <v>0.2</v>
      </c>
      <c r="L35" s="16">
        <f>'Input Scenarios'!L35</f>
        <v>0.3</v>
      </c>
      <c r="M35" s="16">
        <f>'Input Scenarios'!M35</f>
        <v>0.4</v>
      </c>
      <c r="N35" s="16">
        <f>'Input Scenarios'!N35</f>
        <v>0.4</v>
      </c>
      <c r="O35" s="16">
        <f>'Input Scenarios'!O35</f>
        <v>0.3</v>
      </c>
      <c r="P35" s="16">
        <f>'Input Scenarios'!P35</f>
        <v>0.2</v>
      </c>
      <c r="Q35" s="16">
        <f>'Input Scenarios'!Q35</f>
        <v>0.1</v>
      </c>
      <c r="R35" s="16" t="b">
        <f>'Input Scenarios'!R35</f>
        <v>0</v>
      </c>
      <c r="S35" s="16">
        <f>IF('Input Scenarios'!S35&lt;&gt;"", 'Input Scenarios'!S35, IF(R35, Constants!$B$38, 0))</f>
        <v>0</v>
      </c>
      <c r="T35" s="16" t="str">
        <f>IF('Input Scenarios'!T35&lt;&gt;"", 'Input Scenarios'!T35, "")</f>
        <v/>
      </c>
      <c r="U35" s="16">
        <f>IF('Input Scenarios'!U35&lt;&gt;"", 'Input Scenarios'!U35, IF(W35&lt;&gt;"", "", Constants!$B$39))</f>
        <v>4</v>
      </c>
      <c r="V35" s="16">
        <f>IF('Input Scenarios'!V35&lt;&gt;"", 'Input Scenarios'!V35, IF(W35&lt;&gt;"", "", Constants!$B$40))</f>
        <v>3.3</v>
      </c>
      <c r="W35" s="16" t="str">
        <f>IF('Input Scenarios'!W35&lt;&gt;"", 'Input Scenarios'!W35, "")</f>
        <v/>
      </c>
      <c r="X35" s="16" t="str">
        <f>'Input Scenarios'!X35</f>
        <v>Friesian crossbred</v>
      </c>
      <c r="Y35" s="16" t="str">
        <f>'Input Scenarios'!Y35</f>
        <v>bullsLt1Weaned</v>
      </c>
      <c r="Z35" s="16">
        <f>'Input Scenarios'!Z35</f>
        <v>200</v>
      </c>
      <c r="AA35" s="16">
        <f>IF('Input Scenarios'!AA35&lt;&gt;"", 'Input Scenarios'!AA35, _xlfn.XLOOKUP(Y35,Constants!$J$6:$J$12,Constants!$K$6:$K$12))</f>
        <v>281</v>
      </c>
      <c r="AB35" s="16">
        <f>IF('Input Scenarios'!AB35&lt;&gt;"", 'Input Scenarios'!AB35, INDEX(Constants!$B$2:$H$11, MATCH(X35, Constants!$A$2:$A$11, 0), MATCH(Y35,Constants!$B$1:$H$1, 0)))</f>
        <v>225</v>
      </c>
      <c r="AC35" s="16">
        <f>IF('Input Scenarios'!AC35&lt;&gt;"", 'Input Scenarios'!AC35, _xlfn.XLOOKUP(Y35, Constants!$B$13:$H$13, Constants!$B$15:$H$15, ""))</f>
        <v>0.8</v>
      </c>
      <c r="AD35" s="16">
        <f>IF('Input Scenarios'!AD35&lt;&gt;"", 'Input Scenarios'!AD35, Constants!$B$45)</f>
        <v>0.75</v>
      </c>
      <c r="AE35" s="16">
        <f>IF('Input Scenarios'!AE35&lt;&gt;"", 'Input Scenarios'!AE35, Constants!$B$46)</f>
        <v>0.2</v>
      </c>
      <c r="AF35" s="16">
        <f t="shared" si="39"/>
        <v>0</v>
      </c>
      <c r="AG35" s="16">
        <f t="shared" si="39"/>
        <v>0</v>
      </c>
      <c r="AH35" s="16">
        <f t="shared" si="39"/>
        <v>0</v>
      </c>
      <c r="AI35" s="16">
        <f t="shared" si="39"/>
        <v>0</v>
      </c>
      <c r="AJ35" s="16">
        <f t="shared" si="11"/>
        <v>1</v>
      </c>
      <c r="AK35" s="16">
        <f t="shared" si="22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31"/>
        <v>0.5948500000000001</v>
      </c>
      <c r="AQ35" s="16">
        <f t="shared" si="32"/>
        <v>0</v>
      </c>
      <c r="AR35" s="16">
        <f>IF(Y35="milkingCows", Constants!$P$2, Constants!$P$3)</f>
        <v>1</v>
      </c>
      <c r="AS35" s="16">
        <f t="shared" si="33"/>
        <v>5.4143472656250013</v>
      </c>
      <c r="AT35" s="16">
        <f t="shared" si="34"/>
        <v>1.2576570545672616</v>
      </c>
      <c r="AU35" s="16">
        <f>_xlfn.XLOOKUP(Y35, Constants!$B$13:$H$13, Constants!$B$14:$H$14, "")</f>
        <v>770</v>
      </c>
      <c r="AV35" s="16">
        <f t="shared" si="35"/>
        <v>0.29220779220779219</v>
      </c>
      <c r="AW35" s="16">
        <f>Constants!$B$55</f>
        <v>6.25</v>
      </c>
      <c r="AX35" s="16">
        <f t="shared" si="1"/>
        <v>1.9757354894894084E-2</v>
      </c>
      <c r="AY35" s="16">
        <f t="shared" si="2"/>
        <v>1.0828694531250003</v>
      </c>
      <c r="AZ35" s="16">
        <f t="shared" si="18"/>
        <v>0.15247929000170721</v>
      </c>
      <c r="BA35" s="16" t="str">
        <f>IF(ISNUMBER(FIND("PreWeaned",Y35)),_xlfn.XLOOKUP(Y35,Constants!$J$2:$J$3,Constants!$M$2:$M$3),"")</f>
        <v/>
      </c>
      <c r="BB35" s="16">
        <f t="shared" si="3"/>
        <v>8569.336098095946</v>
      </c>
      <c r="BC35" s="16">
        <f t="shared" si="4"/>
        <v>0</v>
      </c>
      <c r="BD35" s="16">
        <f t="shared" si="5"/>
        <v>0</v>
      </c>
      <c r="BE35" s="16">
        <f t="shared" si="6"/>
        <v>0</v>
      </c>
      <c r="BF35" s="16">
        <f t="shared" si="7"/>
        <v>0</v>
      </c>
      <c r="BG35" s="16">
        <f t="shared" si="8"/>
        <v>8569.336098095946</v>
      </c>
      <c r="BH35" s="16">
        <f t="shared" si="9"/>
        <v>1</v>
      </c>
      <c r="BI35" s="16">
        <f>Constants!$B$54</f>
        <v>0.02</v>
      </c>
      <c r="BJ35" s="16">
        <f>Constants!$B$53</f>
        <v>0.24</v>
      </c>
      <c r="BK35" s="16">
        <f t="shared" si="36"/>
        <v>0</v>
      </c>
      <c r="BL35" s="16">
        <f t="shared" si="37"/>
        <v>2056.6406635430271</v>
      </c>
      <c r="BM35" s="16">
        <f>Constants!$B$52</f>
        <v>1.0999999999999999E-2</v>
      </c>
      <c r="BN35" s="16">
        <f>Constants!$B$50</f>
        <v>1.57</v>
      </c>
      <c r="BO35" s="16">
        <f t="shared" si="38"/>
        <v>35.518184259388079</v>
      </c>
    </row>
    <row r="36" spans="1:68" x14ac:dyDescent="0.2">
      <c r="A36" t="str">
        <f>'Input Scenarios'!A36</f>
        <v>VIC</v>
      </c>
      <c r="B36">
        <f>'Input Scenarios'!B36</f>
        <v>0</v>
      </c>
      <c r="C36" t="str">
        <f>'Input Scenarios'!C36</f>
        <v>Non-irrigated pasture</v>
      </c>
      <c r="D36" t="str">
        <f>'Input Scenarios'!D36</f>
        <v>wet</v>
      </c>
      <c r="E36" t="b">
        <f>'Input Scenarios'!E36</f>
        <v>0</v>
      </c>
      <c r="F36" t="str">
        <f>'Input Scenarios'!F36</f>
        <v>Limited grazing</v>
      </c>
      <c r="G36">
        <f>IF('Input Scenarios'!G36&lt;&gt;"", 'Input Scenarios'!G36, _xlfn.XLOOKUP($F36, Constants!$M$6:$M$9,Constants!N$6:N$9))</f>
        <v>0.53400000000000003</v>
      </c>
      <c r="H36">
        <f>IF('Input Scenarios'!H36&lt;&gt;"", 'Input Scenarios'!H36, _xlfn.XLOOKUP($F36, Constants!$M$6:$M$9,Constants!O$6:O$9))</f>
        <v>0.11</v>
      </c>
      <c r="I36">
        <f>IF('Input Scenarios'!I36&lt;&gt;"", 'Input Scenarios'!I36, _xlfn.XLOOKUP($F36, Constants!$M$6:$M$9,Constants!P$6:P$9))</f>
        <v>0.35599999999999998</v>
      </c>
      <c r="J36">
        <f>'Input Scenarios'!J36</f>
        <v>0.25</v>
      </c>
      <c r="K36">
        <f>'Input Scenarios'!K36</f>
        <v>0.25</v>
      </c>
      <c r="L36">
        <f>'Input Scenarios'!L36</f>
        <v>0.25</v>
      </c>
      <c r="M36">
        <f>'Input Scenarios'!M36</f>
        <v>0.25</v>
      </c>
      <c r="N36">
        <f>'Input Scenarios'!N36</f>
        <v>0.25</v>
      </c>
      <c r="O36">
        <f>'Input Scenarios'!O36</f>
        <v>0.25</v>
      </c>
      <c r="P36">
        <f>'Input Scenarios'!P36</f>
        <v>0.25</v>
      </c>
      <c r="Q36">
        <f>'Input Scenarios'!Q36</f>
        <v>0.25</v>
      </c>
      <c r="R36" t="b">
        <f>'Input Scenarios'!R36</f>
        <v>1</v>
      </c>
      <c r="S36">
        <f>IF('Input Scenarios'!S36&lt;&gt;"", 'Input Scenarios'!S36, IF(R36, Constants!$B$38, 0))</f>
        <v>0.2</v>
      </c>
      <c r="T36" t="str">
        <f>IF('Input Scenarios'!T36&lt;&gt;"", 'Input Scenarios'!T36, "")</f>
        <v/>
      </c>
      <c r="U36" t="str">
        <f>IF('Input Scenarios'!U36&lt;&gt;"", 'Input Scenarios'!U36, IF(W36&lt;&gt;"", "", Constants!$B$39))</f>
        <v/>
      </c>
      <c r="V36" t="str">
        <f>IF('Input Scenarios'!V36&lt;&gt;"", 'Input Scenarios'!V36, IF(W36&lt;&gt;"", "", Constants!$B$40))</f>
        <v/>
      </c>
      <c r="W36">
        <f>IF('Input Scenarios'!W36&lt;&gt;"", 'Input Scenarios'!W36, "")</f>
        <v>30</v>
      </c>
      <c r="X36" t="str">
        <f>'Input Scenarios'!X36</f>
        <v>Jersey</v>
      </c>
      <c r="Y36" t="str">
        <f>'Input Scenarios'!Y36</f>
        <v>milkingCows</v>
      </c>
      <c r="Z36">
        <f>'Input Scenarios'!Z36</f>
        <v>200</v>
      </c>
      <c r="AA36">
        <f>IF('Input Scenarios'!AA36&lt;&gt;"", 'Input Scenarios'!AA36, _xlfn.XLOOKUP(Y36,Constants!$J$6:$J$12,Constants!$K$6:$K$12))</f>
        <v>365</v>
      </c>
      <c r="AB36">
        <f>IF('Input Scenarios'!AB36&lt;&gt;"", 'Input Scenarios'!AB36, INDEX(Constants!$B$2:$H$11, MATCH(X36, Constants!$A$2:$A$11, 0), MATCH(Y36,Constants!$B$1:$H$1, 0)))</f>
        <v>400</v>
      </c>
      <c r="AC36">
        <f>IF('Input Scenarios'!AC36&lt;&gt;"", 'Input Scenarios'!AC36, _xlfn.XLOOKUP(Y36, Constants!$B$13:$H$13, Constants!$B$15:$H$15, ""))</f>
        <v>1.6E-2</v>
      </c>
      <c r="AD36">
        <f>IF('Input Scenarios'!AD36&lt;&gt;"", 'Input Scenarios'!AD36, Constants!$B$45)</f>
        <v>0.75</v>
      </c>
      <c r="AE36">
        <f>IF('Input Scenarios'!AE36&lt;&gt;"", 'Input Scenarios'!AE36, Constants!$B$46)</f>
        <v>0.2</v>
      </c>
      <c r="AF36" s="20">
        <f>IF($Y36="milkingCows",($H36*J36)+($I36*N36), 0)</f>
        <v>0.11649999999999999</v>
      </c>
      <c r="AG36" s="20">
        <f t="shared" si="39"/>
        <v>0.11649999999999999</v>
      </c>
      <c r="AH36" s="20">
        <f t="shared" si="39"/>
        <v>0.11649999999999999</v>
      </c>
      <c r="AI36" s="20">
        <f t="shared" si="39"/>
        <v>0.11649999999999999</v>
      </c>
      <c r="AJ36" s="20">
        <f>IF($Y36="milkingCows",G36, 1)</f>
        <v>0.53400000000000003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>0.795*(AD36)-0.0014</f>
        <v>0.5948500000000001</v>
      </c>
      <c r="AQ36">
        <f>(AK36*AL36*AM36)/(AN36*AO36*AP36)</f>
        <v>14.369808245410789</v>
      </c>
      <c r="AR36">
        <f>IF(Y36="milkingCows", Constants!$P$2, Constants!$P$3)</f>
        <v>1.1000000000000001</v>
      </c>
      <c r="AS36">
        <f>IFERROR(((1.185+(0.00454*AB36)-(0.0000026*(AB36^2))+(0.315*AC36))^2*AR36+AQ36), "")</f>
        <v>21.748946167170789</v>
      </c>
      <c r="AT36">
        <f>IFERROR(((1.185+(0.00454*AB36)-(0.0000026*(AB36^2))+(0.315*AC36))^2*AR36+AQ36)/((1.185+(0.00454*AB36)-(0.0000026*(AB36^2)))^2*AR36+AQ36), "")</f>
        <v>1.001320906258945</v>
      </c>
      <c r="AU36">
        <f>_xlfn.XLOOKUP(Y36, Constants!$B$13:$H$13, Constants!$B$14:$H$14, "")</f>
        <v>590</v>
      </c>
      <c r="AV36">
        <f>IFERROR(AB36/AU36, "")</f>
        <v>0.67796610169491522</v>
      </c>
      <c r="AW36">
        <f>Constants!$B$55</f>
        <v>6.25</v>
      </c>
      <c r="AX36" s="20">
        <f t="shared" si="1"/>
        <v>0.1552092207973319</v>
      </c>
      <c r="AY36">
        <f t="shared" si="2"/>
        <v>4.3497892334341577</v>
      </c>
      <c r="AZ36">
        <f>IF(ISNUMBER(FIND("PreWeaned",Y36)),"", MAX((AY36/AW36)-AX36-(((1.1*10^-4)*(AB36^0.75))/AW36), 0))</f>
        <v>0.53918286469597354</v>
      </c>
      <c r="BA36" t="str">
        <f>IF(ISNUMBER(FIND("PreWeaned",Y36)),_xlfn.XLOOKUP(Y36,Constants!$J$2:$J$3,Constants!$M$2:$M$3),"")</f>
        <v/>
      </c>
      <c r="BB36">
        <f t="shared" si="3"/>
        <v>39360.349122806067</v>
      </c>
      <c r="BC36">
        <f t="shared" si="4"/>
        <v>4585.4806728069061</v>
      </c>
      <c r="BD36">
        <f t="shared" si="5"/>
        <v>4585.4806728069061</v>
      </c>
      <c r="BE36">
        <f t="shared" si="6"/>
        <v>4585.4806728069061</v>
      </c>
      <c r="BF36">
        <f t="shared" si="7"/>
        <v>4585.4806728069061</v>
      </c>
      <c r="BG36">
        <f t="shared" si="8"/>
        <v>21018.426431578442</v>
      </c>
      <c r="BH36">
        <f t="shared" si="9"/>
        <v>0</v>
      </c>
      <c r="BI36">
        <f>Constants!$B$54</f>
        <v>0.02</v>
      </c>
      <c r="BJ36">
        <f>Constants!$B$53</f>
        <v>0.24</v>
      </c>
      <c r="BK36">
        <f>BF36*$BH36*BI36</f>
        <v>0</v>
      </c>
      <c r="BL36">
        <f>BG36*$BH36*BJ36</f>
        <v>0</v>
      </c>
      <c r="BM36">
        <f>Constants!$B$52</f>
        <v>1.0999999999999999E-2</v>
      </c>
      <c r="BN36">
        <f>Constants!$B$50</f>
        <v>1.57</v>
      </c>
      <c r="BO36">
        <f>SUM(BK36:BL36)*BM36*BN36</f>
        <v>0</v>
      </c>
      <c r="BP36">
        <f>SUM(BO36:BO42)/1000</f>
        <v>0</v>
      </c>
    </row>
    <row r="37" spans="1:68" x14ac:dyDescent="0.2">
      <c r="A37" t="str">
        <f>'Input Scenarios'!A37</f>
        <v>VIC</v>
      </c>
      <c r="B37">
        <f>'Input Scenarios'!B37</f>
        <v>0</v>
      </c>
      <c r="C37" t="str">
        <f>'Input Scenarios'!C37</f>
        <v>Non-irrigated pasture</v>
      </c>
      <c r="D37" t="str">
        <f>'Input Scenarios'!D37</f>
        <v>wet</v>
      </c>
      <c r="E37" t="b">
        <f>'Input Scenarios'!E37</f>
        <v>0</v>
      </c>
      <c r="F37" t="str">
        <f>'Input Scenarios'!F37</f>
        <v>Limited grazing</v>
      </c>
      <c r="G37">
        <f>IF('Input Scenarios'!G37&lt;&gt;"", 'Input Scenarios'!G37, _xlfn.XLOOKUP($F37, Constants!$M$6:$M$9,Constants!N$6:N$9))</f>
        <v>0.53400000000000003</v>
      </c>
      <c r="H37">
        <f>IF('Input Scenarios'!H37&lt;&gt;"", 'Input Scenarios'!H37, _xlfn.XLOOKUP($F37, Constants!$M$6:$M$9,Constants!O$6:O$9))</f>
        <v>0.11</v>
      </c>
      <c r="I37">
        <f>IF('Input Scenarios'!I37&lt;&gt;"", 'Input Scenarios'!I37, _xlfn.XLOOKUP($F37, Constants!$M$6:$M$9,Constants!P$6:P$9))</f>
        <v>0.35599999999999998</v>
      </c>
      <c r="J37">
        <f>'Input Scenarios'!J37</f>
        <v>0.25</v>
      </c>
      <c r="K37">
        <f>'Input Scenarios'!K37</f>
        <v>0.25</v>
      </c>
      <c r="L37">
        <f>'Input Scenarios'!L37</f>
        <v>0.25</v>
      </c>
      <c r="M37">
        <f>'Input Scenarios'!M37</f>
        <v>0.25</v>
      </c>
      <c r="N37">
        <f>'Input Scenarios'!N37</f>
        <v>0.25</v>
      </c>
      <c r="O37">
        <f>'Input Scenarios'!O37</f>
        <v>0.25</v>
      </c>
      <c r="P37">
        <f>'Input Scenarios'!P37</f>
        <v>0.25</v>
      </c>
      <c r="Q37">
        <f>'Input Scenarios'!Q37</f>
        <v>0.25</v>
      </c>
      <c r="R37" t="b">
        <f>'Input Scenarios'!R37</f>
        <v>1</v>
      </c>
      <c r="S37">
        <f>IF('Input Scenarios'!S37&lt;&gt;"", 'Input Scenarios'!S37, IF(R37, Constants!$B$38, 0))</f>
        <v>0.2</v>
      </c>
      <c r="T37" t="str">
        <f>IF('Input Scenarios'!T37&lt;&gt;"", 'Input Scenarios'!T37, "")</f>
        <v/>
      </c>
      <c r="U37">
        <f>IF('Input Scenarios'!U37&lt;&gt;"", 'Input Scenarios'!U37, IF(W37&lt;&gt;"", "", Constants!$B$39))</f>
        <v>4</v>
      </c>
      <c r="V37">
        <f>IF('Input Scenarios'!V37&lt;&gt;"", 'Input Scenarios'!V37, IF(W37&lt;&gt;"", "", Constants!$B$40))</f>
        <v>3.3</v>
      </c>
      <c r="W37" t="str">
        <f>IF('Input Scenarios'!W37&lt;&gt;"", 'Input Scenarios'!W37, "")</f>
        <v/>
      </c>
      <c r="X37" t="str">
        <f>'Input Scenarios'!X37</f>
        <v>Jersey</v>
      </c>
      <c r="Y37" t="str">
        <f>'Input Scenarios'!Y37</f>
        <v>heifersGt1</v>
      </c>
      <c r="Z37">
        <f>'Input Scenarios'!Z37</f>
        <v>200</v>
      </c>
      <c r="AA37">
        <f>IF('Input Scenarios'!AA37&lt;&gt;"", 'Input Scenarios'!AA37, _xlfn.XLOOKUP(Y37,Constants!$J$6:$J$12,Constants!$K$6:$K$12))</f>
        <v>365</v>
      </c>
      <c r="AB37">
        <f>IF('Input Scenarios'!AB37&lt;&gt;"", 'Input Scenarios'!AB37, INDEX(Constants!$B$2:$H$11, MATCH(X37, Constants!$A$2:$A$11, 0), MATCH(Y37,Constants!$B$1:$H$1, 0)))</f>
        <v>275</v>
      </c>
      <c r="AC37">
        <f>IF('Input Scenarios'!AC37&lt;&gt;"", 'Input Scenarios'!AC37, _xlfn.XLOOKUP(Y37, Constants!$B$13:$H$13, Constants!$B$15:$H$15, ""))</f>
        <v>0.6</v>
      </c>
      <c r="AD37">
        <f>IF('Input Scenarios'!AD37&lt;&gt;"", 'Input Scenarios'!AD37, Constants!$B$45)</f>
        <v>0.75</v>
      </c>
      <c r="AE37">
        <f>IF('Input Scenarios'!AE37&lt;&gt;"", 'Input Scenarios'!AE37, Constants!$B$46)</f>
        <v>0.2</v>
      </c>
      <c r="AF37">
        <f t="shared" ref="AF37:AI56" si="40">IF($Y37="milkingCows",($H37*J37)+($I37*N37), 0)</f>
        <v>0</v>
      </c>
      <c r="AG37">
        <f t="shared" si="39"/>
        <v>0</v>
      </c>
      <c r="AH37">
        <f t="shared" si="39"/>
        <v>0</v>
      </c>
      <c r="AI37">
        <f t="shared" si="39"/>
        <v>0</v>
      </c>
      <c r="AJ37">
        <f t="shared" ref="AJ37:AJ56" si="41">IF($Y37="milkingCows",G37, 1)</f>
        <v>1</v>
      </c>
      <c r="AK37">
        <f t="shared" ref="AK37:AK41" si="42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ref="AP37:AP63" si="43">0.795*(AD37)-0.0014</f>
        <v>0.5948500000000001</v>
      </c>
      <c r="AQ37">
        <f t="shared" ref="AQ37:AQ63" si="44">(AK37*AL37*AM37)/(AN37*AO37*AP37)</f>
        <v>0</v>
      </c>
      <c r="AR37">
        <f>IF(Y37="milkingCows", Constants!$P$2, Constants!$P$3)</f>
        <v>1</v>
      </c>
      <c r="AS37">
        <f t="shared" ref="AS37:AS63" si="45">IFERROR(((1.185+(0.00454*AB37)-(0.0000026*(AB37^2))+(0.315*AC37))^2*AR37+AQ37), "")</f>
        <v>5.8848695156249997</v>
      </c>
      <c r="AT37">
        <f t="shared" ref="AT37:AT63" si="46">IFERROR(((1.185+(0.00454*AB37)-(0.0000026*(AB37^2))+(0.315*AC37))^2*AR37+AQ37)/((1.185+(0.00454*AB37)-(0.0000026*(AB37^2)))^2*AR37+AQ37), "")</f>
        <v>1.1761247961530272</v>
      </c>
      <c r="AU37">
        <f>_xlfn.XLOOKUP(Y37, Constants!$B$13:$H$13, Constants!$B$14:$H$14, "")</f>
        <v>590</v>
      </c>
      <c r="AV37">
        <f t="shared" ref="AV37:AV63" si="47">IFERROR(AB37/AU37, "")</f>
        <v>0.46610169491525422</v>
      </c>
      <c r="AW37">
        <f>Constants!$B$55</f>
        <v>6.25</v>
      </c>
      <c r="AX37">
        <f t="shared" si="1"/>
        <v>1.1565345708946049E-2</v>
      </c>
      <c r="AY37">
        <f t="shared" si="2"/>
        <v>1.1769739031249999</v>
      </c>
      <c r="AZ37">
        <f t="shared" si="18"/>
        <v>0.17556194320862142</v>
      </c>
      <c r="BA37" t="str">
        <f>IF(ISNUMBER(FIND("PreWeaned",Y37)),_xlfn.XLOOKUP(Y37,Constants!$J$2:$J$3,Constants!$M$2:$M$3),"")</f>
        <v/>
      </c>
      <c r="BB37">
        <f t="shared" si="3"/>
        <v>12816.021854229364</v>
      </c>
      <c r="BC37">
        <f t="shared" si="4"/>
        <v>0</v>
      </c>
      <c r="BD37">
        <f t="shared" si="5"/>
        <v>0</v>
      </c>
      <c r="BE37">
        <f t="shared" si="6"/>
        <v>0</v>
      </c>
      <c r="BF37">
        <f t="shared" si="7"/>
        <v>0</v>
      </c>
      <c r="BG37">
        <f t="shared" si="8"/>
        <v>12816.021854229364</v>
      </c>
      <c r="BH37">
        <f t="shared" si="9"/>
        <v>0</v>
      </c>
      <c r="BI37">
        <f>Constants!$B$54</f>
        <v>0.02</v>
      </c>
      <c r="BJ37">
        <f>Constants!$B$53</f>
        <v>0.24</v>
      </c>
      <c r="BK37">
        <f t="shared" ref="BK37:BK63" si="48">BF37*$BH37*BI37</f>
        <v>0</v>
      </c>
      <c r="BL37">
        <f t="shared" ref="BL37:BL63" si="49">BG37*$BH37*BJ37</f>
        <v>0</v>
      </c>
      <c r="BM37">
        <f>Constants!$B$52</f>
        <v>1.0999999999999999E-2</v>
      </c>
      <c r="BN37">
        <f>Constants!$B$50</f>
        <v>1.57</v>
      </c>
      <c r="BO37">
        <f t="shared" ref="BO37:BO63" si="50">SUM(BK37:BL37)*BM37*BN37</f>
        <v>0</v>
      </c>
    </row>
    <row r="38" spans="1:68" x14ac:dyDescent="0.2">
      <c r="A38" t="str">
        <f>'Input Scenarios'!A38</f>
        <v>VIC</v>
      </c>
      <c r="B38">
        <f>'Input Scenarios'!B38</f>
        <v>0</v>
      </c>
      <c r="C38" t="str">
        <f>'Input Scenarios'!C38</f>
        <v>Non-irrigated pasture</v>
      </c>
      <c r="D38" t="str">
        <f>'Input Scenarios'!D38</f>
        <v>wet</v>
      </c>
      <c r="E38" t="b">
        <f>'Input Scenarios'!E38</f>
        <v>0</v>
      </c>
      <c r="F38" t="str">
        <f>'Input Scenarios'!F38</f>
        <v>Limited grazing</v>
      </c>
      <c r="G38">
        <f>IF('Input Scenarios'!G38&lt;&gt;"", 'Input Scenarios'!G38, _xlfn.XLOOKUP($F38, Constants!$M$6:$M$9,Constants!N$6:N$9))</f>
        <v>0.53400000000000003</v>
      </c>
      <c r="H38">
        <f>IF('Input Scenarios'!H38&lt;&gt;"", 'Input Scenarios'!H38, _xlfn.XLOOKUP($F38, Constants!$M$6:$M$9,Constants!O$6:O$9))</f>
        <v>0.11</v>
      </c>
      <c r="I38">
        <f>IF('Input Scenarios'!I38&lt;&gt;"", 'Input Scenarios'!I38, _xlfn.XLOOKUP($F38, Constants!$M$6:$M$9,Constants!P$6:P$9))</f>
        <v>0.35599999999999998</v>
      </c>
      <c r="J38">
        <f>'Input Scenarios'!J38</f>
        <v>0.25</v>
      </c>
      <c r="K38">
        <f>'Input Scenarios'!K38</f>
        <v>0.25</v>
      </c>
      <c r="L38">
        <f>'Input Scenarios'!L38</f>
        <v>0.25</v>
      </c>
      <c r="M38">
        <f>'Input Scenarios'!M38</f>
        <v>0.25</v>
      </c>
      <c r="N38">
        <f>'Input Scenarios'!N38</f>
        <v>0.25</v>
      </c>
      <c r="O38">
        <f>'Input Scenarios'!O38</f>
        <v>0.25</v>
      </c>
      <c r="P38">
        <f>'Input Scenarios'!P38</f>
        <v>0.25</v>
      </c>
      <c r="Q38">
        <f>'Input Scenarios'!Q38</f>
        <v>0.25</v>
      </c>
      <c r="R38" t="b">
        <f>'Input Scenarios'!R38</f>
        <v>1</v>
      </c>
      <c r="S38">
        <f>IF('Input Scenarios'!S38&lt;&gt;"", 'Input Scenarios'!S38, IF(R38, Constants!$B$38, 0))</f>
        <v>0.2</v>
      </c>
      <c r="T38" t="str">
        <f>IF('Input Scenarios'!T38&lt;&gt;"", 'Input Scenarios'!T38, "")</f>
        <v/>
      </c>
      <c r="U38">
        <f>IF('Input Scenarios'!U38&lt;&gt;"", 'Input Scenarios'!U38, IF(W38&lt;&gt;"", "", Constants!$B$39))</f>
        <v>4</v>
      </c>
      <c r="V38">
        <f>IF('Input Scenarios'!V38&lt;&gt;"", 'Input Scenarios'!V38, IF(W38&lt;&gt;"", "", Constants!$B$40))</f>
        <v>3.3</v>
      </c>
      <c r="W38" t="str">
        <f>IF('Input Scenarios'!W38&lt;&gt;"", 'Input Scenarios'!W38, "")</f>
        <v/>
      </c>
      <c r="X38" t="str">
        <f>'Input Scenarios'!X38</f>
        <v>Jersey</v>
      </c>
      <c r="Y38" t="str">
        <f>'Input Scenarios'!Y38</f>
        <v>heifersLt1PreWeaned</v>
      </c>
      <c r="Z38">
        <f>'Input Scenarios'!Z38</f>
        <v>200</v>
      </c>
      <c r="AA38">
        <f>IF('Input Scenarios'!AA38&lt;&gt;"", 'Input Scenarios'!AA38, _xlfn.XLOOKUP(Y38,Constants!$J$6:$J$12,Constants!$K$6:$K$12))</f>
        <v>84</v>
      </c>
      <c r="AB38">
        <f>IF('Input Scenarios'!AB38&lt;&gt;"", 'Input Scenarios'!AB38, INDEX(Constants!$B$2:$H$11, MATCH(X38, Constants!$A$2:$A$11, 0), MATCH(Y38,Constants!$B$1:$H$1, 0)))</f>
        <v>115</v>
      </c>
      <c r="AC38" t="str">
        <f>IF('Input Scenarios'!AC38&lt;&gt;"", 'Input Scenarios'!AC38, _xlfn.XLOOKUP(Y38, Constants!$B$13:$H$13, Constants!$B$15:$H$15, ""))</f>
        <v/>
      </c>
      <c r="AD38">
        <f>IF('Input Scenarios'!AD38&lt;&gt;"", 'Input Scenarios'!AD38, Constants!$B$45)</f>
        <v>0.75</v>
      </c>
      <c r="AE38">
        <f>IF('Input Scenarios'!AE38&lt;&gt;"", 'Input Scenarios'!AE38, Constants!$B$46)</f>
        <v>0.2</v>
      </c>
      <c r="AF38">
        <f t="shared" si="40"/>
        <v>0</v>
      </c>
      <c r="AG38">
        <f t="shared" si="39"/>
        <v>0</v>
      </c>
      <c r="AH38">
        <f t="shared" si="39"/>
        <v>0</v>
      </c>
      <c r="AI38">
        <f t="shared" si="39"/>
        <v>0</v>
      </c>
      <c r="AJ38">
        <f t="shared" si="41"/>
        <v>1</v>
      </c>
      <c r="AK38">
        <f t="shared" si="42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43"/>
        <v>0.5948500000000001</v>
      </c>
      <c r="AQ38">
        <f t="shared" si="44"/>
        <v>0</v>
      </c>
      <c r="AR38">
        <f>IF(Y38="milkingCows", Constants!$P$2, Constants!$P$3)</f>
        <v>1</v>
      </c>
      <c r="AS38" t="str">
        <f t="shared" si="45"/>
        <v/>
      </c>
      <c r="AT38" t="str">
        <f t="shared" si="46"/>
        <v/>
      </c>
      <c r="AU38" t="str">
        <f>_xlfn.XLOOKUP(Y38, Constants!$B$13:$H$13, Constants!$B$14:$H$14, "")</f>
        <v/>
      </c>
      <c r="AV38" t="str">
        <f t="shared" si="47"/>
        <v/>
      </c>
      <c r="AW38">
        <f>Constants!$B$55</f>
        <v>6.25</v>
      </c>
      <c r="AX38" t="str">
        <f t="shared" si="1"/>
        <v/>
      </c>
      <c r="AY38" t="str">
        <f t="shared" si="2"/>
        <v/>
      </c>
      <c r="AZ38" t="str">
        <f t="shared" si="18"/>
        <v/>
      </c>
      <c r="BA38">
        <f>IF(ISNUMBER(FIND("PreWeaned",Y38)),_xlfn.XLOOKUP(Y38,Constants!$J$2:$J$3,Constants!$M$2:$M$3),"")</f>
        <v>1.37E-2</v>
      </c>
      <c r="BB38">
        <f t="shared" si="3"/>
        <v>230.16000000000003</v>
      </c>
      <c r="BC38">
        <f t="shared" si="4"/>
        <v>0</v>
      </c>
      <c r="BD38">
        <f t="shared" si="5"/>
        <v>0</v>
      </c>
      <c r="BE38">
        <f t="shared" si="6"/>
        <v>0</v>
      </c>
      <c r="BF38">
        <f t="shared" si="7"/>
        <v>0</v>
      </c>
      <c r="BG38">
        <f t="shared" si="8"/>
        <v>230.16000000000003</v>
      </c>
      <c r="BH38">
        <f t="shared" si="9"/>
        <v>0</v>
      </c>
      <c r="BI38">
        <f>Constants!$B$54</f>
        <v>0.02</v>
      </c>
      <c r="BJ38">
        <f>Constants!$B$53</f>
        <v>0.24</v>
      </c>
      <c r="BK38">
        <f t="shared" si="48"/>
        <v>0</v>
      </c>
      <c r="BL38">
        <f t="shared" si="49"/>
        <v>0</v>
      </c>
      <c r="BM38">
        <f>Constants!$B$52</f>
        <v>1.0999999999999999E-2</v>
      </c>
      <c r="BN38">
        <f>Constants!$B$50</f>
        <v>1.57</v>
      </c>
      <c r="BO38">
        <f t="shared" si="50"/>
        <v>0</v>
      </c>
    </row>
    <row r="39" spans="1:68" x14ac:dyDescent="0.2">
      <c r="A39" t="str">
        <f>'Input Scenarios'!A39</f>
        <v>VIC</v>
      </c>
      <c r="B39">
        <f>'Input Scenarios'!B39</f>
        <v>0</v>
      </c>
      <c r="C39" t="str">
        <f>'Input Scenarios'!C39</f>
        <v>Non-irrigated pasture</v>
      </c>
      <c r="D39" t="str">
        <f>'Input Scenarios'!D39</f>
        <v>wet</v>
      </c>
      <c r="E39" t="b">
        <f>'Input Scenarios'!E39</f>
        <v>0</v>
      </c>
      <c r="F39" t="str">
        <f>'Input Scenarios'!F39</f>
        <v>Limited grazing</v>
      </c>
      <c r="G39">
        <f>IF('Input Scenarios'!G39&lt;&gt;"", 'Input Scenarios'!G39, _xlfn.XLOOKUP($F39, Constants!$M$6:$M$9,Constants!N$6:N$9))</f>
        <v>0.53400000000000003</v>
      </c>
      <c r="H39">
        <f>IF('Input Scenarios'!H39&lt;&gt;"", 'Input Scenarios'!H39, _xlfn.XLOOKUP($F39, Constants!$M$6:$M$9,Constants!O$6:O$9))</f>
        <v>0.11</v>
      </c>
      <c r="I39">
        <f>IF('Input Scenarios'!I39&lt;&gt;"", 'Input Scenarios'!I39, _xlfn.XLOOKUP($F39, Constants!$M$6:$M$9,Constants!P$6:P$9))</f>
        <v>0.35599999999999998</v>
      </c>
      <c r="J39">
        <f>'Input Scenarios'!J39</f>
        <v>0.25</v>
      </c>
      <c r="K39">
        <f>'Input Scenarios'!K39</f>
        <v>0.25</v>
      </c>
      <c r="L39">
        <f>'Input Scenarios'!L39</f>
        <v>0.25</v>
      </c>
      <c r="M39">
        <f>'Input Scenarios'!M39</f>
        <v>0.25</v>
      </c>
      <c r="N39">
        <f>'Input Scenarios'!N39</f>
        <v>0.25</v>
      </c>
      <c r="O39">
        <f>'Input Scenarios'!O39</f>
        <v>0.25</v>
      </c>
      <c r="P39">
        <f>'Input Scenarios'!P39</f>
        <v>0.25</v>
      </c>
      <c r="Q39">
        <f>'Input Scenarios'!Q39</f>
        <v>0.25</v>
      </c>
      <c r="R39" t="b">
        <f>'Input Scenarios'!R39</f>
        <v>1</v>
      </c>
      <c r="S39">
        <f>IF('Input Scenarios'!S39&lt;&gt;"", 'Input Scenarios'!S39, IF(R39, Constants!$B$38, 0))</f>
        <v>0.2</v>
      </c>
      <c r="T39" t="str">
        <f>IF('Input Scenarios'!T39&lt;&gt;"", 'Input Scenarios'!T39, "")</f>
        <v/>
      </c>
      <c r="U39">
        <f>IF('Input Scenarios'!U39&lt;&gt;"", 'Input Scenarios'!U39, IF(W39&lt;&gt;"", "", Constants!$B$39))</f>
        <v>4</v>
      </c>
      <c r="V39">
        <f>IF('Input Scenarios'!V39&lt;&gt;"", 'Input Scenarios'!V39, IF(W39&lt;&gt;"", "", Constants!$B$40))</f>
        <v>3.3</v>
      </c>
      <c r="W39" t="str">
        <f>IF('Input Scenarios'!W39&lt;&gt;"", 'Input Scenarios'!W39, "")</f>
        <v/>
      </c>
      <c r="X39" t="str">
        <f>'Input Scenarios'!X39</f>
        <v>Jersey</v>
      </c>
      <c r="Y39" t="str">
        <f>'Input Scenarios'!Y39</f>
        <v>heifersLt1Weaned</v>
      </c>
      <c r="Z39">
        <f>'Input Scenarios'!Z39</f>
        <v>200</v>
      </c>
      <c r="AA39">
        <f>IF('Input Scenarios'!AA39&lt;&gt;"", 'Input Scenarios'!AA39, _xlfn.XLOOKUP(Y39,Constants!$J$6:$J$12,Constants!$K$6:$K$12))</f>
        <v>281</v>
      </c>
      <c r="AB39">
        <f>IF('Input Scenarios'!AB39&lt;&gt;"", 'Input Scenarios'!AB39, INDEX(Constants!$B$2:$H$11, MATCH(X39, Constants!$A$2:$A$11, 0), MATCH(Y39,Constants!$B$1:$H$1, 0)))</f>
        <v>115</v>
      </c>
      <c r="AC39">
        <f>IF('Input Scenarios'!AC39&lt;&gt;"", 'Input Scenarios'!AC39, _xlfn.XLOOKUP(Y39, Constants!$B$13:$H$13, Constants!$B$15:$H$15, ""))</f>
        <v>0.56999999999999995</v>
      </c>
      <c r="AD39">
        <f>IF('Input Scenarios'!AD39&lt;&gt;"", 'Input Scenarios'!AD39, Constants!$B$45)</f>
        <v>0.75</v>
      </c>
      <c r="AE39">
        <f>IF('Input Scenarios'!AE39&lt;&gt;"", 'Input Scenarios'!AE39, Constants!$B$46)</f>
        <v>0.2</v>
      </c>
      <c r="AF39">
        <f t="shared" si="40"/>
        <v>0</v>
      </c>
      <c r="AG39">
        <f t="shared" si="39"/>
        <v>0</v>
      </c>
      <c r="AH39">
        <f t="shared" si="39"/>
        <v>0</v>
      </c>
      <c r="AI39">
        <f t="shared" si="39"/>
        <v>0</v>
      </c>
      <c r="AJ39">
        <f t="shared" si="41"/>
        <v>1</v>
      </c>
      <c r="AK39">
        <f t="shared" si="42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43"/>
        <v>0.5948500000000001</v>
      </c>
      <c r="AQ39">
        <f t="shared" si="44"/>
        <v>0</v>
      </c>
      <c r="AR39">
        <f>IF(Y39="milkingCows", Constants!$P$2, Constants!$P$3)</f>
        <v>1</v>
      </c>
      <c r="AS39">
        <f t="shared" si="45"/>
        <v>3.4308856302250001</v>
      </c>
      <c r="AT39">
        <f t="shared" si="46"/>
        <v>1.2262028975982771</v>
      </c>
      <c r="AU39">
        <f>_xlfn.XLOOKUP(Y39, Constants!$B$13:$H$13, Constants!$B$14:$H$14, "")</f>
        <v>590</v>
      </c>
      <c r="AV39">
        <f t="shared" si="47"/>
        <v>0.19491525423728814</v>
      </c>
      <c r="AW39">
        <f>Constants!$B$55</f>
        <v>6.25</v>
      </c>
      <c r="AX39">
        <f t="shared" si="1"/>
        <v>1.5533805105434794E-2</v>
      </c>
      <c r="AY39">
        <f t="shared" si="2"/>
        <v>0.68617712604500003</v>
      </c>
      <c r="AZ39">
        <f t="shared" si="18"/>
        <v>9.3636467361806544E-2</v>
      </c>
      <c r="BA39" t="str">
        <f>IF(ISNUMBER(FIND("PreWeaned",Y39)),_xlfn.XLOOKUP(Y39,Constants!$J$2:$J$3,Constants!$M$2:$M$3),"")</f>
        <v/>
      </c>
      <c r="BB39">
        <f t="shared" si="3"/>
        <v>5262.3694657335282</v>
      </c>
      <c r="BC39">
        <f t="shared" si="4"/>
        <v>0</v>
      </c>
      <c r="BD39">
        <f t="shared" si="5"/>
        <v>0</v>
      </c>
      <c r="BE39">
        <f t="shared" si="6"/>
        <v>0</v>
      </c>
      <c r="BF39">
        <f t="shared" si="7"/>
        <v>0</v>
      </c>
      <c r="BG39">
        <f t="shared" si="8"/>
        <v>5262.3694657335282</v>
      </c>
      <c r="BH39">
        <f t="shared" si="9"/>
        <v>0</v>
      </c>
      <c r="BI39">
        <f>Constants!$B$54</f>
        <v>0.02</v>
      </c>
      <c r="BJ39">
        <f>Constants!$B$53</f>
        <v>0.24</v>
      </c>
      <c r="BK39">
        <f t="shared" si="48"/>
        <v>0</v>
      </c>
      <c r="BL39">
        <f t="shared" si="49"/>
        <v>0</v>
      </c>
      <c r="BM39">
        <f>Constants!$B$52</f>
        <v>1.0999999999999999E-2</v>
      </c>
      <c r="BN39">
        <f>Constants!$B$50</f>
        <v>1.57</v>
      </c>
      <c r="BO39">
        <f t="shared" si="50"/>
        <v>0</v>
      </c>
    </row>
    <row r="40" spans="1:68" x14ac:dyDescent="0.2">
      <c r="A40" t="str">
        <f>'Input Scenarios'!A40</f>
        <v>VIC</v>
      </c>
      <c r="B40">
        <f>'Input Scenarios'!B40</f>
        <v>0</v>
      </c>
      <c r="C40" t="str">
        <f>'Input Scenarios'!C40</f>
        <v>Non-irrigated pasture</v>
      </c>
      <c r="D40" t="str">
        <f>'Input Scenarios'!D40</f>
        <v>wet</v>
      </c>
      <c r="E40" t="b">
        <f>'Input Scenarios'!E40</f>
        <v>0</v>
      </c>
      <c r="F40" t="str">
        <f>'Input Scenarios'!F40</f>
        <v>Limited grazing</v>
      </c>
      <c r="G40">
        <f>IF('Input Scenarios'!G40&lt;&gt;"", 'Input Scenarios'!G40, _xlfn.XLOOKUP($F40, Constants!$M$6:$M$9,Constants!N$6:N$9))</f>
        <v>0.53400000000000003</v>
      </c>
      <c r="H40">
        <f>IF('Input Scenarios'!H40&lt;&gt;"", 'Input Scenarios'!H40, _xlfn.XLOOKUP($F40, Constants!$M$6:$M$9,Constants!O$6:O$9))</f>
        <v>0.11</v>
      </c>
      <c r="I40">
        <f>IF('Input Scenarios'!I40&lt;&gt;"", 'Input Scenarios'!I40, _xlfn.XLOOKUP($F40, Constants!$M$6:$M$9,Constants!P$6:P$9))</f>
        <v>0.35599999999999998</v>
      </c>
      <c r="J40">
        <f>'Input Scenarios'!J40</f>
        <v>0.25</v>
      </c>
      <c r="K40">
        <f>'Input Scenarios'!K40</f>
        <v>0.25</v>
      </c>
      <c r="L40">
        <f>'Input Scenarios'!L40</f>
        <v>0.25</v>
      </c>
      <c r="M40">
        <f>'Input Scenarios'!M40</f>
        <v>0.25</v>
      </c>
      <c r="N40">
        <f>'Input Scenarios'!N40</f>
        <v>0.25</v>
      </c>
      <c r="O40">
        <f>'Input Scenarios'!O40</f>
        <v>0.25</v>
      </c>
      <c r="P40">
        <f>'Input Scenarios'!P40</f>
        <v>0.25</v>
      </c>
      <c r="Q40">
        <f>'Input Scenarios'!Q40</f>
        <v>0.25</v>
      </c>
      <c r="R40" t="b">
        <f>'Input Scenarios'!R40</f>
        <v>1</v>
      </c>
      <c r="S40">
        <f>IF('Input Scenarios'!S40&lt;&gt;"", 'Input Scenarios'!S40, IF(R40, Constants!$B$38, 0))</f>
        <v>0.2</v>
      </c>
      <c r="T40" t="str">
        <f>IF('Input Scenarios'!T40&lt;&gt;"", 'Input Scenarios'!T40, "")</f>
        <v/>
      </c>
      <c r="U40">
        <f>IF('Input Scenarios'!U40&lt;&gt;"", 'Input Scenarios'!U40, IF(W40&lt;&gt;"", "", Constants!$B$39))</f>
        <v>4</v>
      </c>
      <c r="V40">
        <f>IF('Input Scenarios'!V40&lt;&gt;"", 'Input Scenarios'!V40, IF(W40&lt;&gt;"", "", Constants!$B$40))</f>
        <v>3.3</v>
      </c>
      <c r="W40" t="str">
        <f>IF('Input Scenarios'!W40&lt;&gt;"", 'Input Scenarios'!W40, "")</f>
        <v/>
      </c>
      <c r="X40" t="str">
        <f>'Input Scenarios'!X40</f>
        <v>Jersey</v>
      </c>
      <c r="Y40" t="str">
        <f>'Input Scenarios'!Y40</f>
        <v>bullsGt1</v>
      </c>
      <c r="Z40">
        <f>'Input Scenarios'!Z40</f>
        <v>200</v>
      </c>
      <c r="AA40">
        <f>IF('Input Scenarios'!AA40&lt;&gt;"", 'Input Scenarios'!AA40, _xlfn.XLOOKUP(Y40,Constants!$J$6:$J$12,Constants!$K$6:$K$12))</f>
        <v>365</v>
      </c>
      <c r="AB40">
        <f>IF('Input Scenarios'!AB40&lt;&gt;"", 'Input Scenarios'!AB40, INDEX(Constants!$B$2:$H$11, MATCH(X40, Constants!$A$2:$A$11, 0), MATCH(Y40,Constants!$B$1:$H$1, 0)))</f>
        <v>600</v>
      </c>
      <c r="AC40">
        <f>IF('Input Scenarios'!AC40&lt;&gt;"", 'Input Scenarios'!AC40, _xlfn.XLOOKUP(Y40, Constants!$B$13:$H$13, Constants!$B$15:$H$15, ""))</f>
        <v>0.1</v>
      </c>
      <c r="AD40">
        <f>IF('Input Scenarios'!AD40&lt;&gt;"", 'Input Scenarios'!AD40, Constants!$B$45)</f>
        <v>0.75</v>
      </c>
      <c r="AE40">
        <f>IF('Input Scenarios'!AE40&lt;&gt;"", 'Input Scenarios'!AE40, Constants!$B$46)</f>
        <v>0.2</v>
      </c>
      <c r="AF40">
        <f t="shared" si="40"/>
        <v>0</v>
      </c>
      <c r="AG40">
        <f t="shared" si="39"/>
        <v>0</v>
      </c>
      <c r="AH40">
        <f t="shared" si="39"/>
        <v>0</v>
      </c>
      <c r="AI40">
        <f t="shared" si="39"/>
        <v>0</v>
      </c>
      <c r="AJ40">
        <f t="shared" si="41"/>
        <v>1</v>
      </c>
      <c r="AK40">
        <f t="shared" si="42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43"/>
        <v>0.5948500000000001</v>
      </c>
      <c r="AQ40">
        <f t="shared" si="44"/>
        <v>0</v>
      </c>
      <c r="AR40">
        <f>IF(Y40="milkingCows", Constants!$P$2, Constants!$P$3)</f>
        <v>1</v>
      </c>
      <c r="AS40">
        <f t="shared" si="45"/>
        <v>9.0270202499999979</v>
      </c>
      <c r="AT40">
        <f t="shared" si="46"/>
        <v>1.0213029780639273</v>
      </c>
      <c r="AU40">
        <f>_xlfn.XLOOKUP(Y40, Constants!$B$13:$H$13, Constants!$B$14:$H$14, "")</f>
        <v>770</v>
      </c>
      <c r="AV40">
        <f t="shared" si="47"/>
        <v>0.77922077922077926</v>
      </c>
      <c r="AW40">
        <f>Constants!$B$55</f>
        <v>6.25</v>
      </c>
      <c r="AX40">
        <f t="shared" ref="AX40:AX63" si="51">IFERROR((((0.212-(0.008*(AT40-2)) - (0.14-0.008*(AT40-2))/(1+EXP(-6*(AV40-0.4)))) * AC40 * 0.92)/AW40) + (0.032*AK40*AL40)/6.38, "")</f>
        <v>1.2626203146474679E-3</v>
      </c>
      <c r="AY40">
        <f t="shared" ref="AY40:AY63" si="52">IFERROR(AE40*AS40, "")</f>
        <v>1.8054040499999997</v>
      </c>
      <c r="AZ40">
        <f t="shared" si="18"/>
        <v>0.28546836331241399</v>
      </c>
      <c r="BA40" t="str">
        <f>IF(ISNUMBER(FIND("PreWeaned",Y40)),_xlfn.XLOOKUP(Y40,Constants!$J$2:$J$3,Constants!$M$2:$M$3),"")</f>
        <v/>
      </c>
      <c r="BB40">
        <f t="shared" ref="BB40:BB63" si="53">SUM(AZ40:BA40)*Z40*AA40</f>
        <v>20839.19052180622</v>
      </c>
      <c r="BC40">
        <f t="shared" ref="BC40:BC63" si="54">$BB40*AF40</f>
        <v>0</v>
      </c>
      <c r="BD40">
        <f t="shared" ref="BD40:BD63" si="55">$BB40*AG40</f>
        <v>0</v>
      </c>
      <c r="BE40">
        <f t="shared" ref="BE40:BE63" si="56">$BB40*AH40</f>
        <v>0</v>
      </c>
      <c r="BF40">
        <f t="shared" ref="BF40:BF63" si="57">$BB40*AI40</f>
        <v>0</v>
      </c>
      <c r="BG40">
        <f t="shared" ref="BG40:BG63" si="58">$BB40*AJ40</f>
        <v>20839.19052180622</v>
      </c>
      <c r="BH40">
        <f t="shared" ref="BH40:BH63" si="59">IF(E40, 1, 0)</f>
        <v>0</v>
      </c>
      <c r="BI40">
        <f>Constants!$B$54</f>
        <v>0.02</v>
      </c>
      <c r="BJ40">
        <f>Constants!$B$53</f>
        <v>0.24</v>
      </c>
      <c r="BK40">
        <f t="shared" si="48"/>
        <v>0</v>
      </c>
      <c r="BL40">
        <f t="shared" si="49"/>
        <v>0</v>
      </c>
      <c r="BM40">
        <f>Constants!$B$52</f>
        <v>1.0999999999999999E-2</v>
      </c>
      <c r="BN40">
        <f>Constants!$B$50</f>
        <v>1.57</v>
      </c>
      <c r="BO40">
        <f t="shared" si="50"/>
        <v>0</v>
      </c>
    </row>
    <row r="41" spans="1:68" x14ac:dyDescent="0.2">
      <c r="A41" t="str">
        <f>'Input Scenarios'!A41</f>
        <v>VIC</v>
      </c>
      <c r="B41">
        <f>'Input Scenarios'!B41</f>
        <v>0</v>
      </c>
      <c r="C41" t="str">
        <f>'Input Scenarios'!C41</f>
        <v>Non-irrigated pasture</v>
      </c>
      <c r="D41" t="str">
        <f>'Input Scenarios'!D41</f>
        <v>wet</v>
      </c>
      <c r="E41" t="b">
        <f>'Input Scenarios'!E41</f>
        <v>0</v>
      </c>
      <c r="F41" t="str">
        <f>'Input Scenarios'!F41</f>
        <v>Limited grazing</v>
      </c>
      <c r="G41">
        <f>IF('Input Scenarios'!G41&lt;&gt;"", 'Input Scenarios'!G41, _xlfn.XLOOKUP($F41, Constants!$M$6:$M$9,Constants!N$6:N$9))</f>
        <v>0.53400000000000003</v>
      </c>
      <c r="H41">
        <f>IF('Input Scenarios'!H41&lt;&gt;"", 'Input Scenarios'!H41, _xlfn.XLOOKUP($F41, Constants!$M$6:$M$9,Constants!O$6:O$9))</f>
        <v>0.11</v>
      </c>
      <c r="I41">
        <f>IF('Input Scenarios'!I41&lt;&gt;"", 'Input Scenarios'!I41, _xlfn.XLOOKUP($F41, Constants!$M$6:$M$9,Constants!P$6:P$9))</f>
        <v>0.35599999999999998</v>
      </c>
      <c r="J41">
        <f>'Input Scenarios'!J41</f>
        <v>0.25</v>
      </c>
      <c r="K41">
        <f>'Input Scenarios'!K41</f>
        <v>0.25</v>
      </c>
      <c r="L41">
        <f>'Input Scenarios'!L41</f>
        <v>0.25</v>
      </c>
      <c r="M41">
        <f>'Input Scenarios'!M41</f>
        <v>0.25</v>
      </c>
      <c r="N41">
        <f>'Input Scenarios'!N41</f>
        <v>0.25</v>
      </c>
      <c r="O41">
        <f>'Input Scenarios'!O41</f>
        <v>0.25</v>
      </c>
      <c r="P41">
        <f>'Input Scenarios'!P41</f>
        <v>0.25</v>
      </c>
      <c r="Q41">
        <f>'Input Scenarios'!Q41</f>
        <v>0.25</v>
      </c>
      <c r="R41" t="b">
        <f>'Input Scenarios'!R41</f>
        <v>1</v>
      </c>
      <c r="S41">
        <f>IF('Input Scenarios'!S41&lt;&gt;"", 'Input Scenarios'!S41, IF(R41, Constants!$B$38, 0))</f>
        <v>0.2</v>
      </c>
      <c r="T41" t="str">
        <f>IF('Input Scenarios'!T41&lt;&gt;"", 'Input Scenarios'!T41, "")</f>
        <v/>
      </c>
      <c r="U41">
        <f>IF('Input Scenarios'!U41&lt;&gt;"", 'Input Scenarios'!U41, IF(W41&lt;&gt;"", "", Constants!$B$39))</f>
        <v>4</v>
      </c>
      <c r="V41">
        <f>IF('Input Scenarios'!V41&lt;&gt;"", 'Input Scenarios'!V41, IF(W41&lt;&gt;"", "", Constants!$B$40))</f>
        <v>3.3</v>
      </c>
      <c r="W41" t="str">
        <f>IF('Input Scenarios'!W41&lt;&gt;"", 'Input Scenarios'!W41, "")</f>
        <v/>
      </c>
      <c r="X41" t="str">
        <f>'Input Scenarios'!X41</f>
        <v>Jersey</v>
      </c>
      <c r="Y41" t="str">
        <f>'Input Scenarios'!Y41</f>
        <v>bullsLt1PreWeaned</v>
      </c>
      <c r="Z41">
        <f>'Input Scenarios'!Z41</f>
        <v>200</v>
      </c>
      <c r="AA41">
        <f>IF('Input Scenarios'!AA41&lt;&gt;"", 'Input Scenarios'!AA41, _xlfn.XLOOKUP(Y41,Constants!$J$6:$J$12,Constants!$K$6:$K$12))</f>
        <v>84</v>
      </c>
      <c r="AB41">
        <f>IF('Input Scenarios'!AB41&lt;&gt;"", 'Input Scenarios'!AB41, INDEX(Constants!$B$2:$H$11, MATCH(X41, Constants!$A$2:$A$11, 0), MATCH(Y41,Constants!$B$1:$H$1, 0)))</f>
        <v>225</v>
      </c>
      <c r="AC41" t="str">
        <f>IF('Input Scenarios'!AC41&lt;&gt;"", 'Input Scenarios'!AC41, _xlfn.XLOOKUP(Y41, Constants!$B$13:$H$13, Constants!$B$15:$H$15, ""))</f>
        <v/>
      </c>
      <c r="AD41">
        <f>IF('Input Scenarios'!AD41&lt;&gt;"", 'Input Scenarios'!AD41, Constants!$B$45)</f>
        <v>0.75</v>
      </c>
      <c r="AE41">
        <f>IF('Input Scenarios'!AE41&lt;&gt;"", 'Input Scenarios'!AE41, Constants!$B$46)</f>
        <v>0.2</v>
      </c>
      <c r="AF41">
        <f t="shared" si="40"/>
        <v>0</v>
      </c>
      <c r="AG41">
        <f t="shared" si="39"/>
        <v>0</v>
      </c>
      <c r="AH41">
        <f t="shared" si="39"/>
        <v>0</v>
      </c>
      <c r="AI41">
        <f t="shared" si="39"/>
        <v>0</v>
      </c>
      <c r="AJ41">
        <f t="shared" si="41"/>
        <v>1</v>
      </c>
      <c r="AK41">
        <f t="shared" si="42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43"/>
        <v>0.5948500000000001</v>
      </c>
      <c r="AQ41">
        <f t="shared" si="44"/>
        <v>0</v>
      </c>
      <c r="AR41">
        <f>IF(Y41="milkingCows", Constants!$P$2, Constants!$P$3)</f>
        <v>1</v>
      </c>
      <c r="AS41" t="str">
        <f t="shared" si="45"/>
        <v/>
      </c>
      <c r="AT41" t="str">
        <f t="shared" si="46"/>
        <v/>
      </c>
      <c r="AU41" t="str">
        <f>_xlfn.XLOOKUP(Y41, Constants!$B$13:$H$13, Constants!$B$14:$H$14, "")</f>
        <v/>
      </c>
      <c r="AV41" t="str">
        <f t="shared" si="47"/>
        <v/>
      </c>
      <c r="AW41">
        <f>Constants!$B$55</f>
        <v>6.25</v>
      </c>
      <c r="AX41" t="str">
        <f t="shared" si="51"/>
        <v/>
      </c>
      <c r="AY41" t="str">
        <f t="shared" si="52"/>
        <v/>
      </c>
      <c r="AZ41" t="str">
        <f t="shared" si="18"/>
        <v/>
      </c>
      <c r="BA41">
        <f>IF(ISNUMBER(FIND("PreWeaned",Y41)),_xlfn.XLOOKUP(Y41,Constants!$J$2:$J$3,Constants!$M$2:$M$3),"")</f>
        <v>9.1999999999999998E-3</v>
      </c>
      <c r="BB41">
        <f t="shared" si="53"/>
        <v>154.56</v>
      </c>
      <c r="BC41">
        <f t="shared" si="54"/>
        <v>0</v>
      </c>
      <c r="BD41">
        <f t="shared" si="55"/>
        <v>0</v>
      </c>
      <c r="BE41">
        <f t="shared" si="56"/>
        <v>0</v>
      </c>
      <c r="BF41">
        <f t="shared" si="57"/>
        <v>0</v>
      </c>
      <c r="BG41">
        <f t="shared" si="58"/>
        <v>154.56</v>
      </c>
      <c r="BH41">
        <f t="shared" si="59"/>
        <v>0</v>
      </c>
      <c r="BI41">
        <f>Constants!$B$54</f>
        <v>0.02</v>
      </c>
      <c r="BJ41">
        <f>Constants!$B$53</f>
        <v>0.24</v>
      </c>
      <c r="BK41">
        <f t="shared" si="48"/>
        <v>0</v>
      </c>
      <c r="BL41">
        <f t="shared" si="49"/>
        <v>0</v>
      </c>
      <c r="BM41">
        <f>Constants!$B$52</f>
        <v>1.0999999999999999E-2</v>
      </c>
      <c r="BN41">
        <f>Constants!$B$50</f>
        <v>1.57</v>
      </c>
      <c r="BO41">
        <f t="shared" si="50"/>
        <v>0</v>
      </c>
    </row>
    <row r="42" spans="1:68" x14ac:dyDescent="0.2">
      <c r="A42" s="16" t="str">
        <f>'Input Scenarios'!A42</f>
        <v>VIC</v>
      </c>
      <c r="B42" s="16">
        <f>'Input Scenarios'!B42</f>
        <v>0</v>
      </c>
      <c r="C42" s="16" t="str">
        <f>'Input Scenarios'!C42</f>
        <v>Non-irrigated pasture</v>
      </c>
      <c r="D42" s="16" t="str">
        <f>'Input Scenarios'!D42</f>
        <v>wet</v>
      </c>
      <c r="E42" s="16" t="b">
        <f>'Input Scenarios'!E42</f>
        <v>0</v>
      </c>
      <c r="F42" s="16" t="str">
        <f>'Input Scenarios'!F42</f>
        <v>Limited grazing</v>
      </c>
      <c r="G42" s="16">
        <f>IF('Input Scenarios'!G42&lt;&gt;"", 'Input Scenarios'!G42, _xlfn.XLOOKUP($F42, Constants!$M$6:$M$9,Constants!N$6:N$9))</f>
        <v>0.53400000000000003</v>
      </c>
      <c r="H42" s="16">
        <f>IF('Input Scenarios'!H42&lt;&gt;"", 'Input Scenarios'!H42, _xlfn.XLOOKUP($F42, Constants!$M$6:$M$9,Constants!O$6:O$9))</f>
        <v>0.11</v>
      </c>
      <c r="I42" s="16">
        <f>IF('Input Scenarios'!I42&lt;&gt;"", 'Input Scenarios'!I42, _xlfn.XLOOKUP($F42, Constants!$M$6:$M$9,Constants!P$6:P$9))</f>
        <v>0.35599999999999998</v>
      </c>
      <c r="J42" s="16">
        <f>'Input Scenarios'!J42</f>
        <v>0.25</v>
      </c>
      <c r="K42" s="16">
        <f>'Input Scenarios'!K42</f>
        <v>0.25</v>
      </c>
      <c r="L42" s="16">
        <f>'Input Scenarios'!L42</f>
        <v>0.25</v>
      </c>
      <c r="M42" s="16">
        <f>'Input Scenarios'!M42</f>
        <v>0.25</v>
      </c>
      <c r="N42" s="16">
        <f>'Input Scenarios'!N42</f>
        <v>0.25</v>
      </c>
      <c r="O42" s="16">
        <f>'Input Scenarios'!O42</f>
        <v>0.25</v>
      </c>
      <c r="P42" s="16">
        <f>'Input Scenarios'!P42</f>
        <v>0.25</v>
      </c>
      <c r="Q42" s="16">
        <f>'Input Scenarios'!Q42</f>
        <v>0.25</v>
      </c>
      <c r="R42" s="16" t="b">
        <f>'Input Scenarios'!R42</f>
        <v>1</v>
      </c>
      <c r="S42" s="16">
        <f>IF('Input Scenarios'!S42&lt;&gt;"", 'Input Scenarios'!S42, IF(R42, Constants!$B$38, 0))</f>
        <v>0.2</v>
      </c>
      <c r="T42" s="16" t="str">
        <f>IF('Input Scenarios'!T42&lt;&gt;"", 'Input Scenarios'!T42, "")</f>
        <v/>
      </c>
      <c r="U42" s="16">
        <f>IF('Input Scenarios'!U42&lt;&gt;"", 'Input Scenarios'!U42, IF(W42&lt;&gt;"", "", Constants!$B$39))</f>
        <v>4</v>
      </c>
      <c r="V42" s="16">
        <f>IF('Input Scenarios'!V42&lt;&gt;"", 'Input Scenarios'!V42, IF(W42&lt;&gt;"", "", Constants!$B$40))</f>
        <v>3.3</v>
      </c>
      <c r="W42" s="16" t="str">
        <f>IF('Input Scenarios'!W42&lt;&gt;"", 'Input Scenarios'!W42, "")</f>
        <v/>
      </c>
      <c r="X42" s="16" t="str">
        <f>'Input Scenarios'!X42</f>
        <v>Jersey</v>
      </c>
      <c r="Y42" s="16" t="str">
        <f>'Input Scenarios'!Y42</f>
        <v>bullsLt1Weaned</v>
      </c>
      <c r="Z42" s="16">
        <f>'Input Scenarios'!Z42</f>
        <v>200</v>
      </c>
      <c r="AA42" s="16">
        <f>IF('Input Scenarios'!AA42&lt;&gt;"", 'Input Scenarios'!AA42, _xlfn.XLOOKUP(Y42,Constants!$J$6:$J$12,Constants!$K$6:$K$12))</f>
        <v>281</v>
      </c>
      <c r="AB42" s="16">
        <f>IF('Input Scenarios'!AB42&lt;&gt;"", 'Input Scenarios'!AB42, INDEX(Constants!$B$2:$H$11, MATCH(X42, Constants!$A$2:$A$11, 0), MATCH(Y42,Constants!$B$1:$H$1, 0)))</f>
        <v>225</v>
      </c>
      <c r="AC42" s="16">
        <f>IF('Input Scenarios'!AC42&lt;&gt;"", 'Input Scenarios'!AC42, _xlfn.XLOOKUP(Y42, Constants!$B$13:$H$13, Constants!$B$15:$H$15, ""))</f>
        <v>0.8</v>
      </c>
      <c r="AD42" s="16">
        <f>IF('Input Scenarios'!AD42&lt;&gt;"", 'Input Scenarios'!AD42, Constants!$B$45)</f>
        <v>0.75</v>
      </c>
      <c r="AE42" s="16">
        <f>IF('Input Scenarios'!AE42&lt;&gt;"", 'Input Scenarios'!AE42, Constants!$B$46)</f>
        <v>0.2</v>
      </c>
      <c r="AF42" s="16">
        <f t="shared" si="40"/>
        <v>0</v>
      </c>
      <c r="AG42" s="16">
        <f t="shared" si="39"/>
        <v>0</v>
      </c>
      <c r="AH42" s="16">
        <f t="shared" si="39"/>
        <v>0</v>
      </c>
      <c r="AI42" s="16">
        <f t="shared" si="39"/>
        <v>0</v>
      </c>
      <c r="AJ42" s="16">
        <f t="shared" si="41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43"/>
        <v>0.5948500000000001</v>
      </c>
      <c r="AQ42" s="16">
        <f t="shared" si="44"/>
        <v>0</v>
      </c>
      <c r="AR42" s="16">
        <f>IF(Y42="milkingCows", Constants!$P$2, Constants!$P$3)</f>
        <v>1</v>
      </c>
      <c r="AS42" s="16">
        <f t="shared" si="45"/>
        <v>5.4143472656250013</v>
      </c>
      <c r="AT42" s="16">
        <f t="shared" si="46"/>
        <v>1.2576570545672616</v>
      </c>
      <c r="AU42" s="16">
        <f>_xlfn.XLOOKUP(Y42, Constants!$B$13:$H$13, Constants!$B$14:$H$14, "")</f>
        <v>770</v>
      </c>
      <c r="AV42" s="16">
        <f t="shared" si="47"/>
        <v>0.29220779220779219</v>
      </c>
      <c r="AW42" s="16">
        <f>Constants!$B$55</f>
        <v>6.25</v>
      </c>
      <c r="AX42" s="16">
        <f t="shared" si="51"/>
        <v>1.9757354894894084E-2</v>
      </c>
      <c r="AY42" s="16">
        <f t="shared" si="52"/>
        <v>1.0828694531250003</v>
      </c>
      <c r="AZ42" s="16">
        <f t="shared" si="18"/>
        <v>0.15247929000170721</v>
      </c>
      <c r="BA42" s="16" t="str">
        <f>IF(ISNUMBER(FIND("PreWeaned",Y42)),_xlfn.XLOOKUP(Y42,Constants!$J$2:$J$3,Constants!$M$2:$M$3),"")</f>
        <v/>
      </c>
      <c r="BB42" s="16">
        <f t="shared" si="53"/>
        <v>8569.336098095946</v>
      </c>
      <c r="BC42" s="16">
        <f t="shared" si="54"/>
        <v>0</v>
      </c>
      <c r="BD42" s="16">
        <f t="shared" si="55"/>
        <v>0</v>
      </c>
      <c r="BE42" s="16">
        <f t="shared" si="56"/>
        <v>0</v>
      </c>
      <c r="BF42" s="16">
        <f t="shared" si="57"/>
        <v>0</v>
      </c>
      <c r="BG42" s="16">
        <f t="shared" si="58"/>
        <v>8569.336098095946</v>
      </c>
      <c r="BH42" s="16">
        <f t="shared" si="59"/>
        <v>0</v>
      </c>
      <c r="BI42" s="16">
        <f>Constants!$B$54</f>
        <v>0.02</v>
      </c>
      <c r="BJ42" s="16">
        <f>Constants!$B$53</f>
        <v>0.24</v>
      </c>
      <c r="BK42" s="16">
        <f t="shared" si="48"/>
        <v>0</v>
      </c>
      <c r="BL42" s="16">
        <f t="shared" si="49"/>
        <v>0</v>
      </c>
      <c r="BM42" s="16">
        <f>Constants!$B$52</f>
        <v>1.0999999999999999E-2</v>
      </c>
      <c r="BN42" s="16">
        <f>Constants!$B$50</f>
        <v>1.57</v>
      </c>
      <c r="BO42" s="16">
        <f t="shared" si="50"/>
        <v>0</v>
      </c>
      <c r="BP42" s="16"/>
    </row>
    <row r="43" spans="1:68" x14ac:dyDescent="0.2">
      <c r="A43" t="str">
        <f>'Input Scenarios'!A43</f>
        <v>ACT</v>
      </c>
      <c r="B43">
        <f>'Input Scenarios'!B43</f>
        <v>0</v>
      </c>
      <c r="C43" t="str">
        <f>'Input Scenarios'!C43</f>
        <v>Non-irrigated crop (low rainfall)</v>
      </c>
      <c r="D43" t="str">
        <f>'Input Scenarios'!D43</f>
        <v>wet</v>
      </c>
      <c r="E43" t="b">
        <f>'Input Scenarios'!E43</f>
        <v>1</v>
      </c>
      <c r="F43" t="str">
        <f>'Input Scenarios'!F43</f>
        <v>Limited feedpad</v>
      </c>
      <c r="G43">
        <f>IF('Input Scenarios'!G43&lt;&gt;"", 'Input Scenarios'!G43, _xlfn.XLOOKUP($F43, Constants!$M$6:$M$9,Constants!N$6:N$9))</f>
        <v>0.79</v>
      </c>
      <c r="H43">
        <f>IF('Input Scenarios'!H43&lt;&gt;"", 'Input Scenarios'!H43, _xlfn.XLOOKUP($F43, Constants!$M$6:$M$9,Constants!O$6:O$9))</f>
        <v>0.11</v>
      </c>
      <c r="I43">
        <f>IF('Input Scenarios'!I43&lt;&gt;"", 'Input Scenarios'!I43, _xlfn.XLOOKUP($F43, Constants!$M$6:$M$9,Constants!P$6:P$9))</f>
        <v>0.1</v>
      </c>
      <c r="J43">
        <f>'Input Scenarios'!J43</f>
        <v>0</v>
      </c>
      <c r="K43">
        <f>'Input Scenarios'!K43</f>
        <v>0</v>
      </c>
      <c r="L43">
        <f>'Input Scenarios'!L43</f>
        <v>1</v>
      </c>
      <c r="M43">
        <f>'Input Scenarios'!M43</f>
        <v>0</v>
      </c>
      <c r="N43">
        <f>'Input Scenarios'!N43</f>
        <v>1</v>
      </c>
      <c r="O43">
        <f>'Input Scenarios'!O43</f>
        <v>0</v>
      </c>
      <c r="P43">
        <f>'Input Scenarios'!P43</f>
        <v>0</v>
      </c>
      <c r="Q43">
        <f>'Input Scenarios'!Q43</f>
        <v>0</v>
      </c>
      <c r="R43" t="b">
        <f>'Input Scenarios'!R43</f>
        <v>1</v>
      </c>
      <c r="S43">
        <f>IF('Input Scenarios'!S43&lt;&gt;"", 'Input Scenarios'!S43, IF(R43, Constants!$B$38, 0))</f>
        <v>0.2</v>
      </c>
      <c r="T43">
        <f>IF('Input Scenarios'!T43&lt;&gt;"", 'Input Scenarios'!T43, "")</f>
        <v>4</v>
      </c>
      <c r="U43">
        <f>IF('Input Scenarios'!U43&lt;&gt;"", 'Input Scenarios'!U43, IF(W43&lt;&gt;"", "", Constants!$B$39))</f>
        <v>4</v>
      </c>
      <c r="V43">
        <f>IF('Input Scenarios'!V43&lt;&gt;"", 'Input Scenarios'!V43, IF(W43&lt;&gt;"", "", Constants!$B$40))</f>
        <v>3.3</v>
      </c>
      <c r="W43" t="str">
        <f>IF('Input Scenarios'!W43&lt;&gt;"", 'Input Scenarios'!W43, "")</f>
        <v/>
      </c>
      <c r="X43" t="str">
        <f>'Input Scenarios'!X43</f>
        <v>Jersey crossbred</v>
      </c>
      <c r="Y43" t="str">
        <f>'Input Scenarios'!Y43</f>
        <v>milkingCows</v>
      </c>
      <c r="Z43">
        <f>'Input Scenarios'!Z43</f>
        <v>200</v>
      </c>
      <c r="AA43">
        <f>IF('Input Scenarios'!AA43&lt;&gt;"", 'Input Scenarios'!AA43, _xlfn.XLOOKUP(Y43,Constants!$J$6:$J$12,Constants!$K$6:$K$12))</f>
        <v>365</v>
      </c>
      <c r="AB43">
        <f>IF('Input Scenarios'!AB43&lt;&gt;"", 'Input Scenarios'!AB43, INDEX(Constants!$B$2:$H$11, MATCH(X43, Constants!$A$2:$A$11, 0), MATCH(Y43,Constants!$B$1:$H$1, 0)))</f>
        <v>450</v>
      </c>
      <c r="AC43">
        <f>IF('Input Scenarios'!AC43&lt;&gt;"", 'Input Scenarios'!AC43, _xlfn.XLOOKUP(Y43, Constants!$B$13:$H$13, Constants!$B$15:$H$15, ""))</f>
        <v>1.6E-2</v>
      </c>
      <c r="AD43">
        <f>IF('Input Scenarios'!AD43&lt;&gt;"", 'Input Scenarios'!AD43, Constants!$B$45)</f>
        <v>0.75</v>
      </c>
      <c r="AE43">
        <f>IF('Input Scenarios'!AE43&lt;&gt;"", 'Input Scenarios'!AE43, Constants!$B$46)</f>
        <v>0.2</v>
      </c>
      <c r="AF43" s="20">
        <f t="shared" si="40"/>
        <v>0.1</v>
      </c>
      <c r="AG43" s="20">
        <f t="shared" si="39"/>
        <v>0</v>
      </c>
      <c r="AH43" s="20">
        <f t="shared" si="39"/>
        <v>0.11</v>
      </c>
      <c r="AI43" s="20">
        <f t="shared" si="39"/>
        <v>0</v>
      </c>
      <c r="AJ43" s="20">
        <f t="shared" si="41"/>
        <v>0.79</v>
      </c>
      <c r="AK43">
        <f t="shared" ref="AK43:AK63" si="60">IF(Y43="milkingCows", IF(W43&lt;&gt;"", W43, T43/((U43+V43)*0.01)), 0)</f>
        <v>54.794520547945211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43"/>
        <v>0.5948500000000001</v>
      </c>
      <c r="AQ43">
        <f t="shared" si="44"/>
        <v>26.246225105773135</v>
      </c>
      <c r="AR43">
        <f>IF(Y43="milkingCows", Constants!$P$2, Constants!$P$3)</f>
        <v>1.1000000000000001</v>
      </c>
      <c r="AS43">
        <f t="shared" si="45"/>
        <v>34.304119754533133</v>
      </c>
      <c r="AT43">
        <f t="shared" si="46"/>
        <v>1.0008747754393335</v>
      </c>
      <c r="AU43">
        <f>_xlfn.XLOOKUP(Y43, Constants!$B$13:$H$13, Constants!$B$14:$H$14, "")</f>
        <v>590</v>
      </c>
      <c r="AV43">
        <f t="shared" si="47"/>
        <v>0.76271186440677963</v>
      </c>
      <c r="AW43">
        <f>Constants!$B$55</f>
        <v>6.25</v>
      </c>
      <c r="AX43" s="20">
        <f t="shared" si="51"/>
        <v>0.2832814871011613</v>
      </c>
      <c r="AY43">
        <f t="shared" si="52"/>
        <v>6.8608239509066271</v>
      </c>
      <c r="AZ43">
        <f t="shared" si="18"/>
        <v>0.81273076635907693</v>
      </c>
      <c r="BA43" t="str">
        <f>IF(ISNUMBER(FIND("PreWeaned",Y43)),_xlfn.XLOOKUP(Y43,Constants!$J$2:$J$3,Constants!$M$2:$M$3),"")</f>
        <v/>
      </c>
      <c r="BB43">
        <f t="shared" si="53"/>
        <v>59329.345944212619</v>
      </c>
      <c r="BC43">
        <f t="shared" si="54"/>
        <v>5932.9345944212619</v>
      </c>
      <c r="BD43">
        <f t="shared" si="55"/>
        <v>0</v>
      </c>
      <c r="BE43">
        <f t="shared" si="56"/>
        <v>6526.2280538633877</v>
      </c>
      <c r="BF43">
        <f t="shared" si="57"/>
        <v>0</v>
      </c>
      <c r="BG43">
        <f t="shared" si="58"/>
        <v>46870.183295927971</v>
      </c>
      <c r="BH43">
        <f t="shared" si="59"/>
        <v>1</v>
      </c>
      <c r="BI43">
        <f>Constants!$B$54</f>
        <v>0.02</v>
      </c>
      <c r="BJ43">
        <f>Constants!$B$53</f>
        <v>0.24</v>
      </c>
      <c r="BK43">
        <f t="shared" si="48"/>
        <v>0</v>
      </c>
      <c r="BL43">
        <f t="shared" si="49"/>
        <v>11248.843991022713</v>
      </c>
      <c r="BM43">
        <f>Constants!$B$52</f>
        <v>1.0999999999999999E-2</v>
      </c>
      <c r="BN43">
        <f>Constants!$B$50</f>
        <v>1.57</v>
      </c>
      <c r="BO43">
        <f t="shared" si="50"/>
        <v>194.26753572496224</v>
      </c>
      <c r="BP43">
        <f>SUM(BO43:BO49)/1000</f>
        <v>0.40050553138942607</v>
      </c>
    </row>
    <row r="44" spans="1:68" x14ac:dyDescent="0.2">
      <c r="A44" t="str">
        <f>'Input Scenarios'!A44</f>
        <v>ACT</v>
      </c>
      <c r="B44">
        <f>'Input Scenarios'!B44</f>
        <v>0</v>
      </c>
      <c r="C44" t="str">
        <f>'Input Scenarios'!C44</f>
        <v>Non-irrigated crop (low rainfall)</v>
      </c>
      <c r="D44" t="str">
        <f>'Input Scenarios'!D44</f>
        <v>wet</v>
      </c>
      <c r="E44" t="b">
        <f>'Input Scenarios'!E44</f>
        <v>1</v>
      </c>
      <c r="F44" t="str">
        <f>'Input Scenarios'!F44</f>
        <v>Limited feedpad</v>
      </c>
      <c r="G44">
        <f>IF('Input Scenarios'!G44&lt;&gt;"", 'Input Scenarios'!G44, _xlfn.XLOOKUP($F44, Constants!$M$6:$M$9,Constants!N$6:N$9))</f>
        <v>0.79</v>
      </c>
      <c r="H44">
        <f>IF('Input Scenarios'!H44&lt;&gt;"", 'Input Scenarios'!H44, _xlfn.XLOOKUP($F44, Constants!$M$6:$M$9,Constants!O$6:O$9))</f>
        <v>0.11</v>
      </c>
      <c r="I44">
        <f>IF('Input Scenarios'!I44&lt;&gt;"", 'Input Scenarios'!I44, _xlfn.XLOOKUP($F44, Constants!$M$6:$M$9,Constants!P$6:P$9))</f>
        <v>0.1</v>
      </c>
      <c r="J44">
        <f>'Input Scenarios'!J44</f>
        <v>0</v>
      </c>
      <c r="K44">
        <f>'Input Scenarios'!K44</f>
        <v>0</v>
      </c>
      <c r="L44">
        <f>'Input Scenarios'!L44</f>
        <v>1</v>
      </c>
      <c r="M44">
        <f>'Input Scenarios'!M44</f>
        <v>0</v>
      </c>
      <c r="N44">
        <f>'Input Scenarios'!N44</f>
        <v>1</v>
      </c>
      <c r="O44">
        <f>'Input Scenarios'!O44</f>
        <v>0</v>
      </c>
      <c r="P44">
        <f>'Input Scenarios'!P44</f>
        <v>0</v>
      </c>
      <c r="Q44">
        <f>'Input Scenarios'!Q44</f>
        <v>0</v>
      </c>
      <c r="R44" t="b">
        <f>'Input Scenarios'!R44</f>
        <v>1</v>
      </c>
      <c r="S44">
        <f>IF('Input Scenarios'!S44&lt;&gt;"", 'Input Scenarios'!S44, IF(R44, Constants!$B$38, 0))</f>
        <v>0.2</v>
      </c>
      <c r="T44" t="str">
        <f>IF('Input Scenarios'!T44&lt;&gt;"", 'Input Scenarios'!T44, "")</f>
        <v/>
      </c>
      <c r="U44">
        <f>IF('Input Scenarios'!U44&lt;&gt;"", 'Input Scenarios'!U44, IF(W44&lt;&gt;"", "", Constants!$B$39))</f>
        <v>4</v>
      </c>
      <c r="V44">
        <f>IF('Input Scenarios'!V44&lt;&gt;"", 'Input Scenarios'!V44, IF(W44&lt;&gt;"", "", Constants!$B$40))</f>
        <v>3.3</v>
      </c>
      <c r="W44" t="str">
        <f>IF('Input Scenarios'!W44&lt;&gt;"", 'Input Scenarios'!W44, "")</f>
        <v/>
      </c>
      <c r="X44" t="str">
        <f>'Input Scenarios'!X44</f>
        <v>Jersey crossbred</v>
      </c>
      <c r="Y44" t="str">
        <f>'Input Scenarios'!Y44</f>
        <v>heifersGt1</v>
      </c>
      <c r="Z44">
        <f>'Input Scenarios'!Z44</f>
        <v>200</v>
      </c>
      <c r="AA44">
        <f>IF('Input Scenarios'!AA44&lt;&gt;"", 'Input Scenarios'!AA44, _xlfn.XLOOKUP(Y44,Constants!$J$6:$J$12,Constants!$K$6:$K$12))</f>
        <v>365</v>
      </c>
      <c r="AB44">
        <f>IF('Input Scenarios'!AB44&lt;&gt;"", 'Input Scenarios'!AB44, INDEX(Constants!$B$2:$H$11, MATCH(X44, Constants!$A$2:$A$11, 0), MATCH(Y44,Constants!$B$1:$H$1, 0)))</f>
        <v>315</v>
      </c>
      <c r="AC44">
        <f>IF('Input Scenarios'!AC44&lt;&gt;"", 'Input Scenarios'!AC44, _xlfn.XLOOKUP(Y44, Constants!$B$13:$H$13, Constants!$B$15:$H$15, ""))</f>
        <v>0.6</v>
      </c>
      <c r="AD44">
        <f>IF('Input Scenarios'!AD44&lt;&gt;"", 'Input Scenarios'!AD44, Constants!$B$45)</f>
        <v>0.75</v>
      </c>
      <c r="AE44">
        <f>IF('Input Scenarios'!AE44&lt;&gt;"", 'Input Scenarios'!AE44, Constants!$B$46)</f>
        <v>0.2</v>
      </c>
      <c r="AF44">
        <f t="shared" si="40"/>
        <v>0</v>
      </c>
      <c r="AG44">
        <f t="shared" si="39"/>
        <v>0</v>
      </c>
      <c r="AH44">
        <f t="shared" si="39"/>
        <v>0</v>
      </c>
      <c r="AI44">
        <f t="shared" si="39"/>
        <v>0</v>
      </c>
      <c r="AJ44">
        <f t="shared" si="41"/>
        <v>1</v>
      </c>
      <c r="AK44">
        <f t="shared" si="60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43"/>
        <v>0.5948500000000001</v>
      </c>
      <c r="AQ44">
        <f t="shared" si="44"/>
        <v>0</v>
      </c>
      <c r="AR44">
        <f>IF(Y44="milkingCows", Constants!$P$2, Constants!$P$3)</f>
        <v>1</v>
      </c>
      <c r="AS44">
        <f t="shared" si="45"/>
        <v>6.4827015932249994</v>
      </c>
      <c r="AT44">
        <f t="shared" si="46"/>
        <v>1.166794807523394</v>
      </c>
      <c r="AU44">
        <f>_xlfn.XLOOKUP(Y44, Constants!$B$13:$H$13, Constants!$B$14:$H$14, "")</f>
        <v>590</v>
      </c>
      <c r="AV44">
        <f t="shared" si="47"/>
        <v>0.53389830508474578</v>
      </c>
      <c r="AW44">
        <f>Constants!$B$55</f>
        <v>6.25</v>
      </c>
      <c r="AX44">
        <f t="shared" si="51"/>
        <v>1.0365571727800444E-2</v>
      </c>
      <c r="AY44">
        <f t="shared" si="52"/>
        <v>1.296540318645</v>
      </c>
      <c r="AZ44">
        <f t="shared" si="18"/>
        <v>0.19576491048465905</v>
      </c>
      <c r="BA44" t="str">
        <f>IF(ISNUMBER(FIND("PreWeaned",Y44)),_xlfn.XLOOKUP(Y44,Constants!$J$2:$J$3,Constants!$M$2:$M$3),"")</f>
        <v/>
      </c>
      <c r="BB44">
        <f t="shared" si="53"/>
        <v>14290.838465380109</v>
      </c>
      <c r="BC44">
        <f t="shared" si="54"/>
        <v>0</v>
      </c>
      <c r="BD44">
        <f t="shared" si="55"/>
        <v>0</v>
      </c>
      <c r="BE44">
        <f t="shared" si="56"/>
        <v>0</v>
      </c>
      <c r="BF44">
        <f t="shared" si="57"/>
        <v>0</v>
      </c>
      <c r="BG44">
        <f t="shared" si="58"/>
        <v>14290.838465380109</v>
      </c>
      <c r="BH44">
        <f t="shared" si="59"/>
        <v>1</v>
      </c>
      <c r="BI44">
        <f>Constants!$B$54</f>
        <v>0.02</v>
      </c>
      <c r="BJ44">
        <f>Constants!$B$53</f>
        <v>0.24</v>
      </c>
      <c r="BK44">
        <f t="shared" si="48"/>
        <v>0</v>
      </c>
      <c r="BL44">
        <f t="shared" si="49"/>
        <v>3429.8012316912263</v>
      </c>
      <c r="BM44">
        <f>Constants!$B$52</f>
        <v>1.0999999999999999E-2</v>
      </c>
      <c r="BN44">
        <f>Constants!$B$50</f>
        <v>1.57</v>
      </c>
      <c r="BO44">
        <f t="shared" si="50"/>
        <v>59.232667271307477</v>
      </c>
    </row>
    <row r="45" spans="1:68" x14ac:dyDescent="0.2">
      <c r="A45" t="str">
        <f>'Input Scenarios'!A45</f>
        <v>ACT</v>
      </c>
      <c r="B45">
        <f>'Input Scenarios'!B45</f>
        <v>0</v>
      </c>
      <c r="C45" t="str">
        <f>'Input Scenarios'!C45</f>
        <v>Non-irrigated crop (low rainfall)</v>
      </c>
      <c r="D45" t="str">
        <f>'Input Scenarios'!D45</f>
        <v>wet</v>
      </c>
      <c r="E45" t="b">
        <f>'Input Scenarios'!E45</f>
        <v>1</v>
      </c>
      <c r="F45" t="str">
        <f>'Input Scenarios'!F45</f>
        <v>Limited feedpad</v>
      </c>
      <c r="G45">
        <f>IF('Input Scenarios'!G45&lt;&gt;"", 'Input Scenarios'!G45, _xlfn.XLOOKUP($F45, Constants!$M$6:$M$9,Constants!N$6:N$9))</f>
        <v>0.79</v>
      </c>
      <c r="H45">
        <f>IF('Input Scenarios'!H45&lt;&gt;"", 'Input Scenarios'!H45, _xlfn.XLOOKUP($F45, Constants!$M$6:$M$9,Constants!O$6:O$9))</f>
        <v>0.11</v>
      </c>
      <c r="I45">
        <f>IF('Input Scenarios'!I45&lt;&gt;"", 'Input Scenarios'!I45, _xlfn.XLOOKUP($F45, Constants!$M$6:$M$9,Constants!P$6:P$9))</f>
        <v>0.1</v>
      </c>
      <c r="J45">
        <f>'Input Scenarios'!J45</f>
        <v>0</v>
      </c>
      <c r="K45">
        <f>'Input Scenarios'!K45</f>
        <v>0</v>
      </c>
      <c r="L45">
        <f>'Input Scenarios'!L45</f>
        <v>1</v>
      </c>
      <c r="M45">
        <f>'Input Scenarios'!M45</f>
        <v>0</v>
      </c>
      <c r="N45">
        <f>'Input Scenarios'!N45</f>
        <v>1</v>
      </c>
      <c r="O45">
        <f>'Input Scenarios'!O45</f>
        <v>0</v>
      </c>
      <c r="P45">
        <f>'Input Scenarios'!P45</f>
        <v>0</v>
      </c>
      <c r="Q45">
        <f>'Input Scenarios'!Q45</f>
        <v>0</v>
      </c>
      <c r="R45" t="b">
        <f>'Input Scenarios'!R45</f>
        <v>1</v>
      </c>
      <c r="S45">
        <f>IF('Input Scenarios'!S45&lt;&gt;"", 'Input Scenarios'!S45, IF(R45, Constants!$B$38, 0))</f>
        <v>0.2</v>
      </c>
      <c r="T45" t="str">
        <f>IF('Input Scenarios'!T45&lt;&gt;"", 'Input Scenarios'!T45, "")</f>
        <v/>
      </c>
      <c r="U45">
        <f>IF('Input Scenarios'!U45&lt;&gt;"", 'Input Scenarios'!U45, IF(W45&lt;&gt;"", "", Constants!$B$39))</f>
        <v>4</v>
      </c>
      <c r="V45">
        <f>IF('Input Scenarios'!V45&lt;&gt;"", 'Input Scenarios'!V45, IF(W45&lt;&gt;"", "", Constants!$B$40))</f>
        <v>3.3</v>
      </c>
      <c r="W45" t="str">
        <f>IF('Input Scenarios'!W45&lt;&gt;"", 'Input Scenarios'!W45, "")</f>
        <v/>
      </c>
      <c r="X45" t="str">
        <f>'Input Scenarios'!X45</f>
        <v>Jersey crossbred</v>
      </c>
      <c r="Y45" t="str">
        <f>'Input Scenarios'!Y45</f>
        <v>heifersLt1PreWeaned</v>
      </c>
      <c r="Z45">
        <f>'Input Scenarios'!Z45</f>
        <v>200</v>
      </c>
      <c r="AA45">
        <f>IF('Input Scenarios'!AA45&lt;&gt;"", 'Input Scenarios'!AA45, _xlfn.XLOOKUP(Y45,Constants!$J$6:$J$12,Constants!$K$6:$K$12))</f>
        <v>84</v>
      </c>
      <c r="AB45">
        <f>IF('Input Scenarios'!AB45&lt;&gt;"", 'Input Scenarios'!AB45, INDEX(Constants!$B$2:$H$11, MATCH(X45, Constants!$A$2:$A$11, 0), MATCH(Y45,Constants!$B$1:$H$1, 0)))</f>
        <v>130</v>
      </c>
      <c r="AC45" t="str">
        <f>IF('Input Scenarios'!AC45&lt;&gt;"", 'Input Scenarios'!AC45, _xlfn.XLOOKUP(Y45, Constants!$B$13:$H$13, Constants!$B$15:$H$15, ""))</f>
        <v/>
      </c>
      <c r="AD45">
        <f>IF('Input Scenarios'!AD45&lt;&gt;"", 'Input Scenarios'!AD45, Constants!$B$45)</f>
        <v>0.75</v>
      </c>
      <c r="AE45">
        <f>IF('Input Scenarios'!AE45&lt;&gt;"", 'Input Scenarios'!AE45, Constants!$B$46)</f>
        <v>0.2</v>
      </c>
      <c r="AF45">
        <f t="shared" si="40"/>
        <v>0</v>
      </c>
      <c r="AG45">
        <f t="shared" si="40"/>
        <v>0</v>
      </c>
      <c r="AH45">
        <f t="shared" si="40"/>
        <v>0</v>
      </c>
      <c r="AI45">
        <f t="shared" si="40"/>
        <v>0</v>
      </c>
      <c r="AJ45">
        <f t="shared" si="41"/>
        <v>1</v>
      </c>
      <c r="AK45">
        <f t="shared" si="60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43"/>
        <v>0.5948500000000001</v>
      </c>
      <c r="AQ45">
        <f t="shared" si="44"/>
        <v>0</v>
      </c>
      <c r="AR45">
        <f>IF(Y45="milkingCows", Constants!$P$2, Constants!$P$3)</f>
        <v>1</v>
      </c>
      <c r="AS45" t="str">
        <f t="shared" si="45"/>
        <v/>
      </c>
      <c r="AT45" t="str">
        <f t="shared" si="46"/>
        <v/>
      </c>
      <c r="AU45" t="str">
        <f>_xlfn.XLOOKUP(Y45, Constants!$B$13:$H$13, Constants!$B$14:$H$14, "")</f>
        <v/>
      </c>
      <c r="AV45" t="str">
        <f t="shared" si="47"/>
        <v/>
      </c>
      <c r="AW45">
        <f>Constants!$B$55</f>
        <v>6.25</v>
      </c>
      <c r="AX45" t="str">
        <f t="shared" si="51"/>
        <v/>
      </c>
      <c r="AY45" t="str">
        <f t="shared" si="52"/>
        <v/>
      </c>
      <c r="AZ45" t="str">
        <f t="shared" si="18"/>
        <v/>
      </c>
      <c r="BA45">
        <f>IF(ISNUMBER(FIND("PreWeaned",Y45)),_xlfn.XLOOKUP(Y45,Constants!$J$2:$J$3,Constants!$M$2:$M$3),"")</f>
        <v>1.37E-2</v>
      </c>
      <c r="BB45">
        <f t="shared" si="53"/>
        <v>230.16000000000003</v>
      </c>
      <c r="BC45">
        <f t="shared" si="54"/>
        <v>0</v>
      </c>
      <c r="BD45">
        <f t="shared" si="55"/>
        <v>0</v>
      </c>
      <c r="BE45">
        <f t="shared" si="56"/>
        <v>0</v>
      </c>
      <c r="BF45">
        <f t="shared" si="57"/>
        <v>0</v>
      </c>
      <c r="BG45">
        <f t="shared" si="58"/>
        <v>230.16000000000003</v>
      </c>
      <c r="BH45">
        <f t="shared" si="59"/>
        <v>1</v>
      </c>
      <c r="BI45">
        <f>Constants!$B$54</f>
        <v>0.02</v>
      </c>
      <c r="BJ45">
        <f>Constants!$B$53</f>
        <v>0.24</v>
      </c>
      <c r="BK45">
        <f t="shared" si="48"/>
        <v>0</v>
      </c>
      <c r="BL45">
        <f t="shared" si="49"/>
        <v>55.238400000000006</v>
      </c>
      <c r="BM45">
        <f>Constants!$B$52</f>
        <v>1.0999999999999999E-2</v>
      </c>
      <c r="BN45">
        <f>Constants!$B$50</f>
        <v>1.57</v>
      </c>
      <c r="BO45">
        <f t="shared" si="50"/>
        <v>0.95396716800000003</v>
      </c>
    </row>
    <row r="46" spans="1:68" x14ac:dyDescent="0.2">
      <c r="A46" t="str">
        <f>'Input Scenarios'!A46</f>
        <v>ACT</v>
      </c>
      <c r="B46">
        <f>'Input Scenarios'!B46</f>
        <v>0</v>
      </c>
      <c r="C46" t="str">
        <f>'Input Scenarios'!C46</f>
        <v>Non-irrigated crop (low rainfall)</v>
      </c>
      <c r="D46" t="str">
        <f>'Input Scenarios'!D46</f>
        <v>wet</v>
      </c>
      <c r="E46" t="b">
        <f>'Input Scenarios'!E46</f>
        <v>1</v>
      </c>
      <c r="F46" t="str">
        <f>'Input Scenarios'!F46</f>
        <v>Limited feedpad</v>
      </c>
      <c r="G46">
        <f>IF('Input Scenarios'!G46&lt;&gt;"", 'Input Scenarios'!G46, _xlfn.XLOOKUP($F46, Constants!$M$6:$M$9,Constants!N$6:N$9))</f>
        <v>0.79</v>
      </c>
      <c r="H46">
        <f>IF('Input Scenarios'!H46&lt;&gt;"", 'Input Scenarios'!H46, _xlfn.XLOOKUP($F46, Constants!$M$6:$M$9,Constants!O$6:O$9))</f>
        <v>0.11</v>
      </c>
      <c r="I46">
        <f>IF('Input Scenarios'!I46&lt;&gt;"", 'Input Scenarios'!I46, _xlfn.XLOOKUP($F46, Constants!$M$6:$M$9,Constants!P$6:P$9))</f>
        <v>0.1</v>
      </c>
      <c r="J46">
        <f>'Input Scenarios'!J46</f>
        <v>0</v>
      </c>
      <c r="K46">
        <f>'Input Scenarios'!K46</f>
        <v>0</v>
      </c>
      <c r="L46">
        <f>'Input Scenarios'!L46</f>
        <v>1</v>
      </c>
      <c r="M46">
        <f>'Input Scenarios'!M46</f>
        <v>0</v>
      </c>
      <c r="N46">
        <f>'Input Scenarios'!N46</f>
        <v>1</v>
      </c>
      <c r="O46">
        <f>'Input Scenarios'!O46</f>
        <v>0</v>
      </c>
      <c r="P46">
        <f>'Input Scenarios'!P46</f>
        <v>0</v>
      </c>
      <c r="Q46">
        <f>'Input Scenarios'!Q46</f>
        <v>0</v>
      </c>
      <c r="R46" t="b">
        <f>'Input Scenarios'!R46</f>
        <v>1</v>
      </c>
      <c r="S46">
        <f>IF('Input Scenarios'!S46&lt;&gt;"", 'Input Scenarios'!S46, IF(R46, Constants!$B$38, 0))</f>
        <v>0.2</v>
      </c>
      <c r="T46" t="str">
        <f>IF('Input Scenarios'!T46&lt;&gt;"", 'Input Scenarios'!T46, "")</f>
        <v/>
      </c>
      <c r="U46">
        <f>IF('Input Scenarios'!U46&lt;&gt;"", 'Input Scenarios'!U46, IF(W46&lt;&gt;"", "", Constants!$B$39))</f>
        <v>4</v>
      </c>
      <c r="V46">
        <f>IF('Input Scenarios'!V46&lt;&gt;"", 'Input Scenarios'!V46, IF(W46&lt;&gt;"", "", Constants!$B$40))</f>
        <v>3.3</v>
      </c>
      <c r="W46" t="str">
        <f>IF('Input Scenarios'!W46&lt;&gt;"", 'Input Scenarios'!W46, "")</f>
        <v/>
      </c>
      <c r="X46" t="str">
        <f>'Input Scenarios'!X46</f>
        <v>Jersey crossbred</v>
      </c>
      <c r="Y46" t="str">
        <f>'Input Scenarios'!Y46</f>
        <v>heifersLt1Weaned</v>
      </c>
      <c r="Z46">
        <f>'Input Scenarios'!Z46</f>
        <v>200</v>
      </c>
      <c r="AA46">
        <f>IF('Input Scenarios'!AA46&lt;&gt;"", 'Input Scenarios'!AA46, _xlfn.XLOOKUP(Y46,Constants!$J$6:$J$12,Constants!$K$6:$K$12))</f>
        <v>281</v>
      </c>
      <c r="AB46">
        <f>IF('Input Scenarios'!AB46&lt;&gt;"", 'Input Scenarios'!AB46, INDEX(Constants!$B$2:$H$11, MATCH(X46, Constants!$A$2:$A$11, 0), MATCH(Y46,Constants!$B$1:$H$1, 0)))</f>
        <v>130</v>
      </c>
      <c r="AC46">
        <f>IF('Input Scenarios'!AC46&lt;&gt;"", 'Input Scenarios'!AC46, _xlfn.XLOOKUP(Y46, Constants!$B$13:$H$13, Constants!$B$15:$H$15, ""))</f>
        <v>0.56999999999999995</v>
      </c>
      <c r="AD46">
        <f>IF('Input Scenarios'!AD46&lt;&gt;"", 'Input Scenarios'!AD46, Constants!$B$45)</f>
        <v>0.75</v>
      </c>
      <c r="AE46">
        <f>IF('Input Scenarios'!AE46&lt;&gt;"", 'Input Scenarios'!AE46, Constants!$B$46)</f>
        <v>0.2</v>
      </c>
      <c r="AF46">
        <f t="shared" si="40"/>
        <v>0</v>
      </c>
      <c r="AG46">
        <f t="shared" si="40"/>
        <v>0</v>
      </c>
      <c r="AH46">
        <f t="shared" si="40"/>
        <v>0</v>
      </c>
      <c r="AI46">
        <f t="shared" si="40"/>
        <v>0</v>
      </c>
      <c r="AJ46">
        <f t="shared" si="41"/>
        <v>1</v>
      </c>
      <c r="AK46">
        <f t="shared" si="60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43"/>
        <v>0.5948500000000001</v>
      </c>
      <c r="AQ46">
        <f t="shared" si="44"/>
        <v>0</v>
      </c>
      <c r="AR46">
        <f>IF(Y46="milkingCows", Constants!$P$2, Constants!$P$3)</f>
        <v>1</v>
      </c>
      <c r="AS46">
        <f t="shared" si="45"/>
        <v>3.6511948560999987</v>
      </c>
      <c r="AT46">
        <f t="shared" si="46"/>
        <v>1.2181770715229607</v>
      </c>
      <c r="AU46">
        <f>_xlfn.XLOOKUP(Y46, Constants!$B$13:$H$13, Constants!$B$14:$H$14, "")</f>
        <v>590</v>
      </c>
      <c r="AV46">
        <f t="shared" si="47"/>
        <v>0.22033898305084745</v>
      </c>
      <c r="AW46">
        <f>Constants!$B$55</f>
        <v>6.25</v>
      </c>
      <c r="AX46">
        <f t="shared" si="51"/>
        <v>1.5196847323916365E-2</v>
      </c>
      <c r="AY46">
        <f t="shared" si="52"/>
        <v>0.73023897121999981</v>
      </c>
      <c r="AZ46">
        <f t="shared" si="18"/>
        <v>0.10096379308784414</v>
      </c>
      <c r="BA46" t="str">
        <f>IF(ISNUMBER(FIND("PreWeaned",Y46)),_xlfn.XLOOKUP(Y46,Constants!$J$2:$J$3,Constants!$M$2:$M$3),"")</f>
        <v/>
      </c>
      <c r="BB46">
        <f t="shared" si="53"/>
        <v>5674.1651715368407</v>
      </c>
      <c r="BC46">
        <f t="shared" si="54"/>
        <v>0</v>
      </c>
      <c r="BD46">
        <f t="shared" si="55"/>
        <v>0</v>
      </c>
      <c r="BE46">
        <f t="shared" si="56"/>
        <v>0</v>
      </c>
      <c r="BF46">
        <f t="shared" si="57"/>
        <v>0</v>
      </c>
      <c r="BG46">
        <f t="shared" si="58"/>
        <v>5674.1651715368407</v>
      </c>
      <c r="BH46">
        <f t="shared" si="59"/>
        <v>1</v>
      </c>
      <c r="BI46">
        <f>Constants!$B$54</f>
        <v>0.02</v>
      </c>
      <c r="BJ46">
        <f>Constants!$B$53</f>
        <v>0.24</v>
      </c>
      <c r="BK46">
        <f t="shared" si="48"/>
        <v>0</v>
      </c>
      <c r="BL46">
        <f t="shared" si="49"/>
        <v>1361.7996411688416</v>
      </c>
      <c r="BM46">
        <f>Constants!$B$52</f>
        <v>1.0999999999999999E-2</v>
      </c>
      <c r="BN46">
        <f>Constants!$B$50</f>
        <v>1.57</v>
      </c>
      <c r="BO46">
        <f t="shared" si="50"/>
        <v>23.518279802985894</v>
      </c>
    </row>
    <row r="47" spans="1:68" x14ac:dyDescent="0.2">
      <c r="A47" t="str">
        <f>'Input Scenarios'!A47</f>
        <v>ACT</v>
      </c>
      <c r="B47">
        <f>'Input Scenarios'!B47</f>
        <v>0</v>
      </c>
      <c r="C47" t="str">
        <f>'Input Scenarios'!C47</f>
        <v>Non-irrigated crop (low rainfall)</v>
      </c>
      <c r="D47" t="str">
        <f>'Input Scenarios'!D47</f>
        <v>wet</v>
      </c>
      <c r="E47" t="b">
        <f>'Input Scenarios'!E47</f>
        <v>1</v>
      </c>
      <c r="F47" t="str">
        <f>'Input Scenarios'!F47</f>
        <v>Limited feedpad</v>
      </c>
      <c r="G47">
        <f>IF('Input Scenarios'!G47&lt;&gt;"", 'Input Scenarios'!G47, _xlfn.XLOOKUP($F47, Constants!$M$6:$M$9,Constants!N$6:N$9))</f>
        <v>0.79</v>
      </c>
      <c r="H47">
        <f>IF('Input Scenarios'!H47&lt;&gt;"", 'Input Scenarios'!H47, _xlfn.XLOOKUP($F47, Constants!$M$6:$M$9,Constants!O$6:O$9))</f>
        <v>0.11</v>
      </c>
      <c r="I47">
        <f>IF('Input Scenarios'!I47&lt;&gt;"", 'Input Scenarios'!I47, _xlfn.XLOOKUP($F47, Constants!$M$6:$M$9,Constants!P$6:P$9))</f>
        <v>0.1</v>
      </c>
      <c r="J47">
        <f>'Input Scenarios'!J47</f>
        <v>0</v>
      </c>
      <c r="K47">
        <f>'Input Scenarios'!K47</f>
        <v>0</v>
      </c>
      <c r="L47">
        <f>'Input Scenarios'!L47</f>
        <v>1</v>
      </c>
      <c r="M47">
        <f>'Input Scenarios'!M47</f>
        <v>0</v>
      </c>
      <c r="N47">
        <f>'Input Scenarios'!N47</f>
        <v>1</v>
      </c>
      <c r="O47">
        <f>'Input Scenarios'!O47</f>
        <v>0</v>
      </c>
      <c r="P47">
        <f>'Input Scenarios'!P47</f>
        <v>0</v>
      </c>
      <c r="Q47">
        <f>'Input Scenarios'!Q47</f>
        <v>0</v>
      </c>
      <c r="R47" t="b">
        <f>'Input Scenarios'!R47</f>
        <v>1</v>
      </c>
      <c r="S47">
        <f>IF('Input Scenarios'!S47&lt;&gt;"", 'Input Scenarios'!S47, IF(R47, Constants!$B$38, 0))</f>
        <v>0.2</v>
      </c>
      <c r="T47" t="str">
        <f>IF('Input Scenarios'!T47&lt;&gt;"", 'Input Scenarios'!T47, "")</f>
        <v/>
      </c>
      <c r="U47">
        <f>IF('Input Scenarios'!U47&lt;&gt;"", 'Input Scenarios'!U47, IF(W47&lt;&gt;"", "", Constants!$B$39))</f>
        <v>4</v>
      </c>
      <c r="V47">
        <f>IF('Input Scenarios'!V47&lt;&gt;"", 'Input Scenarios'!V47, IF(W47&lt;&gt;"", "", Constants!$B$40))</f>
        <v>3.3</v>
      </c>
      <c r="W47" t="str">
        <f>IF('Input Scenarios'!W47&lt;&gt;"", 'Input Scenarios'!W47, "")</f>
        <v/>
      </c>
      <c r="X47" t="str">
        <f>'Input Scenarios'!X47</f>
        <v>Jersey crossbred</v>
      </c>
      <c r="Y47" t="str">
        <f>'Input Scenarios'!Y47</f>
        <v>bullsGt1</v>
      </c>
      <c r="Z47">
        <f>'Input Scenarios'!Z47</f>
        <v>200</v>
      </c>
      <c r="AA47">
        <f>IF('Input Scenarios'!AA47&lt;&gt;"", 'Input Scenarios'!AA47, _xlfn.XLOOKUP(Y47,Constants!$J$6:$J$12,Constants!$K$6:$K$12))</f>
        <v>365</v>
      </c>
      <c r="AB47">
        <f>IF('Input Scenarios'!AB47&lt;&gt;"", 'Input Scenarios'!AB47, INDEX(Constants!$B$2:$H$11, MATCH(X47, Constants!$A$2:$A$11, 0), MATCH(Y47,Constants!$B$1:$H$1, 0)))</f>
        <v>600</v>
      </c>
      <c r="AC47">
        <f>IF('Input Scenarios'!AC47&lt;&gt;"", 'Input Scenarios'!AC47, _xlfn.XLOOKUP(Y47, Constants!$B$13:$H$13, Constants!$B$15:$H$15, ""))</f>
        <v>0.1</v>
      </c>
      <c r="AD47">
        <f>IF('Input Scenarios'!AD47&lt;&gt;"", 'Input Scenarios'!AD47, Constants!$B$45)</f>
        <v>0.75</v>
      </c>
      <c r="AE47">
        <f>IF('Input Scenarios'!AE47&lt;&gt;"", 'Input Scenarios'!AE47, Constants!$B$46)</f>
        <v>0.2</v>
      </c>
      <c r="AF47">
        <f t="shared" si="40"/>
        <v>0</v>
      </c>
      <c r="AG47">
        <f t="shared" si="40"/>
        <v>0</v>
      </c>
      <c r="AH47">
        <f t="shared" si="40"/>
        <v>0</v>
      </c>
      <c r="AI47">
        <f t="shared" si="40"/>
        <v>0</v>
      </c>
      <c r="AJ47">
        <f t="shared" si="41"/>
        <v>1</v>
      </c>
      <c r="AK47">
        <f t="shared" si="60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43"/>
        <v>0.5948500000000001</v>
      </c>
      <c r="AQ47">
        <f t="shared" si="44"/>
        <v>0</v>
      </c>
      <c r="AR47">
        <f>IF(Y47="milkingCows", Constants!$P$2, Constants!$P$3)</f>
        <v>1</v>
      </c>
      <c r="AS47">
        <f t="shared" si="45"/>
        <v>9.0270202499999979</v>
      </c>
      <c r="AT47">
        <f t="shared" si="46"/>
        <v>1.0213029780639273</v>
      </c>
      <c r="AU47">
        <f>_xlfn.XLOOKUP(Y47, Constants!$B$13:$H$13, Constants!$B$14:$H$14, "")</f>
        <v>770</v>
      </c>
      <c r="AV47">
        <f t="shared" si="47"/>
        <v>0.77922077922077926</v>
      </c>
      <c r="AW47">
        <f>Constants!$B$55</f>
        <v>6.25</v>
      </c>
      <c r="AX47">
        <f t="shared" si="51"/>
        <v>1.2626203146474679E-3</v>
      </c>
      <c r="AY47">
        <f t="shared" si="52"/>
        <v>1.8054040499999997</v>
      </c>
      <c r="AZ47">
        <f t="shared" si="18"/>
        <v>0.28546836331241399</v>
      </c>
      <c r="BA47" t="str">
        <f>IF(ISNUMBER(FIND("PreWeaned",Y47)),_xlfn.XLOOKUP(Y47,Constants!$J$2:$J$3,Constants!$M$2:$M$3),"")</f>
        <v/>
      </c>
      <c r="BB47">
        <f t="shared" si="53"/>
        <v>20839.19052180622</v>
      </c>
      <c r="BC47">
        <f t="shared" si="54"/>
        <v>0</v>
      </c>
      <c r="BD47">
        <f t="shared" si="55"/>
        <v>0</v>
      </c>
      <c r="BE47">
        <f t="shared" si="56"/>
        <v>0</v>
      </c>
      <c r="BF47">
        <f t="shared" si="57"/>
        <v>0</v>
      </c>
      <c r="BG47">
        <f t="shared" si="58"/>
        <v>20839.19052180622</v>
      </c>
      <c r="BH47">
        <f t="shared" si="59"/>
        <v>1</v>
      </c>
      <c r="BI47">
        <f>Constants!$B$54</f>
        <v>0.02</v>
      </c>
      <c r="BJ47">
        <f>Constants!$B$53</f>
        <v>0.24</v>
      </c>
      <c r="BK47">
        <f t="shared" si="48"/>
        <v>0</v>
      </c>
      <c r="BL47">
        <f t="shared" si="49"/>
        <v>5001.4057252334924</v>
      </c>
      <c r="BM47">
        <f>Constants!$B$52</f>
        <v>1.0999999999999999E-2</v>
      </c>
      <c r="BN47">
        <f>Constants!$B$50</f>
        <v>1.57</v>
      </c>
      <c r="BO47">
        <f t="shared" si="50"/>
        <v>86.37427687478241</v>
      </c>
    </row>
    <row r="48" spans="1:68" x14ac:dyDescent="0.2">
      <c r="A48" t="str">
        <f>'Input Scenarios'!A48</f>
        <v>ACT</v>
      </c>
      <c r="B48">
        <f>'Input Scenarios'!B48</f>
        <v>0</v>
      </c>
      <c r="C48" t="str">
        <f>'Input Scenarios'!C48</f>
        <v>Non-irrigated crop (low rainfall)</v>
      </c>
      <c r="D48" t="str">
        <f>'Input Scenarios'!D48</f>
        <v>wet</v>
      </c>
      <c r="E48" t="b">
        <f>'Input Scenarios'!E48</f>
        <v>1</v>
      </c>
      <c r="F48" t="str">
        <f>'Input Scenarios'!F48</f>
        <v>Limited feedpad</v>
      </c>
      <c r="G48">
        <f>IF('Input Scenarios'!G48&lt;&gt;"", 'Input Scenarios'!G48, _xlfn.XLOOKUP($F48, Constants!$M$6:$M$9,Constants!N$6:N$9))</f>
        <v>0.79</v>
      </c>
      <c r="H48">
        <f>IF('Input Scenarios'!H48&lt;&gt;"", 'Input Scenarios'!H48, _xlfn.XLOOKUP($F48, Constants!$M$6:$M$9,Constants!O$6:O$9))</f>
        <v>0.11</v>
      </c>
      <c r="I48">
        <f>IF('Input Scenarios'!I48&lt;&gt;"", 'Input Scenarios'!I48, _xlfn.XLOOKUP($F48, Constants!$M$6:$M$9,Constants!P$6:P$9))</f>
        <v>0.1</v>
      </c>
      <c r="J48">
        <f>'Input Scenarios'!J48</f>
        <v>0</v>
      </c>
      <c r="K48">
        <f>'Input Scenarios'!K48</f>
        <v>0</v>
      </c>
      <c r="L48">
        <f>'Input Scenarios'!L48</f>
        <v>1</v>
      </c>
      <c r="M48">
        <f>'Input Scenarios'!M48</f>
        <v>0</v>
      </c>
      <c r="N48">
        <f>'Input Scenarios'!N48</f>
        <v>1</v>
      </c>
      <c r="O48">
        <f>'Input Scenarios'!O48</f>
        <v>0</v>
      </c>
      <c r="P48">
        <f>'Input Scenarios'!P48</f>
        <v>0</v>
      </c>
      <c r="Q48">
        <f>'Input Scenarios'!Q48</f>
        <v>0</v>
      </c>
      <c r="R48" t="b">
        <f>'Input Scenarios'!R48</f>
        <v>1</v>
      </c>
      <c r="S48">
        <f>IF('Input Scenarios'!S48&lt;&gt;"", 'Input Scenarios'!S48, IF(R48, Constants!$B$38, 0))</f>
        <v>0.2</v>
      </c>
      <c r="T48" t="str">
        <f>IF('Input Scenarios'!T48&lt;&gt;"", 'Input Scenarios'!T48, "")</f>
        <v/>
      </c>
      <c r="U48">
        <f>IF('Input Scenarios'!U48&lt;&gt;"", 'Input Scenarios'!U48, IF(W48&lt;&gt;"", "", Constants!$B$39))</f>
        <v>4</v>
      </c>
      <c r="V48">
        <f>IF('Input Scenarios'!V48&lt;&gt;"", 'Input Scenarios'!V48, IF(W48&lt;&gt;"", "", Constants!$B$40))</f>
        <v>3.3</v>
      </c>
      <c r="W48" t="str">
        <f>IF('Input Scenarios'!W48&lt;&gt;"", 'Input Scenarios'!W48, "")</f>
        <v/>
      </c>
      <c r="X48" t="str">
        <f>'Input Scenarios'!X48</f>
        <v>Jersey crossbred</v>
      </c>
      <c r="Y48" t="str">
        <f>'Input Scenarios'!Y48</f>
        <v>bullsLt1PreWeaned</v>
      </c>
      <c r="Z48">
        <f>'Input Scenarios'!Z48</f>
        <v>200</v>
      </c>
      <c r="AA48">
        <f>IF('Input Scenarios'!AA48&lt;&gt;"", 'Input Scenarios'!AA48, _xlfn.XLOOKUP(Y48,Constants!$J$6:$J$12,Constants!$K$6:$K$12))</f>
        <v>84</v>
      </c>
      <c r="AB48">
        <f>IF('Input Scenarios'!AB48&lt;&gt;"", 'Input Scenarios'!AB48, INDEX(Constants!$B$2:$H$11, MATCH(X48, Constants!$A$2:$A$11, 0), MATCH(Y48,Constants!$B$1:$H$1, 0)))</f>
        <v>225</v>
      </c>
      <c r="AC48" t="str">
        <f>IF('Input Scenarios'!AC48&lt;&gt;"", 'Input Scenarios'!AC48, _xlfn.XLOOKUP(Y48, Constants!$B$13:$H$13, Constants!$B$15:$H$15, ""))</f>
        <v/>
      </c>
      <c r="AD48">
        <f>IF('Input Scenarios'!AD48&lt;&gt;"", 'Input Scenarios'!AD48, Constants!$B$45)</f>
        <v>0.75</v>
      </c>
      <c r="AE48">
        <f>IF('Input Scenarios'!AE48&lt;&gt;"", 'Input Scenarios'!AE48, Constants!$B$46)</f>
        <v>0.2</v>
      </c>
      <c r="AF48">
        <f t="shared" si="40"/>
        <v>0</v>
      </c>
      <c r="AG48">
        <f t="shared" si="40"/>
        <v>0</v>
      </c>
      <c r="AH48">
        <f t="shared" si="40"/>
        <v>0</v>
      </c>
      <c r="AI48">
        <f t="shared" si="40"/>
        <v>0</v>
      </c>
      <c r="AJ48">
        <f t="shared" si="41"/>
        <v>1</v>
      </c>
      <c r="AK48">
        <f t="shared" si="60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43"/>
        <v>0.5948500000000001</v>
      </c>
      <c r="AQ48">
        <f t="shared" si="44"/>
        <v>0</v>
      </c>
      <c r="AR48">
        <f>IF(Y48="milkingCows", Constants!$P$2, Constants!$P$3)</f>
        <v>1</v>
      </c>
      <c r="AS48" t="str">
        <f t="shared" si="45"/>
        <v/>
      </c>
      <c r="AT48" t="str">
        <f t="shared" si="46"/>
        <v/>
      </c>
      <c r="AU48" t="str">
        <f>_xlfn.XLOOKUP(Y48, Constants!$B$13:$H$13, Constants!$B$14:$H$14, "")</f>
        <v/>
      </c>
      <c r="AV48" t="str">
        <f t="shared" si="47"/>
        <v/>
      </c>
      <c r="AW48">
        <f>Constants!$B$55</f>
        <v>6.25</v>
      </c>
      <c r="AX48" t="str">
        <f t="shared" si="51"/>
        <v/>
      </c>
      <c r="AY48" t="str">
        <f t="shared" si="52"/>
        <v/>
      </c>
      <c r="AZ48" t="str">
        <f t="shared" si="18"/>
        <v/>
      </c>
      <c r="BA48">
        <f>IF(ISNUMBER(FIND("PreWeaned",Y48)),_xlfn.XLOOKUP(Y48,Constants!$J$2:$J$3,Constants!$M$2:$M$3),"")</f>
        <v>9.1999999999999998E-3</v>
      </c>
      <c r="BB48">
        <f t="shared" si="53"/>
        <v>154.56</v>
      </c>
      <c r="BC48">
        <f t="shared" si="54"/>
        <v>0</v>
      </c>
      <c r="BD48">
        <f t="shared" si="55"/>
        <v>0</v>
      </c>
      <c r="BE48">
        <f t="shared" si="56"/>
        <v>0</v>
      </c>
      <c r="BF48">
        <f t="shared" si="57"/>
        <v>0</v>
      </c>
      <c r="BG48">
        <f t="shared" si="58"/>
        <v>154.56</v>
      </c>
      <c r="BH48">
        <f t="shared" si="59"/>
        <v>1</v>
      </c>
      <c r="BI48">
        <f>Constants!$B$54</f>
        <v>0.02</v>
      </c>
      <c r="BJ48">
        <f>Constants!$B$53</f>
        <v>0.24</v>
      </c>
      <c r="BK48">
        <f t="shared" si="48"/>
        <v>0</v>
      </c>
      <c r="BL48">
        <f t="shared" si="49"/>
        <v>37.0944</v>
      </c>
      <c r="BM48">
        <f>Constants!$B$52</f>
        <v>1.0999999999999999E-2</v>
      </c>
      <c r="BN48">
        <f>Constants!$B$50</f>
        <v>1.57</v>
      </c>
      <c r="BO48">
        <f t="shared" si="50"/>
        <v>0.64062028799999993</v>
      </c>
    </row>
    <row r="49" spans="1:68" x14ac:dyDescent="0.2">
      <c r="A49" s="16" t="str">
        <f>'Input Scenarios'!A49</f>
        <v>ACT</v>
      </c>
      <c r="B49" s="16">
        <f>'Input Scenarios'!B49</f>
        <v>0</v>
      </c>
      <c r="C49" s="16" t="str">
        <f>'Input Scenarios'!C49</f>
        <v>Non-irrigated crop (low rainfall)</v>
      </c>
      <c r="D49" s="16" t="str">
        <f>'Input Scenarios'!D49</f>
        <v>wet</v>
      </c>
      <c r="E49" s="16" t="b">
        <f>'Input Scenarios'!E49</f>
        <v>1</v>
      </c>
      <c r="F49" s="16" t="str">
        <f>'Input Scenarios'!F49</f>
        <v>Limited feedpad</v>
      </c>
      <c r="G49" s="16">
        <f>IF('Input Scenarios'!G49&lt;&gt;"", 'Input Scenarios'!G49, _xlfn.XLOOKUP($F49, Constants!$M$6:$M$9,Constants!N$6:N$9))</f>
        <v>0.79</v>
      </c>
      <c r="H49" s="16">
        <f>IF('Input Scenarios'!H49&lt;&gt;"", 'Input Scenarios'!H49, _xlfn.XLOOKUP($F49, Constants!$M$6:$M$9,Constants!O$6:O$9))</f>
        <v>0.11</v>
      </c>
      <c r="I49" s="16">
        <f>IF('Input Scenarios'!I49&lt;&gt;"", 'Input Scenarios'!I49, _xlfn.XLOOKUP($F49, Constants!$M$6:$M$9,Constants!P$6:P$9))</f>
        <v>0.1</v>
      </c>
      <c r="J49" s="16">
        <f>'Input Scenarios'!J49</f>
        <v>0</v>
      </c>
      <c r="K49" s="16">
        <f>'Input Scenarios'!K49</f>
        <v>0</v>
      </c>
      <c r="L49" s="16">
        <f>'Input Scenarios'!L49</f>
        <v>1</v>
      </c>
      <c r="M49" s="16">
        <f>'Input Scenarios'!M49</f>
        <v>0</v>
      </c>
      <c r="N49" s="16">
        <f>'Input Scenarios'!N49</f>
        <v>1</v>
      </c>
      <c r="O49" s="16">
        <f>'Input Scenarios'!O49</f>
        <v>0</v>
      </c>
      <c r="P49" s="16">
        <f>'Input Scenarios'!P49</f>
        <v>0</v>
      </c>
      <c r="Q49" s="16">
        <f>'Input Scenarios'!Q49</f>
        <v>0</v>
      </c>
      <c r="R49" s="16" t="b">
        <f>'Input Scenarios'!R49</f>
        <v>1</v>
      </c>
      <c r="S49" s="16">
        <f>IF('Input Scenarios'!S49&lt;&gt;"", 'Input Scenarios'!S49, IF(R49, Constants!$B$38, 0))</f>
        <v>0.2</v>
      </c>
      <c r="T49" s="16" t="str">
        <f>IF('Input Scenarios'!T49&lt;&gt;"", 'Input Scenarios'!T49, "")</f>
        <v/>
      </c>
      <c r="U49" s="16">
        <f>IF('Input Scenarios'!U49&lt;&gt;"", 'Input Scenarios'!U49, IF(W49&lt;&gt;"", "", Constants!$B$39))</f>
        <v>4</v>
      </c>
      <c r="V49" s="16">
        <f>IF('Input Scenarios'!V49&lt;&gt;"", 'Input Scenarios'!V49, IF(W49&lt;&gt;"", "", Constants!$B$40))</f>
        <v>3.3</v>
      </c>
      <c r="W49" s="16" t="str">
        <f>IF('Input Scenarios'!W49&lt;&gt;"", 'Input Scenarios'!W49, "")</f>
        <v/>
      </c>
      <c r="X49" s="16" t="str">
        <f>'Input Scenarios'!X49</f>
        <v>Jersey crossbred</v>
      </c>
      <c r="Y49" s="16" t="str">
        <f>'Input Scenarios'!Y49</f>
        <v>bullsLt1Weaned</v>
      </c>
      <c r="Z49" s="16">
        <f>'Input Scenarios'!Z49</f>
        <v>200</v>
      </c>
      <c r="AA49" s="16">
        <f>IF('Input Scenarios'!AA49&lt;&gt;"", 'Input Scenarios'!AA49, _xlfn.XLOOKUP(Y49,Constants!$J$6:$J$12,Constants!$K$6:$K$12))</f>
        <v>281</v>
      </c>
      <c r="AB49" s="16">
        <f>IF('Input Scenarios'!AB49&lt;&gt;"", 'Input Scenarios'!AB49, INDEX(Constants!$B$2:$H$11, MATCH(X49, Constants!$A$2:$A$11, 0), MATCH(Y49,Constants!$B$1:$H$1, 0)))</f>
        <v>225</v>
      </c>
      <c r="AC49" s="16">
        <f>IF('Input Scenarios'!AC49&lt;&gt;"", 'Input Scenarios'!AC49, _xlfn.XLOOKUP(Y49, Constants!$B$13:$H$13, Constants!$B$15:$H$15, ""))</f>
        <v>0.8</v>
      </c>
      <c r="AD49" s="16">
        <f>IF('Input Scenarios'!AD49&lt;&gt;"", 'Input Scenarios'!AD49, Constants!$B$45)</f>
        <v>0.75</v>
      </c>
      <c r="AE49" s="16">
        <f>IF('Input Scenarios'!AE49&lt;&gt;"", 'Input Scenarios'!AE49, Constants!$B$46)</f>
        <v>0.2</v>
      </c>
      <c r="AF49" s="16">
        <f t="shared" si="40"/>
        <v>0</v>
      </c>
      <c r="AG49" s="16">
        <f t="shared" si="40"/>
        <v>0</v>
      </c>
      <c r="AH49" s="16">
        <f t="shared" si="40"/>
        <v>0</v>
      </c>
      <c r="AI49" s="16">
        <f t="shared" si="40"/>
        <v>0</v>
      </c>
      <c r="AJ49" s="16">
        <f t="shared" si="41"/>
        <v>1</v>
      </c>
      <c r="AK49" s="16">
        <f t="shared" si="60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43"/>
        <v>0.5948500000000001</v>
      </c>
      <c r="AQ49" s="16">
        <f t="shared" si="44"/>
        <v>0</v>
      </c>
      <c r="AR49" s="16">
        <f>IF(Y49="milkingCows", Constants!$P$2, Constants!$P$3)</f>
        <v>1</v>
      </c>
      <c r="AS49" s="16">
        <f t="shared" si="45"/>
        <v>5.4143472656250013</v>
      </c>
      <c r="AT49" s="16">
        <f t="shared" si="46"/>
        <v>1.2576570545672616</v>
      </c>
      <c r="AU49" s="16">
        <f>_xlfn.XLOOKUP(Y49, Constants!$B$13:$H$13, Constants!$B$14:$H$14, "")</f>
        <v>770</v>
      </c>
      <c r="AV49" s="16">
        <f t="shared" si="47"/>
        <v>0.29220779220779219</v>
      </c>
      <c r="AW49" s="16">
        <f>Constants!$B$55</f>
        <v>6.25</v>
      </c>
      <c r="AX49" s="16">
        <f t="shared" si="51"/>
        <v>1.9757354894894084E-2</v>
      </c>
      <c r="AY49" s="16">
        <f t="shared" si="52"/>
        <v>1.0828694531250003</v>
      </c>
      <c r="AZ49" s="16">
        <f t="shared" si="18"/>
        <v>0.15247929000170721</v>
      </c>
      <c r="BA49" s="16" t="str">
        <f>IF(ISNUMBER(FIND("PreWeaned",Y49)),_xlfn.XLOOKUP(Y49,Constants!$J$2:$J$3,Constants!$M$2:$M$3),"")</f>
        <v/>
      </c>
      <c r="BB49" s="16">
        <f t="shared" si="53"/>
        <v>8569.336098095946</v>
      </c>
      <c r="BC49" s="16">
        <f t="shared" si="54"/>
        <v>0</v>
      </c>
      <c r="BD49" s="16">
        <f t="shared" si="55"/>
        <v>0</v>
      </c>
      <c r="BE49" s="16">
        <f t="shared" si="56"/>
        <v>0</v>
      </c>
      <c r="BF49" s="16">
        <f t="shared" si="57"/>
        <v>0</v>
      </c>
      <c r="BG49" s="16">
        <f t="shared" si="58"/>
        <v>8569.336098095946</v>
      </c>
      <c r="BH49" s="16">
        <f t="shared" si="59"/>
        <v>1</v>
      </c>
      <c r="BI49" s="16">
        <f>Constants!$B$54</f>
        <v>0.02</v>
      </c>
      <c r="BJ49" s="16">
        <f>Constants!$B$53</f>
        <v>0.24</v>
      </c>
      <c r="BK49" s="16">
        <f t="shared" si="48"/>
        <v>0</v>
      </c>
      <c r="BL49" s="16">
        <f t="shared" si="49"/>
        <v>2056.6406635430271</v>
      </c>
      <c r="BM49" s="16">
        <f>Constants!$B$52</f>
        <v>1.0999999999999999E-2</v>
      </c>
      <c r="BN49" s="16">
        <f>Constants!$B$50</f>
        <v>1.57</v>
      </c>
      <c r="BO49" s="16">
        <f t="shared" si="50"/>
        <v>35.518184259388079</v>
      </c>
      <c r="BP49" s="16"/>
    </row>
    <row r="50" spans="1:68" x14ac:dyDescent="0.2">
      <c r="A50" t="str">
        <f>'Input Scenarios'!A50</f>
        <v>WA</v>
      </c>
      <c r="B50">
        <f>'Input Scenarios'!B50</f>
        <v>0</v>
      </c>
      <c r="C50" t="str">
        <f>'Input Scenarios'!C50</f>
        <v>Irrigated pasture</v>
      </c>
      <c r="D50" t="str">
        <f>'Input Scenarios'!D50</f>
        <v>dry</v>
      </c>
      <c r="E50" t="b">
        <f>'Input Scenarios'!E50</f>
        <v>0</v>
      </c>
      <c r="F50" t="str">
        <f>'Input Scenarios'!F50</f>
        <v>Grazed only</v>
      </c>
      <c r="G50">
        <f>IF('Input Scenarios'!G50&lt;&gt;"", 'Input Scenarios'!G50, _xlfn.XLOOKUP($F50, Constants!$M$6:$M$9,Constants!N$6:N$9))</f>
        <v>0.89</v>
      </c>
      <c r="H50">
        <f>IF('Input Scenarios'!H50&lt;&gt;"", 'Input Scenarios'!H50, _xlfn.XLOOKUP($F50, Constants!$M$6:$M$9,Constants!O$6:O$9))</f>
        <v>0.11</v>
      </c>
      <c r="I50">
        <f>IF('Input Scenarios'!I50&lt;&gt;"", 'Input Scenarios'!I50, _xlfn.XLOOKUP($F50, Constants!$M$6:$M$9,Constants!P$6:P$9))</f>
        <v>0</v>
      </c>
      <c r="J50">
        <f>'Input Scenarios'!J50</f>
        <v>0</v>
      </c>
      <c r="K50">
        <f>'Input Scenarios'!K50</f>
        <v>0.5</v>
      </c>
      <c r="L50">
        <f>'Input Scenarios'!L50</f>
        <v>0.5</v>
      </c>
      <c r="M50">
        <f>'Input Scenarios'!M50</f>
        <v>0</v>
      </c>
      <c r="N50">
        <f>'Input Scenarios'!N50</f>
        <v>0.5</v>
      </c>
      <c r="O50">
        <f>'Input Scenarios'!O50</f>
        <v>0</v>
      </c>
      <c r="P50">
        <f>'Input Scenarios'!P50</f>
        <v>0</v>
      </c>
      <c r="Q50">
        <f>'Input Scenarios'!Q50</f>
        <v>0.5</v>
      </c>
      <c r="R50" t="b">
        <f>'Input Scenarios'!R50</f>
        <v>0</v>
      </c>
      <c r="S50">
        <f>IF('Input Scenarios'!S50&lt;&gt;"", 'Input Scenarios'!S50, IF(R50, Constants!$B$38, 0))</f>
        <v>0</v>
      </c>
      <c r="T50">
        <f>IF('Input Scenarios'!T50&lt;&gt;"", 'Input Scenarios'!T50, "")</f>
        <v>2.5</v>
      </c>
      <c r="U50">
        <f>IF('Input Scenarios'!U50&lt;&gt;"", 'Input Scenarios'!U50, IF(W50&lt;&gt;"", "", Constants!$B$39))</f>
        <v>4</v>
      </c>
      <c r="V50">
        <f>IF('Input Scenarios'!V50&lt;&gt;"", 'Input Scenarios'!V50, IF(W50&lt;&gt;"", "", Constants!$B$40))</f>
        <v>3.3</v>
      </c>
      <c r="W50" t="str">
        <f>IF('Input Scenarios'!W50&lt;&gt;"", 'Input Scenarios'!W50, "")</f>
        <v/>
      </c>
      <c r="X50" t="str">
        <f>'Input Scenarios'!X50</f>
        <v>Ayrshire</v>
      </c>
      <c r="Y50" t="str">
        <f>'Input Scenarios'!Y50</f>
        <v>milkingCows</v>
      </c>
      <c r="Z50">
        <f>'Input Scenarios'!Z50</f>
        <v>200</v>
      </c>
      <c r="AA50">
        <f>IF('Input Scenarios'!AA50&lt;&gt;"", 'Input Scenarios'!AA50, _xlfn.XLOOKUP(Y50,Constants!$J$6:$J$12,Constants!$K$6:$K$12))</f>
        <v>365</v>
      </c>
      <c r="AB50">
        <f>IF('Input Scenarios'!AB50&lt;&gt;"", 'Input Scenarios'!AB50, INDEX(Constants!$B$2:$H$11, MATCH(X50, Constants!$A$2:$A$11, 0), MATCH(Y50,Constants!$B$1:$H$1, 0)))</f>
        <v>540</v>
      </c>
      <c r="AC50">
        <f>IF('Input Scenarios'!AC50&lt;&gt;"", 'Input Scenarios'!AC50, _xlfn.XLOOKUP(Y50, Constants!$B$13:$H$13, Constants!$B$15:$H$15, ""))</f>
        <v>1.6E-2</v>
      </c>
      <c r="AD50">
        <f>IF('Input Scenarios'!AD50&lt;&gt;"", 'Input Scenarios'!AD50, Constants!$B$45)</f>
        <v>0.75</v>
      </c>
      <c r="AE50">
        <f>IF('Input Scenarios'!AE50&lt;&gt;"", 'Input Scenarios'!AE50, Constants!$B$46)</f>
        <v>0.2</v>
      </c>
      <c r="AF50" s="20">
        <f t="shared" si="40"/>
        <v>0</v>
      </c>
      <c r="AG50" s="20">
        <f t="shared" si="40"/>
        <v>5.5E-2</v>
      </c>
      <c r="AH50" s="20">
        <f t="shared" si="40"/>
        <v>5.5E-2</v>
      </c>
      <c r="AI50" s="20">
        <f t="shared" si="40"/>
        <v>0</v>
      </c>
      <c r="AJ50" s="20">
        <f t="shared" si="41"/>
        <v>0.89</v>
      </c>
      <c r="AK50">
        <f t="shared" si="60"/>
        <v>34.246575342465754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43"/>
        <v>0.5948500000000001</v>
      </c>
      <c r="AQ50">
        <f t="shared" si="44"/>
        <v>16.403890691108206</v>
      </c>
      <c r="AR50">
        <f>IF(Y50="milkingCows", Constants!$P$2, Constants!$P$3)</f>
        <v>1.1000000000000001</v>
      </c>
      <c r="AS50">
        <f t="shared" si="45"/>
        <v>25.549793292548209</v>
      </c>
      <c r="AT50">
        <f t="shared" si="46"/>
        <v>1.0012518329511055</v>
      </c>
      <c r="AU50">
        <f>_xlfn.XLOOKUP(Y50, Constants!$B$13:$H$13, Constants!$B$14:$H$14, "")</f>
        <v>590</v>
      </c>
      <c r="AV50">
        <f t="shared" si="47"/>
        <v>0.9152542372881356</v>
      </c>
      <c r="AW50">
        <f>Constants!$B$55</f>
        <v>6.25</v>
      </c>
      <c r="AX50" s="20">
        <f t="shared" si="51"/>
        <v>0.17710746817205636</v>
      </c>
      <c r="AY50">
        <f t="shared" si="52"/>
        <v>5.1099586585096421</v>
      </c>
      <c r="AZ50">
        <f t="shared" si="18"/>
        <v>0.63851436631743641</v>
      </c>
      <c r="BA50" t="str">
        <f>IF(ISNUMBER(FIND("PreWeaned",Y50)),_xlfn.XLOOKUP(Y50,Constants!$J$2:$J$3,Constants!$M$2:$M$3),"")</f>
        <v/>
      </c>
      <c r="BB50">
        <f t="shared" si="53"/>
        <v>46611.548741172854</v>
      </c>
      <c r="BC50">
        <f t="shared" si="54"/>
        <v>0</v>
      </c>
      <c r="BD50">
        <f t="shared" si="55"/>
        <v>2563.6351807645069</v>
      </c>
      <c r="BE50">
        <f t="shared" si="56"/>
        <v>2563.6351807645069</v>
      </c>
      <c r="BF50">
        <f t="shared" si="57"/>
        <v>0</v>
      </c>
      <c r="BG50">
        <f t="shared" si="58"/>
        <v>41484.278379643838</v>
      </c>
      <c r="BH50">
        <f t="shared" si="59"/>
        <v>0</v>
      </c>
      <c r="BI50">
        <f>Constants!$B$54</f>
        <v>0.02</v>
      </c>
      <c r="BJ50">
        <f>Constants!$B$53</f>
        <v>0.24</v>
      </c>
      <c r="BK50">
        <f t="shared" si="48"/>
        <v>0</v>
      </c>
      <c r="BL50">
        <f t="shared" si="49"/>
        <v>0</v>
      </c>
      <c r="BM50">
        <f>Constants!$B$52</f>
        <v>1.0999999999999999E-2</v>
      </c>
      <c r="BN50">
        <f>Constants!$B$50</f>
        <v>1.57</v>
      </c>
      <c r="BO50">
        <f t="shared" si="50"/>
        <v>0</v>
      </c>
      <c r="BP50">
        <f>SUM(BO50:BO56)/1000</f>
        <v>0</v>
      </c>
    </row>
    <row r="51" spans="1:68" x14ac:dyDescent="0.2">
      <c r="A51" t="str">
        <f>'Input Scenarios'!A51</f>
        <v>WA</v>
      </c>
      <c r="B51">
        <f>'Input Scenarios'!B51</f>
        <v>0</v>
      </c>
      <c r="C51" t="str">
        <f>'Input Scenarios'!C51</f>
        <v>Irrigated pasture</v>
      </c>
      <c r="D51" t="str">
        <f>'Input Scenarios'!D51</f>
        <v>dry</v>
      </c>
      <c r="E51" t="b">
        <f>'Input Scenarios'!E51</f>
        <v>0</v>
      </c>
      <c r="F51" t="str">
        <f>'Input Scenarios'!F51</f>
        <v>Grazed only</v>
      </c>
      <c r="G51">
        <f>IF('Input Scenarios'!G51&lt;&gt;"", 'Input Scenarios'!G51, _xlfn.XLOOKUP($F51, Constants!$M$6:$M$9,Constants!N$6:N$9))</f>
        <v>0.89</v>
      </c>
      <c r="H51">
        <f>IF('Input Scenarios'!H51&lt;&gt;"", 'Input Scenarios'!H51, _xlfn.XLOOKUP($F51, Constants!$M$6:$M$9,Constants!O$6:O$9))</f>
        <v>0.11</v>
      </c>
      <c r="I51">
        <f>IF('Input Scenarios'!I51&lt;&gt;"", 'Input Scenarios'!I51, _xlfn.XLOOKUP($F51, Constants!$M$6:$M$9,Constants!P$6:P$9))</f>
        <v>0</v>
      </c>
      <c r="J51">
        <f>'Input Scenarios'!J51</f>
        <v>0</v>
      </c>
      <c r="K51">
        <f>'Input Scenarios'!K51</f>
        <v>0.5</v>
      </c>
      <c r="L51">
        <f>'Input Scenarios'!L51</f>
        <v>0.5</v>
      </c>
      <c r="M51">
        <f>'Input Scenarios'!M51</f>
        <v>0</v>
      </c>
      <c r="N51">
        <f>'Input Scenarios'!N51</f>
        <v>0.5</v>
      </c>
      <c r="O51">
        <f>'Input Scenarios'!O51</f>
        <v>0</v>
      </c>
      <c r="P51">
        <f>'Input Scenarios'!P51</f>
        <v>0</v>
      </c>
      <c r="Q51">
        <f>'Input Scenarios'!Q51</f>
        <v>0.5</v>
      </c>
      <c r="R51" t="b">
        <f>'Input Scenarios'!R51</f>
        <v>0</v>
      </c>
      <c r="S51">
        <f>IF('Input Scenarios'!S51&lt;&gt;"", 'Input Scenarios'!S51, IF(R51, Constants!$B$38, 0))</f>
        <v>0</v>
      </c>
      <c r="T51" t="str">
        <f>IF('Input Scenarios'!T51&lt;&gt;"", 'Input Scenarios'!T51, "")</f>
        <v/>
      </c>
      <c r="U51">
        <f>IF('Input Scenarios'!U51&lt;&gt;"", 'Input Scenarios'!U51, IF(W51&lt;&gt;"", "", Constants!$B$39))</f>
        <v>4</v>
      </c>
      <c r="V51">
        <f>IF('Input Scenarios'!V51&lt;&gt;"", 'Input Scenarios'!V51, IF(W51&lt;&gt;"", "", Constants!$B$40))</f>
        <v>3.3</v>
      </c>
      <c r="W51" t="str">
        <f>IF('Input Scenarios'!W51&lt;&gt;"", 'Input Scenarios'!W51, "")</f>
        <v/>
      </c>
      <c r="X51" t="str">
        <f>'Input Scenarios'!X51</f>
        <v>Ayrshire</v>
      </c>
      <c r="Y51" t="str">
        <f>'Input Scenarios'!Y51</f>
        <v>heifersGt1</v>
      </c>
      <c r="Z51">
        <f>'Input Scenarios'!Z51</f>
        <v>200</v>
      </c>
      <c r="AA51">
        <f>IF('Input Scenarios'!AA51&lt;&gt;"", 'Input Scenarios'!AA51, _xlfn.XLOOKUP(Y51,Constants!$J$6:$J$12,Constants!$K$6:$K$12))</f>
        <v>365</v>
      </c>
      <c r="AB51">
        <f>IF('Input Scenarios'!AB51&lt;&gt;"", 'Input Scenarios'!AB51, INDEX(Constants!$B$2:$H$11, MATCH(X51, Constants!$A$2:$A$11, 0), MATCH(Y51,Constants!$B$1:$H$1, 0)))</f>
        <v>375</v>
      </c>
      <c r="AC51">
        <f>IF('Input Scenarios'!AC51&lt;&gt;"", 'Input Scenarios'!AC51, _xlfn.XLOOKUP(Y51, Constants!$B$13:$H$13, Constants!$B$15:$H$15, ""))</f>
        <v>0.6</v>
      </c>
      <c r="AD51">
        <f>IF('Input Scenarios'!AD51&lt;&gt;"", 'Input Scenarios'!AD51, Constants!$B$45)</f>
        <v>0.75</v>
      </c>
      <c r="AE51">
        <f>IF('Input Scenarios'!AE51&lt;&gt;"", 'Input Scenarios'!AE51, Constants!$B$46)</f>
        <v>0.2</v>
      </c>
      <c r="AF51">
        <f t="shared" si="40"/>
        <v>0</v>
      </c>
      <c r="AG51">
        <f t="shared" si="40"/>
        <v>0</v>
      </c>
      <c r="AH51">
        <f t="shared" si="40"/>
        <v>0</v>
      </c>
      <c r="AI51">
        <f t="shared" si="40"/>
        <v>0</v>
      </c>
      <c r="AJ51">
        <f t="shared" si="41"/>
        <v>1</v>
      </c>
      <c r="AK51">
        <f t="shared" si="60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43"/>
        <v>0.5948500000000001</v>
      </c>
      <c r="AQ51">
        <f t="shared" si="44"/>
        <v>0</v>
      </c>
      <c r="AR51">
        <f>IF(Y51="milkingCows", Constants!$P$2, Constants!$P$3)</f>
        <v>1</v>
      </c>
      <c r="AS51">
        <f t="shared" si="45"/>
        <v>7.3488432656250007</v>
      </c>
      <c r="AT51">
        <f t="shared" si="46"/>
        <v>1.1555051146335733</v>
      </c>
      <c r="AU51">
        <f>_xlfn.XLOOKUP(Y51, Constants!$B$13:$H$13, Constants!$B$14:$H$14, "")</f>
        <v>590</v>
      </c>
      <c r="AV51">
        <f t="shared" si="47"/>
        <v>0.63559322033898302</v>
      </c>
      <c r="AW51">
        <f>Constants!$B$55</f>
        <v>6.25</v>
      </c>
      <c r="AX51">
        <f t="shared" si="51"/>
        <v>8.8952563417278308E-3</v>
      </c>
      <c r="AY51">
        <f t="shared" si="52"/>
        <v>1.4697686531250003</v>
      </c>
      <c r="AZ51">
        <f t="shared" si="18"/>
        <v>0.2247679185945351</v>
      </c>
      <c r="BA51" t="str">
        <f>IF(ISNUMBER(FIND("PreWeaned",Y51)),_xlfn.XLOOKUP(Y51,Constants!$J$2:$J$3,Constants!$M$2:$M$3),"")</f>
        <v/>
      </c>
      <c r="BB51">
        <f t="shared" si="53"/>
        <v>16408.058057401064</v>
      </c>
      <c r="BC51">
        <f t="shared" si="54"/>
        <v>0</v>
      </c>
      <c r="BD51">
        <f t="shared" si="55"/>
        <v>0</v>
      </c>
      <c r="BE51">
        <f t="shared" si="56"/>
        <v>0</v>
      </c>
      <c r="BF51">
        <f t="shared" si="57"/>
        <v>0</v>
      </c>
      <c r="BG51">
        <f t="shared" si="58"/>
        <v>16408.058057401064</v>
      </c>
      <c r="BH51">
        <f t="shared" si="59"/>
        <v>0</v>
      </c>
      <c r="BI51">
        <f>Constants!$B$54</f>
        <v>0.02</v>
      </c>
      <c r="BJ51">
        <f>Constants!$B$53</f>
        <v>0.24</v>
      </c>
      <c r="BK51">
        <f t="shared" si="48"/>
        <v>0</v>
      </c>
      <c r="BL51">
        <f t="shared" si="49"/>
        <v>0</v>
      </c>
      <c r="BM51">
        <f>Constants!$B$52</f>
        <v>1.0999999999999999E-2</v>
      </c>
      <c r="BN51">
        <f>Constants!$B$50</f>
        <v>1.57</v>
      </c>
      <c r="BO51">
        <f t="shared" si="50"/>
        <v>0</v>
      </c>
    </row>
    <row r="52" spans="1:68" x14ac:dyDescent="0.2">
      <c r="A52" t="str">
        <f>'Input Scenarios'!A52</f>
        <v>WA</v>
      </c>
      <c r="B52">
        <f>'Input Scenarios'!B52</f>
        <v>0</v>
      </c>
      <c r="C52" t="str">
        <f>'Input Scenarios'!C52</f>
        <v>Irrigated pasture</v>
      </c>
      <c r="D52" t="str">
        <f>'Input Scenarios'!D52</f>
        <v>dry</v>
      </c>
      <c r="E52" t="b">
        <f>'Input Scenarios'!E52</f>
        <v>0</v>
      </c>
      <c r="F52" t="str">
        <f>'Input Scenarios'!F52</f>
        <v>Grazed only</v>
      </c>
      <c r="G52">
        <f>IF('Input Scenarios'!G52&lt;&gt;"", 'Input Scenarios'!G52, _xlfn.XLOOKUP($F52, Constants!$M$6:$M$9,Constants!N$6:N$9))</f>
        <v>0.89</v>
      </c>
      <c r="H52">
        <f>IF('Input Scenarios'!H52&lt;&gt;"", 'Input Scenarios'!H52, _xlfn.XLOOKUP($F52, Constants!$M$6:$M$9,Constants!O$6:O$9))</f>
        <v>0.11</v>
      </c>
      <c r="I52">
        <f>IF('Input Scenarios'!I52&lt;&gt;"", 'Input Scenarios'!I52, _xlfn.XLOOKUP($F52, Constants!$M$6:$M$9,Constants!P$6:P$9))</f>
        <v>0</v>
      </c>
      <c r="J52">
        <f>'Input Scenarios'!J52</f>
        <v>0</v>
      </c>
      <c r="K52">
        <f>'Input Scenarios'!K52</f>
        <v>0.5</v>
      </c>
      <c r="L52">
        <f>'Input Scenarios'!L52</f>
        <v>0.5</v>
      </c>
      <c r="M52">
        <f>'Input Scenarios'!M52</f>
        <v>0</v>
      </c>
      <c r="N52">
        <f>'Input Scenarios'!N52</f>
        <v>0.5</v>
      </c>
      <c r="O52">
        <f>'Input Scenarios'!O52</f>
        <v>0</v>
      </c>
      <c r="P52">
        <f>'Input Scenarios'!P52</f>
        <v>0</v>
      </c>
      <c r="Q52">
        <f>'Input Scenarios'!Q52</f>
        <v>0.5</v>
      </c>
      <c r="R52" t="b">
        <f>'Input Scenarios'!R52</f>
        <v>0</v>
      </c>
      <c r="S52">
        <f>IF('Input Scenarios'!S52&lt;&gt;"", 'Input Scenarios'!S52, IF(R52, Constants!$B$38, 0))</f>
        <v>0</v>
      </c>
      <c r="T52" t="str">
        <f>IF('Input Scenarios'!T52&lt;&gt;"", 'Input Scenarios'!T52, "")</f>
        <v/>
      </c>
      <c r="U52">
        <f>IF('Input Scenarios'!U52&lt;&gt;"", 'Input Scenarios'!U52, IF(W52&lt;&gt;"", "", Constants!$B$39))</f>
        <v>4</v>
      </c>
      <c r="V52">
        <f>IF('Input Scenarios'!V52&lt;&gt;"", 'Input Scenarios'!V52, IF(W52&lt;&gt;"", "", Constants!$B$40))</f>
        <v>3.3</v>
      </c>
      <c r="W52" t="str">
        <f>IF('Input Scenarios'!W52&lt;&gt;"", 'Input Scenarios'!W52, "")</f>
        <v/>
      </c>
      <c r="X52" t="str">
        <f>'Input Scenarios'!X52</f>
        <v>Ayrshire</v>
      </c>
      <c r="Y52" t="str">
        <f>'Input Scenarios'!Y52</f>
        <v>heifersLt1PreWeaned</v>
      </c>
      <c r="Z52">
        <f>'Input Scenarios'!Z52</f>
        <v>200</v>
      </c>
      <c r="AA52">
        <f>IF('Input Scenarios'!AA52&lt;&gt;"", 'Input Scenarios'!AA52, _xlfn.XLOOKUP(Y52,Constants!$J$6:$J$12,Constants!$K$6:$K$12))</f>
        <v>84</v>
      </c>
      <c r="AB52">
        <f>IF('Input Scenarios'!AB52&lt;&gt;"", 'Input Scenarios'!AB52, INDEX(Constants!$B$2:$H$11, MATCH(X52, Constants!$A$2:$A$11, 0), MATCH(Y52,Constants!$B$1:$H$1, 0)))</f>
        <v>150</v>
      </c>
      <c r="AC52" t="str">
        <f>IF('Input Scenarios'!AC52&lt;&gt;"", 'Input Scenarios'!AC52, _xlfn.XLOOKUP(Y52, Constants!$B$13:$H$13, Constants!$B$15:$H$15, ""))</f>
        <v/>
      </c>
      <c r="AD52">
        <f>IF('Input Scenarios'!AD52&lt;&gt;"", 'Input Scenarios'!AD52, Constants!$B$45)</f>
        <v>0.75</v>
      </c>
      <c r="AE52">
        <f>IF('Input Scenarios'!AE52&lt;&gt;"", 'Input Scenarios'!AE52, Constants!$B$46)</f>
        <v>0.2</v>
      </c>
      <c r="AF52">
        <f t="shared" si="40"/>
        <v>0</v>
      </c>
      <c r="AG52">
        <f t="shared" si="40"/>
        <v>0</v>
      </c>
      <c r="AH52">
        <f t="shared" si="40"/>
        <v>0</v>
      </c>
      <c r="AI52">
        <f t="shared" si="40"/>
        <v>0</v>
      </c>
      <c r="AJ52">
        <f t="shared" si="41"/>
        <v>1</v>
      </c>
      <c r="AK52">
        <f t="shared" si="60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43"/>
        <v>0.5948500000000001</v>
      </c>
      <c r="AQ52">
        <f t="shared" si="44"/>
        <v>0</v>
      </c>
      <c r="AR52">
        <f>IF(Y52="milkingCows", Constants!$P$2, Constants!$P$3)</f>
        <v>1</v>
      </c>
      <c r="AS52" t="str">
        <f t="shared" si="45"/>
        <v/>
      </c>
      <c r="AT52" t="str">
        <f t="shared" si="46"/>
        <v/>
      </c>
      <c r="AU52" t="str">
        <f>_xlfn.XLOOKUP(Y52, Constants!$B$13:$H$13, Constants!$B$14:$H$14, "")</f>
        <v/>
      </c>
      <c r="AV52" t="str">
        <f t="shared" si="47"/>
        <v/>
      </c>
      <c r="AW52">
        <f>Constants!$B$55</f>
        <v>6.25</v>
      </c>
      <c r="AX52" t="str">
        <f t="shared" si="51"/>
        <v/>
      </c>
      <c r="AY52" t="str">
        <f t="shared" si="52"/>
        <v/>
      </c>
      <c r="AZ52" t="str">
        <f t="shared" si="18"/>
        <v/>
      </c>
      <c r="BA52">
        <f>IF(ISNUMBER(FIND("PreWeaned",Y52)),_xlfn.XLOOKUP(Y52,Constants!$J$2:$J$3,Constants!$M$2:$M$3),"")</f>
        <v>1.37E-2</v>
      </c>
      <c r="BB52">
        <f t="shared" si="53"/>
        <v>230.16000000000003</v>
      </c>
      <c r="BC52">
        <f t="shared" si="54"/>
        <v>0</v>
      </c>
      <c r="BD52">
        <f t="shared" si="55"/>
        <v>0</v>
      </c>
      <c r="BE52">
        <f t="shared" si="56"/>
        <v>0</v>
      </c>
      <c r="BF52">
        <f t="shared" si="57"/>
        <v>0</v>
      </c>
      <c r="BG52">
        <f t="shared" si="58"/>
        <v>230.16000000000003</v>
      </c>
      <c r="BH52">
        <f t="shared" si="59"/>
        <v>0</v>
      </c>
      <c r="BI52">
        <f>Constants!$B$54</f>
        <v>0.02</v>
      </c>
      <c r="BJ52">
        <f>Constants!$B$53</f>
        <v>0.24</v>
      </c>
      <c r="BK52">
        <f t="shared" si="48"/>
        <v>0</v>
      </c>
      <c r="BL52">
        <f t="shared" si="49"/>
        <v>0</v>
      </c>
      <c r="BM52">
        <f>Constants!$B$52</f>
        <v>1.0999999999999999E-2</v>
      </c>
      <c r="BN52">
        <f>Constants!$B$50</f>
        <v>1.57</v>
      </c>
      <c r="BO52">
        <f t="shared" si="50"/>
        <v>0</v>
      </c>
    </row>
    <row r="53" spans="1:68" x14ac:dyDescent="0.2">
      <c r="A53" t="str">
        <f>'Input Scenarios'!A53</f>
        <v>WA</v>
      </c>
      <c r="B53">
        <f>'Input Scenarios'!B53</f>
        <v>0</v>
      </c>
      <c r="C53" t="str">
        <f>'Input Scenarios'!C53</f>
        <v>Irrigated pasture</v>
      </c>
      <c r="D53" t="str">
        <f>'Input Scenarios'!D53</f>
        <v>dry</v>
      </c>
      <c r="E53" t="b">
        <f>'Input Scenarios'!E53</f>
        <v>0</v>
      </c>
      <c r="F53" t="str">
        <f>'Input Scenarios'!F53</f>
        <v>Grazed only</v>
      </c>
      <c r="G53">
        <f>IF('Input Scenarios'!G53&lt;&gt;"", 'Input Scenarios'!G53, _xlfn.XLOOKUP($F53, Constants!$M$6:$M$9,Constants!N$6:N$9))</f>
        <v>0.89</v>
      </c>
      <c r="H53">
        <f>IF('Input Scenarios'!H53&lt;&gt;"", 'Input Scenarios'!H53, _xlfn.XLOOKUP($F53, Constants!$M$6:$M$9,Constants!O$6:O$9))</f>
        <v>0.11</v>
      </c>
      <c r="I53">
        <f>IF('Input Scenarios'!I53&lt;&gt;"", 'Input Scenarios'!I53, _xlfn.XLOOKUP($F53, Constants!$M$6:$M$9,Constants!P$6:P$9))</f>
        <v>0</v>
      </c>
      <c r="J53">
        <f>'Input Scenarios'!J53</f>
        <v>0</v>
      </c>
      <c r="K53">
        <f>'Input Scenarios'!K53</f>
        <v>0.5</v>
      </c>
      <c r="L53">
        <f>'Input Scenarios'!L53</f>
        <v>0.5</v>
      </c>
      <c r="M53">
        <f>'Input Scenarios'!M53</f>
        <v>0</v>
      </c>
      <c r="N53">
        <f>'Input Scenarios'!N53</f>
        <v>0.5</v>
      </c>
      <c r="O53">
        <f>'Input Scenarios'!O53</f>
        <v>0</v>
      </c>
      <c r="P53">
        <f>'Input Scenarios'!P53</f>
        <v>0</v>
      </c>
      <c r="Q53">
        <f>'Input Scenarios'!Q53</f>
        <v>0.5</v>
      </c>
      <c r="R53" t="b">
        <f>'Input Scenarios'!R53</f>
        <v>0</v>
      </c>
      <c r="S53">
        <f>IF('Input Scenarios'!S53&lt;&gt;"", 'Input Scenarios'!S53, IF(R53, Constants!$B$38, 0))</f>
        <v>0</v>
      </c>
      <c r="T53" t="str">
        <f>IF('Input Scenarios'!T53&lt;&gt;"", 'Input Scenarios'!T53, "")</f>
        <v/>
      </c>
      <c r="U53">
        <f>IF('Input Scenarios'!U53&lt;&gt;"", 'Input Scenarios'!U53, IF(W53&lt;&gt;"", "", Constants!$B$39))</f>
        <v>4</v>
      </c>
      <c r="V53">
        <f>IF('Input Scenarios'!V53&lt;&gt;"", 'Input Scenarios'!V53, IF(W53&lt;&gt;"", "", Constants!$B$40))</f>
        <v>3.3</v>
      </c>
      <c r="W53" t="str">
        <f>IF('Input Scenarios'!W53&lt;&gt;"", 'Input Scenarios'!W53, "")</f>
        <v/>
      </c>
      <c r="X53" t="str">
        <f>'Input Scenarios'!X53</f>
        <v>Ayrshire</v>
      </c>
      <c r="Y53" t="str">
        <f>'Input Scenarios'!Y53</f>
        <v>heifersLt1Weaned</v>
      </c>
      <c r="Z53">
        <f>'Input Scenarios'!Z53</f>
        <v>200</v>
      </c>
      <c r="AA53">
        <f>IF('Input Scenarios'!AA53&lt;&gt;"", 'Input Scenarios'!AA53, _xlfn.XLOOKUP(Y53,Constants!$J$6:$J$12,Constants!$K$6:$K$12))</f>
        <v>281</v>
      </c>
      <c r="AB53">
        <f>IF('Input Scenarios'!AB53&lt;&gt;"", 'Input Scenarios'!AB53, INDEX(Constants!$B$2:$H$11, MATCH(X53, Constants!$A$2:$A$11, 0), MATCH(Y53,Constants!$B$1:$H$1, 0)))</f>
        <v>150</v>
      </c>
      <c r="AC53">
        <f>IF('Input Scenarios'!AC53&lt;&gt;"", 'Input Scenarios'!AC53, _xlfn.XLOOKUP(Y53, Constants!$B$13:$H$13, Constants!$B$15:$H$15, ""))</f>
        <v>0.56999999999999995</v>
      </c>
      <c r="AD53">
        <f>IF('Input Scenarios'!AD53&lt;&gt;"", 'Input Scenarios'!AD53, Constants!$B$45)</f>
        <v>0.75</v>
      </c>
      <c r="AE53">
        <f>IF('Input Scenarios'!AE53&lt;&gt;"", 'Input Scenarios'!AE53, Constants!$B$46)</f>
        <v>0.2</v>
      </c>
      <c r="AF53">
        <f t="shared" si="40"/>
        <v>0</v>
      </c>
      <c r="AG53">
        <f t="shared" si="40"/>
        <v>0</v>
      </c>
      <c r="AH53">
        <f t="shared" si="40"/>
        <v>0</v>
      </c>
      <c r="AI53">
        <f t="shared" si="40"/>
        <v>0</v>
      </c>
      <c r="AJ53">
        <f t="shared" si="41"/>
        <v>1</v>
      </c>
      <c r="AK53">
        <f t="shared" si="60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43"/>
        <v>0.5948500000000001</v>
      </c>
      <c r="AQ53">
        <f t="shared" si="44"/>
        <v>0</v>
      </c>
      <c r="AR53">
        <f>IF(Y53="milkingCows", Constants!$P$2, Constants!$P$3)</f>
        <v>1</v>
      </c>
      <c r="AS53">
        <f t="shared" si="45"/>
        <v>3.9483677025000001</v>
      </c>
      <c r="AT53">
        <f t="shared" si="46"/>
        <v>1.2085398598508978</v>
      </c>
      <c r="AU53">
        <f>_xlfn.XLOOKUP(Y53, Constants!$B$13:$H$13, Constants!$B$14:$H$14, "")</f>
        <v>590</v>
      </c>
      <c r="AV53">
        <f t="shared" si="47"/>
        <v>0.25423728813559321</v>
      </c>
      <c r="AW53">
        <f>Constants!$B$55</f>
        <v>6.25</v>
      </c>
      <c r="AX53">
        <f t="shared" si="51"/>
        <v>1.4705504454277429E-2</v>
      </c>
      <c r="AY53">
        <f t="shared" si="52"/>
        <v>0.78967354050000005</v>
      </c>
      <c r="AZ53">
        <f t="shared" si="18"/>
        <v>0.1108878977522821</v>
      </c>
      <c r="BA53" t="str">
        <f>IF(ISNUMBER(FIND("PreWeaned",Y53)),_xlfn.XLOOKUP(Y53,Constants!$J$2:$J$3,Constants!$M$2:$M$3),"")</f>
        <v/>
      </c>
      <c r="BB53">
        <f t="shared" si="53"/>
        <v>6231.8998536782537</v>
      </c>
      <c r="BC53">
        <f t="shared" si="54"/>
        <v>0</v>
      </c>
      <c r="BD53">
        <f t="shared" si="55"/>
        <v>0</v>
      </c>
      <c r="BE53">
        <f t="shared" si="56"/>
        <v>0</v>
      </c>
      <c r="BF53">
        <f t="shared" si="57"/>
        <v>0</v>
      </c>
      <c r="BG53">
        <f t="shared" si="58"/>
        <v>6231.8998536782537</v>
      </c>
      <c r="BH53">
        <f t="shared" si="59"/>
        <v>0</v>
      </c>
      <c r="BI53">
        <f>Constants!$B$54</f>
        <v>0.02</v>
      </c>
      <c r="BJ53">
        <f>Constants!$B$53</f>
        <v>0.24</v>
      </c>
      <c r="BK53">
        <f t="shared" si="48"/>
        <v>0</v>
      </c>
      <c r="BL53">
        <f t="shared" si="49"/>
        <v>0</v>
      </c>
      <c r="BM53">
        <f>Constants!$B$52</f>
        <v>1.0999999999999999E-2</v>
      </c>
      <c r="BN53">
        <f>Constants!$B$50</f>
        <v>1.57</v>
      </c>
      <c r="BO53">
        <f t="shared" si="50"/>
        <v>0</v>
      </c>
    </row>
    <row r="54" spans="1:68" x14ac:dyDescent="0.2">
      <c r="A54" t="str">
        <f>'Input Scenarios'!A54</f>
        <v>WA</v>
      </c>
      <c r="B54">
        <f>'Input Scenarios'!B54</f>
        <v>0</v>
      </c>
      <c r="C54" t="str">
        <f>'Input Scenarios'!C54</f>
        <v>Irrigated pasture</v>
      </c>
      <c r="D54" t="str">
        <f>'Input Scenarios'!D54</f>
        <v>dry</v>
      </c>
      <c r="E54" t="b">
        <f>'Input Scenarios'!E54</f>
        <v>0</v>
      </c>
      <c r="F54" t="str">
        <f>'Input Scenarios'!F54</f>
        <v>Grazed only</v>
      </c>
      <c r="G54">
        <f>IF('Input Scenarios'!G54&lt;&gt;"", 'Input Scenarios'!G54, _xlfn.XLOOKUP($F54, Constants!$M$6:$M$9,Constants!N$6:N$9))</f>
        <v>0.89</v>
      </c>
      <c r="H54">
        <f>IF('Input Scenarios'!H54&lt;&gt;"", 'Input Scenarios'!H54, _xlfn.XLOOKUP($F54, Constants!$M$6:$M$9,Constants!O$6:O$9))</f>
        <v>0.11</v>
      </c>
      <c r="I54">
        <f>IF('Input Scenarios'!I54&lt;&gt;"", 'Input Scenarios'!I54, _xlfn.XLOOKUP($F54, Constants!$M$6:$M$9,Constants!P$6:P$9))</f>
        <v>0</v>
      </c>
      <c r="J54">
        <f>'Input Scenarios'!J54</f>
        <v>0</v>
      </c>
      <c r="K54">
        <f>'Input Scenarios'!K54</f>
        <v>0.5</v>
      </c>
      <c r="L54">
        <f>'Input Scenarios'!L54</f>
        <v>0.5</v>
      </c>
      <c r="M54">
        <f>'Input Scenarios'!M54</f>
        <v>0</v>
      </c>
      <c r="N54">
        <f>'Input Scenarios'!N54</f>
        <v>0.5</v>
      </c>
      <c r="O54">
        <f>'Input Scenarios'!O54</f>
        <v>0</v>
      </c>
      <c r="P54">
        <f>'Input Scenarios'!P54</f>
        <v>0</v>
      </c>
      <c r="Q54">
        <f>'Input Scenarios'!Q54</f>
        <v>0.5</v>
      </c>
      <c r="R54" t="b">
        <f>'Input Scenarios'!R54</f>
        <v>0</v>
      </c>
      <c r="S54">
        <f>IF('Input Scenarios'!S54&lt;&gt;"", 'Input Scenarios'!S54, IF(R54, Constants!$B$38, 0))</f>
        <v>0</v>
      </c>
      <c r="T54" t="str">
        <f>IF('Input Scenarios'!T54&lt;&gt;"", 'Input Scenarios'!T54, "")</f>
        <v/>
      </c>
      <c r="U54">
        <f>IF('Input Scenarios'!U54&lt;&gt;"", 'Input Scenarios'!U54, IF(W54&lt;&gt;"", "", Constants!$B$39))</f>
        <v>4</v>
      </c>
      <c r="V54">
        <f>IF('Input Scenarios'!V54&lt;&gt;"", 'Input Scenarios'!V54, IF(W54&lt;&gt;"", "", Constants!$B$40))</f>
        <v>3.3</v>
      </c>
      <c r="W54" t="str">
        <f>IF('Input Scenarios'!W54&lt;&gt;"", 'Input Scenarios'!W54, "")</f>
        <v/>
      </c>
      <c r="X54" t="str">
        <f>'Input Scenarios'!X54</f>
        <v>Ayrshire</v>
      </c>
      <c r="Y54" t="str">
        <f>'Input Scenarios'!Y54</f>
        <v>bullsGt1</v>
      </c>
      <c r="Z54">
        <f>'Input Scenarios'!Z54</f>
        <v>200</v>
      </c>
      <c r="AA54">
        <f>IF('Input Scenarios'!AA54&lt;&gt;"", 'Input Scenarios'!AA54, _xlfn.XLOOKUP(Y54,Constants!$J$6:$J$12,Constants!$K$6:$K$12))</f>
        <v>365</v>
      </c>
      <c r="AB54">
        <f>IF('Input Scenarios'!AB54&lt;&gt;"", 'Input Scenarios'!AB54, INDEX(Constants!$B$2:$H$11, MATCH(X54, Constants!$A$2:$A$11, 0), MATCH(Y54,Constants!$B$1:$H$1, 0)))</f>
        <v>600</v>
      </c>
      <c r="AC54">
        <f>IF('Input Scenarios'!AC54&lt;&gt;"", 'Input Scenarios'!AC54, _xlfn.XLOOKUP(Y54, Constants!$B$13:$H$13, Constants!$B$15:$H$15, ""))</f>
        <v>0.1</v>
      </c>
      <c r="AD54">
        <f>IF('Input Scenarios'!AD54&lt;&gt;"", 'Input Scenarios'!AD54, Constants!$B$45)</f>
        <v>0.75</v>
      </c>
      <c r="AE54">
        <f>IF('Input Scenarios'!AE54&lt;&gt;"", 'Input Scenarios'!AE54, Constants!$B$46)</f>
        <v>0.2</v>
      </c>
      <c r="AF54">
        <f t="shared" si="40"/>
        <v>0</v>
      </c>
      <c r="AG54">
        <f t="shared" si="40"/>
        <v>0</v>
      </c>
      <c r="AH54">
        <f t="shared" si="40"/>
        <v>0</v>
      </c>
      <c r="AI54">
        <f t="shared" si="40"/>
        <v>0</v>
      </c>
      <c r="AJ54">
        <f t="shared" si="41"/>
        <v>1</v>
      </c>
      <c r="AK54">
        <f t="shared" si="60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43"/>
        <v>0.5948500000000001</v>
      </c>
      <c r="AQ54">
        <f t="shared" si="44"/>
        <v>0</v>
      </c>
      <c r="AR54">
        <f>IF(Y54="milkingCows", Constants!$P$2, Constants!$P$3)</f>
        <v>1</v>
      </c>
      <c r="AS54">
        <f t="shared" si="45"/>
        <v>9.0270202499999979</v>
      </c>
      <c r="AT54">
        <f t="shared" si="46"/>
        <v>1.0213029780639273</v>
      </c>
      <c r="AU54">
        <f>_xlfn.XLOOKUP(Y54, Constants!$B$13:$H$13, Constants!$B$14:$H$14, "")</f>
        <v>770</v>
      </c>
      <c r="AV54">
        <f t="shared" si="47"/>
        <v>0.77922077922077926</v>
      </c>
      <c r="AW54">
        <f>Constants!$B$55</f>
        <v>6.25</v>
      </c>
      <c r="AX54">
        <f t="shared" si="51"/>
        <v>1.2626203146474679E-3</v>
      </c>
      <c r="AY54">
        <f t="shared" si="52"/>
        <v>1.8054040499999997</v>
      </c>
      <c r="AZ54">
        <f t="shared" si="18"/>
        <v>0.28546836331241399</v>
      </c>
      <c r="BA54" t="str">
        <f>IF(ISNUMBER(FIND("PreWeaned",Y54)),_xlfn.XLOOKUP(Y54,Constants!$J$2:$J$3,Constants!$M$2:$M$3),"")</f>
        <v/>
      </c>
      <c r="BB54">
        <f t="shared" si="53"/>
        <v>20839.19052180622</v>
      </c>
      <c r="BC54">
        <f t="shared" si="54"/>
        <v>0</v>
      </c>
      <c r="BD54">
        <f t="shared" si="55"/>
        <v>0</v>
      </c>
      <c r="BE54">
        <f t="shared" si="56"/>
        <v>0</v>
      </c>
      <c r="BF54">
        <f t="shared" si="57"/>
        <v>0</v>
      </c>
      <c r="BG54">
        <f t="shared" si="58"/>
        <v>20839.19052180622</v>
      </c>
      <c r="BH54">
        <f t="shared" si="59"/>
        <v>0</v>
      </c>
      <c r="BI54">
        <f>Constants!$B$54</f>
        <v>0.02</v>
      </c>
      <c r="BJ54">
        <f>Constants!$B$53</f>
        <v>0.24</v>
      </c>
      <c r="BK54">
        <f t="shared" si="48"/>
        <v>0</v>
      </c>
      <c r="BL54">
        <f t="shared" si="49"/>
        <v>0</v>
      </c>
      <c r="BM54">
        <f>Constants!$B$52</f>
        <v>1.0999999999999999E-2</v>
      </c>
      <c r="BN54">
        <f>Constants!$B$50</f>
        <v>1.57</v>
      </c>
      <c r="BO54">
        <f t="shared" si="50"/>
        <v>0</v>
      </c>
    </row>
    <row r="55" spans="1:68" x14ac:dyDescent="0.2">
      <c r="A55" t="str">
        <f>'Input Scenarios'!A55</f>
        <v>WA</v>
      </c>
      <c r="B55">
        <f>'Input Scenarios'!B55</f>
        <v>0</v>
      </c>
      <c r="C55" t="str">
        <f>'Input Scenarios'!C55</f>
        <v>Irrigated pasture</v>
      </c>
      <c r="D55" t="str">
        <f>'Input Scenarios'!D55</f>
        <v>dry</v>
      </c>
      <c r="E55" t="b">
        <f>'Input Scenarios'!E55</f>
        <v>0</v>
      </c>
      <c r="F55" t="str">
        <f>'Input Scenarios'!F55</f>
        <v>Grazed only</v>
      </c>
      <c r="G55">
        <f>IF('Input Scenarios'!G55&lt;&gt;"", 'Input Scenarios'!G55, _xlfn.XLOOKUP($F55, Constants!$M$6:$M$9,Constants!N$6:N$9))</f>
        <v>0.89</v>
      </c>
      <c r="H55">
        <f>IF('Input Scenarios'!H55&lt;&gt;"", 'Input Scenarios'!H55, _xlfn.XLOOKUP($F55, Constants!$M$6:$M$9,Constants!O$6:O$9))</f>
        <v>0.11</v>
      </c>
      <c r="I55">
        <f>IF('Input Scenarios'!I55&lt;&gt;"", 'Input Scenarios'!I55, _xlfn.XLOOKUP($F55, Constants!$M$6:$M$9,Constants!P$6:P$9))</f>
        <v>0</v>
      </c>
      <c r="J55">
        <f>'Input Scenarios'!J55</f>
        <v>0</v>
      </c>
      <c r="K55">
        <f>'Input Scenarios'!K55</f>
        <v>0.5</v>
      </c>
      <c r="L55">
        <f>'Input Scenarios'!L55</f>
        <v>0.5</v>
      </c>
      <c r="M55">
        <f>'Input Scenarios'!M55</f>
        <v>0</v>
      </c>
      <c r="N55">
        <f>'Input Scenarios'!N55</f>
        <v>0.5</v>
      </c>
      <c r="O55">
        <f>'Input Scenarios'!O55</f>
        <v>0</v>
      </c>
      <c r="P55">
        <f>'Input Scenarios'!P55</f>
        <v>0</v>
      </c>
      <c r="Q55">
        <f>'Input Scenarios'!Q55</f>
        <v>0.5</v>
      </c>
      <c r="R55" t="b">
        <f>'Input Scenarios'!R55</f>
        <v>0</v>
      </c>
      <c r="S55">
        <f>IF('Input Scenarios'!S55&lt;&gt;"", 'Input Scenarios'!S55, IF(R55, Constants!$B$38, 0))</f>
        <v>0</v>
      </c>
      <c r="T55" t="str">
        <f>IF('Input Scenarios'!T55&lt;&gt;"", 'Input Scenarios'!T55, "")</f>
        <v/>
      </c>
      <c r="U55">
        <f>IF('Input Scenarios'!U55&lt;&gt;"", 'Input Scenarios'!U55, IF(W55&lt;&gt;"", "", Constants!$B$39))</f>
        <v>4</v>
      </c>
      <c r="V55">
        <f>IF('Input Scenarios'!V55&lt;&gt;"", 'Input Scenarios'!V55, IF(W55&lt;&gt;"", "", Constants!$B$40))</f>
        <v>3.3</v>
      </c>
      <c r="W55" t="str">
        <f>IF('Input Scenarios'!W55&lt;&gt;"", 'Input Scenarios'!W55, "")</f>
        <v/>
      </c>
      <c r="X55" t="str">
        <f>'Input Scenarios'!X55</f>
        <v>Ayrshire</v>
      </c>
      <c r="Y55" t="str">
        <f>'Input Scenarios'!Y55</f>
        <v>bullsLt1PreWeaned</v>
      </c>
      <c r="Z55">
        <f>'Input Scenarios'!Z55</f>
        <v>200</v>
      </c>
      <c r="AA55">
        <f>IF('Input Scenarios'!AA55&lt;&gt;"", 'Input Scenarios'!AA55, _xlfn.XLOOKUP(Y55,Constants!$J$6:$J$12,Constants!$K$6:$K$12))</f>
        <v>84</v>
      </c>
      <c r="AB55">
        <f>IF('Input Scenarios'!AB55&lt;&gt;"", 'Input Scenarios'!AB55, INDEX(Constants!$B$2:$H$11, MATCH(X55, Constants!$A$2:$A$11, 0), MATCH(Y55,Constants!$B$1:$H$1, 0)))</f>
        <v>225</v>
      </c>
      <c r="AC55" t="str">
        <f>IF('Input Scenarios'!AC55&lt;&gt;"", 'Input Scenarios'!AC55, _xlfn.XLOOKUP(Y55, Constants!$B$13:$H$13, Constants!$B$15:$H$15, ""))</f>
        <v/>
      </c>
      <c r="AD55">
        <f>IF('Input Scenarios'!AD55&lt;&gt;"", 'Input Scenarios'!AD55, Constants!$B$45)</f>
        <v>0.75</v>
      </c>
      <c r="AE55">
        <f>IF('Input Scenarios'!AE55&lt;&gt;"", 'Input Scenarios'!AE55, Constants!$B$46)</f>
        <v>0.2</v>
      </c>
      <c r="AF55">
        <f t="shared" si="40"/>
        <v>0</v>
      </c>
      <c r="AG55">
        <f t="shared" si="40"/>
        <v>0</v>
      </c>
      <c r="AH55">
        <f t="shared" si="40"/>
        <v>0</v>
      </c>
      <c r="AI55">
        <f t="shared" si="40"/>
        <v>0</v>
      </c>
      <c r="AJ55">
        <f t="shared" si="41"/>
        <v>1</v>
      </c>
      <c r="AK55">
        <f t="shared" si="60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43"/>
        <v>0.5948500000000001</v>
      </c>
      <c r="AQ55">
        <f t="shared" si="44"/>
        <v>0</v>
      </c>
      <c r="AR55">
        <f>IF(Y55="milkingCows", Constants!$P$2, Constants!$P$3)</f>
        <v>1</v>
      </c>
      <c r="AS55" t="str">
        <f t="shared" si="45"/>
        <v/>
      </c>
      <c r="AT55" t="str">
        <f t="shared" si="46"/>
        <v/>
      </c>
      <c r="AU55" t="str">
        <f>_xlfn.XLOOKUP(Y55, Constants!$B$13:$H$13, Constants!$B$14:$H$14, "")</f>
        <v/>
      </c>
      <c r="AV55" t="str">
        <f t="shared" si="47"/>
        <v/>
      </c>
      <c r="AW55">
        <f>Constants!$B$55</f>
        <v>6.25</v>
      </c>
      <c r="AX55" t="str">
        <f t="shared" si="51"/>
        <v/>
      </c>
      <c r="AY55" t="str">
        <f t="shared" si="52"/>
        <v/>
      </c>
      <c r="AZ55" t="str">
        <f t="shared" si="18"/>
        <v/>
      </c>
      <c r="BA55">
        <f>IF(ISNUMBER(FIND("PreWeaned",Y55)),_xlfn.XLOOKUP(Y55,Constants!$J$2:$J$3,Constants!$M$2:$M$3),"")</f>
        <v>9.1999999999999998E-3</v>
      </c>
      <c r="BB55">
        <f t="shared" si="53"/>
        <v>154.56</v>
      </c>
      <c r="BC55">
        <f t="shared" si="54"/>
        <v>0</v>
      </c>
      <c r="BD55">
        <f t="shared" si="55"/>
        <v>0</v>
      </c>
      <c r="BE55">
        <f t="shared" si="56"/>
        <v>0</v>
      </c>
      <c r="BF55">
        <f t="shared" si="57"/>
        <v>0</v>
      </c>
      <c r="BG55">
        <f t="shared" si="58"/>
        <v>154.56</v>
      </c>
      <c r="BH55">
        <f t="shared" si="59"/>
        <v>0</v>
      </c>
      <c r="BI55">
        <f>Constants!$B$54</f>
        <v>0.02</v>
      </c>
      <c r="BJ55">
        <f>Constants!$B$53</f>
        <v>0.24</v>
      </c>
      <c r="BK55">
        <f t="shared" si="48"/>
        <v>0</v>
      </c>
      <c r="BL55">
        <f t="shared" si="49"/>
        <v>0</v>
      </c>
      <c r="BM55">
        <f>Constants!$B$52</f>
        <v>1.0999999999999999E-2</v>
      </c>
      <c r="BN55">
        <f>Constants!$B$50</f>
        <v>1.57</v>
      </c>
      <c r="BO55">
        <f t="shared" si="50"/>
        <v>0</v>
      </c>
    </row>
    <row r="56" spans="1:68" x14ac:dyDescent="0.2">
      <c r="A56" s="16" t="str">
        <f>'Input Scenarios'!A56</f>
        <v>WA</v>
      </c>
      <c r="B56" s="16">
        <f>'Input Scenarios'!B56</f>
        <v>0</v>
      </c>
      <c r="C56" s="16" t="str">
        <f>'Input Scenarios'!C56</f>
        <v>Irrigated pasture</v>
      </c>
      <c r="D56" s="16" t="str">
        <f>'Input Scenarios'!D56</f>
        <v>dry</v>
      </c>
      <c r="E56" s="16" t="b">
        <f>'Input Scenarios'!E56</f>
        <v>0</v>
      </c>
      <c r="F56" s="16" t="str">
        <f>'Input Scenarios'!F56</f>
        <v>Grazed only</v>
      </c>
      <c r="G56" s="16">
        <f>IF('Input Scenarios'!G56&lt;&gt;"", 'Input Scenarios'!G56, _xlfn.XLOOKUP($F56, Constants!$M$6:$M$9,Constants!N$6:N$9))</f>
        <v>0.89</v>
      </c>
      <c r="H56" s="16">
        <f>IF('Input Scenarios'!H56&lt;&gt;"", 'Input Scenarios'!H56, _xlfn.XLOOKUP($F56, Constants!$M$6:$M$9,Constants!O$6:O$9))</f>
        <v>0.11</v>
      </c>
      <c r="I56" s="16">
        <f>IF('Input Scenarios'!I56&lt;&gt;"", 'Input Scenarios'!I56, _xlfn.XLOOKUP($F56, Constants!$M$6:$M$9,Constants!P$6:P$9))</f>
        <v>0</v>
      </c>
      <c r="J56" s="16">
        <f>'Input Scenarios'!J56</f>
        <v>0</v>
      </c>
      <c r="K56" s="16">
        <f>'Input Scenarios'!K56</f>
        <v>0.5</v>
      </c>
      <c r="L56" s="16">
        <f>'Input Scenarios'!L56</f>
        <v>0.5</v>
      </c>
      <c r="M56" s="16">
        <f>'Input Scenarios'!M56</f>
        <v>0</v>
      </c>
      <c r="N56" s="16">
        <f>'Input Scenarios'!N56</f>
        <v>0.5</v>
      </c>
      <c r="O56" s="16">
        <f>'Input Scenarios'!O56</f>
        <v>0</v>
      </c>
      <c r="P56" s="16">
        <f>'Input Scenarios'!P56</f>
        <v>0</v>
      </c>
      <c r="Q56" s="16">
        <f>'Input Scenarios'!Q56</f>
        <v>0.5</v>
      </c>
      <c r="R56" s="16" t="b">
        <f>'Input Scenarios'!R56</f>
        <v>0</v>
      </c>
      <c r="S56" s="16">
        <f>IF('Input Scenarios'!S56&lt;&gt;"", 'Input Scenarios'!S56, IF(R56, Constants!$B$38, 0))</f>
        <v>0</v>
      </c>
      <c r="T56" s="16" t="str">
        <f>IF('Input Scenarios'!T56&lt;&gt;"", 'Input Scenarios'!T56, "")</f>
        <v/>
      </c>
      <c r="U56" s="16">
        <f>IF('Input Scenarios'!U56&lt;&gt;"", 'Input Scenarios'!U56, IF(W56&lt;&gt;"", "", Constants!$B$39))</f>
        <v>4</v>
      </c>
      <c r="V56" s="16">
        <f>IF('Input Scenarios'!V56&lt;&gt;"", 'Input Scenarios'!V56, IF(W56&lt;&gt;"", "", Constants!$B$40))</f>
        <v>3.3</v>
      </c>
      <c r="W56" s="16" t="str">
        <f>IF('Input Scenarios'!W56&lt;&gt;"", 'Input Scenarios'!W56, "")</f>
        <v/>
      </c>
      <c r="X56" s="16" t="str">
        <f>'Input Scenarios'!X56</f>
        <v>Ayrshire</v>
      </c>
      <c r="Y56" s="16" t="str">
        <f>'Input Scenarios'!Y56</f>
        <v>bullsLt1Weaned</v>
      </c>
      <c r="Z56" s="16">
        <f>'Input Scenarios'!Z56</f>
        <v>200</v>
      </c>
      <c r="AA56" s="16">
        <f>IF('Input Scenarios'!AA56&lt;&gt;"", 'Input Scenarios'!AA56, _xlfn.XLOOKUP(Y56,Constants!$J$6:$J$12,Constants!$K$6:$K$12))</f>
        <v>281</v>
      </c>
      <c r="AB56" s="16">
        <f>IF('Input Scenarios'!AB56&lt;&gt;"", 'Input Scenarios'!AB56, INDEX(Constants!$B$2:$H$11, MATCH(X56, Constants!$A$2:$A$11, 0), MATCH(Y56,Constants!$B$1:$H$1, 0)))</f>
        <v>225</v>
      </c>
      <c r="AC56" s="16">
        <f>IF('Input Scenarios'!AC56&lt;&gt;"", 'Input Scenarios'!AC56, _xlfn.XLOOKUP(Y56, Constants!$B$13:$H$13, Constants!$B$15:$H$15, ""))</f>
        <v>0.8</v>
      </c>
      <c r="AD56" s="16">
        <f>IF('Input Scenarios'!AD56&lt;&gt;"", 'Input Scenarios'!AD56, Constants!$B$45)</f>
        <v>0.75</v>
      </c>
      <c r="AE56" s="16">
        <f>IF('Input Scenarios'!AE56&lt;&gt;"", 'Input Scenarios'!AE56, Constants!$B$46)</f>
        <v>0.2</v>
      </c>
      <c r="AF56" s="16">
        <f t="shared" si="40"/>
        <v>0</v>
      </c>
      <c r="AG56" s="16">
        <f t="shared" si="40"/>
        <v>0</v>
      </c>
      <c r="AH56" s="16">
        <f t="shared" si="40"/>
        <v>0</v>
      </c>
      <c r="AI56" s="16">
        <f t="shared" si="40"/>
        <v>0</v>
      </c>
      <c r="AJ56" s="16">
        <f t="shared" si="41"/>
        <v>1</v>
      </c>
      <c r="AK56" s="16">
        <f t="shared" si="60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43"/>
        <v>0.5948500000000001</v>
      </c>
      <c r="AQ56" s="16">
        <f t="shared" si="44"/>
        <v>0</v>
      </c>
      <c r="AR56" s="16">
        <f>IF(Y56="milkingCows", Constants!$P$2, Constants!$P$3)</f>
        <v>1</v>
      </c>
      <c r="AS56" s="16">
        <f t="shared" si="45"/>
        <v>5.4143472656250013</v>
      </c>
      <c r="AT56" s="16">
        <f t="shared" si="46"/>
        <v>1.2576570545672616</v>
      </c>
      <c r="AU56" s="16">
        <f>_xlfn.XLOOKUP(Y56, Constants!$B$13:$H$13, Constants!$B$14:$H$14, "")</f>
        <v>770</v>
      </c>
      <c r="AV56" s="16">
        <f t="shared" si="47"/>
        <v>0.29220779220779219</v>
      </c>
      <c r="AW56" s="16">
        <f>Constants!$B$55</f>
        <v>6.25</v>
      </c>
      <c r="AX56" s="16">
        <f t="shared" si="51"/>
        <v>1.9757354894894084E-2</v>
      </c>
      <c r="AY56" s="16">
        <f t="shared" si="52"/>
        <v>1.0828694531250003</v>
      </c>
      <c r="AZ56" s="16">
        <f t="shared" si="18"/>
        <v>0.15247929000170721</v>
      </c>
      <c r="BA56" s="16" t="str">
        <f>IF(ISNUMBER(FIND("PreWeaned",Y56)),_xlfn.XLOOKUP(Y56,Constants!$J$2:$J$3,Constants!$M$2:$M$3),"")</f>
        <v/>
      </c>
      <c r="BB56" s="16">
        <f t="shared" si="53"/>
        <v>8569.336098095946</v>
      </c>
      <c r="BC56" s="16">
        <f t="shared" si="54"/>
        <v>0</v>
      </c>
      <c r="BD56" s="16">
        <f t="shared" si="55"/>
        <v>0</v>
      </c>
      <c r="BE56" s="16">
        <f t="shared" si="56"/>
        <v>0</v>
      </c>
      <c r="BF56" s="16">
        <f t="shared" si="57"/>
        <v>0</v>
      </c>
      <c r="BG56" s="16">
        <f t="shared" si="58"/>
        <v>8569.336098095946</v>
      </c>
      <c r="BH56" s="16">
        <f t="shared" si="59"/>
        <v>0</v>
      </c>
      <c r="BI56" s="16">
        <f>Constants!$B$54</f>
        <v>0.02</v>
      </c>
      <c r="BJ56" s="16">
        <f>Constants!$B$53</f>
        <v>0.24</v>
      </c>
      <c r="BK56" s="16">
        <f t="shared" si="48"/>
        <v>0</v>
      </c>
      <c r="BL56" s="16">
        <f t="shared" si="49"/>
        <v>0</v>
      </c>
      <c r="BM56" s="16">
        <f>Constants!$B$52</f>
        <v>1.0999999999999999E-2</v>
      </c>
      <c r="BN56" s="16">
        <f>Constants!$B$50</f>
        <v>1.57</v>
      </c>
      <c r="BO56" s="16">
        <f t="shared" si="50"/>
        <v>0</v>
      </c>
      <c r="BP56" s="16"/>
    </row>
    <row r="57" spans="1:68" x14ac:dyDescent="0.2">
      <c r="A57" t="str">
        <f>'Input Scenarios'!A57</f>
        <v>SA</v>
      </c>
      <c r="B57">
        <f>'Input Scenarios'!B57</f>
        <v>0</v>
      </c>
      <c r="C57" t="str">
        <f>'Input Scenarios'!C57</f>
        <v>Irrigated crop</v>
      </c>
      <c r="D57" t="str">
        <f>'Input Scenarios'!D57</f>
        <v>dry</v>
      </c>
      <c r="E57" t="b">
        <f>'Input Scenarios'!E57</f>
        <v>1</v>
      </c>
      <c r="F57" t="str">
        <f>'Input Scenarios'!F57</f>
        <v>Zero grazing</v>
      </c>
      <c r="G57">
        <f>IF('Input Scenarios'!G57&lt;&gt;"", 'Input Scenarios'!G57, _xlfn.XLOOKUP($F57, Constants!$M$6:$M$9,Constants!N$6:N$9))</f>
        <v>0</v>
      </c>
      <c r="H57">
        <f>IF('Input Scenarios'!H57&lt;&gt;"", 'Input Scenarios'!H57, _xlfn.XLOOKUP($F57, Constants!$M$6:$M$9,Constants!O$6:O$9))</f>
        <v>0.11</v>
      </c>
      <c r="I57">
        <f>IF('Input Scenarios'!I57&lt;&gt;"", 'Input Scenarios'!I57, _xlfn.XLOOKUP($F57, Constants!$M$6:$M$9,Constants!P$6:P$9))</f>
        <v>0.89</v>
      </c>
      <c r="J57">
        <f>'Input Scenarios'!J57</f>
        <v>0.1</v>
      </c>
      <c r="K57">
        <f>'Input Scenarios'!K57</f>
        <v>0.2</v>
      </c>
      <c r="L57">
        <f>'Input Scenarios'!L57</f>
        <v>0.3</v>
      </c>
      <c r="M57">
        <f>'Input Scenarios'!M57</f>
        <v>0.4</v>
      </c>
      <c r="N57">
        <f>'Input Scenarios'!N57</f>
        <v>0.4</v>
      </c>
      <c r="O57">
        <f>'Input Scenarios'!O57</f>
        <v>0.3</v>
      </c>
      <c r="P57">
        <f>'Input Scenarios'!P57</f>
        <v>0.2</v>
      </c>
      <c r="Q57">
        <f>'Input Scenarios'!Q57</f>
        <v>0.1</v>
      </c>
      <c r="R57" t="b">
        <f>'Input Scenarios'!R57</f>
        <v>0</v>
      </c>
      <c r="S57">
        <f>IF('Input Scenarios'!S57&lt;&gt;"", 'Input Scenarios'!S57, IF(R57, Constants!$B$38, 0))</f>
        <v>0</v>
      </c>
      <c r="T57" t="str">
        <f>IF('Input Scenarios'!T57&lt;&gt;"", 'Input Scenarios'!T57, "")</f>
        <v/>
      </c>
      <c r="U57" t="str">
        <f>IF('Input Scenarios'!U57&lt;&gt;"", 'Input Scenarios'!U57, IF(W57&lt;&gt;"", "", Constants!$B$39))</f>
        <v/>
      </c>
      <c r="V57" t="str">
        <f>IF('Input Scenarios'!V57&lt;&gt;"", 'Input Scenarios'!V57, IF(W57&lt;&gt;"", "", Constants!$B$40))</f>
        <v/>
      </c>
      <c r="W57">
        <f>IF('Input Scenarios'!W57&lt;&gt;"", 'Input Scenarios'!W57, "")</f>
        <v>0.1</v>
      </c>
      <c r="X57" t="str">
        <f>'Input Scenarios'!X57</f>
        <v>Guernsey</v>
      </c>
      <c r="Y57" t="str">
        <f>'Input Scenarios'!Y57</f>
        <v>milkingCows</v>
      </c>
      <c r="Z57">
        <f>'Input Scenarios'!Z57</f>
        <v>200</v>
      </c>
      <c r="AA57">
        <f>IF('Input Scenarios'!AA57&lt;&gt;"", 'Input Scenarios'!AA57, _xlfn.XLOOKUP(Y57,Constants!$J$6:$J$12,Constants!$K$6:$K$12))</f>
        <v>365</v>
      </c>
      <c r="AB57">
        <f>IF('Input Scenarios'!AB57&lt;&gt;"", 'Input Scenarios'!AB57, INDEX(Constants!$B$2:$H$11, MATCH(X57, Constants!$A$2:$A$11, 0), MATCH(Y57,Constants!$B$1:$H$1, 0)))</f>
        <v>480</v>
      </c>
      <c r="AC57">
        <f>IF('Input Scenarios'!AC57&lt;&gt;"", 'Input Scenarios'!AC57, _xlfn.XLOOKUP(Y57, Constants!$B$13:$H$13, Constants!$B$15:$H$15, ""))</f>
        <v>1.6E-2</v>
      </c>
      <c r="AD57">
        <f>IF('Input Scenarios'!AD57&lt;&gt;"", 'Input Scenarios'!AD57, Constants!$B$45)</f>
        <v>0.75</v>
      </c>
      <c r="AE57">
        <f>IF('Input Scenarios'!AE57&lt;&gt;"", 'Input Scenarios'!AE57, Constants!$B$46)</f>
        <v>0.2</v>
      </c>
      <c r="AF57" s="20">
        <f>IF($Y57="milkingCows",($H57*J57)+($I57*N57), 0)</f>
        <v>0.36700000000000005</v>
      </c>
      <c r="AG57" s="20">
        <f t="shared" ref="AG57:AI63" si="61">IF($Y57="milkingCows",($H57*K57)+($I57*O57), 0)</f>
        <v>0.28900000000000003</v>
      </c>
      <c r="AH57" s="20">
        <f t="shared" si="61"/>
        <v>0.21100000000000002</v>
      </c>
      <c r="AI57" s="20">
        <f t="shared" si="61"/>
        <v>0.13300000000000001</v>
      </c>
      <c r="AJ57" s="20">
        <f>IF($Y57="milkingCows",G57, 1)</f>
        <v>0</v>
      </c>
      <c r="AK57">
        <f t="shared" si="60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43"/>
        <v>0.5948500000000001</v>
      </c>
      <c r="AQ57">
        <f t="shared" si="44"/>
        <v>4.7899360818035967E-2</v>
      </c>
      <c r="AR57">
        <f>IF(Y57="milkingCows", Constants!$P$2, Constants!$P$3)</f>
        <v>1.1000000000000001</v>
      </c>
      <c r="AS57">
        <f t="shared" si="45"/>
        <v>8.4893082048180375</v>
      </c>
      <c r="AT57">
        <f t="shared" si="46"/>
        <v>1.0036280191363305</v>
      </c>
      <c r="AU57">
        <f>_xlfn.XLOOKUP(Y57, Constants!$B$13:$H$13, Constants!$B$14:$H$14, "")</f>
        <v>590</v>
      </c>
      <c r="AV57">
        <f t="shared" si="47"/>
        <v>0.81355932203389836</v>
      </c>
      <c r="AW57">
        <f>Constants!$B$55</f>
        <v>6.25</v>
      </c>
      <c r="AX57" s="20">
        <f t="shared" si="51"/>
        <v>7.1308460484772421E-4</v>
      </c>
      <c r="AY57">
        <f t="shared" si="52"/>
        <v>1.6978616409636076</v>
      </c>
      <c r="AZ57">
        <f>IF(ISNUMBER(FIND("PreWeaned",Y57)),"", MAX((AY57/AW57)-AX57-(((1.1*10^-4)*(AB57^0.75))/AW57), 0))</f>
        <v>0.26913991763431183</v>
      </c>
      <c r="BA57" t="str">
        <f>IF(ISNUMBER(FIND("PreWeaned",Y57)),_xlfn.XLOOKUP(Y57,Constants!$J$2:$J$3,Constants!$M$2:$M$3),"")</f>
        <v/>
      </c>
      <c r="BB57">
        <f t="shared" si="53"/>
        <v>19647.213987304764</v>
      </c>
      <c r="BC57">
        <f t="shared" si="54"/>
        <v>7210.527533340849</v>
      </c>
      <c r="BD57">
        <f t="shared" si="55"/>
        <v>5678.0448423310772</v>
      </c>
      <c r="BE57">
        <f t="shared" si="56"/>
        <v>4145.5621513213055</v>
      </c>
      <c r="BF57">
        <f t="shared" si="57"/>
        <v>2613.0794603115337</v>
      </c>
      <c r="BG57">
        <f t="shared" si="58"/>
        <v>0</v>
      </c>
      <c r="BH57">
        <f t="shared" si="59"/>
        <v>1</v>
      </c>
      <c r="BI57">
        <f>Constants!$B$54</f>
        <v>0.02</v>
      </c>
      <c r="BJ57">
        <f>Constants!$B$53</f>
        <v>0.24</v>
      </c>
      <c r="BK57">
        <f t="shared" si="48"/>
        <v>52.261589206230674</v>
      </c>
      <c r="BL57">
        <f t="shared" si="49"/>
        <v>0</v>
      </c>
      <c r="BM57">
        <f>Constants!$B$52</f>
        <v>1.0999999999999999E-2</v>
      </c>
      <c r="BN57">
        <f>Constants!$B$50</f>
        <v>1.57</v>
      </c>
      <c r="BO57">
        <f t="shared" si="50"/>
        <v>0.90255764559160367</v>
      </c>
      <c r="BP57">
        <f>SUM(BO57:BO63)/1000</f>
        <v>0.21127783716842188</v>
      </c>
    </row>
    <row r="58" spans="1:68" x14ac:dyDescent="0.2">
      <c r="A58" t="str">
        <f>'Input Scenarios'!A58</f>
        <v>SA</v>
      </c>
      <c r="B58">
        <f>'Input Scenarios'!B58</f>
        <v>0</v>
      </c>
      <c r="C58" t="str">
        <f>'Input Scenarios'!C58</f>
        <v>Irrigated crop</v>
      </c>
      <c r="D58" t="str">
        <f>'Input Scenarios'!D58</f>
        <v>dry</v>
      </c>
      <c r="E58" t="b">
        <f>'Input Scenarios'!E58</f>
        <v>1</v>
      </c>
      <c r="F58" t="str">
        <f>'Input Scenarios'!F58</f>
        <v>Zero grazing</v>
      </c>
      <c r="G58">
        <f>IF('Input Scenarios'!G58&lt;&gt;"", 'Input Scenarios'!G58, _xlfn.XLOOKUP($F58, Constants!$M$6:$M$9,Constants!N$6:N$9))</f>
        <v>0</v>
      </c>
      <c r="H58">
        <f>IF('Input Scenarios'!H58&lt;&gt;"", 'Input Scenarios'!H58, _xlfn.XLOOKUP($F58, Constants!$M$6:$M$9,Constants!O$6:O$9))</f>
        <v>0.11</v>
      </c>
      <c r="I58">
        <f>IF('Input Scenarios'!I58&lt;&gt;"", 'Input Scenarios'!I58, _xlfn.XLOOKUP($F58, Constants!$M$6:$M$9,Constants!P$6:P$9))</f>
        <v>0.89</v>
      </c>
      <c r="J58">
        <f>'Input Scenarios'!J58</f>
        <v>0.1</v>
      </c>
      <c r="K58">
        <f>'Input Scenarios'!K58</f>
        <v>0.2</v>
      </c>
      <c r="L58">
        <f>'Input Scenarios'!L58</f>
        <v>0.3</v>
      </c>
      <c r="M58">
        <f>'Input Scenarios'!M58</f>
        <v>0.4</v>
      </c>
      <c r="N58">
        <f>'Input Scenarios'!N58</f>
        <v>0.4</v>
      </c>
      <c r="O58">
        <f>'Input Scenarios'!O58</f>
        <v>0.3</v>
      </c>
      <c r="P58">
        <f>'Input Scenarios'!P58</f>
        <v>0.2</v>
      </c>
      <c r="Q58">
        <f>'Input Scenarios'!Q58</f>
        <v>0.1</v>
      </c>
      <c r="R58" t="b">
        <f>'Input Scenarios'!R58</f>
        <v>0</v>
      </c>
      <c r="S58">
        <f>IF('Input Scenarios'!S58&lt;&gt;"", 'Input Scenarios'!S58, IF(R58, Constants!$B$38, 0))</f>
        <v>0</v>
      </c>
      <c r="T58" t="str">
        <f>IF('Input Scenarios'!T58&lt;&gt;"", 'Input Scenarios'!T58, "")</f>
        <v/>
      </c>
      <c r="U58">
        <f>IF('Input Scenarios'!U58&lt;&gt;"", 'Input Scenarios'!U58, IF(W58&lt;&gt;"", "", Constants!$B$39))</f>
        <v>4</v>
      </c>
      <c r="V58">
        <f>IF('Input Scenarios'!V58&lt;&gt;"", 'Input Scenarios'!V58, IF(W58&lt;&gt;"", "", Constants!$B$40))</f>
        <v>3.3</v>
      </c>
      <c r="W58" t="str">
        <f>IF('Input Scenarios'!W58&lt;&gt;"", 'Input Scenarios'!W58, "")</f>
        <v/>
      </c>
      <c r="X58" t="str">
        <f>'Input Scenarios'!X58</f>
        <v>Guernsey</v>
      </c>
      <c r="Y58" t="str">
        <f>'Input Scenarios'!Y58</f>
        <v>heifersGt1</v>
      </c>
      <c r="Z58">
        <f>'Input Scenarios'!Z58</f>
        <v>200</v>
      </c>
      <c r="AA58">
        <f>IF('Input Scenarios'!AA58&lt;&gt;"", 'Input Scenarios'!AA58, _xlfn.XLOOKUP(Y58,Constants!$J$6:$J$12,Constants!$K$6:$K$12))</f>
        <v>365</v>
      </c>
      <c r="AB58">
        <f>IF('Input Scenarios'!AB58&lt;&gt;"", 'Input Scenarios'!AB58, INDEX(Constants!$B$2:$H$11, MATCH(X58, Constants!$A$2:$A$11, 0), MATCH(Y58,Constants!$B$1:$H$1, 0)))</f>
        <v>335</v>
      </c>
      <c r="AC58">
        <f>IF('Input Scenarios'!AC58&lt;&gt;"", 'Input Scenarios'!AC58, _xlfn.XLOOKUP(Y58, Constants!$B$13:$H$13, Constants!$B$15:$H$15, ""))</f>
        <v>0.6</v>
      </c>
      <c r="AD58">
        <f>IF('Input Scenarios'!AD58&lt;&gt;"", 'Input Scenarios'!AD58, Constants!$B$45)</f>
        <v>0.75</v>
      </c>
      <c r="AE58">
        <f>IF('Input Scenarios'!AE58&lt;&gt;"", 'Input Scenarios'!AE58, Constants!$B$46)</f>
        <v>0.2</v>
      </c>
      <c r="AF58">
        <f t="shared" ref="AF58:AF63" si="62">IF($Y58="milkingCows",($H58*J58)+($I58*N58), 0)</f>
        <v>0</v>
      </c>
      <c r="AG58">
        <f t="shared" si="61"/>
        <v>0</v>
      </c>
      <c r="AH58">
        <f t="shared" si="61"/>
        <v>0</v>
      </c>
      <c r="AI58">
        <f t="shared" si="61"/>
        <v>0</v>
      </c>
      <c r="AJ58">
        <f t="shared" ref="AJ58:AJ63" si="63">IF($Y58="milkingCows",G58, 1)</f>
        <v>1</v>
      </c>
      <c r="AK58">
        <f t="shared" si="60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43"/>
        <v>0.5948500000000001</v>
      </c>
      <c r="AQ58">
        <f t="shared" si="44"/>
        <v>0</v>
      </c>
      <c r="AR58">
        <f>IF(Y58="milkingCows", Constants!$P$2, Constants!$P$3)</f>
        <v>1</v>
      </c>
      <c r="AS58">
        <f t="shared" si="45"/>
        <v>6.7762077032249994</v>
      </c>
      <c r="AT58">
        <f t="shared" si="46"/>
        <v>1.162708374187144</v>
      </c>
      <c r="AU58">
        <f>_xlfn.XLOOKUP(Y58, Constants!$B$13:$H$13, Constants!$B$14:$H$14, "")</f>
        <v>590</v>
      </c>
      <c r="AV58">
        <f t="shared" si="47"/>
        <v>0.56779661016949157</v>
      </c>
      <c r="AW58">
        <f>Constants!$B$55</f>
        <v>6.25</v>
      </c>
      <c r="AX58">
        <f t="shared" si="51"/>
        <v>9.8263084532232529E-3</v>
      </c>
      <c r="AY58">
        <f t="shared" si="52"/>
        <v>1.355241540645</v>
      </c>
      <c r="AZ58">
        <f t="shared" si="18"/>
        <v>0.20563418873649833</v>
      </c>
      <c r="BA58" t="str">
        <f>IF(ISNUMBER(FIND("PreWeaned",Y58)),_xlfn.XLOOKUP(Y58,Constants!$J$2:$J$3,Constants!$M$2:$M$3),"")</f>
        <v/>
      </c>
      <c r="BB58">
        <f t="shared" si="53"/>
        <v>15011.295777764379</v>
      </c>
      <c r="BC58">
        <f t="shared" si="54"/>
        <v>0</v>
      </c>
      <c r="BD58">
        <f t="shared" si="55"/>
        <v>0</v>
      </c>
      <c r="BE58">
        <f t="shared" si="56"/>
        <v>0</v>
      </c>
      <c r="BF58">
        <f t="shared" si="57"/>
        <v>0</v>
      </c>
      <c r="BG58">
        <f t="shared" si="58"/>
        <v>15011.295777764379</v>
      </c>
      <c r="BH58">
        <f t="shared" si="59"/>
        <v>1</v>
      </c>
      <c r="BI58">
        <f>Constants!$B$54</f>
        <v>0.02</v>
      </c>
      <c r="BJ58">
        <f>Constants!$B$53</f>
        <v>0.24</v>
      </c>
      <c r="BK58">
        <f t="shared" si="48"/>
        <v>0</v>
      </c>
      <c r="BL58">
        <f t="shared" si="49"/>
        <v>3602.710986663451</v>
      </c>
      <c r="BM58">
        <f>Constants!$B$52</f>
        <v>1.0999999999999999E-2</v>
      </c>
      <c r="BN58">
        <f>Constants!$B$50</f>
        <v>1.57</v>
      </c>
      <c r="BO58">
        <f t="shared" si="50"/>
        <v>62.218818739677793</v>
      </c>
    </row>
    <row r="59" spans="1:68" x14ac:dyDescent="0.2">
      <c r="A59" t="str">
        <f>'Input Scenarios'!A59</f>
        <v>SA</v>
      </c>
      <c r="B59">
        <f>'Input Scenarios'!B59</f>
        <v>0</v>
      </c>
      <c r="C59" t="str">
        <f>'Input Scenarios'!C59</f>
        <v>Irrigated crop</v>
      </c>
      <c r="D59" t="str">
        <f>'Input Scenarios'!D59</f>
        <v>dry</v>
      </c>
      <c r="E59" t="b">
        <f>'Input Scenarios'!E59</f>
        <v>1</v>
      </c>
      <c r="F59" t="str">
        <f>'Input Scenarios'!F59</f>
        <v>Zero grazing</v>
      </c>
      <c r="G59">
        <f>IF('Input Scenarios'!G59&lt;&gt;"", 'Input Scenarios'!G59, _xlfn.XLOOKUP($F59, Constants!$M$6:$M$9,Constants!N$6:N$9))</f>
        <v>0</v>
      </c>
      <c r="H59">
        <f>IF('Input Scenarios'!H59&lt;&gt;"", 'Input Scenarios'!H59, _xlfn.XLOOKUP($F59, Constants!$M$6:$M$9,Constants!O$6:O$9))</f>
        <v>0.11</v>
      </c>
      <c r="I59">
        <f>IF('Input Scenarios'!I59&lt;&gt;"", 'Input Scenarios'!I59, _xlfn.XLOOKUP($F59, Constants!$M$6:$M$9,Constants!P$6:P$9))</f>
        <v>0.89</v>
      </c>
      <c r="J59">
        <f>'Input Scenarios'!J59</f>
        <v>0.1</v>
      </c>
      <c r="K59">
        <f>'Input Scenarios'!K59</f>
        <v>0.2</v>
      </c>
      <c r="L59">
        <f>'Input Scenarios'!L59</f>
        <v>0.3</v>
      </c>
      <c r="M59">
        <f>'Input Scenarios'!M59</f>
        <v>0.4</v>
      </c>
      <c r="N59">
        <f>'Input Scenarios'!N59</f>
        <v>0.4</v>
      </c>
      <c r="O59">
        <f>'Input Scenarios'!O59</f>
        <v>0.3</v>
      </c>
      <c r="P59">
        <f>'Input Scenarios'!P59</f>
        <v>0.2</v>
      </c>
      <c r="Q59">
        <f>'Input Scenarios'!Q59</f>
        <v>0.1</v>
      </c>
      <c r="R59" t="b">
        <f>'Input Scenarios'!R59</f>
        <v>0</v>
      </c>
      <c r="S59">
        <f>IF('Input Scenarios'!S59&lt;&gt;"", 'Input Scenarios'!S59, IF(R59, Constants!$B$38, 0))</f>
        <v>0</v>
      </c>
      <c r="T59" t="str">
        <f>IF('Input Scenarios'!T59&lt;&gt;"", 'Input Scenarios'!T59, "")</f>
        <v/>
      </c>
      <c r="U59">
        <f>IF('Input Scenarios'!U59&lt;&gt;"", 'Input Scenarios'!U59, IF(W59&lt;&gt;"", "", Constants!$B$39))</f>
        <v>4</v>
      </c>
      <c r="V59">
        <f>IF('Input Scenarios'!V59&lt;&gt;"", 'Input Scenarios'!V59, IF(W59&lt;&gt;"", "", Constants!$B$40))</f>
        <v>3.3</v>
      </c>
      <c r="W59" t="str">
        <f>IF('Input Scenarios'!W59&lt;&gt;"", 'Input Scenarios'!W59, "")</f>
        <v/>
      </c>
      <c r="X59" t="str">
        <f>'Input Scenarios'!X59</f>
        <v>Guernsey</v>
      </c>
      <c r="Y59" t="str">
        <f>'Input Scenarios'!Y59</f>
        <v>heifersLt1PreWeaned</v>
      </c>
      <c r="Z59">
        <f>'Input Scenarios'!Z59</f>
        <v>200</v>
      </c>
      <c r="AA59">
        <f>IF('Input Scenarios'!AA59&lt;&gt;"", 'Input Scenarios'!AA59, _xlfn.XLOOKUP(Y59,Constants!$J$6:$J$12,Constants!$K$6:$K$12))</f>
        <v>84</v>
      </c>
      <c r="AB59">
        <f>IF('Input Scenarios'!AB59&lt;&gt;"", 'Input Scenarios'!AB59, INDEX(Constants!$B$2:$H$11, MATCH(X59, Constants!$A$2:$A$11, 0), MATCH(Y59,Constants!$B$1:$H$1, 0)))</f>
        <v>140</v>
      </c>
      <c r="AC59" t="str">
        <f>IF('Input Scenarios'!AC59&lt;&gt;"", 'Input Scenarios'!AC59, _xlfn.XLOOKUP(Y59, Constants!$B$13:$H$13, Constants!$B$15:$H$15, ""))</f>
        <v/>
      </c>
      <c r="AD59">
        <f>IF('Input Scenarios'!AD59&lt;&gt;"", 'Input Scenarios'!AD59, Constants!$B$45)</f>
        <v>0.75</v>
      </c>
      <c r="AE59">
        <f>IF('Input Scenarios'!AE59&lt;&gt;"", 'Input Scenarios'!AE59, Constants!$B$46)</f>
        <v>0.2</v>
      </c>
      <c r="AF59">
        <f t="shared" si="62"/>
        <v>0</v>
      </c>
      <c r="AG59">
        <f t="shared" si="61"/>
        <v>0</v>
      </c>
      <c r="AH59">
        <f t="shared" si="61"/>
        <v>0</v>
      </c>
      <c r="AI59">
        <f t="shared" si="61"/>
        <v>0</v>
      </c>
      <c r="AJ59">
        <f t="shared" si="63"/>
        <v>1</v>
      </c>
      <c r="AK59">
        <f t="shared" si="60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43"/>
        <v>0.5948500000000001</v>
      </c>
      <c r="AQ59">
        <f t="shared" si="44"/>
        <v>0</v>
      </c>
      <c r="AR59">
        <f>IF(Y59="milkingCows", Constants!$P$2, Constants!$P$3)</f>
        <v>1</v>
      </c>
      <c r="AS59" t="str">
        <f t="shared" si="45"/>
        <v/>
      </c>
      <c r="AT59" t="str">
        <f t="shared" si="46"/>
        <v/>
      </c>
      <c r="AU59" t="str">
        <f>_xlfn.XLOOKUP(Y59, Constants!$B$13:$H$13, Constants!$B$14:$H$14, "")</f>
        <v/>
      </c>
      <c r="AV59" t="str">
        <f t="shared" si="47"/>
        <v/>
      </c>
      <c r="AW59">
        <f>Constants!$B$55</f>
        <v>6.25</v>
      </c>
      <c r="AX59" t="str">
        <f t="shared" si="51"/>
        <v/>
      </c>
      <c r="AY59" t="str">
        <f t="shared" si="52"/>
        <v/>
      </c>
      <c r="AZ59" t="str">
        <f t="shared" si="18"/>
        <v/>
      </c>
      <c r="BA59">
        <f>IF(ISNUMBER(FIND("PreWeaned",Y59)),_xlfn.XLOOKUP(Y59,Constants!$J$2:$J$3,Constants!$M$2:$M$3),"")</f>
        <v>1.37E-2</v>
      </c>
      <c r="BB59">
        <f t="shared" si="53"/>
        <v>230.16000000000003</v>
      </c>
      <c r="BC59">
        <f t="shared" si="54"/>
        <v>0</v>
      </c>
      <c r="BD59">
        <f t="shared" si="55"/>
        <v>0</v>
      </c>
      <c r="BE59">
        <f t="shared" si="56"/>
        <v>0</v>
      </c>
      <c r="BF59">
        <f t="shared" si="57"/>
        <v>0</v>
      </c>
      <c r="BG59">
        <f t="shared" si="58"/>
        <v>230.16000000000003</v>
      </c>
      <c r="BH59">
        <f t="shared" si="59"/>
        <v>1</v>
      </c>
      <c r="BI59">
        <f>Constants!$B$54</f>
        <v>0.02</v>
      </c>
      <c r="BJ59">
        <f>Constants!$B$53</f>
        <v>0.24</v>
      </c>
      <c r="BK59">
        <f t="shared" si="48"/>
        <v>0</v>
      </c>
      <c r="BL59">
        <f t="shared" si="49"/>
        <v>55.238400000000006</v>
      </c>
      <c r="BM59">
        <f>Constants!$B$52</f>
        <v>1.0999999999999999E-2</v>
      </c>
      <c r="BN59">
        <f>Constants!$B$50</f>
        <v>1.57</v>
      </c>
      <c r="BO59">
        <f t="shared" si="50"/>
        <v>0.95396716800000003</v>
      </c>
    </row>
    <row r="60" spans="1:68" x14ac:dyDescent="0.2">
      <c r="A60" t="str">
        <f>'Input Scenarios'!A60</f>
        <v>SA</v>
      </c>
      <c r="B60">
        <f>'Input Scenarios'!B60</f>
        <v>0</v>
      </c>
      <c r="C60" t="str">
        <f>'Input Scenarios'!C60</f>
        <v>Irrigated crop</v>
      </c>
      <c r="D60" t="str">
        <f>'Input Scenarios'!D60</f>
        <v>dry</v>
      </c>
      <c r="E60" t="b">
        <f>'Input Scenarios'!E60</f>
        <v>1</v>
      </c>
      <c r="F60" t="str">
        <f>'Input Scenarios'!F60</f>
        <v>Zero grazing</v>
      </c>
      <c r="G60">
        <f>IF('Input Scenarios'!G60&lt;&gt;"", 'Input Scenarios'!G60, _xlfn.XLOOKUP($F60, Constants!$M$6:$M$9,Constants!N$6:N$9))</f>
        <v>0</v>
      </c>
      <c r="H60">
        <f>IF('Input Scenarios'!H60&lt;&gt;"", 'Input Scenarios'!H60, _xlfn.XLOOKUP($F60, Constants!$M$6:$M$9,Constants!O$6:O$9))</f>
        <v>0.11</v>
      </c>
      <c r="I60">
        <f>IF('Input Scenarios'!I60&lt;&gt;"", 'Input Scenarios'!I60, _xlfn.XLOOKUP($F60, Constants!$M$6:$M$9,Constants!P$6:P$9))</f>
        <v>0.89</v>
      </c>
      <c r="J60">
        <f>'Input Scenarios'!J60</f>
        <v>0.1</v>
      </c>
      <c r="K60">
        <f>'Input Scenarios'!K60</f>
        <v>0.2</v>
      </c>
      <c r="L60">
        <f>'Input Scenarios'!L60</f>
        <v>0.3</v>
      </c>
      <c r="M60">
        <f>'Input Scenarios'!M60</f>
        <v>0.4</v>
      </c>
      <c r="N60">
        <f>'Input Scenarios'!N60</f>
        <v>0.4</v>
      </c>
      <c r="O60">
        <f>'Input Scenarios'!O60</f>
        <v>0.3</v>
      </c>
      <c r="P60">
        <f>'Input Scenarios'!P60</f>
        <v>0.2</v>
      </c>
      <c r="Q60">
        <f>'Input Scenarios'!Q60</f>
        <v>0.1</v>
      </c>
      <c r="R60" t="b">
        <f>'Input Scenarios'!R60</f>
        <v>0</v>
      </c>
      <c r="S60">
        <f>IF('Input Scenarios'!S60&lt;&gt;"", 'Input Scenarios'!S60, IF(R60, Constants!$B$38, 0))</f>
        <v>0</v>
      </c>
      <c r="T60" t="str">
        <f>IF('Input Scenarios'!T60&lt;&gt;"", 'Input Scenarios'!T60, "")</f>
        <v/>
      </c>
      <c r="U60">
        <f>IF('Input Scenarios'!U60&lt;&gt;"", 'Input Scenarios'!U60, IF(W60&lt;&gt;"", "", Constants!$B$39))</f>
        <v>4</v>
      </c>
      <c r="V60">
        <f>IF('Input Scenarios'!V60&lt;&gt;"", 'Input Scenarios'!V60, IF(W60&lt;&gt;"", "", Constants!$B$40))</f>
        <v>3.3</v>
      </c>
      <c r="W60" t="str">
        <f>IF('Input Scenarios'!W60&lt;&gt;"", 'Input Scenarios'!W60, "")</f>
        <v/>
      </c>
      <c r="X60" t="str">
        <f>'Input Scenarios'!X60</f>
        <v>Guernsey</v>
      </c>
      <c r="Y60" t="str">
        <f>'Input Scenarios'!Y60</f>
        <v>heifersLt1Weaned</v>
      </c>
      <c r="Z60">
        <f>'Input Scenarios'!Z60</f>
        <v>200</v>
      </c>
      <c r="AA60">
        <f>IF('Input Scenarios'!AA60&lt;&gt;"", 'Input Scenarios'!AA60, _xlfn.XLOOKUP(Y60,Constants!$J$6:$J$12,Constants!$K$6:$K$12))</f>
        <v>281</v>
      </c>
      <c r="AB60">
        <f>IF('Input Scenarios'!AB60&lt;&gt;"", 'Input Scenarios'!AB60, INDEX(Constants!$B$2:$H$11, MATCH(X60, Constants!$A$2:$A$11, 0), MATCH(Y60,Constants!$B$1:$H$1, 0)))</f>
        <v>140</v>
      </c>
      <c r="AC60">
        <f>IF('Input Scenarios'!AC60&lt;&gt;"", 'Input Scenarios'!AC60, _xlfn.XLOOKUP(Y60, Constants!$B$13:$H$13, Constants!$B$15:$H$15, ""))</f>
        <v>0.56999999999999995</v>
      </c>
      <c r="AD60">
        <f>IF('Input Scenarios'!AD60&lt;&gt;"", 'Input Scenarios'!AD60, Constants!$B$45)</f>
        <v>0.75</v>
      </c>
      <c r="AE60">
        <f>IF('Input Scenarios'!AE60&lt;&gt;"", 'Input Scenarios'!AE60, Constants!$B$46)</f>
        <v>0.2</v>
      </c>
      <c r="AF60">
        <f t="shared" si="62"/>
        <v>0</v>
      </c>
      <c r="AG60">
        <f t="shared" si="61"/>
        <v>0</v>
      </c>
      <c r="AH60">
        <f t="shared" si="61"/>
        <v>0</v>
      </c>
      <c r="AI60">
        <f t="shared" si="61"/>
        <v>0</v>
      </c>
      <c r="AJ60">
        <f t="shared" si="63"/>
        <v>1</v>
      </c>
      <c r="AK60">
        <f t="shared" si="60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43"/>
        <v>0.5948500000000001</v>
      </c>
      <c r="AQ60">
        <f t="shared" si="44"/>
        <v>0</v>
      </c>
      <c r="AR60">
        <f>IF(Y60="milkingCows", Constants!$P$2, Constants!$P$3)</f>
        <v>1</v>
      </c>
      <c r="AS60">
        <f t="shared" si="45"/>
        <v>3.7993416560999989</v>
      </c>
      <c r="AT60">
        <f t="shared" si="46"/>
        <v>1.213217026603395</v>
      </c>
      <c r="AU60">
        <f>_xlfn.XLOOKUP(Y60, Constants!$B$13:$H$13, Constants!$B$14:$H$14, "")</f>
        <v>590</v>
      </c>
      <c r="AV60">
        <f t="shared" si="47"/>
        <v>0.23728813559322035</v>
      </c>
      <c r="AW60">
        <f>Constants!$B$55</f>
        <v>6.25</v>
      </c>
      <c r="AX60">
        <f t="shared" si="51"/>
        <v>1.49570148025881E-2</v>
      </c>
      <c r="AY60">
        <f t="shared" si="52"/>
        <v>0.75986833121999986</v>
      </c>
      <c r="AZ60">
        <f t="shared" si="18"/>
        <v>0.10590559552466704</v>
      </c>
      <c r="BA60" t="str">
        <f>IF(ISNUMBER(FIND("PreWeaned",Y60)),_xlfn.XLOOKUP(Y60,Constants!$J$2:$J$3,Constants!$M$2:$M$3),"")</f>
        <v/>
      </c>
      <c r="BB60">
        <f t="shared" si="53"/>
        <v>5951.8944684862881</v>
      </c>
      <c r="BC60">
        <f t="shared" si="54"/>
        <v>0</v>
      </c>
      <c r="BD60">
        <f t="shared" si="55"/>
        <v>0</v>
      </c>
      <c r="BE60">
        <f t="shared" si="56"/>
        <v>0</v>
      </c>
      <c r="BF60">
        <f t="shared" si="57"/>
        <v>0</v>
      </c>
      <c r="BG60">
        <f t="shared" si="58"/>
        <v>5951.8944684862881</v>
      </c>
      <c r="BH60">
        <f t="shared" si="59"/>
        <v>1</v>
      </c>
      <c r="BI60">
        <f>Constants!$B$54</f>
        <v>0.02</v>
      </c>
      <c r="BJ60">
        <f>Constants!$B$53</f>
        <v>0.24</v>
      </c>
      <c r="BK60">
        <f t="shared" si="48"/>
        <v>0</v>
      </c>
      <c r="BL60">
        <f t="shared" si="49"/>
        <v>1428.4546724367092</v>
      </c>
      <c r="BM60">
        <f>Constants!$B$52</f>
        <v>1.0999999999999999E-2</v>
      </c>
      <c r="BN60">
        <f>Constants!$B$50</f>
        <v>1.57</v>
      </c>
      <c r="BO60">
        <f t="shared" si="50"/>
        <v>24.669412192981969</v>
      </c>
    </row>
    <row r="61" spans="1:68" x14ac:dyDescent="0.2">
      <c r="A61" t="str">
        <f>'Input Scenarios'!A61</f>
        <v>SA</v>
      </c>
      <c r="B61">
        <f>'Input Scenarios'!B61</f>
        <v>0</v>
      </c>
      <c r="C61" t="str">
        <f>'Input Scenarios'!C61</f>
        <v>Irrigated crop</v>
      </c>
      <c r="D61" t="str">
        <f>'Input Scenarios'!D61</f>
        <v>dry</v>
      </c>
      <c r="E61" t="b">
        <f>'Input Scenarios'!E61</f>
        <v>1</v>
      </c>
      <c r="F61" t="str">
        <f>'Input Scenarios'!F61</f>
        <v>Zero grazing</v>
      </c>
      <c r="G61">
        <f>IF('Input Scenarios'!G61&lt;&gt;"", 'Input Scenarios'!G61, _xlfn.XLOOKUP($F61, Constants!$M$6:$M$9,Constants!N$6:N$9))</f>
        <v>0</v>
      </c>
      <c r="H61">
        <f>IF('Input Scenarios'!H61&lt;&gt;"", 'Input Scenarios'!H61, _xlfn.XLOOKUP($F61, Constants!$M$6:$M$9,Constants!O$6:O$9))</f>
        <v>0.11</v>
      </c>
      <c r="I61">
        <f>IF('Input Scenarios'!I61&lt;&gt;"", 'Input Scenarios'!I61, _xlfn.XLOOKUP($F61, Constants!$M$6:$M$9,Constants!P$6:P$9))</f>
        <v>0.89</v>
      </c>
      <c r="J61">
        <f>'Input Scenarios'!J61</f>
        <v>0.1</v>
      </c>
      <c r="K61">
        <f>'Input Scenarios'!K61</f>
        <v>0.2</v>
      </c>
      <c r="L61">
        <f>'Input Scenarios'!L61</f>
        <v>0.3</v>
      </c>
      <c r="M61">
        <f>'Input Scenarios'!M61</f>
        <v>0.4</v>
      </c>
      <c r="N61">
        <f>'Input Scenarios'!N61</f>
        <v>0.4</v>
      </c>
      <c r="O61">
        <f>'Input Scenarios'!O61</f>
        <v>0.3</v>
      </c>
      <c r="P61">
        <f>'Input Scenarios'!P61</f>
        <v>0.2</v>
      </c>
      <c r="Q61">
        <f>'Input Scenarios'!Q61</f>
        <v>0.1</v>
      </c>
      <c r="R61" t="b">
        <f>'Input Scenarios'!R61</f>
        <v>0</v>
      </c>
      <c r="S61">
        <f>IF('Input Scenarios'!S61&lt;&gt;"", 'Input Scenarios'!S61, IF(R61, Constants!$B$38, 0))</f>
        <v>0</v>
      </c>
      <c r="T61" t="str">
        <f>IF('Input Scenarios'!T61&lt;&gt;"", 'Input Scenarios'!T61, "")</f>
        <v/>
      </c>
      <c r="U61">
        <f>IF('Input Scenarios'!U61&lt;&gt;"", 'Input Scenarios'!U61, IF(W61&lt;&gt;"", "", Constants!$B$39))</f>
        <v>4</v>
      </c>
      <c r="V61">
        <f>IF('Input Scenarios'!V61&lt;&gt;"", 'Input Scenarios'!V61, IF(W61&lt;&gt;"", "", Constants!$B$40))</f>
        <v>3.3</v>
      </c>
      <c r="W61" t="str">
        <f>IF('Input Scenarios'!W61&lt;&gt;"", 'Input Scenarios'!W61, "")</f>
        <v/>
      </c>
      <c r="X61" t="str">
        <f>'Input Scenarios'!X61</f>
        <v>Guernsey</v>
      </c>
      <c r="Y61" t="str">
        <f>'Input Scenarios'!Y61</f>
        <v>bullsGt1</v>
      </c>
      <c r="Z61">
        <f>'Input Scenarios'!Z61</f>
        <v>200</v>
      </c>
      <c r="AA61">
        <f>IF('Input Scenarios'!AA61&lt;&gt;"", 'Input Scenarios'!AA61, _xlfn.XLOOKUP(Y61,Constants!$J$6:$J$12,Constants!$K$6:$K$12))</f>
        <v>365</v>
      </c>
      <c r="AB61">
        <f>IF('Input Scenarios'!AB61&lt;&gt;"", 'Input Scenarios'!AB61, INDEX(Constants!$B$2:$H$11, MATCH(X61, Constants!$A$2:$A$11, 0), MATCH(Y61,Constants!$B$1:$H$1, 0)))</f>
        <v>600</v>
      </c>
      <c r="AC61">
        <f>IF('Input Scenarios'!AC61&lt;&gt;"", 'Input Scenarios'!AC61, _xlfn.XLOOKUP(Y61, Constants!$B$13:$H$13, Constants!$B$15:$H$15, ""))</f>
        <v>0.1</v>
      </c>
      <c r="AD61">
        <f>IF('Input Scenarios'!AD61&lt;&gt;"", 'Input Scenarios'!AD61, Constants!$B$45)</f>
        <v>0.75</v>
      </c>
      <c r="AE61">
        <f>IF('Input Scenarios'!AE61&lt;&gt;"", 'Input Scenarios'!AE61, Constants!$B$46)</f>
        <v>0.2</v>
      </c>
      <c r="AF61">
        <f t="shared" si="62"/>
        <v>0</v>
      </c>
      <c r="AG61">
        <f t="shared" si="61"/>
        <v>0</v>
      </c>
      <c r="AH61">
        <f t="shared" si="61"/>
        <v>0</v>
      </c>
      <c r="AI61">
        <f t="shared" si="61"/>
        <v>0</v>
      </c>
      <c r="AJ61">
        <f t="shared" si="63"/>
        <v>1</v>
      </c>
      <c r="AK61">
        <f t="shared" si="60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43"/>
        <v>0.5948500000000001</v>
      </c>
      <c r="AQ61">
        <f t="shared" si="44"/>
        <v>0</v>
      </c>
      <c r="AR61">
        <f>IF(Y61="milkingCows", Constants!$P$2, Constants!$P$3)</f>
        <v>1</v>
      </c>
      <c r="AS61">
        <f t="shared" si="45"/>
        <v>9.0270202499999979</v>
      </c>
      <c r="AT61">
        <f t="shared" si="46"/>
        <v>1.0213029780639273</v>
      </c>
      <c r="AU61">
        <f>_xlfn.XLOOKUP(Y61, Constants!$B$13:$H$13, Constants!$B$14:$H$14, "")</f>
        <v>770</v>
      </c>
      <c r="AV61">
        <f t="shared" si="47"/>
        <v>0.77922077922077926</v>
      </c>
      <c r="AW61">
        <f>Constants!$B$55</f>
        <v>6.25</v>
      </c>
      <c r="AX61">
        <f t="shared" si="51"/>
        <v>1.2626203146474679E-3</v>
      </c>
      <c r="AY61">
        <f t="shared" si="52"/>
        <v>1.8054040499999997</v>
      </c>
      <c r="AZ61">
        <f t="shared" si="18"/>
        <v>0.28546836331241399</v>
      </c>
      <c r="BA61" t="str">
        <f>IF(ISNUMBER(FIND("PreWeaned",Y61)),_xlfn.XLOOKUP(Y61,Constants!$J$2:$J$3,Constants!$M$2:$M$3),"")</f>
        <v/>
      </c>
      <c r="BB61">
        <f t="shared" si="53"/>
        <v>20839.19052180622</v>
      </c>
      <c r="BC61">
        <f t="shared" si="54"/>
        <v>0</v>
      </c>
      <c r="BD61">
        <f t="shared" si="55"/>
        <v>0</v>
      </c>
      <c r="BE61">
        <f t="shared" si="56"/>
        <v>0</v>
      </c>
      <c r="BF61">
        <f t="shared" si="57"/>
        <v>0</v>
      </c>
      <c r="BG61">
        <f t="shared" si="58"/>
        <v>20839.19052180622</v>
      </c>
      <c r="BH61">
        <f t="shared" si="59"/>
        <v>1</v>
      </c>
      <c r="BI61">
        <f>Constants!$B$54</f>
        <v>0.02</v>
      </c>
      <c r="BJ61">
        <f>Constants!$B$53</f>
        <v>0.24</v>
      </c>
      <c r="BK61">
        <f t="shared" si="48"/>
        <v>0</v>
      </c>
      <c r="BL61">
        <f t="shared" si="49"/>
        <v>5001.4057252334924</v>
      </c>
      <c r="BM61">
        <f>Constants!$B$52</f>
        <v>1.0999999999999999E-2</v>
      </c>
      <c r="BN61">
        <f>Constants!$B$50</f>
        <v>1.57</v>
      </c>
      <c r="BO61">
        <f t="shared" si="50"/>
        <v>86.37427687478241</v>
      </c>
    </row>
    <row r="62" spans="1:68" x14ac:dyDescent="0.2">
      <c r="A62" t="str">
        <f>'Input Scenarios'!A62</f>
        <v>SA</v>
      </c>
      <c r="B62">
        <f>'Input Scenarios'!B62</f>
        <v>0</v>
      </c>
      <c r="C62" t="str">
        <f>'Input Scenarios'!C62</f>
        <v>Irrigated crop</v>
      </c>
      <c r="D62" t="str">
        <f>'Input Scenarios'!D62</f>
        <v>dry</v>
      </c>
      <c r="E62" t="b">
        <f>'Input Scenarios'!E62</f>
        <v>1</v>
      </c>
      <c r="F62" t="str">
        <f>'Input Scenarios'!F62</f>
        <v>Zero grazing</v>
      </c>
      <c r="G62">
        <f>IF('Input Scenarios'!G62&lt;&gt;"", 'Input Scenarios'!G62, _xlfn.XLOOKUP($F62, Constants!$M$6:$M$9,Constants!N$6:N$9))</f>
        <v>0</v>
      </c>
      <c r="H62">
        <f>IF('Input Scenarios'!H62&lt;&gt;"", 'Input Scenarios'!H62, _xlfn.XLOOKUP($F62, Constants!$M$6:$M$9,Constants!O$6:O$9))</f>
        <v>0.11</v>
      </c>
      <c r="I62">
        <f>IF('Input Scenarios'!I62&lt;&gt;"", 'Input Scenarios'!I62, _xlfn.XLOOKUP($F62, Constants!$M$6:$M$9,Constants!P$6:P$9))</f>
        <v>0.89</v>
      </c>
      <c r="J62">
        <f>'Input Scenarios'!J62</f>
        <v>0.1</v>
      </c>
      <c r="K62">
        <f>'Input Scenarios'!K62</f>
        <v>0.2</v>
      </c>
      <c r="L62">
        <f>'Input Scenarios'!L62</f>
        <v>0.3</v>
      </c>
      <c r="M62">
        <f>'Input Scenarios'!M62</f>
        <v>0.4</v>
      </c>
      <c r="N62">
        <f>'Input Scenarios'!N62</f>
        <v>0.4</v>
      </c>
      <c r="O62">
        <f>'Input Scenarios'!O62</f>
        <v>0.3</v>
      </c>
      <c r="P62">
        <f>'Input Scenarios'!P62</f>
        <v>0.2</v>
      </c>
      <c r="Q62">
        <f>'Input Scenarios'!Q62</f>
        <v>0.1</v>
      </c>
      <c r="R62" t="b">
        <f>'Input Scenarios'!R62</f>
        <v>0</v>
      </c>
      <c r="S62">
        <f>IF('Input Scenarios'!S62&lt;&gt;"", 'Input Scenarios'!S62, IF(R62, Constants!$B$38, 0))</f>
        <v>0</v>
      </c>
      <c r="T62" t="str">
        <f>IF('Input Scenarios'!T62&lt;&gt;"", 'Input Scenarios'!T62, "")</f>
        <v/>
      </c>
      <c r="U62">
        <f>IF('Input Scenarios'!U62&lt;&gt;"", 'Input Scenarios'!U62, IF(W62&lt;&gt;"", "", Constants!$B$39))</f>
        <v>4</v>
      </c>
      <c r="V62">
        <f>IF('Input Scenarios'!V62&lt;&gt;"", 'Input Scenarios'!V62, IF(W62&lt;&gt;"", "", Constants!$B$40))</f>
        <v>3.3</v>
      </c>
      <c r="W62" t="str">
        <f>IF('Input Scenarios'!W62&lt;&gt;"", 'Input Scenarios'!W62, "")</f>
        <v/>
      </c>
      <c r="X62" t="str">
        <f>'Input Scenarios'!X62</f>
        <v>Guernsey</v>
      </c>
      <c r="Y62" t="str">
        <f>'Input Scenarios'!Y62</f>
        <v>bullsLt1PreWeaned</v>
      </c>
      <c r="Z62">
        <f>'Input Scenarios'!Z62</f>
        <v>200</v>
      </c>
      <c r="AA62">
        <f>IF('Input Scenarios'!AA62&lt;&gt;"", 'Input Scenarios'!AA62, _xlfn.XLOOKUP(Y62,Constants!$J$6:$J$12,Constants!$K$6:$K$12))</f>
        <v>84</v>
      </c>
      <c r="AB62">
        <f>IF('Input Scenarios'!AB62&lt;&gt;"", 'Input Scenarios'!AB62, INDEX(Constants!$B$2:$H$11, MATCH(X62, Constants!$A$2:$A$11, 0), MATCH(Y62,Constants!$B$1:$H$1, 0)))</f>
        <v>225</v>
      </c>
      <c r="AC62" t="str">
        <f>IF('Input Scenarios'!AC62&lt;&gt;"", 'Input Scenarios'!AC62, _xlfn.XLOOKUP(Y62, Constants!$B$13:$H$13, Constants!$B$15:$H$15, ""))</f>
        <v/>
      </c>
      <c r="AD62">
        <f>IF('Input Scenarios'!AD62&lt;&gt;"", 'Input Scenarios'!AD62, Constants!$B$45)</f>
        <v>0.75</v>
      </c>
      <c r="AE62">
        <f>IF('Input Scenarios'!AE62&lt;&gt;"", 'Input Scenarios'!AE62, Constants!$B$46)</f>
        <v>0.2</v>
      </c>
      <c r="AF62">
        <f t="shared" si="62"/>
        <v>0</v>
      </c>
      <c r="AG62">
        <f t="shared" si="61"/>
        <v>0</v>
      </c>
      <c r="AH62">
        <f t="shared" si="61"/>
        <v>0</v>
      </c>
      <c r="AI62">
        <f t="shared" si="61"/>
        <v>0</v>
      </c>
      <c r="AJ62">
        <f t="shared" si="63"/>
        <v>1</v>
      </c>
      <c r="AK62">
        <f t="shared" si="60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43"/>
        <v>0.5948500000000001</v>
      </c>
      <c r="AQ62">
        <f t="shared" si="44"/>
        <v>0</v>
      </c>
      <c r="AR62">
        <f>IF(Y62="milkingCows", Constants!$P$2, Constants!$P$3)</f>
        <v>1</v>
      </c>
      <c r="AS62" t="str">
        <f t="shared" si="45"/>
        <v/>
      </c>
      <c r="AT62" t="str">
        <f t="shared" si="46"/>
        <v/>
      </c>
      <c r="AU62" t="str">
        <f>_xlfn.XLOOKUP(Y62, Constants!$B$13:$H$13, Constants!$B$14:$H$14, "")</f>
        <v/>
      </c>
      <c r="AV62" t="str">
        <f t="shared" si="47"/>
        <v/>
      </c>
      <c r="AW62">
        <f>Constants!$B$55</f>
        <v>6.25</v>
      </c>
      <c r="AX62" t="str">
        <f t="shared" si="51"/>
        <v/>
      </c>
      <c r="AY62" t="str">
        <f t="shared" si="52"/>
        <v/>
      </c>
      <c r="AZ62" t="str">
        <f t="shared" si="18"/>
        <v/>
      </c>
      <c r="BA62">
        <f>IF(ISNUMBER(FIND("PreWeaned",Y62)),_xlfn.XLOOKUP(Y62,Constants!$J$2:$J$3,Constants!$M$2:$M$3),"")</f>
        <v>9.1999999999999998E-3</v>
      </c>
      <c r="BB62">
        <f t="shared" si="53"/>
        <v>154.56</v>
      </c>
      <c r="BC62">
        <f t="shared" si="54"/>
        <v>0</v>
      </c>
      <c r="BD62">
        <f t="shared" si="55"/>
        <v>0</v>
      </c>
      <c r="BE62">
        <f t="shared" si="56"/>
        <v>0</v>
      </c>
      <c r="BF62">
        <f t="shared" si="57"/>
        <v>0</v>
      </c>
      <c r="BG62">
        <f t="shared" si="58"/>
        <v>154.56</v>
      </c>
      <c r="BH62">
        <f t="shared" si="59"/>
        <v>1</v>
      </c>
      <c r="BI62">
        <f>Constants!$B$54</f>
        <v>0.02</v>
      </c>
      <c r="BJ62">
        <f>Constants!$B$53</f>
        <v>0.24</v>
      </c>
      <c r="BK62">
        <f t="shared" si="48"/>
        <v>0</v>
      </c>
      <c r="BL62">
        <f t="shared" si="49"/>
        <v>37.0944</v>
      </c>
      <c r="BM62">
        <f>Constants!$B$52</f>
        <v>1.0999999999999999E-2</v>
      </c>
      <c r="BN62">
        <f>Constants!$B$50</f>
        <v>1.57</v>
      </c>
      <c r="BO62">
        <f t="shared" si="50"/>
        <v>0.64062028799999993</v>
      </c>
    </row>
    <row r="63" spans="1:68" x14ac:dyDescent="0.2">
      <c r="A63" t="str">
        <f>'Input Scenarios'!A63</f>
        <v>SA</v>
      </c>
      <c r="B63">
        <f>'Input Scenarios'!B63</f>
        <v>0</v>
      </c>
      <c r="C63" t="str">
        <f>'Input Scenarios'!C63</f>
        <v>Irrigated crop</v>
      </c>
      <c r="D63" t="str">
        <f>'Input Scenarios'!D63</f>
        <v>dry</v>
      </c>
      <c r="E63" t="b">
        <f>'Input Scenarios'!E63</f>
        <v>1</v>
      </c>
      <c r="F63" t="str">
        <f>'Input Scenarios'!F63</f>
        <v>Zero grazing</v>
      </c>
      <c r="G63">
        <f>IF('Input Scenarios'!G63&lt;&gt;"", 'Input Scenarios'!G63, _xlfn.XLOOKUP($F63, Constants!$M$6:$M$9,Constants!N$6:N$9))</f>
        <v>0</v>
      </c>
      <c r="H63">
        <f>IF('Input Scenarios'!H63&lt;&gt;"", 'Input Scenarios'!H63, _xlfn.XLOOKUP($F63, Constants!$M$6:$M$9,Constants!O$6:O$9))</f>
        <v>0.11</v>
      </c>
      <c r="I63">
        <f>IF('Input Scenarios'!I63&lt;&gt;"", 'Input Scenarios'!I63, _xlfn.XLOOKUP($F63, Constants!$M$6:$M$9,Constants!P$6:P$9))</f>
        <v>0.89</v>
      </c>
      <c r="J63">
        <f>'Input Scenarios'!J63</f>
        <v>0.1</v>
      </c>
      <c r="K63">
        <f>'Input Scenarios'!K63</f>
        <v>0.2</v>
      </c>
      <c r="L63">
        <f>'Input Scenarios'!L63</f>
        <v>0.3</v>
      </c>
      <c r="M63">
        <f>'Input Scenarios'!M63</f>
        <v>0.4</v>
      </c>
      <c r="N63">
        <f>'Input Scenarios'!N63</f>
        <v>0.4</v>
      </c>
      <c r="O63">
        <f>'Input Scenarios'!O63</f>
        <v>0.3</v>
      </c>
      <c r="P63">
        <f>'Input Scenarios'!P63</f>
        <v>0.2</v>
      </c>
      <c r="Q63">
        <f>'Input Scenarios'!Q63</f>
        <v>0.1</v>
      </c>
      <c r="R63" t="b">
        <f>'Input Scenarios'!R63</f>
        <v>0</v>
      </c>
      <c r="S63">
        <f>IF('Input Scenarios'!S63&lt;&gt;"", 'Input Scenarios'!S63, IF(R63, Constants!$B$38, 0))</f>
        <v>0</v>
      </c>
      <c r="T63" t="str">
        <f>IF('Input Scenarios'!T63&lt;&gt;"", 'Input Scenarios'!T63, "")</f>
        <v/>
      </c>
      <c r="U63">
        <f>IF('Input Scenarios'!U63&lt;&gt;"", 'Input Scenarios'!U63, IF(W63&lt;&gt;"", "", Constants!$B$39))</f>
        <v>4</v>
      </c>
      <c r="V63">
        <f>IF('Input Scenarios'!V63&lt;&gt;"", 'Input Scenarios'!V63, IF(W63&lt;&gt;"", "", Constants!$B$40))</f>
        <v>3.3</v>
      </c>
      <c r="W63" t="str">
        <f>IF('Input Scenarios'!W63&lt;&gt;"", 'Input Scenarios'!W63, "")</f>
        <v/>
      </c>
      <c r="X63" t="str">
        <f>'Input Scenarios'!X63</f>
        <v>Guernsey</v>
      </c>
      <c r="Y63" t="str">
        <f>'Input Scenarios'!Y63</f>
        <v>bullsLt1Weaned</v>
      </c>
      <c r="Z63">
        <f>'Input Scenarios'!Z63</f>
        <v>200</v>
      </c>
      <c r="AA63">
        <f>IF('Input Scenarios'!AA63&lt;&gt;"", 'Input Scenarios'!AA63, _xlfn.XLOOKUP(Y63,Constants!$J$6:$J$12,Constants!$K$6:$K$12))</f>
        <v>281</v>
      </c>
      <c r="AB63">
        <f>IF('Input Scenarios'!AB63&lt;&gt;"", 'Input Scenarios'!AB63, INDEX(Constants!$B$2:$H$11, MATCH(X63, Constants!$A$2:$A$11, 0), MATCH(Y63,Constants!$B$1:$H$1, 0)))</f>
        <v>225</v>
      </c>
      <c r="AC63">
        <f>IF('Input Scenarios'!AC63&lt;&gt;"", 'Input Scenarios'!AC63, _xlfn.XLOOKUP(Y63, Constants!$B$13:$H$13, Constants!$B$15:$H$15, ""))</f>
        <v>0.8</v>
      </c>
      <c r="AD63">
        <f>IF('Input Scenarios'!AD63&lt;&gt;"", 'Input Scenarios'!AD63, Constants!$B$45)</f>
        <v>0.75</v>
      </c>
      <c r="AE63">
        <f>IF('Input Scenarios'!AE63&lt;&gt;"", 'Input Scenarios'!AE63, Constants!$B$46)</f>
        <v>0.2</v>
      </c>
      <c r="AF63" s="16">
        <f t="shared" si="62"/>
        <v>0</v>
      </c>
      <c r="AG63" s="16">
        <f t="shared" si="61"/>
        <v>0</v>
      </c>
      <c r="AH63" s="16">
        <f t="shared" si="61"/>
        <v>0</v>
      </c>
      <c r="AI63" s="16">
        <f t="shared" si="61"/>
        <v>0</v>
      </c>
      <c r="AJ63" s="16">
        <f t="shared" si="63"/>
        <v>1</v>
      </c>
      <c r="AK63" s="16">
        <f t="shared" si="60"/>
        <v>0</v>
      </c>
      <c r="AL63">
        <f>Constants!$B$44</f>
        <v>1.03</v>
      </c>
      <c r="AM63">
        <f>Constants!$B$41</f>
        <v>3.0539999999999998</v>
      </c>
      <c r="AN63">
        <f>Constants!$B$42</f>
        <v>18.399999999999999</v>
      </c>
      <c r="AO63">
        <f>Constants!$B$43</f>
        <v>0.6</v>
      </c>
      <c r="AP63">
        <f t="shared" si="43"/>
        <v>0.5948500000000001</v>
      </c>
      <c r="AQ63">
        <f t="shared" si="44"/>
        <v>0</v>
      </c>
      <c r="AR63">
        <f>IF(Y63="milkingCows", Constants!$P$2, Constants!$P$3)</f>
        <v>1</v>
      </c>
      <c r="AS63">
        <f t="shared" si="45"/>
        <v>5.4143472656250013</v>
      </c>
      <c r="AT63">
        <f t="shared" si="46"/>
        <v>1.2576570545672616</v>
      </c>
      <c r="AU63">
        <f>_xlfn.XLOOKUP(Y63, Constants!$B$13:$H$13, Constants!$B$14:$H$14, "")</f>
        <v>770</v>
      </c>
      <c r="AV63">
        <f t="shared" si="47"/>
        <v>0.29220779220779219</v>
      </c>
      <c r="AW63">
        <f>Constants!$B$55</f>
        <v>6.25</v>
      </c>
      <c r="AX63" s="16">
        <f t="shared" si="51"/>
        <v>1.9757354894894084E-2</v>
      </c>
      <c r="AY63">
        <f t="shared" si="52"/>
        <v>1.0828694531250003</v>
      </c>
      <c r="AZ63" s="16">
        <f t="shared" si="18"/>
        <v>0.15247929000170721</v>
      </c>
      <c r="BA63" t="str">
        <f>IF(ISNUMBER(FIND("PreWeaned",Y63)),_xlfn.XLOOKUP(Y63,Constants!$J$2:$J$3,Constants!$M$2:$M$3),"")</f>
        <v/>
      </c>
      <c r="BB63">
        <f t="shared" si="53"/>
        <v>8569.336098095946</v>
      </c>
      <c r="BC63">
        <f t="shared" si="54"/>
        <v>0</v>
      </c>
      <c r="BD63">
        <f t="shared" si="55"/>
        <v>0</v>
      </c>
      <c r="BE63">
        <f t="shared" si="56"/>
        <v>0</v>
      </c>
      <c r="BF63">
        <f t="shared" si="57"/>
        <v>0</v>
      </c>
      <c r="BG63">
        <f t="shared" si="58"/>
        <v>8569.336098095946</v>
      </c>
      <c r="BH63">
        <f t="shared" si="59"/>
        <v>1</v>
      </c>
      <c r="BI63">
        <f>Constants!$B$54</f>
        <v>0.02</v>
      </c>
      <c r="BJ63">
        <f>Constants!$B$53</f>
        <v>0.24</v>
      </c>
      <c r="BK63">
        <f t="shared" si="48"/>
        <v>0</v>
      </c>
      <c r="BL63">
        <f t="shared" si="49"/>
        <v>2056.6406635430271</v>
      </c>
      <c r="BM63">
        <f>Constants!$B$52</f>
        <v>1.0999999999999999E-2</v>
      </c>
      <c r="BN63">
        <f>Constants!$B$50</f>
        <v>1.57</v>
      </c>
      <c r="BO63">
        <f t="shared" si="50"/>
        <v>35.518184259388079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4391-2FD1-1147-95B7-CAACDE678BC1}">
  <dimension ref="A3:BP63"/>
  <sheetViews>
    <sheetView topLeftCell="AP35" workbookViewId="0">
      <selection activeCell="AZ8" sqref="AZ8:AZ63"/>
    </sheetView>
  </sheetViews>
  <sheetFormatPr baseColWidth="10" defaultRowHeight="16" x14ac:dyDescent="0.2"/>
  <sheetData>
    <row r="3" spans="1:68" x14ac:dyDescent="0.2">
      <c r="A3" t="s">
        <v>44</v>
      </c>
      <c r="C3" t="s">
        <v>44</v>
      </c>
      <c r="D3" t="s">
        <v>44</v>
      </c>
      <c r="E3" t="s">
        <v>44</v>
      </c>
      <c r="Y3" t="s">
        <v>44</v>
      </c>
      <c r="AZ3">
        <f>(AY8/AW8)</f>
        <v>0.48980491333439752</v>
      </c>
    </row>
    <row r="5" spans="1:68" x14ac:dyDescent="0.2">
      <c r="A5" t="s">
        <v>45</v>
      </c>
      <c r="B5" t="s">
        <v>39</v>
      </c>
      <c r="C5" t="s">
        <v>46</v>
      </c>
      <c r="D5" t="s">
        <v>47</v>
      </c>
      <c r="E5" t="s">
        <v>48</v>
      </c>
      <c r="F5" t="s">
        <v>61</v>
      </c>
      <c r="G5" t="s">
        <v>62</v>
      </c>
      <c r="J5" t="s">
        <v>139</v>
      </c>
      <c r="N5" t="s">
        <v>66</v>
      </c>
      <c r="R5" t="s">
        <v>74</v>
      </c>
      <c r="S5" t="s">
        <v>75</v>
      </c>
      <c r="T5" t="s">
        <v>130</v>
      </c>
      <c r="U5" t="s">
        <v>131</v>
      </c>
      <c r="V5" t="s">
        <v>133</v>
      </c>
      <c r="Y5" t="s">
        <v>60</v>
      </c>
      <c r="AF5" t="s">
        <v>140</v>
      </c>
      <c r="AL5" t="s">
        <v>135</v>
      </c>
      <c r="AW5" t="s">
        <v>165</v>
      </c>
    </row>
    <row r="6" spans="1:68" x14ac:dyDescent="0.2">
      <c r="U6" t="s">
        <v>132</v>
      </c>
      <c r="V6" t="s">
        <v>132</v>
      </c>
      <c r="W6" t="s">
        <v>80</v>
      </c>
      <c r="AK6" t="s">
        <v>80</v>
      </c>
    </row>
    <row r="7" spans="1:68" x14ac:dyDescent="0.2">
      <c r="A7" s="11" t="s">
        <v>49</v>
      </c>
      <c r="B7" s="11" t="s">
        <v>49</v>
      </c>
      <c r="C7" s="11"/>
      <c r="D7" s="11" t="s">
        <v>50</v>
      </c>
      <c r="E7" s="11" t="s">
        <v>51</v>
      </c>
      <c r="F7" s="11"/>
      <c r="G7" s="11" t="s">
        <v>63</v>
      </c>
      <c r="H7" s="11" t="s">
        <v>65</v>
      </c>
      <c r="I7" s="11" t="s">
        <v>64</v>
      </c>
      <c r="J7" s="11" t="s">
        <v>73</v>
      </c>
      <c r="K7" s="11" t="s">
        <v>76</v>
      </c>
      <c r="L7" s="11" t="s">
        <v>77</v>
      </c>
      <c r="M7" s="11" t="s">
        <v>78</v>
      </c>
      <c r="N7" s="11" t="s">
        <v>73</v>
      </c>
      <c r="O7" s="11" t="s">
        <v>76</v>
      </c>
      <c r="P7" s="11" t="s">
        <v>77</v>
      </c>
      <c r="Q7" s="11" t="s">
        <v>78</v>
      </c>
      <c r="R7" s="17" t="s">
        <v>71</v>
      </c>
      <c r="S7" s="11" t="s">
        <v>72</v>
      </c>
      <c r="T7" s="11" t="s">
        <v>129</v>
      </c>
      <c r="U7" s="11" t="s">
        <v>82</v>
      </c>
      <c r="V7" s="11" t="s">
        <v>83</v>
      </c>
      <c r="W7" s="11" t="s">
        <v>79</v>
      </c>
      <c r="X7" s="11"/>
      <c r="Y7" s="11" t="s">
        <v>57</v>
      </c>
      <c r="Z7" s="11" t="s">
        <v>58</v>
      </c>
      <c r="AA7" s="11" t="s">
        <v>59</v>
      </c>
      <c r="AB7" s="11" t="s">
        <v>84</v>
      </c>
      <c r="AC7" s="11" t="s">
        <v>85</v>
      </c>
      <c r="AD7" s="11" t="s">
        <v>86</v>
      </c>
      <c r="AE7" s="11" t="s">
        <v>87</v>
      </c>
      <c r="AF7" s="11" t="s">
        <v>67</v>
      </c>
      <c r="AG7" s="11" t="s">
        <v>68</v>
      </c>
      <c r="AH7" s="11" t="s">
        <v>69</v>
      </c>
      <c r="AI7" s="11" t="s">
        <v>70</v>
      </c>
      <c r="AJ7" s="11" t="s">
        <v>138</v>
      </c>
      <c r="AK7" s="11" t="s">
        <v>134</v>
      </c>
      <c r="AL7" s="11"/>
      <c r="AM7" s="11" t="s">
        <v>124</v>
      </c>
      <c r="AN7" s="11" t="s">
        <v>125</v>
      </c>
      <c r="AO7" s="11" t="s">
        <v>127</v>
      </c>
      <c r="AP7" s="11" t="s">
        <v>136</v>
      </c>
      <c r="AQ7" s="11" t="s">
        <v>137</v>
      </c>
      <c r="AR7" s="11" t="s">
        <v>98</v>
      </c>
      <c r="AS7" s="11" t="s">
        <v>97</v>
      </c>
      <c r="AT7" s="11" t="s">
        <v>160</v>
      </c>
      <c r="AU7" s="11" t="s">
        <v>161</v>
      </c>
      <c r="AV7" s="11" t="s">
        <v>162</v>
      </c>
      <c r="AW7" s="11"/>
      <c r="AX7" s="11" t="s">
        <v>88</v>
      </c>
      <c r="AY7" s="11" t="s">
        <v>163</v>
      </c>
      <c r="AZ7" s="11" t="s">
        <v>166</v>
      </c>
      <c r="BA7" s="11" t="s">
        <v>118</v>
      </c>
      <c r="BB7" s="11" t="s">
        <v>167</v>
      </c>
      <c r="BC7" s="11" t="s">
        <v>168</v>
      </c>
      <c r="BD7" s="11" t="s">
        <v>171</v>
      </c>
      <c r="BE7" s="11" t="s">
        <v>172</v>
      </c>
      <c r="BF7" s="11" t="s">
        <v>169</v>
      </c>
      <c r="BG7" s="11" t="s">
        <v>170</v>
      </c>
      <c r="BH7" s="11" t="s">
        <v>200</v>
      </c>
      <c r="BI7" s="11" t="s">
        <v>201</v>
      </c>
      <c r="BJ7" s="11" t="s">
        <v>121</v>
      </c>
      <c r="BK7" s="11" t="s">
        <v>202</v>
      </c>
      <c r="BL7" s="11" t="s">
        <v>203</v>
      </c>
      <c r="BM7" s="11" t="s">
        <v>204</v>
      </c>
      <c r="BN7" s="11" t="s">
        <v>117</v>
      </c>
      <c r="BO7" s="13" t="s">
        <v>206</v>
      </c>
      <c r="BP7" s="13" t="s">
        <v>205</v>
      </c>
    </row>
    <row r="8" spans="1:68" x14ac:dyDescent="0.2">
      <c r="A8" t="str">
        <f>'Input Scenarios'!A73</f>
        <v>NSW</v>
      </c>
      <c r="B8">
        <f>'Input Scenarios'!B73</f>
        <v>15</v>
      </c>
      <c r="C8" t="str">
        <f>'Input Scenarios'!C73</f>
        <v>Non-irrigated pasture</v>
      </c>
      <c r="D8" t="str">
        <f>'Input Scenarios'!D73</f>
        <v>wet</v>
      </c>
      <c r="E8" t="b">
        <f>'Input Scenarios'!E73</f>
        <v>0</v>
      </c>
      <c r="G8">
        <f>'Input Scenarios'!G73</f>
        <v>0.2</v>
      </c>
      <c r="H8">
        <f>'Input Scenarios'!H73</f>
        <v>0.3</v>
      </c>
      <c r="I8">
        <f>'Input Scenarios'!I73</f>
        <v>0.5</v>
      </c>
      <c r="J8">
        <f>'Input Scenarios'!J73</f>
        <v>0.25</v>
      </c>
      <c r="K8">
        <f>'Input Scenarios'!K73</f>
        <v>0.25</v>
      </c>
      <c r="L8">
        <f>'Input Scenarios'!L73</f>
        <v>0.25</v>
      </c>
      <c r="M8">
        <f>'Input Scenarios'!M73</f>
        <v>0.25</v>
      </c>
      <c r="N8">
        <f>'Input Scenarios'!N73</f>
        <v>0.25</v>
      </c>
      <c r="O8">
        <f>'Input Scenarios'!O73</f>
        <v>0.25</v>
      </c>
      <c r="P8">
        <f>'Input Scenarios'!P73</f>
        <v>0.25</v>
      </c>
      <c r="Q8">
        <f>'Input Scenarios'!Q73</f>
        <v>0.25</v>
      </c>
      <c r="R8" t="b">
        <f>'Input Scenarios'!R73</f>
        <v>1</v>
      </c>
      <c r="S8" s="20">
        <f>IF('Input Scenarios'!S73&lt;&gt;"", 'Input Scenarios'!S73, IF(R73, Constants!$B$38, 0))</f>
        <v>0.22</v>
      </c>
      <c r="T8" s="20" t="str">
        <f>IF('Input Scenarios'!T73&lt;&gt;"", 'Input Scenarios'!T73, "")</f>
        <v/>
      </c>
      <c r="U8" s="20" t="str">
        <f>IF('Input Scenarios'!U73&lt;&gt;"", 'Input Scenarios'!U73, IF(W8&lt;&gt;"", "", Constants!$B$39))</f>
        <v/>
      </c>
      <c r="V8" s="20" t="str">
        <f>IF('Input Scenarios'!V73&lt;&gt;"", 'Input Scenarios'!V73, IF(W8&lt;&gt;"", "", Constants!$B$40))</f>
        <v/>
      </c>
      <c r="W8" s="20">
        <f>IF('Input Scenarios'!W73&lt;&gt;"", 'Input Scenarios'!W73, "")</f>
        <v>15</v>
      </c>
      <c r="X8" s="20" t="str">
        <f>'Input Scenarios'!X73</f>
        <v>Medium Friesian</v>
      </c>
      <c r="Y8" s="20" t="str">
        <f>'Input Scenarios'!Y73</f>
        <v>milkingCows</v>
      </c>
      <c r="Z8" s="20">
        <f>'Input Scenarios'!Z73</f>
        <v>200</v>
      </c>
      <c r="AA8" s="20">
        <f>'Input Scenarios'!AA73</f>
        <v>365</v>
      </c>
      <c r="AB8" s="20">
        <f>'Input Scenarios'!AB73</f>
        <v>555</v>
      </c>
      <c r="AC8">
        <f>IF('Input Scenarios'!AC73&lt;&gt;"", 'Input Scenarios'!AC73, _xlfn.XLOOKUP(Y8, Constants!$B$13:$H$13, Constants!$B$15:$H$15, ""))</f>
        <v>1.6E-2</v>
      </c>
      <c r="AD8">
        <f>IF('Input Scenarios'!AD73&lt;&gt;"", 'Input Scenarios'!AD73, Constants!$B$45)</f>
        <v>0.7</v>
      </c>
      <c r="AE8">
        <f>IF('Input Scenarios'!AE73&lt;&gt;"", 'Input Scenarios'!AE73, Constants!$B$46)</f>
        <v>0.18</v>
      </c>
      <c r="AF8" s="20">
        <f>IF($Y8="milkingCows",($H8*J8)+($I8*N8), 0)</f>
        <v>0.2</v>
      </c>
      <c r="AG8" s="20">
        <f t="shared" ref="AG8:AI23" si="0">IF($Y8="milkingCows",($H8*K8)+($I8*O8), 0)</f>
        <v>0.2</v>
      </c>
      <c r="AH8" s="20">
        <f t="shared" si="0"/>
        <v>0.2</v>
      </c>
      <c r="AI8" s="20">
        <f t="shared" si="0"/>
        <v>0.2</v>
      </c>
      <c r="AJ8" s="20">
        <f>IF($Y8="milkingCows",G8, 1)</f>
        <v>0.2</v>
      </c>
      <c r="AK8">
        <f>IF(Y8="milkingCows", IF(W8&lt;&gt;"", W8, T8/((U8+V8)*0.01)), 0)</f>
        <v>15</v>
      </c>
      <c r="AL8">
        <f>Constants!$B$44</f>
        <v>1.03</v>
      </c>
      <c r="AM8">
        <f>Constants!$B$41</f>
        <v>3.0539999999999998</v>
      </c>
      <c r="AN8">
        <f>Constants!$B$42</f>
        <v>18.399999999999999</v>
      </c>
      <c r="AO8">
        <f>Constants!$B$43</f>
        <v>0.6</v>
      </c>
      <c r="AP8">
        <f>0.795*(AD8)-0.0014</f>
        <v>0.55510000000000004</v>
      </c>
      <c r="AQ8">
        <f>(AK8*AL8*AM8)/(AN8*AO8*AP8)</f>
        <v>7.6994059041457472</v>
      </c>
      <c r="AR8">
        <f>IF(Y8="milkingCows", Constants!$P$2, Constants!$P$3)</f>
        <v>1.1000000000000001</v>
      </c>
      <c r="AS8">
        <f>IFERROR(((1.185+(0.00454*AB8)-(0.0000026*(AB8^2))+(0.315*AC8))^2*AR8+AQ8), "")</f>
        <v>17.007115046333247</v>
      </c>
      <c r="AT8">
        <f>IFERROR(((1.185+(0.00454*AB8)-(0.0000026*(AB8^2))+(0.315*AC8))^2*AR8+AQ8)/((1.185+(0.00454*AB8)-(0.0000026*(AB8^2)))^2*AR8+AQ8), "")</f>
        <v>1.0018984314721953</v>
      </c>
      <c r="AU8">
        <f>_xlfn.XLOOKUP(Y8, Constants!$B$13:$H$13, Constants!$B$14:$H$14, "")</f>
        <v>590</v>
      </c>
      <c r="AV8">
        <f>IFERROR(AB8/AU8, "")</f>
        <v>0.94067796610169496</v>
      </c>
      <c r="AW8">
        <f>Constants!$B$55</f>
        <v>6.25</v>
      </c>
      <c r="AX8" s="20">
        <f t="shared" ref="AX8:AX39" si="1">IFERROR((((0.212 - (0.008*(AT8-2)) - (0.14-0.008*(AT8-2))/(1+EXP(-6*(AV8-0.4)))) * AC8 * 0.92)/AW8) + (0.032*AK8*AL8)/6.38, "")</f>
        <v>7.7674821592032706E-2</v>
      </c>
      <c r="AY8">
        <f t="shared" ref="AY8:AY39" si="2">IFERROR(AE8*AS8, "")</f>
        <v>3.0612807083399844</v>
      </c>
      <c r="AZ8">
        <f>IF(ISNUMBER(FIND("PreWeaned",Y8)),"", MAX((AY8/AW8)-AX8-(((1.1*10^-4)*(AB8^0.75))/AW8), 0))</f>
        <v>0.41011760788645185</v>
      </c>
      <c r="BA8" t="str">
        <f>IF(ISNUMBER(FIND("PreWeaned",Y8)),_xlfn.XLOOKUP(Y8,Constants!$J$2:$J$3,Constants!$M$2:$M$3),"")</f>
        <v/>
      </c>
      <c r="BB8">
        <f t="shared" ref="BB8:BB39" si="3">SUM(AZ8:BA8)*Z8*AA8</f>
        <v>29938.585375710983</v>
      </c>
      <c r="BC8">
        <f t="shared" ref="BC8:BC39" si="4">$BB8*AF8</f>
        <v>5987.7170751421972</v>
      </c>
      <c r="BD8">
        <f t="shared" ref="BD8:BD39" si="5">$BB8*AG8</f>
        <v>5987.7170751421972</v>
      </c>
      <c r="BE8">
        <f t="shared" ref="BE8:BE39" si="6">$BB8*AH8</f>
        <v>5987.7170751421972</v>
      </c>
      <c r="BF8">
        <f t="shared" ref="BF8:BF39" si="7">$BB8*AI8</f>
        <v>5987.7170751421972</v>
      </c>
      <c r="BG8">
        <f t="shared" ref="BG8:BG39" si="8">$BB8*AJ8</f>
        <v>5987.7170751421972</v>
      </c>
      <c r="BH8">
        <f t="shared" ref="BH8:BH39" si="9">IF(E8, 1, 0)</f>
        <v>0</v>
      </c>
      <c r="BI8">
        <f>Constants!$B$54</f>
        <v>0.02</v>
      </c>
      <c r="BJ8">
        <f>Constants!$B$53</f>
        <v>0.24</v>
      </c>
      <c r="BK8">
        <f>BF8*$BH8*BI8</f>
        <v>0</v>
      </c>
      <c r="BL8">
        <f>BG8*$BH8*BJ8</f>
        <v>0</v>
      </c>
      <c r="BM8">
        <f>Constants!$B$52</f>
        <v>1.0999999999999999E-2</v>
      </c>
      <c r="BN8">
        <f>Constants!$B$50</f>
        <v>1.57</v>
      </c>
      <c r="BO8">
        <f>SUM(BK8:BL8)*BM8*BN8</f>
        <v>0</v>
      </c>
      <c r="BP8">
        <f>SUM(BO8:BO14)/1000</f>
        <v>0</v>
      </c>
    </row>
    <row r="9" spans="1:68" x14ac:dyDescent="0.2">
      <c r="A9" t="str">
        <f>'Input Scenarios'!A74</f>
        <v>NSW</v>
      </c>
      <c r="B9">
        <f>'Input Scenarios'!B74</f>
        <v>15</v>
      </c>
      <c r="C9" t="str">
        <f>'Input Scenarios'!C74</f>
        <v>Non-irrigated pasture</v>
      </c>
      <c r="D9" t="str">
        <f>'Input Scenarios'!D74</f>
        <v>wet</v>
      </c>
      <c r="E9" t="b">
        <f>'Input Scenarios'!E74</f>
        <v>0</v>
      </c>
      <c r="G9">
        <f>'Input Scenarios'!G74</f>
        <v>0.2</v>
      </c>
      <c r="H9">
        <f>'Input Scenarios'!H74</f>
        <v>0.3</v>
      </c>
      <c r="I9">
        <f>'Input Scenarios'!I74</f>
        <v>0.5</v>
      </c>
      <c r="J9">
        <f>'Input Scenarios'!J74</f>
        <v>0.25</v>
      </c>
      <c r="K9">
        <f>'Input Scenarios'!K74</f>
        <v>0.25</v>
      </c>
      <c r="L9">
        <f>'Input Scenarios'!L74</f>
        <v>0.25</v>
      </c>
      <c r="M9">
        <f>'Input Scenarios'!M74</f>
        <v>0.25</v>
      </c>
      <c r="N9">
        <f>'Input Scenarios'!N74</f>
        <v>0.25</v>
      </c>
      <c r="O9">
        <f>'Input Scenarios'!O74</f>
        <v>0.25</v>
      </c>
      <c r="P9">
        <f>'Input Scenarios'!P74</f>
        <v>0.25</v>
      </c>
      <c r="Q9">
        <f>'Input Scenarios'!Q74</f>
        <v>0.25</v>
      </c>
      <c r="R9" t="b">
        <f>'Input Scenarios'!R9</f>
        <v>1</v>
      </c>
      <c r="S9">
        <f>IF('Input Scenarios'!S74&lt;&gt;"", 'Input Scenarios'!S74, IF(R74, Constants!$B$38, 0))</f>
        <v>0.22</v>
      </c>
      <c r="T9" t="str">
        <f>IF('Input Scenarios'!T74&lt;&gt;"", 'Input Scenarios'!T74, "")</f>
        <v/>
      </c>
      <c r="U9">
        <f>IF('Input Scenarios'!U74&lt;&gt;"", 'Input Scenarios'!U74, IF(W9&lt;&gt;"", "", Constants!$B$39))</f>
        <v>4</v>
      </c>
      <c r="V9">
        <f>IF('Input Scenarios'!V74&lt;&gt;"", 'Input Scenarios'!V74, IF(W9&lt;&gt;"", "", Constants!$B$40))</f>
        <v>3.3</v>
      </c>
      <c r="W9" t="str">
        <f>IF('Input Scenarios'!W74&lt;&gt;"", 'Input Scenarios'!W74, "")</f>
        <v/>
      </c>
      <c r="X9" t="str">
        <f>'Input Scenarios'!X74</f>
        <v>Medium Friesian</v>
      </c>
      <c r="Y9" t="str">
        <f>'Input Scenarios'!Y74</f>
        <v>heifersGt1</v>
      </c>
      <c r="Z9">
        <f>'Input Scenarios'!Z74</f>
        <v>200</v>
      </c>
      <c r="AA9">
        <f>'Input Scenarios'!AA74</f>
        <v>365</v>
      </c>
      <c r="AB9">
        <f>'Input Scenarios'!AB74</f>
        <v>375</v>
      </c>
      <c r="AC9">
        <f>IF('Input Scenarios'!AC74&lt;&gt;"", 'Input Scenarios'!AC74, _xlfn.XLOOKUP(Y9, Constants!$B$13:$H$13, Constants!$B$15:$H$15, ""))</f>
        <v>0.6</v>
      </c>
      <c r="AD9">
        <f>IF('Input Scenarios'!AD74&lt;&gt;"", 'Input Scenarios'!AD74, Constants!$B$45)</f>
        <v>0.71</v>
      </c>
      <c r="AE9">
        <f>IF('Input Scenarios'!AE74&lt;&gt;"", 'Input Scenarios'!AE74, Constants!$B$46)</f>
        <v>0.19</v>
      </c>
      <c r="AF9">
        <f t="shared" ref="AF9:AI24" si="10">IF($Y9="milkingCows",($H9*J9)+($I9*N9), 0)</f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J35" si="11">IF($Y9="milkingCows",G9, 1)</f>
        <v>1</v>
      </c>
      <c r="AK9">
        <f t="shared" ref="AK9:AK13" si="12">IF(Y9="milkingCows", IF(W9&lt;&gt;"", W9, T9/((U9+V9)*0.01)), 0)</f>
        <v>0</v>
      </c>
      <c r="AL9">
        <f>Constants!$B$44</f>
        <v>1.03</v>
      </c>
      <c r="AM9">
        <f>Constants!$B$41</f>
        <v>3.0539999999999998</v>
      </c>
      <c r="AN9">
        <f>Constants!$B$42</f>
        <v>18.399999999999999</v>
      </c>
      <c r="AO9">
        <f>Constants!$B$43</f>
        <v>0.6</v>
      </c>
      <c r="AP9">
        <f t="shared" ref="AP9:AP35" si="13">0.795*(AD9)-0.0014</f>
        <v>0.56305000000000005</v>
      </c>
      <c r="AQ9">
        <f t="shared" ref="AQ9:AQ35" si="14">(AK9*AL9*AM9)/(AN9*AO9*AP9)</f>
        <v>0</v>
      </c>
      <c r="AR9">
        <f>IF(Y9="milkingCows", Constants!$P$2, Constants!$P$3)</f>
        <v>1</v>
      </c>
      <c r="AS9">
        <f t="shared" ref="AS9:AS35" si="15">IFERROR(((1.185+(0.00454*AB9)-(0.0000026*(AB9^2))+(0.315*AC9))^2*AR9+AQ9), "")</f>
        <v>7.3488432656250007</v>
      </c>
      <c r="AT9">
        <f t="shared" ref="AT9:AT35" si="16">IFERROR(((1.185+(0.00454*AB9)-(0.0000026*(AB9^2))+(0.315*AC9))^2*AR9+AQ9)/((1.185+(0.00454*AB9)-(0.0000026*(AB9^2)))^2*AR9+AQ9), "")</f>
        <v>1.1555051146335733</v>
      </c>
      <c r="AU9">
        <f>_xlfn.XLOOKUP(Y9, Constants!$B$13:$H$13, Constants!$B$14:$H$14, "")</f>
        <v>590</v>
      </c>
      <c r="AV9">
        <f t="shared" ref="AV9:AV35" si="17">IFERROR(AB9/AU9, "")</f>
        <v>0.63559322033898302</v>
      </c>
      <c r="AW9">
        <f>Constants!$B$55</f>
        <v>6.25</v>
      </c>
      <c r="AX9">
        <f t="shared" si="1"/>
        <v>8.8952563417278308E-3</v>
      </c>
      <c r="AY9">
        <f t="shared" si="2"/>
        <v>1.3962802204687501</v>
      </c>
      <c r="AZ9">
        <f t="shared" ref="AZ9:AZ63" si="18">IF(ISNUMBER(FIND("PreWeaned",Y9)),"", MAX((AY9/AW9)-AX9-(((1.1*10^-4)*(AB9^0.75))/AW9), 0))</f>
        <v>0.21300976936953508</v>
      </c>
      <c r="BA9" t="str">
        <f>IF(ISNUMBER(FIND("PreWeaned",Y9)),_xlfn.XLOOKUP(Y9,Constants!$J$2:$J$3,Constants!$M$2:$M$3),"")</f>
        <v/>
      </c>
      <c r="BB9">
        <f t="shared" si="3"/>
        <v>15549.713163976061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15549.713163976061</v>
      </c>
      <c r="BH9">
        <f t="shared" si="9"/>
        <v>0</v>
      </c>
      <c r="BI9">
        <f>Constants!$B$54</f>
        <v>0.02</v>
      </c>
      <c r="BJ9">
        <f>Constants!$B$53</f>
        <v>0.24</v>
      </c>
      <c r="BK9">
        <f t="shared" ref="BK9:BL24" si="19">BF9*$BH9*BI9</f>
        <v>0</v>
      </c>
      <c r="BL9">
        <f t="shared" si="19"/>
        <v>0</v>
      </c>
      <c r="BM9">
        <f>Constants!$B$52</f>
        <v>1.0999999999999999E-2</v>
      </c>
      <c r="BN9">
        <f>Constants!$B$50</f>
        <v>1.57</v>
      </c>
      <c r="BO9">
        <f t="shared" ref="BO9:BO35" si="20">SUM(BK9:BL9)*BM9*BN9</f>
        <v>0</v>
      </c>
    </row>
    <row r="10" spans="1:68" x14ac:dyDescent="0.2">
      <c r="A10" t="str">
        <f>'Input Scenarios'!A75</f>
        <v>NSW</v>
      </c>
      <c r="B10">
        <f>'Input Scenarios'!B75</f>
        <v>15</v>
      </c>
      <c r="C10" t="str">
        <f>'Input Scenarios'!C75</f>
        <v>Non-irrigated pasture</v>
      </c>
      <c r="D10" t="str">
        <f>'Input Scenarios'!D75</f>
        <v>wet</v>
      </c>
      <c r="E10" t="b">
        <f>'Input Scenarios'!E75</f>
        <v>0</v>
      </c>
      <c r="G10">
        <f>'Input Scenarios'!G75</f>
        <v>0.2</v>
      </c>
      <c r="H10">
        <f>'Input Scenarios'!H75</f>
        <v>0.3</v>
      </c>
      <c r="I10">
        <f>'Input Scenarios'!I75</f>
        <v>0.5</v>
      </c>
      <c r="J10">
        <f>'Input Scenarios'!J75</f>
        <v>0.25</v>
      </c>
      <c r="K10">
        <f>'Input Scenarios'!K75</f>
        <v>0.25</v>
      </c>
      <c r="L10">
        <f>'Input Scenarios'!L75</f>
        <v>0.25</v>
      </c>
      <c r="M10">
        <f>'Input Scenarios'!M75</f>
        <v>0.25</v>
      </c>
      <c r="N10">
        <f>'Input Scenarios'!N75</f>
        <v>0.25</v>
      </c>
      <c r="O10">
        <f>'Input Scenarios'!O75</f>
        <v>0.25</v>
      </c>
      <c r="P10">
        <f>'Input Scenarios'!P75</f>
        <v>0.25</v>
      </c>
      <c r="Q10">
        <f>'Input Scenarios'!Q75</f>
        <v>0.25</v>
      </c>
      <c r="R10" t="b">
        <f>'Input Scenarios'!R10</f>
        <v>1</v>
      </c>
      <c r="S10">
        <f>IF('Input Scenarios'!S75&lt;&gt;"", 'Input Scenarios'!S75, IF(R75, Constants!$B$38, 0))</f>
        <v>0.22</v>
      </c>
      <c r="T10" t="str">
        <f>IF('Input Scenarios'!T75&lt;&gt;"", 'Input Scenarios'!T75, "")</f>
        <v/>
      </c>
      <c r="U10">
        <f>IF('Input Scenarios'!U75&lt;&gt;"", 'Input Scenarios'!U75, IF(W10&lt;&gt;"", "", Constants!$B$39))</f>
        <v>4</v>
      </c>
      <c r="V10">
        <f>IF('Input Scenarios'!V75&lt;&gt;"", 'Input Scenarios'!V75, IF(W10&lt;&gt;"", "", Constants!$B$40))</f>
        <v>3.3</v>
      </c>
      <c r="W10" t="str">
        <f>IF('Input Scenarios'!W75&lt;&gt;"", 'Input Scenarios'!W75, "")</f>
        <v/>
      </c>
      <c r="X10" t="str">
        <f>'Input Scenarios'!X75</f>
        <v>Medium Friesian</v>
      </c>
      <c r="Y10" t="str">
        <f>'Input Scenarios'!Y75</f>
        <v>heifersLt1PreWeaned</v>
      </c>
      <c r="Z10">
        <f>'Input Scenarios'!Z75</f>
        <v>200</v>
      </c>
      <c r="AA10">
        <f>'Input Scenarios'!AA75</f>
        <v>365</v>
      </c>
      <c r="AB10">
        <f>'Input Scenarios'!AB75</f>
        <v>80</v>
      </c>
      <c r="AC10" t="str">
        <f>IF('Input Scenarios'!AC75&lt;&gt;"", 'Input Scenarios'!AC75, _xlfn.XLOOKUP(Y10, Constants!$B$13:$H$13, Constants!$B$15:$H$15, ""))</f>
        <v/>
      </c>
      <c r="AD10">
        <f>IF('Input Scenarios'!AD75&lt;&gt;"", 'Input Scenarios'!AD75, Constants!$B$45)</f>
        <v>0.72</v>
      </c>
      <c r="AE10">
        <f>IF('Input Scenarios'!AE75&lt;&gt;"", 'Input Scenarios'!AE75, Constants!$B$46)</f>
        <v>0.2</v>
      </c>
      <c r="AF10">
        <f t="shared" si="1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11"/>
        <v>1</v>
      </c>
      <c r="AK10">
        <f t="shared" si="12"/>
        <v>0</v>
      </c>
      <c r="AL10">
        <f>Constants!$B$44</f>
        <v>1.03</v>
      </c>
      <c r="AM10">
        <f>Constants!$B$41</f>
        <v>3.0539999999999998</v>
      </c>
      <c r="AN10">
        <f>Constants!$B$42</f>
        <v>18.399999999999999</v>
      </c>
      <c r="AO10">
        <f>Constants!$B$43</f>
        <v>0.6</v>
      </c>
      <c r="AP10">
        <f t="shared" si="13"/>
        <v>0.57100000000000006</v>
      </c>
      <c r="AQ10">
        <f t="shared" si="14"/>
        <v>0</v>
      </c>
      <c r="AR10">
        <f>IF(Y10="milkingCows", Constants!$P$2, Constants!$P$3)</f>
        <v>1</v>
      </c>
      <c r="AS10" t="str">
        <f t="shared" si="15"/>
        <v/>
      </c>
      <c r="AT10" t="str">
        <f t="shared" si="16"/>
        <v/>
      </c>
      <c r="AU10" t="str">
        <f>_xlfn.XLOOKUP(Y10, Constants!$B$13:$H$13, Constants!$B$14:$H$14, "")</f>
        <v/>
      </c>
      <c r="AV10" t="str">
        <f t="shared" si="17"/>
        <v/>
      </c>
      <c r="AW10">
        <f>Constants!$B$55</f>
        <v>6.25</v>
      </c>
      <c r="AX10" t="str">
        <f t="shared" si="1"/>
        <v/>
      </c>
      <c r="AY10" t="str">
        <f t="shared" si="2"/>
        <v/>
      </c>
      <c r="AZ10" t="str">
        <f t="shared" si="18"/>
        <v/>
      </c>
      <c r="BA10">
        <f>IF(ISNUMBER(FIND("PreWeaned",Y10)),_xlfn.XLOOKUP(Y10,Constants!$J$2:$J$3,Constants!$M$2:$M$3),"")</f>
        <v>1.37E-2</v>
      </c>
      <c r="BB10">
        <f t="shared" si="3"/>
        <v>1000.1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1000.1</v>
      </c>
      <c r="BH10">
        <f t="shared" si="9"/>
        <v>0</v>
      </c>
      <c r="BI10">
        <f>Constants!$B$54</f>
        <v>0.02</v>
      </c>
      <c r="BJ10">
        <f>Constants!$B$53</f>
        <v>0.24</v>
      </c>
      <c r="BK10">
        <f t="shared" si="19"/>
        <v>0</v>
      </c>
      <c r="BL10">
        <f t="shared" si="19"/>
        <v>0</v>
      </c>
      <c r="BM10">
        <f>Constants!$B$52</f>
        <v>1.0999999999999999E-2</v>
      </c>
      <c r="BN10">
        <f>Constants!$B$50</f>
        <v>1.57</v>
      </c>
      <c r="BO10">
        <f t="shared" si="20"/>
        <v>0</v>
      </c>
    </row>
    <row r="11" spans="1:68" x14ac:dyDescent="0.2">
      <c r="A11" t="str">
        <f>'Input Scenarios'!A76</f>
        <v>NSW</v>
      </c>
      <c r="B11">
        <f>'Input Scenarios'!B76</f>
        <v>15</v>
      </c>
      <c r="C11" t="str">
        <f>'Input Scenarios'!C76</f>
        <v>Non-irrigated pasture</v>
      </c>
      <c r="D11" t="str">
        <f>'Input Scenarios'!D76</f>
        <v>wet</v>
      </c>
      <c r="E11" t="b">
        <f>'Input Scenarios'!E76</f>
        <v>0</v>
      </c>
      <c r="G11">
        <f>'Input Scenarios'!G76</f>
        <v>0.2</v>
      </c>
      <c r="H11">
        <f>'Input Scenarios'!H76</f>
        <v>0.3</v>
      </c>
      <c r="I11">
        <f>'Input Scenarios'!I76</f>
        <v>0.5</v>
      </c>
      <c r="J11">
        <f>'Input Scenarios'!J76</f>
        <v>0.25</v>
      </c>
      <c r="K11">
        <f>'Input Scenarios'!K76</f>
        <v>0.25</v>
      </c>
      <c r="L11">
        <f>'Input Scenarios'!L76</f>
        <v>0.25</v>
      </c>
      <c r="M11">
        <f>'Input Scenarios'!M76</f>
        <v>0.25</v>
      </c>
      <c r="N11">
        <f>'Input Scenarios'!N76</f>
        <v>0.25</v>
      </c>
      <c r="O11">
        <f>'Input Scenarios'!O76</f>
        <v>0.25</v>
      </c>
      <c r="P11">
        <f>'Input Scenarios'!P76</f>
        <v>0.25</v>
      </c>
      <c r="Q11">
        <f>'Input Scenarios'!Q76</f>
        <v>0.25</v>
      </c>
      <c r="R11" t="b">
        <f>'Input Scenarios'!R11</f>
        <v>1</v>
      </c>
      <c r="S11">
        <f>IF('Input Scenarios'!S76&lt;&gt;"", 'Input Scenarios'!S76, IF(R76, Constants!$B$38, 0))</f>
        <v>0.22</v>
      </c>
      <c r="T11" t="str">
        <f>IF('Input Scenarios'!T76&lt;&gt;"", 'Input Scenarios'!T76, "")</f>
        <v/>
      </c>
      <c r="U11">
        <f>IF('Input Scenarios'!U76&lt;&gt;"", 'Input Scenarios'!U76, IF(W11&lt;&gt;"", "", Constants!$B$39))</f>
        <v>4</v>
      </c>
      <c r="V11">
        <f>IF('Input Scenarios'!V76&lt;&gt;"", 'Input Scenarios'!V76, IF(W11&lt;&gt;"", "", Constants!$B$40))</f>
        <v>3.3</v>
      </c>
      <c r="W11" t="str">
        <f>IF('Input Scenarios'!W76&lt;&gt;"", 'Input Scenarios'!W76, "")</f>
        <v/>
      </c>
      <c r="X11" t="str">
        <f>'Input Scenarios'!X76</f>
        <v>Medium Friesian</v>
      </c>
      <c r="Y11" t="str">
        <f>'Input Scenarios'!Y76</f>
        <v>heifersLt1Weaned</v>
      </c>
      <c r="Z11">
        <f>'Input Scenarios'!Z76</f>
        <v>200</v>
      </c>
      <c r="AA11">
        <f>'Input Scenarios'!AA76</f>
        <v>365</v>
      </c>
      <c r="AB11">
        <f>'Input Scenarios'!AB76</f>
        <v>123</v>
      </c>
      <c r="AC11">
        <f>IF('Input Scenarios'!AC76&lt;&gt;"", 'Input Scenarios'!AC76, _xlfn.XLOOKUP(Y11, Constants!$B$13:$H$13, Constants!$B$15:$H$15, ""))</f>
        <v>0.56999999999999995</v>
      </c>
      <c r="AD11">
        <f>IF('Input Scenarios'!AD76&lt;&gt;"", 'Input Scenarios'!AD76, Constants!$B$45)</f>
        <v>0.73</v>
      </c>
      <c r="AE11">
        <f>IF('Input Scenarios'!AE76&lt;&gt;"", 'Input Scenarios'!AE76, Constants!$B$46)</f>
        <v>0.21</v>
      </c>
      <c r="AF11">
        <f t="shared" si="1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11"/>
        <v>1</v>
      </c>
      <c r="AK11">
        <f t="shared" si="12"/>
        <v>0</v>
      </c>
      <c r="AL11">
        <f>Constants!$B$44</f>
        <v>1.03</v>
      </c>
      <c r="AM11">
        <f>Constants!$B$41</f>
        <v>3.0539999999999998</v>
      </c>
      <c r="AN11">
        <f>Constants!$B$42</f>
        <v>18.399999999999999</v>
      </c>
      <c r="AO11">
        <f>Constants!$B$43</f>
        <v>0.6</v>
      </c>
      <c r="AP11">
        <f t="shared" si="13"/>
        <v>0.57895000000000008</v>
      </c>
      <c r="AQ11">
        <f t="shared" si="14"/>
        <v>0</v>
      </c>
      <c r="AR11">
        <f>IF(Y11="milkingCows", Constants!$P$2, Constants!$P$3)</f>
        <v>1</v>
      </c>
      <c r="AS11">
        <f t="shared" si="15"/>
        <v>3.5480793063171605</v>
      </c>
      <c r="AT11">
        <f t="shared" si="16"/>
        <v>1.2218306495312425</v>
      </c>
      <c r="AU11">
        <f>_xlfn.XLOOKUP(Y11, Constants!$B$13:$H$13, Constants!$B$14:$H$14, "")</f>
        <v>590</v>
      </c>
      <c r="AV11">
        <f t="shared" si="17"/>
        <v>0.20847457627118643</v>
      </c>
      <c r="AW11">
        <f>Constants!$B$55</f>
        <v>6.25</v>
      </c>
      <c r="AX11">
        <f t="shared" si="1"/>
        <v>1.535754600252277E-2</v>
      </c>
      <c r="AY11">
        <f t="shared" si="2"/>
        <v>0.74509665432660366</v>
      </c>
      <c r="AZ11">
        <f t="shared" si="18"/>
        <v>0.10320787656467442</v>
      </c>
      <c r="BA11" t="str">
        <f>IF(ISNUMBER(FIND("PreWeaned",Y11)),_xlfn.XLOOKUP(Y11,Constants!$J$2:$J$3,Constants!$M$2:$M$3),"")</f>
        <v/>
      </c>
      <c r="BB11">
        <f t="shared" si="3"/>
        <v>7534.174989221232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7534.174989221232</v>
      </c>
      <c r="BH11">
        <f t="shared" si="9"/>
        <v>0</v>
      </c>
      <c r="BI11">
        <f>Constants!$B$54</f>
        <v>0.02</v>
      </c>
      <c r="BJ11">
        <f>Constants!$B$53</f>
        <v>0.24</v>
      </c>
      <c r="BK11">
        <f t="shared" si="19"/>
        <v>0</v>
      </c>
      <c r="BL11">
        <f t="shared" si="19"/>
        <v>0</v>
      </c>
      <c r="BM11">
        <f>Constants!$B$52</f>
        <v>1.0999999999999999E-2</v>
      </c>
      <c r="BN11">
        <f>Constants!$B$50</f>
        <v>1.57</v>
      </c>
      <c r="BO11">
        <f t="shared" si="20"/>
        <v>0</v>
      </c>
    </row>
    <row r="12" spans="1:68" x14ac:dyDescent="0.2">
      <c r="A12" t="str">
        <f>'Input Scenarios'!A77</f>
        <v>NSW</v>
      </c>
      <c r="B12">
        <f>'Input Scenarios'!B77</f>
        <v>15</v>
      </c>
      <c r="C12" t="str">
        <f>'Input Scenarios'!C77</f>
        <v>Non-irrigated pasture</v>
      </c>
      <c r="D12" t="str">
        <f>'Input Scenarios'!D77</f>
        <v>wet</v>
      </c>
      <c r="E12" t="b">
        <f>'Input Scenarios'!E77</f>
        <v>0</v>
      </c>
      <c r="G12">
        <f>'Input Scenarios'!G77</f>
        <v>0.2</v>
      </c>
      <c r="H12">
        <f>'Input Scenarios'!H77</f>
        <v>0.3</v>
      </c>
      <c r="I12">
        <f>'Input Scenarios'!I77</f>
        <v>0.5</v>
      </c>
      <c r="J12">
        <f>'Input Scenarios'!J77</f>
        <v>0.25</v>
      </c>
      <c r="K12">
        <f>'Input Scenarios'!K77</f>
        <v>0.25</v>
      </c>
      <c r="L12">
        <f>'Input Scenarios'!L77</f>
        <v>0.25</v>
      </c>
      <c r="M12">
        <f>'Input Scenarios'!M77</f>
        <v>0.25</v>
      </c>
      <c r="N12">
        <f>'Input Scenarios'!N77</f>
        <v>0.25</v>
      </c>
      <c r="O12">
        <f>'Input Scenarios'!O77</f>
        <v>0.25</v>
      </c>
      <c r="P12">
        <f>'Input Scenarios'!P77</f>
        <v>0.25</v>
      </c>
      <c r="Q12">
        <f>'Input Scenarios'!Q77</f>
        <v>0.25</v>
      </c>
      <c r="R12" t="b">
        <f>'Input Scenarios'!R12</f>
        <v>1</v>
      </c>
      <c r="S12">
        <f>IF('Input Scenarios'!S77&lt;&gt;"", 'Input Scenarios'!S77, IF(R77, Constants!$B$38, 0))</f>
        <v>0.22</v>
      </c>
      <c r="T12" t="str">
        <f>IF('Input Scenarios'!T77&lt;&gt;"", 'Input Scenarios'!T77, "")</f>
        <v/>
      </c>
      <c r="U12">
        <f>IF('Input Scenarios'!U77&lt;&gt;"", 'Input Scenarios'!U77, IF(W12&lt;&gt;"", "", Constants!$B$39))</f>
        <v>4</v>
      </c>
      <c r="V12">
        <f>IF('Input Scenarios'!V77&lt;&gt;"", 'Input Scenarios'!V77, IF(W12&lt;&gt;"", "", Constants!$B$40))</f>
        <v>3.3</v>
      </c>
      <c r="W12" t="str">
        <f>IF('Input Scenarios'!W77&lt;&gt;"", 'Input Scenarios'!W77, "")</f>
        <v/>
      </c>
      <c r="X12" t="str">
        <f>'Input Scenarios'!X77</f>
        <v>Medium Friesian</v>
      </c>
      <c r="Y12" t="str">
        <f>'Input Scenarios'!Y77</f>
        <v>bullsGt1</v>
      </c>
      <c r="Z12">
        <f>'Input Scenarios'!Z77</f>
        <v>200</v>
      </c>
      <c r="AA12">
        <f>'Input Scenarios'!AA77</f>
        <v>365</v>
      </c>
      <c r="AB12">
        <f>'Input Scenarios'!AB77</f>
        <v>560</v>
      </c>
      <c r="AC12">
        <f>IF('Input Scenarios'!AC77&lt;&gt;"", 'Input Scenarios'!AC77, _xlfn.XLOOKUP(Y12, Constants!$B$13:$H$13, Constants!$B$15:$H$15, ""))</f>
        <v>0.1</v>
      </c>
      <c r="AD12">
        <f>IF('Input Scenarios'!AD77&lt;&gt;"", 'Input Scenarios'!AD77, Constants!$B$45)</f>
        <v>0.74</v>
      </c>
      <c r="AE12">
        <f>IF('Input Scenarios'!AE77&lt;&gt;"", 'Input Scenarios'!AE77, Constants!$B$46)</f>
        <v>0.22</v>
      </c>
      <c r="AF12">
        <f t="shared" si="1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11"/>
        <v>1</v>
      </c>
      <c r="AK12">
        <f t="shared" si="12"/>
        <v>0</v>
      </c>
      <c r="AL12">
        <f>Constants!$B$44</f>
        <v>1.03</v>
      </c>
      <c r="AM12">
        <f>Constants!$B$41</f>
        <v>3.0539999999999998</v>
      </c>
      <c r="AN12">
        <f>Constants!$B$42</f>
        <v>18.399999999999999</v>
      </c>
      <c r="AO12">
        <f>Constants!$B$43</f>
        <v>0.6</v>
      </c>
      <c r="AP12">
        <f t="shared" si="13"/>
        <v>0.58690000000000009</v>
      </c>
      <c r="AQ12">
        <f t="shared" si="14"/>
        <v>0</v>
      </c>
      <c r="AR12">
        <f>IF(Y12="milkingCows", Constants!$P$2, Constants!$P$3)</f>
        <v>1</v>
      </c>
      <c r="AS12">
        <f t="shared" si="15"/>
        <v>8.6644277315999982</v>
      </c>
      <c r="AT12">
        <f t="shared" si="16"/>
        <v>1.0217513291410167</v>
      </c>
      <c r="AU12">
        <f>_xlfn.XLOOKUP(Y12, Constants!$B$13:$H$13, Constants!$B$14:$H$14, "")</f>
        <v>770</v>
      </c>
      <c r="AV12">
        <f t="shared" si="17"/>
        <v>0.72727272727272729</v>
      </c>
      <c r="AW12">
        <f>Constants!$B$55</f>
        <v>6.25</v>
      </c>
      <c r="AX12">
        <f t="shared" si="1"/>
        <v>1.3276489519743473E-3</v>
      </c>
      <c r="AY12">
        <f t="shared" si="2"/>
        <v>1.9061741009519997</v>
      </c>
      <c r="AZ12">
        <f t="shared" si="18"/>
        <v>0.30163414073625983</v>
      </c>
      <c r="BA12" t="str">
        <f>IF(ISNUMBER(FIND("PreWeaned",Y12)),_xlfn.XLOOKUP(Y12,Constants!$J$2:$J$3,Constants!$M$2:$M$3),"")</f>
        <v/>
      </c>
      <c r="BB12">
        <f t="shared" si="3"/>
        <v>22019.292273746967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22019.292273746967</v>
      </c>
      <c r="BH12">
        <f t="shared" si="9"/>
        <v>0</v>
      </c>
      <c r="BI12">
        <f>Constants!$B$54</f>
        <v>0.02</v>
      </c>
      <c r="BJ12">
        <f>Constants!$B$53</f>
        <v>0.24</v>
      </c>
      <c r="BK12">
        <f t="shared" si="19"/>
        <v>0</v>
      </c>
      <c r="BL12">
        <f t="shared" si="19"/>
        <v>0</v>
      </c>
      <c r="BM12">
        <f>Constants!$B$52</f>
        <v>1.0999999999999999E-2</v>
      </c>
      <c r="BN12">
        <f>Constants!$B$50</f>
        <v>1.57</v>
      </c>
      <c r="BO12">
        <f t="shared" si="20"/>
        <v>0</v>
      </c>
    </row>
    <row r="13" spans="1:68" x14ac:dyDescent="0.2">
      <c r="A13" t="str">
        <f>'Input Scenarios'!A78</f>
        <v>NSW</v>
      </c>
      <c r="B13">
        <f>'Input Scenarios'!B78</f>
        <v>15</v>
      </c>
      <c r="C13" t="str">
        <f>'Input Scenarios'!C78</f>
        <v>Non-irrigated pasture</v>
      </c>
      <c r="D13" t="str">
        <f>'Input Scenarios'!D78</f>
        <v>wet</v>
      </c>
      <c r="E13" t="b">
        <f>'Input Scenarios'!E78</f>
        <v>0</v>
      </c>
      <c r="G13">
        <f>'Input Scenarios'!G78</f>
        <v>0.2</v>
      </c>
      <c r="H13">
        <f>'Input Scenarios'!H78</f>
        <v>0.3</v>
      </c>
      <c r="I13">
        <f>'Input Scenarios'!I78</f>
        <v>0.5</v>
      </c>
      <c r="J13">
        <f>'Input Scenarios'!J78</f>
        <v>0.25</v>
      </c>
      <c r="K13">
        <f>'Input Scenarios'!K78</f>
        <v>0.25</v>
      </c>
      <c r="L13">
        <f>'Input Scenarios'!L78</f>
        <v>0.25</v>
      </c>
      <c r="M13">
        <f>'Input Scenarios'!M78</f>
        <v>0.25</v>
      </c>
      <c r="N13">
        <f>'Input Scenarios'!N78</f>
        <v>0.25</v>
      </c>
      <c r="O13">
        <f>'Input Scenarios'!O78</f>
        <v>0.25</v>
      </c>
      <c r="P13">
        <f>'Input Scenarios'!P78</f>
        <v>0.25</v>
      </c>
      <c r="Q13">
        <f>'Input Scenarios'!Q78</f>
        <v>0.25</v>
      </c>
      <c r="R13" t="b">
        <f>'Input Scenarios'!R13</f>
        <v>1</v>
      </c>
      <c r="S13">
        <f>IF('Input Scenarios'!S78&lt;&gt;"", 'Input Scenarios'!S78, IF(R78, Constants!$B$38, 0))</f>
        <v>0.22</v>
      </c>
      <c r="T13" t="str">
        <f>IF('Input Scenarios'!T78&lt;&gt;"", 'Input Scenarios'!T78, "")</f>
        <v/>
      </c>
      <c r="U13">
        <f>IF('Input Scenarios'!U78&lt;&gt;"", 'Input Scenarios'!U78, IF(W13&lt;&gt;"", "", Constants!$B$39))</f>
        <v>4</v>
      </c>
      <c r="V13">
        <f>IF('Input Scenarios'!V78&lt;&gt;"", 'Input Scenarios'!V78, IF(W13&lt;&gt;"", "", Constants!$B$40))</f>
        <v>3.3</v>
      </c>
      <c r="W13" t="str">
        <f>IF('Input Scenarios'!W78&lt;&gt;"", 'Input Scenarios'!W78, "")</f>
        <v/>
      </c>
      <c r="X13" t="str">
        <f>'Input Scenarios'!X78</f>
        <v>Medium Friesian</v>
      </c>
      <c r="Y13" t="str">
        <f>'Input Scenarios'!Y78</f>
        <v>bullsLt1PreWeaned</v>
      </c>
      <c r="Z13">
        <f>'Input Scenarios'!Z78</f>
        <v>200</v>
      </c>
      <c r="AA13">
        <f>'Input Scenarios'!AA78</f>
        <v>365</v>
      </c>
      <c r="AB13">
        <f>'Input Scenarios'!AB78</f>
        <v>250</v>
      </c>
      <c r="AC13" t="str">
        <f>IF('Input Scenarios'!AC78&lt;&gt;"", 'Input Scenarios'!AC78, _xlfn.XLOOKUP(Y13, Constants!$B$13:$H$13, Constants!$B$15:$H$15, ""))</f>
        <v/>
      </c>
      <c r="AD13">
        <f>IF('Input Scenarios'!AD78&lt;&gt;"", 'Input Scenarios'!AD78, Constants!$B$45)</f>
        <v>0.75</v>
      </c>
      <c r="AE13">
        <f>IF('Input Scenarios'!AE78&lt;&gt;"", 'Input Scenarios'!AE78, Constants!$B$46)</f>
        <v>0.23</v>
      </c>
      <c r="AF13">
        <f t="shared" si="1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11"/>
        <v>1</v>
      </c>
      <c r="AK13">
        <f t="shared" si="12"/>
        <v>0</v>
      </c>
      <c r="AL13">
        <f>Constants!$B$44</f>
        <v>1.03</v>
      </c>
      <c r="AM13">
        <f>Constants!$B$41</f>
        <v>3.0539999999999998</v>
      </c>
      <c r="AN13">
        <f>Constants!$B$42</f>
        <v>18.399999999999999</v>
      </c>
      <c r="AO13">
        <f>Constants!$B$43</f>
        <v>0.6</v>
      </c>
      <c r="AP13">
        <f t="shared" si="13"/>
        <v>0.5948500000000001</v>
      </c>
      <c r="AQ13">
        <f t="shared" si="14"/>
        <v>0</v>
      </c>
      <c r="AR13">
        <f>IF(Y13="milkingCows", Constants!$P$2, Constants!$P$3)</f>
        <v>1</v>
      </c>
      <c r="AS13" t="str">
        <f t="shared" si="15"/>
        <v/>
      </c>
      <c r="AT13" t="str">
        <f t="shared" si="16"/>
        <v/>
      </c>
      <c r="AU13" t="str">
        <f>_xlfn.XLOOKUP(Y13, Constants!$B$13:$H$13, Constants!$B$14:$H$14, "")</f>
        <v/>
      </c>
      <c r="AV13" t="str">
        <f t="shared" si="17"/>
        <v/>
      </c>
      <c r="AW13">
        <f>Constants!$B$55</f>
        <v>6.25</v>
      </c>
      <c r="AX13" t="str">
        <f t="shared" si="1"/>
        <v/>
      </c>
      <c r="AY13" t="str">
        <f t="shared" si="2"/>
        <v/>
      </c>
      <c r="AZ13" t="str">
        <f t="shared" si="18"/>
        <v/>
      </c>
      <c r="BA13">
        <f>IF(ISNUMBER(FIND("PreWeaned",Y13)),_xlfn.XLOOKUP(Y13,Constants!$J$2:$J$3,Constants!$M$2:$M$3),"")</f>
        <v>9.1999999999999998E-3</v>
      </c>
      <c r="BB13">
        <f t="shared" si="3"/>
        <v>671.59999999999991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671.59999999999991</v>
      </c>
      <c r="BH13">
        <f t="shared" si="9"/>
        <v>0</v>
      </c>
      <c r="BI13">
        <f>Constants!$B$54</f>
        <v>0.02</v>
      </c>
      <c r="BJ13">
        <f>Constants!$B$53</f>
        <v>0.24</v>
      </c>
      <c r="BK13">
        <f t="shared" si="19"/>
        <v>0</v>
      </c>
      <c r="BL13">
        <f t="shared" si="19"/>
        <v>0</v>
      </c>
      <c r="BM13">
        <f>Constants!$B$52</f>
        <v>1.0999999999999999E-2</v>
      </c>
      <c r="BN13">
        <f>Constants!$B$50</f>
        <v>1.57</v>
      </c>
      <c r="BO13">
        <f t="shared" si="20"/>
        <v>0</v>
      </c>
    </row>
    <row r="14" spans="1:68" s="16" customFormat="1" x14ac:dyDescent="0.2">
      <c r="A14" s="16" t="str">
        <f>'Input Scenarios'!A79</f>
        <v>NSW</v>
      </c>
      <c r="B14" s="16">
        <f>'Input Scenarios'!B79</f>
        <v>15</v>
      </c>
      <c r="C14" s="16" t="str">
        <f>'Input Scenarios'!C79</f>
        <v>Non-irrigated pasture</v>
      </c>
      <c r="D14" s="16" t="str">
        <f>'Input Scenarios'!D79</f>
        <v>wet</v>
      </c>
      <c r="E14" s="16" t="b">
        <f>'Input Scenarios'!E79</f>
        <v>0</v>
      </c>
      <c r="G14" s="16">
        <f>'Input Scenarios'!G79</f>
        <v>0.2</v>
      </c>
      <c r="H14" s="16">
        <f>'Input Scenarios'!H79</f>
        <v>0.3</v>
      </c>
      <c r="I14" s="16">
        <f>'Input Scenarios'!I79</f>
        <v>0.5</v>
      </c>
      <c r="J14" s="16">
        <f>'Input Scenarios'!J79</f>
        <v>0.25</v>
      </c>
      <c r="K14" s="16">
        <f>'Input Scenarios'!K79</f>
        <v>0.25</v>
      </c>
      <c r="L14" s="16">
        <f>'Input Scenarios'!L79</f>
        <v>0.25</v>
      </c>
      <c r="M14" s="16">
        <f>'Input Scenarios'!M79</f>
        <v>0.25</v>
      </c>
      <c r="N14" s="16">
        <f>'Input Scenarios'!N79</f>
        <v>0.25</v>
      </c>
      <c r="O14" s="16">
        <f>'Input Scenarios'!O79</f>
        <v>0.25</v>
      </c>
      <c r="P14" s="16">
        <f>'Input Scenarios'!P79</f>
        <v>0.25</v>
      </c>
      <c r="Q14" s="16">
        <f>'Input Scenarios'!Q79</f>
        <v>0.25</v>
      </c>
      <c r="R14" s="16" t="b">
        <f>'Input Scenarios'!R14</f>
        <v>1</v>
      </c>
      <c r="S14" s="16">
        <f>IF('Input Scenarios'!S79&lt;&gt;"", 'Input Scenarios'!S79, IF(R79, Constants!$B$38, 0))</f>
        <v>0.22</v>
      </c>
      <c r="T14" s="16" t="str">
        <f>IF('Input Scenarios'!T79&lt;&gt;"", 'Input Scenarios'!T79, "")</f>
        <v/>
      </c>
      <c r="U14" s="16">
        <f>IF('Input Scenarios'!U79&lt;&gt;"", 'Input Scenarios'!U79, IF(W14&lt;&gt;"", "", Constants!$B$39))</f>
        <v>4</v>
      </c>
      <c r="V14" s="16">
        <f>IF('Input Scenarios'!V79&lt;&gt;"", 'Input Scenarios'!V79, IF(W14&lt;&gt;"", "", Constants!$B$40))</f>
        <v>3.3</v>
      </c>
      <c r="W14" s="16" t="str">
        <f>IF('Input Scenarios'!W79&lt;&gt;"", 'Input Scenarios'!W79, "")</f>
        <v/>
      </c>
      <c r="X14" s="16" t="str">
        <f>'Input Scenarios'!X79</f>
        <v>Medium Friesian</v>
      </c>
      <c r="Y14" s="16" t="str">
        <f>'Input Scenarios'!Y79</f>
        <v>bullsLt1Weaned</v>
      </c>
      <c r="Z14" s="16">
        <f>'Input Scenarios'!Z79</f>
        <v>200</v>
      </c>
      <c r="AA14" s="16">
        <f>'Input Scenarios'!AA79</f>
        <v>365</v>
      </c>
      <c r="AB14" s="16">
        <f>'Input Scenarios'!AB79</f>
        <v>267</v>
      </c>
      <c r="AC14" s="16">
        <f>IF('Input Scenarios'!AC79&lt;&gt;"", 'Input Scenarios'!AC79, _xlfn.XLOOKUP(Y14, Constants!$B$13:$H$13, Constants!$B$15:$H$15, ""))</f>
        <v>0.8</v>
      </c>
      <c r="AD14" s="16">
        <f>IF('Input Scenarios'!AD79&lt;&gt;"", 'Input Scenarios'!AD79, Constants!$B$45)</f>
        <v>0.76</v>
      </c>
      <c r="AE14" s="16">
        <f>IF('Input Scenarios'!AE79&lt;&gt;"", 'Input Scenarios'!AE79, Constants!$B$46)</f>
        <v>0.24</v>
      </c>
      <c r="AF14" s="16">
        <f t="shared" si="10"/>
        <v>0</v>
      </c>
      <c r="AG14" s="16">
        <f t="shared" si="0"/>
        <v>0</v>
      </c>
      <c r="AH14" s="16">
        <f t="shared" si="0"/>
        <v>0</v>
      </c>
      <c r="AI14" s="16">
        <f t="shared" si="0"/>
        <v>0</v>
      </c>
      <c r="AJ14" s="16">
        <f t="shared" si="11"/>
        <v>1</v>
      </c>
      <c r="AK14" s="16">
        <f>IF(Y14="milkingCows", IF(W14&lt;&gt;"", W14, T14/((U14+V14)*0.01)), 0)</f>
        <v>0</v>
      </c>
      <c r="AL14" s="16">
        <f>Constants!$B$44</f>
        <v>1.03</v>
      </c>
      <c r="AM14" s="16">
        <f>Constants!$B$41</f>
        <v>3.0539999999999998</v>
      </c>
      <c r="AN14" s="16">
        <f>Constants!$B$42</f>
        <v>18.399999999999999</v>
      </c>
      <c r="AO14" s="16">
        <f>Constants!$B$43</f>
        <v>0.6</v>
      </c>
      <c r="AP14" s="16">
        <f t="shared" si="13"/>
        <v>0.60280000000000011</v>
      </c>
      <c r="AQ14" s="16">
        <f t="shared" si="14"/>
        <v>0</v>
      </c>
      <c r="AR14" s="16">
        <f>IF(Y14="milkingCows", Constants!$P$2, Constants!$P$3)</f>
        <v>1</v>
      </c>
      <c r="AS14" s="16">
        <f t="shared" si="15"/>
        <v>6.0704513701779614</v>
      </c>
      <c r="AT14" s="16">
        <f t="shared" si="16"/>
        <v>1.2408464586628585</v>
      </c>
      <c r="AU14" s="16">
        <f>_xlfn.XLOOKUP(Y14, Constants!$B$13:$H$13, Constants!$B$14:$H$14, "")</f>
        <v>770</v>
      </c>
      <c r="AV14" s="16">
        <f t="shared" si="17"/>
        <v>0.34675324675324676</v>
      </c>
      <c r="AW14" s="16">
        <f>Constants!$B$55</f>
        <v>6.25</v>
      </c>
      <c r="AX14" s="16">
        <f t="shared" si="1"/>
        <v>1.8441836586625317E-2</v>
      </c>
      <c r="AY14" s="16">
        <f t="shared" si="2"/>
        <v>1.4569083288427107</v>
      </c>
      <c r="AZ14" s="16">
        <f t="shared" si="18"/>
        <v>0.21350098759030778</v>
      </c>
      <c r="BA14" s="16" t="str">
        <f>IF(ISNUMBER(FIND("PreWeaned",Y14)),_xlfn.XLOOKUP(Y14,Constants!$J$2:$J$3,Constants!$M$2:$M$3),"")</f>
        <v/>
      </c>
      <c r="BB14" s="16">
        <f t="shared" si="3"/>
        <v>15585.572094092469</v>
      </c>
      <c r="BC14" s="16">
        <f t="shared" si="4"/>
        <v>0</v>
      </c>
      <c r="BD14" s="16">
        <f t="shared" si="5"/>
        <v>0</v>
      </c>
      <c r="BE14" s="16">
        <f t="shared" si="6"/>
        <v>0</v>
      </c>
      <c r="BF14" s="16">
        <f t="shared" si="7"/>
        <v>0</v>
      </c>
      <c r="BG14" s="16">
        <f t="shared" si="8"/>
        <v>15585.572094092469</v>
      </c>
      <c r="BH14" s="16">
        <f t="shared" si="9"/>
        <v>0</v>
      </c>
      <c r="BI14" s="16">
        <f>Constants!$B$54</f>
        <v>0.02</v>
      </c>
      <c r="BJ14" s="16">
        <f>Constants!$B$53</f>
        <v>0.24</v>
      </c>
      <c r="BK14" s="16">
        <f t="shared" si="19"/>
        <v>0</v>
      </c>
      <c r="BL14" s="16">
        <f t="shared" si="19"/>
        <v>0</v>
      </c>
      <c r="BM14" s="16">
        <f>Constants!$B$52</f>
        <v>1.0999999999999999E-2</v>
      </c>
      <c r="BN14" s="16">
        <f>Constants!$B$50</f>
        <v>1.57</v>
      </c>
      <c r="BO14" s="16">
        <f t="shared" si="20"/>
        <v>0</v>
      </c>
    </row>
    <row r="15" spans="1:68" x14ac:dyDescent="0.2">
      <c r="A15" t="str">
        <f>'Input Scenarios'!A80</f>
        <v>QLD</v>
      </c>
      <c r="B15">
        <f>'Input Scenarios'!B80</f>
        <v>22</v>
      </c>
      <c r="C15" t="str">
        <f>'Input Scenarios'!C80</f>
        <v>Non-irrigated crop (high rainfall)</v>
      </c>
      <c r="D15" t="str">
        <f>'Input Scenarios'!D80</f>
        <v>wet</v>
      </c>
      <c r="E15" t="b">
        <f>'Input Scenarios'!E80</f>
        <v>1</v>
      </c>
      <c r="G15">
        <f>'Input Scenarios'!G80</f>
        <v>0.5</v>
      </c>
      <c r="H15">
        <f>'Input Scenarios'!H80</f>
        <v>0.1</v>
      </c>
      <c r="I15">
        <f>'Input Scenarios'!I80</f>
        <v>0.4</v>
      </c>
      <c r="J15">
        <f>'Input Scenarios'!J80</f>
        <v>0</v>
      </c>
      <c r="K15">
        <f>'Input Scenarios'!K80</f>
        <v>0</v>
      </c>
      <c r="L15">
        <f>'Input Scenarios'!L80</f>
        <v>1</v>
      </c>
      <c r="M15">
        <f>'Input Scenarios'!M80</f>
        <v>0</v>
      </c>
      <c r="N15">
        <f>'Input Scenarios'!N80</f>
        <v>1</v>
      </c>
      <c r="O15">
        <f>'Input Scenarios'!O80</f>
        <v>0</v>
      </c>
      <c r="P15">
        <f>'Input Scenarios'!P80</f>
        <v>0</v>
      </c>
      <c r="Q15">
        <f>'Input Scenarios'!Q80</f>
        <v>0</v>
      </c>
      <c r="R15" t="b">
        <f>'Input Scenarios'!R15</f>
        <v>1</v>
      </c>
      <c r="S15">
        <f>IF('Input Scenarios'!S80&lt;&gt;"", 'Input Scenarios'!S80, IF(R80, Constants!$B$38, 0))</f>
        <v>0.21</v>
      </c>
      <c r="T15" s="20">
        <f>IF('Input Scenarios'!T80&lt;&gt;"", 'Input Scenarios'!T80, "")</f>
        <v>3</v>
      </c>
      <c r="U15" s="20">
        <f>IF('Input Scenarios'!U80&lt;&gt;"", 'Input Scenarios'!U80, IF(W15&lt;&gt;"", "", Constants!$B$39))</f>
        <v>3.8</v>
      </c>
      <c r="V15" s="20">
        <f>IF('Input Scenarios'!V80&lt;&gt;"", 'Input Scenarios'!V80, IF(W15&lt;&gt;"", "", Constants!$B$40))</f>
        <v>2.2000000000000002</v>
      </c>
      <c r="W15" s="20" t="str">
        <f>IF('Input Scenarios'!W80&lt;&gt;"", 'Input Scenarios'!W80, "")</f>
        <v/>
      </c>
      <c r="X15" s="20" t="str">
        <f>'Input Scenarios'!X80</f>
        <v>Large Friesian</v>
      </c>
      <c r="Y15" s="20" t="str">
        <f>'Input Scenarios'!Y80</f>
        <v>milkingCows</v>
      </c>
      <c r="Z15" s="20">
        <f>'Input Scenarios'!Z80</f>
        <v>200</v>
      </c>
      <c r="AA15" s="20">
        <f>'Input Scenarios'!AA80</f>
        <v>300</v>
      </c>
      <c r="AB15" s="20">
        <f>'Input Scenarios'!AB80</f>
        <v>611</v>
      </c>
      <c r="AC15">
        <f>IF('Input Scenarios'!AC80&lt;&gt;"", 'Input Scenarios'!AC80, _xlfn.XLOOKUP(Y15, Constants!$B$13:$H$13, Constants!$B$15:$H$15, ""))</f>
        <v>1.6E-2</v>
      </c>
      <c r="AD15">
        <f>IF('Input Scenarios'!AD80&lt;&gt;"", 'Input Scenarios'!AD80, Constants!$B$45)</f>
        <v>0.65</v>
      </c>
      <c r="AE15">
        <f>IF('Input Scenarios'!AE80&lt;&gt;"", 'Input Scenarios'!AE80, Constants!$B$46)</f>
        <v>0.23</v>
      </c>
      <c r="AF15" s="20">
        <f t="shared" si="10"/>
        <v>0.4</v>
      </c>
      <c r="AG15" s="20">
        <f t="shared" si="0"/>
        <v>0</v>
      </c>
      <c r="AH15" s="20">
        <f t="shared" si="0"/>
        <v>0.1</v>
      </c>
      <c r="AI15" s="20">
        <f t="shared" si="0"/>
        <v>0</v>
      </c>
      <c r="AJ15" s="20">
        <f t="shared" si="11"/>
        <v>0.5</v>
      </c>
      <c r="AK15">
        <f t="shared" ref="AK15:AK35" si="21">IF(Y15="milkingCows", IF(W15&lt;&gt;"", W15, T15/((U15+V15)*0.01)), 0)</f>
        <v>50</v>
      </c>
      <c r="AL15">
        <f>Constants!$B$44</f>
        <v>1.03</v>
      </c>
      <c r="AM15">
        <f>Constants!$B$41</f>
        <v>3.0539999999999998</v>
      </c>
      <c r="AN15">
        <f>Constants!$B$42</f>
        <v>18.399999999999999</v>
      </c>
      <c r="AO15">
        <f>Constants!$B$43</f>
        <v>0.6</v>
      </c>
      <c r="AP15">
        <f t="shared" si="13"/>
        <v>0.51535000000000009</v>
      </c>
      <c r="AQ15">
        <f t="shared" si="14"/>
        <v>27.644256119732891</v>
      </c>
      <c r="AR15">
        <f>IF(Y15="milkingCows", Constants!$P$2, Constants!$P$3)</f>
        <v>1.1000000000000001</v>
      </c>
      <c r="AS15">
        <f t="shared" si="15"/>
        <v>37.500384471804168</v>
      </c>
      <c r="AT15">
        <f t="shared" si="16"/>
        <v>1.0008851008985502</v>
      </c>
      <c r="AU15">
        <f>_xlfn.XLOOKUP(Y15, Constants!$B$13:$H$13, Constants!$B$14:$H$14, "")</f>
        <v>590</v>
      </c>
      <c r="AV15">
        <f t="shared" si="17"/>
        <v>1.035593220338983</v>
      </c>
      <c r="AW15">
        <f>Constants!$B$55</f>
        <v>6.25</v>
      </c>
      <c r="AX15" s="20">
        <f t="shared" si="1"/>
        <v>0.25848431071421363</v>
      </c>
      <c r="AY15">
        <f t="shared" si="2"/>
        <v>8.6250884285149585</v>
      </c>
      <c r="AZ15">
        <f t="shared" si="18"/>
        <v>1.1193669023144179</v>
      </c>
      <c r="BA15" t="str">
        <f>IF(ISNUMBER(FIND("PreWeaned",Y15)),_xlfn.XLOOKUP(Y15,Constants!$J$2:$J$3,Constants!$M$2:$M$3),"")</f>
        <v/>
      </c>
      <c r="BB15">
        <f t="shared" si="3"/>
        <v>67162.014138865066</v>
      </c>
      <c r="BC15">
        <f t="shared" si="4"/>
        <v>26864.805655546028</v>
      </c>
      <c r="BD15">
        <f t="shared" si="5"/>
        <v>0</v>
      </c>
      <c r="BE15">
        <f t="shared" si="6"/>
        <v>6716.201413886507</v>
      </c>
      <c r="BF15">
        <f t="shared" si="7"/>
        <v>0</v>
      </c>
      <c r="BG15">
        <f t="shared" si="8"/>
        <v>33581.007069432533</v>
      </c>
      <c r="BH15">
        <f t="shared" si="9"/>
        <v>1</v>
      </c>
      <c r="BI15">
        <f>Constants!$B$54</f>
        <v>0.02</v>
      </c>
      <c r="BJ15">
        <f>Constants!$B$53</f>
        <v>0.24</v>
      </c>
      <c r="BK15">
        <f t="shared" si="19"/>
        <v>0</v>
      </c>
      <c r="BL15">
        <f t="shared" si="19"/>
        <v>8059.4416966638073</v>
      </c>
      <c r="BM15">
        <f>Constants!$B$52</f>
        <v>1.0999999999999999E-2</v>
      </c>
      <c r="BN15">
        <f>Constants!$B$50</f>
        <v>1.57</v>
      </c>
      <c r="BO15">
        <f t="shared" si="20"/>
        <v>139.18655810138395</v>
      </c>
      <c r="BP15">
        <f>SUM(BO15:BO21)/1000</f>
        <v>0.36654545395350691</v>
      </c>
    </row>
    <row r="16" spans="1:68" x14ac:dyDescent="0.2">
      <c r="A16" t="str">
        <f>'Input Scenarios'!A81</f>
        <v>QLD</v>
      </c>
      <c r="B16">
        <f>'Input Scenarios'!B81</f>
        <v>22</v>
      </c>
      <c r="C16" t="str">
        <f>'Input Scenarios'!C81</f>
        <v>Non-irrigated crop (high rainfall)</v>
      </c>
      <c r="D16" t="str">
        <f>'Input Scenarios'!D81</f>
        <v>wet</v>
      </c>
      <c r="E16" t="b">
        <f>'Input Scenarios'!E81</f>
        <v>1</v>
      </c>
      <c r="G16">
        <f>'Input Scenarios'!G81</f>
        <v>0.5</v>
      </c>
      <c r="H16">
        <f>'Input Scenarios'!H81</f>
        <v>0.1</v>
      </c>
      <c r="I16">
        <f>'Input Scenarios'!I81</f>
        <v>0.4</v>
      </c>
      <c r="J16">
        <f>'Input Scenarios'!J81</f>
        <v>0</v>
      </c>
      <c r="K16">
        <f>'Input Scenarios'!K81</f>
        <v>0</v>
      </c>
      <c r="L16">
        <f>'Input Scenarios'!L81</f>
        <v>1</v>
      </c>
      <c r="M16">
        <f>'Input Scenarios'!M81</f>
        <v>0</v>
      </c>
      <c r="N16">
        <f>'Input Scenarios'!N81</f>
        <v>1</v>
      </c>
      <c r="O16">
        <f>'Input Scenarios'!O81</f>
        <v>0</v>
      </c>
      <c r="P16">
        <f>'Input Scenarios'!P81</f>
        <v>0</v>
      </c>
      <c r="Q16">
        <f>'Input Scenarios'!Q81</f>
        <v>0</v>
      </c>
      <c r="R16" t="b">
        <f>'Input Scenarios'!R16</f>
        <v>1</v>
      </c>
      <c r="S16">
        <f>IF('Input Scenarios'!S81&lt;&gt;"", 'Input Scenarios'!S81, IF(R81, Constants!$B$38, 0))</f>
        <v>0.21</v>
      </c>
      <c r="T16" t="str">
        <f>IF('Input Scenarios'!T81&lt;&gt;"", 'Input Scenarios'!T81, "")</f>
        <v/>
      </c>
      <c r="U16">
        <f>IF('Input Scenarios'!U81&lt;&gt;"", 'Input Scenarios'!U81, IF(W16&lt;&gt;"", "", Constants!$B$39))</f>
        <v>4</v>
      </c>
      <c r="V16">
        <f>IF('Input Scenarios'!V81&lt;&gt;"", 'Input Scenarios'!V81, IF(W16&lt;&gt;"", "", Constants!$B$40))</f>
        <v>3.3</v>
      </c>
      <c r="W16" t="str">
        <f>IF('Input Scenarios'!W81&lt;&gt;"", 'Input Scenarios'!W81, "")</f>
        <v/>
      </c>
      <c r="X16" t="str">
        <f>'Input Scenarios'!X81</f>
        <v>Large Friesian</v>
      </c>
      <c r="Y16" t="str">
        <f>'Input Scenarios'!Y81</f>
        <v>heifersGt1</v>
      </c>
      <c r="Z16">
        <f>'Input Scenarios'!Z81</f>
        <v>200</v>
      </c>
      <c r="AA16">
        <f>'Input Scenarios'!AA81</f>
        <v>300</v>
      </c>
      <c r="AB16">
        <f>'Input Scenarios'!AB81</f>
        <v>333</v>
      </c>
      <c r="AC16">
        <f>IF('Input Scenarios'!AC81&lt;&gt;"", 'Input Scenarios'!AC81, _xlfn.XLOOKUP(Y16, Constants!$B$13:$H$13, Constants!$B$15:$H$15, ""))</f>
        <v>0.6</v>
      </c>
      <c r="AD16">
        <f>IF('Input Scenarios'!AD81&lt;&gt;"", 'Input Scenarios'!AD81, Constants!$B$45)</f>
        <v>0.7</v>
      </c>
      <c r="AE16">
        <f>IF('Input Scenarios'!AE81&lt;&gt;"", 'Input Scenarios'!AE81, Constants!$B$46)</f>
        <v>0.23</v>
      </c>
      <c r="AF16">
        <f t="shared" si="1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11"/>
        <v>1</v>
      </c>
      <c r="AK16">
        <f t="shared" si="21"/>
        <v>0</v>
      </c>
      <c r="AL16">
        <f>Constants!$B$44</f>
        <v>1.03</v>
      </c>
      <c r="AM16">
        <f>Constants!$B$41</f>
        <v>3.0539999999999998</v>
      </c>
      <c r="AN16">
        <f>Constants!$B$42</f>
        <v>18.399999999999999</v>
      </c>
      <c r="AO16">
        <f>Constants!$B$43</f>
        <v>0.6</v>
      </c>
      <c r="AP16">
        <f t="shared" si="13"/>
        <v>0.55510000000000004</v>
      </c>
      <c r="AQ16">
        <f t="shared" si="14"/>
        <v>0</v>
      </c>
      <c r="AR16">
        <f>IF(Y16="milkingCows", Constants!$P$2, Constants!$P$3)</f>
        <v>1</v>
      </c>
      <c r="AS16">
        <f t="shared" si="15"/>
        <v>6.7470509270739587</v>
      </c>
      <c r="AT16">
        <f t="shared" si="16"/>
        <v>1.1631014187764508</v>
      </c>
      <c r="AU16">
        <f>_xlfn.XLOOKUP(Y16, Constants!$B$13:$H$13, Constants!$B$14:$H$14, "")</f>
        <v>590</v>
      </c>
      <c r="AV16">
        <f t="shared" si="17"/>
        <v>0.56440677966101693</v>
      </c>
      <c r="AW16">
        <f>Constants!$B$55</f>
        <v>6.25</v>
      </c>
      <c r="AX16">
        <f t="shared" si="1"/>
        <v>9.8781251327543507E-3</v>
      </c>
      <c r="AY16">
        <f t="shared" si="2"/>
        <v>1.5518217132270107</v>
      </c>
      <c r="AZ16">
        <f t="shared" si="18"/>
        <v>0.23704137510449247</v>
      </c>
      <c r="BA16" t="str">
        <f>IF(ISNUMBER(FIND("PreWeaned",Y16)),_xlfn.XLOOKUP(Y16,Constants!$J$2:$J$3,Constants!$M$2:$M$3),"")</f>
        <v/>
      </c>
      <c r="BB16">
        <f t="shared" si="3"/>
        <v>14222.482506269547</v>
      </c>
      <c r="BC16">
        <f t="shared" si="4"/>
        <v>0</v>
      </c>
      <c r="BD16">
        <f t="shared" si="5"/>
        <v>0</v>
      </c>
      <c r="BE16">
        <f t="shared" si="6"/>
        <v>0</v>
      </c>
      <c r="BF16">
        <f t="shared" si="7"/>
        <v>0</v>
      </c>
      <c r="BG16">
        <f t="shared" si="8"/>
        <v>14222.482506269547</v>
      </c>
      <c r="BH16">
        <f t="shared" si="9"/>
        <v>1</v>
      </c>
      <c r="BI16">
        <f>Constants!$B$54</f>
        <v>0.02</v>
      </c>
      <c r="BJ16">
        <f>Constants!$B$53</f>
        <v>0.24</v>
      </c>
      <c r="BK16">
        <f t="shared" si="19"/>
        <v>0</v>
      </c>
      <c r="BL16">
        <f t="shared" si="19"/>
        <v>3413.395801504691</v>
      </c>
      <c r="BM16">
        <f>Constants!$B$52</f>
        <v>1.0999999999999999E-2</v>
      </c>
      <c r="BN16">
        <f>Constants!$B$50</f>
        <v>1.57</v>
      </c>
      <c r="BO16">
        <f t="shared" si="20"/>
        <v>58.949345491986016</v>
      </c>
    </row>
    <row r="17" spans="1:68" x14ac:dyDescent="0.2">
      <c r="A17" t="str">
        <f>'Input Scenarios'!A82</f>
        <v>QLD</v>
      </c>
      <c r="B17">
        <f>'Input Scenarios'!B82</f>
        <v>22</v>
      </c>
      <c r="C17" t="str">
        <f>'Input Scenarios'!C82</f>
        <v>Non-irrigated crop (high rainfall)</v>
      </c>
      <c r="D17" t="str">
        <f>'Input Scenarios'!D82</f>
        <v>wet</v>
      </c>
      <c r="E17" t="b">
        <f>'Input Scenarios'!E82</f>
        <v>1</v>
      </c>
      <c r="G17">
        <f>'Input Scenarios'!G82</f>
        <v>0.5</v>
      </c>
      <c r="H17">
        <f>'Input Scenarios'!H82</f>
        <v>0.1</v>
      </c>
      <c r="I17">
        <f>'Input Scenarios'!I82</f>
        <v>0.4</v>
      </c>
      <c r="J17">
        <f>'Input Scenarios'!J82</f>
        <v>0</v>
      </c>
      <c r="K17">
        <f>'Input Scenarios'!K82</f>
        <v>0</v>
      </c>
      <c r="L17">
        <f>'Input Scenarios'!L82</f>
        <v>1</v>
      </c>
      <c r="M17">
        <f>'Input Scenarios'!M82</f>
        <v>0</v>
      </c>
      <c r="N17">
        <f>'Input Scenarios'!N82</f>
        <v>1</v>
      </c>
      <c r="O17">
        <f>'Input Scenarios'!O82</f>
        <v>0</v>
      </c>
      <c r="P17">
        <f>'Input Scenarios'!P82</f>
        <v>0</v>
      </c>
      <c r="Q17">
        <f>'Input Scenarios'!Q82</f>
        <v>0</v>
      </c>
      <c r="R17" t="b">
        <f>'Input Scenarios'!R17</f>
        <v>1</v>
      </c>
      <c r="S17">
        <f>IF('Input Scenarios'!S82&lt;&gt;"", 'Input Scenarios'!S82, IF(R82, Constants!$B$38, 0))</f>
        <v>0.21</v>
      </c>
      <c r="T17" t="str">
        <f>IF('Input Scenarios'!T82&lt;&gt;"", 'Input Scenarios'!T82, "")</f>
        <v/>
      </c>
      <c r="U17">
        <f>IF('Input Scenarios'!U82&lt;&gt;"", 'Input Scenarios'!U82, IF(W17&lt;&gt;"", "", Constants!$B$39))</f>
        <v>4</v>
      </c>
      <c r="V17">
        <f>IF('Input Scenarios'!V82&lt;&gt;"", 'Input Scenarios'!V82, IF(W17&lt;&gt;"", "", Constants!$B$40))</f>
        <v>3.3</v>
      </c>
      <c r="W17" t="str">
        <f>IF('Input Scenarios'!W82&lt;&gt;"", 'Input Scenarios'!W82, "")</f>
        <v/>
      </c>
      <c r="X17" t="str">
        <f>'Input Scenarios'!X82</f>
        <v>Large Friesian</v>
      </c>
      <c r="Y17" t="str">
        <f>'Input Scenarios'!Y82</f>
        <v>heifersLt1PreWeaned</v>
      </c>
      <c r="Z17">
        <f>'Input Scenarios'!Z82</f>
        <v>200</v>
      </c>
      <c r="AA17">
        <f>'Input Scenarios'!AA82</f>
        <v>300</v>
      </c>
      <c r="AB17">
        <f>'Input Scenarios'!AB82</f>
        <v>55</v>
      </c>
      <c r="AC17" t="str">
        <f>IF('Input Scenarios'!AC82&lt;&gt;"", 'Input Scenarios'!AC82, _xlfn.XLOOKUP(Y17, Constants!$B$13:$H$13, Constants!$B$15:$H$15, ""))</f>
        <v/>
      </c>
      <c r="AD17">
        <f>IF('Input Scenarios'!AD82&lt;&gt;"", 'Input Scenarios'!AD82, Constants!$B$45)</f>
        <v>0.65</v>
      </c>
      <c r="AE17">
        <f>IF('Input Scenarios'!AE82&lt;&gt;"", 'Input Scenarios'!AE82, Constants!$B$46)</f>
        <v>0.23</v>
      </c>
      <c r="AF17">
        <f t="shared" si="1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11"/>
        <v>1</v>
      </c>
      <c r="AK17">
        <f t="shared" si="21"/>
        <v>0</v>
      </c>
      <c r="AL17">
        <f>Constants!$B$44</f>
        <v>1.03</v>
      </c>
      <c r="AM17">
        <f>Constants!$B$41</f>
        <v>3.0539999999999998</v>
      </c>
      <c r="AN17">
        <f>Constants!$B$42</f>
        <v>18.399999999999999</v>
      </c>
      <c r="AO17">
        <f>Constants!$B$43</f>
        <v>0.6</v>
      </c>
      <c r="AP17">
        <f t="shared" si="13"/>
        <v>0.51535000000000009</v>
      </c>
      <c r="AQ17">
        <f t="shared" si="14"/>
        <v>0</v>
      </c>
      <c r="AR17">
        <f>IF(Y17="milkingCows", Constants!$P$2, Constants!$P$3)</f>
        <v>1</v>
      </c>
      <c r="AS17" t="str">
        <f t="shared" si="15"/>
        <v/>
      </c>
      <c r="AT17" t="str">
        <f t="shared" si="16"/>
        <v/>
      </c>
      <c r="AU17" t="str">
        <f>_xlfn.XLOOKUP(Y17, Constants!$B$13:$H$13, Constants!$B$14:$H$14, "")</f>
        <v/>
      </c>
      <c r="AV17" t="str">
        <f t="shared" si="17"/>
        <v/>
      </c>
      <c r="AW17">
        <f>Constants!$B$55</f>
        <v>6.25</v>
      </c>
      <c r="AX17" t="str">
        <f t="shared" si="1"/>
        <v/>
      </c>
      <c r="AY17" t="str">
        <f t="shared" si="2"/>
        <v/>
      </c>
      <c r="AZ17" t="str">
        <f t="shared" si="18"/>
        <v/>
      </c>
      <c r="BA17">
        <f>IF(ISNUMBER(FIND("PreWeaned",Y17)),_xlfn.XLOOKUP(Y17,Constants!$J$2:$J$3,Constants!$M$2:$M$3),"")</f>
        <v>1.37E-2</v>
      </c>
      <c r="BB17">
        <f t="shared" si="3"/>
        <v>822.00000000000011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822.00000000000011</v>
      </c>
      <c r="BH17">
        <f t="shared" si="9"/>
        <v>1</v>
      </c>
      <c r="BI17">
        <f>Constants!$B$54</f>
        <v>0.02</v>
      </c>
      <c r="BJ17">
        <f>Constants!$B$53</f>
        <v>0.24</v>
      </c>
      <c r="BK17">
        <f t="shared" si="19"/>
        <v>0</v>
      </c>
      <c r="BL17">
        <f t="shared" si="19"/>
        <v>197.28000000000003</v>
      </c>
      <c r="BM17">
        <f>Constants!$B$52</f>
        <v>1.0999999999999999E-2</v>
      </c>
      <c r="BN17">
        <f>Constants!$B$50</f>
        <v>1.57</v>
      </c>
      <c r="BO17">
        <f t="shared" si="20"/>
        <v>3.4070256000000003</v>
      </c>
    </row>
    <row r="18" spans="1:68" x14ac:dyDescent="0.2">
      <c r="A18" t="str">
        <f>'Input Scenarios'!A83</f>
        <v>QLD</v>
      </c>
      <c r="B18">
        <f>'Input Scenarios'!B83</f>
        <v>22</v>
      </c>
      <c r="C18" t="str">
        <f>'Input Scenarios'!C83</f>
        <v>Non-irrigated crop (high rainfall)</v>
      </c>
      <c r="D18" t="str">
        <f>'Input Scenarios'!D83</f>
        <v>wet</v>
      </c>
      <c r="E18" t="b">
        <f>'Input Scenarios'!E83</f>
        <v>1</v>
      </c>
      <c r="G18">
        <f>'Input Scenarios'!G83</f>
        <v>0.5</v>
      </c>
      <c r="H18">
        <f>'Input Scenarios'!H83</f>
        <v>0.1</v>
      </c>
      <c r="I18">
        <f>'Input Scenarios'!I83</f>
        <v>0.4</v>
      </c>
      <c r="J18">
        <f>'Input Scenarios'!J83</f>
        <v>0</v>
      </c>
      <c r="K18">
        <f>'Input Scenarios'!K83</f>
        <v>0</v>
      </c>
      <c r="L18">
        <f>'Input Scenarios'!L83</f>
        <v>1</v>
      </c>
      <c r="M18">
        <f>'Input Scenarios'!M83</f>
        <v>0</v>
      </c>
      <c r="N18">
        <f>'Input Scenarios'!N83</f>
        <v>1</v>
      </c>
      <c r="O18">
        <f>'Input Scenarios'!O83</f>
        <v>0</v>
      </c>
      <c r="P18">
        <f>'Input Scenarios'!P83</f>
        <v>0</v>
      </c>
      <c r="Q18">
        <f>'Input Scenarios'!Q83</f>
        <v>0</v>
      </c>
      <c r="R18" t="b">
        <f>'Input Scenarios'!R18</f>
        <v>1</v>
      </c>
      <c r="S18">
        <f>IF('Input Scenarios'!S83&lt;&gt;"", 'Input Scenarios'!S83, IF(R83, Constants!$B$38, 0))</f>
        <v>0.21</v>
      </c>
      <c r="T18" t="str">
        <f>IF('Input Scenarios'!T83&lt;&gt;"", 'Input Scenarios'!T83, "")</f>
        <v/>
      </c>
      <c r="U18">
        <f>IF('Input Scenarios'!U83&lt;&gt;"", 'Input Scenarios'!U83, IF(W18&lt;&gt;"", "", Constants!$B$39))</f>
        <v>4</v>
      </c>
      <c r="V18">
        <f>IF('Input Scenarios'!V83&lt;&gt;"", 'Input Scenarios'!V83, IF(W18&lt;&gt;"", "", Constants!$B$40))</f>
        <v>3.3</v>
      </c>
      <c r="W18" t="str">
        <f>IF('Input Scenarios'!W83&lt;&gt;"", 'Input Scenarios'!W83, "")</f>
        <v/>
      </c>
      <c r="X18" t="str">
        <f>'Input Scenarios'!X83</f>
        <v>Large Friesian</v>
      </c>
      <c r="Y18" t="str">
        <f>'Input Scenarios'!Y83</f>
        <v>heifersLt1Weaned</v>
      </c>
      <c r="Z18">
        <f>'Input Scenarios'!Z83</f>
        <v>200</v>
      </c>
      <c r="AA18">
        <f>'Input Scenarios'!AA83</f>
        <v>300</v>
      </c>
      <c r="AB18">
        <f>'Input Scenarios'!AB83</f>
        <v>180</v>
      </c>
      <c r="AC18">
        <f>IF('Input Scenarios'!AC83&lt;&gt;"", 'Input Scenarios'!AC83, _xlfn.XLOOKUP(Y18, Constants!$B$13:$H$13, Constants!$B$15:$H$15, ""))</f>
        <v>0.56999999999999995</v>
      </c>
      <c r="AD18">
        <f>IF('Input Scenarios'!AD83&lt;&gt;"", 'Input Scenarios'!AD83, Constants!$B$45)</f>
        <v>0.7</v>
      </c>
      <c r="AE18">
        <f>IF('Input Scenarios'!AE83&lt;&gt;"", 'Input Scenarios'!AE83, Constants!$B$46)</f>
        <v>0.23</v>
      </c>
      <c r="AF18">
        <f t="shared" si="1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11"/>
        <v>1</v>
      </c>
      <c r="AK18">
        <f t="shared" si="21"/>
        <v>0</v>
      </c>
      <c r="AL18">
        <f>Constants!$B$44</f>
        <v>1.03</v>
      </c>
      <c r="AM18">
        <f>Constants!$B$41</f>
        <v>3.0539999999999998</v>
      </c>
      <c r="AN18">
        <f>Constants!$B$42</f>
        <v>18.399999999999999</v>
      </c>
      <c r="AO18">
        <f>Constants!$B$43</f>
        <v>0.6</v>
      </c>
      <c r="AP18">
        <f t="shared" si="13"/>
        <v>0.55510000000000004</v>
      </c>
      <c r="AQ18">
        <f t="shared" si="14"/>
        <v>0</v>
      </c>
      <c r="AR18">
        <f>IF(Y18="milkingCows", Constants!$P$2, Constants!$P$3)</f>
        <v>1</v>
      </c>
      <c r="AS18">
        <f t="shared" si="15"/>
        <v>4.3995482001000008</v>
      </c>
      <c r="AT18">
        <f t="shared" si="16"/>
        <v>1.1959939673377937</v>
      </c>
      <c r="AU18">
        <f>_xlfn.XLOOKUP(Y18, Constants!$B$13:$H$13, Constants!$B$14:$H$14, "")</f>
        <v>590</v>
      </c>
      <c r="AV18">
        <f t="shared" si="17"/>
        <v>0.30508474576271188</v>
      </c>
      <c r="AW18">
        <f>Constants!$B$55</f>
        <v>6.25</v>
      </c>
      <c r="AX18">
        <f t="shared" si="1"/>
        <v>1.3887640589996498E-2</v>
      </c>
      <c r="AY18">
        <f t="shared" si="2"/>
        <v>1.0118960860230002</v>
      </c>
      <c r="AZ18">
        <f t="shared" si="18"/>
        <v>0.1471508308843773</v>
      </c>
      <c r="BA18" t="str">
        <f>IF(ISNUMBER(FIND("PreWeaned",Y18)),_xlfn.XLOOKUP(Y18,Constants!$J$2:$J$3,Constants!$M$2:$M$3),"")</f>
        <v/>
      </c>
      <c r="BB18">
        <f t="shared" si="3"/>
        <v>8829.0498530626373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8829.0498530626373</v>
      </c>
      <c r="BH18">
        <f t="shared" si="9"/>
        <v>1</v>
      </c>
      <c r="BI18">
        <f>Constants!$B$54</f>
        <v>0.02</v>
      </c>
      <c r="BJ18">
        <f>Constants!$B$53</f>
        <v>0.24</v>
      </c>
      <c r="BK18">
        <f t="shared" si="19"/>
        <v>0</v>
      </c>
      <c r="BL18">
        <f t="shared" si="19"/>
        <v>2118.971964735033</v>
      </c>
      <c r="BM18">
        <f>Constants!$B$52</f>
        <v>1.0999999999999999E-2</v>
      </c>
      <c r="BN18">
        <f>Constants!$B$50</f>
        <v>1.57</v>
      </c>
      <c r="BO18">
        <f t="shared" si="20"/>
        <v>36.594645830974017</v>
      </c>
    </row>
    <row r="19" spans="1:68" x14ac:dyDescent="0.2">
      <c r="A19" t="str">
        <f>'Input Scenarios'!A84</f>
        <v>QLD</v>
      </c>
      <c r="B19">
        <f>'Input Scenarios'!B84</f>
        <v>22</v>
      </c>
      <c r="C19" t="str">
        <f>'Input Scenarios'!C84</f>
        <v>Non-irrigated crop (high rainfall)</v>
      </c>
      <c r="D19" t="str">
        <f>'Input Scenarios'!D84</f>
        <v>wet</v>
      </c>
      <c r="E19" t="b">
        <f>'Input Scenarios'!E84</f>
        <v>1</v>
      </c>
      <c r="G19">
        <f>'Input Scenarios'!G84</f>
        <v>0.5</v>
      </c>
      <c r="H19">
        <f>'Input Scenarios'!H84</f>
        <v>0.1</v>
      </c>
      <c r="I19">
        <f>'Input Scenarios'!I84</f>
        <v>0.4</v>
      </c>
      <c r="J19">
        <f>'Input Scenarios'!J84</f>
        <v>0</v>
      </c>
      <c r="K19">
        <f>'Input Scenarios'!K84</f>
        <v>0</v>
      </c>
      <c r="L19">
        <f>'Input Scenarios'!L84</f>
        <v>1</v>
      </c>
      <c r="M19">
        <f>'Input Scenarios'!M84</f>
        <v>0</v>
      </c>
      <c r="N19">
        <f>'Input Scenarios'!N84</f>
        <v>1</v>
      </c>
      <c r="O19">
        <f>'Input Scenarios'!O84</f>
        <v>0</v>
      </c>
      <c r="P19">
        <f>'Input Scenarios'!P84</f>
        <v>0</v>
      </c>
      <c r="Q19">
        <f>'Input Scenarios'!Q84</f>
        <v>0</v>
      </c>
      <c r="R19" t="b">
        <f>'Input Scenarios'!R19</f>
        <v>1</v>
      </c>
      <c r="S19">
        <f>IF('Input Scenarios'!S84&lt;&gt;"", 'Input Scenarios'!S84, IF(R84, Constants!$B$38, 0))</f>
        <v>0.21</v>
      </c>
      <c r="T19" t="str">
        <f>IF('Input Scenarios'!T84&lt;&gt;"", 'Input Scenarios'!T84, "")</f>
        <v/>
      </c>
      <c r="U19">
        <f>IF('Input Scenarios'!U84&lt;&gt;"", 'Input Scenarios'!U84, IF(W19&lt;&gt;"", "", Constants!$B$39))</f>
        <v>4</v>
      </c>
      <c r="V19">
        <f>IF('Input Scenarios'!V84&lt;&gt;"", 'Input Scenarios'!V84, IF(W19&lt;&gt;"", "", Constants!$B$40))</f>
        <v>3.3</v>
      </c>
      <c r="W19" t="str">
        <f>IF('Input Scenarios'!W84&lt;&gt;"", 'Input Scenarios'!W84, "")</f>
        <v/>
      </c>
      <c r="X19" t="str">
        <f>'Input Scenarios'!X84</f>
        <v>Large Friesian</v>
      </c>
      <c r="Y19" t="str">
        <f>'Input Scenarios'!Y84</f>
        <v>bullsGt1</v>
      </c>
      <c r="Z19">
        <f>'Input Scenarios'!Z84</f>
        <v>200</v>
      </c>
      <c r="AA19">
        <f>'Input Scenarios'!AA84</f>
        <v>300</v>
      </c>
      <c r="AB19">
        <f>'Input Scenarios'!AB84</f>
        <v>650</v>
      </c>
      <c r="AC19">
        <f>IF('Input Scenarios'!AC84&lt;&gt;"", 'Input Scenarios'!AC84, _xlfn.XLOOKUP(Y19, Constants!$B$13:$H$13, Constants!$B$15:$H$15, ""))</f>
        <v>0.1</v>
      </c>
      <c r="AD19">
        <f>IF('Input Scenarios'!AD84&lt;&gt;"", 'Input Scenarios'!AD84, Constants!$B$45)</f>
        <v>0.7</v>
      </c>
      <c r="AE19">
        <f>IF('Input Scenarios'!AE84&lt;&gt;"", 'Input Scenarios'!AE84, Constants!$B$46)</f>
        <v>0.23</v>
      </c>
      <c r="AF19">
        <f t="shared" si="1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11"/>
        <v>1</v>
      </c>
      <c r="AK19">
        <f t="shared" si="21"/>
        <v>0</v>
      </c>
      <c r="AL19">
        <f>Constants!$B$44</f>
        <v>1.03</v>
      </c>
      <c r="AM19">
        <f>Constants!$B$41</f>
        <v>3.0539999999999998</v>
      </c>
      <c r="AN19">
        <f>Constants!$B$42</f>
        <v>18.399999999999999</v>
      </c>
      <c r="AO19">
        <f>Constants!$B$43</f>
        <v>0.6</v>
      </c>
      <c r="AP19">
        <f t="shared" si="13"/>
        <v>0.55510000000000004</v>
      </c>
      <c r="AQ19">
        <f t="shared" si="14"/>
        <v>0</v>
      </c>
      <c r="AR19">
        <f>IF(Y19="milkingCows", Constants!$P$2, Constants!$P$3)</f>
        <v>1</v>
      </c>
      <c r="AS19">
        <f t="shared" si="15"/>
        <v>9.4187609999999999</v>
      </c>
      <c r="AT19">
        <f t="shared" si="16"/>
        <v>1.0208482853223593</v>
      </c>
      <c r="AU19">
        <f>_xlfn.XLOOKUP(Y19, Constants!$B$13:$H$13, Constants!$B$14:$H$14, "")</f>
        <v>770</v>
      </c>
      <c r="AV19">
        <f t="shared" si="17"/>
        <v>0.8441558441558441</v>
      </c>
      <c r="AW19">
        <f>Constants!$B$55</f>
        <v>6.25</v>
      </c>
      <c r="AX19">
        <f t="shared" si="1"/>
        <v>1.2014488082429274E-3</v>
      </c>
      <c r="AY19">
        <f t="shared" si="2"/>
        <v>2.1663150300000003</v>
      </c>
      <c r="AZ19">
        <f t="shared" si="18"/>
        <v>0.34314328061237814</v>
      </c>
      <c r="BA19" t="str">
        <f>IF(ISNUMBER(FIND("PreWeaned",Y19)),_xlfn.XLOOKUP(Y19,Constants!$J$2:$J$3,Constants!$M$2:$M$3),"")</f>
        <v/>
      </c>
      <c r="BB19">
        <f t="shared" si="3"/>
        <v>20588.59683674269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20588.59683674269</v>
      </c>
      <c r="BH19">
        <f t="shared" si="9"/>
        <v>1</v>
      </c>
      <c r="BI19">
        <f>Constants!$B$54</f>
        <v>0.02</v>
      </c>
      <c r="BJ19">
        <f>Constants!$B$53</f>
        <v>0.24</v>
      </c>
      <c r="BK19">
        <f t="shared" si="19"/>
        <v>0</v>
      </c>
      <c r="BL19">
        <f t="shared" si="19"/>
        <v>4941.2632408182453</v>
      </c>
      <c r="BM19">
        <f>Constants!$B$52</f>
        <v>1.0999999999999999E-2</v>
      </c>
      <c r="BN19">
        <f>Constants!$B$50</f>
        <v>1.57</v>
      </c>
      <c r="BO19">
        <f t="shared" si="20"/>
        <v>85.335616168931097</v>
      </c>
    </row>
    <row r="20" spans="1:68" x14ac:dyDescent="0.2">
      <c r="A20" t="str">
        <f>'Input Scenarios'!A85</f>
        <v>QLD</v>
      </c>
      <c r="B20">
        <f>'Input Scenarios'!B85</f>
        <v>22</v>
      </c>
      <c r="C20" t="str">
        <f>'Input Scenarios'!C85</f>
        <v>Non-irrigated crop (high rainfall)</v>
      </c>
      <c r="D20" t="str">
        <f>'Input Scenarios'!D85</f>
        <v>wet</v>
      </c>
      <c r="E20" t="b">
        <f>'Input Scenarios'!E85</f>
        <v>1</v>
      </c>
      <c r="G20">
        <f>'Input Scenarios'!G85</f>
        <v>0.5</v>
      </c>
      <c r="H20">
        <f>'Input Scenarios'!H85</f>
        <v>0.1</v>
      </c>
      <c r="I20">
        <f>'Input Scenarios'!I85</f>
        <v>0.4</v>
      </c>
      <c r="J20">
        <f>'Input Scenarios'!J85</f>
        <v>0</v>
      </c>
      <c r="K20">
        <f>'Input Scenarios'!K85</f>
        <v>0</v>
      </c>
      <c r="L20">
        <f>'Input Scenarios'!L85</f>
        <v>1</v>
      </c>
      <c r="M20">
        <f>'Input Scenarios'!M85</f>
        <v>0</v>
      </c>
      <c r="N20">
        <f>'Input Scenarios'!N85</f>
        <v>1</v>
      </c>
      <c r="O20">
        <f>'Input Scenarios'!O85</f>
        <v>0</v>
      </c>
      <c r="P20">
        <f>'Input Scenarios'!P85</f>
        <v>0</v>
      </c>
      <c r="Q20">
        <f>'Input Scenarios'!Q85</f>
        <v>0</v>
      </c>
      <c r="R20" t="b">
        <f>'Input Scenarios'!R20</f>
        <v>1</v>
      </c>
      <c r="S20">
        <f>IF('Input Scenarios'!S85&lt;&gt;"", 'Input Scenarios'!S85, IF(R85, Constants!$B$38, 0))</f>
        <v>0.21</v>
      </c>
      <c r="T20" t="str">
        <f>IF('Input Scenarios'!T85&lt;&gt;"", 'Input Scenarios'!T85, "")</f>
        <v/>
      </c>
      <c r="U20">
        <f>IF('Input Scenarios'!U85&lt;&gt;"", 'Input Scenarios'!U85, IF(W20&lt;&gt;"", "", Constants!$B$39))</f>
        <v>4</v>
      </c>
      <c r="V20">
        <f>IF('Input Scenarios'!V85&lt;&gt;"", 'Input Scenarios'!V85, IF(W20&lt;&gt;"", "", Constants!$B$40))</f>
        <v>3.3</v>
      </c>
      <c r="W20" t="str">
        <f>IF('Input Scenarios'!W85&lt;&gt;"", 'Input Scenarios'!W85, "")</f>
        <v/>
      </c>
      <c r="X20" t="str">
        <f>'Input Scenarios'!X85</f>
        <v>Large Friesian</v>
      </c>
      <c r="Y20" t="str">
        <f>'Input Scenarios'!Y85</f>
        <v>bullsLt1PreWeaned</v>
      </c>
      <c r="Z20">
        <f>'Input Scenarios'!Z85</f>
        <v>200</v>
      </c>
      <c r="AA20">
        <f>'Input Scenarios'!AA85</f>
        <v>300</v>
      </c>
      <c r="AB20">
        <f>'Input Scenarios'!AB85</f>
        <v>222</v>
      </c>
      <c r="AC20" t="str">
        <f>IF('Input Scenarios'!AC85&lt;&gt;"", 'Input Scenarios'!AC85, _xlfn.XLOOKUP(Y20, Constants!$B$13:$H$13, Constants!$B$15:$H$15, ""))</f>
        <v/>
      </c>
      <c r="AD20">
        <f>IF('Input Scenarios'!AD85&lt;&gt;"", 'Input Scenarios'!AD85, Constants!$B$45)</f>
        <v>0.65</v>
      </c>
      <c r="AE20">
        <f>IF('Input Scenarios'!AE85&lt;&gt;"", 'Input Scenarios'!AE85, Constants!$B$46)</f>
        <v>0.23</v>
      </c>
      <c r="AF20">
        <f t="shared" si="1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11"/>
        <v>1</v>
      </c>
      <c r="AK20">
        <f t="shared" si="21"/>
        <v>0</v>
      </c>
      <c r="AL20">
        <f>Constants!$B$44</f>
        <v>1.03</v>
      </c>
      <c r="AM20">
        <f>Constants!$B$41</f>
        <v>3.0539999999999998</v>
      </c>
      <c r="AN20">
        <f>Constants!$B$42</f>
        <v>18.399999999999999</v>
      </c>
      <c r="AO20">
        <f>Constants!$B$43</f>
        <v>0.6</v>
      </c>
      <c r="AP20">
        <f t="shared" si="13"/>
        <v>0.51535000000000009</v>
      </c>
      <c r="AQ20">
        <f t="shared" si="14"/>
        <v>0</v>
      </c>
      <c r="AR20">
        <f>IF(Y20="milkingCows", Constants!$P$2, Constants!$P$3)</f>
        <v>1</v>
      </c>
      <c r="AS20" t="str">
        <f t="shared" si="15"/>
        <v/>
      </c>
      <c r="AT20" t="str">
        <f t="shared" si="16"/>
        <v/>
      </c>
      <c r="AU20" t="str">
        <f>_xlfn.XLOOKUP(Y20, Constants!$B$13:$H$13, Constants!$B$14:$H$14, "")</f>
        <v/>
      </c>
      <c r="AV20" t="str">
        <f t="shared" si="17"/>
        <v/>
      </c>
      <c r="AW20">
        <f>Constants!$B$55</f>
        <v>6.25</v>
      </c>
      <c r="AX20" t="str">
        <f t="shared" si="1"/>
        <v/>
      </c>
      <c r="AY20" t="str">
        <f t="shared" si="2"/>
        <v/>
      </c>
      <c r="AZ20" t="str">
        <f t="shared" si="18"/>
        <v/>
      </c>
      <c r="BA20">
        <f>IF(ISNUMBER(FIND("PreWeaned",Y20)),_xlfn.XLOOKUP(Y20,Constants!$J$2:$J$3,Constants!$M$2:$M$3),"")</f>
        <v>9.1999999999999998E-3</v>
      </c>
      <c r="BB20">
        <f t="shared" si="3"/>
        <v>552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552</v>
      </c>
      <c r="BH20">
        <f t="shared" si="9"/>
        <v>1</v>
      </c>
      <c r="BI20">
        <f>Constants!$B$54</f>
        <v>0.02</v>
      </c>
      <c r="BJ20">
        <f>Constants!$B$53</f>
        <v>0.24</v>
      </c>
      <c r="BK20">
        <f t="shared" si="19"/>
        <v>0</v>
      </c>
      <c r="BL20">
        <f t="shared" si="19"/>
        <v>132.47999999999999</v>
      </c>
      <c r="BM20">
        <f>Constants!$B$52</f>
        <v>1.0999999999999999E-2</v>
      </c>
      <c r="BN20">
        <f>Constants!$B$50</f>
        <v>1.57</v>
      </c>
      <c r="BO20">
        <f t="shared" si="20"/>
        <v>2.2879296</v>
      </c>
    </row>
    <row r="21" spans="1:68" s="16" customFormat="1" x14ac:dyDescent="0.2">
      <c r="A21" s="16" t="str">
        <f>'Input Scenarios'!A86</f>
        <v>QLD</v>
      </c>
      <c r="B21" s="16">
        <f>'Input Scenarios'!B86</f>
        <v>22</v>
      </c>
      <c r="C21" s="16" t="str">
        <f>'Input Scenarios'!C86</f>
        <v>Non-irrigated crop (high rainfall)</v>
      </c>
      <c r="D21" s="16" t="str">
        <f>'Input Scenarios'!D86</f>
        <v>wet</v>
      </c>
      <c r="E21" s="16" t="b">
        <f>'Input Scenarios'!E86</f>
        <v>1</v>
      </c>
      <c r="G21" s="16">
        <f>'Input Scenarios'!G86</f>
        <v>0.5</v>
      </c>
      <c r="H21" s="16">
        <f>'Input Scenarios'!H86</f>
        <v>0.1</v>
      </c>
      <c r="I21" s="16">
        <f>'Input Scenarios'!I86</f>
        <v>0.4</v>
      </c>
      <c r="J21" s="16">
        <f>'Input Scenarios'!J86</f>
        <v>0</v>
      </c>
      <c r="K21" s="16">
        <f>'Input Scenarios'!K86</f>
        <v>0</v>
      </c>
      <c r="L21" s="16">
        <f>'Input Scenarios'!L86</f>
        <v>1</v>
      </c>
      <c r="M21" s="16">
        <f>'Input Scenarios'!M86</f>
        <v>0</v>
      </c>
      <c r="N21" s="16">
        <f>'Input Scenarios'!N86</f>
        <v>1</v>
      </c>
      <c r="O21" s="16">
        <f>'Input Scenarios'!O86</f>
        <v>0</v>
      </c>
      <c r="P21" s="16">
        <f>'Input Scenarios'!P86</f>
        <v>0</v>
      </c>
      <c r="Q21" s="16">
        <f>'Input Scenarios'!Q86</f>
        <v>0</v>
      </c>
      <c r="R21" s="16" t="b">
        <f>'Input Scenarios'!R21</f>
        <v>1</v>
      </c>
      <c r="S21" s="16">
        <f>IF('Input Scenarios'!S86&lt;&gt;"", 'Input Scenarios'!S86, IF(R86, Constants!$B$38, 0))</f>
        <v>0.21</v>
      </c>
      <c r="T21" s="16" t="str">
        <f>IF('Input Scenarios'!T86&lt;&gt;"", 'Input Scenarios'!T86, "")</f>
        <v/>
      </c>
      <c r="U21" s="16">
        <f>IF('Input Scenarios'!U86&lt;&gt;"", 'Input Scenarios'!U86, IF(W21&lt;&gt;"", "", Constants!$B$39))</f>
        <v>4</v>
      </c>
      <c r="V21" s="16">
        <f>IF('Input Scenarios'!V86&lt;&gt;"", 'Input Scenarios'!V86, IF(W21&lt;&gt;"", "", Constants!$B$40))</f>
        <v>3.3</v>
      </c>
      <c r="W21" s="16" t="str">
        <f>IF('Input Scenarios'!W86&lt;&gt;"", 'Input Scenarios'!W86, "")</f>
        <v/>
      </c>
      <c r="X21" s="16" t="str">
        <f>'Input Scenarios'!X86</f>
        <v>Large Friesian</v>
      </c>
      <c r="Y21" s="16" t="str">
        <f>'Input Scenarios'!Y86</f>
        <v>bullsLt1Weaned</v>
      </c>
      <c r="Z21" s="16">
        <f>'Input Scenarios'!Z86</f>
        <v>200</v>
      </c>
      <c r="AA21" s="16">
        <f>'Input Scenarios'!AA86</f>
        <v>300</v>
      </c>
      <c r="AB21" s="16">
        <f>'Input Scenarios'!AB86</f>
        <v>201</v>
      </c>
      <c r="AC21" s="16">
        <f>IF('Input Scenarios'!AC86&lt;&gt;"", 'Input Scenarios'!AC86, _xlfn.XLOOKUP(Y21, Constants!$B$13:$H$13, Constants!$B$15:$H$15, ""))</f>
        <v>0.8</v>
      </c>
      <c r="AD21" s="16">
        <f>IF('Input Scenarios'!AD86&lt;&gt;"", 'Input Scenarios'!AD86, Constants!$B$45)</f>
        <v>0.7</v>
      </c>
      <c r="AE21" s="16">
        <f>IF('Input Scenarios'!AE86&lt;&gt;"", 'Input Scenarios'!AE86, Constants!$B$46)</f>
        <v>0.23</v>
      </c>
      <c r="AF21" s="16">
        <f t="shared" si="10"/>
        <v>0</v>
      </c>
      <c r="AG21" s="16">
        <f t="shared" si="0"/>
        <v>0</v>
      </c>
      <c r="AH21" s="16">
        <f t="shared" si="0"/>
        <v>0</v>
      </c>
      <c r="AI21" s="16">
        <f t="shared" si="0"/>
        <v>0</v>
      </c>
      <c r="AJ21" s="16">
        <f t="shared" si="11"/>
        <v>1</v>
      </c>
      <c r="AK21" s="16">
        <f t="shared" si="21"/>
        <v>0</v>
      </c>
      <c r="AL21" s="16">
        <f>Constants!$B$44</f>
        <v>1.03</v>
      </c>
      <c r="AM21" s="16">
        <f>Constants!$B$41</f>
        <v>3.0539999999999998</v>
      </c>
      <c r="AN21" s="16">
        <f>Constants!$B$42</f>
        <v>18.399999999999999</v>
      </c>
      <c r="AO21" s="16">
        <f>Constants!$B$43</f>
        <v>0.6</v>
      </c>
      <c r="AP21" s="16">
        <f t="shared" si="13"/>
        <v>0.55510000000000004</v>
      </c>
      <c r="AQ21" s="16">
        <f t="shared" si="14"/>
        <v>0</v>
      </c>
      <c r="AR21" s="16">
        <f>IF(Y21="milkingCows", Constants!$P$2, Constants!$P$3)</f>
        <v>1</v>
      </c>
      <c r="AS21" s="16">
        <f t="shared" si="15"/>
        <v>5.0377685786067605</v>
      </c>
      <c r="AT21" s="16">
        <f t="shared" si="16"/>
        <v>1.2689446720393267</v>
      </c>
      <c r="AU21" s="16">
        <f>_xlfn.XLOOKUP(Y21, Constants!$B$13:$H$13, Constants!$B$14:$H$14, "")</f>
        <v>770</v>
      </c>
      <c r="AV21" s="16">
        <f t="shared" si="17"/>
        <v>0.26103896103896101</v>
      </c>
      <c r="AW21" s="16">
        <f>Constants!$B$55</f>
        <v>6.25</v>
      </c>
      <c r="AX21" s="16">
        <f t="shared" si="1"/>
        <v>2.0452361614775885E-2</v>
      </c>
      <c r="AY21" s="16">
        <f t="shared" si="2"/>
        <v>1.1586867730795549</v>
      </c>
      <c r="AZ21" s="16">
        <f t="shared" si="18"/>
        <v>0.16399799411403809</v>
      </c>
      <c r="BA21" s="16" t="str">
        <f>IF(ISNUMBER(FIND("PreWeaned",Y21)),_xlfn.XLOOKUP(Y21,Constants!$J$2:$J$3,Constants!$M$2:$M$3),"")</f>
        <v/>
      </c>
      <c r="BB21" s="16">
        <f t="shared" si="3"/>
        <v>9839.8796468422843</v>
      </c>
      <c r="BC21" s="16">
        <f t="shared" si="4"/>
        <v>0</v>
      </c>
      <c r="BD21" s="16">
        <f t="shared" si="5"/>
        <v>0</v>
      </c>
      <c r="BE21" s="16">
        <f t="shared" si="6"/>
        <v>0</v>
      </c>
      <c r="BF21" s="16">
        <f t="shared" si="7"/>
        <v>0</v>
      </c>
      <c r="BG21" s="16">
        <f t="shared" si="8"/>
        <v>9839.8796468422843</v>
      </c>
      <c r="BH21" s="16">
        <f t="shared" si="9"/>
        <v>1</v>
      </c>
      <c r="BI21" s="16">
        <f>Constants!$B$54</f>
        <v>0.02</v>
      </c>
      <c r="BJ21" s="16">
        <f>Constants!$B$53</f>
        <v>0.24</v>
      </c>
      <c r="BK21" s="16">
        <f t="shared" si="19"/>
        <v>0</v>
      </c>
      <c r="BL21" s="16">
        <f t="shared" si="19"/>
        <v>2361.5711152421482</v>
      </c>
      <c r="BM21" s="16">
        <f>Constants!$B$52</f>
        <v>1.0999999999999999E-2</v>
      </c>
      <c r="BN21" s="16">
        <f>Constants!$B$50</f>
        <v>1.57</v>
      </c>
      <c r="BO21" s="16">
        <f t="shared" si="20"/>
        <v>40.784333160231895</v>
      </c>
    </row>
    <row r="22" spans="1:68" x14ac:dyDescent="0.2">
      <c r="A22" t="str">
        <f>'Input Scenarios'!A87</f>
        <v>NT</v>
      </c>
      <c r="B22">
        <f>'Input Scenarios'!B87</f>
        <v>27</v>
      </c>
      <c r="C22" t="str">
        <f>'Input Scenarios'!C87</f>
        <v>Irrigated pasture</v>
      </c>
      <c r="D22" t="str">
        <f>'Input Scenarios'!D87</f>
        <v>dry</v>
      </c>
      <c r="E22" t="b">
        <f>'Input Scenarios'!E87</f>
        <v>0</v>
      </c>
      <c r="G22">
        <f>'Input Scenarios'!G87</f>
        <v>0.73</v>
      </c>
      <c r="H22">
        <f>'Input Scenarios'!H87</f>
        <v>0.08</v>
      </c>
      <c r="I22">
        <f>'Input Scenarios'!I87</f>
        <v>0.19</v>
      </c>
      <c r="J22">
        <f>'Input Scenarios'!J87</f>
        <v>0</v>
      </c>
      <c r="K22">
        <f>'Input Scenarios'!K87</f>
        <v>0.5</v>
      </c>
      <c r="L22">
        <f>'Input Scenarios'!L87</f>
        <v>0.5</v>
      </c>
      <c r="M22">
        <f>'Input Scenarios'!M87</f>
        <v>0</v>
      </c>
      <c r="N22">
        <f>'Input Scenarios'!N87</f>
        <v>0.5</v>
      </c>
      <c r="O22">
        <f>'Input Scenarios'!O87</f>
        <v>0</v>
      </c>
      <c r="P22">
        <f>'Input Scenarios'!P87</f>
        <v>0</v>
      </c>
      <c r="Q22">
        <f>'Input Scenarios'!Q87</f>
        <v>0.5</v>
      </c>
      <c r="R22" t="b">
        <f>'Input Scenarios'!R22</f>
        <v>0</v>
      </c>
      <c r="S22">
        <f>IF('Input Scenarios'!S87&lt;&gt;"", 'Input Scenarios'!S87, IF(R87, Constants!$B$38, 0))</f>
        <v>0</v>
      </c>
      <c r="T22" s="20">
        <f>IF('Input Scenarios'!T87&lt;&gt;"", 'Input Scenarios'!T87, "")</f>
        <v>2.8</v>
      </c>
      <c r="U22" s="20">
        <f>IF('Input Scenarios'!U87&lt;&gt;"", 'Input Scenarios'!U87, IF(W22&lt;&gt;"", "", Constants!$B$39))</f>
        <v>4</v>
      </c>
      <c r="V22" s="20">
        <f>IF('Input Scenarios'!V87&lt;&gt;"", 'Input Scenarios'!V87, IF(W22&lt;&gt;"", "", Constants!$B$40))</f>
        <v>4</v>
      </c>
      <c r="W22" s="20" t="str">
        <f>IF('Input Scenarios'!W87&lt;&gt;"", 'Input Scenarios'!W87, "")</f>
        <v/>
      </c>
      <c r="X22" s="20" t="str">
        <f>'Input Scenarios'!X87</f>
        <v>Brown Swiss</v>
      </c>
      <c r="Y22" s="20" t="str">
        <f>'Input Scenarios'!Y87</f>
        <v>milkingCows</v>
      </c>
      <c r="Z22" s="20">
        <f>'Input Scenarios'!Z87</f>
        <v>200</v>
      </c>
      <c r="AA22" s="20">
        <f>'Input Scenarios'!AA87</f>
        <v>365</v>
      </c>
      <c r="AB22" s="20">
        <f>'Input Scenarios'!AB87</f>
        <v>623</v>
      </c>
      <c r="AC22">
        <f>IF('Input Scenarios'!AC87&lt;&gt;"", 'Input Scenarios'!AC87, _xlfn.XLOOKUP(Y22, Constants!$B$13:$H$13, Constants!$B$15:$H$15, ""))</f>
        <v>1.6E-2</v>
      </c>
      <c r="AD22">
        <f>IF('Input Scenarios'!AD87&lt;&gt;"", 'Input Scenarios'!AD87, Constants!$B$45)</f>
        <v>0.75</v>
      </c>
      <c r="AE22">
        <f>IF('Input Scenarios'!AE87&lt;&gt;"", 'Input Scenarios'!AE87, Constants!$B$46)</f>
        <v>0.2</v>
      </c>
      <c r="AF22" s="20">
        <f t="shared" si="10"/>
        <v>9.5000000000000001E-2</v>
      </c>
      <c r="AG22" s="20">
        <f t="shared" si="0"/>
        <v>0.04</v>
      </c>
      <c r="AH22" s="20">
        <f t="shared" si="0"/>
        <v>0.04</v>
      </c>
      <c r="AI22" s="20">
        <f t="shared" si="0"/>
        <v>9.5000000000000001E-2</v>
      </c>
      <c r="AJ22" s="20">
        <f t="shared" si="11"/>
        <v>0.73</v>
      </c>
      <c r="AK22">
        <f t="shared" si="21"/>
        <v>35</v>
      </c>
      <c r="AL22">
        <f>Constants!$B$44</f>
        <v>1.03</v>
      </c>
      <c r="AM22">
        <f>Constants!$B$41</f>
        <v>3.0539999999999998</v>
      </c>
      <c r="AN22">
        <f>Constants!$B$42</f>
        <v>18.399999999999999</v>
      </c>
      <c r="AO22">
        <f>Constants!$B$43</f>
        <v>0.6</v>
      </c>
      <c r="AP22">
        <f t="shared" si="13"/>
        <v>0.5948500000000001</v>
      </c>
      <c r="AQ22">
        <f t="shared" si="14"/>
        <v>16.764776286312589</v>
      </c>
      <c r="AR22">
        <f>IF(Y22="milkingCows", Constants!$P$2, Constants!$P$3)</f>
        <v>1.1000000000000001</v>
      </c>
      <c r="AS22">
        <f t="shared" si="15"/>
        <v>26.726414289294269</v>
      </c>
      <c r="AT22">
        <f t="shared" si="16"/>
        <v>1.0012489924673265</v>
      </c>
      <c r="AU22">
        <f>_xlfn.XLOOKUP(Y22, Constants!$B$13:$H$13, Constants!$B$14:$H$14, "")</f>
        <v>590</v>
      </c>
      <c r="AV22">
        <f t="shared" si="17"/>
        <v>1.0559322033898304</v>
      </c>
      <c r="AW22">
        <f>Constants!$B$55</f>
        <v>6.25</v>
      </c>
      <c r="AX22" s="20">
        <f t="shared" si="1"/>
        <v>0.18099129950795759</v>
      </c>
      <c r="AY22">
        <f t="shared" si="2"/>
        <v>5.3452828578588543</v>
      </c>
      <c r="AZ22">
        <f t="shared" si="18"/>
        <v>0.67205923986428029</v>
      </c>
      <c r="BA22" t="str">
        <f>IF(ISNUMBER(FIND("PreWeaned",Y22)),_xlfn.XLOOKUP(Y22,Constants!$J$2:$J$3,Constants!$M$2:$M$3),"")</f>
        <v/>
      </c>
      <c r="BB22">
        <f t="shared" si="3"/>
        <v>49060.324510092461</v>
      </c>
      <c r="BC22">
        <f t="shared" si="4"/>
        <v>4660.7308284587834</v>
      </c>
      <c r="BD22">
        <f t="shared" si="5"/>
        <v>1962.4129804036984</v>
      </c>
      <c r="BE22">
        <f t="shared" si="6"/>
        <v>1962.4129804036984</v>
      </c>
      <c r="BF22">
        <f t="shared" si="7"/>
        <v>4660.7308284587834</v>
      </c>
      <c r="BG22">
        <f t="shared" si="8"/>
        <v>35814.036892367498</v>
      </c>
      <c r="BH22">
        <f t="shared" si="9"/>
        <v>0</v>
      </c>
      <c r="BI22">
        <f>Constants!$B$54</f>
        <v>0.02</v>
      </c>
      <c r="BJ22">
        <f>Constants!$B$53</f>
        <v>0.24</v>
      </c>
      <c r="BK22">
        <f t="shared" si="19"/>
        <v>0</v>
      </c>
      <c r="BL22">
        <f t="shared" si="19"/>
        <v>0</v>
      </c>
      <c r="BM22">
        <f>Constants!$B$52</f>
        <v>1.0999999999999999E-2</v>
      </c>
      <c r="BN22">
        <f>Constants!$B$50</f>
        <v>1.57</v>
      </c>
      <c r="BO22">
        <f t="shared" si="20"/>
        <v>0</v>
      </c>
      <c r="BP22">
        <f>SUM(BO22:BO28)/1000</f>
        <v>0</v>
      </c>
    </row>
    <row r="23" spans="1:68" x14ac:dyDescent="0.2">
      <c r="A23" t="str">
        <f>'Input Scenarios'!A88</f>
        <v>NT</v>
      </c>
      <c r="B23">
        <f>'Input Scenarios'!B88</f>
        <v>27</v>
      </c>
      <c r="C23" t="str">
        <f>'Input Scenarios'!C88</f>
        <v>Irrigated pasture</v>
      </c>
      <c r="D23" t="str">
        <f>'Input Scenarios'!D88</f>
        <v>dry</v>
      </c>
      <c r="E23" t="b">
        <f>'Input Scenarios'!E88</f>
        <v>0</v>
      </c>
      <c r="G23">
        <f>'Input Scenarios'!G88</f>
        <v>0.73</v>
      </c>
      <c r="H23">
        <f>'Input Scenarios'!H88</f>
        <v>0.08</v>
      </c>
      <c r="I23">
        <f>'Input Scenarios'!I88</f>
        <v>0.19</v>
      </c>
      <c r="J23">
        <f>'Input Scenarios'!J88</f>
        <v>0</v>
      </c>
      <c r="K23">
        <f>'Input Scenarios'!K88</f>
        <v>0.5</v>
      </c>
      <c r="L23">
        <f>'Input Scenarios'!L88</f>
        <v>0.5</v>
      </c>
      <c r="M23">
        <f>'Input Scenarios'!M88</f>
        <v>0</v>
      </c>
      <c r="N23">
        <f>'Input Scenarios'!N88</f>
        <v>0.5</v>
      </c>
      <c r="O23">
        <f>'Input Scenarios'!O88</f>
        <v>0</v>
      </c>
      <c r="P23">
        <f>'Input Scenarios'!P88</f>
        <v>0</v>
      </c>
      <c r="Q23">
        <f>'Input Scenarios'!Q88</f>
        <v>0.5</v>
      </c>
      <c r="R23" t="b">
        <f>'Input Scenarios'!R23</f>
        <v>0</v>
      </c>
      <c r="S23">
        <f>IF('Input Scenarios'!S88&lt;&gt;"", 'Input Scenarios'!S88, IF(R88, Constants!$B$38, 0))</f>
        <v>0</v>
      </c>
      <c r="T23" t="str">
        <f>IF('Input Scenarios'!T88&lt;&gt;"", 'Input Scenarios'!T88, "")</f>
        <v/>
      </c>
      <c r="U23">
        <f>IF('Input Scenarios'!U88&lt;&gt;"", 'Input Scenarios'!U88, IF(W23&lt;&gt;"", "", Constants!$B$39))</f>
        <v>4</v>
      </c>
      <c r="V23">
        <f>IF('Input Scenarios'!V88&lt;&gt;"", 'Input Scenarios'!V88, IF(W23&lt;&gt;"", "", Constants!$B$40))</f>
        <v>3.3</v>
      </c>
      <c r="W23" t="str">
        <f>IF('Input Scenarios'!W88&lt;&gt;"", 'Input Scenarios'!W88, "")</f>
        <v/>
      </c>
      <c r="X23" t="str">
        <f>'Input Scenarios'!X88</f>
        <v>Brown Swiss</v>
      </c>
      <c r="Y23" t="str">
        <f>'Input Scenarios'!Y88</f>
        <v>heifersGt1</v>
      </c>
      <c r="Z23">
        <f>'Input Scenarios'!Z88</f>
        <v>200</v>
      </c>
      <c r="AA23">
        <f>'Input Scenarios'!AA88</f>
        <v>265</v>
      </c>
      <c r="AB23">
        <f>'Input Scenarios'!AB88</f>
        <v>450</v>
      </c>
      <c r="AC23">
        <f>IF('Input Scenarios'!AC88&lt;&gt;"", 'Input Scenarios'!AC88, _xlfn.XLOOKUP(Y23, Constants!$B$13:$H$13, Constants!$B$15:$H$15, ""))</f>
        <v>0.6</v>
      </c>
      <c r="AD23">
        <f>IF('Input Scenarios'!AD88&lt;&gt;"", 'Input Scenarios'!AD88, Constants!$B$45)</f>
        <v>0.75</v>
      </c>
      <c r="AE23">
        <f>IF('Input Scenarios'!AE88&lt;&gt;"", 'Input Scenarios'!AE88, Constants!$B$46)</f>
        <v>0.2</v>
      </c>
      <c r="AF23">
        <f t="shared" si="10"/>
        <v>0</v>
      </c>
      <c r="AG23">
        <f t="shared" si="0"/>
        <v>0</v>
      </c>
      <c r="AH23">
        <f t="shared" si="0"/>
        <v>0</v>
      </c>
      <c r="AI23">
        <f t="shared" si="0"/>
        <v>0</v>
      </c>
      <c r="AJ23">
        <f t="shared" si="11"/>
        <v>1</v>
      </c>
      <c r="AK23">
        <f t="shared" si="21"/>
        <v>0</v>
      </c>
      <c r="AL23">
        <f>Constants!$B$44</f>
        <v>1.03</v>
      </c>
      <c r="AM23">
        <f>Constants!$B$41</f>
        <v>3.0539999999999998</v>
      </c>
      <c r="AN23">
        <f>Constants!$B$42</f>
        <v>18.399999999999999</v>
      </c>
      <c r="AO23">
        <f>Constants!$B$43</f>
        <v>0.6</v>
      </c>
      <c r="AP23">
        <f t="shared" si="13"/>
        <v>0.5948500000000001</v>
      </c>
      <c r="AQ23">
        <f t="shared" si="14"/>
        <v>0</v>
      </c>
      <c r="AR23">
        <f>IF(Y23="milkingCows", Constants!$P$2, Constants!$P$3)</f>
        <v>1</v>
      </c>
      <c r="AS23">
        <f t="shared" si="15"/>
        <v>8.3549902499999984</v>
      </c>
      <c r="AT23">
        <f t="shared" si="16"/>
        <v>1.1448168254973408</v>
      </c>
      <c r="AU23">
        <f>_xlfn.XLOOKUP(Y23, Constants!$B$13:$H$13, Constants!$B$14:$H$14, "")</f>
        <v>590</v>
      </c>
      <c r="AV23">
        <f t="shared" si="17"/>
        <v>0.76271186440677963</v>
      </c>
      <c r="AW23">
        <f>Constants!$B$55</f>
        <v>6.25</v>
      </c>
      <c r="AX23">
        <f t="shared" si="1"/>
        <v>7.680606707944594E-3</v>
      </c>
      <c r="AY23">
        <f t="shared" si="2"/>
        <v>1.6709980499999997</v>
      </c>
      <c r="AZ23">
        <f t="shared" si="18"/>
        <v>0.25795950260723322</v>
      </c>
      <c r="BA23" t="str">
        <f>IF(ISNUMBER(FIND("PreWeaned",Y23)),_xlfn.XLOOKUP(Y23,Constants!$J$2:$J$3,Constants!$M$2:$M$3),"")</f>
        <v/>
      </c>
      <c r="BB23">
        <f t="shared" si="3"/>
        <v>13671.853638183362</v>
      </c>
      <c r="BC23">
        <f t="shared" si="4"/>
        <v>0</v>
      </c>
      <c r="BD23">
        <f t="shared" si="5"/>
        <v>0</v>
      </c>
      <c r="BE23">
        <f t="shared" si="6"/>
        <v>0</v>
      </c>
      <c r="BF23">
        <f t="shared" si="7"/>
        <v>0</v>
      </c>
      <c r="BG23">
        <f t="shared" si="8"/>
        <v>13671.853638183362</v>
      </c>
      <c r="BH23">
        <f t="shared" si="9"/>
        <v>0</v>
      </c>
      <c r="BI23">
        <f>Constants!$B$54</f>
        <v>0.02</v>
      </c>
      <c r="BJ23">
        <f>Constants!$B$53</f>
        <v>0.24</v>
      </c>
      <c r="BK23">
        <f t="shared" si="19"/>
        <v>0</v>
      </c>
      <c r="BL23">
        <f t="shared" si="19"/>
        <v>0</v>
      </c>
      <c r="BM23">
        <f>Constants!$B$52</f>
        <v>1.0999999999999999E-2</v>
      </c>
      <c r="BN23">
        <f>Constants!$B$50</f>
        <v>1.57</v>
      </c>
      <c r="BO23">
        <f t="shared" si="20"/>
        <v>0</v>
      </c>
    </row>
    <row r="24" spans="1:68" x14ac:dyDescent="0.2">
      <c r="A24" t="str">
        <f>'Input Scenarios'!A89</f>
        <v>NT</v>
      </c>
      <c r="B24">
        <f>'Input Scenarios'!B89</f>
        <v>27</v>
      </c>
      <c r="C24" t="str">
        <f>'Input Scenarios'!C89</f>
        <v>Irrigated pasture</v>
      </c>
      <c r="D24" t="str">
        <f>'Input Scenarios'!D89</f>
        <v>dry</v>
      </c>
      <c r="E24" t="b">
        <f>'Input Scenarios'!E89</f>
        <v>0</v>
      </c>
      <c r="G24">
        <f>'Input Scenarios'!G89</f>
        <v>0.73</v>
      </c>
      <c r="H24">
        <f>'Input Scenarios'!H89</f>
        <v>0.08</v>
      </c>
      <c r="I24">
        <f>'Input Scenarios'!I89</f>
        <v>0.19</v>
      </c>
      <c r="J24">
        <f>'Input Scenarios'!J89</f>
        <v>0</v>
      </c>
      <c r="K24">
        <f>'Input Scenarios'!K89</f>
        <v>0.5</v>
      </c>
      <c r="L24">
        <f>'Input Scenarios'!L89</f>
        <v>0.5</v>
      </c>
      <c r="M24">
        <f>'Input Scenarios'!M89</f>
        <v>0</v>
      </c>
      <c r="N24">
        <f>'Input Scenarios'!N89</f>
        <v>0.5</v>
      </c>
      <c r="O24">
        <f>'Input Scenarios'!O89</f>
        <v>0</v>
      </c>
      <c r="P24">
        <f>'Input Scenarios'!P89</f>
        <v>0</v>
      </c>
      <c r="Q24">
        <f>'Input Scenarios'!Q89</f>
        <v>0.5</v>
      </c>
      <c r="R24" t="b">
        <f>'Input Scenarios'!R24</f>
        <v>0</v>
      </c>
      <c r="S24">
        <f>IF('Input Scenarios'!S89&lt;&gt;"", 'Input Scenarios'!S89, IF(R89, Constants!$B$38, 0))</f>
        <v>0</v>
      </c>
      <c r="T24" t="str">
        <f>IF('Input Scenarios'!T89&lt;&gt;"", 'Input Scenarios'!T89, "")</f>
        <v/>
      </c>
      <c r="U24">
        <f>IF('Input Scenarios'!U89&lt;&gt;"", 'Input Scenarios'!U89, IF(W24&lt;&gt;"", "", Constants!$B$39))</f>
        <v>4</v>
      </c>
      <c r="V24">
        <f>IF('Input Scenarios'!V89&lt;&gt;"", 'Input Scenarios'!V89, IF(W24&lt;&gt;"", "", Constants!$B$40))</f>
        <v>3.3</v>
      </c>
      <c r="W24" t="str">
        <f>IF('Input Scenarios'!W89&lt;&gt;"", 'Input Scenarios'!W89, "")</f>
        <v/>
      </c>
      <c r="X24" t="str">
        <f>'Input Scenarios'!X89</f>
        <v>Brown Swiss</v>
      </c>
      <c r="Y24" t="str">
        <f>'Input Scenarios'!Y89</f>
        <v>heifersLt1PreWeaned</v>
      </c>
      <c r="Z24">
        <f>'Input Scenarios'!Z89</f>
        <v>200</v>
      </c>
      <c r="AA24">
        <f>'Input Scenarios'!AA89</f>
        <v>100</v>
      </c>
      <c r="AB24">
        <f>'Input Scenarios'!AB89</f>
        <v>88</v>
      </c>
      <c r="AC24" t="str">
        <f>IF('Input Scenarios'!AC89&lt;&gt;"", 'Input Scenarios'!AC89, _xlfn.XLOOKUP(Y24, Constants!$B$13:$H$13, Constants!$B$15:$H$15, ""))</f>
        <v/>
      </c>
      <c r="AD24">
        <f>IF('Input Scenarios'!AD89&lt;&gt;"", 'Input Scenarios'!AD89, Constants!$B$45)</f>
        <v>0.75</v>
      </c>
      <c r="AE24">
        <f>IF('Input Scenarios'!AE89&lt;&gt;"", 'Input Scenarios'!AE89, Constants!$B$46)</f>
        <v>0.2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1"/>
        <v>1</v>
      </c>
      <c r="AK24">
        <f t="shared" si="21"/>
        <v>0</v>
      </c>
      <c r="AL24">
        <f>Constants!$B$44</f>
        <v>1.03</v>
      </c>
      <c r="AM24">
        <f>Constants!$B$41</f>
        <v>3.0539999999999998</v>
      </c>
      <c r="AN24">
        <f>Constants!$B$42</f>
        <v>18.399999999999999</v>
      </c>
      <c r="AO24">
        <f>Constants!$B$43</f>
        <v>0.6</v>
      </c>
      <c r="AP24">
        <f t="shared" si="13"/>
        <v>0.5948500000000001</v>
      </c>
      <c r="AQ24">
        <f t="shared" si="14"/>
        <v>0</v>
      </c>
      <c r="AR24">
        <f>IF(Y24="milkingCows", Constants!$P$2, Constants!$P$3)</f>
        <v>1</v>
      </c>
      <c r="AS24" t="str">
        <f t="shared" si="15"/>
        <v/>
      </c>
      <c r="AT24" t="str">
        <f t="shared" si="16"/>
        <v/>
      </c>
      <c r="AU24" t="str">
        <f>_xlfn.XLOOKUP(Y24, Constants!$B$13:$H$13, Constants!$B$14:$H$14, "")</f>
        <v/>
      </c>
      <c r="AV24" t="str">
        <f t="shared" si="17"/>
        <v/>
      </c>
      <c r="AW24">
        <f>Constants!$B$55</f>
        <v>6.25</v>
      </c>
      <c r="AX24" t="str">
        <f t="shared" si="1"/>
        <v/>
      </c>
      <c r="AY24" t="str">
        <f t="shared" si="2"/>
        <v/>
      </c>
      <c r="AZ24" t="str">
        <f t="shared" si="18"/>
        <v/>
      </c>
      <c r="BA24">
        <f>IF(ISNUMBER(FIND("PreWeaned",Y24)),_xlfn.XLOOKUP(Y24,Constants!$J$2:$J$3,Constants!$M$2:$M$3),"")</f>
        <v>1.37E-2</v>
      </c>
      <c r="BB24">
        <f t="shared" si="3"/>
        <v>274</v>
      </c>
      <c r="BC24">
        <f t="shared" si="4"/>
        <v>0</v>
      </c>
      <c r="BD24">
        <f t="shared" si="5"/>
        <v>0</v>
      </c>
      <c r="BE24">
        <f t="shared" si="6"/>
        <v>0</v>
      </c>
      <c r="BF24">
        <f t="shared" si="7"/>
        <v>0</v>
      </c>
      <c r="BG24">
        <f t="shared" si="8"/>
        <v>274</v>
      </c>
      <c r="BH24">
        <f t="shared" si="9"/>
        <v>0</v>
      </c>
      <c r="BI24">
        <f>Constants!$B$54</f>
        <v>0.02</v>
      </c>
      <c r="BJ24">
        <f>Constants!$B$53</f>
        <v>0.24</v>
      </c>
      <c r="BK24">
        <f t="shared" si="19"/>
        <v>0</v>
      </c>
      <c r="BL24">
        <f t="shared" si="19"/>
        <v>0</v>
      </c>
      <c r="BM24">
        <f>Constants!$B$52</f>
        <v>1.0999999999999999E-2</v>
      </c>
      <c r="BN24">
        <f>Constants!$B$50</f>
        <v>1.57</v>
      </c>
      <c r="BO24">
        <f t="shared" si="20"/>
        <v>0</v>
      </c>
    </row>
    <row r="25" spans="1:68" x14ac:dyDescent="0.2">
      <c r="A25" t="str">
        <f>'Input Scenarios'!A90</f>
        <v>NT</v>
      </c>
      <c r="B25">
        <f>'Input Scenarios'!B90</f>
        <v>27</v>
      </c>
      <c r="C25" t="str">
        <f>'Input Scenarios'!C90</f>
        <v>Irrigated pasture</v>
      </c>
      <c r="D25" t="str">
        <f>'Input Scenarios'!D90</f>
        <v>dry</v>
      </c>
      <c r="E25" t="b">
        <f>'Input Scenarios'!E90</f>
        <v>0</v>
      </c>
      <c r="G25">
        <f>'Input Scenarios'!G90</f>
        <v>0.73</v>
      </c>
      <c r="H25">
        <f>'Input Scenarios'!H90</f>
        <v>0.08</v>
      </c>
      <c r="I25">
        <f>'Input Scenarios'!I90</f>
        <v>0.19</v>
      </c>
      <c r="J25">
        <f>'Input Scenarios'!J90</f>
        <v>0</v>
      </c>
      <c r="K25">
        <f>'Input Scenarios'!K90</f>
        <v>0.5</v>
      </c>
      <c r="L25">
        <f>'Input Scenarios'!L90</f>
        <v>0.5</v>
      </c>
      <c r="M25">
        <f>'Input Scenarios'!M90</f>
        <v>0</v>
      </c>
      <c r="N25">
        <f>'Input Scenarios'!N90</f>
        <v>0.5</v>
      </c>
      <c r="O25">
        <f>'Input Scenarios'!O90</f>
        <v>0</v>
      </c>
      <c r="P25">
        <f>'Input Scenarios'!P90</f>
        <v>0</v>
      </c>
      <c r="Q25">
        <f>'Input Scenarios'!Q90</f>
        <v>0.5</v>
      </c>
      <c r="R25" t="b">
        <f>'Input Scenarios'!R25</f>
        <v>0</v>
      </c>
      <c r="S25">
        <f>IF('Input Scenarios'!S90&lt;&gt;"", 'Input Scenarios'!S90, IF(R90, Constants!$B$38, 0))</f>
        <v>0</v>
      </c>
      <c r="T25" t="str">
        <f>IF('Input Scenarios'!T90&lt;&gt;"", 'Input Scenarios'!T90, "")</f>
        <v/>
      </c>
      <c r="U25">
        <f>IF('Input Scenarios'!U90&lt;&gt;"", 'Input Scenarios'!U90, IF(W25&lt;&gt;"", "", Constants!$B$39))</f>
        <v>4</v>
      </c>
      <c r="V25">
        <f>IF('Input Scenarios'!V90&lt;&gt;"", 'Input Scenarios'!V90, IF(W25&lt;&gt;"", "", Constants!$B$40))</f>
        <v>3.3</v>
      </c>
      <c r="W25" t="str">
        <f>IF('Input Scenarios'!W90&lt;&gt;"", 'Input Scenarios'!W90, "")</f>
        <v/>
      </c>
      <c r="X25" t="str">
        <f>'Input Scenarios'!X90</f>
        <v>Brown Swiss</v>
      </c>
      <c r="Y25" t="str">
        <f>'Input Scenarios'!Y90</f>
        <v>heifersLt1Weaned</v>
      </c>
      <c r="Z25">
        <f>'Input Scenarios'!Z90</f>
        <v>200</v>
      </c>
      <c r="AA25">
        <f>'Input Scenarios'!AA90</f>
        <v>360</v>
      </c>
      <c r="AB25">
        <f>'Input Scenarios'!AB90</f>
        <v>185</v>
      </c>
      <c r="AC25">
        <f>IF('Input Scenarios'!AC90&lt;&gt;"", 'Input Scenarios'!AC90, _xlfn.XLOOKUP(Y25, Constants!$B$13:$H$13, Constants!$B$15:$H$15, ""))</f>
        <v>0.56999999999999995</v>
      </c>
      <c r="AD25">
        <f>IF('Input Scenarios'!AD90&lt;&gt;"", 'Input Scenarios'!AD90, Constants!$B$45)</f>
        <v>0.75</v>
      </c>
      <c r="AE25">
        <f>IF('Input Scenarios'!AE90&lt;&gt;"", 'Input Scenarios'!AE90, Constants!$B$46)</f>
        <v>0.2</v>
      </c>
      <c r="AF25">
        <f t="shared" ref="AF25:AI44" si="22">IF($Y25="milkingCows",($H25*J25)+($I25*N25), 0)</f>
        <v>0</v>
      </c>
      <c r="AG25">
        <f t="shared" si="22"/>
        <v>0</v>
      </c>
      <c r="AH25">
        <f t="shared" si="22"/>
        <v>0</v>
      </c>
      <c r="AI25">
        <f t="shared" si="22"/>
        <v>0</v>
      </c>
      <c r="AJ25">
        <f t="shared" si="11"/>
        <v>1</v>
      </c>
      <c r="AK25">
        <f t="shared" si="21"/>
        <v>0</v>
      </c>
      <c r="AL25">
        <f>Constants!$B$44</f>
        <v>1.03</v>
      </c>
      <c r="AM25">
        <f>Constants!$B$41</f>
        <v>3.0539999999999998</v>
      </c>
      <c r="AN25">
        <f>Constants!$B$42</f>
        <v>18.399999999999999</v>
      </c>
      <c r="AO25">
        <f>Constants!$B$43</f>
        <v>0.6</v>
      </c>
      <c r="AP25">
        <f t="shared" si="13"/>
        <v>0.5948500000000001</v>
      </c>
      <c r="AQ25">
        <f t="shared" si="14"/>
        <v>0</v>
      </c>
      <c r="AR25">
        <f>IF(Y25="milkingCows", Constants!$P$2, Constants!$P$3)</f>
        <v>1</v>
      </c>
      <c r="AS25">
        <f t="shared" si="15"/>
        <v>4.4751921662249998</v>
      </c>
      <c r="AT25">
        <f t="shared" si="16"/>
        <v>1.1940956577314272</v>
      </c>
      <c r="AU25">
        <f>_xlfn.XLOOKUP(Y25, Constants!$B$13:$H$13, Constants!$B$14:$H$14, "")</f>
        <v>590</v>
      </c>
      <c r="AV25">
        <f t="shared" si="17"/>
        <v>0.3135593220338983</v>
      </c>
      <c r="AW25">
        <f>Constants!$B$55</f>
        <v>6.25</v>
      </c>
      <c r="AX25">
        <f t="shared" si="1"/>
        <v>1.374327511013524E-2</v>
      </c>
      <c r="AY25">
        <f t="shared" si="2"/>
        <v>0.89503843324499999</v>
      </c>
      <c r="AZ25">
        <f t="shared" si="18"/>
        <v>0.12858001497431362</v>
      </c>
      <c r="BA25" t="str">
        <f>IF(ISNUMBER(FIND("PreWeaned",Y25)),_xlfn.XLOOKUP(Y25,Constants!$J$2:$J$3,Constants!$M$2:$M$3),"")</f>
        <v/>
      </c>
      <c r="BB25">
        <f t="shared" si="3"/>
        <v>9257.7610781505809</v>
      </c>
      <c r="BC25">
        <f t="shared" si="4"/>
        <v>0</v>
      </c>
      <c r="BD25">
        <f t="shared" si="5"/>
        <v>0</v>
      </c>
      <c r="BE25">
        <f t="shared" si="6"/>
        <v>0</v>
      </c>
      <c r="BF25">
        <f t="shared" si="7"/>
        <v>0</v>
      </c>
      <c r="BG25">
        <f t="shared" si="8"/>
        <v>9257.7610781505809</v>
      </c>
      <c r="BH25">
        <f t="shared" si="9"/>
        <v>0</v>
      </c>
      <c r="BI25">
        <f>Constants!$B$54</f>
        <v>0.02</v>
      </c>
      <c r="BJ25">
        <f>Constants!$B$53</f>
        <v>0.24</v>
      </c>
      <c r="BK25">
        <f t="shared" ref="BK25:BL35" si="23">BF25*$BH25*BI25</f>
        <v>0</v>
      </c>
      <c r="BL25">
        <f t="shared" si="23"/>
        <v>0</v>
      </c>
      <c r="BM25">
        <f>Constants!$B$52</f>
        <v>1.0999999999999999E-2</v>
      </c>
      <c r="BN25">
        <f>Constants!$B$50</f>
        <v>1.57</v>
      </c>
      <c r="BO25">
        <f t="shared" si="20"/>
        <v>0</v>
      </c>
    </row>
    <row r="26" spans="1:68" x14ac:dyDescent="0.2">
      <c r="A26" t="str">
        <f>'Input Scenarios'!A91</f>
        <v>NT</v>
      </c>
      <c r="B26">
        <f>'Input Scenarios'!B91</f>
        <v>27</v>
      </c>
      <c r="C26" t="str">
        <f>'Input Scenarios'!C91</f>
        <v>Irrigated pasture</v>
      </c>
      <c r="D26" t="str">
        <f>'Input Scenarios'!D91</f>
        <v>dry</v>
      </c>
      <c r="E26" t="b">
        <f>'Input Scenarios'!E91</f>
        <v>0</v>
      </c>
      <c r="G26">
        <f>'Input Scenarios'!G91</f>
        <v>0.73</v>
      </c>
      <c r="H26">
        <f>'Input Scenarios'!H91</f>
        <v>0.08</v>
      </c>
      <c r="I26">
        <f>'Input Scenarios'!I91</f>
        <v>0.19</v>
      </c>
      <c r="J26">
        <f>'Input Scenarios'!J91</f>
        <v>0</v>
      </c>
      <c r="K26">
        <f>'Input Scenarios'!K91</f>
        <v>0.5</v>
      </c>
      <c r="L26">
        <f>'Input Scenarios'!L91</f>
        <v>0.5</v>
      </c>
      <c r="M26">
        <f>'Input Scenarios'!M91</f>
        <v>0</v>
      </c>
      <c r="N26">
        <f>'Input Scenarios'!N91</f>
        <v>0.5</v>
      </c>
      <c r="O26">
        <f>'Input Scenarios'!O91</f>
        <v>0</v>
      </c>
      <c r="P26">
        <f>'Input Scenarios'!P91</f>
        <v>0</v>
      </c>
      <c r="Q26">
        <f>'Input Scenarios'!Q91</f>
        <v>0.5</v>
      </c>
      <c r="R26" t="b">
        <f>'Input Scenarios'!R26</f>
        <v>0</v>
      </c>
      <c r="S26">
        <f>IF('Input Scenarios'!S91&lt;&gt;"", 'Input Scenarios'!S91, IF(R91, Constants!$B$38, 0))</f>
        <v>0</v>
      </c>
      <c r="T26" t="str">
        <f>IF('Input Scenarios'!T91&lt;&gt;"", 'Input Scenarios'!T91, "")</f>
        <v/>
      </c>
      <c r="U26">
        <f>IF('Input Scenarios'!U91&lt;&gt;"", 'Input Scenarios'!U91, IF(W26&lt;&gt;"", "", Constants!$B$39))</f>
        <v>4</v>
      </c>
      <c r="V26">
        <f>IF('Input Scenarios'!V91&lt;&gt;"", 'Input Scenarios'!V91, IF(W26&lt;&gt;"", "", Constants!$B$40))</f>
        <v>3.3</v>
      </c>
      <c r="W26" t="str">
        <f>IF('Input Scenarios'!W91&lt;&gt;"", 'Input Scenarios'!W91, "")</f>
        <v/>
      </c>
      <c r="X26" t="str">
        <f>'Input Scenarios'!X91</f>
        <v>Brown Swiss</v>
      </c>
      <c r="Y26" t="str">
        <f>'Input Scenarios'!Y91</f>
        <v>bullsGt1</v>
      </c>
      <c r="Z26">
        <f>'Input Scenarios'!Z91</f>
        <v>200</v>
      </c>
      <c r="AA26">
        <f>'Input Scenarios'!AA91</f>
        <v>345</v>
      </c>
      <c r="AB26">
        <f>'Input Scenarios'!AB91</f>
        <v>550</v>
      </c>
      <c r="AC26">
        <f>IF('Input Scenarios'!AC91&lt;&gt;"", 'Input Scenarios'!AC91, _xlfn.XLOOKUP(Y26, Constants!$B$13:$H$13, Constants!$B$15:$H$15, ""))</f>
        <v>0.1</v>
      </c>
      <c r="AD26">
        <f>IF('Input Scenarios'!AD91&lt;&gt;"", 'Input Scenarios'!AD91, Constants!$B$45)</f>
        <v>0.75</v>
      </c>
      <c r="AE26">
        <f>IF('Input Scenarios'!AE91&lt;&gt;"", 'Input Scenarios'!AE91, Constants!$B$46)</f>
        <v>0.2</v>
      </c>
      <c r="AF26">
        <f t="shared" si="22"/>
        <v>0</v>
      </c>
      <c r="AG26">
        <f t="shared" si="22"/>
        <v>0</v>
      </c>
      <c r="AH26">
        <f t="shared" si="22"/>
        <v>0</v>
      </c>
      <c r="AI26">
        <f t="shared" si="22"/>
        <v>0</v>
      </c>
      <c r="AJ26">
        <f t="shared" si="11"/>
        <v>1</v>
      </c>
      <c r="AK26">
        <f t="shared" si="21"/>
        <v>0</v>
      </c>
      <c r="AL26">
        <f>Constants!$B$44</f>
        <v>1.03</v>
      </c>
      <c r="AM26">
        <f>Constants!$B$41</f>
        <v>3.0539999999999998</v>
      </c>
      <c r="AN26">
        <f>Constants!$B$42</f>
        <v>18.399999999999999</v>
      </c>
      <c r="AO26">
        <f>Constants!$B$43</f>
        <v>0.6</v>
      </c>
      <c r="AP26">
        <f t="shared" si="13"/>
        <v>0.5948500000000001</v>
      </c>
      <c r="AQ26">
        <f t="shared" si="14"/>
        <v>0</v>
      </c>
      <c r="AR26">
        <f>IF(Y26="milkingCows", Constants!$P$2, Constants!$P$3)</f>
        <v>1</v>
      </c>
      <c r="AS26">
        <f t="shared" si="15"/>
        <v>8.5673290000000009</v>
      </c>
      <c r="AT26">
        <f t="shared" si="16"/>
        <v>1.0218762517451188</v>
      </c>
      <c r="AU26">
        <f>_xlfn.XLOOKUP(Y26, Constants!$B$13:$H$13, Constants!$B$14:$H$14, "")</f>
        <v>770</v>
      </c>
      <c r="AV26">
        <f t="shared" si="17"/>
        <v>0.7142857142857143</v>
      </c>
      <c r="AW26">
        <f>Constants!$B$55</f>
        <v>6.25</v>
      </c>
      <c r="AX26">
        <f t="shared" si="1"/>
        <v>1.3464908317647941E-3</v>
      </c>
      <c r="AY26">
        <f t="shared" si="2"/>
        <v>1.7134658000000003</v>
      </c>
      <c r="AZ26">
        <f t="shared" si="18"/>
        <v>0.2708091665468973</v>
      </c>
      <c r="BA26" t="str">
        <f>IF(ISNUMBER(FIND("PreWeaned",Y26)),_xlfn.XLOOKUP(Y26,Constants!$J$2:$J$3,Constants!$M$2:$M$3),"")</f>
        <v/>
      </c>
      <c r="BB26">
        <f t="shared" si="3"/>
        <v>18685.832491735913</v>
      </c>
      <c r="BC26">
        <f t="shared" si="4"/>
        <v>0</v>
      </c>
      <c r="BD26">
        <f t="shared" si="5"/>
        <v>0</v>
      </c>
      <c r="BE26">
        <f t="shared" si="6"/>
        <v>0</v>
      </c>
      <c r="BF26">
        <f t="shared" si="7"/>
        <v>0</v>
      </c>
      <c r="BG26">
        <f t="shared" si="8"/>
        <v>18685.832491735913</v>
      </c>
      <c r="BH26">
        <f t="shared" si="9"/>
        <v>0</v>
      </c>
      <c r="BI26">
        <f>Constants!$B$54</f>
        <v>0.02</v>
      </c>
      <c r="BJ26">
        <f>Constants!$B$53</f>
        <v>0.24</v>
      </c>
      <c r="BK26">
        <f t="shared" si="23"/>
        <v>0</v>
      </c>
      <c r="BL26">
        <f t="shared" si="23"/>
        <v>0</v>
      </c>
      <c r="BM26">
        <f>Constants!$B$52</f>
        <v>1.0999999999999999E-2</v>
      </c>
      <c r="BN26">
        <f>Constants!$B$50</f>
        <v>1.57</v>
      </c>
      <c r="BO26">
        <f t="shared" si="20"/>
        <v>0</v>
      </c>
    </row>
    <row r="27" spans="1:68" x14ac:dyDescent="0.2">
      <c r="A27" t="str">
        <f>'Input Scenarios'!A92</f>
        <v>NT</v>
      </c>
      <c r="B27">
        <f>'Input Scenarios'!B92</f>
        <v>27</v>
      </c>
      <c r="C27" t="str">
        <f>'Input Scenarios'!C92</f>
        <v>Irrigated pasture</v>
      </c>
      <c r="D27" t="str">
        <f>'Input Scenarios'!D92</f>
        <v>dry</v>
      </c>
      <c r="E27" t="b">
        <f>'Input Scenarios'!E92</f>
        <v>0</v>
      </c>
      <c r="G27">
        <f>'Input Scenarios'!G92</f>
        <v>0.73</v>
      </c>
      <c r="H27">
        <f>'Input Scenarios'!H92</f>
        <v>0.08</v>
      </c>
      <c r="I27">
        <f>'Input Scenarios'!I92</f>
        <v>0.19</v>
      </c>
      <c r="J27">
        <f>'Input Scenarios'!J92</f>
        <v>0</v>
      </c>
      <c r="K27">
        <f>'Input Scenarios'!K92</f>
        <v>0.5</v>
      </c>
      <c r="L27">
        <f>'Input Scenarios'!L92</f>
        <v>0.5</v>
      </c>
      <c r="M27">
        <f>'Input Scenarios'!M92</f>
        <v>0</v>
      </c>
      <c r="N27">
        <f>'Input Scenarios'!N92</f>
        <v>0.5</v>
      </c>
      <c r="O27">
        <f>'Input Scenarios'!O92</f>
        <v>0</v>
      </c>
      <c r="P27">
        <f>'Input Scenarios'!P92</f>
        <v>0</v>
      </c>
      <c r="Q27">
        <f>'Input Scenarios'!Q92</f>
        <v>0.5</v>
      </c>
      <c r="R27" t="b">
        <f>'Input Scenarios'!R27</f>
        <v>0</v>
      </c>
      <c r="S27">
        <f>IF('Input Scenarios'!S92&lt;&gt;"", 'Input Scenarios'!S92, IF(R92, Constants!$B$38, 0))</f>
        <v>0</v>
      </c>
      <c r="T27" t="str">
        <f>IF('Input Scenarios'!T92&lt;&gt;"", 'Input Scenarios'!T92, "")</f>
        <v/>
      </c>
      <c r="U27">
        <f>IF('Input Scenarios'!U92&lt;&gt;"", 'Input Scenarios'!U92, IF(W27&lt;&gt;"", "", Constants!$B$39))</f>
        <v>4</v>
      </c>
      <c r="V27">
        <f>IF('Input Scenarios'!V92&lt;&gt;"", 'Input Scenarios'!V92, IF(W27&lt;&gt;"", "", Constants!$B$40))</f>
        <v>3.3</v>
      </c>
      <c r="W27" t="str">
        <f>IF('Input Scenarios'!W92&lt;&gt;"", 'Input Scenarios'!W92, "")</f>
        <v/>
      </c>
      <c r="X27" t="str">
        <f>'Input Scenarios'!X92</f>
        <v>Brown Swiss</v>
      </c>
      <c r="Y27" t="str">
        <f>'Input Scenarios'!Y92</f>
        <v>bullsLt1PreWeaned</v>
      </c>
      <c r="Z27">
        <f>'Input Scenarios'!Z92</f>
        <v>200</v>
      </c>
      <c r="AA27">
        <f>'Input Scenarios'!AA92</f>
        <v>124</v>
      </c>
      <c r="AB27">
        <f>'Input Scenarios'!AB92</f>
        <v>225</v>
      </c>
      <c r="AC27" t="str">
        <f>IF('Input Scenarios'!AC92&lt;&gt;"", 'Input Scenarios'!AC92, _xlfn.XLOOKUP(Y27, Constants!$B$13:$H$13, Constants!$B$15:$H$15, ""))</f>
        <v/>
      </c>
      <c r="AD27">
        <f>IF('Input Scenarios'!AD92&lt;&gt;"", 'Input Scenarios'!AD92, Constants!$B$45)</f>
        <v>0.75</v>
      </c>
      <c r="AE27">
        <f>IF('Input Scenarios'!AE92&lt;&gt;"", 'Input Scenarios'!AE92, Constants!$B$46)</f>
        <v>0.2</v>
      </c>
      <c r="AF27">
        <f t="shared" si="22"/>
        <v>0</v>
      </c>
      <c r="AG27">
        <f t="shared" si="22"/>
        <v>0</v>
      </c>
      <c r="AH27">
        <f t="shared" si="22"/>
        <v>0</v>
      </c>
      <c r="AI27">
        <f t="shared" si="22"/>
        <v>0</v>
      </c>
      <c r="AJ27">
        <f t="shared" si="11"/>
        <v>1</v>
      </c>
      <c r="AK27">
        <f t="shared" si="21"/>
        <v>0</v>
      </c>
      <c r="AL27">
        <f>Constants!$B$44</f>
        <v>1.03</v>
      </c>
      <c r="AM27">
        <f>Constants!$B$41</f>
        <v>3.0539999999999998</v>
      </c>
      <c r="AN27">
        <f>Constants!$B$42</f>
        <v>18.399999999999999</v>
      </c>
      <c r="AO27">
        <f>Constants!$B$43</f>
        <v>0.6</v>
      </c>
      <c r="AP27">
        <f t="shared" si="13"/>
        <v>0.5948500000000001</v>
      </c>
      <c r="AQ27">
        <f t="shared" si="14"/>
        <v>0</v>
      </c>
      <c r="AR27">
        <f>IF(Y27="milkingCows", Constants!$P$2, Constants!$P$3)</f>
        <v>1</v>
      </c>
      <c r="AS27" t="str">
        <f t="shared" si="15"/>
        <v/>
      </c>
      <c r="AT27" t="str">
        <f t="shared" si="16"/>
        <v/>
      </c>
      <c r="AU27" t="str">
        <f>_xlfn.XLOOKUP(Y27, Constants!$B$13:$H$13, Constants!$B$14:$H$14, "")</f>
        <v/>
      </c>
      <c r="AV27" t="str">
        <f t="shared" si="17"/>
        <v/>
      </c>
      <c r="AW27">
        <f>Constants!$B$55</f>
        <v>6.25</v>
      </c>
      <c r="AX27" t="str">
        <f t="shared" si="1"/>
        <v/>
      </c>
      <c r="AY27" t="str">
        <f t="shared" si="2"/>
        <v/>
      </c>
      <c r="AZ27" t="str">
        <f t="shared" si="18"/>
        <v/>
      </c>
      <c r="BA27">
        <f>IF(ISNUMBER(FIND("PreWeaned",Y27)),_xlfn.XLOOKUP(Y27,Constants!$J$2:$J$3,Constants!$M$2:$M$3),"")</f>
        <v>9.1999999999999998E-3</v>
      </c>
      <c r="BB27">
        <f t="shared" si="3"/>
        <v>228.15999999999997</v>
      </c>
      <c r="BC27">
        <f t="shared" si="4"/>
        <v>0</v>
      </c>
      <c r="BD27">
        <f t="shared" si="5"/>
        <v>0</v>
      </c>
      <c r="BE27">
        <f t="shared" si="6"/>
        <v>0</v>
      </c>
      <c r="BF27">
        <f t="shared" si="7"/>
        <v>0</v>
      </c>
      <c r="BG27">
        <f t="shared" si="8"/>
        <v>228.15999999999997</v>
      </c>
      <c r="BH27">
        <f t="shared" si="9"/>
        <v>0</v>
      </c>
      <c r="BI27">
        <f>Constants!$B$54</f>
        <v>0.02</v>
      </c>
      <c r="BJ27">
        <f>Constants!$B$53</f>
        <v>0.24</v>
      </c>
      <c r="BK27">
        <f t="shared" si="23"/>
        <v>0</v>
      </c>
      <c r="BL27">
        <f t="shared" si="23"/>
        <v>0</v>
      </c>
      <c r="BM27">
        <f>Constants!$B$52</f>
        <v>1.0999999999999999E-2</v>
      </c>
      <c r="BN27">
        <f>Constants!$B$50</f>
        <v>1.57</v>
      </c>
      <c r="BO27">
        <f t="shared" si="20"/>
        <v>0</v>
      </c>
    </row>
    <row r="28" spans="1:68" s="16" customFormat="1" x14ac:dyDescent="0.2">
      <c r="A28" s="16" t="str">
        <f>'Input Scenarios'!A93</f>
        <v>NT</v>
      </c>
      <c r="B28" s="16">
        <f>'Input Scenarios'!B93</f>
        <v>27</v>
      </c>
      <c r="C28" s="16" t="str">
        <f>'Input Scenarios'!C93</f>
        <v>Irrigated pasture</v>
      </c>
      <c r="D28" s="16" t="str">
        <f>'Input Scenarios'!D93</f>
        <v>dry</v>
      </c>
      <c r="E28" s="16" t="b">
        <f>'Input Scenarios'!E93</f>
        <v>0</v>
      </c>
      <c r="G28" s="16">
        <f>'Input Scenarios'!G93</f>
        <v>0.73</v>
      </c>
      <c r="H28" s="16">
        <f>'Input Scenarios'!H93</f>
        <v>0.08</v>
      </c>
      <c r="I28" s="16">
        <f>'Input Scenarios'!I93</f>
        <v>0.19</v>
      </c>
      <c r="J28" s="16">
        <f>'Input Scenarios'!J93</f>
        <v>0</v>
      </c>
      <c r="K28" s="16">
        <f>'Input Scenarios'!K93</f>
        <v>0.5</v>
      </c>
      <c r="L28" s="16">
        <f>'Input Scenarios'!L93</f>
        <v>0.5</v>
      </c>
      <c r="M28" s="16">
        <f>'Input Scenarios'!M93</f>
        <v>0</v>
      </c>
      <c r="N28" s="16">
        <f>'Input Scenarios'!N93</f>
        <v>0.5</v>
      </c>
      <c r="O28" s="16">
        <f>'Input Scenarios'!O93</f>
        <v>0</v>
      </c>
      <c r="P28" s="16">
        <f>'Input Scenarios'!P93</f>
        <v>0</v>
      </c>
      <c r="Q28" s="16">
        <f>'Input Scenarios'!Q93</f>
        <v>0.5</v>
      </c>
      <c r="R28" s="16" t="b">
        <f>'Input Scenarios'!R28</f>
        <v>0</v>
      </c>
      <c r="S28" s="16">
        <f>IF('Input Scenarios'!S93&lt;&gt;"", 'Input Scenarios'!S93, IF(R93, Constants!$B$38, 0))</f>
        <v>0</v>
      </c>
      <c r="T28" s="16" t="str">
        <f>IF('Input Scenarios'!T93&lt;&gt;"", 'Input Scenarios'!T93, "")</f>
        <v/>
      </c>
      <c r="U28" s="16">
        <f>IF('Input Scenarios'!U93&lt;&gt;"", 'Input Scenarios'!U93, IF(W28&lt;&gt;"", "", Constants!$B$39))</f>
        <v>4</v>
      </c>
      <c r="V28" s="16">
        <f>IF('Input Scenarios'!V93&lt;&gt;"", 'Input Scenarios'!V93, IF(W28&lt;&gt;"", "", Constants!$B$40))</f>
        <v>3.3</v>
      </c>
      <c r="W28" s="16" t="str">
        <f>IF('Input Scenarios'!W93&lt;&gt;"", 'Input Scenarios'!W93, "")</f>
        <v/>
      </c>
      <c r="X28" s="16" t="str">
        <f>'Input Scenarios'!X93</f>
        <v>Brown Swiss</v>
      </c>
      <c r="Y28" s="16" t="str">
        <f>'Input Scenarios'!Y93</f>
        <v>bullsLt1Weaned</v>
      </c>
      <c r="Z28" s="16">
        <f>'Input Scenarios'!Z93</f>
        <v>200</v>
      </c>
      <c r="AA28" s="16">
        <f>'Input Scenarios'!AA93</f>
        <v>294</v>
      </c>
      <c r="AB28" s="16">
        <f>'Input Scenarios'!AB93</f>
        <v>225</v>
      </c>
      <c r="AC28" s="16">
        <f>IF('Input Scenarios'!AC93&lt;&gt;"", 'Input Scenarios'!AC93, _xlfn.XLOOKUP(Y28, Constants!$B$13:$H$13, Constants!$B$15:$H$15, ""))</f>
        <v>0.8</v>
      </c>
      <c r="AD28" s="16">
        <f>IF('Input Scenarios'!AD93&lt;&gt;"", 'Input Scenarios'!AD93, Constants!$B$45)</f>
        <v>0.75</v>
      </c>
      <c r="AE28" s="16">
        <f>IF('Input Scenarios'!AE93&lt;&gt;"", 'Input Scenarios'!AE93, Constants!$B$46)</f>
        <v>0.2</v>
      </c>
      <c r="AF28" s="16">
        <f t="shared" si="22"/>
        <v>0</v>
      </c>
      <c r="AG28" s="16">
        <f t="shared" si="22"/>
        <v>0</v>
      </c>
      <c r="AH28" s="16">
        <f t="shared" si="22"/>
        <v>0</v>
      </c>
      <c r="AI28" s="16">
        <f t="shared" si="22"/>
        <v>0</v>
      </c>
      <c r="AJ28" s="16">
        <f t="shared" si="11"/>
        <v>1</v>
      </c>
      <c r="AK28" s="16">
        <f t="shared" si="21"/>
        <v>0</v>
      </c>
      <c r="AL28" s="16">
        <f>Constants!$B$44</f>
        <v>1.03</v>
      </c>
      <c r="AM28" s="16">
        <f>Constants!$B$41</f>
        <v>3.0539999999999998</v>
      </c>
      <c r="AN28" s="16">
        <f>Constants!$B$42</f>
        <v>18.399999999999999</v>
      </c>
      <c r="AO28" s="16">
        <f>Constants!$B$43</f>
        <v>0.6</v>
      </c>
      <c r="AP28" s="16">
        <f t="shared" si="13"/>
        <v>0.5948500000000001</v>
      </c>
      <c r="AQ28" s="16">
        <f t="shared" si="14"/>
        <v>0</v>
      </c>
      <c r="AR28" s="16">
        <f>IF(Y28="milkingCows", Constants!$P$2, Constants!$P$3)</f>
        <v>1</v>
      </c>
      <c r="AS28" s="16">
        <f t="shared" si="15"/>
        <v>5.4143472656250013</v>
      </c>
      <c r="AT28" s="16">
        <f t="shared" si="16"/>
        <v>1.2576570545672616</v>
      </c>
      <c r="AU28" s="16">
        <f>_xlfn.XLOOKUP(Y28, Constants!$B$13:$H$13, Constants!$B$14:$H$14, "")</f>
        <v>770</v>
      </c>
      <c r="AV28" s="16">
        <f t="shared" si="17"/>
        <v>0.29220779220779219</v>
      </c>
      <c r="AW28" s="16">
        <f>Constants!$B$55</f>
        <v>6.25</v>
      </c>
      <c r="AX28" s="16">
        <f t="shared" si="1"/>
        <v>1.9757354894894084E-2</v>
      </c>
      <c r="AY28" s="16">
        <f t="shared" si="2"/>
        <v>1.0828694531250003</v>
      </c>
      <c r="AZ28" s="16">
        <f t="shared" si="18"/>
        <v>0.15247929000170721</v>
      </c>
      <c r="BA28" s="16" t="str">
        <f>IF(ISNUMBER(FIND("PreWeaned",Y28)),_xlfn.XLOOKUP(Y28,Constants!$J$2:$J$3,Constants!$M$2:$M$3),"")</f>
        <v/>
      </c>
      <c r="BB28" s="16">
        <f t="shared" si="3"/>
        <v>8965.7822521003836</v>
      </c>
      <c r="BC28" s="16">
        <f t="shared" si="4"/>
        <v>0</v>
      </c>
      <c r="BD28" s="16">
        <f t="shared" si="5"/>
        <v>0</v>
      </c>
      <c r="BE28" s="16">
        <f t="shared" si="6"/>
        <v>0</v>
      </c>
      <c r="BF28" s="16">
        <f t="shared" si="7"/>
        <v>0</v>
      </c>
      <c r="BG28" s="16">
        <f t="shared" si="8"/>
        <v>8965.7822521003836</v>
      </c>
      <c r="BH28" s="16">
        <f t="shared" si="9"/>
        <v>0</v>
      </c>
      <c r="BI28" s="16">
        <f>Constants!$B$54</f>
        <v>0.02</v>
      </c>
      <c r="BJ28" s="16">
        <f>Constants!$B$53</f>
        <v>0.24</v>
      </c>
      <c r="BK28" s="16">
        <f t="shared" si="23"/>
        <v>0</v>
      </c>
      <c r="BL28" s="16">
        <f t="shared" si="23"/>
        <v>0</v>
      </c>
      <c r="BM28" s="16">
        <f>Constants!$B$52</f>
        <v>1.0999999999999999E-2</v>
      </c>
      <c r="BN28" s="16">
        <f>Constants!$B$50</f>
        <v>1.57</v>
      </c>
      <c r="BO28" s="16">
        <f t="shared" si="20"/>
        <v>0</v>
      </c>
    </row>
    <row r="29" spans="1:68" x14ac:dyDescent="0.2">
      <c r="A29" t="str">
        <f>'Input Scenarios'!A94</f>
        <v>TAS</v>
      </c>
      <c r="B29" t="str">
        <f>'Input Scenarios'!B94</f>
        <v>10 or below</v>
      </c>
      <c r="C29" t="str">
        <f>'Input Scenarios'!C94</f>
        <v>Irrigated crop</v>
      </c>
      <c r="D29" t="str">
        <f>'Input Scenarios'!D94</f>
        <v>dry</v>
      </c>
      <c r="E29" t="b">
        <f>'Input Scenarios'!E94</f>
        <v>1</v>
      </c>
      <c r="G29">
        <f>'Input Scenarios'!G94</f>
        <v>0</v>
      </c>
      <c r="H29">
        <f>'Input Scenarios'!H94</f>
        <v>0.1</v>
      </c>
      <c r="I29">
        <f>'Input Scenarios'!I94</f>
        <v>0.9</v>
      </c>
      <c r="J29">
        <f>'Input Scenarios'!J94</f>
        <v>0.1</v>
      </c>
      <c r="K29">
        <f>'Input Scenarios'!K94</f>
        <v>0.2</v>
      </c>
      <c r="L29">
        <f>'Input Scenarios'!L94</f>
        <v>0.3</v>
      </c>
      <c r="M29">
        <f>'Input Scenarios'!M94</f>
        <v>0.4</v>
      </c>
      <c r="N29">
        <f>'Input Scenarios'!N94</f>
        <v>0.4</v>
      </c>
      <c r="O29">
        <f>'Input Scenarios'!O94</f>
        <v>0.3</v>
      </c>
      <c r="P29">
        <f>'Input Scenarios'!P94</f>
        <v>0.2</v>
      </c>
      <c r="Q29">
        <f>'Input Scenarios'!Q94</f>
        <v>0.1</v>
      </c>
      <c r="R29" t="b">
        <f>'Input Scenarios'!R29</f>
        <v>0</v>
      </c>
      <c r="S29">
        <f>IF('Input Scenarios'!S94&lt;&gt;"", 'Input Scenarios'!S94, IF(R94, Constants!$B$38, 0))</f>
        <v>0</v>
      </c>
      <c r="T29" s="20" t="str">
        <f>IF('Input Scenarios'!T94&lt;&gt;"", 'Input Scenarios'!T94, "")</f>
        <v/>
      </c>
      <c r="U29" s="20" t="str">
        <f>IF('Input Scenarios'!U94&lt;&gt;"", 'Input Scenarios'!U94, IF(W29&lt;&gt;"", "", Constants!$B$39))</f>
        <v/>
      </c>
      <c r="V29" s="20" t="str">
        <f>IF('Input Scenarios'!V94&lt;&gt;"", 'Input Scenarios'!V94, IF(W29&lt;&gt;"", "", Constants!$B$40))</f>
        <v/>
      </c>
      <c r="W29" s="20">
        <f>IF('Input Scenarios'!W94&lt;&gt;"", 'Input Scenarios'!W94, "")</f>
        <v>20</v>
      </c>
      <c r="X29" s="20" t="str">
        <f>'Input Scenarios'!X94</f>
        <v>Illawarra/Aussie Red</v>
      </c>
      <c r="Y29" s="20" t="str">
        <f>'Input Scenarios'!Y94</f>
        <v>milkingCows</v>
      </c>
      <c r="Z29" s="20">
        <f>'Input Scenarios'!Z94</f>
        <v>200</v>
      </c>
      <c r="AA29" s="20">
        <f>'Input Scenarios'!AA94</f>
        <v>365</v>
      </c>
      <c r="AB29" s="20">
        <f>'Input Scenarios'!AB94</f>
        <v>500</v>
      </c>
      <c r="AC29">
        <f>IF('Input Scenarios'!AC94&lt;&gt;"", 'Input Scenarios'!AC94, _xlfn.XLOOKUP(Y29, Constants!$B$13:$H$13, Constants!$B$15:$H$15, ""))</f>
        <v>1.6E-2</v>
      </c>
      <c r="AD29">
        <f>IF('Input Scenarios'!AD94&lt;&gt;"", 'Input Scenarios'!AD94, Constants!$B$45)</f>
        <v>0.75</v>
      </c>
      <c r="AE29">
        <f>IF('Input Scenarios'!AE94&lt;&gt;"", 'Input Scenarios'!AE94, Constants!$B$46)</f>
        <v>0.2</v>
      </c>
      <c r="AF29" s="20">
        <f t="shared" si="22"/>
        <v>0.37000000000000005</v>
      </c>
      <c r="AG29" s="20">
        <f t="shared" si="22"/>
        <v>0.29000000000000004</v>
      </c>
      <c r="AH29" s="20">
        <f t="shared" si="22"/>
        <v>0.21000000000000002</v>
      </c>
      <c r="AI29" s="20">
        <f t="shared" si="22"/>
        <v>0.13</v>
      </c>
      <c r="AJ29" s="20">
        <f t="shared" si="11"/>
        <v>0</v>
      </c>
      <c r="AK29">
        <f t="shared" si="21"/>
        <v>20</v>
      </c>
      <c r="AL29">
        <f>Constants!$B$44</f>
        <v>1.03</v>
      </c>
      <c r="AM29">
        <f>Constants!$B$41</f>
        <v>3.0539999999999998</v>
      </c>
      <c r="AN29">
        <f>Constants!$B$42</f>
        <v>18.399999999999999</v>
      </c>
      <c r="AO29">
        <f>Constants!$B$43</f>
        <v>0.6</v>
      </c>
      <c r="AP29">
        <f t="shared" si="13"/>
        <v>0.5948500000000001</v>
      </c>
      <c r="AQ29">
        <f t="shared" si="14"/>
        <v>9.5798721636071917</v>
      </c>
      <c r="AR29">
        <f>IF(Y29="milkingCows", Constants!$P$2, Constants!$P$3)</f>
        <v>1.1000000000000001</v>
      </c>
      <c r="AS29">
        <f t="shared" si="15"/>
        <v>18.265829445367196</v>
      </c>
      <c r="AT29">
        <f t="shared" si="16"/>
        <v>1.0017071727165394</v>
      </c>
      <c r="AU29">
        <f>_xlfn.XLOOKUP(Y29, Constants!$B$13:$H$13, Constants!$B$14:$H$14, "")</f>
        <v>590</v>
      </c>
      <c r="AV29">
        <f t="shared" si="17"/>
        <v>0.84745762711864403</v>
      </c>
      <c r="AW29">
        <f>Constants!$B$55</f>
        <v>6.25</v>
      </c>
      <c r="AX29" s="20">
        <f t="shared" si="1"/>
        <v>0.10351472280849285</v>
      </c>
      <c r="AY29">
        <f t="shared" si="2"/>
        <v>3.6531658890734393</v>
      </c>
      <c r="AZ29">
        <f t="shared" si="18"/>
        <v>0.47913084601960204</v>
      </c>
      <c r="BA29" t="str">
        <f>IF(ISNUMBER(FIND("PreWeaned",Y29)),_xlfn.XLOOKUP(Y29,Constants!$J$2:$J$3,Constants!$M$2:$M$3),"")</f>
        <v/>
      </c>
      <c r="BB29">
        <f t="shared" si="3"/>
        <v>34976.551759430949</v>
      </c>
      <c r="BC29">
        <f t="shared" si="4"/>
        <v>12941.324150989452</v>
      </c>
      <c r="BD29">
        <f t="shared" si="5"/>
        <v>10143.200010234976</v>
      </c>
      <c r="BE29">
        <f t="shared" si="6"/>
        <v>7345.0758694804999</v>
      </c>
      <c r="BF29">
        <f t="shared" si="7"/>
        <v>4546.9517287260232</v>
      </c>
      <c r="BG29">
        <f t="shared" si="8"/>
        <v>0</v>
      </c>
      <c r="BH29">
        <f t="shared" si="9"/>
        <v>1</v>
      </c>
      <c r="BI29">
        <f>Constants!$B$54</f>
        <v>0.02</v>
      </c>
      <c r="BJ29">
        <f>Constants!$B$53</f>
        <v>0.24</v>
      </c>
      <c r="BK29">
        <f t="shared" si="23"/>
        <v>90.939034574520463</v>
      </c>
      <c r="BL29">
        <f t="shared" si="23"/>
        <v>0</v>
      </c>
      <c r="BM29">
        <f>Constants!$B$52</f>
        <v>1.0999999999999999E-2</v>
      </c>
      <c r="BN29">
        <f>Constants!$B$50</f>
        <v>1.57</v>
      </c>
      <c r="BO29">
        <f t="shared" si="20"/>
        <v>1.5705171271019684</v>
      </c>
      <c r="BP29">
        <f>SUM(BO29:BO35)/1000</f>
        <v>0.19955172238075777</v>
      </c>
    </row>
    <row r="30" spans="1:68" x14ac:dyDescent="0.2">
      <c r="A30" t="str">
        <f>'Input Scenarios'!A95</f>
        <v>TAS</v>
      </c>
      <c r="B30" t="str">
        <f>'Input Scenarios'!B95</f>
        <v>10 or below</v>
      </c>
      <c r="C30" t="str">
        <f>'Input Scenarios'!C95</f>
        <v>Irrigated crop</v>
      </c>
      <c r="D30" t="str">
        <f>'Input Scenarios'!D95</f>
        <v>dry</v>
      </c>
      <c r="E30" t="b">
        <f>'Input Scenarios'!E95</f>
        <v>1</v>
      </c>
      <c r="G30">
        <f>'Input Scenarios'!G95</f>
        <v>0</v>
      </c>
      <c r="H30">
        <f>'Input Scenarios'!H95</f>
        <v>0.1</v>
      </c>
      <c r="I30">
        <f>'Input Scenarios'!I95</f>
        <v>0.9</v>
      </c>
      <c r="J30">
        <f>'Input Scenarios'!J95</f>
        <v>0.1</v>
      </c>
      <c r="K30">
        <f>'Input Scenarios'!K95</f>
        <v>0.2</v>
      </c>
      <c r="L30">
        <f>'Input Scenarios'!L95</f>
        <v>0.3</v>
      </c>
      <c r="M30">
        <f>'Input Scenarios'!M95</f>
        <v>0.4</v>
      </c>
      <c r="N30">
        <f>'Input Scenarios'!N95</f>
        <v>0.4</v>
      </c>
      <c r="O30">
        <f>'Input Scenarios'!O95</f>
        <v>0.3</v>
      </c>
      <c r="P30">
        <f>'Input Scenarios'!P95</f>
        <v>0.2</v>
      </c>
      <c r="Q30">
        <f>'Input Scenarios'!Q95</f>
        <v>0.1</v>
      </c>
      <c r="R30" t="b">
        <f>'Input Scenarios'!R30</f>
        <v>0</v>
      </c>
      <c r="S30">
        <f>IF('Input Scenarios'!S95&lt;&gt;"", 'Input Scenarios'!S95, IF(R95, Constants!$B$38, 0))</f>
        <v>0</v>
      </c>
      <c r="T30" t="str">
        <f>IF('Input Scenarios'!T95&lt;&gt;"", 'Input Scenarios'!T95, "")</f>
        <v/>
      </c>
      <c r="U30">
        <f>IF('Input Scenarios'!U95&lt;&gt;"", 'Input Scenarios'!U95, IF(W30&lt;&gt;"", "", Constants!$B$39))</f>
        <v>4</v>
      </c>
      <c r="V30">
        <f>IF('Input Scenarios'!V95&lt;&gt;"", 'Input Scenarios'!V95, IF(W30&lt;&gt;"", "", Constants!$B$40))</f>
        <v>3.3</v>
      </c>
      <c r="W30" t="str">
        <f>IF('Input Scenarios'!W95&lt;&gt;"", 'Input Scenarios'!W95, "")</f>
        <v/>
      </c>
      <c r="X30" t="str">
        <f>'Input Scenarios'!X95</f>
        <v>Illawarra/Aussie Red</v>
      </c>
      <c r="Y30" t="str">
        <f>'Input Scenarios'!Y95</f>
        <v>heifersGt1</v>
      </c>
      <c r="Z30">
        <f>'Input Scenarios'!Z95</f>
        <v>200</v>
      </c>
      <c r="AA30">
        <f>'Input Scenarios'!AA95</f>
        <v>265</v>
      </c>
      <c r="AB30">
        <f>'Input Scenarios'!AB95</f>
        <v>350</v>
      </c>
      <c r="AC30">
        <f>IF('Input Scenarios'!AC95&lt;&gt;"", 'Input Scenarios'!AC95, _xlfn.XLOOKUP(Y30, Constants!$B$13:$H$13, Constants!$B$15:$H$15, ""))</f>
        <v>0.6</v>
      </c>
      <c r="AD30">
        <f>IF('Input Scenarios'!AD95&lt;&gt;"", 'Input Scenarios'!AD95, Constants!$B$45)</f>
        <v>0.75</v>
      </c>
      <c r="AE30">
        <f>IF('Input Scenarios'!AE95&lt;&gt;"", 'Input Scenarios'!AE95, Constants!$B$46)</f>
        <v>0.2</v>
      </c>
      <c r="AF30">
        <f t="shared" si="22"/>
        <v>0</v>
      </c>
      <c r="AG30">
        <f t="shared" si="22"/>
        <v>0</v>
      </c>
      <c r="AH30">
        <f t="shared" si="22"/>
        <v>0</v>
      </c>
      <c r="AI30">
        <f t="shared" si="22"/>
        <v>0</v>
      </c>
      <c r="AJ30">
        <f t="shared" si="11"/>
        <v>1</v>
      </c>
      <c r="AK30">
        <f t="shared" si="21"/>
        <v>0</v>
      </c>
      <c r="AL30">
        <f>Constants!$B$44</f>
        <v>1.03</v>
      </c>
      <c r="AM30">
        <f>Constants!$B$41</f>
        <v>3.0539999999999998</v>
      </c>
      <c r="AN30">
        <f>Constants!$B$42</f>
        <v>18.399999999999999</v>
      </c>
      <c r="AO30">
        <f>Constants!$B$43</f>
        <v>0.6</v>
      </c>
      <c r="AP30">
        <f t="shared" si="13"/>
        <v>0.5948500000000001</v>
      </c>
      <c r="AQ30">
        <f t="shared" si="14"/>
        <v>0</v>
      </c>
      <c r="AR30">
        <f>IF(Y30="milkingCows", Constants!$P$2, Constants!$P$3)</f>
        <v>1</v>
      </c>
      <c r="AS30">
        <f t="shared" si="15"/>
        <v>6.9933802499999995</v>
      </c>
      <c r="AT30">
        <f t="shared" si="16"/>
        <v>1.1598645256363516</v>
      </c>
      <c r="AU30">
        <f>_xlfn.XLOOKUP(Y30, Constants!$B$13:$H$13, Constants!$B$14:$H$14, "")</f>
        <v>590</v>
      </c>
      <c r="AV30">
        <f t="shared" si="17"/>
        <v>0.59322033898305082</v>
      </c>
      <c r="AW30">
        <f>Constants!$B$55</f>
        <v>6.25</v>
      </c>
      <c r="AX30">
        <f t="shared" si="1"/>
        <v>9.4533842373449011E-3</v>
      </c>
      <c r="AY30">
        <f t="shared" si="2"/>
        <v>1.3986760499999999</v>
      </c>
      <c r="AZ30">
        <f t="shared" si="18"/>
        <v>0.21291060763723293</v>
      </c>
      <c r="BA30" t="str">
        <f>IF(ISNUMBER(FIND("PreWeaned",Y30)),_xlfn.XLOOKUP(Y30,Constants!$J$2:$J$3,Constants!$M$2:$M$3),"")</f>
        <v/>
      </c>
      <c r="BB30">
        <f t="shared" si="3"/>
        <v>11284.262204773346</v>
      </c>
      <c r="BC30">
        <f t="shared" si="4"/>
        <v>0</v>
      </c>
      <c r="BD30">
        <f t="shared" si="5"/>
        <v>0</v>
      </c>
      <c r="BE30">
        <f t="shared" si="6"/>
        <v>0</v>
      </c>
      <c r="BF30">
        <f t="shared" si="7"/>
        <v>0</v>
      </c>
      <c r="BG30">
        <f t="shared" si="8"/>
        <v>11284.262204773346</v>
      </c>
      <c r="BH30">
        <f t="shared" si="9"/>
        <v>1</v>
      </c>
      <c r="BI30">
        <f>Constants!$B$54</f>
        <v>0.02</v>
      </c>
      <c r="BJ30">
        <f>Constants!$B$53</f>
        <v>0.24</v>
      </c>
      <c r="BK30">
        <f t="shared" si="23"/>
        <v>0</v>
      </c>
      <c r="BL30">
        <f t="shared" si="23"/>
        <v>2708.2229291456028</v>
      </c>
      <c r="BM30">
        <f>Constants!$B$52</f>
        <v>1.0999999999999999E-2</v>
      </c>
      <c r="BN30">
        <f>Constants!$B$50</f>
        <v>1.57</v>
      </c>
      <c r="BO30">
        <f t="shared" si="20"/>
        <v>46.771009986344559</v>
      </c>
    </row>
    <row r="31" spans="1:68" x14ac:dyDescent="0.2">
      <c r="A31" t="str">
        <f>'Input Scenarios'!A96</f>
        <v>TAS</v>
      </c>
      <c r="B31" t="str">
        <f>'Input Scenarios'!B96</f>
        <v>10 or below</v>
      </c>
      <c r="C31" t="str">
        <f>'Input Scenarios'!C96</f>
        <v>Irrigated crop</v>
      </c>
      <c r="D31" t="str">
        <f>'Input Scenarios'!D96</f>
        <v>dry</v>
      </c>
      <c r="E31" t="b">
        <f>'Input Scenarios'!E96</f>
        <v>1</v>
      </c>
      <c r="G31">
        <f>'Input Scenarios'!G96</f>
        <v>0</v>
      </c>
      <c r="H31">
        <f>'Input Scenarios'!H96</f>
        <v>0.1</v>
      </c>
      <c r="I31">
        <f>'Input Scenarios'!I96</f>
        <v>0.9</v>
      </c>
      <c r="J31">
        <f>'Input Scenarios'!J96</f>
        <v>0.1</v>
      </c>
      <c r="K31">
        <f>'Input Scenarios'!K96</f>
        <v>0.2</v>
      </c>
      <c r="L31">
        <f>'Input Scenarios'!L96</f>
        <v>0.3</v>
      </c>
      <c r="M31">
        <f>'Input Scenarios'!M96</f>
        <v>0.4</v>
      </c>
      <c r="N31">
        <f>'Input Scenarios'!N96</f>
        <v>0.4</v>
      </c>
      <c r="O31">
        <f>'Input Scenarios'!O96</f>
        <v>0.3</v>
      </c>
      <c r="P31">
        <f>'Input Scenarios'!P96</f>
        <v>0.2</v>
      </c>
      <c r="Q31">
        <f>'Input Scenarios'!Q96</f>
        <v>0.1</v>
      </c>
      <c r="R31" t="b">
        <f>'Input Scenarios'!R31</f>
        <v>0</v>
      </c>
      <c r="S31">
        <f>IF('Input Scenarios'!S96&lt;&gt;"", 'Input Scenarios'!S96, IF(R96, Constants!$B$38, 0))</f>
        <v>0</v>
      </c>
      <c r="T31" t="str">
        <f>IF('Input Scenarios'!T96&lt;&gt;"", 'Input Scenarios'!T96, "")</f>
        <v/>
      </c>
      <c r="U31">
        <f>IF('Input Scenarios'!U96&lt;&gt;"", 'Input Scenarios'!U96, IF(W31&lt;&gt;"", "", Constants!$B$39))</f>
        <v>4</v>
      </c>
      <c r="V31">
        <f>IF('Input Scenarios'!V96&lt;&gt;"", 'Input Scenarios'!V96, IF(W31&lt;&gt;"", "", Constants!$B$40))</f>
        <v>3.3</v>
      </c>
      <c r="W31" t="str">
        <f>IF('Input Scenarios'!W96&lt;&gt;"", 'Input Scenarios'!W96, "")</f>
        <v/>
      </c>
      <c r="X31" t="str">
        <f>'Input Scenarios'!X96</f>
        <v>Illawarra/Aussie Red</v>
      </c>
      <c r="Y31" t="str">
        <f>'Input Scenarios'!Y96</f>
        <v>heifersLt1PreWeaned</v>
      </c>
      <c r="Z31">
        <f>'Input Scenarios'!Z96</f>
        <v>200</v>
      </c>
      <c r="AA31">
        <f>'Input Scenarios'!AA96</f>
        <v>100</v>
      </c>
      <c r="AB31">
        <f>'Input Scenarios'!AB96</f>
        <v>39</v>
      </c>
      <c r="AC31" t="str">
        <f>IF('Input Scenarios'!AC96&lt;&gt;"", 'Input Scenarios'!AC96, _xlfn.XLOOKUP(Y31, Constants!$B$13:$H$13, Constants!$B$15:$H$15, ""))</f>
        <v/>
      </c>
      <c r="AD31">
        <f>IF('Input Scenarios'!AD96&lt;&gt;"", 'Input Scenarios'!AD96, Constants!$B$45)</f>
        <v>0.75</v>
      </c>
      <c r="AE31">
        <f>IF('Input Scenarios'!AE96&lt;&gt;"", 'Input Scenarios'!AE96, Constants!$B$46)</f>
        <v>0.2</v>
      </c>
      <c r="AF31">
        <f t="shared" si="22"/>
        <v>0</v>
      </c>
      <c r="AG31">
        <f t="shared" si="22"/>
        <v>0</v>
      </c>
      <c r="AH31">
        <f t="shared" si="22"/>
        <v>0</v>
      </c>
      <c r="AI31">
        <f t="shared" si="22"/>
        <v>0</v>
      </c>
      <c r="AJ31">
        <f t="shared" si="11"/>
        <v>1</v>
      </c>
      <c r="AK31">
        <f t="shared" si="21"/>
        <v>0</v>
      </c>
      <c r="AL31">
        <f>Constants!$B$44</f>
        <v>1.03</v>
      </c>
      <c r="AM31">
        <f>Constants!$B$41</f>
        <v>3.0539999999999998</v>
      </c>
      <c r="AN31">
        <f>Constants!$B$42</f>
        <v>18.399999999999999</v>
      </c>
      <c r="AO31">
        <f>Constants!$B$43</f>
        <v>0.6</v>
      </c>
      <c r="AP31">
        <f t="shared" si="13"/>
        <v>0.5948500000000001</v>
      </c>
      <c r="AQ31">
        <f t="shared" si="14"/>
        <v>0</v>
      </c>
      <c r="AR31">
        <f>IF(Y31="milkingCows", Constants!$P$2, Constants!$P$3)</f>
        <v>1</v>
      </c>
      <c r="AS31" t="str">
        <f t="shared" si="15"/>
        <v/>
      </c>
      <c r="AT31" t="str">
        <f t="shared" si="16"/>
        <v/>
      </c>
      <c r="AU31" t="str">
        <f>_xlfn.XLOOKUP(Y31, Constants!$B$13:$H$13, Constants!$B$14:$H$14, "")</f>
        <v/>
      </c>
      <c r="AV31" t="str">
        <f t="shared" si="17"/>
        <v/>
      </c>
      <c r="AW31">
        <f>Constants!$B$55</f>
        <v>6.25</v>
      </c>
      <c r="AX31" t="str">
        <f t="shared" si="1"/>
        <v/>
      </c>
      <c r="AY31" t="str">
        <f t="shared" si="2"/>
        <v/>
      </c>
      <c r="AZ31" t="str">
        <f t="shared" si="18"/>
        <v/>
      </c>
      <c r="BA31">
        <f>IF(ISNUMBER(FIND("PreWeaned",Y31)),_xlfn.XLOOKUP(Y31,Constants!$J$2:$J$3,Constants!$M$2:$M$3),"")</f>
        <v>1.37E-2</v>
      </c>
      <c r="BB31">
        <f t="shared" si="3"/>
        <v>274</v>
      </c>
      <c r="BC31">
        <f t="shared" si="4"/>
        <v>0</v>
      </c>
      <c r="BD31">
        <f t="shared" si="5"/>
        <v>0</v>
      </c>
      <c r="BE31">
        <f t="shared" si="6"/>
        <v>0</v>
      </c>
      <c r="BF31">
        <f t="shared" si="7"/>
        <v>0</v>
      </c>
      <c r="BG31">
        <f t="shared" si="8"/>
        <v>274</v>
      </c>
      <c r="BH31">
        <f t="shared" si="9"/>
        <v>1</v>
      </c>
      <c r="BI31">
        <f>Constants!$B$54</f>
        <v>0.02</v>
      </c>
      <c r="BJ31">
        <f>Constants!$B$53</f>
        <v>0.24</v>
      </c>
      <c r="BK31">
        <f t="shared" si="23"/>
        <v>0</v>
      </c>
      <c r="BL31">
        <f t="shared" si="23"/>
        <v>65.759999999999991</v>
      </c>
      <c r="BM31">
        <f>Constants!$B$52</f>
        <v>1.0999999999999999E-2</v>
      </c>
      <c r="BN31">
        <f>Constants!$B$50</f>
        <v>1.57</v>
      </c>
      <c r="BO31">
        <f t="shared" si="20"/>
        <v>1.1356751999999999</v>
      </c>
    </row>
    <row r="32" spans="1:68" x14ac:dyDescent="0.2">
      <c r="A32" t="str">
        <f>'Input Scenarios'!A97</f>
        <v>TAS</v>
      </c>
      <c r="B32" t="str">
        <f>'Input Scenarios'!B97</f>
        <v>10 or below</v>
      </c>
      <c r="C32" t="str">
        <f>'Input Scenarios'!C97</f>
        <v>Irrigated crop</v>
      </c>
      <c r="D32" t="str">
        <f>'Input Scenarios'!D97</f>
        <v>dry</v>
      </c>
      <c r="E32" t="b">
        <f>'Input Scenarios'!E97</f>
        <v>1</v>
      </c>
      <c r="G32">
        <f>'Input Scenarios'!G97</f>
        <v>0</v>
      </c>
      <c r="H32">
        <f>'Input Scenarios'!H97</f>
        <v>0.1</v>
      </c>
      <c r="I32">
        <f>'Input Scenarios'!I97</f>
        <v>0.9</v>
      </c>
      <c r="J32">
        <f>'Input Scenarios'!J97</f>
        <v>0.1</v>
      </c>
      <c r="K32">
        <f>'Input Scenarios'!K97</f>
        <v>0.2</v>
      </c>
      <c r="L32">
        <f>'Input Scenarios'!L97</f>
        <v>0.3</v>
      </c>
      <c r="M32">
        <f>'Input Scenarios'!M97</f>
        <v>0.4</v>
      </c>
      <c r="N32">
        <f>'Input Scenarios'!N97</f>
        <v>0.4</v>
      </c>
      <c r="O32">
        <f>'Input Scenarios'!O97</f>
        <v>0.3</v>
      </c>
      <c r="P32">
        <f>'Input Scenarios'!P97</f>
        <v>0.2</v>
      </c>
      <c r="Q32">
        <f>'Input Scenarios'!Q97</f>
        <v>0.1</v>
      </c>
      <c r="R32" t="b">
        <f>'Input Scenarios'!R32</f>
        <v>0</v>
      </c>
      <c r="S32">
        <f>IF('Input Scenarios'!S97&lt;&gt;"", 'Input Scenarios'!S97, IF(R97, Constants!$B$38, 0))</f>
        <v>0</v>
      </c>
      <c r="T32" t="str">
        <f>IF('Input Scenarios'!T97&lt;&gt;"", 'Input Scenarios'!T97, "")</f>
        <v/>
      </c>
      <c r="U32">
        <f>IF('Input Scenarios'!U97&lt;&gt;"", 'Input Scenarios'!U97, IF(W32&lt;&gt;"", "", Constants!$B$39))</f>
        <v>4</v>
      </c>
      <c r="V32">
        <f>IF('Input Scenarios'!V97&lt;&gt;"", 'Input Scenarios'!V97, IF(W32&lt;&gt;"", "", Constants!$B$40))</f>
        <v>3.3</v>
      </c>
      <c r="W32" t="str">
        <f>IF('Input Scenarios'!W97&lt;&gt;"", 'Input Scenarios'!W97, "")</f>
        <v/>
      </c>
      <c r="X32" t="str">
        <f>'Input Scenarios'!X97</f>
        <v>Illawarra/Aussie Red</v>
      </c>
      <c r="Y32" t="str">
        <f>'Input Scenarios'!Y97</f>
        <v>heifersLt1Weaned</v>
      </c>
      <c r="Z32">
        <f>'Input Scenarios'!Z97</f>
        <v>200</v>
      </c>
      <c r="AA32">
        <f>'Input Scenarios'!AA97</f>
        <v>360</v>
      </c>
      <c r="AB32">
        <f>'Input Scenarios'!AB97</f>
        <v>145</v>
      </c>
      <c r="AC32">
        <f>IF('Input Scenarios'!AC97&lt;&gt;"", 'Input Scenarios'!AC97, _xlfn.XLOOKUP(Y32, Constants!$B$13:$H$13, Constants!$B$15:$H$15, ""))</f>
        <v>0.56999999999999995</v>
      </c>
      <c r="AD32">
        <f>IF('Input Scenarios'!AD97&lt;&gt;"", 'Input Scenarios'!AD97, Constants!$B$45)</f>
        <v>0.75</v>
      </c>
      <c r="AE32">
        <f>IF('Input Scenarios'!AE97&lt;&gt;"", 'Input Scenarios'!AE97, Constants!$B$46)</f>
        <v>0.2</v>
      </c>
      <c r="AF32">
        <f t="shared" si="22"/>
        <v>0</v>
      </c>
      <c r="AG32">
        <f t="shared" si="22"/>
        <v>0</v>
      </c>
      <c r="AH32">
        <f t="shared" si="22"/>
        <v>0</v>
      </c>
      <c r="AI32">
        <f t="shared" si="22"/>
        <v>0</v>
      </c>
      <c r="AJ32">
        <f t="shared" si="11"/>
        <v>1</v>
      </c>
      <c r="AK32">
        <f t="shared" si="21"/>
        <v>0</v>
      </c>
      <c r="AL32">
        <f>Constants!$B$44</f>
        <v>1.03</v>
      </c>
      <c r="AM32">
        <f>Constants!$B$41</f>
        <v>3.0539999999999998</v>
      </c>
      <c r="AN32">
        <f>Constants!$B$42</f>
        <v>18.399999999999999</v>
      </c>
      <c r="AO32">
        <f>Constants!$B$43</f>
        <v>0.6</v>
      </c>
      <c r="AP32">
        <f t="shared" si="13"/>
        <v>0.5948500000000001</v>
      </c>
      <c r="AQ32">
        <f t="shared" si="14"/>
        <v>0</v>
      </c>
      <c r="AR32">
        <f>IF(Y32="milkingCows", Constants!$P$2, Constants!$P$3)</f>
        <v>1</v>
      </c>
      <c r="AS32">
        <f t="shared" si="15"/>
        <v>3.8737521942250002</v>
      </c>
      <c r="AT32">
        <f t="shared" si="16"/>
        <v>1.2108445342325853</v>
      </c>
      <c r="AU32">
        <f>_xlfn.XLOOKUP(Y32, Constants!$B$13:$H$13, Constants!$B$14:$H$14, "")</f>
        <v>590</v>
      </c>
      <c r="AV32">
        <f t="shared" si="17"/>
        <v>0.24576271186440679</v>
      </c>
      <c r="AW32">
        <f>Constants!$B$55</f>
        <v>6.25</v>
      </c>
      <c r="AX32">
        <f t="shared" si="1"/>
        <v>1.4832686313540533E-2</v>
      </c>
      <c r="AY32">
        <f t="shared" si="2"/>
        <v>0.77475043884500006</v>
      </c>
      <c r="AZ32">
        <f t="shared" si="18"/>
        <v>0.10839195842696786</v>
      </c>
      <c r="BA32" t="str">
        <f>IF(ISNUMBER(FIND("PreWeaned",Y32)),_xlfn.XLOOKUP(Y32,Constants!$J$2:$J$3,Constants!$M$2:$M$3),"")</f>
        <v/>
      </c>
      <c r="BB32">
        <f t="shared" si="3"/>
        <v>7804.2210067416854</v>
      </c>
      <c r="BC32">
        <f t="shared" si="4"/>
        <v>0</v>
      </c>
      <c r="BD32">
        <f t="shared" si="5"/>
        <v>0</v>
      </c>
      <c r="BE32">
        <f t="shared" si="6"/>
        <v>0</v>
      </c>
      <c r="BF32">
        <f t="shared" si="7"/>
        <v>0</v>
      </c>
      <c r="BG32">
        <f t="shared" si="8"/>
        <v>7804.2210067416854</v>
      </c>
      <c r="BH32">
        <f t="shared" si="9"/>
        <v>1</v>
      </c>
      <c r="BI32">
        <f>Constants!$B$54</f>
        <v>0.02</v>
      </c>
      <c r="BJ32">
        <f>Constants!$B$53</f>
        <v>0.24</v>
      </c>
      <c r="BK32">
        <f t="shared" si="23"/>
        <v>0</v>
      </c>
      <c r="BL32">
        <f t="shared" si="23"/>
        <v>1873.0130416180045</v>
      </c>
      <c r="BM32">
        <f>Constants!$B$52</f>
        <v>1.0999999999999999E-2</v>
      </c>
      <c r="BN32">
        <f>Constants!$B$50</f>
        <v>1.57</v>
      </c>
      <c r="BO32">
        <f t="shared" si="20"/>
        <v>32.346935228742936</v>
      </c>
    </row>
    <row r="33" spans="1:68" x14ac:dyDescent="0.2">
      <c r="A33" t="str">
        <f>'Input Scenarios'!A98</f>
        <v>TAS</v>
      </c>
      <c r="B33" t="str">
        <f>'Input Scenarios'!B98</f>
        <v>10 or below</v>
      </c>
      <c r="C33" t="str">
        <f>'Input Scenarios'!C98</f>
        <v>Irrigated crop</v>
      </c>
      <c r="D33" t="str">
        <f>'Input Scenarios'!D98</f>
        <v>dry</v>
      </c>
      <c r="E33" t="b">
        <f>'Input Scenarios'!E98</f>
        <v>1</v>
      </c>
      <c r="G33">
        <f>'Input Scenarios'!G98</f>
        <v>0</v>
      </c>
      <c r="H33">
        <f>'Input Scenarios'!H98</f>
        <v>0.1</v>
      </c>
      <c r="I33">
        <f>'Input Scenarios'!I98</f>
        <v>0.9</v>
      </c>
      <c r="J33">
        <f>'Input Scenarios'!J98</f>
        <v>0.1</v>
      </c>
      <c r="K33">
        <f>'Input Scenarios'!K98</f>
        <v>0.2</v>
      </c>
      <c r="L33">
        <f>'Input Scenarios'!L98</f>
        <v>0.3</v>
      </c>
      <c r="M33">
        <f>'Input Scenarios'!M98</f>
        <v>0.4</v>
      </c>
      <c r="N33">
        <f>'Input Scenarios'!N98</f>
        <v>0.4</v>
      </c>
      <c r="O33">
        <f>'Input Scenarios'!O98</f>
        <v>0.3</v>
      </c>
      <c r="P33">
        <f>'Input Scenarios'!P98</f>
        <v>0.2</v>
      </c>
      <c r="Q33">
        <f>'Input Scenarios'!Q98</f>
        <v>0.1</v>
      </c>
      <c r="R33" t="b">
        <f>'Input Scenarios'!R33</f>
        <v>0</v>
      </c>
      <c r="S33">
        <f>IF('Input Scenarios'!S98&lt;&gt;"", 'Input Scenarios'!S98, IF(R98, Constants!$B$38, 0))</f>
        <v>0</v>
      </c>
      <c r="T33" t="str">
        <f>IF('Input Scenarios'!T98&lt;&gt;"", 'Input Scenarios'!T98, "")</f>
        <v/>
      </c>
      <c r="U33">
        <f>IF('Input Scenarios'!U98&lt;&gt;"", 'Input Scenarios'!U98, IF(W33&lt;&gt;"", "", Constants!$B$39))</f>
        <v>4</v>
      </c>
      <c r="V33">
        <f>IF('Input Scenarios'!V98&lt;&gt;"", 'Input Scenarios'!V98, IF(W33&lt;&gt;"", "", Constants!$B$40))</f>
        <v>3.3</v>
      </c>
      <c r="W33" t="str">
        <f>IF('Input Scenarios'!W98&lt;&gt;"", 'Input Scenarios'!W98, "")</f>
        <v/>
      </c>
      <c r="X33" t="str">
        <f>'Input Scenarios'!X98</f>
        <v>Illawarra/Aussie Red</v>
      </c>
      <c r="Y33" t="str">
        <f>'Input Scenarios'!Y98</f>
        <v>bullsGt1</v>
      </c>
      <c r="Z33">
        <f>'Input Scenarios'!Z98</f>
        <v>200</v>
      </c>
      <c r="AA33">
        <f>'Input Scenarios'!AA98</f>
        <v>345</v>
      </c>
      <c r="AB33">
        <f>'Input Scenarios'!AB98</f>
        <v>575</v>
      </c>
      <c r="AC33">
        <f>IF('Input Scenarios'!AC98&lt;&gt;"", 'Input Scenarios'!AC98, _xlfn.XLOOKUP(Y33, Constants!$B$13:$H$13, Constants!$B$15:$H$15, ""))</f>
        <v>0.1</v>
      </c>
      <c r="AD33">
        <f>IF('Input Scenarios'!AD98&lt;&gt;"", 'Input Scenarios'!AD98, Constants!$B$45)</f>
        <v>0.75</v>
      </c>
      <c r="AE33">
        <f>IF('Input Scenarios'!AE98&lt;&gt;"", 'Input Scenarios'!AE98, Constants!$B$46)</f>
        <v>0.2</v>
      </c>
      <c r="AF33">
        <f t="shared" si="22"/>
        <v>0</v>
      </c>
      <c r="AG33">
        <f t="shared" si="22"/>
        <v>0</v>
      </c>
      <c r="AH33">
        <f t="shared" si="22"/>
        <v>0</v>
      </c>
      <c r="AI33">
        <f t="shared" si="22"/>
        <v>0</v>
      </c>
      <c r="AJ33">
        <f t="shared" si="11"/>
        <v>1</v>
      </c>
      <c r="AK33">
        <f t="shared" si="21"/>
        <v>0</v>
      </c>
      <c r="AL33">
        <f>Constants!$B$44</f>
        <v>1.03</v>
      </c>
      <c r="AM33">
        <f>Constants!$B$41</f>
        <v>3.0539999999999998</v>
      </c>
      <c r="AN33">
        <f>Constants!$B$42</f>
        <v>18.399999999999999</v>
      </c>
      <c r="AO33">
        <f>Constants!$B$43</f>
        <v>0.6</v>
      </c>
      <c r="AP33">
        <f t="shared" si="13"/>
        <v>0.5948500000000001</v>
      </c>
      <c r="AQ33">
        <f t="shared" si="14"/>
        <v>0</v>
      </c>
      <c r="AR33">
        <f>IF(Y33="milkingCows", Constants!$P$2, Constants!$P$3)</f>
        <v>1</v>
      </c>
      <c r="AS33">
        <f t="shared" si="15"/>
        <v>8.805314390625</v>
      </c>
      <c r="AT33">
        <f t="shared" si="16"/>
        <v>1.0215737979983797</v>
      </c>
      <c r="AU33">
        <f>_xlfn.XLOOKUP(Y33, Constants!$B$13:$H$13, Constants!$B$14:$H$14, "")</f>
        <v>770</v>
      </c>
      <c r="AV33">
        <f t="shared" si="17"/>
        <v>0.74675324675324672</v>
      </c>
      <c r="AW33">
        <f>Constants!$B$55</f>
        <v>6.25</v>
      </c>
      <c r="AX33">
        <f t="shared" si="1"/>
        <v>1.3013883723884015E-3</v>
      </c>
      <c r="AY33">
        <f t="shared" si="2"/>
        <v>1.7610628781250002</v>
      </c>
      <c r="AZ33">
        <f t="shared" si="18"/>
        <v>0.27840203821677945</v>
      </c>
      <c r="BA33" t="str">
        <f>IF(ISNUMBER(FIND("PreWeaned",Y33)),_xlfn.XLOOKUP(Y33,Constants!$J$2:$J$3,Constants!$M$2:$M$3),"")</f>
        <v/>
      </c>
      <c r="BB33">
        <f t="shared" si="3"/>
        <v>19209.740636957784</v>
      </c>
      <c r="BC33">
        <f t="shared" si="4"/>
        <v>0</v>
      </c>
      <c r="BD33">
        <f t="shared" si="5"/>
        <v>0</v>
      </c>
      <c r="BE33">
        <f t="shared" si="6"/>
        <v>0</v>
      </c>
      <c r="BF33">
        <f t="shared" si="7"/>
        <v>0</v>
      </c>
      <c r="BG33">
        <f t="shared" si="8"/>
        <v>19209.740636957784</v>
      </c>
      <c r="BH33">
        <f t="shared" si="9"/>
        <v>1</v>
      </c>
      <c r="BI33">
        <f>Constants!$B$54</f>
        <v>0.02</v>
      </c>
      <c r="BJ33">
        <f>Constants!$B$53</f>
        <v>0.24</v>
      </c>
      <c r="BK33">
        <f t="shared" si="23"/>
        <v>0</v>
      </c>
      <c r="BL33">
        <f t="shared" si="23"/>
        <v>4610.3377528698684</v>
      </c>
      <c r="BM33">
        <f>Constants!$B$52</f>
        <v>1.0999999999999999E-2</v>
      </c>
      <c r="BN33">
        <f>Constants!$B$50</f>
        <v>1.57</v>
      </c>
      <c r="BO33">
        <f t="shared" si="20"/>
        <v>79.620532992062621</v>
      </c>
    </row>
    <row r="34" spans="1:68" x14ac:dyDescent="0.2">
      <c r="A34" t="str">
        <f>'Input Scenarios'!A99</f>
        <v>TAS</v>
      </c>
      <c r="B34" t="str">
        <f>'Input Scenarios'!B99</f>
        <v>10 or below</v>
      </c>
      <c r="C34" t="str">
        <f>'Input Scenarios'!C99</f>
        <v>Irrigated crop</v>
      </c>
      <c r="D34" t="str">
        <f>'Input Scenarios'!D99</f>
        <v>dry</v>
      </c>
      <c r="E34" t="b">
        <f>'Input Scenarios'!E99</f>
        <v>1</v>
      </c>
      <c r="G34">
        <f>'Input Scenarios'!G99</f>
        <v>0</v>
      </c>
      <c r="H34">
        <f>'Input Scenarios'!H99</f>
        <v>0.1</v>
      </c>
      <c r="I34">
        <f>'Input Scenarios'!I99</f>
        <v>0.9</v>
      </c>
      <c r="J34">
        <f>'Input Scenarios'!J99</f>
        <v>0.1</v>
      </c>
      <c r="K34">
        <f>'Input Scenarios'!K99</f>
        <v>0.2</v>
      </c>
      <c r="L34">
        <f>'Input Scenarios'!L99</f>
        <v>0.3</v>
      </c>
      <c r="M34">
        <f>'Input Scenarios'!M99</f>
        <v>0.4</v>
      </c>
      <c r="N34">
        <f>'Input Scenarios'!N99</f>
        <v>0.4</v>
      </c>
      <c r="O34">
        <f>'Input Scenarios'!O99</f>
        <v>0.3</v>
      </c>
      <c r="P34">
        <f>'Input Scenarios'!P99</f>
        <v>0.2</v>
      </c>
      <c r="Q34">
        <f>'Input Scenarios'!Q99</f>
        <v>0.1</v>
      </c>
      <c r="R34" t="b">
        <f>'Input Scenarios'!R34</f>
        <v>0</v>
      </c>
      <c r="S34">
        <f>IF('Input Scenarios'!S99&lt;&gt;"", 'Input Scenarios'!S99, IF(R99, Constants!$B$38, 0))</f>
        <v>0</v>
      </c>
      <c r="T34" t="str">
        <f>IF('Input Scenarios'!T99&lt;&gt;"", 'Input Scenarios'!T99, "")</f>
        <v/>
      </c>
      <c r="U34">
        <f>IF('Input Scenarios'!U99&lt;&gt;"", 'Input Scenarios'!U99, IF(W34&lt;&gt;"", "", Constants!$B$39))</f>
        <v>4</v>
      </c>
      <c r="V34">
        <f>IF('Input Scenarios'!V99&lt;&gt;"", 'Input Scenarios'!V99, IF(W34&lt;&gt;"", "", Constants!$B$40))</f>
        <v>3.3</v>
      </c>
      <c r="W34" t="str">
        <f>IF('Input Scenarios'!W99&lt;&gt;"", 'Input Scenarios'!W99, "")</f>
        <v/>
      </c>
      <c r="X34" t="str">
        <f>'Input Scenarios'!X99</f>
        <v>Illawarra/Aussie Red</v>
      </c>
      <c r="Y34" t="str">
        <f>'Input Scenarios'!Y99</f>
        <v>bullsLt1PreWeaned</v>
      </c>
      <c r="Z34">
        <f>'Input Scenarios'!Z99</f>
        <v>200</v>
      </c>
      <c r="AA34">
        <f>'Input Scenarios'!AA99</f>
        <v>124</v>
      </c>
      <c r="AB34">
        <f>'Input Scenarios'!AB99</f>
        <v>225</v>
      </c>
      <c r="AC34" t="str">
        <f>IF('Input Scenarios'!AC99&lt;&gt;"", 'Input Scenarios'!AC99, _xlfn.XLOOKUP(Y34, Constants!$B$13:$H$13, Constants!$B$15:$H$15, ""))</f>
        <v/>
      </c>
      <c r="AD34">
        <f>IF('Input Scenarios'!AD99&lt;&gt;"", 'Input Scenarios'!AD99, Constants!$B$45)</f>
        <v>0.75</v>
      </c>
      <c r="AE34">
        <f>IF('Input Scenarios'!AE99&lt;&gt;"", 'Input Scenarios'!AE99, Constants!$B$46)</f>
        <v>0.2</v>
      </c>
      <c r="AF34">
        <f t="shared" si="22"/>
        <v>0</v>
      </c>
      <c r="AG34">
        <f t="shared" si="22"/>
        <v>0</v>
      </c>
      <c r="AH34">
        <f t="shared" si="22"/>
        <v>0</v>
      </c>
      <c r="AI34">
        <f t="shared" si="22"/>
        <v>0</v>
      </c>
      <c r="AJ34">
        <f t="shared" si="11"/>
        <v>1</v>
      </c>
      <c r="AK34">
        <f t="shared" si="21"/>
        <v>0</v>
      </c>
      <c r="AL34">
        <f>Constants!$B$44</f>
        <v>1.03</v>
      </c>
      <c r="AM34">
        <f>Constants!$B$41</f>
        <v>3.0539999999999998</v>
      </c>
      <c r="AN34">
        <f>Constants!$B$42</f>
        <v>18.399999999999999</v>
      </c>
      <c r="AO34">
        <f>Constants!$B$43</f>
        <v>0.6</v>
      </c>
      <c r="AP34">
        <f t="shared" si="13"/>
        <v>0.5948500000000001</v>
      </c>
      <c r="AQ34">
        <f t="shared" si="14"/>
        <v>0</v>
      </c>
      <c r="AR34">
        <f>IF(Y34="milkingCows", Constants!$P$2, Constants!$P$3)</f>
        <v>1</v>
      </c>
      <c r="AS34" t="str">
        <f t="shared" si="15"/>
        <v/>
      </c>
      <c r="AT34" t="str">
        <f t="shared" si="16"/>
        <v/>
      </c>
      <c r="AU34" t="str">
        <f>_xlfn.XLOOKUP(Y34, Constants!$B$13:$H$13, Constants!$B$14:$H$14, "")</f>
        <v/>
      </c>
      <c r="AV34" t="str">
        <f t="shared" si="17"/>
        <v/>
      </c>
      <c r="AW34">
        <f>Constants!$B$55</f>
        <v>6.25</v>
      </c>
      <c r="AX34" t="str">
        <f t="shared" si="1"/>
        <v/>
      </c>
      <c r="AY34" t="str">
        <f t="shared" si="2"/>
        <v/>
      </c>
      <c r="AZ34" t="str">
        <f t="shared" si="18"/>
        <v/>
      </c>
      <c r="BA34">
        <f>IF(ISNUMBER(FIND("PreWeaned",Y34)),_xlfn.XLOOKUP(Y34,Constants!$J$2:$J$3,Constants!$M$2:$M$3),"")</f>
        <v>9.1999999999999998E-3</v>
      </c>
      <c r="BB34">
        <f t="shared" si="3"/>
        <v>228.15999999999997</v>
      </c>
      <c r="BC34">
        <f t="shared" si="4"/>
        <v>0</v>
      </c>
      <c r="BD34">
        <f t="shared" si="5"/>
        <v>0</v>
      </c>
      <c r="BE34">
        <f t="shared" si="6"/>
        <v>0</v>
      </c>
      <c r="BF34">
        <f t="shared" si="7"/>
        <v>0</v>
      </c>
      <c r="BG34">
        <f t="shared" si="8"/>
        <v>228.15999999999997</v>
      </c>
      <c r="BH34">
        <f t="shared" si="9"/>
        <v>1</v>
      </c>
      <c r="BI34">
        <f>Constants!$B$54</f>
        <v>0.02</v>
      </c>
      <c r="BJ34">
        <f>Constants!$B$53</f>
        <v>0.24</v>
      </c>
      <c r="BK34">
        <f t="shared" si="23"/>
        <v>0</v>
      </c>
      <c r="BL34">
        <f t="shared" si="23"/>
        <v>54.758399999999988</v>
      </c>
      <c r="BM34">
        <f>Constants!$B$52</f>
        <v>1.0999999999999999E-2</v>
      </c>
      <c r="BN34">
        <f>Constants!$B$50</f>
        <v>1.57</v>
      </c>
      <c r="BO34">
        <f t="shared" si="20"/>
        <v>0.9456775679999998</v>
      </c>
    </row>
    <row r="35" spans="1:68" s="16" customFormat="1" x14ac:dyDescent="0.2">
      <c r="A35" s="16" t="str">
        <f>'Input Scenarios'!A100</f>
        <v>TAS</v>
      </c>
      <c r="B35" s="16" t="str">
        <f>'Input Scenarios'!B100</f>
        <v>10 or below</v>
      </c>
      <c r="C35" s="16" t="str">
        <f>'Input Scenarios'!C100</f>
        <v>Irrigated crop</v>
      </c>
      <c r="D35" s="16" t="str">
        <f>'Input Scenarios'!D100</f>
        <v>dry</v>
      </c>
      <c r="E35" s="16" t="b">
        <f>'Input Scenarios'!E100</f>
        <v>1</v>
      </c>
      <c r="G35" s="16">
        <f>'Input Scenarios'!G100</f>
        <v>0</v>
      </c>
      <c r="H35" s="16">
        <f>'Input Scenarios'!H100</f>
        <v>0.1</v>
      </c>
      <c r="I35" s="16">
        <f>'Input Scenarios'!I100</f>
        <v>0.9</v>
      </c>
      <c r="J35" s="16">
        <f>'Input Scenarios'!J100</f>
        <v>0.1</v>
      </c>
      <c r="K35" s="16">
        <f>'Input Scenarios'!K100</f>
        <v>0.2</v>
      </c>
      <c r="L35" s="16">
        <f>'Input Scenarios'!L100</f>
        <v>0.3</v>
      </c>
      <c r="M35" s="16">
        <f>'Input Scenarios'!M100</f>
        <v>0.4</v>
      </c>
      <c r="N35" s="16">
        <f>'Input Scenarios'!N100</f>
        <v>0.4</v>
      </c>
      <c r="O35" s="16">
        <f>'Input Scenarios'!O100</f>
        <v>0.3</v>
      </c>
      <c r="P35" s="16">
        <f>'Input Scenarios'!P100</f>
        <v>0.2</v>
      </c>
      <c r="Q35" s="16">
        <f>'Input Scenarios'!Q100</f>
        <v>0.1</v>
      </c>
      <c r="R35" s="16" t="b">
        <f>'Input Scenarios'!R35</f>
        <v>0</v>
      </c>
      <c r="S35" s="16">
        <f>IF('Input Scenarios'!S100&lt;&gt;"", 'Input Scenarios'!S100, IF(R100, Constants!$B$38, 0))</f>
        <v>0</v>
      </c>
      <c r="T35" s="16" t="str">
        <f>IF('Input Scenarios'!T100&lt;&gt;"", 'Input Scenarios'!T100, "")</f>
        <v/>
      </c>
      <c r="U35" s="16">
        <f>IF('Input Scenarios'!U100&lt;&gt;"", 'Input Scenarios'!U100, IF(W35&lt;&gt;"", "", Constants!$B$39))</f>
        <v>4</v>
      </c>
      <c r="V35" s="16">
        <f>IF('Input Scenarios'!V100&lt;&gt;"", 'Input Scenarios'!V100, IF(W35&lt;&gt;"", "", Constants!$B$40))</f>
        <v>3.3</v>
      </c>
      <c r="W35" s="16" t="str">
        <f>IF('Input Scenarios'!W100&lt;&gt;"", 'Input Scenarios'!W100, "")</f>
        <v/>
      </c>
      <c r="X35" s="16" t="str">
        <f>'Input Scenarios'!X100</f>
        <v>Illawarra/Aussie Red</v>
      </c>
      <c r="Y35" s="16" t="str">
        <f>'Input Scenarios'!Y100</f>
        <v>bullsLt1Weaned</v>
      </c>
      <c r="Z35" s="16">
        <f>'Input Scenarios'!Z100</f>
        <v>200</v>
      </c>
      <c r="AA35" s="16">
        <f>'Input Scenarios'!AA100</f>
        <v>294</v>
      </c>
      <c r="AB35" s="16">
        <f>'Input Scenarios'!AB100</f>
        <v>225</v>
      </c>
      <c r="AC35" s="16">
        <f>IF('Input Scenarios'!AC100&lt;&gt;"", 'Input Scenarios'!AC100, _xlfn.XLOOKUP(Y35, Constants!$B$13:$H$13, Constants!$B$15:$H$15, ""))</f>
        <v>0.8</v>
      </c>
      <c r="AD35" s="16">
        <f>IF('Input Scenarios'!AD100&lt;&gt;"", 'Input Scenarios'!AD100, Constants!$B$45)</f>
        <v>0.75</v>
      </c>
      <c r="AE35" s="16">
        <f>IF('Input Scenarios'!AE100&lt;&gt;"", 'Input Scenarios'!AE100, Constants!$B$46)</f>
        <v>0.2</v>
      </c>
      <c r="AF35" s="16">
        <f t="shared" si="22"/>
        <v>0</v>
      </c>
      <c r="AG35" s="16">
        <f t="shared" si="22"/>
        <v>0</v>
      </c>
      <c r="AH35" s="16">
        <f t="shared" si="22"/>
        <v>0</v>
      </c>
      <c r="AI35" s="16">
        <f t="shared" si="22"/>
        <v>0</v>
      </c>
      <c r="AJ35" s="16">
        <f t="shared" si="11"/>
        <v>1</v>
      </c>
      <c r="AK35" s="16">
        <f t="shared" si="21"/>
        <v>0</v>
      </c>
      <c r="AL35" s="16">
        <f>Constants!$B$44</f>
        <v>1.03</v>
      </c>
      <c r="AM35" s="16">
        <f>Constants!$B$41</f>
        <v>3.0539999999999998</v>
      </c>
      <c r="AN35" s="16">
        <f>Constants!$B$42</f>
        <v>18.399999999999999</v>
      </c>
      <c r="AO35" s="16">
        <f>Constants!$B$43</f>
        <v>0.6</v>
      </c>
      <c r="AP35" s="16">
        <f t="shared" si="13"/>
        <v>0.5948500000000001</v>
      </c>
      <c r="AQ35" s="16">
        <f t="shared" si="14"/>
        <v>0</v>
      </c>
      <c r="AR35" s="16">
        <f>IF(Y35="milkingCows", Constants!$P$2, Constants!$P$3)</f>
        <v>1</v>
      </c>
      <c r="AS35" s="16">
        <f t="shared" si="15"/>
        <v>5.4143472656250013</v>
      </c>
      <c r="AT35" s="16">
        <f t="shared" si="16"/>
        <v>1.2576570545672616</v>
      </c>
      <c r="AU35" s="16">
        <f>_xlfn.XLOOKUP(Y35, Constants!$B$13:$H$13, Constants!$B$14:$H$14, "")</f>
        <v>770</v>
      </c>
      <c r="AV35" s="16">
        <f t="shared" si="17"/>
        <v>0.29220779220779219</v>
      </c>
      <c r="AW35" s="16">
        <f>Constants!$B$55</f>
        <v>6.25</v>
      </c>
      <c r="AX35" s="16">
        <f t="shared" si="1"/>
        <v>1.9757354894894084E-2</v>
      </c>
      <c r="AY35" s="16">
        <f t="shared" si="2"/>
        <v>1.0828694531250003</v>
      </c>
      <c r="AZ35" s="16">
        <f t="shared" si="18"/>
        <v>0.15247929000170721</v>
      </c>
      <c r="BA35" s="16" t="str">
        <f>IF(ISNUMBER(FIND("PreWeaned",Y35)),_xlfn.XLOOKUP(Y35,Constants!$J$2:$J$3,Constants!$M$2:$M$3),"")</f>
        <v/>
      </c>
      <c r="BB35" s="16">
        <f t="shared" si="3"/>
        <v>8965.7822521003836</v>
      </c>
      <c r="BC35" s="16">
        <f t="shared" si="4"/>
        <v>0</v>
      </c>
      <c r="BD35" s="16">
        <f t="shared" si="5"/>
        <v>0</v>
      </c>
      <c r="BE35" s="16">
        <f t="shared" si="6"/>
        <v>0</v>
      </c>
      <c r="BF35" s="16">
        <f t="shared" si="7"/>
        <v>0</v>
      </c>
      <c r="BG35" s="16">
        <f t="shared" si="8"/>
        <v>8965.7822521003836</v>
      </c>
      <c r="BH35" s="16">
        <f t="shared" si="9"/>
        <v>1</v>
      </c>
      <c r="BI35" s="16">
        <f>Constants!$B$54</f>
        <v>0.02</v>
      </c>
      <c r="BJ35" s="16">
        <f>Constants!$B$53</f>
        <v>0.24</v>
      </c>
      <c r="BK35" s="16">
        <f t="shared" si="23"/>
        <v>0</v>
      </c>
      <c r="BL35" s="16">
        <f t="shared" si="23"/>
        <v>2151.7877405040922</v>
      </c>
      <c r="BM35" s="16">
        <f>Constants!$B$52</f>
        <v>1.0999999999999999E-2</v>
      </c>
      <c r="BN35" s="16">
        <f>Constants!$B$50</f>
        <v>1.57</v>
      </c>
      <c r="BO35" s="16">
        <f t="shared" si="20"/>
        <v>37.161374278505676</v>
      </c>
    </row>
    <row r="36" spans="1:68" x14ac:dyDescent="0.2">
      <c r="A36" t="str">
        <f>'Input Scenarios'!A101</f>
        <v>VIC</v>
      </c>
      <c r="B36">
        <f>'Input Scenarios'!B101</f>
        <v>14</v>
      </c>
      <c r="C36" t="str">
        <f>'Input Scenarios'!C101</f>
        <v>Non-irrigated pasture</v>
      </c>
      <c r="D36" t="str">
        <f>'Input Scenarios'!D101</f>
        <v>wet</v>
      </c>
      <c r="E36" t="b">
        <f>'Input Scenarios'!E101</f>
        <v>0</v>
      </c>
      <c r="G36">
        <f>'Input Scenarios'!G101</f>
        <v>0.43</v>
      </c>
      <c r="H36">
        <f>'Input Scenarios'!H101</f>
        <v>0.14000000000000001</v>
      </c>
      <c r="I36">
        <f>'Input Scenarios'!I101</f>
        <v>0.43</v>
      </c>
      <c r="J36">
        <f>'Input Scenarios'!J101</f>
        <v>0.25</v>
      </c>
      <c r="K36">
        <f>'Input Scenarios'!K101</f>
        <v>0.25</v>
      </c>
      <c r="L36">
        <f>'Input Scenarios'!L101</f>
        <v>0.25</v>
      </c>
      <c r="M36">
        <f>'Input Scenarios'!M101</f>
        <v>0.25</v>
      </c>
      <c r="N36">
        <f>'Input Scenarios'!N101</f>
        <v>0.25</v>
      </c>
      <c r="O36">
        <f>'Input Scenarios'!O101</f>
        <v>0.25</v>
      </c>
      <c r="P36">
        <f>'Input Scenarios'!P101</f>
        <v>0.25</v>
      </c>
      <c r="Q36">
        <f>'Input Scenarios'!Q101</f>
        <v>0.25</v>
      </c>
      <c r="R36" t="b">
        <f>'Input Scenarios'!R36</f>
        <v>1</v>
      </c>
      <c r="S36">
        <f>IF('Input Scenarios'!S101&lt;&gt;"", 'Input Scenarios'!S101, IF(R101, Constants!$B$38, 0))</f>
        <v>0.18</v>
      </c>
      <c r="T36" s="20" t="str">
        <f>IF('Input Scenarios'!T101&lt;&gt;"", 'Input Scenarios'!T101, "")</f>
        <v/>
      </c>
      <c r="U36" s="20" t="str">
        <f>IF('Input Scenarios'!U101&lt;&gt;"", 'Input Scenarios'!U101, IF(W36&lt;&gt;"", "", Constants!$B$39))</f>
        <v/>
      </c>
      <c r="V36" s="20" t="str">
        <f>IF('Input Scenarios'!V101&lt;&gt;"", 'Input Scenarios'!V101, IF(W36&lt;&gt;"", "", Constants!$B$40))</f>
        <v/>
      </c>
      <c r="W36" s="20">
        <f>IF('Input Scenarios'!W101&lt;&gt;"", 'Input Scenarios'!W101, "")</f>
        <v>30</v>
      </c>
      <c r="X36" s="20" t="str">
        <f>'Input Scenarios'!X101</f>
        <v>Jersey</v>
      </c>
      <c r="Y36" s="20" t="str">
        <f>'Input Scenarios'!Y101</f>
        <v>milkingCows</v>
      </c>
      <c r="Z36" s="20">
        <f>'Input Scenarios'!Z101</f>
        <v>200</v>
      </c>
      <c r="AA36" s="20">
        <f>'Input Scenarios'!AA101</f>
        <v>365</v>
      </c>
      <c r="AB36" s="20">
        <f>'Input Scenarios'!AB101</f>
        <v>400</v>
      </c>
      <c r="AC36">
        <f>IF('Input Scenarios'!AC101&lt;&gt;"", 'Input Scenarios'!AC101, _xlfn.XLOOKUP(Y36, Constants!$B$13:$H$13, Constants!$B$15:$H$15, ""))</f>
        <v>1.6E-2</v>
      </c>
      <c r="AD36">
        <f>IF('Input Scenarios'!AD101&lt;&gt;"", 'Input Scenarios'!AD101, Constants!$B$45)</f>
        <v>0.75</v>
      </c>
      <c r="AE36">
        <f>IF('Input Scenarios'!AE101&lt;&gt;"", 'Input Scenarios'!AE101, Constants!$B$46)</f>
        <v>0.2</v>
      </c>
      <c r="AF36" s="20">
        <f>IF($Y36="milkingCows",($H36*J36)+($I36*N36), 0)</f>
        <v>0.14250000000000002</v>
      </c>
      <c r="AG36" s="20">
        <f t="shared" si="22"/>
        <v>0.14250000000000002</v>
      </c>
      <c r="AH36" s="20">
        <f t="shared" si="22"/>
        <v>0.14250000000000002</v>
      </c>
      <c r="AI36" s="20">
        <f t="shared" si="22"/>
        <v>0.14250000000000002</v>
      </c>
      <c r="AJ36" s="20">
        <f>IF($Y36="milkingCows",G36, 1)</f>
        <v>0.43</v>
      </c>
      <c r="AK36">
        <f>IF(Y36="milkingCows", IF(W36&lt;&gt;"", W36, T36/((U36+V36)*0.01)), 0)</f>
        <v>30</v>
      </c>
      <c r="AL36">
        <f>Constants!$B$44</f>
        <v>1.03</v>
      </c>
      <c r="AM36">
        <f>Constants!$B$41</f>
        <v>3.0539999999999998</v>
      </c>
      <c r="AN36">
        <f>Constants!$B$42</f>
        <v>18.399999999999999</v>
      </c>
      <c r="AO36">
        <f>Constants!$B$43</f>
        <v>0.6</v>
      </c>
      <c r="AP36">
        <f>0.795*(AD36)-0.0014</f>
        <v>0.5948500000000001</v>
      </c>
      <c r="AQ36">
        <f>(AK36*AL36*AM36)/(AN36*AO36*AP36)</f>
        <v>14.369808245410789</v>
      </c>
      <c r="AR36">
        <f>IF(Y36="milkingCows", Constants!$P$2, Constants!$P$3)</f>
        <v>1.1000000000000001</v>
      </c>
      <c r="AS36">
        <f>IFERROR(((1.185+(0.00454*AB36)-(0.0000026*(AB36^2))+(0.315*AC36))^2*AR36+AQ36), "")</f>
        <v>21.748946167170789</v>
      </c>
      <c r="AT36">
        <f>IFERROR(((1.185+(0.00454*AB36)-(0.0000026*(AB36^2))+(0.315*AC36))^2*AR36+AQ36)/((1.185+(0.00454*AB36)-(0.0000026*(AB36^2)))^2*AR36+AQ36), "")</f>
        <v>1.001320906258945</v>
      </c>
      <c r="AU36">
        <f>_xlfn.XLOOKUP(Y36, Constants!$B$13:$H$13, Constants!$B$14:$H$14, "")</f>
        <v>590</v>
      </c>
      <c r="AV36">
        <f>IFERROR(AB36/AU36, "")</f>
        <v>0.67796610169491522</v>
      </c>
      <c r="AW36">
        <f>Constants!$B$55</f>
        <v>6.25</v>
      </c>
      <c r="AX36" s="20">
        <f t="shared" si="1"/>
        <v>0.1552092207973319</v>
      </c>
      <c r="AY36">
        <f t="shared" si="2"/>
        <v>4.3497892334341577</v>
      </c>
      <c r="AZ36">
        <f>IF(ISNUMBER(FIND("PreWeaned",Y36)),"", MAX((AY36/AW36)-AX36-(((1.1*10^-4)*(AB36^0.75))/AW36), 0))</f>
        <v>0.53918286469597354</v>
      </c>
      <c r="BA36" t="str">
        <f>IF(ISNUMBER(FIND("PreWeaned",Y36)),_xlfn.XLOOKUP(Y36,Constants!$J$2:$J$3,Constants!$M$2:$M$3),"")</f>
        <v/>
      </c>
      <c r="BB36">
        <f t="shared" si="3"/>
        <v>39360.349122806067</v>
      </c>
      <c r="BC36">
        <f t="shared" si="4"/>
        <v>5608.8497499998648</v>
      </c>
      <c r="BD36">
        <f t="shared" si="5"/>
        <v>5608.8497499998648</v>
      </c>
      <c r="BE36">
        <f t="shared" si="6"/>
        <v>5608.8497499998648</v>
      </c>
      <c r="BF36">
        <f t="shared" si="7"/>
        <v>5608.8497499998648</v>
      </c>
      <c r="BG36">
        <f t="shared" si="8"/>
        <v>16924.950122806607</v>
      </c>
      <c r="BH36">
        <f t="shared" si="9"/>
        <v>0</v>
      </c>
      <c r="BI36">
        <f>Constants!$B$54</f>
        <v>0.02</v>
      </c>
      <c r="BJ36">
        <f>Constants!$B$53</f>
        <v>0.24</v>
      </c>
      <c r="BK36">
        <f>BF36*$BH36*BI36</f>
        <v>0</v>
      </c>
      <c r="BL36">
        <f>BG36*$BH36*BJ36</f>
        <v>0</v>
      </c>
      <c r="BM36">
        <f>Constants!$B$52</f>
        <v>1.0999999999999999E-2</v>
      </c>
      <c r="BN36">
        <f>Constants!$B$50</f>
        <v>1.57</v>
      </c>
      <c r="BO36">
        <f>SUM(BK36:BL36)*BM36*BN36</f>
        <v>0</v>
      </c>
      <c r="BP36">
        <f>SUM(BO36:BO42)/1000</f>
        <v>0</v>
      </c>
    </row>
    <row r="37" spans="1:68" x14ac:dyDescent="0.2">
      <c r="A37" t="str">
        <f>'Input Scenarios'!A102</f>
        <v>VIC</v>
      </c>
      <c r="B37">
        <f>'Input Scenarios'!B102</f>
        <v>14</v>
      </c>
      <c r="C37" t="str">
        <f>'Input Scenarios'!C102</f>
        <v>Non-irrigated pasture</v>
      </c>
      <c r="D37" t="str">
        <f>'Input Scenarios'!D102</f>
        <v>wet</v>
      </c>
      <c r="E37" t="b">
        <f>'Input Scenarios'!E102</f>
        <v>0</v>
      </c>
      <c r="G37">
        <f>'Input Scenarios'!G102</f>
        <v>0.43</v>
      </c>
      <c r="H37">
        <f>'Input Scenarios'!H102</f>
        <v>0.14000000000000001</v>
      </c>
      <c r="I37">
        <f>'Input Scenarios'!I102</f>
        <v>0.43</v>
      </c>
      <c r="J37">
        <f>'Input Scenarios'!J102</f>
        <v>0.25</v>
      </c>
      <c r="K37">
        <f>'Input Scenarios'!K102</f>
        <v>0.25</v>
      </c>
      <c r="L37">
        <f>'Input Scenarios'!L102</f>
        <v>0.25</v>
      </c>
      <c r="M37">
        <f>'Input Scenarios'!M102</f>
        <v>0.25</v>
      </c>
      <c r="N37">
        <f>'Input Scenarios'!N102</f>
        <v>0.25</v>
      </c>
      <c r="O37">
        <f>'Input Scenarios'!O102</f>
        <v>0.25</v>
      </c>
      <c r="P37">
        <f>'Input Scenarios'!P102</f>
        <v>0.25</v>
      </c>
      <c r="Q37">
        <f>'Input Scenarios'!Q102</f>
        <v>0.25</v>
      </c>
      <c r="R37" t="b">
        <f>'Input Scenarios'!R37</f>
        <v>1</v>
      </c>
      <c r="S37">
        <f>IF('Input Scenarios'!S102&lt;&gt;"", 'Input Scenarios'!S102, IF(R102, Constants!$B$38, 0))</f>
        <v>0.18</v>
      </c>
      <c r="T37" t="str">
        <f>IF('Input Scenarios'!T102&lt;&gt;"", 'Input Scenarios'!T102, "")</f>
        <v/>
      </c>
      <c r="U37">
        <f>IF('Input Scenarios'!U102&lt;&gt;"", 'Input Scenarios'!U102, IF(W37&lt;&gt;"", "", Constants!$B$39))</f>
        <v>4</v>
      </c>
      <c r="V37">
        <f>IF('Input Scenarios'!V102&lt;&gt;"", 'Input Scenarios'!V102, IF(W37&lt;&gt;"", "", Constants!$B$40))</f>
        <v>3.3</v>
      </c>
      <c r="W37" t="str">
        <f>IF('Input Scenarios'!W102&lt;&gt;"", 'Input Scenarios'!W102, "")</f>
        <v/>
      </c>
      <c r="X37" t="str">
        <f>'Input Scenarios'!X102</f>
        <v>Jersey</v>
      </c>
      <c r="Y37" t="str">
        <f>'Input Scenarios'!Y102</f>
        <v>heifersGt1</v>
      </c>
      <c r="Z37">
        <f>'Input Scenarios'!Z102</f>
        <v>200</v>
      </c>
      <c r="AA37">
        <f>'Input Scenarios'!AA102</f>
        <v>265</v>
      </c>
      <c r="AB37">
        <f>'Input Scenarios'!AB102</f>
        <v>275</v>
      </c>
      <c r="AC37">
        <f>IF('Input Scenarios'!AC102&lt;&gt;"", 'Input Scenarios'!AC102, _xlfn.XLOOKUP(Y37, Constants!$B$13:$H$13, Constants!$B$15:$H$15, ""))</f>
        <v>0.6</v>
      </c>
      <c r="AD37">
        <f>IF('Input Scenarios'!AD102&lt;&gt;"", 'Input Scenarios'!AD102, Constants!$B$45)</f>
        <v>0.75</v>
      </c>
      <c r="AE37">
        <f>IF('Input Scenarios'!AE102&lt;&gt;"", 'Input Scenarios'!AE102, Constants!$B$46)</f>
        <v>0.2</v>
      </c>
      <c r="AF37">
        <f t="shared" ref="AF37:AI56" si="24">IF($Y37="milkingCows",($H37*J37)+($I37*N37), 0)</f>
        <v>0</v>
      </c>
      <c r="AG37">
        <f t="shared" si="22"/>
        <v>0</v>
      </c>
      <c r="AH37">
        <f t="shared" si="22"/>
        <v>0</v>
      </c>
      <c r="AI37">
        <f t="shared" si="22"/>
        <v>0</v>
      </c>
      <c r="AJ37">
        <f t="shared" ref="AJ37:AJ56" si="25">IF($Y37="milkingCows",G37, 1)</f>
        <v>1</v>
      </c>
      <c r="AK37">
        <f t="shared" ref="AK37:AK41" si="26">IF(Y37="milkingCows", IF(W37&lt;&gt;"", W37, T37/((U37+V37)*0.01)), 0)</f>
        <v>0</v>
      </c>
      <c r="AL37">
        <f>Constants!$B$44</f>
        <v>1.03</v>
      </c>
      <c r="AM37">
        <f>Constants!$B$41</f>
        <v>3.0539999999999998</v>
      </c>
      <c r="AN37">
        <f>Constants!$B$42</f>
        <v>18.399999999999999</v>
      </c>
      <c r="AO37">
        <f>Constants!$B$43</f>
        <v>0.6</v>
      </c>
      <c r="AP37">
        <f t="shared" ref="AP37:AP63" si="27">0.795*(AD37)-0.0014</f>
        <v>0.5948500000000001</v>
      </c>
      <c r="AQ37">
        <f t="shared" ref="AQ37:AQ63" si="28">(AK37*AL37*AM37)/(AN37*AO37*AP37)</f>
        <v>0</v>
      </c>
      <c r="AR37">
        <f>IF(Y37="milkingCows", Constants!$P$2, Constants!$P$3)</f>
        <v>1</v>
      </c>
      <c r="AS37">
        <f t="shared" ref="AS37:AS63" si="29">IFERROR(((1.185+(0.00454*AB37)-(0.0000026*(AB37^2))+(0.315*AC37))^2*AR37+AQ37), "")</f>
        <v>5.8848695156249997</v>
      </c>
      <c r="AT37">
        <f t="shared" ref="AT37:AT63" si="30">IFERROR(((1.185+(0.00454*AB37)-(0.0000026*(AB37^2))+(0.315*AC37))^2*AR37+AQ37)/((1.185+(0.00454*AB37)-(0.0000026*(AB37^2)))^2*AR37+AQ37), "")</f>
        <v>1.1761247961530272</v>
      </c>
      <c r="AU37">
        <f>_xlfn.XLOOKUP(Y37, Constants!$B$13:$H$13, Constants!$B$14:$H$14, "")</f>
        <v>590</v>
      </c>
      <c r="AV37">
        <f t="shared" ref="AV37:AV63" si="31">IFERROR(AB37/AU37, "")</f>
        <v>0.46610169491525422</v>
      </c>
      <c r="AW37">
        <f>Constants!$B$55</f>
        <v>6.25</v>
      </c>
      <c r="AX37">
        <f t="shared" si="1"/>
        <v>1.1565345708946049E-2</v>
      </c>
      <c r="AY37">
        <f t="shared" si="2"/>
        <v>1.1769739031249999</v>
      </c>
      <c r="AZ37">
        <f t="shared" si="18"/>
        <v>0.17556194320862142</v>
      </c>
      <c r="BA37" t="str">
        <f>IF(ISNUMBER(FIND("PreWeaned",Y37)),_xlfn.XLOOKUP(Y37,Constants!$J$2:$J$3,Constants!$M$2:$M$3),"")</f>
        <v/>
      </c>
      <c r="BB37">
        <f t="shared" si="3"/>
        <v>9304.7829900569359</v>
      </c>
      <c r="BC37">
        <f t="shared" si="4"/>
        <v>0</v>
      </c>
      <c r="BD37">
        <f t="shared" si="5"/>
        <v>0</v>
      </c>
      <c r="BE37">
        <f t="shared" si="6"/>
        <v>0</v>
      </c>
      <c r="BF37">
        <f t="shared" si="7"/>
        <v>0</v>
      </c>
      <c r="BG37">
        <f t="shared" si="8"/>
        <v>9304.7829900569359</v>
      </c>
      <c r="BH37">
        <f t="shared" si="9"/>
        <v>0</v>
      </c>
      <c r="BI37">
        <f>Constants!$B$54</f>
        <v>0.02</v>
      </c>
      <c r="BJ37">
        <f>Constants!$B$53</f>
        <v>0.24</v>
      </c>
      <c r="BK37">
        <f t="shared" ref="BK37:BL63" si="32">BF37*$BH37*BI37</f>
        <v>0</v>
      </c>
      <c r="BL37">
        <f t="shared" si="32"/>
        <v>0</v>
      </c>
      <c r="BM37">
        <f>Constants!$B$52</f>
        <v>1.0999999999999999E-2</v>
      </c>
      <c r="BN37">
        <f>Constants!$B$50</f>
        <v>1.57</v>
      </c>
      <c r="BO37">
        <f t="shared" ref="BO37:BO63" si="33">SUM(BK37:BL37)*BM37*BN37</f>
        <v>0</v>
      </c>
    </row>
    <row r="38" spans="1:68" x14ac:dyDescent="0.2">
      <c r="A38" t="str">
        <f>'Input Scenarios'!A103</f>
        <v>VIC</v>
      </c>
      <c r="B38">
        <f>'Input Scenarios'!B103</f>
        <v>14</v>
      </c>
      <c r="C38" t="str">
        <f>'Input Scenarios'!C103</f>
        <v>Non-irrigated pasture</v>
      </c>
      <c r="D38" t="str">
        <f>'Input Scenarios'!D103</f>
        <v>wet</v>
      </c>
      <c r="E38" t="b">
        <f>'Input Scenarios'!E103</f>
        <v>0</v>
      </c>
      <c r="G38">
        <f>'Input Scenarios'!G103</f>
        <v>0.43</v>
      </c>
      <c r="H38">
        <f>'Input Scenarios'!H103</f>
        <v>0.14000000000000001</v>
      </c>
      <c r="I38">
        <f>'Input Scenarios'!I103</f>
        <v>0.43</v>
      </c>
      <c r="J38">
        <f>'Input Scenarios'!J103</f>
        <v>0.25</v>
      </c>
      <c r="K38">
        <f>'Input Scenarios'!K103</f>
        <v>0.25</v>
      </c>
      <c r="L38">
        <f>'Input Scenarios'!L103</f>
        <v>0.25</v>
      </c>
      <c r="M38">
        <f>'Input Scenarios'!M103</f>
        <v>0.25</v>
      </c>
      <c r="N38">
        <f>'Input Scenarios'!N103</f>
        <v>0.25</v>
      </c>
      <c r="O38">
        <f>'Input Scenarios'!O103</f>
        <v>0.25</v>
      </c>
      <c r="P38">
        <f>'Input Scenarios'!P103</f>
        <v>0.25</v>
      </c>
      <c r="Q38">
        <f>'Input Scenarios'!Q103</f>
        <v>0.25</v>
      </c>
      <c r="R38" t="b">
        <f>'Input Scenarios'!R38</f>
        <v>1</v>
      </c>
      <c r="S38">
        <f>IF('Input Scenarios'!S103&lt;&gt;"", 'Input Scenarios'!S103, IF(R103, Constants!$B$38, 0))</f>
        <v>0.18</v>
      </c>
      <c r="T38" t="str">
        <f>IF('Input Scenarios'!T103&lt;&gt;"", 'Input Scenarios'!T103, "")</f>
        <v/>
      </c>
      <c r="U38">
        <f>IF('Input Scenarios'!U103&lt;&gt;"", 'Input Scenarios'!U103, IF(W38&lt;&gt;"", "", Constants!$B$39))</f>
        <v>4</v>
      </c>
      <c r="V38">
        <f>IF('Input Scenarios'!V103&lt;&gt;"", 'Input Scenarios'!V103, IF(W38&lt;&gt;"", "", Constants!$B$40))</f>
        <v>3.3</v>
      </c>
      <c r="W38" t="str">
        <f>IF('Input Scenarios'!W103&lt;&gt;"", 'Input Scenarios'!W103, "")</f>
        <v/>
      </c>
      <c r="X38" t="str">
        <f>'Input Scenarios'!X103</f>
        <v>Jersey</v>
      </c>
      <c r="Y38" t="str">
        <f>'Input Scenarios'!Y103</f>
        <v>heifersLt1PreWeaned</v>
      </c>
      <c r="Z38">
        <f>'Input Scenarios'!Z103</f>
        <v>200</v>
      </c>
      <c r="AA38">
        <f>'Input Scenarios'!AA103</f>
        <v>100</v>
      </c>
      <c r="AB38">
        <f>'Input Scenarios'!AB103</f>
        <v>115</v>
      </c>
      <c r="AC38" t="str">
        <f>IF('Input Scenarios'!AC103&lt;&gt;"", 'Input Scenarios'!AC103, _xlfn.XLOOKUP(Y38, Constants!$B$13:$H$13, Constants!$B$15:$H$15, ""))</f>
        <v/>
      </c>
      <c r="AD38">
        <f>IF('Input Scenarios'!AD103&lt;&gt;"", 'Input Scenarios'!AD103, Constants!$B$45)</f>
        <v>0.75</v>
      </c>
      <c r="AE38">
        <f>IF('Input Scenarios'!AE103&lt;&gt;"", 'Input Scenarios'!AE103, Constants!$B$46)</f>
        <v>0.2</v>
      </c>
      <c r="AF38">
        <f t="shared" si="24"/>
        <v>0</v>
      </c>
      <c r="AG38">
        <f t="shared" si="22"/>
        <v>0</v>
      </c>
      <c r="AH38">
        <f t="shared" si="22"/>
        <v>0</v>
      </c>
      <c r="AI38">
        <f t="shared" si="22"/>
        <v>0</v>
      </c>
      <c r="AJ38">
        <f t="shared" si="25"/>
        <v>1</v>
      </c>
      <c r="AK38">
        <f t="shared" si="26"/>
        <v>0</v>
      </c>
      <c r="AL38">
        <f>Constants!$B$44</f>
        <v>1.03</v>
      </c>
      <c r="AM38">
        <f>Constants!$B$41</f>
        <v>3.0539999999999998</v>
      </c>
      <c r="AN38">
        <f>Constants!$B$42</f>
        <v>18.399999999999999</v>
      </c>
      <c r="AO38">
        <f>Constants!$B$43</f>
        <v>0.6</v>
      </c>
      <c r="AP38">
        <f t="shared" si="27"/>
        <v>0.5948500000000001</v>
      </c>
      <c r="AQ38">
        <f t="shared" si="28"/>
        <v>0</v>
      </c>
      <c r="AR38">
        <f>IF(Y38="milkingCows", Constants!$P$2, Constants!$P$3)</f>
        <v>1</v>
      </c>
      <c r="AS38" t="str">
        <f t="shared" si="29"/>
        <v/>
      </c>
      <c r="AT38" t="str">
        <f t="shared" si="30"/>
        <v/>
      </c>
      <c r="AU38" t="str">
        <f>_xlfn.XLOOKUP(Y38, Constants!$B$13:$H$13, Constants!$B$14:$H$14, "")</f>
        <v/>
      </c>
      <c r="AV38" t="str">
        <f t="shared" si="31"/>
        <v/>
      </c>
      <c r="AW38">
        <f>Constants!$B$55</f>
        <v>6.25</v>
      </c>
      <c r="AX38" t="str">
        <f t="shared" si="1"/>
        <v/>
      </c>
      <c r="AY38" t="str">
        <f t="shared" si="2"/>
        <v/>
      </c>
      <c r="AZ38" t="str">
        <f t="shared" si="18"/>
        <v/>
      </c>
      <c r="BA38">
        <f>IF(ISNUMBER(FIND("PreWeaned",Y38)),_xlfn.XLOOKUP(Y38,Constants!$J$2:$J$3,Constants!$M$2:$M$3),"")</f>
        <v>1.37E-2</v>
      </c>
      <c r="BB38">
        <f t="shared" si="3"/>
        <v>274</v>
      </c>
      <c r="BC38">
        <f t="shared" si="4"/>
        <v>0</v>
      </c>
      <c r="BD38">
        <f t="shared" si="5"/>
        <v>0</v>
      </c>
      <c r="BE38">
        <f t="shared" si="6"/>
        <v>0</v>
      </c>
      <c r="BF38">
        <f t="shared" si="7"/>
        <v>0</v>
      </c>
      <c r="BG38">
        <f t="shared" si="8"/>
        <v>274</v>
      </c>
      <c r="BH38">
        <f t="shared" si="9"/>
        <v>0</v>
      </c>
      <c r="BI38">
        <f>Constants!$B$54</f>
        <v>0.02</v>
      </c>
      <c r="BJ38">
        <f>Constants!$B$53</f>
        <v>0.24</v>
      </c>
      <c r="BK38">
        <f t="shared" si="32"/>
        <v>0</v>
      </c>
      <c r="BL38">
        <f t="shared" si="32"/>
        <v>0</v>
      </c>
      <c r="BM38">
        <f>Constants!$B$52</f>
        <v>1.0999999999999999E-2</v>
      </c>
      <c r="BN38">
        <f>Constants!$B$50</f>
        <v>1.57</v>
      </c>
      <c r="BO38">
        <f t="shared" si="33"/>
        <v>0</v>
      </c>
    </row>
    <row r="39" spans="1:68" x14ac:dyDescent="0.2">
      <c r="A39" t="str">
        <f>'Input Scenarios'!A104</f>
        <v>VIC</v>
      </c>
      <c r="B39">
        <f>'Input Scenarios'!B104</f>
        <v>14</v>
      </c>
      <c r="C39" t="str">
        <f>'Input Scenarios'!C104</f>
        <v>Non-irrigated pasture</v>
      </c>
      <c r="D39" t="str">
        <f>'Input Scenarios'!D104</f>
        <v>wet</v>
      </c>
      <c r="E39" t="b">
        <f>'Input Scenarios'!E104</f>
        <v>0</v>
      </c>
      <c r="G39">
        <f>'Input Scenarios'!G104</f>
        <v>0.43</v>
      </c>
      <c r="H39">
        <f>'Input Scenarios'!H104</f>
        <v>0.14000000000000001</v>
      </c>
      <c r="I39">
        <f>'Input Scenarios'!I104</f>
        <v>0.43</v>
      </c>
      <c r="J39">
        <f>'Input Scenarios'!J104</f>
        <v>0.25</v>
      </c>
      <c r="K39">
        <f>'Input Scenarios'!K104</f>
        <v>0.25</v>
      </c>
      <c r="L39">
        <f>'Input Scenarios'!L104</f>
        <v>0.25</v>
      </c>
      <c r="M39">
        <f>'Input Scenarios'!M104</f>
        <v>0.25</v>
      </c>
      <c r="N39">
        <f>'Input Scenarios'!N104</f>
        <v>0.25</v>
      </c>
      <c r="O39">
        <f>'Input Scenarios'!O104</f>
        <v>0.25</v>
      </c>
      <c r="P39">
        <f>'Input Scenarios'!P104</f>
        <v>0.25</v>
      </c>
      <c r="Q39">
        <f>'Input Scenarios'!Q104</f>
        <v>0.25</v>
      </c>
      <c r="R39" t="b">
        <f>'Input Scenarios'!R39</f>
        <v>1</v>
      </c>
      <c r="S39">
        <f>IF('Input Scenarios'!S104&lt;&gt;"", 'Input Scenarios'!S104, IF(R104, Constants!$B$38, 0))</f>
        <v>0.18</v>
      </c>
      <c r="T39" t="str">
        <f>IF('Input Scenarios'!T104&lt;&gt;"", 'Input Scenarios'!T104, "")</f>
        <v/>
      </c>
      <c r="U39">
        <f>IF('Input Scenarios'!U104&lt;&gt;"", 'Input Scenarios'!U104, IF(W39&lt;&gt;"", "", Constants!$B$39))</f>
        <v>4</v>
      </c>
      <c r="V39">
        <f>IF('Input Scenarios'!V104&lt;&gt;"", 'Input Scenarios'!V104, IF(W39&lt;&gt;"", "", Constants!$B$40))</f>
        <v>3.3</v>
      </c>
      <c r="W39" t="str">
        <f>IF('Input Scenarios'!W104&lt;&gt;"", 'Input Scenarios'!W104, "")</f>
        <v/>
      </c>
      <c r="X39" t="str">
        <f>'Input Scenarios'!X104</f>
        <v>Jersey</v>
      </c>
      <c r="Y39" t="str">
        <f>'Input Scenarios'!Y104</f>
        <v>heifersLt1Weaned</v>
      </c>
      <c r="Z39">
        <f>'Input Scenarios'!Z104</f>
        <v>200</v>
      </c>
      <c r="AA39">
        <f>'Input Scenarios'!AA104</f>
        <v>360</v>
      </c>
      <c r="AB39">
        <f>'Input Scenarios'!AB104</f>
        <v>115</v>
      </c>
      <c r="AC39">
        <f>IF('Input Scenarios'!AC104&lt;&gt;"", 'Input Scenarios'!AC104, _xlfn.XLOOKUP(Y39, Constants!$B$13:$H$13, Constants!$B$15:$H$15, ""))</f>
        <v>0.56999999999999995</v>
      </c>
      <c r="AD39">
        <f>IF('Input Scenarios'!AD104&lt;&gt;"", 'Input Scenarios'!AD104, Constants!$B$45)</f>
        <v>0.75</v>
      </c>
      <c r="AE39">
        <f>IF('Input Scenarios'!AE104&lt;&gt;"", 'Input Scenarios'!AE104, Constants!$B$46)</f>
        <v>0.2</v>
      </c>
      <c r="AF39">
        <f t="shared" si="24"/>
        <v>0</v>
      </c>
      <c r="AG39">
        <f t="shared" si="22"/>
        <v>0</v>
      </c>
      <c r="AH39">
        <f t="shared" si="22"/>
        <v>0</v>
      </c>
      <c r="AI39">
        <f t="shared" si="22"/>
        <v>0</v>
      </c>
      <c r="AJ39">
        <f t="shared" si="25"/>
        <v>1</v>
      </c>
      <c r="AK39">
        <f t="shared" si="26"/>
        <v>0</v>
      </c>
      <c r="AL39">
        <f>Constants!$B$44</f>
        <v>1.03</v>
      </c>
      <c r="AM39">
        <f>Constants!$B$41</f>
        <v>3.0539999999999998</v>
      </c>
      <c r="AN39">
        <f>Constants!$B$42</f>
        <v>18.399999999999999</v>
      </c>
      <c r="AO39">
        <f>Constants!$B$43</f>
        <v>0.6</v>
      </c>
      <c r="AP39">
        <f t="shared" si="27"/>
        <v>0.5948500000000001</v>
      </c>
      <c r="AQ39">
        <f t="shared" si="28"/>
        <v>0</v>
      </c>
      <c r="AR39">
        <f>IF(Y39="milkingCows", Constants!$P$2, Constants!$P$3)</f>
        <v>1</v>
      </c>
      <c r="AS39">
        <f t="shared" si="29"/>
        <v>3.4308856302250001</v>
      </c>
      <c r="AT39">
        <f t="shared" si="30"/>
        <v>1.2262028975982771</v>
      </c>
      <c r="AU39">
        <f>_xlfn.XLOOKUP(Y39, Constants!$B$13:$H$13, Constants!$B$14:$H$14, "")</f>
        <v>590</v>
      </c>
      <c r="AV39">
        <f t="shared" si="31"/>
        <v>0.19491525423728814</v>
      </c>
      <c r="AW39">
        <f>Constants!$B$55</f>
        <v>6.25</v>
      </c>
      <c r="AX39">
        <f t="shared" si="1"/>
        <v>1.5533805105434794E-2</v>
      </c>
      <c r="AY39">
        <f t="shared" si="2"/>
        <v>0.68617712604500003</v>
      </c>
      <c r="AZ39">
        <f t="shared" si="18"/>
        <v>9.3636467361806544E-2</v>
      </c>
      <c r="BA39" t="str">
        <f>IF(ISNUMBER(FIND("PreWeaned",Y39)),_xlfn.XLOOKUP(Y39,Constants!$J$2:$J$3,Constants!$M$2:$M$3),"")</f>
        <v/>
      </c>
      <c r="BB39">
        <f t="shared" si="3"/>
        <v>6741.825650050072</v>
      </c>
      <c r="BC39">
        <f t="shared" si="4"/>
        <v>0</v>
      </c>
      <c r="BD39">
        <f t="shared" si="5"/>
        <v>0</v>
      </c>
      <c r="BE39">
        <f t="shared" si="6"/>
        <v>0</v>
      </c>
      <c r="BF39">
        <f t="shared" si="7"/>
        <v>0</v>
      </c>
      <c r="BG39">
        <f t="shared" si="8"/>
        <v>6741.825650050072</v>
      </c>
      <c r="BH39">
        <f t="shared" si="9"/>
        <v>0</v>
      </c>
      <c r="BI39">
        <f>Constants!$B$54</f>
        <v>0.02</v>
      </c>
      <c r="BJ39">
        <f>Constants!$B$53</f>
        <v>0.24</v>
      </c>
      <c r="BK39">
        <f t="shared" si="32"/>
        <v>0</v>
      </c>
      <c r="BL39">
        <f t="shared" si="32"/>
        <v>0</v>
      </c>
      <c r="BM39">
        <f>Constants!$B$52</f>
        <v>1.0999999999999999E-2</v>
      </c>
      <c r="BN39">
        <f>Constants!$B$50</f>
        <v>1.57</v>
      </c>
      <c r="BO39">
        <f t="shared" si="33"/>
        <v>0</v>
      </c>
    </row>
    <row r="40" spans="1:68" x14ac:dyDescent="0.2">
      <c r="A40" t="str">
        <f>'Input Scenarios'!A105</f>
        <v>VIC</v>
      </c>
      <c r="B40">
        <f>'Input Scenarios'!B105</f>
        <v>14</v>
      </c>
      <c r="C40" t="str">
        <f>'Input Scenarios'!C105</f>
        <v>Non-irrigated pasture</v>
      </c>
      <c r="D40" t="str">
        <f>'Input Scenarios'!D105</f>
        <v>wet</v>
      </c>
      <c r="E40" t="b">
        <f>'Input Scenarios'!E105</f>
        <v>0</v>
      </c>
      <c r="G40">
        <f>'Input Scenarios'!G105</f>
        <v>0.43</v>
      </c>
      <c r="H40">
        <f>'Input Scenarios'!H105</f>
        <v>0.14000000000000001</v>
      </c>
      <c r="I40">
        <f>'Input Scenarios'!I105</f>
        <v>0.43</v>
      </c>
      <c r="J40">
        <f>'Input Scenarios'!J105</f>
        <v>0.25</v>
      </c>
      <c r="K40">
        <f>'Input Scenarios'!K105</f>
        <v>0.25</v>
      </c>
      <c r="L40">
        <f>'Input Scenarios'!L105</f>
        <v>0.25</v>
      </c>
      <c r="M40">
        <f>'Input Scenarios'!M105</f>
        <v>0.25</v>
      </c>
      <c r="N40">
        <f>'Input Scenarios'!N105</f>
        <v>0.25</v>
      </c>
      <c r="O40">
        <f>'Input Scenarios'!O105</f>
        <v>0.25</v>
      </c>
      <c r="P40">
        <f>'Input Scenarios'!P105</f>
        <v>0.25</v>
      </c>
      <c r="Q40">
        <f>'Input Scenarios'!Q105</f>
        <v>0.25</v>
      </c>
      <c r="R40" t="b">
        <f>'Input Scenarios'!R40</f>
        <v>1</v>
      </c>
      <c r="S40">
        <f>IF('Input Scenarios'!S105&lt;&gt;"", 'Input Scenarios'!S105, IF(R105, Constants!$B$38, 0))</f>
        <v>0.18</v>
      </c>
      <c r="T40" t="str">
        <f>IF('Input Scenarios'!T105&lt;&gt;"", 'Input Scenarios'!T105, "")</f>
        <v/>
      </c>
      <c r="U40">
        <f>IF('Input Scenarios'!U105&lt;&gt;"", 'Input Scenarios'!U105, IF(W40&lt;&gt;"", "", Constants!$B$39))</f>
        <v>4</v>
      </c>
      <c r="V40">
        <f>IF('Input Scenarios'!V105&lt;&gt;"", 'Input Scenarios'!V105, IF(W40&lt;&gt;"", "", Constants!$B$40))</f>
        <v>3.3</v>
      </c>
      <c r="W40" t="str">
        <f>IF('Input Scenarios'!W105&lt;&gt;"", 'Input Scenarios'!W105, "")</f>
        <v/>
      </c>
      <c r="X40" t="str">
        <f>'Input Scenarios'!X105</f>
        <v>Jersey</v>
      </c>
      <c r="Y40" t="str">
        <f>'Input Scenarios'!Y105</f>
        <v>bullsGt1</v>
      </c>
      <c r="Z40">
        <f>'Input Scenarios'!Z105</f>
        <v>200</v>
      </c>
      <c r="AA40">
        <f>'Input Scenarios'!AA105</f>
        <v>345</v>
      </c>
      <c r="AB40">
        <f>'Input Scenarios'!AB105</f>
        <v>600</v>
      </c>
      <c r="AC40">
        <f>IF('Input Scenarios'!AC105&lt;&gt;"", 'Input Scenarios'!AC105, _xlfn.XLOOKUP(Y40, Constants!$B$13:$H$13, Constants!$B$15:$H$15, ""))</f>
        <v>0.1</v>
      </c>
      <c r="AD40">
        <f>IF('Input Scenarios'!AD105&lt;&gt;"", 'Input Scenarios'!AD105, Constants!$B$45)</f>
        <v>0.75</v>
      </c>
      <c r="AE40">
        <f>IF('Input Scenarios'!AE105&lt;&gt;"", 'Input Scenarios'!AE105, Constants!$B$46)</f>
        <v>0.2</v>
      </c>
      <c r="AF40">
        <f t="shared" si="24"/>
        <v>0</v>
      </c>
      <c r="AG40">
        <f t="shared" si="22"/>
        <v>0</v>
      </c>
      <c r="AH40">
        <f t="shared" si="22"/>
        <v>0</v>
      </c>
      <c r="AI40">
        <f t="shared" si="22"/>
        <v>0</v>
      </c>
      <c r="AJ40">
        <f t="shared" si="25"/>
        <v>1</v>
      </c>
      <c r="AK40">
        <f t="shared" si="26"/>
        <v>0</v>
      </c>
      <c r="AL40">
        <f>Constants!$B$44</f>
        <v>1.03</v>
      </c>
      <c r="AM40">
        <f>Constants!$B$41</f>
        <v>3.0539999999999998</v>
      </c>
      <c r="AN40">
        <f>Constants!$B$42</f>
        <v>18.399999999999999</v>
      </c>
      <c r="AO40">
        <f>Constants!$B$43</f>
        <v>0.6</v>
      </c>
      <c r="AP40">
        <f t="shared" si="27"/>
        <v>0.5948500000000001</v>
      </c>
      <c r="AQ40">
        <f t="shared" si="28"/>
        <v>0</v>
      </c>
      <c r="AR40">
        <f>IF(Y40="milkingCows", Constants!$P$2, Constants!$P$3)</f>
        <v>1</v>
      </c>
      <c r="AS40">
        <f t="shared" si="29"/>
        <v>9.0270202499999979</v>
      </c>
      <c r="AT40">
        <f t="shared" si="30"/>
        <v>1.0213029780639273</v>
      </c>
      <c r="AU40">
        <f>_xlfn.XLOOKUP(Y40, Constants!$B$13:$H$13, Constants!$B$14:$H$14, "")</f>
        <v>770</v>
      </c>
      <c r="AV40">
        <f t="shared" si="31"/>
        <v>0.77922077922077926</v>
      </c>
      <c r="AW40">
        <f>Constants!$B$55</f>
        <v>6.25</v>
      </c>
      <c r="AX40">
        <f t="shared" ref="AX40:AX63" si="34">IFERROR((((0.212 - (0.008*(AT40-2)) - (0.14-0.008*(AT40-2))/(1+EXP(-6*(AV40-0.4)))) * AC40 * 0.92)/AW40) + (0.032*AK40*AL40)/6.38, "")</f>
        <v>1.2626203146474679E-3</v>
      </c>
      <c r="AY40">
        <f t="shared" ref="AY40:AY63" si="35">IFERROR(AE40*AS40, "")</f>
        <v>1.8054040499999997</v>
      </c>
      <c r="AZ40">
        <f t="shared" si="18"/>
        <v>0.28546836331241399</v>
      </c>
      <c r="BA40" t="str">
        <f>IF(ISNUMBER(FIND("PreWeaned",Y40)),_xlfn.XLOOKUP(Y40,Constants!$J$2:$J$3,Constants!$M$2:$M$3),"")</f>
        <v/>
      </c>
      <c r="BB40">
        <f t="shared" ref="BB40:BB63" si="36">SUM(AZ40:BA40)*Z40*AA40</f>
        <v>19697.317068556564</v>
      </c>
      <c r="BC40">
        <f t="shared" ref="BC40:BC63" si="37">$BB40*AF40</f>
        <v>0</v>
      </c>
      <c r="BD40">
        <f t="shared" ref="BD40:BD63" si="38">$BB40*AG40</f>
        <v>0</v>
      </c>
      <c r="BE40">
        <f t="shared" ref="BE40:BE63" si="39">$BB40*AH40</f>
        <v>0</v>
      </c>
      <c r="BF40">
        <f t="shared" ref="BF40:BF63" si="40">$BB40*AI40</f>
        <v>0</v>
      </c>
      <c r="BG40">
        <f t="shared" ref="BG40:BG63" si="41">$BB40*AJ40</f>
        <v>19697.317068556564</v>
      </c>
      <c r="BH40">
        <f t="shared" ref="BH40:BH63" si="42">IF(E40, 1, 0)</f>
        <v>0</v>
      </c>
      <c r="BI40">
        <f>Constants!$B$54</f>
        <v>0.02</v>
      </c>
      <c r="BJ40">
        <f>Constants!$B$53</f>
        <v>0.24</v>
      </c>
      <c r="BK40">
        <f t="shared" si="32"/>
        <v>0</v>
      </c>
      <c r="BL40">
        <f t="shared" si="32"/>
        <v>0</v>
      </c>
      <c r="BM40">
        <f>Constants!$B$52</f>
        <v>1.0999999999999999E-2</v>
      </c>
      <c r="BN40">
        <f>Constants!$B$50</f>
        <v>1.57</v>
      </c>
      <c r="BO40">
        <f t="shared" si="33"/>
        <v>0</v>
      </c>
    </row>
    <row r="41" spans="1:68" x14ac:dyDescent="0.2">
      <c r="A41" t="str">
        <f>'Input Scenarios'!A106</f>
        <v>VIC</v>
      </c>
      <c r="B41">
        <f>'Input Scenarios'!B106</f>
        <v>14</v>
      </c>
      <c r="C41" t="str">
        <f>'Input Scenarios'!C106</f>
        <v>Non-irrigated pasture</v>
      </c>
      <c r="D41" t="str">
        <f>'Input Scenarios'!D106</f>
        <v>wet</v>
      </c>
      <c r="E41" t="b">
        <f>'Input Scenarios'!E106</f>
        <v>0</v>
      </c>
      <c r="G41">
        <f>'Input Scenarios'!G106</f>
        <v>0.43</v>
      </c>
      <c r="H41">
        <f>'Input Scenarios'!H106</f>
        <v>0.14000000000000001</v>
      </c>
      <c r="I41">
        <f>'Input Scenarios'!I106</f>
        <v>0.43</v>
      </c>
      <c r="J41">
        <f>'Input Scenarios'!J106</f>
        <v>0.25</v>
      </c>
      <c r="K41">
        <f>'Input Scenarios'!K106</f>
        <v>0.25</v>
      </c>
      <c r="L41">
        <f>'Input Scenarios'!L106</f>
        <v>0.25</v>
      </c>
      <c r="M41">
        <f>'Input Scenarios'!M106</f>
        <v>0.25</v>
      </c>
      <c r="N41">
        <f>'Input Scenarios'!N106</f>
        <v>0.25</v>
      </c>
      <c r="O41">
        <f>'Input Scenarios'!O106</f>
        <v>0.25</v>
      </c>
      <c r="P41">
        <f>'Input Scenarios'!P106</f>
        <v>0.25</v>
      </c>
      <c r="Q41">
        <f>'Input Scenarios'!Q106</f>
        <v>0.25</v>
      </c>
      <c r="R41" t="b">
        <f>'Input Scenarios'!R41</f>
        <v>1</v>
      </c>
      <c r="S41">
        <f>IF('Input Scenarios'!S106&lt;&gt;"", 'Input Scenarios'!S106, IF(R106, Constants!$B$38, 0))</f>
        <v>0.18</v>
      </c>
      <c r="T41" t="str">
        <f>IF('Input Scenarios'!T106&lt;&gt;"", 'Input Scenarios'!T106, "")</f>
        <v/>
      </c>
      <c r="U41">
        <f>IF('Input Scenarios'!U106&lt;&gt;"", 'Input Scenarios'!U106, IF(W41&lt;&gt;"", "", Constants!$B$39))</f>
        <v>4</v>
      </c>
      <c r="V41">
        <f>IF('Input Scenarios'!V106&lt;&gt;"", 'Input Scenarios'!V106, IF(W41&lt;&gt;"", "", Constants!$B$40))</f>
        <v>3.3</v>
      </c>
      <c r="W41" t="str">
        <f>IF('Input Scenarios'!W106&lt;&gt;"", 'Input Scenarios'!W106, "")</f>
        <v/>
      </c>
      <c r="X41" t="str">
        <f>'Input Scenarios'!X106</f>
        <v>Jersey</v>
      </c>
      <c r="Y41" t="str">
        <f>'Input Scenarios'!Y106</f>
        <v>bullsLt1PreWeaned</v>
      </c>
      <c r="Z41">
        <f>'Input Scenarios'!Z106</f>
        <v>200</v>
      </c>
      <c r="AA41">
        <f>'Input Scenarios'!AA106</f>
        <v>124</v>
      </c>
      <c r="AB41">
        <f>'Input Scenarios'!AB106</f>
        <v>225</v>
      </c>
      <c r="AC41" t="str">
        <f>IF('Input Scenarios'!AC106&lt;&gt;"", 'Input Scenarios'!AC106, _xlfn.XLOOKUP(Y41, Constants!$B$13:$H$13, Constants!$B$15:$H$15, ""))</f>
        <v/>
      </c>
      <c r="AD41">
        <f>IF('Input Scenarios'!AD106&lt;&gt;"", 'Input Scenarios'!AD106, Constants!$B$45)</f>
        <v>0.75</v>
      </c>
      <c r="AE41">
        <f>IF('Input Scenarios'!AE106&lt;&gt;"", 'Input Scenarios'!AE106, Constants!$B$46)</f>
        <v>0.2</v>
      </c>
      <c r="AF41">
        <f t="shared" si="24"/>
        <v>0</v>
      </c>
      <c r="AG41">
        <f t="shared" si="22"/>
        <v>0</v>
      </c>
      <c r="AH41">
        <f t="shared" si="22"/>
        <v>0</v>
      </c>
      <c r="AI41">
        <f t="shared" si="22"/>
        <v>0</v>
      </c>
      <c r="AJ41">
        <f t="shared" si="25"/>
        <v>1</v>
      </c>
      <c r="AK41">
        <f t="shared" si="26"/>
        <v>0</v>
      </c>
      <c r="AL41">
        <f>Constants!$B$44</f>
        <v>1.03</v>
      </c>
      <c r="AM41">
        <f>Constants!$B$41</f>
        <v>3.0539999999999998</v>
      </c>
      <c r="AN41">
        <f>Constants!$B$42</f>
        <v>18.399999999999999</v>
      </c>
      <c r="AO41">
        <f>Constants!$B$43</f>
        <v>0.6</v>
      </c>
      <c r="AP41">
        <f t="shared" si="27"/>
        <v>0.5948500000000001</v>
      </c>
      <c r="AQ41">
        <f t="shared" si="28"/>
        <v>0</v>
      </c>
      <c r="AR41">
        <f>IF(Y41="milkingCows", Constants!$P$2, Constants!$P$3)</f>
        <v>1</v>
      </c>
      <c r="AS41" t="str">
        <f t="shared" si="29"/>
        <v/>
      </c>
      <c r="AT41" t="str">
        <f t="shared" si="30"/>
        <v/>
      </c>
      <c r="AU41" t="str">
        <f>_xlfn.XLOOKUP(Y41, Constants!$B$13:$H$13, Constants!$B$14:$H$14, "")</f>
        <v/>
      </c>
      <c r="AV41" t="str">
        <f t="shared" si="31"/>
        <v/>
      </c>
      <c r="AW41">
        <f>Constants!$B$55</f>
        <v>6.25</v>
      </c>
      <c r="AX41" t="str">
        <f t="shared" si="34"/>
        <v/>
      </c>
      <c r="AY41" t="str">
        <f t="shared" si="35"/>
        <v/>
      </c>
      <c r="AZ41" t="str">
        <f t="shared" si="18"/>
        <v/>
      </c>
      <c r="BA41">
        <f>IF(ISNUMBER(FIND("PreWeaned",Y41)),_xlfn.XLOOKUP(Y41,Constants!$J$2:$J$3,Constants!$M$2:$M$3),"")</f>
        <v>9.1999999999999998E-3</v>
      </c>
      <c r="BB41">
        <f t="shared" si="36"/>
        <v>228.15999999999997</v>
      </c>
      <c r="BC41">
        <f t="shared" si="37"/>
        <v>0</v>
      </c>
      <c r="BD41">
        <f t="shared" si="38"/>
        <v>0</v>
      </c>
      <c r="BE41">
        <f t="shared" si="39"/>
        <v>0</v>
      </c>
      <c r="BF41">
        <f t="shared" si="40"/>
        <v>0</v>
      </c>
      <c r="BG41">
        <f t="shared" si="41"/>
        <v>228.15999999999997</v>
      </c>
      <c r="BH41">
        <f t="shared" si="42"/>
        <v>0</v>
      </c>
      <c r="BI41">
        <f>Constants!$B$54</f>
        <v>0.02</v>
      </c>
      <c r="BJ41">
        <f>Constants!$B$53</f>
        <v>0.24</v>
      </c>
      <c r="BK41">
        <f t="shared" si="32"/>
        <v>0</v>
      </c>
      <c r="BL41">
        <f t="shared" si="32"/>
        <v>0</v>
      </c>
      <c r="BM41">
        <f>Constants!$B$52</f>
        <v>1.0999999999999999E-2</v>
      </c>
      <c r="BN41">
        <f>Constants!$B$50</f>
        <v>1.57</v>
      </c>
      <c r="BO41">
        <f t="shared" si="33"/>
        <v>0</v>
      </c>
    </row>
    <row r="42" spans="1:68" x14ac:dyDescent="0.2">
      <c r="A42" s="16" t="str">
        <f>'Input Scenarios'!A107</f>
        <v>VIC</v>
      </c>
      <c r="B42" s="16">
        <f>'Input Scenarios'!B107</f>
        <v>14</v>
      </c>
      <c r="C42" s="16" t="str">
        <f>'Input Scenarios'!C107</f>
        <v>Non-irrigated pasture</v>
      </c>
      <c r="D42" s="16" t="str">
        <f>'Input Scenarios'!D107</f>
        <v>wet</v>
      </c>
      <c r="E42" s="16" t="b">
        <f>'Input Scenarios'!E107</f>
        <v>0</v>
      </c>
      <c r="F42" s="16"/>
      <c r="G42" s="16">
        <f>'Input Scenarios'!G107</f>
        <v>0.43</v>
      </c>
      <c r="H42" s="16">
        <f>'Input Scenarios'!H107</f>
        <v>0.14000000000000001</v>
      </c>
      <c r="I42" s="16">
        <f>'Input Scenarios'!I107</f>
        <v>0.43</v>
      </c>
      <c r="J42" s="16">
        <f>'Input Scenarios'!J107</f>
        <v>0.25</v>
      </c>
      <c r="K42" s="16">
        <f>'Input Scenarios'!K107</f>
        <v>0.25</v>
      </c>
      <c r="L42" s="16">
        <f>'Input Scenarios'!L107</f>
        <v>0.25</v>
      </c>
      <c r="M42" s="16">
        <f>'Input Scenarios'!M107</f>
        <v>0.25</v>
      </c>
      <c r="N42" s="16">
        <f>'Input Scenarios'!N107</f>
        <v>0.25</v>
      </c>
      <c r="O42" s="16">
        <f>'Input Scenarios'!O107</f>
        <v>0.25</v>
      </c>
      <c r="P42" s="16">
        <f>'Input Scenarios'!P107</f>
        <v>0.25</v>
      </c>
      <c r="Q42" s="16">
        <f>'Input Scenarios'!Q107</f>
        <v>0.25</v>
      </c>
      <c r="R42" s="16" t="b">
        <f>'Input Scenarios'!R42</f>
        <v>1</v>
      </c>
      <c r="S42" s="16">
        <f>IF('Input Scenarios'!S107&lt;&gt;"", 'Input Scenarios'!S107, IF(R107, Constants!$B$38, 0))</f>
        <v>0.18</v>
      </c>
      <c r="T42" s="16" t="str">
        <f>IF('Input Scenarios'!T107&lt;&gt;"", 'Input Scenarios'!T107, "")</f>
        <v/>
      </c>
      <c r="U42" s="16">
        <f>IF('Input Scenarios'!U107&lt;&gt;"", 'Input Scenarios'!U107, IF(W42&lt;&gt;"", "", Constants!$B$39))</f>
        <v>4</v>
      </c>
      <c r="V42" s="16">
        <f>IF('Input Scenarios'!V107&lt;&gt;"", 'Input Scenarios'!V107, IF(W42&lt;&gt;"", "", Constants!$B$40))</f>
        <v>3.3</v>
      </c>
      <c r="W42" s="16" t="str">
        <f>IF('Input Scenarios'!W107&lt;&gt;"", 'Input Scenarios'!W107, "")</f>
        <v/>
      </c>
      <c r="X42" s="16" t="str">
        <f>'Input Scenarios'!X107</f>
        <v>Jersey</v>
      </c>
      <c r="Y42" s="16" t="str">
        <f>'Input Scenarios'!Y107</f>
        <v>bullsLt1Weaned</v>
      </c>
      <c r="Z42" s="16">
        <f>'Input Scenarios'!Z107</f>
        <v>200</v>
      </c>
      <c r="AA42" s="16">
        <f>'Input Scenarios'!AA107</f>
        <v>294</v>
      </c>
      <c r="AB42" s="16">
        <f>'Input Scenarios'!AB107</f>
        <v>225</v>
      </c>
      <c r="AC42" s="16">
        <f>IF('Input Scenarios'!AC107&lt;&gt;"", 'Input Scenarios'!AC107, _xlfn.XLOOKUP(Y42, Constants!$B$13:$H$13, Constants!$B$15:$H$15, ""))</f>
        <v>0.8</v>
      </c>
      <c r="AD42" s="16">
        <f>IF('Input Scenarios'!AD107&lt;&gt;"", 'Input Scenarios'!AD107, Constants!$B$45)</f>
        <v>0.75</v>
      </c>
      <c r="AE42" s="16">
        <f>IF('Input Scenarios'!AE107&lt;&gt;"", 'Input Scenarios'!AE107, Constants!$B$46)</f>
        <v>0.2</v>
      </c>
      <c r="AF42" s="16">
        <f t="shared" si="24"/>
        <v>0</v>
      </c>
      <c r="AG42" s="16">
        <f t="shared" si="22"/>
        <v>0</v>
      </c>
      <c r="AH42" s="16">
        <f t="shared" si="22"/>
        <v>0</v>
      </c>
      <c r="AI42" s="16">
        <f t="shared" si="22"/>
        <v>0</v>
      </c>
      <c r="AJ42" s="16">
        <f t="shared" si="25"/>
        <v>1</v>
      </c>
      <c r="AK42" s="16">
        <f>IF(Y42="milkingCows", IF(W42&lt;&gt;"", W42, T42/((U42+V42)*0.01)), 0)</f>
        <v>0</v>
      </c>
      <c r="AL42" s="16">
        <f>Constants!$B$44</f>
        <v>1.03</v>
      </c>
      <c r="AM42" s="16">
        <f>Constants!$B$41</f>
        <v>3.0539999999999998</v>
      </c>
      <c r="AN42" s="16">
        <f>Constants!$B$42</f>
        <v>18.399999999999999</v>
      </c>
      <c r="AO42" s="16">
        <f>Constants!$B$43</f>
        <v>0.6</v>
      </c>
      <c r="AP42" s="16">
        <f t="shared" si="27"/>
        <v>0.5948500000000001</v>
      </c>
      <c r="AQ42" s="16">
        <f t="shared" si="28"/>
        <v>0</v>
      </c>
      <c r="AR42" s="16">
        <f>IF(Y42="milkingCows", Constants!$P$2, Constants!$P$3)</f>
        <v>1</v>
      </c>
      <c r="AS42" s="16">
        <f t="shared" si="29"/>
        <v>5.4143472656250013</v>
      </c>
      <c r="AT42" s="16">
        <f t="shared" si="30"/>
        <v>1.2576570545672616</v>
      </c>
      <c r="AU42" s="16">
        <f>_xlfn.XLOOKUP(Y42, Constants!$B$13:$H$13, Constants!$B$14:$H$14, "")</f>
        <v>770</v>
      </c>
      <c r="AV42" s="16">
        <f t="shared" si="31"/>
        <v>0.29220779220779219</v>
      </c>
      <c r="AW42" s="16">
        <f>Constants!$B$55</f>
        <v>6.25</v>
      </c>
      <c r="AX42" s="16">
        <f t="shared" si="34"/>
        <v>1.9757354894894084E-2</v>
      </c>
      <c r="AY42" s="16">
        <f t="shared" si="35"/>
        <v>1.0828694531250003</v>
      </c>
      <c r="AZ42" s="16">
        <f t="shared" si="18"/>
        <v>0.15247929000170721</v>
      </c>
      <c r="BA42" s="16" t="str">
        <f>IF(ISNUMBER(FIND("PreWeaned",Y42)),_xlfn.XLOOKUP(Y42,Constants!$J$2:$J$3,Constants!$M$2:$M$3),"")</f>
        <v/>
      </c>
      <c r="BB42" s="16">
        <f t="shared" si="36"/>
        <v>8965.7822521003836</v>
      </c>
      <c r="BC42" s="16">
        <f t="shared" si="37"/>
        <v>0</v>
      </c>
      <c r="BD42" s="16">
        <f t="shared" si="38"/>
        <v>0</v>
      </c>
      <c r="BE42" s="16">
        <f t="shared" si="39"/>
        <v>0</v>
      </c>
      <c r="BF42" s="16">
        <f t="shared" si="40"/>
        <v>0</v>
      </c>
      <c r="BG42" s="16">
        <f t="shared" si="41"/>
        <v>8965.7822521003836</v>
      </c>
      <c r="BH42" s="16">
        <f t="shared" si="42"/>
        <v>0</v>
      </c>
      <c r="BI42" s="16">
        <f>Constants!$B$54</f>
        <v>0.02</v>
      </c>
      <c r="BJ42" s="16">
        <f>Constants!$B$53</f>
        <v>0.24</v>
      </c>
      <c r="BK42" s="16">
        <f t="shared" si="32"/>
        <v>0</v>
      </c>
      <c r="BL42" s="16">
        <f t="shared" si="32"/>
        <v>0</v>
      </c>
      <c r="BM42" s="16">
        <f>Constants!$B$52</f>
        <v>1.0999999999999999E-2</v>
      </c>
      <c r="BN42" s="16">
        <f>Constants!$B$50</f>
        <v>1.57</v>
      </c>
      <c r="BO42" s="16">
        <f t="shared" si="33"/>
        <v>0</v>
      </c>
      <c r="BP42" s="16"/>
    </row>
    <row r="43" spans="1:68" x14ac:dyDescent="0.2">
      <c r="A43" t="str">
        <f>'Input Scenarios'!A108</f>
        <v>ACT</v>
      </c>
      <c r="B43">
        <f>'Input Scenarios'!B108</f>
        <v>12</v>
      </c>
      <c r="C43" t="str">
        <f>'Input Scenarios'!C108</f>
        <v>Non-irrigated crop (low rainfall)</v>
      </c>
      <c r="D43" t="str">
        <f>'Input Scenarios'!D108</f>
        <v>wet</v>
      </c>
      <c r="E43" t="b">
        <f>'Input Scenarios'!E108</f>
        <v>1</v>
      </c>
      <c r="G43">
        <f>'Input Scenarios'!G108</f>
        <v>0.45</v>
      </c>
      <c r="H43">
        <f>'Input Scenarios'!H108</f>
        <v>0.2</v>
      </c>
      <c r="I43">
        <f>'Input Scenarios'!I108</f>
        <v>0.35</v>
      </c>
      <c r="J43">
        <f>'Input Scenarios'!J108</f>
        <v>0</v>
      </c>
      <c r="K43">
        <f>'Input Scenarios'!K108</f>
        <v>0</v>
      </c>
      <c r="L43">
        <f>'Input Scenarios'!L108</f>
        <v>1</v>
      </c>
      <c r="M43">
        <f>'Input Scenarios'!M108</f>
        <v>0</v>
      </c>
      <c r="N43">
        <f>'Input Scenarios'!N108</f>
        <v>1</v>
      </c>
      <c r="O43">
        <f>'Input Scenarios'!O108</f>
        <v>0</v>
      </c>
      <c r="P43">
        <f>'Input Scenarios'!P108</f>
        <v>0</v>
      </c>
      <c r="Q43">
        <f>'Input Scenarios'!Q108</f>
        <v>0</v>
      </c>
      <c r="R43" t="b">
        <f>'Input Scenarios'!R43</f>
        <v>1</v>
      </c>
      <c r="S43">
        <f>IF('Input Scenarios'!S108&lt;&gt;"", 'Input Scenarios'!S108, IF(R108, Constants!$B$38, 0))</f>
        <v>0.25</v>
      </c>
      <c r="T43" s="20">
        <f>IF('Input Scenarios'!T108&lt;&gt;"", 'Input Scenarios'!T108, "")</f>
        <v>4</v>
      </c>
      <c r="U43" s="20">
        <f>IF('Input Scenarios'!U108&lt;&gt;"", 'Input Scenarios'!U108, IF(W43&lt;&gt;"", "", Constants!$B$39))</f>
        <v>2.9</v>
      </c>
      <c r="V43" s="20">
        <f>IF('Input Scenarios'!V108&lt;&gt;"", 'Input Scenarios'!V108, IF(W43&lt;&gt;"", "", Constants!$B$40))</f>
        <v>3.3</v>
      </c>
      <c r="W43" s="20" t="str">
        <f>IF('Input Scenarios'!W108&lt;&gt;"", 'Input Scenarios'!W108, "")</f>
        <v/>
      </c>
      <c r="X43" s="20" t="str">
        <f>'Input Scenarios'!X108</f>
        <v>Brown Swiss</v>
      </c>
      <c r="Y43" s="20" t="str">
        <f>'Input Scenarios'!Y108</f>
        <v>milkingCows</v>
      </c>
      <c r="Z43" s="20">
        <f>'Input Scenarios'!Z108</f>
        <v>200</v>
      </c>
      <c r="AA43" s="20">
        <f>'Input Scenarios'!AA108</f>
        <v>365</v>
      </c>
      <c r="AB43" s="20">
        <f>'Input Scenarios'!AB108</f>
        <v>450</v>
      </c>
      <c r="AC43">
        <f>IF('Input Scenarios'!AC108&lt;&gt;"", 'Input Scenarios'!AC108, _xlfn.XLOOKUP(Y43, Constants!$B$13:$H$13, Constants!$B$15:$H$15, ""))</f>
        <v>1.6E-2</v>
      </c>
      <c r="AD43">
        <f>IF('Input Scenarios'!AD108&lt;&gt;"", 'Input Scenarios'!AD108, Constants!$B$45)</f>
        <v>0.75</v>
      </c>
      <c r="AE43">
        <f>IF('Input Scenarios'!AE108&lt;&gt;"", 'Input Scenarios'!AE108, Constants!$B$46)</f>
        <v>0.2</v>
      </c>
      <c r="AF43" s="20">
        <f t="shared" si="24"/>
        <v>0.35</v>
      </c>
      <c r="AG43" s="20">
        <f t="shared" si="22"/>
        <v>0</v>
      </c>
      <c r="AH43" s="20">
        <f t="shared" si="22"/>
        <v>0.2</v>
      </c>
      <c r="AI43" s="20">
        <f t="shared" si="22"/>
        <v>0</v>
      </c>
      <c r="AJ43" s="20">
        <f t="shared" si="25"/>
        <v>0.45</v>
      </c>
      <c r="AK43">
        <f t="shared" ref="AK43:AK63" si="43">IF(Y43="milkingCows", IF(W43&lt;&gt;"", W43, T43/((U43+V43)*0.01)), 0)</f>
        <v>64.516129032258078</v>
      </c>
      <c r="AL43">
        <f>Constants!$B$44</f>
        <v>1.03</v>
      </c>
      <c r="AM43">
        <f>Constants!$B$41</f>
        <v>3.0539999999999998</v>
      </c>
      <c r="AN43">
        <f>Constants!$B$42</f>
        <v>18.399999999999999</v>
      </c>
      <c r="AO43">
        <f>Constants!$B$43</f>
        <v>0.6</v>
      </c>
      <c r="AP43">
        <f t="shared" si="27"/>
        <v>0.5948500000000001</v>
      </c>
      <c r="AQ43">
        <f t="shared" si="28"/>
        <v>30.902813430990946</v>
      </c>
      <c r="AR43">
        <f>IF(Y43="milkingCows", Constants!$P$2, Constants!$P$3)</f>
        <v>1.1000000000000001</v>
      </c>
      <c r="AS43">
        <f t="shared" si="29"/>
        <v>38.960708079750944</v>
      </c>
      <c r="AT43">
        <f t="shared" si="30"/>
        <v>1.0007701416570653</v>
      </c>
      <c r="AU43">
        <f>_xlfn.XLOOKUP(Y43, Constants!$B$13:$H$13, Constants!$B$14:$H$14, "")</f>
        <v>590</v>
      </c>
      <c r="AV43">
        <f t="shared" si="31"/>
        <v>0.76271186440677963</v>
      </c>
      <c r="AW43">
        <f>Constants!$B$55</f>
        <v>6.25</v>
      </c>
      <c r="AX43" s="20">
        <f t="shared" si="34"/>
        <v>0.33350471859405595</v>
      </c>
      <c r="AY43">
        <f t="shared" si="35"/>
        <v>7.7921416159501895</v>
      </c>
      <c r="AZ43">
        <f t="shared" si="18"/>
        <v>0.91151836127315211</v>
      </c>
      <c r="BA43" t="str">
        <f>IF(ISNUMBER(FIND("PreWeaned",Y43)),_xlfn.XLOOKUP(Y43,Constants!$J$2:$J$3,Constants!$M$2:$M$3),"")</f>
        <v/>
      </c>
      <c r="BB43">
        <f t="shared" si="36"/>
        <v>66540.840372940103</v>
      </c>
      <c r="BC43">
        <f t="shared" si="37"/>
        <v>23289.294130529033</v>
      </c>
      <c r="BD43">
        <f t="shared" si="38"/>
        <v>0</v>
      </c>
      <c r="BE43">
        <f t="shared" si="39"/>
        <v>13308.168074588022</v>
      </c>
      <c r="BF43">
        <f t="shared" si="40"/>
        <v>0</v>
      </c>
      <c r="BG43">
        <f t="shared" si="41"/>
        <v>29943.378167823048</v>
      </c>
      <c r="BH43">
        <f t="shared" si="42"/>
        <v>1</v>
      </c>
      <c r="BI43">
        <f>Constants!$B$54</f>
        <v>0.02</v>
      </c>
      <c r="BJ43">
        <f>Constants!$B$53</f>
        <v>0.24</v>
      </c>
      <c r="BK43">
        <f t="shared" si="32"/>
        <v>0</v>
      </c>
      <c r="BL43">
        <f t="shared" si="32"/>
        <v>7186.4107602775312</v>
      </c>
      <c r="BM43">
        <f>Constants!$B$52</f>
        <v>1.0999999999999999E-2</v>
      </c>
      <c r="BN43">
        <f>Constants!$B$50</f>
        <v>1.57</v>
      </c>
      <c r="BO43">
        <f t="shared" si="33"/>
        <v>124.10931382999297</v>
      </c>
      <c r="BP43">
        <f>SUM(BO43:BO49)/1000</f>
        <v>0.31812820044453882</v>
      </c>
    </row>
    <row r="44" spans="1:68" x14ac:dyDescent="0.2">
      <c r="A44" t="str">
        <f>'Input Scenarios'!A109</f>
        <v>ACT</v>
      </c>
      <c r="B44">
        <f>'Input Scenarios'!B109</f>
        <v>12</v>
      </c>
      <c r="C44" t="str">
        <f>'Input Scenarios'!C109</f>
        <v>Non-irrigated crop (low rainfall)</v>
      </c>
      <c r="D44" t="str">
        <f>'Input Scenarios'!D109</f>
        <v>wet</v>
      </c>
      <c r="E44" t="b">
        <f>'Input Scenarios'!E109</f>
        <v>1</v>
      </c>
      <c r="G44">
        <f>'Input Scenarios'!G109</f>
        <v>0.45</v>
      </c>
      <c r="H44">
        <f>'Input Scenarios'!H109</f>
        <v>0.2</v>
      </c>
      <c r="I44">
        <f>'Input Scenarios'!I109</f>
        <v>0.35</v>
      </c>
      <c r="J44">
        <f>'Input Scenarios'!J109</f>
        <v>0</v>
      </c>
      <c r="K44">
        <f>'Input Scenarios'!K109</f>
        <v>0</v>
      </c>
      <c r="L44">
        <f>'Input Scenarios'!L109</f>
        <v>1</v>
      </c>
      <c r="M44">
        <f>'Input Scenarios'!M109</f>
        <v>0</v>
      </c>
      <c r="N44">
        <f>'Input Scenarios'!N109</f>
        <v>1</v>
      </c>
      <c r="O44">
        <f>'Input Scenarios'!O109</f>
        <v>0</v>
      </c>
      <c r="P44">
        <f>'Input Scenarios'!P109</f>
        <v>0</v>
      </c>
      <c r="Q44">
        <f>'Input Scenarios'!Q109</f>
        <v>0</v>
      </c>
      <c r="R44" t="b">
        <f>'Input Scenarios'!R44</f>
        <v>1</v>
      </c>
      <c r="S44">
        <f>IF('Input Scenarios'!S109&lt;&gt;"", 'Input Scenarios'!S109, IF(R109, Constants!$B$38, 0))</f>
        <v>0.25</v>
      </c>
      <c r="T44" t="str">
        <f>IF('Input Scenarios'!T109&lt;&gt;"", 'Input Scenarios'!T109, "")</f>
        <v/>
      </c>
      <c r="U44">
        <f>IF('Input Scenarios'!U109&lt;&gt;"", 'Input Scenarios'!U109, IF(W44&lt;&gt;"", "", Constants!$B$39))</f>
        <v>4</v>
      </c>
      <c r="V44">
        <f>IF('Input Scenarios'!V109&lt;&gt;"", 'Input Scenarios'!V109, IF(W44&lt;&gt;"", "", Constants!$B$40))</f>
        <v>3.3</v>
      </c>
      <c r="W44" t="str">
        <f>IF('Input Scenarios'!W109&lt;&gt;"", 'Input Scenarios'!W109, "")</f>
        <v/>
      </c>
      <c r="X44" t="str">
        <f>'Input Scenarios'!X109</f>
        <v>Brown Swiss</v>
      </c>
      <c r="Y44" t="str">
        <f>'Input Scenarios'!Y109</f>
        <v>heifersGt1</v>
      </c>
      <c r="Z44">
        <f>'Input Scenarios'!Z109</f>
        <v>200</v>
      </c>
      <c r="AA44">
        <f>'Input Scenarios'!AA109</f>
        <v>265</v>
      </c>
      <c r="AB44">
        <f>'Input Scenarios'!AB109</f>
        <v>315</v>
      </c>
      <c r="AC44">
        <f>IF('Input Scenarios'!AC109&lt;&gt;"", 'Input Scenarios'!AC109, _xlfn.XLOOKUP(Y44, Constants!$B$13:$H$13, Constants!$B$15:$H$15, ""))</f>
        <v>0.6</v>
      </c>
      <c r="AD44">
        <f>IF('Input Scenarios'!AD109&lt;&gt;"", 'Input Scenarios'!AD109, Constants!$B$45)</f>
        <v>0.75</v>
      </c>
      <c r="AE44">
        <f>IF('Input Scenarios'!AE109&lt;&gt;"", 'Input Scenarios'!AE109, Constants!$B$46)</f>
        <v>0.2</v>
      </c>
      <c r="AF44">
        <f t="shared" si="24"/>
        <v>0</v>
      </c>
      <c r="AG44">
        <f t="shared" si="22"/>
        <v>0</v>
      </c>
      <c r="AH44">
        <f t="shared" si="22"/>
        <v>0</v>
      </c>
      <c r="AI44">
        <f t="shared" si="22"/>
        <v>0</v>
      </c>
      <c r="AJ44">
        <f t="shared" si="25"/>
        <v>1</v>
      </c>
      <c r="AK44">
        <f t="shared" si="43"/>
        <v>0</v>
      </c>
      <c r="AL44">
        <f>Constants!$B$44</f>
        <v>1.03</v>
      </c>
      <c r="AM44">
        <f>Constants!$B$41</f>
        <v>3.0539999999999998</v>
      </c>
      <c r="AN44">
        <f>Constants!$B$42</f>
        <v>18.399999999999999</v>
      </c>
      <c r="AO44">
        <f>Constants!$B$43</f>
        <v>0.6</v>
      </c>
      <c r="AP44">
        <f t="shared" si="27"/>
        <v>0.5948500000000001</v>
      </c>
      <c r="AQ44">
        <f t="shared" si="28"/>
        <v>0</v>
      </c>
      <c r="AR44">
        <f>IF(Y44="milkingCows", Constants!$P$2, Constants!$P$3)</f>
        <v>1</v>
      </c>
      <c r="AS44">
        <f t="shared" si="29"/>
        <v>6.4827015932249994</v>
      </c>
      <c r="AT44">
        <f t="shared" si="30"/>
        <v>1.166794807523394</v>
      </c>
      <c r="AU44">
        <f>_xlfn.XLOOKUP(Y44, Constants!$B$13:$H$13, Constants!$B$14:$H$14, "")</f>
        <v>590</v>
      </c>
      <c r="AV44">
        <f t="shared" si="31"/>
        <v>0.53389830508474578</v>
      </c>
      <c r="AW44">
        <f>Constants!$B$55</f>
        <v>6.25</v>
      </c>
      <c r="AX44">
        <f t="shared" si="34"/>
        <v>1.0365571727800444E-2</v>
      </c>
      <c r="AY44">
        <f t="shared" si="35"/>
        <v>1.296540318645</v>
      </c>
      <c r="AZ44">
        <f t="shared" si="18"/>
        <v>0.19576491048465905</v>
      </c>
      <c r="BA44" t="str">
        <f>IF(ISNUMBER(FIND("PreWeaned",Y44)),_xlfn.XLOOKUP(Y44,Constants!$J$2:$J$3,Constants!$M$2:$M$3),"")</f>
        <v/>
      </c>
      <c r="BB44">
        <f t="shared" si="36"/>
        <v>10375.540255686929</v>
      </c>
      <c r="BC44">
        <f t="shared" si="37"/>
        <v>0</v>
      </c>
      <c r="BD44">
        <f t="shared" si="38"/>
        <v>0</v>
      </c>
      <c r="BE44">
        <f t="shared" si="39"/>
        <v>0</v>
      </c>
      <c r="BF44">
        <f t="shared" si="40"/>
        <v>0</v>
      </c>
      <c r="BG44">
        <f t="shared" si="41"/>
        <v>10375.540255686929</v>
      </c>
      <c r="BH44">
        <f t="shared" si="42"/>
        <v>1</v>
      </c>
      <c r="BI44">
        <f>Constants!$B$54</f>
        <v>0.02</v>
      </c>
      <c r="BJ44">
        <f>Constants!$B$53</f>
        <v>0.24</v>
      </c>
      <c r="BK44">
        <f t="shared" si="32"/>
        <v>0</v>
      </c>
      <c r="BL44">
        <f t="shared" si="32"/>
        <v>2490.1296613648628</v>
      </c>
      <c r="BM44">
        <f>Constants!$B$52</f>
        <v>1.0999999999999999E-2</v>
      </c>
      <c r="BN44">
        <f>Constants!$B$50</f>
        <v>1.57</v>
      </c>
      <c r="BO44">
        <f t="shared" si="33"/>
        <v>43.004539251771185</v>
      </c>
    </row>
    <row r="45" spans="1:68" x14ac:dyDescent="0.2">
      <c r="A45" t="str">
        <f>'Input Scenarios'!A110</f>
        <v>ACT</v>
      </c>
      <c r="B45">
        <f>'Input Scenarios'!B110</f>
        <v>12</v>
      </c>
      <c r="C45" t="str">
        <f>'Input Scenarios'!C110</f>
        <v>Non-irrigated crop (low rainfall)</v>
      </c>
      <c r="D45" t="str">
        <f>'Input Scenarios'!D110</f>
        <v>wet</v>
      </c>
      <c r="E45" t="b">
        <f>'Input Scenarios'!E110</f>
        <v>1</v>
      </c>
      <c r="G45">
        <f>'Input Scenarios'!G110</f>
        <v>0.45</v>
      </c>
      <c r="H45">
        <f>'Input Scenarios'!H110</f>
        <v>0.2</v>
      </c>
      <c r="I45">
        <f>'Input Scenarios'!I110</f>
        <v>0.35</v>
      </c>
      <c r="J45">
        <f>'Input Scenarios'!J110</f>
        <v>0</v>
      </c>
      <c r="K45">
        <f>'Input Scenarios'!K110</f>
        <v>0</v>
      </c>
      <c r="L45">
        <f>'Input Scenarios'!L110</f>
        <v>1</v>
      </c>
      <c r="M45">
        <f>'Input Scenarios'!M110</f>
        <v>0</v>
      </c>
      <c r="N45">
        <f>'Input Scenarios'!N110</f>
        <v>1</v>
      </c>
      <c r="O45">
        <f>'Input Scenarios'!O110</f>
        <v>0</v>
      </c>
      <c r="P45">
        <f>'Input Scenarios'!P110</f>
        <v>0</v>
      </c>
      <c r="Q45">
        <f>'Input Scenarios'!Q110</f>
        <v>0</v>
      </c>
      <c r="R45" t="b">
        <f>'Input Scenarios'!R45</f>
        <v>1</v>
      </c>
      <c r="S45">
        <f>IF('Input Scenarios'!S110&lt;&gt;"", 'Input Scenarios'!S110, IF(R110, Constants!$B$38, 0))</f>
        <v>0.25</v>
      </c>
      <c r="T45" t="str">
        <f>IF('Input Scenarios'!T110&lt;&gt;"", 'Input Scenarios'!T110, "")</f>
        <v/>
      </c>
      <c r="U45">
        <f>IF('Input Scenarios'!U110&lt;&gt;"", 'Input Scenarios'!U110, IF(W45&lt;&gt;"", "", Constants!$B$39))</f>
        <v>4</v>
      </c>
      <c r="V45">
        <f>IF('Input Scenarios'!V110&lt;&gt;"", 'Input Scenarios'!V110, IF(W45&lt;&gt;"", "", Constants!$B$40))</f>
        <v>3.3</v>
      </c>
      <c r="W45" t="str">
        <f>IF('Input Scenarios'!W110&lt;&gt;"", 'Input Scenarios'!W110, "")</f>
        <v/>
      </c>
      <c r="X45" t="str">
        <f>'Input Scenarios'!X110</f>
        <v>Brown Swiss</v>
      </c>
      <c r="Y45" t="str">
        <f>'Input Scenarios'!Y110</f>
        <v>heifersLt1PreWeaned</v>
      </c>
      <c r="Z45">
        <f>'Input Scenarios'!Z110</f>
        <v>200</v>
      </c>
      <c r="AA45">
        <f>'Input Scenarios'!AA110</f>
        <v>100</v>
      </c>
      <c r="AB45">
        <f>'Input Scenarios'!AB110</f>
        <v>130</v>
      </c>
      <c r="AC45" t="str">
        <f>IF('Input Scenarios'!AC110&lt;&gt;"", 'Input Scenarios'!AC110, _xlfn.XLOOKUP(Y45, Constants!$B$13:$H$13, Constants!$B$15:$H$15, ""))</f>
        <v/>
      </c>
      <c r="AD45">
        <f>IF('Input Scenarios'!AD110&lt;&gt;"", 'Input Scenarios'!AD110, Constants!$B$45)</f>
        <v>0.75</v>
      </c>
      <c r="AE45">
        <f>IF('Input Scenarios'!AE110&lt;&gt;"", 'Input Scenarios'!AE110, Constants!$B$46)</f>
        <v>0.2</v>
      </c>
      <c r="AF45">
        <f t="shared" si="24"/>
        <v>0</v>
      </c>
      <c r="AG45">
        <f t="shared" si="24"/>
        <v>0</v>
      </c>
      <c r="AH45">
        <f t="shared" si="24"/>
        <v>0</v>
      </c>
      <c r="AI45">
        <f t="shared" si="24"/>
        <v>0</v>
      </c>
      <c r="AJ45">
        <f t="shared" si="25"/>
        <v>1</v>
      </c>
      <c r="AK45">
        <f t="shared" si="43"/>
        <v>0</v>
      </c>
      <c r="AL45">
        <f>Constants!$B$44</f>
        <v>1.03</v>
      </c>
      <c r="AM45">
        <f>Constants!$B$41</f>
        <v>3.0539999999999998</v>
      </c>
      <c r="AN45">
        <f>Constants!$B$42</f>
        <v>18.399999999999999</v>
      </c>
      <c r="AO45">
        <f>Constants!$B$43</f>
        <v>0.6</v>
      </c>
      <c r="AP45">
        <f t="shared" si="27"/>
        <v>0.5948500000000001</v>
      </c>
      <c r="AQ45">
        <f t="shared" si="28"/>
        <v>0</v>
      </c>
      <c r="AR45">
        <f>IF(Y45="milkingCows", Constants!$P$2, Constants!$P$3)</f>
        <v>1</v>
      </c>
      <c r="AS45" t="str">
        <f t="shared" si="29"/>
        <v/>
      </c>
      <c r="AT45" t="str">
        <f t="shared" si="30"/>
        <v/>
      </c>
      <c r="AU45" t="str">
        <f>_xlfn.XLOOKUP(Y45, Constants!$B$13:$H$13, Constants!$B$14:$H$14, "")</f>
        <v/>
      </c>
      <c r="AV45" t="str">
        <f t="shared" si="31"/>
        <v/>
      </c>
      <c r="AW45">
        <f>Constants!$B$55</f>
        <v>6.25</v>
      </c>
      <c r="AX45" t="str">
        <f t="shared" si="34"/>
        <v/>
      </c>
      <c r="AY45" t="str">
        <f t="shared" si="35"/>
        <v/>
      </c>
      <c r="AZ45" t="str">
        <f t="shared" si="18"/>
        <v/>
      </c>
      <c r="BA45">
        <f>IF(ISNUMBER(FIND("PreWeaned",Y45)),_xlfn.XLOOKUP(Y45,Constants!$J$2:$J$3,Constants!$M$2:$M$3),"")</f>
        <v>1.37E-2</v>
      </c>
      <c r="BB45">
        <f t="shared" si="36"/>
        <v>274</v>
      </c>
      <c r="BC45">
        <f t="shared" si="37"/>
        <v>0</v>
      </c>
      <c r="BD45">
        <f t="shared" si="38"/>
        <v>0</v>
      </c>
      <c r="BE45">
        <f t="shared" si="39"/>
        <v>0</v>
      </c>
      <c r="BF45">
        <f t="shared" si="40"/>
        <v>0</v>
      </c>
      <c r="BG45">
        <f t="shared" si="41"/>
        <v>274</v>
      </c>
      <c r="BH45">
        <f t="shared" si="42"/>
        <v>1</v>
      </c>
      <c r="BI45">
        <f>Constants!$B$54</f>
        <v>0.02</v>
      </c>
      <c r="BJ45">
        <f>Constants!$B$53</f>
        <v>0.24</v>
      </c>
      <c r="BK45">
        <f t="shared" si="32"/>
        <v>0</v>
      </c>
      <c r="BL45">
        <f t="shared" si="32"/>
        <v>65.759999999999991</v>
      </c>
      <c r="BM45">
        <f>Constants!$B$52</f>
        <v>1.0999999999999999E-2</v>
      </c>
      <c r="BN45">
        <f>Constants!$B$50</f>
        <v>1.57</v>
      </c>
      <c r="BO45">
        <f t="shared" si="33"/>
        <v>1.1356751999999999</v>
      </c>
    </row>
    <row r="46" spans="1:68" x14ac:dyDescent="0.2">
      <c r="A46" t="str">
        <f>'Input Scenarios'!A111</f>
        <v>ACT</v>
      </c>
      <c r="B46">
        <f>'Input Scenarios'!B111</f>
        <v>12</v>
      </c>
      <c r="C46" t="str">
        <f>'Input Scenarios'!C111</f>
        <v>Non-irrigated crop (low rainfall)</v>
      </c>
      <c r="D46" t="str">
        <f>'Input Scenarios'!D111</f>
        <v>wet</v>
      </c>
      <c r="E46" t="b">
        <f>'Input Scenarios'!E111</f>
        <v>1</v>
      </c>
      <c r="G46">
        <f>'Input Scenarios'!G111</f>
        <v>0.45</v>
      </c>
      <c r="H46">
        <f>'Input Scenarios'!H111</f>
        <v>0.2</v>
      </c>
      <c r="I46">
        <f>'Input Scenarios'!I111</f>
        <v>0.35</v>
      </c>
      <c r="J46">
        <f>'Input Scenarios'!J111</f>
        <v>0</v>
      </c>
      <c r="K46">
        <f>'Input Scenarios'!K111</f>
        <v>0</v>
      </c>
      <c r="L46">
        <f>'Input Scenarios'!L111</f>
        <v>1</v>
      </c>
      <c r="M46">
        <f>'Input Scenarios'!M111</f>
        <v>0</v>
      </c>
      <c r="N46">
        <f>'Input Scenarios'!N111</f>
        <v>1</v>
      </c>
      <c r="O46">
        <f>'Input Scenarios'!O111</f>
        <v>0</v>
      </c>
      <c r="P46">
        <f>'Input Scenarios'!P111</f>
        <v>0</v>
      </c>
      <c r="Q46">
        <f>'Input Scenarios'!Q111</f>
        <v>0</v>
      </c>
      <c r="R46" t="b">
        <f>'Input Scenarios'!R46</f>
        <v>1</v>
      </c>
      <c r="S46">
        <f>IF('Input Scenarios'!S111&lt;&gt;"", 'Input Scenarios'!S111, IF(R111, Constants!$B$38, 0))</f>
        <v>0.25</v>
      </c>
      <c r="T46" t="str">
        <f>IF('Input Scenarios'!T111&lt;&gt;"", 'Input Scenarios'!T111, "")</f>
        <v/>
      </c>
      <c r="U46">
        <f>IF('Input Scenarios'!U111&lt;&gt;"", 'Input Scenarios'!U111, IF(W46&lt;&gt;"", "", Constants!$B$39))</f>
        <v>4</v>
      </c>
      <c r="V46">
        <f>IF('Input Scenarios'!V111&lt;&gt;"", 'Input Scenarios'!V111, IF(W46&lt;&gt;"", "", Constants!$B$40))</f>
        <v>3.3</v>
      </c>
      <c r="W46" t="str">
        <f>IF('Input Scenarios'!W111&lt;&gt;"", 'Input Scenarios'!W111, "")</f>
        <v/>
      </c>
      <c r="X46" t="str">
        <f>'Input Scenarios'!X111</f>
        <v>Brown Swiss</v>
      </c>
      <c r="Y46" t="str">
        <f>'Input Scenarios'!Y111</f>
        <v>heifersLt1Weaned</v>
      </c>
      <c r="Z46">
        <f>'Input Scenarios'!Z111</f>
        <v>200</v>
      </c>
      <c r="AA46">
        <f>'Input Scenarios'!AA111</f>
        <v>360</v>
      </c>
      <c r="AB46">
        <f>'Input Scenarios'!AB111</f>
        <v>130</v>
      </c>
      <c r="AC46">
        <f>IF('Input Scenarios'!AC111&lt;&gt;"", 'Input Scenarios'!AC111, _xlfn.XLOOKUP(Y46, Constants!$B$13:$H$13, Constants!$B$15:$H$15, ""))</f>
        <v>0.56999999999999995</v>
      </c>
      <c r="AD46">
        <f>IF('Input Scenarios'!AD111&lt;&gt;"", 'Input Scenarios'!AD111, Constants!$B$45)</f>
        <v>0.75</v>
      </c>
      <c r="AE46">
        <f>IF('Input Scenarios'!AE111&lt;&gt;"", 'Input Scenarios'!AE111, Constants!$B$46)</f>
        <v>0.2</v>
      </c>
      <c r="AF46">
        <f t="shared" si="24"/>
        <v>0</v>
      </c>
      <c r="AG46">
        <f t="shared" si="24"/>
        <v>0</v>
      </c>
      <c r="AH46">
        <f t="shared" si="24"/>
        <v>0</v>
      </c>
      <c r="AI46">
        <f t="shared" si="24"/>
        <v>0</v>
      </c>
      <c r="AJ46">
        <f t="shared" si="25"/>
        <v>1</v>
      </c>
      <c r="AK46">
        <f t="shared" si="43"/>
        <v>0</v>
      </c>
      <c r="AL46">
        <f>Constants!$B$44</f>
        <v>1.03</v>
      </c>
      <c r="AM46">
        <f>Constants!$B$41</f>
        <v>3.0539999999999998</v>
      </c>
      <c r="AN46">
        <f>Constants!$B$42</f>
        <v>18.399999999999999</v>
      </c>
      <c r="AO46">
        <f>Constants!$B$43</f>
        <v>0.6</v>
      </c>
      <c r="AP46">
        <f t="shared" si="27"/>
        <v>0.5948500000000001</v>
      </c>
      <c r="AQ46">
        <f t="shared" si="28"/>
        <v>0</v>
      </c>
      <c r="AR46">
        <f>IF(Y46="milkingCows", Constants!$P$2, Constants!$P$3)</f>
        <v>1</v>
      </c>
      <c r="AS46">
        <f t="shared" si="29"/>
        <v>3.6511948560999987</v>
      </c>
      <c r="AT46">
        <f t="shared" si="30"/>
        <v>1.2181770715229607</v>
      </c>
      <c r="AU46">
        <f>_xlfn.XLOOKUP(Y46, Constants!$B$13:$H$13, Constants!$B$14:$H$14, "")</f>
        <v>590</v>
      </c>
      <c r="AV46">
        <f t="shared" si="31"/>
        <v>0.22033898305084745</v>
      </c>
      <c r="AW46">
        <f>Constants!$B$55</f>
        <v>6.25</v>
      </c>
      <c r="AX46">
        <f t="shared" si="34"/>
        <v>1.5196847323916365E-2</v>
      </c>
      <c r="AY46">
        <f t="shared" si="35"/>
        <v>0.73023897121999981</v>
      </c>
      <c r="AZ46">
        <f t="shared" si="18"/>
        <v>0.10096379308784414</v>
      </c>
      <c r="BA46" t="str">
        <f>IF(ISNUMBER(FIND("PreWeaned",Y46)),_xlfn.XLOOKUP(Y46,Constants!$J$2:$J$3,Constants!$M$2:$M$3),"")</f>
        <v/>
      </c>
      <c r="BB46">
        <f t="shared" si="36"/>
        <v>7269.3931023247778</v>
      </c>
      <c r="BC46">
        <f t="shared" si="37"/>
        <v>0</v>
      </c>
      <c r="BD46">
        <f t="shared" si="38"/>
        <v>0</v>
      </c>
      <c r="BE46">
        <f t="shared" si="39"/>
        <v>0</v>
      </c>
      <c r="BF46">
        <f t="shared" si="40"/>
        <v>0</v>
      </c>
      <c r="BG46">
        <f t="shared" si="41"/>
        <v>7269.3931023247778</v>
      </c>
      <c r="BH46">
        <f t="shared" si="42"/>
        <v>1</v>
      </c>
      <c r="BI46">
        <f>Constants!$B$54</f>
        <v>0.02</v>
      </c>
      <c r="BJ46">
        <f>Constants!$B$53</f>
        <v>0.24</v>
      </c>
      <c r="BK46">
        <f t="shared" si="32"/>
        <v>0</v>
      </c>
      <c r="BL46">
        <f t="shared" si="32"/>
        <v>1744.6543445579466</v>
      </c>
      <c r="BM46">
        <f>Constants!$B$52</f>
        <v>1.0999999999999999E-2</v>
      </c>
      <c r="BN46">
        <f>Constants!$B$50</f>
        <v>1.57</v>
      </c>
      <c r="BO46">
        <f t="shared" si="33"/>
        <v>30.130180530515737</v>
      </c>
    </row>
    <row r="47" spans="1:68" x14ac:dyDescent="0.2">
      <c r="A47" t="str">
        <f>'Input Scenarios'!A112</f>
        <v>ACT</v>
      </c>
      <c r="B47">
        <f>'Input Scenarios'!B112</f>
        <v>12</v>
      </c>
      <c r="C47" t="str">
        <f>'Input Scenarios'!C112</f>
        <v>Non-irrigated crop (low rainfall)</v>
      </c>
      <c r="D47" t="str">
        <f>'Input Scenarios'!D112</f>
        <v>wet</v>
      </c>
      <c r="E47" t="b">
        <f>'Input Scenarios'!E112</f>
        <v>1</v>
      </c>
      <c r="G47">
        <f>'Input Scenarios'!G112</f>
        <v>0.45</v>
      </c>
      <c r="H47">
        <f>'Input Scenarios'!H112</f>
        <v>0.2</v>
      </c>
      <c r="I47">
        <f>'Input Scenarios'!I112</f>
        <v>0.35</v>
      </c>
      <c r="J47">
        <f>'Input Scenarios'!J112</f>
        <v>0</v>
      </c>
      <c r="K47">
        <f>'Input Scenarios'!K112</f>
        <v>0</v>
      </c>
      <c r="L47">
        <f>'Input Scenarios'!L112</f>
        <v>1</v>
      </c>
      <c r="M47">
        <f>'Input Scenarios'!M112</f>
        <v>0</v>
      </c>
      <c r="N47">
        <f>'Input Scenarios'!N112</f>
        <v>1</v>
      </c>
      <c r="O47">
        <f>'Input Scenarios'!O112</f>
        <v>0</v>
      </c>
      <c r="P47">
        <f>'Input Scenarios'!P112</f>
        <v>0</v>
      </c>
      <c r="Q47">
        <f>'Input Scenarios'!Q112</f>
        <v>0</v>
      </c>
      <c r="R47" t="b">
        <f>'Input Scenarios'!R47</f>
        <v>1</v>
      </c>
      <c r="S47">
        <f>IF('Input Scenarios'!S112&lt;&gt;"", 'Input Scenarios'!S112, IF(R112, Constants!$B$38, 0))</f>
        <v>0.25</v>
      </c>
      <c r="T47" t="str">
        <f>IF('Input Scenarios'!T112&lt;&gt;"", 'Input Scenarios'!T112, "")</f>
        <v/>
      </c>
      <c r="U47">
        <f>IF('Input Scenarios'!U112&lt;&gt;"", 'Input Scenarios'!U112, IF(W47&lt;&gt;"", "", Constants!$B$39))</f>
        <v>4</v>
      </c>
      <c r="V47">
        <f>IF('Input Scenarios'!V112&lt;&gt;"", 'Input Scenarios'!V112, IF(W47&lt;&gt;"", "", Constants!$B$40))</f>
        <v>3.3</v>
      </c>
      <c r="W47" t="str">
        <f>IF('Input Scenarios'!W112&lt;&gt;"", 'Input Scenarios'!W112, "")</f>
        <v/>
      </c>
      <c r="X47" t="str">
        <f>'Input Scenarios'!X112</f>
        <v>Brown Swiss</v>
      </c>
      <c r="Y47" t="str">
        <f>'Input Scenarios'!Y112</f>
        <v>bullsGt1</v>
      </c>
      <c r="Z47">
        <f>'Input Scenarios'!Z112</f>
        <v>200</v>
      </c>
      <c r="AA47">
        <f>'Input Scenarios'!AA112</f>
        <v>345</v>
      </c>
      <c r="AB47">
        <f>'Input Scenarios'!AB112</f>
        <v>600</v>
      </c>
      <c r="AC47">
        <f>IF('Input Scenarios'!AC112&lt;&gt;"", 'Input Scenarios'!AC112, _xlfn.XLOOKUP(Y47, Constants!$B$13:$H$13, Constants!$B$15:$H$15, ""))</f>
        <v>0.1</v>
      </c>
      <c r="AD47">
        <f>IF('Input Scenarios'!AD112&lt;&gt;"", 'Input Scenarios'!AD112, Constants!$B$45)</f>
        <v>0.75</v>
      </c>
      <c r="AE47">
        <f>IF('Input Scenarios'!AE112&lt;&gt;"", 'Input Scenarios'!AE112, Constants!$B$46)</f>
        <v>0.2</v>
      </c>
      <c r="AF47">
        <f t="shared" si="24"/>
        <v>0</v>
      </c>
      <c r="AG47">
        <f t="shared" si="24"/>
        <v>0</v>
      </c>
      <c r="AH47">
        <f t="shared" si="24"/>
        <v>0</v>
      </c>
      <c r="AI47">
        <f t="shared" si="24"/>
        <v>0</v>
      </c>
      <c r="AJ47">
        <f t="shared" si="25"/>
        <v>1</v>
      </c>
      <c r="AK47">
        <f t="shared" si="43"/>
        <v>0</v>
      </c>
      <c r="AL47">
        <f>Constants!$B$44</f>
        <v>1.03</v>
      </c>
      <c r="AM47">
        <f>Constants!$B$41</f>
        <v>3.0539999999999998</v>
      </c>
      <c r="AN47">
        <f>Constants!$B$42</f>
        <v>18.399999999999999</v>
      </c>
      <c r="AO47">
        <f>Constants!$B$43</f>
        <v>0.6</v>
      </c>
      <c r="AP47">
        <f t="shared" si="27"/>
        <v>0.5948500000000001</v>
      </c>
      <c r="AQ47">
        <f t="shared" si="28"/>
        <v>0</v>
      </c>
      <c r="AR47">
        <f>IF(Y47="milkingCows", Constants!$P$2, Constants!$P$3)</f>
        <v>1</v>
      </c>
      <c r="AS47">
        <f t="shared" si="29"/>
        <v>9.0270202499999979</v>
      </c>
      <c r="AT47">
        <f t="shared" si="30"/>
        <v>1.0213029780639273</v>
      </c>
      <c r="AU47">
        <f>_xlfn.XLOOKUP(Y47, Constants!$B$13:$H$13, Constants!$B$14:$H$14, "")</f>
        <v>770</v>
      </c>
      <c r="AV47">
        <f t="shared" si="31"/>
        <v>0.77922077922077926</v>
      </c>
      <c r="AW47">
        <f>Constants!$B$55</f>
        <v>6.25</v>
      </c>
      <c r="AX47">
        <f t="shared" si="34"/>
        <v>1.2626203146474679E-3</v>
      </c>
      <c r="AY47">
        <f t="shared" si="35"/>
        <v>1.8054040499999997</v>
      </c>
      <c r="AZ47">
        <f t="shared" si="18"/>
        <v>0.28546836331241399</v>
      </c>
      <c r="BA47" t="str">
        <f>IF(ISNUMBER(FIND("PreWeaned",Y47)),_xlfn.XLOOKUP(Y47,Constants!$J$2:$J$3,Constants!$M$2:$M$3),"")</f>
        <v/>
      </c>
      <c r="BB47">
        <f t="shared" si="36"/>
        <v>19697.317068556564</v>
      </c>
      <c r="BC47">
        <f t="shared" si="37"/>
        <v>0</v>
      </c>
      <c r="BD47">
        <f t="shared" si="38"/>
        <v>0</v>
      </c>
      <c r="BE47">
        <f t="shared" si="39"/>
        <v>0</v>
      </c>
      <c r="BF47">
        <f t="shared" si="40"/>
        <v>0</v>
      </c>
      <c r="BG47">
        <f t="shared" si="41"/>
        <v>19697.317068556564</v>
      </c>
      <c r="BH47">
        <f t="shared" si="42"/>
        <v>1</v>
      </c>
      <c r="BI47">
        <f>Constants!$B$54</f>
        <v>0.02</v>
      </c>
      <c r="BJ47">
        <f>Constants!$B$53</f>
        <v>0.24</v>
      </c>
      <c r="BK47">
        <f t="shared" si="32"/>
        <v>0</v>
      </c>
      <c r="BL47">
        <f t="shared" si="32"/>
        <v>4727.3560964535754</v>
      </c>
      <c r="BM47">
        <f>Constants!$B$52</f>
        <v>1.0999999999999999E-2</v>
      </c>
      <c r="BN47">
        <f>Constants!$B$50</f>
        <v>1.57</v>
      </c>
      <c r="BO47">
        <f t="shared" si="33"/>
        <v>81.641439785753249</v>
      </c>
    </row>
    <row r="48" spans="1:68" x14ac:dyDescent="0.2">
      <c r="A48" t="str">
        <f>'Input Scenarios'!A113</f>
        <v>ACT</v>
      </c>
      <c r="B48">
        <f>'Input Scenarios'!B113</f>
        <v>12</v>
      </c>
      <c r="C48" t="str">
        <f>'Input Scenarios'!C113</f>
        <v>Non-irrigated crop (low rainfall)</v>
      </c>
      <c r="D48" t="str">
        <f>'Input Scenarios'!D113</f>
        <v>wet</v>
      </c>
      <c r="E48" t="b">
        <f>'Input Scenarios'!E113</f>
        <v>1</v>
      </c>
      <c r="G48">
        <f>'Input Scenarios'!G113</f>
        <v>0.45</v>
      </c>
      <c r="H48">
        <f>'Input Scenarios'!H113</f>
        <v>0.2</v>
      </c>
      <c r="I48">
        <f>'Input Scenarios'!I113</f>
        <v>0.35</v>
      </c>
      <c r="J48">
        <f>'Input Scenarios'!J113</f>
        <v>0</v>
      </c>
      <c r="K48">
        <f>'Input Scenarios'!K113</f>
        <v>0</v>
      </c>
      <c r="L48">
        <f>'Input Scenarios'!L113</f>
        <v>1</v>
      </c>
      <c r="M48">
        <f>'Input Scenarios'!M113</f>
        <v>0</v>
      </c>
      <c r="N48">
        <f>'Input Scenarios'!N113</f>
        <v>1</v>
      </c>
      <c r="O48">
        <f>'Input Scenarios'!O113</f>
        <v>0</v>
      </c>
      <c r="P48">
        <f>'Input Scenarios'!P113</f>
        <v>0</v>
      </c>
      <c r="Q48">
        <f>'Input Scenarios'!Q113</f>
        <v>0</v>
      </c>
      <c r="R48" t="b">
        <f>'Input Scenarios'!R48</f>
        <v>1</v>
      </c>
      <c r="S48">
        <f>IF('Input Scenarios'!S113&lt;&gt;"", 'Input Scenarios'!S113, IF(R113, Constants!$B$38, 0))</f>
        <v>0.25</v>
      </c>
      <c r="T48" t="str">
        <f>IF('Input Scenarios'!T113&lt;&gt;"", 'Input Scenarios'!T113, "")</f>
        <v/>
      </c>
      <c r="U48">
        <f>IF('Input Scenarios'!U113&lt;&gt;"", 'Input Scenarios'!U113, IF(W48&lt;&gt;"", "", Constants!$B$39))</f>
        <v>4</v>
      </c>
      <c r="V48">
        <f>IF('Input Scenarios'!V113&lt;&gt;"", 'Input Scenarios'!V113, IF(W48&lt;&gt;"", "", Constants!$B$40))</f>
        <v>3.3</v>
      </c>
      <c r="W48" t="str">
        <f>IF('Input Scenarios'!W113&lt;&gt;"", 'Input Scenarios'!W113, "")</f>
        <v/>
      </c>
      <c r="X48" t="str">
        <f>'Input Scenarios'!X113</f>
        <v>Brown Swiss</v>
      </c>
      <c r="Y48" t="str">
        <f>'Input Scenarios'!Y113</f>
        <v>bullsLt1PreWeaned</v>
      </c>
      <c r="Z48">
        <f>'Input Scenarios'!Z113</f>
        <v>200</v>
      </c>
      <c r="AA48">
        <f>'Input Scenarios'!AA113</f>
        <v>124</v>
      </c>
      <c r="AB48">
        <f>'Input Scenarios'!AB113</f>
        <v>225</v>
      </c>
      <c r="AC48" t="str">
        <f>IF('Input Scenarios'!AC113&lt;&gt;"", 'Input Scenarios'!AC113, _xlfn.XLOOKUP(Y48, Constants!$B$13:$H$13, Constants!$B$15:$H$15, ""))</f>
        <v/>
      </c>
      <c r="AD48">
        <f>IF('Input Scenarios'!AD113&lt;&gt;"", 'Input Scenarios'!AD113, Constants!$B$45)</f>
        <v>0.75</v>
      </c>
      <c r="AE48">
        <f>IF('Input Scenarios'!AE113&lt;&gt;"", 'Input Scenarios'!AE113, Constants!$B$46)</f>
        <v>0.2</v>
      </c>
      <c r="AF48">
        <f t="shared" si="24"/>
        <v>0</v>
      </c>
      <c r="AG48">
        <f t="shared" si="24"/>
        <v>0</v>
      </c>
      <c r="AH48">
        <f t="shared" si="24"/>
        <v>0</v>
      </c>
      <c r="AI48">
        <f t="shared" si="24"/>
        <v>0</v>
      </c>
      <c r="AJ48">
        <f t="shared" si="25"/>
        <v>1</v>
      </c>
      <c r="AK48">
        <f t="shared" si="43"/>
        <v>0</v>
      </c>
      <c r="AL48">
        <f>Constants!$B$44</f>
        <v>1.03</v>
      </c>
      <c r="AM48">
        <f>Constants!$B$41</f>
        <v>3.0539999999999998</v>
      </c>
      <c r="AN48">
        <f>Constants!$B$42</f>
        <v>18.399999999999999</v>
      </c>
      <c r="AO48">
        <f>Constants!$B$43</f>
        <v>0.6</v>
      </c>
      <c r="AP48">
        <f t="shared" si="27"/>
        <v>0.5948500000000001</v>
      </c>
      <c r="AQ48">
        <f t="shared" si="28"/>
        <v>0</v>
      </c>
      <c r="AR48">
        <f>IF(Y48="milkingCows", Constants!$P$2, Constants!$P$3)</f>
        <v>1</v>
      </c>
      <c r="AS48" t="str">
        <f t="shared" si="29"/>
        <v/>
      </c>
      <c r="AT48" t="str">
        <f t="shared" si="30"/>
        <v/>
      </c>
      <c r="AU48" t="str">
        <f>_xlfn.XLOOKUP(Y48, Constants!$B$13:$H$13, Constants!$B$14:$H$14, "")</f>
        <v/>
      </c>
      <c r="AV48" t="str">
        <f t="shared" si="31"/>
        <v/>
      </c>
      <c r="AW48">
        <f>Constants!$B$55</f>
        <v>6.25</v>
      </c>
      <c r="AX48" t="str">
        <f t="shared" si="34"/>
        <v/>
      </c>
      <c r="AY48" t="str">
        <f t="shared" si="35"/>
        <v/>
      </c>
      <c r="AZ48" t="str">
        <f t="shared" si="18"/>
        <v/>
      </c>
      <c r="BA48">
        <f>IF(ISNUMBER(FIND("PreWeaned",Y48)),_xlfn.XLOOKUP(Y48,Constants!$J$2:$J$3,Constants!$M$2:$M$3),"")</f>
        <v>9.1999999999999998E-3</v>
      </c>
      <c r="BB48">
        <f t="shared" si="36"/>
        <v>228.15999999999997</v>
      </c>
      <c r="BC48">
        <f t="shared" si="37"/>
        <v>0</v>
      </c>
      <c r="BD48">
        <f t="shared" si="38"/>
        <v>0</v>
      </c>
      <c r="BE48">
        <f t="shared" si="39"/>
        <v>0</v>
      </c>
      <c r="BF48">
        <f t="shared" si="40"/>
        <v>0</v>
      </c>
      <c r="BG48">
        <f t="shared" si="41"/>
        <v>228.15999999999997</v>
      </c>
      <c r="BH48">
        <f t="shared" si="42"/>
        <v>1</v>
      </c>
      <c r="BI48">
        <f>Constants!$B$54</f>
        <v>0.02</v>
      </c>
      <c r="BJ48">
        <f>Constants!$B$53</f>
        <v>0.24</v>
      </c>
      <c r="BK48">
        <f t="shared" si="32"/>
        <v>0</v>
      </c>
      <c r="BL48">
        <f t="shared" si="32"/>
        <v>54.758399999999988</v>
      </c>
      <c r="BM48">
        <f>Constants!$B$52</f>
        <v>1.0999999999999999E-2</v>
      </c>
      <c r="BN48">
        <f>Constants!$B$50</f>
        <v>1.57</v>
      </c>
      <c r="BO48">
        <f t="shared" si="33"/>
        <v>0.9456775679999998</v>
      </c>
    </row>
    <row r="49" spans="1:68" x14ac:dyDescent="0.2">
      <c r="A49" s="16" t="str">
        <f>'Input Scenarios'!A114</f>
        <v>ACT</v>
      </c>
      <c r="B49" s="16">
        <f>'Input Scenarios'!B114</f>
        <v>12</v>
      </c>
      <c r="C49" s="16" t="str">
        <f>'Input Scenarios'!C114</f>
        <v>Non-irrigated crop (low rainfall)</v>
      </c>
      <c r="D49" s="16" t="str">
        <f>'Input Scenarios'!D114</f>
        <v>wet</v>
      </c>
      <c r="E49" s="16" t="b">
        <f>'Input Scenarios'!E114</f>
        <v>1</v>
      </c>
      <c r="F49" s="16"/>
      <c r="G49" s="16">
        <f>'Input Scenarios'!G114</f>
        <v>0.45</v>
      </c>
      <c r="H49" s="16">
        <f>'Input Scenarios'!H114</f>
        <v>0.2</v>
      </c>
      <c r="I49" s="16">
        <f>'Input Scenarios'!I114</f>
        <v>0.35</v>
      </c>
      <c r="J49" s="16">
        <f>'Input Scenarios'!J114</f>
        <v>0</v>
      </c>
      <c r="K49" s="16">
        <f>'Input Scenarios'!K114</f>
        <v>0</v>
      </c>
      <c r="L49" s="16">
        <f>'Input Scenarios'!L114</f>
        <v>1</v>
      </c>
      <c r="M49" s="16">
        <f>'Input Scenarios'!M114</f>
        <v>0</v>
      </c>
      <c r="N49" s="16">
        <f>'Input Scenarios'!N114</f>
        <v>1</v>
      </c>
      <c r="O49" s="16">
        <f>'Input Scenarios'!O114</f>
        <v>0</v>
      </c>
      <c r="P49" s="16">
        <f>'Input Scenarios'!P114</f>
        <v>0</v>
      </c>
      <c r="Q49" s="16">
        <f>'Input Scenarios'!Q114</f>
        <v>0</v>
      </c>
      <c r="R49" s="16" t="b">
        <f>'Input Scenarios'!R49</f>
        <v>1</v>
      </c>
      <c r="S49" s="16">
        <f>IF('Input Scenarios'!S114&lt;&gt;"", 'Input Scenarios'!S114, IF(R114, Constants!$B$38, 0))</f>
        <v>0.25</v>
      </c>
      <c r="T49" s="16" t="str">
        <f>IF('Input Scenarios'!T114&lt;&gt;"", 'Input Scenarios'!T114, "")</f>
        <v/>
      </c>
      <c r="U49" s="16">
        <f>IF('Input Scenarios'!U114&lt;&gt;"", 'Input Scenarios'!U114, IF(W49&lt;&gt;"", "", Constants!$B$39))</f>
        <v>4</v>
      </c>
      <c r="V49" s="16">
        <f>IF('Input Scenarios'!V114&lt;&gt;"", 'Input Scenarios'!V114, IF(W49&lt;&gt;"", "", Constants!$B$40))</f>
        <v>3.3</v>
      </c>
      <c r="W49" s="16" t="str">
        <f>IF('Input Scenarios'!W114&lt;&gt;"", 'Input Scenarios'!W114, "")</f>
        <v/>
      </c>
      <c r="X49" s="16" t="str">
        <f>'Input Scenarios'!X114</f>
        <v>Brown Swiss</v>
      </c>
      <c r="Y49" s="16" t="str">
        <f>'Input Scenarios'!Y114</f>
        <v>bullsLt1Weaned</v>
      </c>
      <c r="Z49" s="16">
        <f>'Input Scenarios'!Z114</f>
        <v>200</v>
      </c>
      <c r="AA49" s="16">
        <f>'Input Scenarios'!AA114</f>
        <v>294</v>
      </c>
      <c r="AB49" s="16">
        <f>'Input Scenarios'!AB114</f>
        <v>225</v>
      </c>
      <c r="AC49" s="16">
        <f>IF('Input Scenarios'!AC114&lt;&gt;"", 'Input Scenarios'!AC114, _xlfn.XLOOKUP(Y49, Constants!$B$13:$H$13, Constants!$B$15:$H$15, ""))</f>
        <v>0.8</v>
      </c>
      <c r="AD49" s="16">
        <f>IF('Input Scenarios'!AD114&lt;&gt;"", 'Input Scenarios'!AD114, Constants!$B$45)</f>
        <v>0.75</v>
      </c>
      <c r="AE49" s="16">
        <f>IF('Input Scenarios'!AE114&lt;&gt;"", 'Input Scenarios'!AE114, Constants!$B$46)</f>
        <v>0.2</v>
      </c>
      <c r="AF49" s="16">
        <f t="shared" si="24"/>
        <v>0</v>
      </c>
      <c r="AG49" s="16">
        <f t="shared" si="24"/>
        <v>0</v>
      </c>
      <c r="AH49" s="16">
        <f t="shared" si="24"/>
        <v>0</v>
      </c>
      <c r="AI49" s="16">
        <f t="shared" si="24"/>
        <v>0</v>
      </c>
      <c r="AJ49" s="16">
        <f t="shared" si="25"/>
        <v>1</v>
      </c>
      <c r="AK49" s="16">
        <f t="shared" si="43"/>
        <v>0</v>
      </c>
      <c r="AL49" s="16">
        <f>Constants!$B$44</f>
        <v>1.03</v>
      </c>
      <c r="AM49" s="16">
        <f>Constants!$B$41</f>
        <v>3.0539999999999998</v>
      </c>
      <c r="AN49" s="16">
        <f>Constants!$B$42</f>
        <v>18.399999999999999</v>
      </c>
      <c r="AO49" s="16">
        <f>Constants!$B$43</f>
        <v>0.6</v>
      </c>
      <c r="AP49" s="16">
        <f t="shared" si="27"/>
        <v>0.5948500000000001</v>
      </c>
      <c r="AQ49" s="16">
        <f t="shared" si="28"/>
        <v>0</v>
      </c>
      <c r="AR49" s="16">
        <f>IF(Y49="milkingCows", Constants!$P$2, Constants!$P$3)</f>
        <v>1</v>
      </c>
      <c r="AS49" s="16">
        <f t="shared" si="29"/>
        <v>5.4143472656250013</v>
      </c>
      <c r="AT49" s="16">
        <f t="shared" si="30"/>
        <v>1.2576570545672616</v>
      </c>
      <c r="AU49" s="16">
        <f>_xlfn.XLOOKUP(Y49, Constants!$B$13:$H$13, Constants!$B$14:$H$14, "")</f>
        <v>770</v>
      </c>
      <c r="AV49" s="16">
        <f t="shared" si="31"/>
        <v>0.29220779220779219</v>
      </c>
      <c r="AW49" s="16">
        <f>Constants!$B$55</f>
        <v>6.25</v>
      </c>
      <c r="AX49" s="16">
        <f t="shared" si="34"/>
        <v>1.9757354894894084E-2</v>
      </c>
      <c r="AY49" s="16">
        <f t="shared" si="35"/>
        <v>1.0828694531250003</v>
      </c>
      <c r="AZ49" s="16">
        <f t="shared" si="18"/>
        <v>0.15247929000170721</v>
      </c>
      <c r="BA49" s="16" t="str">
        <f>IF(ISNUMBER(FIND("PreWeaned",Y49)),_xlfn.XLOOKUP(Y49,Constants!$J$2:$J$3,Constants!$M$2:$M$3),"")</f>
        <v/>
      </c>
      <c r="BB49" s="16">
        <f t="shared" si="36"/>
        <v>8965.7822521003836</v>
      </c>
      <c r="BC49" s="16">
        <f t="shared" si="37"/>
        <v>0</v>
      </c>
      <c r="BD49" s="16">
        <f t="shared" si="38"/>
        <v>0</v>
      </c>
      <c r="BE49" s="16">
        <f t="shared" si="39"/>
        <v>0</v>
      </c>
      <c r="BF49" s="16">
        <f t="shared" si="40"/>
        <v>0</v>
      </c>
      <c r="BG49" s="16">
        <f t="shared" si="41"/>
        <v>8965.7822521003836</v>
      </c>
      <c r="BH49" s="16">
        <f t="shared" si="42"/>
        <v>1</v>
      </c>
      <c r="BI49" s="16">
        <f>Constants!$B$54</f>
        <v>0.02</v>
      </c>
      <c r="BJ49" s="16">
        <f>Constants!$B$53</f>
        <v>0.24</v>
      </c>
      <c r="BK49" s="16">
        <f t="shared" si="32"/>
        <v>0</v>
      </c>
      <c r="BL49" s="16">
        <f t="shared" si="32"/>
        <v>2151.7877405040922</v>
      </c>
      <c r="BM49" s="16">
        <f>Constants!$B$52</f>
        <v>1.0999999999999999E-2</v>
      </c>
      <c r="BN49" s="16">
        <f>Constants!$B$50</f>
        <v>1.57</v>
      </c>
      <c r="BO49" s="16">
        <f t="shared" si="33"/>
        <v>37.161374278505676</v>
      </c>
      <c r="BP49" s="16"/>
    </row>
    <row r="50" spans="1:68" x14ac:dyDescent="0.2">
      <c r="A50" t="str">
        <f>'Input Scenarios'!A115</f>
        <v>WA</v>
      </c>
      <c r="B50">
        <f>'Input Scenarios'!B115</f>
        <v>24</v>
      </c>
      <c r="C50" t="str">
        <f>'Input Scenarios'!C115</f>
        <v>Irrigated pasture</v>
      </c>
      <c r="D50" t="str">
        <f>'Input Scenarios'!D115</f>
        <v>dry</v>
      </c>
      <c r="E50" t="b">
        <f>'Input Scenarios'!E115</f>
        <v>0</v>
      </c>
      <c r="G50">
        <f>'Input Scenarios'!G115</f>
        <v>0.82</v>
      </c>
      <c r="H50">
        <f>'Input Scenarios'!H115</f>
        <v>0.08</v>
      </c>
      <c r="I50">
        <f>'Input Scenarios'!I115</f>
        <v>0.1</v>
      </c>
      <c r="J50">
        <f>'Input Scenarios'!J115</f>
        <v>0</v>
      </c>
      <c r="K50">
        <f>'Input Scenarios'!K115</f>
        <v>0.5</v>
      </c>
      <c r="L50">
        <f>'Input Scenarios'!L115</f>
        <v>0.5</v>
      </c>
      <c r="M50">
        <f>'Input Scenarios'!M115</f>
        <v>0</v>
      </c>
      <c r="N50">
        <f>'Input Scenarios'!N115</f>
        <v>0.5</v>
      </c>
      <c r="O50">
        <f>'Input Scenarios'!O115</f>
        <v>0</v>
      </c>
      <c r="P50">
        <f>'Input Scenarios'!P115</f>
        <v>0</v>
      </c>
      <c r="Q50">
        <f>'Input Scenarios'!Q115</f>
        <v>0.5</v>
      </c>
      <c r="R50" t="b">
        <f>'Input Scenarios'!R50</f>
        <v>0</v>
      </c>
      <c r="S50">
        <f>IF('Input Scenarios'!S115&lt;&gt;"", 'Input Scenarios'!S115, IF(R115, Constants!$B$38, 0))</f>
        <v>0</v>
      </c>
      <c r="T50" s="20">
        <f>IF('Input Scenarios'!T115&lt;&gt;"", 'Input Scenarios'!T115, "")</f>
        <v>2.5</v>
      </c>
      <c r="U50" s="20">
        <f>IF('Input Scenarios'!U115&lt;&gt;"", 'Input Scenarios'!U115, IF(W50&lt;&gt;"", "", Constants!$B$39))</f>
        <v>3.3</v>
      </c>
      <c r="V50" s="20">
        <f>IF('Input Scenarios'!V115&lt;&gt;"", 'Input Scenarios'!V115, IF(W50&lt;&gt;"", "", Constants!$B$40))</f>
        <v>4.4000000000000004</v>
      </c>
      <c r="W50" s="20" t="str">
        <f>IF('Input Scenarios'!W115&lt;&gt;"", 'Input Scenarios'!W115, "")</f>
        <v/>
      </c>
      <c r="X50" s="20" t="str">
        <f>'Input Scenarios'!X115</f>
        <v>Illawarra/Aussie Red</v>
      </c>
      <c r="Y50" s="20" t="str">
        <f>'Input Scenarios'!Y115</f>
        <v>milkingCows</v>
      </c>
      <c r="Z50" s="20">
        <f>'Input Scenarios'!Z115</f>
        <v>200</v>
      </c>
      <c r="AA50" s="20">
        <f>'Input Scenarios'!AA115</f>
        <v>365</v>
      </c>
      <c r="AB50" s="20">
        <f>'Input Scenarios'!AB115</f>
        <v>540</v>
      </c>
      <c r="AC50">
        <f>IF('Input Scenarios'!AC115&lt;&gt;"", 'Input Scenarios'!AC115, _xlfn.XLOOKUP(Y50, Constants!$B$13:$H$13, Constants!$B$15:$H$15, ""))</f>
        <v>1.6E-2</v>
      </c>
      <c r="AD50">
        <f>IF('Input Scenarios'!AD115&lt;&gt;"", 'Input Scenarios'!AD115, Constants!$B$45)</f>
        <v>0.75</v>
      </c>
      <c r="AE50">
        <f>IF('Input Scenarios'!AE115&lt;&gt;"", 'Input Scenarios'!AE115, Constants!$B$46)</f>
        <v>0.2</v>
      </c>
      <c r="AF50" s="20">
        <f t="shared" si="24"/>
        <v>0.05</v>
      </c>
      <c r="AG50" s="20">
        <f t="shared" si="24"/>
        <v>0.04</v>
      </c>
      <c r="AH50" s="20">
        <f t="shared" si="24"/>
        <v>0.04</v>
      </c>
      <c r="AI50" s="20">
        <f t="shared" si="24"/>
        <v>0.05</v>
      </c>
      <c r="AJ50" s="20">
        <f t="shared" si="25"/>
        <v>0.82</v>
      </c>
      <c r="AK50">
        <f t="shared" si="43"/>
        <v>32.467532467532465</v>
      </c>
      <c r="AL50">
        <f>Constants!$B$44</f>
        <v>1.03</v>
      </c>
      <c r="AM50">
        <f>Constants!$B$41</f>
        <v>3.0539999999999998</v>
      </c>
      <c r="AN50">
        <f>Constants!$B$42</f>
        <v>18.399999999999999</v>
      </c>
      <c r="AO50">
        <f>Constants!$B$43</f>
        <v>0.6</v>
      </c>
      <c r="AP50">
        <f t="shared" si="27"/>
        <v>0.5948500000000001</v>
      </c>
      <c r="AQ50">
        <f t="shared" si="28"/>
        <v>15.551740525336351</v>
      </c>
      <c r="AR50">
        <f>IF(Y50="milkingCows", Constants!$P$2, Constants!$P$3)</f>
        <v>1.1000000000000001</v>
      </c>
      <c r="AS50">
        <f t="shared" si="29"/>
        <v>24.697643126776352</v>
      </c>
      <c r="AT50">
        <f t="shared" si="30"/>
        <v>1.0012950812553587</v>
      </c>
      <c r="AU50">
        <f>_xlfn.XLOOKUP(Y50, Constants!$B$13:$H$13, Constants!$B$14:$H$14, "")</f>
        <v>590</v>
      </c>
      <c r="AV50">
        <f t="shared" si="31"/>
        <v>0.9152542372881356</v>
      </c>
      <c r="AW50">
        <f>Constants!$B$55</f>
        <v>6.25</v>
      </c>
      <c r="AX50" s="20">
        <f t="shared" si="34"/>
        <v>0.1679166761056404</v>
      </c>
      <c r="AY50">
        <f t="shared" si="35"/>
        <v>4.9395286253552708</v>
      </c>
      <c r="AZ50">
        <f t="shared" si="18"/>
        <v>0.62043635307915301</v>
      </c>
      <c r="BA50" t="str">
        <f>IF(ISNUMBER(FIND("PreWeaned",Y50)),_xlfn.XLOOKUP(Y50,Constants!$J$2:$J$3,Constants!$M$2:$M$3),"")</f>
        <v/>
      </c>
      <c r="BB50">
        <f t="shared" si="36"/>
        <v>45291.853774778174</v>
      </c>
      <c r="BC50">
        <f t="shared" si="37"/>
        <v>2264.5926887389087</v>
      </c>
      <c r="BD50">
        <f t="shared" si="38"/>
        <v>1811.6741509911269</v>
      </c>
      <c r="BE50">
        <f t="shared" si="39"/>
        <v>1811.6741509911269</v>
      </c>
      <c r="BF50">
        <f t="shared" si="40"/>
        <v>2264.5926887389087</v>
      </c>
      <c r="BG50">
        <f t="shared" si="41"/>
        <v>37139.3200953181</v>
      </c>
      <c r="BH50">
        <f t="shared" si="42"/>
        <v>0</v>
      </c>
      <c r="BI50">
        <f>Constants!$B$54</f>
        <v>0.02</v>
      </c>
      <c r="BJ50">
        <f>Constants!$B$53</f>
        <v>0.24</v>
      </c>
      <c r="BK50">
        <f t="shared" si="32"/>
        <v>0</v>
      </c>
      <c r="BL50">
        <f t="shared" si="32"/>
        <v>0</v>
      </c>
      <c r="BM50">
        <f>Constants!$B$52</f>
        <v>1.0999999999999999E-2</v>
      </c>
      <c r="BN50">
        <f>Constants!$B$50</f>
        <v>1.57</v>
      </c>
      <c r="BO50">
        <f t="shared" si="33"/>
        <v>0</v>
      </c>
      <c r="BP50">
        <f>SUM(BO50:BO56)/1000</f>
        <v>0</v>
      </c>
    </row>
    <row r="51" spans="1:68" x14ac:dyDescent="0.2">
      <c r="A51" t="str">
        <f>'Input Scenarios'!A116</f>
        <v>WA</v>
      </c>
      <c r="B51">
        <f>'Input Scenarios'!B116</f>
        <v>24</v>
      </c>
      <c r="C51" t="str">
        <f>'Input Scenarios'!C116</f>
        <v>Irrigated pasture</v>
      </c>
      <c r="D51" t="str">
        <f>'Input Scenarios'!D116</f>
        <v>dry</v>
      </c>
      <c r="E51" t="b">
        <f>'Input Scenarios'!E116</f>
        <v>0</v>
      </c>
      <c r="G51">
        <f>'Input Scenarios'!G116</f>
        <v>0.82</v>
      </c>
      <c r="H51">
        <f>'Input Scenarios'!H116</f>
        <v>0.08</v>
      </c>
      <c r="I51">
        <f>'Input Scenarios'!I116</f>
        <v>0.1</v>
      </c>
      <c r="J51">
        <f>'Input Scenarios'!J116</f>
        <v>0</v>
      </c>
      <c r="K51">
        <f>'Input Scenarios'!K116</f>
        <v>0.5</v>
      </c>
      <c r="L51">
        <f>'Input Scenarios'!L116</f>
        <v>0.5</v>
      </c>
      <c r="M51">
        <f>'Input Scenarios'!M116</f>
        <v>0</v>
      </c>
      <c r="N51">
        <f>'Input Scenarios'!N116</f>
        <v>0.5</v>
      </c>
      <c r="O51">
        <f>'Input Scenarios'!O116</f>
        <v>0</v>
      </c>
      <c r="P51">
        <f>'Input Scenarios'!P116</f>
        <v>0</v>
      </c>
      <c r="Q51">
        <f>'Input Scenarios'!Q116</f>
        <v>0.5</v>
      </c>
      <c r="R51" t="b">
        <f>'Input Scenarios'!R51</f>
        <v>0</v>
      </c>
      <c r="S51">
        <f>IF('Input Scenarios'!S116&lt;&gt;"", 'Input Scenarios'!S116, IF(R116, Constants!$B$38, 0))</f>
        <v>0</v>
      </c>
      <c r="T51" t="str">
        <f>IF('Input Scenarios'!T116&lt;&gt;"", 'Input Scenarios'!T116, "")</f>
        <v/>
      </c>
      <c r="U51">
        <f>IF('Input Scenarios'!U116&lt;&gt;"", 'Input Scenarios'!U116, IF(W51&lt;&gt;"", "", Constants!$B$39))</f>
        <v>4</v>
      </c>
      <c r="V51">
        <f>IF('Input Scenarios'!V116&lt;&gt;"", 'Input Scenarios'!V116, IF(W51&lt;&gt;"", "", Constants!$B$40))</f>
        <v>3.3</v>
      </c>
      <c r="W51" t="str">
        <f>IF('Input Scenarios'!W116&lt;&gt;"", 'Input Scenarios'!W116, "")</f>
        <v/>
      </c>
      <c r="X51" t="str">
        <f>'Input Scenarios'!X116</f>
        <v>Illawarra/Aussie Red</v>
      </c>
      <c r="Y51" t="str">
        <f>'Input Scenarios'!Y116</f>
        <v>heifersGt1</v>
      </c>
      <c r="Z51">
        <f>'Input Scenarios'!Z116</f>
        <v>200</v>
      </c>
      <c r="AA51">
        <f>'Input Scenarios'!AA116</f>
        <v>265</v>
      </c>
      <c r="AB51">
        <f>'Input Scenarios'!AB116</f>
        <v>375</v>
      </c>
      <c r="AC51">
        <f>IF('Input Scenarios'!AC116&lt;&gt;"", 'Input Scenarios'!AC116, _xlfn.XLOOKUP(Y51, Constants!$B$13:$H$13, Constants!$B$15:$H$15, ""))</f>
        <v>0.6</v>
      </c>
      <c r="AD51">
        <f>IF('Input Scenarios'!AD116&lt;&gt;"", 'Input Scenarios'!AD116, Constants!$B$45)</f>
        <v>0.75</v>
      </c>
      <c r="AE51">
        <f>IF('Input Scenarios'!AE116&lt;&gt;"", 'Input Scenarios'!AE116, Constants!$B$46)</f>
        <v>0.2</v>
      </c>
      <c r="AF51">
        <f t="shared" si="24"/>
        <v>0</v>
      </c>
      <c r="AG51">
        <f t="shared" si="24"/>
        <v>0</v>
      </c>
      <c r="AH51">
        <f t="shared" si="24"/>
        <v>0</v>
      </c>
      <c r="AI51">
        <f t="shared" si="24"/>
        <v>0</v>
      </c>
      <c r="AJ51">
        <f t="shared" si="25"/>
        <v>1</v>
      </c>
      <c r="AK51">
        <f t="shared" si="43"/>
        <v>0</v>
      </c>
      <c r="AL51">
        <f>Constants!$B$44</f>
        <v>1.03</v>
      </c>
      <c r="AM51">
        <f>Constants!$B$41</f>
        <v>3.0539999999999998</v>
      </c>
      <c r="AN51">
        <f>Constants!$B$42</f>
        <v>18.399999999999999</v>
      </c>
      <c r="AO51">
        <f>Constants!$B$43</f>
        <v>0.6</v>
      </c>
      <c r="AP51">
        <f t="shared" si="27"/>
        <v>0.5948500000000001</v>
      </c>
      <c r="AQ51">
        <f t="shared" si="28"/>
        <v>0</v>
      </c>
      <c r="AR51">
        <f>IF(Y51="milkingCows", Constants!$P$2, Constants!$P$3)</f>
        <v>1</v>
      </c>
      <c r="AS51">
        <f t="shared" si="29"/>
        <v>7.3488432656250007</v>
      </c>
      <c r="AT51">
        <f t="shared" si="30"/>
        <v>1.1555051146335733</v>
      </c>
      <c r="AU51">
        <f>_xlfn.XLOOKUP(Y51, Constants!$B$13:$H$13, Constants!$B$14:$H$14, "")</f>
        <v>590</v>
      </c>
      <c r="AV51">
        <f t="shared" si="31"/>
        <v>0.63559322033898302</v>
      </c>
      <c r="AW51">
        <f>Constants!$B$55</f>
        <v>6.25</v>
      </c>
      <c r="AX51">
        <f t="shared" si="34"/>
        <v>8.8952563417278308E-3</v>
      </c>
      <c r="AY51">
        <f t="shared" si="35"/>
        <v>1.4697686531250003</v>
      </c>
      <c r="AZ51">
        <f t="shared" si="18"/>
        <v>0.2247679185945351</v>
      </c>
      <c r="BA51" t="str">
        <f>IF(ISNUMBER(FIND("PreWeaned",Y51)),_xlfn.XLOOKUP(Y51,Constants!$J$2:$J$3,Constants!$M$2:$M$3),"")</f>
        <v/>
      </c>
      <c r="BB51">
        <f t="shared" si="36"/>
        <v>11912.699685510361</v>
      </c>
      <c r="BC51">
        <f t="shared" si="37"/>
        <v>0</v>
      </c>
      <c r="BD51">
        <f t="shared" si="38"/>
        <v>0</v>
      </c>
      <c r="BE51">
        <f t="shared" si="39"/>
        <v>0</v>
      </c>
      <c r="BF51">
        <f t="shared" si="40"/>
        <v>0</v>
      </c>
      <c r="BG51">
        <f t="shared" si="41"/>
        <v>11912.699685510361</v>
      </c>
      <c r="BH51">
        <f t="shared" si="42"/>
        <v>0</v>
      </c>
      <c r="BI51">
        <f>Constants!$B$54</f>
        <v>0.02</v>
      </c>
      <c r="BJ51">
        <f>Constants!$B$53</f>
        <v>0.24</v>
      </c>
      <c r="BK51">
        <f t="shared" si="32"/>
        <v>0</v>
      </c>
      <c r="BL51">
        <f t="shared" si="32"/>
        <v>0</v>
      </c>
      <c r="BM51">
        <f>Constants!$B$52</f>
        <v>1.0999999999999999E-2</v>
      </c>
      <c r="BN51">
        <f>Constants!$B$50</f>
        <v>1.57</v>
      </c>
      <c r="BO51">
        <f t="shared" si="33"/>
        <v>0</v>
      </c>
    </row>
    <row r="52" spans="1:68" x14ac:dyDescent="0.2">
      <c r="A52" t="str">
        <f>'Input Scenarios'!A117</f>
        <v>WA</v>
      </c>
      <c r="B52">
        <f>'Input Scenarios'!B117</f>
        <v>24</v>
      </c>
      <c r="C52" t="str">
        <f>'Input Scenarios'!C117</f>
        <v>Irrigated pasture</v>
      </c>
      <c r="D52" t="str">
        <f>'Input Scenarios'!D117</f>
        <v>dry</v>
      </c>
      <c r="E52" t="b">
        <f>'Input Scenarios'!E117</f>
        <v>0</v>
      </c>
      <c r="G52">
        <f>'Input Scenarios'!G117</f>
        <v>0.82</v>
      </c>
      <c r="H52">
        <f>'Input Scenarios'!H117</f>
        <v>0.08</v>
      </c>
      <c r="I52">
        <f>'Input Scenarios'!I117</f>
        <v>0.1</v>
      </c>
      <c r="J52">
        <f>'Input Scenarios'!J117</f>
        <v>0</v>
      </c>
      <c r="K52">
        <f>'Input Scenarios'!K117</f>
        <v>0.5</v>
      </c>
      <c r="L52">
        <f>'Input Scenarios'!L117</f>
        <v>0.5</v>
      </c>
      <c r="M52">
        <f>'Input Scenarios'!M117</f>
        <v>0</v>
      </c>
      <c r="N52">
        <f>'Input Scenarios'!N117</f>
        <v>0.5</v>
      </c>
      <c r="O52">
        <f>'Input Scenarios'!O117</f>
        <v>0</v>
      </c>
      <c r="P52">
        <f>'Input Scenarios'!P117</f>
        <v>0</v>
      </c>
      <c r="Q52">
        <f>'Input Scenarios'!Q117</f>
        <v>0.5</v>
      </c>
      <c r="R52" t="b">
        <f>'Input Scenarios'!R52</f>
        <v>0</v>
      </c>
      <c r="S52">
        <f>IF('Input Scenarios'!S117&lt;&gt;"", 'Input Scenarios'!S117, IF(R117, Constants!$B$38, 0))</f>
        <v>0</v>
      </c>
      <c r="T52" t="str">
        <f>IF('Input Scenarios'!T117&lt;&gt;"", 'Input Scenarios'!T117, "")</f>
        <v/>
      </c>
      <c r="U52">
        <f>IF('Input Scenarios'!U117&lt;&gt;"", 'Input Scenarios'!U117, IF(W52&lt;&gt;"", "", Constants!$B$39))</f>
        <v>4</v>
      </c>
      <c r="V52">
        <f>IF('Input Scenarios'!V117&lt;&gt;"", 'Input Scenarios'!V117, IF(W52&lt;&gt;"", "", Constants!$B$40))</f>
        <v>3.3</v>
      </c>
      <c r="W52" t="str">
        <f>IF('Input Scenarios'!W117&lt;&gt;"", 'Input Scenarios'!W117, "")</f>
        <v/>
      </c>
      <c r="X52" t="str">
        <f>'Input Scenarios'!X117</f>
        <v>Illawarra/Aussie Red</v>
      </c>
      <c r="Y52" t="str">
        <f>'Input Scenarios'!Y117</f>
        <v>heifersLt1PreWeaned</v>
      </c>
      <c r="Z52">
        <f>'Input Scenarios'!Z117</f>
        <v>200</v>
      </c>
      <c r="AA52">
        <f>'Input Scenarios'!AA117</f>
        <v>100</v>
      </c>
      <c r="AB52">
        <f>'Input Scenarios'!AB117</f>
        <v>150</v>
      </c>
      <c r="AC52" t="str">
        <f>IF('Input Scenarios'!AC117&lt;&gt;"", 'Input Scenarios'!AC117, _xlfn.XLOOKUP(Y52, Constants!$B$13:$H$13, Constants!$B$15:$H$15, ""))</f>
        <v/>
      </c>
      <c r="AD52">
        <f>IF('Input Scenarios'!AD117&lt;&gt;"", 'Input Scenarios'!AD117, Constants!$B$45)</f>
        <v>0.75</v>
      </c>
      <c r="AE52">
        <f>IF('Input Scenarios'!AE117&lt;&gt;"", 'Input Scenarios'!AE117, Constants!$B$46)</f>
        <v>0.2</v>
      </c>
      <c r="AF52">
        <f t="shared" si="24"/>
        <v>0</v>
      </c>
      <c r="AG52">
        <f t="shared" si="24"/>
        <v>0</v>
      </c>
      <c r="AH52">
        <f t="shared" si="24"/>
        <v>0</v>
      </c>
      <c r="AI52">
        <f t="shared" si="24"/>
        <v>0</v>
      </c>
      <c r="AJ52">
        <f t="shared" si="25"/>
        <v>1</v>
      </c>
      <c r="AK52">
        <f t="shared" si="43"/>
        <v>0</v>
      </c>
      <c r="AL52">
        <f>Constants!$B$44</f>
        <v>1.03</v>
      </c>
      <c r="AM52">
        <f>Constants!$B$41</f>
        <v>3.0539999999999998</v>
      </c>
      <c r="AN52">
        <f>Constants!$B$42</f>
        <v>18.399999999999999</v>
      </c>
      <c r="AO52">
        <f>Constants!$B$43</f>
        <v>0.6</v>
      </c>
      <c r="AP52">
        <f t="shared" si="27"/>
        <v>0.5948500000000001</v>
      </c>
      <c r="AQ52">
        <f t="shared" si="28"/>
        <v>0</v>
      </c>
      <c r="AR52">
        <f>IF(Y52="milkingCows", Constants!$P$2, Constants!$P$3)</f>
        <v>1</v>
      </c>
      <c r="AS52" t="str">
        <f t="shared" si="29"/>
        <v/>
      </c>
      <c r="AT52" t="str">
        <f t="shared" si="30"/>
        <v/>
      </c>
      <c r="AU52" t="str">
        <f>_xlfn.XLOOKUP(Y52, Constants!$B$13:$H$13, Constants!$B$14:$H$14, "")</f>
        <v/>
      </c>
      <c r="AV52" t="str">
        <f t="shared" si="31"/>
        <v/>
      </c>
      <c r="AW52">
        <f>Constants!$B$55</f>
        <v>6.25</v>
      </c>
      <c r="AX52" t="str">
        <f t="shared" si="34"/>
        <v/>
      </c>
      <c r="AY52" t="str">
        <f t="shared" si="35"/>
        <v/>
      </c>
      <c r="AZ52" t="str">
        <f t="shared" si="18"/>
        <v/>
      </c>
      <c r="BA52">
        <f>IF(ISNUMBER(FIND("PreWeaned",Y52)),_xlfn.XLOOKUP(Y52,Constants!$J$2:$J$3,Constants!$M$2:$M$3),"")</f>
        <v>1.37E-2</v>
      </c>
      <c r="BB52">
        <f t="shared" si="36"/>
        <v>274</v>
      </c>
      <c r="BC52">
        <f t="shared" si="37"/>
        <v>0</v>
      </c>
      <c r="BD52">
        <f t="shared" si="38"/>
        <v>0</v>
      </c>
      <c r="BE52">
        <f t="shared" si="39"/>
        <v>0</v>
      </c>
      <c r="BF52">
        <f t="shared" si="40"/>
        <v>0</v>
      </c>
      <c r="BG52">
        <f t="shared" si="41"/>
        <v>274</v>
      </c>
      <c r="BH52">
        <f t="shared" si="42"/>
        <v>0</v>
      </c>
      <c r="BI52">
        <f>Constants!$B$54</f>
        <v>0.02</v>
      </c>
      <c r="BJ52">
        <f>Constants!$B$53</f>
        <v>0.24</v>
      </c>
      <c r="BK52">
        <f t="shared" si="32"/>
        <v>0</v>
      </c>
      <c r="BL52">
        <f t="shared" si="32"/>
        <v>0</v>
      </c>
      <c r="BM52">
        <f>Constants!$B$52</f>
        <v>1.0999999999999999E-2</v>
      </c>
      <c r="BN52">
        <f>Constants!$B$50</f>
        <v>1.57</v>
      </c>
      <c r="BO52">
        <f t="shared" si="33"/>
        <v>0</v>
      </c>
    </row>
    <row r="53" spans="1:68" x14ac:dyDescent="0.2">
      <c r="A53" t="str">
        <f>'Input Scenarios'!A118</f>
        <v>WA</v>
      </c>
      <c r="B53">
        <f>'Input Scenarios'!B118</f>
        <v>24</v>
      </c>
      <c r="C53" t="str">
        <f>'Input Scenarios'!C118</f>
        <v>Irrigated pasture</v>
      </c>
      <c r="D53" t="str">
        <f>'Input Scenarios'!D118</f>
        <v>dry</v>
      </c>
      <c r="E53" t="b">
        <f>'Input Scenarios'!E118</f>
        <v>0</v>
      </c>
      <c r="G53">
        <f>'Input Scenarios'!G118</f>
        <v>0.82</v>
      </c>
      <c r="H53">
        <f>'Input Scenarios'!H118</f>
        <v>0.08</v>
      </c>
      <c r="I53">
        <f>'Input Scenarios'!I118</f>
        <v>0.1</v>
      </c>
      <c r="J53">
        <f>'Input Scenarios'!J118</f>
        <v>0</v>
      </c>
      <c r="K53">
        <f>'Input Scenarios'!K118</f>
        <v>0.5</v>
      </c>
      <c r="L53">
        <f>'Input Scenarios'!L118</f>
        <v>0.5</v>
      </c>
      <c r="M53">
        <f>'Input Scenarios'!M118</f>
        <v>0</v>
      </c>
      <c r="N53">
        <f>'Input Scenarios'!N118</f>
        <v>0.5</v>
      </c>
      <c r="O53">
        <f>'Input Scenarios'!O118</f>
        <v>0</v>
      </c>
      <c r="P53">
        <f>'Input Scenarios'!P118</f>
        <v>0</v>
      </c>
      <c r="Q53">
        <f>'Input Scenarios'!Q118</f>
        <v>0.5</v>
      </c>
      <c r="R53" t="b">
        <f>'Input Scenarios'!R53</f>
        <v>0</v>
      </c>
      <c r="S53">
        <f>IF('Input Scenarios'!S118&lt;&gt;"", 'Input Scenarios'!S118, IF(R118, Constants!$B$38, 0))</f>
        <v>0</v>
      </c>
      <c r="T53" t="str">
        <f>IF('Input Scenarios'!T118&lt;&gt;"", 'Input Scenarios'!T118, "")</f>
        <v/>
      </c>
      <c r="U53">
        <f>IF('Input Scenarios'!U118&lt;&gt;"", 'Input Scenarios'!U118, IF(W53&lt;&gt;"", "", Constants!$B$39))</f>
        <v>4</v>
      </c>
      <c r="V53">
        <f>IF('Input Scenarios'!V118&lt;&gt;"", 'Input Scenarios'!V118, IF(W53&lt;&gt;"", "", Constants!$B$40))</f>
        <v>3.3</v>
      </c>
      <c r="W53" t="str">
        <f>IF('Input Scenarios'!W118&lt;&gt;"", 'Input Scenarios'!W118, "")</f>
        <v/>
      </c>
      <c r="X53" t="str">
        <f>'Input Scenarios'!X118</f>
        <v>Illawarra/Aussie Red</v>
      </c>
      <c r="Y53" t="str">
        <f>'Input Scenarios'!Y118</f>
        <v>heifersLt1Weaned</v>
      </c>
      <c r="Z53">
        <f>'Input Scenarios'!Z118</f>
        <v>200</v>
      </c>
      <c r="AA53">
        <f>'Input Scenarios'!AA118</f>
        <v>360</v>
      </c>
      <c r="AB53">
        <f>'Input Scenarios'!AB118</f>
        <v>150</v>
      </c>
      <c r="AC53">
        <f>IF('Input Scenarios'!AC118&lt;&gt;"", 'Input Scenarios'!AC118, _xlfn.XLOOKUP(Y53, Constants!$B$13:$H$13, Constants!$B$15:$H$15, ""))</f>
        <v>0.56999999999999995</v>
      </c>
      <c r="AD53">
        <f>IF('Input Scenarios'!AD118&lt;&gt;"", 'Input Scenarios'!AD118, Constants!$B$45)</f>
        <v>0.75</v>
      </c>
      <c r="AE53">
        <f>IF('Input Scenarios'!AE118&lt;&gt;"", 'Input Scenarios'!AE118, Constants!$B$46)</f>
        <v>0.2</v>
      </c>
      <c r="AF53">
        <f t="shared" si="24"/>
        <v>0</v>
      </c>
      <c r="AG53">
        <f t="shared" si="24"/>
        <v>0</v>
      </c>
      <c r="AH53">
        <f t="shared" si="24"/>
        <v>0</v>
      </c>
      <c r="AI53">
        <f t="shared" si="24"/>
        <v>0</v>
      </c>
      <c r="AJ53">
        <f t="shared" si="25"/>
        <v>1</v>
      </c>
      <c r="AK53">
        <f t="shared" si="43"/>
        <v>0</v>
      </c>
      <c r="AL53">
        <f>Constants!$B$44</f>
        <v>1.03</v>
      </c>
      <c r="AM53">
        <f>Constants!$B$41</f>
        <v>3.0539999999999998</v>
      </c>
      <c r="AN53">
        <f>Constants!$B$42</f>
        <v>18.399999999999999</v>
      </c>
      <c r="AO53">
        <f>Constants!$B$43</f>
        <v>0.6</v>
      </c>
      <c r="AP53">
        <f t="shared" si="27"/>
        <v>0.5948500000000001</v>
      </c>
      <c r="AQ53">
        <f t="shared" si="28"/>
        <v>0</v>
      </c>
      <c r="AR53">
        <f>IF(Y53="milkingCows", Constants!$P$2, Constants!$P$3)</f>
        <v>1</v>
      </c>
      <c r="AS53">
        <f t="shared" si="29"/>
        <v>3.9483677025000001</v>
      </c>
      <c r="AT53">
        <f t="shared" si="30"/>
        <v>1.2085398598508978</v>
      </c>
      <c r="AU53">
        <f>_xlfn.XLOOKUP(Y53, Constants!$B$13:$H$13, Constants!$B$14:$H$14, "")</f>
        <v>590</v>
      </c>
      <c r="AV53">
        <f t="shared" si="31"/>
        <v>0.25423728813559321</v>
      </c>
      <c r="AW53">
        <f>Constants!$B$55</f>
        <v>6.25</v>
      </c>
      <c r="AX53">
        <f t="shared" si="34"/>
        <v>1.4705504454277429E-2</v>
      </c>
      <c r="AY53">
        <f t="shared" si="35"/>
        <v>0.78967354050000005</v>
      </c>
      <c r="AZ53">
        <f t="shared" si="18"/>
        <v>0.1108878977522821</v>
      </c>
      <c r="BA53" t="str">
        <f>IF(ISNUMBER(FIND("PreWeaned",Y53)),_xlfn.XLOOKUP(Y53,Constants!$J$2:$J$3,Constants!$M$2:$M$3),"")</f>
        <v/>
      </c>
      <c r="BB53">
        <f t="shared" si="36"/>
        <v>7983.9286381643105</v>
      </c>
      <c r="BC53">
        <f t="shared" si="37"/>
        <v>0</v>
      </c>
      <c r="BD53">
        <f t="shared" si="38"/>
        <v>0</v>
      </c>
      <c r="BE53">
        <f t="shared" si="39"/>
        <v>0</v>
      </c>
      <c r="BF53">
        <f t="shared" si="40"/>
        <v>0</v>
      </c>
      <c r="BG53">
        <f t="shared" si="41"/>
        <v>7983.9286381643105</v>
      </c>
      <c r="BH53">
        <f t="shared" si="42"/>
        <v>0</v>
      </c>
      <c r="BI53">
        <f>Constants!$B$54</f>
        <v>0.02</v>
      </c>
      <c r="BJ53">
        <f>Constants!$B$53</f>
        <v>0.24</v>
      </c>
      <c r="BK53">
        <f t="shared" si="32"/>
        <v>0</v>
      </c>
      <c r="BL53">
        <f t="shared" si="32"/>
        <v>0</v>
      </c>
      <c r="BM53">
        <f>Constants!$B$52</f>
        <v>1.0999999999999999E-2</v>
      </c>
      <c r="BN53">
        <f>Constants!$B$50</f>
        <v>1.57</v>
      </c>
      <c r="BO53">
        <f t="shared" si="33"/>
        <v>0</v>
      </c>
    </row>
    <row r="54" spans="1:68" x14ac:dyDescent="0.2">
      <c r="A54" t="str">
        <f>'Input Scenarios'!A119</f>
        <v>WA</v>
      </c>
      <c r="B54">
        <f>'Input Scenarios'!B119</f>
        <v>24</v>
      </c>
      <c r="C54" t="str">
        <f>'Input Scenarios'!C119</f>
        <v>Irrigated pasture</v>
      </c>
      <c r="D54" t="str">
        <f>'Input Scenarios'!D119</f>
        <v>dry</v>
      </c>
      <c r="E54" t="b">
        <f>'Input Scenarios'!E119</f>
        <v>0</v>
      </c>
      <c r="G54">
        <f>'Input Scenarios'!G119</f>
        <v>0.82</v>
      </c>
      <c r="H54">
        <f>'Input Scenarios'!H119</f>
        <v>0.08</v>
      </c>
      <c r="I54">
        <f>'Input Scenarios'!I119</f>
        <v>0.1</v>
      </c>
      <c r="J54">
        <f>'Input Scenarios'!J119</f>
        <v>0</v>
      </c>
      <c r="K54">
        <f>'Input Scenarios'!K119</f>
        <v>0.5</v>
      </c>
      <c r="L54">
        <f>'Input Scenarios'!L119</f>
        <v>0.5</v>
      </c>
      <c r="M54">
        <f>'Input Scenarios'!M119</f>
        <v>0</v>
      </c>
      <c r="N54">
        <f>'Input Scenarios'!N119</f>
        <v>0.5</v>
      </c>
      <c r="O54">
        <f>'Input Scenarios'!O119</f>
        <v>0</v>
      </c>
      <c r="P54">
        <f>'Input Scenarios'!P119</f>
        <v>0</v>
      </c>
      <c r="Q54">
        <f>'Input Scenarios'!Q119</f>
        <v>0.5</v>
      </c>
      <c r="R54" t="b">
        <f>'Input Scenarios'!R54</f>
        <v>0</v>
      </c>
      <c r="S54">
        <f>IF('Input Scenarios'!S119&lt;&gt;"", 'Input Scenarios'!S119, IF(R119, Constants!$B$38, 0))</f>
        <v>0</v>
      </c>
      <c r="T54" t="str">
        <f>IF('Input Scenarios'!T119&lt;&gt;"", 'Input Scenarios'!T119, "")</f>
        <v/>
      </c>
      <c r="U54">
        <f>IF('Input Scenarios'!U119&lt;&gt;"", 'Input Scenarios'!U119, IF(W54&lt;&gt;"", "", Constants!$B$39))</f>
        <v>4</v>
      </c>
      <c r="V54">
        <f>IF('Input Scenarios'!V119&lt;&gt;"", 'Input Scenarios'!V119, IF(W54&lt;&gt;"", "", Constants!$B$40))</f>
        <v>3.3</v>
      </c>
      <c r="W54" t="str">
        <f>IF('Input Scenarios'!W119&lt;&gt;"", 'Input Scenarios'!W119, "")</f>
        <v/>
      </c>
      <c r="X54" t="str">
        <f>'Input Scenarios'!X119</f>
        <v>Illawarra/Aussie Red</v>
      </c>
      <c r="Y54" t="str">
        <f>'Input Scenarios'!Y119</f>
        <v>bullsGt1</v>
      </c>
      <c r="Z54">
        <f>'Input Scenarios'!Z119</f>
        <v>200</v>
      </c>
      <c r="AA54">
        <f>'Input Scenarios'!AA119</f>
        <v>345</v>
      </c>
      <c r="AB54">
        <f>'Input Scenarios'!AB119</f>
        <v>600</v>
      </c>
      <c r="AC54">
        <f>IF('Input Scenarios'!AC119&lt;&gt;"", 'Input Scenarios'!AC119, _xlfn.XLOOKUP(Y54, Constants!$B$13:$H$13, Constants!$B$15:$H$15, ""))</f>
        <v>0.1</v>
      </c>
      <c r="AD54">
        <f>IF('Input Scenarios'!AD119&lt;&gt;"", 'Input Scenarios'!AD119, Constants!$B$45)</f>
        <v>0.75</v>
      </c>
      <c r="AE54">
        <f>IF('Input Scenarios'!AE119&lt;&gt;"", 'Input Scenarios'!AE119, Constants!$B$46)</f>
        <v>0.2</v>
      </c>
      <c r="AF54">
        <f t="shared" si="24"/>
        <v>0</v>
      </c>
      <c r="AG54">
        <f t="shared" si="24"/>
        <v>0</v>
      </c>
      <c r="AH54">
        <f t="shared" si="24"/>
        <v>0</v>
      </c>
      <c r="AI54">
        <f t="shared" si="24"/>
        <v>0</v>
      </c>
      <c r="AJ54">
        <f t="shared" si="25"/>
        <v>1</v>
      </c>
      <c r="AK54">
        <f t="shared" si="43"/>
        <v>0</v>
      </c>
      <c r="AL54">
        <f>Constants!$B$44</f>
        <v>1.03</v>
      </c>
      <c r="AM54">
        <f>Constants!$B$41</f>
        <v>3.0539999999999998</v>
      </c>
      <c r="AN54">
        <f>Constants!$B$42</f>
        <v>18.399999999999999</v>
      </c>
      <c r="AO54">
        <f>Constants!$B$43</f>
        <v>0.6</v>
      </c>
      <c r="AP54">
        <f t="shared" si="27"/>
        <v>0.5948500000000001</v>
      </c>
      <c r="AQ54">
        <f t="shared" si="28"/>
        <v>0</v>
      </c>
      <c r="AR54">
        <f>IF(Y54="milkingCows", Constants!$P$2, Constants!$P$3)</f>
        <v>1</v>
      </c>
      <c r="AS54">
        <f t="shared" si="29"/>
        <v>9.0270202499999979</v>
      </c>
      <c r="AT54">
        <f t="shared" si="30"/>
        <v>1.0213029780639273</v>
      </c>
      <c r="AU54">
        <f>_xlfn.XLOOKUP(Y54, Constants!$B$13:$H$13, Constants!$B$14:$H$14, "")</f>
        <v>770</v>
      </c>
      <c r="AV54">
        <f t="shared" si="31"/>
        <v>0.77922077922077926</v>
      </c>
      <c r="AW54">
        <f>Constants!$B$55</f>
        <v>6.25</v>
      </c>
      <c r="AX54">
        <f t="shared" si="34"/>
        <v>1.2626203146474679E-3</v>
      </c>
      <c r="AY54">
        <f t="shared" si="35"/>
        <v>1.8054040499999997</v>
      </c>
      <c r="AZ54">
        <f t="shared" si="18"/>
        <v>0.28546836331241399</v>
      </c>
      <c r="BA54" t="str">
        <f>IF(ISNUMBER(FIND("PreWeaned",Y54)),_xlfn.XLOOKUP(Y54,Constants!$J$2:$J$3,Constants!$M$2:$M$3),"")</f>
        <v/>
      </c>
      <c r="BB54">
        <f t="shared" si="36"/>
        <v>19697.317068556564</v>
      </c>
      <c r="BC54">
        <f t="shared" si="37"/>
        <v>0</v>
      </c>
      <c r="BD54">
        <f t="shared" si="38"/>
        <v>0</v>
      </c>
      <c r="BE54">
        <f t="shared" si="39"/>
        <v>0</v>
      </c>
      <c r="BF54">
        <f t="shared" si="40"/>
        <v>0</v>
      </c>
      <c r="BG54">
        <f t="shared" si="41"/>
        <v>19697.317068556564</v>
      </c>
      <c r="BH54">
        <f t="shared" si="42"/>
        <v>0</v>
      </c>
      <c r="BI54">
        <f>Constants!$B$54</f>
        <v>0.02</v>
      </c>
      <c r="BJ54">
        <f>Constants!$B$53</f>
        <v>0.24</v>
      </c>
      <c r="BK54">
        <f t="shared" si="32"/>
        <v>0</v>
      </c>
      <c r="BL54">
        <f t="shared" si="32"/>
        <v>0</v>
      </c>
      <c r="BM54">
        <f>Constants!$B$52</f>
        <v>1.0999999999999999E-2</v>
      </c>
      <c r="BN54">
        <f>Constants!$B$50</f>
        <v>1.57</v>
      </c>
      <c r="BO54">
        <f t="shared" si="33"/>
        <v>0</v>
      </c>
    </row>
    <row r="55" spans="1:68" x14ac:dyDescent="0.2">
      <c r="A55" t="str">
        <f>'Input Scenarios'!A120</f>
        <v>WA</v>
      </c>
      <c r="B55">
        <f>'Input Scenarios'!B120</f>
        <v>24</v>
      </c>
      <c r="C55" t="str">
        <f>'Input Scenarios'!C120</f>
        <v>Irrigated pasture</v>
      </c>
      <c r="D55" t="str">
        <f>'Input Scenarios'!D120</f>
        <v>dry</v>
      </c>
      <c r="E55" t="b">
        <f>'Input Scenarios'!E120</f>
        <v>0</v>
      </c>
      <c r="G55">
        <f>'Input Scenarios'!G120</f>
        <v>0.82</v>
      </c>
      <c r="H55">
        <f>'Input Scenarios'!H120</f>
        <v>0.08</v>
      </c>
      <c r="I55">
        <f>'Input Scenarios'!I120</f>
        <v>0.1</v>
      </c>
      <c r="J55">
        <f>'Input Scenarios'!J120</f>
        <v>0</v>
      </c>
      <c r="K55">
        <f>'Input Scenarios'!K120</f>
        <v>0.5</v>
      </c>
      <c r="L55">
        <f>'Input Scenarios'!L120</f>
        <v>0.5</v>
      </c>
      <c r="M55">
        <f>'Input Scenarios'!M120</f>
        <v>0</v>
      </c>
      <c r="N55">
        <f>'Input Scenarios'!N120</f>
        <v>0.5</v>
      </c>
      <c r="O55">
        <f>'Input Scenarios'!O120</f>
        <v>0</v>
      </c>
      <c r="P55">
        <f>'Input Scenarios'!P120</f>
        <v>0</v>
      </c>
      <c r="Q55">
        <f>'Input Scenarios'!Q120</f>
        <v>0.5</v>
      </c>
      <c r="R55" t="b">
        <f>'Input Scenarios'!R55</f>
        <v>0</v>
      </c>
      <c r="S55">
        <f>IF('Input Scenarios'!S120&lt;&gt;"", 'Input Scenarios'!S120, IF(R120, Constants!$B$38, 0))</f>
        <v>0</v>
      </c>
      <c r="T55" t="str">
        <f>IF('Input Scenarios'!T120&lt;&gt;"", 'Input Scenarios'!T120, "")</f>
        <v/>
      </c>
      <c r="U55">
        <f>IF('Input Scenarios'!U120&lt;&gt;"", 'Input Scenarios'!U120, IF(W55&lt;&gt;"", "", Constants!$B$39))</f>
        <v>4</v>
      </c>
      <c r="V55">
        <f>IF('Input Scenarios'!V120&lt;&gt;"", 'Input Scenarios'!V120, IF(W55&lt;&gt;"", "", Constants!$B$40))</f>
        <v>3.3</v>
      </c>
      <c r="W55" t="str">
        <f>IF('Input Scenarios'!W120&lt;&gt;"", 'Input Scenarios'!W120, "")</f>
        <v/>
      </c>
      <c r="X55" t="str">
        <f>'Input Scenarios'!X120</f>
        <v>Illawarra/Aussie Red</v>
      </c>
      <c r="Y55" t="str">
        <f>'Input Scenarios'!Y120</f>
        <v>bullsLt1PreWeaned</v>
      </c>
      <c r="Z55">
        <f>'Input Scenarios'!Z120</f>
        <v>200</v>
      </c>
      <c r="AA55">
        <f>'Input Scenarios'!AA120</f>
        <v>124</v>
      </c>
      <c r="AB55">
        <f>'Input Scenarios'!AB120</f>
        <v>225</v>
      </c>
      <c r="AC55" t="str">
        <f>IF('Input Scenarios'!AC120&lt;&gt;"", 'Input Scenarios'!AC120, _xlfn.XLOOKUP(Y55, Constants!$B$13:$H$13, Constants!$B$15:$H$15, ""))</f>
        <v/>
      </c>
      <c r="AD55">
        <f>IF('Input Scenarios'!AD120&lt;&gt;"", 'Input Scenarios'!AD120, Constants!$B$45)</f>
        <v>0.75</v>
      </c>
      <c r="AE55">
        <f>IF('Input Scenarios'!AE120&lt;&gt;"", 'Input Scenarios'!AE120, Constants!$B$46)</f>
        <v>0.2</v>
      </c>
      <c r="AF55">
        <f t="shared" si="24"/>
        <v>0</v>
      </c>
      <c r="AG55">
        <f t="shared" si="24"/>
        <v>0</v>
      </c>
      <c r="AH55">
        <f t="shared" si="24"/>
        <v>0</v>
      </c>
      <c r="AI55">
        <f t="shared" si="24"/>
        <v>0</v>
      </c>
      <c r="AJ55">
        <f t="shared" si="25"/>
        <v>1</v>
      </c>
      <c r="AK55">
        <f t="shared" si="43"/>
        <v>0</v>
      </c>
      <c r="AL55">
        <f>Constants!$B$44</f>
        <v>1.03</v>
      </c>
      <c r="AM55">
        <f>Constants!$B$41</f>
        <v>3.0539999999999998</v>
      </c>
      <c r="AN55">
        <f>Constants!$B$42</f>
        <v>18.399999999999999</v>
      </c>
      <c r="AO55">
        <f>Constants!$B$43</f>
        <v>0.6</v>
      </c>
      <c r="AP55">
        <f t="shared" si="27"/>
        <v>0.5948500000000001</v>
      </c>
      <c r="AQ55">
        <f t="shared" si="28"/>
        <v>0</v>
      </c>
      <c r="AR55">
        <f>IF(Y55="milkingCows", Constants!$P$2, Constants!$P$3)</f>
        <v>1</v>
      </c>
      <c r="AS55" t="str">
        <f t="shared" si="29"/>
        <v/>
      </c>
      <c r="AT55" t="str">
        <f t="shared" si="30"/>
        <v/>
      </c>
      <c r="AU55" t="str">
        <f>_xlfn.XLOOKUP(Y55, Constants!$B$13:$H$13, Constants!$B$14:$H$14, "")</f>
        <v/>
      </c>
      <c r="AV55" t="str">
        <f t="shared" si="31"/>
        <v/>
      </c>
      <c r="AW55">
        <f>Constants!$B$55</f>
        <v>6.25</v>
      </c>
      <c r="AX55" t="str">
        <f t="shared" si="34"/>
        <v/>
      </c>
      <c r="AY55" t="str">
        <f t="shared" si="35"/>
        <v/>
      </c>
      <c r="AZ55" t="str">
        <f t="shared" si="18"/>
        <v/>
      </c>
      <c r="BA55">
        <f>IF(ISNUMBER(FIND("PreWeaned",Y55)),_xlfn.XLOOKUP(Y55,Constants!$J$2:$J$3,Constants!$M$2:$M$3),"")</f>
        <v>9.1999999999999998E-3</v>
      </c>
      <c r="BB55">
        <f t="shared" si="36"/>
        <v>228.15999999999997</v>
      </c>
      <c r="BC55">
        <f t="shared" si="37"/>
        <v>0</v>
      </c>
      <c r="BD55">
        <f t="shared" si="38"/>
        <v>0</v>
      </c>
      <c r="BE55">
        <f t="shared" si="39"/>
        <v>0</v>
      </c>
      <c r="BF55">
        <f t="shared" si="40"/>
        <v>0</v>
      </c>
      <c r="BG55">
        <f t="shared" si="41"/>
        <v>228.15999999999997</v>
      </c>
      <c r="BH55">
        <f t="shared" si="42"/>
        <v>0</v>
      </c>
      <c r="BI55">
        <f>Constants!$B$54</f>
        <v>0.02</v>
      </c>
      <c r="BJ55">
        <f>Constants!$B$53</f>
        <v>0.24</v>
      </c>
      <c r="BK55">
        <f t="shared" si="32"/>
        <v>0</v>
      </c>
      <c r="BL55">
        <f t="shared" si="32"/>
        <v>0</v>
      </c>
      <c r="BM55">
        <f>Constants!$B$52</f>
        <v>1.0999999999999999E-2</v>
      </c>
      <c r="BN55">
        <f>Constants!$B$50</f>
        <v>1.57</v>
      </c>
      <c r="BO55">
        <f t="shared" si="33"/>
        <v>0</v>
      </c>
    </row>
    <row r="56" spans="1:68" x14ac:dyDescent="0.2">
      <c r="A56" s="16" t="str">
        <f>'Input Scenarios'!A121</f>
        <v>WA</v>
      </c>
      <c r="B56" s="16">
        <f>'Input Scenarios'!B121</f>
        <v>24</v>
      </c>
      <c r="C56" s="16" t="str">
        <f>'Input Scenarios'!C121</f>
        <v>Irrigated pasture</v>
      </c>
      <c r="D56" s="16" t="str">
        <f>'Input Scenarios'!D121</f>
        <v>dry</v>
      </c>
      <c r="E56" s="16" t="b">
        <f>'Input Scenarios'!E121</f>
        <v>0</v>
      </c>
      <c r="F56" s="16"/>
      <c r="G56" s="16">
        <f>'Input Scenarios'!G121</f>
        <v>0.82</v>
      </c>
      <c r="H56" s="16">
        <f>'Input Scenarios'!H121</f>
        <v>0.08</v>
      </c>
      <c r="I56" s="16">
        <f>'Input Scenarios'!I121</f>
        <v>0.1</v>
      </c>
      <c r="J56" s="16">
        <f>'Input Scenarios'!J121</f>
        <v>0</v>
      </c>
      <c r="K56" s="16">
        <f>'Input Scenarios'!K121</f>
        <v>0.5</v>
      </c>
      <c r="L56" s="16">
        <f>'Input Scenarios'!L121</f>
        <v>0.5</v>
      </c>
      <c r="M56" s="16">
        <f>'Input Scenarios'!M121</f>
        <v>0</v>
      </c>
      <c r="N56" s="16">
        <f>'Input Scenarios'!N121</f>
        <v>0.5</v>
      </c>
      <c r="O56" s="16">
        <f>'Input Scenarios'!O121</f>
        <v>0</v>
      </c>
      <c r="P56" s="16">
        <f>'Input Scenarios'!P121</f>
        <v>0</v>
      </c>
      <c r="Q56" s="16">
        <f>'Input Scenarios'!Q121</f>
        <v>0.5</v>
      </c>
      <c r="R56" s="16" t="b">
        <f>'Input Scenarios'!R56</f>
        <v>0</v>
      </c>
      <c r="S56" s="16">
        <f>IF('Input Scenarios'!S121&lt;&gt;"", 'Input Scenarios'!S121, IF(R121, Constants!$B$38, 0))</f>
        <v>0</v>
      </c>
      <c r="T56" s="16" t="str">
        <f>IF('Input Scenarios'!T121&lt;&gt;"", 'Input Scenarios'!T121, "")</f>
        <v/>
      </c>
      <c r="U56" s="16">
        <f>IF('Input Scenarios'!U121&lt;&gt;"", 'Input Scenarios'!U121, IF(W56&lt;&gt;"", "", Constants!$B$39))</f>
        <v>4</v>
      </c>
      <c r="V56" s="16">
        <f>IF('Input Scenarios'!V121&lt;&gt;"", 'Input Scenarios'!V121, IF(W56&lt;&gt;"", "", Constants!$B$40))</f>
        <v>3.3</v>
      </c>
      <c r="W56" s="16" t="str">
        <f>IF('Input Scenarios'!W121&lt;&gt;"", 'Input Scenarios'!W121, "")</f>
        <v/>
      </c>
      <c r="X56" s="16" t="str">
        <f>'Input Scenarios'!X121</f>
        <v>Illawarra/Aussie Red</v>
      </c>
      <c r="Y56" s="16" t="str">
        <f>'Input Scenarios'!Y121</f>
        <v>bullsLt1Weaned</v>
      </c>
      <c r="Z56" s="16">
        <f>'Input Scenarios'!Z121</f>
        <v>200</v>
      </c>
      <c r="AA56" s="16">
        <f>'Input Scenarios'!AA121</f>
        <v>294</v>
      </c>
      <c r="AB56" s="16">
        <f>'Input Scenarios'!AB121</f>
        <v>225</v>
      </c>
      <c r="AC56" s="16">
        <f>IF('Input Scenarios'!AC121&lt;&gt;"", 'Input Scenarios'!AC121, _xlfn.XLOOKUP(Y56, Constants!$B$13:$H$13, Constants!$B$15:$H$15, ""))</f>
        <v>0.8</v>
      </c>
      <c r="AD56" s="16">
        <f>IF('Input Scenarios'!AD121&lt;&gt;"", 'Input Scenarios'!AD121, Constants!$B$45)</f>
        <v>0.75</v>
      </c>
      <c r="AE56" s="16">
        <f>IF('Input Scenarios'!AE121&lt;&gt;"", 'Input Scenarios'!AE121, Constants!$B$46)</f>
        <v>0.2</v>
      </c>
      <c r="AF56" s="16">
        <f t="shared" si="24"/>
        <v>0</v>
      </c>
      <c r="AG56" s="16">
        <f t="shared" si="24"/>
        <v>0</v>
      </c>
      <c r="AH56" s="16">
        <f t="shared" si="24"/>
        <v>0</v>
      </c>
      <c r="AI56" s="16">
        <f t="shared" si="24"/>
        <v>0</v>
      </c>
      <c r="AJ56" s="16">
        <f t="shared" si="25"/>
        <v>1</v>
      </c>
      <c r="AK56" s="16">
        <f t="shared" si="43"/>
        <v>0</v>
      </c>
      <c r="AL56" s="16">
        <f>Constants!$B$44</f>
        <v>1.03</v>
      </c>
      <c r="AM56" s="16">
        <f>Constants!$B$41</f>
        <v>3.0539999999999998</v>
      </c>
      <c r="AN56" s="16">
        <f>Constants!$B$42</f>
        <v>18.399999999999999</v>
      </c>
      <c r="AO56" s="16">
        <f>Constants!$B$43</f>
        <v>0.6</v>
      </c>
      <c r="AP56" s="16">
        <f t="shared" si="27"/>
        <v>0.5948500000000001</v>
      </c>
      <c r="AQ56" s="16">
        <f t="shared" si="28"/>
        <v>0</v>
      </c>
      <c r="AR56" s="16">
        <f>IF(Y56="milkingCows", Constants!$P$2, Constants!$P$3)</f>
        <v>1</v>
      </c>
      <c r="AS56" s="16">
        <f t="shared" si="29"/>
        <v>5.4143472656250013</v>
      </c>
      <c r="AT56" s="16">
        <f t="shared" si="30"/>
        <v>1.2576570545672616</v>
      </c>
      <c r="AU56" s="16">
        <f>_xlfn.XLOOKUP(Y56, Constants!$B$13:$H$13, Constants!$B$14:$H$14, "")</f>
        <v>770</v>
      </c>
      <c r="AV56" s="16">
        <f t="shared" si="31"/>
        <v>0.29220779220779219</v>
      </c>
      <c r="AW56" s="16">
        <f>Constants!$B$55</f>
        <v>6.25</v>
      </c>
      <c r="AX56" s="16">
        <f t="shared" si="34"/>
        <v>1.9757354894894084E-2</v>
      </c>
      <c r="AY56" s="16">
        <f t="shared" si="35"/>
        <v>1.0828694531250003</v>
      </c>
      <c r="AZ56" s="16">
        <f t="shared" si="18"/>
        <v>0.15247929000170721</v>
      </c>
      <c r="BA56" s="16" t="str">
        <f>IF(ISNUMBER(FIND("PreWeaned",Y56)),_xlfn.XLOOKUP(Y56,Constants!$J$2:$J$3,Constants!$M$2:$M$3),"")</f>
        <v/>
      </c>
      <c r="BB56" s="16">
        <f t="shared" si="36"/>
        <v>8965.7822521003836</v>
      </c>
      <c r="BC56" s="16">
        <f t="shared" si="37"/>
        <v>0</v>
      </c>
      <c r="BD56" s="16">
        <f t="shared" si="38"/>
        <v>0</v>
      </c>
      <c r="BE56" s="16">
        <f t="shared" si="39"/>
        <v>0</v>
      </c>
      <c r="BF56" s="16">
        <f t="shared" si="40"/>
        <v>0</v>
      </c>
      <c r="BG56" s="16">
        <f t="shared" si="41"/>
        <v>8965.7822521003836</v>
      </c>
      <c r="BH56" s="16">
        <f t="shared" si="42"/>
        <v>0</v>
      </c>
      <c r="BI56" s="16">
        <f>Constants!$B$54</f>
        <v>0.02</v>
      </c>
      <c r="BJ56" s="16">
        <f>Constants!$B$53</f>
        <v>0.24</v>
      </c>
      <c r="BK56" s="16">
        <f t="shared" si="32"/>
        <v>0</v>
      </c>
      <c r="BL56" s="16">
        <f t="shared" si="32"/>
        <v>0</v>
      </c>
      <c r="BM56" s="16">
        <f>Constants!$B$52</f>
        <v>1.0999999999999999E-2</v>
      </c>
      <c r="BN56" s="16">
        <f>Constants!$B$50</f>
        <v>1.57</v>
      </c>
      <c r="BO56" s="16">
        <f t="shared" si="33"/>
        <v>0</v>
      </c>
      <c r="BP56" s="16"/>
    </row>
    <row r="57" spans="1:68" x14ac:dyDescent="0.2">
      <c r="A57" t="str">
        <f>'Input Scenarios'!A122</f>
        <v>SA</v>
      </c>
      <c r="B57">
        <f>'Input Scenarios'!B122</f>
        <v>17</v>
      </c>
      <c r="C57" t="str">
        <f>'Input Scenarios'!C122</f>
        <v>Irrigated crop</v>
      </c>
      <c r="D57" t="str">
        <f>'Input Scenarios'!D122</f>
        <v>dry</v>
      </c>
      <c r="E57" t="b">
        <f>'Input Scenarios'!E122</f>
        <v>1</v>
      </c>
      <c r="G57">
        <f>'Input Scenarios'!G122</f>
        <v>0.73</v>
      </c>
      <c r="H57">
        <f>'Input Scenarios'!H122</f>
        <v>0.16</v>
      </c>
      <c r="I57">
        <f>'Input Scenarios'!I122</f>
        <v>0.11</v>
      </c>
      <c r="J57">
        <f>'Input Scenarios'!J122</f>
        <v>0.1</v>
      </c>
      <c r="K57">
        <f>'Input Scenarios'!K122</f>
        <v>0.2</v>
      </c>
      <c r="L57">
        <f>'Input Scenarios'!L122</f>
        <v>0.3</v>
      </c>
      <c r="M57">
        <f>'Input Scenarios'!M122</f>
        <v>0.4</v>
      </c>
      <c r="N57">
        <f>'Input Scenarios'!N122</f>
        <v>0.4</v>
      </c>
      <c r="O57">
        <f>'Input Scenarios'!O122</f>
        <v>0.3</v>
      </c>
      <c r="P57">
        <f>'Input Scenarios'!P122</f>
        <v>0.2</v>
      </c>
      <c r="Q57">
        <f>'Input Scenarios'!Q122</f>
        <v>0.1</v>
      </c>
      <c r="R57" t="b">
        <f>'Input Scenarios'!R57</f>
        <v>0</v>
      </c>
      <c r="S57">
        <f>IF('Input Scenarios'!S122&lt;&gt;"", 'Input Scenarios'!S122, IF(R122, Constants!$B$38, 0))</f>
        <v>0</v>
      </c>
      <c r="T57" s="20" t="str">
        <f>IF('Input Scenarios'!T122&lt;&gt;"", 'Input Scenarios'!T122, "")</f>
        <v/>
      </c>
      <c r="U57" s="20" t="str">
        <f>IF('Input Scenarios'!U122&lt;&gt;"", 'Input Scenarios'!U122, IF(W57&lt;&gt;"", "", Constants!$B$39))</f>
        <v/>
      </c>
      <c r="V57" s="20" t="str">
        <f>IF('Input Scenarios'!V122&lt;&gt;"", 'Input Scenarios'!V122, IF(W57&lt;&gt;"", "", Constants!$B$40))</f>
        <v/>
      </c>
      <c r="W57" s="20">
        <f>IF('Input Scenarios'!W122&lt;&gt;"", 'Input Scenarios'!W122, "")</f>
        <v>0.1</v>
      </c>
      <c r="X57" s="20" t="str">
        <f>'Input Scenarios'!X122</f>
        <v>Guernsey</v>
      </c>
      <c r="Y57" s="20" t="str">
        <f>'Input Scenarios'!Y122</f>
        <v>milkingCows</v>
      </c>
      <c r="Z57" s="20">
        <f>'Input Scenarios'!Z122</f>
        <v>200</v>
      </c>
      <c r="AA57" s="20">
        <f>'Input Scenarios'!AA122</f>
        <v>365</v>
      </c>
      <c r="AB57" s="20">
        <f>'Input Scenarios'!AB122</f>
        <v>480</v>
      </c>
      <c r="AC57">
        <f>IF('Input Scenarios'!AC122&lt;&gt;"", 'Input Scenarios'!AC122, _xlfn.XLOOKUP(Y57, Constants!$B$13:$H$13, Constants!$B$15:$H$15, ""))</f>
        <v>1.6E-2</v>
      </c>
      <c r="AD57">
        <f>IF('Input Scenarios'!AD122&lt;&gt;"", 'Input Scenarios'!AD122, Constants!$B$45)</f>
        <v>0.75</v>
      </c>
      <c r="AE57">
        <f>IF('Input Scenarios'!AE122&lt;&gt;"", 'Input Scenarios'!AE122, Constants!$B$46)</f>
        <v>0.2</v>
      </c>
      <c r="AF57" s="20">
        <f>IF($Y57="milkingCows",($H57*J57)+($I57*N57), 0)</f>
        <v>6.0000000000000005E-2</v>
      </c>
      <c r="AG57" s="20">
        <f t="shared" ref="AG57:AI63" si="44">IF($Y57="milkingCows",($H57*K57)+($I57*O57), 0)</f>
        <v>6.5000000000000002E-2</v>
      </c>
      <c r="AH57" s="20">
        <f t="shared" si="44"/>
        <v>7.0000000000000007E-2</v>
      </c>
      <c r="AI57" s="20">
        <f t="shared" si="44"/>
        <v>7.4999999999999997E-2</v>
      </c>
      <c r="AJ57" s="20">
        <f>IF($Y57="milkingCows",G57, 1)</f>
        <v>0.73</v>
      </c>
      <c r="AK57">
        <f t="shared" si="43"/>
        <v>0.1</v>
      </c>
      <c r="AL57">
        <f>Constants!$B$44</f>
        <v>1.03</v>
      </c>
      <c r="AM57">
        <f>Constants!$B$41</f>
        <v>3.0539999999999998</v>
      </c>
      <c r="AN57">
        <f>Constants!$B$42</f>
        <v>18.399999999999999</v>
      </c>
      <c r="AO57">
        <f>Constants!$B$43</f>
        <v>0.6</v>
      </c>
      <c r="AP57">
        <f t="shared" si="27"/>
        <v>0.5948500000000001</v>
      </c>
      <c r="AQ57">
        <f t="shared" si="28"/>
        <v>4.7899360818035967E-2</v>
      </c>
      <c r="AR57">
        <f>IF(Y57="milkingCows", Constants!$P$2, Constants!$P$3)</f>
        <v>1.1000000000000001</v>
      </c>
      <c r="AS57">
        <f t="shared" si="29"/>
        <v>8.4893082048180375</v>
      </c>
      <c r="AT57">
        <f t="shared" si="30"/>
        <v>1.0036280191363305</v>
      </c>
      <c r="AU57">
        <f>_xlfn.XLOOKUP(Y57, Constants!$B$13:$H$13, Constants!$B$14:$H$14, "")</f>
        <v>590</v>
      </c>
      <c r="AV57">
        <f t="shared" si="31"/>
        <v>0.81355932203389836</v>
      </c>
      <c r="AW57">
        <f>Constants!$B$55</f>
        <v>6.25</v>
      </c>
      <c r="AX57" s="20">
        <f t="shared" si="34"/>
        <v>7.1308460484772421E-4</v>
      </c>
      <c r="AY57">
        <f t="shared" si="35"/>
        <v>1.6978616409636076</v>
      </c>
      <c r="AZ57">
        <f>IF(ISNUMBER(FIND("PreWeaned",Y57)),"", MAX((AY57/AW57)-AX57-(((1.1*10^-4)*(AB57^0.75))/AW57), 0))</f>
        <v>0.26913991763431183</v>
      </c>
      <c r="BA57" t="str">
        <f>IF(ISNUMBER(FIND("PreWeaned",Y57)),_xlfn.XLOOKUP(Y57,Constants!$J$2:$J$3,Constants!$M$2:$M$3),"")</f>
        <v/>
      </c>
      <c r="BB57">
        <f t="shared" si="36"/>
        <v>19647.213987304764</v>
      </c>
      <c r="BC57">
        <f t="shared" si="37"/>
        <v>1178.8328392382859</v>
      </c>
      <c r="BD57">
        <f t="shared" si="38"/>
        <v>1277.0689091748097</v>
      </c>
      <c r="BE57">
        <f t="shared" si="39"/>
        <v>1375.3049791113335</v>
      </c>
      <c r="BF57">
        <f t="shared" si="40"/>
        <v>1473.5410490478573</v>
      </c>
      <c r="BG57">
        <f t="shared" si="41"/>
        <v>14342.466210732477</v>
      </c>
      <c r="BH57">
        <f t="shared" si="42"/>
        <v>1</v>
      </c>
      <c r="BI57">
        <f>Constants!$B$54</f>
        <v>0.02</v>
      </c>
      <c r="BJ57">
        <f>Constants!$B$53</f>
        <v>0.24</v>
      </c>
      <c r="BK57">
        <f t="shared" si="32"/>
        <v>29.470820980957146</v>
      </c>
      <c r="BL57">
        <f t="shared" si="32"/>
        <v>3442.1918905757943</v>
      </c>
      <c r="BM57">
        <f>Constants!$B$52</f>
        <v>1.0999999999999999E-2</v>
      </c>
      <c r="BN57">
        <f>Constants!$B$50</f>
        <v>1.57</v>
      </c>
      <c r="BO57">
        <f t="shared" si="33"/>
        <v>59.9556150285851</v>
      </c>
      <c r="BP57">
        <f>SUM(BO57:BO63)/1000</f>
        <v>0.25761728977882714</v>
      </c>
    </row>
    <row r="58" spans="1:68" x14ac:dyDescent="0.2">
      <c r="A58" t="str">
        <f>'Input Scenarios'!A123</f>
        <v>SA</v>
      </c>
      <c r="B58">
        <f>'Input Scenarios'!B123</f>
        <v>17</v>
      </c>
      <c r="C58" t="str">
        <f>'Input Scenarios'!C123</f>
        <v>Irrigated crop</v>
      </c>
      <c r="D58" t="str">
        <f>'Input Scenarios'!D123</f>
        <v>dry</v>
      </c>
      <c r="E58" t="b">
        <f>'Input Scenarios'!E123</f>
        <v>1</v>
      </c>
      <c r="G58">
        <f>'Input Scenarios'!G123</f>
        <v>0.73</v>
      </c>
      <c r="H58">
        <f>'Input Scenarios'!H123</f>
        <v>0.16</v>
      </c>
      <c r="I58">
        <f>'Input Scenarios'!I123</f>
        <v>0.11</v>
      </c>
      <c r="J58">
        <f>'Input Scenarios'!J123</f>
        <v>0.1</v>
      </c>
      <c r="K58">
        <f>'Input Scenarios'!K123</f>
        <v>0.2</v>
      </c>
      <c r="L58">
        <f>'Input Scenarios'!L123</f>
        <v>0.3</v>
      </c>
      <c r="M58">
        <f>'Input Scenarios'!M123</f>
        <v>0.4</v>
      </c>
      <c r="N58">
        <f>'Input Scenarios'!N123</f>
        <v>0.4</v>
      </c>
      <c r="O58">
        <f>'Input Scenarios'!O123</f>
        <v>0.3</v>
      </c>
      <c r="P58">
        <f>'Input Scenarios'!P123</f>
        <v>0.2</v>
      </c>
      <c r="Q58">
        <f>'Input Scenarios'!Q123</f>
        <v>0.1</v>
      </c>
      <c r="R58" t="b">
        <f>'Input Scenarios'!R58</f>
        <v>0</v>
      </c>
      <c r="S58">
        <f>IF('Input Scenarios'!S123&lt;&gt;"", 'Input Scenarios'!S123, IF(R123, Constants!$B$38, 0))</f>
        <v>0</v>
      </c>
      <c r="T58" t="str">
        <f>IF('Input Scenarios'!T123&lt;&gt;"", 'Input Scenarios'!T123, "")</f>
        <v/>
      </c>
      <c r="U58">
        <f>IF('Input Scenarios'!U123&lt;&gt;"", 'Input Scenarios'!U123, IF(W58&lt;&gt;"", "", Constants!$B$39))</f>
        <v>4</v>
      </c>
      <c r="V58">
        <f>IF('Input Scenarios'!V123&lt;&gt;"", 'Input Scenarios'!V123, IF(W58&lt;&gt;"", "", Constants!$B$40))</f>
        <v>3.3</v>
      </c>
      <c r="W58" t="str">
        <f>IF('Input Scenarios'!W123&lt;&gt;"", 'Input Scenarios'!W123, "")</f>
        <v/>
      </c>
      <c r="X58" t="str">
        <f>'Input Scenarios'!X123</f>
        <v>Guernsey</v>
      </c>
      <c r="Y58" t="str">
        <f>'Input Scenarios'!Y123</f>
        <v>heifersGt1</v>
      </c>
      <c r="Z58">
        <f>'Input Scenarios'!Z123</f>
        <v>200</v>
      </c>
      <c r="AA58">
        <f>'Input Scenarios'!AA123</f>
        <v>265</v>
      </c>
      <c r="AB58">
        <f>'Input Scenarios'!AB123</f>
        <v>335</v>
      </c>
      <c r="AC58">
        <f>IF('Input Scenarios'!AC123&lt;&gt;"", 'Input Scenarios'!AC123, _xlfn.XLOOKUP(Y58, Constants!$B$13:$H$13, Constants!$B$15:$H$15, ""))</f>
        <v>0.6</v>
      </c>
      <c r="AD58">
        <f>IF('Input Scenarios'!AD123&lt;&gt;"", 'Input Scenarios'!AD123, Constants!$B$45)</f>
        <v>0.75</v>
      </c>
      <c r="AE58">
        <f>IF('Input Scenarios'!AE123&lt;&gt;"", 'Input Scenarios'!AE123, Constants!$B$46)</f>
        <v>0.2</v>
      </c>
      <c r="AF58">
        <f t="shared" ref="AF58:AF63" si="45">IF($Y58="milkingCows",($H58*J58)+($I58*N58), 0)</f>
        <v>0</v>
      </c>
      <c r="AG58">
        <f t="shared" si="44"/>
        <v>0</v>
      </c>
      <c r="AH58">
        <f t="shared" si="44"/>
        <v>0</v>
      </c>
      <c r="AI58">
        <f t="shared" si="44"/>
        <v>0</v>
      </c>
      <c r="AJ58">
        <f t="shared" ref="AJ58:AJ63" si="46">IF($Y58="milkingCows",G58, 1)</f>
        <v>1</v>
      </c>
      <c r="AK58">
        <f t="shared" si="43"/>
        <v>0</v>
      </c>
      <c r="AL58">
        <f>Constants!$B$44</f>
        <v>1.03</v>
      </c>
      <c r="AM58">
        <f>Constants!$B$41</f>
        <v>3.0539999999999998</v>
      </c>
      <c r="AN58">
        <f>Constants!$B$42</f>
        <v>18.399999999999999</v>
      </c>
      <c r="AO58">
        <f>Constants!$B$43</f>
        <v>0.6</v>
      </c>
      <c r="AP58">
        <f t="shared" si="27"/>
        <v>0.5948500000000001</v>
      </c>
      <c r="AQ58">
        <f t="shared" si="28"/>
        <v>0</v>
      </c>
      <c r="AR58">
        <f>IF(Y58="milkingCows", Constants!$P$2, Constants!$P$3)</f>
        <v>1</v>
      </c>
      <c r="AS58">
        <f t="shared" si="29"/>
        <v>6.7762077032249994</v>
      </c>
      <c r="AT58">
        <f t="shared" si="30"/>
        <v>1.162708374187144</v>
      </c>
      <c r="AU58">
        <f>_xlfn.XLOOKUP(Y58, Constants!$B$13:$H$13, Constants!$B$14:$H$14, "")</f>
        <v>590</v>
      </c>
      <c r="AV58">
        <f t="shared" si="31"/>
        <v>0.56779661016949157</v>
      </c>
      <c r="AW58">
        <f>Constants!$B$55</f>
        <v>6.25</v>
      </c>
      <c r="AX58">
        <f t="shared" si="34"/>
        <v>9.8263084532232529E-3</v>
      </c>
      <c r="AY58">
        <f t="shared" si="35"/>
        <v>1.355241540645</v>
      </c>
      <c r="AZ58">
        <f t="shared" si="18"/>
        <v>0.20563418873649833</v>
      </c>
      <c r="BA58" t="str">
        <f>IF(ISNUMBER(FIND("PreWeaned",Y58)),_xlfn.XLOOKUP(Y58,Constants!$J$2:$J$3,Constants!$M$2:$M$3),"")</f>
        <v/>
      </c>
      <c r="BB58">
        <f t="shared" si="36"/>
        <v>10898.612003034412</v>
      </c>
      <c r="BC58">
        <f t="shared" si="37"/>
        <v>0</v>
      </c>
      <c r="BD58">
        <f t="shared" si="38"/>
        <v>0</v>
      </c>
      <c r="BE58">
        <f t="shared" si="39"/>
        <v>0</v>
      </c>
      <c r="BF58">
        <f t="shared" si="40"/>
        <v>0</v>
      </c>
      <c r="BG58">
        <f t="shared" si="41"/>
        <v>10898.612003034412</v>
      </c>
      <c r="BH58">
        <f t="shared" si="42"/>
        <v>1</v>
      </c>
      <c r="BI58">
        <f>Constants!$B$54</f>
        <v>0.02</v>
      </c>
      <c r="BJ58">
        <f>Constants!$B$53</f>
        <v>0.24</v>
      </c>
      <c r="BK58">
        <f t="shared" si="32"/>
        <v>0</v>
      </c>
      <c r="BL58">
        <f t="shared" si="32"/>
        <v>2615.6668807282585</v>
      </c>
      <c r="BM58">
        <f>Constants!$B$52</f>
        <v>1.0999999999999999E-2</v>
      </c>
      <c r="BN58">
        <f>Constants!$B$50</f>
        <v>1.57</v>
      </c>
      <c r="BO58">
        <f t="shared" si="33"/>
        <v>45.172567030177021</v>
      </c>
    </row>
    <row r="59" spans="1:68" x14ac:dyDescent="0.2">
      <c r="A59" t="str">
        <f>'Input Scenarios'!A124</f>
        <v>SA</v>
      </c>
      <c r="B59">
        <f>'Input Scenarios'!B124</f>
        <v>17</v>
      </c>
      <c r="C59" t="str">
        <f>'Input Scenarios'!C124</f>
        <v>Irrigated crop</v>
      </c>
      <c r="D59" t="str">
        <f>'Input Scenarios'!D124</f>
        <v>dry</v>
      </c>
      <c r="E59" t="b">
        <f>'Input Scenarios'!E124</f>
        <v>1</v>
      </c>
      <c r="G59">
        <f>'Input Scenarios'!G124</f>
        <v>0.73</v>
      </c>
      <c r="H59">
        <f>'Input Scenarios'!H124</f>
        <v>0.16</v>
      </c>
      <c r="I59">
        <f>'Input Scenarios'!I124</f>
        <v>0.11</v>
      </c>
      <c r="J59">
        <f>'Input Scenarios'!J124</f>
        <v>0.1</v>
      </c>
      <c r="K59">
        <f>'Input Scenarios'!K124</f>
        <v>0.2</v>
      </c>
      <c r="L59">
        <f>'Input Scenarios'!L124</f>
        <v>0.3</v>
      </c>
      <c r="M59">
        <f>'Input Scenarios'!M124</f>
        <v>0.4</v>
      </c>
      <c r="N59">
        <f>'Input Scenarios'!N124</f>
        <v>0.4</v>
      </c>
      <c r="O59">
        <f>'Input Scenarios'!O124</f>
        <v>0.3</v>
      </c>
      <c r="P59">
        <f>'Input Scenarios'!P124</f>
        <v>0.2</v>
      </c>
      <c r="Q59">
        <f>'Input Scenarios'!Q124</f>
        <v>0.1</v>
      </c>
      <c r="R59" t="b">
        <f>'Input Scenarios'!R59</f>
        <v>0</v>
      </c>
      <c r="S59">
        <f>IF('Input Scenarios'!S124&lt;&gt;"", 'Input Scenarios'!S124, IF(R124, Constants!$B$38, 0))</f>
        <v>0</v>
      </c>
      <c r="T59" t="str">
        <f>IF('Input Scenarios'!T124&lt;&gt;"", 'Input Scenarios'!T124, "")</f>
        <v/>
      </c>
      <c r="U59">
        <f>IF('Input Scenarios'!U124&lt;&gt;"", 'Input Scenarios'!U124, IF(W59&lt;&gt;"", "", Constants!$B$39))</f>
        <v>4</v>
      </c>
      <c r="V59">
        <f>IF('Input Scenarios'!V124&lt;&gt;"", 'Input Scenarios'!V124, IF(W59&lt;&gt;"", "", Constants!$B$40))</f>
        <v>3.3</v>
      </c>
      <c r="W59" t="str">
        <f>IF('Input Scenarios'!W124&lt;&gt;"", 'Input Scenarios'!W124, "")</f>
        <v/>
      </c>
      <c r="X59" t="str">
        <f>'Input Scenarios'!X124</f>
        <v>Guernsey</v>
      </c>
      <c r="Y59" t="str">
        <f>'Input Scenarios'!Y124</f>
        <v>heifersLt1PreWeaned</v>
      </c>
      <c r="Z59">
        <f>'Input Scenarios'!Z124</f>
        <v>200</v>
      </c>
      <c r="AA59">
        <f>'Input Scenarios'!AA124</f>
        <v>100</v>
      </c>
      <c r="AB59">
        <f>'Input Scenarios'!AB124</f>
        <v>140</v>
      </c>
      <c r="AC59" t="str">
        <f>IF('Input Scenarios'!AC124&lt;&gt;"", 'Input Scenarios'!AC124, _xlfn.XLOOKUP(Y59, Constants!$B$13:$H$13, Constants!$B$15:$H$15, ""))</f>
        <v/>
      </c>
      <c r="AD59">
        <f>IF('Input Scenarios'!AD124&lt;&gt;"", 'Input Scenarios'!AD124, Constants!$B$45)</f>
        <v>0.75</v>
      </c>
      <c r="AE59">
        <f>IF('Input Scenarios'!AE124&lt;&gt;"", 'Input Scenarios'!AE124, Constants!$B$46)</f>
        <v>0.2</v>
      </c>
      <c r="AF59">
        <f t="shared" si="45"/>
        <v>0</v>
      </c>
      <c r="AG59">
        <f t="shared" si="44"/>
        <v>0</v>
      </c>
      <c r="AH59">
        <f t="shared" si="44"/>
        <v>0</v>
      </c>
      <c r="AI59">
        <f t="shared" si="44"/>
        <v>0</v>
      </c>
      <c r="AJ59">
        <f t="shared" si="46"/>
        <v>1</v>
      </c>
      <c r="AK59">
        <f t="shared" si="43"/>
        <v>0</v>
      </c>
      <c r="AL59">
        <f>Constants!$B$44</f>
        <v>1.03</v>
      </c>
      <c r="AM59">
        <f>Constants!$B$41</f>
        <v>3.0539999999999998</v>
      </c>
      <c r="AN59">
        <f>Constants!$B$42</f>
        <v>18.399999999999999</v>
      </c>
      <c r="AO59">
        <f>Constants!$B$43</f>
        <v>0.6</v>
      </c>
      <c r="AP59">
        <f t="shared" si="27"/>
        <v>0.5948500000000001</v>
      </c>
      <c r="AQ59">
        <f t="shared" si="28"/>
        <v>0</v>
      </c>
      <c r="AR59">
        <f>IF(Y59="milkingCows", Constants!$P$2, Constants!$P$3)</f>
        <v>1</v>
      </c>
      <c r="AS59" t="str">
        <f t="shared" si="29"/>
        <v/>
      </c>
      <c r="AT59" t="str">
        <f t="shared" si="30"/>
        <v/>
      </c>
      <c r="AU59" t="str">
        <f>_xlfn.XLOOKUP(Y59, Constants!$B$13:$H$13, Constants!$B$14:$H$14, "")</f>
        <v/>
      </c>
      <c r="AV59" t="str">
        <f t="shared" si="31"/>
        <v/>
      </c>
      <c r="AW59">
        <f>Constants!$B$55</f>
        <v>6.25</v>
      </c>
      <c r="AX59" t="str">
        <f t="shared" si="34"/>
        <v/>
      </c>
      <c r="AY59" t="str">
        <f t="shared" si="35"/>
        <v/>
      </c>
      <c r="AZ59" t="str">
        <f t="shared" si="18"/>
        <v/>
      </c>
      <c r="BA59">
        <f>IF(ISNUMBER(FIND("PreWeaned",Y59)),_xlfn.XLOOKUP(Y59,Constants!$J$2:$J$3,Constants!$M$2:$M$3),"")</f>
        <v>1.37E-2</v>
      </c>
      <c r="BB59">
        <f t="shared" si="36"/>
        <v>274</v>
      </c>
      <c r="BC59">
        <f t="shared" si="37"/>
        <v>0</v>
      </c>
      <c r="BD59">
        <f t="shared" si="38"/>
        <v>0</v>
      </c>
      <c r="BE59">
        <f t="shared" si="39"/>
        <v>0</v>
      </c>
      <c r="BF59">
        <f t="shared" si="40"/>
        <v>0</v>
      </c>
      <c r="BG59">
        <f t="shared" si="41"/>
        <v>274</v>
      </c>
      <c r="BH59">
        <f t="shared" si="42"/>
        <v>1</v>
      </c>
      <c r="BI59">
        <f>Constants!$B$54</f>
        <v>0.02</v>
      </c>
      <c r="BJ59">
        <f>Constants!$B$53</f>
        <v>0.24</v>
      </c>
      <c r="BK59">
        <f t="shared" si="32"/>
        <v>0</v>
      </c>
      <c r="BL59">
        <f t="shared" si="32"/>
        <v>65.759999999999991</v>
      </c>
      <c r="BM59">
        <f>Constants!$B$52</f>
        <v>1.0999999999999999E-2</v>
      </c>
      <c r="BN59">
        <f>Constants!$B$50</f>
        <v>1.57</v>
      </c>
      <c r="BO59">
        <f t="shared" si="33"/>
        <v>1.1356751999999999</v>
      </c>
    </row>
    <row r="60" spans="1:68" x14ac:dyDescent="0.2">
      <c r="A60" t="str">
        <f>'Input Scenarios'!A125</f>
        <v>SA</v>
      </c>
      <c r="B60">
        <f>'Input Scenarios'!B125</f>
        <v>17</v>
      </c>
      <c r="C60" t="str">
        <f>'Input Scenarios'!C125</f>
        <v>Irrigated crop</v>
      </c>
      <c r="D60" t="str">
        <f>'Input Scenarios'!D125</f>
        <v>dry</v>
      </c>
      <c r="E60" t="b">
        <f>'Input Scenarios'!E125</f>
        <v>1</v>
      </c>
      <c r="G60">
        <f>'Input Scenarios'!G125</f>
        <v>0.73</v>
      </c>
      <c r="H60">
        <f>'Input Scenarios'!H125</f>
        <v>0.16</v>
      </c>
      <c r="I60">
        <f>'Input Scenarios'!I125</f>
        <v>0.11</v>
      </c>
      <c r="J60">
        <f>'Input Scenarios'!J125</f>
        <v>0.1</v>
      </c>
      <c r="K60">
        <f>'Input Scenarios'!K125</f>
        <v>0.2</v>
      </c>
      <c r="L60">
        <f>'Input Scenarios'!L125</f>
        <v>0.3</v>
      </c>
      <c r="M60">
        <f>'Input Scenarios'!M125</f>
        <v>0.4</v>
      </c>
      <c r="N60">
        <f>'Input Scenarios'!N125</f>
        <v>0.4</v>
      </c>
      <c r="O60">
        <f>'Input Scenarios'!O125</f>
        <v>0.3</v>
      </c>
      <c r="P60">
        <f>'Input Scenarios'!P125</f>
        <v>0.2</v>
      </c>
      <c r="Q60">
        <f>'Input Scenarios'!Q125</f>
        <v>0.1</v>
      </c>
      <c r="R60" t="b">
        <f>'Input Scenarios'!R60</f>
        <v>0</v>
      </c>
      <c r="S60">
        <f>IF('Input Scenarios'!S125&lt;&gt;"", 'Input Scenarios'!S125, IF(R125, Constants!$B$38, 0))</f>
        <v>0</v>
      </c>
      <c r="T60" t="str">
        <f>IF('Input Scenarios'!T125&lt;&gt;"", 'Input Scenarios'!T125, "")</f>
        <v/>
      </c>
      <c r="U60">
        <f>IF('Input Scenarios'!U125&lt;&gt;"", 'Input Scenarios'!U125, IF(W60&lt;&gt;"", "", Constants!$B$39))</f>
        <v>4</v>
      </c>
      <c r="V60">
        <f>IF('Input Scenarios'!V125&lt;&gt;"", 'Input Scenarios'!V125, IF(W60&lt;&gt;"", "", Constants!$B$40))</f>
        <v>3.3</v>
      </c>
      <c r="W60" t="str">
        <f>IF('Input Scenarios'!W125&lt;&gt;"", 'Input Scenarios'!W125, "")</f>
        <v/>
      </c>
      <c r="X60" t="str">
        <f>'Input Scenarios'!X125</f>
        <v>Guernsey</v>
      </c>
      <c r="Y60" t="str">
        <f>'Input Scenarios'!Y125</f>
        <v>heifersLt1Weaned</v>
      </c>
      <c r="Z60">
        <f>'Input Scenarios'!Z125</f>
        <v>200</v>
      </c>
      <c r="AA60">
        <f>'Input Scenarios'!AA125</f>
        <v>360</v>
      </c>
      <c r="AB60">
        <f>'Input Scenarios'!AB125</f>
        <v>140</v>
      </c>
      <c r="AC60">
        <f>IF('Input Scenarios'!AC125&lt;&gt;"", 'Input Scenarios'!AC125, _xlfn.XLOOKUP(Y60, Constants!$B$13:$H$13, Constants!$B$15:$H$15, ""))</f>
        <v>0.56999999999999995</v>
      </c>
      <c r="AD60">
        <f>IF('Input Scenarios'!AD125&lt;&gt;"", 'Input Scenarios'!AD125, Constants!$B$45)</f>
        <v>0.75</v>
      </c>
      <c r="AE60">
        <f>IF('Input Scenarios'!AE125&lt;&gt;"", 'Input Scenarios'!AE125, Constants!$B$46)</f>
        <v>0.2</v>
      </c>
      <c r="AF60">
        <f t="shared" si="45"/>
        <v>0</v>
      </c>
      <c r="AG60">
        <f t="shared" si="44"/>
        <v>0</v>
      </c>
      <c r="AH60">
        <f t="shared" si="44"/>
        <v>0</v>
      </c>
      <c r="AI60">
        <f t="shared" si="44"/>
        <v>0</v>
      </c>
      <c r="AJ60">
        <f t="shared" si="46"/>
        <v>1</v>
      </c>
      <c r="AK60">
        <f t="shared" si="43"/>
        <v>0</v>
      </c>
      <c r="AL60">
        <f>Constants!$B$44</f>
        <v>1.03</v>
      </c>
      <c r="AM60">
        <f>Constants!$B$41</f>
        <v>3.0539999999999998</v>
      </c>
      <c r="AN60">
        <f>Constants!$B$42</f>
        <v>18.399999999999999</v>
      </c>
      <c r="AO60">
        <f>Constants!$B$43</f>
        <v>0.6</v>
      </c>
      <c r="AP60">
        <f t="shared" si="27"/>
        <v>0.5948500000000001</v>
      </c>
      <c r="AQ60">
        <f t="shared" si="28"/>
        <v>0</v>
      </c>
      <c r="AR60">
        <f>IF(Y60="milkingCows", Constants!$P$2, Constants!$P$3)</f>
        <v>1</v>
      </c>
      <c r="AS60">
        <f t="shared" si="29"/>
        <v>3.7993416560999989</v>
      </c>
      <c r="AT60">
        <f t="shared" si="30"/>
        <v>1.213217026603395</v>
      </c>
      <c r="AU60">
        <f>_xlfn.XLOOKUP(Y60, Constants!$B$13:$H$13, Constants!$B$14:$H$14, "")</f>
        <v>590</v>
      </c>
      <c r="AV60">
        <f t="shared" si="31"/>
        <v>0.23728813559322035</v>
      </c>
      <c r="AW60">
        <f>Constants!$B$55</f>
        <v>6.25</v>
      </c>
      <c r="AX60">
        <f t="shared" si="34"/>
        <v>1.49570148025881E-2</v>
      </c>
      <c r="AY60">
        <f t="shared" si="35"/>
        <v>0.75986833121999986</v>
      </c>
      <c r="AZ60">
        <f t="shared" si="18"/>
        <v>0.10590559552466704</v>
      </c>
      <c r="BA60" t="str">
        <f>IF(ISNUMBER(FIND("PreWeaned",Y60)),_xlfn.XLOOKUP(Y60,Constants!$J$2:$J$3,Constants!$M$2:$M$3),"")</f>
        <v/>
      </c>
      <c r="BB60">
        <f t="shared" si="36"/>
        <v>7625.202877776027</v>
      </c>
      <c r="BC60">
        <f t="shared" si="37"/>
        <v>0</v>
      </c>
      <c r="BD60">
        <f t="shared" si="38"/>
        <v>0</v>
      </c>
      <c r="BE60">
        <f t="shared" si="39"/>
        <v>0</v>
      </c>
      <c r="BF60">
        <f t="shared" si="40"/>
        <v>0</v>
      </c>
      <c r="BG60">
        <f t="shared" si="41"/>
        <v>7625.202877776027</v>
      </c>
      <c r="BH60">
        <f t="shared" si="42"/>
        <v>1</v>
      </c>
      <c r="BI60">
        <f>Constants!$B$54</f>
        <v>0.02</v>
      </c>
      <c r="BJ60">
        <f>Constants!$B$53</f>
        <v>0.24</v>
      </c>
      <c r="BK60">
        <f t="shared" si="32"/>
        <v>0</v>
      </c>
      <c r="BL60">
        <f t="shared" si="32"/>
        <v>1830.0486906662463</v>
      </c>
      <c r="BM60">
        <f>Constants!$B$52</f>
        <v>1.0999999999999999E-2</v>
      </c>
      <c r="BN60">
        <f>Constants!$B$50</f>
        <v>1.57</v>
      </c>
      <c r="BO60">
        <f t="shared" si="33"/>
        <v>31.604940887806073</v>
      </c>
    </row>
    <row r="61" spans="1:68" x14ac:dyDescent="0.2">
      <c r="A61" t="str">
        <f>'Input Scenarios'!A126</f>
        <v>SA</v>
      </c>
      <c r="B61">
        <f>'Input Scenarios'!B126</f>
        <v>17</v>
      </c>
      <c r="C61" t="str">
        <f>'Input Scenarios'!C126</f>
        <v>Irrigated crop</v>
      </c>
      <c r="D61" t="str">
        <f>'Input Scenarios'!D126</f>
        <v>dry</v>
      </c>
      <c r="E61" t="b">
        <f>'Input Scenarios'!E126</f>
        <v>1</v>
      </c>
      <c r="G61">
        <f>'Input Scenarios'!G126</f>
        <v>0.73</v>
      </c>
      <c r="H61">
        <f>'Input Scenarios'!H126</f>
        <v>0.16</v>
      </c>
      <c r="I61">
        <f>'Input Scenarios'!I126</f>
        <v>0.11</v>
      </c>
      <c r="J61">
        <f>'Input Scenarios'!J126</f>
        <v>0.1</v>
      </c>
      <c r="K61">
        <f>'Input Scenarios'!K126</f>
        <v>0.2</v>
      </c>
      <c r="L61">
        <f>'Input Scenarios'!L126</f>
        <v>0.3</v>
      </c>
      <c r="M61">
        <f>'Input Scenarios'!M126</f>
        <v>0.4</v>
      </c>
      <c r="N61">
        <f>'Input Scenarios'!N126</f>
        <v>0.4</v>
      </c>
      <c r="O61">
        <f>'Input Scenarios'!O126</f>
        <v>0.3</v>
      </c>
      <c r="P61">
        <f>'Input Scenarios'!P126</f>
        <v>0.2</v>
      </c>
      <c r="Q61">
        <f>'Input Scenarios'!Q126</f>
        <v>0.1</v>
      </c>
      <c r="R61" t="b">
        <f>'Input Scenarios'!R61</f>
        <v>0</v>
      </c>
      <c r="S61">
        <f>IF('Input Scenarios'!S126&lt;&gt;"", 'Input Scenarios'!S126, IF(R126, Constants!$B$38, 0))</f>
        <v>0</v>
      </c>
      <c r="T61" t="str">
        <f>IF('Input Scenarios'!T126&lt;&gt;"", 'Input Scenarios'!T126, "")</f>
        <v/>
      </c>
      <c r="U61">
        <f>IF('Input Scenarios'!U126&lt;&gt;"", 'Input Scenarios'!U126, IF(W61&lt;&gt;"", "", Constants!$B$39))</f>
        <v>4</v>
      </c>
      <c r="V61">
        <f>IF('Input Scenarios'!V126&lt;&gt;"", 'Input Scenarios'!V126, IF(W61&lt;&gt;"", "", Constants!$B$40))</f>
        <v>3.3</v>
      </c>
      <c r="W61" t="str">
        <f>IF('Input Scenarios'!W126&lt;&gt;"", 'Input Scenarios'!W126, "")</f>
        <v/>
      </c>
      <c r="X61" t="str">
        <f>'Input Scenarios'!X126</f>
        <v>Guernsey</v>
      </c>
      <c r="Y61" t="str">
        <f>'Input Scenarios'!Y126</f>
        <v>bullsGt1</v>
      </c>
      <c r="Z61">
        <f>'Input Scenarios'!Z126</f>
        <v>200</v>
      </c>
      <c r="AA61">
        <f>'Input Scenarios'!AA126</f>
        <v>345</v>
      </c>
      <c r="AB61">
        <f>'Input Scenarios'!AB126</f>
        <v>600</v>
      </c>
      <c r="AC61">
        <f>IF('Input Scenarios'!AC126&lt;&gt;"", 'Input Scenarios'!AC126, _xlfn.XLOOKUP(Y61, Constants!$B$13:$H$13, Constants!$B$15:$H$15, ""))</f>
        <v>0.1</v>
      </c>
      <c r="AD61">
        <f>IF('Input Scenarios'!AD126&lt;&gt;"", 'Input Scenarios'!AD126, Constants!$B$45)</f>
        <v>0.75</v>
      </c>
      <c r="AE61">
        <f>IF('Input Scenarios'!AE126&lt;&gt;"", 'Input Scenarios'!AE126, Constants!$B$46)</f>
        <v>0.2</v>
      </c>
      <c r="AF61">
        <f t="shared" si="45"/>
        <v>0</v>
      </c>
      <c r="AG61">
        <f t="shared" si="44"/>
        <v>0</v>
      </c>
      <c r="AH61">
        <f t="shared" si="44"/>
        <v>0</v>
      </c>
      <c r="AI61">
        <f t="shared" si="44"/>
        <v>0</v>
      </c>
      <c r="AJ61">
        <f t="shared" si="46"/>
        <v>1</v>
      </c>
      <c r="AK61">
        <f t="shared" si="43"/>
        <v>0</v>
      </c>
      <c r="AL61">
        <f>Constants!$B$44</f>
        <v>1.03</v>
      </c>
      <c r="AM61">
        <f>Constants!$B$41</f>
        <v>3.0539999999999998</v>
      </c>
      <c r="AN61">
        <f>Constants!$B$42</f>
        <v>18.399999999999999</v>
      </c>
      <c r="AO61">
        <f>Constants!$B$43</f>
        <v>0.6</v>
      </c>
      <c r="AP61">
        <f t="shared" si="27"/>
        <v>0.5948500000000001</v>
      </c>
      <c r="AQ61">
        <f t="shared" si="28"/>
        <v>0</v>
      </c>
      <c r="AR61">
        <f>IF(Y61="milkingCows", Constants!$P$2, Constants!$P$3)</f>
        <v>1</v>
      </c>
      <c r="AS61">
        <f t="shared" si="29"/>
        <v>9.0270202499999979</v>
      </c>
      <c r="AT61">
        <f t="shared" si="30"/>
        <v>1.0213029780639273</v>
      </c>
      <c r="AU61">
        <f>_xlfn.XLOOKUP(Y61, Constants!$B$13:$H$13, Constants!$B$14:$H$14, "")</f>
        <v>770</v>
      </c>
      <c r="AV61">
        <f t="shared" si="31"/>
        <v>0.77922077922077926</v>
      </c>
      <c r="AW61">
        <f>Constants!$B$55</f>
        <v>6.25</v>
      </c>
      <c r="AX61">
        <f t="shared" si="34"/>
        <v>1.2626203146474679E-3</v>
      </c>
      <c r="AY61">
        <f t="shared" si="35"/>
        <v>1.8054040499999997</v>
      </c>
      <c r="AZ61">
        <f t="shared" si="18"/>
        <v>0.28546836331241399</v>
      </c>
      <c r="BA61" t="str">
        <f>IF(ISNUMBER(FIND("PreWeaned",Y61)),_xlfn.XLOOKUP(Y61,Constants!$J$2:$J$3,Constants!$M$2:$M$3),"")</f>
        <v/>
      </c>
      <c r="BB61">
        <f t="shared" si="36"/>
        <v>19697.317068556564</v>
      </c>
      <c r="BC61">
        <f t="shared" si="37"/>
        <v>0</v>
      </c>
      <c r="BD61">
        <f t="shared" si="38"/>
        <v>0</v>
      </c>
      <c r="BE61">
        <f t="shared" si="39"/>
        <v>0</v>
      </c>
      <c r="BF61">
        <f t="shared" si="40"/>
        <v>0</v>
      </c>
      <c r="BG61">
        <f t="shared" si="41"/>
        <v>19697.317068556564</v>
      </c>
      <c r="BH61">
        <f t="shared" si="42"/>
        <v>1</v>
      </c>
      <c r="BI61">
        <f>Constants!$B$54</f>
        <v>0.02</v>
      </c>
      <c r="BJ61">
        <f>Constants!$B$53</f>
        <v>0.24</v>
      </c>
      <c r="BK61">
        <f t="shared" si="32"/>
        <v>0</v>
      </c>
      <c r="BL61">
        <f t="shared" si="32"/>
        <v>4727.3560964535754</v>
      </c>
      <c r="BM61">
        <f>Constants!$B$52</f>
        <v>1.0999999999999999E-2</v>
      </c>
      <c r="BN61">
        <f>Constants!$B$50</f>
        <v>1.57</v>
      </c>
      <c r="BO61">
        <f t="shared" si="33"/>
        <v>81.641439785753249</v>
      </c>
    </row>
    <row r="62" spans="1:68" x14ac:dyDescent="0.2">
      <c r="A62" t="str">
        <f>'Input Scenarios'!A127</f>
        <v>SA</v>
      </c>
      <c r="B62">
        <f>'Input Scenarios'!B127</f>
        <v>17</v>
      </c>
      <c r="C62" t="str">
        <f>'Input Scenarios'!C127</f>
        <v>Irrigated crop</v>
      </c>
      <c r="D62" t="str">
        <f>'Input Scenarios'!D127</f>
        <v>dry</v>
      </c>
      <c r="E62" t="b">
        <f>'Input Scenarios'!E127</f>
        <v>1</v>
      </c>
      <c r="G62">
        <f>'Input Scenarios'!G127</f>
        <v>0.73</v>
      </c>
      <c r="H62">
        <f>'Input Scenarios'!H127</f>
        <v>0.16</v>
      </c>
      <c r="I62">
        <f>'Input Scenarios'!I127</f>
        <v>0.11</v>
      </c>
      <c r="J62">
        <f>'Input Scenarios'!J127</f>
        <v>0.1</v>
      </c>
      <c r="K62">
        <f>'Input Scenarios'!K127</f>
        <v>0.2</v>
      </c>
      <c r="L62">
        <f>'Input Scenarios'!L127</f>
        <v>0.3</v>
      </c>
      <c r="M62">
        <f>'Input Scenarios'!M127</f>
        <v>0.4</v>
      </c>
      <c r="N62">
        <f>'Input Scenarios'!N127</f>
        <v>0.4</v>
      </c>
      <c r="O62">
        <f>'Input Scenarios'!O127</f>
        <v>0.3</v>
      </c>
      <c r="P62">
        <f>'Input Scenarios'!P127</f>
        <v>0.2</v>
      </c>
      <c r="Q62">
        <f>'Input Scenarios'!Q127</f>
        <v>0.1</v>
      </c>
      <c r="R62" t="b">
        <f>'Input Scenarios'!R62</f>
        <v>0</v>
      </c>
      <c r="S62">
        <f>IF('Input Scenarios'!S127&lt;&gt;"", 'Input Scenarios'!S127, IF(R127, Constants!$B$38, 0))</f>
        <v>0</v>
      </c>
      <c r="T62" t="str">
        <f>IF('Input Scenarios'!T127&lt;&gt;"", 'Input Scenarios'!T127, "")</f>
        <v/>
      </c>
      <c r="U62">
        <f>IF('Input Scenarios'!U127&lt;&gt;"", 'Input Scenarios'!U127, IF(W62&lt;&gt;"", "", Constants!$B$39))</f>
        <v>4</v>
      </c>
      <c r="V62">
        <f>IF('Input Scenarios'!V127&lt;&gt;"", 'Input Scenarios'!V127, IF(W62&lt;&gt;"", "", Constants!$B$40))</f>
        <v>3.3</v>
      </c>
      <c r="W62" t="str">
        <f>IF('Input Scenarios'!W127&lt;&gt;"", 'Input Scenarios'!W127, "")</f>
        <v/>
      </c>
      <c r="X62" t="str">
        <f>'Input Scenarios'!X127</f>
        <v>Guernsey</v>
      </c>
      <c r="Y62" t="str">
        <f>'Input Scenarios'!Y127</f>
        <v>bullsLt1PreWeaned</v>
      </c>
      <c r="Z62">
        <f>'Input Scenarios'!Z127</f>
        <v>200</v>
      </c>
      <c r="AA62">
        <f>'Input Scenarios'!AA127</f>
        <v>124</v>
      </c>
      <c r="AB62">
        <f>'Input Scenarios'!AB127</f>
        <v>225</v>
      </c>
      <c r="AC62" t="str">
        <f>IF('Input Scenarios'!AC127&lt;&gt;"", 'Input Scenarios'!AC127, _xlfn.XLOOKUP(Y62, Constants!$B$13:$H$13, Constants!$B$15:$H$15, ""))</f>
        <v/>
      </c>
      <c r="AD62">
        <f>IF('Input Scenarios'!AD127&lt;&gt;"", 'Input Scenarios'!AD127, Constants!$B$45)</f>
        <v>0.75</v>
      </c>
      <c r="AE62">
        <f>IF('Input Scenarios'!AE127&lt;&gt;"", 'Input Scenarios'!AE127, Constants!$B$46)</f>
        <v>0.2</v>
      </c>
      <c r="AF62">
        <f t="shared" si="45"/>
        <v>0</v>
      </c>
      <c r="AG62">
        <f t="shared" si="44"/>
        <v>0</v>
      </c>
      <c r="AH62">
        <f t="shared" si="44"/>
        <v>0</v>
      </c>
      <c r="AI62">
        <f t="shared" si="44"/>
        <v>0</v>
      </c>
      <c r="AJ62">
        <f t="shared" si="46"/>
        <v>1</v>
      </c>
      <c r="AK62">
        <f t="shared" si="43"/>
        <v>0</v>
      </c>
      <c r="AL62">
        <f>Constants!$B$44</f>
        <v>1.03</v>
      </c>
      <c r="AM62">
        <f>Constants!$B$41</f>
        <v>3.0539999999999998</v>
      </c>
      <c r="AN62">
        <f>Constants!$B$42</f>
        <v>18.399999999999999</v>
      </c>
      <c r="AO62">
        <f>Constants!$B$43</f>
        <v>0.6</v>
      </c>
      <c r="AP62">
        <f t="shared" si="27"/>
        <v>0.5948500000000001</v>
      </c>
      <c r="AQ62">
        <f t="shared" si="28"/>
        <v>0</v>
      </c>
      <c r="AR62">
        <f>IF(Y62="milkingCows", Constants!$P$2, Constants!$P$3)</f>
        <v>1</v>
      </c>
      <c r="AS62" t="str">
        <f t="shared" si="29"/>
        <v/>
      </c>
      <c r="AT62" t="str">
        <f t="shared" si="30"/>
        <v/>
      </c>
      <c r="AU62" t="str">
        <f>_xlfn.XLOOKUP(Y62, Constants!$B$13:$H$13, Constants!$B$14:$H$14, "")</f>
        <v/>
      </c>
      <c r="AV62" t="str">
        <f t="shared" si="31"/>
        <v/>
      </c>
      <c r="AW62">
        <f>Constants!$B$55</f>
        <v>6.25</v>
      </c>
      <c r="AX62" t="str">
        <f t="shared" si="34"/>
        <v/>
      </c>
      <c r="AY62" t="str">
        <f t="shared" si="35"/>
        <v/>
      </c>
      <c r="AZ62" t="str">
        <f t="shared" si="18"/>
        <v/>
      </c>
      <c r="BA62">
        <f>IF(ISNUMBER(FIND("PreWeaned",Y62)),_xlfn.XLOOKUP(Y62,Constants!$J$2:$J$3,Constants!$M$2:$M$3),"")</f>
        <v>9.1999999999999998E-3</v>
      </c>
      <c r="BB62">
        <f t="shared" si="36"/>
        <v>228.15999999999997</v>
      </c>
      <c r="BC62">
        <f t="shared" si="37"/>
        <v>0</v>
      </c>
      <c r="BD62">
        <f t="shared" si="38"/>
        <v>0</v>
      </c>
      <c r="BE62">
        <f t="shared" si="39"/>
        <v>0</v>
      </c>
      <c r="BF62">
        <f t="shared" si="40"/>
        <v>0</v>
      </c>
      <c r="BG62">
        <f t="shared" si="41"/>
        <v>228.15999999999997</v>
      </c>
      <c r="BH62">
        <f t="shared" si="42"/>
        <v>1</v>
      </c>
      <c r="BI62">
        <f>Constants!$B$54</f>
        <v>0.02</v>
      </c>
      <c r="BJ62">
        <f>Constants!$B$53</f>
        <v>0.24</v>
      </c>
      <c r="BK62">
        <f t="shared" si="32"/>
        <v>0</v>
      </c>
      <c r="BL62">
        <f t="shared" si="32"/>
        <v>54.758399999999988</v>
      </c>
      <c r="BM62">
        <f>Constants!$B$52</f>
        <v>1.0999999999999999E-2</v>
      </c>
      <c r="BN62">
        <f>Constants!$B$50</f>
        <v>1.57</v>
      </c>
      <c r="BO62">
        <f t="shared" si="33"/>
        <v>0.9456775679999998</v>
      </c>
    </row>
    <row r="63" spans="1:68" x14ac:dyDescent="0.2">
      <c r="A63" s="16" t="str">
        <f>'Input Scenarios'!A128</f>
        <v>SA</v>
      </c>
      <c r="B63" s="16">
        <f>'Input Scenarios'!B128</f>
        <v>17</v>
      </c>
      <c r="C63" s="16" t="str">
        <f>'Input Scenarios'!C128</f>
        <v>Irrigated crop</v>
      </c>
      <c r="D63" s="16" t="str">
        <f>'Input Scenarios'!D128</f>
        <v>dry</v>
      </c>
      <c r="E63" s="16" t="b">
        <f>'Input Scenarios'!E128</f>
        <v>1</v>
      </c>
      <c r="F63" s="16"/>
      <c r="G63" s="16">
        <f>'Input Scenarios'!G128</f>
        <v>0.73</v>
      </c>
      <c r="H63" s="16">
        <f>'Input Scenarios'!H128</f>
        <v>0.16</v>
      </c>
      <c r="I63" s="16">
        <f>'Input Scenarios'!I128</f>
        <v>0.11</v>
      </c>
      <c r="J63" s="16">
        <f>'Input Scenarios'!J128</f>
        <v>0.1</v>
      </c>
      <c r="K63" s="16">
        <f>'Input Scenarios'!K128</f>
        <v>0.2</v>
      </c>
      <c r="L63" s="16">
        <f>'Input Scenarios'!L128</f>
        <v>0.3</v>
      </c>
      <c r="M63" s="16">
        <f>'Input Scenarios'!M128</f>
        <v>0.4</v>
      </c>
      <c r="N63" s="16">
        <f>'Input Scenarios'!N128</f>
        <v>0.4</v>
      </c>
      <c r="O63" s="16">
        <f>'Input Scenarios'!O128</f>
        <v>0.3</v>
      </c>
      <c r="P63" s="16">
        <f>'Input Scenarios'!P128</f>
        <v>0.2</v>
      </c>
      <c r="Q63" s="16">
        <f>'Input Scenarios'!Q128</f>
        <v>0.1</v>
      </c>
      <c r="R63" s="16" t="b">
        <f>'Input Scenarios'!R63</f>
        <v>0</v>
      </c>
      <c r="S63" s="16">
        <f>IF('Input Scenarios'!S128&lt;&gt;"", 'Input Scenarios'!S128, IF(R128, Constants!$B$38, 0))</f>
        <v>0</v>
      </c>
      <c r="T63" s="16" t="str">
        <f>IF('Input Scenarios'!T128&lt;&gt;"", 'Input Scenarios'!T128, "")</f>
        <v/>
      </c>
      <c r="U63" s="16">
        <f>IF('Input Scenarios'!U128&lt;&gt;"", 'Input Scenarios'!U128, IF(W63&lt;&gt;"", "", Constants!$B$39))</f>
        <v>4</v>
      </c>
      <c r="V63" s="16">
        <f>IF('Input Scenarios'!V128&lt;&gt;"", 'Input Scenarios'!V128, IF(W63&lt;&gt;"", "", Constants!$B$40))</f>
        <v>3.3</v>
      </c>
      <c r="W63" s="16" t="str">
        <f>IF('Input Scenarios'!W128&lt;&gt;"", 'Input Scenarios'!W128, "")</f>
        <v/>
      </c>
      <c r="X63" s="16" t="str">
        <f>'Input Scenarios'!X128</f>
        <v>Guernsey</v>
      </c>
      <c r="Y63" s="16" t="str">
        <f>'Input Scenarios'!Y128</f>
        <v>bullsLt1Weaned</v>
      </c>
      <c r="Z63" s="16">
        <f>'Input Scenarios'!Z128</f>
        <v>200</v>
      </c>
      <c r="AA63" s="16">
        <f>'Input Scenarios'!AA128</f>
        <v>294</v>
      </c>
      <c r="AB63" s="16">
        <f>'Input Scenarios'!AB128</f>
        <v>225</v>
      </c>
      <c r="AC63" s="16">
        <f>IF('Input Scenarios'!AC128&lt;&gt;"", 'Input Scenarios'!AC128, _xlfn.XLOOKUP(Y63, Constants!$B$13:$H$13, Constants!$B$15:$H$15, ""))</f>
        <v>0.8</v>
      </c>
      <c r="AD63" s="16">
        <f>IF('Input Scenarios'!AD128&lt;&gt;"", 'Input Scenarios'!AD128, Constants!$B$45)</f>
        <v>0.75</v>
      </c>
      <c r="AE63" s="16">
        <f>IF('Input Scenarios'!AE128&lt;&gt;"", 'Input Scenarios'!AE128, Constants!$B$46)</f>
        <v>0.2</v>
      </c>
      <c r="AF63" s="16">
        <f t="shared" si="45"/>
        <v>0</v>
      </c>
      <c r="AG63" s="16">
        <f t="shared" si="44"/>
        <v>0</v>
      </c>
      <c r="AH63" s="16">
        <f t="shared" si="44"/>
        <v>0</v>
      </c>
      <c r="AI63" s="16">
        <f t="shared" si="44"/>
        <v>0</v>
      </c>
      <c r="AJ63" s="16">
        <f t="shared" si="46"/>
        <v>1</v>
      </c>
      <c r="AK63" s="16">
        <f t="shared" si="43"/>
        <v>0</v>
      </c>
      <c r="AL63">
        <f>Constants!$B$44</f>
        <v>1.03</v>
      </c>
      <c r="AM63">
        <f>Constants!$B$41</f>
        <v>3.0539999999999998</v>
      </c>
      <c r="AN63">
        <f>Constants!$B$42</f>
        <v>18.399999999999999</v>
      </c>
      <c r="AO63">
        <f>Constants!$B$43</f>
        <v>0.6</v>
      </c>
      <c r="AP63">
        <f t="shared" si="27"/>
        <v>0.5948500000000001</v>
      </c>
      <c r="AQ63">
        <f t="shared" si="28"/>
        <v>0</v>
      </c>
      <c r="AR63">
        <f>IF(Y63="milkingCows", Constants!$P$2, Constants!$P$3)</f>
        <v>1</v>
      </c>
      <c r="AS63">
        <f t="shared" si="29"/>
        <v>5.4143472656250013</v>
      </c>
      <c r="AT63">
        <f t="shared" si="30"/>
        <v>1.2576570545672616</v>
      </c>
      <c r="AU63">
        <f>_xlfn.XLOOKUP(Y63, Constants!$B$13:$H$13, Constants!$B$14:$H$14, "")</f>
        <v>770</v>
      </c>
      <c r="AV63">
        <f t="shared" si="31"/>
        <v>0.29220779220779219</v>
      </c>
      <c r="AW63">
        <f>Constants!$B$55</f>
        <v>6.25</v>
      </c>
      <c r="AX63" s="16">
        <f t="shared" si="34"/>
        <v>1.9757354894894084E-2</v>
      </c>
      <c r="AY63">
        <f t="shared" si="35"/>
        <v>1.0828694531250003</v>
      </c>
      <c r="AZ63" s="16">
        <f t="shared" si="18"/>
        <v>0.15247929000170721</v>
      </c>
      <c r="BA63" t="str">
        <f>IF(ISNUMBER(FIND("PreWeaned",Y63)),_xlfn.XLOOKUP(Y63,Constants!$J$2:$J$3,Constants!$M$2:$M$3),"")</f>
        <v/>
      </c>
      <c r="BB63">
        <f t="shared" si="36"/>
        <v>8965.7822521003836</v>
      </c>
      <c r="BC63">
        <f t="shared" si="37"/>
        <v>0</v>
      </c>
      <c r="BD63">
        <f t="shared" si="38"/>
        <v>0</v>
      </c>
      <c r="BE63">
        <f t="shared" si="39"/>
        <v>0</v>
      </c>
      <c r="BF63">
        <f t="shared" si="40"/>
        <v>0</v>
      </c>
      <c r="BG63">
        <f t="shared" si="41"/>
        <v>8965.7822521003836</v>
      </c>
      <c r="BH63">
        <f t="shared" si="42"/>
        <v>1</v>
      </c>
      <c r="BI63">
        <f>Constants!$B$54</f>
        <v>0.02</v>
      </c>
      <c r="BJ63">
        <f>Constants!$B$53</f>
        <v>0.24</v>
      </c>
      <c r="BK63">
        <f t="shared" si="32"/>
        <v>0</v>
      </c>
      <c r="BL63">
        <f t="shared" si="32"/>
        <v>2151.7877405040922</v>
      </c>
      <c r="BM63">
        <f>Constants!$B$52</f>
        <v>1.0999999999999999E-2</v>
      </c>
      <c r="BN63">
        <f>Constants!$B$50</f>
        <v>1.57</v>
      </c>
      <c r="BO63">
        <f t="shared" si="33"/>
        <v>37.161374278505676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Constants</vt:lpstr>
      <vt:lpstr>Input Scenarios</vt:lpstr>
      <vt:lpstr>4.3.1.1</vt:lpstr>
      <vt:lpstr>4.3.1.2</vt:lpstr>
      <vt:lpstr>4.3.1.3</vt:lpstr>
      <vt:lpstr>4.3.1.4</vt:lpstr>
      <vt:lpstr>4.3.1.5</vt:lpstr>
      <vt:lpstr>4.3.1.6</vt:lpstr>
      <vt:lpstr>4.3.1.7</vt:lpstr>
      <vt:lpstr>4.3.1.8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2026-06-22T04:13:19Z</dcterms:created>
  <dcterms:modified xsi:type="dcterms:W3CDTF">2026-10-22T06:06:42Z</dcterms:modified>
</cp:coreProperties>
</file>