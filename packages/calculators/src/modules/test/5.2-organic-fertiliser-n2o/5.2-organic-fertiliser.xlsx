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 defaultThemeVersion="202300"/>
  <xr:revisionPtr revIDLastSave="0" documentId="13_ncr:1_{90DDB057-6A1B-264D-8A1F-29B353BEE7D1}" xr6:coauthVersionLast="47" xr6:coauthVersionMax="47" xr10:uidLastSave="{00000000-0000-0000-0000-000000000000}"/>
  <bookViews>
    <workbookView xWindow="0" yWindow="660" windowWidth="28800" windowHeight="15900" activeTab="1" xr2:uid="{00000000-000D-0000-FFFF-FFFF00000000}"/>
  </bookViews>
  <sheets>
    <sheet name="5.2.1.1 (purchased_untraced)" sheetId="1" r:id="rId1"/>
    <sheet name="5.2.1.1 (pigs)" sheetId="6" r:id="rId2"/>
    <sheet name="5.2.1.1 (feedlot)" sheetId="3" r:id="rId3"/>
    <sheet name="5.2.1.1 (dairy)" sheetId="9" r:id="rId4"/>
    <sheet name="5.2.1.1 (poultry)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16" i="5" l="1"/>
  <c r="B123" i="9"/>
  <c r="CC35" i="9" s="1"/>
  <c r="AK12" i="3"/>
  <c r="CZ12" i="6"/>
  <c r="O11" i="1"/>
  <c r="BK54" i="5"/>
  <c r="BJ54" i="5"/>
  <c r="BH54" i="5"/>
  <c r="BG54" i="5"/>
  <c r="BF54" i="5"/>
  <c r="BE54" i="5"/>
  <c r="BC54" i="5"/>
  <c r="BB54" i="5"/>
  <c r="BA54" i="5"/>
  <c r="AZ54" i="5"/>
  <c r="Y54" i="5"/>
  <c r="X54" i="5"/>
  <c r="W54" i="5"/>
  <c r="V54" i="5"/>
  <c r="U54" i="5"/>
  <c r="T54" i="5"/>
  <c r="S54" i="5"/>
  <c r="K54" i="5"/>
  <c r="J54" i="5"/>
  <c r="L54" i="5" s="1"/>
  <c r="M54" i="5" s="1"/>
  <c r="N54" i="5" s="1"/>
  <c r="H54" i="5"/>
  <c r="BK53" i="5"/>
  <c r="BJ53" i="5"/>
  <c r="BH53" i="5"/>
  <c r="BG53" i="5"/>
  <c r="BF53" i="5"/>
  <c r="BE53" i="5"/>
  <c r="BC53" i="5"/>
  <c r="BB53" i="5"/>
  <c r="BA53" i="5"/>
  <c r="AZ53" i="5"/>
  <c r="Y53" i="5"/>
  <c r="X53" i="5"/>
  <c r="W53" i="5"/>
  <c r="V53" i="5"/>
  <c r="U53" i="5"/>
  <c r="T53" i="5"/>
  <c r="S53" i="5"/>
  <c r="K53" i="5"/>
  <c r="J53" i="5"/>
  <c r="L53" i="5" s="1"/>
  <c r="M53" i="5" s="1"/>
  <c r="N53" i="5" s="1"/>
  <c r="H53" i="5"/>
  <c r="BK52" i="5"/>
  <c r="BJ52" i="5"/>
  <c r="BH52" i="5"/>
  <c r="BG52" i="5"/>
  <c r="BF52" i="5"/>
  <c r="BE52" i="5"/>
  <c r="BC52" i="5"/>
  <c r="BB52" i="5"/>
  <c r="BA52" i="5"/>
  <c r="AZ52" i="5"/>
  <c r="Y52" i="5"/>
  <c r="X52" i="5"/>
  <c r="W52" i="5"/>
  <c r="V52" i="5"/>
  <c r="U52" i="5"/>
  <c r="T52" i="5"/>
  <c r="S52" i="5"/>
  <c r="K52" i="5"/>
  <c r="J52" i="5"/>
  <c r="L52" i="5" s="1"/>
  <c r="M52" i="5" s="1"/>
  <c r="N52" i="5" s="1"/>
  <c r="H52" i="5"/>
  <c r="BS51" i="5"/>
  <c r="BK51" i="5"/>
  <c r="BJ51" i="5"/>
  <c r="BH51" i="5"/>
  <c r="BG51" i="5"/>
  <c r="BF51" i="5"/>
  <c r="BE51" i="5"/>
  <c r="BC51" i="5"/>
  <c r="BB51" i="5"/>
  <c r="BA51" i="5"/>
  <c r="AZ51" i="5"/>
  <c r="Y51" i="5"/>
  <c r="X51" i="5"/>
  <c r="W51" i="5"/>
  <c r="V51" i="5"/>
  <c r="U51" i="5"/>
  <c r="T51" i="5"/>
  <c r="S51" i="5"/>
  <c r="K51" i="5"/>
  <c r="J51" i="5"/>
  <c r="L51" i="5" s="1"/>
  <c r="M51" i="5" s="1"/>
  <c r="N51" i="5" s="1"/>
  <c r="H51" i="5"/>
  <c r="BK44" i="5"/>
  <c r="BJ44" i="5"/>
  <c r="BH44" i="5"/>
  <c r="BG44" i="5"/>
  <c r="BF44" i="5"/>
  <c r="BE44" i="5"/>
  <c r="BC44" i="5"/>
  <c r="BB44" i="5"/>
  <c r="BA44" i="5"/>
  <c r="AZ44" i="5"/>
  <c r="Y44" i="5"/>
  <c r="X44" i="5"/>
  <c r="W44" i="5"/>
  <c r="V44" i="5"/>
  <c r="U44" i="5"/>
  <c r="T44" i="5"/>
  <c r="S44" i="5"/>
  <c r="K44" i="5"/>
  <c r="J44" i="5"/>
  <c r="L44" i="5" s="1"/>
  <c r="M44" i="5" s="1"/>
  <c r="N44" i="5" s="1"/>
  <c r="H44" i="5"/>
  <c r="BK43" i="5"/>
  <c r="BJ43" i="5"/>
  <c r="BH43" i="5"/>
  <c r="BG43" i="5"/>
  <c r="BF43" i="5"/>
  <c r="BE43" i="5"/>
  <c r="BC43" i="5"/>
  <c r="BB43" i="5"/>
  <c r="BA43" i="5"/>
  <c r="AZ43" i="5"/>
  <c r="Y43" i="5"/>
  <c r="X43" i="5"/>
  <c r="W43" i="5"/>
  <c r="V43" i="5"/>
  <c r="U43" i="5"/>
  <c r="T43" i="5"/>
  <c r="S43" i="5"/>
  <c r="K43" i="5"/>
  <c r="J43" i="5"/>
  <c r="L43" i="5" s="1"/>
  <c r="M43" i="5" s="1"/>
  <c r="N43" i="5" s="1"/>
  <c r="H43" i="5"/>
  <c r="BK42" i="5"/>
  <c r="BJ42" i="5"/>
  <c r="BH42" i="5"/>
  <c r="BG42" i="5"/>
  <c r="BF42" i="5"/>
  <c r="BE42" i="5"/>
  <c r="BC42" i="5"/>
  <c r="BB42" i="5"/>
  <c r="BA42" i="5"/>
  <c r="AZ42" i="5"/>
  <c r="Y42" i="5"/>
  <c r="X42" i="5"/>
  <c r="W42" i="5"/>
  <c r="V42" i="5"/>
  <c r="U42" i="5"/>
  <c r="T42" i="5"/>
  <c r="S42" i="5"/>
  <c r="K42" i="5"/>
  <c r="J42" i="5"/>
  <c r="L42" i="5" s="1"/>
  <c r="M42" i="5" s="1"/>
  <c r="N42" i="5" s="1"/>
  <c r="H42" i="5"/>
  <c r="BS41" i="5"/>
  <c r="BK41" i="5"/>
  <c r="BJ41" i="5"/>
  <c r="BH41" i="5"/>
  <c r="BG41" i="5"/>
  <c r="BF41" i="5"/>
  <c r="BE41" i="5"/>
  <c r="BC41" i="5"/>
  <c r="BB41" i="5"/>
  <c r="BA41" i="5"/>
  <c r="AZ41" i="5"/>
  <c r="Y41" i="5"/>
  <c r="X41" i="5"/>
  <c r="W41" i="5"/>
  <c r="V41" i="5"/>
  <c r="U41" i="5"/>
  <c r="T41" i="5"/>
  <c r="S41" i="5"/>
  <c r="K41" i="5"/>
  <c r="J41" i="5"/>
  <c r="L41" i="5" s="1"/>
  <c r="M41" i="5" s="1"/>
  <c r="N41" i="5" s="1"/>
  <c r="H41" i="5"/>
  <c r="BK34" i="5"/>
  <c r="BJ34" i="5"/>
  <c r="BH34" i="5"/>
  <c r="BG34" i="5"/>
  <c r="BF34" i="5"/>
  <c r="BE34" i="5"/>
  <c r="BC34" i="5"/>
  <c r="BB34" i="5"/>
  <c r="BA34" i="5"/>
  <c r="AZ34" i="5"/>
  <c r="Y34" i="5"/>
  <c r="X34" i="5"/>
  <c r="W34" i="5"/>
  <c r="V34" i="5"/>
  <c r="U34" i="5"/>
  <c r="T34" i="5"/>
  <c r="S34" i="5"/>
  <c r="K34" i="5"/>
  <c r="J34" i="5"/>
  <c r="L34" i="5" s="1"/>
  <c r="M34" i="5" s="1"/>
  <c r="N34" i="5" s="1"/>
  <c r="H34" i="5"/>
  <c r="BK33" i="5"/>
  <c r="BJ33" i="5"/>
  <c r="BH33" i="5"/>
  <c r="BG33" i="5"/>
  <c r="BF33" i="5"/>
  <c r="BE33" i="5"/>
  <c r="BC33" i="5"/>
  <c r="BB33" i="5"/>
  <c r="BA33" i="5"/>
  <c r="AZ33" i="5"/>
  <c r="Y33" i="5"/>
  <c r="X33" i="5"/>
  <c r="W33" i="5"/>
  <c r="V33" i="5"/>
  <c r="U33" i="5"/>
  <c r="T33" i="5"/>
  <c r="S33" i="5"/>
  <c r="K33" i="5"/>
  <c r="J33" i="5"/>
  <c r="L33" i="5" s="1"/>
  <c r="M33" i="5" s="1"/>
  <c r="N33" i="5" s="1"/>
  <c r="H33" i="5"/>
  <c r="BK32" i="5"/>
  <c r="BJ32" i="5"/>
  <c r="BH32" i="5"/>
  <c r="BG32" i="5"/>
  <c r="BF32" i="5"/>
  <c r="BE32" i="5"/>
  <c r="BC32" i="5"/>
  <c r="BB32" i="5"/>
  <c r="BA32" i="5"/>
  <c r="AZ32" i="5"/>
  <c r="Y32" i="5"/>
  <c r="X32" i="5"/>
  <c r="W32" i="5"/>
  <c r="V32" i="5"/>
  <c r="U32" i="5"/>
  <c r="T32" i="5"/>
  <c r="S32" i="5"/>
  <c r="K32" i="5"/>
  <c r="J32" i="5"/>
  <c r="L32" i="5" s="1"/>
  <c r="M32" i="5" s="1"/>
  <c r="N32" i="5" s="1"/>
  <c r="H32" i="5"/>
  <c r="BS31" i="5"/>
  <c r="BK31" i="5"/>
  <c r="BJ31" i="5"/>
  <c r="BH31" i="5"/>
  <c r="BG31" i="5"/>
  <c r="BF31" i="5"/>
  <c r="BE31" i="5"/>
  <c r="BC31" i="5"/>
  <c r="BB31" i="5"/>
  <c r="BA31" i="5"/>
  <c r="AZ31" i="5"/>
  <c r="Y31" i="5"/>
  <c r="X31" i="5"/>
  <c r="W31" i="5"/>
  <c r="V31" i="5"/>
  <c r="U31" i="5"/>
  <c r="T31" i="5"/>
  <c r="S31" i="5"/>
  <c r="K31" i="5"/>
  <c r="J31" i="5"/>
  <c r="L31" i="5" s="1"/>
  <c r="M31" i="5" s="1"/>
  <c r="N31" i="5" s="1"/>
  <c r="H31" i="5"/>
  <c r="BK24" i="5"/>
  <c r="BJ24" i="5"/>
  <c r="BH24" i="5"/>
  <c r="BG24" i="5"/>
  <c r="BF24" i="5"/>
  <c r="BE24" i="5"/>
  <c r="BC24" i="5"/>
  <c r="BB24" i="5"/>
  <c r="BA24" i="5"/>
  <c r="AZ24" i="5"/>
  <c r="Y24" i="5"/>
  <c r="X24" i="5"/>
  <c r="W24" i="5"/>
  <c r="V24" i="5"/>
  <c r="U24" i="5"/>
  <c r="T24" i="5"/>
  <c r="S24" i="5"/>
  <c r="K24" i="5"/>
  <c r="J24" i="5"/>
  <c r="L24" i="5" s="1"/>
  <c r="M24" i="5" s="1"/>
  <c r="N24" i="5" s="1"/>
  <c r="H24" i="5"/>
  <c r="BK23" i="5"/>
  <c r="BJ23" i="5"/>
  <c r="BH23" i="5"/>
  <c r="BG23" i="5"/>
  <c r="BF23" i="5"/>
  <c r="BE23" i="5"/>
  <c r="BC23" i="5"/>
  <c r="BB23" i="5"/>
  <c r="BA23" i="5"/>
  <c r="AZ23" i="5"/>
  <c r="Y23" i="5"/>
  <c r="X23" i="5"/>
  <c r="W23" i="5"/>
  <c r="V23" i="5"/>
  <c r="U23" i="5"/>
  <c r="T23" i="5"/>
  <c r="S23" i="5"/>
  <c r="K23" i="5"/>
  <c r="J23" i="5"/>
  <c r="L23" i="5" s="1"/>
  <c r="M23" i="5" s="1"/>
  <c r="N23" i="5" s="1"/>
  <c r="H23" i="5"/>
  <c r="BK22" i="5"/>
  <c r="BJ22" i="5"/>
  <c r="BH22" i="5"/>
  <c r="BG22" i="5"/>
  <c r="BF22" i="5"/>
  <c r="BE22" i="5"/>
  <c r="BC22" i="5"/>
  <c r="BB22" i="5"/>
  <c r="BA22" i="5"/>
  <c r="AZ22" i="5"/>
  <c r="Y22" i="5"/>
  <c r="X22" i="5"/>
  <c r="W22" i="5"/>
  <c r="V22" i="5"/>
  <c r="U22" i="5"/>
  <c r="T22" i="5"/>
  <c r="S22" i="5"/>
  <c r="K22" i="5"/>
  <c r="J22" i="5"/>
  <c r="L22" i="5" s="1"/>
  <c r="M22" i="5" s="1"/>
  <c r="N22" i="5" s="1"/>
  <c r="H22" i="5"/>
  <c r="BS21" i="5"/>
  <c r="BK21" i="5"/>
  <c r="BJ21" i="5"/>
  <c r="BH21" i="5"/>
  <c r="BG21" i="5"/>
  <c r="BF21" i="5"/>
  <c r="BE21" i="5"/>
  <c r="BC21" i="5"/>
  <c r="BB21" i="5"/>
  <c r="BA21" i="5"/>
  <c r="AZ21" i="5"/>
  <c r="Y21" i="5"/>
  <c r="X21" i="5"/>
  <c r="W21" i="5"/>
  <c r="V21" i="5"/>
  <c r="U21" i="5"/>
  <c r="T21" i="5"/>
  <c r="S21" i="5"/>
  <c r="K21" i="5"/>
  <c r="J21" i="5"/>
  <c r="L21" i="5" s="1"/>
  <c r="M21" i="5" s="1"/>
  <c r="N21" i="5" s="1"/>
  <c r="H21" i="5"/>
  <c r="BK14" i="5"/>
  <c r="BJ14" i="5"/>
  <c r="BH14" i="5"/>
  <c r="BG14" i="5"/>
  <c r="BF14" i="5"/>
  <c r="BE14" i="5"/>
  <c r="BC14" i="5"/>
  <c r="BB14" i="5"/>
  <c r="BA14" i="5"/>
  <c r="AZ14" i="5"/>
  <c r="Y14" i="5"/>
  <c r="X14" i="5"/>
  <c r="W14" i="5"/>
  <c r="V14" i="5"/>
  <c r="U14" i="5"/>
  <c r="T14" i="5"/>
  <c r="S14" i="5"/>
  <c r="K14" i="5"/>
  <c r="J14" i="5"/>
  <c r="L14" i="5" s="1"/>
  <c r="M14" i="5" s="1"/>
  <c r="N14" i="5" s="1"/>
  <c r="H14" i="5"/>
  <c r="BK13" i="5"/>
  <c r="BJ13" i="5"/>
  <c r="BH13" i="5"/>
  <c r="BG13" i="5"/>
  <c r="BF13" i="5"/>
  <c r="BE13" i="5"/>
  <c r="BC13" i="5"/>
  <c r="BB13" i="5"/>
  <c r="BA13" i="5"/>
  <c r="AZ13" i="5"/>
  <c r="Y13" i="5"/>
  <c r="X13" i="5"/>
  <c r="W13" i="5"/>
  <c r="V13" i="5"/>
  <c r="U13" i="5"/>
  <c r="T13" i="5"/>
  <c r="S13" i="5"/>
  <c r="K13" i="5"/>
  <c r="J13" i="5"/>
  <c r="L13" i="5" s="1"/>
  <c r="M13" i="5" s="1"/>
  <c r="N13" i="5" s="1"/>
  <c r="H13" i="5"/>
  <c r="BK12" i="5"/>
  <c r="BJ12" i="5"/>
  <c r="BH12" i="5"/>
  <c r="BG12" i="5"/>
  <c r="BF12" i="5"/>
  <c r="BE12" i="5"/>
  <c r="BC12" i="5"/>
  <c r="BB12" i="5"/>
  <c r="BA12" i="5"/>
  <c r="AZ12" i="5"/>
  <c r="Y12" i="5"/>
  <c r="X12" i="5"/>
  <c r="W12" i="5"/>
  <c r="V12" i="5"/>
  <c r="U12" i="5"/>
  <c r="T12" i="5"/>
  <c r="S12" i="5"/>
  <c r="K12" i="5"/>
  <c r="J12" i="5"/>
  <c r="L12" i="5" s="1"/>
  <c r="M12" i="5" s="1"/>
  <c r="N12" i="5" s="1"/>
  <c r="H12" i="5"/>
  <c r="BT11" i="5"/>
  <c r="BS11" i="5"/>
  <c r="BK11" i="5"/>
  <c r="BJ11" i="5"/>
  <c r="BH11" i="5"/>
  <c r="BG11" i="5"/>
  <c r="BF11" i="5"/>
  <c r="BE11" i="5"/>
  <c r="BC11" i="5"/>
  <c r="BB11" i="5"/>
  <c r="BA11" i="5"/>
  <c r="AZ11" i="5"/>
  <c r="Y11" i="5"/>
  <c r="X11" i="5"/>
  <c r="W11" i="5"/>
  <c r="V11" i="5"/>
  <c r="U11" i="5"/>
  <c r="T11" i="5"/>
  <c r="S11" i="5"/>
  <c r="K11" i="5"/>
  <c r="J11" i="5"/>
  <c r="L11" i="5" s="1"/>
  <c r="M11" i="5" s="1"/>
  <c r="N11" i="5" s="1"/>
  <c r="H11" i="5"/>
  <c r="BG9" i="6"/>
  <c r="BI9" i="6"/>
  <c r="BG10" i="6"/>
  <c r="BI10" i="6"/>
  <c r="BG11" i="6"/>
  <c r="BI11" i="6"/>
  <c r="BG12" i="6"/>
  <c r="BI12" i="6"/>
  <c r="BG13" i="6"/>
  <c r="BI13" i="6"/>
  <c r="BG14" i="6"/>
  <c r="BI14" i="6"/>
  <c r="BG15" i="6"/>
  <c r="BI15" i="6"/>
  <c r="BG16" i="6"/>
  <c r="BI16" i="6"/>
  <c r="BG17" i="6"/>
  <c r="BI17" i="6"/>
  <c r="BG18" i="6"/>
  <c r="BI18" i="6"/>
  <c r="BG19" i="6"/>
  <c r="BI19" i="6"/>
  <c r="BG20" i="6"/>
  <c r="BI20" i="6"/>
  <c r="BG21" i="6"/>
  <c r="BI21" i="6"/>
  <c r="BG22" i="6"/>
  <c r="BI22" i="6"/>
  <c r="BJ22" i="6"/>
  <c r="BG23" i="6"/>
  <c r="BI23" i="6"/>
  <c r="BG8" i="6"/>
  <c r="BI8" i="6"/>
  <c r="BX8" i="6"/>
  <c r="BB12" i="6"/>
  <c r="BC12" i="6"/>
  <c r="BH12" i="6" s="1"/>
  <c r="BD12" i="6"/>
  <c r="BJ12" i="6" s="1"/>
  <c r="BB13" i="6"/>
  <c r="BC13" i="6"/>
  <c r="BH13" i="6" s="1"/>
  <c r="BD13" i="6"/>
  <c r="BJ13" i="6" s="1"/>
  <c r="BB14" i="6"/>
  <c r="BC14" i="6"/>
  <c r="BH14" i="6" s="1"/>
  <c r="BD14" i="6"/>
  <c r="BJ14" i="6" s="1"/>
  <c r="BB15" i="6"/>
  <c r="BF15" i="6" s="1"/>
  <c r="BC15" i="6"/>
  <c r="BD15" i="6"/>
  <c r="BJ15" i="6" s="1"/>
  <c r="BB16" i="6"/>
  <c r="BF16" i="6" s="1"/>
  <c r="BC16" i="6"/>
  <c r="BH16" i="6" s="1"/>
  <c r="BD16" i="6"/>
  <c r="BJ16" i="6" s="1"/>
  <c r="BB17" i="6"/>
  <c r="BC17" i="6"/>
  <c r="BH17" i="6" s="1"/>
  <c r="BD17" i="6"/>
  <c r="BJ17" i="6" s="1"/>
  <c r="BB18" i="6"/>
  <c r="BC18" i="6"/>
  <c r="BH18" i="6" s="1"/>
  <c r="BD18" i="6"/>
  <c r="BJ18" i="6" s="1"/>
  <c r="BB19" i="6"/>
  <c r="BC19" i="6"/>
  <c r="BH19" i="6" s="1"/>
  <c r="BD19" i="6"/>
  <c r="BJ19" i="6" s="1"/>
  <c r="BB20" i="6"/>
  <c r="BC20" i="6"/>
  <c r="BH20" i="6" s="1"/>
  <c r="BD20" i="6"/>
  <c r="BJ20" i="6" s="1"/>
  <c r="BB21" i="6"/>
  <c r="BC21" i="6"/>
  <c r="BH21" i="6" s="1"/>
  <c r="BD21" i="6"/>
  <c r="BJ21" i="6" s="1"/>
  <c r="BB22" i="6"/>
  <c r="BF22" i="6" s="1"/>
  <c r="BC22" i="6"/>
  <c r="BH22" i="6" s="1"/>
  <c r="BD22" i="6"/>
  <c r="BB23" i="6"/>
  <c r="BF23" i="6" s="1"/>
  <c r="BC23" i="6"/>
  <c r="BD23" i="6"/>
  <c r="BJ23" i="6" s="1"/>
  <c r="BB9" i="6"/>
  <c r="BF9" i="6" s="1"/>
  <c r="BC9" i="6"/>
  <c r="BH9" i="6" s="1"/>
  <c r="BD9" i="6"/>
  <c r="BJ9" i="6" s="1"/>
  <c r="BB10" i="6"/>
  <c r="BC10" i="6"/>
  <c r="BH10" i="6" s="1"/>
  <c r="BD10" i="6"/>
  <c r="BJ10" i="6" s="1"/>
  <c r="BB11" i="6"/>
  <c r="BF11" i="6" s="1"/>
  <c r="BC11" i="6"/>
  <c r="BH11" i="6" s="1"/>
  <c r="BD11" i="6"/>
  <c r="BJ11" i="6" s="1"/>
  <c r="BD8" i="6"/>
  <c r="BJ8" i="6" s="1"/>
  <c r="BC8" i="6"/>
  <c r="BH8" i="6" s="1"/>
  <c r="BB8" i="6"/>
  <c r="BF8" i="6" s="1"/>
  <c r="G21" i="3" a="1"/>
  <c r="G22" i="3" a="1"/>
  <c r="G9" i="3" a="1"/>
  <c r="G10" i="3" a="1"/>
  <c r="G11" i="3" a="1"/>
  <c r="G12" i="3" a="1"/>
  <c r="G13" i="3" a="1"/>
  <c r="G14" i="3" a="1"/>
  <c r="G15" i="3" a="1"/>
  <c r="G8" i="3" a="1"/>
  <c r="F21" i="3" a="1"/>
  <c r="F22" i="3" a="1"/>
  <c r="F9" i="3" a="1"/>
  <c r="F10" i="3" a="1"/>
  <c r="F11" i="3" a="1"/>
  <c r="F12" i="3" a="1"/>
  <c r="F13" i="3" a="1"/>
  <c r="F14" i="3" a="1"/>
  <c r="F15" i="3" a="1"/>
  <c r="F8" i="3" a="1"/>
  <c r="BL57" i="9"/>
  <c r="BM57" i="9"/>
  <c r="BN57" i="9"/>
  <c r="BO57" i="9"/>
  <c r="BP57" i="9"/>
  <c r="BQ57" i="9"/>
  <c r="BR57" i="9"/>
  <c r="BS57" i="9"/>
  <c r="BT57" i="9"/>
  <c r="BU57" i="9"/>
  <c r="BV57" i="9"/>
  <c r="CB57" i="9"/>
  <c r="BL58" i="9"/>
  <c r="BM58" i="9"/>
  <c r="BN58" i="9"/>
  <c r="BO58" i="9"/>
  <c r="BP58" i="9"/>
  <c r="BQ58" i="9"/>
  <c r="BR58" i="9"/>
  <c r="BS58" i="9"/>
  <c r="BT58" i="9"/>
  <c r="BU58" i="9"/>
  <c r="BV58" i="9"/>
  <c r="CB58" i="9"/>
  <c r="BL59" i="9"/>
  <c r="BM59" i="9"/>
  <c r="BN59" i="9"/>
  <c r="BO59" i="9"/>
  <c r="BP59" i="9"/>
  <c r="BQ59" i="9"/>
  <c r="BR59" i="9"/>
  <c r="BS59" i="9"/>
  <c r="BT59" i="9"/>
  <c r="BU59" i="9"/>
  <c r="BV59" i="9"/>
  <c r="CB59" i="9"/>
  <c r="BL60" i="9"/>
  <c r="BM60" i="9"/>
  <c r="BN60" i="9"/>
  <c r="BO60" i="9"/>
  <c r="BP60" i="9"/>
  <c r="BQ60" i="9"/>
  <c r="BR60" i="9"/>
  <c r="BS60" i="9"/>
  <c r="BT60" i="9"/>
  <c r="BU60" i="9"/>
  <c r="BV60" i="9"/>
  <c r="CB60" i="9"/>
  <c r="BL61" i="9"/>
  <c r="BM61" i="9"/>
  <c r="BN61" i="9"/>
  <c r="BO61" i="9"/>
  <c r="BP61" i="9"/>
  <c r="BQ61" i="9"/>
  <c r="BR61" i="9"/>
  <c r="BS61" i="9"/>
  <c r="BT61" i="9"/>
  <c r="BU61" i="9"/>
  <c r="BV61" i="9"/>
  <c r="CB61" i="9"/>
  <c r="BL62" i="9"/>
  <c r="BM62" i="9"/>
  <c r="BN62" i="9"/>
  <c r="BO62" i="9"/>
  <c r="BP62" i="9"/>
  <c r="BQ62" i="9"/>
  <c r="BR62" i="9"/>
  <c r="BS62" i="9"/>
  <c r="BT62" i="9"/>
  <c r="BU62" i="9"/>
  <c r="BV62" i="9"/>
  <c r="CB62" i="9"/>
  <c r="BL63" i="9"/>
  <c r="BM63" i="9"/>
  <c r="BN63" i="9"/>
  <c r="BO63" i="9"/>
  <c r="BP63" i="9"/>
  <c r="BQ63" i="9"/>
  <c r="BR63" i="9"/>
  <c r="BS63" i="9"/>
  <c r="BT63" i="9"/>
  <c r="BU63" i="9"/>
  <c r="BV63" i="9"/>
  <c r="CB63" i="9"/>
  <c r="BL29" i="9"/>
  <c r="BM29" i="9"/>
  <c r="BN29" i="9"/>
  <c r="BO29" i="9"/>
  <c r="BP29" i="9"/>
  <c r="BQ29" i="9"/>
  <c r="BR29" i="9"/>
  <c r="BS29" i="9"/>
  <c r="BT29" i="9"/>
  <c r="BU29" i="9"/>
  <c r="BV29" i="9"/>
  <c r="CB29" i="9"/>
  <c r="BL30" i="9"/>
  <c r="BM30" i="9"/>
  <c r="BN30" i="9"/>
  <c r="BO30" i="9"/>
  <c r="BP30" i="9"/>
  <c r="BQ30" i="9"/>
  <c r="BR30" i="9"/>
  <c r="BS30" i="9"/>
  <c r="BT30" i="9"/>
  <c r="BU30" i="9"/>
  <c r="BV30" i="9"/>
  <c r="CB30" i="9"/>
  <c r="BL31" i="9"/>
  <c r="BM31" i="9"/>
  <c r="BN31" i="9"/>
  <c r="BO31" i="9"/>
  <c r="BP31" i="9"/>
  <c r="BQ31" i="9"/>
  <c r="BR31" i="9"/>
  <c r="BS31" i="9"/>
  <c r="BT31" i="9"/>
  <c r="BU31" i="9"/>
  <c r="BV31" i="9"/>
  <c r="CB31" i="9"/>
  <c r="BL32" i="9"/>
  <c r="BM32" i="9"/>
  <c r="BN32" i="9"/>
  <c r="BO32" i="9"/>
  <c r="BP32" i="9"/>
  <c r="BQ32" i="9"/>
  <c r="BR32" i="9"/>
  <c r="BS32" i="9"/>
  <c r="BT32" i="9"/>
  <c r="BU32" i="9"/>
  <c r="BV32" i="9"/>
  <c r="CB32" i="9"/>
  <c r="BL33" i="9"/>
  <c r="BM33" i="9"/>
  <c r="BN33" i="9"/>
  <c r="BO33" i="9"/>
  <c r="BP33" i="9"/>
  <c r="BQ33" i="9"/>
  <c r="BR33" i="9"/>
  <c r="BS33" i="9"/>
  <c r="BT33" i="9"/>
  <c r="BU33" i="9"/>
  <c r="BV33" i="9"/>
  <c r="CB33" i="9"/>
  <c r="BL34" i="9"/>
  <c r="BM34" i="9"/>
  <c r="BN34" i="9"/>
  <c r="BO34" i="9"/>
  <c r="BP34" i="9"/>
  <c r="BQ34" i="9"/>
  <c r="BR34" i="9"/>
  <c r="BS34" i="9"/>
  <c r="BT34" i="9"/>
  <c r="BU34" i="9"/>
  <c r="BV34" i="9"/>
  <c r="CB34" i="9"/>
  <c r="BL35" i="9"/>
  <c r="BM35" i="9"/>
  <c r="BN35" i="9"/>
  <c r="BO35" i="9"/>
  <c r="BP35" i="9"/>
  <c r="BQ35" i="9"/>
  <c r="BR35" i="9"/>
  <c r="BS35" i="9"/>
  <c r="BT35" i="9"/>
  <c r="BU35" i="9"/>
  <c r="BV35" i="9"/>
  <c r="CB35" i="9"/>
  <c r="BL36" i="9"/>
  <c r="BM36" i="9"/>
  <c r="BN36" i="9"/>
  <c r="BO36" i="9"/>
  <c r="BP36" i="9"/>
  <c r="BQ36" i="9"/>
  <c r="BR36" i="9"/>
  <c r="BS36" i="9"/>
  <c r="BT36" i="9"/>
  <c r="BU36" i="9"/>
  <c r="BV36" i="9"/>
  <c r="CB36" i="9"/>
  <c r="BL37" i="9"/>
  <c r="BM37" i="9"/>
  <c r="BN37" i="9"/>
  <c r="BO37" i="9"/>
  <c r="BP37" i="9"/>
  <c r="BQ37" i="9"/>
  <c r="BR37" i="9"/>
  <c r="BS37" i="9"/>
  <c r="BT37" i="9"/>
  <c r="BU37" i="9"/>
  <c r="BV37" i="9"/>
  <c r="CB37" i="9"/>
  <c r="BL38" i="9"/>
  <c r="BM38" i="9"/>
  <c r="BN38" i="9"/>
  <c r="BO38" i="9"/>
  <c r="BP38" i="9"/>
  <c r="BQ38" i="9"/>
  <c r="BR38" i="9"/>
  <c r="BS38" i="9"/>
  <c r="BT38" i="9"/>
  <c r="BU38" i="9"/>
  <c r="BV38" i="9"/>
  <c r="CB38" i="9"/>
  <c r="BL39" i="9"/>
  <c r="BM39" i="9"/>
  <c r="BN39" i="9"/>
  <c r="BO39" i="9"/>
  <c r="BP39" i="9"/>
  <c r="BQ39" i="9"/>
  <c r="BR39" i="9"/>
  <c r="BS39" i="9"/>
  <c r="BT39" i="9"/>
  <c r="BU39" i="9"/>
  <c r="BV39" i="9"/>
  <c r="CB39" i="9"/>
  <c r="BL40" i="9"/>
  <c r="BM40" i="9"/>
  <c r="BN40" i="9"/>
  <c r="BO40" i="9"/>
  <c r="BP40" i="9"/>
  <c r="BQ40" i="9"/>
  <c r="BR40" i="9"/>
  <c r="BS40" i="9"/>
  <c r="BT40" i="9"/>
  <c r="BU40" i="9"/>
  <c r="BV40" i="9"/>
  <c r="CB40" i="9"/>
  <c r="BL41" i="9"/>
  <c r="BM41" i="9"/>
  <c r="BN41" i="9"/>
  <c r="BO41" i="9"/>
  <c r="BP41" i="9"/>
  <c r="BQ41" i="9"/>
  <c r="BR41" i="9"/>
  <c r="BS41" i="9"/>
  <c r="BT41" i="9"/>
  <c r="BU41" i="9"/>
  <c r="BV41" i="9"/>
  <c r="CB41" i="9"/>
  <c r="BL42" i="9"/>
  <c r="BM42" i="9"/>
  <c r="BN42" i="9"/>
  <c r="BO42" i="9"/>
  <c r="BP42" i="9"/>
  <c r="BQ42" i="9"/>
  <c r="BR42" i="9"/>
  <c r="BS42" i="9"/>
  <c r="BT42" i="9"/>
  <c r="BU42" i="9"/>
  <c r="BV42" i="9"/>
  <c r="CB42" i="9"/>
  <c r="BL43" i="9"/>
  <c r="BM43" i="9"/>
  <c r="BN43" i="9"/>
  <c r="BO43" i="9"/>
  <c r="BP43" i="9"/>
  <c r="BQ43" i="9"/>
  <c r="BR43" i="9"/>
  <c r="BS43" i="9"/>
  <c r="BT43" i="9"/>
  <c r="BU43" i="9"/>
  <c r="BV43" i="9"/>
  <c r="CB43" i="9"/>
  <c r="BL44" i="9"/>
  <c r="BM44" i="9"/>
  <c r="BN44" i="9"/>
  <c r="BO44" i="9"/>
  <c r="BP44" i="9"/>
  <c r="BQ44" i="9"/>
  <c r="BR44" i="9"/>
  <c r="BS44" i="9"/>
  <c r="BT44" i="9"/>
  <c r="BU44" i="9"/>
  <c r="BV44" i="9"/>
  <c r="CB44" i="9"/>
  <c r="BL45" i="9"/>
  <c r="BM45" i="9"/>
  <c r="BN45" i="9"/>
  <c r="BO45" i="9"/>
  <c r="BP45" i="9"/>
  <c r="BQ45" i="9"/>
  <c r="BR45" i="9"/>
  <c r="BS45" i="9"/>
  <c r="BT45" i="9"/>
  <c r="BU45" i="9"/>
  <c r="BV45" i="9"/>
  <c r="CB45" i="9"/>
  <c r="BL46" i="9"/>
  <c r="BM46" i="9"/>
  <c r="BN46" i="9"/>
  <c r="BO46" i="9"/>
  <c r="BP46" i="9"/>
  <c r="BQ46" i="9"/>
  <c r="BR46" i="9"/>
  <c r="BS46" i="9"/>
  <c r="BT46" i="9"/>
  <c r="BU46" i="9"/>
  <c r="BV46" i="9"/>
  <c r="CB46" i="9"/>
  <c r="BL47" i="9"/>
  <c r="BM47" i="9"/>
  <c r="BN47" i="9"/>
  <c r="BO47" i="9"/>
  <c r="BP47" i="9"/>
  <c r="BQ47" i="9"/>
  <c r="BR47" i="9"/>
  <c r="BS47" i="9"/>
  <c r="BT47" i="9"/>
  <c r="BU47" i="9"/>
  <c r="BV47" i="9"/>
  <c r="CB47" i="9"/>
  <c r="BL48" i="9"/>
  <c r="BM48" i="9"/>
  <c r="BN48" i="9"/>
  <c r="BO48" i="9"/>
  <c r="BP48" i="9"/>
  <c r="BQ48" i="9"/>
  <c r="BR48" i="9"/>
  <c r="BS48" i="9"/>
  <c r="BT48" i="9"/>
  <c r="BU48" i="9"/>
  <c r="BV48" i="9"/>
  <c r="CB48" i="9"/>
  <c r="BL49" i="9"/>
  <c r="BM49" i="9"/>
  <c r="BN49" i="9"/>
  <c r="BO49" i="9"/>
  <c r="BP49" i="9"/>
  <c r="BQ49" i="9"/>
  <c r="BR49" i="9"/>
  <c r="BS49" i="9"/>
  <c r="BT49" i="9"/>
  <c r="BU49" i="9"/>
  <c r="BV49" i="9"/>
  <c r="CB49" i="9"/>
  <c r="BL50" i="9"/>
  <c r="BM50" i="9"/>
  <c r="BN50" i="9"/>
  <c r="BO50" i="9"/>
  <c r="BP50" i="9"/>
  <c r="BQ50" i="9"/>
  <c r="BR50" i="9"/>
  <c r="BS50" i="9"/>
  <c r="BT50" i="9"/>
  <c r="BU50" i="9"/>
  <c r="BV50" i="9"/>
  <c r="CB50" i="9"/>
  <c r="BL51" i="9"/>
  <c r="BM51" i="9"/>
  <c r="BN51" i="9"/>
  <c r="BO51" i="9"/>
  <c r="BP51" i="9"/>
  <c r="BQ51" i="9"/>
  <c r="BR51" i="9"/>
  <c r="BS51" i="9"/>
  <c r="BT51" i="9"/>
  <c r="BU51" i="9"/>
  <c r="BV51" i="9"/>
  <c r="CB51" i="9"/>
  <c r="BL52" i="9"/>
  <c r="BM52" i="9"/>
  <c r="BN52" i="9"/>
  <c r="BO52" i="9"/>
  <c r="BP52" i="9"/>
  <c r="BQ52" i="9"/>
  <c r="BR52" i="9"/>
  <c r="BS52" i="9"/>
  <c r="BT52" i="9"/>
  <c r="BU52" i="9"/>
  <c r="BV52" i="9"/>
  <c r="CB52" i="9"/>
  <c r="BL53" i="9"/>
  <c r="BM53" i="9"/>
  <c r="BN53" i="9"/>
  <c r="BO53" i="9"/>
  <c r="BP53" i="9"/>
  <c r="BQ53" i="9"/>
  <c r="BR53" i="9"/>
  <c r="BS53" i="9"/>
  <c r="BT53" i="9"/>
  <c r="BU53" i="9"/>
  <c r="BV53" i="9"/>
  <c r="CB53" i="9"/>
  <c r="BL54" i="9"/>
  <c r="BM54" i="9"/>
  <c r="BN54" i="9"/>
  <c r="BO54" i="9"/>
  <c r="BP54" i="9"/>
  <c r="BQ54" i="9"/>
  <c r="BR54" i="9"/>
  <c r="BS54" i="9"/>
  <c r="BT54" i="9"/>
  <c r="BU54" i="9"/>
  <c r="BV54" i="9"/>
  <c r="CB54" i="9"/>
  <c r="BL55" i="9"/>
  <c r="BM55" i="9"/>
  <c r="BN55" i="9"/>
  <c r="BO55" i="9"/>
  <c r="BP55" i="9"/>
  <c r="BQ55" i="9"/>
  <c r="BR55" i="9"/>
  <c r="BS55" i="9"/>
  <c r="BT55" i="9"/>
  <c r="BU55" i="9"/>
  <c r="BV55" i="9"/>
  <c r="CB55" i="9"/>
  <c r="BL56" i="9"/>
  <c r="BM56" i="9"/>
  <c r="BN56" i="9"/>
  <c r="BO56" i="9"/>
  <c r="BP56" i="9"/>
  <c r="BQ56" i="9"/>
  <c r="BR56" i="9"/>
  <c r="BS56" i="9"/>
  <c r="BT56" i="9"/>
  <c r="BU56" i="9"/>
  <c r="BV56" i="9"/>
  <c r="CB56" i="9"/>
  <c r="BL15" i="9"/>
  <c r="BM15" i="9"/>
  <c r="BN15" i="9"/>
  <c r="BO15" i="9"/>
  <c r="BP15" i="9"/>
  <c r="BQ15" i="9"/>
  <c r="BR15" i="9"/>
  <c r="BS15" i="9"/>
  <c r="BT15" i="9"/>
  <c r="BU15" i="9"/>
  <c r="BV15" i="9"/>
  <c r="CB15" i="9"/>
  <c r="BL16" i="9"/>
  <c r="BM16" i="9"/>
  <c r="BN16" i="9"/>
  <c r="BO16" i="9"/>
  <c r="BP16" i="9"/>
  <c r="BQ16" i="9"/>
  <c r="BR16" i="9"/>
  <c r="BS16" i="9"/>
  <c r="BT16" i="9"/>
  <c r="BU16" i="9"/>
  <c r="BV16" i="9"/>
  <c r="CB16" i="9"/>
  <c r="BL17" i="9"/>
  <c r="BM17" i="9"/>
  <c r="BN17" i="9"/>
  <c r="BO17" i="9"/>
  <c r="BP17" i="9"/>
  <c r="BQ17" i="9"/>
  <c r="BR17" i="9"/>
  <c r="BS17" i="9"/>
  <c r="BT17" i="9"/>
  <c r="BU17" i="9"/>
  <c r="BV17" i="9"/>
  <c r="CB17" i="9"/>
  <c r="BL18" i="9"/>
  <c r="BM18" i="9"/>
  <c r="BN18" i="9"/>
  <c r="BO18" i="9"/>
  <c r="BP18" i="9"/>
  <c r="BQ18" i="9"/>
  <c r="BR18" i="9"/>
  <c r="BS18" i="9"/>
  <c r="BT18" i="9"/>
  <c r="BU18" i="9"/>
  <c r="BV18" i="9"/>
  <c r="CB18" i="9"/>
  <c r="BL19" i="9"/>
  <c r="BM19" i="9"/>
  <c r="BN19" i="9"/>
  <c r="BO19" i="9"/>
  <c r="BP19" i="9"/>
  <c r="BQ19" i="9"/>
  <c r="BR19" i="9"/>
  <c r="BS19" i="9"/>
  <c r="BT19" i="9"/>
  <c r="BU19" i="9"/>
  <c r="BV19" i="9"/>
  <c r="CB19" i="9"/>
  <c r="BL20" i="9"/>
  <c r="BM20" i="9"/>
  <c r="BN20" i="9"/>
  <c r="BO20" i="9"/>
  <c r="BP20" i="9"/>
  <c r="BQ20" i="9"/>
  <c r="BR20" i="9"/>
  <c r="BS20" i="9"/>
  <c r="BT20" i="9"/>
  <c r="BU20" i="9"/>
  <c r="BV20" i="9"/>
  <c r="CB20" i="9"/>
  <c r="BL21" i="9"/>
  <c r="BM21" i="9"/>
  <c r="BN21" i="9"/>
  <c r="BO21" i="9"/>
  <c r="BP21" i="9"/>
  <c r="BQ21" i="9"/>
  <c r="BR21" i="9"/>
  <c r="BS21" i="9"/>
  <c r="BT21" i="9"/>
  <c r="BU21" i="9"/>
  <c r="BV21" i="9"/>
  <c r="CB21" i="9"/>
  <c r="BL22" i="9"/>
  <c r="BM22" i="9"/>
  <c r="BN22" i="9"/>
  <c r="BO22" i="9"/>
  <c r="BP22" i="9"/>
  <c r="BQ22" i="9"/>
  <c r="BR22" i="9"/>
  <c r="BS22" i="9"/>
  <c r="BT22" i="9"/>
  <c r="BU22" i="9"/>
  <c r="BV22" i="9"/>
  <c r="CB22" i="9"/>
  <c r="BL23" i="9"/>
  <c r="BM23" i="9"/>
  <c r="BN23" i="9"/>
  <c r="BO23" i="9"/>
  <c r="BP23" i="9"/>
  <c r="BQ23" i="9"/>
  <c r="BR23" i="9"/>
  <c r="BS23" i="9"/>
  <c r="BT23" i="9"/>
  <c r="BU23" i="9"/>
  <c r="BV23" i="9"/>
  <c r="CB23" i="9"/>
  <c r="BL24" i="9"/>
  <c r="BM24" i="9"/>
  <c r="BN24" i="9"/>
  <c r="BO24" i="9"/>
  <c r="BP24" i="9"/>
  <c r="BQ24" i="9"/>
  <c r="BR24" i="9"/>
  <c r="BS24" i="9"/>
  <c r="BT24" i="9"/>
  <c r="BU24" i="9"/>
  <c r="BV24" i="9"/>
  <c r="CB24" i="9"/>
  <c r="BL25" i="9"/>
  <c r="BM25" i="9"/>
  <c r="BN25" i="9"/>
  <c r="BO25" i="9"/>
  <c r="BP25" i="9"/>
  <c r="BQ25" i="9"/>
  <c r="BR25" i="9"/>
  <c r="BS25" i="9"/>
  <c r="BT25" i="9"/>
  <c r="BU25" i="9"/>
  <c r="BV25" i="9"/>
  <c r="CB25" i="9"/>
  <c r="BL26" i="9"/>
  <c r="BM26" i="9"/>
  <c r="BN26" i="9"/>
  <c r="BO26" i="9"/>
  <c r="BP26" i="9"/>
  <c r="BQ26" i="9"/>
  <c r="BR26" i="9"/>
  <c r="BS26" i="9"/>
  <c r="BT26" i="9"/>
  <c r="BU26" i="9"/>
  <c r="BV26" i="9"/>
  <c r="CB26" i="9"/>
  <c r="BL27" i="9"/>
  <c r="BM27" i="9"/>
  <c r="BN27" i="9"/>
  <c r="BO27" i="9"/>
  <c r="BP27" i="9"/>
  <c r="BQ27" i="9"/>
  <c r="BR27" i="9"/>
  <c r="BS27" i="9"/>
  <c r="BT27" i="9"/>
  <c r="BU27" i="9"/>
  <c r="BV27" i="9"/>
  <c r="CB27" i="9"/>
  <c r="BL28" i="9"/>
  <c r="BM28" i="9"/>
  <c r="BN28" i="9"/>
  <c r="BO28" i="9"/>
  <c r="BP28" i="9"/>
  <c r="BQ28" i="9"/>
  <c r="BR28" i="9"/>
  <c r="BS28" i="9"/>
  <c r="BT28" i="9"/>
  <c r="BU28" i="9"/>
  <c r="BV28" i="9"/>
  <c r="CB28" i="9"/>
  <c r="BL9" i="9"/>
  <c r="BM9" i="9"/>
  <c r="BN9" i="9"/>
  <c r="BO9" i="9"/>
  <c r="BP9" i="9"/>
  <c r="BQ9" i="9"/>
  <c r="BR9" i="9"/>
  <c r="BS9" i="9"/>
  <c r="BT9" i="9"/>
  <c r="BU9" i="9"/>
  <c r="BV9" i="9"/>
  <c r="CB9" i="9"/>
  <c r="BL10" i="9"/>
  <c r="BM10" i="9"/>
  <c r="BN10" i="9"/>
  <c r="BO10" i="9"/>
  <c r="BP10" i="9"/>
  <c r="BQ10" i="9"/>
  <c r="BR10" i="9"/>
  <c r="BS10" i="9"/>
  <c r="BT10" i="9"/>
  <c r="BU10" i="9"/>
  <c r="BV10" i="9"/>
  <c r="CB10" i="9"/>
  <c r="BL11" i="9"/>
  <c r="BM11" i="9"/>
  <c r="BN11" i="9"/>
  <c r="BO11" i="9"/>
  <c r="BP11" i="9"/>
  <c r="BQ11" i="9"/>
  <c r="BR11" i="9"/>
  <c r="BS11" i="9"/>
  <c r="BT11" i="9"/>
  <c r="BU11" i="9"/>
  <c r="BV11" i="9"/>
  <c r="CB11" i="9"/>
  <c r="BL12" i="9"/>
  <c r="BM12" i="9"/>
  <c r="BN12" i="9"/>
  <c r="BO12" i="9"/>
  <c r="BP12" i="9"/>
  <c r="BQ12" i="9"/>
  <c r="BR12" i="9"/>
  <c r="BS12" i="9"/>
  <c r="BT12" i="9"/>
  <c r="BU12" i="9"/>
  <c r="BV12" i="9"/>
  <c r="CB12" i="9"/>
  <c r="BL13" i="9"/>
  <c r="BM13" i="9"/>
  <c r="BN13" i="9"/>
  <c r="BO13" i="9"/>
  <c r="BP13" i="9"/>
  <c r="BQ13" i="9"/>
  <c r="BR13" i="9"/>
  <c r="BS13" i="9"/>
  <c r="BT13" i="9"/>
  <c r="BU13" i="9"/>
  <c r="BV13" i="9"/>
  <c r="CB13" i="9"/>
  <c r="BL14" i="9"/>
  <c r="BM14" i="9"/>
  <c r="BN14" i="9"/>
  <c r="BO14" i="9"/>
  <c r="BP14" i="9"/>
  <c r="BQ14" i="9"/>
  <c r="BR14" i="9"/>
  <c r="BS14" i="9"/>
  <c r="BT14" i="9"/>
  <c r="BU14" i="9"/>
  <c r="BV14" i="9"/>
  <c r="CB14" i="9"/>
  <c r="BL8" i="9"/>
  <c r="BA50" i="9"/>
  <c r="BA51" i="9"/>
  <c r="BA52" i="9"/>
  <c r="BA53" i="9"/>
  <c r="BA54" i="9"/>
  <c r="BA55" i="9"/>
  <c r="BA56" i="9"/>
  <c r="BA57" i="9"/>
  <c r="BA58" i="9"/>
  <c r="BA59" i="9"/>
  <c r="BA60" i="9"/>
  <c r="BA61" i="9"/>
  <c r="BA62" i="9"/>
  <c r="BA63" i="9"/>
  <c r="BA36" i="9"/>
  <c r="BA37" i="9"/>
  <c r="BA38" i="9"/>
  <c r="BA39" i="9"/>
  <c r="BA40" i="9"/>
  <c r="BA41" i="9"/>
  <c r="BA42" i="9"/>
  <c r="BA43" i="9"/>
  <c r="BA44" i="9"/>
  <c r="BA45" i="9"/>
  <c r="BA46" i="9"/>
  <c r="BA47" i="9"/>
  <c r="BA48" i="9"/>
  <c r="BA49" i="9"/>
  <c r="BA15" i="9"/>
  <c r="BA16" i="9"/>
  <c r="BA17" i="9"/>
  <c r="BA18" i="9"/>
  <c r="BA19" i="9"/>
  <c r="BA20" i="9"/>
  <c r="BA21" i="9"/>
  <c r="BA22" i="9"/>
  <c r="BA23" i="9"/>
  <c r="BA24" i="9"/>
  <c r="BA25" i="9"/>
  <c r="BA26" i="9"/>
  <c r="BA27" i="9"/>
  <c r="BA28" i="9"/>
  <c r="BA29" i="9"/>
  <c r="BA30" i="9"/>
  <c r="BA31" i="9"/>
  <c r="BA32" i="9"/>
  <c r="BA33" i="9"/>
  <c r="BA34" i="9"/>
  <c r="BB34" i="9" s="1"/>
  <c r="BA35" i="9"/>
  <c r="BA9" i="9"/>
  <c r="BA10" i="9"/>
  <c r="BA11" i="9"/>
  <c r="BA12" i="9"/>
  <c r="BA13" i="9"/>
  <c r="BA14" i="9"/>
  <c r="BA8" i="9"/>
  <c r="CT8" i="6"/>
  <c r="AB57" i="9"/>
  <c r="AC57" i="9"/>
  <c r="AD57" i="9"/>
  <c r="AE57" i="9"/>
  <c r="AF57" i="9"/>
  <c r="AG57" i="9"/>
  <c r="AH57" i="9"/>
  <c r="AI57" i="9"/>
  <c r="AJ57" i="9"/>
  <c r="AK57" i="9"/>
  <c r="AL57" i="9"/>
  <c r="AM57" i="9"/>
  <c r="AN57" i="9"/>
  <c r="AO57" i="9"/>
  <c r="AP57" i="9"/>
  <c r="AR57" i="9"/>
  <c r="AU57" i="9"/>
  <c r="AW57" i="9"/>
  <c r="BH57" i="9"/>
  <c r="BI57" i="9"/>
  <c r="BJ57" i="9"/>
  <c r="AB58" i="9"/>
  <c r="AC58" i="9"/>
  <c r="AD58" i="9"/>
  <c r="AP58" i="9" s="1"/>
  <c r="AE58" i="9"/>
  <c r="AF58" i="9"/>
  <c r="AG58" i="9"/>
  <c r="AH58" i="9"/>
  <c r="AI58" i="9"/>
  <c r="AJ58" i="9"/>
  <c r="AK58" i="9"/>
  <c r="AL58" i="9"/>
  <c r="AM58" i="9"/>
  <c r="AN58" i="9"/>
  <c r="AO58" i="9"/>
  <c r="AR58" i="9"/>
  <c r="AU58" i="9"/>
  <c r="AW58" i="9"/>
  <c r="BH58" i="9"/>
  <c r="BI58" i="9"/>
  <c r="BJ58" i="9"/>
  <c r="AB59" i="9"/>
  <c r="AC59" i="9"/>
  <c r="AD59" i="9"/>
  <c r="AP59" i="9" s="1"/>
  <c r="AE59" i="9"/>
  <c r="AF59" i="9"/>
  <c r="AG59" i="9"/>
  <c r="AH59" i="9"/>
  <c r="AI59" i="9"/>
  <c r="AJ59" i="9"/>
  <c r="AK59" i="9"/>
  <c r="AL59" i="9"/>
  <c r="AM59" i="9"/>
  <c r="AN59" i="9"/>
  <c r="AO59" i="9"/>
  <c r="AR59" i="9"/>
  <c r="AU59" i="9"/>
  <c r="AW59" i="9"/>
  <c r="AZ59" i="9"/>
  <c r="BH59" i="9"/>
  <c r="BI59" i="9"/>
  <c r="BJ59" i="9"/>
  <c r="AB60" i="9"/>
  <c r="AV60" i="9" s="1"/>
  <c r="AC60" i="9"/>
  <c r="AD60" i="9"/>
  <c r="AP60" i="9" s="1"/>
  <c r="AE60" i="9"/>
  <c r="AF60" i="9"/>
  <c r="AG60" i="9"/>
  <c r="AH60" i="9"/>
  <c r="AI60" i="9"/>
  <c r="AJ60" i="9"/>
  <c r="AK60" i="9"/>
  <c r="AL60" i="9"/>
  <c r="AM60" i="9"/>
  <c r="AN60" i="9"/>
  <c r="AO60" i="9"/>
  <c r="AR60" i="9"/>
  <c r="AU60" i="9"/>
  <c r="AW60" i="9"/>
  <c r="BH60" i="9"/>
  <c r="BI60" i="9"/>
  <c r="BJ60" i="9"/>
  <c r="AB61" i="9"/>
  <c r="AC61" i="9"/>
  <c r="AD61" i="9"/>
  <c r="AP61" i="9" s="1"/>
  <c r="AE61" i="9"/>
  <c r="AF61" i="9"/>
  <c r="AG61" i="9"/>
  <c r="AH61" i="9"/>
  <c r="AI61" i="9"/>
  <c r="AJ61" i="9"/>
  <c r="AK61" i="9"/>
  <c r="AL61" i="9"/>
  <c r="AM61" i="9"/>
  <c r="AN61" i="9"/>
  <c r="AO61" i="9"/>
  <c r="AR61" i="9"/>
  <c r="AU61" i="9"/>
  <c r="AW61" i="9"/>
  <c r="BH61" i="9"/>
  <c r="BI61" i="9"/>
  <c r="BJ61" i="9"/>
  <c r="AB62" i="9"/>
  <c r="AC62" i="9"/>
  <c r="AD62" i="9"/>
  <c r="AP62" i="9" s="1"/>
  <c r="AE62" i="9"/>
  <c r="AF62" i="9"/>
  <c r="AG62" i="9"/>
  <c r="AH62" i="9"/>
  <c r="AI62" i="9"/>
  <c r="AJ62" i="9"/>
  <c r="AK62" i="9"/>
  <c r="AL62" i="9"/>
  <c r="AM62" i="9"/>
  <c r="AN62" i="9"/>
  <c r="AO62" i="9"/>
  <c r="AR62" i="9"/>
  <c r="AU62" i="9"/>
  <c r="AV62" i="9" s="1"/>
  <c r="AW62" i="9"/>
  <c r="AZ62" i="9"/>
  <c r="BH62" i="9"/>
  <c r="BI62" i="9"/>
  <c r="BJ62" i="9"/>
  <c r="AB63" i="9"/>
  <c r="AC63" i="9"/>
  <c r="AD63" i="9"/>
  <c r="AP63" i="9" s="1"/>
  <c r="AE63" i="9"/>
  <c r="AF63" i="9"/>
  <c r="AG63" i="9"/>
  <c r="AH63" i="9"/>
  <c r="AI63" i="9"/>
  <c r="AJ63" i="9"/>
  <c r="AK63" i="9"/>
  <c r="AL63" i="9"/>
  <c r="AM63" i="9"/>
  <c r="AN63" i="9"/>
  <c r="AO63" i="9"/>
  <c r="AR63" i="9"/>
  <c r="AU63" i="9"/>
  <c r="AW63" i="9"/>
  <c r="BH63" i="9"/>
  <c r="BI63" i="9"/>
  <c r="BJ63" i="9"/>
  <c r="AB43" i="9"/>
  <c r="AC43" i="9"/>
  <c r="AD43" i="9"/>
  <c r="AP43" i="9" s="1"/>
  <c r="AE43" i="9"/>
  <c r="AF43" i="9"/>
  <c r="AG43" i="9"/>
  <c r="AH43" i="9"/>
  <c r="AI43" i="9"/>
  <c r="AJ43" i="9"/>
  <c r="AK43" i="9"/>
  <c r="AL43" i="9"/>
  <c r="AM43" i="9"/>
  <c r="AN43" i="9"/>
  <c r="AO43" i="9"/>
  <c r="AR43" i="9"/>
  <c r="AU43" i="9"/>
  <c r="AW43" i="9"/>
  <c r="BH43" i="9"/>
  <c r="BI43" i="9"/>
  <c r="BJ43" i="9"/>
  <c r="AB44" i="9"/>
  <c r="AC44" i="9"/>
  <c r="AD44" i="9"/>
  <c r="AP44" i="9" s="1"/>
  <c r="AE44" i="9"/>
  <c r="AF44" i="9"/>
  <c r="AG44" i="9"/>
  <c r="AH44" i="9"/>
  <c r="AI44" i="9"/>
  <c r="AJ44" i="9"/>
  <c r="AK44" i="9"/>
  <c r="AL44" i="9"/>
  <c r="AM44" i="9"/>
  <c r="AN44" i="9"/>
  <c r="AO44" i="9"/>
  <c r="AR44" i="9"/>
  <c r="AU44" i="9"/>
  <c r="AW44" i="9"/>
  <c r="BH44" i="9"/>
  <c r="BI44" i="9"/>
  <c r="BJ44" i="9"/>
  <c r="AB45" i="9"/>
  <c r="AC45" i="9"/>
  <c r="AD45" i="9"/>
  <c r="AP45" i="9" s="1"/>
  <c r="AE45" i="9"/>
  <c r="AF45" i="9"/>
  <c r="AG45" i="9"/>
  <c r="AH45" i="9"/>
  <c r="AI45" i="9"/>
  <c r="AJ45" i="9"/>
  <c r="AK45" i="9"/>
  <c r="AL45" i="9"/>
  <c r="AM45" i="9"/>
  <c r="AN45" i="9"/>
  <c r="AO45" i="9"/>
  <c r="AR45" i="9"/>
  <c r="AU45" i="9"/>
  <c r="AW45" i="9"/>
  <c r="AZ45" i="9"/>
  <c r="BH45" i="9"/>
  <c r="BI45" i="9"/>
  <c r="BJ45" i="9"/>
  <c r="AB46" i="9"/>
  <c r="AC46" i="9"/>
  <c r="AD46" i="9"/>
  <c r="AP46" i="9" s="1"/>
  <c r="AE46" i="9"/>
  <c r="AF46" i="9"/>
  <c r="AG46" i="9"/>
  <c r="AH46" i="9"/>
  <c r="AI46" i="9"/>
  <c r="AJ46" i="9"/>
  <c r="AK46" i="9"/>
  <c r="AL46" i="9"/>
  <c r="AM46" i="9"/>
  <c r="AN46" i="9"/>
  <c r="AO46" i="9"/>
  <c r="AR46" i="9"/>
  <c r="AU46" i="9"/>
  <c r="AV46" i="9"/>
  <c r="AW46" i="9"/>
  <c r="BH46" i="9"/>
  <c r="BI46" i="9"/>
  <c r="BJ46" i="9"/>
  <c r="AB47" i="9"/>
  <c r="AC47" i="9"/>
  <c r="AD47" i="9"/>
  <c r="AE47" i="9"/>
  <c r="AF47" i="9"/>
  <c r="AG47" i="9"/>
  <c r="AH47" i="9"/>
  <c r="AI47" i="9"/>
  <c r="AJ47" i="9"/>
  <c r="AK47" i="9"/>
  <c r="AL47" i="9"/>
  <c r="AM47" i="9"/>
  <c r="AN47" i="9"/>
  <c r="AO47" i="9"/>
  <c r="AP47" i="9"/>
  <c r="AR47" i="9"/>
  <c r="AU47" i="9"/>
  <c r="AV47" i="9"/>
  <c r="AW47" i="9"/>
  <c r="BH47" i="9"/>
  <c r="BI47" i="9"/>
  <c r="BJ47" i="9"/>
  <c r="AB48" i="9"/>
  <c r="AC48" i="9"/>
  <c r="AD48" i="9"/>
  <c r="AP48" i="9" s="1"/>
  <c r="AE48" i="9"/>
  <c r="AF48" i="9"/>
  <c r="AG48" i="9"/>
  <c r="AH48" i="9"/>
  <c r="AI48" i="9"/>
  <c r="AJ48" i="9"/>
  <c r="AK48" i="9"/>
  <c r="AL48" i="9"/>
  <c r="AM48" i="9"/>
  <c r="AN48" i="9"/>
  <c r="AO48" i="9"/>
  <c r="AR48" i="9"/>
  <c r="AU48" i="9"/>
  <c r="AW48" i="9"/>
  <c r="AZ48" i="9"/>
  <c r="BH48" i="9"/>
  <c r="BI48" i="9"/>
  <c r="BJ48" i="9"/>
  <c r="AB49" i="9"/>
  <c r="AC49" i="9"/>
  <c r="AD49" i="9"/>
  <c r="AP49" i="9" s="1"/>
  <c r="AE49" i="9"/>
  <c r="AF49" i="9"/>
  <c r="AG49" i="9"/>
  <c r="AH49" i="9"/>
  <c r="AI49" i="9"/>
  <c r="AJ49" i="9"/>
  <c r="AK49" i="9"/>
  <c r="AL49" i="9"/>
  <c r="AM49" i="9"/>
  <c r="AN49" i="9"/>
  <c r="AO49" i="9"/>
  <c r="AR49" i="9"/>
  <c r="AU49" i="9"/>
  <c r="AW49" i="9"/>
  <c r="BH49" i="9"/>
  <c r="BI49" i="9"/>
  <c r="BJ49" i="9"/>
  <c r="AB50" i="9"/>
  <c r="AC50" i="9"/>
  <c r="AD50" i="9"/>
  <c r="AP50" i="9" s="1"/>
  <c r="AE50" i="9"/>
  <c r="AF50" i="9"/>
  <c r="AG50" i="9"/>
  <c r="AH50" i="9"/>
  <c r="AI50" i="9"/>
  <c r="AJ50" i="9"/>
  <c r="AK50" i="9"/>
  <c r="AL50" i="9"/>
  <c r="AM50" i="9"/>
  <c r="AN50" i="9"/>
  <c r="AO50" i="9"/>
  <c r="AR50" i="9"/>
  <c r="AU50" i="9"/>
  <c r="AW50" i="9"/>
  <c r="BH50" i="9"/>
  <c r="BI50" i="9"/>
  <c r="BJ50" i="9"/>
  <c r="AB51" i="9"/>
  <c r="AV51" i="9" s="1"/>
  <c r="AC51" i="9"/>
  <c r="AD51" i="9"/>
  <c r="AP51" i="9" s="1"/>
  <c r="AE51" i="9"/>
  <c r="AF51" i="9"/>
  <c r="AG51" i="9"/>
  <c r="AH51" i="9"/>
  <c r="AI51" i="9"/>
  <c r="AJ51" i="9"/>
  <c r="AK51" i="9"/>
  <c r="AL51" i="9"/>
  <c r="AM51" i="9"/>
  <c r="AN51" i="9"/>
  <c r="AO51" i="9"/>
  <c r="AR51" i="9"/>
  <c r="AU51" i="9"/>
  <c r="AW51" i="9"/>
  <c r="BH51" i="9"/>
  <c r="BI51" i="9"/>
  <c r="BJ51" i="9"/>
  <c r="AB52" i="9"/>
  <c r="AC52" i="9"/>
  <c r="AD52" i="9"/>
  <c r="AP52" i="9" s="1"/>
  <c r="AE52" i="9"/>
  <c r="AF52" i="9"/>
  <c r="AG52" i="9"/>
  <c r="AH52" i="9"/>
  <c r="AI52" i="9"/>
  <c r="AJ52" i="9"/>
  <c r="AK52" i="9"/>
  <c r="AL52" i="9"/>
  <c r="AM52" i="9"/>
  <c r="AN52" i="9"/>
  <c r="AO52" i="9"/>
  <c r="AR52" i="9"/>
  <c r="AU52" i="9"/>
  <c r="AW52" i="9"/>
  <c r="AZ52" i="9"/>
  <c r="BB52" i="9" s="1"/>
  <c r="BH52" i="9"/>
  <c r="BI52" i="9"/>
  <c r="BJ52" i="9"/>
  <c r="AB53" i="9"/>
  <c r="AC53" i="9"/>
  <c r="AD53" i="9"/>
  <c r="AP53" i="9" s="1"/>
  <c r="AE53" i="9"/>
  <c r="AF53" i="9"/>
  <c r="AG53" i="9"/>
  <c r="AH53" i="9"/>
  <c r="AI53" i="9"/>
  <c r="AJ53" i="9"/>
  <c r="AK53" i="9"/>
  <c r="AL53" i="9"/>
  <c r="AM53" i="9"/>
  <c r="AN53" i="9"/>
  <c r="AO53" i="9"/>
  <c r="AR53" i="9"/>
  <c r="AU53" i="9"/>
  <c r="AV53" i="9"/>
  <c r="AW53" i="9"/>
  <c r="BH53" i="9"/>
  <c r="BI53" i="9"/>
  <c r="BJ53" i="9"/>
  <c r="AB54" i="9"/>
  <c r="AC54" i="9"/>
  <c r="AD54" i="9"/>
  <c r="AP54" i="9" s="1"/>
  <c r="AE54" i="9"/>
  <c r="AF54" i="9"/>
  <c r="AG54" i="9"/>
  <c r="AH54" i="9"/>
  <c r="AI54" i="9"/>
  <c r="AJ54" i="9"/>
  <c r="AK54" i="9"/>
  <c r="AL54" i="9"/>
  <c r="AM54" i="9"/>
  <c r="AN54" i="9"/>
  <c r="AO54" i="9"/>
  <c r="AR54" i="9"/>
  <c r="AU54" i="9"/>
  <c r="AW54" i="9"/>
  <c r="BH54" i="9"/>
  <c r="BI54" i="9"/>
  <c r="BJ54" i="9"/>
  <c r="AB55" i="9"/>
  <c r="AC55" i="9"/>
  <c r="AD55" i="9"/>
  <c r="AP55" i="9" s="1"/>
  <c r="AE55" i="9"/>
  <c r="AF55" i="9"/>
  <c r="AG55" i="9"/>
  <c r="AH55" i="9"/>
  <c r="AI55" i="9"/>
  <c r="AJ55" i="9"/>
  <c r="AK55" i="9"/>
  <c r="AL55" i="9"/>
  <c r="AM55" i="9"/>
  <c r="AN55" i="9"/>
  <c r="AO55" i="9"/>
  <c r="AR55" i="9"/>
  <c r="AU55" i="9"/>
  <c r="AW55" i="9"/>
  <c r="AZ55" i="9"/>
  <c r="BH55" i="9"/>
  <c r="BI55" i="9"/>
  <c r="BJ55" i="9"/>
  <c r="AB56" i="9"/>
  <c r="AC56" i="9"/>
  <c r="AD56" i="9"/>
  <c r="AE56" i="9"/>
  <c r="AF56" i="9"/>
  <c r="AG56" i="9"/>
  <c r="AH56" i="9"/>
  <c r="AI56" i="9"/>
  <c r="AJ56" i="9"/>
  <c r="AK56" i="9"/>
  <c r="AL56" i="9"/>
  <c r="AM56" i="9"/>
  <c r="AN56" i="9"/>
  <c r="AO56" i="9"/>
  <c r="AP56" i="9"/>
  <c r="AR56" i="9"/>
  <c r="AU56" i="9"/>
  <c r="AW56" i="9"/>
  <c r="BH56" i="9"/>
  <c r="BI56" i="9"/>
  <c r="BJ56" i="9"/>
  <c r="AB22" i="9"/>
  <c r="AC22" i="9"/>
  <c r="AD22" i="9"/>
  <c r="AP22" i="9" s="1"/>
  <c r="AE22" i="9"/>
  <c r="AF22" i="9"/>
  <c r="AG22" i="9"/>
  <c r="AH22" i="9"/>
  <c r="AI22" i="9"/>
  <c r="AJ22" i="9"/>
  <c r="AK22" i="9"/>
  <c r="AL22" i="9"/>
  <c r="AM22" i="9"/>
  <c r="AN22" i="9"/>
  <c r="AO22" i="9"/>
  <c r="AR22" i="9"/>
  <c r="AU22" i="9"/>
  <c r="AV22" i="9" s="1"/>
  <c r="AW22" i="9"/>
  <c r="BH22" i="9"/>
  <c r="BI22" i="9"/>
  <c r="BJ22" i="9"/>
  <c r="AB23" i="9"/>
  <c r="AC23" i="9"/>
  <c r="AD23" i="9"/>
  <c r="AP23" i="9" s="1"/>
  <c r="AE23" i="9"/>
  <c r="AF23" i="9"/>
  <c r="AG23" i="9"/>
  <c r="AH23" i="9"/>
  <c r="AI23" i="9"/>
  <c r="AJ23" i="9"/>
  <c r="AK23" i="9"/>
  <c r="AL23" i="9"/>
  <c r="AM23" i="9"/>
  <c r="AN23" i="9"/>
  <c r="AO23" i="9"/>
  <c r="AR23" i="9"/>
  <c r="AU23" i="9"/>
  <c r="AW23" i="9"/>
  <c r="BH23" i="9"/>
  <c r="BI23" i="9"/>
  <c r="BJ23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R24" i="9"/>
  <c r="AU24" i="9"/>
  <c r="AW24" i="9"/>
  <c r="AZ24" i="9"/>
  <c r="BB24" i="9" s="1"/>
  <c r="BH24" i="9"/>
  <c r="BI24" i="9"/>
  <c r="BJ24" i="9"/>
  <c r="AB25" i="9"/>
  <c r="AC25" i="9"/>
  <c r="AD25" i="9"/>
  <c r="AP25" i="9" s="1"/>
  <c r="AE25" i="9"/>
  <c r="AF25" i="9"/>
  <c r="AG25" i="9"/>
  <c r="AH25" i="9"/>
  <c r="AI25" i="9"/>
  <c r="AJ25" i="9"/>
  <c r="AK25" i="9"/>
  <c r="AL25" i="9"/>
  <c r="AM25" i="9"/>
  <c r="AN25" i="9"/>
  <c r="AO25" i="9"/>
  <c r="AR25" i="9"/>
  <c r="AU25" i="9"/>
  <c r="AW25" i="9"/>
  <c r="BH25" i="9"/>
  <c r="BI25" i="9"/>
  <c r="BJ25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R26" i="9"/>
  <c r="AU26" i="9"/>
  <c r="AV26" i="9"/>
  <c r="AW26" i="9"/>
  <c r="BH26" i="9"/>
  <c r="BI26" i="9"/>
  <c r="BJ26" i="9"/>
  <c r="AB27" i="9"/>
  <c r="AC27" i="9"/>
  <c r="AD27" i="9"/>
  <c r="AE27" i="9"/>
  <c r="AF27" i="9"/>
  <c r="AG27" i="9"/>
  <c r="AH27" i="9"/>
  <c r="AI27" i="9"/>
  <c r="AJ27" i="9"/>
  <c r="AK27" i="9"/>
  <c r="AQ27" i="9" s="1"/>
  <c r="AS27" i="9" s="1"/>
  <c r="AY27" i="9" s="1"/>
  <c r="AL27" i="9"/>
  <c r="AM27" i="9"/>
  <c r="AN27" i="9"/>
  <c r="AO27" i="9"/>
  <c r="AP27" i="9"/>
  <c r="AR27" i="9"/>
  <c r="AU27" i="9"/>
  <c r="AW27" i="9"/>
  <c r="AZ27" i="9"/>
  <c r="BB27" i="9" s="1"/>
  <c r="BH27" i="9"/>
  <c r="BI27" i="9"/>
  <c r="BJ27" i="9"/>
  <c r="AB28" i="9"/>
  <c r="AC28" i="9"/>
  <c r="AD28" i="9"/>
  <c r="AP28" i="9" s="1"/>
  <c r="AE28" i="9"/>
  <c r="AF28" i="9"/>
  <c r="AG28" i="9"/>
  <c r="AH28" i="9"/>
  <c r="AI28" i="9"/>
  <c r="AJ28" i="9"/>
  <c r="AK28" i="9"/>
  <c r="AL28" i="9"/>
  <c r="AM28" i="9"/>
  <c r="AN28" i="9"/>
  <c r="AO28" i="9"/>
  <c r="AR28" i="9"/>
  <c r="AU28" i="9"/>
  <c r="AW28" i="9"/>
  <c r="BH28" i="9"/>
  <c r="BI28" i="9"/>
  <c r="BJ28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R29" i="9"/>
  <c r="AU29" i="9"/>
  <c r="AV29" i="9"/>
  <c r="AW29" i="9"/>
  <c r="BH29" i="9"/>
  <c r="BI29" i="9"/>
  <c r="BJ29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R30" i="9"/>
  <c r="AU30" i="9"/>
  <c r="AW30" i="9"/>
  <c r="BH30" i="9"/>
  <c r="BI30" i="9"/>
  <c r="BJ30" i="9"/>
  <c r="AB31" i="9"/>
  <c r="AC31" i="9"/>
  <c r="AD31" i="9"/>
  <c r="AP31" i="9" s="1"/>
  <c r="AE31" i="9"/>
  <c r="AF31" i="9"/>
  <c r="AG31" i="9"/>
  <c r="AH31" i="9"/>
  <c r="AI31" i="9"/>
  <c r="AJ31" i="9"/>
  <c r="AK31" i="9"/>
  <c r="AL31" i="9"/>
  <c r="AM31" i="9"/>
  <c r="AN31" i="9"/>
  <c r="AO31" i="9"/>
  <c r="AR31" i="9"/>
  <c r="AU31" i="9"/>
  <c r="AW31" i="9"/>
  <c r="AZ31" i="9"/>
  <c r="BB31" i="9" s="1"/>
  <c r="BH31" i="9"/>
  <c r="BI31" i="9"/>
  <c r="BJ31" i="9"/>
  <c r="AB32" i="9"/>
  <c r="AC32" i="9"/>
  <c r="AD32" i="9"/>
  <c r="AP32" i="9" s="1"/>
  <c r="AE32" i="9"/>
  <c r="AF32" i="9"/>
  <c r="AG32" i="9"/>
  <c r="AH32" i="9"/>
  <c r="AI32" i="9"/>
  <c r="AJ32" i="9"/>
  <c r="AK32" i="9"/>
  <c r="AL32" i="9"/>
  <c r="AM32" i="9"/>
  <c r="AN32" i="9"/>
  <c r="AO32" i="9"/>
  <c r="AR32" i="9"/>
  <c r="AU32" i="9"/>
  <c r="AW32" i="9"/>
  <c r="BH32" i="9"/>
  <c r="BI32" i="9"/>
  <c r="BJ32" i="9"/>
  <c r="AB33" i="9"/>
  <c r="AV33" i="9" s="1"/>
  <c r="AC33" i="9"/>
  <c r="AD33" i="9"/>
  <c r="AP33" i="9" s="1"/>
  <c r="AE33" i="9"/>
  <c r="AF33" i="9"/>
  <c r="AG33" i="9"/>
  <c r="AH33" i="9"/>
  <c r="AI33" i="9"/>
  <c r="AJ33" i="9"/>
  <c r="AK33" i="9"/>
  <c r="AL33" i="9"/>
  <c r="AQ33" i="9" s="1"/>
  <c r="AS33" i="9" s="1"/>
  <c r="AY33" i="9" s="1"/>
  <c r="AM33" i="9"/>
  <c r="AN33" i="9"/>
  <c r="AO33" i="9"/>
  <c r="AR33" i="9"/>
  <c r="AU33" i="9"/>
  <c r="AW33" i="9"/>
  <c r="BH33" i="9"/>
  <c r="BI33" i="9"/>
  <c r="BJ33" i="9"/>
  <c r="AB34" i="9"/>
  <c r="AV34" i="9" s="1"/>
  <c r="AC34" i="9"/>
  <c r="AD34" i="9"/>
  <c r="AP34" i="9" s="1"/>
  <c r="AE34" i="9"/>
  <c r="AF34" i="9"/>
  <c r="AG34" i="9"/>
  <c r="AH34" i="9"/>
  <c r="AI34" i="9"/>
  <c r="AJ34" i="9"/>
  <c r="AK34" i="9"/>
  <c r="AL34" i="9"/>
  <c r="AM34" i="9"/>
  <c r="AN34" i="9"/>
  <c r="AO34" i="9"/>
  <c r="AR34" i="9"/>
  <c r="AU34" i="9"/>
  <c r="AW34" i="9"/>
  <c r="AZ34" i="9"/>
  <c r="BH34" i="9"/>
  <c r="BI34" i="9"/>
  <c r="BJ34" i="9"/>
  <c r="AB35" i="9"/>
  <c r="AC35" i="9"/>
  <c r="AD35" i="9"/>
  <c r="AP35" i="9" s="1"/>
  <c r="AE35" i="9"/>
  <c r="AF35" i="9"/>
  <c r="AG35" i="9"/>
  <c r="AH35" i="9"/>
  <c r="AI35" i="9"/>
  <c r="AJ35" i="9"/>
  <c r="AK35" i="9"/>
  <c r="AL35" i="9"/>
  <c r="AM35" i="9"/>
  <c r="AN35" i="9"/>
  <c r="AO35" i="9"/>
  <c r="AR35" i="9"/>
  <c r="AU35" i="9"/>
  <c r="AW35" i="9"/>
  <c r="BH35" i="9"/>
  <c r="BI35" i="9"/>
  <c r="BJ35" i="9"/>
  <c r="AB36" i="9"/>
  <c r="AC36" i="9"/>
  <c r="AD36" i="9"/>
  <c r="AE36" i="9"/>
  <c r="AF36" i="9"/>
  <c r="AG36" i="9"/>
  <c r="AH36" i="9"/>
  <c r="AI36" i="9"/>
  <c r="AJ36" i="9"/>
  <c r="AK36" i="9"/>
  <c r="AL36" i="9"/>
  <c r="AM36" i="9"/>
  <c r="AN36" i="9"/>
  <c r="AO36" i="9"/>
  <c r="AP36" i="9"/>
  <c r="AR36" i="9"/>
  <c r="AU36" i="9"/>
  <c r="AW36" i="9"/>
  <c r="BH36" i="9"/>
  <c r="BI36" i="9"/>
  <c r="BJ36" i="9"/>
  <c r="AB37" i="9"/>
  <c r="AC37" i="9"/>
  <c r="AD37" i="9"/>
  <c r="AE37" i="9"/>
  <c r="AF37" i="9"/>
  <c r="AG37" i="9"/>
  <c r="AH37" i="9"/>
  <c r="AI37" i="9"/>
  <c r="AJ37" i="9"/>
  <c r="AK37" i="9"/>
  <c r="AL37" i="9"/>
  <c r="AM37" i="9"/>
  <c r="AN37" i="9"/>
  <c r="AO37" i="9"/>
  <c r="AP37" i="9"/>
  <c r="AR37" i="9"/>
  <c r="AU37" i="9"/>
  <c r="AW37" i="9"/>
  <c r="BH37" i="9"/>
  <c r="BI37" i="9"/>
  <c r="BJ37" i="9"/>
  <c r="AB38" i="9"/>
  <c r="AC38" i="9"/>
  <c r="AD38" i="9"/>
  <c r="AP38" i="9" s="1"/>
  <c r="AE38" i="9"/>
  <c r="AF38" i="9"/>
  <c r="AG38" i="9"/>
  <c r="AH38" i="9"/>
  <c r="AI38" i="9"/>
  <c r="AJ38" i="9"/>
  <c r="AK38" i="9"/>
  <c r="AL38" i="9"/>
  <c r="AM38" i="9"/>
  <c r="AN38" i="9"/>
  <c r="AO38" i="9"/>
  <c r="AR38" i="9"/>
  <c r="AU38" i="9"/>
  <c r="AW38" i="9"/>
  <c r="AZ38" i="9"/>
  <c r="BB38" i="9" s="1"/>
  <c r="BD38" i="9" s="1"/>
  <c r="BX38" i="9" s="1"/>
  <c r="BH38" i="9"/>
  <c r="BI38" i="9"/>
  <c r="BJ38" i="9"/>
  <c r="AB39" i="9"/>
  <c r="AC39" i="9"/>
  <c r="AD39" i="9"/>
  <c r="AP39" i="9" s="1"/>
  <c r="AE39" i="9"/>
  <c r="AF39" i="9"/>
  <c r="AG39" i="9"/>
  <c r="AH39" i="9"/>
  <c r="AI39" i="9"/>
  <c r="AJ39" i="9"/>
  <c r="AK39" i="9"/>
  <c r="AL39" i="9"/>
  <c r="AM39" i="9"/>
  <c r="AN39" i="9"/>
  <c r="AO39" i="9"/>
  <c r="AR39" i="9"/>
  <c r="AU39" i="9"/>
  <c r="AW39" i="9"/>
  <c r="BH39" i="9"/>
  <c r="BI39" i="9"/>
  <c r="BJ39" i="9"/>
  <c r="AB40" i="9"/>
  <c r="AC40" i="9"/>
  <c r="AD40" i="9"/>
  <c r="AE40" i="9"/>
  <c r="AF40" i="9"/>
  <c r="AG40" i="9"/>
  <c r="AH40" i="9"/>
  <c r="AI40" i="9"/>
  <c r="AJ40" i="9"/>
  <c r="AK40" i="9"/>
  <c r="AL40" i="9"/>
  <c r="AM40" i="9"/>
  <c r="AN40" i="9"/>
  <c r="AO40" i="9"/>
  <c r="AP40" i="9"/>
  <c r="AR40" i="9"/>
  <c r="AU40" i="9"/>
  <c r="AW40" i="9"/>
  <c r="BH40" i="9"/>
  <c r="BI40" i="9"/>
  <c r="BJ40" i="9"/>
  <c r="AB41" i="9"/>
  <c r="AV41" i="9" s="1"/>
  <c r="AC41" i="9"/>
  <c r="AD41" i="9"/>
  <c r="AP41" i="9" s="1"/>
  <c r="AE41" i="9"/>
  <c r="AF41" i="9"/>
  <c r="AG41" i="9"/>
  <c r="AH41" i="9"/>
  <c r="AI41" i="9"/>
  <c r="AJ41" i="9"/>
  <c r="AK41" i="9"/>
  <c r="AL41" i="9"/>
  <c r="AM41" i="9"/>
  <c r="AN41" i="9"/>
  <c r="AO41" i="9"/>
  <c r="AR41" i="9"/>
  <c r="AU41" i="9"/>
  <c r="AW41" i="9"/>
  <c r="AZ41" i="9"/>
  <c r="BH41" i="9"/>
  <c r="BI41" i="9"/>
  <c r="BJ41" i="9"/>
  <c r="AB42" i="9"/>
  <c r="AC42" i="9"/>
  <c r="AD42" i="9"/>
  <c r="AP42" i="9" s="1"/>
  <c r="AE42" i="9"/>
  <c r="AF42" i="9"/>
  <c r="AG42" i="9"/>
  <c r="AH42" i="9"/>
  <c r="AI42" i="9"/>
  <c r="AJ42" i="9"/>
  <c r="AK42" i="9"/>
  <c r="AL42" i="9"/>
  <c r="AM42" i="9"/>
  <c r="AN42" i="9"/>
  <c r="AO42" i="9"/>
  <c r="AR42" i="9"/>
  <c r="AU42" i="9"/>
  <c r="AV42" i="9" s="1"/>
  <c r="AW42" i="9"/>
  <c r="BH42" i="9"/>
  <c r="BI42" i="9"/>
  <c r="BJ42" i="9"/>
  <c r="AB15" i="9"/>
  <c r="AC15" i="9"/>
  <c r="AD15" i="9"/>
  <c r="AP15" i="9" s="1"/>
  <c r="AE15" i="9"/>
  <c r="AF15" i="9"/>
  <c r="AG15" i="9"/>
  <c r="AH15" i="9"/>
  <c r="AI15" i="9"/>
  <c r="AJ15" i="9"/>
  <c r="AK15" i="9"/>
  <c r="AL15" i="9"/>
  <c r="AM15" i="9"/>
  <c r="AN15" i="9"/>
  <c r="AO15" i="9"/>
  <c r="AR15" i="9"/>
  <c r="AU15" i="9"/>
  <c r="AV15" i="9" s="1"/>
  <c r="AW15" i="9"/>
  <c r="BH15" i="9"/>
  <c r="BI15" i="9"/>
  <c r="BJ15" i="9"/>
  <c r="AB16" i="9"/>
  <c r="AC16" i="9"/>
  <c r="AD16" i="9"/>
  <c r="AP16" i="9" s="1"/>
  <c r="AE16" i="9"/>
  <c r="AF16" i="9"/>
  <c r="AG16" i="9"/>
  <c r="AH16" i="9"/>
  <c r="AI16" i="9"/>
  <c r="AJ16" i="9"/>
  <c r="AK16" i="9"/>
  <c r="AL16" i="9"/>
  <c r="AM16" i="9"/>
  <c r="AN16" i="9"/>
  <c r="AO16" i="9"/>
  <c r="AR16" i="9"/>
  <c r="AU16" i="9"/>
  <c r="AW16" i="9"/>
  <c r="BH16" i="9"/>
  <c r="BI16" i="9"/>
  <c r="BJ16" i="9"/>
  <c r="AB17" i="9"/>
  <c r="AC17" i="9"/>
  <c r="AD17" i="9"/>
  <c r="AP17" i="9" s="1"/>
  <c r="AE17" i="9"/>
  <c r="AF17" i="9"/>
  <c r="AG17" i="9"/>
  <c r="AH17" i="9"/>
  <c r="AI17" i="9"/>
  <c r="AJ17" i="9"/>
  <c r="AK17" i="9"/>
  <c r="AL17" i="9"/>
  <c r="AM17" i="9"/>
  <c r="AN17" i="9"/>
  <c r="AO17" i="9"/>
  <c r="AR17" i="9"/>
  <c r="AU17" i="9"/>
  <c r="AW17" i="9"/>
  <c r="AZ17" i="9"/>
  <c r="BB17" i="9" s="1"/>
  <c r="BH17" i="9"/>
  <c r="BI17" i="9"/>
  <c r="BJ17" i="9"/>
  <c r="AB18" i="9"/>
  <c r="AC18" i="9"/>
  <c r="AD18" i="9"/>
  <c r="AP18" i="9" s="1"/>
  <c r="AE18" i="9"/>
  <c r="AF18" i="9"/>
  <c r="AG18" i="9"/>
  <c r="AH18" i="9"/>
  <c r="AI18" i="9"/>
  <c r="AJ18" i="9"/>
  <c r="AK18" i="9"/>
  <c r="AL18" i="9"/>
  <c r="AM18" i="9"/>
  <c r="AN18" i="9"/>
  <c r="AO18" i="9"/>
  <c r="AR18" i="9"/>
  <c r="AU18" i="9"/>
  <c r="AW18" i="9"/>
  <c r="BH18" i="9"/>
  <c r="BI18" i="9"/>
  <c r="BJ18" i="9"/>
  <c r="AB19" i="9"/>
  <c r="AV19" i="9" s="1"/>
  <c r="AC19" i="9"/>
  <c r="AD19" i="9"/>
  <c r="AP19" i="9" s="1"/>
  <c r="AE19" i="9"/>
  <c r="AF19" i="9"/>
  <c r="AG19" i="9"/>
  <c r="AH19" i="9"/>
  <c r="AI19" i="9"/>
  <c r="AJ19" i="9"/>
  <c r="AK19" i="9"/>
  <c r="AL19" i="9"/>
  <c r="AM19" i="9"/>
  <c r="AN19" i="9"/>
  <c r="AO19" i="9"/>
  <c r="AR19" i="9"/>
  <c r="AU19" i="9"/>
  <c r="AW19" i="9"/>
  <c r="BH19" i="9"/>
  <c r="BI19" i="9"/>
  <c r="BJ19" i="9"/>
  <c r="AB20" i="9"/>
  <c r="AV20" i="9" s="1"/>
  <c r="AC20" i="9"/>
  <c r="AD20" i="9"/>
  <c r="AP20" i="9" s="1"/>
  <c r="AE20" i="9"/>
  <c r="AF20" i="9"/>
  <c r="AG20" i="9"/>
  <c r="AH20" i="9"/>
  <c r="AI20" i="9"/>
  <c r="AJ20" i="9"/>
  <c r="AK20" i="9"/>
  <c r="AL20" i="9"/>
  <c r="AM20" i="9"/>
  <c r="AN20" i="9"/>
  <c r="AO20" i="9"/>
  <c r="AR20" i="9"/>
  <c r="AU20" i="9"/>
  <c r="AW20" i="9"/>
  <c r="AZ20" i="9"/>
  <c r="BH20" i="9"/>
  <c r="BI20" i="9"/>
  <c r="BJ20" i="9"/>
  <c r="AB21" i="9"/>
  <c r="AV21" i="9" s="1"/>
  <c r="AC21" i="9"/>
  <c r="AD21" i="9"/>
  <c r="AP21" i="9" s="1"/>
  <c r="AE21" i="9"/>
  <c r="AF21" i="9"/>
  <c r="AG21" i="9"/>
  <c r="AH21" i="9"/>
  <c r="AI21" i="9"/>
  <c r="AJ21" i="9"/>
  <c r="AK21" i="9"/>
  <c r="AL21" i="9"/>
  <c r="AM21" i="9"/>
  <c r="AN21" i="9"/>
  <c r="AO21" i="9"/>
  <c r="AR21" i="9"/>
  <c r="AU21" i="9"/>
  <c r="AW21" i="9"/>
  <c r="BH21" i="9"/>
  <c r="BI21" i="9"/>
  <c r="BJ21" i="9"/>
  <c r="AR9" i="9"/>
  <c r="AR10" i="9"/>
  <c r="AR11" i="9"/>
  <c r="AR12" i="9"/>
  <c r="AR13" i="9"/>
  <c r="AR14" i="9"/>
  <c r="AR8" i="9"/>
  <c r="AB9" i="9"/>
  <c r="AC9" i="9"/>
  <c r="AD9" i="9"/>
  <c r="AP9" i="9" s="1"/>
  <c r="AE9" i="9"/>
  <c r="AF9" i="9"/>
  <c r="AG9" i="9"/>
  <c r="AH9" i="9"/>
  <c r="AI9" i="9"/>
  <c r="AJ9" i="9"/>
  <c r="AK9" i="9"/>
  <c r="AL9" i="9"/>
  <c r="AM9" i="9"/>
  <c r="AN9" i="9"/>
  <c r="AO9" i="9"/>
  <c r="AU9" i="9"/>
  <c r="AW9" i="9"/>
  <c r="BH9" i="9"/>
  <c r="BI9" i="9"/>
  <c r="BJ9" i="9"/>
  <c r="AB10" i="9"/>
  <c r="AC10" i="9"/>
  <c r="AD10" i="9"/>
  <c r="AP10" i="9" s="1"/>
  <c r="AE10" i="9"/>
  <c r="AF10" i="9"/>
  <c r="AG10" i="9"/>
  <c r="AH10" i="9"/>
  <c r="AI10" i="9"/>
  <c r="AJ10" i="9"/>
  <c r="AK10" i="9"/>
  <c r="AL10" i="9"/>
  <c r="AM10" i="9"/>
  <c r="AN10" i="9"/>
  <c r="AO10" i="9"/>
  <c r="AU10" i="9"/>
  <c r="AW10" i="9"/>
  <c r="AZ10" i="9"/>
  <c r="BH10" i="9"/>
  <c r="BI10" i="9"/>
  <c r="BJ10" i="9"/>
  <c r="AB11" i="9"/>
  <c r="AC11" i="9"/>
  <c r="AD11" i="9"/>
  <c r="AP11" i="9" s="1"/>
  <c r="AE11" i="9"/>
  <c r="AF11" i="9"/>
  <c r="AG11" i="9"/>
  <c r="AH11" i="9"/>
  <c r="AI11" i="9"/>
  <c r="AJ11" i="9"/>
  <c r="AK11" i="9"/>
  <c r="AL11" i="9"/>
  <c r="AM11" i="9"/>
  <c r="AN11" i="9"/>
  <c r="AO11" i="9"/>
  <c r="AU11" i="9"/>
  <c r="AW11" i="9"/>
  <c r="BH11" i="9"/>
  <c r="BI11" i="9"/>
  <c r="BJ11" i="9"/>
  <c r="AB12" i="9"/>
  <c r="AC12" i="9"/>
  <c r="AD12" i="9"/>
  <c r="AP12" i="9" s="1"/>
  <c r="AE12" i="9"/>
  <c r="AF12" i="9"/>
  <c r="AG12" i="9"/>
  <c r="AH12" i="9"/>
  <c r="AI12" i="9"/>
  <c r="AJ12" i="9"/>
  <c r="AK12" i="9"/>
  <c r="AL12" i="9"/>
  <c r="AM12" i="9"/>
  <c r="AN12" i="9"/>
  <c r="AO12" i="9"/>
  <c r="AU12" i="9"/>
  <c r="AW12" i="9"/>
  <c r="BH12" i="9"/>
  <c r="BI12" i="9"/>
  <c r="BJ12" i="9"/>
  <c r="AB13" i="9"/>
  <c r="AC13" i="9"/>
  <c r="AD13" i="9"/>
  <c r="AP13" i="9" s="1"/>
  <c r="AE13" i="9"/>
  <c r="AF13" i="9"/>
  <c r="AG13" i="9"/>
  <c r="AH13" i="9"/>
  <c r="AI13" i="9"/>
  <c r="AJ13" i="9"/>
  <c r="AK13" i="9"/>
  <c r="AL13" i="9"/>
  <c r="AM13" i="9"/>
  <c r="AN13" i="9"/>
  <c r="AO13" i="9"/>
  <c r="AU13" i="9"/>
  <c r="AW13" i="9"/>
  <c r="AZ13" i="9"/>
  <c r="BH13" i="9"/>
  <c r="BI13" i="9"/>
  <c r="BJ13" i="9"/>
  <c r="AB14" i="9"/>
  <c r="AV14" i="9" s="1"/>
  <c r="AC14" i="9"/>
  <c r="AD14" i="9"/>
  <c r="AP14" i="9" s="1"/>
  <c r="AE14" i="9"/>
  <c r="AF14" i="9"/>
  <c r="AG14" i="9"/>
  <c r="AH14" i="9"/>
  <c r="AI14" i="9"/>
  <c r="AJ14" i="9"/>
  <c r="AK14" i="9"/>
  <c r="AL14" i="9"/>
  <c r="AM14" i="9"/>
  <c r="AN14" i="9"/>
  <c r="AO14" i="9"/>
  <c r="AU14" i="9"/>
  <c r="AW14" i="9"/>
  <c r="BH14" i="9"/>
  <c r="BI14" i="9"/>
  <c r="BJ14" i="9"/>
  <c r="BV8" i="9"/>
  <c r="BU8" i="9"/>
  <c r="BT8" i="9"/>
  <c r="BS8" i="9"/>
  <c r="BR8" i="9"/>
  <c r="BQ8" i="9"/>
  <c r="BP8" i="9"/>
  <c r="BO8" i="9"/>
  <c r="BN8" i="9"/>
  <c r="BM8" i="9"/>
  <c r="CB8" i="9"/>
  <c r="BJ8" i="9"/>
  <c r="BI8" i="9"/>
  <c r="BH8" i="9"/>
  <c r="AW8" i="9"/>
  <c r="AU8" i="9"/>
  <c r="AO8" i="9"/>
  <c r="AN8" i="9"/>
  <c r="AM8" i="9"/>
  <c r="AL8" i="9"/>
  <c r="AE8" i="9"/>
  <c r="AD8" i="9"/>
  <c r="AP8" i="9" s="1"/>
  <c r="AC8" i="9"/>
  <c r="AB8" i="9"/>
  <c r="AK8" i="9"/>
  <c r="AJ8" i="9"/>
  <c r="AI8" i="9"/>
  <c r="AH8" i="9"/>
  <c r="AG8" i="9"/>
  <c r="AF8" i="9"/>
  <c r="AB54" i="5" l="1"/>
  <c r="AE54" i="5" s="1"/>
  <c r="Z54" i="5"/>
  <c r="AC54" i="5" s="1"/>
  <c r="AA54" i="5"/>
  <c r="AD54" i="5" s="1"/>
  <c r="Z53" i="5"/>
  <c r="AC53" i="5" s="1"/>
  <c r="AB53" i="5"/>
  <c r="AE53" i="5" s="1"/>
  <c r="AA53" i="5"/>
  <c r="AD53" i="5" s="1"/>
  <c r="Z52" i="5"/>
  <c r="AC52" i="5" s="1"/>
  <c r="AA52" i="5"/>
  <c r="AD52" i="5" s="1"/>
  <c r="AB52" i="5"/>
  <c r="AE52" i="5" s="1"/>
  <c r="AA51" i="5"/>
  <c r="AD51" i="5" s="1"/>
  <c r="AB51" i="5"/>
  <c r="AE51" i="5" s="1"/>
  <c r="Z51" i="5"/>
  <c r="AC51" i="5" s="1"/>
  <c r="AA44" i="5"/>
  <c r="AD44" i="5" s="1"/>
  <c r="Z44" i="5"/>
  <c r="AC44" i="5" s="1"/>
  <c r="AB44" i="5"/>
  <c r="AE44" i="5" s="1"/>
  <c r="AA43" i="5"/>
  <c r="AD43" i="5" s="1"/>
  <c r="Z43" i="5"/>
  <c r="AC43" i="5" s="1"/>
  <c r="AB43" i="5"/>
  <c r="AE43" i="5" s="1"/>
  <c r="Z42" i="5"/>
  <c r="AC42" i="5" s="1"/>
  <c r="AB42" i="5"/>
  <c r="AE42" i="5" s="1"/>
  <c r="AA42" i="5"/>
  <c r="AD42" i="5" s="1"/>
  <c r="AB41" i="5"/>
  <c r="AE41" i="5" s="1"/>
  <c r="AA41" i="5"/>
  <c r="AD41" i="5" s="1"/>
  <c r="Z41" i="5"/>
  <c r="AC41" i="5" s="1"/>
  <c r="Z34" i="5"/>
  <c r="AC34" i="5" s="1"/>
  <c r="AA34" i="5"/>
  <c r="AD34" i="5" s="1"/>
  <c r="AB34" i="5"/>
  <c r="AE34" i="5" s="1"/>
  <c r="AB33" i="5"/>
  <c r="AE33" i="5" s="1"/>
  <c r="AA33" i="5"/>
  <c r="AD33" i="5" s="1"/>
  <c r="Z33" i="5"/>
  <c r="AC33" i="5" s="1"/>
  <c r="Z32" i="5"/>
  <c r="AC32" i="5" s="1"/>
  <c r="AA32" i="5"/>
  <c r="AD32" i="5" s="1"/>
  <c r="AB32" i="5"/>
  <c r="AE32" i="5" s="1"/>
  <c r="Z31" i="5"/>
  <c r="AC31" i="5" s="1"/>
  <c r="AA31" i="5"/>
  <c r="AD31" i="5" s="1"/>
  <c r="AB31" i="5"/>
  <c r="AE31" i="5" s="1"/>
  <c r="Z24" i="5"/>
  <c r="AC24" i="5" s="1"/>
  <c r="AA24" i="5"/>
  <c r="AD24" i="5" s="1"/>
  <c r="AB24" i="5"/>
  <c r="AE24" i="5" s="1"/>
  <c r="Z23" i="5"/>
  <c r="AC23" i="5" s="1"/>
  <c r="AA23" i="5"/>
  <c r="AD23" i="5" s="1"/>
  <c r="AB23" i="5"/>
  <c r="AE23" i="5" s="1"/>
  <c r="Z22" i="5"/>
  <c r="AC22" i="5" s="1"/>
  <c r="AA22" i="5"/>
  <c r="AD22" i="5" s="1"/>
  <c r="AB22" i="5"/>
  <c r="AE22" i="5" s="1"/>
  <c r="AA21" i="5"/>
  <c r="AD21" i="5" s="1"/>
  <c r="Z21" i="5"/>
  <c r="AC21" i="5" s="1"/>
  <c r="AB21" i="5"/>
  <c r="AE21" i="5" s="1"/>
  <c r="BT21" i="5"/>
  <c r="BT51" i="5"/>
  <c r="BT41" i="5"/>
  <c r="BT31" i="5"/>
  <c r="AB14" i="5"/>
  <c r="AE14" i="5" s="1"/>
  <c r="Z14" i="5"/>
  <c r="AC14" i="5" s="1"/>
  <c r="AA14" i="5"/>
  <c r="AD14" i="5" s="1"/>
  <c r="AB13" i="5"/>
  <c r="AE13" i="5" s="1"/>
  <c r="Z13" i="5"/>
  <c r="AC13" i="5" s="1"/>
  <c r="AA13" i="5"/>
  <c r="AD13" i="5" s="1"/>
  <c r="Z12" i="5"/>
  <c r="AC12" i="5" s="1"/>
  <c r="AB12" i="5"/>
  <c r="AE12" i="5" s="1"/>
  <c r="AA12" i="5"/>
  <c r="AD12" i="5" s="1"/>
  <c r="AA11" i="5"/>
  <c r="AD11" i="5" s="1"/>
  <c r="Z11" i="5"/>
  <c r="AC11" i="5" s="1"/>
  <c r="AB11" i="5"/>
  <c r="AE11" i="5" s="1"/>
  <c r="BD34" i="9"/>
  <c r="AQ61" i="9"/>
  <c r="AS61" i="9" s="1"/>
  <c r="AY61" i="9" s="1"/>
  <c r="AQ36" i="9"/>
  <c r="AV52" i="9"/>
  <c r="AV63" i="9"/>
  <c r="AV35" i="9"/>
  <c r="AV10" i="9"/>
  <c r="AQ37" i="9"/>
  <c r="AT37" i="9" s="1"/>
  <c r="AX37" i="9" s="1"/>
  <c r="AV28" i="9"/>
  <c r="AV48" i="9"/>
  <c r="AQ43" i="9"/>
  <c r="AV61" i="9"/>
  <c r="AQ57" i="9"/>
  <c r="AV39" i="9"/>
  <c r="AQ29" i="9"/>
  <c r="AT29" i="9" s="1"/>
  <c r="AX29" i="9" s="1"/>
  <c r="AV23" i="9"/>
  <c r="AQ38" i="9"/>
  <c r="AV30" i="9"/>
  <c r="AV13" i="9"/>
  <c r="AQ40" i="9"/>
  <c r="AV37" i="9"/>
  <c r="AV32" i="9"/>
  <c r="AV49" i="9"/>
  <c r="CC27" i="9"/>
  <c r="CC17" i="9"/>
  <c r="BX34" i="9"/>
  <c r="CC31" i="9"/>
  <c r="CC30" i="9"/>
  <c r="CC29" i="9"/>
  <c r="CC63" i="9"/>
  <c r="CC60" i="9"/>
  <c r="AV56" i="9"/>
  <c r="AQ10" i="9"/>
  <c r="AT10" i="9" s="1"/>
  <c r="AQ60" i="9"/>
  <c r="AQ18" i="9"/>
  <c r="AT18" i="9" s="1"/>
  <c r="AV55" i="9"/>
  <c r="AV43" i="9"/>
  <c r="AV57" i="9"/>
  <c r="BB10" i="9"/>
  <c r="BG10" i="9" s="1"/>
  <c r="BB48" i="9"/>
  <c r="BC48" i="9" s="1"/>
  <c r="BW48" i="9" s="1"/>
  <c r="CC11" i="9"/>
  <c r="CC22" i="9"/>
  <c r="CC18" i="9"/>
  <c r="CC49" i="9"/>
  <c r="BX48" i="9"/>
  <c r="CC43" i="9"/>
  <c r="CC37" i="9"/>
  <c r="CC36" i="9"/>
  <c r="CC32" i="9"/>
  <c r="AV11" i="9"/>
  <c r="AQ15" i="9"/>
  <c r="AS15" i="9" s="1"/>
  <c r="AY15" i="9" s="1"/>
  <c r="AQ46" i="9"/>
  <c r="AS46" i="9" s="1"/>
  <c r="AY46" i="9" s="1"/>
  <c r="AQ12" i="9"/>
  <c r="AS12" i="9" s="1"/>
  <c r="AY12" i="9" s="1"/>
  <c r="AT40" i="9"/>
  <c r="AT36" i="9"/>
  <c r="AQ34" i="9"/>
  <c r="AT33" i="9"/>
  <c r="AX33" i="9" s="1"/>
  <c r="AQ30" i="9"/>
  <c r="AS30" i="9" s="1"/>
  <c r="AY30" i="9" s="1"/>
  <c r="AQ26" i="9"/>
  <c r="AS26" i="9" s="1"/>
  <c r="AY26" i="9" s="1"/>
  <c r="AQ56" i="9"/>
  <c r="AT56" i="9" s="1"/>
  <c r="AX56" i="9" s="1"/>
  <c r="AQ47" i="9"/>
  <c r="AS47" i="9" s="1"/>
  <c r="AY47" i="9" s="1"/>
  <c r="AS43" i="9"/>
  <c r="AY43" i="9" s="1"/>
  <c r="AT43" i="9"/>
  <c r="AQ58" i="9"/>
  <c r="AT58" i="9" s="1"/>
  <c r="AS57" i="9"/>
  <c r="AY57" i="9" s="1"/>
  <c r="AT57" i="9"/>
  <c r="CC28" i="9"/>
  <c r="CC45" i="9"/>
  <c r="CC44" i="9"/>
  <c r="CC39" i="9"/>
  <c r="CC38" i="9"/>
  <c r="AQ9" i="9"/>
  <c r="AS9" i="9" s="1"/>
  <c r="AQ17" i="9"/>
  <c r="AQ41" i="9"/>
  <c r="AT61" i="9"/>
  <c r="AX61" i="9" s="1"/>
  <c r="AZ61" i="9" s="1"/>
  <c r="BB61" i="9" s="1"/>
  <c r="CC12" i="9"/>
  <c r="CC23" i="9"/>
  <c r="CC19" i="9"/>
  <c r="CC50" i="9"/>
  <c r="CC46" i="9"/>
  <c r="CC40" i="9"/>
  <c r="CC33" i="9"/>
  <c r="CC61" i="9"/>
  <c r="CC13" i="9"/>
  <c r="CC24" i="9"/>
  <c r="CC47" i="9"/>
  <c r="AQ19" i="9"/>
  <c r="AV16" i="9"/>
  <c r="AQ39" i="9"/>
  <c r="AT39" i="9" s="1"/>
  <c r="AX39" i="9" s="1"/>
  <c r="AV38" i="9"/>
  <c r="AQ35" i="9"/>
  <c r="AT35" i="9" s="1"/>
  <c r="AQ31" i="9"/>
  <c r="AS31" i="9" s="1"/>
  <c r="AY31" i="9" s="1"/>
  <c r="AV27" i="9"/>
  <c r="AQ51" i="9"/>
  <c r="AS51" i="9" s="1"/>
  <c r="AY51" i="9" s="1"/>
  <c r="BB45" i="9"/>
  <c r="BE45" i="9" s="1"/>
  <c r="BY45" i="9" s="1"/>
  <c r="CC8" i="9"/>
  <c r="CC9" i="9"/>
  <c r="CC25" i="9"/>
  <c r="CC20" i="9"/>
  <c r="CC51" i="9"/>
  <c r="CC41" i="9"/>
  <c r="CC34" i="9"/>
  <c r="CC58" i="9"/>
  <c r="CC57" i="9"/>
  <c r="AQ42" i="9"/>
  <c r="AS42" i="9" s="1"/>
  <c r="AY42" i="9" s="1"/>
  <c r="AQ63" i="9"/>
  <c r="AS63" i="9" s="1"/>
  <c r="AY63" i="9" s="1"/>
  <c r="AQ59" i="9"/>
  <c r="AS59" i="9" s="1"/>
  <c r="CC14" i="9"/>
  <c r="CC26" i="9"/>
  <c r="CC55" i="9"/>
  <c r="CC54" i="9"/>
  <c r="CC53" i="9"/>
  <c r="CC52" i="9"/>
  <c r="BW52" i="9"/>
  <c r="CC48" i="9"/>
  <c r="CC62" i="9"/>
  <c r="CC59" i="9"/>
  <c r="AV31" i="9"/>
  <c r="AQ22" i="9"/>
  <c r="AS22" i="9" s="1"/>
  <c r="AY22" i="9" s="1"/>
  <c r="BC52" i="9"/>
  <c r="AQ45" i="9"/>
  <c r="AS45" i="9" s="1"/>
  <c r="AY45" i="9" s="1"/>
  <c r="AV9" i="9"/>
  <c r="AQ20" i="9"/>
  <c r="AS20" i="9" s="1"/>
  <c r="AY20" i="9" s="1"/>
  <c r="AQ32" i="9"/>
  <c r="AS32" i="9" s="1"/>
  <c r="AY32" i="9" s="1"/>
  <c r="AQ24" i="9"/>
  <c r="AT24" i="9" s="1"/>
  <c r="AQ23" i="9"/>
  <c r="AT23" i="9" s="1"/>
  <c r="AQ55" i="9"/>
  <c r="AT59" i="9"/>
  <c r="BB62" i="9"/>
  <c r="BC62" i="9" s="1"/>
  <c r="BW62" i="9" s="1"/>
  <c r="CC10" i="9"/>
  <c r="CC21" i="9"/>
  <c r="CC16" i="9"/>
  <c r="CC15" i="9"/>
  <c r="CC56" i="9"/>
  <c r="CC42" i="9"/>
  <c r="BK14" i="6"/>
  <c r="BF14" i="6"/>
  <c r="BK19" i="6"/>
  <c r="BK22" i="6"/>
  <c r="BF19" i="6"/>
  <c r="BK9" i="6"/>
  <c r="BK8" i="6"/>
  <c r="BK10" i="6"/>
  <c r="BK17" i="6"/>
  <c r="BK16" i="6"/>
  <c r="BF17" i="6"/>
  <c r="BF21" i="6"/>
  <c r="BK21" i="6"/>
  <c r="BF13" i="6"/>
  <c r="BK13" i="6"/>
  <c r="BK11" i="6"/>
  <c r="BH23" i="6"/>
  <c r="BK23" i="6"/>
  <c r="BK18" i="6"/>
  <c r="BF18" i="6"/>
  <c r="BH15" i="6"/>
  <c r="BK15" i="6"/>
  <c r="BK20" i="6"/>
  <c r="BK12" i="6"/>
  <c r="BF20" i="6"/>
  <c r="BF12" i="6"/>
  <c r="BF10" i="6"/>
  <c r="BB55" i="9"/>
  <c r="BG55" i="9" s="1"/>
  <c r="BB59" i="9"/>
  <c r="BC59" i="9" s="1"/>
  <c r="BW59" i="9" s="1"/>
  <c r="BB41" i="9"/>
  <c r="BG41" i="9" s="1"/>
  <c r="BB20" i="9"/>
  <c r="BB13" i="9"/>
  <c r="BG13" i="9" s="1"/>
  <c r="AQ52" i="9"/>
  <c r="AS52" i="9" s="1"/>
  <c r="AY52" i="9" s="1"/>
  <c r="AT51" i="9"/>
  <c r="AX51" i="9" s="1"/>
  <c r="AZ51" i="9" s="1"/>
  <c r="BB51" i="9" s="1"/>
  <c r="AT46" i="9"/>
  <c r="AX46" i="9" s="1"/>
  <c r="AQ48" i="9"/>
  <c r="AQ44" i="9"/>
  <c r="AT44" i="9" s="1"/>
  <c r="AT17" i="9"/>
  <c r="AQ13" i="9"/>
  <c r="AT13" i="9" s="1"/>
  <c r="AX13" i="9" s="1"/>
  <c r="AQ14" i="9"/>
  <c r="AS14" i="9" s="1"/>
  <c r="AY14" i="9" s="1"/>
  <c r="AQ62" i="9"/>
  <c r="AS58" i="9"/>
  <c r="AY58" i="9" s="1"/>
  <c r="AS60" i="9"/>
  <c r="AY60" i="9" s="1"/>
  <c r="AY59" i="9"/>
  <c r="BE59" i="9"/>
  <c r="BY59" i="9" s="1"/>
  <c r="AT60" i="9"/>
  <c r="AX60" i="9" s="1"/>
  <c r="AV58" i="9"/>
  <c r="AX58" i="9" s="1"/>
  <c r="AV59" i="9"/>
  <c r="AS48" i="9"/>
  <c r="AY48" i="9" s="1"/>
  <c r="AT48" i="9"/>
  <c r="AX48" i="9" s="1"/>
  <c r="AQ49" i="9"/>
  <c r="AT49" i="9" s="1"/>
  <c r="AX49" i="9" s="1"/>
  <c r="BC55" i="9"/>
  <c r="BW55" i="9" s="1"/>
  <c r="AQ53" i="9"/>
  <c r="AT53" i="9" s="1"/>
  <c r="AX53" i="9" s="1"/>
  <c r="AS53" i="9"/>
  <c r="AY53" i="9" s="1"/>
  <c r="AZ53" i="9" s="1"/>
  <c r="BB53" i="9" s="1"/>
  <c r="BD45" i="9"/>
  <c r="BX45" i="9" s="1"/>
  <c r="BG45" i="9"/>
  <c r="AQ54" i="9"/>
  <c r="AS54" i="9" s="1"/>
  <c r="AY54" i="9" s="1"/>
  <c r="AQ50" i="9"/>
  <c r="AS50" i="9" s="1"/>
  <c r="AY50" i="9" s="1"/>
  <c r="AT55" i="9"/>
  <c r="AX55" i="9" s="1"/>
  <c r="AS55" i="9"/>
  <c r="AY55" i="9" s="1"/>
  <c r="AV44" i="9"/>
  <c r="BF52" i="9"/>
  <c r="BF48" i="9"/>
  <c r="BE52" i="9"/>
  <c r="BY52" i="9" s="1"/>
  <c r="BE48" i="9"/>
  <c r="BY48" i="9" s="1"/>
  <c r="AV45" i="9"/>
  <c r="BG52" i="9"/>
  <c r="BG48" i="9"/>
  <c r="AV54" i="9"/>
  <c r="BD52" i="9"/>
  <c r="BX52" i="9" s="1"/>
  <c r="BD48" i="9"/>
  <c r="AV50" i="9"/>
  <c r="BE41" i="9"/>
  <c r="BY41" i="9" s="1"/>
  <c r="BF41" i="9"/>
  <c r="BC41" i="9"/>
  <c r="BW41" i="9" s="1"/>
  <c r="BD41" i="9"/>
  <c r="BX41" i="9" s="1"/>
  <c r="AT41" i="9"/>
  <c r="AX41" i="9" s="1"/>
  <c r="AS34" i="9"/>
  <c r="AY34" i="9" s="1"/>
  <c r="AT34" i="9"/>
  <c r="AX34" i="9" s="1"/>
  <c r="AZ33" i="9"/>
  <c r="BB33" i="9" s="1"/>
  <c r="AQ28" i="9"/>
  <c r="AS41" i="9"/>
  <c r="AY41" i="9" s="1"/>
  <c r="AS38" i="9"/>
  <c r="AY38" i="9" s="1"/>
  <c r="AT38" i="9"/>
  <c r="AT32" i="9"/>
  <c r="AX32" i="9" s="1"/>
  <c r="AS23" i="9"/>
  <c r="AY23" i="9" s="1"/>
  <c r="AQ25" i="9"/>
  <c r="AS25" i="9" s="1"/>
  <c r="AY25" i="9" s="1"/>
  <c r="BC27" i="9"/>
  <c r="BW27" i="9" s="1"/>
  <c r="BD27" i="9"/>
  <c r="BX27" i="9" s="1"/>
  <c r="BE27" i="9"/>
  <c r="BY27" i="9" s="1"/>
  <c r="BF27" i="9"/>
  <c r="BG27" i="9"/>
  <c r="BC31" i="9"/>
  <c r="BW31" i="9" s="1"/>
  <c r="BD31" i="9"/>
  <c r="BX31" i="9" s="1"/>
  <c r="BE31" i="9"/>
  <c r="BY31" i="9" s="1"/>
  <c r="BF31" i="9"/>
  <c r="BG31" i="9"/>
  <c r="BC24" i="9"/>
  <c r="BW24" i="9" s="1"/>
  <c r="BD24" i="9"/>
  <c r="BX24" i="9" s="1"/>
  <c r="BE24" i="9"/>
  <c r="BY24" i="9" s="1"/>
  <c r="BF24" i="9"/>
  <c r="BG24" i="9"/>
  <c r="AT22" i="9"/>
  <c r="AX22" i="9" s="1"/>
  <c r="AS40" i="9"/>
  <c r="AY40" i="9" s="1"/>
  <c r="BC38" i="9"/>
  <c r="BW38" i="9" s="1"/>
  <c r="AS36" i="9"/>
  <c r="AY36" i="9" s="1"/>
  <c r="BC34" i="9"/>
  <c r="BW34" i="9" s="1"/>
  <c r="AT31" i="9"/>
  <c r="AX31" i="9" s="1"/>
  <c r="AT27" i="9"/>
  <c r="AX27" i="9" s="1"/>
  <c r="AV25" i="9"/>
  <c r="AS24" i="9"/>
  <c r="AY24" i="9" s="1"/>
  <c r="BG38" i="9"/>
  <c r="BG34" i="9"/>
  <c r="AV40" i="9"/>
  <c r="BF38" i="9"/>
  <c r="AV36" i="9"/>
  <c r="AX36" i="9" s="1"/>
  <c r="BF34" i="9"/>
  <c r="AV24" i="9"/>
  <c r="BE38" i="9"/>
  <c r="BY38" i="9" s="1"/>
  <c r="BE34" i="9"/>
  <c r="BY34" i="9" s="1"/>
  <c r="BC17" i="9"/>
  <c r="BW17" i="9" s="1"/>
  <c r="BD17" i="9"/>
  <c r="BX17" i="9" s="1"/>
  <c r="BE17" i="9"/>
  <c r="BY17" i="9" s="1"/>
  <c r="BF17" i="9"/>
  <c r="BG17" i="9"/>
  <c r="AQ21" i="9"/>
  <c r="AS19" i="9"/>
  <c r="AY19" i="9" s="1"/>
  <c r="AT19" i="9"/>
  <c r="AX19" i="9" s="1"/>
  <c r="AQ16" i="9"/>
  <c r="BC20" i="9"/>
  <c r="BW20" i="9" s="1"/>
  <c r="BD20" i="9"/>
  <c r="BX20" i="9" s="1"/>
  <c r="BE20" i="9"/>
  <c r="BY20" i="9" s="1"/>
  <c r="BF20" i="9"/>
  <c r="BG20" i="9"/>
  <c r="AS18" i="9"/>
  <c r="AY18" i="9" s="1"/>
  <c r="AV18" i="9"/>
  <c r="AS17" i="9"/>
  <c r="AY17" i="9" s="1"/>
  <c r="AV17" i="9"/>
  <c r="BE13" i="9"/>
  <c r="BY13" i="9" s="1"/>
  <c r="BF13" i="9"/>
  <c r="AS10" i="9"/>
  <c r="AY10" i="9" s="1"/>
  <c r="AY9" i="9"/>
  <c r="AQ11" i="9"/>
  <c r="AS11" i="9" s="1"/>
  <c r="AY11" i="9" s="1"/>
  <c r="AT11" i="9"/>
  <c r="AX11" i="9" s="1"/>
  <c r="AT9" i="9"/>
  <c r="AV12" i="9"/>
  <c r="AV8" i="9"/>
  <c r="AQ8" i="9"/>
  <c r="AS8" i="9" s="1"/>
  <c r="AY8" i="9" s="1"/>
  <c r="AU54" i="5" l="1"/>
  <c r="AV54" i="5"/>
  <c r="BN54" i="5" s="1"/>
  <c r="AW54" i="5"/>
  <c r="BO54" i="5" s="1"/>
  <c r="AX54" i="5"/>
  <c r="BP54" i="5" s="1"/>
  <c r="AY54" i="5"/>
  <c r="BQ54" i="5" s="1"/>
  <c r="AW53" i="5"/>
  <c r="BO53" i="5" s="1"/>
  <c r="AX53" i="5"/>
  <c r="BP53" i="5" s="1"/>
  <c r="AU53" i="5"/>
  <c r="AV53" i="5"/>
  <c r="BN53" i="5" s="1"/>
  <c r="AY53" i="5"/>
  <c r="BQ53" i="5" s="1"/>
  <c r="AU52" i="5"/>
  <c r="AW52" i="5"/>
  <c r="BO52" i="5" s="1"/>
  <c r="AY52" i="5"/>
  <c r="BQ52" i="5" s="1"/>
  <c r="AX52" i="5"/>
  <c r="BP52" i="5" s="1"/>
  <c r="AV52" i="5"/>
  <c r="BN52" i="5" s="1"/>
  <c r="AU51" i="5"/>
  <c r="AV51" i="5"/>
  <c r="BN51" i="5" s="1"/>
  <c r="AW51" i="5"/>
  <c r="BO51" i="5" s="1"/>
  <c r="AX51" i="5"/>
  <c r="BP51" i="5" s="1"/>
  <c r="AY51" i="5"/>
  <c r="BQ51" i="5" s="1"/>
  <c r="AW44" i="5"/>
  <c r="BO44" i="5" s="1"/>
  <c r="AU44" i="5"/>
  <c r="AY44" i="5"/>
  <c r="BQ44" i="5" s="1"/>
  <c r="AV44" i="5"/>
  <c r="BN44" i="5" s="1"/>
  <c r="AX44" i="5"/>
  <c r="BP44" i="5" s="1"/>
  <c r="AV43" i="5"/>
  <c r="BN43" i="5" s="1"/>
  <c r="AW43" i="5"/>
  <c r="BO43" i="5" s="1"/>
  <c r="AY43" i="5"/>
  <c r="BQ43" i="5" s="1"/>
  <c r="AU43" i="5"/>
  <c r="AX43" i="5"/>
  <c r="BP43" i="5" s="1"/>
  <c r="AV42" i="5"/>
  <c r="BN42" i="5" s="1"/>
  <c r="AY42" i="5"/>
  <c r="BQ42" i="5" s="1"/>
  <c r="AW42" i="5"/>
  <c r="BO42" i="5" s="1"/>
  <c r="AU42" i="5"/>
  <c r="AX42" i="5"/>
  <c r="BP42" i="5" s="1"/>
  <c r="AY41" i="5"/>
  <c r="BQ41" i="5" s="1"/>
  <c r="AW41" i="5"/>
  <c r="BO41" i="5" s="1"/>
  <c r="AU41" i="5"/>
  <c r="AV41" i="5"/>
  <c r="BN41" i="5" s="1"/>
  <c r="AX41" i="5"/>
  <c r="BP41" i="5" s="1"/>
  <c r="AY34" i="5"/>
  <c r="BQ34" i="5" s="1"/>
  <c r="AW34" i="5"/>
  <c r="BO34" i="5" s="1"/>
  <c r="AV34" i="5"/>
  <c r="BN34" i="5" s="1"/>
  <c r="AX34" i="5"/>
  <c r="BP34" i="5" s="1"/>
  <c r="AU34" i="5"/>
  <c r="AV33" i="5"/>
  <c r="BN33" i="5" s="1"/>
  <c r="AU33" i="5"/>
  <c r="AY33" i="5"/>
  <c r="BQ33" i="5" s="1"/>
  <c r="AW33" i="5"/>
  <c r="BO33" i="5" s="1"/>
  <c r="AX33" i="5"/>
  <c r="BP33" i="5" s="1"/>
  <c r="AW32" i="5"/>
  <c r="BO32" i="5" s="1"/>
  <c r="AY32" i="5"/>
  <c r="BQ32" i="5" s="1"/>
  <c r="AU32" i="5"/>
  <c r="AV32" i="5"/>
  <c r="BN32" i="5" s="1"/>
  <c r="AX32" i="5"/>
  <c r="BP32" i="5" s="1"/>
  <c r="AU31" i="5"/>
  <c r="AV31" i="5"/>
  <c r="BN31" i="5" s="1"/>
  <c r="AW31" i="5"/>
  <c r="BO31" i="5" s="1"/>
  <c r="AX31" i="5"/>
  <c r="BP31" i="5" s="1"/>
  <c r="AY31" i="5"/>
  <c r="BQ31" i="5" s="1"/>
  <c r="AU24" i="5"/>
  <c r="AV24" i="5"/>
  <c r="BN24" i="5" s="1"/>
  <c r="AW24" i="5"/>
  <c r="BO24" i="5" s="1"/>
  <c r="AX24" i="5"/>
  <c r="BP24" i="5" s="1"/>
  <c r="AY24" i="5"/>
  <c r="BQ24" i="5" s="1"/>
  <c r="AU23" i="5"/>
  <c r="AV23" i="5"/>
  <c r="BN23" i="5" s="1"/>
  <c r="AW23" i="5"/>
  <c r="BO23" i="5" s="1"/>
  <c r="AX23" i="5"/>
  <c r="AY23" i="5"/>
  <c r="BQ23" i="5" s="1"/>
  <c r="AU22" i="5"/>
  <c r="AV22" i="5"/>
  <c r="BN22" i="5" s="1"/>
  <c r="AW22" i="5"/>
  <c r="BO22" i="5" s="1"/>
  <c r="AX22" i="5"/>
  <c r="BP22" i="5" s="1"/>
  <c r="AY22" i="5"/>
  <c r="BQ22" i="5" s="1"/>
  <c r="AW21" i="5"/>
  <c r="BO21" i="5" s="1"/>
  <c r="AX21" i="5"/>
  <c r="BP21" i="5" s="1"/>
  <c r="AY21" i="5"/>
  <c r="BQ21" i="5" s="1"/>
  <c r="AU21" i="5"/>
  <c r="AV21" i="5"/>
  <c r="BN21" i="5" s="1"/>
  <c r="AX14" i="5"/>
  <c r="BP14" i="5" s="1"/>
  <c r="AW14" i="5"/>
  <c r="BO14" i="5" s="1"/>
  <c r="AU14" i="5"/>
  <c r="AV14" i="5"/>
  <c r="BN14" i="5" s="1"/>
  <c r="AY14" i="5"/>
  <c r="BQ14" i="5" s="1"/>
  <c r="AY13" i="5"/>
  <c r="BQ13" i="5" s="1"/>
  <c r="AW13" i="5"/>
  <c r="BO13" i="5" s="1"/>
  <c r="AU13" i="5"/>
  <c r="AX13" i="5"/>
  <c r="BP13" i="5" s="1"/>
  <c r="AV13" i="5"/>
  <c r="BN13" i="5" s="1"/>
  <c r="AY12" i="5"/>
  <c r="BQ12" i="5" s="1"/>
  <c r="AU12" i="5"/>
  <c r="AW12" i="5"/>
  <c r="BO12" i="5" s="1"/>
  <c r="AV12" i="5"/>
  <c r="BN12" i="5" s="1"/>
  <c r="AX12" i="5"/>
  <c r="BP12" i="5" s="1"/>
  <c r="AW11" i="5"/>
  <c r="BO11" i="5" s="1"/>
  <c r="AX11" i="5"/>
  <c r="BP11" i="5" s="1"/>
  <c r="AV11" i="5"/>
  <c r="BN11" i="5" s="1"/>
  <c r="AY11" i="5"/>
  <c r="BQ11" i="5" s="1"/>
  <c r="AU11" i="5"/>
  <c r="AT25" i="9"/>
  <c r="AX25" i="9" s="1"/>
  <c r="AZ46" i="9"/>
  <c r="BB46" i="9" s="1"/>
  <c r="BG46" i="9" s="1"/>
  <c r="AT50" i="9"/>
  <c r="AX50" i="9" s="1"/>
  <c r="AZ50" i="9" s="1"/>
  <c r="BB50" i="9" s="1"/>
  <c r="AT45" i="9"/>
  <c r="AX45" i="9" s="1"/>
  <c r="AX23" i="9"/>
  <c r="AZ22" i="9"/>
  <c r="BB22" i="9" s="1"/>
  <c r="BC22" i="9" s="1"/>
  <c r="BW22" i="9" s="1"/>
  <c r="AX57" i="9"/>
  <c r="AZ57" i="9" s="1"/>
  <c r="BB57" i="9" s="1"/>
  <c r="BD57" i="9" s="1"/>
  <c r="BX57" i="9" s="1"/>
  <c r="AS29" i="9"/>
  <c r="AY29" i="9" s="1"/>
  <c r="AZ29" i="9" s="1"/>
  <c r="BB29" i="9" s="1"/>
  <c r="AT52" i="9"/>
  <c r="AX52" i="9" s="1"/>
  <c r="AX24" i="9"/>
  <c r="AS37" i="9"/>
  <c r="AY37" i="9" s="1"/>
  <c r="AZ37" i="9" s="1"/>
  <c r="BB37" i="9" s="1"/>
  <c r="BF37" i="9" s="1"/>
  <c r="AZ23" i="9"/>
  <c r="BB23" i="9" s="1"/>
  <c r="BE23" i="9" s="1"/>
  <c r="BY23" i="9" s="1"/>
  <c r="BD13" i="9"/>
  <c r="BX13" i="9" s="1"/>
  <c r="BC10" i="9"/>
  <c r="BW10" i="9" s="1"/>
  <c r="BD10" i="9"/>
  <c r="BX10" i="9" s="1"/>
  <c r="BE62" i="9"/>
  <c r="BY62" i="9" s="1"/>
  <c r="BE10" i="9"/>
  <c r="BY10" i="9" s="1"/>
  <c r="BC13" i="9"/>
  <c r="BW13" i="9" s="1"/>
  <c r="AS56" i="9"/>
  <c r="AY56" i="9" s="1"/>
  <c r="AZ56" i="9" s="1"/>
  <c r="BB56" i="9" s="1"/>
  <c r="BG56" i="9" s="1"/>
  <c r="AT42" i="9"/>
  <c r="AX42" i="9" s="1"/>
  <c r="AZ42" i="9" s="1"/>
  <c r="BB42" i="9" s="1"/>
  <c r="AX10" i="9"/>
  <c r="AT63" i="9"/>
  <c r="AX63" i="9" s="1"/>
  <c r="AZ63" i="9" s="1"/>
  <c r="BB63" i="9" s="1"/>
  <c r="BC63" i="9" s="1"/>
  <c r="BW63" i="9" s="1"/>
  <c r="AX40" i="9"/>
  <c r="BF10" i="9"/>
  <c r="AX35" i="9"/>
  <c r="BE46" i="9"/>
  <c r="BY46" i="9" s="1"/>
  <c r="BD46" i="9"/>
  <c r="BX46" i="9" s="1"/>
  <c r="BZ31" i="9"/>
  <c r="BZ24" i="9"/>
  <c r="BF62" i="9"/>
  <c r="AT26" i="9"/>
  <c r="AX26" i="9" s="1"/>
  <c r="AZ26" i="9" s="1"/>
  <c r="BB26" i="9" s="1"/>
  <c r="AT12" i="9"/>
  <c r="AX12" i="9" s="1"/>
  <c r="AZ12" i="9" s="1"/>
  <c r="BB12" i="9" s="1"/>
  <c r="AX9" i="9"/>
  <c r="AZ9" i="9" s="1"/>
  <c r="BB9" i="9" s="1"/>
  <c r="AT15" i="9"/>
  <c r="AX15" i="9" s="1"/>
  <c r="AZ15" i="9" s="1"/>
  <c r="BB15" i="9" s="1"/>
  <c r="AZ25" i="9"/>
  <c r="BB25" i="9" s="1"/>
  <c r="BE25" i="9" s="1"/>
  <c r="BY25" i="9" s="1"/>
  <c r="BF45" i="9"/>
  <c r="BE55" i="9"/>
  <c r="BY55" i="9" s="1"/>
  <c r="AT30" i="9"/>
  <c r="AX30" i="9" s="1"/>
  <c r="AZ30" i="9" s="1"/>
  <c r="BB30" i="9" s="1"/>
  <c r="AZ60" i="9"/>
  <c r="BB60" i="9" s="1"/>
  <c r="BF60" i="9" s="1"/>
  <c r="AX43" i="9"/>
  <c r="AT14" i="9"/>
  <c r="AX14" i="9" s="1"/>
  <c r="AZ14" i="9" s="1"/>
  <c r="BB14" i="9" s="1"/>
  <c r="BF55" i="9"/>
  <c r="BK55" i="9" s="1"/>
  <c r="BG62" i="9"/>
  <c r="AS13" i="9"/>
  <c r="AY13" i="9" s="1"/>
  <c r="BC45" i="9"/>
  <c r="BW45" i="9" s="1"/>
  <c r="AZ19" i="9"/>
  <c r="BB19" i="9" s="1"/>
  <c r="BG19" i="9" s="1"/>
  <c r="BD55" i="9"/>
  <c r="BX55" i="9" s="1"/>
  <c r="AZ43" i="9"/>
  <c r="BB43" i="9" s="1"/>
  <c r="BD59" i="9"/>
  <c r="BX59" i="9" s="1"/>
  <c r="AT20" i="9"/>
  <c r="AX20" i="9" s="1"/>
  <c r="AZ32" i="9"/>
  <c r="BB32" i="9" s="1"/>
  <c r="AT54" i="9"/>
  <c r="AX54" i="9" s="1"/>
  <c r="AZ54" i="9" s="1"/>
  <c r="BB54" i="9" s="1"/>
  <c r="BD62" i="9"/>
  <c r="BX62" i="9" s="1"/>
  <c r="BG59" i="9"/>
  <c r="AS35" i="9"/>
  <c r="AY35" i="9" s="1"/>
  <c r="AZ35" i="9" s="1"/>
  <c r="BB35" i="9" s="1"/>
  <c r="BG35" i="9" s="1"/>
  <c r="AX17" i="9"/>
  <c r="AX38" i="9"/>
  <c r="AX44" i="9"/>
  <c r="AX59" i="9"/>
  <c r="BF59" i="9"/>
  <c r="AT47" i="9"/>
  <c r="AX47" i="9" s="1"/>
  <c r="AZ47" i="9" s="1"/>
  <c r="BB47" i="9" s="1"/>
  <c r="BE47" i="9" s="1"/>
  <c r="BY47" i="9" s="1"/>
  <c r="AS39" i="9"/>
  <c r="AY39" i="9" s="1"/>
  <c r="AZ39" i="9" s="1"/>
  <c r="BB39" i="9" s="1"/>
  <c r="BF39" i="9" s="1"/>
  <c r="BF46" i="9"/>
  <c r="BC46" i="9"/>
  <c r="BW46" i="9" s="1"/>
  <c r="AS49" i="9"/>
  <c r="AY49" i="9" s="1"/>
  <c r="AZ49" i="9" s="1"/>
  <c r="BB49" i="9" s="1"/>
  <c r="BF49" i="9" s="1"/>
  <c r="AS44" i="9"/>
  <c r="AY44" i="9" s="1"/>
  <c r="BC57" i="9"/>
  <c r="BW57" i="9" s="1"/>
  <c r="BC60" i="9"/>
  <c r="BW60" i="9" s="1"/>
  <c r="BD60" i="9"/>
  <c r="BX60" i="9" s="1"/>
  <c r="AZ58" i="9"/>
  <c r="BB58" i="9" s="1"/>
  <c r="BK62" i="9"/>
  <c r="AS62" i="9"/>
  <c r="AY62" i="9" s="1"/>
  <c r="AT62" i="9"/>
  <c r="AX62" i="9" s="1"/>
  <c r="BC61" i="9"/>
  <c r="BW61" i="9" s="1"/>
  <c r="BD61" i="9"/>
  <c r="BX61" i="9" s="1"/>
  <c r="BE61" i="9"/>
  <c r="BY61" i="9" s="1"/>
  <c r="BF61" i="9"/>
  <c r="BG61" i="9"/>
  <c r="BK45" i="9"/>
  <c r="BC51" i="9"/>
  <c r="BW51" i="9" s="1"/>
  <c r="BD51" i="9"/>
  <c r="BX51" i="9" s="1"/>
  <c r="BE51" i="9"/>
  <c r="BY51" i="9" s="1"/>
  <c r="BF51" i="9"/>
  <c r="BG51" i="9"/>
  <c r="BC47" i="9"/>
  <c r="BW47" i="9" s="1"/>
  <c r="BD47" i="9"/>
  <c r="BX47" i="9" s="1"/>
  <c r="BG47" i="9"/>
  <c r="BK48" i="9"/>
  <c r="BZ48" i="9" s="1"/>
  <c r="BK52" i="9"/>
  <c r="BZ52" i="9" s="1"/>
  <c r="BF53" i="9"/>
  <c r="BG53" i="9"/>
  <c r="BC53" i="9"/>
  <c r="BW53" i="9" s="1"/>
  <c r="BD53" i="9"/>
  <c r="BX53" i="9" s="1"/>
  <c r="BE53" i="9"/>
  <c r="BY53" i="9" s="1"/>
  <c r="BC56" i="9"/>
  <c r="BW56" i="9" s="1"/>
  <c r="BD56" i="9"/>
  <c r="BX56" i="9" s="1"/>
  <c r="BE56" i="9"/>
  <c r="BY56" i="9" s="1"/>
  <c r="BF56" i="9"/>
  <c r="BG23" i="9"/>
  <c r="BC23" i="9"/>
  <c r="BW23" i="9" s="1"/>
  <c r="BD23" i="9"/>
  <c r="BX23" i="9" s="1"/>
  <c r="BF32" i="9"/>
  <c r="BG32" i="9"/>
  <c r="BC32" i="9"/>
  <c r="BW32" i="9" s="1"/>
  <c r="BD32" i="9"/>
  <c r="BX32" i="9" s="1"/>
  <c r="BE32" i="9"/>
  <c r="BY32" i="9" s="1"/>
  <c r="BK34" i="9"/>
  <c r="BZ34" i="9" s="1"/>
  <c r="BK24" i="9"/>
  <c r="BE35" i="9"/>
  <c r="BY35" i="9" s="1"/>
  <c r="BF35" i="9"/>
  <c r="BC29" i="9"/>
  <c r="BW29" i="9" s="1"/>
  <c r="BD29" i="9"/>
  <c r="BX29" i="9" s="1"/>
  <c r="BE29" i="9"/>
  <c r="BY29" i="9" s="1"/>
  <c r="BF29" i="9"/>
  <c r="BG29" i="9"/>
  <c r="BK38" i="9"/>
  <c r="BZ38" i="9" s="1"/>
  <c r="BG39" i="9"/>
  <c r="BC39" i="9"/>
  <c r="BW39" i="9" s="1"/>
  <c r="BD39" i="9"/>
  <c r="BX39" i="9" s="1"/>
  <c r="BE39" i="9"/>
  <c r="BY39" i="9" s="1"/>
  <c r="AZ36" i="9"/>
  <c r="BB36" i="9" s="1"/>
  <c r="BK27" i="9"/>
  <c r="BZ27" i="9" s="1"/>
  <c r="BF22" i="9"/>
  <c r="BG22" i="9"/>
  <c r="BC37" i="9"/>
  <c r="BW37" i="9" s="1"/>
  <c r="BD37" i="9"/>
  <c r="BX37" i="9" s="1"/>
  <c r="BE37" i="9"/>
  <c r="BY37" i="9" s="1"/>
  <c r="AZ40" i="9"/>
  <c r="BB40" i="9" s="1"/>
  <c r="BK31" i="9"/>
  <c r="AS28" i="9"/>
  <c r="AY28" i="9" s="1"/>
  <c r="AT28" i="9"/>
  <c r="AX28" i="9" s="1"/>
  <c r="BK41" i="9"/>
  <c r="BZ41" i="9" s="1"/>
  <c r="BC33" i="9"/>
  <c r="BW33" i="9" s="1"/>
  <c r="BD33" i="9"/>
  <c r="BX33" i="9" s="1"/>
  <c r="BE33" i="9"/>
  <c r="BY33" i="9" s="1"/>
  <c r="BF33" i="9"/>
  <c r="BG33" i="9"/>
  <c r="BD19" i="9"/>
  <c r="BX19" i="9" s="1"/>
  <c r="BE19" i="9"/>
  <c r="BY19" i="9" s="1"/>
  <c r="BF19" i="9"/>
  <c r="AS16" i="9"/>
  <c r="AY16" i="9" s="1"/>
  <c r="AT16" i="9"/>
  <c r="AX16" i="9" s="1"/>
  <c r="BK17" i="9"/>
  <c r="BZ17" i="9" s="1"/>
  <c r="BK20" i="9"/>
  <c r="BZ20" i="9" s="1"/>
  <c r="AX18" i="9"/>
  <c r="AZ18" i="9" s="1"/>
  <c r="BB18" i="9" s="1"/>
  <c r="AS21" i="9"/>
  <c r="AY21" i="9" s="1"/>
  <c r="AT21" i="9"/>
  <c r="AX21" i="9" s="1"/>
  <c r="AZ11" i="9"/>
  <c r="BB11" i="9" s="1"/>
  <c r="BF11" i="9" s="1"/>
  <c r="BG11" i="9"/>
  <c r="BC11" i="9"/>
  <c r="BW11" i="9" s="1"/>
  <c r="BK13" i="9"/>
  <c r="BZ13" i="9" s="1"/>
  <c r="BK10" i="9"/>
  <c r="BZ10" i="9" s="1"/>
  <c r="AT8" i="9"/>
  <c r="AX8" i="9" s="1"/>
  <c r="AZ8" i="9" s="1"/>
  <c r="BB8" i="9" s="1"/>
  <c r="BL54" i="5" l="1"/>
  <c r="BM54" i="5"/>
  <c r="BL53" i="5"/>
  <c r="BM53" i="5" s="1"/>
  <c r="BR51" i="5" s="1"/>
  <c r="BU51" i="5" s="1"/>
  <c r="BL52" i="5"/>
  <c r="BM52" i="5"/>
  <c r="BL51" i="5"/>
  <c r="BM51" i="5"/>
  <c r="BL44" i="5"/>
  <c r="BM44" i="5"/>
  <c r="BL43" i="5"/>
  <c r="BM43" i="5"/>
  <c r="BL42" i="5"/>
  <c r="BM42" i="5" s="1"/>
  <c r="BR41" i="5" s="1"/>
  <c r="BU41" i="5" s="1"/>
  <c r="BL41" i="5"/>
  <c r="BM41" i="5"/>
  <c r="BL34" i="5"/>
  <c r="BM34" i="5" s="1"/>
  <c r="BL33" i="5"/>
  <c r="BM33" i="5" s="1"/>
  <c r="BL32" i="5"/>
  <c r="BM32" i="5" s="1"/>
  <c r="BL31" i="5"/>
  <c r="BM31" i="5"/>
  <c r="BL24" i="5"/>
  <c r="BM24" i="5"/>
  <c r="BL23" i="5"/>
  <c r="BM23" i="5"/>
  <c r="BP23" i="5"/>
  <c r="H81" i="5"/>
  <c r="H84" i="5"/>
  <c r="H83" i="5"/>
  <c r="H82" i="5"/>
  <c r="BL22" i="5"/>
  <c r="BM22" i="5"/>
  <c r="BL21" i="5"/>
  <c r="BM21" i="5"/>
  <c r="BR21" i="5" s="1"/>
  <c r="BU21" i="5" s="1"/>
  <c r="BL14" i="5"/>
  <c r="BM14" i="5"/>
  <c r="BL13" i="5"/>
  <c r="BM13" i="5" s="1"/>
  <c r="BL12" i="5"/>
  <c r="BM12" i="5"/>
  <c r="BL11" i="5"/>
  <c r="BM11" i="5" s="1"/>
  <c r="BR11" i="5" s="1"/>
  <c r="BU11" i="5" s="1"/>
  <c r="BG26" i="9"/>
  <c r="BF26" i="9"/>
  <c r="BC42" i="9"/>
  <c r="BW42" i="9" s="1"/>
  <c r="BD42" i="9"/>
  <c r="BX42" i="9" s="1"/>
  <c r="BE42" i="9"/>
  <c r="BY42" i="9" s="1"/>
  <c r="BF42" i="9"/>
  <c r="BG42" i="9"/>
  <c r="BE50" i="9"/>
  <c r="BY50" i="9" s="1"/>
  <c r="BG50" i="9"/>
  <c r="BF15" i="9"/>
  <c r="BG15" i="9"/>
  <c r="BC15" i="9"/>
  <c r="BW15" i="9" s="1"/>
  <c r="BD15" i="9"/>
  <c r="BX15" i="9" s="1"/>
  <c r="BE15" i="9"/>
  <c r="BY15" i="9" s="1"/>
  <c r="BE63" i="9"/>
  <c r="BY63" i="9" s="1"/>
  <c r="BE22" i="9"/>
  <c r="BY22" i="9" s="1"/>
  <c r="BD63" i="9"/>
  <c r="BX63" i="9" s="1"/>
  <c r="BD22" i="9"/>
  <c r="BX22" i="9" s="1"/>
  <c r="BD35" i="9"/>
  <c r="BX35" i="9" s="1"/>
  <c r="BC25" i="9"/>
  <c r="BW25" i="9" s="1"/>
  <c r="BG57" i="9"/>
  <c r="BG63" i="9"/>
  <c r="BC35" i="9"/>
  <c r="BW35" i="9" s="1"/>
  <c r="BF63" i="9"/>
  <c r="BF57" i="9"/>
  <c r="BF23" i="9"/>
  <c r="BD25" i="9"/>
  <c r="BX25" i="9" s="1"/>
  <c r="BG25" i="9"/>
  <c r="BG37" i="9"/>
  <c r="BF25" i="9"/>
  <c r="BZ25" i="9" s="1"/>
  <c r="BF47" i="9"/>
  <c r="BK47" i="9" s="1"/>
  <c r="BZ47" i="9" s="1"/>
  <c r="BE57" i="9"/>
  <c r="BY57" i="9" s="1"/>
  <c r="AZ44" i="9"/>
  <c r="BB44" i="9" s="1"/>
  <c r="BG30" i="9"/>
  <c r="BF30" i="9"/>
  <c r="BK30" i="9" s="1"/>
  <c r="BC30" i="9"/>
  <c r="BW30" i="9" s="1"/>
  <c r="BD30" i="9"/>
  <c r="BX30" i="9" s="1"/>
  <c r="BE30" i="9"/>
  <c r="BY30" i="9" s="1"/>
  <c r="BF54" i="9"/>
  <c r="BK54" i="9" s="1"/>
  <c r="BC54" i="9"/>
  <c r="BW54" i="9" s="1"/>
  <c r="BG54" i="9"/>
  <c r="BD54" i="9"/>
  <c r="BX54" i="9" s="1"/>
  <c r="BE54" i="9"/>
  <c r="BY54" i="9" s="1"/>
  <c r="BD26" i="9"/>
  <c r="BX26" i="9" s="1"/>
  <c r="BC19" i="9"/>
  <c r="BW19" i="9" s="1"/>
  <c r="BC26" i="9"/>
  <c r="BW26" i="9" s="1"/>
  <c r="BF50" i="9"/>
  <c r="BK50" i="9" s="1"/>
  <c r="BG60" i="9"/>
  <c r="BD50" i="9"/>
  <c r="BX50" i="9" s="1"/>
  <c r="BZ62" i="9"/>
  <c r="BD49" i="9"/>
  <c r="BX49" i="9" s="1"/>
  <c r="BC50" i="9"/>
  <c r="BW50" i="9" s="1"/>
  <c r="BE60" i="9"/>
  <c r="BY60" i="9" s="1"/>
  <c r="BZ46" i="9"/>
  <c r="BZ45" i="9"/>
  <c r="BE26" i="9"/>
  <c r="BY26" i="9" s="1"/>
  <c r="BC49" i="9"/>
  <c r="BW49" i="9" s="1"/>
  <c r="BZ51" i="9"/>
  <c r="BC43" i="9"/>
  <c r="BW43" i="9" s="1"/>
  <c r="BE43" i="9"/>
  <c r="BY43" i="9" s="1"/>
  <c r="BG43" i="9"/>
  <c r="BD43" i="9"/>
  <c r="BX43" i="9" s="1"/>
  <c r="BF43" i="9"/>
  <c r="BE49" i="9"/>
  <c r="BY49" i="9" s="1"/>
  <c r="BZ11" i="9"/>
  <c r="BK46" i="9"/>
  <c r="BK59" i="9"/>
  <c r="BZ59" i="9" s="1"/>
  <c r="BZ55" i="9"/>
  <c r="BG49" i="9"/>
  <c r="BE11" i="9"/>
  <c r="BY11" i="9" s="1"/>
  <c r="BD11" i="9"/>
  <c r="BX11" i="9" s="1"/>
  <c r="BG58" i="9"/>
  <c r="BC58" i="9"/>
  <c r="BW58" i="9" s="1"/>
  <c r="BD58" i="9"/>
  <c r="BX58" i="9" s="1"/>
  <c r="BE58" i="9"/>
  <c r="BY58" i="9" s="1"/>
  <c r="BF58" i="9"/>
  <c r="BK60" i="9"/>
  <c r="BZ60" i="9" s="1"/>
  <c r="BK61" i="9"/>
  <c r="BZ61" i="9" s="1"/>
  <c r="BK57" i="9"/>
  <c r="BZ57" i="9" s="1"/>
  <c r="BK56" i="9"/>
  <c r="BZ56" i="9" s="1"/>
  <c r="BG44" i="9"/>
  <c r="BC44" i="9"/>
  <c r="BW44" i="9" s="1"/>
  <c r="BD44" i="9"/>
  <c r="BX44" i="9" s="1"/>
  <c r="BE44" i="9"/>
  <c r="BY44" i="9" s="1"/>
  <c r="BF44" i="9"/>
  <c r="BK53" i="9"/>
  <c r="BZ53" i="9" s="1"/>
  <c r="BK49" i="9"/>
  <c r="BZ49" i="9" s="1"/>
  <c r="BK51" i="9"/>
  <c r="BK22" i="9"/>
  <c r="BZ22" i="9" s="1"/>
  <c r="BK35" i="9"/>
  <c r="BZ35" i="9" s="1"/>
  <c r="AZ28" i="9"/>
  <c r="BB28" i="9" s="1"/>
  <c r="BK42" i="9"/>
  <c r="BZ42" i="9" s="1"/>
  <c r="BK26" i="9"/>
  <c r="BZ26" i="9" s="1"/>
  <c r="BC40" i="9"/>
  <c r="BW40" i="9" s="1"/>
  <c r="BD40" i="9"/>
  <c r="BX40" i="9" s="1"/>
  <c r="BE40" i="9"/>
  <c r="BY40" i="9" s="1"/>
  <c r="BF40" i="9"/>
  <c r="BG40" i="9"/>
  <c r="BK29" i="9"/>
  <c r="BZ29" i="9" s="1"/>
  <c r="BK33" i="9"/>
  <c r="BZ33" i="9" s="1"/>
  <c r="BK32" i="9"/>
  <c r="BZ32" i="9" s="1"/>
  <c r="BK37" i="9"/>
  <c r="BZ37" i="9" s="1"/>
  <c r="BC36" i="9"/>
  <c r="BW36" i="9" s="1"/>
  <c r="BD36" i="9"/>
  <c r="BX36" i="9" s="1"/>
  <c r="BE36" i="9"/>
  <c r="BY36" i="9" s="1"/>
  <c r="BF36" i="9"/>
  <c r="BG36" i="9"/>
  <c r="BK23" i="9"/>
  <c r="BZ23" i="9" s="1"/>
  <c r="BK25" i="9"/>
  <c r="BK39" i="9"/>
  <c r="BZ39" i="9" s="1"/>
  <c r="BE18" i="9"/>
  <c r="BY18" i="9" s="1"/>
  <c r="BF18" i="9"/>
  <c r="BG18" i="9"/>
  <c r="BC18" i="9"/>
  <c r="BW18" i="9" s="1"/>
  <c r="BD18" i="9"/>
  <c r="BX18" i="9" s="1"/>
  <c r="BK15" i="9"/>
  <c r="BZ15" i="9" s="1"/>
  <c r="AZ16" i="9"/>
  <c r="BB16" i="9" s="1"/>
  <c r="AZ21" i="9"/>
  <c r="BB21" i="9" s="1"/>
  <c r="BK19" i="9"/>
  <c r="BZ19" i="9" s="1"/>
  <c r="BC9" i="9"/>
  <c r="BW9" i="9" s="1"/>
  <c r="BD9" i="9"/>
  <c r="BX9" i="9" s="1"/>
  <c r="BE9" i="9"/>
  <c r="BY9" i="9" s="1"/>
  <c r="BF9" i="9"/>
  <c r="BG9" i="9"/>
  <c r="BE12" i="9"/>
  <c r="BY12" i="9" s="1"/>
  <c r="BF12" i="9"/>
  <c r="BG12" i="9"/>
  <c r="BC12" i="9"/>
  <c r="BW12" i="9" s="1"/>
  <c r="BD12" i="9"/>
  <c r="BX12" i="9" s="1"/>
  <c r="BC14" i="9"/>
  <c r="BW14" i="9" s="1"/>
  <c r="BD14" i="9"/>
  <c r="BX14" i="9" s="1"/>
  <c r="BE14" i="9"/>
  <c r="BY14" i="9" s="1"/>
  <c r="BF14" i="9"/>
  <c r="BG14" i="9"/>
  <c r="BK11" i="9"/>
  <c r="BF8" i="9"/>
  <c r="BE8" i="9"/>
  <c r="BY8" i="9" s="1"/>
  <c r="BC8" i="9"/>
  <c r="BW8" i="9" s="1"/>
  <c r="BD8" i="9"/>
  <c r="BX8" i="9" s="1"/>
  <c r="BG8" i="9"/>
  <c r="BR31" i="5" l="1"/>
  <c r="BU31" i="5" s="1"/>
  <c r="BK63" i="9"/>
  <c r="BZ63" i="9" s="1"/>
  <c r="BK43" i="9"/>
  <c r="BZ43" i="9" s="1"/>
  <c r="BZ50" i="9"/>
  <c r="CD50" i="9" s="1"/>
  <c r="CE50" i="9" s="1"/>
  <c r="BZ30" i="9"/>
  <c r="BZ54" i="9"/>
  <c r="CD57" i="9"/>
  <c r="CE57" i="9" s="1"/>
  <c r="BK58" i="9"/>
  <c r="BZ58" i="9" s="1"/>
  <c r="BK44" i="9"/>
  <c r="BZ44" i="9" s="1"/>
  <c r="CD29" i="9"/>
  <c r="CE29" i="9" s="1"/>
  <c r="CD22" i="9"/>
  <c r="CE22" i="9" s="1"/>
  <c r="BK40" i="9"/>
  <c r="BZ40" i="9" s="1"/>
  <c r="BF28" i="9"/>
  <c r="BG28" i="9"/>
  <c r="BC28" i="9"/>
  <c r="BW28" i="9" s="1"/>
  <c r="BD28" i="9"/>
  <c r="BX28" i="9" s="1"/>
  <c r="BE28" i="9"/>
  <c r="BY28" i="9" s="1"/>
  <c r="BK36" i="9"/>
  <c r="BZ36" i="9" s="1"/>
  <c r="CD15" i="9"/>
  <c r="CE15" i="9" s="1"/>
  <c r="BG16" i="9"/>
  <c r="BC16" i="9"/>
  <c r="BW16" i="9" s="1"/>
  <c r="BD16" i="9"/>
  <c r="BX16" i="9" s="1"/>
  <c r="BE16" i="9"/>
  <c r="BY16" i="9" s="1"/>
  <c r="BF16" i="9"/>
  <c r="BK18" i="9"/>
  <c r="BZ18" i="9" s="1"/>
  <c r="BF21" i="9"/>
  <c r="BG21" i="9"/>
  <c r="BC21" i="9"/>
  <c r="BW21" i="9" s="1"/>
  <c r="BD21" i="9"/>
  <c r="BX21" i="9" s="1"/>
  <c r="BE21" i="9"/>
  <c r="BY21" i="9" s="1"/>
  <c r="BK9" i="9"/>
  <c r="BZ9" i="9" s="1"/>
  <c r="BK12" i="9"/>
  <c r="BZ12" i="9" s="1"/>
  <c r="BK14" i="9"/>
  <c r="BZ14" i="9" s="1"/>
  <c r="BK8" i="9"/>
  <c r="BZ8" i="9" s="1"/>
  <c r="CD8" i="9" s="1"/>
  <c r="CE8" i="9" s="1"/>
  <c r="CD43" i="9" l="1"/>
  <c r="CE43" i="9" s="1"/>
  <c r="CD36" i="9"/>
  <c r="CE36" i="9" s="1"/>
  <c r="BK28" i="9"/>
  <c r="BZ28" i="9" s="1"/>
  <c r="BK16" i="9"/>
  <c r="BZ16" i="9" s="1"/>
  <c r="BK21" i="9"/>
  <c r="BZ21" i="9" s="1"/>
  <c r="H9" i="6" l="1"/>
  <c r="AY9" i="6" s="1"/>
  <c r="I9" i="6"/>
  <c r="AZ9" i="6" s="1"/>
  <c r="J9" i="6"/>
  <c r="H10" i="6"/>
  <c r="AY10" i="6" s="1"/>
  <c r="I10" i="6"/>
  <c r="AZ10" i="6" s="1"/>
  <c r="J10" i="6"/>
  <c r="H11" i="6"/>
  <c r="AY11" i="6" s="1"/>
  <c r="I11" i="6"/>
  <c r="AZ11" i="6" s="1"/>
  <c r="H12" i="6"/>
  <c r="AY12" i="6" s="1"/>
  <c r="I12" i="6"/>
  <c r="AZ12" i="6" s="1"/>
  <c r="J12" i="6"/>
  <c r="H13" i="6"/>
  <c r="AY13" i="6" s="1"/>
  <c r="I13" i="6"/>
  <c r="AZ13" i="6" s="1"/>
  <c r="J13" i="6"/>
  <c r="H14" i="6"/>
  <c r="AY14" i="6" s="1"/>
  <c r="I14" i="6"/>
  <c r="AZ14" i="6" s="1"/>
  <c r="J14" i="6"/>
  <c r="H15" i="6"/>
  <c r="AY15" i="6" s="1"/>
  <c r="I15" i="6"/>
  <c r="AZ15" i="6" s="1"/>
  <c r="H16" i="6"/>
  <c r="AY16" i="6" s="1"/>
  <c r="I16" i="6"/>
  <c r="AZ16" i="6" s="1"/>
  <c r="J16" i="6"/>
  <c r="H17" i="6"/>
  <c r="AY17" i="6" s="1"/>
  <c r="I17" i="6"/>
  <c r="AZ17" i="6" s="1"/>
  <c r="J17" i="6"/>
  <c r="H18" i="6"/>
  <c r="AY18" i="6" s="1"/>
  <c r="I18" i="6"/>
  <c r="AZ18" i="6" s="1"/>
  <c r="J18" i="6"/>
  <c r="H19" i="6"/>
  <c r="AY19" i="6" s="1"/>
  <c r="I19" i="6"/>
  <c r="AZ19" i="6" s="1"/>
  <c r="H20" i="6"/>
  <c r="AY20" i="6" s="1"/>
  <c r="I20" i="6"/>
  <c r="AZ20" i="6" s="1"/>
  <c r="J20" i="6"/>
  <c r="H21" i="6"/>
  <c r="AY21" i="6" s="1"/>
  <c r="I21" i="6"/>
  <c r="AZ21" i="6" s="1"/>
  <c r="J21" i="6"/>
  <c r="H22" i="6"/>
  <c r="AY22" i="6" s="1"/>
  <c r="I22" i="6"/>
  <c r="AZ22" i="6" s="1"/>
  <c r="J22" i="6"/>
  <c r="H23" i="6"/>
  <c r="AY23" i="6" s="1"/>
  <c r="I23" i="6"/>
  <c r="AZ23" i="6" s="1"/>
  <c r="I8" i="6"/>
  <c r="AZ8" i="6" s="1"/>
  <c r="J8" i="6"/>
  <c r="H8" i="6"/>
  <c r="AY8" i="6" s="1"/>
  <c r="J11" i="6"/>
  <c r="BX9" i="6"/>
  <c r="BY9" i="6"/>
  <c r="BZ9" i="6"/>
  <c r="CA9" i="6"/>
  <c r="CB9" i="6"/>
  <c r="CC9" i="6"/>
  <c r="BX10" i="6"/>
  <c r="BY10" i="6"/>
  <c r="BZ10" i="6"/>
  <c r="CA10" i="6"/>
  <c r="CB10" i="6"/>
  <c r="CC10" i="6"/>
  <c r="BX11" i="6"/>
  <c r="BY11" i="6"/>
  <c r="BZ11" i="6"/>
  <c r="CA11" i="6"/>
  <c r="CB11" i="6"/>
  <c r="CC11" i="6"/>
  <c r="BX12" i="6"/>
  <c r="BY12" i="6"/>
  <c r="BZ12" i="6"/>
  <c r="CA12" i="6"/>
  <c r="CB12" i="6"/>
  <c r="CC12" i="6"/>
  <c r="BX13" i="6"/>
  <c r="BY13" i="6"/>
  <c r="BZ13" i="6"/>
  <c r="CA13" i="6"/>
  <c r="CB13" i="6"/>
  <c r="CC13" i="6"/>
  <c r="BX14" i="6"/>
  <c r="BY14" i="6"/>
  <c r="BZ14" i="6"/>
  <c r="CA14" i="6"/>
  <c r="CB14" i="6"/>
  <c r="CC14" i="6"/>
  <c r="BX15" i="6"/>
  <c r="BY15" i="6"/>
  <c r="BZ15" i="6"/>
  <c r="CA15" i="6"/>
  <c r="CB15" i="6"/>
  <c r="CC15" i="6"/>
  <c r="BX16" i="6"/>
  <c r="BY16" i="6"/>
  <c r="BZ16" i="6"/>
  <c r="CA16" i="6"/>
  <c r="CB16" i="6"/>
  <c r="CC16" i="6"/>
  <c r="BX17" i="6"/>
  <c r="BY17" i="6"/>
  <c r="BZ17" i="6"/>
  <c r="CA17" i="6"/>
  <c r="CB17" i="6"/>
  <c r="CC17" i="6"/>
  <c r="BX18" i="6"/>
  <c r="BY18" i="6"/>
  <c r="BZ18" i="6"/>
  <c r="CA18" i="6"/>
  <c r="CB18" i="6"/>
  <c r="CC18" i="6"/>
  <c r="BX19" i="6"/>
  <c r="BY19" i="6"/>
  <c r="BZ19" i="6"/>
  <c r="CA19" i="6"/>
  <c r="CB19" i="6"/>
  <c r="CC19" i="6"/>
  <c r="BX20" i="6"/>
  <c r="BY20" i="6"/>
  <c r="BZ20" i="6"/>
  <c r="CA20" i="6"/>
  <c r="CB20" i="6"/>
  <c r="CC20" i="6"/>
  <c r="BX21" i="6"/>
  <c r="BY21" i="6"/>
  <c r="BZ21" i="6"/>
  <c r="CA21" i="6"/>
  <c r="CB21" i="6"/>
  <c r="CC21" i="6"/>
  <c r="BX22" i="6"/>
  <c r="BY22" i="6"/>
  <c r="BZ22" i="6"/>
  <c r="CA22" i="6"/>
  <c r="CB22" i="6"/>
  <c r="CC22" i="6"/>
  <c r="BX23" i="6"/>
  <c r="BY23" i="6"/>
  <c r="BZ23" i="6"/>
  <c r="CA23" i="6"/>
  <c r="CB23" i="6"/>
  <c r="CC23" i="6"/>
  <c r="CB8" i="6"/>
  <c r="BZ8" i="6"/>
  <c r="CC8" i="6"/>
  <c r="CA8" i="6"/>
  <c r="BY8" i="6"/>
  <c r="BR9" i="6"/>
  <c r="BS9" i="6"/>
  <c r="BT9" i="6"/>
  <c r="BU9" i="6"/>
  <c r="BV9" i="6"/>
  <c r="BW9" i="6"/>
  <c r="BR10" i="6"/>
  <c r="BS10" i="6"/>
  <c r="BT10" i="6"/>
  <c r="BU10" i="6"/>
  <c r="BV10" i="6"/>
  <c r="BW10" i="6"/>
  <c r="BR11" i="6"/>
  <c r="BS11" i="6"/>
  <c r="BT11" i="6"/>
  <c r="BU11" i="6"/>
  <c r="BV11" i="6"/>
  <c r="BW11" i="6"/>
  <c r="BR12" i="6"/>
  <c r="BS12" i="6"/>
  <c r="BT12" i="6"/>
  <c r="BU12" i="6"/>
  <c r="BV12" i="6"/>
  <c r="BW12" i="6"/>
  <c r="BR13" i="6"/>
  <c r="BS13" i="6"/>
  <c r="BT13" i="6"/>
  <c r="BU13" i="6"/>
  <c r="BV13" i="6"/>
  <c r="BW13" i="6"/>
  <c r="BR14" i="6"/>
  <c r="BS14" i="6"/>
  <c r="BT14" i="6"/>
  <c r="BU14" i="6"/>
  <c r="BV14" i="6"/>
  <c r="BW14" i="6"/>
  <c r="BR15" i="6"/>
  <c r="BS15" i="6"/>
  <c r="BT15" i="6"/>
  <c r="BU15" i="6"/>
  <c r="BV15" i="6"/>
  <c r="BW15" i="6"/>
  <c r="BR16" i="6"/>
  <c r="BS16" i="6"/>
  <c r="BT16" i="6"/>
  <c r="BU16" i="6"/>
  <c r="BV16" i="6"/>
  <c r="BW16" i="6"/>
  <c r="BR17" i="6"/>
  <c r="BS17" i="6"/>
  <c r="BT17" i="6"/>
  <c r="BU17" i="6"/>
  <c r="BV17" i="6"/>
  <c r="BW17" i="6"/>
  <c r="BR18" i="6"/>
  <c r="BS18" i="6"/>
  <c r="BT18" i="6"/>
  <c r="BU18" i="6"/>
  <c r="BV18" i="6"/>
  <c r="BW18" i="6"/>
  <c r="BR19" i="6"/>
  <c r="BS19" i="6"/>
  <c r="BT19" i="6"/>
  <c r="BU19" i="6"/>
  <c r="BV19" i="6"/>
  <c r="BW19" i="6"/>
  <c r="BR20" i="6"/>
  <c r="BS20" i="6"/>
  <c r="BT20" i="6"/>
  <c r="BU20" i="6"/>
  <c r="BV20" i="6"/>
  <c r="BW20" i="6"/>
  <c r="BR21" i="6"/>
  <c r="BS21" i="6"/>
  <c r="BT21" i="6"/>
  <c r="BU21" i="6"/>
  <c r="BV21" i="6"/>
  <c r="BW21" i="6"/>
  <c r="BR22" i="6"/>
  <c r="BS22" i="6"/>
  <c r="BT22" i="6"/>
  <c r="BU22" i="6"/>
  <c r="BV22" i="6"/>
  <c r="BW22" i="6"/>
  <c r="BR23" i="6"/>
  <c r="BS23" i="6"/>
  <c r="BT23" i="6"/>
  <c r="BU23" i="6"/>
  <c r="BV23" i="6"/>
  <c r="BW23" i="6"/>
  <c r="BW8" i="6"/>
  <c r="BV8" i="6"/>
  <c r="BU8" i="6"/>
  <c r="BT8" i="6"/>
  <c r="BS8" i="6"/>
  <c r="BR8" i="6"/>
  <c r="CO9" i="6"/>
  <c r="CO10" i="6"/>
  <c r="CO11" i="6"/>
  <c r="CO12" i="6"/>
  <c r="CO13" i="6"/>
  <c r="CO14" i="6"/>
  <c r="CO15" i="6"/>
  <c r="CO16" i="6"/>
  <c r="CO17" i="6"/>
  <c r="CO18" i="6"/>
  <c r="CO19" i="6"/>
  <c r="CO20" i="6"/>
  <c r="CO21" i="6"/>
  <c r="CO22" i="6"/>
  <c r="CO23" i="6"/>
  <c r="CO8" i="6"/>
  <c r="CN9" i="6"/>
  <c r="CN10" i="6"/>
  <c r="CN11" i="6"/>
  <c r="CN12" i="6"/>
  <c r="CN13" i="6"/>
  <c r="CN14" i="6"/>
  <c r="CN15" i="6"/>
  <c r="CN16" i="6"/>
  <c r="CN17" i="6"/>
  <c r="CN18" i="6"/>
  <c r="CN19" i="6"/>
  <c r="CN20" i="6"/>
  <c r="CN21" i="6"/>
  <c r="CN22" i="6"/>
  <c r="CN23" i="6"/>
  <c r="CN8" i="6"/>
  <c r="CT9" i="6"/>
  <c r="CT10" i="6"/>
  <c r="CT11" i="6"/>
  <c r="CT12" i="6"/>
  <c r="CT13" i="6"/>
  <c r="CT14" i="6"/>
  <c r="CT15" i="6"/>
  <c r="CT16" i="6"/>
  <c r="CT17" i="6"/>
  <c r="CT18" i="6"/>
  <c r="CT19" i="6"/>
  <c r="CT20" i="6"/>
  <c r="CT21" i="6"/>
  <c r="CT22" i="6"/>
  <c r="CT23" i="6"/>
  <c r="CT24" i="6"/>
  <c r="CT25" i="6"/>
  <c r="BA20" i="6" l="1"/>
  <c r="BE20" i="6"/>
  <c r="BA17" i="6"/>
  <c r="BE17" i="6"/>
  <c r="BA14" i="6"/>
  <c r="BE14" i="6"/>
  <c r="BA22" i="6"/>
  <c r="BE22" i="6"/>
  <c r="BA16" i="6"/>
  <c r="BE16" i="6"/>
  <c r="BA13" i="6"/>
  <c r="BE13" i="6"/>
  <c r="BA10" i="6"/>
  <c r="BE10" i="6"/>
  <c r="BA11" i="6"/>
  <c r="BE11" i="6"/>
  <c r="BA21" i="6"/>
  <c r="BE21" i="6"/>
  <c r="BA18" i="6"/>
  <c r="BE18" i="6"/>
  <c r="BE8" i="6"/>
  <c r="BA8" i="6"/>
  <c r="BE12" i="6"/>
  <c r="BA12" i="6"/>
  <c r="BE9" i="6"/>
  <c r="BA9" i="6"/>
  <c r="J23" i="6"/>
  <c r="J15" i="6"/>
  <c r="J19" i="6"/>
  <c r="BL12" i="6" l="1"/>
  <c r="CD12" i="6" s="1"/>
  <c r="BM12" i="6"/>
  <c r="CP12" i="6" s="1"/>
  <c r="BN12" i="6"/>
  <c r="CF12" i="6" s="1"/>
  <c r="BO12" i="6"/>
  <c r="CG12" i="6" s="1"/>
  <c r="BP12" i="6"/>
  <c r="CH12" i="6" s="1"/>
  <c r="BQ12" i="6"/>
  <c r="CE12" i="6" s="1"/>
  <c r="BQ22" i="6"/>
  <c r="CE22" i="6" s="1"/>
  <c r="BL22" i="6"/>
  <c r="CD22" i="6" s="1"/>
  <c r="CJ22" i="6" s="1"/>
  <c r="BM22" i="6"/>
  <c r="CP22" i="6" s="1"/>
  <c r="BN22" i="6"/>
  <c r="CF22" i="6" s="1"/>
  <c r="BO22" i="6"/>
  <c r="CG22" i="6" s="1"/>
  <c r="BP22" i="6"/>
  <c r="CH22" i="6" s="1"/>
  <c r="BP8" i="6"/>
  <c r="CH8" i="6" s="1"/>
  <c r="BQ8" i="6"/>
  <c r="CE8" i="6" s="1"/>
  <c r="BL8" i="6"/>
  <c r="CD8" i="6" s="1"/>
  <c r="BM8" i="6"/>
  <c r="CP8" i="6" s="1"/>
  <c r="BN8" i="6"/>
  <c r="CF8" i="6" s="1"/>
  <c r="BO8" i="6"/>
  <c r="CG8" i="6" s="1"/>
  <c r="BQ14" i="6"/>
  <c r="CE14" i="6" s="1"/>
  <c r="BO14" i="6"/>
  <c r="CG14" i="6" s="1"/>
  <c r="BL14" i="6"/>
  <c r="CD14" i="6" s="1"/>
  <c r="BM14" i="6"/>
  <c r="CP14" i="6" s="1"/>
  <c r="BN14" i="6"/>
  <c r="CF14" i="6" s="1"/>
  <c r="BP14" i="6"/>
  <c r="CH14" i="6" s="1"/>
  <c r="BN13" i="6"/>
  <c r="CF13" i="6" s="1"/>
  <c r="BO13" i="6"/>
  <c r="CG13" i="6" s="1"/>
  <c r="BP13" i="6"/>
  <c r="CH13" i="6" s="1"/>
  <c r="BL13" i="6"/>
  <c r="CD13" i="6" s="1"/>
  <c r="BM13" i="6"/>
  <c r="CP13" i="6" s="1"/>
  <c r="BQ13" i="6"/>
  <c r="CE13" i="6" s="1"/>
  <c r="BM16" i="6"/>
  <c r="CP16" i="6" s="1"/>
  <c r="BN16" i="6"/>
  <c r="CF16" i="6" s="1"/>
  <c r="CL16" i="6" s="1"/>
  <c r="BO16" i="6"/>
  <c r="CG16" i="6" s="1"/>
  <c r="BP16" i="6"/>
  <c r="CH16" i="6" s="1"/>
  <c r="BL16" i="6"/>
  <c r="CD16" i="6" s="1"/>
  <c r="BQ16" i="6"/>
  <c r="CE16" i="6" s="1"/>
  <c r="BN20" i="6"/>
  <c r="CF20" i="6" s="1"/>
  <c r="BL20" i="6"/>
  <c r="CD20" i="6" s="1"/>
  <c r="BO20" i="6"/>
  <c r="CG20" i="6" s="1"/>
  <c r="BP20" i="6"/>
  <c r="CH20" i="6" s="1"/>
  <c r="BQ20" i="6"/>
  <c r="CE20" i="6" s="1"/>
  <c r="BM20" i="6"/>
  <c r="CP20" i="6" s="1"/>
  <c r="BE15" i="6"/>
  <c r="BA15" i="6"/>
  <c r="BL11" i="6"/>
  <c r="CD11" i="6" s="1"/>
  <c r="BM11" i="6"/>
  <c r="CP11" i="6" s="1"/>
  <c r="BN11" i="6"/>
  <c r="CF11" i="6" s="1"/>
  <c r="BO11" i="6"/>
  <c r="CG11" i="6" s="1"/>
  <c r="CL11" i="6" s="1"/>
  <c r="BP11" i="6"/>
  <c r="CH11" i="6" s="1"/>
  <c r="BQ11" i="6"/>
  <c r="CE11" i="6" s="1"/>
  <c r="BE23" i="6"/>
  <c r="BA23" i="6"/>
  <c r="BP10" i="6"/>
  <c r="CH10" i="6" s="1"/>
  <c r="BQ10" i="6"/>
  <c r="CE10" i="6" s="1"/>
  <c r="BL10" i="6"/>
  <c r="CD10" i="6" s="1"/>
  <c r="CJ10" i="6" s="1"/>
  <c r="BM10" i="6"/>
  <c r="CP10" i="6" s="1"/>
  <c r="BN10" i="6"/>
  <c r="CF10" i="6" s="1"/>
  <c r="BO10" i="6"/>
  <c r="CG10" i="6" s="1"/>
  <c r="BL18" i="6"/>
  <c r="CD18" i="6" s="1"/>
  <c r="BM18" i="6"/>
  <c r="CP18" i="6" s="1"/>
  <c r="BN18" i="6"/>
  <c r="CF18" i="6" s="1"/>
  <c r="BO18" i="6"/>
  <c r="CG18" i="6" s="1"/>
  <c r="BP18" i="6"/>
  <c r="CH18" i="6" s="1"/>
  <c r="BQ18" i="6"/>
  <c r="CE18" i="6" s="1"/>
  <c r="CM18" i="6" s="1"/>
  <c r="BP17" i="6"/>
  <c r="CH17" i="6" s="1"/>
  <c r="BQ17" i="6"/>
  <c r="CE17" i="6" s="1"/>
  <c r="BL17" i="6"/>
  <c r="CD17" i="6" s="1"/>
  <c r="BM17" i="6"/>
  <c r="CP17" i="6" s="1"/>
  <c r="BN17" i="6"/>
  <c r="CF17" i="6" s="1"/>
  <c r="BO17" i="6"/>
  <c r="CG17" i="6" s="1"/>
  <c r="CJ17" i="6" s="1"/>
  <c r="BP21" i="6"/>
  <c r="CH21" i="6" s="1"/>
  <c r="BL21" i="6"/>
  <c r="CD21" i="6" s="1"/>
  <c r="CM21" i="6" s="1"/>
  <c r="BM21" i="6"/>
  <c r="CP21" i="6" s="1"/>
  <c r="BN21" i="6"/>
  <c r="CF21" i="6" s="1"/>
  <c r="BO21" i="6"/>
  <c r="CG21" i="6" s="1"/>
  <c r="BQ21" i="6"/>
  <c r="CE21" i="6" s="1"/>
  <c r="BN9" i="6"/>
  <c r="CF9" i="6" s="1"/>
  <c r="BO9" i="6"/>
  <c r="CG9" i="6" s="1"/>
  <c r="BP9" i="6"/>
  <c r="CH9" i="6" s="1"/>
  <c r="BQ9" i="6"/>
  <c r="CE9" i="6" s="1"/>
  <c r="CI9" i="6" s="1"/>
  <c r="BL9" i="6"/>
  <c r="CD9" i="6" s="1"/>
  <c r="BM9" i="6"/>
  <c r="CP9" i="6" s="1"/>
  <c r="BE19" i="6"/>
  <c r="BA19" i="6"/>
  <c r="CI8" i="6" l="1"/>
  <c r="CL17" i="6"/>
  <c r="CJ20" i="6"/>
  <c r="CI14" i="6"/>
  <c r="CI17" i="6"/>
  <c r="CJ12" i="6"/>
  <c r="CM11" i="6"/>
  <c r="CJ11" i="6"/>
  <c r="CM8" i="6"/>
  <c r="CK12" i="6"/>
  <c r="CM13" i="6"/>
  <c r="CI10" i="6"/>
  <c r="CI11" i="6"/>
  <c r="CL14" i="6"/>
  <c r="CJ8" i="6"/>
  <c r="CL22" i="6"/>
  <c r="CR22" i="6" s="1"/>
  <c r="CM20" i="6"/>
  <c r="CJ13" i="6"/>
  <c r="CM12" i="6"/>
  <c r="CL8" i="6"/>
  <c r="CK16" i="6"/>
  <c r="CM17" i="6"/>
  <c r="CM9" i="6"/>
  <c r="CL18" i="6"/>
  <c r="CI16" i="6"/>
  <c r="CL13" i="6"/>
  <c r="CK10" i="6"/>
  <c r="CK13" i="6"/>
  <c r="CI22" i="6"/>
  <c r="CJ9" i="6"/>
  <c r="CK8" i="6"/>
  <c r="CM10" i="6"/>
  <c r="CR10" i="6" s="1"/>
  <c r="CK9" i="6"/>
  <c r="CK18" i="6"/>
  <c r="CJ18" i="6"/>
  <c r="CM16" i="6"/>
  <c r="CL10" i="6"/>
  <c r="CM14" i="6"/>
  <c r="CI18" i="6"/>
  <c r="CK21" i="6"/>
  <c r="CI13" i="6"/>
  <c r="CI12" i="6"/>
  <c r="CL20" i="6"/>
  <c r="BL19" i="6"/>
  <c r="CD19" i="6" s="1"/>
  <c r="BM19" i="6"/>
  <c r="CP19" i="6" s="1"/>
  <c r="BN19" i="6"/>
  <c r="CF19" i="6" s="1"/>
  <c r="BO19" i="6"/>
  <c r="CG19" i="6" s="1"/>
  <c r="BP19" i="6"/>
  <c r="CH19" i="6" s="1"/>
  <c r="BQ19" i="6"/>
  <c r="CE19" i="6" s="1"/>
  <c r="BM23" i="6"/>
  <c r="CP23" i="6" s="1"/>
  <c r="BN23" i="6"/>
  <c r="CF23" i="6" s="1"/>
  <c r="BO23" i="6"/>
  <c r="CG23" i="6" s="1"/>
  <c r="BP23" i="6"/>
  <c r="CH23" i="6" s="1"/>
  <c r="BQ23" i="6"/>
  <c r="CE23" i="6" s="1"/>
  <c r="BL23" i="6"/>
  <c r="CD23" i="6" s="1"/>
  <c r="BL15" i="6"/>
  <c r="CD15" i="6" s="1"/>
  <c r="BM15" i="6"/>
  <c r="CP15" i="6" s="1"/>
  <c r="BN15" i="6"/>
  <c r="CF15" i="6" s="1"/>
  <c r="BO15" i="6"/>
  <c r="CG15" i="6" s="1"/>
  <c r="BP15" i="6"/>
  <c r="CH15" i="6" s="1"/>
  <c r="BQ15" i="6"/>
  <c r="CE15" i="6" s="1"/>
  <c r="CK20" i="6"/>
  <c r="CM22" i="6"/>
  <c r="CI21" i="6"/>
  <c r="CJ16" i="6"/>
  <c r="CK11" i="6"/>
  <c r="CK17" i="6"/>
  <c r="CK22" i="6"/>
  <c r="CL9" i="6"/>
  <c r="CL21" i="6"/>
  <c r="CI20" i="6"/>
  <c r="CK14" i="6"/>
  <c r="CJ21" i="6"/>
  <c r="CJ14" i="6"/>
  <c r="CL12" i="6"/>
  <c r="CR16" i="6" l="1"/>
  <c r="CR13" i="6"/>
  <c r="CS22" i="6"/>
  <c r="CS13" i="6"/>
  <c r="CR21" i="6"/>
  <c r="CR8" i="6"/>
  <c r="CR17" i="6"/>
  <c r="CR20" i="6"/>
  <c r="CR11" i="6"/>
  <c r="CR18" i="6"/>
  <c r="CR14" i="6"/>
  <c r="CR9" i="6"/>
  <c r="CS11" i="6"/>
  <c r="CR12" i="6"/>
  <c r="CK15" i="6"/>
  <c r="CL15" i="6"/>
  <c r="CM15" i="6"/>
  <c r="CI15" i="6"/>
  <c r="CJ15" i="6"/>
  <c r="CI19" i="6"/>
  <c r="CJ19" i="6"/>
  <c r="CK19" i="6"/>
  <c r="CL19" i="6"/>
  <c r="CM19" i="6"/>
  <c r="CK23" i="6"/>
  <c r="CM23" i="6"/>
  <c r="CI23" i="6"/>
  <c r="CL23" i="6"/>
  <c r="CJ23" i="6"/>
  <c r="CS16" i="6"/>
  <c r="CS10" i="6"/>
  <c r="CW27" i="6"/>
  <c r="CT27" i="6"/>
  <c r="CT26" i="6"/>
  <c r="CS18" i="6" l="1"/>
  <c r="CS20" i="6"/>
  <c r="CS14" i="6"/>
  <c r="CS8" i="6"/>
  <c r="CS17" i="6"/>
  <c r="CS21" i="6"/>
  <c r="CS9" i="6"/>
  <c r="CR19" i="6"/>
  <c r="CR15" i="6"/>
  <c r="CS12" i="6"/>
  <c r="CR23" i="6"/>
  <c r="CU9" i="6"/>
  <c r="CU16" i="6"/>
  <c r="CU18" i="6"/>
  <c r="CU23" i="6"/>
  <c r="CU17" i="6"/>
  <c r="CU10" i="6"/>
  <c r="CU11" i="6"/>
  <c r="CU19" i="6"/>
  <c r="CU12" i="6"/>
  <c r="CU22" i="6"/>
  <c r="CU15" i="6"/>
  <c r="CU20" i="6"/>
  <c r="CU13" i="6"/>
  <c r="CU21" i="6"/>
  <c r="CU14" i="6"/>
  <c r="CU8" i="6"/>
  <c r="CU26" i="6"/>
  <c r="CU27" i="6"/>
  <c r="CV8" i="6" l="1"/>
  <c r="CS23" i="6"/>
  <c r="CS15" i="6"/>
  <c r="CV15" i="6" s="1"/>
  <c r="CS19" i="6"/>
  <c r="CV19" i="6" s="1"/>
  <c r="CV21" i="6"/>
  <c r="CV14" i="6"/>
  <c r="CV11" i="6"/>
  <c r="CV10" i="6"/>
  <c r="CV13" i="6"/>
  <c r="CV17" i="6"/>
  <c r="CV20" i="6"/>
  <c r="CV23" i="6"/>
  <c r="CV18" i="6"/>
  <c r="CV22" i="6"/>
  <c r="CV16" i="6"/>
  <c r="CV12" i="6"/>
  <c r="CS27" i="6"/>
  <c r="CV27" i="6" s="1"/>
  <c r="CS26" i="6"/>
  <c r="CV26" i="6" s="1"/>
  <c r="CW20" i="6" l="1"/>
  <c r="CW16" i="6"/>
  <c r="CW12" i="6"/>
  <c r="CW26" i="6"/>
  <c r="AJ86" i="5" l="1"/>
  <c r="AI86" i="5"/>
  <c r="AH86" i="5"/>
  <c r="AM84" i="5"/>
  <c r="AL84" i="5"/>
  <c r="S84" i="5"/>
  <c r="K84" i="5"/>
  <c r="L84" i="5" s="1"/>
  <c r="M84" i="5" s="1"/>
  <c r="N84" i="5" s="1"/>
  <c r="AM83" i="5"/>
  <c r="AL83" i="5"/>
  <c r="W83" i="5"/>
  <c r="V83" i="5"/>
  <c r="S83" i="5"/>
  <c r="K83" i="5"/>
  <c r="L83" i="5" s="1"/>
  <c r="M83" i="5" s="1"/>
  <c r="N83" i="5" s="1"/>
  <c r="AM82" i="5"/>
  <c r="AL82" i="5"/>
  <c r="W82" i="5"/>
  <c r="V82" i="5"/>
  <c r="S82" i="5"/>
  <c r="K82" i="5"/>
  <c r="L82" i="5" s="1"/>
  <c r="M82" i="5" s="1"/>
  <c r="N82" i="5" s="1"/>
  <c r="AS81" i="5"/>
  <c r="AO81" i="5"/>
  <c r="AN81" i="5"/>
  <c r="AM81" i="5"/>
  <c r="AL81" i="5"/>
  <c r="W81" i="5"/>
  <c r="V81" i="5"/>
  <c r="S81" i="5"/>
  <c r="K81" i="5"/>
  <c r="L81" i="5" s="1"/>
  <c r="M81" i="5" s="1"/>
  <c r="N81" i="5" s="1"/>
  <c r="D15" i="3" a="1"/>
  <c r="H15" i="3" s="1"/>
  <c r="I15" i="3" s="1"/>
  <c r="D14" i="3" a="1"/>
  <c r="H14" i="3" s="1"/>
  <c r="I14" i="3" s="1"/>
  <c r="D13" i="3" a="1"/>
  <c r="H13" i="3" s="1"/>
  <c r="I13" i="3" s="1"/>
  <c r="D12" i="3" a="1"/>
  <c r="H12" i="3" s="1"/>
  <c r="I12" i="3" s="1"/>
  <c r="D11" i="3" a="1"/>
  <c r="H11" i="3" s="1"/>
  <c r="I11" i="3" s="1"/>
  <c r="D10" i="3" a="1"/>
  <c r="H10" i="3" s="1"/>
  <c r="I10" i="3" s="1"/>
  <c r="D9" i="3" a="1"/>
  <c r="H9" i="3" s="1"/>
  <c r="I9" i="3" s="1"/>
  <c r="D22" i="3" a="1"/>
  <c r="H22" i="3" s="1"/>
  <c r="I22" i="3" s="1"/>
  <c r="D8" i="3" a="1"/>
  <c r="H8" i="3" s="1"/>
  <c r="I8" i="3" s="1"/>
  <c r="AE27" i="3"/>
  <c r="AE26" i="3"/>
  <c r="D21" i="3" a="1"/>
  <c r="H21" i="3" s="1"/>
  <c r="I21" i="3" s="1"/>
  <c r="D30" i="1"/>
  <c r="D29" i="1"/>
  <c r="D28" i="1"/>
  <c r="D27" i="1"/>
  <c r="D26" i="1"/>
  <c r="D25" i="1"/>
  <c r="D24" i="1"/>
  <c r="D23" i="1"/>
  <c r="K22" i="1"/>
  <c r="J22" i="1"/>
  <c r="I22" i="1"/>
  <c r="D22" i="1"/>
  <c r="J21" i="1"/>
  <c r="D21" i="1"/>
  <c r="I21" i="1" s="1"/>
  <c r="J20" i="1"/>
  <c r="I20" i="1"/>
  <c r="D20" i="1"/>
  <c r="K19" i="1"/>
  <c r="J19" i="1"/>
  <c r="D19" i="1"/>
  <c r="I19" i="1" s="1"/>
  <c r="J18" i="1"/>
  <c r="I18" i="1"/>
  <c r="D18" i="1"/>
  <c r="J17" i="1"/>
  <c r="I17" i="1"/>
  <c r="D17" i="1"/>
  <c r="K18" i="1"/>
  <c r="L18" i="1" l="1"/>
  <c r="L19" i="1"/>
  <c r="L22" i="1"/>
  <c r="AT81" i="5"/>
  <c r="Z81" i="5"/>
  <c r="Z84" i="5"/>
  <c r="Z82" i="5"/>
  <c r="Z83" i="5"/>
  <c r="Y81" i="5"/>
  <c r="Y84" i="5"/>
  <c r="Y82" i="5"/>
  <c r="Y83" i="5"/>
  <c r="AA84" i="5"/>
  <c r="AA82" i="5"/>
  <c r="AA81" i="5"/>
  <c r="AA83" i="5"/>
  <c r="X81" i="5"/>
  <c r="X83" i="5"/>
  <c r="X84" i="5"/>
  <c r="X82" i="5"/>
  <c r="K13" i="3"/>
  <c r="K8" i="3"/>
  <c r="K14" i="3"/>
  <c r="K9" i="3"/>
  <c r="K21" i="3"/>
  <c r="K10" i="3"/>
  <c r="K11" i="3"/>
  <c r="K12" i="3"/>
  <c r="K21" i="1"/>
  <c r="L21" i="1" s="1"/>
  <c r="K17" i="1"/>
  <c r="L17" i="1" s="1"/>
  <c r="K20" i="1"/>
  <c r="L20" i="1" s="1"/>
  <c r="K22" i="3"/>
  <c r="K15" i="3"/>
  <c r="AA14" i="3" l="1"/>
  <c r="Z14" i="3"/>
  <c r="T14" i="3"/>
  <c r="S14" i="3"/>
  <c r="Y14" i="3" a="1"/>
  <c r="AB14" i="3" s="1" a="1"/>
  <c r="AF9" i="3"/>
  <c r="Z9" i="3"/>
  <c r="T9" i="3"/>
  <c r="S9" i="3"/>
  <c r="AA9" i="3"/>
  <c r="Y9" i="3" a="1"/>
  <c r="AB9" i="3" s="1" a="1"/>
  <c r="AA13" i="3"/>
  <c r="Z13" i="3"/>
  <c r="T13" i="3"/>
  <c r="S13" i="3"/>
  <c r="Y13" i="3" a="1"/>
  <c r="AB13" i="3" s="1" a="1"/>
  <c r="T12" i="3"/>
  <c r="S12" i="3"/>
  <c r="Z12" i="3"/>
  <c r="AA12" i="3"/>
  <c r="Y12" i="3" a="1"/>
  <c r="AB12" i="3" s="1" a="1"/>
  <c r="AF11" i="3"/>
  <c r="AA11" i="3"/>
  <c r="T11" i="3"/>
  <c r="S11" i="3"/>
  <c r="Z11" i="3"/>
  <c r="Y11" i="3" a="1"/>
  <c r="AB11" i="3" s="1" a="1"/>
  <c r="V10" i="3"/>
  <c r="AA10" i="3"/>
  <c r="T10" i="3"/>
  <c r="S10" i="3"/>
  <c r="Z10" i="3"/>
  <c r="Y10" i="3" a="1"/>
  <c r="AB10" i="3" s="1" a="1"/>
  <c r="AA15" i="3"/>
  <c r="Z15" i="3"/>
  <c r="T15" i="3"/>
  <c r="S15" i="3"/>
  <c r="Y15" i="3" a="1"/>
  <c r="AB15" i="3" s="1" a="1"/>
  <c r="AA21" i="3"/>
  <c r="Z21" i="3"/>
  <c r="T21" i="3"/>
  <c r="S21" i="3"/>
  <c r="AA8" i="3"/>
  <c r="Z8" i="3"/>
  <c r="T8" i="3"/>
  <c r="S8" i="3"/>
  <c r="Y8" i="3" a="1"/>
  <c r="Z22" i="3"/>
  <c r="T22" i="3"/>
  <c r="AA22" i="3"/>
  <c r="S22" i="3"/>
  <c r="Y22" i="3" a="1"/>
  <c r="AB22" i="3" s="1" a="1"/>
  <c r="V21" i="3"/>
  <c r="Y21" i="3" a="1"/>
  <c r="AB21" i="3" s="1" a="1"/>
  <c r="AB82" i="5"/>
  <c r="AD81" i="5" s="1"/>
  <c r="AB84" i="5"/>
  <c r="AF81" i="5" s="1"/>
  <c r="AB83" i="5"/>
  <c r="AE81" i="5" s="1"/>
  <c r="AB81" i="5"/>
  <c r="AC81" i="5" s="1"/>
  <c r="R14" i="3"/>
  <c r="AG9" i="3"/>
  <c r="R9" i="3"/>
  <c r="U14" i="3"/>
  <c r="V14" i="3"/>
  <c r="AF14" i="3"/>
  <c r="V9" i="3"/>
  <c r="AG14" i="3"/>
  <c r="AG11" i="3"/>
  <c r="U9" i="3"/>
  <c r="R11" i="3"/>
  <c r="R21" i="3"/>
  <c r="U21" i="3"/>
  <c r="R8" i="3"/>
  <c r="AF21" i="3"/>
  <c r="V11" i="3"/>
  <c r="V13" i="3"/>
  <c r="AG10" i="3"/>
  <c r="U10" i="3"/>
  <c r="AF10" i="3"/>
  <c r="R10" i="3"/>
  <c r="U8" i="3"/>
  <c r="AF8" i="3"/>
  <c r="R13" i="3"/>
  <c r="AG21" i="3"/>
  <c r="AG8" i="3"/>
  <c r="AF13" i="3"/>
  <c r="V8" i="3"/>
  <c r="AG13" i="3"/>
  <c r="U13" i="3"/>
  <c r="U11" i="3"/>
  <c r="R15" i="3"/>
  <c r="AG15" i="3"/>
  <c r="AF15" i="3"/>
  <c r="U15" i="3"/>
  <c r="V15" i="3"/>
  <c r="R12" i="3"/>
  <c r="AF12" i="3"/>
  <c r="V12" i="3"/>
  <c r="U12" i="3"/>
  <c r="AG12" i="3"/>
  <c r="AG22" i="3"/>
  <c r="V22" i="3"/>
  <c r="U22" i="3"/>
  <c r="AF22" i="3"/>
  <c r="R22" i="3"/>
  <c r="W22" i="3" l="1"/>
  <c r="AK82" i="5"/>
  <c r="AK84" i="5"/>
  <c r="AE84" i="5"/>
  <c r="AK81" i="5"/>
  <c r="AK83" i="5"/>
  <c r="AK85" i="5"/>
  <c r="AB8" i="3" a="1"/>
  <c r="W8" i="3" s="1"/>
  <c r="X8" i="3" s="1"/>
  <c r="AC8" i="3" s="1"/>
  <c r="AD14" i="3"/>
  <c r="W9" i="3"/>
  <c r="X9" i="3" s="1"/>
  <c r="AC9" i="3" s="1"/>
  <c r="AD9" i="3"/>
  <c r="AD11" i="3"/>
  <c r="W14" i="3"/>
  <c r="X14" i="3" s="1"/>
  <c r="AC14" i="3" s="1"/>
  <c r="W21" i="3"/>
  <c r="W11" i="3"/>
  <c r="X11" i="3" s="1"/>
  <c r="AC11" i="3" s="1"/>
  <c r="AD13" i="3"/>
  <c r="AD21" i="3"/>
  <c r="W13" i="3"/>
  <c r="X13" i="3" s="1"/>
  <c r="AC13" i="3" s="1"/>
  <c r="AD10" i="3"/>
  <c r="W10" i="3"/>
  <c r="X10" i="3" s="1"/>
  <c r="AC10" i="3" s="1"/>
  <c r="W15" i="3"/>
  <c r="X15" i="3" s="1"/>
  <c r="AC15" i="3" s="1"/>
  <c r="AD22" i="3"/>
  <c r="W12" i="3"/>
  <c r="X12" i="3" s="1"/>
  <c r="AC12" i="3" s="1"/>
  <c r="AD12" i="3"/>
  <c r="AD15" i="3"/>
  <c r="AQ85" i="5" l="1"/>
  <c r="AE13" i="3" a="1"/>
  <c r="AH13" i="3" s="1"/>
  <c r="AE15" i="3" a="1"/>
  <c r="AH15" i="3" s="1"/>
  <c r="AE14" i="3" a="1"/>
  <c r="AH14" i="3" s="1"/>
  <c r="AE12" i="3" a="1"/>
  <c r="AH12" i="3" s="1"/>
  <c r="AE11" i="3" a="1"/>
  <c r="AH11" i="3" s="1"/>
  <c r="AE10" i="3" a="1"/>
  <c r="AH10" i="3" s="1"/>
  <c r="AE9" i="3" a="1"/>
  <c r="AH9" i="3" s="1"/>
  <c r="X21" i="3"/>
  <c r="AC21" i="3" s="1"/>
  <c r="AE21" i="3" s="1" a="1"/>
  <c r="AH21" i="3" s="1"/>
  <c r="AQ83" i="5"/>
  <c r="AK86" i="5"/>
  <c r="AP81" i="5"/>
  <c r="AQ84" i="5"/>
  <c r="AQ82" i="5"/>
  <c r="X22" i="3"/>
  <c r="AC22" i="3" s="1"/>
  <c r="AD8" i="3"/>
  <c r="AE8" i="3" s="1" a="1"/>
  <c r="AH8" i="3" s="1"/>
  <c r="AE22" i="3" l="1" a="1"/>
  <c r="AH22" i="3" s="1"/>
  <c r="AQ81" i="5"/>
  <c r="AR81" i="5" s="1"/>
  <c r="AU81" i="5" s="1"/>
  <c r="CV9" i="6" l="1"/>
  <c r="CW8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<sst xmlns="http://schemas.openxmlformats.org/spreadsheetml/2006/main" count="1419" uniqueCount="527">
  <si>
    <t>Table A.2.1.4</t>
  </si>
  <si>
    <t>EFn2o wet</t>
  </si>
  <si>
    <t>EFn20 dry</t>
  </si>
  <si>
    <t>Cn2o</t>
  </si>
  <si>
    <t>𝐸𝑁2𝑂 = ∑ ∑ (𝑀𝑁𝑆𝑜𝑖𝑙𝑗𝑓 × 𝐸𝐹 𝑁2𝑂,𝑖 × 𝐶𝑁2𝑂 × 10−3)</t>
  </si>
  <si>
    <t>Purchased manure</t>
  </si>
  <si>
    <t>𝑀𝑁𝑆𝑜𝑖𝑙𝑗𝑓 = 𝑀𝑜𝑟𝑔𝑎𝑛𝑖𝑐,𝑗𝑓 × 𝐹𝑁𝑜𝑟𝑔𝑎𝑛𝑖𝑐,𝑓</t>
  </si>
  <si>
    <t>Morganicjf</t>
  </si>
  <si>
    <t>Type</t>
  </si>
  <si>
    <t>Fnorganicg</t>
  </si>
  <si>
    <t>Custom FN</t>
  </si>
  <si>
    <t>climate</t>
  </si>
  <si>
    <t>MNSoiljf</t>
  </si>
  <si>
    <t>EFn2oi</t>
  </si>
  <si>
    <t>En2o</t>
  </si>
  <si>
    <t>Poultry</t>
  </si>
  <si>
    <t>wet</t>
  </si>
  <si>
    <t>Table A.2.2.8</t>
  </si>
  <si>
    <t>Fnorganicf for off farm manure</t>
  </si>
  <si>
    <t>dry</t>
  </si>
  <si>
    <t>Dairy cattle</t>
  </si>
  <si>
    <t>Beef cattle</t>
  </si>
  <si>
    <t>Sheep</t>
  </si>
  <si>
    <t>Swine</t>
  </si>
  <si>
    <t>Horses/Mules</t>
  </si>
  <si>
    <t>Local manure - swine</t>
  </si>
  <si>
    <t>4.5.1.3</t>
  </si>
  <si>
    <t>4.1.1 (t1)</t>
  </si>
  <si>
    <t>4.5.1.5</t>
  </si>
  <si>
    <t>𝑀𝑁 𝑗𝑚 𝑇=1 = 𝐴𝐸 𝑗 × 𝐹𝑁 𝑗𝑚 𝑇=1</t>
  </si>
  <si>
    <t>𝑀𝑁𝐿𝑒𝑎𝑐ℎ𝑗𝑚=5 = 𝑀𝑁 𝑗𝑚=5𝑇=1 × 𝐹𝑟𝑎𝑐𝑊𝐸𝑇 × 𝐹𝑟𝑎𝑐𝐿𝐸𝐴𝐶𝐻𝑀𝑆</t>
  </si>
  <si>
    <t>𝐹𝑁 𝑗𝑚=4 𝑇=1 = 𝑀𝑀𝑆 𝑗𝑚=4 𝑇=1 + (𝑀𝑀𝑆𝑗𝑚=1,7,9 𝑇=1 × 𝑆𝑁𝑚)</t>
  </si>
  <si>
    <t>𝑀𝑁 𝑗𝑚 𝑇=2 = 𝑁𝑇 𝑗𝑚 𝑇=2 × 𝑀𝑀𝑆 𝑗𝑚𝑇=2</t>
  </si>
  <si>
    <t>𝑀𝑁𝑆𝑜𝑖𝑙𝑠𝑐𝑜𝑝𝑒1 = ∑ ∑ (𝑀𝑁 𝑗𝑚𝑇=2 × (1 − 𝐸𝐹 𝑚𝑇=2− 𝐹𝑟𝑎𝑐𝐺𝐴𝑆𝑀𝑚𝑇=2) − 𝑀𝑁𝐿𝑒𝑎𝑐ℎ𝑗𝑚=5) × 𝑃𝐹</t>
  </si>
  <si>
    <t>Ch 4 l 230 - Total nitrogen excreted (kg N)</t>
  </si>
  <si>
    <t>Ch 4 l 339 - fraction of manure applied to soil within boundary</t>
  </si>
  <si>
    <t>Ch 4 l331</t>
  </si>
  <si>
    <t>AE j</t>
  </si>
  <si>
    <t>Description</t>
  </si>
  <si>
    <t>Leaching zone</t>
  </si>
  <si>
    <t>PF</t>
  </si>
  <si>
    <t>Main MMS 2</t>
  </si>
  <si>
    <t>FracGASMmT=2</t>
  </si>
  <si>
    <t>FracWET</t>
  </si>
  <si>
    <t>FracLEACH</t>
  </si>
  <si>
    <t>MNjmt2</t>
  </si>
  <si>
    <t>MNSoiljf S1</t>
  </si>
  <si>
    <t>Subtotal s1</t>
  </si>
  <si>
    <t>En2o local</t>
  </si>
  <si>
    <t>Basic scenario</t>
  </si>
  <si>
    <t>yes</t>
  </si>
  <si>
    <t>Deep litter</t>
  </si>
  <si>
    <t>Short HRT tank storage &lt; 1 month (pit storage)</t>
  </si>
  <si>
    <t>no</t>
  </si>
  <si>
    <t>Stockpile (Solid storage)</t>
  </si>
  <si>
    <t>FracLeach</t>
  </si>
  <si>
    <t>Outdoor (Dry lot)</t>
  </si>
  <si>
    <t>Effluent pond (Uncovered anaerobic lagoon)</t>
  </si>
  <si>
    <t>Anaerobic digestor / Covered lagoon</t>
  </si>
  <si>
    <t>Efmt</t>
  </si>
  <si>
    <t>Table A.1.6.3</t>
  </si>
  <si>
    <t>FracGASMmt</t>
  </si>
  <si>
    <t>Table A.1.6.2</t>
  </si>
  <si>
    <t>Local manure - feedlot</t>
  </si>
  <si>
    <t>D</t>
  </si>
  <si>
    <t>Use defaults if not supplied</t>
  </si>
  <si>
    <t>𝑁𝐸𝑗 = 𝑁𝐼𝑗 × (1 − 𝑁𝑅𝑗)</t>
  </si>
  <si>
    <t>𝐴𝐸𝑗 = 𝑁 𝑗 × 𝑁𝐸𝑗 × 𝐿𝑗</t>
  </si>
  <si>
    <t>𝑀𝑇 𝑗𝑚𝑇=2 = (𝑀𝑁𝑗𝑚=5𝑇=1 × (1 − 𝐹𝑟𝑎𝑐𝐺𝐴𝑆𝑀𝑚=5𝑇=1− 𝐸𝐹𝑚=5𝑇=1)) − 𝑀𝑁𝑗𝑚𝑇=3</t>
  </si>
  <si>
    <t>𝑁𝐼𝑗 = 𝐼𝑗 × 𝐶𝑃 𝑗 ÷ 6.25</t>
  </si>
  <si>
    <t>𝑀𝑁 𝑗𝑚=1 𝑇=3 = 𝐴𝐸𝑗 × 𝑀𝑀𝑆𝑚=1 𝑇=3</t>
  </si>
  <si>
    <t>𝑀𝑁 𝑗𝑚𝑇=2 = 𝑀𝑇 𝑗𝑚𝑇=2 × 𝑀𝑀𝑆𝑚𝑇=2</t>
  </si>
  <si>
    <t>𝑀𝑁𝑆𝑜𝑖𝑙 = ∑ ∑ ∑ 𝑀𝑁 𝑗𝑚𝑇=2,3 × (1 − 𝐸𝐹𝑚𝑇=2,3− 𝐹𝑟𝑎𝑐𝐺𝐴𝑆𝑀𝑚𝑇=2,3) × PF</t>
  </si>
  <si>
    <t>Average length of stay</t>
  </si>
  <si>
    <t>Custom value</t>
  </si>
  <si>
    <t>Dry matter kgDM/head/day</t>
  </si>
  <si>
    <t>Crude protein of feed (percent)</t>
  </si>
  <si>
    <t>N retention as fraction</t>
  </si>
  <si>
    <t>N intake kg/head/day</t>
  </si>
  <si>
    <t>Nitrogen excretion kgN/head/day</t>
  </si>
  <si>
    <t>Number of cattle in group</t>
  </si>
  <si>
    <t>Amount scraped from feedlot into stage 2. Multiple MMSs would require values here</t>
  </si>
  <si>
    <t>T1Ch4l242</t>
  </si>
  <si>
    <t>T1Ch4p13</t>
  </si>
  <si>
    <t>Lj</t>
  </si>
  <si>
    <t>Ij</t>
  </si>
  <si>
    <t>Actual Ij</t>
  </si>
  <si>
    <t>Custom CPj</t>
  </si>
  <si>
    <t>Actual CPj</t>
  </si>
  <si>
    <t>NRj</t>
  </si>
  <si>
    <t>Nij</t>
  </si>
  <si>
    <t>Nej</t>
  </si>
  <si>
    <t>Nj</t>
  </si>
  <si>
    <t>Direct application at stage 2?</t>
  </si>
  <si>
    <t>Tertiary anaerobic lagoon?</t>
  </si>
  <si>
    <t>MMS𝑚1T2</t>
  </si>
  <si>
    <t>MNjmt=1</t>
  </si>
  <si>
    <t>FracGASMt=1</t>
  </si>
  <si>
    <t>Efmt=1</t>
  </si>
  <si>
    <t>Efmt=2</t>
  </si>
  <si>
    <t>MTjmt=2</t>
  </si>
  <si>
    <t>MMS𝑚1T3</t>
  </si>
  <si>
    <t>Efmt=3</t>
  </si>
  <si>
    <t>FracGASMmT=3</t>
  </si>
  <si>
    <t>MNjmt3</t>
  </si>
  <si>
    <t>MNSoil T=2</t>
  </si>
  <si>
    <t>MNSoil T=3</t>
  </si>
  <si>
    <t>MNSoil s1</t>
  </si>
  <si>
    <t>Basic scenario - custom Lj</t>
  </si>
  <si>
    <t>Basic scenario - custom CPj</t>
  </si>
  <si>
    <t>Basic scenario - dry climate</t>
  </si>
  <si>
    <t>Basic scenario - alt MMS 2</t>
  </si>
  <si>
    <t>Basic scenario - direct app stage 2</t>
  </si>
  <si>
    <t>Basic scenario - no lagoon</t>
  </si>
  <si>
    <t>Feedlot</t>
  </si>
  <si>
    <t>FracGASM</t>
  </si>
  <si>
    <t>A5.5.3.6,7 NIR vol 2</t>
  </si>
  <si>
    <t>A5.5.3.1 NIR vol 2</t>
  </si>
  <si>
    <t>Length of stay Lj 2020-2023</t>
  </si>
  <si>
    <t>0-80 days</t>
  </si>
  <si>
    <t>81-200 days</t>
  </si>
  <si>
    <t>201+ days</t>
  </si>
  <si>
    <t/>
  </si>
  <si>
    <t>ch 5.2</t>
  </si>
  <si>
    <t>Pasture</t>
  </si>
  <si>
    <t>Feedpad</t>
  </si>
  <si>
    <t>input</t>
  </si>
  <si>
    <t>constant</t>
  </si>
  <si>
    <t>expression</t>
  </si>
  <si>
    <t>Grazed only</t>
  </si>
  <si>
    <t>Limited feedpad</t>
  </si>
  <si>
    <t>4 = Solid Storage</t>
  </si>
  <si>
    <t>Limited grazing</t>
  </si>
  <si>
    <t>14 = Pasture range and paddock</t>
  </si>
  <si>
    <t>Scenario</t>
  </si>
  <si>
    <t>Wj</t>
  </si>
  <si>
    <t>MRj</t>
  </si>
  <si>
    <t>WRj</t>
  </si>
  <si>
    <t>LWGj</t>
  </si>
  <si>
    <t>MIj</t>
  </si>
  <si>
    <t>CPj</t>
  </si>
  <si>
    <t>CPIj</t>
  </si>
  <si>
    <t>DMDj</t>
  </si>
  <si>
    <t>Zj</t>
  </si>
  <si>
    <t>leaching zone</t>
  </si>
  <si>
    <t>NE</t>
  </si>
  <si>
    <t>GEC</t>
  </si>
  <si>
    <t>k</t>
  </si>
  <si>
    <t>qmj</t>
  </si>
  <si>
    <t>FracLEACH_MS</t>
  </si>
  <si>
    <t>MNSoil (scope 1)</t>
  </si>
  <si>
    <t>Zero grazing</t>
  </si>
  <si>
    <t>sum</t>
  </si>
  <si>
    <t>EFm</t>
  </si>
  <si>
    <t>Ijk * CPjk / 6.25</t>
  </si>
  <si>
    <t>NIjk * (1 - NRjk)</t>
  </si>
  <si>
    <t>Njk * NEjk * Djk</t>
  </si>
  <si>
    <t>AEjk * MMSjmT=1</t>
  </si>
  <si>
    <t>Mleach,m14</t>
  </si>
  <si>
    <t>SUM SUM (MNjkmT=2 * (1 - EFmT=2 - FracGASMT=2) - Mleach,MMS) * PF</t>
  </si>
  <si>
    <t>680</t>
  </si>
  <si>
    <t>682</t>
  </si>
  <si>
    <t>689</t>
  </si>
  <si>
    <t>698</t>
  </si>
  <si>
    <t>694</t>
  </si>
  <si>
    <t>697</t>
  </si>
  <si>
    <t>708</t>
  </si>
  <si>
    <t>706</t>
  </si>
  <si>
    <t>712</t>
  </si>
  <si>
    <t>713</t>
  </si>
  <si>
    <t>530</t>
  </si>
  <si>
    <t>523</t>
  </si>
  <si>
    <t>518</t>
  </si>
  <si>
    <t>507</t>
  </si>
  <si>
    <t>672</t>
  </si>
  <si>
    <t>618</t>
  </si>
  <si>
    <t>Njk</t>
  </si>
  <si>
    <t>Djk</t>
  </si>
  <si>
    <t>NRjk</t>
  </si>
  <si>
    <t>Ijk</t>
  </si>
  <si>
    <t>CPjk</t>
  </si>
  <si>
    <t>FracGASMT=2</t>
  </si>
  <si>
    <t>FracWet</t>
  </si>
  <si>
    <t>FracLEACHMS</t>
  </si>
  <si>
    <t>NIjk</t>
  </si>
  <si>
    <t>NEjk</t>
  </si>
  <si>
    <t>AEjk</t>
  </si>
  <si>
    <t>MNSoil (scope1)</t>
  </si>
  <si>
    <t>Manure Management System (MMS) m</t>
  </si>
  <si>
    <t>Primary Systems (T=1)</t>
  </si>
  <si>
    <t>10 = Poultry manure with litter</t>
  </si>
  <si>
    <t>11a = Poultry manure without litter with belt</t>
  </si>
  <si>
    <t>manure removal</t>
  </si>
  <si>
    <t>11b = Poultry manure without litter with manure</t>
  </si>
  <si>
    <t>stored in house</t>
  </si>
  <si>
    <t>Secondary Systems (T=2)</t>
  </si>
  <si>
    <t>6 = Composting (passive windrow)</t>
  </si>
  <si>
    <t>7 = Digestor/Covered Lagoon</t>
  </si>
  <si>
    <t>8 = Deep Litter</t>
  </si>
  <si>
    <t>12 = Direct processing into pelletized fertilizer</t>
  </si>
  <si>
    <t>13 = Direct application to soils</t>
  </si>
  <si>
    <t>1 = Layer </t>
  </si>
  <si>
    <t>Layer </t>
  </si>
  <si>
    <t>Cage</t>
  </si>
  <si>
    <t>Barn</t>
  </si>
  <si>
    <t>Free Range</t>
  </si>
  <si>
    <t>2 = Meat </t>
  </si>
  <si>
    <t>2a = Meat Chicken Growers </t>
  </si>
  <si>
    <t>Group 1 depletion 50%</t>
  </si>
  <si>
    <t>Group 1 depletion 100%</t>
  </si>
  <si>
    <t>Group 2 depletion 50%</t>
  </si>
  <si>
    <t>Group 2 depletion 100%</t>
  </si>
  <si>
    <t>2b = Meat Chicken Breeders </t>
  </si>
  <si>
    <t>Breeders</t>
  </si>
  <si>
    <t>2c = Other </t>
  </si>
  <si>
    <t>Other</t>
  </si>
  <si>
    <t>i </t>
  </si>
  <si>
    <t>Temperature Zone</t>
  </si>
  <si>
    <t>j </t>
  </si>
  <si>
    <t>Poultry Class</t>
  </si>
  <si>
    <t>k </t>
  </si>
  <si>
    <t>Poultry Subclass</t>
  </si>
  <si>
    <t>m </t>
  </si>
  <si>
    <t>Manure management system</t>
  </si>
  <si>
    <t>T </t>
  </si>
  <si>
    <t>Treatment stage</t>
  </si>
  <si>
    <t>Nutrient analysis </t>
  </si>
  <si>
    <t>Layers</t>
  </si>
  <si>
    <t>Meat other</t>
  </si>
  <si>
    <t>Dry matter intake</t>
  </si>
  <si>
    <t>(kg/head/day)</t>
  </si>
  <si>
    <t>Dry matter digestibility </t>
  </si>
  <si>
    <t>Crude protein </t>
  </si>
  <si>
    <t>Nitrogen retention rate </t>
  </si>
  <si>
    <t>Manure ash </t>
  </si>
  <si>
    <t>A.1.7.1</t>
  </si>
  <si>
    <t>Nitrogen retention expressed as a per cent of intake</t>
  </si>
  <si>
    <t>Meat chicken growers</t>
  </si>
  <si>
    <t>Meat chicken breeder</t>
  </si>
  <si>
    <t>Dry matter intake for each class and subclass</t>
  </si>
  <si>
    <t>A.1.7.2</t>
  </si>
  <si>
    <t>Belt manure removal</t>
  </si>
  <si>
    <t>Manure stored in house</t>
  </si>
  <si>
    <t>FracGASMmT</t>
  </si>
  <si>
    <t>Manure with litter</t>
  </si>
  <si>
    <t>Pasture range and paddock</t>
  </si>
  <si>
    <t>EFmT</t>
  </si>
  <si>
    <t>Baseline</t>
  </si>
  <si>
    <t>Direct application to soils</t>
  </si>
  <si>
    <t>Direct processing</t>
  </si>
  <si>
    <t>Solid storage (stockpile)</t>
  </si>
  <si>
    <t>Composting (passive windrow)</t>
  </si>
  <si>
    <t>Digester / covered pond </t>
  </si>
  <si>
    <t>FracLEACHms</t>
  </si>
  <si>
    <t>MMSm=10T=1</t>
  </si>
  <si>
    <t>MMSm=11aT=1</t>
  </si>
  <si>
    <t>MMSm=11bT=1</t>
  </si>
  <si>
    <t>MMSm=14T=1</t>
  </si>
  <si>
    <t>duration of stay</t>
  </si>
  <si>
    <t>sums</t>
  </si>
  <si>
    <t>NTjm=10T=2</t>
  </si>
  <si>
    <t>NTjm=11aT=2</t>
  </si>
  <si>
    <t>NTjm=11bT=2</t>
  </si>
  <si>
    <t>Baseline - no leaching</t>
  </si>
  <si>
    <t>Baseline - dry climate</t>
  </si>
  <si>
    <t>Baseline - mms1 combo 1</t>
  </si>
  <si>
    <t>Baseline - alt head numbers</t>
  </si>
  <si>
    <t>Baseline - method 2</t>
  </si>
  <si>
    <t>Breed</t>
  </si>
  <si>
    <t>Medium Friesian</t>
  </si>
  <si>
    <t>Large Friesian</t>
  </si>
  <si>
    <t>Holstein-Friesian</t>
  </si>
  <si>
    <t>Friesian crossbred</t>
  </si>
  <si>
    <t>Jersey</t>
  </si>
  <si>
    <t>Jersey crossbred</t>
  </si>
  <si>
    <t>Ayrshire</t>
  </si>
  <si>
    <t>Guernsey</t>
  </si>
  <si>
    <t>Brown Swiss</t>
  </si>
  <si>
    <t>Illawarra/Aussie Red</t>
  </si>
  <si>
    <t>LWG</t>
  </si>
  <si>
    <t>Pasture range and paddock (free range)</t>
  </si>
  <si>
    <t>Swine class</t>
  </si>
  <si>
    <t>Number of poultry in each class j and subclass k</t>
  </si>
  <si>
    <t>Duration of stay for each class and subclass of poultry</t>
  </si>
  <si>
    <t>Feed Intake</t>
  </si>
  <si>
    <t>Volatile solid production</t>
  </si>
  <si>
    <t>Nitrogen waste production</t>
  </si>
  <si>
    <t>Uncovered anaerobic lagoons</t>
  </si>
  <si>
    <t>Outdoor</t>
  </si>
  <si>
    <t>Covered/Digester</t>
  </si>
  <si>
    <t>Deep Litter</t>
  </si>
  <si>
    <t>Pit Storage &lt; 1 Month</t>
  </si>
  <si>
    <t>Solid Storage</t>
  </si>
  <si>
    <t>Solids separated</t>
  </si>
  <si>
    <t>Solid separation rate</t>
  </si>
  <si>
    <t>(true or false)</t>
  </si>
  <si>
    <t>j</t>
  </si>
  <si>
    <t>Dj</t>
  </si>
  <si>
    <t>VSj</t>
  </si>
  <si>
    <t>NWj</t>
  </si>
  <si>
    <t>MMSjm=1T=1</t>
  </si>
  <si>
    <t>MMSjm=5T=1</t>
  </si>
  <si>
    <t>MMSjm=7T=1</t>
  </si>
  <si>
    <t>MMSjm=8T=1</t>
  </si>
  <si>
    <t>MMSjm=9T=1</t>
  </si>
  <si>
    <t>MMSjm=4T=1</t>
  </si>
  <si>
    <t>true/false</t>
  </si>
  <si>
    <t>SNj</t>
  </si>
  <si>
    <t>AEj</t>
  </si>
  <si>
    <t>FNjm=1T=1</t>
  </si>
  <si>
    <t>FNjm=5T=1</t>
  </si>
  <si>
    <t>FNjm=7T=1</t>
  </si>
  <si>
    <t>FNjm=8T=1</t>
  </si>
  <si>
    <t>FNjm=9T=1</t>
  </si>
  <si>
    <t>FNjm=4T=1</t>
  </si>
  <si>
    <t>MNjm=1T=1</t>
  </si>
  <si>
    <t>MNjm=5T=1</t>
  </si>
  <si>
    <t>MNjm=7T=1</t>
  </si>
  <si>
    <t>MNjm=8T=1</t>
  </si>
  <si>
    <t>MNjm=9T=1</t>
  </si>
  <si>
    <t>MNjm=4T=1</t>
  </si>
  <si>
    <t>FracGASMm=1T=1</t>
  </si>
  <si>
    <t>FracGASMm=5T=1</t>
  </si>
  <si>
    <t>FracGASMm=7T=1</t>
  </si>
  <si>
    <t>FracGASMm=8T=1</t>
  </si>
  <si>
    <t>FracGASMm=9T=1</t>
  </si>
  <si>
    <t>FracGASMm=4T=1</t>
  </si>
  <si>
    <t>EFm=1</t>
  </si>
  <si>
    <t>EFm=5</t>
  </si>
  <si>
    <t>EFm=7</t>
  </si>
  <si>
    <t>EFm=8</t>
  </si>
  <si>
    <t>EFm=9</t>
  </si>
  <si>
    <t>EFm=4</t>
  </si>
  <si>
    <t>NTjm=1T=2</t>
  </si>
  <si>
    <t>NTjm=7T=2</t>
  </si>
  <si>
    <t>NTjm=8T=2</t>
  </si>
  <si>
    <t>NTjm=9T=2</t>
  </si>
  <si>
    <t>NTjm=4T=2</t>
  </si>
  <si>
    <t>MNjm=1T=2</t>
  </si>
  <si>
    <t>MNjm=4T=2</t>
  </si>
  <si>
    <t>MNjm=13T=2</t>
  </si>
  <si>
    <t>State</t>
  </si>
  <si>
    <t>MAT</t>
  </si>
  <si>
    <t>i</t>
  </si>
  <si>
    <t>NSW</t>
  </si>
  <si>
    <t>boars</t>
  </si>
  <si>
    <t>sows</t>
  </si>
  <si>
    <t>gilts</t>
  </si>
  <si>
    <t>others</t>
  </si>
  <si>
    <t>NT</t>
  </si>
  <si>
    <t>QLD</t>
  </si>
  <si>
    <t>WA</t>
  </si>
  <si>
    <t>Climate Zone</t>
  </si>
  <si>
    <t>MNSoil</t>
  </si>
  <si>
    <t>MNLeachm=5</t>
  </si>
  <si>
    <t>Table A.1.6.1: Swine – Intake and manure characteristics derived from PigBal (2020-2024)</t>
  </si>
  <si>
    <t>Class (j)</t>
  </si>
  <si>
    <t>Feed Intake (Ij)</t>
  </si>
  <si>
    <t>Volatile Solids (VSj)</t>
  </si>
  <si>
    <t>Nitrogen in Waste (NWj)</t>
  </si>
  <si>
    <t>Nitrogen separation rate</t>
  </si>
  <si>
    <t>Mass of nitrogen per system (stage 1)</t>
  </si>
  <si>
    <t>Fraction of nitrogen per system (stage 1)</t>
  </si>
  <si>
    <t>Instead of aggregate * fraction, sum nitrogen from relevant primary MMSs</t>
  </si>
  <si>
    <t>𝐹𝑁𝑗𝑚 𝑇=1 = 𝑀𝑀𝑆𝑗𝑚 𝑇=1 × (1 − 𝑆𝑁𝑚)</t>
  </si>
  <si>
    <t>A</t>
  </si>
  <si>
    <t>NEj</t>
  </si>
  <si>
    <t>m</t>
  </si>
  <si>
    <t>Production system</t>
  </si>
  <si>
    <t>Feed system</t>
  </si>
  <si>
    <t>Time spent in locations</t>
  </si>
  <si>
    <t>Allocations to MMS from milk shed</t>
  </si>
  <si>
    <t>Allocations to MMS from feedpad</t>
  </si>
  <si>
    <t>Milk solids</t>
  </si>
  <si>
    <t>fat content</t>
  </si>
  <si>
    <t>protein content</t>
  </si>
  <si>
    <t>Dairy class</t>
  </si>
  <si>
    <t>fraction</t>
  </si>
  <si>
    <t>L/head/day</t>
  </si>
  <si>
    <t>(wet or dry)</t>
  </si>
  <si>
    <t>pasture</t>
  </si>
  <si>
    <t>milk shed</t>
  </si>
  <si>
    <t>feedpad</t>
  </si>
  <si>
    <t>anaerobic lagoon</t>
  </si>
  <si>
    <t>sump and dispersal</t>
  </si>
  <si>
    <t>drains to paddock</t>
  </si>
  <si>
    <t>solid storage</t>
  </si>
  <si>
    <t>true or false</t>
  </si>
  <si>
    <t>SSm</t>
  </si>
  <si>
    <t>MSj (kg)</t>
  </si>
  <si>
    <t>FC</t>
  </si>
  <si>
    <t>PC</t>
  </si>
  <si>
    <t>MPj (L)</t>
  </si>
  <si>
    <t>Non-irrigated pasture</t>
  </si>
  <si>
    <t>milkingCows</t>
  </si>
  <si>
    <t>heifersGt1</t>
  </si>
  <si>
    <t>heifersLt1PreWeaned</t>
  </si>
  <si>
    <t>heifersLt1Weaned</t>
  </si>
  <si>
    <t>bullsGt1</t>
  </si>
  <si>
    <t>bullsLt1PreWeaned</t>
  </si>
  <si>
    <t>bullsLt1Weaned</t>
  </si>
  <si>
    <t>Non-irrigated crop (high rainfall)</t>
  </si>
  <si>
    <t>Irrigated pasture</t>
  </si>
  <si>
    <t>TAS</t>
  </si>
  <si>
    <t>Irrigated crop</t>
  </si>
  <si>
    <t>VIC</t>
  </si>
  <si>
    <t>ACT</t>
  </si>
  <si>
    <t>Non-irrigated crop (low rainfall)</t>
  </si>
  <si>
    <t>SA</t>
  </si>
  <si>
    <t>MMS allocations (resolved)</t>
  </si>
  <si>
    <t>Milk density</t>
  </si>
  <si>
    <t>MMSm=1</t>
  </si>
  <si>
    <t>MMSm=3a</t>
  </si>
  <si>
    <t>MMSm=3b</t>
  </si>
  <si>
    <t>MMSm=4</t>
  </si>
  <si>
    <t>MMSm=14</t>
  </si>
  <si>
    <t>MPj (Normalised)</t>
  </si>
  <si>
    <t>Crude protein conversion</t>
  </si>
  <si>
    <t>NPWj</t>
  </si>
  <si>
    <t>MNjm=1</t>
  </si>
  <si>
    <t>MNjm=3a</t>
  </si>
  <si>
    <t>MNjm=3b</t>
  </si>
  <si>
    <t>MNjm=4</t>
  </si>
  <si>
    <t>MNjm=14</t>
  </si>
  <si>
    <t>Pre-weaned calves</t>
  </si>
  <si>
    <t>MPWmanure</t>
  </si>
  <si>
    <t>Metabolic rate increase</t>
  </si>
  <si>
    <t>Class</t>
  </si>
  <si>
    <t>Feeding system</t>
  </si>
  <si>
    <t>Milking Shed</t>
  </si>
  <si>
    <t>Reference Weight</t>
  </si>
  <si>
    <t>MCFim by state</t>
  </si>
  <si>
    <t>MMS</t>
  </si>
  <si>
    <t>FracGASMm</t>
  </si>
  <si>
    <t>anaerobicLagoon</t>
  </si>
  <si>
    <t>sumpDispersal</t>
  </si>
  <si>
    <t>3a</t>
  </si>
  <si>
    <t>drainToPaddock</t>
  </si>
  <si>
    <t>3b</t>
  </si>
  <si>
    <t>solidStorage</t>
  </si>
  <si>
    <t>pastureRangeAndPaddock</t>
  </si>
  <si>
    <t>MCFim BY MAT</t>
  </si>
  <si>
    <t>EFN2O</t>
  </si>
  <si>
    <t>Dairy pasture range and paddock is state based - 0.03 (QLD, NT) or 0.01 (Other States) – source NIR</t>
  </si>
  <si>
    <t>10 or below</t>
  </si>
  <si>
    <t>EFPRP</t>
  </si>
  <si>
    <t>Fixed Constants</t>
  </si>
  <si>
    <t>SS</t>
  </si>
  <si>
    <t>Density of milk</t>
  </si>
  <si>
    <t>DMD</t>
  </si>
  <si>
    <t>28 or above</t>
  </si>
  <si>
    <t>CP</t>
  </si>
  <si>
    <t>Bo</t>
  </si>
  <si>
    <t>p</t>
  </si>
  <si>
    <t>CN2O</t>
  </si>
  <si>
    <t>FracGASMsoil</t>
  </si>
  <si>
    <t>EFLeach</t>
  </si>
  <si>
    <t>Crude Protein</t>
  </si>
  <si>
    <t>FracLEACHMMS</t>
  </si>
  <si>
    <t>MNLeachm=4</t>
  </si>
  <si>
    <t>EFleach</t>
  </si>
  <si>
    <t>EFm=3a</t>
  </si>
  <si>
    <t>EFm=3b</t>
  </si>
  <si>
    <t>EFm=14</t>
  </si>
  <si>
    <t>FracGASMm=1</t>
  </si>
  <si>
    <t>FracGASMm=3a</t>
  </si>
  <si>
    <t>FracGASMm=3b</t>
  </si>
  <si>
    <t>FracGASMm=4</t>
  </si>
  <si>
    <t>FracGASMSoil</t>
  </si>
  <si>
    <t>MNSoil (m=1)</t>
  </si>
  <si>
    <t>MNSoil (m=4)</t>
  </si>
  <si>
    <t>MNSoil (m=3b)</t>
  </si>
  <si>
    <t>MNSoil (m=3a)</t>
  </si>
  <si>
    <t>EFN2Oi</t>
  </si>
  <si>
    <t>composting</t>
  </si>
  <si>
    <t>drylot</t>
  </si>
  <si>
    <t>Custom DMD</t>
  </si>
  <si>
    <t>Direct Application</t>
  </si>
  <si>
    <t>Volatile Solid production</t>
  </si>
  <si>
    <t>Nitrogen Waste production</t>
  </si>
  <si>
    <t>m=1</t>
  </si>
  <si>
    <t>m=7</t>
  </si>
  <si>
    <t>m=9</t>
  </si>
  <si>
    <t>Allocations from anaerobic lagoons (m=1)</t>
  </si>
  <si>
    <t>Allocations from solid storage (m=4)</t>
  </si>
  <si>
    <t>Allocations from covered lagoons/digesters (m=7)</t>
  </si>
  <si>
    <t>Allocations from deep litter (m=8)</t>
  </si>
  <si>
    <t>Allocations from pit storage (m=9)</t>
  </si>
  <si>
    <t>SSm=1</t>
  </si>
  <si>
    <t>SNm=1</t>
  </si>
  <si>
    <t>SSm=7</t>
  </si>
  <si>
    <t>SNm=7</t>
  </si>
  <si>
    <t>SSm=9</t>
  </si>
  <si>
    <t>SNm=9</t>
  </si>
  <si>
    <t>MMSjm=4T=2</t>
  </si>
  <si>
    <t>MMSjm=7T=2</t>
  </si>
  <si>
    <t>MMSjm=9T=2</t>
  </si>
  <si>
    <t>MMSjm=13T=2</t>
  </si>
  <si>
    <t>MMSjm=1T=2</t>
  </si>
  <si>
    <t>MNjm=7T=2</t>
  </si>
  <si>
    <t>MNjm=9T=2</t>
  </si>
  <si>
    <t>Nitrogen leaving</t>
  </si>
  <si>
    <t>FROM manure with litter m=10</t>
  </si>
  <si>
    <t>FROM belt removal m=11a</t>
  </si>
  <si>
    <t>FROM stored in house m=11b</t>
  </si>
  <si>
    <t>Efm=10T=1</t>
  </si>
  <si>
    <t>Efm=11aT=1</t>
  </si>
  <si>
    <t>Efm=11bT=1</t>
  </si>
  <si>
    <t>FracGASMm=10T=1</t>
  </si>
  <si>
    <t>FracGASMm=11aT=1</t>
  </si>
  <si>
    <t>FracGASMm=11bT=1</t>
  </si>
  <si>
    <t>MNjm=10T=1</t>
  </si>
  <si>
    <t>MNjm=11aT=1</t>
  </si>
  <si>
    <t>MNjm=11bT=1</t>
  </si>
  <si>
    <t>MMSm=4T=2</t>
  </si>
  <si>
    <t>MMSm=6T=2</t>
  </si>
  <si>
    <t>MMSm=7T=2</t>
  </si>
  <si>
    <t>MMSm=12T=2</t>
  </si>
  <si>
    <t>MMSm=13T=2</t>
  </si>
  <si>
    <t>MNjm=6T=2</t>
  </si>
  <si>
    <t>MNjm=12T=2</t>
  </si>
  <si>
    <t>Efm=4T=2</t>
  </si>
  <si>
    <t>Efm=6T=2</t>
  </si>
  <si>
    <t>Efm=7T=2</t>
  </si>
  <si>
    <t>Efm=12T=2</t>
  </si>
  <si>
    <t>Efm=13T=2</t>
  </si>
  <si>
    <t>Mleach,MMSm=4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</si>
</sst>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FFFF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2" borderId="1" xfId="0" applyFill="1" applyBorder="1"/>
    <xf numFmtId="0" fontId="3" fillId="0" borderId="0" xfId="0" applyFont="1"/>
    <xf numFmtId="0" fontId="3" fillId="3" borderId="0" xfId="0" applyFont="1" applyFill="1"/>
    <xf numFmtId="0" fontId="4" fillId="0" borderId="0" xfId="0" applyFont="1"/>
    <xf numFmtId="0" fontId="0" fillId="4" borderId="0" xfId="0" applyFill="1"/>
    <xf numFmtId="0" fontId="3" fillId="5" borderId="0" xfId="0" applyFont="1" applyFill="1"/>
    <xf numFmtId="0" fontId="0" fillId="4" borderId="0" xfId="0" applyFill="1" applyAlignment="1">
      <alignment horizontal="right"/>
    </xf>
    <xf numFmtId="0" fontId="0" fillId="5" borderId="0" xfId="0" applyFill="1"/>
    <xf numFmtId="0" fontId="4" fillId="6" borderId="0" xfId="0" applyFont="1" applyFill="1"/>
    <xf numFmtId="0" fontId="4" fillId="2" borderId="0" xfId="0" applyFont="1" applyFill="1"/>
    <xf numFmtId="0" fontId="4" fillId="3" borderId="0" xfId="0" applyFont="1" applyFill="1"/>
    <xf numFmtId="0" fontId="0" fillId="3" borderId="1" xfId="0" applyFill="1" applyBorder="1"/>
    <xf numFmtId="0" fontId="0" fillId="0" borderId="2" xfId="0" applyBorder="1"/>
    <xf numFmtId="0" fontId="4" fillId="0" borderId="2" xfId="0" applyFont="1" applyBorder="1"/>
    <xf numFmtId="0" fontId="4" fillId="2" borderId="1" xfId="0" applyFont="1" applyFill="1" applyBorder="1"/>
    <xf numFmtId="0" fontId="0" fillId="7" borderId="3" xfId="0" applyFill="1" applyBorder="1"/>
    <xf numFmtId="0" fontId="0" fillId="2" borderId="3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0" xfId="0" applyFill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4" fillId="0" borderId="1" xfId="0" applyFont="1" applyBorder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2" borderId="0" xfId="0" applyFont="1" applyFill="1"/>
    <xf numFmtId="0" fontId="8" fillId="2" borderId="0" xfId="0" applyFont="1" applyFill="1"/>
    <xf numFmtId="0" fontId="5" fillId="3" borderId="0" xfId="0" applyFont="1" applyFill="1"/>
    <xf numFmtId="0" fontId="5" fillId="0" borderId="0" xfId="0" applyFont="1" applyAlignment="1">
      <alignment wrapText="1"/>
    </xf>
    <xf numFmtId="164" fontId="5" fillId="0" borderId="0" xfId="0" applyNumberFormat="1" applyFont="1"/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nstants.xlsx" TargetMode="External"/><Relationship Id="rId1" Type="http://schemas.openxmlformats.org/officeDocument/2006/relationships/externalLinkPath" Target="../consta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common"/>
    </sheetNames>
    <definedNames>
      <definedName name="common_cn2o" refersTo="='common'!$B$4"/>
    </definedNames>
    <sheetDataSet>
      <sheetData sheetId="0">
        <row r="4">
          <cell r="B4">
            <v>1.57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30"/>
  <sheetViews>
    <sheetView workbookViewId="0">
      <selection activeCell="C16" sqref="C16:F16"/>
    </sheetView>
  </sheetViews>
  <sheetFormatPr baseColWidth="10" defaultRowHeight="16" x14ac:dyDescent="0.2"/>
  <sheetData>
    <row r="6" spans="1:15" x14ac:dyDescent="0.2">
      <c r="N6" t="s">
        <v>0</v>
      </c>
    </row>
    <row r="7" spans="1:15" x14ac:dyDescent="0.2">
      <c r="N7" t="s">
        <v>1</v>
      </c>
      <c r="O7">
        <v>6.0000000000000001E-3</v>
      </c>
    </row>
    <row r="8" spans="1:15" x14ac:dyDescent="0.2">
      <c r="N8" t="s">
        <v>2</v>
      </c>
      <c r="O8">
        <v>5.0000000000000001E-3</v>
      </c>
    </row>
    <row r="11" spans="1:15" x14ac:dyDescent="0.2">
      <c r="N11" t="s">
        <v>3</v>
      </c>
      <c r="O11">
        <f>[1]!common_cn2o</f>
        <v>1.57</v>
      </c>
    </row>
    <row r="14" spans="1:15" x14ac:dyDescent="0.2">
      <c r="L14" t="s">
        <v>4</v>
      </c>
    </row>
    <row r="15" spans="1:15" x14ac:dyDescent="0.2">
      <c r="A15" t="s">
        <v>5</v>
      </c>
      <c r="I15" t="s">
        <v>6</v>
      </c>
    </row>
    <row r="16" spans="1:15" x14ac:dyDescent="0.2">
      <c r="B16" s="1" t="s">
        <v>7</v>
      </c>
      <c r="C16" s="1" t="s">
        <v>8</v>
      </c>
      <c r="D16" t="s">
        <v>9</v>
      </c>
      <c r="E16" s="1" t="s">
        <v>10</v>
      </c>
      <c r="F16" s="1" t="s">
        <v>11</v>
      </c>
      <c r="I16" t="s">
        <v>12</v>
      </c>
      <c r="J16" t="s">
        <v>13</v>
      </c>
      <c r="K16" t="s">
        <v>3</v>
      </c>
      <c r="L16" s="2" t="s">
        <v>14</v>
      </c>
    </row>
    <row r="17" spans="2:15" x14ac:dyDescent="0.2">
      <c r="B17">
        <v>1000</v>
      </c>
      <c r="C17" t="s">
        <v>15</v>
      </c>
      <c r="D17">
        <f t="shared" ref="D17:D28" si="0">IF(ISBLANK(B17), "", VLOOKUP(C17, $N$19:$O$24, 2, FALSE))</f>
        <v>0.51</v>
      </c>
      <c r="F17" t="s">
        <v>16</v>
      </c>
      <c r="I17">
        <f t="shared" ref="I17:I22" si="1">IF(ISBLANK(B17), "", B17*IF(ISBLANK(E17), D17, E17))</f>
        <v>510</v>
      </c>
      <c r="J17">
        <f t="shared" ref="J17:J22" si="2">IF(ISBLANK(B17), "", IF(F17="wet", $O$7, $O$8))</f>
        <v>6.0000000000000001E-3</v>
      </c>
      <c r="K17">
        <f t="shared" ref="K17:K22" si="3">IF(ISBLANK(B17), "", $O$11)</f>
        <v>1.57</v>
      </c>
      <c r="L17">
        <f t="shared" ref="L17:L22" si="4">IF(ISBLANK(B17), "", I17*J17*K17 / 1000)</f>
        <v>4.8042000000000007E-3</v>
      </c>
      <c r="N17" t="s">
        <v>17</v>
      </c>
    </row>
    <row r="18" spans="2:15" x14ac:dyDescent="0.2">
      <c r="B18">
        <v>1000</v>
      </c>
      <c r="C18" t="s">
        <v>15</v>
      </c>
      <c r="D18">
        <f t="shared" si="0"/>
        <v>0.51</v>
      </c>
      <c r="E18">
        <v>0.6</v>
      </c>
      <c r="F18" t="s">
        <v>16</v>
      </c>
      <c r="I18">
        <f t="shared" si="1"/>
        <v>600</v>
      </c>
      <c r="J18">
        <f t="shared" si="2"/>
        <v>6.0000000000000001E-3</v>
      </c>
      <c r="K18">
        <f t="shared" si="3"/>
        <v>1.57</v>
      </c>
      <c r="L18">
        <f t="shared" si="4"/>
        <v>5.6519999999999999E-3</v>
      </c>
      <c r="N18" t="s">
        <v>18</v>
      </c>
    </row>
    <row r="19" spans="2:15" x14ac:dyDescent="0.2">
      <c r="B19">
        <v>1000</v>
      </c>
      <c r="C19" t="s">
        <v>15</v>
      </c>
      <c r="D19">
        <f t="shared" si="0"/>
        <v>0.51</v>
      </c>
      <c r="F19" t="s">
        <v>19</v>
      </c>
      <c r="I19">
        <f t="shared" si="1"/>
        <v>510</v>
      </c>
      <c r="J19">
        <f t="shared" si="2"/>
        <v>5.0000000000000001E-3</v>
      </c>
      <c r="K19">
        <f t="shared" si="3"/>
        <v>1.57</v>
      </c>
      <c r="L19">
        <f t="shared" si="4"/>
        <v>4.003500000000001E-3</v>
      </c>
      <c r="N19" t="s">
        <v>20</v>
      </c>
      <c r="O19">
        <v>2.9000000000000001E-2</v>
      </c>
    </row>
    <row r="20" spans="2:15" x14ac:dyDescent="0.2">
      <c r="B20">
        <v>2000</v>
      </c>
      <c r="C20" t="s">
        <v>20</v>
      </c>
      <c r="D20">
        <f t="shared" si="0"/>
        <v>2.9000000000000001E-2</v>
      </c>
      <c r="F20" t="s">
        <v>16</v>
      </c>
      <c r="I20">
        <f t="shared" si="1"/>
        <v>58</v>
      </c>
      <c r="J20">
        <f t="shared" si="2"/>
        <v>6.0000000000000001E-3</v>
      </c>
      <c r="K20">
        <f t="shared" si="3"/>
        <v>1.57</v>
      </c>
      <c r="L20">
        <f t="shared" si="4"/>
        <v>5.4636000000000007E-4</v>
      </c>
      <c r="N20" t="s">
        <v>21</v>
      </c>
      <c r="O20">
        <v>2.3E-2</v>
      </c>
    </row>
    <row r="21" spans="2:15" x14ac:dyDescent="0.2">
      <c r="B21">
        <v>3000</v>
      </c>
      <c r="C21" t="s">
        <v>22</v>
      </c>
      <c r="D21">
        <f t="shared" si="0"/>
        <v>3.3000000000000002E-2</v>
      </c>
      <c r="F21" t="s">
        <v>19</v>
      </c>
      <c r="I21">
        <f t="shared" si="1"/>
        <v>99</v>
      </c>
      <c r="J21">
        <f t="shared" si="2"/>
        <v>5.0000000000000001E-3</v>
      </c>
      <c r="K21">
        <f t="shared" si="3"/>
        <v>1.57</v>
      </c>
      <c r="L21">
        <f t="shared" si="4"/>
        <v>7.7715E-4</v>
      </c>
      <c r="N21" t="s">
        <v>15</v>
      </c>
      <c r="O21">
        <v>0.51</v>
      </c>
    </row>
    <row r="22" spans="2:15" x14ac:dyDescent="0.2">
      <c r="B22">
        <v>3000</v>
      </c>
      <c r="C22" t="s">
        <v>22</v>
      </c>
      <c r="D22">
        <f t="shared" si="0"/>
        <v>3.3000000000000002E-2</v>
      </c>
      <c r="E22">
        <v>0.02</v>
      </c>
      <c r="F22" t="s">
        <v>16</v>
      </c>
      <c r="I22">
        <f t="shared" si="1"/>
        <v>60</v>
      </c>
      <c r="J22">
        <f t="shared" si="2"/>
        <v>6.0000000000000001E-3</v>
      </c>
      <c r="K22">
        <f t="shared" si="3"/>
        <v>1.57</v>
      </c>
      <c r="L22">
        <f t="shared" si="4"/>
        <v>5.6520000000000008E-4</v>
      </c>
      <c r="N22" t="s">
        <v>23</v>
      </c>
      <c r="O22">
        <v>0.41</v>
      </c>
    </row>
    <row r="23" spans="2:15" x14ac:dyDescent="0.2">
      <c r="D23" t="str">
        <f t="shared" si="0"/>
        <v/>
      </c>
      <c r="N23" t="s">
        <v>22</v>
      </c>
      <c r="O23">
        <v>3.3000000000000002E-2</v>
      </c>
    </row>
    <row r="24" spans="2:15" x14ac:dyDescent="0.2">
      <c r="D24" t="str">
        <f t="shared" si="0"/>
        <v/>
      </c>
      <c r="N24" t="s">
        <v>24</v>
      </c>
      <c r="O24">
        <v>1.2999999999999999E-2</v>
      </c>
    </row>
    <row r="25" spans="2:15" x14ac:dyDescent="0.2">
      <c r="D25" t="str">
        <f t="shared" si="0"/>
        <v/>
      </c>
    </row>
    <row r="26" spans="2:15" x14ac:dyDescent="0.2">
      <c r="D26" t="str">
        <f t="shared" si="0"/>
        <v/>
      </c>
    </row>
    <row r="27" spans="2:15" x14ac:dyDescent="0.2">
      <c r="D27" t="str">
        <f t="shared" si="0"/>
        <v/>
      </c>
    </row>
    <row r="28" spans="2:15" x14ac:dyDescent="0.2">
      <c r="D28" t="str">
        <f t="shared" si="0"/>
        <v/>
      </c>
    </row>
    <row r="29" spans="2:15" x14ac:dyDescent="0.2">
      <c r="D29" t="str">
        <f>IF(ISBLANK(B29), "", VLOOKUP(C29, N31:O36, 2, FALSE))</f>
        <v/>
      </c>
    </row>
    <row r="30" spans="2:15" x14ac:dyDescent="0.2">
      <c r="D30" t="str">
        <f>IF(ISBLANK(B30), "", VLOOKUP(C30, N32:O37, 2, FALSE))</f>
        <v/>
      </c>
    </row>
  </sheetData>
  <pageMargins left="0.7" right="0.7" top="0.75" bottom="0.75" header="0.3" footer="0.3"/>
  <ignoredErrors>
    <ignoredError sqref="A6:O10 A12:O43 A11:N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8614-4A45-BB4D-AA5C-D3B3E6290153}">
  <dimension ref="A1:DB51"/>
  <sheetViews>
    <sheetView tabSelected="1" topLeftCell="CN25" workbookViewId="0">
      <selection activeCell="CZ50" sqref="CZ50"/>
    </sheetView>
  </sheetViews>
  <sheetFormatPr baseColWidth="10" defaultRowHeight="16" x14ac:dyDescent="0.2"/>
  <sheetData>
    <row r="1" spans="1:104" x14ac:dyDescent="0.2">
      <c r="A1" t="s">
        <v>25</v>
      </c>
      <c r="BI1" t="s">
        <v>26</v>
      </c>
      <c r="BJ1" t="s">
        <v>27</v>
      </c>
      <c r="CS1" t="s">
        <v>28</v>
      </c>
    </row>
    <row r="2" spans="1:104" x14ac:dyDescent="0.2">
      <c r="CW2" t="s">
        <v>4</v>
      </c>
    </row>
    <row r="3" spans="1:104" x14ac:dyDescent="0.2">
      <c r="BK3" t="s">
        <v>31</v>
      </c>
      <c r="CI3" t="s">
        <v>363</v>
      </c>
    </row>
    <row r="4" spans="1:104" x14ac:dyDescent="0.2">
      <c r="BF4" t="s">
        <v>364</v>
      </c>
      <c r="BL4" t="s">
        <v>29</v>
      </c>
      <c r="CI4" t="s">
        <v>32</v>
      </c>
      <c r="CP4" t="s">
        <v>30</v>
      </c>
    </row>
    <row r="5" spans="1:104" x14ac:dyDescent="0.2">
      <c r="A5" t="s">
        <v>341</v>
      </c>
      <c r="B5" t="s">
        <v>342</v>
      </c>
      <c r="C5" t="s">
        <v>352</v>
      </c>
      <c r="D5" t="s">
        <v>39</v>
      </c>
      <c r="E5" t="s">
        <v>281</v>
      </c>
      <c r="F5" t="s">
        <v>282</v>
      </c>
      <c r="G5" t="s">
        <v>283</v>
      </c>
      <c r="H5" t="s">
        <v>284</v>
      </c>
      <c r="I5" t="s">
        <v>285</v>
      </c>
      <c r="J5" t="s">
        <v>286</v>
      </c>
      <c r="K5" t="s">
        <v>287</v>
      </c>
      <c r="L5" t="s">
        <v>292</v>
      </c>
      <c r="M5" t="s">
        <v>288</v>
      </c>
      <c r="N5" t="s">
        <v>289</v>
      </c>
      <c r="O5" t="s">
        <v>290</v>
      </c>
      <c r="P5" t="s">
        <v>291</v>
      </c>
      <c r="Q5" t="s">
        <v>293</v>
      </c>
      <c r="R5" t="s">
        <v>294</v>
      </c>
      <c r="S5" t="s">
        <v>360</v>
      </c>
      <c r="T5" t="s">
        <v>293</v>
      </c>
      <c r="U5" t="s">
        <v>294</v>
      </c>
      <c r="V5" t="s">
        <v>360</v>
      </c>
      <c r="W5" t="s">
        <v>293</v>
      </c>
      <c r="X5" t="s">
        <v>294</v>
      </c>
      <c r="Y5" t="s">
        <v>360</v>
      </c>
      <c r="Z5" s="16" t="s">
        <v>287</v>
      </c>
      <c r="AA5" t="s">
        <v>292</v>
      </c>
      <c r="AB5" t="s">
        <v>289</v>
      </c>
      <c r="AC5" t="s">
        <v>291</v>
      </c>
      <c r="AD5" t="s">
        <v>477</v>
      </c>
      <c r="AE5" s="16" t="s">
        <v>287</v>
      </c>
      <c r="AF5" t="s">
        <v>292</v>
      </c>
      <c r="AG5" t="s">
        <v>289</v>
      </c>
      <c r="AH5" t="s">
        <v>291</v>
      </c>
      <c r="AI5" t="s">
        <v>477</v>
      </c>
      <c r="AJ5" s="16" t="s">
        <v>287</v>
      </c>
      <c r="AK5" t="s">
        <v>292</v>
      </c>
      <c r="AL5" t="s">
        <v>289</v>
      </c>
      <c r="AM5" t="s">
        <v>291</v>
      </c>
      <c r="AN5" t="s">
        <v>477</v>
      </c>
      <c r="AO5" s="16" t="s">
        <v>287</v>
      </c>
      <c r="AP5" t="s">
        <v>292</v>
      </c>
      <c r="AQ5" t="s">
        <v>289</v>
      </c>
      <c r="AR5" t="s">
        <v>291</v>
      </c>
      <c r="AS5" t="s">
        <v>477</v>
      </c>
      <c r="AT5" s="16" t="s">
        <v>287</v>
      </c>
      <c r="AU5" t="s">
        <v>292</v>
      </c>
      <c r="AV5" t="s">
        <v>289</v>
      </c>
      <c r="AW5" t="s">
        <v>291</v>
      </c>
      <c r="AX5" t="s">
        <v>477</v>
      </c>
      <c r="AY5" s="17" t="s">
        <v>284</v>
      </c>
      <c r="AZ5" s="7" t="s">
        <v>478</v>
      </c>
      <c r="BA5" s="7" t="s">
        <v>479</v>
      </c>
      <c r="BB5" s="7"/>
      <c r="BC5" s="7"/>
      <c r="BD5" s="7"/>
      <c r="BE5" s="7"/>
      <c r="BF5" t="s">
        <v>362</v>
      </c>
      <c r="BL5" t="s">
        <v>361</v>
      </c>
      <c r="CD5" t="s">
        <v>501</v>
      </c>
      <c r="CS5" t="s">
        <v>33</v>
      </c>
    </row>
    <row r="6" spans="1:104" x14ac:dyDescent="0.2">
      <c r="Q6" t="s">
        <v>480</v>
      </c>
      <c r="T6" t="s">
        <v>481</v>
      </c>
      <c r="W6" t="s">
        <v>482</v>
      </c>
      <c r="Z6" s="16" t="s">
        <v>483</v>
      </c>
      <c r="AE6" s="16" t="s">
        <v>484</v>
      </c>
      <c r="AJ6" s="16" t="s">
        <v>485</v>
      </c>
      <c r="AO6" s="16" t="s">
        <v>486</v>
      </c>
      <c r="AT6" s="16" t="s">
        <v>487</v>
      </c>
      <c r="AY6" s="17"/>
      <c r="BF6" t="s">
        <v>287</v>
      </c>
      <c r="BG6" t="s">
        <v>288</v>
      </c>
      <c r="BH6" t="s">
        <v>289</v>
      </c>
      <c r="BI6" t="s">
        <v>290</v>
      </c>
      <c r="BJ6" t="s">
        <v>291</v>
      </c>
      <c r="BK6" t="s">
        <v>292</v>
      </c>
      <c r="BL6" t="s">
        <v>287</v>
      </c>
      <c r="BM6" t="s">
        <v>288</v>
      </c>
      <c r="BN6" t="s">
        <v>289</v>
      </c>
      <c r="BO6" t="s">
        <v>290</v>
      </c>
      <c r="BP6" t="s">
        <v>291</v>
      </c>
      <c r="BQ6" t="s">
        <v>292</v>
      </c>
      <c r="BR6" t="s">
        <v>287</v>
      </c>
      <c r="BS6" t="s">
        <v>288</v>
      </c>
      <c r="BT6" t="s">
        <v>289</v>
      </c>
      <c r="BU6" t="s">
        <v>290</v>
      </c>
      <c r="BV6" t="s">
        <v>291</v>
      </c>
      <c r="BW6" t="s">
        <v>292</v>
      </c>
      <c r="BX6" t="s">
        <v>287</v>
      </c>
      <c r="BY6" t="s">
        <v>288</v>
      </c>
      <c r="BZ6" t="s">
        <v>289</v>
      </c>
      <c r="CA6" t="s">
        <v>290</v>
      </c>
      <c r="CB6" t="s">
        <v>291</v>
      </c>
      <c r="CC6" t="s">
        <v>292</v>
      </c>
      <c r="CD6" t="s">
        <v>287</v>
      </c>
      <c r="CE6" t="s">
        <v>292</v>
      </c>
      <c r="CF6" t="s">
        <v>290</v>
      </c>
      <c r="CG6" t="s">
        <v>291</v>
      </c>
      <c r="CH6" t="s">
        <v>291</v>
      </c>
      <c r="CS6" t="s">
        <v>36</v>
      </c>
    </row>
    <row r="7" spans="1:104" x14ac:dyDescent="0.2">
      <c r="A7" t="s">
        <v>343</v>
      </c>
      <c r="B7" t="s">
        <v>343</v>
      </c>
      <c r="C7" s="1"/>
      <c r="D7" s="1" t="s">
        <v>295</v>
      </c>
      <c r="E7" s="1" t="s">
        <v>296</v>
      </c>
      <c r="F7" s="1" t="s">
        <v>92</v>
      </c>
      <c r="G7" s="1" t="s">
        <v>297</v>
      </c>
      <c r="H7" t="s">
        <v>85</v>
      </c>
      <c r="I7" t="s">
        <v>298</v>
      </c>
      <c r="J7" t="s">
        <v>299</v>
      </c>
      <c r="K7" s="18" t="s">
        <v>300</v>
      </c>
      <c r="L7" s="18" t="s">
        <v>305</v>
      </c>
      <c r="M7" s="18" t="s">
        <v>301</v>
      </c>
      <c r="N7" s="18" t="s">
        <v>302</v>
      </c>
      <c r="O7" s="18" t="s">
        <v>303</v>
      </c>
      <c r="P7" s="18" t="s">
        <v>304</v>
      </c>
      <c r="Q7" s="18" t="s">
        <v>306</v>
      </c>
      <c r="R7" s="30" t="s">
        <v>488</v>
      </c>
      <c r="S7" s="30" t="s">
        <v>489</v>
      </c>
      <c r="T7" s="18" t="s">
        <v>306</v>
      </c>
      <c r="U7" s="30" t="s">
        <v>490</v>
      </c>
      <c r="V7" s="30" t="s">
        <v>491</v>
      </c>
      <c r="W7" s="18" t="s">
        <v>306</v>
      </c>
      <c r="X7" s="30" t="s">
        <v>492</v>
      </c>
      <c r="Y7" s="30" t="s">
        <v>493</v>
      </c>
      <c r="Z7" s="19"/>
      <c r="AA7" s="4" t="s">
        <v>494</v>
      </c>
      <c r="AB7" s="4" t="s">
        <v>495</v>
      </c>
      <c r="AC7" s="4" t="s">
        <v>496</v>
      </c>
      <c r="AD7" s="4" t="s">
        <v>497</v>
      </c>
      <c r="AE7" s="20" t="s">
        <v>498</v>
      </c>
      <c r="AF7" s="21"/>
      <c r="AG7" s="4" t="s">
        <v>495</v>
      </c>
      <c r="AH7" s="4" t="s">
        <v>496</v>
      </c>
      <c r="AI7" s="4" t="s">
        <v>497</v>
      </c>
      <c r="AJ7" s="20" t="s">
        <v>498</v>
      </c>
      <c r="AK7" s="4" t="s">
        <v>494</v>
      </c>
      <c r="AL7" s="21"/>
      <c r="AM7" s="4" t="s">
        <v>496</v>
      </c>
      <c r="AN7" s="4" t="s">
        <v>497</v>
      </c>
      <c r="AO7" s="20" t="s">
        <v>498</v>
      </c>
      <c r="AP7" s="4" t="s">
        <v>494</v>
      </c>
      <c r="AQ7" s="4" t="s">
        <v>495</v>
      </c>
      <c r="AR7" s="4" t="s">
        <v>496</v>
      </c>
      <c r="AS7" s="4" t="s">
        <v>497</v>
      </c>
      <c r="AT7" s="20" t="s">
        <v>498</v>
      </c>
      <c r="AU7" s="4" t="s">
        <v>494</v>
      </c>
      <c r="AV7" s="4" t="s">
        <v>495</v>
      </c>
      <c r="AW7" s="21"/>
      <c r="AX7" s="4" t="s">
        <v>497</v>
      </c>
      <c r="AY7" s="17" t="s">
        <v>85</v>
      </c>
      <c r="AZ7" s="7" t="s">
        <v>298</v>
      </c>
      <c r="BA7" s="7" t="s">
        <v>299</v>
      </c>
      <c r="BB7" s="7" t="s">
        <v>489</v>
      </c>
      <c r="BC7" s="7" t="s">
        <v>491</v>
      </c>
      <c r="BD7" s="7" t="s">
        <v>493</v>
      </c>
      <c r="BE7" s="7" t="s">
        <v>308</v>
      </c>
      <c r="BF7" t="s">
        <v>309</v>
      </c>
      <c r="BG7" t="s">
        <v>310</v>
      </c>
      <c r="BH7" t="s">
        <v>311</v>
      </c>
      <c r="BI7" t="s">
        <v>312</v>
      </c>
      <c r="BJ7" t="s">
        <v>313</v>
      </c>
      <c r="BK7" t="s">
        <v>314</v>
      </c>
      <c r="BL7" t="s">
        <v>315</v>
      </c>
      <c r="BM7" t="s">
        <v>316</v>
      </c>
      <c r="BN7" t="s">
        <v>317</v>
      </c>
      <c r="BO7" t="s">
        <v>318</v>
      </c>
      <c r="BP7" t="s">
        <v>319</v>
      </c>
      <c r="BQ7" t="s">
        <v>320</v>
      </c>
      <c r="BR7" t="s">
        <v>321</v>
      </c>
      <c r="BS7" t="s">
        <v>322</v>
      </c>
      <c r="BT7" t="s">
        <v>323</v>
      </c>
      <c r="BU7" t="s">
        <v>324</v>
      </c>
      <c r="BV7" t="s">
        <v>325</v>
      </c>
      <c r="BW7" t="s">
        <v>326</v>
      </c>
      <c r="BX7" t="s">
        <v>327</v>
      </c>
      <c r="BY7" t="s">
        <v>328</v>
      </c>
      <c r="BZ7" t="s">
        <v>329</v>
      </c>
      <c r="CA7" t="s">
        <v>330</v>
      </c>
      <c r="CB7" t="s">
        <v>331</v>
      </c>
      <c r="CC7" t="s">
        <v>332</v>
      </c>
      <c r="CD7" t="s">
        <v>333</v>
      </c>
      <c r="CE7" t="s">
        <v>337</v>
      </c>
      <c r="CF7" t="s">
        <v>334</v>
      </c>
      <c r="CG7" t="s">
        <v>335</v>
      </c>
      <c r="CH7" t="s">
        <v>336</v>
      </c>
      <c r="CI7" t="s">
        <v>338</v>
      </c>
      <c r="CJ7" t="s">
        <v>339</v>
      </c>
      <c r="CK7" t="s">
        <v>499</v>
      </c>
      <c r="CL7" t="s">
        <v>500</v>
      </c>
      <c r="CM7" t="s">
        <v>340</v>
      </c>
      <c r="CN7" s="31" t="s">
        <v>43</v>
      </c>
      <c r="CO7" s="31" t="s">
        <v>183</v>
      </c>
      <c r="CP7" t="s">
        <v>354</v>
      </c>
      <c r="CQ7" s="1" t="s">
        <v>40</v>
      </c>
      <c r="CR7" t="s">
        <v>353</v>
      </c>
      <c r="CS7" t="s">
        <v>46</v>
      </c>
      <c r="CT7" t="s">
        <v>13</v>
      </c>
      <c r="CU7" t="s">
        <v>3</v>
      </c>
      <c r="CV7" t="s">
        <v>47</v>
      </c>
      <c r="CW7" s="2" t="s">
        <v>48</v>
      </c>
      <c r="CY7" t="s">
        <v>0</v>
      </c>
    </row>
    <row r="8" spans="1:104" x14ac:dyDescent="0.2">
      <c r="A8" t="s">
        <v>344</v>
      </c>
      <c r="B8">
        <v>0</v>
      </c>
      <c r="C8" t="s">
        <v>16</v>
      </c>
      <c r="D8" t="b">
        <v>1</v>
      </c>
      <c r="E8" t="s">
        <v>345</v>
      </c>
      <c r="F8">
        <v>111</v>
      </c>
      <c r="G8">
        <v>105</v>
      </c>
      <c r="H8">
        <f t="shared" ref="H8:H23" si="0">_xlfn.XLOOKUP($E8, $CY$48:$CY$51, CZ$48:CZ$51)</f>
        <v>2.2999999999999998</v>
      </c>
      <c r="I8">
        <f t="shared" ref="I8:I23" si="1">_xlfn.XLOOKUP($E8, $CY$48:$CY$51, DA$48:DA$51)</f>
        <v>0.4</v>
      </c>
      <c r="J8">
        <f t="shared" ref="J8:J23" si="2">_xlfn.XLOOKUP($E8, $CY$48:$CY$51, DB$48:DB$51)</f>
        <v>4.5999999999999999E-2</v>
      </c>
      <c r="K8">
        <v>1</v>
      </c>
      <c r="Q8" t="b">
        <v>1</v>
      </c>
      <c r="T8" t="b">
        <v>1</v>
      </c>
      <c r="W8" t="b">
        <v>1</v>
      </c>
      <c r="Z8" s="22"/>
      <c r="AB8">
        <v>0.5</v>
      </c>
      <c r="AD8">
        <v>0.5</v>
      </c>
      <c r="AE8" s="16"/>
      <c r="AF8" s="23"/>
      <c r="AH8">
        <v>0.5</v>
      </c>
      <c r="AI8">
        <v>0.5</v>
      </c>
      <c r="AJ8" s="16"/>
      <c r="AL8" s="23"/>
      <c r="AO8" s="16"/>
      <c r="AT8" s="16"/>
      <c r="AW8" s="23"/>
      <c r="AY8">
        <f t="shared" ref="AY8:AY23" si="3">IF(H8&lt;&gt;"", H8, _xlfn.XLOOKUP($E8,$CY$48:$CY$51,CZ$48:CZ$51))</f>
        <v>2.2999999999999998</v>
      </c>
      <c r="AZ8">
        <f t="shared" ref="AZ8:AZ23" si="4">IF(I8&lt;&gt;"", I8, _xlfn.XLOOKUP($E8,$CY$48:$CY$51,DA$48:DA$51))</f>
        <v>0.4</v>
      </c>
      <c r="BA8">
        <f t="shared" ref="BA8:BA23" si="5">IF(J8&lt;&gt;"", J8, _xlfn.XLOOKUP($E8,$CY$48:$CY$51,DB$48:DB$51))</f>
        <v>4.5999999999999999E-2</v>
      </c>
      <c r="BB8">
        <f t="shared" ref="BB8:BB23" si="6">IF(S8&lt;&gt;"", S8, IF(Q8, $CZ$14, 0))</f>
        <v>0.25</v>
      </c>
      <c r="BC8">
        <f t="shared" ref="BC8:BC23" si="7">IF(V8&lt;&gt;"", V8, IF(T8, $CZ$14, 0))</f>
        <v>0.25</v>
      </c>
      <c r="BD8">
        <f t="shared" ref="BD8:BD23" si="8">IF(Y8&lt;&gt;"", Y8,  IF(W8, $CZ$14, 0))</f>
        <v>0.25</v>
      </c>
      <c r="BE8">
        <f>G8*F8*J8</f>
        <v>536.13</v>
      </c>
      <c r="BF8">
        <f>K8*(1-BB8)</f>
        <v>0.75</v>
      </c>
      <c r="BG8">
        <f>M8</f>
        <v>0</v>
      </c>
      <c r="BH8">
        <f>N8*(1-BC8)</f>
        <v>0</v>
      </c>
      <c r="BI8">
        <f>O8</f>
        <v>0</v>
      </c>
      <c r="BJ8">
        <f>P8*(1-BD8)</f>
        <v>0</v>
      </c>
      <c r="BK8">
        <f>L8+K8*BB8+N8*BC8+P8*BD8</f>
        <v>0.25</v>
      </c>
      <c r="BL8">
        <f>$BE8*BF8</f>
        <v>402.09749999999997</v>
      </c>
      <c r="BM8">
        <f t="shared" ref="BM8:BQ8" si="9">$BE8*BG8</f>
        <v>0</v>
      </c>
      <c r="BN8">
        <f t="shared" si="9"/>
        <v>0</v>
      </c>
      <c r="BO8">
        <f t="shared" si="9"/>
        <v>0</v>
      </c>
      <c r="BP8">
        <f t="shared" si="9"/>
        <v>0</v>
      </c>
      <c r="BQ8">
        <f t="shared" si="9"/>
        <v>134.0325</v>
      </c>
      <c r="BR8">
        <f t="shared" ref="BR8:BR23" si="10">$CZ$42</f>
        <v>0.55000000000000004</v>
      </c>
      <c r="BS8">
        <f t="shared" ref="BS8:BS23" si="11">$CZ$39</f>
        <v>0.3</v>
      </c>
      <c r="BT8">
        <f t="shared" ref="BT8:BT23" si="12">$CZ$43</f>
        <v>0</v>
      </c>
      <c r="BU8">
        <f t="shared" ref="BU8:BU23" si="13">$CZ$40</f>
        <v>0.125</v>
      </c>
      <c r="BV8">
        <f t="shared" ref="BV8:BV23" si="14">$CZ$44</f>
        <v>0.25</v>
      </c>
      <c r="BW8">
        <f t="shared" ref="BW8:BW23" si="15">$CZ$41</f>
        <v>0.2</v>
      </c>
      <c r="BX8">
        <f t="shared" ref="BX8:BX23" si="16">$CZ$33</f>
        <v>0</v>
      </c>
      <c r="BY8">
        <f t="shared" ref="BY8:BY23" si="17">$CZ$30</f>
        <v>0.02</v>
      </c>
      <c r="BZ8">
        <f t="shared" ref="BZ8:BZ23" si="18">$CZ$34</f>
        <v>0</v>
      </c>
      <c r="CA8">
        <f t="shared" ref="CA8:CA23" si="19">$CZ$31</f>
        <v>0.01</v>
      </c>
      <c r="CB8">
        <f t="shared" ref="CB8:CB23" si="20">$CZ$35</f>
        <v>2E-3</v>
      </c>
      <c r="CC8">
        <f t="shared" ref="CC8:CC23" si="21">$CZ$32</f>
        <v>5.0000000000000001E-3</v>
      </c>
      <c r="CD8">
        <f>BL8*(1-BR8-BX8)</f>
        <v>180.94387499999996</v>
      </c>
      <c r="CE8">
        <f>BQ8*(1-BW8-CC8)</f>
        <v>106.55583750000001</v>
      </c>
      <c r="CF8">
        <f>BN8*(1-BT8-BZ8)</f>
        <v>0</v>
      </c>
      <c r="CG8">
        <f>BO8*(1-BU8-CA8)</f>
        <v>0</v>
      </c>
      <c r="CH8">
        <f>BP8*(1-BV8-CB8)</f>
        <v>0</v>
      </c>
      <c r="CI8">
        <f t="shared" ref="CI8:CI23" si="22">$CD8*Z8+$CE8*AE8+$CF8*AJ8+$CG8*AO8+$CH8*AT8</f>
        <v>0</v>
      </c>
      <c r="CJ8">
        <f t="shared" ref="CJ8:CJ23" si="23">$CD8*AA8+$CE8*AF8+$CF8*AK8+$CG8*AP8+$CH8*AU8</f>
        <v>0</v>
      </c>
      <c r="CK8">
        <f t="shared" ref="CK8:CK23" si="24">$CD8*AB8+$CE8*AG8+$CF8*AL8+$CG8*AQ8+$CH8*AV8</f>
        <v>90.471937499999981</v>
      </c>
      <c r="CL8">
        <f t="shared" ref="CL8:CL23" si="25">$CD8*AC8+$CE8*AH8+$CF8*AM8+$CG8*AR8+$CH8*AW8</f>
        <v>53.277918750000005</v>
      </c>
      <c r="CM8">
        <f t="shared" ref="CM8:CM23" si="26">$CD8*AD8+$CE8*AI8+$CF8*AN8+$CG8*AS8+$CH8*AX8</f>
        <v>143.74985624999999</v>
      </c>
      <c r="CN8">
        <f t="shared" ref="CN8:CN23" si="27">IF(D8, 1, 0)</f>
        <v>1</v>
      </c>
      <c r="CO8">
        <f t="shared" ref="CO8:CO23" si="28">$CZ$13</f>
        <v>0.02</v>
      </c>
      <c r="CP8">
        <f t="shared" ref="CP8:CP23" si="29">BM8*CN8*CO8</f>
        <v>0</v>
      </c>
      <c r="CQ8">
        <v>0.8</v>
      </c>
      <c r="CR8">
        <f t="shared" ref="CR8:CR23" si="30">(CI8*(1-BR8-BX8)) + (CJ8*(1-BW8-CC8))+(CK8*(1-BT8-BZ8))+(CL8*(1-BV8-CB8))+CM8-CP8</f>
        <v>274.07367697500001</v>
      </c>
      <c r="CS8">
        <f>CR8*CQ8</f>
        <v>219.25894158000003</v>
      </c>
      <c r="CT8">
        <f t="shared" ref="CT8:CT25" si="31">IF(ISBLANK(A8), "", IF(C8="wet", $CZ$8, $CZ$9))</f>
        <v>6.0000000000000001E-3</v>
      </c>
      <c r="CU8">
        <f>IF(ISBLANK(A8), "", $CZ$12)</f>
        <v>1.57</v>
      </c>
      <c r="CV8">
        <f>IF(ISBLANK(A8), "", CS8*CT8*CU8 / 1000)</f>
        <v>2.0654192296836005E-3</v>
      </c>
      <c r="CW8">
        <f>SUM(CV8:CV11)</f>
        <v>4.8293642085850089E-2</v>
      </c>
      <c r="CY8" t="s">
        <v>1</v>
      </c>
      <c r="CZ8">
        <v>6.0000000000000001E-3</v>
      </c>
    </row>
    <row r="9" spans="1:104" x14ac:dyDescent="0.2">
      <c r="A9" t="s">
        <v>344</v>
      </c>
      <c r="B9">
        <v>0</v>
      </c>
      <c r="C9" t="s">
        <v>16</v>
      </c>
      <c r="D9" t="b">
        <v>1</v>
      </c>
      <c r="E9" t="s">
        <v>346</v>
      </c>
      <c r="F9">
        <v>222</v>
      </c>
      <c r="G9">
        <v>103</v>
      </c>
      <c r="H9">
        <f t="shared" si="0"/>
        <v>2.62</v>
      </c>
      <c r="I9">
        <f t="shared" si="1"/>
        <v>0.46</v>
      </c>
      <c r="J9">
        <f t="shared" si="2"/>
        <v>4.9000000000000002E-2</v>
      </c>
      <c r="K9">
        <v>1</v>
      </c>
      <c r="Q9" t="b">
        <v>1</v>
      </c>
      <c r="T9" t="b">
        <v>1</v>
      </c>
      <c r="W9" t="b">
        <v>1</v>
      </c>
      <c r="Z9" s="22"/>
      <c r="AB9">
        <v>0.5</v>
      </c>
      <c r="AD9">
        <v>0.5</v>
      </c>
      <c r="AE9" s="16"/>
      <c r="AF9" s="23"/>
      <c r="AH9">
        <v>0.5</v>
      </c>
      <c r="AI9">
        <v>0.5</v>
      </c>
      <c r="AJ9" s="16"/>
      <c r="AL9" s="23"/>
      <c r="AO9" s="16"/>
      <c r="AT9" s="16"/>
      <c r="AW9" s="23"/>
      <c r="AY9">
        <f t="shared" si="3"/>
        <v>2.62</v>
      </c>
      <c r="AZ9">
        <f t="shared" si="4"/>
        <v>0.46</v>
      </c>
      <c r="BA9">
        <f t="shared" si="5"/>
        <v>4.9000000000000002E-2</v>
      </c>
      <c r="BB9">
        <f t="shared" si="6"/>
        <v>0.25</v>
      </c>
      <c r="BC9">
        <f t="shared" si="7"/>
        <v>0.25</v>
      </c>
      <c r="BD9">
        <f t="shared" si="8"/>
        <v>0.25</v>
      </c>
      <c r="BE9">
        <f t="shared" ref="BE9:BE23" si="32">G9*F9*J9</f>
        <v>1120.434</v>
      </c>
      <c r="BF9">
        <f t="shared" ref="BF9:BF23" si="33">K9*(1-BB9)</f>
        <v>0.75</v>
      </c>
      <c r="BG9">
        <f t="shared" ref="BG9:BG23" si="34">M9</f>
        <v>0</v>
      </c>
      <c r="BH9">
        <f t="shared" ref="BH9:BH23" si="35">N9*(1-BC9)</f>
        <v>0</v>
      </c>
      <c r="BI9">
        <f t="shared" ref="BI9:BI23" si="36">O9</f>
        <v>0</v>
      </c>
      <c r="BJ9">
        <f t="shared" ref="BJ9:BJ23" si="37">P9*(1-BD9)</f>
        <v>0</v>
      </c>
      <c r="BK9">
        <f t="shared" ref="BK9:BK23" si="38">L9+K9*BB9+N9*BC9+P9*BD9</f>
        <v>0.25</v>
      </c>
      <c r="BL9">
        <f t="shared" ref="BL9:BL23" si="39">$BE9*BF9</f>
        <v>840.32549999999992</v>
      </c>
      <c r="BM9">
        <f t="shared" ref="BM9:BM23" si="40">$BE9*BG9</f>
        <v>0</v>
      </c>
      <c r="BN9">
        <f t="shared" ref="BN9:BN23" si="41">$BE9*BH9</f>
        <v>0</v>
      </c>
      <c r="BO9">
        <f t="shared" ref="BO9:BO23" si="42">$BE9*BI9</f>
        <v>0</v>
      </c>
      <c r="BP9">
        <f t="shared" ref="BP9:BP23" si="43">$BE9*BJ9</f>
        <v>0</v>
      </c>
      <c r="BQ9">
        <f t="shared" ref="BQ9:BQ23" si="44">$BE9*BK9</f>
        <v>280.10849999999999</v>
      </c>
      <c r="BR9">
        <f t="shared" si="10"/>
        <v>0.55000000000000004</v>
      </c>
      <c r="BS9">
        <f t="shared" si="11"/>
        <v>0.3</v>
      </c>
      <c r="BT9">
        <f t="shared" si="12"/>
        <v>0</v>
      </c>
      <c r="BU9">
        <f t="shared" si="13"/>
        <v>0.125</v>
      </c>
      <c r="BV9">
        <f t="shared" si="14"/>
        <v>0.25</v>
      </c>
      <c r="BW9">
        <f t="shared" si="15"/>
        <v>0.2</v>
      </c>
      <c r="BX9">
        <f t="shared" si="16"/>
        <v>0</v>
      </c>
      <c r="BY9">
        <f t="shared" si="17"/>
        <v>0.02</v>
      </c>
      <c r="BZ9">
        <f t="shared" si="18"/>
        <v>0</v>
      </c>
      <c r="CA9">
        <f t="shared" si="19"/>
        <v>0.01</v>
      </c>
      <c r="CB9">
        <f t="shared" si="20"/>
        <v>2E-3</v>
      </c>
      <c r="CC9">
        <f t="shared" si="21"/>
        <v>5.0000000000000001E-3</v>
      </c>
      <c r="CD9">
        <f t="shared" ref="CD9:CD23" si="45">BL9*(1-BR9-BX9)</f>
        <v>378.14647499999995</v>
      </c>
      <c r="CE9">
        <f t="shared" ref="CE9:CE23" si="46">BQ9*(1-BW9-CC9)</f>
        <v>222.68625750000001</v>
      </c>
      <c r="CF9">
        <f t="shared" ref="CF9:CF23" si="47">BN9*(1-BT9-BZ9)</f>
        <v>0</v>
      </c>
      <c r="CG9">
        <f t="shared" ref="CG9:CG23" si="48">BO9*(1-BU9-CA9)</f>
        <v>0</v>
      </c>
      <c r="CH9">
        <f t="shared" ref="CH9:CH23" si="49">BP9*(1-BV9-CB9)</f>
        <v>0</v>
      </c>
      <c r="CI9">
        <f t="shared" si="22"/>
        <v>0</v>
      </c>
      <c r="CJ9">
        <f t="shared" si="23"/>
        <v>0</v>
      </c>
      <c r="CK9">
        <f t="shared" si="24"/>
        <v>189.07323749999998</v>
      </c>
      <c r="CL9">
        <f t="shared" si="25"/>
        <v>111.34312875000001</v>
      </c>
      <c r="CM9">
        <f t="shared" si="26"/>
        <v>300.41636625000001</v>
      </c>
      <c r="CN9">
        <f t="shared" si="27"/>
        <v>1</v>
      </c>
      <c r="CO9">
        <f t="shared" si="28"/>
        <v>0.02</v>
      </c>
      <c r="CP9">
        <f t="shared" si="29"/>
        <v>0</v>
      </c>
      <c r="CQ9">
        <v>0.8</v>
      </c>
      <c r="CR9">
        <f t="shared" si="30"/>
        <v>572.774264055</v>
      </c>
      <c r="CS9">
        <f t="shared" ref="CS9:CS23" si="50">CR9*CQ9</f>
        <v>458.21941124400001</v>
      </c>
      <c r="CT9">
        <f t="shared" si="31"/>
        <v>6.0000000000000001E-3</v>
      </c>
      <c r="CU9">
        <f t="shared" ref="CU9:CU23" si="51">IF(ISBLANK(A8), "", $CZ$12)</f>
        <v>1.57</v>
      </c>
      <c r="CV9">
        <f t="shared" ref="CV9:CV23" si="52">IF(ISBLANK(A8), "", CS9*CT9*CU9 / 1000)</f>
        <v>4.316426853918481E-3</v>
      </c>
      <c r="CY9" t="s">
        <v>2</v>
      </c>
      <c r="CZ9">
        <v>5.0000000000000001E-3</v>
      </c>
    </row>
    <row r="10" spans="1:104" x14ac:dyDescent="0.2">
      <c r="A10" t="s">
        <v>344</v>
      </c>
      <c r="B10">
        <v>0</v>
      </c>
      <c r="C10" t="s">
        <v>16</v>
      </c>
      <c r="D10" t="b">
        <v>1</v>
      </c>
      <c r="E10" t="s">
        <v>347</v>
      </c>
      <c r="F10">
        <v>333</v>
      </c>
      <c r="G10">
        <v>200</v>
      </c>
      <c r="H10">
        <f t="shared" si="0"/>
        <v>2.5</v>
      </c>
      <c r="I10">
        <f t="shared" si="1"/>
        <v>0.55000000000000004</v>
      </c>
      <c r="J10">
        <f t="shared" si="2"/>
        <v>4.5999999999999999E-2</v>
      </c>
      <c r="O10">
        <v>1</v>
      </c>
      <c r="Q10" t="b">
        <v>0</v>
      </c>
      <c r="T10" t="b">
        <v>0</v>
      </c>
      <c r="W10" t="b">
        <v>0</v>
      </c>
      <c r="Z10" s="22"/>
      <c r="AE10" s="16"/>
      <c r="AF10" s="23"/>
      <c r="AJ10" s="16"/>
      <c r="AL10" s="23"/>
      <c r="AO10" s="16"/>
      <c r="AP10">
        <v>1</v>
      </c>
      <c r="AT10" s="16"/>
      <c r="AW10" s="23"/>
      <c r="AY10">
        <f t="shared" si="3"/>
        <v>2.5</v>
      </c>
      <c r="AZ10">
        <f t="shared" si="4"/>
        <v>0.55000000000000004</v>
      </c>
      <c r="BA10">
        <f t="shared" si="5"/>
        <v>4.5999999999999999E-2</v>
      </c>
      <c r="BB10">
        <f t="shared" si="6"/>
        <v>0</v>
      </c>
      <c r="BC10">
        <f t="shared" si="7"/>
        <v>0</v>
      </c>
      <c r="BD10">
        <f t="shared" si="8"/>
        <v>0</v>
      </c>
      <c r="BE10">
        <f t="shared" si="32"/>
        <v>3063.6</v>
      </c>
      <c r="BF10">
        <f t="shared" si="33"/>
        <v>0</v>
      </c>
      <c r="BG10">
        <f t="shared" si="34"/>
        <v>0</v>
      </c>
      <c r="BH10">
        <f t="shared" si="35"/>
        <v>0</v>
      </c>
      <c r="BI10">
        <f t="shared" si="36"/>
        <v>1</v>
      </c>
      <c r="BJ10">
        <f t="shared" si="37"/>
        <v>0</v>
      </c>
      <c r="BK10">
        <f t="shared" si="38"/>
        <v>0</v>
      </c>
      <c r="BL10">
        <f t="shared" si="39"/>
        <v>0</v>
      </c>
      <c r="BM10">
        <f t="shared" si="40"/>
        <v>0</v>
      </c>
      <c r="BN10">
        <f t="shared" si="41"/>
        <v>0</v>
      </c>
      <c r="BO10">
        <f t="shared" si="42"/>
        <v>3063.6</v>
      </c>
      <c r="BP10">
        <f t="shared" si="43"/>
        <v>0</v>
      </c>
      <c r="BQ10">
        <f t="shared" si="44"/>
        <v>0</v>
      </c>
      <c r="BR10">
        <f t="shared" si="10"/>
        <v>0.55000000000000004</v>
      </c>
      <c r="BS10">
        <f t="shared" si="11"/>
        <v>0.3</v>
      </c>
      <c r="BT10">
        <f t="shared" si="12"/>
        <v>0</v>
      </c>
      <c r="BU10">
        <f t="shared" si="13"/>
        <v>0.125</v>
      </c>
      <c r="BV10">
        <f t="shared" si="14"/>
        <v>0.25</v>
      </c>
      <c r="BW10">
        <f t="shared" si="15"/>
        <v>0.2</v>
      </c>
      <c r="BX10">
        <f t="shared" si="16"/>
        <v>0</v>
      </c>
      <c r="BY10">
        <f t="shared" si="17"/>
        <v>0.02</v>
      </c>
      <c r="BZ10">
        <f t="shared" si="18"/>
        <v>0</v>
      </c>
      <c r="CA10">
        <f t="shared" si="19"/>
        <v>0.01</v>
      </c>
      <c r="CB10">
        <f t="shared" si="20"/>
        <v>2E-3</v>
      </c>
      <c r="CC10">
        <f t="shared" si="21"/>
        <v>5.0000000000000001E-3</v>
      </c>
      <c r="CD10">
        <f t="shared" si="45"/>
        <v>0</v>
      </c>
      <c r="CE10">
        <f t="shared" si="46"/>
        <v>0</v>
      </c>
      <c r="CF10">
        <f t="shared" si="47"/>
        <v>0</v>
      </c>
      <c r="CG10">
        <f t="shared" si="48"/>
        <v>2650.0139999999997</v>
      </c>
      <c r="CH10">
        <f t="shared" si="49"/>
        <v>0</v>
      </c>
      <c r="CI10">
        <f t="shared" si="22"/>
        <v>0</v>
      </c>
      <c r="CJ10">
        <f t="shared" si="23"/>
        <v>2650.0139999999997</v>
      </c>
      <c r="CK10">
        <f t="shared" si="24"/>
        <v>0</v>
      </c>
      <c r="CL10">
        <f t="shared" si="25"/>
        <v>0</v>
      </c>
      <c r="CM10">
        <f t="shared" si="26"/>
        <v>0</v>
      </c>
      <c r="CN10">
        <f t="shared" si="27"/>
        <v>1</v>
      </c>
      <c r="CO10">
        <f t="shared" si="28"/>
        <v>0.02</v>
      </c>
      <c r="CP10">
        <f t="shared" si="29"/>
        <v>0</v>
      </c>
      <c r="CQ10">
        <v>0.8</v>
      </c>
      <c r="CR10">
        <f t="shared" si="30"/>
        <v>2106.7611299999999</v>
      </c>
      <c r="CS10">
        <f t="shared" si="50"/>
        <v>1685.4089039999999</v>
      </c>
      <c r="CT10">
        <f t="shared" si="31"/>
        <v>6.0000000000000001E-3</v>
      </c>
      <c r="CU10">
        <f t="shared" si="51"/>
        <v>1.57</v>
      </c>
      <c r="CV10">
        <f t="shared" si="52"/>
        <v>1.587655187568E-2</v>
      </c>
    </row>
    <row r="11" spans="1:104" x14ac:dyDescent="0.2">
      <c r="A11" t="s">
        <v>344</v>
      </c>
      <c r="B11">
        <v>0</v>
      </c>
      <c r="C11" t="s">
        <v>16</v>
      </c>
      <c r="D11" t="b">
        <v>1</v>
      </c>
      <c r="E11" t="s">
        <v>348</v>
      </c>
      <c r="F11">
        <v>444</v>
      </c>
      <c r="G11">
        <v>365</v>
      </c>
      <c r="H11">
        <f t="shared" si="0"/>
        <v>1.71</v>
      </c>
      <c r="I11">
        <f t="shared" si="1"/>
        <v>0.39</v>
      </c>
      <c r="J11">
        <f t="shared" si="2"/>
        <v>3.1E-2</v>
      </c>
      <c r="K11" s="3"/>
      <c r="L11" s="3"/>
      <c r="M11" s="3"/>
      <c r="N11" s="3"/>
      <c r="O11" s="3">
        <v>1</v>
      </c>
      <c r="P11" s="3"/>
      <c r="Q11" s="3" t="b">
        <v>0</v>
      </c>
      <c r="R11" s="3"/>
      <c r="S11" s="3"/>
      <c r="T11" s="3" t="b">
        <v>0</v>
      </c>
      <c r="U11" s="3"/>
      <c r="V11" s="3"/>
      <c r="W11" s="3" t="b">
        <v>0</v>
      </c>
      <c r="X11" s="3"/>
      <c r="Y11" s="3"/>
      <c r="Z11" s="19"/>
      <c r="AA11" s="3"/>
      <c r="AB11" s="3"/>
      <c r="AC11" s="3"/>
      <c r="AD11" s="3"/>
      <c r="AE11" s="26"/>
      <c r="AF11" s="21"/>
      <c r="AG11" s="3"/>
      <c r="AH11" s="3"/>
      <c r="AI11" s="3"/>
      <c r="AJ11" s="26"/>
      <c r="AK11" s="3"/>
      <c r="AL11" s="21"/>
      <c r="AM11" s="3"/>
      <c r="AN11" s="3"/>
      <c r="AO11" s="26"/>
      <c r="AP11" s="3">
        <v>1</v>
      </c>
      <c r="AQ11" s="3"/>
      <c r="AR11" s="3"/>
      <c r="AS11" s="3"/>
      <c r="AT11" s="26"/>
      <c r="AU11" s="3"/>
      <c r="AV11" s="3"/>
      <c r="AW11" s="21"/>
      <c r="AX11" s="3"/>
      <c r="AY11" s="3">
        <f t="shared" si="3"/>
        <v>1.71</v>
      </c>
      <c r="AZ11" s="3">
        <f t="shared" si="4"/>
        <v>0.39</v>
      </c>
      <c r="BA11" s="3">
        <f t="shared" si="5"/>
        <v>3.1E-2</v>
      </c>
      <c r="BB11" s="3">
        <f t="shared" si="6"/>
        <v>0</v>
      </c>
      <c r="BC11" s="3">
        <f t="shared" si="7"/>
        <v>0</v>
      </c>
      <c r="BD11" s="3">
        <f t="shared" si="8"/>
        <v>0</v>
      </c>
      <c r="BE11">
        <f t="shared" si="32"/>
        <v>5023.8599999999997</v>
      </c>
      <c r="BF11">
        <f t="shared" si="33"/>
        <v>0</v>
      </c>
      <c r="BG11">
        <f t="shared" si="34"/>
        <v>0</v>
      </c>
      <c r="BH11">
        <f t="shared" si="35"/>
        <v>0</v>
      </c>
      <c r="BI11">
        <f t="shared" si="36"/>
        <v>1</v>
      </c>
      <c r="BJ11">
        <f t="shared" si="37"/>
        <v>0</v>
      </c>
      <c r="BK11">
        <f t="shared" si="38"/>
        <v>0</v>
      </c>
      <c r="BL11">
        <f t="shared" si="39"/>
        <v>0</v>
      </c>
      <c r="BM11">
        <f t="shared" si="40"/>
        <v>0</v>
      </c>
      <c r="BN11">
        <f t="shared" si="41"/>
        <v>0</v>
      </c>
      <c r="BO11">
        <f t="shared" si="42"/>
        <v>5023.8599999999997</v>
      </c>
      <c r="BP11">
        <f t="shared" si="43"/>
        <v>0</v>
      </c>
      <c r="BQ11">
        <f t="shared" si="44"/>
        <v>0</v>
      </c>
      <c r="BR11">
        <f t="shared" si="10"/>
        <v>0.55000000000000004</v>
      </c>
      <c r="BS11">
        <f t="shared" si="11"/>
        <v>0.3</v>
      </c>
      <c r="BT11">
        <f t="shared" si="12"/>
        <v>0</v>
      </c>
      <c r="BU11">
        <f t="shared" si="13"/>
        <v>0.125</v>
      </c>
      <c r="BV11">
        <f t="shared" si="14"/>
        <v>0.25</v>
      </c>
      <c r="BW11">
        <f t="shared" si="15"/>
        <v>0.2</v>
      </c>
      <c r="BX11">
        <f t="shared" si="16"/>
        <v>0</v>
      </c>
      <c r="BY11">
        <f t="shared" si="17"/>
        <v>0.02</v>
      </c>
      <c r="BZ11">
        <f t="shared" si="18"/>
        <v>0</v>
      </c>
      <c r="CA11">
        <f t="shared" si="19"/>
        <v>0.01</v>
      </c>
      <c r="CB11">
        <f t="shared" si="20"/>
        <v>2E-3</v>
      </c>
      <c r="CC11">
        <f t="shared" si="21"/>
        <v>5.0000000000000001E-3</v>
      </c>
      <c r="CD11">
        <f t="shared" si="45"/>
        <v>0</v>
      </c>
      <c r="CE11">
        <f t="shared" si="46"/>
        <v>0</v>
      </c>
      <c r="CF11">
        <f t="shared" si="47"/>
        <v>0</v>
      </c>
      <c r="CG11">
        <f t="shared" si="48"/>
        <v>4345.6388999999999</v>
      </c>
      <c r="CH11">
        <f t="shared" si="49"/>
        <v>0</v>
      </c>
      <c r="CI11">
        <f t="shared" si="22"/>
        <v>0</v>
      </c>
      <c r="CJ11">
        <f t="shared" si="23"/>
        <v>4345.6388999999999</v>
      </c>
      <c r="CK11">
        <f t="shared" si="24"/>
        <v>0</v>
      </c>
      <c r="CL11">
        <f t="shared" si="25"/>
        <v>0</v>
      </c>
      <c r="CM11">
        <f t="shared" si="26"/>
        <v>0</v>
      </c>
      <c r="CN11">
        <f t="shared" si="27"/>
        <v>1</v>
      </c>
      <c r="CO11">
        <f t="shared" si="28"/>
        <v>0.02</v>
      </c>
      <c r="CP11">
        <f t="shared" si="29"/>
        <v>0</v>
      </c>
      <c r="CQ11">
        <v>0.8</v>
      </c>
      <c r="CR11">
        <f t="shared" si="30"/>
        <v>3454.7829255000001</v>
      </c>
      <c r="CS11">
        <f t="shared" si="50"/>
        <v>2763.8263404000004</v>
      </c>
      <c r="CT11">
        <f t="shared" si="31"/>
        <v>6.0000000000000001E-3</v>
      </c>
      <c r="CU11">
        <f t="shared" si="51"/>
        <v>1.57</v>
      </c>
      <c r="CV11">
        <f t="shared" si="52"/>
        <v>2.6035244126568002E-2</v>
      </c>
    </row>
    <row r="12" spans="1:104" x14ac:dyDescent="0.2">
      <c r="A12" t="s">
        <v>349</v>
      </c>
      <c r="B12">
        <v>0</v>
      </c>
      <c r="C12" t="s">
        <v>19</v>
      </c>
      <c r="D12" t="b">
        <v>1</v>
      </c>
      <c r="E12" t="s">
        <v>345</v>
      </c>
      <c r="F12">
        <v>105</v>
      </c>
      <c r="G12">
        <v>75</v>
      </c>
      <c r="H12">
        <f t="shared" si="0"/>
        <v>2.2999999999999998</v>
      </c>
      <c r="I12">
        <f t="shared" si="1"/>
        <v>0.4</v>
      </c>
      <c r="J12">
        <f t="shared" si="2"/>
        <v>4.5999999999999999E-2</v>
      </c>
      <c r="K12">
        <v>0.2</v>
      </c>
      <c r="L12">
        <v>0.1</v>
      </c>
      <c r="M12">
        <v>0.2</v>
      </c>
      <c r="N12">
        <v>0.2</v>
      </c>
      <c r="O12">
        <v>0.2</v>
      </c>
      <c r="P12">
        <v>0.1</v>
      </c>
      <c r="Q12" t="b">
        <v>1</v>
      </c>
      <c r="T12" t="b">
        <v>1</v>
      </c>
      <c r="W12" t="b">
        <v>1</v>
      </c>
      <c r="Z12" s="22"/>
      <c r="AA12">
        <v>0.25</v>
      </c>
      <c r="AB12">
        <v>0.25</v>
      </c>
      <c r="AC12">
        <v>0.25</v>
      </c>
      <c r="AD12">
        <v>0.25</v>
      </c>
      <c r="AE12" s="24">
        <v>0.25</v>
      </c>
      <c r="AF12" s="23"/>
      <c r="AG12">
        <v>0.25</v>
      </c>
      <c r="AH12">
        <v>0.25</v>
      </c>
      <c r="AI12">
        <v>0.25</v>
      </c>
      <c r="AJ12" s="24">
        <v>0.25</v>
      </c>
      <c r="AK12">
        <v>0.25</v>
      </c>
      <c r="AL12" s="23"/>
      <c r="AM12">
        <v>0.25</v>
      </c>
      <c r="AN12">
        <v>0.25</v>
      </c>
      <c r="AO12" s="16">
        <v>0.2</v>
      </c>
      <c r="AP12">
        <v>0.2</v>
      </c>
      <c r="AQ12">
        <v>0.2</v>
      </c>
      <c r="AR12">
        <v>0.2</v>
      </c>
      <c r="AS12">
        <v>0.2</v>
      </c>
      <c r="AT12" s="24">
        <v>0.25</v>
      </c>
      <c r="AU12">
        <v>0.25</v>
      </c>
      <c r="AV12">
        <v>0.25</v>
      </c>
      <c r="AW12" s="23"/>
      <c r="AX12">
        <v>0.25</v>
      </c>
      <c r="AY12">
        <f t="shared" si="3"/>
        <v>2.2999999999999998</v>
      </c>
      <c r="AZ12">
        <f t="shared" si="4"/>
        <v>0.4</v>
      </c>
      <c r="BA12">
        <f t="shared" si="5"/>
        <v>4.5999999999999999E-2</v>
      </c>
      <c r="BB12">
        <f t="shared" si="6"/>
        <v>0.25</v>
      </c>
      <c r="BC12">
        <f t="shared" si="7"/>
        <v>0.25</v>
      </c>
      <c r="BD12">
        <f t="shared" si="8"/>
        <v>0.25</v>
      </c>
      <c r="BE12">
        <f t="shared" si="32"/>
        <v>362.25</v>
      </c>
      <c r="BF12">
        <f t="shared" si="33"/>
        <v>0.15000000000000002</v>
      </c>
      <c r="BG12">
        <f t="shared" si="34"/>
        <v>0.2</v>
      </c>
      <c r="BH12">
        <f t="shared" si="35"/>
        <v>0.15000000000000002</v>
      </c>
      <c r="BI12">
        <f t="shared" si="36"/>
        <v>0.2</v>
      </c>
      <c r="BJ12">
        <f t="shared" si="37"/>
        <v>7.5000000000000011E-2</v>
      </c>
      <c r="BK12">
        <f t="shared" si="38"/>
        <v>0.22500000000000001</v>
      </c>
      <c r="BL12">
        <f t="shared" si="39"/>
        <v>54.337500000000006</v>
      </c>
      <c r="BM12">
        <f t="shared" si="40"/>
        <v>72.45</v>
      </c>
      <c r="BN12">
        <f t="shared" si="41"/>
        <v>54.337500000000006</v>
      </c>
      <c r="BO12">
        <f t="shared" si="42"/>
        <v>72.45</v>
      </c>
      <c r="BP12">
        <f t="shared" si="43"/>
        <v>27.168750000000003</v>
      </c>
      <c r="BQ12">
        <f t="shared" si="44"/>
        <v>81.506250000000009</v>
      </c>
      <c r="BR12">
        <f t="shared" si="10"/>
        <v>0.55000000000000004</v>
      </c>
      <c r="BS12">
        <f t="shared" si="11"/>
        <v>0.3</v>
      </c>
      <c r="BT12">
        <f t="shared" si="12"/>
        <v>0</v>
      </c>
      <c r="BU12">
        <f t="shared" si="13"/>
        <v>0.125</v>
      </c>
      <c r="BV12">
        <f t="shared" si="14"/>
        <v>0.25</v>
      </c>
      <c r="BW12">
        <f t="shared" si="15"/>
        <v>0.2</v>
      </c>
      <c r="BX12">
        <f t="shared" si="16"/>
        <v>0</v>
      </c>
      <c r="BY12">
        <f t="shared" si="17"/>
        <v>0.02</v>
      </c>
      <c r="BZ12">
        <f t="shared" si="18"/>
        <v>0</v>
      </c>
      <c r="CA12">
        <f t="shared" si="19"/>
        <v>0.01</v>
      </c>
      <c r="CB12">
        <f t="shared" si="20"/>
        <v>2E-3</v>
      </c>
      <c r="CC12">
        <f t="shared" si="21"/>
        <v>5.0000000000000001E-3</v>
      </c>
      <c r="CD12">
        <f t="shared" si="45"/>
        <v>24.451875000000001</v>
      </c>
      <c r="CE12">
        <f t="shared" si="46"/>
        <v>64.797468750000007</v>
      </c>
      <c r="CF12">
        <f t="shared" si="47"/>
        <v>54.337500000000006</v>
      </c>
      <c r="CG12">
        <f t="shared" si="48"/>
        <v>62.669250000000005</v>
      </c>
      <c r="CH12">
        <f t="shared" si="49"/>
        <v>20.322225000000003</v>
      </c>
      <c r="CI12">
        <f t="shared" si="22"/>
        <v>47.398148437500005</v>
      </c>
      <c r="CJ12">
        <f t="shared" si="23"/>
        <v>37.311750000000004</v>
      </c>
      <c r="CK12">
        <f t="shared" si="24"/>
        <v>39.926742187500004</v>
      </c>
      <c r="CL12">
        <f t="shared" si="25"/>
        <v>48.430560937500005</v>
      </c>
      <c r="CM12">
        <f t="shared" si="26"/>
        <v>53.511117187500005</v>
      </c>
      <c r="CN12">
        <f t="shared" si="27"/>
        <v>1</v>
      </c>
      <c r="CO12">
        <f t="shared" si="28"/>
        <v>0.02</v>
      </c>
      <c r="CP12">
        <f t="shared" si="29"/>
        <v>1.4490000000000001</v>
      </c>
      <c r="CQ12">
        <v>0.5</v>
      </c>
      <c r="CR12">
        <f t="shared" si="30"/>
        <v>179.20692700312503</v>
      </c>
      <c r="CS12">
        <f t="shared" si="50"/>
        <v>89.603463501562516</v>
      </c>
      <c r="CT12">
        <f t="shared" si="31"/>
        <v>5.0000000000000001E-3</v>
      </c>
      <c r="CU12">
        <f t="shared" si="51"/>
        <v>1.57</v>
      </c>
      <c r="CV12">
        <f t="shared" si="52"/>
        <v>7.0338718848726581E-4</v>
      </c>
      <c r="CW12">
        <f>SUM(CV12:CV15)</f>
        <v>1.9085491470904797E-2</v>
      </c>
      <c r="CY12" t="s">
        <v>3</v>
      </c>
      <c r="CZ12">
        <f>[1]!common_cn2o</f>
        <v>1.57</v>
      </c>
    </row>
    <row r="13" spans="1:104" x14ac:dyDescent="0.2">
      <c r="A13" t="s">
        <v>349</v>
      </c>
      <c r="B13">
        <v>0</v>
      </c>
      <c r="C13" t="s">
        <v>19</v>
      </c>
      <c r="D13" t="b">
        <v>1</v>
      </c>
      <c r="E13" t="s">
        <v>346</v>
      </c>
      <c r="F13">
        <v>245</v>
      </c>
      <c r="G13">
        <v>290</v>
      </c>
      <c r="H13">
        <f t="shared" si="0"/>
        <v>2.62</v>
      </c>
      <c r="I13">
        <f t="shared" si="1"/>
        <v>0.46</v>
      </c>
      <c r="J13">
        <f t="shared" si="2"/>
        <v>4.9000000000000002E-2</v>
      </c>
      <c r="K13">
        <v>0.2</v>
      </c>
      <c r="L13">
        <v>0.1</v>
      </c>
      <c r="M13">
        <v>0.2</v>
      </c>
      <c r="N13">
        <v>0.2</v>
      </c>
      <c r="O13">
        <v>0.2</v>
      </c>
      <c r="P13">
        <v>0.1</v>
      </c>
      <c r="Q13" t="b">
        <v>1</v>
      </c>
      <c r="T13" t="b">
        <v>1</v>
      </c>
      <c r="W13" t="b">
        <v>1</v>
      </c>
      <c r="Z13" s="22"/>
      <c r="AA13">
        <v>0.25</v>
      </c>
      <c r="AB13">
        <v>0.25</v>
      </c>
      <c r="AC13">
        <v>0.25</v>
      </c>
      <c r="AD13">
        <v>0.25</v>
      </c>
      <c r="AE13" s="16">
        <v>0.25</v>
      </c>
      <c r="AF13" s="23"/>
      <c r="AG13">
        <v>0.25</v>
      </c>
      <c r="AH13">
        <v>0.25</v>
      </c>
      <c r="AI13">
        <v>0.25</v>
      </c>
      <c r="AJ13" s="16">
        <v>0.25</v>
      </c>
      <c r="AK13">
        <v>0.25</v>
      </c>
      <c r="AL13" s="23"/>
      <c r="AM13">
        <v>0.25</v>
      </c>
      <c r="AN13">
        <v>0.25</v>
      </c>
      <c r="AO13" s="16">
        <v>0.2</v>
      </c>
      <c r="AP13">
        <v>0.2</v>
      </c>
      <c r="AQ13">
        <v>0.2</v>
      </c>
      <c r="AR13">
        <v>0.2</v>
      </c>
      <c r="AS13">
        <v>0.2</v>
      </c>
      <c r="AT13" s="16">
        <v>0.25</v>
      </c>
      <c r="AU13">
        <v>0.25</v>
      </c>
      <c r="AV13">
        <v>0.25</v>
      </c>
      <c r="AW13" s="23"/>
      <c r="AX13">
        <v>0.25</v>
      </c>
      <c r="AY13">
        <f t="shared" si="3"/>
        <v>2.62</v>
      </c>
      <c r="AZ13">
        <f t="shared" si="4"/>
        <v>0.46</v>
      </c>
      <c r="BA13">
        <f t="shared" si="5"/>
        <v>4.9000000000000002E-2</v>
      </c>
      <c r="BB13">
        <f t="shared" si="6"/>
        <v>0.25</v>
      </c>
      <c r="BC13">
        <f t="shared" si="7"/>
        <v>0.25</v>
      </c>
      <c r="BD13">
        <f t="shared" si="8"/>
        <v>0.25</v>
      </c>
      <c r="BE13">
        <f t="shared" si="32"/>
        <v>3481.4500000000003</v>
      </c>
      <c r="BF13">
        <f t="shared" si="33"/>
        <v>0.15000000000000002</v>
      </c>
      <c r="BG13">
        <f t="shared" si="34"/>
        <v>0.2</v>
      </c>
      <c r="BH13">
        <f t="shared" si="35"/>
        <v>0.15000000000000002</v>
      </c>
      <c r="BI13">
        <f t="shared" si="36"/>
        <v>0.2</v>
      </c>
      <c r="BJ13">
        <f t="shared" si="37"/>
        <v>7.5000000000000011E-2</v>
      </c>
      <c r="BK13">
        <f t="shared" si="38"/>
        <v>0.22500000000000001</v>
      </c>
      <c r="BL13">
        <f t="shared" si="39"/>
        <v>522.21750000000009</v>
      </c>
      <c r="BM13">
        <f t="shared" si="40"/>
        <v>696.29000000000008</v>
      </c>
      <c r="BN13">
        <f t="shared" si="41"/>
        <v>522.21750000000009</v>
      </c>
      <c r="BO13">
        <f t="shared" si="42"/>
        <v>696.29000000000008</v>
      </c>
      <c r="BP13">
        <f t="shared" si="43"/>
        <v>261.10875000000004</v>
      </c>
      <c r="BQ13">
        <f t="shared" si="44"/>
        <v>783.32625000000007</v>
      </c>
      <c r="BR13">
        <f t="shared" si="10"/>
        <v>0.55000000000000004</v>
      </c>
      <c r="BS13">
        <f t="shared" si="11"/>
        <v>0.3</v>
      </c>
      <c r="BT13">
        <f t="shared" si="12"/>
        <v>0</v>
      </c>
      <c r="BU13">
        <f t="shared" si="13"/>
        <v>0.125</v>
      </c>
      <c r="BV13">
        <f t="shared" si="14"/>
        <v>0.25</v>
      </c>
      <c r="BW13">
        <f t="shared" si="15"/>
        <v>0.2</v>
      </c>
      <c r="BX13">
        <f t="shared" si="16"/>
        <v>0</v>
      </c>
      <c r="BY13">
        <f t="shared" si="17"/>
        <v>0.02</v>
      </c>
      <c r="BZ13">
        <f t="shared" si="18"/>
        <v>0</v>
      </c>
      <c r="CA13">
        <f t="shared" si="19"/>
        <v>0.01</v>
      </c>
      <c r="CB13">
        <f t="shared" si="20"/>
        <v>2E-3</v>
      </c>
      <c r="CC13">
        <f t="shared" si="21"/>
        <v>5.0000000000000001E-3</v>
      </c>
      <c r="CD13">
        <f t="shared" si="45"/>
        <v>234.99787500000002</v>
      </c>
      <c r="CE13">
        <f t="shared" si="46"/>
        <v>622.74436875000004</v>
      </c>
      <c r="CF13">
        <f t="shared" si="47"/>
        <v>522.21750000000009</v>
      </c>
      <c r="CG13">
        <f t="shared" si="48"/>
        <v>602.29085000000009</v>
      </c>
      <c r="CH13">
        <f t="shared" si="49"/>
        <v>195.30934500000004</v>
      </c>
      <c r="CI13">
        <f t="shared" si="22"/>
        <v>455.52597343750006</v>
      </c>
      <c r="CJ13">
        <f t="shared" si="23"/>
        <v>358.58935000000008</v>
      </c>
      <c r="CK13">
        <f t="shared" si="24"/>
        <v>383.72106718750007</v>
      </c>
      <c r="CL13">
        <f t="shared" si="25"/>
        <v>465.44810593750003</v>
      </c>
      <c r="CM13">
        <f t="shared" si="26"/>
        <v>514.27544218750006</v>
      </c>
      <c r="CN13">
        <f t="shared" si="27"/>
        <v>1</v>
      </c>
      <c r="CO13">
        <f t="shared" si="28"/>
        <v>0.02</v>
      </c>
      <c r="CP13">
        <f t="shared" si="29"/>
        <v>13.925800000000002</v>
      </c>
      <c r="CQ13">
        <v>0.5</v>
      </c>
      <c r="CR13">
        <f t="shared" si="30"/>
        <v>1722.2911139131252</v>
      </c>
      <c r="CS13">
        <f t="shared" si="50"/>
        <v>861.14555695656259</v>
      </c>
      <c r="CT13">
        <f t="shared" si="31"/>
        <v>5.0000000000000001E-3</v>
      </c>
      <c r="CU13">
        <f t="shared" si="51"/>
        <v>1.57</v>
      </c>
      <c r="CV13">
        <f t="shared" si="52"/>
        <v>6.7599926221090165E-3</v>
      </c>
      <c r="CY13" t="s">
        <v>55</v>
      </c>
      <c r="CZ13">
        <v>0.02</v>
      </c>
    </row>
    <row r="14" spans="1:104" x14ac:dyDescent="0.2">
      <c r="A14" t="s">
        <v>349</v>
      </c>
      <c r="B14">
        <v>0</v>
      </c>
      <c r="C14" t="s">
        <v>19</v>
      </c>
      <c r="D14" t="b">
        <v>1</v>
      </c>
      <c r="E14" t="s">
        <v>347</v>
      </c>
      <c r="F14">
        <v>434</v>
      </c>
      <c r="G14">
        <v>280</v>
      </c>
      <c r="H14">
        <f t="shared" si="0"/>
        <v>2.5</v>
      </c>
      <c r="I14">
        <f t="shared" si="1"/>
        <v>0.55000000000000004</v>
      </c>
      <c r="J14">
        <f t="shared" si="2"/>
        <v>4.5999999999999999E-2</v>
      </c>
      <c r="K14">
        <v>0.2</v>
      </c>
      <c r="L14">
        <v>0.1</v>
      </c>
      <c r="M14">
        <v>0.2</v>
      </c>
      <c r="N14">
        <v>0.2</v>
      </c>
      <c r="O14">
        <v>0.2</v>
      </c>
      <c r="P14">
        <v>0.1</v>
      </c>
      <c r="Q14" t="b">
        <v>1</v>
      </c>
      <c r="T14" t="b">
        <v>1</v>
      </c>
      <c r="W14" t="b">
        <v>1</v>
      </c>
      <c r="Z14" s="22"/>
      <c r="AA14">
        <v>0.25</v>
      </c>
      <c r="AB14">
        <v>0.25</v>
      </c>
      <c r="AC14">
        <v>0.25</v>
      </c>
      <c r="AD14">
        <v>0.25</v>
      </c>
      <c r="AE14" s="16">
        <v>0.25</v>
      </c>
      <c r="AF14" s="23"/>
      <c r="AG14">
        <v>0.25</v>
      </c>
      <c r="AH14">
        <v>0.25</v>
      </c>
      <c r="AI14">
        <v>0.25</v>
      </c>
      <c r="AJ14" s="16">
        <v>0.25</v>
      </c>
      <c r="AK14">
        <v>0.25</v>
      </c>
      <c r="AL14" s="23"/>
      <c r="AM14">
        <v>0.25</v>
      </c>
      <c r="AN14">
        <v>0.25</v>
      </c>
      <c r="AO14" s="16">
        <v>0.2</v>
      </c>
      <c r="AP14">
        <v>0.2</v>
      </c>
      <c r="AQ14">
        <v>0.2</v>
      </c>
      <c r="AR14">
        <v>0.2</v>
      </c>
      <c r="AS14">
        <v>0.2</v>
      </c>
      <c r="AT14" s="16">
        <v>0.25</v>
      </c>
      <c r="AU14">
        <v>0.25</v>
      </c>
      <c r="AV14">
        <v>0.25</v>
      </c>
      <c r="AW14" s="23"/>
      <c r="AX14">
        <v>0.25</v>
      </c>
      <c r="AY14">
        <f t="shared" si="3"/>
        <v>2.5</v>
      </c>
      <c r="AZ14">
        <f t="shared" si="4"/>
        <v>0.55000000000000004</v>
      </c>
      <c r="BA14">
        <f t="shared" si="5"/>
        <v>4.5999999999999999E-2</v>
      </c>
      <c r="BB14">
        <f t="shared" si="6"/>
        <v>0.25</v>
      </c>
      <c r="BC14">
        <f t="shared" si="7"/>
        <v>0.25</v>
      </c>
      <c r="BD14">
        <f t="shared" si="8"/>
        <v>0.25</v>
      </c>
      <c r="BE14">
        <f t="shared" si="32"/>
        <v>5589.92</v>
      </c>
      <c r="BF14">
        <f t="shared" si="33"/>
        <v>0.15000000000000002</v>
      </c>
      <c r="BG14">
        <f t="shared" si="34"/>
        <v>0.2</v>
      </c>
      <c r="BH14">
        <f t="shared" si="35"/>
        <v>0.15000000000000002</v>
      </c>
      <c r="BI14">
        <f t="shared" si="36"/>
        <v>0.2</v>
      </c>
      <c r="BJ14">
        <f t="shared" si="37"/>
        <v>7.5000000000000011E-2</v>
      </c>
      <c r="BK14">
        <f t="shared" si="38"/>
        <v>0.22500000000000001</v>
      </c>
      <c r="BL14">
        <f t="shared" si="39"/>
        <v>838.48800000000017</v>
      </c>
      <c r="BM14">
        <f t="shared" si="40"/>
        <v>1117.9840000000002</v>
      </c>
      <c r="BN14">
        <f t="shared" si="41"/>
        <v>838.48800000000017</v>
      </c>
      <c r="BO14">
        <f t="shared" si="42"/>
        <v>1117.9840000000002</v>
      </c>
      <c r="BP14">
        <f t="shared" si="43"/>
        <v>419.24400000000009</v>
      </c>
      <c r="BQ14">
        <f t="shared" si="44"/>
        <v>1257.732</v>
      </c>
      <c r="BR14">
        <f t="shared" si="10"/>
        <v>0.55000000000000004</v>
      </c>
      <c r="BS14">
        <f t="shared" si="11"/>
        <v>0.3</v>
      </c>
      <c r="BT14">
        <f t="shared" si="12"/>
        <v>0</v>
      </c>
      <c r="BU14">
        <f t="shared" si="13"/>
        <v>0.125</v>
      </c>
      <c r="BV14">
        <f t="shared" si="14"/>
        <v>0.25</v>
      </c>
      <c r="BW14">
        <f t="shared" si="15"/>
        <v>0.2</v>
      </c>
      <c r="BX14">
        <f t="shared" si="16"/>
        <v>0</v>
      </c>
      <c r="BY14">
        <f t="shared" si="17"/>
        <v>0.02</v>
      </c>
      <c r="BZ14">
        <f t="shared" si="18"/>
        <v>0</v>
      </c>
      <c r="CA14">
        <f t="shared" si="19"/>
        <v>0.01</v>
      </c>
      <c r="CB14">
        <f t="shared" si="20"/>
        <v>2E-3</v>
      </c>
      <c r="CC14">
        <f t="shared" si="21"/>
        <v>5.0000000000000001E-3</v>
      </c>
      <c r="CD14">
        <f t="shared" si="45"/>
        <v>377.31960000000004</v>
      </c>
      <c r="CE14">
        <f t="shared" si="46"/>
        <v>999.89693999999997</v>
      </c>
      <c r="CF14">
        <f t="shared" si="47"/>
        <v>838.48800000000017</v>
      </c>
      <c r="CG14">
        <f t="shared" si="48"/>
        <v>967.05616000000009</v>
      </c>
      <c r="CH14">
        <f t="shared" si="49"/>
        <v>313.59451200000007</v>
      </c>
      <c r="CI14">
        <f t="shared" si="22"/>
        <v>731.40609500000016</v>
      </c>
      <c r="CJ14">
        <f t="shared" si="23"/>
        <v>575.76176000000009</v>
      </c>
      <c r="CK14">
        <f t="shared" si="24"/>
        <v>616.11399500000005</v>
      </c>
      <c r="CL14">
        <f t="shared" si="25"/>
        <v>747.33736700000009</v>
      </c>
      <c r="CM14">
        <f t="shared" si="26"/>
        <v>825.73599500000012</v>
      </c>
      <c r="CN14">
        <f t="shared" si="27"/>
        <v>1</v>
      </c>
      <c r="CO14">
        <f t="shared" si="28"/>
        <v>0.02</v>
      </c>
      <c r="CP14">
        <f t="shared" si="29"/>
        <v>22.359680000000004</v>
      </c>
      <c r="CQ14">
        <v>0.5</v>
      </c>
      <c r="CR14">
        <f t="shared" si="30"/>
        <v>2765.3620024660004</v>
      </c>
      <c r="CS14">
        <f t="shared" si="50"/>
        <v>1382.6810012330002</v>
      </c>
      <c r="CT14">
        <f t="shared" si="31"/>
        <v>5.0000000000000001E-3</v>
      </c>
      <c r="CU14">
        <f t="shared" si="51"/>
        <v>1.57</v>
      </c>
      <c r="CV14">
        <f t="shared" si="52"/>
        <v>1.0854045859679053E-2</v>
      </c>
      <c r="CY14" t="s">
        <v>307</v>
      </c>
      <c r="CZ14">
        <v>0.25</v>
      </c>
    </row>
    <row r="15" spans="1:104" x14ac:dyDescent="0.2">
      <c r="A15" t="s">
        <v>349</v>
      </c>
      <c r="B15">
        <v>0</v>
      </c>
      <c r="C15" t="s">
        <v>19</v>
      </c>
      <c r="D15" t="b">
        <v>1</v>
      </c>
      <c r="E15" t="s">
        <v>348</v>
      </c>
      <c r="F15">
        <v>44</v>
      </c>
      <c r="G15">
        <v>290</v>
      </c>
      <c r="H15">
        <f t="shared" si="0"/>
        <v>1.71</v>
      </c>
      <c r="I15">
        <f t="shared" si="1"/>
        <v>0.39</v>
      </c>
      <c r="J15">
        <f t="shared" si="2"/>
        <v>3.1E-2</v>
      </c>
      <c r="K15" s="3">
        <v>0.2</v>
      </c>
      <c r="L15" s="3">
        <v>0.1</v>
      </c>
      <c r="M15" s="3">
        <v>0.2</v>
      </c>
      <c r="N15" s="3">
        <v>0.2</v>
      </c>
      <c r="O15" s="3">
        <v>0.2</v>
      </c>
      <c r="P15" s="3">
        <v>0.1</v>
      </c>
      <c r="Q15" s="3" t="b">
        <v>1</v>
      </c>
      <c r="R15" s="3"/>
      <c r="S15" s="3"/>
      <c r="T15" s="3" t="b">
        <v>1</v>
      </c>
      <c r="U15" s="3"/>
      <c r="V15" s="3"/>
      <c r="W15" s="3" t="b">
        <v>1</v>
      </c>
      <c r="X15" s="3"/>
      <c r="Y15" s="3"/>
      <c r="Z15" s="19"/>
      <c r="AA15" s="3">
        <v>0.25</v>
      </c>
      <c r="AB15" s="3">
        <v>0.25</v>
      </c>
      <c r="AC15" s="3">
        <v>0.25</v>
      </c>
      <c r="AD15" s="3">
        <v>0.25</v>
      </c>
      <c r="AE15" s="26">
        <v>0.25</v>
      </c>
      <c r="AF15" s="21"/>
      <c r="AG15" s="3">
        <v>0.25</v>
      </c>
      <c r="AH15" s="3">
        <v>0.25</v>
      </c>
      <c r="AI15" s="3">
        <v>0.25</v>
      </c>
      <c r="AJ15" s="26">
        <v>0.25</v>
      </c>
      <c r="AK15" s="3">
        <v>0.25</v>
      </c>
      <c r="AL15" s="21"/>
      <c r="AM15" s="3">
        <v>0.25</v>
      </c>
      <c r="AN15" s="3">
        <v>0.25</v>
      </c>
      <c r="AO15" s="26">
        <v>0.2</v>
      </c>
      <c r="AP15" s="3">
        <v>0.2</v>
      </c>
      <c r="AQ15" s="3">
        <v>0.2</v>
      </c>
      <c r="AR15" s="3">
        <v>0.2</v>
      </c>
      <c r="AS15" s="3">
        <v>0.2</v>
      </c>
      <c r="AT15" s="26">
        <v>0.25</v>
      </c>
      <c r="AU15" s="3">
        <v>0.25</v>
      </c>
      <c r="AV15" s="3">
        <v>0.25</v>
      </c>
      <c r="AW15" s="21"/>
      <c r="AX15" s="3">
        <v>0.25</v>
      </c>
      <c r="AY15" s="3">
        <f t="shared" si="3"/>
        <v>1.71</v>
      </c>
      <c r="AZ15" s="3">
        <f t="shared" si="4"/>
        <v>0.39</v>
      </c>
      <c r="BA15" s="3">
        <f t="shared" si="5"/>
        <v>3.1E-2</v>
      </c>
      <c r="BB15" s="3">
        <f t="shared" si="6"/>
        <v>0.25</v>
      </c>
      <c r="BC15" s="3">
        <f t="shared" si="7"/>
        <v>0.25</v>
      </c>
      <c r="BD15" s="3">
        <f t="shared" si="8"/>
        <v>0.25</v>
      </c>
      <c r="BE15">
        <f t="shared" si="32"/>
        <v>395.56</v>
      </c>
      <c r="BF15">
        <f t="shared" si="33"/>
        <v>0.15000000000000002</v>
      </c>
      <c r="BG15">
        <f t="shared" si="34"/>
        <v>0.2</v>
      </c>
      <c r="BH15">
        <f t="shared" si="35"/>
        <v>0.15000000000000002</v>
      </c>
      <c r="BI15">
        <f t="shared" si="36"/>
        <v>0.2</v>
      </c>
      <c r="BJ15">
        <f t="shared" si="37"/>
        <v>7.5000000000000011E-2</v>
      </c>
      <c r="BK15">
        <f t="shared" si="38"/>
        <v>0.22500000000000001</v>
      </c>
      <c r="BL15">
        <f t="shared" si="39"/>
        <v>59.33400000000001</v>
      </c>
      <c r="BM15">
        <f t="shared" si="40"/>
        <v>79.112000000000009</v>
      </c>
      <c r="BN15">
        <f t="shared" si="41"/>
        <v>59.33400000000001</v>
      </c>
      <c r="BO15">
        <f t="shared" si="42"/>
        <v>79.112000000000009</v>
      </c>
      <c r="BP15">
        <f t="shared" si="43"/>
        <v>29.667000000000005</v>
      </c>
      <c r="BQ15">
        <f t="shared" si="44"/>
        <v>89.001000000000005</v>
      </c>
      <c r="BR15">
        <f t="shared" si="10"/>
        <v>0.55000000000000004</v>
      </c>
      <c r="BS15">
        <f t="shared" si="11"/>
        <v>0.3</v>
      </c>
      <c r="BT15">
        <f t="shared" si="12"/>
        <v>0</v>
      </c>
      <c r="BU15">
        <f t="shared" si="13"/>
        <v>0.125</v>
      </c>
      <c r="BV15">
        <f t="shared" si="14"/>
        <v>0.25</v>
      </c>
      <c r="BW15">
        <f t="shared" si="15"/>
        <v>0.2</v>
      </c>
      <c r="BX15">
        <f t="shared" si="16"/>
        <v>0</v>
      </c>
      <c r="BY15">
        <f t="shared" si="17"/>
        <v>0.02</v>
      </c>
      <c r="BZ15">
        <f t="shared" si="18"/>
        <v>0</v>
      </c>
      <c r="CA15">
        <f t="shared" si="19"/>
        <v>0.01</v>
      </c>
      <c r="CB15">
        <f t="shared" si="20"/>
        <v>2E-3</v>
      </c>
      <c r="CC15">
        <f t="shared" si="21"/>
        <v>5.0000000000000001E-3</v>
      </c>
      <c r="CD15">
        <f t="shared" si="45"/>
        <v>26.700300000000002</v>
      </c>
      <c r="CE15">
        <f t="shared" si="46"/>
        <v>70.755795000000006</v>
      </c>
      <c r="CF15">
        <f t="shared" si="47"/>
        <v>59.33400000000001</v>
      </c>
      <c r="CG15">
        <f t="shared" si="48"/>
        <v>68.431880000000007</v>
      </c>
      <c r="CH15">
        <f t="shared" si="49"/>
        <v>22.190916000000005</v>
      </c>
      <c r="CI15">
        <f t="shared" si="22"/>
        <v>51.756553750000009</v>
      </c>
      <c r="CJ15">
        <f t="shared" si="23"/>
        <v>40.742680000000007</v>
      </c>
      <c r="CK15">
        <f t="shared" si="24"/>
        <v>43.598128750000008</v>
      </c>
      <c r="CL15">
        <f t="shared" si="25"/>
        <v>52.883899750000005</v>
      </c>
      <c r="CM15">
        <f t="shared" si="26"/>
        <v>58.431628750000009</v>
      </c>
      <c r="CN15">
        <f t="shared" si="27"/>
        <v>1</v>
      </c>
      <c r="CO15">
        <f t="shared" si="28"/>
        <v>0.02</v>
      </c>
      <c r="CP15">
        <f t="shared" si="29"/>
        <v>1.5822400000000003</v>
      </c>
      <c r="CQ15">
        <v>0.5</v>
      </c>
      <c r="CR15">
        <f t="shared" si="30"/>
        <v>195.68555430050003</v>
      </c>
      <c r="CS15">
        <f t="shared" si="50"/>
        <v>97.842777150250015</v>
      </c>
      <c r="CT15">
        <f t="shared" si="31"/>
        <v>5.0000000000000001E-3</v>
      </c>
      <c r="CU15">
        <f t="shared" si="51"/>
        <v>1.57</v>
      </c>
      <c r="CV15">
        <f t="shared" si="52"/>
        <v>7.6806580062946264E-4</v>
      </c>
    </row>
    <row r="16" spans="1:104" x14ac:dyDescent="0.2">
      <c r="A16" t="s">
        <v>350</v>
      </c>
      <c r="B16">
        <v>0</v>
      </c>
      <c r="C16" t="s">
        <v>16</v>
      </c>
      <c r="D16" t="b">
        <v>1</v>
      </c>
      <c r="E16" t="s">
        <v>345</v>
      </c>
      <c r="F16">
        <v>1000</v>
      </c>
      <c r="G16">
        <v>100</v>
      </c>
      <c r="H16">
        <f t="shared" si="0"/>
        <v>2.2999999999999998</v>
      </c>
      <c r="I16">
        <f t="shared" si="1"/>
        <v>0.4</v>
      </c>
      <c r="J16">
        <f t="shared" si="2"/>
        <v>4.5999999999999999E-2</v>
      </c>
      <c r="K16">
        <v>0.3</v>
      </c>
      <c r="N16">
        <v>0.3</v>
      </c>
      <c r="P16">
        <v>0.4</v>
      </c>
      <c r="Q16" t="b">
        <v>0</v>
      </c>
      <c r="T16" t="b">
        <v>0</v>
      </c>
      <c r="W16" t="b">
        <v>0</v>
      </c>
      <c r="Z16" s="22"/>
      <c r="AB16">
        <v>1</v>
      </c>
      <c r="AE16" s="16"/>
      <c r="AF16" s="23"/>
      <c r="AJ16" s="16">
        <v>0.8</v>
      </c>
      <c r="AL16" s="23"/>
      <c r="AM16">
        <v>0.2</v>
      </c>
      <c r="AO16" s="16"/>
      <c r="AT16" s="16"/>
      <c r="AU16">
        <v>0.5</v>
      </c>
      <c r="AW16" s="23"/>
      <c r="AX16">
        <v>0.5</v>
      </c>
      <c r="AY16">
        <f t="shared" si="3"/>
        <v>2.2999999999999998</v>
      </c>
      <c r="AZ16">
        <f t="shared" si="4"/>
        <v>0.4</v>
      </c>
      <c r="BA16">
        <f t="shared" si="5"/>
        <v>4.5999999999999999E-2</v>
      </c>
      <c r="BB16">
        <f t="shared" si="6"/>
        <v>0</v>
      </c>
      <c r="BC16">
        <f t="shared" si="7"/>
        <v>0</v>
      </c>
      <c r="BD16">
        <f t="shared" si="8"/>
        <v>0</v>
      </c>
      <c r="BE16">
        <f t="shared" si="32"/>
        <v>4600</v>
      </c>
      <c r="BF16">
        <f t="shared" si="33"/>
        <v>0.3</v>
      </c>
      <c r="BG16">
        <f t="shared" si="34"/>
        <v>0</v>
      </c>
      <c r="BH16">
        <f t="shared" si="35"/>
        <v>0.3</v>
      </c>
      <c r="BI16">
        <f t="shared" si="36"/>
        <v>0</v>
      </c>
      <c r="BJ16">
        <f t="shared" si="37"/>
        <v>0.4</v>
      </c>
      <c r="BK16">
        <f t="shared" si="38"/>
        <v>0</v>
      </c>
      <c r="BL16">
        <f t="shared" si="39"/>
        <v>1380</v>
      </c>
      <c r="BM16">
        <f t="shared" si="40"/>
        <v>0</v>
      </c>
      <c r="BN16">
        <f t="shared" si="41"/>
        <v>1380</v>
      </c>
      <c r="BO16">
        <f t="shared" si="42"/>
        <v>0</v>
      </c>
      <c r="BP16">
        <f t="shared" si="43"/>
        <v>1840</v>
      </c>
      <c r="BQ16">
        <f t="shared" si="44"/>
        <v>0</v>
      </c>
      <c r="BR16">
        <f t="shared" si="10"/>
        <v>0.55000000000000004</v>
      </c>
      <c r="BS16">
        <f t="shared" si="11"/>
        <v>0.3</v>
      </c>
      <c r="BT16">
        <f t="shared" si="12"/>
        <v>0</v>
      </c>
      <c r="BU16">
        <f t="shared" si="13"/>
        <v>0.125</v>
      </c>
      <c r="BV16">
        <f t="shared" si="14"/>
        <v>0.25</v>
      </c>
      <c r="BW16">
        <f t="shared" si="15"/>
        <v>0.2</v>
      </c>
      <c r="BX16">
        <f t="shared" si="16"/>
        <v>0</v>
      </c>
      <c r="BY16">
        <f t="shared" si="17"/>
        <v>0.02</v>
      </c>
      <c r="BZ16">
        <f t="shared" si="18"/>
        <v>0</v>
      </c>
      <c r="CA16">
        <f t="shared" si="19"/>
        <v>0.01</v>
      </c>
      <c r="CB16">
        <f t="shared" si="20"/>
        <v>2E-3</v>
      </c>
      <c r="CC16">
        <f t="shared" si="21"/>
        <v>5.0000000000000001E-3</v>
      </c>
      <c r="CD16">
        <f t="shared" si="45"/>
        <v>620.99999999999989</v>
      </c>
      <c r="CE16">
        <f t="shared" si="46"/>
        <v>0</v>
      </c>
      <c r="CF16">
        <f t="shared" si="47"/>
        <v>1380</v>
      </c>
      <c r="CG16">
        <f t="shared" si="48"/>
        <v>0</v>
      </c>
      <c r="CH16">
        <f t="shared" si="49"/>
        <v>1376.32</v>
      </c>
      <c r="CI16">
        <f t="shared" si="22"/>
        <v>1104</v>
      </c>
      <c r="CJ16">
        <f t="shared" si="23"/>
        <v>688.16</v>
      </c>
      <c r="CK16">
        <f t="shared" si="24"/>
        <v>620.99999999999989</v>
      </c>
      <c r="CL16">
        <f t="shared" si="25"/>
        <v>276</v>
      </c>
      <c r="CM16">
        <f t="shared" si="26"/>
        <v>688.16</v>
      </c>
      <c r="CN16">
        <f t="shared" si="27"/>
        <v>1</v>
      </c>
      <c r="CO16">
        <f t="shared" si="28"/>
        <v>0.02</v>
      </c>
      <c r="CP16">
        <f t="shared" si="29"/>
        <v>0</v>
      </c>
      <c r="CQ16">
        <v>1</v>
      </c>
      <c r="CR16">
        <f t="shared" si="30"/>
        <v>2559.4952000000003</v>
      </c>
      <c r="CS16">
        <f t="shared" si="50"/>
        <v>2559.4952000000003</v>
      </c>
      <c r="CT16">
        <f t="shared" si="31"/>
        <v>6.0000000000000001E-3</v>
      </c>
      <c r="CU16">
        <f t="shared" si="51"/>
        <v>1.57</v>
      </c>
      <c r="CV16">
        <f t="shared" si="52"/>
        <v>2.4110444784000006E-2</v>
      </c>
      <c r="CW16">
        <f>SUM(CV16:CV19)</f>
        <v>4.4635872883368004E-2</v>
      </c>
    </row>
    <row r="17" spans="1:104" x14ac:dyDescent="0.2">
      <c r="A17" t="s">
        <v>350</v>
      </c>
      <c r="B17">
        <v>0</v>
      </c>
      <c r="C17" t="s">
        <v>16</v>
      </c>
      <c r="D17" t="b">
        <v>1</v>
      </c>
      <c r="E17" t="s">
        <v>346</v>
      </c>
      <c r="F17">
        <v>233</v>
      </c>
      <c r="G17">
        <v>100</v>
      </c>
      <c r="H17">
        <f t="shared" si="0"/>
        <v>2.62</v>
      </c>
      <c r="I17">
        <f t="shared" si="1"/>
        <v>0.46</v>
      </c>
      <c r="J17">
        <f t="shared" si="2"/>
        <v>4.9000000000000002E-2</v>
      </c>
      <c r="K17">
        <v>0.3</v>
      </c>
      <c r="N17">
        <v>0.3</v>
      </c>
      <c r="P17">
        <v>0.4</v>
      </c>
      <c r="Q17" t="b">
        <v>0</v>
      </c>
      <c r="T17" t="b">
        <v>0</v>
      </c>
      <c r="W17" t="b">
        <v>0</v>
      </c>
      <c r="Z17" s="22"/>
      <c r="AB17">
        <v>1</v>
      </c>
      <c r="AE17" s="16"/>
      <c r="AF17" s="23"/>
      <c r="AJ17" s="16">
        <v>0.8</v>
      </c>
      <c r="AL17" s="23"/>
      <c r="AM17">
        <v>0.2</v>
      </c>
      <c r="AO17" s="16"/>
      <c r="AT17" s="16"/>
      <c r="AU17">
        <v>0.5</v>
      </c>
      <c r="AW17" s="23"/>
      <c r="AX17">
        <v>0.5</v>
      </c>
      <c r="AY17">
        <f t="shared" si="3"/>
        <v>2.62</v>
      </c>
      <c r="AZ17">
        <f t="shared" si="4"/>
        <v>0.46</v>
      </c>
      <c r="BA17">
        <f t="shared" si="5"/>
        <v>4.9000000000000002E-2</v>
      </c>
      <c r="BB17">
        <f t="shared" si="6"/>
        <v>0</v>
      </c>
      <c r="BC17">
        <f t="shared" si="7"/>
        <v>0</v>
      </c>
      <c r="BD17">
        <f t="shared" si="8"/>
        <v>0</v>
      </c>
      <c r="BE17">
        <f t="shared" si="32"/>
        <v>1141.7</v>
      </c>
      <c r="BF17">
        <f t="shared" si="33"/>
        <v>0.3</v>
      </c>
      <c r="BG17">
        <f t="shared" si="34"/>
        <v>0</v>
      </c>
      <c r="BH17">
        <f t="shared" si="35"/>
        <v>0.3</v>
      </c>
      <c r="BI17">
        <f t="shared" si="36"/>
        <v>0</v>
      </c>
      <c r="BJ17">
        <f t="shared" si="37"/>
        <v>0.4</v>
      </c>
      <c r="BK17">
        <f t="shared" si="38"/>
        <v>0</v>
      </c>
      <c r="BL17">
        <f t="shared" si="39"/>
        <v>342.51</v>
      </c>
      <c r="BM17">
        <f t="shared" si="40"/>
        <v>0</v>
      </c>
      <c r="BN17">
        <f t="shared" si="41"/>
        <v>342.51</v>
      </c>
      <c r="BO17">
        <f t="shared" si="42"/>
        <v>0</v>
      </c>
      <c r="BP17">
        <f t="shared" si="43"/>
        <v>456.68000000000006</v>
      </c>
      <c r="BQ17">
        <f t="shared" si="44"/>
        <v>0</v>
      </c>
      <c r="BR17">
        <f t="shared" si="10"/>
        <v>0.55000000000000004</v>
      </c>
      <c r="BS17">
        <f t="shared" si="11"/>
        <v>0.3</v>
      </c>
      <c r="BT17">
        <f t="shared" si="12"/>
        <v>0</v>
      </c>
      <c r="BU17">
        <f t="shared" si="13"/>
        <v>0.125</v>
      </c>
      <c r="BV17">
        <f t="shared" si="14"/>
        <v>0.25</v>
      </c>
      <c r="BW17">
        <f t="shared" si="15"/>
        <v>0.2</v>
      </c>
      <c r="BX17">
        <f t="shared" si="16"/>
        <v>0</v>
      </c>
      <c r="BY17">
        <f t="shared" si="17"/>
        <v>0.02</v>
      </c>
      <c r="BZ17">
        <f t="shared" si="18"/>
        <v>0</v>
      </c>
      <c r="CA17">
        <f t="shared" si="19"/>
        <v>0.01</v>
      </c>
      <c r="CB17">
        <f t="shared" si="20"/>
        <v>2E-3</v>
      </c>
      <c r="CC17">
        <f t="shared" si="21"/>
        <v>5.0000000000000001E-3</v>
      </c>
      <c r="CD17">
        <f t="shared" si="45"/>
        <v>154.12949999999998</v>
      </c>
      <c r="CE17">
        <f t="shared" si="46"/>
        <v>0</v>
      </c>
      <c r="CF17">
        <f t="shared" si="47"/>
        <v>342.51</v>
      </c>
      <c r="CG17">
        <f t="shared" si="48"/>
        <v>0</v>
      </c>
      <c r="CH17">
        <f t="shared" si="49"/>
        <v>341.59664000000004</v>
      </c>
      <c r="CI17">
        <f t="shared" si="22"/>
        <v>274.00799999999998</v>
      </c>
      <c r="CJ17">
        <f t="shared" si="23"/>
        <v>170.79832000000002</v>
      </c>
      <c r="CK17">
        <f t="shared" si="24"/>
        <v>154.12949999999998</v>
      </c>
      <c r="CL17">
        <f t="shared" si="25"/>
        <v>68.501999999999995</v>
      </c>
      <c r="CM17">
        <f t="shared" si="26"/>
        <v>170.79832000000002</v>
      </c>
      <c r="CN17">
        <f t="shared" si="27"/>
        <v>1</v>
      </c>
      <c r="CO17">
        <f t="shared" si="28"/>
        <v>0.02</v>
      </c>
      <c r="CP17">
        <f t="shared" si="29"/>
        <v>0</v>
      </c>
      <c r="CQ17">
        <v>1</v>
      </c>
      <c r="CR17">
        <f t="shared" si="30"/>
        <v>635.25558039999999</v>
      </c>
      <c r="CS17">
        <f t="shared" si="50"/>
        <v>635.25558039999999</v>
      </c>
      <c r="CT17">
        <f t="shared" si="31"/>
        <v>6.0000000000000001E-3</v>
      </c>
      <c r="CU17">
        <f t="shared" si="51"/>
        <v>1.57</v>
      </c>
      <c r="CV17">
        <f t="shared" si="52"/>
        <v>5.9841075673679996E-3</v>
      </c>
    </row>
    <row r="18" spans="1:104" x14ac:dyDescent="0.2">
      <c r="A18" t="s">
        <v>350</v>
      </c>
      <c r="B18">
        <v>0</v>
      </c>
      <c r="C18" t="s">
        <v>16</v>
      </c>
      <c r="D18" t="b">
        <v>1</v>
      </c>
      <c r="E18" t="s">
        <v>347</v>
      </c>
      <c r="F18">
        <v>923</v>
      </c>
      <c r="G18">
        <v>100</v>
      </c>
      <c r="H18">
        <f t="shared" si="0"/>
        <v>2.5</v>
      </c>
      <c r="I18">
        <f t="shared" si="1"/>
        <v>0.55000000000000004</v>
      </c>
      <c r="J18">
        <f t="shared" si="2"/>
        <v>4.5999999999999999E-2</v>
      </c>
      <c r="M18">
        <v>0.5</v>
      </c>
      <c r="O18">
        <v>0.5</v>
      </c>
      <c r="Q18" t="b">
        <v>0</v>
      </c>
      <c r="T18" t="b">
        <v>0</v>
      </c>
      <c r="W18" t="b">
        <v>0</v>
      </c>
      <c r="Z18" s="22"/>
      <c r="AE18" s="16"/>
      <c r="AF18" s="23"/>
      <c r="AJ18" s="16"/>
      <c r="AL18" s="23"/>
      <c r="AO18" s="16"/>
      <c r="AP18">
        <v>1</v>
      </c>
      <c r="AT18" s="16"/>
      <c r="AW18" s="23"/>
      <c r="AY18">
        <f t="shared" si="3"/>
        <v>2.5</v>
      </c>
      <c r="AZ18">
        <f t="shared" si="4"/>
        <v>0.55000000000000004</v>
      </c>
      <c r="BA18">
        <f t="shared" si="5"/>
        <v>4.5999999999999999E-2</v>
      </c>
      <c r="BB18">
        <f t="shared" si="6"/>
        <v>0</v>
      </c>
      <c r="BC18">
        <f t="shared" si="7"/>
        <v>0</v>
      </c>
      <c r="BD18">
        <f t="shared" si="8"/>
        <v>0</v>
      </c>
      <c r="BE18">
        <f t="shared" si="32"/>
        <v>4245.8</v>
      </c>
      <c r="BF18">
        <f t="shared" si="33"/>
        <v>0</v>
      </c>
      <c r="BG18">
        <f t="shared" si="34"/>
        <v>0.5</v>
      </c>
      <c r="BH18">
        <f t="shared" si="35"/>
        <v>0</v>
      </c>
      <c r="BI18">
        <f t="shared" si="36"/>
        <v>0.5</v>
      </c>
      <c r="BJ18">
        <f t="shared" si="37"/>
        <v>0</v>
      </c>
      <c r="BK18">
        <f t="shared" si="38"/>
        <v>0</v>
      </c>
      <c r="BL18">
        <f t="shared" si="39"/>
        <v>0</v>
      </c>
      <c r="BM18">
        <f t="shared" si="40"/>
        <v>2122.9</v>
      </c>
      <c r="BN18">
        <f t="shared" si="41"/>
        <v>0</v>
      </c>
      <c r="BO18">
        <f t="shared" si="42"/>
        <v>2122.9</v>
      </c>
      <c r="BP18">
        <f t="shared" si="43"/>
        <v>0</v>
      </c>
      <c r="BQ18">
        <f t="shared" si="44"/>
        <v>0</v>
      </c>
      <c r="BR18">
        <f t="shared" si="10"/>
        <v>0.55000000000000004</v>
      </c>
      <c r="BS18">
        <f t="shared" si="11"/>
        <v>0.3</v>
      </c>
      <c r="BT18">
        <f t="shared" si="12"/>
        <v>0</v>
      </c>
      <c r="BU18">
        <f t="shared" si="13"/>
        <v>0.125</v>
      </c>
      <c r="BV18">
        <f t="shared" si="14"/>
        <v>0.25</v>
      </c>
      <c r="BW18">
        <f t="shared" si="15"/>
        <v>0.2</v>
      </c>
      <c r="BX18">
        <f t="shared" si="16"/>
        <v>0</v>
      </c>
      <c r="BY18">
        <f t="shared" si="17"/>
        <v>0.02</v>
      </c>
      <c r="BZ18">
        <f t="shared" si="18"/>
        <v>0</v>
      </c>
      <c r="CA18">
        <f t="shared" si="19"/>
        <v>0.01</v>
      </c>
      <c r="CB18">
        <f t="shared" si="20"/>
        <v>2E-3</v>
      </c>
      <c r="CC18">
        <f t="shared" si="21"/>
        <v>5.0000000000000001E-3</v>
      </c>
      <c r="CD18">
        <f t="shared" si="45"/>
        <v>0</v>
      </c>
      <c r="CE18">
        <f t="shared" si="46"/>
        <v>0</v>
      </c>
      <c r="CF18">
        <f t="shared" si="47"/>
        <v>0</v>
      </c>
      <c r="CG18">
        <f t="shared" si="48"/>
        <v>1836.3085000000001</v>
      </c>
      <c r="CH18">
        <f t="shared" si="49"/>
        <v>0</v>
      </c>
      <c r="CI18">
        <f t="shared" si="22"/>
        <v>0</v>
      </c>
      <c r="CJ18">
        <f t="shared" si="23"/>
        <v>1836.3085000000001</v>
      </c>
      <c r="CK18">
        <f t="shared" si="24"/>
        <v>0</v>
      </c>
      <c r="CL18">
        <f t="shared" si="25"/>
        <v>0</v>
      </c>
      <c r="CM18">
        <f t="shared" si="26"/>
        <v>0</v>
      </c>
      <c r="CN18">
        <f t="shared" si="27"/>
        <v>1</v>
      </c>
      <c r="CO18">
        <f t="shared" si="28"/>
        <v>0.02</v>
      </c>
      <c r="CP18">
        <f t="shared" si="29"/>
        <v>42.458000000000006</v>
      </c>
      <c r="CQ18">
        <v>1</v>
      </c>
      <c r="CR18">
        <f t="shared" si="30"/>
        <v>1417.4072575</v>
      </c>
      <c r="CS18">
        <f t="shared" si="50"/>
        <v>1417.4072575</v>
      </c>
      <c r="CT18">
        <f t="shared" si="31"/>
        <v>6.0000000000000001E-3</v>
      </c>
      <c r="CU18">
        <f t="shared" si="51"/>
        <v>1.57</v>
      </c>
      <c r="CV18">
        <f t="shared" si="52"/>
        <v>1.3351976365650001E-2</v>
      </c>
      <c r="CY18" t="s">
        <v>17</v>
      </c>
    </row>
    <row r="19" spans="1:104" x14ac:dyDescent="0.2">
      <c r="A19" t="s">
        <v>350</v>
      </c>
      <c r="B19">
        <v>0</v>
      </c>
      <c r="C19" t="s">
        <v>16</v>
      </c>
      <c r="D19" t="b">
        <v>1</v>
      </c>
      <c r="E19" t="s">
        <v>348</v>
      </c>
      <c r="F19">
        <v>122</v>
      </c>
      <c r="G19">
        <v>100</v>
      </c>
      <c r="H19">
        <f t="shared" si="0"/>
        <v>1.71</v>
      </c>
      <c r="I19">
        <f t="shared" si="1"/>
        <v>0.39</v>
      </c>
      <c r="J19">
        <f t="shared" si="2"/>
        <v>3.1E-2</v>
      </c>
      <c r="K19" s="3"/>
      <c r="L19" s="3"/>
      <c r="M19" s="3">
        <v>0.5</v>
      </c>
      <c r="N19" s="3"/>
      <c r="O19" s="3">
        <v>0.5</v>
      </c>
      <c r="P19" s="3"/>
      <c r="Q19" s="3" t="b">
        <v>0</v>
      </c>
      <c r="R19" s="3"/>
      <c r="S19" s="3"/>
      <c r="T19" s="3" t="b">
        <v>0</v>
      </c>
      <c r="U19" s="3"/>
      <c r="V19" s="3"/>
      <c r="W19" s="3" t="b">
        <v>0</v>
      </c>
      <c r="X19" s="3"/>
      <c r="Y19" s="3"/>
      <c r="Z19" s="19"/>
      <c r="AA19" s="3"/>
      <c r="AB19" s="3"/>
      <c r="AC19" s="3"/>
      <c r="AD19" s="3"/>
      <c r="AE19" s="26"/>
      <c r="AF19" s="21"/>
      <c r="AG19" s="3"/>
      <c r="AH19" s="3"/>
      <c r="AI19" s="3"/>
      <c r="AJ19" s="26"/>
      <c r="AK19" s="3"/>
      <c r="AL19" s="21"/>
      <c r="AM19" s="3"/>
      <c r="AN19" s="3"/>
      <c r="AO19" s="26"/>
      <c r="AP19" s="3">
        <v>1</v>
      </c>
      <c r="AQ19" s="3"/>
      <c r="AR19" s="3"/>
      <c r="AS19" s="3"/>
      <c r="AT19" s="26"/>
      <c r="AU19" s="3"/>
      <c r="AV19" s="3"/>
      <c r="AW19" s="21"/>
      <c r="AX19" s="3"/>
      <c r="AY19" s="3">
        <f t="shared" si="3"/>
        <v>1.71</v>
      </c>
      <c r="AZ19" s="3">
        <f t="shared" si="4"/>
        <v>0.39</v>
      </c>
      <c r="BA19" s="3">
        <f t="shared" si="5"/>
        <v>3.1E-2</v>
      </c>
      <c r="BB19" s="3">
        <f t="shared" si="6"/>
        <v>0</v>
      </c>
      <c r="BC19" s="3">
        <f t="shared" si="7"/>
        <v>0</v>
      </c>
      <c r="BD19" s="3">
        <f t="shared" si="8"/>
        <v>0</v>
      </c>
      <c r="BE19">
        <f t="shared" si="32"/>
        <v>378.2</v>
      </c>
      <c r="BF19">
        <f t="shared" si="33"/>
        <v>0</v>
      </c>
      <c r="BG19">
        <f t="shared" si="34"/>
        <v>0.5</v>
      </c>
      <c r="BH19">
        <f t="shared" si="35"/>
        <v>0</v>
      </c>
      <c r="BI19">
        <f t="shared" si="36"/>
        <v>0.5</v>
      </c>
      <c r="BJ19">
        <f t="shared" si="37"/>
        <v>0</v>
      </c>
      <c r="BK19">
        <f t="shared" si="38"/>
        <v>0</v>
      </c>
      <c r="BL19">
        <f t="shared" si="39"/>
        <v>0</v>
      </c>
      <c r="BM19">
        <f t="shared" si="40"/>
        <v>189.1</v>
      </c>
      <c r="BN19">
        <f t="shared" si="41"/>
        <v>0</v>
      </c>
      <c r="BO19">
        <f t="shared" si="42"/>
        <v>189.1</v>
      </c>
      <c r="BP19">
        <f t="shared" si="43"/>
        <v>0</v>
      </c>
      <c r="BQ19">
        <f t="shared" si="44"/>
        <v>0</v>
      </c>
      <c r="BR19">
        <f t="shared" si="10"/>
        <v>0.55000000000000004</v>
      </c>
      <c r="BS19">
        <f t="shared" si="11"/>
        <v>0.3</v>
      </c>
      <c r="BT19">
        <f t="shared" si="12"/>
        <v>0</v>
      </c>
      <c r="BU19">
        <f t="shared" si="13"/>
        <v>0.125</v>
      </c>
      <c r="BV19">
        <f t="shared" si="14"/>
        <v>0.25</v>
      </c>
      <c r="BW19">
        <f t="shared" si="15"/>
        <v>0.2</v>
      </c>
      <c r="BX19">
        <f t="shared" si="16"/>
        <v>0</v>
      </c>
      <c r="BY19">
        <f t="shared" si="17"/>
        <v>0.02</v>
      </c>
      <c r="BZ19">
        <f t="shared" si="18"/>
        <v>0</v>
      </c>
      <c r="CA19">
        <f t="shared" si="19"/>
        <v>0.01</v>
      </c>
      <c r="CB19">
        <f t="shared" si="20"/>
        <v>2E-3</v>
      </c>
      <c r="CC19">
        <f t="shared" si="21"/>
        <v>5.0000000000000001E-3</v>
      </c>
      <c r="CD19">
        <f t="shared" si="45"/>
        <v>0</v>
      </c>
      <c r="CE19">
        <f t="shared" si="46"/>
        <v>0</v>
      </c>
      <c r="CF19">
        <f t="shared" si="47"/>
        <v>0</v>
      </c>
      <c r="CG19">
        <f t="shared" si="48"/>
        <v>163.57149999999999</v>
      </c>
      <c r="CH19">
        <f t="shared" si="49"/>
        <v>0</v>
      </c>
      <c r="CI19">
        <f t="shared" si="22"/>
        <v>0</v>
      </c>
      <c r="CJ19">
        <f t="shared" si="23"/>
        <v>163.57149999999999</v>
      </c>
      <c r="CK19">
        <f t="shared" si="24"/>
        <v>0</v>
      </c>
      <c r="CL19">
        <f t="shared" si="25"/>
        <v>0</v>
      </c>
      <c r="CM19">
        <f t="shared" si="26"/>
        <v>0</v>
      </c>
      <c r="CN19">
        <f t="shared" si="27"/>
        <v>1</v>
      </c>
      <c r="CO19">
        <f t="shared" si="28"/>
        <v>0.02</v>
      </c>
      <c r="CP19">
        <f t="shared" si="29"/>
        <v>3.782</v>
      </c>
      <c r="CQ19">
        <v>1</v>
      </c>
      <c r="CR19">
        <f t="shared" si="30"/>
        <v>126.25734250000001</v>
      </c>
      <c r="CS19">
        <f t="shared" si="50"/>
        <v>126.25734250000001</v>
      </c>
      <c r="CT19">
        <f t="shared" si="31"/>
        <v>6.0000000000000001E-3</v>
      </c>
      <c r="CU19">
        <f t="shared" si="51"/>
        <v>1.57</v>
      </c>
      <c r="CV19">
        <f t="shared" si="52"/>
        <v>1.1893441663500001E-3</v>
      </c>
      <c r="CY19" t="s">
        <v>18</v>
      </c>
    </row>
    <row r="20" spans="1:104" x14ac:dyDescent="0.2">
      <c r="A20" t="s">
        <v>351</v>
      </c>
      <c r="B20">
        <v>0</v>
      </c>
      <c r="C20" t="s">
        <v>19</v>
      </c>
      <c r="D20" t="b">
        <v>0</v>
      </c>
      <c r="E20" t="s">
        <v>345</v>
      </c>
      <c r="F20">
        <v>750</v>
      </c>
      <c r="G20">
        <v>200</v>
      </c>
      <c r="H20">
        <f t="shared" si="0"/>
        <v>2.2999999999999998</v>
      </c>
      <c r="I20">
        <f t="shared" si="1"/>
        <v>0.4</v>
      </c>
      <c r="J20">
        <f t="shared" si="2"/>
        <v>4.5999999999999999E-2</v>
      </c>
      <c r="K20">
        <v>0.3</v>
      </c>
      <c r="N20">
        <v>0.3</v>
      </c>
      <c r="P20">
        <v>0.4</v>
      </c>
      <c r="Q20" t="b">
        <v>0</v>
      </c>
      <c r="T20" t="b">
        <v>0</v>
      </c>
      <c r="W20" t="b">
        <v>0</v>
      </c>
      <c r="Z20" s="16"/>
      <c r="AA20" s="25">
        <v>0.1</v>
      </c>
      <c r="AB20" s="25">
        <v>0.2</v>
      </c>
      <c r="AC20" s="25">
        <v>0.3</v>
      </c>
      <c r="AD20" s="28">
        <v>0.4</v>
      </c>
      <c r="AE20" s="25">
        <v>0.1</v>
      </c>
      <c r="AG20" s="25">
        <v>0.2</v>
      </c>
      <c r="AH20" s="25">
        <v>0.3</v>
      </c>
      <c r="AI20" s="28">
        <v>0.4</v>
      </c>
      <c r="AJ20" s="25">
        <v>0.1</v>
      </c>
      <c r="AK20" s="25">
        <v>0.2</v>
      </c>
      <c r="AM20" s="25">
        <v>0.3</v>
      </c>
      <c r="AN20" s="28">
        <v>0.4</v>
      </c>
      <c r="AO20" s="16">
        <v>0.2</v>
      </c>
      <c r="AP20">
        <v>0.2</v>
      </c>
      <c r="AQ20">
        <v>0.2</v>
      </c>
      <c r="AR20">
        <v>0.2</v>
      </c>
      <c r="AS20">
        <v>0.2</v>
      </c>
      <c r="AT20" s="16">
        <v>0.2</v>
      </c>
      <c r="AU20">
        <v>0.2</v>
      </c>
      <c r="AV20">
        <v>0.2</v>
      </c>
      <c r="AX20">
        <v>0.2</v>
      </c>
      <c r="AY20">
        <f t="shared" si="3"/>
        <v>2.2999999999999998</v>
      </c>
      <c r="AZ20">
        <f t="shared" si="4"/>
        <v>0.4</v>
      </c>
      <c r="BA20">
        <f t="shared" si="5"/>
        <v>4.5999999999999999E-2</v>
      </c>
      <c r="BB20">
        <f t="shared" si="6"/>
        <v>0</v>
      </c>
      <c r="BC20">
        <f t="shared" si="7"/>
        <v>0</v>
      </c>
      <c r="BD20">
        <f t="shared" si="8"/>
        <v>0</v>
      </c>
      <c r="BE20">
        <f t="shared" si="32"/>
        <v>6900</v>
      </c>
      <c r="BF20">
        <f t="shared" si="33"/>
        <v>0.3</v>
      </c>
      <c r="BG20">
        <f t="shared" si="34"/>
        <v>0</v>
      </c>
      <c r="BH20">
        <f t="shared" si="35"/>
        <v>0.3</v>
      </c>
      <c r="BI20">
        <f t="shared" si="36"/>
        <v>0</v>
      </c>
      <c r="BJ20">
        <f t="shared" si="37"/>
        <v>0.4</v>
      </c>
      <c r="BK20">
        <f t="shared" si="38"/>
        <v>0</v>
      </c>
      <c r="BL20">
        <f t="shared" si="39"/>
        <v>2070</v>
      </c>
      <c r="BM20">
        <f t="shared" si="40"/>
        <v>0</v>
      </c>
      <c r="BN20">
        <f t="shared" si="41"/>
        <v>2070</v>
      </c>
      <c r="BO20">
        <f t="shared" si="42"/>
        <v>0</v>
      </c>
      <c r="BP20">
        <f t="shared" si="43"/>
        <v>2760</v>
      </c>
      <c r="BQ20">
        <f t="shared" si="44"/>
        <v>0</v>
      </c>
      <c r="BR20">
        <f t="shared" si="10"/>
        <v>0.55000000000000004</v>
      </c>
      <c r="BS20">
        <f t="shared" si="11"/>
        <v>0.3</v>
      </c>
      <c r="BT20">
        <f t="shared" si="12"/>
        <v>0</v>
      </c>
      <c r="BU20">
        <f t="shared" si="13"/>
        <v>0.125</v>
      </c>
      <c r="BV20">
        <f t="shared" si="14"/>
        <v>0.25</v>
      </c>
      <c r="BW20">
        <f t="shared" si="15"/>
        <v>0.2</v>
      </c>
      <c r="BX20">
        <f t="shared" si="16"/>
        <v>0</v>
      </c>
      <c r="BY20">
        <f t="shared" si="17"/>
        <v>0.02</v>
      </c>
      <c r="BZ20">
        <f t="shared" si="18"/>
        <v>0</v>
      </c>
      <c r="CA20">
        <f t="shared" si="19"/>
        <v>0.01</v>
      </c>
      <c r="CB20">
        <f t="shared" si="20"/>
        <v>2E-3</v>
      </c>
      <c r="CC20">
        <f t="shared" si="21"/>
        <v>5.0000000000000001E-3</v>
      </c>
      <c r="CD20">
        <f t="shared" si="45"/>
        <v>931.49999999999989</v>
      </c>
      <c r="CE20">
        <f t="shared" si="46"/>
        <v>0</v>
      </c>
      <c r="CF20">
        <f t="shared" si="47"/>
        <v>2070</v>
      </c>
      <c r="CG20">
        <f t="shared" si="48"/>
        <v>0</v>
      </c>
      <c r="CH20">
        <f t="shared" si="49"/>
        <v>2064.48</v>
      </c>
      <c r="CI20">
        <f t="shared" si="22"/>
        <v>619.89599999999996</v>
      </c>
      <c r="CJ20">
        <f t="shared" si="23"/>
        <v>920.04600000000005</v>
      </c>
      <c r="CK20">
        <f t="shared" si="24"/>
        <v>599.19600000000003</v>
      </c>
      <c r="CL20">
        <f t="shared" si="25"/>
        <v>900.44999999999993</v>
      </c>
      <c r="CM20">
        <f t="shared" si="26"/>
        <v>1613.4959999999999</v>
      </c>
      <c r="CN20">
        <f t="shared" si="27"/>
        <v>0</v>
      </c>
      <c r="CO20">
        <f t="shared" si="28"/>
        <v>0.02</v>
      </c>
      <c r="CP20">
        <f t="shared" si="29"/>
        <v>0</v>
      </c>
      <c r="CQ20">
        <v>0.75</v>
      </c>
      <c r="CR20">
        <f t="shared" si="30"/>
        <v>3896.6183700000001</v>
      </c>
      <c r="CS20">
        <f t="shared" si="50"/>
        <v>2922.4637775000001</v>
      </c>
      <c r="CT20">
        <f t="shared" si="31"/>
        <v>5.0000000000000001E-3</v>
      </c>
      <c r="CU20">
        <f t="shared" si="51"/>
        <v>1.57</v>
      </c>
      <c r="CV20">
        <f t="shared" si="52"/>
        <v>2.2941340653375001E-2</v>
      </c>
      <c r="CW20">
        <f>SUM(CV20:CV23)</f>
        <v>5.8557089549451997E-2</v>
      </c>
      <c r="CY20" t="s">
        <v>20</v>
      </c>
      <c r="CZ20">
        <v>2.9000000000000001E-2</v>
      </c>
    </row>
    <row r="21" spans="1:104" x14ac:dyDescent="0.2">
      <c r="A21" t="s">
        <v>351</v>
      </c>
      <c r="B21">
        <v>0</v>
      </c>
      <c r="C21" t="s">
        <v>19</v>
      </c>
      <c r="D21" t="b">
        <v>0</v>
      </c>
      <c r="E21" t="s">
        <v>346</v>
      </c>
      <c r="F21">
        <v>600</v>
      </c>
      <c r="G21">
        <v>200</v>
      </c>
      <c r="H21">
        <f t="shared" si="0"/>
        <v>2.62</v>
      </c>
      <c r="I21">
        <f t="shared" si="1"/>
        <v>0.46</v>
      </c>
      <c r="J21">
        <f t="shared" si="2"/>
        <v>4.9000000000000002E-2</v>
      </c>
      <c r="M21">
        <v>0.5</v>
      </c>
      <c r="O21">
        <v>0.5</v>
      </c>
      <c r="Q21" t="b">
        <v>0</v>
      </c>
      <c r="T21" t="b">
        <v>0</v>
      </c>
      <c r="W21" t="b">
        <v>0</v>
      </c>
      <c r="Z21" s="22"/>
      <c r="AA21">
        <v>0.1</v>
      </c>
      <c r="AB21">
        <v>0.2</v>
      </c>
      <c r="AC21">
        <v>0.3</v>
      </c>
      <c r="AD21" s="27">
        <v>0.4</v>
      </c>
      <c r="AE21">
        <v>0.1</v>
      </c>
      <c r="AF21" s="23"/>
      <c r="AG21">
        <v>0.2</v>
      </c>
      <c r="AH21">
        <v>0.3</v>
      </c>
      <c r="AI21" s="27">
        <v>0.4</v>
      </c>
      <c r="AJ21">
        <v>0.1</v>
      </c>
      <c r="AK21">
        <v>0.2</v>
      </c>
      <c r="AL21" s="23"/>
      <c r="AM21">
        <v>0.3</v>
      </c>
      <c r="AN21" s="27">
        <v>0.4</v>
      </c>
      <c r="AO21" s="16">
        <v>0.2</v>
      </c>
      <c r="AP21">
        <v>0.2</v>
      </c>
      <c r="AQ21">
        <v>0.2</v>
      </c>
      <c r="AR21">
        <v>0.2</v>
      </c>
      <c r="AS21">
        <v>0.2</v>
      </c>
      <c r="AT21" s="16">
        <v>0.2</v>
      </c>
      <c r="AU21">
        <v>0.2</v>
      </c>
      <c r="AV21">
        <v>0.2</v>
      </c>
      <c r="AW21" s="23"/>
      <c r="AX21">
        <v>0.2</v>
      </c>
      <c r="AY21">
        <f t="shared" si="3"/>
        <v>2.62</v>
      </c>
      <c r="AZ21">
        <f t="shared" si="4"/>
        <v>0.46</v>
      </c>
      <c r="BA21">
        <f t="shared" si="5"/>
        <v>4.9000000000000002E-2</v>
      </c>
      <c r="BB21">
        <f t="shared" si="6"/>
        <v>0</v>
      </c>
      <c r="BC21">
        <f t="shared" si="7"/>
        <v>0</v>
      </c>
      <c r="BD21">
        <f t="shared" si="8"/>
        <v>0</v>
      </c>
      <c r="BE21">
        <f t="shared" si="32"/>
        <v>5880</v>
      </c>
      <c r="BF21">
        <f t="shared" si="33"/>
        <v>0</v>
      </c>
      <c r="BG21">
        <f t="shared" si="34"/>
        <v>0.5</v>
      </c>
      <c r="BH21">
        <f t="shared" si="35"/>
        <v>0</v>
      </c>
      <c r="BI21">
        <f t="shared" si="36"/>
        <v>0.5</v>
      </c>
      <c r="BJ21">
        <f t="shared" si="37"/>
        <v>0</v>
      </c>
      <c r="BK21">
        <f t="shared" si="38"/>
        <v>0</v>
      </c>
      <c r="BL21">
        <f t="shared" si="39"/>
        <v>0</v>
      </c>
      <c r="BM21">
        <f t="shared" si="40"/>
        <v>2940</v>
      </c>
      <c r="BN21">
        <f t="shared" si="41"/>
        <v>0</v>
      </c>
      <c r="BO21">
        <f t="shared" si="42"/>
        <v>2940</v>
      </c>
      <c r="BP21">
        <f t="shared" si="43"/>
        <v>0</v>
      </c>
      <c r="BQ21">
        <f t="shared" si="44"/>
        <v>0</v>
      </c>
      <c r="BR21">
        <f t="shared" si="10"/>
        <v>0.55000000000000004</v>
      </c>
      <c r="BS21">
        <f t="shared" si="11"/>
        <v>0.3</v>
      </c>
      <c r="BT21">
        <f t="shared" si="12"/>
        <v>0</v>
      </c>
      <c r="BU21">
        <f t="shared" si="13"/>
        <v>0.125</v>
      </c>
      <c r="BV21">
        <f t="shared" si="14"/>
        <v>0.25</v>
      </c>
      <c r="BW21">
        <f t="shared" si="15"/>
        <v>0.2</v>
      </c>
      <c r="BX21">
        <f t="shared" si="16"/>
        <v>0</v>
      </c>
      <c r="BY21">
        <f t="shared" si="17"/>
        <v>0.02</v>
      </c>
      <c r="BZ21">
        <f t="shared" si="18"/>
        <v>0</v>
      </c>
      <c r="CA21">
        <f t="shared" si="19"/>
        <v>0.01</v>
      </c>
      <c r="CB21">
        <f t="shared" si="20"/>
        <v>2E-3</v>
      </c>
      <c r="CC21">
        <f t="shared" si="21"/>
        <v>5.0000000000000001E-3</v>
      </c>
      <c r="CD21">
        <f t="shared" si="45"/>
        <v>0</v>
      </c>
      <c r="CE21">
        <f t="shared" si="46"/>
        <v>0</v>
      </c>
      <c r="CF21">
        <f t="shared" si="47"/>
        <v>0</v>
      </c>
      <c r="CG21">
        <f t="shared" si="48"/>
        <v>2543.1</v>
      </c>
      <c r="CH21">
        <f t="shared" si="49"/>
        <v>0</v>
      </c>
      <c r="CI21">
        <f t="shared" si="22"/>
        <v>508.62</v>
      </c>
      <c r="CJ21">
        <f t="shared" si="23"/>
        <v>508.62</v>
      </c>
      <c r="CK21">
        <f t="shared" si="24"/>
        <v>508.62</v>
      </c>
      <c r="CL21">
        <f t="shared" si="25"/>
        <v>508.62</v>
      </c>
      <c r="CM21">
        <f t="shared" si="26"/>
        <v>508.62</v>
      </c>
      <c r="CN21">
        <f t="shared" si="27"/>
        <v>0</v>
      </c>
      <c r="CO21">
        <f t="shared" si="28"/>
        <v>0.02</v>
      </c>
      <c r="CP21">
        <f t="shared" si="29"/>
        <v>0</v>
      </c>
      <c r="CQ21">
        <v>0.75</v>
      </c>
      <c r="CR21">
        <f t="shared" si="30"/>
        <v>2030.91966</v>
      </c>
      <c r="CS21">
        <f t="shared" si="50"/>
        <v>1523.1897450000001</v>
      </c>
      <c r="CT21">
        <f t="shared" si="31"/>
        <v>5.0000000000000001E-3</v>
      </c>
      <c r="CU21">
        <f t="shared" si="51"/>
        <v>1.57</v>
      </c>
      <c r="CV21">
        <f t="shared" si="52"/>
        <v>1.1957039498250001E-2</v>
      </c>
      <c r="CY21" t="s">
        <v>21</v>
      </c>
      <c r="CZ21">
        <v>2.3E-2</v>
      </c>
    </row>
    <row r="22" spans="1:104" x14ac:dyDescent="0.2">
      <c r="A22" t="s">
        <v>351</v>
      </c>
      <c r="B22">
        <v>0</v>
      </c>
      <c r="C22" t="s">
        <v>19</v>
      </c>
      <c r="D22" t="b">
        <v>0</v>
      </c>
      <c r="E22" t="s">
        <v>347</v>
      </c>
      <c r="F22">
        <v>100</v>
      </c>
      <c r="G22">
        <v>299</v>
      </c>
      <c r="H22">
        <f t="shared" si="0"/>
        <v>2.5</v>
      </c>
      <c r="I22">
        <f t="shared" si="1"/>
        <v>0.55000000000000004</v>
      </c>
      <c r="J22">
        <f t="shared" si="2"/>
        <v>4.5999999999999999E-2</v>
      </c>
      <c r="K22">
        <v>0.3</v>
      </c>
      <c r="N22">
        <v>0.3</v>
      </c>
      <c r="P22">
        <v>0.4</v>
      </c>
      <c r="Q22" t="b">
        <v>1</v>
      </c>
      <c r="T22" t="b">
        <v>1</v>
      </c>
      <c r="W22" t="b">
        <v>1</v>
      </c>
      <c r="Z22" s="16"/>
      <c r="AA22">
        <v>0.1</v>
      </c>
      <c r="AB22">
        <v>0.2</v>
      </c>
      <c r="AC22">
        <v>0.3</v>
      </c>
      <c r="AD22" s="27">
        <v>0.4</v>
      </c>
      <c r="AE22">
        <v>0.1</v>
      </c>
      <c r="AG22">
        <v>0.2</v>
      </c>
      <c r="AH22">
        <v>0.3</v>
      </c>
      <c r="AI22" s="27">
        <v>0.4</v>
      </c>
      <c r="AJ22">
        <v>0.1</v>
      </c>
      <c r="AK22">
        <v>0.2</v>
      </c>
      <c r="AM22">
        <v>0.3</v>
      </c>
      <c r="AN22" s="27">
        <v>0.4</v>
      </c>
      <c r="AO22" s="16">
        <v>0.2</v>
      </c>
      <c r="AP22">
        <v>0.2</v>
      </c>
      <c r="AQ22">
        <v>0.2</v>
      </c>
      <c r="AR22">
        <v>0.2</v>
      </c>
      <c r="AS22">
        <v>0.2</v>
      </c>
      <c r="AT22" s="16">
        <v>0.2</v>
      </c>
      <c r="AU22">
        <v>0.2</v>
      </c>
      <c r="AV22">
        <v>0.2</v>
      </c>
      <c r="AX22">
        <v>0.2</v>
      </c>
      <c r="AY22">
        <f t="shared" si="3"/>
        <v>2.5</v>
      </c>
      <c r="AZ22">
        <f t="shared" si="4"/>
        <v>0.55000000000000004</v>
      </c>
      <c r="BA22">
        <f t="shared" si="5"/>
        <v>4.5999999999999999E-2</v>
      </c>
      <c r="BB22">
        <f t="shared" si="6"/>
        <v>0.25</v>
      </c>
      <c r="BC22">
        <f t="shared" si="7"/>
        <v>0.25</v>
      </c>
      <c r="BD22">
        <f t="shared" si="8"/>
        <v>0.25</v>
      </c>
      <c r="BE22">
        <f t="shared" si="32"/>
        <v>1375.3999999999999</v>
      </c>
      <c r="BF22">
        <f t="shared" si="33"/>
        <v>0.22499999999999998</v>
      </c>
      <c r="BG22">
        <f t="shared" si="34"/>
        <v>0</v>
      </c>
      <c r="BH22">
        <f t="shared" si="35"/>
        <v>0.22499999999999998</v>
      </c>
      <c r="BI22">
        <f t="shared" si="36"/>
        <v>0</v>
      </c>
      <c r="BJ22">
        <f t="shared" si="37"/>
        <v>0.30000000000000004</v>
      </c>
      <c r="BK22">
        <f t="shared" si="38"/>
        <v>0.25</v>
      </c>
      <c r="BL22">
        <f t="shared" si="39"/>
        <v>309.46499999999992</v>
      </c>
      <c r="BM22">
        <f t="shared" si="40"/>
        <v>0</v>
      </c>
      <c r="BN22">
        <f t="shared" si="41"/>
        <v>309.46499999999992</v>
      </c>
      <c r="BO22">
        <f t="shared" si="42"/>
        <v>0</v>
      </c>
      <c r="BP22">
        <f t="shared" si="43"/>
        <v>412.62</v>
      </c>
      <c r="BQ22">
        <f t="shared" si="44"/>
        <v>343.84999999999997</v>
      </c>
      <c r="BR22">
        <f t="shared" si="10"/>
        <v>0.55000000000000004</v>
      </c>
      <c r="BS22">
        <f t="shared" si="11"/>
        <v>0.3</v>
      </c>
      <c r="BT22">
        <f t="shared" si="12"/>
        <v>0</v>
      </c>
      <c r="BU22">
        <f t="shared" si="13"/>
        <v>0.125</v>
      </c>
      <c r="BV22">
        <f t="shared" si="14"/>
        <v>0.25</v>
      </c>
      <c r="BW22">
        <f t="shared" si="15"/>
        <v>0.2</v>
      </c>
      <c r="BX22">
        <f t="shared" si="16"/>
        <v>0</v>
      </c>
      <c r="BY22">
        <f t="shared" si="17"/>
        <v>0.02</v>
      </c>
      <c r="BZ22">
        <f t="shared" si="18"/>
        <v>0</v>
      </c>
      <c r="CA22">
        <f t="shared" si="19"/>
        <v>0.01</v>
      </c>
      <c r="CB22">
        <f t="shared" si="20"/>
        <v>2E-3</v>
      </c>
      <c r="CC22">
        <f t="shared" si="21"/>
        <v>5.0000000000000001E-3</v>
      </c>
      <c r="CD22">
        <f t="shared" si="45"/>
        <v>139.25924999999995</v>
      </c>
      <c r="CE22">
        <f>BQ22*(1-BW22-CC22)</f>
        <v>273.36075</v>
      </c>
      <c r="CF22">
        <f t="shared" si="47"/>
        <v>309.46499999999992</v>
      </c>
      <c r="CG22">
        <f t="shared" si="48"/>
        <v>0</v>
      </c>
      <c r="CH22">
        <f t="shared" si="49"/>
        <v>308.63976000000002</v>
      </c>
      <c r="CI22">
        <f t="shared" si="22"/>
        <v>120.010527</v>
      </c>
      <c r="CJ22">
        <f t="shared" si="23"/>
        <v>137.54687699999999</v>
      </c>
      <c r="CK22">
        <f t="shared" si="24"/>
        <v>144.25195200000002</v>
      </c>
      <c r="CL22">
        <f t="shared" si="25"/>
        <v>216.62549999999993</v>
      </c>
      <c r="CM22">
        <f t="shared" si="26"/>
        <v>350.56195199999996</v>
      </c>
      <c r="CN22">
        <f t="shared" si="27"/>
        <v>0</v>
      </c>
      <c r="CO22">
        <f t="shared" si="28"/>
        <v>0.02</v>
      </c>
      <c r="CP22">
        <f t="shared" si="29"/>
        <v>0</v>
      </c>
      <c r="CQ22">
        <v>0.75</v>
      </c>
      <c r="CR22">
        <f t="shared" si="30"/>
        <v>820.20428236499993</v>
      </c>
      <c r="CS22">
        <f t="shared" si="50"/>
        <v>615.15321177374994</v>
      </c>
      <c r="CT22">
        <f t="shared" si="31"/>
        <v>5.0000000000000001E-3</v>
      </c>
      <c r="CU22">
        <f t="shared" si="51"/>
        <v>1.57</v>
      </c>
      <c r="CV22">
        <f t="shared" si="52"/>
        <v>4.8289527124239368E-3</v>
      </c>
      <c r="CY22" t="s">
        <v>15</v>
      </c>
      <c r="CZ22">
        <v>0.51</v>
      </c>
    </row>
    <row r="23" spans="1:104" x14ac:dyDescent="0.2">
      <c r="A23" t="s">
        <v>351</v>
      </c>
      <c r="B23">
        <v>0</v>
      </c>
      <c r="C23" t="s">
        <v>19</v>
      </c>
      <c r="D23" t="b">
        <v>0</v>
      </c>
      <c r="E23" t="s">
        <v>348</v>
      </c>
      <c r="F23">
        <v>999</v>
      </c>
      <c r="G23">
        <v>299</v>
      </c>
      <c r="H23">
        <f t="shared" si="0"/>
        <v>1.71</v>
      </c>
      <c r="I23">
        <f t="shared" si="1"/>
        <v>0.39</v>
      </c>
      <c r="J23">
        <f t="shared" si="2"/>
        <v>3.1E-2</v>
      </c>
      <c r="K23" s="3"/>
      <c r="L23" s="3"/>
      <c r="M23" s="3">
        <v>0.5</v>
      </c>
      <c r="N23" s="3"/>
      <c r="O23" s="3">
        <v>0.5</v>
      </c>
      <c r="P23" s="3"/>
      <c r="Q23" s="3" t="b">
        <v>1</v>
      </c>
      <c r="R23" s="3"/>
      <c r="S23" s="3"/>
      <c r="T23" s="3" t="b">
        <v>1</v>
      </c>
      <c r="U23" s="3"/>
      <c r="V23" s="3"/>
      <c r="W23" s="3" t="b">
        <v>1</v>
      </c>
      <c r="X23" s="3"/>
      <c r="Y23" s="3"/>
      <c r="Z23" s="26"/>
      <c r="AA23" s="3">
        <v>0.1</v>
      </c>
      <c r="AB23" s="3">
        <v>0.2</v>
      </c>
      <c r="AC23" s="3">
        <v>0.3</v>
      </c>
      <c r="AD23" s="29">
        <v>0.4</v>
      </c>
      <c r="AE23" s="3">
        <v>0.1</v>
      </c>
      <c r="AF23" s="3"/>
      <c r="AG23" s="3">
        <v>0.2</v>
      </c>
      <c r="AH23" s="3">
        <v>0.3</v>
      </c>
      <c r="AI23" s="29">
        <v>0.4</v>
      </c>
      <c r="AJ23" s="3">
        <v>0.1</v>
      </c>
      <c r="AK23" s="3">
        <v>0.2</v>
      </c>
      <c r="AL23" s="3"/>
      <c r="AM23" s="3">
        <v>0.3</v>
      </c>
      <c r="AN23" s="29">
        <v>0.4</v>
      </c>
      <c r="AO23" s="26">
        <v>0.2</v>
      </c>
      <c r="AP23" s="3">
        <v>0.2</v>
      </c>
      <c r="AQ23" s="3">
        <v>0.2</v>
      </c>
      <c r="AR23" s="3">
        <v>0.2</v>
      </c>
      <c r="AS23" s="3">
        <v>0.2</v>
      </c>
      <c r="AT23" s="26">
        <v>0.2</v>
      </c>
      <c r="AU23" s="3">
        <v>0.2</v>
      </c>
      <c r="AV23" s="3">
        <v>0.2</v>
      </c>
      <c r="AW23" s="3"/>
      <c r="AX23" s="3">
        <v>0.2</v>
      </c>
      <c r="AY23" s="3">
        <f t="shared" si="3"/>
        <v>1.71</v>
      </c>
      <c r="AZ23" s="3">
        <f t="shared" si="4"/>
        <v>0.39</v>
      </c>
      <c r="BA23" s="3">
        <f t="shared" si="5"/>
        <v>3.1E-2</v>
      </c>
      <c r="BB23" s="3">
        <f t="shared" si="6"/>
        <v>0.25</v>
      </c>
      <c r="BC23" s="3">
        <f t="shared" si="7"/>
        <v>0.25</v>
      </c>
      <c r="BD23" s="3">
        <f t="shared" si="8"/>
        <v>0.25</v>
      </c>
      <c r="BE23">
        <f t="shared" si="32"/>
        <v>9259.7309999999998</v>
      </c>
      <c r="BF23">
        <f t="shared" si="33"/>
        <v>0</v>
      </c>
      <c r="BG23">
        <f t="shared" si="34"/>
        <v>0.5</v>
      </c>
      <c r="BH23">
        <f t="shared" si="35"/>
        <v>0</v>
      </c>
      <c r="BI23">
        <f t="shared" si="36"/>
        <v>0.5</v>
      </c>
      <c r="BJ23">
        <f t="shared" si="37"/>
        <v>0</v>
      </c>
      <c r="BK23">
        <f t="shared" si="38"/>
        <v>0</v>
      </c>
      <c r="BL23">
        <f t="shared" si="39"/>
        <v>0</v>
      </c>
      <c r="BM23">
        <f t="shared" si="40"/>
        <v>4629.8654999999999</v>
      </c>
      <c r="BN23">
        <f t="shared" si="41"/>
        <v>0</v>
      </c>
      <c r="BO23">
        <f t="shared" si="42"/>
        <v>4629.8654999999999</v>
      </c>
      <c r="BP23">
        <f t="shared" si="43"/>
        <v>0</v>
      </c>
      <c r="BQ23">
        <f t="shared" si="44"/>
        <v>0</v>
      </c>
      <c r="BR23">
        <f t="shared" si="10"/>
        <v>0.55000000000000004</v>
      </c>
      <c r="BS23">
        <f t="shared" si="11"/>
        <v>0.3</v>
      </c>
      <c r="BT23">
        <f t="shared" si="12"/>
        <v>0</v>
      </c>
      <c r="BU23">
        <f t="shared" si="13"/>
        <v>0.125</v>
      </c>
      <c r="BV23">
        <f t="shared" si="14"/>
        <v>0.25</v>
      </c>
      <c r="BW23">
        <f t="shared" si="15"/>
        <v>0.2</v>
      </c>
      <c r="BX23">
        <f t="shared" si="16"/>
        <v>0</v>
      </c>
      <c r="BY23">
        <f t="shared" si="17"/>
        <v>0.02</v>
      </c>
      <c r="BZ23">
        <f t="shared" si="18"/>
        <v>0</v>
      </c>
      <c r="CA23">
        <f t="shared" si="19"/>
        <v>0.01</v>
      </c>
      <c r="CB23">
        <f t="shared" si="20"/>
        <v>2E-3</v>
      </c>
      <c r="CC23">
        <f t="shared" si="21"/>
        <v>5.0000000000000001E-3</v>
      </c>
      <c r="CD23">
        <f t="shared" si="45"/>
        <v>0</v>
      </c>
      <c r="CE23">
        <f t="shared" si="46"/>
        <v>0</v>
      </c>
      <c r="CF23">
        <f t="shared" si="47"/>
        <v>0</v>
      </c>
      <c r="CG23">
        <f t="shared" si="48"/>
        <v>4004.8336574999998</v>
      </c>
      <c r="CH23">
        <f t="shared" si="49"/>
        <v>0</v>
      </c>
      <c r="CI23">
        <f t="shared" si="22"/>
        <v>800.96673150000004</v>
      </c>
      <c r="CJ23">
        <f t="shared" si="23"/>
        <v>800.96673150000004</v>
      </c>
      <c r="CK23">
        <f t="shared" si="24"/>
        <v>800.96673150000004</v>
      </c>
      <c r="CL23">
        <f t="shared" si="25"/>
        <v>800.96673150000004</v>
      </c>
      <c r="CM23">
        <f t="shared" si="26"/>
        <v>800.96673150000004</v>
      </c>
      <c r="CN23">
        <f t="shared" si="27"/>
        <v>0</v>
      </c>
      <c r="CO23">
        <f t="shared" si="28"/>
        <v>0.02</v>
      </c>
      <c r="CP23">
        <f t="shared" si="29"/>
        <v>0</v>
      </c>
      <c r="CQ23">
        <v>0.75</v>
      </c>
      <c r="CR23">
        <f t="shared" si="30"/>
        <v>3198.2601588795001</v>
      </c>
      <c r="CS23">
        <f t="shared" si="50"/>
        <v>2398.6951191596249</v>
      </c>
      <c r="CT23">
        <f t="shared" si="31"/>
        <v>5.0000000000000001E-3</v>
      </c>
      <c r="CU23">
        <f t="shared" si="51"/>
        <v>1.57</v>
      </c>
      <c r="CV23">
        <f t="shared" si="52"/>
        <v>1.8829756685403057E-2</v>
      </c>
      <c r="CY23" t="s">
        <v>23</v>
      </c>
      <c r="CZ23">
        <v>0.41</v>
      </c>
    </row>
    <row r="24" spans="1:104" x14ac:dyDescent="0.2">
      <c r="CT24" t="str">
        <f t="shared" si="31"/>
        <v/>
      </c>
      <c r="CY24" t="s">
        <v>22</v>
      </c>
      <c r="CZ24">
        <v>3.3000000000000002E-2</v>
      </c>
    </row>
    <row r="25" spans="1:104" x14ac:dyDescent="0.2">
      <c r="CT25" t="str">
        <f t="shared" si="31"/>
        <v/>
      </c>
      <c r="CY25" t="s">
        <v>24</v>
      </c>
      <c r="CZ25">
        <v>1.2999999999999999E-2</v>
      </c>
    </row>
    <row r="26" spans="1:104" x14ac:dyDescent="0.2">
      <c r="CS26" t="str">
        <f>IF(ISBLANK(A24), "", (BJ24*(1-P24-#REF!)-BI24)*F24)</f>
        <v/>
      </c>
      <c r="CT26" t="str">
        <f>IF(ISBLANK(A24), "", IF(D24="wet", $CZ$8, $CZ$9))</f>
        <v/>
      </c>
      <c r="CU26" t="str">
        <f>IF(ISBLANK(A24), "", $CZ$12)</f>
        <v/>
      </c>
      <c r="CV26" t="str">
        <f>IF(ISBLANK(A24), "", CS26*CT26*CU26 / 1000)</f>
        <v/>
      </c>
      <c r="CW26" t="str">
        <f>IF(ISBLANK(A24), "", CV26+CV27)</f>
        <v/>
      </c>
    </row>
    <row r="27" spans="1:104" x14ac:dyDescent="0.2">
      <c r="CS27" t="str">
        <f>IF(ISBLANK(A24), "", (BJ25*(1-P25-#REF!)-BI25)*F24)</f>
        <v/>
      </c>
      <c r="CT27" t="str">
        <f>IF(ISBLANK(A24), "", IF(D24="wet", $CZ$8, $CZ$9))</f>
        <v/>
      </c>
      <c r="CU27" t="str">
        <f>IF(ISBLANK(A24), "", $CZ$12)</f>
        <v/>
      </c>
      <c r="CV27" t="str">
        <f>IF(ISBLANK(A24), "", CS27*CT27*CU27 / 1000)</f>
        <v/>
      </c>
      <c r="CW27" t="str">
        <f>IF(ISBLANK(A25), "", CS27*CT27*CU27 / 1000)</f>
        <v/>
      </c>
      <c r="CY27" t="s">
        <v>23</v>
      </c>
    </row>
    <row r="28" spans="1:104" x14ac:dyDescent="0.2">
      <c r="CY28" t="s">
        <v>59</v>
      </c>
    </row>
    <row r="29" spans="1:104" x14ac:dyDescent="0.2">
      <c r="CY29" t="s">
        <v>60</v>
      </c>
    </row>
    <row r="30" spans="1:104" x14ac:dyDescent="0.2">
      <c r="CY30" t="s">
        <v>56</v>
      </c>
      <c r="CZ30">
        <v>0.02</v>
      </c>
    </row>
    <row r="31" spans="1:104" x14ac:dyDescent="0.2">
      <c r="CY31" t="s">
        <v>51</v>
      </c>
      <c r="CZ31">
        <v>0.01</v>
      </c>
    </row>
    <row r="32" spans="1:104" x14ac:dyDescent="0.2">
      <c r="CY32" t="s">
        <v>54</v>
      </c>
      <c r="CZ32">
        <v>5.0000000000000001E-3</v>
      </c>
    </row>
    <row r="33" spans="103:106" x14ac:dyDescent="0.2">
      <c r="CY33" t="s">
        <v>57</v>
      </c>
      <c r="CZ33">
        <v>0</v>
      </c>
    </row>
    <row r="34" spans="103:106" x14ac:dyDescent="0.2">
      <c r="CY34" t="s">
        <v>58</v>
      </c>
      <c r="CZ34">
        <v>0</v>
      </c>
    </row>
    <row r="35" spans="103:106" x14ac:dyDescent="0.2">
      <c r="CY35" t="s">
        <v>52</v>
      </c>
      <c r="CZ35">
        <v>2E-3</v>
      </c>
    </row>
    <row r="37" spans="103:106" x14ac:dyDescent="0.2">
      <c r="CY37" t="s">
        <v>61</v>
      </c>
    </row>
    <row r="38" spans="103:106" x14ac:dyDescent="0.2">
      <c r="CY38" t="s">
        <v>62</v>
      </c>
    </row>
    <row r="39" spans="103:106" x14ac:dyDescent="0.2">
      <c r="CY39" t="s">
        <v>56</v>
      </c>
      <c r="CZ39">
        <v>0.3</v>
      </c>
    </row>
    <row r="40" spans="103:106" x14ac:dyDescent="0.2">
      <c r="CY40" t="s">
        <v>51</v>
      </c>
      <c r="CZ40">
        <v>0.125</v>
      </c>
    </row>
    <row r="41" spans="103:106" x14ac:dyDescent="0.2">
      <c r="CY41" t="s">
        <v>54</v>
      </c>
      <c r="CZ41">
        <v>0.2</v>
      </c>
    </row>
    <row r="42" spans="103:106" x14ac:dyDescent="0.2">
      <c r="CY42" t="s">
        <v>57</v>
      </c>
      <c r="CZ42">
        <v>0.55000000000000004</v>
      </c>
    </row>
    <row r="43" spans="103:106" x14ac:dyDescent="0.2">
      <c r="CY43" t="s">
        <v>58</v>
      </c>
      <c r="CZ43">
        <v>0</v>
      </c>
    </row>
    <row r="44" spans="103:106" x14ac:dyDescent="0.2">
      <c r="CY44" t="s">
        <v>52</v>
      </c>
      <c r="CZ44">
        <v>0.25</v>
      </c>
    </row>
    <row r="46" spans="103:106" x14ac:dyDescent="0.2">
      <c r="CY46" t="s">
        <v>355</v>
      </c>
    </row>
    <row r="47" spans="103:106" x14ac:dyDescent="0.2">
      <c r="CY47" t="s">
        <v>356</v>
      </c>
      <c r="CZ47" t="s">
        <v>357</v>
      </c>
      <c r="DA47" t="s">
        <v>358</v>
      </c>
      <c r="DB47" t="s">
        <v>359</v>
      </c>
    </row>
    <row r="48" spans="103:106" x14ac:dyDescent="0.2">
      <c r="CY48" t="s">
        <v>345</v>
      </c>
      <c r="CZ48">
        <v>2.2999999999999998</v>
      </c>
      <c r="DA48">
        <v>0.4</v>
      </c>
      <c r="DB48">
        <v>4.5999999999999999E-2</v>
      </c>
    </row>
    <row r="49" spans="103:106" x14ac:dyDescent="0.2">
      <c r="CY49" t="s">
        <v>346</v>
      </c>
      <c r="CZ49">
        <v>2.62</v>
      </c>
      <c r="DA49">
        <v>0.46</v>
      </c>
      <c r="DB49">
        <v>4.9000000000000002E-2</v>
      </c>
    </row>
    <row r="50" spans="103:106" x14ac:dyDescent="0.2">
      <c r="CY50" t="s">
        <v>347</v>
      </c>
      <c r="CZ50">
        <v>2.5</v>
      </c>
      <c r="DA50">
        <v>0.55000000000000004</v>
      </c>
      <c r="DB50">
        <v>4.5999999999999999E-2</v>
      </c>
    </row>
    <row r="51" spans="103:106" x14ac:dyDescent="0.2">
      <c r="CY51" t="s">
        <v>348</v>
      </c>
      <c r="CZ51">
        <v>1.71</v>
      </c>
      <c r="DA51">
        <v>0.39</v>
      </c>
      <c r="DB51">
        <v>3.1E-2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40"/>
  <sheetViews>
    <sheetView topLeftCell="V1" workbookViewId="0">
      <selection activeCell="AH7" sqref="AH7"/>
    </sheetView>
  </sheetViews>
  <sheetFormatPr baseColWidth="10" defaultRowHeight="16" x14ac:dyDescent="0.2"/>
  <sheetData>
    <row r="1" spans="1:37" x14ac:dyDescent="0.2">
      <c r="A1" t="s">
        <v>63</v>
      </c>
      <c r="D1" t="s">
        <v>64</v>
      </c>
      <c r="E1" t="s">
        <v>64</v>
      </c>
      <c r="F1" t="s">
        <v>64</v>
      </c>
      <c r="G1" t="s">
        <v>64</v>
      </c>
      <c r="H1" t="s">
        <v>64</v>
      </c>
      <c r="I1" t="s">
        <v>64</v>
      </c>
      <c r="J1" t="s">
        <v>64</v>
      </c>
      <c r="K1" t="s">
        <v>64</v>
      </c>
      <c r="Q1" t="s">
        <v>64</v>
      </c>
      <c r="R1" t="s">
        <v>64</v>
      </c>
      <c r="S1" t="s">
        <v>64</v>
      </c>
      <c r="T1" t="s">
        <v>64</v>
      </c>
      <c r="U1" t="s">
        <v>64</v>
      </c>
      <c r="V1" t="s">
        <v>64</v>
      </c>
      <c r="W1" t="s">
        <v>64</v>
      </c>
      <c r="X1" t="s">
        <v>64</v>
      </c>
      <c r="Y1" t="s">
        <v>64</v>
      </c>
      <c r="Z1" t="s">
        <v>64</v>
      </c>
      <c r="AA1" t="s">
        <v>64</v>
      </c>
      <c r="AB1" t="s">
        <v>64</v>
      </c>
      <c r="AC1" t="s">
        <v>64</v>
      </c>
      <c r="AD1" t="s">
        <v>64</v>
      </c>
      <c r="AE1" t="s">
        <v>64</v>
      </c>
      <c r="AF1" t="s">
        <v>64</v>
      </c>
      <c r="AG1" t="s">
        <v>64</v>
      </c>
      <c r="AH1" t="s">
        <v>64</v>
      </c>
    </row>
    <row r="2" spans="1:37" x14ac:dyDescent="0.2">
      <c r="AH2" t="s">
        <v>4</v>
      </c>
    </row>
    <row r="3" spans="1:37" x14ac:dyDescent="0.2">
      <c r="C3" t="s">
        <v>65</v>
      </c>
      <c r="I3" t="s">
        <v>66</v>
      </c>
      <c r="K3" t="s">
        <v>67</v>
      </c>
      <c r="W3" t="s">
        <v>68</v>
      </c>
    </row>
    <row r="4" spans="1:37" x14ac:dyDescent="0.2">
      <c r="H4" t="s">
        <v>69</v>
      </c>
      <c r="AB4" t="s">
        <v>70</v>
      </c>
    </row>
    <row r="5" spans="1:37" x14ac:dyDescent="0.2">
      <c r="X5" t="s">
        <v>71</v>
      </c>
      <c r="AE5" t="s">
        <v>72</v>
      </c>
    </row>
    <row r="6" spans="1:37" x14ac:dyDescent="0.2">
      <c r="A6" t="s">
        <v>73</v>
      </c>
      <c r="C6" t="s">
        <v>74</v>
      </c>
      <c r="D6" t="s">
        <v>75</v>
      </c>
      <c r="E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34</v>
      </c>
      <c r="M6" t="s">
        <v>35</v>
      </c>
      <c r="Q6" t="s">
        <v>81</v>
      </c>
      <c r="AB6" t="s">
        <v>82</v>
      </c>
      <c r="AE6" t="s">
        <v>83</v>
      </c>
    </row>
    <row r="7" spans="1:37" x14ac:dyDescent="0.2">
      <c r="A7" s="1" t="s">
        <v>84</v>
      </c>
      <c r="B7" s="1" t="s">
        <v>38</v>
      </c>
      <c r="C7" s="1" t="s">
        <v>85</v>
      </c>
      <c r="D7" t="s">
        <v>86</v>
      </c>
      <c r="E7" s="1" t="s">
        <v>87</v>
      </c>
      <c r="F7" t="s">
        <v>88</v>
      </c>
      <c r="G7" t="s">
        <v>89</v>
      </c>
      <c r="H7" t="s">
        <v>90</v>
      </c>
      <c r="I7" t="s">
        <v>91</v>
      </c>
      <c r="J7" s="1" t="s">
        <v>92</v>
      </c>
      <c r="K7" t="s">
        <v>37</v>
      </c>
      <c r="L7" s="1" t="s">
        <v>11</v>
      </c>
      <c r="M7" s="1" t="s">
        <v>40</v>
      </c>
      <c r="N7" s="1" t="s">
        <v>41</v>
      </c>
      <c r="O7" t="s">
        <v>93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  <c r="U7" t="s">
        <v>99</v>
      </c>
      <c r="V7" t="s">
        <v>42</v>
      </c>
      <c r="W7" t="s">
        <v>100</v>
      </c>
      <c r="X7" t="s">
        <v>45</v>
      </c>
      <c r="Y7" t="s">
        <v>101</v>
      </c>
      <c r="Z7" t="s">
        <v>102</v>
      </c>
      <c r="AA7" t="s">
        <v>103</v>
      </c>
      <c r="AB7" t="s">
        <v>104</v>
      </c>
      <c r="AC7" t="s">
        <v>105</v>
      </c>
      <c r="AD7" t="s">
        <v>106</v>
      </c>
      <c r="AE7" t="s">
        <v>107</v>
      </c>
      <c r="AF7" t="s">
        <v>13</v>
      </c>
      <c r="AG7" t="s">
        <v>3</v>
      </c>
      <c r="AH7" s="2" t="s">
        <v>48</v>
      </c>
      <c r="AJ7" t="s">
        <v>0</v>
      </c>
    </row>
    <row r="8" spans="1:37" x14ac:dyDescent="0.2">
      <c r="A8">
        <v>100</v>
      </c>
      <c r="B8" t="s">
        <v>49</v>
      </c>
      <c r="D8" cm="1">
        <f t="array" ref="D8">IF(ISBLANK(C8), _xlfn.IFS(A8&lt;=80,10.4,A8&lt;=200,10.8,TRUE,8.2),C8)</f>
        <v>10.8</v>
      </c>
      <c r="F8" cm="1">
        <f t="array" ref="F8">IF(ISBLANK(E8),_xlfn.IFS(A8&lt;=80,0.14,A8&lt;=200,0.12,TRUE,0.12),E8)</f>
        <v>0.12</v>
      </c>
      <c r="G8" cm="1">
        <f t="array" ref="G8">_xlfn.IFS(A8&lt;=80,20.4,A8&lt;=200,12.7,TRUE,7)/100</f>
        <v>0.127</v>
      </c>
      <c r="H8">
        <f t="shared" ref="H8:H15" si="0">IF(ISBLANK(J8),"",D8*(F8)/6.25)</f>
        <v>0.20736000000000002</v>
      </c>
      <c r="I8">
        <f t="shared" ref="I8:I15" si="1">IF(ISBLANK(J8), "", H8*(1-G8))</f>
        <v>0.18102528000000001</v>
      </c>
      <c r="J8">
        <v>500</v>
      </c>
      <c r="K8">
        <f t="shared" ref="K8" si="2">IF(ISBLANK(J8),"",J8*I8*A8)</f>
        <v>9051.264000000001</v>
      </c>
      <c r="L8" t="s">
        <v>16</v>
      </c>
      <c r="M8">
        <v>0.8</v>
      </c>
      <c r="N8" t="s">
        <v>439</v>
      </c>
      <c r="O8" t="s">
        <v>53</v>
      </c>
      <c r="P8" t="s">
        <v>50</v>
      </c>
      <c r="Q8">
        <v>1</v>
      </c>
      <c r="R8">
        <f t="shared" ref="R8" si="3">IF(ISBLANK(K8),"",K8)</f>
        <v>9051.264000000001</v>
      </c>
      <c r="S8">
        <f t="shared" ref="S8:S15" si="4">IF(ISBLANK(K8),"",VLOOKUP("drylot",$AJ$30:$AL$33, 3,FALSE))</f>
        <v>0.6</v>
      </c>
      <c r="T8">
        <f t="shared" ref="T8:T15" si="5">IF(ISBLANK(K8),"",VLOOKUP("drylot",$AJ$30:$AL$33, 2,FALSE))</f>
        <v>5.4000000000000003E-3</v>
      </c>
      <c r="U8">
        <f t="shared" ref="U8:U15" si="6">IF(ISBLANK(K8),"",VLOOKUP(N8,$AJ$30:$AL$33, 2,FALSE))</f>
        <v>5.0000000000000001E-3</v>
      </c>
      <c r="V8">
        <f t="shared" ref="V8:V15" si="7">IF(ISBLANK(K8),"",VLOOKUP(N8,$AJ$30:$AL$33, 3,FALSE))</f>
        <v>0.25</v>
      </c>
      <c r="W8">
        <f t="shared" ref="W8:W15" si="8">IF(ISBLANK(K8),"", (R8*(1-S8-T8))-AB8)</f>
        <v>3390.6034944000007</v>
      </c>
      <c r="X8">
        <f t="shared" ref="X8" si="9">IF(ISBLANK(K8),"",W8*Q8)</f>
        <v>3390.6034944000007</v>
      </c>
      <c r="Y8" cm="1">
        <f t="array" ref="Y8">_xlfn.IFS(ISBLANK(K8),"",P8="yes",0.02,TRUE,0)</f>
        <v>0.02</v>
      </c>
      <c r="Z8">
        <f t="shared" ref="Z8:Z15" si="10">IF(ISBLANK(K8),"",VLOOKUP("anaerobicLagoon",$AJ$30:$AL$33, 2,FALSE))</f>
        <v>0</v>
      </c>
      <c r="AA8">
        <f t="shared" ref="AA8:AA15" si="11">IF(ISBLANK(K8),"",VLOOKUP("anaerobicLagoon",$AJ$30:$AL$33, 3,FALSE))</f>
        <v>0.35</v>
      </c>
      <c r="AB8" cm="1">
        <f t="array" ref="AB8">_xlfn.IFS(ISBLANK(K8), "",TRUE, K8*Y8)</f>
        <v>181.02528000000004</v>
      </c>
      <c r="AC8">
        <f t="shared" ref="AC8:AC15" si="12">IF(ISBLANK(K8),"", X8*(1-U8-V8))</f>
        <v>2525.9996033280004</v>
      </c>
      <c r="AD8">
        <f t="shared" ref="AD8" si="13">IF(ISBLANK(K8),"", AB8*(1-Z8-AA8))</f>
        <v>117.66643200000003</v>
      </c>
      <c r="AE8" cm="1">
        <f t="array" ref="AE8">_xlfn.IFS(ISBLANK(K8),"",O8="yes",W8*M8, TRUE, (AC8+AD8)*M8)</f>
        <v>2114.9328282624006</v>
      </c>
      <c r="AF8">
        <f t="shared" ref="AF8:AF15" si="14">IF(ISBLANK(K8), "", IF(L8="wet", $AK$8, $AK$9))</f>
        <v>6.0000000000000001E-3</v>
      </c>
      <c r="AG8">
        <f t="shared" ref="AG8:AG15" si="15">IF(ISBLANK(K8), "", $AK$12)</f>
        <v>1.57</v>
      </c>
      <c r="AH8">
        <f t="shared" ref="AH8:AH15" si="16">IF(ISBLANK(K8), "", AE8*AF8*AG8/1000)</f>
        <v>1.9922667242231813E-2</v>
      </c>
      <c r="AJ8" t="s">
        <v>1</v>
      </c>
      <c r="AK8">
        <v>6.0000000000000001E-3</v>
      </c>
    </row>
    <row r="9" spans="1:37" x14ac:dyDescent="0.2">
      <c r="A9">
        <v>100</v>
      </c>
      <c r="B9" t="s">
        <v>110</v>
      </c>
      <c r="D9" cm="1">
        <f t="array" ref="D9">IF(ISBLANK(C9), _xlfn.IFS(A9&lt;=80,10.4,A9&lt;=200,10.8,TRUE,8.2),C9)</f>
        <v>10.8</v>
      </c>
      <c r="F9" cm="1">
        <f t="array" ref="F9">IF(ISBLANK(E9),_xlfn.IFS(A9&lt;=80,0.14,A9&lt;=200,0.12,TRUE,0.12),E9)</f>
        <v>0.12</v>
      </c>
      <c r="G9" cm="1">
        <f t="array" ref="G9">_xlfn.IFS(A9&lt;=80,20.4,A9&lt;=200,12.7,TRUE,7)/100</f>
        <v>0.127</v>
      </c>
      <c r="H9">
        <f t="shared" si="0"/>
        <v>0.20736000000000002</v>
      </c>
      <c r="I9">
        <f t="shared" si="1"/>
        <v>0.18102528000000001</v>
      </c>
      <c r="J9">
        <v>500</v>
      </c>
      <c r="K9">
        <f t="shared" ref="K9:K15" si="17">IF(ISBLANK(J9),"",J9*I9*A9)</f>
        <v>9051.264000000001</v>
      </c>
      <c r="L9" t="s">
        <v>19</v>
      </c>
      <c r="M9">
        <v>0.8</v>
      </c>
      <c r="N9" t="s">
        <v>439</v>
      </c>
      <c r="O9" t="s">
        <v>53</v>
      </c>
      <c r="P9" t="s">
        <v>50</v>
      </c>
      <c r="Q9">
        <v>1</v>
      </c>
      <c r="R9">
        <f t="shared" ref="R9:R15" si="18">IF(ISBLANK(K9),"",K9)</f>
        <v>9051.264000000001</v>
      </c>
      <c r="S9">
        <f t="shared" si="4"/>
        <v>0.6</v>
      </c>
      <c r="T9">
        <f t="shared" si="5"/>
        <v>5.4000000000000003E-3</v>
      </c>
      <c r="U9">
        <f t="shared" si="6"/>
        <v>5.0000000000000001E-3</v>
      </c>
      <c r="V9">
        <f t="shared" si="7"/>
        <v>0.25</v>
      </c>
      <c r="W9">
        <f t="shared" si="8"/>
        <v>3390.6034944000007</v>
      </c>
      <c r="X9">
        <f t="shared" ref="X9:X15" si="19">IF(ISBLANK(K9),"",W9*Q9)</f>
        <v>3390.6034944000007</v>
      </c>
      <c r="Y9" cm="1">
        <f t="array" ref="Y9">_xlfn.IFS(ISBLANK(K9),"",P9="yes",0.02,TRUE,0)</f>
        <v>0.02</v>
      </c>
      <c r="Z9">
        <f t="shared" si="10"/>
        <v>0</v>
      </c>
      <c r="AA9">
        <f t="shared" si="11"/>
        <v>0.35</v>
      </c>
      <c r="AB9" cm="1">
        <f t="array" ref="AB9">_xlfn.IFS(ISBLANK(K9), "",TRUE, K9*Y9)</f>
        <v>181.02528000000004</v>
      </c>
      <c r="AC9">
        <f t="shared" si="12"/>
        <v>2525.9996033280004</v>
      </c>
      <c r="AD9">
        <f t="shared" ref="AD9:AD15" si="20">IF(ISBLANK(K9),"", AB9*(1-Z9-AA9))</f>
        <v>117.66643200000003</v>
      </c>
      <c r="AE9" cm="1">
        <f t="array" ref="AE9">_xlfn.IFS(ISBLANK(K9),"",O9="yes",W9*M9, TRUE, (AC9+AD9)*M9)</f>
        <v>2114.9328282624006</v>
      </c>
      <c r="AF9">
        <f t="shared" si="14"/>
        <v>5.0000000000000001E-3</v>
      </c>
      <c r="AG9">
        <f t="shared" si="15"/>
        <v>1.57</v>
      </c>
      <c r="AH9">
        <f t="shared" si="16"/>
        <v>1.6602222701859844E-2</v>
      </c>
      <c r="AJ9" t="s">
        <v>2</v>
      </c>
      <c r="AK9">
        <v>5.0000000000000001E-3</v>
      </c>
    </row>
    <row r="10" spans="1:37" x14ac:dyDescent="0.2">
      <c r="A10">
        <v>100</v>
      </c>
      <c r="B10" t="s">
        <v>111</v>
      </c>
      <c r="D10" cm="1">
        <f t="array" ref="D10">IF(ISBLANK(C10), _xlfn.IFS(A10&lt;=80,10.4,A10&lt;=200,10.8,TRUE,8.2),C10)</f>
        <v>10.8</v>
      </c>
      <c r="F10" cm="1">
        <f t="array" ref="F10">IF(ISBLANK(E10),_xlfn.IFS(A10&lt;=80,0.14,A10&lt;=200,0.12,TRUE,0.12),E10)</f>
        <v>0.12</v>
      </c>
      <c r="G10" cm="1">
        <f t="array" ref="G10">_xlfn.IFS(A10&lt;=80,20.4,A10&lt;=200,12.7,TRUE,7)/100</f>
        <v>0.127</v>
      </c>
      <c r="H10">
        <f t="shared" si="0"/>
        <v>0.20736000000000002</v>
      </c>
      <c r="I10">
        <f t="shared" si="1"/>
        <v>0.18102528000000001</v>
      </c>
      <c r="J10">
        <v>500</v>
      </c>
      <c r="K10">
        <f t="shared" si="17"/>
        <v>9051.264000000001</v>
      </c>
      <c r="L10" t="s">
        <v>16</v>
      </c>
      <c r="M10">
        <v>0.8</v>
      </c>
      <c r="N10" t="s">
        <v>474</v>
      </c>
      <c r="O10" t="s">
        <v>53</v>
      </c>
      <c r="P10" t="s">
        <v>50</v>
      </c>
      <c r="Q10">
        <v>1</v>
      </c>
      <c r="R10">
        <f t="shared" si="18"/>
        <v>9051.264000000001</v>
      </c>
      <c r="S10">
        <f t="shared" si="4"/>
        <v>0.6</v>
      </c>
      <c r="T10">
        <f t="shared" si="5"/>
        <v>5.4000000000000003E-3</v>
      </c>
      <c r="U10">
        <f t="shared" si="6"/>
        <v>0.01</v>
      </c>
      <c r="V10">
        <f t="shared" si="7"/>
        <v>0.4</v>
      </c>
      <c r="W10">
        <f t="shared" si="8"/>
        <v>3390.6034944000007</v>
      </c>
      <c r="X10">
        <f t="shared" si="19"/>
        <v>3390.6034944000007</v>
      </c>
      <c r="Y10" cm="1">
        <f t="array" ref="Y10">_xlfn.IFS(ISBLANK(K10),"",P10="yes",0.02,TRUE,0)</f>
        <v>0.02</v>
      </c>
      <c r="Z10">
        <f t="shared" si="10"/>
        <v>0</v>
      </c>
      <c r="AA10">
        <f t="shared" si="11"/>
        <v>0.35</v>
      </c>
      <c r="AB10" cm="1">
        <f t="array" ref="AB10">_xlfn.IFS(ISBLANK(K10), "",TRUE, K10*Y10)</f>
        <v>181.02528000000004</v>
      </c>
      <c r="AC10">
        <f t="shared" si="12"/>
        <v>2000.4560616960002</v>
      </c>
      <c r="AD10">
        <f t="shared" si="20"/>
        <v>117.66643200000003</v>
      </c>
      <c r="AE10" cm="1">
        <f t="array" ref="AE10">_xlfn.IFS(ISBLANK(K10),"",O10="yes",W10*M10, TRUE, (AC10+AD10)*M10)</f>
        <v>1694.4979949568003</v>
      </c>
      <c r="AF10">
        <f t="shared" si="14"/>
        <v>6.0000000000000001E-3</v>
      </c>
      <c r="AG10">
        <f t="shared" si="15"/>
        <v>1.57</v>
      </c>
      <c r="AH10">
        <f t="shared" si="16"/>
        <v>1.5962171112493061E-2</v>
      </c>
    </row>
    <row r="11" spans="1:37" x14ac:dyDescent="0.2">
      <c r="A11">
        <v>100</v>
      </c>
      <c r="B11" t="s">
        <v>112</v>
      </c>
      <c r="D11" cm="1">
        <f t="array" ref="D11">IF(ISBLANK(C11), _xlfn.IFS(A11&lt;=80,10.4,A11&lt;=200,10.8,TRUE,8.2),C11)</f>
        <v>10.8</v>
      </c>
      <c r="F11" cm="1">
        <f t="array" ref="F11">IF(ISBLANK(E11),_xlfn.IFS(A11&lt;=80,0.14,A11&lt;=200,0.12,TRUE,0.12),E11)</f>
        <v>0.12</v>
      </c>
      <c r="G11" cm="1">
        <f t="array" ref="G11">_xlfn.IFS(A11&lt;=80,20.4,A11&lt;=200,12.7,TRUE,7)/100</f>
        <v>0.127</v>
      </c>
      <c r="H11">
        <f t="shared" si="0"/>
        <v>0.20736000000000002</v>
      </c>
      <c r="I11">
        <f t="shared" si="1"/>
        <v>0.18102528000000001</v>
      </c>
      <c r="J11">
        <v>500</v>
      </c>
      <c r="K11">
        <f t="shared" si="17"/>
        <v>9051.264000000001</v>
      </c>
      <c r="L11" t="s">
        <v>16</v>
      </c>
      <c r="M11">
        <v>0.8</v>
      </c>
      <c r="N11" t="s">
        <v>439</v>
      </c>
      <c r="O11" t="s">
        <v>53</v>
      </c>
      <c r="P11" t="s">
        <v>50</v>
      </c>
      <c r="Q11">
        <v>1</v>
      </c>
      <c r="R11">
        <f t="shared" si="18"/>
        <v>9051.264000000001</v>
      </c>
      <c r="S11">
        <f t="shared" si="4"/>
        <v>0.6</v>
      </c>
      <c r="T11">
        <f t="shared" si="5"/>
        <v>5.4000000000000003E-3</v>
      </c>
      <c r="U11">
        <f t="shared" si="6"/>
        <v>5.0000000000000001E-3</v>
      </c>
      <c r="V11">
        <f t="shared" si="7"/>
        <v>0.25</v>
      </c>
      <c r="W11">
        <f t="shared" si="8"/>
        <v>3390.6034944000007</v>
      </c>
      <c r="X11">
        <f t="shared" si="19"/>
        <v>3390.6034944000007</v>
      </c>
      <c r="Y11" cm="1">
        <f t="array" ref="Y11">_xlfn.IFS(ISBLANK(K11),"",P11="yes",0.02,TRUE,0)</f>
        <v>0.02</v>
      </c>
      <c r="Z11">
        <f t="shared" si="10"/>
        <v>0</v>
      </c>
      <c r="AA11">
        <f t="shared" si="11"/>
        <v>0.35</v>
      </c>
      <c r="AB11" cm="1">
        <f t="array" ref="AB11">_xlfn.IFS(ISBLANK(K11), "",TRUE, K11*Y11)</f>
        <v>181.02528000000004</v>
      </c>
      <c r="AC11">
        <f t="shared" si="12"/>
        <v>2525.9996033280004</v>
      </c>
      <c r="AD11">
        <f t="shared" si="20"/>
        <v>117.66643200000003</v>
      </c>
      <c r="AE11" cm="1">
        <f t="array" ref="AE11">_xlfn.IFS(ISBLANK(K11),"",O11="yes",W11*M11, TRUE, (AC11+AD11)*M11)</f>
        <v>2114.9328282624006</v>
      </c>
      <c r="AF11">
        <f t="shared" si="14"/>
        <v>6.0000000000000001E-3</v>
      </c>
      <c r="AG11">
        <f t="shared" si="15"/>
        <v>1.57</v>
      </c>
      <c r="AH11">
        <f t="shared" si="16"/>
        <v>1.9922667242231813E-2</v>
      </c>
    </row>
    <row r="12" spans="1:37" x14ac:dyDescent="0.2">
      <c r="A12">
        <v>100</v>
      </c>
      <c r="B12" t="s">
        <v>113</v>
      </c>
      <c r="D12" cm="1">
        <f t="array" ref="D12">IF(ISBLANK(C12), _xlfn.IFS(A12&lt;=80,10.4,A12&lt;=200,10.8,TRUE,8.2),C12)</f>
        <v>10.8</v>
      </c>
      <c r="F12" cm="1">
        <f t="array" ref="F12">IF(ISBLANK(E12),_xlfn.IFS(A12&lt;=80,0.14,A12&lt;=200,0.12,TRUE,0.12),E12)</f>
        <v>0.12</v>
      </c>
      <c r="G12" cm="1">
        <f t="array" ref="G12">_xlfn.IFS(A12&lt;=80,20.4,A12&lt;=200,12.7,TRUE,7)/100</f>
        <v>0.127</v>
      </c>
      <c r="H12">
        <f t="shared" si="0"/>
        <v>0.20736000000000002</v>
      </c>
      <c r="I12">
        <f t="shared" si="1"/>
        <v>0.18102528000000001</v>
      </c>
      <c r="J12">
        <v>500</v>
      </c>
      <c r="K12">
        <f t="shared" si="17"/>
        <v>9051.264000000001</v>
      </c>
      <c r="L12" t="s">
        <v>16</v>
      </c>
      <c r="M12">
        <v>0.8</v>
      </c>
      <c r="N12" t="s">
        <v>439</v>
      </c>
      <c r="O12" t="s">
        <v>53</v>
      </c>
      <c r="P12" t="s">
        <v>50</v>
      </c>
      <c r="Q12">
        <v>1</v>
      </c>
      <c r="R12">
        <f t="shared" si="18"/>
        <v>9051.264000000001</v>
      </c>
      <c r="S12">
        <f t="shared" si="4"/>
        <v>0.6</v>
      </c>
      <c r="T12">
        <f t="shared" si="5"/>
        <v>5.4000000000000003E-3</v>
      </c>
      <c r="U12">
        <f t="shared" si="6"/>
        <v>5.0000000000000001E-3</v>
      </c>
      <c r="V12">
        <f t="shared" si="7"/>
        <v>0.25</v>
      </c>
      <c r="W12">
        <f t="shared" si="8"/>
        <v>3390.6034944000007</v>
      </c>
      <c r="X12">
        <f t="shared" si="19"/>
        <v>3390.6034944000007</v>
      </c>
      <c r="Y12" cm="1">
        <f t="array" ref="Y12">_xlfn.IFS(ISBLANK(K12),"",P12="yes",0.02,TRUE,0)</f>
        <v>0.02</v>
      </c>
      <c r="Z12">
        <f t="shared" si="10"/>
        <v>0</v>
      </c>
      <c r="AA12">
        <f t="shared" si="11"/>
        <v>0.35</v>
      </c>
      <c r="AB12" cm="1">
        <f t="array" ref="AB12">_xlfn.IFS(ISBLANK(K12), "",TRUE, K12*Y12)</f>
        <v>181.02528000000004</v>
      </c>
      <c r="AC12">
        <f t="shared" si="12"/>
        <v>2525.9996033280004</v>
      </c>
      <c r="AD12">
        <f t="shared" si="20"/>
        <v>117.66643200000003</v>
      </c>
      <c r="AE12" cm="1">
        <f t="array" ref="AE12">_xlfn.IFS(ISBLANK(K12),"",O12="yes",W12*M12, TRUE, (AC12+AD12)*M12)</f>
        <v>2114.9328282624006</v>
      </c>
      <c r="AF12">
        <f t="shared" si="14"/>
        <v>6.0000000000000001E-3</v>
      </c>
      <c r="AG12">
        <f t="shared" si="15"/>
        <v>1.57</v>
      </c>
      <c r="AH12">
        <f t="shared" si="16"/>
        <v>1.9922667242231813E-2</v>
      </c>
      <c r="AJ12" t="s">
        <v>3</v>
      </c>
      <c r="AK12">
        <f>[1]!common_cn2o</f>
        <v>1.57</v>
      </c>
    </row>
    <row r="13" spans="1:37" x14ac:dyDescent="0.2">
      <c r="A13">
        <v>100</v>
      </c>
      <c r="B13" t="s">
        <v>49</v>
      </c>
      <c r="D13" cm="1">
        <f t="array" ref="D13">IF(ISBLANK(C13), _xlfn.IFS(A13&lt;=80,10.4,A13&lt;=200,10.8,TRUE,8.2),C13)</f>
        <v>10.8</v>
      </c>
      <c r="F13" cm="1">
        <f t="array" ref="F13">IF(ISBLANK(E13),_xlfn.IFS(A13&lt;=80,0.14,A13&lt;=200,0.12,TRUE,0.12),E13)</f>
        <v>0.12</v>
      </c>
      <c r="G13" cm="1">
        <f t="array" ref="G13">_xlfn.IFS(A13&lt;=80,20.4,A13&lt;=200,12.7,TRUE,7)/100</f>
        <v>0.127</v>
      </c>
      <c r="H13">
        <f t="shared" si="0"/>
        <v>0.20736000000000002</v>
      </c>
      <c r="I13">
        <f t="shared" si="1"/>
        <v>0.18102528000000001</v>
      </c>
      <c r="J13">
        <v>500</v>
      </c>
      <c r="K13">
        <f t="shared" si="17"/>
        <v>9051.264000000001</v>
      </c>
      <c r="L13" t="s">
        <v>16</v>
      </c>
      <c r="M13">
        <v>0.8</v>
      </c>
      <c r="N13" t="s">
        <v>439</v>
      </c>
      <c r="O13" t="s">
        <v>53</v>
      </c>
      <c r="P13" t="s">
        <v>50</v>
      </c>
      <c r="Q13">
        <v>1</v>
      </c>
      <c r="R13">
        <f t="shared" si="18"/>
        <v>9051.264000000001</v>
      </c>
      <c r="S13">
        <f t="shared" si="4"/>
        <v>0.6</v>
      </c>
      <c r="T13">
        <f t="shared" si="5"/>
        <v>5.4000000000000003E-3</v>
      </c>
      <c r="U13">
        <f t="shared" si="6"/>
        <v>5.0000000000000001E-3</v>
      </c>
      <c r="V13">
        <f t="shared" si="7"/>
        <v>0.25</v>
      </c>
      <c r="W13">
        <f t="shared" si="8"/>
        <v>3390.6034944000007</v>
      </c>
      <c r="X13">
        <f t="shared" si="19"/>
        <v>3390.6034944000007</v>
      </c>
      <c r="Y13" cm="1">
        <f t="array" ref="Y13">_xlfn.IFS(ISBLANK(K13),"",P13="yes",0.02,TRUE,0)</f>
        <v>0.02</v>
      </c>
      <c r="Z13">
        <f t="shared" si="10"/>
        <v>0</v>
      </c>
      <c r="AA13">
        <f t="shared" si="11"/>
        <v>0.35</v>
      </c>
      <c r="AB13" cm="1">
        <f t="array" ref="AB13">_xlfn.IFS(ISBLANK(K13), "",TRUE, K13*Y13)</f>
        <v>181.02528000000004</v>
      </c>
      <c r="AC13">
        <f t="shared" si="12"/>
        <v>2525.9996033280004</v>
      </c>
      <c r="AD13">
        <f t="shared" si="20"/>
        <v>117.66643200000003</v>
      </c>
      <c r="AE13" cm="1">
        <f t="array" ref="AE13">_xlfn.IFS(ISBLANK(K13),"",O13="yes",W13*M13, TRUE, (AC13+AD13)*M13)</f>
        <v>2114.9328282624006</v>
      </c>
      <c r="AF13">
        <f t="shared" si="14"/>
        <v>6.0000000000000001E-3</v>
      </c>
      <c r="AG13">
        <f t="shared" si="15"/>
        <v>1.57</v>
      </c>
      <c r="AH13">
        <f t="shared" si="16"/>
        <v>1.9922667242231813E-2</v>
      </c>
      <c r="AJ13" t="s">
        <v>55</v>
      </c>
      <c r="AK13">
        <v>0.02</v>
      </c>
    </row>
    <row r="14" spans="1:37" x14ac:dyDescent="0.2">
      <c r="A14">
        <v>100</v>
      </c>
      <c r="B14" t="s">
        <v>49</v>
      </c>
      <c r="D14" cm="1">
        <f t="array" ref="D14">IF(ISBLANK(C14), _xlfn.IFS(A14&lt;=80,10.4,A14&lt;=200,10.8,TRUE,8.2),C14)</f>
        <v>10.8</v>
      </c>
      <c r="F14" cm="1">
        <f t="array" ref="F14">IF(ISBLANK(E14),_xlfn.IFS(A14&lt;=80,0.14,A14&lt;=200,0.12,TRUE,0.12),E14)</f>
        <v>0.12</v>
      </c>
      <c r="G14" cm="1">
        <f t="array" ref="G14">_xlfn.IFS(A14&lt;=80,20.4,A14&lt;=200,12.7,TRUE,7)/100</f>
        <v>0.127</v>
      </c>
      <c r="H14">
        <f t="shared" si="0"/>
        <v>0.20736000000000002</v>
      </c>
      <c r="I14">
        <f t="shared" si="1"/>
        <v>0.18102528000000001</v>
      </c>
      <c r="J14">
        <v>500</v>
      </c>
      <c r="K14">
        <f t="shared" si="17"/>
        <v>9051.264000000001</v>
      </c>
      <c r="L14" t="s">
        <v>16</v>
      </c>
      <c r="M14">
        <v>0.8</v>
      </c>
      <c r="N14" t="s">
        <v>439</v>
      </c>
      <c r="O14" t="s">
        <v>53</v>
      </c>
      <c r="P14" t="s">
        <v>50</v>
      </c>
      <c r="Q14">
        <v>1</v>
      </c>
      <c r="R14">
        <f t="shared" si="18"/>
        <v>9051.264000000001</v>
      </c>
      <c r="S14">
        <f t="shared" si="4"/>
        <v>0.6</v>
      </c>
      <c r="T14">
        <f t="shared" si="5"/>
        <v>5.4000000000000003E-3</v>
      </c>
      <c r="U14">
        <f t="shared" si="6"/>
        <v>5.0000000000000001E-3</v>
      </c>
      <c r="V14">
        <f t="shared" si="7"/>
        <v>0.25</v>
      </c>
      <c r="W14">
        <f t="shared" si="8"/>
        <v>3390.6034944000007</v>
      </c>
      <c r="X14">
        <f t="shared" si="19"/>
        <v>3390.6034944000007</v>
      </c>
      <c r="Y14" cm="1">
        <f t="array" ref="Y14">_xlfn.IFS(ISBLANK(K14),"",P14="yes",0.02,TRUE,0)</f>
        <v>0.02</v>
      </c>
      <c r="Z14">
        <f t="shared" si="10"/>
        <v>0</v>
      </c>
      <c r="AA14">
        <f t="shared" si="11"/>
        <v>0.35</v>
      </c>
      <c r="AB14" cm="1">
        <f t="array" ref="AB14">_xlfn.IFS(ISBLANK(K14), "",TRUE, K14*Y14)</f>
        <v>181.02528000000004</v>
      </c>
      <c r="AC14">
        <f t="shared" si="12"/>
        <v>2525.9996033280004</v>
      </c>
      <c r="AD14">
        <f t="shared" si="20"/>
        <v>117.66643200000003</v>
      </c>
      <c r="AE14" cm="1">
        <f t="array" ref="AE14">_xlfn.IFS(ISBLANK(K14),"",O14="yes",W14*M14, TRUE, (AC14+AD14)*M14)</f>
        <v>2114.9328282624006</v>
      </c>
      <c r="AF14">
        <f t="shared" si="14"/>
        <v>6.0000000000000001E-3</v>
      </c>
      <c r="AG14">
        <f t="shared" si="15"/>
        <v>1.57</v>
      </c>
      <c r="AH14">
        <f t="shared" si="16"/>
        <v>1.9922667242231813E-2</v>
      </c>
    </row>
    <row r="15" spans="1:37" x14ac:dyDescent="0.2">
      <c r="A15">
        <v>100</v>
      </c>
      <c r="B15" t="s">
        <v>49</v>
      </c>
      <c r="D15" cm="1">
        <f t="array" ref="D15">IF(ISBLANK(C15), _xlfn.IFS(A15&lt;=80,10.4,A15&lt;=200,10.8,TRUE,8.2),C15)</f>
        <v>10.8</v>
      </c>
      <c r="F15" cm="1">
        <f t="array" ref="F15">IF(ISBLANK(E15),_xlfn.IFS(A15&lt;=80,0.14,A15&lt;=200,0.12,TRUE,0.12),E15)</f>
        <v>0.12</v>
      </c>
      <c r="G15" cm="1">
        <f t="array" ref="G15">_xlfn.IFS(A15&lt;=80,20.4,A15&lt;=200,12.7,TRUE,7)/100</f>
        <v>0.127</v>
      </c>
      <c r="H15">
        <f t="shared" si="0"/>
        <v>0.20736000000000002</v>
      </c>
      <c r="I15">
        <f t="shared" si="1"/>
        <v>0.18102528000000001</v>
      </c>
      <c r="J15">
        <v>500</v>
      </c>
      <c r="K15">
        <f t="shared" si="17"/>
        <v>9051.264000000001</v>
      </c>
      <c r="L15" t="s">
        <v>16</v>
      </c>
      <c r="M15">
        <v>0.8</v>
      </c>
      <c r="N15" t="s">
        <v>439</v>
      </c>
      <c r="O15" t="s">
        <v>53</v>
      </c>
      <c r="P15" t="s">
        <v>50</v>
      </c>
      <c r="Q15">
        <v>1</v>
      </c>
      <c r="R15">
        <f t="shared" si="18"/>
        <v>9051.264000000001</v>
      </c>
      <c r="S15">
        <f t="shared" si="4"/>
        <v>0.6</v>
      </c>
      <c r="T15">
        <f t="shared" si="5"/>
        <v>5.4000000000000003E-3</v>
      </c>
      <c r="U15">
        <f t="shared" si="6"/>
        <v>5.0000000000000001E-3</v>
      </c>
      <c r="V15">
        <f t="shared" si="7"/>
        <v>0.25</v>
      </c>
      <c r="W15">
        <f t="shared" si="8"/>
        <v>3390.6034944000007</v>
      </c>
      <c r="X15">
        <f t="shared" si="19"/>
        <v>3390.6034944000007</v>
      </c>
      <c r="Y15" cm="1">
        <f t="array" ref="Y15">_xlfn.IFS(ISBLANK(K15),"",P15="yes",0.02,TRUE,0)</f>
        <v>0.02</v>
      </c>
      <c r="Z15">
        <f t="shared" si="10"/>
        <v>0</v>
      </c>
      <c r="AA15">
        <f t="shared" si="11"/>
        <v>0.35</v>
      </c>
      <c r="AB15" cm="1">
        <f t="array" ref="AB15">_xlfn.IFS(ISBLANK(K15), "",TRUE, K15*Y15)</f>
        <v>181.02528000000004</v>
      </c>
      <c r="AC15">
        <f t="shared" si="12"/>
        <v>2525.9996033280004</v>
      </c>
      <c r="AD15">
        <f t="shared" si="20"/>
        <v>117.66643200000003</v>
      </c>
      <c r="AE15" cm="1">
        <f t="array" ref="AE15">_xlfn.IFS(ISBLANK(K15),"",O15="yes",W15*M15, TRUE, (AC15+AD15)*M15)</f>
        <v>2114.9328282624006</v>
      </c>
      <c r="AF15">
        <f t="shared" si="14"/>
        <v>6.0000000000000001E-3</v>
      </c>
      <c r="AG15">
        <f t="shared" si="15"/>
        <v>1.57</v>
      </c>
      <c r="AH15">
        <f t="shared" si="16"/>
        <v>1.9922667242231813E-2</v>
      </c>
    </row>
    <row r="21" spans="1:38" x14ac:dyDescent="0.2">
      <c r="A21">
        <v>100</v>
      </c>
      <c r="B21" t="s">
        <v>108</v>
      </c>
      <c r="C21">
        <v>10.1</v>
      </c>
      <c r="D21" cm="1">
        <f t="array" ref="D21">IF(ISBLANK(C21), _xludf.IFS(A21&lt;=80,10.4,A21&lt;=200,10.8,TRUE,8.2),C21)</f>
        <v>10.1</v>
      </c>
      <c r="F21" cm="1">
        <f t="array" ref="F21">IF(ISBLANK(E21),_xlfn.IFS(A21&lt;=80,0.14,A21&lt;=200,0.12,TRUE,0.12),E21)</f>
        <v>0.12</v>
      </c>
      <c r="G21" cm="1">
        <f t="array" ref="G21">_xlfn.IFS(A21&lt;=80,20.4,A21&lt;=200,12.7,TRUE,7)/100</f>
        <v>0.127</v>
      </c>
      <c r="H21">
        <f>IF(ISBLANK(J21),"",D21*(F21)/6.25)</f>
        <v>0.19391999999999998</v>
      </c>
      <c r="I21">
        <f>IF(ISBLANK(J21), "", H21*(1-G21))</f>
        <v>0.16929216</v>
      </c>
      <c r="J21">
        <v>500</v>
      </c>
      <c r="K21">
        <f>IF(ISBLANK(J21),"",J21*I21*A21)</f>
        <v>8464.6080000000002</v>
      </c>
      <c r="L21" t="s">
        <v>16</v>
      </c>
      <c r="M21">
        <v>0.8</v>
      </c>
      <c r="N21" t="s">
        <v>439</v>
      </c>
      <c r="O21" t="s">
        <v>53</v>
      </c>
      <c r="P21" t="s">
        <v>50</v>
      </c>
      <c r="Q21">
        <v>1</v>
      </c>
      <c r="R21">
        <f>IF(ISBLANK(K21),"",K21)</f>
        <v>8464.6080000000002</v>
      </c>
      <c r="S21">
        <f>IF(ISBLANK(K21),"",VLOOKUP("drylot",$AJ$30:$AL$33, 3,FALSE))</f>
        <v>0.6</v>
      </c>
      <c r="T21">
        <f>IF(ISBLANK(K21),"",VLOOKUP("drylot",$AJ$30:$AL$33, 2,FALSE))</f>
        <v>5.4000000000000003E-3</v>
      </c>
      <c r="U21">
        <f>IF(ISBLANK(K21),"",VLOOKUP(N21,$AJ$30:$AL$33, 2,FALSE))</f>
        <v>5.0000000000000001E-3</v>
      </c>
      <c r="V21">
        <f>IF(ISBLANK(K21),"",VLOOKUP(N21,$AJ$30:$AL$33, 3,FALSE))</f>
        <v>0.25</v>
      </c>
      <c r="W21">
        <f>IF(ISBLANK(K21),"", (R21*(1-S21-T21))-AB21)</f>
        <v>3170.8421568000003</v>
      </c>
      <c r="X21">
        <f>IF(ISBLANK(K21),"",W21*Q21)</f>
        <v>3170.8421568000003</v>
      </c>
      <c r="Y21" cm="1">
        <f t="array" ref="Y21">_xlfn.IFS(ISBLANK(K21),"",P21="yes",0.02,TRUE,0)</f>
        <v>0.02</v>
      </c>
      <c r="Z21">
        <f>IF(ISBLANK(K21),"",VLOOKUP("anaerobicLagoon",$AJ$30:$AL$33, 2,FALSE))</f>
        <v>0</v>
      </c>
      <c r="AA21">
        <f>IF(ISBLANK(K21),"",VLOOKUP("anaerobicLagoon",$AJ$30:$AL$33, 3,FALSE))</f>
        <v>0.35</v>
      </c>
      <c r="AB21" cm="1">
        <f t="array" ref="AB21">_xlfn.IFS(ISBLANK(K21), "",TRUE, K21*Y21)</f>
        <v>169.29216</v>
      </c>
      <c r="AC21">
        <f>IF(ISBLANK(K21),"", X21*(1-U21-V21))</f>
        <v>2362.2774068160002</v>
      </c>
      <c r="AD21">
        <f>IF(ISBLANK(K21),"", AB21*(1-Z21-AA21))</f>
        <v>110.03990400000001</v>
      </c>
      <c r="AE21" cm="1">
        <f t="array" ref="AE21">_xlfn.IFS(ISBLANK(K21),"",O21="yes",W21*M21, TRUE, (AC21+AD21)*M21)</f>
        <v>1977.8538486528005</v>
      </c>
      <c r="AF21">
        <f>IF(ISBLANK(K21), "", IF(L21="wet", $AK$8, $AK$9))</f>
        <v>6.0000000000000001E-3</v>
      </c>
      <c r="AG21">
        <f>IF(ISBLANK(K21), "", $AK$12)</f>
        <v>1.57</v>
      </c>
      <c r="AH21">
        <f>IF(ISBLANK(K21), "", AE21*AF21*AG21/1000)</f>
        <v>1.863138325430938E-2</v>
      </c>
    </row>
    <row r="22" spans="1:38" x14ac:dyDescent="0.2">
      <c r="A22">
        <v>100</v>
      </c>
      <c r="B22" t="s">
        <v>109</v>
      </c>
      <c r="D22" cm="1">
        <f t="array" ref="D22">IF(ISBLANK(C22), _xlfn.IFS(A22&lt;=80,10.4,A22&lt;=200,10.8,TRUE,8.2),C22)</f>
        <v>10.8</v>
      </c>
      <c r="E22">
        <v>0.13500000000000001</v>
      </c>
      <c r="F22" cm="1">
        <f t="array" ref="F22">IF(ISBLANK(E22),_xlfn.IFS(A22&lt;=80,0.14,A22&lt;=200,0.12,TRUE,0.12),E22)</f>
        <v>0.13500000000000001</v>
      </c>
      <c r="G22" cm="1">
        <f t="array" ref="G22">_xlfn.IFS(A22&lt;=80,20.4,A22&lt;=200,12.7,TRUE,7)/100</f>
        <v>0.127</v>
      </c>
      <c r="H22">
        <f>IF(ISBLANK(J22),"",D22*(F22)/6.25)</f>
        <v>0.23328000000000004</v>
      </c>
      <c r="I22">
        <f>IF(ISBLANK(J22), "", H22*(1-G22))</f>
        <v>0.20365344000000005</v>
      </c>
      <c r="J22">
        <v>500</v>
      </c>
      <c r="K22">
        <f>IF(ISBLANK(J22),"",J22*I22*A22)</f>
        <v>10182.672000000002</v>
      </c>
      <c r="L22" t="s">
        <v>16</v>
      </c>
      <c r="M22">
        <v>0.8</v>
      </c>
      <c r="N22" t="s">
        <v>439</v>
      </c>
      <c r="O22" t="s">
        <v>53</v>
      </c>
      <c r="P22" t="s">
        <v>50</v>
      </c>
      <c r="Q22">
        <v>1</v>
      </c>
      <c r="R22">
        <f>IF(ISBLANK(K22),"",K22)</f>
        <v>10182.672000000002</v>
      </c>
      <c r="S22">
        <f>IF(ISBLANK(K22),"",VLOOKUP("drylot",$AJ$30:$AL$33, 3,FALSE))</f>
        <v>0.6</v>
      </c>
      <c r="T22">
        <f>IF(ISBLANK(K22),"",VLOOKUP("drylot",$AJ$30:$AL$33, 2,FALSE))</f>
        <v>5.4000000000000003E-3</v>
      </c>
      <c r="U22">
        <f>IF(ISBLANK(K22),"",VLOOKUP(N22,$AJ$30:$AL$33, 2,FALSE))</f>
        <v>5.0000000000000001E-3</v>
      </c>
      <c r="V22">
        <f>IF(ISBLANK(K22),"",VLOOKUP(N22,$AJ$30:$AL$33, 3,FALSE))</f>
        <v>0.25</v>
      </c>
      <c r="W22">
        <f>IF(ISBLANK(K22),"", (R22*(1-S22-T22))-AB22)</f>
        <v>3814.428931200001</v>
      </c>
      <c r="X22">
        <f>IF(ISBLANK(K22),"",W22*Q22)</f>
        <v>3814.428931200001</v>
      </c>
      <c r="Y22" cm="1">
        <f t="array" ref="Y22">_xlfn.IFS(ISBLANK(K22),"",P22="yes",0.02,TRUE,0)</f>
        <v>0.02</v>
      </c>
      <c r="Z22">
        <f>IF(ISBLANK(K22),"",VLOOKUP("anaerobicLagoon",$AJ$30:$AL$33, 2,FALSE))</f>
        <v>0</v>
      </c>
      <c r="AA22">
        <f>IF(ISBLANK(K22),"",VLOOKUP("anaerobicLagoon",$AJ$30:$AL$33, 3,FALSE))</f>
        <v>0.35</v>
      </c>
      <c r="AB22" cm="1">
        <f t="array" ref="AB22">_xlfn.IFS(ISBLANK(K22), "",TRUE, K22*Y22)</f>
        <v>203.65344000000005</v>
      </c>
      <c r="AC22">
        <f>IF(ISBLANK(K22),"", X22*(1-U22-V22))</f>
        <v>2841.7495537440009</v>
      </c>
      <c r="AD22">
        <f>IF(ISBLANK(K22),"", AB22*(1-Z22-AA22))</f>
        <v>132.37473600000004</v>
      </c>
      <c r="AE22" cm="1">
        <f t="array" ref="AE22">_xlfn.IFS(ISBLANK(K22),"",O22="yes",W22*M22, TRUE, (AC22+AD22)*M22)</f>
        <v>2379.2994317952011</v>
      </c>
      <c r="AF22">
        <f>IF(ISBLANK(K22), "", IF(L22="wet", $AK$8, $AK$9))</f>
        <v>6.0000000000000001E-3</v>
      </c>
      <c r="AG22">
        <f>IF(ISBLANK(K22), "", $AK$12)</f>
        <v>1.57</v>
      </c>
      <c r="AH22">
        <f>IF(ISBLANK(K22), "", AE22*AF22*AG22/1000)</f>
        <v>2.2413000647510794E-2</v>
      </c>
    </row>
    <row r="26" spans="1:38" x14ac:dyDescent="0.2">
      <c r="AE26" t="str">
        <f>IF(ISBLANK(K26), "", K26* IF(ISBLANK(#REF!),#REF!,#REF!))</f>
        <v/>
      </c>
    </row>
    <row r="27" spans="1:38" x14ac:dyDescent="0.2">
      <c r="AE27" t="str">
        <f>IF(ISBLANK(K27), "", K27* IF(ISBLANK(#REF!),#REF!,#REF!))</f>
        <v/>
      </c>
      <c r="AJ27" t="s">
        <v>114</v>
      </c>
    </row>
    <row r="28" spans="1:38" x14ac:dyDescent="0.2">
      <c r="AK28" t="s">
        <v>59</v>
      </c>
      <c r="AL28" t="s">
        <v>115</v>
      </c>
    </row>
    <row r="29" spans="1:38" x14ac:dyDescent="0.2">
      <c r="AJ29" t="s">
        <v>116</v>
      </c>
    </row>
    <row r="30" spans="1:38" x14ac:dyDescent="0.2">
      <c r="AJ30" t="s">
        <v>475</v>
      </c>
      <c r="AK30">
        <v>5.4000000000000003E-3</v>
      </c>
      <c r="AL30">
        <v>0.6</v>
      </c>
    </row>
    <row r="31" spans="1:38" x14ac:dyDescent="0.2">
      <c r="AJ31" t="s">
        <v>439</v>
      </c>
      <c r="AK31">
        <v>5.0000000000000001E-3</v>
      </c>
      <c r="AL31">
        <v>0.25</v>
      </c>
    </row>
    <row r="32" spans="1:38" x14ac:dyDescent="0.2">
      <c r="AJ32" t="s">
        <v>474</v>
      </c>
      <c r="AK32">
        <v>0.01</v>
      </c>
      <c r="AL32">
        <v>0.4</v>
      </c>
    </row>
    <row r="33" spans="36:38" x14ac:dyDescent="0.2">
      <c r="AJ33" t="s">
        <v>434</v>
      </c>
      <c r="AK33">
        <v>0</v>
      </c>
      <c r="AL33">
        <v>0.35</v>
      </c>
    </row>
    <row r="36" spans="36:38" x14ac:dyDescent="0.2">
      <c r="AJ36" t="s">
        <v>117</v>
      </c>
    </row>
    <row r="37" spans="36:38" x14ac:dyDescent="0.2">
      <c r="AJ37" t="s">
        <v>118</v>
      </c>
    </row>
    <row r="38" spans="36:38" x14ac:dyDescent="0.2">
      <c r="AJ38" t="s">
        <v>119</v>
      </c>
      <c r="AK38">
        <v>10.4</v>
      </c>
    </row>
    <row r="39" spans="36:38" x14ac:dyDescent="0.2">
      <c r="AJ39" t="s">
        <v>120</v>
      </c>
      <c r="AK39">
        <v>10.8</v>
      </c>
    </row>
    <row r="40" spans="36:38" x14ac:dyDescent="0.2">
      <c r="AJ40" t="s">
        <v>121</v>
      </c>
      <c r="AK40">
        <v>8.1999999999999993</v>
      </c>
    </row>
  </sheetData>
  <pageMargins left="0.7" right="0.7" top="0.75" bottom="0.75" header="0.3" footer="0.3"/>
  <ignoredErrors>
    <ignoredError sqref="A1:AE7 A8:C8 E8 J8:M8 X8 AD8 O8:R8 AK30:AL33 U8:V8 AF1:AH8 A18:AH20 AI34:AL44 AI30:AI33 AI1:AL11 A23:AH44 AI13:AL29 AI12:AJ12 AL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542A-6998-8141-9AE0-2F408242D135}">
  <dimension ref="A3:CE128"/>
  <sheetViews>
    <sheetView topLeftCell="BT1" workbookViewId="0">
      <selection activeCell="CE1" sqref="CE1:CE1048576"/>
    </sheetView>
  </sheetViews>
  <sheetFormatPr baseColWidth="10" defaultRowHeight="16" x14ac:dyDescent="0.2"/>
  <sheetData>
    <row r="3" spans="1:83" x14ac:dyDescent="0.2">
      <c r="A3" t="s">
        <v>126</v>
      </c>
      <c r="C3" t="s">
        <v>126</v>
      </c>
      <c r="D3" t="s">
        <v>126</v>
      </c>
      <c r="E3" t="s">
        <v>126</v>
      </c>
      <c r="Y3" t="s">
        <v>126</v>
      </c>
    </row>
    <row r="5" spans="1:83" x14ac:dyDescent="0.2">
      <c r="A5" t="s">
        <v>341</v>
      </c>
      <c r="B5" t="s">
        <v>342</v>
      </c>
      <c r="C5" t="s">
        <v>368</v>
      </c>
      <c r="D5" t="s">
        <v>352</v>
      </c>
      <c r="E5" t="s">
        <v>39</v>
      </c>
      <c r="F5" t="s">
        <v>369</v>
      </c>
      <c r="G5" t="s">
        <v>370</v>
      </c>
      <c r="J5" t="s">
        <v>371</v>
      </c>
      <c r="N5" t="s">
        <v>372</v>
      </c>
      <c r="R5" t="s">
        <v>293</v>
      </c>
      <c r="S5" t="s">
        <v>294</v>
      </c>
      <c r="T5" t="s">
        <v>373</v>
      </c>
      <c r="U5" t="s">
        <v>374</v>
      </c>
      <c r="V5" t="s">
        <v>375</v>
      </c>
      <c r="Y5" t="s">
        <v>376</v>
      </c>
      <c r="AF5" t="s">
        <v>409</v>
      </c>
      <c r="AL5" t="s">
        <v>410</v>
      </c>
      <c r="AW5" t="s">
        <v>417</v>
      </c>
    </row>
    <row r="6" spans="1:83" x14ac:dyDescent="0.2">
      <c r="U6" t="s">
        <v>377</v>
      </c>
      <c r="V6" t="s">
        <v>377</v>
      </c>
      <c r="W6" t="s">
        <v>378</v>
      </c>
      <c r="AK6" t="s">
        <v>378</v>
      </c>
    </row>
    <row r="7" spans="1:83" x14ac:dyDescent="0.2">
      <c r="A7" s="3" t="s">
        <v>343</v>
      </c>
      <c r="B7" s="3" t="s">
        <v>343</v>
      </c>
      <c r="C7" s="4"/>
      <c r="D7" s="4" t="s">
        <v>379</v>
      </c>
      <c r="E7" s="4" t="s">
        <v>295</v>
      </c>
      <c r="F7" s="4"/>
      <c r="G7" s="4" t="s">
        <v>380</v>
      </c>
      <c r="H7" s="4" t="s">
        <v>381</v>
      </c>
      <c r="I7" s="4" t="s">
        <v>382</v>
      </c>
      <c r="J7" s="4" t="s">
        <v>383</v>
      </c>
      <c r="K7" s="4" t="s">
        <v>384</v>
      </c>
      <c r="L7" s="4" t="s">
        <v>385</v>
      </c>
      <c r="M7" s="4" t="s">
        <v>386</v>
      </c>
      <c r="N7" s="4" t="s">
        <v>383</v>
      </c>
      <c r="O7" s="4" t="s">
        <v>384</v>
      </c>
      <c r="P7" s="4" t="s">
        <v>385</v>
      </c>
      <c r="Q7" s="4" t="s">
        <v>386</v>
      </c>
      <c r="R7" s="3" t="s">
        <v>387</v>
      </c>
      <c r="S7" s="3" t="s">
        <v>388</v>
      </c>
      <c r="T7" s="4" t="s">
        <v>389</v>
      </c>
      <c r="U7" s="3" t="s">
        <v>390</v>
      </c>
      <c r="V7" s="3" t="s">
        <v>391</v>
      </c>
      <c r="W7" s="4" t="s">
        <v>392</v>
      </c>
      <c r="X7" s="4"/>
      <c r="Y7" s="4" t="s">
        <v>296</v>
      </c>
      <c r="Z7" s="4" t="s">
        <v>92</v>
      </c>
      <c r="AA7" s="3" t="s">
        <v>297</v>
      </c>
      <c r="AB7" s="3" t="s">
        <v>135</v>
      </c>
      <c r="AC7" s="3" t="s">
        <v>138</v>
      </c>
      <c r="AD7" s="3" t="s">
        <v>142</v>
      </c>
      <c r="AE7" s="3" t="s">
        <v>140</v>
      </c>
      <c r="AF7" s="3" t="s">
        <v>411</v>
      </c>
      <c r="AG7" s="3" t="s">
        <v>412</v>
      </c>
      <c r="AH7" s="3" t="s">
        <v>413</v>
      </c>
      <c r="AI7" s="3" t="s">
        <v>414</v>
      </c>
      <c r="AJ7" s="3" t="s">
        <v>415</v>
      </c>
      <c r="AK7" s="3" t="s">
        <v>416</v>
      </c>
      <c r="AL7" s="3"/>
      <c r="AM7" s="3" t="s">
        <v>145</v>
      </c>
      <c r="AN7" s="3" t="s">
        <v>146</v>
      </c>
      <c r="AO7" s="3" t="s">
        <v>147</v>
      </c>
      <c r="AP7" s="3" t="s">
        <v>148</v>
      </c>
      <c r="AQ7" s="3" t="s">
        <v>139</v>
      </c>
      <c r="AR7" s="3" t="s">
        <v>136</v>
      </c>
      <c r="AS7" s="3" t="s">
        <v>85</v>
      </c>
      <c r="AT7" s="3" t="s">
        <v>84</v>
      </c>
      <c r="AU7" s="3" t="s">
        <v>137</v>
      </c>
      <c r="AV7" s="3" t="s">
        <v>143</v>
      </c>
      <c r="AW7" s="3"/>
      <c r="AX7" s="3" t="s">
        <v>89</v>
      </c>
      <c r="AY7" s="3" t="s">
        <v>141</v>
      </c>
      <c r="AZ7" s="3" t="s">
        <v>366</v>
      </c>
      <c r="BA7" s="3" t="s">
        <v>418</v>
      </c>
      <c r="BB7" s="3" t="s">
        <v>308</v>
      </c>
      <c r="BC7" s="3" t="s">
        <v>419</v>
      </c>
      <c r="BD7" s="3" t="s">
        <v>420</v>
      </c>
      <c r="BE7" s="3" t="s">
        <v>421</v>
      </c>
      <c r="BF7" s="3" t="s">
        <v>422</v>
      </c>
      <c r="BG7" s="3" t="s">
        <v>423</v>
      </c>
      <c r="BH7" s="3" t="s">
        <v>43</v>
      </c>
      <c r="BI7" s="3" t="s">
        <v>458</v>
      </c>
      <c r="BJ7" s="3" t="s">
        <v>44</v>
      </c>
      <c r="BK7" s="3" t="s">
        <v>459</v>
      </c>
      <c r="BL7" t="s">
        <v>460</v>
      </c>
      <c r="BM7" t="s">
        <v>327</v>
      </c>
      <c r="BN7" t="s">
        <v>461</v>
      </c>
      <c r="BO7" t="s">
        <v>462</v>
      </c>
      <c r="BP7" t="s">
        <v>332</v>
      </c>
      <c r="BQ7" t="s">
        <v>463</v>
      </c>
      <c r="BR7" t="s">
        <v>464</v>
      </c>
      <c r="BS7" t="s">
        <v>465</v>
      </c>
      <c r="BT7" t="s">
        <v>466</v>
      </c>
      <c r="BU7" t="s">
        <v>467</v>
      </c>
      <c r="BV7" t="s">
        <v>468</v>
      </c>
      <c r="BW7" t="s">
        <v>469</v>
      </c>
      <c r="BX7" t="s">
        <v>472</v>
      </c>
      <c r="BY7" t="s">
        <v>471</v>
      </c>
      <c r="BZ7" t="s">
        <v>470</v>
      </c>
      <c r="CA7" s="1" t="s">
        <v>40</v>
      </c>
      <c r="CB7" t="s">
        <v>473</v>
      </c>
      <c r="CC7" t="s">
        <v>454</v>
      </c>
      <c r="CD7" s="3" t="s">
        <v>150</v>
      </c>
      <c r="CE7" s="15" t="s">
        <v>48</v>
      </c>
    </row>
    <row r="8" spans="1:83" x14ac:dyDescent="0.2">
      <c r="A8" t="s">
        <v>344</v>
      </c>
      <c r="C8" t="s">
        <v>393</v>
      </c>
      <c r="D8" t="s">
        <v>16</v>
      </c>
      <c r="E8" t="b">
        <v>0</v>
      </c>
      <c r="F8" t="s">
        <v>132</v>
      </c>
      <c r="G8">
        <v>0.53400000000000003</v>
      </c>
      <c r="H8">
        <v>0.11</v>
      </c>
      <c r="I8">
        <v>0.35599999999999998</v>
      </c>
      <c r="J8">
        <v>0.25</v>
      </c>
      <c r="K8">
        <v>0.25</v>
      </c>
      <c r="L8">
        <v>0.25</v>
      </c>
      <c r="M8">
        <v>0.25</v>
      </c>
      <c r="N8">
        <v>0.25</v>
      </c>
      <c r="O8">
        <v>0.25</v>
      </c>
      <c r="P8">
        <v>0.25</v>
      </c>
      <c r="Q8">
        <v>0.25</v>
      </c>
      <c r="R8" t="b">
        <v>1</v>
      </c>
      <c r="S8">
        <v>0.2</v>
      </c>
      <c r="U8" t="s">
        <v>122</v>
      </c>
      <c r="V8" t="s">
        <v>122</v>
      </c>
      <c r="W8">
        <v>15</v>
      </c>
      <c r="X8" t="s">
        <v>269</v>
      </c>
      <c r="Y8" t="s">
        <v>394</v>
      </c>
      <c r="Z8">
        <v>200</v>
      </c>
      <c r="AA8">
        <v>365</v>
      </c>
      <c r="AB8">
        <f>INDEX($B$75:$H$84, MATCH(X8, $A$75:$A$84, 0), MATCH(Y8,$B$74:$H$74, 0))</f>
        <v>550</v>
      </c>
      <c r="AC8">
        <f>_xlfn.XLOOKUP(Y8, $B$86:$F$86, $B$88:$F$88, "")</f>
        <v>1.6E-2</v>
      </c>
      <c r="AD8">
        <f>$B$118</f>
        <v>0.75</v>
      </c>
      <c r="AE8">
        <f>$B$119</f>
        <v>0.2</v>
      </c>
      <c r="AF8">
        <f>IF($Y8="milkingCows",($H8*J8)+($I8*N8), 0)</f>
        <v>0.11649999999999999</v>
      </c>
      <c r="AG8">
        <f t="shared" ref="AG8:AI8" si="0">IF($Y8="milkingCows",($H8*K8)+($I8*O8), 0)</f>
        <v>0.11649999999999999</v>
      </c>
      <c r="AH8">
        <f t="shared" si="0"/>
        <v>0.11649999999999999</v>
      </c>
      <c r="AI8">
        <f t="shared" si="0"/>
        <v>0.11649999999999999</v>
      </c>
      <c r="AJ8">
        <f>IF($Y8="milkingCows",G8, 1)</f>
        <v>0.53400000000000003</v>
      </c>
      <c r="AK8">
        <f>IF(Y8="milkingCows", IF(W8&lt;&gt;"", W8, T8/((U8+V8)*0.01)), 0)</f>
        <v>15</v>
      </c>
      <c r="AL8">
        <f>$B$117</f>
        <v>1.03</v>
      </c>
      <c r="AM8">
        <f>$B$114</f>
        <v>3.0539999999999998</v>
      </c>
      <c r="AN8">
        <f>B$115</f>
        <v>18.399999999999999</v>
      </c>
      <c r="AO8">
        <f>$B$116</f>
        <v>0.6</v>
      </c>
      <c r="AP8">
        <f>0.795*(AD8)-0.0014</f>
        <v>0.5948500000000001</v>
      </c>
      <c r="AQ8">
        <f>(AK8*AL8*AM8)/(AN8*AO8*AP8)</f>
        <v>7.1849041227053947</v>
      </c>
      <c r="AR8">
        <f>IF(Y8="milkingCows",$P$75,$P$76)</f>
        <v>1.1000000000000001</v>
      </c>
      <c r="AS8">
        <f>IFERROR(((1.185+(0.00454*AB8)-(0.0000026*(AB8^2))+(0.315*AC8))^2*AR8+AQ8), "")</f>
        <v>16.439349643465398</v>
      </c>
      <c r="AT8">
        <f>IFERROR(((1.185+(0.00454*AB8)-(0.0000026*(AB8^2))+(0.315*AC8))^2*AR8+AQ8)/((1.185+(0.00454*AB8)-(0.0000026*(AB8^2)))^2*AR8+AQ8), "")</f>
        <v>1.0019584824738763</v>
      </c>
      <c r="AU8">
        <f>_xlfn.XLOOKUP(Y8, $B$86:$F$86, $B$87:$F$87, "")</f>
        <v>590</v>
      </c>
      <c r="AV8">
        <f>IFERROR(AB8/AU8, "")</f>
        <v>0.93220338983050843</v>
      </c>
      <c r="AW8">
        <f>$B$128</f>
        <v>6.25</v>
      </c>
      <c r="AX8">
        <f>IFERROR((((0.212 - (0.008*(AT8-2)) - (0.14-0.008*(AT8-2))/(1+EXP(-6*(AV8-0.4)))) * AC8 * 0.92)/AW8) + (0.032*AK8*AL8)/6.38, "")</f>
        <v>7.7675477144195801E-2</v>
      </c>
      <c r="AY8">
        <f>IFERROR(AE8*AS8, "")</f>
        <v>3.2878699286930799</v>
      </c>
      <c r="AZ8">
        <f>IF(ISNUMBER(FIND("PreWeaned",Y8)),"", (AY8/AW8)-AX8-(((1.1*10^-4)*(AB8^0.75))/AW8))</f>
        <v>0.44638484082535895</v>
      </c>
      <c r="BA8" t="str">
        <f>IF(ISNUMBER(FIND("PreWeaned",Y8)),_xlfn.XLOOKUP(Y8,$J$75:$J$76,$M$75:$M$76),"")</f>
        <v/>
      </c>
      <c r="BB8">
        <f>SUM(AZ8:BA8)*Z8*AA8</f>
        <v>32586.093380251205</v>
      </c>
      <c r="BC8">
        <f>$BB8*AF8</f>
        <v>3796.2798787992651</v>
      </c>
      <c r="BD8">
        <f>$BB8*AG8</f>
        <v>3796.2798787992651</v>
      </c>
      <c r="BE8">
        <f>$BB8*AH8</f>
        <v>3796.2798787992651</v>
      </c>
      <c r="BF8">
        <f>$BB8*AI8</f>
        <v>3796.2798787992651</v>
      </c>
      <c r="BG8">
        <f>$BB8*AJ8</f>
        <v>17400.973865054144</v>
      </c>
      <c r="BH8">
        <f>IF(E8, 1, 0)</f>
        <v>0</v>
      </c>
      <c r="BI8">
        <f>$B$127</f>
        <v>0.02</v>
      </c>
      <c r="BJ8">
        <f>$B$126</f>
        <v>0.24</v>
      </c>
      <c r="BK8">
        <f>BF8*$BH8*BI8</f>
        <v>0</v>
      </c>
      <c r="BL8">
        <f>$B$125</f>
        <v>1.0999999999999999E-2</v>
      </c>
      <c r="BM8">
        <f>$C$92</f>
        <v>0</v>
      </c>
      <c r="BN8">
        <f>$C$93</f>
        <v>0</v>
      </c>
      <c r="BO8">
        <f>$C$94</f>
        <v>0</v>
      </c>
      <c r="BP8">
        <f>$C$95</f>
        <v>5.0000000000000001E-3</v>
      </c>
      <c r="BQ8">
        <f>$C$96</f>
        <v>0</v>
      </c>
      <c r="BR8">
        <f>$D$92</f>
        <v>0.35</v>
      </c>
      <c r="BS8">
        <f>$D$93</f>
        <v>7.0000000000000007E-2</v>
      </c>
      <c r="BT8">
        <f>$D$94</f>
        <v>0.2</v>
      </c>
      <c r="BU8">
        <f>$D$95</f>
        <v>0.3</v>
      </c>
      <c r="BV8">
        <f>$B$124</f>
        <v>0.21</v>
      </c>
      <c r="BW8">
        <f>BC8*(1-BM8-BR8)</f>
        <v>2467.5819212195224</v>
      </c>
      <c r="BX8">
        <f>BD8*(1-BN8-BS8)</f>
        <v>3530.5402872833165</v>
      </c>
      <c r="BY8">
        <f>BE8*(1-BO8-BT8)</f>
        <v>3037.0239030394123</v>
      </c>
      <c r="BZ8">
        <f>BF8*(1-BP8-BU8)-BK8</f>
        <v>2638.4145157654893</v>
      </c>
      <c r="CA8">
        <v>0.8</v>
      </c>
      <c r="CB8">
        <f>_xlfn.XLOOKUP(D8,$A$107:$A$108,$B$107:$B$108)</f>
        <v>6.0000000000000001E-3</v>
      </c>
      <c r="CC8">
        <f>$B$123</f>
        <v>1.57</v>
      </c>
      <c r="CD8">
        <f>SUM(BW8:BZ8)*CA8</f>
        <v>9338.8485018461924</v>
      </c>
      <c r="CE8">
        <f>CD8*$CC8*$CB8/1000</f>
        <v>8.7971952887391139E-2</v>
      </c>
    </row>
    <row r="9" spans="1:83" x14ac:dyDescent="0.2">
      <c r="A9" t="s">
        <v>344</v>
      </c>
      <c r="C9" t="s">
        <v>393</v>
      </c>
      <c r="D9" t="s">
        <v>16</v>
      </c>
      <c r="E9" t="b">
        <v>0</v>
      </c>
      <c r="F9" t="s">
        <v>132</v>
      </c>
      <c r="G9">
        <v>0.53400000000000003</v>
      </c>
      <c r="H9">
        <v>0.11</v>
      </c>
      <c r="I9">
        <v>0.35599999999999998</v>
      </c>
      <c r="J9">
        <v>0.25</v>
      </c>
      <c r="K9">
        <v>0.25</v>
      </c>
      <c r="L9">
        <v>0.25</v>
      </c>
      <c r="M9">
        <v>0.25</v>
      </c>
      <c r="N9">
        <v>0.25</v>
      </c>
      <c r="O9">
        <v>0.25</v>
      </c>
      <c r="P9">
        <v>0.25</v>
      </c>
      <c r="Q9">
        <v>0.25</v>
      </c>
      <c r="R9" t="b">
        <v>1</v>
      </c>
      <c r="S9">
        <v>0.2</v>
      </c>
      <c r="W9" t="s">
        <v>122</v>
      </c>
      <c r="X9" t="s">
        <v>269</v>
      </c>
      <c r="Y9" t="s">
        <v>395</v>
      </c>
      <c r="Z9">
        <v>200</v>
      </c>
      <c r="AA9">
        <v>365</v>
      </c>
      <c r="AB9">
        <f t="shared" ref="AB9:AB14" si="1">INDEX($B$75:$H$84, MATCH(X9, $A$75:$A$84, 0), MATCH(Y9,$B$74:$H$74, 0))</f>
        <v>380</v>
      </c>
      <c r="AC9">
        <f t="shared" ref="AC9:AC14" si="2">_xlfn.XLOOKUP(Y9, $B$86:$F$86, $B$88:$F$88, "")</f>
        <v>0.6</v>
      </c>
      <c r="AD9">
        <f t="shared" ref="AD9:AD63" si="3">$B$118</f>
        <v>0.75</v>
      </c>
      <c r="AE9">
        <f t="shared" ref="AE9:AE63" si="4">$B$119</f>
        <v>0.2</v>
      </c>
      <c r="AF9">
        <f t="shared" ref="AF9:AF14" si="5">IF($Y9="milkingCows",($H9*J9)+($I9*N9), 0)</f>
        <v>0</v>
      </c>
      <c r="AG9">
        <f t="shared" ref="AG9:AG15" si="6">IF($Y9="milkingCows",($H9*K9)+($I9*O9), 0)</f>
        <v>0</v>
      </c>
      <c r="AH9">
        <f t="shared" ref="AH9:AH15" si="7">IF($Y9="milkingCows",($H9*L9)+($I9*P9), 0)</f>
        <v>0</v>
      </c>
      <c r="AI9">
        <f t="shared" ref="AI9:AI15" si="8">IF($Y9="milkingCows",($H9*M9)+($I9*Q9), 0)</f>
        <v>0</v>
      </c>
      <c r="AJ9">
        <f t="shared" ref="AJ9:AJ14" si="9">IF($Y9="milkingCows",G9, 1)</f>
        <v>1</v>
      </c>
      <c r="AK9">
        <f t="shared" ref="AK9:AK14" si="10">IF(Y9="milkingCows", IF(W9&lt;&gt;"", W9, T9/((U9+V9)*0.01)), 0)</f>
        <v>0</v>
      </c>
      <c r="AL9">
        <f t="shared" ref="AL9:AL63" si="11">$B$117</f>
        <v>1.03</v>
      </c>
      <c r="AM9">
        <f t="shared" ref="AM9:AM63" si="12">$B$114</f>
        <v>3.0539999999999998</v>
      </c>
      <c r="AN9">
        <f t="shared" ref="AN9:AN14" si="13">B$115</f>
        <v>18.399999999999999</v>
      </c>
      <c r="AO9">
        <f t="shared" ref="AO9:AO63" si="14">$B$116</f>
        <v>0.6</v>
      </c>
      <c r="AP9">
        <f t="shared" ref="AP9:AP14" si="15">0.795*(AD9)-0.0014</f>
        <v>0.5948500000000001</v>
      </c>
      <c r="AQ9">
        <f t="shared" ref="AQ9:AQ14" si="16">(AK9*AL9*AM9)/(AN9*AO9*AP9)</f>
        <v>0</v>
      </c>
      <c r="AR9">
        <f t="shared" ref="AR9:AR14" si="17">IF(Y9="milkingCows",$P$75,$P$76)</f>
        <v>1</v>
      </c>
      <c r="AS9">
        <f t="shared" ref="AS9:AS14" si="18">IFERROR(((1.185+(0.00454*AB9)-(0.0000026*(AB9^2))+(0.315*AC9))^2*AR9+AQ9), "")</f>
        <v>7.4188685375999972</v>
      </c>
      <c r="AT9">
        <f t="shared" ref="AT9:AT14" si="19">IFERROR(((1.185+(0.00454*AB9)-(0.0000026*(AB9^2))+(0.315*AC9))^2*AR9+AQ9)/((1.185+(0.00454*AB9)-(0.0000026*(AB9^2)))^2*AR9+AQ9), "")</f>
        <v>1.1546862260954116</v>
      </c>
      <c r="AU9">
        <f t="shared" ref="AU9:AU14" si="20">_xlfn.XLOOKUP(Y9, $B$86:$F$86, $B$87:$F$87, "")</f>
        <v>590</v>
      </c>
      <c r="AV9">
        <f t="shared" ref="AV9:AV14" si="21">IFERROR(AB9/AU9, "")</f>
        <v>0.64406779661016944</v>
      </c>
      <c r="AW9">
        <f t="shared" ref="AW9:AW63" si="22">$B$128</f>
        <v>6.25</v>
      </c>
      <c r="AX9">
        <f t="shared" ref="AX9:AX14" si="23">IFERROR((((0.212 - (0.008*(AT9-2)) - (0.14-0.008*(AT9-2))/(1+EXP(-6*(AV9-0.4)))) * AC9 * 0.92)/AW9) + (0.032*AK9*AL9)/6.38, "")</f>
        <v>8.7932411900846167E-3</v>
      </c>
      <c r="AY9">
        <f t="shared" ref="AY9:AY14" si="24">IFERROR(AE9*AS9, "")</f>
        <v>1.4837737075199995</v>
      </c>
      <c r="AZ9">
        <f t="shared" ref="AZ9:AZ14" si="25">IF(ISNUMBER(FIND("PreWeaned",Y9)),"", (AY9/AW9)-AX9-(((1.1*10^-4)*(AB9^0.75))/AW9))</f>
        <v>0.22709576921272823</v>
      </c>
      <c r="BA9" t="str">
        <f t="shared" ref="BA9:BA63" si="26">IF(ISNUMBER(FIND("PreWeaned",Y9)),_xlfn.XLOOKUP(Y9,$J$75:$J$76,$M$75:$M$76),"")</f>
        <v/>
      </c>
      <c r="BB9">
        <f t="shared" ref="BB9:BB14" si="27">SUM(AZ9:BA9)*Z9*AA9</f>
        <v>16577.991152529161</v>
      </c>
      <c r="BC9">
        <f t="shared" ref="BC9:BC14" si="28">$BB9*AF9</f>
        <v>0</v>
      </c>
      <c r="BD9">
        <f t="shared" ref="BD9:BD14" si="29">$BB9*AG9</f>
        <v>0</v>
      </c>
      <c r="BE9">
        <f t="shared" ref="BE9:BE14" si="30">$BB9*AH9</f>
        <v>0</v>
      </c>
      <c r="BF9">
        <f t="shared" ref="BF9:BF14" si="31">$BB9*AI9</f>
        <v>0</v>
      </c>
      <c r="BG9">
        <f t="shared" ref="BG9:BG14" si="32">$BB9*AJ9</f>
        <v>16577.991152529161</v>
      </c>
      <c r="BH9">
        <f t="shared" ref="BH9:BH14" si="33">IF(E9, 1, 0)</f>
        <v>0</v>
      </c>
      <c r="BI9">
        <f t="shared" ref="BI9:BI63" si="34">$B$127</f>
        <v>0.02</v>
      </c>
      <c r="BJ9">
        <f t="shared" ref="BJ9:BJ63" si="35">$B$126</f>
        <v>0.24</v>
      </c>
      <c r="BK9">
        <f t="shared" ref="BK9:BK14" si="36">BF9*$BH9*BI9</f>
        <v>0</v>
      </c>
      <c r="BL9">
        <f t="shared" ref="BL9:BL63" si="37">$B$125</f>
        <v>1.0999999999999999E-2</v>
      </c>
      <c r="BM9">
        <f t="shared" ref="BM9:BM63" si="38">$C$92</f>
        <v>0</v>
      </c>
      <c r="BN9">
        <f t="shared" ref="BN9:BN63" si="39">$C$93</f>
        <v>0</v>
      </c>
      <c r="BO9">
        <f t="shared" ref="BO9:BO63" si="40">$C$94</f>
        <v>0</v>
      </c>
      <c r="BP9">
        <f t="shared" ref="BP9:BP63" si="41">$C$95</f>
        <v>5.0000000000000001E-3</v>
      </c>
      <c r="BQ9">
        <f t="shared" ref="BQ9:BQ63" si="42">$C$96</f>
        <v>0</v>
      </c>
      <c r="BR9">
        <f t="shared" ref="BR9:BR63" si="43">$D$92</f>
        <v>0.35</v>
      </c>
      <c r="BS9">
        <f t="shared" ref="BS9:BS63" si="44">$D$93</f>
        <v>7.0000000000000007E-2</v>
      </c>
      <c r="BT9">
        <f t="shared" ref="BT9:BT63" si="45">$D$94</f>
        <v>0.2</v>
      </c>
      <c r="BU9">
        <f t="shared" ref="BU9:BU63" si="46">$D$95</f>
        <v>0.3</v>
      </c>
      <c r="BV9">
        <f t="shared" ref="BV9:BV63" si="47">$B$124</f>
        <v>0.21</v>
      </c>
      <c r="BW9">
        <f t="shared" ref="BW9:BW15" si="48">BC9*(1-BM9-BR9)</f>
        <v>0</v>
      </c>
      <c r="BX9">
        <f t="shared" ref="BX9:BX15" si="49">BD9*(1-BN9-BS9)</f>
        <v>0</v>
      </c>
      <c r="BY9">
        <f t="shared" ref="BY9:BY15" si="50">BE9*(1-BO9-BT9)</f>
        <v>0</v>
      </c>
      <c r="BZ9">
        <f t="shared" ref="BZ9:BZ15" si="51">BF9*(1-BP9-BU9)-BK9</f>
        <v>0</v>
      </c>
      <c r="CA9">
        <v>0.8</v>
      </c>
      <c r="CB9">
        <f t="shared" ref="CB9:CB15" si="52">_xlfn.XLOOKUP(D9,$A$107:$A$108,$B$107:$B$108)</f>
        <v>6.0000000000000001E-3</v>
      </c>
      <c r="CC9">
        <f t="shared" ref="CC9:CC63" si="53">$B$123</f>
        <v>1.57</v>
      </c>
    </row>
    <row r="10" spans="1:83" x14ac:dyDescent="0.2">
      <c r="A10" t="s">
        <v>344</v>
      </c>
      <c r="C10" t="s">
        <v>393</v>
      </c>
      <c r="D10" t="s">
        <v>16</v>
      </c>
      <c r="E10" t="b">
        <v>0</v>
      </c>
      <c r="F10" t="s">
        <v>132</v>
      </c>
      <c r="G10">
        <v>0.53400000000000003</v>
      </c>
      <c r="H10">
        <v>0.11</v>
      </c>
      <c r="I10">
        <v>0.35599999999999998</v>
      </c>
      <c r="J10">
        <v>0.25</v>
      </c>
      <c r="K10">
        <v>0.25</v>
      </c>
      <c r="L10">
        <v>0.25</v>
      </c>
      <c r="M10">
        <v>0.25</v>
      </c>
      <c r="N10">
        <v>0.25</v>
      </c>
      <c r="O10">
        <v>0.25</v>
      </c>
      <c r="P10">
        <v>0.25</v>
      </c>
      <c r="Q10">
        <v>0.25</v>
      </c>
      <c r="R10" t="b">
        <v>1</v>
      </c>
      <c r="S10">
        <v>0.2</v>
      </c>
      <c r="W10" t="s">
        <v>122</v>
      </c>
      <c r="X10" t="s">
        <v>269</v>
      </c>
      <c r="Y10" t="s">
        <v>396</v>
      </c>
      <c r="Z10">
        <v>200</v>
      </c>
      <c r="AA10">
        <v>84</v>
      </c>
      <c r="AB10">
        <f t="shared" si="1"/>
        <v>155</v>
      </c>
      <c r="AC10" t="str">
        <f t="shared" si="2"/>
        <v/>
      </c>
      <c r="AD10">
        <f t="shared" si="3"/>
        <v>0.75</v>
      </c>
      <c r="AE10">
        <f t="shared" si="4"/>
        <v>0.2</v>
      </c>
      <c r="AF10">
        <f t="shared" si="5"/>
        <v>0</v>
      </c>
      <c r="AG10">
        <f t="shared" si="6"/>
        <v>0</v>
      </c>
      <c r="AH10">
        <f t="shared" si="7"/>
        <v>0</v>
      </c>
      <c r="AI10">
        <f t="shared" si="8"/>
        <v>0</v>
      </c>
      <c r="AJ10">
        <f t="shared" si="9"/>
        <v>1</v>
      </c>
      <c r="AK10">
        <f t="shared" si="10"/>
        <v>0</v>
      </c>
      <c r="AL10">
        <f t="shared" si="11"/>
        <v>1.03</v>
      </c>
      <c r="AM10">
        <f t="shared" si="12"/>
        <v>3.0539999999999998</v>
      </c>
      <c r="AN10">
        <f t="shared" si="13"/>
        <v>18.399999999999999</v>
      </c>
      <c r="AO10">
        <f t="shared" si="14"/>
        <v>0.6</v>
      </c>
      <c r="AP10">
        <f t="shared" si="15"/>
        <v>0.5948500000000001</v>
      </c>
      <c r="AQ10">
        <f t="shared" si="16"/>
        <v>0</v>
      </c>
      <c r="AR10">
        <f t="shared" si="17"/>
        <v>1</v>
      </c>
      <c r="AS10" t="str">
        <f t="shared" si="18"/>
        <v/>
      </c>
      <c r="AT10" t="str">
        <f t="shared" si="19"/>
        <v/>
      </c>
      <c r="AU10" t="str">
        <f t="shared" si="20"/>
        <v/>
      </c>
      <c r="AV10" t="str">
        <f t="shared" si="21"/>
        <v/>
      </c>
      <c r="AW10">
        <f t="shared" si="22"/>
        <v>6.25</v>
      </c>
      <c r="AX10" t="str">
        <f t="shared" si="23"/>
        <v/>
      </c>
      <c r="AY10" t="str">
        <f t="shared" si="24"/>
        <v/>
      </c>
      <c r="AZ10" t="str">
        <f t="shared" si="25"/>
        <v/>
      </c>
      <c r="BA10">
        <f t="shared" si="26"/>
        <v>1.37E-2</v>
      </c>
      <c r="BB10">
        <f t="shared" si="27"/>
        <v>230.16000000000003</v>
      </c>
      <c r="BC10">
        <f t="shared" si="28"/>
        <v>0</v>
      </c>
      <c r="BD10">
        <f t="shared" si="29"/>
        <v>0</v>
      </c>
      <c r="BE10">
        <f t="shared" si="30"/>
        <v>0</v>
      </c>
      <c r="BF10">
        <f t="shared" si="31"/>
        <v>0</v>
      </c>
      <c r="BG10">
        <f t="shared" si="32"/>
        <v>230.16000000000003</v>
      </c>
      <c r="BH10">
        <f t="shared" si="33"/>
        <v>0</v>
      </c>
      <c r="BI10">
        <f t="shared" si="34"/>
        <v>0.02</v>
      </c>
      <c r="BJ10">
        <f t="shared" si="35"/>
        <v>0.24</v>
      </c>
      <c r="BK10">
        <f t="shared" si="36"/>
        <v>0</v>
      </c>
      <c r="BL10">
        <f t="shared" si="37"/>
        <v>1.0999999999999999E-2</v>
      </c>
      <c r="BM10">
        <f t="shared" si="38"/>
        <v>0</v>
      </c>
      <c r="BN10">
        <f t="shared" si="39"/>
        <v>0</v>
      </c>
      <c r="BO10">
        <f t="shared" si="40"/>
        <v>0</v>
      </c>
      <c r="BP10">
        <f t="shared" si="41"/>
        <v>5.0000000000000001E-3</v>
      </c>
      <c r="BQ10">
        <f t="shared" si="42"/>
        <v>0</v>
      </c>
      <c r="BR10">
        <f t="shared" si="43"/>
        <v>0.35</v>
      </c>
      <c r="BS10">
        <f t="shared" si="44"/>
        <v>7.0000000000000007E-2</v>
      </c>
      <c r="BT10">
        <f t="shared" si="45"/>
        <v>0.2</v>
      </c>
      <c r="BU10">
        <f t="shared" si="46"/>
        <v>0.3</v>
      </c>
      <c r="BV10">
        <f t="shared" si="47"/>
        <v>0.21</v>
      </c>
      <c r="BW10">
        <f t="shared" si="48"/>
        <v>0</v>
      </c>
      <c r="BX10">
        <f t="shared" si="49"/>
        <v>0</v>
      </c>
      <c r="BY10">
        <f t="shared" si="50"/>
        <v>0</v>
      </c>
      <c r="BZ10">
        <f t="shared" si="51"/>
        <v>0</v>
      </c>
      <c r="CA10">
        <v>0.8</v>
      </c>
      <c r="CB10">
        <f t="shared" si="52"/>
        <v>6.0000000000000001E-3</v>
      </c>
      <c r="CC10">
        <f t="shared" si="53"/>
        <v>1.57</v>
      </c>
    </row>
    <row r="11" spans="1:83" x14ac:dyDescent="0.2">
      <c r="A11" t="s">
        <v>344</v>
      </c>
      <c r="C11" t="s">
        <v>393</v>
      </c>
      <c r="D11" t="s">
        <v>16</v>
      </c>
      <c r="E11" t="b">
        <v>0</v>
      </c>
      <c r="F11" t="s">
        <v>132</v>
      </c>
      <c r="G11">
        <v>0.53400000000000003</v>
      </c>
      <c r="H11">
        <v>0.11</v>
      </c>
      <c r="I11">
        <v>0.35599999999999998</v>
      </c>
      <c r="J11">
        <v>0.25</v>
      </c>
      <c r="K11">
        <v>0.25</v>
      </c>
      <c r="L11">
        <v>0.25</v>
      </c>
      <c r="M11">
        <v>0.25</v>
      </c>
      <c r="N11">
        <v>0.25</v>
      </c>
      <c r="O11">
        <v>0.25</v>
      </c>
      <c r="P11">
        <v>0.25</v>
      </c>
      <c r="Q11">
        <v>0.25</v>
      </c>
      <c r="R11" t="b">
        <v>1</v>
      </c>
      <c r="S11">
        <v>0.2</v>
      </c>
      <c r="W11" t="s">
        <v>122</v>
      </c>
      <c r="X11" t="s">
        <v>269</v>
      </c>
      <c r="Y11" t="s">
        <v>397</v>
      </c>
      <c r="Z11">
        <v>200</v>
      </c>
      <c r="AA11">
        <v>281</v>
      </c>
      <c r="AB11">
        <f t="shared" si="1"/>
        <v>155</v>
      </c>
      <c r="AC11">
        <f t="shared" si="2"/>
        <v>0.56999999999999995</v>
      </c>
      <c r="AD11">
        <f t="shared" si="3"/>
        <v>0.75</v>
      </c>
      <c r="AE11">
        <f t="shared" si="4"/>
        <v>0.2</v>
      </c>
      <c r="AF11">
        <f t="shared" si="5"/>
        <v>0</v>
      </c>
      <c r="AG11">
        <f t="shared" si="6"/>
        <v>0</v>
      </c>
      <c r="AH11">
        <f t="shared" si="7"/>
        <v>0</v>
      </c>
      <c r="AI11">
        <f t="shared" si="8"/>
        <v>0</v>
      </c>
      <c r="AJ11">
        <f t="shared" si="9"/>
        <v>1</v>
      </c>
      <c r="AK11">
        <f t="shared" si="10"/>
        <v>0</v>
      </c>
      <c r="AL11">
        <f t="shared" si="11"/>
        <v>1.03</v>
      </c>
      <c r="AM11">
        <f t="shared" si="12"/>
        <v>3.0539999999999998</v>
      </c>
      <c r="AN11">
        <f t="shared" si="13"/>
        <v>18.399999999999999</v>
      </c>
      <c r="AO11">
        <f t="shared" si="14"/>
        <v>0.6</v>
      </c>
      <c r="AP11">
        <f t="shared" si="15"/>
        <v>0.5948500000000001</v>
      </c>
      <c r="AQ11">
        <f t="shared" si="16"/>
        <v>0</v>
      </c>
      <c r="AR11">
        <f t="shared" si="17"/>
        <v>1</v>
      </c>
      <c r="AS11">
        <f t="shared" si="18"/>
        <v>4.0231734662249998</v>
      </c>
      <c r="AT11">
        <f t="shared" si="19"/>
        <v>1.206300296845944</v>
      </c>
      <c r="AU11">
        <f t="shared" si="20"/>
        <v>590</v>
      </c>
      <c r="AV11">
        <f t="shared" si="21"/>
        <v>0.26271186440677968</v>
      </c>
      <c r="AW11">
        <f t="shared" si="22"/>
        <v>6.25</v>
      </c>
      <c r="AX11">
        <f t="shared" si="23"/>
        <v>1.4575548166167214E-2</v>
      </c>
      <c r="AY11">
        <f t="shared" si="24"/>
        <v>0.80463469324500003</v>
      </c>
      <c r="AZ11">
        <f t="shared" si="25"/>
        <v>0.1133928568810149</v>
      </c>
      <c r="BA11" t="str">
        <f t="shared" si="26"/>
        <v/>
      </c>
      <c r="BB11">
        <f t="shared" si="27"/>
        <v>6372.6785567130382</v>
      </c>
      <c r="BC11">
        <f t="shared" si="28"/>
        <v>0</v>
      </c>
      <c r="BD11">
        <f t="shared" si="29"/>
        <v>0</v>
      </c>
      <c r="BE11">
        <f t="shared" si="30"/>
        <v>0</v>
      </c>
      <c r="BF11">
        <f t="shared" si="31"/>
        <v>0</v>
      </c>
      <c r="BG11">
        <f t="shared" si="32"/>
        <v>6372.6785567130382</v>
      </c>
      <c r="BH11">
        <f t="shared" si="33"/>
        <v>0</v>
      </c>
      <c r="BI11">
        <f t="shared" si="34"/>
        <v>0.02</v>
      </c>
      <c r="BJ11">
        <f t="shared" si="35"/>
        <v>0.24</v>
      </c>
      <c r="BK11">
        <f t="shared" si="36"/>
        <v>0</v>
      </c>
      <c r="BL11">
        <f t="shared" si="37"/>
        <v>1.0999999999999999E-2</v>
      </c>
      <c r="BM11">
        <f t="shared" si="38"/>
        <v>0</v>
      </c>
      <c r="BN11">
        <f t="shared" si="39"/>
        <v>0</v>
      </c>
      <c r="BO11">
        <f t="shared" si="40"/>
        <v>0</v>
      </c>
      <c r="BP11">
        <f t="shared" si="41"/>
        <v>5.0000000000000001E-3</v>
      </c>
      <c r="BQ11">
        <f t="shared" si="42"/>
        <v>0</v>
      </c>
      <c r="BR11">
        <f t="shared" si="43"/>
        <v>0.35</v>
      </c>
      <c r="BS11">
        <f t="shared" si="44"/>
        <v>7.0000000000000007E-2</v>
      </c>
      <c r="BT11">
        <f t="shared" si="45"/>
        <v>0.2</v>
      </c>
      <c r="BU11">
        <f t="shared" si="46"/>
        <v>0.3</v>
      </c>
      <c r="BV11">
        <f t="shared" si="47"/>
        <v>0.21</v>
      </c>
      <c r="BW11">
        <f t="shared" si="48"/>
        <v>0</v>
      </c>
      <c r="BX11">
        <f t="shared" si="49"/>
        <v>0</v>
      </c>
      <c r="BY11">
        <f t="shared" si="50"/>
        <v>0</v>
      </c>
      <c r="BZ11">
        <f t="shared" si="51"/>
        <v>0</v>
      </c>
      <c r="CA11">
        <v>0.8</v>
      </c>
      <c r="CB11">
        <f t="shared" si="52"/>
        <v>6.0000000000000001E-3</v>
      </c>
      <c r="CC11">
        <f t="shared" si="53"/>
        <v>1.57</v>
      </c>
    </row>
    <row r="12" spans="1:83" x14ac:dyDescent="0.2">
      <c r="A12" t="s">
        <v>344</v>
      </c>
      <c r="C12" t="s">
        <v>393</v>
      </c>
      <c r="D12" t="s">
        <v>16</v>
      </c>
      <c r="E12" t="b">
        <v>0</v>
      </c>
      <c r="F12" t="s">
        <v>132</v>
      </c>
      <c r="G12">
        <v>0.53400000000000003</v>
      </c>
      <c r="H12">
        <v>0.11</v>
      </c>
      <c r="I12">
        <v>0.35599999999999998</v>
      </c>
      <c r="J12">
        <v>0.25</v>
      </c>
      <c r="K12">
        <v>0.25</v>
      </c>
      <c r="L12">
        <v>0.25</v>
      </c>
      <c r="M12">
        <v>0.25</v>
      </c>
      <c r="N12">
        <v>0.25</v>
      </c>
      <c r="O12">
        <v>0.25</v>
      </c>
      <c r="P12">
        <v>0.25</v>
      </c>
      <c r="Q12">
        <v>0.25</v>
      </c>
      <c r="R12" t="b">
        <v>1</v>
      </c>
      <c r="S12">
        <v>0.2</v>
      </c>
      <c r="W12" t="s">
        <v>122</v>
      </c>
      <c r="X12" t="s">
        <v>269</v>
      </c>
      <c r="Y12" t="s">
        <v>398</v>
      </c>
      <c r="Z12">
        <v>200</v>
      </c>
      <c r="AA12">
        <v>365</v>
      </c>
      <c r="AB12">
        <f t="shared" si="1"/>
        <v>600</v>
      </c>
      <c r="AC12">
        <f t="shared" si="2"/>
        <v>0.1</v>
      </c>
      <c r="AD12">
        <f t="shared" si="3"/>
        <v>0.75</v>
      </c>
      <c r="AE12">
        <f t="shared" si="4"/>
        <v>0.2</v>
      </c>
      <c r="AF12">
        <f t="shared" si="5"/>
        <v>0</v>
      </c>
      <c r="AG12">
        <f t="shared" si="6"/>
        <v>0</v>
      </c>
      <c r="AH12">
        <f t="shared" si="7"/>
        <v>0</v>
      </c>
      <c r="AI12">
        <f t="shared" si="8"/>
        <v>0</v>
      </c>
      <c r="AJ12">
        <f t="shared" si="9"/>
        <v>1</v>
      </c>
      <c r="AK12">
        <f t="shared" si="10"/>
        <v>0</v>
      </c>
      <c r="AL12">
        <f t="shared" si="11"/>
        <v>1.03</v>
      </c>
      <c r="AM12">
        <f t="shared" si="12"/>
        <v>3.0539999999999998</v>
      </c>
      <c r="AN12">
        <f t="shared" si="13"/>
        <v>18.399999999999999</v>
      </c>
      <c r="AO12">
        <f t="shared" si="14"/>
        <v>0.6</v>
      </c>
      <c r="AP12">
        <f t="shared" si="15"/>
        <v>0.5948500000000001</v>
      </c>
      <c r="AQ12">
        <f t="shared" si="16"/>
        <v>0</v>
      </c>
      <c r="AR12">
        <f t="shared" si="17"/>
        <v>1</v>
      </c>
      <c r="AS12">
        <f t="shared" si="18"/>
        <v>9.0270202499999979</v>
      </c>
      <c r="AT12">
        <f t="shared" si="19"/>
        <v>1.0213029780639273</v>
      </c>
      <c r="AU12">
        <f t="shared" si="20"/>
        <v>770</v>
      </c>
      <c r="AV12">
        <f t="shared" si="21"/>
        <v>0.77922077922077926</v>
      </c>
      <c r="AW12">
        <f t="shared" si="22"/>
        <v>6.25</v>
      </c>
      <c r="AX12">
        <f t="shared" si="23"/>
        <v>1.2626203146474679E-3</v>
      </c>
      <c r="AY12">
        <f t="shared" si="24"/>
        <v>1.8054040499999997</v>
      </c>
      <c r="AZ12">
        <f t="shared" si="25"/>
        <v>0.28546836331241399</v>
      </c>
      <c r="BA12" t="str">
        <f t="shared" si="26"/>
        <v/>
      </c>
      <c r="BB12">
        <f t="shared" si="27"/>
        <v>20839.19052180622</v>
      </c>
      <c r="BC12">
        <f t="shared" si="28"/>
        <v>0</v>
      </c>
      <c r="BD12">
        <f t="shared" si="29"/>
        <v>0</v>
      </c>
      <c r="BE12">
        <f t="shared" si="30"/>
        <v>0</v>
      </c>
      <c r="BF12">
        <f t="shared" si="31"/>
        <v>0</v>
      </c>
      <c r="BG12">
        <f t="shared" si="32"/>
        <v>20839.19052180622</v>
      </c>
      <c r="BH12">
        <f t="shared" si="33"/>
        <v>0</v>
      </c>
      <c r="BI12">
        <f t="shared" si="34"/>
        <v>0.02</v>
      </c>
      <c r="BJ12">
        <f t="shared" si="35"/>
        <v>0.24</v>
      </c>
      <c r="BK12">
        <f t="shared" si="36"/>
        <v>0</v>
      </c>
      <c r="BL12">
        <f t="shared" si="37"/>
        <v>1.0999999999999999E-2</v>
      </c>
      <c r="BM12">
        <f t="shared" si="38"/>
        <v>0</v>
      </c>
      <c r="BN12">
        <f t="shared" si="39"/>
        <v>0</v>
      </c>
      <c r="BO12">
        <f t="shared" si="40"/>
        <v>0</v>
      </c>
      <c r="BP12">
        <f t="shared" si="41"/>
        <v>5.0000000000000001E-3</v>
      </c>
      <c r="BQ12">
        <f t="shared" si="42"/>
        <v>0</v>
      </c>
      <c r="BR12">
        <f t="shared" si="43"/>
        <v>0.35</v>
      </c>
      <c r="BS12">
        <f t="shared" si="44"/>
        <v>7.0000000000000007E-2</v>
      </c>
      <c r="BT12">
        <f t="shared" si="45"/>
        <v>0.2</v>
      </c>
      <c r="BU12">
        <f t="shared" si="46"/>
        <v>0.3</v>
      </c>
      <c r="BV12">
        <f t="shared" si="47"/>
        <v>0.21</v>
      </c>
      <c r="BW12">
        <f t="shared" si="48"/>
        <v>0</v>
      </c>
      <c r="BX12">
        <f t="shared" si="49"/>
        <v>0</v>
      </c>
      <c r="BY12">
        <f t="shared" si="50"/>
        <v>0</v>
      </c>
      <c r="BZ12">
        <f t="shared" si="51"/>
        <v>0</v>
      </c>
      <c r="CA12">
        <v>0.8</v>
      </c>
      <c r="CB12">
        <f t="shared" si="52"/>
        <v>6.0000000000000001E-3</v>
      </c>
      <c r="CC12">
        <f t="shared" si="53"/>
        <v>1.57</v>
      </c>
    </row>
    <row r="13" spans="1:83" x14ac:dyDescent="0.2">
      <c r="A13" t="s">
        <v>344</v>
      </c>
      <c r="C13" t="s">
        <v>393</v>
      </c>
      <c r="D13" t="s">
        <v>16</v>
      </c>
      <c r="E13" t="b">
        <v>0</v>
      </c>
      <c r="F13" t="s">
        <v>132</v>
      </c>
      <c r="G13">
        <v>0.53400000000000003</v>
      </c>
      <c r="H13">
        <v>0.11</v>
      </c>
      <c r="I13">
        <v>0.35599999999999998</v>
      </c>
      <c r="J13">
        <v>0.25</v>
      </c>
      <c r="K13">
        <v>0.25</v>
      </c>
      <c r="L13">
        <v>0.25</v>
      </c>
      <c r="M13">
        <v>0.25</v>
      </c>
      <c r="N13">
        <v>0.25</v>
      </c>
      <c r="O13">
        <v>0.25</v>
      </c>
      <c r="P13">
        <v>0.25</v>
      </c>
      <c r="Q13">
        <v>0.25</v>
      </c>
      <c r="R13" t="b">
        <v>1</v>
      </c>
      <c r="S13">
        <v>0.2</v>
      </c>
      <c r="W13" t="s">
        <v>122</v>
      </c>
      <c r="X13" t="s">
        <v>269</v>
      </c>
      <c r="Y13" t="s">
        <v>399</v>
      </c>
      <c r="Z13">
        <v>200</v>
      </c>
      <c r="AA13">
        <v>84</v>
      </c>
      <c r="AB13">
        <f t="shared" si="1"/>
        <v>225</v>
      </c>
      <c r="AC13" t="str">
        <f t="shared" si="2"/>
        <v/>
      </c>
      <c r="AD13">
        <f t="shared" si="3"/>
        <v>0.75</v>
      </c>
      <c r="AE13">
        <f t="shared" si="4"/>
        <v>0.2</v>
      </c>
      <c r="AF13">
        <f t="shared" si="5"/>
        <v>0</v>
      </c>
      <c r="AG13">
        <f t="shared" si="6"/>
        <v>0</v>
      </c>
      <c r="AH13">
        <f t="shared" si="7"/>
        <v>0</v>
      </c>
      <c r="AI13">
        <f t="shared" si="8"/>
        <v>0</v>
      </c>
      <c r="AJ13">
        <f t="shared" si="9"/>
        <v>1</v>
      </c>
      <c r="AK13">
        <f t="shared" si="10"/>
        <v>0</v>
      </c>
      <c r="AL13">
        <f t="shared" si="11"/>
        <v>1.03</v>
      </c>
      <c r="AM13">
        <f t="shared" si="12"/>
        <v>3.0539999999999998</v>
      </c>
      <c r="AN13">
        <f t="shared" si="13"/>
        <v>18.399999999999999</v>
      </c>
      <c r="AO13">
        <f t="shared" si="14"/>
        <v>0.6</v>
      </c>
      <c r="AP13">
        <f t="shared" si="15"/>
        <v>0.5948500000000001</v>
      </c>
      <c r="AQ13">
        <f t="shared" si="16"/>
        <v>0</v>
      </c>
      <c r="AR13">
        <f t="shared" si="17"/>
        <v>1</v>
      </c>
      <c r="AS13" t="str">
        <f t="shared" si="18"/>
        <v/>
      </c>
      <c r="AT13" t="str">
        <f t="shared" si="19"/>
        <v/>
      </c>
      <c r="AU13" t="str">
        <f t="shared" si="20"/>
        <v/>
      </c>
      <c r="AV13" t="str">
        <f t="shared" si="21"/>
        <v/>
      </c>
      <c r="AW13">
        <f t="shared" si="22"/>
        <v>6.25</v>
      </c>
      <c r="AX13" t="str">
        <f t="shared" si="23"/>
        <v/>
      </c>
      <c r="AY13" t="str">
        <f t="shared" si="24"/>
        <v/>
      </c>
      <c r="AZ13" t="str">
        <f t="shared" si="25"/>
        <v/>
      </c>
      <c r="BA13">
        <f t="shared" si="26"/>
        <v>9.1999999999999998E-3</v>
      </c>
      <c r="BB13">
        <f t="shared" si="27"/>
        <v>154.56</v>
      </c>
      <c r="BC13">
        <f t="shared" si="28"/>
        <v>0</v>
      </c>
      <c r="BD13">
        <f t="shared" si="29"/>
        <v>0</v>
      </c>
      <c r="BE13">
        <f t="shared" si="30"/>
        <v>0</v>
      </c>
      <c r="BF13">
        <f t="shared" si="31"/>
        <v>0</v>
      </c>
      <c r="BG13">
        <f t="shared" si="32"/>
        <v>154.56</v>
      </c>
      <c r="BH13">
        <f t="shared" si="33"/>
        <v>0</v>
      </c>
      <c r="BI13">
        <f t="shared" si="34"/>
        <v>0.02</v>
      </c>
      <c r="BJ13">
        <f t="shared" si="35"/>
        <v>0.24</v>
      </c>
      <c r="BK13">
        <f t="shared" si="36"/>
        <v>0</v>
      </c>
      <c r="BL13">
        <f t="shared" si="37"/>
        <v>1.0999999999999999E-2</v>
      </c>
      <c r="BM13">
        <f t="shared" si="38"/>
        <v>0</v>
      </c>
      <c r="BN13">
        <f t="shared" si="39"/>
        <v>0</v>
      </c>
      <c r="BO13">
        <f t="shared" si="40"/>
        <v>0</v>
      </c>
      <c r="BP13">
        <f t="shared" si="41"/>
        <v>5.0000000000000001E-3</v>
      </c>
      <c r="BQ13">
        <f t="shared" si="42"/>
        <v>0</v>
      </c>
      <c r="BR13">
        <f t="shared" si="43"/>
        <v>0.35</v>
      </c>
      <c r="BS13">
        <f t="shared" si="44"/>
        <v>7.0000000000000007E-2</v>
      </c>
      <c r="BT13">
        <f t="shared" si="45"/>
        <v>0.2</v>
      </c>
      <c r="BU13">
        <f t="shared" si="46"/>
        <v>0.3</v>
      </c>
      <c r="BV13">
        <f t="shared" si="47"/>
        <v>0.21</v>
      </c>
      <c r="BW13">
        <f t="shared" si="48"/>
        <v>0</v>
      </c>
      <c r="BX13">
        <f t="shared" si="49"/>
        <v>0</v>
      </c>
      <c r="BY13">
        <f t="shared" si="50"/>
        <v>0</v>
      </c>
      <c r="BZ13">
        <f t="shared" si="51"/>
        <v>0</v>
      </c>
      <c r="CA13">
        <v>0.8</v>
      </c>
      <c r="CB13">
        <f t="shared" si="52"/>
        <v>6.0000000000000001E-3</v>
      </c>
      <c r="CC13">
        <f t="shared" si="53"/>
        <v>1.57</v>
      </c>
    </row>
    <row r="14" spans="1:83" s="3" customFormat="1" x14ac:dyDescent="0.2">
      <c r="A14" t="s">
        <v>344</v>
      </c>
      <c r="C14" s="3" t="s">
        <v>393</v>
      </c>
      <c r="D14" s="3" t="s">
        <v>16</v>
      </c>
      <c r="E14" s="3" t="b">
        <v>0</v>
      </c>
      <c r="F14" s="3" t="s">
        <v>132</v>
      </c>
      <c r="G14" s="3">
        <v>0.53400000000000003</v>
      </c>
      <c r="H14" s="3">
        <v>0.11</v>
      </c>
      <c r="I14" s="3">
        <v>0.35599999999999998</v>
      </c>
      <c r="J14" s="3">
        <v>0.25</v>
      </c>
      <c r="K14" s="3">
        <v>0.25</v>
      </c>
      <c r="L14" s="3">
        <v>0.25</v>
      </c>
      <c r="M14" s="3">
        <v>0.25</v>
      </c>
      <c r="N14" s="3">
        <v>0.25</v>
      </c>
      <c r="O14" s="3">
        <v>0.25</v>
      </c>
      <c r="P14" s="3">
        <v>0.25</v>
      </c>
      <c r="Q14" s="3">
        <v>0.25</v>
      </c>
      <c r="R14" s="3" t="b">
        <v>1</v>
      </c>
      <c r="S14" s="3">
        <v>0.2</v>
      </c>
      <c r="W14" s="3" t="s">
        <v>122</v>
      </c>
      <c r="X14" s="3" t="s">
        <v>269</v>
      </c>
      <c r="Y14" s="3" t="s">
        <v>400</v>
      </c>
      <c r="Z14" s="3">
        <v>200</v>
      </c>
      <c r="AA14" s="3">
        <v>281</v>
      </c>
      <c r="AB14" s="3">
        <f t="shared" si="1"/>
        <v>225</v>
      </c>
      <c r="AC14" s="3">
        <f t="shared" si="2"/>
        <v>0.8</v>
      </c>
      <c r="AD14" s="3">
        <f t="shared" si="3"/>
        <v>0.75</v>
      </c>
      <c r="AE14" s="3">
        <f t="shared" si="4"/>
        <v>0.2</v>
      </c>
      <c r="AF14" s="3">
        <f t="shared" si="5"/>
        <v>0</v>
      </c>
      <c r="AG14" s="3">
        <f t="shared" si="6"/>
        <v>0</v>
      </c>
      <c r="AH14" s="3">
        <f t="shared" si="7"/>
        <v>0</v>
      </c>
      <c r="AI14" s="3">
        <f t="shared" si="8"/>
        <v>0</v>
      </c>
      <c r="AJ14" s="3">
        <f t="shared" si="9"/>
        <v>1</v>
      </c>
      <c r="AK14" s="3">
        <f t="shared" si="10"/>
        <v>0</v>
      </c>
      <c r="AL14" s="3">
        <f t="shared" si="11"/>
        <v>1.03</v>
      </c>
      <c r="AM14" s="3">
        <f t="shared" si="12"/>
        <v>3.0539999999999998</v>
      </c>
      <c r="AN14" s="3">
        <f t="shared" si="13"/>
        <v>18.399999999999999</v>
      </c>
      <c r="AO14" s="3">
        <f t="shared" si="14"/>
        <v>0.6</v>
      </c>
      <c r="AP14" s="3">
        <f t="shared" si="15"/>
        <v>0.5948500000000001</v>
      </c>
      <c r="AQ14" s="3">
        <f t="shared" si="16"/>
        <v>0</v>
      </c>
      <c r="AR14" s="3">
        <f t="shared" si="17"/>
        <v>1</v>
      </c>
      <c r="AS14" s="3">
        <f t="shared" si="18"/>
        <v>5.4143472656250013</v>
      </c>
      <c r="AT14" s="3">
        <f t="shared" si="19"/>
        <v>1.2576570545672616</v>
      </c>
      <c r="AU14" s="3">
        <f t="shared" si="20"/>
        <v>770</v>
      </c>
      <c r="AV14" s="3">
        <f t="shared" si="21"/>
        <v>0.29220779220779219</v>
      </c>
      <c r="AW14" s="3">
        <f t="shared" si="22"/>
        <v>6.25</v>
      </c>
      <c r="AX14" s="3">
        <f t="shared" si="23"/>
        <v>1.9757354894894084E-2</v>
      </c>
      <c r="AY14" s="3">
        <f t="shared" si="24"/>
        <v>1.0828694531250003</v>
      </c>
      <c r="AZ14" s="3">
        <f t="shared" si="25"/>
        <v>0.15247929000170721</v>
      </c>
      <c r="BA14" s="3" t="str">
        <f t="shared" si="26"/>
        <v/>
      </c>
      <c r="BB14" s="3">
        <f t="shared" si="27"/>
        <v>8569.336098095946</v>
      </c>
      <c r="BC14" s="3">
        <f t="shared" si="28"/>
        <v>0</v>
      </c>
      <c r="BD14" s="3">
        <f t="shared" si="29"/>
        <v>0</v>
      </c>
      <c r="BE14" s="3">
        <f t="shared" si="30"/>
        <v>0</v>
      </c>
      <c r="BF14" s="3">
        <f t="shared" si="31"/>
        <v>0</v>
      </c>
      <c r="BG14" s="3">
        <f t="shared" si="32"/>
        <v>8569.336098095946</v>
      </c>
      <c r="BH14" s="3">
        <f t="shared" si="33"/>
        <v>0</v>
      </c>
      <c r="BI14" s="3">
        <f t="shared" si="34"/>
        <v>0.02</v>
      </c>
      <c r="BJ14" s="3">
        <f t="shared" si="35"/>
        <v>0.24</v>
      </c>
      <c r="BK14" s="3">
        <f t="shared" si="36"/>
        <v>0</v>
      </c>
      <c r="BL14" s="3">
        <f t="shared" si="37"/>
        <v>1.0999999999999999E-2</v>
      </c>
      <c r="BM14" s="3">
        <f t="shared" si="38"/>
        <v>0</v>
      </c>
      <c r="BN14" s="3">
        <f t="shared" si="39"/>
        <v>0</v>
      </c>
      <c r="BO14" s="3">
        <f t="shared" si="40"/>
        <v>0</v>
      </c>
      <c r="BP14" s="3">
        <f t="shared" si="41"/>
        <v>5.0000000000000001E-3</v>
      </c>
      <c r="BQ14" s="3">
        <f t="shared" si="42"/>
        <v>0</v>
      </c>
      <c r="BR14" s="3">
        <f t="shared" si="43"/>
        <v>0.35</v>
      </c>
      <c r="BS14" s="3">
        <f t="shared" si="44"/>
        <v>7.0000000000000007E-2</v>
      </c>
      <c r="BT14" s="3">
        <f t="shared" si="45"/>
        <v>0.2</v>
      </c>
      <c r="BU14" s="3">
        <f t="shared" si="46"/>
        <v>0.3</v>
      </c>
      <c r="BV14" s="3">
        <f t="shared" si="47"/>
        <v>0.21</v>
      </c>
      <c r="BW14" s="3">
        <f t="shared" si="48"/>
        <v>0</v>
      </c>
      <c r="BX14" s="3">
        <f t="shared" si="49"/>
        <v>0</v>
      </c>
      <c r="BY14" s="3">
        <f t="shared" si="50"/>
        <v>0</v>
      </c>
      <c r="BZ14" s="3">
        <f t="shared" si="51"/>
        <v>0</v>
      </c>
      <c r="CA14" s="3">
        <v>0.8</v>
      </c>
      <c r="CB14" s="3">
        <f t="shared" si="52"/>
        <v>6.0000000000000001E-3</v>
      </c>
      <c r="CC14" s="3">
        <f t="shared" si="53"/>
        <v>1.57</v>
      </c>
    </row>
    <row r="15" spans="1:83" x14ac:dyDescent="0.2">
      <c r="A15" t="s">
        <v>344</v>
      </c>
      <c r="C15" t="s">
        <v>401</v>
      </c>
      <c r="D15" t="s">
        <v>16</v>
      </c>
      <c r="E15" t="b">
        <v>1</v>
      </c>
      <c r="F15" t="s">
        <v>130</v>
      </c>
      <c r="G15">
        <v>0.79</v>
      </c>
      <c r="H15">
        <v>0.11</v>
      </c>
      <c r="I15">
        <v>0.1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 t="b">
        <v>1</v>
      </c>
      <c r="S15">
        <v>0.2</v>
      </c>
      <c r="T15">
        <v>3</v>
      </c>
      <c r="U15">
        <v>4</v>
      </c>
      <c r="V15">
        <v>3.3</v>
      </c>
      <c r="W15" t="s">
        <v>122</v>
      </c>
      <c r="X15" t="s">
        <v>270</v>
      </c>
      <c r="Y15" t="s">
        <v>394</v>
      </c>
      <c r="Z15">
        <v>200</v>
      </c>
      <c r="AA15">
        <v>365</v>
      </c>
      <c r="AB15">
        <f>INDEX($B$75:$H$84, MATCH(X15, $A$75:$A$84, 0), MATCH(Y15,$B$74:$H$74, 0))</f>
        <v>600</v>
      </c>
      <c r="AC15">
        <f>_xlfn.XLOOKUP(Y15, $B$86:$F$86, $B$88:$F$88, "")</f>
        <v>1.6E-2</v>
      </c>
      <c r="AD15">
        <f>$B$118</f>
        <v>0.75</v>
      </c>
      <c r="AE15">
        <f>$B$119</f>
        <v>0.2</v>
      </c>
      <c r="AF15">
        <f>IF($Y15="milkingCows",($H15*J15)+($I15*N15), 0)</f>
        <v>0.1</v>
      </c>
      <c r="AG15">
        <f t="shared" si="6"/>
        <v>0</v>
      </c>
      <c r="AH15">
        <f t="shared" si="7"/>
        <v>0.11</v>
      </c>
      <c r="AI15">
        <f t="shared" si="8"/>
        <v>0</v>
      </c>
      <c r="AJ15">
        <f>IF($Y15="milkingCows",G15, 1)</f>
        <v>0.79</v>
      </c>
      <c r="AK15">
        <f>IF(Y15="milkingCows", IF(W15&lt;&gt;"", W15, T15/((U15+V15)*0.01)), 0)</f>
        <v>41.095890410958908</v>
      </c>
      <c r="AL15">
        <f>$B$117</f>
        <v>1.03</v>
      </c>
      <c r="AM15">
        <f>$B$114</f>
        <v>3.0539999999999998</v>
      </c>
      <c r="AN15">
        <f>B$115</f>
        <v>18.399999999999999</v>
      </c>
      <c r="AO15">
        <f>$B$116</f>
        <v>0.6</v>
      </c>
      <c r="AP15">
        <f>0.795*(AD15)-0.0014</f>
        <v>0.5948500000000001</v>
      </c>
      <c r="AQ15">
        <f>(AK15*AL15*AM15)/(AN15*AO15*AP15)</f>
        <v>19.684668829329848</v>
      </c>
      <c r="AR15">
        <f>IF(Y15="milkingCows",$P$75,$P$76)</f>
        <v>1.1000000000000001</v>
      </c>
      <c r="AS15">
        <f>IFERROR(((1.185+(0.00454*AB15)-(0.0000026*(AB15^2))+(0.315*AC15))^2*AR15+AQ15), "")</f>
        <v>29.440263295089849</v>
      </c>
      <c r="AT15">
        <f>IFERROR(((1.185+(0.00454*AB15)-(0.0000026*(AB15^2))+(0.315*AC15))^2*AR15+AQ15)/((1.185+(0.00454*AB15)-(0.0000026*(AB15^2)))^2*AR15+AQ15), "")</f>
        <v>1.0011219186596292</v>
      </c>
      <c r="AU15">
        <f>_xlfn.XLOOKUP(Y15, $B$86:$F$86, $B$87:$F$87, "")</f>
        <v>590</v>
      </c>
      <c r="AV15">
        <f>IFERROR(AB15/AU15, "")</f>
        <v>1.0169491525423728</v>
      </c>
      <c r="AW15">
        <f>$B$128</f>
        <v>6.25</v>
      </c>
      <c r="AX15">
        <f>IFERROR((((0.212 - (0.008*(AT15-2)) - (0.14-0.008*(AT15-2))/(1+EXP(-6*(AV15-0.4)))) * AC15 * 0.92)/AW15) + (0.032*AK15*AL15)/6.38, "")</f>
        <v>0.21248526585418692</v>
      </c>
      <c r="AY15">
        <f>IFERROR(AE15*AS15, "")</f>
        <v>5.88805265901797</v>
      </c>
      <c r="AZ15">
        <f>IF(ISNUMBER(FIND("PreWeaned",Y15)),"", (AY15/AW15)-AX15-(((1.1*10^-4)*(AB15^0.75))/AW15))</f>
        <v>0.72746949521574977</v>
      </c>
      <c r="BA15" t="str">
        <f t="shared" si="26"/>
        <v/>
      </c>
      <c r="BB15">
        <f>SUM(AZ15:BA15)*Z15*AA15</f>
        <v>53105.27315074973</v>
      </c>
      <c r="BC15">
        <f>$BB15*AF15</f>
        <v>5310.5273150749736</v>
      </c>
      <c r="BD15">
        <f>$BB15*AG15</f>
        <v>0</v>
      </c>
      <c r="BE15">
        <f>$BB15*AH15</f>
        <v>5841.5800465824705</v>
      </c>
      <c r="BF15">
        <f>$BB15*AI15</f>
        <v>0</v>
      </c>
      <c r="BG15">
        <f>$BB15*AJ15</f>
        <v>41953.165789092287</v>
      </c>
      <c r="BH15">
        <f>IF(E15, 1, 0)</f>
        <v>1</v>
      </c>
      <c r="BI15">
        <f>$B$127</f>
        <v>0.02</v>
      </c>
      <c r="BJ15">
        <f>$B$126</f>
        <v>0.24</v>
      </c>
      <c r="BK15">
        <f>BF15*$BH15*BI15</f>
        <v>0</v>
      </c>
      <c r="BL15">
        <f t="shared" si="37"/>
        <v>1.0999999999999999E-2</v>
      </c>
      <c r="BM15">
        <f t="shared" si="38"/>
        <v>0</v>
      </c>
      <c r="BN15">
        <f t="shared" si="39"/>
        <v>0</v>
      </c>
      <c r="BO15">
        <f t="shared" si="40"/>
        <v>0</v>
      </c>
      <c r="BP15">
        <f t="shared" si="41"/>
        <v>5.0000000000000001E-3</v>
      </c>
      <c r="BQ15">
        <f t="shared" si="42"/>
        <v>0</v>
      </c>
      <c r="BR15">
        <f t="shared" si="43"/>
        <v>0.35</v>
      </c>
      <c r="BS15">
        <f t="shared" si="44"/>
        <v>7.0000000000000007E-2</v>
      </c>
      <c r="BT15">
        <f t="shared" si="45"/>
        <v>0.2</v>
      </c>
      <c r="BU15">
        <f t="shared" si="46"/>
        <v>0.3</v>
      </c>
      <c r="BV15">
        <f t="shared" si="47"/>
        <v>0.21</v>
      </c>
      <c r="BW15">
        <f t="shared" si="48"/>
        <v>3451.842754798733</v>
      </c>
      <c r="BX15">
        <f t="shared" si="49"/>
        <v>0</v>
      </c>
      <c r="BY15">
        <f t="shared" si="50"/>
        <v>4673.2640372659762</v>
      </c>
      <c r="BZ15">
        <f t="shared" si="51"/>
        <v>0</v>
      </c>
      <c r="CA15">
        <v>0.8</v>
      </c>
      <c r="CB15">
        <f t="shared" si="52"/>
        <v>6.0000000000000001E-3</v>
      </c>
      <c r="CC15">
        <f t="shared" si="53"/>
        <v>1.57</v>
      </c>
      <c r="CD15">
        <f>SUM(BW15:BZ15)*CA15</f>
        <v>6500.0854336517677</v>
      </c>
      <c r="CE15">
        <f>CD15*$CC15*$CB15/1000</f>
        <v>6.1230804784999655E-2</v>
      </c>
    </row>
    <row r="16" spans="1:83" x14ac:dyDescent="0.2">
      <c r="A16" t="s">
        <v>344</v>
      </c>
      <c r="C16" t="s">
        <v>401</v>
      </c>
      <c r="D16" t="s">
        <v>16</v>
      </c>
      <c r="E16" t="b">
        <v>1</v>
      </c>
      <c r="F16" t="s">
        <v>130</v>
      </c>
      <c r="G16">
        <v>0.79</v>
      </c>
      <c r="H16">
        <v>0.11</v>
      </c>
      <c r="I16">
        <v>0.1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 t="b">
        <v>1</v>
      </c>
      <c r="S16">
        <v>0.2</v>
      </c>
      <c r="W16" t="s">
        <v>122</v>
      </c>
      <c r="X16" t="s">
        <v>270</v>
      </c>
      <c r="Y16" t="s">
        <v>395</v>
      </c>
      <c r="Z16">
        <v>200</v>
      </c>
      <c r="AA16">
        <v>365</v>
      </c>
      <c r="AB16">
        <f t="shared" ref="AB16:AB29" si="54">INDEX($B$75:$H$84, MATCH(X16, $A$75:$A$84, 0), MATCH(Y16,$B$74:$H$74, 0))</f>
        <v>415</v>
      </c>
      <c r="AC16">
        <f t="shared" ref="AC16:AC29" si="55">_xlfn.XLOOKUP(Y16, $B$86:$F$86, $B$88:$F$88, "")</f>
        <v>0.6</v>
      </c>
      <c r="AD16">
        <f t="shared" si="3"/>
        <v>0.75</v>
      </c>
      <c r="AE16">
        <f t="shared" si="4"/>
        <v>0.2</v>
      </c>
      <c r="AF16">
        <f t="shared" ref="AF16:AF29" si="56">IF($Y16="milkingCows",($H16*J16)+($I16*N16), 0)</f>
        <v>0</v>
      </c>
      <c r="AG16">
        <f t="shared" ref="AG16:AG29" si="57">IF($Y16="milkingCows",($H16*K16)+($I16*O16), 0)</f>
        <v>0</v>
      </c>
      <c r="AH16">
        <f t="shared" ref="AH16:AH29" si="58">IF($Y16="milkingCows",($H16*L16)+($I16*P16), 0)</f>
        <v>0</v>
      </c>
      <c r="AI16">
        <f t="shared" ref="AI16:AI29" si="59">IF($Y16="milkingCows",($H16*M16)+($I16*Q16), 0)</f>
        <v>0</v>
      </c>
      <c r="AJ16">
        <f t="shared" ref="AJ16:AJ29" si="60">IF($Y16="milkingCows",G16, 1)</f>
        <v>1</v>
      </c>
      <c r="AK16">
        <f t="shared" ref="AK16:AK29" si="61">IF(Y16="milkingCows", IF(W16&lt;&gt;"", W16, T16/((U16+V16)*0.01)), 0)</f>
        <v>0</v>
      </c>
      <c r="AL16">
        <f t="shared" si="11"/>
        <v>1.03</v>
      </c>
      <c r="AM16">
        <f t="shared" si="12"/>
        <v>3.0539999999999998</v>
      </c>
      <c r="AN16">
        <f t="shared" ref="AN16:AN29" si="62">B$115</f>
        <v>18.399999999999999</v>
      </c>
      <c r="AO16">
        <f t="shared" si="14"/>
        <v>0.6</v>
      </c>
      <c r="AP16">
        <f t="shared" ref="AP16:AP29" si="63">0.795*(AD16)-0.0014</f>
        <v>0.5948500000000001</v>
      </c>
      <c r="AQ16">
        <f t="shared" ref="AQ16:AQ29" si="64">(AK16*AL16*AM16)/(AN16*AO16*AP16)</f>
        <v>0</v>
      </c>
      <c r="AR16">
        <f t="shared" ref="AR16:AR29" si="65">IF(Y16="milkingCows",$P$75,$P$76)</f>
        <v>1</v>
      </c>
      <c r="AS16">
        <f t="shared" ref="AS16:AS29" si="66">IFERROR(((1.185+(0.00454*AB16)-(0.0000026*(AB16^2))+(0.315*AC16))^2*AR16+AQ16), "")</f>
        <v>7.8978703992249981</v>
      </c>
      <c r="AT16">
        <f t="shared" ref="AT16:AT29" si="67">IFERROR(((1.185+(0.00454*AB16)-(0.0000026*(AB16^2))+(0.315*AC16))^2*AR16+AQ16)/((1.185+(0.00454*AB16)-(0.0000026*(AB16^2)))^2*AR16+AQ16), "")</f>
        <v>1.1494010181510916</v>
      </c>
      <c r="AU16">
        <f t="shared" ref="AU16:AU29" si="68">_xlfn.XLOOKUP(Y16, $B$86:$F$86, $B$87:$F$87, "")</f>
        <v>590</v>
      </c>
      <c r="AV16">
        <f t="shared" ref="AV16:AV29" si="69">IFERROR(AB16/AU16, "")</f>
        <v>0.70338983050847459</v>
      </c>
      <c r="AW16">
        <f t="shared" si="22"/>
        <v>6.25</v>
      </c>
      <c r="AX16">
        <f t="shared" ref="AX16:AX29" si="70">IFERROR((((0.212 - (0.008*(AT16-2)) - (0.14-0.008*(AT16-2))/(1+EXP(-6*(AV16-0.4)))) * AC16 * 0.92)/AW16) + (0.032*AK16*AL16)/6.38, "")</f>
        <v>8.1663842777947686E-3</v>
      </c>
      <c r="AY16">
        <f t="shared" ref="AY16:AY29" si="71">IFERROR(AE16*AS16, "")</f>
        <v>1.5795740798449998</v>
      </c>
      <c r="AZ16">
        <f t="shared" ref="AZ16:AZ29" si="72">IF(ISNUMBER(FIND("PreWeaned",Y16)),"", (AY16/AW16)-AX16-(((1.1*10^-4)*(AB16^0.75))/AW16))</f>
        <v>0.24294720685439194</v>
      </c>
      <c r="BA16" t="str">
        <f t="shared" si="26"/>
        <v/>
      </c>
      <c r="BB16">
        <f t="shared" ref="BB16:BB29" si="73">SUM(AZ16:BA16)*Z16*AA16</f>
        <v>17735.146100370614</v>
      </c>
      <c r="BC16">
        <f t="shared" ref="BC16:BC29" si="74">$BB16*AF16</f>
        <v>0</v>
      </c>
      <c r="BD16">
        <f t="shared" ref="BD16:BD29" si="75">$BB16*AG16</f>
        <v>0</v>
      </c>
      <c r="BE16">
        <f t="shared" ref="BE16:BE29" si="76">$BB16*AH16</f>
        <v>0</v>
      </c>
      <c r="BF16">
        <f t="shared" ref="BF16:BF29" si="77">$BB16*AI16</f>
        <v>0</v>
      </c>
      <c r="BG16">
        <f t="shared" ref="BG16:BG29" si="78">$BB16*AJ16</f>
        <v>17735.146100370614</v>
      </c>
      <c r="BH16">
        <f t="shared" ref="BH16:BH29" si="79">IF(E16, 1, 0)</f>
        <v>1</v>
      </c>
      <c r="BI16">
        <f t="shared" si="34"/>
        <v>0.02</v>
      </c>
      <c r="BJ16">
        <f t="shared" si="35"/>
        <v>0.24</v>
      </c>
      <c r="BK16">
        <f t="shared" ref="BK16:BK29" si="80">BF16*$BH16*BI16</f>
        <v>0</v>
      </c>
      <c r="BL16">
        <f t="shared" si="37"/>
        <v>1.0999999999999999E-2</v>
      </c>
      <c r="BM16">
        <f t="shared" si="38"/>
        <v>0</v>
      </c>
      <c r="BN16">
        <f t="shared" si="39"/>
        <v>0</v>
      </c>
      <c r="BO16">
        <f t="shared" si="40"/>
        <v>0</v>
      </c>
      <c r="BP16">
        <f t="shared" si="41"/>
        <v>5.0000000000000001E-3</v>
      </c>
      <c r="BQ16">
        <f t="shared" si="42"/>
        <v>0</v>
      </c>
      <c r="BR16">
        <f t="shared" si="43"/>
        <v>0.35</v>
      </c>
      <c r="BS16">
        <f t="shared" si="44"/>
        <v>7.0000000000000007E-2</v>
      </c>
      <c r="BT16">
        <f t="shared" si="45"/>
        <v>0.2</v>
      </c>
      <c r="BU16">
        <f t="shared" si="46"/>
        <v>0.3</v>
      </c>
      <c r="BV16">
        <f t="shared" si="47"/>
        <v>0.21</v>
      </c>
      <c r="BW16">
        <f t="shared" ref="BW16:BW36" si="81">BC16*(1-BM16-BR16)</f>
        <v>0</v>
      </c>
      <c r="BX16">
        <f t="shared" ref="BX16:BX36" si="82">BD16*(1-BN16-BS16)</f>
        <v>0</v>
      </c>
      <c r="BY16">
        <f t="shared" ref="BY16:BY36" si="83">BE16*(1-BO16-BT16)</f>
        <v>0</v>
      </c>
      <c r="BZ16">
        <f t="shared" ref="BZ16:BZ36" si="84">BF16*(1-BP16-BU16)-BK16</f>
        <v>0</v>
      </c>
      <c r="CA16">
        <v>0.8</v>
      </c>
      <c r="CB16">
        <f t="shared" ref="CB16:CB36" si="85">_xlfn.XLOOKUP(D16,$A$107:$A$108,$B$107:$B$108)</f>
        <v>6.0000000000000001E-3</v>
      </c>
      <c r="CC16">
        <f t="shared" si="53"/>
        <v>1.57</v>
      </c>
    </row>
    <row r="17" spans="1:83" x14ac:dyDescent="0.2">
      <c r="A17" t="s">
        <v>344</v>
      </c>
      <c r="C17" t="s">
        <v>401</v>
      </c>
      <c r="D17" t="s">
        <v>16</v>
      </c>
      <c r="E17" t="b">
        <v>1</v>
      </c>
      <c r="F17" t="s">
        <v>130</v>
      </c>
      <c r="G17">
        <v>0.79</v>
      </c>
      <c r="H17">
        <v>0.11</v>
      </c>
      <c r="I17">
        <v>0.1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 t="b">
        <v>1</v>
      </c>
      <c r="S17">
        <v>0.2</v>
      </c>
      <c r="W17" t="s">
        <v>122</v>
      </c>
      <c r="X17" t="s">
        <v>270</v>
      </c>
      <c r="Y17" t="s">
        <v>396</v>
      </c>
      <c r="Z17">
        <v>200</v>
      </c>
      <c r="AA17">
        <v>84</v>
      </c>
      <c r="AB17">
        <f t="shared" si="54"/>
        <v>170</v>
      </c>
      <c r="AC17" t="str">
        <f t="shared" si="55"/>
        <v/>
      </c>
      <c r="AD17">
        <f t="shared" si="3"/>
        <v>0.75</v>
      </c>
      <c r="AE17">
        <f t="shared" si="4"/>
        <v>0.2</v>
      </c>
      <c r="AF17">
        <f t="shared" si="56"/>
        <v>0</v>
      </c>
      <c r="AG17">
        <f t="shared" si="57"/>
        <v>0</v>
      </c>
      <c r="AH17">
        <f t="shared" si="58"/>
        <v>0</v>
      </c>
      <c r="AI17">
        <f t="shared" si="59"/>
        <v>0</v>
      </c>
      <c r="AJ17">
        <f t="shared" si="60"/>
        <v>1</v>
      </c>
      <c r="AK17">
        <f t="shared" si="61"/>
        <v>0</v>
      </c>
      <c r="AL17">
        <f t="shared" si="11"/>
        <v>1.03</v>
      </c>
      <c r="AM17">
        <f t="shared" si="12"/>
        <v>3.0539999999999998</v>
      </c>
      <c r="AN17">
        <f t="shared" si="62"/>
        <v>18.399999999999999</v>
      </c>
      <c r="AO17">
        <f t="shared" si="14"/>
        <v>0.6</v>
      </c>
      <c r="AP17">
        <f t="shared" si="63"/>
        <v>0.5948500000000001</v>
      </c>
      <c r="AQ17">
        <f t="shared" si="64"/>
        <v>0</v>
      </c>
      <c r="AR17">
        <f t="shared" si="65"/>
        <v>1</v>
      </c>
      <c r="AS17" t="str">
        <f t="shared" si="66"/>
        <v/>
      </c>
      <c r="AT17" t="str">
        <f t="shared" si="67"/>
        <v/>
      </c>
      <c r="AU17" t="str">
        <f t="shared" si="68"/>
        <v/>
      </c>
      <c r="AV17" t="str">
        <f t="shared" si="69"/>
        <v/>
      </c>
      <c r="AW17">
        <f t="shared" si="22"/>
        <v>6.25</v>
      </c>
      <c r="AX17" t="str">
        <f t="shared" si="70"/>
        <v/>
      </c>
      <c r="AY17" t="str">
        <f t="shared" si="71"/>
        <v/>
      </c>
      <c r="AZ17" t="str">
        <f t="shared" si="72"/>
        <v/>
      </c>
      <c r="BA17">
        <f t="shared" si="26"/>
        <v>1.37E-2</v>
      </c>
      <c r="BB17">
        <f t="shared" si="73"/>
        <v>230.16000000000003</v>
      </c>
      <c r="BC17">
        <f t="shared" si="74"/>
        <v>0</v>
      </c>
      <c r="BD17">
        <f t="shared" si="75"/>
        <v>0</v>
      </c>
      <c r="BE17">
        <f t="shared" si="76"/>
        <v>0</v>
      </c>
      <c r="BF17">
        <f t="shared" si="77"/>
        <v>0</v>
      </c>
      <c r="BG17">
        <f t="shared" si="78"/>
        <v>230.16000000000003</v>
      </c>
      <c r="BH17">
        <f t="shared" si="79"/>
        <v>1</v>
      </c>
      <c r="BI17">
        <f t="shared" si="34"/>
        <v>0.02</v>
      </c>
      <c r="BJ17">
        <f t="shared" si="35"/>
        <v>0.24</v>
      </c>
      <c r="BK17">
        <f t="shared" si="80"/>
        <v>0</v>
      </c>
      <c r="BL17">
        <f t="shared" si="37"/>
        <v>1.0999999999999999E-2</v>
      </c>
      <c r="BM17">
        <f t="shared" si="38"/>
        <v>0</v>
      </c>
      <c r="BN17">
        <f t="shared" si="39"/>
        <v>0</v>
      </c>
      <c r="BO17">
        <f t="shared" si="40"/>
        <v>0</v>
      </c>
      <c r="BP17">
        <f t="shared" si="41"/>
        <v>5.0000000000000001E-3</v>
      </c>
      <c r="BQ17">
        <f t="shared" si="42"/>
        <v>0</v>
      </c>
      <c r="BR17">
        <f t="shared" si="43"/>
        <v>0.35</v>
      </c>
      <c r="BS17">
        <f t="shared" si="44"/>
        <v>7.0000000000000007E-2</v>
      </c>
      <c r="BT17">
        <f t="shared" si="45"/>
        <v>0.2</v>
      </c>
      <c r="BU17">
        <f t="shared" si="46"/>
        <v>0.3</v>
      </c>
      <c r="BV17">
        <f t="shared" si="47"/>
        <v>0.21</v>
      </c>
      <c r="BW17">
        <f t="shared" si="81"/>
        <v>0</v>
      </c>
      <c r="BX17">
        <f t="shared" si="82"/>
        <v>0</v>
      </c>
      <c r="BY17">
        <f t="shared" si="83"/>
        <v>0</v>
      </c>
      <c r="BZ17">
        <f t="shared" si="84"/>
        <v>0</v>
      </c>
      <c r="CA17">
        <v>0.8</v>
      </c>
      <c r="CB17">
        <f t="shared" si="85"/>
        <v>6.0000000000000001E-3</v>
      </c>
      <c r="CC17">
        <f t="shared" si="53"/>
        <v>1.57</v>
      </c>
    </row>
    <row r="18" spans="1:83" x14ac:dyDescent="0.2">
      <c r="A18" t="s">
        <v>344</v>
      </c>
      <c r="C18" t="s">
        <v>401</v>
      </c>
      <c r="D18" t="s">
        <v>16</v>
      </c>
      <c r="E18" t="b">
        <v>1</v>
      </c>
      <c r="F18" t="s">
        <v>130</v>
      </c>
      <c r="G18">
        <v>0.79</v>
      </c>
      <c r="H18">
        <v>0.11</v>
      </c>
      <c r="I18">
        <v>0.1</v>
      </c>
      <c r="J18">
        <v>0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  <c r="Q18">
        <v>0</v>
      </c>
      <c r="R18" t="b">
        <v>1</v>
      </c>
      <c r="S18">
        <v>0.2</v>
      </c>
      <c r="W18" t="s">
        <v>122</v>
      </c>
      <c r="X18" t="s">
        <v>270</v>
      </c>
      <c r="Y18" t="s">
        <v>397</v>
      </c>
      <c r="Z18">
        <v>200</v>
      </c>
      <c r="AA18">
        <v>281</v>
      </c>
      <c r="AB18">
        <f t="shared" si="54"/>
        <v>170</v>
      </c>
      <c r="AC18">
        <f t="shared" si="55"/>
        <v>0.56999999999999995</v>
      </c>
      <c r="AD18">
        <f t="shared" si="3"/>
        <v>0.75</v>
      </c>
      <c r="AE18">
        <f t="shared" si="4"/>
        <v>0.2</v>
      </c>
      <c r="AF18">
        <f t="shared" si="56"/>
        <v>0</v>
      </c>
      <c r="AG18">
        <f t="shared" si="57"/>
        <v>0</v>
      </c>
      <c r="AH18">
        <f t="shared" si="58"/>
        <v>0</v>
      </c>
      <c r="AI18">
        <f t="shared" si="59"/>
        <v>0</v>
      </c>
      <c r="AJ18">
        <f t="shared" si="60"/>
        <v>1</v>
      </c>
      <c r="AK18">
        <f t="shared" si="61"/>
        <v>0</v>
      </c>
      <c r="AL18">
        <f t="shared" si="11"/>
        <v>1.03</v>
      </c>
      <c r="AM18">
        <f t="shared" si="12"/>
        <v>3.0539999999999998</v>
      </c>
      <c r="AN18">
        <f t="shared" si="62"/>
        <v>18.399999999999999</v>
      </c>
      <c r="AO18">
        <f t="shared" si="14"/>
        <v>0.6</v>
      </c>
      <c r="AP18">
        <f t="shared" si="63"/>
        <v>0.5948500000000001</v>
      </c>
      <c r="AQ18">
        <f t="shared" si="64"/>
        <v>0</v>
      </c>
      <c r="AR18">
        <f t="shared" si="65"/>
        <v>1</v>
      </c>
      <c r="AS18">
        <f t="shared" si="66"/>
        <v>4.2485866641000003</v>
      </c>
      <c r="AT18">
        <f t="shared" si="67"/>
        <v>1.1999473082859327</v>
      </c>
      <c r="AU18">
        <f t="shared" si="68"/>
        <v>590</v>
      </c>
      <c r="AV18">
        <f t="shared" si="69"/>
        <v>0.28813559322033899</v>
      </c>
      <c r="AW18">
        <f t="shared" si="22"/>
        <v>6.25</v>
      </c>
      <c r="AX18">
        <f t="shared" si="70"/>
        <v>1.4169978295569003E-2</v>
      </c>
      <c r="AY18">
        <f t="shared" si="71"/>
        <v>0.84971733282000006</v>
      </c>
      <c r="AZ18">
        <f t="shared" si="72"/>
        <v>0.1209561865037117</v>
      </c>
      <c r="BA18" t="str">
        <f t="shared" si="26"/>
        <v/>
      </c>
      <c r="BB18">
        <f t="shared" si="73"/>
        <v>6797.7376815085972</v>
      </c>
      <c r="BC18">
        <f t="shared" si="74"/>
        <v>0</v>
      </c>
      <c r="BD18">
        <f t="shared" si="75"/>
        <v>0</v>
      </c>
      <c r="BE18">
        <f t="shared" si="76"/>
        <v>0</v>
      </c>
      <c r="BF18">
        <f t="shared" si="77"/>
        <v>0</v>
      </c>
      <c r="BG18">
        <f t="shared" si="78"/>
        <v>6797.7376815085972</v>
      </c>
      <c r="BH18">
        <f t="shared" si="79"/>
        <v>1</v>
      </c>
      <c r="BI18">
        <f t="shared" si="34"/>
        <v>0.02</v>
      </c>
      <c r="BJ18">
        <f t="shared" si="35"/>
        <v>0.24</v>
      </c>
      <c r="BK18">
        <f t="shared" si="80"/>
        <v>0</v>
      </c>
      <c r="BL18">
        <f t="shared" si="37"/>
        <v>1.0999999999999999E-2</v>
      </c>
      <c r="BM18">
        <f t="shared" si="38"/>
        <v>0</v>
      </c>
      <c r="BN18">
        <f t="shared" si="39"/>
        <v>0</v>
      </c>
      <c r="BO18">
        <f t="shared" si="40"/>
        <v>0</v>
      </c>
      <c r="BP18">
        <f t="shared" si="41"/>
        <v>5.0000000000000001E-3</v>
      </c>
      <c r="BQ18">
        <f t="shared" si="42"/>
        <v>0</v>
      </c>
      <c r="BR18">
        <f t="shared" si="43"/>
        <v>0.35</v>
      </c>
      <c r="BS18">
        <f t="shared" si="44"/>
        <v>7.0000000000000007E-2</v>
      </c>
      <c r="BT18">
        <f t="shared" si="45"/>
        <v>0.2</v>
      </c>
      <c r="BU18">
        <f t="shared" si="46"/>
        <v>0.3</v>
      </c>
      <c r="BV18">
        <f t="shared" si="47"/>
        <v>0.21</v>
      </c>
      <c r="BW18">
        <f t="shared" si="81"/>
        <v>0</v>
      </c>
      <c r="BX18">
        <f t="shared" si="82"/>
        <v>0</v>
      </c>
      <c r="BY18">
        <f t="shared" si="83"/>
        <v>0</v>
      </c>
      <c r="BZ18">
        <f t="shared" si="84"/>
        <v>0</v>
      </c>
      <c r="CA18">
        <v>0.8</v>
      </c>
      <c r="CB18">
        <f t="shared" si="85"/>
        <v>6.0000000000000001E-3</v>
      </c>
      <c r="CC18">
        <f t="shared" si="53"/>
        <v>1.57</v>
      </c>
    </row>
    <row r="19" spans="1:83" x14ac:dyDescent="0.2">
      <c r="A19" t="s">
        <v>344</v>
      </c>
      <c r="C19" t="s">
        <v>401</v>
      </c>
      <c r="D19" t="s">
        <v>16</v>
      </c>
      <c r="E19" t="b">
        <v>1</v>
      </c>
      <c r="F19" t="s">
        <v>130</v>
      </c>
      <c r="G19">
        <v>0.79</v>
      </c>
      <c r="H19">
        <v>0.11</v>
      </c>
      <c r="I19">
        <v>0.1</v>
      </c>
      <c r="J19">
        <v>0</v>
      </c>
      <c r="K19">
        <v>0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 t="b">
        <v>1</v>
      </c>
      <c r="S19">
        <v>0.2</v>
      </c>
      <c r="W19" t="s">
        <v>122</v>
      </c>
      <c r="X19" t="s">
        <v>270</v>
      </c>
      <c r="Y19" t="s">
        <v>398</v>
      </c>
      <c r="Z19">
        <v>200</v>
      </c>
      <c r="AA19">
        <v>365</v>
      </c>
      <c r="AB19">
        <f t="shared" si="54"/>
        <v>600</v>
      </c>
      <c r="AC19">
        <f t="shared" si="55"/>
        <v>0.1</v>
      </c>
      <c r="AD19">
        <f t="shared" si="3"/>
        <v>0.75</v>
      </c>
      <c r="AE19">
        <f t="shared" si="4"/>
        <v>0.2</v>
      </c>
      <c r="AF19">
        <f t="shared" si="56"/>
        <v>0</v>
      </c>
      <c r="AG19">
        <f t="shared" si="57"/>
        <v>0</v>
      </c>
      <c r="AH19">
        <f t="shared" si="58"/>
        <v>0</v>
      </c>
      <c r="AI19">
        <f t="shared" si="59"/>
        <v>0</v>
      </c>
      <c r="AJ19">
        <f t="shared" si="60"/>
        <v>1</v>
      </c>
      <c r="AK19">
        <f t="shared" si="61"/>
        <v>0</v>
      </c>
      <c r="AL19">
        <f t="shared" si="11"/>
        <v>1.03</v>
      </c>
      <c r="AM19">
        <f t="shared" si="12"/>
        <v>3.0539999999999998</v>
      </c>
      <c r="AN19">
        <f t="shared" si="62"/>
        <v>18.399999999999999</v>
      </c>
      <c r="AO19">
        <f t="shared" si="14"/>
        <v>0.6</v>
      </c>
      <c r="AP19">
        <f t="shared" si="63"/>
        <v>0.5948500000000001</v>
      </c>
      <c r="AQ19">
        <f t="shared" si="64"/>
        <v>0</v>
      </c>
      <c r="AR19">
        <f t="shared" si="65"/>
        <v>1</v>
      </c>
      <c r="AS19">
        <f t="shared" si="66"/>
        <v>9.0270202499999979</v>
      </c>
      <c r="AT19">
        <f t="shared" si="67"/>
        <v>1.0213029780639273</v>
      </c>
      <c r="AU19">
        <f t="shared" si="68"/>
        <v>770</v>
      </c>
      <c r="AV19">
        <f t="shared" si="69"/>
        <v>0.77922077922077926</v>
      </c>
      <c r="AW19">
        <f t="shared" si="22"/>
        <v>6.25</v>
      </c>
      <c r="AX19">
        <f t="shared" si="70"/>
        <v>1.2626203146474679E-3</v>
      </c>
      <c r="AY19">
        <f t="shared" si="71"/>
        <v>1.8054040499999997</v>
      </c>
      <c r="AZ19">
        <f t="shared" si="72"/>
        <v>0.28546836331241399</v>
      </c>
      <c r="BA19" t="str">
        <f t="shared" si="26"/>
        <v/>
      </c>
      <c r="BB19">
        <f t="shared" si="73"/>
        <v>20839.19052180622</v>
      </c>
      <c r="BC19">
        <f t="shared" si="74"/>
        <v>0</v>
      </c>
      <c r="BD19">
        <f t="shared" si="75"/>
        <v>0</v>
      </c>
      <c r="BE19">
        <f t="shared" si="76"/>
        <v>0</v>
      </c>
      <c r="BF19">
        <f t="shared" si="77"/>
        <v>0</v>
      </c>
      <c r="BG19">
        <f t="shared" si="78"/>
        <v>20839.19052180622</v>
      </c>
      <c r="BH19">
        <f t="shared" si="79"/>
        <v>1</v>
      </c>
      <c r="BI19">
        <f t="shared" si="34"/>
        <v>0.02</v>
      </c>
      <c r="BJ19">
        <f t="shared" si="35"/>
        <v>0.24</v>
      </c>
      <c r="BK19">
        <f t="shared" si="80"/>
        <v>0</v>
      </c>
      <c r="BL19">
        <f t="shared" si="37"/>
        <v>1.0999999999999999E-2</v>
      </c>
      <c r="BM19">
        <f t="shared" si="38"/>
        <v>0</v>
      </c>
      <c r="BN19">
        <f t="shared" si="39"/>
        <v>0</v>
      </c>
      <c r="BO19">
        <f t="shared" si="40"/>
        <v>0</v>
      </c>
      <c r="BP19">
        <f t="shared" si="41"/>
        <v>5.0000000000000001E-3</v>
      </c>
      <c r="BQ19">
        <f t="shared" si="42"/>
        <v>0</v>
      </c>
      <c r="BR19">
        <f t="shared" si="43"/>
        <v>0.35</v>
      </c>
      <c r="BS19">
        <f t="shared" si="44"/>
        <v>7.0000000000000007E-2</v>
      </c>
      <c r="BT19">
        <f t="shared" si="45"/>
        <v>0.2</v>
      </c>
      <c r="BU19">
        <f t="shared" si="46"/>
        <v>0.3</v>
      </c>
      <c r="BV19">
        <f t="shared" si="47"/>
        <v>0.21</v>
      </c>
      <c r="BW19">
        <f t="shared" si="81"/>
        <v>0</v>
      </c>
      <c r="BX19">
        <f t="shared" si="82"/>
        <v>0</v>
      </c>
      <c r="BY19">
        <f t="shared" si="83"/>
        <v>0</v>
      </c>
      <c r="BZ19">
        <f t="shared" si="84"/>
        <v>0</v>
      </c>
      <c r="CA19">
        <v>0.8</v>
      </c>
      <c r="CB19">
        <f t="shared" si="85"/>
        <v>6.0000000000000001E-3</v>
      </c>
      <c r="CC19">
        <f t="shared" si="53"/>
        <v>1.57</v>
      </c>
    </row>
    <row r="20" spans="1:83" x14ac:dyDescent="0.2">
      <c r="A20" t="s">
        <v>344</v>
      </c>
      <c r="C20" t="s">
        <v>401</v>
      </c>
      <c r="D20" t="s">
        <v>16</v>
      </c>
      <c r="E20" t="b">
        <v>1</v>
      </c>
      <c r="F20" t="s">
        <v>130</v>
      </c>
      <c r="G20">
        <v>0.79</v>
      </c>
      <c r="H20">
        <v>0.11</v>
      </c>
      <c r="I20">
        <v>0.1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 t="b">
        <v>1</v>
      </c>
      <c r="S20">
        <v>0.2</v>
      </c>
      <c r="W20" t="s">
        <v>122</v>
      </c>
      <c r="X20" t="s">
        <v>270</v>
      </c>
      <c r="Y20" t="s">
        <v>399</v>
      </c>
      <c r="Z20">
        <v>200</v>
      </c>
      <c r="AA20">
        <v>84</v>
      </c>
      <c r="AB20">
        <f t="shared" si="54"/>
        <v>225</v>
      </c>
      <c r="AC20" t="str">
        <f t="shared" si="55"/>
        <v/>
      </c>
      <c r="AD20">
        <f t="shared" si="3"/>
        <v>0.75</v>
      </c>
      <c r="AE20">
        <f t="shared" si="4"/>
        <v>0.2</v>
      </c>
      <c r="AF20">
        <f t="shared" si="56"/>
        <v>0</v>
      </c>
      <c r="AG20">
        <f t="shared" si="57"/>
        <v>0</v>
      </c>
      <c r="AH20">
        <f t="shared" si="58"/>
        <v>0</v>
      </c>
      <c r="AI20">
        <f t="shared" si="59"/>
        <v>0</v>
      </c>
      <c r="AJ20">
        <f t="shared" si="60"/>
        <v>1</v>
      </c>
      <c r="AK20">
        <f t="shared" si="61"/>
        <v>0</v>
      </c>
      <c r="AL20">
        <f t="shared" si="11"/>
        <v>1.03</v>
      </c>
      <c r="AM20">
        <f t="shared" si="12"/>
        <v>3.0539999999999998</v>
      </c>
      <c r="AN20">
        <f t="shared" si="62"/>
        <v>18.399999999999999</v>
      </c>
      <c r="AO20">
        <f t="shared" si="14"/>
        <v>0.6</v>
      </c>
      <c r="AP20">
        <f t="shared" si="63"/>
        <v>0.5948500000000001</v>
      </c>
      <c r="AQ20">
        <f t="shared" si="64"/>
        <v>0</v>
      </c>
      <c r="AR20">
        <f t="shared" si="65"/>
        <v>1</v>
      </c>
      <c r="AS20" t="str">
        <f t="shared" si="66"/>
        <v/>
      </c>
      <c r="AT20" t="str">
        <f t="shared" si="67"/>
        <v/>
      </c>
      <c r="AU20" t="str">
        <f t="shared" si="68"/>
        <v/>
      </c>
      <c r="AV20" t="str">
        <f t="shared" si="69"/>
        <v/>
      </c>
      <c r="AW20">
        <f t="shared" si="22"/>
        <v>6.25</v>
      </c>
      <c r="AX20" t="str">
        <f t="shared" si="70"/>
        <v/>
      </c>
      <c r="AY20" t="str">
        <f t="shared" si="71"/>
        <v/>
      </c>
      <c r="AZ20" t="str">
        <f t="shared" si="72"/>
        <v/>
      </c>
      <c r="BA20">
        <f t="shared" si="26"/>
        <v>9.1999999999999998E-3</v>
      </c>
      <c r="BB20">
        <f t="shared" si="73"/>
        <v>154.56</v>
      </c>
      <c r="BC20">
        <f t="shared" si="74"/>
        <v>0</v>
      </c>
      <c r="BD20">
        <f t="shared" si="75"/>
        <v>0</v>
      </c>
      <c r="BE20">
        <f t="shared" si="76"/>
        <v>0</v>
      </c>
      <c r="BF20">
        <f t="shared" si="77"/>
        <v>0</v>
      </c>
      <c r="BG20">
        <f t="shared" si="78"/>
        <v>154.56</v>
      </c>
      <c r="BH20">
        <f t="shared" si="79"/>
        <v>1</v>
      </c>
      <c r="BI20">
        <f t="shared" si="34"/>
        <v>0.02</v>
      </c>
      <c r="BJ20">
        <f t="shared" si="35"/>
        <v>0.24</v>
      </c>
      <c r="BK20">
        <f t="shared" si="80"/>
        <v>0</v>
      </c>
      <c r="BL20">
        <f t="shared" si="37"/>
        <v>1.0999999999999999E-2</v>
      </c>
      <c r="BM20">
        <f t="shared" si="38"/>
        <v>0</v>
      </c>
      <c r="BN20">
        <f t="shared" si="39"/>
        <v>0</v>
      </c>
      <c r="BO20">
        <f t="shared" si="40"/>
        <v>0</v>
      </c>
      <c r="BP20">
        <f t="shared" si="41"/>
        <v>5.0000000000000001E-3</v>
      </c>
      <c r="BQ20">
        <f t="shared" si="42"/>
        <v>0</v>
      </c>
      <c r="BR20">
        <f t="shared" si="43"/>
        <v>0.35</v>
      </c>
      <c r="BS20">
        <f t="shared" si="44"/>
        <v>7.0000000000000007E-2</v>
      </c>
      <c r="BT20">
        <f t="shared" si="45"/>
        <v>0.2</v>
      </c>
      <c r="BU20">
        <f t="shared" si="46"/>
        <v>0.3</v>
      </c>
      <c r="BV20">
        <f t="shared" si="47"/>
        <v>0.21</v>
      </c>
      <c r="BW20">
        <f t="shared" si="81"/>
        <v>0</v>
      </c>
      <c r="BX20">
        <f t="shared" si="82"/>
        <v>0</v>
      </c>
      <c r="BY20">
        <f t="shared" si="83"/>
        <v>0</v>
      </c>
      <c r="BZ20">
        <f t="shared" si="84"/>
        <v>0</v>
      </c>
      <c r="CA20">
        <v>0.8</v>
      </c>
      <c r="CB20">
        <f t="shared" si="85"/>
        <v>6.0000000000000001E-3</v>
      </c>
      <c r="CC20">
        <f t="shared" si="53"/>
        <v>1.57</v>
      </c>
    </row>
    <row r="21" spans="1:83" s="3" customFormat="1" x14ac:dyDescent="0.2">
      <c r="A21" t="s">
        <v>344</v>
      </c>
      <c r="C21" s="3" t="s">
        <v>401</v>
      </c>
      <c r="D21" s="3" t="s">
        <v>16</v>
      </c>
      <c r="E21" s="3" t="b">
        <v>1</v>
      </c>
      <c r="F21" s="3" t="s">
        <v>130</v>
      </c>
      <c r="G21" s="3">
        <v>0.79</v>
      </c>
      <c r="H21" s="3">
        <v>0.11</v>
      </c>
      <c r="I21" s="3">
        <v>0.1</v>
      </c>
      <c r="J21" s="3">
        <v>0</v>
      </c>
      <c r="K21" s="3">
        <v>0</v>
      </c>
      <c r="L21" s="3">
        <v>1</v>
      </c>
      <c r="M21" s="3">
        <v>0</v>
      </c>
      <c r="N21" s="3">
        <v>1</v>
      </c>
      <c r="O21" s="3">
        <v>0</v>
      </c>
      <c r="P21" s="3">
        <v>0</v>
      </c>
      <c r="Q21" s="3">
        <v>0</v>
      </c>
      <c r="R21" s="3" t="b">
        <v>1</v>
      </c>
      <c r="S21" s="3">
        <v>0.2</v>
      </c>
      <c r="W21" s="3" t="s">
        <v>122</v>
      </c>
      <c r="X21" s="3" t="s">
        <v>270</v>
      </c>
      <c r="Y21" s="3" t="s">
        <v>400</v>
      </c>
      <c r="Z21" s="3">
        <v>200</v>
      </c>
      <c r="AA21" s="3">
        <v>281</v>
      </c>
      <c r="AB21" s="3">
        <f t="shared" si="54"/>
        <v>225</v>
      </c>
      <c r="AC21" s="3">
        <f t="shared" si="55"/>
        <v>0.8</v>
      </c>
      <c r="AD21" s="3">
        <f t="shared" si="3"/>
        <v>0.75</v>
      </c>
      <c r="AE21" s="3">
        <f t="shared" si="4"/>
        <v>0.2</v>
      </c>
      <c r="AF21" s="3">
        <f t="shared" si="56"/>
        <v>0</v>
      </c>
      <c r="AG21" s="3">
        <f t="shared" si="57"/>
        <v>0</v>
      </c>
      <c r="AH21" s="3">
        <f t="shared" si="58"/>
        <v>0</v>
      </c>
      <c r="AI21" s="3">
        <f t="shared" si="59"/>
        <v>0</v>
      </c>
      <c r="AJ21" s="3">
        <f t="shared" si="60"/>
        <v>1</v>
      </c>
      <c r="AK21" s="3">
        <f t="shared" si="61"/>
        <v>0</v>
      </c>
      <c r="AL21" s="3">
        <f t="shared" si="11"/>
        <v>1.03</v>
      </c>
      <c r="AM21" s="3">
        <f t="shared" si="12"/>
        <v>3.0539999999999998</v>
      </c>
      <c r="AN21" s="3">
        <f t="shared" si="62"/>
        <v>18.399999999999999</v>
      </c>
      <c r="AO21" s="3">
        <f t="shared" si="14"/>
        <v>0.6</v>
      </c>
      <c r="AP21" s="3">
        <f t="shared" si="63"/>
        <v>0.5948500000000001</v>
      </c>
      <c r="AQ21" s="3">
        <f t="shared" si="64"/>
        <v>0</v>
      </c>
      <c r="AR21" s="3">
        <f t="shared" si="65"/>
        <v>1</v>
      </c>
      <c r="AS21" s="3">
        <f t="shared" si="66"/>
        <v>5.4143472656250013</v>
      </c>
      <c r="AT21" s="3">
        <f t="shared" si="67"/>
        <v>1.2576570545672616</v>
      </c>
      <c r="AU21" s="3">
        <f t="shared" si="68"/>
        <v>770</v>
      </c>
      <c r="AV21" s="3">
        <f t="shared" si="69"/>
        <v>0.29220779220779219</v>
      </c>
      <c r="AW21" s="3">
        <f t="shared" si="22"/>
        <v>6.25</v>
      </c>
      <c r="AX21" s="3">
        <f t="shared" si="70"/>
        <v>1.9757354894894084E-2</v>
      </c>
      <c r="AY21" s="3">
        <f t="shared" si="71"/>
        <v>1.0828694531250003</v>
      </c>
      <c r="AZ21" s="3">
        <f t="shared" si="72"/>
        <v>0.15247929000170721</v>
      </c>
      <c r="BA21" s="3" t="str">
        <f t="shared" si="26"/>
        <v/>
      </c>
      <c r="BB21" s="3">
        <f t="shared" si="73"/>
        <v>8569.336098095946</v>
      </c>
      <c r="BC21" s="3">
        <f t="shared" si="74"/>
        <v>0</v>
      </c>
      <c r="BD21" s="3">
        <f t="shared" si="75"/>
        <v>0</v>
      </c>
      <c r="BE21" s="3">
        <f t="shared" si="76"/>
        <v>0</v>
      </c>
      <c r="BF21" s="3">
        <f t="shared" si="77"/>
        <v>0</v>
      </c>
      <c r="BG21" s="3">
        <f t="shared" si="78"/>
        <v>8569.336098095946</v>
      </c>
      <c r="BH21" s="3">
        <f t="shared" si="79"/>
        <v>1</v>
      </c>
      <c r="BI21" s="3">
        <f t="shared" si="34"/>
        <v>0.02</v>
      </c>
      <c r="BJ21" s="3">
        <f t="shared" si="35"/>
        <v>0.24</v>
      </c>
      <c r="BK21" s="3">
        <f t="shared" si="80"/>
        <v>0</v>
      </c>
      <c r="BL21" s="3">
        <f t="shared" si="37"/>
        <v>1.0999999999999999E-2</v>
      </c>
      <c r="BM21" s="3">
        <f t="shared" si="38"/>
        <v>0</v>
      </c>
      <c r="BN21" s="3">
        <f t="shared" si="39"/>
        <v>0</v>
      </c>
      <c r="BO21" s="3">
        <f t="shared" si="40"/>
        <v>0</v>
      </c>
      <c r="BP21" s="3">
        <f t="shared" si="41"/>
        <v>5.0000000000000001E-3</v>
      </c>
      <c r="BQ21" s="3">
        <f t="shared" si="42"/>
        <v>0</v>
      </c>
      <c r="BR21" s="3">
        <f t="shared" si="43"/>
        <v>0.35</v>
      </c>
      <c r="BS21" s="3">
        <f t="shared" si="44"/>
        <v>7.0000000000000007E-2</v>
      </c>
      <c r="BT21" s="3">
        <f t="shared" si="45"/>
        <v>0.2</v>
      </c>
      <c r="BU21" s="3">
        <f t="shared" si="46"/>
        <v>0.3</v>
      </c>
      <c r="BV21" s="3">
        <f t="shared" si="47"/>
        <v>0.21</v>
      </c>
      <c r="BW21" s="3">
        <f t="shared" si="81"/>
        <v>0</v>
      </c>
      <c r="BX21" s="3">
        <f t="shared" si="82"/>
        <v>0</v>
      </c>
      <c r="BY21" s="3">
        <f t="shared" si="83"/>
        <v>0</v>
      </c>
      <c r="BZ21" s="3">
        <f t="shared" si="84"/>
        <v>0</v>
      </c>
      <c r="CA21" s="3">
        <v>0.8</v>
      </c>
      <c r="CB21" s="3">
        <f t="shared" si="85"/>
        <v>6.0000000000000001E-3</v>
      </c>
      <c r="CC21" s="3">
        <f t="shared" si="53"/>
        <v>1.57</v>
      </c>
    </row>
    <row r="22" spans="1:83" x14ac:dyDescent="0.2">
      <c r="A22" t="s">
        <v>344</v>
      </c>
      <c r="C22" t="s">
        <v>402</v>
      </c>
      <c r="D22" t="s">
        <v>19</v>
      </c>
      <c r="E22" t="b">
        <v>0</v>
      </c>
      <c r="F22" t="s">
        <v>151</v>
      </c>
      <c r="G22">
        <v>0</v>
      </c>
      <c r="H22">
        <v>0.11</v>
      </c>
      <c r="I22">
        <v>0.89</v>
      </c>
      <c r="J22">
        <v>0</v>
      </c>
      <c r="K22">
        <v>0.5</v>
      </c>
      <c r="L22">
        <v>0.5</v>
      </c>
      <c r="M22">
        <v>0</v>
      </c>
      <c r="N22">
        <v>0.5</v>
      </c>
      <c r="O22">
        <v>0</v>
      </c>
      <c r="P22">
        <v>0</v>
      </c>
      <c r="Q22">
        <v>0.5</v>
      </c>
      <c r="R22" t="b">
        <v>0</v>
      </c>
      <c r="S22">
        <v>0</v>
      </c>
      <c r="T22">
        <v>2.8</v>
      </c>
      <c r="U22">
        <v>4</v>
      </c>
      <c r="V22">
        <v>3.3</v>
      </c>
      <c r="W22" t="s">
        <v>122</v>
      </c>
      <c r="X22" t="s">
        <v>271</v>
      </c>
      <c r="Y22" t="s">
        <v>394</v>
      </c>
      <c r="Z22">
        <v>200</v>
      </c>
      <c r="AA22">
        <v>365</v>
      </c>
      <c r="AB22">
        <f t="shared" si="54"/>
        <v>650</v>
      </c>
      <c r="AC22">
        <f t="shared" si="55"/>
        <v>1.6E-2</v>
      </c>
      <c r="AD22">
        <f t="shared" si="3"/>
        <v>0.75</v>
      </c>
      <c r="AE22">
        <f t="shared" si="4"/>
        <v>0.2</v>
      </c>
      <c r="AF22">
        <f t="shared" si="56"/>
        <v>0.44500000000000001</v>
      </c>
      <c r="AG22">
        <f t="shared" si="57"/>
        <v>5.5E-2</v>
      </c>
      <c r="AH22">
        <f t="shared" si="58"/>
        <v>5.5E-2</v>
      </c>
      <c r="AI22">
        <f t="shared" si="59"/>
        <v>0.44500000000000001</v>
      </c>
      <c r="AJ22">
        <f t="shared" si="60"/>
        <v>0</v>
      </c>
      <c r="AK22">
        <f t="shared" si="61"/>
        <v>38.356164383561641</v>
      </c>
      <c r="AL22">
        <f t="shared" si="11"/>
        <v>1.03</v>
      </c>
      <c r="AM22">
        <f t="shared" si="12"/>
        <v>3.0539999999999998</v>
      </c>
      <c r="AN22">
        <f t="shared" si="62"/>
        <v>18.399999999999999</v>
      </c>
      <c r="AO22">
        <f t="shared" si="14"/>
        <v>0.6</v>
      </c>
      <c r="AP22">
        <f t="shared" si="63"/>
        <v>0.5948500000000001</v>
      </c>
      <c r="AQ22">
        <f t="shared" si="64"/>
        <v>18.372357574041192</v>
      </c>
      <c r="AR22">
        <f t="shared" si="65"/>
        <v>1.1000000000000001</v>
      </c>
      <c r="AS22">
        <f t="shared" si="66"/>
        <v>28.555112190801196</v>
      </c>
      <c r="AT22">
        <f t="shared" si="67"/>
        <v>1.001181840179723</v>
      </c>
      <c r="AU22">
        <f t="shared" si="68"/>
        <v>590</v>
      </c>
      <c r="AV22">
        <f t="shared" si="69"/>
        <v>1.1016949152542372</v>
      </c>
      <c r="AW22">
        <f t="shared" si="22"/>
        <v>6.25</v>
      </c>
      <c r="AX22">
        <f t="shared" si="70"/>
        <v>0.19832814869793783</v>
      </c>
      <c r="AY22">
        <f t="shared" si="71"/>
        <v>5.7110224381602395</v>
      </c>
      <c r="AZ22">
        <f t="shared" si="72"/>
        <v>0.71316976602832161</v>
      </c>
      <c r="BA22" t="str">
        <f t="shared" si="26"/>
        <v/>
      </c>
      <c r="BB22">
        <f t="shared" si="73"/>
        <v>52061.392920067476</v>
      </c>
      <c r="BC22">
        <f t="shared" si="74"/>
        <v>23167.319849430027</v>
      </c>
      <c r="BD22">
        <f t="shared" si="75"/>
        <v>2863.376610603711</v>
      </c>
      <c r="BE22">
        <f t="shared" si="76"/>
        <v>2863.376610603711</v>
      </c>
      <c r="BF22">
        <f t="shared" si="77"/>
        <v>23167.319849430027</v>
      </c>
      <c r="BG22">
        <f t="shared" si="78"/>
        <v>0</v>
      </c>
      <c r="BH22">
        <f t="shared" si="79"/>
        <v>0</v>
      </c>
      <c r="BI22">
        <f t="shared" si="34"/>
        <v>0.02</v>
      </c>
      <c r="BJ22">
        <f t="shared" si="35"/>
        <v>0.24</v>
      </c>
      <c r="BK22">
        <f t="shared" si="80"/>
        <v>0</v>
      </c>
      <c r="BL22">
        <f t="shared" si="37"/>
        <v>1.0999999999999999E-2</v>
      </c>
      <c r="BM22">
        <f t="shared" si="38"/>
        <v>0</v>
      </c>
      <c r="BN22">
        <f t="shared" si="39"/>
        <v>0</v>
      </c>
      <c r="BO22">
        <f t="shared" si="40"/>
        <v>0</v>
      </c>
      <c r="BP22">
        <f t="shared" si="41"/>
        <v>5.0000000000000001E-3</v>
      </c>
      <c r="BQ22">
        <f t="shared" si="42"/>
        <v>0</v>
      </c>
      <c r="BR22">
        <f t="shared" si="43"/>
        <v>0.35</v>
      </c>
      <c r="BS22">
        <f t="shared" si="44"/>
        <v>7.0000000000000007E-2</v>
      </c>
      <c r="BT22">
        <f t="shared" si="45"/>
        <v>0.2</v>
      </c>
      <c r="BU22">
        <f t="shared" si="46"/>
        <v>0.3</v>
      </c>
      <c r="BV22">
        <f t="shared" si="47"/>
        <v>0.21</v>
      </c>
      <c r="BW22">
        <f t="shared" si="81"/>
        <v>15058.757902129519</v>
      </c>
      <c r="BX22">
        <f t="shared" si="82"/>
        <v>2662.9402478614511</v>
      </c>
      <c r="BY22">
        <f t="shared" si="83"/>
        <v>2290.7012884829687</v>
      </c>
      <c r="BZ22">
        <f t="shared" si="84"/>
        <v>16101.28729535387</v>
      </c>
      <c r="CA22">
        <v>0.8</v>
      </c>
      <c r="CB22">
        <f t="shared" si="85"/>
        <v>5.0000000000000001E-3</v>
      </c>
      <c r="CC22">
        <f t="shared" si="53"/>
        <v>1.57</v>
      </c>
      <c r="CD22">
        <f t="shared" ref="CD22" si="86">SUM(BW22:BZ22)*CA22</f>
        <v>28890.94938706225</v>
      </c>
      <c r="CE22">
        <f t="shared" ref="CE22" si="87">CD22*$CC22*$CB22/1000</f>
        <v>0.22679395268843866</v>
      </c>
    </row>
    <row r="23" spans="1:83" x14ac:dyDescent="0.2">
      <c r="A23" t="s">
        <v>344</v>
      </c>
      <c r="C23" t="s">
        <v>402</v>
      </c>
      <c r="D23" t="s">
        <v>19</v>
      </c>
      <c r="E23" t="b">
        <v>0</v>
      </c>
      <c r="F23" t="s">
        <v>151</v>
      </c>
      <c r="G23">
        <v>0</v>
      </c>
      <c r="H23">
        <v>0.11</v>
      </c>
      <c r="I23">
        <v>0.89</v>
      </c>
      <c r="J23">
        <v>0</v>
      </c>
      <c r="K23">
        <v>0.5</v>
      </c>
      <c r="L23">
        <v>0.5</v>
      </c>
      <c r="M23">
        <v>0</v>
      </c>
      <c r="N23">
        <v>0.5</v>
      </c>
      <c r="O23">
        <v>0</v>
      </c>
      <c r="P23">
        <v>0</v>
      </c>
      <c r="Q23">
        <v>0.5</v>
      </c>
      <c r="R23" t="b">
        <v>0</v>
      </c>
      <c r="S23">
        <v>0</v>
      </c>
      <c r="T23" t="s">
        <v>122</v>
      </c>
      <c r="W23" t="s">
        <v>122</v>
      </c>
      <c r="X23" t="s">
        <v>271</v>
      </c>
      <c r="Y23" t="s">
        <v>395</v>
      </c>
      <c r="Z23">
        <v>200</v>
      </c>
      <c r="AA23">
        <v>365</v>
      </c>
      <c r="AB23">
        <f t="shared" si="54"/>
        <v>450</v>
      </c>
      <c r="AC23">
        <f t="shared" si="55"/>
        <v>0.6</v>
      </c>
      <c r="AD23">
        <f t="shared" si="3"/>
        <v>0.75</v>
      </c>
      <c r="AE23">
        <f t="shared" si="4"/>
        <v>0.2</v>
      </c>
      <c r="AF23">
        <f t="shared" si="56"/>
        <v>0</v>
      </c>
      <c r="AG23">
        <f t="shared" si="57"/>
        <v>0</v>
      </c>
      <c r="AH23">
        <f t="shared" si="58"/>
        <v>0</v>
      </c>
      <c r="AI23">
        <f t="shared" si="59"/>
        <v>0</v>
      </c>
      <c r="AJ23">
        <f t="shared" si="60"/>
        <v>1</v>
      </c>
      <c r="AK23">
        <f t="shared" si="61"/>
        <v>0</v>
      </c>
      <c r="AL23">
        <f t="shared" si="11"/>
        <v>1.03</v>
      </c>
      <c r="AM23">
        <f t="shared" si="12"/>
        <v>3.0539999999999998</v>
      </c>
      <c r="AN23">
        <f t="shared" si="62"/>
        <v>18.399999999999999</v>
      </c>
      <c r="AO23">
        <f t="shared" si="14"/>
        <v>0.6</v>
      </c>
      <c r="AP23">
        <f t="shared" si="63"/>
        <v>0.5948500000000001</v>
      </c>
      <c r="AQ23">
        <f t="shared" si="64"/>
        <v>0</v>
      </c>
      <c r="AR23">
        <f t="shared" si="65"/>
        <v>1</v>
      </c>
      <c r="AS23">
        <f t="shared" si="66"/>
        <v>8.3549902499999984</v>
      </c>
      <c r="AT23">
        <f t="shared" si="67"/>
        <v>1.1448168254973408</v>
      </c>
      <c r="AU23">
        <f t="shared" si="68"/>
        <v>590</v>
      </c>
      <c r="AV23">
        <f t="shared" si="69"/>
        <v>0.76271186440677963</v>
      </c>
      <c r="AW23">
        <f t="shared" si="22"/>
        <v>6.25</v>
      </c>
      <c r="AX23">
        <f t="shared" si="70"/>
        <v>7.680606707944594E-3</v>
      </c>
      <c r="AY23">
        <f t="shared" si="71"/>
        <v>1.6709980499999997</v>
      </c>
      <c r="AZ23">
        <f t="shared" si="72"/>
        <v>0.25795950260723322</v>
      </c>
      <c r="BA23" t="str">
        <f t="shared" si="26"/>
        <v/>
      </c>
      <c r="BB23">
        <f t="shared" si="73"/>
        <v>18831.043690328024</v>
      </c>
      <c r="BC23">
        <f t="shared" si="74"/>
        <v>0</v>
      </c>
      <c r="BD23">
        <f t="shared" si="75"/>
        <v>0</v>
      </c>
      <c r="BE23">
        <f t="shared" si="76"/>
        <v>0</v>
      </c>
      <c r="BF23">
        <f t="shared" si="77"/>
        <v>0</v>
      </c>
      <c r="BG23">
        <f t="shared" si="78"/>
        <v>18831.043690328024</v>
      </c>
      <c r="BH23">
        <f t="shared" si="79"/>
        <v>0</v>
      </c>
      <c r="BI23">
        <f t="shared" si="34"/>
        <v>0.02</v>
      </c>
      <c r="BJ23">
        <f t="shared" si="35"/>
        <v>0.24</v>
      </c>
      <c r="BK23">
        <f t="shared" si="80"/>
        <v>0</v>
      </c>
      <c r="BL23">
        <f t="shared" si="37"/>
        <v>1.0999999999999999E-2</v>
      </c>
      <c r="BM23">
        <f t="shared" si="38"/>
        <v>0</v>
      </c>
      <c r="BN23">
        <f t="shared" si="39"/>
        <v>0</v>
      </c>
      <c r="BO23">
        <f t="shared" si="40"/>
        <v>0</v>
      </c>
      <c r="BP23">
        <f t="shared" si="41"/>
        <v>5.0000000000000001E-3</v>
      </c>
      <c r="BQ23">
        <f t="shared" si="42"/>
        <v>0</v>
      </c>
      <c r="BR23">
        <f t="shared" si="43"/>
        <v>0.35</v>
      </c>
      <c r="BS23">
        <f t="shared" si="44"/>
        <v>7.0000000000000007E-2</v>
      </c>
      <c r="BT23">
        <f t="shared" si="45"/>
        <v>0.2</v>
      </c>
      <c r="BU23">
        <f t="shared" si="46"/>
        <v>0.3</v>
      </c>
      <c r="BV23">
        <f t="shared" si="47"/>
        <v>0.21</v>
      </c>
      <c r="BW23">
        <f t="shared" si="81"/>
        <v>0</v>
      </c>
      <c r="BX23">
        <f t="shared" si="82"/>
        <v>0</v>
      </c>
      <c r="BY23">
        <f t="shared" si="83"/>
        <v>0</v>
      </c>
      <c r="BZ23">
        <f t="shared" si="84"/>
        <v>0</v>
      </c>
      <c r="CA23">
        <v>0.8</v>
      </c>
      <c r="CB23">
        <f t="shared" si="85"/>
        <v>5.0000000000000001E-3</v>
      </c>
      <c r="CC23">
        <f t="shared" si="53"/>
        <v>1.57</v>
      </c>
    </row>
    <row r="24" spans="1:83" x14ac:dyDescent="0.2">
      <c r="A24" t="s">
        <v>344</v>
      </c>
      <c r="C24" t="s">
        <v>402</v>
      </c>
      <c r="D24" t="s">
        <v>19</v>
      </c>
      <c r="E24" t="b">
        <v>0</v>
      </c>
      <c r="F24" t="s">
        <v>151</v>
      </c>
      <c r="G24">
        <v>0</v>
      </c>
      <c r="H24">
        <v>0.11</v>
      </c>
      <c r="I24">
        <v>0.89</v>
      </c>
      <c r="J24">
        <v>0</v>
      </c>
      <c r="K24">
        <v>0.5</v>
      </c>
      <c r="L24">
        <v>0.5</v>
      </c>
      <c r="M24">
        <v>0</v>
      </c>
      <c r="N24">
        <v>0.5</v>
      </c>
      <c r="O24">
        <v>0</v>
      </c>
      <c r="P24">
        <v>0</v>
      </c>
      <c r="Q24">
        <v>0.5</v>
      </c>
      <c r="R24" t="b">
        <v>0</v>
      </c>
      <c r="S24">
        <v>0</v>
      </c>
      <c r="T24" t="s">
        <v>122</v>
      </c>
      <c r="W24" t="s">
        <v>122</v>
      </c>
      <c r="X24" t="s">
        <v>271</v>
      </c>
      <c r="Y24" t="s">
        <v>396</v>
      </c>
      <c r="Z24">
        <v>200</v>
      </c>
      <c r="AA24">
        <v>84</v>
      </c>
      <c r="AB24">
        <f t="shared" si="54"/>
        <v>185</v>
      </c>
      <c r="AC24" t="str">
        <f t="shared" si="55"/>
        <v/>
      </c>
      <c r="AD24">
        <f t="shared" si="3"/>
        <v>0.75</v>
      </c>
      <c r="AE24">
        <f t="shared" si="4"/>
        <v>0.2</v>
      </c>
      <c r="AF24">
        <f t="shared" si="56"/>
        <v>0</v>
      </c>
      <c r="AG24">
        <f t="shared" si="57"/>
        <v>0</v>
      </c>
      <c r="AH24">
        <f t="shared" si="58"/>
        <v>0</v>
      </c>
      <c r="AI24">
        <f t="shared" si="59"/>
        <v>0</v>
      </c>
      <c r="AJ24">
        <f t="shared" si="60"/>
        <v>1</v>
      </c>
      <c r="AK24">
        <f t="shared" si="61"/>
        <v>0</v>
      </c>
      <c r="AL24">
        <f t="shared" si="11"/>
        <v>1.03</v>
      </c>
      <c r="AM24">
        <f t="shared" si="12"/>
        <v>3.0539999999999998</v>
      </c>
      <c r="AN24">
        <f t="shared" si="62"/>
        <v>18.399999999999999</v>
      </c>
      <c r="AO24">
        <f t="shared" si="14"/>
        <v>0.6</v>
      </c>
      <c r="AP24">
        <f t="shared" si="63"/>
        <v>0.5948500000000001</v>
      </c>
      <c r="AQ24">
        <f t="shared" si="64"/>
        <v>0</v>
      </c>
      <c r="AR24">
        <f t="shared" si="65"/>
        <v>1</v>
      </c>
      <c r="AS24" t="str">
        <f t="shared" si="66"/>
        <v/>
      </c>
      <c r="AT24" t="str">
        <f t="shared" si="67"/>
        <v/>
      </c>
      <c r="AU24" t="str">
        <f t="shared" si="68"/>
        <v/>
      </c>
      <c r="AV24" t="str">
        <f t="shared" si="69"/>
        <v/>
      </c>
      <c r="AW24">
        <f t="shared" si="22"/>
        <v>6.25</v>
      </c>
      <c r="AX24" t="str">
        <f t="shared" si="70"/>
        <v/>
      </c>
      <c r="AY24" t="str">
        <f t="shared" si="71"/>
        <v/>
      </c>
      <c r="AZ24" t="str">
        <f t="shared" si="72"/>
        <v/>
      </c>
      <c r="BA24">
        <f t="shared" si="26"/>
        <v>1.37E-2</v>
      </c>
      <c r="BB24">
        <f t="shared" si="73"/>
        <v>230.16000000000003</v>
      </c>
      <c r="BC24">
        <f t="shared" si="74"/>
        <v>0</v>
      </c>
      <c r="BD24">
        <f t="shared" si="75"/>
        <v>0</v>
      </c>
      <c r="BE24">
        <f t="shared" si="76"/>
        <v>0</v>
      </c>
      <c r="BF24">
        <f t="shared" si="77"/>
        <v>0</v>
      </c>
      <c r="BG24">
        <f t="shared" si="78"/>
        <v>230.16000000000003</v>
      </c>
      <c r="BH24">
        <f t="shared" si="79"/>
        <v>0</v>
      </c>
      <c r="BI24">
        <f t="shared" si="34"/>
        <v>0.02</v>
      </c>
      <c r="BJ24">
        <f t="shared" si="35"/>
        <v>0.24</v>
      </c>
      <c r="BK24">
        <f t="shared" si="80"/>
        <v>0</v>
      </c>
      <c r="BL24">
        <f t="shared" si="37"/>
        <v>1.0999999999999999E-2</v>
      </c>
      <c r="BM24">
        <f t="shared" si="38"/>
        <v>0</v>
      </c>
      <c r="BN24">
        <f t="shared" si="39"/>
        <v>0</v>
      </c>
      <c r="BO24">
        <f t="shared" si="40"/>
        <v>0</v>
      </c>
      <c r="BP24">
        <f t="shared" si="41"/>
        <v>5.0000000000000001E-3</v>
      </c>
      <c r="BQ24">
        <f t="shared" si="42"/>
        <v>0</v>
      </c>
      <c r="BR24">
        <f t="shared" si="43"/>
        <v>0.35</v>
      </c>
      <c r="BS24">
        <f t="shared" si="44"/>
        <v>7.0000000000000007E-2</v>
      </c>
      <c r="BT24">
        <f t="shared" si="45"/>
        <v>0.2</v>
      </c>
      <c r="BU24">
        <f t="shared" si="46"/>
        <v>0.3</v>
      </c>
      <c r="BV24">
        <f t="shared" si="47"/>
        <v>0.21</v>
      </c>
      <c r="BW24">
        <f t="shared" si="81"/>
        <v>0</v>
      </c>
      <c r="BX24">
        <f t="shared" si="82"/>
        <v>0</v>
      </c>
      <c r="BY24">
        <f t="shared" si="83"/>
        <v>0</v>
      </c>
      <c r="BZ24">
        <f t="shared" si="84"/>
        <v>0</v>
      </c>
      <c r="CA24">
        <v>0.8</v>
      </c>
      <c r="CB24">
        <f t="shared" si="85"/>
        <v>5.0000000000000001E-3</v>
      </c>
      <c r="CC24">
        <f t="shared" si="53"/>
        <v>1.57</v>
      </c>
    </row>
    <row r="25" spans="1:83" x14ac:dyDescent="0.2">
      <c r="A25" t="s">
        <v>344</v>
      </c>
      <c r="C25" t="s">
        <v>402</v>
      </c>
      <c r="D25" t="s">
        <v>19</v>
      </c>
      <c r="E25" t="b">
        <v>0</v>
      </c>
      <c r="F25" t="s">
        <v>151</v>
      </c>
      <c r="G25">
        <v>0</v>
      </c>
      <c r="H25">
        <v>0.11</v>
      </c>
      <c r="I25">
        <v>0.89</v>
      </c>
      <c r="J25">
        <v>0</v>
      </c>
      <c r="K25">
        <v>0.5</v>
      </c>
      <c r="L25">
        <v>0.5</v>
      </c>
      <c r="M25">
        <v>0</v>
      </c>
      <c r="N25">
        <v>0.5</v>
      </c>
      <c r="O25">
        <v>0</v>
      </c>
      <c r="P25">
        <v>0</v>
      </c>
      <c r="Q25">
        <v>0.5</v>
      </c>
      <c r="R25" t="b">
        <v>0</v>
      </c>
      <c r="S25">
        <v>0</v>
      </c>
      <c r="T25" t="s">
        <v>122</v>
      </c>
      <c r="W25" t="s">
        <v>122</v>
      </c>
      <c r="X25" t="s">
        <v>271</v>
      </c>
      <c r="Y25" t="s">
        <v>397</v>
      </c>
      <c r="Z25">
        <v>200</v>
      </c>
      <c r="AA25">
        <v>281</v>
      </c>
      <c r="AB25">
        <f t="shared" si="54"/>
        <v>185</v>
      </c>
      <c r="AC25">
        <f t="shared" si="55"/>
        <v>0.56999999999999995</v>
      </c>
      <c r="AD25">
        <f t="shared" si="3"/>
        <v>0.75</v>
      </c>
      <c r="AE25">
        <f t="shared" si="4"/>
        <v>0.2</v>
      </c>
      <c r="AF25">
        <f t="shared" si="56"/>
        <v>0</v>
      </c>
      <c r="AG25">
        <f t="shared" si="57"/>
        <v>0</v>
      </c>
      <c r="AH25">
        <f t="shared" si="58"/>
        <v>0</v>
      </c>
      <c r="AI25">
        <f t="shared" si="59"/>
        <v>0</v>
      </c>
      <c r="AJ25">
        <f t="shared" si="60"/>
        <v>1</v>
      </c>
      <c r="AK25">
        <f t="shared" si="61"/>
        <v>0</v>
      </c>
      <c r="AL25">
        <f t="shared" si="11"/>
        <v>1.03</v>
      </c>
      <c r="AM25">
        <f t="shared" si="12"/>
        <v>3.0539999999999998</v>
      </c>
      <c r="AN25">
        <f t="shared" si="62"/>
        <v>18.399999999999999</v>
      </c>
      <c r="AO25">
        <f t="shared" si="14"/>
        <v>0.6</v>
      </c>
      <c r="AP25">
        <f t="shared" si="63"/>
        <v>0.5948500000000001</v>
      </c>
      <c r="AQ25">
        <f t="shared" si="64"/>
        <v>0</v>
      </c>
      <c r="AR25">
        <f t="shared" si="65"/>
        <v>1</v>
      </c>
      <c r="AS25">
        <f t="shared" si="66"/>
        <v>4.4751921662249998</v>
      </c>
      <c r="AT25">
        <f t="shared" si="67"/>
        <v>1.1940956577314272</v>
      </c>
      <c r="AU25">
        <f t="shared" si="68"/>
        <v>590</v>
      </c>
      <c r="AV25">
        <f t="shared" si="69"/>
        <v>0.3135593220338983</v>
      </c>
      <c r="AW25">
        <f t="shared" si="22"/>
        <v>6.25</v>
      </c>
      <c r="AX25">
        <f t="shared" si="70"/>
        <v>1.374327511013524E-2</v>
      </c>
      <c r="AY25">
        <f t="shared" si="71"/>
        <v>0.89503843324499999</v>
      </c>
      <c r="AZ25">
        <f t="shared" si="72"/>
        <v>0.12858001497431362</v>
      </c>
      <c r="BA25" t="str">
        <f t="shared" si="26"/>
        <v/>
      </c>
      <c r="BB25">
        <f t="shared" si="73"/>
        <v>7226.1968415564252</v>
      </c>
      <c r="BC25">
        <f t="shared" si="74"/>
        <v>0</v>
      </c>
      <c r="BD25">
        <f t="shared" si="75"/>
        <v>0</v>
      </c>
      <c r="BE25">
        <f t="shared" si="76"/>
        <v>0</v>
      </c>
      <c r="BF25">
        <f t="shared" si="77"/>
        <v>0</v>
      </c>
      <c r="BG25">
        <f t="shared" si="78"/>
        <v>7226.1968415564252</v>
      </c>
      <c r="BH25">
        <f t="shared" si="79"/>
        <v>0</v>
      </c>
      <c r="BI25">
        <f t="shared" si="34"/>
        <v>0.02</v>
      </c>
      <c r="BJ25">
        <f t="shared" si="35"/>
        <v>0.24</v>
      </c>
      <c r="BK25">
        <f t="shared" si="80"/>
        <v>0</v>
      </c>
      <c r="BL25">
        <f t="shared" si="37"/>
        <v>1.0999999999999999E-2</v>
      </c>
      <c r="BM25">
        <f t="shared" si="38"/>
        <v>0</v>
      </c>
      <c r="BN25">
        <f t="shared" si="39"/>
        <v>0</v>
      </c>
      <c r="BO25">
        <f t="shared" si="40"/>
        <v>0</v>
      </c>
      <c r="BP25">
        <f t="shared" si="41"/>
        <v>5.0000000000000001E-3</v>
      </c>
      <c r="BQ25">
        <f t="shared" si="42"/>
        <v>0</v>
      </c>
      <c r="BR25">
        <f t="shared" si="43"/>
        <v>0.35</v>
      </c>
      <c r="BS25">
        <f t="shared" si="44"/>
        <v>7.0000000000000007E-2</v>
      </c>
      <c r="BT25">
        <f t="shared" si="45"/>
        <v>0.2</v>
      </c>
      <c r="BU25">
        <f t="shared" si="46"/>
        <v>0.3</v>
      </c>
      <c r="BV25">
        <f t="shared" si="47"/>
        <v>0.21</v>
      </c>
      <c r="BW25">
        <f t="shared" si="81"/>
        <v>0</v>
      </c>
      <c r="BX25">
        <f t="shared" si="82"/>
        <v>0</v>
      </c>
      <c r="BY25">
        <f t="shared" si="83"/>
        <v>0</v>
      </c>
      <c r="BZ25">
        <f t="shared" si="84"/>
        <v>0</v>
      </c>
      <c r="CA25">
        <v>0.8</v>
      </c>
      <c r="CB25">
        <f t="shared" si="85"/>
        <v>5.0000000000000001E-3</v>
      </c>
      <c r="CC25">
        <f t="shared" si="53"/>
        <v>1.57</v>
      </c>
    </row>
    <row r="26" spans="1:83" x14ac:dyDescent="0.2">
      <c r="A26" t="s">
        <v>344</v>
      </c>
      <c r="C26" t="s">
        <v>402</v>
      </c>
      <c r="D26" t="s">
        <v>19</v>
      </c>
      <c r="E26" t="b">
        <v>0</v>
      </c>
      <c r="F26" t="s">
        <v>151</v>
      </c>
      <c r="G26">
        <v>0</v>
      </c>
      <c r="H26">
        <v>0.11</v>
      </c>
      <c r="I26">
        <v>0.89</v>
      </c>
      <c r="J26">
        <v>0</v>
      </c>
      <c r="K26">
        <v>0.5</v>
      </c>
      <c r="L26">
        <v>0.5</v>
      </c>
      <c r="M26">
        <v>0</v>
      </c>
      <c r="N26">
        <v>0.5</v>
      </c>
      <c r="O26">
        <v>0</v>
      </c>
      <c r="P26">
        <v>0</v>
      </c>
      <c r="Q26">
        <v>0.5</v>
      </c>
      <c r="R26" t="b">
        <v>0</v>
      </c>
      <c r="S26">
        <v>0</v>
      </c>
      <c r="T26" t="s">
        <v>122</v>
      </c>
      <c r="W26" t="s">
        <v>122</v>
      </c>
      <c r="X26" t="s">
        <v>271</v>
      </c>
      <c r="Y26" t="s">
        <v>398</v>
      </c>
      <c r="Z26">
        <v>200</v>
      </c>
      <c r="AA26">
        <v>365</v>
      </c>
      <c r="AB26">
        <f t="shared" si="54"/>
        <v>600</v>
      </c>
      <c r="AC26">
        <f t="shared" si="55"/>
        <v>0.1</v>
      </c>
      <c r="AD26">
        <f t="shared" si="3"/>
        <v>0.75</v>
      </c>
      <c r="AE26">
        <f t="shared" si="4"/>
        <v>0.2</v>
      </c>
      <c r="AF26">
        <f t="shared" si="56"/>
        <v>0</v>
      </c>
      <c r="AG26">
        <f t="shared" si="57"/>
        <v>0</v>
      </c>
      <c r="AH26">
        <f t="shared" si="58"/>
        <v>0</v>
      </c>
      <c r="AI26">
        <f t="shared" si="59"/>
        <v>0</v>
      </c>
      <c r="AJ26">
        <f t="shared" si="60"/>
        <v>1</v>
      </c>
      <c r="AK26">
        <f t="shared" si="61"/>
        <v>0</v>
      </c>
      <c r="AL26">
        <f t="shared" si="11"/>
        <v>1.03</v>
      </c>
      <c r="AM26">
        <f t="shared" si="12"/>
        <v>3.0539999999999998</v>
      </c>
      <c r="AN26">
        <f t="shared" si="62"/>
        <v>18.399999999999999</v>
      </c>
      <c r="AO26">
        <f t="shared" si="14"/>
        <v>0.6</v>
      </c>
      <c r="AP26">
        <f t="shared" si="63"/>
        <v>0.5948500000000001</v>
      </c>
      <c r="AQ26">
        <f t="shared" si="64"/>
        <v>0</v>
      </c>
      <c r="AR26">
        <f t="shared" si="65"/>
        <v>1</v>
      </c>
      <c r="AS26">
        <f t="shared" si="66"/>
        <v>9.0270202499999979</v>
      </c>
      <c r="AT26">
        <f t="shared" si="67"/>
        <v>1.0213029780639273</v>
      </c>
      <c r="AU26">
        <f t="shared" si="68"/>
        <v>770</v>
      </c>
      <c r="AV26">
        <f t="shared" si="69"/>
        <v>0.77922077922077926</v>
      </c>
      <c r="AW26">
        <f t="shared" si="22"/>
        <v>6.25</v>
      </c>
      <c r="AX26">
        <f t="shared" si="70"/>
        <v>1.2626203146474679E-3</v>
      </c>
      <c r="AY26">
        <f t="shared" si="71"/>
        <v>1.8054040499999997</v>
      </c>
      <c r="AZ26">
        <f t="shared" si="72"/>
        <v>0.28546836331241399</v>
      </c>
      <c r="BA26" t="str">
        <f t="shared" si="26"/>
        <v/>
      </c>
      <c r="BB26">
        <f t="shared" si="73"/>
        <v>20839.19052180622</v>
      </c>
      <c r="BC26">
        <f t="shared" si="74"/>
        <v>0</v>
      </c>
      <c r="BD26">
        <f t="shared" si="75"/>
        <v>0</v>
      </c>
      <c r="BE26">
        <f t="shared" si="76"/>
        <v>0</v>
      </c>
      <c r="BF26">
        <f t="shared" si="77"/>
        <v>0</v>
      </c>
      <c r="BG26">
        <f t="shared" si="78"/>
        <v>20839.19052180622</v>
      </c>
      <c r="BH26">
        <f t="shared" si="79"/>
        <v>0</v>
      </c>
      <c r="BI26">
        <f t="shared" si="34"/>
        <v>0.02</v>
      </c>
      <c r="BJ26">
        <f t="shared" si="35"/>
        <v>0.24</v>
      </c>
      <c r="BK26">
        <f t="shared" si="80"/>
        <v>0</v>
      </c>
      <c r="BL26">
        <f t="shared" si="37"/>
        <v>1.0999999999999999E-2</v>
      </c>
      <c r="BM26">
        <f t="shared" si="38"/>
        <v>0</v>
      </c>
      <c r="BN26">
        <f t="shared" si="39"/>
        <v>0</v>
      </c>
      <c r="BO26">
        <f t="shared" si="40"/>
        <v>0</v>
      </c>
      <c r="BP26">
        <f t="shared" si="41"/>
        <v>5.0000000000000001E-3</v>
      </c>
      <c r="BQ26">
        <f t="shared" si="42"/>
        <v>0</v>
      </c>
      <c r="BR26">
        <f t="shared" si="43"/>
        <v>0.35</v>
      </c>
      <c r="BS26">
        <f t="shared" si="44"/>
        <v>7.0000000000000007E-2</v>
      </c>
      <c r="BT26">
        <f t="shared" si="45"/>
        <v>0.2</v>
      </c>
      <c r="BU26">
        <f t="shared" si="46"/>
        <v>0.3</v>
      </c>
      <c r="BV26">
        <f t="shared" si="47"/>
        <v>0.21</v>
      </c>
      <c r="BW26">
        <f t="shared" si="81"/>
        <v>0</v>
      </c>
      <c r="BX26">
        <f t="shared" si="82"/>
        <v>0</v>
      </c>
      <c r="BY26">
        <f t="shared" si="83"/>
        <v>0</v>
      </c>
      <c r="BZ26">
        <f t="shared" si="84"/>
        <v>0</v>
      </c>
      <c r="CA26">
        <v>0.8</v>
      </c>
      <c r="CB26">
        <f t="shared" si="85"/>
        <v>5.0000000000000001E-3</v>
      </c>
      <c r="CC26">
        <f t="shared" si="53"/>
        <v>1.57</v>
      </c>
    </row>
    <row r="27" spans="1:83" x14ac:dyDescent="0.2">
      <c r="A27" t="s">
        <v>344</v>
      </c>
      <c r="C27" t="s">
        <v>402</v>
      </c>
      <c r="D27" t="s">
        <v>19</v>
      </c>
      <c r="E27" t="b">
        <v>0</v>
      </c>
      <c r="F27" t="s">
        <v>151</v>
      </c>
      <c r="G27">
        <v>0</v>
      </c>
      <c r="H27">
        <v>0.11</v>
      </c>
      <c r="I27">
        <v>0.89</v>
      </c>
      <c r="J27">
        <v>0</v>
      </c>
      <c r="K27">
        <v>0.5</v>
      </c>
      <c r="L27">
        <v>0.5</v>
      </c>
      <c r="M27">
        <v>0</v>
      </c>
      <c r="N27">
        <v>0.5</v>
      </c>
      <c r="O27">
        <v>0</v>
      </c>
      <c r="P27">
        <v>0</v>
      </c>
      <c r="Q27">
        <v>0.5</v>
      </c>
      <c r="R27" t="b">
        <v>0</v>
      </c>
      <c r="S27">
        <v>0</v>
      </c>
      <c r="T27" t="s">
        <v>122</v>
      </c>
      <c r="W27" t="s">
        <v>122</v>
      </c>
      <c r="X27" t="s">
        <v>271</v>
      </c>
      <c r="Y27" t="s">
        <v>399</v>
      </c>
      <c r="Z27">
        <v>200</v>
      </c>
      <c r="AA27">
        <v>84</v>
      </c>
      <c r="AB27">
        <f t="shared" si="54"/>
        <v>225</v>
      </c>
      <c r="AC27" t="str">
        <f t="shared" si="55"/>
        <v/>
      </c>
      <c r="AD27">
        <f t="shared" si="3"/>
        <v>0.75</v>
      </c>
      <c r="AE27">
        <f t="shared" si="4"/>
        <v>0.2</v>
      </c>
      <c r="AF27">
        <f t="shared" si="56"/>
        <v>0</v>
      </c>
      <c r="AG27">
        <f t="shared" si="57"/>
        <v>0</v>
      </c>
      <c r="AH27">
        <f t="shared" si="58"/>
        <v>0</v>
      </c>
      <c r="AI27">
        <f t="shared" si="59"/>
        <v>0</v>
      </c>
      <c r="AJ27">
        <f t="shared" si="60"/>
        <v>1</v>
      </c>
      <c r="AK27">
        <f t="shared" si="61"/>
        <v>0</v>
      </c>
      <c r="AL27">
        <f t="shared" si="11"/>
        <v>1.03</v>
      </c>
      <c r="AM27">
        <f t="shared" si="12"/>
        <v>3.0539999999999998</v>
      </c>
      <c r="AN27">
        <f t="shared" si="62"/>
        <v>18.399999999999999</v>
      </c>
      <c r="AO27">
        <f t="shared" si="14"/>
        <v>0.6</v>
      </c>
      <c r="AP27">
        <f t="shared" si="63"/>
        <v>0.5948500000000001</v>
      </c>
      <c r="AQ27">
        <f t="shared" si="64"/>
        <v>0</v>
      </c>
      <c r="AR27">
        <f t="shared" si="65"/>
        <v>1</v>
      </c>
      <c r="AS27" t="str">
        <f t="shared" si="66"/>
        <v/>
      </c>
      <c r="AT27" t="str">
        <f t="shared" si="67"/>
        <v/>
      </c>
      <c r="AU27" t="str">
        <f t="shared" si="68"/>
        <v/>
      </c>
      <c r="AV27" t="str">
        <f t="shared" si="69"/>
        <v/>
      </c>
      <c r="AW27">
        <f t="shared" si="22"/>
        <v>6.25</v>
      </c>
      <c r="AX27" t="str">
        <f t="shared" si="70"/>
        <v/>
      </c>
      <c r="AY27" t="str">
        <f t="shared" si="71"/>
        <v/>
      </c>
      <c r="AZ27" t="str">
        <f t="shared" si="72"/>
        <v/>
      </c>
      <c r="BA27">
        <f t="shared" si="26"/>
        <v>9.1999999999999998E-3</v>
      </c>
      <c r="BB27">
        <f t="shared" si="73"/>
        <v>154.56</v>
      </c>
      <c r="BC27">
        <f t="shared" si="74"/>
        <v>0</v>
      </c>
      <c r="BD27">
        <f t="shared" si="75"/>
        <v>0</v>
      </c>
      <c r="BE27">
        <f t="shared" si="76"/>
        <v>0</v>
      </c>
      <c r="BF27">
        <f t="shared" si="77"/>
        <v>0</v>
      </c>
      <c r="BG27">
        <f t="shared" si="78"/>
        <v>154.56</v>
      </c>
      <c r="BH27">
        <f t="shared" si="79"/>
        <v>0</v>
      </c>
      <c r="BI27">
        <f t="shared" si="34"/>
        <v>0.02</v>
      </c>
      <c r="BJ27">
        <f t="shared" si="35"/>
        <v>0.24</v>
      </c>
      <c r="BK27">
        <f t="shared" si="80"/>
        <v>0</v>
      </c>
      <c r="BL27">
        <f t="shared" si="37"/>
        <v>1.0999999999999999E-2</v>
      </c>
      <c r="BM27">
        <f t="shared" si="38"/>
        <v>0</v>
      </c>
      <c r="BN27">
        <f t="shared" si="39"/>
        <v>0</v>
      </c>
      <c r="BO27">
        <f t="shared" si="40"/>
        <v>0</v>
      </c>
      <c r="BP27">
        <f t="shared" si="41"/>
        <v>5.0000000000000001E-3</v>
      </c>
      <c r="BQ27">
        <f t="shared" si="42"/>
        <v>0</v>
      </c>
      <c r="BR27">
        <f t="shared" si="43"/>
        <v>0.35</v>
      </c>
      <c r="BS27">
        <f t="shared" si="44"/>
        <v>7.0000000000000007E-2</v>
      </c>
      <c r="BT27">
        <f t="shared" si="45"/>
        <v>0.2</v>
      </c>
      <c r="BU27">
        <f t="shared" si="46"/>
        <v>0.3</v>
      </c>
      <c r="BV27">
        <f t="shared" si="47"/>
        <v>0.21</v>
      </c>
      <c r="BW27">
        <f t="shared" si="81"/>
        <v>0</v>
      </c>
      <c r="BX27">
        <f t="shared" si="82"/>
        <v>0</v>
      </c>
      <c r="BY27">
        <f t="shared" si="83"/>
        <v>0</v>
      </c>
      <c r="BZ27">
        <f t="shared" si="84"/>
        <v>0</v>
      </c>
      <c r="CA27">
        <v>0.8</v>
      </c>
      <c r="CB27">
        <f t="shared" si="85"/>
        <v>5.0000000000000001E-3</v>
      </c>
      <c r="CC27">
        <f t="shared" si="53"/>
        <v>1.57</v>
      </c>
    </row>
    <row r="28" spans="1:83" s="3" customFormat="1" x14ac:dyDescent="0.2">
      <c r="A28" t="s">
        <v>344</v>
      </c>
      <c r="C28" s="3" t="s">
        <v>402</v>
      </c>
      <c r="D28" s="3" t="s">
        <v>19</v>
      </c>
      <c r="E28" s="3" t="b">
        <v>0</v>
      </c>
      <c r="F28" s="3" t="s">
        <v>151</v>
      </c>
      <c r="G28" s="3">
        <v>0</v>
      </c>
      <c r="H28" s="3">
        <v>0.11</v>
      </c>
      <c r="I28" s="3">
        <v>0.89</v>
      </c>
      <c r="J28" s="3">
        <v>0</v>
      </c>
      <c r="K28" s="3">
        <v>0.5</v>
      </c>
      <c r="L28" s="3">
        <v>0.5</v>
      </c>
      <c r="M28" s="3">
        <v>0</v>
      </c>
      <c r="N28" s="3">
        <v>0.5</v>
      </c>
      <c r="O28" s="3">
        <v>0</v>
      </c>
      <c r="P28" s="3">
        <v>0</v>
      </c>
      <c r="Q28" s="3">
        <v>0.5</v>
      </c>
      <c r="R28" s="3" t="b">
        <v>0</v>
      </c>
      <c r="S28" s="3">
        <v>0</v>
      </c>
      <c r="T28" s="3" t="s">
        <v>122</v>
      </c>
      <c r="W28" s="3" t="s">
        <v>122</v>
      </c>
      <c r="X28" s="3" t="s">
        <v>271</v>
      </c>
      <c r="Y28" s="3" t="s">
        <v>400</v>
      </c>
      <c r="Z28" s="3">
        <v>200</v>
      </c>
      <c r="AA28" s="3">
        <v>281</v>
      </c>
      <c r="AB28" s="3">
        <f t="shared" si="54"/>
        <v>225</v>
      </c>
      <c r="AC28" s="3">
        <f t="shared" si="55"/>
        <v>0.8</v>
      </c>
      <c r="AD28" s="3">
        <f t="shared" si="3"/>
        <v>0.75</v>
      </c>
      <c r="AE28" s="3">
        <f t="shared" si="4"/>
        <v>0.2</v>
      </c>
      <c r="AF28" s="3">
        <f t="shared" si="56"/>
        <v>0</v>
      </c>
      <c r="AG28" s="3">
        <f t="shared" si="57"/>
        <v>0</v>
      </c>
      <c r="AH28" s="3">
        <f t="shared" si="58"/>
        <v>0</v>
      </c>
      <c r="AI28" s="3">
        <f t="shared" si="59"/>
        <v>0</v>
      </c>
      <c r="AJ28" s="3">
        <f t="shared" si="60"/>
        <v>1</v>
      </c>
      <c r="AK28" s="3">
        <f t="shared" si="61"/>
        <v>0</v>
      </c>
      <c r="AL28" s="3">
        <f t="shared" si="11"/>
        <v>1.03</v>
      </c>
      <c r="AM28" s="3">
        <f t="shared" si="12"/>
        <v>3.0539999999999998</v>
      </c>
      <c r="AN28" s="3">
        <f t="shared" si="62"/>
        <v>18.399999999999999</v>
      </c>
      <c r="AO28" s="3">
        <f t="shared" si="14"/>
        <v>0.6</v>
      </c>
      <c r="AP28" s="3">
        <f t="shared" si="63"/>
        <v>0.5948500000000001</v>
      </c>
      <c r="AQ28" s="3">
        <f t="shared" si="64"/>
        <v>0</v>
      </c>
      <c r="AR28" s="3">
        <f t="shared" si="65"/>
        <v>1</v>
      </c>
      <c r="AS28" s="3">
        <f t="shared" si="66"/>
        <v>5.4143472656250013</v>
      </c>
      <c r="AT28" s="3">
        <f t="shared" si="67"/>
        <v>1.2576570545672616</v>
      </c>
      <c r="AU28" s="3">
        <f t="shared" si="68"/>
        <v>770</v>
      </c>
      <c r="AV28" s="3">
        <f t="shared" si="69"/>
        <v>0.29220779220779219</v>
      </c>
      <c r="AW28" s="3">
        <f t="shared" si="22"/>
        <v>6.25</v>
      </c>
      <c r="AX28" s="3">
        <f t="shared" si="70"/>
        <v>1.9757354894894084E-2</v>
      </c>
      <c r="AY28" s="3">
        <f t="shared" si="71"/>
        <v>1.0828694531250003</v>
      </c>
      <c r="AZ28" s="3">
        <f t="shared" si="72"/>
        <v>0.15247929000170721</v>
      </c>
      <c r="BA28" s="3" t="str">
        <f t="shared" si="26"/>
        <v/>
      </c>
      <c r="BB28" s="3">
        <f t="shared" si="73"/>
        <v>8569.336098095946</v>
      </c>
      <c r="BC28" s="3">
        <f t="shared" si="74"/>
        <v>0</v>
      </c>
      <c r="BD28" s="3">
        <f t="shared" si="75"/>
        <v>0</v>
      </c>
      <c r="BE28" s="3">
        <f t="shared" si="76"/>
        <v>0</v>
      </c>
      <c r="BF28" s="3">
        <f t="shared" si="77"/>
        <v>0</v>
      </c>
      <c r="BG28" s="3">
        <f t="shared" si="78"/>
        <v>8569.336098095946</v>
      </c>
      <c r="BH28" s="3">
        <f t="shared" si="79"/>
        <v>0</v>
      </c>
      <c r="BI28" s="3">
        <f t="shared" si="34"/>
        <v>0.02</v>
      </c>
      <c r="BJ28" s="3">
        <f t="shared" si="35"/>
        <v>0.24</v>
      </c>
      <c r="BK28" s="3">
        <f t="shared" si="80"/>
        <v>0</v>
      </c>
      <c r="BL28" s="3">
        <f t="shared" si="37"/>
        <v>1.0999999999999999E-2</v>
      </c>
      <c r="BM28" s="3">
        <f t="shared" si="38"/>
        <v>0</v>
      </c>
      <c r="BN28" s="3">
        <f t="shared" si="39"/>
        <v>0</v>
      </c>
      <c r="BO28" s="3">
        <f t="shared" si="40"/>
        <v>0</v>
      </c>
      <c r="BP28" s="3">
        <f t="shared" si="41"/>
        <v>5.0000000000000001E-3</v>
      </c>
      <c r="BQ28" s="3">
        <f t="shared" si="42"/>
        <v>0</v>
      </c>
      <c r="BR28" s="3">
        <f t="shared" si="43"/>
        <v>0.35</v>
      </c>
      <c r="BS28" s="3">
        <f t="shared" si="44"/>
        <v>7.0000000000000007E-2</v>
      </c>
      <c r="BT28" s="3">
        <f t="shared" si="45"/>
        <v>0.2</v>
      </c>
      <c r="BU28" s="3">
        <f t="shared" si="46"/>
        <v>0.3</v>
      </c>
      <c r="BV28" s="3">
        <f t="shared" si="47"/>
        <v>0.21</v>
      </c>
      <c r="BW28" s="3">
        <f t="shared" si="81"/>
        <v>0</v>
      </c>
      <c r="BX28" s="3">
        <f t="shared" si="82"/>
        <v>0</v>
      </c>
      <c r="BY28" s="3">
        <f t="shared" si="83"/>
        <v>0</v>
      </c>
      <c r="BZ28" s="3">
        <f t="shared" si="84"/>
        <v>0</v>
      </c>
      <c r="CA28" s="3">
        <v>0.8</v>
      </c>
      <c r="CB28" s="3">
        <f t="shared" si="85"/>
        <v>5.0000000000000001E-3</v>
      </c>
      <c r="CC28" s="3">
        <f t="shared" si="53"/>
        <v>1.57</v>
      </c>
    </row>
    <row r="29" spans="1:83" x14ac:dyDescent="0.2">
      <c r="A29" t="s">
        <v>344</v>
      </c>
      <c r="C29" t="s">
        <v>404</v>
      </c>
      <c r="D29" t="s">
        <v>19</v>
      </c>
      <c r="E29" t="b">
        <v>1</v>
      </c>
      <c r="F29" t="s">
        <v>129</v>
      </c>
      <c r="G29">
        <v>0.89</v>
      </c>
      <c r="H29">
        <v>0.11</v>
      </c>
      <c r="I29">
        <v>0</v>
      </c>
      <c r="J29">
        <v>0.1</v>
      </c>
      <c r="K29">
        <v>0.2</v>
      </c>
      <c r="L29">
        <v>0.3</v>
      </c>
      <c r="M29">
        <v>0.4</v>
      </c>
      <c r="N29">
        <v>0.4</v>
      </c>
      <c r="O29">
        <v>0.3</v>
      </c>
      <c r="P29">
        <v>0.2</v>
      </c>
      <c r="Q29">
        <v>0.1</v>
      </c>
      <c r="R29" t="b">
        <v>0</v>
      </c>
      <c r="S29">
        <v>0</v>
      </c>
      <c r="T29" t="s">
        <v>122</v>
      </c>
      <c r="U29" t="s">
        <v>122</v>
      </c>
      <c r="V29" t="s">
        <v>122</v>
      </c>
      <c r="W29">
        <v>20</v>
      </c>
      <c r="X29" t="s">
        <v>272</v>
      </c>
      <c r="Y29" t="s">
        <v>394</v>
      </c>
      <c r="Z29">
        <v>200</v>
      </c>
      <c r="AA29">
        <v>365</v>
      </c>
      <c r="AB29">
        <f t="shared" si="54"/>
        <v>500</v>
      </c>
      <c r="AC29">
        <f t="shared" si="55"/>
        <v>1.6E-2</v>
      </c>
      <c r="AD29">
        <f t="shared" si="3"/>
        <v>0.75</v>
      </c>
      <c r="AE29">
        <f t="shared" si="4"/>
        <v>0.2</v>
      </c>
      <c r="AF29">
        <f t="shared" si="56"/>
        <v>1.1000000000000001E-2</v>
      </c>
      <c r="AG29">
        <f t="shared" si="57"/>
        <v>2.2000000000000002E-2</v>
      </c>
      <c r="AH29">
        <f t="shared" si="58"/>
        <v>3.3000000000000002E-2</v>
      </c>
      <c r="AI29">
        <f t="shared" si="59"/>
        <v>4.4000000000000004E-2</v>
      </c>
      <c r="AJ29">
        <f t="shared" si="60"/>
        <v>0.89</v>
      </c>
      <c r="AK29">
        <f t="shared" si="61"/>
        <v>20</v>
      </c>
      <c r="AL29">
        <f t="shared" si="11"/>
        <v>1.03</v>
      </c>
      <c r="AM29">
        <f t="shared" si="12"/>
        <v>3.0539999999999998</v>
      </c>
      <c r="AN29">
        <f t="shared" si="62"/>
        <v>18.399999999999999</v>
      </c>
      <c r="AO29">
        <f t="shared" si="14"/>
        <v>0.6</v>
      </c>
      <c r="AP29">
        <f t="shared" si="63"/>
        <v>0.5948500000000001</v>
      </c>
      <c r="AQ29">
        <f t="shared" si="64"/>
        <v>9.5798721636071917</v>
      </c>
      <c r="AR29">
        <f t="shared" si="65"/>
        <v>1.1000000000000001</v>
      </c>
      <c r="AS29">
        <f t="shared" si="66"/>
        <v>18.265829445367196</v>
      </c>
      <c r="AT29">
        <f t="shared" si="67"/>
        <v>1.0017071727165394</v>
      </c>
      <c r="AU29">
        <f t="shared" si="68"/>
        <v>590</v>
      </c>
      <c r="AV29">
        <f t="shared" si="69"/>
        <v>0.84745762711864403</v>
      </c>
      <c r="AW29">
        <f t="shared" si="22"/>
        <v>6.25</v>
      </c>
      <c r="AX29">
        <f t="shared" si="70"/>
        <v>0.10351472280849285</v>
      </c>
      <c r="AY29">
        <f t="shared" si="71"/>
        <v>3.6531658890734393</v>
      </c>
      <c r="AZ29">
        <f t="shared" si="72"/>
        <v>0.47913084601960204</v>
      </c>
      <c r="BA29" t="str">
        <f t="shared" si="26"/>
        <v/>
      </c>
      <c r="BB29">
        <f t="shared" si="73"/>
        <v>34976.551759430949</v>
      </c>
      <c r="BC29">
        <f t="shared" si="74"/>
        <v>384.74206935374048</v>
      </c>
      <c r="BD29">
        <f t="shared" si="75"/>
        <v>769.48413870748095</v>
      </c>
      <c r="BE29">
        <f t="shared" si="76"/>
        <v>1154.2262080612213</v>
      </c>
      <c r="BF29">
        <f t="shared" si="77"/>
        <v>1538.9682774149619</v>
      </c>
      <c r="BG29">
        <f t="shared" si="78"/>
        <v>31129.131065893547</v>
      </c>
      <c r="BH29">
        <f t="shared" si="79"/>
        <v>1</v>
      </c>
      <c r="BI29">
        <f t="shared" si="34"/>
        <v>0.02</v>
      </c>
      <c r="BJ29">
        <f t="shared" si="35"/>
        <v>0.24</v>
      </c>
      <c r="BK29">
        <f t="shared" si="80"/>
        <v>30.779365548299239</v>
      </c>
      <c r="BL29">
        <f t="shared" si="37"/>
        <v>1.0999999999999999E-2</v>
      </c>
      <c r="BM29">
        <f t="shared" si="38"/>
        <v>0</v>
      </c>
      <c r="BN29">
        <f t="shared" si="39"/>
        <v>0</v>
      </c>
      <c r="BO29">
        <f t="shared" si="40"/>
        <v>0</v>
      </c>
      <c r="BP29">
        <f t="shared" si="41"/>
        <v>5.0000000000000001E-3</v>
      </c>
      <c r="BQ29">
        <f t="shared" si="42"/>
        <v>0</v>
      </c>
      <c r="BR29">
        <f t="shared" si="43"/>
        <v>0.35</v>
      </c>
      <c r="BS29">
        <f t="shared" si="44"/>
        <v>7.0000000000000007E-2</v>
      </c>
      <c r="BT29">
        <f t="shared" si="45"/>
        <v>0.2</v>
      </c>
      <c r="BU29">
        <f t="shared" si="46"/>
        <v>0.3</v>
      </c>
      <c r="BV29">
        <f t="shared" si="47"/>
        <v>0.21</v>
      </c>
      <c r="BW29">
        <f t="shared" si="81"/>
        <v>250.08234507993132</v>
      </c>
      <c r="BX29">
        <f t="shared" si="82"/>
        <v>715.62024899795722</v>
      </c>
      <c r="BY29">
        <f t="shared" si="83"/>
        <v>923.38096644897712</v>
      </c>
      <c r="BZ29">
        <f t="shared" si="84"/>
        <v>1038.8035872550995</v>
      </c>
      <c r="CA29">
        <v>0.8</v>
      </c>
      <c r="CB29">
        <f t="shared" si="85"/>
        <v>5.0000000000000001E-3</v>
      </c>
      <c r="CC29">
        <f t="shared" si="53"/>
        <v>1.57</v>
      </c>
      <c r="CD29">
        <f t="shared" ref="CD29" si="88">SUM(BW29:BZ29)*CA29</f>
        <v>2342.3097182255724</v>
      </c>
      <c r="CE29">
        <f t="shared" ref="CE29" si="89">CD29*$CC29*$CB29/1000</f>
        <v>1.8387131288070745E-2</v>
      </c>
    </row>
    <row r="30" spans="1:83" x14ac:dyDescent="0.2">
      <c r="A30" t="s">
        <v>344</v>
      </c>
      <c r="C30" t="s">
        <v>404</v>
      </c>
      <c r="D30" t="s">
        <v>19</v>
      </c>
      <c r="E30" t="b">
        <v>1</v>
      </c>
      <c r="F30" t="s">
        <v>129</v>
      </c>
      <c r="G30">
        <v>0.89</v>
      </c>
      <c r="H30">
        <v>0.11</v>
      </c>
      <c r="I30">
        <v>0</v>
      </c>
      <c r="J30">
        <v>0.1</v>
      </c>
      <c r="K30">
        <v>0.2</v>
      </c>
      <c r="L30">
        <v>0.3</v>
      </c>
      <c r="M30">
        <v>0.4</v>
      </c>
      <c r="N30">
        <v>0.4</v>
      </c>
      <c r="O30">
        <v>0.3</v>
      </c>
      <c r="P30">
        <v>0.2</v>
      </c>
      <c r="Q30">
        <v>0.1</v>
      </c>
      <c r="R30" t="b">
        <v>0</v>
      </c>
      <c r="S30">
        <v>0</v>
      </c>
      <c r="T30" t="s">
        <v>122</v>
      </c>
      <c r="W30" t="s">
        <v>122</v>
      </c>
      <c r="X30" t="s">
        <v>272</v>
      </c>
      <c r="Y30" t="s">
        <v>395</v>
      </c>
      <c r="Z30">
        <v>200</v>
      </c>
      <c r="AA30">
        <v>365</v>
      </c>
      <c r="AB30">
        <f t="shared" ref="AB30:AB42" si="90">INDEX($B$75:$H$84, MATCH(X30, $A$75:$A$84, 0), MATCH(Y30,$B$74:$H$74, 0))</f>
        <v>350</v>
      </c>
      <c r="AC30">
        <f t="shared" ref="AC30:AC42" si="91">_xlfn.XLOOKUP(Y30, $B$86:$F$86, $B$88:$F$88, "")</f>
        <v>0.6</v>
      </c>
      <c r="AD30">
        <f t="shared" si="3"/>
        <v>0.75</v>
      </c>
      <c r="AE30">
        <f t="shared" si="4"/>
        <v>0.2</v>
      </c>
      <c r="AF30">
        <f t="shared" ref="AF30:AF42" si="92">IF($Y30="milkingCows",($H30*J30)+($I30*N30), 0)</f>
        <v>0</v>
      </c>
      <c r="AG30">
        <f t="shared" ref="AG30:AG63" si="93">IF($Y30="milkingCows",($H30*K30)+($I30*O30), 0)</f>
        <v>0</v>
      </c>
      <c r="AH30">
        <f t="shared" ref="AH30:AH63" si="94">IF($Y30="milkingCows",($H30*L30)+($I30*P30), 0)</f>
        <v>0</v>
      </c>
      <c r="AI30">
        <f t="shared" ref="AI30:AI63" si="95">IF($Y30="milkingCows",($H30*M30)+($I30*Q30), 0)</f>
        <v>0</v>
      </c>
      <c r="AJ30">
        <f t="shared" ref="AJ30:AJ42" si="96">IF($Y30="milkingCows",G30, 1)</f>
        <v>1</v>
      </c>
      <c r="AK30">
        <f t="shared" ref="AK30:AK42" si="97">IF(Y30="milkingCows", IF(W30&lt;&gt;"", W30, T30/((U30+V30)*0.01)), 0)</f>
        <v>0</v>
      </c>
      <c r="AL30">
        <f t="shared" si="11"/>
        <v>1.03</v>
      </c>
      <c r="AM30">
        <f t="shared" si="12"/>
        <v>3.0539999999999998</v>
      </c>
      <c r="AN30">
        <f t="shared" ref="AN30:AN42" si="98">B$115</f>
        <v>18.399999999999999</v>
      </c>
      <c r="AO30">
        <f t="shared" si="14"/>
        <v>0.6</v>
      </c>
      <c r="AP30">
        <f t="shared" ref="AP30:AP42" si="99">0.795*(AD30)-0.0014</f>
        <v>0.5948500000000001</v>
      </c>
      <c r="AQ30">
        <f t="shared" ref="AQ30:AQ42" si="100">(AK30*AL30*AM30)/(AN30*AO30*AP30)</f>
        <v>0</v>
      </c>
      <c r="AR30">
        <f t="shared" ref="AR30:AR42" si="101">IF(Y30="milkingCows",$P$75,$P$76)</f>
        <v>1</v>
      </c>
      <c r="AS30">
        <f t="shared" ref="AS30:AS42" si="102">IFERROR(((1.185+(0.00454*AB30)-(0.0000026*(AB30^2))+(0.315*AC30))^2*AR30+AQ30), "")</f>
        <v>6.9933802499999995</v>
      </c>
      <c r="AT30">
        <f t="shared" ref="AT30:AT42" si="103">IFERROR(((1.185+(0.00454*AB30)-(0.0000026*(AB30^2))+(0.315*AC30))^2*AR30+AQ30)/((1.185+(0.00454*AB30)-(0.0000026*(AB30^2)))^2*AR30+AQ30), "")</f>
        <v>1.1598645256363516</v>
      </c>
      <c r="AU30">
        <f t="shared" ref="AU30:AU42" si="104">_xlfn.XLOOKUP(Y30, $B$86:$F$86, $B$87:$F$87, "")</f>
        <v>590</v>
      </c>
      <c r="AV30">
        <f t="shared" ref="AV30:AV42" si="105">IFERROR(AB30/AU30, "")</f>
        <v>0.59322033898305082</v>
      </c>
      <c r="AW30">
        <f t="shared" si="22"/>
        <v>6.25</v>
      </c>
      <c r="AX30">
        <f t="shared" ref="AX30:AX42" si="106">IFERROR((((0.212 - (0.008*(AT30-2)) - (0.14-0.008*(AT30-2))/(1+EXP(-6*(AV30-0.4)))) * AC30 * 0.92)/AW30) + (0.032*AK30*AL30)/6.38, "")</f>
        <v>9.4533842373449011E-3</v>
      </c>
      <c r="AY30">
        <f t="shared" ref="AY30:AY42" si="107">IFERROR(AE30*AS30, "")</f>
        <v>1.3986760499999999</v>
      </c>
      <c r="AZ30">
        <f t="shared" ref="AZ30:AZ42" si="108">IF(ISNUMBER(FIND("PreWeaned",Y30)),"", (AY30/AW30)-AX30-(((1.1*10^-4)*(AB30^0.75))/AW30))</f>
        <v>0.21291060763723293</v>
      </c>
      <c r="BA30" t="str">
        <f t="shared" si="26"/>
        <v/>
      </c>
      <c r="BB30">
        <f t="shared" ref="BB30:BB42" si="109">SUM(AZ30:BA30)*Z30*AA30</f>
        <v>15542.474357518005</v>
      </c>
      <c r="BC30">
        <f t="shared" ref="BC30:BC42" si="110">$BB30*AF30</f>
        <v>0</v>
      </c>
      <c r="BD30">
        <f t="shared" ref="BD30:BD42" si="111">$BB30*AG30</f>
        <v>0</v>
      </c>
      <c r="BE30">
        <f t="shared" ref="BE30:BE42" si="112">$BB30*AH30</f>
        <v>0</v>
      </c>
      <c r="BF30">
        <f t="shared" ref="BF30:BF42" si="113">$BB30*AI30</f>
        <v>0</v>
      </c>
      <c r="BG30">
        <f t="shared" ref="BG30:BG42" si="114">$BB30*AJ30</f>
        <v>15542.474357518005</v>
      </c>
      <c r="BH30">
        <f t="shared" ref="BH30:BH42" si="115">IF(E30, 1, 0)</f>
        <v>1</v>
      </c>
      <c r="BI30">
        <f t="shared" si="34"/>
        <v>0.02</v>
      </c>
      <c r="BJ30">
        <f t="shared" si="35"/>
        <v>0.24</v>
      </c>
      <c r="BK30">
        <f t="shared" ref="BK30:BK42" si="116">BF30*$BH30*BI30</f>
        <v>0</v>
      </c>
      <c r="BL30">
        <f t="shared" si="37"/>
        <v>1.0999999999999999E-2</v>
      </c>
      <c r="BM30">
        <f t="shared" si="38"/>
        <v>0</v>
      </c>
      <c r="BN30">
        <f t="shared" si="39"/>
        <v>0</v>
      </c>
      <c r="BO30">
        <f t="shared" si="40"/>
        <v>0</v>
      </c>
      <c r="BP30">
        <f t="shared" si="41"/>
        <v>5.0000000000000001E-3</v>
      </c>
      <c r="BQ30">
        <f t="shared" si="42"/>
        <v>0</v>
      </c>
      <c r="BR30">
        <f t="shared" si="43"/>
        <v>0.35</v>
      </c>
      <c r="BS30">
        <f t="shared" si="44"/>
        <v>7.0000000000000007E-2</v>
      </c>
      <c r="BT30">
        <f t="shared" si="45"/>
        <v>0.2</v>
      </c>
      <c r="BU30">
        <f t="shared" si="46"/>
        <v>0.3</v>
      </c>
      <c r="BV30">
        <f t="shared" si="47"/>
        <v>0.21</v>
      </c>
      <c r="BW30">
        <f t="shared" si="81"/>
        <v>0</v>
      </c>
      <c r="BX30">
        <f t="shared" si="82"/>
        <v>0</v>
      </c>
      <c r="BY30">
        <f t="shared" si="83"/>
        <v>0</v>
      </c>
      <c r="BZ30">
        <f t="shared" si="84"/>
        <v>0</v>
      </c>
      <c r="CA30">
        <v>0.8</v>
      </c>
      <c r="CB30">
        <f t="shared" si="85"/>
        <v>5.0000000000000001E-3</v>
      </c>
      <c r="CC30">
        <f t="shared" si="53"/>
        <v>1.57</v>
      </c>
    </row>
    <row r="31" spans="1:83" x14ac:dyDescent="0.2">
      <c r="A31" t="s">
        <v>344</v>
      </c>
      <c r="C31" t="s">
        <v>404</v>
      </c>
      <c r="D31" t="s">
        <v>19</v>
      </c>
      <c r="E31" t="b">
        <v>1</v>
      </c>
      <c r="F31" t="s">
        <v>129</v>
      </c>
      <c r="G31">
        <v>0.89</v>
      </c>
      <c r="H31">
        <v>0.11</v>
      </c>
      <c r="I31">
        <v>0</v>
      </c>
      <c r="J31">
        <v>0.1</v>
      </c>
      <c r="K31">
        <v>0.2</v>
      </c>
      <c r="L31">
        <v>0.3</v>
      </c>
      <c r="M31">
        <v>0.4</v>
      </c>
      <c r="N31">
        <v>0.4</v>
      </c>
      <c r="O31">
        <v>0.3</v>
      </c>
      <c r="P31">
        <v>0.2</v>
      </c>
      <c r="Q31">
        <v>0.1</v>
      </c>
      <c r="R31" t="b">
        <v>0</v>
      </c>
      <c r="S31">
        <v>0</v>
      </c>
      <c r="T31" t="s">
        <v>122</v>
      </c>
      <c r="W31" t="s">
        <v>122</v>
      </c>
      <c r="X31" t="s">
        <v>272</v>
      </c>
      <c r="Y31" t="s">
        <v>396</v>
      </c>
      <c r="Z31">
        <v>200</v>
      </c>
      <c r="AA31">
        <v>84</v>
      </c>
      <c r="AB31">
        <f t="shared" si="90"/>
        <v>145</v>
      </c>
      <c r="AC31" t="str">
        <f t="shared" si="91"/>
        <v/>
      </c>
      <c r="AD31">
        <f t="shared" si="3"/>
        <v>0.75</v>
      </c>
      <c r="AE31">
        <f t="shared" si="4"/>
        <v>0.2</v>
      </c>
      <c r="AF31">
        <f t="shared" si="92"/>
        <v>0</v>
      </c>
      <c r="AG31">
        <f t="shared" si="93"/>
        <v>0</v>
      </c>
      <c r="AH31">
        <f t="shared" si="94"/>
        <v>0</v>
      </c>
      <c r="AI31">
        <f t="shared" si="95"/>
        <v>0</v>
      </c>
      <c r="AJ31">
        <f t="shared" si="96"/>
        <v>1</v>
      </c>
      <c r="AK31">
        <f t="shared" si="97"/>
        <v>0</v>
      </c>
      <c r="AL31">
        <f t="shared" si="11"/>
        <v>1.03</v>
      </c>
      <c r="AM31">
        <f t="shared" si="12"/>
        <v>3.0539999999999998</v>
      </c>
      <c r="AN31">
        <f t="shared" si="98"/>
        <v>18.399999999999999</v>
      </c>
      <c r="AO31">
        <f t="shared" si="14"/>
        <v>0.6</v>
      </c>
      <c r="AP31">
        <f t="shared" si="99"/>
        <v>0.5948500000000001</v>
      </c>
      <c r="AQ31">
        <f t="shared" si="100"/>
        <v>0</v>
      </c>
      <c r="AR31">
        <f t="shared" si="101"/>
        <v>1</v>
      </c>
      <c r="AS31" t="str">
        <f t="shared" si="102"/>
        <v/>
      </c>
      <c r="AT31" t="str">
        <f t="shared" si="103"/>
        <v/>
      </c>
      <c r="AU31" t="str">
        <f t="shared" si="104"/>
        <v/>
      </c>
      <c r="AV31" t="str">
        <f t="shared" si="105"/>
        <v/>
      </c>
      <c r="AW31">
        <f t="shared" si="22"/>
        <v>6.25</v>
      </c>
      <c r="AX31" t="str">
        <f t="shared" si="106"/>
        <v/>
      </c>
      <c r="AY31" t="str">
        <f t="shared" si="107"/>
        <v/>
      </c>
      <c r="AZ31" t="str">
        <f t="shared" si="108"/>
        <v/>
      </c>
      <c r="BA31">
        <f t="shared" si="26"/>
        <v>1.37E-2</v>
      </c>
      <c r="BB31">
        <f t="shared" si="109"/>
        <v>230.16000000000003</v>
      </c>
      <c r="BC31">
        <f t="shared" si="110"/>
        <v>0</v>
      </c>
      <c r="BD31">
        <f t="shared" si="111"/>
        <v>0</v>
      </c>
      <c r="BE31">
        <f t="shared" si="112"/>
        <v>0</v>
      </c>
      <c r="BF31">
        <f t="shared" si="113"/>
        <v>0</v>
      </c>
      <c r="BG31">
        <f t="shared" si="114"/>
        <v>230.16000000000003</v>
      </c>
      <c r="BH31">
        <f t="shared" si="115"/>
        <v>1</v>
      </c>
      <c r="BI31">
        <f t="shared" si="34"/>
        <v>0.02</v>
      </c>
      <c r="BJ31">
        <f t="shared" si="35"/>
        <v>0.24</v>
      </c>
      <c r="BK31">
        <f t="shared" si="116"/>
        <v>0</v>
      </c>
      <c r="BL31">
        <f t="shared" si="37"/>
        <v>1.0999999999999999E-2</v>
      </c>
      <c r="BM31">
        <f t="shared" si="38"/>
        <v>0</v>
      </c>
      <c r="BN31">
        <f t="shared" si="39"/>
        <v>0</v>
      </c>
      <c r="BO31">
        <f t="shared" si="40"/>
        <v>0</v>
      </c>
      <c r="BP31">
        <f t="shared" si="41"/>
        <v>5.0000000000000001E-3</v>
      </c>
      <c r="BQ31">
        <f t="shared" si="42"/>
        <v>0</v>
      </c>
      <c r="BR31">
        <f t="shared" si="43"/>
        <v>0.35</v>
      </c>
      <c r="BS31">
        <f t="shared" si="44"/>
        <v>7.0000000000000007E-2</v>
      </c>
      <c r="BT31">
        <f t="shared" si="45"/>
        <v>0.2</v>
      </c>
      <c r="BU31">
        <f t="shared" si="46"/>
        <v>0.3</v>
      </c>
      <c r="BV31">
        <f t="shared" si="47"/>
        <v>0.21</v>
      </c>
      <c r="BW31">
        <f t="shared" si="81"/>
        <v>0</v>
      </c>
      <c r="BX31">
        <f t="shared" si="82"/>
        <v>0</v>
      </c>
      <c r="BY31">
        <f t="shared" si="83"/>
        <v>0</v>
      </c>
      <c r="BZ31">
        <f t="shared" si="84"/>
        <v>0</v>
      </c>
      <c r="CA31">
        <v>0.8</v>
      </c>
      <c r="CB31">
        <f t="shared" si="85"/>
        <v>5.0000000000000001E-3</v>
      </c>
      <c r="CC31">
        <f t="shared" si="53"/>
        <v>1.57</v>
      </c>
    </row>
    <row r="32" spans="1:83" x14ac:dyDescent="0.2">
      <c r="A32" t="s">
        <v>344</v>
      </c>
      <c r="C32" t="s">
        <v>404</v>
      </c>
      <c r="D32" t="s">
        <v>19</v>
      </c>
      <c r="E32" t="b">
        <v>1</v>
      </c>
      <c r="F32" t="s">
        <v>129</v>
      </c>
      <c r="G32">
        <v>0.89</v>
      </c>
      <c r="H32">
        <v>0.11</v>
      </c>
      <c r="I32">
        <v>0</v>
      </c>
      <c r="J32">
        <v>0.1</v>
      </c>
      <c r="K32">
        <v>0.2</v>
      </c>
      <c r="L32">
        <v>0.3</v>
      </c>
      <c r="M32">
        <v>0.4</v>
      </c>
      <c r="N32">
        <v>0.4</v>
      </c>
      <c r="O32">
        <v>0.3</v>
      </c>
      <c r="P32">
        <v>0.2</v>
      </c>
      <c r="Q32">
        <v>0.1</v>
      </c>
      <c r="R32" t="b">
        <v>0</v>
      </c>
      <c r="S32">
        <v>0</v>
      </c>
      <c r="T32" t="s">
        <v>122</v>
      </c>
      <c r="W32" t="s">
        <v>122</v>
      </c>
      <c r="X32" t="s">
        <v>272</v>
      </c>
      <c r="Y32" t="s">
        <v>397</v>
      </c>
      <c r="Z32">
        <v>200</v>
      </c>
      <c r="AA32">
        <v>281</v>
      </c>
      <c r="AB32">
        <f t="shared" si="90"/>
        <v>145</v>
      </c>
      <c r="AC32">
        <f t="shared" si="91"/>
        <v>0.56999999999999995</v>
      </c>
      <c r="AD32">
        <f t="shared" si="3"/>
        <v>0.75</v>
      </c>
      <c r="AE32">
        <f t="shared" si="4"/>
        <v>0.2</v>
      </c>
      <c r="AF32">
        <f t="shared" si="92"/>
        <v>0</v>
      </c>
      <c r="AG32">
        <f t="shared" si="93"/>
        <v>0</v>
      </c>
      <c r="AH32">
        <f t="shared" si="94"/>
        <v>0</v>
      </c>
      <c r="AI32">
        <f t="shared" si="95"/>
        <v>0</v>
      </c>
      <c r="AJ32">
        <f t="shared" si="96"/>
        <v>1</v>
      </c>
      <c r="AK32">
        <f t="shared" si="97"/>
        <v>0</v>
      </c>
      <c r="AL32">
        <f t="shared" si="11"/>
        <v>1.03</v>
      </c>
      <c r="AM32">
        <f t="shared" si="12"/>
        <v>3.0539999999999998</v>
      </c>
      <c r="AN32">
        <f t="shared" si="98"/>
        <v>18.399999999999999</v>
      </c>
      <c r="AO32">
        <f t="shared" si="14"/>
        <v>0.6</v>
      </c>
      <c r="AP32">
        <f t="shared" si="99"/>
        <v>0.5948500000000001</v>
      </c>
      <c r="AQ32">
        <f t="shared" si="100"/>
        <v>0</v>
      </c>
      <c r="AR32">
        <f t="shared" si="101"/>
        <v>1</v>
      </c>
      <c r="AS32">
        <f t="shared" si="102"/>
        <v>3.8737521942250002</v>
      </c>
      <c r="AT32">
        <f t="shared" si="103"/>
        <v>1.2108445342325853</v>
      </c>
      <c r="AU32">
        <f t="shared" si="104"/>
        <v>590</v>
      </c>
      <c r="AV32">
        <f t="shared" si="105"/>
        <v>0.24576271186440679</v>
      </c>
      <c r="AW32">
        <f t="shared" si="22"/>
        <v>6.25</v>
      </c>
      <c r="AX32">
        <f t="shared" si="106"/>
        <v>1.4832686313540533E-2</v>
      </c>
      <c r="AY32">
        <f t="shared" si="107"/>
        <v>0.77475043884500006</v>
      </c>
      <c r="AZ32">
        <f t="shared" si="108"/>
        <v>0.10839195842696786</v>
      </c>
      <c r="BA32" t="str">
        <f t="shared" si="26"/>
        <v/>
      </c>
      <c r="BB32">
        <f t="shared" si="109"/>
        <v>6091.6280635955936</v>
      </c>
      <c r="BC32">
        <f t="shared" si="110"/>
        <v>0</v>
      </c>
      <c r="BD32">
        <f t="shared" si="111"/>
        <v>0</v>
      </c>
      <c r="BE32">
        <f t="shared" si="112"/>
        <v>0</v>
      </c>
      <c r="BF32">
        <f t="shared" si="113"/>
        <v>0</v>
      </c>
      <c r="BG32">
        <f t="shared" si="114"/>
        <v>6091.6280635955936</v>
      </c>
      <c r="BH32">
        <f t="shared" si="115"/>
        <v>1</v>
      </c>
      <c r="BI32">
        <f t="shared" si="34"/>
        <v>0.02</v>
      </c>
      <c r="BJ32">
        <f t="shared" si="35"/>
        <v>0.24</v>
      </c>
      <c r="BK32">
        <f t="shared" si="116"/>
        <v>0</v>
      </c>
      <c r="BL32">
        <f t="shared" si="37"/>
        <v>1.0999999999999999E-2</v>
      </c>
      <c r="BM32">
        <f t="shared" si="38"/>
        <v>0</v>
      </c>
      <c r="BN32">
        <f t="shared" si="39"/>
        <v>0</v>
      </c>
      <c r="BO32">
        <f t="shared" si="40"/>
        <v>0</v>
      </c>
      <c r="BP32">
        <f t="shared" si="41"/>
        <v>5.0000000000000001E-3</v>
      </c>
      <c r="BQ32">
        <f t="shared" si="42"/>
        <v>0</v>
      </c>
      <c r="BR32">
        <f t="shared" si="43"/>
        <v>0.35</v>
      </c>
      <c r="BS32">
        <f t="shared" si="44"/>
        <v>7.0000000000000007E-2</v>
      </c>
      <c r="BT32">
        <f t="shared" si="45"/>
        <v>0.2</v>
      </c>
      <c r="BU32">
        <f t="shared" si="46"/>
        <v>0.3</v>
      </c>
      <c r="BV32">
        <f t="shared" si="47"/>
        <v>0.21</v>
      </c>
      <c r="BW32">
        <f t="shared" si="81"/>
        <v>0</v>
      </c>
      <c r="BX32">
        <f t="shared" si="82"/>
        <v>0</v>
      </c>
      <c r="BY32">
        <f t="shared" si="83"/>
        <v>0</v>
      </c>
      <c r="BZ32">
        <f t="shared" si="84"/>
        <v>0</v>
      </c>
      <c r="CA32">
        <v>0.8</v>
      </c>
      <c r="CB32">
        <f t="shared" si="85"/>
        <v>5.0000000000000001E-3</v>
      </c>
      <c r="CC32">
        <f t="shared" si="53"/>
        <v>1.57</v>
      </c>
    </row>
    <row r="33" spans="1:83" x14ac:dyDescent="0.2">
      <c r="A33" t="s">
        <v>344</v>
      </c>
      <c r="C33" t="s">
        <v>404</v>
      </c>
      <c r="D33" t="s">
        <v>19</v>
      </c>
      <c r="E33" t="b">
        <v>1</v>
      </c>
      <c r="F33" t="s">
        <v>129</v>
      </c>
      <c r="G33">
        <v>0.89</v>
      </c>
      <c r="H33">
        <v>0.11</v>
      </c>
      <c r="I33">
        <v>0</v>
      </c>
      <c r="J33">
        <v>0.1</v>
      </c>
      <c r="K33">
        <v>0.2</v>
      </c>
      <c r="L33">
        <v>0.3</v>
      </c>
      <c r="M33">
        <v>0.4</v>
      </c>
      <c r="N33">
        <v>0.4</v>
      </c>
      <c r="O33">
        <v>0.3</v>
      </c>
      <c r="P33">
        <v>0.2</v>
      </c>
      <c r="Q33">
        <v>0.1</v>
      </c>
      <c r="R33" t="b">
        <v>0</v>
      </c>
      <c r="S33">
        <v>0</v>
      </c>
      <c r="T33" t="s">
        <v>122</v>
      </c>
      <c r="W33" t="s">
        <v>122</v>
      </c>
      <c r="X33" t="s">
        <v>272</v>
      </c>
      <c r="Y33" t="s">
        <v>398</v>
      </c>
      <c r="Z33">
        <v>200</v>
      </c>
      <c r="AA33">
        <v>365</v>
      </c>
      <c r="AB33">
        <f t="shared" si="90"/>
        <v>600</v>
      </c>
      <c r="AC33">
        <f t="shared" si="91"/>
        <v>0.1</v>
      </c>
      <c r="AD33">
        <f t="shared" si="3"/>
        <v>0.75</v>
      </c>
      <c r="AE33">
        <f t="shared" si="4"/>
        <v>0.2</v>
      </c>
      <c r="AF33">
        <f t="shared" si="92"/>
        <v>0</v>
      </c>
      <c r="AG33">
        <f t="shared" si="93"/>
        <v>0</v>
      </c>
      <c r="AH33">
        <f t="shared" si="94"/>
        <v>0</v>
      </c>
      <c r="AI33">
        <f t="shared" si="95"/>
        <v>0</v>
      </c>
      <c r="AJ33">
        <f t="shared" si="96"/>
        <v>1</v>
      </c>
      <c r="AK33">
        <f t="shared" si="97"/>
        <v>0</v>
      </c>
      <c r="AL33">
        <f t="shared" si="11"/>
        <v>1.03</v>
      </c>
      <c r="AM33">
        <f t="shared" si="12"/>
        <v>3.0539999999999998</v>
      </c>
      <c r="AN33">
        <f t="shared" si="98"/>
        <v>18.399999999999999</v>
      </c>
      <c r="AO33">
        <f t="shared" si="14"/>
        <v>0.6</v>
      </c>
      <c r="AP33">
        <f t="shared" si="99"/>
        <v>0.5948500000000001</v>
      </c>
      <c r="AQ33">
        <f t="shared" si="100"/>
        <v>0</v>
      </c>
      <c r="AR33">
        <f t="shared" si="101"/>
        <v>1</v>
      </c>
      <c r="AS33">
        <f t="shared" si="102"/>
        <v>9.0270202499999979</v>
      </c>
      <c r="AT33">
        <f t="shared" si="103"/>
        <v>1.0213029780639273</v>
      </c>
      <c r="AU33">
        <f t="shared" si="104"/>
        <v>770</v>
      </c>
      <c r="AV33">
        <f t="shared" si="105"/>
        <v>0.77922077922077926</v>
      </c>
      <c r="AW33">
        <f t="shared" si="22"/>
        <v>6.25</v>
      </c>
      <c r="AX33">
        <f t="shared" si="106"/>
        <v>1.2626203146474679E-3</v>
      </c>
      <c r="AY33">
        <f t="shared" si="107"/>
        <v>1.8054040499999997</v>
      </c>
      <c r="AZ33">
        <f t="shared" si="108"/>
        <v>0.28546836331241399</v>
      </c>
      <c r="BA33" t="str">
        <f t="shared" si="26"/>
        <v/>
      </c>
      <c r="BB33">
        <f t="shared" si="109"/>
        <v>20839.19052180622</v>
      </c>
      <c r="BC33">
        <f t="shared" si="110"/>
        <v>0</v>
      </c>
      <c r="BD33">
        <f t="shared" si="111"/>
        <v>0</v>
      </c>
      <c r="BE33">
        <f t="shared" si="112"/>
        <v>0</v>
      </c>
      <c r="BF33">
        <f t="shared" si="113"/>
        <v>0</v>
      </c>
      <c r="BG33">
        <f t="shared" si="114"/>
        <v>20839.19052180622</v>
      </c>
      <c r="BH33">
        <f t="shared" si="115"/>
        <v>1</v>
      </c>
      <c r="BI33">
        <f t="shared" si="34"/>
        <v>0.02</v>
      </c>
      <c r="BJ33">
        <f t="shared" si="35"/>
        <v>0.24</v>
      </c>
      <c r="BK33">
        <f t="shared" si="116"/>
        <v>0</v>
      </c>
      <c r="BL33">
        <f t="shared" si="37"/>
        <v>1.0999999999999999E-2</v>
      </c>
      <c r="BM33">
        <f t="shared" si="38"/>
        <v>0</v>
      </c>
      <c r="BN33">
        <f t="shared" si="39"/>
        <v>0</v>
      </c>
      <c r="BO33">
        <f t="shared" si="40"/>
        <v>0</v>
      </c>
      <c r="BP33">
        <f t="shared" si="41"/>
        <v>5.0000000000000001E-3</v>
      </c>
      <c r="BQ33">
        <f t="shared" si="42"/>
        <v>0</v>
      </c>
      <c r="BR33">
        <f t="shared" si="43"/>
        <v>0.35</v>
      </c>
      <c r="BS33">
        <f t="shared" si="44"/>
        <v>7.0000000000000007E-2</v>
      </c>
      <c r="BT33">
        <f t="shared" si="45"/>
        <v>0.2</v>
      </c>
      <c r="BU33">
        <f t="shared" si="46"/>
        <v>0.3</v>
      </c>
      <c r="BV33">
        <f t="shared" si="47"/>
        <v>0.21</v>
      </c>
      <c r="BW33">
        <f t="shared" si="81"/>
        <v>0</v>
      </c>
      <c r="BX33">
        <f t="shared" si="82"/>
        <v>0</v>
      </c>
      <c r="BY33">
        <f t="shared" si="83"/>
        <v>0</v>
      </c>
      <c r="BZ33">
        <f t="shared" si="84"/>
        <v>0</v>
      </c>
      <c r="CA33">
        <v>0.8</v>
      </c>
      <c r="CB33">
        <f t="shared" si="85"/>
        <v>5.0000000000000001E-3</v>
      </c>
      <c r="CC33">
        <f t="shared" si="53"/>
        <v>1.57</v>
      </c>
    </row>
    <row r="34" spans="1:83" x14ac:dyDescent="0.2">
      <c r="A34" t="s">
        <v>344</v>
      </c>
      <c r="C34" t="s">
        <v>404</v>
      </c>
      <c r="D34" t="s">
        <v>19</v>
      </c>
      <c r="E34" t="b">
        <v>1</v>
      </c>
      <c r="F34" t="s">
        <v>129</v>
      </c>
      <c r="G34">
        <v>0.89</v>
      </c>
      <c r="H34">
        <v>0.11</v>
      </c>
      <c r="I34">
        <v>0</v>
      </c>
      <c r="J34">
        <v>0.1</v>
      </c>
      <c r="K34">
        <v>0.2</v>
      </c>
      <c r="L34">
        <v>0.3</v>
      </c>
      <c r="M34">
        <v>0.4</v>
      </c>
      <c r="N34">
        <v>0.4</v>
      </c>
      <c r="O34">
        <v>0.3</v>
      </c>
      <c r="P34">
        <v>0.2</v>
      </c>
      <c r="Q34">
        <v>0.1</v>
      </c>
      <c r="R34" t="b">
        <v>0</v>
      </c>
      <c r="S34">
        <v>0</v>
      </c>
      <c r="T34" t="s">
        <v>122</v>
      </c>
      <c r="W34" t="s">
        <v>122</v>
      </c>
      <c r="X34" t="s">
        <v>272</v>
      </c>
      <c r="Y34" t="s">
        <v>399</v>
      </c>
      <c r="Z34">
        <v>200</v>
      </c>
      <c r="AA34">
        <v>84</v>
      </c>
      <c r="AB34">
        <f t="shared" si="90"/>
        <v>225</v>
      </c>
      <c r="AC34" t="str">
        <f t="shared" si="91"/>
        <v/>
      </c>
      <c r="AD34">
        <f t="shared" si="3"/>
        <v>0.75</v>
      </c>
      <c r="AE34">
        <f t="shared" si="4"/>
        <v>0.2</v>
      </c>
      <c r="AF34">
        <f t="shared" si="92"/>
        <v>0</v>
      </c>
      <c r="AG34">
        <f t="shared" si="93"/>
        <v>0</v>
      </c>
      <c r="AH34">
        <f t="shared" si="94"/>
        <v>0</v>
      </c>
      <c r="AI34">
        <f t="shared" si="95"/>
        <v>0</v>
      </c>
      <c r="AJ34">
        <f t="shared" si="96"/>
        <v>1</v>
      </c>
      <c r="AK34">
        <f t="shared" si="97"/>
        <v>0</v>
      </c>
      <c r="AL34">
        <f t="shared" si="11"/>
        <v>1.03</v>
      </c>
      <c r="AM34">
        <f t="shared" si="12"/>
        <v>3.0539999999999998</v>
      </c>
      <c r="AN34">
        <f t="shared" si="98"/>
        <v>18.399999999999999</v>
      </c>
      <c r="AO34">
        <f t="shared" si="14"/>
        <v>0.6</v>
      </c>
      <c r="AP34">
        <f t="shared" si="99"/>
        <v>0.5948500000000001</v>
      </c>
      <c r="AQ34">
        <f t="shared" si="100"/>
        <v>0</v>
      </c>
      <c r="AR34">
        <f t="shared" si="101"/>
        <v>1</v>
      </c>
      <c r="AS34" t="str">
        <f t="shared" si="102"/>
        <v/>
      </c>
      <c r="AT34" t="str">
        <f t="shared" si="103"/>
        <v/>
      </c>
      <c r="AU34" t="str">
        <f t="shared" si="104"/>
        <v/>
      </c>
      <c r="AV34" t="str">
        <f t="shared" si="105"/>
        <v/>
      </c>
      <c r="AW34">
        <f t="shared" si="22"/>
        <v>6.25</v>
      </c>
      <c r="AX34" t="str">
        <f t="shared" si="106"/>
        <v/>
      </c>
      <c r="AY34" t="str">
        <f t="shared" si="107"/>
        <v/>
      </c>
      <c r="AZ34" t="str">
        <f t="shared" si="108"/>
        <v/>
      </c>
      <c r="BA34">
        <f t="shared" si="26"/>
        <v>9.1999999999999998E-3</v>
      </c>
      <c r="BB34">
        <f t="shared" si="109"/>
        <v>154.56</v>
      </c>
      <c r="BC34">
        <f t="shared" si="110"/>
        <v>0</v>
      </c>
      <c r="BD34">
        <f t="shared" si="111"/>
        <v>0</v>
      </c>
      <c r="BE34">
        <f t="shared" si="112"/>
        <v>0</v>
      </c>
      <c r="BF34">
        <f t="shared" si="113"/>
        <v>0</v>
      </c>
      <c r="BG34">
        <f t="shared" si="114"/>
        <v>154.56</v>
      </c>
      <c r="BH34">
        <f t="shared" si="115"/>
        <v>1</v>
      </c>
      <c r="BI34">
        <f t="shared" si="34"/>
        <v>0.02</v>
      </c>
      <c r="BJ34">
        <f t="shared" si="35"/>
        <v>0.24</v>
      </c>
      <c r="BK34">
        <f t="shared" si="116"/>
        <v>0</v>
      </c>
      <c r="BL34">
        <f t="shared" si="37"/>
        <v>1.0999999999999999E-2</v>
      </c>
      <c r="BM34">
        <f t="shared" si="38"/>
        <v>0</v>
      </c>
      <c r="BN34">
        <f t="shared" si="39"/>
        <v>0</v>
      </c>
      <c r="BO34">
        <f t="shared" si="40"/>
        <v>0</v>
      </c>
      <c r="BP34">
        <f t="shared" si="41"/>
        <v>5.0000000000000001E-3</v>
      </c>
      <c r="BQ34">
        <f t="shared" si="42"/>
        <v>0</v>
      </c>
      <c r="BR34">
        <f t="shared" si="43"/>
        <v>0.35</v>
      </c>
      <c r="BS34">
        <f t="shared" si="44"/>
        <v>7.0000000000000007E-2</v>
      </c>
      <c r="BT34">
        <f t="shared" si="45"/>
        <v>0.2</v>
      </c>
      <c r="BU34">
        <f t="shared" si="46"/>
        <v>0.3</v>
      </c>
      <c r="BV34">
        <f t="shared" si="47"/>
        <v>0.21</v>
      </c>
      <c r="BW34">
        <f t="shared" si="81"/>
        <v>0</v>
      </c>
      <c r="BX34">
        <f t="shared" si="82"/>
        <v>0</v>
      </c>
      <c r="BY34">
        <f t="shared" si="83"/>
        <v>0</v>
      </c>
      <c r="BZ34">
        <f t="shared" si="84"/>
        <v>0</v>
      </c>
      <c r="CA34">
        <v>0.8</v>
      </c>
      <c r="CB34">
        <f t="shared" si="85"/>
        <v>5.0000000000000001E-3</v>
      </c>
      <c r="CC34">
        <f t="shared" si="53"/>
        <v>1.57</v>
      </c>
    </row>
    <row r="35" spans="1:83" s="3" customFormat="1" x14ac:dyDescent="0.2">
      <c r="A35" t="s">
        <v>344</v>
      </c>
      <c r="C35" s="3" t="s">
        <v>404</v>
      </c>
      <c r="D35" s="3" t="s">
        <v>19</v>
      </c>
      <c r="E35" s="3" t="b">
        <v>1</v>
      </c>
      <c r="F35" s="3" t="s">
        <v>129</v>
      </c>
      <c r="G35" s="3">
        <v>0.89</v>
      </c>
      <c r="H35" s="3">
        <v>0.11</v>
      </c>
      <c r="I35" s="3">
        <v>0</v>
      </c>
      <c r="J35" s="3">
        <v>0.1</v>
      </c>
      <c r="K35" s="3">
        <v>0.2</v>
      </c>
      <c r="L35" s="3">
        <v>0.3</v>
      </c>
      <c r="M35" s="3">
        <v>0.4</v>
      </c>
      <c r="N35" s="3">
        <v>0.4</v>
      </c>
      <c r="O35" s="3">
        <v>0.3</v>
      </c>
      <c r="P35" s="3">
        <v>0.2</v>
      </c>
      <c r="Q35" s="3">
        <v>0.1</v>
      </c>
      <c r="R35" s="3" t="b">
        <v>0</v>
      </c>
      <c r="S35" s="3">
        <v>0</v>
      </c>
      <c r="T35" s="3" t="s">
        <v>122</v>
      </c>
      <c r="W35" s="3" t="s">
        <v>122</v>
      </c>
      <c r="X35" s="3" t="s">
        <v>272</v>
      </c>
      <c r="Y35" s="3" t="s">
        <v>400</v>
      </c>
      <c r="Z35" s="3">
        <v>200</v>
      </c>
      <c r="AA35" s="3">
        <v>281</v>
      </c>
      <c r="AB35" s="3">
        <f t="shared" si="90"/>
        <v>225</v>
      </c>
      <c r="AC35" s="3">
        <f t="shared" si="91"/>
        <v>0.8</v>
      </c>
      <c r="AD35" s="3">
        <f t="shared" si="3"/>
        <v>0.75</v>
      </c>
      <c r="AE35" s="3">
        <f t="shared" si="4"/>
        <v>0.2</v>
      </c>
      <c r="AF35" s="3">
        <f t="shared" si="92"/>
        <v>0</v>
      </c>
      <c r="AG35" s="3">
        <f t="shared" si="93"/>
        <v>0</v>
      </c>
      <c r="AH35" s="3">
        <f t="shared" si="94"/>
        <v>0</v>
      </c>
      <c r="AI35" s="3">
        <f t="shared" si="95"/>
        <v>0</v>
      </c>
      <c r="AJ35" s="3">
        <f t="shared" si="96"/>
        <v>1</v>
      </c>
      <c r="AK35" s="3">
        <f t="shared" si="97"/>
        <v>0</v>
      </c>
      <c r="AL35" s="3">
        <f t="shared" si="11"/>
        <v>1.03</v>
      </c>
      <c r="AM35" s="3">
        <f t="shared" si="12"/>
        <v>3.0539999999999998</v>
      </c>
      <c r="AN35" s="3">
        <f t="shared" si="98"/>
        <v>18.399999999999999</v>
      </c>
      <c r="AO35" s="3">
        <f t="shared" si="14"/>
        <v>0.6</v>
      </c>
      <c r="AP35" s="3">
        <f t="shared" si="99"/>
        <v>0.5948500000000001</v>
      </c>
      <c r="AQ35" s="3">
        <f t="shared" si="100"/>
        <v>0</v>
      </c>
      <c r="AR35" s="3">
        <f t="shared" si="101"/>
        <v>1</v>
      </c>
      <c r="AS35" s="3">
        <f t="shared" si="102"/>
        <v>5.4143472656250013</v>
      </c>
      <c r="AT35" s="3">
        <f t="shared" si="103"/>
        <v>1.2576570545672616</v>
      </c>
      <c r="AU35" s="3">
        <f t="shared" si="104"/>
        <v>770</v>
      </c>
      <c r="AV35" s="3">
        <f t="shared" si="105"/>
        <v>0.29220779220779219</v>
      </c>
      <c r="AW35" s="3">
        <f t="shared" si="22"/>
        <v>6.25</v>
      </c>
      <c r="AX35" s="3">
        <f t="shared" si="106"/>
        <v>1.9757354894894084E-2</v>
      </c>
      <c r="AY35" s="3">
        <f t="shared" si="107"/>
        <v>1.0828694531250003</v>
      </c>
      <c r="AZ35" s="3">
        <f t="shared" si="108"/>
        <v>0.15247929000170721</v>
      </c>
      <c r="BA35" s="3" t="str">
        <f t="shared" si="26"/>
        <v/>
      </c>
      <c r="BB35" s="3">
        <f t="shared" si="109"/>
        <v>8569.336098095946</v>
      </c>
      <c r="BC35" s="3">
        <f t="shared" si="110"/>
        <v>0</v>
      </c>
      <c r="BD35" s="3">
        <f t="shared" si="111"/>
        <v>0</v>
      </c>
      <c r="BE35" s="3">
        <f t="shared" si="112"/>
        <v>0</v>
      </c>
      <c r="BF35" s="3">
        <f t="shared" si="113"/>
        <v>0</v>
      </c>
      <c r="BG35" s="3">
        <f t="shared" si="114"/>
        <v>8569.336098095946</v>
      </c>
      <c r="BH35" s="3">
        <f t="shared" si="115"/>
        <v>1</v>
      </c>
      <c r="BI35" s="3">
        <f t="shared" si="34"/>
        <v>0.02</v>
      </c>
      <c r="BJ35" s="3">
        <f t="shared" si="35"/>
        <v>0.24</v>
      </c>
      <c r="BK35" s="3">
        <f t="shared" si="116"/>
        <v>0</v>
      </c>
      <c r="BL35" s="3">
        <f t="shared" si="37"/>
        <v>1.0999999999999999E-2</v>
      </c>
      <c r="BM35" s="3">
        <f t="shared" si="38"/>
        <v>0</v>
      </c>
      <c r="BN35" s="3">
        <f t="shared" si="39"/>
        <v>0</v>
      </c>
      <c r="BO35" s="3">
        <f t="shared" si="40"/>
        <v>0</v>
      </c>
      <c r="BP35" s="3">
        <f t="shared" si="41"/>
        <v>5.0000000000000001E-3</v>
      </c>
      <c r="BQ35" s="3">
        <f t="shared" si="42"/>
        <v>0</v>
      </c>
      <c r="BR35" s="3">
        <f t="shared" si="43"/>
        <v>0.35</v>
      </c>
      <c r="BS35" s="3">
        <f t="shared" si="44"/>
        <v>7.0000000000000007E-2</v>
      </c>
      <c r="BT35" s="3">
        <f t="shared" si="45"/>
        <v>0.2</v>
      </c>
      <c r="BU35" s="3">
        <f t="shared" si="46"/>
        <v>0.3</v>
      </c>
      <c r="BV35" s="3">
        <f t="shared" si="47"/>
        <v>0.21</v>
      </c>
      <c r="BW35" s="3">
        <f t="shared" si="81"/>
        <v>0</v>
      </c>
      <c r="BX35" s="3">
        <f t="shared" si="82"/>
        <v>0</v>
      </c>
      <c r="BY35" s="3">
        <f t="shared" si="83"/>
        <v>0</v>
      </c>
      <c r="BZ35" s="3">
        <f t="shared" si="84"/>
        <v>0</v>
      </c>
      <c r="CA35" s="3">
        <v>0.8</v>
      </c>
      <c r="CB35" s="3">
        <f t="shared" si="85"/>
        <v>5.0000000000000001E-3</v>
      </c>
      <c r="CC35" s="3">
        <f t="shared" si="53"/>
        <v>1.57</v>
      </c>
    </row>
    <row r="36" spans="1:83" x14ac:dyDescent="0.2">
      <c r="A36" t="s">
        <v>344</v>
      </c>
      <c r="C36" t="s">
        <v>393</v>
      </c>
      <c r="D36" t="s">
        <v>16</v>
      </c>
      <c r="E36" t="b">
        <v>0</v>
      </c>
      <c r="F36" t="s">
        <v>132</v>
      </c>
      <c r="G36">
        <v>0.53400000000000003</v>
      </c>
      <c r="H36">
        <v>0.11</v>
      </c>
      <c r="I36">
        <v>0.35599999999999998</v>
      </c>
      <c r="J36">
        <v>0.25</v>
      </c>
      <c r="K36">
        <v>0.25</v>
      </c>
      <c r="L36">
        <v>0.25</v>
      </c>
      <c r="M36">
        <v>0.25</v>
      </c>
      <c r="N36">
        <v>0.25</v>
      </c>
      <c r="O36">
        <v>0.25</v>
      </c>
      <c r="P36">
        <v>0.25</v>
      </c>
      <c r="Q36">
        <v>0.25</v>
      </c>
      <c r="R36" t="b">
        <v>1</v>
      </c>
      <c r="S36">
        <v>0.2</v>
      </c>
      <c r="T36" t="s">
        <v>122</v>
      </c>
      <c r="W36">
        <v>30</v>
      </c>
      <c r="X36" t="s">
        <v>273</v>
      </c>
      <c r="Y36" t="s">
        <v>394</v>
      </c>
      <c r="Z36">
        <v>200</v>
      </c>
      <c r="AA36">
        <v>365</v>
      </c>
      <c r="AB36">
        <f t="shared" si="90"/>
        <v>400</v>
      </c>
      <c r="AC36">
        <f t="shared" si="91"/>
        <v>1.6E-2</v>
      </c>
      <c r="AD36">
        <f t="shared" si="3"/>
        <v>0.75</v>
      </c>
      <c r="AE36">
        <f t="shared" si="4"/>
        <v>0.2</v>
      </c>
      <c r="AF36">
        <f t="shared" si="92"/>
        <v>0.11649999999999999</v>
      </c>
      <c r="AG36">
        <f t="shared" si="93"/>
        <v>0.11649999999999999</v>
      </c>
      <c r="AH36">
        <f t="shared" si="94"/>
        <v>0.11649999999999999</v>
      </c>
      <c r="AI36">
        <f t="shared" si="95"/>
        <v>0.11649999999999999</v>
      </c>
      <c r="AJ36">
        <f t="shared" si="96"/>
        <v>0.53400000000000003</v>
      </c>
      <c r="AK36">
        <f t="shared" si="97"/>
        <v>30</v>
      </c>
      <c r="AL36">
        <f t="shared" si="11"/>
        <v>1.03</v>
      </c>
      <c r="AM36">
        <f t="shared" si="12"/>
        <v>3.0539999999999998</v>
      </c>
      <c r="AN36">
        <f t="shared" si="98"/>
        <v>18.399999999999999</v>
      </c>
      <c r="AO36">
        <f t="shared" si="14"/>
        <v>0.6</v>
      </c>
      <c r="AP36">
        <f t="shared" si="99"/>
        <v>0.5948500000000001</v>
      </c>
      <c r="AQ36">
        <f t="shared" si="100"/>
        <v>14.369808245410789</v>
      </c>
      <c r="AR36">
        <f t="shared" si="101"/>
        <v>1.1000000000000001</v>
      </c>
      <c r="AS36">
        <f t="shared" si="102"/>
        <v>21.748946167170789</v>
      </c>
      <c r="AT36">
        <f t="shared" si="103"/>
        <v>1.001320906258945</v>
      </c>
      <c r="AU36">
        <f t="shared" si="104"/>
        <v>590</v>
      </c>
      <c r="AV36">
        <f t="shared" si="105"/>
        <v>0.67796610169491522</v>
      </c>
      <c r="AW36">
        <f t="shared" si="22"/>
        <v>6.25</v>
      </c>
      <c r="AX36">
        <f t="shared" si="106"/>
        <v>0.1552092207973319</v>
      </c>
      <c r="AY36">
        <f t="shared" si="107"/>
        <v>4.3497892334341577</v>
      </c>
      <c r="AZ36">
        <f t="shared" si="108"/>
        <v>0.53918286469597354</v>
      </c>
      <c r="BA36" t="str">
        <f>IF(ISNUMBER(FIND("PreWeaned",Y36)),_xlfn.XLOOKUP(Y36,$J$75:$J$76,$M$75:$M$76),"")</f>
        <v/>
      </c>
      <c r="BB36">
        <f t="shared" si="109"/>
        <v>39360.349122806067</v>
      </c>
      <c r="BC36">
        <f t="shared" si="110"/>
        <v>4585.4806728069061</v>
      </c>
      <c r="BD36">
        <f t="shared" si="111"/>
        <v>4585.4806728069061</v>
      </c>
      <c r="BE36">
        <f t="shared" si="112"/>
        <v>4585.4806728069061</v>
      </c>
      <c r="BF36">
        <f t="shared" si="113"/>
        <v>4585.4806728069061</v>
      </c>
      <c r="BG36">
        <f t="shared" si="114"/>
        <v>21018.426431578442</v>
      </c>
      <c r="BH36">
        <f t="shared" si="115"/>
        <v>0</v>
      </c>
      <c r="BI36">
        <f t="shared" si="34"/>
        <v>0.02</v>
      </c>
      <c r="BJ36">
        <f t="shared" si="35"/>
        <v>0.24</v>
      </c>
      <c r="BK36">
        <f t="shared" si="116"/>
        <v>0</v>
      </c>
      <c r="BL36">
        <f t="shared" si="37"/>
        <v>1.0999999999999999E-2</v>
      </c>
      <c r="BM36">
        <f t="shared" si="38"/>
        <v>0</v>
      </c>
      <c r="BN36">
        <f t="shared" si="39"/>
        <v>0</v>
      </c>
      <c r="BO36">
        <f t="shared" si="40"/>
        <v>0</v>
      </c>
      <c r="BP36">
        <f t="shared" si="41"/>
        <v>5.0000000000000001E-3</v>
      </c>
      <c r="BQ36">
        <f t="shared" si="42"/>
        <v>0</v>
      </c>
      <c r="BR36">
        <f t="shared" si="43"/>
        <v>0.35</v>
      </c>
      <c r="BS36">
        <f t="shared" si="44"/>
        <v>7.0000000000000007E-2</v>
      </c>
      <c r="BT36">
        <f t="shared" si="45"/>
        <v>0.2</v>
      </c>
      <c r="BU36">
        <f t="shared" si="46"/>
        <v>0.3</v>
      </c>
      <c r="BV36">
        <f t="shared" si="47"/>
        <v>0.21</v>
      </c>
      <c r="BW36">
        <f t="shared" si="81"/>
        <v>2980.5624373244891</v>
      </c>
      <c r="BX36">
        <f t="shared" si="82"/>
        <v>4264.4970257104223</v>
      </c>
      <c r="BY36">
        <f t="shared" si="83"/>
        <v>3668.3845382455252</v>
      </c>
      <c r="BZ36">
        <f t="shared" si="84"/>
        <v>3186.9090676008</v>
      </c>
      <c r="CA36">
        <v>0.8</v>
      </c>
      <c r="CB36">
        <f t="shared" si="85"/>
        <v>6.0000000000000001E-3</v>
      </c>
      <c r="CC36">
        <f t="shared" si="53"/>
        <v>1.57</v>
      </c>
      <c r="CD36">
        <f t="shared" ref="CD36" si="117">SUM(BW36:BZ36)*CA36</f>
        <v>11280.282455104991</v>
      </c>
      <c r="CE36">
        <f t="shared" ref="CE36" si="118">CD36*$CC36*$CB36/1000</f>
        <v>0.10626026072708901</v>
      </c>
    </row>
    <row r="37" spans="1:83" x14ac:dyDescent="0.2">
      <c r="A37" t="s">
        <v>344</v>
      </c>
      <c r="C37" t="s">
        <v>393</v>
      </c>
      <c r="D37" t="s">
        <v>16</v>
      </c>
      <c r="E37" t="b">
        <v>0</v>
      </c>
      <c r="F37" t="s">
        <v>132</v>
      </c>
      <c r="G37">
        <v>0.53400000000000003</v>
      </c>
      <c r="H37">
        <v>0.11</v>
      </c>
      <c r="I37">
        <v>0.35599999999999998</v>
      </c>
      <c r="J37">
        <v>0.25</v>
      </c>
      <c r="K37">
        <v>0.25</v>
      </c>
      <c r="L37">
        <v>0.25</v>
      </c>
      <c r="M37">
        <v>0.25</v>
      </c>
      <c r="N37">
        <v>0.25</v>
      </c>
      <c r="O37">
        <v>0.25</v>
      </c>
      <c r="P37">
        <v>0.25</v>
      </c>
      <c r="Q37">
        <v>0.25</v>
      </c>
      <c r="R37" t="b">
        <v>1</v>
      </c>
      <c r="S37">
        <v>0.2</v>
      </c>
      <c r="T37" t="s">
        <v>122</v>
      </c>
      <c r="W37" t="s">
        <v>122</v>
      </c>
      <c r="X37" t="s">
        <v>273</v>
      </c>
      <c r="Y37" t="s">
        <v>395</v>
      </c>
      <c r="Z37">
        <v>200</v>
      </c>
      <c r="AA37">
        <v>365</v>
      </c>
      <c r="AB37">
        <f t="shared" si="90"/>
        <v>275</v>
      </c>
      <c r="AC37">
        <f t="shared" si="91"/>
        <v>0.6</v>
      </c>
      <c r="AD37">
        <f t="shared" si="3"/>
        <v>0.75</v>
      </c>
      <c r="AE37">
        <f t="shared" si="4"/>
        <v>0.2</v>
      </c>
      <c r="AF37">
        <f t="shared" si="92"/>
        <v>0</v>
      </c>
      <c r="AG37">
        <f t="shared" si="93"/>
        <v>0</v>
      </c>
      <c r="AH37">
        <f t="shared" si="94"/>
        <v>0</v>
      </c>
      <c r="AI37">
        <f t="shared" si="95"/>
        <v>0</v>
      </c>
      <c r="AJ37">
        <f t="shared" si="96"/>
        <v>1</v>
      </c>
      <c r="AK37">
        <f t="shared" si="97"/>
        <v>0</v>
      </c>
      <c r="AL37">
        <f t="shared" si="11"/>
        <v>1.03</v>
      </c>
      <c r="AM37">
        <f t="shared" si="12"/>
        <v>3.0539999999999998</v>
      </c>
      <c r="AN37">
        <f t="shared" si="98"/>
        <v>18.399999999999999</v>
      </c>
      <c r="AO37">
        <f t="shared" si="14"/>
        <v>0.6</v>
      </c>
      <c r="AP37">
        <f t="shared" si="99"/>
        <v>0.5948500000000001</v>
      </c>
      <c r="AQ37">
        <f t="shared" si="100"/>
        <v>0</v>
      </c>
      <c r="AR37">
        <f t="shared" si="101"/>
        <v>1</v>
      </c>
      <c r="AS37">
        <f t="shared" si="102"/>
        <v>5.8848695156249997</v>
      </c>
      <c r="AT37">
        <f t="shared" si="103"/>
        <v>1.1761247961530272</v>
      </c>
      <c r="AU37">
        <f t="shared" si="104"/>
        <v>590</v>
      </c>
      <c r="AV37">
        <f t="shared" si="105"/>
        <v>0.46610169491525422</v>
      </c>
      <c r="AW37">
        <f t="shared" si="22"/>
        <v>6.25</v>
      </c>
      <c r="AX37">
        <f t="shared" si="106"/>
        <v>1.1565345708946049E-2</v>
      </c>
      <c r="AY37">
        <f t="shared" si="107"/>
        <v>1.1769739031249999</v>
      </c>
      <c r="AZ37">
        <f t="shared" si="108"/>
        <v>0.17556194320862142</v>
      </c>
      <c r="BA37" t="str">
        <f t="shared" si="26"/>
        <v/>
      </c>
      <c r="BB37">
        <f t="shared" si="109"/>
        <v>12816.021854229364</v>
      </c>
      <c r="BC37">
        <f t="shared" si="110"/>
        <v>0</v>
      </c>
      <c r="BD37">
        <f t="shared" si="111"/>
        <v>0</v>
      </c>
      <c r="BE37">
        <f t="shared" si="112"/>
        <v>0</v>
      </c>
      <c r="BF37">
        <f t="shared" si="113"/>
        <v>0</v>
      </c>
      <c r="BG37">
        <f t="shared" si="114"/>
        <v>12816.021854229364</v>
      </c>
      <c r="BH37">
        <f t="shared" si="115"/>
        <v>0</v>
      </c>
      <c r="BI37">
        <f t="shared" si="34"/>
        <v>0.02</v>
      </c>
      <c r="BJ37">
        <f t="shared" si="35"/>
        <v>0.24</v>
      </c>
      <c r="BK37">
        <f t="shared" si="116"/>
        <v>0</v>
      </c>
      <c r="BL37">
        <f t="shared" si="37"/>
        <v>1.0999999999999999E-2</v>
      </c>
      <c r="BM37">
        <f t="shared" si="38"/>
        <v>0</v>
      </c>
      <c r="BN37">
        <f t="shared" si="39"/>
        <v>0</v>
      </c>
      <c r="BO37">
        <f t="shared" si="40"/>
        <v>0</v>
      </c>
      <c r="BP37">
        <f t="shared" si="41"/>
        <v>5.0000000000000001E-3</v>
      </c>
      <c r="BQ37">
        <f t="shared" si="42"/>
        <v>0</v>
      </c>
      <c r="BR37">
        <f t="shared" si="43"/>
        <v>0.35</v>
      </c>
      <c r="BS37">
        <f t="shared" si="44"/>
        <v>7.0000000000000007E-2</v>
      </c>
      <c r="BT37">
        <f t="shared" si="45"/>
        <v>0.2</v>
      </c>
      <c r="BU37">
        <f t="shared" si="46"/>
        <v>0.3</v>
      </c>
      <c r="BV37">
        <f t="shared" si="47"/>
        <v>0.21</v>
      </c>
      <c r="BW37">
        <f t="shared" ref="BW37:BW56" si="119">BC37*(1-BM37-BR37)</f>
        <v>0</v>
      </c>
      <c r="BX37">
        <f t="shared" ref="BX37:BX56" si="120">BD37*(1-BN37-BS37)</f>
        <v>0</v>
      </c>
      <c r="BY37">
        <f t="shared" ref="BY37:BY56" si="121">BE37*(1-BO37-BT37)</f>
        <v>0</v>
      </c>
      <c r="BZ37">
        <f t="shared" ref="BZ37:BZ56" si="122">BF37*(1-BP37-BU37)-BK37</f>
        <v>0</v>
      </c>
      <c r="CA37">
        <v>0.8</v>
      </c>
      <c r="CB37">
        <f t="shared" ref="CB37:CB56" si="123">_xlfn.XLOOKUP(D37,$A$107:$A$108,$B$107:$B$108)</f>
        <v>6.0000000000000001E-3</v>
      </c>
      <c r="CC37">
        <f t="shared" si="53"/>
        <v>1.57</v>
      </c>
    </row>
    <row r="38" spans="1:83" x14ac:dyDescent="0.2">
      <c r="A38" t="s">
        <v>344</v>
      </c>
      <c r="C38" t="s">
        <v>393</v>
      </c>
      <c r="D38" t="s">
        <v>16</v>
      </c>
      <c r="E38" t="b">
        <v>0</v>
      </c>
      <c r="F38" t="s">
        <v>132</v>
      </c>
      <c r="G38">
        <v>0.53400000000000003</v>
      </c>
      <c r="H38">
        <v>0.11</v>
      </c>
      <c r="I38">
        <v>0.35599999999999998</v>
      </c>
      <c r="J38">
        <v>0.25</v>
      </c>
      <c r="K38">
        <v>0.25</v>
      </c>
      <c r="L38">
        <v>0.25</v>
      </c>
      <c r="M38">
        <v>0.25</v>
      </c>
      <c r="N38">
        <v>0.25</v>
      </c>
      <c r="O38">
        <v>0.25</v>
      </c>
      <c r="P38">
        <v>0.25</v>
      </c>
      <c r="Q38">
        <v>0.25</v>
      </c>
      <c r="R38" t="b">
        <v>1</v>
      </c>
      <c r="S38">
        <v>0.2</v>
      </c>
      <c r="T38" t="s">
        <v>122</v>
      </c>
      <c r="W38" t="s">
        <v>122</v>
      </c>
      <c r="X38" t="s">
        <v>273</v>
      </c>
      <c r="Y38" t="s">
        <v>396</v>
      </c>
      <c r="Z38">
        <v>200</v>
      </c>
      <c r="AA38">
        <v>84</v>
      </c>
      <c r="AB38">
        <f t="shared" si="90"/>
        <v>115</v>
      </c>
      <c r="AC38" t="str">
        <f t="shared" si="91"/>
        <v/>
      </c>
      <c r="AD38">
        <f t="shared" si="3"/>
        <v>0.75</v>
      </c>
      <c r="AE38">
        <f t="shared" si="4"/>
        <v>0.2</v>
      </c>
      <c r="AF38">
        <f t="shared" si="92"/>
        <v>0</v>
      </c>
      <c r="AG38">
        <f t="shared" si="93"/>
        <v>0</v>
      </c>
      <c r="AH38">
        <f t="shared" si="94"/>
        <v>0</v>
      </c>
      <c r="AI38">
        <f t="shared" si="95"/>
        <v>0</v>
      </c>
      <c r="AJ38">
        <f t="shared" si="96"/>
        <v>1</v>
      </c>
      <c r="AK38">
        <f t="shared" si="97"/>
        <v>0</v>
      </c>
      <c r="AL38">
        <f t="shared" si="11"/>
        <v>1.03</v>
      </c>
      <c r="AM38">
        <f t="shared" si="12"/>
        <v>3.0539999999999998</v>
      </c>
      <c r="AN38">
        <f t="shared" si="98"/>
        <v>18.399999999999999</v>
      </c>
      <c r="AO38">
        <f t="shared" si="14"/>
        <v>0.6</v>
      </c>
      <c r="AP38">
        <f t="shared" si="99"/>
        <v>0.5948500000000001</v>
      </c>
      <c r="AQ38">
        <f t="shared" si="100"/>
        <v>0</v>
      </c>
      <c r="AR38">
        <f t="shared" si="101"/>
        <v>1</v>
      </c>
      <c r="AS38" t="str">
        <f t="shared" si="102"/>
        <v/>
      </c>
      <c r="AT38" t="str">
        <f t="shared" si="103"/>
        <v/>
      </c>
      <c r="AU38" t="str">
        <f t="shared" si="104"/>
        <v/>
      </c>
      <c r="AV38" t="str">
        <f t="shared" si="105"/>
        <v/>
      </c>
      <c r="AW38">
        <f t="shared" si="22"/>
        <v>6.25</v>
      </c>
      <c r="AX38" t="str">
        <f t="shared" si="106"/>
        <v/>
      </c>
      <c r="AY38" t="str">
        <f t="shared" si="107"/>
        <v/>
      </c>
      <c r="AZ38" t="str">
        <f t="shared" si="108"/>
        <v/>
      </c>
      <c r="BA38">
        <f t="shared" si="26"/>
        <v>1.37E-2</v>
      </c>
      <c r="BB38">
        <f t="shared" si="109"/>
        <v>230.16000000000003</v>
      </c>
      <c r="BC38">
        <f t="shared" si="110"/>
        <v>0</v>
      </c>
      <c r="BD38">
        <f t="shared" si="111"/>
        <v>0</v>
      </c>
      <c r="BE38">
        <f t="shared" si="112"/>
        <v>0</v>
      </c>
      <c r="BF38">
        <f t="shared" si="113"/>
        <v>0</v>
      </c>
      <c r="BG38">
        <f t="shared" si="114"/>
        <v>230.16000000000003</v>
      </c>
      <c r="BH38">
        <f t="shared" si="115"/>
        <v>0</v>
      </c>
      <c r="BI38">
        <f t="shared" si="34"/>
        <v>0.02</v>
      </c>
      <c r="BJ38">
        <f t="shared" si="35"/>
        <v>0.24</v>
      </c>
      <c r="BK38">
        <f t="shared" si="116"/>
        <v>0</v>
      </c>
      <c r="BL38">
        <f t="shared" si="37"/>
        <v>1.0999999999999999E-2</v>
      </c>
      <c r="BM38">
        <f t="shared" si="38"/>
        <v>0</v>
      </c>
      <c r="BN38">
        <f t="shared" si="39"/>
        <v>0</v>
      </c>
      <c r="BO38">
        <f t="shared" si="40"/>
        <v>0</v>
      </c>
      <c r="BP38">
        <f t="shared" si="41"/>
        <v>5.0000000000000001E-3</v>
      </c>
      <c r="BQ38">
        <f t="shared" si="42"/>
        <v>0</v>
      </c>
      <c r="BR38">
        <f t="shared" si="43"/>
        <v>0.35</v>
      </c>
      <c r="BS38">
        <f t="shared" si="44"/>
        <v>7.0000000000000007E-2</v>
      </c>
      <c r="BT38">
        <f t="shared" si="45"/>
        <v>0.2</v>
      </c>
      <c r="BU38">
        <f t="shared" si="46"/>
        <v>0.3</v>
      </c>
      <c r="BV38">
        <f t="shared" si="47"/>
        <v>0.21</v>
      </c>
      <c r="BW38">
        <f t="shared" si="119"/>
        <v>0</v>
      </c>
      <c r="BX38">
        <f t="shared" si="120"/>
        <v>0</v>
      </c>
      <c r="BY38">
        <f t="shared" si="121"/>
        <v>0</v>
      </c>
      <c r="BZ38">
        <f t="shared" si="122"/>
        <v>0</v>
      </c>
      <c r="CA38">
        <v>0.8</v>
      </c>
      <c r="CB38">
        <f t="shared" si="123"/>
        <v>6.0000000000000001E-3</v>
      </c>
      <c r="CC38">
        <f t="shared" si="53"/>
        <v>1.57</v>
      </c>
    </row>
    <row r="39" spans="1:83" x14ac:dyDescent="0.2">
      <c r="A39" t="s">
        <v>344</v>
      </c>
      <c r="C39" t="s">
        <v>393</v>
      </c>
      <c r="D39" t="s">
        <v>16</v>
      </c>
      <c r="E39" t="b">
        <v>0</v>
      </c>
      <c r="F39" t="s">
        <v>132</v>
      </c>
      <c r="G39">
        <v>0.53400000000000003</v>
      </c>
      <c r="H39">
        <v>0.11</v>
      </c>
      <c r="I39">
        <v>0.35599999999999998</v>
      </c>
      <c r="J39">
        <v>0.25</v>
      </c>
      <c r="K39">
        <v>0.25</v>
      </c>
      <c r="L39">
        <v>0.25</v>
      </c>
      <c r="M39">
        <v>0.25</v>
      </c>
      <c r="N39">
        <v>0.25</v>
      </c>
      <c r="O39">
        <v>0.25</v>
      </c>
      <c r="P39">
        <v>0.25</v>
      </c>
      <c r="Q39">
        <v>0.25</v>
      </c>
      <c r="R39" t="b">
        <v>1</v>
      </c>
      <c r="S39">
        <v>0.2</v>
      </c>
      <c r="T39" t="s">
        <v>122</v>
      </c>
      <c r="W39" t="s">
        <v>122</v>
      </c>
      <c r="X39" t="s">
        <v>273</v>
      </c>
      <c r="Y39" t="s">
        <v>397</v>
      </c>
      <c r="Z39">
        <v>200</v>
      </c>
      <c r="AA39">
        <v>281</v>
      </c>
      <c r="AB39">
        <f t="shared" si="90"/>
        <v>115</v>
      </c>
      <c r="AC39">
        <f t="shared" si="91"/>
        <v>0.56999999999999995</v>
      </c>
      <c r="AD39">
        <f t="shared" si="3"/>
        <v>0.75</v>
      </c>
      <c r="AE39">
        <f t="shared" si="4"/>
        <v>0.2</v>
      </c>
      <c r="AF39">
        <f t="shared" si="92"/>
        <v>0</v>
      </c>
      <c r="AG39">
        <f t="shared" si="93"/>
        <v>0</v>
      </c>
      <c r="AH39">
        <f t="shared" si="94"/>
        <v>0</v>
      </c>
      <c r="AI39">
        <f t="shared" si="95"/>
        <v>0</v>
      </c>
      <c r="AJ39">
        <f t="shared" si="96"/>
        <v>1</v>
      </c>
      <c r="AK39">
        <f t="shared" si="97"/>
        <v>0</v>
      </c>
      <c r="AL39">
        <f t="shared" si="11"/>
        <v>1.03</v>
      </c>
      <c r="AM39">
        <f t="shared" si="12"/>
        <v>3.0539999999999998</v>
      </c>
      <c r="AN39">
        <f t="shared" si="98"/>
        <v>18.399999999999999</v>
      </c>
      <c r="AO39">
        <f t="shared" si="14"/>
        <v>0.6</v>
      </c>
      <c r="AP39">
        <f t="shared" si="99"/>
        <v>0.5948500000000001</v>
      </c>
      <c r="AQ39">
        <f t="shared" si="100"/>
        <v>0</v>
      </c>
      <c r="AR39">
        <f t="shared" si="101"/>
        <v>1</v>
      </c>
      <c r="AS39">
        <f t="shared" si="102"/>
        <v>3.4308856302250001</v>
      </c>
      <c r="AT39">
        <f t="shared" si="103"/>
        <v>1.2262028975982771</v>
      </c>
      <c r="AU39">
        <f t="shared" si="104"/>
        <v>590</v>
      </c>
      <c r="AV39">
        <f t="shared" si="105"/>
        <v>0.19491525423728814</v>
      </c>
      <c r="AW39">
        <f t="shared" si="22"/>
        <v>6.25</v>
      </c>
      <c r="AX39">
        <f t="shared" si="106"/>
        <v>1.5533805105434794E-2</v>
      </c>
      <c r="AY39">
        <f t="shared" si="107"/>
        <v>0.68617712604500003</v>
      </c>
      <c r="AZ39">
        <f t="shared" si="108"/>
        <v>9.3636467361806544E-2</v>
      </c>
      <c r="BA39" t="str">
        <f t="shared" si="26"/>
        <v/>
      </c>
      <c r="BB39">
        <f t="shared" si="109"/>
        <v>5262.3694657335282</v>
      </c>
      <c r="BC39">
        <f t="shared" si="110"/>
        <v>0</v>
      </c>
      <c r="BD39">
        <f t="shared" si="111"/>
        <v>0</v>
      </c>
      <c r="BE39">
        <f t="shared" si="112"/>
        <v>0</v>
      </c>
      <c r="BF39">
        <f t="shared" si="113"/>
        <v>0</v>
      </c>
      <c r="BG39">
        <f t="shared" si="114"/>
        <v>5262.3694657335282</v>
      </c>
      <c r="BH39">
        <f t="shared" si="115"/>
        <v>0</v>
      </c>
      <c r="BI39">
        <f t="shared" si="34"/>
        <v>0.02</v>
      </c>
      <c r="BJ39">
        <f t="shared" si="35"/>
        <v>0.24</v>
      </c>
      <c r="BK39">
        <f t="shared" si="116"/>
        <v>0</v>
      </c>
      <c r="BL39">
        <f t="shared" si="37"/>
        <v>1.0999999999999999E-2</v>
      </c>
      <c r="BM39">
        <f t="shared" si="38"/>
        <v>0</v>
      </c>
      <c r="BN39">
        <f t="shared" si="39"/>
        <v>0</v>
      </c>
      <c r="BO39">
        <f t="shared" si="40"/>
        <v>0</v>
      </c>
      <c r="BP39">
        <f t="shared" si="41"/>
        <v>5.0000000000000001E-3</v>
      </c>
      <c r="BQ39">
        <f t="shared" si="42"/>
        <v>0</v>
      </c>
      <c r="BR39">
        <f t="shared" si="43"/>
        <v>0.35</v>
      </c>
      <c r="BS39">
        <f t="shared" si="44"/>
        <v>7.0000000000000007E-2</v>
      </c>
      <c r="BT39">
        <f t="shared" si="45"/>
        <v>0.2</v>
      </c>
      <c r="BU39">
        <f t="shared" si="46"/>
        <v>0.3</v>
      </c>
      <c r="BV39">
        <f t="shared" si="47"/>
        <v>0.21</v>
      </c>
      <c r="BW39">
        <f t="shared" si="119"/>
        <v>0</v>
      </c>
      <c r="BX39">
        <f t="shared" si="120"/>
        <v>0</v>
      </c>
      <c r="BY39">
        <f t="shared" si="121"/>
        <v>0</v>
      </c>
      <c r="BZ39">
        <f t="shared" si="122"/>
        <v>0</v>
      </c>
      <c r="CA39">
        <v>0.8</v>
      </c>
      <c r="CB39">
        <f t="shared" si="123"/>
        <v>6.0000000000000001E-3</v>
      </c>
      <c r="CC39">
        <f t="shared" si="53"/>
        <v>1.57</v>
      </c>
    </row>
    <row r="40" spans="1:83" x14ac:dyDescent="0.2">
      <c r="A40" t="s">
        <v>344</v>
      </c>
      <c r="C40" t="s">
        <v>393</v>
      </c>
      <c r="D40" t="s">
        <v>16</v>
      </c>
      <c r="E40" t="b">
        <v>0</v>
      </c>
      <c r="F40" t="s">
        <v>132</v>
      </c>
      <c r="G40">
        <v>0.53400000000000003</v>
      </c>
      <c r="H40">
        <v>0.11</v>
      </c>
      <c r="I40">
        <v>0.35599999999999998</v>
      </c>
      <c r="J40">
        <v>0.25</v>
      </c>
      <c r="K40">
        <v>0.25</v>
      </c>
      <c r="L40">
        <v>0.25</v>
      </c>
      <c r="M40">
        <v>0.25</v>
      </c>
      <c r="N40">
        <v>0.25</v>
      </c>
      <c r="O40">
        <v>0.25</v>
      </c>
      <c r="P40">
        <v>0.25</v>
      </c>
      <c r="Q40">
        <v>0.25</v>
      </c>
      <c r="R40" t="b">
        <v>1</v>
      </c>
      <c r="S40">
        <v>0.2</v>
      </c>
      <c r="T40" t="s">
        <v>122</v>
      </c>
      <c r="W40" t="s">
        <v>122</v>
      </c>
      <c r="X40" t="s">
        <v>273</v>
      </c>
      <c r="Y40" t="s">
        <v>398</v>
      </c>
      <c r="Z40">
        <v>200</v>
      </c>
      <c r="AA40">
        <v>365</v>
      </c>
      <c r="AB40">
        <f t="shared" si="90"/>
        <v>600</v>
      </c>
      <c r="AC40">
        <f t="shared" si="91"/>
        <v>0.1</v>
      </c>
      <c r="AD40">
        <f t="shared" si="3"/>
        <v>0.75</v>
      </c>
      <c r="AE40">
        <f t="shared" si="4"/>
        <v>0.2</v>
      </c>
      <c r="AF40">
        <f t="shared" si="92"/>
        <v>0</v>
      </c>
      <c r="AG40">
        <f t="shared" si="93"/>
        <v>0</v>
      </c>
      <c r="AH40">
        <f t="shared" si="94"/>
        <v>0</v>
      </c>
      <c r="AI40">
        <f t="shared" si="95"/>
        <v>0</v>
      </c>
      <c r="AJ40">
        <f t="shared" si="96"/>
        <v>1</v>
      </c>
      <c r="AK40">
        <f t="shared" si="97"/>
        <v>0</v>
      </c>
      <c r="AL40">
        <f t="shared" si="11"/>
        <v>1.03</v>
      </c>
      <c r="AM40">
        <f t="shared" si="12"/>
        <v>3.0539999999999998</v>
      </c>
      <c r="AN40">
        <f t="shared" si="98"/>
        <v>18.399999999999999</v>
      </c>
      <c r="AO40">
        <f t="shared" si="14"/>
        <v>0.6</v>
      </c>
      <c r="AP40">
        <f t="shared" si="99"/>
        <v>0.5948500000000001</v>
      </c>
      <c r="AQ40">
        <f t="shared" si="100"/>
        <v>0</v>
      </c>
      <c r="AR40">
        <f t="shared" si="101"/>
        <v>1</v>
      </c>
      <c r="AS40">
        <f t="shared" si="102"/>
        <v>9.0270202499999979</v>
      </c>
      <c r="AT40">
        <f t="shared" si="103"/>
        <v>1.0213029780639273</v>
      </c>
      <c r="AU40">
        <f t="shared" si="104"/>
        <v>770</v>
      </c>
      <c r="AV40">
        <f t="shared" si="105"/>
        <v>0.77922077922077926</v>
      </c>
      <c r="AW40">
        <f t="shared" si="22"/>
        <v>6.25</v>
      </c>
      <c r="AX40">
        <f t="shared" si="106"/>
        <v>1.2626203146474679E-3</v>
      </c>
      <c r="AY40">
        <f t="shared" si="107"/>
        <v>1.8054040499999997</v>
      </c>
      <c r="AZ40">
        <f t="shared" si="108"/>
        <v>0.28546836331241399</v>
      </c>
      <c r="BA40" t="str">
        <f t="shared" si="26"/>
        <v/>
      </c>
      <c r="BB40">
        <f t="shared" si="109"/>
        <v>20839.19052180622</v>
      </c>
      <c r="BC40">
        <f t="shared" si="110"/>
        <v>0</v>
      </c>
      <c r="BD40">
        <f t="shared" si="111"/>
        <v>0</v>
      </c>
      <c r="BE40">
        <f t="shared" si="112"/>
        <v>0</v>
      </c>
      <c r="BF40">
        <f t="shared" si="113"/>
        <v>0</v>
      </c>
      <c r="BG40">
        <f t="shared" si="114"/>
        <v>20839.19052180622</v>
      </c>
      <c r="BH40">
        <f t="shared" si="115"/>
        <v>0</v>
      </c>
      <c r="BI40">
        <f t="shared" si="34"/>
        <v>0.02</v>
      </c>
      <c r="BJ40">
        <f t="shared" si="35"/>
        <v>0.24</v>
      </c>
      <c r="BK40">
        <f t="shared" si="116"/>
        <v>0</v>
      </c>
      <c r="BL40">
        <f t="shared" si="37"/>
        <v>1.0999999999999999E-2</v>
      </c>
      <c r="BM40">
        <f t="shared" si="38"/>
        <v>0</v>
      </c>
      <c r="BN40">
        <f t="shared" si="39"/>
        <v>0</v>
      </c>
      <c r="BO40">
        <f t="shared" si="40"/>
        <v>0</v>
      </c>
      <c r="BP40">
        <f t="shared" si="41"/>
        <v>5.0000000000000001E-3</v>
      </c>
      <c r="BQ40">
        <f t="shared" si="42"/>
        <v>0</v>
      </c>
      <c r="BR40">
        <f t="shared" si="43"/>
        <v>0.35</v>
      </c>
      <c r="BS40">
        <f t="shared" si="44"/>
        <v>7.0000000000000007E-2</v>
      </c>
      <c r="BT40">
        <f t="shared" si="45"/>
        <v>0.2</v>
      </c>
      <c r="BU40">
        <f t="shared" si="46"/>
        <v>0.3</v>
      </c>
      <c r="BV40">
        <f t="shared" si="47"/>
        <v>0.21</v>
      </c>
      <c r="BW40">
        <f t="shared" si="119"/>
        <v>0</v>
      </c>
      <c r="BX40">
        <f t="shared" si="120"/>
        <v>0</v>
      </c>
      <c r="BY40">
        <f t="shared" si="121"/>
        <v>0</v>
      </c>
      <c r="BZ40">
        <f t="shared" si="122"/>
        <v>0</v>
      </c>
      <c r="CA40">
        <v>0.8</v>
      </c>
      <c r="CB40">
        <f t="shared" si="123"/>
        <v>6.0000000000000001E-3</v>
      </c>
      <c r="CC40">
        <f t="shared" si="53"/>
        <v>1.57</v>
      </c>
    </row>
    <row r="41" spans="1:83" x14ac:dyDescent="0.2">
      <c r="A41" t="s">
        <v>344</v>
      </c>
      <c r="C41" t="s">
        <v>393</v>
      </c>
      <c r="D41" t="s">
        <v>16</v>
      </c>
      <c r="E41" t="b">
        <v>0</v>
      </c>
      <c r="F41" t="s">
        <v>132</v>
      </c>
      <c r="G41">
        <v>0.53400000000000003</v>
      </c>
      <c r="H41">
        <v>0.11</v>
      </c>
      <c r="I41">
        <v>0.35599999999999998</v>
      </c>
      <c r="J41">
        <v>0.25</v>
      </c>
      <c r="K41">
        <v>0.25</v>
      </c>
      <c r="L41">
        <v>0.25</v>
      </c>
      <c r="M41">
        <v>0.25</v>
      </c>
      <c r="N41">
        <v>0.25</v>
      </c>
      <c r="O41">
        <v>0.25</v>
      </c>
      <c r="P41">
        <v>0.25</v>
      </c>
      <c r="Q41">
        <v>0.25</v>
      </c>
      <c r="R41" t="b">
        <v>1</v>
      </c>
      <c r="S41">
        <v>0.2</v>
      </c>
      <c r="T41" t="s">
        <v>122</v>
      </c>
      <c r="W41" t="s">
        <v>122</v>
      </c>
      <c r="X41" t="s">
        <v>273</v>
      </c>
      <c r="Y41" t="s">
        <v>399</v>
      </c>
      <c r="Z41">
        <v>200</v>
      </c>
      <c r="AA41">
        <v>84</v>
      </c>
      <c r="AB41">
        <f t="shared" si="90"/>
        <v>225</v>
      </c>
      <c r="AC41" t="str">
        <f t="shared" si="91"/>
        <v/>
      </c>
      <c r="AD41">
        <f t="shared" si="3"/>
        <v>0.75</v>
      </c>
      <c r="AE41">
        <f t="shared" si="4"/>
        <v>0.2</v>
      </c>
      <c r="AF41">
        <f t="shared" si="92"/>
        <v>0</v>
      </c>
      <c r="AG41">
        <f t="shared" si="93"/>
        <v>0</v>
      </c>
      <c r="AH41">
        <f t="shared" si="94"/>
        <v>0</v>
      </c>
      <c r="AI41">
        <f t="shared" si="95"/>
        <v>0</v>
      </c>
      <c r="AJ41">
        <f t="shared" si="96"/>
        <v>1</v>
      </c>
      <c r="AK41">
        <f t="shared" si="97"/>
        <v>0</v>
      </c>
      <c r="AL41">
        <f t="shared" si="11"/>
        <v>1.03</v>
      </c>
      <c r="AM41">
        <f t="shared" si="12"/>
        <v>3.0539999999999998</v>
      </c>
      <c r="AN41">
        <f t="shared" si="98"/>
        <v>18.399999999999999</v>
      </c>
      <c r="AO41">
        <f t="shared" si="14"/>
        <v>0.6</v>
      </c>
      <c r="AP41">
        <f t="shared" si="99"/>
        <v>0.5948500000000001</v>
      </c>
      <c r="AQ41">
        <f t="shared" si="100"/>
        <v>0</v>
      </c>
      <c r="AR41">
        <f t="shared" si="101"/>
        <v>1</v>
      </c>
      <c r="AS41" t="str">
        <f t="shared" si="102"/>
        <v/>
      </c>
      <c r="AT41" t="str">
        <f t="shared" si="103"/>
        <v/>
      </c>
      <c r="AU41" t="str">
        <f t="shared" si="104"/>
        <v/>
      </c>
      <c r="AV41" t="str">
        <f t="shared" si="105"/>
        <v/>
      </c>
      <c r="AW41">
        <f t="shared" si="22"/>
        <v>6.25</v>
      </c>
      <c r="AX41" t="str">
        <f t="shared" si="106"/>
        <v/>
      </c>
      <c r="AY41" t="str">
        <f t="shared" si="107"/>
        <v/>
      </c>
      <c r="AZ41" t="str">
        <f t="shared" si="108"/>
        <v/>
      </c>
      <c r="BA41">
        <f t="shared" si="26"/>
        <v>9.1999999999999998E-3</v>
      </c>
      <c r="BB41">
        <f t="shared" si="109"/>
        <v>154.56</v>
      </c>
      <c r="BC41">
        <f t="shared" si="110"/>
        <v>0</v>
      </c>
      <c r="BD41">
        <f t="shared" si="111"/>
        <v>0</v>
      </c>
      <c r="BE41">
        <f t="shared" si="112"/>
        <v>0</v>
      </c>
      <c r="BF41">
        <f t="shared" si="113"/>
        <v>0</v>
      </c>
      <c r="BG41">
        <f t="shared" si="114"/>
        <v>154.56</v>
      </c>
      <c r="BH41">
        <f t="shared" si="115"/>
        <v>0</v>
      </c>
      <c r="BI41">
        <f t="shared" si="34"/>
        <v>0.02</v>
      </c>
      <c r="BJ41">
        <f t="shared" si="35"/>
        <v>0.24</v>
      </c>
      <c r="BK41">
        <f t="shared" si="116"/>
        <v>0</v>
      </c>
      <c r="BL41">
        <f t="shared" si="37"/>
        <v>1.0999999999999999E-2</v>
      </c>
      <c r="BM41">
        <f t="shared" si="38"/>
        <v>0</v>
      </c>
      <c r="BN41">
        <f t="shared" si="39"/>
        <v>0</v>
      </c>
      <c r="BO41">
        <f t="shared" si="40"/>
        <v>0</v>
      </c>
      <c r="BP41">
        <f t="shared" si="41"/>
        <v>5.0000000000000001E-3</v>
      </c>
      <c r="BQ41">
        <f t="shared" si="42"/>
        <v>0</v>
      </c>
      <c r="BR41">
        <f t="shared" si="43"/>
        <v>0.35</v>
      </c>
      <c r="BS41">
        <f t="shared" si="44"/>
        <v>7.0000000000000007E-2</v>
      </c>
      <c r="BT41">
        <f t="shared" si="45"/>
        <v>0.2</v>
      </c>
      <c r="BU41">
        <f t="shared" si="46"/>
        <v>0.3</v>
      </c>
      <c r="BV41">
        <f t="shared" si="47"/>
        <v>0.21</v>
      </c>
      <c r="BW41">
        <f t="shared" si="119"/>
        <v>0</v>
      </c>
      <c r="BX41">
        <f t="shared" si="120"/>
        <v>0</v>
      </c>
      <c r="BY41">
        <f t="shared" si="121"/>
        <v>0</v>
      </c>
      <c r="BZ41">
        <f t="shared" si="122"/>
        <v>0</v>
      </c>
      <c r="CA41">
        <v>0.8</v>
      </c>
      <c r="CB41">
        <f t="shared" si="123"/>
        <v>6.0000000000000001E-3</v>
      </c>
      <c r="CC41">
        <f t="shared" si="53"/>
        <v>1.57</v>
      </c>
    </row>
    <row r="42" spans="1:83" s="3" customFormat="1" x14ac:dyDescent="0.2">
      <c r="A42" t="s">
        <v>344</v>
      </c>
      <c r="C42" s="3" t="s">
        <v>393</v>
      </c>
      <c r="D42" s="3" t="s">
        <v>16</v>
      </c>
      <c r="E42" s="3" t="b">
        <v>0</v>
      </c>
      <c r="F42" s="3" t="s">
        <v>132</v>
      </c>
      <c r="G42" s="3">
        <v>0.53400000000000003</v>
      </c>
      <c r="H42" s="3">
        <v>0.11</v>
      </c>
      <c r="I42" s="3">
        <v>0.35599999999999998</v>
      </c>
      <c r="J42" s="3">
        <v>0.25</v>
      </c>
      <c r="K42" s="3">
        <v>0.25</v>
      </c>
      <c r="L42" s="3">
        <v>0.25</v>
      </c>
      <c r="M42" s="3">
        <v>0.25</v>
      </c>
      <c r="N42" s="3">
        <v>0.25</v>
      </c>
      <c r="O42" s="3">
        <v>0.25</v>
      </c>
      <c r="P42" s="3">
        <v>0.25</v>
      </c>
      <c r="Q42" s="3">
        <v>0.25</v>
      </c>
      <c r="R42" s="3" t="b">
        <v>1</v>
      </c>
      <c r="S42" s="3">
        <v>0.2</v>
      </c>
      <c r="T42" s="3" t="s">
        <v>122</v>
      </c>
      <c r="W42" s="3" t="s">
        <v>122</v>
      </c>
      <c r="X42" s="3" t="s">
        <v>273</v>
      </c>
      <c r="Y42" s="3" t="s">
        <v>400</v>
      </c>
      <c r="Z42" s="3">
        <v>200</v>
      </c>
      <c r="AA42" s="3">
        <v>281</v>
      </c>
      <c r="AB42" s="3">
        <f t="shared" si="90"/>
        <v>225</v>
      </c>
      <c r="AC42" s="3">
        <f t="shared" si="91"/>
        <v>0.8</v>
      </c>
      <c r="AD42" s="3">
        <f t="shared" si="3"/>
        <v>0.75</v>
      </c>
      <c r="AE42" s="3">
        <f t="shared" si="4"/>
        <v>0.2</v>
      </c>
      <c r="AF42" s="3">
        <f t="shared" si="92"/>
        <v>0</v>
      </c>
      <c r="AG42" s="3">
        <f t="shared" si="93"/>
        <v>0</v>
      </c>
      <c r="AH42" s="3">
        <f t="shared" si="94"/>
        <v>0</v>
      </c>
      <c r="AI42" s="3">
        <f t="shared" si="95"/>
        <v>0</v>
      </c>
      <c r="AJ42" s="3">
        <f t="shared" si="96"/>
        <v>1</v>
      </c>
      <c r="AK42" s="3">
        <f t="shared" si="97"/>
        <v>0</v>
      </c>
      <c r="AL42" s="3">
        <f t="shared" si="11"/>
        <v>1.03</v>
      </c>
      <c r="AM42" s="3">
        <f t="shared" si="12"/>
        <v>3.0539999999999998</v>
      </c>
      <c r="AN42" s="3">
        <f t="shared" si="98"/>
        <v>18.399999999999999</v>
      </c>
      <c r="AO42" s="3">
        <f t="shared" si="14"/>
        <v>0.6</v>
      </c>
      <c r="AP42" s="3">
        <f t="shared" si="99"/>
        <v>0.5948500000000001</v>
      </c>
      <c r="AQ42" s="3">
        <f t="shared" si="100"/>
        <v>0</v>
      </c>
      <c r="AR42" s="3">
        <f t="shared" si="101"/>
        <v>1</v>
      </c>
      <c r="AS42" s="3">
        <f t="shared" si="102"/>
        <v>5.4143472656250013</v>
      </c>
      <c r="AT42" s="3">
        <f t="shared" si="103"/>
        <v>1.2576570545672616</v>
      </c>
      <c r="AU42" s="3">
        <f t="shared" si="104"/>
        <v>770</v>
      </c>
      <c r="AV42" s="3">
        <f t="shared" si="105"/>
        <v>0.29220779220779219</v>
      </c>
      <c r="AW42" s="3">
        <f t="shared" si="22"/>
        <v>6.25</v>
      </c>
      <c r="AX42" s="3">
        <f t="shared" si="106"/>
        <v>1.9757354894894084E-2</v>
      </c>
      <c r="AY42" s="3">
        <f t="shared" si="107"/>
        <v>1.0828694531250003</v>
      </c>
      <c r="AZ42" s="3">
        <f t="shared" si="108"/>
        <v>0.15247929000170721</v>
      </c>
      <c r="BA42" s="3" t="str">
        <f t="shared" si="26"/>
        <v/>
      </c>
      <c r="BB42" s="3">
        <f t="shared" si="109"/>
        <v>8569.336098095946</v>
      </c>
      <c r="BC42" s="3">
        <f t="shared" si="110"/>
        <v>0</v>
      </c>
      <c r="BD42" s="3">
        <f t="shared" si="111"/>
        <v>0</v>
      </c>
      <c r="BE42" s="3">
        <f t="shared" si="112"/>
        <v>0</v>
      </c>
      <c r="BF42" s="3">
        <f t="shared" si="113"/>
        <v>0</v>
      </c>
      <c r="BG42" s="3">
        <f t="shared" si="114"/>
        <v>8569.336098095946</v>
      </c>
      <c r="BH42" s="3">
        <f t="shared" si="115"/>
        <v>0</v>
      </c>
      <c r="BI42" s="3">
        <f t="shared" si="34"/>
        <v>0.02</v>
      </c>
      <c r="BJ42" s="3">
        <f t="shared" si="35"/>
        <v>0.24</v>
      </c>
      <c r="BK42" s="3">
        <f t="shared" si="116"/>
        <v>0</v>
      </c>
      <c r="BL42" s="3">
        <f t="shared" si="37"/>
        <v>1.0999999999999999E-2</v>
      </c>
      <c r="BM42" s="3">
        <f t="shared" si="38"/>
        <v>0</v>
      </c>
      <c r="BN42" s="3">
        <f t="shared" si="39"/>
        <v>0</v>
      </c>
      <c r="BO42" s="3">
        <f t="shared" si="40"/>
        <v>0</v>
      </c>
      <c r="BP42" s="3">
        <f t="shared" si="41"/>
        <v>5.0000000000000001E-3</v>
      </c>
      <c r="BQ42" s="3">
        <f t="shared" si="42"/>
        <v>0</v>
      </c>
      <c r="BR42" s="3">
        <f t="shared" si="43"/>
        <v>0.35</v>
      </c>
      <c r="BS42" s="3">
        <f t="shared" si="44"/>
        <v>7.0000000000000007E-2</v>
      </c>
      <c r="BT42" s="3">
        <f t="shared" si="45"/>
        <v>0.2</v>
      </c>
      <c r="BU42" s="3">
        <f t="shared" si="46"/>
        <v>0.3</v>
      </c>
      <c r="BV42" s="3">
        <f t="shared" si="47"/>
        <v>0.21</v>
      </c>
      <c r="BW42" s="3">
        <f t="shared" si="119"/>
        <v>0</v>
      </c>
      <c r="BX42" s="3">
        <f t="shared" si="120"/>
        <v>0</v>
      </c>
      <c r="BY42" s="3">
        <f t="shared" si="121"/>
        <v>0</v>
      </c>
      <c r="BZ42" s="3">
        <f t="shared" si="122"/>
        <v>0</v>
      </c>
      <c r="CA42" s="3">
        <v>0.8</v>
      </c>
      <c r="CB42" s="3">
        <f t="shared" si="123"/>
        <v>6.0000000000000001E-3</v>
      </c>
      <c r="CC42" s="3">
        <f t="shared" si="53"/>
        <v>1.57</v>
      </c>
    </row>
    <row r="43" spans="1:83" x14ac:dyDescent="0.2">
      <c r="A43" t="s">
        <v>344</v>
      </c>
      <c r="C43" t="s">
        <v>407</v>
      </c>
      <c r="D43" t="s">
        <v>16</v>
      </c>
      <c r="E43" t="b">
        <v>1</v>
      </c>
      <c r="F43" t="s">
        <v>130</v>
      </c>
      <c r="G43">
        <v>0.79</v>
      </c>
      <c r="H43">
        <v>0.11</v>
      </c>
      <c r="I43">
        <v>0.1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 t="b">
        <v>1</v>
      </c>
      <c r="S43">
        <v>0.2</v>
      </c>
      <c r="T43">
        <v>4</v>
      </c>
      <c r="U43">
        <v>4</v>
      </c>
      <c r="V43">
        <v>3.3</v>
      </c>
      <c r="W43" t="s">
        <v>122</v>
      </c>
      <c r="X43" t="s">
        <v>274</v>
      </c>
      <c r="Y43" t="s">
        <v>394</v>
      </c>
      <c r="Z43">
        <v>200</v>
      </c>
      <c r="AA43">
        <v>365</v>
      </c>
      <c r="AB43">
        <f>INDEX($B$75:$H$84, MATCH(X43, $A$75:$A$84, 0), MATCH(Y43,$B$74:$H$74, 0))</f>
        <v>450</v>
      </c>
      <c r="AC43">
        <f>_xlfn.XLOOKUP(Y43, $B$86:$F$86, $B$88:$F$88, "")</f>
        <v>1.6E-2</v>
      </c>
      <c r="AD43">
        <f>$B$118</f>
        <v>0.75</v>
      </c>
      <c r="AE43">
        <f>$B$119</f>
        <v>0.2</v>
      </c>
      <c r="AF43">
        <f>IF($Y43="milkingCows",($H43*J43)+($I43*N43), 0)</f>
        <v>0.1</v>
      </c>
      <c r="AG43">
        <f t="shared" si="93"/>
        <v>0</v>
      </c>
      <c r="AH43">
        <f t="shared" si="94"/>
        <v>0.11</v>
      </c>
      <c r="AI43">
        <f t="shared" si="95"/>
        <v>0</v>
      </c>
      <c r="AJ43">
        <f>IF($Y43="milkingCows",G43, 1)</f>
        <v>0.79</v>
      </c>
      <c r="AK43">
        <f>IF(Y43="milkingCows", IF(W43&lt;&gt;"", W43, T43/((U43+V43)*0.01)), 0)</f>
        <v>54.794520547945211</v>
      </c>
      <c r="AL43">
        <f>$B$117</f>
        <v>1.03</v>
      </c>
      <c r="AM43">
        <f>$B$114</f>
        <v>3.0539999999999998</v>
      </c>
      <c r="AN43">
        <f>B$115</f>
        <v>18.399999999999999</v>
      </c>
      <c r="AO43">
        <f>$B$116</f>
        <v>0.6</v>
      </c>
      <c r="AP43">
        <f>0.795*(AD43)-0.0014</f>
        <v>0.5948500000000001</v>
      </c>
      <c r="AQ43">
        <f>(AK43*AL43*AM43)/(AN43*AO43*AP43)</f>
        <v>26.246225105773135</v>
      </c>
      <c r="AR43">
        <f>IF(Y43="milkingCows",$P$75,$P$76)</f>
        <v>1.1000000000000001</v>
      </c>
      <c r="AS43">
        <f>IFERROR(((1.185+(0.00454*AB43)-(0.0000026*(AB43^2))+(0.315*AC43))^2*AR43+AQ43), "")</f>
        <v>34.304119754533133</v>
      </c>
      <c r="AT43">
        <f>IFERROR(((1.185+(0.00454*AB43)-(0.0000026*(AB43^2))+(0.315*AC43))^2*AR43+AQ43)/((1.185+(0.00454*AB43)-(0.0000026*(AB43^2)))^2*AR43+AQ43), "")</f>
        <v>1.0008747754393335</v>
      </c>
      <c r="AU43">
        <f>_xlfn.XLOOKUP(Y43, $B$86:$F$86, $B$87:$F$87, "")</f>
        <v>590</v>
      </c>
      <c r="AV43">
        <f>IFERROR(AB43/AU43, "")</f>
        <v>0.76271186440677963</v>
      </c>
      <c r="AW43">
        <f>$B$128</f>
        <v>6.25</v>
      </c>
      <c r="AX43">
        <f>IFERROR((((0.212 - (0.008*(AT43-2)) - (0.14-0.008*(AT43-2))/(1+EXP(-6*(AV43-0.4)))) * AC43 * 0.92)/AW43) + (0.032*AK43*AL43)/6.38, "")</f>
        <v>0.2832814871011613</v>
      </c>
      <c r="AY43">
        <f>IFERROR(AE43*AS43, "")</f>
        <v>6.8608239509066271</v>
      </c>
      <c r="AZ43">
        <f>IF(ISNUMBER(FIND("PreWeaned",Y43)),"", (AY43/AW43)-AX43-(((1.1*10^-4)*(AB43^0.75))/AW43))</f>
        <v>0.81273076635907693</v>
      </c>
      <c r="BA43" t="str">
        <f t="shared" si="26"/>
        <v/>
      </c>
      <c r="BB43">
        <f>SUM(AZ43:BA43)*Z43*AA43</f>
        <v>59329.345944212619</v>
      </c>
      <c r="BC43">
        <f>$BB43*AF43</f>
        <v>5932.9345944212619</v>
      </c>
      <c r="BD43">
        <f>$BB43*AG43</f>
        <v>0</v>
      </c>
      <c r="BE43">
        <f>$BB43*AH43</f>
        <v>6526.2280538633877</v>
      </c>
      <c r="BF43">
        <f>$BB43*AI43</f>
        <v>0</v>
      </c>
      <c r="BG43">
        <f>$BB43*AJ43</f>
        <v>46870.183295927971</v>
      </c>
      <c r="BH43">
        <f>IF(E43, 1, 0)</f>
        <v>1</v>
      </c>
      <c r="BI43">
        <f>$B$127</f>
        <v>0.02</v>
      </c>
      <c r="BJ43">
        <f>$B$126</f>
        <v>0.24</v>
      </c>
      <c r="BK43">
        <f>BF43*$BH43*BI43</f>
        <v>0</v>
      </c>
      <c r="BL43">
        <f t="shared" si="37"/>
        <v>1.0999999999999999E-2</v>
      </c>
      <c r="BM43">
        <f t="shared" si="38"/>
        <v>0</v>
      </c>
      <c r="BN43">
        <f t="shared" si="39"/>
        <v>0</v>
      </c>
      <c r="BO43">
        <f t="shared" si="40"/>
        <v>0</v>
      </c>
      <c r="BP43">
        <f t="shared" si="41"/>
        <v>5.0000000000000001E-3</v>
      </c>
      <c r="BQ43">
        <f t="shared" si="42"/>
        <v>0</v>
      </c>
      <c r="BR43">
        <f t="shared" si="43"/>
        <v>0.35</v>
      </c>
      <c r="BS43">
        <f t="shared" si="44"/>
        <v>7.0000000000000007E-2</v>
      </c>
      <c r="BT43">
        <f t="shared" si="45"/>
        <v>0.2</v>
      </c>
      <c r="BU43">
        <f t="shared" si="46"/>
        <v>0.3</v>
      </c>
      <c r="BV43">
        <f t="shared" si="47"/>
        <v>0.21</v>
      </c>
      <c r="BW43">
        <f t="shared" si="119"/>
        <v>3856.4074863738201</v>
      </c>
      <c r="BX43">
        <f t="shared" si="120"/>
        <v>0</v>
      </c>
      <c r="BY43">
        <f t="shared" si="121"/>
        <v>5220.9824430907101</v>
      </c>
      <c r="BZ43">
        <f t="shared" si="122"/>
        <v>0</v>
      </c>
      <c r="CA43">
        <v>0.8</v>
      </c>
      <c r="CB43">
        <f t="shared" si="123"/>
        <v>6.0000000000000001E-3</v>
      </c>
      <c r="CC43">
        <f t="shared" si="53"/>
        <v>1.57</v>
      </c>
      <c r="CD43">
        <f>SUM(BW43:BZ43)*CA43</f>
        <v>7261.9119435716248</v>
      </c>
      <c r="CE43">
        <f>CD43*$CC43*$CB43/1000</f>
        <v>6.8407210508444699E-2</v>
      </c>
    </row>
    <row r="44" spans="1:83" x14ac:dyDescent="0.2">
      <c r="A44" t="s">
        <v>344</v>
      </c>
      <c r="C44" t="s">
        <v>407</v>
      </c>
      <c r="D44" t="s">
        <v>16</v>
      </c>
      <c r="E44" t="b">
        <v>1</v>
      </c>
      <c r="F44" t="s">
        <v>130</v>
      </c>
      <c r="G44">
        <v>0.79</v>
      </c>
      <c r="H44">
        <v>0.11</v>
      </c>
      <c r="I44">
        <v>0.1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 t="b">
        <v>1</v>
      </c>
      <c r="S44">
        <v>0.2</v>
      </c>
      <c r="T44" t="s">
        <v>122</v>
      </c>
      <c r="W44" t="s">
        <v>122</v>
      </c>
      <c r="X44" t="s">
        <v>274</v>
      </c>
      <c r="Y44" t="s">
        <v>395</v>
      </c>
      <c r="Z44">
        <v>200</v>
      </c>
      <c r="AA44">
        <v>365</v>
      </c>
      <c r="AB44">
        <f t="shared" ref="AB44:AB49" si="124">INDEX($B$75:$H$84, MATCH(X44, $A$75:$A$84, 0), MATCH(Y44,$B$74:$H$74, 0))</f>
        <v>315</v>
      </c>
      <c r="AC44">
        <f t="shared" ref="AC44:AC49" si="125">_xlfn.XLOOKUP(Y44, $B$86:$F$86, $B$88:$F$88, "")</f>
        <v>0.6</v>
      </c>
      <c r="AD44">
        <f t="shared" si="3"/>
        <v>0.75</v>
      </c>
      <c r="AE44">
        <f t="shared" si="4"/>
        <v>0.2</v>
      </c>
      <c r="AF44">
        <f t="shared" ref="AF44:AF49" si="126">IF($Y44="milkingCows",($H44*J44)+($I44*N44), 0)</f>
        <v>0</v>
      </c>
      <c r="AG44">
        <f t="shared" si="93"/>
        <v>0</v>
      </c>
      <c r="AH44">
        <f t="shared" si="94"/>
        <v>0</v>
      </c>
      <c r="AI44">
        <f t="shared" si="95"/>
        <v>0</v>
      </c>
      <c r="AJ44">
        <f t="shared" ref="AJ44:AJ49" si="127">IF($Y44="milkingCows",G44, 1)</f>
        <v>1</v>
      </c>
      <c r="AK44">
        <f t="shared" ref="AK44:AK49" si="128">IF(Y44="milkingCows", IF(W44&lt;&gt;"", W44, T44/((U44+V44)*0.01)), 0)</f>
        <v>0</v>
      </c>
      <c r="AL44">
        <f t="shared" si="11"/>
        <v>1.03</v>
      </c>
      <c r="AM44">
        <f t="shared" si="12"/>
        <v>3.0539999999999998</v>
      </c>
      <c r="AN44">
        <f t="shared" ref="AN44:AN49" si="129">B$115</f>
        <v>18.399999999999999</v>
      </c>
      <c r="AO44">
        <f t="shared" si="14"/>
        <v>0.6</v>
      </c>
      <c r="AP44">
        <f t="shared" ref="AP44:AP49" si="130">0.795*(AD44)-0.0014</f>
        <v>0.5948500000000001</v>
      </c>
      <c r="AQ44">
        <f t="shared" ref="AQ44:AQ49" si="131">(AK44*AL44*AM44)/(AN44*AO44*AP44)</f>
        <v>0</v>
      </c>
      <c r="AR44">
        <f t="shared" ref="AR44:AR49" si="132">IF(Y44="milkingCows",$P$75,$P$76)</f>
        <v>1</v>
      </c>
      <c r="AS44">
        <f t="shared" ref="AS44:AS49" si="133">IFERROR(((1.185+(0.00454*AB44)-(0.0000026*(AB44^2))+(0.315*AC44))^2*AR44+AQ44), "")</f>
        <v>6.4827015932249994</v>
      </c>
      <c r="AT44">
        <f t="shared" ref="AT44:AT49" si="134">IFERROR(((1.185+(0.00454*AB44)-(0.0000026*(AB44^2))+(0.315*AC44))^2*AR44+AQ44)/((1.185+(0.00454*AB44)-(0.0000026*(AB44^2)))^2*AR44+AQ44), "")</f>
        <v>1.166794807523394</v>
      </c>
      <c r="AU44">
        <f t="shared" ref="AU44:AU49" si="135">_xlfn.XLOOKUP(Y44, $B$86:$F$86, $B$87:$F$87, "")</f>
        <v>590</v>
      </c>
      <c r="AV44">
        <f t="shared" ref="AV44:AV49" si="136">IFERROR(AB44/AU44, "")</f>
        <v>0.53389830508474578</v>
      </c>
      <c r="AW44">
        <f t="shared" si="22"/>
        <v>6.25</v>
      </c>
      <c r="AX44">
        <f t="shared" ref="AX44:AX49" si="137">IFERROR((((0.212 - (0.008*(AT44-2)) - (0.14-0.008*(AT44-2))/(1+EXP(-6*(AV44-0.4)))) * AC44 * 0.92)/AW44) + (0.032*AK44*AL44)/6.38, "")</f>
        <v>1.0365571727800444E-2</v>
      </c>
      <c r="AY44">
        <f t="shared" ref="AY44:AY49" si="138">IFERROR(AE44*AS44, "")</f>
        <v>1.296540318645</v>
      </c>
      <c r="AZ44">
        <f t="shared" ref="AZ44:AZ49" si="139">IF(ISNUMBER(FIND("PreWeaned",Y44)),"", (AY44/AW44)-AX44-(((1.1*10^-4)*(AB44^0.75))/AW44))</f>
        <v>0.19576491048465905</v>
      </c>
      <c r="BA44" t="str">
        <f t="shared" si="26"/>
        <v/>
      </c>
      <c r="BB44">
        <f t="shared" ref="BB44:BB49" si="140">SUM(AZ44:BA44)*Z44*AA44</f>
        <v>14290.838465380109</v>
      </c>
      <c r="BC44">
        <f t="shared" ref="BC44:BC49" si="141">$BB44*AF44</f>
        <v>0</v>
      </c>
      <c r="BD44">
        <f t="shared" ref="BD44:BD49" si="142">$BB44*AG44</f>
        <v>0</v>
      </c>
      <c r="BE44">
        <f t="shared" ref="BE44:BE49" si="143">$BB44*AH44</f>
        <v>0</v>
      </c>
      <c r="BF44">
        <f t="shared" ref="BF44:BF49" si="144">$BB44*AI44</f>
        <v>0</v>
      </c>
      <c r="BG44">
        <f t="shared" ref="BG44:BG49" si="145">$BB44*AJ44</f>
        <v>14290.838465380109</v>
      </c>
      <c r="BH44">
        <f t="shared" ref="BH44:BH49" si="146">IF(E44, 1, 0)</f>
        <v>1</v>
      </c>
      <c r="BI44">
        <f t="shared" si="34"/>
        <v>0.02</v>
      </c>
      <c r="BJ44">
        <f t="shared" si="35"/>
        <v>0.24</v>
      </c>
      <c r="BK44">
        <f t="shared" ref="BK44:BK49" si="147">BF44*$BH44*BI44</f>
        <v>0</v>
      </c>
      <c r="BL44">
        <f t="shared" si="37"/>
        <v>1.0999999999999999E-2</v>
      </c>
      <c r="BM44">
        <f t="shared" si="38"/>
        <v>0</v>
      </c>
      <c r="BN44">
        <f t="shared" si="39"/>
        <v>0</v>
      </c>
      <c r="BO44">
        <f t="shared" si="40"/>
        <v>0</v>
      </c>
      <c r="BP44">
        <f t="shared" si="41"/>
        <v>5.0000000000000001E-3</v>
      </c>
      <c r="BQ44">
        <f t="shared" si="42"/>
        <v>0</v>
      </c>
      <c r="BR44">
        <f t="shared" si="43"/>
        <v>0.35</v>
      </c>
      <c r="BS44">
        <f t="shared" si="44"/>
        <v>7.0000000000000007E-2</v>
      </c>
      <c r="BT44">
        <f t="shared" si="45"/>
        <v>0.2</v>
      </c>
      <c r="BU44">
        <f t="shared" si="46"/>
        <v>0.3</v>
      </c>
      <c r="BV44">
        <f t="shared" si="47"/>
        <v>0.21</v>
      </c>
      <c r="BW44">
        <f t="shared" si="119"/>
        <v>0</v>
      </c>
      <c r="BX44">
        <f t="shared" si="120"/>
        <v>0</v>
      </c>
      <c r="BY44">
        <f t="shared" si="121"/>
        <v>0</v>
      </c>
      <c r="BZ44">
        <f t="shared" si="122"/>
        <v>0</v>
      </c>
      <c r="CA44">
        <v>0.8</v>
      </c>
      <c r="CB44">
        <f t="shared" si="123"/>
        <v>6.0000000000000001E-3</v>
      </c>
      <c r="CC44">
        <f t="shared" si="53"/>
        <v>1.57</v>
      </c>
    </row>
    <row r="45" spans="1:83" x14ac:dyDescent="0.2">
      <c r="A45" t="s">
        <v>344</v>
      </c>
      <c r="C45" t="s">
        <v>407</v>
      </c>
      <c r="D45" t="s">
        <v>16</v>
      </c>
      <c r="E45" t="b">
        <v>1</v>
      </c>
      <c r="F45" t="s">
        <v>130</v>
      </c>
      <c r="G45">
        <v>0.79</v>
      </c>
      <c r="H45">
        <v>0.11</v>
      </c>
      <c r="I45">
        <v>0.1</v>
      </c>
      <c r="J45">
        <v>0</v>
      </c>
      <c r="K45">
        <v>0</v>
      </c>
      <c r="L45">
        <v>1</v>
      </c>
      <c r="M45">
        <v>0</v>
      </c>
      <c r="N45">
        <v>1</v>
      </c>
      <c r="O45">
        <v>0</v>
      </c>
      <c r="P45">
        <v>0</v>
      </c>
      <c r="Q45">
        <v>0</v>
      </c>
      <c r="R45" t="b">
        <v>1</v>
      </c>
      <c r="S45">
        <v>0.2</v>
      </c>
      <c r="T45" t="s">
        <v>122</v>
      </c>
      <c r="W45" t="s">
        <v>122</v>
      </c>
      <c r="X45" t="s">
        <v>274</v>
      </c>
      <c r="Y45" t="s">
        <v>396</v>
      </c>
      <c r="Z45">
        <v>200</v>
      </c>
      <c r="AA45">
        <v>84</v>
      </c>
      <c r="AB45">
        <f t="shared" si="124"/>
        <v>130</v>
      </c>
      <c r="AC45" t="str">
        <f t="shared" si="125"/>
        <v/>
      </c>
      <c r="AD45">
        <f t="shared" si="3"/>
        <v>0.75</v>
      </c>
      <c r="AE45">
        <f t="shared" si="4"/>
        <v>0.2</v>
      </c>
      <c r="AF45">
        <f t="shared" si="126"/>
        <v>0</v>
      </c>
      <c r="AG45">
        <f t="shared" si="93"/>
        <v>0</v>
      </c>
      <c r="AH45">
        <f t="shared" si="94"/>
        <v>0</v>
      </c>
      <c r="AI45">
        <f t="shared" si="95"/>
        <v>0</v>
      </c>
      <c r="AJ45">
        <f t="shared" si="127"/>
        <v>1</v>
      </c>
      <c r="AK45">
        <f t="shared" si="128"/>
        <v>0</v>
      </c>
      <c r="AL45">
        <f t="shared" si="11"/>
        <v>1.03</v>
      </c>
      <c r="AM45">
        <f t="shared" si="12"/>
        <v>3.0539999999999998</v>
      </c>
      <c r="AN45">
        <f t="shared" si="129"/>
        <v>18.399999999999999</v>
      </c>
      <c r="AO45">
        <f t="shared" si="14"/>
        <v>0.6</v>
      </c>
      <c r="AP45">
        <f t="shared" si="130"/>
        <v>0.5948500000000001</v>
      </c>
      <c r="AQ45">
        <f t="shared" si="131"/>
        <v>0</v>
      </c>
      <c r="AR45">
        <f t="shared" si="132"/>
        <v>1</v>
      </c>
      <c r="AS45" t="str">
        <f t="shared" si="133"/>
        <v/>
      </c>
      <c r="AT45" t="str">
        <f t="shared" si="134"/>
        <v/>
      </c>
      <c r="AU45" t="str">
        <f t="shared" si="135"/>
        <v/>
      </c>
      <c r="AV45" t="str">
        <f t="shared" si="136"/>
        <v/>
      </c>
      <c r="AW45">
        <f t="shared" si="22"/>
        <v>6.25</v>
      </c>
      <c r="AX45" t="str">
        <f t="shared" si="137"/>
        <v/>
      </c>
      <c r="AY45" t="str">
        <f t="shared" si="138"/>
        <v/>
      </c>
      <c r="AZ45" t="str">
        <f t="shared" si="139"/>
        <v/>
      </c>
      <c r="BA45">
        <f t="shared" si="26"/>
        <v>1.37E-2</v>
      </c>
      <c r="BB45">
        <f t="shared" si="140"/>
        <v>230.16000000000003</v>
      </c>
      <c r="BC45">
        <f t="shared" si="141"/>
        <v>0</v>
      </c>
      <c r="BD45">
        <f t="shared" si="142"/>
        <v>0</v>
      </c>
      <c r="BE45">
        <f t="shared" si="143"/>
        <v>0</v>
      </c>
      <c r="BF45">
        <f t="shared" si="144"/>
        <v>0</v>
      </c>
      <c r="BG45">
        <f t="shared" si="145"/>
        <v>230.16000000000003</v>
      </c>
      <c r="BH45">
        <f t="shared" si="146"/>
        <v>1</v>
      </c>
      <c r="BI45">
        <f t="shared" si="34"/>
        <v>0.02</v>
      </c>
      <c r="BJ45">
        <f t="shared" si="35"/>
        <v>0.24</v>
      </c>
      <c r="BK45">
        <f t="shared" si="147"/>
        <v>0</v>
      </c>
      <c r="BL45">
        <f t="shared" si="37"/>
        <v>1.0999999999999999E-2</v>
      </c>
      <c r="BM45">
        <f t="shared" si="38"/>
        <v>0</v>
      </c>
      <c r="BN45">
        <f t="shared" si="39"/>
        <v>0</v>
      </c>
      <c r="BO45">
        <f t="shared" si="40"/>
        <v>0</v>
      </c>
      <c r="BP45">
        <f t="shared" si="41"/>
        <v>5.0000000000000001E-3</v>
      </c>
      <c r="BQ45">
        <f t="shared" si="42"/>
        <v>0</v>
      </c>
      <c r="BR45">
        <f t="shared" si="43"/>
        <v>0.35</v>
      </c>
      <c r="BS45">
        <f t="shared" si="44"/>
        <v>7.0000000000000007E-2</v>
      </c>
      <c r="BT45">
        <f t="shared" si="45"/>
        <v>0.2</v>
      </c>
      <c r="BU45">
        <f t="shared" si="46"/>
        <v>0.3</v>
      </c>
      <c r="BV45">
        <f t="shared" si="47"/>
        <v>0.21</v>
      </c>
      <c r="BW45">
        <f t="shared" si="119"/>
        <v>0</v>
      </c>
      <c r="BX45">
        <f t="shared" si="120"/>
        <v>0</v>
      </c>
      <c r="BY45">
        <f t="shared" si="121"/>
        <v>0</v>
      </c>
      <c r="BZ45">
        <f t="shared" si="122"/>
        <v>0</v>
      </c>
      <c r="CA45">
        <v>0.8</v>
      </c>
      <c r="CB45">
        <f t="shared" si="123"/>
        <v>6.0000000000000001E-3</v>
      </c>
      <c r="CC45">
        <f t="shared" si="53"/>
        <v>1.57</v>
      </c>
    </row>
    <row r="46" spans="1:83" x14ac:dyDescent="0.2">
      <c r="A46" t="s">
        <v>344</v>
      </c>
      <c r="C46" t="s">
        <v>407</v>
      </c>
      <c r="D46" t="s">
        <v>16</v>
      </c>
      <c r="E46" t="b">
        <v>1</v>
      </c>
      <c r="F46" t="s">
        <v>130</v>
      </c>
      <c r="G46">
        <v>0.79</v>
      </c>
      <c r="H46">
        <v>0.11</v>
      </c>
      <c r="I46">
        <v>0.1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R46" t="b">
        <v>1</v>
      </c>
      <c r="S46">
        <v>0.2</v>
      </c>
      <c r="T46" t="s">
        <v>122</v>
      </c>
      <c r="W46" t="s">
        <v>122</v>
      </c>
      <c r="X46" t="s">
        <v>274</v>
      </c>
      <c r="Y46" t="s">
        <v>397</v>
      </c>
      <c r="Z46">
        <v>200</v>
      </c>
      <c r="AA46">
        <v>281</v>
      </c>
      <c r="AB46">
        <f t="shared" si="124"/>
        <v>130</v>
      </c>
      <c r="AC46">
        <f t="shared" si="125"/>
        <v>0.56999999999999995</v>
      </c>
      <c r="AD46">
        <f t="shared" si="3"/>
        <v>0.75</v>
      </c>
      <c r="AE46">
        <f t="shared" si="4"/>
        <v>0.2</v>
      </c>
      <c r="AF46">
        <f t="shared" si="126"/>
        <v>0</v>
      </c>
      <c r="AG46">
        <f t="shared" si="93"/>
        <v>0</v>
      </c>
      <c r="AH46">
        <f t="shared" si="94"/>
        <v>0</v>
      </c>
      <c r="AI46">
        <f t="shared" si="95"/>
        <v>0</v>
      </c>
      <c r="AJ46">
        <f t="shared" si="127"/>
        <v>1</v>
      </c>
      <c r="AK46">
        <f t="shared" si="128"/>
        <v>0</v>
      </c>
      <c r="AL46">
        <f t="shared" si="11"/>
        <v>1.03</v>
      </c>
      <c r="AM46">
        <f t="shared" si="12"/>
        <v>3.0539999999999998</v>
      </c>
      <c r="AN46">
        <f t="shared" si="129"/>
        <v>18.399999999999999</v>
      </c>
      <c r="AO46">
        <f t="shared" si="14"/>
        <v>0.6</v>
      </c>
      <c r="AP46">
        <f t="shared" si="130"/>
        <v>0.5948500000000001</v>
      </c>
      <c r="AQ46">
        <f t="shared" si="131"/>
        <v>0</v>
      </c>
      <c r="AR46">
        <f t="shared" si="132"/>
        <v>1</v>
      </c>
      <c r="AS46">
        <f t="shared" si="133"/>
        <v>3.6511948560999987</v>
      </c>
      <c r="AT46">
        <f t="shared" si="134"/>
        <v>1.2181770715229607</v>
      </c>
      <c r="AU46">
        <f t="shared" si="135"/>
        <v>590</v>
      </c>
      <c r="AV46">
        <f t="shared" si="136"/>
        <v>0.22033898305084745</v>
      </c>
      <c r="AW46">
        <f t="shared" si="22"/>
        <v>6.25</v>
      </c>
      <c r="AX46">
        <f t="shared" si="137"/>
        <v>1.5196847323916365E-2</v>
      </c>
      <c r="AY46">
        <f t="shared" si="138"/>
        <v>0.73023897121999981</v>
      </c>
      <c r="AZ46">
        <f t="shared" si="139"/>
        <v>0.10096379308784414</v>
      </c>
      <c r="BA46" t="str">
        <f t="shared" si="26"/>
        <v/>
      </c>
      <c r="BB46">
        <f t="shared" si="140"/>
        <v>5674.1651715368407</v>
      </c>
      <c r="BC46">
        <f t="shared" si="141"/>
        <v>0</v>
      </c>
      <c r="BD46">
        <f t="shared" si="142"/>
        <v>0</v>
      </c>
      <c r="BE46">
        <f t="shared" si="143"/>
        <v>0</v>
      </c>
      <c r="BF46">
        <f t="shared" si="144"/>
        <v>0</v>
      </c>
      <c r="BG46">
        <f t="shared" si="145"/>
        <v>5674.1651715368407</v>
      </c>
      <c r="BH46">
        <f t="shared" si="146"/>
        <v>1</v>
      </c>
      <c r="BI46">
        <f t="shared" si="34"/>
        <v>0.02</v>
      </c>
      <c r="BJ46">
        <f t="shared" si="35"/>
        <v>0.24</v>
      </c>
      <c r="BK46">
        <f t="shared" si="147"/>
        <v>0</v>
      </c>
      <c r="BL46">
        <f t="shared" si="37"/>
        <v>1.0999999999999999E-2</v>
      </c>
      <c r="BM46">
        <f t="shared" si="38"/>
        <v>0</v>
      </c>
      <c r="BN46">
        <f t="shared" si="39"/>
        <v>0</v>
      </c>
      <c r="BO46">
        <f t="shared" si="40"/>
        <v>0</v>
      </c>
      <c r="BP46">
        <f t="shared" si="41"/>
        <v>5.0000000000000001E-3</v>
      </c>
      <c r="BQ46">
        <f t="shared" si="42"/>
        <v>0</v>
      </c>
      <c r="BR46">
        <f t="shared" si="43"/>
        <v>0.35</v>
      </c>
      <c r="BS46">
        <f t="shared" si="44"/>
        <v>7.0000000000000007E-2</v>
      </c>
      <c r="BT46">
        <f t="shared" si="45"/>
        <v>0.2</v>
      </c>
      <c r="BU46">
        <f t="shared" si="46"/>
        <v>0.3</v>
      </c>
      <c r="BV46">
        <f t="shared" si="47"/>
        <v>0.21</v>
      </c>
      <c r="BW46">
        <f t="shared" si="119"/>
        <v>0</v>
      </c>
      <c r="BX46">
        <f t="shared" si="120"/>
        <v>0</v>
      </c>
      <c r="BY46">
        <f t="shared" si="121"/>
        <v>0</v>
      </c>
      <c r="BZ46">
        <f t="shared" si="122"/>
        <v>0</v>
      </c>
      <c r="CA46">
        <v>0.8</v>
      </c>
      <c r="CB46">
        <f t="shared" si="123"/>
        <v>6.0000000000000001E-3</v>
      </c>
      <c r="CC46">
        <f t="shared" si="53"/>
        <v>1.57</v>
      </c>
    </row>
    <row r="47" spans="1:83" x14ac:dyDescent="0.2">
      <c r="A47" t="s">
        <v>344</v>
      </c>
      <c r="C47" t="s">
        <v>407</v>
      </c>
      <c r="D47" t="s">
        <v>16</v>
      </c>
      <c r="E47" t="b">
        <v>1</v>
      </c>
      <c r="F47" t="s">
        <v>130</v>
      </c>
      <c r="G47">
        <v>0.79</v>
      </c>
      <c r="H47">
        <v>0.11</v>
      </c>
      <c r="I47">
        <v>0.1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0</v>
      </c>
      <c r="R47" t="b">
        <v>1</v>
      </c>
      <c r="S47">
        <v>0.2</v>
      </c>
      <c r="T47" t="s">
        <v>122</v>
      </c>
      <c r="W47" t="s">
        <v>122</v>
      </c>
      <c r="X47" t="s">
        <v>274</v>
      </c>
      <c r="Y47" t="s">
        <v>398</v>
      </c>
      <c r="Z47">
        <v>200</v>
      </c>
      <c r="AA47">
        <v>365</v>
      </c>
      <c r="AB47">
        <f t="shared" si="124"/>
        <v>600</v>
      </c>
      <c r="AC47">
        <f t="shared" si="125"/>
        <v>0.1</v>
      </c>
      <c r="AD47">
        <f t="shared" si="3"/>
        <v>0.75</v>
      </c>
      <c r="AE47">
        <f t="shared" si="4"/>
        <v>0.2</v>
      </c>
      <c r="AF47">
        <f t="shared" si="126"/>
        <v>0</v>
      </c>
      <c r="AG47">
        <f t="shared" si="93"/>
        <v>0</v>
      </c>
      <c r="AH47">
        <f t="shared" si="94"/>
        <v>0</v>
      </c>
      <c r="AI47">
        <f t="shared" si="95"/>
        <v>0</v>
      </c>
      <c r="AJ47">
        <f t="shared" si="127"/>
        <v>1</v>
      </c>
      <c r="AK47">
        <f t="shared" si="128"/>
        <v>0</v>
      </c>
      <c r="AL47">
        <f t="shared" si="11"/>
        <v>1.03</v>
      </c>
      <c r="AM47">
        <f t="shared" si="12"/>
        <v>3.0539999999999998</v>
      </c>
      <c r="AN47">
        <f t="shared" si="129"/>
        <v>18.399999999999999</v>
      </c>
      <c r="AO47">
        <f t="shared" si="14"/>
        <v>0.6</v>
      </c>
      <c r="AP47">
        <f t="shared" si="130"/>
        <v>0.5948500000000001</v>
      </c>
      <c r="AQ47">
        <f t="shared" si="131"/>
        <v>0</v>
      </c>
      <c r="AR47">
        <f t="shared" si="132"/>
        <v>1</v>
      </c>
      <c r="AS47">
        <f t="shared" si="133"/>
        <v>9.0270202499999979</v>
      </c>
      <c r="AT47">
        <f t="shared" si="134"/>
        <v>1.0213029780639273</v>
      </c>
      <c r="AU47">
        <f t="shared" si="135"/>
        <v>770</v>
      </c>
      <c r="AV47">
        <f t="shared" si="136"/>
        <v>0.77922077922077926</v>
      </c>
      <c r="AW47">
        <f t="shared" si="22"/>
        <v>6.25</v>
      </c>
      <c r="AX47">
        <f t="shared" si="137"/>
        <v>1.2626203146474679E-3</v>
      </c>
      <c r="AY47">
        <f t="shared" si="138"/>
        <v>1.8054040499999997</v>
      </c>
      <c r="AZ47">
        <f t="shared" si="139"/>
        <v>0.28546836331241399</v>
      </c>
      <c r="BA47" t="str">
        <f t="shared" si="26"/>
        <v/>
      </c>
      <c r="BB47">
        <f t="shared" si="140"/>
        <v>20839.19052180622</v>
      </c>
      <c r="BC47">
        <f t="shared" si="141"/>
        <v>0</v>
      </c>
      <c r="BD47">
        <f t="shared" si="142"/>
        <v>0</v>
      </c>
      <c r="BE47">
        <f t="shared" si="143"/>
        <v>0</v>
      </c>
      <c r="BF47">
        <f t="shared" si="144"/>
        <v>0</v>
      </c>
      <c r="BG47">
        <f t="shared" si="145"/>
        <v>20839.19052180622</v>
      </c>
      <c r="BH47">
        <f t="shared" si="146"/>
        <v>1</v>
      </c>
      <c r="BI47">
        <f t="shared" si="34"/>
        <v>0.02</v>
      </c>
      <c r="BJ47">
        <f t="shared" si="35"/>
        <v>0.24</v>
      </c>
      <c r="BK47">
        <f t="shared" si="147"/>
        <v>0</v>
      </c>
      <c r="BL47">
        <f t="shared" si="37"/>
        <v>1.0999999999999999E-2</v>
      </c>
      <c r="BM47">
        <f t="shared" si="38"/>
        <v>0</v>
      </c>
      <c r="BN47">
        <f t="shared" si="39"/>
        <v>0</v>
      </c>
      <c r="BO47">
        <f t="shared" si="40"/>
        <v>0</v>
      </c>
      <c r="BP47">
        <f t="shared" si="41"/>
        <v>5.0000000000000001E-3</v>
      </c>
      <c r="BQ47">
        <f t="shared" si="42"/>
        <v>0</v>
      </c>
      <c r="BR47">
        <f t="shared" si="43"/>
        <v>0.35</v>
      </c>
      <c r="BS47">
        <f t="shared" si="44"/>
        <v>7.0000000000000007E-2</v>
      </c>
      <c r="BT47">
        <f t="shared" si="45"/>
        <v>0.2</v>
      </c>
      <c r="BU47">
        <f t="shared" si="46"/>
        <v>0.3</v>
      </c>
      <c r="BV47">
        <f t="shared" si="47"/>
        <v>0.21</v>
      </c>
      <c r="BW47">
        <f t="shared" si="119"/>
        <v>0</v>
      </c>
      <c r="BX47">
        <f t="shared" si="120"/>
        <v>0</v>
      </c>
      <c r="BY47">
        <f t="shared" si="121"/>
        <v>0</v>
      </c>
      <c r="BZ47">
        <f t="shared" si="122"/>
        <v>0</v>
      </c>
      <c r="CA47">
        <v>0.8</v>
      </c>
      <c r="CB47">
        <f t="shared" si="123"/>
        <v>6.0000000000000001E-3</v>
      </c>
      <c r="CC47">
        <f t="shared" si="53"/>
        <v>1.57</v>
      </c>
    </row>
    <row r="48" spans="1:83" x14ac:dyDescent="0.2">
      <c r="A48" t="s">
        <v>344</v>
      </c>
      <c r="C48" t="s">
        <v>407</v>
      </c>
      <c r="D48" t="s">
        <v>16</v>
      </c>
      <c r="E48" t="b">
        <v>1</v>
      </c>
      <c r="F48" t="s">
        <v>130</v>
      </c>
      <c r="G48">
        <v>0.79</v>
      </c>
      <c r="H48">
        <v>0.11</v>
      </c>
      <c r="I48">
        <v>0.1</v>
      </c>
      <c r="J48">
        <v>0</v>
      </c>
      <c r="K48">
        <v>0</v>
      </c>
      <c r="L48">
        <v>1</v>
      </c>
      <c r="M48">
        <v>0</v>
      </c>
      <c r="N48">
        <v>1</v>
      </c>
      <c r="O48">
        <v>0</v>
      </c>
      <c r="P48">
        <v>0</v>
      </c>
      <c r="Q48">
        <v>0</v>
      </c>
      <c r="R48" t="b">
        <v>1</v>
      </c>
      <c r="S48">
        <v>0.2</v>
      </c>
      <c r="T48" t="s">
        <v>122</v>
      </c>
      <c r="W48" t="s">
        <v>122</v>
      </c>
      <c r="X48" t="s">
        <v>274</v>
      </c>
      <c r="Y48" t="s">
        <v>399</v>
      </c>
      <c r="Z48">
        <v>200</v>
      </c>
      <c r="AA48">
        <v>84</v>
      </c>
      <c r="AB48">
        <f t="shared" si="124"/>
        <v>225</v>
      </c>
      <c r="AC48" t="str">
        <f t="shared" si="125"/>
        <v/>
      </c>
      <c r="AD48">
        <f t="shared" si="3"/>
        <v>0.75</v>
      </c>
      <c r="AE48">
        <f t="shared" si="4"/>
        <v>0.2</v>
      </c>
      <c r="AF48">
        <f t="shared" si="126"/>
        <v>0</v>
      </c>
      <c r="AG48">
        <f t="shared" si="93"/>
        <v>0</v>
      </c>
      <c r="AH48">
        <f t="shared" si="94"/>
        <v>0</v>
      </c>
      <c r="AI48">
        <f t="shared" si="95"/>
        <v>0</v>
      </c>
      <c r="AJ48">
        <f t="shared" si="127"/>
        <v>1</v>
      </c>
      <c r="AK48">
        <f t="shared" si="128"/>
        <v>0</v>
      </c>
      <c r="AL48">
        <f t="shared" si="11"/>
        <v>1.03</v>
      </c>
      <c r="AM48">
        <f t="shared" si="12"/>
        <v>3.0539999999999998</v>
      </c>
      <c r="AN48">
        <f t="shared" si="129"/>
        <v>18.399999999999999</v>
      </c>
      <c r="AO48">
        <f t="shared" si="14"/>
        <v>0.6</v>
      </c>
      <c r="AP48">
        <f t="shared" si="130"/>
        <v>0.5948500000000001</v>
      </c>
      <c r="AQ48">
        <f t="shared" si="131"/>
        <v>0</v>
      </c>
      <c r="AR48">
        <f t="shared" si="132"/>
        <v>1</v>
      </c>
      <c r="AS48" t="str">
        <f t="shared" si="133"/>
        <v/>
      </c>
      <c r="AT48" t="str">
        <f t="shared" si="134"/>
        <v/>
      </c>
      <c r="AU48" t="str">
        <f t="shared" si="135"/>
        <v/>
      </c>
      <c r="AV48" t="str">
        <f t="shared" si="136"/>
        <v/>
      </c>
      <c r="AW48">
        <f t="shared" si="22"/>
        <v>6.25</v>
      </c>
      <c r="AX48" t="str">
        <f t="shared" si="137"/>
        <v/>
      </c>
      <c r="AY48" t="str">
        <f t="shared" si="138"/>
        <v/>
      </c>
      <c r="AZ48" t="str">
        <f t="shared" si="139"/>
        <v/>
      </c>
      <c r="BA48">
        <f t="shared" si="26"/>
        <v>9.1999999999999998E-3</v>
      </c>
      <c r="BB48">
        <f t="shared" si="140"/>
        <v>154.56</v>
      </c>
      <c r="BC48">
        <f t="shared" si="141"/>
        <v>0</v>
      </c>
      <c r="BD48">
        <f t="shared" si="142"/>
        <v>0</v>
      </c>
      <c r="BE48">
        <f t="shared" si="143"/>
        <v>0</v>
      </c>
      <c r="BF48">
        <f t="shared" si="144"/>
        <v>0</v>
      </c>
      <c r="BG48">
        <f t="shared" si="145"/>
        <v>154.56</v>
      </c>
      <c r="BH48">
        <f t="shared" si="146"/>
        <v>1</v>
      </c>
      <c r="BI48">
        <f t="shared" si="34"/>
        <v>0.02</v>
      </c>
      <c r="BJ48">
        <f t="shared" si="35"/>
        <v>0.24</v>
      </c>
      <c r="BK48">
        <f t="shared" si="147"/>
        <v>0</v>
      </c>
      <c r="BL48">
        <f t="shared" si="37"/>
        <v>1.0999999999999999E-2</v>
      </c>
      <c r="BM48">
        <f t="shared" si="38"/>
        <v>0</v>
      </c>
      <c r="BN48">
        <f t="shared" si="39"/>
        <v>0</v>
      </c>
      <c r="BO48">
        <f t="shared" si="40"/>
        <v>0</v>
      </c>
      <c r="BP48">
        <f t="shared" si="41"/>
        <v>5.0000000000000001E-3</v>
      </c>
      <c r="BQ48">
        <f t="shared" si="42"/>
        <v>0</v>
      </c>
      <c r="BR48">
        <f t="shared" si="43"/>
        <v>0.35</v>
      </c>
      <c r="BS48">
        <f t="shared" si="44"/>
        <v>7.0000000000000007E-2</v>
      </c>
      <c r="BT48">
        <f t="shared" si="45"/>
        <v>0.2</v>
      </c>
      <c r="BU48">
        <f t="shared" si="46"/>
        <v>0.3</v>
      </c>
      <c r="BV48">
        <f t="shared" si="47"/>
        <v>0.21</v>
      </c>
      <c r="BW48">
        <f t="shared" si="119"/>
        <v>0</v>
      </c>
      <c r="BX48">
        <f t="shared" si="120"/>
        <v>0</v>
      </c>
      <c r="BY48">
        <f t="shared" si="121"/>
        <v>0</v>
      </c>
      <c r="BZ48">
        <f t="shared" si="122"/>
        <v>0</v>
      </c>
      <c r="CA48">
        <v>0.8</v>
      </c>
      <c r="CB48">
        <f t="shared" si="123"/>
        <v>6.0000000000000001E-3</v>
      </c>
      <c r="CC48">
        <f t="shared" si="53"/>
        <v>1.57</v>
      </c>
    </row>
    <row r="49" spans="1:83" s="3" customFormat="1" x14ac:dyDescent="0.2">
      <c r="A49" t="s">
        <v>344</v>
      </c>
      <c r="C49" s="3" t="s">
        <v>407</v>
      </c>
      <c r="D49" s="3" t="s">
        <v>16</v>
      </c>
      <c r="E49" s="3" t="b">
        <v>1</v>
      </c>
      <c r="F49" s="3" t="s">
        <v>130</v>
      </c>
      <c r="G49" s="3">
        <v>0.79</v>
      </c>
      <c r="H49" s="3">
        <v>0.11</v>
      </c>
      <c r="I49" s="3">
        <v>0.1</v>
      </c>
      <c r="J49" s="3">
        <v>0</v>
      </c>
      <c r="K49" s="3">
        <v>0</v>
      </c>
      <c r="L49" s="3">
        <v>1</v>
      </c>
      <c r="M49" s="3">
        <v>0</v>
      </c>
      <c r="N49" s="3">
        <v>1</v>
      </c>
      <c r="O49" s="3">
        <v>0</v>
      </c>
      <c r="P49" s="3">
        <v>0</v>
      </c>
      <c r="Q49" s="3">
        <v>0</v>
      </c>
      <c r="R49" s="3" t="b">
        <v>1</v>
      </c>
      <c r="S49" s="3">
        <v>0.2</v>
      </c>
      <c r="T49" s="3" t="s">
        <v>122</v>
      </c>
      <c r="W49" s="3" t="s">
        <v>122</v>
      </c>
      <c r="X49" s="3" t="s">
        <v>274</v>
      </c>
      <c r="Y49" s="3" t="s">
        <v>400</v>
      </c>
      <c r="Z49" s="3">
        <v>200</v>
      </c>
      <c r="AA49" s="3">
        <v>281</v>
      </c>
      <c r="AB49" s="3">
        <f t="shared" si="124"/>
        <v>225</v>
      </c>
      <c r="AC49" s="3">
        <f t="shared" si="125"/>
        <v>0.8</v>
      </c>
      <c r="AD49" s="3">
        <f t="shared" si="3"/>
        <v>0.75</v>
      </c>
      <c r="AE49" s="3">
        <f t="shared" si="4"/>
        <v>0.2</v>
      </c>
      <c r="AF49" s="3">
        <f t="shared" si="126"/>
        <v>0</v>
      </c>
      <c r="AG49" s="3">
        <f t="shared" si="93"/>
        <v>0</v>
      </c>
      <c r="AH49" s="3">
        <f t="shared" si="94"/>
        <v>0</v>
      </c>
      <c r="AI49" s="3">
        <f t="shared" si="95"/>
        <v>0</v>
      </c>
      <c r="AJ49" s="3">
        <f t="shared" si="127"/>
        <v>1</v>
      </c>
      <c r="AK49" s="3">
        <f t="shared" si="128"/>
        <v>0</v>
      </c>
      <c r="AL49" s="3">
        <f t="shared" si="11"/>
        <v>1.03</v>
      </c>
      <c r="AM49" s="3">
        <f t="shared" si="12"/>
        <v>3.0539999999999998</v>
      </c>
      <c r="AN49" s="3">
        <f t="shared" si="129"/>
        <v>18.399999999999999</v>
      </c>
      <c r="AO49" s="3">
        <f t="shared" si="14"/>
        <v>0.6</v>
      </c>
      <c r="AP49" s="3">
        <f t="shared" si="130"/>
        <v>0.5948500000000001</v>
      </c>
      <c r="AQ49" s="3">
        <f t="shared" si="131"/>
        <v>0</v>
      </c>
      <c r="AR49" s="3">
        <f t="shared" si="132"/>
        <v>1</v>
      </c>
      <c r="AS49" s="3">
        <f t="shared" si="133"/>
        <v>5.4143472656250013</v>
      </c>
      <c r="AT49" s="3">
        <f t="shared" si="134"/>
        <v>1.2576570545672616</v>
      </c>
      <c r="AU49" s="3">
        <f t="shared" si="135"/>
        <v>770</v>
      </c>
      <c r="AV49" s="3">
        <f t="shared" si="136"/>
        <v>0.29220779220779219</v>
      </c>
      <c r="AW49" s="3">
        <f t="shared" si="22"/>
        <v>6.25</v>
      </c>
      <c r="AX49" s="3">
        <f t="shared" si="137"/>
        <v>1.9757354894894084E-2</v>
      </c>
      <c r="AY49" s="3">
        <f t="shared" si="138"/>
        <v>1.0828694531250003</v>
      </c>
      <c r="AZ49" s="3">
        <f t="shared" si="139"/>
        <v>0.15247929000170721</v>
      </c>
      <c r="BA49" s="3" t="str">
        <f t="shared" si="26"/>
        <v/>
      </c>
      <c r="BB49" s="3">
        <f t="shared" si="140"/>
        <v>8569.336098095946</v>
      </c>
      <c r="BC49" s="3">
        <f t="shared" si="141"/>
        <v>0</v>
      </c>
      <c r="BD49" s="3">
        <f t="shared" si="142"/>
        <v>0</v>
      </c>
      <c r="BE49" s="3">
        <f t="shared" si="143"/>
        <v>0</v>
      </c>
      <c r="BF49" s="3">
        <f t="shared" si="144"/>
        <v>0</v>
      </c>
      <c r="BG49" s="3">
        <f t="shared" si="145"/>
        <v>8569.336098095946</v>
      </c>
      <c r="BH49" s="3">
        <f t="shared" si="146"/>
        <v>1</v>
      </c>
      <c r="BI49" s="3">
        <f t="shared" si="34"/>
        <v>0.02</v>
      </c>
      <c r="BJ49" s="3">
        <f t="shared" si="35"/>
        <v>0.24</v>
      </c>
      <c r="BK49" s="3">
        <f t="shared" si="147"/>
        <v>0</v>
      </c>
      <c r="BL49" s="3">
        <f t="shared" si="37"/>
        <v>1.0999999999999999E-2</v>
      </c>
      <c r="BM49" s="3">
        <f t="shared" si="38"/>
        <v>0</v>
      </c>
      <c r="BN49" s="3">
        <f t="shared" si="39"/>
        <v>0</v>
      </c>
      <c r="BO49" s="3">
        <f t="shared" si="40"/>
        <v>0</v>
      </c>
      <c r="BP49" s="3">
        <f t="shared" si="41"/>
        <v>5.0000000000000001E-3</v>
      </c>
      <c r="BQ49" s="3">
        <f t="shared" si="42"/>
        <v>0</v>
      </c>
      <c r="BR49" s="3">
        <f t="shared" si="43"/>
        <v>0.35</v>
      </c>
      <c r="BS49" s="3">
        <f t="shared" si="44"/>
        <v>7.0000000000000007E-2</v>
      </c>
      <c r="BT49" s="3">
        <f t="shared" si="45"/>
        <v>0.2</v>
      </c>
      <c r="BU49" s="3">
        <f t="shared" si="46"/>
        <v>0.3</v>
      </c>
      <c r="BV49" s="3">
        <f t="shared" si="47"/>
        <v>0.21</v>
      </c>
      <c r="BW49" s="3">
        <f t="shared" si="119"/>
        <v>0</v>
      </c>
      <c r="BX49" s="3">
        <f t="shared" si="120"/>
        <v>0</v>
      </c>
      <c r="BY49" s="3">
        <f t="shared" si="121"/>
        <v>0</v>
      </c>
      <c r="BZ49" s="3">
        <f t="shared" si="122"/>
        <v>0</v>
      </c>
      <c r="CA49" s="3">
        <v>0.8</v>
      </c>
      <c r="CB49" s="3">
        <f t="shared" si="123"/>
        <v>6.0000000000000001E-3</v>
      </c>
      <c r="CC49" s="3">
        <f t="shared" si="53"/>
        <v>1.57</v>
      </c>
    </row>
    <row r="50" spans="1:83" x14ac:dyDescent="0.2">
      <c r="A50" t="s">
        <v>344</v>
      </c>
      <c r="C50" t="s">
        <v>402</v>
      </c>
      <c r="D50" t="s">
        <v>19</v>
      </c>
      <c r="E50" t="b">
        <v>0</v>
      </c>
      <c r="F50" t="s">
        <v>129</v>
      </c>
      <c r="G50">
        <v>0.89</v>
      </c>
      <c r="H50">
        <v>0.11</v>
      </c>
      <c r="I50">
        <v>0</v>
      </c>
      <c r="J50">
        <v>0</v>
      </c>
      <c r="K50">
        <v>0.5</v>
      </c>
      <c r="L50">
        <v>0.5</v>
      </c>
      <c r="M50">
        <v>0</v>
      </c>
      <c r="N50">
        <v>0.5</v>
      </c>
      <c r="O50">
        <v>0</v>
      </c>
      <c r="P50">
        <v>0</v>
      </c>
      <c r="Q50">
        <v>0.5</v>
      </c>
      <c r="R50" t="b">
        <v>0</v>
      </c>
      <c r="S50">
        <v>0</v>
      </c>
      <c r="T50">
        <v>2.5</v>
      </c>
      <c r="U50">
        <v>4</v>
      </c>
      <c r="V50">
        <v>3.3</v>
      </c>
      <c r="W50" t="s">
        <v>122</v>
      </c>
      <c r="X50" t="s">
        <v>275</v>
      </c>
      <c r="Y50" t="s">
        <v>394</v>
      </c>
      <c r="Z50">
        <v>200</v>
      </c>
      <c r="AA50">
        <v>365</v>
      </c>
      <c r="AB50">
        <f>INDEX($B$75:$H$84, MATCH(X50, $A$75:$A$84, 0), MATCH(Y50,$B$74:$H$74, 0))</f>
        <v>540</v>
      </c>
      <c r="AC50">
        <f>_xlfn.XLOOKUP(Y50, $B$86:$F$86, $B$88:$F$88, "")</f>
        <v>1.6E-2</v>
      </c>
      <c r="AD50">
        <f>$B$118</f>
        <v>0.75</v>
      </c>
      <c r="AE50">
        <f>$B$119</f>
        <v>0.2</v>
      </c>
      <c r="AF50">
        <f>IF($Y50="milkingCows",($H50*J50)+($I50*N50), 0)</f>
        <v>0</v>
      </c>
      <c r="AG50">
        <f t="shared" si="93"/>
        <v>5.5E-2</v>
      </c>
      <c r="AH50">
        <f t="shared" si="94"/>
        <v>5.5E-2</v>
      </c>
      <c r="AI50">
        <f t="shared" si="95"/>
        <v>0</v>
      </c>
      <c r="AJ50">
        <f>IF($Y50="milkingCows",G50, 1)</f>
        <v>0.89</v>
      </c>
      <c r="AK50">
        <f>IF(Y50="milkingCows", IF(W50&lt;&gt;"", W50, T50/((U50+V50)*0.01)), 0)</f>
        <v>34.246575342465754</v>
      </c>
      <c r="AL50">
        <f>$B$117</f>
        <v>1.03</v>
      </c>
      <c r="AM50">
        <f>$B$114</f>
        <v>3.0539999999999998</v>
      </c>
      <c r="AN50">
        <f>B$115</f>
        <v>18.399999999999999</v>
      </c>
      <c r="AO50">
        <f>$B$116</f>
        <v>0.6</v>
      </c>
      <c r="AP50">
        <f>0.795*(AD50)-0.0014</f>
        <v>0.5948500000000001</v>
      </c>
      <c r="AQ50">
        <f>(AK50*AL50*AM50)/(AN50*AO50*AP50)</f>
        <v>16.403890691108206</v>
      </c>
      <c r="AR50">
        <f>IF(Y50="milkingCows",$P$75,$P$76)</f>
        <v>1.1000000000000001</v>
      </c>
      <c r="AS50">
        <f>IFERROR(((1.185+(0.00454*AB50)-(0.0000026*(AB50^2))+(0.315*AC50))^2*AR50+AQ50), "")</f>
        <v>25.549793292548209</v>
      </c>
      <c r="AT50">
        <f>IFERROR(((1.185+(0.00454*AB50)-(0.0000026*(AB50^2))+(0.315*AC50))^2*AR50+AQ50)/((1.185+(0.00454*AB50)-(0.0000026*(AB50^2)))^2*AR50+AQ50), "")</f>
        <v>1.0012518329511055</v>
      </c>
      <c r="AU50">
        <f>_xlfn.XLOOKUP(Y50, $B$86:$F$86, $B$87:$F$87, "")</f>
        <v>590</v>
      </c>
      <c r="AV50">
        <f>IFERROR(AB50/AU50, "")</f>
        <v>0.9152542372881356</v>
      </c>
      <c r="AW50">
        <f>$B$128</f>
        <v>6.25</v>
      </c>
      <c r="AX50">
        <f>IFERROR((((0.212 - (0.008*(AT50-2)) - (0.14-0.008*(AT50-2))/(1+EXP(-6*(AV50-0.4)))) * AC50 * 0.92)/AW50) + (0.032*AK50*AL50)/6.38, "")</f>
        <v>0.17710746817205636</v>
      </c>
      <c r="AY50">
        <f>IFERROR(AE50*AS50, "")</f>
        <v>5.1099586585096421</v>
      </c>
      <c r="AZ50">
        <f>IF(ISNUMBER(FIND("PreWeaned",Y50)),"", (AY50/AW50)-AX50-(((1.1*10^-4)*(AB50^0.75))/AW50))</f>
        <v>0.63851436631743641</v>
      </c>
      <c r="BA50" t="str">
        <f>IF(ISNUMBER(FIND("PreWeaned",Y50)),_xlfn.XLOOKUP(Y50,$J$75:$J$76,$M$75:$M$76),"")</f>
        <v/>
      </c>
      <c r="BB50">
        <f>SUM(AZ50:BA50)*Z50*AA50</f>
        <v>46611.548741172854</v>
      </c>
      <c r="BC50">
        <f>$BB50*AF50</f>
        <v>0</v>
      </c>
      <c r="BD50">
        <f>$BB50*AG50</f>
        <v>2563.6351807645069</v>
      </c>
      <c r="BE50">
        <f>$BB50*AH50</f>
        <v>2563.6351807645069</v>
      </c>
      <c r="BF50">
        <f>$BB50*AI50</f>
        <v>0</v>
      </c>
      <c r="BG50">
        <f>$BB50*AJ50</f>
        <v>41484.278379643838</v>
      </c>
      <c r="BH50">
        <f>IF(E50, 1, 0)</f>
        <v>0</v>
      </c>
      <c r="BI50">
        <f>$B$127</f>
        <v>0.02</v>
      </c>
      <c r="BJ50">
        <f>$B$126</f>
        <v>0.24</v>
      </c>
      <c r="BK50">
        <f>BF50*$BH50*BI50</f>
        <v>0</v>
      </c>
      <c r="BL50">
        <f t="shared" si="37"/>
        <v>1.0999999999999999E-2</v>
      </c>
      <c r="BM50">
        <f t="shared" si="38"/>
        <v>0</v>
      </c>
      <c r="BN50">
        <f t="shared" si="39"/>
        <v>0</v>
      </c>
      <c r="BO50">
        <f t="shared" si="40"/>
        <v>0</v>
      </c>
      <c r="BP50">
        <f t="shared" si="41"/>
        <v>5.0000000000000001E-3</v>
      </c>
      <c r="BQ50">
        <f t="shared" si="42"/>
        <v>0</v>
      </c>
      <c r="BR50">
        <f t="shared" si="43"/>
        <v>0.35</v>
      </c>
      <c r="BS50">
        <f t="shared" si="44"/>
        <v>7.0000000000000007E-2</v>
      </c>
      <c r="BT50">
        <f t="shared" si="45"/>
        <v>0.2</v>
      </c>
      <c r="BU50">
        <f t="shared" si="46"/>
        <v>0.3</v>
      </c>
      <c r="BV50">
        <f t="shared" si="47"/>
        <v>0.21</v>
      </c>
      <c r="BW50">
        <f t="shared" si="119"/>
        <v>0</v>
      </c>
      <c r="BX50">
        <f t="shared" si="120"/>
        <v>2384.1807181109912</v>
      </c>
      <c r="BY50">
        <f t="shared" si="121"/>
        <v>2050.9081446116056</v>
      </c>
      <c r="BZ50">
        <f t="shared" si="122"/>
        <v>0</v>
      </c>
      <c r="CA50">
        <v>0.8</v>
      </c>
      <c r="CB50">
        <f t="shared" si="123"/>
        <v>5.0000000000000001E-3</v>
      </c>
      <c r="CC50">
        <f t="shared" si="53"/>
        <v>1.57</v>
      </c>
      <c r="CD50">
        <f>SUM(BW50:BZ50)*CA50</f>
        <v>3548.0710901780776</v>
      </c>
      <c r="CE50">
        <f>CD50*$CC50*$CB50/1000</f>
        <v>2.7852358057897909E-2</v>
      </c>
    </row>
    <row r="51" spans="1:83" x14ac:dyDescent="0.2">
      <c r="A51" t="s">
        <v>344</v>
      </c>
      <c r="C51" t="s">
        <v>402</v>
      </c>
      <c r="D51" t="s">
        <v>19</v>
      </c>
      <c r="E51" t="b">
        <v>0</v>
      </c>
      <c r="F51" t="s">
        <v>129</v>
      </c>
      <c r="G51">
        <v>0.89</v>
      </c>
      <c r="H51">
        <v>0.11</v>
      </c>
      <c r="I51">
        <v>0</v>
      </c>
      <c r="J51">
        <v>0</v>
      </c>
      <c r="K51">
        <v>0.5</v>
      </c>
      <c r="L51">
        <v>0.5</v>
      </c>
      <c r="M51">
        <v>0</v>
      </c>
      <c r="N51">
        <v>0.5</v>
      </c>
      <c r="O51">
        <v>0</v>
      </c>
      <c r="P51">
        <v>0</v>
      </c>
      <c r="Q51">
        <v>0.5</v>
      </c>
      <c r="R51" t="b">
        <v>0</v>
      </c>
      <c r="S51">
        <v>0</v>
      </c>
      <c r="T51" t="s">
        <v>122</v>
      </c>
      <c r="W51" t="s">
        <v>122</v>
      </c>
      <c r="X51" t="s">
        <v>275</v>
      </c>
      <c r="Y51" t="s">
        <v>395</v>
      </c>
      <c r="Z51">
        <v>200</v>
      </c>
      <c r="AA51">
        <v>365</v>
      </c>
      <c r="AB51">
        <f t="shared" ref="AB51:AB56" si="148">INDEX($B$75:$H$84, MATCH(X51, $A$75:$A$84, 0), MATCH(Y51,$B$74:$H$74, 0))</f>
        <v>375</v>
      </c>
      <c r="AC51">
        <f t="shared" ref="AC51:AC56" si="149">_xlfn.XLOOKUP(Y51, $B$86:$F$86, $B$88:$F$88, "")</f>
        <v>0.6</v>
      </c>
      <c r="AD51">
        <f t="shared" si="3"/>
        <v>0.75</v>
      </c>
      <c r="AE51">
        <f t="shared" si="4"/>
        <v>0.2</v>
      </c>
      <c r="AF51">
        <f t="shared" ref="AF51:AF56" si="150">IF($Y51="milkingCows",($H51*J51)+($I51*N51), 0)</f>
        <v>0</v>
      </c>
      <c r="AG51">
        <f t="shared" si="93"/>
        <v>0</v>
      </c>
      <c r="AH51">
        <f t="shared" si="94"/>
        <v>0</v>
      </c>
      <c r="AI51">
        <f t="shared" si="95"/>
        <v>0</v>
      </c>
      <c r="AJ51">
        <f t="shared" ref="AJ51:AJ56" si="151">IF($Y51="milkingCows",G51, 1)</f>
        <v>1</v>
      </c>
      <c r="AK51">
        <f t="shared" ref="AK51:AK56" si="152">IF(Y51="milkingCows", IF(W51&lt;&gt;"", W51, T51/((U51+V51)*0.01)), 0)</f>
        <v>0</v>
      </c>
      <c r="AL51">
        <f t="shared" si="11"/>
        <v>1.03</v>
      </c>
      <c r="AM51">
        <f t="shared" si="12"/>
        <v>3.0539999999999998</v>
      </c>
      <c r="AN51">
        <f t="shared" ref="AN51:AN56" si="153">B$115</f>
        <v>18.399999999999999</v>
      </c>
      <c r="AO51">
        <f t="shared" si="14"/>
        <v>0.6</v>
      </c>
      <c r="AP51">
        <f t="shared" ref="AP51:AP56" si="154">0.795*(AD51)-0.0014</f>
        <v>0.5948500000000001</v>
      </c>
      <c r="AQ51">
        <f t="shared" ref="AQ51:AQ56" si="155">(AK51*AL51*AM51)/(AN51*AO51*AP51)</f>
        <v>0</v>
      </c>
      <c r="AR51">
        <f t="shared" ref="AR51:AR56" si="156">IF(Y51="milkingCows",$P$75,$P$76)</f>
        <v>1</v>
      </c>
      <c r="AS51">
        <f t="shared" ref="AS51:AS56" si="157">IFERROR(((1.185+(0.00454*AB51)-(0.0000026*(AB51^2))+(0.315*AC51))^2*AR51+AQ51), "")</f>
        <v>7.3488432656250007</v>
      </c>
      <c r="AT51">
        <f t="shared" ref="AT51:AT56" si="158">IFERROR(((1.185+(0.00454*AB51)-(0.0000026*(AB51^2))+(0.315*AC51))^2*AR51+AQ51)/((1.185+(0.00454*AB51)-(0.0000026*(AB51^2)))^2*AR51+AQ51), "")</f>
        <v>1.1555051146335733</v>
      </c>
      <c r="AU51">
        <f t="shared" ref="AU51:AU56" si="159">_xlfn.XLOOKUP(Y51, $B$86:$F$86, $B$87:$F$87, "")</f>
        <v>590</v>
      </c>
      <c r="AV51">
        <f t="shared" ref="AV51:AV56" si="160">IFERROR(AB51/AU51, "")</f>
        <v>0.63559322033898302</v>
      </c>
      <c r="AW51">
        <f t="shared" si="22"/>
        <v>6.25</v>
      </c>
      <c r="AX51">
        <f t="shared" ref="AX51:AX56" si="161">IFERROR((((0.212 - (0.008*(AT51-2)) - (0.14-0.008*(AT51-2))/(1+EXP(-6*(AV51-0.4)))) * AC51 * 0.92)/AW51) + (0.032*AK51*AL51)/6.38, "")</f>
        <v>8.8952563417278308E-3</v>
      </c>
      <c r="AY51">
        <f t="shared" ref="AY51:AY56" si="162">IFERROR(AE51*AS51, "")</f>
        <v>1.4697686531250003</v>
      </c>
      <c r="AZ51">
        <f t="shared" ref="AZ51:AZ56" si="163">IF(ISNUMBER(FIND("PreWeaned",Y51)),"", (AY51/AW51)-AX51-(((1.1*10^-4)*(AB51^0.75))/AW51))</f>
        <v>0.2247679185945351</v>
      </c>
      <c r="BA51" t="str">
        <f t="shared" si="26"/>
        <v/>
      </c>
      <c r="BB51">
        <f t="shared" ref="BB51:BB56" si="164">SUM(AZ51:BA51)*Z51*AA51</f>
        <v>16408.058057401064</v>
      </c>
      <c r="BC51">
        <f t="shared" ref="BC51:BC56" si="165">$BB51*AF51</f>
        <v>0</v>
      </c>
      <c r="BD51">
        <f t="shared" ref="BD51:BD56" si="166">$BB51*AG51</f>
        <v>0</v>
      </c>
      <c r="BE51">
        <f t="shared" ref="BE51:BE56" si="167">$BB51*AH51</f>
        <v>0</v>
      </c>
      <c r="BF51">
        <f t="shared" ref="BF51:BF56" si="168">$BB51*AI51</f>
        <v>0</v>
      </c>
      <c r="BG51">
        <f t="shared" ref="BG51:BG56" si="169">$BB51*AJ51</f>
        <v>16408.058057401064</v>
      </c>
      <c r="BH51">
        <f t="shared" ref="BH51:BH56" si="170">IF(E51, 1, 0)</f>
        <v>0</v>
      </c>
      <c r="BI51">
        <f t="shared" si="34"/>
        <v>0.02</v>
      </c>
      <c r="BJ51">
        <f t="shared" si="35"/>
        <v>0.24</v>
      </c>
      <c r="BK51">
        <f t="shared" ref="BK51:BK56" si="171">BF51*$BH51*BI51</f>
        <v>0</v>
      </c>
      <c r="BL51">
        <f t="shared" si="37"/>
        <v>1.0999999999999999E-2</v>
      </c>
      <c r="BM51">
        <f t="shared" si="38"/>
        <v>0</v>
      </c>
      <c r="BN51">
        <f t="shared" si="39"/>
        <v>0</v>
      </c>
      <c r="BO51">
        <f t="shared" si="40"/>
        <v>0</v>
      </c>
      <c r="BP51">
        <f t="shared" si="41"/>
        <v>5.0000000000000001E-3</v>
      </c>
      <c r="BQ51">
        <f t="shared" si="42"/>
        <v>0</v>
      </c>
      <c r="BR51">
        <f t="shared" si="43"/>
        <v>0.35</v>
      </c>
      <c r="BS51">
        <f t="shared" si="44"/>
        <v>7.0000000000000007E-2</v>
      </c>
      <c r="BT51">
        <f t="shared" si="45"/>
        <v>0.2</v>
      </c>
      <c r="BU51">
        <f t="shared" si="46"/>
        <v>0.3</v>
      </c>
      <c r="BV51">
        <f t="shared" si="47"/>
        <v>0.21</v>
      </c>
      <c r="BW51">
        <f t="shared" si="119"/>
        <v>0</v>
      </c>
      <c r="BX51">
        <f t="shared" si="120"/>
        <v>0</v>
      </c>
      <c r="BY51">
        <f t="shared" si="121"/>
        <v>0</v>
      </c>
      <c r="BZ51">
        <f t="shared" si="122"/>
        <v>0</v>
      </c>
      <c r="CA51">
        <v>0.8</v>
      </c>
      <c r="CB51">
        <f t="shared" si="123"/>
        <v>5.0000000000000001E-3</v>
      </c>
      <c r="CC51">
        <f t="shared" si="53"/>
        <v>1.57</v>
      </c>
    </row>
    <row r="52" spans="1:83" x14ac:dyDescent="0.2">
      <c r="A52" t="s">
        <v>344</v>
      </c>
      <c r="C52" t="s">
        <v>402</v>
      </c>
      <c r="D52" t="s">
        <v>19</v>
      </c>
      <c r="E52" t="b">
        <v>0</v>
      </c>
      <c r="F52" t="s">
        <v>129</v>
      </c>
      <c r="G52">
        <v>0.89</v>
      </c>
      <c r="H52">
        <v>0.11</v>
      </c>
      <c r="I52">
        <v>0</v>
      </c>
      <c r="J52">
        <v>0</v>
      </c>
      <c r="K52">
        <v>0.5</v>
      </c>
      <c r="L52">
        <v>0.5</v>
      </c>
      <c r="M52">
        <v>0</v>
      </c>
      <c r="N52">
        <v>0.5</v>
      </c>
      <c r="O52">
        <v>0</v>
      </c>
      <c r="P52">
        <v>0</v>
      </c>
      <c r="Q52">
        <v>0.5</v>
      </c>
      <c r="R52" t="b">
        <v>0</v>
      </c>
      <c r="S52">
        <v>0</v>
      </c>
      <c r="T52" t="s">
        <v>122</v>
      </c>
      <c r="W52" t="s">
        <v>122</v>
      </c>
      <c r="X52" t="s">
        <v>275</v>
      </c>
      <c r="Y52" t="s">
        <v>396</v>
      </c>
      <c r="Z52">
        <v>200</v>
      </c>
      <c r="AA52">
        <v>84</v>
      </c>
      <c r="AB52">
        <f t="shared" si="148"/>
        <v>150</v>
      </c>
      <c r="AC52" t="str">
        <f t="shared" si="149"/>
        <v/>
      </c>
      <c r="AD52">
        <f t="shared" si="3"/>
        <v>0.75</v>
      </c>
      <c r="AE52">
        <f t="shared" si="4"/>
        <v>0.2</v>
      </c>
      <c r="AF52">
        <f t="shared" si="150"/>
        <v>0</v>
      </c>
      <c r="AG52">
        <f t="shared" si="93"/>
        <v>0</v>
      </c>
      <c r="AH52">
        <f t="shared" si="94"/>
        <v>0</v>
      </c>
      <c r="AI52">
        <f t="shared" si="95"/>
        <v>0</v>
      </c>
      <c r="AJ52">
        <f t="shared" si="151"/>
        <v>1</v>
      </c>
      <c r="AK52">
        <f t="shared" si="152"/>
        <v>0</v>
      </c>
      <c r="AL52">
        <f t="shared" si="11"/>
        <v>1.03</v>
      </c>
      <c r="AM52">
        <f t="shared" si="12"/>
        <v>3.0539999999999998</v>
      </c>
      <c r="AN52">
        <f t="shared" si="153"/>
        <v>18.399999999999999</v>
      </c>
      <c r="AO52">
        <f t="shared" si="14"/>
        <v>0.6</v>
      </c>
      <c r="AP52">
        <f t="shared" si="154"/>
        <v>0.5948500000000001</v>
      </c>
      <c r="AQ52">
        <f t="shared" si="155"/>
        <v>0</v>
      </c>
      <c r="AR52">
        <f t="shared" si="156"/>
        <v>1</v>
      </c>
      <c r="AS52" t="str">
        <f t="shared" si="157"/>
        <v/>
      </c>
      <c r="AT52" t="str">
        <f t="shared" si="158"/>
        <v/>
      </c>
      <c r="AU52" t="str">
        <f t="shared" si="159"/>
        <v/>
      </c>
      <c r="AV52" t="str">
        <f t="shared" si="160"/>
        <v/>
      </c>
      <c r="AW52">
        <f t="shared" si="22"/>
        <v>6.25</v>
      </c>
      <c r="AX52" t="str">
        <f t="shared" si="161"/>
        <v/>
      </c>
      <c r="AY52" t="str">
        <f t="shared" si="162"/>
        <v/>
      </c>
      <c r="AZ52" t="str">
        <f t="shared" si="163"/>
        <v/>
      </c>
      <c r="BA52">
        <f t="shared" si="26"/>
        <v>1.37E-2</v>
      </c>
      <c r="BB52">
        <f t="shared" si="164"/>
        <v>230.16000000000003</v>
      </c>
      <c r="BC52">
        <f t="shared" si="165"/>
        <v>0</v>
      </c>
      <c r="BD52">
        <f t="shared" si="166"/>
        <v>0</v>
      </c>
      <c r="BE52">
        <f t="shared" si="167"/>
        <v>0</v>
      </c>
      <c r="BF52">
        <f t="shared" si="168"/>
        <v>0</v>
      </c>
      <c r="BG52">
        <f t="shared" si="169"/>
        <v>230.16000000000003</v>
      </c>
      <c r="BH52">
        <f t="shared" si="170"/>
        <v>0</v>
      </c>
      <c r="BI52">
        <f t="shared" si="34"/>
        <v>0.02</v>
      </c>
      <c r="BJ52">
        <f t="shared" si="35"/>
        <v>0.24</v>
      </c>
      <c r="BK52">
        <f t="shared" si="171"/>
        <v>0</v>
      </c>
      <c r="BL52">
        <f t="shared" si="37"/>
        <v>1.0999999999999999E-2</v>
      </c>
      <c r="BM52">
        <f t="shared" si="38"/>
        <v>0</v>
      </c>
      <c r="BN52">
        <f t="shared" si="39"/>
        <v>0</v>
      </c>
      <c r="BO52">
        <f t="shared" si="40"/>
        <v>0</v>
      </c>
      <c r="BP52">
        <f t="shared" si="41"/>
        <v>5.0000000000000001E-3</v>
      </c>
      <c r="BQ52">
        <f t="shared" si="42"/>
        <v>0</v>
      </c>
      <c r="BR52">
        <f t="shared" si="43"/>
        <v>0.35</v>
      </c>
      <c r="BS52">
        <f t="shared" si="44"/>
        <v>7.0000000000000007E-2</v>
      </c>
      <c r="BT52">
        <f t="shared" si="45"/>
        <v>0.2</v>
      </c>
      <c r="BU52">
        <f t="shared" si="46"/>
        <v>0.3</v>
      </c>
      <c r="BV52">
        <f t="shared" si="47"/>
        <v>0.21</v>
      </c>
      <c r="BW52">
        <f t="shared" si="119"/>
        <v>0</v>
      </c>
      <c r="BX52">
        <f t="shared" si="120"/>
        <v>0</v>
      </c>
      <c r="BY52">
        <f t="shared" si="121"/>
        <v>0</v>
      </c>
      <c r="BZ52">
        <f t="shared" si="122"/>
        <v>0</v>
      </c>
      <c r="CA52">
        <v>0.8</v>
      </c>
      <c r="CB52">
        <f t="shared" si="123"/>
        <v>5.0000000000000001E-3</v>
      </c>
      <c r="CC52">
        <f t="shared" si="53"/>
        <v>1.57</v>
      </c>
    </row>
    <row r="53" spans="1:83" x14ac:dyDescent="0.2">
      <c r="A53" t="s">
        <v>344</v>
      </c>
      <c r="C53" t="s">
        <v>402</v>
      </c>
      <c r="D53" t="s">
        <v>19</v>
      </c>
      <c r="E53" t="b">
        <v>0</v>
      </c>
      <c r="F53" t="s">
        <v>129</v>
      </c>
      <c r="G53">
        <v>0.89</v>
      </c>
      <c r="H53">
        <v>0.11</v>
      </c>
      <c r="I53">
        <v>0</v>
      </c>
      <c r="J53">
        <v>0</v>
      </c>
      <c r="K53">
        <v>0.5</v>
      </c>
      <c r="L53">
        <v>0.5</v>
      </c>
      <c r="M53">
        <v>0</v>
      </c>
      <c r="N53">
        <v>0.5</v>
      </c>
      <c r="O53">
        <v>0</v>
      </c>
      <c r="P53">
        <v>0</v>
      </c>
      <c r="Q53">
        <v>0.5</v>
      </c>
      <c r="R53" t="b">
        <v>0</v>
      </c>
      <c r="S53">
        <v>0</v>
      </c>
      <c r="T53" t="s">
        <v>122</v>
      </c>
      <c r="W53" t="s">
        <v>122</v>
      </c>
      <c r="X53" t="s">
        <v>275</v>
      </c>
      <c r="Y53" t="s">
        <v>397</v>
      </c>
      <c r="Z53">
        <v>200</v>
      </c>
      <c r="AA53">
        <v>281</v>
      </c>
      <c r="AB53">
        <f t="shared" si="148"/>
        <v>150</v>
      </c>
      <c r="AC53">
        <f t="shared" si="149"/>
        <v>0.56999999999999995</v>
      </c>
      <c r="AD53">
        <f t="shared" si="3"/>
        <v>0.75</v>
      </c>
      <c r="AE53">
        <f t="shared" si="4"/>
        <v>0.2</v>
      </c>
      <c r="AF53">
        <f t="shared" si="150"/>
        <v>0</v>
      </c>
      <c r="AG53">
        <f t="shared" si="93"/>
        <v>0</v>
      </c>
      <c r="AH53">
        <f t="shared" si="94"/>
        <v>0</v>
      </c>
      <c r="AI53">
        <f t="shared" si="95"/>
        <v>0</v>
      </c>
      <c r="AJ53">
        <f t="shared" si="151"/>
        <v>1</v>
      </c>
      <c r="AK53">
        <f t="shared" si="152"/>
        <v>0</v>
      </c>
      <c r="AL53">
        <f t="shared" si="11"/>
        <v>1.03</v>
      </c>
      <c r="AM53">
        <f t="shared" si="12"/>
        <v>3.0539999999999998</v>
      </c>
      <c r="AN53">
        <f t="shared" si="153"/>
        <v>18.399999999999999</v>
      </c>
      <c r="AO53">
        <f t="shared" si="14"/>
        <v>0.6</v>
      </c>
      <c r="AP53">
        <f t="shared" si="154"/>
        <v>0.5948500000000001</v>
      </c>
      <c r="AQ53">
        <f t="shared" si="155"/>
        <v>0</v>
      </c>
      <c r="AR53">
        <f t="shared" si="156"/>
        <v>1</v>
      </c>
      <c r="AS53">
        <f t="shared" si="157"/>
        <v>3.9483677025000001</v>
      </c>
      <c r="AT53">
        <f t="shared" si="158"/>
        <v>1.2085398598508978</v>
      </c>
      <c r="AU53">
        <f t="shared" si="159"/>
        <v>590</v>
      </c>
      <c r="AV53">
        <f t="shared" si="160"/>
        <v>0.25423728813559321</v>
      </c>
      <c r="AW53">
        <f t="shared" si="22"/>
        <v>6.25</v>
      </c>
      <c r="AX53">
        <f t="shared" si="161"/>
        <v>1.4705504454277429E-2</v>
      </c>
      <c r="AY53">
        <f t="shared" si="162"/>
        <v>0.78967354050000005</v>
      </c>
      <c r="AZ53">
        <f t="shared" si="163"/>
        <v>0.1108878977522821</v>
      </c>
      <c r="BA53" t="str">
        <f t="shared" si="26"/>
        <v/>
      </c>
      <c r="BB53">
        <f t="shared" si="164"/>
        <v>6231.8998536782537</v>
      </c>
      <c r="BC53">
        <f t="shared" si="165"/>
        <v>0</v>
      </c>
      <c r="BD53">
        <f t="shared" si="166"/>
        <v>0</v>
      </c>
      <c r="BE53">
        <f t="shared" si="167"/>
        <v>0</v>
      </c>
      <c r="BF53">
        <f t="shared" si="168"/>
        <v>0</v>
      </c>
      <c r="BG53">
        <f t="shared" si="169"/>
        <v>6231.8998536782537</v>
      </c>
      <c r="BH53">
        <f t="shared" si="170"/>
        <v>0</v>
      </c>
      <c r="BI53">
        <f t="shared" si="34"/>
        <v>0.02</v>
      </c>
      <c r="BJ53">
        <f t="shared" si="35"/>
        <v>0.24</v>
      </c>
      <c r="BK53">
        <f t="shared" si="171"/>
        <v>0</v>
      </c>
      <c r="BL53">
        <f t="shared" si="37"/>
        <v>1.0999999999999999E-2</v>
      </c>
      <c r="BM53">
        <f t="shared" si="38"/>
        <v>0</v>
      </c>
      <c r="BN53">
        <f t="shared" si="39"/>
        <v>0</v>
      </c>
      <c r="BO53">
        <f t="shared" si="40"/>
        <v>0</v>
      </c>
      <c r="BP53">
        <f t="shared" si="41"/>
        <v>5.0000000000000001E-3</v>
      </c>
      <c r="BQ53">
        <f t="shared" si="42"/>
        <v>0</v>
      </c>
      <c r="BR53">
        <f t="shared" si="43"/>
        <v>0.35</v>
      </c>
      <c r="BS53">
        <f t="shared" si="44"/>
        <v>7.0000000000000007E-2</v>
      </c>
      <c r="BT53">
        <f t="shared" si="45"/>
        <v>0.2</v>
      </c>
      <c r="BU53">
        <f t="shared" si="46"/>
        <v>0.3</v>
      </c>
      <c r="BV53">
        <f t="shared" si="47"/>
        <v>0.21</v>
      </c>
      <c r="BW53">
        <f t="shared" si="119"/>
        <v>0</v>
      </c>
      <c r="BX53">
        <f t="shared" si="120"/>
        <v>0</v>
      </c>
      <c r="BY53">
        <f t="shared" si="121"/>
        <v>0</v>
      </c>
      <c r="BZ53">
        <f t="shared" si="122"/>
        <v>0</v>
      </c>
      <c r="CA53">
        <v>0.8</v>
      </c>
      <c r="CB53">
        <f t="shared" si="123"/>
        <v>5.0000000000000001E-3</v>
      </c>
      <c r="CC53">
        <f t="shared" si="53"/>
        <v>1.57</v>
      </c>
    </row>
    <row r="54" spans="1:83" x14ac:dyDescent="0.2">
      <c r="A54" t="s">
        <v>344</v>
      </c>
      <c r="C54" t="s">
        <v>402</v>
      </c>
      <c r="D54" t="s">
        <v>19</v>
      </c>
      <c r="E54" t="b">
        <v>0</v>
      </c>
      <c r="F54" t="s">
        <v>129</v>
      </c>
      <c r="G54">
        <v>0.89</v>
      </c>
      <c r="H54">
        <v>0.11</v>
      </c>
      <c r="I54">
        <v>0</v>
      </c>
      <c r="J54">
        <v>0</v>
      </c>
      <c r="K54">
        <v>0.5</v>
      </c>
      <c r="L54">
        <v>0.5</v>
      </c>
      <c r="M54">
        <v>0</v>
      </c>
      <c r="N54">
        <v>0.5</v>
      </c>
      <c r="O54">
        <v>0</v>
      </c>
      <c r="P54">
        <v>0</v>
      </c>
      <c r="Q54">
        <v>0.5</v>
      </c>
      <c r="R54" t="b">
        <v>0</v>
      </c>
      <c r="S54">
        <v>0</v>
      </c>
      <c r="T54" t="s">
        <v>122</v>
      </c>
      <c r="W54" t="s">
        <v>122</v>
      </c>
      <c r="X54" t="s">
        <v>275</v>
      </c>
      <c r="Y54" t="s">
        <v>398</v>
      </c>
      <c r="Z54">
        <v>200</v>
      </c>
      <c r="AA54">
        <v>365</v>
      </c>
      <c r="AB54">
        <f t="shared" si="148"/>
        <v>600</v>
      </c>
      <c r="AC54">
        <f t="shared" si="149"/>
        <v>0.1</v>
      </c>
      <c r="AD54">
        <f t="shared" si="3"/>
        <v>0.75</v>
      </c>
      <c r="AE54">
        <f t="shared" si="4"/>
        <v>0.2</v>
      </c>
      <c r="AF54">
        <f t="shared" si="150"/>
        <v>0</v>
      </c>
      <c r="AG54">
        <f t="shared" si="93"/>
        <v>0</v>
      </c>
      <c r="AH54">
        <f t="shared" si="94"/>
        <v>0</v>
      </c>
      <c r="AI54">
        <f t="shared" si="95"/>
        <v>0</v>
      </c>
      <c r="AJ54">
        <f t="shared" si="151"/>
        <v>1</v>
      </c>
      <c r="AK54">
        <f t="shared" si="152"/>
        <v>0</v>
      </c>
      <c r="AL54">
        <f t="shared" si="11"/>
        <v>1.03</v>
      </c>
      <c r="AM54">
        <f t="shared" si="12"/>
        <v>3.0539999999999998</v>
      </c>
      <c r="AN54">
        <f t="shared" si="153"/>
        <v>18.399999999999999</v>
      </c>
      <c r="AO54">
        <f t="shared" si="14"/>
        <v>0.6</v>
      </c>
      <c r="AP54">
        <f t="shared" si="154"/>
        <v>0.5948500000000001</v>
      </c>
      <c r="AQ54">
        <f t="shared" si="155"/>
        <v>0</v>
      </c>
      <c r="AR54">
        <f t="shared" si="156"/>
        <v>1</v>
      </c>
      <c r="AS54">
        <f t="shared" si="157"/>
        <v>9.0270202499999979</v>
      </c>
      <c r="AT54">
        <f t="shared" si="158"/>
        <v>1.0213029780639273</v>
      </c>
      <c r="AU54">
        <f t="shared" si="159"/>
        <v>770</v>
      </c>
      <c r="AV54">
        <f t="shared" si="160"/>
        <v>0.77922077922077926</v>
      </c>
      <c r="AW54">
        <f t="shared" si="22"/>
        <v>6.25</v>
      </c>
      <c r="AX54">
        <f t="shared" si="161"/>
        <v>1.2626203146474679E-3</v>
      </c>
      <c r="AY54">
        <f t="shared" si="162"/>
        <v>1.8054040499999997</v>
      </c>
      <c r="AZ54">
        <f t="shared" si="163"/>
        <v>0.28546836331241399</v>
      </c>
      <c r="BA54" t="str">
        <f t="shared" si="26"/>
        <v/>
      </c>
      <c r="BB54">
        <f t="shared" si="164"/>
        <v>20839.19052180622</v>
      </c>
      <c r="BC54">
        <f t="shared" si="165"/>
        <v>0</v>
      </c>
      <c r="BD54">
        <f t="shared" si="166"/>
        <v>0</v>
      </c>
      <c r="BE54">
        <f t="shared" si="167"/>
        <v>0</v>
      </c>
      <c r="BF54">
        <f t="shared" si="168"/>
        <v>0</v>
      </c>
      <c r="BG54">
        <f t="shared" si="169"/>
        <v>20839.19052180622</v>
      </c>
      <c r="BH54">
        <f t="shared" si="170"/>
        <v>0</v>
      </c>
      <c r="BI54">
        <f t="shared" si="34"/>
        <v>0.02</v>
      </c>
      <c r="BJ54">
        <f t="shared" si="35"/>
        <v>0.24</v>
      </c>
      <c r="BK54">
        <f t="shared" si="171"/>
        <v>0</v>
      </c>
      <c r="BL54">
        <f t="shared" si="37"/>
        <v>1.0999999999999999E-2</v>
      </c>
      <c r="BM54">
        <f t="shared" si="38"/>
        <v>0</v>
      </c>
      <c r="BN54">
        <f t="shared" si="39"/>
        <v>0</v>
      </c>
      <c r="BO54">
        <f t="shared" si="40"/>
        <v>0</v>
      </c>
      <c r="BP54">
        <f t="shared" si="41"/>
        <v>5.0000000000000001E-3</v>
      </c>
      <c r="BQ54">
        <f t="shared" si="42"/>
        <v>0</v>
      </c>
      <c r="BR54">
        <f t="shared" si="43"/>
        <v>0.35</v>
      </c>
      <c r="BS54">
        <f t="shared" si="44"/>
        <v>7.0000000000000007E-2</v>
      </c>
      <c r="BT54">
        <f t="shared" si="45"/>
        <v>0.2</v>
      </c>
      <c r="BU54">
        <f t="shared" si="46"/>
        <v>0.3</v>
      </c>
      <c r="BV54">
        <f t="shared" si="47"/>
        <v>0.21</v>
      </c>
      <c r="BW54">
        <f t="shared" si="119"/>
        <v>0</v>
      </c>
      <c r="BX54">
        <f t="shared" si="120"/>
        <v>0</v>
      </c>
      <c r="BY54">
        <f t="shared" si="121"/>
        <v>0</v>
      </c>
      <c r="BZ54">
        <f t="shared" si="122"/>
        <v>0</v>
      </c>
      <c r="CA54">
        <v>0.8</v>
      </c>
      <c r="CB54">
        <f t="shared" si="123"/>
        <v>5.0000000000000001E-3</v>
      </c>
      <c r="CC54">
        <f t="shared" si="53"/>
        <v>1.57</v>
      </c>
    </row>
    <row r="55" spans="1:83" x14ac:dyDescent="0.2">
      <c r="A55" t="s">
        <v>344</v>
      </c>
      <c r="C55" t="s">
        <v>402</v>
      </c>
      <c r="D55" t="s">
        <v>19</v>
      </c>
      <c r="E55" t="b">
        <v>0</v>
      </c>
      <c r="F55" t="s">
        <v>129</v>
      </c>
      <c r="G55">
        <v>0.89</v>
      </c>
      <c r="H55">
        <v>0.11</v>
      </c>
      <c r="I55">
        <v>0</v>
      </c>
      <c r="J55">
        <v>0</v>
      </c>
      <c r="K55">
        <v>0.5</v>
      </c>
      <c r="L55">
        <v>0.5</v>
      </c>
      <c r="M55">
        <v>0</v>
      </c>
      <c r="N55">
        <v>0.5</v>
      </c>
      <c r="O55">
        <v>0</v>
      </c>
      <c r="P55">
        <v>0</v>
      </c>
      <c r="Q55">
        <v>0.5</v>
      </c>
      <c r="R55" t="b">
        <v>0</v>
      </c>
      <c r="S55">
        <v>0</v>
      </c>
      <c r="T55" t="s">
        <v>122</v>
      </c>
      <c r="W55" t="s">
        <v>122</v>
      </c>
      <c r="X55" t="s">
        <v>275</v>
      </c>
      <c r="Y55" t="s">
        <v>399</v>
      </c>
      <c r="Z55">
        <v>200</v>
      </c>
      <c r="AA55">
        <v>84</v>
      </c>
      <c r="AB55">
        <f t="shared" si="148"/>
        <v>225</v>
      </c>
      <c r="AC55" t="str">
        <f t="shared" si="149"/>
        <v/>
      </c>
      <c r="AD55">
        <f t="shared" si="3"/>
        <v>0.75</v>
      </c>
      <c r="AE55">
        <f t="shared" si="4"/>
        <v>0.2</v>
      </c>
      <c r="AF55">
        <f t="shared" si="150"/>
        <v>0</v>
      </c>
      <c r="AG55">
        <f t="shared" si="93"/>
        <v>0</v>
      </c>
      <c r="AH55">
        <f t="shared" si="94"/>
        <v>0</v>
      </c>
      <c r="AI55">
        <f t="shared" si="95"/>
        <v>0</v>
      </c>
      <c r="AJ55">
        <f t="shared" si="151"/>
        <v>1</v>
      </c>
      <c r="AK55">
        <f t="shared" si="152"/>
        <v>0</v>
      </c>
      <c r="AL55">
        <f t="shared" si="11"/>
        <v>1.03</v>
      </c>
      <c r="AM55">
        <f t="shared" si="12"/>
        <v>3.0539999999999998</v>
      </c>
      <c r="AN55">
        <f t="shared" si="153"/>
        <v>18.399999999999999</v>
      </c>
      <c r="AO55">
        <f t="shared" si="14"/>
        <v>0.6</v>
      </c>
      <c r="AP55">
        <f t="shared" si="154"/>
        <v>0.5948500000000001</v>
      </c>
      <c r="AQ55">
        <f t="shared" si="155"/>
        <v>0</v>
      </c>
      <c r="AR55">
        <f t="shared" si="156"/>
        <v>1</v>
      </c>
      <c r="AS55" t="str">
        <f t="shared" si="157"/>
        <v/>
      </c>
      <c r="AT55" t="str">
        <f t="shared" si="158"/>
        <v/>
      </c>
      <c r="AU55" t="str">
        <f t="shared" si="159"/>
        <v/>
      </c>
      <c r="AV55" t="str">
        <f t="shared" si="160"/>
        <v/>
      </c>
      <c r="AW55">
        <f t="shared" si="22"/>
        <v>6.25</v>
      </c>
      <c r="AX55" t="str">
        <f t="shared" si="161"/>
        <v/>
      </c>
      <c r="AY55" t="str">
        <f t="shared" si="162"/>
        <v/>
      </c>
      <c r="AZ55" t="str">
        <f t="shared" si="163"/>
        <v/>
      </c>
      <c r="BA55">
        <f t="shared" si="26"/>
        <v>9.1999999999999998E-3</v>
      </c>
      <c r="BB55">
        <f t="shared" si="164"/>
        <v>154.56</v>
      </c>
      <c r="BC55">
        <f t="shared" si="165"/>
        <v>0</v>
      </c>
      <c r="BD55">
        <f t="shared" si="166"/>
        <v>0</v>
      </c>
      <c r="BE55">
        <f t="shared" si="167"/>
        <v>0</v>
      </c>
      <c r="BF55">
        <f t="shared" si="168"/>
        <v>0</v>
      </c>
      <c r="BG55">
        <f t="shared" si="169"/>
        <v>154.56</v>
      </c>
      <c r="BH55">
        <f t="shared" si="170"/>
        <v>0</v>
      </c>
      <c r="BI55">
        <f t="shared" si="34"/>
        <v>0.02</v>
      </c>
      <c r="BJ55">
        <f t="shared" si="35"/>
        <v>0.24</v>
      </c>
      <c r="BK55">
        <f t="shared" si="171"/>
        <v>0</v>
      </c>
      <c r="BL55">
        <f t="shared" si="37"/>
        <v>1.0999999999999999E-2</v>
      </c>
      <c r="BM55">
        <f t="shared" si="38"/>
        <v>0</v>
      </c>
      <c r="BN55">
        <f t="shared" si="39"/>
        <v>0</v>
      </c>
      <c r="BO55">
        <f t="shared" si="40"/>
        <v>0</v>
      </c>
      <c r="BP55">
        <f t="shared" si="41"/>
        <v>5.0000000000000001E-3</v>
      </c>
      <c r="BQ55">
        <f t="shared" si="42"/>
        <v>0</v>
      </c>
      <c r="BR55">
        <f t="shared" si="43"/>
        <v>0.35</v>
      </c>
      <c r="BS55">
        <f t="shared" si="44"/>
        <v>7.0000000000000007E-2</v>
      </c>
      <c r="BT55">
        <f t="shared" si="45"/>
        <v>0.2</v>
      </c>
      <c r="BU55">
        <f t="shared" si="46"/>
        <v>0.3</v>
      </c>
      <c r="BV55">
        <f t="shared" si="47"/>
        <v>0.21</v>
      </c>
      <c r="BW55">
        <f t="shared" si="119"/>
        <v>0</v>
      </c>
      <c r="BX55">
        <f t="shared" si="120"/>
        <v>0</v>
      </c>
      <c r="BY55">
        <f t="shared" si="121"/>
        <v>0</v>
      </c>
      <c r="BZ55">
        <f t="shared" si="122"/>
        <v>0</v>
      </c>
      <c r="CA55">
        <v>0.8</v>
      </c>
      <c r="CB55">
        <f t="shared" si="123"/>
        <v>5.0000000000000001E-3</v>
      </c>
      <c r="CC55">
        <f t="shared" si="53"/>
        <v>1.57</v>
      </c>
    </row>
    <row r="56" spans="1:83" s="3" customFormat="1" x14ac:dyDescent="0.2">
      <c r="A56" t="s">
        <v>344</v>
      </c>
      <c r="C56" s="3" t="s">
        <v>402</v>
      </c>
      <c r="D56" s="3" t="s">
        <v>19</v>
      </c>
      <c r="E56" s="3" t="b">
        <v>0</v>
      </c>
      <c r="F56" s="3" t="s">
        <v>129</v>
      </c>
      <c r="G56" s="3">
        <v>0.89</v>
      </c>
      <c r="H56" s="3">
        <v>0.11</v>
      </c>
      <c r="I56" s="3">
        <v>0</v>
      </c>
      <c r="J56" s="3">
        <v>0</v>
      </c>
      <c r="K56" s="3">
        <v>0.5</v>
      </c>
      <c r="L56" s="3">
        <v>0.5</v>
      </c>
      <c r="M56" s="3">
        <v>0</v>
      </c>
      <c r="N56" s="3">
        <v>0.5</v>
      </c>
      <c r="O56" s="3">
        <v>0</v>
      </c>
      <c r="P56" s="3">
        <v>0</v>
      </c>
      <c r="Q56" s="3">
        <v>0.5</v>
      </c>
      <c r="R56" s="3" t="b">
        <v>0</v>
      </c>
      <c r="S56" s="3">
        <v>0</v>
      </c>
      <c r="T56" s="3" t="s">
        <v>122</v>
      </c>
      <c r="W56" s="3" t="s">
        <v>122</v>
      </c>
      <c r="X56" s="3" t="s">
        <v>275</v>
      </c>
      <c r="Y56" s="3" t="s">
        <v>400</v>
      </c>
      <c r="Z56" s="3">
        <v>200</v>
      </c>
      <c r="AA56" s="3">
        <v>281</v>
      </c>
      <c r="AB56" s="3">
        <f t="shared" si="148"/>
        <v>225</v>
      </c>
      <c r="AC56" s="3">
        <f t="shared" si="149"/>
        <v>0.8</v>
      </c>
      <c r="AD56" s="3">
        <f t="shared" si="3"/>
        <v>0.75</v>
      </c>
      <c r="AE56" s="3">
        <f t="shared" si="4"/>
        <v>0.2</v>
      </c>
      <c r="AF56" s="3">
        <f t="shared" si="150"/>
        <v>0</v>
      </c>
      <c r="AG56" s="3">
        <f t="shared" si="93"/>
        <v>0</v>
      </c>
      <c r="AH56" s="3">
        <f t="shared" si="94"/>
        <v>0</v>
      </c>
      <c r="AI56" s="3">
        <f t="shared" si="95"/>
        <v>0</v>
      </c>
      <c r="AJ56" s="3">
        <f t="shared" si="151"/>
        <v>1</v>
      </c>
      <c r="AK56" s="3">
        <f t="shared" si="152"/>
        <v>0</v>
      </c>
      <c r="AL56" s="3">
        <f t="shared" si="11"/>
        <v>1.03</v>
      </c>
      <c r="AM56" s="3">
        <f t="shared" si="12"/>
        <v>3.0539999999999998</v>
      </c>
      <c r="AN56" s="3">
        <f t="shared" si="153"/>
        <v>18.399999999999999</v>
      </c>
      <c r="AO56" s="3">
        <f t="shared" si="14"/>
        <v>0.6</v>
      </c>
      <c r="AP56" s="3">
        <f t="shared" si="154"/>
        <v>0.5948500000000001</v>
      </c>
      <c r="AQ56" s="3">
        <f t="shared" si="155"/>
        <v>0</v>
      </c>
      <c r="AR56" s="3">
        <f t="shared" si="156"/>
        <v>1</v>
      </c>
      <c r="AS56" s="3">
        <f t="shared" si="157"/>
        <v>5.4143472656250013</v>
      </c>
      <c r="AT56" s="3">
        <f t="shared" si="158"/>
        <v>1.2576570545672616</v>
      </c>
      <c r="AU56" s="3">
        <f t="shared" si="159"/>
        <v>770</v>
      </c>
      <c r="AV56" s="3">
        <f t="shared" si="160"/>
        <v>0.29220779220779219</v>
      </c>
      <c r="AW56" s="3">
        <f t="shared" si="22"/>
        <v>6.25</v>
      </c>
      <c r="AX56" s="3">
        <f t="shared" si="161"/>
        <v>1.9757354894894084E-2</v>
      </c>
      <c r="AY56" s="3">
        <f t="shared" si="162"/>
        <v>1.0828694531250003</v>
      </c>
      <c r="AZ56" s="3">
        <f t="shared" si="163"/>
        <v>0.15247929000170721</v>
      </c>
      <c r="BA56" s="3" t="str">
        <f t="shared" si="26"/>
        <v/>
      </c>
      <c r="BB56" s="3">
        <f t="shared" si="164"/>
        <v>8569.336098095946</v>
      </c>
      <c r="BC56" s="3">
        <f t="shared" si="165"/>
        <v>0</v>
      </c>
      <c r="BD56" s="3">
        <f t="shared" si="166"/>
        <v>0</v>
      </c>
      <c r="BE56" s="3">
        <f t="shared" si="167"/>
        <v>0</v>
      </c>
      <c r="BF56" s="3">
        <f t="shared" si="168"/>
        <v>0</v>
      </c>
      <c r="BG56" s="3">
        <f t="shared" si="169"/>
        <v>8569.336098095946</v>
      </c>
      <c r="BH56" s="3">
        <f t="shared" si="170"/>
        <v>0</v>
      </c>
      <c r="BI56" s="3">
        <f t="shared" si="34"/>
        <v>0.02</v>
      </c>
      <c r="BJ56" s="3">
        <f t="shared" si="35"/>
        <v>0.24</v>
      </c>
      <c r="BK56" s="3">
        <f t="shared" si="171"/>
        <v>0</v>
      </c>
      <c r="BL56" s="3">
        <f t="shared" si="37"/>
        <v>1.0999999999999999E-2</v>
      </c>
      <c r="BM56" s="3">
        <f t="shared" si="38"/>
        <v>0</v>
      </c>
      <c r="BN56" s="3">
        <f t="shared" si="39"/>
        <v>0</v>
      </c>
      <c r="BO56" s="3">
        <f t="shared" si="40"/>
        <v>0</v>
      </c>
      <c r="BP56" s="3">
        <f t="shared" si="41"/>
        <v>5.0000000000000001E-3</v>
      </c>
      <c r="BQ56" s="3">
        <f t="shared" si="42"/>
        <v>0</v>
      </c>
      <c r="BR56" s="3">
        <f t="shared" si="43"/>
        <v>0.35</v>
      </c>
      <c r="BS56" s="3">
        <f t="shared" si="44"/>
        <v>7.0000000000000007E-2</v>
      </c>
      <c r="BT56" s="3">
        <f t="shared" si="45"/>
        <v>0.2</v>
      </c>
      <c r="BU56" s="3">
        <f t="shared" si="46"/>
        <v>0.3</v>
      </c>
      <c r="BV56" s="3">
        <f t="shared" si="47"/>
        <v>0.21</v>
      </c>
      <c r="BW56" s="3">
        <f t="shared" si="119"/>
        <v>0</v>
      </c>
      <c r="BX56" s="3">
        <f t="shared" si="120"/>
        <v>0</v>
      </c>
      <c r="BY56" s="3">
        <f t="shared" si="121"/>
        <v>0</v>
      </c>
      <c r="BZ56" s="3">
        <f t="shared" si="122"/>
        <v>0</v>
      </c>
      <c r="CA56" s="3">
        <v>0.8</v>
      </c>
      <c r="CB56" s="3">
        <f t="shared" si="123"/>
        <v>5.0000000000000001E-3</v>
      </c>
      <c r="CC56" s="3">
        <f t="shared" si="53"/>
        <v>1.57</v>
      </c>
    </row>
    <row r="57" spans="1:83" x14ac:dyDescent="0.2">
      <c r="A57" t="s">
        <v>344</v>
      </c>
      <c r="C57" t="s">
        <v>404</v>
      </c>
      <c r="D57" t="s">
        <v>19</v>
      </c>
      <c r="E57" t="b">
        <v>1</v>
      </c>
      <c r="F57" t="s">
        <v>151</v>
      </c>
      <c r="G57">
        <v>0</v>
      </c>
      <c r="H57">
        <v>0.11</v>
      </c>
      <c r="I57">
        <v>0.89</v>
      </c>
      <c r="J57">
        <v>0.1</v>
      </c>
      <c r="K57">
        <v>0.2</v>
      </c>
      <c r="L57">
        <v>0.3</v>
      </c>
      <c r="M57">
        <v>0.4</v>
      </c>
      <c r="N57">
        <v>0.4</v>
      </c>
      <c r="O57">
        <v>0.3</v>
      </c>
      <c r="P57">
        <v>0.2</v>
      </c>
      <c r="Q57">
        <v>0.1</v>
      </c>
      <c r="R57" t="b">
        <v>0</v>
      </c>
      <c r="S57">
        <v>0</v>
      </c>
      <c r="T57" t="s">
        <v>122</v>
      </c>
      <c r="W57">
        <v>0.1</v>
      </c>
      <c r="X57" t="s">
        <v>276</v>
      </c>
      <c r="Y57" t="s">
        <v>394</v>
      </c>
      <c r="Z57">
        <v>200</v>
      </c>
      <c r="AA57">
        <v>365</v>
      </c>
      <c r="AB57">
        <f>INDEX($B$75:$H$84, MATCH(X57, $A$75:$A$84, 0), MATCH(Y57,$B$74:$H$74, 0))</f>
        <v>480</v>
      </c>
      <c r="AC57">
        <f>_xlfn.XLOOKUP(Y57, $B$86:$F$86, $B$88:$F$88, "")</f>
        <v>1.6E-2</v>
      </c>
      <c r="AD57">
        <f>$B$118</f>
        <v>0.75</v>
      </c>
      <c r="AE57">
        <f>$B$119</f>
        <v>0.2</v>
      </c>
      <c r="AF57">
        <f>IF($Y57="milkingCows",($H57*J57)+($I57*N57), 0)</f>
        <v>0.36700000000000005</v>
      </c>
      <c r="AG57">
        <f t="shared" si="93"/>
        <v>0.28900000000000003</v>
      </c>
      <c r="AH57">
        <f t="shared" si="94"/>
        <v>0.21100000000000002</v>
      </c>
      <c r="AI57">
        <f t="shared" si="95"/>
        <v>0.13300000000000001</v>
      </c>
      <c r="AJ57">
        <f>IF($Y57="milkingCows",G57, 1)</f>
        <v>0</v>
      </c>
      <c r="AK57">
        <f>IF(Y57="milkingCows", IF(W57&lt;&gt;"", W57, T57/((U57+V57)*0.01)), 0)</f>
        <v>0.1</v>
      </c>
      <c r="AL57">
        <f>$B$117</f>
        <v>1.03</v>
      </c>
      <c r="AM57">
        <f>$B$114</f>
        <v>3.0539999999999998</v>
      </c>
      <c r="AN57">
        <f>B$115</f>
        <v>18.399999999999999</v>
      </c>
      <c r="AO57">
        <f>$B$116</f>
        <v>0.6</v>
      </c>
      <c r="AP57">
        <f>0.795*(AD57)-0.0014</f>
        <v>0.5948500000000001</v>
      </c>
      <c r="AQ57">
        <f>(AK57*AL57*AM57)/(AN57*AO57*AP57)</f>
        <v>4.7899360818035967E-2</v>
      </c>
      <c r="AR57">
        <f>IF(Y57="milkingCows",$P$75,$P$76)</f>
        <v>1.1000000000000001</v>
      </c>
      <c r="AS57">
        <f>IFERROR(((1.185+(0.00454*AB57)-(0.0000026*(AB57^2))+(0.315*AC57))^2*AR57+AQ57), "")</f>
        <v>8.4893082048180375</v>
      </c>
      <c r="AT57">
        <f>IFERROR(((1.185+(0.00454*AB57)-(0.0000026*(AB57^2))+(0.315*AC57))^2*AR57+AQ57)/((1.185+(0.00454*AB57)-(0.0000026*(AB57^2)))^2*AR57+AQ57), "")</f>
        <v>1.0036280191363305</v>
      </c>
      <c r="AU57">
        <f>_xlfn.XLOOKUP(Y57, $B$86:$F$86, $B$87:$F$87, "")</f>
        <v>590</v>
      </c>
      <c r="AV57">
        <f>IFERROR(AB57/AU57, "")</f>
        <v>0.81355932203389836</v>
      </c>
      <c r="AW57">
        <f>$B$128</f>
        <v>6.25</v>
      </c>
      <c r="AX57">
        <f>IFERROR((((0.212 - (0.008*(AT57-2)) - (0.14-0.008*(AT57-2))/(1+EXP(-6*(AV57-0.4)))) * AC57 * 0.92)/AW57) + (0.032*AK57*AL57)/6.38, "")</f>
        <v>7.1308460484772421E-4</v>
      </c>
      <c r="AY57">
        <f>IFERROR(AE57*AS57, "")</f>
        <v>1.6978616409636076</v>
      </c>
      <c r="AZ57">
        <f>IF(ISNUMBER(FIND("PreWeaned",Y57)),"", (AY57/AW57)-AX57-(((1.1*10^-4)*(AB57^0.75))/AW57))</f>
        <v>0.26913991763431183</v>
      </c>
      <c r="BA57" t="str">
        <f t="shared" si="26"/>
        <v/>
      </c>
      <c r="BB57">
        <f>SUM(AZ57:BA57)*Z57*AA57</f>
        <v>19647.213987304764</v>
      </c>
      <c r="BC57">
        <f>$BB57*AF57</f>
        <v>7210.527533340849</v>
      </c>
      <c r="BD57">
        <f>$BB57*AG57</f>
        <v>5678.0448423310772</v>
      </c>
      <c r="BE57">
        <f>$BB57*AH57</f>
        <v>4145.5621513213055</v>
      </c>
      <c r="BF57">
        <f>$BB57*AI57</f>
        <v>2613.0794603115337</v>
      </c>
      <c r="BG57">
        <f>$BB57*AJ57</f>
        <v>0</v>
      </c>
      <c r="BH57">
        <f>IF(E57, 1, 0)</f>
        <v>1</v>
      </c>
      <c r="BI57">
        <f>$B$127</f>
        <v>0.02</v>
      </c>
      <c r="BJ57">
        <f>$B$126</f>
        <v>0.24</v>
      </c>
      <c r="BK57">
        <f>BF57*$BH57*BI57</f>
        <v>52.261589206230674</v>
      </c>
      <c r="BL57">
        <f>$B$125</f>
        <v>1.0999999999999999E-2</v>
      </c>
      <c r="BM57">
        <f>$C$92</f>
        <v>0</v>
      </c>
      <c r="BN57">
        <f>$C$93</f>
        <v>0</v>
      </c>
      <c r="BO57">
        <f>$C$94</f>
        <v>0</v>
      </c>
      <c r="BP57">
        <f>$C$95</f>
        <v>5.0000000000000001E-3</v>
      </c>
      <c r="BQ57">
        <f>$C$96</f>
        <v>0</v>
      </c>
      <c r="BR57">
        <f>$D$92</f>
        <v>0.35</v>
      </c>
      <c r="BS57">
        <f>$D$93</f>
        <v>7.0000000000000007E-2</v>
      </c>
      <c r="BT57">
        <f>$D$94</f>
        <v>0.2</v>
      </c>
      <c r="BU57">
        <f>$D$95</f>
        <v>0.3</v>
      </c>
      <c r="BV57">
        <f>$B$124</f>
        <v>0.21</v>
      </c>
      <c r="BW57">
        <f>BC57*(1-BM57-BR57)</f>
        <v>4686.8428966715519</v>
      </c>
      <c r="BX57">
        <f>BD57*(1-BN57-BS57)</f>
        <v>5280.5817033679014</v>
      </c>
      <c r="BY57">
        <f>BE57*(1-BO57-BT57)</f>
        <v>3316.4497210570444</v>
      </c>
      <c r="BZ57">
        <f>BF57*(1-BP57-BU57)-BK57</f>
        <v>1763.8286357102854</v>
      </c>
      <c r="CA57">
        <v>0.8</v>
      </c>
      <c r="CB57">
        <f>_xlfn.XLOOKUP(D57,$A$107:$A$108,$B$107:$B$108)</f>
        <v>5.0000000000000001E-3</v>
      </c>
      <c r="CC57">
        <f>$B$123</f>
        <v>1.57</v>
      </c>
      <c r="CD57">
        <f>SUM(BW57:BZ57)*CA57</f>
        <v>12038.162365445427</v>
      </c>
      <c r="CE57">
        <f>CD57*$CC57*$CB57/1000</f>
        <v>9.4499574568746608E-2</v>
      </c>
    </row>
    <row r="58" spans="1:83" x14ac:dyDescent="0.2">
      <c r="A58" t="s">
        <v>344</v>
      </c>
      <c r="C58" t="s">
        <v>404</v>
      </c>
      <c r="D58" t="s">
        <v>19</v>
      </c>
      <c r="E58" t="b">
        <v>1</v>
      </c>
      <c r="F58" t="s">
        <v>151</v>
      </c>
      <c r="G58">
        <v>0</v>
      </c>
      <c r="H58">
        <v>0.11</v>
      </c>
      <c r="I58">
        <v>0.89</v>
      </c>
      <c r="J58">
        <v>0.1</v>
      </c>
      <c r="K58">
        <v>0.2</v>
      </c>
      <c r="L58">
        <v>0.3</v>
      </c>
      <c r="M58">
        <v>0.4</v>
      </c>
      <c r="N58">
        <v>0.4</v>
      </c>
      <c r="O58">
        <v>0.3</v>
      </c>
      <c r="P58">
        <v>0.2</v>
      </c>
      <c r="Q58">
        <v>0.1</v>
      </c>
      <c r="R58" t="b">
        <v>0</v>
      </c>
      <c r="S58">
        <v>0</v>
      </c>
      <c r="T58" t="s">
        <v>122</v>
      </c>
      <c r="W58" t="s">
        <v>122</v>
      </c>
      <c r="X58" t="s">
        <v>276</v>
      </c>
      <c r="Y58" t="s">
        <v>395</v>
      </c>
      <c r="Z58">
        <v>200</v>
      </c>
      <c r="AA58">
        <v>365</v>
      </c>
      <c r="AB58">
        <f t="shared" ref="AB58:AB63" si="172">INDEX($B$75:$H$84, MATCH(X58, $A$75:$A$84, 0), MATCH(Y58,$B$74:$H$74, 0))</f>
        <v>335</v>
      </c>
      <c r="AC58">
        <f t="shared" ref="AC58:AC63" si="173">_xlfn.XLOOKUP(Y58, $B$86:$F$86, $B$88:$F$88, "")</f>
        <v>0.6</v>
      </c>
      <c r="AD58">
        <f t="shared" si="3"/>
        <v>0.75</v>
      </c>
      <c r="AE58">
        <f t="shared" si="4"/>
        <v>0.2</v>
      </c>
      <c r="AF58">
        <f t="shared" ref="AF58:AF63" si="174">IF($Y58="milkingCows",($H58*J58)+($I58*N58), 0)</f>
        <v>0</v>
      </c>
      <c r="AG58">
        <f t="shared" si="93"/>
        <v>0</v>
      </c>
      <c r="AH58">
        <f t="shared" si="94"/>
        <v>0</v>
      </c>
      <c r="AI58">
        <f t="shared" si="95"/>
        <v>0</v>
      </c>
      <c r="AJ58">
        <f t="shared" ref="AJ58:AJ63" si="175">IF($Y58="milkingCows",G58, 1)</f>
        <v>1</v>
      </c>
      <c r="AK58">
        <f t="shared" ref="AK58:AK63" si="176">IF(Y58="milkingCows", IF(W58&lt;&gt;"", W58, T58/((U58+V58)*0.01)), 0)</f>
        <v>0</v>
      </c>
      <c r="AL58">
        <f t="shared" si="11"/>
        <v>1.03</v>
      </c>
      <c r="AM58">
        <f t="shared" si="12"/>
        <v>3.0539999999999998</v>
      </c>
      <c r="AN58">
        <f t="shared" ref="AN58:AN63" si="177">B$115</f>
        <v>18.399999999999999</v>
      </c>
      <c r="AO58">
        <f t="shared" si="14"/>
        <v>0.6</v>
      </c>
      <c r="AP58">
        <f t="shared" ref="AP58:AP63" si="178">0.795*(AD58)-0.0014</f>
        <v>0.5948500000000001</v>
      </c>
      <c r="AQ58">
        <f t="shared" ref="AQ58:AQ63" si="179">(AK58*AL58*AM58)/(AN58*AO58*AP58)</f>
        <v>0</v>
      </c>
      <c r="AR58">
        <f t="shared" ref="AR58:AR63" si="180">IF(Y58="milkingCows",$P$75,$P$76)</f>
        <v>1</v>
      </c>
      <c r="AS58">
        <f t="shared" ref="AS58:AS63" si="181">IFERROR(((1.185+(0.00454*AB58)-(0.0000026*(AB58^2))+(0.315*AC58))^2*AR58+AQ58), "")</f>
        <v>6.7762077032249994</v>
      </c>
      <c r="AT58">
        <f t="shared" ref="AT58:AT63" si="182">IFERROR(((1.185+(0.00454*AB58)-(0.0000026*(AB58^2))+(0.315*AC58))^2*AR58+AQ58)/((1.185+(0.00454*AB58)-(0.0000026*(AB58^2)))^2*AR58+AQ58), "")</f>
        <v>1.162708374187144</v>
      </c>
      <c r="AU58">
        <f t="shared" ref="AU58:AU63" si="183">_xlfn.XLOOKUP(Y58, $B$86:$F$86, $B$87:$F$87, "")</f>
        <v>590</v>
      </c>
      <c r="AV58">
        <f t="shared" ref="AV58:AV63" si="184">IFERROR(AB58/AU58, "")</f>
        <v>0.56779661016949157</v>
      </c>
      <c r="AW58">
        <f t="shared" si="22"/>
        <v>6.25</v>
      </c>
      <c r="AX58">
        <f t="shared" ref="AX58:AX63" si="185">IFERROR((((0.212 - (0.008*(AT58-2)) - (0.14-0.008*(AT58-2))/(1+EXP(-6*(AV58-0.4)))) * AC58 * 0.92)/AW58) + (0.032*AK58*AL58)/6.38, "")</f>
        <v>9.8263084532232529E-3</v>
      </c>
      <c r="AY58">
        <f t="shared" ref="AY58:AY63" si="186">IFERROR(AE58*AS58, "")</f>
        <v>1.355241540645</v>
      </c>
      <c r="AZ58">
        <f t="shared" ref="AZ58:AZ63" si="187">IF(ISNUMBER(FIND("PreWeaned",Y58)),"", (AY58/AW58)-AX58-(((1.1*10^-4)*(AB58^0.75))/AW58))</f>
        <v>0.20563418873649833</v>
      </c>
      <c r="BA58" t="str">
        <f t="shared" si="26"/>
        <v/>
      </c>
      <c r="BB58">
        <f t="shared" ref="BB58:BB63" si="188">SUM(AZ58:BA58)*Z58*AA58</f>
        <v>15011.295777764379</v>
      </c>
      <c r="BC58">
        <f t="shared" ref="BC58:BC63" si="189">$BB58*AF58</f>
        <v>0</v>
      </c>
      <c r="BD58">
        <f t="shared" ref="BD58:BD63" si="190">$BB58*AG58</f>
        <v>0</v>
      </c>
      <c r="BE58">
        <f t="shared" ref="BE58:BE63" si="191">$BB58*AH58</f>
        <v>0</v>
      </c>
      <c r="BF58">
        <f t="shared" ref="BF58:BF63" si="192">$BB58*AI58</f>
        <v>0</v>
      </c>
      <c r="BG58">
        <f t="shared" ref="BG58:BG63" si="193">$BB58*AJ58</f>
        <v>15011.295777764379</v>
      </c>
      <c r="BH58">
        <f t="shared" ref="BH58:BH63" si="194">IF(E58, 1, 0)</f>
        <v>1</v>
      </c>
      <c r="BI58">
        <f t="shared" si="34"/>
        <v>0.02</v>
      </c>
      <c r="BJ58">
        <f t="shared" si="35"/>
        <v>0.24</v>
      </c>
      <c r="BK58">
        <f t="shared" ref="BK58:BK63" si="195">BF58*$BH58*BI58</f>
        <v>0</v>
      </c>
      <c r="BL58">
        <f t="shared" si="37"/>
        <v>1.0999999999999999E-2</v>
      </c>
      <c r="BM58">
        <f t="shared" si="38"/>
        <v>0</v>
      </c>
      <c r="BN58">
        <f t="shared" si="39"/>
        <v>0</v>
      </c>
      <c r="BO58">
        <f t="shared" si="40"/>
        <v>0</v>
      </c>
      <c r="BP58">
        <f t="shared" si="41"/>
        <v>5.0000000000000001E-3</v>
      </c>
      <c r="BQ58">
        <f t="shared" si="42"/>
        <v>0</v>
      </c>
      <c r="BR58">
        <f t="shared" si="43"/>
        <v>0.35</v>
      </c>
      <c r="BS58">
        <f t="shared" si="44"/>
        <v>7.0000000000000007E-2</v>
      </c>
      <c r="BT58">
        <f t="shared" si="45"/>
        <v>0.2</v>
      </c>
      <c r="BU58">
        <f t="shared" si="46"/>
        <v>0.3</v>
      </c>
      <c r="BV58">
        <f t="shared" si="47"/>
        <v>0.21</v>
      </c>
      <c r="BW58">
        <f t="shared" ref="BW58:BW63" si="196">BC58*(1-BM58-BR58)</f>
        <v>0</v>
      </c>
      <c r="BX58">
        <f t="shared" ref="BX58:BX63" si="197">BD58*(1-BN58-BS58)</f>
        <v>0</v>
      </c>
      <c r="BY58">
        <f t="shared" ref="BY58:BY63" si="198">BE58*(1-BO58-BT58)</f>
        <v>0</v>
      </c>
      <c r="BZ58">
        <f t="shared" ref="BZ58:BZ63" si="199">BF58*(1-BP58-BU58)-BK58</f>
        <v>0</v>
      </c>
      <c r="CA58">
        <v>0.8</v>
      </c>
      <c r="CB58">
        <f t="shared" ref="CB58:CB63" si="200">_xlfn.XLOOKUP(D58,$A$107:$A$108,$B$107:$B$108)</f>
        <v>5.0000000000000001E-3</v>
      </c>
      <c r="CC58">
        <f t="shared" si="53"/>
        <v>1.57</v>
      </c>
    </row>
    <row r="59" spans="1:83" x14ac:dyDescent="0.2">
      <c r="A59" t="s">
        <v>344</v>
      </c>
      <c r="C59" t="s">
        <v>404</v>
      </c>
      <c r="D59" t="s">
        <v>19</v>
      </c>
      <c r="E59" t="b">
        <v>1</v>
      </c>
      <c r="F59" t="s">
        <v>151</v>
      </c>
      <c r="G59">
        <v>0</v>
      </c>
      <c r="H59">
        <v>0.11</v>
      </c>
      <c r="I59">
        <v>0.89</v>
      </c>
      <c r="J59">
        <v>0.1</v>
      </c>
      <c r="K59">
        <v>0.2</v>
      </c>
      <c r="L59">
        <v>0.3</v>
      </c>
      <c r="M59">
        <v>0.4</v>
      </c>
      <c r="N59">
        <v>0.4</v>
      </c>
      <c r="O59">
        <v>0.3</v>
      </c>
      <c r="P59">
        <v>0.2</v>
      </c>
      <c r="Q59">
        <v>0.1</v>
      </c>
      <c r="R59" t="b">
        <v>0</v>
      </c>
      <c r="S59">
        <v>0</v>
      </c>
      <c r="T59" t="s">
        <v>122</v>
      </c>
      <c r="W59" t="s">
        <v>122</v>
      </c>
      <c r="X59" t="s">
        <v>276</v>
      </c>
      <c r="Y59" t="s">
        <v>396</v>
      </c>
      <c r="Z59">
        <v>200</v>
      </c>
      <c r="AA59">
        <v>84</v>
      </c>
      <c r="AB59">
        <f t="shared" si="172"/>
        <v>140</v>
      </c>
      <c r="AC59" t="str">
        <f t="shared" si="173"/>
        <v/>
      </c>
      <c r="AD59">
        <f t="shared" si="3"/>
        <v>0.75</v>
      </c>
      <c r="AE59">
        <f t="shared" si="4"/>
        <v>0.2</v>
      </c>
      <c r="AF59">
        <f t="shared" si="174"/>
        <v>0</v>
      </c>
      <c r="AG59">
        <f t="shared" si="93"/>
        <v>0</v>
      </c>
      <c r="AH59">
        <f t="shared" si="94"/>
        <v>0</v>
      </c>
      <c r="AI59">
        <f t="shared" si="95"/>
        <v>0</v>
      </c>
      <c r="AJ59">
        <f t="shared" si="175"/>
        <v>1</v>
      </c>
      <c r="AK59">
        <f t="shared" si="176"/>
        <v>0</v>
      </c>
      <c r="AL59">
        <f t="shared" si="11"/>
        <v>1.03</v>
      </c>
      <c r="AM59">
        <f t="shared" si="12"/>
        <v>3.0539999999999998</v>
      </c>
      <c r="AN59">
        <f t="shared" si="177"/>
        <v>18.399999999999999</v>
      </c>
      <c r="AO59">
        <f t="shared" si="14"/>
        <v>0.6</v>
      </c>
      <c r="AP59">
        <f t="shared" si="178"/>
        <v>0.5948500000000001</v>
      </c>
      <c r="AQ59">
        <f t="shared" si="179"/>
        <v>0</v>
      </c>
      <c r="AR59">
        <f t="shared" si="180"/>
        <v>1</v>
      </c>
      <c r="AS59" t="str">
        <f t="shared" si="181"/>
        <v/>
      </c>
      <c r="AT59" t="str">
        <f t="shared" si="182"/>
        <v/>
      </c>
      <c r="AU59" t="str">
        <f t="shared" si="183"/>
        <v/>
      </c>
      <c r="AV59" t="str">
        <f t="shared" si="184"/>
        <v/>
      </c>
      <c r="AW59">
        <f t="shared" si="22"/>
        <v>6.25</v>
      </c>
      <c r="AX59" t="str">
        <f t="shared" si="185"/>
        <v/>
      </c>
      <c r="AY59" t="str">
        <f t="shared" si="186"/>
        <v/>
      </c>
      <c r="AZ59" t="str">
        <f t="shared" si="187"/>
        <v/>
      </c>
      <c r="BA59">
        <f t="shared" si="26"/>
        <v>1.37E-2</v>
      </c>
      <c r="BB59">
        <f t="shared" si="188"/>
        <v>230.16000000000003</v>
      </c>
      <c r="BC59">
        <f t="shared" si="189"/>
        <v>0</v>
      </c>
      <c r="BD59">
        <f t="shared" si="190"/>
        <v>0</v>
      </c>
      <c r="BE59">
        <f t="shared" si="191"/>
        <v>0</v>
      </c>
      <c r="BF59">
        <f t="shared" si="192"/>
        <v>0</v>
      </c>
      <c r="BG59">
        <f t="shared" si="193"/>
        <v>230.16000000000003</v>
      </c>
      <c r="BH59">
        <f t="shared" si="194"/>
        <v>1</v>
      </c>
      <c r="BI59">
        <f t="shared" si="34"/>
        <v>0.02</v>
      </c>
      <c r="BJ59">
        <f t="shared" si="35"/>
        <v>0.24</v>
      </c>
      <c r="BK59">
        <f t="shared" si="195"/>
        <v>0</v>
      </c>
      <c r="BL59">
        <f t="shared" si="37"/>
        <v>1.0999999999999999E-2</v>
      </c>
      <c r="BM59">
        <f t="shared" si="38"/>
        <v>0</v>
      </c>
      <c r="BN59">
        <f t="shared" si="39"/>
        <v>0</v>
      </c>
      <c r="BO59">
        <f t="shared" si="40"/>
        <v>0</v>
      </c>
      <c r="BP59">
        <f t="shared" si="41"/>
        <v>5.0000000000000001E-3</v>
      </c>
      <c r="BQ59">
        <f t="shared" si="42"/>
        <v>0</v>
      </c>
      <c r="BR59">
        <f t="shared" si="43"/>
        <v>0.35</v>
      </c>
      <c r="BS59">
        <f t="shared" si="44"/>
        <v>7.0000000000000007E-2</v>
      </c>
      <c r="BT59">
        <f t="shared" si="45"/>
        <v>0.2</v>
      </c>
      <c r="BU59">
        <f t="shared" si="46"/>
        <v>0.3</v>
      </c>
      <c r="BV59">
        <f t="shared" si="47"/>
        <v>0.21</v>
      </c>
      <c r="BW59">
        <f t="shared" si="196"/>
        <v>0</v>
      </c>
      <c r="BX59">
        <f t="shared" si="197"/>
        <v>0</v>
      </c>
      <c r="BY59">
        <f t="shared" si="198"/>
        <v>0</v>
      </c>
      <c r="BZ59">
        <f t="shared" si="199"/>
        <v>0</v>
      </c>
      <c r="CA59">
        <v>0.8</v>
      </c>
      <c r="CB59">
        <f t="shared" si="200"/>
        <v>5.0000000000000001E-3</v>
      </c>
      <c r="CC59">
        <f t="shared" si="53"/>
        <v>1.57</v>
      </c>
    </row>
    <row r="60" spans="1:83" x14ac:dyDescent="0.2">
      <c r="A60" t="s">
        <v>344</v>
      </c>
      <c r="C60" t="s">
        <v>404</v>
      </c>
      <c r="D60" t="s">
        <v>19</v>
      </c>
      <c r="E60" t="b">
        <v>1</v>
      </c>
      <c r="F60" t="s">
        <v>151</v>
      </c>
      <c r="G60">
        <v>0</v>
      </c>
      <c r="H60">
        <v>0.11</v>
      </c>
      <c r="I60">
        <v>0.89</v>
      </c>
      <c r="J60">
        <v>0.1</v>
      </c>
      <c r="K60">
        <v>0.2</v>
      </c>
      <c r="L60">
        <v>0.3</v>
      </c>
      <c r="M60">
        <v>0.4</v>
      </c>
      <c r="N60">
        <v>0.4</v>
      </c>
      <c r="O60">
        <v>0.3</v>
      </c>
      <c r="P60">
        <v>0.2</v>
      </c>
      <c r="Q60">
        <v>0.1</v>
      </c>
      <c r="R60" t="b">
        <v>0</v>
      </c>
      <c r="S60">
        <v>0</v>
      </c>
      <c r="T60" t="s">
        <v>122</v>
      </c>
      <c r="W60" t="s">
        <v>122</v>
      </c>
      <c r="X60" t="s">
        <v>276</v>
      </c>
      <c r="Y60" t="s">
        <v>397</v>
      </c>
      <c r="Z60">
        <v>200</v>
      </c>
      <c r="AA60">
        <v>281</v>
      </c>
      <c r="AB60">
        <f t="shared" si="172"/>
        <v>140</v>
      </c>
      <c r="AC60">
        <f t="shared" si="173"/>
        <v>0.56999999999999995</v>
      </c>
      <c r="AD60">
        <f t="shared" si="3"/>
        <v>0.75</v>
      </c>
      <c r="AE60">
        <f t="shared" si="4"/>
        <v>0.2</v>
      </c>
      <c r="AF60">
        <f t="shared" si="174"/>
        <v>0</v>
      </c>
      <c r="AG60">
        <f t="shared" si="93"/>
        <v>0</v>
      </c>
      <c r="AH60">
        <f t="shared" si="94"/>
        <v>0</v>
      </c>
      <c r="AI60">
        <f t="shared" si="95"/>
        <v>0</v>
      </c>
      <c r="AJ60">
        <f t="shared" si="175"/>
        <v>1</v>
      </c>
      <c r="AK60">
        <f t="shared" si="176"/>
        <v>0</v>
      </c>
      <c r="AL60">
        <f t="shared" si="11"/>
        <v>1.03</v>
      </c>
      <c r="AM60">
        <f t="shared" si="12"/>
        <v>3.0539999999999998</v>
      </c>
      <c r="AN60">
        <f t="shared" si="177"/>
        <v>18.399999999999999</v>
      </c>
      <c r="AO60">
        <f t="shared" si="14"/>
        <v>0.6</v>
      </c>
      <c r="AP60">
        <f t="shared" si="178"/>
        <v>0.5948500000000001</v>
      </c>
      <c r="AQ60">
        <f t="shared" si="179"/>
        <v>0</v>
      </c>
      <c r="AR60">
        <f t="shared" si="180"/>
        <v>1</v>
      </c>
      <c r="AS60">
        <f t="shared" si="181"/>
        <v>3.7993416560999989</v>
      </c>
      <c r="AT60">
        <f t="shared" si="182"/>
        <v>1.213217026603395</v>
      </c>
      <c r="AU60">
        <f t="shared" si="183"/>
        <v>590</v>
      </c>
      <c r="AV60">
        <f t="shared" si="184"/>
        <v>0.23728813559322035</v>
      </c>
      <c r="AW60">
        <f t="shared" si="22"/>
        <v>6.25</v>
      </c>
      <c r="AX60">
        <f t="shared" si="185"/>
        <v>1.49570148025881E-2</v>
      </c>
      <c r="AY60">
        <f t="shared" si="186"/>
        <v>0.75986833121999986</v>
      </c>
      <c r="AZ60">
        <f t="shared" si="187"/>
        <v>0.10590559552466704</v>
      </c>
      <c r="BA60" t="str">
        <f t="shared" si="26"/>
        <v/>
      </c>
      <c r="BB60">
        <f t="shared" si="188"/>
        <v>5951.8944684862881</v>
      </c>
      <c r="BC60">
        <f t="shared" si="189"/>
        <v>0</v>
      </c>
      <c r="BD60">
        <f t="shared" si="190"/>
        <v>0</v>
      </c>
      <c r="BE60">
        <f t="shared" si="191"/>
        <v>0</v>
      </c>
      <c r="BF60">
        <f t="shared" si="192"/>
        <v>0</v>
      </c>
      <c r="BG60">
        <f t="shared" si="193"/>
        <v>5951.8944684862881</v>
      </c>
      <c r="BH60">
        <f t="shared" si="194"/>
        <v>1</v>
      </c>
      <c r="BI60">
        <f t="shared" si="34"/>
        <v>0.02</v>
      </c>
      <c r="BJ60">
        <f t="shared" si="35"/>
        <v>0.24</v>
      </c>
      <c r="BK60">
        <f t="shared" si="195"/>
        <v>0</v>
      </c>
      <c r="BL60">
        <f t="shared" si="37"/>
        <v>1.0999999999999999E-2</v>
      </c>
      <c r="BM60">
        <f t="shared" si="38"/>
        <v>0</v>
      </c>
      <c r="BN60">
        <f t="shared" si="39"/>
        <v>0</v>
      </c>
      <c r="BO60">
        <f t="shared" si="40"/>
        <v>0</v>
      </c>
      <c r="BP60">
        <f t="shared" si="41"/>
        <v>5.0000000000000001E-3</v>
      </c>
      <c r="BQ60">
        <f t="shared" si="42"/>
        <v>0</v>
      </c>
      <c r="BR60">
        <f t="shared" si="43"/>
        <v>0.35</v>
      </c>
      <c r="BS60">
        <f t="shared" si="44"/>
        <v>7.0000000000000007E-2</v>
      </c>
      <c r="BT60">
        <f t="shared" si="45"/>
        <v>0.2</v>
      </c>
      <c r="BU60">
        <f t="shared" si="46"/>
        <v>0.3</v>
      </c>
      <c r="BV60">
        <f t="shared" si="47"/>
        <v>0.21</v>
      </c>
      <c r="BW60">
        <f t="shared" si="196"/>
        <v>0</v>
      </c>
      <c r="BX60">
        <f t="shared" si="197"/>
        <v>0</v>
      </c>
      <c r="BY60">
        <f t="shared" si="198"/>
        <v>0</v>
      </c>
      <c r="BZ60">
        <f t="shared" si="199"/>
        <v>0</v>
      </c>
      <c r="CA60">
        <v>0.8</v>
      </c>
      <c r="CB60">
        <f t="shared" si="200"/>
        <v>5.0000000000000001E-3</v>
      </c>
      <c r="CC60">
        <f t="shared" si="53"/>
        <v>1.57</v>
      </c>
    </row>
    <row r="61" spans="1:83" x14ac:dyDescent="0.2">
      <c r="A61" t="s">
        <v>344</v>
      </c>
      <c r="C61" t="s">
        <v>404</v>
      </c>
      <c r="D61" t="s">
        <v>19</v>
      </c>
      <c r="E61" t="b">
        <v>1</v>
      </c>
      <c r="F61" t="s">
        <v>151</v>
      </c>
      <c r="G61">
        <v>0</v>
      </c>
      <c r="H61">
        <v>0.11</v>
      </c>
      <c r="I61">
        <v>0.89</v>
      </c>
      <c r="J61">
        <v>0.1</v>
      </c>
      <c r="K61">
        <v>0.2</v>
      </c>
      <c r="L61">
        <v>0.3</v>
      </c>
      <c r="M61">
        <v>0.4</v>
      </c>
      <c r="N61">
        <v>0.4</v>
      </c>
      <c r="O61">
        <v>0.3</v>
      </c>
      <c r="P61">
        <v>0.2</v>
      </c>
      <c r="Q61">
        <v>0.1</v>
      </c>
      <c r="R61" t="b">
        <v>0</v>
      </c>
      <c r="S61">
        <v>0</v>
      </c>
      <c r="T61" t="s">
        <v>122</v>
      </c>
      <c r="W61" t="s">
        <v>122</v>
      </c>
      <c r="X61" t="s">
        <v>276</v>
      </c>
      <c r="Y61" t="s">
        <v>398</v>
      </c>
      <c r="Z61">
        <v>200</v>
      </c>
      <c r="AA61">
        <v>365</v>
      </c>
      <c r="AB61">
        <f t="shared" si="172"/>
        <v>600</v>
      </c>
      <c r="AC61">
        <f t="shared" si="173"/>
        <v>0.1</v>
      </c>
      <c r="AD61">
        <f t="shared" si="3"/>
        <v>0.75</v>
      </c>
      <c r="AE61">
        <f t="shared" si="4"/>
        <v>0.2</v>
      </c>
      <c r="AF61">
        <f t="shared" si="174"/>
        <v>0</v>
      </c>
      <c r="AG61">
        <f t="shared" si="93"/>
        <v>0</v>
      </c>
      <c r="AH61">
        <f t="shared" si="94"/>
        <v>0</v>
      </c>
      <c r="AI61">
        <f t="shared" si="95"/>
        <v>0</v>
      </c>
      <c r="AJ61">
        <f t="shared" si="175"/>
        <v>1</v>
      </c>
      <c r="AK61">
        <f t="shared" si="176"/>
        <v>0</v>
      </c>
      <c r="AL61">
        <f t="shared" si="11"/>
        <v>1.03</v>
      </c>
      <c r="AM61">
        <f t="shared" si="12"/>
        <v>3.0539999999999998</v>
      </c>
      <c r="AN61">
        <f t="shared" si="177"/>
        <v>18.399999999999999</v>
      </c>
      <c r="AO61">
        <f t="shared" si="14"/>
        <v>0.6</v>
      </c>
      <c r="AP61">
        <f t="shared" si="178"/>
        <v>0.5948500000000001</v>
      </c>
      <c r="AQ61">
        <f t="shared" si="179"/>
        <v>0</v>
      </c>
      <c r="AR61">
        <f t="shared" si="180"/>
        <v>1</v>
      </c>
      <c r="AS61">
        <f t="shared" si="181"/>
        <v>9.0270202499999979</v>
      </c>
      <c r="AT61">
        <f t="shared" si="182"/>
        <v>1.0213029780639273</v>
      </c>
      <c r="AU61">
        <f t="shared" si="183"/>
        <v>770</v>
      </c>
      <c r="AV61">
        <f t="shared" si="184"/>
        <v>0.77922077922077926</v>
      </c>
      <c r="AW61">
        <f t="shared" si="22"/>
        <v>6.25</v>
      </c>
      <c r="AX61">
        <f t="shared" si="185"/>
        <v>1.2626203146474679E-3</v>
      </c>
      <c r="AY61">
        <f t="shared" si="186"/>
        <v>1.8054040499999997</v>
      </c>
      <c r="AZ61">
        <f t="shared" si="187"/>
        <v>0.28546836331241399</v>
      </c>
      <c r="BA61" t="str">
        <f t="shared" si="26"/>
        <v/>
      </c>
      <c r="BB61">
        <f t="shared" si="188"/>
        <v>20839.19052180622</v>
      </c>
      <c r="BC61">
        <f t="shared" si="189"/>
        <v>0</v>
      </c>
      <c r="BD61">
        <f t="shared" si="190"/>
        <v>0</v>
      </c>
      <c r="BE61">
        <f t="shared" si="191"/>
        <v>0</v>
      </c>
      <c r="BF61">
        <f t="shared" si="192"/>
        <v>0</v>
      </c>
      <c r="BG61">
        <f t="shared" si="193"/>
        <v>20839.19052180622</v>
      </c>
      <c r="BH61">
        <f t="shared" si="194"/>
        <v>1</v>
      </c>
      <c r="BI61">
        <f t="shared" si="34"/>
        <v>0.02</v>
      </c>
      <c r="BJ61">
        <f t="shared" si="35"/>
        <v>0.24</v>
      </c>
      <c r="BK61">
        <f t="shared" si="195"/>
        <v>0</v>
      </c>
      <c r="BL61">
        <f t="shared" si="37"/>
        <v>1.0999999999999999E-2</v>
      </c>
      <c r="BM61">
        <f t="shared" si="38"/>
        <v>0</v>
      </c>
      <c r="BN61">
        <f t="shared" si="39"/>
        <v>0</v>
      </c>
      <c r="BO61">
        <f t="shared" si="40"/>
        <v>0</v>
      </c>
      <c r="BP61">
        <f t="shared" si="41"/>
        <v>5.0000000000000001E-3</v>
      </c>
      <c r="BQ61">
        <f t="shared" si="42"/>
        <v>0</v>
      </c>
      <c r="BR61">
        <f t="shared" si="43"/>
        <v>0.35</v>
      </c>
      <c r="BS61">
        <f t="shared" si="44"/>
        <v>7.0000000000000007E-2</v>
      </c>
      <c r="BT61">
        <f t="shared" si="45"/>
        <v>0.2</v>
      </c>
      <c r="BU61">
        <f t="shared" si="46"/>
        <v>0.3</v>
      </c>
      <c r="BV61">
        <f t="shared" si="47"/>
        <v>0.21</v>
      </c>
      <c r="BW61">
        <f t="shared" si="196"/>
        <v>0</v>
      </c>
      <c r="BX61">
        <f t="shared" si="197"/>
        <v>0</v>
      </c>
      <c r="BY61">
        <f t="shared" si="198"/>
        <v>0</v>
      </c>
      <c r="BZ61">
        <f t="shared" si="199"/>
        <v>0</v>
      </c>
      <c r="CA61">
        <v>0.8</v>
      </c>
      <c r="CB61">
        <f t="shared" si="200"/>
        <v>5.0000000000000001E-3</v>
      </c>
      <c r="CC61">
        <f t="shared" si="53"/>
        <v>1.57</v>
      </c>
    </row>
    <row r="62" spans="1:83" x14ac:dyDescent="0.2">
      <c r="A62" t="s">
        <v>344</v>
      </c>
      <c r="C62" t="s">
        <v>404</v>
      </c>
      <c r="D62" t="s">
        <v>19</v>
      </c>
      <c r="E62" t="b">
        <v>1</v>
      </c>
      <c r="F62" t="s">
        <v>151</v>
      </c>
      <c r="G62">
        <v>0</v>
      </c>
      <c r="H62">
        <v>0.11</v>
      </c>
      <c r="I62">
        <v>0.89</v>
      </c>
      <c r="J62">
        <v>0.1</v>
      </c>
      <c r="K62">
        <v>0.2</v>
      </c>
      <c r="L62">
        <v>0.3</v>
      </c>
      <c r="M62">
        <v>0.4</v>
      </c>
      <c r="N62">
        <v>0.4</v>
      </c>
      <c r="O62">
        <v>0.3</v>
      </c>
      <c r="P62">
        <v>0.2</v>
      </c>
      <c r="Q62">
        <v>0.1</v>
      </c>
      <c r="R62" t="b">
        <v>0</v>
      </c>
      <c r="S62">
        <v>0</v>
      </c>
      <c r="T62" t="s">
        <v>122</v>
      </c>
      <c r="W62" t="s">
        <v>122</v>
      </c>
      <c r="X62" t="s">
        <v>276</v>
      </c>
      <c r="Y62" t="s">
        <v>399</v>
      </c>
      <c r="Z62">
        <v>200</v>
      </c>
      <c r="AA62">
        <v>84</v>
      </c>
      <c r="AB62">
        <f t="shared" si="172"/>
        <v>225</v>
      </c>
      <c r="AC62" t="str">
        <f t="shared" si="173"/>
        <v/>
      </c>
      <c r="AD62">
        <f t="shared" si="3"/>
        <v>0.75</v>
      </c>
      <c r="AE62">
        <f t="shared" si="4"/>
        <v>0.2</v>
      </c>
      <c r="AF62">
        <f t="shared" si="174"/>
        <v>0</v>
      </c>
      <c r="AG62">
        <f t="shared" si="93"/>
        <v>0</v>
      </c>
      <c r="AH62">
        <f t="shared" si="94"/>
        <v>0</v>
      </c>
      <c r="AI62">
        <f t="shared" si="95"/>
        <v>0</v>
      </c>
      <c r="AJ62">
        <f t="shared" si="175"/>
        <v>1</v>
      </c>
      <c r="AK62">
        <f t="shared" si="176"/>
        <v>0</v>
      </c>
      <c r="AL62">
        <f t="shared" si="11"/>
        <v>1.03</v>
      </c>
      <c r="AM62">
        <f t="shared" si="12"/>
        <v>3.0539999999999998</v>
      </c>
      <c r="AN62">
        <f t="shared" si="177"/>
        <v>18.399999999999999</v>
      </c>
      <c r="AO62">
        <f t="shared" si="14"/>
        <v>0.6</v>
      </c>
      <c r="AP62">
        <f t="shared" si="178"/>
        <v>0.5948500000000001</v>
      </c>
      <c r="AQ62">
        <f t="shared" si="179"/>
        <v>0</v>
      </c>
      <c r="AR62">
        <f t="shared" si="180"/>
        <v>1</v>
      </c>
      <c r="AS62" t="str">
        <f t="shared" si="181"/>
        <v/>
      </c>
      <c r="AT62" t="str">
        <f t="shared" si="182"/>
        <v/>
      </c>
      <c r="AU62" t="str">
        <f t="shared" si="183"/>
        <v/>
      </c>
      <c r="AV62" t="str">
        <f t="shared" si="184"/>
        <v/>
      </c>
      <c r="AW62">
        <f t="shared" si="22"/>
        <v>6.25</v>
      </c>
      <c r="AX62" t="str">
        <f t="shared" si="185"/>
        <v/>
      </c>
      <c r="AY62" t="str">
        <f t="shared" si="186"/>
        <v/>
      </c>
      <c r="AZ62" t="str">
        <f t="shared" si="187"/>
        <v/>
      </c>
      <c r="BA62">
        <f t="shared" si="26"/>
        <v>9.1999999999999998E-3</v>
      </c>
      <c r="BB62">
        <f t="shared" si="188"/>
        <v>154.56</v>
      </c>
      <c r="BC62">
        <f t="shared" si="189"/>
        <v>0</v>
      </c>
      <c r="BD62">
        <f t="shared" si="190"/>
        <v>0</v>
      </c>
      <c r="BE62">
        <f t="shared" si="191"/>
        <v>0</v>
      </c>
      <c r="BF62">
        <f t="shared" si="192"/>
        <v>0</v>
      </c>
      <c r="BG62">
        <f t="shared" si="193"/>
        <v>154.56</v>
      </c>
      <c r="BH62">
        <f t="shared" si="194"/>
        <v>1</v>
      </c>
      <c r="BI62">
        <f t="shared" si="34"/>
        <v>0.02</v>
      </c>
      <c r="BJ62">
        <f t="shared" si="35"/>
        <v>0.24</v>
      </c>
      <c r="BK62">
        <f t="shared" si="195"/>
        <v>0</v>
      </c>
      <c r="BL62">
        <f t="shared" si="37"/>
        <v>1.0999999999999999E-2</v>
      </c>
      <c r="BM62">
        <f t="shared" si="38"/>
        <v>0</v>
      </c>
      <c r="BN62">
        <f t="shared" si="39"/>
        <v>0</v>
      </c>
      <c r="BO62">
        <f t="shared" si="40"/>
        <v>0</v>
      </c>
      <c r="BP62">
        <f t="shared" si="41"/>
        <v>5.0000000000000001E-3</v>
      </c>
      <c r="BQ62">
        <f t="shared" si="42"/>
        <v>0</v>
      </c>
      <c r="BR62">
        <f t="shared" si="43"/>
        <v>0.35</v>
      </c>
      <c r="BS62">
        <f t="shared" si="44"/>
        <v>7.0000000000000007E-2</v>
      </c>
      <c r="BT62">
        <f t="shared" si="45"/>
        <v>0.2</v>
      </c>
      <c r="BU62">
        <f t="shared" si="46"/>
        <v>0.3</v>
      </c>
      <c r="BV62">
        <f t="shared" si="47"/>
        <v>0.21</v>
      </c>
      <c r="BW62">
        <f t="shared" si="196"/>
        <v>0</v>
      </c>
      <c r="BX62">
        <f t="shared" si="197"/>
        <v>0</v>
      </c>
      <c r="BY62">
        <f t="shared" si="198"/>
        <v>0</v>
      </c>
      <c r="BZ62">
        <f t="shared" si="199"/>
        <v>0</v>
      </c>
      <c r="CA62">
        <v>0.8</v>
      </c>
      <c r="CB62">
        <f t="shared" si="200"/>
        <v>5.0000000000000001E-3</v>
      </c>
      <c r="CC62">
        <f t="shared" si="53"/>
        <v>1.57</v>
      </c>
    </row>
    <row r="63" spans="1:83" s="3" customFormat="1" x14ac:dyDescent="0.2">
      <c r="A63" t="s">
        <v>344</v>
      </c>
      <c r="C63" s="3" t="s">
        <v>404</v>
      </c>
      <c r="D63" s="3" t="s">
        <v>19</v>
      </c>
      <c r="E63" s="3" t="b">
        <v>1</v>
      </c>
      <c r="F63" s="3" t="s">
        <v>151</v>
      </c>
      <c r="G63" s="3">
        <v>0</v>
      </c>
      <c r="H63" s="3">
        <v>0.11</v>
      </c>
      <c r="I63" s="3">
        <v>0.89</v>
      </c>
      <c r="J63" s="3">
        <v>0.1</v>
      </c>
      <c r="K63" s="3">
        <v>0.2</v>
      </c>
      <c r="L63" s="3">
        <v>0.3</v>
      </c>
      <c r="M63" s="3">
        <v>0.4</v>
      </c>
      <c r="N63" s="3">
        <v>0.4</v>
      </c>
      <c r="O63" s="3">
        <v>0.3</v>
      </c>
      <c r="P63" s="3">
        <v>0.2</v>
      </c>
      <c r="Q63" s="3">
        <v>0.1</v>
      </c>
      <c r="R63" s="3" t="b">
        <v>0</v>
      </c>
      <c r="S63" s="3">
        <v>0</v>
      </c>
      <c r="T63" s="3" t="s">
        <v>122</v>
      </c>
      <c r="W63" s="3" t="s">
        <v>122</v>
      </c>
      <c r="X63" s="3" t="s">
        <v>276</v>
      </c>
      <c r="Y63" s="3" t="s">
        <v>400</v>
      </c>
      <c r="Z63" s="3">
        <v>200</v>
      </c>
      <c r="AA63" s="3">
        <v>281</v>
      </c>
      <c r="AB63" s="3">
        <f t="shared" si="172"/>
        <v>225</v>
      </c>
      <c r="AC63" s="3">
        <f t="shared" si="173"/>
        <v>0.8</v>
      </c>
      <c r="AD63" s="3">
        <f t="shared" si="3"/>
        <v>0.75</v>
      </c>
      <c r="AE63" s="3">
        <f t="shared" si="4"/>
        <v>0.2</v>
      </c>
      <c r="AF63" s="3">
        <f t="shared" si="174"/>
        <v>0</v>
      </c>
      <c r="AG63" s="3">
        <f t="shared" si="93"/>
        <v>0</v>
      </c>
      <c r="AH63" s="3">
        <f t="shared" si="94"/>
        <v>0</v>
      </c>
      <c r="AI63" s="3">
        <f t="shared" si="95"/>
        <v>0</v>
      </c>
      <c r="AJ63" s="3">
        <f t="shared" si="175"/>
        <v>1</v>
      </c>
      <c r="AK63" s="3">
        <f t="shared" si="176"/>
        <v>0</v>
      </c>
      <c r="AL63" s="3">
        <f t="shared" si="11"/>
        <v>1.03</v>
      </c>
      <c r="AM63" s="3">
        <f t="shared" si="12"/>
        <v>3.0539999999999998</v>
      </c>
      <c r="AN63" s="3">
        <f t="shared" si="177"/>
        <v>18.399999999999999</v>
      </c>
      <c r="AO63" s="3">
        <f t="shared" si="14"/>
        <v>0.6</v>
      </c>
      <c r="AP63" s="3">
        <f t="shared" si="178"/>
        <v>0.5948500000000001</v>
      </c>
      <c r="AQ63" s="3">
        <f t="shared" si="179"/>
        <v>0</v>
      </c>
      <c r="AR63" s="3">
        <f t="shared" si="180"/>
        <v>1</v>
      </c>
      <c r="AS63" s="3">
        <f t="shared" si="181"/>
        <v>5.4143472656250013</v>
      </c>
      <c r="AT63" s="3">
        <f t="shared" si="182"/>
        <v>1.2576570545672616</v>
      </c>
      <c r="AU63" s="3">
        <f t="shared" si="183"/>
        <v>770</v>
      </c>
      <c r="AV63" s="3">
        <f t="shared" si="184"/>
        <v>0.29220779220779219</v>
      </c>
      <c r="AW63" s="3">
        <f t="shared" si="22"/>
        <v>6.25</v>
      </c>
      <c r="AX63" s="3">
        <f t="shared" si="185"/>
        <v>1.9757354894894084E-2</v>
      </c>
      <c r="AY63" s="3">
        <f t="shared" si="186"/>
        <v>1.0828694531250003</v>
      </c>
      <c r="AZ63" s="3">
        <f t="shared" si="187"/>
        <v>0.15247929000170721</v>
      </c>
      <c r="BA63" s="3" t="str">
        <f t="shared" si="26"/>
        <v/>
      </c>
      <c r="BB63" s="3">
        <f t="shared" si="188"/>
        <v>8569.336098095946</v>
      </c>
      <c r="BC63" s="3">
        <f t="shared" si="189"/>
        <v>0</v>
      </c>
      <c r="BD63" s="3">
        <f t="shared" si="190"/>
        <v>0</v>
      </c>
      <c r="BE63" s="3">
        <f t="shared" si="191"/>
        <v>0</v>
      </c>
      <c r="BF63" s="3">
        <f t="shared" si="192"/>
        <v>0</v>
      </c>
      <c r="BG63" s="3">
        <f t="shared" si="193"/>
        <v>8569.336098095946</v>
      </c>
      <c r="BH63" s="3">
        <f t="shared" si="194"/>
        <v>1</v>
      </c>
      <c r="BI63" s="3">
        <f t="shared" si="34"/>
        <v>0.02</v>
      </c>
      <c r="BJ63" s="3">
        <f t="shared" si="35"/>
        <v>0.24</v>
      </c>
      <c r="BK63" s="3">
        <f t="shared" si="195"/>
        <v>0</v>
      </c>
      <c r="BL63" s="3">
        <f t="shared" si="37"/>
        <v>1.0999999999999999E-2</v>
      </c>
      <c r="BM63" s="3">
        <f t="shared" si="38"/>
        <v>0</v>
      </c>
      <c r="BN63" s="3">
        <f t="shared" si="39"/>
        <v>0</v>
      </c>
      <c r="BO63" s="3">
        <f t="shared" si="40"/>
        <v>0</v>
      </c>
      <c r="BP63" s="3">
        <f t="shared" si="41"/>
        <v>5.0000000000000001E-3</v>
      </c>
      <c r="BQ63" s="3">
        <f t="shared" si="42"/>
        <v>0</v>
      </c>
      <c r="BR63" s="3">
        <f t="shared" si="43"/>
        <v>0.35</v>
      </c>
      <c r="BS63" s="3">
        <f t="shared" si="44"/>
        <v>7.0000000000000007E-2</v>
      </c>
      <c r="BT63" s="3">
        <f t="shared" si="45"/>
        <v>0.2</v>
      </c>
      <c r="BU63" s="3">
        <f t="shared" si="46"/>
        <v>0.3</v>
      </c>
      <c r="BV63" s="3">
        <f t="shared" si="47"/>
        <v>0.21</v>
      </c>
      <c r="BW63" s="3">
        <f t="shared" si="196"/>
        <v>0</v>
      </c>
      <c r="BX63" s="3">
        <f t="shared" si="197"/>
        <v>0</v>
      </c>
      <c r="BY63" s="3">
        <f t="shared" si="198"/>
        <v>0</v>
      </c>
      <c r="BZ63" s="3">
        <f t="shared" si="199"/>
        <v>0</v>
      </c>
      <c r="CA63" s="3">
        <v>0.8</v>
      </c>
      <c r="CB63" s="3">
        <f t="shared" si="200"/>
        <v>5.0000000000000001E-3</v>
      </c>
      <c r="CC63" s="3">
        <f t="shared" si="53"/>
        <v>1.57</v>
      </c>
    </row>
    <row r="74" spans="1:16" x14ac:dyDescent="0.2">
      <c r="A74" s="5" t="s">
        <v>268</v>
      </c>
      <c r="B74" s="5" t="s">
        <v>394</v>
      </c>
      <c r="C74" s="5" t="s">
        <v>395</v>
      </c>
      <c r="D74" s="5" t="s">
        <v>397</v>
      </c>
      <c r="E74" s="5" t="s">
        <v>398</v>
      </c>
      <c r="F74" s="5" t="s">
        <v>400</v>
      </c>
      <c r="G74" s="6" t="s">
        <v>396</v>
      </c>
      <c r="H74" s="6" t="s">
        <v>399</v>
      </c>
      <c r="I74" s="5"/>
      <c r="J74" s="5" t="s">
        <v>424</v>
      </c>
      <c r="K74" s="5" t="s">
        <v>425</v>
      </c>
      <c r="L74" s="5" t="s">
        <v>298</v>
      </c>
      <c r="M74" s="5" t="s">
        <v>418</v>
      </c>
      <c r="N74" s="5"/>
      <c r="O74" s="5" t="s">
        <v>426</v>
      </c>
      <c r="P74" s="5" t="s">
        <v>136</v>
      </c>
    </row>
    <row r="75" spans="1:16" x14ac:dyDescent="0.2">
      <c r="A75" t="s">
        <v>269</v>
      </c>
      <c r="B75">
        <v>550</v>
      </c>
      <c r="C75">
        <v>380</v>
      </c>
      <c r="D75">
        <v>155</v>
      </c>
      <c r="E75">
        <v>600</v>
      </c>
      <c r="F75">
        <v>225</v>
      </c>
      <c r="G75" s="2">
        <v>155</v>
      </c>
      <c r="H75" s="2">
        <v>225</v>
      </c>
      <c r="J75" t="s">
        <v>396</v>
      </c>
      <c r="K75">
        <v>1.7600000000000001E-2</v>
      </c>
      <c r="L75">
        <v>0.26850000000000002</v>
      </c>
      <c r="M75">
        <v>1.37E-2</v>
      </c>
      <c r="O75" t="s">
        <v>394</v>
      </c>
      <c r="P75">
        <v>1.1000000000000001</v>
      </c>
    </row>
    <row r="76" spans="1:16" x14ac:dyDescent="0.2">
      <c r="A76" t="s">
        <v>270</v>
      </c>
      <c r="B76">
        <v>600</v>
      </c>
      <c r="C76">
        <v>415</v>
      </c>
      <c r="D76">
        <v>170</v>
      </c>
      <c r="E76">
        <v>600</v>
      </c>
      <c r="F76">
        <v>225</v>
      </c>
      <c r="G76" s="2">
        <v>170</v>
      </c>
      <c r="H76" s="2">
        <v>225</v>
      </c>
      <c r="J76" t="s">
        <v>399</v>
      </c>
      <c r="K76">
        <v>2.0400000000000001E-2</v>
      </c>
      <c r="L76">
        <v>0.30030000000000001</v>
      </c>
      <c r="M76">
        <v>9.1999999999999998E-3</v>
      </c>
      <c r="O76" t="s">
        <v>348</v>
      </c>
      <c r="P76">
        <v>1</v>
      </c>
    </row>
    <row r="77" spans="1:16" x14ac:dyDescent="0.2">
      <c r="A77" t="s">
        <v>271</v>
      </c>
      <c r="B77">
        <v>650</v>
      </c>
      <c r="C77">
        <v>450</v>
      </c>
      <c r="D77">
        <v>185</v>
      </c>
      <c r="E77">
        <v>600</v>
      </c>
      <c r="F77">
        <v>225</v>
      </c>
      <c r="G77" s="2">
        <v>185</v>
      </c>
      <c r="H77" s="2">
        <v>225</v>
      </c>
    </row>
    <row r="78" spans="1:16" x14ac:dyDescent="0.2">
      <c r="A78" t="s">
        <v>272</v>
      </c>
      <c r="B78">
        <v>500</v>
      </c>
      <c r="C78">
        <v>350</v>
      </c>
      <c r="D78">
        <v>145</v>
      </c>
      <c r="E78">
        <v>600</v>
      </c>
      <c r="F78">
        <v>225</v>
      </c>
      <c r="G78" s="2">
        <v>145</v>
      </c>
      <c r="H78" s="2">
        <v>225</v>
      </c>
      <c r="I78" s="5"/>
      <c r="J78" s="5" t="s">
        <v>427</v>
      </c>
      <c r="K78" s="5" t="s">
        <v>297</v>
      </c>
      <c r="M78" s="5" t="s">
        <v>428</v>
      </c>
      <c r="N78" s="5" t="s">
        <v>124</v>
      </c>
      <c r="O78" s="5" t="s">
        <v>429</v>
      </c>
      <c r="P78" s="5" t="s">
        <v>125</v>
      </c>
    </row>
    <row r="79" spans="1:16" x14ac:dyDescent="0.2">
      <c r="A79" t="s">
        <v>273</v>
      </c>
      <c r="B79">
        <v>400</v>
      </c>
      <c r="C79">
        <v>275</v>
      </c>
      <c r="D79">
        <v>115</v>
      </c>
      <c r="E79">
        <v>600</v>
      </c>
      <c r="F79">
        <v>225</v>
      </c>
      <c r="G79" s="2">
        <v>115</v>
      </c>
      <c r="H79" s="2">
        <v>225</v>
      </c>
      <c r="I79" s="7"/>
      <c r="J79" s="7" t="s">
        <v>394</v>
      </c>
      <c r="K79" s="7">
        <v>365</v>
      </c>
      <c r="M79" t="s">
        <v>129</v>
      </c>
      <c r="N79">
        <v>0.89</v>
      </c>
      <c r="O79">
        <v>0.11</v>
      </c>
      <c r="P79">
        <v>0</v>
      </c>
    </row>
    <row r="80" spans="1:16" x14ac:dyDescent="0.2">
      <c r="A80" t="s">
        <v>274</v>
      </c>
      <c r="B80">
        <v>450</v>
      </c>
      <c r="C80">
        <v>315</v>
      </c>
      <c r="D80">
        <v>130</v>
      </c>
      <c r="E80">
        <v>600</v>
      </c>
      <c r="F80">
        <v>225</v>
      </c>
      <c r="G80" s="2">
        <v>130</v>
      </c>
      <c r="H80" s="2">
        <v>225</v>
      </c>
      <c r="I80" s="7"/>
      <c r="J80" s="7" t="s">
        <v>398</v>
      </c>
      <c r="K80" s="7">
        <v>365</v>
      </c>
      <c r="M80" t="s">
        <v>130</v>
      </c>
      <c r="N80">
        <v>0.79</v>
      </c>
      <c r="O80">
        <v>0.11</v>
      </c>
      <c r="P80">
        <v>0.1</v>
      </c>
    </row>
    <row r="81" spans="1:16" x14ac:dyDescent="0.2">
      <c r="A81" t="s">
        <v>275</v>
      </c>
      <c r="B81">
        <v>540</v>
      </c>
      <c r="C81">
        <v>375</v>
      </c>
      <c r="D81">
        <v>150</v>
      </c>
      <c r="E81">
        <v>600</v>
      </c>
      <c r="F81">
        <v>225</v>
      </c>
      <c r="G81" s="2">
        <v>150</v>
      </c>
      <c r="H81" s="2">
        <v>225</v>
      </c>
      <c r="I81" s="7"/>
      <c r="J81" s="7" t="s">
        <v>395</v>
      </c>
      <c r="K81" s="7">
        <v>365</v>
      </c>
      <c r="M81" t="s">
        <v>132</v>
      </c>
      <c r="N81">
        <v>0.53400000000000003</v>
      </c>
      <c r="O81">
        <v>0.11</v>
      </c>
      <c r="P81">
        <v>0.35599999999999998</v>
      </c>
    </row>
    <row r="82" spans="1:16" x14ac:dyDescent="0.2">
      <c r="A82" t="s">
        <v>276</v>
      </c>
      <c r="B82">
        <v>480</v>
      </c>
      <c r="C82">
        <v>335</v>
      </c>
      <c r="D82">
        <v>140</v>
      </c>
      <c r="E82">
        <v>600</v>
      </c>
      <c r="F82">
        <v>225</v>
      </c>
      <c r="G82" s="2">
        <v>140</v>
      </c>
      <c r="H82" s="2">
        <v>225</v>
      </c>
      <c r="I82" s="7"/>
      <c r="J82" s="7" t="s">
        <v>397</v>
      </c>
      <c r="K82" s="7">
        <v>281</v>
      </c>
      <c r="M82" t="s">
        <v>151</v>
      </c>
      <c r="N82">
        <v>0</v>
      </c>
      <c r="O82">
        <v>0.11</v>
      </c>
      <c r="P82">
        <v>0.89</v>
      </c>
    </row>
    <row r="83" spans="1:16" x14ac:dyDescent="0.2">
      <c r="A83" t="s">
        <v>277</v>
      </c>
      <c r="B83">
        <v>600</v>
      </c>
      <c r="C83">
        <v>415</v>
      </c>
      <c r="D83">
        <v>170</v>
      </c>
      <c r="E83">
        <v>600</v>
      </c>
      <c r="F83">
        <v>225</v>
      </c>
      <c r="G83" s="2">
        <v>170</v>
      </c>
      <c r="H83" s="2">
        <v>225</v>
      </c>
      <c r="I83" s="7"/>
      <c r="J83" s="7" t="s">
        <v>400</v>
      </c>
      <c r="K83" s="7">
        <v>281</v>
      </c>
    </row>
    <row r="84" spans="1:16" x14ac:dyDescent="0.2">
      <c r="A84" t="s">
        <v>278</v>
      </c>
      <c r="B84">
        <v>550</v>
      </c>
      <c r="C84">
        <v>375</v>
      </c>
      <c r="D84">
        <v>150</v>
      </c>
      <c r="E84">
        <v>600</v>
      </c>
      <c r="F84">
        <v>225</v>
      </c>
      <c r="G84" s="2">
        <v>150</v>
      </c>
      <c r="H84" s="2">
        <v>225</v>
      </c>
      <c r="I84" s="7"/>
      <c r="J84" s="7" t="s">
        <v>396</v>
      </c>
      <c r="K84" s="7">
        <v>84</v>
      </c>
    </row>
    <row r="85" spans="1:16" x14ac:dyDescent="0.2">
      <c r="H85" s="7"/>
      <c r="I85" s="7"/>
      <c r="J85" s="7" t="s">
        <v>399</v>
      </c>
      <c r="K85" s="7">
        <v>84</v>
      </c>
    </row>
    <row r="86" spans="1:16" x14ac:dyDescent="0.2">
      <c r="A86" s="5" t="s">
        <v>427</v>
      </c>
      <c r="B86" s="5" t="s">
        <v>394</v>
      </c>
      <c r="C86" s="5" t="s">
        <v>395</v>
      </c>
      <c r="D86" s="5" t="s">
        <v>397</v>
      </c>
      <c r="E86" s="5" t="s">
        <v>398</v>
      </c>
      <c r="F86" s="5" t="s">
        <v>400</v>
      </c>
      <c r="G86" s="5"/>
      <c r="H86" s="5"/>
    </row>
    <row r="87" spans="1:16" x14ac:dyDescent="0.2">
      <c r="A87" t="s">
        <v>430</v>
      </c>
      <c r="B87">
        <v>590</v>
      </c>
      <c r="C87">
        <v>590</v>
      </c>
      <c r="D87">
        <v>590</v>
      </c>
      <c r="E87">
        <v>770</v>
      </c>
      <c r="F87">
        <v>770</v>
      </c>
    </row>
    <row r="88" spans="1:16" x14ac:dyDescent="0.2">
      <c r="A88" t="s">
        <v>279</v>
      </c>
      <c r="B88">
        <v>1.6E-2</v>
      </c>
      <c r="C88">
        <v>0.6</v>
      </c>
      <c r="D88">
        <v>0.56999999999999995</v>
      </c>
      <c r="E88">
        <v>0.1</v>
      </c>
      <c r="F88">
        <v>0.8</v>
      </c>
    </row>
    <row r="90" spans="1:16" x14ac:dyDescent="0.2">
      <c r="E90" t="s">
        <v>431</v>
      </c>
    </row>
    <row r="91" spans="1:16" x14ac:dyDescent="0.2">
      <c r="A91" s="8" t="s">
        <v>432</v>
      </c>
      <c r="B91" s="8" t="s">
        <v>367</v>
      </c>
      <c r="C91" s="8" t="s">
        <v>153</v>
      </c>
      <c r="D91" s="8" t="s">
        <v>433</v>
      </c>
      <c r="E91" s="9" t="s">
        <v>344</v>
      </c>
      <c r="F91" s="9" t="s">
        <v>406</v>
      </c>
      <c r="G91" s="9" t="s">
        <v>350</v>
      </c>
      <c r="H91" s="9" t="s">
        <v>349</v>
      </c>
      <c r="I91" s="9" t="s">
        <v>405</v>
      </c>
      <c r="J91" s="9" t="s">
        <v>408</v>
      </c>
      <c r="K91" s="9" t="s">
        <v>351</v>
      </c>
      <c r="L91" s="9" t="s">
        <v>403</v>
      </c>
    </row>
    <row r="92" spans="1:16" x14ac:dyDescent="0.2">
      <c r="A92" s="8" t="s">
        <v>434</v>
      </c>
      <c r="B92" s="10">
        <v>1</v>
      </c>
      <c r="C92" s="8">
        <v>0</v>
      </c>
      <c r="D92" s="8">
        <v>0.35</v>
      </c>
      <c r="E92" s="11">
        <v>0.76</v>
      </c>
      <c r="F92" s="11">
        <v>0.72</v>
      </c>
      <c r="G92" s="11">
        <v>0.78</v>
      </c>
      <c r="H92" s="11">
        <v>0.8</v>
      </c>
      <c r="I92" s="11">
        <v>0.73</v>
      </c>
      <c r="J92" s="11">
        <v>0.74</v>
      </c>
      <c r="K92" s="11">
        <v>0.76</v>
      </c>
      <c r="L92" s="11">
        <v>0.69</v>
      </c>
    </row>
    <row r="93" spans="1:16" x14ac:dyDescent="0.2">
      <c r="A93" s="8" t="s">
        <v>435</v>
      </c>
      <c r="B93" s="10" t="s">
        <v>436</v>
      </c>
      <c r="C93" s="8">
        <v>0</v>
      </c>
      <c r="D93" s="8">
        <v>7.0000000000000007E-2</v>
      </c>
      <c r="E93" s="11">
        <v>5.0000000000000001E-3</v>
      </c>
      <c r="F93" s="11">
        <v>5.0000000000000001E-3</v>
      </c>
      <c r="G93" s="11">
        <v>5.0000000000000001E-3</v>
      </c>
      <c r="H93" s="11">
        <v>0.01</v>
      </c>
      <c r="I93" s="11">
        <v>5.0000000000000001E-3</v>
      </c>
      <c r="J93" s="11">
        <v>5.0000000000000001E-3</v>
      </c>
      <c r="K93" s="11">
        <v>5.0000000000000001E-3</v>
      </c>
      <c r="L93" s="11">
        <v>1E-3</v>
      </c>
    </row>
    <row r="94" spans="1:16" x14ac:dyDescent="0.2">
      <c r="A94" s="8" t="s">
        <v>437</v>
      </c>
      <c r="B94" s="10" t="s">
        <v>438</v>
      </c>
      <c r="C94" s="8">
        <v>0</v>
      </c>
      <c r="D94" s="8">
        <v>0.2</v>
      </c>
      <c r="E94" s="11">
        <v>0.18</v>
      </c>
      <c r="F94" s="11">
        <v>0.15</v>
      </c>
      <c r="G94" s="11">
        <v>0.24</v>
      </c>
      <c r="H94" s="11">
        <v>0.5</v>
      </c>
      <c r="I94" s="11">
        <v>0.17</v>
      </c>
      <c r="J94" s="11">
        <v>0.17</v>
      </c>
      <c r="K94" s="11">
        <v>0.18</v>
      </c>
      <c r="L94" s="11">
        <v>0.13</v>
      </c>
    </row>
    <row r="95" spans="1:16" x14ac:dyDescent="0.2">
      <c r="A95" s="8" t="s">
        <v>439</v>
      </c>
      <c r="B95" s="10">
        <v>4</v>
      </c>
      <c r="C95" s="8">
        <v>5.0000000000000001E-3</v>
      </c>
      <c r="D95" s="8">
        <v>0.3</v>
      </c>
      <c r="E95" s="11">
        <v>0.02</v>
      </c>
      <c r="F95" s="11">
        <v>0.02</v>
      </c>
      <c r="G95" s="11">
        <v>0.02</v>
      </c>
      <c r="H95" s="11">
        <v>0.02</v>
      </c>
      <c r="I95" s="11">
        <v>0.02</v>
      </c>
      <c r="J95" s="11">
        <v>0.02</v>
      </c>
      <c r="K95" s="11">
        <v>0.02</v>
      </c>
      <c r="L95" s="11">
        <v>0.02</v>
      </c>
    </row>
    <row r="96" spans="1:16" x14ac:dyDescent="0.2">
      <c r="A96" s="8" t="s">
        <v>440</v>
      </c>
      <c r="B96" s="10">
        <v>14</v>
      </c>
      <c r="C96" s="8">
        <v>0</v>
      </c>
      <c r="D96" s="8">
        <v>0</v>
      </c>
      <c r="E96" s="11">
        <v>0.01</v>
      </c>
      <c r="F96" s="11">
        <v>0.01</v>
      </c>
      <c r="G96" s="11">
        <v>0.01</v>
      </c>
      <c r="H96" s="11">
        <v>0.02</v>
      </c>
      <c r="I96" s="11">
        <v>0.01</v>
      </c>
      <c r="J96" s="11">
        <v>0.01</v>
      </c>
      <c r="K96" s="11">
        <v>0.01</v>
      </c>
      <c r="L96" s="11">
        <v>0.01</v>
      </c>
    </row>
    <row r="98" spans="1:13" x14ac:dyDescent="0.2">
      <c r="E98" s="7" t="s">
        <v>441</v>
      </c>
      <c r="F98" s="7"/>
      <c r="G98" s="7"/>
      <c r="H98" s="7"/>
      <c r="I98" s="7"/>
      <c r="J98" s="7"/>
      <c r="K98" s="7"/>
      <c r="L98" s="7"/>
    </row>
    <row r="99" spans="1:13" x14ac:dyDescent="0.2">
      <c r="A99" s="5" t="s">
        <v>368</v>
      </c>
      <c r="B99" s="5" t="s">
        <v>442</v>
      </c>
      <c r="E99" s="5" t="s">
        <v>342</v>
      </c>
      <c r="F99" s="5" t="s">
        <v>434</v>
      </c>
      <c r="G99" s="5" t="s">
        <v>435</v>
      </c>
      <c r="H99" s="5" t="s">
        <v>437</v>
      </c>
      <c r="I99" s="5" t="s">
        <v>439</v>
      </c>
      <c r="J99" s="5"/>
      <c r="K99" s="5" t="s">
        <v>443</v>
      </c>
      <c r="L99" s="5"/>
      <c r="M99" s="5"/>
    </row>
    <row r="100" spans="1:13" x14ac:dyDescent="0.2">
      <c r="A100" t="s">
        <v>393</v>
      </c>
      <c r="B100">
        <v>1.8E-3</v>
      </c>
      <c r="E100" s="12" t="s">
        <v>444</v>
      </c>
      <c r="F100" s="7">
        <v>0.66</v>
      </c>
      <c r="G100" s="7">
        <v>1E-3</v>
      </c>
      <c r="H100" s="7">
        <v>0.1</v>
      </c>
      <c r="I100" s="7">
        <v>0.02</v>
      </c>
      <c r="J100" s="7"/>
      <c r="K100" s="7"/>
      <c r="L100" s="7"/>
      <c r="M100" s="7"/>
    </row>
    <row r="101" spans="1:13" x14ac:dyDescent="0.2">
      <c r="A101" t="s">
        <v>402</v>
      </c>
      <c r="B101">
        <v>5.8999999999999999E-3</v>
      </c>
      <c r="E101" s="12">
        <v>11</v>
      </c>
      <c r="F101" s="7">
        <v>0.68</v>
      </c>
      <c r="G101" s="7">
        <v>1E-3</v>
      </c>
      <c r="H101" s="7">
        <v>0.11</v>
      </c>
      <c r="I101" s="7">
        <v>0.02</v>
      </c>
      <c r="J101" s="7"/>
      <c r="K101" s="7"/>
      <c r="L101" s="7"/>
      <c r="M101" s="7"/>
    </row>
    <row r="102" spans="1:13" x14ac:dyDescent="0.2">
      <c r="A102" t="s">
        <v>404</v>
      </c>
      <c r="B102">
        <v>7.0000000000000001E-3</v>
      </c>
      <c r="E102" s="12">
        <v>12</v>
      </c>
      <c r="F102" s="7">
        <v>0.7</v>
      </c>
      <c r="G102" s="7">
        <v>1E-3</v>
      </c>
      <c r="H102" s="7">
        <v>0.13</v>
      </c>
      <c r="I102" s="7">
        <v>0.02</v>
      </c>
      <c r="J102" s="7"/>
      <c r="K102" s="7"/>
      <c r="L102" s="7"/>
      <c r="M102" s="7"/>
    </row>
    <row r="103" spans="1:13" x14ac:dyDescent="0.2">
      <c r="A103" t="s">
        <v>407</v>
      </c>
      <c r="B103">
        <v>2.8999999999999998E-3</v>
      </c>
      <c r="E103" s="12">
        <v>13</v>
      </c>
      <c r="F103" s="7">
        <v>0.71</v>
      </c>
      <c r="G103" s="7">
        <v>1E-3</v>
      </c>
      <c r="H103" s="7">
        <v>0.14000000000000001</v>
      </c>
      <c r="I103" s="7">
        <v>0.02</v>
      </c>
      <c r="J103" s="7"/>
      <c r="K103" s="7"/>
      <c r="L103" s="7"/>
      <c r="M103" s="7"/>
    </row>
    <row r="104" spans="1:13" x14ac:dyDescent="0.2">
      <c r="A104" t="s">
        <v>401</v>
      </c>
      <c r="B104">
        <v>8.0000000000000002E-3</v>
      </c>
      <c r="E104" s="12">
        <v>14</v>
      </c>
      <c r="F104" s="7">
        <v>0.73</v>
      </c>
      <c r="G104" s="7">
        <v>1E-3</v>
      </c>
      <c r="H104" s="7">
        <v>0.15</v>
      </c>
      <c r="I104" s="7">
        <v>0.02</v>
      </c>
      <c r="J104" s="7"/>
      <c r="K104" s="7"/>
      <c r="L104" s="7"/>
      <c r="M104" s="7"/>
    </row>
    <row r="105" spans="1:13" x14ac:dyDescent="0.2">
      <c r="E105" s="13">
        <v>15</v>
      </c>
      <c r="F105" s="7">
        <v>0.74</v>
      </c>
      <c r="G105" s="7">
        <v>5.0000000000000001E-3</v>
      </c>
      <c r="H105" s="7">
        <v>0.17</v>
      </c>
      <c r="I105" s="7">
        <v>0.02</v>
      </c>
      <c r="J105" s="7"/>
      <c r="K105" s="7"/>
      <c r="L105" s="7"/>
      <c r="M105" s="7"/>
    </row>
    <row r="106" spans="1:13" x14ac:dyDescent="0.2">
      <c r="A106" s="5" t="s">
        <v>352</v>
      </c>
      <c r="B106" s="5" t="s">
        <v>445</v>
      </c>
      <c r="E106" s="13">
        <v>16</v>
      </c>
      <c r="F106" s="7">
        <v>0.75</v>
      </c>
      <c r="G106" s="7">
        <v>5.0000000000000001E-3</v>
      </c>
      <c r="H106" s="7">
        <v>0.18</v>
      </c>
      <c r="I106" s="7">
        <v>0.02</v>
      </c>
      <c r="J106" s="7"/>
      <c r="K106" s="7"/>
      <c r="L106" s="7"/>
      <c r="M106" s="7"/>
    </row>
    <row r="107" spans="1:13" x14ac:dyDescent="0.2">
      <c r="A107" t="s">
        <v>16</v>
      </c>
      <c r="B107">
        <v>6.0000000000000001E-3</v>
      </c>
      <c r="E107" s="13">
        <v>17</v>
      </c>
      <c r="F107" s="7">
        <v>0.76</v>
      </c>
      <c r="G107" s="7">
        <v>5.0000000000000001E-3</v>
      </c>
      <c r="H107" s="7">
        <v>0.2</v>
      </c>
      <c r="I107" s="7">
        <v>0.02</v>
      </c>
      <c r="J107" s="7"/>
      <c r="K107" s="7"/>
      <c r="L107" s="7"/>
      <c r="M107" s="7"/>
    </row>
    <row r="108" spans="1:13" x14ac:dyDescent="0.2">
      <c r="A108" t="s">
        <v>19</v>
      </c>
      <c r="B108">
        <v>5.0000000000000001E-3</v>
      </c>
      <c r="E108" s="13">
        <v>18</v>
      </c>
      <c r="F108" s="7">
        <v>0.77</v>
      </c>
      <c r="G108" s="7">
        <v>5.0000000000000001E-3</v>
      </c>
      <c r="H108" s="7">
        <v>0.22</v>
      </c>
      <c r="I108" s="7">
        <v>0.02</v>
      </c>
      <c r="J108" s="7"/>
      <c r="K108" s="7"/>
      <c r="L108" s="7"/>
      <c r="M108" s="7"/>
    </row>
    <row r="109" spans="1:13" x14ac:dyDescent="0.2">
      <c r="E109" s="13">
        <v>19</v>
      </c>
      <c r="F109" s="7">
        <v>0.78</v>
      </c>
      <c r="G109" s="7">
        <v>5.0000000000000001E-3</v>
      </c>
      <c r="H109" s="7">
        <v>0.24</v>
      </c>
      <c r="I109" s="7">
        <v>0.02</v>
      </c>
      <c r="J109" s="7"/>
      <c r="K109" s="7"/>
      <c r="L109" s="7"/>
      <c r="M109" s="7"/>
    </row>
    <row r="110" spans="1:13" x14ac:dyDescent="0.2">
      <c r="A110" s="5" t="s">
        <v>446</v>
      </c>
      <c r="E110" s="13">
        <v>20</v>
      </c>
      <c r="F110" s="7">
        <v>0.78</v>
      </c>
      <c r="G110" s="7">
        <v>5.0000000000000001E-3</v>
      </c>
      <c r="H110" s="7">
        <v>0.26</v>
      </c>
      <c r="I110" s="7">
        <v>0.02</v>
      </c>
      <c r="J110" s="7"/>
      <c r="K110" s="7"/>
      <c r="L110" s="7"/>
      <c r="M110" s="7"/>
    </row>
    <row r="111" spans="1:13" x14ac:dyDescent="0.2">
      <c r="A111" t="s">
        <v>447</v>
      </c>
      <c r="B111">
        <v>0.2</v>
      </c>
      <c r="E111" s="13">
        <v>21</v>
      </c>
      <c r="F111" s="7">
        <v>0.78</v>
      </c>
      <c r="G111" s="7">
        <v>5.0000000000000001E-3</v>
      </c>
      <c r="H111" s="7">
        <v>0.28999999999999998</v>
      </c>
      <c r="I111" s="7">
        <v>0.02</v>
      </c>
      <c r="J111" s="7"/>
      <c r="K111" s="7"/>
      <c r="L111" s="7"/>
      <c r="M111" s="7"/>
    </row>
    <row r="112" spans="1:13" x14ac:dyDescent="0.2">
      <c r="A112" t="s">
        <v>390</v>
      </c>
      <c r="B112">
        <v>4</v>
      </c>
      <c r="E112" s="13">
        <v>22</v>
      </c>
      <c r="F112" s="7">
        <v>0.78</v>
      </c>
      <c r="G112" s="7">
        <v>5.0000000000000001E-3</v>
      </c>
      <c r="H112" s="7">
        <v>0.31</v>
      </c>
      <c r="I112" s="7">
        <v>0.02</v>
      </c>
      <c r="J112" s="7"/>
      <c r="K112" s="7"/>
      <c r="L112" s="7"/>
      <c r="M112" s="7"/>
    </row>
    <row r="113" spans="1:13" x14ac:dyDescent="0.2">
      <c r="A113" t="s">
        <v>391</v>
      </c>
      <c r="B113">
        <v>3.3</v>
      </c>
      <c r="E113" s="13">
        <v>23</v>
      </c>
      <c r="F113" s="7">
        <v>0.79</v>
      </c>
      <c r="G113" s="7">
        <v>5.0000000000000001E-3</v>
      </c>
      <c r="H113" s="7">
        <v>0.34</v>
      </c>
      <c r="I113" s="7">
        <v>0.02</v>
      </c>
      <c r="J113" s="7"/>
      <c r="K113" s="7"/>
      <c r="L113" s="7"/>
      <c r="M113" s="7"/>
    </row>
    <row r="114" spans="1:13" x14ac:dyDescent="0.2">
      <c r="A114" t="s">
        <v>145</v>
      </c>
      <c r="B114">
        <v>3.0539999999999998</v>
      </c>
      <c r="E114" s="13">
        <v>24</v>
      </c>
      <c r="F114" s="7">
        <v>0.79</v>
      </c>
      <c r="G114" s="7">
        <v>5.0000000000000001E-3</v>
      </c>
      <c r="H114" s="7">
        <v>0.37</v>
      </c>
      <c r="I114" s="7">
        <v>0.02</v>
      </c>
      <c r="J114" s="7"/>
      <c r="K114" s="7"/>
      <c r="L114" s="7"/>
      <c r="M114" s="7"/>
    </row>
    <row r="115" spans="1:13" x14ac:dyDescent="0.2">
      <c r="A115" t="s">
        <v>146</v>
      </c>
      <c r="B115">
        <v>18.399999999999999</v>
      </c>
      <c r="E115" s="13">
        <v>25</v>
      </c>
      <c r="F115" s="7">
        <v>0.79</v>
      </c>
      <c r="G115" s="7">
        <v>5.0000000000000001E-3</v>
      </c>
      <c r="H115" s="7">
        <v>0.41</v>
      </c>
      <c r="I115" s="7">
        <v>0.02</v>
      </c>
      <c r="J115" s="7"/>
      <c r="K115" s="7"/>
      <c r="L115" s="7"/>
      <c r="M115" s="7"/>
    </row>
    <row r="116" spans="1:13" x14ac:dyDescent="0.2">
      <c r="A116" t="s">
        <v>147</v>
      </c>
      <c r="B116">
        <v>0.6</v>
      </c>
      <c r="E116" s="14">
        <v>26</v>
      </c>
      <c r="F116" s="7">
        <v>0.79</v>
      </c>
      <c r="G116" s="7">
        <v>0.01</v>
      </c>
      <c r="H116" s="7">
        <v>0.44</v>
      </c>
      <c r="I116" s="7">
        <v>0.02</v>
      </c>
      <c r="J116" s="7"/>
      <c r="K116" s="7"/>
      <c r="L116" s="7"/>
      <c r="M116" s="7"/>
    </row>
    <row r="117" spans="1:13" x14ac:dyDescent="0.2">
      <c r="A117" t="s">
        <v>448</v>
      </c>
      <c r="B117">
        <v>1.03</v>
      </c>
      <c r="E117" s="14">
        <v>27</v>
      </c>
      <c r="F117" s="7">
        <v>0.8</v>
      </c>
      <c r="G117" s="7">
        <v>0.01</v>
      </c>
      <c r="H117" s="7">
        <v>0.48</v>
      </c>
      <c r="I117" s="7">
        <v>0.02</v>
      </c>
      <c r="J117" s="7"/>
      <c r="K117" s="7"/>
      <c r="L117" s="7"/>
      <c r="M117" s="7"/>
    </row>
    <row r="118" spans="1:13" x14ac:dyDescent="0.2">
      <c r="A118" t="s">
        <v>449</v>
      </c>
      <c r="B118">
        <v>0.75</v>
      </c>
      <c r="E118" s="14" t="s">
        <v>450</v>
      </c>
      <c r="F118" s="7">
        <v>0.8</v>
      </c>
      <c r="G118" s="7">
        <v>0.01</v>
      </c>
      <c r="H118" s="7">
        <v>0.5</v>
      </c>
      <c r="I118" s="7">
        <v>0.02</v>
      </c>
      <c r="J118" s="7"/>
      <c r="K118" s="7"/>
      <c r="L118" s="7"/>
      <c r="M118" s="7"/>
    </row>
    <row r="119" spans="1:13" x14ac:dyDescent="0.2">
      <c r="A119" t="s">
        <v>451</v>
      </c>
      <c r="B119">
        <v>0.2</v>
      </c>
    </row>
    <row r="120" spans="1:13" x14ac:dyDescent="0.2">
      <c r="A120" t="s">
        <v>365</v>
      </c>
      <c r="B120">
        <v>0.08</v>
      </c>
    </row>
    <row r="121" spans="1:13" x14ac:dyDescent="0.2">
      <c r="A121" t="s">
        <v>452</v>
      </c>
      <c r="B121">
        <v>0.24</v>
      </c>
    </row>
    <row r="122" spans="1:13" x14ac:dyDescent="0.2">
      <c r="A122" t="s">
        <v>453</v>
      </c>
      <c r="B122">
        <v>0.6784</v>
      </c>
    </row>
    <row r="123" spans="1:13" x14ac:dyDescent="0.2">
      <c r="A123" t="s">
        <v>454</v>
      </c>
      <c r="B123">
        <f>[1]!common_cn2o</f>
        <v>1.57</v>
      </c>
    </row>
    <row r="124" spans="1:13" x14ac:dyDescent="0.2">
      <c r="A124" t="s">
        <v>455</v>
      </c>
      <c r="B124">
        <v>0.21</v>
      </c>
    </row>
    <row r="125" spans="1:13" x14ac:dyDescent="0.2">
      <c r="A125" t="s">
        <v>456</v>
      </c>
      <c r="B125">
        <v>1.0999999999999999E-2</v>
      </c>
    </row>
    <row r="126" spans="1:13" x14ac:dyDescent="0.2">
      <c r="A126" t="s">
        <v>44</v>
      </c>
      <c r="B126">
        <v>0.24</v>
      </c>
    </row>
    <row r="127" spans="1:13" x14ac:dyDescent="0.2">
      <c r="A127" t="s">
        <v>149</v>
      </c>
      <c r="B127">
        <v>0.02</v>
      </c>
    </row>
    <row r="128" spans="1:13" x14ac:dyDescent="0.2">
      <c r="A128" t="s">
        <v>457</v>
      </c>
      <c r="B128">
        <v>6.25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CM86"/>
  <sheetViews>
    <sheetView topLeftCell="BV22" workbookViewId="0">
      <selection activeCell="D4" sqref="D4"/>
    </sheetView>
  </sheetViews>
  <sheetFormatPr baseColWidth="10" defaultRowHeight="15" x14ac:dyDescent="0.2"/>
  <cols>
    <col min="1" max="1" width="25.5" style="32" customWidth="1"/>
    <col min="2" max="4" width="10.83203125" style="32"/>
    <col min="5" max="5" width="18.33203125" style="32" customWidth="1"/>
    <col min="6" max="13" width="10.83203125" style="32"/>
    <col min="14" max="19" width="14.33203125" style="32" customWidth="1"/>
    <col min="20" max="21" width="17.83203125" style="32" customWidth="1"/>
    <col min="22" max="32" width="14.33203125" style="32" customWidth="1"/>
    <col min="33" max="37" width="28.1640625" style="32" customWidth="1"/>
    <col min="38" max="38" width="10.83203125" style="32"/>
    <col min="39" max="39" width="14" style="32" customWidth="1"/>
    <col min="40" max="41" width="10.83203125" style="32"/>
    <col min="42" max="42" width="12.5" style="32" customWidth="1"/>
    <col min="43" max="48" width="10.83203125" style="32"/>
    <col min="49" max="49" width="32.83203125" style="32" customWidth="1"/>
    <col min="50" max="50" width="10.83203125" style="32"/>
    <col min="51" max="51" width="19.5" style="32" customWidth="1"/>
    <col min="52" max="52" width="16" style="32" customWidth="1"/>
    <col min="53" max="16384" width="10.83203125" style="32"/>
  </cols>
  <sheetData>
    <row r="4" spans="1:91" x14ac:dyDescent="0.2">
      <c r="BU4" s="32" t="s">
        <v>123</v>
      </c>
    </row>
    <row r="5" spans="1:91" x14ac:dyDescent="0.2">
      <c r="L5" s="32" t="s">
        <v>154</v>
      </c>
      <c r="M5" s="32" t="s">
        <v>155</v>
      </c>
      <c r="N5" s="32" t="s">
        <v>156</v>
      </c>
      <c r="Z5" s="32" t="s">
        <v>157</v>
      </c>
      <c r="BL5" s="32" t="s">
        <v>158</v>
      </c>
      <c r="BQ5" s="32" t="s">
        <v>159</v>
      </c>
      <c r="CB5" s="33" t="s">
        <v>188</v>
      </c>
      <c r="CG5" s="32" t="s">
        <v>201</v>
      </c>
      <c r="CH5" s="32" t="s">
        <v>202</v>
      </c>
      <c r="CI5" s="32" t="s">
        <v>203</v>
      </c>
      <c r="CL5" s="32" t="s">
        <v>216</v>
      </c>
      <c r="CM5" s="32" t="s">
        <v>217</v>
      </c>
    </row>
    <row r="6" spans="1:91" x14ac:dyDescent="0.2">
      <c r="B6" s="32" t="s">
        <v>162</v>
      </c>
      <c r="F6" s="32" t="s">
        <v>160</v>
      </c>
      <c r="G6" s="32" t="s">
        <v>161</v>
      </c>
      <c r="H6" s="32" t="s">
        <v>163</v>
      </c>
      <c r="J6" s="32" t="s">
        <v>164</v>
      </c>
      <c r="K6" s="32" t="s">
        <v>165</v>
      </c>
      <c r="L6" s="32" t="s">
        <v>170</v>
      </c>
      <c r="M6" s="32" t="s">
        <v>171</v>
      </c>
      <c r="N6" s="32" t="s">
        <v>172</v>
      </c>
      <c r="V6" s="32" t="s">
        <v>167</v>
      </c>
      <c r="Y6" s="32" t="s">
        <v>166</v>
      </c>
      <c r="Z6" s="32" t="s">
        <v>173</v>
      </c>
      <c r="BD6" s="32" t="s">
        <v>167</v>
      </c>
      <c r="BI6" s="32" t="s">
        <v>166</v>
      </c>
      <c r="BJ6" s="32" t="s">
        <v>168</v>
      </c>
      <c r="BK6" s="32" t="s">
        <v>169</v>
      </c>
      <c r="BL6" s="32" t="s">
        <v>174</v>
      </c>
      <c r="BQ6" s="32" t="s">
        <v>175</v>
      </c>
      <c r="BU6" s="32">
        <v>238</v>
      </c>
      <c r="CB6" s="34" t="s">
        <v>189</v>
      </c>
      <c r="CI6" s="32" t="s">
        <v>204</v>
      </c>
      <c r="CL6" s="32" t="s">
        <v>218</v>
      </c>
      <c r="CM6" s="32" t="s">
        <v>219</v>
      </c>
    </row>
    <row r="7" spans="1:91" x14ac:dyDescent="0.2">
      <c r="B7" s="32" t="s">
        <v>126</v>
      </c>
      <c r="F7" s="32" t="s">
        <v>126</v>
      </c>
      <c r="G7" s="32" t="s">
        <v>126</v>
      </c>
      <c r="H7" s="32" t="s">
        <v>127</v>
      </c>
      <c r="J7" s="32" t="s">
        <v>127</v>
      </c>
      <c r="K7" s="32" t="s">
        <v>127</v>
      </c>
      <c r="L7" s="32" t="s">
        <v>128</v>
      </c>
      <c r="M7" s="32" t="s">
        <v>128</v>
      </c>
      <c r="N7" s="32" t="s">
        <v>128</v>
      </c>
      <c r="V7" s="32" t="s">
        <v>127</v>
      </c>
      <c r="Y7" s="32" t="s">
        <v>127</v>
      </c>
      <c r="Z7" s="32" t="s">
        <v>128</v>
      </c>
      <c r="BD7" s="32" t="s">
        <v>127</v>
      </c>
      <c r="BI7" s="32" t="s">
        <v>127</v>
      </c>
      <c r="BJ7" s="32" t="s">
        <v>127</v>
      </c>
      <c r="BK7" s="32" t="s">
        <v>127</v>
      </c>
      <c r="BL7" s="32" t="s">
        <v>128</v>
      </c>
      <c r="BQ7" s="32" t="s">
        <v>128</v>
      </c>
      <c r="CB7" s="35" t="s">
        <v>190</v>
      </c>
      <c r="CI7" s="32" t="s">
        <v>205</v>
      </c>
      <c r="CL7" s="32" t="s">
        <v>220</v>
      </c>
      <c r="CM7" s="32" t="s">
        <v>221</v>
      </c>
    </row>
    <row r="8" spans="1:91" x14ac:dyDescent="0.2">
      <c r="H8" s="32" t="s">
        <v>126</v>
      </c>
      <c r="J8" s="32" t="s">
        <v>126</v>
      </c>
      <c r="AF8" s="32" t="s">
        <v>502</v>
      </c>
      <c r="AK8" s="35" t="s">
        <v>503</v>
      </c>
      <c r="AL8" s="35"/>
      <c r="AM8" s="35"/>
      <c r="AN8" s="35"/>
      <c r="AO8" s="35"/>
      <c r="AP8" s="35" t="s">
        <v>504</v>
      </c>
      <c r="CB8" s="35" t="s">
        <v>191</v>
      </c>
      <c r="CG8" s="32" t="s">
        <v>206</v>
      </c>
      <c r="CH8" s="32" t="s">
        <v>207</v>
      </c>
      <c r="CI8" s="32" t="s">
        <v>208</v>
      </c>
      <c r="CL8" s="32" t="s">
        <v>222</v>
      </c>
      <c r="CM8" s="32" t="s">
        <v>223</v>
      </c>
    </row>
    <row r="9" spans="1:91" x14ac:dyDescent="0.2">
      <c r="G9" s="32" t="s">
        <v>258</v>
      </c>
      <c r="H9" s="35" t="s">
        <v>236</v>
      </c>
      <c r="I9" s="35"/>
      <c r="J9" s="35" t="s">
        <v>239</v>
      </c>
      <c r="O9" s="32" t="s">
        <v>244</v>
      </c>
      <c r="P9" s="32" t="s">
        <v>241</v>
      </c>
      <c r="Q9" s="32" t="s">
        <v>242</v>
      </c>
      <c r="R9" s="32" t="s">
        <v>245</v>
      </c>
      <c r="T9" s="32" t="s">
        <v>244</v>
      </c>
      <c r="U9" s="32" t="s">
        <v>241</v>
      </c>
      <c r="V9" s="32" t="s">
        <v>242</v>
      </c>
      <c r="W9" s="32" t="s">
        <v>244</v>
      </c>
      <c r="X9" s="32" t="s">
        <v>241</v>
      </c>
      <c r="Y9" s="32" t="s">
        <v>242</v>
      </c>
      <c r="AK9" s="35"/>
      <c r="AL9" s="35"/>
      <c r="AM9" s="35"/>
      <c r="AN9" s="35"/>
      <c r="AO9" s="35"/>
      <c r="AZ9" s="32" t="s">
        <v>250</v>
      </c>
      <c r="BA9" s="32" t="s">
        <v>251</v>
      </c>
      <c r="BB9" s="32" t="s">
        <v>252</v>
      </c>
      <c r="BC9" s="32" t="s">
        <v>249</v>
      </c>
      <c r="BD9" s="32" t="s">
        <v>248</v>
      </c>
      <c r="BE9" s="32" t="s">
        <v>250</v>
      </c>
      <c r="BF9" s="32" t="s">
        <v>251</v>
      </c>
      <c r="BG9" s="32" t="s">
        <v>252</v>
      </c>
      <c r="BH9" s="32" t="s">
        <v>249</v>
      </c>
      <c r="BI9" s="32" t="s">
        <v>248</v>
      </c>
      <c r="CB9" s="35" t="s">
        <v>192</v>
      </c>
      <c r="CI9" s="32" t="s">
        <v>209</v>
      </c>
      <c r="CL9" s="32" t="s">
        <v>224</v>
      </c>
      <c r="CM9" s="32" t="s">
        <v>225</v>
      </c>
    </row>
    <row r="10" spans="1:91" x14ac:dyDescent="0.2">
      <c r="A10" s="32" t="s">
        <v>134</v>
      </c>
      <c r="B10" s="36" t="s">
        <v>40</v>
      </c>
      <c r="C10" s="36" t="s">
        <v>144</v>
      </c>
      <c r="D10" s="36" t="s">
        <v>11</v>
      </c>
      <c r="F10" s="36" t="s">
        <v>176</v>
      </c>
      <c r="G10" s="36" t="s">
        <v>177</v>
      </c>
      <c r="H10" s="32" t="s">
        <v>178</v>
      </c>
      <c r="I10" s="32" t="s">
        <v>476</v>
      </c>
      <c r="J10" s="32" t="s">
        <v>179</v>
      </c>
      <c r="K10" s="32" t="s">
        <v>180</v>
      </c>
      <c r="L10" s="32" t="s">
        <v>184</v>
      </c>
      <c r="M10" s="32" t="s">
        <v>185</v>
      </c>
      <c r="N10" s="32" t="s">
        <v>186</v>
      </c>
      <c r="O10" s="36" t="s">
        <v>254</v>
      </c>
      <c r="P10" s="32" t="s">
        <v>255</v>
      </c>
      <c r="Q10" s="32" t="s">
        <v>256</v>
      </c>
      <c r="R10" s="32" t="s">
        <v>257</v>
      </c>
      <c r="S10" s="32" t="s">
        <v>259</v>
      </c>
      <c r="T10" s="32" t="s">
        <v>505</v>
      </c>
      <c r="U10" s="32" t="s">
        <v>506</v>
      </c>
      <c r="V10" s="32" t="s">
        <v>507</v>
      </c>
      <c r="W10" s="32" t="s">
        <v>508</v>
      </c>
      <c r="X10" s="32" t="s">
        <v>509</v>
      </c>
      <c r="Y10" s="32" t="s">
        <v>510</v>
      </c>
      <c r="Z10" s="32" t="s">
        <v>511</v>
      </c>
      <c r="AA10" s="32" t="s">
        <v>512</v>
      </c>
      <c r="AB10" s="32" t="s">
        <v>513</v>
      </c>
      <c r="AC10" s="32" t="s">
        <v>260</v>
      </c>
      <c r="AD10" s="32" t="s">
        <v>261</v>
      </c>
      <c r="AE10" s="32" t="s">
        <v>262</v>
      </c>
      <c r="AF10" s="36" t="s">
        <v>514</v>
      </c>
      <c r="AG10" s="36" t="s">
        <v>515</v>
      </c>
      <c r="AH10" s="37" t="s">
        <v>516</v>
      </c>
      <c r="AI10" s="37" t="s">
        <v>517</v>
      </c>
      <c r="AJ10" s="37" t="s">
        <v>518</v>
      </c>
      <c r="AK10" s="37" t="s">
        <v>514</v>
      </c>
      <c r="AL10" s="37" t="s">
        <v>515</v>
      </c>
      <c r="AM10" s="37" t="s">
        <v>516</v>
      </c>
      <c r="AN10" s="37" t="s">
        <v>517</v>
      </c>
      <c r="AO10" s="37" t="s">
        <v>518</v>
      </c>
      <c r="AP10" s="37" t="s">
        <v>514</v>
      </c>
      <c r="AQ10" s="37" t="s">
        <v>515</v>
      </c>
      <c r="AR10" s="37" t="s">
        <v>516</v>
      </c>
      <c r="AS10" s="37" t="s">
        <v>517</v>
      </c>
      <c r="AT10" s="37" t="s">
        <v>518</v>
      </c>
      <c r="AU10" s="32" t="s">
        <v>339</v>
      </c>
      <c r="AV10" s="32" t="s">
        <v>519</v>
      </c>
      <c r="AW10" s="32" t="s">
        <v>499</v>
      </c>
      <c r="AX10" s="32" t="s">
        <v>520</v>
      </c>
      <c r="AY10" s="32" t="s">
        <v>340</v>
      </c>
      <c r="AZ10" s="32" t="s">
        <v>521</v>
      </c>
      <c r="BA10" s="32" t="s">
        <v>522</v>
      </c>
      <c r="BB10" s="32" t="s">
        <v>523</v>
      </c>
      <c r="BC10" s="32" t="s">
        <v>524</v>
      </c>
      <c r="BD10" s="32" t="s">
        <v>525</v>
      </c>
      <c r="BE10" s="32" t="s">
        <v>181</v>
      </c>
      <c r="BF10" s="32" t="s">
        <v>181</v>
      </c>
      <c r="BG10" s="32" t="s">
        <v>181</v>
      </c>
      <c r="BH10" s="32" t="s">
        <v>181</v>
      </c>
      <c r="BI10" s="32" t="s">
        <v>181</v>
      </c>
      <c r="BJ10" s="32" t="s">
        <v>182</v>
      </c>
      <c r="BK10" s="32" t="s">
        <v>183</v>
      </c>
      <c r="BL10" s="32" t="s">
        <v>526</v>
      </c>
      <c r="BM10" s="32" t="s">
        <v>187</v>
      </c>
      <c r="BN10" s="35" t="s">
        <v>187</v>
      </c>
      <c r="BO10" s="35" t="s">
        <v>187</v>
      </c>
      <c r="BP10" s="35" t="s">
        <v>187</v>
      </c>
      <c r="BQ10" s="32" t="s">
        <v>187</v>
      </c>
      <c r="BR10" s="32" t="s">
        <v>150</v>
      </c>
      <c r="BS10" s="32" t="s">
        <v>13</v>
      </c>
      <c r="BT10" s="32" t="s">
        <v>3</v>
      </c>
      <c r="BU10" s="38" t="s">
        <v>48</v>
      </c>
      <c r="CB10" s="35" t="s">
        <v>193</v>
      </c>
      <c r="CI10" s="32" t="s">
        <v>210</v>
      </c>
    </row>
    <row r="11" spans="1:91" x14ac:dyDescent="0.2">
      <c r="A11" s="32" t="s">
        <v>247</v>
      </c>
      <c r="B11" s="32">
        <v>0.6</v>
      </c>
      <c r="C11" s="32" t="s">
        <v>50</v>
      </c>
      <c r="D11" s="32" t="s">
        <v>16</v>
      </c>
      <c r="E11" s="32" t="s">
        <v>227</v>
      </c>
      <c r="F11" s="32">
        <v>1000</v>
      </c>
      <c r="G11" s="32">
        <v>200</v>
      </c>
      <c r="H11" s="32">
        <f>HLOOKUP(E11,$BX$23:$CA$29, 6, FALSE)</f>
        <v>0.35</v>
      </c>
      <c r="J11" s="32">
        <f>HLOOKUP(E11,$BX$23:$CA$29, 2, FALSE)</f>
        <v>8.5999999999999993E-2</v>
      </c>
      <c r="K11" s="32">
        <f>HLOOKUP(E11,$BX$23:$CA$29, 5, FALSE)</f>
        <v>0.19</v>
      </c>
      <c r="L11" s="32">
        <f>J11 * K11 / 6.25</f>
        <v>2.6144000000000002E-3</v>
      </c>
      <c r="M11" s="32">
        <f>L11 * (1 - H11)</f>
        <v>1.6993600000000002E-3</v>
      </c>
      <c r="N11" s="32">
        <f>F11 * M11 * G11</f>
        <v>339.87200000000001</v>
      </c>
      <c r="P11" s="32">
        <v>1</v>
      </c>
      <c r="S11" s="32">
        <f>SUM(O11:R11)</f>
        <v>1</v>
      </c>
      <c r="T11" s="32">
        <f t="shared" ref="T11:V14" si="0">VLOOKUP(T$9, $BW$32:$BY$38, 3, FALSE)</f>
        <v>1E-3</v>
      </c>
      <c r="U11" s="32">
        <f t="shared" si="0"/>
        <v>1E-3</v>
      </c>
      <c r="V11" s="32">
        <f t="shared" si="0"/>
        <v>1E-3</v>
      </c>
      <c r="W11" s="32">
        <f t="shared" ref="W11:Y14" si="1">VLOOKUP(W$9, $BW$32:$BX$38, 2, FALSE)</f>
        <v>0.3</v>
      </c>
      <c r="X11" s="32">
        <f t="shared" si="1"/>
        <v>0.05</v>
      </c>
      <c r="Y11" s="32">
        <f t="shared" si="1"/>
        <v>0.4</v>
      </c>
      <c r="Z11" s="32">
        <f t="shared" ref="Z11:AB14" si="2">$N11 *O11</f>
        <v>0</v>
      </c>
      <c r="AA11" s="32">
        <f t="shared" si="2"/>
        <v>339.87200000000001</v>
      </c>
      <c r="AB11" s="32">
        <f t="shared" si="2"/>
        <v>0</v>
      </c>
      <c r="AC11" s="32">
        <f>Z11*(1 - W11 - T11)</f>
        <v>0</v>
      </c>
      <c r="AD11" s="32">
        <f t="shared" ref="AD11:AE14" si="3">AA11*(1 - X11 - U11)</f>
        <v>322.53852799999999</v>
      </c>
      <c r="AE11" s="32">
        <f t="shared" si="3"/>
        <v>0</v>
      </c>
      <c r="AF11" s="32">
        <v>0.6</v>
      </c>
      <c r="AG11" s="32">
        <v>0.4</v>
      </c>
      <c r="AM11" s="32">
        <v>0.5</v>
      </c>
      <c r="AN11" s="32">
        <v>0.5</v>
      </c>
      <c r="AT11" s="32">
        <v>1</v>
      </c>
      <c r="AU11" s="32">
        <f t="shared" ref="AU11:AY14" si="4">AF11*$AC11+AK11*$AD11+AP11*$AE11</f>
        <v>0</v>
      </c>
      <c r="AV11" s="32">
        <f t="shared" si="4"/>
        <v>0</v>
      </c>
      <c r="AW11" s="32">
        <f t="shared" si="4"/>
        <v>161.26926399999999</v>
      </c>
      <c r="AX11" s="32">
        <f t="shared" si="4"/>
        <v>161.26926399999999</v>
      </c>
      <c r="AY11" s="32">
        <f t="shared" si="4"/>
        <v>0</v>
      </c>
      <c r="AZ11" s="32">
        <f t="shared" ref="AZ11:BC14" si="5">VLOOKUP(AZ$9, $BW$32:$BY$38, 3, FALSE)</f>
        <v>5.0000000000000001E-3</v>
      </c>
      <c r="BA11" s="32">
        <f t="shared" si="5"/>
        <v>0.01</v>
      </c>
      <c r="BB11" s="32">
        <f t="shared" si="5"/>
        <v>0</v>
      </c>
      <c r="BC11" s="32">
        <f t="shared" si="5"/>
        <v>0</v>
      </c>
      <c r="BD11" s="32">
        <v>0</v>
      </c>
      <c r="BE11" s="32">
        <f t="shared" ref="BE11:BH14" si="6">VLOOKUP(BE$9, $BW$32:$BY$38, 2, FALSE)</f>
        <v>0.2</v>
      </c>
      <c r="BF11" s="32">
        <f t="shared" si="6"/>
        <v>0.2</v>
      </c>
      <c r="BG11" s="32">
        <f t="shared" si="6"/>
        <v>0</v>
      </c>
      <c r="BH11" s="32">
        <f t="shared" si="6"/>
        <v>0</v>
      </c>
      <c r="BI11" s="32">
        <v>0</v>
      </c>
      <c r="BJ11" s="32">
        <f>IF($C11="yes",1,0)</f>
        <v>1</v>
      </c>
      <c r="BK11" s="32">
        <f>$BX$19</f>
        <v>0.02</v>
      </c>
      <c r="BL11" s="32">
        <f>AU11*$BJ11*$BK11</f>
        <v>0</v>
      </c>
      <c r="BM11" s="32">
        <f>(AU11*(1-AZ11-BE11)-BL11)*$B11</f>
        <v>0</v>
      </c>
      <c r="BN11" s="32">
        <f t="shared" ref="BN11:BQ14" si="7">(AV11*(1-BA11-BF11))*$B11</f>
        <v>0</v>
      </c>
      <c r="BO11" s="32">
        <f t="shared" si="7"/>
        <v>96.761558399999998</v>
      </c>
      <c r="BP11" s="32">
        <f t="shared" si="7"/>
        <v>96.761558399999998</v>
      </c>
      <c r="BQ11" s="32">
        <f t="shared" si="7"/>
        <v>0</v>
      </c>
      <c r="BR11" s="32">
        <f>SUM(BM11:BQ14)</f>
        <v>258.17960020016636</v>
      </c>
      <c r="BS11" s="32">
        <f>IF(ISBLANK(D11), "", IF(D11="wet", $BX$13, $BX$14))</f>
        <v>6.0000000000000001E-3</v>
      </c>
      <c r="BT11" s="32">
        <f>IF(ISBLANK(D11), "", $BX$16)</f>
        <v>1.57</v>
      </c>
      <c r="BU11" s="32">
        <f>IF(ISBLANK(D11), "", BR11*BS11*BT11/1000)</f>
        <v>2.4320518338855671E-3</v>
      </c>
      <c r="CB11" s="35" t="s">
        <v>194</v>
      </c>
      <c r="CI11" s="32" t="s">
        <v>211</v>
      </c>
    </row>
    <row r="12" spans="1:91" x14ac:dyDescent="0.2">
      <c r="B12" s="32">
        <v>0.6</v>
      </c>
      <c r="C12" s="32" t="s">
        <v>50</v>
      </c>
      <c r="D12" s="32" t="s">
        <v>16</v>
      </c>
      <c r="E12" s="32" t="s">
        <v>237</v>
      </c>
      <c r="F12" s="32">
        <v>200</v>
      </c>
      <c r="G12" s="32">
        <v>150</v>
      </c>
      <c r="H12" s="32">
        <f>HLOOKUP(E12,$BX$23:$CA$29, 6, FALSE)</f>
        <v>0.47</v>
      </c>
      <c r="J12" s="32">
        <f>HLOOKUP(E12,$BX$23:$CA$29, 2, FALSE)</f>
        <v>9.2999999999999999E-2</v>
      </c>
      <c r="K12" s="32">
        <f>HLOOKUP(E12,$BX$23:$CA$29, 5, FALSE)</f>
        <v>0.23</v>
      </c>
      <c r="L12" s="32">
        <f t="shared" ref="L12:L14" si="8">J12 * K12 / 6.25</f>
        <v>3.4223999999999999E-3</v>
      </c>
      <c r="M12" s="32">
        <f>L12 * (1 - H12)</f>
        <v>1.813872E-3</v>
      </c>
      <c r="N12" s="32">
        <f>F12 * M12 * G12</f>
        <v>54.416159999999998</v>
      </c>
      <c r="P12" s="32">
        <v>0.7</v>
      </c>
      <c r="Q12" s="32">
        <v>0.3</v>
      </c>
      <c r="S12" s="32">
        <f t="shared" ref="S12:S14" si="9">SUM(O12:R12)</f>
        <v>1</v>
      </c>
      <c r="T12" s="32">
        <f t="shared" si="0"/>
        <v>1E-3</v>
      </c>
      <c r="U12" s="32">
        <f t="shared" si="0"/>
        <v>1E-3</v>
      </c>
      <c r="V12" s="32">
        <f t="shared" si="0"/>
        <v>1E-3</v>
      </c>
      <c r="W12" s="32">
        <f t="shared" si="1"/>
        <v>0.3</v>
      </c>
      <c r="X12" s="32">
        <f t="shared" si="1"/>
        <v>0.05</v>
      </c>
      <c r="Y12" s="32">
        <f t="shared" si="1"/>
        <v>0.4</v>
      </c>
      <c r="Z12" s="32">
        <f t="shared" si="2"/>
        <v>0</v>
      </c>
      <c r="AA12" s="32">
        <f t="shared" si="2"/>
        <v>38.091311999999995</v>
      </c>
      <c r="AB12" s="32">
        <f t="shared" si="2"/>
        <v>16.324847999999999</v>
      </c>
      <c r="AC12" s="32">
        <f t="shared" ref="AC12:AC14" si="10">Z12*(1 - W12 - T12)</f>
        <v>0</v>
      </c>
      <c r="AD12" s="32">
        <f t="shared" si="3"/>
        <v>36.148655087999991</v>
      </c>
      <c r="AE12" s="32">
        <f t="shared" si="3"/>
        <v>9.778583952</v>
      </c>
      <c r="AF12" s="32">
        <v>0.6</v>
      </c>
      <c r="AG12" s="32">
        <v>0.4</v>
      </c>
      <c r="AM12" s="32">
        <v>0.5</v>
      </c>
      <c r="AN12" s="32">
        <v>0.5</v>
      </c>
      <c r="AT12" s="32">
        <v>1</v>
      </c>
      <c r="AU12" s="32">
        <f t="shared" si="4"/>
        <v>0</v>
      </c>
      <c r="AV12" s="32">
        <f t="shared" si="4"/>
        <v>0</v>
      </c>
      <c r="AW12" s="32">
        <f t="shared" si="4"/>
        <v>18.074327543999996</v>
      </c>
      <c r="AX12" s="32">
        <f t="shared" si="4"/>
        <v>18.074327543999996</v>
      </c>
      <c r="AY12" s="32">
        <f t="shared" si="4"/>
        <v>9.778583952</v>
      </c>
      <c r="AZ12" s="32">
        <f t="shared" si="5"/>
        <v>5.0000000000000001E-3</v>
      </c>
      <c r="BA12" s="32">
        <f t="shared" si="5"/>
        <v>0.01</v>
      </c>
      <c r="BB12" s="32">
        <f t="shared" si="5"/>
        <v>0</v>
      </c>
      <c r="BC12" s="32">
        <f t="shared" si="5"/>
        <v>0</v>
      </c>
      <c r="BD12" s="32">
        <v>0</v>
      </c>
      <c r="BE12" s="32">
        <f t="shared" si="6"/>
        <v>0.2</v>
      </c>
      <c r="BF12" s="32">
        <f t="shared" si="6"/>
        <v>0.2</v>
      </c>
      <c r="BG12" s="32">
        <f t="shared" si="6"/>
        <v>0</v>
      </c>
      <c r="BH12" s="32">
        <f t="shared" si="6"/>
        <v>0</v>
      </c>
      <c r="BI12" s="32">
        <v>0</v>
      </c>
      <c r="BJ12" s="32">
        <f t="shared" ref="BJ12:BJ14" si="11">IF($C12="yes",1,0)</f>
        <v>1</v>
      </c>
      <c r="BK12" s="32">
        <f t="shared" ref="BK12:BK14" si="12">$BX$19</f>
        <v>0.02</v>
      </c>
      <c r="BL12" s="32">
        <f>AU12*$BJ12*$BK12</f>
        <v>0</v>
      </c>
      <c r="BM12" s="32">
        <f>(AU12*(1-AZ12-BE12)-BL12)*$B12</f>
        <v>0</v>
      </c>
      <c r="BN12" s="32">
        <f t="shared" si="7"/>
        <v>0</v>
      </c>
      <c r="BO12" s="32">
        <f t="shared" si="7"/>
        <v>10.844596526399997</v>
      </c>
      <c r="BP12" s="32">
        <f t="shared" si="7"/>
        <v>10.844596526399997</v>
      </c>
      <c r="BQ12" s="32">
        <f t="shared" si="7"/>
        <v>5.8671503712000002</v>
      </c>
      <c r="BW12" s="32" t="s">
        <v>0</v>
      </c>
      <c r="CB12" s="35" t="s">
        <v>133</v>
      </c>
      <c r="CH12" s="32" t="s">
        <v>212</v>
      </c>
      <c r="CI12" s="32" t="s">
        <v>213</v>
      </c>
    </row>
    <row r="13" spans="1:91" x14ac:dyDescent="0.2">
      <c r="B13" s="32">
        <v>0.6</v>
      </c>
      <c r="C13" s="32" t="s">
        <v>50</v>
      </c>
      <c r="D13" s="32" t="s">
        <v>16</v>
      </c>
      <c r="E13" s="32" t="s">
        <v>238</v>
      </c>
      <c r="F13" s="32">
        <v>100</v>
      </c>
      <c r="G13" s="32">
        <v>300</v>
      </c>
      <c r="H13" s="32">
        <f>HLOOKUP(E13,$BX$23:$CA$29, 6, FALSE)</f>
        <v>0.32</v>
      </c>
      <c r="J13" s="32">
        <f>HLOOKUP(E13,$BX$23:$CA$29, 2, FALSE)</f>
        <v>0.10299999999999999</v>
      </c>
      <c r="K13" s="32">
        <f>HLOOKUP(E13,$BX$23:$CA$29, 5, FALSE)</f>
        <v>0.19</v>
      </c>
      <c r="L13" s="32">
        <f t="shared" si="8"/>
        <v>3.1312000000000002E-3</v>
      </c>
      <c r="M13" s="32">
        <f>L13 * (1 - H13)</f>
        <v>2.1292159999999997E-3</v>
      </c>
      <c r="N13" s="32">
        <f>F13 * M13 * G13</f>
        <v>63.876479999999994</v>
      </c>
      <c r="P13" s="32">
        <v>0.7</v>
      </c>
      <c r="Q13" s="32">
        <v>0.3</v>
      </c>
      <c r="S13" s="32">
        <f t="shared" si="9"/>
        <v>1</v>
      </c>
      <c r="T13" s="32">
        <f t="shared" si="0"/>
        <v>1E-3</v>
      </c>
      <c r="U13" s="32">
        <f t="shared" si="0"/>
        <v>1E-3</v>
      </c>
      <c r="V13" s="32">
        <f t="shared" si="0"/>
        <v>1E-3</v>
      </c>
      <c r="W13" s="32">
        <f t="shared" si="1"/>
        <v>0.3</v>
      </c>
      <c r="X13" s="32">
        <f t="shared" si="1"/>
        <v>0.05</v>
      </c>
      <c r="Y13" s="32">
        <f t="shared" si="1"/>
        <v>0.4</v>
      </c>
      <c r="Z13" s="32">
        <f t="shared" si="2"/>
        <v>0</v>
      </c>
      <c r="AA13" s="32">
        <f t="shared" si="2"/>
        <v>44.713535999999991</v>
      </c>
      <c r="AB13" s="32">
        <f t="shared" si="2"/>
        <v>19.162943999999996</v>
      </c>
      <c r="AC13" s="32">
        <f t="shared" si="10"/>
        <v>0</v>
      </c>
      <c r="AD13" s="32">
        <f t="shared" si="3"/>
        <v>42.433145663999987</v>
      </c>
      <c r="AE13" s="32">
        <f t="shared" si="3"/>
        <v>11.478603455999997</v>
      </c>
      <c r="AF13" s="32">
        <v>0.6</v>
      </c>
      <c r="AG13" s="32">
        <v>0.4</v>
      </c>
      <c r="AM13" s="32">
        <v>0.5</v>
      </c>
      <c r="AN13" s="32">
        <v>0.5</v>
      </c>
      <c r="AT13" s="32">
        <v>1</v>
      </c>
      <c r="AU13" s="32">
        <f t="shared" si="4"/>
        <v>0</v>
      </c>
      <c r="AV13" s="32">
        <f t="shared" si="4"/>
        <v>0</v>
      </c>
      <c r="AW13" s="32">
        <f t="shared" si="4"/>
        <v>21.216572831999994</v>
      </c>
      <c r="AX13" s="32">
        <f t="shared" si="4"/>
        <v>21.216572831999994</v>
      </c>
      <c r="AY13" s="32">
        <f t="shared" si="4"/>
        <v>11.478603455999997</v>
      </c>
      <c r="AZ13" s="32">
        <f t="shared" si="5"/>
        <v>5.0000000000000001E-3</v>
      </c>
      <c r="BA13" s="32">
        <f t="shared" si="5"/>
        <v>0.01</v>
      </c>
      <c r="BB13" s="32">
        <f t="shared" si="5"/>
        <v>0</v>
      </c>
      <c r="BC13" s="32">
        <f t="shared" si="5"/>
        <v>0</v>
      </c>
      <c r="BD13" s="32">
        <v>0</v>
      </c>
      <c r="BE13" s="32">
        <f t="shared" si="6"/>
        <v>0.2</v>
      </c>
      <c r="BF13" s="32">
        <f t="shared" si="6"/>
        <v>0.2</v>
      </c>
      <c r="BG13" s="32">
        <f t="shared" si="6"/>
        <v>0</v>
      </c>
      <c r="BH13" s="32">
        <f t="shared" si="6"/>
        <v>0</v>
      </c>
      <c r="BI13" s="32">
        <v>0</v>
      </c>
      <c r="BJ13" s="32">
        <f t="shared" si="11"/>
        <v>1</v>
      </c>
      <c r="BK13" s="32">
        <f t="shared" si="12"/>
        <v>0.02</v>
      </c>
      <c r="BL13" s="32">
        <f>AU13*$BJ13*$BK13</f>
        <v>0</v>
      </c>
      <c r="BM13" s="32">
        <f>(AU13*(1-AZ13-BE13)-BL13)*$B13</f>
        <v>0</v>
      </c>
      <c r="BN13" s="32">
        <f t="shared" si="7"/>
        <v>0</v>
      </c>
      <c r="BO13" s="32">
        <f t="shared" si="7"/>
        <v>12.729943699199996</v>
      </c>
      <c r="BP13" s="32">
        <f t="shared" si="7"/>
        <v>12.729943699199996</v>
      </c>
      <c r="BQ13" s="32">
        <f t="shared" si="7"/>
        <v>6.8871620735999981</v>
      </c>
      <c r="BW13" s="32" t="s">
        <v>1</v>
      </c>
      <c r="BX13" s="32">
        <v>6.0000000000000001E-3</v>
      </c>
      <c r="CB13" s="34" t="s">
        <v>195</v>
      </c>
      <c r="CH13" s="32" t="s">
        <v>214</v>
      </c>
      <c r="CI13" s="32" t="s">
        <v>215</v>
      </c>
    </row>
    <row r="14" spans="1:91" x14ac:dyDescent="0.2">
      <c r="B14" s="32">
        <v>0.6</v>
      </c>
      <c r="C14" s="32" t="s">
        <v>50</v>
      </c>
      <c r="D14" s="32" t="s">
        <v>16</v>
      </c>
      <c r="E14" s="32" t="s">
        <v>228</v>
      </c>
      <c r="F14" s="32">
        <v>50</v>
      </c>
      <c r="G14" s="32">
        <v>200</v>
      </c>
      <c r="H14" s="32">
        <f>HLOOKUP(E14,$BX$23:$CA$29, 6, FALSE)</f>
        <v>0.47</v>
      </c>
      <c r="J14" s="32">
        <f>HLOOKUP(E14,$BX$23:$CA$29, 2, FALSE)</f>
        <v>9.2999999999999999E-2</v>
      </c>
      <c r="K14" s="32">
        <f>HLOOKUP(E14,$BX$23:$CA$29, 5, FALSE)</f>
        <v>0.23</v>
      </c>
      <c r="L14" s="32">
        <f t="shared" si="8"/>
        <v>3.4223999999999999E-3</v>
      </c>
      <c r="M14" s="32">
        <f>L14 * (1 - H14)</f>
        <v>1.813872E-3</v>
      </c>
      <c r="N14" s="32">
        <f>F14 * M14 * G14</f>
        <v>18.138719999999999</v>
      </c>
      <c r="O14" s="32">
        <v>0.8</v>
      </c>
      <c r="R14" s="32">
        <v>0.2</v>
      </c>
      <c r="S14" s="32">
        <f t="shared" si="9"/>
        <v>1</v>
      </c>
      <c r="T14" s="32">
        <f t="shared" si="0"/>
        <v>1E-3</v>
      </c>
      <c r="U14" s="32">
        <f t="shared" si="0"/>
        <v>1E-3</v>
      </c>
      <c r="V14" s="32">
        <f t="shared" si="0"/>
        <v>1E-3</v>
      </c>
      <c r="W14" s="32">
        <f t="shared" si="1"/>
        <v>0.3</v>
      </c>
      <c r="X14" s="32">
        <f t="shared" si="1"/>
        <v>0.05</v>
      </c>
      <c r="Y14" s="32">
        <f t="shared" si="1"/>
        <v>0.4</v>
      </c>
      <c r="Z14" s="32">
        <f t="shared" si="2"/>
        <v>14.510975999999999</v>
      </c>
      <c r="AA14" s="32">
        <f t="shared" si="2"/>
        <v>0</v>
      </c>
      <c r="AB14" s="32">
        <f t="shared" si="2"/>
        <v>0</v>
      </c>
      <c r="AC14" s="32">
        <f t="shared" si="10"/>
        <v>10.143172223999999</v>
      </c>
      <c r="AD14" s="32">
        <f t="shared" si="3"/>
        <v>0</v>
      </c>
      <c r="AE14" s="32">
        <f t="shared" si="3"/>
        <v>0</v>
      </c>
      <c r="AF14" s="32">
        <v>0.6</v>
      </c>
      <c r="AG14" s="32">
        <v>0.4</v>
      </c>
      <c r="AM14" s="32">
        <v>0.5</v>
      </c>
      <c r="AN14" s="32">
        <v>0.5</v>
      </c>
      <c r="AT14" s="32">
        <v>1</v>
      </c>
      <c r="AU14" s="32">
        <f t="shared" si="4"/>
        <v>6.0859033343999993</v>
      </c>
      <c r="AV14" s="32">
        <f t="shared" si="4"/>
        <v>4.0572688895999995</v>
      </c>
      <c r="AW14" s="32">
        <f t="shared" si="4"/>
        <v>0</v>
      </c>
      <c r="AX14" s="32">
        <f t="shared" si="4"/>
        <v>0</v>
      </c>
      <c r="AY14" s="32">
        <f t="shared" si="4"/>
        <v>0</v>
      </c>
      <c r="AZ14" s="32">
        <f t="shared" si="5"/>
        <v>5.0000000000000001E-3</v>
      </c>
      <c r="BA14" s="32">
        <f t="shared" si="5"/>
        <v>0.01</v>
      </c>
      <c r="BB14" s="32">
        <f t="shared" si="5"/>
        <v>0</v>
      </c>
      <c r="BC14" s="32">
        <f t="shared" si="5"/>
        <v>0</v>
      </c>
      <c r="BD14" s="32">
        <v>0</v>
      </c>
      <c r="BE14" s="32">
        <f t="shared" si="6"/>
        <v>0.2</v>
      </c>
      <c r="BF14" s="32">
        <f t="shared" si="6"/>
        <v>0.2</v>
      </c>
      <c r="BG14" s="32">
        <f t="shared" si="6"/>
        <v>0</v>
      </c>
      <c r="BH14" s="32">
        <f t="shared" si="6"/>
        <v>0</v>
      </c>
      <c r="BI14" s="32">
        <v>0</v>
      </c>
      <c r="BJ14" s="32">
        <f t="shared" si="11"/>
        <v>1</v>
      </c>
      <c r="BK14" s="32">
        <f t="shared" si="12"/>
        <v>0.02</v>
      </c>
      <c r="BL14" s="32">
        <f>AU14*$BJ14*$BK14</f>
        <v>0.12171806668799999</v>
      </c>
      <c r="BM14" s="32">
        <f>(AU14*(1-AZ14-BE14)-BL14)*$B14</f>
        <v>2.8299450504959998</v>
      </c>
      <c r="BN14" s="32">
        <f t="shared" si="7"/>
        <v>1.9231454536703998</v>
      </c>
      <c r="BO14" s="32">
        <f t="shared" si="7"/>
        <v>0</v>
      </c>
      <c r="BP14" s="32">
        <f t="shared" si="7"/>
        <v>0</v>
      </c>
      <c r="BQ14" s="32">
        <f t="shared" si="7"/>
        <v>0</v>
      </c>
      <c r="BW14" s="32" t="s">
        <v>2</v>
      </c>
      <c r="BX14" s="32">
        <v>5.0000000000000001E-3</v>
      </c>
      <c r="CB14" s="35" t="s">
        <v>131</v>
      </c>
    </row>
    <row r="15" spans="1:91" x14ac:dyDescent="0.2">
      <c r="CB15" s="35" t="s">
        <v>196</v>
      </c>
    </row>
    <row r="16" spans="1:91" x14ac:dyDescent="0.2">
      <c r="BW16" s="32" t="s">
        <v>3</v>
      </c>
      <c r="BX16" s="32">
        <f>[1]!common_cn2o</f>
        <v>1.57</v>
      </c>
      <c r="CB16" s="35" t="s">
        <v>197</v>
      </c>
    </row>
    <row r="17" spans="1:80" x14ac:dyDescent="0.2">
      <c r="CB17" s="35" t="s">
        <v>198</v>
      </c>
    </row>
    <row r="18" spans="1:80" x14ac:dyDescent="0.2">
      <c r="CB18" s="35" t="s">
        <v>199</v>
      </c>
    </row>
    <row r="19" spans="1:80" x14ac:dyDescent="0.2">
      <c r="BW19" s="32" t="s">
        <v>253</v>
      </c>
      <c r="BX19" s="32">
        <v>0.02</v>
      </c>
      <c r="CB19" s="35" t="s">
        <v>200</v>
      </c>
    </row>
    <row r="21" spans="1:80" x14ac:dyDescent="0.2">
      <c r="A21" s="32" t="s">
        <v>263</v>
      </c>
      <c r="B21" s="32">
        <v>0.6</v>
      </c>
      <c r="C21" s="32" t="s">
        <v>53</v>
      </c>
      <c r="D21" s="32" t="s">
        <v>16</v>
      </c>
      <c r="E21" s="32" t="s">
        <v>227</v>
      </c>
      <c r="F21" s="32">
        <v>1000</v>
      </c>
      <c r="G21" s="32">
        <v>200</v>
      </c>
      <c r="H21" s="32">
        <f>HLOOKUP(E21,$BX$23:$CA$29, 6, FALSE)</f>
        <v>0.35</v>
      </c>
      <c r="J21" s="32">
        <f>HLOOKUP(E21,$BX$23:$CA$29, 2, FALSE)</f>
        <v>8.5999999999999993E-2</v>
      </c>
      <c r="K21" s="32">
        <f>HLOOKUP(E21,$BX$23:$CA$29, 5, FALSE)</f>
        <v>0.19</v>
      </c>
      <c r="L21" s="32">
        <f>J21 * K21 / 6.25</f>
        <v>2.6144000000000002E-3</v>
      </c>
      <c r="M21" s="32">
        <f>L21 * (1 - H21)</f>
        <v>1.6993600000000002E-3</v>
      </c>
      <c r="N21" s="32">
        <f>F21 * M21 * G21</f>
        <v>339.87200000000001</v>
      </c>
      <c r="P21" s="32">
        <v>1</v>
      </c>
      <c r="S21" s="32">
        <f>SUM(O21:R21)</f>
        <v>1</v>
      </c>
      <c r="T21" s="32">
        <f t="shared" ref="T21:V24" si="13">VLOOKUP(T$9, $BW$32:$BY$38, 3, FALSE)</f>
        <v>1E-3</v>
      </c>
      <c r="U21" s="32">
        <f t="shared" si="13"/>
        <v>1E-3</v>
      </c>
      <c r="V21" s="32">
        <f t="shared" si="13"/>
        <v>1E-3</v>
      </c>
      <c r="W21" s="32">
        <f t="shared" ref="W21:Y24" si="14">VLOOKUP(W$9, $BW$32:$BX$38, 2, FALSE)</f>
        <v>0.3</v>
      </c>
      <c r="X21" s="32">
        <f t="shared" si="14"/>
        <v>0.05</v>
      </c>
      <c r="Y21" s="32">
        <f t="shared" si="14"/>
        <v>0.4</v>
      </c>
      <c r="Z21" s="32">
        <f t="shared" ref="Z21:AB24" si="15">$N21 *O21</f>
        <v>0</v>
      </c>
      <c r="AA21" s="32">
        <f t="shared" si="15"/>
        <v>339.87200000000001</v>
      </c>
      <c r="AB21" s="32">
        <f t="shared" si="15"/>
        <v>0</v>
      </c>
      <c r="AC21" s="32">
        <f>Z21*(1 - W21 - T21)</f>
        <v>0</v>
      </c>
      <c r="AD21" s="32">
        <f t="shared" ref="AD21:AE24" si="16">AA21*(1 - X21 - U21)</f>
        <v>322.53852799999999</v>
      </c>
      <c r="AE21" s="32">
        <f t="shared" si="16"/>
        <v>0</v>
      </c>
      <c r="AF21" s="32">
        <v>0.6</v>
      </c>
      <c r="AG21" s="32">
        <v>0.4</v>
      </c>
      <c r="AM21" s="32">
        <v>0.5</v>
      </c>
      <c r="AN21" s="32">
        <v>0.5</v>
      </c>
      <c r="AT21" s="32">
        <v>1</v>
      </c>
      <c r="AU21" s="32">
        <f t="shared" ref="AU21:AY24" si="17">AF21*$AC21+AK21*$AD21+AP21*$AE21</f>
        <v>0</v>
      </c>
      <c r="AV21" s="32">
        <f t="shared" si="17"/>
        <v>0</v>
      </c>
      <c r="AW21" s="32">
        <f t="shared" si="17"/>
        <v>161.26926399999999</v>
      </c>
      <c r="AX21" s="32">
        <f t="shared" si="17"/>
        <v>161.26926399999999</v>
      </c>
      <c r="AY21" s="32">
        <f t="shared" si="17"/>
        <v>0</v>
      </c>
      <c r="AZ21" s="32">
        <f t="shared" ref="AZ21:BC24" si="18">VLOOKUP(AZ$9, $BW$32:$BY$38, 3, FALSE)</f>
        <v>5.0000000000000001E-3</v>
      </c>
      <c r="BA21" s="32">
        <f t="shared" si="18"/>
        <v>0.01</v>
      </c>
      <c r="BB21" s="32">
        <f t="shared" si="18"/>
        <v>0</v>
      </c>
      <c r="BC21" s="32">
        <f t="shared" si="18"/>
        <v>0</v>
      </c>
      <c r="BD21" s="32">
        <v>0</v>
      </c>
      <c r="BE21" s="32">
        <f t="shared" ref="BE21:BH24" si="19">VLOOKUP(BE$9, $BW$32:$BY$38, 2, FALSE)</f>
        <v>0.2</v>
      </c>
      <c r="BF21" s="32">
        <f t="shared" si="19"/>
        <v>0.2</v>
      </c>
      <c r="BG21" s="32">
        <f t="shared" si="19"/>
        <v>0</v>
      </c>
      <c r="BH21" s="32">
        <f t="shared" si="19"/>
        <v>0</v>
      </c>
      <c r="BI21" s="32">
        <v>0</v>
      </c>
      <c r="BJ21" s="32">
        <f>IF($C21="yes",1,0)</f>
        <v>0</v>
      </c>
      <c r="BK21" s="32">
        <f>$BX$19</f>
        <v>0.02</v>
      </c>
      <c r="BL21" s="32">
        <f>AU21*$BJ21*$BK21</f>
        <v>0</v>
      </c>
      <c r="BM21" s="32">
        <f>(AU21*(1-AZ21-BE21)-BL21)*$B21</f>
        <v>0</v>
      </c>
      <c r="BN21" s="32">
        <f t="shared" ref="BN21:BQ24" si="20">(AV21*(1-BA21-BF21))*$B21</f>
        <v>0</v>
      </c>
      <c r="BO21" s="32">
        <f t="shared" si="20"/>
        <v>96.761558399999998</v>
      </c>
      <c r="BP21" s="32">
        <f t="shared" si="20"/>
        <v>96.761558399999998</v>
      </c>
      <c r="BQ21" s="32">
        <f t="shared" si="20"/>
        <v>0</v>
      </c>
      <c r="BR21" s="32">
        <f>SUM(BM21:BQ24)</f>
        <v>258.25263104017915</v>
      </c>
      <c r="BS21" s="32">
        <f>IF(ISBLANK(D21), "", IF(D21="wet", $BX$13, $BX$14))</f>
        <v>6.0000000000000001E-3</v>
      </c>
      <c r="BT21" s="32">
        <f>IF(ISBLANK(D21), "", $BX$16)</f>
        <v>1.57</v>
      </c>
      <c r="BU21" s="32">
        <f>IF(ISBLANK(D21), "", BR21*BS21*BT21/1000)</f>
        <v>2.4327397843984877E-3</v>
      </c>
      <c r="BW21" s="32" t="s">
        <v>235</v>
      </c>
    </row>
    <row r="22" spans="1:80" x14ac:dyDescent="0.2">
      <c r="B22" s="32">
        <v>0.6</v>
      </c>
      <c r="C22" s="32" t="s">
        <v>53</v>
      </c>
      <c r="D22" s="32" t="s">
        <v>16</v>
      </c>
      <c r="E22" s="32" t="s">
        <v>237</v>
      </c>
      <c r="F22" s="32">
        <v>200</v>
      </c>
      <c r="G22" s="32">
        <v>150</v>
      </c>
      <c r="H22" s="32">
        <f>HLOOKUP(E22,$BX$23:$CA$29, 6, FALSE)</f>
        <v>0.47</v>
      </c>
      <c r="J22" s="32">
        <f>HLOOKUP(E22,$BX$23:$CA$29, 2, FALSE)</f>
        <v>9.2999999999999999E-2</v>
      </c>
      <c r="K22" s="32">
        <f>HLOOKUP(E22,$BX$23:$CA$29, 5, FALSE)</f>
        <v>0.23</v>
      </c>
      <c r="L22" s="32">
        <f t="shared" ref="L22:L24" si="21">J22 * K22 / 6.25</f>
        <v>3.4223999999999999E-3</v>
      </c>
      <c r="M22" s="32">
        <f>L22 * (1 - H22)</f>
        <v>1.813872E-3</v>
      </c>
      <c r="N22" s="32">
        <f>F22 * M22 * G22</f>
        <v>54.416159999999998</v>
      </c>
      <c r="P22" s="32">
        <v>0.7</v>
      </c>
      <c r="Q22" s="32">
        <v>0.3</v>
      </c>
      <c r="S22" s="32">
        <f t="shared" ref="S22:S24" si="22">SUM(O22:R22)</f>
        <v>1</v>
      </c>
      <c r="T22" s="32">
        <f t="shared" si="13"/>
        <v>1E-3</v>
      </c>
      <c r="U22" s="32">
        <f t="shared" si="13"/>
        <v>1E-3</v>
      </c>
      <c r="V22" s="32">
        <f t="shared" si="13"/>
        <v>1E-3</v>
      </c>
      <c r="W22" s="32">
        <f t="shared" si="14"/>
        <v>0.3</v>
      </c>
      <c r="X22" s="32">
        <f t="shared" si="14"/>
        <v>0.05</v>
      </c>
      <c r="Y22" s="32">
        <f t="shared" si="14"/>
        <v>0.4</v>
      </c>
      <c r="Z22" s="32">
        <f t="shared" si="15"/>
        <v>0</v>
      </c>
      <c r="AA22" s="32">
        <f t="shared" si="15"/>
        <v>38.091311999999995</v>
      </c>
      <c r="AB22" s="32">
        <f t="shared" si="15"/>
        <v>16.324847999999999</v>
      </c>
      <c r="AC22" s="32">
        <f t="shared" ref="AC22:AC24" si="23">Z22*(1 - W22 - T22)</f>
        <v>0</v>
      </c>
      <c r="AD22" s="32">
        <f t="shared" si="16"/>
        <v>36.148655087999991</v>
      </c>
      <c r="AE22" s="32">
        <f t="shared" si="16"/>
        <v>9.778583952</v>
      </c>
      <c r="AF22" s="32">
        <v>0.6</v>
      </c>
      <c r="AG22" s="32">
        <v>0.4</v>
      </c>
      <c r="AM22" s="32">
        <v>0.5</v>
      </c>
      <c r="AN22" s="32">
        <v>0.5</v>
      </c>
      <c r="AT22" s="32">
        <v>1</v>
      </c>
      <c r="AU22" s="32">
        <f t="shared" si="17"/>
        <v>0</v>
      </c>
      <c r="AV22" s="32">
        <f t="shared" si="17"/>
        <v>0</v>
      </c>
      <c r="AW22" s="32">
        <f t="shared" si="17"/>
        <v>18.074327543999996</v>
      </c>
      <c r="AX22" s="32">
        <f t="shared" si="17"/>
        <v>18.074327543999996</v>
      </c>
      <c r="AY22" s="32">
        <f t="shared" si="17"/>
        <v>9.778583952</v>
      </c>
      <c r="AZ22" s="32">
        <f t="shared" si="18"/>
        <v>5.0000000000000001E-3</v>
      </c>
      <c r="BA22" s="32">
        <f t="shared" si="18"/>
        <v>0.01</v>
      </c>
      <c r="BB22" s="32">
        <f t="shared" si="18"/>
        <v>0</v>
      </c>
      <c r="BC22" s="32">
        <f t="shared" si="18"/>
        <v>0</v>
      </c>
      <c r="BD22" s="32">
        <v>0</v>
      </c>
      <c r="BE22" s="32">
        <f t="shared" si="19"/>
        <v>0.2</v>
      </c>
      <c r="BF22" s="32">
        <f t="shared" si="19"/>
        <v>0.2</v>
      </c>
      <c r="BG22" s="32">
        <f t="shared" si="19"/>
        <v>0</v>
      </c>
      <c r="BH22" s="32">
        <f t="shared" si="19"/>
        <v>0</v>
      </c>
      <c r="BI22" s="32">
        <v>0</v>
      </c>
      <c r="BJ22" s="32">
        <f t="shared" ref="BJ22:BJ24" si="24">IF($C22="yes",1,0)</f>
        <v>0</v>
      </c>
      <c r="BK22" s="32">
        <f t="shared" ref="BK22:BK24" si="25">$BX$19</f>
        <v>0.02</v>
      </c>
      <c r="BL22" s="32">
        <f>AU22*$BJ22*$BK22</f>
        <v>0</v>
      </c>
      <c r="BM22" s="32">
        <f>(AU22*(1-AZ22-BE22)-BL22)*$B22</f>
        <v>0</v>
      </c>
      <c r="BN22" s="32">
        <f t="shared" si="20"/>
        <v>0</v>
      </c>
      <c r="BO22" s="32">
        <f t="shared" si="20"/>
        <v>10.844596526399997</v>
      </c>
      <c r="BP22" s="32">
        <f t="shared" si="20"/>
        <v>10.844596526399997</v>
      </c>
      <c r="BQ22" s="32">
        <f t="shared" si="20"/>
        <v>5.8671503712000002</v>
      </c>
      <c r="BW22" s="41" t="s">
        <v>226</v>
      </c>
    </row>
    <row r="23" spans="1:80" ht="48" x14ac:dyDescent="0.2">
      <c r="B23" s="32">
        <v>0.6</v>
      </c>
      <c r="C23" s="32" t="s">
        <v>53</v>
      </c>
      <c r="D23" s="32" t="s">
        <v>16</v>
      </c>
      <c r="E23" s="32" t="s">
        <v>238</v>
      </c>
      <c r="F23" s="32">
        <v>100</v>
      </c>
      <c r="G23" s="32">
        <v>300</v>
      </c>
      <c r="H23" s="32">
        <f>HLOOKUP(E23,$BX$23:$CA$29, 6, FALSE)</f>
        <v>0.32</v>
      </c>
      <c r="J23" s="32">
        <f>HLOOKUP(E23,$BX$23:$CA$29, 2, FALSE)</f>
        <v>0.10299999999999999</v>
      </c>
      <c r="K23" s="32">
        <f>HLOOKUP(E23,$BX$23:$CA$29, 5, FALSE)</f>
        <v>0.19</v>
      </c>
      <c r="L23" s="32">
        <f t="shared" si="21"/>
        <v>3.1312000000000002E-3</v>
      </c>
      <c r="M23" s="32">
        <f>L23 * (1 - H23)</f>
        <v>2.1292159999999997E-3</v>
      </c>
      <c r="N23" s="32">
        <f>F23 * M23 * G23</f>
        <v>63.876479999999994</v>
      </c>
      <c r="P23" s="32">
        <v>0.7</v>
      </c>
      <c r="Q23" s="32">
        <v>0.3</v>
      </c>
      <c r="S23" s="32">
        <f t="shared" si="22"/>
        <v>1</v>
      </c>
      <c r="T23" s="32">
        <f t="shared" si="13"/>
        <v>1E-3</v>
      </c>
      <c r="U23" s="32">
        <f t="shared" si="13"/>
        <v>1E-3</v>
      </c>
      <c r="V23" s="32">
        <f t="shared" si="13"/>
        <v>1E-3</v>
      </c>
      <c r="W23" s="32">
        <f t="shared" si="14"/>
        <v>0.3</v>
      </c>
      <c r="X23" s="32">
        <f t="shared" si="14"/>
        <v>0.05</v>
      </c>
      <c r="Y23" s="32">
        <f t="shared" si="14"/>
        <v>0.4</v>
      </c>
      <c r="Z23" s="32">
        <f t="shared" si="15"/>
        <v>0</v>
      </c>
      <c r="AA23" s="32">
        <f t="shared" si="15"/>
        <v>44.713535999999991</v>
      </c>
      <c r="AB23" s="32">
        <f t="shared" si="15"/>
        <v>19.162943999999996</v>
      </c>
      <c r="AC23" s="32">
        <f t="shared" si="23"/>
        <v>0</v>
      </c>
      <c r="AD23" s="32">
        <f t="shared" si="16"/>
        <v>42.433145663999987</v>
      </c>
      <c r="AE23" s="32">
        <f t="shared" si="16"/>
        <v>11.478603455999997</v>
      </c>
      <c r="AF23" s="32">
        <v>0.6</v>
      </c>
      <c r="AG23" s="32">
        <v>0.4</v>
      </c>
      <c r="AM23" s="32">
        <v>0.5</v>
      </c>
      <c r="AN23" s="32">
        <v>0.5</v>
      </c>
      <c r="AT23" s="32">
        <v>1</v>
      </c>
      <c r="AU23" s="32">
        <f t="shared" si="17"/>
        <v>0</v>
      </c>
      <c r="AV23" s="32">
        <f t="shared" si="17"/>
        <v>0</v>
      </c>
      <c r="AW23" s="32">
        <f t="shared" si="17"/>
        <v>21.216572831999994</v>
      </c>
      <c r="AX23" s="32">
        <f t="shared" si="17"/>
        <v>21.216572831999994</v>
      </c>
      <c r="AY23" s="32">
        <f t="shared" si="17"/>
        <v>11.478603455999997</v>
      </c>
      <c r="AZ23" s="32">
        <f t="shared" si="18"/>
        <v>5.0000000000000001E-3</v>
      </c>
      <c r="BA23" s="32">
        <f t="shared" si="18"/>
        <v>0.01</v>
      </c>
      <c r="BB23" s="32">
        <f t="shared" si="18"/>
        <v>0</v>
      </c>
      <c r="BC23" s="32">
        <f t="shared" si="18"/>
        <v>0</v>
      </c>
      <c r="BD23" s="32">
        <v>0</v>
      </c>
      <c r="BE23" s="32">
        <f t="shared" si="19"/>
        <v>0.2</v>
      </c>
      <c r="BF23" s="32">
        <f t="shared" si="19"/>
        <v>0.2</v>
      </c>
      <c r="BG23" s="32">
        <f t="shared" si="19"/>
        <v>0</v>
      </c>
      <c r="BH23" s="32">
        <f t="shared" si="19"/>
        <v>0</v>
      </c>
      <c r="BI23" s="32">
        <v>0</v>
      </c>
      <c r="BJ23" s="32">
        <f t="shared" si="24"/>
        <v>0</v>
      </c>
      <c r="BK23" s="32">
        <f t="shared" si="25"/>
        <v>0.02</v>
      </c>
      <c r="BL23" s="32">
        <f>AU23*$BJ23*$BK23</f>
        <v>0</v>
      </c>
      <c r="BM23" s="32">
        <f>(AU23*(1-AZ23-BE23)-BL23)*$B23</f>
        <v>0</v>
      </c>
      <c r="BN23" s="32">
        <f t="shared" si="20"/>
        <v>0</v>
      </c>
      <c r="BO23" s="32">
        <f t="shared" si="20"/>
        <v>12.729943699199996</v>
      </c>
      <c r="BP23" s="32">
        <f t="shared" si="20"/>
        <v>12.729943699199996</v>
      </c>
      <c r="BQ23" s="32">
        <f t="shared" si="20"/>
        <v>6.8871620735999981</v>
      </c>
      <c r="BW23" s="41"/>
      <c r="BX23" s="39" t="s">
        <v>227</v>
      </c>
      <c r="BY23" s="39" t="s">
        <v>237</v>
      </c>
      <c r="BZ23" s="39" t="s">
        <v>238</v>
      </c>
      <c r="CA23" s="39" t="s">
        <v>228</v>
      </c>
    </row>
    <row r="24" spans="1:80" x14ac:dyDescent="0.2">
      <c r="B24" s="32">
        <v>0.6</v>
      </c>
      <c r="C24" s="32" t="s">
        <v>53</v>
      </c>
      <c r="D24" s="32" t="s">
        <v>16</v>
      </c>
      <c r="E24" s="32" t="s">
        <v>228</v>
      </c>
      <c r="F24" s="32">
        <v>50</v>
      </c>
      <c r="G24" s="32">
        <v>200</v>
      </c>
      <c r="H24" s="32">
        <f>HLOOKUP(E24,$BX$23:$CA$29, 6, FALSE)</f>
        <v>0.47</v>
      </c>
      <c r="J24" s="32">
        <f>HLOOKUP(E24,$BX$23:$CA$29, 2, FALSE)</f>
        <v>9.2999999999999999E-2</v>
      </c>
      <c r="K24" s="32">
        <f>HLOOKUP(E24,$BX$23:$CA$29, 5, FALSE)</f>
        <v>0.23</v>
      </c>
      <c r="L24" s="32">
        <f t="shared" si="21"/>
        <v>3.4223999999999999E-3</v>
      </c>
      <c r="M24" s="32">
        <f>L24 * (1 - H24)</f>
        <v>1.813872E-3</v>
      </c>
      <c r="N24" s="32">
        <f>F24 * M24 * G24</f>
        <v>18.138719999999999</v>
      </c>
      <c r="O24" s="32">
        <v>0.8</v>
      </c>
      <c r="R24" s="32">
        <v>0.2</v>
      </c>
      <c r="S24" s="32">
        <f t="shared" si="22"/>
        <v>1</v>
      </c>
      <c r="T24" s="32">
        <f t="shared" si="13"/>
        <v>1E-3</v>
      </c>
      <c r="U24" s="32">
        <f t="shared" si="13"/>
        <v>1E-3</v>
      </c>
      <c r="V24" s="32">
        <f t="shared" si="13"/>
        <v>1E-3</v>
      </c>
      <c r="W24" s="32">
        <f t="shared" si="14"/>
        <v>0.3</v>
      </c>
      <c r="X24" s="32">
        <f t="shared" si="14"/>
        <v>0.05</v>
      </c>
      <c r="Y24" s="32">
        <f t="shared" si="14"/>
        <v>0.4</v>
      </c>
      <c r="Z24" s="32">
        <f t="shared" si="15"/>
        <v>14.510975999999999</v>
      </c>
      <c r="AA24" s="32">
        <f t="shared" si="15"/>
        <v>0</v>
      </c>
      <c r="AB24" s="32">
        <f t="shared" si="15"/>
        <v>0</v>
      </c>
      <c r="AC24" s="32">
        <f t="shared" si="23"/>
        <v>10.143172223999999</v>
      </c>
      <c r="AD24" s="32">
        <f t="shared" si="16"/>
        <v>0</v>
      </c>
      <c r="AE24" s="32">
        <f t="shared" si="16"/>
        <v>0</v>
      </c>
      <c r="AF24" s="32">
        <v>0.6</v>
      </c>
      <c r="AG24" s="32">
        <v>0.4</v>
      </c>
      <c r="AM24" s="32">
        <v>0.5</v>
      </c>
      <c r="AN24" s="32">
        <v>0.5</v>
      </c>
      <c r="AT24" s="32">
        <v>1</v>
      </c>
      <c r="AU24" s="32">
        <f t="shared" si="17"/>
        <v>6.0859033343999993</v>
      </c>
      <c r="AV24" s="32">
        <f t="shared" si="17"/>
        <v>4.0572688895999995</v>
      </c>
      <c r="AW24" s="32">
        <f t="shared" si="17"/>
        <v>0</v>
      </c>
      <c r="AX24" s="32">
        <f t="shared" si="17"/>
        <v>0</v>
      </c>
      <c r="AY24" s="32">
        <f t="shared" si="17"/>
        <v>0</v>
      </c>
      <c r="AZ24" s="32">
        <f t="shared" si="18"/>
        <v>5.0000000000000001E-3</v>
      </c>
      <c r="BA24" s="32">
        <f t="shared" si="18"/>
        <v>0.01</v>
      </c>
      <c r="BB24" s="32">
        <f t="shared" si="18"/>
        <v>0</v>
      </c>
      <c r="BC24" s="32">
        <f t="shared" si="18"/>
        <v>0</v>
      </c>
      <c r="BD24" s="32">
        <v>0</v>
      </c>
      <c r="BE24" s="32">
        <f t="shared" si="19"/>
        <v>0.2</v>
      </c>
      <c r="BF24" s="32">
        <f t="shared" si="19"/>
        <v>0.2</v>
      </c>
      <c r="BG24" s="32">
        <f t="shared" si="19"/>
        <v>0</v>
      </c>
      <c r="BH24" s="32">
        <f t="shared" si="19"/>
        <v>0</v>
      </c>
      <c r="BI24" s="32">
        <v>0</v>
      </c>
      <c r="BJ24" s="32">
        <f t="shared" si="24"/>
        <v>0</v>
      </c>
      <c r="BK24" s="32">
        <f t="shared" si="25"/>
        <v>0.02</v>
      </c>
      <c r="BL24" s="32">
        <f>AU24*$BJ24*$BK24</f>
        <v>0</v>
      </c>
      <c r="BM24" s="32">
        <f>(AU24*(1-AZ24-BE24)-BL24)*$B24</f>
        <v>2.9029758905087992</v>
      </c>
      <c r="BN24" s="32">
        <f t="shared" si="20"/>
        <v>1.9231454536703998</v>
      </c>
      <c r="BO24" s="32">
        <f t="shared" si="20"/>
        <v>0</v>
      </c>
      <c r="BP24" s="32">
        <f t="shared" si="20"/>
        <v>0</v>
      </c>
      <c r="BQ24" s="32">
        <f t="shared" si="20"/>
        <v>0</v>
      </c>
      <c r="BW24" s="32" t="s">
        <v>229</v>
      </c>
      <c r="BX24" s="42">
        <v>8.5999999999999993E-2</v>
      </c>
      <c r="BY24" s="42">
        <v>9.2999999999999999E-2</v>
      </c>
      <c r="BZ24" s="42">
        <v>0.10299999999999999</v>
      </c>
      <c r="CA24" s="42">
        <v>9.2999999999999999E-2</v>
      </c>
    </row>
    <row r="25" spans="1:80" x14ac:dyDescent="0.2">
      <c r="BW25" s="32" t="s">
        <v>230</v>
      </c>
      <c r="BX25" s="42"/>
      <c r="BY25" s="42"/>
      <c r="BZ25" s="42"/>
      <c r="CA25" s="42"/>
    </row>
    <row r="26" spans="1:80" x14ac:dyDescent="0.2">
      <c r="BW26" s="32" t="s">
        <v>231</v>
      </c>
      <c r="BX26" s="40">
        <v>0.8</v>
      </c>
      <c r="BY26" s="40">
        <v>0.8</v>
      </c>
      <c r="BZ26" s="40">
        <v>0.8</v>
      </c>
      <c r="CA26" s="40">
        <v>0.8</v>
      </c>
    </row>
    <row r="27" spans="1:80" x14ac:dyDescent="0.2">
      <c r="BW27" s="32" t="s">
        <v>232</v>
      </c>
      <c r="BX27" s="40">
        <v>0.19</v>
      </c>
      <c r="BY27" s="40">
        <v>0.23</v>
      </c>
      <c r="BZ27" s="40">
        <v>0.19</v>
      </c>
      <c r="CA27" s="40">
        <v>0.23</v>
      </c>
    </row>
    <row r="28" spans="1:80" x14ac:dyDescent="0.2">
      <c r="BW28" s="32" t="s">
        <v>233</v>
      </c>
      <c r="BX28" s="40">
        <v>0.35</v>
      </c>
      <c r="BY28" s="40">
        <v>0.47</v>
      </c>
      <c r="BZ28" s="40">
        <v>0.32</v>
      </c>
      <c r="CA28" s="40">
        <v>0.47</v>
      </c>
    </row>
    <row r="29" spans="1:80" x14ac:dyDescent="0.2">
      <c r="BW29" s="32" t="s">
        <v>234</v>
      </c>
      <c r="BX29" s="40">
        <v>0.18</v>
      </c>
      <c r="BY29" s="40">
        <v>0.15</v>
      </c>
      <c r="BZ29" s="40">
        <v>0.18</v>
      </c>
      <c r="CA29" s="40">
        <v>0.15</v>
      </c>
    </row>
    <row r="31" spans="1:80" x14ac:dyDescent="0.2">
      <c r="A31" s="32" t="s">
        <v>264</v>
      </c>
      <c r="B31" s="32">
        <v>0.6</v>
      </c>
      <c r="C31" s="32" t="s">
        <v>50</v>
      </c>
      <c r="D31" s="32" t="s">
        <v>19</v>
      </c>
      <c r="E31" s="32" t="s">
        <v>227</v>
      </c>
      <c r="F31" s="32">
        <v>1000</v>
      </c>
      <c r="G31" s="32">
        <v>200</v>
      </c>
      <c r="H31" s="32">
        <f>HLOOKUP(E31,$BX$23:$CA$29, 6, FALSE)</f>
        <v>0.35</v>
      </c>
      <c r="J31" s="32">
        <f>HLOOKUP(E31,$BX$23:$CA$29, 2, FALSE)</f>
        <v>8.5999999999999993E-2</v>
      </c>
      <c r="K31" s="32">
        <f>HLOOKUP(E31,$BX$23:$CA$29, 5, FALSE)</f>
        <v>0.19</v>
      </c>
      <c r="L31" s="32">
        <f>J31 * K31 / 6.25</f>
        <v>2.6144000000000002E-3</v>
      </c>
      <c r="M31" s="32">
        <f>L31 * (1 - H31)</f>
        <v>1.6993600000000002E-3</v>
      </c>
      <c r="N31" s="32">
        <f>F31 * M31 * G31</f>
        <v>339.87200000000001</v>
      </c>
      <c r="P31" s="32">
        <v>1</v>
      </c>
      <c r="S31" s="32">
        <f>SUM(O31:R31)</f>
        <v>1</v>
      </c>
      <c r="T31" s="32">
        <f t="shared" ref="T31:V34" si="26">VLOOKUP(T$9, $BW$32:$BY$38, 3, FALSE)</f>
        <v>1E-3</v>
      </c>
      <c r="U31" s="32">
        <f t="shared" si="26"/>
        <v>1E-3</v>
      </c>
      <c r="V31" s="32">
        <f t="shared" si="26"/>
        <v>1E-3</v>
      </c>
      <c r="W31" s="32">
        <f t="shared" ref="W31:Y34" si="27">VLOOKUP(W$9, $BW$32:$BX$38, 2, FALSE)</f>
        <v>0.3</v>
      </c>
      <c r="X31" s="32">
        <f t="shared" si="27"/>
        <v>0.05</v>
      </c>
      <c r="Y31" s="32">
        <f t="shared" si="27"/>
        <v>0.4</v>
      </c>
      <c r="Z31" s="32">
        <f t="shared" ref="Z31:AB34" si="28">$N31 *O31</f>
        <v>0</v>
      </c>
      <c r="AA31" s="32">
        <f t="shared" si="28"/>
        <v>339.87200000000001</v>
      </c>
      <c r="AB31" s="32">
        <f t="shared" si="28"/>
        <v>0</v>
      </c>
      <c r="AC31" s="32">
        <f>Z31*(1 - W31 - T31)</f>
        <v>0</v>
      </c>
      <c r="AD31" s="32">
        <f t="shared" ref="AD31:AE34" si="29">AA31*(1 - X31 - U31)</f>
        <v>322.53852799999999</v>
      </c>
      <c r="AE31" s="32">
        <f t="shared" si="29"/>
        <v>0</v>
      </c>
      <c r="AF31" s="32">
        <v>0.6</v>
      </c>
      <c r="AG31" s="32">
        <v>0.4</v>
      </c>
      <c r="AM31" s="32">
        <v>0.5</v>
      </c>
      <c r="AN31" s="32">
        <v>0.5</v>
      </c>
      <c r="AT31" s="32">
        <v>1</v>
      </c>
      <c r="AU31" s="32">
        <f t="shared" ref="AU31:AY34" si="30">AF31*$AC31+AK31*$AD31+AP31*$AE31</f>
        <v>0</v>
      </c>
      <c r="AV31" s="32">
        <f t="shared" si="30"/>
        <v>0</v>
      </c>
      <c r="AW31" s="32">
        <f t="shared" si="30"/>
        <v>161.26926399999999</v>
      </c>
      <c r="AX31" s="32">
        <f t="shared" si="30"/>
        <v>161.26926399999999</v>
      </c>
      <c r="AY31" s="32">
        <f t="shared" si="30"/>
        <v>0</v>
      </c>
      <c r="AZ31" s="32">
        <f t="shared" ref="AZ31:BC34" si="31">VLOOKUP(AZ$9, $BW$32:$BY$38, 3, FALSE)</f>
        <v>5.0000000000000001E-3</v>
      </c>
      <c r="BA31" s="32">
        <f t="shared" si="31"/>
        <v>0.01</v>
      </c>
      <c r="BB31" s="32">
        <f t="shared" si="31"/>
        <v>0</v>
      </c>
      <c r="BC31" s="32">
        <f t="shared" si="31"/>
        <v>0</v>
      </c>
      <c r="BD31" s="32">
        <v>0</v>
      </c>
      <c r="BE31" s="32">
        <f t="shared" ref="BE31:BH34" si="32">VLOOKUP(BE$9, $BW$32:$BY$38, 2, FALSE)</f>
        <v>0.2</v>
      </c>
      <c r="BF31" s="32">
        <f t="shared" si="32"/>
        <v>0.2</v>
      </c>
      <c r="BG31" s="32">
        <f t="shared" si="32"/>
        <v>0</v>
      </c>
      <c r="BH31" s="32">
        <f t="shared" si="32"/>
        <v>0</v>
      </c>
      <c r="BI31" s="32">
        <v>0</v>
      </c>
      <c r="BJ31" s="32">
        <f>IF($C31="yes",1,0)</f>
        <v>1</v>
      </c>
      <c r="BK31" s="32">
        <f>$BX$19</f>
        <v>0.02</v>
      </c>
      <c r="BL31" s="32">
        <f>AU31*$BJ31*$BK31</f>
        <v>0</v>
      </c>
      <c r="BM31" s="32">
        <f>(AU31*(1-AZ31-BE31)-BL31)*$B31</f>
        <v>0</v>
      </c>
      <c r="BN31" s="32">
        <f t="shared" ref="BN31:BQ34" si="33">(AV31*(1-BA31-BF31))*$B31</f>
        <v>0</v>
      </c>
      <c r="BO31" s="32">
        <f t="shared" si="33"/>
        <v>96.761558399999998</v>
      </c>
      <c r="BP31" s="32">
        <f t="shared" si="33"/>
        <v>96.761558399999998</v>
      </c>
      <c r="BQ31" s="32">
        <f t="shared" si="33"/>
        <v>0</v>
      </c>
      <c r="BR31" s="32">
        <f>SUM(BM31:BQ34)</f>
        <v>258.17960020016636</v>
      </c>
      <c r="BS31" s="32">
        <f>IF(ISBLANK(D31), "", IF(D31="wet", $BX$13, $BX$14))</f>
        <v>5.0000000000000001E-3</v>
      </c>
      <c r="BT31" s="32">
        <f>IF(ISBLANK(D31), "", $BX$16)</f>
        <v>1.57</v>
      </c>
      <c r="BU31" s="32">
        <f>IF(ISBLANK(D31), "", BR31*BS31*BT31/1000)</f>
        <v>2.0267098615713059E-3</v>
      </c>
      <c r="BW31" s="32" t="s">
        <v>240</v>
      </c>
      <c r="BX31" s="32" t="s">
        <v>243</v>
      </c>
      <c r="BY31" s="32" t="s">
        <v>246</v>
      </c>
    </row>
    <row r="32" spans="1:80" x14ac:dyDescent="0.2">
      <c r="B32" s="32">
        <v>0.6</v>
      </c>
      <c r="C32" s="32" t="s">
        <v>50</v>
      </c>
      <c r="D32" s="32" t="s">
        <v>19</v>
      </c>
      <c r="E32" s="32" t="s">
        <v>237</v>
      </c>
      <c r="F32" s="32">
        <v>200</v>
      </c>
      <c r="G32" s="32">
        <v>150</v>
      </c>
      <c r="H32" s="32">
        <f>HLOOKUP(E32,$BX$23:$CA$29, 6, FALSE)</f>
        <v>0.47</v>
      </c>
      <c r="J32" s="32">
        <f>HLOOKUP(E32,$BX$23:$CA$29, 2, FALSE)</f>
        <v>9.2999999999999999E-2</v>
      </c>
      <c r="K32" s="32">
        <f>HLOOKUP(E32,$BX$23:$CA$29, 5, FALSE)</f>
        <v>0.23</v>
      </c>
      <c r="L32" s="32">
        <f t="shared" ref="L32:L34" si="34">J32 * K32 / 6.25</f>
        <v>3.4223999999999999E-3</v>
      </c>
      <c r="M32" s="32">
        <f>L32 * (1 - H32)</f>
        <v>1.813872E-3</v>
      </c>
      <c r="N32" s="32">
        <f>F32 * M32 * G32</f>
        <v>54.416159999999998</v>
      </c>
      <c r="P32" s="32">
        <v>0.7</v>
      </c>
      <c r="Q32" s="32">
        <v>0.3</v>
      </c>
      <c r="S32" s="32">
        <f t="shared" ref="S32:S34" si="35">SUM(O32:R32)</f>
        <v>1</v>
      </c>
      <c r="T32" s="32">
        <f t="shared" si="26"/>
        <v>1E-3</v>
      </c>
      <c r="U32" s="32">
        <f t="shared" si="26"/>
        <v>1E-3</v>
      </c>
      <c r="V32" s="32">
        <f t="shared" si="26"/>
        <v>1E-3</v>
      </c>
      <c r="W32" s="32">
        <f t="shared" si="27"/>
        <v>0.3</v>
      </c>
      <c r="X32" s="32">
        <f t="shared" si="27"/>
        <v>0.05</v>
      </c>
      <c r="Y32" s="32">
        <f t="shared" si="27"/>
        <v>0.4</v>
      </c>
      <c r="Z32" s="32">
        <f t="shared" si="28"/>
        <v>0</v>
      </c>
      <c r="AA32" s="32">
        <f t="shared" si="28"/>
        <v>38.091311999999995</v>
      </c>
      <c r="AB32" s="32">
        <f t="shared" si="28"/>
        <v>16.324847999999999</v>
      </c>
      <c r="AC32" s="32">
        <f t="shared" ref="AC32:AC34" si="36">Z32*(1 - W32 - T32)</f>
        <v>0</v>
      </c>
      <c r="AD32" s="32">
        <f t="shared" si="29"/>
        <v>36.148655087999991</v>
      </c>
      <c r="AE32" s="32">
        <f t="shared" si="29"/>
        <v>9.778583952</v>
      </c>
      <c r="AF32" s="32">
        <v>0.6</v>
      </c>
      <c r="AG32" s="32">
        <v>0.4</v>
      </c>
      <c r="AM32" s="32">
        <v>0.5</v>
      </c>
      <c r="AN32" s="32">
        <v>0.5</v>
      </c>
      <c r="AT32" s="32">
        <v>1</v>
      </c>
      <c r="AU32" s="32">
        <f t="shared" si="30"/>
        <v>0</v>
      </c>
      <c r="AV32" s="32">
        <f t="shared" si="30"/>
        <v>0</v>
      </c>
      <c r="AW32" s="32">
        <f t="shared" si="30"/>
        <v>18.074327543999996</v>
      </c>
      <c r="AX32" s="32">
        <f t="shared" si="30"/>
        <v>18.074327543999996</v>
      </c>
      <c r="AY32" s="32">
        <f t="shared" si="30"/>
        <v>9.778583952</v>
      </c>
      <c r="AZ32" s="32">
        <f t="shared" si="31"/>
        <v>5.0000000000000001E-3</v>
      </c>
      <c r="BA32" s="32">
        <f t="shared" si="31"/>
        <v>0.01</v>
      </c>
      <c r="BB32" s="32">
        <f t="shared" si="31"/>
        <v>0</v>
      </c>
      <c r="BC32" s="32">
        <f t="shared" si="31"/>
        <v>0</v>
      </c>
      <c r="BD32" s="32">
        <v>0</v>
      </c>
      <c r="BE32" s="32">
        <f t="shared" si="32"/>
        <v>0.2</v>
      </c>
      <c r="BF32" s="32">
        <f t="shared" si="32"/>
        <v>0.2</v>
      </c>
      <c r="BG32" s="32">
        <f t="shared" si="32"/>
        <v>0</v>
      </c>
      <c r="BH32" s="32">
        <f t="shared" si="32"/>
        <v>0</v>
      </c>
      <c r="BI32" s="32">
        <v>0</v>
      </c>
      <c r="BJ32" s="32">
        <f t="shared" ref="BJ32:BJ34" si="37">IF($C32="yes",1,0)</f>
        <v>1</v>
      </c>
      <c r="BK32" s="32">
        <f t="shared" ref="BK32:BK34" si="38">$BX$19</f>
        <v>0.02</v>
      </c>
      <c r="BL32" s="32">
        <f>AU32*$BJ32*$BK32</f>
        <v>0</v>
      </c>
      <c r="BM32" s="32">
        <f>(AU32*(1-AZ32-BE32)-BL32)*$B32</f>
        <v>0</v>
      </c>
      <c r="BN32" s="32">
        <f t="shared" si="33"/>
        <v>0</v>
      </c>
      <c r="BO32" s="32">
        <f t="shared" si="33"/>
        <v>10.844596526399997</v>
      </c>
      <c r="BP32" s="32">
        <f t="shared" si="33"/>
        <v>10.844596526399997</v>
      </c>
      <c r="BQ32" s="32">
        <f t="shared" si="33"/>
        <v>5.8671503712000002</v>
      </c>
      <c r="BW32" s="32" t="s">
        <v>244</v>
      </c>
      <c r="BX32" s="32">
        <v>0.3</v>
      </c>
      <c r="BY32" s="32">
        <v>1E-3</v>
      </c>
    </row>
    <row r="33" spans="1:77" x14ac:dyDescent="0.2">
      <c r="B33" s="32">
        <v>0.6</v>
      </c>
      <c r="C33" s="32" t="s">
        <v>50</v>
      </c>
      <c r="D33" s="32" t="s">
        <v>19</v>
      </c>
      <c r="E33" s="32" t="s">
        <v>238</v>
      </c>
      <c r="F33" s="32">
        <v>100</v>
      </c>
      <c r="G33" s="32">
        <v>300</v>
      </c>
      <c r="H33" s="32">
        <f>HLOOKUP(E33,$BX$23:$CA$29, 6, FALSE)</f>
        <v>0.32</v>
      </c>
      <c r="J33" s="32">
        <f>HLOOKUP(E33,$BX$23:$CA$29, 2, FALSE)</f>
        <v>0.10299999999999999</v>
      </c>
      <c r="K33" s="32">
        <f>HLOOKUP(E33,$BX$23:$CA$29, 5, FALSE)</f>
        <v>0.19</v>
      </c>
      <c r="L33" s="32">
        <f t="shared" si="34"/>
        <v>3.1312000000000002E-3</v>
      </c>
      <c r="M33" s="32">
        <f>L33 * (1 - H33)</f>
        <v>2.1292159999999997E-3</v>
      </c>
      <c r="N33" s="32">
        <f>F33 * M33 * G33</f>
        <v>63.876479999999994</v>
      </c>
      <c r="P33" s="32">
        <v>0.7</v>
      </c>
      <c r="Q33" s="32">
        <v>0.3</v>
      </c>
      <c r="S33" s="32">
        <f t="shared" si="35"/>
        <v>1</v>
      </c>
      <c r="T33" s="32">
        <f t="shared" si="26"/>
        <v>1E-3</v>
      </c>
      <c r="U33" s="32">
        <f t="shared" si="26"/>
        <v>1E-3</v>
      </c>
      <c r="V33" s="32">
        <f t="shared" si="26"/>
        <v>1E-3</v>
      </c>
      <c r="W33" s="32">
        <f t="shared" si="27"/>
        <v>0.3</v>
      </c>
      <c r="X33" s="32">
        <f t="shared" si="27"/>
        <v>0.05</v>
      </c>
      <c r="Y33" s="32">
        <f t="shared" si="27"/>
        <v>0.4</v>
      </c>
      <c r="Z33" s="32">
        <f t="shared" si="28"/>
        <v>0</v>
      </c>
      <c r="AA33" s="32">
        <f t="shared" si="28"/>
        <v>44.713535999999991</v>
      </c>
      <c r="AB33" s="32">
        <f t="shared" si="28"/>
        <v>19.162943999999996</v>
      </c>
      <c r="AC33" s="32">
        <f t="shared" si="36"/>
        <v>0</v>
      </c>
      <c r="AD33" s="32">
        <f t="shared" si="29"/>
        <v>42.433145663999987</v>
      </c>
      <c r="AE33" s="32">
        <f t="shared" si="29"/>
        <v>11.478603455999997</v>
      </c>
      <c r="AF33" s="32">
        <v>0.6</v>
      </c>
      <c r="AG33" s="32">
        <v>0.4</v>
      </c>
      <c r="AM33" s="32">
        <v>0.5</v>
      </c>
      <c r="AN33" s="32">
        <v>0.5</v>
      </c>
      <c r="AT33" s="32">
        <v>1</v>
      </c>
      <c r="AU33" s="32">
        <f t="shared" si="30"/>
        <v>0</v>
      </c>
      <c r="AV33" s="32">
        <f t="shared" si="30"/>
        <v>0</v>
      </c>
      <c r="AW33" s="32">
        <f t="shared" si="30"/>
        <v>21.216572831999994</v>
      </c>
      <c r="AX33" s="32">
        <f t="shared" si="30"/>
        <v>21.216572831999994</v>
      </c>
      <c r="AY33" s="32">
        <f t="shared" si="30"/>
        <v>11.478603455999997</v>
      </c>
      <c r="AZ33" s="32">
        <f t="shared" si="31"/>
        <v>5.0000000000000001E-3</v>
      </c>
      <c r="BA33" s="32">
        <f t="shared" si="31"/>
        <v>0.01</v>
      </c>
      <c r="BB33" s="32">
        <f t="shared" si="31"/>
        <v>0</v>
      </c>
      <c r="BC33" s="32">
        <f t="shared" si="31"/>
        <v>0</v>
      </c>
      <c r="BD33" s="32">
        <v>0</v>
      </c>
      <c r="BE33" s="32">
        <f t="shared" si="32"/>
        <v>0.2</v>
      </c>
      <c r="BF33" s="32">
        <f t="shared" si="32"/>
        <v>0.2</v>
      </c>
      <c r="BG33" s="32">
        <f t="shared" si="32"/>
        <v>0</v>
      </c>
      <c r="BH33" s="32">
        <f t="shared" si="32"/>
        <v>0</v>
      </c>
      <c r="BI33" s="32">
        <v>0</v>
      </c>
      <c r="BJ33" s="32">
        <f t="shared" si="37"/>
        <v>1</v>
      </c>
      <c r="BK33" s="32">
        <f t="shared" si="38"/>
        <v>0.02</v>
      </c>
      <c r="BL33" s="32">
        <f>AU33*$BJ33*$BK33</f>
        <v>0</v>
      </c>
      <c r="BM33" s="32">
        <f>(AU33*(1-AZ33-BE33)-BL33)*$B33</f>
        <v>0</v>
      </c>
      <c r="BN33" s="32">
        <f t="shared" si="33"/>
        <v>0</v>
      </c>
      <c r="BO33" s="32">
        <f t="shared" si="33"/>
        <v>12.729943699199996</v>
      </c>
      <c r="BP33" s="32">
        <f t="shared" si="33"/>
        <v>12.729943699199996</v>
      </c>
      <c r="BQ33" s="32">
        <f t="shared" si="33"/>
        <v>6.8871620735999981</v>
      </c>
      <c r="BW33" s="32" t="s">
        <v>241</v>
      </c>
      <c r="BX33" s="32">
        <v>0.05</v>
      </c>
      <c r="BY33" s="32">
        <v>1E-3</v>
      </c>
    </row>
    <row r="34" spans="1:77" x14ac:dyDescent="0.2">
      <c r="B34" s="32">
        <v>0.6</v>
      </c>
      <c r="C34" s="32" t="s">
        <v>50</v>
      </c>
      <c r="D34" s="32" t="s">
        <v>19</v>
      </c>
      <c r="E34" s="32" t="s">
        <v>228</v>
      </c>
      <c r="F34" s="32">
        <v>50</v>
      </c>
      <c r="G34" s="32">
        <v>200</v>
      </c>
      <c r="H34" s="32">
        <f>HLOOKUP(E34,$BX$23:$CA$29, 6, FALSE)</f>
        <v>0.47</v>
      </c>
      <c r="J34" s="32">
        <f>HLOOKUP(E34,$BX$23:$CA$29, 2, FALSE)</f>
        <v>9.2999999999999999E-2</v>
      </c>
      <c r="K34" s="32">
        <f>HLOOKUP(E34,$BX$23:$CA$29, 5, FALSE)</f>
        <v>0.23</v>
      </c>
      <c r="L34" s="32">
        <f t="shared" si="34"/>
        <v>3.4223999999999999E-3</v>
      </c>
      <c r="M34" s="32">
        <f>L34 * (1 - H34)</f>
        <v>1.813872E-3</v>
      </c>
      <c r="N34" s="32">
        <f>F34 * M34 * G34</f>
        <v>18.138719999999999</v>
      </c>
      <c r="O34" s="32">
        <v>0.8</v>
      </c>
      <c r="R34" s="32">
        <v>0.2</v>
      </c>
      <c r="S34" s="32">
        <f t="shared" si="35"/>
        <v>1</v>
      </c>
      <c r="T34" s="32">
        <f t="shared" si="26"/>
        <v>1E-3</v>
      </c>
      <c r="U34" s="32">
        <f t="shared" si="26"/>
        <v>1E-3</v>
      </c>
      <c r="V34" s="32">
        <f t="shared" si="26"/>
        <v>1E-3</v>
      </c>
      <c r="W34" s="32">
        <f t="shared" si="27"/>
        <v>0.3</v>
      </c>
      <c r="X34" s="32">
        <f t="shared" si="27"/>
        <v>0.05</v>
      </c>
      <c r="Y34" s="32">
        <f t="shared" si="27"/>
        <v>0.4</v>
      </c>
      <c r="Z34" s="32">
        <f t="shared" si="28"/>
        <v>14.510975999999999</v>
      </c>
      <c r="AA34" s="32">
        <f t="shared" si="28"/>
        <v>0</v>
      </c>
      <c r="AB34" s="32">
        <f t="shared" si="28"/>
        <v>0</v>
      </c>
      <c r="AC34" s="32">
        <f t="shared" si="36"/>
        <v>10.143172223999999</v>
      </c>
      <c r="AD34" s="32">
        <f t="shared" si="29"/>
        <v>0</v>
      </c>
      <c r="AE34" s="32">
        <f t="shared" si="29"/>
        <v>0</v>
      </c>
      <c r="AF34" s="32">
        <v>0.6</v>
      </c>
      <c r="AG34" s="32">
        <v>0.4</v>
      </c>
      <c r="AM34" s="32">
        <v>0.5</v>
      </c>
      <c r="AN34" s="32">
        <v>0.5</v>
      </c>
      <c r="AT34" s="32">
        <v>1</v>
      </c>
      <c r="AU34" s="32">
        <f t="shared" si="30"/>
        <v>6.0859033343999993</v>
      </c>
      <c r="AV34" s="32">
        <f t="shared" si="30"/>
        <v>4.0572688895999995</v>
      </c>
      <c r="AW34" s="32">
        <f t="shared" si="30"/>
        <v>0</v>
      </c>
      <c r="AX34" s="32">
        <f t="shared" si="30"/>
        <v>0</v>
      </c>
      <c r="AY34" s="32">
        <f t="shared" si="30"/>
        <v>0</v>
      </c>
      <c r="AZ34" s="32">
        <f t="shared" si="31"/>
        <v>5.0000000000000001E-3</v>
      </c>
      <c r="BA34" s="32">
        <f t="shared" si="31"/>
        <v>0.01</v>
      </c>
      <c r="BB34" s="32">
        <f t="shared" si="31"/>
        <v>0</v>
      </c>
      <c r="BC34" s="32">
        <f t="shared" si="31"/>
        <v>0</v>
      </c>
      <c r="BD34" s="32">
        <v>0</v>
      </c>
      <c r="BE34" s="32">
        <f t="shared" si="32"/>
        <v>0.2</v>
      </c>
      <c r="BF34" s="32">
        <f t="shared" si="32"/>
        <v>0.2</v>
      </c>
      <c r="BG34" s="32">
        <f t="shared" si="32"/>
        <v>0</v>
      </c>
      <c r="BH34" s="32">
        <f t="shared" si="32"/>
        <v>0</v>
      </c>
      <c r="BI34" s="32">
        <v>0</v>
      </c>
      <c r="BJ34" s="32">
        <f t="shared" si="37"/>
        <v>1</v>
      </c>
      <c r="BK34" s="32">
        <f t="shared" si="38"/>
        <v>0.02</v>
      </c>
      <c r="BL34" s="32">
        <f>AU34*$BJ34*$BK34</f>
        <v>0.12171806668799999</v>
      </c>
      <c r="BM34" s="32">
        <f>(AU34*(1-AZ34-BE34)-BL34)*$B34</f>
        <v>2.8299450504959998</v>
      </c>
      <c r="BN34" s="32">
        <f t="shared" si="33"/>
        <v>1.9231454536703998</v>
      </c>
      <c r="BO34" s="32">
        <f t="shared" si="33"/>
        <v>0</v>
      </c>
      <c r="BP34" s="32">
        <f t="shared" si="33"/>
        <v>0</v>
      </c>
      <c r="BQ34" s="32">
        <f t="shared" si="33"/>
        <v>0</v>
      </c>
      <c r="BW34" s="32" t="s">
        <v>242</v>
      </c>
      <c r="BX34" s="32">
        <v>0.4</v>
      </c>
      <c r="BY34" s="32">
        <v>1E-3</v>
      </c>
    </row>
    <row r="35" spans="1:77" x14ac:dyDescent="0.2">
      <c r="BW35" s="32" t="s">
        <v>250</v>
      </c>
      <c r="BX35" s="32">
        <v>0.2</v>
      </c>
      <c r="BY35" s="32">
        <v>5.0000000000000001E-3</v>
      </c>
    </row>
    <row r="36" spans="1:77" x14ac:dyDescent="0.2">
      <c r="BW36" s="32" t="s">
        <v>251</v>
      </c>
      <c r="BX36" s="32">
        <v>0.2</v>
      </c>
      <c r="BY36" s="32">
        <v>0.01</v>
      </c>
    </row>
    <row r="37" spans="1:77" x14ac:dyDescent="0.2">
      <c r="BW37" s="32" t="s">
        <v>249</v>
      </c>
      <c r="BX37" s="32">
        <v>0</v>
      </c>
      <c r="BY37" s="32">
        <v>0</v>
      </c>
    </row>
    <row r="38" spans="1:77" x14ac:dyDescent="0.2">
      <c r="BW38" s="32" t="s">
        <v>252</v>
      </c>
      <c r="BX38" s="32">
        <v>0</v>
      </c>
      <c r="BY38" s="32">
        <v>0</v>
      </c>
    </row>
    <row r="39" spans="1:77" x14ac:dyDescent="0.2">
      <c r="BW39" s="32" t="s">
        <v>280</v>
      </c>
      <c r="BX39" s="32">
        <v>0</v>
      </c>
      <c r="BY39" s="32">
        <v>0</v>
      </c>
    </row>
    <row r="41" spans="1:77" x14ac:dyDescent="0.2">
      <c r="A41" s="32" t="s">
        <v>265</v>
      </c>
      <c r="B41" s="32">
        <v>0.6</v>
      </c>
      <c r="C41" s="32" t="s">
        <v>50</v>
      </c>
      <c r="D41" s="32" t="s">
        <v>16</v>
      </c>
      <c r="E41" s="32" t="s">
        <v>227</v>
      </c>
      <c r="F41" s="32">
        <v>1000</v>
      </c>
      <c r="G41" s="32">
        <v>200</v>
      </c>
      <c r="H41" s="32">
        <f>HLOOKUP(E41,$BX$23:$CA$29, 6, FALSE)</f>
        <v>0.35</v>
      </c>
      <c r="J41" s="32">
        <f>HLOOKUP(E41,$BX$23:$CA$29, 2, FALSE)</f>
        <v>8.5999999999999993E-2</v>
      </c>
      <c r="K41" s="32">
        <f>HLOOKUP(E41,$BX$23:$CA$29, 5, FALSE)</f>
        <v>0.19</v>
      </c>
      <c r="L41" s="32">
        <f>J41 * K41 / 6.25</f>
        <v>2.6144000000000002E-3</v>
      </c>
      <c r="M41" s="32">
        <f>L41 * (1 - H41)</f>
        <v>1.6993600000000002E-3</v>
      </c>
      <c r="N41" s="32">
        <f>F41 * M41 * G41</f>
        <v>339.87200000000001</v>
      </c>
      <c r="O41" s="32">
        <v>1</v>
      </c>
      <c r="P41" s="32">
        <v>0</v>
      </c>
      <c r="S41" s="32">
        <f>SUM(O41:R41)</f>
        <v>1</v>
      </c>
      <c r="T41" s="32">
        <f t="shared" ref="T41:V44" si="39">VLOOKUP(T$9, $BW$32:$BY$38, 3, FALSE)</f>
        <v>1E-3</v>
      </c>
      <c r="U41" s="32">
        <f t="shared" si="39"/>
        <v>1E-3</v>
      </c>
      <c r="V41" s="32">
        <f t="shared" si="39"/>
        <v>1E-3</v>
      </c>
      <c r="W41" s="32">
        <f t="shared" ref="W41:Y44" si="40">VLOOKUP(W$9, $BW$32:$BX$38, 2, FALSE)</f>
        <v>0.3</v>
      </c>
      <c r="X41" s="32">
        <f t="shared" si="40"/>
        <v>0.05</v>
      </c>
      <c r="Y41" s="32">
        <f t="shared" si="40"/>
        <v>0.4</v>
      </c>
      <c r="Z41" s="32">
        <f t="shared" ref="Z41:AB44" si="41">$N41 *O41</f>
        <v>339.87200000000001</v>
      </c>
      <c r="AA41" s="32">
        <f t="shared" si="41"/>
        <v>0</v>
      </c>
      <c r="AB41" s="32">
        <f t="shared" si="41"/>
        <v>0</v>
      </c>
      <c r="AC41" s="32">
        <f>Z41*(1 - W41 - T41)</f>
        <v>237.570528</v>
      </c>
      <c r="AD41" s="32">
        <f t="shared" ref="AD41:AE44" si="42">AA41*(1 - X41 - U41)</f>
        <v>0</v>
      </c>
      <c r="AE41" s="32">
        <f t="shared" si="42"/>
        <v>0</v>
      </c>
      <c r="AF41" s="32">
        <v>0.6</v>
      </c>
      <c r="AG41" s="32">
        <v>0.4</v>
      </c>
      <c r="AM41" s="32">
        <v>0.5</v>
      </c>
      <c r="AN41" s="32">
        <v>0.5</v>
      </c>
      <c r="AT41" s="32">
        <v>1</v>
      </c>
      <c r="AU41" s="32">
        <f t="shared" ref="AU41:AY44" si="43">AF41*$AC41+AK41*$AD41+AP41*$AE41</f>
        <v>142.54231679999998</v>
      </c>
      <c r="AV41" s="32">
        <f t="shared" si="43"/>
        <v>95.028211200000001</v>
      </c>
      <c r="AW41" s="32">
        <f t="shared" si="43"/>
        <v>0</v>
      </c>
      <c r="AX41" s="32">
        <f t="shared" si="43"/>
        <v>0</v>
      </c>
      <c r="AY41" s="32">
        <f t="shared" si="43"/>
        <v>0</v>
      </c>
      <c r="AZ41" s="32">
        <f t="shared" ref="AZ41:BC44" si="44">VLOOKUP(AZ$9, $BW$32:$BY$38, 3, FALSE)</f>
        <v>5.0000000000000001E-3</v>
      </c>
      <c r="BA41" s="32">
        <f t="shared" si="44"/>
        <v>0.01</v>
      </c>
      <c r="BB41" s="32">
        <f t="shared" si="44"/>
        <v>0</v>
      </c>
      <c r="BC41" s="32">
        <f t="shared" si="44"/>
        <v>0</v>
      </c>
      <c r="BD41" s="32">
        <v>0</v>
      </c>
      <c r="BE41" s="32">
        <f t="shared" ref="BE41:BH44" si="45">VLOOKUP(BE$9, $BW$32:$BY$38, 2, FALSE)</f>
        <v>0.2</v>
      </c>
      <c r="BF41" s="32">
        <f t="shared" si="45"/>
        <v>0.2</v>
      </c>
      <c r="BG41" s="32">
        <f t="shared" si="45"/>
        <v>0</v>
      </c>
      <c r="BH41" s="32">
        <f t="shared" si="45"/>
        <v>0</v>
      </c>
      <c r="BI41" s="32">
        <v>0</v>
      </c>
      <c r="BJ41" s="32">
        <f>IF($C41="yes",1,0)</f>
        <v>1</v>
      </c>
      <c r="BK41" s="32">
        <f>$BX$19</f>
        <v>0.02</v>
      </c>
      <c r="BL41" s="32">
        <f>AU41*$BJ41*$BK41</f>
        <v>2.8508463359999996</v>
      </c>
      <c r="BM41" s="32">
        <f>(AU41*(1-AZ41-BE41)-BL41)*$B41</f>
        <v>66.282177311999973</v>
      </c>
      <c r="BN41" s="32">
        <f t="shared" ref="BN41:BQ44" si="46">(AV41*(1-BA41-BF41))*$B41</f>
        <v>45.0433721088</v>
      </c>
      <c r="BO41" s="32">
        <f t="shared" si="46"/>
        <v>0</v>
      </c>
      <c r="BP41" s="32">
        <f t="shared" si="46"/>
        <v>0</v>
      </c>
      <c r="BQ41" s="32">
        <f t="shared" si="46"/>
        <v>0</v>
      </c>
      <c r="BR41" s="32">
        <f>SUM(BM41:BQ44)</f>
        <v>156.01383239270399</v>
      </c>
      <c r="BS41" s="32">
        <f>IF(ISBLANK(D41), "", IF(D41="wet", $BX$13, $BX$14))</f>
        <v>6.0000000000000001E-3</v>
      </c>
      <c r="BT41" s="32">
        <f>IF(ISBLANK(D41), "", $BX$16)</f>
        <v>1.57</v>
      </c>
      <c r="BU41" s="32">
        <f>IF(ISBLANK(D41), "", BR41*BS41*BT41/1000)</f>
        <v>1.4696503011392716E-3</v>
      </c>
    </row>
    <row r="42" spans="1:77" x14ac:dyDescent="0.2">
      <c r="B42" s="32">
        <v>0.6</v>
      </c>
      <c r="C42" s="32" t="s">
        <v>50</v>
      </c>
      <c r="D42" s="32" t="s">
        <v>16</v>
      </c>
      <c r="E42" s="32" t="s">
        <v>237</v>
      </c>
      <c r="F42" s="32">
        <v>200</v>
      </c>
      <c r="G42" s="32">
        <v>150</v>
      </c>
      <c r="H42" s="32">
        <f>HLOOKUP(E42,$BX$23:$CA$29, 6, FALSE)</f>
        <v>0.47</v>
      </c>
      <c r="J42" s="32">
        <f>HLOOKUP(E42,$BX$23:$CA$29, 2, FALSE)</f>
        <v>9.2999999999999999E-2</v>
      </c>
      <c r="K42" s="32">
        <f>HLOOKUP(E42,$BX$23:$CA$29, 5, FALSE)</f>
        <v>0.23</v>
      </c>
      <c r="L42" s="32">
        <f t="shared" ref="L42:L44" si="47">J42 * K42 / 6.25</f>
        <v>3.4223999999999999E-3</v>
      </c>
      <c r="M42" s="32">
        <f>L42 * (1 - H42)</f>
        <v>1.813872E-3</v>
      </c>
      <c r="N42" s="32">
        <f>F42 * M42 * G42</f>
        <v>54.416159999999998</v>
      </c>
      <c r="O42" s="32">
        <v>1</v>
      </c>
      <c r="P42" s="32">
        <v>0</v>
      </c>
      <c r="Q42" s="32">
        <v>0</v>
      </c>
      <c r="S42" s="32">
        <f t="shared" ref="S42:S44" si="48">SUM(O42:R42)</f>
        <v>1</v>
      </c>
      <c r="T42" s="32">
        <f t="shared" si="39"/>
        <v>1E-3</v>
      </c>
      <c r="U42" s="32">
        <f t="shared" si="39"/>
        <v>1E-3</v>
      </c>
      <c r="V42" s="32">
        <f t="shared" si="39"/>
        <v>1E-3</v>
      </c>
      <c r="W42" s="32">
        <f t="shared" si="40"/>
        <v>0.3</v>
      </c>
      <c r="X42" s="32">
        <f t="shared" si="40"/>
        <v>0.05</v>
      </c>
      <c r="Y42" s="32">
        <f t="shared" si="40"/>
        <v>0.4</v>
      </c>
      <c r="Z42" s="32">
        <f t="shared" si="41"/>
        <v>54.416159999999998</v>
      </c>
      <c r="AA42" s="32">
        <f t="shared" si="41"/>
        <v>0</v>
      </c>
      <c r="AB42" s="32">
        <f t="shared" si="41"/>
        <v>0</v>
      </c>
      <c r="AC42" s="32">
        <f t="shared" ref="AC42:AC44" si="49">Z42*(1 - W42 - T42)</f>
        <v>38.036895839999993</v>
      </c>
      <c r="AD42" s="32">
        <f t="shared" si="42"/>
        <v>0</v>
      </c>
      <c r="AE42" s="32">
        <f t="shared" si="42"/>
        <v>0</v>
      </c>
      <c r="AF42" s="32">
        <v>0.6</v>
      </c>
      <c r="AG42" s="32">
        <v>0.4</v>
      </c>
      <c r="AM42" s="32">
        <v>0.5</v>
      </c>
      <c r="AN42" s="32">
        <v>0.5</v>
      </c>
      <c r="AT42" s="32">
        <v>1</v>
      </c>
      <c r="AU42" s="32">
        <f t="shared" si="43"/>
        <v>22.822137503999993</v>
      </c>
      <c r="AV42" s="32">
        <f t="shared" si="43"/>
        <v>15.214758335999997</v>
      </c>
      <c r="AW42" s="32">
        <f t="shared" si="43"/>
        <v>0</v>
      </c>
      <c r="AX42" s="32">
        <f t="shared" si="43"/>
        <v>0</v>
      </c>
      <c r="AY42" s="32">
        <f t="shared" si="43"/>
        <v>0</v>
      </c>
      <c r="AZ42" s="32">
        <f t="shared" si="44"/>
        <v>5.0000000000000001E-3</v>
      </c>
      <c r="BA42" s="32">
        <f t="shared" si="44"/>
        <v>0.01</v>
      </c>
      <c r="BB42" s="32">
        <f t="shared" si="44"/>
        <v>0</v>
      </c>
      <c r="BC42" s="32">
        <f t="shared" si="44"/>
        <v>0</v>
      </c>
      <c r="BD42" s="32">
        <v>0</v>
      </c>
      <c r="BE42" s="32">
        <f t="shared" si="45"/>
        <v>0.2</v>
      </c>
      <c r="BF42" s="32">
        <f t="shared" si="45"/>
        <v>0.2</v>
      </c>
      <c r="BG42" s="32">
        <f t="shared" si="45"/>
        <v>0</v>
      </c>
      <c r="BH42" s="32">
        <f t="shared" si="45"/>
        <v>0</v>
      </c>
      <c r="BI42" s="32">
        <v>0</v>
      </c>
      <c r="BJ42" s="32">
        <f t="shared" ref="BJ42:BJ44" si="50">IF($C42="yes",1,0)</f>
        <v>1</v>
      </c>
      <c r="BK42" s="32">
        <f t="shared" ref="BK42:BK44" si="51">$BX$19</f>
        <v>0.02</v>
      </c>
      <c r="BL42" s="32">
        <f>AU42*$BJ42*$BK42</f>
        <v>0.4564427500799999</v>
      </c>
      <c r="BM42" s="32">
        <f>(AU42*(1-AZ42-BE42)-BL42)*$B42</f>
        <v>10.612293939359995</v>
      </c>
      <c r="BN42" s="32">
        <f t="shared" si="46"/>
        <v>7.211795451263999</v>
      </c>
      <c r="BO42" s="32">
        <f t="shared" si="46"/>
        <v>0</v>
      </c>
      <c r="BP42" s="32">
        <f t="shared" si="46"/>
        <v>0</v>
      </c>
      <c r="BQ42" s="32">
        <f t="shared" si="46"/>
        <v>0</v>
      </c>
    </row>
    <row r="43" spans="1:77" x14ac:dyDescent="0.2">
      <c r="B43" s="32">
        <v>0.6</v>
      </c>
      <c r="C43" s="32" t="s">
        <v>50</v>
      </c>
      <c r="D43" s="32" t="s">
        <v>16</v>
      </c>
      <c r="E43" s="32" t="s">
        <v>238</v>
      </c>
      <c r="F43" s="32">
        <v>100</v>
      </c>
      <c r="G43" s="32">
        <v>300</v>
      </c>
      <c r="H43" s="32">
        <f>HLOOKUP(E43,$BX$23:$CA$29, 6, FALSE)</f>
        <v>0.32</v>
      </c>
      <c r="J43" s="32">
        <f>HLOOKUP(E43,$BX$23:$CA$29, 2, FALSE)</f>
        <v>0.10299999999999999</v>
      </c>
      <c r="K43" s="32">
        <f>HLOOKUP(E43,$BX$23:$CA$29, 5, FALSE)</f>
        <v>0.19</v>
      </c>
      <c r="L43" s="32">
        <f t="shared" si="47"/>
        <v>3.1312000000000002E-3</v>
      </c>
      <c r="M43" s="32">
        <f>L43 * (1 - H43)</f>
        <v>2.1292159999999997E-3</v>
      </c>
      <c r="N43" s="32">
        <f>F43 * M43 * G43</f>
        <v>63.876479999999994</v>
      </c>
      <c r="O43" s="32">
        <v>1</v>
      </c>
      <c r="P43" s="32">
        <v>0</v>
      </c>
      <c r="Q43" s="32">
        <v>0</v>
      </c>
      <c r="S43" s="32">
        <f t="shared" si="48"/>
        <v>1</v>
      </c>
      <c r="T43" s="32">
        <f t="shared" si="39"/>
        <v>1E-3</v>
      </c>
      <c r="U43" s="32">
        <f t="shared" si="39"/>
        <v>1E-3</v>
      </c>
      <c r="V43" s="32">
        <f t="shared" si="39"/>
        <v>1E-3</v>
      </c>
      <c r="W43" s="32">
        <f t="shared" si="40"/>
        <v>0.3</v>
      </c>
      <c r="X43" s="32">
        <f t="shared" si="40"/>
        <v>0.05</v>
      </c>
      <c r="Y43" s="32">
        <f t="shared" si="40"/>
        <v>0.4</v>
      </c>
      <c r="Z43" s="32">
        <f t="shared" si="41"/>
        <v>63.876479999999994</v>
      </c>
      <c r="AA43" s="32">
        <f t="shared" si="41"/>
        <v>0</v>
      </c>
      <c r="AB43" s="32">
        <f t="shared" si="41"/>
        <v>0</v>
      </c>
      <c r="AC43" s="32">
        <f t="shared" si="49"/>
        <v>44.649659519999993</v>
      </c>
      <c r="AD43" s="32">
        <f t="shared" si="42"/>
        <v>0</v>
      </c>
      <c r="AE43" s="32">
        <f t="shared" si="42"/>
        <v>0</v>
      </c>
      <c r="AF43" s="32">
        <v>0.6</v>
      </c>
      <c r="AG43" s="32">
        <v>0.4</v>
      </c>
      <c r="AM43" s="32">
        <v>0.5</v>
      </c>
      <c r="AN43" s="32">
        <v>0.5</v>
      </c>
      <c r="AT43" s="32">
        <v>1</v>
      </c>
      <c r="AU43" s="32">
        <f t="shared" si="43"/>
        <v>26.789795711999997</v>
      </c>
      <c r="AV43" s="32">
        <f t="shared" si="43"/>
        <v>17.859863807999997</v>
      </c>
      <c r="AW43" s="32">
        <f t="shared" si="43"/>
        <v>0</v>
      </c>
      <c r="AX43" s="32">
        <f t="shared" si="43"/>
        <v>0</v>
      </c>
      <c r="AY43" s="32">
        <f t="shared" si="43"/>
        <v>0</v>
      </c>
      <c r="AZ43" s="32">
        <f t="shared" si="44"/>
        <v>5.0000000000000001E-3</v>
      </c>
      <c r="BA43" s="32">
        <f t="shared" si="44"/>
        <v>0.01</v>
      </c>
      <c r="BB43" s="32">
        <f t="shared" si="44"/>
        <v>0</v>
      </c>
      <c r="BC43" s="32">
        <f t="shared" si="44"/>
        <v>0</v>
      </c>
      <c r="BD43" s="32">
        <v>0</v>
      </c>
      <c r="BE43" s="32">
        <f t="shared" si="45"/>
        <v>0.2</v>
      </c>
      <c r="BF43" s="32">
        <f t="shared" si="45"/>
        <v>0.2</v>
      </c>
      <c r="BG43" s="32">
        <f t="shared" si="45"/>
        <v>0</v>
      </c>
      <c r="BH43" s="32">
        <f t="shared" si="45"/>
        <v>0</v>
      </c>
      <c r="BI43" s="32">
        <v>0</v>
      </c>
      <c r="BJ43" s="32">
        <f t="shared" si="50"/>
        <v>1</v>
      </c>
      <c r="BK43" s="32">
        <f t="shared" si="51"/>
        <v>0.02</v>
      </c>
      <c r="BL43" s="32">
        <f>AU43*$BJ43*$BK43</f>
        <v>0.53579591423999995</v>
      </c>
      <c r="BM43" s="32">
        <f>(AU43*(1-AZ43-BE43)-BL43)*$B43</f>
        <v>12.457255006079995</v>
      </c>
      <c r="BN43" s="32">
        <f t="shared" si="46"/>
        <v>8.4655754449919982</v>
      </c>
      <c r="BO43" s="32">
        <f t="shared" si="46"/>
        <v>0</v>
      </c>
      <c r="BP43" s="32">
        <f t="shared" si="46"/>
        <v>0</v>
      </c>
      <c r="BQ43" s="32">
        <f t="shared" si="46"/>
        <v>0</v>
      </c>
    </row>
    <row r="44" spans="1:77" x14ac:dyDescent="0.2">
      <c r="B44" s="32">
        <v>0.6</v>
      </c>
      <c r="C44" s="32" t="s">
        <v>50</v>
      </c>
      <c r="D44" s="32" t="s">
        <v>16</v>
      </c>
      <c r="E44" s="32" t="s">
        <v>228</v>
      </c>
      <c r="F44" s="32">
        <v>50</v>
      </c>
      <c r="G44" s="32">
        <v>200</v>
      </c>
      <c r="H44" s="32">
        <f>HLOOKUP(E44,$BX$23:$CA$29, 6, FALSE)</f>
        <v>0.47</v>
      </c>
      <c r="J44" s="32">
        <f>HLOOKUP(E44,$BX$23:$CA$29, 2, FALSE)</f>
        <v>9.2999999999999999E-2</v>
      </c>
      <c r="K44" s="32">
        <f>HLOOKUP(E44,$BX$23:$CA$29, 5, FALSE)</f>
        <v>0.23</v>
      </c>
      <c r="L44" s="32">
        <f t="shared" si="47"/>
        <v>3.4223999999999999E-3</v>
      </c>
      <c r="M44" s="32">
        <f>L44 * (1 - H44)</f>
        <v>1.813872E-3</v>
      </c>
      <c r="N44" s="32">
        <f>F44 * M44 * G44</f>
        <v>18.138719999999999</v>
      </c>
      <c r="O44" s="32">
        <v>1</v>
      </c>
      <c r="R44" s="32">
        <v>0</v>
      </c>
      <c r="S44" s="32">
        <f t="shared" si="48"/>
        <v>1</v>
      </c>
      <c r="T44" s="32">
        <f t="shared" si="39"/>
        <v>1E-3</v>
      </c>
      <c r="U44" s="32">
        <f t="shared" si="39"/>
        <v>1E-3</v>
      </c>
      <c r="V44" s="32">
        <f t="shared" si="39"/>
        <v>1E-3</v>
      </c>
      <c r="W44" s="32">
        <f t="shared" si="40"/>
        <v>0.3</v>
      </c>
      <c r="X44" s="32">
        <f t="shared" si="40"/>
        <v>0.05</v>
      </c>
      <c r="Y44" s="32">
        <f t="shared" si="40"/>
        <v>0.4</v>
      </c>
      <c r="Z44" s="32">
        <f t="shared" si="41"/>
        <v>18.138719999999999</v>
      </c>
      <c r="AA44" s="32">
        <f t="shared" si="41"/>
        <v>0</v>
      </c>
      <c r="AB44" s="32">
        <f t="shared" si="41"/>
        <v>0</v>
      </c>
      <c r="AC44" s="32">
        <f t="shared" si="49"/>
        <v>12.678965279999998</v>
      </c>
      <c r="AD44" s="32">
        <f t="shared" si="42"/>
        <v>0</v>
      </c>
      <c r="AE44" s="32">
        <f t="shared" si="42"/>
        <v>0</v>
      </c>
      <c r="AF44" s="32">
        <v>0.6</v>
      </c>
      <c r="AG44" s="32">
        <v>0.4</v>
      </c>
      <c r="AM44" s="32">
        <v>0.5</v>
      </c>
      <c r="AN44" s="32">
        <v>0.5</v>
      </c>
      <c r="AT44" s="32">
        <v>1</v>
      </c>
      <c r="AU44" s="32">
        <f t="shared" si="43"/>
        <v>7.6073791679999987</v>
      </c>
      <c r="AV44" s="32">
        <f t="shared" si="43"/>
        <v>5.0715861119999994</v>
      </c>
      <c r="AW44" s="32">
        <f t="shared" si="43"/>
        <v>0</v>
      </c>
      <c r="AX44" s="32">
        <f t="shared" si="43"/>
        <v>0</v>
      </c>
      <c r="AY44" s="32">
        <f t="shared" si="43"/>
        <v>0</v>
      </c>
      <c r="AZ44" s="32">
        <f t="shared" si="44"/>
        <v>5.0000000000000001E-3</v>
      </c>
      <c r="BA44" s="32">
        <f t="shared" si="44"/>
        <v>0.01</v>
      </c>
      <c r="BB44" s="32">
        <f t="shared" si="44"/>
        <v>0</v>
      </c>
      <c r="BC44" s="32">
        <f t="shared" si="44"/>
        <v>0</v>
      </c>
      <c r="BD44" s="32">
        <v>0</v>
      </c>
      <c r="BE44" s="32">
        <f t="shared" si="45"/>
        <v>0.2</v>
      </c>
      <c r="BF44" s="32">
        <f t="shared" si="45"/>
        <v>0.2</v>
      </c>
      <c r="BG44" s="32">
        <f t="shared" si="45"/>
        <v>0</v>
      </c>
      <c r="BH44" s="32">
        <f t="shared" si="45"/>
        <v>0</v>
      </c>
      <c r="BI44" s="32">
        <v>0</v>
      </c>
      <c r="BJ44" s="32">
        <f t="shared" si="50"/>
        <v>1</v>
      </c>
      <c r="BK44" s="32">
        <f t="shared" si="51"/>
        <v>0.02</v>
      </c>
      <c r="BL44" s="32">
        <f>AU44*$BJ44*$BK44</f>
        <v>0.15214758335999998</v>
      </c>
      <c r="BM44" s="32">
        <f>(AU44*(1-AZ44-BE44)-BL44)*$B44</f>
        <v>3.537431313119999</v>
      </c>
      <c r="BN44" s="32">
        <f t="shared" si="46"/>
        <v>2.403931817088</v>
      </c>
      <c r="BO44" s="32">
        <f t="shared" si="46"/>
        <v>0</v>
      </c>
      <c r="BP44" s="32">
        <f t="shared" si="46"/>
        <v>0</v>
      </c>
      <c r="BQ44" s="32">
        <f t="shared" si="46"/>
        <v>0</v>
      </c>
    </row>
    <row r="51" spans="1:73" x14ac:dyDescent="0.2">
      <c r="A51" s="32" t="s">
        <v>266</v>
      </c>
      <c r="B51" s="32">
        <v>0.6</v>
      </c>
      <c r="C51" s="32" t="s">
        <v>50</v>
      </c>
      <c r="D51" s="32" t="s">
        <v>16</v>
      </c>
      <c r="E51" s="32" t="s">
        <v>227</v>
      </c>
      <c r="F51" s="32">
        <v>100</v>
      </c>
      <c r="G51" s="32">
        <v>200</v>
      </c>
      <c r="H51" s="32">
        <f>HLOOKUP(E51,$BX$23:$CA$29, 6, FALSE)</f>
        <v>0.35</v>
      </c>
      <c r="J51" s="32">
        <f>HLOOKUP(E51,$BX$23:$CA$29, 2, FALSE)</f>
        <v>8.5999999999999993E-2</v>
      </c>
      <c r="K51" s="32">
        <f>HLOOKUP(E51,$BX$23:$CA$29, 5, FALSE)</f>
        <v>0.19</v>
      </c>
      <c r="L51" s="32">
        <f>J51 * K51 / 6.25</f>
        <v>2.6144000000000002E-3</v>
      </c>
      <c r="M51" s="32">
        <f>L51 * (1 - H51)</f>
        <v>1.6993600000000002E-3</v>
      </c>
      <c r="N51" s="32">
        <f>F51 * M51 * G51</f>
        <v>33.987200000000009</v>
      </c>
      <c r="P51" s="32">
        <v>1</v>
      </c>
      <c r="S51" s="32">
        <f>SUM(O51:R51)</f>
        <v>1</v>
      </c>
      <c r="T51" s="32">
        <f t="shared" ref="T51:V54" si="52">VLOOKUP(T$9, $BW$32:$BY$38, 3, FALSE)</f>
        <v>1E-3</v>
      </c>
      <c r="U51" s="32">
        <f t="shared" si="52"/>
        <v>1E-3</v>
      </c>
      <c r="V51" s="32">
        <f t="shared" si="52"/>
        <v>1E-3</v>
      </c>
      <c r="W51" s="32">
        <f t="shared" ref="W51:Y54" si="53">VLOOKUP(W$9, $BW$32:$BX$38, 2, FALSE)</f>
        <v>0.3</v>
      </c>
      <c r="X51" s="32">
        <f t="shared" si="53"/>
        <v>0.05</v>
      </c>
      <c r="Y51" s="32">
        <f t="shared" si="53"/>
        <v>0.4</v>
      </c>
      <c r="Z51" s="32">
        <f t="shared" ref="Z51:AB54" si="54">$N51 *O51</f>
        <v>0</v>
      </c>
      <c r="AA51" s="32">
        <f t="shared" si="54"/>
        <v>33.987200000000009</v>
      </c>
      <c r="AB51" s="32">
        <f t="shared" si="54"/>
        <v>0</v>
      </c>
      <c r="AC51" s="32">
        <f>Z51*(1 - W51 - T51)</f>
        <v>0</v>
      </c>
      <c r="AD51" s="32">
        <f t="shared" ref="AD51:AE54" si="55">AA51*(1 - X51 - U51)</f>
        <v>32.253852800000004</v>
      </c>
      <c r="AE51" s="32">
        <f t="shared" si="55"/>
        <v>0</v>
      </c>
      <c r="AF51" s="32">
        <v>0.6</v>
      </c>
      <c r="AG51" s="32">
        <v>0.4</v>
      </c>
      <c r="AM51" s="32">
        <v>0.5</v>
      </c>
      <c r="AN51" s="32">
        <v>0.5</v>
      </c>
      <c r="AT51" s="32">
        <v>1</v>
      </c>
      <c r="AU51" s="32">
        <f t="shared" ref="AU51:AY54" si="56">AF51*$AC51+AK51*$AD51+AP51*$AE51</f>
        <v>0</v>
      </c>
      <c r="AV51" s="32">
        <f t="shared" si="56"/>
        <v>0</v>
      </c>
      <c r="AW51" s="32">
        <f t="shared" si="56"/>
        <v>16.126926400000002</v>
      </c>
      <c r="AX51" s="32">
        <f t="shared" si="56"/>
        <v>16.126926400000002</v>
      </c>
      <c r="AY51" s="32">
        <f t="shared" si="56"/>
        <v>0</v>
      </c>
      <c r="AZ51" s="32">
        <f t="shared" ref="AZ51:BC54" si="57">VLOOKUP(AZ$9, $BW$32:$BY$38, 3, FALSE)</f>
        <v>5.0000000000000001E-3</v>
      </c>
      <c r="BA51" s="32">
        <f t="shared" si="57"/>
        <v>0.01</v>
      </c>
      <c r="BB51" s="32">
        <f t="shared" si="57"/>
        <v>0</v>
      </c>
      <c r="BC51" s="32">
        <f t="shared" si="57"/>
        <v>0</v>
      </c>
      <c r="BD51" s="32">
        <v>0</v>
      </c>
      <c r="BE51" s="32">
        <f t="shared" ref="BE51:BH54" si="58">VLOOKUP(BE$9, $BW$32:$BY$38, 2, FALSE)</f>
        <v>0.2</v>
      </c>
      <c r="BF51" s="32">
        <f t="shared" si="58"/>
        <v>0.2</v>
      </c>
      <c r="BG51" s="32">
        <f t="shared" si="58"/>
        <v>0</v>
      </c>
      <c r="BH51" s="32">
        <f t="shared" si="58"/>
        <v>0</v>
      </c>
      <c r="BI51" s="32">
        <v>0</v>
      </c>
      <c r="BJ51" s="32">
        <f>IF($C51="yes",1,0)</f>
        <v>1</v>
      </c>
      <c r="BK51" s="32">
        <f>$BX$19</f>
        <v>0.02</v>
      </c>
      <c r="BL51" s="32">
        <f>AU51*$BJ51*$BK51</f>
        <v>0</v>
      </c>
      <c r="BM51" s="32">
        <f>(AU51*(1-AZ51-BE51)-BL51)*$B51</f>
        <v>0</v>
      </c>
      <c r="BN51" s="32">
        <f t="shared" ref="BN51:BQ54" si="59">(AV51*(1-BA51-BF51))*$B51</f>
        <v>0</v>
      </c>
      <c r="BO51" s="32">
        <f t="shared" si="59"/>
        <v>9.6761558400000016</v>
      </c>
      <c r="BP51" s="32">
        <f t="shared" si="59"/>
        <v>9.6761558400000016</v>
      </c>
      <c r="BQ51" s="32">
        <f t="shared" si="59"/>
        <v>0</v>
      </c>
      <c r="BR51" s="32">
        <f>SUM(BM51:BQ54)</f>
        <v>342.44665096166403</v>
      </c>
      <c r="BS51" s="32">
        <f>IF(ISBLANK(D51), "", IF(D51="wet", $BX$13, $BX$14))</f>
        <v>6.0000000000000001E-3</v>
      </c>
      <c r="BT51" s="32">
        <f>IF(ISBLANK(D51), "", $BX$16)</f>
        <v>1.57</v>
      </c>
      <c r="BU51" s="32">
        <f>IF(ISBLANK(D51), "", BR51*BS51*BT51/1000)</f>
        <v>3.2258474520588751E-3</v>
      </c>
    </row>
    <row r="52" spans="1:73" x14ac:dyDescent="0.2">
      <c r="B52" s="32">
        <v>0.6</v>
      </c>
      <c r="C52" s="32" t="s">
        <v>50</v>
      </c>
      <c r="D52" s="32" t="s">
        <v>16</v>
      </c>
      <c r="E52" s="32" t="s">
        <v>237</v>
      </c>
      <c r="F52" s="32">
        <v>2000</v>
      </c>
      <c r="G52" s="32">
        <v>150</v>
      </c>
      <c r="H52" s="32">
        <f>HLOOKUP(E52,$BX$23:$CA$29, 6, FALSE)</f>
        <v>0.47</v>
      </c>
      <c r="J52" s="32">
        <f>HLOOKUP(E52,$BX$23:$CA$29, 2, FALSE)</f>
        <v>9.2999999999999999E-2</v>
      </c>
      <c r="K52" s="32">
        <f>HLOOKUP(E52,$BX$23:$CA$29, 5, FALSE)</f>
        <v>0.23</v>
      </c>
      <c r="L52" s="32">
        <f t="shared" ref="L52:L54" si="60">J52 * K52 / 6.25</f>
        <v>3.4223999999999999E-3</v>
      </c>
      <c r="M52" s="32">
        <f>L52 * (1 - H52)</f>
        <v>1.813872E-3</v>
      </c>
      <c r="N52" s="32">
        <f>F52 * M52 * G52</f>
        <v>544.16160000000002</v>
      </c>
      <c r="P52" s="32">
        <v>0.7</v>
      </c>
      <c r="Q52" s="32">
        <v>0.3</v>
      </c>
      <c r="S52" s="32">
        <f t="shared" ref="S52:S54" si="61">SUM(O52:R52)</f>
        <v>1</v>
      </c>
      <c r="T52" s="32">
        <f t="shared" si="52"/>
        <v>1E-3</v>
      </c>
      <c r="U52" s="32">
        <f t="shared" si="52"/>
        <v>1E-3</v>
      </c>
      <c r="V52" s="32">
        <f t="shared" si="52"/>
        <v>1E-3</v>
      </c>
      <c r="W52" s="32">
        <f t="shared" si="53"/>
        <v>0.3</v>
      </c>
      <c r="X52" s="32">
        <f t="shared" si="53"/>
        <v>0.05</v>
      </c>
      <c r="Y52" s="32">
        <f t="shared" si="53"/>
        <v>0.4</v>
      </c>
      <c r="Z52" s="32">
        <f t="shared" si="54"/>
        <v>0</v>
      </c>
      <c r="AA52" s="32">
        <f t="shared" si="54"/>
        <v>380.91311999999999</v>
      </c>
      <c r="AB52" s="32">
        <f t="shared" si="54"/>
        <v>163.24848</v>
      </c>
      <c r="AC52" s="32">
        <f t="shared" ref="AC52:AC54" si="62">Z52*(1 - W52 - T52)</f>
        <v>0</v>
      </c>
      <c r="AD52" s="32">
        <f t="shared" si="55"/>
        <v>361.48655087999998</v>
      </c>
      <c r="AE52" s="32">
        <f t="shared" si="55"/>
        <v>97.785839519999996</v>
      </c>
      <c r="AF52" s="32">
        <v>0.6</v>
      </c>
      <c r="AG52" s="32">
        <v>0.4</v>
      </c>
      <c r="AM52" s="32">
        <v>0.5</v>
      </c>
      <c r="AN52" s="32">
        <v>0.5</v>
      </c>
      <c r="AT52" s="32">
        <v>1</v>
      </c>
      <c r="AU52" s="32">
        <f t="shared" si="56"/>
        <v>0</v>
      </c>
      <c r="AV52" s="32">
        <f t="shared" si="56"/>
        <v>0</v>
      </c>
      <c r="AW52" s="32">
        <f t="shared" si="56"/>
        <v>180.74327543999999</v>
      </c>
      <c r="AX52" s="32">
        <f t="shared" si="56"/>
        <v>180.74327543999999</v>
      </c>
      <c r="AY52" s="32">
        <f t="shared" si="56"/>
        <v>97.785839519999996</v>
      </c>
      <c r="AZ52" s="32">
        <f t="shared" si="57"/>
        <v>5.0000000000000001E-3</v>
      </c>
      <c r="BA52" s="32">
        <f t="shared" si="57"/>
        <v>0.01</v>
      </c>
      <c r="BB52" s="32">
        <f t="shared" si="57"/>
        <v>0</v>
      </c>
      <c r="BC52" s="32">
        <f t="shared" si="57"/>
        <v>0</v>
      </c>
      <c r="BD52" s="32">
        <v>0</v>
      </c>
      <c r="BE52" s="32">
        <f t="shared" si="58"/>
        <v>0.2</v>
      </c>
      <c r="BF52" s="32">
        <f t="shared" si="58"/>
        <v>0.2</v>
      </c>
      <c r="BG52" s="32">
        <f t="shared" si="58"/>
        <v>0</v>
      </c>
      <c r="BH52" s="32">
        <f t="shared" si="58"/>
        <v>0</v>
      </c>
      <c r="BI52" s="32">
        <v>0</v>
      </c>
      <c r="BJ52" s="32">
        <f t="shared" ref="BJ52:BJ54" si="63">IF($C52="yes",1,0)</f>
        <v>1</v>
      </c>
      <c r="BK52" s="32">
        <f t="shared" ref="BK52:BK54" si="64">$BX$19</f>
        <v>0.02</v>
      </c>
      <c r="BL52" s="32">
        <f>AU52*$BJ52*$BK52</f>
        <v>0</v>
      </c>
      <c r="BM52" s="32">
        <f>(AU52*(1-AZ52-BE52)-BL52)*$B52</f>
        <v>0</v>
      </c>
      <c r="BN52" s="32">
        <f t="shared" si="59"/>
        <v>0</v>
      </c>
      <c r="BO52" s="32">
        <f t="shared" si="59"/>
        <v>108.44596526399999</v>
      </c>
      <c r="BP52" s="32">
        <f t="shared" si="59"/>
        <v>108.44596526399999</v>
      </c>
      <c r="BQ52" s="32">
        <f t="shared" si="59"/>
        <v>58.671503711999996</v>
      </c>
    </row>
    <row r="53" spans="1:73" x14ac:dyDescent="0.2">
      <c r="B53" s="32">
        <v>0.6</v>
      </c>
      <c r="C53" s="32" t="s">
        <v>50</v>
      </c>
      <c r="D53" s="32" t="s">
        <v>16</v>
      </c>
      <c r="E53" s="32" t="s">
        <v>238</v>
      </c>
      <c r="F53" s="32">
        <v>0</v>
      </c>
      <c r="G53" s="32">
        <v>300</v>
      </c>
      <c r="H53" s="32">
        <f>HLOOKUP(E53,$BX$23:$CA$29, 6, FALSE)</f>
        <v>0.32</v>
      </c>
      <c r="J53" s="32">
        <f>HLOOKUP(E53,$BX$23:$CA$29, 2, FALSE)</f>
        <v>0.10299999999999999</v>
      </c>
      <c r="K53" s="32">
        <f>HLOOKUP(E53,$BX$23:$CA$29, 5, FALSE)</f>
        <v>0.19</v>
      </c>
      <c r="L53" s="32">
        <f t="shared" si="60"/>
        <v>3.1312000000000002E-3</v>
      </c>
      <c r="M53" s="32">
        <f>L53 * (1 - H53)</f>
        <v>2.1292159999999997E-3</v>
      </c>
      <c r="N53" s="32">
        <f>F53 * M53 * G53</f>
        <v>0</v>
      </c>
      <c r="P53" s="32">
        <v>0.7</v>
      </c>
      <c r="Q53" s="32">
        <v>0.3</v>
      </c>
      <c r="S53" s="32">
        <f t="shared" si="61"/>
        <v>1</v>
      </c>
      <c r="T53" s="32">
        <f t="shared" si="52"/>
        <v>1E-3</v>
      </c>
      <c r="U53" s="32">
        <f t="shared" si="52"/>
        <v>1E-3</v>
      </c>
      <c r="V53" s="32">
        <f t="shared" si="52"/>
        <v>1E-3</v>
      </c>
      <c r="W53" s="32">
        <f t="shared" si="53"/>
        <v>0.3</v>
      </c>
      <c r="X53" s="32">
        <f t="shared" si="53"/>
        <v>0.05</v>
      </c>
      <c r="Y53" s="32">
        <f t="shared" si="53"/>
        <v>0.4</v>
      </c>
      <c r="Z53" s="32">
        <f t="shared" si="54"/>
        <v>0</v>
      </c>
      <c r="AA53" s="32">
        <f t="shared" si="54"/>
        <v>0</v>
      </c>
      <c r="AB53" s="32">
        <f t="shared" si="54"/>
        <v>0</v>
      </c>
      <c r="AC53" s="32">
        <f t="shared" si="62"/>
        <v>0</v>
      </c>
      <c r="AD53" s="32">
        <f t="shared" si="55"/>
        <v>0</v>
      </c>
      <c r="AE53" s="32">
        <f t="shared" si="55"/>
        <v>0</v>
      </c>
      <c r="AF53" s="32">
        <v>0.6</v>
      </c>
      <c r="AG53" s="32">
        <v>0.4</v>
      </c>
      <c r="AM53" s="32">
        <v>0.5</v>
      </c>
      <c r="AN53" s="32">
        <v>0.5</v>
      </c>
      <c r="AT53" s="32">
        <v>1</v>
      </c>
      <c r="AU53" s="32">
        <f t="shared" si="56"/>
        <v>0</v>
      </c>
      <c r="AV53" s="32">
        <f t="shared" si="56"/>
        <v>0</v>
      </c>
      <c r="AW53" s="32">
        <f t="shared" si="56"/>
        <v>0</v>
      </c>
      <c r="AX53" s="32">
        <f t="shared" si="56"/>
        <v>0</v>
      </c>
      <c r="AY53" s="32">
        <f t="shared" si="56"/>
        <v>0</v>
      </c>
      <c r="AZ53" s="32">
        <f t="shared" si="57"/>
        <v>5.0000000000000001E-3</v>
      </c>
      <c r="BA53" s="32">
        <f t="shared" si="57"/>
        <v>0.01</v>
      </c>
      <c r="BB53" s="32">
        <f t="shared" si="57"/>
        <v>0</v>
      </c>
      <c r="BC53" s="32">
        <f t="shared" si="57"/>
        <v>0</v>
      </c>
      <c r="BD53" s="32">
        <v>0</v>
      </c>
      <c r="BE53" s="32">
        <f t="shared" si="58"/>
        <v>0.2</v>
      </c>
      <c r="BF53" s="32">
        <f t="shared" si="58"/>
        <v>0.2</v>
      </c>
      <c r="BG53" s="32">
        <f t="shared" si="58"/>
        <v>0</v>
      </c>
      <c r="BH53" s="32">
        <f t="shared" si="58"/>
        <v>0</v>
      </c>
      <c r="BI53" s="32">
        <v>0</v>
      </c>
      <c r="BJ53" s="32">
        <f t="shared" si="63"/>
        <v>1</v>
      </c>
      <c r="BK53" s="32">
        <f t="shared" si="64"/>
        <v>0.02</v>
      </c>
      <c r="BL53" s="32">
        <f>AU53*$BJ53*$BK53</f>
        <v>0</v>
      </c>
      <c r="BM53" s="32">
        <f>(AU53*(1-AZ53-BE53)-BL53)*$B53</f>
        <v>0</v>
      </c>
      <c r="BN53" s="32">
        <f t="shared" si="59"/>
        <v>0</v>
      </c>
      <c r="BO53" s="32">
        <f t="shared" si="59"/>
        <v>0</v>
      </c>
      <c r="BP53" s="32">
        <f t="shared" si="59"/>
        <v>0</v>
      </c>
      <c r="BQ53" s="32">
        <f t="shared" si="59"/>
        <v>0</v>
      </c>
    </row>
    <row r="54" spans="1:73" x14ac:dyDescent="0.2">
      <c r="B54" s="32">
        <v>0.6</v>
      </c>
      <c r="C54" s="32" t="s">
        <v>50</v>
      </c>
      <c r="D54" s="32" t="s">
        <v>16</v>
      </c>
      <c r="E54" s="32" t="s">
        <v>228</v>
      </c>
      <c r="F54" s="32">
        <v>500</v>
      </c>
      <c r="G54" s="32">
        <v>200</v>
      </c>
      <c r="H54" s="32">
        <f>HLOOKUP(E54,$BX$23:$CA$29, 6, FALSE)</f>
        <v>0.47</v>
      </c>
      <c r="J54" s="32">
        <f>HLOOKUP(E54,$BX$23:$CA$29, 2, FALSE)</f>
        <v>9.2999999999999999E-2</v>
      </c>
      <c r="K54" s="32">
        <f>HLOOKUP(E54,$BX$23:$CA$29, 5, FALSE)</f>
        <v>0.23</v>
      </c>
      <c r="L54" s="32">
        <f t="shared" si="60"/>
        <v>3.4223999999999999E-3</v>
      </c>
      <c r="M54" s="32">
        <f>L54 * (1 - H54)</f>
        <v>1.813872E-3</v>
      </c>
      <c r="N54" s="32">
        <f>F54 * M54 * G54</f>
        <v>181.38720000000001</v>
      </c>
      <c r="O54" s="32">
        <v>0.8</v>
      </c>
      <c r="R54" s="32">
        <v>0.2</v>
      </c>
      <c r="S54" s="32">
        <f t="shared" si="61"/>
        <v>1</v>
      </c>
      <c r="T54" s="32">
        <f t="shared" si="52"/>
        <v>1E-3</v>
      </c>
      <c r="U54" s="32">
        <f t="shared" si="52"/>
        <v>1E-3</v>
      </c>
      <c r="V54" s="32">
        <f t="shared" si="52"/>
        <v>1E-3</v>
      </c>
      <c r="W54" s="32">
        <f t="shared" si="53"/>
        <v>0.3</v>
      </c>
      <c r="X54" s="32">
        <f t="shared" si="53"/>
        <v>0.05</v>
      </c>
      <c r="Y54" s="32">
        <f t="shared" si="53"/>
        <v>0.4</v>
      </c>
      <c r="Z54" s="32">
        <f t="shared" si="54"/>
        <v>145.10976000000002</v>
      </c>
      <c r="AA54" s="32">
        <f t="shared" si="54"/>
        <v>0</v>
      </c>
      <c r="AB54" s="32">
        <f t="shared" si="54"/>
        <v>0</v>
      </c>
      <c r="AC54" s="32">
        <f t="shared" si="62"/>
        <v>101.43172224000001</v>
      </c>
      <c r="AD54" s="32">
        <f t="shared" si="55"/>
        <v>0</v>
      </c>
      <c r="AE54" s="32">
        <f t="shared" si="55"/>
        <v>0</v>
      </c>
      <c r="AF54" s="32">
        <v>0.6</v>
      </c>
      <c r="AG54" s="32">
        <v>0.4</v>
      </c>
      <c r="AM54" s="32">
        <v>0.5</v>
      </c>
      <c r="AN54" s="32">
        <v>0.5</v>
      </c>
      <c r="AT54" s="32">
        <v>1</v>
      </c>
      <c r="AU54" s="32">
        <f t="shared" si="56"/>
        <v>60.859033344000004</v>
      </c>
      <c r="AV54" s="32">
        <f t="shared" si="56"/>
        <v>40.57268889600001</v>
      </c>
      <c r="AW54" s="32">
        <f t="shared" si="56"/>
        <v>0</v>
      </c>
      <c r="AX54" s="32">
        <f t="shared" si="56"/>
        <v>0</v>
      </c>
      <c r="AY54" s="32">
        <f t="shared" si="56"/>
        <v>0</v>
      </c>
      <c r="AZ54" s="32">
        <f t="shared" si="57"/>
        <v>5.0000000000000001E-3</v>
      </c>
      <c r="BA54" s="32">
        <f t="shared" si="57"/>
        <v>0.01</v>
      </c>
      <c r="BB54" s="32">
        <f t="shared" si="57"/>
        <v>0</v>
      </c>
      <c r="BC54" s="32">
        <f t="shared" si="57"/>
        <v>0</v>
      </c>
      <c r="BD54" s="32">
        <v>0</v>
      </c>
      <c r="BE54" s="32">
        <f t="shared" si="58"/>
        <v>0.2</v>
      </c>
      <c r="BF54" s="32">
        <f t="shared" si="58"/>
        <v>0.2</v>
      </c>
      <c r="BG54" s="32">
        <f t="shared" si="58"/>
        <v>0</v>
      </c>
      <c r="BH54" s="32">
        <f t="shared" si="58"/>
        <v>0</v>
      </c>
      <c r="BI54" s="32">
        <v>0</v>
      </c>
      <c r="BJ54" s="32">
        <f t="shared" si="63"/>
        <v>1</v>
      </c>
      <c r="BK54" s="32">
        <f t="shared" si="64"/>
        <v>0.02</v>
      </c>
      <c r="BL54" s="32">
        <f>AU54*$BJ54*$BK54</f>
        <v>1.21718066688</v>
      </c>
      <c r="BM54" s="32">
        <f>(AU54*(1-AZ54-BE54)-BL54)*$B54</f>
        <v>28.299450504959999</v>
      </c>
      <c r="BN54" s="32">
        <f t="shared" si="59"/>
        <v>19.231454536704003</v>
      </c>
      <c r="BO54" s="32">
        <f t="shared" si="59"/>
        <v>0</v>
      </c>
      <c r="BP54" s="32">
        <f t="shared" si="59"/>
        <v>0</v>
      </c>
      <c r="BQ54" s="32">
        <f t="shared" si="59"/>
        <v>0</v>
      </c>
    </row>
    <row r="81" spans="1:47" x14ac:dyDescent="0.2">
      <c r="A81" s="32" t="s">
        <v>267</v>
      </c>
      <c r="B81" s="32">
        <v>0.6</v>
      </c>
      <c r="C81" s="32" t="s">
        <v>50</v>
      </c>
      <c r="D81" s="32" t="s">
        <v>16</v>
      </c>
      <c r="E81" s="32" t="s">
        <v>227</v>
      </c>
      <c r="F81" s="32">
        <v>1000</v>
      </c>
      <c r="G81" s="32">
        <v>200</v>
      </c>
      <c r="H81" s="32" t="e">
        <f>HLOOKUP(E81,$AX$23:$BA$29, 6, FALSE)</f>
        <v>#N/A</v>
      </c>
      <c r="I81" s="32">
        <v>0.05</v>
      </c>
      <c r="J81" s="32">
        <v>0.05</v>
      </c>
      <c r="K81" s="32" t="e">
        <f>HLOOKUP(E81,$AX$23:$BA$29, 5, FALSE)</f>
        <v>#N/A</v>
      </c>
      <c r="L81" s="32" t="e">
        <f>J81 * K81 / 6.25</f>
        <v>#N/A</v>
      </c>
      <c r="M81" s="32" t="e">
        <f>L81 * (1 - H81)</f>
        <v>#N/A</v>
      </c>
      <c r="N81" s="32" t="e">
        <f>F81 * M81 * G81</f>
        <v>#N/A</v>
      </c>
      <c r="P81" s="32">
        <v>1</v>
      </c>
      <c r="S81" s="32">
        <f>SUM(O81:R81)</f>
        <v>1</v>
      </c>
      <c r="T81" s="32" t="s">
        <v>244</v>
      </c>
      <c r="V81" s="32" t="e">
        <f>VLOOKUP(T81, $AW$32:$AY$38, 3, FALSE)</f>
        <v>#N/A</v>
      </c>
      <c r="W81" s="32" t="e">
        <f>VLOOKUP(T81, $AW$32:$AX$38, 2, FALSE)</f>
        <v>#N/A</v>
      </c>
      <c r="X81" s="32" t="e">
        <f>$N81 *O81</f>
        <v>#N/A</v>
      </c>
      <c r="Y81" s="32" t="e">
        <f>N82*O82</f>
        <v>#N/A</v>
      </c>
      <c r="Z81" s="32" t="e">
        <f>N83*O83</f>
        <v>#N/A</v>
      </c>
      <c r="AA81" s="32" t="e">
        <f>N84*O84</f>
        <v>#N/A</v>
      </c>
      <c r="AB81" s="32" t="e">
        <f>SUM(X81:AA81)</f>
        <v>#N/A</v>
      </c>
      <c r="AC81" s="32" t="e">
        <f>AB81*(1 - W81 - V81)</f>
        <v>#N/A</v>
      </c>
      <c r="AD81" s="32" t="e">
        <f>AB82*(1 - W82 - V82)</f>
        <v>#N/A</v>
      </c>
      <c r="AE81" s="32" t="e">
        <f>AB83*(1 - W83 - V83)</f>
        <v>#N/A</v>
      </c>
      <c r="AF81" s="32" t="e">
        <f>AB84*(1 - W84 - V84)</f>
        <v>#N/A</v>
      </c>
      <c r="AG81" s="32" t="s">
        <v>250</v>
      </c>
      <c r="AH81" s="32">
        <v>0.6</v>
      </c>
      <c r="AK81" s="32" t="e">
        <f>AH81*AC81+AI81*AD81+AJ81*AE81</f>
        <v>#N/A</v>
      </c>
      <c r="AL81" s="32" t="e">
        <f>VLOOKUP(AG81, $AW$32:$AY$38, 3, FALSE)</f>
        <v>#N/A</v>
      </c>
      <c r="AM81" s="32" t="e">
        <f>VLOOKUP(AG81, $AW$32:$AY$38, 2, FALSE)</f>
        <v>#N/A</v>
      </c>
      <c r="AN81" s="32">
        <f>IF($C$11="yes",1,0)</f>
        <v>1</v>
      </c>
      <c r="AO81" s="32">
        <f>$AX$19</f>
        <v>0</v>
      </c>
      <c r="AP81" s="32" t="e">
        <f>AK81*AN81*AO81</f>
        <v>#N/A</v>
      </c>
      <c r="AQ81" s="32" t="e">
        <f>($AK81*(1-$AL81-$AM81)-$AP81)*$B81</f>
        <v>#N/A</v>
      </c>
      <c r="AR81" s="32" t="e">
        <f>SUM(AQ81:AQ85)</f>
        <v>#N/A</v>
      </c>
      <c r="AS81" s="32">
        <f>IF(ISBLANK(D81), "", IF(D81="wet", $AX$13, $AX$14))</f>
        <v>21.216572831999994</v>
      </c>
      <c r="AT81" s="32">
        <f>IF(ISBLANK(D81), "", $AX$16)</f>
        <v>0</v>
      </c>
      <c r="AU81" s="32" t="e">
        <f>IF(ISBLANK(D81), "", AR81*AS81*AT81/1000)</f>
        <v>#N/A</v>
      </c>
    </row>
    <row r="82" spans="1:47" x14ac:dyDescent="0.2">
      <c r="E82" s="32" t="s">
        <v>237</v>
      </c>
      <c r="F82" s="32">
        <v>200</v>
      </c>
      <c r="G82" s="32">
        <v>150</v>
      </c>
      <c r="H82" s="32" t="e">
        <f t="shared" ref="H82:H84" si="65">HLOOKUP(E82,$AX$23:$BA$29, 6, FALSE)</f>
        <v>#N/A</v>
      </c>
      <c r="I82" s="32">
        <v>0.06</v>
      </c>
      <c r="J82" s="32">
        <v>0.06</v>
      </c>
      <c r="K82" s="32" t="e">
        <f>HLOOKUP(E82,$AX$23:$BA$29, 5, FALSE)</f>
        <v>#N/A</v>
      </c>
      <c r="L82" s="32" t="e">
        <f t="shared" ref="L82:L84" si="66">J82 * K82 / 6.25</f>
        <v>#N/A</v>
      </c>
      <c r="M82" s="32" t="e">
        <f t="shared" ref="M82:M84" si="67">L82 * (1 - H82)</f>
        <v>#N/A</v>
      </c>
      <c r="N82" s="32" t="e">
        <f t="shared" ref="N82:N84" si="68">F82 * M82 * G82</f>
        <v>#N/A</v>
      </c>
      <c r="P82" s="32">
        <v>0.7</v>
      </c>
      <c r="Q82" s="32">
        <v>0.3</v>
      </c>
      <c r="S82" s="32">
        <f t="shared" ref="S82:S84" si="69">SUM(O82:R82)</f>
        <v>1</v>
      </c>
      <c r="T82" s="32" t="s">
        <v>241</v>
      </c>
      <c r="V82" s="32" t="e">
        <f>VLOOKUP(T82, $AW$32:$AY$38, 3, FALSE)</f>
        <v>#N/A</v>
      </c>
      <c r="W82" s="32" t="e">
        <f>VLOOKUP(T82, $AW$32:$AX$38, 2, FALSE)</f>
        <v>#N/A</v>
      </c>
      <c r="X82" s="32" t="e">
        <f>N81*P81</f>
        <v>#N/A</v>
      </c>
      <c r="Y82" s="32" t="e">
        <f>N82*P82</f>
        <v>#N/A</v>
      </c>
      <c r="Z82" s="32" t="e">
        <f>N83*P83</f>
        <v>#N/A</v>
      </c>
      <c r="AA82" s="32" t="e">
        <f>N84*P84</f>
        <v>#N/A</v>
      </c>
      <c r="AB82" s="32" t="e">
        <f t="shared" ref="AB82:AB84" si="70">SUM(X82:AA82)</f>
        <v>#N/A</v>
      </c>
      <c r="AG82" s="32" t="s">
        <v>251</v>
      </c>
      <c r="AH82" s="32">
        <v>0.4</v>
      </c>
      <c r="AK82" s="32" t="e">
        <f>AH82*AC81+AI82*AD81+AJ82*AE81</f>
        <v>#N/A</v>
      </c>
      <c r="AL82" s="32" t="e">
        <f>VLOOKUP(AG82, $AW$32:$AY$38, 3, FALSE)</f>
        <v>#N/A</v>
      </c>
      <c r="AM82" s="32" t="e">
        <f>VLOOKUP(AG82, $AW$32:$AY$38, 2, FALSE)</f>
        <v>#N/A</v>
      </c>
      <c r="AP82" s="32">
        <v>0</v>
      </c>
      <c r="AQ82" s="32" t="e">
        <f>(AK82*(1-AL82-AM82)-AP82)*B81</f>
        <v>#N/A</v>
      </c>
    </row>
    <row r="83" spans="1:47" x14ac:dyDescent="0.2">
      <c r="E83" s="32" t="s">
        <v>238</v>
      </c>
      <c r="F83" s="32">
        <v>100</v>
      </c>
      <c r="G83" s="32">
        <v>300</v>
      </c>
      <c r="H83" s="32" t="e">
        <f t="shared" si="65"/>
        <v>#N/A</v>
      </c>
      <c r="I83" s="32">
        <v>7.0000000000000007E-2</v>
      </c>
      <c r="J83" s="32">
        <v>7.0000000000000007E-2</v>
      </c>
      <c r="K83" s="32" t="e">
        <f>HLOOKUP(E83,$AX$23:$BA$29, 5, FALSE)</f>
        <v>#N/A</v>
      </c>
      <c r="L83" s="32" t="e">
        <f t="shared" si="66"/>
        <v>#N/A</v>
      </c>
      <c r="M83" s="32" t="e">
        <f t="shared" si="67"/>
        <v>#N/A</v>
      </c>
      <c r="N83" s="32" t="e">
        <f t="shared" si="68"/>
        <v>#N/A</v>
      </c>
      <c r="P83" s="32">
        <v>0.7</v>
      </c>
      <c r="Q83" s="32">
        <v>0.3</v>
      </c>
      <c r="S83" s="32">
        <f t="shared" si="69"/>
        <v>1</v>
      </c>
      <c r="T83" s="32" t="s">
        <v>242</v>
      </c>
      <c r="V83" s="32" t="e">
        <f>VLOOKUP(T83, $AW$32:$AY$38, 3, FALSE)</f>
        <v>#N/A</v>
      </c>
      <c r="W83" s="32" t="e">
        <f>VLOOKUP(T83, $AW$32:$AX$38, 2, FALSE)</f>
        <v>#N/A</v>
      </c>
      <c r="X83" s="32" t="e">
        <f>N81*Q81</f>
        <v>#N/A</v>
      </c>
      <c r="Y83" s="32" t="e">
        <f>N82*Q82</f>
        <v>#N/A</v>
      </c>
      <c r="Z83" s="32" t="e">
        <f>N83*Q83</f>
        <v>#N/A</v>
      </c>
      <c r="AA83" s="32" t="e">
        <f>N84*Q84</f>
        <v>#N/A</v>
      </c>
      <c r="AB83" s="32" t="e">
        <f t="shared" si="70"/>
        <v>#N/A</v>
      </c>
      <c r="AG83" s="32" t="s">
        <v>252</v>
      </c>
      <c r="AI83" s="32">
        <v>0.5</v>
      </c>
      <c r="AK83" s="32" t="e">
        <f>AH83*AC81+AI83*AD81+AJ83*AE81</f>
        <v>#N/A</v>
      </c>
      <c r="AL83" s="32" t="e">
        <f>VLOOKUP(AG83, $AW$32:$AY$38, 3, FALSE)</f>
        <v>#N/A</v>
      </c>
      <c r="AM83" s="32" t="e">
        <f>VLOOKUP(AG83, $AW$32:$AY$38, 2, FALSE)</f>
        <v>#N/A</v>
      </c>
      <c r="AP83" s="32">
        <v>0</v>
      </c>
      <c r="AQ83" s="32" t="e">
        <f>(AK83*(1-AL83-AM83)-AP83)*B81</f>
        <v>#N/A</v>
      </c>
    </row>
    <row r="84" spans="1:47" x14ac:dyDescent="0.2">
      <c r="E84" s="32" t="s">
        <v>228</v>
      </c>
      <c r="F84" s="32">
        <v>50</v>
      </c>
      <c r="G84" s="32">
        <v>200</v>
      </c>
      <c r="H84" s="32" t="e">
        <f t="shared" si="65"/>
        <v>#N/A</v>
      </c>
      <c r="I84" s="32">
        <v>0.08</v>
      </c>
      <c r="J84" s="32">
        <v>0.08</v>
      </c>
      <c r="K84" s="32" t="e">
        <f>HLOOKUP(E84,$AX$23:$BA$29, 5, FALSE)</f>
        <v>#N/A</v>
      </c>
      <c r="L84" s="32" t="e">
        <f t="shared" si="66"/>
        <v>#N/A</v>
      </c>
      <c r="M84" s="32" t="e">
        <f t="shared" si="67"/>
        <v>#N/A</v>
      </c>
      <c r="N84" s="32" t="e">
        <f t="shared" si="68"/>
        <v>#N/A</v>
      </c>
      <c r="O84" s="32">
        <v>0.8</v>
      </c>
      <c r="R84" s="32">
        <v>0.2</v>
      </c>
      <c r="S84" s="32">
        <f t="shared" si="69"/>
        <v>1</v>
      </c>
      <c r="T84" s="32" t="s">
        <v>245</v>
      </c>
      <c r="X84" s="32" t="e">
        <f>N81*R81</f>
        <v>#N/A</v>
      </c>
      <c r="Y84" s="32" t="e">
        <f>N82*R82</f>
        <v>#N/A</v>
      </c>
      <c r="Z84" s="32" t="e">
        <f>N83*R83</f>
        <v>#N/A</v>
      </c>
      <c r="AA84" s="32" t="e">
        <f>N84*R84</f>
        <v>#N/A</v>
      </c>
      <c r="AB84" s="32" t="e">
        <f t="shared" si="70"/>
        <v>#N/A</v>
      </c>
      <c r="AD84" s="32" t="s">
        <v>152</v>
      </c>
      <c r="AE84" s="32" t="e">
        <f>SUM(AC81:AE81)</f>
        <v>#N/A</v>
      </c>
      <c r="AG84" s="32" t="s">
        <v>249</v>
      </c>
      <c r="AI84" s="32">
        <v>0.5</v>
      </c>
      <c r="AK84" s="32" t="e">
        <f>AH84*AC81+AI84*AD81+AJ84*AE81</f>
        <v>#N/A</v>
      </c>
      <c r="AL84" s="32" t="e">
        <f>VLOOKUP(AG84, $AW$32:$AY$38, 3, FALSE)</f>
        <v>#N/A</v>
      </c>
      <c r="AM84" s="32" t="e">
        <f>VLOOKUP(AG84, $AW$32:$AY$38, 2, FALSE)</f>
        <v>#N/A</v>
      </c>
      <c r="AP84" s="32">
        <v>0</v>
      </c>
      <c r="AQ84" s="32" t="e">
        <f>(AK84*(1-AL84-AM84)-AP84)*B81</f>
        <v>#N/A</v>
      </c>
    </row>
    <row r="85" spans="1:47" x14ac:dyDescent="0.2">
      <c r="AG85" s="32" t="s">
        <v>248</v>
      </c>
      <c r="AJ85" s="32">
        <v>1</v>
      </c>
      <c r="AK85" s="32" t="e">
        <f>AH85*AC81+AI85*AD81+AJ85*AE81</f>
        <v>#N/A</v>
      </c>
      <c r="AP85" s="32">
        <v>0</v>
      </c>
      <c r="AQ85" s="32" t="e">
        <f>AK85*B81</f>
        <v>#N/A</v>
      </c>
    </row>
    <row r="86" spans="1:47" x14ac:dyDescent="0.2">
      <c r="AG86" s="32" t="s">
        <v>259</v>
      </c>
      <c r="AH86" s="32">
        <f>SUM(AH81:AH85)</f>
        <v>1</v>
      </c>
      <c r="AI86" s="32">
        <f t="shared" ref="AI86" si="71">SUM(AI81:AI85)</f>
        <v>1</v>
      </c>
      <c r="AJ86" s="32">
        <f t="shared" ref="AJ86" si="72">SUM(AJ81:AJ85)</f>
        <v>1</v>
      </c>
      <c r="AK86" s="32" t="e">
        <f>SUM(AK81:AK85)</f>
        <v>#N/A</v>
      </c>
    </row>
  </sheetData>
  <mergeCells count="5">
    <mergeCell ref="BW22:BW23"/>
    <mergeCell ref="BX24:BX25"/>
    <mergeCell ref="BY24:BY25"/>
    <mergeCell ref="BZ24:BZ25"/>
    <mergeCell ref="CA24:CA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5.2.1.1 (purchased_untraced)</vt:lpstr>
      <vt:lpstr>5.2.1.1 (pigs)</vt:lpstr>
      <vt:lpstr>5.2.1.1 (feedlot)</vt:lpstr>
      <vt:lpstr>5.2.1.1 (dairy)</vt:lpstr>
      <vt:lpstr>5.2.1.1 (poultry)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2026-02-19T23:44:43Z</dcterms:created>
  <dcterms:modified xsi:type="dcterms:W3CDTF">2026-10-22T06:06:51Z</dcterms:modified>
</cp:coreProperties>
</file>