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xr:revisionPtr revIDLastSave="0" documentId="13_ncr:1_{0332A819-D43D-944C-AB86-EDC1863DF584}" xr6:coauthVersionLast="47" xr6:coauthVersionMax="47" xr10:uidLastSave="{00000000-0000-0000-0000-000000000000}"/>
  <bookViews>
    <workbookView xWindow="0" yWindow="0" windowWidth="28800" windowHeight="18000" xr2:uid="{5678E890-3691-CF46-80E7-00FB1F103661}"/>
  </bookViews>
  <sheets>
    <sheet name="15.1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4" l="1"/>
  <c r="G61" i="4"/>
  <c r="E61" i="4"/>
  <c r="F61" i="4" s="1"/>
  <c r="H60" i="4"/>
  <c r="G60" i="4"/>
  <c r="F60" i="4"/>
  <c r="E60" i="4"/>
  <c r="H59" i="4"/>
  <c r="G59" i="4"/>
  <c r="E59" i="4"/>
  <c r="F59" i="4" s="1"/>
  <c r="H58" i="4"/>
  <c r="G58" i="4"/>
  <c r="F58" i="4"/>
  <c r="E58" i="4"/>
  <c r="H57" i="4"/>
  <c r="G57" i="4"/>
  <c r="E57" i="4"/>
  <c r="F57" i="4" s="1"/>
  <c r="H56" i="4"/>
  <c r="G56" i="4"/>
  <c r="F56" i="4"/>
  <c r="I56" i="4" s="1"/>
  <c r="E56" i="4"/>
  <c r="H55" i="4"/>
  <c r="G55" i="4"/>
  <c r="E55" i="4"/>
  <c r="F55" i="4" s="1"/>
  <c r="H54" i="4"/>
  <c r="G54" i="4"/>
  <c r="F54" i="4"/>
  <c r="I54" i="4" s="1"/>
  <c r="E54" i="4"/>
  <c r="H53" i="4"/>
  <c r="G53" i="4"/>
  <c r="E53" i="4"/>
  <c r="F53" i="4" s="1"/>
  <c r="H52" i="4"/>
  <c r="G52" i="4"/>
  <c r="F52" i="4"/>
  <c r="E52" i="4"/>
  <c r="H51" i="4"/>
  <c r="G51" i="4"/>
  <c r="E51" i="4"/>
  <c r="F51" i="4" s="1"/>
  <c r="H50" i="4"/>
  <c r="G50" i="4"/>
  <c r="F50" i="4"/>
  <c r="E50" i="4"/>
  <c r="H49" i="4"/>
  <c r="G49" i="4"/>
  <c r="E49" i="4"/>
  <c r="F49" i="4" s="1"/>
  <c r="H48" i="4"/>
  <c r="G48" i="4"/>
  <c r="F48" i="4"/>
  <c r="E48" i="4"/>
  <c r="H47" i="4"/>
  <c r="G47" i="4"/>
  <c r="E47" i="4"/>
  <c r="F47" i="4" s="1"/>
  <c r="H46" i="4"/>
  <c r="G46" i="4"/>
  <c r="F46" i="4"/>
  <c r="E46" i="4"/>
  <c r="H45" i="4"/>
  <c r="G45" i="4"/>
  <c r="E45" i="4"/>
  <c r="F45" i="4" s="1"/>
  <c r="H44" i="4"/>
  <c r="G44" i="4"/>
  <c r="F44" i="4"/>
  <c r="E44" i="4"/>
  <c r="H43" i="4"/>
  <c r="G43" i="4"/>
  <c r="E43" i="4"/>
  <c r="F43" i="4" s="1"/>
  <c r="H42" i="4"/>
  <c r="G42" i="4"/>
  <c r="I42" i="4" s="1"/>
  <c r="F42" i="4"/>
  <c r="E42" i="4"/>
  <c r="H41" i="4"/>
  <c r="G41" i="4"/>
  <c r="E41" i="4"/>
  <c r="F41" i="4" s="1"/>
  <c r="H40" i="4"/>
  <c r="G40" i="4"/>
  <c r="F40" i="4"/>
  <c r="E40" i="4"/>
  <c r="H39" i="4"/>
  <c r="G39" i="4"/>
  <c r="E39" i="4"/>
  <c r="F39" i="4" s="1"/>
  <c r="H38" i="4"/>
  <c r="G38" i="4"/>
  <c r="F38" i="4"/>
  <c r="E38" i="4"/>
  <c r="H37" i="4"/>
  <c r="G37" i="4"/>
  <c r="E37" i="4"/>
  <c r="F37" i="4" s="1"/>
  <c r="H36" i="4"/>
  <c r="G36" i="4"/>
  <c r="F36" i="4"/>
  <c r="E36" i="4"/>
  <c r="H35" i="4"/>
  <c r="G35" i="4"/>
  <c r="E35" i="4"/>
  <c r="F35" i="4" s="1"/>
  <c r="H34" i="4"/>
  <c r="G34" i="4"/>
  <c r="F34" i="4"/>
  <c r="E34" i="4"/>
  <c r="H33" i="4"/>
  <c r="G33" i="4"/>
  <c r="E33" i="4"/>
  <c r="F33" i="4" s="1"/>
  <c r="H32" i="4"/>
  <c r="G32" i="4"/>
  <c r="F32" i="4"/>
  <c r="E32" i="4"/>
  <c r="H31" i="4"/>
  <c r="G31" i="4"/>
  <c r="E31" i="4"/>
  <c r="F31" i="4" s="1"/>
  <c r="I31" i="4" s="1"/>
  <c r="H30" i="4"/>
  <c r="G30" i="4"/>
  <c r="F30" i="4"/>
  <c r="E30" i="4"/>
  <c r="H29" i="4"/>
  <c r="G29" i="4"/>
  <c r="E29" i="4"/>
  <c r="F29" i="4" s="1"/>
  <c r="H28" i="4"/>
  <c r="G28" i="4"/>
  <c r="F28" i="4"/>
  <c r="E28" i="4"/>
  <c r="H27" i="4"/>
  <c r="G27" i="4"/>
  <c r="E27" i="4"/>
  <c r="F27" i="4" s="1"/>
  <c r="H26" i="4"/>
  <c r="G26" i="4"/>
  <c r="F26" i="4"/>
  <c r="E26" i="4"/>
  <c r="H25" i="4"/>
  <c r="G25" i="4"/>
  <c r="E25" i="4"/>
  <c r="F25" i="4" s="1"/>
  <c r="H24" i="4"/>
  <c r="G24" i="4"/>
  <c r="F24" i="4"/>
  <c r="E24" i="4"/>
  <c r="H23" i="4"/>
  <c r="G23" i="4"/>
  <c r="E23" i="4"/>
  <c r="F23" i="4" s="1"/>
  <c r="H22" i="4"/>
  <c r="G22" i="4"/>
  <c r="F22" i="4"/>
  <c r="I22" i="4" s="1"/>
  <c r="E22" i="4"/>
  <c r="H21" i="4"/>
  <c r="G21" i="4"/>
  <c r="E21" i="4"/>
  <c r="F21" i="4" s="1"/>
  <c r="H20" i="4"/>
  <c r="G20" i="4"/>
  <c r="F20" i="4"/>
  <c r="E20" i="4"/>
  <c r="H19" i="4"/>
  <c r="G19" i="4"/>
  <c r="E19" i="4"/>
  <c r="F19" i="4" s="1"/>
  <c r="H18" i="4"/>
  <c r="G18" i="4"/>
  <c r="F18" i="4"/>
  <c r="E18" i="4"/>
  <c r="H17" i="4"/>
  <c r="G17" i="4"/>
  <c r="E17" i="4"/>
  <c r="F17" i="4" s="1"/>
  <c r="H16" i="4"/>
  <c r="G16" i="4"/>
  <c r="F16" i="4"/>
  <c r="E16" i="4"/>
  <c r="H15" i="4"/>
  <c r="G15" i="4"/>
  <c r="E15" i="4"/>
  <c r="F15" i="4" s="1"/>
  <c r="H14" i="4"/>
  <c r="G14" i="4"/>
  <c r="F14" i="4"/>
  <c r="E14" i="4"/>
  <c r="F8" i="4"/>
  <c r="F10" i="4"/>
  <c r="F12" i="4"/>
  <c r="F6" i="4"/>
  <c r="E7" i="4"/>
  <c r="F7" i="4" s="1"/>
  <c r="E8" i="4"/>
  <c r="E9" i="4"/>
  <c r="F9" i="4" s="1"/>
  <c r="E10" i="4"/>
  <c r="E11" i="4"/>
  <c r="F11" i="4" s="1"/>
  <c r="E12" i="4"/>
  <c r="E13" i="4"/>
  <c r="F13" i="4" s="1"/>
  <c r="E6" i="4"/>
  <c r="G7" i="4"/>
  <c r="G8" i="4"/>
  <c r="I8" i="4" s="1"/>
  <c r="G9" i="4"/>
  <c r="G10" i="4"/>
  <c r="I10" i="4" s="1"/>
  <c r="G11" i="4"/>
  <c r="G12" i="4"/>
  <c r="I12" i="4" s="1"/>
  <c r="G13" i="4"/>
  <c r="G6" i="4"/>
  <c r="I6" i="4" s="1"/>
  <c r="H13" i="4"/>
  <c r="H12" i="4"/>
  <c r="H11" i="4"/>
  <c r="H10" i="4"/>
  <c r="H9" i="4"/>
  <c r="H8" i="4"/>
  <c r="H7" i="4"/>
  <c r="H6" i="4"/>
  <c r="I60" i="4" l="1"/>
  <c r="I55" i="4"/>
  <c r="I59" i="4"/>
  <c r="I57" i="4"/>
  <c r="I51" i="4"/>
  <c r="I52" i="4"/>
  <c r="I50" i="4"/>
  <c r="I49" i="4"/>
  <c r="I47" i="4"/>
  <c r="I40" i="4"/>
  <c r="I43" i="4"/>
  <c r="I41" i="4"/>
  <c r="I45" i="4"/>
  <c r="I44" i="4"/>
  <c r="I39" i="4"/>
  <c r="I33" i="4"/>
  <c r="I30" i="4"/>
  <c r="I37" i="4"/>
  <c r="I24" i="4"/>
  <c r="I34" i="4"/>
  <c r="I28" i="4"/>
  <c r="I9" i="4"/>
  <c r="I26" i="4"/>
  <c r="I58" i="4"/>
  <c r="I13" i="4"/>
  <c r="I7" i="4"/>
  <c r="J6" i="4" s="1"/>
  <c r="I11" i="4"/>
  <c r="I36" i="4"/>
  <c r="I23" i="4"/>
  <c r="I25" i="4"/>
  <c r="I27" i="4"/>
  <c r="I29" i="4"/>
  <c r="I35" i="4"/>
  <c r="I48" i="4"/>
  <c r="I46" i="4"/>
  <c r="I61" i="4"/>
  <c r="I32" i="4"/>
  <c r="I38" i="4"/>
  <c r="I53" i="4"/>
  <c r="I21" i="4"/>
  <c r="I20" i="4"/>
  <c r="I19" i="4"/>
  <c r="I18" i="4"/>
  <c r="I17" i="4"/>
  <c r="I16" i="4"/>
  <c r="I15" i="4"/>
  <c r="I14" i="4"/>
  <c r="J54" i="4"/>
  <c r="J22" i="4"/>
  <c r="J38" i="4" l="1"/>
  <c r="J30" i="4"/>
  <c r="J46" i="4"/>
  <c r="J14" i="4"/>
</calcChain>
</file>

<file path=xl/sharedStrings.xml><?xml version="1.0" encoding="utf-8"?>
<sst xmlns="http://schemas.openxmlformats.org/spreadsheetml/2006/main" count="159" uniqueCount="28">
  <si>
    <t>Sludge</t>
  </si>
  <si>
    <t>Municipal solid waste</t>
  </si>
  <si>
    <t>Incineration</t>
  </si>
  <si>
    <t>Food waste</t>
  </si>
  <si>
    <t>Green waste</t>
  </si>
  <si>
    <t>Composting</t>
  </si>
  <si>
    <t>Paper and cardboard</t>
  </si>
  <si>
    <t>Textiles</t>
  </si>
  <si>
    <t>Rubber and leather</t>
  </si>
  <si>
    <t>Construction and demolition waste</t>
  </si>
  <si>
    <t>Anaerobic Digestion</t>
  </si>
  <si>
    <t>VTMw</t>
  </si>
  <si>
    <t>Landfill (with gas recovery)</t>
  </si>
  <si>
    <t>Landfill (without gas recovery)</t>
  </si>
  <si>
    <t>Rf</t>
  </si>
  <si>
    <t>Wood products (at end of life)</t>
  </si>
  <si>
    <t>Wood products (at time of harvest)</t>
  </si>
  <si>
    <t>Commercial and industrial waste</t>
  </si>
  <si>
    <t>f</t>
  </si>
  <si>
    <t>w</t>
  </si>
  <si>
    <t>Qfw</t>
  </si>
  <si>
    <t>Vfw</t>
  </si>
  <si>
    <t>Q (resolved)</t>
  </si>
  <si>
    <t>EFwf</t>
  </si>
  <si>
    <t>Inert waste</t>
  </si>
  <si>
    <t>Waste type</t>
  </si>
  <si>
    <t>Ewaste total</t>
  </si>
  <si>
    <t>Ewaste (per item)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</si>
</sst>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C274B5-1524-6C44-85DE-597C0CC8B3C8}" name="EFs" displayName="EFs" ref="L12:Q24">
  <autoFilter ref="L12:Q24" xr:uid="{EEC274B5-1524-6C44-85DE-597C0CC8B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11D1C57-2574-D64A-A107-3A9035FA5EF2}" name="Waste type" totalsRowLabel="Total"/>
    <tableColumn id="2" xr3:uid="{3882B040-A0B8-564D-950F-60A5F055845A}" name="Landfill (with gas recovery)"/>
    <tableColumn id="3" xr3:uid="{1F21DA9F-3F85-ED4E-9337-587D1DB87B2E}" name="Landfill (without gas recovery)"/>
    <tableColumn id="4" xr3:uid="{9D34EEAA-C2D9-2345-A8E3-783E567D9D3C}" name="Incineration"/>
    <tableColumn id="5" xr3:uid="{F515EF33-8C29-EC4B-8A8F-072C025398EF}" name="Composting"/>
    <tableColumn id="6" xr3:uid="{B420FB23-A6A8-0A4E-876C-4F6A0CDA580A}" name="Anaerobic Digestion" totalsRowFunction="sum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A69B-D231-1041-A4AA-716FFD7902EF}">
  <dimension ref="A5:Q61"/>
  <sheetViews>
    <sheetView tabSelected="1" topLeftCell="B1" workbookViewId="0">
      <selection activeCell="A46" sqref="A46:B53"/>
    </sheetView>
  </sheetViews>
  <sheetFormatPr baseColWidth="10" defaultRowHeight="16" x14ac:dyDescent="0.2"/>
  <cols>
    <col min="12" max="12" width="12.6640625" customWidth="1"/>
    <col min="13" max="13" width="25.5" customWidth="1"/>
    <col min="14" max="14" width="28.1640625" customWidth="1"/>
    <col min="15" max="15" width="13.33203125" customWidth="1"/>
    <col min="16" max="16" width="13.6640625" customWidth="1"/>
    <col min="17" max="17" width="20.1640625" customWidth="1"/>
  </cols>
  <sheetData>
    <row r="5" spans="1:17" x14ac:dyDescent="0.2">
      <c r="A5" s="1" t="s">
        <v>18</v>
      </c>
      <c r="B5" s="1" t="s">
        <v>19</v>
      </c>
      <c r="C5" s="1" t="s">
        <v>20</v>
      </c>
      <c r="D5" s="1" t="s">
        <v>21</v>
      </c>
      <c r="E5" s="1" t="s">
        <v>11</v>
      </c>
      <c r="F5" s="1" t="s">
        <v>22</v>
      </c>
      <c r="G5" s="1" t="s">
        <v>23</v>
      </c>
      <c r="H5" s="1" t="s">
        <v>14</v>
      </c>
      <c r="I5" s="2" t="s">
        <v>27</v>
      </c>
      <c r="J5" s="2" t="s">
        <v>26</v>
      </c>
      <c r="L5" t="s">
        <v>12</v>
      </c>
      <c r="M5">
        <v>0.45</v>
      </c>
    </row>
    <row r="6" spans="1:17" x14ac:dyDescent="0.2">
      <c r="A6" s="3" t="s">
        <v>12</v>
      </c>
      <c r="B6" s="3" t="s">
        <v>3</v>
      </c>
      <c r="C6" s="3">
        <v>100</v>
      </c>
      <c r="D6" s="3"/>
      <c r="E6" s="3">
        <f>_xlfn.XLOOKUP(B6,$L$27:$L$38,$M$27:$M$38)</f>
        <v>0.5</v>
      </c>
      <c r="F6" s="3">
        <f>IF(C6&lt;&gt;"", C6, D6*E6)</f>
        <v>100</v>
      </c>
      <c r="G6" s="3">
        <f>INDEX(EFs[],  MATCH(B6, EFs[Waste type], 0), MATCH(A6, EFs[#Headers], 0))</f>
        <v>2.1</v>
      </c>
      <c r="H6" s="3">
        <f>_xlfn.XLOOKUP(A6, $L$5:$L$9,$M$5:$M$9)</f>
        <v>0.45</v>
      </c>
      <c r="I6" s="3">
        <f>F6*G6*(1-H6)</f>
        <v>115.50000000000001</v>
      </c>
      <c r="J6" s="3">
        <f>SUM(I6:I13)</f>
        <v>404.14000000000004</v>
      </c>
      <c r="L6" t="s">
        <v>13</v>
      </c>
      <c r="M6">
        <v>0</v>
      </c>
    </row>
    <row r="7" spans="1:17" x14ac:dyDescent="0.2">
      <c r="A7" s="3" t="s">
        <v>12</v>
      </c>
      <c r="B7" s="3" t="s">
        <v>4</v>
      </c>
      <c r="C7" s="3"/>
      <c r="D7" s="3">
        <v>100</v>
      </c>
      <c r="E7" s="3">
        <f t="shared" ref="E7:E13" si="0">_xlfn.XLOOKUP(B7,$L$27:$L$38,$M$27:$M$38)</f>
        <v>0.24</v>
      </c>
      <c r="F7" s="3">
        <f t="shared" ref="F7:F13" si="1">IF(C7&lt;&gt;"", C7, D7*E7)</f>
        <v>24</v>
      </c>
      <c r="G7" s="3">
        <f>INDEX(EFs[],  MATCH(B7, EFs[Waste type], 0), MATCH(A7, EFs[#Headers], 0))</f>
        <v>1.6</v>
      </c>
      <c r="H7" s="3">
        <f t="shared" ref="H7:H13" si="2">_xlfn.XLOOKUP(A7, $L$5:$L$9,$M$5:$M$9)</f>
        <v>0.45</v>
      </c>
      <c r="I7" s="3">
        <f t="shared" ref="I7:I13" si="3">F7*G7*(1-H7)</f>
        <v>21.120000000000005</v>
      </c>
      <c r="J7" s="3"/>
      <c r="L7" t="s">
        <v>2</v>
      </c>
      <c r="M7">
        <v>0</v>
      </c>
    </row>
    <row r="8" spans="1:17" x14ac:dyDescent="0.2">
      <c r="A8" s="3" t="s">
        <v>12</v>
      </c>
      <c r="B8" s="3" t="s">
        <v>16</v>
      </c>
      <c r="C8" s="3">
        <v>100</v>
      </c>
      <c r="D8" s="3"/>
      <c r="E8" s="3">
        <f t="shared" si="0"/>
        <v>0.15</v>
      </c>
      <c r="F8" s="3">
        <f t="shared" si="1"/>
        <v>100</v>
      </c>
      <c r="G8" s="3">
        <f>INDEX(EFs[],  MATCH(B8, EFs[Waste type], 0), MATCH(A8, EFs[#Headers], 0))</f>
        <v>1.6</v>
      </c>
      <c r="H8" s="3">
        <f t="shared" si="2"/>
        <v>0.45</v>
      </c>
      <c r="I8" s="3">
        <f t="shared" si="3"/>
        <v>88</v>
      </c>
      <c r="J8" s="3"/>
      <c r="L8" t="s">
        <v>5</v>
      </c>
      <c r="M8">
        <v>0</v>
      </c>
    </row>
    <row r="9" spans="1:17" x14ac:dyDescent="0.2">
      <c r="A9" s="3" t="s">
        <v>12</v>
      </c>
      <c r="B9" s="3" t="s">
        <v>15</v>
      </c>
      <c r="C9" s="3"/>
      <c r="D9" s="3">
        <v>100</v>
      </c>
      <c r="E9" s="3">
        <f t="shared" si="0"/>
        <v>0.15</v>
      </c>
      <c r="F9" s="3">
        <f t="shared" si="1"/>
        <v>15</v>
      </c>
      <c r="G9" s="3">
        <f>INDEX(EFs[],  MATCH(B9, EFs[Waste type], 0), MATCH(A9, EFs[#Headers], 0))</f>
        <v>0.7</v>
      </c>
      <c r="H9" s="3">
        <f t="shared" si="2"/>
        <v>0.45</v>
      </c>
      <c r="I9" s="3">
        <f t="shared" si="3"/>
        <v>5.7750000000000004</v>
      </c>
      <c r="J9" s="3"/>
      <c r="L9" t="s">
        <v>10</v>
      </c>
      <c r="M9">
        <v>0</v>
      </c>
    </row>
    <row r="10" spans="1:17" x14ac:dyDescent="0.2">
      <c r="A10" s="3" t="s">
        <v>12</v>
      </c>
      <c r="B10" s="3" t="s">
        <v>0</v>
      </c>
      <c r="C10" s="3">
        <v>100</v>
      </c>
      <c r="D10" s="3"/>
      <c r="E10" s="3">
        <f t="shared" si="0"/>
        <v>0.72</v>
      </c>
      <c r="F10" s="3">
        <f t="shared" si="1"/>
        <v>100</v>
      </c>
      <c r="G10" s="3">
        <f>INDEX(EFs[],  MATCH(B10, EFs[Waste type], 0), MATCH(A10, EFs[#Headers], 0))</f>
        <v>0.4</v>
      </c>
      <c r="H10" s="3">
        <f t="shared" si="2"/>
        <v>0.45</v>
      </c>
      <c r="I10" s="3">
        <f t="shared" si="3"/>
        <v>22</v>
      </c>
      <c r="J10" s="3"/>
    </row>
    <row r="11" spans="1:17" x14ac:dyDescent="0.2">
      <c r="A11" s="3" t="s">
        <v>12</v>
      </c>
      <c r="B11" s="3" t="s">
        <v>6</v>
      </c>
      <c r="C11" s="3"/>
      <c r="D11" s="3">
        <v>100</v>
      </c>
      <c r="E11" s="3">
        <f t="shared" si="0"/>
        <v>0.09</v>
      </c>
      <c r="F11" s="3">
        <f t="shared" si="1"/>
        <v>9</v>
      </c>
      <c r="G11" s="3">
        <f>INDEX(EFs[],  MATCH(B11, EFs[Waste type], 0), MATCH(A11, EFs[#Headers], 0))</f>
        <v>3.3</v>
      </c>
      <c r="H11" s="3">
        <f t="shared" si="2"/>
        <v>0.45</v>
      </c>
      <c r="I11" s="3">
        <f t="shared" si="3"/>
        <v>16.335000000000001</v>
      </c>
      <c r="J11" s="3"/>
    </row>
    <row r="12" spans="1:17" x14ac:dyDescent="0.2">
      <c r="A12" s="3" t="s">
        <v>12</v>
      </c>
      <c r="B12" s="3" t="s">
        <v>7</v>
      </c>
      <c r="C12" s="3">
        <v>100</v>
      </c>
      <c r="D12" s="3"/>
      <c r="E12" s="3">
        <f t="shared" si="0"/>
        <v>0.14000000000000001</v>
      </c>
      <c r="F12" s="3">
        <f t="shared" si="1"/>
        <v>100</v>
      </c>
      <c r="G12" s="3">
        <f>INDEX(EFs[],  MATCH(B12, EFs[Waste type], 0), MATCH(A12, EFs[#Headers], 0))</f>
        <v>2</v>
      </c>
      <c r="H12" s="3">
        <f t="shared" si="2"/>
        <v>0.45</v>
      </c>
      <c r="I12" s="3">
        <f t="shared" si="3"/>
        <v>110.00000000000001</v>
      </c>
      <c r="J12" s="3"/>
      <c r="L12" t="s">
        <v>25</v>
      </c>
      <c r="M12" t="s">
        <v>12</v>
      </c>
      <c r="N12" t="s">
        <v>13</v>
      </c>
      <c r="O12" t="s">
        <v>2</v>
      </c>
      <c r="P12" t="s">
        <v>5</v>
      </c>
      <c r="Q12" t="s">
        <v>10</v>
      </c>
    </row>
    <row r="13" spans="1:17" x14ac:dyDescent="0.2">
      <c r="A13" s="4" t="s">
        <v>12</v>
      </c>
      <c r="B13" s="4" t="s">
        <v>8</v>
      </c>
      <c r="C13" s="4"/>
      <c r="D13" s="4">
        <v>100</v>
      </c>
      <c r="E13" s="4">
        <f t="shared" si="0"/>
        <v>0.14000000000000001</v>
      </c>
      <c r="F13" s="4">
        <f t="shared" si="1"/>
        <v>14.000000000000002</v>
      </c>
      <c r="G13" s="4">
        <f>INDEX(EFs[],  MATCH(B13, EFs[Waste type], 0), MATCH(A13, EFs[#Headers], 0))</f>
        <v>3.3</v>
      </c>
      <c r="H13" s="4">
        <f t="shared" si="2"/>
        <v>0.45</v>
      </c>
      <c r="I13" s="4">
        <f t="shared" si="3"/>
        <v>25.410000000000004</v>
      </c>
      <c r="J13" s="4"/>
      <c r="L13" t="s">
        <v>3</v>
      </c>
      <c r="M13">
        <v>2.1</v>
      </c>
      <c r="N13">
        <v>2.1</v>
      </c>
      <c r="O13">
        <v>0</v>
      </c>
      <c r="P13">
        <v>4.5999999999999999E-2</v>
      </c>
      <c r="Q13">
        <v>2.8000000000000001E-2</v>
      </c>
    </row>
    <row r="14" spans="1:17" x14ac:dyDescent="0.2">
      <c r="A14" t="s">
        <v>13</v>
      </c>
      <c r="B14" s="3" t="s">
        <v>3</v>
      </c>
      <c r="C14" s="3">
        <v>100</v>
      </c>
      <c r="D14" s="3"/>
      <c r="E14" s="3">
        <f>_xlfn.XLOOKUP(B14,$L$27:$L$38,$M$27:$M$38)</f>
        <v>0.5</v>
      </c>
      <c r="F14" s="3">
        <f>IF(C14&lt;&gt;"", C14, D14*E14)</f>
        <v>100</v>
      </c>
      <c r="G14" s="3">
        <f>INDEX(EFs[],  MATCH(B14, EFs[Waste type], 0), MATCH(A14, EFs[#Headers], 0))</f>
        <v>2.1</v>
      </c>
      <c r="H14" s="3">
        <f>_xlfn.XLOOKUP(A14, $L$5:$L$9,$M$5:$M$9)</f>
        <v>0</v>
      </c>
      <c r="I14" s="3">
        <f>F14*G14*(1-H14)</f>
        <v>210</v>
      </c>
      <c r="J14" s="3">
        <f>SUM(I14:I21)</f>
        <v>519.6</v>
      </c>
      <c r="L14" t="s">
        <v>4</v>
      </c>
      <c r="M14">
        <v>1.6</v>
      </c>
      <c r="N14">
        <v>1.6</v>
      </c>
      <c r="O14">
        <v>0</v>
      </c>
      <c r="P14">
        <v>4.5999999999999999E-2</v>
      </c>
      <c r="Q14">
        <v>2.8000000000000001E-2</v>
      </c>
    </row>
    <row r="15" spans="1:17" x14ac:dyDescent="0.2">
      <c r="A15" t="s">
        <v>13</v>
      </c>
      <c r="B15" t="s">
        <v>7</v>
      </c>
      <c r="C15" s="3"/>
      <c r="D15" s="3">
        <v>100</v>
      </c>
      <c r="E15" s="3">
        <f t="shared" ref="E15:E21" si="4">_xlfn.XLOOKUP(B15,$L$27:$L$38,$M$27:$M$38)</f>
        <v>0.14000000000000001</v>
      </c>
      <c r="F15" s="3">
        <f t="shared" ref="F15:F21" si="5">IF(C15&lt;&gt;"", C15, D15*E15)</f>
        <v>14.000000000000002</v>
      </c>
      <c r="G15" s="3">
        <f>INDEX(EFs[],  MATCH(B15, EFs[Waste type], 0), MATCH(A15, EFs[#Headers], 0))</f>
        <v>2</v>
      </c>
      <c r="H15" s="3">
        <f t="shared" ref="H15:H21" si="6">_xlfn.XLOOKUP(A15, $L$5:$L$9,$M$5:$M$9)</f>
        <v>0</v>
      </c>
      <c r="I15" s="3">
        <f t="shared" ref="I15:I21" si="7">F15*G15*(1-H15)</f>
        <v>28.000000000000004</v>
      </c>
      <c r="J15" s="3"/>
      <c r="L15" t="s">
        <v>16</v>
      </c>
      <c r="M15">
        <v>1.6</v>
      </c>
      <c r="N15">
        <v>1.6</v>
      </c>
      <c r="O15">
        <v>0</v>
      </c>
      <c r="P15">
        <v>4.5999999999999999E-2</v>
      </c>
      <c r="Q15">
        <v>2.8000000000000001E-2</v>
      </c>
    </row>
    <row r="16" spans="1:17" x14ac:dyDescent="0.2">
      <c r="A16" t="s">
        <v>13</v>
      </c>
      <c r="B16" t="s">
        <v>0</v>
      </c>
      <c r="C16" s="3">
        <v>100</v>
      </c>
      <c r="D16" s="3"/>
      <c r="E16" s="3">
        <f t="shared" si="4"/>
        <v>0.72</v>
      </c>
      <c r="F16" s="3">
        <f t="shared" si="5"/>
        <v>100</v>
      </c>
      <c r="G16" s="3">
        <f>INDEX(EFs[],  MATCH(B16, EFs[Waste type], 0), MATCH(A16, EFs[#Headers], 0))</f>
        <v>0.4</v>
      </c>
      <c r="H16" s="3">
        <f t="shared" si="6"/>
        <v>0</v>
      </c>
      <c r="I16" s="3">
        <f t="shared" si="7"/>
        <v>40</v>
      </c>
      <c r="J16" s="3"/>
      <c r="L16" t="s">
        <v>15</v>
      </c>
      <c r="M16">
        <v>0.7</v>
      </c>
      <c r="N16">
        <v>0.7</v>
      </c>
      <c r="O16">
        <v>0</v>
      </c>
      <c r="P16">
        <v>4.5999999999999999E-2</v>
      </c>
      <c r="Q16">
        <v>2.8000000000000001E-2</v>
      </c>
    </row>
    <row r="17" spans="1:17" x14ac:dyDescent="0.2">
      <c r="A17" t="s">
        <v>13</v>
      </c>
      <c r="B17" t="s">
        <v>8</v>
      </c>
      <c r="C17" s="3"/>
      <c r="D17" s="3">
        <v>100</v>
      </c>
      <c r="E17" s="3">
        <f t="shared" si="4"/>
        <v>0.14000000000000001</v>
      </c>
      <c r="F17" s="3">
        <f t="shared" si="5"/>
        <v>14.000000000000002</v>
      </c>
      <c r="G17" s="3">
        <f>INDEX(EFs[],  MATCH(B17, EFs[Waste type], 0), MATCH(A17, EFs[#Headers], 0))</f>
        <v>3.3</v>
      </c>
      <c r="H17" s="3">
        <f t="shared" si="6"/>
        <v>0</v>
      </c>
      <c r="I17" s="3">
        <f t="shared" si="7"/>
        <v>46.2</v>
      </c>
      <c r="J17" s="3"/>
      <c r="L17" t="s">
        <v>0</v>
      </c>
      <c r="M17">
        <v>0.4</v>
      </c>
      <c r="N17">
        <v>0.4</v>
      </c>
      <c r="O17">
        <v>0</v>
      </c>
      <c r="P17">
        <v>4.5999999999999999E-2</v>
      </c>
      <c r="Q17">
        <v>2.8000000000000001E-2</v>
      </c>
    </row>
    <row r="18" spans="1:17" x14ac:dyDescent="0.2">
      <c r="A18" t="s">
        <v>13</v>
      </c>
      <c r="B18" t="s">
        <v>24</v>
      </c>
      <c r="C18" s="3">
        <v>100</v>
      </c>
      <c r="D18" s="3"/>
      <c r="E18" s="3">
        <f t="shared" si="4"/>
        <v>0.42</v>
      </c>
      <c r="F18" s="3">
        <f t="shared" si="5"/>
        <v>100</v>
      </c>
      <c r="G18" s="3">
        <f>INDEX(EFs[],  MATCH(B18, EFs[Waste type], 0), MATCH(A18, EFs[#Headers], 0))</f>
        <v>0</v>
      </c>
      <c r="H18" s="3">
        <f t="shared" si="6"/>
        <v>0</v>
      </c>
      <c r="I18" s="3">
        <f t="shared" si="7"/>
        <v>0</v>
      </c>
      <c r="J18" s="3"/>
      <c r="L18" t="s">
        <v>6</v>
      </c>
      <c r="M18">
        <v>3.3</v>
      </c>
      <c r="N18">
        <v>3.3</v>
      </c>
      <c r="O18">
        <v>1.6899999999999998E-2</v>
      </c>
    </row>
    <row r="19" spans="1:17" x14ac:dyDescent="0.2">
      <c r="A19" t="s">
        <v>13</v>
      </c>
      <c r="B19" t="s">
        <v>1</v>
      </c>
      <c r="C19" s="3"/>
      <c r="D19" s="3">
        <v>100</v>
      </c>
      <c r="E19" s="3">
        <f t="shared" si="4"/>
        <v>0.36</v>
      </c>
      <c r="F19" s="3">
        <f t="shared" si="5"/>
        <v>36</v>
      </c>
      <c r="G19" s="3">
        <f>INDEX(EFs[],  MATCH(B19, EFs[Waste type], 0), MATCH(A19, EFs[#Headers], 0))</f>
        <v>1.6</v>
      </c>
      <c r="H19" s="3">
        <f t="shared" si="6"/>
        <v>0</v>
      </c>
      <c r="I19" s="3">
        <f t="shared" si="7"/>
        <v>57.6</v>
      </c>
      <c r="J19" s="3"/>
      <c r="L19" t="s">
        <v>7</v>
      </c>
      <c r="M19">
        <v>2</v>
      </c>
      <c r="N19">
        <v>2</v>
      </c>
      <c r="O19">
        <v>0.36670000000000003</v>
      </c>
    </row>
    <row r="20" spans="1:17" x14ac:dyDescent="0.2">
      <c r="A20" t="s">
        <v>13</v>
      </c>
      <c r="B20" t="s">
        <v>17</v>
      </c>
      <c r="C20" s="3">
        <v>100</v>
      </c>
      <c r="D20" s="3"/>
      <c r="E20" s="3">
        <f t="shared" si="4"/>
        <v>0.33</v>
      </c>
      <c r="F20" s="3">
        <f t="shared" si="5"/>
        <v>100</v>
      </c>
      <c r="G20" s="3">
        <f>INDEX(EFs[],  MATCH(B20, EFs[Waste type], 0), MATCH(A20, EFs[#Headers], 0))</f>
        <v>1.3</v>
      </c>
      <c r="H20" s="3">
        <f t="shared" si="6"/>
        <v>0</v>
      </c>
      <c r="I20" s="3">
        <f t="shared" si="7"/>
        <v>130</v>
      </c>
      <c r="J20" s="3"/>
      <c r="L20" t="s">
        <v>8</v>
      </c>
      <c r="M20">
        <v>3.3</v>
      </c>
      <c r="N20">
        <v>3.3</v>
      </c>
      <c r="O20">
        <v>0.4919</v>
      </c>
    </row>
    <row r="21" spans="1:17" x14ac:dyDescent="0.2">
      <c r="A21" s="4" t="s">
        <v>13</v>
      </c>
      <c r="B21" s="4" t="s">
        <v>9</v>
      </c>
      <c r="C21" s="4"/>
      <c r="D21" s="4">
        <v>100</v>
      </c>
      <c r="E21" s="4">
        <f t="shared" si="4"/>
        <v>0.39</v>
      </c>
      <c r="F21" s="4">
        <f t="shared" si="5"/>
        <v>39</v>
      </c>
      <c r="G21" s="4">
        <f>INDEX(EFs[],  MATCH(B21, EFs[Waste type], 0), MATCH(A21, EFs[#Headers], 0))</f>
        <v>0.2</v>
      </c>
      <c r="H21" s="4">
        <f t="shared" si="6"/>
        <v>0</v>
      </c>
      <c r="I21" s="4">
        <f t="shared" si="7"/>
        <v>7.8000000000000007</v>
      </c>
      <c r="J21" s="4"/>
      <c r="L21" t="s">
        <v>24</v>
      </c>
      <c r="M21">
        <v>0</v>
      </c>
      <c r="N21">
        <v>0</v>
      </c>
      <c r="O21">
        <v>0.11</v>
      </c>
    </row>
    <row r="22" spans="1:17" x14ac:dyDescent="0.2">
      <c r="A22" t="s">
        <v>2</v>
      </c>
      <c r="B22" s="3" t="s">
        <v>15</v>
      </c>
      <c r="C22" s="3">
        <v>100</v>
      </c>
      <c r="D22" s="3"/>
      <c r="E22" s="3">
        <f>_xlfn.XLOOKUP(B22,$L$27:$L$38,$M$27:$M$38)</f>
        <v>0.15</v>
      </c>
      <c r="F22" s="3">
        <f>IF(C22&lt;&gt;"", C22, D22*E22)</f>
        <v>100</v>
      </c>
      <c r="G22" s="3">
        <f>INDEX(EFs[],  MATCH(B22, EFs[Waste type], 0), MATCH(A22, EFs[#Headers], 0))</f>
        <v>0</v>
      </c>
      <c r="H22" s="3">
        <f>_xlfn.XLOOKUP(A22, $L$5:$L$9,$M$5:$M$9)</f>
        <v>0</v>
      </c>
      <c r="I22" s="3">
        <f>F22*G22*(1-H22)</f>
        <v>0</v>
      </c>
      <c r="J22" s="3">
        <f>SUM(I22:I29)</f>
        <v>120.4208</v>
      </c>
      <c r="L22" t="s">
        <v>1</v>
      </c>
      <c r="M22">
        <v>1.6</v>
      </c>
      <c r="N22">
        <v>1.6</v>
      </c>
      <c r="O22">
        <v>5.3699999999999998E-2</v>
      </c>
    </row>
    <row r="23" spans="1:17" x14ac:dyDescent="0.2">
      <c r="A23" t="s">
        <v>2</v>
      </c>
      <c r="B23" s="3" t="s">
        <v>0</v>
      </c>
      <c r="C23" s="3"/>
      <c r="D23" s="3">
        <v>100</v>
      </c>
      <c r="E23" s="3">
        <f t="shared" ref="E23:E29" si="8">_xlfn.XLOOKUP(B23,$L$27:$L$38,$M$27:$M$38)</f>
        <v>0.72</v>
      </c>
      <c r="F23" s="3">
        <f t="shared" ref="F23:F29" si="9">IF(C23&lt;&gt;"", C23, D23*E23)</f>
        <v>72</v>
      </c>
      <c r="G23" s="3">
        <f>INDEX(EFs[],  MATCH(B23, EFs[Waste type], 0), MATCH(A23, EFs[#Headers], 0))</f>
        <v>0</v>
      </c>
      <c r="H23" s="3">
        <f t="shared" ref="H23:H29" si="10">_xlfn.XLOOKUP(A23, $L$5:$L$9,$M$5:$M$9)</f>
        <v>0</v>
      </c>
      <c r="I23" s="3">
        <f t="shared" ref="I23:I29" si="11">F23*G23*(1-H23)</f>
        <v>0</v>
      </c>
      <c r="J23" s="3"/>
      <c r="L23" t="s">
        <v>17</v>
      </c>
      <c r="M23">
        <v>1.3</v>
      </c>
      <c r="N23">
        <v>1.3</v>
      </c>
      <c r="O23">
        <v>1.649</v>
      </c>
    </row>
    <row r="24" spans="1:17" x14ac:dyDescent="0.2">
      <c r="A24" t="s">
        <v>2</v>
      </c>
      <c r="B24" s="3" t="s">
        <v>6</v>
      </c>
      <c r="C24" s="3">
        <v>100</v>
      </c>
      <c r="D24" s="3"/>
      <c r="E24" s="3">
        <f t="shared" si="8"/>
        <v>0.09</v>
      </c>
      <c r="F24" s="3">
        <f t="shared" si="9"/>
        <v>100</v>
      </c>
      <c r="G24" s="3">
        <f>INDEX(EFs[],  MATCH(B24, EFs[Waste type], 0), MATCH(A24, EFs[#Headers], 0))</f>
        <v>1.6899999999999998E-2</v>
      </c>
      <c r="H24" s="3">
        <f t="shared" si="10"/>
        <v>0</v>
      </c>
      <c r="I24" s="3">
        <f t="shared" si="11"/>
        <v>1.69</v>
      </c>
      <c r="J24" s="3"/>
      <c r="L24" t="s">
        <v>9</v>
      </c>
      <c r="M24">
        <v>0.2</v>
      </c>
      <c r="N24">
        <v>0.2</v>
      </c>
    </row>
    <row r="25" spans="1:17" x14ac:dyDescent="0.2">
      <c r="A25" t="s">
        <v>2</v>
      </c>
      <c r="B25" s="3" t="s">
        <v>7</v>
      </c>
      <c r="C25" s="3"/>
      <c r="D25" s="3">
        <v>100</v>
      </c>
      <c r="E25" s="3">
        <f t="shared" si="8"/>
        <v>0.14000000000000001</v>
      </c>
      <c r="F25" s="3">
        <f t="shared" si="9"/>
        <v>14.000000000000002</v>
      </c>
      <c r="G25" s="3">
        <f>INDEX(EFs[],  MATCH(B25, EFs[Waste type], 0), MATCH(A25, EFs[#Headers], 0))</f>
        <v>0.36670000000000003</v>
      </c>
      <c r="H25" s="3">
        <f t="shared" si="10"/>
        <v>0</v>
      </c>
      <c r="I25" s="3">
        <f t="shared" si="11"/>
        <v>5.1338000000000008</v>
      </c>
      <c r="J25" s="3"/>
    </row>
    <row r="26" spans="1:17" x14ac:dyDescent="0.2">
      <c r="A26" t="s">
        <v>2</v>
      </c>
      <c r="B26" s="3" t="s">
        <v>8</v>
      </c>
      <c r="C26" s="3">
        <v>100</v>
      </c>
      <c r="D26" s="3"/>
      <c r="E26" s="3">
        <f t="shared" si="8"/>
        <v>0.14000000000000001</v>
      </c>
      <c r="F26" s="3">
        <f t="shared" si="9"/>
        <v>100</v>
      </c>
      <c r="G26" s="3">
        <f>INDEX(EFs[],  MATCH(B26, EFs[Waste type], 0), MATCH(A26, EFs[#Headers], 0))</f>
        <v>0.4919</v>
      </c>
      <c r="H26" s="3">
        <f t="shared" si="10"/>
        <v>0</v>
      </c>
      <c r="I26" s="3">
        <f t="shared" si="11"/>
        <v>49.19</v>
      </c>
      <c r="J26" s="3"/>
      <c r="L26" t="s">
        <v>25</v>
      </c>
      <c r="M26" t="s">
        <v>11</v>
      </c>
    </row>
    <row r="27" spans="1:17" x14ac:dyDescent="0.2">
      <c r="A27" t="s">
        <v>2</v>
      </c>
      <c r="B27" s="3" t="s">
        <v>24</v>
      </c>
      <c r="C27" s="3"/>
      <c r="D27" s="3">
        <v>100</v>
      </c>
      <c r="E27" s="3">
        <f t="shared" si="8"/>
        <v>0.42</v>
      </c>
      <c r="F27" s="3">
        <f t="shared" si="9"/>
        <v>42</v>
      </c>
      <c r="G27" s="3">
        <f>INDEX(EFs[],  MATCH(B27, EFs[Waste type], 0), MATCH(A27, EFs[#Headers], 0))</f>
        <v>0.11</v>
      </c>
      <c r="H27" s="3">
        <f t="shared" si="10"/>
        <v>0</v>
      </c>
      <c r="I27" s="3">
        <f t="shared" si="11"/>
        <v>4.62</v>
      </c>
      <c r="J27" s="3"/>
      <c r="L27" t="s">
        <v>3</v>
      </c>
      <c r="M27">
        <v>0.5</v>
      </c>
    </row>
    <row r="28" spans="1:17" x14ac:dyDescent="0.2">
      <c r="A28" t="s">
        <v>2</v>
      </c>
      <c r="B28" s="3" t="s">
        <v>1</v>
      </c>
      <c r="C28" s="3">
        <v>100</v>
      </c>
      <c r="D28" s="3"/>
      <c r="E28" s="3">
        <f t="shared" si="8"/>
        <v>0.36</v>
      </c>
      <c r="F28" s="3">
        <f t="shared" si="9"/>
        <v>100</v>
      </c>
      <c r="G28" s="3">
        <f>INDEX(EFs[],  MATCH(B28, EFs[Waste type], 0), MATCH(A28, EFs[#Headers], 0))</f>
        <v>5.3699999999999998E-2</v>
      </c>
      <c r="H28" s="3">
        <f t="shared" si="10"/>
        <v>0</v>
      </c>
      <c r="I28" s="3">
        <f t="shared" si="11"/>
        <v>5.37</v>
      </c>
      <c r="J28" s="3"/>
      <c r="L28" t="s">
        <v>6</v>
      </c>
      <c r="M28">
        <v>0.09</v>
      </c>
    </row>
    <row r="29" spans="1:17" x14ac:dyDescent="0.2">
      <c r="A29" s="4" t="s">
        <v>2</v>
      </c>
      <c r="B29" s="4" t="s">
        <v>17</v>
      </c>
      <c r="C29" s="4"/>
      <c r="D29" s="4">
        <v>100</v>
      </c>
      <c r="E29" s="4">
        <f t="shared" si="8"/>
        <v>0.33</v>
      </c>
      <c r="F29" s="4">
        <f t="shared" si="9"/>
        <v>33</v>
      </c>
      <c r="G29" s="4">
        <f>INDEX(EFs[],  MATCH(B29, EFs[Waste type], 0), MATCH(A29, EFs[#Headers], 0))</f>
        <v>1.649</v>
      </c>
      <c r="H29" s="4">
        <f t="shared" si="10"/>
        <v>0</v>
      </c>
      <c r="I29" s="4">
        <f t="shared" si="11"/>
        <v>54.417000000000002</v>
      </c>
      <c r="J29" s="4"/>
      <c r="L29" t="s">
        <v>4</v>
      </c>
      <c r="M29">
        <v>0.24</v>
      </c>
    </row>
    <row r="30" spans="1:17" x14ac:dyDescent="0.2">
      <c r="A30" s="3" t="s">
        <v>5</v>
      </c>
      <c r="B30" s="3" t="s">
        <v>3</v>
      </c>
      <c r="C30" s="3">
        <v>100</v>
      </c>
      <c r="D30" s="3"/>
      <c r="E30" s="3">
        <f>_xlfn.XLOOKUP(B30,$L$27:$L$38,$M$27:$M$38)</f>
        <v>0.5</v>
      </c>
      <c r="F30" s="3">
        <f>IF(C30&lt;&gt;"", C30, D30*E30)</f>
        <v>100</v>
      </c>
      <c r="G30" s="3">
        <f>INDEX(EFs[],  MATCH(B30, EFs[Waste type], 0), MATCH(A30, EFs[#Headers], 0))</f>
        <v>4.5999999999999999E-2</v>
      </c>
      <c r="H30" s="3">
        <f>_xlfn.XLOOKUP(A30, $L$5:$L$9,$M$5:$M$9)</f>
        <v>0</v>
      </c>
      <c r="I30" s="3">
        <f>F30*G30*(1-H30)</f>
        <v>4.5999999999999996</v>
      </c>
      <c r="J30" s="3">
        <f>SUM(I30:I37)</f>
        <v>25.806000000000001</v>
      </c>
      <c r="L30" t="s">
        <v>16</v>
      </c>
      <c r="M30">
        <v>0.15</v>
      </c>
    </row>
    <row r="31" spans="1:17" x14ac:dyDescent="0.2">
      <c r="A31" s="3" t="s">
        <v>5</v>
      </c>
      <c r="B31" s="3" t="s">
        <v>4</v>
      </c>
      <c r="C31" s="3"/>
      <c r="D31" s="3">
        <v>100</v>
      </c>
      <c r="E31" s="3">
        <f t="shared" ref="E31:E37" si="12">_xlfn.XLOOKUP(B31,$L$27:$L$38,$M$27:$M$38)</f>
        <v>0.24</v>
      </c>
      <c r="F31" s="3">
        <f t="shared" ref="F31:F37" si="13">IF(C31&lt;&gt;"", C31, D31*E31)</f>
        <v>24</v>
      </c>
      <c r="G31" s="3">
        <f>INDEX(EFs[],  MATCH(B31, EFs[Waste type], 0), MATCH(A31, EFs[#Headers], 0))</f>
        <v>4.5999999999999999E-2</v>
      </c>
      <c r="H31" s="3">
        <f t="shared" ref="H31:H37" si="14">_xlfn.XLOOKUP(A31, $L$5:$L$9,$M$5:$M$9)</f>
        <v>0</v>
      </c>
      <c r="I31" s="3">
        <f t="shared" ref="I31:I37" si="15">F31*G31*(1-H31)</f>
        <v>1.1040000000000001</v>
      </c>
      <c r="J31" s="3"/>
      <c r="L31" t="s">
        <v>15</v>
      </c>
      <c r="M31">
        <v>0.15</v>
      </c>
    </row>
    <row r="32" spans="1:17" x14ac:dyDescent="0.2">
      <c r="A32" s="3" t="s">
        <v>5</v>
      </c>
      <c r="B32" s="3" t="s">
        <v>16</v>
      </c>
      <c r="C32" s="3">
        <v>100</v>
      </c>
      <c r="D32" s="3"/>
      <c r="E32" s="3">
        <f t="shared" si="12"/>
        <v>0.15</v>
      </c>
      <c r="F32" s="3">
        <f t="shared" si="13"/>
        <v>100</v>
      </c>
      <c r="G32" s="3">
        <f>INDEX(EFs[],  MATCH(B32, EFs[Waste type], 0), MATCH(A32, EFs[#Headers], 0))</f>
        <v>4.5999999999999999E-2</v>
      </c>
      <c r="H32" s="3">
        <f t="shared" si="14"/>
        <v>0</v>
      </c>
      <c r="I32" s="3">
        <f t="shared" si="15"/>
        <v>4.5999999999999996</v>
      </c>
      <c r="J32" s="3"/>
      <c r="L32" t="s">
        <v>7</v>
      </c>
      <c r="M32">
        <v>0.14000000000000001</v>
      </c>
    </row>
    <row r="33" spans="1:13" x14ac:dyDescent="0.2">
      <c r="A33" s="3" t="s">
        <v>5</v>
      </c>
      <c r="B33" s="3" t="s">
        <v>3</v>
      </c>
      <c r="C33" s="3"/>
      <c r="D33" s="3">
        <v>100</v>
      </c>
      <c r="E33" s="3">
        <f t="shared" si="12"/>
        <v>0.5</v>
      </c>
      <c r="F33" s="3">
        <f t="shared" si="13"/>
        <v>50</v>
      </c>
      <c r="G33" s="3">
        <f>INDEX(EFs[],  MATCH(B33, EFs[Waste type], 0), MATCH(A33, EFs[#Headers], 0))</f>
        <v>4.5999999999999999E-2</v>
      </c>
      <c r="H33" s="3">
        <f t="shared" si="14"/>
        <v>0</v>
      </c>
      <c r="I33" s="3">
        <f t="shared" si="15"/>
        <v>2.2999999999999998</v>
      </c>
      <c r="J33" s="3"/>
      <c r="L33" t="s">
        <v>0</v>
      </c>
      <c r="M33">
        <v>0.72</v>
      </c>
    </row>
    <row r="34" spans="1:13" x14ac:dyDescent="0.2">
      <c r="A34" s="3" t="s">
        <v>5</v>
      </c>
      <c r="B34" s="3" t="s">
        <v>4</v>
      </c>
      <c r="C34" s="3">
        <v>100</v>
      </c>
      <c r="D34" s="3"/>
      <c r="E34" s="3">
        <f t="shared" si="12"/>
        <v>0.24</v>
      </c>
      <c r="F34" s="3">
        <f t="shared" si="13"/>
        <v>100</v>
      </c>
      <c r="G34" s="3">
        <f>INDEX(EFs[],  MATCH(B34, EFs[Waste type], 0), MATCH(A34, EFs[#Headers], 0))</f>
        <v>4.5999999999999999E-2</v>
      </c>
      <c r="H34" s="3">
        <f t="shared" si="14"/>
        <v>0</v>
      </c>
      <c r="I34" s="3">
        <f t="shared" si="15"/>
        <v>4.5999999999999996</v>
      </c>
      <c r="J34" s="3"/>
      <c r="L34" t="s">
        <v>8</v>
      </c>
      <c r="M34">
        <v>0.14000000000000001</v>
      </c>
    </row>
    <row r="35" spans="1:13" x14ac:dyDescent="0.2">
      <c r="A35" s="3" t="s">
        <v>5</v>
      </c>
      <c r="B35" s="3" t="s">
        <v>16</v>
      </c>
      <c r="C35" s="3"/>
      <c r="D35" s="3">
        <v>100</v>
      </c>
      <c r="E35" s="3">
        <f t="shared" si="12"/>
        <v>0.15</v>
      </c>
      <c r="F35" s="3">
        <f t="shared" si="13"/>
        <v>15</v>
      </c>
      <c r="G35" s="3">
        <f>INDEX(EFs[],  MATCH(B35, EFs[Waste type], 0), MATCH(A35, EFs[#Headers], 0))</f>
        <v>4.5999999999999999E-2</v>
      </c>
      <c r="H35" s="3">
        <f t="shared" si="14"/>
        <v>0</v>
      </c>
      <c r="I35" s="3">
        <f t="shared" si="15"/>
        <v>0.69</v>
      </c>
      <c r="J35" s="3"/>
      <c r="L35" t="s">
        <v>24</v>
      </c>
      <c r="M35">
        <v>0.42</v>
      </c>
    </row>
    <row r="36" spans="1:13" x14ac:dyDescent="0.2">
      <c r="A36" s="3" t="s">
        <v>5</v>
      </c>
      <c r="B36" s="3" t="s">
        <v>15</v>
      </c>
      <c r="C36" s="3">
        <v>100</v>
      </c>
      <c r="D36" s="3"/>
      <c r="E36" s="3">
        <f t="shared" si="12"/>
        <v>0.15</v>
      </c>
      <c r="F36" s="3">
        <f t="shared" si="13"/>
        <v>100</v>
      </c>
      <c r="G36" s="3">
        <f>INDEX(EFs[],  MATCH(B36, EFs[Waste type], 0), MATCH(A36, EFs[#Headers], 0))</f>
        <v>4.5999999999999999E-2</v>
      </c>
      <c r="H36" s="3">
        <f t="shared" si="14"/>
        <v>0</v>
      </c>
      <c r="I36" s="3">
        <f t="shared" si="15"/>
        <v>4.5999999999999996</v>
      </c>
      <c r="J36" s="3"/>
      <c r="L36" t="s">
        <v>1</v>
      </c>
      <c r="M36">
        <v>0.36</v>
      </c>
    </row>
    <row r="37" spans="1:13" x14ac:dyDescent="0.2">
      <c r="A37" s="4" t="s">
        <v>5</v>
      </c>
      <c r="B37" s="4" t="s">
        <v>0</v>
      </c>
      <c r="C37" s="4"/>
      <c r="D37" s="4">
        <v>100</v>
      </c>
      <c r="E37" s="4">
        <f t="shared" si="12"/>
        <v>0.72</v>
      </c>
      <c r="F37" s="4">
        <f t="shared" si="13"/>
        <v>72</v>
      </c>
      <c r="G37" s="4">
        <f>INDEX(EFs[],  MATCH(B37, EFs[Waste type], 0), MATCH(A37, EFs[#Headers], 0))</f>
        <v>4.5999999999999999E-2</v>
      </c>
      <c r="H37" s="4">
        <f t="shared" si="14"/>
        <v>0</v>
      </c>
      <c r="I37" s="4">
        <f t="shared" si="15"/>
        <v>3.3119999999999998</v>
      </c>
      <c r="J37" s="4"/>
      <c r="L37" t="s">
        <v>17</v>
      </c>
      <c r="M37">
        <v>0.33</v>
      </c>
    </row>
    <row r="38" spans="1:13" x14ac:dyDescent="0.2">
      <c r="A38" s="3" t="s">
        <v>10</v>
      </c>
      <c r="B38" s="3" t="s">
        <v>3</v>
      </c>
      <c r="C38" s="3">
        <v>100</v>
      </c>
      <c r="D38" s="3"/>
      <c r="E38" s="3">
        <f>_xlfn.XLOOKUP(B38,$L$27:$L$38,$M$27:$M$38)</f>
        <v>0.5</v>
      </c>
      <c r="F38" s="3">
        <f>IF(C38&lt;&gt;"", C38, D38*E38)</f>
        <v>100</v>
      </c>
      <c r="G38" s="3">
        <f>INDEX(EFs[],  MATCH(B38, EFs[Waste type], 0), MATCH(A38, EFs[#Headers], 0))</f>
        <v>2.8000000000000001E-2</v>
      </c>
      <c r="H38" s="3">
        <f>_xlfn.XLOOKUP(A38, $L$5:$L$9,$M$5:$M$9)</f>
        <v>0</v>
      </c>
      <c r="I38" s="3">
        <f>F38*G38*(1-H38)</f>
        <v>2.8000000000000003</v>
      </c>
      <c r="J38" s="3">
        <f>SUM(I38:I45)</f>
        <v>15.708000000000002</v>
      </c>
      <c r="L38" t="s">
        <v>9</v>
      </c>
      <c r="M38">
        <v>0.39</v>
      </c>
    </row>
    <row r="39" spans="1:13" x14ac:dyDescent="0.2">
      <c r="A39" s="3" t="s">
        <v>10</v>
      </c>
      <c r="B39" s="3" t="s">
        <v>4</v>
      </c>
      <c r="C39" s="3"/>
      <c r="D39" s="3">
        <v>100</v>
      </c>
      <c r="E39" s="3">
        <f t="shared" ref="E39:E45" si="16">_xlfn.XLOOKUP(B39,$L$27:$L$38,$M$27:$M$38)</f>
        <v>0.24</v>
      </c>
      <c r="F39" s="3">
        <f t="shared" ref="F39:F45" si="17">IF(C39&lt;&gt;"", C39, D39*E39)</f>
        <v>24</v>
      </c>
      <c r="G39" s="3">
        <f>INDEX(EFs[],  MATCH(B39, EFs[Waste type], 0), MATCH(A39, EFs[#Headers], 0))</f>
        <v>2.8000000000000001E-2</v>
      </c>
      <c r="H39" s="3">
        <f t="shared" ref="H39:H45" si="18">_xlfn.XLOOKUP(A39, $L$5:$L$9,$M$5:$M$9)</f>
        <v>0</v>
      </c>
      <c r="I39" s="3">
        <f t="shared" ref="I39:I45" si="19">F39*G39*(1-H39)</f>
        <v>0.67200000000000004</v>
      </c>
      <c r="J39" s="3"/>
    </row>
    <row r="40" spans="1:13" x14ac:dyDescent="0.2">
      <c r="A40" s="3" t="s">
        <v>10</v>
      </c>
      <c r="B40" s="3" t="s">
        <v>16</v>
      </c>
      <c r="C40" s="3">
        <v>100</v>
      </c>
      <c r="D40" s="3"/>
      <c r="E40" s="3">
        <f t="shared" si="16"/>
        <v>0.15</v>
      </c>
      <c r="F40" s="3">
        <f t="shared" si="17"/>
        <v>100</v>
      </c>
      <c r="G40" s="3">
        <f>INDEX(EFs[],  MATCH(B40, EFs[Waste type], 0), MATCH(A40, EFs[#Headers], 0))</f>
        <v>2.8000000000000001E-2</v>
      </c>
      <c r="H40" s="3">
        <f t="shared" si="18"/>
        <v>0</v>
      </c>
      <c r="I40" s="3">
        <f t="shared" si="19"/>
        <v>2.8000000000000003</v>
      </c>
      <c r="J40" s="3"/>
    </row>
    <row r="41" spans="1:13" x14ac:dyDescent="0.2">
      <c r="A41" s="3" t="s">
        <v>10</v>
      </c>
      <c r="B41" s="3" t="s">
        <v>3</v>
      </c>
      <c r="C41" s="3"/>
      <c r="D41" s="3">
        <v>100</v>
      </c>
      <c r="E41" s="3">
        <f t="shared" si="16"/>
        <v>0.5</v>
      </c>
      <c r="F41" s="3">
        <f t="shared" si="17"/>
        <v>50</v>
      </c>
      <c r="G41" s="3">
        <f>INDEX(EFs[],  MATCH(B41, EFs[Waste type], 0), MATCH(A41, EFs[#Headers], 0))</f>
        <v>2.8000000000000001E-2</v>
      </c>
      <c r="H41" s="3">
        <f t="shared" si="18"/>
        <v>0</v>
      </c>
      <c r="I41" s="3">
        <f t="shared" si="19"/>
        <v>1.4000000000000001</v>
      </c>
      <c r="J41" s="3"/>
    </row>
    <row r="42" spans="1:13" x14ac:dyDescent="0.2">
      <c r="A42" s="3" t="s">
        <v>10</v>
      </c>
      <c r="B42" s="3" t="s">
        <v>4</v>
      </c>
      <c r="C42" s="3">
        <v>100</v>
      </c>
      <c r="D42" s="3"/>
      <c r="E42" s="3">
        <f t="shared" si="16"/>
        <v>0.24</v>
      </c>
      <c r="F42" s="3">
        <f t="shared" si="17"/>
        <v>100</v>
      </c>
      <c r="G42" s="3">
        <f>INDEX(EFs[],  MATCH(B42, EFs[Waste type], 0), MATCH(A42, EFs[#Headers], 0))</f>
        <v>2.8000000000000001E-2</v>
      </c>
      <c r="H42" s="3">
        <f t="shared" si="18"/>
        <v>0</v>
      </c>
      <c r="I42" s="3">
        <f t="shared" si="19"/>
        <v>2.8000000000000003</v>
      </c>
      <c r="J42" s="3"/>
    </row>
    <row r="43" spans="1:13" x14ac:dyDescent="0.2">
      <c r="A43" s="3" t="s">
        <v>10</v>
      </c>
      <c r="B43" s="3" t="s">
        <v>16</v>
      </c>
      <c r="C43" s="3"/>
      <c r="D43" s="3">
        <v>100</v>
      </c>
      <c r="E43" s="3">
        <f t="shared" si="16"/>
        <v>0.15</v>
      </c>
      <c r="F43" s="3">
        <f t="shared" si="17"/>
        <v>15</v>
      </c>
      <c r="G43" s="3">
        <f>INDEX(EFs[],  MATCH(B43, EFs[Waste type], 0), MATCH(A43, EFs[#Headers], 0))</f>
        <v>2.8000000000000001E-2</v>
      </c>
      <c r="H43" s="3">
        <f t="shared" si="18"/>
        <v>0</v>
      </c>
      <c r="I43" s="3">
        <f t="shared" si="19"/>
        <v>0.42</v>
      </c>
      <c r="J43" s="3"/>
    </row>
    <row r="44" spans="1:13" x14ac:dyDescent="0.2">
      <c r="A44" s="3" t="s">
        <v>10</v>
      </c>
      <c r="B44" s="3" t="s">
        <v>15</v>
      </c>
      <c r="C44" s="3">
        <v>100</v>
      </c>
      <c r="D44" s="3"/>
      <c r="E44" s="3">
        <f t="shared" si="16"/>
        <v>0.15</v>
      </c>
      <c r="F44" s="3">
        <f t="shared" si="17"/>
        <v>100</v>
      </c>
      <c r="G44" s="3">
        <f>INDEX(EFs[],  MATCH(B44, EFs[Waste type], 0), MATCH(A44, EFs[#Headers], 0))</f>
        <v>2.8000000000000001E-2</v>
      </c>
      <c r="H44" s="3">
        <f t="shared" si="18"/>
        <v>0</v>
      </c>
      <c r="I44" s="3">
        <f t="shared" si="19"/>
        <v>2.8000000000000003</v>
      </c>
      <c r="J44" s="3"/>
    </row>
    <row r="45" spans="1:13" x14ac:dyDescent="0.2">
      <c r="A45" s="4" t="s">
        <v>10</v>
      </c>
      <c r="B45" s="4" t="s">
        <v>0</v>
      </c>
      <c r="C45" s="4"/>
      <c r="D45" s="4">
        <v>100</v>
      </c>
      <c r="E45" s="4">
        <f t="shared" si="16"/>
        <v>0.72</v>
      </c>
      <c r="F45" s="4">
        <f t="shared" si="17"/>
        <v>72</v>
      </c>
      <c r="G45" s="4">
        <f>INDEX(EFs[],  MATCH(B45, EFs[Waste type], 0), MATCH(A45, EFs[#Headers], 0))</f>
        <v>2.8000000000000001E-2</v>
      </c>
      <c r="H45" s="4">
        <f t="shared" si="18"/>
        <v>0</v>
      </c>
      <c r="I45" s="4">
        <f t="shared" si="19"/>
        <v>2.016</v>
      </c>
      <c r="J45" s="4"/>
    </row>
    <row r="46" spans="1:13" x14ac:dyDescent="0.2">
      <c r="A46" s="3" t="s">
        <v>12</v>
      </c>
      <c r="B46" s="3" t="s">
        <v>3</v>
      </c>
      <c r="C46" s="3">
        <v>100</v>
      </c>
      <c r="D46" s="3"/>
      <c r="E46" s="3">
        <f>_xlfn.XLOOKUP(B46,$L$27:$L$38,$M$27:$M$38)</f>
        <v>0.5</v>
      </c>
      <c r="F46" s="3">
        <f>IF(C46&lt;&gt;"", C46, D46*E46)</f>
        <v>100</v>
      </c>
      <c r="G46" s="3">
        <f>INDEX(EFs[],  MATCH(B46, EFs[Waste type], 0), MATCH(A46, EFs[#Headers], 0))</f>
        <v>2.1</v>
      </c>
      <c r="H46" s="3">
        <f>_xlfn.XLOOKUP(A46, $L$5:$L$9,$M$5:$M$9)</f>
        <v>0.45</v>
      </c>
      <c r="I46" s="3">
        <f>F46*G46*(1-H46)</f>
        <v>115.50000000000001</v>
      </c>
      <c r="J46" s="3">
        <f>SUM(I46:I53)</f>
        <v>201.96660000000003</v>
      </c>
    </row>
    <row r="47" spans="1:13" x14ac:dyDescent="0.2">
      <c r="A47" t="s">
        <v>13</v>
      </c>
      <c r="B47" t="s">
        <v>7</v>
      </c>
      <c r="C47" s="3"/>
      <c r="D47" s="3">
        <v>100</v>
      </c>
      <c r="E47" s="3">
        <f t="shared" ref="E47:E53" si="20">_xlfn.XLOOKUP(B47,$L$27:$L$38,$M$27:$M$38)</f>
        <v>0.14000000000000001</v>
      </c>
      <c r="F47" s="3">
        <f t="shared" ref="F47:F53" si="21">IF(C47&lt;&gt;"", C47, D47*E47)</f>
        <v>14.000000000000002</v>
      </c>
      <c r="G47" s="3">
        <f>INDEX(EFs[],  MATCH(B47, EFs[Waste type], 0), MATCH(A47, EFs[#Headers], 0))</f>
        <v>2</v>
      </c>
      <c r="H47" s="3">
        <f t="shared" ref="H47:H53" si="22">_xlfn.XLOOKUP(A47, $L$5:$L$9,$M$5:$M$9)</f>
        <v>0</v>
      </c>
      <c r="I47" s="3">
        <f t="shared" ref="I47:I53" si="23">F47*G47*(1-H47)</f>
        <v>28.000000000000004</v>
      </c>
      <c r="J47" s="3"/>
    </row>
    <row r="48" spans="1:13" x14ac:dyDescent="0.2">
      <c r="A48" s="3" t="s">
        <v>10</v>
      </c>
      <c r="B48" s="3" t="s">
        <v>4</v>
      </c>
      <c r="C48" s="3">
        <v>100</v>
      </c>
      <c r="D48" s="3"/>
      <c r="E48" s="3">
        <f t="shared" si="20"/>
        <v>0.24</v>
      </c>
      <c r="F48" s="3">
        <f t="shared" si="21"/>
        <v>100</v>
      </c>
      <c r="G48" s="3">
        <f>INDEX(EFs[],  MATCH(B48, EFs[Waste type], 0), MATCH(A48, EFs[#Headers], 0))</f>
        <v>2.8000000000000001E-2</v>
      </c>
      <c r="H48" s="3">
        <f t="shared" si="22"/>
        <v>0</v>
      </c>
      <c r="I48" s="3">
        <f t="shared" si="23"/>
        <v>2.8000000000000003</v>
      </c>
      <c r="J48" s="3"/>
    </row>
    <row r="49" spans="1:10" x14ac:dyDescent="0.2">
      <c r="A49" s="3" t="s">
        <v>10</v>
      </c>
      <c r="B49" s="3" t="s">
        <v>16</v>
      </c>
      <c r="C49" s="3"/>
      <c r="D49" s="3">
        <v>100</v>
      </c>
      <c r="E49" s="3">
        <f t="shared" si="20"/>
        <v>0.15</v>
      </c>
      <c r="F49" s="3">
        <f t="shared" si="21"/>
        <v>15</v>
      </c>
      <c r="G49" s="3">
        <f>INDEX(EFs[],  MATCH(B49, EFs[Waste type], 0), MATCH(A49, EFs[#Headers], 0))</f>
        <v>2.8000000000000001E-2</v>
      </c>
      <c r="H49" s="3">
        <f t="shared" si="22"/>
        <v>0</v>
      </c>
      <c r="I49" s="3">
        <f t="shared" si="23"/>
        <v>0.42</v>
      </c>
      <c r="J49" s="3"/>
    </row>
    <row r="50" spans="1:10" x14ac:dyDescent="0.2">
      <c r="A50" t="s">
        <v>2</v>
      </c>
      <c r="B50" s="3" t="s">
        <v>7</v>
      </c>
      <c r="C50" s="3">
        <v>100</v>
      </c>
      <c r="D50" s="3"/>
      <c r="E50" s="3">
        <f t="shared" si="20"/>
        <v>0.14000000000000001</v>
      </c>
      <c r="F50" s="3">
        <f t="shared" si="21"/>
        <v>100</v>
      </c>
      <c r="G50" s="3">
        <f>INDEX(EFs[],  MATCH(B50, EFs[Waste type], 0), MATCH(A50, EFs[#Headers], 0))</f>
        <v>0.36670000000000003</v>
      </c>
      <c r="H50" s="3">
        <f t="shared" si="22"/>
        <v>0</v>
      </c>
      <c r="I50" s="3">
        <f t="shared" si="23"/>
        <v>36.67</v>
      </c>
      <c r="J50" s="3"/>
    </row>
    <row r="51" spans="1:10" x14ac:dyDescent="0.2">
      <c r="A51" t="s">
        <v>2</v>
      </c>
      <c r="B51" s="3" t="s">
        <v>8</v>
      </c>
      <c r="C51" s="3"/>
      <c r="D51" s="3">
        <v>100</v>
      </c>
      <c r="E51" s="3">
        <f t="shared" si="20"/>
        <v>0.14000000000000001</v>
      </c>
      <c r="F51" s="3">
        <f t="shared" si="21"/>
        <v>14.000000000000002</v>
      </c>
      <c r="G51" s="3">
        <f>INDEX(EFs[],  MATCH(B51, EFs[Waste type], 0), MATCH(A51, EFs[#Headers], 0))</f>
        <v>0.4919</v>
      </c>
      <c r="H51" s="3">
        <f t="shared" si="22"/>
        <v>0</v>
      </c>
      <c r="I51" s="3">
        <f t="shared" si="23"/>
        <v>6.8866000000000005</v>
      </c>
      <c r="J51" s="3"/>
    </row>
    <row r="52" spans="1:10" x14ac:dyDescent="0.2">
      <c r="A52" t="s">
        <v>2</v>
      </c>
      <c r="B52" s="3" t="s">
        <v>24</v>
      </c>
      <c r="C52" s="3">
        <v>100</v>
      </c>
      <c r="D52" s="3"/>
      <c r="E52" s="3">
        <f t="shared" si="20"/>
        <v>0.42</v>
      </c>
      <c r="F52" s="3">
        <f t="shared" si="21"/>
        <v>100</v>
      </c>
      <c r="G52" s="3">
        <f>INDEX(EFs[],  MATCH(B52, EFs[Waste type], 0), MATCH(A52, EFs[#Headers], 0))</f>
        <v>0.11</v>
      </c>
      <c r="H52" s="3">
        <f t="shared" si="22"/>
        <v>0</v>
      </c>
      <c r="I52" s="3">
        <f t="shared" si="23"/>
        <v>11</v>
      </c>
      <c r="J52" s="3"/>
    </row>
    <row r="53" spans="1:10" x14ac:dyDescent="0.2">
      <c r="A53" s="4" t="s">
        <v>5</v>
      </c>
      <c r="B53" s="4" t="s">
        <v>15</v>
      </c>
      <c r="C53" s="4"/>
      <c r="D53" s="4">
        <v>100</v>
      </c>
      <c r="E53" s="4">
        <f t="shared" si="20"/>
        <v>0.15</v>
      </c>
      <c r="F53" s="4">
        <f t="shared" si="21"/>
        <v>15</v>
      </c>
      <c r="G53" s="4">
        <f>INDEX(EFs[],  MATCH(B53, EFs[Waste type], 0), MATCH(A53, EFs[#Headers], 0))</f>
        <v>4.5999999999999999E-2</v>
      </c>
      <c r="H53" s="4">
        <f t="shared" si="22"/>
        <v>0</v>
      </c>
      <c r="I53" s="4">
        <f t="shared" si="23"/>
        <v>0.69</v>
      </c>
      <c r="J53" s="4"/>
    </row>
    <row r="54" spans="1:10" x14ac:dyDescent="0.2">
      <c r="A54" s="3" t="s">
        <v>12</v>
      </c>
      <c r="B54" s="3" t="s">
        <v>3</v>
      </c>
      <c r="C54" s="3">
        <v>100</v>
      </c>
      <c r="D54" s="3"/>
      <c r="E54" s="3">
        <f>_xlfn.XLOOKUP(B54,$L$27:$L$38,$M$27:$M$38)</f>
        <v>0.5</v>
      </c>
      <c r="F54" s="3">
        <f>IF(C54&lt;&gt;"", C54, D54*E54)</f>
        <v>100</v>
      </c>
      <c r="G54" s="3">
        <f>INDEX(EFs[],  MATCH(B54, EFs[Waste type], 0), MATCH(A54, EFs[#Headers], 0))</f>
        <v>2.1</v>
      </c>
      <c r="H54" s="3">
        <f>_xlfn.XLOOKUP(A54, $L$5:$L$9,$M$5:$M$9)</f>
        <v>0.45</v>
      </c>
      <c r="I54" s="3">
        <f>F54*G54*(1-H54)</f>
        <v>115.50000000000001</v>
      </c>
      <c r="J54" s="3">
        <f>SUM(I54:I61)</f>
        <v>410.74</v>
      </c>
    </row>
    <row r="55" spans="1:10" x14ac:dyDescent="0.2">
      <c r="A55" t="s">
        <v>13</v>
      </c>
      <c r="B55" t="s">
        <v>7</v>
      </c>
      <c r="C55" s="3"/>
      <c r="D55" s="3">
        <v>100</v>
      </c>
      <c r="E55" s="3">
        <f t="shared" ref="E55:E61" si="24">_xlfn.XLOOKUP(B55,$L$27:$L$38,$M$27:$M$38)</f>
        <v>0.14000000000000001</v>
      </c>
      <c r="F55" s="3">
        <f t="shared" ref="F55:F61" si="25">IF(C55&lt;&gt;"", C55, D55*E55)</f>
        <v>14.000000000000002</v>
      </c>
      <c r="G55" s="3">
        <f>INDEX(EFs[],  MATCH(B55, EFs[Waste type], 0), MATCH(A55, EFs[#Headers], 0))</f>
        <v>2</v>
      </c>
      <c r="H55" s="3">
        <f t="shared" ref="H55:H61" si="26">_xlfn.XLOOKUP(A55, $L$5:$L$9,$M$5:$M$9)</f>
        <v>0</v>
      </c>
      <c r="I55" s="3">
        <f t="shared" ref="I55:I61" si="27">F55*G55*(1-H55)</f>
        <v>28.000000000000004</v>
      </c>
      <c r="J55" s="3"/>
    </row>
    <row r="56" spans="1:10" x14ac:dyDescent="0.2">
      <c r="A56" s="3" t="s">
        <v>10</v>
      </c>
      <c r="B56" s="3" t="s">
        <v>4</v>
      </c>
      <c r="C56" s="3">
        <v>100</v>
      </c>
      <c r="D56" s="3"/>
      <c r="E56" s="3">
        <f t="shared" si="24"/>
        <v>0.24</v>
      </c>
      <c r="F56" s="3">
        <f t="shared" si="25"/>
        <v>100</v>
      </c>
      <c r="G56" s="3">
        <f>INDEX(EFs[],  MATCH(B56, EFs[Waste type], 0), MATCH(A56, EFs[#Headers], 0))</f>
        <v>2.8000000000000001E-2</v>
      </c>
      <c r="H56" s="3">
        <f t="shared" si="26"/>
        <v>0</v>
      </c>
      <c r="I56" s="3">
        <f t="shared" si="27"/>
        <v>2.8000000000000003</v>
      </c>
      <c r="J56" s="3"/>
    </row>
    <row r="57" spans="1:10" x14ac:dyDescent="0.2">
      <c r="A57" s="3" t="s">
        <v>12</v>
      </c>
      <c r="B57" s="3" t="s">
        <v>16</v>
      </c>
      <c r="C57" s="3"/>
      <c r="D57" s="3">
        <v>100</v>
      </c>
      <c r="E57" s="3">
        <f t="shared" si="24"/>
        <v>0.15</v>
      </c>
      <c r="F57" s="3">
        <f t="shared" si="25"/>
        <v>15</v>
      </c>
      <c r="G57" s="3">
        <f>INDEX(EFs[],  MATCH(B57, EFs[Waste type], 0), MATCH(A57, EFs[#Headers], 0))</f>
        <v>1.6</v>
      </c>
      <c r="H57" s="3">
        <f t="shared" si="26"/>
        <v>0.45</v>
      </c>
      <c r="I57" s="3">
        <f t="shared" si="27"/>
        <v>13.200000000000001</v>
      </c>
      <c r="J57" s="3"/>
    </row>
    <row r="58" spans="1:10" x14ac:dyDescent="0.2">
      <c r="A58" s="3" t="s">
        <v>12</v>
      </c>
      <c r="B58" s="3" t="s">
        <v>15</v>
      </c>
      <c r="C58" s="3">
        <v>100</v>
      </c>
      <c r="D58" s="3"/>
      <c r="E58" s="3">
        <f t="shared" si="24"/>
        <v>0.15</v>
      </c>
      <c r="F58" s="3">
        <f t="shared" si="25"/>
        <v>100</v>
      </c>
      <c r="G58" s="3">
        <f>INDEX(EFs[],  MATCH(B58, EFs[Waste type], 0), MATCH(A58, EFs[#Headers], 0))</f>
        <v>0.7</v>
      </c>
      <c r="H58" s="3">
        <f t="shared" si="26"/>
        <v>0.45</v>
      </c>
      <c r="I58" s="3">
        <f t="shared" si="27"/>
        <v>38.5</v>
      </c>
      <c r="J58" s="3"/>
    </row>
    <row r="59" spans="1:10" x14ac:dyDescent="0.2">
      <c r="A59" s="3" t="s">
        <v>12</v>
      </c>
      <c r="B59" s="3" t="s">
        <v>0</v>
      </c>
      <c r="C59" s="3"/>
      <c r="D59" s="3">
        <v>100</v>
      </c>
      <c r="E59" s="3">
        <f t="shared" si="24"/>
        <v>0.72</v>
      </c>
      <c r="F59" s="3">
        <f t="shared" si="25"/>
        <v>72</v>
      </c>
      <c r="G59" s="3">
        <f>INDEX(EFs[],  MATCH(B59, EFs[Waste type], 0), MATCH(A59, EFs[#Headers], 0))</f>
        <v>0.4</v>
      </c>
      <c r="H59" s="3">
        <f t="shared" si="26"/>
        <v>0.45</v>
      </c>
      <c r="I59" s="3">
        <f t="shared" si="27"/>
        <v>15.840000000000002</v>
      </c>
      <c r="J59" s="3"/>
    </row>
    <row r="60" spans="1:10" x14ac:dyDescent="0.2">
      <c r="A60" s="3" t="s">
        <v>12</v>
      </c>
      <c r="B60" s="3" t="s">
        <v>6</v>
      </c>
      <c r="C60" s="3">
        <v>100</v>
      </c>
      <c r="D60" s="3"/>
      <c r="E60" s="3">
        <f t="shared" si="24"/>
        <v>0.09</v>
      </c>
      <c r="F60" s="3">
        <f t="shared" si="25"/>
        <v>100</v>
      </c>
      <c r="G60" s="3">
        <f>INDEX(EFs[],  MATCH(B60, EFs[Waste type], 0), MATCH(A60, EFs[#Headers], 0))</f>
        <v>3.3</v>
      </c>
      <c r="H60" s="3">
        <f t="shared" si="26"/>
        <v>0.45</v>
      </c>
      <c r="I60" s="3">
        <f t="shared" si="27"/>
        <v>181.50000000000003</v>
      </c>
      <c r="J60" s="3"/>
    </row>
    <row r="61" spans="1:10" x14ac:dyDescent="0.2">
      <c r="A61" s="4" t="s">
        <v>12</v>
      </c>
      <c r="B61" s="4" t="s">
        <v>7</v>
      </c>
      <c r="C61" s="4"/>
      <c r="D61" s="4">
        <v>100</v>
      </c>
      <c r="E61" s="4">
        <f t="shared" si="24"/>
        <v>0.14000000000000001</v>
      </c>
      <c r="F61" s="4">
        <f t="shared" si="25"/>
        <v>14.000000000000002</v>
      </c>
      <c r="G61" s="4">
        <f>INDEX(EFs[],  MATCH(B61, EFs[Waste type], 0), MATCH(A61, EFs[#Headers], 0))</f>
        <v>2</v>
      </c>
      <c r="H61" s="4">
        <f t="shared" si="26"/>
        <v>0.45</v>
      </c>
      <c r="I61" s="4">
        <f t="shared" si="27"/>
        <v>15.400000000000004</v>
      </c>
      <c r="J6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Mack Cheesman</cp:lastModifiedBy>
  <dcterms:created xsi:type="dcterms:W3CDTF">2026-02-18T00:55:42Z</dcterms:created>
  <dcterms:modified xsi:type="dcterms:W3CDTF">2026-09-25T01:35:10Z</dcterms:modified>
</cp:coreProperties>
</file>