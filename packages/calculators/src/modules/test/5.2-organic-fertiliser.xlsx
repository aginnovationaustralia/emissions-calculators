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C8E45591-766C-344E-942C-6FE44828DF45}" xr6:coauthVersionLast="47" xr6:coauthVersionMax="47" xr10:uidLastSave="{00000000-0000-0000-0000-000000000000}"/>
  <bookViews>
    <workbookView xWindow="7260" yWindow="5740" windowWidth="41960" windowHeight="22180" activeTab="1" xr2:uid="{B34CCF14-86C9-E244-A6C9-8261CA2754B3}"/>
  </bookViews>
  <sheets>
    <sheet name="5.2.1.1 (purchased_untraced)" sheetId="1" r:id="rId1"/>
    <sheet name="5.2.1.1 (local swine)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2" l="1"/>
  <c r="O8" i="2"/>
  <c r="N8" i="2"/>
  <c r="Y12" i="2"/>
  <c r="J22" i="1"/>
  <c r="L22" i="1" s="1"/>
  <c r="K22" i="1"/>
  <c r="J21" i="1"/>
  <c r="L21" i="1" s="1"/>
  <c r="K21" i="1"/>
  <c r="O11" i="1"/>
  <c r="K17" i="1" s="1"/>
  <c r="I18" i="1"/>
  <c r="D31" i="2"/>
  <c r="D30" i="2"/>
  <c r="D29" i="2"/>
  <c r="D28" i="2"/>
  <c r="R27" i="2"/>
  <c r="D27" i="2"/>
  <c r="R26" i="2"/>
  <c r="D26" i="2"/>
  <c r="T25" i="2"/>
  <c r="R25" i="2"/>
  <c r="D25" i="2"/>
  <c r="U24" i="2"/>
  <c r="T24" i="2"/>
  <c r="S24" i="2"/>
  <c r="R24" i="2"/>
  <c r="D24" i="2"/>
  <c r="U23" i="2"/>
  <c r="T23" i="2"/>
  <c r="S23" i="2"/>
  <c r="R23" i="2"/>
  <c r="D23" i="2"/>
  <c r="U22" i="2"/>
  <c r="T22" i="2"/>
  <c r="S22" i="2"/>
  <c r="R22" i="2"/>
  <c r="S21" i="2"/>
  <c r="R21" i="2"/>
  <c r="U21" i="2" s="1"/>
  <c r="S20" i="2"/>
  <c r="R20" i="2"/>
  <c r="S19" i="2"/>
  <c r="R19" i="2"/>
  <c r="S18" i="2"/>
  <c r="R18" i="2"/>
  <c r="U16" i="2"/>
  <c r="T16" i="2"/>
  <c r="S16" i="2"/>
  <c r="U15" i="2"/>
  <c r="T15" i="2"/>
  <c r="S15" i="2"/>
  <c r="U14" i="2"/>
  <c r="T14" i="2"/>
  <c r="S14" i="2"/>
  <c r="U13" i="2"/>
  <c r="T13" i="2"/>
  <c r="S13" i="2"/>
  <c r="T21" i="2"/>
  <c r="U12" i="2"/>
  <c r="T12" i="2"/>
  <c r="S12" i="2"/>
  <c r="U11" i="2"/>
  <c r="T11" i="2"/>
  <c r="S11" i="2"/>
  <c r="U10" i="2"/>
  <c r="T10" i="2"/>
  <c r="S10" i="2"/>
  <c r="S9" i="2"/>
  <c r="K9" i="2" a="1"/>
  <c r="K9" i="2" s="1"/>
  <c r="J9" i="2" a="1"/>
  <c r="J9" i="2" s="1"/>
  <c r="S8" i="2"/>
  <c r="K8" i="2" a="1"/>
  <c r="K8" i="2" s="1"/>
  <c r="J8" i="2" a="1"/>
  <c r="J8" i="2" s="1"/>
  <c r="D18" i="1"/>
  <c r="D19" i="1"/>
  <c r="I19" i="1" s="1"/>
  <c r="D20" i="1"/>
  <c r="I20" i="1" s="1"/>
  <c r="D21" i="1"/>
  <c r="I21" i="1" s="1"/>
  <c r="D22" i="1"/>
  <c r="I22" i="1" s="1"/>
  <c r="D23" i="1"/>
  <c r="D24" i="1"/>
  <c r="D25" i="1"/>
  <c r="D26" i="1"/>
  <c r="D27" i="1"/>
  <c r="D28" i="1"/>
  <c r="D17" i="1"/>
  <c r="I17" i="1" s="1"/>
  <c r="D29" i="1"/>
  <c r="D30" i="1"/>
  <c r="K18" i="1"/>
  <c r="J17" i="1"/>
  <c r="J18" i="1"/>
  <c r="J19" i="1"/>
  <c r="J20" i="1"/>
  <c r="P8" i="2" l="1"/>
  <c r="R8" i="2" s="1"/>
  <c r="K19" i="1"/>
  <c r="T20" i="2"/>
  <c r="U20" i="2" s="1"/>
  <c r="T19" i="2"/>
  <c r="U19" i="2" s="1"/>
  <c r="T9" i="2"/>
  <c r="U9" i="2" s="1"/>
  <c r="T18" i="2"/>
  <c r="U18" i="2" s="1"/>
  <c r="T8" i="2"/>
  <c r="K20" i="1"/>
  <c r="L20" i="1"/>
  <c r="L19" i="1"/>
  <c r="L18" i="1"/>
  <c r="L17" i="1"/>
  <c r="U8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<sst xmlns="http://schemas.openxmlformats.org/spreadsheetml/2006/main" count="106" uniqueCount="58">
  <si>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∑ (𝑀𝑁𝑆𝑜𝑖𝑙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𝑁2𝑂,𝑖</t>
    </r>
    <r>
      <rPr>
        <sz val="11"/>
        <color rgb="FF000000"/>
        <rFont val="Helvetica"/>
        <family val="2"/>
      </rPr>
      <t xml:space="preserve"> 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</si>
  <si>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En2o</t>
  </si>
  <si>
    <t>Cn2o</t>
  </si>
  <si>
    <t>EFn2oi</t>
  </si>
  <si>
    <t>MNSoiljf</t>
  </si>
  <si>
    <t>Morganicjf</t>
  </si>
  <si>
    <t>Fnorganicg</t>
  </si>
  <si>
    <t>EFn2o wet</t>
  </si>
  <si>
    <t>EFn20 dry</t>
  </si>
  <si>
    <t>Table A.2.1.4</t>
  </si>
  <si>
    <t>Purchased manure</t>
  </si>
  <si>
    <t>climate</t>
  </si>
  <si>
    <t>wet</t>
  </si>
  <si>
    <t>dry</t>
  </si>
  <si>
    <t>Table A.2.2.8</t>
  </si>
  <si>
    <t>Fnorganicf for off farm manure</t>
  </si>
  <si>
    <t>Type</t>
  </si>
  <si>
    <t>Poultry</t>
  </si>
  <si>
    <t>Custom FN</t>
  </si>
  <si>
    <t>Dairy cattle</t>
  </si>
  <si>
    <t>Beef cattle</t>
  </si>
  <si>
    <t>Swine</t>
  </si>
  <si>
    <t>Sheep</t>
  </si>
  <si>
    <t>Horses/Mules</t>
  </si>
  <si>
    <r>
      <t>𝑀𝑁𝑆𝑜𝑖𝑙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>= 𝑀</t>
    </r>
    <r>
      <rPr>
        <sz val="8"/>
        <color rgb="FF000000"/>
        <rFont val="Helvetica"/>
        <family val="2"/>
      </rPr>
      <t xml:space="preserve">𝑜𝑟𝑔𝑎𝑛𝑖𝑐,𝑗𝑓 </t>
    </r>
    <r>
      <rPr>
        <sz val="11"/>
        <color rgb="FF000000"/>
        <rFont val="Helvetica"/>
        <family val="2"/>
      </rPr>
      <t>× 𝐹𝑁</t>
    </r>
    <r>
      <rPr>
        <sz val="8"/>
        <color rgb="FF000000"/>
        <rFont val="Helvetica"/>
        <family val="2"/>
      </rPr>
      <t>𝑜𝑟𝑔𝑎𝑛𝑖𝑐,𝑓</t>
    </r>
  </si>
  <si>
    <r>
      <t>𝑀𝑁𝑆𝑜𝑖𝑙</t>
    </r>
    <r>
      <rPr>
        <sz val="8"/>
        <color rgb="FF000000"/>
        <rFont val="Helvetica"/>
        <family val="2"/>
      </rPr>
      <t xml:space="preserve">𝑠𝑐𝑜𝑝𝑒1 </t>
    </r>
    <r>
      <rPr>
        <sz val="11"/>
        <color rgb="FF000000"/>
        <rFont val="Helvetica"/>
        <family val="2"/>
      </rPr>
      <t xml:space="preserve">= ∑ ∑ (𝑀𝑁 </t>
    </r>
    <r>
      <rPr>
        <sz val="8"/>
        <color rgb="FF000000"/>
        <rFont val="Helvetica"/>
        <family val="2"/>
      </rPr>
      <t xml:space="preserve">𝑗𝑚𝑇=2 </t>
    </r>
    <r>
      <rPr>
        <sz val="11"/>
        <color rgb="FF000000"/>
        <rFont val="Helvetica"/>
        <family val="2"/>
      </rPr>
      <t xml:space="preserve">× (1 − 𝐸𝐹 </t>
    </r>
    <r>
      <rPr>
        <sz val="8"/>
        <color rgb="FF000000"/>
        <rFont val="Helvetica"/>
        <family val="2"/>
      </rPr>
      <t>𝑚𝑇=2</t>
    </r>
    <r>
      <rPr>
        <sz val="11"/>
        <color rgb="FF000000"/>
        <rFont val="Helvetica"/>
        <family val="2"/>
      </rPr>
      <t>− 𝐹𝑟𝑎𝑐𝐺𝐴𝑆𝑀</t>
    </r>
    <r>
      <rPr>
        <sz val="8"/>
        <color rgb="FF000000"/>
        <rFont val="Helvetica"/>
        <family val="2"/>
      </rPr>
      <t>𝑚𝑇=2</t>
    </r>
    <r>
      <rPr>
        <sz val="11"/>
        <color rgb="FF000000"/>
        <rFont val="Helvetica"/>
        <family val="2"/>
      </rPr>
      <t>) − 𝑀𝑁𝐿𝑒𝑎𝑐ℎ𝑗𝑚=5) × 𝑃𝐹</t>
    </r>
  </si>
  <si>
    <t>Local manure - swine</t>
  </si>
  <si>
    <t>PF</t>
  </si>
  <si>
    <t>Efmt</t>
  </si>
  <si>
    <t>Table A.1.6.3</t>
  </si>
  <si>
    <t>Outdoor (Dry lot)</t>
  </si>
  <si>
    <t>Deep litter</t>
  </si>
  <si>
    <t>Stockpile (Solid storage)</t>
  </si>
  <si>
    <t>Effluent pond (Uncovered anaerobic lagoon)</t>
  </si>
  <si>
    <t>Anaerobic digestor / Covered lagoon</t>
  </si>
  <si>
    <t>Short HRT tank storage &lt; 1 month (pit storage)</t>
  </si>
  <si>
    <t>MMS</t>
  </si>
  <si>
    <t>FracGASMmt</t>
  </si>
  <si>
    <t>Table A.1.6.2</t>
  </si>
  <si>
    <t>FracGASM</t>
  </si>
  <si>
    <t>Stage 2 direct application</t>
  </si>
  <si>
    <t>yes</t>
  </si>
  <si>
    <t>no</t>
  </si>
  <si>
    <r>
      <t xml:space="preserve">𝑀𝑁 </t>
    </r>
    <r>
      <rPr>
        <sz val="8"/>
        <color rgb="FF000000"/>
        <rFont val="Helvetica"/>
        <family val="2"/>
      </rPr>
      <t xml:space="preserve">𝑗𝑚 𝑇=2 </t>
    </r>
    <r>
      <rPr>
        <sz val="11"/>
        <color rgb="FF000000"/>
        <rFont val="Helvetica"/>
        <family val="2"/>
      </rPr>
      <t xml:space="preserve">= 𝑁𝑇 </t>
    </r>
    <r>
      <rPr>
        <sz val="8"/>
        <color rgb="FF000000"/>
        <rFont val="Helvetica"/>
        <family val="2"/>
      </rPr>
      <t xml:space="preserve">𝑗𝑚 𝑇=2 </t>
    </r>
    <r>
      <rPr>
        <sz val="11"/>
        <color rgb="FF000000"/>
        <rFont val="Helvetica"/>
        <family val="2"/>
      </rPr>
      <t xml:space="preserve">× 𝑀𝑀𝑆 </t>
    </r>
    <r>
      <rPr>
        <sz val="8"/>
        <color rgb="FF000000"/>
        <rFont val="Helvetica"/>
        <family val="2"/>
      </rPr>
      <t>𝑗𝑚𝑇=2</t>
    </r>
  </si>
  <si>
    <t>MNjmt2</t>
  </si>
  <si>
    <t>MMSjmt2</t>
  </si>
  <si>
    <t>NTjmt2</t>
  </si>
  <si>
    <t>MNLeachjm5</t>
  </si>
  <si>
    <r>
      <t>𝑀𝑁𝐿𝑒𝑎𝑐ℎ</t>
    </r>
    <r>
      <rPr>
        <sz val="8"/>
        <color rgb="FF000000"/>
        <rFont val="Helvetica"/>
        <family val="2"/>
      </rPr>
      <t xml:space="preserve">𝑗𝑚=5 </t>
    </r>
    <r>
      <rPr>
        <sz val="11"/>
        <color rgb="FF000000"/>
        <rFont val="Helvetica"/>
        <family val="2"/>
      </rPr>
      <t xml:space="preserve">= 𝑀𝑁 </t>
    </r>
    <r>
      <rPr>
        <sz val="8"/>
        <color rgb="FF000000"/>
        <rFont val="Helvetica"/>
        <family val="2"/>
      </rPr>
      <t xml:space="preserve">𝑗𝑚=5𝑇=1 </t>
    </r>
    <r>
      <rPr>
        <sz val="11"/>
        <color rgb="FF000000"/>
        <rFont val="Helvetica"/>
        <family val="2"/>
      </rPr>
      <t>× 𝐹𝑟𝑎𝑐𝑊𝐸𝑇 × 𝐹𝑟𝑎𝑐𝐿𝐸𝐴𝐶𝐻</t>
    </r>
    <r>
      <rPr>
        <sz val="8"/>
        <color rgb="FF000000"/>
        <rFont val="Helvetica"/>
        <family val="2"/>
      </rPr>
      <t>𝑀𝑆</t>
    </r>
  </si>
  <si>
    <t>Leaching zone</t>
  </si>
  <si>
    <t>FracWET</t>
  </si>
  <si>
    <t>FracLeach</t>
  </si>
  <si>
    <t>FracLEACH</t>
  </si>
  <si>
    <t>4.5.1.3</t>
  </si>
  <si>
    <t>Fraction of manure from primary system in secondary system</t>
  </si>
  <si>
    <t>4.5.1.5</t>
  </si>
  <si>
    <t>4.1.1 (t1)</t>
  </si>
  <si>
    <t>TODO: Can't find a definition for NTjmt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</si>
</sst>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b/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0" fontId="0" fillId="2" borderId="0" xfId="0" applyFill="1"/>
    <xf numFmtId="0" fontId="0" fillId="3" borderId="0" xfId="0" applyFill="1"/>
    <xf numFmtId="0" fontId="2" fillId="0" borderId="0" xfId="0" applyFont="1"/>
    <xf numFmtId="0" fontId="4" fillId="0" borderId="0" xfId="0" applyFont="1"/>
    <xf numFmtId="0" fontId="0" fillId="0" borderId="0" xfId="0" applyFill="1"/>
    <xf numFmtId="0" fontId="0" fillId="0" borderId="0" xfId="0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E8B6-14F6-6343-8AD1-C600C5DC96BF}">
  <dimension ref="A6:O43"/>
  <sheetViews>
    <sheetView topLeftCell="C1" zoomScale="125" zoomScaleNormal="125" workbookViewId="0">
      <selection activeCell="O11" sqref="O11"/>
    </sheetView>
  </sheetViews>
  <sheetFormatPr baseColWidth="10" defaultRowHeight="16" x14ac:dyDescent="0.2"/>
  <cols>
    <col min="9" max="9" width="12.5" customWidth="1"/>
    <col min="12" max="13" width="21.33203125" customWidth="1"/>
    <col min="14" max="14" width="18" customWidth="1"/>
    <col min="15" max="15" width="8.5" customWidth="1"/>
  </cols>
  <sheetData>
    <row r="6" spans="1:15" x14ac:dyDescent="0.2"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t="s">
        <v>9</v>
      </c>
    </row>
    <row r="7" spans="1:15" x14ac:dyDescent="0.2">
      <c r="N7" t="s">
        <v>7</v>
      </c>
      <c r="O7">
        <v>6.0000000000000001E-3</v>
      </c>
    </row>
    <row r="8" spans="1:15" x14ac:dyDescent="0.2">
      <c r="N8" t="s">
        <v>8</v>
      </c>
      <c r="O8">
        <v>5.0000000000000001E-3</v>
      </c>
    </row>
    <row r="11" spans="1:15" x14ac:dyDescent="0.2">
      <c r="N11" t="s">
        <v>2</v>
      </c>
      <c r="O11">
        <f>44/28</f>
        <v>1.5714285714285714</v>
      </c>
    </row>
    <row r="14" spans="1:15" x14ac:dyDescent="0.2">
      <c r="L14" s="1" t="s">
        <v>0</v>
      </c>
    </row>
    <row r="15" spans="1:15" x14ac:dyDescent="0.2">
      <c r="A15" t="s">
        <v>10</v>
      </c>
      <c r="I15" s="1" t="s">
        <v>24</v>
      </c>
    </row>
    <row r="16" spans="1:15" x14ac:dyDescent="0.2">
      <c r="B16" s="3" t="s">
        <v>5</v>
      </c>
      <c r="C16" s="3" t="s">
        <v>16</v>
      </c>
      <c r="D16" s="7" t="s">
        <v>6</v>
      </c>
      <c r="E16" s="3" t="s">
        <v>18</v>
      </c>
      <c r="F16" s="3" t="s">
        <v>11</v>
      </c>
      <c r="I16" t="s">
        <v>4</v>
      </c>
      <c r="J16" t="s">
        <v>3</v>
      </c>
      <c r="K16" t="s">
        <v>2</v>
      </c>
      <c r="L16" s="4" t="s">
        <v>1</v>
      </c>
    </row>
    <row r="17" spans="2:15" x14ac:dyDescent="0.2">
      <c r="B17">
        <v>1000</v>
      </c>
      <c r="C17" t="s">
        <v>17</v>
      </c>
      <c r="D17">
        <f>IF(ISBLANK(B17), "", VLOOKUP(C17, $N$19:$O$24, 2, FALSE))</f>
        <v>0.51</v>
      </c>
      <c r="F17" t="s">
        <v>12</v>
      </c>
      <c r="I17">
        <f>IF(ISBLANK(B17), "", B17*IF(ISBLANK(E17), D17, E17))</f>
        <v>510</v>
      </c>
      <c r="J17">
        <f>IF(ISBLANK(B17), "", IF(F17="wet", $O$7, $O$8))</f>
        <v>6.0000000000000001E-3</v>
      </c>
      <c r="K17">
        <f>IF(ISBLANK(B17), "", $O$11)</f>
        <v>1.5714285714285714</v>
      </c>
      <c r="L17">
        <f>IF(ISBLANK(B17), "", I17*J17*K17 / 1000)</f>
        <v>4.8085714285714285E-3</v>
      </c>
      <c r="N17" t="s">
        <v>14</v>
      </c>
    </row>
    <row r="18" spans="2:15" x14ac:dyDescent="0.2">
      <c r="B18">
        <v>1000</v>
      </c>
      <c r="C18" t="s">
        <v>17</v>
      </c>
      <c r="D18">
        <f t="shared" ref="D18:D28" si="0">IF(ISBLANK(B18), "", VLOOKUP(C18, $N$19:$O$24, 2, FALSE))</f>
        <v>0.51</v>
      </c>
      <c r="E18">
        <v>0.6</v>
      </c>
      <c r="F18" t="s">
        <v>12</v>
      </c>
      <c r="I18">
        <f>IF(ISBLANK(B18), "", B18*IF(ISBLANK(E18), D18, E18))</f>
        <v>600</v>
      </c>
      <c r="J18">
        <f>IF(ISBLANK(B18), "", IF(F18="wet", $O$7, $O$8))</f>
        <v>6.0000000000000001E-3</v>
      </c>
      <c r="K18">
        <f>IF(ISBLANK(B18), "", $O$11)</f>
        <v>1.5714285714285714</v>
      </c>
      <c r="L18">
        <f>IF(ISBLANK(B18), "", I18*J18*K18 / 1000)</f>
        <v>5.6571428571428571E-3</v>
      </c>
      <c r="N18" t="s">
        <v>15</v>
      </c>
    </row>
    <row r="19" spans="2:15" x14ac:dyDescent="0.2">
      <c r="B19">
        <v>1000</v>
      </c>
      <c r="C19" t="s">
        <v>17</v>
      </c>
      <c r="D19">
        <f t="shared" si="0"/>
        <v>0.51</v>
      </c>
      <c r="F19" t="s">
        <v>13</v>
      </c>
      <c r="I19">
        <f>IF(ISBLANK(B19), "", B19*IF(ISBLANK(E19), D19, E19))</f>
        <v>510</v>
      </c>
      <c r="J19">
        <f>IF(ISBLANK(B19), "", IF(F19="wet", $O$7, $O$8))</f>
        <v>5.0000000000000001E-3</v>
      </c>
      <c r="K19">
        <f>IF(ISBLANK(B19), "", $O$11)</f>
        <v>1.5714285714285714</v>
      </c>
      <c r="L19">
        <f>IF(ISBLANK(B19), "", I19*J19*K19 / 1000)</f>
        <v>4.0071428571428567E-3</v>
      </c>
      <c r="N19" s="2" t="s">
        <v>19</v>
      </c>
      <c r="O19" s="2">
        <v>2.9000000000000001E-2</v>
      </c>
    </row>
    <row r="20" spans="2:15" x14ac:dyDescent="0.2">
      <c r="B20">
        <v>2000</v>
      </c>
      <c r="C20" t="s">
        <v>19</v>
      </c>
      <c r="D20">
        <f t="shared" si="0"/>
        <v>2.9000000000000001E-2</v>
      </c>
      <c r="F20" t="s">
        <v>12</v>
      </c>
      <c r="I20">
        <f>IF(ISBLANK(B20), "", B20*IF(ISBLANK(E20), D20, E20))</f>
        <v>58</v>
      </c>
      <c r="J20">
        <f>IF(ISBLANK(B20), "", IF(F20="wet", $O$7, $O$8))</f>
        <v>6.0000000000000001E-3</v>
      </c>
      <c r="K20">
        <f>IF(ISBLANK(B20), "", $O$11)</f>
        <v>1.5714285714285714</v>
      </c>
      <c r="L20">
        <f>IF(ISBLANK(B20), "", I20*J20*K20 / 1000)</f>
        <v>5.4685714285714298E-4</v>
      </c>
      <c r="N20" s="2" t="s">
        <v>20</v>
      </c>
      <c r="O20" s="2">
        <v>2.3E-2</v>
      </c>
    </row>
    <row r="21" spans="2:15" x14ac:dyDescent="0.2">
      <c r="B21">
        <v>3000</v>
      </c>
      <c r="C21" t="s">
        <v>22</v>
      </c>
      <c r="D21">
        <f t="shared" si="0"/>
        <v>3.3000000000000002E-2</v>
      </c>
      <c r="F21" t="s">
        <v>13</v>
      </c>
      <c r="I21">
        <f>IF(ISBLANK(B21), "", B21*IF(ISBLANK(E21), D21, E21))</f>
        <v>99</v>
      </c>
      <c r="J21">
        <f>IF(ISBLANK(B21), "", IF(F21="wet", $O$7, $O$8))</f>
        <v>5.0000000000000001E-3</v>
      </c>
      <c r="K21">
        <f>IF(ISBLANK(B21), "", $O$11)</f>
        <v>1.5714285714285714</v>
      </c>
      <c r="L21">
        <f>IF(ISBLANK(B21), "", I21*J21*K21 / 1000)</f>
        <v>7.7785714285714285E-4</v>
      </c>
      <c r="N21" s="2" t="s">
        <v>17</v>
      </c>
      <c r="O21" s="2">
        <v>0.51</v>
      </c>
    </row>
    <row r="22" spans="2:15" x14ac:dyDescent="0.2">
      <c r="B22">
        <v>3000</v>
      </c>
      <c r="C22" t="s">
        <v>22</v>
      </c>
      <c r="D22">
        <f t="shared" si="0"/>
        <v>3.3000000000000002E-2</v>
      </c>
      <c r="E22">
        <v>0.02</v>
      </c>
      <c r="F22" t="s">
        <v>12</v>
      </c>
      <c r="I22">
        <f>IF(ISBLANK(B22), "", B22*IF(ISBLANK(E22), D22, E22))</f>
        <v>60</v>
      </c>
      <c r="J22">
        <f>IF(ISBLANK(B22), "", IF(F22="wet", $O$7, $O$8))</f>
        <v>6.0000000000000001E-3</v>
      </c>
      <c r="K22">
        <f>IF(ISBLANK(B22), "", $O$11)</f>
        <v>1.5714285714285714</v>
      </c>
      <c r="L22">
        <f>IF(ISBLANK(B22), "", I22*J22*K22 / 1000)</f>
        <v>5.6571428571428571E-4</v>
      </c>
      <c r="N22" s="2" t="s">
        <v>21</v>
      </c>
      <c r="O22" s="2">
        <v>0.41</v>
      </c>
    </row>
    <row r="23" spans="2:15" x14ac:dyDescent="0.2">
      <c r="D23" t="str">
        <f t="shared" si="0"/>
        <v/>
      </c>
      <c r="N23" s="2" t="s">
        <v>22</v>
      </c>
      <c r="O23" s="2">
        <v>3.3000000000000002E-2</v>
      </c>
    </row>
    <row r="24" spans="2:15" x14ac:dyDescent="0.2">
      <c r="D24" t="str">
        <f t="shared" si="0"/>
        <v/>
      </c>
      <c r="N24" s="2" t="s">
        <v>23</v>
      </c>
      <c r="O24" s="2">
        <v>1.2999999999999999E-2</v>
      </c>
    </row>
    <row r="25" spans="2:15" x14ac:dyDescent="0.2">
      <c r="D25" t="str">
        <f t="shared" si="0"/>
        <v/>
      </c>
    </row>
    <row r="26" spans="2:15" x14ac:dyDescent="0.2">
      <c r="D26" t="str">
        <f t="shared" si="0"/>
        <v/>
      </c>
      <c r="N26" s="6"/>
    </row>
    <row r="27" spans="2:15" x14ac:dyDescent="0.2">
      <c r="D27" t="str">
        <f t="shared" si="0"/>
        <v/>
      </c>
      <c r="N27" s="2"/>
    </row>
    <row r="28" spans="2:15" x14ac:dyDescent="0.2">
      <c r="D28" t="str">
        <f t="shared" si="0"/>
        <v/>
      </c>
      <c r="N28" s="2"/>
    </row>
    <row r="29" spans="2:15" x14ac:dyDescent="0.2">
      <c r="D29" t="str">
        <f>IF(ISBLANK(B29), "", VLOOKUP(C29, N31:O36, 2, FALSE))</f>
        <v/>
      </c>
      <c r="N29" s="2"/>
      <c r="O29" s="2"/>
    </row>
    <row r="30" spans="2:15" x14ac:dyDescent="0.2">
      <c r="D30" t="str">
        <f>IF(ISBLANK(B30), "", VLOOKUP(C30, N32:O37, 2, FALSE))</f>
        <v/>
      </c>
      <c r="N30" s="2"/>
      <c r="O30" s="2"/>
    </row>
    <row r="31" spans="2:15" x14ac:dyDescent="0.2">
      <c r="N31" s="2"/>
      <c r="O31" s="2"/>
    </row>
    <row r="32" spans="2:15" x14ac:dyDescent="0.2">
      <c r="N32" s="2"/>
      <c r="O32" s="2"/>
    </row>
    <row r="33" spans="4:15" x14ac:dyDescent="0.2">
      <c r="D33" s="5"/>
      <c r="N33" s="2"/>
      <c r="O33" s="2"/>
    </row>
    <row r="34" spans="4:15" x14ac:dyDescent="0.2">
      <c r="D34" s="5"/>
      <c r="N34" s="2"/>
      <c r="O34" s="2"/>
    </row>
    <row r="35" spans="4:15" x14ac:dyDescent="0.2">
      <c r="D35" s="1"/>
    </row>
    <row r="36" spans="4:15" x14ac:dyDescent="0.2">
      <c r="N36" s="2"/>
    </row>
    <row r="37" spans="4:15" x14ac:dyDescent="0.2">
      <c r="N37" s="2"/>
    </row>
    <row r="38" spans="4:15" x14ac:dyDescent="0.2">
      <c r="N38" s="2"/>
      <c r="O38" s="2"/>
    </row>
    <row r="39" spans="4:15" x14ac:dyDescent="0.2">
      <c r="N39" s="2"/>
      <c r="O39" s="2"/>
    </row>
    <row r="40" spans="4:15" x14ac:dyDescent="0.2">
      <c r="N40" s="2"/>
      <c r="O40" s="2"/>
    </row>
    <row r="41" spans="4:15" x14ac:dyDescent="0.2">
      <c r="N41" s="2"/>
      <c r="O41" s="2"/>
    </row>
    <row r="42" spans="4:15" x14ac:dyDescent="0.2">
      <c r="N42" s="2"/>
      <c r="O42" s="2"/>
    </row>
    <row r="43" spans="4:15" x14ac:dyDescent="0.2">
      <c r="N43" s="2"/>
      <c r="O43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65052-8F15-D648-8CD1-38F3C65C63F8}">
  <dimension ref="A1:Y44"/>
  <sheetViews>
    <sheetView tabSelected="1" topLeftCell="E1" zoomScale="125" zoomScaleNormal="125" workbookViewId="0">
      <selection activeCell="L7" sqref="L7"/>
    </sheetView>
  </sheetViews>
  <sheetFormatPr baseColWidth="10" defaultRowHeight="16" x14ac:dyDescent="0.2"/>
  <cols>
    <col min="6" max="6" width="15.1640625" customWidth="1"/>
    <col min="9" max="9" width="21.1640625" customWidth="1"/>
    <col min="12" max="16" width="21.33203125" customWidth="1"/>
    <col min="24" max="24" width="18" customWidth="1"/>
    <col min="25" max="25" width="8.5" customWidth="1"/>
  </cols>
  <sheetData>
    <row r="1" spans="1:25" x14ac:dyDescent="0.2">
      <c r="P1" t="s">
        <v>53</v>
      </c>
      <c r="Q1" t="s">
        <v>56</v>
      </c>
      <c r="R1" t="s">
        <v>55</v>
      </c>
    </row>
    <row r="2" spans="1:25" x14ac:dyDescent="0.2">
      <c r="U2" s="1" t="s">
        <v>0</v>
      </c>
    </row>
    <row r="3" spans="1:25" x14ac:dyDescent="0.2">
      <c r="P3" s="1" t="s">
        <v>48</v>
      </c>
    </row>
    <row r="4" spans="1:25" x14ac:dyDescent="0.2">
      <c r="Q4" s="1" t="s">
        <v>43</v>
      </c>
    </row>
    <row r="5" spans="1:25" x14ac:dyDescent="0.2">
      <c r="A5" t="s">
        <v>26</v>
      </c>
      <c r="R5" s="1" t="s">
        <v>25</v>
      </c>
    </row>
    <row r="6" spans="1:25" s="8" customFormat="1" ht="51" x14ac:dyDescent="0.2">
      <c r="L6" s="8" t="s">
        <v>57</v>
      </c>
      <c r="M6" s="8" t="s">
        <v>54</v>
      </c>
      <c r="R6" s="9"/>
    </row>
    <row r="7" spans="1:25" x14ac:dyDescent="0.2">
      <c r="B7" s="3" t="s">
        <v>5</v>
      </c>
      <c r="C7" s="3" t="s">
        <v>16</v>
      </c>
      <c r="D7" s="7" t="s">
        <v>6</v>
      </c>
      <c r="E7" s="3" t="s">
        <v>11</v>
      </c>
      <c r="F7" s="3" t="s">
        <v>49</v>
      </c>
      <c r="G7" s="3" t="s">
        <v>27</v>
      </c>
      <c r="H7" s="3" t="s">
        <v>36</v>
      </c>
      <c r="I7" s="3" t="s">
        <v>40</v>
      </c>
      <c r="J7" s="7" t="s">
        <v>28</v>
      </c>
      <c r="K7" s="7" t="s">
        <v>39</v>
      </c>
      <c r="L7" s="3" t="s">
        <v>46</v>
      </c>
      <c r="M7" s="3" t="s">
        <v>45</v>
      </c>
      <c r="N7" t="s">
        <v>50</v>
      </c>
      <c r="O7" t="s">
        <v>52</v>
      </c>
      <c r="P7" t="s">
        <v>47</v>
      </c>
      <c r="Q7" t="s">
        <v>44</v>
      </c>
      <c r="R7" t="s">
        <v>4</v>
      </c>
      <c r="S7" t="s">
        <v>3</v>
      </c>
      <c r="T7" t="s">
        <v>2</v>
      </c>
      <c r="U7" s="4" t="s">
        <v>1</v>
      </c>
      <c r="X7" t="s">
        <v>9</v>
      </c>
    </row>
    <row r="8" spans="1:25" x14ac:dyDescent="0.2">
      <c r="B8">
        <v>1000</v>
      </c>
      <c r="C8" t="s">
        <v>21</v>
      </c>
      <c r="E8" t="s">
        <v>12</v>
      </c>
      <c r="F8" t="s">
        <v>41</v>
      </c>
      <c r="G8">
        <v>0.8</v>
      </c>
      <c r="H8" t="s">
        <v>31</v>
      </c>
      <c r="I8" t="s">
        <v>41</v>
      </c>
      <c r="J8" cm="1">
        <f t="array" ref="J8">_xlfn.IFS(ISBLANK(B8), "", I8="yes", 0, TRUE, VLOOKUP(H8, $X$30:$Y$35, 2, FALSE))</f>
        <v>0</v>
      </c>
      <c r="K8" cm="1">
        <f t="array" ref="K8">_xlfn.IFS(ISBLANK(B8), "", I8 = "yes", 0, TRUE, VLOOKUP($H8, $X$39:$Y$44, 2, FALSE))</f>
        <v>0</v>
      </c>
      <c r="M8">
        <v>0.5</v>
      </c>
      <c r="N8">
        <f>IF(ISBLANK(B8), "", IF(F8="yes", 1, 0))</f>
        <v>1</v>
      </c>
      <c r="O8">
        <f>$Y$13</f>
        <v>0.02</v>
      </c>
      <c r="P8">
        <f>IF(ISBLANK(B8), "", Q8*N8*O8)</f>
        <v>0</v>
      </c>
      <c r="Q8">
        <f>IF(ISBLANK(B8), "", L8*M8)</f>
        <v>0</v>
      </c>
      <c r="R8">
        <f>IF(ISBLANK(B8), "", (Q8*(1-J8-K8)-P8)*G8)</f>
        <v>0</v>
      </c>
      <c r="S8">
        <f>IF(ISBLANK(B8), "", IF(E8="wet", $Y$8, $Y$9))</f>
        <v>6.0000000000000001E-3</v>
      </c>
      <c r="T8">
        <f>IF(ISBLANK(B8), "", $Y$12)</f>
        <v>1.5714285714285714</v>
      </c>
      <c r="U8">
        <f>IF(ISBLANK(B8), "", R8*S8*T8 / 1000)</f>
        <v>0</v>
      </c>
      <c r="X8" t="s">
        <v>7</v>
      </c>
      <c r="Y8">
        <v>6.0000000000000001E-3</v>
      </c>
    </row>
    <row r="9" spans="1:25" x14ac:dyDescent="0.2">
      <c r="B9">
        <v>1000</v>
      </c>
      <c r="C9" t="s">
        <v>21</v>
      </c>
      <c r="E9" t="s">
        <v>13</v>
      </c>
      <c r="F9" t="s">
        <v>42</v>
      </c>
      <c r="G9">
        <v>0.7</v>
      </c>
      <c r="H9" t="s">
        <v>31</v>
      </c>
      <c r="I9" t="s">
        <v>42</v>
      </c>
      <c r="J9" cm="1">
        <f t="array" ref="J9">_xlfn.IFS(ISBLANK(B9), "", I9="yes", 0, TRUE, VLOOKUP(H9, $X$30:$Y$35, 2, FALSE))</f>
        <v>0.01</v>
      </c>
      <c r="K9" cm="1">
        <f t="array" ref="K9">_xlfn.IFS(ISBLANK(B9), "", I9 = "yes", 0, TRUE, VLOOKUP($H9, $X$39:$Y$44, 2, FALSE))</f>
        <v>0.125</v>
      </c>
      <c r="S9">
        <f>IF(ISBLANK(B9), "", IF(E9="wet", $Y$8, $Y$9))</f>
        <v>5.0000000000000001E-3</v>
      </c>
      <c r="T9">
        <f>IF(ISBLANK(B9), "", $Y$12)</f>
        <v>1.5714285714285714</v>
      </c>
      <c r="U9">
        <f>IF(ISBLANK(B9), "", R9*S9*T9 / 1000)</f>
        <v>0</v>
      </c>
      <c r="X9" t="s">
        <v>8</v>
      </c>
      <c r="Y9">
        <v>5.0000000000000001E-3</v>
      </c>
    </row>
    <row r="10" spans="1:25" x14ac:dyDescent="0.2">
      <c r="S10" t="str">
        <f>IF(ISBLANK(B10), "", IF(E10="wet", $Y$8, $Y$9))</f>
        <v/>
      </c>
      <c r="T10" t="str">
        <f>IF(ISBLANK(B10), "", $Y$12)</f>
        <v/>
      </c>
      <c r="U10" t="str">
        <f>IF(ISBLANK(B10), "", R10*S10*T10 / 1000)</f>
        <v/>
      </c>
    </row>
    <row r="11" spans="1:25" x14ac:dyDescent="0.2">
      <c r="S11" t="str">
        <f>IF(ISBLANK(B11), "", IF(E11="wet", $Y$8, $Y$9))</f>
        <v/>
      </c>
      <c r="T11" t="str">
        <f>IF(ISBLANK(B11), "", $Y$12)</f>
        <v/>
      </c>
      <c r="U11" t="str">
        <f>IF(ISBLANK(B11), "", R11*S11*T11 / 1000)</f>
        <v/>
      </c>
    </row>
    <row r="12" spans="1:25" x14ac:dyDescent="0.2">
      <c r="S12" t="str">
        <f>IF(ISBLANK(B12), "", IF(E12="wet", $Y$8, $Y$9))</f>
        <v/>
      </c>
      <c r="T12" t="str">
        <f>IF(ISBLANK(B12), "", $Y$12)</f>
        <v/>
      </c>
      <c r="U12" t="str">
        <f>IF(ISBLANK(B12), "", R12*S12*T12 / 1000)</f>
        <v/>
      </c>
      <c r="X12" t="s">
        <v>2</v>
      </c>
      <c r="Y12">
        <f>44/28</f>
        <v>1.5714285714285714</v>
      </c>
    </row>
    <row r="13" spans="1:25" x14ac:dyDescent="0.2">
      <c r="S13" t="str">
        <f>IF(ISBLANK(B13), "", IF(E13="wet", $Y$8, $Y$9))</f>
        <v/>
      </c>
      <c r="T13" t="str">
        <f>IF(ISBLANK(B13), "", $Y$12)</f>
        <v/>
      </c>
      <c r="U13" t="str">
        <f>IF(ISBLANK(B13), "", R13*S13*T13 / 1000)</f>
        <v/>
      </c>
      <c r="X13" t="s">
        <v>51</v>
      </c>
      <c r="Y13">
        <v>0.02</v>
      </c>
    </row>
    <row r="14" spans="1:25" x14ac:dyDescent="0.2">
      <c r="S14" t="str">
        <f>IF(ISBLANK(B14), "", IF(E14="wet", $Y$8, $Y$9))</f>
        <v/>
      </c>
      <c r="T14" t="str">
        <f>IF(ISBLANK(B14), "", $Y$12)</f>
        <v/>
      </c>
      <c r="U14" t="str">
        <f>IF(ISBLANK(B14), "", R14*S14*T14 / 1000)</f>
        <v/>
      </c>
    </row>
    <row r="15" spans="1:25" x14ac:dyDescent="0.2">
      <c r="S15" t="str">
        <f>IF(ISBLANK(B15), "", IF(E15="wet", $Y$8, $Y$9))</f>
        <v/>
      </c>
      <c r="T15" t="str">
        <f>IF(ISBLANK(B15), "", $Y$12)</f>
        <v/>
      </c>
      <c r="U15" t="str">
        <f>IF(ISBLANK(B15), "", R15*S15*T15 / 1000)</f>
        <v/>
      </c>
    </row>
    <row r="16" spans="1:25" x14ac:dyDescent="0.2">
      <c r="S16" t="str">
        <f>IF(ISBLANK(B16), "", IF(E16="wet", $Y$8, $Y$9))</f>
        <v/>
      </c>
      <c r="T16" t="str">
        <f>IF(ISBLANK(B16), "", $Y$12)</f>
        <v/>
      </c>
      <c r="U16" t="str">
        <f>IF(ISBLANK(B16), "", R16*S16*T16 / 1000)</f>
        <v/>
      </c>
    </row>
    <row r="17" spans="1:25" x14ac:dyDescent="0.2">
      <c r="A17" s="7"/>
      <c r="B17" s="7"/>
      <c r="C17" s="7"/>
      <c r="D17" s="7"/>
      <c r="E17" s="7"/>
      <c r="F17" s="7"/>
      <c r="G17" s="7"/>
      <c r="R17" s="1"/>
    </row>
    <row r="18" spans="1:25" x14ac:dyDescent="0.2">
      <c r="A18" s="7"/>
      <c r="B18" s="7"/>
      <c r="C18" s="7"/>
      <c r="D18" s="7"/>
      <c r="E18" s="7"/>
      <c r="F18" s="7"/>
      <c r="G18" s="7"/>
      <c r="R18" t="str">
        <f>IF(ISBLANK(B18), "", B18* IF(ISBLANK(#REF!), D18,#REF!))</f>
        <v/>
      </c>
      <c r="S18" t="str">
        <f>IF(ISBLANK(B18), "", IF(E18="wet", $Y$8, $Y$9))</f>
        <v/>
      </c>
      <c r="T18" t="str">
        <f>IF(ISBLANK(B18), "", $Y$12)</f>
        <v/>
      </c>
      <c r="U18" t="str">
        <f>IF(ISBLANK(B18), "", R18*S18*T18 / 1000)</f>
        <v/>
      </c>
      <c r="X18" t="s">
        <v>14</v>
      </c>
    </row>
    <row r="19" spans="1:25" x14ac:dyDescent="0.2">
      <c r="A19" s="7"/>
      <c r="B19" s="7"/>
      <c r="C19" s="7"/>
      <c r="D19" s="7"/>
      <c r="E19" s="7"/>
      <c r="F19" s="7"/>
      <c r="G19" s="7"/>
      <c r="R19" t="str">
        <f>IF(ISBLANK(B19), "", B19* IF(ISBLANK(#REF!), D19,#REF!))</f>
        <v/>
      </c>
      <c r="S19" t="str">
        <f>IF(ISBLANK(B19), "", IF(E19="wet", $Y$8, $Y$9))</f>
        <v/>
      </c>
      <c r="T19" t="str">
        <f>IF(ISBLANK(B19), "", $Y$12)</f>
        <v/>
      </c>
      <c r="U19" t="str">
        <f>IF(ISBLANK(B19), "", R19*S19*T19 / 1000)</f>
        <v/>
      </c>
      <c r="X19" t="s">
        <v>15</v>
      </c>
    </row>
    <row r="20" spans="1:25" x14ac:dyDescent="0.2">
      <c r="A20" s="7"/>
      <c r="B20" s="7"/>
      <c r="C20" s="7"/>
      <c r="D20" s="7"/>
      <c r="E20" s="7"/>
      <c r="F20" s="7"/>
      <c r="G20" s="7"/>
      <c r="R20" t="str">
        <f>IF(ISBLANK(B20), "", B20* IF(ISBLANK(#REF!), D20,#REF!))</f>
        <v/>
      </c>
      <c r="S20" t="str">
        <f>IF(ISBLANK(B20), "", IF(E20="wet", $Y$8, $Y$9))</f>
        <v/>
      </c>
      <c r="T20" t="str">
        <f>IF(ISBLANK(B20), "", $Y$12)</f>
        <v/>
      </c>
      <c r="U20" t="str">
        <f>IF(ISBLANK(B20), "", R20*S20*T20 / 1000)</f>
        <v/>
      </c>
      <c r="X20" s="2" t="s">
        <v>19</v>
      </c>
      <c r="Y20" s="2">
        <v>2.9000000000000001E-2</v>
      </c>
    </row>
    <row r="21" spans="1:25" x14ac:dyDescent="0.2">
      <c r="A21" s="7"/>
      <c r="B21" s="7"/>
      <c r="C21" s="7"/>
      <c r="D21" s="7"/>
      <c r="E21" s="7"/>
      <c r="F21" s="7"/>
      <c r="G21" s="7"/>
      <c r="R21" t="str">
        <f>IF(ISBLANK(B21), "", B21* IF(ISBLANK(#REF!), D21,#REF!))</f>
        <v/>
      </c>
      <c r="S21" t="str">
        <f>IF(ISBLANK(B21), "", IF(E21="wet", $Y$8, $Y$9))</f>
        <v/>
      </c>
      <c r="T21" t="str">
        <f>IF(ISBLANK(B21), "", $Y$12)</f>
        <v/>
      </c>
      <c r="U21" t="str">
        <f>IF(ISBLANK(B21), "", R21*S21*T21 / 1000)</f>
        <v/>
      </c>
      <c r="X21" s="2" t="s">
        <v>20</v>
      </c>
      <c r="Y21" s="2">
        <v>2.3E-2</v>
      </c>
    </row>
    <row r="22" spans="1:25" x14ac:dyDescent="0.2">
      <c r="A22" s="7"/>
      <c r="B22" s="7"/>
      <c r="C22" s="7"/>
      <c r="D22" s="7"/>
      <c r="E22" s="7"/>
      <c r="F22" s="7"/>
      <c r="G22" s="7"/>
      <c r="R22" t="str">
        <f>IF(ISBLANK(B22), "", B22* IF(ISBLANK(#REF!), D22,#REF!))</f>
        <v/>
      </c>
      <c r="S22" t="str">
        <f>IF(ISBLANK(B22), "", IF(E22="wet", $Y$8, $Y$9))</f>
        <v/>
      </c>
      <c r="T22" t="str">
        <f>IF(ISBLANK(B22), "", $Y$12)</f>
        <v/>
      </c>
      <c r="U22" t="str">
        <f>IF(ISBLANK(B22), "", R22*S22*T22 / 1000)</f>
        <v/>
      </c>
      <c r="X22" s="2" t="s">
        <v>17</v>
      </c>
      <c r="Y22" s="2">
        <v>0.51</v>
      </c>
    </row>
    <row r="23" spans="1:25" x14ac:dyDescent="0.2">
      <c r="D23" t="str">
        <f>IF(ISBLANK(B23), "", VLOOKUP(C23, $X$20:$Y$25, 2, FALSE))</f>
        <v/>
      </c>
      <c r="R23" t="str">
        <f>IF(ISBLANK(B23), "", B23* IF(ISBLANK(#REF!), D23,#REF!))</f>
        <v/>
      </c>
      <c r="S23" t="str">
        <f>IF(ISBLANK(B23), "", IF(E23="wet", $Y$8, $Y$9))</f>
        <v/>
      </c>
      <c r="T23" t="str">
        <f>IF(ISBLANK(B23), "", $Y$12)</f>
        <v/>
      </c>
      <c r="U23" t="str">
        <f>IF(ISBLANK(B23), "", R23*S23*T23 / 1000)</f>
        <v/>
      </c>
      <c r="X23" s="2" t="s">
        <v>21</v>
      </c>
      <c r="Y23" s="2">
        <v>0.41</v>
      </c>
    </row>
    <row r="24" spans="1:25" x14ac:dyDescent="0.2">
      <c r="D24" t="str">
        <f>IF(ISBLANK(B24), "", VLOOKUP(C24, $X$20:$Y$25, 2, FALSE))</f>
        <v/>
      </c>
      <c r="R24" t="str">
        <f>IF(ISBLANK(B24), "", B24* IF(ISBLANK(#REF!), D24,#REF!))</f>
        <v/>
      </c>
      <c r="S24" t="str">
        <f>IF(ISBLANK(B24), "", IF(E24="wet", $Y$8, $Y$9))</f>
        <v/>
      </c>
      <c r="T24" t="str">
        <f>IF(ISBLANK(B24), "", $Y$12)</f>
        <v/>
      </c>
      <c r="U24" t="str">
        <f>IF(ISBLANK(B24), "", R24*S24*T24 / 1000)</f>
        <v/>
      </c>
      <c r="X24" s="2" t="s">
        <v>22</v>
      </c>
      <c r="Y24" s="2">
        <v>3.3000000000000002E-2</v>
      </c>
    </row>
    <row r="25" spans="1:25" x14ac:dyDescent="0.2">
      <c r="D25" t="str">
        <f>IF(ISBLANK(B25), "", VLOOKUP(C25, $X$20:$Y$25, 2, FALSE))</f>
        <v/>
      </c>
      <c r="R25" t="str">
        <f>IF(ISBLANK(B25), "", B25* IF(ISBLANK(#REF!), D25,#REF!))</f>
        <v/>
      </c>
      <c r="T25" t="str">
        <f>IF(ISBLANK(B25), "", $Y$12)</f>
        <v/>
      </c>
      <c r="X25" s="2" t="s">
        <v>23</v>
      </c>
      <c r="Y25" s="2">
        <v>1.2999999999999999E-2</v>
      </c>
    </row>
    <row r="26" spans="1:25" x14ac:dyDescent="0.2">
      <c r="D26" t="str">
        <f>IF(ISBLANK(B26), "", VLOOKUP(C26, $X$20:$Y$25, 2, FALSE))</f>
        <v/>
      </c>
      <c r="R26" t="str">
        <f>IF(ISBLANK(B26), "", B26* IF(ISBLANK(#REF!), D26,#REF!))</f>
        <v/>
      </c>
    </row>
    <row r="27" spans="1:25" x14ac:dyDescent="0.2">
      <c r="D27" t="str">
        <f>IF(ISBLANK(B27), "", VLOOKUP(C27, $X$20:$Y$25, 2, FALSE))</f>
        <v/>
      </c>
      <c r="R27" t="str">
        <f>IF(ISBLANK(B27), "", B27* IF(ISBLANK(#REF!), D27,#REF!))</f>
        <v/>
      </c>
      <c r="X27" s="6" t="s">
        <v>21</v>
      </c>
    </row>
    <row r="28" spans="1:25" x14ac:dyDescent="0.2">
      <c r="D28" t="str">
        <f>IF(ISBLANK(B28), "", VLOOKUP(C28, $X$20:$Y$25, 2, FALSE))</f>
        <v/>
      </c>
      <c r="X28" s="2" t="s">
        <v>28</v>
      </c>
    </row>
    <row r="29" spans="1:25" x14ac:dyDescent="0.2">
      <c r="D29" t="str">
        <f>IF(ISBLANK(B29), "", VLOOKUP(C29, $X$20:$Y$25, 2, FALSE))</f>
        <v/>
      </c>
      <c r="X29" s="2" t="s">
        <v>29</v>
      </c>
    </row>
    <row r="30" spans="1:25" x14ac:dyDescent="0.2">
      <c r="D30" t="str">
        <f>IF(ISBLANK(B30), "", VLOOKUP(C30, X32:Y37, 2, FALSE))</f>
        <v/>
      </c>
      <c r="X30" s="2" t="s">
        <v>30</v>
      </c>
      <c r="Y30" s="2">
        <v>0.02</v>
      </c>
    </row>
    <row r="31" spans="1:25" x14ac:dyDescent="0.2">
      <c r="D31" t="str">
        <f>IF(ISBLANK(B31), "", VLOOKUP(C31, X33:Y38, 2, FALSE))</f>
        <v/>
      </c>
      <c r="X31" s="2" t="s">
        <v>31</v>
      </c>
      <c r="Y31" s="2">
        <v>0.01</v>
      </c>
    </row>
    <row r="32" spans="1:25" x14ac:dyDescent="0.2">
      <c r="X32" s="2" t="s">
        <v>32</v>
      </c>
      <c r="Y32" s="2">
        <v>5.0000000000000001E-3</v>
      </c>
    </row>
    <row r="33" spans="4:25" x14ac:dyDescent="0.2">
      <c r="X33" s="2" t="s">
        <v>33</v>
      </c>
      <c r="Y33" s="2">
        <v>0</v>
      </c>
    </row>
    <row r="34" spans="4:25" x14ac:dyDescent="0.2">
      <c r="D34" s="5"/>
      <c r="X34" s="2" t="s">
        <v>34</v>
      </c>
      <c r="Y34" s="2">
        <v>0</v>
      </c>
    </row>
    <row r="35" spans="4:25" x14ac:dyDescent="0.2">
      <c r="D35" s="5"/>
      <c r="X35" s="2" t="s">
        <v>35</v>
      </c>
      <c r="Y35" s="2">
        <v>2E-3</v>
      </c>
    </row>
    <row r="36" spans="4:25" x14ac:dyDescent="0.2">
      <c r="D36" s="1"/>
    </row>
    <row r="37" spans="4:25" x14ac:dyDescent="0.2">
      <c r="X37" s="2" t="s">
        <v>37</v>
      </c>
    </row>
    <row r="38" spans="4:25" x14ac:dyDescent="0.2">
      <c r="X38" s="2" t="s">
        <v>38</v>
      </c>
    </row>
    <row r="39" spans="4:25" x14ac:dyDescent="0.2">
      <c r="X39" s="2" t="s">
        <v>30</v>
      </c>
      <c r="Y39" s="2">
        <v>0.3</v>
      </c>
    </row>
    <row r="40" spans="4:25" x14ac:dyDescent="0.2">
      <c r="X40" s="2" t="s">
        <v>31</v>
      </c>
      <c r="Y40" s="2">
        <v>0.125</v>
      </c>
    </row>
    <row r="41" spans="4:25" x14ac:dyDescent="0.2">
      <c r="X41" s="2" t="s">
        <v>32</v>
      </c>
      <c r="Y41" s="2">
        <v>0.2</v>
      </c>
    </row>
    <row r="42" spans="4:25" x14ac:dyDescent="0.2">
      <c r="X42" s="2" t="s">
        <v>33</v>
      </c>
      <c r="Y42" s="2">
        <v>0.55000000000000004</v>
      </c>
    </row>
    <row r="43" spans="4:25" x14ac:dyDescent="0.2">
      <c r="X43" s="2" t="s">
        <v>34</v>
      </c>
      <c r="Y43" s="2">
        <v>0</v>
      </c>
    </row>
    <row r="44" spans="4:25" x14ac:dyDescent="0.2">
      <c r="X44" s="2" t="s">
        <v>35</v>
      </c>
      <c r="Y44" s="2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5.2.1.1 (purchased_untraced)</vt:lpstr>
      <vt:lpstr>5.2.1.1 (local swine)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2026-02-19T23:44:43Z</dcterms:created>
  <dcterms:modified xsi:type="dcterms:W3CDTF">2026-02-20T04:21:48Z</dcterms:modified>
</cp:coreProperties>
</file>