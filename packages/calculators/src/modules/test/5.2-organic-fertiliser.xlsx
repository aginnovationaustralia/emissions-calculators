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20001_{67EA468A-9FC6-4247-B6BC-F4CABA8A56F0}" xr6:coauthVersionLast="47" xr6:coauthVersionMax="47" xr10:uidLastSave="{00000000-0000-0000-0000-000000000000}"/>
  <bookViews>
    <workbookView xWindow="1720" yWindow="1780" windowWidth="46720" windowHeight="24460" activeTab="4" xr2:uid="{00000000-000D-0000-FFFF-FFFF00000000}"/>
  </bookViews>
  <sheets>
    <sheet name="5.2.1.1 (purchased_untraced)" sheetId="1" r:id="rId1"/>
    <sheet name="5.2.1.1 (swine)" sheetId="2" r:id="rId2"/>
    <sheet name="5.2.1.1 (feedlot)" sheetId="3" r:id="rId3"/>
    <sheet name="5.2.1.1 (dairy)" sheetId="4" r:id="rId4"/>
    <sheet name="5.2.1.1 (poultry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5" l="1"/>
  <c r="I52" i="5"/>
  <c r="I53" i="5"/>
  <c r="I54" i="5"/>
  <c r="AI66" i="5"/>
  <c r="AH66" i="5"/>
  <c r="AG66" i="5"/>
  <c r="AL64" i="5"/>
  <c r="AK64" i="5"/>
  <c r="R64" i="5"/>
  <c r="J64" i="5"/>
  <c r="K64" i="5"/>
  <c r="L64" i="5" s="1"/>
  <c r="M64" i="5" s="1"/>
  <c r="AL63" i="5"/>
  <c r="AK63" i="5"/>
  <c r="V63" i="5"/>
  <c r="U63" i="5"/>
  <c r="R63" i="5"/>
  <c r="K63" i="5"/>
  <c r="L63" i="5" s="1"/>
  <c r="M63" i="5" s="1"/>
  <c r="J63" i="5"/>
  <c r="AL62" i="5"/>
  <c r="AK62" i="5"/>
  <c r="V62" i="5"/>
  <c r="U62" i="5"/>
  <c r="R62" i="5"/>
  <c r="J62" i="5"/>
  <c r="K62" i="5" s="1"/>
  <c r="L62" i="5" s="1"/>
  <c r="M62" i="5" s="1"/>
  <c r="AU61" i="5"/>
  <c r="AT61" i="5"/>
  <c r="AN61" i="5"/>
  <c r="AM61" i="5"/>
  <c r="AL61" i="5"/>
  <c r="AK61" i="5"/>
  <c r="V61" i="5"/>
  <c r="U61" i="5"/>
  <c r="R61" i="5"/>
  <c r="J61" i="5"/>
  <c r="K61" i="5"/>
  <c r="L61" i="5" s="1"/>
  <c r="M61" i="5" s="1"/>
  <c r="AI56" i="5"/>
  <c r="AH56" i="5"/>
  <c r="AG56" i="5"/>
  <c r="AL54" i="5"/>
  <c r="AK54" i="5"/>
  <c r="R54" i="5"/>
  <c r="J54" i="5"/>
  <c r="K54" i="5"/>
  <c r="L54" i="5" s="1"/>
  <c r="M54" i="5" s="1"/>
  <c r="H54" i="5"/>
  <c r="AL53" i="5"/>
  <c r="AK53" i="5"/>
  <c r="V53" i="5"/>
  <c r="U53" i="5"/>
  <c r="R53" i="5"/>
  <c r="J53" i="5"/>
  <c r="K53" i="5"/>
  <c r="L53" i="5" s="1"/>
  <c r="M53" i="5" s="1"/>
  <c r="H53" i="5"/>
  <c r="AL52" i="5"/>
  <c r="AK52" i="5"/>
  <c r="V52" i="5"/>
  <c r="U52" i="5"/>
  <c r="R52" i="5"/>
  <c r="J52" i="5"/>
  <c r="K52" i="5" s="1"/>
  <c r="L52" i="5" s="1"/>
  <c r="M52" i="5" s="1"/>
  <c r="H52" i="5"/>
  <c r="AU51" i="5"/>
  <c r="AT51" i="5"/>
  <c r="AN51" i="5"/>
  <c r="AM51" i="5"/>
  <c r="AL51" i="5"/>
  <c r="AK51" i="5"/>
  <c r="V51" i="5"/>
  <c r="U51" i="5"/>
  <c r="R51" i="5"/>
  <c r="J51" i="5"/>
  <c r="K51" i="5"/>
  <c r="L51" i="5" s="1"/>
  <c r="M51" i="5" s="1"/>
  <c r="H51" i="5"/>
  <c r="AM41" i="5"/>
  <c r="AM31" i="5"/>
  <c r="AM21" i="5"/>
  <c r="AI46" i="5"/>
  <c r="AH46" i="5"/>
  <c r="AG46" i="5"/>
  <c r="AL44" i="5"/>
  <c r="AK44" i="5"/>
  <c r="R44" i="5"/>
  <c r="J44" i="5"/>
  <c r="I44" i="5"/>
  <c r="K44" i="5" s="1"/>
  <c r="L44" i="5" s="1"/>
  <c r="M44" i="5" s="1"/>
  <c r="H44" i="5"/>
  <c r="AL43" i="5"/>
  <c r="AK43" i="5"/>
  <c r="V43" i="5"/>
  <c r="U43" i="5"/>
  <c r="R43" i="5"/>
  <c r="K43" i="5"/>
  <c r="L43" i="5" s="1"/>
  <c r="M43" i="5" s="1"/>
  <c r="J43" i="5"/>
  <c r="I43" i="5"/>
  <c r="H43" i="5"/>
  <c r="AL42" i="5"/>
  <c r="AK42" i="5"/>
  <c r="V42" i="5"/>
  <c r="U42" i="5"/>
  <c r="R42" i="5"/>
  <c r="J42" i="5"/>
  <c r="K42" i="5" s="1"/>
  <c r="L42" i="5" s="1"/>
  <c r="M42" i="5" s="1"/>
  <c r="I42" i="5"/>
  <c r="H42" i="5"/>
  <c r="AU41" i="5"/>
  <c r="AT41" i="5"/>
  <c r="AN41" i="5"/>
  <c r="AL41" i="5"/>
  <c r="AK41" i="5"/>
  <c r="V41" i="5"/>
  <c r="U41" i="5"/>
  <c r="R41" i="5"/>
  <c r="J41" i="5"/>
  <c r="I41" i="5"/>
  <c r="K41" i="5" s="1"/>
  <c r="L41" i="5" s="1"/>
  <c r="M41" i="5" s="1"/>
  <c r="H41" i="5"/>
  <c r="AI36" i="5"/>
  <c r="AH36" i="5"/>
  <c r="AG36" i="5"/>
  <c r="AL34" i="5"/>
  <c r="AK34" i="5"/>
  <c r="R34" i="5"/>
  <c r="J34" i="5"/>
  <c r="I34" i="5"/>
  <c r="K34" i="5" s="1"/>
  <c r="L34" i="5" s="1"/>
  <c r="M34" i="5" s="1"/>
  <c r="H34" i="5"/>
  <c r="AL33" i="5"/>
  <c r="AK33" i="5"/>
  <c r="V33" i="5"/>
  <c r="U33" i="5"/>
  <c r="R33" i="5"/>
  <c r="J33" i="5"/>
  <c r="I33" i="5"/>
  <c r="K33" i="5" s="1"/>
  <c r="L33" i="5" s="1"/>
  <c r="M33" i="5" s="1"/>
  <c r="H33" i="5"/>
  <c r="AL32" i="5"/>
  <c r="AK32" i="5"/>
  <c r="V32" i="5"/>
  <c r="U32" i="5"/>
  <c r="R32" i="5"/>
  <c r="K32" i="5"/>
  <c r="L32" i="5" s="1"/>
  <c r="M32" i="5" s="1"/>
  <c r="J32" i="5"/>
  <c r="I32" i="5"/>
  <c r="H32" i="5"/>
  <c r="AU31" i="5"/>
  <c r="AT31" i="5"/>
  <c r="AN31" i="5"/>
  <c r="AL31" i="5"/>
  <c r="AK31" i="5"/>
  <c r="V31" i="5"/>
  <c r="U31" i="5"/>
  <c r="R31" i="5"/>
  <c r="J31" i="5"/>
  <c r="I31" i="5"/>
  <c r="K31" i="5" s="1"/>
  <c r="L31" i="5" s="1"/>
  <c r="M31" i="5" s="1"/>
  <c r="H31" i="5"/>
  <c r="AI26" i="5"/>
  <c r="AH26" i="5"/>
  <c r="AG26" i="5"/>
  <c r="AL24" i="5"/>
  <c r="AK24" i="5"/>
  <c r="R24" i="5"/>
  <c r="J24" i="5"/>
  <c r="I24" i="5"/>
  <c r="K24" i="5" s="1"/>
  <c r="L24" i="5" s="1"/>
  <c r="M24" i="5" s="1"/>
  <c r="H24" i="5"/>
  <c r="AL23" i="5"/>
  <c r="AK23" i="5"/>
  <c r="V23" i="5"/>
  <c r="U23" i="5"/>
  <c r="R23" i="5"/>
  <c r="J23" i="5"/>
  <c r="I23" i="5"/>
  <c r="K23" i="5" s="1"/>
  <c r="L23" i="5" s="1"/>
  <c r="M23" i="5" s="1"/>
  <c r="H23" i="5"/>
  <c r="AL22" i="5"/>
  <c r="AK22" i="5"/>
  <c r="V22" i="5"/>
  <c r="U22" i="5"/>
  <c r="R22" i="5"/>
  <c r="J22" i="5"/>
  <c r="K22" i="5" s="1"/>
  <c r="L22" i="5" s="1"/>
  <c r="M22" i="5" s="1"/>
  <c r="I22" i="5"/>
  <c r="H22" i="5"/>
  <c r="AU21" i="5"/>
  <c r="AT21" i="5"/>
  <c r="AN21" i="5"/>
  <c r="AL21" i="5"/>
  <c r="AK21" i="5"/>
  <c r="V21" i="5"/>
  <c r="U21" i="5"/>
  <c r="R21" i="5"/>
  <c r="J21" i="5"/>
  <c r="I21" i="5"/>
  <c r="K21" i="5" s="1"/>
  <c r="L21" i="5" s="1"/>
  <c r="M21" i="5" s="1"/>
  <c r="H21" i="5"/>
  <c r="AP14" i="5"/>
  <c r="AP13" i="5"/>
  <c r="AP12" i="5"/>
  <c r="Z14" i="5"/>
  <c r="Z13" i="5"/>
  <c r="Z12" i="5"/>
  <c r="Z11" i="5"/>
  <c r="Y14" i="5"/>
  <c r="Y13" i="5"/>
  <c r="Y12" i="5"/>
  <c r="Y11" i="5"/>
  <c r="X14" i="5"/>
  <c r="X13" i="5"/>
  <c r="X12" i="5"/>
  <c r="X11" i="5"/>
  <c r="W14" i="5"/>
  <c r="W13" i="5"/>
  <c r="W12" i="5"/>
  <c r="AA11" i="5"/>
  <c r="X25" i="2" a="1"/>
  <c r="X25" i="2" s="1"/>
  <c r="X24" i="2" a="1"/>
  <c r="X24" i="2"/>
  <c r="X23" i="2" a="1"/>
  <c r="X23" i="2" s="1"/>
  <c r="X22" i="2" a="1"/>
  <c r="X22" i="2" s="1"/>
  <c r="X21" i="2" a="1"/>
  <c r="X21" i="2"/>
  <c r="X20" i="2" a="1"/>
  <c r="X20" i="2" s="1"/>
  <c r="X19" i="2" a="1"/>
  <c r="X19" i="2" s="1"/>
  <c r="X18" i="2" a="1"/>
  <c r="X18" i="2"/>
  <c r="X17" i="2" a="1"/>
  <c r="X17" i="2" s="1"/>
  <c r="X16" i="2" a="1"/>
  <c r="X16" i="2" s="1"/>
  <c r="X15" i="2" a="1"/>
  <c r="X15" i="2" s="1"/>
  <c r="X14" i="2" a="1"/>
  <c r="X14" i="2"/>
  <c r="X13" i="2" a="1"/>
  <c r="X13" i="2" s="1"/>
  <c r="X12" i="2" a="1"/>
  <c r="X12" i="2" s="1"/>
  <c r="X11" i="2" a="1"/>
  <c r="X11" i="2" s="1"/>
  <c r="X10" i="2" a="1"/>
  <c r="X10" i="2" s="1"/>
  <c r="X9" i="2" a="1"/>
  <c r="X9" i="2" s="1"/>
  <c r="X8" i="2" a="1"/>
  <c r="X8" i="2" s="1"/>
  <c r="W25" i="2" a="1"/>
  <c r="W25" i="2" s="1"/>
  <c r="W24" i="2" a="1"/>
  <c r="W24" i="2" s="1"/>
  <c r="W23" i="2" a="1"/>
  <c r="W23" i="2" s="1"/>
  <c r="W22" i="2" a="1"/>
  <c r="W22" i="2" s="1"/>
  <c r="W21" i="2" a="1"/>
  <c r="W21" i="2" s="1"/>
  <c r="W20" i="2" a="1"/>
  <c r="W20" i="2" s="1"/>
  <c r="W19" i="2" a="1"/>
  <c r="W19" i="2" s="1"/>
  <c r="W18" i="2" a="1"/>
  <c r="W18" i="2" s="1"/>
  <c r="W17" i="2" a="1"/>
  <c r="W17" i="2" s="1"/>
  <c r="W16" i="2" a="1"/>
  <c r="W16" i="2" s="1"/>
  <c r="W15" i="2" a="1"/>
  <c r="W15" i="2"/>
  <c r="W14" i="2" a="1"/>
  <c r="W14" i="2" s="1"/>
  <c r="W13" i="2" a="1"/>
  <c r="W13" i="2" s="1"/>
  <c r="W12" i="2" a="1"/>
  <c r="W12" i="2" s="1"/>
  <c r="W11" i="2" a="1"/>
  <c r="W11" i="2" s="1"/>
  <c r="W10" i="2" a="1"/>
  <c r="W10" i="2" s="1"/>
  <c r="W9" i="2" a="1"/>
  <c r="W9" i="2" s="1"/>
  <c r="W8" i="2" a="1"/>
  <c r="W8" i="2" s="1"/>
  <c r="Q25" i="2" a="1"/>
  <c r="Q25" i="2" s="1"/>
  <c r="Q24" i="2" a="1"/>
  <c r="Q24" i="2" s="1"/>
  <c r="Q23" i="2" a="1"/>
  <c r="Q23" i="2" s="1"/>
  <c r="Q22" i="2" a="1"/>
  <c r="Q22" i="2" s="1"/>
  <c r="Q21" i="2" a="1"/>
  <c r="Q21" i="2" s="1"/>
  <c r="Q20" i="2" a="1"/>
  <c r="Q20" i="2" s="1"/>
  <c r="Q19" i="2" a="1"/>
  <c r="Q19" i="2" s="1"/>
  <c r="Q18" i="2" a="1"/>
  <c r="Q18" i="2" s="1"/>
  <c r="Q17" i="2" a="1"/>
  <c r="Q17" i="2" s="1"/>
  <c r="Q16" i="2" a="1"/>
  <c r="Q16" i="2" s="1"/>
  <c r="Q15" i="2" a="1"/>
  <c r="Q15" i="2" s="1"/>
  <c r="Q14" i="2" a="1"/>
  <c r="Q14" i="2" s="1"/>
  <c r="Q13" i="2" a="1"/>
  <c r="Q13" i="2" s="1"/>
  <c r="Q12" i="2" a="1"/>
  <c r="Q12" i="2" s="1"/>
  <c r="Q11" i="2" a="1"/>
  <c r="Q11" i="2" s="1"/>
  <c r="Q10" i="2" a="1"/>
  <c r="Q10" i="2" s="1"/>
  <c r="Q9" i="2" a="1"/>
  <c r="Q9" i="2"/>
  <c r="Q8" i="2" a="1"/>
  <c r="Q8" i="2" s="1"/>
  <c r="P25" i="2" a="1"/>
  <c r="P25" i="2" s="1"/>
  <c r="P24" i="2" a="1"/>
  <c r="P24" i="2" s="1"/>
  <c r="P23" i="2" a="1"/>
  <c r="P23" i="2" s="1"/>
  <c r="P22" i="2" a="1"/>
  <c r="P22" i="2" s="1"/>
  <c r="P21" i="2" a="1"/>
  <c r="P21" i="2" s="1"/>
  <c r="P20" i="2" a="1"/>
  <c r="P20" i="2" s="1"/>
  <c r="P19" i="2" a="1"/>
  <c r="P19" i="2" s="1"/>
  <c r="P18" i="2" a="1"/>
  <c r="P18" i="2" s="1"/>
  <c r="P17" i="2" a="1"/>
  <c r="P17" i="2" s="1"/>
  <c r="P16" i="2" a="1"/>
  <c r="P16" i="2" s="1"/>
  <c r="P15" i="2" a="1"/>
  <c r="P15" i="2" s="1"/>
  <c r="P14" i="2" a="1"/>
  <c r="P14" i="2" s="1"/>
  <c r="P13" i="2" a="1"/>
  <c r="P13" i="2" s="1"/>
  <c r="P12" i="2" a="1"/>
  <c r="P12" i="2" s="1"/>
  <c r="P11" i="2" a="1"/>
  <c r="P11" i="2" s="1"/>
  <c r="P10" i="2" a="1"/>
  <c r="P10" i="2" s="1"/>
  <c r="P9" i="2" a="1"/>
  <c r="P9" i="2" s="1"/>
  <c r="P8" i="2" a="1"/>
  <c r="P8" i="2"/>
  <c r="O25" i="2" a="1"/>
  <c r="O25" i="2" s="1"/>
  <c r="O24" i="2" a="1"/>
  <c r="O24" i="2" s="1"/>
  <c r="O23" i="2" a="1"/>
  <c r="O23" i="2" s="1"/>
  <c r="O22" i="2" a="1"/>
  <c r="O22" i="2" s="1"/>
  <c r="O21" i="2" a="1"/>
  <c r="O21" i="2" s="1"/>
  <c r="O20" i="2" a="1"/>
  <c r="O20" i="2" s="1"/>
  <c r="O19" i="2" a="1"/>
  <c r="O19" i="2" s="1"/>
  <c r="O18" i="2" a="1"/>
  <c r="O18" i="2" s="1"/>
  <c r="O17" i="2" a="1"/>
  <c r="O17" i="2" s="1"/>
  <c r="O16" i="2" a="1"/>
  <c r="O16" i="2" s="1"/>
  <c r="O15" i="2" a="1"/>
  <c r="O15" i="2" s="1"/>
  <c r="O14" i="2" a="1"/>
  <c r="O14" i="2" s="1"/>
  <c r="O13" i="2" a="1"/>
  <c r="O13" i="2" s="1"/>
  <c r="O12" i="2" a="1"/>
  <c r="O12" i="2" s="1"/>
  <c r="O11" i="2" a="1"/>
  <c r="O11" i="2" s="1"/>
  <c r="O10" i="2" a="1"/>
  <c r="O10" i="2" s="1"/>
  <c r="O9" i="2" a="1"/>
  <c r="O9" i="2" s="1"/>
  <c r="O8" i="2" a="1"/>
  <c r="O8" i="2" s="1"/>
  <c r="N25" i="2" a="1"/>
  <c r="N25" i="2" s="1"/>
  <c r="N24" i="2" a="1"/>
  <c r="N24" i="2" s="1"/>
  <c r="N23" i="2" a="1"/>
  <c r="N23" i="2" s="1"/>
  <c r="N22" i="2" a="1"/>
  <c r="N22" i="2" s="1"/>
  <c r="N21" i="2" a="1"/>
  <c r="N21" i="2" s="1"/>
  <c r="N20" i="2" a="1"/>
  <c r="N20" i="2" s="1"/>
  <c r="N19" i="2" a="1"/>
  <c r="N19" i="2" s="1"/>
  <c r="N18" i="2" a="1"/>
  <c r="N18" i="2" s="1"/>
  <c r="N17" i="2" a="1"/>
  <c r="N17" i="2" s="1"/>
  <c r="N16" i="2" a="1"/>
  <c r="N16" i="2" s="1"/>
  <c r="N15" i="2" a="1"/>
  <c r="N15" i="2" s="1"/>
  <c r="N14" i="2" a="1"/>
  <c r="N14" i="2" s="1"/>
  <c r="N13" i="2" a="1"/>
  <c r="N13" i="2" s="1"/>
  <c r="N12" i="2" a="1"/>
  <c r="N12" i="2" s="1"/>
  <c r="N11" i="2" a="1"/>
  <c r="N11" i="2" s="1"/>
  <c r="N10" i="2" a="1"/>
  <c r="N10" i="2" s="1"/>
  <c r="N9" i="2" a="1"/>
  <c r="N9" i="2" s="1"/>
  <c r="N8" i="2" a="1"/>
  <c r="N8" i="2"/>
  <c r="AF17" i="3" a="1"/>
  <c r="AF17" i="3" s="1"/>
  <c r="AF16" i="3" a="1"/>
  <c r="AF16" i="3" s="1"/>
  <c r="AF15" i="3" a="1"/>
  <c r="AF15" i="3" s="1"/>
  <c r="AF14" i="3" a="1"/>
  <c r="AF14" i="3" s="1"/>
  <c r="AF13" i="3" a="1"/>
  <c r="AF13" i="3" s="1"/>
  <c r="AF12" i="3" a="1"/>
  <c r="AF12" i="3" s="1"/>
  <c r="AF11" i="3" a="1"/>
  <c r="AF11" i="3" s="1"/>
  <c r="AF10" i="3" a="1"/>
  <c r="AF10" i="3" s="1"/>
  <c r="AF9" i="3" a="1"/>
  <c r="AF9" i="3" s="1"/>
  <c r="AF8" i="3" a="1"/>
  <c r="AF8" i="3" s="1"/>
  <c r="AE17" i="3" a="1"/>
  <c r="AE17" i="3"/>
  <c r="AE16" i="3" a="1"/>
  <c r="AE16" i="3" s="1"/>
  <c r="AE15" i="3" a="1"/>
  <c r="AE15" i="3" s="1"/>
  <c r="AE14" i="3" a="1"/>
  <c r="AE14" i="3"/>
  <c r="AE13" i="3" a="1"/>
  <c r="AE13" i="3"/>
  <c r="AE12" i="3" a="1"/>
  <c r="AE12" i="3" s="1"/>
  <c r="AE11" i="3" a="1"/>
  <c r="AE11" i="3"/>
  <c r="AE10" i="3" a="1"/>
  <c r="AE10" i="3" s="1"/>
  <c r="AE9" i="3" a="1"/>
  <c r="AE9" i="3" s="1"/>
  <c r="AE8" i="3" a="1"/>
  <c r="AE8" i="3" s="1"/>
  <c r="AB17" i="3" a="1"/>
  <c r="AB17" i="3" s="1"/>
  <c r="AB16" i="3" a="1"/>
  <c r="AB16" i="3" s="1"/>
  <c r="AB15" i="3" a="1"/>
  <c r="AB15" i="3" s="1"/>
  <c r="AB14" i="3" a="1"/>
  <c r="AB14" i="3" s="1"/>
  <c r="AB13" i="3" a="1"/>
  <c r="AB13" i="3" s="1"/>
  <c r="AB12" i="3" a="1"/>
  <c r="AB12" i="3" s="1"/>
  <c r="AB11" i="3" a="1"/>
  <c r="AB11" i="3" s="1"/>
  <c r="AB10" i="3" a="1"/>
  <c r="AB10" i="3" s="1"/>
  <c r="Y17" i="3" a="1"/>
  <c r="Y17" i="3" s="1"/>
  <c r="Y16" i="3" a="1"/>
  <c r="Y16" i="3" s="1"/>
  <c r="Y15" i="3" a="1"/>
  <c r="Y15" i="3" s="1"/>
  <c r="Y14" i="3" a="1"/>
  <c r="Y14" i="3" s="1"/>
  <c r="Y13" i="3" a="1"/>
  <c r="Y13" i="3" s="1"/>
  <c r="Y12" i="3" a="1"/>
  <c r="Y12" i="3" s="1"/>
  <c r="Y11" i="3" a="1"/>
  <c r="Y11" i="3" s="1"/>
  <c r="Y10" i="3" a="1"/>
  <c r="Y10" i="3" s="1"/>
  <c r="Y9" i="3" a="1"/>
  <c r="Y9" i="3" s="1"/>
  <c r="Y8" i="3" a="1"/>
  <c r="Y8" i="3" s="1"/>
  <c r="G17" i="3" a="1"/>
  <c r="G17" i="3" s="1"/>
  <c r="G16" i="3" a="1"/>
  <c r="G16" i="3" s="1"/>
  <c r="G15" i="3" a="1"/>
  <c r="G15" i="3" s="1"/>
  <c r="G14" i="3" a="1"/>
  <c r="G14" i="3" s="1"/>
  <c r="G13" i="3" a="1"/>
  <c r="G13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/>
  <c r="F8" i="3" a="1"/>
  <c r="F8" i="3" s="1"/>
  <c r="D17" i="3" a="1"/>
  <c r="D17" i="3"/>
  <c r="D16" i="3" a="1"/>
  <c r="D16" i="3" s="1"/>
  <c r="D15" i="3" a="1"/>
  <c r="D15" i="3" s="1"/>
  <c r="D14" i="3" a="1"/>
  <c r="D14" i="3" s="1"/>
  <c r="D13" i="3" a="1"/>
  <c r="D13" i="3"/>
  <c r="D12" i="3" a="1"/>
  <c r="D12" i="3" s="1"/>
  <c r="D11" i="3" a="1"/>
  <c r="D11" i="3" s="1"/>
  <c r="D10" i="3" a="1"/>
  <c r="D10" i="3"/>
  <c r="D8" i="3" a="1"/>
  <c r="D8" i="3" s="1"/>
  <c r="AT11" i="5"/>
  <c r="AZ16" i="5"/>
  <c r="AU11" i="5" s="1"/>
  <c r="AH16" i="5"/>
  <c r="AI16" i="5"/>
  <c r="AG16" i="5"/>
  <c r="R12" i="5"/>
  <c r="R13" i="5"/>
  <c r="R14" i="5"/>
  <c r="R11" i="5"/>
  <c r="AN11" i="5"/>
  <c r="AM11" i="5"/>
  <c r="AL12" i="5"/>
  <c r="AL13" i="5"/>
  <c r="AL14" i="5"/>
  <c r="AL11" i="5"/>
  <c r="V11" i="5"/>
  <c r="AK12" i="5"/>
  <c r="AK13" i="5"/>
  <c r="AK14" i="5"/>
  <c r="AK11" i="5"/>
  <c r="U12" i="5"/>
  <c r="U13" i="5"/>
  <c r="U11" i="5"/>
  <c r="V12" i="5"/>
  <c r="V13" i="5"/>
  <c r="J12" i="5"/>
  <c r="J13" i="5"/>
  <c r="J14" i="5"/>
  <c r="J11" i="5"/>
  <c r="I12" i="5"/>
  <c r="I13" i="5"/>
  <c r="I14" i="5"/>
  <c r="I11" i="5"/>
  <c r="H12" i="5"/>
  <c r="H13" i="5"/>
  <c r="H14" i="5"/>
  <c r="H11" i="5"/>
  <c r="BI96" i="4"/>
  <c r="BH96" i="4"/>
  <c r="V96" i="4"/>
  <c r="U96" i="4"/>
  <c r="W96" i="4" s="1"/>
  <c r="T96" i="4"/>
  <c r="S96" i="4"/>
  <c r="BI95" i="4"/>
  <c r="BH95" i="4"/>
  <c r="W95" i="4"/>
  <c r="U95" i="4"/>
  <c r="T95" i="4"/>
  <c r="V95" i="4" s="1"/>
  <c r="X95" i="4" s="1"/>
  <c r="S95" i="4"/>
  <c r="BI94" i="4"/>
  <c r="BH94" i="4"/>
  <c r="BG94" i="4"/>
  <c r="U94" i="4"/>
  <c r="W94" i="4" s="1"/>
  <c r="AS92" i="4" s="1"/>
  <c r="T94" i="4"/>
  <c r="S94" i="4"/>
  <c r="V94" i="4" s="1"/>
  <c r="X94" i="4" s="1"/>
  <c r="BI93" i="4"/>
  <c r="BH93" i="4"/>
  <c r="BG93" i="4"/>
  <c r="W93" i="4"/>
  <c r="U93" i="4"/>
  <c r="T93" i="4"/>
  <c r="V93" i="4" s="1"/>
  <c r="X93" i="4" s="1"/>
  <c r="S93" i="4"/>
  <c r="BR92" i="4"/>
  <c r="BI92" i="4"/>
  <c r="BH92" i="4"/>
  <c r="BB92" i="4"/>
  <c r="BA92" i="4"/>
  <c r="AZ92" i="4"/>
  <c r="AQ92" i="4"/>
  <c r="AP92" i="4"/>
  <c r="AO92" i="4"/>
  <c r="AN92" i="4"/>
  <c r="AM92" i="4"/>
  <c r="AL92" i="4"/>
  <c r="AK92" i="4"/>
  <c r="AJ92" i="4"/>
  <c r="AE92" i="4"/>
  <c r="AD92" i="4"/>
  <c r="AB92" i="4"/>
  <c r="AA92" i="4"/>
  <c r="Z92" i="4"/>
  <c r="Y92" i="4"/>
  <c r="W92" i="4"/>
  <c r="AR92" i="4" s="1"/>
  <c r="U92" i="4"/>
  <c r="T92" i="4"/>
  <c r="K92" i="4"/>
  <c r="S92" i="4" s="1"/>
  <c r="BI90" i="4"/>
  <c r="BH90" i="4"/>
  <c r="R90" i="4"/>
  <c r="U90" i="4" s="1"/>
  <c r="O90" i="4"/>
  <c r="M90" i="4"/>
  <c r="L90" i="4"/>
  <c r="I90" i="4"/>
  <c r="J90" i="4" s="1"/>
  <c r="S90" i="4" s="1"/>
  <c r="V90" i="4" s="1"/>
  <c r="G90" i="4"/>
  <c r="F90" i="4"/>
  <c r="E90" i="4"/>
  <c r="T90" i="4" s="1"/>
  <c r="BI89" i="4"/>
  <c r="BH89" i="4"/>
  <c r="R89" i="4"/>
  <c r="U89" i="4" s="1"/>
  <c r="O89" i="4"/>
  <c r="I89" i="4"/>
  <c r="G89" i="4"/>
  <c r="F89" i="4"/>
  <c r="E89" i="4"/>
  <c r="BI88" i="4"/>
  <c r="BH88" i="4"/>
  <c r="U88" i="4"/>
  <c r="T88" i="4"/>
  <c r="R88" i="4"/>
  <c r="O88" i="4"/>
  <c r="M88" i="4"/>
  <c r="AD86" i="4" s="1"/>
  <c r="L88" i="4"/>
  <c r="AE86" i="4" s="1"/>
  <c r="J88" i="4"/>
  <c r="I88" i="4"/>
  <c r="G88" i="4"/>
  <c r="F88" i="4"/>
  <c r="E88" i="4"/>
  <c r="BI87" i="4"/>
  <c r="BH87" i="4"/>
  <c r="BG87" i="4"/>
  <c r="U87" i="4"/>
  <c r="T87" i="4"/>
  <c r="R87" i="4"/>
  <c r="O87" i="4"/>
  <c r="I87" i="4"/>
  <c r="G87" i="4"/>
  <c r="F87" i="4"/>
  <c r="E87" i="4"/>
  <c r="J87" i="4" s="1"/>
  <c r="P87" i="4" s="1"/>
  <c r="W87" i="4" s="1"/>
  <c r="BS86" i="4"/>
  <c r="BR86" i="4"/>
  <c r="BI86" i="4"/>
  <c r="BH86" i="4"/>
  <c r="BB86" i="4"/>
  <c r="BA86" i="4"/>
  <c r="BG86" i="4" s="1"/>
  <c r="AZ86" i="4"/>
  <c r="AQ86" i="4"/>
  <c r="AP86" i="4"/>
  <c r="AO86" i="4"/>
  <c r="AN86" i="4"/>
  <c r="AM86" i="4"/>
  <c r="AL86" i="4"/>
  <c r="AK86" i="4"/>
  <c r="AJ86" i="4"/>
  <c r="AB86" i="4"/>
  <c r="AA86" i="4"/>
  <c r="Z86" i="4"/>
  <c r="Y86" i="4"/>
  <c r="U86" i="4"/>
  <c r="T86" i="4"/>
  <c r="O86" i="4"/>
  <c r="I86" i="4"/>
  <c r="G86" i="4"/>
  <c r="F86" i="4"/>
  <c r="E86" i="4"/>
  <c r="BI75" i="4"/>
  <c r="BH75" i="4"/>
  <c r="J75" i="4"/>
  <c r="BK74" i="4"/>
  <c r="BJ74" i="4"/>
  <c r="BI74" i="4"/>
  <c r="BH74" i="4"/>
  <c r="BG74" i="4"/>
  <c r="J74" i="4"/>
  <c r="BI73" i="4"/>
  <c r="BH73" i="4"/>
  <c r="BG73" i="4"/>
  <c r="J73" i="4"/>
  <c r="BK72" i="4"/>
  <c r="BJ72" i="4"/>
  <c r="BI72" i="4"/>
  <c r="BH72" i="4"/>
  <c r="BG72" i="4"/>
  <c r="J72" i="4"/>
  <c r="BS71" i="4"/>
  <c r="BR71" i="4"/>
  <c r="BI71" i="4"/>
  <c r="BH71" i="4"/>
  <c r="K71" i="4"/>
  <c r="J71" i="4" s="1"/>
  <c r="BY70" i="4"/>
  <c r="BI70" i="4"/>
  <c r="BH70" i="4"/>
  <c r="U70" i="4"/>
  <c r="T70" i="4"/>
  <c r="S70" i="4"/>
  <c r="P70" i="4"/>
  <c r="J70" i="4"/>
  <c r="BI69" i="4"/>
  <c r="BH69" i="4"/>
  <c r="W69" i="4"/>
  <c r="U69" i="4"/>
  <c r="T69" i="4"/>
  <c r="P69" i="4"/>
  <c r="J69" i="4"/>
  <c r="S69" i="4" s="1"/>
  <c r="V69" i="4" s="1"/>
  <c r="X69" i="4" s="1"/>
  <c r="BI68" i="4"/>
  <c r="BH68" i="4"/>
  <c r="BG68" i="4"/>
  <c r="W68" i="4"/>
  <c r="V68" i="4"/>
  <c r="X68" i="4" s="1"/>
  <c r="U68" i="4"/>
  <c r="T68" i="4"/>
  <c r="S68" i="4"/>
  <c r="P68" i="4"/>
  <c r="J68" i="4"/>
  <c r="BI67" i="4"/>
  <c r="BH67" i="4"/>
  <c r="BG67" i="4"/>
  <c r="W67" i="4"/>
  <c r="X67" i="4" s="1"/>
  <c r="V67" i="4"/>
  <c r="U67" i="4"/>
  <c r="T67" i="4"/>
  <c r="P67" i="4"/>
  <c r="J67" i="4"/>
  <c r="S67" i="4" s="1"/>
  <c r="BS66" i="4"/>
  <c r="BR66" i="4"/>
  <c r="BI66" i="4"/>
  <c r="BH66" i="4"/>
  <c r="BB66" i="4"/>
  <c r="BG92" i="4" s="1"/>
  <c r="BA66" i="4"/>
  <c r="AZ66" i="4"/>
  <c r="AQ66" i="4"/>
  <c r="AP66" i="4"/>
  <c r="AO66" i="4"/>
  <c r="AN66" i="4"/>
  <c r="AM66" i="4"/>
  <c r="AL66" i="4"/>
  <c r="AK66" i="4"/>
  <c r="AJ66" i="4"/>
  <c r="AE66" i="4"/>
  <c r="AD66" i="4"/>
  <c r="AB66" i="4"/>
  <c r="AA66" i="4"/>
  <c r="Z66" i="4"/>
  <c r="U66" i="4"/>
  <c r="T66" i="4"/>
  <c r="R66" i="4"/>
  <c r="BI65" i="4"/>
  <c r="BH65" i="4"/>
  <c r="V65" i="4"/>
  <c r="U65" i="4"/>
  <c r="W65" i="4" s="1"/>
  <c r="X65" i="4" s="1"/>
  <c r="T65" i="4"/>
  <c r="S65" i="4"/>
  <c r="R65" i="4"/>
  <c r="P65" i="4"/>
  <c r="J65" i="4"/>
  <c r="BI64" i="4"/>
  <c r="BH64" i="4"/>
  <c r="T64" i="4"/>
  <c r="R64" i="4"/>
  <c r="U64" i="4" s="1"/>
  <c r="J64" i="4"/>
  <c r="S64" i="4" s="1"/>
  <c r="V64" i="4" s="1"/>
  <c r="BI63" i="4"/>
  <c r="BH63" i="4"/>
  <c r="T63" i="4"/>
  <c r="R63" i="4"/>
  <c r="U63" i="4" s="1"/>
  <c r="J63" i="4"/>
  <c r="BI62" i="4"/>
  <c r="BH62" i="4"/>
  <c r="U62" i="4"/>
  <c r="T62" i="4"/>
  <c r="R62" i="4"/>
  <c r="J62" i="4"/>
  <c r="BS61" i="4"/>
  <c r="BR61" i="4"/>
  <c r="BI61" i="4"/>
  <c r="BH61" i="4"/>
  <c r="BB61" i="4"/>
  <c r="BA61" i="4"/>
  <c r="BG61" i="4" s="1"/>
  <c r="AZ61" i="4"/>
  <c r="AQ61" i="4"/>
  <c r="AP61" i="4"/>
  <c r="AN61" i="4"/>
  <c r="AM61" i="4"/>
  <c r="AL61" i="4"/>
  <c r="AK61" i="4"/>
  <c r="AJ61" i="4"/>
  <c r="Y61" i="4" s="1"/>
  <c r="AE61" i="4"/>
  <c r="AD61" i="4"/>
  <c r="AB61" i="4"/>
  <c r="AA61" i="4"/>
  <c r="Z61" i="4"/>
  <c r="T61" i="4"/>
  <c r="R61" i="4"/>
  <c r="BI60" i="4"/>
  <c r="BH60" i="4"/>
  <c r="T60" i="4"/>
  <c r="R60" i="4"/>
  <c r="U60" i="4" s="1"/>
  <c r="O60" i="4"/>
  <c r="M60" i="4"/>
  <c r="L60" i="4"/>
  <c r="G60" i="4"/>
  <c r="F60" i="4"/>
  <c r="E60" i="4"/>
  <c r="J60" i="4" s="1"/>
  <c r="P60" i="4" s="1"/>
  <c r="BI59" i="4"/>
  <c r="BH59" i="4"/>
  <c r="BG59" i="4"/>
  <c r="R59" i="4"/>
  <c r="U59" i="4" s="1"/>
  <c r="O59" i="4"/>
  <c r="G59" i="4"/>
  <c r="F59" i="4"/>
  <c r="E59" i="4"/>
  <c r="BI58" i="4"/>
  <c r="BH58" i="4"/>
  <c r="U58" i="4"/>
  <c r="T58" i="4"/>
  <c r="S58" i="4"/>
  <c r="V58" i="4" s="1"/>
  <c r="R58" i="4"/>
  <c r="P58" i="4"/>
  <c r="O58" i="4"/>
  <c r="M58" i="4"/>
  <c r="L58" i="4"/>
  <c r="J58" i="4"/>
  <c r="G58" i="4"/>
  <c r="F58" i="4"/>
  <c r="E58" i="4"/>
  <c r="BI57" i="4"/>
  <c r="BH57" i="4"/>
  <c r="R57" i="4"/>
  <c r="U57" i="4" s="1"/>
  <c r="O57" i="4"/>
  <c r="J57" i="4"/>
  <c r="G57" i="4"/>
  <c r="F57" i="4"/>
  <c r="E57" i="4"/>
  <c r="T57" i="4" s="1"/>
  <c r="BR56" i="4"/>
  <c r="BI56" i="4"/>
  <c r="BH56" i="4"/>
  <c r="BG56" i="4"/>
  <c r="BB56" i="4"/>
  <c r="BA56" i="4"/>
  <c r="AZ56" i="4"/>
  <c r="AQ56" i="4"/>
  <c r="AP56" i="4"/>
  <c r="AO56" i="4"/>
  <c r="AN56" i="4"/>
  <c r="AM56" i="4"/>
  <c r="AL56" i="4"/>
  <c r="AK56" i="4"/>
  <c r="AJ56" i="4"/>
  <c r="AE56" i="4"/>
  <c r="AD56" i="4"/>
  <c r="AB56" i="4"/>
  <c r="AA56" i="4"/>
  <c r="Z56" i="4"/>
  <c r="Y56" i="4"/>
  <c r="R56" i="4"/>
  <c r="U56" i="4" s="1"/>
  <c r="O56" i="4"/>
  <c r="G56" i="4"/>
  <c r="F56" i="4"/>
  <c r="E56" i="4"/>
  <c r="T56" i="4" s="1"/>
  <c r="BI55" i="4"/>
  <c r="BH55" i="4"/>
  <c r="T55" i="4"/>
  <c r="R55" i="4"/>
  <c r="U55" i="4" s="1"/>
  <c r="O55" i="4"/>
  <c r="M55" i="4"/>
  <c r="L55" i="4"/>
  <c r="I55" i="4"/>
  <c r="J55" i="4" s="1"/>
  <c r="G55" i="4"/>
  <c r="F55" i="4"/>
  <c r="E55" i="4"/>
  <c r="BI54" i="4"/>
  <c r="BH54" i="4"/>
  <c r="BG54" i="4"/>
  <c r="R54" i="4"/>
  <c r="U54" i="4" s="1"/>
  <c r="O54" i="4"/>
  <c r="I54" i="4"/>
  <c r="G54" i="4"/>
  <c r="F54" i="4"/>
  <c r="E54" i="4"/>
  <c r="BI53" i="4"/>
  <c r="BH53" i="4"/>
  <c r="T53" i="4"/>
  <c r="S53" i="4"/>
  <c r="V53" i="4" s="1"/>
  <c r="R53" i="4"/>
  <c r="U53" i="4" s="1"/>
  <c r="O53" i="4"/>
  <c r="P53" i="4" s="1"/>
  <c r="M53" i="4"/>
  <c r="L53" i="4"/>
  <c r="I53" i="4"/>
  <c r="G53" i="4"/>
  <c r="F53" i="4"/>
  <c r="E53" i="4"/>
  <c r="J53" i="4" s="1"/>
  <c r="BI52" i="4"/>
  <c r="BH52" i="4"/>
  <c r="R52" i="4"/>
  <c r="U52" i="4" s="1"/>
  <c r="O52" i="4"/>
  <c r="I52" i="4"/>
  <c r="J52" i="4" s="1"/>
  <c r="G52" i="4"/>
  <c r="T52" i="4" s="1"/>
  <c r="F52" i="4"/>
  <c r="E52" i="4"/>
  <c r="BS51" i="4"/>
  <c r="BR51" i="4"/>
  <c r="BI51" i="4"/>
  <c r="BH51" i="4"/>
  <c r="BB51" i="4"/>
  <c r="BA51" i="4"/>
  <c r="AZ51" i="4"/>
  <c r="AQ51" i="4"/>
  <c r="AP51" i="4"/>
  <c r="AN51" i="4"/>
  <c r="AM51" i="4"/>
  <c r="AL51" i="4"/>
  <c r="AK51" i="4"/>
  <c r="Y51" i="4" s="1"/>
  <c r="K51" i="4" s="1"/>
  <c r="AJ51" i="4"/>
  <c r="AE51" i="4"/>
  <c r="AD51" i="4"/>
  <c r="AB51" i="4"/>
  <c r="AA51" i="4"/>
  <c r="Z51" i="4"/>
  <c r="U51" i="4"/>
  <c r="T51" i="4"/>
  <c r="R51" i="4"/>
  <c r="AO51" i="4" s="1"/>
  <c r="O51" i="4"/>
  <c r="I51" i="4"/>
  <c r="J51" i="4" s="1"/>
  <c r="S51" i="4" s="1"/>
  <c r="G51" i="4"/>
  <c r="F51" i="4"/>
  <c r="E51" i="4"/>
  <c r="BI50" i="4"/>
  <c r="BH50" i="4"/>
  <c r="U50" i="4"/>
  <c r="R50" i="4"/>
  <c r="O50" i="4"/>
  <c r="M50" i="4"/>
  <c r="AD46" i="4" s="1"/>
  <c r="L50" i="4"/>
  <c r="J50" i="4"/>
  <c r="I50" i="4"/>
  <c r="G50" i="4"/>
  <c r="F50" i="4"/>
  <c r="E50" i="4"/>
  <c r="BI49" i="4"/>
  <c r="BH49" i="4"/>
  <c r="U49" i="4"/>
  <c r="R49" i="4"/>
  <c r="O49" i="4"/>
  <c r="I49" i="4"/>
  <c r="G49" i="4"/>
  <c r="F49" i="4"/>
  <c r="E49" i="4"/>
  <c r="T49" i="4" s="1"/>
  <c r="BI48" i="4"/>
  <c r="BH48" i="4"/>
  <c r="BG48" i="4"/>
  <c r="T48" i="4"/>
  <c r="R48" i="4"/>
  <c r="U48" i="4" s="1"/>
  <c r="O48" i="4"/>
  <c r="M48" i="4"/>
  <c r="L48" i="4"/>
  <c r="I48" i="4"/>
  <c r="J48" i="4" s="1"/>
  <c r="G48" i="4"/>
  <c r="F48" i="4"/>
  <c r="E48" i="4"/>
  <c r="BI47" i="4"/>
  <c r="BH47" i="4"/>
  <c r="BG47" i="4"/>
  <c r="R47" i="4"/>
  <c r="U47" i="4" s="1"/>
  <c r="O47" i="4"/>
  <c r="I47" i="4"/>
  <c r="G47" i="4"/>
  <c r="F47" i="4"/>
  <c r="E47" i="4"/>
  <c r="BS46" i="4"/>
  <c r="BR46" i="4"/>
  <c r="BI46" i="4"/>
  <c r="BH46" i="4"/>
  <c r="BB46" i="4"/>
  <c r="BA46" i="4"/>
  <c r="BG46" i="4" s="1"/>
  <c r="AZ46" i="4"/>
  <c r="AQ46" i="4"/>
  <c r="AP46" i="4"/>
  <c r="AN46" i="4"/>
  <c r="AM46" i="4"/>
  <c r="AL46" i="4"/>
  <c r="AK46" i="4"/>
  <c r="AJ46" i="4"/>
  <c r="AE46" i="4"/>
  <c r="AB46" i="4"/>
  <c r="AA46" i="4"/>
  <c r="Z46" i="4"/>
  <c r="T46" i="4"/>
  <c r="R46" i="4"/>
  <c r="O46" i="4"/>
  <c r="I46" i="4"/>
  <c r="G46" i="4"/>
  <c r="F46" i="4"/>
  <c r="E46" i="4"/>
  <c r="BI45" i="4"/>
  <c r="BH45" i="4"/>
  <c r="T45" i="4"/>
  <c r="S45" i="4"/>
  <c r="R45" i="4"/>
  <c r="U45" i="4" s="1"/>
  <c r="O45" i="4"/>
  <c r="M45" i="4"/>
  <c r="L45" i="4"/>
  <c r="J45" i="4"/>
  <c r="P45" i="4" s="1"/>
  <c r="W45" i="4" s="1"/>
  <c r="I45" i="4"/>
  <c r="G45" i="4"/>
  <c r="F45" i="4"/>
  <c r="E45" i="4"/>
  <c r="BI44" i="4"/>
  <c r="BH44" i="4"/>
  <c r="T44" i="4"/>
  <c r="R44" i="4"/>
  <c r="U44" i="4" s="1"/>
  <c r="P44" i="4"/>
  <c r="O44" i="4"/>
  <c r="J44" i="4"/>
  <c r="S44" i="4" s="1"/>
  <c r="V44" i="4" s="1"/>
  <c r="I44" i="4"/>
  <c r="G44" i="4"/>
  <c r="F44" i="4"/>
  <c r="E44" i="4"/>
  <c r="BI43" i="4"/>
  <c r="BH43" i="4"/>
  <c r="U43" i="4"/>
  <c r="R43" i="4"/>
  <c r="O43" i="4"/>
  <c r="M43" i="4"/>
  <c r="AD41" i="4" s="1"/>
  <c r="L43" i="4"/>
  <c r="AE41" i="4" s="1"/>
  <c r="I43" i="4"/>
  <c r="G43" i="4"/>
  <c r="F43" i="4"/>
  <c r="E43" i="4"/>
  <c r="BI42" i="4"/>
  <c r="BH42" i="4"/>
  <c r="U42" i="4"/>
  <c r="T42" i="4"/>
  <c r="R42" i="4"/>
  <c r="O42" i="4"/>
  <c r="I42" i="4"/>
  <c r="J42" i="4" s="1"/>
  <c r="G42" i="4"/>
  <c r="F42" i="4"/>
  <c r="E42" i="4"/>
  <c r="BS41" i="4"/>
  <c r="BR41" i="4"/>
  <c r="BI41" i="4"/>
  <c r="BH41" i="4"/>
  <c r="BB41" i="4"/>
  <c r="BA41" i="4"/>
  <c r="AZ41" i="4"/>
  <c r="AQ41" i="4"/>
  <c r="AP41" i="4"/>
  <c r="AO41" i="4"/>
  <c r="AN41" i="4"/>
  <c r="AM41" i="4"/>
  <c r="AL41" i="4"/>
  <c r="AK41" i="4"/>
  <c r="AJ41" i="4"/>
  <c r="AB41" i="4"/>
  <c r="AA41" i="4"/>
  <c r="Z41" i="4"/>
  <c r="Y41" i="4"/>
  <c r="U41" i="4"/>
  <c r="T41" i="4"/>
  <c r="R41" i="4"/>
  <c r="O41" i="4"/>
  <c r="I41" i="4"/>
  <c r="G41" i="4"/>
  <c r="F41" i="4"/>
  <c r="E41" i="4"/>
  <c r="BI40" i="4"/>
  <c r="BH40" i="4"/>
  <c r="U40" i="4"/>
  <c r="T40" i="4"/>
  <c r="R40" i="4"/>
  <c r="O40" i="4"/>
  <c r="M40" i="4"/>
  <c r="L40" i="4"/>
  <c r="I40" i="4"/>
  <c r="G40" i="4"/>
  <c r="F40" i="4"/>
  <c r="E40" i="4"/>
  <c r="BI39" i="4"/>
  <c r="BH39" i="4"/>
  <c r="R39" i="4"/>
  <c r="U39" i="4" s="1"/>
  <c r="O39" i="4"/>
  <c r="I39" i="4"/>
  <c r="G39" i="4"/>
  <c r="F39" i="4"/>
  <c r="E39" i="4"/>
  <c r="BI38" i="4"/>
  <c r="BH38" i="4"/>
  <c r="T38" i="4"/>
  <c r="S38" i="4"/>
  <c r="V38" i="4" s="1"/>
  <c r="R38" i="4"/>
  <c r="U38" i="4" s="1"/>
  <c r="O38" i="4"/>
  <c r="M38" i="4"/>
  <c r="L38" i="4"/>
  <c r="AE36" i="4" s="1"/>
  <c r="I38" i="4"/>
  <c r="G38" i="4"/>
  <c r="F38" i="4"/>
  <c r="E38" i="4"/>
  <c r="J38" i="4" s="1"/>
  <c r="BI37" i="4"/>
  <c r="BH37" i="4"/>
  <c r="R37" i="4"/>
  <c r="U37" i="4" s="1"/>
  <c r="O37" i="4"/>
  <c r="I37" i="4"/>
  <c r="J37" i="4" s="1"/>
  <c r="G37" i="4"/>
  <c r="T37" i="4" s="1"/>
  <c r="F37" i="4"/>
  <c r="E37" i="4"/>
  <c r="BS36" i="4"/>
  <c r="BR36" i="4"/>
  <c r="BI36" i="4"/>
  <c r="BH36" i="4"/>
  <c r="BB36" i="4"/>
  <c r="BA36" i="4"/>
  <c r="AZ36" i="4"/>
  <c r="AQ36" i="4"/>
  <c r="AP36" i="4"/>
  <c r="AN36" i="4"/>
  <c r="AM36" i="4"/>
  <c r="AL36" i="4"/>
  <c r="AK36" i="4"/>
  <c r="AJ36" i="4"/>
  <c r="AD36" i="4"/>
  <c r="AB36" i="4"/>
  <c r="AA36" i="4"/>
  <c r="Z36" i="4"/>
  <c r="Y36" i="4"/>
  <c r="T36" i="4"/>
  <c r="R36" i="4"/>
  <c r="U36" i="4" s="1"/>
  <c r="O36" i="4"/>
  <c r="I36" i="4"/>
  <c r="G36" i="4"/>
  <c r="F36" i="4"/>
  <c r="E36" i="4"/>
  <c r="BI35" i="4"/>
  <c r="BH35" i="4"/>
  <c r="U35" i="4"/>
  <c r="R35" i="4"/>
  <c r="O35" i="4"/>
  <c r="M35" i="4"/>
  <c r="AD31" i="4" s="1"/>
  <c r="L35" i="4"/>
  <c r="AE31" i="4" s="1"/>
  <c r="J35" i="4"/>
  <c r="I35" i="4"/>
  <c r="G35" i="4"/>
  <c r="T35" i="4" s="1"/>
  <c r="F35" i="4"/>
  <c r="E35" i="4"/>
  <c r="BI34" i="4"/>
  <c r="BH34" i="4"/>
  <c r="U34" i="4"/>
  <c r="T34" i="4"/>
  <c r="R34" i="4"/>
  <c r="O34" i="4"/>
  <c r="I34" i="4"/>
  <c r="G34" i="4"/>
  <c r="F34" i="4"/>
  <c r="E34" i="4"/>
  <c r="J34" i="4" s="1"/>
  <c r="BI33" i="4"/>
  <c r="BH33" i="4"/>
  <c r="R33" i="4"/>
  <c r="U33" i="4" s="1"/>
  <c r="P33" i="4"/>
  <c r="O33" i="4"/>
  <c r="M33" i="4"/>
  <c r="L33" i="4"/>
  <c r="I33" i="4"/>
  <c r="G33" i="4"/>
  <c r="F33" i="4"/>
  <c r="E33" i="4"/>
  <c r="J33" i="4" s="1"/>
  <c r="S33" i="4" s="1"/>
  <c r="BI32" i="4"/>
  <c r="BH32" i="4"/>
  <c r="R32" i="4"/>
  <c r="U32" i="4" s="1"/>
  <c r="O32" i="4"/>
  <c r="I32" i="4"/>
  <c r="G32" i="4"/>
  <c r="F32" i="4"/>
  <c r="E32" i="4"/>
  <c r="BS31" i="4"/>
  <c r="BR31" i="4"/>
  <c r="BI31" i="4"/>
  <c r="BH31" i="4"/>
  <c r="BB31" i="4"/>
  <c r="BA31" i="4"/>
  <c r="BG31" i="4" s="1"/>
  <c r="AZ31" i="4"/>
  <c r="AQ31" i="4"/>
  <c r="AP31" i="4"/>
  <c r="AN31" i="4"/>
  <c r="AM31" i="4"/>
  <c r="AL31" i="4"/>
  <c r="AK31" i="4"/>
  <c r="AJ31" i="4"/>
  <c r="Y31" i="4" s="1"/>
  <c r="AB31" i="4"/>
  <c r="AA31" i="4"/>
  <c r="Z31" i="4"/>
  <c r="U31" i="4"/>
  <c r="T31" i="4"/>
  <c r="R31" i="4"/>
  <c r="AO31" i="4" s="1"/>
  <c r="O31" i="4"/>
  <c r="I31" i="4"/>
  <c r="G31" i="4"/>
  <c r="F31" i="4"/>
  <c r="E31" i="4"/>
  <c r="BI30" i="4"/>
  <c r="BH30" i="4"/>
  <c r="BG30" i="4"/>
  <c r="T30" i="4"/>
  <c r="R30" i="4"/>
  <c r="U30" i="4" s="1"/>
  <c r="O30" i="4"/>
  <c r="M30" i="4"/>
  <c r="L30" i="4"/>
  <c r="I30" i="4"/>
  <c r="J30" i="4" s="1"/>
  <c r="G30" i="4"/>
  <c r="F30" i="4"/>
  <c r="E30" i="4"/>
  <c r="BI29" i="4"/>
  <c r="BH29" i="4"/>
  <c r="BG29" i="4"/>
  <c r="T29" i="4"/>
  <c r="R29" i="4"/>
  <c r="U29" i="4" s="1"/>
  <c r="O29" i="4"/>
  <c r="I29" i="4"/>
  <c r="J29" i="4" s="1"/>
  <c r="G29" i="4"/>
  <c r="F29" i="4"/>
  <c r="E29" i="4"/>
  <c r="BI28" i="4"/>
  <c r="BH28" i="4"/>
  <c r="BG28" i="4"/>
  <c r="U28" i="4"/>
  <c r="R28" i="4"/>
  <c r="O28" i="4"/>
  <c r="M28" i="4"/>
  <c r="AD26" i="4" s="1"/>
  <c r="L28" i="4"/>
  <c r="AE26" i="4" s="1"/>
  <c r="J28" i="4"/>
  <c r="I28" i="4"/>
  <c r="G28" i="4"/>
  <c r="F28" i="4"/>
  <c r="E28" i="4"/>
  <c r="BI27" i="4"/>
  <c r="BH27" i="4"/>
  <c r="U27" i="4"/>
  <c r="T27" i="4"/>
  <c r="R27" i="4"/>
  <c r="O27" i="4"/>
  <c r="I27" i="4"/>
  <c r="G27" i="4"/>
  <c r="F27" i="4"/>
  <c r="E27" i="4"/>
  <c r="J27" i="4" s="1"/>
  <c r="BS26" i="4"/>
  <c r="BR26" i="4"/>
  <c r="BI26" i="4"/>
  <c r="BH26" i="4"/>
  <c r="BB26" i="4"/>
  <c r="BA26" i="4"/>
  <c r="BG26" i="4" s="1"/>
  <c r="AZ26" i="4"/>
  <c r="AQ26" i="4"/>
  <c r="AP26" i="4"/>
  <c r="AO26" i="4"/>
  <c r="AN26" i="4"/>
  <c r="AM26" i="4"/>
  <c r="AL26" i="4"/>
  <c r="AK26" i="4"/>
  <c r="AJ26" i="4"/>
  <c r="AB26" i="4"/>
  <c r="AA26" i="4"/>
  <c r="Z26" i="4"/>
  <c r="Y26" i="4"/>
  <c r="U26" i="4"/>
  <c r="R26" i="4"/>
  <c r="O26" i="4"/>
  <c r="I26" i="4"/>
  <c r="G26" i="4"/>
  <c r="F26" i="4"/>
  <c r="E26" i="4"/>
  <c r="BI25" i="4"/>
  <c r="BH25" i="4"/>
  <c r="U25" i="4"/>
  <c r="T25" i="4"/>
  <c r="R25" i="4"/>
  <c r="O25" i="4"/>
  <c r="M25" i="4"/>
  <c r="L25" i="4"/>
  <c r="I25" i="4"/>
  <c r="G25" i="4"/>
  <c r="F25" i="4"/>
  <c r="E25" i="4"/>
  <c r="J25" i="4" s="1"/>
  <c r="P25" i="4" s="1"/>
  <c r="BI24" i="4"/>
  <c r="BH24" i="4"/>
  <c r="R24" i="4"/>
  <c r="U24" i="4" s="1"/>
  <c r="O24" i="4"/>
  <c r="I24" i="4"/>
  <c r="G24" i="4"/>
  <c r="T24" i="4" s="1"/>
  <c r="F24" i="4"/>
  <c r="E24" i="4"/>
  <c r="BI23" i="4"/>
  <c r="BH23" i="4"/>
  <c r="U23" i="4"/>
  <c r="R23" i="4"/>
  <c r="O23" i="4"/>
  <c r="M23" i="4"/>
  <c r="L23" i="4"/>
  <c r="I23" i="4"/>
  <c r="G23" i="4"/>
  <c r="F23" i="4"/>
  <c r="E23" i="4"/>
  <c r="BI22" i="4"/>
  <c r="BH22" i="4"/>
  <c r="T22" i="4"/>
  <c r="R22" i="4"/>
  <c r="U22" i="4" s="1"/>
  <c r="O22" i="4"/>
  <c r="I22" i="4"/>
  <c r="J22" i="4" s="1"/>
  <c r="G22" i="4"/>
  <c r="F22" i="4"/>
  <c r="E22" i="4"/>
  <c r="BS21" i="4"/>
  <c r="BR21" i="4"/>
  <c r="BI21" i="4"/>
  <c r="BH21" i="4"/>
  <c r="BB21" i="4"/>
  <c r="BA21" i="4"/>
  <c r="AZ21" i="4"/>
  <c r="AQ21" i="4"/>
  <c r="AP21" i="4"/>
  <c r="AN21" i="4"/>
  <c r="AM21" i="4"/>
  <c r="AL21" i="4"/>
  <c r="AK21" i="4"/>
  <c r="AJ21" i="4"/>
  <c r="AE21" i="4"/>
  <c r="AD21" i="4"/>
  <c r="AB21" i="4"/>
  <c r="AA21" i="4"/>
  <c r="Z21" i="4"/>
  <c r="U21" i="4"/>
  <c r="R21" i="4"/>
  <c r="AO21" i="4" s="1"/>
  <c r="O21" i="4"/>
  <c r="I21" i="4"/>
  <c r="G21" i="4"/>
  <c r="F21" i="4"/>
  <c r="E21" i="4"/>
  <c r="BI20" i="4"/>
  <c r="BH20" i="4"/>
  <c r="R20" i="4"/>
  <c r="U20" i="4" s="1"/>
  <c r="O20" i="4"/>
  <c r="M20" i="4"/>
  <c r="L20" i="4"/>
  <c r="I20" i="4"/>
  <c r="J20" i="4" s="1"/>
  <c r="S20" i="4" s="1"/>
  <c r="V20" i="4" s="1"/>
  <c r="G20" i="4"/>
  <c r="F20" i="4"/>
  <c r="E20" i="4"/>
  <c r="T20" i="4" s="1"/>
  <c r="BI19" i="4"/>
  <c r="BH19" i="4"/>
  <c r="R19" i="4"/>
  <c r="U19" i="4" s="1"/>
  <c r="O19" i="4"/>
  <c r="I19" i="4"/>
  <c r="G19" i="4"/>
  <c r="F19" i="4"/>
  <c r="E19" i="4"/>
  <c r="BI18" i="4"/>
  <c r="BH18" i="4"/>
  <c r="U18" i="4"/>
  <c r="T18" i="4"/>
  <c r="R18" i="4"/>
  <c r="O18" i="4"/>
  <c r="M18" i="4"/>
  <c r="AD16" i="4" s="1"/>
  <c r="L18" i="4"/>
  <c r="AE16" i="4" s="1"/>
  <c r="I18" i="4"/>
  <c r="G18" i="4"/>
  <c r="F18" i="4"/>
  <c r="E18" i="4"/>
  <c r="J18" i="4" s="1"/>
  <c r="P18" i="4" s="1"/>
  <c r="BI17" i="4"/>
  <c r="BH17" i="4"/>
  <c r="R17" i="4"/>
  <c r="U17" i="4" s="1"/>
  <c r="O17" i="4"/>
  <c r="I17" i="4"/>
  <c r="G17" i="4"/>
  <c r="F17" i="4"/>
  <c r="E17" i="4"/>
  <c r="BS16" i="4"/>
  <c r="BR16" i="4"/>
  <c r="BI16" i="4"/>
  <c r="BH16" i="4"/>
  <c r="BB16" i="4"/>
  <c r="BA16" i="4"/>
  <c r="AZ16" i="4"/>
  <c r="AQ16" i="4"/>
  <c r="AP16" i="4"/>
  <c r="AN16" i="4"/>
  <c r="AM16" i="4"/>
  <c r="AL16" i="4"/>
  <c r="AK16" i="4"/>
  <c r="AJ16" i="4"/>
  <c r="Y16" i="4" s="1"/>
  <c r="AB16" i="4"/>
  <c r="AA16" i="4"/>
  <c r="Z16" i="4"/>
  <c r="R16" i="4"/>
  <c r="O16" i="4"/>
  <c r="I16" i="4"/>
  <c r="G16" i="4"/>
  <c r="T16" i="4" s="1"/>
  <c r="F16" i="4"/>
  <c r="E16" i="4"/>
  <c r="BI15" i="4"/>
  <c r="BH15" i="4"/>
  <c r="U15" i="4"/>
  <c r="T15" i="4"/>
  <c r="S15" i="4"/>
  <c r="V15" i="4" s="1"/>
  <c r="R15" i="4"/>
  <c r="O15" i="4"/>
  <c r="M15" i="4"/>
  <c r="L15" i="4"/>
  <c r="I15" i="4"/>
  <c r="G15" i="4"/>
  <c r="F15" i="4"/>
  <c r="E15" i="4"/>
  <c r="J15" i="4" s="1"/>
  <c r="P15" i="4" s="1"/>
  <c r="BI14" i="4"/>
  <c r="BH14" i="4"/>
  <c r="BG14" i="4"/>
  <c r="T14" i="4"/>
  <c r="R14" i="4"/>
  <c r="U14" i="4" s="1"/>
  <c r="O14" i="4"/>
  <c r="I14" i="4"/>
  <c r="J14" i="4" s="1"/>
  <c r="S14" i="4" s="1"/>
  <c r="V14" i="4" s="1"/>
  <c r="G14" i="4"/>
  <c r="F14" i="4"/>
  <c r="E14" i="4"/>
  <c r="BI13" i="4"/>
  <c r="BH13" i="4"/>
  <c r="BG13" i="4"/>
  <c r="U13" i="4"/>
  <c r="R13" i="4"/>
  <c r="O13" i="4"/>
  <c r="M13" i="4"/>
  <c r="AD11" i="4" s="1"/>
  <c r="L13" i="4"/>
  <c r="AE11" i="4" s="1"/>
  <c r="I13" i="4"/>
  <c r="J13" i="4" s="1"/>
  <c r="G13" i="4"/>
  <c r="F13" i="4"/>
  <c r="E13" i="4"/>
  <c r="T13" i="4" s="1"/>
  <c r="BI12" i="4"/>
  <c r="BH12" i="4"/>
  <c r="BG12" i="4"/>
  <c r="R12" i="4"/>
  <c r="U12" i="4" s="1"/>
  <c r="O12" i="4"/>
  <c r="I12" i="4"/>
  <c r="J12" i="4" s="1"/>
  <c r="G12" i="4"/>
  <c r="F12" i="4"/>
  <c r="E12" i="4"/>
  <c r="BS11" i="4"/>
  <c r="BR11" i="4"/>
  <c r="BI11" i="4"/>
  <c r="BH11" i="4"/>
  <c r="BB11" i="4"/>
  <c r="BG71" i="4" s="1"/>
  <c r="BK71" i="4" s="1"/>
  <c r="BA11" i="4"/>
  <c r="BG88" i="4" s="1"/>
  <c r="AZ11" i="4"/>
  <c r="AQ11" i="4"/>
  <c r="AP11" i="4"/>
  <c r="AO11" i="4"/>
  <c r="AN11" i="4"/>
  <c r="AM11" i="4"/>
  <c r="AL11" i="4"/>
  <c r="AK11" i="4"/>
  <c r="AJ11" i="4"/>
  <c r="AB11" i="4"/>
  <c r="AA11" i="4"/>
  <c r="Z11" i="4"/>
  <c r="Y11" i="4"/>
  <c r="R11" i="4"/>
  <c r="U11" i="4" s="1"/>
  <c r="O11" i="4"/>
  <c r="I11" i="4"/>
  <c r="G11" i="4"/>
  <c r="T11" i="4" s="1"/>
  <c r="F11" i="4"/>
  <c r="E11" i="4"/>
  <c r="AE27" i="3"/>
  <c r="AE26" i="3"/>
  <c r="AM12" i="3"/>
  <c r="H9" i="3"/>
  <c r="D9" i="3" a="1"/>
  <c r="D9" i="3"/>
  <c r="Y27" i="2"/>
  <c r="Y26" i="2"/>
  <c r="AE25" i="2"/>
  <c r="AB25" i="2"/>
  <c r="AA25" i="2"/>
  <c r="V25" i="2"/>
  <c r="U25" i="2"/>
  <c r="R25" i="2"/>
  <c r="M25" i="2"/>
  <c r="AB24" i="2"/>
  <c r="AA24" i="2"/>
  <c r="V24" i="2"/>
  <c r="U24" i="2"/>
  <c r="R24" i="2"/>
  <c r="L24" i="2"/>
  <c r="AE23" i="2"/>
  <c r="AB23" i="2"/>
  <c r="AA23" i="2"/>
  <c r="V23" i="2"/>
  <c r="U23" i="2"/>
  <c r="R23" i="2"/>
  <c r="M23" i="2"/>
  <c r="AA22" i="2"/>
  <c r="V22" i="2"/>
  <c r="U22" i="2"/>
  <c r="L22" i="2"/>
  <c r="R22" i="2" s="1"/>
  <c r="AE21" i="2"/>
  <c r="AA21" i="2"/>
  <c r="V21" i="2"/>
  <c r="U21" i="2"/>
  <c r="M21" i="2"/>
  <c r="R21" i="2" s="1"/>
  <c r="AA20" i="2"/>
  <c r="V20" i="2"/>
  <c r="U20" i="2"/>
  <c r="R20" i="2"/>
  <c r="L20" i="2"/>
  <c r="AE19" i="2"/>
  <c r="AB19" i="2"/>
  <c r="AA19" i="2"/>
  <c r="V19" i="2"/>
  <c r="U19" i="2"/>
  <c r="R19" i="2"/>
  <c r="M19" i="2"/>
  <c r="AB18" i="2"/>
  <c r="AA18" i="2"/>
  <c r="V18" i="2"/>
  <c r="U18" i="2"/>
  <c r="L18" i="2"/>
  <c r="R18" i="2" s="1"/>
  <c r="AE17" i="2"/>
  <c r="AA17" i="2"/>
  <c r="V17" i="2"/>
  <c r="U17" i="2"/>
  <c r="M17" i="2"/>
  <c r="R17" i="2" s="1"/>
  <c r="AA16" i="2"/>
  <c r="V16" i="2"/>
  <c r="U16" i="2"/>
  <c r="R16" i="2"/>
  <c r="L16" i="2"/>
  <c r="AE15" i="2"/>
  <c r="AB15" i="2"/>
  <c r="AA15" i="2"/>
  <c r="V15" i="2"/>
  <c r="U15" i="2"/>
  <c r="R15" i="2"/>
  <c r="M15" i="2"/>
  <c r="AB14" i="2"/>
  <c r="AA14" i="2"/>
  <c r="V14" i="2"/>
  <c r="U14" i="2"/>
  <c r="R14" i="2"/>
  <c r="L14" i="2"/>
  <c r="AE13" i="2"/>
  <c r="AB13" i="2"/>
  <c r="AA13" i="2"/>
  <c r="V13" i="2"/>
  <c r="U13" i="2"/>
  <c r="M13" i="2"/>
  <c r="R13" i="2" s="1"/>
  <c r="AI12" i="2"/>
  <c r="AB16" i="2" s="1"/>
  <c r="AB12" i="2"/>
  <c r="AA12" i="2"/>
  <c r="V12" i="2"/>
  <c r="U12" i="2"/>
  <c r="R12" i="2"/>
  <c r="L12" i="2"/>
  <c r="AE11" i="2"/>
  <c r="AB11" i="2"/>
  <c r="AA11" i="2"/>
  <c r="V11" i="2"/>
  <c r="U11" i="2"/>
  <c r="R11" i="2"/>
  <c r="M11" i="2"/>
  <c r="AB10" i="2"/>
  <c r="AA10" i="2"/>
  <c r="V10" i="2"/>
  <c r="U10" i="2"/>
  <c r="R10" i="2"/>
  <c r="L10" i="2"/>
  <c r="AE9" i="2"/>
  <c r="AB9" i="2"/>
  <c r="AA9" i="2"/>
  <c r="V9" i="2"/>
  <c r="U9" i="2"/>
  <c r="R9" i="2"/>
  <c r="M9" i="2"/>
  <c r="AB8" i="2"/>
  <c r="AA8" i="2"/>
  <c r="V8" i="2"/>
  <c r="U8" i="2"/>
  <c r="L8" i="2"/>
  <c r="R8" i="2" s="1"/>
  <c r="D30" i="1"/>
  <c r="D29" i="1"/>
  <c r="D28" i="1"/>
  <c r="D27" i="1"/>
  <c r="D26" i="1"/>
  <c r="D25" i="1"/>
  <c r="D24" i="1"/>
  <c r="D23" i="1"/>
  <c r="K22" i="1"/>
  <c r="J22" i="1"/>
  <c r="I22" i="1"/>
  <c r="L22" i="1" s="1"/>
  <c r="D22" i="1"/>
  <c r="J21" i="1"/>
  <c r="D21" i="1"/>
  <c r="I21" i="1" s="1"/>
  <c r="J20" i="1"/>
  <c r="I20" i="1"/>
  <c r="D20" i="1"/>
  <c r="K19" i="1"/>
  <c r="J19" i="1"/>
  <c r="D19" i="1"/>
  <c r="I19" i="1" s="1"/>
  <c r="L19" i="1" s="1"/>
  <c r="J18" i="1"/>
  <c r="I18" i="1"/>
  <c r="L18" i="1" s="1"/>
  <c r="D18" i="1"/>
  <c r="J17" i="1"/>
  <c r="I17" i="1"/>
  <c r="D17" i="1"/>
  <c r="O11" i="1"/>
  <c r="K18" i="1" s="1"/>
  <c r="Y61" i="5" l="1"/>
  <c r="Y64" i="5"/>
  <c r="Y62" i="5"/>
  <c r="Y63" i="5"/>
  <c r="X61" i="5"/>
  <c r="X64" i="5"/>
  <c r="X62" i="5"/>
  <c r="X63" i="5"/>
  <c r="Z64" i="5"/>
  <c r="Z62" i="5"/>
  <c r="Z61" i="5"/>
  <c r="Z63" i="5"/>
  <c r="W61" i="5"/>
  <c r="W63" i="5"/>
  <c r="W64" i="5"/>
  <c r="W62" i="5"/>
  <c r="Z54" i="5"/>
  <c r="Z52" i="5"/>
  <c r="Z51" i="5"/>
  <c r="Z53" i="5"/>
  <c r="Y54" i="5"/>
  <c r="Y52" i="5"/>
  <c r="Y51" i="5"/>
  <c r="Y53" i="5"/>
  <c r="X54" i="5"/>
  <c r="X52" i="5"/>
  <c r="X53" i="5"/>
  <c r="X51" i="5"/>
  <c r="W51" i="5"/>
  <c r="W52" i="5"/>
  <c r="W53" i="5"/>
  <c r="W54" i="5"/>
  <c r="X41" i="5"/>
  <c r="X44" i="5"/>
  <c r="X42" i="5"/>
  <c r="X43" i="5"/>
  <c r="Y41" i="5"/>
  <c r="Y44" i="5"/>
  <c r="Y42" i="5"/>
  <c r="Y43" i="5"/>
  <c r="Z41" i="5"/>
  <c r="Z44" i="5"/>
  <c r="Z42" i="5"/>
  <c r="Z43" i="5"/>
  <c r="W41" i="5"/>
  <c r="W43" i="5"/>
  <c r="W44" i="5"/>
  <c r="W42" i="5"/>
  <c r="Z34" i="5"/>
  <c r="Z32" i="5"/>
  <c r="Z31" i="5"/>
  <c r="Z33" i="5"/>
  <c r="X33" i="5"/>
  <c r="X34" i="5"/>
  <c r="X32" i="5"/>
  <c r="X31" i="5"/>
  <c r="Y33" i="5"/>
  <c r="Y34" i="5"/>
  <c r="Y32" i="5"/>
  <c r="Y31" i="5"/>
  <c r="W31" i="5"/>
  <c r="W33" i="5"/>
  <c r="W32" i="5"/>
  <c r="W34" i="5"/>
  <c r="X24" i="5"/>
  <c r="X22" i="5"/>
  <c r="X23" i="5"/>
  <c r="X21" i="5"/>
  <c r="Y24" i="5"/>
  <c r="Y22" i="5"/>
  <c r="Y23" i="5"/>
  <c r="Y21" i="5"/>
  <c r="W21" i="5"/>
  <c r="AA21" i="5" s="1"/>
  <c r="AB21" i="5" s="1"/>
  <c r="W24" i="5"/>
  <c r="AA24" i="5" s="1"/>
  <c r="AE21" i="5" s="1"/>
  <c r="W22" i="5"/>
  <c r="AA22" i="5" s="1"/>
  <c r="AC21" i="5" s="1"/>
  <c r="W23" i="5"/>
  <c r="AA23" i="5" s="1"/>
  <c r="AD21" i="5" s="1"/>
  <c r="Z21" i="5"/>
  <c r="Z24" i="5"/>
  <c r="Z22" i="5"/>
  <c r="Z23" i="5"/>
  <c r="K13" i="5"/>
  <c r="L13" i="5" s="1"/>
  <c r="M13" i="5" s="1"/>
  <c r="K12" i="5"/>
  <c r="L12" i="5" s="1"/>
  <c r="M12" i="5" s="1"/>
  <c r="K14" i="5"/>
  <c r="L14" i="5" s="1"/>
  <c r="M14" i="5" s="1"/>
  <c r="K11" i="5"/>
  <c r="L11" i="5" s="1"/>
  <c r="M11" i="5" s="1"/>
  <c r="H15" i="3"/>
  <c r="I15" i="3" s="1"/>
  <c r="K15" i="3" s="1"/>
  <c r="T15" i="3" s="1"/>
  <c r="H8" i="3"/>
  <c r="I8" i="3" s="1"/>
  <c r="K8" i="3" s="1"/>
  <c r="AA8" i="3" s="1"/>
  <c r="H16" i="3"/>
  <c r="I16" i="3" s="1"/>
  <c r="K16" i="3" s="1"/>
  <c r="Z16" i="3" s="1"/>
  <c r="H11" i="3"/>
  <c r="I11" i="3" s="1"/>
  <c r="K11" i="3" s="1"/>
  <c r="AG11" i="3" s="1"/>
  <c r="S25" i="2"/>
  <c r="Z25" i="2" s="1"/>
  <c r="AD25" i="2" s="1"/>
  <c r="I9" i="3"/>
  <c r="K9" i="3" s="1"/>
  <c r="V9" i="3" s="1"/>
  <c r="H12" i="3"/>
  <c r="I12" i="3" s="1"/>
  <c r="K12" i="3" s="1"/>
  <c r="V12" i="3" s="1"/>
  <c r="S24" i="2"/>
  <c r="H13" i="3"/>
  <c r="I13" i="3" s="1"/>
  <c r="K13" i="3" s="1"/>
  <c r="AG13" i="3" s="1"/>
  <c r="S21" i="2"/>
  <c r="S13" i="2"/>
  <c r="S30" i="4"/>
  <c r="V30" i="4" s="1"/>
  <c r="P30" i="4"/>
  <c r="S17" i="2"/>
  <c r="H14" i="3"/>
  <c r="I14" i="3" s="1"/>
  <c r="K14" i="3" s="1"/>
  <c r="L20" i="1"/>
  <c r="S13" i="4"/>
  <c r="V13" i="4" s="1"/>
  <c r="P13" i="4"/>
  <c r="S22" i="2"/>
  <c r="S37" i="4"/>
  <c r="V37" i="4" s="1"/>
  <c r="P37" i="4"/>
  <c r="S22" i="4"/>
  <c r="V22" i="4" s="1"/>
  <c r="P22" i="4"/>
  <c r="S8" i="2"/>
  <c r="S18" i="2"/>
  <c r="S12" i="4"/>
  <c r="P12" i="4"/>
  <c r="S52" i="4"/>
  <c r="V52" i="4" s="1"/>
  <c r="P52" i="4"/>
  <c r="T12" i="4"/>
  <c r="W18" i="4"/>
  <c r="S25" i="4"/>
  <c r="V25" i="4" s="1"/>
  <c r="S34" i="4"/>
  <c r="V34" i="4" s="1"/>
  <c r="P34" i="4"/>
  <c r="W60" i="4"/>
  <c r="W70" i="4"/>
  <c r="X70" i="4"/>
  <c r="BK92" i="4"/>
  <c r="S9" i="2"/>
  <c r="S10" i="2"/>
  <c r="K21" i="1"/>
  <c r="L21" i="1" s="1"/>
  <c r="AB20" i="2"/>
  <c r="V51" i="4"/>
  <c r="V92" i="4"/>
  <c r="X92" i="4" s="1"/>
  <c r="AT92" i="4" s="1"/>
  <c r="J17" i="4"/>
  <c r="T17" i="4"/>
  <c r="T21" i="4"/>
  <c r="S50" i="4"/>
  <c r="P50" i="4"/>
  <c r="W53" i="4"/>
  <c r="J59" i="4"/>
  <c r="T59" i="4"/>
  <c r="AO61" i="4"/>
  <c r="K61" i="4" s="1"/>
  <c r="J61" i="4" s="1"/>
  <c r="U61" i="4"/>
  <c r="AO16" i="4"/>
  <c r="U16" i="4"/>
  <c r="T19" i="4"/>
  <c r="J19" i="4"/>
  <c r="J23" i="4"/>
  <c r="K56" i="4"/>
  <c r="J56" i="4" s="1"/>
  <c r="S16" i="2"/>
  <c r="K26" i="4"/>
  <c r="S27" i="4"/>
  <c r="V27" i="4" s="1"/>
  <c r="P27" i="4"/>
  <c r="W44" i="4"/>
  <c r="X44" i="4"/>
  <c r="S57" i="4"/>
  <c r="V57" i="4" s="1"/>
  <c r="P57" i="4"/>
  <c r="P88" i="4"/>
  <c r="S88" i="4"/>
  <c r="V88" i="4" s="1"/>
  <c r="AU92" i="4"/>
  <c r="X25" i="4"/>
  <c r="W25" i="4"/>
  <c r="BN74" i="4"/>
  <c r="BM74" i="4"/>
  <c r="BL74" i="4"/>
  <c r="S15" i="2"/>
  <c r="K17" i="1"/>
  <c r="L17" i="1" s="1"/>
  <c r="S20" i="2"/>
  <c r="AB22" i="2"/>
  <c r="W33" i="4"/>
  <c r="S35" i="4"/>
  <c r="V35" i="4" s="1"/>
  <c r="P35" i="4"/>
  <c r="P51" i="4"/>
  <c r="BG90" i="4"/>
  <c r="BG41" i="4"/>
  <c r="BG18" i="4"/>
  <c r="BG42" i="4"/>
  <c r="BG20" i="4"/>
  <c r="BG44" i="4"/>
  <c r="W15" i="4"/>
  <c r="X15" i="4" s="1"/>
  <c r="BG16" i="4"/>
  <c r="T26" i="4"/>
  <c r="J26" i="4"/>
  <c r="BG43" i="4"/>
  <c r="W58" i="4"/>
  <c r="AS56" i="4" s="1"/>
  <c r="BN72" i="4"/>
  <c r="BM72" i="4"/>
  <c r="S14" i="2"/>
  <c r="S19" i="2"/>
  <c r="K16" i="4"/>
  <c r="J16" i="4" s="1"/>
  <c r="S28" i="4"/>
  <c r="V28" i="4" s="1"/>
  <c r="P28" i="4"/>
  <c r="S60" i="4"/>
  <c r="V60" i="4" s="1"/>
  <c r="X60" i="4" s="1"/>
  <c r="S11" i="2"/>
  <c r="S12" i="2"/>
  <c r="K20" i="1"/>
  <c r="AB17" i="2"/>
  <c r="S23" i="2"/>
  <c r="K11" i="4"/>
  <c r="J11" i="4" s="1"/>
  <c r="P14" i="4"/>
  <c r="S18" i="4"/>
  <c r="V18" i="4" s="1"/>
  <c r="X18" i="4" s="1"/>
  <c r="P20" i="4"/>
  <c r="K31" i="4"/>
  <c r="AO46" i="4"/>
  <c r="U46" i="4"/>
  <c r="J47" i="4"/>
  <c r="T47" i="4"/>
  <c r="S63" i="4"/>
  <c r="V63" i="4" s="1"/>
  <c r="P63" i="4"/>
  <c r="BG17" i="4"/>
  <c r="BG19" i="4"/>
  <c r="P29" i="4"/>
  <c r="S29" i="4"/>
  <c r="V29" i="4" s="1"/>
  <c r="AO36" i="4"/>
  <c r="K36" i="4" s="1"/>
  <c r="J36" i="4" s="1"/>
  <c r="P38" i="4"/>
  <c r="S55" i="4"/>
  <c r="V55" i="4" s="1"/>
  <c r="P55" i="4"/>
  <c r="BK73" i="4"/>
  <c r="BJ73" i="4"/>
  <c r="AB21" i="2"/>
  <c r="H10" i="3"/>
  <c r="I10" i="3" s="1"/>
  <c r="K10" i="3" s="1"/>
  <c r="H17" i="3"/>
  <c r="I17" i="3" s="1"/>
  <c r="K17" i="3" s="1"/>
  <c r="K41" i="4"/>
  <c r="P48" i="4"/>
  <c r="S48" i="4"/>
  <c r="V48" i="4" s="1"/>
  <c r="AU66" i="4"/>
  <c r="BJ96" i="4"/>
  <c r="T23" i="4"/>
  <c r="J32" i="4"/>
  <c r="T32" i="4"/>
  <c r="J41" i="4"/>
  <c r="S42" i="4"/>
  <c r="V42" i="4" s="1"/>
  <c r="P42" i="4"/>
  <c r="BG45" i="4"/>
  <c r="AS66" i="4"/>
  <c r="J39" i="4"/>
  <c r="T43" i="4"/>
  <c r="V45" i="4"/>
  <c r="X45" i="4" s="1"/>
  <c r="J54" i="4"/>
  <c r="V70" i="4"/>
  <c r="S62" i="4"/>
  <c r="V62" i="4" s="1"/>
  <c r="P62" i="4"/>
  <c r="BG34" i="4"/>
  <c r="J43" i="4"/>
  <c r="K46" i="4"/>
  <c r="J46" i="4" s="1"/>
  <c r="BG49" i="4"/>
  <c r="BG50" i="4" s="1"/>
  <c r="BG58" i="4"/>
  <c r="BG27" i="4"/>
  <c r="J31" i="4"/>
  <c r="T33" i="4"/>
  <c r="V33" i="4" s="1"/>
  <c r="X33" i="4" s="1"/>
  <c r="BG38" i="4"/>
  <c r="P64" i="4"/>
  <c r="K86" i="4"/>
  <c r="X96" i="4"/>
  <c r="Y21" i="4"/>
  <c r="BG22" i="4"/>
  <c r="BG23" i="4"/>
  <c r="BG25" i="4"/>
  <c r="BS92" i="4"/>
  <c r="BS56" i="4"/>
  <c r="J86" i="4"/>
  <c r="P90" i="4"/>
  <c r="BG53" i="4"/>
  <c r="BG63" i="4"/>
  <c r="BG39" i="4"/>
  <c r="BG32" i="4"/>
  <c r="BG35" i="4" s="1"/>
  <c r="BG89" i="4"/>
  <c r="BG21" i="4"/>
  <c r="T39" i="4"/>
  <c r="J40" i="4"/>
  <c r="J49" i="4"/>
  <c r="T54" i="4"/>
  <c r="Y66" i="4"/>
  <c r="K66" i="4" s="1"/>
  <c r="J66" i="4" s="1"/>
  <c r="BG95" i="4"/>
  <c r="BG69" i="4"/>
  <c r="BG75" i="4"/>
  <c r="BJ71" i="4"/>
  <c r="T28" i="4"/>
  <c r="BG37" i="4"/>
  <c r="T50" i="4"/>
  <c r="BG57" i="4"/>
  <c r="BG60" i="4" s="1"/>
  <c r="BG62" i="4"/>
  <c r="BG65" i="4" s="1"/>
  <c r="BG96" i="4"/>
  <c r="BK93" i="4"/>
  <c r="BG11" i="4"/>
  <c r="BG15" i="4" s="1"/>
  <c r="J24" i="4"/>
  <c r="BG24" i="4"/>
  <c r="BG33" i="4"/>
  <c r="BG36" i="4"/>
  <c r="BG40" i="4" s="1"/>
  <c r="BG51" i="4"/>
  <c r="BG52" i="4"/>
  <c r="BG64" i="4"/>
  <c r="BG66" i="4"/>
  <c r="S87" i="4"/>
  <c r="V87" i="4" s="1"/>
  <c r="X87" i="4" s="1"/>
  <c r="T89" i="4"/>
  <c r="J89" i="4"/>
  <c r="BJ94" i="4"/>
  <c r="BJ95" i="4"/>
  <c r="BJ92" i="4"/>
  <c r="BJ93" i="4"/>
  <c r="AA62" i="5" l="1"/>
  <c r="AC61" i="5" s="1"/>
  <c r="AA64" i="5"/>
  <c r="AE61" i="5" s="1"/>
  <c r="AA63" i="5"/>
  <c r="AD61" i="5" s="1"/>
  <c r="AA61" i="5"/>
  <c r="AB61" i="5" s="1"/>
  <c r="AA53" i="5"/>
  <c r="AD51" i="5" s="1"/>
  <c r="AA54" i="5"/>
  <c r="AE51" i="5" s="1"/>
  <c r="AA52" i="5"/>
  <c r="AC51" i="5" s="1"/>
  <c r="AA51" i="5"/>
  <c r="AB51" i="5" s="1"/>
  <c r="AA44" i="5"/>
  <c r="AE41" i="5" s="1"/>
  <c r="AA42" i="5"/>
  <c r="AC41" i="5" s="1"/>
  <c r="AA43" i="5"/>
  <c r="AD41" i="5" s="1"/>
  <c r="AA41" i="5"/>
  <c r="AB41" i="5" s="1"/>
  <c r="AA34" i="5"/>
  <c r="AE31" i="5" s="1"/>
  <c r="AA32" i="5"/>
  <c r="AC31" i="5" s="1"/>
  <c r="AA33" i="5"/>
  <c r="AD31" i="5" s="1"/>
  <c r="AA31" i="5"/>
  <c r="AB31" i="5" s="1"/>
  <c r="AJ22" i="5"/>
  <c r="AJ21" i="5"/>
  <c r="AJ23" i="5"/>
  <c r="AJ25" i="5"/>
  <c r="AP25" i="5" s="1"/>
  <c r="AJ24" i="5"/>
  <c r="AD24" i="5"/>
  <c r="W11" i="5"/>
  <c r="R16" i="3"/>
  <c r="S16" i="3"/>
  <c r="T16" i="3"/>
  <c r="AA16" i="3"/>
  <c r="Z8" i="3"/>
  <c r="AH11" i="3"/>
  <c r="R11" i="3"/>
  <c r="AA11" i="3"/>
  <c r="U16" i="3"/>
  <c r="S11" i="3"/>
  <c r="V16" i="3"/>
  <c r="AG16" i="3"/>
  <c r="V11" i="3"/>
  <c r="AH16" i="3"/>
  <c r="Z11" i="3"/>
  <c r="AH13" i="3"/>
  <c r="U11" i="3"/>
  <c r="R13" i="3"/>
  <c r="AA9" i="3"/>
  <c r="Y25" i="2"/>
  <c r="AC25" i="2" s="1"/>
  <c r="R9" i="3"/>
  <c r="Z13" i="3"/>
  <c r="S8" i="3"/>
  <c r="U9" i="3"/>
  <c r="S9" i="3"/>
  <c r="R8" i="3"/>
  <c r="AG9" i="3"/>
  <c r="T9" i="3"/>
  <c r="T8" i="3"/>
  <c r="T11" i="3"/>
  <c r="AB9" i="3" a="1"/>
  <c r="AB9" i="3" s="1"/>
  <c r="Y24" i="2"/>
  <c r="AC24" i="2" s="1"/>
  <c r="V13" i="3"/>
  <c r="AA13" i="3"/>
  <c r="V15" i="3"/>
  <c r="AH12" i="3"/>
  <c r="S12" i="3"/>
  <c r="U12" i="3"/>
  <c r="AA12" i="3"/>
  <c r="Z12" i="3"/>
  <c r="AG12" i="3"/>
  <c r="R12" i="3"/>
  <c r="T12" i="3"/>
  <c r="S15" i="3"/>
  <c r="U8" i="3"/>
  <c r="AA15" i="3"/>
  <c r="Z15" i="3"/>
  <c r="AG8" i="3"/>
  <c r="R15" i="3"/>
  <c r="AH9" i="3"/>
  <c r="AH8" i="3"/>
  <c r="AG15" i="3"/>
  <c r="V8" i="3"/>
  <c r="AH15" i="3"/>
  <c r="U15" i="3"/>
  <c r="Z9" i="3"/>
  <c r="S13" i="3"/>
  <c r="T13" i="3"/>
  <c r="U13" i="3"/>
  <c r="S61" i="4"/>
  <c r="V61" i="4" s="1"/>
  <c r="P61" i="4"/>
  <c r="P36" i="4"/>
  <c r="S36" i="4"/>
  <c r="V36" i="4" s="1"/>
  <c r="S11" i="4"/>
  <c r="V11" i="4" s="1"/>
  <c r="P11" i="4"/>
  <c r="S56" i="4"/>
  <c r="V56" i="4" s="1"/>
  <c r="P56" i="4"/>
  <c r="S46" i="4"/>
  <c r="V46" i="4" s="1"/>
  <c r="P46" i="4"/>
  <c r="Z10" i="2"/>
  <c r="AD10" i="2" s="1"/>
  <c r="Y10" i="2"/>
  <c r="AC10" i="2" s="1"/>
  <c r="W64" i="4"/>
  <c r="X64" i="4"/>
  <c r="Z16" i="2"/>
  <c r="AD16" i="2" s="1"/>
  <c r="Y16" i="2"/>
  <c r="AC16" i="2" s="1"/>
  <c r="P17" i="4"/>
  <c r="S17" i="4"/>
  <c r="V17" i="4" s="1"/>
  <c r="Z9" i="2"/>
  <c r="AD9" i="2" s="1"/>
  <c r="Y9" i="2"/>
  <c r="AC9" i="2" s="1"/>
  <c r="W90" i="4"/>
  <c r="X90" i="4" s="1"/>
  <c r="BN92" i="4"/>
  <c r="BM92" i="4"/>
  <c r="S39" i="4"/>
  <c r="V39" i="4" s="1"/>
  <c r="P39" i="4"/>
  <c r="W29" i="4"/>
  <c r="X29" i="4"/>
  <c r="W20" i="4"/>
  <c r="X20" i="4" s="1"/>
  <c r="AU16" i="4" s="1"/>
  <c r="W27" i="4"/>
  <c r="X27" i="4" s="1"/>
  <c r="W37" i="4"/>
  <c r="X37" i="4"/>
  <c r="BM93" i="4"/>
  <c r="BN93" i="4"/>
  <c r="S19" i="4"/>
  <c r="V19" i="4" s="1"/>
  <c r="P19" i="4"/>
  <c r="S59" i="4"/>
  <c r="V59" i="4" s="1"/>
  <c r="P59" i="4"/>
  <c r="X52" i="4"/>
  <c r="W52" i="4"/>
  <c r="Y18" i="2"/>
  <c r="AC18" i="2" s="1"/>
  <c r="Z18" i="2"/>
  <c r="AD18" i="2" s="1"/>
  <c r="W13" i="4"/>
  <c r="AS11" i="4" s="1"/>
  <c r="S17" i="3"/>
  <c r="R17" i="3"/>
  <c r="AA17" i="3"/>
  <c r="Z17" i="3"/>
  <c r="AH17" i="3"/>
  <c r="AG17" i="3"/>
  <c r="U17" i="3"/>
  <c r="V17" i="3"/>
  <c r="T17" i="3"/>
  <c r="AS51" i="4"/>
  <c r="Z8" i="2"/>
  <c r="AD8" i="2" s="1"/>
  <c r="Y8" i="2"/>
  <c r="AC8" i="2" s="1"/>
  <c r="S89" i="4"/>
  <c r="V89" i="4" s="1"/>
  <c r="P89" i="4"/>
  <c r="P24" i="4"/>
  <c r="S24" i="4"/>
  <c r="V24" i="4" s="1"/>
  <c r="W42" i="4"/>
  <c r="X42" i="4" s="1"/>
  <c r="W48" i="4"/>
  <c r="BM73" i="4"/>
  <c r="BN73" i="4"/>
  <c r="W51" i="4"/>
  <c r="Z20" i="2"/>
  <c r="AD20" i="2" s="1"/>
  <c r="Y20" i="2"/>
  <c r="AC20" i="2" s="1"/>
  <c r="X53" i="4"/>
  <c r="X12" i="4"/>
  <c r="W12" i="4"/>
  <c r="Y23" i="2"/>
  <c r="AC23" i="2" s="1"/>
  <c r="Z23" i="2"/>
  <c r="AD23" i="2" s="1"/>
  <c r="V12" i="4"/>
  <c r="W22" i="4"/>
  <c r="X22" i="4" s="1"/>
  <c r="S26" i="4"/>
  <c r="V26" i="4" s="1"/>
  <c r="P26" i="4"/>
  <c r="X62" i="4"/>
  <c r="W62" i="4"/>
  <c r="Z15" i="2"/>
  <c r="AD15" i="2" s="1"/>
  <c r="Y15" i="2"/>
  <c r="AC15" i="2" s="1"/>
  <c r="V50" i="4"/>
  <c r="S40" i="4"/>
  <c r="V40" i="4" s="1"/>
  <c r="P40" i="4"/>
  <c r="X63" i="4"/>
  <c r="AU61" i="4" s="1"/>
  <c r="W63" i="4"/>
  <c r="AS61" i="4" s="1"/>
  <c r="P16" i="4"/>
  <c r="S16" i="4"/>
  <c r="V16" i="4" s="1"/>
  <c r="W35" i="4"/>
  <c r="X35" i="4" s="1"/>
  <c r="AU31" i="4" s="1"/>
  <c r="W50" i="4"/>
  <c r="X50" i="4" s="1"/>
  <c r="BK95" i="4"/>
  <c r="BL95" i="4" s="1"/>
  <c r="BK94" i="4"/>
  <c r="BN71" i="4"/>
  <c r="BM71" i="4"/>
  <c r="BP71" i="4" s="1"/>
  <c r="BT71" i="4" s="1"/>
  <c r="P31" i="4"/>
  <c r="S31" i="4"/>
  <c r="V31" i="4" s="1"/>
  <c r="S41" i="4"/>
  <c r="V41" i="4" s="1"/>
  <c r="P41" i="4"/>
  <c r="BG70" i="4"/>
  <c r="BK96" i="4"/>
  <c r="BK75" i="4"/>
  <c r="BJ75" i="4"/>
  <c r="W55" i="4"/>
  <c r="X55" i="4" s="1"/>
  <c r="W88" i="4"/>
  <c r="AS86" i="4" s="1"/>
  <c r="W34" i="4"/>
  <c r="X34" i="4" s="1"/>
  <c r="S14" i="3"/>
  <c r="R14" i="3"/>
  <c r="AA14" i="3"/>
  <c r="Z14" i="3"/>
  <c r="AG14" i="3"/>
  <c r="V14" i="3"/>
  <c r="U14" i="3"/>
  <c r="T14" i="3"/>
  <c r="AH14" i="3"/>
  <c r="Y13" i="2"/>
  <c r="AC13" i="2" s="1"/>
  <c r="Z13" i="2"/>
  <c r="AD13" i="2" s="1"/>
  <c r="S47" i="4"/>
  <c r="V47" i="4" s="1"/>
  <c r="P47" i="4"/>
  <c r="Z19" i="2"/>
  <c r="AD19" i="2" s="1"/>
  <c r="Y19" i="2"/>
  <c r="AC19" i="2" s="1"/>
  <c r="W57" i="4"/>
  <c r="X57" i="4" s="1"/>
  <c r="Y17" i="2"/>
  <c r="AC17" i="2" s="1"/>
  <c r="Z17" i="2"/>
  <c r="AD17" i="2" s="1"/>
  <c r="AA10" i="3"/>
  <c r="Z10" i="3"/>
  <c r="AH10" i="3"/>
  <c r="W10" i="3"/>
  <c r="V10" i="3"/>
  <c r="U10" i="3"/>
  <c r="AG10" i="3"/>
  <c r="T10" i="3"/>
  <c r="S10" i="3"/>
  <c r="R10" i="3"/>
  <c r="W14" i="4"/>
  <c r="X14" i="4" s="1"/>
  <c r="P86" i="4"/>
  <c r="S86" i="4"/>
  <c r="V86" i="4" s="1"/>
  <c r="S43" i="4"/>
  <c r="V43" i="4" s="1"/>
  <c r="P43" i="4"/>
  <c r="K21" i="4"/>
  <c r="J21" i="4" s="1"/>
  <c r="S54" i="4"/>
  <c r="V54" i="4" s="1"/>
  <c r="P54" i="4"/>
  <c r="S32" i="4"/>
  <c r="V32" i="4" s="1"/>
  <c r="P32" i="4"/>
  <c r="W38" i="4"/>
  <c r="Y12" i="2"/>
  <c r="AC12" i="2" s="1"/>
  <c r="Z12" i="2"/>
  <c r="AD12" i="2" s="1"/>
  <c r="Y14" i="2"/>
  <c r="AC14" i="2" s="1"/>
  <c r="Z14" i="2"/>
  <c r="AD14" i="2" s="1"/>
  <c r="Z24" i="2"/>
  <c r="AD24" i="2" s="1"/>
  <c r="AF24" i="2" s="1"/>
  <c r="Y22" i="2"/>
  <c r="AC22" i="2" s="1"/>
  <c r="Z22" i="2"/>
  <c r="AD22" i="2" s="1"/>
  <c r="Z21" i="2"/>
  <c r="AD21" i="2" s="1"/>
  <c r="Y21" i="2"/>
  <c r="AC21" i="2" s="1"/>
  <c r="X58" i="4"/>
  <c r="AU56" i="4" s="1"/>
  <c r="P23" i="4"/>
  <c r="S23" i="4"/>
  <c r="V23" i="4" s="1"/>
  <c r="BN94" i="4"/>
  <c r="BM94" i="4"/>
  <c r="W28" i="4"/>
  <c r="AS26" i="4" s="1"/>
  <c r="S49" i="4"/>
  <c r="V49" i="4" s="1"/>
  <c r="P49" i="4"/>
  <c r="BG55" i="4"/>
  <c r="S66" i="4"/>
  <c r="V66" i="4" s="1"/>
  <c r="P66" i="4"/>
  <c r="Y11" i="2"/>
  <c r="AC11" i="2" s="1"/>
  <c r="Z11" i="2"/>
  <c r="AD11" i="2" s="1"/>
  <c r="W30" i="4"/>
  <c r="X30" i="4"/>
  <c r="AJ62" i="5" l="1"/>
  <c r="AJ64" i="5"/>
  <c r="AD64" i="5"/>
  <c r="AJ61" i="5"/>
  <c r="AJ63" i="5"/>
  <c r="AJ65" i="5"/>
  <c r="AP65" i="5" s="1"/>
  <c r="AJ52" i="5"/>
  <c r="AJ54" i="5"/>
  <c r="AD54" i="5"/>
  <c r="AJ51" i="5"/>
  <c r="AJ53" i="5"/>
  <c r="AJ55" i="5"/>
  <c r="AP55" i="5" s="1"/>
  <c r="AJ44" i="5"/>
  <c r="AD44" i="5"/>
  <c r="AJ41" i="5"/>
  <c r="AJ43" i="5"/>
  <c r="AJ45" i="5"/>
  <c r="AP45" i="5" s="1"/>
  <c r="AJ42" i="5"/>
  <c r="AJ31" i="5"/>
  <c r="AJ35" i="5"/>
  <c r="AP35" i="5" s="1"/>
  <c r="AJ34" i="5"/>
  <c r="AD34" i="5"/>
  <c r="AJ32" i="5"/>
  <c r="AJ33" i="5"/>
  <c r="AQ24" i="5"/>
  <c r="AP24" i="5"/>
  <c r="AJ26" i="5"/>
  <c r="AO21" i="5"/>
  <c r="AP21" i="5" s="1"/>
  <c r="AR21" i="5" s="1"/>
  <c r="AV21" i="5" s="1"/>
  <c r="AQ21" i="5"/>
  <c r="AQ23" i="5"/>
  <c r="AP23" i="5"/>
  <c r="AP22" i="5"/>
  <c r="AQ22" i="5"/>
  <c r="AB8" i="3" a="1"/>
  <c r="AB8" i="3" s="1"/>
  <c r="W8" i="3" s="1"/>
  <c r="X8" i="3" s="1"/>
  <c r="AC8" i="3" s="1"/>
  <c r="AA13" i="5"/>
  <c r="AD11" i="5" s="1"/>
  <c r="AB11" i="5"/>
  <c r="AA14" i="5"/>
  <c r="AE11" i="5" s="1"/>
  <c r="AA12" i="5"/>
  <c r="AC11" i="5" s="1"/>
  <c r="AD16" i="3"/>
  <c r="W11" i="3"/>
  <c r="X11" i="3" s="1"/>
  <c r="AC11" i="3" s="1"/>
  <c r="AD11" i="3"/>
  <c r="AE24" i="2"/>
  <c r="AD13" i="3"/>
  <c r="W16" i="3"/>
  <c r="X16" i="3" s="1"/>
  <c r="AC16" i="3" s="1"/>
  <c r="W9" i="3"/>
  <c r="X9" i="3" s="1"/>
  <c r="AC9" i="3" s="1"/>
  <c r="W13" i="3"/>
  <c r="X13" i="3" s="1"/>
  <c r="AC13" i="3" s="1"/>
  <c r="AD15" i="3"/>
  <c r="AD9" i="3"/>
  <c r="AE18" i="2"/>
  <c r="W15" i="3"/>
  <c r="X15" i="3" s="1"/>
  <c r="AC15" i="3" s="1"/>
  <c r="AD12" i="3"/>
  <c r="W12" i="3"/>
  <c r="X12" i="3" s="1"/>
  <c r="AC12" i="3" s="1"/>
  <c r="W17" i="3"/>
  <c r="X17" i="3" s="1"/>
  <c r="AC17" i="3" s="1"/>
  <c r="AD10" i="3"/>
  <c r="AE8" i="2"/>
  <c r="W14" i="3"/>
  <c r="X14" i="3" s="1"/>
  <c r="AC14" i="3" s="1"/>
  <c r="AF20" i="2"/>
  <c r="AD14" i="3"/>
  <c r="AF22" i="2"/>
  <c r="AE22" i="2"/>
  <c r="AE20" i="2"/>
  <c r="AE14" i="2"/>
  <c r="AD17" i="3"/>
  <c r="AF14" i="2"/>
  <c r="AF12" i="2"/>
  <c r="W46" i="4"/>
  <c r="AR46" i="4" s="1"/>
  <c r="AE12" i="2"/>
  <c r="W86" i="4"/>
  <c r="AR86" i="4" s="1"/>
  <c r="X86" i="4"/>
  <c r="W49" i="4"/>
  <c r="X49" i="4" s="1"/>
  <c r="AS31" i="4"/>
  <c r="BQ71" i="4"/>
  <c r="BU71" i="4" s="1"/>
  <c r="S21" i="4"/>
  <c r="V21" i="4" s="1"/>
  <c r="P21" i="4"/>
  <c r="W19" i="4"/>
  <c r="X19" i="4"/>
  <c r="W36" i="4"/>
  <c r="AR36" i="4" s="1"/>
  <c r="X36" i="4"/>
  <c r="W43" i="4"/>
  <c r="AS41" i="4" s="1"/>
  <c r="W39" i="4"/>
  <c r="X39" i="4" s="1"/>
  <c r="X17" i="4"/>
  <c r="W17" i="4"/>
  <c r="AU51" i="4"/>
  <c r="X24" i="4"/>
  <c r="W24" i="4"/>
  <c r="AE16" i="2"/>
  <c r="X89" i="4"/>
  <c r="W89" i="4"/>
  <c r="AF16" i="2"/>
  <c r="W56" i="4"/>
  <c r="AR56" i="4" s="1"/>
  <c r="W61" i="4"/>
  <c r="AR61" i="4" s="1"/>
  <c r="X28" i="4"/>
  <c r="AU26" i="4" s="1"/>
  <c r="X13" i="4"/>
  <c r="AU11" i="4" s="1"/>
  <c r="W26" i="4"/>
  <c r="AR26" i="4" s="1"/>
  <c r="W23" i="4"/>
  <c r="AS21" i="4" s="1"/>
  <c r="X38" i="4"/>
  <c r="W41" i="4"/>
  <c r="AR41" i="4" s="1"/>
  <c r="X51" i="4"/>
  <c r="AF8" i="2"/>
  <c r="AF18" i="2"/>
  <c r="AS16" i="4"/>
  <c r="W16" i="4"/>
  <c r="AR16" i="4" s="1"/>
  <c r="AE10" i="2"/>
  <c r="W32" i="4"/>
  <c r="X32" i="4"/>
  <c r="W66" i="4"/>
  <c r="AR66" i="4" s="1"/>
  <c r="W47" i="4"/>
  <c r="X47" i="4"/>
  <c r="BN95" i="4"/>
  <c r="BQ92" i="4" s="1"/>
  <c r="BU92" i="4" s="1"/>
  <c r="AF10" i="2"/>
  <c r="X54" i="4"/>
  <c r="W54" i="4"/>
  <c r="AR51" i="4" s="1"/>
  <c r="AS46" i="4"/>
  <c r="BM95" i="4"/>
  <c r="BP92" i="4" s="1"/>
  <c r="BT92" i="4" s="1"/>
  <c r="W11" i="4"/>
  <c r="AR11" i="4" s="1"/>
  <c r="X11" i="4"/>
  <c r="AT11" i="4" s="1"/>
  <c r="W31" i="4"/>
  <c r="X88" i="4"/>
  <c r="AU86" i="4" s="1"/>
  <c r="W40" i="4"/>
  <c r="AS36" i="4" s="1"/>
  <c r="X48" i="4"/>
  <c r="AU46" i="4" s="1"/>
  <c r="X59" i="4"/>
  <c r="W59" i="4"/>
  <c r="AQ63" i="5" l="1"/>
  <c r="AP63" i="5"/>
  <c r="AJ66" i="5"/>
  <c r="AO61" i="5"/>
  <c r="AQ61" i="5" s="1"/>
  <c r="AP61" i="5"/>
  <c r="AQ64" i="5"/>
  <c r="AP64" i="5"/>
  <c r="AP62" i="5"/>
  <c r="AQ62" i="5"/>
  <c r="AQ53" i="5"/>
  <c r="AP53" i="5"/>
  <c r="AJ56" i="5"/>
  <c r="AO51" i="5"/>
  <c r="AP51" i="5" s="1"/>
  <c r="AQ54" i="5"/>
  <c r="AP54" i="5"/>
  <c r="AP52" i="5"/>
  <c r="AQ52" i="5"/>
  <c r="AQ42" i="5"/>
  <c r="AP42" i="5"/>
  <c r="AJ46" i="5"/>
  <c r="AO41" i="5"/>
  <c r="AQ41" i="5"/>
  <c r="AP41" i="5"/>
  <c r="AQ43" i="5"/>
  <c r="AP43" i="5"/>
  <c r="AQ44" i="5"/>
  <c r="AP44" i="5"/>
  <c r="AQ33" i="5"/>
  <c r="AP33" i="5"/>
  <c r="AQ34" i="5"/>
  <c r="AP34" i="5"/>
  <c r="AP32" i="5"/>
  <c r="AQ32" i="5"/>
  <c r="AJ36" i="5"/>
  <c r="AO31" i="5"/>
  <c r="AP31" i="5" s="1"/>
  <c r="AR31" i="5" s="1"/>
  <c r="AV31" i="5" s="1"/>
  <c r="AQ31" i="5"/>
  <c r="AS31" i="5" s="1"/>
  <c r="AW31" i="5" s="1"/>
  <c r="AS21" i="5"/>
  <c r="AW21" i="5" s="1"/>
  <c r="AD14" i="5"/>
  <c r="X10" i="3"/>
  <c r="AC10" i="3" s="1"/>
  <c r="AD8" i="3"/>
  <c r="AJ14" i="5"/>
  <c r="AJ13" i="5"/>
  <c r="AJ15" i="5"/>
  <c r="AP15" i="5" s="1"/>
  <c r="AJ11" i="5"/>
  <c r="AJ12" i="5"/>
  <c r="AJ8" i="3"/>
  <c r="AI11" i="3"/>
  <c r="AJ11" i="3"/>
  <c r="AJ13" i="3"/>
  <c r="AI16" i="3"/>
  <c r="AJ16" i="3"/>
  <c r="AJ12" i="3"/>
  <c r="AI9" i="3"/>
  <c r="AJ9" i="3"/>
  <c r="AI13" i="3"/>
  <c r="AI15" i="3"/>
  <c r="AJ15" i="3"/>
  <c r="AI12" i="3"/>
  <c r="AJ14" i="3"/>
  <c r="AI8" i="3"/>
  <c r="AI14" i="3"/>
  <c r="AI17" i="3"/>
  <c r="BJ52" i="4"/>
  <c r="BJ51" i="4"/>
  <c r="BJ55" i="4"/>
  <c r="BJ53" i="4"/>
  <c r="BJ54" i="4"/>
  <c r="AT86" i="4"/>
  <c r="BJ47" i="4"/>
  <c r="BJ49" i="4"/>
  <c r="BJ46" i="4"/>
  <c r="BJ50" i="4"/>
  <c r="BJ48" i="4"/>
  <c r="X46" i="4"/>
  <c r="AT46" i="4" s="1"/>
  <c r="BJ89" i="4"/>
  <c r="BJ90" i="4"/>
  <c r="BJ86" i="4"/>
  <c r="BJ88" i="4"/>
  <c r="BJ87" i="4"/>
  <c r="BJ57" i="4"/>
  <c r="BJ56" i="4"/>
  <c r="BJ58" i="4"/>
  <c r="BJ60" i="4"/>
  <c r="BJ59" i="4"/>
  <c r="BJ37" i="4"/>
  <c r="BJ40" i="4"/>
  <c r="BJ39" i="4"/>
  <c r="BJ36" i="4"/>
  <c r="BJ38" i="4"/>
  <c r="BJ20" i="4"/>
  <c r="BJ16" i="4"/>
  <c r="BJ19" i="4"/>
  <c r="BJ17" i="4"/>
  <c r="BJ18" i="4"/>
  <c r="AJ17" i="3"/>
  <c r="AU36" i="4"/>
  <c r="X61" i="4"/>
  <c r="AT61" i="4" s="1"/>
  <c r="AT36" i="4"/>
  <c r="X23" i="4"/>
  <c r="AU21" i="4" s="1"/>
  <c r="X40" i="4"/>
  <c r="X56" i="4"/>
  <c r="AT56" i="4" s="1"/>
  <c r="AR31" i="4"/>
  <c r="X16" i="4"/>
  <c r="AT16" i="4" s="1"/>
  <c r="X31" i="4"/>
  <c r="AT31" i="4" s="1"/>
  <c r="BJ28" i="4"/>
  <c r="BJ29" i="4"/>
  <c r="BJ30" i="4"/>
  <c r="BJ26" i="4"/>
  <c r="BJ27" i="4"/>
  <c r="W21" i="4"/>
  <c r="AR21" i="4" s="1"/>
  <c r="X26" i="4"/>
  <c r="AT26" i="4" s="1"/>
  <c r="BJ63" i="4"/>
  <c r="BJ62" i="4"/>
  <c r="BJ64" i="4"/>
  <c r="BJ61" i="4"/>
  <c r="BJ65" i="4"/>
  <c r="BK14" i="4"/>
  <c r="BL14" i="4" s="1"/>
  <c r="BK15" i="4"/>
  <c r="BK12" i="4"/>
  <c r="BK11" i="4"/>
  <c r="BK13" i="4"/>
  <c r="AT51" i="4"/>
  <c r="BJ41" i="4"/>
  <c r="BJ42" i="4"/>
  <c r="BJ43" i="4"/>
  <c r="BJ45" i="4"/>
  <c r="BJ44" i="4"/>
  <c r="BJ14" i="4"/>
  <c r="BJ15" i="4"/>
  <c r="BJ12" i="4"/>
  <c r="BJ13" i="4"/>
  <c r="BJ11" i="4"/>
  <c r="BJ69" i="4"/>
  <c r="BJ70" i="4"/>
  <c r="BJ67" i="4"/>
  <c r="BJ68" i="4"/>
  <c r="BJ66" i="4"/>
  <c r="X66" i="4"/>
  <c r="AT66" i="4" s="1"/>
  <c r="X41" i="4"/>
  <c r="AT41" i="4" s="1"/>
  <c r="X43" i="4"/>
  <c r="AU41" i="4" s="1"/>
  <c r="AS61" i="5" l="1"/>
  <c r="AW61" i="5" s="1"/>
  <c r="AR61" i="5"/>
  <c r="AV61" i="5" s="1"/>
  <c r="AR51" i="5"/>
  <c r="AV51" i="5" s="1"/>
  <c r="AQ51" i="5"/>
  <c r="AS51" i="5" s="1"/>
  <c r="AW51" i="5" s="1"/>
  <c r="AS41" i="5"/>
  <c r="AW41" i="5" s="1"/>
  <c r="AR41" i="5"/>
  <c r="AV41" i="5" s="1"/>
  <c r="AI10" i="3"/>
  <c r="AJ10" i="3"/>
  <c r="AQ12" i="5"/>
  <c r="AO11" i="5"/>
  <c r="AQ11" i="5" s="1"/>
  <c r="AQ13" i="5"/>
  <c r="AQ14" i="5"/>
  <c r="AJ16" i="5"/>
  <c r="BK55" i="4"/>
  <c r="BK52" i="4"/>
  <c r="BK51" i="4"/>
  <c r="BK53" i="4"/>
  <c r="BN53" i="4" s="1"/>
  <c r="BK54" i="4"/>
  <c r="BL54" i="4" s="1"/>
  <c r="BK90" i="4"/>
  <c r="BK86" i="4"/>
  <c r="BM86" i="4" s="1"/>
  <c r="BK89" i="4"/>
  <c r="BL89" i="4" s="1"/>
  <c r="BK87" i="4"/>
  <c r="BK88" i="4"/>
  <c r="BK41" i="4"/>
  <c r="BN41" i="4" s="1"/>
  <c r="BK45" i="4"/>
  <c r="BK42" i="4"/>
  <c r="BK43" i="4"/>
  <c r="BK44" i="4"/>
  <c r="BL44" i="4" s="1"/>
  <c r="BN43" i="4"/>
  <c r="BM43" i="4"/>
  <c r="BK70" i="4"/>
  <c r="BK67" i="4"/>
  <c r="BK69" i="4"/>
  <c r="BL69" i="4" s="1"/>
  <c r="BK68" i="4"/>
  <c r="BM68" i="4" s="1"/>
  <c r="BK66" i="4"/>
  <c r="BN66" i="4" s="1"/>
  <c r="BN47" i="4"/>
  <c r="BM47" i="4"/>
  <c r="BN16" i="4"/>
  <c r="BM16" i="4"/>
  <c r="BN11" i="4"/>
  <c r="BM11" i="4"/>
  <c r="BK64" i="4"/>
  <c r="BL64" i="4" s="1"/>
  <c r="BK63" i="4"/>
  <c r="BN63" i="4" s="1"/>
  <c r="BK62" i="4"/>
  <c r="BN62" i="4" s="1"/>
  <c r="BK65" i="4"/>
  <c r="BK61" i="4"/>
  <c r="BK33" i="4"/>
  <c r="BK32" i="4"/>
  <c r="BK34" i="4"/>
  <c r="BL34" i="4" s="1"/>
  <c r="BK35" i="4"/>
  <c r="BK31" i="4"/>
  <c r="BN42" i="4"/>
  <c r="BM42" i="4"/>
  <c r="BN17" i="4"/>
  <c r="BM17" i="4"/>
  <c r="BN67" i="4"/>
  <c r="BM67" i="4"/>
  <c r="BJ34" i="4"/>
  <c r="BJ32" i="4"/>
  <c r="BJ35" i="4"/>
  <c r="BJ31" i="4"/>
  <c r="BJ33" i="4"/>
  <c r="BK59" i="4"/>
  <c r="BL59" i="4" s="1"/>
  <c r="BK57" i="4"/>
  <c r="BN57" i="4" s="1"/>
  <c r="BK56" i="4"/>
  <c r="BK58" i="4"/>
  <c r="BN58" i="4" s="1"/>
  <c r="BK60" i="4"/>
  <c r="BM87" i="4"/>
  <c r="BN87" i="4"/>
  <c r="X21" i="4"/>
  <c r="AT21" i="4" s="1"/>
  <c r="BN86" i="4"/>
  <c r="BN51" i="4"/>
  <c r="BM51" i="4"/>
  <c r="BN59" i="4"/>
  <c r="BN61" i="4"/>
  <c r="BM61" i="4"/>
  <c r="BK20" i="4"/>
  <c r="BK17" i="4"/>
  <c r="BK16" i="4"/>
  <c r="BK18" i="4"/>
  <c r="BN18" i="4" s="1"/>
  <c r="BK19" i="4"/>
  <c r="BL19" i="4" s="1"/>
  <c r="BN56" i="4"/>
  <c r="BM56" i="4"/>
  <c r="BK30" i="4"/>
  <c r="BK28" i="4"/>
  <c r="BN28" i="4" s="1"/>
  <c r="BK27" i="4"/>
  <c r="BN27" i="4" s="1"/>
  <c r="BK26" i="4"/>
  <c r="BN26" i="4" s="1"/>
  <c r="BK29" i="4"/>
  <c r="BL29" i="4" s="1"/>
  <c r="BJ24" i="4"/>
  <c r="BJ22" i="4"/>
  <c r="BJ23" i="4"/>
  <c r="BJ21" i="4"/>
  <c r="BJ25" i="4"/>
  <c r="BM88" i="4"/>
  <c r="BN88" i="4"/>
  <c r="BN13" i="4"/>
  <c r="BM13" i="4"/>
  <c r="BK40" i="4"/>
  <c r="BK37" i="4"/>
  <c r="BN37" i="4" s="1"/>
  <c r="BK36" i="4"/>
  <c r="BM36" i="4" s="1"/>
  <c r="BK38" i="4"/>
  <c r="BM38" i="4" s="1"/>
  <c r="BK39" i="4"/>
  <c r="BL39" i="4" s="1"/>
  <c r="BM53" i="4"/>
  <c r="BN12" i="4"/>
  <c r="BM12" i="4"/>
  <c r="BN14" i="4"/>
  <c r="BM14" i="4"/>
  <c r="BN29" i="4"/>
  <c r="BK48" i="4"/>
  <c r="BN48" i="4" s="1"/>
  <c r="BK49" i="4"/>
  <c r="BL49" i="4" s="1"/>
  <c r="BK47" i="4"/>
  <c r="BK50" i="4"/>
  <c r="BK46" i="4"/>
  <c r="BM46" i="4" s="1"/>
  <c r="BN52" i="4"/>
  <c r="BM52" i="4"/>
  <c r="AS11" i="5" l="1"/>
  <c r="AW11" i="5" s="1"/>
  <c r="AP11" i="5"/>
  <c r="AR11" i="5" s="1"/>
  <c r="AV11" i="5" s="1"/>
  <c r="BQ41" i="4"/>
  <c r="BU41" i="4" s="1"/>
  <c r="BQ26" i="4"/>
  <c r="BU26" i="4" s="1"/>
  <c r="BQ86" i="4"/>
  <c r="BU86" i="4" s="1"/>
  <c r="BN23" i="4"/>
  <c r="BM23" i="4"/>
  <c r="BN68" i="4"/>
  <c r="BQ66" i="4" s="1"/>
  <c r="BU66" i="4" s="1"/>
  <c r="BM89" i="4"/>
  <c r="BP86" i="4" s="1"/>
  <c r="BT86" i="4" s="1"/>
  <c r="BN36" i="4"/>
  <c r="BM63" i="4"/>
  <c r="BM66" i="4"/>
  <c r="BQ56" i="4"/>
  <c r="BU56" i="4" s="1"/>
  <c r="BN38" i="4"/>
  <c r="BM49" i="4"/>
  <c r="BM28" i="4"/>
  <c r="BP51" i="4"/>
  <c r="BT51" i="4" s="1"/>
  <c r="BM26" i="4"/>
  <c r="BP26" i="4" s="1"/>
  <c r="BT26" i="4" s="1"/>
  <c r="BN49" i="4"/>
  <c r="BM48" i="4"/>
  <c r="BP46" i="4" s="1"/>
  <c r="BT46" i="4" s="1"/>
  <c r="BM57" i="4"/>
  <c r="BM62" i="4"/>
  <c r="BM58" i="4"/>
  <c r="BN39" i="4"/>
  <c r="BM54" i="4"/>
  <c r="BM18" i="4"/>
  <c r="BP16" i="4" s="1"/>
  <c r="BT16" i="4" s="1"/>
  <c r="BP11" i="4"/>
  <c r="BT11" i="4" s="1"/>
  <c r="BK21" i="4"/>
  <c r="BN21" i="4" s="1"/>
  <c r="BK24" i="4"/>
  <c r="BL24" i="4" s="1"/>
  <c r="BK25" i="4"/>
  <c r="BK23" i="4"/>
  <c r="BK22" i="4"/>
  <c r="BN22" i="4" s="1"/>
  <c r="BQ11" i="4"/>
  <c r="BU11" i="4" s="1"/>
  <c r="BN46" i="4"/>
  <c r="BN89" i="4"/>
  <c r="BM39" i="4"/>
  <c r="BM27" i="4"/>
  <c r="BN33" i="4"/>
  <c r="BM33" i="4"/>
  <c r="BN19" i="4"/>
  <c r="BQ16" i="4" s="1"/>
  <c r="BU16" i="4" s="1"/>
  <c r="BM41" i="4"/>
  <c r="BN44" i="4"/>
  <c r="BM19" i="4"/>
  <c r="BN54" i="4"/>
  <c r="BQ51" i="4" s="1"/>
  <c r="BU51" i="4" s="1"/>
  <c r="BM31" i="4"/>
  <c r="BN31" i="4"/>
  <c r="BM37" i="4"/>
  <c r="BP36" i="4" s="1"/>
  <c r="BT36" i="4" s="1"/>
  <c r="BP61" i="4"/>
  <c r="BT61" i="4" s="1"/>
  <c r="BM25" i="4"/>
  <c r="BN25" i="4"/>
  <c r="BN32" i="4"/>
  <c r="BM32" i="4"/>
  <c r="BM69" i="4"/>
  <c r="BM64" i="4"/>
  <c r="BM29" i="4"/>
  <c r="BM59" i="4"/>
  <c r="BP56" i="4" s="1"/>
  <c r="BT56" i="4" s="1"/>
  <c r="BM34" i="4"/>
  <c r="BN34" i="4"/>
  <c r="BN69" i="4"/>
  <c r="BN64" i="4"/>
  <c r="BQ61" i="4" s="1"/>
  <c r="BU61" i="4" s="1"/>
  <c r="BM44" i="4"/>
  <c r="BQ31" i="4" l="1"/>
  <c r="BU31" i="4" s="1"/>
  <c r="BQ46" i="4"/>
  <c r="BU46" i="4" s="1"/>
  <c r="BM21" i="4"/>
  <c r="BP31" i="4"/>
  <c r="BT31" i="4" s="1"/>
  <c r="BN24" i="4"/>
  <c r="BQ21" i="4" s="1"/>
  <c r="BU21" i="4" s="1"/>
  <c r="BM24" i="4"/>
  <c r="BP66" i="4"/>
  <c r="BT66" i="4" s="1"/>
  <c r="BM22" i="4"/>
  <c r="BP41" i="4"/>
  <c r="BT41" i="4" s="1"/>
  <c r="BQ36" i="4"/>
  <c r="BU36" i="4" s="1"/>
  <c r="BP21" i="4" l="1"/>
  <c r="BT2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<sst xmlns="http://schemas.openxmlformats.org/spreadsheetml/2006/main" count="1213" uniqueCount="455">
  <si>
    <t>Table A.2.1.4</t>
  </si>
  <si>
    <t>EFn2o wet</t>
  </si>
  <si>
    <t>EFn20 dry</t>
  </si>
  <si>
    <t>Cn2o</t>
  </si>
  <si>
    <t>𝐸𝑁2𝑂 = ∑ ∑ (𝑀𝑁𝑆𝑜𝑖𝑙𝑗𝑓 × 𝐸𝐹 𝑁2𝑂,𝑖 × 𝐶𝑁2𝑂 × 10−3)</t>
  </si>
  <si>
    <t>Purchased manure</t>
  </si>
  <si>
    <t>𝑀𝑁𝑆𝑜𝑖𝑙𝑗𝑓 = 𝑀𝑜𝑟𝑔𝑎𝑛𝑖𝑐,𝑗𝑓 × 𝐹𝑁𝑜𝑟𝑔𝑎𝑛𝑖𝑐,𝑓</t>
  </si>
  <si>
    <t>Morganicjf</t>
  </si>
  <si>
    <t>Type</t>
  </si>
  <si>
    <t>Fnorganicg</t>
  </si>
  <si>
    <t>Custom FN</t>
  </si>
  <si>
    <t>climate</t>
  </si>
  <si>
    <t>MNSoiljf</t>
  </si>
  <si>
    <t>EFn2oi</t>
  </si>
  <si>
    <t>En2o</t>
  </si>
  <si>
    <t>Poultry</t>
  </si>
  <si>
    <t>wet</t>
  </si>
  <si>
    <t>Table A.2.2.8</t>
  </si>
  <si>
    <t>Fnorganicf for off farm manure</t>
  </si>
  <si>
    <t>dry</t>
  </si>
  <si>
    <t>Dairy cattle</t>
  </si>
  <si>
    <t>Beef cattle</t>
  </si>
  <si>
    <t>Sheep</t>
  </si>
  <si>
    <t>Swine</t>
  </si>
  <si>
    <t>Horses/Mules</t>
  </si>
  <si>
    <t>Local manure - swine</t>
  </si>
  <si>
    <t>4.5.1.3</t>
  </si>
  <si>
    <t>4.1.1 (t1)</t>
  </si>
  <si>
    <t>4.5.1.5</t>
  </si>
  <si>
    <t>𝑀𝑁 𝑗𝑚 𝑇=1 = 𝐴𝐸 𝑗 × 𝐹𝑁 𝑗𝑚 𝑇=1</t>
  </si>
  <si>
    <t>𝑀𝑁𝐿𝑒𝑎𝑐ℎ𝑗𝑚=5 = 𝑀𝑁 𝑗𝑚=5𝑇=1 × 𝐹𝑟𝑎𝑐𝑊𝐸𝑇 × 𝐹𝑟𝑎𝑐𝐿𝐸𝐴𝐶𝐻𝑀𝑆</t>
  </si>
  <si>
    <t>𝐹𝑁 𝑗𝑚=4 𝑇=1 = 𝑀𝑀𝑆 𝑗𝑚=4 𝑇=1 + (𝑀𝑀𝑆𝑗𝑚=1,7,9 𝑇=1 × 𝑆𝑁𝑚)</t>
  </si>
  <si>
    <t>𝑀𝑁 𝑗𝑚 𝑇=2 = 𝑁𝑇 𝑗𝑚 𝑇=2 × 𝑀𝑀𝑆 𝑗𝑚𝑇=2</t>
  </si>
  <si>
    <t>Ch 4 l 185</t>
  </si>
  <si>
    <t>𝐹𝑁 𝑗𝑚 𝑇=1 = 𝑀𝑀𝑆 𝑗𝑚 𝑇=1 × (1 − 𝑆𝑁𝑚)</t>
  </si>
  <si>
    <t>𝑁𝑇 𝑗𝑚 𝑇=2 = (𝑀𝑁𝑗𝑚𝑇=1 × (1 − 𝐹𝑟𝑎𝑐𝐺𝐴𝑆𝑀𝑚𝑇=1− 𝐸𝐹𝑚𝑇=1))</t>
  </si>
  <si>
    <t>𝑀𝑁𝑆𝑜𝑖𝑙𝑠𝑐𝑜𝑝𝑒1 = ∑ ∑ (𝑀𝑁 𝑗𝑚𝑇=2 × (1 − 𝐸𝐹 𝑚𝑇=2− 𝐹𝑟𝑎𝑐𝐺𝐴𝑆𝑀𝑚𝑇=2) − 𝑀𝑁𝐿𝑒𝑎𝑐ℎ𝑗𝑚=5) × 𝑃𝐹</t>
  </si>
  <si>
    <t>Ch 4 l 230 - Total nitrogen excreted (kg N)</t>
  </si>
  <si>
    <t>Ch 4 l 339 - fraction of manure applied to soil within boundary</t>
  </si>
  <si>
    <t>Main Stage 2 direct application</t>
  </si>
  <si>
    <t>Ch 4 l 237 - Fraction of nitrogen seperated to solid storage</t>
  </si>
  <si>
    <t>Fraction of manure to each primary MMS before solid seperation</t>
  </si>
  <si>
    <t>Ch 4 l 235</t>
  </si>
  <si>
    <t>Ch 4 l 228</t>
  </si>
  <si>
    <t>Ch 4 l 260</t>
  </si>
  <si>
    <t>Ch4l204 - Fraction of manure from primary system in secondary system</t>
  </si>
  <si>
    <t>Ch 4 l 252</t>
  </si>
  <si>
    <t>Ch 4 l331</t>
  </si>
  <si>
    <t>AE j</t>
  </si>
  <si>
    <t>Description</t>
  </si>
  <si>
    <t>Leaching zone</t>
  </si>
  <si>
    <t>PF</t>
  </si>
  <si>
    <t>Main MMS 1</t>
  </si>
  <si>
    <t>Main MMS 2</t>
  </si>
  <si>
    <t>SNm</t>
  </si>
  <si>
    <t>MMSjmT=1</t>
  </si>
  <si>
    <t>MMSjm=4t=1</t>
  </si>
  <si>
    <t>FNj</t>
  </si>
  <si>
    <t>FNj solid</t>
  </si>
  <si>
    <t>EFmt1</t>
  </si>
  <si>
    <t>Efmt2</t>
  </si>
  <si>
    <t>FracGASMmt=1</t>
  </si>
  <si>
    <t>FracGASMmT=2</t>
  </si>
  <si>
    <t>MNjmT1</t>
  </si>
  <si>
    <t>NTjmt2</t>
  </si>
  <si>
    <t>MMSjmt2</t>
  </si>
  <si>
    <t>FracWET</t>
  </si>
  <si>
    <t>FracLEACH</t>
  </si>
  <si>
    <t>MNLeachjm5</t>
  </si>
  <si>
    <t>MNjmt2</t>
  </si>
  <si>
    <t>MNSoiljf S1</t>
  </si>
  <si>
    <t>MNSoiljf S3</t>
  </si>
  <si>
    <t>Subtotal s1</t>
  </si>
  <si>
    <t>Subtotal s3</t>
  </si>
  <si>
    <t>En2o local</t>
  </si>
  <si>
    <t>En2o purchased</t>
  </si>
  <si>
    <t>Basic scenario</t>
  </si>
  <si>
    <t>yes</t>
  </si>
  <si>
    <t>Deep litter</t>
  </si>
  <si>
    <t>Short HRT tank storage &lt; 1 month (pit storage)</t>
  </si>
  <si>
    <t>no</t>
  </si>
  <si>
    <t>Stockpile (Solid storage)</t>
  </si>
  <si>
    <t>Switch to dry climate</t>
  </si>
  <si>
    <t>Disable leaching zone</t>
  </si>
  <si>
    <t>FracLeach</t>
  </si>
  <si>
    <t>Change main MMS 2 (Outdoor (Dry lot))</t>
  </si>
  <si>
    <t>Outdoor (Dry lot)</t>
  </si>
  <si>
    <t>Change main MMS 2 (Deep litter)</t>
  </si>
  <si>
    <t>Change main MMS 2 (Effluent pond (Uncovered anaerobic lagoon))</t>
  </si>
  <si>
    <t>Effluent pond (Uncovered anaerobic lagoon)</t>
  </si>
  <si>
    <t>Change main MMS 2 (Anaerobic digestor / Covered lagoon)</t>
  </si>
  <si>
    <t>Anaerobic digestor / Covered lagoon</t>
  </si>
  <si>
    <t>Disable solid storage</t>
  </si>
  <si>
    <t>Efmt</t>
  </si>
  <si>
    <t>Table A.1.6.3</t>
  </si>
  <si>
    <t>FracGASMmt</t>
  </si>
  <si>
    <t>Table A.1.6.2</t>
  </si>
  <si>
    <t>Local manure - feedlot</t>
  </si>
  <si>
    <t>D</t>
  </si>
  <si>
    <t>Use defaults if not supplied</t>
  </si>
  <si>
    <t>𝑁𝐸𝑗 = 𝑁𝐼𝑗 × (1 − 𝑁𝑅𝑗)</t>
  </si>
  <si>
    <t>𝐴𝐸𝑗 = 𝑁 𝑗 × 𝑁𝐸𝑗 × 𝐿𝑗</t>
  </si>
  <si>
    <t>𝑀𝑇 𝑗𝑚𝑇=2 = (𝑀𝑁𝑗𝑚=5𝑇=1 × (1 − 𝐹𝑟𝑎𝑐𝐺𝐴𝑆𝑀𝑚=5𝑇=1− 𝐸𝐹𝑚=5𝑇=1)) − 𝑀𝑁𝑗𝑚𝑇=3</t>
  </si>
  <si>
    <t>𝑁𝐼𝑗 = 𝐼𝑗 × 𝐶𝑃 𝑗 ÷ 6.25</t>
  </si>
  <si>
    <t>𝑀𝑁 𝑗𝑚=1 𝑇=3 = 𝐴𝐸𝑗 × 𝑀𝑀𝑆𝑚=1 𝑇=3</t>
  </si>
  <si>
    <t>𝑀𝑁 𝑗𝑚𝑇=2 = 𝑀𝑇 𝑗𝑚𝑇=2 × 𝑀𝑀𝑆𝑚𝑇=2</t>
  </si>
  <si>
    <t>𝑀𝑁𝑆𝑜𝑖𝑙 = ∑ ∑ ∑ 𝑀𝑁 𝑗𝑚𝑇=2,3 × (1 − 𝐸𝐹𝑚𝑇=2,3− 𝐹𝑟𝑎𝑐𝐺𝐴𝑆𝑀𝑚𝑇=2,3) × PF</t>
  </si>
  <si>
    <t>Average length of stay</t>
  </si>
  <si>
    <t>Custom value</t>
  </si>
  <si>
    <t>Dry matter kgDM/head/day</t>
  </si>
  <si>
    <t>Crude protein of feed (percent)</t>
  </si>
  <si>
    <t>N retention as fraction</t>
  </si>
  <si>
    <t>N intake kg/head/day</t>
  </si>
  <si>
    <t>Nitrogen excretion kgN/head/day</t>
  </si>
  <si>
    <t>Number of cattle in group</t>
  </si>
  <si>
    <t>Amount scraped from feedlot into stage 2. Multiple MMSs would require values here</t>
  </si>
  <si>
    <t>T1Ch4l242</t>
  </si>
  <si>
    <t>T1Ch4p13</t>
  </si>
  <si>
    <t>Lj</t>
  </si>
  <si>
    <t>Ij</t>
  </si>
  <si>
    <t>Actual Ij</t>
  </si>
  <si>
    <t>Custom CPj</t>
  </si>
  <si>
    <t>Actual CPj</t>
  </si>
  <si>
    <t>NRj</t>
  </si>
  <si>
    <t>Nij</t>
  </si>
  <si>
    <t>Nej</t>
  </si>
  <si>
    <t>Nj</t>
  </si>
  <si>
    <t>Direct application at stage 2?</t>
  </si>
  <si>
    <t>Tertiary anaerobic lagoon?</t>
  </si>
  <si>
    <t>MMS𝑚1T2</t>
  </si>
  <si>
    <t>MNjmt=1</t>
  </si>
  <si>
    <t>FracGASMt=1</t>
  </si>
  <si>
    <t>Efmt=1</t>
  </si>
  <si>
    <t>Efmt=2</t>
  </si>
  <si>
    <t>MTjmt=2</t>
  </si>
  <si>
    <t>MMS𝑚1T3</t>
  </si>
  <si>
    <t>Efmt=3</t>
  </si>
  <si>
    <t>FracGASMmT=3</t>
  </si>
  <si>
    <t>MNjmt3</t>
  </si>
  <si>
    <t>MNSoil T=2</t>
  </si>
  <si>
    <t>MNSoil T=3</t>
  </si>
  <si>
    <t>MNSoil s1</t>
  </si>
  <si>
    <t>Solid Storage (Stockpile)</t>
  </si>
  <si>
    <t>Basic scenario - custom Lj</t>
  </si>
  <si>
    <t>Basic scenario - custom CPj</t>
  </si>
  <si>
    <t>Basic scenario - dry climate</t>
  </si>
  <si>
    <t>Basic scenario - alt MMS 2</t>
  </si>
  <si>
    <t>Composting (Passive Windrow)</t>
  </si>
  <si>
    <t>Basic scenario - direct app stage 2</t>
  </si>
  <si>
    <t>Basic scenario - no lagoon</t>
  </si>
  <si>
    <t>Feedlot</t>
  </si>
  <si>
    <t>FracGASM</t>
  </si>
  <si>
    <t>A5.5.3.6,7 NIR vol 2</t>
  </si>
  <si>
    <t>Dry lot (Feedpad)</t>
  </si>
  <si>
    <t>Uncovered anaerobic lagoon (Effluent pond)</t>
  </si>
  <si>
    <t>A5.5.3.1 NIR vol 2</t>
  </si>
  <si>
    <t>Length of stay Lj 2020-2023</t>
  </si>
  <si>
    <t>0-80 days</t>
  </si>
  <si>
    <t>81-200 days</t>
  </si>
  <si>
    <t>201+ days</t>
  </si>
  <si>
    <t>kgDM/head/day</t>
  </si>
  <si>
    <t>Constants</t>
  </si>
  <si>
    <t>ch3</t>
  </si>
  <si>
    <t/>
  </si>
  <si>
    <t>ch 4</t>
  </si>
  <si>
    <t>ch 5.2</t>
  </si>
  <si>
    <t>Manure management systems</t>
  </si>
  <si>
    <t>(1.185 + 0.00454 * Wj- 0.0000026 * Wj^2 + 0.315 * LWGj)^2 * MRj + MIj</t>
  </si>
  <si>
    <t>(MPj * 1.03 * NE) / (GEC * k * qmj)</t>
  </si>
  <si>
    <t>Ij * CPj</t>
  </si>
  <si>
    <t>Ij / (((1.185 + 0.00454 * Wj- 0.0000026 * Wj ^2 )^2 * MRj + MIj)</t>
  </si>
  <si>
    <t>Wj / WRj</t>
  </si>
  <si>
    <t>0.1604 * DMDj * 100 - 1.037</t>
  </si>
  <si>
    <t>(0.032 * MPj * 1.03 / 6.38) + ((0.212 - 0.008 * (Lj - 2) - ((0.14 - 0.008 * (Lj - 2)/ (1 + e ^-6 * Zj - 0.4)) * (LWGj * 0.92)) * 1 / 6.25</t>
  </si>
  <si>
    <t>(0.3 * (CPIj * (1 - (DMDj+ 0.1))) + 0.105 * (MEj * Ij * 0.008) + (0.0152 * Ij)) * 1/6.25</t>
  </si>
  <si>
    <t>(CPIj / 6.25) - NRj - Fj - (1.1 * 10^-4 * Wj ^0.75 / 6.25)</t>
  </si>
  <si>
    <t>MSj / (0.01 * (FCj + PCj))</t>
  </si>
  <si>
    <t>0.795 * DMDj- 0.0014</t>
  </si>
  <si>
    <t>Fj</t>
  </si>
  <si>
    <t>Uj</t>
  </si>
  <si>
    <t>SUM ((Nj=1,2,4,6 * Fij=1,2,4,6 * 365) + (Nj=3,5 * Fij=3,5 * 281) + (Nj=7,8 * FPWj=7,8 * 84)) * fim=1-13</t>
  </si>
  <si>
    <t>SUM ((Nj=1,2,4 * Uj=1,2,4 * 365) + (Nj=3,5 * Uj=3,5 * 281)  + (Nj=3,5 * UPWj=3,5 * 84)) *fim=1-13</t>
  </si>
  <si>
    <t>(AUMMS+ AFMMS) * FracWET,soil,i * FracLEACH_MS</t>
  </si>
  <si>
    <t>SUM SUM (AUMMS + AFMMS) * (1 - EFjm=1-13- FracGASMjm-1-13)- Mleach,MMS) * PF</t>
  </si>
  <si>
    <t>fm - percentage time spent in each zone</t>
  </si>
  <si>
    <t>1 = Anaerobic lagoon</t>
  </si>
  <si>
    <t>266</t>
  </si>
  <si>
    <t>275</t>
  </si>
  <si>
    <t>937</t>
  </si>
  <si>
    <t>267</t>
  </si>
  <si>
    <t>226</t>
  </si>
  <si>
    <t>234</t>
  </si>
  <si>
    <t>932</t>
  </si>
  <si>
    <t>930</t>
  </si>
  <si>
    <t>905</t>
  </si>
  <si>
    <t>740</t>
  </si>
  <si>
    <t>269</t>
  </si>
  <si>
    <t>767</t>
  </si>
  <si>
    <t>774</t>
  </si>
  <si>
    <t>737</t>
  </si>
  <si>
    <t>755</t>
  </si>
  <si>
    <t>730</t>
  </si>
  <si>
    <t>750</t>
  </si>
  <si>
    <t>245</t>
  </si>
  <si>
    <t>897</t>
  </si>
  <si>
    <t>259</t>
  </si>
  <si>
    <t>904</t>
  </si>
  <si>
    <t>270</t>
  </si>
  <si>
    <t>271</t>
  </si>
  <si>
    <t>278</t>
  </si>
  <si>
    <t>279</t>
  </si>
  <si>
    <t>281</t>
  </si>
  <si>
    <t>253</t>
  </si>
  <si>
    <t>913</t>
  </si>
  <si>
    <t>952</t>
  </si>
  <si>
    <t>902</t>
  </si>
  <si>
    <t>949</t>
  </si>
  <si>
    <t>823</t>
  </si>
  <si>
    <t>830</t>
  </si>
  <si>
    <t>857</t>
  </si>
  <si>
    <t>866</t>
  </si>
  <si>
    <t>Pasture</t>
  </si>
  <si>
    <t>Milking shed</t>
  </si>
  <si>
    <t>Feedpad</t>
  </si>
  <si>
    <t>3a = Sump dispersal</t>
  </si>
  <si>
    <t>input</t>
  </si>
  <si>
    <t>constant</t>
  </si>
  <si>
    <t>expression</t>
  </si>
  <si>
    <t>Grazed only</t>
  </si>
  <si>
    <t>3b = Drain to paddock</t>
  </si>
  <si>
    <t>method 2</t>
  </si>
  <si>
    <t>Limited feedpad</t>
  </si>
  <si>
    <t>4 = Solid Storage</t>
  </si>
  <si>
    <t>Limited grazing</t>
  </si>
  <si>
    <t>14 = Pasture range and paddock</t>
  </si>
  <si>
    <t>Animal class</t>
  </si>
  <si>
    <t>Scenario</t>
  </si>
  <si>
    <t>N</t>
  </si>
  <si>
    <t>Custom Wj</t>
  </si>
  <si>
    <t>Wj</t>
  </si>
  <si>
    <t>MRj</t>
  </si>
  <si>
    <t>WRj</t>
  </si>
  <si>
    <t>Custom LWGj</t>
  </si>
  <si>
    <t>LWGj</t>
  </si>
  <si>
    <t>MIj</t>
  </si>
  <si>
    <t>UPWj=3,5</t>
  </si>
  <si>
    <t>FPWj=7,8</t>
  </si>
  <si>
    <t>CPj</t>
  </si>
  <si>
    <t>CPIj</t>
  </si>
  <si>
    <t>Custom DMDj</t>
  </si>
  <si>
    <t>DMDj</t>
  </si>
  <si>
    <t>Zj</t>
  </si>
  <si>
    <t>MEj</t>
  </si>
  <si>
    <t>MPj</t>
  </si>
  <si>
    <t>Nj=1,2,4</t>
  </si>
  <si>
    <t>Nj=1,2,4,6</t>
  </si>
  <si>
    <t>Nj=3,5</t>
  </si>
  <si>
    <t>Nj=7,8</t>
  </si>
  <si>
    <t>MSj</t>
  </si>
  <si>
    <t>leaching zone</t>
  </si>
  <si>
    <t>FCj</t>
  </si>
  <si>
    <t>PCj</t>
  </si>
  <si>
    <t>NE</t>
  </si>
  <si>
    <t>GEC</t>
  </si>
  <si>
    <t>k</t>
  </si>
  <si>
    <t>qmj</t>
  </si>
  <si>
    <t>FracWET,soil,i</t>
  </si>
  <si>
    <t>FracLEACH_MS</t>
  </si>
  <si>
    <t>Fij=1,2,4,6</t>
  </si>
  <si>
    <t>Fij=3,5</t>
  </si>
  <si>
    <t>Uj=1,2,4</t>
  </si>
  <si>
    <t>Uj=3,5</t>
  </si>
  <si>
    <t>dairy system</t>
  </si>
  <si>
    <t>custom fm pasture</t>
  </si>
  <si>
    <t>custom fm milking shed</t>
  </si>
  <si>
    <t>custom fm feedpad</t>
  </si>
  <si>
    <t>fm pasture</t>
  </si>
  <si>
    <t>fm milking shed</t>
  </si>
  <si>
    <t>fm feedpad</t>
  </si>
  <si>
    <t>fraction of shed solids</t>
  </si>
  <si>
    <t>fraction of pad solids</t>
  </si>
  <si>
    <t>fim=1-13</t>
  </si>
  <si>
    <t>EFjm=1-13</t>
  </si>
  <si>
    <t>FracGASMjm-1-13</t>
  </si>
  <si>
    <t>AFMMS</t>
  </si>
  <si>
    <t>AUMMS</t>
  </si>
  <si>
    <t>Mleach,MMS</t>
  </si>
  <si>
    <t>MNSoil (scope 1)</t>
  </si>
  <si>
    <t>MNSoil (scope 3)</t>
  </si>
  <si>
    <t>Zero grazing</t>
  </si>
  <si>
    <t>1 - milking cows</t>
  </si>
  <si>
    <t>Base scenario</t>
  </si>
  <si>
    <t>2 - Heifers &gt; 1 year</t>
  </si>
  <si>
    <t>3 - Heifers &lt; 1 year</t>
  </si>
  <si>
    <t>4 - Bulls &gt; 1 year</t>
  </si>
  <si>
    <t>5 - Bulls &lt; 1 year</t>
  </si>
  <si>
    <t>14 = pasture</t>
  </si>
  <si>
    <t>sum</t>
  </si>
  <si>
    <t>System limited feedpad</t>
  </si>
  <si>
    <t>Liveweight of each class</t>
  </si>
  <si>
    <t>System limited grazing</t>
  </si>
  <si>
    <t>Milking cows</t>
  </si>
  <si>
    <t>Heifers &gt; 1</t>
  </si>
  <si>
    <t>Heifers &lt; 1</t>
  </si>
  <si>
    <t>Bulls &gt; 1</t>
  </si>
  <si>
    <t>Bulls &lt; 1</t>
  </si>
  <si>
    <t>System no grazing</t>
  </si>
  <si>
    <t>ALl others</t>
  </si>
  <si>
    <t>Base scenario - no leaching</t>
  </si>
  <si>
    <t>Reference weight</t>
  </si>
  <si>
    <t>Base scenario - dry climate</t>
  </si>
  <si>
    <t>Liveweight gain</t>
  </si>
  <si>
    <t>limited feedpad - varied distribution</t>
  </si>
  <si>
    <t>Base scenario - no milk solids</t>
  </si>
  <si>
    <t>UPW</t>
  </si>
  <si>
    <t>Base scenario - method 2 Wj</t>
  </si>
  <si>
    <t>FPW</t>
  </si>
  <si>
    <t>Base scenario - method 2 LWGj</t>
  </si>
  <si>
    <t>EFm</t>
  </si>
  <si>
    <t>Base scenario - method 2 CPj</t>
  </si>
  <si>
    <t>Base scenario - method 2 DMDj</t>
  </si>
  <si>
    <t>Base scenario - method 2 fm values</t>
  </si>
  <si>
    <t>Ijk * CPjk / 6.25</t>
  </si>
  <si>
    <t>NIjk * (1 - NRjk)</t>
  </si>
  <si>
    <t>Njk * NEjk * Djk</t>
  </si>
  <si>
    <t>AEjk * MMSjmT=1</t>
  </si>
  <si>
    <t>(MNjkmT=1 * (1 - FracGASMmT=1- EFmT=1))</t>
  </si>
  <si>
    <t>NTjkmT=2 * MMSmT=2</t>
  </si>
  <si>
    <t>Mleach,m14</t>
  </si>
  <si>
    <t>SUM SUM (MNjkmT=2 * (1 - EFmT=2 - FracGASMT=2) - Mleach,MMS) * PF</t>
  </si>
  <si>
    <t>680</t>
  </si>
  <si>
    <t>682</t>
  </si>
  <si>
    <t>687</t>
  </si>
  <si>
    <t>689</t>
  </si>
  <si>
    <t>698</t>
  </si>
  <si>
    <t>694</t>
  </si>
  <si>
    <t>697</t>
  </si>
  <si>
    <t>708</t>
  </si>
  <si>
    <t>706</t>
  </si>
  <si>
    <t>712</t>
  </si>
  <si>
    <t>713</t>
  </si>
  <si>
    <t>530</t>
  </si>
  <si>
    <t>523</t>
  </si>
  <si>
    <t>518</t>
  </si>
  <si>
    <t>507</t>
  </si>
  <si>
    <t>545</t>
  </si>
  <si>
    <t>538</t>
  </si>
  <si>
    <t>672</t>
  </si>
  <si>
    <t>618</t>
  </si>
  <si>
    <t>Njk</t>
  </si>
  <si>
    <t>Djk</t>
  </si>
  <si>
    <t>NRjk</t>
  </si>
  <si>
    <t>Ijk</t>
  </si>
  <si>
    <t>CPjk</t>
  </si>
  <si>
    <t>FracGASMmT=1</t>
  </si>
  <si>
    <t>EFmT=1</t>
  </si>
  <si>
    <t>EFmT=2</t>
  </si>
  <si>
    <t>FracGASMT=2</t>
  </si>
  <si>
    <t>FracWet</t>
  </si>
  <si>
    <t>FracLEACHMS</t>
  </si>
  <si>
    <t>NIjk</t>
  </si>
  <si>
    <t>NEjk</t>
  </si>
  <si>
    <t>AEjk</t>
  </si>
  <si>
    <t>MNjkmT=1</t>
  </si>
  <si>
    <t>MNjkmT=2</t>
  </si>
  <si>
    <t>MNSoil (scope1)</t>
  </si>
  <si>
    <t>Manure Management System (MMS) m</t>
  </si>
  <si>
    <t>Primary Systems (T=1)</t>
  </si>
  <si>
    <t>10 = Poultry manure with litter</t>
  </si>
  <si>
    <t>11a = Poultry manure without litter with belt</t>
  </si>
  <si>
    <t>manure removal</t>
  </si>
  <si>
    <t>11b = Poultry manure without litter with manure</t>
  </si>
  <si>
    <t>stored in house</t>
  </si>
  <si>
    <t>Secondary Systems (T=2)</t>
  </si>
  <si>
    <t>6 = Composting (passive windrow)</t>
  </si>
  <si>
    <t>7 = Digestor/Covered Lagoon</t>
  </si>
  <si>
    <t>8 = Deep Litter</t>
  </si>
  <si>
    <t>12 = Direct processing into pelletized fertilizer</t>
  </si>
  <si>
    <t>13 = Direct application to soils</t>
  </si>
  <si>
    <t>1 = Layer </t>
  </si>
  <si>
    <t>Layer </t>
  </si>
  <si>
    <t>Cage</t>
  </si>
  <si>
    <t>Barn</t>
  </si>
  <si>
    <t>Free Range</t>
  </si>
  <si>
    <t>2 = Meat </t>
  </si>
  <si>
    <t>2a = Meat Chicken Growers </t>
  </si>
  <si>
    <t>Group 1 depletion 50%</t>
  </si>
  <si>
    <t>Group 1 depletion 100%</t>
  </si>
  <si>
    <t>Group 2 depletion 50%</t>
  </si>
  <si>
    <t>Group 2 depletion 100%</t>
  </si>
  <si>
    <t>2b = Meat Chicken Breeders </t>
  </si>
  <si>
    <t>Breeders</t>
  </si>
  <si>
    <t>2c = Other </t>
  </si>
  <si>
    <t>Other</t>
  </si>
  <si>
    <t>i </t>
  </si>
  <si>
    <t>Temperature Zone</t>
  </si>
  <si>
    <t>j </t>
  </si>
  <si>
    <t>Poultry Class</t>
  </si>
  <si>
    <t>k </t>
  </si>
  <si>
    <t>Poultry Subclass</t>
  </si>
  <si>
    <t>m </t>
  </si>
  <si>
    <t>Manure management system</t>
  </si>
  <si>
    <t>T </t>
  </si>
  <si>
    <t>Treatment stage</t>
  </si>
  <si>
    <t>Nutrient analysis </t>
  </si>
  <si>
    <t>Layers</t>
  </si>
  <si>
    <t>Meat other</t>
  </si>
  <si>
    <t>Dry matter intake</t>
  </si>
  <si>
    <t>(kg/head/day)</t>
  </si>
  <si>
    <t>Dry matter digestibility </t>
  </si>
  <si>
    <t>Crude protein </t>
  </si>
  <si>
    <t>Nitrogen retention rate </t>
  </si>
  <si>
    <t>Manure ash </t>
  </si>
  <si>
    <t>A.1.7.1</t>
  </si>
  <si>
    <t>Nitrogen retention expressed as a per cent of intake</t>
  </si>
  <si>
    <t>Meat chicken growers</t>
  </si>
  <si>
    <t>Meat chicken breeder</t>
  </si>
  <si>
    <t>Dry matter intake for each class and subclass</t>
  </si>
  <si>
    <t>A.1.7.2</t>
  </si>
  <si>
    <t>Belt manure removal</t>
  </si>
  <si>
    <t>Manure stored in house</t>
  </si>
  <si>
    <t>FracGASMmT</t>
  </si>
  <si>
    <t>Manure with litter</t>
  </si>
  <si>
    <t>Pasture range and paddock</t>
  </si>
  <si>
    <t>EFmT</t>
  </si>
  <si>
    <t>Baseline</t>
  </si>
  <si>
    <t>Direct application to soils</t>
  </si>
  <si>
    <t>Direct processing</t>
  </si>
  <si>
    <t>Solid storage (stockpile)</t>
  </si>
  <si>
    <t>Composting (passive windrow)</t>
  </si>
  <si>
    <t>Digester / covered pond </t>
  </si>
  <si>
    <t>FracLEACHms</t>
  </si>
  <si>
    <t>MMSm=10T=1</t>
  </si>
  <si>
    <t>MMSm=11aT=1</t>
  </si>
  <si>
    <t>MMSm=11bT=1</t>
  </si>
  <si>
    <t>MMSm=14T=1</t>
  </si>
  <si>
    <t>duration of stay</t>
  </si>
  <si>
    <t>MMSm=10T=2</t>
  </si>
  <si>
    <t>MMSm=11aT=2</t>
  </si>
  <si>
    <t>MMSm=11bT=2</t>
  </si>
  <si>
    <t>sums</t>
  </si>
  <si>
    <t>NTjm=10T=2</t>
  </si>
  <si>
    <t>NTjm=11aT=2</t>
  </si>
  <si>
    <t>NTjm=11bT=2</t>
  </si>
  <si>
    <t>NTjm=14T=2</t>
  </si>
  <si>
    <t>MNSoil (scope3)</t>
  </si>
  <si>
    <t>MNj=1T=1</t>
  </si>
  <si>
    <t>MNj=2bT=1</t>
  </si>
  <si>
    <t>MNj=2cT=1</t>
  </si>
  <si>
    <t>MNj=2aT=1</t>
  </si>
  <si>
    <t>Baseline - no leaching</t>
  </si>
  <si>
    <t>Baseline - dry climate</t>
  </si>
  <si>
    <t>Baseline - mms1 combo 1</t>
  </si>
  <si>
    <t>Baseline - alt head numbers</t>
  </si>
  <si>
    <t>Baseline - 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</si>
</sst>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3" borderId="0" xfId="0" applyFill="1"/>
    <xf numFmtId="164" fontId="4" fillId="0" borderId="0" xfId="0" applyNumberFormat="1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0"/>
  <sheetViews>
    <sheetView workbookViewId="0"/>
  </sheetViews>
  <sheetFormatPr baseColWidth="10" defaultRowHeight="16" x14ac:dyDescent="0.2"/>
  <sheetData>
    <row r="6" spans="1:15" x14ac:dyDescent="0.2">
      <c r="N6" t="s">
        <v>0</v>
      </c>
    </row>
    <row r="7" spans="1:15" x14ac:dyDescent="0.2">
      <c r="N7" t="s">
        <v>1</v>
      </c>
      <c r="O7">
        <v>6.0000000000000001E-3</v>
      </c>
    </row>
    <row r="8" spans="1:15" x14ac:dyDescent="0.2">
      <c r="N8" t="s">
        <v>2</v>
      </c>
      <c r="O8">
        <v>5.0000000000000001E-3</v>
      </c>
    </row>
    <row r="11" spans="1:15" x14ac:dyDescent="0.2">
      <c r="N11" t="s">
        <v>3</v>
      </c>
      <c r="O11">
        <f>44/28</f>
        <v>1.5714285714285714</v>
      </c>
    </row>
    <row r="14" spans="1:15" x14ac:dyDescent="0.2">
      <c r="L14" t="s">
        <v>4</v>
      </c>
    </row>
    <row r="15" spans="1:15" x14ac:dyDescent="0.2">
      <c r="A15" t="s">
        <v>5</v>
      </c>
      <c r="I15" t="s">
        <v>6</v>
      </c>
    </row>
    <row r="16" spans="1:15" x14ac:dyDescent="0.2">
      <c r="B16" t="s">
        <v>7</v>
      </c>
      <c r="C16" t="s">
        <v>8</v>
      </c>
      <c r="D16" t="s">
        <v>9</v>
      </c>
      <c r="E16" t="s">
        <v>10</v>
      </c>
      <c r="F16" t="s">
        <v>11</v>
      </c>
      <c r="I16" t="s">
        <v>12</v>
      </c>
      <c r="J16" t="s">
        <v>13</v>
      </c>
      <c r="K16" t="s">
        <v>3</v>
      </c>
      <c r="L16" t="s">
        <v>14</v>
      </c>
    </row>
    <row r="17" spans="2:15" x14ac:dyDescent="0.2">
      <c r="B17">
        <v>1000</v>
      </c>
      <c r="C17" t="s">
        <v>15</v>
      </c>
      <c r="D17">
        <f t="shared" ref="D17:D28" si="0">IF(ISBLANK(B17), "", VLOOKUP(C17, $N$19:$O$24, 2, FALSE))</f>
        <v>0.51</v>
      </c>
      <c r="F17" t="s">
        <v>16</v>
      </c>
      <c r="I17">
        <f t="shared" ref="I17:I22" si="1">IF(ISBLANK(B17), "", B17*IF(ISBLANK(E17), D17, E17))</f>
        <v>510</v>
      </c>
      <c r="J17">
        <f t="shared" ref="J17:J22" si="2">IF(ISBLANK(B17), "", IF(F17="wet", $O$7, $O$8))</f>
        <v>6.0000000000000001E-3</v>
      </c>
      <c r="K17">
        <f t="shared" ref="K17:K22" si="3">IF(ISBLANK(B17), "", $O$11)</f>
        <v>1.5714285714285714</v>
      </c>
      <c r="L17">
        <f t="shared" ref="L17:L22" si="4">IF(ISBLANK(B17), "", I17*J17*K17 / 1000)</f>
        <v>4.8085714285714285E-3</v>
      </c>
      <c r="N17" t="s">
        <v>17</v>
      </c>
    </row>
    <row r="18" spans="2:15" x14ac:dyDescent="0.2">
      <c r="B18">
        <v>1000</v>
      </c>
      <c r="C18" t="s">
        <v>15</v>
      </c>
      <c r="D18">
        <f t="shared" si="0"/>
        <v>0.51</v>
      </c>
      <c r="E18">
        <v>0.6</v>
      </c>
      <c r="F18" t="s">
        <v>16</v>
      </c>
      <c r="I18">
        <f t="shared" si="1"/>
        <v>600</v>
      </c>
      <c r="J18">
        <f t="shared" si="2"/>
        <v>6.0000000000000001E-3</v>
      </c>
      <c r="K18">
        <f t="shared" si="3"/>
        <v>1.5714285714285714</v>
      </c>
      <c r="L18">
        <f t="shared" si="4"/>
        <v>5.6571428571428571E-3</v>
      </c>
      <c r="N18" t="s">
        <v>18</v>
      </c>
    </row>
    <row r="19" spans="2:15" x14ac:dyDescent="0.2">
      <c r="B19">
        <v>1000</v>
      </c>
      <c r="C19" t="s">
        <v>15</v>
      </c>
      <c r="D19">
        <f t="shared" si="0"/>
        <v>0.51</v>
      </c>
      <c r="F19" t="s">
        <v>19</v>
      </c>
      <c r="I19">
        <f t="shared" si="1"/>
        <v>510</v>
      </c>
      <c r="J19">
        <f t="shared" si="2"/>
        <v>5.0000000000000001E-3</v>
      </c>
      <c r="K19">
        <f t="shared" si="3"/>
        <v>1.5714285714285714</v>
      </c>
      <c r="L19">
        <f t="shared" si="4"/>
        <v>4.0071428571428567E-3</v>
      </c>
      <c r="N19" t="s">
        <v>20</v>
      </c>
      <c r="O19">
        <v>2.9000000000000001E-2</v>
      </c>
    </row>
    <row r="20" spans="2:15" x14ac:dyDescent="0.2">
      <c r="B20">
        <v>2000</v>
      </c>
      <c r="C20" t="s">
        <v>20</v>
      </c>
      <c r="D20">
        <f t="shared" si="0"/>
        <v>2.9000000000000001E-2</v>
      </c>
      <c r="F20" t="s">
        <v>16</v>
      </c>
      <c r="I20">
        <f t="shared" si="1"/>
        <v>58</v>
      </c>
      <c r="J20">
        <f t="shared" si="2"/>
        <v>6.0000000000000001E-3</v>
      </c>
      <c r="K20">
        <f t="shared" si="3"/>
        <v>1.5714285714285714</v>
      </c>
      <c r="L20">
        <f t="shared" si="4"/>
        <v>5.4685714285714298E-4</v>
      </c>
      <c r="N20" t="s">
        <v>21</v>
      </c>
      <c r="O20">
        <v>2.3E-2</v>
      </c>
    </row>
    <row r="21" spans="2:15" x14ac:dyDescent="0.2">
      <c r="B21">
        <v>3000</v>
      </c>
      <c r="C21" t="s">
        <v>22</v>
      </c>
      <c r="D21">
        <f t="shared" si="0"/>
        <v>3.3000000000000002E-2</v>
      </c>
      <c r="F21" t="s">
        <v>19</v>
      </c>
      <c r="I21">
        <f t="shared" si="1"/>
        <v>99</v>
      </c>
      <c r="J21">
        <f t="shared" si="2"/>
        <v>5.0000000000000001E-3</v>
      </c>
      <c r="K21">
        <f t="shared" si="3"/>
        <v>1.5714285714285714</v>
      </c>
      <c r="L21">
        <f t="shared" si="4"/>
        <v>7.7785714285714285E-4</v>
      </c>
      <c r="N21" t="s">
        <v>15</v>
      </c>
      <c r="O21">
        <v>0.51</v>
      </c>
    </row>
    <row r="22" spans="2:15" x14ac:dyDescent="0.2">
      <c r="B22">
        <v>3000</v>
      </c>
      <c r="C22" t="s">
        <v>22</v>
      </c>
      <c r="D22">
        <f t="shared" si="0"/>
        <v>3.3000000000000002E-2</v>
      </c>
      <c r="E22">
        <v>0.02</v>
      </c>
      <c r="F22" t="s">
        <v>16</v>
      </c>
      <c r="I22">
        <f t="shared" si="1"/>
        <v>60</v>
      </c>
      <c r="J22">
        <f t="shared" si="2"/>
        <v>6.0000000000000001E-3</v>
      </c>
      <c r="K22">
        <f t="shared" si="3"/>
        <v>1.5714285714285714</v>
      </c>
      <c r="L22">
        <f t="shared" si="4"/>
        <v>5.6571428571428571E-4</v>
      </c>
      <c r="N22" t="s">
        <v>23</v>
      </c>
      <c r="O22">
        <v>0.41</v>
      </c>
    </row>
    <row r="23" spans="2:15" x14ac:dyDescent="0.2">
      <c r="D23" t="str">
        <f t="shared" si="0"/>
        <v/>
      </c>
      <c r="N23" t="s">
        <v>22</v>
      </c>
      <c r="O23">
        <v>3.3000000000000002E-2</v>
      </c>
    </row>
    <row r="24" spans="2:15" x14ac:dyDescent="0.2">
      <c r="D24" t="str">
        <f t="shared" si="0"/>
        <v/>
      </c>
      <c r="N24" t="s">
        <v>24</v>
      </c>
      <c r="O24">
        <v>1.2999999999999999E-2</v>
      </c>
    </row>
    <row r="25" spans="2:15" x14ac:dyDescent="0.2">
      <c r="D25" t="str">
        <f t="shared" si="0"/>
        <v/>
      </c>
    </row>
    <row r="26" spans="2:15" x14ac:dyDescent="0.2">
      <c r="D26" t="str">
        <f t="shared" si="0"/>
        <v/>
      </c>
    </row>
    <row r="27" spans="2:15" x14ac:dyDescent="0.2">
      <c r="D27" t="str">
        <f t="shared" si="0"/>
        <v/>
      </c>
    </row>
    <row r="28" spans="2:15" x14ac:dyDescent="0.2">
      <c r="D28" t="str">
        <f t="shared" si="0"/>
        <v/>
      </c>
    </row>
    <row r="29" spans="2:15" x14ac:dyDescent="0.2">
      <c r="D29" t="str">
        <f>IF(ISBLANK(B29), "", VLOOKUP(C29, N31:O36, 2, FALSE))</f>
        <v/>
      </c>
    </row>
    <row r="30" spans="2:15" x14ac:dyDescent="0.2">
      <c r="D30" t="str">
        <f>IF(ISBLANK(B30), "", VLOOKUP(C30, N32:O37, 2, FALSE))</f>
        <v/>
      </c>
    </row>
  </sheetData>
  <pageMargins left="0.7" right="0.7" top="0.75" bottom="0.75" header="0.3" footer="0.3"/>
  <ignoredErrors>
    <ignoredError sqref="A6:O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"/>
  <sheetViews>
    <sheetView workbookViewId="0">
      <selection activeCell="X26" sqref="X26"/>
    </sheetView>
  </sheetViews>
  <sheetFormatPr baseColWidth="10" defaultRowHeight="16" x14ac:dyDescent="0.2"/>
  <sheetData>
    <row r="1" spans="1:35" x14ac:dyDescent="0.2">
      <c r="A1" t="s">
        <v>25</v>
      </c>
      <c r="W1" t="s">
        <v>26</v>
      </c>
      <c r="X1" t="s">
        <v>27</v>
      </c>
      <c r="Y1" t="s">
        <v>28</v>
      </c>
    </row>
    <row r="2" spans="1:35" x14ac:dyDescent="0.2">
      <c r="AE2" t="s">
        <v>4</v>
      </c>
    </row>
    <row r="3" spans="1:35" x14ac:dyDescent="0.2">
      <c r="R3" t="s">
        <v>29</v>
      </c>
      <c r="W3" t="s">
        <v>30</v>
      </c>
    </row>
    <row r="4" spans="1:35" x14ac:dyDescent="0.2">
      <c r="M4" t="s">
        <v>31</v>
      </c>
      <c r="X4" t="s">
        <v>32</v>
      </c>
    </row>
    <row r="5" spans="1:35" x14ac:dyDescent="0.2">
      <c r="J5" t="s">
        <v>33</v>
      </c>
      <c r="L5" t="s">
        <v>34</v>
      </c>
      <c r="S5" t="s">
        <v>35</v>
      </c>
      <c r="Y5" t="s">
        <v>36</v>
      </c>
    </row>
    <row r="6" spans="1:35" x14ac:dyDescent="0.2">
      <c r="A6" t="s">
        <v>37</v>
      </c>
      <c r="E6" t="s">
        <v>38</v>
      </c>
      <c r="H6" t="s">
        <v>39</v>
      </c>
      <c r="I6" t="s">
        <v>40</v>
      </c>
      <c r="J6" t="s">
        <v>41</v>
      </c>
      <c r="L6" t="s">
        <v>42</v>
      </c>
      <c r="R6" t="s">
        <v>43</v>
      </c>
      <c r="S6" t="s">
        <v>44</v>
      </c>
      <c r="T6" t="s">
        <v>45</v>
      </c>
      <c r="X6" t="s">
        <v>46</v>
      </c>
      <c r="Y6" t="s">
        <v>47</v>
      </c>
    </row>
    <row r="7" spans="1:35" x14ac:dyDescent="0.2">
      <c r="A7" t="s">
        <v>48</v>
      </c>
      <c r="B7" t="s">
        <v>49</v>
      </c>
      <c r="C7" t="s">
        <v>11</v>
      </c>
      <c r="D7" t="s">
        <v>50</v>
      </c>
      <c r="E7" t="s">
        <v>51</v>
      </c>
      <c r="F7" t="s">
        <v>52</v>
      </c>
      <c r="G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  <c r="X7" t="s">
        <v>69</v>
      </c>
      <c r="Y7" t="s">
        <v>70</v>
      </c>
      <c r="Z7" t="s">
        <v>71</v>
      </c>
      <c r="AA7" t="s">
        <v>13</v>
      </c>
      <c r="AB7" t="s">
        <v>3</v>
      </c>
      <c r="AC7" t="s">
        <v>72</v>
      </c>
      <c r="AD7" t="s">
        <v>73</v>
      </c>
      <c r="AE7" t="s">
        <v>74</v>
      </c>
      <c r="AF7" t="s">
        <v>75</v>
      </c>
      <c r="AH7" t="s">
        <v>0</v>
      </c>
    </row>
    <row r="8" spans="1:35" x14ac:dyDescent="0.2">
      <c r="A8">
        <v>3000</v>
      </c>
      <c r="B8" t="s">
        <v>76</v>
      </c>
      <c r="C8" t="s">
        <v>16</v>
      </c>
      <c r="D8" t="s">
        <v>77</v>
      </c>
      <c r="E8">
        <v>0.8</v>
      </c>
      <c r="F8" t="s">
        <v>78</v>
      </c>
      <c r="G8" t="s">
        <v>79</v>
      </c>
      <c r="H8" t="s">
        <v>80</v>
      </c>
      <c r="I8">
        <v>0.2</v>
      </c>
      <c r="J8">
        <v>0.7</v>
      </c>
      <c r="L8">
        <f>IF(ISBLANK(A8),"",J8*(1-I8))</f>
        <v>0.55999999999999994</v>
      </c>
      <c r="N8" cm="1">
        <f t="array" ref="N8">_xlfn.IFS(ISBLANK(A8), "", TRUE, VLOOKUP(F8, $AH$30:$AI$35, 2, FALSE))</f>
        <v>0.01</v>
      </c>
      <c r="O8" cm="1">
        <f t="array" ref="O8">_xlfn.IFS(ISBLANK(A8), "", H8="yes", 0, TRUE, VLOOKUP(G8, $AH$30:$AI$35, 2, FALSE))</f>
        <v>2E-3</v>
      </c>
      <c r="P8" cm="1">
        <f t="array" ref="P8">_xlfn.IFS(ISBLANK(A8), "", TRUE, VLOOKUP($F8, $AH$39:$AI$44, 2, FALSE))</f>
        <v>0.125</v>
      </c>
      <c r="Q8" cm="1">
        <f t="array" ref="Q8">_xlfn.IFS(ISBLANK(A8), "", H8="yes",0, TRUE, VLOOKUP($G8, $AH$39:$AI$44, 2, FALSE))</f>
        <v>0.25</v>
      </c>
      <c r="R8">
        <f>A8*L8</f>
        <v>1679.9999999999998</v>
      </c>
      <c r="S8">
        <f>IF(ISBLANK(A8), "", R8*(1-P8-N8))</f>
        <v>1453.1999999999998</v>
      </c>
      <c r="T8">
        <v>0.5</v>
      </c>
      <c r="U8">
        <f>IF(ISBLANK(A8), "", IF(D8="yes", 1, 0))</f>
        <v>1</v>
      </c>
      <c r="V8">
        <f t="shared" ref="V8:V25" si="0">$AI$13</f>
        <v>0.02</v>
      </c>
      <c r="W8" cm="1">
        <f t="array" ref="W8">_xlfn.IFS(ISBLANK(A8), "",F8="Stockpile (Solid storage)", R8*U8*V8, TRUE, 0)</f>
        <v>0</v>
      </c>
      <c r="X8" cm="1">
        <f t="array" ref="X8">_xlfn.IFS(ISBLANK(A8), "",H8="yes",R8,TRUE, S8*T8)</f>
        <v>726.59999999999991</v>
      </c>
      <c r="Y8">
        <f>IF(ISBLANK(A8), "", (X8*(1-O8-Q8)-W8)*E8)</f>
        <v>434.79743999999994</v>
      </c>
      <c r="Z8">
        <f>IF(ISBLANK(A8), "", (X8*(1-O8-Q8)-W8)*(1 -E8))</f>
        <v>108.69935999999996</v>
      </c>
      <c r="AA8">
        <f>IF(ISBLANK(A8), "", IF(C8="wet", $AI$8, $AI$9))</f>
        <v>6.0000000000000001E-3</v>
      </c>
      <c r="AB8">
        <f>IF(ISBLANK(A8), "", $AI$12)</f>
        <v>1.5714285714285714</v>
      </c>
      <c r="AC8">
        <f>IF(ISBLANK(A8), "", Y8*AA8*AB8 / 1000)</f>
        <v>4.0995187199999988E-3</v>
      </c>
      <c r="AD8">
        <f>IF(ISBLANK(B8), "", Z8*AA8*AB8 / 1000)</f>
        <v>1.0248796799999997E-3</v>
      </c>
      <c r="AE8">
        <f>IF(ISBLANK(A8), "", AC8+AC9)</f>
        <v>1.3856958719999998E-2</v>
      </c>
      <c r="AF8">
        <f>IF(ISBLANK(A8), "", AD8+AD9)</f>
        <v>3.4642396799999986E-3</v>
      </c>
      <c r="AH8" t="s">
        <v>1</v>
      </c>
      <c r="AI8">
        <v>6.0000000000000001E-3</v>
      </c>
    </row>
    <row r="9" spans="1:35" x14ac:dyDescent="0.2">
      <c r="F9" t="s">
        <v>81</v>
      </c>
      <c r="H9" t="s">
        <v>77</v>
      </c>
      <c r="K9">
        <v>0.3</v>
      </c>
      <c r="M9">
        <f>IF(ISBLANK(A8), "", K9+(J8*I8))</f>
        <v>0.43999999999999995</v>
      </c>
      <c r="N9" cm="1">
        <f t="array" ref="N9">_xlfn.IFS(ISBLANK(A8), "", TRUE, VLOOKUP(F9, $AH$30:$AI$35, 2, FALSE))</f>
        <v>5.0000000000000001E-3</v>
      </c>
      <c r="O9" cm="1">
        <f t="array" ref="O9">_xlfn.IFS(ISBLANK(A8), "", H9="yes", 0, TRUE, VLOOKUP(G9, $AH$30:$AI$35, 2, FALSE))</f>
        <v>0</v>
      </c>
      <c r="P9" cm="1">
        <f t="array" ref="P9">_xlfn.IFS(ISBLANK(A8), "", TRUE, VLOOKUP($F9, $AH$39:$AI$44, 2, FALSE))</f>
        <v>0.2</v>
      </c>
      <c r="Q9" cm="1">
        <f t="array" ref="Q9">_xlfn.IFS(ISBLANK(A8), "", H9="yes",0, TRUE, VLOOKUP($G9, $AH$39:$AI$44, 2, FALSE))</f>
        <v>0</v>
      </c>
      <c r="R9">
        <f>A8*M9</f>
        <v>1319.9999999999998</v>
      </c>
      <c r="S9">
        <f>IF(ISBLANK(A8), "", R9*(1-Q9-N9))</f>
        <v>1313.3999999999999</v>
      </c>
      <c r="T9">
        <v>1</v>
      </c>
      <c r="U9">
        <f>IF(ISBLANK(A8), "", IF(D8="yes", 1, 0))</f>
        <v>1</v>
      </c>
      <c r="V9">
        <f t="shared" si="0"/>
        <v>0.02</v>
      </c>
      <c r="W9" cm="1">
        <f t="array" ref="W9">_xlfn.IFS(ISBLANK(A8), "",F9="Stockpile (Solid storage)", R9*U9*V9, TRUE, 0)</f>
        <v>26.399999999999995</v>
      </c>
      <c r="X9" cm="1">
        <f t="array" ref="X9">_xlfn.IFS(ISBLANK(A8), "",H9="yes",R9,TRUE, S9*T9)</f>
        <v>1319.9999999999998</v>
      </c>
      <c r="Y9">
        <f>IF(ISBLANK(A8), "", (X9*(1-O9-Q9)-W9)*E8)</f>
        <v>1034.8799999999999</v>
      </c>
      <c r="Z9">
        <f>IF(ISBLANK(A8), "", (X9*(1-O9-Q9)-W9)*(1 - E8))</f>
        <v>258.71999999999986</v>
      </c>
      <c r="AA9">
        <f>IF(ISBLANK(A8), "", IF(C8="wet", $AI$8, $AI$9))</f>
        <v>6.0000000000000001E-3</v>
      </c>
      <c r="AB9">
        <f>IF(ISBLANK(A8), "", $AI$12)</f>
        <v>1.5714285714285714</v>
      </c>
      <c r="AC9">
        <f>IF(ISBLANK(A8), "", Y9*AA9*AB9 / 1000)</f>
        <v>9.7574399999999992E-3</v>
      </c>
      <c r="AD9">
        <f>IF(ISBLANK(A8), "", Z9*AA9*AB9 / 1000)</f>
        <v>2.4393599999999989E-3</v>
      </c>
      <c r="AE9" t="str">
        <f>IF(ISBLANK(A9), "", Y9*AA9*AB9 / 1000)</f>
        <v/>
      </c>
      <c r="AH9" t="s">
        <v>2</v>
      </c>
      <c r="AI9">
        <v>5.0000000000000001E-3</v>
      </c>
    </row>
    <row r="10" spans="1:35" x14ac:dyDescent="0.2">
      <c r="A10">
        <v>3000</v>
      </c>
      <c r="B10" t="s">
        <v>82</v>
      </c>
      <c r="C10" t="s">
        <v>19</v>
      </c>
      <c r="D10" t="s">
        <v>77</v>
      </c>
      <c r="E10">
        <v>0.8</v>
      </c>
      <c r="F10" t="s">
        <v>78</v>
      </c>
      <c r="G10" t="s">
        <v>79</v>
      </c>
      <c r="H10" t="s">
        <v>80</v>
      </c>
      <c r="I10">
        <v>0.2</v>
      </c>
      <c r="J10">
        <v>0.7</v>
      </c>
      <c r="L10">
        <f>IF(ISBLANK(A10),"",J10*(1-I10))</f>
        <v>0.55999999999999994</v>
      </c>
      <c r="N10" cm="1">
        <f t="array" ref="N10">_xlfn.IFS(ISBLANK(A10), "", TRUE, VLOOKUP(F10, $AH$30:$AI$35, 2, FALSE))</f>
        <v>0.01</v>
      </c>
      <c r="O10" cm="1">
        <f t="array" ref="O10">_xlfn.IFS(ISBLANK(A10), "", H10="yes", 0, TRUE, VLOOKUP(G10, $AH$30:$AI$35, 2, FALSE))</f>
        <v>2E-3</v>
      </c>
      <c r="P10" cm="1">
        <f t="array" ref="P10">_xlfn.IFS(ISBLANK(A10), "", TRUE, VLOOKUP($F10, $AH$39:$AI$44, 2, FALSE))</f>
        <v>0.125</v>
      </c>
      <c r="Q10" cm="1">
        <f t="array" ref="Q10">_xlfn.IFS(ISBLANK(A10), "", H10="yes",0, TRUE, VLOOKUP($G10, $AH$39:$AI$44, 2, FALSE))</f>
        <v>0.25</v>
      </c>
      <c r="R10">
        <f>A10*L10</f>
        <v>1679.9999999999998</v>
      </c>
      <c r="S10">
        <f>IF(ISBLANK(A10), "", R10*(1-P10-N10))</f>
        <v>1453.1999999999998</v>
      </c>
      <c r="T10">
        <v>0.5</v>
      </c>
      <c r="U10">
        <f>IF(ISBLANK(A10), "", IF(D10="yes", 1, 0))</f>
        <v>1</v>
      </c>
      <c r="V10">
        <f t="shared" si="0"/>
        <v>0.02</v>
      </c>
      <c r="W10" cm="1">
        <f t="array" ref="W10">_xlfn.IFS(ISBLANK(A10), "",F10="Stockpile (Solid storage)", R10*U10*V10, TRUE, 0)</f>
        <v>0</v>
      </c>
      <c r="X10" cm="1">
        <f t="array" ref="X10">_xlfn.IFS(ISBLANK(A10), "",H10="yes",R10,TRUE, S10*T10)</f>
        <v>726.59999999999991</v>
      </c>
      <c r="Y10">
        <f>IF(ISBLANK(A10), "", (X10*(1-O10-Q10)-W10)*E10)</f>
        <v>434.79743999999994</v>
      </c>
      <c r="Z10">
        <f>IF(ISBLANK(A10), "", (X10*(1-O10-Q10)-W10)*(1 -E10))</f>
        <v>108.69935999999996</v>
      </c>
      <c r="AA10">
        <f>IF(ISBLANK(A10), "", IF(C10="wet", $AI$8, $AI$9))</f>
        <v>5.0000000000000001E-3</v>
      </c>
      <c r="AB10">
        <f>IF(ISBLANK(A10), "", $AI$12)</f>
        <v>1.5714285714285714</v>
      </c>
      <c r="AC10">
        <f>IF(ISBLANK(A10), "", Y10*AA10*AB10 / 1000)</f>
        <v>3.4162655999999993E-3</v>
      </c>
      <c r="AD10">
        <f>IF(ISBLANK(B10), "", Z10*AA10*AB10 / 1000)</f>
        <v>8.5406639999999971E-4</v>
      </c>
      <c r="AE10">
        <f>IF(ISBLANK(A10), "", AC10+AC11)</f>
        <v>1.1547465599999999E-2</v>
      </c>
      <c r="AF10">
        <f>IF(ISBLANK(A10), "", AD10+AD11)</f>
        <v>2.8868663999999989E-3</v>
      </c>
    </row>
    <row r="11" spans="1:35" x14ac:dyDescent="0.2">
      <c r="F11" t="s">
        <v>81</v>
      </c>
      <c r="H11" t="s">
        <v>77</v>
      </c>
      <c r="K11">
        <v>0.3</v>
      </c>
      <c r="M11">
        <f>IF(ISBLANK(A10), "", K11+(J10*I10))</f>
        <v>0.43999999999999995</v>
      </c>
      <c r="N11" cm="1">
        <f t="array" ref="N11">_xlfn.IFS(ISBLANK(A10), "", TRUE, VLOOKUP(F11, $AH$30:$AI$35, 2, FALSE))</f>
        <v>5.0000000000000001E-3</v>
      </c>
      <c r="O11" cm="1">
        <f t="array" ref="O11">_xlfn.IFS(ISBLANK(A10), "", H11="yes", 0, TRUE, VLOOKUP(G11, $AH$30:$AI$35, 2, FALSE))</f>
        <v>0</v>
      </c>
      <c r="P11" cm="1">
        <f t="array" ref="P11">_xlfn.IFS(ISBLANK(A10), "", TRUE, VLOOKUP($F11, $AH$39:$AI$44, 2, FALSE))</f>
        <v>0.2</v>
      </c>
      <c r="Q11" cm="1">
        <f t="array" ref="Q11">_xlfn.IFS(ISBLANK(A10), "", H11="yes",0, TRUE, VLOOKUP($G11, $AH$39:$AI$44, 2, FALSE))</f>
        <v>0</v>
      </c>
      <c r="R11">
        <f>A10*M11</f>
        <v>1319.9999999999998</v>
      </c>
      <c r="S11">
        <f>IF(ISBLANK(A10), "", R11*(1-Q11-N11))</f>
        <v>1313.3999999999999</v>
      </c>
      <c r="T11">
        <v>1</v>
      </c>
      <c r="U11">
        <f>IF(ISBLANK(A10), "", IF(D10="yes", 1, 0))</f>
        <v>1</v>
      </c>
      <c r="V11">
        <f t="shared" si="0"/>
        <v>0.02</v>
      </c>
      <c r="W11" cm="1">
        <f t="array" ref="W11">_xlfn.IFS(ISBLANK(A10), "",F11="Stockpile (Solid storage)", R11*U11*V11, TRUE, 0)</f>
        <v>26.399999999999995</v>
      </c>
      <c r="X11" cm="1">
        <f t="array" ref="X11">_xlfn.IFS(ISBLANK(A10), "",H11="yes",R11,TRUE, S11*T11)</f>
        <v>1319.9999999999998</v>
      </c>
      <c r="Y11">
        <f>IF(ISBLANK(A10), "", (X11*(1-O11-Q11)-W11)*E10)</f>
        <v>1034.8799999999999</v>
      </c>
      <c r="Z11">
        <f>IF(ISBLANK(A10), "", (X11*(1-O11-Q11)-W11)*(1 - E10))</f>
        <v>258.71999999999986</v>
      </c>
      <c r="AA11">
        <f>IF(ISBLANK(A10), "", IF(C10="wet", $AI$8, $AI$9))</f>
        <v>5.0000000000000001E-3</v>
      </c>
      <c r="AB11">
        <f>IF(ISBLANK(A10), "", $AI$12)</f>
        <v>1.5714285714285714</v>
      </c>
      <c r="AC11">
        <f>IF(ISBLANK(A10), "", Y11*AA11*AB11 / 1000)</f>
        <v>8.1311999999999999E-3</v>
      </c>
      <c r="AD11">
        <f>IF(ISBLANK(A10), "", Z11*AA11*AB11 / 1000)</f>
        <v>2.0327999999999991E-3</v>
      </c>
      <c r="AE11" t="str">
        <f>IF(ISBLANK(A11), "", Y11*AA11*AB11 / 1000)</f>
        <v/>
      </c>
    </row>
    <row r="12" spans="1:35" x14ac:dyDescent="0.2">
      <c r="A12">
        <v>3000</v>
      </c>
      <c r="B12" t="s">
        <v>83</v>
      </c>
      <c r="C12" t="s">
        <v>16</v>
      </c>
      <c r="D12" t="s">
        <v>80</v>
      </c>
      <c r="E12">
        <v>0.8</v>
      </c>
      <c r="F12" t="s">
        <v>78</v>
      </c>
      <c r="G12" t="s">
        <v>79</v>
      </c>
      <c r="H12" t="s">
        <v>80</v>
      </c>
      <c r="I12">
        <v>0.2</v>
      </c>
      <c r="J12">
        <v>0.7</v>
      </c>
      <c r="L12">
        <f>IF(ISBLANK(A12),"",J12*(1-I12))</f>
        <v>0.55999999999999994</v>
      </c>
      <c r="N12" cm="1">
        <f t="array" ref="N12">_xlfn.IFS(ISBLANK(A12), "", TRUE, VLOOKUP(F12, $AH$30:$AI$35, 2, FALSE))</f>
        <v>0.01</v>
      </c>
      <c r="O12" cm="1">
        <f t="array" ref="O12">_xlfn.IFS(ISBLANK(A12), "", H12="yes", 0, TRUE, VLOOKUP(G12, $AH$30:$AI$35, 2, FALSE))</f>
        <v>2E-3</v>
      </c>
      <c r="P12" cm="1">
        <f t="array" ref="P12">_xlfn.IFS(ISBLANK(A12), "", TRUE, VLOOKUP($F12, $AH$39:$AI$44, 2, FALSE))</f>
        <v>0.125</v>
      </c>
      <c r="Q12" cm="1">
        <f t="array" ref="Q12">_xlfn.IFS(ISBLANK(A12), "", H12="yes",0, TRUE, VLOOKUP($G12, $AH$39:$AI$44, 2, FALSE))</f>
        <v>0.25</v>
      </c>
      <c r="R12">
        <f>A12*L12</f>
        <v>1679.9999999999998</v>
      </c>
      <c r="S12">
        <f>IF(ISBLANK(A12), "", R12*(1-P12-N12))</f>
        <v>1453.1999999999998</v>
      </c>
      <c r="T12">
        <v>0.5</v>
      </c>
      <c r="U12">
        <f>IF(ISBLANK(A12), "", IF(D12="yes", 1, 0))</f>
        <v>0</v>
      </c>
      <c r="V12">
        <f t="shared" si="0"/>
        <v>0.02</v>
      </c>
      <c r="W12" cm="1">
        <f t="array" ref="W12">_xlfn.IFS(ISBLANK(A12), "",F12="Stockpile (Solid storage)", R12*U12*V12, TRUE, 0)</f>
        <v>0</v>
      </c>
      <c r="X12" cm="1">
        <f t="array" ref="X12">_xlfn.IFS(ISBLANK(A12), "",H12="yes",R12,TRUE, S12*T12)</f>
        <v>726.59999999999991</v>
      </c>
      <c r="Y12">
        <f>IF(ISBLANK(A12), "", (X12*(1-O12-Q12)-W12)*E12)</f>
        <v>434.79743999999994</v>
      </c>
      <c r="Z12">
        <f>IF(ISBLANK(A12), "", (X12*(1-O12-Q12)-W12)*(1 -E12))</f>
        <v>108.69935999999996</v>
      </c>
      <c r="AA12">
        <f>IF(ISBLANK(A12), "", IF(C12="wet", $AI$8, $AI$9))</f>
        <v>6.0000000000000001E-3</v>
      </c>
      <c r="AB12">
        <f>IF(ISBLANK(A12), "", $AI$12)</f>
        <v>1.5714285714285714</v>
      </c>
      <c r="AC12">
        <f>IF(ISBLANK(A12), "", Y12*AA12*AB12 / 1000)</f>
        <v>4.0995187199999988E-3</v>
      </c>
      <c r="AD12">
        <f>IF(ISBLANK(B12), "", Z12*AA12*AB12 / 1000)</f>
        <v>1.0248796799999997E-3</v>
      </c>
      <c r="AE12">
        <f>IF(ISBLANK(A12), "", AC12+AC13)</f>
        <v>1.4056090148571425E-2</v>
      </c>
      <c r="AF12">
        <f>IF(ISBLANK(A12), "", AD12+AD13)</f>
        <v>3.5140225371428557E-3</v>
      </c>
      <c r="AH12" t="s">
        <v>3</v>
      </c>
      <c r="AI12">
        <f>44/28</f>
        <v>1.5714285714285714</v>
      </c>
    </row>
    <row r="13" spans="1:35" x14ac:dyDescent="0.2">
      <c r="F13" t="s">
        <v>81</v>
      </c>
      <c r="H13" t="s">
        <v>77</v>
      </c>
      <c r="K13">
        <v>0.3</v>
      </c>
      <c r="M13">
        <f>IF(ISBLANK(A12), "", K13+(J12*I12))</f>
        <v>0.43999999999999995</v>
      </c>
      <c r="N13" cm="1">
        <f t="array" ref="N13">_xlfn.IFS(ISBLANK(A12), "", TRUE, VLOOKUP(F13, $AH$30:$AI$35, 2, FALSE))</f>
        <v>5.0000000000000001E-3</v>
      </c>
      <c r="O13" cm="1">
        <f t="array" ref="O13">_xlfn.IFS(ISBLANK(A12), "", H13="yes", 0, TRUE, VLOOKUP(G13, $AH$30:$AI$35, 2, FALSE))</f>
        <v>0</v>
      </c>
      <c r="P13" cm="1">
        <f t="array" ref="P13">_xlfn.IFS(ISBLANK(A12), "", TRUE, VLOOKUP($F13, $AH$39:$AI$44, 2, FALSE))</f>
        <v>0.2</v>
      </c>
      <c r="Q13" cm="1">
        <f t="array" ref="Q13">_xlfn.IFS(ISBLANK(A12), "", H13="yes",0, TRUE, VLOOKUP($G13, $AH$39:$AI$44, 2, FALSE))</f>
        <v>0</v>
      </c>
      <c r="R13">
        <f>A12*M13</f>
        <v>1319.9999999999998</v>
      </c>
      <c r="S13">
        <f>IF(ISBLANK(A12), "", R13*(1-Q13-N13))</f>
        <v>1313.3999999999999</v>
      </c>
      <c r="T13">
        <v>1</v>
      </c>
      <c r="U13">
        <f>IF(ISBLANK(A12), "", IF(D12="yes", 1, 0))</f>
        <v>0</v>
      </c>
      <c r="V13">
        <f t="shared" si="0"/>
        <v>0.02</v>
      </c>
      <c r="W13" cm="1">
        <f t="array" ref="W13">_xlfn.IFS(ISBLANK(A12), "",F13="Stockpile (Solid storage)", R13*U13*V13, TRUE, 0)</f>
        <v>0</v>
      </c>
      <c r="X13" cm="1">
        <f t="array" ref="X13">_xlfn.IFS(ISBLANK(A12), "",H13="yes",R13,TRUE, S13*T13)</f>
        <v>1319.9999999999998</v>
      </c>
      <c r="Y13">
        <f>IF(ISBLANK(A12), "", (X13*(1-O13-Q13)-W13)*E12)</f>
        <v>1055.9999999999998</v>
      </c>
      <c r="Z13">
        <f>IF(ISBLANK(A12), "", (X13*(1-O13-Q13)-W13)*(1 - E12))</f>
        <v>263.99999999999989</v>
      </c>
      <c r="AA13">
        <f>IF(ISBLANK(A12), "", IF(C12="wet", $AI$8, $AI$9))</f>
        <v>6.0000000000000001E-3</v>
      </c>
      <c r="AB13">
        <f>IF(ISBLANK(A12), "", $AI$12)</f>
        <v>1.5714285714285714</v>
      </c>
      <c r="AC13">
        <f>IF(ISBLANK(A12), "", Y13*AA13*AB13 / 1000)</f>
        <v>9.9565714285714257E-3</v>
      </c>
      <c r="AD13">
        <f>IF(ISBLANK(A12), "", Z13*AA13*AB13 / 1000)</f>
        <v>2.489142857142856E-3</v>
      </c>
      <c r="AE13" t="str">
        <f>IF(ISBLANK(A13), "", Y13*AA13*AB13 / 1000)</f>
        <v/>
      </c>
      <c r="AH13" t="s">
        <v>84</v>
      </c>
      <c r="AI13">
        <v>0.02</v>
      </c>
    </row>
    <row r="14" spans="1:35" x14ac:dyDescent="0.2">
      <c r="A14">
        <v>3000</v>
      </c>
      <c r="B14" t="s">
        <v>85</v>
      </c>
      <c r="C14" t="s">
        <v>19</v>
      </c>
      <c r="D14" t="s">
        <v>77</v>
      </c>
      <c r="E14">
        <v>0.8</v>
      </c>
      <c r="F14" t="s">
        <v>78</v>
      </c>
      <c r="G14" t="s">
        <v>86</v>
      </c>
      <c r="H14" t="s">
        <v>80</v>
      </c>
      <c r="I14">
        <v>0.2</v>
      </c>
      <c r="J14">
        <v>0.7</v>
      </c>
      <c r="L14">
        <f>IF(ISBLANK(A14),"",J14*(1-I14))</f>
        <v>0.55999999999999994</v>
      </c>
      <c r="N14" cm="1">
        <f t="array" ref="N14">_xlfn.IFS(ISBLANK(A14), "", TRUE, VLOOKUP(F14, $AH$30:$AI$35, 2, FALSE))</f>
        <v>0.01</v>
      </c>
      <c r="O14" cm="1">
        <f t="array" ref="O14">_xlfn.IFS(ISBLANK(A14), "", H14="yes", 0, TRUE, VLOOKUP(G14, $AH$30:$AI$35, 2, FALSE))</f>
        <v>0.02</v>
      </c>
      <c r="P14" cm="1">
        <f t="array" ref="P14">_xlfn.IFS(ISBLANK(A14), "", TRUE, VLOOKUP($F14, $AH$39:$AI$44, 2, FALSE))</f>
        <v>0.125</v>
      </c>
      <c r="Q14" cm="1">
        <f t="array" ref="Q14">_xlfn.IFS(ISBLANK(A14), "", H14="yes",0, TRUE, VLOOKUP($G14, $AH$39:$AI$44, 2, FALSE))</f>
        <v>0.3</v>
      </c>
      <c r="R14">
        <f>A14*L14</f>
        <v>1679.9999999999998</v>
      </c>
      <c r="S14">
        <f>IF(ISBLANK(A14), "", R14*(1-P14-N14))</f>
        <v>1453.1999999999998</v>
      </c>
      <c r="T14">
        <v>0.5</v>
      </c>
      <c r="U14">
        <f>IF(ISBLANK(A14), "", IF(D14="yes", 1, 0))</f>
        <v>1</v>
      </c>
      <c r="V14">
        <f t="shared" si="0"/>
        <v>0.02</v>
      </c>
      <c r="W14" cm="1">
        <f t="array" ref="W14">_xlfn.IFS(ISBLANK(A14), "",F14="Stockpile (Solid storage)", R14*U14*V14, TRUE, 0)</f>
        <v>0</v>
      </c>
      <c r="X14" cm="1">
        <f t="array" ref="X14">_xlfn.IFS(ISBLANK(A14), "",H14="yes",R14,TRUE, S14*T14)</f>
        <v>726.59999999999991</v>
      </c>
      <c r="Y14">
        <f>IF(ISBLANK(A14), "", (X14*(1-O14-Q14)-W14)*E14)</f>
        <v>395.27039999999994</v>
      </c>
      <c r="Z14">
        <f>IF(ISBLANK(A14), "", (X14*(1-O14-Q14)-W14)*(1 -E14))</f>
        <v>98.817599999999956</v>
      </c>
      <c r="AA14">
        <f>IF(ISBLANK(A14), "", IF(C14="wet", $AI$8, $AI$9))</f>
        <v>5.0000000000000001E-3</v>
      </c>
      <c r="AB14">
        <f>IF(ISBLANK(A14), "", $AI$12)</f>
        <v>1.5714285714285714</v>
      </c>
      <c r="AC14">
        <f>IF(ISBLANK(A14), "", Y14*AA14*AB14 / 1000)</f>
        <v>3.1056959999999994E-3</v>
      </c>
      <c r="AD14">
        <f>IF(ISBLANK(B14), "", Z14*AA14*AB14 / 1000)</f>
        <v>7.7642399999999963E-4</v>
      </c>
      <c r="AE14">
        <f>IF(ISBLANK(A14), "", AC14+AC15)</f>
        <v>1.1236896E-2</v>
      </c>
      <c r="AF14">
        <f>IF(ISBLANK(A14), "", AD14+AD15)</f>
        <v>2.8092239999999986E-3</v>
      </c>
    </row>
    <row r="15" spans="1:35" x14ac:dyDescent="0.2">
      <c r="F15" t="s">
        <v>81</v>
      </c>
      <c r="H15" t="s">
        <v>77</v>
      </c>
      <c r="K15">
        <v>0.3</v>
      </c>
      <c r="M15">
        <f>IF(ISBLANK(A14), "", K15+(J14*I14))</f>
        <v>0.43999999999999995</v>
      </c>
      <c r="N15" cm="1">
        <f t="array" ref="N15">_xlfn.IFS(ISBLANK(A14), "", TRUE, VLOOKUP(F15, $AH$30:$AI$35, 2, FALSE))</f>
        <v>5.0000000000000001E-3</v>
      </c>
      <c r="O15" cm="1">
        <f t="array" ref="O15">_xlfn.IFS(ISBLANK(A14), "", H15="yes", 0, TRUE, VLOOKUP(G15, $AH$30:$AI$35, 2, FALSE))</f>
        <v>0</v>
      </c>
      <c r="P15" cm="1">
        <f t="array" ref="P15">_xlfn.IFS(ISBLANK(A14), "", TRUE, VLOOKUP($F15, $AH$39:$AI$44, 2, FALSE))</f>
        <v>0.2</v>
      </c>
      <c r="Q15" cm="1">
        <f t="array" ref="Q15">_xlfn.IFS(ISBLANK(A14), "", H15="yes",0, TRUE, VLOOKUP($G15, $AH$39:$AI$44, 2, FALSE))</f>
        <v>0</v>
      </c>
      <c r="R15">
        <f>A14*M15</f>
        <v>1319.9999999999998</v>
      </c>
      <c r="S15">
        <f>IF(ISBLANK(A14), "", R15*(1-Q15-N15))</f>
        <v>1313.3999999999999</v>
      </c>
      <c r="T15">
        <v>1</v>
      </c>
      <c r="U15">
        <f>IF(ISBLANK(A14), "", IF(D14="yes", 1, 0))</f>
        <v>1</v>
      </c>
      <c r="V15">
        <f t="shared" si="0"/>
        <v>0.02</v>
      </c>
      <c r="W15" cm="1">
        <f t="array" ref="W15">_xlfn.IFS(ISBLANK(A14), "",F15="Stockpile (Solid storage)", R15*U15*V15, TRUE, 0)</f>
        <v>26.399999999999995</v>
      </c>
      <c r="X15" cm="1">
        <f t="array" ref="X15">_xlfn.IFS(ISBLANK(A14), "",H15="yes",R15,TRUE, S15*T15)</f>
        <v>1319.9999999999998</v>
      </c>
      <c r="Y15">
        <f>IF(ISBLANK(A14), "", (X15*(1-O15-Q15)-W15)*E14)</f>
        <v>1034.8799999999999</v>
      </c>
      <c r="Z15">
        <f>IF(ISBLANK(A14), "", (X15*(1-O15-Q15)-W15)*(1 - E14))</f>
        <v>258.71999999999986</v>
      </c>
      <c r="AA15">
        <f>IF(ISBLANK(A14), "", IF(C14="wet", $AI$8, $AI$9))</f>
        <v>5.0000000000000001E-3</v>
      </c>
      <c r="AB15">
        <f>IF(ISBLANK(A14), "", $AI$12)</f>
        <v>1.5714285714285714</v>
      </c>
      <c r="AC15">
        <f>IF(ISBLANK(A14), "", Y15*AA15*AB15 / 1000)</f>
        <v>8.1311999999999999E-3</v>
      </c>
      <c r="AD15">
        <f>IF(ISBLANK(A14), "", Z15*AA15*AB15 / 1000)</f>
        <v>2.0327999999999991E-3</v>
      </c>
      <c r="AE15" t="str">
        <f>IF(ISBLANK(A15), "", Y15*AA15*AB15 / 1000)</f>
        <v/>
      </c>
    </row>
    <row r="16" spans="1:35" x14ac:dyDescent="0.2">
      <c r="A16">
        <v>3000</v>
      </c>
      <c r="B16" t="s">
        <v>87</v>
      </c>
      <c r="C16" t="s">
        <v>19</v>
      </c>
      <c r="D16" t="s">
        <v>77</v>
      </c>
      <c r="E16">
        <v>0.8</v>
      </c>
      <c r="F16" t="s">
        <v>78</v>
      </c>
      <c r="G16" t="s">
        <v>78</v>
      </c>
      <c r="H16" t="s">
        <v>80</v>
      </c>
      <c r="I16">
        <v>0.2</v>
      </c>
      <c r="J16">
        <v>0.7</v>
      </c>
      <c r="L16">
        <f>IF(ISBLANK(A16),"",J16*(1-I16))</f>
        <v>0.55999999999999994</v>
      </c>
      <c r="N16" cm="1">
        <f t="array" ref="N16">_xlfn.IFS(ISBLANK(A16), "", TRUE, VLOOKUP(F16, $AH$30:$AI$35, 2, FALSE))</f>
        <v>0.01</v>
      </c>
      <c r="O16" cm="1">
        <f t="array" ref="O16">_xlfn.IFS(ISBLANK(A16), "", H16="yes", 0, TRUE, VLOOKUP(G16, $AH$30:$AI$35, 2, FALSE))</f>
        <v>0.01</v>
      </c>
      <c r="P16" cm="1">
        <f t="array" ref="P16">_xlfn.IFS(ISBLANK(A16), "", TRUE, VLOOKUP($F16, $AH$39:$AI$44, 2, FALSE))</f>
        <v>0.125</v>
      </c>
      <c r="Q16" cm="1">
        <f t="array" ref="Q16">_xlfn.IFS(ISBLANK(A16), "", H16="yes",0, TRUE, VLOOKUP($G16, $AH$39:$AI$44, 2, FALSE))</f>
        <v>0.125</v>
      </c>
      <c r="R16">
        <f>A16*L16</f>
        <v>1679.9999999999998</v>
      </c>
      <c r="S16">
        <f>IF(ISBLANK(A16), "", R16*(1-P16-N16))</f>
        <v>1453.1999999999998</v>
      </c>
      <c r="T16">
        <v>0.5</v>
      </c>
      <c r="U16">
        <f>IF(ISBLANK(A16), "", IF(D16="yes", 1, 0))</f>
        <v>1</v>
      </c>
      <c r="V16">
        <f t="shared" si="0"/>
        <v>0.02</v>
      </c>
      <c r="W16" cm="1">
        <f t="array" ref="W16">_xlfn.IFS(ISBLANK(A16), "",F16="Stockpile (Solid storage)", R16*U16*V16, TRUE, 0)</f>
        <v>0</v>
      </c>
      <c r="X16" cm="1">
        <f t="array" ref="X16">_xlfn.IFS(ISBLANK(A16), "",H16="yes",R16,TRUE, S16*T16)</f>
        <v>726.59999999999991</v>
      </c>
      <c r="Y16">
        <f>IF(ISBLANK(A16), "", (X16*(1-O16-Q16)-W16)*E16)</f>
        <v>502.80719999999997</v>
      </c>
      <c r="Z16">
        <f>IF(ISBLANK(A16), "", (X16*(1-O16-Q16)-W16)*(1 -E16))</f>
        <v>125.70179999999995</v>
      </c>
      <c r="AA16">
        <f>IF(ISBLANK(A16), "", IF(C16="wet", $AI$8, $AI$9))</f>
        <v>5.0000000000000001E-3</v>
      </c>
      <c r="AB16">
        <f>IF(ISBLANK(A16), "", $AI$12)</f>
        <v>1.5714285714285714</v>
      </c>
      <c r="AC16">
        <f>IF(ISBLANK(A16), "", Y16*AA16*AB16 / 1000)</f>
        <v>3.9506280000000003E-3</v>
      </c>
      <c r="AD16">
        <f>IF(ISBLANK(B16), "", Z16*AA16*AB16 / 1000)</f>
        <v>9.8765699999999964E-4</v>
      </c>
      <c r="AE16">
        <f>IF(ISBLANK(A16), "", AC16+AC17)</f>
        <v>1.2081827999999999E-2</v>
      </c>
      <c r="AF16">
        <f>IF(ISBLANK(A16), "", AD16+AD17)</f>
        <v>3.020456999999999E-3</v>
      </c>
    </row>
    <row r="17" spans="1:35" x14ac:dyDescent="0.2">
      <c r="F17" t="s">
        <v>81</v>
      </c>
      <c r="H17" t="s">
        <v>77</v>
      </c>
      <c r="K17">
        <v>0.3</v>
      </c>
      <c r="M17">
        <f>IF(ISBLANK(A16), "", K17+(J16*I16))</f>
        <v>0.43999999999999995</v>
      </c>
      <c r="N17" cm="1">
        <f t="array" ref="N17">_xlfn.IFS(ISBLANK(A16), "", TRUE, VLOOKUP(F17, $AH$30:$AI$35, 2, FALSE))</f>
        <v>5.0000000000000001E-3</v>
      </c>
      <c r="O17" cm="1">
        <f t="array" ref="O17">_xlfn.IFS(ISBLANK(A16), "", H17="yes", 0, TRUE, VLOOKUP(G17, $AH$30:$AI$35, 2, FALSE))</f>
        <v>0</v>
      </c>
      <c r="P17" cm="1">
        <f t="array" ref="P17">_xlfn.IFS(ISBLANK(A16), "", TRUE, VLOOKUP($F17, $AH$39:$AI$44, 2, FALSE))</f>
        <v>0.2</v>
      </c>
      <c r="Q17" cm="1">
        <f t="array" ref="Q17">_xlfn.IFS(ISBLANK(A16), "", H17="yes",0, TRUE, VLOOKUP($G17, $AH$39:$AI$44, 2, FALSE))</f>
        <v>0</v>
      </c>
      <c r="R17">
        <f>A16*M17</f>
        <v>1319.9999999999998</v>
      </c>
      <c r="S17">
        <f>IF(ISBLANK(A16), "", R17*(1-Q17-N17))</f>
        <v>1313.3999999999999</v>
      </c>
      <c r="T17">
        <v>1</v>
      </c>
      <c r="U17">
        <f>IF(ISBLANK(A16), "", IF(D16="yes", 1, 0))</f>
        <v>1</v>
      </c>
      <c r="V17">
        <f t="shared" si="0"/>
        <v>0.02</v>
      </c>
      <c r="W17" cm="1">
        <f t="array" ref="W17">_xlfn.IFS(ISBLANK(A16), "",F17="Stockpile (Solid storage)", R17*U17*V17, TRUE, 0)</f>
        <v>26.399999999999995</v>
      </c>
      <c r="X17" cm="1">
        <f t="array" ref="X17">_xlfn.IFS(ISBLANK(A16), "",H17="yes",R17,TRUE, S17*T17)</f>
        <v>1319.9999999999998</v>
      </c>
      <c r="Y17">
        <f>IF(ISBLANK(A16), "", (X17*(1-O17-Q17)-W17)*E16)</f>
        <v>1034.8799999999999</v>
      </c>
      <c r="Z17">
        <f>IF(ISBLANK(A16), "", (X17*(1-O17-Q17)-W17)*(1 - E16))</f>
        <v>258.71999999999986</v>
      </c>
      <c r="AA17">
        <f>IF(ISBLANK(A16), "", IF(C16="wet", $AI$8, $AI$9))</f>
        <v>5.0000000000000001E-3</v>
      </c>
      <c r="AB17">
        <f>IF(ISBLANK(A16), "", $AI$12)</f>
        <v>1.5714285714285714</v>
      </c>
      <c r="AC17">
        <f>IF(ISBLANK(A16), "", Y17*AA17*AB17 / 1000)</f>
        <v>8.1311999999999999E-3</v>
      </c>
      <c r="AD17">
        <f>IF(ISBLANK(A16), "", Z17*AA17*AB17 / 1000)</f>
        <v>2.0327999999999991E-3</v>
      </c>
      <c r="AE17" t="str">
        <f>IF(ISBLANK(A17), "", Y17*AA17*AB17 / 1000)</f>
        <v/>
      </c>
    </row>
    <row r="18" spans="1:35" x14ac:dyDescent="0.2">
      <c r="A18">
        <v>3000</v>
      </c>
      <c r="B18" t="s">
        <v>88</v>
      </c>
      <c r="C18" t="s">
        <v>19</v>
      </c>
      <c r="D18" t="s">
        <v>77</v>
      </c>
      <c r="E18">
        <v>0.8</v>
      </c>
      <c r="F18" t="s">
        <v>78</v>
      </c>
      <c r="G18" t="s">
        <v>89</v>
      </c>
      <c r="H18" t="s">
        <v>80</v>
      </c>
      <c r="I18">
        <v>0.2</v>
      </c>
      <c r="J18">
        <v>0.7</v>
      </c>
      <c r="L18">
        <f>IF(ISBLANK(A18),"",J18*(1-I18))</f>
        <v>0.55999999999999994</v>
      </c>
      <c r="N18" cm="1">
        <f t="array" ref="N18">_xlfn.IFS(ISBLANK(A18), "", TRUE, VLOOKUP(F18, $AH$30:$AI$35, 2, FALSE))</f>
        <v>0.01</v>
      </c>
      <c r="O18" cm="1">
        <f t="array" ref="O18">_xlfn.IFS(ISBLANK(A18), "", H18="yes", 0, TRUE, VLOOKUP(G18, $AH$30:$AI$35, 2, FALSE))</f>
        <v>0</v>
      </c>
      <c r="P18" cm="1">
        <f t="array" ref="P18">_xlfn.IFS(ISBLANK(A18), "", TRUE, VLOOKUP($F18, $AH$39:$AI$44, 2, FALSE))</f>
        <v>0.125</v>
      </c>
      <c r="Q18" cm="1">
        <f t="array" ref="Q18">_xlfn.IFS(ISBLANK(A18), "", H18="yes",0, TRUE, VLOOKUP($G18, $AH$39:$AI$44, 2, FALSE))</f>
        <v>0.55000000000000004</v>
      </c>
      <c r="R18">
        <f>A18*L18</f>
        <v>1679.9999999999998</v>
      </c>
      <c r="S18">
        <f>IF(ISBLANK(A18), "", R18*(1-P18-N18))</f>
        <v>1453.1999999999998</v>
      </c>
      <c r="T18">
        <v>0.5</v>
      </c>
      <c r="U18">
        <f>IF(ISBLANK(A18), "", IF(D18="yes", 1, 0))</f>
        <v>1</v>
      </c>
      <c r="V18">
        <f t="shared" si="0"/>
        <v>0.02</v>
      </c>
      <c r="W18" cm="1">
        <f t="array" ref="W18">_xlfn.IFS(ISBLANK(A18), "",F18="Stockpile (Solid storage)", R18*U18*V18, TRUE, 0)</f>
        <v>0</v>
      </c>
      <c r="X18" cm="1">
        <f t="array" ref="X18">_xlfn.IFS(ISBLANK(A18), "",H18="yes",R18,TRUE, S18*T18)</f>
        <v>726.59999999999991</v>
      </c>
      <c r="Y18">
        <f>IF(ISBLANK(A18), "", (X18*(1-O18-Q18)-W18)*E18)</f>
        <v>261.57599999999996</v>
      </c>
      <c r="Z18">
        <f>IF(ISBLANK(A18), "", (X18*(1-O18-Q18)-W18)*(1 -E18))</f>
        <v>65.393999999999963</v>
      </c>
      <c r="AA18">
        <f>IF(ISBLANK(A18), "", IF(C18="wet", $AI$8, $AI$9))</f>
        <v>5.0000000000000001E-3</v>
      </c>
      <c r="AB18">
        <f>IF(ISBLANK(A18), "", $AI$12)</f>
        <v>1.5714285714285714</v>
      </c>
      <c r="AC18">
        <f>IF(ISBLANK(A18), "", Y18*AA18*AB18 / 1000)</f>
        <v>2.0552399999999998E-3</v>
      </c>
      <c r="AD18">
        <f>IF(ISBLANK(B18), "", Z18*AA18*AB18 / 1000)</f>
        <v>5.1380999999999964E-4</v>
      </c>
      <c r="AE18">
        <f>IF(ISBLANK(A18), "", AC18+AC19)</f>
        <v>1.018644E-2</v>
      </c>
      <c r="AF18">
        <f>IF(ISBLANK(A18), "", AD18+AD19)</f>
        <v>2.5466099999999986E-3</v>
      </c>
      <c r="AH18" t="s">
        <v>17</v>
      </c>
    </row>
    <row r="19" spans="1:35" x14ac:dyDescent="0.2">
      <c r="F19" t="s">
        <v>81</v>
      </c>
      <c r="H19" t="s">
        <v>77</v>
      </c>
      <c r="K19">
        <v>0.3</v>
      </c>
      <c r="M19">
        <f>IF(ISBLANK(A18), "", K19+(J18*I18))</f>
        <v>0.43999999999999995</v>
      </c>
      <c r="N19" cm="1">
        <f t="array" ref="N19">_xlfn.IFS(ISBLANK(A18), "", TRUE, VLOOKUP(F19, $AH$30:$AI$35, 2, FALSE))</f>
        <v>5.0000000000000001E-3</v>
      </c>
      <c r="O19" cm="1">
        <f t="array" ref="O19">_xlfn.IFS(ISBLANK(A18), "", H19="yes", 0, TRUE, VLOOKUP(G19, $AH$30:$AI$35, 2, FALSE))</f>
        <v>0</v>
      </c>
      <c r="P19" cm="1">
        <f t="array" ref="P19">_xlfn.IFS(ISBLANK(A18), "", TRUE, VLOOKUP($F19, $AH$39:$AI$44, 2, FALSE))</f>
        <v>0.2</v>
      </c>
      <c r="Q19" cm="1">
        <f t="array" ref="Q19">_xlfn.IFS(ISBLANK(A18), "", H19="yes",0, TRUE, VLOOKUP($G19, $AH$39:$AI$44, 2, FALSE))</f>
        <v>0</v>
      </c>
      <c r="R19">
        <f>A18*M19</f>
        <v>1319.9999999999998</v>
      </c>
      <c r="S19">
        <f>IF(ISBLANK(A18), "", R19*(1-Q19-N19))</f>
        <v>1313.3999999999999</v>
      </c>
      <c r="T19">
        <v>1</v>
      </c>
      <c r="U19">
        <f>IF(ISBLANK(A18), "", IF(D18="yes", 1, 0))</f>
        <v>1</v>
      </c>
      <c r="V19">
        <f t="shared" si="0"/>
        <v>0.02</v>
      </c>
      <c r="W19" cm="1">
        <f t="array" ref="W19">_xlfn.IFS(ISBLANK(A18), "",F19="Stockpile (Solid storage)", R19*U19*V19, TRUE, 0)</f>
        <v>26.399999999999995</v>
      </c>
      <c r="X19" cm="1">
        <f t="array" ref="X19">_xlfn.IFS(ISBLANK(A18), "",H19="yes",R19,TRUE, S19*T19)</f>
        <v>1319.9999999999998</v>
      </c>
      <c r="Y19">
        <f>IF(ISBLANK(A18), "", (X19*(1-O19-Q19)-W19)*E18)</f>
        <v>1034.8799999999999</v>
      </c>
      <c r="Z19">
        <f>IF(ISBLANK(A18), "", (X19*(1-O19-Q19)-W19)*(1 - E18))</f>
        <v>258.71999999999986</v>
      </c>
      <c r="AA19">
        <f>IF(ISBLANK(A18), "", IF(C18="wet", $AI$8, $AI$9))</f>
        <v>5.0000000000000001E-3</v>
      </c>
      <c r="AB19">
        <f>IF(ISBLANK(A18), "", $AI$12)</f>
        <v>1.5714285714285714</v>
      </c>
      <c r="AC19">
        <f>IF(ISBLANK(A18), "", Y19*AA19*AB19 / 1000)</f>
        <v>8.1311999999999999E-3</v>
      </c>
      <c r="AD19">
        <f>IF(ISBLANK(A18), "", Z19*AA19*AB19 / 1000)</f>
        <v>2.0327999999999991E-3</v>
      </c>
      <c r="AE19" t="str">
        <f>IF(ISBLANK(A19), "", Y19*AA19*AB19 / 1000)</f>
        <v/>
      </c>
      <c r="AH19" t="s">
        <v>18</v>
      </c>
    </row>
    <row r="20" spans="1:35" x14ac:dyDescent="0.2">
      <c r="A20">
        <v>3000</v>
      </c>
      <c r="B20" t="s">
        <v>90</v>
      </c>
      <c r="C20" t="s">
        <v>19</v>
      </c>
      <c r="D20" t="s">
        <v>77</v>
      </c>
      <c r="E20">
        <v>0.8</v>
      </c>
      <c r="F20" t="s">
        <v>78</v>
      </c>
      <c r="G20" t="s">
        <v>91</v>
      </c>
      <c r="H20" t="s">
        <v>80</v>
      </c>
      <c r="I20">
        <v>0.2</v>
      </c>
      <c r="J20">
        <v>0.7</v>
      </c>
      <c r="L20">
        <f>IF(ISBLANK(A20),"",J20*(1-I20))</f>
        <v>0.55999999999999994</v>
      </c>
      <c r="N20" cm="1">
        <f t="array" ref="N20">_xlfn.IFS(ISBLANK(A20), "", TRUE, VLOOKUP(F20, $AH$30:$AI$35, 2, FALSE))</f>
        <v>0.01</v>
      </c>
      <c r="O20" cm="1">
        <f t="array" ref="O20">_xlfn.IFS(ISBLANK(A20), "", H20="yes", 0, TRUE, VLOOKUP(G20, $AH$30:$AI$35, 2, FALSE))</f>
        <v>0</v>
      </c>
      <c r="P20" cm="1">
        <f t="array" ref="P20">_xlfn.IFS(ISBLANK(A20), "", TRUE, VLOOKUP($F20, $AH$39:$AI$44, 2, FALSE))</f>
        <v>0.125</v>
      </c>
      <c r="Q20" cm="1">
        <f t="array" ref="Q20">_xlfn.IFS(ISBLANK(A20), "", H20="yes",0, TRUE, VLOOKUP($G20, $AH$39:$AI$44, 2, FALSE))</f>
        <v>0</v>
      </c>
      <c r="R20">
        <f>A20*L20</f>
        <v>1679.9999999999998</v>
      </c>
      <c r="S20">
        <f>IF(ISBLANK(A20), "", R20*(1-P20-N20))</f>
        <v>1453.1999999999998</v>
      </c>
      <c r="T20">
        <v>0.5</v>
      </c>
      <c r="U20">
        <f>IF(ISBLANK(A20), "", IF(D20="yes", 1, 0))</f>
        <v>1</v>
      </c>
      <c r="V20">
        <f t="shared" si="0"/>
        <v>0.02</v>
      </c>
      <c r="W20" cm="1">
        <f t="array" ref="W20">_xlfn.IFS(ISBLANK(A20), "",F20="Stockpile (Solid storage)", R20*U20*V20, TRUE, 0)</f>
        <v>0</v>
      </c>
      <c r="X20" cm="1">
        <f t="array" ref="X20">_xlfn.IFS(ISBLANK(A20), "",H20="yes",R20,TRUE, S20*T20)</f>
        <v>726.59999999999991</v>
      </c>
      <c r="Y20">
        <f>IF(ISBLANK(A20), "", (X20*(1-O20-Q20)-W20)*E20)</f>
        <v>581.28</v>
      </c>
      <c r="Z20">
        <f>IF(ISBLANK(A20), "", (X20*(1-O20-Q20)-W20)*(1 -E20))</f>
        <v>145.31999999999994</v>
      </c>
      <c r="AA20">
        <f>IF(ISBLANK(A20), "", IF(C20="wet", $AI$8, $AI$9))</f>
        <v>5.0000000000000001E-3</v>
      </c>
      <c r="AB20">
        <f>IF(ISBLANK(A20), "", $AI$12)</f>
        <v>1.5714285714285714</v>
      </c>
      <c r="AC20">
        <f>IF(ISBLANK(A20), "", Y20*AA20*AB20 / 1000)</f>
        <v>4.5671999999999996E-3</v>
      </c>
      <c r="AD20">
        <f>IF(ISBLANK(B20), "", Z20*AA20*AB20 / 1000)</f>
        <v>1.1417999999999995E-3</v>
      </c>
      <c r="AE20">
        <f>IF(ISBLANK(A20), "", AC20+AC21)</f>
        <v>1.2698399999999999E-2</v>
      </c>
      <c r="AF20">
        <f>IF(ISBLANK(A20), "", AD20+AD21)</f>
        <v>3.1745999999999988E-3</v>
      </c>
      <c r="AH20" t="s">
        <v>20</v>
      </c>
      <c r="AI20">
        <v>2.9000000000000001E-2</v>
      </c>
    </row>
    <row r="21" spans="1:35" x14ac:dyDescent="0.2">
      <c r="F21" t="s">
        <v>81</v>
      </c>
      <c r="H21" t="s">
        <v>77</v>
      </c>
      <c r="K21">
        <v>0.3</v>
      </c>
      <c r="M21">
        <f>IF(ISBLANK(A20), "", K21+(J20*I20))</f>
        <v>0.43999999999999995</v>
      </c>
      <c r="N21" cm="1">
        <f t="array" ref="N21">_xlfn.IFS(ISBLANK(A20), "", TRUE, VLOOKUP(F21, $AH$30:$AI$35, 2, FALSE))</f>
        <v>5.0000000000000001E-3</v>
      </c>
      <c r="O21" cm="1">
        <f t="array" ref="O21">_xlfn.IFS(ISBLANK(A20), "", H21="yes", 0, TRUE, VLOOKUP(G21, $AH$30:$AI$35, 2, FALSE))</f>
        <v>0</v>
      </c>
      <c r="P21" cm="1">
        <f t="array" ref="P21">_xlfn.IFS(ISBLANK(A20), "", TRUE, VLOOKUP($F21, $AH$39:$AI$44, 2, FALSE))</f>
        <v>0.2</v>
      </c>
      <c r="Q21" cm="1">
        <f t="array" ref="Q21">_xlfn.IFS(ISBLANK(A20), "", H21="yes",0, TRUE, VLOOKUP($G21, $AH$39:$AI$44, 2, FALSE))</f>
        <v>0</v>
      </c>
      <c r="R21">
        <f>A20*M21</f>
        <v>1319.9999999999998</v>
      </c>
      <c r="S21">
        <f>IF(ISBLANK(A20), "", R21*(1-Q21-N21))</f>
        <v>1313.3999999999999</v>
      </c>
      <c r="T21">
        <v>1</v>
      </c>
      <c r="U21">
        <f>IF(ISBLANK(A20), "", IF(D20="yes", 1, 0))</f>
        <v>1</v>
      </c>
      <c r="V21">
        <f t="shared" si="0"/>
        <v>0.02</v>
      </c>
      <c r="W21" cm="1">
        <f t="array" ref="W21">_xlfn.IFS(ISBLANK(A20), "",F21="Stockpile (Solid storage)", R21*U21*V21, TRUE, 0)</f>
        <v>26.399999999999995</v>
      </c>
      <c r="X21" cm="1">
        <f t="array" ref="X21">_xlfn.IFS(ISBLANK(A20), "",H21="yes",R21,TRUE, S21*T21)</f>
        <v>1319.9999999999998</v>
      </c>
      <c r="Y21">
        <f>IF(ISBLANK(A20), "", (X21*(1-O21-Q21)-W21)*E20)</f>
        <v>1034.8799999999999</v>
      </c>
      <c r="Z21">
        <f>IF(ISBLANK(A20), "", (X21*(1-O21-Q21)-W21)*(1 - E20))</f>
        <v>258.71999999999986</v>
      </c>
      <c r="AA21">
        <f>IF(ISBLANK(A20), "", IF(C20="wet", $AI$8, $AI$9))</f>
        <v>5.0000000000000001E-3</v>
      </c>
      <c r="AB21">
        <f>IF(ISBLANK(A20), "", $AI$12)</f>
        <v>1.5714285714285714</v>
      </c>
      <c r="AC21">
        <f>IF(ISBLANK(A20), "", Y21*AA21*AB21 / 1000)</f>
        <v>8.1311999999999999E-3</v>
      </c>
      <c r="AD21">
        <f>IF(ISBLANK(A20), "", Z21*AA21*AB21 / 1000)</f>
        <v>2.0327999999999991E-3</v>
      </c>
      <c r="AE21" t="str">
        <f>IF(ISBLANK(A21), "", Y21*AA21*AB21 / 1000)</f>
        <v/>
      </c>
      <c r="AH21" t="s">
        <v>21</v>
      </c>
      <c r="AI21">
        <v>2.3E-2</v>
      </c>
    </row>
    <row r="22" spans="1:35" x14ac:dyDescent="0.2">
      <c r="A22">
        <v>3000</v>
      </c>
      <c r="B22" t="s">
        <v>92</v>
      </c>
      <c r="C22" t="s">
        <v>16</v>
      </c>
      <c r="D22" t="s">
        <v>77</v>
      </c>
      <c r="E22">
        <v>0.8</v>
      </c>
      <c r="F22" t="s">
        <v>78</v>
      </c>
      <c r="G22" t="s">
        <v>91</v>
      </c>
      <c r="H22" t="s">
        <v>80</v>
      </c>
      <c r="I22">
        <v>0</v>
      </c>
      <c r="J22">
        <v>1</v>
      </c>
      <c r="L22">
        <f>IF(ISBLANK(A22),"",J22*(1-I22))</f>
        <v>1</v>
      </c>
      <c r="N22" cm="1">
        <f t="array" ref="N22">_xlfn.IFS(ISBLANK(A22), "", TRUE, VLOOKUP(F22, $AH$30:$AI$35, 2, FALSE))</f>
        <v>0.01</v>
      </c>
      <c r="O22" cm="1">
        <f t="array" ref="O22">_xlfn.IFS(ISBLANK(A22), "", H22="yes", 0, TRUE, VLOOKUP(G22, $AH$30:$AI$35, 2, FALSE))</f>
        <v>0</v>
      </c>
      <c r="P22" cm="1">
        <f t="array" ref="P22">_xlfn.IFS(ISBLANK(A22), "", TRUE, VLOOKUP($F22, $AH$39:$AI$44, 2, FALSE))</f>
        <v>0.125</v>
      </c>
      <c r="Q22" cm="1">
        <f t="array" ref="Q22">_xlfn.IFS(ISBLANK(A22), "", H22="yes",0, TRUE, VLOOKUP($G22, $AH$39:$AI$44, 2, FALSE))</f>
        <v>0</v>
      </c>
      <c r="R22">
        <f>A22*L22</f>
        <v>3000</v>
      </c>
      <c r="S22">
        <f>IF(ISBLANK(A22), "", R22*(1-P22-N22))</f>
        <v>2595</v>
      </c>
      <c r="T22">
        <v>0.5</v>
      </c>
      <c r="U22">
        <f>IF(ISBLANK(A22), "", IF(D22="yes", 1, 0))</f>
        <v>1</v>
      </c>
      <c r="V22">
        <f t="shared" si="0"/>
        <v>0.02</v>
      </c>
      <c r="W22" cm="1">
        <f t="array" ref="W22">_xlfn.IFS(ISBLANK(A22), "",F22="Stockpile (Solid storage)", R22*U22*V22, TRUE, 0)</f>
        <v>0</v>
      </c>
      <c r="X22" cm="1">
        <f t="array" ref="X22">_xlfn.IFS(ISBLANK(A22), "",H22="yes",R22,TRUE, S22*T22)</f>
        <v>1297.5</v>
      </c>
      <c r="Y22">
        <f>IF(ISBLANK(A22), "", (X22*(1-O22-Q22)-W22)*E22)</f>
        <v>1038</v>
      </c>
      <c r="Z22">
        <f>IF(ISBLANK(A22), "", (X22*(1-O22-Q22)-W22)*(1 -E22))</f>
        <v>259.49999999999994</v>
      </c>
      <c r="AA22">
        <f>IF(ISBLANK(A22), "", IF(C22="wet", $AI$8, $AI$9))</f>
        <v>6.0000000000000001E-3</v>
      </c>
      <c r="AB22">
        <f>IF(ISBLANK(A22), "", $AI$12)</f>
        <v>1.5714285714285714</v>
      </c>
      <c r="AC22">
        <f>IF(ISBLANK(A22), "", Y22*AA22*AB22 / 1000)</f>
        <v>9.7868571428571423E-3</v>
      </c>
      <c r="AD22">
        <f>IF(ISBLANK(B22), "", Z22*AA22*AB22 / 1000)</f>
        <v>2.4467142857142851E-3</v>
      </c>
      <c r="AE22">
        <f>IF(ISBLANK(A22), "", AC22+AC23)</f>
        <v>9.7868571428571423E-3</v>
      </c>
      <c r="AF22">
        <f>IF(ISBLANK(A22), "", AD22+AD23)</f>
        <v>2.4467142857142851E-3</v>
      </c>
      <c r="AH22" t="s">
        <v>15</v>
      </c>
      <c r="AI22">
        <v>0.51</v>
      </c>
    </row>
    <row r="23" spans="1:35" x14ac:dyDescent="0.2">
      <c r="F23" t="s">
        <v>81</v>
      </c>
      <c r="H23" t="s">
        <v>77</v>
      </c>
      <c r="K23">
        <v>0</v>
      </c>
      <c r="M23">
        <f>IF(ISBLANK(A22), "", K23+(J22*I22))</f>
        <v>0</v>
      </c>
      <c r="N23" cm="1">
        <f t="array" ref="N23">_xlfn.IFS(ISBLANK(A22), "", TRUE, VLOOKUP(F23, $AH$30:$AI$35, 2, FALSE))</f>
        <v>5.0000000000000001E-3</v>
      </c>
      <c r="O23" cm="1">
        <f t="array" ref="O23">_xlfn.IFS(ISBLANK(A22), "", H23="yes", 0, TRUE, VLOOKUP(G23, $AH$30:$AI$35, 2, FALSE))</f>
        <v>0</v>
      </c>
      <c r="P23" cm="1">
        <f t="array" ref="P23">_xlfn.IFS(ISBLANK(A22), "", TRUE, VLOOKUP($F23, $AH$39:$AI$44, 2, FALSE))</f>
        <v>0.2</v>
      </c>
      <c r="Q23" cm="1">
        <f t="array" ref="Q23">_xlfn.IFS(ISBLANK(A22), "", H23="yes",0, TRUE, VLOOKUP($G23, $AH$39:$AI$44, 2, FALSE))</f>
        <v>0</v>
      </c>
      <c r="R23">
        <f>A22*M23</f>
        <v>0</v>
      </c>
      <c r="S23">
        <f>IF(ISBLANK(A22), "", R23*(1-Q23-N23))</f>
        <v>0</v>
      </c>
      <c r="T23">
        <v>1</v>
      </c>
      <c r="U23">
        <f>IF(ISBLANK(A22), "", IF(D22="yes", 1, 0))</f>
        <v>1</v>
      </c>
      <c r="V23">
        <f t="shared" si="0"/>
        <v>0.02</v>
      </c>
      <c r="W23" cm="1">
        <f t="array" ref="W23">_xlfn.IFS(ISBLANK(A22), "",F23="Stockpile (Solid storage)", R23*U23*V23, TRUE, 0)</f>
        <v>0</v>
      </c>
      <c r="X23" cm="1">
        <f t="array" ref="X23">_xlfn.IFS(ISBLANK(A22), "",H23="yes",R23,TRUE, S23*T23)</f>
        <v>0</v>
      </c>
      <c r="Y23">
        <f>IF(ISBLANK(A22), "", (X23*(1-O23-Q23)-W23)*E22)</f>
        <v>0</v>
      </c>
      <c r="Z23">
        <f>IF(ISBLANK(A22), "", (X23*(1-O23-Q23)-W23)*(1 - E22))</f>
        <v>0</v>
      </c>
      <c r="AA23">
        <f>IF(ISBLANK(A22), "", IF(C22="wet", $AI$8, $AI$9))</f>
        <v>6.0000000000000001E-3</v>
      </c>
      <c r="AB23">
        <f>IF(ISBLANK(A22), "", $AI$12)</f>
        <v>1.5714285714285714</v>
      </c>
      <c r="AC23">
        <f>IF(ISBLANK(A22), "", Y23*AA23*AB23 / 1000)</f>
        <v>0</v>
      </c>
      <c r="AD23">
        <f>IF(ISBLANK(A22), "", Z23*AA23*AB23 / 1000)</f>
        <v>0</v>
      </c>
      <c r="AE23" t="str">
        <f>IF(ISBLANK(A23), "", Y23*AA23*AB23 / 1000)</f>
        <v/>
      </c>
      <c r="AH23" t="s">
        <v>23</v>
      </c>
      <c r="AI23">
        <v>0.41</v>
      </c>
    </row>
    <row r="24" spans="1:35" x14ac:dyDescent="0.2">
      <c r="A24">
        <v>3000</v>
      </c>
      <c r="B24" t="s">
        <v>76</v>
      </c>
      <c r="C24" t="s">
        <v>16</v>
      </c>
      <c r="D24" t="s">
        <v>77</v>
      </c>
      <c r="E24">
        <v>0.8</v>
      </c>
      <c r="F24" t="s">
        <v>78</v>
      </c>
      <c r="H24" t="s">
        <v>77</v>
      </c>
      <c r="I24">
        <v>0.2</v>
      </c>
      <c r="J24">
        <v>0.7</v>
      </c>
      <c r="L24">
        <f>IF(ISBLANK(A24),"",J24*(1-I24))</f>
        <v>0.55999999999999994</v>
      </c>
      <c r="N24" cm="1">
        <f t="array" ref="N24">_xlfn.IFS(ISBLANK(A24), "", TRUE, VLOOKUP(F24, $AH$30:$AI$35, 2, FALSE))</f>
        <v>0.01</v>
      </c>
      <c r="O24" cm="1">
        <f t="array" ref="O24">_xlfn.IFS(ISBLANK(A24), "", H24="yes", 0, TRUE, VLOOKUP(G24, $AH$30:$AI$35, 2, FALSE))</f>
        <v>0</v>
      </c>
      <c r="P24" cm="1">
        <f t="array" ref="P24">_xlfn.IFS(ISBLANK(A24), "", TRUE, VLOOKUP($F24, $AH$39:$AI$44, 2, FALSE))</f>
        <v>0.125</v>
      </c>
      <c r="Q24" cm="1">
        <f t="array" ref="Q24">_xlfn.IFS(ISBLANK(A24), "", H24="yes",0, TRUE, VLOOKUP($G24, $AH$39:$AI$44, 2, FALSE))</f>
        <v>0</v>
      </c>
      <c r="R24">
        <f>A24*L24</f>
        <v>1679.9999999999998</v>
      </c>
      <c r="S24">
        <f>IF(ISBLANK(A24), "", R24*(1-P24-N24))</f>
        <v>1453.1999999999998</v>
      </c>
      <c r="T24">
        <v>0.5</v>
      </c>
      <c r="U24">
        <f>IF(ISBLANK(A24), "", IF(D24="yes", 1, 0))</f>
        <v>1</v>
      </c>
      <c r="V24">
        <f t="shared" si="0"/>
        <v>0.02</v>
      </c>
      <c r="W24" cm="1">
        <f t="array" ref="W24">_xlfn.IFS(ISBLANK(A24), "",F24="Stockpile (Solid storage)", R24*U24*V24, TRUE, 0)</f>
        <v>0</v>
      </c>
      <c r="X24" cm="1">
        <f t="array" ref="X24">_xlfn.IFS(ISBLANK(A24), "",H24="yes",R24,TRUE, S24*T24)</f>
        <v>1679.9999999999998</v>
      </c>
      <c r="Y24">
        <f>IF(ISBLANK(A24), "", (X24*(1-O24-Q24)-W24)*E24)</f>
        <v>1344</v>
      </c>
      <c r="Z24">
        <f>IF(ISBLANK(A24), "", (X24*(1-O24-Q24)-W24)*(1 -E24))</f>
        <v>335.99999999999989</v>
      </c>
      <c r="AA24">
        <f>IF(ISBLANK(A24), "", IF(C24="wet", $AI$8, $AI$9))</f>
        <v>6.0000000000000001E-3</v>
      </c>
      <c r="AB24">
        <f>IF(ISBLANK(A24), "", $AI$12)</f>
        <v>1.5714285714285714</v>
      </c>
      <c r="AC24">
        <f>IF(ISBLANK(A24), "", Y24*AA24*AB24 / 1000)</f>
        <v>1.2672000000000001E-2</v>
      </c>
      <c r="AD24">
        <f>IF(ISBLANK(B24), "", Z24*AA24*AB24 / 1000)</f>
        <v>3.1679999999999994E-3</v>
      </c>
      <c r="AE24">
        <f>IF(ISBLANK(A24), "", AC24+AC25)</f>
        <v>2.2429440000000002E-2</v>
      </c>
      <c r="AF24">
        <f>IF(ISBLANK(A24), "", AD24+AD25)</f>
        <v>5.6073599999999987E-3</v>
      </c>
      <c r="AH24" t="s">
        <v>22</v>
      </c>
      <c r="AI24">
        <v>3.3000000000000002E-2</v>
      </c>
    </row>
    <row r="25" spans="1:35" x14ac:dyDescent="0.2">
      <c r="F25" t="s">
        <v>81</v>
      </c>
      <c r="H25" t="s">
        <v>77</v>
      </c>
      <c r="K25">
        <v>0.3</v>
      </c>
      <c r="M25">
        <f>IF(ISBLANK(A24), "", K25+(J24*I24))</f>
        <v>0.43999999999999995</v>
      </c>
      <c r="N25" cm="1">
        <f t="array" ref="N25">_xlfn.IFS(ISBLANK(A24), "", TRUE, VLOOKUP(F25, $AH$30:$AI$35, 2, FALSE))</f>
        <v>5.0000000000000001E-3</v>
      </c>
      <c r="O25" cm="1">
        <f t="array" ref="O25">_xlfn.IFS(ISBLANK(A24), "", H25="yes", 0, TRUE, VLOOKUP(G25, $AH$30:$AI$35, 2, FALSE))</f>
        <v>0</v>
      </c>
      <c r="P25" cm="1">
        <f t="array" ref="P25">_xlfn.IFS(ISBLANK(A24), "", TRUE, VLOOKUP($F25, $AH$39:$AI$44, 2, FALSE))</f>
        <v>0.2</v>
      </c>
      <c r="Q25" cm="1">
        <f t="array" ref="Q25">_xlfn.IFS(ISBLANK(A24), "", H25="yes",0, TRUE, VLOOKUP($G25, $AH$39:$AI$44, 2, FALSE))</f>
        <v>0</v>
      </c>
      <c r="R25">
        <f>A24*M25</f>
        <v>1319.9999999999998</v>
      </c>
      <c r="S25">
        <f>IF(ISBLANK(A24), "", R25*(1-Q25-N25))</f>
        <v>1313.3999999999999</v>
      </c>
      <c r="T25">
        <v>1</v>
      </c>
      <c r="U25">
        <f>IF(ISBLANK(A24), "", IF(D24="yes", 1, 0))</f>
        <v>1</v>
      </c>
      <c r="V25">
        <f t="shared" si="0"/>
        <v>0.02</v>
      </c>
      <c r="W25" cm="1">
        <f t="array" ref="W25">_xlfn.IFS(ISBLANK(A24), "",F25="Stockpile (Solid storage)", R25*U25*V25, TRUE, 0)</f>
        <v>26.399999999999995</v>
      </c>
      <c r="X25" cm="1">
        <f t="array" ref="X25">_xlfn.IFS(ISBLANK(A24), "",H25="yes",R25,TRUE, S25*T25)</f>
        <v>1319.9999999999998</v>
      </c>
      <c r="Y25">
        <f>IF(ISBLANK(A24), "", (X25*(1-O25-Q25)-W25)*E24)</f>
        <v>1034.8799999999999</v>
      </c>
      <c r="Z25">
        <f>IF(ISBLANK(A24), "", (X25*(1-O25-Q25)-W25)*(1 - E24))</f>
        <v>258.71999999999986</v>
      </c>
      <c r="AA25">
        <f>IF(ISBLANK(A24), "", IF(C24="wet", $AI$8, $AI$9))</f>
        <v>6.0000000000000001E-3</v>
      </c>
      <c r="AB25">
        <f>IF(ISBLANK(A24), "", $AI$12)</f>
        <v>1.5714285714285714</v>
      </c>
      <c r="AC25">
        <f>IF(ISBLANK(A24), "", Y25*AA25*AB25 / 1000)</f>
        <v>9.7574399999999992E-3</v>
      </c>
      <c r="AD25">
        <f>IF(ISBLANK(A24), "", Z25*AA25*AB25 / 1000)</f>
        <v>2.4393599999999989E-3</v>
      </c>
      <c r="AE25" t="str">
        <f>IF(ISBLANK(A25), "", Y25*AA25*AB25 / 1000)</f>
        <v/>
      </c>
      <c r="AH25" t="s">
        <v>24</v>
      </c>
      <c r="AI25">
        <v>1.2999999999999999E-2</v>
      </c>
    </row>
    <row r="26" spans="1:35" x14ac:dyDescent="0.2">
      <c r="Y26" t="str">
        <f>IF(ISBLANK(A26), "", A26* IF(ISBLANK(#REF!),#REF!,#REF!))</f>
        <v/>
      </c>
    </row>
    <row r="27" spans="1:35" x14ac:dyDescent="0.2">
      <c r="Y27" t="str">
        <f>IF(ISBLANK(A27), "", A27* IF(ISBLANK(#REF!),#REF!,#REF!))</f>
        <v/>
      </c>
      <c r="AH27" t="s">
        <v>23</v>
      </c>
    </row>
    <row r="28" spans="1:35" x14ac:dyDescent="0.2">
      <c r="AH28" t="s">
        <v>93</v>
      </c>
    </row>
    <row r="29" spans="1:35" x14ac:dyDescent="0.2">
      <c r="AH29" t="s">
        <v>94</v>
      </c>
    </row>
    <row r="30" spans="1:35" x14ac:dyDescent="0.2">
      <c r="AH30" t="s">
        <v>86</v>
      </c>
      <c r="AI30">
        <v>0.02</v>
      </c>
    </row>
    <row r="31" spans="1:35" x14ac:dyDescent="0.2">
      <c r="AH31" t="s">
        <v>78</v>
      </c>
      <c r="AI31">
        <v>0.01</v>
      </c>
    </row>
    <row r="32" spans="1:35" x14ac:dyDescent="0.2">
      <c r="AH32" t="s">
        <v>81</v>
      </c>
      <c r="AI32">
        <v>5.0000000000000001E-3</v>
      </c>
    </row>
    <row r="33" spans="34:35" x14ac:dyDescent="0.2">
      <c r="AH33" t="s">
        <v>89</v>
      </c>
      <c r="AI33">
        <v>0</v>
      </c>
    </row>
    <row r="34" spans="34:35" x14ac:dyDescent="0.2">
      <c r="AH34" t="s">
        <v>91</v>
      </c>
      <c r="AI34">
        <v>0</v>
      </c>
    </row>
    <row r="35" spans="34:35" x14ac:dyDescent="0.2">
      <c r="AH35" t="s">
        <v>79</v>
      </c>
      <c r="AI35">
        <v>2E-3</v>
      </c>
    </row>
    <row r="37" spans="34:35" x14ac:dyDescent="0.2">
      <c r="AH37" t="s">
        <v>95</v>
      </c>
    </row>
    <row r="38" spans="34:35" x14ac:dyDescent="0.2">
      <c r="AH38" t="s">
        <v>96</v>
      </c>
    </row>
    <row r="39" spans="34:35" x14ac:dyDescent="0.2">
      <c r="AH39" t="s">
        <v>86</v>
      </c>
      <c r="AI39">
        <v>0.3</v>
      </c>
    </row>
    <row r="40" spans="34:35" x14ac:dyDescent="0.2">
      <c r="AH40" t="s">
        <v>78</v>
      </c>
      <c r="AI40">
        <v>0.125</v>
      </c>
    </row>
    <row r="41" spans="34:35" x14ac:dyDescent="0.2">
      <c r="AH41" t="s">
        <v>81</v>
      </c>
      <c r="AI41">
        <v>0.2</v>
      </c>
    </row>
    <row r="42" spans="34:35" x14ac:dyDescent="0.2">
      <c r="AH42" t="s">
        <v>89</v>
      </c>
      <c r="AI42">
        <v>0.55000000000000004</v>
      </c>
    </row>
    <row r="43" spans="34:35" x14ac:dyDescent="0.2">
      <c r="AH43" t="s">
        <v>91</v>
      </c>
      <c r="AI43">
        <v>0</v>
      </c>
    </row>
    <row r="44" spans="34:35" x14ac:dyDescent="0.2">
      <c r="AH44" t="s">
        <v>79</v>
      </c>
      <c r="AI44">
        <v>0.25</v>
      </c>
    </row>
  </sheetData>
  <pageMargins left="0.7" right="0.7" top="0.75" bottom="0.75" header="0.3" footer="0.3"/>
  <ignoredErrors>
    <ignoredError sqref="A1:AI7 A26:AI44 A8:M8 R8:V8 A9:M9 R9:V9 A10:M10 R10:V10 A11:M11 R11:V11 A12:M12 R12:V12 A13:M13 R13:V13 A14:M14 R14:V14 A15:M15 R15:V15 A16:M16 R16:V16 A17:M17 R17:V17 A18:M18 R18:V18 A19:M19 R19:V19 A20:M20 R20:V20 A21:M21 R21:V21 A22:M22 R22:V22 A23:M23 R23:V23 A24:M24 R24:V24 A25:M25 R25:V25 Y8:AI8 Y9:AI9 Y10:AI10 Y11:AI11 Y12:AI12 Y13:AI13 Y14:AI14 Y15:AI15 Y16:AI16 Y17:AI17 Y18:AI18 Y19:AI19 Y20:AI20 Y21:AI21 Y22:AI22 Y23:AI23 Y24:AI24 Y25:AI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0"/>
  <sheetViews>
    <sheetView workbookViewId="0">
      <selection activeCell="AF18" sqref="AF18"/>
    </sheetView>
  </sheetViews>
  <sheetFormatPr baseColWidth="10" defaultRowHeight="16" x14ac:dyDescent="0.2"/>
  <sheetData>
    <row r="1" spans="1:39" x14ac:dyDescent="0.2">
      <c r="A1" t="s">
        <v>97</v>
      </c>
      <c r="D1" t="s">
        <v>98</v>
      </c>
      <c r="E1" t="s">
        <v>98</v>
      </c>
      <c r="F1" t="s">
        <v>98</v>
      </c>
      <c r="G1" t="s">
        <v>98</v>
      </c>
      <c r="H1" t="s">
        <v>98</v>
      </c>
      <c r="I1" t="s">
        <v>98</v>
      </c>
      <c r="J1" t="s">
        <v>98</v>
      </c>
      <c r="K1" t="s">
        <v>98</v>
      </c>
      <c r="Q1" t="s">
        <v>98</v>
      </c>
      <c r="R1" t="s">
        <v>98</v>
      </c>
      <c r="S1" t="s">
        <v>98</v>
      </c>
      <c r="T1" t="s">
        <v>98</v>
      </c>
      <c r="U1" t="s">
        <v>98</v>
      </c>
      <c r="V1" t="s">
        <v>98</v>
      </c>
      <c r="W1" t="s">
        <v>98</v>
      </c>
      <c r="X1" t="s">
        <v>98</v>
      </c>
      <c r="Y1" t="s">
        <v>98</v>
      </c>
      <c r="Z1" t="s">
        <v>98</v>
      </c>
      <c r="AA1" t="s">
        <v>98</v>
      </c>
      <c r="AB1" t="s">
        <v>98</v>
      </c>
      <c r="AC1" t="s">
        <v>98</v>
      </c>
      <c r="AD1" t="s">
        <v>98</v>
      </c>
      <c r="AE1" t="s">
        <v>98</v>
      </c>
      <c r="AF1" t="s">
        <v>98</v>
      </c>
      <c r="AG1" t="s">
        <v>98</v>
      </c>
      <c r="AH1" t="s">
        <v>98</v>
      </c>
      <c r="AI1" t="s">
        <v>98</v>
      </c>
    </row>
    <row r="2" spans="1:39" x14ac:dyDescent="0.2">
      <c r="AI2" t="s">
        <v>4</v>
      </c>
    </row>
    <row r="3" spans="1:39" x14ac:dyDescent="0.2">
      <c r="C3" t="s">
        <v>99</v>
      </c>
      <c r="I3" t="s">
        <v>100</v>
      </c>
      <c r="K3" t="s">
        <v>101</v>
      </c>
      <c r="W3" t="s">
        <v>102</v>
      </c>
    </row>
    <row r="4" spans="1:39" x14ac:dyDescent="0.2">
      <c r="H4" t="s">
        <v>103</v>
      </c>
      <c r="AB4" t="s">
        <v>104</v>
      </c>
    </row>
    <row r="5" spans="1:39" x14ac:dyDescent="0.2">
      <c r="X5" t="s">
        <v>105</v>
      </c>
      <c r="AE5" t="s">
        <v>106</v>
      </c>
    </row>
    <row r="6" spans="1:39" x14ac:dyDescent="0.2">
      <c r="A6" t="s">
        <v>107</v>
      </c>
      <c r="C6" t="s">
        <v>108</v>
      </c>
      <c r="D6" t="s">
        <v>109</v>
      </c>
      <c r="E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37</v>
      </c>
      <c r="M6" t="s">
        <v>38</v>
      </c>
      <c r="Q6" t="s">
        <v>115</v>
      </c>
      <c r="AB6" t="s">
        <v>116</v>
      </c>
      <c r="AE6" t="s">
        <v>117</v>
      </c>
    </row>
    <row r="7" spans="1:39" x14ac:dyDescent="0.2">
      <c r="A7" t="s">
        <v>118</v>
      </c>
      <c r="B7" t="s">
        <v>49</v>
      </c>
      <c r="C7" t="s">
        <v>119</v>
      </c>
      <c r="D7" t="s">
        <v>120</v>
      </c>
      <c r="E7" t="s">
        <v>121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48</v>
      </c>
      <c r="L7" t="s">
        <v>11</v>
      </c>
      <c r="M7" t="s">
        <v>51</v>
      </c>
      <c r="N7" t="s">
        <v>53</v>
      </c>
      <c r="O7" t="s">
        <v>127</v>
      </c>
      <c r="P7" t="s">
        <v>128</v>
      </c>
      <c r="Q7" t="s">
        <v>129</v>
      </c>
      <c r="R7" t="s">
        <v>130</v>
      </c>
      <c r="S7" t="s">
        <v>131</v>
      </c>
      <c r="T7" t="s">
        <v>132</v>
      </c>
      <c r="U7" t="s">
        <v>133</v>
      </c>
      <c r="V7" t="s">
        <v>62</v>
      </c>
      <c r="W7" t="s">
        <v>134</v>
      </c>
      <c r="X7" t="s">
        <v>69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141</v>
      </c>
      <c r="AF7" t="s">
        <v>71</v>
      </c>
      <c r="AG7" t="s">
        <v>13</v>
      </c>
      <c r="AH7" t="s">
        <v>3</v>
      </c>
      <c r="AI7" t="s">
        <v>74</v>
      </c>
      <c r="AJ7" t="s">
        <v>75</v>
      </c>
      <c r="AL7" t="s">
        <v>0</v>
      </c>
    </row>
    <row r="8" spans="1:39" x14ac:dyDescent="0.2">
      <c r="A8">
        <v>100</v>
      </c>
      <c r="B8" t="s">
        <v>76</v>
      </c>
      <c r="D8" cm="1">
        <f t="array" ref="D8">IF(ISBLANK(C8), _xlfn.IFS(A8&lt;=80,10.4,A8&lt;=200,10.8,TRUE,8.2),C8)</f>
        <v>10.8</v>
      </c>
      <c r="F8" cm="1">
        <f t="array" ref="F8">IF(ISBLANK(E8),_xlfn.IFS(A8&lt;=80,14,A8&lt;=200,12,TRUE,12),E8)</f>
        <v>12</v>
      </c>
      <c r="G8" cm="1">
        <f t="array" ref="G8">_xlfn.IFS(A8&lt;=80,20.4,A8&lt;=200,12.7,TRUE,7)</f>
        <v>12.7</v>
      </c>
      <c r="H8">
        <f t="shared" ref="H8:H17" si="0">IF(ISBLANK(J8),"",D8*(F8/100)/6.25)</f>
        <v>0.20736000000000002</v>
      </c>
      <c r="I8">
        <f t="shared" ref="I8:I17" si="1">IF(ISBLANK(J8), "", H8*(1-G8/100))</f>
        <v>0.18102528000000001</v>
      </c>
      <c r="J8">
        <v>500</v>
      </c>
      <c r="K8">
        <f t="shared" ref="K8:K17" si="2">IF(ISBLANK(J8),"",J8*I8*A8)</f>
        <v>9051.264000000001</v>
      </c>
      <c r="L8" t="s">
        <v>16</v>
      </c>
      <c r="M8">
        <v>0.8</v>
      </c>
      <c r="N8" t="s">
        <v>142</v>
      </c>
      <c r="O8" t="s">
        <v>80</v>
      </c>
      <c r="P8" t="s">
        <v>77</v>
      </c>
      <c r="Q8">
        <v>1</v>
      </c>
      <c r="R8">
        <f t="shared" ref="R8:R17" si="3">IF(ISBLANK(K8),"",K8)</f>
        <v>9051.264000000001</v>
      </c>
      <c r="S8">
        <f t="shared" ref="S8:S17" si="4">IF(ISBLANK(K8),"",VLOOKUP("Dry lot (Feedpad)",$AL$30:$AN$33, 3,FALSE))</f>
        <v>0.6</v>
      </c>
      <c r="T8">
        <f t="shared" ref="T8:T17" si="5">IF(ISBLANK(K8),"",VLOOKUP("Dry lot (Feedpad)",$AL$30:$AN$33, 2,FALSE))</f>
        <v>5.4000000000000003E-3</v>
      </c>
      <c r="U8">
        <f t="shared" ref="U8:U17" si="6">IF(ISBLANK(K8),"",VLOOKUP(N8,$AL$30:$AN$33, 2,FALSE))</f>
        <v>5.0000000000000001E-3</v>
      </c>
      <c r="V8">
        <f t="shared" ref="V8:V17" si="7">IF(ISBLANK(K8),"",VLOOKUP(N8,$AL$30:$AN$33, 3,FALSE))</f>
        <v>0.25</v>
      </c>
      <c r="W8">
        <f>IF(ISBLANK(K8),"", (R8*(1-S8-T8))-AB8)</f>
        <v>3390.6034944000007</v>
      </c>
      <c r="X8">
        <f t="shared" ref="X8:X17" si="8">IF(ISBLANK(K8),"",W8*Q8)</f>
        <v>3390.6034944000007</v>
      </c>
      <c r="Y8" cm="1">
        <f t="array" ref="Y8">_xlfn.IFS(ISBLANK(K8),"",P8="yes",0.02,TRUE,0)</f>
        <v>0.02</v>
      </c>
      <c r="Z8">
        <f t="shared" ref="Z8:Z17" si="9">IF(ISBLANK(K8),"",VLOOKUP("Uncovered anaerobic lagoon (Effluent pond)",$AL$30:$AN$33, 2,FALSE))</f>
        <v>0</v>
      </c>
      <c r="AA8">
        <f t="shared" ref="AA8:AA17" si="10">IF(ISBLANK(K8),"",VLOOKUP("Uncovered anaerobic lagoon (Effluent pond)",$AL$30:$AN$33, 3,FALSE))</f>
        <v>0.35</v>
      </c>
      <c r="AB8" cm="1">
        <f t="array" ref="AB8">_xlfn.IFS(ISBLANK(K8), "",TRUE, K8*Y8)</f>
        <v>181.02528000000004</v>
      </c>
      <c r="AC8">
        <f t="shared" ref="AC8:AC17" si="11">IF(ISBLANK(K8),"", X8*(1-U8-V8))</f>
        <v>2525.9996033280004</v>
      </c>
      <c r="AD8">
        <f t="shared" ref="AD8:AD17" si="12">IF(ISBLANK(K8),"", AB8*(1-Z8-AA8))</f>
        <v>117.66643200000003</v>
      </c>
      <c r="AE8" cm="1">
        <f t="array" ref="AE8">_xlfn.IFS(ISBLANK(K8),"",O8="yes",W8*M8, TRUE, (AC8+AD8)*M8)</f>
        <v>2114.9328282624006</v>
      </c>
      <c r="AF8" cm="1">
        <f t="array" ref="AF8">_xlfn.IFS(ISBLANK(K8),"",O8="yes", W8*(1-M8),TRUE, (AC8+AD8)*(1-M8))</f>
        <v>528.73320706559991</v>
      </c>
      <c r="AG8">
        <f t="shared" ref="AG8:AG17" si="13">IF(ISBLANK(K8), "", IF(L8="wet", $AM$8, $AM$9))</f>
        <v>6.0000000000000001E-3</v>
      </c>
      <c r="AH8">
        <f t="shared" ref="AH8:AH17" si="14">IF(ISBLANK(K8), "", $AM$12)</f>
        <v>1.5714285714285714</v>
      </c>
      <c r="AI8">
        <f t="shared" ref="AI8:AI17" si="15">IF(ISBLANK(K8), "", AE8*AG8*AH8/1000)</f>
        <v>1.9940795237902632E-2</v>
      </c>
      <c r="AJ8">
        <f t="shared" ref="AJ8:AJ17" si="16">IF(ISBLANK(K8), "", AF8*AG8*AH8/1000)</f>
        <v>4.9851988094756555E-3</v>
      </c>
      <c r="AL8" t="s">
        <v>1</v>
      </c>
      <c r="AM8">
        <v>6.0000000000000001E-3</v>
      </c>
    </row>
    <row r="9" spans="1:39" x14ac:dyDescent="0.2">
      <c r="A9">
        <v>100</v>
      </c>
      <c r="B9" t="s">
        <v>143</v>
      </c>
      <c r="C9">
        <v>10.1</v>
      </c>
      <c r="D9" cm="1">
        <f t="array" ref="D9">IF(ISBLANK(C9), _xludf.IFS(A9&lt;=80,10.4,A9&lt;=200,10.8,TRUE,8.2),C9)</f>
        <v>10.1</v>
      </c>
      <c r="F9" cm="1">
        <f t="array" ref="F9">IF(ISBLANK(E9),_xlfn.IFS(A9&lt;=80,14,A9&lt;=200,12,TRUE,12),E9)</f>
        <v>12</v>
      </c>
      <c r="G9" cm="1">
        <f t="array" ref="G9">_xlfn.IFS(A9&lt;=80,20.4,A9&lt;=200,12.7,TRUE,7)</f>
        <v>12.7</v>
      </c>
      <c r="H9">
        <f t="shared" si="0"/>
        <v>0.19391999999999998</v>
      </c>
      <c r="I9">
        <f t="shared" si="1"/>
        <v>0.16929216</v>
      </c>
      <c r="J9">
        <v>500</v>
      </c>
      <c r="K9">
        <f t="shared" si="2"/>
        <v>8464.6080000000002</v>
      </c>
      <c r="L9" t="s">
        <v>16</v>
      </c>
      <c r="M9">
        <v>0.8</v>
      </c>
      <c r="N9" t="s">
        <v>142</v>
      </c>
      <c r="O9" t="s">
        <v>80</v>
      </c>
      <c r="P9" t="s">
        <v>77</v>
      </c>
      <c r="Q9">
        <v>1</v>
      </c>
      <c r="R9">
        <f t="shared" si="3"/>
        <v>8464.6080000000002</v>
      </c>
      <c r="S9">
        <f t="shared" si="4"/>
        <v>0.6</v>
      </c>
      <c r="T9">
        <f t="shared" si="5"/>
        <v>5.4000000000000003E-3</v>
      </c>
      <c r="U9">
        <f t="shared" si="6"/>
        <v>5.0000000000000001E-3</v>
      </c>
      <c r="V9">
        <f t="shared" si="7"/>
        <v>0.25</v>
      </c>
      <c r="W9">
        <f t="shared" ref="W9:W17" si="17">IF(ISBLANK(K9),"", (R9*(1-S9-T9))-AB9)</f>
        <v>3170.8421568000003</v>
      </c>
      <c r="X9">
        <f t="shared" si="8"/>
        <v>3170.8421568000003</v>
      </c>
      <c r="Y9" cm="1">
        <f t="array" ref="Y9">_xlfn.IFS(ISBLANK(K9),"",P9="yes",0.02,TRUE,0)</f>
        <v>0.02</v>
      </c>
      <c r="Z9">
        <f t="shared" si="9"/>
        <v>0</v>
      </c>
      <c r="AA9">
        <f t="shared" si="10"/>
        <v>0.35</v>
      </c>
      <c r="AB9" cm="1">
        <f t="array" ref="AB9">_xlfn.IFS(ISBLANK(K9), "",TRUE, K9*Y9)</f>
        <v>169.29216</v>
      </c>
      <c r="AC9">
        <f t="shared" si="11"/>
        <v>2362.2774068160002</v>
      </c>
      <c r="AD9">
        <f t="shared" si="12"/>
        <v>110.03990400000001</v>
      </c>
      <c r="AE9" cm="1">
        <f t="array" ref="AE9">_xlfn.IFS(ISBLANK(K9),"",O9="yes",W9*M9, TRUE, (AC9+AD9)*M9)</f>
        <v>1977.8538486528005</v>
      </c>
      <c r="AF9" cm="1">
        <f t="array" ref="AF9">_xlfn.IFS(ISBLANK(K9),"",O9="yes", W9*(1-M9),TRUE, (AC9+AD9)*(1-M9))</f>
        <v>494.46346216319995</v>
      </c>
      <c r="AG9">
        <f t="shared" si="13"/>
        <v>6.0000000000000001E-3</v>
      </c>
      <c r="AH9">
        <f t="shared" si="14"/>
        <v>1.5714285714285714</v>
      </c>
      <c r="AI9">
        <f t="shared" si="15"/>
        <v>1.8648336287297829E-2</v>
      </c>
      <c r="AJ9">
        <f t="shared" si="16"/>
        <v>4.6620840718244565E-3</v>
      </c>
      <c r="AL9" t="s">
        <v>2</v>
      </c>
      <c r="AM9">
        <v>5.0000000000000001E-3</v>
      </c>
    </row>
    <row r="10" spans="1:39" x14ac:dyDescent="0.2">
      <c r="A10">
        <v>100</v>
      </c>
      <c r="B10" t="s">
        <v>144</v>
      </c>
      <c r="D10" cm="1">
        <f t="array" ref="D10">IF(ISBLANK(C10), _xlfn.IFS(A10&lt;=80,10.4,A10&lt;=200,10.8,TRUE,8.2),C10)</f>
        <v>10.8</v>
      </c>
      <c r="E10">
        <v>13.5</v>
      </c>
      <c r="F10" cm="1">
        <f t="array" ref="F10">IF(ISBLANK(E10),_xlfn.IFS(A10&lt;=80,14,A10&lt;=200,12,TRUE,12),E10)</f>
        <v>13.5</v>
      </c>
      <c r="G10" cm="1">
        <f t="array" ref="G10">_xlfn.IFS(A10&lt;=80,20.4,A10&lt;=200,12.7,TRUE,7)</f>
        <v>12.7</v>
      </c>
      <c r="H10">
        <f t="shared" si="0"/>
        <v>0.23328000000000004</v>
      </c>
      <c r="I10">
        <f t="shared" si="1"/>
        <v>0.20365344000000005</v>
      </c>
      <c r="J10">
        <v>500</v>
      </c>
      <c r="K10">
        <f t="shared" si="2"/>
        <v>10182.672000000002</v>
      </c>
      <c r="L10" t="s">
        <v>16</v>
      </c>
      <c r="M10">
        <v>0.8</v>
      </c>
      <c r="N10" t="s">
        <v>142</v>
      </c>
      <c r="O10" t="s">
        <v>80</v>
      </c>
      <c r="P10" t="s">
        <v>77</v>
      </c>
      <c r="Q10">
        <v>1</v>
      </c>
      <c r="R10">
        <f t="shared" si="3"/>
        <v>10182.672000000002</v>
      </c>
      <c r="S10">
        <f t="shared" si="4"/>
        <v>0.6</v>
      </c>
      <c r="T10">
        <f t="shared" si="5"/>
        <v>5.4000000000000003E-3</v>
      </c>
      <c r="U10">
        <f t="shared" si="6"/>
        <v>5.0000000000000001E-3</v>
      </c>
      <c r="V10">
        <f t="shared" si="7"/>
        <v>0.25</v>
      </c>
      <c r="W10">
        <f>IF(ISBLANK(K10),"", (R10*(1-S10-T10))-AB10)</f>
        <v>3814.428931200001</v>
      </c>
      <c r="X10">
        <f>IF(ISBLANK(K10),"",W10*Q10)</f>
        <v>3814.428931200001</v>
      </c>
      <c r="Y10" cm="1">
        <f t="array" ref="Y10">_xlfn.IFS(ISBLANK(K10),"",P10="yes",0.02,TRUE,0)</f>
        <v>0.02</v>
      </c>
      <c r="Z10">
        <f t="shared" si="9"/>
        <v>0</v>
      </c>
      <c r="AA10">
        <f t="shared" si="10"/>
        <v>0.35</v>
      </c>
      <c r="AB10" cm="1">
        <f t="array" ref="AB10">_xlfn.IFS(ISBLANK(K10), "",TRUE, K10*Y10)</f>
        <v>203.65344000000005</v>
      </c>
      <c r="AC10">
        <f t="shared" si="11"/>
        <v>2841.7495537440009</v>
      </c>
      <c r="AD10">
        <f t="shared" si="12"/>
        <v>132.37473600000004</v>
      </c>
      <c r="AE10" cm="1">
        <f t="array" ref="AE10">_xlfn.IFS(ISBLANK(K10),"",O10="yes",W10*M10, TRUE, (AC10+AD10)*M10)</f>
        <v>2379.2994317952011</v>
      </c>
      <c r="AF10" cm="1">
        <f t="array" ref="AF10">_xlfn.IFS(ISBLANK(K10),"",O10="yes", W10*(1-M10),TRUE, (AC10+AD10)*(1-M10))</f>
        <v>594.82485794880006</v>
      </c>
      <c r="AG10">
        <f t="shared" si="13"/>
        <v>6.0000000000000001E-3</v>
      </c>
      <c r="AH10">
        <f t="shared" si="14"/>
        <v>1.5714285714285714</v>
      </c>
      <c r="AI10">
        <f t="shared" si="15"/>
        <v>2.2433394642640467E-2</v>
      </c>
      <c r="AJ10">
        <f t="shared" si="16"/>
        <v>5.6083486606601151E-3</v>
      </c>
    </row>
    <row r="11" spans="1:39" x14ac:dyDescent="0.2">
      <c r="A11">
        <v>100</v>
      </c>
      <c r="B11" t="s">
        <v>145</v>
      </c>
      <c r="D11" cm="1">
        <f t="array" ref="D11">IF(ISBLANK(C11), _xlfn.IFS(A11&lt;=80,10.4,A11&lt;=200,10.8,TRUE,8.2),C11)</f>
        <v>10.8</v>
      </c>
      <c r="F11" cm="1">
        <f t="array" ref="F11">IF(ISBLANK(E11),_xlfn.IFS(A11&lt;=80,14,A11&lt;=200,12,TRUE,12),E11)</f>
        <v>12</v>
      </c>
      <c r="G11" cm="1">
        <f t="array" ref="G11">_xlfn.IFS(A11&lt;=80,20.4,A11&lt;=200,12.7,TRUE,7)</f>
        <v>12.7</v>
      </c>
      <c r="H11">
        <f t="shared" si="0"/>
        <v>0.20736000000000002</v>
      </c>
      <c r="I11">
        <f t="shared" si="1"/>
        <v>0.18102528000000001</v>
      </c>
      <c r="J11">
        <v>500</v>
      </c>
      <c r="K11">
        <f t="shared" si="2"/>
        <v>9051.264000000001</v>
      </c>
      <c r="L11" t="s">
        <v>19</v>
      </c>
      <c r="M11">
        <v>0.8</v>
      </c>
      <c r="N11" t="s">
        <v>142</v>
      </c>
      <c r="O11" t="s">
        <v>80</v>
      </c>
      <c r="P11" t="s">
        <v>77</v>
      </c>
      <c r="Q11">
        <v>1</v>
      </c>
      <c r="R11">
        <f t="shared" si="3"/>
        <v>9051.264000000001</v>
      </c>
      <c r="S11">
        <f t="shared" si="4"/>
        <v>0.6</v>
      </c>
      <c r="T11">
        <f t="shared" si="5"/>
        <v>5.4000000000000003E-3</v>
      </c>
      <c r="U11">
        <f t="shared" si="6"/>
        <v>5.0000000000000001E-3</v>
      </c>
      <c r="V11">
        <f t="shared" si="7"/>
        <v>0.25</v>
      </c>
      <c r="W11">
        <f t="shared" si="17"/>
        <v>3390.6034944000007</v>
      </c>
      <c r="X11">
        <f t="shared" si="8"/>
        <v>3390.6034944000007</v>
      </c>
      <c r="Y11" cm="1">
        <f t="array" ref="Y11">_xlfn.IFS(ISBLANK(K11),"",P11="yes",0.02,TRUE,0)</f>
        <v>0.02</v>
      </c>
      <c r="Z11">
        <f t="shared" si="9"/>
        <v>0</v>
      </c>
      <c r="AA11">
        <f t="shared" si="10"/>
        <v>0.35</v>
      </c>
      <c r="AB11" cm="1">
        <f t="array" ref="AB11">_xlfn.IFS(ISBLANK(K11), "",TRUE, K11*Y11)</f>
        <v>181.02528000000004</v>
      </c>
      <c r="AC11">
        <f t="shared" si="11"/>
        <v>2525.9996033280004</v>
      </c>
      <c r="AD11">
        <f t="shared" si="12"/>
        <v>117.66643200000003</v>
      </c>
      <c r="AE11" cm="1">
        <f t="array" ref="AE11">_xlfn.IFS(ISBLANK(K11),"",O11="yes",W11*M11, TRUE, (AC11+AD11)*M11)</f>
        <v>2114.9328282624006</v>
      </c>
      <c r="AF11" cm="1">
        <f t="array" ref="AF11">_xlfn.IFS(ISBLANK(K11),"",O11="yes", W11*(1-M11),TRUE, (AC11+AD11)*(1-M11))</f>
        <v>528.73320706559991</v>
      </c>
      <c r="AG11">
        <f t="shared" si="13"/>
        <v>5.0000000000000001E-3</v>
      </c>
      <c r="AH11">
        <f t="shared" si="14"/>
        <v>1.5714285714285714</v>
      </c>
      <c r="AI11">
        <f t="shared" si="15"/>
        <v>1.6617329364918859E-2</v>
      </c>
      <c r="AJ11">
        <f t="shared" si="16"/>
        <v>4.1543323412297139E-3</v>
      </c>
    </row>
    <row r="12" spans="1:39" x14ac:dyDescent="0.2">
      <c r="A12">
        <v>100</v>
      </c>
      <c r="B12" t="s">
        <v>146</v>
      </c>
      <c r="D12" cm="1">
        <f t="array" ref="D12">IF(ISBLANK(C12), _xlfn.IFS(A12&lt;=80,10.4,A12&lt;=200,10.8,TRUE,8.2),C12)</f>
        <v>10.8</v>
      </c>
      <c r="F12" cm="1">
        <f t="array" ref="F12">IF(ISBLANK(E12),_xlfn.IFS(A12&lt;=80,14,A12&lt;=200,12,TRUE,12),E12)</f>
        <v>12</v>
      </c>
      <c r="G12" cm="1">
        <f t="array" ref="G12">_xlfn.IFS(A12&lt;=80,20.4,A12&lt;=200,12.7,TRUE,7)</f>
        <v>12.7</v>
      </c>
      <c r="H12">
        <f t="shared" si="0"/>
        <v>0.20736000000000002</v>
      </c>
      <c r="I12">
        <f t="shared" si="1"/>
        <v>0.18102528000000001</v>
      </c>
      <c r="J12">
        <v>500</v>
      </c>
      <c r="K12">
        <f t="shared" si="2"/>
        <v>9051.264000000001</v>
      </c>
      <c r="L12" t="s">
        <v>16</v>
      </c>
      <c r="M12">
        <v>0.8</v>
      </c>
      <c r="N12" t="s">
        <v>147</v>
      </c>
      <c r="O12" t="s">
        <v>80</v>
      </c>
      <c r="P12" t="s">
        <v>77</v>
      </c>
      <c r="Q12">
        <v>1</v>
      </c>
      <c r="R12">
        <f t="shared" si="3"/>
        <v>9051.264000000001</v>
      </c>
      <c r="S12">
        <f t="shared" si="4"/>
        <v>0.6</v>
      </c>
      <c r="T12">
        <f t="shared" si="5"/>
        <v>5.4000000000000003E-3</v>
      </c>
      <c r="U12">
        <f t="shared" si="6"/>
        <v>0.01</v>
      </c>
      <c r="V12">
        <f t="shared" si="7"/>
        <v>0.4</v>
      </c>
      <c r="W12">
        <f t="shared" si="17"/>
        <v>3390.6034944000007</v>
      </c>
      <c r="X12">
        <f t="shared" si="8"/>
        <v>3390.6034944000007</v>
      </c>
      <c r="Y12" cm="1">
        <f t="array" ref="Y12">_xlfn.IFS(ISBLANK(K12),"",P12="yes",0.02,TRUE,0)</f>
        <v>0.02</v>
      </c>
      <c r="Z12">
        <f t="shared" si="9"/>
        <v>0</v>
      </c>
      <c r="AA12">
        <f t="shared" si="10"/>
        <v>0.35</v>
      </c>
      <c r="AB12" cm="1">
        <f t="array" ref="AB12">_xlfn.IFS(ISBLANK(K12), "",TRUE, K12*Y12)</f>
        <v>181.02528000000004</v>
      </c>
      <c r="AC12">
        <f t="shared" si="11"/>
        <v>2000.4560616960002</v>
      </c>
      <c r="AD12">
        <f t="shared" si="12"/>
        <v>117.66643200000003</v>
      </c>
      <c r="AE12" cm="1">
        <f t="array" ref="AE12">_xlfn.IFS(ISBLANK(K12),"",O12="yes",W12*M12, TRUE, (AC12+AD12)*M12)</f>
        <v>1694.4979949568003</v>
      </c>
      <c r="AF12" cm="1">
        <f t="array" ref="AF12">_xlfn.IFS(ISBLANK(K12),"",O12="yes", W12*(1-M12),TRUE, (AC12+AD12)*(1-M12))</f>
        <v>423.62449873919996</v>
      </c>
      <c r="AG12">
        <f t="shared" si="13"/>
        <v>6.0000000000000001E-3</v>
      </c>
      <c r="AH12">
        <f t="shared" si="14"/>
        <v>1.5714285714285714</v>
      </c>
      <c r="AI12">
        <f t="shared" si="15"/>
        <v>1.5976695381021259E-2</v>
      </c>
      <c r="AJ12">
        <f t="shared" si="16"/>
        <v>3.9941738452553138E-3</v>
      </c>
      <c r="AL12" t="s">
        <v>3</v>
      </c>
      <c r="AM12">
        <f>44/28</f>
        <v>1.5714285714285714</v>
      </c>
    </row>
    <row r="13" spans="1:39" x14ac:dyDescent="0.2">
      <c r="A13">
        <v>100</v>
      </c>
      <c r="B13" t="s">
        <v>148</v>
      </c>
      <c r="D13" cm="1">
        <f t="array" ref="D13">IF(ISBLANK(C13), _xlfn.IFS(A13&lt;=80,10.4,A13&lt;=200,10.8,TRUE,8.2),C13)</f>
        <v>10.8</v>
      </c>
      <c r="F13" cm="1">
        <f t="array" ref="F13">IF(ISBLANK(E13),_xlfn.IFS(A13&lt;=80,14,A13&lt;=200,12,TRUE,12),E13)</f>
        <v>12</v>
      </c>
      <c r="G13" cm="1">
        <f t="array" ref="G13">_xlfn.IFS(A13&lt;=80,20.4,A13&lt;=200,12.7,TRUE,7)</f>
        <v>12.7</v>
      </c>
      <c r="H13">
        <f t="shared" si="0"/>
        <v>0.20736000000000002</v>
      </c>
      <c r="I13">
        <f t="shared" si="1"/>
        <v>0.18102528000000001</v>
      </c>
      <c r="J13">
        <v>500</v>
      </c>
      <c r="K13">
        <f t="shared" si="2"/>
        <v>9051.264000000001</v>
      </c>
      <c r="L13" t="s">
        <v>16</v>
      </c>
      <c r="M13">
        <v>0.8</v>
      </c>
      <c r="N13" t="s">
        <v>142</v>
      </c>
      <c r="O13" t="s">
        <v>77</v>
      </c>
      <c r="P13" t="s">
        <v>77</v>
      </c>
      <c r="Q13">
        <v>1</v>
      </c>
      <c r="R13">
        <f t="shared" si="3"/>
        <v>9051.264000000001</v>
      </c>
      <c r="S13">
        <f t="shared" si="4"/>
        <v>0.6</v>
      </c>
      <c r="T13">
        <f t="shared" si="5"/>
        <v>5.4000000000000003E-3</v>
      </c>
      <c r="U13">
        <f t="shared" si="6"/>
        <v>5.0000000000000001E-3</v>
      </c>
      <c r="V13">
        <f t="shared" si="7"/>
        <v>0.25</v>
      </c>
      <c r="W13">
        <f t="shared" si="17"/>
        <v>3390.6034944000007</v>
      </c>
      <c r="X13">
        <f t="shared" si="8"/>
        <v>3390.6034944000007</v>
      </c>
      <c r="Y13" cm="1">
        <f t="array" ref="Y13">_xlfn.IFS(ISBLANK(K13),"",P13="yes",0.02,TRUE,0)</f>
        <v>0.02</v>
      </c>
      <c r="Z13">
        <f t="shared" si="9"/>
        <v>0</v>
      </c>
      <c r="AA13">
        <f t="shared" si="10"/>
        <v>0.35</v>
      </c>
      <c r="AB13" cm="1">
        <f t="array" ref="AB13">_xlfn.IFS(ISBLANK(K13), "",TRUE, K13*Y13)</f>
        <v>181.02528000000004</v>
      </c>
      <c r="AC13">
        <f t="shared" si="11"/>
        <v>2525.9996033280004</v>
      </c>
      <c r="AD13">
        <f t="shared" si="12"/>
        <v>117.66643200000003</v>
      </c>
      <c r="AE13" cm="1">
        <f t="array" ref="AE13">_xlfn.IFS(ISBLANK(K13),"",O13="yes",W13*M13, TRUE, (AC13+AD13)*M13)</f>
        <v>2712.4827955200008</v>
      </c>
      <c r="AF13" cm="1">
        <f t="array" ref="AF13">_xlfn.IFS(ISBLANK(K13),"",O13="yes", W13*(1-M13),TRUE, (AC13+AD13)*(1-M13))</f>
        <v>678.12069887999996</v>
      </c>
      <c r="AG13">
        <f t="shared" si="13"/>
        <v>6.0000000000000001E-3</v>
      </c>
      <c r="AH13">
        <f t="shared" si="14"/>
        <v>1.5714285714285714</v>
      </c>
      <c r="AI13">
        <f t="shared" si="15"/>
        <v>2.5574837786331437E-2</v>
      </c>
      <c r="AJ13">
        <f t="shared" si="16"/>
        <v>6.3937094465828567E-3</v>
      </c>
      <c r="AL13" t="s">
        <v>84</v>
      </c>
      <c r="AM13">
        <v>0.02</v>
      </c>
    </row>
    <row r="14" spans="1:39" x14ac:dyDescent="0.2">
      <c r="A14">
        <v>100</v>
      </c>
      <c r="B14" t="s">
        <v>149</v>
      </c>
      <c r="D14" cm="1">
        <f t="array" ref="D14">IF(ISBLANK(C14), _xlfn.IFS(A14&lt;=80,10.4,A14&lt;=200,10.8,TRUE,8.2),C14)</f>
        <v>10.8</v>
      </c>
      <c r="F14" cm="1">
        <f t="array" ref="F14">IF(ISBLANK(E14),_xlfn.IFS(A14&lt;=80,14,A14&lt;=200,12,TRUE,12),E14)</f>
        <v>12</v>
      </c>
      <c r="G14" cm="1">
        <f t="array" ref="G14">_xlfn.IFS(A14&lt;=80,20.4,A14&lt;=200,12.7,TRUE,7)</f>
        <v>12.7</v>
      </c>
      <c r="H14">
        <f t="shared" si="0"/>
        <v>0.20736000000000002</v>
      </c>
      <c r="I14">
        <f t="shared" si="1"/>
        <v>0.18102528000000001</v>
      </c>
      <c r="J14">
        <v>500</v>
      </c>
      <c r="K14">
        <f t="shared" si="2"/>
        <v>9051.264000000001</v>
      </c>
      <c r="L14" t="s">
        <v>16</v>
      </c>
      <c r="M14">
        <v>0.8</v>
      </c>
      <c r="N14" t="s">
        <v>142</v>
      </c>
      <c r="O14" t="s">
        <v>80</v>
      </c>
      <c r="P14" t="s">
        <v>80</v>
      </c>
      <c r="Q14">
        <v>1</v>
      </c>
      <c r="R14">
        <f t="shared" si="3"/>
        <v>9051.264000000001</v>
      </c>
      <c r="S14">
        <f t="shared" si="4"/>
        <v>0.6</v>
      </c>
      <c r="T14">
        <f t="shared" si="5"/>
        <v>5.4000000000000003E-3</v>
      </c>
      <c r="U14">
        <f t="shared" si="6"/>
        <v>5.0000000000000001E-3</v>
      </c>
      <c r="V14">
        <f t="shared" si="7"/>
        <v>0.25</v>
      </c>
      <c r="W14">
        <f t="shared" si="17"/>
        <v>3571.6287744000006</v>
      </c>
      <c r="X14">
        <f t="shared" si="8"/>
        <v>3571.6287744000006</v>
      </c>
      <c r="Y14" cm="1">
        <f t="array" ref="Y14">_xlfn.IFS(ISBLANK(K14),"",P14="yes",0.02,TRUE,0)</f>
        <v>0</v>
      </c>
      <c r="Z14">
        <f t="shared" si="9"/>
        <v>0</v>
      </c>
      <c r="AA14">
        <f t="shared" si="10"/>
        <v>0.35</v>
      </c>
      <c r="AB14" cm="1">
        <f t="array" ref="AB14">_xlfn.IFS(ISBLANK(K14), "",TRUE, K14*Y14)</f>
        <v>0</v>
      </c>
      <c r="AC14">
        <f t="shared" si="11"/>
        <v>2660.8634369280003</v>
      </c>
      <c r="AD14">
        <f t="shared" si="12"/>
        <v>0</v>
      </c>
      <c r="AE14" cm="1">
        <f t="array" ref="AE14">_xlfn.IFS(ISBLANK(K14),"",O14="yes",W14*M14, TRUE, (AC14+AD14)*M14)</f>
        <v>2128.6907495424002</v>
      </c>
      <c r="AF14" cm="1">
        <f t="array" ref="AF14">_xlfn.IFS(ISBLANK(K14),"",O14="yes", W14*(1-M14),TRUE, (AC14+AD14)*(1-M14))</f>
        <v>532.17268738559994</v>
      </c>
      <c r="AG14">
        <f t="shared" si="13"/>
        <v>6.0000000000000001E-3</v>
      </c>
      <c r="AH14">
        <f t="shared" si="14"/>
        <v>1.5714285714285714</v>
      </c>
      <c r="AI14">
        <f t="shared" si="15"/>
        <v>2.0070512781399773E-2</v>
      </c>
      <c r="AJ14">
        <f t="shared" si="16"/>
        <v>5.0176281953499416E-3</v>
      </c>
    </row>
    <row r="15" spans="1:39" x14ac:dyDescent="0.2">
      <c r="A15">
        <v>100</v>
      </c>
      <c r="B15" t="s">
        <v>76</v>
      </c>
      <c r="D15" cm="1">
        <f t="array" ref="D15">IF(ISBLANK(C15), _xlfn.IFS(A15&lt;=80,10.4,A15&lt;=200,10.8,TRUE,8.2),C15)</f>
        <v>10.8</v>
      </c>
      <c r="F15" cm="1">
        <f t="array" ref="F15">IF(ISBLANK(E15),_xlfn.IFS(A15&lt;=80,14,A15&lt;=200,12,TRUE,12),E15)</f>
        <v>12</v>
      </c>
      <c r="G15" cm="1">
        <f t="array" ref="G15">_xlfn.IFS(A15&lt;=80,20.4,A15&lt;=200,12.7,TRUE,7)</f>
        <v>12.7</v>
      </c>
      <c r="H15">
        <f t="shared" si="0"/>
        <v>0.20736000000000002</v>
      </c>
      <c r="I15">
        <f t="shared" si="1"/>
        <v>0.18102528000000001</v>
      </c>
      <c r="J15">
        <v>500</v>
      </c>
      <c r="K15">
        <f t="shared" si="2"/>
        <v>9051.264000000001</v>
      </c>
      <c r="L15" t="s">
        <v>16</v>
      </c>
      <c r="M15">
        <v>0.8</v>
      </c>
      <c r="N15" t="s">
        <v>142</v>
      </c>
      <c r="O15" t="s">
        <v>80</v>
      </c>
      <c r="P15" t="s">
        <v>77</v>
      </c>
      <c r="Q15">
        <v>1</v>
      </c>
      <c r="R15">
        <f t="shared" si="3"/>
        <v>9051.264000000001</v>
      </c>
      <c r="S15">
        <f t="shared" si="4"/>
        <v>0.6</v>
      </c>
      <c r="T15">
        <f t="shared" si="5"/>
        <v>5.4000000000000003E-3</v>
      </c>
      <c r="U15">
        <f t="shared" si="6"/>
        <v>5.0000000000000001E-3</v>
      </c>
      <c r="V15">
        <f t="shared" si="7"/>
        <v>0.25</v>
      </c>
      <c r="W15">
        <f t="shared" si="17"/>
        <v>3390.6034944000007</v>
      </c>
      <c r="X15">
        <f t="shared" si="8"/>
        <v>3390.6034944000007</v>
      </c>
      <c r="Y15" cm="1">
        <f t="array" ref="Y15">_xlfn.IFS(ISBLANK(K15),"",P15="yes",0.02,TRUE,0)</f>
        <v>0.02</v>
      </c>
      <c r="Z15">
        <f t="shared" si="9"/>
        <v>0</v>
      </c>
      <c r="AA15">
        <f t="shared" si="10"/>
        <v>0.35</v>
      </c>
      <c r="AB15" cm="1">
        <f t="array" ref="AB15">_xlfn.IFS(ISBLANK(K15), "",TRUE, K15*Y15)</f>
        <v>181.02528000000004</v>
      </c>
      <c r="AC15">
        <f t="shared" si="11"/>
        <v>2525.9996033280004</v>
      </c>
      <c r="AD15">
        <f t="shared" si="12"/>
        <v>117.66643200000003</v>
      </c>
      <c r="AE15" cm="1">
        <f t="array" ref="AE15">_xlfn.IFS(ISBLANK(K15),"",O15="yes",W15*M15, TRUE, (AC15+AD15)*M15)</f>
        <v>2114.9328282624006</v>
      </c>
      <c r="AF15" cm="1">
        <f t="array" ref="AF15">_xlfn.IFS(ISBLANK(K15),"",O15="yes", W15*(1-M15),TRUE, (AC15+AD15)*(1-M15))</f>
        <v>528.73320706559991</v>
      </c>
      <c r="AG15">
        <f t="shared" si="13"/>
        <v>6.0000000000000001E-3</v>
      </c>
      <c r="AH15">
        <f t="shared" si="14"/>
        <v>1.5714285714285714</v>
      </c>
      <c r="AI15">
        <f t="shared" si="15"/>
        <v>1.9940795237902632E-2</v>
      </c>
      <c r="AJ15">
        <f t="shared" si="16"/>
        <v>4.9851988094756555E-3</v>
      </c>
    </row>
    <row r="16" spans="1:39" x14ac:dyDescent="0.2">
      <c r="A16">
        <v>100</v>
      </c>
      <c r="B16" t="s">
        <v>76</v>
      </c>
      <c r="D16" cm="1">
        <f t="array" ref="D16">IF(ISBLANK(C16), _xlfn.IFS(A16&lt;=80,10.4,A16&lt;=200,10.8,TRUE,8.2),C16)</f>
        <v>10.8</v>
      </c>
      <c r="F16" cm="1">
        <f t="array" ref="F16">IF(ISBLANK(E16),_xlfn.IFS(A16&lt;=80,14,A16&lt;=200,12,TRUE,12),E16)</f>
        <v>12</v>
      </c>
      <c r="G16" cm="1">
        <f t="array" ref="G16">_xlfn.IFS(A16&lt;=80,20.4,A16&lt;=200,12.7,TRUE,7)</f>
        <v>12.7</v>
      </c>
      <c r="H16">
        <f t="shared" si="0"/>
        <v>0.20736000000000002</v>
      </c>
      <c r="I16">
        <f t="shared" si="1"/>
        <v>0.18102528000000001</v>
      </c>
      <c r="J16">
        <v>500</v>
      </c>
      <c r="K16">
        <f t="shared" si="2"/>
        <v>9051.264000000001</v>
      </c>
      <c r="L16" t="s">
        <v>16</v>
      </c>
      <c r="M16">
        <v>0.8</v>
      </c>
      <c r="N16" t="s">
        <v>142</v>
      </c>
      <c r="O16" t="s">
        <v>80</v>
      </c>
      <c r="P16" t="s">
        <v>77</v>
      </c>
      <c r="Q16">
        <v>1</v>
      </c>
      <c r="R16">
        <f t="shared" si="3"/>
        <v>9051.264000000001</v>
      </c>
      <c r="S16">
        <f t="shared" si="4"/>
        <v>0.6</v>
      </c>
      <c r="T16">
        <f t="shared" si="5"/>
        <v>5.4000000000000003E-3</v>
      </c>
      <c r="U16">
        <f t="shared" si="6"/>
        <v>5.0000000000000001E-3</v>
      </c>
      <c r="V16">
        <f t="shared" si="7"/>
        <v>0.25</v>
      </c>
      <c r="W16">
        <f t="shared" si="17"/>
        <v>3390.6034944000007</v>
      </c>
      <c r="X16">
        <f t="shared" si="8"/>
        <v>3390.6034944000007</v>
      </c>
      <c r="Y16" cm="1">
        <f t="array" ref="Y16">_xlfn.IFS(ISBLANK(K16),"",P16="yes",0.02,TRUE,0)</f>
        <v>0.02</v>
      </c>
      <c r="Z16">
        <f t="shared" si="9"/>
        <v>0</v>
      </c>
      <c r="AA16">
        <f t="shared" si="10"/>
        <v>0.35</v>
      </c>
      <c r="AB16" cm="1">
        <f t="array" ref="AB16">_xlfn.IFS(ISBLANK(K16), "",TRUE, K16*Y16)</f>
        <v>181.02528000000004</v>
      </c>
      <c r="AC16">
        <f t="shared" si="11"/>
        <v>2525.9996033280004</v>
      </c>
      <c r="AD16">
        <f t="shared" si="12"/>
        <v>117.66643200000003</v>
      </c>
      <c r="AE16" cm="1">
        <f t="array" ref="AE16">_xlfn.IFS(ISBLANK(K16),"",O16="yes",W16*M16, TRUE, (AC16+AD16)*M16)</f>
        <v>2114.9328282624006</v>
      </c>
      <c r="AF16" cm="1">
        <f t="array" ref="AF16">_xlfn.IFS(ISBLANK(K16),"",O16="yes", W16*(1-M16),TRUE, (AC16+AD16)*(1-M16))</f>
        <v>528.73320706559991</v>
      </c>
      <c r="AG16">
        <f t="shared" si="13"/>
        <v>6.0000000000000001E-3</v>
      </c>
      <c r="AH16">
        <f t="shared" si="14"/>
        <v>1.5714285714285714</v>
      </c>
      <c r="AI16">
        <f t="shared" si="15"/>
        <v>1.9940795237902632E-2</v>
      </c>
      <c r="AJ16">
        <f t="shared" si="16"/>
        <v>4.9851988094756555E-3</v>
      </c>
    </row>
    <row r="17" spans="1:40" x14ac:dyDescent="0.2">
      <c r="A17">
        <v>100</v>
      </c>
      <c r="B17" t="s">
        <v>76</v>
      </c>
      <c r="D17" cm="1">
        <f t="array" ref="D17">IF(ISBLANK(C17), _xlfn.IFS(A17&lt;=80,10.4,A17&lt;=200,10.8,TRUE,8.2),C17)</f>
        <v>10.8</v>
      </c>
      <c r="F17" cm="1">
        <f t="array" ref="F17">IF(ISBLANK(E17),_xlfn.IFS(A17&lt;=80,14,A17&lt;=200,12,TRUE,12),E17)</f>
        <v>12</v>
      </c>
      <c r="G17" cm="1">
        <f t="array" ref="G17">_xlfn.IFS(A17&lt;=80,20.4,A17&lt;=200,12.7,TRUE,7)</f>
        <v>12.7</v>
      </c>
      <c r="H17">
        <f t="shared" si="0"/>
        <v>0.20736000000000002</v>
      </c>
      <c r="I17">
        <f t="shared" si="1"/>
        <v>0.18102528000000001</v>
      </c>
      <c r="J17">
        <v>500</v>
      </c>
      <c r="K17">
        <f t="shared" si="2"/>
        <v>9051.264000000001</v>
      </c>
      <c r="L17" t="s">
        <v>16</v>
      </c>
      <c r="M17">
        <v>0.8</v>
      </c>
      <c r="N17" t="s">
        <v>142</v>
      </c>
      <c r="O17" t="s">
        <v>80</v>
      </c>
      <c r="P17" t="s">
        <v>77</v>
      </c>
      <c r="Q17">
        <v>1</v>
      </c>
      <c r="R17">
        <f t="shared" si="3"/>
        <v>9051.264000000001</v>
      </c>
      <c r="S17">
        <f t="shared" si="4"/>
        <v>0.6</v>
      </c>
      <c r="T17">
        <f t="shared" si="5"/>
        <v>5.4000000000000003E-3</v>
      </c>
      <c r="U17">
        <f t="shared" si="6"/>
        <v>5.0000000000000001E-3</v>
      </c>
      <c r="V17">
        <f t="shared" si="7"/>
        <v>0.25</v>
      </c>
      <c r="W17">
        <f t="shared" si="17"/>
        <v>3390.6034944000007</v>
      </c>
      <c r="X17">
        <f t="shared" si="8"/>
        <v>3390.6034944000007</v>
      </c>
      <c r="Y17" cm="1">
        <f t="array" ref="Y17">_xlfn.IFS(ISBLANK(K17),"",P17="yes",0.02,TRUE,0)</f>
        <v>0.02</v>
      </c>
      <c r="Z17">
        <f t="shared" si="9"/>
        <v>0</v>
      </c>
      <c r="AA17">
        <f t="shared" si="10"/>
        <v>0.35</v>
      </c>
      <c r="AB17" cm="1">
        <f t="array" ref="AB17">_xlfn.IFS(ISBLANK(K17), "",TRUE, K17*Y17)</f>
        <v>181.02528000000004</v>
      </c>
      <c r="AC17">
        <f t="shared" si="11"/>
        <v>2525.9996033280004</v>
      </c>
      <c r="AD17">
        <f t="shared" si="12"/>
        <v>117.66643200000003</v>
      </c>
      <c r="AE17" cm="1">
        <f t="array" ref="AE17">_xlfn.IFS(ISBLANK(K17),"",O17="yes",W17*M17, TRUE, (AC17+AD17)*M17)</f>
        <v>2114.9328282624006</v>
      </c>
      <c r="AF17" cm="1">
        <f t="array" ref="AF17">_xlfn.IFS(ISBLANK(K17),"",O17="yes", W17*(1-M17),TRUE, (AC17+AD17)*(1-M17))</f>
        <v>528.73320706559991</v>
      </c>
      <c r="AG17">
        <f t="shared" si="13"/>
        <v>6.0000000000000001E-3</v>
      </c>
      <c r="AH17">
        <f t="shared" si="14"/>
        <v>1.5714285714285714</v>
      </c>
      <c r="AI17">
        <f t="shared" si="15"/>
        <v>1.9940795237902632E-2</v>
      </c>
      <c r="AJ17">
        <f t="shared" si="16"/>
        <v>4.9851988094756555E-3</v>
      </c>
    </row>
    <row r="26" spans="1:40" x14ac:dyDescent="0.2">
      <c r="AE26" t="str">
        <f>IF(ISBLANK(K26), "", K26* IF(ISBLANK(#REF!),#REF!,#REF!))</f>
        <v/>
      </c>
    </row>
    <row r="27" spans="1:40" x14ac:dyDescent="0.2">
      <c r="AE27" t="str">
        <f>IF(ISBLANK(K27), "", K27* IF(ISBLANK(#REF!),#REF!,#REF!))</f>
        <v/>
      </c>
      <c r="AL27" t="s">
        <v>150</v>
      </c>
    </row>
    <row r="28" spans="1:40" x14ac:dyDescent="0.2">
      <c r="AM28" t="s">
        <v>93</v>
      </c>
      <c r="AN28" t="s">
        <v>151</v>
      </c>
    </row>
    <row r="29" spans="1:40" x14ac:dyDescent="0.2">
      <c r="AL29" t="s">
        <v>152</v>
      </c>
    </row>
    <row r="30" spans="1:40" x14ac:dyDescent="0.2">
      <c r="AL30" t="s">
        <v>153</v>
      </c>
      <c r="AM30">
        <v>5.4000000000000003E-3</v>
      </c>
      <c r="AN30">
        <v>0.6</v>
      </c>
    </row>
    <row r="31" spans="1:40" x14ac:dyDescent="0.2">
      <c r="AL31" t="s">
        <v>142</v>
      </c>
      <c r="AM31">
        <v>5.0000000000000001E-3</v>
      </c>
      <c r="AN31">
        <v>0.25</v>
      </c>
    </row>
    <row r="32" spans="1:40" x14ac:dyDescent="0.2">
      <c r="AL32" t="s">
        <v>147</v>
      </c>
      <c r="AM32">
        <v>0.01</v>
      </c>
      <c r="AN32">
        <v>0.4</v>
      </c>
    </row>
    <row r="33" spans="38:40" x14ac:dyDescent="0.2">
      <c r="AL33" t="s">
        <v>154</v>
      </c>
      <c r="AM33">
        <v>0</v>
      </c>
      <c r="AN33">
        <v>0.35</v>
      </c>
    </row>
    <row r="36" spans="38:40" x14ac:dyDescent="0.2">
      <c r="AL36" t="s">
        <v>155</v>
      </c>
    </row>
    <row r="37" spans="38:40" x14ac:dyDescent="0.2">
      <c r="AL37" t="s">
        <v>156</v>
      </c>
    </row>
    <row r="38" spans="38:40" x14ac:dyDescent="0.2">
      <c r="AL38" t="s">
        <v>157</v>
      </c>
      <c r="AM38">
        <v>10.4</v>
      </c>
    </row>
    <row r="39" spans="38:40" x14ac:dyDescent="0.2">
      <c r="AL39" t="s">
        <v>158</v>
      </c>
      <c r="AM39">
        <v>10.8</v>
      </c>
    </row>
    <row r="40" spans="38:40" x14ac:dyDescent="0.2">
      <c r="AL40" t="s">
        <v>159</v>
      </c>
      <c r="AM40">
        <v>8.1999999999999993</v>
      </c>
    </row>
  </sheetData>
  <pageMargins left="0.7" right="0.7" top="0.75" bottom="0.75" header="0.3" footer="0.3"/>
  <ignoredErrors>
    <ignoredError sqref="A1:AN7 A9:E9 A8:C8 E8 A18:AN44 A10:C10 E10 A11:C11 E11 A12:C12 E12 A13:C13 E13 A14:C14 E14 A15:C15 E15 A16:C16 E16 A17:C17 E17 H8:V8 H9:X9 H10:V10 H11:X11 H12:X12 H13:X13 H14:X14 H15:X15 H16:X16 H17:X17 X8 AC8:AD8 AC9:AD9 Z8:AA8 Z9:AA9 Z10:AA10 Z11:AA11 Z12:AA12 Z13:AA13 Z14:AA14 Z15:AA15 Z16:AA16 Z17:AA17 AC10:AD10 AC11:AD11 AC12:AD12 AC13:AD13 AC14:AD14 AC15:AD15 AC16:AD16 AC17:AD17 AG8:AN8 AG9:AN9 AG10:AN10 AG11:AN11 AG12:AN12 AG13:AN13 AG14:AN14 AG15:AN15 AG16:AN16 AG17:AN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G96"/>
  <sheetViews>
    <sheetView workbookViewId="0">
      <selection activeCell="BU21" sqref="BU21"/>
    </sheetView>
  </sheetViews>
  <sheetFormatPr baseColWidth="10" defaultRowHeight="16" x14ac:dyDescent="0.2"/>
  <sheetData>
    <row r="3" spans="1:85" x14ac:dyDescent="0.2">
      <c r="J3" t="s">
        <v>160</v>
      </c>
      <c r="BX3" t="s">
        <v>161</v>
      </c>
    </row>
    <row r="4" spans="1:85" x14ac:dyDescent="0.2">
      <c r="D4" t="s">
        <v>162</v>
      </c>
      <c r="E4" t="s">
        <v>162</v>
      </c>
      <c r="F4" t="s">
        <v>162</v>
      </c>
      <c r="I4" t="s">
        <v>162</v>
      </c>
      <c r="J4" t="s">
        <v>162</v>
      </c>
      <c r="K4" t="s">
        <v>162</v>
      </c>
      <c r="R4" t="s">
        <v>162</v>
      </c>
      <c r="Y4" t="s">
        <v>162</v>
      </c>
      <c r="AJ4" t="s">
        <v>162</v>
      </c>
      <c r="AK4" t="s">
        <v>162</v>
      </c>
      <c r="AL4" t="s">
        <v>162</v>
      </c>
      <c r="AM4" t="s">
        <v>162</v>
      </c>
      <c r="AN4" t="s">
        <v>162</v>
      </c>
      <c r="AO4" t="s">
        <v>162</v>
      </c>
      <c r="AP4" t="s">
        <v>163</v>
      </c>
      <c r="AQ4" t="s">
        <v>163</v>
      </c>
      <c r="AR4" t="s">
        <v>163</v>
      </c>
      <c r="AS4" t="s">
        <v>163</v>
      </c>
      <c r="AT4" t="s">
        <v>163</v>
      </c>
      <c r="AU4" t="s">
        <v>163</v>
      </c>
      <c r="BP4" t="s">
        <v>164</v>
      </c>
      <c r="BQ4" t="s">
        <v>164</v>
      </c>
      <c r="BT4" t="s">
        <v>165</v>
      </c>
      <c r="BU4" t="s">
        <v>165</v>
      </c>
      <c r="CG4" t="s">
        <v>166</v>
      </c>
    </row>
    <row r="5" spans="1:85" x14ac:dyDescent="0.2">
      <c r="E5" t="s">
        <v>163</v>
      </c>
      <c r="F5" t="s">
        <v>163</v>
      </c>
      <c r="I5" t="s">
        <v>163</v>
      </c>
      <c r="J5" t="s">
        <v>167</v>
      </c>
      <c r="K5" t="s">
        <v>168</v>
      </c>
      <c r="P5" t="s">
        <v>169</v>
      </c>
      <c r="R5" t="s">
        <v>163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AO5" t="s">
        <v>177</v>
      </c>
      <c r="AP5" t="s">
        <v>163</v>
      </c>
      <c r="AQ5" t="s">
        <v>163</v>
      </c>
      <c r="AR5" t="s">
        <v>178</v>
      </c>
      <c r="AS5" t="s">
        <v>178</v>
      </c>
      <c r="AT5" t="s">
        <v>179</v>
      </c>
      <c r="AU5" t="s">
        <v>179</v>
      </c>
      <c r="BJ5" t="s">
        <v>180</v>
      </c>
      <c r="BK5" t="s">
        <v>181</v>
      </c>
      <c r="BL5" t="s">
        <v>182</v>
      </c>
      <c r="BM5" t="s">
        <v>183</v>
      </c>
      <c r="BX5" t="s">
        <v>184</v>
      </c>
      <c r="CG5" t="s">
        <v>185</v>
      </c>
    </row>
    <row r="6" spans="1:85" x14ac:dyDescent="0.2">
      <c r="C6">
        <v>897</v>
      </c>
      <c r="D6">
        <v>266</v>
      </c>
      <c r="E6" t="s">
        <v>186</v>
      </c>
      <c r="F6" t="s">
        <v>187</v>
      </c>
      <c r="G6" t="s">
        <v>188</v>
      </c>
      <c r="I6" t="s">
        <v>189</v>
      </c>
      <c r="J6" t="s">
        <v>190</v>
      </c>
      <c r="K6" t="s">
        <v>191</v>
      </c>
      <c r="L6" t="s">
        <v>192</v>
      </c>
      <c r="M6" t="s">
        <v>193</v>
      </c>
      <c r="O6" t="s">
        <v>194</v>
      </c>
      <c r="P6" t="s">
        <v>195</v>
      </c>
      <c r="R6" t="s">
        <v>196</v>
      </c>
      <c r="S6" t="s">
        <v>197</v>
      </c>
      <c r="T6" t="s">
        <v>198</v>
      </c>
      <c r="U6" t="s">
        <v>199</v>
      </c>
      <c r="V6" t="s">
        <v>200</v>
      </c>
      <c r="W6" t="s">
        <v>201</v>
      </c>
      <c r="X6" t="s">
        <v>202</v>
      </c>
      <c r="Y6" t="s">
        <v>203</v>
      </c>
      <c r="Z6" t="s">
        <v>204</v>
      </c>
      <c r="AA6" t="s">
        <v>204</v>
      </c>
      <c r="AB6" t="s">
        <v>204</v>
      </c>
      <c r="AC6" t="s">
        <v>204</v>
      </c>
      <c r="AD6">
        <v>930</v>
      </c>
      <c r="AE6">
        <v>932</v>
      </c>
      <c r="AF6" t="s">
        <v>205</v>
      </c>
      <c r="AG6" t="s">
        <v>206</v>
      </c>
      <c r="AH6">
        <v>913</v>
      </c>
      <c r="AJ6" t="s">
        <v>207</v>
      </c>
      <c r="AK6" t="s">
        <v>208</v>
      </c>
      <c r="AL6" t="s">
        <v>209</v>
      </c>
      <c r="AM6" t="s">
        <v>210</v>
      </c>
      <c r="AN6" t="s">
        <v>211</v>
      </c>
      <c r="AO6" t="s">
        <v>212</v>
      </c>
      <c r="AP6" t="s">
        <v>213</v>
      </c>
      <c r="AQ6" t="s">
        <v>214</v>
      </c>
      <c r="AR6" t="s">
        <v>201</v>
      </c>
      <c r="AS6" t="s">
        <v>201</v>
      </c>
      <c r="AT6" t="s">
        <v>202</v>
      </c>
      <c r="AU6" t="s">
        <v>202</v>
      </c>
      <c r="AW6">
        <v>902</v>
      </c>
      <c r="AX6">
        <v>902</v>
      </c>
      <c r="AY6">
        <v>902</v>
      </c>
      <c r="AZ6" t="s">
        <v>215</v>
      </c>
      <c r="BA6" t="s">
        <v>215</v>
      </c>
      <c r="BB6" t="s">
        <v>215</v>
      </c>
      <c r="BG6" t="s">
        <v>215</v>
      </c>
      <c r="BH6" t="s">
        <v>216</v>
      </c>
      <c r="BI6" t="s">
        <v>214</v>
      </c>
      <c r="BJ6" t="s">
        <v>217</v>
      </c>
      <c r="BK6" t="s">
        <v>218</v>
      </c>
      <c r="BL6" t="s">
        <v>219</v>
      </c>
      <c r="BM6" t="s">
        <v>220</v>
      </c>
      <c r="BP6">
        <v>879</v>
      </c>
      <c r="BQ6">
        <v>880</v>
      </c>
      <c r="BT6">
        <v>238</v>
      </c>
      <c r="BU6">
        <v>238</v>
      </c>
      <c r="BY6" t="s">
        <v>221</v>
      </c>
      <c r="BZ6" t="s">
        <v>222</v>
      </c>
      <c r="CA6" t="s">
        <v>223</v>
      </c>
      <c r="CG6" t="s">
        <v>224</v>
      </c>
    </row>
    <row r="7" spans="1:85" x14ac:dyDescent="0.2">
      <c r="C7" t="s">
        <v>225</v>
      </c>
      <c r="E7" t="s">
        <v>226</v>
      </c>
      <c r="F7" t="s">
        <v>226</v>
      </c>
      <c r="G7" t="s">
        <v>226</v>
      </c>
      <c r="I7" t="s">
        <v>226</v>
      </c>
      <c r="J7" t="s">
        <v>227</v>
      </c>
      <c r="K7" t="s">
        <v>227</v>
      </c>
      <c r="L7" t="s">
        <v>226</v>
      </c>
      <c r="M7" t="s">
        <v>226</v>
      </c>
      <c r="O7" t="s">
        <v>226</v>
      </c>
      <c r="P7" t="s">
        <v>227</v>
      </c>
      <c r="R7" t="s">
        <v>226</v>
      </c>
      <c r="S7" t="s">
        <v>227</v>
      </c>
      <c r="T7" t="s">
        <v>227</v>
      </c>
      <c r="U7" t="s">
        <v>227</v>
      </c>
      <c r="V7" t="s">
        <v>227</v>
      </c>
      <c r="W7" t="s">
        <v>227</v>
      </c>
      <c r="X7" t="s">
        <v>227</v>
      </c>
      <c r="Y7" t="s">
        <v>227</v>
      </c>
      <c r="Z7" t="s">
        <v>225</v>
      </c>
      <c r="AA7" t="s">
        <v>225</v>
      </c>
      <c r="AB7" t="s">
        <v>225</v>
      </c>
      <c r="AC7" t="s">
        <v>225</v>
      </c>
      <c r="AD7" t="s">
        <v>226</v>
      </c>
      <c r="AE7" t="s">
        <v>226</v>
      </c>
      <c r="AF7" t="s">
        <v>225</v>
      </c>
      <c r="AG7" t="s">
        <v>225</v>
      </c>
      <c r="AH7" t="s">
        <v>225</v>
      </c>
      <c r="AJ7" t="s">
        <v>226</v>
      </c>
      <c r="AK7" t="s">
        <v>226</v>
      </c>
      <c r="AL7" t="s">
        <v>226</v>
      </c>
      <c r="AM7" t="s">
        <v>226</v>
      </c>
      <c r="AN7" t="s">
        <v>226</v>
      </c>
      <c r="AO7" t="s">
        <v>227</v>
      </c>
      <c r="AP7" t="s">
        <v>226</v>
      </c>
      <c r="AQ7" t="s">
        <v>226</v>
      </c>
      <c r="AR7" t="s">
        <v>227</v>
      </c>
      <c r="AS7" t="s">
        <v>227</v>
      </c>
      <c r="AT7" t="s">
        <v>227</v>
      </c>
      <c r="AU7" t="s">
        <v>227</v>
      </c>
      <c r="AZ7" t="s">
        <v>225</v>
      </c>
      <c r="BA7" t="s">
        <v>225</v>
      </c>
      <c r="BB7" t="s">
        <v>225</v>
      </c>
      <c r="BG7" t="s">
        <v>225</v>
      </c>
      <c r="BH7" t="s">
        <v>226</v>
      </c>
      <c r="BI7" t="s">
        <v>226</v>
      </c>
      <c r="BJ7" t="s">
        <v>227</v>
      </c>
      <c r="BK7" t="s">
        <v>227</v>
      </c>
      <c r="BL7" t="s">
        <v>227</v>
      </c>
      <c r="BM7" t="s">
        <v>227</v>
      </c>
      <c r="BX7" t="s">
        <v>228</v>
      </c>
      <c r="BY7">
        <v>0.89</v>
      </c>
      <c r="BZ7">
        <v>0.11</v>
      </c>
      <c r="CA7">
        <v>0</v>
      </c>
      <c r="CG7" t="s">
        <v>229</v>
      </c>
    </row>
    <row r="8" spans="1:85" x14ac:dyDescent="0.2">
      <c r="A8" t="s">
        <v>230</v>
      </c>
      <c r="E8" t="s">
        <v>225</v>
      </c>
      <c r="F8" t="s">
        <v>163</v>
      </c>
      <c r="G8" t="s">
        <v>163</v>
      </c>
      <c r="I8" t="s">
        <v>225</v>
      </c>
      <c r="J8" t="s">
        <v>163</v>
      </c>
      <c r="K8" t="s">
        <v>163</v>
      </c>
      <c r="L8" t="s">
        <v>163</v>
      </c>
      <c r="M8" t="s">
        <v>163</v>
      </c>
      <c r="O8" t="s">
        <v>225</v>
      </c>
      <c r="P8" t="s">
        <v>163</v>
      </c>
      <c r="R8" t="s">
        <v>225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G8" t="s">
        <v>163</v>
      </c>
      <c r="AJ8" t="s">
        <v>225</v>
      </c>
      <c r="AK8" t="s">
        <v>225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Z8" t="s">
        <v>225</v>
      </c>
      <c r="BA8" t="s">
        <v>225</v>
      </c>
      <c r="BB8" t="s">
        <v>225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X8" t="s">
        <v>231</v>
      </c>
      <c r="BY8">
        <v>0.79</v>
      </c>
      <c r="BZ8">
        <v>0.11</v>
      </c>
      <c r="CA8">
        <v>0.1</v>
      </c>
      <c r="CG8" t="s">
        <v>232</v>
      </c>
    </row>
    <row r="9" spans="1:85" x14ac:dyDescent="0.2">
      <c r="E9" t="s">
        <v>163</v>
      </c>
      <c r="F9" t="s">
        <v>163</v>
      </c>
      <c r="G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O9" t="s">
        <v>163</v>
      </c>
      <c r="P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G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X9" t="s">
        <v>233</v>
      </c>
      <c r="BY9">
        <v>0.53400000000000003</v>
      </c>
      <c r="BZ9">
        <v>0.11</v>
      </c>
      <c r="CA9">
        <v>0.35599999999999998</v>
      </c>
      <c r="CG9" t="s">
        <v>234</v>
      </c>
    </row>
    <row r="10" spans="1:85" x14ac:dyDescent="0.2">
      <c r="A10" t="s">
        <v>235</v>
      </c>
      <c r="B10" t="s">
        <v>236</v>
      </c>
      <c r="C10" t="s">
        <v>237</v>
      </c>
      <c r="D10" t="s">
        <v>238</v>
      </c>
      <c r="E10" t="s">
        <v>239</v>
      </c>
      <c r="F10" t="s">
        <v>240</v>
      </c>
      <c r="G10" t="s">
        <v>241</v>
      </c>
      <c r="H10" t="s">
        <v>242</v>
      </c>
      <c r="I10" t="s">
        <v>243</v>
      </c>
      <c r="J10" t="s">
        <v>119</v>
      </c>
      <c r="K10" t="s">
        <v>244</v>
      </c>
      <c r="L10" t="s">
        <v>245</v>
      </c>
      <c r="M10" t="s">
        <v>246</v>
      </c>
      <c r="N10" t="s">
        <v>121</v>
      </c>
      <c r="O10" t="s">
        <v>247</v>
      </c>
      <c r="P10" t="s">
        <v>248</v>
      </c>
      <c r="Q10" t="s">
        <v>249</v>
      </c>
      <c r="R10" t="s">
        <v>250</v>
      </c>
      <c r="S10" t="s">
        <v>118</v>
      </c>
      <c r="T10" t="s">
        <v>251</v>
      </c>
      <c r="U10" t="s">
        <v>252</v>
      </c>
      <c r="V10" t="s">
        <v>123</v>
      </c>
      <c r="W10" t="s">
        <v>178</v>
      </c>
      <c r="X10" t="s">
        <v>179</v>
      </c>
      <c r="Y10" t="s">
        <v>253</v>
      </c>
      <c r="Z10" t="s">
        <v>254</v>
      </c>
      <c r="AA10" t="s">
        <v>255</v>
      </c>
      <c r="AB10" t="s">
        <v>256</v>
      </c>
      <c r="AC10" t="s">
        <v>257</v>
      </c>
      <c r="AD10" t="s">
        <v>246</v>
      </c>
      <c r="AE10" t="s">
        <v>245</v>
      </c>
      <c r="AF10" t="s">
        <v>258</v>
      </c>
      <c r="AG10" t="s">
        <v>51</v>
      </c>
      <c r="AH10" t="s">
        <v>259</v>
      </c>
      <c r="AI10" t="s">
        <v>11</v>
      </c>
      <c r="AJ10" t="s">
        <v>260</v>
      </c>
      <c r="AK10" t="s">
        <v>261</v>
      </c>
      <c r="AL10" t="s">
        <v>262</v>
      </c>
      <c r="AM10" t="s">
        <v>263</v>
      </c>
      <c r="AN10" t="s">
        <v>264</v>
      </c>
      <c r="AO10" t="s">
        <v>265</v>
      </c>
      <c r="AP10" t="s">
        <v>266</v>
      </c>
      <c r="AQ10" t="s">
        <v>267</v>
      </c>
      <c r="AR10" t="s">
        <v>268</v>
      </c>
      <c r="AS10" t="s">
        <v>269</v>
      </c>
      <c r="AT10" t="s">
        <v>270</v>
      </c>
      <c r="AU10" t="s">
        <v>271</v>
      </c>
      <c r="AV10" t="s">
        <v>272</v>
      </c>
      <c r="AW10" t="s">
        <v>273</v>
      </c>
      <c r="AX10" t="s">
        <v>274</v>
      </c>
      <c r="AY10" t="s">
        <v>275</v>
      </c>
      <c r="AZ10" t="s">
        <v>276</v>
      </c>
      <c r="BA10" t="s">
        <v>277</v>
      </c>
      <c r="BB10" t="s">
        <v>278</v>
      </c>
      <c r="BD10" t="s">
        <v>279</v>
      </c>
      <c r="BE10" t="s">
        <v>280</v>
      </c>
      <c r="BG10" t="s">
        <v>281</v>
      </c>
      <c r="BH10" t="s">
        <v>282</v>
      </c>
      <c r="BI10" t="s">
        <v>283</v>
      </c>
      <c r="BJ10" t="s">
        <v>284</v>
      </c>
      <c r="BK10" t="s">
        <v>285</v>
      </c>
      <c r="BL10" t="s">
        <v>286</v>
      </c>
      <c r="BM10" t="s">
        <v>287</v>
      </c>
      <c r="BN10" t="s">
        <v>288</v>
      </c>
      <c r="BP10" t="s">
        <v>287</v>
      </c>
      <c r="BQ10" t="s">
        <v>288</v>
      </c>
      <c r="BR10" t="s">
        <v>13</v>
      </c>
      <c r="BS10" t="s">
        <v>3</v>
      </c>
      <c r="BT10" t="s">
        <v>74</v>
      </c>
      <c r="BU10" t="s">
        <v>75</v>
      </c>
      <c r="BX10" t="s">
        <v>289</v>
      </c>
      <c r="BY10">
        <v>0</v>
      </c>
      <c r="BZ10">
        <v>0.11</v>
      </c>
      <c r="CA10">
        <v>0.89</v>
      </c>
    </row>
    <row r="11" spans="1:85" x14ac:dyDescent="0.2">
      <c r="A11" t="s">
        <v>290</v>
      </c>
      <c r="B11" t="s">
        <v>291</v>
      </c>
      <c r="C11">
        <v>50</v>
      </c>
      <c r="E11">
        <f>$BY$21</f>
        <v>550</v>
      </c>
      <c r="F11">
        <f>$BY$28</f>
        <v>1.1000000000000001</v>
      </c>
      <c r="G11">
        <f>$BY$33</f>
        <v>590</v>
      </c>
      <c r="I11">
        <f>$BY$41</f>
        <v>1.6E-2</v>
      </c>
      <c r="J11">
        <f t="shared" ref="J11:J42" si="0">(1.185 + 0.00454 * E11- 0.0000026 * E11^2 + 0.315 * I11)^2 * F11 + K11</f>
        <v>74.870008285192824</v>
      </c>
      <c r="K11">
        <f>(Y11 * 1.03 * AL11) / (AM11 * AN11 * AO11)</f>
        <v>65.615562764432823</v>
      </c>
      <c r="O11">
        <f t="shared" ref="O11:O42" si="1">$BY$17</f>
        <v>0.2</v>
      </c>
      <c r="P11">
        <f t="shared" ref="P11:P42" si="2">J11*O11</f>
        <v>14.974001657038565</v>
      </c>
      <c r="R11">
        <f t="shared" ref="R11:R42" si="3">$BY$47</f>
        <v>0.75</v>
      </c>
      <c r="S11">
        <f t="shared" ref="S11:S42" si="4">J11 / (POWER((1.185 + 0.00454 * E11 - 0.0000026 * POWER(E11, 2)), 2) * F11 + K11)</f>
        <v>1.0004293714344916</v>
      </c>
      <c r="T11">
        <f t="shared" ref="T11:T42" si="5">E11/G11</f>
        <v>0.93220338983050843</v>
      </c>
      <c r="U11">
        <f t="shared" ref="U11:U42" si="6">0.1604 * R11 * 100 - 1.037</f>
        <v>10.992999999999999</v>
      </c>
      <c r="V11">
        <f xml:space="preserve"> (0.032 * $Y$11 * 1.03 / 6.38) + ((0.212 - 0.008 * (S11 - 2) - ((0.14 - 0.008 * (S11 - 2)) / (1 + EXP(-6 * (T11 - 0.4))))) * (I11 * 0.92)) * 1 / 6.25</f>
        <v>0.70787430165781928</v>
      </c>
      <c r="W11">
        <f t="shared" ref="W11:W42" si="7">(0.3 * (P11 * (1 - (R11+ 0.1))) + 0.105 * (U11 * J11 * 0.008) + (0.0152 * J11)) * 1/6.25</f>
        <v>0.40051405462530099</v>
      </c>
      <c r="X11">
        <f t="shared" ref="X11:X42" si="8">(P11 / 6.25) - V11 - W11 - (1.1 * 10^-4 * POWER(E11,0.75) / 6.25)</f>
        <v>1.2854530382217124</v>
      </c>
      <c r="Y11">
        <f>AF11 / (0.01 * (AJ11 + AK11))</f>
        <v>136.98630136986301</v>
      </c>
      <c r="Z11">
        <f>C11+C12+C14</f>
        <v>110</v>
      </c>
      <c r="AA11">
        <f>C11+C12+C14</f>
        <v>110</v>
      </c>
      <c r="AB11">
        <f>C13+C15</f>
        <v>40</v>
      </c>
      <c r="AC11">
        <v>0</v>
      </c>
      <c r="AD11">
        <f>M13+M15</f>
        <v>1.0499999999999999E-2</v>
      </c>
      <c r="AE11">
        <f>L13+L15</f>
        <v>1.2400000000000001E-2</v>
      </c>
      <c r="AF11">
        <v>10</v>
      </c>
      <c r="AG11">
        <v>0.8</v>
      </c>
      <c r="AH11" t="s">
        <v>77</v>
      </c>
      <c r="AI11" t="s">
        <v>16</v>
      </c>
      <c r="AJ11">
        <f>$BY$12</f>
        <v>4</v>
      </c>
      <c r="AK11">
        <f>$BY$13</f>
        <v>3.3</v>
      </c>
      <c r="AL11">
        <f>$BY$14</f>
        <v>3.0539999999999998</v>
      </c>
      <c r="AM11">
        <f>$BY$15</f>
        <v>18.399999999999999</v>
      </c>
      <c r="AN11">
        <f>$BY$16</f>
        <v>0.6</v>
      </c>
      <c r="AO11">
        <f>0.795 * R11- 0.0014</f>
        <v>0.5948500000000001</v>
      </c>
      <c r="AP11">
        <f>IF(AH11="yes",1,0)</f>
        <v>1</v>
      </c>
      <c r="AQ11">
        <f>$BY$64</f>
        <v>0.02</v>
      </c>
      <c r="AR11">
        <f>W11+W12+W14</f>
        <v>0.48773949486611795</v>
      </c>
      <c r="AS11">
        <f>W13+W15</f>
        <v>5.2418166941208988E-2</v>
      </c>
      <c r="AT11">
        <f>X11+X12+X14</f>
        <v>1.7061210601882775</v>
      </c>
      <c r="AU11">
        <f>X13+X15</f>
        <v>0.22558536521737715</v>
      </c>
      <c r="AV11" t="s">
        <v>228</v>
      </c>
      <c r="AZ11">
        <f>VLOOKUP(AV11, $BX$7:$CA$10, 2, FALSE)</f>
        <v>0.89</v>
      </c>
      <c r="BA11">
        <f>VLOOKUP(AV11, $BX$7:$CA$10, 3, FALSE)</f>
        <v>0.11</v>
      </c>
      <c r="BB11">
        <f>VLOOKUP(AV11, $BX$7:$CA$10, 4, FALSE)</f>
        <v>0</v>
      </c>
      <c r="BC11" t="s">
        <v>185</v>
      </c>
      <c r="BG11">
        <f>($BA11*BD$11)+($BB$11*BE11)</f>
        <v>0</v>
      </c>
      <c r="BH11">
        <f>$BY$58</f>
        <v>0</v>
      </c>
      <c r="BI11">
        <f>$BZ$58</f>
        <v>0.35</v>
      </c>
      <c r="BJ11">
        <f>((AA11 * AR11 * 365) + (AB11 * AS11 * 281) + (AC11 *AD11 * 84)) *BG11</f>
        <v>0</v>
      </c>
      <c r="BK11">
        <f>((Z11 * AT11 * 365) + (AB11 * AU11 * 281)  + (AB11 *AE11 * 84)) *BG11</f>
        <v>0</v>
      </c>
      <c r="BL11">
        <v>0</v>
      </c>
      <c r="BM11">
        <f>((BJ11 + BK11) * (1 - BH11 -BI11)- BL11) *AG$11</f>
        <v>0</v>
      </c>
      <c r="BN11">
        <f>((BJ11 + BK11) * (1 - BH11 -BI11)- BL11) *(1 - AG$11)</f>
        <v>0</v>
      </c>
      <c r="BP11">
        <f>SUM(BM11:BM14)</f>
        <v>6536.4146266613698</v>
      </c>
      <c r="BQ11">
        <f>SUM(BN11:BN14)</f>
        <v>1634.103656665342</v>
      </c>
      <c r="BR11">
        <f>IF(ISBLANK(AI11), "", IF(AI11="wet", $BY$67, $BY$68))</f>
        <v>6.0000000000000001E-3</v>
      </c>
      <c r="BS11">
        <f>IF(ISBLANK(AI11), "", $BY$70)</f>
        <v>1.5714285714285714</v>
      </c>
      <c r="BT11">
        <f>IF(ISBLANK(A11), "", BP11*BR11*BS11/1000)</f>
        <v>6.1629052194235777E-2</v>
      </c>
      <c r="BU11">
        <f>IF(ISBLANK(AS11), "", BQ11*BR11*BS11/1000)</f>
        <v>1.5407263048558937E-2</v>
      </c>
    </row>
    <row r="12" spans="1:85" x14ac:dyDescent="0.2">
      <c r="A12" t="s">
        <v>292</v>
      </c>
      <c r="C12">
        <v>40</v>
      </c>
      <c r="E12">
        <f>$BY$22</f>
        <v>370</v>
      </c>
      <c r="F12">
        <f>$BY$29</f>
        <v>1</v>
      </c>
      <c r="G12">
        <f>$BY$34</f>
        <v>590</v>
      </c>
      <c r="I12">
        <f>$BY$42</f>
        <v>0.6</v>
      </c>
      <c r="J12">
        <f t="shared" si="0"/>
        <v>7.2784485796</v>
      </c>
      <c r="K12">
        <v>0</v>
      </c>
      <c r="O12">
        <f t="shared" si="1"/>
        <v>0.2</v>
      </c>
      <c r="P12">
        <f t="shared" si="2"/>
        <v>1.4556897159200002</v>
      </c>
      <c r="R12">
        <f t="shared" si="3"/>
        <v>0.75</v>
      </c>
      <c r="S12">
        <f t="shared" si="4"/>
        <v>1.1563411034246729</v>
      </c>
      <c r="T12">
        <f t="shared" si="5"/>
        <v>0.6271186440677966</v>
      </c>
      <c r="U12">
        <f t="shared" si="6"/>
        <v>10.992999999999999</v>
      </c>
      <c r="V12">
        <f xml:space="preserve"> (0.032 * $Y$12 * 1.03 / 6.38) + ((0.212 - 0.008 * (S12 - 2) - ((0.14 - 0.008 * (S12 - 2)) / (1 + EXP(-6 * (T12 - 0.4))))) * (I12 * 0.92)) * 1 / 6.25</f>
        <v>9.0004693208802639E-3</v>
      </c>
      <c r="W12">
        <f t="shared" si="7"/>
        <v>3.8935763715868155E-2</v>
      </c>
      <c r="X12">
        <f t="shared" si="8"/>
        <v>0.18348933517909985</v>
      </c>
      <c r="Y12">
        <v>0</v>
      </c>
      <c r="BC12" t="s">
        <v>224</v>
      </c>
      <c r="BD12">
        <v>0.3</v>
      </c>
      <c r="BE12">
        <v>0.5</v>
      </c>
      <c r="BG12">
        <f>($BA$11*BD12)+($BB$11*BE12)</f>
        <v>3.3000000000000002E-2</v>
      </c>
      <c r="BH12">
        <f>$BY$59</f>
        <v>0</v>
      </c>
      <c r="BI12">
        <f>$BZ$59</f>
        <v>7.0000000000000007E-2</v>
      </c>
      <c r="BJ12">
        <f>((AA11 * AR11 * 365) + (AB11 * AS11 * 281) + (AC11 *AD11 * 84)) *BG12</f>
        <v>665.67339020469626</v>
      </c>
      <c r="BK12">
        <f>((Z11 * AT11 * 365) + (AB11 * AU11 * 281)  + (AB11 *AE11 * 84)) *BG12</f>
        <v>2345.5741343628883</v>
      </c>
      <c r="BL12">
        <v>0</v>
      </c>
      <c r="BM12">
        <f>((BJ12 + BK12) * (1 - BH12 -BI12)- BL12) *AG$11</f>
        <v>2240.3681582782829</v>
      </c>
      <c r="BN12">
        <f>((BJ12 + BK12) * (1 - BH12 -BI12)- BL12) *(1 - AG$11)</f>
        <v>560.0920395695706</v>
      </c>
      <c r="BW12">
        <v>270</v>
      </c>
      <c r="BX12" t="s">
        <v>260</v>
      </c>
      <c r="BY12">
        <v>4</v>
      </c>
    </row>
    <row r="13" spans="1:85" x14ac:dyDescent="0.2">
      <c r="A13" t="s">
        <v>293</v>
      </c>
      <c r="C13">
        <v>30</v>
      </c>
      <c r="E13">
        <f>$BY$23</f>
        <v>179</v>
      </c>
      <c r="F13">
        <f>$BY$29</f>
        <v>1</v>
      </c>
      <c r="G13">
        <f>$BY$35</f>
        <v>590</v>
      </c>
      <c r="I13">
        <f>$BY$43</f>
        <v>0.56999999999999995</v>
      </c>
      <c r="J13">
        <f t="shared" si="0"/>
        <v>4.3844314485315596</v>
      </c>
      <c r="K13">
        <v>0</v>
      </c>
      <c r="L13">
        <f>$BY$50</f>
        <v>8.2000000000000007E-3</v>
      </c>
      <c r="M13">
        <f>$BY$54</f>
        <v>5.4999999999999997E-3</v>
      </c>
      <c r="O13">
        <f t="shared" si="1"/>
        <v>0.2</v>
      </c>
      <c r="P13">
        <f t="shared" si="2"/>
        <v>0.87688628970631199</v>
      </c>
      <c r="R13">
        <f t="shared" si="3"/>
        <v>0.75</v>
      </c>
      <c r="S13">
        <f t="shared" si="4"/>
        <v>1.1963797575781601</v>
      </c>
      <c r="T13">
        <f t="shared" si="5"/>
        <v>0.30338983050847457</v>
      </c>
      <c r="U13">
        <f t="shared" si="6"/>
        <v>10.992999999999999</v>
      </c>
      <c r="V13">
        <f xml:space="preserve"> (0.032 * $Y$13 * 1.03 / 6.38) + ((0.212 - 0.008 * (S13 - 2) - ((0.14 - 0.008 * (S13 - 2)) / (1 + EXP(-6 * (T13 - 0.4))))) * (I13 * 0.92)) * 1 / 6.25</f>
        <v>1.3916268174785591E-2</v>
      </c>
      <c r="W13">
        <f t="shared" si="7"/>
        <v>2.3454337149116478E-2</v>
      </c>
      <c r="X13">
        <f t="shared" si="8"/>
        <v>0.10206990500776245</v>
      </c>
      <c r="Y13">
        <v>0</v>
      </c>
      <c r="BC13" t="s">
        <v>229</v>
      </c>
      <c r="BD13">
        <v>0.5</v>
      </c>
      <c r="BE13">
        <v>0.5</v>
      </c>
      <c r="BG13">
        <f>($BA$11*BD13)+($BB$11*BE13)</f>
        <v>5.5E-2</v>
      </c>
      <c r="BH13">
        <f>$BY$60</f>
        <v>0</v>
      </c>
      <c r="BI13">
        <f>$BZ$60</f>
        <v>0.2</v>
      </c>
      <c r="BJ13">
        <f>((AA11 * AR11 * 365) + (AB11 * AS11 * 281) + (AC11 *AD11 * 84)) *BG13</f>
        <v>1109.4556503411602</v>
      </c>
      <c r="BK13">
        <f>((Z11 * AT11 * 365) + (AB11 * AU11 * 281)  + (AB11 *AE11 * 84)) *BG13</f>
        <v>3909.2902239381469</v>
      </c>
      <c r="BL13">
        <v>0</v>
      </c>
      <c r="BM13">
        <f>((BJ13 + BK13) * (1 - BH13 -BI13)- BL13) *AG$11</f>
        <v>3211.9973595387564</v>
      </c>
      <c r="BN13">
        <f>((BJ13 + BK13) * (1 - BH13 -BI13)- BL13) *(1 - AG$11)</f>
        <v>802.99933988468888</v>
      </c>
      <c r="BW13">
        <v>271</v>
      </c>
      <c r="BX13" t="s">
        <v>261</v>
      </c>
      <c r="BY13">
        <v>3.3</v>
      </c>
    </row>
    <row r="14" spans="1:85" x14ac:dyDescent="0.2">
      <c r="A14" t="s">
        <v>294</v>
      </c>
      <c r="C14">
        <v>20</v>
      </c>
      <c r="E14">
        <f>$BY$24</f>
        <v>600</v>
      </c>
      <c r="F14">
        <f>$BY$29</f>
        <v>1</v>
      </c>
      <c r="G14">
        <f>$BY$36</f>
        <v>770</v>
      </c>
      <c r="I14">
        <f>$BY$44</f>
        <v>0.1</v>
      </c>
      <c r="J14">
        <f t="shared" si="0"/>
        <v>9.0270202499999979</v>
      </c>
      <c r="K14">
        <v>0</v>
      </c>
      <c r="O14">
        <f t="shared" si="1"/>
        <v>0.2</v>
      </c>
      <c r="P14">
        <f t="shared" si="2"/>
        <v>1.8054040499999997</v>
      </c>
      <c r="R14">
        <f t="shared" si="3"/>
        <v>0.75</v>
      </c>
      <c r="S14">
        <f t="shared" si="4"/>
        <v>1.0213029780639273</v>
      </c>
      <c r="T14">
        <f t="shared" si="5"/>
        <v>0.77922077922077926</v>
      </c>
      <c r="U14">
        <f t="shared" si="6"/>
        <v>10.992999999999999</v>
      </c>
      <c r="V14">
        <f xml:space="preserve"> (0.032 * $Y$14 * 1.03 / 6.38) + ((0.212 - 0.008 * (S14 - 2) - ((0.14 - 0.008 * (S14 - 2)) / (1 + EXP(-6 * (T14 - 0.4))))) * (I14 * 0.92)) * 1 / 6.25</f>
        <v>1.2626203146474681E-3</v>
      </c>
      <c r="W14">
        <f t="shared" si="7"/>
        <v>4.8289676524948789E-2</v>
      </c>
      <c r="X14">
        <f t="shared" si="8"/>
        <v>0.23717868678746518</v>
      </c>
      <c r="Y14">
        <v>0</v>
      </c>
      <c r="BC14" t="s">
        <v>232</v>
      </c>
      <c r="BD14">
        <v>0.2</v>
      </c>
      <c r="BG14">
        <f>($BA$11*BD14)+($BB$11*BE14)</f>
        <v>2.2000000000000002E-2</v>
      </c>
      <c r="BH14">
        <f>$BY$61</f>
        <v>5.0000000000000001E-3</v>
      </c>
      <c r="BI14">
        <f>$BZ$61</f>
        <v>0.3</v>
      </c>
      <c r="BJ14">
        <f>((AA11 * AR11 * 365) + (AB11 * AS11 * 281) + (AC11 *AD11 * 84)) *BG14</f>
        <v>443.78226013646417</v>
      </c>
      <c r="BK14">
        <f>((Z11 * AT11 * 365) + (AB11 * AU11 * 281)  + (AB11 *AE11 * 84)) *BG14</f>
        <v>1563.7160895752588</v>
      </c>
      <c r="BL14">
        <f>(BK14+ BJ14) *AP11 *AQ11</f>
        <v>40.149966994234461</v>
      </c>
      <c r="BM14">
        <f>((BJ14 + BK14) * (1 - BH14 -BI14)- BL14) *AG$11</f>
        <v>1084.0491088443305</v>
      </c>
      <c r="BN14">
        <f>((BJ14 + BK14) * (1 - BH14 -BI14)- BL14) *(1 - AG$11)</f>
        <v>271.01227721108256</v>
      </c>
      <c r="BW14">
        <v>278</v>
      </c>
      <c r="BX14" t="s">
        <v>262</v>
      </c>
      <c r="BY14">
        <v>3.0539999999999998</v>
      </c>
    </row>
    <row r="15" spans="1:85" x14ac:dyDescent="0.2">
      <c r="A15" t="s">
        <v>295</v>
      </c>
      <c r="C15">
        <v>10</v>
      </c>
      <c r="E15">
        <f>$BY$25</f>
        <v>225</v>
      </c>
      <c r="F15">
        <f>$BY$29</f>
        <v>1</v>
      </c>
      <c r="G15">
        <f>$BY$37</f>
        <v>770</v>
      </c>
      <c r="I15">
        <f>$BY$45</f>
        <v>0.8</v>
      </c>
      <c r="J15">
        <f t="shared" si="0"/>
        <v>5.4143472656250013</v>
      </c>
      <c r="K15">
        <v>0</v>
      </c>
      <c r="L15">
        <f>$BY$51</f>
        <v>4.1999999999999997E-3</v>
      </c>
      <c r="M15">
        <f>$BY$55</f>
        <v>5.0000000000000001E-3</v>
      </c>
      <c r="O15">
        <f t="shared" si="1"/>
        <v>0.2</v>
      </c>
      <c r="P15">
        <f t="shared" si="2"/>
        <v>1.0828694531250003</v>
      </c>
      <c r="R15">
        <f t="shared" si="3"/>
        <v>0.75</v>
      </c>
      <c r="S15">
        <f t="shared" si="4"/>
        <v>1.2576570545672616</v>
      </c>
      <c r="T15">
        <f t="shared" si="5"/>
        <v>0.29220779220779219</v>
      </c>
      <c r="U15">
        <f t="shared" si="6"/>
        <v>10.992999999999999</v>
      </c>
      <c r="V15">
        <f xml:space="preserve"> (0.032 * $Y$15 * 1.03 / 6.38) + ((0.212 - 0.008 * (S15 - 2) - ((0.14 - 0.008 * (S15 - 2)) / (1 + EXP(-6 * (T15 - 0.4))))) * (I15 * 0.92)) * 1 / 6.25</f>
        <v>1.9757354894894087E-2</v>
      </c>
      <c r="W15">
        <f t="shared" si="7"/>
        <v>2.8963829792092506E-2</v>
      </c>
      <c r="X15">
        <f t="shared" si="8"/>
        <v>0.12351546020961469</v>
      </c>
      <c r="Y15">
        <v>0</v>
      </c>
      <c r="BC15" t="s">
        <v>296</v>
      </c>
      <c r="BF15" t="s">
        <v>297</v>
      </c>
      <c r="BG15">
        <f>SUM(BG11:BG14)</f>
        <v>0.11</v>
      </c>
      <c r="BH15">
        <f>$BY$62</f>
        <v>0</v>
      </c>
      <c r="BI15">
        <f>$BZ$62</f>
        <v>0</v>
      </c>
      <c r="BJ15">
        <f>((AA11 * AR11 * 365) + (AB11 * AS11 * 281) + (AC11 *AD11 * 84)) *BG15</f>
        <v>2218.9113006823204</v>
      </c>
      <c r="BK15">
        <f>((Z11 * AT11 * 365) + (AB11 * AU11 * 281)  + (AB11 *AE11 * 84)) *BG15</f>
        <v>7818.5804478762939</v>
      </c>
      <c r="BL15">
        <v>0</v>
      </c>
      <c r="BW15">
        <v>279</v>
      </c>
      <c r="BX15" t="s">
        <v>263</v>
      </c>
      <c r="BY15">
        <v>18.399999999999999</v>
      </c>
    </row>
    <row r="16" spans="1:85" x14ac:dyDescent="0.2">
      <c r="A16" t="s">
        <v>290</v>
      </c>
      <c r="B16" t="s">
        <v>298</v>
      </c>
      <c r="C16">
        <v>50</v>
      </c>
      <c r="E16">
        <f>$BY$21</f>
        <v>550</v>
      </c>
      <c r="F16">
        <f>$BY$28</f>
        <v>1.1000000000000001</v>
      </c>
      <c r="G16">
        <f>$BY$33</f>
        <v>590</v>
      </c>
      <c r="I16">
        <f>$BY$41</f>
        <v>1.6E-2</v>
      </c>
      <c r="J16">
        <f t="shared" si="0"/>
        <v>74.870008285192824</v>
      </c>
      <c r="K16">
        <f>(Y16 * 1.03 * AL16) / (AM16 * AN16 * AO16)</f>
        <v>65.615562764432823</v>
      </c>
      <c r="O16">
        <f t="shared" si="1"/>
        <v>0.2</v>
      </c>
      <c r="P16">
        <f t="shared" si="2"/>
        <v>14.974001657038565</v>
      </c>
      <c r="R16">
        <f t="shared" si="3"/>
        <v>0.75</v>
      </c>
      <c r="S16">
        <f t="shared" si="4"/>
        <v>1.0004293714344916</v>
      </c>
      <c r="T16">
        <f t="shared" si="5"/>
        <v>0.93220338983050843</v>
      </c>
      <c r="U16">
        <f t="shared" si="6"/>
        <v>10.992999999999999</v>
      </c>
      <c r="V16">
        <f xml:space="preserve"> (0.032 * $Y16 * 1.03 / 6.38) + ((0.212 - 0.008 * (S16 - 2) - ((0.14 - 0.008 * (S16 - 2)) / (1 + EXP(-6 * (T16 - 0.4))))) * (I16 * 0.92)) * 1 / 6.25</f>
        <v>0.70787430165781928</v>
      </c>
      <c r="W16">
        <f t="shared" si="7"/>
        <v>0.40051405462530099</v>
      </c>
      <c r="X16">
        <f t="shared" si="8"/>
        <v>1.2854530382217124</v>
      </c>
      <c r="Y16">
        <f>AF16 / (0.01 * (AJ16 + AK16))</f>
        <v>136.98630136986301</v>
      </c>
      <c r="Z16">
        <f>C16+C17+C19</f>
        <v>110</v>
      </c>
      <c r="AA16">
        <f>C16+C17+C19</f>
        <v>110</v>
      </c>
      <c r="AB16">
        <f>C18+C20</f>
        <v>40</v>
      </c>
      <c r="AC16">
        <v>0</v>
      </c>
      <c r="AD16">
        <f>M18+M20</f>
        <v>1.0499999999999999E-2</v>
      </c>
      <c r="AE16">
        <f>L18+L20</f>
        <v>1.2400000000000001E-2</v>
      </c>
      <c r="AF16">
        <v>10</v>
      </c>
      <c r="AG16">
        <v>0.8</v>
      </c>
      <c r="AH16" t="s">
        <v>77</v>
      </c>
      <c r="AI16" t="s">
        <v>16</v>
      </c>
      <c r="AJ16">
        <f>$BY$12</f>
        <v>4</v>
      </c>
      <c r="AK16">
        <f>$BY$13</f>
        <v>3.3</v>
      </c>
      <c r="AL16">
        <f>$BY$14</f>
        <v>3.0539999999999998</v>
      </c>
      <c r="AM16">
        <f>$BY$15</f>
        <v>18.399999999999999</v>
      </c>
      <c r="AN16">
        <f>$BY$16</f>
        <v>0.6</v>
      </c>
      <c r="AO16">
        <f>0.795 * R16- 0.0014</f>
        <v>0.5948500000000001</v>
      </c>
      <c r="AP16">
        <f>IF(AH16="yes",1,0)</f>
        <v>1</v>
      </c>
      <c r="AQ16">
        <f>$BY$64</f>
        <v>0.02</v>
      </c>
      <c r="AR16">
        <f>W16+W17+W19</f>
        <v>0.48773949486611795</v>
      </c>
      <c r="AS16">
        <f>W18+W20</f>
        <v>5.2418166941208988E-2</v>
      </c>
      <c r="AT16">
        <f>X16+X17+X19</f>
        <v>1.7061210601882775</v>
      </c>
      <c r="AU16">
        <f>X18+X20</f>
        <v>0.22558536521737715</v>
      </c>
      <c r="AV16" t="s">
        <v>231</v>
      </c>
      <c r="AZ16">
        <f>VLOOKUP(AV16, $BX$7:$CA$10, 2, FALSE)</f>
        <v>0.79</v>
      </c>
      <c r="BA16">
        <f>VLOOKUP(AV16, $BX$7:$CA$10, 3, FALSE)</f>
        <v>0.11</v>
      </c>
      <c r="BB16">
        <f>VLOOKUP(AV16, $BX$7:$CA$10, 4, FALSE)</f>
        <v>0.1</v>
      </c>
      <c r="BC16" t="s">
        <v>185</v>
      </c>
      <c r="BG16">
        <f>($BA$16*BD16)+($BB$16*BE16)</f>
        <v>0</v>
      </c>
      <c r="BH16">
        <f>$BY$58</f>
        <v>0</v>
      </c>
      <c r="BI16">
        <f>$BZ$58</f>
        <v>0.35</v>
      </c>
      <c r="BJ16">
        <f>((AA16 * AR16 * 365) + (AB16 * AS16 * 281) + (AC16 *AD16 * 84)) *BG16</f>
        <v>0</v>
      </c>
      <c r="BK16">
        <f>((Z16 * AT16 * 365) + (AB16 * AU16 * 281)  + (AB16 *AE16 * 84)) *BG16</f>
        <v>0</v>
      </c>
      <c r="BL16">
        <v>0</v>
      </c>
      <c r="BM16">
        <f>((BJ16 + BK16) * (1 - BH16 -BI16)- BL16) *AG$16</f>
        <v>0</v>
      </c>
      <c r="BN16">
        <f>((BJ16 + BK16) * (1 - BH16 -BI16)- BL16) *(1 - AG$16)</f>
        <v>0</v>
      </c>
      <c r="BP16">
        <f>SUM(BM16:BM19)</f>
        <v>12850.909435754609</v>
      </c>
      <c r="BQ16">
        <f>SUM(BN16:BN19)</f>
        <v>3212.7273589386514</v>
      </c>
      <c r="BR16">
        <f>IF(ISBLANK(AI16), "", IF(AI16="wet", $BY$67, $BY$68))</f>
        <v>6.0000000000000001E-3</v>
      </c>
      <c r="BS16">
        <f>IF(ISBLANK(AI16), "", $BY$70)</f>
        <v>1.5714285714285714</v>
      </c>
      <c r="BT16">
        <f>IF(ISBLANK(A16), "", BP16*BR16*BS16/1000)</f>
        <v>0.12116571753711489</v>
      </c>
      <c r="BU16">
        <f>IF(ISBLANK(AS16), "", BQ16*BR16*BS16/1000)</f>
        <v>3.0291429384278715E-2</v>
      </c>
      <c r="BW16">
        <v>281</v>
      </c>
      <c r="BX16" t="s">
        <v>264</v>
      </c>
      <c r="BY16">
        <v>0.6</v>
      </c>
    </row>
    <row r="17" spans="1:77" x14ac:dyDescent="0.2">
      <c r="A17" t="s">
        <v>292</v>
      </c>
      <c r="C17">
        <v>40</v>
      </c>
      <c r="E17">
        <f>$BY$22</f>
        <v>370</v>
      </c>
      <c r="F17">
        <f>$BY$29</f>
        <v>1</v>
      </c>
      <c r="G17">
        <f>$BY$34</f>
        <v>590</v>
      </c>
      <c r="I17">
        <f>$BY$42</f>
        <v>0.6</v>
      </c>
      <c r="J17">
        <f t="shared" si="0"/>
        <v>7.2784485796</v>
      </c>
      <c r="K17">
        <v>0</v>
      </c>
      <c r="O17">
        <f t="shared" si="1"/>
        <v>0.2</v>
      </c>
      <c r="P17">
        <f t="shared" si="2"/>
        <v>1.4556897159200002</v>
      </c>
      <c r="R17">
        <f t="shared" si="3"/>
        <v>0.75</v>
      </c>
      <c r="S17">
        <f t="shared" si="4"/>
        <v>1.1563411034246729</v>
      </c>
      <c r="T17">
        <f t="shared" si="5"/>
        <v>0.6271186440677966</v>
      </c>
      <c r="U17">
        <f t="shared" si="6"/>
        <v>10.992999999999999</v>
      </c>
      <c r="V17">
        <f xml:space="preserve"> (0.032 * $Y$12 * 1.03 / 6.38) + ((0.212 - 0.008 * (S17 - 2) - ((0.14 - 0.008 * (S17 - 2)) / (1 + EXP(-6 * (T17 - 0.4))))) * (I17 * 0.92)) * 1 / 6.25</f>
        <v>9.0004693208802639E-3</v>
      </c>
      <c r="W17">
        <f t="shared" si="7"/>
        <v>3.8935763715868155E-2</v>
      </c>
      <c r="X17">
        <f t="shared" si="8"/>
        <v>0.18348933517909985</v>
      </c>
      <c r="Y17">
        <v>0</v>
      </c>
      <c r="BC17" t="s">
        <v>224</v>
      </c>
      <c r="BD17">
        <v>0.3</v>
      </c>
      <c r="BE17">
        <v>0.5</v>
      </c>
      <c r="BG17">
        <f>($BA$16*BD17)+($BB$16*BE17)</f>
        <v>8.3000000000000004E-2</v>
      </c>
      <c r="BH17">
        <f>$BY$59</f>
        <v>0</v>
      </c>
      <c r="BI17">
        <f>$BZ$59</f>
        <v>7.0000000000000007E-2</v>
      </c>
      <c r="BJ17">
        <f>((AA16 * AR16 * 365) + (AB16 * AS16 * 281) + (AC16 *AD16 * 84)) *BG17</f>
        <v>1674.2694359693874</v>
      </c>
      <c r="BK17">
        <f>((Z16 * AT16 * 365) + (AB16 * AU16 * 281)  + (AB16 *AE16 * 84)) *BG17</f>
        <v>5899.474337943022</v>
      </c>
      <c r="BL17">
        <v>0</v>
      </c>
      <c r="BM17">
        <f>((BJ17 + BK17) * (1 - BH17 -BI17)- BL17) *AG$16</f>
        <v>5634.8653677908324</v>
      </c>
      <c r="BN17">
        <f>((BJ17 + BK17) * (1 - BH17 -BI17)- BL17) *(1 - AG$16)</f>
        <v>1408.7163419477076</v>
      </c>
      <c r="BW17">
        <v>905</v>
      </c>
      <c r="BX17" t="s">
        <v>247</v>
      </c>
      <c r="BY17">
        <v>0.2</v>
      </c>
    </row>
    <row r="18" spans="1:77" x14ac:dyDescent="0.2">
      <c r="A18" t="s">
        <v>293</v>
      </c>
      <c r="C18">
        <v>30</v>
      </c>
      <c r="E18">
        <f>$BY$23</f>
        <v>179</v>
      </c>
      <c r="F18">
        <f>$BY$29</f>
        <v>1</v>
      </c>
      <c r="G18">
        <f>$BY$35</f>
        <v>590</v>
      </c>
      <c r="I18">
        <f>$BY$43</f>
        <v>0.56999999999999995</v>
      </c>
      <c r="J18">
        <f t="shared" si="0"/>
        <v>4.3844314485315596</v>
      </c>
      <c r="K18">
        <v>0</v>
      </c>
      <c r="L18">
        <f>$BY$50</f>
        <v>8.2000000000000007E-3</v>
      </c>
      <c r="M18">
        <f>$BY$54</f>
        <v>5.4999999999999997E-3</v>
      </c>
      <c r="O18">
        <f t="shared" si="1"/>
        <v>0.2</v>
      </c>
      <c r="P18">
        <f t="shared" si="2"/>
        <v>0.87688628970631199</v>
      </c>
      <c r="R18">
        <f t="shared" si="3"/>
        <v>0.75</v>
      </c>
      <c r="S18">
        <f t="shared" si="4"/>
        <v>1.1963797575781601</v>
      </c>
      <c r="T18">
        <f t="shared" si="5"/>
        <v>0.30338983050847457</v>
      </c>
      <c r="U18">
        <f t="shared" si="6"/>
        <v>10.992999999999999</v>
      </c>
      <c r="V18">
        <f xml:space="preserve"> (0.032 * $Y$13 * 1.03 / 6.38) + ((0.212 - 0.008 * (S18 - 2) - ((0.14 - 0.008 * (S18 - 2)) / (1 + EXP(-6 * (T18 - 0.4))))) * (I18 * 0.92)) * 1 / 6.25</f>
        <v>1.3916268174785591E-2</v>
      </c>
      <c r="W18">
        <f t="shared" si="7"/>
        <v>2.3454337149116478E-2</v>
      </c>
      <c r="X18">
        <f t="shared" si="8"/>
        <v>0.10206990500776245</v>
      </c>
      <c r="Y18">
        <v>0</v>
      </c>
      <c r="BC18" t="s">
        <v>229</v>
      </c>
      <c r="BD18">
        <v>0.5</v>
      </c>
      <c r="BE18">
        <v>0.5</v>
      </c>
      <c r="BG18">
        <f>($BA$16*BD18)+($BB$16*BE18)</f>
        <v>0.10500000000000001</v>
      </c>
      <c r="BH18">
        <f>$BY$60</f>
        <v>0</v>
      </c>
      <c r="BI18">
        <f>$BZ$60</f>
        <v>0.2</v>
      </c>
      <c r="BJ18">
        <f>((AA16 * AR16 * 365) + (AB16 * AS16 * 281) + (AC16 *AD16 * 84)) *BG18</f>
        <v>2118.0516961058515</v>
      </c>
      <c r="BK18">
        <f>((Z16 * AT16 * 365) + (AB16 * AU16 * 281)  + (AB16 *AE16 * 84)) *BG18</f>
        <v>7463.1904275182815</v>
      </c>
      <c r="BL18">
        <v>0</v>
      </c>
      <c r="BM18">
        <f>((BJ18 + BK18) * (1 - BH18 -BI18)- BL18) *AG$16</f>
        <v>6131.9949591194454</v>
      </c>
      <c r="BN18">
        <f>((BJ18 + BK18) * (1 - BH18 -BI18)- BL18) *(1 - AG$16)</f>
        <v>1532.9987397798611</v>
      </c>
    </row>
    <row r="19" spans="1:77" x14ac:dyDescent="0.2">
      <c r="A19" t="s">
        <v>294</v>
      </c>
      <c r="C19">
        <v>20</v>
      </c>
      <c r="E19">
        <f>$BY$24</f>
        <v>600</v>
      </c>
      <c r="F19">
        <f>$BY$29</f>
        <v>1</v>
      </c>
      <c r="G19">
        <f>$BY$36</f>
        <v>770</v>
      </c>
      <c r="I19">
        <f>$BY$44</f>
        <v>0.1</v>
      </c>
      <c r="J19">
        <f t="shared" si="0"/>
        <v>9.0270202499999979</v>
      </c>
      <c r="K19">
        <v>0</v>
      </c>
      <c r="O19">
        <f t="shared" si="1"/>
        <v>0.2</v>
      </c>
      <c r="P19">
        <f t="shared" si="2"/>
        <v>1.8054040499999997</v>
      </c>
      <c r="R19">
        <f t="shared" si="3"/>
        <v>0.75</v>
      </c>
      <c r="S19">
        <f t="shared" si="4"/>
        <v>1.0213029780639273</v>
      </c>
      <c r="T19">
        <f t="shared" si="5"/>
        <v>0.77922077922077926</v>
      </c>
      <c r="U19">
        <f t="shared" si="6"/>
        <v>10.992999999999999</v>
      </c>
      <c r="V19">
        <f xml:space="preserve"> (0.032 * $Y$14 * 1.03 / 6.38) + ((0.212 - 0.008 * (S19 - 2) - ((0.14 - 0.008 * (S19 - 2)) / (1 + EXP(-6 * (T19 - 0.4))))) * (I19 * 0.92)) * 1 / 6.25</f>
        <v>1.2626203146474681E-3</v>
      </c>
      <c r="W19">
        <f t="shared" si="7"/>
        <v>4.8289676524948789E-2</v>
      </c>
      <c r="X19">
        <f t="shared" si="8"/>
        <v>0.23717868678746518</v>
      </c>
      <c r="Y19">
        <v>0</v>
      </c>
      <c r="BC19" t="s">
        <v>232</v>
      </c>
      <c r="BD19">
        <v>0.2</v>
      </c>
      <c r="BG19">
        <f>($BA$16*BD19)+($BB$16*BE19)</f>
        <v>2.2000000000000002E-2</v>
      </c>
      <c r="BH19">
        <f>$BY$61</f>
        <v>5.0000000000000001E-3</v>
      </c>
      <c r="BI19">
        <f>$BZ$61</f>
        <v>0.3</v>
      </c>
      <c r="BJ19">
        <f>((AA16 * AR16 * 365) + (AB16 * AS16 * 281) + (AC16 *AD16 * 84)) *BG19</f>
        <v>443.78226013646417</v>
      </c>
      <c r="BK19">
        <f>((Z16 * AT16 * 365) + (AB16 * AU16 * 281)  + (AB16 *AE16 * 84)) *BG19</f>
        <v>1563.7160895752588</v>
      </c>
      <c r="BL19">
        <f>(BK19+ BJ19) *AP16 *AQ16</f>
        <v>40.149966994234461</v>
      </c>
      <c r="BM19">
        <f>((BJ19 + BK19) * (1 - BH19 -BI19)- BL19) *AG$16</f>
        <v>1084.0491088443305</v>
      </c>
      <c r="BN19">
        <f>((BJ19 + BK19) * (1 - BH19 -BI19)- BL19) *(1 - AG$16)</f>
        <v>271.01227721108256</v>
      </c>
      <c r="BW19">
        <v>266</v>
      </c>
      <c r="BX19" t="s">
        <v>239</v>
      </c>
    </row>
    <row r="20" spans="1:77" x14ac:dyDescent="0.2">
      <c r="A20" t="s">
        <v>295</v>
      </c>
      <c r="C20">
        <v>10</v>
      </c>
      <c r="E20">
        <f>$BY$25</f>
        <v>225</v>
      </c>
      <c r="F20">
        <f>$BY$29</f>
        <v>1</v>
      </c>
      <c r="G20">
        <f>$BY$37</f>
        <v>770</v>
      </c>
      <c r="I20">
        <f>$BY$45</f>
        <v>0.8</v>
      </c>
      <c r="J20">
        <f t="shared" si="0"/>
        <v>5.4143472656250013</v>
      </c>
      <c r="K20">
        <v>0</v>
      </c>
      <c r="L20">
        <f>$BY$51</f>
        <v>4.1999999999999997E-3</v>
      </c>
      <c r="M20">
        <f>$BY$55</f>
        <v>5.0000000000000001E-3</v>
      </c>
      <c r="O20">
        <f t="shared" si="1"/>
        <v>0.2</v>
      </c>
      <c r="P20">
        <f t="shared" si="2"/>
        <v>1.0828694531250003</v>
      </c>
      <c r="R20">
        <f t="shared" si="3"/>
        <v>0.75</v>
      </c>
      <c r="S20">
        <f t="shared" si="4"/>
        <v>1.2576570545672616</v>
      </c>
      <c r="T20">
        <f t="shared" si="5"/>
        <v>0.29220779220779219</v>
      </c>
      <c r="U20">
        <f t="shared" si="6"/>
        <v>10.992999999999999</v>
      </c>
      <c r="V20">
        <f xml:space="preserve"> (0.032 * $Y$15 * 1.03 / 6.38) + ((0.212 - 0.008 * (S20 - 2) - ((0.14 - 0.008 * (S20 - 2)) / (1 + EXP(-6 * (T20 - 0.4))))) * (I20 * 0.92)) * 1 / 6.25</f>
        <v>1.9757354894894087E-2</v>
      </c>
      <c r="W20">
        <f t="shared" si="7"/>
        <v>2.8963829792092506E-2</v>
      </c>
      <c r="X20">
        <f t="shared" si="8"/>
        <v>0.12351546020961469</v>
      </c>
      <c r="Y20">
        <v>0</v>
      </c>
      <c r="BC20" t="s">
        <v>296</v>
      </c>
      <c r="BF20" t="s">
        <v>297</v>
      </c>
      <c r="BG20">
        <f>($BA$16*BD20)+($BB$16*BE20)</f>
        <v>0</v>
      </c>
      <c r="BH20">
        <f>$BY$62</f>
        <v>0</v>
      </c>
      <c r="BI20">
        <f>$BZ$62</f>
        <v>0</v>
      </c>
      <c r="BJ20">
        <f>((AA16 * AR16 * 365) + (AB16 * AS16 * 281) + (AC16 *AD16 * 84)) *BG20</f>
        <v>0</v>
      </c>
      <c r="BK20">
        <f>((Z16 * AT16 * 365) + (AB16 * AU16 * 281)  + (AB16 *AE16 * 84)) *BG20</f>
        <v>0</v>
      </c>
      <c r="BL20">
        <v>0</v>
      </c>
      <c r="BX20" t="s">
        <v>299</v>
      </c>
    </row>
    <row r="21" spans="1:77" x14ac:dyDescent="0.2">
      <c r="A21" t="s">
        <v>290</v>
      </c>
      <c r="B21" t="s">
        <v>300</v>
      </c>
      <c r="C21">
        <v>50</v>
      </c>
      <c r="E21">
        <f>$BY$21</f>
        <v>550</v>
      </c>
      <c r="F21">
        <f>$BY$28</f>
        <v>1.1000000000000001</v>
      </c>
      <c r="G21">
        <f>$BY$33</f>
        <v>590</v>
      </c>
      <c r="I21">
        <f>$BY$41</f>
        <v>1.6E-2</v>
      </c>
      <c r="J21">
        <f t="shared" si="0"/>
        <v>74.870008285192824</v>
      </c>
      <c r="K21">
        <f>(Y21 * 1.03 * AL21) / (AM21 * AN21 * AO21)</f>
        <v>65.615562764432823</v>
      </c>
      <c r="O21">
        <f t="shared" si="1"/>
        <v>0.2</v>
      </c>
      <c r="P21">
        <f t="shared" si="2"/>
        <v>14.974001657038565</v>
      </c>
      <c r="R21">
        <f t="shared" si="3"/>
        <v>0.75</v>
      </c>
      <c r="S21">
        <f t="shared" si="4"/>
        <v>1.0004293714344916</v>
      </c>
      <c r="T21">
        <f t="shared" si="5"/>
        <v>0.93220338983050843</v>
      </c>
      <c r="U21">
        <f t="shared" si="6"/>
        <v>10.992999999999999</v>
      </c>
      <c r="V21">
        <f xml:space="preserve"> (0.032 * $Y21 * 1.03 / 6.38) + ((0.212 - 0.008 * (S21 - 2) - ((0.14 - 0.008 * (S21 - 2)) / (1 + EXP(-6 * (T21 - 0.4))))) * (I21 * 0.92)) * 1 / 6.25</f>
        <v>0.70787430165781928</v>
      </c>
      <c r="W21">
        <f t="shared" si="7"/>
        <v>0.40051405462530099</v>
      </c>
      <c r="X21">
        <f t="shared" si="8"/>
        <v>1.2854530382217124</v>
      </c>
      <c r="Y21">
        <f>AF21 / (0.01 * (AJ21 + AK21))</f>
        <v>136.98630136986301</v>
      </c>
      <c r="Z21">
        <f>C21+C22+C24</f>
        <v>110</v>
      </c>
      <c r="AA21">
        <f>C21+C22+C24</f>
        <v>110</v>
      </c>
      <c r="AB21">
        <f>C23+C25</f>
        <v>40</v>
      </c>
      <c r="AC21">
        <v>0</v>
      </c>
      <c r="AD21">
        <f>M23+M25</f>
        <v>1.0499999999999999E-2</v>
      </c>
      <c r="AE21">
        <f>L23+L25</f>
        <v>1.2400000000000001E-2</v>
      </c>
      <c r="AF21">
        <v>10</v>
      </c>
      <c r="AG21">
        <v>0.8</v>
      </c>
      <c r="AH21" t="s">
        <v>77</v>
      </c>
      <c r="AI21" t="s">
        <v>16</v>
      </c>
      <c r="AJ21">
        <f>$BY$12</f>
        <v>4</v>
      </c>
      <c r="AK21">
        <f>$BY$13</f>
        <v>3.3</v>
      </c>
      <c r="AL21">
        <f>$BY$14</f>
        <v>3.0539999999999998</v>
      </c>
      <c r="AM21">
        <f>$BY$15</f>
        <v>18.399999999999999</v>
      </c>
      <c r="AN21">
        <f>$BY$16</f>
        <v>0.6</v>
      </c>
      <c r="AO21">
        <f>0.795 * R21- 0.0014</f>
        <v>0.5948500000000001</v>
      </c>
      <c r="AP21">
        <f>IF(AH21="yes",1,0)</f>
        <v>1</v>
      </c>
      <c r="AQ21">
        <f>$BY$64</f>
        <v>0.02</v>
      </c>
      <c r="AR21">
        <f>W21+W22+W24</f>
        <v>0.48773949486611795</v>
      </c>
      <c r="AS21">
        <f>W23+W25</f>
        <v>5.2418166941208988E-2</v>
      </c>
      <c r="AT21">
        <f>X21+X22+X24</f>
        <v>1.7061210601882775</v>
      </c>
      <c r="AU21">
        <f>X23+X25</f>
        <v>0.22558536521737715</v>
      </c>
      <c r="AV21" t="s">
        <v>233</v>
      </c>
      <c r="AZ21">
        <f>VLOOKUP(AV21, $BX$7:$CA$10, 2, FALSE)</f>
        <v>0.53400000000000003</v>
      </c>
      <c r="BA21">
        <f>VLOOKUP(AV21, $BX$7:$CA$10, 3, FALSE)</f>
        <v>0.11</v>
      </c>
      <c r="BB21">
        <f>VLOOKUP(AV21, $BX$7:$CA$10, 4, FALSE)</f>
        <v>0.35599999999999998</v>
      </c>
      <c r="BC21" t="s">
        <v>185</v>
      </c>
      <c r="BG21">
        <f>($BA$21*BD21)+($BB$21*BE21)</f>
        <v>0</v>
      </c>
      <c r="BH21">
        <f>$BY$58</f>
        <v>0</v>
      </c>
      <c r="BI21">
        <f>$BZ$58</f>
        <v>0.35</v>
      </c>
      <c r="BJ21">
        <f>((AA21 * AR21 * 365) + (AB21 * AS21 * 281) + (AC21 *AD21 * 84)) *BG21</f>
        <v>0</v>
      </c>
      <c r="BK21">
        <f>((Z21 * AT21 * 365) + (AB21 * AU21 * 281)  + (AB21 *AE21 * 84)) *BG21</f>
        <v>0</v>
      </c>
      <c r="BL21">
        <v>0</v>
      </c>
      <c r="BM21">
        <f>((BJ21 + BK21) * (1 - BH21 -BI21)- BL21) *AG$21</f>
        <v>0</v>
      </c>
      <c r="BN21">
        <f>((BJ21 + BK21) * (1 - BH21 -BI21)- BL21) *(1 - AG$21)</f>
        <v>0</v>
      </c>
      <c r="BP21">
        <f>SUM(BM21:BM24)</f>
        <v>29016.016147033297</v>
      </c>
      <c r="BQ21">
        <f>SUM(BN21:BN24)</f>
        <v>7254.0040367583215</v>
      </c>
      <c r="BR21">
        <f>IF(ISBLANK(AI21), "", IF(AI21="wet", $BY$67, $BY$68))</f>
        <v>6.0000000000000001E-3</v>
      </c>
      <c r="BS21">
        <f>IF(ISBLANK(AI21), "", $BY$70)</f>
        <v>1.5714285714285714</v>
      </c>
      <c r="BT21">
        <f>IF(ISBLANK(A21), "", BP21*BR21*BS21/1000)</f>
        <v>0.27357958081488537</v>
      </c>
      <c r="BU21">
        <f>IF(ISBLANK(AS21), "", BQ21*BR21*BS21/1000)</f>
        <v>6.8394895203721315E-2</v>
      </c>
      <c r="BX21" t="s">
        <v>301</v>
      </c>
      <c r="BY21">
        <v>550</v>
      </c>
    </row>
    <row r="22" spans="1:77" x14ac:dyDescent="0.2">
      <c r="A22" t="s">
        <v>292</v>
      </c>
      <c r="C22">
        <v>40</v>
      </c>
      <c r="E22">
        <f>$BY$22</f>
        <v>370</v>
      </c>
      <c r="F22">
        <f>$BY$29</f>
        <v>1</v>
      </c>
      <c r="G22">
        <f>$BY$34</f>
        <v>590</v>
      </c>
      <c r="I22">
        <f>$BY$42</f>
        <v>0.6</v>
      </c>
      <c r="J22">
        <f t="shared" si="0"/>
        <v>7.2784485796</v>
      </c>
      <c r="K22">
        <v>0</v>
      </c>
      <c r="O22">
        <f t="shared" si="1"/>
        <v>0.2</v>
      </c>
      <c r="P22">
        <f t="shared" si="2"/>
        <v>1.4556897159200002</v>
      </c>
      <c r="R22">
        <f t="shared" si="3"/>
        <v>0.75</v>
      </c>
      <c r="S22">
        <f t="shared" si="4"/>
        <v>1.1563411034246729</v>
      </c>
      <c r="T22">
        <f t="shared" si="5"/>
        <v>0.6271186440677966</v>
      </c>
      <c r="U22">
        <f t="shared" si="6"/>
        <v>10.992999999999999</v>
      </c>
      <c r="V22">
        <f xml:space="preserve"> (0.032 * $Y$12 * 1.03 / 6.38) + ((0.212 - 0.008 * (S22 - 2) - ((0.14 - 0.008 * (S22 - 2)) / (1 + EXP(-6 * (T22 - 0.4))))) * (I22 * 0.92)) * 1 / 6.25</f>
        <v>9.0004693208802639E-3</v>
      </c>
      <c r="W22">
        <f t="shared" si="7"/>
        <v>3.8935763715868155E-2</v>
      </c>
      <c r="X22">
        <f t="shared" si="8"/>
        <v>0.18348933517909985</v>
      </c>
      <c r="Y22">
        <v>0</v>
      </c>
      <c r="BC22" t="s">
        <v>224</v>
      </c>
      <c r="BD22">
        <v>0.3</v>
      </c>
      <c r="BE22">
        <v>0.5</v>
      </c>
      <c r="BG22">
        <f>($BA$21*BD22)+($BB$21*BE22)</f>
        <v>0.21099999999999999</v>
      </c>
      <c r="BH22">
        <f>$BY$59</f>
        <v>0</v>
      </c>
      <c r="BI22">
        <f>$BZ$59</f>
        <v>7.0000000000000007E-2</v>
      </c>
      <c r="BJ22">
        <f>((AA21 * AR21 * 365) + (AB21 * AS21 * 281) + (AC21 *AD21 * 84)) *BG22</f>
        <v>4256.2753131269965</v>
      </c>
      <c r="BK22">
        <f>((Z21 * AT21 * 365) + (AB21 * AU21 * 281)  + (AB21 *AE21 * 84)) *BG22</f>
        <v>14997.458859108163</v>
      </c>
      <c r="BL22">
        <v>0</v>
      </c>
      <c r="BM22">
        <f>((BJ22 + BK22) * (1 - BH22 -BI22)- BL22) *AG$21</f>
        <v>14324.77822414296</v>
      </c>
      <c r="BN22">
        <f>((BJ22 + BK22) * (1 - BH22 -BI22)- BL22) *(1 - AG$21)</f>
        <v>3581.1945560357385</v>
      </c>
      <c r="BX22" t="s">
        <v>302</v>
      </c>
      <c r="BY22">
        <v>370</v>
      </c>
    </row>
    <row r="23" spans="1:77" x14ac:dyDescent="0.2">
      <c r="A23" t="s">
        <v>293</v>
      </c>
      <c r="C23">
        <v>30</v>
      </c>
      <c r="E23">
        <f>$BY$23</f>
        <v>179</v>
      </c>
      <c r="F23">
        <f>$BY$29</f>
        <v>1</v>
      </c>
      <c r="G23">
        <f>$BY$35</f>
        <v>590</v>
      </c>
      <c r="I23">
        <f>$BY$43</f>
        <v>0.56999999999999995</v>
      </c>
      <c r="J23">
        <f t="shared" si="0"/>
        <v>4.3844314485315596</v>
      </c>
      <c r="K23">
        <v>0</v>
      </c>
      <c r="L23">
        <f>$BY$50</f>
        <v>8.2000000000000007E-3</v>
      </c>
      <c r="M23">
        <f>$BY$54</f>
        <v>5.4999999999999997E-3</v>
      </c>
      <c r="O23">
        <f t="shared" si="1"/>
        <v>0.2</v>
      </c>
      <c r="P23">
        <f t="shared" si="2"/>
        <v>0.87688628970631199</v>
      </c>
      <c r="R23">
        <f t="shared" si="3"/>
        <v>0.75</v>
      </c>
      <c r="S23">
        <f t="shared" si="4"/>
        <v>1.1963797575781601</v>
      </c>
      <c r="T23">
        <f t="shared" si="5"/>
        <v>0.30338983050847457</v>
      </c>
      <c r="U23">
        <f t="shared" si="6"/>
        <v>10.992999999999999</v>
      </c>
      <c r="V23">
        <f xml:space="preserve"> (0.032 * $Y$13 * 1.03 / 6.38) + ((0.212 - 0.008 * (S23 - 2) - ((0.14 - 0.008 * (S23 - 2)) / (1 + EXP(-6 * (T23 - 0.4))))) * (I23 * 0.92)) * 1 / 6.25</f>
        <v>1.3916268174785591E-2</v>
      </c>
      <c r="W23">
        <f t="shared" si="7"/>
        <v>2.3454337149116478E-2</v>
      </c>
      <c r="X23">
        <f t="shared" si="8"/>
        <v>0.10206990500776245</v>
      </c>
      <c r="Y23">
        <v>0</v>
      </c>
      <c r="BC23" t="s">
        <v>229</v>
      </c>
      <c r="BD23">
        <v>0.5</v>
      </c>
      <c r="BE23">
        <v>0.5</v>
      </c>
      <c r="BG23">
        <f>($BA$21*BD23)+($BB$21*BE23)</f>
        <v>0.23299999999999998</v>
      </c>
      <c r="BH23">
        <f>$BY$60</f>
        <v>0</v>
      </c>
      <c r="BI23">
        <f>$BZ$60</f>
        <v>0.2</v>
      </c>
      <c r="BJ23">
        <f>((AA21 * AR21 * 365) + (AB21 * AS21 * 281) + (AC21 *AD21 * 84)) *BG23</f>
        <v>4700.0575732634607</v>
      </c>
      <c r="BK23">
        <f>((Z21 * AT21 * 365) + (AB21 * AU21 * 281)  + (AB21 *AE21 * 84)) *BG23</f>
        <v>16561.17494868342</v>
      </c>
      <c r="BL23">
        <v>0</v>
      </c>
      <c r="BM23">
        <f>((BJ23 + BK23) * (1 - BH23 -BI23)- BL23) *AG$21</f>
        <v>13607.188814046005</v>
      </c>
      <c r="BN23">
        <f>((BJ23 + BK23) * (1 - BH23 -BI23)- BL23) *(1 - AG$21)</f>
        <v>3401.7972035115004</v>
      </c>
      <c r="BX23" t="s">
        <v>303</v>
      </c>
      <c r="BY23">
        <v>179</v>
      </c>
    </row>
    <row r="24" spans="1:77" x14ac:dyDescent="0.2">
      <c r="A24" t="s">
        <v>294</v>
      </c>
      <c r="C24">
        <v>20</v>
      </c>
      <c r="E24">
        <f>$BY$24</f>
        <v>600</v>
      </c>
      <c r="F24">
        <f>$BY$29</f>
        <v>1</v>
      </c>
      <c r="G24">
        <f>$BY$36</f>
        <v>770</v>
      </c>
      <c r="I24">
        <f>$BY$44</f>
        <v>0.1</v>
      </c>
      <c r="J24">
        <f t="shared" si="0"/>
        <v>9.0270202499999979</v>
      </c>
      <c r="K24">
        <v>0</v>
      </c>
      <c r="O24">
        <f t="shared" si="1"/>
        <v>0.2</v>
      </c>
      <c r="P24">
        <f t="shared" si="2"/>
        <v>1.8054040499999997</v>
      </c>
      <c r="R24">
        <f t="shared" si="3"/>
        <v>0.75</v>
      </c>
      <c r="S24">
        <f t="shared" si="4"/>
        <v>1.0213029780639273</v>
      </c>
      <c r="T24">
        <f t="shared" si="5"/>
        <v>0.77922077922077926</v>
      </c>
      <c r="U24">
        <f t="shared" si="6"/>
        <v>10.992999999999999</v>
      </c>
      <c r="V24">
        <f xml:space="preserve"> (0.032 * $Y$14 * 1.03 / 6.38) + ((0.212 - 0.008 * (S24 - 2) - ((0.14 - 0.008 * (S24 - 2)) / (1 + EXP(-6 * (T24 - 0.4))))) * (I24 * 0.92)) * 1 / 6.25</f>
        <v>1.2626203146474681E-3</v>
      </c>
      <c r="W24">
        <f t="shared" si="7"/>
        <v>4.8289676524948789E-2</v>
      </c>
      <c r="X24">
        <f t="shared" si="8"/>
        <v>0.23717868678746518</v>
      </c>
      <c r="Y24">
        <v>0</v>
      </c>
      <c r="BC24" t="s">
        <v>232</v>
      </c>
      <c r="BD24">
        <v>0.2</v>
      </c>
      <c r="BG24">
        <f>($BA$21*BD24)+($BB$21*BE24)</f>
        <v>2.2000000000000002E-2</v>
      </c>
      <c r="BH24">
        <f>$BY$61</f>
        <v>5.0000000000000001E-3</v>
      </c>
      <c r="BI24">
        <f>$BZ$61</f>
        <v>0.3</v>
      </c>
      <c r="BJ24">
        <f>((AA21 * AR21 * 365) + (AB21 * AS21 * 281) + (AC21 *AD21 * 84)) *BG24</f>
        <v>443.78226013646417</v>
      </c>
      <c r="BK24">
        <f>((Z21 * AT21 * 365) + (AB21 * AU21 * 281)  + (AB21 *AE21 * 84)) *BG24</f>
        <v>1563.7160895752588</v>
      </c>
      <c r="BL24">
        <f>(BK24+ BJ24) *AP21 *AQ21</f>
        <v>40.149966994234461</v>
      </c>
      <c r="BM24">
        <f>((BJ24 + BK24) * (1 - BH24 -BI24)- BL24) *AG$21</f>
        <v>1084.0491088443305</v>
      </c>
      <c r="BN24">
        <f>((BJ24 + BK24) * (1 - BH24 -BI24)- BL24) *(1 - AG$21)</f>
        <v>271.01227721108256</v>
      </c>
      <c r="BX24" t="s">
        <v>304</v>
      </c>
      <c r="BY24">
        <v>600</v>
      </c>
    </row>
    <row r="25" spans="1:77" x14ac:dyDescent="0.2">
      <c r="A25" t="s">
        <v>295</v>
      </c>
      <c r="C25">
        <v>10</v>
      </c>
      <c r="E25">
        <f>$BY$25</f>
        <v>225</v>
      </c>
      <c r="F25">
        <f>$BY$29</f>
        <v>1</v>
      </c>
      <c r="G25">
        <f>$BY$37</f>
        <v>770</v>
      </c>
      <c r="I25">
        <f>$BY$45</f>
        <v>0.8</v>
      </c>
      <c r="J25">
        <f t="shared" si="0"/>
        <v>5.4143472656250013</v>
      </c>
      <c r="K25">
        <v>0</v>
      </c>
      <c r="L25">
        <f>$BY$51</f>
        <v>4.1999999999999997E-3</v>
      </c>
      <c r="M25">
        <f>$BY$55</f>
        <v>5.0000000000000001E-3</v>
      </c>
      <c r="O25">
        <f t="shared" si="1"/>
        <v>0.2</v>
      </c>
      <c r="P25">
        <f t="shared" si="2"/>
        <v>1.0828694531250003</v>
      </c>
      <c r="R25">
        <f t="shared" si="3"/>
        <v>0.75</v>
      </c>
      <c r="S25">
        <f t="shared" si="4"/>
        <v>1.2576570545672616</v>
      </c>
      <c r="T25">
        <f t="shared" si="5"/>
        <v>0.29220779220779219</v>
      </c>
      <c r="U25">
        <f t="shared" si="6"/>
        <v>10.992999999999999</v>
      </c>
      <c r="V25">
        <f xml:space="preserve"> (0.032 * $Y$15 * 1.03 / 6.38) + ((0.212 - 0.008 * (S25 - 2) - ((0.14 - 0.008 * (S25 - 2)) / (1 + EXP(-6 * (T25 - 0.4))))) * (I25 * 0.92)) * 1 / 6.25</f>
        <v>1.9757354894894087E-2</v>
      </c>
      <c r="W25">
        <f t="shared" si="7"/>
        <v>2.8963829792092506E-2</v>
      </c>
      <c r="X25">
        <f t="shared" si="8"/>
        <v>0.12351546020961469</v>
      </c>
      <c r="Y25">
        <v>0</v>
      </c>
      <c r="BC25" t="s">
        <v>296</v>
      </c>
      <c r="BF25" t="s">
        <v>297</v>
      </c>
      <c r="BG25">
        <f>($BA$21*BD25)+($BB$21*BE25)</f>
        <v>0</v>
      </c>
      <c r="BH25">
        <f>$BY$62</f>
        <v>0</v>
      </c>
      <c r="BI25">
        <f>$BZ$62</f>
        <v>0</v>
      </c>
      <c r="BJ25">
        <f>((AA21 * AR21 * 365) + (AB21 * AS21 * 281) + (AC21 *AD21 * 84)) *BG25</f>
        <v>0</v>
      </c>
      <c r="BK25">
        <f>((Z21 * AT21 * 365) + (AB21 * AU21 * 281)  + (AB21 *AE21 * 84)) *BG25</f>
        <v>0</v>
      </c>
      <c r="BL25">
        <v>0</v>
      </c>
      <c r="BM25">
        <f>((BJ25 + BK25) * (1 - BH25 -BI25)- BL25) *AG$21</f>
        <v>0</v>
      </c>
      <c r="BN25">
        <f>((BJ25 + BK25) * (1 - BH25 -BI25)- BL25) *(1 - AG$21)</f>
        <v>0</v>
      </c>
      <c r="BX25" t="s">
        <v>305</v>
      </c>
      <c r="BY25">
        <v>225</v>
      </c>
    </row>
    <row r="26" spans="1:77" x14ac:dyDescent="0.2">
      <c r="A26" t="s">
        <v>290</v>
      </c>
      <c r="B26" t="s">
        <v>306</v>
      </c>
      <c r="C26">
        <v>50</v>
      </c>
      <c r="E26">
        <f>$BY$21</f>
        <v>550</v>
      </c>
      <c r="F26">
        <f>$BY$28</f>
        <v>1.1000000000000001</v>
      </c>
      <c r="G26">
        <f>$BY$33</f>
        <v>590</v>
      </c>
      <c r="I26">
        <f>$BY$41</f>
        <v>1.6E-2</v>
      </c>
      <c r="J26">
        <f t="shared" si="0"/>
        <v>74.870008285192824</v>
      </c>
      <c r="K26">
        <f>(Y26 * 1.03 * AL26) / (AM26 * AN26 * AO26)</f>
        <v>65.615562764432823</v>
      </c>
      <c r="O26">
        <f t="shared" si="1"/>
        <v>0.2</v>
      </c>
      <c r="P26">
        <f t="shared" si="2"/>
        <v>14.974001657038565</v>
      </c>
      <c r="R26">
        <f t="shared" si="3"/>
        <v>0.75</v>
      </c>
      <c r="S26">
        <f t="shared" si="4"/>
        <v>1.0004293714344916</v>
      </c>
      <c r="T26">
        <f t="shared" si="5"/>
        <v>0.93220338983050843</v>
      </c>
      <c r="U26">
        <f t="shared" si="6"/>
        <v>10.992999999999999</v>
      </c>
      <c r="V26">
        <f xml:space="preserve"> (0.032 * $Y26 * 1.03 / 6.38) + ((0.212 - 0.008 * (S26 - 2) - ((0.14 - 0.008 * (S26 - 2)) / (1 + EXP(-6 * (T26 - 0.4))))) * (I26 * 0.92)) * 1 / 6.25</f>
        <v>0.70787430165781928</v>
      </c>
      <c r="W26">
        <f t="shared" si="7"/>
        <v>0.40051405462530099</v>
      </c>
      <c r="X26">
        <f t="shared" si="8"/>
        <v>1.2854530382217124</v>
      </c>
      <c r="Y26">
        <f>AF26 / (0.01 * (AJ26 + AK26))</f>
        <v>136.98630136986301</v>
      </c>
      <c r="Z26">
        <f>C26+C27+C29</f>
        <v>110</v>
      </c>
      <c r="AA26">
        <f>C26+C27+C29</f>
        <v>110</v>
      </c>
      <c r="AB26">
        <f>C28+C30</f>
        <v>40</v>
      </c>
      <c r="AC26">
        <v>0</v>
      </c>
      <c r="AD26">
        <f>M28+M30</f>
        <v>1.0499999999999999E-2</v>
      </c>
      <c r="AE26">
        <f>L28+L30</f>
        <v>1.2400000000000001E-2</v>
      </c>
      <c r="AF26">
        <v>10</v>
      </c>
      <c r="AG26">
        <v>0.8</v>
      </c>
      <c r="AH26" t="s">
        <v>77</v>
      </c>
      <c r="AI26" t="s">
        <v>16</v>
      </c>
      <c r="AJ26">
        <f>$BY$12</f>
        <v>4</v>
      </c>
      <c r="AK26">
        <f>$BY$13</f>
        <v>3.3</v>
      </c>
      <c r="AL26">
        <f>$BY$14</f>
        <v>3.0539999999999998</v>
      </c>
      <c r="AM26">
        <f>$BY$15</f>
        <v>18.399999999999999</v>
      </c>
      <c r="AN26">
        <f>$BY$16</f>
        <v>0.6</v>
      </c>
      <c r="AO26">
        <f>0.795 * R26- 0.0014</f>
        <v>0.5948500000000001</v>
      </c>
      <c r="AP26">
        <f>IF(AH26="yes",1,0)</f>
        <v>1</v>
      </c>
      <c r="AQ26">
        <f>$BY$64</f>
        <v>0.02</v>
      </c>
      <c r="AR26">
        <f>W26+W27+W29</f>
        <v>0.48773949486611795</v>
      </c>
      <c r="AS26">
        <f>W28+W30</f>
        <v>5.2418166941208988E-2</v>
      </c>
      <c r="AT26">
        <f>X26+X27+X29</f>
        <v>1.7061210601882775</v>
      </c>
      <c r="AU26">
        <f>X28+X30</f>
        <v>0.22558536521737715</v>
      </c>
      <c r="AV26" t="s">
        <v>289</v>
      </c>
      <c r="AZ26">
        <f>VLOOKUP(AV26, $BX$7:$CA$10, 2, FALSE)</f>
        <v>0</v>
      </c>
      <c r="BA26">
        <f>VLOOKUP(AV26, $BX$7:$CA$10, 3, FALSE)</f>
        <v>0.11</v>
      </c>
      <c r="BB26">
        <f>VLOOKUP(AV26, $BX$7:$CA$10, 4, FALSE)</f>
        <v>0.89</v>
      </c>
      <c r="BC26" t="s">
        <v>185</v>
      </c>
      <c r="BG26">
        <f>($BA$26*BD26)+($BB$26*BE26)</f>
        <v>0</v>
      </c>
      <c r="BH26">
        <f>$BY$58</f>
        <v>0</v>
      </c>
      <c r="BI26">
        <f>$BZ$58</f>
        <v>0.35</v>
      </c>
      <c r="BJ26">
        <f>((AA26 * AR26 * 365) + (AB26 * AS26 * 281) + (AC26 *AD26 * 84)) *BG26</f>
        <v>0</v>
      </c>
      <c r="BK26">
        <f>((Z26 * AT26 * 365) + (AB26 * AU26 * 281)  + (AB26 *AE26 * 84)) *BG26</f>
        <v>0</v>
      </c>
      <c r="BL26">
        <v>0</v>
      </c>
      <c r="BM26">
        <f>((BJ26 + BK26) * (1 - BH26 -BI26)- BL26) *AG$26</f>
        <v>0</v>
      </c>
      <c r="BN26">
        <f>((BJ26 + BK26) * (1 - BH26 -BI26)- BL26) *(1 - AG$26)</f>
        <v>0</v>
      </c>
      <c r="BP26">
        <f>SUM(BM26:BM29)</f>
        <v>62735.418427591176</v>
      </c>
      <c r="BQ26">
        <f>SUM(BN26:BN29)</f>
        <v>15683.85460689779</v>
      </c>
      <c r="BR26">
        <f>IF(ISBLANK(AI26), "", IF(AI26="wet", $BY$67, $BY$68))</f>
        <v>6.0000000000000001E-3</v>
      </c>
      <c r="BS26">
        <f>IF(ISBLANK(AI26), "", $BY$70)</f>
        <v>1.5714285714285714</v>
      </c>
      <c r="BT26">
        <f>IF(ISBLANK(A26), "", BP26*BR26*BS26/1000)</f>
        <v>0.59150537374585965</v>
      </c>
      <c r="BU26">
        <f>IF(ISBLANK(AS26), "", BQ26*BR26*BS26/1000)</f>
        <v>0.14787634343646489</v>
      </c>
    </row>
    <row r="27" spans="1:77" x14ac:dyDescent="0.2">
      <c r="A27" t="s">
        <v>292</v>
      </c>
      <c r="C27">
        <v>40</v>
      </c>
      <c r="E27">
        <f>$BY$22</f>
        <v>370</v>
      </c>
      <c r="F27">
        <f>$BY$29</f>
        <v>1</v>
      </c>
      <c r="G27">
        <f>$BY$34</f>
        <v>590</v>
      </c>
      <c r="I27">
        <f>$BY$42</f>
        <v>0.6</v>
      </c>
      <c r="J27">
        <f t="shared" si="0"/>
        <v>7.2784485796</v>
      </c>
      <c r="K27">
        <v>0</v>
      </c>
      <c r="O27">
        <f t="shared" si="1"/>
        <v>0.2</v>
      </c>
      <c r="P27">
        <f t="shared" si="2"/>
        <v>1.4556897159200002</v>
      </c>
      <c r="R27">
        <f t="shared" si="3"/>
        <v>0.75</v>
      </c>
      <c r="S27">
        <f t="shared" si="4"/>
        <v>1.1563411034246729</v>
      </c>
      <c r="T27">
        <f t="shared" si="5"/>
        <v>0.6271186440677966</v>
      </c>
      <c r="U27">
        <f t="shared" si="6"/>
        <v>10.992999999999999</v>
      </c>
      <c r="V27">
        <f xml:space="preserve"> (0.032 * $Y$12 * 1.03 / 6.38) + ((0.212 - 0.008 * (S27 - 2) - ((0.14 - 0.008 * (S27 - 2)) / (1 + EXP(-6 * (T27 - 0.4))))) * (I27 * 0.92)) * 1 / 6.25</f>
        <v>9.0004693208802639E-3</v>
      </c>
      <c r="W27">
        <f t="shared" si="7"/>
        <v>3.8935763715868155E-2</v>
      </c>
      <c r="X27">
        <f t="shared" si="8"/>
        <v>0.18348933517909985</v>
      </c>
      <c r="Y27">
        <v>0</v>
      </c>
      <c r="BC27" t="s">
        <v>224</v>
      </c>
      <c r="BD27">
        <v>0.3</v>
      </c>
      <c r="BE27">
        <v>0.5</v>
      </c>
      <c r="BG27">
        <f>($BA$26*BD27)+($BB$26*BE27)</f>
        <v>0.47799999999999998</v>
      </c>
      <c r="BH27">
        <f>$BY$59</f>
        <v>0</v>
      </c>
      <c r="BI27">
        <f>$BZ$59</f>
        <v>7.0000000000000007E-2</v>
      </c>
      <c r="BJ27">
        <f>((AA26 * AR26 * 365) + (AB26 * AS26 * 281) + (AC26 *AD26 * 84)) *BG27</f>
        <v>9642.1781975104477</v>
      </c>
      <c r="BK27">
        <f>((Z26 * AT26 * 365) + (AB26 * AU26 * 281)  + (AB26 *AE26 * 84)) *BG27</f>
        <v>33975.285946226075</v>
      </c>
      <c r="BL27">
        <v>0</v>
      </c>
      <c r="BM27">
        <f>((BJ27 + BK27) * (1 - BH27 -BI27)- BL27) *AG$26</f>
        <v>32451.39332293997</v>
      </c>
      <c r="BN27">
        <f>((BJ27 + BK27) * (1 - BH27 -BI27)- BL27) *(1 - AG$26)</f>
        <v>8112.8483307349898</v>
      </c>
      <c r="BW27">
        <v>276</v>
      </c>
      <c r="BX27" t="s">
        <v>240</v>
      </c>
    </row>
    <row r="28" spans="1:77" x14ac:dyDescent="0.2">
      <c r="A28" t="s">
        <v>293</v>
      </c>
      <c r="C28">
        <v>30</v>
      </c>
      <c r="E28">
        <f>$BY$23</f>
        <v>179</v>
      </c>
      <c r="F28">
        <f>$BY$29</f>
        <v>1</v>
      </c>
      <c r="G28">
        <f>$BY$35</f>
        <v>590</v>
      </c>
      <c r="I28">
        <f>$BY$43</f>
        <v>0.56999999999999995</v>
      </c>
      <c r="J28">
        <f t="shared" si="0"/>
        <v>4.3844314485315596</v>
      </c>
      <c r="K28">
        <v>0</v>
      </c>
      <c r="L28">
        <f>$BY$50</f>
        <v>8.2000000000000007E-3</v>
      </c>
      <c r="M28">
        <f>$BY$54</f>
        <v>5.4999999999999997E-3</v>
      </c>
      <c r="O28">
        <f t="shared" si="1"/>
        <v>0.2</v>
      </c>
      <c r="P28">
        <f t="shared" si="2"/>
        <v>0.87688628970631199</v>
      </c>
      <c r="R28">
        <f t="shared" si="3"/>
        <v>0.75</v>
      </c>
      <c r="S28">
        <f t="shared" si="4"/>
        <v>1.1963797575781601</v>
      </c>
      <c r="T28">
        <f t="shared" si="5"/>
        <v>0.30338983050847457</v>
      </c>
      <c r="U28">
        <f t="shared" si="6"/>
        <v>10.992999999999999</v>
      </c>
      <c r="V28">
        <f xml:space="preserve"> (0.032 * $Y$13 * 1.03 / 6.38) + ((0.212 - 0.008 * (S28 - 2) - ((0.14 - 0.008 * (S28 - 2)) / (1 + EXP(-6 * (T28 - 0.4))))) * (I28 * 0.92)) * 1 / 6.25</f>
        <v>1.3916268174785591E-2</v>
      </c>
      <c r="W28">
        <f t="shared" si="7"/>
        <v>2.3454337149116478E-2</v>
      </c>
      <c r="X28">
        <f t="shared" si="8"/>
        <v>0.10206990500776245</v>
      </c>
      <c r="Y28">
        <v>0</v>
      </c>
      <c r="BC28" t="s">
        <v>229</v>
      </c>
      <c r="BD28">
        <v>0.5</v>
      </c>
      <c r="BE28">
        <v>0.5</v>
      </c>
      <c r="BG28">
        <f>($BA$26*BD28)+($BB$26*BE28)</f>
        <v>0.5</v>
      </c>
      <c r="BH28">
        <f>$BY$60</f>
        <v>0</v>
      </c>
      <c r="BI28">
        <f>$BZ$60</f>
        <v>0.2</v>
      </c>
      <c r="BJ28">
        <f>((AA26 * AR26 * 365) + (AB26 * AS26 * 281) + (AC26 *AD26 * 84)) *BG28</f>
        <v>10085.960457646912</v>
      </c>
      <c r="BK28">
        <f>((Z26 * AT26 * 365) + (AB26 * AU26 * 281)  + (AB26 *AE26 * 84)) *BG28</f>
        <v>35539.002035801335</v>
      </c>
      <c r="BL28">
        <v>0</v>
      </c>
      <c r="BM28">
        <f>((BJ28 + BK28) * (1 - BH28 -BI28)- BL28) *AG$26</f>
        <v>29199.975995806879</v>
      </c>
      <c r="BN28">
        <f>((BJ28 + BK28) * (1 - BH28 -BI28)- BL28) *(1 - AG$26)</f>
        <v>7299.9939989517179</v>
      </c>
      <c r="BX28" t="s">
        <v>301</v>
      </c>
      <c r="BY28">
        <v>1.1000000000000001</v>
      </c>
    </row>
    <row r="29" spans="1:77" x14ac:dyDescent="0.2">
      <c r="A29" t="s">
        <v>294</v>
      </c>
      <c r="C29">
        <v>20</v>
      </c>
      <c r="E29">
        <f>$BY$24</f>
        <v>600</v>
      </c>
      <c r="F29">
        <f>$BY$29</f>
        <v>1</v>
      </c>
      <c r="G29">
        <f>$BY$36</f>
        <v>770</v>
      </c>
      <c r="I29">
        <f>$BY$44</f>
        <v>0.1</v>
      </c>
      <c r="J29">
        <f t="shared" si="0"/>
        <v>9.0270202499999979</v>
      </c>
      <c r="K29">
        <v>0</v>
      </c>
      <c r="O29">
        <f t="shared" si="1"/>
        <v>0.2</v>
      </c>
      <c r="P29">
        <f t="shared" si="2"/>
        <v>1.8054040499999997</v>
      </c>
      <c r="R29">
        <f t="shared" si="3"/>
        <v>0.75</v>
      </c>
      <c r="S29">
        <f t="shared" si="4"/>
        <v>1.0213029780639273</v>
      </c>
      <c r="T29">
        <f t="shared" si="5"/>
        <v>0.77922077922077926</v>
      </c>
      <c r="U29">
        <f t="shared" si="6"/>
        <v>10.992999999999999</v>
      </c>
      <c r="V29">
        <f xml:space="preserve"> (0.032 * $Y$14 * 1.03 / 6.38) + ((0.212 - 0.008 * (S29 - 2) - ((0.14 - 0.008 * (S29 - 2)) / (1 + EXP(-6 * (T29 - 0.4))))) * (I29 * 0.92)) * 1 / 6.25</f>
        <v>1.2626203146474681E-3</v>
      </c>
      <c r="W29">
        <f t="shared" si="7"/>
        <v>4.8289676524948789E-2</v>
      </c>
      <c r="X29">
        <f t="shared" si="8"/>
        <v>0.23717868678746518</v>
      </c>
      <c r="Y29">
        <v>0</v>
      </c>
      <c r="BC29" t="s">
        <v>232</v>
      </c>
      <c r="BD29">
        <v>0.2</v>
      </c>
      <c r="BG29">
        <f>($BA$26*BD29)+($BB$26*BE29)</f>
        <v>2.2000000000000002E-2</v>
      </c>
      <c r="BH29">
        <f>$BY$61</f>
        <v>5.0000000000000001E-3</v>
      </c>
      <c r="BI29">
        <f>$BZ$61</f>
        <v>0.3</v>
      </c>
      <c r="BJ29">
        <f>((AA26 * AR26 * 365) + (AB26 * AS26 * 281) + (AC26 *AD26 * 84)) *BG29</f>
        <v>443.78226013646417</v>
      </c>
      <c r="BK29">
        <f>((Z26 * AT26 * 365) + (AB26 * AU26 * 281)  + (AB26 *AE26 * 84)) *BG29</f>
        <v>1563.7160895752588</v>
      </c>
      <c r="BL29">
        <f>(BK29+ BJ29) *AP26 *AQ26</f>
        <v>40.149966994234461</v>
      </c>
      <c r="BM29">
        <f>((BJ29 + BK29) * (1 - BH29 -BI29)- BL29) *AG$26</f>
        <v>1084.0491088443305</v>
      </c>
      <c r="BN29">
        <f>((BJ29 + BK29) * (1 - BH29 -BI29)- BL29) *(1 - AG$26)</f>
        <v>271.01227721108256</v>
      </c>
      <c r="BX29" t="s">
        <v>307</v>
      </c>
      <c r="BY29">
        <v>1</v>
      </c>
    </row>
    <row r="30" spans="1:77" x14ac:dyDescent="0.2">
      <c r="A30" t="s">
        <v>295</v>
      </c>
      <c r="C30">
        <v>10</v>
      </c>
      <c r="E30">
        <f>$BY$25</f>
        <v>225</v>
      </c>
      <c r="F30">
        <f>$BY$29</f>
        <v>1</v>
      </c>
      <c r="G30">
        <f>$BY$37</f>
        <v>770</v>
      </c>
      <c r="I30">
        <f>$BY$45</f>
        <v>0.8</v>
      </c>
      <c r="J30">
        <f t="shared" si="0"/>
        <v>5.4143472656250013</v>
      </c>
      <c r="K30">
        <v>0</v>
      </c>
      <c r="L30">
        <f>$BY$51</f>
        <v>4.1999999999999997E-3</v>
      </c>
      <c r="M30">
        <f>$BY$55</f>
        <v>5.0000000000000001E-3</v>
      </c>
      <c r="O30">
        <f t="shared" si="1"/>
        <v>0.2</v>
      </c>
      <c r="P30">
        <f t="shared" si="2"/>
        <v>1.0828694531250003</v>
      </c>
      <c r="R30">
        <f t="shared" si="3"/>
        <v>0.75</v>
      </c>
      <c r="S30">
        <f t="shared" si="4"/>
        <v>1.2576570545672616</v>
      </c>
      <c r="T30">
        <f t="shared" si="5"/>
        <v>0.29220779220779219</v>
      </c>
      <c r="U30">
        <f t="shared" si="6"/>
        <v>10.992999999999999</v>
      </c>
      <c r="V30">
        <f xml:space="preserve"> (0.032 * $Y$15 * 1.03 / 6.38) + ((0.212 - 0.008 * (S30 - 2) - ((0.14 - 0.008 * (S30 - 2)) / (1 + EXP(-6 * (T30 - 0.4))))) * (I30 * 0.92)) * 1 / 6.25</f>
        <v>1.9757354894894087E-2</v>
      </c>
      <c r="W30">
        <f t="shared" si="7"/>
        <v>2.8963829792092506E-2</v>
      </c>
      <c r="X30">
        <f t="shared" si="8"/>
        <v>0.12351546020961469</v>
      </c>
      <c r="Y30">
        <v>0</v>
      </c>
      <c r="BC30" t="s">
        <v>296</v>
      </c>
      <c r="BF30" t="s">
        <v>297</v>
      </c>
      <c r="BG30">
        <f>($BA$26*BD30)+($BB$26*BE30)</f>
        <v>0</v>
      </c>
      <c r="BH30">
        <f>$BY$62</f>
        <v>0</v>
      </c>
      <c r="BI30">
        <f>$BZ$62</f>
        <v>0</v>
      </c>
      <c r="BJ30">
        <f>((AA26 * AR26 * 365) + (AB26 * AS26 * 281) + (AC26 *AD26 * 84)) *BG30</f>
        <v>0</v>
      </c>
      <c r="BK30">
        <f>((Z26 * AT26 * 365) + (AB26 * AU26 * 281)  + (AB26 *AE26 * 84)) *BG30</f>
        <v>0</v>
      </c>
      <c r="BL30">
        <v>0</v>
      </c>
    </row>
    <row r="31" spans="1:77" x14ac:dyDescent="0.2">
      <c r="A31" t="s">
        <v>290</v>
      </c>
      <c r="B31" t="s">
        <v>308</v>
      </c>
      <c r="C31">
        <v>50</v>
      </c>
      <c r="E31">
        <f>$BY$21</f>
        <v>550</v>
      </c>
      <c r="F31">
        <f>$BY$28</f>
        <v>1.1000000000000001</v>
      </c>
      <c r="G31">
        <f>$BY$33</f>
        <v>590</v>
      </c>
      <c r="I31">
        <f>$BY$41</f>
        <v>1.6E-2</v>
      </c>
      <c r="J31">
        <f t="shared" si="0"/>
        <v>74.870008285192824</v>
      </c>
      <c r="K31">
        <f>(Y31 * 1.03 * AL31) / (AM31 * AN31 * AO31)</f>
        <v>65.615562764432823</v>
      </c>
      <c r="O31">
        <f t="shared" si="1"/>
        <v>0.2</v>
      </c>
      <c r="P31">
        <f t="shared" si="2"/>
        <v>14.974001657038565</v>
      </c>
      <c r="R31">
        <f t="shared" si="3"/>
        <v>0.75</v>
      </c>
      <c r="S31">
        <f t="shared" si="4"/>
        <v>1.0004293714344916</v>
      </c>
      <c r="T31">
        <f t="shared" si="5"/>
        <v>0.93220338983050843</v>
      </c>
      <c r="U31">
        <f t="shared" si="6"/>
        <v>10.992999999999999</v>
      </c>
      <c r="V31">
        <f xml:space="preserve"> (0.032 * $Y$11 * 1.03 / 6.38) + ((0.212 - 0.008 * (S31 - 2) - ((0.14 - 0.008 * (S31 - 2)) / (1 + EXP(-6 * (T31 - 0.4))))) * (I31 * 0.92)) * 1 / 6.25</f>
        <v>0.70787430165781928</v>
      </c>
      <c r="W31">
        <f t="shared" si="7"/>
        <v>0.40051405462530099</v>
      </c>
      <c r="X31">
        <f t="shared" si="8"/>
        <v>1.2854530382217124</v>
      </c>
      <c r="Y31">
        <f>AF31 / (0.01 * (AJ31 + AK31))</f>
        <v>136.98630136986301</v>
      </c>
      <c r="Z31">
        <f>C31+C32+C34</f>
        <v>110</v>
      </c>
      <c r="AA31">
        <f>C31+C32+C34</f>
        <v>110</v>
      </c>
      <c r="AB31">
        <f>C33+C35</f>
        <v>40</v>
      </c>
      <c r="AC31">
        <v>0</v>
      </c>
      <c r="AD31">
        <f>M33+M35</f>
        <v>1.0499999999999999E-2</v>
      </c>
      <c r="AE31">
        <f>L33+L35</f>
        <v>1.2400000000000001E-2</v>
      </c>
      <c r="AF31">
        <v>10</v>
      </c>
      <c r="AG31">
        <v>0.8</v>
      </c>
      <c r="AH31" t="s">
        <v>80</v>
      </c>
      <c r="AI31" t="s">
        <v>16</v>
      </c>
      <c r="AJ31">
        <f>$BY$12</f>
        <v>4</v>
      </c>
      <c r="AK31">
        <f>$BY$13</f>
        <v>3.3</v>
      </c>
      <c r="AL31">
        <f>$BY$14</f>
        <v>3.0539999999999998</v>
      </c>
      <c r="AM31">
        <f>$BY$15</f>
        <v>18.399999999999999</v>
      </c>
      <c r="AN31">
        <f>$BY$16</f>
        <v>0.6</v>
      </c>
      <c r="AO31">
        <f>0.795 * R31- 0.0014</f>
        <v>0.5948500000000001</v>
      </c>
      <c r="AP31">
        <f>IF(AH31="yes",1,0)</f>
        <v>0</v>
      </c>
      <c r="AQ31">
        <f>$BY$64</f>
        <v>0.02</v>
      </c>
      <c r="AR31">
        <f>W31+W32+W34</f>
        <v>0.48773949486611795</v>
      </c>
      <c r="AS31">
        <f>W33+W35</f>
        <v>5.2418166941208988E-2</v>
      </c>
      <c r="AT31">
        <f>X31+X32+X34</f>
        <v>1.7061210601882775</v>
      </c>
      <c r="AU31">
        <f>X33+X35</f>
        <v>0.22558536521737715</v>
      </c>
      <c r="AV31" t="s">
        <v>228</v>
      </c>
      <c r="AZ31">
        <f>VLOOKUP(AV31, $BX$7:$CA$10, 2, FALSE)</f>
        <v>0.89</v>
      </c>
      <c r="BA31">
        <f>VLOOKUP(AV31, $BX$7:$CA$10, 3, FALSE)</f>
        <v>0.11</v>
      </c>
      <c r="BB31">
        <f>VLOOKUP(AV31, $BX$7:$CA$10, 4, FALSE)</f>
        <v>0</v>
      </c>
      <c r="BC31" t="s">
        <v>185</v>
      </c>
      <c r="BG31">
        <f>($BA31*BD$11)+($BB$11*BE31)</f>
        <v>0</v>
      </c>
      <c r="BH31">
        <f>$BY$58</f>
        <v>0</v>
      </c>
      <c r="BI31">
        <f>$BZ$58</f>
        <v>0.35</v>
      </c>
      <c r="BJ31">
        <f>((AA31 * AR31 * 365) + (AB31 * AS31 * 281) + (AC31 *AD31 * 84)) *BG31</f>
        <v>0</v>
      </c>
      <c r="BK31">
        <f>((Z31 * AT31 * 365) + (AB31 * AU31 * 281)  + (AB31 *AE31 * 84)) *BG31</f>
        <v>0</v>
      </c>
      <c r="BL31">
        <v>0</v>
      </c>
      <c r="BM31">
        <f>((BJ31 + BK31) * (1 - BH31 -BI31)- BL31) *AG$11</f>
        <v>0</v>
      </c>
      <c r="BN31">
        <f>((BJ31 + BK31) * (1 - BH31 -BI31)- BL31) *(1 - AG$11)</f>
        <v>0</v>
      </c>
      <c r="BP31">
        <f>SUM(BM31:BM34)</f>
        <v>6568.5346002567576</v>
      </c>
      <c r="BQ31">
        <f>SUM(BN31:BN34)</f>
        <v>1642.1336500641887</v>
      </c>
      <c r="BR31">
        <f>IF(ISBLANK(AI31), "", IF(AI31="wet", $BY$67, $BY$68))</f>
        <v>6.0000000000000001E-3</v>
      </c>
      <c r="BS31">
        <f>IF(ISBLANK(AI31), "", $BY$70)</f>
        <v>1.5714285714285714</v>
      </c>
      <c r="BT31">
        <f>IF(ISBLANK(A31), "", BP31*BR31*BS31/1000)</f>
        <v>6.1931897659563716E-2</v>
      </c>
      <c r="BU31">
        <f>IF(ISBLANK(AS31), "", BQ31*BR31*BS31/1000)</f>
        <v>1.5482974414890924E-2</v>
      </c>
      <c r="BW31">
        <v>937</v>
      </c>
      <c r="BX31" t="s">
        <v>241</v>
      </c>
    </row>
    <row r="32" spans="1:77" x14ac:dyDescent="0.2">
      <c r="A32" t="s">
        <v>292</v>
      </c>
      <c r="C32">
        <v>40</v>
      </c>
      <c r="E32">
        <f>$BY$22</f>
        <v>370</v>
      </c>
      <c r="F32">
        <f>$BY$29</f>
        <v>1</v>
      </c>
      <c r="G32">
        <f>$BY$34</f>
        <v>590</v>
      </c>
      <c r="I32">
        <f>$BY$42</f>
        <v>0.6</v>
      </c>
      <c r="J32">
        <f t="shared" si="0"/>
        <v>7.2784485796</v>
      </c>
      <c r="K32">
        <v>0</v>
      </c>
      <c r="O32">
        <f t="shared" si="1"/>
        <v>0.2</v>
      </c>
      <c r="P32">
        <f t="shared" si="2"/>
        <v>1.4556897159200002</v>
      </c>
      <c r="R32">
        <f t="shared" si="3"/>
        <v>0.75</v>
      </c>
      <c r="S32">
        <f t="shared" si="4"/>
        <v>1.1563411034246729</v>
      </c>
      <c r="T32">
        <f t="shared" si="5"/>
        <v>0.6271186440677966</v>
      </c>
      <c r="U32">
        <f t="shared" si="6"/>
        <v>10.992999999999999</v>
      </c>
      <c r="V32">
        <f xml:space="preserve"> (0.032 * $Y$12 * 1.03 / 6.38) + ((0.212 - 0.008 * (S32 - 2) - ((0.14 - 0.008 * (S32 - 2)) / (1 + EXP(-6 * (T32 - 0.4))))) * (I32 * 0.92)) * 1 / 6.25</f>
        <v>9.0004693208802639E-3</v>
      </c>
      <c r="W32">
        <f t="shared" si="7"/>
        <v>3.8935763715868155E-2</v>
      </c>
      <c r="X32">
        <f t="shared" si="8"/>
        <v>0.18348933517909985</v>
      </c>
      <c r="Y32">
        <v>0</v>
      </c>
      <c r="BC32" t="s">
        <v>224</v>
      </c>
      <c r="BD32">
        <v>0.3</v>
      </c>
      <c r="BE32">
        <v>0.5</v>
      </c>
      <c r="BG32">
        <f>($BA$11*BD32)+($BB$11*BE32)</f>
        <v>3.3000000000000002E-2</v>
      </c>
      <c r="BH32">
        <f>$BY$59</f>
        <v>0</v>
      </c>
      <c r="BI32">
        <f>$BZ$59</f>
        <v>7.0000000000000007E-2</v>
      </c>
      <c r="BJ32">
        <f>((AA31 * AR31 * 365) + (AB31 * AS31 * 281) + (AC31 *AD31 * 84)) *BG32</f>
        <v>665.67339020469626</v>
      </c>
      <c r="BK32">
        <f>((Z31 * AT31 * 365) + (AB31 * AU31 * 281)  + (AB31 *AE31 * 84)) *BG32</f>
        <v>2345.5741343628883</v>
      </c>
      <c r="BL32">
        <v>0</v>
      </c>
      <c r="BM32">
        <f>((BJ32 + BK32) * (1 - BH32 -BI32)- BL32) *AG$11</f>
        <v>2240.3681582782829</v>
      </c>
      <c r="BN32">
        <f>((BJ32 + BK32) * (1 - BH32 -BI32)- BL32) *(1 - AG$11)</f>
        <v>560.0920395695706</v>
      </c>
      <c r="BX32" t="s">
        <v>309</v>
      </c>
    </row>
    <row r="33" spans="1:77" x14ac:dyDescent="0.2">
      <c r="A33" t="s">
        <v>293</v>
      </c>
      <c r="C33">
        <v>30</v>
      </c>
      <c r="E33">
        <f>$BY$23</f>
        <v>179</v>
      </c>
      <c r="F33">
        <f>$BY$29</f>
        <v>1</v>
      </c>
      <c r="G33">
        <f>$BY$35</f>
        <v>590</v>
      </c>
      <c r="I33">
        <f>$BY$43</f>
        <v>0.56999999999999995</v>
      </c>
      <c r="J33">
        <f t="shared" si="0"/>
        <v>4.3844314485315596</v>
      </c>
      <c r="K33">
        <v>0</v>
      </c>
      <c r="L33">
        <f>$BY$50</f>
        <v>8.2000000000000007E-3</v>
      </c>
      <c r="M33">
        <f>$BY$54</f>
        <v>5.4999999999999997E-3</v>
      </c>
      <c r="O33">
        <f t="shared" si="1"/>
        <v>0.2</v>
      </c>
      <c r="P33">
        <f t="shared" si="2"/>
        <v>0.87688628970631199</v>
      </c>
      <c r="R33">
        <f t="shared" si="3"/>
        <v>0.75</v>
      </c>
      <c r="S33">
        <f t="shared" si="4"/>
        <v>1.1963797575781601</v>
      </c>
      <c r="T33">
        <f t="shared" si="5"/>
        <v>0.30338983050847457</v>
      </c>
      <c r="U33">
        <f t="shared" si="6"/>
        <v>10.992999999999999</v>
      </c>
      <c r="V33">
        <f xml:space="preserve"> (0.032 * $Y$13 * 1.03 / 6.38) + ((0.212 - 0.008 * (S33 - 2) - ((0.14 - 0.008 * (S33 - 2)) / (1 + EXP(-6 * (T33 - 0.4))))) * (I33 * 0.92)) * 1 / 6.25</f>
        <v>1.3916268174785591E-2</v>
      </c>
      <c r="W33">
        <f t="shared" si="7"/>
        <v>2.3454337149116478E-2</v>
      </c>
      <c r="X33">
        <f t="shared" si="8"/>
        <v>0.10206990500776245</v>
      </c>
      <c r="Y33">
        <v>0</v>
      </c>
      <c r="BC33" t="s">
        <v>229</v>
      </c>
      <c r="BD33">
        <v>0.5</v>
      </c>
      <c r="BE33">
        <v>0.5</v>
      </c>
      <c r="BG33">
        <f>($BA$11*BD33)+($BB$11*BE33)</f>
        <v>5.5E-2</v>
      </c>
      <c r="BH33">
        <f>$BY$60</f>
        <v>0</v>
      </c>
      <c r="BI33">
        <f>$BZ$60</f>
        <v>0.2</v>
      </c>
      <c r="BJ33">
        <f>((AA31 * AR31 * 365) + (AB31 * AS31 * 281) + (AC31 *AD31 * 84)) *BG33</f>
        <v>1109.4556503411602</v>
      </c>
      <c r="BK33">
        <f>((Z31 * AT31 * 365) + (AB31 * AU31 * 281)  + (AB31 *AE31 * 84)) *BG33</f>
        <v>3909.2902239381469</v>
      </c>
      <c r="BL33">
        <v>0</v>
      </c>
      <c r="BM33">
        <f>((BJ33 + BK33) * (1 - BH33 -BI33)- BL33) *AG$11</f>
        <v>3211.9973595387564</v>
      </c>
      <c r="BN33">
        <f>((BJ33 + BK33) * (1 - BH33 -BI33)- BL33) *(1 - AG$11)</f>
        <v>802.99933988468888</v>
      </c>
      <c r="BX33" t="s">
        <v>301</v>
      </c>
      <c r="BY33">
        <v>590</v>
      </c>
    </row>
    <row r="34" spans="1:77" x14ac:dyDescent="0.2">
      <c r="A34" t="s">
        <v>294</v>
      </c>
      <c r="C34">
        <v>20</v>
      </c>
      <c r="E34">
        <f>$BY$24</f>
        <v>600</v>
      </c>
      <c r="F34">
        <f>$BY$29</f>
        <v>1</v>
      </c>
      <c r="G34">
        <f>$BY$36</f>
        <v>770</v>
      </c>
      <c r="I34">
        <f>$BY$44</f>
        <v>0.1</v>
      </c>
      <c r="J34">
        <f t="shared" si="0"/>
        <v>9.0270202499999979</v>
      </c>
      <c r="K34">
        <v>0</v>
      </c>
      <c r="O34">
        <f t="shared" si="1"/>
        <v>0.2</v>
      </c>
      <c r="P34">
        <f t="shared" si="2"/>
        <v>1.8054040499999997</v>
      </c>
      <c r="R34">
        <f t="shared" si="3"/>
        <v>0.75</v>
      </c>
      <c r="S34">
        <f t="shared" si="4"/>
        <v>1.0213029780639273</v>
      </c>
      <c r="T34">
        <f t="shared" si="5"/>
        <v>0.77922077922077926</v>
      </c>
      <c r="U34">
        <f t="shared" si="6"/>
        <v>10.992999999999999</v>
      </c>
      <c r="V34">
        <f xml:space="preserve"> (0.032 * $Y$14 * 1.03 / 6.38) + ((0.212 - 0.008 * (S34 - 2) - ((0.14 - 0.008 * (S34 - 2)) / (1 + EXP(-6 * (T34 - 0.4))))) * (I34 * 0.92)) * 1 / 6.25</f>
        <v>1.2626203146474681E-3</v>
      </c>
      <c r="W34">
        <f t="shared" si="7"/>
        <v>4.8289676524948789E-2</v>
      </c>
      <c r="X34">
        <f t="shared" si="8"/>
        <v>0.23717868678746518</v>
      </c>
      <c r="Y34">
        <v>0</v>
      </c>
      <c r="BC34" t="s">
        <v>232</v>
      </c>
      <c r="BD34">
        <v>0.2</v>
      </c>
      <c r="BG34">
        <f>($BA$11*BD34)+($BB$11*BE34)</f>
        <v>2.2000000000000002E-2</v>
      </c>
      <c r="BH34">
        <f>$BY$61</f>
        <v>5.0000000000000001E-3</v>
      </c>
      <c r="BI34">
        <f>$BZ$61</f>
        <v>0.3</v>
      </c>
      <c r="BJ34">
        <f>((AA31 * AR31 * 365) + (AB31 * AS31 * 281) + (AC31 *AD31 * 84)) *BG34</f>
        <v>443.78226013646417</v>
      </c>
      <c r="BK34">
        <f>((Z31 * AT31 * 365) + (AB31 * AU31 * 281)  + (AB31 *AE31 * 84)) *BG34</f>
        <v>1563.7160895752588</v>
      </c>
      <c r="BL34">
        <f>(BK34+ BJ34) *AP31 *AQ31</f>
        <v>0</v>
      </c>
      <c r="BM34">
        <f>((BJ34 + BK34) * (1 - BH34 -BI34)- BL34) *AG$11</f>
        <v>1116.1690824397181</v>
      </c>
      <c r="BN34">
        <f>((BJ34 + BK34) * (1 - BH34 -BI34)- BL34) *(1 - AG$11)</f>
        <v>279.04227060992946</v>
      </c>
      <c r="BX34" t="s">
        <v>302</v>
      </c>
      <c r="BY34">
        <v>590</v>
      </c>
    </row>
    <row r="35" spans="1:77" x14ac:dyDescent="0.2">
      <c r="A35" t="s">
        <v>295</v>
      </c>
      <c r="C35">
        <v>10</v>
      </c>
      <c r="E35">
        <f>$BY$25</f>
        <v>225</v>
      </c>
      <c r="F35">
        <f>$BY$29</f>
        <v>1</v>
      </c>
      <c r="G35">
        <f>$BY$37</f>
        <v>770</v>
      </c>
      <c r="I35">
        <f>$BY$45</f>
        <v>0.8</v>
      </c>
      <c r="J35">
        <f t="shared" si="0"/>
        <v>5.4143472656250013</v>
      </c>
      <c r="K35">
        <v>0</v>
      </c>
      <c r="L35">
        <f>$BY$51</f>
        <v>4.1999999999999997E-3</v>
      </c>
      <c r="M35">
        <f>$BY$55</f>
        <v>5.0000000000000001E-3</v>
      </c>
      <c r="O35">
        <f t="shared" si="1"/>
        <v>0.2</v>
      </c>
      <c r="P35">
        <f t="shared" si="2"/>
        <v>1.0828694531250003</v>
      </c>
      <c r="R35">
        <f t="shared" si="3"/>
        <v>0.75</v>
      </c>
      <c r="S35">
        <f t="shared" si="4"/>
        <v>1.2576570545672616</v>
      </c>
      <c r="T35">
        <f t="shared" si="5"/>
        <v>0.29220779220779219</v>
      </c>
      <c r="U35">
        <f t="shared" si="6"/>
        <v>10.992999999999999</v>
      </c>
      <c r="V35">
        <f xml:space="preserve"> (0.032 * $Y$15 * 1.03 / 6.38) + ((0.212 - 0.008 * (S35 - 2) - ((0.14 - 0.008 * (S35 - 2)) / (1 + EXP(-6 * (T35 - 0.4))))) * (I35 * 0.92)) * 1 / 6.25</f>
        <v>1.9757354894894087E-2</v>
      </c>
      <c r="W35">
        <f t="shared" si="7"/>
        <v>2.8963829792092506E-2</v>
      </c>
      <c r="X35">
        <f t="shared" si="8"/>
        <v>0.12351546020961469</v>
      </c>
      <c r="Y35">
        <v>0</v>
      </c>
      <c r="BC35" t="s">
        <v>296</v>
      </c>
      <c r="BF35" t="s">
        <v>297</v>
      </c>
      <c r="BG35">
        <f>SUM(BG31:BG34)</f>
        <v>0.11</v>
      </c>
      <c r="BH35">
        <f>$BY$62</f>
        <v>0</v>
      </c>
      <c r="BI35">
        <f>$BZ$62</f>
        <v>0</v>
      </c>
      <c r="BJ35">
        <f>((AA31 * AR31 * 365) + (AB31 * AS31 * 281) + (AC31 *AD31 * 84)) *BG35</f>
        <v>2218.9113006823204</v>
      </c>
      <c r="BK35">
        <f>((Z31 * AT31 * 365) + (AB31 * AU31 * 281)  + (AB31 *AE31 * 84)) *BG35</f>
        <v>7818.5804478762939</v>
      </c>
      <c r="BL35">
        <v>0</v>
      </c>
      <c r="BX35" t="s">
        <v>303</v>
      </c>
      <c r="BY35">
        <v>590</v>
      </c>
    </row>
    <row r="36" spans="1:77" x14ac:dyDescent="0.2">
      <c r="A36" t="s">
        <v>290</v>
      </c>
      <c r="B36" t="s">
        <v>310</v>
      </c>
      <c r="C36">
        <v>50</v>
      </c>
      <c r="E36">
        <f>$BY$21</f>
        <v>550</v>
      </c>
      <c r="F36">
        <f>$BY$28</f>
        <v>1.1000000000000001</v>
      </c>
      <c r="G36">
        <f>$BY$33</f>
        <v>590</v>
      </c>
      <c r="I36">
        <f>$BY$41</f>
        <v>1.6E-2</v>
      </c>
      <c r="J36">
        <f t="shared" si="0"/>
        <v>74.870008285192824</v>
      </c>
      <c r="K36">
        <f>(Y36 * 1.03 * AL36) / (AM36 * AN36 * AO36)</f>
        <v>65.615562764432823</v>
      </c>
      <c r="O36">
        <f t="shared" si="1"/>
        <v>0.2</v>
      </c>
      <c r="P36">
        <f t="shared" si="2"/>
        <v>14.974001657038565</v>
      </c>
      <c r="R36">
        <f t="shared" si="3"/>
        <v>0.75</v>
      </c>
      <c r="S36">
        <f t="shared" si="4"/>
        <v>1.0004293714344916</v>
      </c>
      <c r="T36">
        <f t="shared" si="5"/>
        <v>0.93220338983050843</v>
      </c>
      <c r="U36">
        <f t="shared" si="6"/>
        <v>10.992999999999999</v>
      </c>
      <c r="V36">
        <f xml:space="preserve"> (0.032 * $Y$11 * 1.03 / 6.38) + ((0.212 - 0.008 * (S36 - 2) - ((0.14 - 0.008 * (S36 - 2)) / (1 + EXP(-6 * (T36 - 0.4))))) * (I36 * 0.92)) * 1 / 6.25</f>
        <v>0.70787430165781928</v>
      </c>
      <c r="W36">
        <f t="shared" si="7"/>
        <v>0.40051405462530099</v>
      </c>
      <c r="X36">
        <f t="shared" si="8"/>
        <v>1.2854530382217124</v>
      </c>
      <c r="Y36">
        <f>AF36 / (0.01 * (AJ36 + AK36))</f>
        <v>136.98630136986301</v>
      </c>
      <c r="Z36">
        <f>C36+C37+C39</f>
        <v>110</v>
      </c>
      <c r="AA36">
        <f>C36+C37+C39</f>
        <v>110</v>
      </c>
      <c r="AB36">
        <f>C38+C40</f>
        <v>40</v>
      </c>
      <c r="AC36">
        <v>0</v>
      </c>
      <c r="AD36">
        <f>M38+M40</f>
        <v>1.0499999999999999E-2</v>
      </c>
      <c r="AE36">
        <f>L38+L40</f>
        <v>1.2400000000000001E-2</v>
      </c>
      <c r="AF36">
        <v>10</v>
      </c>
      <c r="AG36">
        <v>0.8</v>
      </c>
      <c r="AH36" t="s">
        <v>77</v>
      </c>
      <c r="AI36" t="s">
        <v>19</v>
      </c>
      <c r="AJ36">
        <f>$BY$12</f>
        <v>4</v>
      </c>
      <c r="AK36">
        <f>$BY$13</f>
        <v>3.3</v>
      </c>
      <c r="AL36">
        <f>$BY$14</f>
        <v>3.0539999999999998</v>
      </c>
      <c r="AM36">
        <f>$BY$15</f>
        <v>18.399999999999999</v>
      </c>
      <c r="AN36">
        <f>$BY$16</f>
        <v>0.6</v>
      </c>
      <c r="AO36">
        <f>0.795 * R36- 0.0014</f>
        <v>0.5948500000000001</v>
      </c>
      <c r="AP36">
        <f>IF(AH36="yes",1,0)</f>
        <v>1</v>
      </c>
      <c r="AQ36">
        <f>$BY$64</f>
        <v>0.02</v>
      </c>
      <c r="AR36">
        <f>W36+W37+W39</f>
        <v>0.48773949486611795</v>
      </c>
      <c r="AS36">
        <f>W38+W40</f>
        <v>5.2418166941208988E-2</v>
      </c>
      <c r="AT36">
        <f>X36+X37+X39</f>
        <v>1.7061210601882775</v>
      </c>
      <c r="AU36">
        <f>X38+X40</f>
        <v>0.22558536521737715</v>
      </c>
      <c r="AV36" t="s">
        <v>228</v>
      </c>
      <c r="AZ36">
        <f>VLOOKUP(AV36, $BX$7:$CA$10, 2, FALSE)</f>
        <v>0.89</v>
      </c>
      <c r="BA36">
        <f>VLOOKUP(AV36, $BX$7:$CA$10, 3, FALSE)</f>
        <v>0.11</v>
      </c>
      <c r="BB36">
        <f>VLOOKUP(AV36, $BX$7:$CA$10, 4, FALSE)</f>
        <v>0</v>
      </c>
      <c r="BC36" t="s">
        <v>185</v>
      </c>
      <c r="BG36">
        <f>($BA36*BD$11)+($BB$11*BE36)</f>
        <v>0</v>
      </c>
      <c r="BH36">
        <f>$BY$58</f>
        <v>0</v>
      </c>
      <c r="BI36">
        <f>$BZ$58</f>
        <v>0.35</v>
      </c>
      <c r="BJ36">
        <f>((AA36 * AR36 * 365) + (AB36 * AS36 * 281) + (AC36 *AD36 * 84)) *BG36</f>
        <v>0</v>
      </c>
      <c r="BK36">
        <f>((Z36 * AT36 * 365) + (AB36 * AU36 * 281)  + (AB36 *AE36 * 84)) *BG36</f>
        <v>0</v>
      </c>
      <c r="BL36">
        <v>0</v>
      </c>
      <c r="BM36">
        <f>((BJ36 + BK36) * (1 - BH36 -BI36)- BL36) *AG$11</f>
        <v>0</v>
      </c>
      <c r="BN36">
        <f>((BJ36 + BK36) * (1 - BH36 -BI36)- BL36) *(1 - AG$11)</f>
        <v>0</v>
      </c>
      <c r="BP36">
        <f>SUM(BM36:BM39)</f>
        <v>6536.4146266613698</v>
      </c>
      <c r="BQ36">
        <f>SUM(BN36:BN39)</f>
        <v>1634.103656665342</v>
      </c>
      <c r="BR36">
        <f>IF(ISBLANK(AI36), "", IF(AI36="wet", $BY$67, $BY$68))</f>
        <v>5.0000000000000001E-3</v>
      </c>
      <c r="BS36">
        <f>IF(ISBLANK(AI36), "", $BY$70)</f>
        <v>1.5714285714285714</v>
      </c>
      <c r="BT36">
        <f>IF(ISBLANK(A36), "", BP36*BR36*BS36/1000)</f>
        <v>5.135754349519648E-2</v>
      </c>
      <c r="BU36">
        <f>IF(ISBLANK(AS36), "", BQ36*BR36*BS36/1000)</f>
        <v>1.2839385873799116E-2</v>
      </c>
      <c r="BX36" t="s">
        <v>304</v>
      </c>
      <c r="BY36">
        <v>770</v>
      </c>
    </row>
    <row r="37" spans="1:77" x14ac:dyDescent="0.2">
      <c r="A37" t="s">
        <v>292</v>
      </c>
      <c r="C37">
        <v>40</v>
      </c>
      <c r="E37">
        <f>$BY$22</f>
        <v>370</v>
      </c>
      <c r="F37">
        <f>$BY$29</f>
        <v>1</v>
      </c>
      <c r="G37">
        <f>$BY$34</f>
        <v>590</v>
      </c>
      <c r="I37">
        <f>$BY$42</f>
        <v>0.6</v>
      </c>
      <c r="J37">
        <f t="shared" si="0"/>
        <v>7.2784485796</v>
      </c>
      <c r="K37">
        <v>0</v>
      </c>
      <c r="O37">
        <f t="shared" si="1"/>
        <v>0.2</v>
      </c>
      <c r="P37">
        <f t="shared" si="2"/>
        <v>1.4556897159200002</v>
      </c>
      <c r="R37">
        <f t="shared" si="3"/>
        <v>0.75</v>
      </c>
      <c r="S37">
        <f t="shared" si="4"/>
        <v>1.1563411034246729</v>
      </c>
      <c r="T37">
        <f t="shared" si="5"/>
        <v>0.6271186440677966</v>
      </c>
      <c r="U37">
        <f t="shared" si="6"/>
        <v>10.992999999999999</v>
      </c>
      <c r="V37">
        <f xml:space="preserve"> (0.032 * $Y$12 * 1.03 / 6.38) + ((0.212 - 0.008 * (S37 - 2) - ((0.14 - 0.008 * (S37 - 2)) / (1 + EXP(-6 * (T37 - 0.4))))) * (I37 * 0.92)) * 1 / 6.25</f>
        <v>9.0004693208802639E-3</v>
      </c>
      <c r="W37">
        <f t="shared" si="7"/>
        <v>3.8935763715868155E-2</v>
      </c>
      <c r="X37">
        <f t="shared" si="8"/>
        <v>0.18348933517909985</v>
      </c>
      <c r="Y37">
        <v>0</v>
      </c>
      <c r="BC37" t="s">
        <v>224</v>
      </c>
      <c r="BD37">
        <v>0.3</v>
      </c>
      <c r="BE37">
        <v>0.5</v>
      </c>
      <c r="BG37">
        <f>($BA$11*BD37)+($BB$11*BE37)</f>
        <v>3.3000000000000002E-2</v>
      </c>
      <c r="BH37">
        <f>$BY$59</f>
        <v>0</v>
      </c>
      <c r="BI37">
        <f>$BZ$59</f>
        <v>7.0000000000000007E-2</v>
      </c>
      <c r="BJ37">
        <f>((AA36 * AR36 * 365) + (AB36 * AS36 * 281) + (AC36 *AD36 * 84)) *BG37</f>
        <v>665.67339020469626</v>
      </c>
      <c r="BK37">
        <f>((Z36 * AT36 * 365) + (AB36 * AU36 * 281)  + (AB36 *AE36 * 84)) *BG37</f>
        <v>2345.5741343628883</v>
      </c>
      <c r="BL37">
        <v>0</v>
      </c>
      <c r="BM37">
        <f>((BJ37 + BK37) * (1 - BH37 -BI37)- BL37) *AG$11</f>
        <v>2240.3681582782829</v>
      </c>
      <c r="BN37">
        <f>((BJ37 + BK37) * (1 - BH37 -BI37)- BL37) *(1 - AG$11)</f>
        <v>560.0920395695706</v>
      </c>
      <c r="BX37" t="s">
        <v>305</v>
      </c>
      <c r="BY37">
        <v>770</v>
      </c>
    </row>
    <row r="38" spans="1:77" x14ac:dyDescent="0.2">
      <c r="A38" t="s">
        <v>293</v>
      </c>
      <c r="C38">
        <v>30</v>
      </c>
      <c r="E38">
        <f>$BY$23</f>
        <v>179</v>
      </c>
      <c r="F38">
        <f>$BY$29</f>
        <v>1</v>
      </c>
      <c r="G38">
        <f>$BY$35</f>
        <v>590</v>
      </c>
      <c r="I38">
        <f>$BY$43</f>
        <v>0.56999999999999995</v>
      </c>
      <c r="J38">
        <f t="shared" si="0"/>
        <v>4.3844314485315596</v>
      </c>
      <c r="K38">
        <v>0</v>
      </c>
      <c r="L38">
        <f>$BY$50</f>
        <v>8.2000000000000007E-3</v>
      </c>
      <c r="M38">
        <f>$BY$54</f>
        <v>5.4999999999999997E-3</v>
      </c>
      <c r="O38">
        <f t="shared" si="1"/>
        <v>0.2</v>
      </c>
      <c r="P38">
        <f t="shared" si="2"/>
        <v>0.87688628970631199</v>
      </c>
      <c r="R38">
        <f t="shared" si="3"/>
        <v>0.75</v>
      </c>
      <c r="S38">
        <f t="shared" si="4"/>
        <v>1.1963797575781601</v>
      </c>
      <c r="T38">
        <f t="shared" si="5"/>
        <v>0.30338983050847457</v>
      </c>
      <c r="U38">
        <f t="shared" si="6"/>
        <v>10.992999999999999</v>
      </c>
      <c r="V38">
        <f xml:space="preserve"> (0.032 * $Y$13 * 1.03 / 6.38) + ((0.212 - 0.008 * (S38 - 2) - ((0.14 - 0.008 * (S38 - 2)) / (1 + EXP(-6 * (T38 - 0.4))))) * (I38 * 0.92)) * 1 / 6.25</f>
        <v>1.3916268174785591E-2</v>
      </c>
      <c r="W38">
        <f t="shared" si="7"/>
        <v>2.3454337149116478E-2</v>
      </c>
      <c r="X38">
        <f t="shared" si="8"/>
        <v>0.10206990500776245</v>
      </c>
      <c r="Y38">
        <v>0</v>
      </c>
      <c r="BC38" t="s">
        <v>229</v>
      </c>
      <c r="BD38">
        <v>0.5</v>
      </c>
      <c r="BE38">
        <v>0.5</v>
      </c>
      <c r="BG38">
        <f>($BA$11*BD38)+($BB$11*BE38)</f>
        <v>5.5E-2</v>
      </c>
      <c r="BH38">
        <f>$BY$60</f>
        <v>0</v>
      </c>
      <c r="BI38">
        <f>$BZ$60</f>
        <v>0.2</v>
      </c>
      <c r="BJ38">
        <f>((AA36 * AR36 * 365) + (AB36 * AS36 * 281) + (AC36 *AD36 * 84)) *BG38</f>
        <v>1109.4556503411602</v>
      </c>
      <c r="BK38">
        <f>((Z36 * AT36 * 365) + (AB36 * AU36 * 281)  + (AB36 *AE36 * 84)) *BG38</f>
        <v>3909.2902239381469</v>
      </c>
      <c r="BL38">
        <v>0</v>
      </c>
      <c r="BM38">
        <f>((BJ38 + BK38) * (1 - BH38 -BI38)- BL38) *AG$11</f>
        <v>3211.9973595387564</v>
      </c>
      <c r="BN38">
        <f>((BJ38 + BK38) * (1 - BH38 -BI38)- BL38) *(1 - AG$11)</f>
        <v>802.99933988468888</v>
      </c>
    </row>
    <row r="39" spans="1:77" x14ac:dyDescent="0.2">
      <c r="A39" t="s">
        <v>294</v>
      </c>
      <c r="C39">
        <v>20</v>
      </c>
      <c r="E39">
        <f>$BY$24</f>
        <v>600</v>
      </c>
      <c r="F39">
        <f>$BY$29</f>
        <v>1</v>
      </c>
      <c r="G39">
        <f>$BY$36</f>
        <v>770</v>
      </c>
      <c r="I39">
        <f>$BY$44</f>
        <v>0.1</v>
      </c>
      <c r="J39">
        <f t="shared" si="0"/>
        <v>9.0270202499999979</v>
      </c>
      <c r="K39">
        <v>0</v>
      </c>
      <c r="O39">
        <f t="shared" si="1"/>
        <v>0.2</v>
      </c>
      <c r="P39">
        <f t="shared" si="2"/>
        <v>1.8054040499999997</v>
      </c>
      <c r="R39">
        <f t="shared" si="3"/>
        <v>0.75</v>
      </c>
      <c r="S39">
        <f t="shared" si="4"/>
        <v>1.0213029780639273</v>
      </c>
      <c r="T39">
        <f t="shared" si="5"/>
        <v>0.77922077922077926</v>
      </c>
      <c r="U39">
        <f t="shared" si="6"/>
        <v>10.992999999999999</v>
      </c>
      <c r="V39">
        <f xml:space="preserve"> (0.032 * $Y$14 * 1.03 / 6.38) + ((0.212 - 0.008 * (S39 - 2) - ((0.14 - 0.008 * (S39 - 2)) / (1 + EXP(-6 * (T39 - 0.4))))) * (I39 * 0.92)) * 1 / 6.25</f>
        <v>1.2626203146474681E-3</v>
      </c>
      <c r="W39">
        <f t="shared" si="7"/>
        <v>4.8289676524948789E-2</v>
      </c>
      <c r="X39">
        <f t="shared" si="8"/>
        <v>0.23717868678746518</v>
      </c>
      <c r="Y39">
        <v>0</v>
      </c>
      <c r="BC39" t="s">
        <v>232</v>
      </c>
      <c r="BD39">
        <v>0.2</v>
      </c>
      <c r="BG39">
        <f>($BA$11*BD39)+($BB$11*BE39)</f>
        <v>2.2000000000000002E-2</v>
      </c>
      <c r="BH39">
        <f>$BY$61</f>
        <v>5.0000000000000001E-3</v>
      </c>
      <c r="BI39">
        <f>$BZ$61</f>
        <v>0.3</v>
      </c>
      <c r="BJ39">
        <f>((AA36 * AR36 * 365) + (AB36 * AS36 * 281) + (AC36 *AD36 * 84)) *BG39</f>
        <v>443.78226013646417</v>
      </c>
      <c r="BK39">
        <f>((Z36 * AT36 * 365) + (AB36 * AU36 * 281)  + (AB36 *AE36 * 84)) *BG39</f>
        <v>1563.7160895752588</v>
      </c>
      <c r="BL39">
        <f>(BK39+ BJ39) *AP36 *AQ36</f>
        <v>40.149966994234461</v>
      </c>
      <c r="BM39">
        <f>((BJ39 + BK39) * (1 - BH39 -BI39)- BL39) *AG$11</f>
        <v>1084.0491088443305</v>
      </c>
      <c r="BN39">
        <f>((BJ39 + BK39) * (1 - BH39 -BI39)- BL39) *(1 - AG$11)</f>
        <v>271.01227721108256</v>
      </c>
      <c r="BW39">
        <v>267</v>
      </c>
      <c r="BX39" t="s">
        <v>243</v>
      </c>
    </row>
    <row r="40" spans="1:77" x14ac:dyDescent="0.2">
      <c r="A40" t="s">
        <v>295</v>
      </c>
      <c r="C40">
        <v>10</v>
      </c>
      <c r="E40">
        <f>$BY$25</f>
        <v>225</v>
      </c>
      <c r="F40">
        <f>$BY$29</f>
        <v>1</v>
      </c>
      <c r="G40">
        <f>$BY$37</f>
        <v>770</v>
      </c>
      <c r="I40">
        <f>$BY$45</f>
        <v>0.8</v>
      </c>
      <c r="J40">
        <f t="shared" si="0"/>
        <v>5.4143472656250013</v>
      </c>
      <c r="K40">
        <v>0</v>
      </c>
      <c r="L40">
        <f>$BY$51</f>
        <v>4.1999999999999997E-3</v>
      </c>
      <c r="M40">
        <f>$BY$55</f>
        <v>5.0000000000000001E-3</v>
      </c>
      <c r="O40">
        <f t="shared" si="1"/>
        <v>0.2</v>
      </c>
      <c r="P40">
        <f t="shared" si="2"/>
        <v>1.0828694531250003</v>
      </c>
      <c r="R40">
        <f t="shared" si="3"/>
        <v>0.75</v>
      </c>
      <c r="S40">
        <f t="shared" si="4"/>
        <v>1.2576570545672616</v>
      </c>
      <c r="T40">
        <f t="shared" si="5"/>
        <v>0.29220779220779219</v>
      </c>
      <c r="U40">
        <f t="shared" si="6"/>
        <v>10.992999999999999</v>
      </c>
      <c r="V40">
        <f xml:space="preserve"> (0.032 * $Y$15 * 1.03 / 6.38) + ((0.212 - 0.008 * (S40 - 2) - ((0.14 - 0.008 * (S40 - 2)) / (1 + EXP(-6 * (T40 - 0.4))))) * (I40 * 0.92)) * 1 / 6.25</f>
        <v>1.9757354894894087E-2</v>
      </c>
      <c r="W40">
        <f t="shared" si="7"/>
        <v>2.8963829792092506E-2</v>
      </c>
      <c r="X40">
        <f t="shared" si="8"/>
        <v>0.12351546020961469</v>
      </c>
      <c r="Y40">
        <v>0</v>
      </c>
      <c r="BC40" t="s">
        <v>296</v>
      </c>
      <c r="BF40" t="s">
        <v>297</v>
      </c>
      <c r="BG40">
        <f>SUM(BG36:BG39)</f>
        <v>0.11</v>
      </c>
      <c r="BH40">
        <f>$BY$62</f>
        <v>0</v>
      </c>
      <c r="BI40">
        <f>$BZ$62</f>
        <v>0</v>
      </c>
      <c r="BJ40">
        <f>((AA36 * AR36 * 365) + (AB36 * AS36 * 281) + (AC36 *AD36 * 84)) *BG40</f>
        <v>2218.9113006823204</v>
      </c>
      <c r="BK40">
        <f>((Z36 * AT36 * 365) + (AB36 * AU36 * 281)  + (AB36 *AE36 * 84)) *BG40</f>
        <v>7818.5804478762939</v>
      </c>
      <c r="BL40">
        <v>0</v>
      </c>
      <c r="BX40" t="s">
        <v>311</v>
      </c>
    </row>
    <row r="41" spans="1:77" x14ac:dyDescent="0.2">
      <c r="A41" t="s">
        <v>290</v>
      </c>
      <c r="B41" t="s">
        <v>312</v>
      </c>
      <c r="C41">
        <v>50</v>
      </c>
      <c r="E41">
        <f>$BY$21</f>
        <v>550</v>
      </c>
      <c r="F41">
        <f>$BY$28</f>
        <v>1.1000000000000001</v>
      </c>
      <c r="G41">
        <f>$BY$33</f>
        <v>590</v>
      </c>
      <c r="I41">
        <f>$BY$41</f>
        <v>1.6E-2</v>
      </c>
      <c r="J41">
        <f t="shared" si="0"/>
        <v>74.870008285192824</v>
      </c>
      <c r="K41">
        <f>(Y41 * 1.03 * AL41) / (AM41 * AN41 * AO41)</f>
        <v>65.615562764432823</v>
      </c>
      <c r="O41">
        <f t="shared" si="1"/>
        <v>0.2</v>
      </c>
      <c r="P41">
        <f t="shared" si="2"/>
        <v>14.974001657038565</v>
      </c>
      <c r="R41">
        <f t="shared" si="3"/>
        <v>0.75</v>
      </c>
      <c r="S41">
        <f t="shared" si="4"/>
        <v>1.0004293714344916</v>
      </c>
      <c r="T41">
        <f t="shared" si="5"/>
        <v>0.93220338983050843</v>
      </c>
      <c r="U41">
        <f t="shared" si="6"/>
        <v>10.992999999999999</v>
      </c>
      <c r="V41">
        <f xml:space="preserve"> (0.032 * $Y41 * 1.03 / 6.38) + ((0.212 - 0.008 * (S41 - 2) - ((0.14 - 0.008 * (S41 - 2)) / (1 + EXP(-6 * (T41 - 0.4))))) * (I41 * 0.92)) * 1 / 6.25</f>
        <v>0.70787430165781928</v>
      </c>
      <c r="W41">
        <f t="shared" si="7"/>
        <v>0.40051405462530099</v>
      </c>
      <c r="X41">
        <f t="shared" si="8"/>
        <v>1.2854530382217124</v>
      </c>
      <c r="Y41">
        <f>AF41 / (0.01 * (AJ41 + AK41))</f>
        <v>136.98630136986301</v>
      </c>
      <c r="Z41">
        <f>C41+C42+C44</f>
        <v>110</v>
      </c>
      <c r="AA41">
        <f>C41+C42+C44</f>
        <v>110</v>
      </c>
      <c r="AB41">
        <f>C43+C45</f>
        <v>40</v>
      </c>
      <c r="AC41">
        <v>0</v>
      </c>
      <c r="AD41">
        <f>M43+M45</f>
        <v>1.0499999999999999E-2</v>
      </c>
      <c r="AE41">
        <f>L43+L45</f>
        <v>1.2400000000000001E-2</v>
      </c>
      <c r="AF41">
        <v>10</v>
      </c>
      <c r="AG41">
        <v>0.8</v>
      </c>
      <c r="AH41" t="s">
        <v>77</v>
      </c>
      <c r="AI41" t="s">
        <v>16</v>
      </c>
      <c r="AJ41">
        <f>$BY$12</f>
        <v>4</v>
      </c>
      <c r="AK41">
        <f>$BY$13</f>
        <v>3.3</v>
      </c>
      <c r="AL41">
        <f>$BY$14</f>
        <v>3.0539999999999998</v>
      </c>
      <c r="AM41">
        <f>$BY$15</f>
        <v>18.399999999999999</v>
      </c>
      <c r="AN41">
        <f>$BY$16</f>
        <v>0.6</v>
      </c>
      <c r="AO41">
        <f>0.795 * R41- 0.0014</f>
        <v>0.5948500000000001</v>
      </c>
      <c r="AP41">
        <f>IF(AH41="yes",1,0)</f>
        <v>1</v>
      </c>
      <c r="AQ41">
        <f>$BY$64</f>
        <v>0.02</v>
      </c>
      <c r="AR41">
        <f>W41+W42+W44</f>
        <v>0.48773949486611795</v>
      </c>
      <c r="AS41">
        <f>W43+W45</f>
        <v>5.2418166941208988E-2</v>
      </c>
      <c r="AT41">
        <f>X41+X42+X44</f>
        <v>1.7061210601882775</v>
      </c>
      <c r="AU41">
        <f>X43+X45</f>
        <v>0.22558536521737715</v>
      </c>
      <c r="AV41" t="s">
        <v>231</v>
      </c>
      <c r="AZ41">
        <f>VLOOKUP(AV41, $BX$7:$CA$10, 2, FALSE)</f>
        <v>0.79</v>
      </c>
      <c r="BA41">
        <f>VLOOKUP(AV41, $BX$7:$CA$10, 3, FALSE)</f>
        <v>0.11</v>
      </c>
      <c r="BB41">
        <f>VLOOKUP(AV41, $BX$7:$CA$10, 4, FALSE)</f>
        <v>0.1</v>
      </c>
      <c r="BC41" t="s">
        <v>185</v>
      </c>
      <c r="BG41">
        <f>($BA$16*BD41)+($BB$16*BE41)</f>
        <v>0</v>
      </c>
      <c r="BH41">
        <f>$BY$58</f>
        <v>0</v>
      </c>
      <c r="BI41">
        <f>$BZ$58</f>
        <v>0.35</v>
      </c>
      <c r="BJ41">
        <f>((AA41 * AR41 * 365) + (AB41 * AS41 * 281) + (AC41 *AD41 * 84)) *BG41</f>
        <v>0</v>
      </c>
      <c r="BK41">
        <f>((Z41 * AT41 * 365) + (AB41 * AU41 * 281)  + (AB41 *AE41 * 84)) *BG41</f>
        <v>0</v>
      </c>
      <c r="BL41">
        <v>0</v>
      </c>
      <c r="BM41">
        <f>((BJ41 + BK41) * (1 - BH41 -BI41)- BL41) *AG$16</f>
        <v>0</v>
      </c>
      <c r="BN41">
        <f>((BJ41 + BK41) * (1 - BH41 -BI41)- BL41) *(1 - AG$16)</f>
        <v>0</v>
      </c>
      <c r="BP41">
        <f>SUM(BM41:BM44)</f>
        <v>13355.339021082171</v>
      </c>
      <c r="BQ41">
        <f>SUM(BN41:BN44)</f>
        <v>3338.8347552705418</v>
      </c>
      <c r="BR41">
        <f>IF(ISBLANK(AI41), "", IF(AI41="wet", $BY$67, $BY$68))</f>
        <v>6.0000000000000001E-3</v>
      </c>
      <c r="BS41">
        <f>IF(ISBLANK(AI41), "", $BY$70)</f>
        <v>1.5714285714285714</v>
      </c>
      <c r="BT41">
        <f>IF(ISBLANK(A41), "", BP41*BR41*BS41/1000)</f>
        <v>0.12592176791306045</v>
      </c>
      <c r="BU41">
        <f>IF(ISBLANK(AS41), "", BQ41*BR41*BS41/1000)</f>
        <v>3.1480441978265113E-2</v>
      </c>
      <c r="BX41" t="s">
        <v>301</v>
      </c>
      <c r="BY41">
        <v>1.6E-2</v>
      </c>
    </row>
    <row r="42" spans="1:77" x14ac:dyDescent="0.2">
      <c r="A42" t="s">
        <v>292</v>
      </c>
      <c r="C42">
        <v>40</v>
      </c>
      <c r="E42">
        <f>$BY$22</f>
        <v>370</v>
      </c>
      <c r="F42">
        <f>$BY$29</f>
        <v>1</v>
      </c>
      <c r="G42">
        <f>$BY$34</f>
        <v>590</v>
      </c>
      <c r="I42">
        <f>$BY$42</f>
        <v>0.6</v>
      </c>
      <c r="J42">
        <f t="shared" si="0"/>
        <v>7.2784485796</v>
      </c>
      <c r="K42">
        <v>0</v>
      </c>
      <c r="O42">
        <f t="shared" si="1"/>
        <v>0.2</v>
      </c>
      <c r="P42">
        <f t="shared" si="2"/>
        <v>1.4556897159200002</v>
      </c>
      <c r="R42">
        <f t="shared" si="3"/>
        <v>0.75</v>
      </c>
      <c r="S42">
        <f t="shared" si="4"/>
        <v>1.1563411034246729</v>
      </c>
      <c r="T42">
        <f t="shared" si="5"/>
        <v>0.6271186440677966</v>
      </c>
      <c r="U42">
        <f t="shared" si="6"/>
        <v>10.992999999999999</v>
      </c>
      <c r="V42">
        <f xml:space="preserve"> (0.032 * $Y$12 * 1.03 / 6.38) + ((0.212 - 0.008 * (S42 - 2) - ((0.14 - 0.008 * (S42 - 2)) / (1 + EXP(-6 * (T42 - 0.4))))) * (I42 * 0.92)) * 1 / 6.25</f>
        <v>9.0004693208802639E-3</v>
      </c>
      <c r="W42">
        <f t="shared" si="7"/>
        <v>3.8935763715868155E-2</v>
      </c>
      <c r="X42">
        <f t="shared" si="8"/>
        <v>0.18348933517909985</v>
      </c>
      <c r="Y42">
        <v>0</v>
      </c>
      <c r="BC42" t="s">
        <v>224</v>
      </c>
      <c r="BD42">
        <v>0.5</v>
      </c>
      <c r="BE42">
        <v>0.6</v>
      </c>
      <c r="BG42">
        <f>($BA$16*BD42)+($BB$16*BE42)</f>
        <v>0.11499999999999999</v>
      </c>
      <c r="BH42">
        <f>$BY$59</f>
        <v>0</v>
      </c>
      <c r="BI42">
        <f>$BZ$59</f>
        <v>7.0000000000000007E-2</v>
      </c>
      <c r="BJ42">
        <f>((AA41 * AR41 * 365) + (AB41 * AS41 * 281) + (AC41 *AD41 * 84)) *BG42</f>
        <v>2319.7709052587898</v>
      </c>
      <c r="BK42">
        <f>((Z41 * AT41 * 365) + (AB41 * AU41 * 281)  + (AB41 *AE41 * 84)) *BG42</f>
        <v>8173.9704682343063</v>
      </c>
      <c r="BL42">
        <v>0</v>
      </c>
      <c r="BM42">
        <f>((BJ42 + BK42) * (1 - BH42 -BI42)- BL42) *AG$16</f>
        <v>7807.343581878863</v>
      </c>
      <c r="BN42">
        <f>((BJ42 + BK42) * (1 - BH42 -BI42)- BL42) *(1 - AG$16)</f>
        <v>1951.8358954697151</v>
      </c>
      <c r="BX42" t="s">
        <v>302</v>
      </c>
      <c r="BY42">
        <v>0.6</v>
      </c>
    </row>
    <row r="43" spans="1:77" x14ac:dyDescent="0.2">
      <c r="A43" t="s">
        <v>293</v>
      </c>
      <c r="C43">
        <v>30</v>
      </c>
      <c r="E43">
        <f>$BY$23</f>
        <v>179</v>
      </c>
      <c r="F43">
        <f>$BY$29</f>
        <v>1</v>
      </c>
      <c r="G43">
        <f>$BY$35</f>
        <v>590</v>
      </c>
      <c r="I43">
        <f>$BY$43</f>
        <v>0.56999999999999995</v>
      </c>
      <c r="J43">
        <f t="shared" ref="J43:J74" si="9">(1.185 + 0.00454 * E43- 0.0000026 * E43^2 + 0.315 * I43)^2 * F43 + K43</f>
        <v>4.3844314485315596</v>
      </c>
      <c r="K43">
        <v>0</v>
      </c>
      <c r="L43">
        <f>$BY$50</f>
        <v>8.2000000000000007E-3</v>
      </c>
      <c r="M43">
        <f>$BY$54</f>
        <v>5.4999999999999997E-3</v>
      </c>
      <c r="O43">
        <f t="shared" ref="O43:O60" si="10">$BY$17</f>
        <v>0.2</v>
      </c>
      <c r="P43">
        <f t="shared" ref="P43:P70" si="11">J43*O43</f>
        <v>0.87688628970631199</v>
      </c>
      <c r="R43">
        <f t="shared" ref="R43:R65" si="12">$BY$47</f>
        <v>0.75</v>
      </c>
      <c r="S43">
        <f t="shared" ref="S43:S70" si="13">J43 / (POWER((1.185 + 0.00454 * E43 - 0.0000026 * POWER(E43, 2)), 2) * F43 + K43)</f>
        <v>1.1963797575781601</v>
      </c>
      <c r="T43">
        <f t="shared" ref="T43:T70" si="14">E43/G43</f>
        <v>0.30338983050847457</v>
      </c>
      <c r="U43">
        <f t="shared" ref="U43:U70" si="15">0.1604 * R43 * 100 - 1.037</f>
        <v>10.992999999999999</v>
      </c>
      <c r="V43">
        <f xml:space="preserve"> (0.032 * $Y$13 * 1.03 / 6.38) + ((0.212 - 0.008 * (S43 - 2) - ((0.14 - 0.008 * (S43 - 2)) / (1 + EXP(-6 * (T43 - 0.4))))) * (I43 * 0.92)) * 1 / 6.25</f>
        <v>1.3916268174785591E-2</v>
      </c>
      <c r="W43">
        <f t="shared" ref="W43:W70" si="16">(0.3 * (P43 * (1 - (R43+ 0.1))) + 0.105 * (U43 * J43 * 0.008) + (0.0152 * J43)) * 1/6.25</f>
        <v>2.3454337149116478E-2</v>
      </c>
      <c r="X43">
        <f t="shared" ref="X43:X70" si="17">(P43 / 6.25) - V43 - W43 - (1.1 * 10^-4 * POWER(E43,0.75) / 6.25)</f>
        <v>0.10206990500776245</v>
      </c>
      <c r="Y43">
        <v>0</v>
      </c>
      <c r="BC43" t="s">
        <v>229</v>
      </c>
      <c r="BD43">
        <v>0.5</v>
      </c>
      <c r="BE43">
        <v>0.4</v>
      </c>
      <c r="BG43">
        <f>($BA$16*BD43)+($BB$16*BE43)</f>
        <v>9.5000000000000001E-2</v>
      </c>
      <c r="BH43">
        <f>$BY$60</f>
        <v>0</v>
      </c>
      <c r="BI43">
        <f>$BZ$60</f>
        <v>0.2</v>
      </c>
      <c r="BJ43">
        <f>((AA41 * AR41 * 365) + (AB41 * AS41 * 281) + (AC41 *AD41 * 84)) *BG43</f>
        <v>1916.3324869529133</v>
      </c>
      <c r="BK43">
        <f>((Z41 * AT41 * 365) + (AB41 * AU41 * 281)  + (AB41 *AE41 * 84)) *BG43</f>
        <v>6752.4103868022539</v>
      </c>
      <c r="BL43">
        <v>0</v>
      </c>
      <c r="BM43">
        <f>((BJ43 + BK43) * (1 - BH43 -BI43)- BL43) *AG$16</f>
        <v>5547.9954392033078</v>
      </c>
      <c r="BN43">
        <f>((BJ43 + BK43) * (1 - BH43 -BI43)- BL43) *(1 - AG$16)</f>
        <v>1386.9988598008265</v>
      </c>
      <c r="BX43" t="s">
        <v>303</v>
      </c>
      <c r="BY43">
        <v>0.56999999999999995</v>
      </c>
    </row>
    <row r="44" spans="1:77" x14ac:dyDescent="0.2">
      <c r="A44" t="s">
        <v>294</v>
      </c>
      <c r="C44">
        <v>20</v>
      </c>
      <c r="E44">
        <f>$BY$24</f>
        <v>600</v>
      </c>
      <c r="F44">
        <f>$BY$29</f>
        <v>1</v>
      </c>
      <c r="G44">
        <f>$BY$36</f>
        <v>770</v>
      </c>
      <c r="I44">
        <f>$BY$44</f>
        <v>0.1</v>
      </c>
      <c r="J44">
        <f t="shared" si="9"/>
        <v>9.0270202499999979</v>
      </c>
      <c r="K44">
        <v>0</v>
      </c>
      <c r="O44">
        <f t="shared" si="10"/>
        <v>0.2</v>
      </c>
      <c r="P44">
        <f t="shared" si="11"/>
        <v>1.8054040499999997</v>
      </c>
      <c r="R44">
        <f t="shared" si="12"/>
        <v>0.75</v>
      </c>
      <c r="S44">
        <f t="shared" si="13"/>
        <v>1.0213029780639273</v>
      </c>
      <c r="T44">
        <f t="shared" si="14"/>
        <v>0.77922077922077926</v>
      </c>
      <c r="U44">
        <f t="shared" si="15"/>
        <v>10.992999999999999</v>
      </c>
      <c r="V44">
        <f xml:space="preserve"> (0.032 * $Y$14 * 1.03 / 6.38) + ((0.212 - 0.008 * (S44 - 2) - ((0.14 - 0.008 * (S44 - 2)) / (1 + EXP(-6 * (T44 - 0.4))))) * (I44 * 0.92)) * 1 / 6.25</f>
        <v>1.2626203146474681E-3</v>
      </c>
      <c r="W44">
        <f t="shared" si="16"/>
        <v>4.8289676524948789E-2</v>
      </c>
      <c r="X44">
        <f t="shared" si="17"/>
        <v>0.23717868678746518</v>
      </c>
      <c r="Y44">
        <v>0</v>
      </c>
      <c r="BC44" t="s">
        <v>232</v>
      </c>
      <c r="BD44">
        <v>0</v>
      </c>
      <c r="BG44">
        <f>($BA$16*BD44)+($BB$16*BE44)</f>
        <v>0</v>
      </c>
      <c r="BH44">
        <f>$BY$61</f>
        <v>5.0000000000000001E-3</v>
      </c>
      <c r="BI44">
        <f>$BZ$61</f>
        <v>0.3</v>
      </c>
      <c r="BJ44">
        <f>((AA41 * AR41 * 365) + (AB41 * AS41 * 281) + (AC41 *AD41 * 84)) *BG44</f>
        <v>0</v>
      </c>
      <c r="BK44">
        <f>((Z41 * AT41 * 365) + (AB41 * AU41 * 281)  + (AB41 *AE41 * 84)) *BG44</f>
        <v>0</v>
      </c>
      <c r="BL44">
        <f>(BK44+ BJ44) *AP41 *AQ41</f>
        <v>0</v>
      </c>
      <c r="BM44">
        <f>((BJ44 + BK44) * (1 - BH44 -BI44)- BL44) *AG$16</f>
        <v>0</v>
      </c>
      <c r="BN44">
        <f>((BJ44 + BK44) * (1 - BH44 -BI44)- BL44) *(1 - AG$16)</f>
        <v>0</v>
      </c>
      <c r="BX44" t="s">
        <v>304</v>
      </c>
      <c r="BY44">
        <v>0.1</v>
      </c>
    </row>
    <row r="45" spans="1:77" x14ac:dyDescent="0.2">
      <c r="A45" t="s">
        <v>295</v>
      </c>
      <c r="C45">
        <v>10</v>
      </c>
      <c r="E45">
        <f>$BY$25</f>
        <v>225</v>
      </c>
      <c r="F45">
        <f>$BY$29</f>
        <v>1</v>
      </c>
      <c r="G45">
        <f>$BY$37</f>
        <v>770</v>
      </c>
      <c r="I45">
        <f>$BY$45</f>
        <v>0.8</v>
      </c>
      <c r="J45">
        <f t="shared" si="9"/>
        <v>5.4143472656250013</v>
      </c>
      <c r="K45">
        <v>0</v>
      </c>
      <c r="L45">
        <f>$BY$51</f>
        <v>4.1999999999999997E-3</v>
      </c>
      <c r="M45">
        <f>$BY$55</f>
        <v>5.0000000000000001E-3</v>
      </c>
      <c r="O45">
        <f t="shared" si="10"/>
        <v>0.2</v>
      </c>
      <c r="P45">
        <f t="shared" si="11"/>
        <v>1.0828694531250003</v>
      </c>
      <c r="R45">
        <f t="shared" si="12"/>
        <v>0.75</v>
      </c>
      <c r="S45">
        <f t="shared" si="13"/>
        <v>1.2576570545672616</v>
      </c>
      <c r="T45">
        <f t="shared" si="14"/>
        <v>0.29220779220779219</v>
      </c>
      <c r="U45">
        <f t="shared" si="15"/>
        <v>10.992999999999999</v>
      </c>
      <c r="V45">
        <f xml:space="preserve"> (0.032 * $Y$15 * 1.03 / 6.38) + ((0.212 - 0.008 * (S45 - 2) - ((0.14 - 0.008 * (S45 - 2)) / (1 + EXP(-6 * (T45 - 0.4))))) * (I45 * 0.92)) * 1 / 6.25</f>
        <v>1.9757354894894087E-2</v>
      </c>
      <c r="W45">
        <f t="shared" si="16"/>
        <v>2.8963829792092506E-2</v>
      </c>
      <c r="X45">
        <f t="shared" si="17"/>
        <v>0.12351546020961469</v>
      </c>
      <c r="Y45">
        <v>0</v>
      </c>
      <c r="BC45" t="s">
        <v>296</v>
      </c>
      <c r="BF45" t="s">
        <v>297</v>
      </c>
      <c r="BG45">
        <f>($BA$16*BD45)+($BB$16*BE45)</f>
        <v>0</v>
      </c>
      <c r="BH45">
        <f>$BY$62</f>
        <v>0</v>
      </c>
      <c r="BI45">
        <f>$BZ$62</f>
        <v>0</v>
      </c>
      <c r="BJ45">
        <f>((AA41 * AR41 * 365) + (AB41 * AS41 * 281) + (AC41 *AD41 * 84)) *BG45</f>
        <v>0</v>
      </c>
      <c r="BK45">
        <f>((Z41 * AT41 * 365) + (AB41 * AU41 * 281)  + (AB41 *AE41 * 84)) *BG45</f>
        <v>0</v>
      </c>
      <c r="BL45">
        <v>0</v>
      </c>
      <c r="BX45" t="s">
        <v>305</v>
      </c>
      <c r="BY45">
        <v>0.8</v>
      </c>
    </row>
    <row r="46" spans="1:77" x14ac:dyDescent="0.2">
      <c r="A46" t="s">
        <v>290</v>
      </c>
      <c r="B46" t="s">
        <v>313</v>
      </c>
      <c r="C46">
        <v>50</v>
      </c>
      <c r="E46">
        <f>$BY$21</f>
        <v>550</v>
      </c>
      <c r="F46">
        <f>$BY$28</f>
        <v>1.1000000000000001</v>
      </c>
      <c r="G46">
        <f>$BY$33</f>
        <v>590</v>
      </c>
      <c r="I46">
        <f>$BY$41</f>
        <v>1.6E-2</v>
      </c>
      <c r="J46">
        <f t="shared" si="9"/>
        <v>57.15380633879596</v>
      </c>
      <c r="K46">
        <f>(Y46 * 1.03 * AL46) / (AM46 * AN46 * AO46)</f>
        <v>47.899360818035959</v>
      </c>
      <c r="O46">
        <f t="shared" si="10"/>
        <v>0.2</v>
      </c>
      <c r="P46">
        <f t="shared" si="11"/>
        <v>11.430761267759193</v>
      </c>
      <c r="R46">
        <f t="shared" si="12"/>
        <v>0.75</v>
      </c>
      <c r="S46">
        <f t="shared" si="13"/>
        <v>1.0005625403462477</v>
      </c>
      <c r="T46">
        <f t="shared" si="14"/>
        <v>0.93220338983050843</v>
      </c>
      <c r="U46">
        <f t="shared" si="15"/>
        <v>10.992999999999999</v>
      </c>
      <c r="V46">
        <f xml:space="preserve"> (0.032 * $Y$46 * 1.03 / 6.38) + ((0.212 - 0.008 * (S46 - 2) - ((0.14 - 0.008 * (S46 - 2)) / (1 + EXP(-6 * (T46 - 0.4))))) * (I46 * 0.92)) * 1 / 6.25</f>
        <v>0.51679773523434713</v>
      </c>
      <c r="W46">
        <f t="shared" si="16"/>
        <v>0.30574195513409036</v>
      </c>
      <c r="X46">
        <f t="shared" si="17"/>
        <v>1.0043832418516956</v>
      </c>
      <c r="Y46">
        <v>100</v>
      </c>
      <c r="Z46">
        <f>C46+C47+C49</f>
        <v>110</v>
      </c>
      <c r="AA46">
        <f>C46+C47+C49</f>
        <v>110</v>
      </c>
      <c r="AB46">
        <f>C48+C50</f>
        <v>40</v>
      </c>
      <c r="AC46">
        <v>0</v>
      </c>
      <c r="AD46">
        <f>M48+M50</f>
        <v>1.0499999999999999E-2</v>
      </c>
      <c r="AE46">
        <f>L48+L50</f>
        <v>1.2400000000000001E-2</v>
      </c>
      <c r="AG46">
        <v>0.8</v>
      </c>
      <c r="AH46" t="s">
        <v>77</v>
      </c>
      <c r="AI46" t="s">
        <v>16</v>
      </c>
      <c r="AJ46">
        <f>$BY$12</f>
        <v>4</v>
      </c>
      <c r="AK46">
        <f>$BY$13</f>
        <v>3.3</v>
      </c>
      <c r="AL46">
        <f>$BY$14</f>
        <v>3.0539999999999998</v>
      </c>
      <c r="AM46">
        <f>$BY$15</f>
        <v>18.399999999999999</v>
      </c>
      <c r="AN46">
        <f>$BY$16</f>
        <v>0.6</v>
      </c>
      <c r="AO46">
        <f>0.795 * R46- 0.0014</f>
        <v>0.5948500000000001</v>
      </c>
      <c r="AP46">
        <f>IF(AH46="yes",1,0)</f>
        <v>1</v>
      </c>
      <c r="AQ46">
        <f>$BY$64</f>
        <v>0.02</v>
      </c>
      <c r="AR46">
        <f>W46+W47+W49</f>
        <v>0.39296739537490732</v>
      </c>
      <c r="AS46">
        <f>W48+W50</f>
        <v>5.2418166941208988E-2</v>
      </c>
      <c r="AT46">
        <f>X46+X47+X49</f>
        <v>1.4250512638182606</v>
      </c>
      <c r="AU46">
        <f>X48+X50</f>
        <v>0.22558536521737715</v>
      </c>
      <c r="AV46" t="s">
        <v>228</v>
      </c>
      <c r="AZ46">
        <f>VLOOKUP(AV46, $BX$7:$CA$10, 2, FALSE)</f>
        <v>0.89</v>
      </c>
      <c r="BA46">
        <f>VLOOKUP(AV46, $BX$7:$CA$10, 3, FALSE)</f>
        <v>0.11</v>
      </c>
      <c r="BB46">
        <f>VLOOKUP(AV46, $BX$7:$CA$10, 4, FALSE)</f>
        <v>0</v>
      </c>
      <c r="BC46" t="s">
        <v>185</v>
      </c>
      <c r="BG46">
        <f>($BA46*BD$11)+($BB$11*BE46)</f>
        <v>0</v>
      </c>
      <c r="BH46">
        <f>$BY$58</f>
        <v>0</v>
      </c>
      <c r="BI46">
        <f>$BZ$58</f>
        <v>0.35</v>
      </c>
      <c r="BJ46">
        <f>((AA46 * AR46 * 365) + (AB46 * AS46 * 281) + (AC46 *AD46 * 84)) *BG46</f>
        <v>0</v>
      </c>
      <c r="BK46">
        <f>((Z46 * AT46 * 365) + (AB46 * AU46 * 281)  + (AB46 *AE46 * 84)) *BG46</f>
        <v>0</v>
      </c>
      <c r="BL46">
        <v>0</v>
      </c>
      <c r="BM46">
        <f>((BJ46 + BK46) * (1 - BH46 -BI46)- BL46) *AG$11</f>
        <v>0</v>
      </c>
      <c r="BN46">
        <f>((BJ46 + BK46) * (1 - BH46 -BI46)- BL46) *(1 - AG$11)</f>
        <v>0</v>
      </c>
      <c r="BP46">
        <f>SUM(BM46:BM49)</f>
        <v>5455.4840132854615</v>
      </c>
      <c r="BQ46">
        <f>SUM(BN46:BN49)</f>
        <v>1363.8710033213649</v>
      </c>
      <c r="BR46">
        <f>IF(ISBLANK(AI46), "", IF(AI46="wet", $BY$67, $BY$68))</f>
        <v>6.0000000000000001E-3</v>
      </c>
      <c r="BS46">
        <f>IF(ISBLANK(AI46), "", $BY$70)</f>
        <v>1.5714285714285714</v>
      </c>
      <c r="BT46">
        <f>IF(ISBLANK(A46), "", BP46*BR46*BS46/1000)</f>
        <v>5.1437420696691487E-2</v>
      </c>
      <c r="BU46">
        <f>IF(ISBLANK(AS46), "", BQ46*BR46*BS46/1000)</f>
        <v>1.285935517417287E-2</v>
      </c>
    </row>
    <row r="47" spans="1:77" x14ac:dyDescent="0.2">
      <c r="A47" t="s">
        <v>292</v>
      </c>
      <c r="C47">
        <v>40</v>
      </c>
      <c r="E47">
        <f>$BY$22</f>
        <v>370</v>
      </c>
      <c r="F47">
        <f>$BY$29</f>
        <v>1</v>
      </c>
      <c r="G47">
        <f>$BY$34</f>
        <v>590</v>
      </c>
      <c r="I47">
        <f>$BY$42</f>
        <v>0.6</v>
      </c>
      <c r="J47">
        <f t="shared" si="9"/>
        <v>7.2784485796</v>
      </c>
      <c r="K47">
        <v>0</v>
      </c>
      <c r="O47">
        <f t="shared" si="10"/>
        <v>0.2</v>
      </c>
      <c r="P47">
        <f t="shared" si="11"/>
        <v>1.4556897159200002</v>
      </c>
      <c r="R47">
        <f t="shared" si="12"/>
        <v>0.75</v>
      </c>
      <c r="S47">
        <f t="shared" si="13"/>
        <v>1.1563411034246729</v>
      </c>
      <c r="T47">
        <f t="shared" si="14"/>
        <v>0.6271186440677966</v>
      </c>
      <c r="U47">
        <f t="shared" si="15"/>
        <v>10.992999999999999</v>
      </c>
      <c r="V47">
        <f xml:space="preserve"> (0.032 * $Y$12 * 1.03 / 6.38) + ((0.212 - 0.008 * (S47 - 2) - ((0.14 - 0.008 * (S47 - 2)) / (1 + EXP(-6 * (T47 - 0.4))))) * (I47 * 0.92)) * 1 / 6.25</f>
        <v>9.0004693208802639E-3</v>
      </c>
      <c r="W47">
        <f t="shared" si="16"/>
        <v>3.8935763715868155E-2</v>
      </c>
      <c r="X47">
        <f t="shared" si="17"/>
        <v>0.18348933517909985</v>
      </c>
      <c r="Y47">
        <v>0</v>
      </c>
      <c r="BC47" t="s">
        <v>224</v>
      </c>
      <c r="BD47">
        <v>0.3</v>
      </c>
      <c r="BE47">
        <v>0.5</v>
      </c>
      <c r="BG47">
        <f>($BA$11*BD47)+($BB$11*BE47)</f>
        <v>3.3000000000000002E-2</v>
      </c>
      <c r="BH47">
        <f>$BY$59</f>
        <v>0</v>
      </c>
      <c r="BI47">
        <f>$BZ$59</f>
        <v>7.0000000000000007E-2</v>
      </c>
      <c r="BJ47">
        <f>((AA46 * AR46 * 365) + (AB46 * AS46 * 281) + (AC46 *AD46 * 84)) *BG47</f>
        <v>540.10509698381668</v>
      </c>
      <c r="BK47">
        <f>((Z46 * AT46 * 365) + (AB46 * AU46 * 281)  + (AB46 *AE46 * 84)) *BG47</f>
        <v>1973.1707076624339</v>
      </c>
      <c r="BL47">
        <v>0</v>
      </c>
      <c r="BM47">
        <f>((BJ47 + BK47) * (1 - BH47 -BI47)- BL47) *AG$11</f>
        <v>1869.8771986568104</v>
      </c>
      <c r="BN47">
        <f>((BJ47 + BK47) * (1 - BH47 -BI47)- BL47) *(1 - AG$11)</f>
        <v>467.46929966420248</v>
      </c>
      <c r="BW47">
        <v>269</v>
      </c>
      <c r="BX47" t="s">
        <v>250</v>
      </c>
      <c r="BY47">
        <v>0.75</v>
      </c>
    </row>
    <row r="48" spans="1:77" x14ac:dyDescent="0.2">
      <c r="A48" t="s">
        <v>293</v>
      </c>
      <c r="C48">
        <v>30</v>
      </c>
      <c r="E48">
        <f>$BY$23</f>
        <v>179</v>
      </c>
      <c r="F48">
        <f>$BY$29</f>
        <v>1</v>
      </c>
      <c r="G48">
        <f>$BY$35</f>
        <v>590</v>
      </c>
      <c r="I48">
        <f>$BY$43</f>
        <v>0.56999999999999995</v>
      </c>
      <c r="J48">
        <f t="shared" si="9"/>
        <v>4.3844314485315596</v>
      </c>
      <c r="K48">
        <v>0</v>
      </c>
      <c r="L48">
        <f>$BY$50</f>
        <v>8.2000000000000007E-3</v>
      </c>
      <c r="M48">
        <f>$BY$54</f>
        <v>5.4999999999999997E-3</v>
      </c>
      <c r="O48">
        <f t="shared" si="10"/>
        <v>0.2</v>
      </c>
      <c r="P48">
        <f t="shared" si="11"/>
        <v>0.87688628970631199</v>
      </c>
      <c r="R48">
        <f t="shared" si="12"/>
        <v>0.75</v>
      </c>
      <c r="S48">
        <f t="shared" si="13"/>
        <v>1.1963797575781601</v>
      </c>
      <c r="T48">
        <f t="shared" si="14"/>
        <v>0.30338983050847457</v>
      </c>
      <c r="U48">
        <f t="shared" si="15"/>
        <v>10.992999999999999</v>
      </c>
      <c r="V48">
        <f xml:space="preserve"> (0.032 * $Y$13 * 1.03 / 6.38) + ((0.212 - 0.008 * (S48 - 2) - ((0.14 - 0.008 * (S48 - 2)) / (1 + EXP(-6 * (T48 - 0.4))))) * (I48 * 0.92)) * 1 / 6.25</f>
        <v>1.3916268174785591E-2</v>
      </c>
      <c r="W48">
        <f t="shared" si="16"/>
        <v>2.3454337149116478E-2</v>
      </c>
      <c r="X48">
        <f t="shared" si="17"/>
        <v>0.10206990500776245</v>
      </c>
      <c r="Y48">
        <v>0</v>
      </c>
      <c r="BC48" t="s">
        <v>229</v>
      </c>
      <c r="BD48">
        <v>0.5</v>
      </c>
      <c r="BE48">
        <v>0.5</v>
      </c>
      <c r="BG48">
        <f>($BA$11*BD48)+($BB$11*BE48)</f>
        <v>5.5E-2</v>
      </c>
      <c r="BH48">
        <f>$BY$60</f>
        <v>0</v>
      </c>
      <c r="BI48">
        <f>$BZ$60</f>
        <v>0.2</v>
      </c>
      <c r="BJ48">
        <f>((AA46 * AR46 * 365) + (AB46 * AS46 * 281) + (AC46 *AD46 * 84)) *BG48</f>
        <v>900.17516163969447</v>
      </c>
      <c r="BK48">
        <f>((Z46 * AT46 * 365) + (AB46 * AU46 * 281)  + (AB46 *AE46 * 84)) *BG48</f>
        <v>3288.6178461040563</v>
      </c>
      <c r="BL48">
        <v>0</v>
      </c>
      <c r="BM48">
        <f>((BJ48 + BK48) * (1 - BH48 -BI48)- BL48) *AG$11</f>
        <v>2680.8275249560006</v>
      </c>
      <c r="BN48">
        <f>((BJ48 + BK48) * (1 - BH48 -BI48)- BL48) *(1 - AG$11)</f>
        <v>670.20688123899993</v>
      </c>
    </row>
    <row r="49" spans="1:78" x14ac:dyDescent="0.2">
      <c r="A49" t="s">
        <v>294</v>
      </c>
      <c r="C49">
        <v>20</v>
      </c>
      <c r="E49">
        <f>$BY$24</f>
        <v>600</v>
      </c>
      <c r="F49">
        <f>$BY$29</f>
        <v>1</v>
      </c>
      <c r="G49">
        <f>$BY$36</f>
        <v>770</v>
      </c>
      <c r="I49">
        <f>$BY$44</f>
        <v>0.1</v>
      </c>
      <c r="J49">
        <f t="shared" si="9"/>
        <v>9.0270202499999979</v>
      </c>
      <c r="K49">
        <v>0</v>
      </c>
      <c r="O49">
        <f t="shared" si="10"/>
        <v>0.2</v>
      </c>
      <c r="P49">
        <f t="shared" si="11"/>
        <v>1.8054040499999997</v>
      </c>
      <c r="R49">
        <f t="shared" si="12"/>
        <v>0.75</v>
      </c>
      <c r="S49">
        <f t="shared" si="13"/>
        <v>1.0213029780639273</v>
      </c>
      <c r="T49">
        <f t="shared" si="14"/>
        <v>0.77922077922077926</v>
      </c>
      <c r="U49">
        <f t="shared" si="15"/>
        <v>10.992999999999999</v>
      </c>
      <c r="V49">
        <f xml:space="preserve"> (0.032 * $Y$14 * 1.03 / 6.38) + ((0.212 - 0.008 * (S49 - 2) - ((0.14 - 0.008 * (S49 - 2)) / (1 + EXP(-6 * (T49 - 0.4))))) * (I49 * 0.92)) * 1 / 6.25</f>
        <v>1.2626203146474681E-3</v>
      </c>
      <c r="W49">
        <f t="shared" si="16"/>
        <v>4.8289676524948789E-2</v>
      </c>
      <c r="X49">
        <f t="shared" si="17"/>
        <v>0.23717868678746518</v>
      </c>
      <c r="Y49">
        <v>0</v>
      </c>
      <c r="BC49" t="s">
        <v>232</v>
      </c>
      <c r="BD49">
        <v>0.2</v>
      </c>
      <c r="BG49">
        <f>($BA$11*BD49)+($BB$11*BE49)</f>
        <v>2.2000000000000002E-2</v>
      </c>
      <c r="BH49">
        <f>$BY$61</f>
        <v>5.0000000000000001E-3</v>
      </c>
      <c r="BI49">
        <f>$BZ$61</f>
        <v>0.3</v>
      </c>
      <c r="BJ49">
        <f>((AA46 * AR46 * 365) + (AB46 * AS46 * 281) + (AC46 *AD46 * 84)) *BG49</f>
        <v>360.07006465587784</v>
      </c>
      <c r="BK49">
        <f>((Z46 * AT46 * 365) + (AB46 * AU46 * 281)  + (AB46 *AE46 * 84)) *BG49</f>
        <v>1315.4471384416227</v>
      </c>
      <c r="BL49">
        <f>(BK49+ BJ49) *AP46 *AQ46</f>
        <v>33.510344061950008</v>
      </c>
      <c r="BM49">
        <f>((BJ49 + BK49) * (1 - BH49 -BI49)- BL49) *AG$11</f>
        <v>904.77928967265041</v>
      </c>
      <c r="BN49">
        <f>((BJ49 + BK49) * (1 - BH49 -BI49)- BL49) *(1 - AG$11)</f>
        <v>226.19482241816254</v>
      </c>
      <c r="BW49">
        <v>932</v>
      </c>
      <c r="BX49" t="s">
        <v>314</v>
      </c>
    </row>
    <row r="50" spans="1:78" x14ac:dyDescent="0.2">
      <c r="A50" t="s">
        <v>295</v>
      </c>
      <c r="C50">
        <v>10</v>
      </c>
      <c r="E50">
        <f>$BY$25</f>
        <v>225</v>
      </c>
      <c r="F50">
        <f>$BY$29</f>
        <v>1</v>
      </c>
      <c r="G50">
        <f>$BY$37</f>
        <v>770</v>
      </c>
      <c r="I50">
        <f>$BY$45</f>
        <v>0.8</v>
      </c>
      <c r="J50">
        <f t="shared" si="9"/>
        <v>5.4143472656250013</v>
      </c>
      <c r="K50">
        <v>0</v>
      </c>
      <c r="L50">
        <f>$BY$51</f>
        <v>4.1999999999999997E-3</v>
      </c>
      <c r="M50">
        <f>$BY$55</f>
        <v>5.0000000000000001E-3</v>
      </c>
      <c r="O50">
        <f t="shared" si="10"/>
        <v>0.2</v>
      </c>
      <c r="P50">
        <f t="shared" si="11"/>
        <v>1.0828694531250003</v>
      </c>
      <c r="R50">
        <f t="shared" si="12"/>
        <v>0.75</v>
      </c>
      <c r="S50">
        <f t="shared" si="13"/>
        <v>1.2576570545672616</v>
      </c>
      <c r="T50">
        <f t="shared" si="14"/>
        <v>0.29220779220779219</v>
      </c>
      <c r="U50">
        <f t="shared" si="15"/>
        <v>10.992999999999999</v>
      </c>
      <c r="V50">
        <f xml:space="preserve"> (0.032 * $Y$15 * 1.03 / 6.38) + ((0.212 - 0.008 * (S50 - 2) - ((0.14 - 0.008 * (S50 - 2)) / (1 + EXP(-6 * (T50 - 0.4))))) * (I50 * 0.92)) * 1 / 6.25</f>
        <v>1.9757354894894087E-2</v>
      </c>
      <c r="W50">
        <f t="shared" si="16"/>
        <v>2.8963829792092506E-2</v>
      </c>
      <c r="X50">
        <f t="shared" si="17"/>
        <v>0.12351546020961469</v>
      </c>
      <c r="Y50">
        <v>0</v>
      </c>
      <c r="BC50" t="s">
        <v>296</v>
      </c>
      <c r="BF50" t="s">
        <v>297</v>
      </c>
      <c r="BG50">
        <f>SUM(BG46:BG49)</f>
        <v>0.11</v>
      </c>
      <c r="BH50">
        <f>$BY$62</f>
        <v>0</v>
      </c>
      <c r="BI50">
        <f>$BZ$62</f>
        <v>0</v>
      </c>
      <c r="BJ50">
        <f>((AA46 * AR46 * 365) + (AB46 * AS46 * 281) + (AC46 *AD46 * 84)) *BG50</f>
        <v>1800.3503232793889</v>
      </c>
      <c r="BK50">
        <f>((Z46 * AT46 * 365) + (AB46 * AU46 * 281)  + (AB46 *AE46 * 84)) *BG50</f>
        <v>6577.2356922081126</v>
      </c>
      <c r="BL50">
        <v>0</v>
      </c>
      <c r="BX50" t="s">
        <v>303</v>
      </c>
      <c r="BY50">
        <v>8.2000000000000007E-3</v>
      </c>
    </row>
    <row r="51" spans="1:78" x14ac:dyDescent="0.2">
      <c r="A51" t="s">
        <v>290</v>
      </c>
      <c r="B51" t="s">
        <v>315</v>
      </c>
      <c r="C51">
        <v>50</v>
      </c>
      <c r="D51">
        <v>500</v>
      </c>
      <c r="E51">
        <f>IF(ISBLANK(D51), $BY$21, D51)</f>
        <v>500</v>
      </c>
      <c r="F51">
        <f>$BY$28</f>
        <v>1.1000000000000001</v>
      </c>
      <c r="G51">
        <f>$BY$33</f>
        <v>590</v>
      </c>
      <c r="I51">
        <f>$BY$41</f>
        <v>1.6E-2</v>
      </c>
      <c r="J51">
        <f t="shared" si="9"/>
        <v>74.30152004619282</v>
      </c>
      <c r="K51">
        <f>(Y51 * 1.03 * AL51) / (AM51 * AN51 * AO51)</f>
        <v>65.615562764432823</v>
      </c>
      <c r="O51">
        <f t="shared" si="10"/>
        <v>0.2</v>
      </c>
      <c r="P51">
        <f t="shared" si="11"/>
        <v>14.860304009238565</v>
      </c>
      <c r="R51">
        <f t="shared" si="12"/>
        <v>0.75</v>
      </c>
      <c r="S51">
        <f t="shared" si="13"/>
        <v>1.0004191412169663</v>
      </c>
      <c r="T51">
        <f t="shared" si="14"/>
        <v>0.84745762711864403</v>
      </c>
      <c r="U51">
        <f t="shared" si="15"/>
        <v>10.992999999999999</v>
      </c>
      <c r="V51">
        <f xml:space="preserve"> (0.032 * $Y$11 * 1.03 / 6.38) + ((0.212 - 0.008 * (S51 - 2) - ((0.14 - 0.008 * (S51 - 2)) / (1 + EXP(-6 * (T51 - 0.4))))) * (I51 * 0.92)) * 1 / 6.25</f>
        <v>0.70788282673347269</v>
      </c>
      <c r="W51">
        <f t="shared" si="16"/>
        <v>0.39747294998509064</v>
      </c>
      <c r="X51">
        <f t="shared" si="17"/>
        <v>1.2704318913359516</v>
      </c>
      <c r="Y51">
        <f>AF51 / (0.01 * (AJ51 + AK51))</f>
        <v>136.98630136986301</v>
      </c>
      <c r="Z51">
        <f>C51+C52+C54</f>
        <v>110</v>
      </c>
      <c r="AA51">
        <f>C51+C52+C54</f>
        <v>110</v>
      </c>
      <c r="AB51">
        <f>C53+C55</f>
        <v>40</v>
      </c>
      <c r="AC51">
        <v>0</v>
      </c>
      <c r="AD51">
        <f>M53+M55</f>
        <v>1.0499999999999999E-2</v>
      </c>
      <c r="AE51">
        <f>L53+L55</f>
        <v>1.2400000000000001E-2</v>
      </c>
      <c r="AF51">
        <v>10</v>
      </c>
      <c r="AG51">
        <v>0.8</v>
      </c>
      <c r="AH51" t="s">
        <v>77</v>
      </c>
      <c r="AI51" t="s">
        <v>16</v>
      </c>
      <c r="AJ51">
        <f>$BY$12</f>
        <v>4</v>
      </c>
      <c r="AK51">
        <f>$BY$13</f>
        <v>3.3</v>
      </c>
      <c r="AL51">
        <f>$BY$14</f>
        <v>3.0539999999999998</v>
      </c>
      <c r="AM51">
        <f>$BY$15</f>
        <v>18.399999999999999</v>
      </c>
      <c r="AN51">
        <f>$BY$16</f>
        <v>0.6</v>
      </c>
      <c r="AO51">
        <f>0.795 * R51- 0.0014</f>
        <v>0.5948500000000001</v>
      </c>
      <c r="AP51">
        <f>IF(AH51="yes",1,0)</f>
        <v>1</v>
      </c>
      <c r="AQ51">
        <f>$BY$64</f>
        <v>0.02</v>
      </c>
      <c r="AR51">
        <f>W51+W52+W54</f>
        <v>0.47679116291340423</v>
      </c>
      <c r="AS51">
        <f>W53+W55</f>
        <v>4.8788329692175357E-2</v>
      </c>
      <c r="AT51">
        <f>X51+X52+X54</f>
        <v>1.6501756045298217</v>
      </c>
      <c r="AU51">
        <f>X53+X55</f>
        <v>0.20640827031799661</v>
      </c>
      <c r="AV51" t="s">
        <v>228</v>
      </c>
      <c r="AZ51">
        <f>VLOOKUP(AV51, $BX$7:$CA$10, 2, FALSE)</f>
        <v>0.89</v>
      </c>
      <c r="BA51">
        <f>VLOOKUP(AV51, $BX$7:$CA$10, 3, FALSE)</f>
        <v>0.11</v>
      </c>
      <c r="BB51">
        <f>VLOOKUP(AV51, $BX$7:$CA$10, 4, FALSE)</f>
        <v>0</v>
      </c>
      <c r="BC51" t="s">
        <v>185</v>
      </c>
      <c r="BG51">
        <f>($BA51*BD$11)+($BB$11*BE51)</f>
        <v>0</v>
      </c>
      <c r="BH51">
        <f>$BY$58</f>
        <v>0</v>
      </c>
      <c r="BI51">
        <f>$BZ$58</f>
        <v>0.35</v>
      </c>
      <c r="BJ51">
        <f>((AA51 * AR51 * 365) + (AB51 * AS51 * 281) + (AC51 *AD51 * 84)) *BG51</f>
        <v>0</v>
      </c>
      <c r="BK51">
        <f>((Z51 * AT51 * 365) + (AB51 * AU51 * 281)  + (AB51 *AE51 * 84)) *BG51</f>
        <v>0</v>
      </c>
      <c r="BL51">
        <v>0</v>
      </c>
      <c r="BM51">
        <f>((BJ51 + BK51) * (1 - BH51 -BI51)- BL51) *AG$11</f>
        <v>0</v>
      </c>
      <c r="BN51">
        <f>((BJ51 + BK51) * (1 - BH51 -BI51)- BL51) *(1 - AG$11)</f>
        <v>0</v>
      </c>
      <c r="BP51">
        <f>SUM(BM51:BM54)</f>
        <v>6325.6635772462287</v>
      </c>
      <c r="BQ51">
        <f>SUM(BN51:BN54)</f>
        <v>1581.4158943115567</v>
      </c>
      <c r="BR51">
        <f>IF(ISBLANK(AI51), "", IF(AI51="wet", $BY$67, $BY$68))</f>
        <v>6.0000000000000001E-3</v>
      </c>
      <c r="BS51">
        <f>IF(ISBLANK(AI51), "", $BY$70)</f>
        <v>1.5714285714285714</v>
      </c>
      <c r="BT51">
        <f>IF(ISBLANK(A51), "", BP51*BR51*BS51/1000)</f>
        <v>5.9641970871178736E-2</v>
      </c>
      <c r="BU51">
        <f>IF(ISBLANK(AS51), "", BQ51*BR51*BS51/1000)</f>
        <v>1.4910492717794679E-2</v>
      </c>
      <c r="BX51" t="s">
        <v>305</v>
      </c>
      <c r="BY51">
        <v>4.1999999999999997E-3</v>
      </c>
    </row>
    <row r="52" spans="1:78" x14ac:dyDescent="0.2">
      <c r="A52" t="s">
        <v>292</v>
      </c>
      <c r="C52">
        <v>40</v>
      </c>
      <c r="D52">
        <v>300</v>
      </c>
      <c r="E52">
        <f>IF(ISBLANK(D52), $BY$22, D52)</f>
        <v>300</v>
      </c>
      <c r="F52">
        <f>$BY$29</f>
        <v>1</v>
      </c>
      <c r="G52">
        <f>$BY$34</f>
        <v>590</v>
      </c>
      <c r="I52">
        <f>$BY$42</f>
        <v>0.6</v>
      </c>
      <c r="J52">
        <f t="shared" si="9"/>
        <v>6.2600039999999986</v>
      </c>
      <c r="K52">
        <v>0</v>
      </c>
      <c r="O52">
        <f t="shared" si="10"/>
        <v>0.2</v>
      </c>
      <c r="P52">
        <f t="shared" si="11"/>
        <v>1.2520007999999998</v>
      </c>
      <c r="R52">
        <f t="shared" si="12"/>
        <v>0.75</v>
      </c>
      <c r="S52">
        <f t="shared" si="13"/>
        <v>1.1701009856318794</v>
      </c>
      <c r="T52">
        <f t="shared" si="14"/>
        <v>0.50847457627118642</v>
      </c>
      <c r="U52">
        <f t="shared" si="15"/>
        <v>10.992999999999999</v>
      </c>
      <c r="V52">
        <f xml:space="preserve"> (0.032 * $Y$12 * 1.03 / 6.38) + ((0.212 - 0.008 * (S52 - 2) - ((0.14 - 0.008 * (S52 - 2)) / (1 + EXP(-6 * (T52 - 0.4))))) * (I52 * 0.92)) * 1 / 6.25</f>
        <v>1.0798683998050332E-2</v>
      </c>
      <c r="W52">
        <f t="shared" si="16"/>
        <v>3.3487635989836798E-2</v>
      </c>
      <c r="X52">
        <f t="shared" si="17"/>
        <v>0.15476512358544967</v>
      </c>
      <c r="Y52">
        <v>0</v>
      </c>
      <c r="BC52" t="s">
        <v>224</v>
      </c>
      <c r="BD52">
        <v>0.3</v>
      </c>
      <c r="BE52">
        <v>0.5</v>
      </c>
      <c r="BG52">
        <f>($BA$11*BD52)+($BB$11*BE52)</f>
        <v>3.3000000000000002E-2</v>
      </c>
      <c r="BH52">
        <f>$BY$59</f>
        <v>0</v>
      </c>
      <c r="BI52">
        <f>$BZ$59</f>
        <v>7.0000000000000007E-2</v>
      </c>
      <c r="BJ52">
        <f>((AA51 * AR51 * 365) + (AB51 * AS51 * 281) + (AC51 *AD51 * 84)) *BG52</f>
        <v>649.82101855153678</v>
      </c>
      <c r="BK52">
        <f>((Z51 * AT51 * 365) + (AB51 * AU51 * 281)  + (AB51 *AE51 * 84)) *BG52</f>
        <v>2264.3360348481388</v>
      </c>
      <c r="BL52">
        <v>0</v>
      </c>
      <c r="BM52">
        <f>((BJ52 + BK52) * (1 - BH52 -BI52)- BL52) *AG$11</f>
        <v>2168.1328477293587</v>
      </c>
      <c r="BN52">
        <f>((BJ52 + BK52) * (1 - BH52 -BI52)- BL52) *(1 - AG$11)</f>
        <v>542.03321193233944</v>
      </c>
    </row>
    <row r="53" spans="1:78" x14ac:dyDescent="0.2">
      <c r="A53" t="s">
        <v>293</v>
      </c>
      <c r="C53">
        <v>30</v>
      </c>
      <c r="D53">
        <v>160</v>
      </c>
      <c r="E53">
        <f>IF(ISBLANK(D53), $BY$23, D53)</f>
        <v>160</v>
      </c>
      <c r="F53">
        <f>$BY$29</f>
        <v>1</v>
      </c>
      <c r="G53">
        <f>$BY$35</f>
        <v>590</v>
      </c>
      <c r="I53">
        <f>$BY$43</f>
        <v>0.56999999999999995</v>
      </c>
      <c r="J53">
        <f t="shared" si="9"/>
        <v>4.0981548720999994</v>
      </c>
      <c r="K53">
        <v>0</v>
      </c>
      <c r="L53">
        <f>$BY$50</f>
        <v>8.2000000000000007E-3</v>
      </c>
      <c r="M53">
        <f>$BY$54</f>
        <v>5.4999999999999997E-3</v>
      </c>
      <c r="O53">
        <f t="shared" si="10"/>
        <v>0.2</v>
      </c>
      <c r="P53">
        <f t="shared" si="11"/>
        <v>0.81963097441999988</v>
      </c>
      <c r="R53">
        <f t="shared" si="12"/>
        <v>0.75</v>
      </c>
      <c r="S53">
        <f t="shared" si="13"/>
        <v>1.2041232821910088</v>
      </c>
      <c r="T53">
        <f t="shared" si="14"/>
        <v>0.2711864406779661</v>
      </c>
      <c r="U53">
        <f t="shared" si="15"/>
        <v>10.992999999999999</v>
      </c>
      <c r="V53">
        <f xml:space="preserve"> (0.032 * $Y$13 * 1.03 / 6.38) + ((0.212 - 0.008 * (S53 - 2) - ((0.14 - 0.008 * (S53 - 2)) / (1 + EXP(-6 * (T53 - 0.4))))) * (I53 * 0.92)) * 1 / 6.25</f>
        <v>1.4442906798899258E-2</v>
      </c>
      <c r="W53">
        <f t="shared" si="16"/>
        <v>2.1922912283580166E-2</v>
      </c>
      <c r="X53">
        <f t="shared" si="17"/>
        <v>9.3983360238852551E-2</v>
      </c>
      <c r="Y53">
        <v>0</v>
      </c>
      <c r="BC53" t="s">
        <v>229</v>
      </c>
      <c r="BD53">
        <v>0.5</v>
      </c>
      <c r="BE53">
        <v>0.5</v>
      </c>
      <c r="BG53">
        <f>($BA$11*BD53)+($BB$11*BE53)</f>
        <v>5.5E-2</v>
      </c>
      <c r="BH53">
        <f>$BY$60</f>
        <v>0</v>
      </c>
      <c r="BI53">
        <f>$BZ$60</f>
        <v>0.2</v>
      </c>
      <c r="BJ53">
        <f>((AA51 * AR51 * 365) + (AB51 * AS51 * 281) + (AC51 *AD51 * 84)) *BG53</f>
        <v>1083.0350309192279</v>
      </c>
      <c r="BK53">
        <f>((Z51 * AT51 * 365) + (AB51 * AU51 * 281)  + (AB51 *AE51 * 84)) *BG53</f>
        <v>3773.8933914135646</v>
      </c>
      <c r="BL53">
        <v>0</v>
      </c>
      <c r="BM53">
        <f>((BJ53 + BK53) * (1 - BH53 -BI53)- BL53) *AG$11</f>
        <v>3108.4341902929873</v>
      </c>
      <c r="BN53">
        <f>((BJ53 + BK53) * (1 - BH53 -BI53)- BL53) *(1 - AG$11)</f>
        <v>777.1085475732466</v>
      </c>
      <c r="BW53">
        <v>930</v>
      </c>
      <c r="BX53" t="s">
        <v>316</v>
      </c>
    </row>
    <row r="54" spans="1:78" x14ac:dyDescent="0.2">
      <c r="A54" t="s">
        <v>294</v>
      </c>
      <c r="C54">
        <v>20</v>
      </c>
      <c r="D54">
        <v>550</v>
      </c>
      <c r="E54">
        <f>IF(ISBLANK(D54), $BY$24, D54)</f>
        <v>550</v>
      </c>
      <c r="F54">
        <f>$BY$29</f>
        <v>1</v>
      </c>
      <c r="G54">
        <f>$BY$36</f>
        <v>770</v>
      </c>
      <c r="I54">
        <f>$BY$44</f>
        <v>0.1</v>
      </c>
      <c r="J54">
        <f t="shared" si="9"/>
        <v>8.5673290000000009</v>
      </c>
      <c r="K54">
        <v>0</v>
      </c>
      <c r="O54">
        <f t="shared" si="10"/>
        <v>0.2</v>
      </c>
      <c r="P54">
        <f t="shared" si="11"/>
        <v>1.7134658000000003</v>
      </c>
      <c r="R54">
        <f t="shared" si="12"/>
        <v>0.75</v>
      </c>
      <c r="S54">
        <f t="shared" si="13"/>
        <v>1.0218762517451188</v>
      </c>
      <c r="T54">
        <f t="shared" si="14"/>
        <v>0.7142857142857143</v>
      </c>
      <c r="U54">
        <f t="shared" si="15"/>
        <v>10.992999999999999</v>
      </c>
      <c r="V54">
        <f xml:space="preserve"> (0.032 * $Y$14 * 1.03 / 6.38) + ((0.212 - 0.008 * (S54 - 2) - ((0.14 - 0.008 * (S54 - 2)) / (1 + EXP(-6 * (T54 - 0.4))))) * (I54 * 0.92)) * 1 / 6.25</f>
        <v>1.3464908317647941E-3</v>
      </c>
      <c r="W54">
        <f t="shared" si="16"/>
        <v>4.5830576938476808E-2</v>
      </c>
      <c r="X54">
        <f t="shared" si="17"/>
        <v>0.22497858960842049</v>
      </c>
      <c r="Y54">
        <v>0</v>
      </c>
      <c r="BC54" t="s">
        <v>232</v>
      </c>
      <c r="BD54">
        <v>0.2</v>
      </c>
      <c r="BG54">
        <f>($BA$11*BD54)+($BB$11*BE54)</f>
        <v>2.2000000000000002E-2</v>
      </c>
      <c r="BH54">
        <f>$BY$61</f>
        <v>5.0000000000000001E-3</v>
      </c>
      <c r="BI54">
        <f>$BZ$61</f>
        <v>0.3</v>
      </c>
      <c r="BJ54">
        <f>((AA51 * AR51 * 365) + (AB51 * AS51 * 281) + (AC51 *AD51 * 84)) *BG54</f>
        <v>433.21401236769117</v>
      </c>
      <c r="BK54">
        <f>((Z51 * AT51 * 365) + (AB51 * AU51 * 281)  + (AB51 *AE51 * 84)) *BG54</f>
        <v>1509.5573565654261</v>
      </c>
      <c r="BL54">
        <f>(BK54+ BJ54) *AP51 *AQ51</f>
        <v>38.855427378662341</v>
      </c>
      <c r="BM54">
        <f>((BJ54 + BK54) * (1 - BH54 -BI54)- BL54) *AG$11</f>
        <v>1049.0965392238834</v>
      </c>
      <c r="BN54">
        <f>((BJ54 + BK54) * (1 - BH54 -BI54)- BL54) *(1 - AG$11)</f>
        <v>262.27413480597079</v>
      </c>
      <c r="BX54" t="s">
        <v>303</v>
      </c>
      <c r="BY54">
        <v>5.4999999999999997E-3</v>
      </c>
    </row>
    <row r="55" spans="1:78" x14ac:dyDescent="0.2">
      <c r="A55" t="s">
        <v>295</v>
      </c>
      <c r="C55">
        <v>10</v>
      </c>
      <c r="D55">
        <v>200</v>
      </c>
      <c r="E55">
        <f>IF(ISBLANK(D55), $BY$25, D55)</f>
        <v>200</v>
      </c>
      <c r="F55">
        <f>$BY$29</f>
        <v>1</v>
      </c>
      <c r="G55">
        <f>$BY$37</f>
        <v>770</v>
      </c>
      <c r="I55">
        <f>$BY$45</f>
        <v>0.8</v>
      </c>
      <c r="J55">
        <f t="shared" si="9"/>
        <v>5.0220809999999982</v>
      </c>
      <c r="K55">
        <v>0</v>
      </c>
      <c r="L55">
        <f>$BY$51</f>
        <v>4.1999999999999997E-3</v>
      </c>
      <c r="M55">
        <f>$BY$55</f>
        <v>5.0000000000000001E-3</v>
      </c>
      <c r="O55">
        <f t="shared" si="10"/>
        <v>0.2</v>
      </c>
      <c r="P55">
        <f t="shared" si="11"/>
        <v>1.0044161999999996</v>
      </c>
      <c r="R55">
        <f t="shared" si="12"/>
        <v>0.75</v>
      </c>
      <c r="S55">
        <f t="shared" si="13"/>
        <v>1.2694457525439689</v>
      </c>
      <c r="T55">
        <f t="shared" si="14"/>
        <v>0.25974025974025972</v>
      </c>
      <c r="U55">
        <f t="shared" si="15"/>
        <v>10.992999999999999</v>
      </c>
      <c r="V55">
        <f xml:space="preserve"> (0.032 * $Y$15 * 1.03 / 6.38) + ((0.212 - 0.008 * (S55 - 2) - ((0.14 - 0.008 * (S55 - 2)) / (1 + EXP(-6 * (T55 - 0.4))))) * (I55 * 0.92)) * 1 / 6.25</f>
        <v>2.0480244434398394E-2</v>
      </c>
      <c r="W55">
        <f t="shared" si="16"/>
        <v>2.6865417408595191E-2</v>
      </c>
      <c r="X55">
        <f t="shared" si="17"/>
        <v>0.11242491007914406</v>
      </c>
      <c r="Y55">
        <v>0</v>
      </c>
      <c r="BC55" t="s">
        <v>296</v>
      </c>
      <c r="BF55" t="s">
        <v>297</v>
      </c>
      <c r="BG55">
        <f>SUM(BG51:BG54)</f>
        <v>0.11</v>
      </c>
      <c r="BH55">
        <f>$BY$62</f>
        <v>0</v>
      </c>
      <c r="BI55">
        <f>$BZ$62</f>
        <v>0</v>
      </c>
      <c r="BJ55">
        <f>((AA51 * AR51 * 365) + (AB51 * AS51 * 281) + (AC51 *AD51 * 84)) *BG55</f>
        <v>2166.0700618384558</v>
      </c>
      <c r="BK55">
        <f>((Z51 * AT51 * 365) + (AB51 * AU51 * 281)  + (AB51 *AE51 * 84)) *BG55</f>
        <v>7547.7867828271292</v>
      </c>
      <c r="BL55">
        <v>0</v>
      </c>
      <c r="BX55" t="s">
        <v>305</v>
      </c>
      <c r="BY55">
        <v>5.0000000000000001E-3</v>
      </c>
    </row>
    <row r="56" spans="1:78" x14ac:dyDescent="0.2">
      <c r="A56" t="s">
        <v>290</v>
      </c>
      <c r="B56" t="s">
        <v>317</v>
      </c>
      <c r="C56">
        <v>50</v>
      </c>
      <c r="E56">
        <f>$BY$21</f>
        <v>550</v>
      </c>
      <c r="F56">
        <f>$BY$28</f>
        <v>1.1000000000000001</v>
      </c>
      <c r="G56">
        <f>$BY$33</f>
        <v>590</v>
      </c>
      <c r="H56">
        <v>0.02</v>
      </c>
      <c r="I56">
        <v>0.02</v>
      </c>
      <c r="J56">
        <f t="shared" si="9"/>
        <v>74.87805032843282</v>
      </c>
      <c r="K56">
        <f>(Y56 * 1.03 * AL56) / (AM56 * AN56 * AO56)</f>
        <v>65.615562764432823</v>
      </c>
      <c r="O56">
        <f t="shared" si="10"/>
        <v>0.2</v>
      </c>
      <c r="P56">
        <f t="shared" si="11"/>
        <v>14.975610065686565</v>
      </c>
      <c r="R56">
        <f t="shared" si="12"/>
        <v>0.75</v>
      </c>
      <c r="S56">
        <f t="shared" si="13"/>
        <v>1.0005368309693297</v>
      </c>
      <c r="T56">
        <f t="shared" si="14"/>
        <v>0.93220338983050843</v>
      </c>
      <c r="U56">
        <f t="shared" si="15"/>
        <v>10.992999999999999</v>
      </c>
      <c r="V56">
        <f xml:space="preserve"> (0.032 * $Y$11 * 1.03 / 6.38) + ((0.212 - 0.008 * (S56 - 2) - ((0.14 - 0.008 * (S56 - 2)) / (1 + EXP(-6 * (T56 - 0.4))))) * (I56 * 0.92)) * 1 / 6.25</f>
        <v>0.70792013037568868</v>
      </c>
      <c r="W56">
        <f t="shared" si="16"/>
        <v>0.400557075207498</v>
      </c>
      <c r="X56">
        <f t="shared" si="17"/>
        <v>1.2856215343053259</v>
      </c>
      <c r="Y56">
        <f>AF56 / (0.01 * (AJ56 + AK56))</f>
        <v>136.98630136986301</v>
      </c>
      <c r="Z56">
        <f>C56+C57+C59</f>
        <v>110</v>
      </c>
      <c r="AA56">
        <f>C56+C57+C59</f>
        <v>110</v>
      </c>
      <c r="AB56">
        <f>C58+C60</f>
        <v>40</v>
      </c>
      <c r="AC56">
        <v>0</v>
      </c>
      <c r="AD56">
        <f>M58+M60</f>
        <v>1.0499999999999999E-2</v>
      </c>
      <c r="AE56">
        <f>L58+L60</f>
        <v>1.2400000000000001E-2</v>
      </c>
      <c r="AF56">
        <v>10</v>
      </c>
      <c r="AG56">
        <v>0.8</v>
      </c>
      <c r="AH56" t="s">
        <v>77</v>
      </c>
      <c r="AI56" t="s">
        <v>16</v>
      </c>
      <c r="AJ56">
        <f>$BY$12</f>
        <v>4</v>
      </c>
      <c r="AK56">
        <f>$BY$13</f>
        <v>3.3</v>
      </c>
      <c r="AL56">
        <f>$BY$14</f>
        <v>3.0539999999999998</v>
      </c>
      <c r="AM56">
        <f>$BY$15</f>
        <v>18.399999999999999</v>
      </c>
      <c r="AN56">
        <f>$BY$16</f>
        <v>0.6</v>
      </c>
      <c r="AO56">
        <f>0.795 * R56- 0.0014</f>
        <v>0.5948500000000001</v>
      </c>
      <c r="AP56">
        <f>IF(AH56="yes",1,0)</f>
        <v>1</v>
      </c>
      <c r="AQ56">
        <f>$BY$64</f>
        <v>0.02</v>
      </c>
      <c r="AR56">
        <f>W56+W57+W59</f>
        <v>0.48700317622159284</v>
      </c>
      <c r="AS56">
        <f>W58+W60</f>
        <v>5.0157874611296338E-2</v>
      </c>
      <c r="AT56">
        <f>X56+X57+X59</f>
        <v>1.7041398407067425</v>
      </c>
      <c r="AU56">
        <f>X58+X60</f>
        <v>0.22335505871460909</v>
      </c>
      <c r="AV56" t="s">
        <v>228</v>
      </c>
      <c r="AZ56">
        <f>VLOOKUP(AV56, $BX$7:$CA$10, 2, FALSE)</f>
        <v>0.89</v>
      </c>
      <c r="BA56">
        <f>VLOOKUP(AV56, $BX$7:$CA$10, 3, FALSE)</f>
        <v>0.11</v>
      </c>
      <c r="BB56">
        <f>VLOOKUP(AV56, $BX$7:$CA$10, 4, FALSE)</f>
        <v>0</v>
      </c>
      <c r="BC56" t="s">
        <v>185</v>
      </c>
      <c r="BG56">
        <f>($BA56*BD$11)+($BB$11*BE56)</f>
        <v>0</v>
      </c>
      <c r="BH56">
        <f>$BY$58</f>
        <v>0</v>
      </c>
      <c r="BI56">
        <f>$BZ$58</f>
        <v>0.35</v>
      </c>
      <c r="BJ56">
        <f>((AA56 * AR56 * 365) + (AB56 * AS56 * 281) + (AC56 *AD56 * 84)) *BG56</f>
        <v>0</v>
      </c>
      <c r="BK56">
        <f>((Z56 * AT56 * 365) + (AB56 * AU56 * 281)  + (AB56 *AE56 * 84)) *BG56</f>
        <v>0</v>
      </c>
      <c r="BL56">
        <v>0</v>
      </c>
      <c r="BM56">
        <f>((BJ56 + BK56) * (1 - BH56 -BI56)- BL56) *AG$11</f>
        <v>0</v>
      </c>
      <c r="BN56">
        <f>((BJ56 + BK56) * (1 - BH56 -BI56)- BL56) *(1 - AG$11)</f>
        <v>0</v>
      </c>
      <c r="BP56">
        <f>SUM(BM56:BM59)</f>
        <v>6524.9833423463278</v>
      </c>
      <c r="BQ56">
        <f>SUM(BN56:BN59)</f>
        <v>1631.2458355865815</v>
      </c>
      <c r="BR56">
        <f>IF(ISBLANK(AI56), "", IF(AI56="wet", $BY$67, $BY$68))</f>
        <v>6.0000000000000001E-3</v>
      </c>
      <c r="BS56">
        <f>IF(ISBLANK(AI56), "", $BY$70)</f>
        <v>1.5714285714285714</v>
      </c>
      <c r="BT56">
        <f>IF(ISBLANK(A56), "", BP56*BR56*BS56/1000)</f>
        <v>6.1521271513551093E-2</v>
      </c>
      <c r="BU56">
        <f>IF(ISBLANK(AS56), "", BQ56*BR56*BS56/1000)</f>
        <v>1.538031787838777E-2</v>
      </c>
    </row>
    <row r="57" spans="1:78" x14ac:dyDescent="0.2">
      <c r="A57" t="s">
        <v>292</v>
      </c>
      <c r="C57">
        <v>40</v>
      </c>
      <c r="E57">
        <f>$BY$22</f>
        <v>370</v>
      </c>
      <c r="F57">
        <f>$BY$29</f>
        <v>1</v>
      </c>
      <c r="G57">
        <f>$BY$34</f>
        <v>590</v>
      </c>
      <c r="H57">
        <v>0.4</v>
      </c>
      <c r="I57">
        <v>0.4</v>
      </c>
      <c r="J57">
        <f t="shared" si="9"/>
        <v>6.9424872195999985</v>
      </c>
      <c r="K57">
        <v>0</v>
      </c>
      <c r="O57">
        <f t="shared" si="10"/>
        <v>0.2</v>
      </c>
      <c r="P57">
        <f t="shared" si="11"/>
        <v>1.3884974439199997</v>
      </c>
      <c r="R57">
        <f t="shared" si="12"/>
        <v>0.75</v>
      </c>
      <c r="S57">
        <f t="shared" si="13"/>
        <v>1.1029662769789241</v>
      </c>
      <c r="T57">
        <f t="shared" si="14"/>
        <v>0.6271186440677966</v>
      </c>
      <c r="U57">
        <f t="shared" si="15"/>
        <v>10.992999999999999</v>
      </c>
      <c r="V57">
        <f xml:space="preserve"> (0.032 * $Y$12 * 1.03 / 6.38) + ((0.212 - 0.008 * (S57 - 2) - ((0.14 - 0.008 * (S57 - 2)) / (1 + EXP(-6 * (T57 - 0.4))))) * (I57 * 0.92)) * 1 / 6.25</f>
        <v>6.0054367522697164E-3</v>
      </c>
      <c r="W57">
        <f t="shared" si="16"/>
        <v>3.7138552127771632E-2</v>
      </c>
      <c r="X57">
        <f t="shared" si="17"/>
        <v>0.17753081581580685</v>
      </c>
      <c r="Y57">
        <v>0</v>
      </c>
      <c r="BC57" t="s">
        <v>224</v>
      </c>
      <c r="BD57">
        <v>0.3</v>
      </c>
      <c r="BE57">
        <v>0.5</v>
      </c>
      <c r="BG57">
        <f>($BA$11*BD57)+($BB$11*BE57)</f>
        <v>3.3000000000000002E-2</v>
      </c>
      <c r="BH57">
        <f>$BY$59</f>
        <v>0</v>
      </c>
      <c r="BI57">
        <f>$BZ$59</f>
        <v>7.0000000000000007E-2</v>
      </c>
      <c r="BJ57">
        <f>((AA56 * AR56 * 365) + (AB56 * AS56 * 281) + (AC56 *AD56 * 84)) *BG57</f>
        <v>663.85941718562151</v>
      </c>
      <c r="BK57">
        <f>((Z56 * AT56 * 365) + (AB56 * AU56 * 281)  + (AB56 *AE56 * 84)) *BG57</f>
        <v>2342.1218523228213</v>
      </c>
      <c r="BL57">
        <v>0</v>
      </c>
      <c r="BM57">
        <f>((BJ57 + BK57) * (1 - BH57 -BI57)- BL57) *AG$11</f>
        <v>2236.4500645142812</v>
      </c>
      <c r="BN57">
        <f>((BJ57 + BK57) * (1 - BH57 -BI57)- BL57) *(1 - AG$11)</f>
        <v>559.11251612857018</v>
      </c>
      <c r="BW57">
        <v>949</v>
      </c>
      <c r="BY57" t="s">
        <v>318</v>
      </c>
      <c r="BZ57" t="s">
        <v>151</v>
      </c>
    </row>
    <row r="58" spans="1:78" x14ac:dyDescent="0.2">
      <c r="A58" t="s">
        <v>293</v>
      </c>
      <c r="C58">
        <v>30</v>
      </c>
      <c r="E58">
        <f>$BY$23</f>
        <v>179</v>
      </c>
      <c r="F58">
        <f>$BY$29</f>
        <v>1</v>
      </c>
      <c r="G58">
        <f>$BY$35</f>
        <v>590</v>
      </c>
      <c r="H58">
        <v>0</v>
      </c>
      <c r="I58">
        <v>0</v>
      </c>
      <c r="J58">
        <f t="shared" si="9"/>
        <v>3.66474894009156</v>
      </c>
      <c r="K58">
        <v>0</v>
      </c>
      <c r="L58">
        <f>$BY$50</f>
        <v>8.2000000000000007E-3</v>
      </c>
      <c r="M58">
        <f>$BY$54</f>
        <v>5.4999999999999997E-3</v>
      </c>
      <c r="O58">
        <f t="shared" si="10"/>
        <v>0.2</v>
      </c>
      <c r="P58">
        <f t="shared" si="11"/>
        <v>0.73294978801831201</v>
      </c>
      <c r="R58">
        <f t="shared" si="12"/>
        <v>0.75</v>
      </c>
      <c r="S58">
        <f t="shared" si="13"/>
        <v>1</v>
      </c>
      <c r="T58">
        <f t="shared" si="14"/>
        <v>0.30338983050847457</v>
      </c>
      <c r="U58">
        <f t="shared" si="15"/>
        <v>10.992999999999999</v>
      </c>
      <c r="V58">
        <f xml:space="preserve"> (0.032 * $Y$13 * 1.03 / 6.38) + ((0.212 - 0.008 * (S58 - 2) - ((0.14 - 0.008 * (S58 - 2)) / (1 + EXP(-6 * (T58 - 0.4))))) * (I58 * 0.92)) * 1 / 6.25</f>
        <v>0</v>
      </c>
      <c r="W58">
        <f t="shared" si="16"/>
        <v>1.9604424933263042E-2</v>
      </c>
      <c r="X58">
        <f t="shared" si="17"/>
        <v>9.680624512832145E-2</v>
      </c>
      <c r="Y58">
        <v>0</v>
      </c>
      <c r="BC58" t="s">
        <v>229</v>
      </c>
      <c r="BD58">
        <v>0.5</v>
      </c>
      <c r="BE58">
        <v>0.5</v>
      </c>
      <c r="BG58">
        <f>($BA$11*BD58)+($BB$11*BE58)</f>
        <v>5.5E-2</v>
      </c>
      <c r="BH58">
        <f>$BY$60</f>
        <v>0</v>
      </c>
      <c r="BI58">
        <f>$BZ$60</f>
        <v>0.2</v>
      </c>
      <c r="BJ58">
        <f>((AA56 * AR56 * 365) + (AB56 * AS56 * 281) + (AC56 *AD56 * 84)) *BG58</f>
        <v>1106.4323619760357</v>
      </c>
      <c r="BK58">
        <f>((Z56 * AT56 * 365) + (AB56 * AU56 * 281)  + (AB56 *AE56 * 84)) *BG58</f>
        <v>3903.5364205380356</v>
      </c>
      <c r="BL58">
        <v>0</v>
      </c>
      <c r="BM58">
        <f>((BJ58 + BK58) * (1 - BH58 -BI58)- BL58) *AG$11</f>
        <v>3206.3800208090065</v>
      </c>
      <c r="BN58">
        <f>((BJ58 + BK58) * (1 - BH58 -BI58)- BL58) *(1 - AG$11)</f>
        <v>801.5950052022514</v>
      </c>
      <c r="BW58">
        <v>951</v>
      </c>
      <c r="BX58" t="s">
        <v>185</v>
      </c>
      <c r="BY58">
        <v>0</v>
      </c>
      <c r="BZ58">
        <v>0.35</v>
      </c>
    </row>
    <row r="59" spans="1:78" x14ac:dyDescent="0.2">
      <c r="A59" t="s">
        <v>294</v>
      </c>
      <c r="C59">
        <v>20</v>
      </c>
      <c r="E59">
        <f>$BY$24</f>
        <v>600</v>
      </c>
      <c r="F59">
        <f>$BY$29</f>
        <v>1</v>
      </c>
      <c r="G59">
        <f>$BY$36</f>
        <v>770</v>
      </c>
      <c r="H59">
        <v>0.2</v>
      </c>
      <c r="I59">
        <v>0.2</v>
      </c>
      <c r="J59">
        <f t="shared" si="9"/>
        <v>9.217296000000001</v>
      </c>
      <c r="K59">
        <v>0</v>
      </c>
      <c r="O59">
        <f t="shared" si="10"/>
        <v>0.2</v>
      </c>
      <c r="P59">
        <f t="shared" si="11"/>
        <v>1.8434592000000003</v>
      </c>
      <c r="R59">
        <f t="shared" si="12"/>
        <v>0.75</v>
      </c>
      <c r="S59">
        <f t="shared" si="13"/>
        <v>1.0428304793596457</v>
      </c>
      <c r="T59">
        <f t="shared" si="14"/>
        <v>0.77922077922077926</v>
      </c>
      <c r="U59">
        <f t="shared" si="15"/>
        <v>10.992999999999999</v>
      </c>
      <c r="V59">
        <f xml:space="preserve"> (0.032 * $Y$14 * 1.03 / 6.38) + ((0.212 - 0.008 * (S59 - 2) - ((0.14 - 0.008 * (S59 - 2)) / (1 + EXP(-6 * (T59 - 0.4))))) * (I59 * 0.92)) * 1 / 6.25</f>
        <v>2.5247681551284801E-3</v>
      </c>
      <c r="W59">
        <f t="shared" si="16"/>
        <v>4.9307548886323209E-2</v>
      </c>
      <c r="X59">
        <f t="shared" si="17"/>
        <v>0.24098749058560984</v>
      </c>
      <c r="Y59">
        <v>0</v>
      </c>
      <c r="BC59" t="s">
        <v>232</v>
      </c>
      <c r="BD59">
        <v>0.2</v>
      </c>
      <c r="BG59">
        <f>($BA$11*BD59)+($BB$11*BE59)</f>
        <v>2.2000000000000002E-2</v>
      </c>
      <c r="BH59">
        <f>$BY$61</f>
        <v>5.0000000000000001E-3</v>
      </c>
      <c r="BI59">
        <f>$BZ$61</f>
        <v>0.3</v>
      </c>
      <c r="BJ59">
        <f>((AA56 * AR56 * 365) + (AB56 * AS56 * 281) + (AC56 *AD56 * 84)) *BG59</f>
        <v>442.57294479041434</v>
      </c>
      <c r="BK59">
        <f>((Z56 * AT56 * 365) + (AB56 * AU56 * 281)  + (AB56 *AE56 * 84)) *BG59</f>
        <v>1561.4145682152143</v>
      </c>
      <c r="BL59">
        <f>(BK59+ BJ59) *AP56 *AQ56</f>
        <v>40.079750260112576</v>
      </c>
      <c r="BM59">
        <f>((BJ59 + BK59) * (1 - BH59 -BI59)- BL59) *AG$11</f>
        <v>1082.1532570230397</v>
      </c>
      <c r="BN59">
        <f>((BJ59 + BK59) * (1 - BH59 -BI59)- BL59) *(1 - AG$11)</f>
        <v>270.53831425575987</v>
      </c>
      <c r="BX59" t="s">
        <v>224</v>
      </c>
      <c r="BY59">
        <v>0</v>
      </c>
      <c r="BZ59">
        <v>7.0000000000000007E-2</v>
      </c>
    </row>
    <row r="60" spans="1:78" x14ac:dyDescent="0.2">
      <c r="A60" t="s">
        <v>295</v>
      </c>
      <c r="C60">
        <v>10</v>
      </c>
      <c r="E60">
        <f>$BY$25</f>
        <v>225</v>
      </c>
      <c r="F60">
        <f>$BY$29</f>
        <v>1</v>
      </c>
      <c r="G60">
        <f>$BY$37</f>
        <v>770</v>
      </c>
      <c r="H60">
        <v>1</v>
      </c>
      <c r="I60">
        <v>1</v>
      </c>
      <c r="J60">
        <f t="shared" si="9"/>
        <v>5.7115025156249999</v>
      </c>
      <c r="K60">
        <v>0</v>
      </c>
      <c r="L60">
        <f>$BY$51</f>
        <v>4.1999999999999997E-3</v>
      </c>
      <c r="M60">
        <f>$BY$55</f>
        <v>5.0000000000000001E-3</v>
      </c>
      <c r="O60">
        <f t="shared" si="10"/>
        <v>0.2</v>
      </c>
      <c r="P60">
        <f t="shared" si="11"/>
        <v>1.142300503125</v>
      </c>
      <c r="R60">
        <f t="shared" si="12"/>
        <v>0.75</v>
      </c>
      <c r="S60">
        <f t="shared" si="13"/>
        <v>1.3266809605211507</v>
      </c>
      <c r="T60">
        <f t="shared" si="14"/>
        <v>0.29220779220779219</v>
      </c>
      <c r="U60">
        <f t="shared" si="15"/>
        <v>10.992999999999999</v>
      </c>
      <c r="V60">
        <f xml:space="preserve"> (0.032 * $Y$15 * 1.03 / 6.38) + ((0.212 - 0.008 * (S60 - 2) - ((0.14 - 0.008 * (S60 - 2)) / (1 + EXP(-6 * (T60 - 0.4))))) * (I60 * 0.92)) * 1 / 6.25</f>
        <v>2.4643349632280293E-2</v>
      </c>
      <c r="W60">
        <f t="shared" si="16"/>
        <v>3.0553449678033296E-2</v>
      </c>
      <c r="X60">
        <f t="shared" si="17"/>
        <v>0.12654881358628764</v>
      </c>
      <c r="Y60">
        <v>0</v>
      </c>
      <c r="BC60" t="s">
        <v>296</v>
      </c>
      <c r="BF60" t="s">
        <v>297</v>
      </c>
      <c r="BG60">
        <f>SUM(BG56:BG59)</f>
        <v>0.11</v>
      </c>
      <c r="BH60">
        <f>$BY$62</f>
        <v>0</v>
      </c>
      <c r="BI60">
        <f>$BZ$62</f>
        <v>0</v>
      </c>
      <c r="BJ60">
        <f>((AA56 * AR56 * 365) + (AB56 * AS56 * 281) + (AC56 *AD56 * 84)) *BG60</f>
        <v>2212.8647239520715</v>
      </c>
      <c r="BK60">
        <f>((Z56 * AT56 * 365) + (AB56 * AU56 * 281)  + (AB56 *AE56 * 84)) *BG60</f>
        <v>7807.0728410760712</v>
      </c>
      <c r="BL60">
        <v>0</v>
      </c>
      <c r="BX60" t="s">
        <v>229</v>
      </c>
      <c r="BY60">
        <v>0</v>
      </c>
      <c r="BZ60">
        <v>0.2</v>
      </c>
    </row>
    <row r="61" spans="1:78" x14ac:dyDescent="0.2">
      <c r="A61" t="s">
        <v>290</v>
      </c>
      <c r="B61" t="s">
        <v>319</v>
      </c>
      <c r="C61">
        <v>50</v>
      </c>
      <c r="E61">
        <v>550</v>
      </c>
      <c r="F61">
        <v>1.1000000000000001</v>
      </c>
      <c r="G61">
        <v>590</v>
      </c>
      <c r="I61">
        <v>1.6E-2</v>
      </c>
      <c r="J61">
        <f t="shared" si="9"/>
        <v>74.870008285192824</v>
      </c>
      <c r="K61">
        <f>(Y61 * 1.03 * AL61) / (AM61 * AN61 * AO61)</f>
        <v>65.615562764432823</v>
      </c>
      <c r="N61">
        <v>0.3</v>
      </c>
      <c r="O61">
        <v>0.3</v>
      </c>
      <c r="P61">
        <f t="shared" si="11"/>
        <v>22.461002485557845</v>
      </c>
      <c r="R61">
        <f t="shared" si="12"/>
        <v>0.75</v>
      </c>
      <c r="S61">
        <f t="shared" si="13"/>
        <v>1.0004293714344916</v>
      </c>
      <c r="T61">
        <f t="shared" si="14"/>
        <v>0.93220338983050843</v>
      </c>
      <c r="U61">
        <f t="shared" si="15"/>
        <v>10.992999999999999</v>
      </c>
      <c r="V61">
        <f xml:space="preserve"> (0.032 * $Y$11 * 1.03 / 6.38) + ((0.212 - 0.008 * (S61 - 2) - ((0.14 - 0.008 * (S61 - 2)) / (1 + EXP(-6 * (T61 - 0.4))))) * (I61 * 0.92)) * 1 / 6.25</f>
        <v>0.70787430165781928</v>
      </c>
      <c r="W61">
        <f t="shared" si="16"/>
        <v>0.45442046059063984</v>
      </c>
      <c r="X61">
        <f t="shared" si="17"/>
        <v>2.4294667648194586</v>
      </c>
      <c r="Y61">
        <f>AF61 / (0.01 * (AJ61 + AK61))</f>
        <v>136.98630136986301</v>
      </c>
      <c r="Z61">
        <f>C61+C62+C64</f>
        <v>110</v>
      </c>
      <c r="AA61">
        <f>C61+C62+C64</f>
        <v>110</v>
      </c>
      <c r="AB61">
        <f>C63+C65</f>
        <v>40</v>
      </c>
      <c r="AC61">
        <v>0</v>
      </c>
      <c r="AD61">
        <f>M63+M65</f>
        <v>1.0499999999999999E-2</v>
      </c>
      <c r="AE61">
        <f>L63+L65</f>
        <v>1.2400000000000001E-2</v>
      </c>
      <c r="AF61">
        <v>10</v>
      </c>
      <c r="AG61">
        <v>0.8</v>
      </c>
      <c r="AH61" t="s">
        <v>77</v>
      </c>
      <c r="AI61" t="s">
        <v>16</v>
      </c>
      <c r="AJ61">
        <f>$BY$12</f>
        <v>4</v>
      </c>
      <c r="AK61">
        <f>$BY$13</f>
        <v>3.3</v>
      </c>
      <c r="AL61">
        <f>$BY$14</f>
        <v>3.0539999999999998</v>
      </c>
      <c r="AM61">
        <f>$BY$15</f>
        <v>18.399999999999999</v>
      </c>
      <c r="AN61">
        <f>$BY$16</f>
        <v>0.6</v>
      </c>
      <c r="AO61">
        <f>0.795 * R61- 0.0014</f>
        <v>0.5948500000000001</v>
      </c>
      <c r="AP61">
        <f>IF(AH61="yes",1,0)</f>
        <v>1</v>
      </c>
      <c r="AQ61">
        <f>$BY$64</f>
        <v>0.02</v>
      </c>
      <c r="AR61">
        <f>W61+W62+W64</f>
        <v>0.54038692922876874</v>
      </c>
      <c r="AS61">
        <f>W63+W65</f>
        <v>4.9261376298266261E-2</v>
      </c>
      <c r="AT61">
        <f>X61+X62+X64</f>
        <v>2.8234166116623114</v>
      </c>
      <c r="AU61">
        <f>X63+X65</f>
        <v>0.15859125268381491</v>
      </c>
      <c r="AV61" t="s">
        <v>228</v>
      </c>
      <c r="AZ61">
        <f>VLOOKUP(AV61, $BX$7:$CA$10, 2, FALSE)</f>
        <v>0.89</v>
      </c>
      <c r="BA61">
        <f>VLOOKUP(AV61, $BX$7:$CA$10, 3, FALSE)</f>
        <v>0.11</v>
      </c>
      <c r="BB61">
        <f>VLOOKUP(AV61, $BX$7:$CA$10, 4, FALSE)</f>
        <v>0</v>
      </c>
      <c r="BC61" t="s">
        <v>185</v>
      </c>
      <c r="BG61">
        <f>($BA61*BD$11)+($BB$11*BE61)</f>
        <v>0</v>
      </c>
      <c r="BH61">
        <f>$BY$58</f>
        <v>0</v>
      </c>
      <c r="BI61">
        <f>$BZ$58</f>
        <v>0.35</v>
      </c>
      <c r="BJ61">
        <f>((AA61 * AR61 * 365) + (AB61 * AS61 * 281) + (AC61 *AD61 * 84)) *BG61</f>
        <v>0</v>
      </c>
      <c r="BK61">
        <f>((Z61 * AT61 * 365) + (AB61 * AU61 * 281)  + (AB61 *AE61 * 84)) *BG61</f>
        <v>0</v>
      </c>
      <c r="BL61">
        <v>0</v>
      </c>
      <c r="BM61">
        <f>((BJ61 + BK61) * (1 - BH61 -BI61)- BL61) *AG$11</f>
        <v>0</v>
      </c>
      <c r="BN61">
        <f>((BJ61 + BK61) * (1 - BH61 -BI61)- BL61) *(1 - AG$11)</f>
        <v>0</v>
      </c>
      <c r="BP61">
        <f>SUM(BM61:BM64)</f>
        <v>9844.718112174869</v>
      </c>
      <c r="BQ61">
        <f>SUM(BN61:BN64)</f>
        <v>2461.1795280437168</v>
      </c>
      <c r="BR61">
        <f>IF(ISBLANK(AI61), "", IF(AI61="wet", $BY$67, $BY$68))</f>
        <v>6.0000000000000001E-3</v>
      </c>
      <c r="BS61">
        <f>IF(ISBLANK(AI61), "", $BY$70)</f>
        <v>1.5714285714285714</v>
      </c>
      <c r="BT61">
        <f>IF(ISBLANK(A61), "", BP61*BR61*BS61/1000)</f>
        <v>9.2821627914791621E-2</v>
      </c>
      <c r="BU61">
        <f>IF(ISBLANK(AS61), "", BQ61*BR61*BS61/1000)</f>
        <v>2.3205406978697902E-2</v>
      </c>
      <c r="BX61" t="s">
        <v>232</v>
      </c>
      <c r="BY61">
        <v>5.0000000000000001E-3</v>
      </c>
      <c r="BZ61">
        <v>0.3</v>
      </c>
    </row>
    <row r="62" spans="1:78" x14ac:dyDescent="0.2">
      <c r="A62" t="s">
        <v>292</v>
      </c>
      <c r="C62">
        <v>40</v>
      </c>
      <c r="E62">
        <v>370</v>
      </c>
      <c r="F62">
        <v>1</v>
      </c>
      <c r="G62">
        <v>590</v>
      </c>
      <c r="I62">
        <v>0.6</v>
      </c>
      <c r="J62">
        <f t="shared" si="9"/>
        <v>7.2784485796</v>
      </c>
      <c r="K62">
        <v>0</v>
      </c>
      <c r="N62">
        <v>0.3</v>
      </c>
      <c r="O62">
        <v>0.3</v>
      </c>
      <c r="P62">
        <f t="shared" si="11"/>
        <v>2.1835345738799998</v>
      </c>
      <c r="R62">
        <f t="shared" si="12"/>
        <v>0.75</v>
      </c>
      <c r="S62">
        <f t="shared" si="13"/>
        <v>1.1563411034246729</v>
      </c>
      <c r="T62">
        <f t="shared" si="14"/>
        <v>0.6271186440677966</v>
      </c>
      <c r="U62">
        <f t="shared" si="15"/>
        <v>10.992999999999999</v>
      </c>
      <c r="V62">
        <f xml:space="preserve"> (0.032 * $Y$12 * 1.03 / 6.38) + ((0.212 - 0.008 * (S62 - 2) - ((0.14 - 0.008 * (S62 - 2)) / (1 + EXP(-6 * (T62 - 0.4))))) * (I62 * 0.92)) * 1 / 6.25</f>
        <v>9.0004693208802639E-3</v>
      </c>
      <c r="W62">
        <f t="shared" si="16"/>
        <v>4.4176246693180155E-2</v>
      </c>
      <c r="X62">
        <f t="shared" si="17"/>
        <v>0.29470402947538782</v>
      </c>
      <c r="Y62">
        <v>0</v>
      </c>
      <c r="BC62" t="s">
        <v>224</v>
      </c>
      <c r="BD62">
        <v>0.3</v>
      </c>
      <c r="BE62">
        <v>0.5</v>
      </c>
      <c r="BG62">
        <f>($BA$11*BD62)+($BB$11*BE62)</f>
        <v>3.3000000000000002E-2</v>
      </c>
      <c r="BH62">
        <f>$BY$59</f>
        <v>0</v>
      </c>
      <c r="BI62">
        <f>$BZ$59</f>
        <v>7.0000000000000007E-2</v>
      </c>
      <c r="BJ62">
        <f>((AA61 * AR61 * 365) + (AB61 * AS61 * 281) + (AC61 *AD61 * 84)) *BG62</f>
        <v>734.25769157821014</v>
      </c>
      <c r="BK62">
        <f>((Z61 * AT61 * 365) + (AB61 * AU61 * 281)  + (AB61 *AE61 * 84)) *BG62</f>
        <v>3801.0854190674604</v>
      </c>
      <c r="BL62">
        <v>0</v>
      </c>
      <c r="BM62">
        <f>((BJ62 + BK62) * (1 - BH62 -BI62)- BL62) *AG$11</f>
        <v>3374.2952743203787</v>
      </c>
      <c r="BN62">
        <f>((BJ62 + BK62) * (1 - BH62 -BI62)- BL62) *(1 - AG$11)</f>
        <v>843.57381858009444</v>
      </c>
      <c r="BX62" t="s">
        <v>234</v>
      </c>
      <c r="BY62">
        <v>0</v>
      </c>
      <c r="BZ62">
        <v>0</v>
      </c>
    </row>
    <row r="63" spans="1:78" x14ac:dyDescent="0.2">
      <c r="A63" t="s">
        <v>293</v>
      </c>
      <c r="C63">
        <v>30</v>
      </c>
      <c r="E63">
        <v>179</v>
      </c>
      <c r="F63">
        <v>1</v>
      </c>
      <c r="G63">
        <v>590</v>
      </c>
      <c r="I63">
        <v>0.56999999999999995</v>
      </c>
      <c r="J63">
        <f t="shared" si="9"/>
        <v>4.3844314485315596</v>
      </c>
      <c r="K63">
        <v>0</v>
      </c>
      <c r="L63">
        <v>8.2000000000000007E-3</v>
      </c>
      <c r="M63">
        <v>5.4999999999999997E-3</v>
      </c>
      <c r="N63">
        <v>0.1</v>
      </c>
      <c r="O63">
        <v>0.1</v>
      </c>
      <c r="P63">
        <f t="shared" si="11"/>
        <v>0.438443144853156</v>
      </c>
      <c r="R63">
        <f t="shared" si="12"/>
        <v>0.75</v>
      </c>
      <c r="S63">
        <f t="shared" si="13"/>
        <v>1.1963797575781601</v>
      </c>
      <c r="T63">
        <f t="shared" si="14"/>
        <v>0.30338983050847457</v>
      </c>
      <c r="U63">
        <f t="shared" si="15"/>
        <v>10.992999999999999</v>
      </c>
      <c r="V63">
        <f xml:space="preserve"> (0.032 * $Y$13 * 1.03 / 6.38) + ((0.212 - 0.008 * (S63 - 2) - ((0.14 - 0.008 * (S63 - 2)) / (1 + EXP(-6 * (T63 - 0.4))))) * (I63 * 0.92)) * 1 / 6.25</f>
        <v>1.3916268174785591E-2</v>
      </c>
      <c r="W63">
        <f t="shared" si="16"/>
        <v>2.0297546506173755E-2</v>
      </c>
      <c r="X63">
        <f t="shared" si="17"/>
        <v>3.5075792474200201E-2</v>
      </c>
      <c r="Y63">
        <v>0</v>
      </c>
      <c r="BC63" t="s">
        <v>229</v>
      </c>
      <c r="BD63">
        <v>0.5</v>
      </c>
      <c r="BE63">
        <v>0.5</v>
      </c>
      <c r="BG63">
        <f>($BA$11*BD63)+($BB$11*BE63)</f>
        <v>5.5E-2</v>
      </c>
      <c r="BH63">
        <f>$BY$60</f>
        <v>0</v>
      </c>
      <c r="BI63">
        <f>$BZ$60</f>
        <v>0.2</v>
      </c>
      <c r="BJ63">
        <f>((AA61 * AR61 * 365) + (AB61 * AS61 * 281) + (AC61 *AD61 * 84)) *BG63</f>
        <v>1223.7628192970167</v>
      </c>
      <c r="BK63">
        <f>((Z61 * AT61 * 365) + (AB61 * AU61 * 281)  + (AB61 *AE61 * 84)) *BG63</f>
        <v>6335.1423651124342</v>
      </c>
      <c r="BL63">
        <v>0</v>
      </c>
      <c r="BM63">
        <f>((BJ63 + BK63) * (1 - BH63 -BI63)- BL63) *AG$11</f>
        <v>4837.6993180220488</v>
      </c>
      <c r="BN63">
        <f>((BJ63 + BK63) * (1 - BH63 -BI63)- BL63) *(1 - AG$11)</f>
        <v>1209.424829505512</v>
      </c>
    </row>
    <row r="64" spans="1:78" x14ac:dyDescent="0.2">
      <c r="A64" t="s">
        <v>294</v>
      </c>
      <c r="C64">
        <v>20</v>
      </c>
      <c r="E64">
        <v>600</v>
      </c>
      <c r="F64">
        <v>1</v>
      </c>
      <c r="G64">
        <v>770</v>
      </c>
      <c r="I64">
        <v>0.1</v>
      </c>
      <c r="J64">
        <f t="shared" si="9"/>
        <v>9.0270202499999979</v>
      </c>
      <c r="K64">
        <v>0</v>
      </c>
      <c r="N64">
        <v>0.1</v>
      </c>
      <c r="O64">
        <v>0.1</v>
      </c>
      <c r="P64">
        <f t="shared" si="11"/>
        <v>0.90270202499999985</v>
      </c>
      <c r="R64">
        <f t="shared" si="12"/>
        <v>0.75</v>
      </c>
      <c r="S64">
        <f t="shared" si="13"/>
        <v>1.0213029780639273</v>
      </c>
      <c r="T64">
        <f t="shared" si="14"/>
        <v>0.77922077922077926</v>
      </c>
      <c r="U64">
        <f t="shared" si="15"/>
        <v>10.992999999999999</v>
      </c>
      <c r="V64">
        <f xml:space="preserve"> (0.032 * $Y$14 * 1.03 / 6.38) + ((0.212 - 0.008 * (S64 - 2) - ((0.14 - 0.008 * (S64 - 2)) / (1 + EXP(-6 * (T64 - 0.4))))) * (I64 * 0.92)) * 1 / 6.25</f>
        <v>1.2626203146474681E-3</v>
      </c>
      <c r="W64">
        <f t="shared" si="16"/>
        <v>4.1790221944948788E-2</v>
      </c>
      <c r="X64">
        <f t="shared" si="17"/>
        <v>9.9245817367465211E-2</v>
      </c>
      <c r="Y64">
        <v>0</v>
      </c>
      <c r="BC64" t="s">
        <v>232</v>
      </c>
      <c r="BD64">
        <v>0.2</v>
      </c>
      <c r="BG64">
        <f>($BA$11*BD64)+($BB$11*BE64)</f>
        <v>2.2000000000000002E-2</v>
      </c>
      <c r="BH64">
        <f>$BY$61</f>
        <v>5.0000000000000001E-3</v>
      </c>
      <c r="BI64">
        <f>$BZ$61</f>
        <v>0.3</v>
      </c>
      <c r="BJ64">
        <f>((AA61 * AR61 * 365) + (AB61 * AS61 * 281) + (AC61 *AD61 * 84)) *BG64</f>
        <v>489.50512771880676</v>
      </c>
      <c r="BK64">
        <f>((Z61 * AT61 * 365) + (AB61 * AU61 * 281)  + (AB61 *AE61 * 84)) *BG64</f>
        <v>2534.0569460449738</v>
      </c>
      <c r="BL64">
        <f>(BK64+ BJ64) *AP61 *AQ61</f>
        <v>60.471241475275612</v>
      </c>
      <c r="BM64">
        <f>((BJ64 + BK64) * (1 - BH64 -BI64)- BL64) *AG$11</f>
        <v>1632.7235198324418</v>
      </c>
      <c r="BN64">
        <f>((BJ64 + BK64) * (1 - BH64 -BI64)- BL64) *(1 - AG$11)</f>
        <v>408.18087995811032</v>
      </c>
      <c r="BW64">
        <v>952</v>
      </c>
      <c r="BX64" t="s">
        <v>67</v>
      </c>
      <c r="BY64">
        <v>0.02</v>
      </c>
    </row>
    <row r="65" spans="1:77" x14ac:dyDescent="0.2">
      <c r="A65" t="s">
        <v>295</v>
      </c>
      <c r="C65">
        <v>10</v>
      </c>
      <c r="E65">
        <v>225</v>
      </c>
      <c r="F65">
        <v>1</v>
      </c>
      <c r="G65">
        <v>770</v>
      </c>
      <c r="I65">
        <v>0.8</v>
      </c>
      <c r="J65">
        <f t="shared" si="9"/>
        <v>5.4143472656250013</v>
      </c>
      <c r="K65">
        <v>0</v>
      </c>
      <c r="L65">
        <v>4.1999999999999997E-3</v>
      </c>
      <c r="M65">
        <v>5.0000000000000001E-3</v>
      </c>
      <c r="N65">
        <v>0.2</v>
      </c>
      <c r="O65">
        <v>0.2</v>
      </c>
      <c r="P65">
        <f t="shared" si="11"/>
        <v>1.0828694531250003</v>
      </c>
      <c r="R65">
        <f t="shared" si="12"/>
        <v>0.75</v>
      </c>
      <c r="S65">
        <f t="shared" si="13"/>
        <v>1.2576570545672616</v>
      </c>
      <c r="T65">
        <f t="shared" si="14"/>
        <v>0.29220779220779219</v>
      </c>
      <c r="U65">
        <f t="shared" si="15"/>
        <v>10.992999999999999</v>
      </c>
      <c r="V65">
        <f xml:space="preserve"> (0.032 * $Y$15 * 1.03 / 6.38) + ((0.212 - 0.008 * (S65 - 2) - ((0.14 - 0.008 * (S65 - 2)) / (1 + EXP(-6 * (T65 - 0.4))))) * (I65 * 0.92)) * 1 / 6.25</f>
        <v>1.9757354894894087E-2</v>
      </c>
      <c r="W65">
        <f t="shared" si="16"/>
        <v>2.8963829792092506E-2</v>
      </c>
      <c r="X65">
        <f t="shared" si="17"/>
        <v>0.12351546020961469</v>
      </c>
      <c r="Y65">
        <v>0</v>
      </c>
      <c r="BC65" t="s">
        <v>296</v>
      </c>
      <c r="BF65" t="s">
        <v>297</v>
      </c>
      <c r="BG65">
        <f>SUM(BG61:BG64)</f>
        <v>0.11</v>
      </c>
      <c r="BH65">
        <f>$BY$62</f>
        <v>0</v>
      </c>
      <c r="BI65">
        <f>$BZ$62</f>
        <v>0</v>
      </c>
      <c r="BJ65">
        <f>((AA61 * AR61 * 365) + (AB61 * AS61 * 281) + (AC61 *AD61 * 84)) *BG65</f>
        <v>2447.5256385940334</v>
      </c>
      <c r="BK65">
        <f>((Z61 * AT61 * 365) + (AB61 * AU61 * 281)  + (AB61 *AE61 * 84)) *BG65</f>
        <v>12670.284730224868</v>
      </c>
      <c r="BL65">
        <v>0</v>
      </c>
    </row>
    <row r="66" spans="1:77" x14ac:dyDescent="0.2">
      <c r="A66" t="s">
        <v>290</v>
      </c>
      <c r="B66" t="s">
        <v>320</v>
      </c>
      <c r="C66">
        <v>50</v>
      </c>
      <c r="E66">
        <v>550</v>
      </c>
      <c r="F66">
        <v>1.1000000000000001</v>
      </c>
      <c r="G66">
        <v>590</v>
      </c>
      <c r="I66">
        <v>1.6E-2</v>
      </c>
      <c r="J66">
        <f t="shared" si="9"/>
        <v>91.322186291203394</v>
      </c>
      <c r="K66">
        <f>(Y66 * 1.03 * AL66) / (AM66 * AN66 * AO66)</f>
        <v>82.067740770443393</v>
      </c>
      <c r="O66">
        <v>0.2</v>
      </c>
      <c r="P66">
        <f t="shared" si="11"/>
        <v>18.26443725824068</v>
      </c>
      <c r="Q66">
        <v>0.6</v>
      </c>
      <c r="R66">
        <f>0.6</f>
        <v>0.6</v>
      </c>
      <c r="S66">
        <f t="shared" si="13"/>
        <v>1.0003519906571201</v>
      </c>
      <c r="T66">
        <f t="shared" si="14"/>
        <v>0.93220338983050843</v>
      </c>
      <c r="U66">
        <f t="shared" si="15"/>
        <v>8.5869999999999997</v>
      </c>
      <c r="V66">
        <f xml:space="preserve"> (0.032 * $Y$11 * 1.03 / 6.38) + ((0.212 - 0.008 * (S66 - 2) - ((0.14 - 0.008 * (S66 - 2)) / (1 + EXP(-6 * (T66 - 0.4))))) * (I66 * 0.92)) * 1 / 6.25</f>
        <v>0.7078743017152952</v>
      </c>
      <c r="W66">
        <f t="shared" si="16"/>
        <v>0.59049773125780902</v>
      </c>
      <c r="X66">
        <f t="shared" si="17"/>
        <v>1.6219390577240664</v>
      </c>
      <c r="Y66">
        <f>AF66 / (0.01 * (AJ66 + AK66))</f>
        <v>136.98630136986301</v>
      </c>
      <c r="Z66">
        <f>C66+C67+C69</f>
        <v>110</v>
      </c>
      <c r="AA66">
        <f>C66+C67+C69</f>
        <v>110</v>
      </c>
      <c r="AB66">
        <f>C68+C70</f>
        <v>40</v>
      </c>
      <c r="AC66">
        <v>0</v>
      </c>
      <c r="AD66">
        <f>M68+M70</f>
        <v>1.0499999999999999E-2</v>
      </c>
      <c r="AE66">
        <f>L68+L70</f>
        <v>1.2400000000000001E-2</v>
      </c>
      <c r="AF66">
        <v>10</v>
      </c>
      <c r="AG66">
        <v>0.8</v>
      </c>
      <c r="AH66" t="s">
        <v>77</v>
      </c>
      <c r="AI66" t="s">
        <v>16</v>
      </c>
      <c r="AJ66">
        <f>$BY$12</f>
        <v>4</v>
      </c>
      <c r="AK66">
        <f>$BY$13</f>
        <v>3.3</v>
      </c>
      <c r="AL66">
        <f>$BY$14</f>
        <v>3.0539999999999998</v>
      </c>
      <c r="AM66">
        <f>$BY$15</f>
        <v>18.399999999999999</v>
      </c>
      <c r="AN66">
        <f>$BY$16</f>
        <v>0.6</v>
      </c>
      <c r="AO66">
        <f>0.795 * R66- 0.0014</f>
        <v>0.47559999999999997</v>
      </c>
      <c r="AP66">
        <f>IF(AH66="yes",1,0)</f>
        <v>1</v>
      </c>
      <c r="AQ66">
        <f>$BY$64</f>
        <v>0.02</v>
      </c>
      <c r="AR66">
        <f>W66+W67+W69</f>
        <v>0.70265032193686361</v>
      </c>
      <c r="AS66">
        <f>W68+W70</f>
        <v>7.065424285986234E-2</v>
      </c>
      <c r="AT66">
        <f>X66+X67+X69</f>
        <v>2.0176799292523939</v>
      </c>
      <c r="AU66">
        <f>X68+X70</f>
        <v>0.20734928929872376</v>
      </c>
      <c r="AV66" t="s">
        <v>228</v>
      </c>
      <c r="AZ66">
        <f>VLOOKUP(AV66, $BX$7:$CA$10, 2, FALSE)</f>
        <v>0.89</v>
      </c>
      <c r="BA66">
        <f>VLOOKUP(AV66, $BX$7:$CA$10, 3, FALSE)</f>
        <v>0.11</v>
      </c>
      <c r="BB66">
        <f>VLOOKUP(AV66, $BX$7:$CA$10, 4, FALSE)</f>
        <v>0</v>
      </c>
      <c r="BC66" t="s">
        <v>185</v>
      </c>
      <c r="BG66">
        <f>($BA66*BD$66)+($BB$66*BE66)</f>
        <v>0</v>
      </c>
      <c r="BH66">
        <f>$BY$58</f>
        <v>0</v>
      </c>
      <c r="BI66">
        <f>$BZ$58</f>
        <v>0.35</v>
      </c>
      <c r="BJ66">
        <f>((AA66 * AR66 * 365) + (AB66 * AS66 * 281) + (AC66 *AD66 * 84)) *BG66</f>
        <v>0</v>
      </c>
      <c r="BK66">
        <f>((Z66 * AT66 * 365) + (AB66 * AU66 * 281)  + (AB66 *AE66 * 84)) *BG66</f>
        <v>0</v>
      </c>
      <c r="BL66">
        <v>0</v>
      </c>
      <c r="BM66">
        <f>((BJ66 + BK66) * (1 - BH66 -BI66)- BL66) *AG$11</f>
        <v>0</v>
      </c>
      <c r="BN66">
        <f>((BJ66 + BK66) * (1 - BH66 -BI66)- BL66) *(1 - AG$11)</f>
        <v>0</v>
      </c>
      <c r="BP66">
        <f>SUM(BM66:BM69)</f>
        <v>8050.5545291936987</v>
      </c>
      <c r="BQ66">
        <f>SUM(BN66:BN69)</f>
        <v>2012.638632298424</v>
      </c>
      <c r="BR66">
        <f>IF(ISBLANK(AI66), "", IF(AI66="wet", $BY$67, $BY$68))</f>
        <v>6.0000000000000001E-3</v>
      </c>
      <c r="BS66">
        <f>IF(ISBLANK(AI66), "", $BY$70)</f>
        <v>1.5714285714285714</v>
      </c>
      <c r="BT66">
        <f>IF(ISBLANK(A66), "", BP66*BR66*BS66/1000)</f>
        <v>7.5905228418112022E-2</v>
      </c>
      <c r="BU66">
        <f>IF(ISBLANK(AS66), "", BQ66*BR66*BS66/1000)</f>
        <v>1.8976307104527999E-2</v>
      </c>
      <c r="BX66" t="s">
        <v>0</v>
      </c>
    </row>
    <row r="67" spans="1:77" x14ac:dyDescent="0.2">
      <c r="A67" t="s">
        <v>292</v>
      </c>
      <c r="C67">
        <v>40</v>
      </c>
      <c r="E67">
        <v>370</v>
      </c>
      <c r="F67">
        <v>1</v>
      </c>
      <c r="G67">
        <v>590</v>
      </c>
      <c r="I67">
        <v>0.6</v>
      </c>
      <c r="J67">
        <f t="shared" si="9"/>
        <v>7.2784485796</v>
      </c>
      <c r="K67">
        <v>0</v>
      </c>
      <c r="O67">
        <v>0.2</v>
      </c>
      <c r="P67">
        <f t="shared" si="11"/>
        <v>1.4556897159200002</v>
      </c>
      <c r="Q67">
        <v>0.6</v>
      </c>
      <c r="R67">
        <v>0.6</v>
      </c>
      <c r="S67">
        <f t="shared" si="13"/>
        <v>1.1563411034246729</v>
      </c>
      <c r="T67">
        <f t="shared" si="14"/>
        <v>0.6271186440677966</v>
      </c>
      <c r="U67">
        <f t="shared" si="15"/>
        <v>8.5869999999999997</v>
      </c>
      <c r="V67">
        <f xml:space="preserve"> (0.032 * $Y$12 * 1.03 / 6.38) + ((0.212 - 0.008 * (S67 - 2) - ((0.14 - 0.008 * (S67 - 2)) / (1 + EXP(-6 * (T67 - 0.4))))) * (I67 * 0.92)) * 1 / 6.25</f>
        <v>9.0004693208802639E-3</v>
      </c>
      <c r="W67">
        <f t="shared" si="16"/>
        <v>4.7063123955721792E-2</v>
      </c>
      <c r="X67">
        <f t="shared" si="17"/>
        <v>0.17536197493924621</v>
      </c>
      <c r="Y67">
        <v>0</v>
      </c>
      <c r="BC67" t="s">
        <v>224</v>
      </c>
      <c r="BD67">
        <v>0.3</v>
      </c>
      <c r="BE67">
        <v>0.5</v>
      </c>
      <c r="BG67">
        <f>($BA$66*BD67)+($BB$66*BE67)</f>
        <v>3.3000000000000002E-2</v>
      </c>
      <c r="BH67">
        <f>$BY$59</f>
        <v>0</v>
      </c>
      <c r="BI67">
        <f>$BZ$59</f>
        <v>7.0000000000000007E-2</v>
      </c>
      <c r="BJ67">
        <f>((AA66 * AR66 * 365) + (AB66 * AS66 * 281) + (AC66 *AD66 * 84)) *BG67</f>
        <v>957.18361581182774</v>
      </c>
      <c r="BK67">
        <f>((Z66 * AT66 * 365) + (AB66 * AU66 * 281)  + (AB66 *AE66 * 84)) *BG67</f>
        <v>2751.6099326496424</v>
      </c>
      <c r="BL67">
        <v>0</v>
      </c>
      <c r="BM67">
        <f>((BJ67 + BK67) * (1 - BH67 -BI67)- BL67) *AG$11</f>
        <v>2759.3424000553337</v>
      </c>
      <c r="BN67">
        <f>((BJ67 + BK67) * (1 - BH67 -BI67)- BL67) *(1 - AG$11)</f>
        <v>689.83560001383319</v>
      </c>
      <c r="BU67">
        <v>1.5407260000000001E-2</v>
      </c>
      <c r="BX67" t="s">
        <v>1</v>
      </c>
      <c r="BY67">
        <v>6.0000000000000001E-3</v>
      </c>
    </row>
    <row r="68" spans="1:77" x14ac:dyDescent="0.2">
      <c r="A68" t="s">
        <v>293</v>
      </c>
      <c r="C68">
        <v>30</v>
      </c>
      <c r="E68">
        <v>179</v>
      </c>
      <c r="F68">
        <v>1</v>
      </c>
      <c r="G68">
        <v>590</v>
      </c>
      <c r="I68">
        <v>0.56999999999999995</v>
      </c>
      <c r="J68">
        <f t="shared" si="9"/>
        <v>4.3844314485315596</v>
      </c>
      <c r="K68">
        <v>0</v>
      </c>
      <c r="L68">
        <v>8.2000000000000007E-3</v>
      </c>
      <c r="M68">
        <v>5.4999999999999997E-3</v>
      </c>
      <c r="O68">
        <v>0.2</v>
      </c>
      <c r="P68">
        <f t="shared" si="11"/>
        <v>0.87688628970631199</v>
      </c>
      <c r="Q68">
        <v>0.5</v>
      </c>
      <c r="R68">
        <v>0.5</v>
      </c>
      <c r="S68">
        <f t="shared" si="13"/>
        <v>1.1963797575781601</v>
      </c>
      <c r="T68">
        <f t="shared" si="14"/>
        <v>0.30338983050847457</v>
      </c>
      <c r="U68">
        <f t="shared" si="15"/>
        <v>6.9829999999999997</v>
      </c>
      <c r="V68">
        <f xml:space="preserve"> (0.032 * $Y$13 * 1.03 / 6.38) + ((0.212 - 0.008 * (S68 - 2) - ((0.14 - 0.008 * (S68 - 2)) / (1 + EXP(-6 * (T68 - 0.4))))) * (I68 * 0.92)) * 1 / 6.25</f>
        <v>1.3916268174785591E-2</v>
      </c>
      <c r="W68">
        <f t="shared" si="16"/>
        <v>3.1614009602994833E-2</v>
      </c>
      <c r="X68">
        <f t="shared" si="17"/>
        <v>9.3910232553884088E-2</v>
      </c>
      <c r="Y68">
        <v>0</v>
      </c>
      <c r="BC68" t="s">
        <v>229</v>
      </c>
      <c r="BD68">
        <v>0.5</v>
      </c>
      <c r="BE68">
        <v>0.5</v>
      </c>
      <c r="BG68">
        <f>($BA$66*BD68)+($BB$66*BE68)</f>
        <v>5.5E-2</v>
      </c>
      <c r="BH68">
        <f>$BY$60</f>
        <v>0</v>
      </c>
      <c r="BI68">
        <f>$BZ$60</f>
        <v>0.2</v>
      </c>
      <c r="BJ68">
        <f>((AA66 * AR66 * 365) + (AB66 * AS66 * 281) + (AC66 *AD66 * 84)) *BG68</f>
        <v>1595.306026353046</v>
      </c>
      <c r="BK68">
        <f>((Z66 * AT66 * 365) + (AB66 * AU66 * 281)  + (AB66 *AE66 * 84)) *BG68</f>
        <v>4586.0165544160709</v>
      </c>
      <c r="BL68">
        <v>0</v>
      </c>
      <c r="BM68">
        <f>((BJ68 + BK68) * (1 - BH68 -BI68)- BL68) *AG$11</f>
        <v>3956.0464516922352</v>
      </c>
      <c r="BN68">
        <f>((BJ68 + BK68) * (1 - BH68 -BI68)- BL68) *(1 - AG$11)</f>
        <v>989.01161292305858</v>
      </c>
      <c r="BX68" t="s">
        <v>2</v>
      </c>
      <c r="BY68">
        <v>5.0000000000000001E-3</v>
      </c>
    </row>
    <row r="69" spans="1:77" x14ac:dyDescent="0.2">
      <c r="A69" t="s">
        <v>294</v>
      </c>
      <c r="C69">
        <v>20</v>
      </c>
      <c r="E69">
        <v>600</v>
      </c>
      <c r="F69">
        <v>1</v>
      </c>
      <c r="G69">
        <v>770</v>
      </c>
      <c r="I69">
        <v>0.1</v>
      </c>
      <c r="J69">
        <f t="shared" si="9"/>
        <v>9.0270202499999979</v>
      </c>
      <c r="K69">
        <v>0</v>
      </c>
      <c r="O69">
        <v>0.2</v>
      </c>
      <c r="P69">
        <f t="shared" si="11"/>
        <v>1.8054040499999997</v>
      </c>
      <c r="Q69">
        <v>0.5</v>
      </c>
      <c r="R69">
        <v>0.5</v>
      </c>
      <c r="S69">
        <f t="shared" si="13"/>
        <v>1.0213029780639273</v>
      </c>
      <c r="T69">
        <f t="shared" si="14"/>
        <v>0.77922077922077926</v>
      </c>
      <c r="U69">
        <f t="shared" si="15"/>
        <v>6.9829999999999997</v>
      </c>
      <c r="V69">
        <f xml:space="preserve"> (0.032 * $Y$14 * 1.03 / 6.38) + ((0.212 - 0.008 * (S69 - 2) - ((0.14 - 0.008 * (S69 - 2)) / (1 + EXP(-6 * (T69 - 0.4))))) * (I69 * 0.92)) * 1 / 6.25</f>
        <v>1.2626203146474681E-3</v>
      </c>
      <c r="W69">
        <f t="shared" si="16"/>
        <v>6.5089466723332781E-2</v>
      </c>
      <c r="X69">
        <f t="shared" si="17"/>
        <v>0.22037889658908119</v>
      </c>
      <c r="Y69">
        <v>0</v>
      </c>
      <c r="BC69" t="s">
        <v>232</v>
      </c>
      <c r="BD69">
        <v>0.2</v>
      </c>
      <c r="BG69">
        <f>($BA$66*BD69)+($BB$66*BE69)</f>
        <v>2.2000000000000002E-2</v>
      </c>
      <c r="BH69">
        <f>$BY$61</f>
        <v>5.0000000000000001E-3</v>
      </c>
      <c r="BI69">
        <f>$BZ$61</f>
        <v>0.3</v>
      </c>
      <c r="BJ69">
        <f>((AA66 * AR66 * 365) + (AB66 * AS66 * 281) + (AC66 *AD66 * 84)) *BG69</f>
        <v>638.12241054121853</v>
      </c>
      <c r="BK69">
        <f>((Z66 * AT66 * 365) + (AB66 * AU66 * 281)  + (AB66 *AE66 * 84)) *BG69</f>
        <v>1834.4066217664283</v>
      </c>
      <c r="BL69">
        <f>(BK69+ BJ69) *AP66 *AQ66</f>
        <v>49.450580646152943</v>
      </c>
      <c r="BM69">
        <f>((BJ69 + BK69) * (1 - BH69 -BI69)- BL69) *AG$11</f>
        <v>1335.1656774461296</v>
      </c>
      <c r="BN69">
        <f>((BJ69 + BK69) * (1 - BH69 -BI69)- BL69) *(1 - AG$11)</f>
        <v>333.79141936153229</v>
      </c>
    </row>
    <row r="70" spans="1:77" x14ac:dyDescent="0.2">
      <c r="A70" t="s">
        <v>295</v>
      </c>
      <c r="C70">
        <v>10</v>
      </c>
      <c r="E70">
        <v>225</v>
      </c>
      <c r="F70">
        <v>1</v>
      </c>
      <c r="G70">
        <v>770</v>
      </c>
      <c r="I70">
        <v>0.8</v>
      </c>
      <c r="J70">
        <f t="shared" si="9"/>
        <v>5.4143472656250013</v>
      </c>
      <c r="K70">
        <v>0</v>
      </c>
      <c r="L70">
        <v>4.1999999999999997E-3</v>
      </c>
      <c r="M70">
        <v>5.0000000000000001E-3</v>
      </c>
      <c r="O70">
        <v>0.2</v>
      </c>
      <c r="P70">
        <f t="shared" si="11"/>
        <v>1.0828694531250003</v>
      </c>
      <c r="Q70">
        <v>0.5</v>
      </c>
      <c r="R70">
        <v>0.5</v>
      </c>
      <c r="S70">
        <f t="shared" si="13"/>
        <v>1.2576570545672616</v>
      </c>
      <c r="T70">
        <f t="shared" si="14"/>
        <v>0.29220779220779219</v>
      </c>
      <c r="U70">
        <f t="shared" si="15"/>
        <v>6.9829999999999997</v>
      </c>
      <c r="V70">
        <f xml:space="preserve"> (0.032 * $Y$15 * 1.03 / 6.38) + ((0.212 - 0.008 * (S70 - 2) - ((0.14 - 0.008 * (S70 - 2)) / (1 + EXP(-6 * (T70 - 0.4))))) * (I70 * 0.92)) * 1 / 6.25</f>
        <v>1.9757354894894087E-2</v>
      </c>
      <c r="W70">
        <f t="shared" si="16"/>
        <v>3.9040233256867507E-2</v>
      </c>
      <c r="X70">
        <f t="shared" si="17"/>
        <v>0.11343905674483969</v>
      </c>
      <c r="Y70">
        <v>0</v>
      </c>
      <c r="BC70" t="s">
        <v>296</v>
      </c>
      <c r="BF70" t="s">
        <v>297</v>
      </c>
      <c r="BG70">
        <f>SUM(BG66:BG69)</f>
        <v>0.11</v>
      </c>
      <c r="BH70">
        <f>$BY$62</f>
        <v>0</v>
      </c>
      <c r="BI70">
        <f>$BZ$62</f>
        <v>0</v>
      </c>
      <c r="BJ70">
        <f>((AA66 * AR66 * 365) + (AB66 * AS66 * 281) + (AC66 *AD66 * 84)) *BG70</f>
        <v>3190.6120527060921</v>
      </c>
      <c r="BK70">
        <f>((Z66 * AT66 * 365) + (AB66 * AU66 * 281)  + (AB66 *AE66 * 84)) *BG70</f>
        <v>9172.0331088321418</v>
      </c>
      <c r="BL70">
        <v>0</v>
      </c>
      <c r="BX70" t="s">
        <v>3</v>
      </c>
      <c r="BY70">
        <f>44/28</f>
        <v>1.5714285714285714</v>
      </c>
    </row>
    <row r="71" spans="1:77" x14ac:dyDescent="0.2">
      <c r="A71" t="s">
        <v>290</v>
      </c>
      <c r="B71" t="s">
        <v>321</v>
      </c>
      <c r="C71">
        <v>50</v>
      </c>
      <c r="E71">
        <v>550</v>
      </c>
      <c r="F71">
        <v>1.1000000000000001</v>
      </c>
      <c r="G71">
        <v>590</v>
      </c>
      <c r="I71">
        <v>1.6E-2</v>
      </c>
      <c r="J71">
        <f t="shared" si="9"/>
        <v>74.870008108030817</v>
      </c>
      <c r="K71">
        <f>(Y71 * 1.03 * AL71) / (AM71 * AN71 * AO71)</f>
        <v>65.615562587270816</v>
      </c>
      <c r="O71">
        <v>0.2</v>
      </c>
      <c r="P71">
        <v>14.974001700000001</v>
      </c>
      <c r="R71">
        <v>0.75</v>
      </c>
      <c r="S71">
        <v>1.00042937</v>
      </c>
      <c r="T71">
        <v>0.93220338999999997</v>
      </c>
      <c r="U71">
        <v>10.993</v>
      </c>
      <c r="V71">
        <v>0.70787429999999996</v>
      </c>
      <c r="W71">
        <v>0.40051405000000001</v>
      </c>
      <c r="X71">
        <v>1.2854530399999999</v>
      </c>
      <c r="Y71">
        <v>136.986301</v>
      </c>
      <c r="Z71">
        <v>110</v>
      </c>
      <c r="AA71">
        <v>110</v>
      </c>
      <c r="AB71">
        <v>40</v>
      </c>
      <c r="AC71">
        <v>0</v>
      </c>
      <c r="AD71">
        <v>1.0500000000000001E-2</v>
      </c>
      <c r="AE71">
        <v>1.24E-2</v>
      </c>
      <c r="AF71">
        <v>10</v>
      </c>
      <c r="AG71">
        <v>0.8</v>
      </c>
      <c r="AH71" t="s">
        <v>77</v>
      </c>
      <c r="AI71" t="s">
        <v>16</v>
      </c>
      <c r="AJ71">
        <v>4</v>
      </c>
      <c r="AK71">
        <v>3.3</v>
      </c>
      <c r="AL71">
        <v>3.0539999999999998</v>
      </c>
      <c r="AM71">
        <v>18.399999999999999</v>
      </c>
      <c r="AN71">
        <v>0.6</v>
      </c>
      <c r="AO71">
        <v>0.59484999999999999</v>
      </c>
      <c r="AP71">
        <v>1</v>
      </c>
      <c r="AQ71">
        <v>0.02</v>
      </c>
      <c r="AR71">
        <v>0.48773949</v>
      </c>
      <c r="AS71">
        <v>5.241817E-2</v>
      </c>
      <c r="AT71">
        <v>1.7061210600000001</v>
      </c>
      <c r="AU71">
        <v>0.22558537000000001</v>
      </c>
      <c r="AV71" t="s">
        <v>228</v>
      </c>
      <c r="AW71">
        <v>0.6</v>
      </c>
      <c r="AX71">
        <v>0.3</v>
      </c>
      <c r="AY71">
        <v>0.1</v>
      </c>
      <c r="AZ71">
        <v>0.6</v>
      </c>
      <c r="BA71">
        <v>0.3</v>
      </c>
      <c r="BB71">
        <v>0.1</v>
      </c>
      <c r="BC71" t="s">
        <v>185</v>
      </c>
      <c r="BG71">
        <f>($BA71*BD$11)+($BB$11*BE71)</f>
        <v>0</v>
      </c>
      <c r="BH71">
        <f>$BY$58</f>
        <v>0</v>
      </c>
      <c r="BI71">
        <f>$BZ$58</f>
        <v>0.35</v>
      </c>
      <c r="BJ71">
        <f>((AA71 * AR71 * 365) + (AB71 * AS71 * 281) + (AC71 *AD71 * 84)) *BG71</f>
        <v>0</v>
      </c>
      <c r="BK71">
        <f>((Z71 * AT71 * 365) + (AB71 * AU71 * 281)  + (AB71 *AE71 * 84)) *BG71</f>
        <v>0</v>
      </c>
      <c r="BL71">
        <v>0</v>
      </c>
      <c r="BM71">
        <f>((BJ71 + BK71) * (1 - BH71 -BI71)- BL71) *AG$11</f>
        <v>0</v>
      </c>
      <c r="BN71">
        <f>((BJ71 + BK71) * (1 - BH71 -BI71)- BL71) *(1 - AG$11)</f>
        <v>0</v>
      </c>
      <c r="BP71">
        <f>SUM(BM71:BM74)</f>
        <v>24141.080124162781</v>
      </c>
      <c r="BQ71">
        <f>SUM(BN71:BN74)</f>
        <v>6035.2700310406935</v>
      </c>
      <c r="BR71">
        <f>IF(ISBLANK(AI71), "", IF(AI71="wet", $BY$67, $BY$68))</f>
        <v>6.0000000000000001E-3</v>
      </c>
      <c r="BS71">
        <f>IF(ISBLANK(AI71), "", $BY$70)</f>
        <v>1.5714285714285714</v>
      </c>
      <c r="BT71">
        <f>IF(ISBLANK(A71), "", BP71*BR71*BS71/1000)</f>
        <v>0.22761589831353482</v>
      </c>
      <c r="BU71">
        <f>IF(ISBLANK(AS71), "", BQ71*BR71*BS71/1000)</f>
        <v>5.6903974578383684E-2</v>
      </c>
    </row>
    <row r="72" spans="1:77" x14ac:dyDescent="0.2">
      <c r="A72" t="s">
        <v>292</v>
      </c>
      <c r="C72">
        <v>40</v>
      </c>
      <c r="E72">
        <v>370</v>
      </c>
      <c r="F72">
        <v>1</v>
      </c>
      <c r="G72">
        <v>590</v>
      </c>
      <c r="I72">
        <v>0.6</v>
      </c>
      <c r="J72">
        <f t="shared" si="9"/>
        <v>7.2784485796</v>
      </c>
      <c r="K72">
        <v>0</v>
      </c>
      <c r="O72">
        <v>0.2</v>
      </c>
      <c r="P72">
        <v>1.4556897200000001</v>
      </c>
      <c r="R72">
        <v>0.75</v>
      </c>
      <c r="S72">
        <v>1.1563410999999999</v>
      </c>
      <c r="T72">
        <v>0.62711863999999995</v>
      </c>
      <c r="U72">
        <v>10.993</v>
      </c>
      <c r="V72">
        <v>9.00047E-3</v>
      </c>
      <c r="W72">
        <v>3.893576E-2</v>
      </c>
      <c r="X72">
        <v>0.18348934</v>
      </c>
      <c r="Y72">
        <v>0</v>
      </c>
      <c r="BC72" t="s">
        <v>224</v>
      </c>
      <c r="BD72">
        <v>0.3</v>
      </c>
      <c r="BE72">
        <v>0.5</v>
      </c>
      <c r="BG72">
        <f>($BA$71*BD72)+($BB$71*BE72)</f>
        <v>0.14000000000000001</v>
      </c>
      <c r="BH72">
        <f>$BY$59</f>
        <v>0</v>
      </c>
      <c r="BI72">
        <f>$BZ$59</f>
        <v>7.0000000000000007E-2</v>
      </c>
      <c r="BJ72">
        <f>((AA71 * AR71 * 365) + (AB71 * AS71 * 281) + (AC71 *AD71 * 84)) *BG72</f>
        <v>2824.0689056020005</v>
      </c>
      <c r="BK72">
        <f>((Z71 * AT71 * 365) + (AB71 * AU71 * 281)  + (AB71 *AE71 * 84)) *BG72</f>
        <v>9950.9205764920025</v>
      </c>
      <c r="BL72">
        <v>0</v>
      </c>
      <c r="BM72">
        <f>((BJ72 + BK72) * (1 - BH72 -BI72)- BL72) *AG$11</f>
        <v>9504.5921746779386</v>
      </c>
      <c r="BN72">
        <f>((BJ72 + BK72) * (1 - BH72 -BI72)- BL72) *(1 - AG$11)</f>
        <v>2376.1480436694837</v>
      </c>
    </row>
    <row r="73" spans="1:77" x14ac:dyDescent="0.2">
      <c r="A73" t="s">
        <v>293</v>
      </c>
      <c r="C73">
        <v>30</v>
      </c>
      <c r="E73">
        <v>179</v>
      </c>
      <c r="F73">
        <v>1</v>
      </c>
      <c r="G73">
        <v>590</v>
      </c>
      <c r="I73">
        <v>0.56999999999999995</v>
      </c>
      <c r="J73">
        <f t="shared" si="9"/>
        <v>4.3844314485315596</v>
      </c>
      <c r="K73">
        <v>0</v>
      </c>
      <c r="L73">
        <v>8.2000000000000007E-3</v>
      </c>
      <c r="M73">
        <v>5.4999999999999997E-3</v>
      </c>
      <c r="O73">
        <v>0.2</v>
      </c>
      <c r="P73">
        <v>0.87688628999999996</v>
      </c>
      <c r="R73">
        <v>0.75</v>
      </c>
      <c r="S73">
        <v>1.1963797599999999</v>
      </c>
      <c r="T73">
        <v>0.30338983000000003</v>
      </c>
      <c r="U73">
        <v>10.993</v>
      </c>
      <c r="V73">
        <v>1.391627E-2</v>
      </c>
      <c r="W73">
        <v>2.3454340000000001E-2</v>
      </c>
      <c r="X73">
        <v>0.10206991</v>
      </c>
      <c r="Y73">
        <v>0</v>
      </c>
      <c r="BC73" t="s">
        <v>229</v>
      </c>
      <c r="BD73">
        <v>0.5</v>
      </c>
      <c r="BE73">
        <v>0.5</v>
      </c>
      <c r="BG73">
        <f>($BA$71*BD73)+($BB$71*BE73)</f>
        <v>0.2</v>
      </c>
      <c r="BH73">
        <f>$BY$60</f>
        <v>0</v>
      </c>
      <c r="BI73">
        <f>$BZ$60</f>
        <v>0.2</v>
      </c>
      <c r="BJ73">
        <f>((AA71 * AR71 * 365) + (AB71 * AS71 * 281) + (AC71 *AD71 * 84)) *BG73</f>
        <v>4034.3841508600003</v>
      </c>
      <c r="BK73">
        <f>((Z71 * AT71 * 365) + (AB71 * AU71 * 281)  + (AB71 *AE71 * 84)) *BG73</f>
        <v>14215.600823560002</v>
      </c>
      <c r="BL73">
        <v>0</v>
      </c>
      <c r="BM73">
        <f>((BJ73 + BK73) * (1 - BH73 -BI73)- BL73) *AG$11</f>
        <v>11679.990383628803</v>
      </c>
      <c r="BN73">
        <f>((BJ73 + BK73) * (1 - BH73 -BI73)- BL73) *(1 - AG$11)</f>
        <v>2919.9975959071999</v>
      </c>
    </row>
    <row r="74" spans="1:77" x14ac:dyDescent="0.2">
      <c r="A74" t="s">
        <v>294</v>
      </c>
      <c r="C74">
        <v>20</v>
      </c>
      <c r="E74">
        <v>600</v>
      </c>
      <c r="F74">
        <v>1</v>
      </c>
      <c r="G74">
        <v>770</v>
      </c>
      <c r="I74">
        <v>0.1</v>
      </c>
      <c r="J74">
        <f t="shared" si="9"/>
        <v>9.0270202499999979</v>
      </c>
      <c r="K74">
        <v>0</v>
      </c>
      <c r="O74">
        <v>0.2</v>
      </c>
      <c r="P74">
        <v>1.8054040499999999</v>
      </c>
      <c r="R74">
        <v>0.75</v>
      </c>
      <c r="S74">
        <v>1.02130298</v>
      </c>
      <c r="T74">
        <v>0.77922077999999995</v>
      </c>
      <c r="U74">
        <v>10.993</v>
      </c>
      <c r="V74">
        <v>1.2626200000000001E-3</v>
      </c>
      <c r="W74">
        <v>4.8289680000000001E-2</v>
      </c>
      <c r="X74">
        <v>0.23717869</v>
      </c>
      <c r="Y74">
        <v>0</v>
      </c>
      <c r="BC74" t="s">
        <v>232</v>
      </c>
      <c r="BD74">
        <v>0.2</v>
      </c>
      <c r="BG74">
        <f>($BA$71*BD74)+($BB$71*BE74)</f>
        <v>0.06</v>
      </c>
      <c r="BH74">
        <f>$BY$61</f>
        <v>5.0000000000000001E-3</v>
      </c>
      <c r="BI74">
        <f>$BZ$61</f>
        <v>0.3</v>
      </c>
      <c r="BJ74">
        <f>((AA71 * AR71 * 365) + (AB71 * AS71 * 281) + (AC71 *AD71 * 84)) *BG74</f>
        <v>1210.315245258</v>
      </c>
      <c r="BK74">
        <f>((Z71 * AT71 * 365) + (AB71 * AU71 * 281)  + (AB71 *AE71 * 84)) *BG74</f>
        <v>4264.6802470680004</v>
      </c>
      <c r="BL74">
        <f>(BK74+ BJ74) *AP71 *AQ71</f>
        <v>109.49990984652001</v>
      </c>
      <c r="BM74">
        <f>((BJ74 + BK74) * (1 - BH74 -BI74)- BL74) *AG$11</f>
        <v>2956.4975658560406</v>
      </c>
      <c r="BN74">
        <f>((BJ74 + BK74) * (1 - BH74 -BI74)- BL74) *(1 - AG$11)</f>
        <v>739.12439146400993</v>
      </c>
    </row>
    <row r="75" spans="1:77" x14ac:dyDescent="0.2">
      <c r="A75" t="s">
        <v>295</v>
      </c>
      <c r="C75">
        <v>10</v>
      </c>
      <c r="E75">
        <v>225</v>
      </c>
      <c r="F75">
        <v>1</v>
      </c>
      <c r="G75">
        <v>770</v>
      </c>
      <c r="I75">
        <v>0.8</v>
      </c>
      <c r="J75">
        <f t="shared" ref="J75" si="18">(1.185 + 0.00454 * E75- 0.0000026 * E75^2 + 0.315 * I75)^2 * F75 + K75</f>
        <v>5.4143472656250013</v>
      </c>
      <c r="K75">
        <v>0</v>
      </c>
      <c r="L75">
        <v>4.1999999999999997E-3</v>
      </c>
      <c r="M75">
        <v>5.0000000000000001E-3</v>
      </c>
      <c r="O75">
        <v>0.2</v>
      </c>
      <c r="P75">
        <v>1.08286945</v>
      </c>
      <c r="R75">
        <v>0.75</v>
      </c>
      <c r="S75">
        <v>1.2576570499999999</v>
      </c>
      <c r="T75">
        <v>0.29220779000000002</v>
      </c>
      <c r="U75">
        <v>10.993</v>
      </c>
      <c r="V75">
        <v>1.975735E-2</v>
      </c>
      <c r="W75">
        <v>2.8963829999999999E-2</v>
      </c>
      <c r="X75">
        <v>0.12351545999999999</v>
      </c>
      <c r="Y75">
        <v>0</v>
      </c>
      <c r="BC75" t="s">
        <v>296</v>
      </c>
      <c r="BF75" t="s">
        <v>297</v>
      </c>
      <c r="BG75">
        <f>SUM(BG71:BG74)</f>
        <v>0.4</v>
      </c>
      <c r="BH75">
        <f>$BY$62</f>
        <v>0</v>
      </c>
      <c r="BI75">
        <f>$BZ$62</f>
        <v>0</v>
      </c>
      <c r="BJ75">
        <f>((AA71 * AR71 * 365) + (AB71 * AS71 * 281) + (AC71 *AD71 * 84)) *BG75</f>
        <v>8068.7683017200006</v>
      </c>
      <c r="BK75">
        <f>((Z71 * AT71 * 365) + (AB71 * AU71 * 281)  + (AB71 *AE71 * 84)) *BG75</f>
        <v>28431.201647120004</v>
      </c>
      <c r="BL75">
        <v>0</v>
      </c>
    </row>
    <row r="86" spans="1:73" x14ac:dyDescent="0.2">
      <c r="A86" t="s">
        <v>290</v>
      </c>
      <c r="B86" t="s">
        <v>291</v>
      </c>
      <c r="C86">
        <v>50</v>
      </c>
      <c r="E86">
        <f>$BY$21</f>
        <v>550</v>
      </c>
      <c r="F86">
        <f>$BY$28</f>
        <v>1.1000000000000001</v>
      </c>
      <c r="G86">
        <f>$BY$33</f>
        <v>590</v>
      </c>
      <c r="I86">
        <f>$BY$41</f>
        <v>1.6E-2</v>
      </c>
      <c r="J86">
        <f>(1.185 + 0.00454 * E86- 0.0000026 * E86^2 + 0.315 * I86)^2 * F86 + K86</f>
        <v>74.870008285192824</v>
      </c>
      <c r="K86">
        <f>(Y86 * 1.03 * AL86) / (AM86 * AN86 * AO86)</f>
        <v>65.615562764432823</v>
      </c>
      <c r="O86">
        <f>$BY$17</f>
        <v>0.2</v>
      </c>
      <c r="P86">
        <f>J86*O86</f>
        <v>14.974001657038565</v>
      </c>
      <c r="R86">
        <v>0.75</v>
      </c>
      <c r="S86">
        <f>J86 / (POWER((1.185 + 0.00454 * E86 - 0.0000026 * POWER(E86, 2)), 2) * F86 + K86)</f>
        <v>1.0004293714344916</v>
      </c>
      <c r="T86">
        <f>E86/G86</f>
        <v>0.93220338983050843</v>
      </c>
      <c r="U86">
        <f>0.1604 * R86 * 100 - 1.037</f>
        <v>10.992999999999999</v>
      </c>
      <c r="V86">
        <f xml:space="preserve"> (0.032 * $Y$11 * 1.03 / 6.38) + ((0.212 - 0.008 * (S86 - 2) - ((0.14 - 0.008 * (S86 - 2)) / (1 + EXP(-6 * (T86 - 0.4))))) * (I86 * 0.92)) * 1 / 6.25</f>
        <v>0.70787430165781928</v>
      </c>
      <c r="W86">
        <f>(0.3 * (P86 * (1 - (R86+ 0.1))) + 0.105 * (U86 * J86 * 0.008) + (0.0152 * J86)) * 1/6.25</f>
        <v>0.40051405462530099</v>
      </c>
      <c r="X86">
        <f>(P86 / 6.25) - V86 - W86 - (1.1 * 10^-4 * POWER(E86,0.75) / 6.25)</f>
        <v>1.2854530382217124</v>
      </c>
      <c r="Y86">
        <f>AF86 / (0.01 * (AJ86 + AK86))</f>
        <v>136.98630136986301</v>
      </c>
      <c r="Z86">
        <f>C86+C87+C89</f>
        <v>110</v>
      </c>
      <c r="AA86">
        <f>C86+C87+C89</f>
        <v>110</v>
      </c>
      <c r="AB86">
        <f>C88+C90</f>
        <v>40</v>
      </c>
      <c r="AC86">
        <v>0</v>
      </c>
      <c r="AD86">
        <f>M88+M90</f>
        <v>1.0499999999999999E-2</v>
      </c>
      <c r="AE86">
        <f>L88+L90</f>
        <v>1.2400000000000001E-2</v>
      </c>
      <c r="AF86">
        <v>10</v>
      </c>
      <c r="AG86">
        <v>0.8</v>
      </c>
      <c r="AH86" t="s">
        <v>77</v>
      </c>
      <c r="AI86" t="s">
        <v>16</v>
      </c>
      <c r="AJ86">
        <f>$BY$12</f>
        <v>4</v>
      </c>
      <c r="AK86">
        <f>$BY$13</f>
        <v>3.3</v>
      </c>
      <c r="AL86">
        <f>$BY$14</f>
        <v>3.0539999999999998</v>
      </c>
      <c r="AM86">
        <f>$BY$15</f>
        <v>18.399999999999999</v>
      </c>
      <c r="AN86">
        <f>$BY$16</f>
        <v>0.6</v>
      </c>
      <c r="AO86">
        <f>0.795 * R86- 0.0014</f>
        <v>0.5948500000000001</v>
      </c>
      <c r="AP86">
        <f>IF(AH86="yes",1,0)</f>
        <v>1</v>
      </c>
      <c r="AQ86">
        <f>$BY$64</f>
        <v>0.02</v>
      </c>
      <c r="AR86">
        <f>W86+W87+W89</f>
        <v>0.48773949486611795</v>
      </c>
      <c r="AS86">
        <f>W88+W90</f>
        <v>5.2418166941208988E-2</v>
      </c>
      <c r="AT86">
        <f>X86+X87+X89</f>
        <v>1.7061210601882775</v>
      </c>
      <c r="AU86">
        <f>X88+X90</f>
        <v>0.22558536521737715</v>
      </c>
      <c r="AV86" t="s">
        <v>228</v>
      </c>
      <c r="AZ86">
        <f>VLOOKUP(AV86, $BX$7:$CA$10, 2, FALSE)</f>
        <v>0.89</v>
      </c>
      <c r="BA86">
        <f>VLOOKUP(AV86, $BX$7:$CA$10, 3, FALSE)</f>
        <v>0.11</v>
      </c>
      <c r="BB86">
        <f>VLOOKUP(AV86, $BX$7:$CA$10, 4, FALSE)</f>
        <v>0</v>
      </c>
      <c r="BC86" t="s">
        <v>185</v>
      </c>
      <c r="BG86">
        <f>($BA86*BD$11)+($BB$11*BE86)</f>
        <v>0</v>
      </c>
      <c r="BH86">
        <f>$BY$58</f>
        <v>0</v>
      </c>
      <c r="BI86">
        <f>$BZ$58</f>
        <v>0.35</v>
      </c>
      <c r="BJ86">
        <f>((AA86 * AR86 * 365) + (AB86 * AS86 * 281) + (AC86 *AD86 * 84)) *BG86</f>
        <v>0</v>
      </c>
      <c r="BK86">
        <f>((Z86 * AT86 * 365) + (AB86 * AU86 * 281)  + (AB86 *AE86 * 84)) *BG86</f>
        <v>0</v>
      </c>
      <c r="BL86">
        <v>0</v>
      </c>
      <c r="BM86">
        <f>((BJ86 + BK86) * (1 - BH86 -BI86)- BL86) *AG$11</f>
        <v>0</v>
      </c>
      <c r="BN86">
        <f>((BJ86 + BK86) * (1 - BH86 -BI86)- BL86) *(1 - AG$11)</f>
        <v>0</v>
      </c>
      <c r="BP86">
        <f>SUM(BM86:BM89)</f>
        <v>6536.4146266613698</v>
      </c>
      <c r="BQ86">
        <f>SUM(BN86:BN89)</f>
        <v>1634.103656665342</v>
      </c>
      <c r="BR86">
        <f>IF(ISBLANK(AI86), "", IF(AI86="wet", $BY$67, $BY$68))</f>
        <v>6.0000000000000001E-3</v>
      </c>
      <c r="BS86">
        <f>IF(ISBLANK(AI86), "", $BY$70)</f>
        <v>1.5714285714285714</v>
      </c>
      <c r="BT86">
        <f>IF(ISBLANK(A86), "", BP86*BR86*BS86/1000)</f>
        <v>6.1629052194235777E-2</v>
      </c>
      <c r="BU86">
        <f>IF(ISBLANK(AS86), "", BQ86*BR86*BS86/1000)</f>
        <v>1.5407263048558937E-2</v>
      </c>
    </row>
    <row r="87" spans="1:73" x14ac:dyDescent="0.2">
      <c r="A87" t="s">
        <v>292</v>
      </c>
      <c r="C87">
        <v>40</v>
      </c>
      <c r="E87">
        <f>$BY$22</f>
        <v>370</v>
      </c>
      <c r="F87">
        <f>$BY$29</f>
        <v>1</v>
      </c>
      <c r="G87">
        <f>$BY$34</f>
        <v>590</v>
      </c>
      <c r="I87">
        <f>$BY$42</f>
        <v>0.6</v>
      </c>
      <c r="J87">
        <f>(1.185 + 0.00454 * E87- 0.0000026 * E87^2 + 0.315 * I87)^2 * F87 + K87</f>
        <v>7.2784485796</v>
      </c>
      <c r="K87">
        <v>0</v>
      </c>
      <c r="O87">
        <f>$BY$17</f>
        <v>0.2</v>
      </c>
      <c r="P87">
        <f>J87*O87</f>
        <v>1.4556897159200002</v>
      </c>
      <c r="R87">
        <f>$BY$47</f>
        <v>0.75</v>
      </c>
      <c r="S87">
        <f>J87 / (POWER((1.185 + 0.00454 * E87 - 0.0000026 * POWER(E87, 2)), 2) * F87 + K87)</f>
        <v>1.1563411034246729</v>
      </c>
      <c r="T87">
        <f>E87/G87</f>
        <v>0.6271186440677966</v>
      </c>
      <c r="U87">
        <f>0.1604 * R87 * 100 - 1.037</f>
        <v>10.992999999999999</v>
      </c>
      <c r="V87">
        <f xml:space="preserve"> (0.032 * $Y$12 * 1.03 / 6.38) + ((0.212 - 0.008 * (S87 - 2) - ((0.14 - 0.008 * (S87 - 2)) / (1 + EXP(-6 * (T87 - 0.4))))) * (I87 * 0.92)) * 1 / 6.25</f>
        <v>9.0004693208802639E-3</v>
      </c>
      <c r="W87">
        <f>(0.3 * (P87 * (1 - (R87+ 0.1))) + 0.105 * (U87 * J87 * 0.008) + (0.0152 * J87)) * 1/6.25</f>
        <v>3.8935763715868155E-2</v>
      </c>
      <c r="X87">
        <f>(P87 / 6.25) - V87 - W87 - (1.1 * 10^-4 * POWER(E87,0.75) / 6.25)</f>
        <v>0.18348933517909985</v>
      </c>
      <c r="Y87">
        <v>0</v>
      </c>
      <c r="BC87" t="s">
        <v>224</v>
      </c>
      <c r="BD87">
        <v>0.3</v>
      </c>
      <c r="BE87">
        <v>0.5</v>
      </c>
      <c r="BG87">
        <f>($BA$11*BD87)+($BB$11*BE87)</f>
        <v>3.3000000000000002E-2</v>
      </c>
      <c r="BH87">
        <f>$BY$59</f>
        <v>0</v>
      </c>
      <c r="BI87">
        <f>$BZ$59</f>
        <v>7.0000000000000007E-2</v>
      </c>
      <c r="BJ87">
        <f>((AA86 * AR86 * 365) + (AB86 * AS86 * 281) + (AC86 *AD86 * 84)) *BG87</f>
        <v>665.67339020469626</v>
      </c>
      <c r="BK87">
        <f>((Z86 * AT86 * 365) + (AB86 * AU86 * 281)  + (AB86 *AE86 * 84)) *BG87</f>
        <v>2345.5741343628883</v>
      </c>
      <c r="BL87">
        <v>0</v>
      </c>
      <c r="BM87">
        <f>((BJ87 + BK87) * (1 - BH87 -BI87)- BL87) *AG$11</f>
        <v>2240.3681582782829</v>
      </c>
      <c r="BN87">
        <f>((BJ87 + BK87) * (1 - BH87 -BI87)- BL87) *(1 - AG$11)</f>
        <v>560.0920395695706</v>
      </c>
      <c r="BU87">
        <v>1.5407260000000001E-2</v>
      </c>
    </row>
    <row r="88" spans="1:73" x14ac:dyDescent="0.2">
      <c r="A88" t="s">
        <v>293</v>
      </c>
      <c r="C88">
        <v>30</v>
      </c>
      <c r="E88">
        <f>$BY$23</f>
        <v>179</v>
      </c>
      <c r="F88">
        <f>$BY$29</f>
        <v>1</v>
      </c>
      <c r="G88">
        <f>$BY$35</f>
        <v>590</v>
      </c>
      <c r="I88">
        <f>$BY$43</f>
        <v>0.56999999999999995</v>
      </c>
      <c r="J88">
        <f>(1.185 + 0.00454 * E88- 0.0000026 * E88^2 + 0.315 * I88)^2 * F88 + K88</f>
        <v>4.3844314485315596</v>
      </c>
      <c r="K88">
        <v>0</v>
      </c>
      <c r="L88">
        <f>$BY$50</f>
        <v>8.2000000000000007E-3</v>
      </c>
      <c r="M88">
        <f>$BY$54</f>
        <v>5.4999999999999997E-3</v>
      </c>
      <c r="O88">
        <f>$BY$17</f>
        <v>0.2</v>
      </c>
      <c r="P88">
        <f>J88*O88</f>
        <v>0.87688628970631199</v>
      </c>
      <c r="R88">
        <f>$BY$47</f>
        <v>0.75</v>
      </c>
      <c r="S88">
        <f>J88 / (POWER((1.185 + 0.00454 * E88 - 0.0000026 * POWER(E88, 2)), 2) * F88 + K88)</f>
        <v>1.1963797575781601</v>
      </c>
      <c r="T88">
        <f>E88/G88</f>
        <v>0.30338983050847457</v>
      </c>
      <c r="U88">
        <f>0.1604 * R88 * 100 - 1.037</f>
        <v>10.992999999999999</v>
      </c>
      <c r="V88">
        <f xml:space="preserve"> (0.032 * $Y$13 * 1.03 / 6.38) + ((0.212 - 0.008 * (S88 - 2) - ((0.14 - 0.008 * (S88 - 2)) / (1 + EXP(-6 * (T88 - 0.4))))) * (I88 * 0.92)) * 1 / 6.25</f>
        <v>1.3916268174785591E-2</v>
      </c>
      <c r="W88">
        <f>(0.3 * (P88 * (1 - (R88+ 0.1))) + 0.105 * (U88 * J88 * 0.008) + (0.0152 * J88)) * 1/6.25</f>
        <v>2.3454337149116478E-2</v>
      </c>
      <c r="X88">
        <f>(P88 / 6.25) - V88 - W88 - (1.1 * 10^-4 * POWER(E88,0.75) / 6.25)</f>
        <v>0.10206990500776245</v>
      </c>
      <c r="Y88">
        <v>0</v>
      </c>
      <c r="BC88" t="s">
        <v>229</v>
      </c>
      <c r="BD88">
        <v>0.5</v>
      </c>
      <c r="BE88">
        <v>0.5</v>
      </c>
      <c r="BG88">
        <f>($BA$11*BD88)+($BB$11*BE88)</f>
        <v>5.5E-2</v>
      </c>
      <c r="BH88">
        <f>$BY$60</f>
        <v>0</v>
      </c>
      <c r="BI88">
        <f>$BZ$60</f>
        <v>0.2</v>
      </c>
      <c r="BJ88">
        <f>((AA86 * AR86 * 365) + (AB86 * AS86 * 281) + (AC86 *AD86 * 84)) *BG88</f>
        <v>1109.4556503411602</v>
      </c>
      <c r="BK88">
        <f>((Z86 * AT86 * 365) + (AB86 * AU86 * 281)  + (AB86 *AE86 * 84)) *BG88</f>
        <v>3909.2902239381469</v>
      </c>
      <c r="BL88">
        <v>0</v>
      </c>
      <c r="BM88">
        <f>((BJ88 + BK88) * (1 - BH88 -BI88)- BL88) *AG$11</f>
        <v>3211.9973595387564</v>
      </c>
      <c r="BN88">
        <f>((BJ88 + BK88) * (1 - BH88 -BI88)- BL88) *(1 - AG$11)</f>
        <v>802.99933988468888</v>
      </c>
    </row>
    <row r="89" spans="1:73" x14ac:dyDescent="0.2">
      <c r="A89" t="s">
        <v>294</v>
      </c>
      <c r="C89">
        <v>20</v>
      </c>
      <c r="E89">
        <f>$BY$24</f>
        <v>600</v>
      </c>
      <c r="F89">
        <f>$BY$29</f>
        <v>1</v>
      </c>
      <c r="G89">
        <f>$BY$36</f>
        <v>770</v>
      </c>
      <c r="I89">
        <f>$BY$44</f>
        <v>0.1</v>
      </c>
      <c r="J89">
        <f>(1.185 + 0.00454 * E89- 0.0000026 * E89^2 + 0.315 * I89)^2 * F89 + K89</f>
        <v>9.0270202499999979</v>
      </c>
      <c r="K89">
        <v>0</v>
      </c>
      <c r="O89">
        <f>$BY$17</f>
        <v>0.2</v>
      </c>
      <c r="P89">
        <f>J89*O89</f>
        <v>1.8054040499999997</v>
      </c>
      <c r="R89">
        <f>$BY$47</f>
        <v>0.75</v>
      </c>
      <c r="S89">
        <f>J89 / (POWER((1.185 + 0.00454 * E89 - 0.0000026 * POWER(E89, 2)), 2) * F89 + K89)</f>
        <v>1.0213029780639273</v>
      </c>
      <c r="T89">
        <f>E89/G89</f>
        <v>0.77922077922077926</v>
      </c>
      <c r="U89">
        <f>0.1604 * R89 * 100 - 1.037</f>
        <v>10.992999999999999</v>
      </c>
      <c r="V89">
        <f xml:space="preserve"> (0.032 * $Y$14 * 1.03 / 6.38) + ((0.212 - 0.008 * (S89 - 2) - ((0.14 - 0.008 * (S89 - 2)) / (1 + EXP(-6 * (T89 - 0.4))))) * (I89 * 0.92)) * 1 / 6.25</f>
        <v>1.2626203146474681E-3</v>
      </c>
      <c r="W89">
        <f>(0.3 * (P89 * (1 - (R89+ 0.1))) + 0.105 * (U89 * J89 * 0.008) + (0.0152 * J89)) * 1/6.25</f>
        <v>4.8289676524948789E-2</v>
      </c>
      <c r="X89">
        <f>(P89 / 6.25) - V89 - W89 - (1.1 * 10^-4 * POWER(E89,0.75) / 6.25)</f>
        <v>0.23717868678746518</v>
      </c>
      <c r="Y89">
        <v>0</v>
      </c>
      <c r="BC89" t="s">
        <v>232</v>
      </c>
      <c r="BD89">
        <v>0.2</v>
      </c>
      <c r="BG89">
        <f>($BA$11*BD89)+($BB$11*BE89)</f>
        <v>2.2000000000000002E-2</v>
      </c>
      <c r="BH89">
        <f>$BY$61</f>
        <v>5.0000000000000001E-3</v>
      </c>
      <c r="BI89">
        <f>$BZ$61</f>
        <v>0.3</v>
      </c>
      <c r="BJ89">
        <f>((AA86 * AR86 * 365) + (AB86 * AS86 * 281) + (AC86 *AD86 * 84)) *BG89</f>
        <v>443.78226013646417</v>
      </c>
      <c r="BK89">
        <f>((Z86 * AT86 * 365) + (AB86 * AU86 * 281)  + (AB86 *AE86 * 84)) *BG89</f>
        <v>1563.7160895752588</v>
      </c>
      <c r="BL89">
        <f>(BK89+ BJ89) *AP86 *AQ86</f>
        <v>40.149966994234461</v>
      </c>
      <c r="BM89">
        <f>((BJ89 + BK89) * (1 - BH89 -BI89)- BL89) *AG$11</f>
        <v>1084.0491088443305</v>
      </c>
      <c r="BN89">
        <f>((BJ89 + BK89) * (1 - BH89 -BI89)- BL89) *(1 - AG$11)</f>
        <v>271.01227721108256</v>
      </c>
    </row>
    <row r="90" spans="1:73" x14ac:dyDescent="0.2">
      <c r="A90" t="s">
        <v>295</v>
      </c>
      <c r="C90">
        <v>10</v>
      </c>
      <c r="E90">
        <f>$BY$25</f>
        <v>225</v>
      </c>
      <c r="F90">
        <f>$BY$29</f>
        <v>1</v>
      </c>
      <c r="G90">
        <f>$BY$37</f>
        <v>770</v>
      </c>
      <c r="I90">
        <f>$BY$45</f>
        <v>0.8</v>
      </c>
      <c r="J90">
        <f>(1.185 + 0.00454 * E90- 0.0000026 * E90^2 + 0.315 * I90)^2 * F90 + K90</f>
        <v>5.4143472656250013</v>
      </c>
      <c r="K90">
        <v>0</v>
      </c>
      <c r="L90">
        <f>$BY$51</f>
        <v>4.1999999999999997E-3</v>
      </c>
      <c r="M90">
        <f>$BY$55</f>
        <v>5.0000000000000001E-3</v>
      </c>
      <c r="O90">
        <f>$BY$17</f>
        <v>0.2</v>
      </c>
      <c r="P90">
        <f>J90*O90</f>
        <v>1.0828694531250003</v>
      </c>
      <c r="R90">
        <f>$BY$47</f>
        <v>0.75</v>
      </c>
      <c r="S90">
        <f>J90 / (POWER((1.185 + 0.00454 * E90 - 0.0000026 * POWER(E90, 2)), 2) * F90 + K90)</f>
        <v>1.2576570545672616</v>
      </c>
      <c r="T90">
        <f>E90/G90</f>
        <v>0.29220779220779219</v>
      </c>
      <c r="U90">
        <f>0.1604 * R90 * 100 - 1.037</f>
        <v>10.992999999999999</v>
      </c>
      <c r="V90">
        <f xml:space="preserve"> (0.032 * $Y$15 * 1.03 / 6.38) + ((0.212 - 0.008 * (S90 - 2) - ((0.14 - 0.008 * (S90 - 2)) / (1 + EXP(-6 * (T90 - 0.4))))) * (I90 * 0.92)) * 1 / 6.25</f>
        <v>1.9757354894894087E-2</v>
      </c>
      <c r="W90">
        <f>(0.3 * (P90 * (1 - (R90+ 0.1))) + 0.105 * (U90 * J90 * 0.008) + (0.0152 * J90)) * 1/6.25</f>
        <v>2.8963829792092506E-2</v>
      </c>
      <c r="X90">
        <f>(P90 / 6.25) - V90 - W90 - (1.1 * 10^-4 * POWER(E90,0.75) / 6.25)</f>
        <v>0.12351546020961469</v>
      </c>
      <c r="Y90">
        <v>0</v>
      </c>
      <c r="BC90" t="s">
        <v>296</v>
      </c>
      <c r="BF90" t="s">
        <v>297</v>
      </c>
      <c r="BG90">
        <f>SUM(BG86:BG89)</f>
        <v>0.11</v>
      </c>
      <c r="BH90">
        <f>$BY$62</f>
        <v>0</v>
      </c>
      <c r="BI90">
        <f>$BZ$62</f>
        <v>0</v>
      </c>
      <c r="BJ90">
        <f>((AA86 * AR86 * 365) + (AB86 * AS86 * 281) + (AC86 *AD86 * 84)) *BG90</f>
        <v>2218.9113006823204</v>
      </c>
      <c r="BK90">
        <f>((Z86 * AT86 * 365) + (AB86 * AU86 * 281)  + (AB86 *AE86 * 84)) *BG90</f>
        <v>7818.5804478762939</v>
      </c>
      <c r="BL90">
        <v>0</v>
      </c>
    </row>
    <row r="92" spans="1:73" x14ac:dyDescent="0.2">
      <c r="A92" t="s">
        <v>290</v>
      </c>
      <c r="B92" t="s">
        <v>320</v>
      </c>
      <c r="C92">
        <v>50</v>
      </c>
      <c r="E92">
        <v>550</v>
      </c>
      <c r="F92">
        <v>1.1000000000000001</v>
      </c>
      <c r="G92">
        <v>590</v>
      </c>
      <c r="I92">
        <v>1.6E-2</v>
      </c>
      <c r="J92">
        <v>74.870008290000001</v>
      </c>
      <c r="K92">
        <f>(Y92 * 1.03 * AL92) / (AM92 * AN92 * AO92)</f>
        <v>65.615562764432823</v>
      </c>
      <c r="O92">
        <v>0.2</v>
      </c>
      <c r="P92">
        <v>14.974001700000001</v>
      </c>
      <c r="Q92">
        <v>0.6</v>
      </c>
      <c r="R92">
        <v>0.75</v>
      </c>
      <c r="S92">
        <f>J92 / (POWER((1.185 + 0.00454 * E92 - 0.0000026 * POWER(E92, 2)), 2) * F92 + K92)</f>
        <v>1.0004293714987262</v>
      </c>
      <c r="T92">
        <f>E92/G92</f>
        <v>0.93220338983050843</v>
      </c>
      <c r="U92">
        <f>0.1604 * R92 * 100 - 1.037</f>
        <v>10.992999999999999</v>
      </c>
      <c r="V92">
        <f xml:space="preserve"> (0.032 * $Y$11 * 1.03 / 6.38) + ((0.212 - 0.008 * (S92 - 2) - ((0.14 - 0.008 * (S92 - 2)) / (1 + EXP(-6 * (T92 - 0.4))))) * (I92 * 0.92)) * 1 / 6.25</f>
        <v>0.70787430165781928</v>
      </c>
      <c r="W92">
        <f>(0.3 * (P92 * (1 - (R92+ 0.1))) + 0.105 * (U92 * J92 * 0.008) + (0.0152 * J92)) * 1/6.25</f>
        <v>0.40051405495341674</v>
      </c>
      <c r="X92">
        <f>(P92 / 6.25) - V92 - W92 - (1.1 * 10^-4 * POWER(E92,0.75) / 6.25)</f>
        <v>1.2854530447674262</v>
      </c>
      <c r="Y92">
        <f>AF92 / (0.01 * (AJ92 + AK92))</f>
        <v>136.98630136986301</v>
      </c>
      <c r="Z92">
        <f>C92+C93+C95</f>
        <v>110</v>
      </c>
      <c r="AA92">
        <f>C92+C93+C95</f>
        <v>110</v>
      </c>
      <c r="AB92">
        <f>C94+C96</f>
        <v>40</v>
      </c>
      <c r="AC92">
        <v>0</v>
      </c>
      <c r="AD92">
        <f>M94+M96</f>
        <v>1.0499999999999999E-2</v>
      </c>
      <c r="AE92">
        <f>L94+L96</f>
        <v>1.2400000000000001E-2</v>
      </c>
      <c r="AF92">
        <v>10</v>
      </c>
      <c r="AG92">
        <v>0.8</v>
      </c>
      <c r="AH92" t="s">
        <v>77</v>
      </c>
      <c r="AI92" t="s">
        <v>16</v>
      </c>
      <c r="AJ92">
        <f>$BY$12</f>
        <v>4</v>
      </c>
      <c r="AK92">
        <f>$BY$13</f>
        <v>3.3</v>
      </c>
      <c r="AL92">
        <f>$BY$14</f>
        <v>3.0539999999999998</v>
      </c>
      <c r="AM92">
        <f>$BY$15</f>
        <v>18.399999999999999</v>
      </c>
      <c r="AN92">
        <f>$BY$16</f>
        <v>0.6</v>
      </c>
      <c r="AO92">
        <f>0.795 * R92- 0.0014</f>
        <v>0.5948500000000001</v>
      </c>
      <c r="AP92">
        <f>IF(AH92="yes",1,0)</f>
        <v>1</v>
      </c>
      <c r="AQ92">
        <f>$BY$64</f>
        <v>0.02</v>
      </c>
      <c r="AR92">
        <f>W92+W93+W95</f>
        <v>0.48773949522517351</v>
      </c>
      <c r="AS92">
        <f>W94+W96</f>
        <v>5.2418166924120935E-2</v>
      </c>
      <c r="AT92">
        <f>X92+X93+X95</f>
        <v>1.7061210673558607</v>
      </c>
      <c r="AU92">
        <f>X94+X96</f>
        <v>0.22558536478156405</v>
      </c>
      <c r="AV92" t="s">
        <v>228</v>
      </c>
      <c r="AZ92">
        <f>VLOOKUP(AV92, $BX$7:$CA$10, 2, FALSE)</f>
        <v>0.89</v>
      </c>
      <c r="BA92">
        <f>VLOOKUP(AV92, $BX$7:$CA$10, 3, FALSE)</f>
        <v>0.11</v>
      </c>
      <c r="BB92">
        <f>VLOOKUP(AV92, $BX$7:$CA$10, 4, FALSE)</f>
        <v>0</v>
      </c>
      <c r="BC92" t="s">
        <v>185</v>
      </c>
      <c r="BG92">
        <f>($BA92*BD$66)+($BB$66*BE92)</f>
        <v>0</v>
      </c>
      <c r="BH92">
        <f>$BY$58</f>
        <v>0</v>
      </c>
      <c r="BI92">
        <f>$BZ$58</f>
        <v>0.35</v>
      </c>
      <c r="BJ92">
        <f>((AA92 * AR92 * 365) + (AB92 * AS92 * 281) + (AC92 *AD92 * 84)) *BG92</f>
        <v>0</v>
      </c>
      <c r="BK92">
        <f>((Z92 * AT92 * 365) + (AB92 * AU92 * 281)  + (AB92 *AE92 * 84)) *BG92</f>
        <v>0</v>
      </c>
      <c r="BL92">
        <v>0</v>
      </c>
      <c r="BM92">
        <f>((BJ92 + BK92) * (1 - BH92 -BI92)- BL92) *AG$11</f>
        <v>0</v>
      </c>
      <c r="BN92">
        <f>((BJ92 + BK92) * (1 - BH92 -BI92)- BL92) *(1 - AG$11)</f>
        <v>0</v>
      </c>
      <c r="BP92">
        <f>SUM(BM92:BM95)</f>
        <v>6536.4146479435212</v>
      </c>
      <c r="BQ92">
        <f>SUM(BN92:BN95)</f>
        <v>1634.1036619858796</v>
      </c>
      <c r="BR92">
        <f>IF(ISBLANK(AI92), "", IF(AI92="wet", $BY$67, $BY$68))</f>
        <v>6.0000000000000001E-3</v>
      </c>
      <c r="BS92">
        <f>IF(ISBLANK(AI92), "", $BY$70)</f>
        <v>1.5714285714285714</v>
      </c>
      <c r="BT92">
        <f>IF(ISBLANK(A92), "", BP92*BR92*BS92/1000)</f>
        <v>6.1629052394896057E-2</v>
      </c>
      <c r="BU92">
        <f>IF(ISBLANK(AS92), "", BQ92*BR92*BS92/1000)</f>
        <v>1.5407263098724009E-2</v>
      </c>
    </row>
    <row r="93" spans="1:73" x14ac:dyDescent="0.2">
      <c r="A93" t="s">
        <v>292</v>
      </c>
      <c r="C93">
        <v>40</v>
      </c>
      <c r="E93">
        <v>370</v>
      </c>
      <c r="F93">
        <v>1</v>
      </c>
      <c r="G93">
        <v>590</v>
      </c>
      <c r="I93">
        <v>0.6</v>
      </c>
      <c r="J93">
        <v>7.2784485800000001</v>
      </c>
      <c r="K93">
        <v>0</v>
      </c>
      <c r="O93">
        <v>0.2</v>
      </c>
      <c r="P93">
        <v>1.4556897200000001</v>
      </c>
      <c r="Q93">
        <v>0.6</v>
      </c>
      <c r="R93">
        <v>0.75</v>
      </c>
      <c r="S93">
        <f>J93 / (POWER((1.185 + 0.00454 * E93 - 0.0000026 * POWER(E93, 2)), 2) * F93 + K93)</f>
        <v>1.1563411034882216</v>
      </c>
      <c r="T93">
        <f>E93/G93</f>
        <v>0.6271186440677966</v>
      </c>
      <c r="U93">
        <f>0.1604 * R93 * 100 - 1.037</f>
        <v>10.992999999999999</v>
      </c>
      <c r="V93">
        <f xml:space="preserve"> (0.032 * $Y$12 * 1.03 / 6.38) + ((0.212 - 0.008 * (S93 - 2) - ((0.14 - 0.008 * (S93 - 2)) / (1 + EXP(-6 * (T93 - 0.4))))) * (I93 * 0.92)) * 1 / 6.25</f>
        <v>9.0004693208711132E-3</v>
      </c>
      <c r="W93">
        <f>(0.3 * (P93 * (1 - (R93+ 0.1))) + 0.105 * (U93 * J93 * 0.008) + (0.0152 * J93)) * 1/6.25</f>
        <v>3.8935763746807933E-2</v>
      </c>
      <c r="X93">
        <f>(P93 / 6.25) - V93 - W93 - (1.1 * 10^-4 * POWER(E93,0.75) / 6.25)</f>
        <v>0.18348933580096918</v>
      </c>
      <c r="Y93">
        <v>0</v>
      </c>
      <c r="BC93" t="s">
        <v>224</v>
      </c>
      <c r="BD93">
        <v>0.3</v>
      </c>
      <c r="BE93">
        <v>0.5</v>
      </c>
      <c r="BG93">
        <f>($BA$66*BD93)+($BB$66*BE93)</f>
        <v>3.3000000000000002E-2</v>
      </c>
      <c r="BH93">
        <f>$BY$59</f>
        <v>0</v>
      </c>
      <c r="BI93">
        <f>$BZ$59</f>
        <v>7.0000000000000007E-2</v>
      </c>
      <c r="BJ93">
        <f>((AA92 * AR92 * 365) + (AB92 * AS92 * 281) + (AC92 *AD92 * 84)) *BG93</f>
        <v>665.67339067408864</v>
      </c>
      <c r="BK93">
        <f>((Z92 * AT92 * 365) + (AB92 * AU92 * 281)  + (AB92 *AE92 * 84)) *BG93</f>
        <v>2345.574143697926</v>
      </c>
      <c r="BL93">
        <v>0</v>
      </c>
      <c r="BM93">
        <f>((BJ93 + BK93) * (1 - BH93 -BI93)- BL93) *AG$11</f>
        <v>2240.3681655727792</v>
      </c>
      <c r="BN93">
        <f>((BJ93 + BK93) * (1 - BH93 -BI93)- BL93) *(1 - AG$11)</f>
        <v>560.09204139319456</v>
      </c>
      <c r="BU93">
        <v>1.5407260000000001E-2</v>
      </c>
    </row>
    <row r="94" spans="1:73" x14ac:dyDescent="0.2">
      <c r="A94" t="s">
        <v>293</v>
      </c>
      <c r="C94">
        <v>30</v>
      </c>
      <c r="E94">
        <v>179</v>
      </c>
      <c r="F94">
        <v>1</v>
      </c>
      <c r="G94">
        <v>590</v>
      </c>
      <c r="I94">
        <v>0.56999999999999995</v>
      </c>
      <c r="J94">
        <v>4.384431449</v>
      </c>
      <c r="K94">
        <v>0</v>
      </c>
      <c r="L94">
        <v>8.2000000000000007E-3</v>
      </c>
      <c r="M94">
        <v>5.4999999999999997E-3</v>
      </c>
      <c r="O94">
        <v>0.2</v>
      </c>
      <c r="P94">
        <v>0.87688628999999996</v>
      </c>
      <c r="Q94">
        <v>0.5</v>
      </c>
      <c r="R94">
        <v>0.75</v>
      </c>
      <c r="S94">
        <f>J94 / (POWER((1.185 + 0.00454 * E94 - 0.0000026 * POWER(E94, 2)), 2) * F94 + K94)</f>
        <v>1.1963797577059834</v>
      </c>
      <c r="T94">
        <f>E94/G94</f>
        <v>0.30338983050847457</v>
      </c>
      <c r="U94">
        <f>0.1604 * R94 * 100 - 1.037</f>
        <v>10.992999999999999</v>
      </c>
      <c r="V94">
        <f xml:space="preserve"> (0.032 * $Y$13 * 1.03 / 6.38) + ((0.212 - 0.008 * (S94 - 2) - ((0.14 - 0.008 * (S94 - 2)) / (1 + EXP(-6 * (T94 - 0.4))))) * (I94 * 0.92)) * 1 / 6.25</f>
        <v>1.3916268174730595E-2</v>
      </c>
      <c r="W94">
        <f>(0.3 * (P94 * (1 - (R94+ 0.1))) + 0.105 * (U94 * J94 * 0.008) + (0.0152 * J94)) * 1/6.25</f>
        <v>2.3454337153062381E-2</v>
      </c>
      <c r="X94">
        <f>(P94 / 6.25) - V94 - W94 - (1.1 * 10^-4 * POWER(E94,0.75) / 6.25)</f>
        <v>0.1020699050508616</v>
      </c>
      <c r="Y94">
        <v>0</v>
      </c>
      <c r="BC94" t="s">
        <v>229</v>
      </c>
      <c r="BD94">
        <v>0.5</v>
      </c>
      <c r="BE94">
        <v>0.5</v>
      </c>
      <c r="BG94">
        <f>($BA$66*BD94)+($BB$66*BE94)</f>
        <v>5.5E-2</v>
      </c>
      <c r="BH94">
        <f>$BY$60</f>
        <v>0</v>
      </c>
      <c r="BI94">
        <f>$BZ$60</f>
        <v>0.2</v>
      </c>
      <c r="BJ94">
        <f>((AA92 * AR92 * 365) + (AB92 * AS92 * 281) + (AC92 *AD92 * 84)) *BG94</f>
        <v>1109.4556511234809</v>
      </c>
      <c r="BK94">
        <f>((Z92 * AT92 * 365) + (AB92 * AU92 * 281)  + (AB92 *AE92 * 84)) *BG94</f>
        <v>3909.2902394965431</v>
      </c>
      <c r="BL94">
        <v>0</v>
      </c>
      <c r="BM94">
        <f>((BJ94 + BK94) * (1 - BH94 -BI94)- BL94) *AG$11</f>
        <v>3211.9973699968159</v>
      </c>
      <c r="BN94">
        <f>((BJ94 + BK94) * (1 - BH94 -BI94)- BL94) *(1 - AG$11)</f>
        <v>802.99934249920375</v>
      </c>
    </row>
    <row r="95" spans="1:73" x14ac:dyDescent="0.2">
      <c r="A95" t="s">
        <v>294</v>
      </c>
      <c r="C95">
        <v>20</v>
      </c>
      <c r="E95">
        <v>600</v>
      </c>
      <c r="F95">
        <v>1</v>
      </c>
      <c r="G95">
        <v>770</v>
      </c>
      <c r="I95">
        <v>0.1</v>
      </c>
      <c r="J95">
        <v>9.0270202499999996</v>
      </c>
      <c r="K95">
        <v>0</v>
      </c>
      <c r="O95">
        <v>0.2</v>
      </c>
      <c r="P95">
        <v>1.8054040499999999</v>
      </c>
      <c r="Q95">
        <v>0.5</v>
      </c>
      <c r="R95">
        <v>0.75</v>
      </c>
      <c r="S95">
        <f>J95 / (POWER((1.185 + 0.00454 * E95 - 0.0000026 * POWER(E95, 2)), 2) * F95 + K95)</f>
        <v>1.0213029780639276</v>
      </c>
      <c r="T95">
        <f>E95/G95</f>
        <v>0.77922077922077926</v>
      </c>
      <c r="U95">
        <f>0.1604 * R95 * 100 - 1.037</f>
        <v>10.992999999999999</v>
      </c>
      <c r="V95">
        <f xml:space="preserve"> (0.032 * $Y$14 * 1.03 / 6.38) + ((0.212 - 0.008 * (S95 - 2) - ((0.14 - 0.008 * (S95 - 2)) / (1 + EXP(-6 * (T95 - 0.4))))) * (I95 * 0.92)) * 1 / 6.25</f>
        <v>1.2626203146474681E-3</v>
      </c>
      <c r="W95">
        <f>(0.3 * (P95 * (1 - (R95+ 0.1))) + 0.105 * (U95 * J95 * 0.008) + (0.0152 * J95)) * 1/6.25</f>
        <v>4.8289676524948796E-2</v>
      </c>
      <c r="X95">
        <f>(P95 / 6.25) - V95 - W95 - (1.1 * 10^-4 * POWER(E95,0.75) / 6.25)</f>
        <v>0.2371786867874652</v>
      </c>
      <c r="Y95">
        <v>0</v>
      </c>
      <c r="BC95" t="s">
        <v>232</v>
      </c>
      <c r="BD95">
        <v>0.2</v>
      </c>
      <c r="BG95">
        <f>($BA$66*BD95)+($BB$66*BE95)</f>
        <v>2.2000000000000002E-2</v>
      </c>
      <c r="BH95">
        <f>$BY$61</f>
        <v>5.0000000000000001E-3</v>
      </c>
      <c r="BI95">
        <f>$BZ$61</f>
        <v>0.3</v>
      </c>
      <c r="BJ95">
        <f>((AA92 * AR92 * 365) + (AB92 * AS92 * 281) + (AC92 *AD92 * 84)) *BG95</f>
        <v>443.78226044939248</v>
      </c>
      <c r="BK95">
        <f>((Z92 * AT92 * 365) + (AB92 * AU92 * 281)  + (AB92 *AE92 * 84)) *BG95</f>
        <v>1563.7160957986175</v>
      </c>
      <c r="BL95">
        <f>(BK95+ BJ95) *AP92 *AQ92</f>
        <v>40.149967124960199</v>
      </c>
      <c r="BM95">
        <f>((BJ95 + BK95) * (1 - BH95 -BI95)- BL95) *AG$11</f>
        <v>1084.0491123739255</v>
      </c>
      <c r="BN95">
        <f>((BJ95 + BK95) * (1 - BH95 -BI95)- BL95) *(1 - AG$11)</f>
        <v>271.01227809348131</v>
      </c>
    </row>
    <row r="96" spans="1:73" x14ac:dyDescent="0.2">
      <c r="A96" t="s">
        <v>295</v>
      </c>
      <c r="C96">
        <v>10</v>
      </c>
      <c r="E96">
        <v>225</v>
      </c>
      <c r="F96">
        <v>1</v>
      </c>
      <c r="G96">
        <v>770</v>
      </c>
      <c r="I96">
        <v>0.8</v>
      </c>
      <c r="J96">
        <v>5.414347266</v>
      </c>
      <c r="K96">
        <v>0</v>
      </c>
      <c r="L96">
        <v>4.1999999999999997E-3</v>
      </c>
      <c r="M96">
        <v>5.0000000000000001E-3</v>
      </c>
      <c r="O96">
        <v>0.2</v>
      </c>
      <c r="P96">
        <v>1.08286945</v>
      </c>
      <c r="Q96">
        <v>0.5</v>
      </c>
      <c r="R96">
        <v>0.75</v>
      </c>
      <c r="S96">
        <f>J96 / (POWER((1.185 + 0.00454 * E96 - 0.0000026 * POWER(E96, 2)), 2) * F96 + K96)</f>
        <v>1.2576570546543673</v>
      </c>
      <c r="T96">
        <f>E96/G96</f>
        <v>0.29220779220779219</v>
      </c>
      <c r="U96">
        <f>0.1604 * R96 * 100 - 1.037</f>
        <v>10.992999999999999</v>
      </c>
      <c r="V96">
        <f xml:space="preserve"> (0.032 * $Y$15 * 1.03 / 6.38) + ((0.212 - 0.008 * (S96 - 2) - ((0.14 - 0.008 * (S96 - 2)) / (1 + EXP(-6 * (T96 - 0.4))))) * (I96 * 0.92)) * 1 / 6.25</f>
        <v>1.9757354894840231E-2</v>
      </c>
      <c r="W96">
        <f>(0.3 * (P96 * (1 - (R96+ 0.1))) + 0.105 * (U96 * J96 * 0.008) + (0.0152 * J96)) * 1/6.25</f>
        <v>2.896382977105855E-2</v>
      </c>
      <c r="X96">
        <f>(P96 / 6.25) - V96 - W96 - (1.1 * 10^-4 * POWER(E96,0.75) / 6.25)</f>
        <v>0.12351545973070245</v>
      </c>
      <c r="Y96">
        <v>0</v>
      </c>
      <c r="BC96" t="s">
        <v>296</v>
      </c>
      <c r="BF96" t="s">
        <v>297</v>
      </c>
      <c r="BG96">
        <f>SUM(BG92:BG95)</f>
        <v>0.11</v>
      </c>
      <c r="BH96">
        <f>$BY$62</f>
        <v>0</v>
      </c>
      <c r="BI96">
        <f>$BZ$62</f>
        <v>0</v>
      </c>
      <c r="BJ96">
        <f>((AA92 * AR92 * 365) + (AB92 * AS92 * 281) + (AC92 *AD92 * 84)) *BG96</f>
        <v>2218.9113022469619</v>
      </c>
      <c r="BK96">
        <f>((Z92 * AT92 * 365) + (AB92 * AU92 * 281)  + (AB92 *AE92 * 84)) *BG96</f>
        <v>7818.5804789930862</v>
      </c>
      <c r="BL96">
        <v>0</v>
      </c>
    </row>
  </sheetData>
  <pageMargins left="0.7" right="0.7" top="0.75" bottom="0.75" header="0.3" footer="0.3"/>
  <ignoredErrors>
    <ignoredError sqref="A3:CG11 A13:CG96 A12:BT12 BV12:CG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BO66"/>
  <sheetViews>
    <sheetView tabSelected="1" topLeftCell="A36" workbookViewId="0">
      <selection activeCell="AR11" sqref="AR11"/>
    </sheetView>
  </sheetViews>
  <sheetFormatPr baseColWidth="10" defaultRowHeight="16" x14ac:dyDescent="0.2"/>
  <cols>
    <col min="1" max="1" width="25.5" customWidth="1"/>
    <col min="5" max="5" width="18.33203125" customWidth="1"/>
    <col min="13" max="18" width="14.33203125" customWidth="1"/>
    <col min="19" max="20" width="17.83203125" customWidth="1"/>
    <col min="21" max="31" width="14.33203125" customWidth="1"/>
    <col min="32" max="36" width="28.1640625" customWidth="1"/>
    <col min="38" max="38" width="14" customWidth="1"/>
    <col min="41" max="41" width="12.5" customWidth="1"/>
    <col min="51" max="51" width="32.83203125" customWidth="1"/>
    <col min="53" max="53" width="19.5" customWidth="1"/>
    <col min="54" max="54" width="16" customWidth="1"/>
  </cols>
  <sheetData>
    <row r="4" spans="1:67" x14ac:dyDescent="0.2">
      <c r="AV4" t="s">
        <v>165</v>
      </c>
      <c r="AW4" t="s">
        <v>165</v>
      </c>
    </row>
    <row r="5" spans="1:67" x14ac:dyDescent="0.2">
      <c r="K5" t="s">
        <v>322</v>
      </c>
      <c r="L5" t="s">
        <v>323</v>
      </c>
      <c r="M5" t="s">
        <v>324</v>
      </c>
      <c r="W5" t="s">
        <v>325</v>
      </c>
      <c r="AA5" t="s">
        <v>326</v>
      </c>
      <c r="AJ5" t="s">
        <v>327</v>
      </c>
      <c r="AO5" t="s">
        <v>328</v>
      </c>
      <c r="AP5" t="s">
        <v>329</v>
      </c>
      <c r="BD5" s="2" t="s">
        <v>366</v>
      </c>
      <c r="BI5" s="5" t="s">
        <v>379</v>
      </c>
      <c r="BJ5" s="5" t="s">
        <v>380</v>
      </c>
      <c r="BK5" s="5" t="s">
        <v>381</v>
      </c>
      <c r="BN5" s="5" t="s">
        <v>394</v>
      </c>
      <c r="BO5" s="5" t="s">
        <v>395</v>
      </c>
    </row>
    <row r="6" spans="1:67" x14ac:dyDescent="0.2">
      <c r="B6" t="s">
        <v>333</v>
      </c>
      <c r="F6" t="s">
        <v>330</v>
      </c>
      <c r="G6" t="s">
        <v>331</v>
      </c>
      <c r="H6" t="s">
        <v>334</v>
      </c>
      <c r="I6" t="s">
        <v>335</v>
      </c>
      <c r="J6" t="s">
        <v>336</v>
      </c>
      <c r="K6" t="s">
        <v>341</v>
      </c>
      <c r="L6" t="s">
        <v>342</v>
      </c>
      <c r="M6" t="s">
        <v>343</v>
      </c>
      <c r="U6" t="s">
        <v>338</v>
      </c>
      <c r="V6" t="s">
        <v>337</v>
      </c>
      <c r="W6" t="s">
        <v>344</v>
      </c>
      <c r="Z6" t="s">
        <v>345</v>
      </c>
      <c r="AA6" t="s">
        <v>345</v>
      </c>
      <c r="AG6" t="s">
        <v>332</v>
      </c>
      <c r="AJ6" t="s">
        <v>346</v>
      </c>
      <c r="AK6" t="s">
        <v>338</v>
      </c>
      <c r="AL6" t="s">
        <v>337</v>
      </c>
      <c r="AM6" t="s">
        <v>339</v>
      </c>
      <c r="AN6" t="s">
        <v>340</v>
      </c>
      <c r="AO6" t="s">
        <v>347</v>
      </c>
      <c r="AP6" t="s">
        <v>348</v>
      </c>
      <c r="AQ6" t="s">
        <v>348</v>
      </c>
      <c r="AV6">
        <v>238</v>
      </c>
      <c r="AW6">
        <v>238</v>
      </c>
      <c r="BD6" s="3" t="s">
        <v>367</v>
      </c>
      <c r="BI6" s="5"/>
      <c r="BJ6" s="5"/>
      <c r="BK6" s="5" t="s">
        <v>382</v>
      </c>
      <c r="BN6" s="5" t="s">
        <v>396</v>
      </c>
      <c r="BO6" s="5" t="s">
        <v>397</v>
      </c>
    </row>
    <row r="7" spans="1:67" x14ac:dyDescent="0.2">
      <c r="B7" t="s">
        <v>225</v>
      </c>
      <c r="F7" t="s">
        <v>225</v>
      </c>
      <c r="G7" t="s">
        <v>225</v>
      </c>
      <c r="H7" t="s">
        <v>226</v>
      </c>
      <c r="I7" t="s">
        <v>226</v>
      </c>
      <c r="J7" t="s">
        <v>226</v>
      </c>
      <c r="K7" t="s">
        <v>227</v>
      </c>
      <c r="L7" t="s">
        <v>227</v>
      </c>
      <c r="M7" t="s">
        <v>227</v>
      </c>
      <c r="U7" t="s">
        <v>226</v>
      </c>
      <c r="V7" t="s">
        <v>226</v>
      </c>
      <c r="W7" t="s">
        <v>227</v>
      </c>
      <c r="Z7" t="s">
        <v>227</v>
      </c>
      <c r="AA7" t="s">
        <v>227</v>
      </c>
      <c r="AG7" t="s">
        <v>225</v>
      </c>
      <c r="AJ7" t="s">
        <v>227</v>
      </c>
      <c r="AK7" t="s">
        <v>226</v>
      </c>
      <c r="AL7" t="s">
        <v>226</v>
      </c>
      <c r="AM7" t="s">
        <v>226</v>
      </c>
      <c r="AN7" t="s">
        <v>226</v>
      </c>
      <c r="AO7" t="s">
        <v>227</v>
      </c>
      <c r="AP7" t="s">
        <v>227</v>
      </c>
      <c r="AQ7" t="s">
        <v>227</v>
      </c>
      <c r="BD7" s="4" t="s">
        <v>368</v>
      </c>
      <c r="BI7" s="5"/>
      <c r="BJ7" s="5"/>
      <c r="BK7" s="5" t="s">
        <v>383</v>
      </c>
      <c r="BN7" s="5" t="s">
        <v>398</v>
      </c>
      <c r="BO7" s="5" t="s">
        <v>399</v>
      </c>
    </row>
    <row r="8" spans="1:67" x14ac:dyDescent="0.2">
      <c r="H8" t="s">
        <v>225</v>
      </c>
      <c r="I8" t="s">
        <v>225</v>
      </c>
      <c r="BD8" s="4" t="s">
        <v>369</v>
      </c>
      <c r="BI8" s="5" t="s">
        <v>384</v>
      </c>
      <c r="BJ8" s="5" t="s">
        <v>385</v>
      </c>
      <c r="BK8" s="5" t="s">
        <v>386</v>
      </c>
      <c r="BN8" s="5" t="s">
        <v>400</v>
      </c>
      <c r="BO8" s="5" t="s">
        <v>401</v>
      </c>
    </row>
    <row r="9" spans="1:67" x14ac:dyDescent="0.2">
      <c r="G9" t="s">
        <v>436</v>
      </c>
      <c r="H9" s="4" t="s">
        <v>414</v>
      </c>
      <c r="I9" s="4" t="s">
        <v>417</v>
      </c>
      <c r="N9" t="s">
        <v>422</v>
      </c>
      <c r="O9" t="s">
        <v>419</v>
      </c>
      <c r="P9" t="s">
        <v>420</v>
      </c>
      <c r="Q9" t="s">
        <v>423</v>
      </c>
      <c r="BD9" s="4" t="s">
        <v>370</v>
      </c>
      <c r="BI9" s="5"/>
      <c r="BJ9" s="5"/>
      <c r="BK9" s="5" t="s">
        <v>387</v>
      </c>
      <c r="BN9" s="5" t="s">
        <v>402</v>
      </c>
      <c r="BO9" s="5" t="s">
        <v>403</v>
      </c>
    </row>
    <row r="10" spans="1:67" x14ac:dyDescent="0.2">
      <c r="A10" t="s">
        <v>236</v>
      </c>
      <c r="B10" s="1" t="s">
        <v>51</v>
      </c>
      <c r="C10" s="1" t="s">
        <v>259</v>
      </c>
      <c r="D10" s="1" t="s">
        <v>11</v>
      </c>
      <c r="F10" s="1" t="s">
        <v>349</v>
      </c>
      <c r="G10" s="1" t="s">
        <v>350</v>
      </c>
      <c r="H10" t="s">
        <v>351</v>
      </c>
      <c r="I10" t="s">
        <v>352</v>
      </c>
      <c r="J10" t="s">
        <v>353</v>
      </c>
      <c r="K10" t="s">
        <v>360</v>
      </c>
      <c r="L10" t="s">
        <v>361</v>
      </c>
      <c r="M10" t="s">
        <v>362</v>
      </c>
      <c r="N10" s="1" t="s">
        <v>432</v>
      </c>
      <c r="O10" s="1" t="s">
        <v>433</v>
      </c>
      <c r="P10" s="1" t="s">
        <v>434</v>
      </c>
      <c r="Q10" s="1" t="s">
        <v>435</v>
      </c>
      <c r="R10" t="s">
        <v>440</v>
      </c>
      <c r="U10" t="s">
        <v>355</v>
      </c>
      <c r="V10" t="s">
        <v>354</v>
      </c>
      <c r="W10" t="s">
        <v>446</v>
      </c>
      <c r="X10" t="s">
        <v>449</v>
      </c>
      <c r="Y10" t="s">
        <v>447</v>
      </c>
      <c r="Z10" t="s">
        <v>448</v>
      </c>
      <c r="AA10" t="s">
        <v>363</v>
      </c>
      <c r="AB10" t="s">
        <v>441</v>
      </c>
      <c r="AC10" t="s">
        <v>442</v>
      </c>
      <c r="AD10" t="s">
        <v>443</v>
      </c>
      <c r="AE10" t="s">
        <v>444</v>
      </c>
      <c r="AG10" s="1" t="s">
        <v>437</v>
      </c>
      <c r="AH10" s="1" t="s">
        <v>438</v>
      </c>
      <c r="AI10" s="1" t="s">
        <v>439</v>
      </c>
      <c r="AJ10" t="s">
        <v>364</v>
      </c>
      <c r="AK10" t="s">
        <v>356</v>
      </c>
      <c r="AL10" t="s">
        <v>357</v>
      </c>
      <c r="AM10" t="s">
        <v>358</v>
      </c>
      <c r="AN10" t="s">
        <v>359</v>
      </c>
      <c r="AO10" t="s">
        <v>286</v>
      </c>
      <c r="AP10" t="s">
        <v>365</v>
      </c>
      <c r="AQ10" t="s">
        <v>445</v>
      </c>
      <c r="AR10" t="s">
        <v>287</v>
      </c>
      <c r="AT10" t="s">
        <v>13</v>
      </c>
      <c r="AU10" t="s">
        <v>3</v>
      </c>
      <c r="AV10" s="7" t="s">
        <v>74</v>
      </c>
      <c r="AW10" s="7" t="s">
        <v>75</v>
      </c>
      <c r="BD10" s="4" t="s">
        <v>371</v>
      </c>
      <c r="BI10" s="5"/>
      <c r="BJ10" s="5"/>
      <c r="BK10" s="5" t="s">
        <v>388</v>
      </c>
    </row>
    <row r="11" spans="1:67" x14ac:dyDescent="0.2">
      <c r="A11" t="s">
        <v>425</v>
      </c>
      <c r="B11">
        <v>0.6</v>
      </c>
      <c r="C11" t="s">
        <v>77</v>
      </c>
      <c r="D11" t="s">
        <v>16</v>
      </c>
      <c r="E11" t="s">
        <v>405</v>
      </c>
      <c r="F11">
        <v>1000</v>
      </c>
      <c r="G11">
        <v>200</v>
      </c>
      <c r="H11">
        <f>HLOOKUP(E11,$AZ$23:$BC$29, 6, FALSE)</f>
        <v>0.35</v>
      </c>
      <c r="I11">
        <f>HLOOKUP(E11,$AZ$23:$BC$29, 2, FALSE)</f>
        <v>8.5999999999999993E-2</v>
      </c>
      <c r="J11">
        <f>HLOOKUP(E11,$AZ$23:$BC$29, 5, FALSE)</f>
        <v>0.19</v>
      </c>
      <c r="K11">
        <f>I11 * J11 / 6.25</f>
        <v>2.6144000000000002E-3</v>
      </c>
      <c r="L11">
        <f>K11 * (1 - H11)</f>
        <v>1.6993600000000002E-3</v>
      </c>
      <c r="M11">
        <f>F11 * L11 * G11</f>
        <v>339.87200000000001</v>
      </c>
      <c r="O11">
        <v>1</v>
      </c>
      <c r="R11">
        <f>SUM(N11:Q11)</f>
        <v>1</v>
      </c>
      <c r="S11" t="s">
        <v>422</v>
      </c>
      <c r="U11">
        <f>VLOOKUP(S11, $AY$32:$BA$38, 3, FALSE)</f>
        <v>1E-3</v>
      </c>
      <c r="V11">
        <f>VLOOKUP(S11, $AY$32:$AZ$38, 2, FALSE)</f>
        <v>0.3</v>
      </c>
      <c r="W11">
        <f>$M11 *N11</f>
        <v>0</v>
      </c>
      <c r="X11">
        <f>M12*N12</f>
        <v>0</v>
      </c>
      <c r="Y11">
        <f>M13*N13</f>
        <v>0</v>
      </c>
      <c r="Z11">
        <f>M14*N14</f>
        <v>14.510975999999999</v>
      </c>
      <c r="AA11">
        <f>SUM(W11:Z11)</f>
        <v>14.510975999999999</v>
      </c>
      <c r="AB11">
        <f>AA11*(1 - V11 - U11)</f>
        <v>10.143172223999999</v>
      </c>
      <c r="AC11">
        <f>AA12*(1 - V12 - U12)</f>
        <v>401.12032875199998</v>
      </c>
      <c r="AD11">
        <f>AA13*(1 - V13 - U13)</f>
        <v>20.582919359999998</v>
      </c>
      <c r="AE11">
        <f>AA14*(1 - V14 - U14)</f>
        <v>3.6277439999999999</v>
      </c>
      <c r="AF11" t="s">
        <v>428</v>
      </c>
      <c r="AG11">
        <v>0.6</v>
      </c>
      <c r="AJ11">
        <f>AG11*AB11+AH11*AC11+AI11*AD11</f>
        <v>6.0859033343999993</v>
      </c>
      <c r="AK11">
        <f>VLOOKUP(AF11, $AY$32:$BA$38, 3, FALSE)</f>
        <v>5.0000000000000001E-3</v>
      </c>
      <c r="AL11">
        <f>VLOOKUP(AF11, $AY$32:$BA$38, 2, FALSE)</f>
        <v>0.2</v>
      </c>
      <c r="AM11">
        <f>IF($C$11="yes",1,0)</f>
        <v>1</v>
      </c>
      <c r="AN11">
        <f>$AZ$19</f>
        <v>0.02</v>
      </c>
      <c r="AO11">
        <f>AJ11*AM11*AN11</f>
        <v>0.12171806668799999</v>
      </c>
      <c r="AP11">
        <f>($AJ11*(1-$AK11-$AL11)-$AO11)*$B11</f>
        <v>2.8299450504959998</v>
      </c>
      <c r="AQ11">
        <f>($AJ11*(1-$AK11-$AL11)-$AO11)*(1 -$B11)</f>
        <v>1.8866300336639998</v>
      </c>
      <c r="AR11">
        <f>SUM(AP11:AP15)</f>
        <v>266.00820711536636</v>
      </c>
      <c r="AS11">
        <f>SUM(AQ11:AQ14)</f>
        <v>163.61685850357759</v>
      </c>
      <c r="AT11">
        <f>IF(ISBLANK(D11), "", IF(D11="wet", $AZ$13, $AZ$14))</f>
        <v>6.0000000000000001E-3</v>
      </c>
      <c r="AU11">
        <f>IF(ISBLANK(D11), "", $AZ$16)</f>
        <v>1.5714285714285714</v>
      </c>
      <c r="AV11">
        <f>IF(ISBLANK(D11), "", AR11*AT11*AU11/1000)</f>
        <v>2.5080773813734541E-3</v>
      </c>
      <c r="AW11">
        <f>IF(ISBLANK(D11), "", AS11*AT11*AU11/1000)</f>
        <v>1.5426732373194458E-3</v>
      </c>
      <c r="BD11" s="4" t="s">
        <v>372</v>
      </c>
      <c r="BI11" s="5"/>
      <c r="BJ11" s="5"/>
      <c r="BK11" s="5" t="s">
        <v>389</v>
      </c>
    </row>
    <row r="12" spans="1:67" x14ac:dyDescent="0.2">
      <c r="E12" t="s">
        <v>415</v>
      </c>
      <c r="F12">
        <v>200</v>
      </c>
      <c r="G12">
        <v>150</v>
      </c>
      <c r="H12">
        <f>HLOOKUP(E12,$AZ$23:$BC$29, 6, FALSE)</f>
        <v>0.47</v>
      </c>
      <c r="I12">
        <f>HLOOKUP(E12,$AZ$23:$BC$29, 2, FALSE)</f>
        <v>9.2999999999999999E-2</v>
      </c>
      <c r="J12">
        <f>HLOOKUP(E12,$AZ$23:$BC$29, 5, FALSE)</f>
        <v>0.23</v>
      </c>
      <c r="K12">
        <f t="shared" ref="K12:K14" si="0">I12 * J12 / 6.25</f>
        <v>3.4223999999999999E-3</v>
      </c>
      <c r="L12">
        <f t="shared" ref="L12:L14" si="1">K12 * (1 - H12)</f>
        <v>1.813872E-3</v>
      </c>
      <c r="M12">
        <f t="shared" ref="M12:M14" si="2">F12 * L12 * G12</f>
        <v>54.416159999999998</v>
      </c>
      <c r="O12">
        <v>0.7</v>
      </c>
      <c r="P12">
        <v>0.3</v>
      </c>
      <c r="R12">
        <f t="shared" ref="R12:R14" si="3">SUM(N12:Q12)</f>
        <v>1</v>
      </c>
      <c r="S12" t="s">
        <v>419</v>
      </c>
      <c r="U12">
        <f>VLOOKUP(S12, $AY$32:$BA$38, 3, FALSE)</f>
        <v>1E-3</v>
      </c>
      <c r="V12">
        <f>VLOOKUP(S12, $AY$32:$AZ$38, 2, FALSE)</f>
        <v>0.05</v>
      </c>
      <c r="W12">
        <f>M11*O11</f>
        <v>339.87200000000001</v>
      </c>
      <c r="X12">
        <f>M12*O12</f>
        <v>38.091311999999995</v>
      </c>
      <c r="Y12">
        <f>M13*O13</f>
        <v>44.713535999999991</v>
      </c>
      <c r="Z12">
        <f>M14*O14</f>
        <v>0</v>
      </c>
      <c r="AA12">
        <f t="shared" ref="AA12:AA14" si="4">SUM(W12:Z12)</f>
        <v>422.67684800000001</v>
      </c>
      <c r="AF12" s="5" t="s">
        <v>429</v>
      </c>
      <c r="AG12" s="5">
        <v>0.4</v>
      </c>
      <c r="AH12" s="5"/>
      <c r="AI12" s="5"/>
      <c r="AJ12" s="5">
        <f>AG12*AB11+AH12*AC11+AI12*AD11</f>
        <v>4.0572688895999995</v>
      </c>
      <c r="AK12">
        <f>VLOOKUP(AF12, $AY$32:$BA$38, 3, FALSE)</f>
        <v>0.01</v>
      </c>
      <c r="AL12">
        <f>VLOOKUP(AF12, $AY$32:$BA$38, 2, FALSE)</f>
        <v>0.2</v>
      </c>
      <c r="AO12">
        <v>0</v>
      </c>
      <c r="AP12">
        <f>(AJ12*(1-AK12-AL12)-AO12)*B11</f>
        <v>1.9231454536703998</v>
      </c>
      <c r="AQ12">
        <f>($AJ12*(1-$AK12-$AL12)-$AO12)*(1 -$B11)</f>
        <v>1.2820969691136002</v>
      </c>
      <c r="AY12" t="s">
        <v>0</v>
      </c>
      <c r="BD12" s="4" t="s">
        <v>234</v>
      </c>
      <c r="BI12" s="5"/>
      <c r="BJ12" s="5" t="s">
        <v>390</v>
      </c>
      <c r="BK12" s="5" t="s">
        <v>391</v>
      </c>
    </row>
    <row r="13" spans="1:67" x14ac:dyDescent="0.2">
      <c r="E13" t="s">
        <v>416</v>
      </c>
      <c r="F13">
        <v>100</v>
      </c>
      <c r="G13">
        <v>300</v>
      </c>
      <c r="H13">
        <f>HLOOKUP(E13,$AZ$23:$BC$29, 6, FALSE)</f>
        <v>0.32</v>
      </c>
      <c r="I13">
        <f>HLOOKUP(E13,$AZ$23:$BC$29, 2, FALSE)</f>
        <v>0.10299999999999999</v>
      </c>
      <c r="J13">
        <f>HLOOKUP(E13,$AZ$23:$BC$29, 5, FALSE)</f>
        <v>0.19</v>
      </c>
      <c r="K13">
        <f t="shared" si="0"/>
        <v>3.1312000000000002E-3</v>
      </c>
      <c r="L13">
        <f t="shared" si="1"/>
        <v>2.1292159999999997E-3</v>
      </c>
      <c r="M13">
        <f t="shared" si="2"/>
        <v>63.876479999999994</v>
      </c>
      <c r="O13">
        <v>0.7</v>
      </c>
      <c r="P13">
        <v>0.3</v>
      </c>
      <c r="R13">
        <f t="shared" si="3"/>
        <v>1</v>
      </c>
      <c r="S13" t="s">
        <v>420</v>
      </c>
      <c r="U13">
        <f>VLOOKUP(S13, $AY$32:$BA$38, 3, FALSE)</f>
        <v>0.02</v>
      </c>
      <c r="V13">
        <f>VLOOKUP(S13, $AY$32:$AZ$38, 2, FALSE)</f>
        <v>0.4</v>
      </c>
      <c r="W13">
        <f>M11*P11</f>
        <v>0</v>
      </c>
      <c r="X13">
        <f>M12*P12</f>
        <v>16.324847999999999</v>
      </c>
      <c r="Y13">
        <f>M13*P13</f>
        <v>19.162943999999996</v>
      </c>
      <c r="Z13">
        <f>M14*P14</f>
        <v>0</v>
      </c>
      <c r="AA13">
        <f t="shared" si="4"/>
        <v>35.487791999999999</v>
      </c>
      <c r="AF13" s="5" t="s">
        <v>430</v>
      </c>
      <c r="AG13" s="5"/>
      <c r="AH13" s="5">
        <v>0.5</v>
      </c>
      <c r="AI13" s="5"/>
      <c r="AJ13" s="5">
        <f>AG13*AB11+AH13*AC11+AI13*AD11</f>
        <v>200.56016437599999</v>
      </c>
      <c r="AK13">
        <f>VLOOKUP(AF13, $AY$32:$BA$38, 3, FALSE)</f>
        <v>0</v>
      </c>
      <c r="AL13">
        <f>VLOOKUP(AF13, $AY$32:$BA$38, 2, FALSE)</f>
        <v>0</v>
      </c>
      <c r="AO13">
        <v>0</v>
      </c>
      <c r="AP13">
        <f>(AJ13*(1-AK13-AL13)-AO13)*B11</f>
        <v>120.33609862559999</v>
      </c>
      <c r="AQ13">
        <f>($AJ13*(1-$AK13-$AL13)-$AO13)*(1 -$B11)</f>
        <v>80.224065750400001</v>
      </c>
      <c r="AY13" t="s">
        <v>1</v>
      </c>
      <c r="AZ13">
        <v>6.0000000000000001E-3</v>
      </c>
      <c r="BD13" s="3" t="s">
        <v>373</v>
      </c>
      <c r="BI13" s="5"/>
      <c r="BJ13" s="5" t="s">
        <v>392</v>
      </c>
      <c r="BK13" s="5" t="s">
        <v>393</v>
      </c>
    </row>
    <row r="14" spans="1:67" x14ac:dyDescent="0.2">
      <c r="E14" t="s">
        <v>406</v>
      </c>
      <c r="F14">
        <v>50</v>
      </c>
      <c r="G14">
        <v>200</v>
      </c>
      <c r="H14">
        <f>HLOOKUP(E14,$AZ$23:$BC$29, 6, FALSE)</f>
        <v>0.47</v>
      </c>
      <c r="I14">
        <f>HLOOKUP(E14,$AZ$23:$BC$29, 2, FALSE)</f>
        <v>9.2999999999999999E-2</v>
      </c>
      <c r="J14">
        <f>HLOOKUP(E14,$AZ$23:$BC$29, 5, FALSE)</f>
        <v>0.23</v>
      </c>
      <c r="K14">
        <f t="shared" si="0"/>
        <v>3.4223999999999999E-3</v>
      </c>
      <c r="L14">
        <f t="shared" si="1"/>
        <v>1.813872E-3</v>
      </c>
      <c r="M14">
        <f t="shared" si="2"/>
        <v>18.138719999999999</v>
      </c>
      <c r="N14">
        <v>0.8</v>
      </c>
      <c r="Q14">
        <v>0.2</v>
      </c>
      <c r="R14">
        <f t="shared" si="3"/>
        <v>1</v>
      </c>
      <c r="S14" t="s">
        <v>423</v>
      </c>
      <c r="W14">
        <f>M11*Q11</f>
        <v>0</v>
      </c>
      <c r="X14">
        <f>M12*Q12</f>
        <v>0</v>
      </c>
      <c r="Y14">
        <f>M13*Q13</f>
        <v>0</v>
      </c>
      <c r="Z14">
        <f>M14*Q14</f>
        <v>3.6277439999999999</v>
      </c>
      <c r="AA14">
        <f t="shared" si="4"/>
        <v>3.6277439999999999</v>
      </c>
      <c r="AC14" t="s">
        <v>297</v>
      </c>
      <c r="AD14">
        <f>SUM(AB11:AD11)</f>
        <v>431.84642033599999</v>
      </c>
      <c r="AF14" t="s">
        <v>427</v>
      </c>
      <c r="AH14">
        <v>0.5</v>
      </c>
      <c r="AJ14">
        <f>AG14*AB11+AH14*AC11+AI14*AD11</f>
        <v>200.56016437599999</v>
      </c>
      <c r="AK14">
        <f>VLOOKUP(AF14, $AY$32:$BA$38, 3, FALSE)</f>
        <v>0</v>
      </c>
      <c r="AL14">
        <f>VLOOKUP(AF14, $AY$32:$BA$38, 2, FALSE)</f>
        <v>0</v>
      </c>
      <c r="AO14">
        <v>0</v>
      </c>
      <c r="AP14">
        <f>(AJ14*(1-AK14-AL14)-AO14)*B11</f>
        <v>120.33609862559999</v>
      </c>
      <c r="AQ14">
        <f>($AJ14*(1-$AK14-$AL14)-$AO14)*(1 -$B11)</f>
        <v>80.224065750400001</v>
      </c>
      <c r="AY14" t="s">
        <v>2</v>
      </c>
      <c r="AZ14">
        <v>5.0000000000000001E-3</v>
      </c>
      <c r="BD14" s="4" t="s">
        <v>232</v>
      </c>
    </row>
    <row r="15" spans="1:67" x14ac:dyDescent="0.2">
      <c r="AF15" t="s">
        <v>426</v>
      </c>
      <c r="AI15">
        <v>1</v>
      </c>
      <c r="AJ15">
        <f>AG15*AB11+AH15*AC11+AI15*AD11</f>
        <v>20.582919359999998</v>
      </c>
      <c r="AO15">
        <v>0</v>
      </c>
      <c r="AP15">
        <f>AJ15</f>
        <v>20.582919359999998</v>
      </c>
      <c r="BD15" s="4" t="s">
        <v>374</v>
      </c>
    </row>
    <row r="16" spans="1:67" x14ac:dyDescent="0.2">
      <c r="AF16" t="s">
        <v>440</v>
      </c>
      <c r="AG16">
        <f>SUM(AG11:AG15)</f>
        <v>1</v>
      </c>
      <c r="AH16">
        <f t="shared" ref="AH16:AI16" si="5">SUM(AH11:AH15)</f>
        <v>1</v>
      </c>
      <c r="AI16">
        <f t="shared" si="5"/>
        <v>1</v>
      </c>
      <c r="AJ16">
        <f>SUM(AJ11:AJ15)</f>
        <v>431.84642033599999</v>
      </c>
      <c r="AY16" t="s">
        <v>3</v>
      </c>
      <c r="AZ16">
        <f>44/28</f>
        <v>1.5714285714285714</v>
      </c>
      <c r="BD16" s="4" t="s">
        <v>375</v>
      </c>
    </row>
    <row r="17" spans="1:56" x14ac:dyDescent="0.2">
      <c r="BD17" s="4" t="s">
        <v>376</v>
      </c>
    </row>
    <row r="18" spans="1:56" x14ac:dyDescent="0.2">
      <c r="BD18" s="4" t="s">
        <v>377</v>
      </c>
    </row>
    <row r="19" spans="1:56" x14ac:dyDescent="0.2">
      <c r="AY19" t="s">
        <v>431</v>
      </c>
      <c r="AZ19">
        <v>0.02</v>
      </c>
      <c r="BD19" s="4" t="s">
        <v>378</v>
      </c>
    </row>
    <row r="21" spans="1:56" x14ac:dyDescent="0.2">
      <c r="A21" t="s">
        <v>450</v>
      </c>
      <c r="B21">
        <v>0.6</v>
      </c>
      <c r="C21" t="s">
        <v>80</v>
      </c>
      <c r="D21" t="s">
        <v>16</v>
      </c>
      <c r="E21" t="s">
        <v>405</v>
      </c>
      <c r="F21">
        <v>1000</v>
      </c>
      <c r="G21">
        <v>200</v>
      </c>
      <c r="H21">
        <f>HLOOKUP(E21,$AZ$23:$BC$29, 6, FALSE)</f>
        <v>0.35</v>
      </c>
      <c r="I21">
        <f>HLOOKUP(E21,$AZ$23:$BC$29, 2, FALSE)</f>
        <v>8.5999999999999993E-2</v>
      </c>
      <c r="J21">
        <f>HLOOKUP(E21,$AZ$23:$BC$29, 5, FALSE)</f>
        <v>0.19</v>
      </c>
      <c r="K21">
        <f>I21 * J21 / 6.25</f>
        <v>2.6144000000000002E-3</v>
      </c>
      <c r="L21">
        <f>K21 * (1 - H21)</f>
        <v>1.6993600000000002E-3</v>
      </c>
      <c r="M21">
        <f>F21 * L21 * G21</f>
        <v>339.87200000000001</v>
      </c>
      <c r="O21">
        <v>1</v>
      </c>
      <c r="R21">
        <f>SUM(N21:Q21)</f>
        <v>1</v>
      </c>
      <c r="S21" t="s">
        <v>422</v>
      </c>
      <c r="U21">
        <f>VLOOKUP(S21, $AY$32:$BA$38, 3, FALSE)</f>
        <v>1E-3</v>
      </c>
      <c r="V21">
        <f>VLOOKUP(S21, $AY$32:$AZ$38, 2, FALSE)</f>
        <v>0.3</v>
      </c>
      <c r="W21">
        <f>$M21 *N21</f>
        <v>0</v>
      </c>
      <c r="X21">
        <f>M22*N22</f>
        <v>0</v>
      </c>
      <c r="Y21">
        <f>M23*N23</f>
        <v>0</v>
      </c>
      <c r="Z21">
        <f>M24*N24</f>
        <v>14.510975999999999</v>
      </c>
      <c r="AA21">
        <f>SUM(W21:Z21)</f>
        <v>14.510975999999999</v>
      </c>
      <c r="AB21">
        <f>AA21*(1 - V21 - U21)</f>
        <v>10.143172223999999</v>
      </c>
      <c r="AC21">
        <f>AA22*(1 - V22 - U22)</f>
        <v>401.12032875199998</v>
      </c>
      <c r="AD21">
        <f>AA23*(1 - V23 - U23)</f>
        <v>20.582919359999998</v>
      </c>
      <c r="AE21">
        <f>AA24*(1 - V24 - U24)</f>
        <v>3.6277439999999999</v>
      </c>
      <c r="AF21" t="s">
        <v>428</v>
      </c>
      <c r="AG21">
        <v>0.6</v>
      </c>
      <c r="AJ21">
        <f>AG21*AB21+AH21*AC21+AI21*AD21</f>
        <v>6.0859033343999993</v>
      </c>
      <c r="AK21">
        <f>VLOOKUP(AF21, $AY$32:$BA$38, 3, FALSE)</f>
        <v>5.0000000000000001E-3</v>
      </c>
      <c r="AL21">
        <f>VLOOKUP(AF21, $AY$32:$BA$38, 2, FALSE)</f>
        <v>0.2</v>
      </c>
      <c r="AM21">
        <f>IF($C$21="yes",1,0)</f>
        <v>0</v>
      </c>
      <c r="AN21">
        <f>$AZ$19</f>
        <v>0.02</v>
      </c>
      <c r="AO21">
        <f>AJ21*AM21*AN21</f>
        <v>0</v>
      </c>
      <c r="AP21">
        <f>($AJ21*(1-$AK21-$AL21)-$AO21)*$B21</f>
        <v>2.9029758905087992</v>
      </c>
      <c r="AQ21">
        <f>($AJ21*(1-$AK21-$AL21)-$AO21)*(1 -$B21)</f>
        <v>1.9353172603391997</v>
      </c>
      <c r="AR21">
        <f>SUM(AP21:AP25)</f>
        <v>266.08123795537915</v>
      </c>
      <c r="AS21">
        <f>SUM(AQ21:AQ24)</f>
        <v>163.6655457302528</v>
      </c>
      <c r="AT21">
        <f>IF(ISBLANK(D21), "", IF(D21="wet", $AZ$13, $AZ$14))</f>
        <v>6.0000000000000001E-3</v>
      </c>
      <c r="AU21">
        <f>IF(ISBLANK(D21), "", $AZ$16)</f>
        <v>1.5714285714285714</v>
      </c>
      <c r="AV21">
        <f>IF(ISBLANK(D21), "", AR21*AT21*AU21/1000)</f>
        <v>2.5087659578650031E-3</v>
      </c>
      <c r="AW21">
        <f>IF(ISBLANK(D21), "", AS21*AT21*AU21/1000)</f>
        <v>1.5431322883138121E-3</v>
      </c>
      <c r="AY21" t="s">
        <v>413</v>
      </c>
    </row>
    <row r="22" spans="1:56" x14ac:dyDescent="0.2">
      <c r="E22" t="s">
        <v>415</v>
      </c>
      <c r="F22">
        <v>200</v>
      </c>
      <c r="G22">
        <v>150</v>
      </c>
      <c r="H22">
        <f>HLOOKUP(E22,$AZ$23:$BC$29, 6, FALSE)</f>
        <v>0.47</v>
      </c>
      <c r="I22">
        <f>HLOOKUP(E22,$AZ$23:$BC$29, 2, FALSE)</f>
        <v>9.2999999999999999E-2</v>
      </c>
      <c r="J22">
        <f>HLOOKUP(E22,$AZ$23:$BC$29, 5, FALSE)</f>
        <v>0.23</v>
      </c>
      <c r="K22">
        <f t="shared" ref="K22:K24" si="6">I22 * J22 / 6.25</f>
        <v>3.4223999999999999E-3</v>
      </c>
      <c r="L22">
        <f t="shared" ref="L22:L24" si="7">K22 * (1 - H22)</f>
        <v>1.813872E-3</v>
      </c>
      <c r="M22">
        <f t="shared" ref="M22:M24" si="8">F22 * L22 * G22</f>
        <v>54.416159999999998</v>
      </c>
      <c r="O22">
        <v>0.7</v>
      </c>
      <c r="P22">
        <v>0.3</v>
      </c>
      <c r="R22">
        <f t="shared" ref="R22:R24" si="9">SUM(N22:Q22)</f>
        <v>1</v>
      </c>
      <c r="S22" t="s">
        <v>419</v>
      </c>
      <c r="U22">
        <f>VLOOKUP(S22, $AY$32:$BA$38, 3, FALSE)</f>
        <v>1E-3</v>
      </c>
      <c r="V22">
        <f>VLOOKUP(S22, $AY$32:$AZ$38, 2, FALSE)</f>
        <v>0.05</v>
      </c>
      <c r="W22">
        <f>M21*O21</f>
        <v>339.87200000000001</v>
      </c>
      <c r="X22">
        <f>M22*O22</f>
        <v>38.091311999999995</v>
      </c>
      <c r="Y22">
        <f>M23*O23</f>
        <v>44.713535999999991</v>
      </c>
      <c r="Z22">
        <f>M24*O24</f>
        <v>0</v>
      </c>
      <c r="AA22">
        <f t="shared" ref="AA22:AA24" si="10">SUM(W22:Z22)</f>
        <v>422.67684800000001</v>
      </c>
      <c r="AF22" s="5" t="s">
        <v>429</v>
      </c>
      <c r="AG22" s="5">
        <v>0.4</v>
      </c>
      <c r="AH22" s="5"/>
      <c r="AI22" s="5"/>
      <c r="AJ22" s="5">
        <f>AG22*AB21+AH22*AC21+AI22*AD21</f>
        <v>4.0572688895999995</v>
      </c>
      <c r="AK22">
        <f>VLOOKUP(AF22, $AY$32:$BA$38, 3, FALSE)</f>
        <v>0.01</v>
      </c>
      <c r="AL22">
        <f>VLOOKUP(AF22, $AY$32:$BA$38, 2, FALSE)</f>
        <v>0.2</v>
      </c>
      <c r="AO22">
        <v>0</v>
      </c>
      <c r="AP22">
        <f>(AJ22*(1-AK22-AL22)-AO22)*B21</f>
        <v>1.9231454536703998</v>
      </c>
      <c r="AQ22">
        <f>($AJ22*(1-$AK22-$AL22)-$AO22)*(1 -$B21)</f>
        <v>1.2820969691136002</v>
      </c>
      <c r="AY22" s="9" t="s">
        <v>404</v>
      </c>
      <c r="BA22" s="5"/>
      <c r="BB22" s="5"/>
    </row>
    <row r="23" spans="1:56" ht="34" x14ac:dyDescent="0.2">
      <c r="E23" t="s">
        <v>416</v>
      </c>
      <c r="F23">
        <v>100</v>
      </c>
      <c r="G23">
        <v>300</v>
      </c>
      <c r="H23">
        <f>HLOOKUP(E23,$AZ$23:$BC$29, 6, FALSE)</f>
        <v>0.32</v>
      </c>
      <c r="I23">
        <f>HLOOKUP(E23,$AZ$23:$BC$29, 2, FALSE)</f>
        <v>0.10299999999999999</v>
      </c>
      <c r="J23">
        <f>HLOOKUP(E23,$AZ$23:$BC$29, 5, FALSE)</f>
        <v>0.19</v>
      </c>
      <c r="K23">
        <f t="shared" si="6"/>
        <v>3.1312000000000002E-3</v>
      </c>
      <c r="L23">
        <f t="shared" si="7"/>
        <v>2.1292159999999997E-3</v>
      </c>
      <c r="M23">
        <f t="shared" si="8"/>
        <v>63.876479999999994</v>
      </c>
      <c r="O23">
        <v>0.7</v>
      </c>
      <c r="P23">
        <v>0.3</v>
      </c>
      <c r="R23">
        <f t="shared" si="9"/>
        <v>1</v>
      </c>
      <c r="S23" t="s">
        <v>420</v>
      </c>
      <c r="U23">
        <f>VLOOKUP(S23, $AY$32:$BA$38, 3, FALSE)</f>
        <v>0.02</v>
      </c>
      <c r="V23">
        <f>VLOOKUP(S23, $AY$32:$AZ$38, 2, FALSE)</f>
        <v>0.4</v>
      </c>
      <c r="W23">
        <f>M21*P21</f>
        <v>0</v>
      </c>
      <c r="X23">
        <f>M22*P22</f>
        <v>16.324847999999999</v>
      </c>
      <c r="Y23">
        <f>M23*P23</f>
        <v>19.162943999999996</v>
      </c>
      <c r="Z23">
        <f>M24*P24</f>
        <v>0</v>
      </c>
      <c r="AA23">
        <f t="shared" si="10"/>
        <v>35.487791999999999</v>
      </c>
      <c r="AF23" s="5" t="s">
        <v>430</v>
      </c>
      <c r="AG23" s="5"/>
      <c r="AH23" s="5">
        <v>0.5</v>
      </c>
      <c r="AI23" s="5"/>
      <c r="AJ23" s="5">
        <f>AG23*AB21+AH23*AC21+AI23*AD21</f>
        <v>200.56016437599999</v>
      </c>
      <c r="AK23">
        <f>VLOOKUP(AF23, $AY$32:$BA$38, 3, FALSE)</f>
        <v>0</v>
      </c>
      <c r="AL23">
        <f>VLOOKUP(AF23, $AY$32:$BA$38, 2, FALSE)</f>
        <v>0</v>
      </c>
      <c r="AO23">
        <v>0</v>
      </c>
      <c r="AP23">
        <f>(AJ23*(1-AK23-AL23)-AO23)*B21</f>
        <v>120.33609862559999</v>
      </c>
      <c r="AQ23">
        <f>($AJ23*(1-$AK23-$AL23)-$AO23)*(1 -$B21)</f>
        <v>80.224065750400001</v>
      </c>
      <c r="AY23" s="9"/>
      <c r="AZ23" s="6" t="s">
        <v>405</v>
      </c>
      <c r="BA23" s="6" t="s">
        <v>415</v>
      </c>
      <c r="BB23" s="6" t="s">
        <v>416</v>
      </c>
      <c r="BC23" s="6" t="s">
        <v>406</v>
      </c>
    </row>
    <row r="24" spans="1:56" x14ac:dyDescent="0.2">
      <c r="E24" t="s">
        <v>406</v>
      </c>
      <c r="F24">
        <v>50</v>
      </c>
      <c r="G24">
        <v>200</v>
      </c>
      <c r="H24">
        <f>HLOOKUP(E24,$AZ$23:$BC$29, 6, FALSE)</f>
        <v>0.47</v>
      </c>
      <c r="I24">
        <f>HLOOKUP(E24,$AZ$23:$BC$29, 2, FALSE)</f>
        <v>9.2999999999999999E-2</v>
      </c>
      <c r="J24">
        <f>HLOOKUP(E24,$AZ$23:$BC$29, 5, FALSE)</f>
        <v>0.23</v>
      </c>
      <c r="K24">
        <f t="shared" si="6"/>
        <v>3.4223999999999999E-3</v>
      </c>
      <c r="L24">
        <f t="shared" si="7"/>
        <v>1.813872E-3</v>
      </c>
      <c r="M24">
        <f t="shared" si="8"/>
        <v>18.138719999999999</v>
      </c>
      <c r="N24">
        <v>0.8</v>
      </c>
      <c r="Q24">
        <v>0.2</v>
      </c>
      <c r="R24">
        <f t="shared" si="9"/>
        <v>1</v>
      </c>
      <c r="S24" t="s">
        <v>423</v>
      </c>
      <c r="W24">
        <f>M21*Q21</f>
        <v>0</v>
      </c>
      <c r="X24">
        <f>M22*Q22</f>
        <v>0</v>
      </c>
      <c r="Y24">
        <f>M23*Q23</f>
        <v>0</v>
      </c>
      <c r="Z24">
        <f>M24*Q24</f>
        <v>3.6277439999999999</v>
      </c>
      <c r="AA24">
        <f t="shared" si="10"/>
        <v>3.6277439999999999</v>
      </c>
      <c r="AC24" t="s">
        <v>297</v>
      </c>
      <c r="AD24">
        <f>SUM(AB21:AD21)</f>
        <v>431.84642033599999</v>
      </c>
      <c r="AF24" t="s">
        <v>427</v>
      </c>
      <c r="AH24">
        <v>0.5</v>
      </c>
      <c r="AJ24">
        <f>AG24*AB21+AH24*AC21+AI24*AD21</f>
        <v>200.56016437599999</v>
      </c>
      <c r="AK24">
        <f>VLOOKUP(AF24, $AY$32:$BA$38, 3, FALSE)</f>
        <v>0</v>
      </c>
      <c r="AL24">
        <f>VLOOKUP(AF24, $AY$32:$BA$38, 2, FALSE)</f>
        <v>0</v>
      </c>
      <c r="AO24">
        <v>0</v>
      </c>
      <c r="AP24">
        <f>(AJ24*(1-AK24-AL24)-AO24)*B21</f>
        <v>120.33609862559999</v>
      </c>
      <c r="AQ24">
        <f>($AJ24*(1-$AK24-$AL24)-$AO24)*(1 -$B21)</f>
        <v>80.224065750400001</v>
      </c>
      <c r="AY24" s="5" t="s">
        <v>407</v>
      </c>
      <c r="AZ24" s="10">
        <v>8.5999999999999993E-2</v>
      </c>
      <c r="BA24" s="10">
        <v>9.2999999999999999E-2</v>
      </c>
      <c r="BB24" s="10">
        <v>0.10299999999999999</v>
      </c>
      <c r="BC24" s="10">
        <v>9.2999999999999999E-2</v>
      </c>
    </row>
    <row r="25" spans="1:56" x14ac:dyDescent="0.2">
      <c r="AF25" t="s">
        <v>426</v>
      </c>
      <c r="AI25">
        <v>1</v>
      </c>
      <c r="AJ25">
        <f>AG25*AB21+AH25*AC21+AI25*AD21</f>
        <v>20.582919359999998</v>
      </c>
      <c r="AO25">
        <v>0</v>
      </c>
      <c r="AP25">
        <f>AJ25</f>
        <v>20.582919359999998</v>
      </c>
      <c r="AY25" s="5" t="s">
        <v>408</v>
      </c>
      <c r="AZ25" s="10"/>
      <c r="BA25" s="10"/>
      <c r="BB25" s="10"/>
      <c r="BC25" s="10"/>
    </row>
    <row r="26" spans="1:56" x14ac:dyDescent="0.2">
      <c r="AF26" t="s">
        <v>440</v>
      </c>
      <c r="AG26">
        <f>SUM(AG21:AG25)</f>
        <v>1</v>
      </c>
      <c r="AH26">
        <f t="shared" ref="AH26" si="11">SUM(AH21:AH25)</f>
        <v>1</v>
      </c>
      <c r="AI26">
        <f t="shared" ref="AI26" si="12">SUM(AI21:AI25)</f>
        <v>1</v>
      </c>
      <c r="AJ26">
        <f>SUM(AJ21:AJ25)</f>
        <v>431.84642033599999</v>
      </c>
      <c r="AY26" s="5" t="s">
        <v>409</v>
      </c>
      <c r="AZ26" s="8">
        <v>0.8</v>
      </c>
      <c r="BA26" s="8">
        <v>0.8</v>
      </c>
      <c r="BB26" s="8">
        <v>0.8</v>
      </c>
      <c r="BC26" s="8">
        <v>0.8</v>
      </c>
    </row>
    <row r="27" spans="1:56" x14ac:dyDescent="0.2">
      <c r="AY27" s="5" t="s">
        <v>410</v>
      </c>
      <c r="AZ27" s="8">
        <v>0.19</v>
      </c>
      <c r="BA27" s="8">
        <v>0.23</v>
      </c>
      <c r="BB27" s="8">
        <v>0.19</v>
      </c>
      <c r="BC27" s="8">
        <v>0.23</v>
      </c>
    </row>
    <row r="28" spans="1:56" x14ac:dyDescent="0.2">
      <c r="AY28" s="5" t="s">
        <v>411</v>
      </c>
      <c r="AZ28" s="8">
        <v>0.35</v>
      </c>
      <c r="BA28" s="8">
        <v>0.47</v>
      </c>
      <c r="BB28" s="8">
        <v>0.32</v>
      </c>
      <c r="BC28" s="8">
        <v>0.47</v>
      </c>
    </row>
    <row r="29" spans="1:56" x14ac:dyDescent="0.2">
      <c r="AY29" s="5" t="s">
        <v>412</v>
      </c>
      <c r="AZ29" s="8">
        <v>0.18</v>
      </c>
      <c r="BA29" s="8">
        <v>0.15</v>
      </c>
      <c r="BB29" s="8">
        <v>0.18</v>
      </c>
      <c r="BC29" s="8">
        <v>0.15</v>
      </c>
    </row>
    <row r="31" spans="1:56" x14ac:dyDescent="0.2">
      <c r="A31" t="s">
        <v>451</v>
      </c>
      <c r="B31">
        <v>0.6</v>
      </c>
      <c r="C31" t="s">
        <v>77</v>
      </c>
      <c r="D31" t="s">
        <v>19</v>
      </c>
      <c r="E31" t="s">
        <v>405</v>
      </c>
      <c r="F31">
        <v>1000</v>
      </c>
      <c r="G31">
        <v>200</v>
      </c>
      <c r="H31">
        <f>HLOOKUP(E31,$AZ$23:$BC$29, 6, FALSE)</f>
        <v>0.35</v>
      </c>
      <c r="I31">
        <f>HLOOKUP(E31,$AZ$23:$BC$29, 2, FALSE)</f>
        <v>8.5999999999999993E-2</v>
      </c>
      <c r="J31">
        <f>HLOOKUP(E31,$AZ$23:$BC$29, 5, FALSE)</f>
        <v>0.19</v>
      </c>
      <c r="K31">
        <f>I31 * J31 / 6.25</f>
        <v>2.6144000000000002E-3</v>
      </c>
      <c r="L31">
        <f>K31 * (1 - H31)</f>
        <v>1.6993600000000002E-3</v>
      </c>
      <c r="M31">
        <f>F31 * L31 * G31</f>
        <v>339.87200000000001</v>
      </c>
      <c r="O31">
        <v>1</v>
      </c>
      <c r="R31">
        <f>SUM(N31:Q31)</f>
        <v>1</v>
      </c>
      <c r="S31" t="s">
        <v>422</v>
      </c>
      <c r="U31">
        <f>VLOOKUP(S31, $AY$32:$BA$38, 3, FALSE)</f>
        <v>1E-3</v>
      </c>
      <c r="V31">
        <f>VLOOKUP(S31, $AY$32:$AZ$38, 2, FALSE)</f>
        <v>0.3</v>
      </c>
      <c r="W31">
        <f>$M31 *N31</f>
        <v>0</v>
      </c>
      <c r="X31">
        <f>M32*N32</f>
        <v>0</v>
      </c>
      <c r="Y31">
        <f>M33*N33</f>
        <v>0</v>
      </c>
      <c r="Z31">
        <f>M34*N34</f>
        <v>14.510975999999999</v>
      </c>
      <c r="AA31">
        <f>SUM(W31:Z31)</f>
        <v>14.510975999999999</v>
      </c>
      <c r="AB31">
        <f>AA31*(1 - V31 - U31)</f>
        <v>10.143172223999999</v>
      </c>
      <c r="AC31">
        <f>AA32*(1 - V32 - U32)</f>
        <v>401.12032875199998</v>
      </c>
      <c r="AD31">
        <f>AA33*(1 - V33 - U33)</f>
        <v>20.582919359999998</v>
      </c>
      <c r="AE31">
        <f>AA34*(1 - V34 - U34)</f>
        <v>3.6277439999999999</v>
      </c>
      <c r="AF31" t="s">
        <v>428</v>
      </c>
      <c r="AG31">
        <v>0.6</v>
      </c>
      <c r="AJ31">
        <f>AG31*AB31+AH31*AC31+AI31*AD31</f>
        <v>6.0859033343999993</v>
      </c>
      <c r="AK31">
        <f>VLOOKUP(AF31, $AY$32:$BA$38, 3, FALSE)</f>
        <v>5.0000000000000001E-3</v>
      </c>
      <c r="AL31">
        <f>VLOOKUP(AF31, $AY$32:$BA$38, 2, FALSE)</f>
        <v>0.2</v>
      </c>
      <c r="AM31">
        <f>IF($C$31="yes",1,0)</f>
        <v>1</v>
      </c>
      <c r="AN31">
        <f>$AZ$19</f>
        <v>0.02</v>
      </c>
      <c r="AO31">
        <f>AJ31*AM31*AN31</f>
        <v>0.12171806668799999</v>
      </c>
      <c r="AP31">
        <f>($AJ31*(1-$AK31-$AL31)-$AO31)*$B31</f>
        <v>2.8299450504959998</v>
      </c>
      <c r="AQ31">
        <f>($AJ31*(1-$AK31-$AL31)-$AO31)*(1 -$B31)</f>
        <v>1.8866300336639998</v>
      </c>
      <c r="AR31">
        <f>SUM(AP31:AP35)</f>
        <v>266.00820711536636</v>
      </c>
      <c r="AS31">
        <f>SUM(AQ31:AQ34)</f>
        <v>163.61685850357759</v>
      </c>
      <c r="AT31">
        <f>IF(ISBLANK(D31), "", IF(D31="wet", $AZ$13, $AZ$14))</f>
        <v>5.0000000000000001E-3</v>
      </c>
      <c r="AU31">
        <f>IF(ISBLANK(D31), "", $AZ$16)</f>
        <v>1.5714285714285714</v>
      </c>
      <c r="AV31">
        <f>IF(ISBLANK(D31), "", AR31*AT31*AU31/1000)</f>
        <v>2.0900644844778784E-3</v>
      </c>
      <c r="AW31">
        <f>IF(ISBLANK(D31), "", AS31*AT31*AU31/1000)</f>
        <v>1.2855610310995383E-3</v>
      </c>
      <c r="AY31" s="5" t="s">
        <v>418</v>
      </c>
      <c r="AZ31" s="5" t="s">
        <v>421</v>
      </c>
      <c r="BA31" s="5" t="s">
        <v>424</v>
      </c>
    </row>
    <row r="32" spans="1:56" x14ac:dyDescent="0.2">
      <c r="E32" t="s">
        <v>415</v>
      </c>
      <c r="F32">
        <v>200</v>
      </c>
      <c r="G32">
        <v>150</v>
      </c>
      <c r="H32">
        <f>HLOOKUP(E32,$AZ$23:$BC$29, 6, FALSE)</f>
        <v>0.47</v>
      </c>
      <c r="I32">
        <f>HLOOKUP(E32,$AZ$23:$BC$29, 2, FALSE)</f>
        <v>9.2999999999999999E-2</v>
      </c>
      <c r="J32">
        <f>HLOOKUP(E32,$AZ$23:$BC$29, 5, FALSE)</f>
        <v>0.23</v>
      </c>
      <c r="K32">
        <f t="shared" ref="K32:K34" si="13">I32 * J32 / 6.25</f>
        <v>3.4223999999999999E-3</v>
      </c>
      <c r="L32">
        <f t="shared" ref="L32:L34" si="14">K32 * (1 - H32)</f>
        <v>1.813872E-3</v>
      </c>
      <c r="M32">
        <f t="shared" ref="M32:M34" si="15">F32 * L32 * G32</f>
        <v>54.416159999999998</v>
      </c>
      <c r="O32">
        <v>0.7</v>
      </c>
      <c r="P32">
        <v>0.3</v>
      </c>
      <c r="R32">
        <f t="shared" ref="R32:R34" si="16">SUM(N32:Q32)</f>
        <v>1</v>
      </c>
      <c r="S32" t="s">
        <v>419</v>
      </c>
      <c r="U32">
        <f>VLOOKUP(S32, $AY$32:$BA$38, 3, FALSE)</f>
        <v>1E-3</v>
      </c>
      <c r="V32">
        <f>VLOOKUP(S32, $AY$32:$AZ$38, 2, FALSE)</f>
        <v>0.05</v>
      </c>
      <c r="W32">
        <f>M31*O31</f>
        <v>339.87200000000001</v>
      </c>
      <c r="X32">
        <f>M32*O32</f>
        <v>38.091311999999995</v>
      </c>
      <c r="Y32">
        <f>M33*O33</f>
        <v>44.713535999999991</v>
      </c>
      <c r="Z32">
        <f>M34*O34</f>
        <v>0</v>
      </c>
      <c r="AA32">
        <f t="shared" ref="AA32:AA34" si="17">SUM(W32:Z32)</f>
        <v>422.67684800000001</v>
      </c>
      <c r="AF32" s="5" t="s">
        <v>429</v>
      </c>
      <c r="AG32" s="5">
        <v>0.4</v>
      </c>
      <c r="AH32" s="5"/>
      <c r="AI32" s="5"/>
      <c r="AJ32" s="5">
        <f>AG32*AB31+AH32*AC31+AI32*AD31</f>
        <v>4.0572688895999995</v>
      </c>
      <c r="AK32">
        <f>VLOOKUP(AF32, $AY$32:$BA$38, 3, FALSE)</f>
        <v>0.01</v>
      </c>
      <c r="AL32">
        <f>VLOOKUP(AF32, $AY$32:$BA$38, 2, FALSE)</f>
        <v>0.2</v>
      </c>
      <c r="AO32">
        <v>0</v>
      </c>
      <c r="AP32">
        <f>(AJ32*(1-AK32-AL32)-AO32)*B31</f>
        <v>1.9231454536703998</v>
      </c>
      <c r="AQ32">
        <f>($AJ32*(1-$AK32-$AL32)-$AO32)*(1 -$B31)</f>
        <v>1.2820969691136002</v>
      </c>
      <c r="AY32" s="5" t="s">
        <v>422</v>
      </c>
      <c r="AZ32">
        <v>0.3</v>
      </c>
      <c r="BA32" s="5">
        <v>1E-3</v>
      </c>
    </row>
    <row r="33" spans="1:53" x14ac:dyDescent="0.2">
      <c r="E33" t="s">
        <v>416</v>
      </c>
      <c r="F33">
        <v>100</v>
      </c>
      <c r="G33">
        <v>300</v>
      </c>
      <c r="H33">
        <f>HLOOKUP(E33,$AZ$23:$BC$29, 6, FALSE)</f>
        <v>0.32</v>
      </c>
      <c r="I33">
        <f>HLOOKUP(E33,$AZ$23:$BC$29, 2, FALSE)</f>
        <v>0.10299999999999999</v>
      </c>
      <c r="J33">
        <f>HLOOKUP(E33,$AZ$23:$BC$29, 5, FALSE)</f>
        <v>0.19</v>
      </c>
      <c r="K33">
        <f t="shared" si="13"/>
        <v>3.1312000000000002E-3</v>
      </c>
      <c r="L33">
        <f t="shared" si="14"/>
        <v>2.1292159999999997E-3</v>
      </c>
      <c r="M33">
        <f t="shared" si="15"/>
        <v>63.876479999999994</v>
      </c>
      <c r="O33">
        <v>0.7</v>
      </c>
      <c r="P33">
        <v>0.3</v>
      </c>
      <c r="R33">
        <f t="shared" si="16"/>
        <v>1</v>
      </c>
      <c r="S33" t="s">
        <v>420</v>
      </c>
      <c r="U33">
        <f>VLOOKUP(S33, $AY$32:$BA$38, 3, FALSE)</f>
        <v>0.02</v>
      </c>
      <c r="V33">
        <f>VLOOKUP(S33, $AY$32:$AZ$38, 2, FALSE)</f>
        <v>0.4</v>
      </c>
      <c r="W33">
        <f>M31*P31</f>
        <v>0</v>
      </c>
      <c r="X33">
        <f>M32*P32</f>
        <v>16.324847999999999</v>
      </c>
      <c r="Y33">
        <f>M33*P33</f>
        <v>19.162943999999996</v>
      </c>
      <c r="Z33">
        <f>M34*P34</f>
        <v>0</v>
      </c>
      <c r="AA33">
        <f t="shared" si="17"/>
        <v>35.487791999999999</v>
      </c>
      <c r="AF33" s="5" t="s">
        <v>430</v>
      </c>
      <c r="AG33" s="5"/>
      <c r="AH33" s="5">
        <v>0.5</v>
      </c>
      <c r="AI33" s="5"/>
      <c r="AJ33" s="5">
        <f>AG33*AB31+AH33*AC31+AI33*AD31</f>
        <v>200.56016437599999</v>
      </c>
      <c r="AK33">
        <f>VLOOKUP(AF33, $AY$32:$BA$38, 3, FALSE)</f>
        <v>0</v>
      </c>
      <c r="AL33">
        <f>VLOOKUP(AF33, $AY$32:$BA$38, 2, FALSE)</f>
        <v>0</v>
      </c>
      <c r="AO33">
        <v>0</v>
      </c>
      <c r="AP33">
        <f>(AJ33*(1-AK33-AL33)-AO33)*B31</f>
        <v>120.33609862559999</v>
      </c>
      <c r="AQ33">
        <f>($AJ33*(1-$AK33-$AL33)-$AO33)*(1 -$B31)</f>
        <v>80.224065750400001</v>
      </c>
      <c r="AY33" s="5" t="s">
        <v>419</v>
      </c>
      <c r="AZ33">
        <v>0.05</v>
      </c>
      <c r="BA33" s="5">
        <v>1E-3</v>
      </c>
    </row>
    <row r="34" spans="1:53" x14ac:dyDescent="0.2">
      <c r="E34" t="s">
        <v>406</v>
      </c>
      <c r="F34">
        <v>50</v>
      </c>
      <c r="G34">
        <v>200</v>
      </c>
      <c r="H34">
        <f>HLOOKUP(E34,$AZ$23:$BC$29, 6, FALSE)</f>
        <v>0.47</v>
      </c>
      <c r="I34">
        <f>HLOOKUP(E34,$AZ$23:$BC$29, 2, FALSE)</f>
        <v>9.2999999999999999E-2</v>
      </c>
      <c r="J34">
        <f>HLOOKUP(E34,$AZ$23:$BC$29, 5, FALSE)</f>
        <v>0.23</v>
      </c>
      <c r="K34">
        <f t="shared" si="13"/>
        <v>3.4223999999999999E-3</v>
      </c>
      <c r="L34">
        <f t="shared" si="14"/>
        <v>1.813872E-3</v>
      </c>
      <c r="M34">
        <f t="shared" si="15"/>
        <v>18.138719999999999</v>
      </c>
      <c r="N34">
        <v>0.8</v>
      </c>
      <c r="Q34">
        <v>0.2</v>
      </c>
      <c r="R34">
        <f t="shared" si="16"/>
        <v>1</v>
      </c>
      <c r="S34" t="s">
        <v>423</v>
      </c>
      <c r="W34">
        <f>M31*Q31</f>
        <v>0</v>
      </c>
      <c r="X34">
        <f>M32*Q32</f>
        <v>0</v>
      </c>
      <c r="Y34">
        <f>M33*Q33</f>
        <v>0</v>
      </c>
      <c r="Z34">
        <f>M34*Q34</f>
        <v>3.6277439999999999</v>
      </c>
      <c r="AA34">
        <f t="shared" si="17"/>
        <v>3.6277439999999999</v>
      </c>
      <c r="AC34" t="s">
        <v>297</v>
      </c>
      <c r="AD34">
        <f>SUM(AB31:AD31)</f>
        <v>431.84642033599999</v>
      </c>
      <c r="AF34" t="s">
        <v>427</v>
      </c>
      <c r="AH34">
        <v>0.5</v>
      </c>
      <c r="AJ34">
        <f>AG34*AB31+AH34*AC31+AI34*AD31</f>
        <v>200.56016437599999</v>
      </c>
      <c r="AK34">
        <f>VLOOKUP(AF34, $AY$32:$BA$38, 3, FALSE)</f>
        <v>0</v>
      </c>
      <c r="AL34">
        <f>VLOOKUP(AF34, $AY$32:$BA$38, 2, FALSE)</f>
        <v>0</v>
      </c>
      <c r="AO34">
        <v>0</v>
      </c>
      <c r="AP34">
        <f>(AJ34*(1-AK34-AL34)-AO34)*B31</f>
        <v>120.33609862559999</v>
      </c>
      <c r="AQ34">
        <f>($AJ34*(1-$AK34-$AL34)-$AO34)*(1 -$B31)</f>
        <v>80.224065750400001</v>
      </c>
      <c r="AY34" s="5" t="s">
        <v>420</v>
      </c>
      <c r="AZ34">
        <v>0.4</v>
      </c>
      <c r="BA34" s="5">
        <v>0.02</v>
      </c>
    </row>
    <row r="35" spans="1:53" x14ac:dyDescent="0.2">
      <c r="AF35" t="s">
        <v>426</v>
      </c>
      <c r="AI35">
        <v>1</v>
      </c>
      <c r="AJ35">
        <f>AG35*AB31+AH35*AC31+AI35*AD31</f>
        <v>20.582919359999998</v>
      </c>
      <c r="AO35">
        <v>0</v>
      </c>
      <c r="AP35">
        <f>AJ35</f>
        <v>20.582919359999998</v>
      </c>
      <c r="AY35" s="5" t="s">
        <v>428</v>
      </c>
      <c r="AZ35">
        <v>0.2</v>
      </c>
      <c r="BA35" s="5">
        <v>5.0000000000000001E-3</v>
      </c>
    </row>
    <row r="36" spans="1:53" x14ac:dyDescent="0.2">
      <c r="AF36" t="s">
        <v>440</v>
      </c>
      <c r="AG36">
        <f>SUM(AG31:AG35)</f>
        <v>1</v>
      </c>
      <c r="AH36">
        <f t="shared" ref="AH36" si="18">SUM(AH31:AH35)</f>
        <v>1</v>
      </c>
      <c r="AI36">
        <f t="shared" ref="AI36" si="19">SUM(AI31:AI35)</f>
        <v>1</v>
      </c>
      <c r="AJ36">
        <f>SUM(AJ31:AJ35)</f>
        <v>431.84642033599999</v>
      </c>
      <c r="AY36" s="5" t="s">
        <v>429</v>
      </c>
      <c r="AZ36">
        <v>0.2</v>
      </c>
      <c r="BA36" s="5">
        <v>0.01</v>
      </c>
    </row>
    <row r="37" spans="1:53" x14ac:dyDescent="0.2">
      <c r="AY37" s="5" t="s">
        <v>427</v>
      </c>
      <c r="AZ37">
        <v>0</v>
      </c>
      <c r="BA37" s="5">
        <v>0</v>
      </c>
    </row>
    <row r="38" spans="1:53" x14ac:dyDescent="0.2">
      <c r="AY38" s="5" t="s">
        <v>430</v>
      </c>
      <c r="AZ38">
        <v>0</v>
      </c>
      <c r="BA38" s="5">
        <v>0</v>
      </c>
    </row>
    <row r="41" spans="1:53" x14ac:dyDescent="0.2">
      <c r="A41" t="s">
        <v>452</v>
      </c>
      <c r="B41">
        <v>0.6</v>
      </c>
      <c r="C41" t="s">
        <v>77</v>
      </c>
      <c r="D41" t="s">
        <v>16</v>
      </c>
      <c r="E41" t="s">
        <v>405</v>
      </c>
      <c r="F41">
        <v>1000</v>
      </c>
      <c r="G41">
        <v>200</v>
      </c>
      <c r="H41">
        <f>HLOOKUP(E41,$AZ$23:$BC$29, 6, FALSE)</f>
        <v>0.35</v>
      </c>
      <c r="I41">
        <f>HLOOKUP(E41,$AZ$23:$BC$29, 2, FALSE)</f>
        <v>8.5999999999999993E-2</v>
      </c>
      <c r="J41">
        <f>HLOOKUP(E41,$AZ$23:$BC$29, 5, FALSE)</f>
        <v>0.19</v>
      </c>
      <c r="K41">
        <f>I41 * J41 / 6.25</f>
        <v>2.6144000000000002E-3</v>
      </c>
      <c r="L41">
        <f>K41 * (1 - H41)</f>
        <v>1.6993600000000002E-3</v>
      </c>
      <c r="M41">
        <f>F41 * L41 * G41</f>
        <v>339.87200000000001</v>
      </c>
      <c r="N41">
        <v>1</v>
      </c>
      <c r="O41">
        <v>0</v>
      </c>
      <c r="R41">
        <f>SUM(N41:Q41)</f>
        <v>1</v>
      </c>
      <c r="S41" t="s">
        <v>422</v>
      </c>
      <c r="U41">
        <f>VLOOKUP(S41, $AY$32:$BA$38, 3, FALSE)</f>
        <v>1E-3</v>
      </c>
      <c r="V41">
        <f>VLOOKUP(S41, $AY$32:$AZ$38, 2, FALSE)</f>
        <v>0.3</v>
      </c>
      <c r="W41">
        <f>$M41 *N41</f>
        <v>339.87200000000001</v>
      </c>
      <c r="X41">
        <f>M42*N42</f>
        <v>54.416159999999998</v>
      </c>
      <c r="Y41">
        <f>M43*N43</f>
        <v>63.876479999999994</v>
      </c>
      <c r="Z41">
        <f>M44*N44</f>
        <v>18.138719999999999</v>
      </c>
      <c r="AA41">
        <f>SUM(W41:Z41)</f>
        <v>476.30336</v>
      </c>
      <c r="AB41">
        <f>AA41*(1 - V41 - U41)</f>
        <v>332.93604863999997</v>
      </c>
      <c r="AC41">
        <f>AA42*(1 - V42 - U42)</f>
        <v>0</v>
      </c>
      <c r="AD41">
        <f>AA43*(1 - V43 - U43)</f>
        <v>0</v>
      </c>
      <c r="AE41">
        <f>AA44*(1 - V44 - U44)</f>
        <v>0</v>
      </c>
      <c r="AF41" t="s">
        <v>428</v>
      </c>
      <c r="AG41">
        <v>0</v>
      </c>
      <c r="AJ41">
        <f>AG41*AB41+AH41*AC41+AI41*AD41</f>
        <v>0</v>
      </c>
      <c r="AK41">
        <f>VLOOKUP(AF41, $AY$32:$BA$38, 3, FALSE)</f>
        <v>5.0000000000000001E-3</v>
      </c>
      <c r="AL41">
        <f>VLOOKUP(AF41, $AY$32:$BA$38, 2, FALSE)</f>
        <v>0.2</v>
      </c>
      <c r="AM41">
        <f>IF($C$41="yes",1,0)</f>
        <v>1</v>
      </c>
      <c r="AN41">
        <f>$AZ$19</f>
        <v>0.02</v>
      </c>
      <c r="AO41">
        <f>AJ41*AM41*AN41</f>
        <v>0</v>
      </c>
      <c r="AP41">
        <f>($AJ41*(1-$AK41-$AL41)-$AO41)*$B41</f>
        <v>0</v>
      </c>
      <c r="AQ41">
        <f>($AJ41*(1-$AK41-$AL41)-$AO41)*(1 -$B41)</f>
        <v>0</v>
      </c>
      <c r="AR41">
        <f>SUM(AP41:AP45)</f>
        <v>199.76162918399999</v>
      </c>
      <c r="AS41">
        <f>SUM(AQ41:AQ44)</f>
        <v>133.17441945599998</v>
      </c>
      <c r="AT41">
        <f>IF(ISBLANK(D41), "", IF(D41="wet", $AZ$13, $AZ$14))</f>
        <v>6.0000000000000001E-3</v>
      </c>
      <c r="AU41">
        <f>IF(ISBLANK(D41), "", $AZ$16)</f>
        <v>1.5714285714285714</v>
      </c>
      <c r="AV41">
        <f>IF(ISBLANK(D41), "", AR41*AT41*AU41/1000)</f>
        <v>1.8834667894491426E-3</v>
      </c>
      <c r="AW41">
        <f>IF(ISBLANK(D41), "", AS41*AT41*AU41/1000)</f>
        <v>1.2556445262994285E-3</v>
      </c>
    </row>
    <row r="42" spans="1:53" x14ac:dyDescent="0.2">
      <c r="E42" t="s">
        <v>415</v>
      </c>
      <c r="F42">
        <v>200</v>
      </c>
      <c r="G42">
        <v>150</v>
      </c>
      <c r="H42">
        <f>HLOOKUP(E42,$AZ$23:$BC$29, 6, FALSE)</f>
        <v>0.47</v>
      </c>
      <c r="I42">
        <f>HLOOKUP(E42,$AZ$23:$BC$29, 2, FALSE)</f>
        <v>9.2999999999999999E-2</v>
      </c>
      <c r="J42">
        <f>HLOOKUP(E42,$AZ$23:$BC$29, 5, FALSE)</f>
        <v>0.23</v>
      </c>
      <c r="K42">
        <f t="shared" ref="K42:K44" si="20">I42 * J42 / 6.25</f>
        <v>3.4223999999999999E-3</v>
      </c>
      <c r="L42">
        <f t="shared" ref="L42:L44" si="21">K42 * (1 - H42)</f>
        <v>1.813872E-3</v>
      </c>
      <c r="M42">
        <f t="shared" ref="M42:M44" si="22">F42 * L42 * G42</f>
        <v>54.416159999999998</v>
      </c>
      <c r="N42">
        <v>1</v>
      </c>
      <c r="O42">
        <v>0</v>
      </c>
      <c r="P42">
        <v>0</v>
      </c>
      <c r="R42">
        <f t="shared" ref="R42:R44" si="23">SUM(N42:Q42)</f>
        <v>1</v>
      </c>
      <c r="S42" t="s">
        <v>419</v>
      </c>
      <c r="U42">
        <f>VLOOKUP(S42, $AY$32:$BA$38, 3, FALSE)</f>
        <v>1E-3</v>
      </c>
      <c r="V42">
        <f>VLOOKUP(S42, $AY$32:$AZ$38, 2, FALSE)</f>
        <v>0.05</v>
      </c>
      <c r="W42">
        <f>M41*O41</f>
        <v>0</v>
      </c>
      <c r="X42">
        <f>M42*O42</f>
        <v>0</v>
      </c>
      <c r="Y42">
        <f>M43*O43</f>
        <v>0</v>
      </c>
      <c r="Z42">
        <f>M44*O44</f>
        <v>0</v>
      </c>
      <c r="AA42">
        <f t="shared" ref="AA42:AA44" si="24">SUM(W42:Z42)</f>
        <v>0</v>
      </c>
      <c r="AF42" s="5" t="s">
        <v>429</v>
      </c>
      <c r="AG42" s="5">
        <v>0</v>
      </c>
      <c r="AH42" s="5"/>
      <c r="AI42" s="5"/>
      <c r="AJ42" s="5">
        <f>AG42*AB41+AH42*AC41+AI42*AD41</f>
        <v>0</v>
      </c>
      <c r="AK42">
        <f>VLOOKUP(AF42, $AY$32:$BA$38, 3, FALSE)</f>
        <v>0.01</v>
      </c>
      <c r="AL42">
        <f>VLOOKUP(AF42, $AY$32:$BA$38, 2, FALSE)</f>
        <v>0.2</v>
      </c>
      <c r="AO42">
        <v>0</v>
      </c>
      <c r="AP42">
        <f>(AJ42*(1-AK42-AL42)-AO42)*B41</f>
        <v>0</v>
      </c>
      <c r="AQ42">
        <f>($AJ42*(1-$AK42-$AL42)-$AO42)*(1 -$B41)</f>
        <v>0</v>
      </c>
    </row>
    <row r="43" spans="1:53" x14ac:dyDescent="0.2">
      <c r="E43" t="s">
        <v>416</v>
      </c>
      <c r="F43">
        <v>100</v>
      </c>
      <c r="G43">
        <v>300</v>
      </c>
      <c r="H43">
        <f>HLOOKUP(E43,$AZ$23:$BC$29, 6, FALSE)</f>
        <v>0.32</v>
      </c>
      <c r="I43">
        <f>HLOOKUP(E43,$AZ$23:$BC$29, 2, FALSE)</f>
        <v>0.10299999999999999</v>
      </c>
      <c r="J43">
        <f>HLOOKUP(E43,$AZ$23:$BC$29, 5, FALSE)</f>
        <v>0.19</v>
      </c>
      <c r="K43">
        <f t="shared" si="20"/>
        <v>3.1312000000000002E-3</v>
      </c>
      <c r="L43">
        <f t="shared" si="21"/>
        <v>2.1292159999999997E-3</v>
      </c>
      <c r="M43">
        <f t="shared" si="22"/>
        <v>63.876479999999994</v>
      </c>
      <c r="N43">
        <v>1</v>
      </c>
      <c r="O43">
        <v>0</v>
      </c>
      <c r="P43">
        <v>0</v>
      </c>
      <c r="R43">
        <f t="shared" si="23"/>
        <v>1</v>
      </c>
      <c r="S43" t="s">
        <v>420</v>
      </c>
      <c r="U43">
        <f>VLOOKUP(S43, $AY$32:$BA$38, 3, FALSE)</f>
        <v>0.02</v>
      </c>
      <c r="V43">
        <f>VLOOKUP(S43, $AY$32:$AZ$38, 2, FALSE)</f>
        <v>0.4</v>
      </c>
      <c r="W43">
        <f>M41*P41</f>
        <v>0</v>
      </c>
      <c r="X43">
        <f>M42*P42</f>
        <v>0</v>
      </c>
      <c r="Y43">
        <f>M43*P43</f>
        <v>0</v>
      </c>
      <c r="Z43">
        <f>M44*P44</f>
        <v>0</v>
      </c>
      <c r="AA43">
        <f t="shared" si="24"/>
        <v>0</v>
      </c>
      <c r="AF43" s="5" t="s">
        <v>430</v>
      </c>
      <c r="AG43" s="5"/>
      <c r="AH43" s="5">
        <v>0.5</v>
      </c>
      <c r="AI43" s="5"/>
      <c r="AJ43" s="5">
        <f>AG43*AB41+AH43*AC41+AI43*AD41</f>
        <v>0</v>
      </c>
      <c r="AK43">
        <f>VLOOKUP(AF43, $AY$32:$BA$38, 3, FALSE)</f>
        <v>0</v>
      </c>
      <c r="AL43">
        <f>VLOOKUP(AF43, $AY$32:$BA$38, 2, FALSE)</f>
        <v>0</v>
      </c>
      <c r="AO43">
        <v>0</v>
      </c>
      <c r="AP43">
        <f>(AJ43*(1-AK43-AL43)-AO43)*B41</f>
        <v>0</v>
      </c>
      <c r="AQ43">
        <f>($AJ43*(1-$AK43-$AL43)-$AO43)*(1 -$B41)</f>
        <v>0</v>
      </c>
    </row>
    <row r="44" spans="1:53" x14ac:dyDescent="0.2">
      <c r="E44" t="s">
        <v>406</v>
      </c>
      <c r="F44">
        <v>50</v>
      </c>
      <c r="G44">
        <v>200</v>
      </c>
      <c r="H44">
        <f>HLOOKUP(E44,$AZ$23:$BC$29, 6, FALSE)</f>
        <v>0.47</v>
      </c>
      <c r="I44">
        <f>HLOOKUP(E44,$AZ$23:$BC$29, 2, FALSE)</f>
        <v>9.2999999999999999E-2</v>
      </c>
      <c r="J44">
        <f>HLOOKUP(E44,$AZ$23:$BC$29, 5, FALSE)</f>
        <v>0.23</v>
      </c>
      <c r="K44">
        <f t="shared" si="20"/>
        <v>3.4223999999999999E-3</v>
      </c>
      <c r="L44">
        <f t="shared" si="21"/>
        <v>1.813872E-3</v>
      </c>
      <c r="M44">
        <f t="shared" si="22"/>
        <v>18.138719999999999</v>
      </c>
      <c r="N44">
        <v>1</v>
      </c>
      <c r="Q44">
        <v>0</v>
      </c>
      <c r="R44">
        <f t="shared" si="23"/>
        <v>1</v>
      </c>
      <c r="S44" t="s">
        <v>423</v>
      </c>
      <c r="W44">
        <f>M41*Q41</f>
        <v>0</v>
      </c>
      <c r="X44">
        <f>M42*Q42</f>
        <v>0</v>
      </c>
      <c r="Y44">
        <f>M43*Q43</f>
        <v>0</v>
      </c>
      <c r="Z44">
        <f>M44*Q44</f>
        <v>0</v>
      </c>
      <c r="AA44">
        <f t="shared" si="24"/>
        <v>0</v>
      </c>
      <c r="AC44" t="s">
        <v>297</v>
      </c>
      <c r="AD44">
        <f>SUM(AB41:AD41)</f>
        <v>332.93604863999997</v>
      </c>
      <c r="AF44" t="s">
        <v>427</v>
      </c>
      <c r="AG44">
        <v>1</v>
      </c>
      <c r="AH44">
        <v>0.5</v>
      </c>
      <c r="AJ44">
        <f>AG44*AB41+AH44*AC41+AI44*AD41</f>
        <v>332.93604863999997</v>
      </c>
      <c r="AK44">
        <f>VLOOKUP(AF44, $AY$32:$BA$38, 3, FALSE)</f>
        <v>0</v>
      </c>
      <c r="AL44">
        <f>VLOOKUP(AF44, $AY$32:$BA$38, 2, FALSE)</f>
        <v>0</v>
      </c>
      <c r="AO44">
        <v>0</v>
      </c>
      <c r="AP44">
        <f>(AJ44*(1-AK44-AL44)-AO44)*B41</f>
        <v>199.76162918399999</v>
      </c>
      <c r="AQ44">
        <f>($AJ44*(1-$AK44-$AL44)-$AO44)*(1 -$B41)</f>
        <v>133.17441945599998</v>
      </c>
    </row>
    <row r="45" spans="1:53" x14ac:dyDescent="0.2">
      <c r="AF45" t="s">
        <v>426</v>
      </c>
      <c r="AI45">
        <v>1</v>
      </c>
      <c r="AJ45">
        <f>AG45*AB41+AH45*AC41+AI45*AD41</f>
        <v>0</v>
      </c>
      <c r="AO45">
        <v>0</v>
      </c>
      <c r="AP45">
        <f>AJ45</f>
        <v>0</v>
      </c>
    </row>
    <row r="46" spans="1:53" x14ac:dyDescent="0.2">
      <c r="AF46" t="s">
        <v>440</v>
      </c>
      <c r="AG46">
        <f>SUM(AG41:AG45)</f>
        <v>1</v>
      </c>
      <c r="AH46">
        <f t="shared" ref="AH46" si="25">SUM(AH41:AH45)</f>
        <v>1</v>
      </c>
      <c r="AI46">
        <f t="shared" ref="AI46" si="26">SUM(AI41:AI45)</f>
        <v>1</v>
      </c>
      <c r="AJ46">
        <f>SUM(AJ41:AJ45)</f>
        <v>332.93604863999997</v>
      </c>
    </row>
    <row r="51" spans="1:49" x14ac:dyDescent="0.2">
      <c r="A51" t="s">
        <v>453</v>
      </c>
      <c r="B51">
        <v>0.6</v>
      </c>
      <c r="C51" t="s">
        <v>77</v>
      </c>
      <c r="D51" t="s">
        <v>16</v>
      </c>
      <c r="E51" t="s">
        <v>405</v>
      </c>
      <c r="F51">
        <v>100</v>
      </c>
      <c r="G51">
        <v>200</v>
      </c>
      <c r="H51">
        <f>HLOOKUP(E51,$AZ$23:$BC$29, 6, FALSE)</f>
        <v>0.35</v>
      </c>
      <c r="I51">
        <f>HLOOKUP(E51,$AZ$23:$BC$29, 2, FALSE)</f>
        <v>8.5999999999999993E-2</v>
      </c>
      <c r="J51">
        <f>HLOOKUP(E51,$AZ$23:$BC$29, 5, FALSE)</f>
        <v>0.19</v>
      </c>
      <c r="K51">
        <f>I51 * J51 / 6.25</f>
        <v>2.6144000000000002E-3</v>
      </c>
      <c r="L51">
        <f>K51 * (1 - H51)</f>
        <v>1.6993600000000002E-3</v>
      </c>
      <c r="M51">
        <f>F51 * L51 * G51</f>
        <v>33.987200000000009</v>
      </c>
      <c r="O51">
        <v>1</v>
      </c>
      <c r="R51">
        <f>SUM(N51:Q51)</f>
        <v>1</v>
      </c>
      <c r="S51" t="s">
        <v>422</v>
      </c>
      <c r="U51">
        <f>VLOOKUP(S51, $AY$32:$BA$38, 3, FALSE)</f>
        <v>1E-3</v>
      </c>
      <c r="V51">
        <f>VLOOKUP(S51, $AY$32:$AZ$38, 2, FALSE)</f>
        <v>0.3</v>
      </c>
      <c r="W51">
        <f>$M51 *N51</f>
        <v>0</v>
      </c>
      <c r="X51">
        <f>M52*N52</f>
        <v>0</v>
      </c>
      <c r="Y51">
        <f>M53*N53</f>
        <v>0</v>
      </c>
      <c r="Z51">
        <f>M54*N54</f>
        <v>145.10976000000002</v>
      </c>
      <c r="AA51">
        <f>SUM(W51:Z51)</f>
        <v>145.10976000000002</v>
      </c>
      <c r="AB51">
        <f>AA51*(1 - V51 - U51)</f>
        <v>101.43172224000001</v>
      </c>
      <c r="AC51">
        <f>AA52*(1 - V52 - U52)</f>
        <v>393.74040367999999</v>
      </c>
      <c r="AD51">
        <f>AA53*(1 - V53 - U53)</f>
        <v>94.684118399999988</v>
      </c>
      <c r="AE51">
        <f>AA54*(1 - V54 - U54)</f>
        <v>36.277440000000006</v>
      </c>
      <c r="AF51" t="s">
        <v>428</v>
      </c>
      <c r="AG51">
        <v>0.6</v>
      </c>
      <c r="AJ51">
        <f>AG51*AB51+AH51*AC51+AI51*AD51</f>
        <v>60.859033344000004</v>
      </c>
      <c r="AK51">
        <f>VLOOKUP(AF51, $AY$32:$BA$38, 3, FALSE)</f>
        <v>5.0000000000000001E-3</v>
      </c>
      <c r="AL51">
        <f>VLOOKUP(AF51, $AY$32:$BA$38, 2, FALSE)</f>
        <v>0.2</v>
      </c>
      <c r="AM51">
        <f>IF($C$11="yes",1,0)</f>
        <v>1</v>
      </c>
      <c r="AN51">
        <f>$AZ$19</f>
        <v>0.02</v>
      </c>
      <c r="AO51">
        <f>AJ51*AM51*AN51</f>
        <v>1.21718066688</v>
      </c>
      <c r="AP51">
        <f>($AJ51*(1-$AK51-$AL51)-$AO51)*$B51</f>
        <v>28.299450504959999</v>
      </c>
      <c r="AQ51">
        <f>($AJ51*(1-$AK51-$AL51)-$AO51)*(1 -$B51)</f>
        <v>18.866300336640002</v>
      </c>
      <c r="AR51">
        <f>SUM(AP51:AP55)</f>
        <v>378.45926564966396</v>
      </c>
      <c r="AS51">
        <f>SUM(AQ51:AQ54)</f>
        <v>189.18343149977602</v>
      </c>
      <c r="AT51">
        <f>IF(ISBLANK(D51), "", IF(D51="wet", $AZ$13, $AZ$14))</f>
        <v>6.0000000000000001E-3</v>
      </c>
      <c r="AU51">
        <f>IF(ISBLANK(D51), "", $AZ$16)</f>
        <v>1.5714285714285714</v>
      </c>
      <c r="AV51">
        <f>IF(ISBLANK(D51), "", AR51*AT51*AU51/1000)</f>
        <v>3.5683302189825463E-3</v>
      </c>
      <c r="AW51">
        <f>IF(ISBLANK(D51), "", AS51*AT51*AU51/1000)</f>
        <v>1.7837294969978881E-3</v>
      </c>
    </row>
    <row r="52" spans="1:49" x14ac:dyDescent="0.2">
      <c r="E52" t="s">
        <v>415</v>
      </c>
      <c r="F52">
        <v>2000</v>
      </c>
      <c r="G52">
        <v>150</v>
      </c>
      <c r="H52">
        <f>HLOOKUP(E52,$AZ$23:$BC$29, 6, FALSE)</f>
        <v>0.47</v>
      </c>
      <c r="I52">
        <f>HLOOKUP(E52,$AZ$23:$BC$29, 2, FALSE)</f>
        <v>9.2999999999999999E-2</v>
      </c>
      <c r="J52">
        <f>HLOOKUP(E52,$AZ$23:$BC$29, 5, FALSE)</f>
        <v>0.23</v>
      </c>
      <c r="K52">
        <f t="shared" ref="K52:K54" si="27">I52 * J52 / 6.25</f>
        <v>3.4223999999999999E-3</v>
      </c>
      <c r="L52">
        <f t="shared" ref="L52:L54" si="28">K52 * (1 - H52)</f>
        <v>1.813872E-3</v>
      </c>
      <c r="M52">
        <f t="shared" ref="M52:M54" si="29">F52 * L52 * G52</f>
        <v>544.16160000000002</v>
      </c>
      <c r="O52">
        <v>0.7</v>
      </c>
      <c r="P52">
        <v>0.3</v>
      </c>
      <c r="R52">
        <f t="shared" ref="R52:R54" si="30">SUM(N52:Q52)</f>
        <v>1</v>
      </c>
      <c r="S52" t="s">
        <v>419</v>
      </c>
      <c r="U52">
        <f>VLOOKUP(S52, $AY$32:$BA$38, 3, FALSE)</f>
        <v>1E-3</v>
      </c>
      <c r="V52">
        <f>VLOOKUP(S52, $AY$32:$AZ$38, 2, FALSE)</f>
        <v>0.05</v>
      </c>
      <c r="W52">
        <f>M51*O51</f>
        <v>33.987200000000009</v>
      </c>
      <c r="X52">
        <f>M52*O52</f>
        <v>380.91311999999999</v>
      </c>
      <c r="Y52">
        <f>M53*O53</f>
        <v>0</v>
      </c>
      <c r="Z52">
        <f>M54*O54</f>
        <v>0</v>
      </c>
      <c r="AA52">
        <f t="shared" ref="AA52:AA54" si="31">SUM(W52:Z52)</f>
        <v>414.90032000000002</v>
      </c>
      <c r="AF52" s="5" t="s">
        <v>429</v>
      </c>
      <c r="AG52" s="5">
        <v>0.4</v>
      </c>
      <c r="AH52" s="5"/>
      <c r="AI52" s="5"/>
      <c r="AJ52" s="5">
        <f>AG52*AB51+AH52*AC51+AI52*AD51</f>
        <v>40.57268889600001</v>
      </c>
      <c r="AK52">
        <f>VLOOKUP(AF52, $AY$32:$BA$38, 3, FALSE)</f>
        <v>0.01</v>
      </c>
      <c r="AL52">
        <f>VLOOKUP(AF52, $AY$32:$BA$38, 2, FALSE)</f>
        <v>0.2</v>
      </c>
      <c r="AO52">
        <v>0</v>
      </c>
      <c r="AP52">
        <f>(AJ52*(1-AK52-AL52)-AO52)*B51</f>
        <v>19.231454536704003</v>
      </c>
      <c r="AQ52">
        <f>($AJ52*(1-$AK52-$AL52)-$AO52)*(1 -$B51)</f>
        <v>12.820969691136003</v>
      </c>
    </row>
    <row r="53" spans="1:49" x14ac:dyDescent="0.2">
      <c r="E53" t="s">
        <v>416</v>
      </c>
      <c r="F53">
        <v>0</v>
      </c>
      <c r="G53">
        <v>300</v>
      </c>
      <c r="H53">
        <f>HLOOKUP(E53,$AZ$23:$BC$29, 6, FALSE)</f>
        <v>0.32</v>
      </c>
      <c r="I53">
        <f>HLOOKUP(E53,$AZ$23:$BC$29, 2, FALSE)</f>
        <v>0.10299999999999999</v>
      </c>
      <c r="J53">
        <f>HLOOKUP(E53,$AZ$23:$BC$29, 5, FALSE)</f>
        <v>0.19</v>
      </c>
      <c r="K53">
        <f t="shared" si="27"/>
        <v>3.1312000000000002E-3</v>
      </c>
      <c r="L53">
        <f t="shared" si="28"/>
        <v>2.1292159999999997E-3</v>
      </c>
      <c r="M53">
        <f t="shared" si="29"/>
        <v>0</v>
      </c>
      <c r="O53">
        <v>0.7</v>
      </c>
      <c r="P53">
        <v>0.3</v>
      </c>
      <c r="R53">
        <f t="shared" si="30"/>
        <v>1</v>
      </c>
      <c r="S53" t="s">
        <v>420</v>
      </c>
      <c r="U53">
        <f>VLOOKUP(S53, $AY$32:$BA$38, 3, FALSE)</f>
        <v>0.02</v>
      </c>
      <c r="V53">
        <f>VLOOKUP(S53, $AY$32:$AZ$38, 2, FALSE)</f>
        <v>0.4</v>
      </c>
      <c r="W53">
        <f>M51*P51</f>
        <v>0</v>
      </c>
      <c r="X53">
        <f>M52*P52</f>
        <v>163.24848</v>
      </c>
      <c r="Y53">
        <f>M53*P53</f>
        <v>0</v>
      </c>
      <c r="Z53">
        <f>M54*P54</f>
        <v>0</v>
      </c>
      <c r="AA53">
        <f t="shared" si="31"/>
        <v>163.24848</v>
      </c>
      <c r="AF53" s="5" t="s">
        <v>430</v>
      </c>
      <c r="AG53" s="5"/>
      <c r="AH53" s="5">
        <v>0.5</v>
      </c>
      <c r="AI53" s="5"/>
      <c r="AJ53" s="5">
        <f>AG53*AB51+AH53*AC51+AI53*AD51</f>
        <v>196.87020183999999</v>
      </c>
      <c r="AK53">
        <f>VLOOKUP(AF53, $AY$32:$BA$38, 3, FALSE)</f>
        <v>0</v>
      </c>
      <c r="AL53">
        <f>VLOOKUP(AF53, $AY$32:$BA$38, 2, FALSE)</f>
        <v>0</v>
      </c>
      <c r="AO53">
        <v>0</v>
      </c>
      <c r="AP53">
        <f>(AJ53*(1-AK53-AL53)-AO53)*B51</f>
        <v>118.12212110399999</v>
      </c>
      <c r="AQ53">
        <f>($AJ53*(1-$AK53-$AL53)-$AO53)*(1 -$B51)</f>
        <v>78.748080736000006</v>
      </c>
    </row>
    <row r="54" spans="1:49" x14ac:dyDescent="0.2">
      <c r="E54" t="s">
        <v>406</v>
      </c>
      <c r="F54">
        <v>500</v>
      </c>
      <c r="G54">
        <v>200</v>
      </c>
      <c r="H54">
        <f>HLOOKUP(E54,$AZ$23:$BC$29, 6, FALSE)</f>
        <v>0.47</v>
      </c>
      <c r="I54">
        <f>HLOOKUP(E54,$AZ$23:$BC$29, 2, FALSE)</f>
        <v>9.2999999999999999E-2</v>
      </c>
      <c r="J54">
        <f>HLOOKUP(E54,$AZ$23:$BC$29, 5, FALSE)</f>
        <v>0.23</v>
      </c>
      <c r="K54">
        <f t="shared" si="27"/>
        <v>3.4223999999999999E-3</v>
      </c>
      <c r="L54">
        <f t="shared" si="28"/>
        <v>1.813872E-3</v>
      </c>
      <c r="M54">
        <f t="shared" si="29"/>
        <v>181.38720000000001</v>
      </c>
      <c r="N54">
        <v>0.8</v>
      </c>
      <c r="Q54">
        <v>0.2</v>
      </c>
      <c r="R54">
        <f t="shared" si="30"/>
        <v>1</v>
      </c>
      <c r="S54" t="s">
        <v>423</v>
      </c>
      <c r="W54">
        <f>M51*Q51</f>
        <v>0</v>
      </c>
      <c r="X54">
        <f>M52*Q52</f>
        <v>0</v>
      </c>
      <c r="Y54">
        <f>M53*Q53</f>
        <v>0</v>
      </c>
      <c r="Z54">
        <f>M54*Q54</f>
        <v>36.277440000000006</v>
      </c>
      <c r="AA54">
        <f t="shared" si="31"/>
        <v>36.277440000000006</v>
      </c>
      <c r="AC54" t="s">
        <v>297</v>
      </c>
      <c r="AD54">
        <f>SUM(AB51:AD51)</f>
        <v>589.85624431999997</v>
      </c>
      <c r="AF54" t="s">
        <v>427</v>
      </c>
      <c r="AH54">
        <v>0.5</v>
      </c>
      <c r="AJ54">
        <f>AG54*AB51+AH54*AC51+AI54*AD51</f>
        <v>196.87020183999999</v>
      </c>
      <c r="AK54">
        <f>VLOOKUP(AF54, $AY$32:$BA$38, 3, FALSE)</f>
        <v>0</v>
      </c>
      <c r="AL54">
        <f>VLOOKUP(AF54, $AY$32:$BA$38, 2, FALSE)</f>
        <v>0</v>
      </c>
      <c r="AO54">
        <v>0</v>
      </c>
      <c r="AP54">
        <f>(AJ54*(1-AK54-AL54)-AO54)*B51</f>
        <v>118.12212110399999</v>
      </c>
      <c r="AQ54">
        <f>($AJ54*(1-$AK54-$AL54)-$AO54)*(1 -$B51)</f>
        <v>78.748080736000006</v>
      </c>
    </row>
    <row r="55" spans="1:49" x14ac:dyDescent="0.2">
      <c r="AF55" t="s">
        <v>426</v>
      </c>
      <c r="AI55">
        <v>1</v>
      </c>
      <c r="AJ55">
        <f>AG55*AB51+AH55*AC51+AI55*AD51</f>
        <v>94.684118399999988</v>
      </c>
      <c r="AO55">
        <v>0</v>
      </c>
      <c r="AP55">
        <f>AJ55</f>
        <v>94.684118399999988</v>
      </c>
    </row>
    <row r="56" spans="1:49" x14ac:dyDescent="0.2">
      <c r="AF56" t="s">
        <v>440</v>
      </c>
      <c r="AG56">
        <f>SUM(AG51:AG55)</f>
        <v>1</v>
      </c>
      <c r="AH56">
        <f t="shared" ref="AH56" si="32">SUM(AH51:AH55)</f>
        <v>1</v>
      </c>
      <c r="AI56">
        <f t="shared" ref="AI56" si="33">SUM(AI51:AI55)</f>
        <v>1</v>
      </c>
      <c r="AJ56">
        <f>SUM(AJ51:AJ55)</f>
        <v>589.85624431999997</v>
      </c>
    </row>
    <row r="61" spans="1:49" x14ac:dyDescent="0.2">
      <c r="A61" t="s">
        <v>454</v>
      </c>
      <c r="B61">
        <v>0.6</v>
      </c>
      <c r="C61" t="s">
        <v>77</v>
      </c>
      <c r="D61" t="s">
        <v>16</v>
      </c>
      <c r="E61" t="s">
        <v>405</v>
      </c>
      <c r="F61">
        <v>1000</v>
      </c>
      <c r="G61">
        <v>200</v>
      </c>
      <c r="H61">
        <v>0.2</v>
      </c>
      <c r="I61">
        <v>0.05</v>
      </c>
      <c r="J61">
        <f>HLOOKUP(E61,$AZ$23:$BC$29, 5, FALSE)</f>
        <v>0.19</v>
      </c>
      <c r="K61">
        <f>I61 * J61 / 6.25</f>
        <v>1.5200000000000003E-3</v>
      </c>
      <c r="L61">
        <f>K61 * (1 - H61)</f>
        <v>1.2160000000000003E-3</v>
      </c>
      <c r="M61">
        <f>F61 * L61 * G61</f>
        <v>243.20000000000005</v>
      </c>
      <c r="O61">
        <v>1</v>
      </c>
      <c r="R61">
        <f>SUM(N61:Q61)</f>
        <v>1</v>
      </c>
      <c r="S61" t="s">
        <v>422</v>
      </c>
      <c r="U61">
        <f>VLOOKUP(S61, $AY$32:$BA$38, 3, FALSE)</f>
        <v>1E-3</v>
      </c>
      <c r="V61">
        <f>VLOOKUP(S61, $AY$32:$AZ$38, 2, FALSE)</f>
        <v>0.3</v>
      </c>
      <c r="W61">
        <f>$M61 *N61</f>
        <v>0</v>
      </c>
      <c r="X61">
        <f>M62*N62</f>
        <v>0</v>
      </c>
      <c r="Y61">
        <f>M63*N63</f>
        <v>0</v>
      </c>
      <c r="Z61">
        <f>M64*N64</f>
        <v>11.776</v>
      </c>
      <c r="AA61">
        <f>SUM(W61:Z61)</f>
        <v>11.776</v>
      </c>
      <c r="AB61">
        <f>AA61*(1 - V61 - U61)</f>
        <v>8.2314239999999987</v>
      </c>
      <c r="AC61">
        <f>AA62*(1 - V62 - U62)</f>
        <v>287.04440960000005</v>
      </c>
      <c r="AD61">
        <f>AA63*(1 - V63 - U63)</f>
        <v>14.732927999999998</v>
      </c>
      <c r="AE61">
        <f>AA64*(1 - V64 - U64)</f>
        <v>2.944</v>
      </c>
      <c r="AF61" t="s">
        <v>428</v>
      </c>
      <c r="AG61">
        <v>0.6</v>
      </c>
      <c r="AJ61">
        <f>AG61*AB61+AH61*AC61+AI61*AD61</f>
        <v>4.9388543999999994</v>
      </c>
      <c r="AK61">
        <f>VLOOKUP(AF61, $AY$32:$BA$38, 3, FALSE)</f>
        <v>5.0000000000000001E-3</v>
      </c>
      <c r="AL61">
        <f>VLOOKUP(AF61, $AY$32:$BA$38, 2, FALSE)</f>
        <v>0.2</v>
      </c>
      <c r="AM61">
        <f>IF($C$11="yes",1,0)</f>
        <v>1</v>
      </c>
      <c r="AN61">
        <f>$AZ$19</f>
        <v>0.02</v>
      </c>
      <c r="AO61">
        <f>AJ61*AM61*AN61</f>
        <v>9.8777087999999985E-2</v>
      </c>
      <c r="AP61">
        <f>($AJ61*(1-$AK61-$AL61)-$AO61)*$B61</f>
        <v>2.2965672959999996</v>
      </c>
      <c r="AQ61">
        <f>($AJ61*(1-$AK61-$AL61)-$AO61)*(1 -$B61)</f>
        <v>1.5310448639999998</v>
      </c>
      <c r="AR61">
        <f>SUM(AP61:AP65)</f>
        <v>190.81681904640001</v>
      </c>
      <c r="AS61">
        <f>SUM(AQ61:AQ64)</f>
        <v>117.38926069760002</v>
      </c>
      <c r="AT61">
        <f>IF(ISBLANK(D61), "", IF(D61="wet", $AZ$13, $AZ$14))</f>
        <v>6.0000000000000001E-3</v>
      </c>
      <c r="AU61">
        <f>IF(ISBLANK(D61), "", $AZ$16)</f>
        <v>1.5714285714285714</v>
      </c>
      <c r="AV61">
        <f>IF(ISBLANK(D61), "", AR61*AT61*AU61/1000)</f>
        <v>1.7991300081517717E-3</v>
      </c>
      <c r="AW61">
        <f>IF(ISBLANK(D61), "", AS61*AT61*AU61/1000)</f>
        <v>1.1068130294345144E-3</v>
      </c>
    </row>
    <row r="62" spans="1:49" x14ac:dyDescent="0.2">
      <c r="E62" t="s">
        <v>415</v>
      </c>
      <c r="F62">
        <v>200</v>
      </c>
      <c r="G62">
        <v>150</v>
      </c>
      <c r="H62">
        <v>0.3</v>
      </c>
      <c r="I62">
        <v>0.06</v>
      </c>
      <c r="J62">
        <f>HLOOKUP(E62,$AZ$23:$BC$29, 5, FALSE)</f>
        <v>0.23</v>
      </c>
      <c r="K62">
        <f t="shared" ref="K62:K64" si="34">I62 * J62 / 6.25</f>
        <v>2.2079999999999999E-3</v>
      </c>
      <c r="L62">
        <f t="shared" ref="L62:L64" si="35">K62 * (1 - H62)</f>
        <v>1.5455999999999998E-3</v>
      </c>
      <c r="M62">
        <f t="shared" ref="M62:M64" si="36">F62 * L62 * G62</f>
        <v>46.367999999999995</v>
      </c>
      <c r="O62">
        <v>0.7</v>
      </c>
      <c r="P62">
        <v>0.3</v>
      </c>
      <c r="R62">
        <f t="shared" ref="R62:R64" si="37">SUM(N62:Q62)</f>
        <v>1</v>
      </c>
      <c r="S62" t="s">
        <v>419</v>
      </c>
      <c r="U62">
        <f>VLOOKUP(S62, $AY$32:$BA$38, 3, FALSE)</f>
        <v>1E-3</v>
      </c>
      <c r="V62">
        <f>VLOOKUP(S62, $AY$32:$AZ$38, 2, FALSE)</f>
        <v>0.05</v>
      </c>
      <c r="W62">
        <f>M61*O61</f>
        <v>243.20000000000005</v>
      </c>
      <c r="X62">
        <f>M62*O62</f>
        <v>32.457599999999992</v>
      </c>
      <c r="Y62">
        <f>M63*O63</f>
        <v>26.812799999999999</v>
      </c>
      <c r="Z62">
        <f>M64*O64</f>
        <v>0</v>
      </c>
      <c r="AA62">
        <f t="shared" ref="AA62:AA64" si="38">SUM(W62:Z62)</f>
        <v>302.47040000000004</v>
      </c>
      <c r="AF62" s="5" t="s">
        <v>429</v>
      </c>
      <c r="AG62" s="5">
        <v>0.4</v>
      </c>
      <c r="AH62" s="5"/>
      <c r="AI62" s="5"/>
      <c r="AJ62" s="5">
        <f>AG62*AB61+AH62*AC61+AI62*AD61</f>
        <v>3.2925695999999998</v>
      </c>
      <c r="AK62">
        <f>VLOOKUP(AF62, $AY$32:$BA$38, 3, FALSE)</f>
        <v>0.01</v>
      </c>
      <c r="AL62">
        <f>VLOOKUP(AF62, $AY$32:$BA$38, 2, FALSE)</f>
        <v>0.2</v>
      </c>
      <c r="AO62">
        <v>0</v>
      </c>
      <c r="AP62">
        <f>(AJ62*(1-AK62-AL62)-AO62)*B61</f>
        <v>1.5606779903999999</v>
      </c>
      <c r="AQ62">
        <f>($AJ62*(1-$AK62-$AL62)-$AO62)*(1 -$B61)</f>
        <v>1.0404519936000001</v>
      </c>
    </row>
    <row r="63" spans="1:49" x14ac:dyDescent="0.2">
      <c r="E63" t="s">
        <v>416</v>
      </c>
      <c r="F63">
        <v>100</v>
      </c>
      <c r="G63">
        <v>300</v>
      </c>
      <c r="H63">
        <v>0.4</v>
      </c>
      <c r="I63">
        <v>7.0000000000000007E-2</v>
      </c>
      <c r="J63">
        <f>HLOOKUP(E63,$AZ$23:$BC$29, 5, FALSE)</f>
        <v>0.19</v>
      </c>
      <c r="K63">
        <f t="shared" si="34"/>
        <v>2.1280000000000001E-3</v>
      </c>
      <c r="L63">
        <f t="shared" si="35"/>
        <v>1.2768E-3</v>
      </c>
      <c r="M63">
        <f t="shared" si="36"/>
        <v>38.304000000000002</v>
      </c>
      <c r="O63">
        <v>0.7</v>
      </c>
      <c r="P63">
        <v>0.3</v>
      </c>
      <c r="R63">
        <f t="shared" si="37"/>
        <v>1</v>
      </c>
      <c r="S63" t="s">
        <v>420</v>
      </c>
      <c r="U63">
        <f>VLOOKUP(S63, $AY$32:$BA$38, 3, FALSE)</f>
        <v>0.02</v>
      </c>
      <c r="V63">
        <f>VLOOKUP(S63, $AY$32:$AZ$38, 2, FALSE)</f>
        <v>0.4</v>
      </c>
      <c r="W63">
        <f>M61*P61</f>
        <v>0</v>
      </c>
      <c r="X63">
        <f>M62*P62</f>
        <v>13.910399999999997</v>
      </c>
      <c r="Y63">
        <f>M63*P63</f>
        <v>11.491200000000001</v>
      </c>
      <c r="Z63">
        <f>M64*P64</f>
        <v>0</v>
      </c>
      <c r="AA63">
        <f t="shared" si="38"/>
        <v>25.401599999999998</v>
      </c>
      <c r="AF63" s="5" t="s">
        <v>430</v>
      </c>
      <c r="AG63" s="5"/>
      <c r="AH63" s="5">
        <v>0.5</v>
      </c>
      <c r="AI63" s="5"/>
      <c r="AJ63" s="5">
        <f>AG63*AB61+AH63*AC61+AI63*AD61</f>
        <v>143.52220480000003</v>
      </c>
      <c r="AK63">
        <f>VLOOKUP(AF63, $AY$32:$BA$38, 3, FALSE)</f>
        <v>0</v>
      </c>
      <c r="AL63">
        <f>VLOOKUP(AF63, $AY$32:$BA$38, 2, FALSE)</f>
        <v>0</v>
      </c>
      <c r="AO63">
        <v>0</v>
      </c>
      <c r="AP63">
        <f>(AJ63*(1-AK63-AL63)-AO63)*B61</f>
        <v>86.113322880000013</v>
      </c>
      <c r="AQ63">
        <f>($AJ63*(1-$AK63-$AL63)-$AO63)*(1 -$B61)</f>
        <v>57.408881920000013</v>
      </c>
    </row>
    <row r="64" spans="1:49" x14ac:dyDescent="0.2">
      <c r="E64" t="s">
        <v>406</v>
      </c>
      <c r="F64">
        <v>50</v>
      </c>
      <c r="G64">
        <v>200</v>
      </c>
      <c r="H64">
        <v>0.5</v>
      </c>
      <c r="I64">
        <v>0.08</v>
      </c>
      <c r="J64">
        <f>HLOOKUP(E64,$AZ$23:$BC$29, 5, FALSE)</f>
        <v>0.23</v>
      </c>
      <c r="K64">
        <f t="shared" si="34"/>
        <v>2.944E-3</v>
      </c>
      <c r="L64">
        <f t="shared" si="35"/>
        <v>1.472E-3</v>
      </c>
      <c r="M64">
        <f t="shared" si="36"/>
        <v>14.719999999999999</v>
      </c>
      <c r="N64">
        <v>0.8</v>
      </c>
      <c r="Q64">
        <v>0.2</v>
      </c>
      <c r="R64">
        <f t="shared" si="37"/>
        <v>1</v>
      </c>
      <c r="S64" t="s">
        <v>423</v>
      </c>
      <c r="W64">
        <f>M61*Q61</f>
        <v>0</v>
      </c>
      <c r="X64">
        <f>M62*Q62</f>
        <v>0</v>
      </c>
      <c r="Y64">
        <f>M63*Q63</f>
        <v>0</v>
      </c>
      <c r="Z64">
        <f>M64*Q64</f>
        <v>2.944</v>
      </c>
      <c r="AA64">
        <f t="shared" si="38"/>
        <v>2.944</v>
      </c>
      <c r="AC64" t="s">
        <v>297</v>
      </c>
      <c r="AD64">
        <f>SUM(AB61:AD61)</f>
        <v>310.00876160000007</v>
      </c>
      <c r="AF64" t="s">
        <v>427</v>
      </c>
      <c r="AH64">
        <v>0.5</v>
      </c>
      <c r="AJ64">
        <f>AG64*AB61+AH64*AC61+AI64*AD61</f>
        <v>143.52220480000003</v>
      </c>
      <c r="AK64">
        <f>VLOOKUP(AF64, $AY$32:$BA$38, 3, FALSE)</f>
        <v>0</v>
      </c>
      <c r="AL64">
        <f>VLOOKUP(AF64, $AY$32:$BA$38, 2, FALSE)</f>
        <v>0</v>
      </c>
      <c r="AO64">
        <v>0</v>
      </c>
      <c r="AP64">
        <f>(AJ64*(1-AK64-AL64)-AO64)*B61</f>
        <v>86.113322880000013</v>
      </c>
      <c r="AQ64">
        <f>($AJ64*(1-$AK64-$AL64)-$AO64)*(1 -$B61)</f>
        <v>57.408881920000013</v>
      </c>
    </row>
    <row r="65" spans="32:42" x14ac:dyDescent="0.2">
      <c r="AF65" t="s">
        <v>426</v>
      </c>
      <c r="AI65">
        <v>1</v>
      </c>
      <c r="AJ65">
        <f>AG65*AB61+AH65*AC61+AI65*AD61</f>
        <v>14.732927999999998</v>
      </c>
      <c r="AO65">
        <v>0</v>
      </c>
      <c r="AP65">
        <f>AJ65</f>
        <v>14.732927999999998</v>
      </c>
    </row>
    <row r="66" spans="32:42" x14ac:dyDescent="0.2">
      <c r="AF66" t="s">
        <v>440</v>
      </c>
      <c r="AG66">
        <f>SUM(AG61:AG65)</f>
        <v>1</v>
      </c>
      <c r="AH66">
        <f t="shared" ref="AH66" si="39">SUM(AH61:AH65)</f>
        <v>1</v>
      </c>
      <c r="AI66">
        <f t="shared" ref="AI66" si="40">SUM(AI61:AI65)</f>
        <v>1</v>
      </c>
      <c r="AJ66">
        <f>SUM(AJ61:AJ65)</f>
        <v>310.00876160000007</v>
      </c>
    </row>
  </sheetData>
  <mergeCells count="5">
    <mergeCell ref="AY22:AY23"/>
    <mergeCell ref="AZ24:AZ25"/>
    <mergeCell ref="BA24:BA25"/>
    <mergeCell ref="BB24:BB25"/>
    <mergeCell ref="BC24:BC25"/>
  </mergeCells>
  <phoneticPr fontId="5" type="noConversion"/>
  <pageMargins left="0.7" right="0.7" top="0.75" bottom="0.75" header="0.3" footer="0.3"/>
  <ignoredErrors>
    <ignoredError sqref="AM5:AN10 J9 F10:J10 F9 F5:J7 AK5:AL10 AO5:AO10 F8:G8 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5.2.1.1 (purchased_untraced)</vt:lpstr>
      <vt:lpstr>5.2.1.1 (swine)</vt:lpstr>
      <vt:lpstr>5.2.1.1 (feedlot)</vt:lpstr>
      <vt:lpstr>5.2.1.1 (dairy)</vt:lpstr>
      <vt:lpstr>5.2.1.1 (poultry)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2026-02-19T23:44:43Z</dcterms:created>
  <dcterms:modified xsi:type="dcterms:W3CDTF">2026-04-01T05:16:32Z</dcterms:modified>
</cp:coreProperties>
</file>